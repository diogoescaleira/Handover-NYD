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TemplatesLocais923/Shared Documents/Geral/02. Templates Locais/05. Template 5/"/>
    </mc:Choice>
  </mc:AlternateContent>
  <xr:revisionPtr revIDLastSave="10701" documentId="13_ncr:1_{70DE105A-B938-4DF2-BF77-AB3CD4F7B92B}" xr6:coauthVersionLast="47" xr6:coauthVersionMax="47" xr10:uidLastSave="{73264D23-A259-4C04-944E-D6FC1081ABA6}"/>
  <bookViews>
    <workbookView xWindow="-120" yWindow="-120" windowWidth="29040" windowHeight="15720" activeTab="3" xr2:uid="{00000000-000D-0000-FFFF-FFFF00000000}"/>
  </bookViews>
  <sheets>
    <sheet name="Instruções" sheetId="33" r:id="rId1"/>
    <sheet name="Menu" sheetId="29" r:id="rId2"/>
    <sheet name="Input" sheetId="27" r:id="rId3"/>
    <sheet name="5.CC Physical risk" sheetId="32" r:id="rId4"/>
  </sheets>
  <externalReferences>
    <externalReference r:id="rId5"/>
  </externalReferences>
  <definedNames>
    <definedName name="_xlnm._FilterDatabase" localSheetId="3" hidden="1">'5.CC Physical risk'!$A$4:$Q$25</definedName>
    <definedName name="_xlnm._FilterDatabase" localSheetId="2" hidden="1">Input!$C$6:$M$5334</definedName>
    <definedName name="BM" localSheetId="0">#REF!</definedName>
    <definedName name="BM">#REF!</definedName>
    <definedName name="CIQWBGuid" hidden="1">"03f4930e-b33c-4382-a597-a94ab15a402c"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5" i="32" l="1"/>
  <c r="B34" i="32"/>
  <c r="B33" i="32"/>
  <c r="B32" i="32"/>
  <c r="B31" i="32"/>
  <c r="B30" i="32"/>
  <c r="B29" i="32"/>
  <c r="B28" i="32"/>
  <c r="B27" i="32"/>
  <c r="B26" i="32"/>
  <c r="Q23" i="32"/>
  <c r="P23" i="32"/>
  <c r="O23" i="32"/>
  <c r="N23" i="32"/>
  <c r="M23" i="32"/>
  <c r="L23" i="32"/>
  <c r="K23" i="32"/>
  <c r="J23" i="32"/>
  <c r="I23" i="32"/>
  <c r="G23" i="32"/>
  <c r="F23" i="32"/>
  <c r="E23" i="32"/>
  <c r="D23" i="32"/>
  <c r="Q22" i="32"/>
  <c r="P22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Q21" i="32"/>
  <c r="P21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Q20" i="32"/>
  <c r="P20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Q18" i="32"/>
  <c r="P18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Q17" i="32"/>
  <c r="P17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Q16" i="32"/>
  <c r="P16" i="32"/>
  <c r="O16" i="32"/>
  <c r="N16" i="32"/>
  <c r="M16" i="32"/>
  <c r="L16" i="32"/>
  <c r="K16" i="32"/>
  <c r="J16" i="32"/>
  <c r="I16" i="32"/>
  <c r="H16" i="32"/>
  <c r="G16" i="32"/>
  <c r="F16" i="32"/>
  <c r="E16" i="32"/>
  <c r="D16" i="32"/>
  <c r="Q15" i="32"/>
  <c r="P15" i="32"/>
  <c r="O15" i="32"/>
  <c r="N15" i="32"/>
  <c r="M15" i="32"/>
  <c r="L15" i="32"/>
  <c r="K15" i="32"/>
  <c r="J15" i="32"/>
  <c r="I15" i="32"/>
  <c r="H15" i="32"/>
  <c r="G15" i="32"/>
  <c r="F15" i="32"/>
  <c r="E15" i="32"/>
  <c r="D15" i="32"/>
  <c r="Q14" i="32"/>
  <c r="P14" i="32"/>
  <c r="O14" i="32"/>
  <c r="N14" i="32"/>
  <c r="M14" i="32"/>
  <c r="L14" i="32"/>
  <c r="K14" i="32"/>
  <c r="J14" i="32"/>
  <c r="I14" i="32"/>
  <c r="H14" i="32"/>
  <c r="G14" i="32"/>
  <c r="F14" i="32"/>
  <c r="E14" i="32"/>
  <c r="D14" i="32"/>
  <c r="Q13" i="32"/>
  <c r="P13" i="32"/>
  <c r="O13" i="32"/>
  <c r="N13" i="32"/>
  <c r="M13" i="32"/>
  <c r="L13" i="32"/>
  <c r="K13" i="32"/>
  <c r="J13" i="32"/>
  <c r="I13" i="32"/>
  <c r="H13" i="32"/>
  <c r="G13" i="32"/>
  <c r="F13" i="32"/>
  <c r="E13" i="32"/>
  <c r="D13" i="32"/>
  <c r="Q12" i="32"/>
  <c r="P12" i="32"/>
  <c r="O12" i="32"/>
  <c r="N12" i="32"/>
  <c r="M12" i="32"/>
  <c r="L12" i="32"/>
  <c r="K12" i="32"/>
  <c r="J12" i="32"/>
  <c r="I12" i="32"/>
  <c r="H12" i="32"/>
  <c r="G12" i="32"/>
  <c r="F12" i="32"/>
  <c r="E12" i="32"/>
  <c r="D12" i="32"/>
  <c r="Q11" i="32"/>
  <c r="P11" i="32"/>
  <c r="O11" i="32"/>
  <c r="N11" i="32"/>
  <c r="M11" i="32"/>
  <c r="L11" i="32"/>
  <c r="K11" i="32"/>
  <c r="J11" i="32"/>
  <c r="I11" i="32"/>
  <c r="H11" i="32"/>
  <c r="G11" i="32"/>
  <c r="F11" i="32"/>
  <c r="E11" i="32"/>
  <c r="D11" i="32"/>
  <c r="Q10" i="32"/>
  <c r="P10" i="32"/>
  <c r="O10" i="32"/>
  <c r="N10" i="32"/>
  <c r="M10" i="32"/>
  <c r="L10" i="32"/>
  <c r="K10" i="32"/>
  <c r="J10" i="32"/>
  <c r="I10" i="32"/>
  <c r="H10" i="32"/>
  <c r="G10" i="32"/>
  <c r="F10" i="32"/>
  <c r="E10" i="32"/>
  <c r="D10" i="32"/>
  <c r="Q9" i="32"/>
  <c r="P9" i="32"/>
  <c r="O9" i="32"/>
  <c r="N9" i="32"/>
  <c r="M9" i="32"/>
  <c r="L9" i="32"/>
  <c r="K9" i="32"/>
  <c r="J9" i="32"/>
  <c r="I9" i="32"/>
  <c r="H9" i="32"/>
  <c r="G9" i="32"/>
  <c r="F9" i="32"/>
  <c r="E9" i="32"/>
  <c r="D9" i="32"/>
  <c r="H23" i="32" l="1"/>
  <c r="F10" i="29" l="1"/>
</calcChain>
</file>

<file path=xl/sharedStrings.xml><?xml version="1.0" encoding="utf-8"?>
<sst xmlns="http://schemas.openxmlformats.org/spreadsheetml/2006/main" count="36896" uniqueCount="129">
  <si>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</si>
  <si>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</si>
  <si>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</si>
  <si>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</si>
  <si>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</si>
  <si>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</si>
  <si>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</si>
  <si>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</si>
  <si>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</si>
  <si>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</si>
  <si>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</si>
  <si>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</si>
  <si>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A</t>
  </si>
  <si>
    <t>B</t>
  </si>
  <si>
    <t>C</t>
  </si>
  <si>
    <t>D</t>
  </si>
  <si>
    <t>E</t>
  </si>
  <si>
    <t>F</t>
  </si>
  <si>
    <t>G</t>
  </si>
  <si>
    <t>m</t>
  </si>
  <si>
    <t>n</t>
  </si>
  <si>
    <t>tipo_colateral</t>
  </si>
  <si>
    <t>amount</t>
  </si>
  <si>
    <t>Stock</t>
  </si>
  <si>
    <t>Garantia Residencial</t>
  </si>
  <si>
    <t>Garantia Comercial</t>
  </si>
  <si>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</si>
  <si>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</si>
  <si>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</si>
  <si>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</si>
  <si>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</si>
  <si>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t>1.1. Execução</t>
  </si>
  <si>
    <t>1.2. Parâmetros</t>
  </si>
  <si>
    <t>- A data deverá respeitar o seguinte formato: YYYY/MM/DD.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</si>
  <si>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</si>
  <si>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</si>
  <si>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</si>
  <si>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</si>
  <si>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</si>
  <si>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</si>
  <si>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</si>
  <si>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</si>
  <si>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</si>
  <si>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</si>
  <si>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t>2.3. Atualizar informação</t>
  </si>
  <si>
    <t>2.4. Consultar informação</t>
  </si>
  <si>
    <t>3. Reporte BdP</t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</si>
  <si>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</si>
  <si>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</si>
  <si>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</si>
  <si>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r>
      <t xml:space="preserve">- 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está dependente da introdução da data de referência dos dados, pelo que antes da corrida da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deverá ser definida a data de referência na caixa de conteúdo apresentada abaixo:</t>
    </r>
  </si>
  <si>
    <t>stage</t>
  </si>
  <si>
    <t>contraparte</t>
  </si>
  <si>
    <t>vb_imp</t>
  </si>
  <si>
    <t>maturity</t>
  </si>
  <si>
    <t>cod_nace_esg</t>
  </si>
  <si>
    <t>acute_changes</t>
  </si>
  <si>
    <t>chronic_changes</t>
  </si>
  <si>
    <t>flag_physical_risk</t>
  </si>
  <si>
    <t>aveg_aux</t>
  </si>
  <si>
    <t>imparidade</t>
  </si>
  <si>
    <t>N</t>
  </si>
  <si>
    <t>ACUT1</t>
  </si>
  <si>
    <t>valor bruto</t>
  </si>
  <si>
    <t>stage 2</t>
  </si>
  <si>
    <t>stage 3</t>
  </si>
  <si>
    <t>CHRO1</t>
  </si>
  <si>
    <t>M</t>
  </si>
  <si>
    <t>L</t>
  </si>
  <si>
    <t>I</t>
  </si>
  <si>
    <t>J</t>
  </si>
  <si>
    <t>P</t>
  </si>
  <si>
    <t>Q</t>
  </si>
  <si>
    <t>S</t>
  </si>
  <si>
    <t>K</t>
  </si>
  <si>
    <t>H</t>
  </si>
  <si>
    <t>R</t>
  </si>
  <si>
    <t>O</t>
  </si>
  <si>
    <t>U</t>
  </si>
  <si>
    <t>T</t>
  </si>
  <si>
    <t>Template 5: Banking book - Climate change physical risk: Exposures subject to physical risk</t>
  </si>
  <si>
    <t xml:space="preserve">o </t>
  </si>
  <si>
    <t>Variable: Geographical area subject to climate change physical risk - acute and chronic events</t>
  </si>
  <si>
    <t>Gross carrying amount (Mln EUR)</t>
  </si>
  <si>
    <t>of which exposures sensitive to impact from climate change physical events</t>
  </si>
  <si>
    <t>Breakdown by maturity bucket</t>
  </si>
  <si>
    <t>of which exposures sensitive to impact from chronic climate change events</t>
  </si>
  <si>
    <t>of which exposures sensitive to impact from acute climate change events</t>
  </si>
  <si>
    <t>of which exposures sensitive to impact both from chronic and acute climate change events</t>
  </si>
  <si>
    <t>Of which Stage 2 exposures</t>
  </si>
  <si>
    <t>Of which non-performing exposures</t>
  </si>
  <si>
    <t>Accumulated impairment, accumulated negative changes in fair value due to credit risk and provisions</t>
  </si>
  <si>
    <t xml:space="preserve"> &lt;= 5 years</t>
  </si>
  <si>
    <t>&gt; 5 year &lt;= 10 years</t>
  </si>
  <si>
    <t>&gt; 10 year &lt;= 20 years</t>
  </si>
  <si>
    <t>&gt; 20 years</t>
  </si>
  <si>
    <t>Average weighted maturity</t>
  </si>
  <si>
    <t>of which Stage 2 exposures</t>
  </si>
  <si>
    <t>A - Agriculture, forestry and fishing</t>
  </si>
  <si>
    <t>B - Mining and quarrying</t>
  </si>
  <si>
    <t>C - Manufacturing</t>
  </si>
  <si>
    <t>D - Electricity, gas, steam and air conditioning supply</t>
  </si>
  <si>
    <t>E - Water supply; sewerage, waste management and remediation activities</t>
  </si>
  <si>
    <t>F - Construction</t>
  </si>
  <si>
    <t>G - Wholesale and retail trade; repair of motor vehicles and motorcycles</t>
  </si>
  <si>
    <t>H - Transportation and storage</t>
  </si>
  <si>
    <t>L - Real estate activities</t>
  </si>
  <si>
    <t>Loans collateralised by residential immovable property</t>
  </si>
  <si>
    <t>Loans collateralised by commercial immovable property</t>
  </si>
  <si>
    <t>Repossessed colalterals</t>
  </si>
  <si>
    <t>I - Accommodation and food service activities</t>
  </si>
  <si>
    <t>K - Financial and insurance activities</t>
  </si>
  <si>
    <t>J, M-U</t>
  </si>
  <si>
    <t>Exposures to other sectors (NACE codes J, M - U)</t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</si>
  <si>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"bu_esg_work.ag05_temp_cto_gra".</t>
    </r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</si>
  <si>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</t>
    </r>
    <r>
      <rPr>
        <sz val="9"/>
        <color theme="1"/>
        <rFont val="Calibri"/>
        <family val="2"/>
        <scheme val="minor"/>
      </rPr>
      <t xml:space="preserve"> 5 (EBA 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"5.CC Physical risk".</t>
    </r>
  </si>
  <si>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</si>
  <si>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 "5.CC Physical risk"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</si>
  <si>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r>
      <t xml:space="preserve">Geração de informação através da corrida dos </t>
    </r>
    <r>
      <rPr>
        <i/>
        <sz val="9"/>
        <color theme="1"/>
        <rFont val="Calibri"/>
        <family val="2"/>
        <scheme val="minor"/>
      </rPr>
      <t>scripts</t>
    </r>
    <r>
      <rPr>
        <sz val="9"/>
        <color theme="1"/>
        <rFont val="Calibri"/>
        <family val="2"/>
        <scheme val="minor"/>
      </rPr>
      <t xml:space="preserve">: "BS_Geracao Template 5 Granular_v2.0.sql" e </t>
    </r>
    <r>
      <rPr>
        <i/>
        <sz val="9"/>
        <color theme="1"/>
        <rFont val="Calibri"/>
        <family val="2"/>
        <scheme val="minor"/>
      </rPr>
      <t>"BS_Geracao Template 5 Agregado_v2.0.sql".</t>
    </r>
  </si>
  <si>
    <t>stage 1</t>
  </si>
  <si>
    <t>outras empresas nao financeiras</t>
  </si>
  <si>
    <t>ACUT2</t>
  </si>
  <si>
    <t>CHRO2</t>
  </si>
  <si>
    <t>Garantia Real</t>
  </si>
  <si>
    <t>Sem Garantia</t>
  </si>
  <si>
    <t>particulares</t>
  </si>
  <si>
    <t>outras instituicoes financeiras</t>
  </si>
  <si>
    <t>setor publico</t>
  </si>
  <si>
    <t>instituicoes de credito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</si>
</sst>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_-;\-* #,##0_-;_-* &quot;-&quot;??_-;_-@_-"/>
    <numFmt numFmtId="165" formatCode="_-* #,##0.0_-;\-* #,##0.0_-;_-* &quot;-&quot;??_-;_-@_-"/>
    <numFmt numFmtId="166" formatCode="_-* #,##0.000_-;\-* #,##0.000_-;_-* &quot;-&quot;??_-;_-@_-"/>
    <numFmt numFmtId="167" formatCode="_-* #,##0.0000_-;\-* #,##0.0000_-;_-* &quot;-&quot;??_-;_-@_-"/>
    <numFmt numFmtId="168" formatCode="_-* #,##0.00000_-;\-* #,##0.00000_-;_-* &quot;-&quot;??_-;_-@_-"/>
  </numFmts>
  <fonts count="28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sz val="10"/>
      <color rgb="FFFF0000"/>
      <name val="Calibri"/>
      <family val="2"/>
      <scheme val="minor"/>
    </font>
    <font>
      <sz val="10"/>
      <color theme="0"/>
      <name val="Calibri"/>
      <family val="2"/>
    </font>
    <font>
      <b/>
      <i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108">
    <xf numFmtId="0" fontId="0" fillId="0" borderId="0" xfId="0"/>
    <xf numFmtId="0" fontId="1" fillId="2" borderId="0" xfId="0" applyFont="1" applyFill="1"/>
    <xf numFmtId="0" fontId="2" fillId="2" borderId="0" xfId="0" applyFont="1" applyFill="1" applyAlignment="1">
      <alignment horizontal="left"/>
    </xf>
    <xf numFmtId="0" fontId="1" fillId="2" borderId="1" xfId="0" applyFont="1" applyFill="1" applyBorder="1" applyAlignment="1">
      <alignment vertical="center" wrapText="1"/>
    </xf>
    <xf numFmtId="0" fontId="0" fillId="3" borderId="0" xfId="0" applyFill="1"/>
    <xf numFmtId="0" fontId="8" fillId="3" borderId="0" xfId="0" applyFont="1" applyFill="1"/>
    <xf numFmtId="0" fontId="8" fillId="3" borderId="11" xfId="0" applyFont="1" applyFill="1" applyBorder="1"/>
    <xf numFmtId="0" fontId="8" fillId="0" borderId="0" xfId="0" applyFont="1"/>
    <xf numFmtId="0" fontId="18" fillId="0" borderId="0" xfId="0" applyFont="1"/>
    <xf numFmtId="0" fontId="17" fillId="0" borderId="0" xfId="0" applyFont="1"/>
    <xf numFmtId="0" fontId="6" fillId="0" borderId="0" xfId="0" applyFont="1" applyAlignment="1">
      <alignment vertical="center"/>
    </xf>
    <xf numFmtId="0" fontId="20" fillId="6" borderId="0" xfId="0" applyFont="1" applyFill="1" applyAlignment="1">
      <alignment horizontal="center" vertical="center" wrapText="1"/>
    </xf>
    <xf numFmtId="0" fontId="9" fillId="3" borderId="0" xfId="0" applyFont="1" applyFill="1"/>
    <xf numFmtId="0" fontId="9" fillId="0" borderId="0" xfId="0" applyFont="1"/>
    <xf numFmtId="0" fontId="9" fillId="0" borderId="0" xfId="0" applyFont="1" applyAlignment="1">
      <alignment horizontal="left" indent="1"/>
    </xf>
    <xf numFmtId="0" fontId="9" fillId="3" borderId="0" xfId="0" quotePrefix="1" applyFont="1" applyFill="1" applyAlignment="1">
      <alignment horizontal="left" indent="1"/>
    </xf>
    <xf numFmtId="0" fontId="23" fillId="5" borderId="24" xfId="0" applyFont="1" applyFill="1" applyBorder="1" applyAlignment="1">
      <alignment vertical="center"/>
    </xf>
    <xf numFmtId="0" fontId="7" fillId="5" borderId="24" xfId="0" applyFont="1" applyFill="1" applyBorder="1"/>
    <xf numFmtId="0" fontId="24" fillId="5" borderId="24" xfId="0" applyFont="1" applyFill="1" applyBorder="1"/>
    <xf numFmtId="0" fontId="13" fillId="3" borderId="0" xfId="0" applyFont="1" applyFill="1"/>
    <xf numFmtId="0" fontId="0" fillId="3" borderId="0" xfId="0" applyFill="1" applyProtection="1">
      <protection locked="0"/>
    </xf>
    <xf numFmtId="0" fontId="8" fillId="3" borderId="0" xfId="0" applyFont="1" applyFill="1" applyProtection="1">
      <protection locked="0"/>
    </xf>
    <xf numFmtId="0" fontId="8" fillId="3" borderId="11" xfId="0" applyFont="1" applyFill="1" applyBorder="1" applyProtection="1">
      <protection locked="0"/>
    </xf>
    <xf numFmtId="0" fontId="8" fillId="0" borderId="0" xfId="0" applyFont="1" applyProtection="1">
      <protection locked="0"/>
    </xf>
    <xf numFmtId="0" fontId="9" fillId="0" borderId="0" xfId="0" applyFont="1" applyProtection="1">
      <protection locked="0"/>
    </xf>
    <xf numFmtId="0" fontId="10" fillId="0" borderId="12" xfId="0" applyFont="1" applyBorder="1" applyProtection="1">
      <protection locked="0"/>
    </xf>
    <xf numFmtId="0" fontId="9" fillId="0" borderId="12" xfId="0" applyFont="1" applyBorder="1" applyProtection="1">
      <protection locked="0"/>
    </xf>
    <xf numFmtId="0" fontId="0" fillId="0" borderId="0" xfId="0" applyProtection="1">
      <protection locked="0"/>
    </xf>
    <xf numFmtId="0" fontId="11" fillId="0" borderId="0" xfId="0" applyFont="1" applyProtection="1">
      <protection locked="0"/>
    </xf>
    <xf numFmtId="0" fontId="10" fillId="0" borderId="0" xfId="0" applyFont="1" applyProtection="1">
      <protection locked="0"/>
    </xf>
    <xf numFmtId="0" fontId="9" fillId="3" borderId="13" xfId="0" applyFont="1" applyFill="1" applyBorder="1" applyProtection="1">
      <protection locked="0"/>
    </xf>
    <xf numFmtId="0" fontId="9" fillId="3" borderId="14" xfId="0" applyFont="1" applyFill="1" applyBorder="1" applyProtection="1">
      <protection locked="0"/>
    </xf>
    <xf numFmtId="0" fontId="9" fillId="3" borderId="15" xfId="0" applyFont="1" applyFill="1" applyBorder="1" applyProtection="1">
      <protection locked="0"/>
    </xf>
    <xf numFmtId="0" fontId="0" fillId="3" borderId="16" xfId="0" applyFill="1" applyBorder="1" applyProtection="1">
      <protection locked="0"/>
    </xf>
    <xf numFmtId="0" fontId="12" fillId="3" borderId="0" xfId="0" applyFont="1" applyFill="1" applyAlignment="1" applyProtection="1">
      <alignment horizontal="left"/>
      <protection locked="0"/>
    </xf>
    <xf numFmtId="0" fontId="7" fillId="3" borderId="0" xfId="0" applyFont="1" applyFill="1" applyAlignment="1" applyProtection="1">
      <alignment horizontal="centerContinuous"/>
      <protection locked="0"/>
    </xf>
    <xf numFmtId="14" fontId="12" fillId="4" borderId="17" xfId="0" applyNumberFormat="1" applyFont="1" applyFill="1" applyBorder="1" applyAlignment="1" applyProtection="1">
      <alignment horizontal="centerContinuous" wrapText="1"/>
      <protection locked="0"/>
    </xf>
    <xf numFmtId="0" fontId="0" fillId="3" borderId="18" xfId="0" applyFill="1" applyBorder="1" applyProtection="1">
      <protection locked="0"/>
    </xf>
    <xf numFmtId="0" fontId="3" fillId="3" borderId="0" xfId="0" applyFont="1" applyFill="1" applyProtection="1">
      <protection locked="0"/>
    </xf>
    <xf numFmtId="0" fontId="0" fillId="3" borderId="19" xfId="0" applyFill="1" applyBorder="1" applyProtection="1">
      <protection locked="0"/>
    </xf>
    <xf numFmtId="0" fontId="0" fillId="3" borderId="20" xfId="0" applyFill="1" applyBorder="1" applyProtection="1">
      <protection locked="0"/>
    </xf>
    <xf numFmtId="0" fontId="0" fillId="3" borderId="21" xfId="0" applyFill="1" applyBorder="1" applyProtection="1">
      <protection locked="0"/>
    </xf>
    <xf numFmtId="0" fontId="15" fillId="0" borderId="0" xfId="0" applyFont="1" applyAlignment="1" applyProtection="1">
      <alignment horizontal="centerContinuous"/>
      <protection locked="0"/>
    </xf>
    <xf numFmtId="0" fontId="0" fillId="3" borderId="18" xfId="0" applyFill="1" applyBorder="1"/>
    <xf numFmtId="0" fontId="3" fillId="2" borderId="0" xfId="0" applyFont="1" applyFill="1"/>
    <xf numFmtId="0" fontId="3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2" borderId="3" xfId="0" applyFont="1" applyFill="1" applyBorder="1" applyAlignment="1">
      <alignment vertical="center" wrapText="1"/>
    </xf>
    <xf numFmtId="0" fontId="1" fillId="2" borderId="0" xfId="0" applyFont="1" applyFill="1" applyAlignment="1">
      <alignment horizontal="left"/>
    </xf>
    <xf numFmtId="0" fontId="1" fillId="0" borderId="9" xfId="0" applyFont="1" applyBorder="1" applyAlignment="1">
      <alignment horizontal="center" vertical="center" wrapText="1"/>
    </xf>
    <xf numFmtId="0" fontId="25" fillId="2" borderId="8" xfId="0" applyFont="1" applyFill="1" applyBorder="1"/>
    <xf numFmtId="0" fontId="1" fillId="0" borderId="2" xfId="0" applyFont="1" applyBorder="1" applyAlignment="1">
      <alignment vertical="center" wrapText="1"/>
    </xf>
    <xf numFmtId="0" fontId="4" fillId="0" borderId="0" xfId="0" applyFont="1"/>
    <xf numFmtId="0" fontId="16" fillId="0" borderId="0" xfId="0" applyFont="1"/>
    <xf numFmtId="0" fontId="3" fillId="2" borderId="2" xfId="0" applyFont="1" applyFill="1" applyBorder="1"/>
    <xf numFmtId="0" fontId="3" fillId="2" borderId="2" xfId="0" applyFont="1" applyFill="1" applyBorder="1" applyAlignment="1">
      <alignment vertical="center"/>
    </xf>
    <xf numFmtId="0" fontId="3" fillId="0" borderId="0" xfId="0" applyFont="1"/>
    <xf numFmtId="0" fontId="3" fillId="2" borderId="2" xfId="0" applyFont="1" applyFill="1" applyBorder="1" applyAlignment="1">
      <alignment vertical="top"/>
    </xf>
    <xf numFmtId="0" fontId="16" fillId="0" borderId="0" xfId="0" quotePrefix="1" applyFont="1"/>
    <xf numFmtId="0" fontId="16" fillId="2" borderId="0" xfId="0" applyFont="1" applyFill="1"/>
    <xf numFmtId="0" fontId="25" fillId="2" borderId="0" xfId="0" applyFont="1" applyFill="1"/>
    <xf numFmtId="0" fontId="25" fillId="0" borderId="0" xfId="0" applyFont="1"/>
    <xf numFmtId="164" fontId="16" fillId="0" borderId="0" xfId="1" applyNumberFormat="1" applyFont="1" applyFill="1" applyBorder="1" applyAlignment="1">
      <alignment vertical="center"/>
    </xf>
    <xf numFmtId="164" fontId="16" fillId="2" borderId="0" xfId="1" applyNumberFormat="1" applyFont="1" applyFill="1" applyBorder="1" applyAlignment="1">
      <alignment vertical="center"/>
    </xf>
    <xf numFmtId="0" fontId="26" fillId="0" borderId="0" xfId="0" applyFont="1"/>
    <xf numFmtId="3" fontId="1" fillId="2" borderId="0" xfId="0" applyNumberFormat="1" applyFont="1" applyFill="1"/>
    <xf numFmtId="164" fontId="1" fillId="0" borderId="0" xfId="1" applyNumberFormat="1" applyFont="1" applyFill="1" applyBorder="1" applyAlignment="1">
      <alignment vertical="center" wrapText="1"/>
    </xf>
    <xf numFmtId="164" fontId="1" fillId="0" borderId="0" xfId="1" applyNumberFormat="1" applyFont="1" applyFill="1" applyBorder="1" applyAlignment="1">
      <alignment vertical="center"/>
    </xf>
    <xf numFmtId="164" fontId="1" fillId="2" borderId="0" xfId="1" applyNumberFormat="1" applyFont="1" applyFill="1" applyBorder="1" applyAlignment="1">
      <alignment vertical="center"/>
    </xf>
    <xf numFmtId="164" fontId="1" fillId="2" borderId="0" xfId="1" quotePrefix="1" applyNumberFormat="1" applyFont="1" applyFill="1" applyBorder="1" applyAlignment="1">
      <alignment vertical="center"/>
    </xf>
    <xf numFmtId="4" fontId="3" fillId="2" borderId="0" xfId="0" applyNumberFormat="1" applyFont="1" applyFill="1"/>
    <xf numFmtId="164" fontId="3" fillId="2" borderId="0" xfId="1" applyNumberFormat="1" applyFont="1" applyFill="1" applyBorder="1" applyAlignment="1">
      <alignment vertical="center"/>
    </xf>
    <xf numFmtId="164" fontId="3" fillId="2" borderId="0" xfId="1" quotePrefix="1" applyNumberFormat="1" applyFont="1" applyFill="1" applyBorder="1" applyAlignment="1">
      <alignment vertical="center"/>
    </xf>
    <xf numFmtId="164" fontId="4" fillId="2" borderId="0" xfId="1" applyNumberFormat="1" applyFont="1" applyFill="1" applyBorder="1" applyAlignment="1">
      <alignment vertical="center"/>
    </xf>
    <xf numFmtId="164" fontId="3" fillId="2" borderId="0" xfId="1" quotePrefix="1" applyNumberFormat="1" applyFont="1" applyFill="1" applyBorder="1" applyAlignment="1">
      <alignment vertical="center" wrapText="1"/>
    </xf>
    <xf numFmtId="164" fontId="3" fillId="2" borderId="0" xfId="0" applyNumberFormat="1" applyFont="1" applyFill="1"/>
    <xf numFmtId="164" fontId="3" fillId="0" borderId="2" xfId="1" applyNumberFormat="1" applyFont="1" applyFill="1" applyBorder="1" applyAlignment="1">
      <alignment vertical="center"/>
    </xf>
    <xf numFmtId="164" fontId="3" fillId="0" borderId="0" xfId="1" applyNumberFormat="1" applyFont="1" applyFill="1" applyBorder="1" applyAlignment="1">
      <alignment vertical="center"/>
    </xf>
    <xf numFmtId="43" fontId="3" fillId="0" borderId="0" xfId="1" applyFont="1" applyFill="1" applyBorder="1" applyAlignment="1">
      <alignment vertical="center"/>
    </xf>
    <xf numFmtId="165" fontId="3" fillId="0" borderId="2" xfId="1" applyNumberFormat="1" applyFont="1" applyFill="1" applyBorder="1" applyAlignment="1">
      <alignment vertical="center"/>
    </xf>
    <xf numFmtId="166" fontId="3" fillId="0" borderId="0" xfId="1" applyNumberFormat="1" applyFont="1" applyFill="1" applyBorder="1" applyAlignment="1">
      <alignment vertical="center"/>
    </xf>
    <xf numFmtId="167" fontId="3" fillId="0" borderId="2" xfId="1" applyNumberFormat="1" applyFont="1" applyFill="1" applyBorder="1" applyAlignment="1">
      <alignment vertical="center"/>
    </xf>
    <xf numFmtId="168" fontId="3" fillId="0" borderId="0" xfId="1" applyNumberFormat="1" applyFont="1" applyFill="1" applyBorder="1" applyAlignment="1">
      <alignment vertical="center"/>
    </xf>
    <xf numFmtId="4" fontId="0" fillId="0" borderId="0" xfId="0" applyNumberFormat="1"/>
    <xf numFmtId="0" fontId="24" fillId="5" borderId="22" xfId="0" applyFont="1" applyFill="1" applyBorder="1"/>
    <xf numFmtId="0" fontId="24" fillId="5" borderId="23" xfId="0" applyFont="1" applyFill="1" applyBorder="1"/>
    <xf numFmtId="0" fontId="24" fillId="5" borderId="25" xfId="0" applyFont="1" applyFill="1" applyBorder="1"/>
    <xf numFmtId="0" fontId="16" fillId="7" borderId="0" xfId="0" applyFont="1" applyFill="1" applyAlignment="1">
      <alignment horizontal="left" vertical="center" wrapText="1" indent="1"/>
    </xf>
    <xf numFmtId="0" fontId="9" fillId="3" borderId="0" xfId="0" applyFont="1" applyFill="1" applyAlignment="1">
      <alignment horizontal="left" vertical="center" indent="1"/>
    </xf>
    <xf numFmtId="0" fontId="16" fillId="5" borderId="0" xfId="0" applyFont="1" applyFill="1" applyAlignment="1">
      <alignment horizontal="left" vertical="center" wrapText="1" indent="1"/>
    </xf>
    <xf numFmtId="0" fontId="9" fillId="3" borderId="0" xfId="0" applyFont="1" applyFill="1" applyAlignment="1">
      <alignment horizontal="left" vertical="center" wrapText="1" inden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wrapText="1"/>
    </xf>
    <xf numFmtId="0" fontId="1" fillId="0" borderId="5" xfId="0" applyFont="1" applyBorder="1" applyAlignment="1">
      <alignment horizontal="center" wrapText="1"/>
    </xf>
    <xf numFmtId="0" fontId="1" fillId="0" borderId="6" xfId="0" applyFont="1" applyBorder="1" applyAlignment="1">
      <alignment horizontal="center" wrapText="1"/>
    </xf>
  </cellXfs>
  <cellStyles count="2">
    <cellStyle name="Comma" xfId="1" builtinId="3"/>
    <cellStyle name="Normal" xfId="0" builtinId="0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9.png"/><Relationship Id="rId4" Type="http://schemas.openxmlformats.org/officeDocument/2006/relationships/image" Target="../media/image4.svg"/><Relationship Id="rId9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83892" y="1560100"/>
          <a:ext cx="1756309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71273" y="1560100"/>
          <a:ext cx="1756243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758588" y="1560100"/>
          <a:ext cx="1766492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1460" y="184814"/>
          <a:ext cx="1178237" cy="18749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809050" y="1803400"/>
          <a:ext cx="1537815" cy="212957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4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5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6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62942" y="2578982"/>
          <a:ext cx="1544870" cy="135399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751924" y="1802816"/>
          <a:ext cx="1551220" cy="213016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pSpPr/>
      </xdr:nvGrpSpPr>
      <xdr:grpSpPr>
        <a:xfrm>
          <a:off x="1343719" y="1794504"/>
          <a:ext cx="588458" cy="63739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4293688" y="1280883"/>
          <a:ext cx="800826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2266405" y="1280883"/>
          <a:ext cx="813163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215660</xdr:colOff>
      <xdr:row>31</xdr:row>
      <xdr:rowOff>122208</xdr:rowOff>
    </xdr:from>
    <xdr:to>
      <xdr:col>10</xdr:col>
      <xdr:colOff>402565</xdr:colOff>
      <xdr:row>35</xdr:row>
      <xdr:rowOff>2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l="7959" t="11172" r="14329" b="5667"/>
        <a:stretch/>
      </xdr:blipFill>
      <xdr:spPr>
        <a:xfrm>
          <a:off x="2356880" y="5349528"/>
          <a:ext cx="2381465" cy="4873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4781\Santander%20Office%20365\BS%20Implementa&#231;&#227;o%20Templates%20Locais%20-%20Implementa&#231;&#227;o%20Templates%20Locais\03.%20Templates\08.%20STE\02.%20STE2\04.%20Entreg&#225;veis\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ções"/>
      <sheetName val="Menu"/>
      <sheetName val="Input"/>
      <sheetName val="2.CC Trans-BB.RE collateral"/>
    </sheetNames>
    <sheetDataSet>
      <sheetData sheetId="0"/>
      <sheetData sheetId="1"/>
      <sheetData sheetId="2" refreshError="1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rgb="FFFF0000"/>
  </sheetPr>
  <dimension ref="A1:V62"/>
  <sheetViews>
    <sheetView showGridLines="0" zoomScaleNormal="100" workbookViewId="0">
      <pane ySplit="4" topLeftCell="A5" activePane="bottomLeft" state="frozen"/>
      <selection pane="bottomLeft"/>
    </sheetView>
  </sheetViews>
  <sheetFormatPr defaultColWidth="0" defaultRowHeight="14.65" customHeight="1" zeroHeight="1" x14ac:dyDescent="0.25"/>
  <cols>
    <col min="1" max="2" width="3.7109375" customWidth="1"/>
    <col min="3" max="4" width="7.7109375" customWidth="1"/>
    <col min="5" max="5" width="0.42578125" customWidth="1"/>
    <col min="6" max="6" width="7.7109375" customWidth="1"/>
    <col min="7" max="7" width="0.42578125" customWidth="1"/>
    <col min="8" max="20" width="10.7109375" customWidth="1"/>
    <col min="21" max="21" width="8.7109375" customWidth="1"/>
    <col min="22" max="22" width="3.7109375" customWidth="1"/>
  </cols>
  <sheetData>
    <row r="1" spans="1:22" ht="15" x14ac:dyDescent="0.2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</row>
    <row r="2" spans="1:22" ht="15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</row>
    <row r="3" spans="1:22" ht="15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</row>
    <row r="4" spans="1:22" ht="15.75" thickBot="1" x14ac:dyDescent="0.3">
      <c r="A4" s="5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4"/>
    </row>
    <row r="5" spans="1:22" s="9" customFormat="1" ht="15.75" thickTop="1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</row>
    <row r="6" spans="1:22" ht="15" customHeight="1" x14ac:dyDescent="0.25">
      <c r="A6" s="7"/>
      <c r="B6" s="16" t="s">
        <v>116</v>
      </c>
      <c r="C6" s="17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7"/>
    </row>
    <row r="7" spans="1:22" ht="7.9" customHeight="1" x14ac:dyDescent="0.25">
      <c r="A7" s="7"/>
      <c r="B7" s="10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</row>
    <row r="8" spans="1:22" s="9" customFormat="1" ht="15" x14ac:dyDescent="0.2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</row>
    <row r="9" spans="1:22" ht="15" x14ac:dyDescent="0.25"/>
    <row r="10" spans="1:22" ht="15" x14ac:dyDescent="0.25"/>
    <row r="11" spans="1:22" ht="15" x14ac:dyDescent="0.25"/>
    <row r="12" spans="1:22" ht="15" x14ac:dyDescent="0.25"/>
    <row r="13" spans="1:22" ht="15" x14ac:dyDescent="0.25"/>
    <row r="14" spans="1:22" ht="15" x14ac:dyDescent="0.25"/>
    <row r="15" spans="1:22" ht="15" x14ac:dyDescent="0.25"/>
    <row r="16" spans="1:22" ht="15" x14ac:dyDescent="0.25"/>
    <row r="17" spans="2:20" ht="15" x14ac:dyDescent="0.25"/>
    <row r="18" spans="2:20" ht="15" x14ac:dyDescent="0.25"/>
    <row r="19" spans="2:20" ht="15" x14ac:dyDescent="0.25"/>
    <row r="20" spans="2:20" ht="15" x14ac:dyDescent="0.25"/>
    <row r="21" spans="2:20" ht="15" x14ac:dyDescent="0.25"/>
    <row r="22" spans="2:20" ht="15" x14ac:dyDescent="0.25"/>
    <row r="23" spans="2:20" ht="15" x14ac:dyDescent="0.25"/>
    <row r="24" spans="2:20" ht="13.15" customHeight="1" x14ac:dyDescent="0.25">
      <c r="B24" s="90" t="s">
        <v>30</v>
      </c>
      <c r="C24" s="90"/>
      <c r="D24" s="90"/>
      <c r="E24" s="11"/>
      <c r="F24" s="91" t="s">
        <v>118</v>
      </c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12"/>
      <c r="R24" s="12"/>
      <c r="S24" s="12"/>
      <c r="T24" s="12"/>
    </row>
    <row r="25" spans="2:20" ht="13.15" customHeight="1" x14ac:dyDescent="0.25">
      <c r="B25" s="90"/>
      <c r="C25" s="90"/>
      <c r="D25" s="90"/>
      <c r="E25" s="1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12"/>
      <c r="R25" s="12"/>
      <c r="S25" s="12"/>
      <c r="T25" s="12"/>
    </row>
    <row r="26" spans="2:20" ht="7.9" customHeight="1" x14ac:dyDescent="0.25"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</row>
    <row r="27" spans="2:20" ht="12" customHeight="1" x14ac:dyDescent="0.25">
      <c r="B27" s="13"/>
      <c r="C27" s="88" t="s">
        <v>31</v>
      </c>
      <c r="D27" s="88"/>
      <c r="E27" s="88"/>
      <c r="F27" s="88"/>
      <c r="G27" s="11"/>
      <c r="H27" s="89" t="s">
        <v>114</v>
      </c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</row>
    <row r="28" spans="2:20" ht="12" customHeight="1" x14ac:dyDescent="0.25">
      <c r="B28" s="13"/>
      <c r="C28" s="88"/>
      <c r="D28" s="88"/>
      <c r="E28" s="88"/>
      <c r="F28" s="88"/>
      <c r="G28" s="11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</row>
    <row r="29" spans="2:20" ht="3" customHeight="1" x14ac:dyDescent="0.25">
      <c r="B29" s="13"/>
      <c r="C29" s="14"/>
      <c r="D29" s="14"/>
      <c r="E29" s="14"/>
      <c r="F29" s="14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</row>
    <row r="30" spans="2:20" ht="12" customHeight="1" x14ac:dyDescent="0.25">
      <c r="B30" s="13"/>
      <c r="C30" s="88" t="s">
        <v>32</v>
      </c>
      <c r="D30" s="88"/>
      <c r="E30" s="88"/>
      <c r="F30" s="88"/>
      <c r="G30" s="11"/>
      <c r="H30" s="15" t="s">
        <v>50</v>
      </c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</row>
    <row r="31" spans="2:20" ht="12" customHeight="1" x14ac:dyDescent="0.25">
      <c r="B31" s="13"/>
      <c r="C31" s="88"/>
      <c r="D31" s="88"/>
      <c r="E31" s="88"/>
      <c r="F31" s="88"/>
      <c r="G31" s="11"/>
      <c r="H31" s="15" t="s">
        <v>33</v>
      </c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</row>
    <row r="32" spans="2:20" ht="12" customHeight="1" x14ac:dyDescent="0.25">
      <c r="B32" s="13"/>
      <c r="C32" s="88"/>
      <c r="D32" s="88"/>
      <c r="E32" s="88"/>
      <c r="F32" s="88"/>
      <c r="G32" s="11"/>
      <c r="H32" s="15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</row>
    <row r="33" spans="2:20" ht="12" customHeight="1" x14ac:dyDescent="0.25">
      <c r="B33" s="13"/>
      <c r="C33" s="88"/>
      <c r="D33" s="88"/>
      <c r="E33" s="88"/>
      <c r="F33" s="88"/>
      <c r="G33" s="11"/>
      <c r="H33" s="15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</row>
    <row r="34" spans="2:20" ht="12" customHeight="1" x14ac:dyDescent="0.25">
      <c r="B34" s="13"/>
      <c r="C34" s="88"/>
      <c r="D34" s="88"/>
      <c r="E34" s="88"/>
      <c r="F34" s="88"/>
      <c r="G34" s="11"/>
      <c r="H34" s="15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</row>
    <row r="35" spans="2:20" ht="12" customHeight="1" x14ac:dyDescent="0.25">
      <c r="B35" s="13"/>
      <c r="C35" s="88"/>
      <c r="D35" s="88"/>
      <c r="E35" s="88"/>
      <c r="F35" s="88"/>
      <c r="G35" s="11"/>
      <c r="H35" s="15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</row>
    <row r="36" spans="2:20" ht="12" customHeight="1" x14ac:dyDescent="0.25">
      <c r="B36" s="13"/>
      <c r="C36" s="88"/>
      <c r="D36" s="88"/>
      <c r="E36" s="88"/>
      <c r="F36" s="88"/>
      <c r="G36" s="11"/>
      <c r="H36" s="15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</row>
    <row r="37" spans="2:20" ht="3" customHeight="1" x14ac:dyDescent="0.25"/>
    <row r="38" spans="2:20" ht="12" customHeight="1" x14ac:dyDescent="0.25">
      <c r="B38" s="13"/>
      <c r="C38" s="88" t="s">
        <v>34</v>
      </c>
      <c r="D38" s="88"/>
      <c r="E38" s="88"/>
      <c r="F38" s="88"/>
      <c r="G38" s="11"/>
      <c r="H38" s="15" t="s">
        <v>35</v>
      </c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</row>
    <row r="39" spans="2:20" ht="12" customHeight="1" x14ac:dyDescent="0.25">
      <c r="B39" s="13"/>
      <c r="C39" s="88"/>
      <c r="D39" s="88"/>
      <c r="E39" s="88"/>
      <c r="F39" s="88"/>
      <c r="G39" s="11"/>
      <c r="H39" s="15" t="s">
        <v>36</v>
      </c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</row>
    <row r="40" spans="2:20" ht="3" customHeight="1" x14ac:dyDescent="0.25"/>
    <row r="41" spans="2:20" ht="12" customHeight="1" x14ac:dyDescent="0.25">
      <c r="B41" s="13"/>
      <c r="C41" s="88" t="s">
        <v>37</v>
      </c>
      <c r="D41" s="88"/>
      <c r="E41" s="88"/>
      <c r="F41" s="88"/>
      <c r="G41" s="11"/>
      <c r="H41" s="15" t="s">
        <v>38</v>
      </c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</row>
    <row r="42" spans="2:20" ht="12" customHeight="1" x14ac:dyDescent="0.25">
      <c r="B42" s="13"/>
      <c r="C42" s="88"/>
      <c r="D42" s="88"/>
      <c r="E42" s="88"/>
      <c r="F42" s="88"/>
      <c r="G42" s="11"/>
      <c r="H42" s="15" t="s">
        <v>39</v>
      </c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</row>
    <row r="43" spans="2:20" ht="10.15" customHeight="1" x14ac:dyDescent="0.25"/>
    <row r="44" spans="2:20" ht="13.15" customHeight="1" x14ac:dyDescent="0.25">
      <c r="B44" s="90" t="s">
        <v>40</v>
      </c>
      <c r="C44" s="90"/>
      <c r="D44" s="90"/>
      <c r="E44" s="11"/>
      <c r="F44" s="91" t="s">
        <v>47</v>
      </c>
      <c r="G44" s="91"/>
      <c r="H44" s="91"/>
      <c r="I44" s="91"/>
      <c r="J44" s="91"/>
      <c r="K44" s="91"/>
      <c r="L44" s="91"/>
      <c r="M44" s="91"/>
      <c r="N44" s="91"/>
      <c r="O44" s="91"/>
      <c r="P44" s="91"/>
      <c r="Q44" s="12"/>
      <c r="R44" s="12"/>
      <c r="S44" s="12"/>
      <c r="T44" s="12"/>
    </row>
    <row r="45" spans="2:20" ht="13.15" customHeight="1" x14ac:dyDescent="0.25">
      <c r="B45" s="90"/>
      <c r="C45" s="90"/>
      <c r="D45" s="90"/>
      <c r="E45" s="11"/>
      <c r="F45" s="91"/>
      <c r="G45" s="91"/>
      <c r="H45" s="91"/>
      <c r="I45" s="91"/>
      <c r="J45" s="91"/>
      <c r="K45" s="91"/>
      <c r="L45" s="91"/>
      <c r="M45" s="91"/>
      <c r="N45" s="91"/>
      <c r="O45" s="91"/>
      <c r="P45" s="91"/>
      <c r="Q45" s="12"/>
      <c r="R45" s="12"/>
      <c r="S45" s="12"/>
      <c r="T45" s="12"/>
    </row>
    <row r="46" spans="2:20" ht="7.9" customHeight="1" x14ac:dyDescent="0.25"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</row>
    <row r="47" spans="2:20" ht="12" customHeight="1" x14ac:dyDescent="0.25">
      <c r="B47" s="13"/>
      <c r="C47" s="88" t="s">
        <v>41</v>
      </c>
      <c r="D47" s="88"/>
      <c r="E47" s="88"/>
      <c r="F47" s="88"/>
      <c r="G47" s="11"/>
      <c r="H47" s="89" t="s">
        <v>42</v>
      </c>
      <c r="I47" s="89"/>
      <c r="J47" s="89"/>
      <c r="K47" s="89"/>
      <c r="L47" s="89"/>
      <c r="M47" s="89"/>
      <c r="N47" s="89"/>
      <c r="O47" s="89"/>
      <c r="P47" s="89"/>
      <c r="Q47" s="89"/>
      <c r="R47" s="89"/>
      <c r="S47" s="89"/>
      <c r="T47" s="89"/>
    </row>
    <row r="48" spans="2:20" ht="12" customHeight="1" x14ac:dyDescent="0.25">
      <c r="B48" s="13"/>
      <c r="C48" s="88"/>
      <c r="D48" s="88"/>
      <c r="E48" s="88"/>
      <c r="F48" s="88"/>
      <c r="G48" s="11"/>
      <c r="H48" s="89"/>
      <c r="I48" s="89"/>
      <c r="J48" s="89"/>
      <c r="K48" s="89"/>
      <c r="L48" s="89"/>
      <c r="M48" s="89"/>
      <c r="N48" s="89"/>
      <c r="O48" s="89"/>
      <c r="P48" s="89"/>
      <c r="Q48" s="89"/>
      <c r="R48" s="89"/>
      <c r="S48" s="89"/>
      <c r="T48" s="89"/>
    </row>
    <row r="49" spans="2:20" ht="3" customHeight="1" x14ac:dyDescent="0.25"/>
    <row r="50" spans="2:20" ht="12" customHeight="1" x14ac:dyDescent="0.25">
      <c r="B50" s="13"/>
      <c r="C50" s="88" t="s">
        <v>43</v>
      </c>
      <c r="D50" s="88"/>
      <c r="E50" s="88"/>
      <c r="F50" s="88"/>
      <c r="G50" s="11"/>
      <c r="H50" s="89" t="s">
        <v>48</v>
      </c>
      <c r="I50" s="89"/>
      <c r="J50" s="89"/>
      <c r="K50" s="89"/>
      <c r="L50" s="89"/>
      <c r="M50" s="89"/>
      <c r="N50" s="89"/>
      <c r="O50" s="89"/>
      <c r="P50" s="89"/>
      <c r="Q50" s="89"/>
      <c r="R50" s="89"/>
      <c r="S50" s="89"/>
      <c r="T50" s="89"/>
    </row>
    <row r="51" spans="2:20" ht="12" customHeight="1" x14ac:dyDescent="0.25">
      <c r="B51" s="13"/>
      <c r="C51" s="88"/>
      <c r="D51" s="88"/>
      <c r="E51" s="88"/>
      <c r="F51" s="88"/>
      <c r="G51" s="11"/>
      <c r="H51" s="89"/>
      <c r="I51" s="89"/>
      <c r="J51" s="89"/>
      <c r="K51" s="89"/>
      <c r="L51" s="89"/>
      <c r="M51" s="89"/>
      <c r="N51" s="89"/>
      <c r="O51" s="89"/>
      <c r="P51" s="89"/>
      <c r="Q51" s="89"/>
      <c r="R51" s="89"/>
      <c r="S51" s="89"/>
      <c r="T51" s="89"/>
    </row>
    <row r="52" spans="2:20" ht="3" customHeight="1" x14ac:dyDescent="0.25"/>
    <row r="53" spans="2:20" ht="12" customHeight="1" x14ac:dyDescent="0.25">
      <c r="B53" s="13"/>
      <c r="C53" s="88" t="s">
        <v>44</v>
      </c>
      <c r="D53" s="88"/>
      <c r="E53" s="88"/>
      <c r="F53" s="88"/>
      <c r="G53" s="11"/>
      <c r="H53" s="89" t="s">
        <v>49</v>
      </c>
      <c r="I53" s="89"/>
      <c r="J53" s="89"/>
      <c r="K53" s="89"/>
      <c r="L53" s="89"/>
      <c r="M53" s="89"/>
      <c r="N53" s="89"/>
      <c r="O53" s="89"/>
      <c r="P53" s="89"/>
      <c r="Q53" s="89"/>
      <c r="R53" s="89"/>
      <c r="S53" s="89"/>
      <c r="T53" s="89"/>
    </row>
    <row r="54" spans="2:20" ht="12" customHeight="1" x14ac:dyDescent="0.25">
      <c r="B54" s="13"/>
      <c r="C54" s="88"/>
      <c r="D54" s="88"/>
      <c r="E54" s="88"/>
      <c r="F54" s="88"/>
      <c r="G54" s="11"/>
      <c r="H54" s="89"/>
      <c r="I54" s="89"/>
      <c r="J54" s="89"/>
      <c r="K54" s="89"/>
      <c r="L54" s="89"/>
      <c r="M54" s="89"/>
      <c r="N54" s="89"/>
      <c r="O54" s="89"/>
      <c r="P54" s="89"/>
      <c r="Q54" s="89"/>
      <c r="R54" s="89"/>
      <c r="S54" s="89"/>
      <c r="T54" s="89"/>
    </row>
    <row r="55" spans="2:20" ht="3" customHeight="1" x14ac:dyDescent="0.25"/>
    <row r="56" spans="2:20" ht="12" customHeight="1" x14ac:dyDescent="0.25">
      <c r="B56" s="13"/>
      <c r="C56" s="88" t="s">
        <v>45</v>
      </c>
      <c r="D56" s="88"/>
      <c r="E56" s="88"/>
      <c r="F56" s="88"/>
      <c r="G56" s="11"/>
      <c r="H56" s="89" t="s">
        <v>115</v>
      </c>
      <c r="I56" s="89"/>
      <c r="J56" s="89"/>
      <c r="K56" s="89"/>
      <c r="L56" s="89"/>
      <c r="M56" s="89"/>
      <c r="N56" s="89"/>
      <c r="O56" s="89"/>
      <c r="P56" s="89"/>
      <c r="Q56" s="89"/>
      <c r="R56" s="89"/>
      <c r="S56" s="89"/>
      <c r="T56" s="89"/>
    </row>
    <row r="57" spans="2:20" ht="12" customHeight="1" x14ac:dyDescent="0.25">
      <c r="B57" s="13"/>
      <c r="C57" s="88"/>
      <c r="D57" s="88"/>
      <c r="E57" s="88"/>
      <c r="F57" s="88"/>
      <c r="G57" s="11"/>
      <c r="H57" s="89"/>
      <c r="I57" s="89"/>
      <c r="J57" s="89"/>
      <c r="K57" s="89"/>
      <c r="L57" s="89"/>
      <c r="M57" s="89"/>
      <c r="N57" s="89"/>
      <c r="O57" s="89"/>
      <c r="P57" s="89"/>
      <c r="Q57" s="89"/>
      <c r="R57" s="89"/>
      <c r="S57" s="89"/>
      <c r="T57" s="89"/>
    </row>
    <row r="58" spans="2:20" ht="10.15" customHeight="1" x14ac:dyDescent="0.25"/>
    <row r="59" spans="2:20" ht="13.15" customHeight="1" x14ac:dyDescent="0.25">
      <c r="B59" s="90" t="s">
        <v>46</v>
      </c>
      <c r="C59" s="90"/>
      <c r="D59" s="90"/>
      <c r="E59" s="11"/>
      <c r="F59" s="91" t="s">
        <v>117</v>
      </c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12"/>
      <c r="R59" s="12"/>
      <c r="S59" s="12"/>
      <c r="T59" s="12"/>
    </row>
    <row r="60" spans="2:20" ht="13.15" customHeight="1" x14ac:dyDescent="0.25">
      <c r="B60" s="90"/>
      <c r="C60" s="90"/>
      <c r="D60" s="90"/>
      <c r="E60" s="11"/>
      <c r="F60" s="91"/>
      <c r="G60" s="91"/>
      <c r="H60" s="91"/>
      <c r="I60" s="91"/>
      <c r="J60" s="91"/>
      <c r="K60" s="91"/>
      <c r="L60" s="91"/>
      <c r="M60" s="91"/>
      <c r="N60" s="91"/>
      <c r="O60" s="91"/>
      <c r="P60" s="91"/>
      <c r="Q60" s="12"/>
      <c r="R60" s="12"/>
      <c r="S60" s="12"/>
      <c r="T60" s="12"/>
    </row>
    <row r="61" spans="2:20" ht="15" x14ac:dyDescent="0.25"/>
    <row r="62" spans="2:20" ht="15" hidden="1" x14ac:dyDescent="0.25"/>
  </sheetData>
  <mergeCells count="19">
    <mergeCell ref="C50:F51"/>
    <mergeCell ref="H50:T51"/>
    <mergeCell ref="B24:D25"/>
    <mergeCell ref="F24:P25"/>
    <mergeCell ref="C27:F28"/>
    <mergeCell ref="H27:T28"/>
    <mergeCell ref="C30:F36"/>
    <mergeCell ref="C38:F39"/>
    <mergeCell ref="C41:F42"/>
    <mergeCell ref="B44:D45"/>
    <mergeCell ref="F44:P45"/>
    <mergeCell ref="C47:F48"/>
    <mergeCell ref="H47:T48"/>
    <mergeCell ref="C53:F54"/>
    <mergeCell ref="H53:T54"/>
    <mergeCell ref="C56:F57"/>
    <mergeCell ref="H56:T57"/>
    <mergeCell ref="B59:D60"/>
    <mergeCell ref="F59:P60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C0209350-B843-499C-BC7C-7FB9AD441E03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602BFD7C-F239-41A4-B6FA-561E53E8939F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F1BD5FEB-F539-4ED8-ADC9-6981A3CCFACA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708E062F-7094-45F2-AA7D-8D849D81D4FB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691D70C8-CE12-4E9A-8A77-8217C62B8FB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9CF1407D-1B6C-4FA4-BDF1-EF92C390F0C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EBEE7D98-7351-4C3F-9716-8CB17C67F8C0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0A9BA219-47C5-431F-85EF-3141DAB69D92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D4A26559-7929-44D1-8E4A-219BB3EA43DE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8017AC2E-6561-4331-A26A-C71EE2D1D24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3185A576-D60A-4D79-AF14-2E410234CE1F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5C43E1A4-5830-4D1F-9745-C29D787878A4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A4DFE218-8B3A-4CF2-8E79-9D96C9C5B9E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7D3D4EB5-8491-49EF-8E01-A1F4C08119D9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rgb="FFFF0000"/>
  </sheetPr>
  <dimension ref="A1:M27"/>
  <sheetViews>
    <sheetView showGridLines="0" zoomScale="150" zoomScaleNormal="150" workbookViewId="0">
      <pane ySplit="4" topLeftCell="A5" activePane="bottomLeft" state="frozen"/>
      <selection activeCell="L2" sqref="L2"/>
      <selection pane="bottomLeft" activeCell="E17" sqref="E17"/>
    </sheetView>
  </sheetViews>
  <sheetFormatPr defaultColWidth="0" defaultRowHeight="0" customHeight="1" zeroHeight="1" x14ac:dyDescent="0.25"/>
  <cols>
    <col min="1" max="2" width="3.7109375" style="27" customWidth="1"/>
    <col min="3" max="4" width="10.7109375" style="27" customWidth="1"/>
    <col min="5" max="5" width="5.7109375" style="27" customWidth="1"/>
    <col min="6" max="6" width="10.7109375" style="27" customWidth="1"/>
    <col min="7" max="7" width="8.7109375" style="27" customWidth="1"/>
    <col min="8" max="8" width="3.7109375" style="27" customWidth="1"/>
    <col min="9" max="13" width="10.7109375" style="27" hidden="1" customWidth="1"/>
    <col min="14" max="16384" width="8.7109375" style="27" hidden="1"/>
  </cols>
  <sheetData>
    <row r="1" spans="1:8" s="20" customFormat="1" ht="15" x14ac:dyDescent="0.25"/>
    <row r="2" spans="1:8" s="20" customFormat="1" ht="4.9000000000000004" customHeight="1" x14ac:dyDescent="0.25"/>
    <row r="3" spans="1:8" s="20" customFormat="1" ht="15" x14ac:dyDescent="0.25"/>
    <row r="4" spans="1:8" s="20" customFormat="1" ht="4.9000000000000004" customHeight="1" thickBot="1" x14ac:dyDescent="0.3">
      <c r="A4" s="21"/>
      <c r="B4" s="22"/>
      <c r="C4" s="22"/>
      <c r="D4" s="22"/>
      <c r="E4" s="22"/>
      <c r="F4" s="22"/>
      <c r="G4" s="22"/>
    </row>
    <row r="5" spans="1:8" s="20" customFormat="1" ht="7.9" customHeight="1" thickTop="1" x14ac:dyDescent="0.25">
      <c r="A5" s="23"/>
      <c r="B5" s="23"/>
      <c r="C5" s="23"/>
      <c r="D5" s="23"/>
      <c r="E5" s="23"/>
      <c r="F5" s="23"/>
      <c r="G5" s="23"/>
      <c r="H5" s="23"/>
    </row>
    <row r="6" spans="1:8" s="28" customFormat="1" ht="15" x14ac:dyDescent="0.25">
      <c r="A6" s="24"/>
      <c r="B6" s="25" t="s">
        <v>26</v>
      </c>
      <c r="C6" s="26"/>
      <c r="D6" s="26"/>
      <c r="E6" s="26"/>
      <c r="F6" s="26"/>
      <c r="G6" s="26"/>
      <c r="H6" s="27"/>
    </row>
    <row r="7" spans="1:8" s="28" customFormat="1" ht="4.1500000000000004" customHeight="1" x14ac:dyDescent="0.25">
      <c r="A7" s="24"/>
      <c r="B7" s="29"/>
      <c r="C7" s="24"/>
      <c r="D7" s="24"/>
      <c r="E7" s="24"/>
      <c r="F7" s="24"/>
      <c r="G7" s="24"/>
      <c r="H7" s="27"/>
    </row>
    <row r="8" spans="1:8" s="28" customFormat="1" ht="7.9" customHeight="1" x14ac:dyDescent="0.25">
      <c r="A8" s="24"/>
      <c r="B8" s="30"/>
      <c r="C8" s="31"/>
      <c r="D8" s="31"/>
      <c r="E8" s="31"/>
      <c r="F8" s="31"/>
      <c r="G8" s="32"/>
      <c r="H8" s="27"/>
    </row>
    <row r="9" spans="1:8" s="28" customFormat="1" ht="15" x14ac:dyDescent="0.25">
      <c r="A9" s="27"/>
      <c r="B9" s="33"/>
      <c r="C9" s="34" t="s">
        <v>27</v>
      </c>
      <c r="D9" s="34"/>
      <c r="E9" s="35"/>
      <c r="F9" s="36">
        <v>45838</v>
      </c>
      <c r="G9" s="37"/>
      <c r="H9" s="27"/>
    </row>
    <row r="10" spans="1:8" s="28" customFormat="1" ht="7.9" customHeight="1" x14ac:dyDescent="0.25">
      <c r="A10" s="27"/>
      <c r="B10" s="33"/>
      <c r="C10" s="38"/>
      <c r="D10" s="38"/>
      <c r="E10" s="4"/>
      <c r="F10" s="19" t="str">
        <f>YEAR(F9)&amp;"-"&amp;TEXT(MONTH(F9),"00")&amp;"-"&amp;TEXT(DAY(F9),"00")</f>
        <v>2025-06-30</v>
      </c>
      <c r="G10" s="43"/>
      <c r="H10" s="27"/>
    </row>
    <row r="11" spans="1:8" s="28" customFormat="1" ht="7.9" customHeight="1" x14ac:dyDescent="0.25">
      <c r="A11" s="27"/>
      <c r="B11" s="33"/>
      <c r="C11" s="20"/>
      <c r="D11" s="20"/>
      <c r="E11" s="20"/>
      <c r="F11" s="20"/>
      <c r="G11" s="37"/>
      <c r="H11" s="27"/>
    </row>
    <row r="12" spans="1:8" s="28" customFormat="1" ht="15" x14ac:dyDescent="0.25">
      <c r="A12" s="27"/>
      <c r="B12" s="33"/>
      <c r="C12" s="34" t="s">
        <v>28</v>
      </c>
      <c r="D12" s="34"/>
      <c r="E12" s="35"/>
      <c r="F12" s="35"/>
      <c r="G12" s="37"/>
      <c r="H12" s="27"/>
    </row>
    <row r="13" spans="1:8" s="28" customFormat="1" ht="7.9" customHeight="1" x14ac:dyDescent="0.25">
      <c r="A13" s="27"/>
      <c r="B13" s="33"/>
      <c r="C13" s="20"/>
      <c r="D13" s="20"/>
      <c r="E13" s="20"/>
      <c r="F13" s="20"/>
      <c r="G13" s="37"/>
      <c r="H13" s="27"/>
    </row>
    <row r="14" spans="1:8" s="28" customFormat="1" ht="7.9" customHeight="1" x14ac:dyDescent="0.25">
      <c r="A14" s="27"/>
      <c r="B14" s="33"/>
      <c r="C14" s="20"/>
      <c r="D14" s="20"/>
      <c r="E14" s="20"/>
      <c r="F14" s="20"/>
      <c r="G14" s="37"/>
      <c r="H14" s="27"/>
    </row>
    <row r="15" spans="1:8" s="28" customFormat="1" ht="15" x14ac:dyDescent="0.25">
      <c r="A15" s="27"/>
      <c r="B15" s="33"/>
      <c r="C15" s="34" t="s">
        <v>29</v>
      </c>
      <c r="D15" s="34"/>
      <c r="E15" s="35"/>
      <c r="F15" s="35"/>
      <c r="G15" s="37"/>
      <c r="H15" s="27"/>
    </row>
    <row r="16" spans="1:8" s="28" customFormat="1" ht="7.9" customHeight="1" x14ac:dyDescent="0.25">
      <c r="A16" s="27"/>
      <c r="B16" s="33"/>
      <c r="C16" s="20"/>
      <c r="D16" s="20"/>
      <c r="E16" s="20"/>
      <c r="F16" s="20"/>
      <c r="G16" s="37"/>
      <c r="H16" s="27"/>
    </row>
    <row r="17" spans="1:8" s="28" customFormat="1" ht="7.9" customHeight="1" x14ac:dyDescent="0.25">
      <c r="A17" s="27"/>
      <c r="B17" s="39"/>
      <c r="C17" s="40"/>
      <c r="D17" s="40"/>
      <c r="E17" s="40"/>
      <c r="F17" s="40"/>
      <c r="G17" s="41"/>
      <c r="H17" s="27"/>
    </row>
    <row r="18" spans="1:8" s="28" customFormat="1" ht="15" x14ac:dyDescent="0.25">
      <c r="A18" s="27"/>
      <c r="B18" s="27"/>
      <c r="C18" s="27"/>
      <c r="D18" s="27"/>
      <c r="E18" s="27"/>
      <c r="F18" s="27"/>
      <c r="G18" s="27"/>
      <c r="H18" s="27"/>
    </row>
    <row r="19" spans="1:8" ht="15" hidden="1" x14ac:dyDescent="0.25"/>
    <row r="20" spans="1:8" ht="15" hidden="1" x14ac:dyDescent="0.25"/>
    <row r="21" spans="1:8" ht="15" hidden="1" x14ac:dyDescent="0.25"/>
    <row r="22" spans="1:8" ht="15" hidden="1" x14ac:dyDescent="0.25">
      <c r="F22" s="42"/>
      <c r="G22" s="42"/>
    </row>
    <row r="23" spans="1:8" ht="15" hidden="1" x14ac:dyDescent="0.25"/>
    <row r="24" spans="1:8" ht="15" hidden="1" x14ac:dyDescent="0.25"/>
    <row r="25" spans="1:8" ht="15" hidden="1" x14ac:dyDescent="0.25"/>
    <row r="26" spans="1:8" ht="15" hidden="1" x14ac:dyDescent="0.25"/>
    <row r="27" spans="1:8" ht="15" hidden="1" x14ac:dyDescent="0.25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 filterMode="1"/>
  <dimension ref="A1:O5335"/>
  <sheetViews>
    <sheetView showGridLines="0" topLeftCell="B1" workbookViewId="0">
      <pane ySplit="4" topLeftCell="A4132" activePane="bottomLeft" state="frozen"/>
      <selection pane="bottomLeft" activeCell="L15" sqref="L15:L5239"/>
    </sheetView>
  </sheetViews>
  <sheetFormatPr defaultColWidth="0" defaultRowHeight="15" zeroHeight="1" x14ac:dyDescent="0.25"/>
  <cols>
    <col min="1" max="2" width="3.7109375" customWidth="1"/>
    <col min="3" max="3" width="16" customWidth="1"/>
    <col min="4" max="4" width="10.5703125" customWidth="1"/>
    <col min="5" max="5" width="10.28515625" customWidth="1"/>
    <col min="6" max="12" width="14.7109375" customWidth="1"/>
    <col min="13" max="13" width="15.85546875" bestFit="1" customWidth="1"/>
    <col min="14" max="15" width="3.7109375" customWidth="1"/>
    <col min="16" max="16384" width="8.7109375" hidden="1"/>
  </cols>
  <sheetData>
    <row r="1" spans="1:15" x14ac:dyDescent="0.2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</row>
    <row r="2" spans="1:15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5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5" ht="15.75" thickBot="1" x14ac:dyDescent="0.3">
      <c r="A4" s="5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4"/>
    </row>
    <row r="5" spans="1:15" ht="15.75" thickTop="1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</row>
    <row r="6" spans="1:15" x14ac:dyDescent="0.25">
      <c r="A6" s="7"/>
      <c r="B6" s="7"/>
      <c r="C6" s="85" t="s">
        <v>51</v>
      </c>
      <c r="D6" s="86" t="s">
        <v>52</v>
      </c>
      <c r="E6" s="86" t="s">
        <v>53</v>
      </c>
      <c r="F6" s="86" t="s">
        <v>21</v>
      </c>
      <c r="G6" s="86" t="s">
        <v>54</v>
      </c>
      <c r="H6" s="86" t="s">
        <v>55</v>
      </c>
      <c r="I6" s="86" t="s">
        <v>56</v>
      </c>
      <c r="J6" s="86" t="s">
        <v>57</v>
      </c>
      <c r="K6" s="86" t="s">
        <v>58</v>
      </c>
      <c r="L6" s="86" t="s">
        <v>22</v>
      </c>
      <c r="M6" s="87" t="s">
        <v>59</v>
      </c>
      <c r="N6" s="7"/>
    </row>
    <row r="7" spans="1:15" hidden="1" x14ac:dyDescent="0.25">
      <c r="C7" t="s">
        <v>119</v>
      </c>
      <c r="D7" t="s">
        <v>120</v>
      </c>
      <c r="E7" t="s">
        <v>60</v>
      </c>
      <c r="F7" t="s">
        <v>24</v>
      </c>
      <c r="G7">
        <v>0</v>
      </c>
      <c r="H7" t="s">
        <v>73</v>
      </c>
      <c r="I7" t="s">
        <v>121</v>
      </c>
      <c r="J7" t="s">
        <v>122</v>
      </c>
      <c r="K7">
        <v>0</v>
      </c>
      <c r="L7" s="84">
        <v>-4</v>
      </c>
      <c r="M7" s="84">
        <v>0</v>
      </c>
    </row>
    <row r="8" spans="1:15" hidden="1" x14ac:dyDescent="0.25">
      <c r="C8" t="s">
        <v>119</v>
      </c>
      <c r="D8" t="s">
        <v>120</v>
      </c>
      <c r="E8" t="s">
        <v>63</v>
      </c>
      <c r="F8" t="s">
        <v>24</v>
      </c>
      <c r="G8">
        <v>11</v>
      </c>
      <c r="H8" t="s">
        <v>17</v>
      </c>
      <c r="I8" t="s">
        <v>121</v>
      </c>
      <c r="J8" t="s">
        <v>122</v>
      </c>
      <c r="K8">
        <v>0</v>
      </c>
      <c r="L8" s="84">
        <v>1218012</v>
      </c>
      <c r="M8" s="84">
        <v>13398132</v>
      </c>
    </row>
    <row r="9" spans="1:15" hidden="1" x14ac:dyDescent="0.25">
      <c r="C9" t="s">
        <v>64</v>
      </c>
      <c r="D9" t="s">
        <v>120</v>
      </c>
      <c r="E9" t="s">
        <v>63</v>
      </c>
      <c r="F9" t="s">
        <v>24</v>
      </c>
      <c r="G9">
        <v>12</v>
      </c>
      <c r="H9" t="s">
        <v>76</v>
      </c>
      <c r="I9" t="s">
        <v>121</v>
      </c>
      <c r="J9" t="s">
        <v>122</v>
      </c>
      <c r="K9">
        <v>0</v>
      </c>
      <c r="L9" s="84">
        <v>152345</v>
      </c>
      <c r="M9" s="84">
        <v>1828140</v>
      </c>
    </row>
    <row r="10" spans="1:15" hidden="1" x14ac:dyDescent="0.25">
      <c r="C10" t="s">
        <v>64</v>
      </c>
      <c r="D10" t="s">
        <v>120</v>
      </c>
      <c r="E10" t="s">
        <v>63</v>
      </c>
      <c r="F10" t="s">
        <v>123</v>
      </c>
      <c r="G10">
        <v>1</v>
      </c>
      <c r="H10" t="s">
        <v>70</v>
      </c>
      <c r="I10" t="s">
        <v>121</v>
      </c>
      <c r="J10" t="s">
        <v>122</v>
      </c>
      <c r="K10">
        <v>0</v>
      </c>
      <c r="L10" s="84">
        <v>716366</v>
      </c>
      <c r="M10" s="84">
        <v>716366</v>
      </c>
    </row>
    <row r="11" spans="1:15" hidden="1" x14ac:dyDescent="0.25">
      <c r="C11" t="s">
        <v>65</v>
      </c>
      <c r="D11" t="s">
        <v>120</v>
      </c>
      <c r="E11" t="s">
        <v>63</v>
      </c>
      <c r="F11" t="s">
        <v>123</v>
      </c>
      <c r="G11">
        <v>3</v>
      </c>
      <c r="H11" t="s">
        <v>14</v>
      </c>
      <c r="I11" t="s">
        <v>121</v>
      </c>
      <c r="J11" t="s">
        <v>66</v>
      </c>
      <c r="K11">
        <v>1</v>
      </c>
      <c r="L11" s="84">
        <v>402634</v>
      </c>
      <c r="M11" s="84">
        <v>1207902</v>
      </c>
    </row>
    <row r="12" spans="1:15" hidden="1" x14ac:dyDescent="0.25">
      <c r="C12" t="s">
        <v>64</v>
      </c>
      <c r="D12" t="s">
        <v>120</v>
      </c>
      <c r="E12" t="s">
        <v>63</v>
      </c>
      <c r="F12" t="s">
        <v>123</v>
      </c>
      <c r="G12">
        <v>-4</v>
      </c>
      <c r="H12" t="s">
        <v>69</v>
      </c>
      <c r="I12" t="s">
        <v>121</v>
      </c>
      <c r="J12" t="s">
        <v>122</v>
      </c>
      <c r="K12">
        <v>0</v>
      </c>
      <c r="L12" s="84">
        <v>455</v>
      </c>
      <c r="M12" s="84">
        <v>0</v>
      </c>
    </row>
    <row r="13" spans="1:15" hidden="1" x14ac:dyDescent="0.25">
      <c r="C13" t="s">
        <v>64</v>
      </c>
      <c r="D13" t="s">
        <v>120</v>
      </c>
      <c r="E13" t="s">
        <v>63</v>
      </c>
      <c r="F13" t="s">
        <v>24</v>
      </c>
      <c r="G13">
        <v>6</v>
      </c>
      <c r="H13" t="s">
        <v>18</v>
      </c>
      <c r="I13" t="s">
        <v>121</v>
      </c>
      <c r="J13" t="s">
        <v>122</v>
      </c>
      <c r="K13">
        <v>0</v>
      </c>
      <c r="L13" s="84">
        <v>161177</v>
      </c>
      <c r="M13" s="84">
        <v>967062</v>
      </c>
    </row>
    <row r="14" spans="1:15" hidden="1" x14ac:dyDescent="0.25">
      <c r="C14" t="s">
        <v>119</v>
      </c>
      <c r="D14" t="s">
        <v>120</v>
      </c>
      <c r="E14" t="s">
        <v>60</v>
      </c>
      <c r="F14" t="s">
        <v>124</v>
      </c>
      <c r="G14">
        <v>-1</v>
      </c>
      <c r="H14" t="s">
        <v>70</v>
      </c>
      <c r="I14" t="s">
        <v>121</v>
      </c>
      <c r="J14" t="s">
        <v>122</v>
      </c>
      <c r="K14">
        <v>0</v>
      </c>
      <c r="L14" s="84">
        <v>-69076</v>
      </c>
      <c r="M14" s="84">
        <v>0</v>
      </c>
    </row>
    <row r="15" spans="1:15" x14ac:dyDescent="0.25">
      <c r="C15" t="s">
        <v>119</v>
      </c>
      <c r="D15" t="s">
        <v>120</v>
      </c>
      <c r="E15" t="s">
        <v>63</v>
      </c>
      <c r="F15" t="s">
        <v>25</v>
      </c>
      <c r="G15">
        <v>14</v>
      </c>
      <c r="H15" t="s">
        <v>18</v>
      </c>
      <c r="I15" t="s">
        <v>121</v>
      </c>
      <c r="J15" t="s">
        <v>66</v>
      </c>
      <c r="K15">
        <v>1</v>
      </c>
      <c r="L15" s="84">
        <v>362331</v>
      </c>
      <c r="M15" s="84">
        <v>5072634</v>
      </c>
    </row>
    <row r="16" spans="1:15" hidden="1" x14ac:dyDescent="0.25">
      <c r="C16" t="s">
        <v>64</v>
      </c>
      <c r="D16" t="s">
        <v>120</v>
      </c>
      <c r="E16" t="s">
        <v>63</v>
      </c>
      <c r="F16" t="s">
        <v>124</v>
      </c>
      <c r="G16">
        <v>4</v>
      </c>
      <c r="H16" t="s">
        <v>61</v>
      </c>
      <c r="I16" t="s">
        <v>121</v>
      </c>
      <c r="J16" t="s">
        <v>122</v>
      </c>
      <c r="K16">
        <v>0</v>
      </c>
      <c r="L16" s="84">
        <v>1215392</v>
      </c>
      <c r="M16" s="84">
        <v>4861568</v>
      </c>
    </row>
    <row r="17" spans="3:13" hidden="1" x14ac:dyDescent="0.25">
      <c r="C17" t="s">
        <v>119</v>
      </c>
      <c r="D17" t="s">
        <v>120</v>
      </c>
      <c r="E17" t="s">
        <v>60</v>
      </c>
      <c r="F17" t="s">
        <v>25</v>
      </c>
      <c r="G17">
        <v>0</v>
      </c>
      <c r="H17" t="s">
        <v>17</v>
      </c>
      <c r="I17" t="s">
        <v>121</v>
      </c>
      <c r="J17" t="s">
        <v>122</v>
      </c>
      <c r="K17">
        <v>0</v>
      </c>
      <c r="L17" s="84">
        <v>-1404</v>
      </c>
      <c r="M17" s="84">
        <v>0</v>
      </c>
    </row>
    <row r="18" spans="3:13" hidden="1" x14ac:dyDescent="0.25">
      <c r="C18" t="s">
        <v>119</v>
      </c>
      <c r="D18" t="s">
        <v>120</v>
      </c>
      <c r="E18" t="s">
        <v>60</v>
      </c>
      <c r="F18" t="s">
        <v>24</v>
      </c>
      <c r="G18">
        <v>7</v>
      </c>
      <c r="H18" t="s">
        <v>70</v>
      </c>
      <c r="I18" t="s">
        <v>121</v>
      </c>
      <c r="J18" t="s">
        <v>122</v>
      </c>
      <c r="K18">
        <v>0</v>
      </c>
      <c r="L18" s="84">
        <v>-200</v>
      </c>
      <c r="M18" s="84">
        <v>0</v>
      </c>
    </row>
    <row r="19" spans="3:13" hidden="1" x14ac:dyDescent="0.25">
      <c r="C19" t="s">
        <v>65</v>
      </c>
      <c r="D19" t="s">
        <v>125</v>
      </c>
      <c r="E19" t="s">
        <v>63</v>
      </c>
      <c r="F19" t="s">
        <v>24</v>
      </c>
      <c r="G19">
        <v>6</v>
      </c>
      <c r="I19" t="s">
        <v>121</v>
      </c>
      <c r="J19" t="s">
        <v>122</v>
      </c>
      <c r="K19">
        <v>0</v>
      </c>
      <c r="L19" s="84">
        <v>1798090</v>
      </c>
      <c r="M19" s="84">
        <v>10788540</v>
      </c>
    </row>
    <row r="20" spans="3:13" hidden="1" x14ac:dyDescent="0.25">
      <c r="C20" t="s">
        <v>119</v>
      </c>
      <c r="D20" t="s">
        <v>125</v>
      </c>
      <c r="E20" t="s">
        <v>60</v>
      </c>
      <c r="F20" t="s">
        <v>24</v>
      </c>
      <c r="G20">
        <v>44</v>
      </c>
      <c r="I20" t="s">
        <v>121</v>
      </c>
      <c r="J20" t="s">
        <v>122</v>
      </c>
      <c r="K20">
        <v>0</v>
      </c>
      <c r="L20" s="84">
        <v>-1869</v>
      </c>
      <c r="M20" s="84">
        <v>0</v>
      </c>
    </row>
    <row r="21" spans="3:13" hidden="1" x14ac:dyDescent="0.25">
      <c r="C21" t="s">
        <v>64</v>
      </c>
      <c r="D21" t="s">
        <v>120</v>
      </c>
      <c r="E21" t="s">
        <v>60</v>
      </c>
      <c r="F21" t="s">
        <v>25</v>
      </c>
      <c r="G21">
        <v>9</v>
      </c>
      <c r="H21" t="s">
        <v>75</v>
      </c>
      <c r="I21" t="s">
        <v>121</v>
      </c>
      <c r="J21" t="s">
        <v>122</v>
      </c>
      <c r="K21">
        <v>0</v>
      </c>
      <c r="L21" s="84">
        <v>-116382</v>
      </c>
      <c r="M21" s="84">
        <v>0</v>
      </c>
    </row>
    <row r="22" spans="3:13" hidden="1" x14ac:dyDescent="0.25">
      <c r="C22" t="s">
        <v>119</v>
      </c>
      <c r="D22" t="s">
        <v>125</v>
      </c>
      <c r="E22" t="s">
        <v>60</v>
      </c>
      <c r="F22" t="s">
        <v>25</v>
      </c>
      <c r="G22">
        <v>17</v>
      </c>
      <c r="I22" t="s">
        <v>121</v>
      </c>
      <c r="J22" t="s">
        <v>122</v>
      </c>
      <c r="K22">
        <v>0</v>
      </c>
      <c r="L22" s="84">
        <v>-948</v>
      </c>
      <c r="M22" s="84">
        <v>0</v>
      </c>
    </row>
    <row r="23" spans="3:13" hidden="1" x14ac:dyDescent="0.25">
      <c r="C23" t="s">
        <v>119</v>
      </c>
      <c r="D23" t="s">
        <v>126</v>
      </c>
      <c r="E23" t="s">
        <v>63</v>
      </c>
      <c r="F23" t="s">
        <v>25</v>
      </c>
      <c r="G23">
        <v>7</v>
      </c>
      <c r="H23" t="s">
        <v>69</v>
      </c>
      <c r="I23" t="s">
        <v>121</v>
      </c>
      <c r="J23" t="s">
        <v>122</v>
      </c>
      <c r="K23">
        <v>0</v>
      </c>
      <c r="L23" s="84">
        <v>2317924</v>
      </c>
      <c r="M23" s="84">
        <v>16225468</v>
      </c>
    </row>
    <row r="24" spans="3:13" hidden="1" x14ac:dyDescent="0.25">
      <c r="C24" t="s">
        <v>119</v>
      </c>
      <c r="D24" t="s">
        <v>120</v>
      </c>
      <c r="E24" t="s">
        <v>60</v>
      </c>
      <c r="F24" t="s">
        <v>25</v>
      </c>
      <c r="G24">
        <v>7</v>
      </c>
      <c r="H24" t="s">
        <v>68</v>
      </c>
      <c r="I24" t="s">
        <v>121</v>
      </c>
      <c r="J24" t="s">
        <v>122</v>
      </c>
      <c r="K24">
        <v>0</v>
      </c>
      <c r="L24" s="84">
        <v>-38169</v>
      </c>
      <c r="M24" s="84">
        <v>0</v>
      </c>
    </row>
    <row r="25" spans="3:13" hidden="1" x14ac:dyDescent="0.25">
      <c r="C25" t="s">
        <v>64</v>
      </c>
      <c r="D25" t="s">
        <v>120</v>
      </c>
      <c r="E25" t="s">
        <v>63</v>
      </c>
      <c r="F25" t="s">
        <v>124</v>
      </c>
      <c r="G25">
        <v>0</v>
      </c>
      <c r="H25" t="s">
        <v>75</v>
      </c>
      <c r="I25" t="s">
        <v>121</v>
      </c>
      <c r="J25" t="s">
        <v>122</v>
      </c>
      <c r="K25">
        <v>0</v>
      </c>
      <c r="L25" s="84">
        <v>5949312</v>
      </c>
      <c r="M25" s="84">
        <v>0</v>
      </c>
    </row>
    <row r="26" spans="3:13" hidden="1" x14ac:dyDescent="0.25">
      <c r="C26" t="s">
        <v>64</v>
      </c>
      <c r="D26" t="s">
        <v>120</v>
      </c>
      <c r="E26" t="s">
        <v>60</v>
      </c>
      <c r="F26" t="s">
        <v>24</v>
      </c>
      <c r="G26">
        <v>7</v>
      </c>
      <c r="H26" t="s">
        <v>75</v>
      </c>
      <c r="I26" t="s">
        <v>121</v>
      </c>
      <c r="J26" t="s">
        <v>122</v>
      </c>
      <c r="K26">
        <v>0</v>
      </c>
      <c r="L26" s="84">
        <v>-8177</v>
      </c>
      <c r="M26" s="84">
        <v>0</v>
      </c>
    </row>
    <row r="27" spans="3:13" hidden="1" x14ac:dyDescent="0.25">
      <c r="C27" t="s">
        <v>64</v>
      </c>
      <c r="D27" t="s">
        <v>120</v>
      </c>
      <c r="E27" t="s">
        <v>63</v>
      </c>
      <c r="F27" t="s">
        <v>123</v>
      </c>
      <c r="G27">
        <v>5</v>
      </c>
      <c r="H27" t="s">
        <v>17</v>
      </c>
      <c r="I27" t="s">
        <v>62</v>
      </c>
      <c r="J27" t="s">
        <v>66</v>
      </c>
      <c r="K27">
        <v>1</v>
      </c>
      <c r="L27" s="84">
        <v>97006</v>
      </c>
      <c r="M27" s="84">
        <v>485030</v>
      </c>
    </row>
    <row r="28" spans="3:13" hidden="1" x14ac:dyDescent="0.25">
      <c r="C28" t="s">
        <v>119</v>
      </c>
      <c r="D28" t="s">
        <v>120</v>
      </c>
      <c r="E28" t="s">
        <v>63</v>
      </c>
      <c r="F28" t="s">
        <v>124</v>
      </c>
      <c r="G28">
        <v>4</v>
      </c>
      <c r="H28" t="s">
        <v>14</v>
      </c>
      <c r="I28" t="s">
        <v>121</v>
      </c>
      <c r="J28" t="s">
        <v>66</v>
      </c>
      <c r="K28">
        <v>1</v>
      </c>
      <c r="L28" s="84">
        <v>28183782</v>
      </c>
      <c r="M28" s="84">
        <v>112735128</v>
      </c>
    </row>
    <row r="29" spans="3:13" hidden="1" x14ac:dyDescent="0.25">
      <c r="C29" t="s">
        <v>65</v>
      </c>
      <c r="D29" t="s">
        <v>120</v>
      </c>
      <c r="E29" t="s">
        <v>60</v>
      </c>
      <c r="F29" t="s">
        <v>24</v>
      </c>
      <c r="G29">
        <v>-1</v>
      </c>
      <c r="H29" t="s">
        <v>17</v>
      </c>
      <c r="I29" t="s">
        <v>121</v>
      </c>
      <c r="J29" t="s">
        <v>122</v>
      </c>
      <c r="K29">
        <v>0</v>
      </c>
      <c r="L29" s="84">
        <v>-929</v>
      </c>
      <c r="M29" s="84">
        <v>0</v>
      </c>
    </row>
    <row r="30" spans="3:13" hidden="1" x14ac:dyDescent="0.25">
      <c r="C30" t="s">
        <v>65</v>
      </c>
      <c r="D30" t="s">
        <v>120</v>
      </c>
      <c r="E30" t="s">
        <v>60</v>
      </c>
      <c r="F30" t="s">
        <v>123</v>
      </c>
      <c r="G30">
        <v>2</v>
      </c>
      <c r="H30" t="s">
        <v>61</v>
      </c>
      <c r="I30" t="s">
        <v>121</v>
      </c>
      <c r="J30" t="s">
        <v>122</v>
      </c>
      <c r="K30">
        <v>0</v>
      </c>
      <c r="L30" s="84">
        <v>-60155</v>
      </c>
      <c r="M30" s="84">
        <v>0</v>
      </c>
    </row>
    <row r="31" spans="3:13" hidden="1" x14ac:dyDescent="0.25">
      <c r="C31" t="s">
        <v>64</v>
      </c>
      <c r="D31" t="s">
        <v>120</v>
      </c>
      <c r="E31" t="s">
        <v>60</v>
      </c>
      <c r="F31" t="s">
        <v>24</v>
      </c>
      <c r="G31">
        <v>0</v>
      </c>
      <c r="H31" t="s">
        <v>72</v>
      </c>
      <c r="I31" t="s">
        <v>121</v>
      </c>
      <c r="J31" t="s">
        <v>122</v>
      </c>
      <c r="K31">
        <v>0</v>
      </c>
      <c r="L31" s="84">
        <v>-2</v>
      </c>
      <c r="M31" s="84">
        <v>0</v>
      </c>
    </row>
    <row r="32" spans="3:13" hidden="1" x14ac:dyDescent="0.25">
      <c r="C32" t="s">
        <v>65</v>
      </c>
      <c r="D32" t="s">
        <v>120</v>
      </c>
      <c r="E32" t="s">
        <v>60</v>
      </c>
      <c r="F32" t="s">
        <v>124</v>
      </c>
      <c r="G32">
        <v>2</v>
      </c>
      <c r="H32" t="s">
        <v>71</v>
      </c>
      <c r="I32" t="s">
        <v>121</v>
      </c>
      <c r="J32" t="s">
        <v>122</v>
      </c>
      <c r="K32">
        <v>0</v>
      </c>
      <c r="L32" s="84">
        <v>-39927</v>
      </c>
      <c r="M32" s="84">
        <v>0</v>
      </c>
    </row>
    <row r="33" spans="3:13" hidden="1" x14ac:dyDescent="0.25">
      <c r="C33" t="s">
        <v>64</v>
      </c>
      <c r="D33" t="s">
        <v>120</v>
      </c>
      <c r="E33" t="s">
        <v>63</v>
      </c>
      <c r="F33" t="s">
        <v>124</v>
      </c>
      <c r="G33">
        <v>3</v>
      </c>
      <c r="H33" t="s">
        <v>14</v>
      </c>
      <c r="I33" t="s">
        <v>121</v>
      </c>
      <c r="J33" t="s">
        <v>122</v>
      </c>
      <c r="K33">
        <v>0</v>
      </c>
      <c r="L33" s="84">
        <v>16433548</v>
      </c>
      <c r="M33" s="84">
        <v>49300644</v>
      </c>
    </row>
    <row r="34" spans="3:13" x14ac:dyDescent="0.25">
      <c r="C34" t="s">
        <v>64</v>
      </c>
      <c r="D34" t="s">
        <v>120</v>
      </c>
      <c r="E34" t="s">
        <v>63</v>
      </c>
      <c r="F34" t="s">
        <v>25</v>
      </c>
      <c r="G34">
        <v>6</v>
      </c>
      <c r="H34" t="s">
        <v>14</v>
      </c>
      <c r="I34" t="s">
        <v>121</v>
      </c>
      <c r="J34" t="s">
        <v>66</v>
      </c>
      <c r="K34">
        <v>1</v>
      </c>
      <c r="L34" s="84">
        <v>892448</v>
      </c>
      <c r="M34" s="84">
        <v>5354688</v>
      </c>
    </row>
    <row r="35" spans="3:13" hidden="1" x14ac:dyDescent="0.25">
      <c r="C35" t="s">
        <v>64</v>
      </c>
      <c r="D35" t="s">
        <v>120</v>
      </c>
      <c r="E35" t="s">
        <v>63</v>
      </c>
      <c r="F35" t="s">
        <v>25</v>
      </c>
      <c r="G35">
        <v>6</v>
      </c>
      <c r="H35" t="s">
        <v>14</v>
      </c>
      <c r="I35" t="s">
        <v>121</v>
      </c>
      <c r="J35" t="s">
        <v>122</v>
      </c>
      <c r="K35">
        <v>0</v>
      </c>
      <c r="L35" s="84">
        <v>1422972</v>
      </c>
      <c r="M35" s="84">
        <v>8537832</v>
      </c>
    </row>
    <row r="36" spans="3:13" hidden="1" x14ac:dyDescent="0.25">
      <c r="C36" t="s">
        <v>65</v>
      </c>
      <c r="D36" t="s">
        <v>120</v>
      </c>
      <c r="E36" t="s">
        <v>60</v>
      </c>
      <c r="F36" t="s">
        <v>124</v>
      </c>
      <c r="G36">
        <v>0</v>
      </c>
      <c r="H36" t="s">
        <v>69</v>
      </c>
      <c r="I36" t="s">
        <v>121</v>
      </c>
      <c r="J36" t="s">
        <v>122</v>
      </c>
      <c r="K36">
        <v>0</v>
      </c>
      <c r="L36" s="84">
        <v>-185957</v>
      </c>
      <c r="M36" s="84">
        <v>0</v>
      </c>
    </row>
    <row r="37" spans="3:13" hidden="1" x14ac:dyDescent="0.25">
      <c r="C37" t="s">
        <v>64</v>
      </c>
      <c r="D37" t="s">
        <v>120</v>
      </c>
      <c r="E37" t="s">
        <v>60</v>
      </c>
      <c r="F37" t="s">
        <v>124</v>
      </c>
      <c r="G37">
        <v>3</v>
      </c>
      <c r="H37" t="s">
        <v>69</v>
      </c>
      <c r="I37" t="s">
        <v>121</v>
      </c>
      <c r="J37" t="s">
        <v>122</v>
      </c>
      <c r="K37">
        <v>0</v>
      </c>
      <c r="L37" s="84">
        <v>-176942</v>
      </c>
      <c r="M37" s="84">
        <v>0</v>
      </c>
    </row>
    <row r="38" spans="3:13" hidden="1" x14ac:dyDescent="0.25">
      <c r="C38" t="s">
        <v>119</v>
      </c>
      <c r="D38" t="s">
        <v>120</v>
      </c>
      <c r="E38" t="s">
        <v>63</v>
      </c>
      <c r="F38" t="s">
        <v>123</v>
      </c>
      <c r="G38">
        <v>-1</v>
      </c>
      <c r="H38" t="s">
        <v>18</v>
      </c>
      <c r="I38" t="s">
        <v>121</v>
      </c>
      <c r="J38" t="s">
        <v>122</v>
      </c>
      <c r="K38">
        <v>0</v>
      </c>
      <c r="L38" s="84">
        <v>8655069</v>
      </c>
      <c r="M38" s="84">
        <v>0</v>
      </c>
    </row>
    <row r="39" spans="3:13" hidden="1" x14ac:dyDescent="0.25">
      <c r="C39" t="s">
        <v>64</v>
      </c>
      <c r="D39" t="s">
        <v>120</v>
      </c>
      <c r="E39" t="s">
        <v>63</v>
      </c>
      <c r="F39" t="s">
        <v>123</v>
      </c>
      <c r="G39">
        <v>3</v>
      </c>
      <c r="H39" t="s">
        <v>12</v>
      </c>
      <c r="I39" t="s">
        <v>121</v>
      </c>
      <c r="J39" t="s">
        <v>122</v>
      </c>
      <c r="K39">
        <v>0</v>
      </c>
      <c r="L39" s="84">
        <v>390786</v>
      </c>
      <c r="M39" s="84">
        <v>1172358</v>
      </c>
    </row>
    <row r="40" spans="3:13" hidden="1" x14ac:dyDescent="0.25">
      <c r="C40" t="s">
        <v>65</v>
      </c>
      <c r="D40" t="s">
        <v>120</v>
      </c>
      <c r="E40" t="s">
        <v>60</v>
      </c>
      <c r="F40" t="s">
        <v>25</v>
      </c>
      <c r="G40">
        <v>9</v>
      </c>
      <c r="H40" t="s">
        <v>67</v>
      </c>
      <c r="I40" t="s">
        <v>121</v>
      </c>
      <c r="J40" t="s">
        <v>122</v>
      </c>
      <c r="K40">
        <v>0</v>
      </c>
      <c r="L40" s="84">
        <v>-490107</v>
      </c>
      <c r="M40" s="84">
        <v>0</v>
      </c>
    </row>
    <row r="41" spans="3:13" hidden="1" x14ac:dyDescent="0.25">
      <c r="C41" t="s">
        <v>119</v>
      </c>
      <c r="D41" t="s">
        <v>120</v>
      </c>
      <c r="E41" t="s">
        <v>60</v>
      </c>
      <c r="F41" t="s">
        <v>124</v>
      </c>
      <c r="G41">
        <v>4</v>
      </c>
      <c r="H41" t="s">
        <v>14</v>
      </c>
      <c r="I41" t="s">
        <v>121</v>
      </c>
      <c r="J41" t="s">
        <v>122</v>
      </c>
      <c r="K41">
        <v>0</v>
      </c>
      <c r="L41" s="84">
        <v>-107976</v>
      </c>
      <c r="M41" s="84">
        <v>0</v>
      </c>
    </row>
    <row r="42" spans="3:13" hidden="1" x14ac:dyDescent="0.25">
      <c r="C42" t="s">
        <v>64</v>
      </c>
      <c r="D42" t="s">
        <v>120</v>
      </c>
      <c r="E42" t="s">
        <v>60</v>
      </c>
      <c r="F42" t="s">
        <v>25</v>
      </c>
      <c r="G42">
        <v>14</v>
      </c>
      <c r="H42" t="s">
        <v>69</v>
      </c>
      <c r="I42" t="s">
        <v>121</v>
      </c>
      <c r="J42" t="s">
        <v>122</v>
      </c>
      <c r="K42">
        <v>0</v>
      </c>
      <c r="L42" s="84">
        <v>-79634</v>
      </c>
      <c r="M42" s="84">
        <v>0</v>
      </c>
    </row>
    <row r="43" spans="3:13" x14ac:dyDescent="0.25">
      <c r="C43" t="s">
        <v>64</v>
      </c>
      <c r="D43" t="s">
        <v>120</v>
      </c>
      <c r="E43" t="s">
        <v>63</v>
      </c>
      <c r="F43" t="s">
        <v>25</v>
      </c>
      <c r="G43">
        <v>3</v>
      </c>
      <c r="H43" t="s">
        <v>18</v>
      </c>
      <c r="I43" t="s">
        <v>121</v>
      </c>
      <c r="J43" t="s">
        <v>66</v>
      </c>
      <c r="K43">
        <v>1</v>
      </c>
      <c r="L43" s="84">
        <v>253479</v>
      </c>
      <c r="M43" s="84">
        <v>760437</v>
      </c>
    </row>
    <row r="44" spans="3:13" hidden="1" x14ac:dyDescent="0.25">
      <c r="C44" t="s">
        <v>119</v>
      </c>
      <c r="D44" t="s">
        <v>120</v>
      </c>
      <c r="E44" t="s">
        <v>63</v>
      </c>
      <c r="F44" t="s">
        <v>124</v>
      </c>
      <c r="G44">
        <v>1</v>
      </c>
      <c r="H44" t="s">
        <v>67</v>
      </c>
      <c r="I44" t="s">
        <v>121</v>
      </c>
      <c r="J44" t="s">
        <v>122</v>
      </c>
      <c r="K44">
        <v>0</v>
      </c>
      <c r="L44" s="84">
        <v>39271027</v>
      </c>
      <c r="M44" s="84">
        <v>39271027</v>
      </c>
    </row>
    <row r="45" spans="3:13" hidden="1" x14ac:dyDescent="0.25">
      <c r="C45" t="s">
        <v>65</v>
      </c>
      <c r="D45" t="s">
        <v>120</v>
      </c>
      <c r="E45" t="s">
        <v>60</v>
      </c>
      <c r="F45" t="s">
        <v>123</v>
      </c>
      <c r="G45">
        <v>5</v>
      </c>
      <c r="H45" t="s">
        <v>17</v>
      </c>
      <c r="I45" t="s">
        <v>121</v>
      </c>
      <c r="J45" t="s">
        <v>122</v>
      </c>
      <c r="K45">
        <v>0</v>
      </c>
      <c r="L45" s="84">
        <v>-20417</v>
      </c>
      <c r="M45" s="84">
        <v>0</v>
      </c>
    </row>
    <row r="46" spans="3:13" hidden="1" x14ac:dyDescent="0.25">
      <c r="C46" t="s">
        <v>119</v>
      </c>
      <c r="D46" t="s">
        <v>120</v>
      </c>
      <c r="E46" t="s">
        <v>60</v>
      </c>
      <c r="F46" t="s">
        <v>25</v>
      </c>
      <c r="G46">
        <v>14</v>
      </c>
      <c r="H46" t="s">
        <v>75</v>
      </c>
      <c r="I46" t="s">
        <v>121</v>
      </c>
      <c r="J46" t="s">
        <v>122</v>
      </c>
      <c r="K46">
        <v>0</v>
      </c>
      <c r="L46" s="84">
        <v>-1851</v>
      </c>
      <c r="M46" s="84">
        <v>0</v>
      </c>
    </row>
    <row r="47" spans="3:13" hidden="1" x14ac:dyDescent="0.25">
      <c r="C47" t="s">
        <v>64</v>
      </c>
      <c r="D47" t="s">
        <v>120</v>
      </c>
      <c r="E47" t="s">
        <v>63</v>
      </c>
      <c r="F47" t="s">
        <v>25</v>
      </c>
      <c r="G47">
        <v>3</v>
      </c>
      <c r="H47" t="s">
        <v>18</v>
      </c>
      <c r="I47" t="s">
        <v>121</v>
      </c>
      <c r="J47" t="s">
        <v>122</v>
      </c>
      <c r="K47">
        <v>0</v>
      </c>
      <c r="L47" s="84">
        <v>574523</v>
      </c>
      <c r="M47" s="84">
        <v>1723569</v>
      </c>
    </row>
    <row r="48" spans="3:13" hidden="1" x14ac:dyDescent="0.25">
      <c r="C48" t="s">
        <v>119</v>
      </c>
      <c r="D48" t="s">
        <v>120</v>
      </c>
      <c r="E48" t="s">
        <v>63</v>
      </c>
      <c r="F48" t="s">
        <v>25</v>
      </c>
      <c r="G48">
        <v>0</v>
      </c>
      <c r="H48" t="s">
        <v>69</v>
      </c>
      <c r="I48" t="s">
        <v>121</v>
      </c>
      <c r="J48" t="s">
        <v>122</v>
      </c>
      <c r="K48">
        <v>0</v>
      </c>
      <c r="L48" s="84">
        <v>1209146</v>
      </c>
      <c r="M48" s="84">
        <v>0</v>
      </c>
    </row>
    <row r="49" spans="3:13" hidden="1" x14ac:dyDescent="0.25">
      <c r="C49" t="s">
        <v>119</v>
      </c>
      <c r="D49" t="s">
        <v>120</v>
      </c>
      <c r="E49" t="s">
        <v>63</v>
      </c>
      <c r="F49" t="s">
        <v>124</v>
      </c>
      <c r="G49">
        <v>2</v>
      </c>
      <c r="H49" t="s">
        <v>17</v>
      </c>
      <c r="I49" t="s">
        <v>121</v>
      </c>
      <c r="J49" t="s">
        <v>66</v>
      </c>
      <c r="K49">
        <v>1</v>
      </c>
      <c r="L49" s="84">
        <v>4123232</v>
      </c>
      <c r="M49" s="84">
        <v>8246464</v>
      </c>
    </row>
    <row r="50" spans="3:13" hidden="1" x14ac:dyDescent="0.25">
      <c r="C50" t="s">
        <v>119</v>
      </c>
      <c r="D50" t="s">
        <v>120</v>
      </c>
      <c r="E50" t="s">
        <v>63</v>
      </c>
      <c r="F50" t="s">
        <v>124</v>
      </c>
      <c r="G50">
        <v>11</v>
      </c>
      <c r="H50" t="s">
        <v>12</v>
      </c>
      <c r="I50" t="s">
        <v>121</v>
      </c>
      <c r="J50" t="s">
        <v>66</v>
      </c>
      <c r="K50">
        <v>1</v>
      </c>
      <c r="L50" s="84">
        <v>2752582</v>
      </c>
      <c r="M50" s="84">
        <v>30278402</v>
      </c>
    </row>
    <row r="51" spans="3:13" x14ac:dyDescent="0.25">
      <c r="C51" t="s">
        <v>64</v>
      </c>
      <c r="D51" t="s">
        <v>120</v>
      </c>
      <c r="E51" t="s">
        <v>63</v>
      </c>
      <c r="F51" t="s">
        <v>25</v>
      </c>
      <c r="G51">
        <v>7</v>
      </c>
      <c r="H51" t="s">
        <v>14</v>
      </c>
      <c r="I51" t="s">
        <v>121</v>
      </c>
      <c r="J51" t="s">
        <v>66</v>
      </c>
      <c r="K51">
        <v>1</v>
      </c>
      <c r="L51" s="84">
        <v>392185</v>
      </c>
      <c r="M51" s="84">
        <v>2745295</v>
      </c>
    </row>
    <row r="52" spans="3:13" hidden="1" x14ac:dyDescent="0.25">
      <c r="C52" t="s">
        <v>119</v>
      </c>
      <c r="D52" t="s">
        <v>125</v>
      </c>
      <c r="E52" t="s">
        <v>63</v>
      </c>
      <c r="F52" t="s">
        <v>24</v>
      </c>
      <c r="G52">
        <v>23</v>
      </c>
      <c r="I52" t="s">
        <v>121</v>
      </c>
      <c r="J52" t="s">
        <v>122</v>
      </c>
      <c r="K52">
        <v>0</v>
      </c>
      <c r="L52" s="84">
        <v>666634412</v>
      </c>
      <c r="M52" s="84">
        <v>15332591476</v>
      </c>
    </row>
    <row r="53" spans="3:13" hidden="1" x14ac:dyDescent="0.25">
      <c r="C53" t="s">
        <v>64</v>
      </c>
      <c r="D53" t="s">
        <v>120</v>
      </c>
      <c r="E53" t="s">
        <v>63</v>
      </c>
      <c r="F53" t="s">
        <v>25</v>
      </c>
      <c r="G53">
        <v>7</v>
      </c>
      <c r="H53" t="s">
        <v>14</v>
      </c>
      <c r="I53" t="s">
        <v>121</v>
      </c>
      <c r="J53" t="s">
        <v>122</v>
      </c>
      <c r="K53">
        <v>0</v>
      </c>
      <c r="L53" s="84">
        <v>1114039</v>
      </c>
      <c r="M53" s="84">
        <v>7798273</v>
      </c>
    </row>
    <row r="54" spans="3:13" hidden="1" x14ac:dyDescent="0.25">
      <c r="C54" t="s">
        <v>119</v>
      </c>
      <c r="D54" t="s">
        <v>120</v>
      </c>
      <c r="E54" t="s">
        <v>63</v>
      </c>
      <c r="F54" t="s">
        <v>123</v>
      </c>
      <c r="G54">
        <v>7</v>
      </c>
      <c r="H54" t="s">
        <v>76</v>
      </c>
      <c r="I54" t="s">
        <v>121</v>
      </c>
      <c r="J54" t="s">
        <v>122</v>
      </c>
      <c r="K54">
        <v>0</v>
      </c>
      <c r="L54" s="84">
        <v>263814</v>
      </c>
      <c r="M54" s="84">
        <v>1846698</v>
      </c>
    </row>
    <row r="55" spans="3:13" hidden="1" x14ac:dyDescent="0.25">
      <c r="C55" t="s">
        <v>65</v>
      </c>
      <c r="D55" t="s">
        <v>120</v>
      </c>
      <c r="E55" t="s">
        <v>63</v>
      </c>
      <c r="F55" t="s">
        <v>24</v>
      </c>
      <c r="G55">
        <v>3</v>
      </c>
      <c r="H55" t="s">
        <v>71</v>
      </c>
      <c r="I55" t="s">
        <v>121</v>
      </c>
      <c r="J55" t="s">
        <v>122</v>
      </c>
      <c r="K55">
        <v>0</v>
      </c>
      <c r="L55" s="84">
        <v>13228</v>
      </c>
      <c r="M55" s="84">
        <v>39684</v>
      </c>
    </row>
    <row r="56" spans="3:13" hidden="1" x14ac:dyDescent="0.25">
      <c r="C56" t="s">
        <v>119</v>
      </c>
      <c r="D56" t="s">
        <v>120</v>
      </c>
      <c r="E56" t="s">
        <v>60</v>
      </c>
      <c r="F56" t="s">
        <v>24</v>
      </c>
      <c r="G56">
        <v>0</v>
      </c>
      <c r="H56" t="s">
        <v>67</v>
      </c>
      <c r="I56" t="s">
        <v>121</v>
      </c>
      <c r="J56" t="s">
        <v>122</v>
      </c>
      <c r="K56">
        <v>0</v>
      </c>
      <c r="L56" s="84">
        <v>-62</v>
      </c>
      <c r="M56" s="84">
        <v>0</v>
      </c>
    </row>
    <row r="57" spans="3:13" hidden="1" x14ac:dyDescent="0.25">
      <c r="C57" t="s">
        <v>119</v>
      </c>
      <c r="D57" t="s">
        <v>120</v>
      </c>
      <c r="E57" t="s">
        <v>60</v>
      </c>
      <c r="F57" t="s">
        <v>124</v>
      </c>
      <c r="G57">
        <v>0</v>
      </c>
      <c r="H57" t="s">
        <v>78</v>
      </c>
      <c r="I57" t="s">
        <v>121</v>
      </c>
      <c r="J57" t="s">
        <v>122</v>
      </c>
      <c r="K57">
        <v>0</v>
      </c>
      <c r="L57" s="84">
        <v>-575667</v>
      </c>
      <c r="M57" s="84">
        <v>0</v>
      </c>
    </row>
    <row r="58" spans="3:13" hidden="1" x14ac:dyDescent="0.25">
      <c r="C58" t="s">
        <v>64</v>
      </c>
      <c r="D58" t="s">
        <v>120</v>
      </c>
      <c r="E58" t="s">
        <v>60</v>
      </c>
      <c r="F58" t="s">
        <v>124</v>
      </c>
      <c r="G58">
        <v>0</v>
      </c>
      <c r="H58" t="s">
        <v>12</v>
      </c>
      <c r="I58" t="s">
        <v>121</v>
      </c>
      <c r="J58" t="s">
        <v>66</v>
      </c>
      <c r="K58">
        <v>1</v>
      </c>
      <c r="L58" s="84">
        <v>-29983</v>
      </c>
      <c r="M58" s="84">
        <v>0</v>
      </c>
    </row>
    <row r="59" spans="3:13" hidden="1" x14ac:dyDescent="0.25">
      <c r="C59" t="s">
        <v>65</v>
      </c>
      <c r="D59" t="s">
        <v>120</v>
      </c>
      <c r="E59" t="s">
        <v>63</v>
      </c>
      <c r="F59" t="s">
        <v>124</v>
      </c>
      <c r="G59">
        <v>1</v>
      </c>
      <c r="H59" t="s">
        <v>18</v>
      </c>
      <c r="I59" t="s">
        <v>121</v>
      </c>
      <c r="J59" t="s">
        <v>122</v>
      </c>
      <c r="K59">
        <v>0</v>
      </c>
      <c r="L59" s="84">
        <v>3374874</v>
      </c>
      <c r="M59" s="84">
        <v>3374874</v>
      </c>
    </row>
    <row r="60" spans="3:13" hidden="1" x14ac:dyDescent="0.25">
      <c r="C60" t="s">
        <v>64</v>
      </c>
      <c r="D60" t="s">
        <v>120</v>
      </c>
      <c r="E60" t="s">
        <v>63</v>
      </c>
      <c r="F60" t="s">
        <v>124</v>
      </c>
      <c r="G60">
        <v>5</v>
      </c>
      <c r="H60" t="s">
        <v>73</v>
      </c>
      <c r="I60" t="s">
        <v>121</v>
      </c>
      <c r="J60" t="s">
        <v>122</v>
      </c>
      <c r="K60">
        <v>0</v>
      </c>
      <c r="L60" s="84">
        <v>33788</v>
      </c>
      <c r="M60" s="84">
        <v>168940</v>
      </c>
    </row>
    <row r="61" spans="3:13" hidden="1" x14ac:dyDescent="0.25">
      <c r="C61" t="s">
        <v>64</v>
      </c>
      <c r="D61" t="s">
        <v>120</v>
      </c>
      <c r="E61" t="s">
        <v>63</v>
      </c>
      <c r="F61" t="s">
        <v>124</v>
      </c>
      <c r="G61">
        <v>6</v>
      </c>
      <c r="H61" t="s">
        <v>17</v>
      </c>
      <c r="I61" t="s">
        <v>121</v>
      </c>
      <c r="J61" t="s">
        <v>122</v>
      </c>
      <c r="K61">
        <v>0</v>
      </c>
      <c r="L61" s="84">
        <v>235840</v>
      </c>
      <c r="M61" s="84">
        <v>1415040</v>
      </c>
    </row>
    <row r="62" spans="3:13" hidden="1" x14ac:dyDescent="0.25">
      <c r="C62" t="s">
        <v>64</v>
      </c>
      <c r="D62" t="s">
        <v>120</v>
      </c>
      <c r="E62" t="s">
        <v>63</v>
      </c>
      <c r="F62" t="s">
        <v>124</v>
      </c>
      <c r="G62">
        <v>0</v>
      </c>
      <c r="H62" t="s">
        <v>12</v>
      </c>
      <c r="I62" t="s">
        <v>62</v>
      </c>
      <c r="J62" t="s">
        <v>66</v>
      </c>
      <c r="K62">
        <v>1</v>
      </c>
      <c r="L62" s="84">
        <v>655</v>
      </c>
      <c r="M62" s="84">
        <v>0</v>
      </c>
    </row>
    <row r="63" spans="3:13" hidden="1" x14ac:dyDescent="0.25">
      <c r="C63" t="s">
        <v>119</v>
      </c>
      <c r="D63" t="s">
        <v>120</v>
      </c>
      <c r="E63" t="s">
        <v>60</v>
      </c>
      <c r="F63" t="s">
        <v>123</v>
      </c>
      <c r="G63">
        <v>5</v>
      </c>
      <c r="H63" t="s">
        <v>17</v>
      </c>
      <c r="I63" t="s">
        <v>121</v>
      </c>
      <c r="J63" t="s">
        <v>66</v>
      </c>
      <c r="K63">
        <v>1</v>
      </c>
      <c r="L63" s="84">
        <v>-1903</v>
      </c>
      <c r="M63" s="84">
        <v>0</v>
      </c>
    </row>
    <row r="64" spans="3:13" hidden="1" x14ac:dyDescent="0.25">
      <c r="C64" t="s">
        <v>119</v>
      </c>
      <c r="D64" t="s">
        <v>120</v>
      </c>
      <c r="E64" t="s">
        <v>63</v>
      </c>
      <c r="F64" t="s">
        <v>123</v>
      </c>
      <c r="G64">
        <v>4</v>
      </c>
      <c r="H64" t="s">
        <v>17</v>
      </c>
      <c r="I64" t="s">
        <v>62</v>
      </c>
      <c r="J64" t="s">
        <v>66</v>
      </c>
      <c r="K64">
        <v>1</v>
      </c>
      <c r="L64" s="84">
        <v>255853</v>
      </c>
      <c r="M64" s="84">
        <v>1023412</v>
      </c>
    </row>
    <row r="65" spans="3:13" hidden="1" x14ac:dyDescent="0.25">
      <c r="C65" t="s">
        <v>119</v>
      </c>
      <c r="D65" t="s">
        <v>120</v>
      </c>
      <c r="E65" t="s">
        <v>63</v>
      </c>
      <c r="F65" t="s">
        <v>25</v>
      </c>
      <c r="G65">
        <v>9</v>
      </c>
      <c r="H65" t="s">
        <v>73</v>
      </c>
      <c r="I65" t="s">
        <v>121</v>
      </c>
      <c r="J65" t="s">
        <v>122</v>
      </c>
      <c r="K65">
        <v>0</v>
      </c>
      <c r="L65" s="84">
        <v>6779067</v>
      </c>
      <c r="M65" s="84">
        <v>61011603</v>
      </c>
    </row>
    <row r="66" spans="3:13" hidden="1" x14ac:dyDescent="0.25">
      <c r="C66" t="s">
        <v>64</v>
      </c>
      <c r="D66" t="s">
        <v>120</v>
      </c>
      <c r="E66" t="s">
        <v>60</v>
      </c>
      <c r="F66" t="s">
        <v>124</v>
      </c>
      <c r="G66">
        <v>6</v>
      </c>
      <c r="H66" t="s">
        <v>17</v>
      </c>
      <c r="I66" t="s">
        <v>121</v>
      </c>
      <c r="J66" t="s">
        <v>122</v>
      </c>
      <c r="K66">
        <v>0</v>
      </c>
      <c r="L66" s="84">
        <v>-18281</v>
      </c>
      <c r="M66" s="84">
        <v>0</v>
      </c>
    </row>
    <row r="67" spans="3:13" hidden="1" x14ac:dyDescent="0.25">
      <c r="C67" t="s">
        <v>119</v>
      </c>
      <c r="D67" t="s">
        <v>120</v>
      </c>
      <c r="E67" t="s">
        <v>60</v>
      </c>
      <c r="F67" t="s">
        <v>124</v>
      </c>
      <c r="G67">
        <v>2</v>
      </c>
      <c r="H67" t="s">
        <v>68</v>
      </c>
      <c r="I67" t="s">
        <v>121</v>
      </c>
      <c r="J67" t="s">
        <v>122</v>
      </c>
      <c r="K67">
        <v>0</v>
      </c>
      <c r="L67" s="84">
        <v>-70748</v>
      </c>
      <c r="M67" s="84">
        <v>0</v>
      </c>
    </row>
    <row r="68" spans="3:13" hidden="1" x14ac:dyDescent="0.25">
      <c r="C68" t="s">
        <v>65</v>
      </c>
      <c r="D68" t="s">
        <v>120</v>
      </c>
      <c r="E68" t="s">
        <v>63</v>
      </c>
      <c r="F68" t="s">
        <v>124</v>
      </c>
      <c r="G68">
        <v>-4</v>
      </c>
      <c r="H68" t="s">
        <v>75</v>
      </c>
      <c r="I68" t="s">
        <v>121</v>
      </c>
      <c r="J68" t="s">
        <v>122</v>
      </c>
      <c r="K68">
        <v>0</v>
      </c>
      <c r="L68" s="84">
        <v>2072293</v>
      </c>
      <c r="M68" s="84">
        <v>0</v>
      </c>
    </row>
    <row r="69" spans="3:13" hidden="1" x14ac:dyDescent="0.25">
      <c r="C69" t="s">
        <v>65</v>
      </c>
      <c r="D69" t="s">
        <v>120</v>
      </c>
      <c r="E69" t="s">
        <v>60</v>
      </c>
      <c r="F69" t="s">
        <v>124</v>
      </c>
      <c r="G69">
        <v>2</v>
      </c>
      <c r="H69" t="s">
        <v>61</v>
      </c>
      <c r="I69" t="s">
        <v>121</v>
      </c>
      <c r="J69" t="s">
        <v>122</v>
      </c>
      <c r="K69">
        <v>0</v>
      </c>
      <c r="L69" s="84">
        <v>-258350</v>
      </c>
      <c r="M69" s="84">
        <v>0</v>
      </c>
    </row>
    <row r="70" spans="3:13" hidden="1" x14ac:dyDescent="0.25">
      <c r="C70" t="s">
        <v>119</v>
      </c>
      <c r="D70" t="s">
        <v>120</v>
      </c>
      <c r="E70" t="s">
        <v>60</v>
      </c>
      <c r="F70" t="s">
        <v>25</v>
      </c>
      <c r="G70">
        <v>7</v>
      </c>
      <c r="H70" t="s">
        <v>12</v>
      </c>
      <c r="I70" t="s">
        <v>121</v>
      </c>
      <c r="J70" t="s">
        <v>66</v>
      </c>
      <c r="K70">
        <v>1</v>
      </c>
      <c r="L70" s="84">
        <v>-1500</v>
      </c>
      <c r="M70" s="84">
        <v>0</v>
      </c>
    </row>
    <row r="71" spans="3:13" hidden="1" x14ac:dyDescent="0.25">
      <c r="C71" t="s">
        <v>65</v>
      </c>
      <c r="D71" t="s">
        <v>120</v>
      </c>
      <c r="E71" t="s">
        <v>60</v>
      </c>
      <c r="F71" t="s">
        <v>123</v>
      </c>
      <c r="G71">
        <v>3</v>
      </c>
      <c r="H71" t="s">
        <v>75</v>
      </c>
      <c r="I71" t="s">
        <v>121</v>
      </c>
      <c r="J71" t="s">
        <v>122</v>
      </c>
      <c r="K71">
        <v>0</v>
      </c>
      <c r="L71" s="84">
        <v>-133160</v>
      </c>
      <c r="M71" s="84">
        <v>0</v>
      </c>
    </row>
    <row r="72" spans="3:13" hidden="1" x14ac:dyDescent="0.25">
      <c r="C72" t="s">
        <v>119</v>
      </c>
      <c r="D72" t="s">
        <v>120</v>
      </c>
      <c r="E72" t="s">
        <v>60</v>
      </c>
      <c r="F72" t="s">
        <v>25</v>
      </c>
      <c r="G72">
        <v>5</v>
      </c>
      <c r="H72" t="s">
        <v>12</v>
      </c>
      <c r="I72" t="s">
        <v>121</v>
      </c>
      <c r="J72" t="s">
        <v>122</v>
      </c>
      <c r="K72">
        <v>0</v>
      </c>
      <c r="L72" s="84">
        <v>-387</v>
      </c>
      <c r="M72" s="84">
        <v>0</v>
      </c>
    </row>
    <row r="73" spans="3:13" hidden="1" x14ac:dyDescent="0.25">
      <c r="C73" t="s">
        <v>119</v>
      </c>
      <c r="D73" t="s">
        <v>120</v>
      </c>
      <c r="E73" t="s">
        <v>60</v>
      </c>
      <c r="F73" t="s">
        <v>124</v>
      </c>
      <c r="G73">
        <v>-1</v>
      </c>
      <c r="H73" t="s">
        <v>12</v>
      </c>
      <c r="I73" t="s">
        <v>62</v>
      </c>
      <c r="J73" t="s">
        <v>66</v>
      </c>
      <c r="K73">
        <v>1</v>
      </c>
      <c r="L73" s="84">
        <v>-7258</v>
      </c>
      <c r="M73" s="84">
        <v>0</v>
      </c>
    </row>
    <row r="74" spans="3:13" hidden="1" x14ac:dyDescent="0.25">
      <c r="C74" t="s">
        <v>65</v>
      </c>
      <c r="D74" t="s">
        <v>120</v>
      </c>
      <c r="E74" t="s">
        <v>60</v>
      </c>
      <c r="F74" t="s">
        <v>25</v>
      </c>
      <c r="G74">
        <v>27</v>
      </c>
      <c r="H74" t="s">
        <v>69</v>
      </c>
      <c r="I74" t="s">
        <v>121</v>
      </c>
      <c r="J74" t="s">
        <v>122</v>
      </c>
      <c r="K74">
        <v>0</v>
      </c>
      <c r="L74" s="84">
        <v>-6330314</v>
      </c>
      <c r="M74" s="84">
        <v>0</v>
      </c>
    </row>
    <row r="75" spans="3:13" hidden="1" x14ac:dyDescent="0.25">
      <c r="C75" t="s">
        <v>65</v>
      </c>
      <c r="D75" t="s">
        <v>126</v>
      </c>
      <c r="E75" t="s">
        <v>60</v>
      </c>
      <c r="F75" t="s">
        <v>25</v>
      </c>
      <c r="G75">
        <v>-1</v>
      </c>
      <c r="H75" t="s">
        <v>76</v>
      </c>
      <c r="I75" t="s">
        <v>121</v>
      </c>
      <c r="J75" t="s">
        <v>122</v>
      </c>
      <c r="K75">
        <v>0</v>
      </c>
      <c r="L75" s="84">
        <v>-2874887</v>
      </c>
      <c r="M75" s="84">
        <v>0</v>
      </c>
    </row>
    <row r="76" spans="3:13" hidden="1" x14ac:dyDescent="0.25">
      <c r="C76" t="s">
        <v>119</v>
      </c>
      <c r="D76" t="s">
        <v>120</v>
      </c>
      <c r="E76" t="s">
        <v>60</v>
      </c>
      <c r="F76" t="s">
        <v>25</v>
      </c>
      <c r="G76">
        <v>7</v>
      </c>
      <c r="H76" t="s">
        <v>17</v>
      </c>
      <c r="I76" t="s">
        <v>62</v>
      </c>
      <c r="J76" t="s">
        <v>122</v>
      </c>
      <c r="K76">
        <v>1</v>
      </c>
      <c r="L76" s="84">
        <v>-344</v>
      </c>
      <c r="M76" s="84">
        <v>0</v>
      </c>
    </row>
    <row r="77" spans="3:13" hidden="1" x14ac:dyDescent="0.25">
      <c r="C77" t="s">
        <v>119</v>
      </c>
      <c r="D77" t="s">
        <v>120</v>
      </c>
      <c r="E77" t="s">
        <v>63</v>
      </c>
      <c r="F77" t="s">
        <v>25</v>
      </c>
      <c r="G77">
        <v>17</v>
      </c>
      <c r="H77" t="s">
        <v>61</v>
      </c>
      <c r="I77" t="s">
        <v>121</v>
      </c>
      <c r="J77" t="s">
        <v>122</v>
      </c>
      <c r="K77">
        <v>0</v>
      </c>
      <c r="L77" s="84">
        <v>308106</v>
      </c>
      <c r="M77" s="84">
        <v>5237802</v>
      </c>
    </row>
    <row r="78" spans="3:13" hidden="1" x14ac:dyDescent="0.25">
      <c r="C78" t="s">
        <v>65</v>
      </c>
      <c r="D78" t="s">
        <v>120</v>
      </c>
      <c r="E78" t="s">
        <v>63</v>
      </c>
      <c r="F78" t="s">
        <v>124</v>
      </c>
      <c r="G78">
        <v>6</v>
      </c>
      <c r="H78" t="s">
        <v>12</v>
      </c>
      <c r="I78" t="s">
        <v>121</v>
      </c>
      <c r="J78" t="s">
        <v>66</v>
      </c>
      <c r="K78">
        <v>1</v>
      </c>
      <c r="L78" s="84">
        <v>34437</v>
      </c>
      <c r="M78" s="84">
        <v>206622</v>
      </c>
    </row>
    <row r="79" spans="3:13" hidden="1" x14ac:dyDescent="0.25">
      <c r="C79" t="s">
        <v>64</v>
      </c>
      <c r="D79" t="s">
        <v>120</v>
      </c>
      <c r="E79" t="s">
        <v>63</v>
      </c>
      <c r="F79" t="s">
        <v>123</v>
      </c>
      <c r="G79">
        <v>6</v>
      </c>
      <c r="H79" t="s">
        <v>68</v>
      </c>
      <c r="I79" t="s">
        <v>121</v>
      </c>
      <c r="J79" t="s">
        <v>122</v>
      </c>
      <c r="K79">
        <v>0</v>
      </c>
      <c r="L79" s="84">
        <v>21916</v>
      </c>
      <c r="M79" s="84">
        <v>131496</v>
      </c>
    </row>
    <row r="80" spans="3:13" hidden="1" x14ac:dyDescent="0.25">
      <c r="C80" t="s">
        <v>64</v>
      </c>
      <c r="D80" t="s">
        <v>120</v>
      </c>
      <c r="E80" t="s">
        <v>60</v>
      </c>
      <c r="F80" t="s">
        <v>25</v>
      </c>
      <c r="G80">
        <v>2</v>
      </c>
      <c r="H80" t="s">
        <v>75</v>
      </c>
      <c r="I80" t="s">
        <v>121</v>
      </c>
      <c r="J80" t="s">
        <v>122</v>
      </c>
      <c r="K80">
        <v>0</v>
      </c>
      <c r="L80" s="84">
        <v>-455</v>
      </c>
      <c r="M80" s="84">
        <v>0</v>
      </c>
    </row>
    <row r="81" spans="3:13" hidden="1" x14ac:dyDescent="0.25">
      <c r="C81" t="s">
        <v>65</v>
      </c>
      <c r="D81" t="s">
        <v>120</v>
      </c>
      <c r="E81" t="s">
        <v>60</v>
      </c>
      <c r="F81" t="s">
        <v>24</v>
      </c>
      <c r="G81">
        <v>-1</v>
      </c>
      <c r="H81" t="s">
        <v>12</v>
      </c>
      <c r="I81" t="s">
        <v>62</v>
      </c>
      <c r="J81" t="s">
        <v>66</v>
      </c>
      <c r="K81">
        <v>1</v>
      </c>
      <c r="L81" s="84">
        <v>-244</v>
      </c>
      <c r="M81" s="84">
        <v>0</v>
      </c>
    </row>
    <row r="82" spans="3:13" hidden="1" x14ac:dyDescent="0.25">
      <c r="C82" t="s">
        <v>64</v>
      </c>
      <c r="D82" t="s">
        <v>120</v>
      </c>
      <c r="E82" t="s">
        <v>63</v>
      </c>
      <c r="F82" t="s">
        <v>24</v>
      </c>
      <c r="G82">
        <v>4</v>
      </c>
      <c r="H82" t="s">
        <v>67</v>
      </c>
      <c r="I82" t="s">
        <v>121</v>
      </c>
      <c r="J82" t="s">
        <v>122</v>
      </c>
      <c r="K82">
        <v>0</v>
      </c>
      <c r="L82" s="84">
        <v>182722</v>
      </c>
      <c r="M82" s="84">
        <v>730888</v>
      </c>
    </row>
    <row r="83" spans="3:13" hidden="1" x14ac:dyDescent="0.25">
      <c r="C83" t="s">
        <v>64</v>
      </c>
      <c r="D83" t="s">
        <v>120</v>
      </c>
      <c r="E83" t="s">
        <v>63</v>
      </c>
      <c r="F83" t="s">
        <v>124</v>
      </c>
      <c r="G83">
        <v>2</v>
      </c>
      <c r="H83" t="s">
        <v>74</v>
      </c>
      <c r="I83" t="s">
        <v>121</v>
      </c>
      <c r="J83" t="s">
        <v>122</v>
      </c>
      <c r="K83">
        <v>0</v>
      </c>
      <c r="L83" s="84">
        <v>23294</v>
      </c>
      <c r="M83" s="84">
        <v>46588</v>
      </c>
    </row>
    <row r="84" spans="3:13" hidden="1" x14ac:dyDescent="0.25">
      <c r="C84" t="s">
        <v>119</v>
      </c>
      <c r="D84" t="s">
        <v>126</v>
      </c>
      <c r="E84" t="s">
        <v>63</v>
      </c>
      <c r="F84" t="s">
        <v>25</v>
      </c>
      <c r="G84">
        <v>6</v>
      </c>
      <c r="H84" t="s">
        <v>18</v>
      </c>
      <c r="I84" t="s">
        <v>121</v>
      </c>
      <c r="J84" t="s">
        <v>122</v>
      </c>
      <c r="K84">
        <v>0</v>
      </c>
      <c r="L84" s="84">
        <v>3984174</v>
      </c>
      <c r="M84" s="84">
        <v>23905044</v>
      </c>
    </row>
    <row r="85" spans="3:13" hidden="1" x14ac:dyDescent="0.25">
      <c r="C85" t="s">
        <v>64</v>
      </c>
      <c r="D85" t="s">
        <v>120</v>
      </c>
      <c r="E85" t="s">
        <v>63</v>
      </c>
      <c r="F85" t="s">
        <v>124</v>
      </c>
      <c r="G85">
        <v>6</v>
      </c>
      <c r="H85" t="s">
        <v>75</v>
      </c>
      <c r="I85" t="s">
        <v>121</v>
      </c>
      <c r="J85" t="s">
        <v>122</v>
      </c>
      <c r="K85">
        <v>0</v>
      </c>
      <c r="L85" s="84">
        <v>483059</v>
      </c>
      <c r="M85" s="84">
        <v>2898354</v>
      </c>
    </row>
    <row r="86" spans="3:13" hidden="1" x14ac:dyDescent="0.25">
      <c r="C86" t="s">
        <v>65</v>
      </c>
      <c r="D86" t="s">
        <v>120</v>
      </c>
      <c r="E86" t="s">
        <v>60</v>
      </c>
      <c r="F86" t="s">
        <v>124</v>
      </c>
      <c r="G86">
        <v>1</v>
      </c>
      <c r="H86" t="s">
        <v>76</v>
      </c>
      <c r="I86" t="s">
        <v>121</v>
      </c>
      <c r="J86" t="s">
        <v>122</v>
      </c>
      <c r="K86">
        <v>0</v>
      </c>
      <c r="L86" s="84">
        <v>-101370</v>
      </c>
      <c r="M86" s="84">
        <v>0</v>
      </c>
    </row>
    <row r="87" spans="3:13" hidden="1" x14ac:dyDescent="0.25">
      <c r="C87" t="s">
        <v>64</v>
      </c>
      <c r="D87" t="s">
        <v>120</v>
      </c>
      <c r="E87" t="s">
        <v>60</v>
      </c>
      <c r="F87" t="s">
        <v>124</v>
      </c>
      <c r="G87">
        <v>6</v>
      </c>
      <c r="H87" t="s">
        <v>75</v>
      </c>
      <c r="I87" t="s">
        <v>121</v>
      </c>
      <c r="J87" t="s">
        <v>122</v>
      </c>
      <c r="K87">
        <v>0</v>
      </c>
      <c r="L87" s="84">
        <v>-63829</v>
      </c>
      <c r="M87" s="84">
        <v>0</v>
      </c>
    </row>
    <row r="88" spans="3:13" hidden="1" x14ac:dyDescent="0.25">
      <c r="C88" t="s">
        <v>65</v>
      </c>
      <c r="D88" t="s">
        <v>120</v>
      </c>
      <c r="E88" t="s">
        <v>63</v>
      </c>
      <c r="F88" t="s">
        <v>24</v>
      </c>
      <c r="G88">
        <v>0</v>
      </c>
      <c r="H88" t="s">
        <v>18</v>
      </c>
      <c r="I88" t="s">
        <v>121</v>
      </c>
      <c r="J88" t="s">
        <v>122</v>
      </c>
      <c r="K88">
        <v>0</v>
      </c>
      <c r="L88" s="84">
        <v>3961</v>
      </c>
      <c r="M88" s="84">
        <v>0</v>
      </c>
    </row>
    <row r="89" spans="3:13" hidden="1" x14ac:dyDescent="0.25">
      <c r="C89" t="s">
        <v>65</v>
      </c>
      <c r="D89" t="s">
        <v>120</v>
      </c>
      <c r="E89" t="s">
        <v>63</v>
      </c>
      <c r="F89" t="s">
        <v>124</v>
      </c>
      <c r="G89">
        <v>-4</v>
      </c>
      <c r="H89" t="s">
        <v>17</v>
      </c>
      <c r="I89" t="s">
        <v>121</v>
      </c>
      <c r="J89" t="s">
        <v>122</v>
      </c>
      <c r="K89">
        <v>0</v>
      </c>
      <c r="L89" s="84">
        <v>8495618</v>
      </c>
      <c r="M89" s="84">
        <v>0</v>
      </c>
    </row>
    <row r="90" spans="3:13" hidden="1" x14ac:dyDescent="0.25">
      <c r="C90" t="s">
        <v>64</v>
      </c>
      <c r="D90" t="s">
        <v>120</v>
      </c>
      <c r="E90" t="s">
        <v>60</v>
      </c>
      <c r="F90" t="s">
        <v>25</v>
      </c>
      <c r="G90">
        <v>19</v>
      </c>
      <c r="H90" t="s">
        <v>72</v>
      </c>
      <c r="I90" t="s">
        <v>121</v>
      </c>
      <c r="J90" t="s">
        <v>122</v>
      </c>
      <c r="K90">
        <v>0</v>
      </c>
      <c r="L90" s="84">
        <v>-2660</v>
      </c>
      <c r="M90" s="84">
        <v>0</v>
      </c>
    </row>
    <row r="91" spans="3:13" hidden="1" x14ac:dyDescent="0.25">
      <c r="C91" t="s">
        <v>119</v>
      </c>
      <c r="D91" t="s">
        <v>120</v>
      </c>
      <c r="E91" t="s">
        <v>60</v>
      </c>
      <c r="F91" t="s">
        <v>124</v>
      </c>
      <c r="G91">
        <v>2</v>
      </c>
      <c r="H91" t="s">
        <v>13</v>
      </c>
      <c r="I91" t="s">
        <v>121</v>
      </c>
      <c r="J91" t="s">
        <v>122</v>
      </c>
      <c r="K91">
        <v>0</v>
      </c>
      <c r="L91" s="84">
        <v>-1472</v>
      </c>
      <c r="M91" s="84">
        <v>0</v>
      </c>
    </row>
    <row r="92" spans="3:13" hidden="1" x14ac:dyDescent="0.25">
      <c r="C92" t="s">
        <v>64</v>
      </c>
      <c r="D92" t="s">
        <v>120</v>
      </c>
      <c r="E92" t="s">
        <v>60</v>
      </c>
      <c r="F92" t="s">
        <v>123</v>
      </c>
      <c r="G92">
        <v>3</v>
      </c>
      <c r="H92" t="s">
        <v>17</v>
      </c>
      <c r="I92" t="s">
        <v>121</v>
      </c>
      <c r="J92" t="s">
        <v>66</v>
      </c>
      <c r="K92">
        <v>1</v>
      </c>
      <c r="L92" s="84">
        <v>-6259</v>
      </c>
      <c r="M92" s="84">
        <v>0</v>
      </c>
    </row>
    <row r="93" spans="3:13" hidden="1" x14ac:dyDescent="0.25">
      <c r="C93" t="s">
        <v>65</v>
      </c>
      <c r="D93" t="s">
        <v>120</v>
      </c>
      <c r="E93" t="s">
        <v>63</v>
      </c>
      <c r="F93" t="s">
        <v>124</v>
      </c>
      <c r="G93">
        <v>1</v>
      </c>
      <c r="H93" t="s">
        <v>69</v>
      </c>
      <c r="I93" t="s">
        <v>121</v>
      </c>
      <c r="J93" t="s">
        <v>122</v>
      </c>
      <c r="K93">
        <v>0</v>
      </c>
      <c r="L93" s="84">
        <v>1217920</v>
      </c>
      <c r="M93" s="84">
        <v>1217920</v>
      </c>
    </row>
    <row r="94" spans="3:13" hidden="1" x14ac:dyDescent="0.25">
      <c r="C94" t="s">
        <v>119</v>
      </c>
      <c r="D94" t="s">
        <v>120</v>
      </c>
      <c r="E94" t="s">
        <v>63</v>
      </c>
      <c r="F94" t="s">
        <v>123</v>
      </c>
      <c r="G94">
        <v>11</v>
      </c>
      <c r="H94" t="s">
        <v>69</v>
      </c>
      <c r="I94" t="s">
        <v>121</v>
      </c>
      <c r="J94" t="s">
        <v>122</v>
      </c>
      <c r="K94">
        <v>0</v>
      </c>
      <c r="L94" s="84">
        <v>911367</v>
      </c>
      <c r="M94" s="84">
        <v>10025037</v>
      </c>
    </row>
    <row r="95" spans="3:13" hidden="1" x14ac:dyDescent="0.25">
      <c r="C95" t="s">
        <v>64</v>
      </c>
      <c r="D95" t="s">
        <v>126</v>
      </c>
      <c r="E95" t="s">
        <v>60</v>
      </c>
      <c r="F95" t="s">
        <v>25</v>
      </c>
      <c r="G95">
        <v>1</v>
      </c>
      <c r="H95" t="s">
        <v>74</v>
      </c>
      <c r="I95" t="s">
        <v>121</v>
      </c>
      <c r="J95" t="s">
        <v>122</v>
      </c>
      <c r="K95">
        <v>0</v>
      </c>
      <c r="L95" s="84">
        <v>-348</v>
      </c>
      <c r="M95" s="84">
        <v>0</v>
      </c>
    </row>
    <row r="96" spans="3:13" hidden="1" x14ac:dyDescent="0.25">
      <c r="C96" t="s">
        <v>64</v>
      </c>
      <c r="D96" t="s">
        <v>120</v>
      </c>
      <c r="E96" t="s">
        <v>63</v>
      </c>
      <c r="F96" t="s">
        <v>25</v>
      </c>
      <c r="G96">
        <v>7</v>
      </c>
      <c r="H96" t="s">
        <v>67</v>
      </c>
      <c r="I96" t="s">
        <v>121</v>
      </c>
      <c r="J96" t="s">
        <v>122</v>
      </c>
      <c r="K96">
        <v>0</v>
      </c>
      <c r="L96" s="84">
        <v>105265</v>
      </c>
      <c r="M96" s="84">
        <v>736855</v>
      </c>
    </row>
    <row r="97" spans="3:13" hidden="1" x14ac:dyDescent="0.25">
      <c r="C97" t="s">
        <v>64</v>
      </c>
      <c r="D97" t="s">
        <v>120</v>
      </c>
      <c r="E97" t="s">
        <v>63</v>
      </c>
      <c r="F97" t="s">
        <v>124</v>
      </c>
      <c r="G97">
        <v>-1</v>
      </c>
      <c r="H97" t="s">
        <v>72</v>
      </c>
      <c r="I97" t="s">
        <v>121</v>
      </c>
      <c r="J97" t="s">
        <v>122</v>
      </c>
      <c r="K97">
        <v>0</v>
      </c>
      <c r="L97" s="84">
        <v>3416643</v>
      </c>
      <c r="M97" s="84">
        <v>0</v>
      </c>
    </row>
    <row r="98" spans="3:13" hidden="1" x14ac:dyDescent="0.25">
      <c r="C98" t="s">
        <v>64</v>
      </c>
      <c r="D98" t="s">
        <v>120</v>
      </c>
      <c r="E98" t="s">
        <v>60</v>
      </c>
      <c r="F98" t="s">
        <v>25</v>
      </c>
      <c r="G98">
        <v>10</v>
      </c>
      <c r="H98" t="s">
        <v>18</v>
      </c>
      <c r="I98" t="s">
        <v>121</v>
      </c>
      <c r="J98" t="s">
        <v>66</v>
      </c>
      <c r="K98">
        <v>1</v>
      </c>
      <c r="L98" s="84">
        <v>-14146</v>
      </c>
      <c r="M98" s="84">
        <v>0</v>
      </c>
    </row>
    <row r="99" spans="3:13" hidden="1" x14ac:dyDescent="0.25">
      <c r="C99" t="s">
        <v>64</v>
      </c>
      <c r="D99" t="s">
        <v>120</v>
      </c>
      <c r="E99" t="s">
        <v>60</v>
      </c>
      <c r="F99" t="s">
        <v>25</v>
      </c>
      <c r="G99">
        <v>14</v>
      </c>
      <c r="H99" t="s">
        <v>18</v>
      </c>
      <c r="I99" t="s">
        <v>121</v>
      </c>
      <c r="J99" t="s">
        <v>122</v>
      </c>
      <c r="K99">
        <v>0</v>
      </c>
      <c r="L99" s="84">
        <v>-8158</v>
      </c>
      <c r="M99" s="84">
        <v>0</v>
      </c>
    </row>
    <row r="100" spans="3:13" hidden="1" x14ac:dyDescent="0.25">
      <c r="C100" t="s">
        <v>119</v>
      </c>
      <c r="D100" t="s">
        <v>120</v>
      </c>
      <c r="E100" t="s">
        <v>63</v>
      </c>
      <c r="F100" t="s">
        <v>24</v>
      </c>
      <c r="G100">
        <v>8</v>
      </c>
      <c r="H100" t="s">
        <v>61</v>
      </c>
      <c r="I100" t="s">
        <v>121</v>
      </c>
      <c r="J100" t="s">
        <v>122</v>
      </c>
      <c r="K100">
        <v>0</v>
      </c>
      <c r="L100" s="84">
        <v>56605</v>
      </c>
      <c r="M100" s="84">
        <v>452840</v>
      </c>
    </row>
    <row r="101" spans="3:13" hidden="1" x14ac:dyDescent="0.25">
      <c r="C101" t="s">
        <v>119</v>
      </c>
      <c r="D101" t="s">
        <v>120</v>
      </c>
      <c r="E101" t="s">
        <v>60</v>
      </c>
      <c r="F101" t="s">
        <v>25</v>
      </c>
      <c r="G101">
        <v>14</v>
      </c>
      <c r="H101" t="s">
        <v>17</v>
      </c>
      <c r="I101" t="s">
        <v>121</v>
      </c>
      <c r="J101" t="s">
        <v>122</v>
      </c>
      <c r="K101">
        <v>0</v>
      </c>
      <c r="L101" s="84">
        <v>-6889</v>
      </c>
      <c r="M101" s="84">
        <v>0</v>
      </c>
    </row>
    <row r="102" spans="3:13" hidden="1" x14ac:dyDescent="0.25">
      <c r="C102" t="s">
        <v>64</v>
      </c>
      <c r="D102" t="s">
        <v>120</v>
      </c>
      <c r="E102" t="s">
        <v>63</v>
      </c>
      <c r="F102" t="s">
        <v>25</v>
      </c>
      <c r="G102">
        <v>3</v>
      </c>
      <c r="H102" t="s">
        <v>69</v>
      </c>
      <c r="I102" t="s">
        <v>121</v>
      </c>
      <c r="J102" t="s">
        <v>122</v>
      </c>
      <c r="K102">
        <v>0</v>
      </c>
      <c r="L102" s="84">
        <v>636836</v>
      </c>
      <c r="M102" s="84">
        <v>1910508</v>
      </c>
    </row>
    <row r="103" spans="3:13" x14ac:dyDescent="0.25">
      <c r="C103" t="s">
        <v>119</v>
      </c>
      <c r="D103" t="s">
        <v>120</v>
      </c>
      <c r="E103" t="s">
        <v>63</v>
      </c>
      <c r="F103" t="s">
        <v>25</v>
      </c>
      <c r="G103">
        <v>0</v>
      </c>
      <c r="H103" t="s">
        <v>18</v>
      </c>
      <c r="I103" t="s">
        <v>121</v>
      </c>
      <c r="J103" t="s">
        <v>66</v>
      </c>
      <c r="K103">
        <v>1</v>
      </c>
      <c r="L103" s="84">
        <v>12628</v>
      </c>
      <c r="M103" s="84">
        <v>0</v>
      </c>
    </row>
    <row r="104" spans="3:13" hidden="1" x14ac:dyDescent="0.25">
      <c r="C104" t="s">
        <v>65</v>
      </c>
      <c r="D104" t="s">
        <v>120</v>
      </c>
      <c r="E104" t="s">
        <v>63</v>
      </c>
      <c r="F104" t="s">
        <v>25</v>
      </c>
      <c r="G104">
        <v>-4</v>
      </c>
      <c r="H104" t="s">
        <v>73</v>
      </c>
      <c r="I104" t="s">
        <v>121</v>
      </c>
      <c r="J104" t="s">
        <v>122</v>
      </c>
      <c r="K104">
        <v>0</v>
      </c>
      <c r="L104" s="84">
        <v>84183</v>
      </c>
      <c r="M104" s="84">
        <v>0</v>
      </c>
    </row>
    <row r="105" spans="3:13" hidden="1" x14ac:dyDescent="0.25">
      <c r="C105" t="s">
        <v>65</v>
      </c>
      <c r="D105" t="s">
        <v>127</v>
      </c>
      <c r="E105" t="s">
        <v>63</v>
      </c>
      <c r="F105" t="s">
        <v>24</v>
      </c>
      <c r="G105">
        <v>-4</v>
      </c>
      <c r="H105" t="s">
        <v>17</v>
      </c>
      <c r="I105" t="s">
        <v>121</v>
      </c>
      <c r="J105" t="s">
        <v>122</v>
      </c>
      <c r="K105">
        <v>0</v>
      </c>
      <c r="L105" s="84">
        <v>91636</v>
      </c>
      <c r="M105" s="84">
        <v>0</v>
      </c>
    </row>
    <row r="106" spans="3:13" hidden="1" x14ac:dyDescent="0.25">
      <c r="C106" t="s">
        <v>64</v>
      </c>
      <c r="D106" t="s">
        <v>120</v>
      </c>
      <c r="E106" t="s">
        <v>63</v>
      </c>
      <c r="F106" t="s">
        <v>124</v>
      </c>
      <c r="G106">
        <v>-4</v>
      </c>
      <c r="H106" t="s">
        <v>12</v>
      </c>
      <c r="I106" t="s">
        <v>121</v>
      </c>
      <c r="J106" t="s">
        <v>66</v>
      </c>
      <c r="K106">
        <v>1</v>
      </c>
      <c r="L106" s="84">
        <v>8000</v>
      </c>
      <c r="M106" s="84">
        <v>0</v>
      </c>
    </row>
    <row r="107" spans="3:13" hidden="1" x14ac:dyDescent="0.25">
      <c r="C107" t="s">
        <v>119</v>
      </c>
      <c r="D107" t="s">
        <v>120</v>
      </c>
      <c r="E107" t="s">
        <v>63</v>
      </c>
      <c r="F107" t="s">
        <v>25</v>
      </c>
      <c r="G107">
        <v>11</v>
      </c>
      <c r="H107" t="s">
        <v>14</v>
      </c>
      <c r="I107" t="s">
        <v>121</v>
      </c>
      <c r="J107" t="s">
        <v>122</v>
      </c>
      <c r="K107">
        <v>0</v>
      </c>
      <c r="L107" s="84">
        <v>20368568</v>
      </c>
      <c r="M107" s="84">
        <v>224054248</v>
      </c>
    </row>
    <row r="108" spans="3:13" x14ac:dyDescent="0.25">
      <c r="C108" t="s">
        <v>119</v>
      </c>
      <c r="D108" t="s">
        <v>120</v>
      </c>
      <c r="E108" t="s">
        <v>63</v>
      </c>
      <c r="F108" t="s">
        <v>25</v>
      </c>
      <c r="G108">
        <v>11</v>
      </c>
      <c r="H108" t="s">
        <v>14</v>
      </c>
      <c r="I108" t="s">
        <v>121</v>
      </c>
      <c r="J108" t="s">
        <v>66</v>
      </c>
      <c r="K108">
        <v>1</v>
      </c>
      <c r="L108" s="84">
        <v>1237154</v>
      </c>
      <c r="M108" s="84">
        <v>13608694</v>
      </c>
    </row>
    <row r="109" spans="3:13" hidden="1" x14ac:dyDescent="0.25">
      <c r="C109" t="s">
        <v>119</v>
      </c>
      <c r="D109" t="s">
        <v>120</v>
      </c>
      <c r="E109" t="s">
        <v>63</v>
      </c>
      <c r="F109" t="s">
        <v>123</v>
      </c>
      <c r="G109">
        <v>2</v>
      </c>
      <c r="H109" t="s">
        <v>18</v>
      </c>
      <c r="I109" t="s">
        <v>121</v>
      </c>
      <c r="J109" t="s">
        <v>122</v>
      </c>
      <c r="K109">
        <v>0</v>
      </c>
      <c r="L109" s="84">
        <v>8799333</v>
      </c>
      <c r="M109" s="84">
        <v>17598666</v>
      </c>
    </row>
    <row r="110" spans="3:13" hidden="1" x14ac:dyDescent="0.25">
      <c r="C110" t="s">
        <v>64</v>
      </c>
      <c r="D110" t="s">
        <v>120</v>
      </c>
      <c r="E110" t="s">
        <v>63</v>
      </c>
      <c r="F110" t="s">
        <v>123</v>
      </c>
      <c r="G110">
        <v>1</v>
      </c>
      <c r="H110" t="s">
        <v>17</v>
      </c>
      <c r="I110" t="s">
        <v>62</v>
      </c>
      <c r="J110" t="s">
        <v>66</v>
      </c>
      <c r="K110">
        <v>1</v>
      </c>
      <c r="L110" s="84">
        <v>4200</v>
      </c>
      <c r="M110" s="84">
        <v>4200</v>
      </c>
    </row>
    <row r="111" spans="3:13" hidden="1" x14ac:dyDescent="0.25">
      <c r="C111" t="s">
        <v>64</v>
      </c>
      <c r="D111" t="s">
        <v>120</v>
      </c>
      <c r="E111" t="s">
        <v>63</v>
      </c>
      <c r="F111" t="s">
        <v>123</v>
      </c>
      <c r="G111">
        <v>3</v>
      </c>
      <c r="H111" t="s">
        <v>72</v>
      </c>
      <c r="I111" t="s">
        <v>121</v>
      </c>
      <c r="J111" t="s">
        <v>122</v>
      </c>
      <c r="K111">
        <v>0</v>
      </c>
      <c r="L111" s="84">
        <v>610811</v>
      </c>
      <c r="M111" s="84">
        <v>1832433</v>
      </c>
    </row>
    <row r="112" spans="3:13" hidden="1" x14ac:dyDescent="0.25">
      <c r="C112" t="s">
        <v>65</v>
      </c>
      <c r="D112" t="s">
        <v>120</v>
      </c>
      <c r="E112" t="s">
        <v>63</v>
      </c>
      <c r="F112" t="s">
        <v>123</v>
      </c>
      <c r="G112">
        <v>2</v>
      </c>
      <c r="H112" t="s">
        <v>76</v>
      </c>
      <c r="I112" t="s">
        <v>121</v>
      </c>
      <c r="J112" t="s">
        <v>122</v>
      </c>
      <c r="K112">
        <v>0</v>
      </c>
      <c r="L112" s="84">
        <v>23002</v>
      </c>
      <c r="M112" s="84">
        <v>46004</v>
      </c>
    </row>
    <row r="113" spans="3:13" hidden="1" x14ac:dyDescent="0.25">
      <c r="C113" t="s">
        <v>64</v>
      </c>
      <c r="D113" t="s">
        <v>120</v>
      </c>
      <c r="E113" t="s">
        <v>60</v>
      </c>
      <c r="F113" t="s">
        <v>124</v>
      </c>
      <c r="G113">
        <v>1</v>
      </c>
      <c r="H113" t="s">
        <v>14</v>
      </c>
      <c r="I113" t="s">
        <v>62</v>
      </c>
      <c r="J113" t="s">
        <v>122</v>
      </c>
      <c r="K113">
        <v>1</v>
      </c>
      <c r="L113" s="84">
        <v>-142</v>
      </c>
      <c r="M113" s="84">
        <v>0</v>
      </c>
    </row>
    <row r="114" spans="3:13" hidden="1" x14ac:dyDescent="0.25">
      <c r="C114" t="s">
        <v>64</v>
      </c>
      <c r="D114" t="s">
        <v>120</v>
      </c>
      <c r="E114" t="s">
        <v>63</v>
      </c>
      <c r="F114" t="s">
        <v>123</v>
      </c>
      <c r="G114">
        <v>0</v>
      </c>
      <c r="H114" t="s">
        <v>71</v>
      </c>
      <c r="I114" t="s">
        <v>121</v>
      </c>
      <c r="J114" t="s">
        <v>122</v>
      </c>
      <c r="K114">
        <v>0</v>
      </c>
      <c r="L114" s="84">
        <v>3415</v>
      </c>
      <c r="M114" s="84">
        <v>0</v>
      </c>
    </row>
    <row r="115" spans="3:13" hidden="1" x14ac:dyDescent="0.25">
      <c r="C115" t="s">
        <v>119</v>
      </c>
      <c r="D115" t="s">
        <v>120</v>
      </c>
      <c r="E115" t="s">
        <v>63</v>
      </c>
      <c r="F115" t="s">
        <v>24</v>
      </c>
      <c r="G115">
        <v>-1</v>
      </c>
      <c r="H115" t="s">
        <v>72</v>
      </c>
      <c r="I115" t="s">
        <v>121</v>
      </c>
      <c r="J115" t="s">
        <v>122</v>
      </c>
      <c r="K115">
        <v>0</v>
      </c>
      <c r="L115" s="84">
        <v>10090</v>
      </c>
      <c r="M115" s="84">
        <v>0</v>
      </c>
    </row>
    <row r="116" spans="3:13" hidden="1" x14ac:dyDescent="0.25">
      <c r="C116" t="s">
        <v>64</v>
      </c>
      <c r="D116" t="s">
        <v>120</v>
      </c>
      <c r="E116" t="s">
        <v>60</v>
      </c>
      <c r="F116" t="s">
        <v>124</v>
      </c>
      <c r="G116">
        <v>1</v>
      </c>
      <c r="H116" t="s">
        <v>15</v>
      </c>
      <c r="I116" t="s">
        <v>121</v>
      </c>
      <c r="J116" t="s">
        <v>66</v>
      </c>
      <c r="K116">
        <v>1</v>
      </c>
      <c r="L116" s="84">
        <v>-87</v>
      </c>
      <c r="M116" s="84">
        <v>0</v>
      </c>
    </row>
    <row r="117" spans="3:13" hidden="1" x14ac:dyDescent="0.25">
      <c r="C117" t="s">
        <v>65</v>
      </c>
      <c r="D117" t="s">
        <v>120</v>
      </c>
      <c r="E117" t="s">
        <v>60</v>
      </c>
      <c r="F117" t="s">
        <v>123</v>
      </c>
      <c r="G117">
        <v>3</v>
      </c>
      <c r="H117" t="s">
        <v>17</v>
      </c>
      <c r="I117" t="s">
        <v>121</v>
      </c>
      <c r="J117" t="s">
        <v>122</v>
      </c>
      <c r="K117">
        <v>0</v>
      </c>
      <c r="L117" s="84">
        <v>-23038</v>
      </c>
      <c r="M117" s="84">
        <v>0</v>
      </c>
    </row>
    <row r="118" spans="3:13" hidden="1" x14ac:dyDescent="0.25">
      <c r="C118" t="s">
        <v>119</v>
      </c>
      <c r="D118" t="s">
        <v>120</v>
      </c>
      <c r="E118" t="s">
        <v>60</v>
      </c>
      <c r="F118" t="s">
        <v>25</v>
      </c>
      <c r="G118">
        <v>9</v>
      </c>
      <c r="H118" t="s">
        <v>18</v>
      </c>
      <c r="I118" t="s">
        <v>121</v>
      </c>
      <c r="J118" t="s">
        <v>122</v>
      </c>
      <c r="K118">
        <v>0</v>
      </c>
      <c r="L118" s="84">
        <v>-3809</v>
      </c>
      <c r="M118" s="84">
        <v>0</v>
      </c>
    </row>
    <row r="119" spans="3:13" hidden="1" x14ac:dyDescent="0.25">
      <c r="C119" t="s">
        <v>119</v>
      </c>
      <c r="D119" t="s">
        <v>120</v>
      </c>
      <c r="E119" t="s">
        <v>60</v>
      </c>
      <c r="F119" t="s">
        <v>124</v>
      </c>
      <c r="G119">
        <v>-4</v>
      </c>
      <c r="H119" t="s">
        <v>18</v>
      </c>
      <c r="I119" t="s">
        <v>121</v>
      </c>
      <c r="J119" t="s">
        <v>122</v>
      </c>
      <c r="K119">
        <v>0</v>
      </c>
      <c r="L119" s="84">
        <v>-1514</v>
      </c>
      <c r="M119" s="84">
        <v>0</v>
      </c>
    </row>
    <row r="120" spans="3:13" hidden="1" x14ac:dyDescent="0.25">
      <c r="C120" t="s">
        <v>64</v>
      </c>
      <c r="D120" t="s">
        <v>120</v>
      </c>
      <c r="E120" t="s">
        <v>63</v>
      </c>
      <c r="F120" t="s">
        <v>124</v>
      </c>
      <c r="G120">
        <v>-1</v>
      </c>
      <c r="H120" t="s">
        <v>77</v>
      </c>
      <c r="I120" t="s">
        <v>121</v>
      </c>
      <c r="J120" t="s">
        <v>122</v>
      </c>
      <c r="K120">
        <v>0</v>
      </c>
      <c r="L120" s="84">
        <v>5889</v>
      </c>
      <c r="M120" s="84">
        <v>0</v>
      </c>
    </row>
    <row r="121" spans="3:13" hidden="1" x14ac:dyDescent="0.25">
      <c r="C121" t="s">
        <v>65</v>
      </c>
      <c r="D121" t="s">
        <v>120</v>
      </c>
      <c r="E121" t="s">
        <v>60</v>
      </c>
      <c r="F121" t="s">
        <v>124</v>
      </c>
      <c r="G121">
        <v>11</v>
      </c>
      <c r="H121" t="s">
        <v>14</v>
      </c>
      <c r="I121" t="s">
        <v>121</v>
      </c>
      <c r="J121" t="s">
        <v>66</v>
      </c>
      <c r="K121">
        <v>1</v>
      </c>
      <c r="L121" s="84">
        <v>-68082</v>
      </c>
      <c r="M121" s="84">
        <v>0</v>
      </c>
    </row>
    <row r="122" spans="3:13" hidden="1" x14ac:dyDescent="0.25">
      <c r="C122" t="s">
        <v>119</v>
      </c>
      <c r="D122" t="s">
        <v>120</v>
      </c>
      <c r="E122" t="s">
        <v>60</v>
      </c>
      <c r="F122" t="s">
        <v>124</v>
      </c>
      <c r="G122">
        <v>-1</v>
      </c>
      <c r="H122" t="s">
        <v>15</v>
      </c>
      <c r="I122" t="s">
        <v>121</v>
      </c>
      <c r="J122" t="s">
        <v>122</v>
      </c>
      <c r="K122">
        <v>0</v>
      </c>
      <c r="L122" s="84">
        <v>-4723</v>
      </c>
      <c r="M122" s="84">
        <v>0</v>
      </c>
    </row>
    <row r="123" spans="3:13" hidden="1" x14ac:dyDescent="0.25">
      <c r="C123" t="s">
        <v>65</v>
      </c>
      <c r="D123" t="s">
        <v>120</v>
      </c>
      <c r="E123" t="s">
        <v>60</v>
      </c>
      <c r="F123" t="s">
        <v>123</v>
      </c>
      <c r="G123">
        <v>0</v>
      </c>
      <c r="H123" t="s">
        <v>70</v>
      </c>
      <c r="I123" t="s">
        <v>121</v>
      </c>
      <c r="J123" t="s">
        <v>122</v>
      </c>
      <c r="K123">
        <v>0</v>
      </c>
      <c r="L123" s="84">
        <v>-10560</v>
      </c>
      <c r="M123" s="84">
        <v>0</v>
      </c>
    </row>
    <row r="124" spans="3:13" hidden="1" x14ac:dyDescent="0.25">
      <c r="C124" t="s">
        <v>65</v>
      </c>
      <c r="D124" t="s">
        <v>120</v>
      </c>
      <c r="E124" t="s">
        <v>60</v>
      </c>
      <c r="F124" t="s">
        <v>124</v>
      </c>
      <c r="G124">
        <v>5</v>
      </c>
      <c r="H124" t="s">
        <v>17</v>
      </c>
      <c r="I124" t="s">
        <v>121</v>
      </c>
      <c r="J124" t="s">
        <v>66</v>
      </c>
      <c r="K124">
        <v>1</v>
      </c>
      <c r="L124" s="84">
        <v>-85487</v>
      </c>
      <c r="M124" s="84">
        <v>0</v>
      </c>
    </row>
    <row r="125" spans="3:13" hidden="1" x14ac:dyDescent="0.25">
      <c r="C125" t="s">
        <v>119</v>
      </c>
      <c r="D125" t="s">
        <v>120</v>
      </c>
      <c r="E125" t="s">
        <v>60</v>
      </c>
      <c r="F125" t="s">
        <v>25</v>
      </c>
      <c r="G125">
        <v>0</v>
      </c>
      <c r="H125" t="s">
        <v>75</v>
      </c>
      <c r="I125" t="s">
        <v>121</v>
      </c>
      <c r="J125" t="s">
        <v>122</v>
      </c>
      <c r="K125">
        <v>0</v>
      </c>
      <c r="L125" s="84">
        <v>-18</v>
      </c>
      <c r="M125" s="84">
        <v>0</v>
      </c>
    </row>
    <row r="126" spans="3:13" hidden="1" x14ac:dyDescent="0.25">
      <c r="C126" t="s">
        <v>119</v>
      </c>
      <c r="D126" t="s">
        <v>125</v>
      </c>
      <c r="E126" t="s">
        <v>63</v>
      </c>
      <c r="F126" t="s">
        <v>25</v>
      </c>
      <c r="G126">
        <v>15</v>
      </c>
      <c r="I126" t="s">
        <v>121</v>
      </c>
      <c r="J126" t="s">
        <v>122</v>
      </c>
      <c r="K126">
        <v>0</v>
      </c>
      <c r="L126" s="84">
        <v>2462502</v>
      </c>
      <c r="M126" s="84">
        <v>36937530</v>
      </c>
    </row>
    <row r="127" spans="3:13" hidden="1" x14ac:dyDescent="0.25">
      <c r="C127" t="s">
        <v>65</v>
      </c>
      <c r="D127" t="s">
        <v>120</v>
      </c>
      <c r="E127" t="s">
        <v>63</v>
      </c>
      <c r="F127" t="s">
        <v>124</v>
      </c>
      <c r="G127">
        <v>0</v>
      </c>
      <c r="H127" t="s">
        <v>12</v>
      </c>
      <c r="I127" t="s">
        <v>121</v>
      </c>
      <c r="J127" t="s">
        <v>66</v>
      </c>
      <c r="K127">
        <v>1</v>
      </c>
      <c r="L127" s="84">
        <v>587266</v>
      </c>
      <c r="M127" s="84">
        <v>0</v>
      </c>
    </row>
    <row r="128" spans="3:13" hidden="1" x14ac:dyDescent="0.25">
      <c r="C128" t="s">
        <v>64</v>
      </c>
      <c r="D128" t="s">
        <v>120</v>
      </c>
      <c r="E128" t="s">
        <v>63</v>
      </c>
      <c r="F128" t="s">
        <v>123</v>
      </c>
      <c r="G128">
        <v>-4</v>
      </c>
      <c r="H128" t="s">
        <v>18</v>
      </c>
      <c r="I128" t="s">
        <v>121</v>
      </c>
      <c r="J128" t="s">
        <v>122</v>
      </c>
      <c r="K128">
        <v>0</v>
      </c>
      <c r="L128" s="84">
        <v>2396</v>
      </c>
      <c r="M128" s="84">
        <v>0</v>
      </c>
    </row>
    <row r="129" spans="3:13" hidden="1" x14ac:dyDescent="0.25">
      <c r="C129" t="s">
        <v>119</v>
      </c>
      <c r="D129" t="s">
        <v>120</v>
      </c>
      <c r="E129" t="s">
        <v>63</v>
      </c>
      <c r="F129" t="s">
        <v>25</v>
      </c>
      <c r="G129">
        <v>9</v>
      </c>
      <c r="H129" t="s">
        <v>14</v>
      </c>
      <c r="I129" t="s">
        <v>121</v>
      </c>
      <c r="J129" t="s">
        <v>122</v>
      </c>
      <c r="K129">
        <v>0</v>
      </c>
      <c r="L129" s="84">
        <v>5395403</v>
      </c>
      <c r="M129" s="84">
        <v>48558627</v>
      </c>
    </row>
    <row r="130" spans="3:13" x14ac:dyDescent="0.25">
      <c r="C130" t="s">
        <v>119</v>
      </c>
      <c r="D130" t="s">
        <v>120</v>
      </c>
      <c r="E130" t="s">
        <v>63</v>
      </c>
      <c r="F130" t="s">
        <v>25</v>
      </c>
      <c r="G130">
        <v>9</v>
      </c>
      <c r="H130" t="s">
        <v>14</v>
      </c>
      <c r="I130" t="s">
        <v>121</v>
      </c>
      <c r="J130" t="s">
        <v>66</v>
      </c>
      <c r="K130">
        <v>1</v>
      </c>
      <c r="L130" s="84">
        <v>2518244</v>
      </c>
      <c r="M130" s="84">
        <v>22664196</v>
      </c>
    </row>
    <row r="131" spans="3:13" hidden="1" x14ac:dyDescent="0.25">
      <c r="C131" t="s">
        <v>64</v>
      </c>
      <c r="D131" t="s">
        <v>120</v>
      </c>
      <c r="E131" t="s">
        <v>60</v>
      </c>
      <c r="F131" t="s">
        <v>25</v>
      </c>
      <c r="G131">
        <v>10</v>
      </c>
      <c r="H131" t="s">
        <v>70</v>
      </c>
      <c r="I131" t="s">
        <v>121</v>
      </c>
      <c r="J131" t="s">
        <v>122</v>
      </c>
      <c r="K131">
        <v>0</v>
      </c>
      <c r="L131" s="84">
        <v>-2798</v>
      </c>
      <c r="M131" s="84">
        <v>0</v>
      </c>
    </row>
    <row r="132" spans="3:13" hidden="1" x14ac:dyDescent="0.25">
      <c r="C132" t="s">
        <v>119</v>
      </c>
      <c r="D132" t="s">
        <v>120</v>
      </c>
      <c r="E132" t="s">
        <v>60</v>
      </c>
      <c r="F132" t="s">
        <v>24</v>
      </c>
      <c r="G132">
        <v>10</v>
      </c>
      <c r="H132" t="s">
        <v>69</v>
      </c>
      <c r="I132" t="s">
        <v>121</v>
      </c>
      <c r="J132" t="s">
        <v>122</v>
      </c>
      <c r="K132">
        <v>0</v>
      </c>
      <c r="L132" s="84">
        <v>-6480</v>
      </c>
      <c r="M132" s="84">
        <v>0</v>
      </c>
    </row>
    <row r="133" spans="3:13" hidden="1" x14ac:dyDescent="0.25">
      <c r="C133" t="s">
        <v>119</v>
      </c>
      <c r="D133" t="s">
        <v>120</v>
      </c>
      <c r="E133" t="s">
        <v>63</v>
      </c>
      <c r="F133" t="s">
        <v>24</v>
      </c>
      <c r="G133">
        <v>11</v>
      </c>
      <c r="H133" t="s">
        <v>75</v>
      </c>
      <c r="I133" t="s">
        <v>121</v>
      </c>
      <c r="J133" t="s">
        <v>122</v>
      </c>
      <c r="K133">
        <v>0</v>
      </c>
      <c r="L133" s="84">
        <v>240928</v>
      </c>
      <c r="M133" s="84">
        <v>2650208</v>
      </c>
    </row>
    <row r="134" spans="3:13" hidden="1" x14ac:dyDescent="0.25">
      <c r="C134" t="s">
        <v>65</v>
      </c>
      <c r="D134" t="s">
        <v>120</v>
      </c>
      <c r="E134" t="s">
        <v>60</v>
      </c>
      <c r="F134" t="s">
        <v>123</v>
      </c>
      <c r="G134">
        <v>0</v>
      </c>
      <c r="H134" t="s">
        <v>12</v>
      </c>
      <c r="I134" t="s">
        <v>62</v>
      </c>
      <c r="J134" t="s">
        <v>66</v>
      </c>
      <c r="K134">
        <v>1</v>
      </c>
      <c r="L134" s="84">
        <v>-4480</v>
      </c>
      <c r="M134" s="84">
        <v>0</v>
      </c>
    </row>
    <row r="135" spans="3:13" hidden="1" x14ac:dyDescent="0.25">
      <c r="C135" t="s">
        <v>119</v>
      </c>
      <c r="D135" t="s">
        <v>120</v>
      </c>
      <c r="E135" t="s">
        <v>60</v>
      </c>
      <c r="F135" t="s">
        <v>124</v>
      </c>
      <c r="G135">
        <v>0</v>
      </c>
      <c r="H135" t="s">
        <v>16</v>
      </c>
      <c r="I135" t="s">
        <v>121</v>
      </c>
      <c r="J135" t="s">
        <v>122</v>
      </c>
      <c r="K135">
        <v>0</v>
      </c>
      <c r="L135" s="84">
        <v>-28221</v>
      </c>
      <c r="M135" s="84">
        <v>0</v>
      </c>
    </row>
    <row r="136" spans="3:13" hidden="1" x14ac:dyDescent="0.25">
      <c r="C136" t="s">
        <v>64</v>
      </c>
      <c r="D136" t="s">
        <v>125</v>
      </c>
      <c r="E136" t="s">
        <v>63</v>
      </c>
      <c r="F136" t="s">
        <v>24</v>
      </c>
      <c r="G136">
        <v>19</v>
      </c>
      <c r="I136" t="s">
        <v>121</v>
      </c>
      <c r="J136" t="s">
        <v>122</v>
      </c>
      <c r="K136">
        <v>0</v>
      </c>
      <c r="L136" s="84">
        <v>41244689</v>
      </c>
      <c r="M136" s="84">
        <v>783649091</v>
      </c>
    </row>
    <row r="137" spans="3:13" hidden="1" x14ac:dyDescent="0.25">
      <c r="C137" t="s">
        <v>119</v>
      </c>
      <c r="D137" t="s">
        <v>120</v>
      </c>
      <c r="E137" t="s">
        <v>63</v>
      </c>
      <c r="F137" t="s">
        <v>24</v>
      </c>
      <c r="G137">
        <v>6</v>
      </c>
      <c r="H137" t="s">
        <v>72</v>
      </c>
      <c r="I137" t="s">
        <v>121</v>
      </c>
      <c r="J137" t="s">
        <v>122</v>
      </c>
      <c r="K137">
        <v>0</v>
      </c>
      <c r="L137" s="84">
        <v>1351062</v>
      </c>
      <c r="M137" s="84">
        <v>8106372</v>
      </c>
    </row>
    <row r="138" spans="3:13" hidden="1" x14ac:dyDescent="0.25">
      <c r="C138" t="s">
        <v>65</v>
      </c>
      <c r="D138" t="s">
        <v>120</v>
      </c>
      <c r="E138" t="s">
        <v>63</v>
      </c>
      <c r="F138" t="s">
        <v>124</v>
      </c>
      <c r="G138">
        <v>4</v>
      </c>
      <c r="H138" t="s">
        <v>18</v>
      </c>
      <c r="I138" t="s">
        <v>121</v>
      </c>
      <c r="J138" t="s">
        <v>66</v>
      </c>
      <c r="K138">
        <v>1</v>
      </c>
      <c r="L138" s="84">
        <v>129554</v>
      </c>
      <c r="M138" s="84">
        <v>518216</v>
      </c>
    </row>
    <row r="139" spans="3:13" hidden="1" x14ac:dyDescent="0.25">
      <c r="C139" t="s">
        <v>65</v>
      </c>
      <c r="D139" t="s">
        <v>120</v>
      </c>
      <c r="E139" t="s">
        <v>60</v>
      </c>
      <c r="F139" t="s">
        <v>124</v>
      </c>
      <c r="G139">
        <v>0</v>
      </c>
      <c r="H139" t="s">
        <v>18</v>
      </c>
      <c r="I139" t="s">
        <v>121</v>
      </c>
      <c r="J139" t="s">
        <v>122</v>
      </c>
      <c r="K139">
        <v>0</v>
      </c>
      <c r="L139" s="84">
        <v>-709862</v>
      </c>
      <c r="M139" s="84">
        <v>0</v>
      </c>
    </row>
    <row r="140" spans="3:13" hidden="1" x14ac:dyDescent="0.25">
      <c r="C140" t="s">
        <v>119</v>
      </c>
      <c r="D140" t="s">
        <v>120</v>
      </c>
      <c r="E140" t="s">
        <v>60</v>
      </c>
      <c r="F140" t="s">
        <v>124</v>
      </c>
      <c r="G140">
        <v>4</v>
      </c>
      <c r="H140" t="s">
        <v>67</v>
      </c>
      <c r="I140" t="s">
        <v>121</v>
      </c>
      <c r="J140" t="s">
        <v>122</v>
      </c>
      <c r="K140">
        <v>0</v>
      </c>
      <c r="L140" s="84">
        <v>-163076</v>
      </c>
      <c r="M140" s="84">
        <v>0</v>
      </c>
    </row>
    <row r="141" spans="3:13" hidden="1" x14ac:dyDescent="0.25">
      <c r="C141" t="s">
        <v>64</v>
      </c>
      <c r="D141" t="s">
        <v>120</v>
      </c>
      <c r="E141" t="s">
        <v>63</v>
      </c>
      <c r="F141" t="s">
        <v>123</v>
      </c>
      <c r="G141">
        <v>0</v>
      </c>
      <c r="H141" t="s">
        <v>61</v>
      </c>
      <c r="I141" t="s">
        <v>121</v>
      </c>
      <c r="J141" t="s">
        <v>122</v>
      </c>
      <c r="K141">
        <v>0</v>
      </c>
      <c r="L141" s="84">
        <v>47210</v>
      </c>
      <c r="M141" s="84">
        <v>0</v>
      </c>
    </row>
    <row r="142" spans="3:13" hidden="1" x14ac:dyDescent="0.25">
      <c r="C142" t="s">
        <v>64</v>
      </c>
      <c r="D142" t="s">
        <v>120</v>
      </c>
      <c r="E142" t="s">
        <v>63</v>
      </c>
      <c r="F142" t="s">
        <v>124</v>
      </c>
      <c r="G142">
        <v>3</v>
      </c>
      <c r="H142" t="s">
        <v>67</v>
      </c>
      <c r="I142" t="s">
        <v>121</v>
      </c>
      <c r="J142" t="s">
        <v>122</v>
      </c>
      <c r="K142">
        <v>0</v>
      </c>
      <c r="L142" s="84">
        <v>2275946</v>
      </c>
      <c r="M142" s="84">
        <v>6827838</v>
      </c>
    </row>
    <row r="143" spans="3:13" hidden="1" x14ac:dyDescent="0.25">
      <c r="C143" t="s">
        <v>65</v>
      </c>
      <c r="D143" t="s">
        <v>120</v>
      </c>
      <c r="E143" t="s">
        <v>60</v>
      </c>
      <c r="F143" t="s">
        <v>25</v>
      </c>
      <c r="G143">
        <v>0</v>
      </c>
      <c r="H143" t="s">
        <v>68</v>
      </c>
      <c r="I143" t="s">
        <v>121</v>
      </c>
      <c r="J143" t="s">
        <v>122</v>
      </c>
      <c r="K143">
        <v>0</v>
      </c>
      <c r="L143" s="84">
        <v>-164966</v>
      </c>
      <c r="M143" s="84">
        <v>0</v>
      </c>
    </row>
    <row r="144" spans="3:13" hidden="1" x14ac:dyDescent="0.25">
      <c r="C144" t="s">
        <v>119</v>
      </c>
      <c r="D144" t="s">
        <v>120</v>
      </c>
      <c r="E144" t="s">
        <v>60</v>
      </c>
      <c r="F144" t="s">
        <v>124</v>
      </c>
      <c r="G144">
        <v>1</v>
      </c>
      <c r="H144" t="s">
        <v>61</v>
      </c>
      <c r="I144" t="s">
        <v>121</v>
      </c>
      <c r="J144" t="s">
        <v>122</v>
      </c>
      <c r="K144">
        <v>0</v>
      </c>
      <c r="L144" s="84">
        <v>-34639</v>
      </c>
      <c r="M144" s="84">
        <v>0</v>
      </c>
    </row>
    <row r="145" spans="3:13" hidden="1" x14ac:dyDescent="0.25">
      <c r="C145" t="s">
        <v>119</v>
      </c>
      <c r="D145" t="s">
        <v>120</v>
      </c>
      <c r="E145" t="s">
        <v>60</v>
      </c>
      <c r="F145" t="s">
        <v>25</v>
      </c>
      <c r="G145">
        <v>5</v>
      </c>
      <c r="H145" t="s">
        <v>72</v>
      </c>
      <c r="I145" t="s">
        <v>121</v>
      </c>
      <c r="J145" t="s">
        <v>122</v>
      </c>
      <c r="K145">
        <v>0</v>
      </c>
      <c r="L145" s="84">
        <v>-3595</v>
      </c>
      <c r="M145" s="84">
        <v>0</v>
      </c>
    </row>
    <row r="146" spans="3:13" hidden="1" x14ac:dyDescent="0.25">
      <c r="C146" t="s">
        <v>64</v>
      </c>
      <c r="D146" t="s">
        <v>120</v>
      </c>
      <c r="E146" t="s">
        <v>63</v>
      </c>
      <c r="F146" t="s">
        <v>25</v>
      </c>
      <c r="G146">
        <v>6</v>
      </c>
      <c r="H146" t="s">
        <v>67</v>
      </c>
      <c r="I146" t="s">
        <v>121</v>
      </c>
      <c r="J146" t="s">
        <v>122</v>
      </c>
      <c r="K146">
        <v>0</v>
      </c>
      <c r="L146" s="84">
        <v>107535</v>
      </c>
      <c r="M146" s="84">
        <v>645210</v>
      </c>
    </row>
    <row r="147" spans="3:13" hidden="1" x14ac:dyDescent="0.25">
      <c r="C147" t="s">
        <v>65</v>
      </c>
      <c r="D147" t="s">
        <v>120</v>
      </c>
      <c r="E147" t="s">
        <v>60</v>
      </c>
      <c r="F147" t="s">
        <v>123</v>
      </c>
      <c r="G147">
        <v>-4</v>
      </c>
      <c r="H147" t="s">
        <v>61</v>
      </c>
      <c r="I147" t="s">
        <v>121</v>
      </c>
      <c r="J147" t="s">
        <v>122</v>
      </c>
      <c r="K147">
        <v>0</v>
      </c>
      <c r="L147" s="84">
        <v>-670556</v>
      </c>
      <c r="M147" s="84">
        <v>0</v>
      </c>
    </row>
    <row r="148" spans="3:13" hidden="1" x14ac:dyDescent="0.25">
      <c r="C148" t="s">
        <v>65</v>
      </c>
      <c r="D148" t="s">
        <v>120</v>
      </c>
      <c r="E148" t="s">
        <v>60</v>
      </c>
      <c r="F148" t="s">
        <v>124</v>
      </c>
      <c r="G148">
        <v>-1</v>
      </c>
      <c r="H148" t="s">
        <v>17</v>
      </c>
      <c r="I148" t="s">
        <v>121</v>
      </c>
      <c r="J148" t="s">
        <v>122</v>
      </c>
      <c r="K148">
        <v>0</v>
      </c>
      <c r="L148" s="84">
        <v>-5403596</v>
      </c>
      <c r="M148" s="84">
        <v>0</v>
      </c>
    </row>
    <row r="149" spans="3:13" hidden="1" x14ac:dyDescent="0.25">
      <c r="C149" t="s">
        <v>65</v>
      </c>
      <c r="D149" t="s">
        <v>120</v>
      </c>
      <c r="E149" t="s">
        <v>60</v>
      </c>
      <c r="F149" t="s">
        <v>24</v>
      </c>
      <c r="G149">
        <v>8</v>
      </c>
      <c r="H149" t="s">
        <v>69</v>
      </c>
      <c r="I149" t="s">
        <v>121</v>
      </c>
      <c r="J149" t="s">
        <v>122</v>
      </c>
      <c r="K149">
        <v>0</v>
      </c>
      <c r="L149" s="84">
        <v>-77860</v>
      </c>
      <c r="M149" s="84">
        <v>0</v>
      </c>
    </row>
    <row r="150" spans="3:13" hidden="1" x14ac:dyDescent="0.25">
      <c r="C150" t="s">
        <v>119</v>
      </c>
      <c r="D150" t="s">
        <v>120</v>
      </c>
      <c r="E150" t="s">
        <v>60</v>
      </c>
      <c r="F150" t="s">
        <v>124</v>
      </c>
      <c r="G150">
        <v>11</v>
      </c>
      <c r="H150" t="s">
        <v>12</v>
      </c>
      <c r="I150" t="s">
        <v>121</v>
      </c>
      <c r="J150" t="s">
        <v>66</v>
      </c>
      <c r="K150">
        <v>1</v>
      </c>
      <c r="L150" s="84">
        <v>-4803</v>
      </c>
      <c r="M150" s="84">
        <v>0</v>
      </c>
    </row>
    <row r="151" spans="3:13" hidden="1" x14ac:dyDescent="0.25">
      <c r="C151" t="s">
        <v>65</v>
      </c>
      <c r="D151" t="s">
        <v>120</v>
      </c>
      <c r="E151" t="s">
        <v>60</v>
      </c>
      <c r="G151">
        <v>-1</v>
      </c>
      <c r="H151" t="s">
        <v>73</v>
      </c>
      <c r="I151" t="s">
        <v>121</v>
      </c>
      <c r="J151" t="s">
        <v>122</v>
      </c>
      <c r="K151">
        <v>0</v>
      </c>
      <c r="L151" s="84">
        <v>1</v>
      </c>
      <c r="M151" s="84">
        <v>0</v>
      </c>
    </row>
    <row r="152" spans="3:13" hidden="1" x14ac:dyDescent="0.25">
      <c r="C152" t="s">
        <v>65</v>
      </c>
      <c r="D152" t="s">
        <v>120</v>
      </c>
      <c r="E152" t="s">
        <v>63</v>
      </c>
      <c r="F152" t="s">
        <v>25</v>
      </c>
      <c r="G152">
        <v>4</v>
      </c>
      <c r="H152" t="s">
        <v>68</v>
      </c>
      <c r="I152" t="s">
        <v>121</v>
      </c>
      <c r="J152" t="s">
        <v>122</v>
      </c>
      <c r="K152">
        <v>0</v>
      </c>
      <c r="L152" s="84">
        <v>2422172</v>
      </c>
      <c r="M152" s="84">
        <v>9688688</v>
      </c>
    </row>
    <row r="153" spans="3:13" hidden="1" x14ac:dyDescent="0.25">
      <c r="C153" t="s">
        <v>64</v>
      </c>
      <c r="D153" t="s">
        <v>120</v>
      </c>
      <c r="E153" t="s">
        <v>63</v>
      </c>
      <c r="F153" t="s">
        <v>124</v>
      </c>
      <c r="G153">
        <v>0</v>
      </c>
      <c r="H153" t="s">
        <v>17</v>
      </c>
      <c r="I153" t="s">
        <v>121</v>
      </c>
      <c r="J153" t="s">
        <v>122</v>
      </c>
      <c r="K153">
        <v>0</v>
      </c>
      <c r="L153" s="84">
        <v>1077934</v>
      </c>
      <c r="M153" s="84">
        <v>0</v>
      </c>
    </row>
    <row r="154" spans="3:13" hidden="1" x14ac:dyDescent="0.25">
      <c r="C154" t="s">
        <v>119</v>
      </c>
      <c r="D154" t="s">
        <v>120</v>
      </c>
      <c r="E154" t="s">
        <v>60</v>
      </c>
      <c r="F154" t="s">
        <v>24</v>
      </c>
      <c r="G154">
        <v>4</v>
      </c>
      <c r="H154" t="s">
        <v>17</v>
      </c>
      <c r="I154" t="s">
        <v>121</v>
      </c>
      <c r="J154" t="s">
        <v>122</v>
      </c>
      <c r="K154">
        <v>0</v>
      </c>
      <c r="L154" s="84">
        <v>-30336</v>
      </c>
      <c r="M154" s="84">
        <v>0</v>
      </c>
    </row>
    <row r="155" spans="3:13" hidden="1" x14ac:dyDescent="0.25">
      <c r="C155" t="s">
        <v>119</v>
      </c>
      <c r="D155" t="s">
        <v>120</v>
      </c>
      <c r="E155" t="s">
        <v>63</v>
      </c>
      <c r="F155" t="s">
        <v>25</v>
      </c>
      <c r="G155">
        <v>2</v>
      </c>
      <c r="H155" t="s">
        <v>61</v>
      </c>
      <c r="I155" t="s">
        <v>121</v>
      </c>
      <c r="J155" t="s">
        <v>122</v>
      </c>
      <c r="K155">
        <v>0</v>
      </c>
      <c r="L155" s="84">
        <v>137894</v>
      </c>
      <c r="M155" s="84">
        <v>275788</v>
      </c>
    </row>
    <row r="156" spans="3:13" hidden="1" x14ac:dyDescent="0.25">
      <c r="C156" t="s">
        <v>64</v>
      </c>
      <c r="D156" t="s">
        <v>120</v>
      </c>
      <c r="E156" t="s">
        <v>60</v>
      </c>
      <c r="F156" t="s">
        <v>24</v>
      </c>
      <c r="G156">
        <v>6</v>
      </c>
      <c r="H156" t="s">
        <v>61</v>
      </c>
      <c r="I156" t="s">
        <v>121</v>
      </c>
      <c r="J156" t="s">
        <v>122</v>
      </c>
      <c r="K156">
        <v>0</v>
      </c>
      <c r="L156" s="84">
        <v>-3048</v>
      </c>
      <c r="M156" s="84">
        <v>0</v>
      </c>
    </row>
    <row r="157" spans="3:13" hidden="1" x14ac:dyDescent="0.25">
      <c r="C157" t="s">
        <v>119</v>
      </c>
      <c r="D157" t="s">
        <v>120</v>
      </c>
      <c r="E157" t="s">
        <v>60</v>
      </c>
      <c r="F157" t="s">
        <v>25</v>
      </c>
      <c r="G157">
        <v>7</v>
      </c>
      <c r="H157" t="s">
        <v>13</v>
      </c>
      <c r="I157" t="s">
        <v>121</v>
      </c>
      <c r="J157" t="s">
        <v>122</v>
      </c>
      <c r="K157">
        <v>0</v>
      </c>
      <c r="L157" s="84">
        <v>-866</v>
      </c>
      <c r="M157" s="84">
        <v>0</v>
      </c>
    </row>
    <row r="158" spans="3:13" hidden="1" x14ac:dyDescent="0.25">
      <c r="C158" t="s">
        <v>119</v>
      </c>
      <c r="D158" t="s">
        <v>120</v>
      </c>
      <c r="E158" t="s">
        <v>63</v>
      </c>
      <c r="F158" t="s">
        <v>124</v>
      </c>
      <c r="G158">
        <v>-1</v>
      </c>
      <c r="H158" t="s">
        <v>13</v>
      </c>
      <c r="I158" t="s">
        <v>121</v>
      </c>
      <c r="J158" t="s">
        <v>66</v>
      </c>
      <c r="K158">
        <v>1</v>
      </c>
      <c r="L158" s="84">
        <v>4469</v>
      </c>
      <c r="M158" s="84">
        <v>0</v>
      </c>
    </row>
    <row r="159" spans="3:13" hidden="1" x14ac:dyDescent="0.25">
      <c r="C159" t="s">
        <v>64</v>
      </c>
      <c r="D159" t="s">
        <v>120</v>
      </c>
      <c r="E159" t="s">
        <v>60</v>
      </c>
      <c r="F159" t="s">
        <v>25</v>
      </c>
      <c r="G159">
        <v>5</v>
      </c>
      <c r="H159" t="s">
        <v>14</v>
      </c>
      <c r="I159" t="s">
        <v>121</v>
      </c>
      <c r="J159" t="s">
        <v>66</v>
      </c>
      <c r="K159">
        <v>1</v>
      </c>
      <c r="L159" s="84">
        <v>-35537</v>
      </c>
      <c r="M159" s="84">
        <v>0</v>
      </c>
    </row>
    <row r="160" spans="3:13" hidden="1" x14ac:dyDescent="0.25">
      <c r="C160" t="s">
        <v>64</v>
      </c>
      <c r="D160" t="s">
        <v>120</v>
      </c>
      <c r="E160" t="s">
        <v>60</v>
      </c>
      <c r="F160" t="s">
        <v>25</v>
      </c>
      <c r="G160">
        <v>7</v>
      </c>
      <c r="H160" t="s">
        <v>14</v>
      </c>
      <c r="I160" t="s">
        <v>121</v>
      </c>
      <c r="J160" t="s">
        <v>122</v>
      </c>
      <c r="K160">
        <v>0</v>
      </c>
      <c r="L160" s="84">
        <v>-39449</v>
      </c>
      <c r="M160" s="84">
        <v>0</v>
      </c>
    </row>
    <row r="161" spans="3:13" hidden="1" x14ac:dyDescent="0.25">
      <c r="C161" t="s">
        <v>64</v>
      </c>
      <c r="D161" t="s">
        <v>120</v>
      </c>
      <c r="E161" t="s">
        <v>60</v>
      </c>
      <c r="F161" t="s">
        <v>24</v>
      </c>
      <c r="G161">
        <v>12</v>
      </c>
      <c r="H161" t="s">
        <v>18</v>
      </c>
      <c r="I161" t="s">
        <v>121</v>
      </c>
      <c r="J161" t="s">
        <v>122</v>
      </c>
      <c r="K161">
        <v>0</v>
      </c>
      <c r="L161" s="84">
        <v>-37414</v>
      </c>
      <c r="M161" s="84">
        <v>0</v>
      </c>
    </row>
    <row r="162" spans="3:13" hidden="1" x14ac:dyDescent="0.25">
      <c r="C162" t="s">
        <v>119</v>
      </c>
      <c r="D162" t="s">
        <v>120</v>
      </c>
      <c r="E162" t="s">
        <v>63</v>
      </c>
      <c r="F162" t="s">
        <v>123</v>
      </c>
      <c r="G162">
        <v>7</v>
      </c>
      <c r="H162" t="s">
        <v>68</v>
      </c>
      <c r="I162" t="s">
        <v>121</v>
      </c>
      <c r="J162" t="s">
        <v>122</v>
      </c>
      <c r="K162">
        <v>0</v>
      </c>
      <c r="L162" s="84">
        <v>283793</v>
      </c>
      <c r="M162" s="84">
        <v>1986551</v>
      </c>
    </row>
    <row r="163" spans="3:13" hidden="1" x14ac:dyDescent="0.25">
      <c r="C163" t="s">
        <v>119</v>
      </c>
      <c r="D163" t="s">
        <v>120</v>
      </c>
      <c r="E163" t="s">
        <v>60</v>
      </c>
      <c r="F163" t="s">
        <v>24</v>
      </c>
      <c r="G163">
        <v>10</v>
      </c>
      <c r="H163" t="s">
        <v>18</v>
      </c>
      <c r="I163" t="s">
        <v>121</v>
      </c>
      <c r="J163" t="s">
        <v>122</v>
      </c>
      <c r="K163">
        <v>0</v>
      </c>
      <c r="L163" s="84">
        <v>-1775</v>
      </c>
      <c r="M163" s="84">
        <v>0</v>
      </c>
    </row>
    <row r="164" spans="3:13" hidden="1" x14ac:dyDescent="0.25">
      <c r="C164" t="s">
        <v>119</v>
      </c>
      <c r="D164" t="s">
        <v>120</v>
      </c>
      <c r="E164" t="s">
        <v>60</v>
      </c>
      <c r="F164" t="s">
        <v>124</v>
      </c>
      <c r="G164">
        <v>0</v>
      </c>
      <c r="H164" t="s">
        <v>74</v>
      </c>
      <c r="I164" t="s">
        <v>121</v>
      </c>
      <c r="J164" t="s">
        <v>122</v>
      </c>
      <c r="K164">
        <v>0</v>
      </c>
      <c r="L164" s="84">
        <v>-900</v>
      </c>
      <c r="M164" s="84">
        <v>0</v>
      </c>
    </row>
    <row r="165" spans="3:13" hidden="1" x14ac:dyDescent="0.25">
      <c r="C165" t="s">
        <v>64</v>
      </c>
      <c r="D165" t="s">
        <v>120</v>
      </c>
      <c r="E165" t="s">
        <v>63</v>
      </c>
      <c r="F165" t="s">
        <v>124</v>
      </c>
      <c r="G165">
        <v>5</v>
      </c>
      <c r="H165" t="s">
        <v>67</v>
      </c>
      <c r="I165" t="s">
        <v>121</v>
      </c>
      <c r="J165" t="s">
        <v>122</v>
      </c>
      <c r="K165">
        <v>0</v>
      </c>
      <c r="L165" s="84">
        <v>370576</v>
      </c>
      <c r="M165" s="84">
        <v>1852880</v>
      </c>
    </row>
    <row r="166" spans="3:13" hidden="1" x14ac:dyDescent="0.25">
      <c r="C166" t="s">
        <v>119</v>
      </c>
      <c r="D166" t="s">
        <v>120</v>
      </c>
      <c r="E166" t="s">
        <v>60</v>
      </c>
      <c r="F166" t="s">
        <v>123</v>
      </c>
      <c r="G166">
        <v>0</v>
      </c>
      <c r="H166" t="s">
        <v>15</v>
      </c>
      <c r="I166" t="s">
        <v>121</v>
      </c>
      <c r="J166" t="s">
        <v>66</v>
      </c>
      <c r="K166">
        <v>1</v>
      </c>
      <c r="L166" s="84">
        <v>-138</v>
      </c>
      <c r="M166" s="84">
        <v>0</v>
      </c>
    </row>
    <row r="167" spans="3:13" hidden="1" x14ac:dyDescent="0.25">
      <c r="C167" t="s">
        <v>119</v>
      </c>
      <c r="D167" t="s">
        <v>120</v>
      </c>
      <c r="E167" t="s">
        <v>63</v>
      </c>
      <c r="F167" t="s">
        <v>24</v>
      </c>
      <c r="G167">
        <v>-1</v>
      </c>
      <c r="H167" t="s">
        <v>12</v>
      </c>
      <c r="I167" t="s">
        <v>121</v>
      </c>
      <c r="J167" t="s">
        <v>66</v>
      </c>
      <c r="K167">
        <v>1</v>
      </c>
      <c r="L167" s="84">
        <v>392801</v>
      </c>
      <c r="M167" s="84">
        <v>0</v>
      </c>
    </row>
    <row r="168" spans="3:13" hidden="1" x14ac:dyDescent="0.25">
      <c r="C168" t="s">
        <v>119</v>
      </c>
      <c r="D168" t="s">
        <v>120</v>
      </c>
      <c r="E168" t="s">
        <v>63</v>
      </c>
      <c r="F168" t="s">
        <v>25</v>
      </c>
      <c r="G168">
        <v>9</v>
      </c>
      <c r="H168" t="s">
        <v>67</v>
      </c>
      <c r="I168" t="s">
        <v>121</v>
      </c>
      <c r="J168" t="s">
        <v>122</v>
      </c>
      <c r="K168">
        <v>0</v>
      </c>
      <c r="L168" s="84">
        <v>3235434</v>
      </c>
      <c r="M168" s="84">
        <v>29118906</v>
      </c>
    </row>
    <row r="169" spans="3:13" hidden="1" x14ac:dyDescent="0.25">
      <c r="C169" t="s">
        <v>119</v>
      </c>
      <c r="D169" t="s">
        <v>120</v>
      </c>
      <c r="E169" t="s">
        <v>60</v>
      </c>
      <c r="F169" t="s">
        <v>124</v>
      </c>
      <c r="G169">
        <v>2</v>
      </c>
      <c r="H169" t="s">
        <v>76</v>
      </c>
      <c r="I169" t="s">
        <v>121</v>
      </c>
      <c r="J169" t="s">
        <v>122</v>
      </c>
      <c r="K169">
        <v>0</v>
      </c>
      <c r="L169" s="84">
        <v>-17671</v>
      </c>
      <c r="M169" s="84">
        <v>0</v>
      </c>
    </row>
    <row r="170" spans="3:13" hidden="1" x14ac:dyDescent="0.25">
      <c r="C170" t="s">
        <v>64</v>
      </c>
      <c r="D170" t="s">
        <v>120</v>
      </c>
      <c r="E170" t="s">
        <v>60</v>
      </c>
      <c r="F170" t="s">
        <v>124</v>
      </c>
      <c r="G170">
        <v>2</v>
      </c>
      <c r="H170" t="s">
        <v>17</v>
      </c>
      <c r="I170" t="s">
        <v>121</v>
      </c>
      <c r="J170" t="s">
        <v>66</v>
      </c>
      <c r="K170">
        <v>1</v>
      </c>
      <c r="L170" s="84">
        <v>-72838</v>
      </c>
      <c r="M170" s="84">
        <v>0</v>
      </c>
    </row>
    <row r="171" spans="3:13" hidden="1" x14ac:dyDescent="0.25">
      <c r="C171" t="s">
        <v>119</v>
      </c>
      <c r="D171" t="s">
        <v>120</v>
      </c>
      <c r="E171" t="s">
        <v>60</v>
      </c>
      <c r="F171" t="s">
        <v>123</v>
      </c>
      <c r="G171">
        <v>1</v>
      </c>
      <c r="H171" t="s">
        <v>13</v>
      </c>
      <c r="I171" t="s">
        <v>121</v>
      </c>
      <c r="J171" t="s">
        <v>122</v>
      </c>
      <c r="K171">
        <v>0</v>
      </c>
      <c r="L171" s="84">
        <v>-954</v>
      </c>
      <c r="M171" s="84">
        <v>0</v>
      </c>
    </row>
    <row r="172" spans="3:13" hidden="1" x14ac:dyDescent="0.25">
      <c r="C172" t="s">
        <v>119</v>
      </c>
      <c r="D172" t="s">
        <v>120</v>
      </c>
      <c r="E172" t="s">
        <v>63</v>
      </c>
      <c r="F172" t="s">
        <v>124</v>
      </c>
      <c r="G172">
        <v>1</v>
      </c>
      <c r="H172" t="s">
        <v>73</v>
      </c>
      <c r="I172" t="s">
        <v>121</v>
      </c>
      <c r="J172" t="s">
        <v>122</v>
      </c>
      <c r="K172">
        <v>0</v>
      </c>
      <c r="L172" s="84">
        <v>1412418</v>
      </c>
      <c r="M172" s="84">
        <v>1412418</v>
      </c>
    </row>
    <row r="173" spans="3:13" hidden="1" x14ac:dyDescent="0.25">
      <c r="C173" t="s">
        <v>65</v>
      </c>
      <c r="D173" t="s">
        <v>120</v>
      </c>
      <c r="E173" t="s">
        <v>60</v>
      </c>
      <c r="F173" t="s">
        <v>123</v>
      </c>
      <c r="G173">
        <v>4</v>
      </c>
      <c r="H173" t="s">
        <v>75</v>
      </c>
      <c r="I173" t="s">
        <v>121</v>
      </c>
      <c r="J173" t="s">
        <v>122</v>
      </c>
      <c r="K173">
        <v>0</v>
      </c>
      <c r="L173" s="84">
        <v>-95417</v>
      </c>
      <c r="M173" s="84">
        <v>0</v>
      </c>
    </row>
    <row r="174" spans="3:13" hidden="1" x14ac:dyDescent="0.25">
      <c r="C174" t="s">
        <v>119</v>
      </c>
      <c r="D174" t="s">
        <v>120</v>
      </c>
      <c r="E174" t="s">
        <v>63</v>
      </c>
      <c r="F174" t="s">
        <v>25</v>
      </c>
      <c r="G174">
        <v>14</v>
      </c>
      <c r="H174" t="s">
        <v>18</v>
      </c>
      <c r="I174" t="s">
        <v>121</v>
      </c>
      <c r="J174" t="s">
        <v>122</v>
      </c>
      <c r="K174">
        <v>0</v>
      </c>
      <c r="L174" s="84">
        <v>3928808</v>
      </c>
      <c r="M174" s="84">
        <v>55003312</v>
      </c>
    </row>
    <row r="175" spans="3:13" hidden="1" x14ac:dyDescent="0.25">
      <c r="C175" t="s">
        <v>65</v>
      </c>
      <c r="D175" t="s">
        <v>120</v>
      </c>
      <c r="E175" t="s">
        <v>60</v>
      </c>
      <c r="F175" t="s">
        <v>24</v>
      </c>
      <c r="G175">
        <v>-4</v>
      </c>
      <c r="H175" t="s">
        <v>14</v>
      </c>
      <c r="I175" t="s">
        <v>121</v>
      </c>
      <c r="J175" t="s">
        <v>66</v>
      </c>
      <c r="K175">
        <v>1</v>
      </c>
      <c r="L175" s="84">
        <v>-11030</v>
      </c>
      <c r="M175" s="84">
        <v>0</v>
      </c>
    </row>
    <row r="176" spans="3:13" hidden="1" x14ac:dyDescent="0.25">
      <c r="C176" t="s">
        <v>119</v>
      </c>
      <c r="D176" t="s">
        <v>120</v>
      </c>
      <c r="E176" t="s">
        <v>60</v>
      </c>
      <c r="F176" t="s">
        <v>25</v>
      </c>
      <c r="G176">
        <v>9</v>
      </c>
      <c r="H176" t="s">
        <v>69</v>
      </c>
      <c r="I176" t="s">
        <v>121</v>
      </c>
      <c r="J176" t="s">
        <v>122</v>
      </c>
      <c r="K176">
        <v>0</v>
      </c>
      <c r="L176" s="84">
        <v>-37654</v>
      </c>
      <c r="M176" s="84">
        <v>0</v>
      </c>
    </row>
    <row r="177" spans="3:13" hidden="1" x14ac:dyDescent="0.25">
      <c r="C177" t="s">
        <v>64</v>
      </c>
      <c r="D177" t="s">
        <v>120</v>
      </c>
      <c r="E177" t="s">
        <v>60</v>
      </c>
      <c r="F177" t="s">
        <v>123</v>
      </c>
      <c r="G177">
        <v>-1</v>
      </c>
      <c r="H177" t="s">
        <v>70</v>
      </c>
      <c r="I177" t="s">
        <v>121</v>
      </c>
      <c r="J177" t="s">
        <v>122</v>
      </c>
      <c r="K177">
        <v>0</v>
      </c>
      <c r="L177" s="84">
        <v>-232</v>
      </c>
      <c r="M177" s="84">
        <v>0</v>
      </c>
    </row>
    <row r="178" spans="3:13" hidden="1" x14ac:dyDescent="0.25">
      <c r="C178" t="s">
        <v>64</v>
      </c>
      <c r="D178" t="s">
        <v>120</v>
      </c>
      <c r="E178" t="s">
        <v>63</v>
      </c>
      <c r="F178" t="s">
        <v>124</v>
      </c>
      <c r="G178">
        <v>-1</v>
      </c>
      <c r="H178" t="s">
        <v>12</v>
      </c>
      <c r="I178" t="s">
        <v>121</v>
      </c>
      <c r="J178" t="s">
        <v>122</v>
      </c>
      <c r="K178">
        <v>0</v>
      </c>
      <c r="L178" s="84">
        <v>2947202</v>
      </c>
      <c r="M178" s="84">
        <v>0</v>
      </c>
    </row>
    <row r="179" spans="3:13" hidden="1" x14ac:dyDescent="0.25">
      <c r="C179" t="s">
        <v>119</v>
      </c>
      <c r="D179" t="s">
        <v>125</v>
      </c>
      <c r="E179" t="s">
        <v>63</v>
      </c>
      <c r="F179" t="s">
        <v>25</v>
      </c>
      <c r="G179">
        <v>23</v>
      </c>
      <c r="I179" t="s">
        <v>121</v>
      </c>
      <c r="J179" t="s">
        <v>122</v>
      </c>
      <c r="K179">
        <v>0</v>
      </c>
      <c r="L179" s="84">
        <v>486274</v>
      </c>
      <c r="M179" s="84">
        <v>11184302</v>
      </c>
    </row>
    <row r="180" spans="3:13" hidden="1" x14ac:dyDescent="0.25">
      <c r="C180" t="s">
        <v>119</v>
      </c>
      <c r="D180" t="s">
        <v>120</v>
      </c>
      <c r="E180" t="s">
        <v>60</v>
      </c>
      <c r="F180" t="s">
        <v>124</v>
      </c>
      <c r="G180">
        <v>7</v>
      </c>
      <c r="H180" t="s">
        <v>16</v>
      </c>
      <c r="I180" t="s">
        <v>121</v>
      </c>
      <c r="J180" t="s">
        <v>122</v>
      </c>
      <c r="K180">
        <v>0</v>
      </c>
      <c r="L180" s="84">
        <v>-121</v>
      </c>
      <c r="M180" s="84">
        <v>0</v>
      </c>
    </row>
    <row r="181" spans="3:13" hidden="1" x14ac:dyDescent="0.25">
      <c r="C181" t="s">
        <v>64</v>
      </c>
      <c r="D181" t="s">
        <v>120</v>
      </c>
      <c r="E181" t="s">
        <v>60</v>
      </c>
      <c r="F181" t="s">
        <v>24</v>
      </c>
      <c r="G181">
        <v>-1</v>
      </c>
      <c r="H181" t="s">
        <v>68</v>
      </c>
      <c r="I181" t="s">
        <v>121</v>
      </c>
      <c r="J181" t="s">
        <v>122</v>
      </c>
      <c r="K181">
        <v>0</v>
      </c>
      <c r="L181" s="84">
        <v>-13577</v>
      </c>
      <c r="M181" s="84">
        <v>0</v>
      </c>
    </row>
    <row r="182" spans="3:13" hidden="1" x14ac:dyDescent="0.25">
      <c r="C182" t="s">
        <v>65</v>
      </c>
      <c r="D182" t="s">
        <v>120</v>
      </c>
      <c r="E182" t="s">
        <v>63</v>
      </c>
      <c r="F182" t="s">
        <v>124</v>
      </c>
      <c r="G182">
        <v>-4</v>
      </c>
      <c r="H182" t="s">
        <v>12</v>
      </c>
      <c r="I182" t="s">
        <v>62</v>
      </c>
      <c r="J182" t="s">
        <v>66</v>
      </c>
      <c r="K182">
        <v>1</v>
      </c>
      <c r="L182" s="84">
        <v>291107</v>
      </c>
      <c r="M182" s="84">
        <v>0</v>
      </c>
    </row>
    <row r="183" spans="3:13" hidden="1" x14ac:dyDescent="0.25">
      <c r="C183" t="s">
        <v>64</v>
      </c>
      <c r="D183" t="s">
        <v>120</v>
      </c>
      <c r="E183" t="s">
        <v>63</v>
      </c>
      <c r="F183" t="s">
        <v>24</v>
      </c>
      <c r="G183">
        <v>8</v>
      </c>
      <c r="H183" t="s">
        <v>17</v>
      </c>
      <c r="I183" t="s">
        <v>121</v>
      </c>
      <c r="J183" t="s">
        <v>122</v>
      </c>
      <c r="K183">
        <v>0</v>
      </c>
      <c r="L183" s="84">
        <v>758796</v>
      </c>
      <c r="M183" s="84">
        <v>6070368</v>
      </c>
    </row>
    <row r="184" spans="3:13" hidden="1" x14ac:dyDescent="0.25">
      <c r="C184" t="s">
        <v>65</v>
      </c>
      <c r="D184" t="s">
        <v>120</v>
      </c>
      <c r="E184" t="s">
        <v>60</v>
      </c>
      <c r="F184" t="s">
        <v>124</v>
      </c>
      <c r="G184">
        <v>7</v>
      </c>
      <c r="H184" t="s">
        <v>18</v>
      </c>
      <c r="I184" t="s">
        <v>121</v>
      </c>
      <c r="J184" t="s">
        <v>122</v>
      </c>
      <c r="K184">
        <v>0</v>
      </c>
      <c r="L184" s="84">
        <v>-852316</v>
      </c>
      <c r="M184" s="84">
        <v>0</v>
      </c>
    </row>
    <row r="185" spans="3:13" hidden="1" x14ac:dyDescent="0.25">
      <c r="C185" t="s">
        <v>119</v>
      </c>
      <c r="D185" t="s">
        <v>120</v>
      </c>
      <c r="E185" t="s">
        <v>63</v>
      </c>
      <c r="F185" t="s">
        <v>25</v>
      </c>
      <c r="G185">
        <v>11</v>
      </c>
      <c r="H185" t="s">
        <v>73</v>
      </c>
      <c r="I185" t="s">
        <v>121</v>
      </c>
      <c r="J185" t="s">
        <v>122</v>
      </c>
      <c r="K185">
        <v>0</v>
      </c>
      <c r="L185" s="84">
        <v>1076158</v>
      </c>
      <c r="M185" s="84">
        <v>11837738</v>
      </c>
    </row>
    <row r="186" spans="3:13" hidden="1" x14ac:dyDescent="0.25">
      <c r="C186" t="s">
        <v>119</v>
      </c>
      <c r="D186" t="s">
        <v>120</v>
      </c>
      <c r="E186" t="s">
        <v>60</v>
      </c>
      <c r="F186" t="s">
        <v>24</v>
      </c>
      <c r="G186">
        <v>4</v>
      </c>
      <c r="H186" t="s">
        <v>75</v>
      </c>
      <c r="I186" t="s">
        <v>121</v>
      </c>
      <c r="J186" t="s">
        <v>122</v>
      </c>
      <c r="K186">
        <v>0</v>
      </c>
      <c r="L186" s="84">
        <v>-622</v>
      </c>
      <c r="M186" s="84">
        <v>0</v>
      </c>
    </row>
    <row r="187" spans="3:13" hidden="1" x14ac:dyDescent="0.25">
      <c r="C187" t="s">
        <v>64</v>
      </c>
      <c r="D187" t="s">
        <v>120</v>
      </c>
      <c r="E187" t="s">
        <v>60</v>
      </c>
      <c r="F187" t="s">
        <v>25</v>
      </c>
      <c r="G187">
        <v>7</v>
      </c>
      <c r="H187" t="s">
        <v>67</v>
      </c>
      <c r="I187" t="s">
        <v>121</v>
      </c>
      <c r="J187" t="s">
        <v>122</v>
      </c>
      <c r="K187">
        <v>0</v>
      </c>
      <c r="L187" s="84">
        <v>-3483</v>
      </c>
      <c r="M187" s="84">
        <v>0</v>
      </c>
    </row>
    <row r="188" spans="3:13" hidden="1" x14ac:dyDescent="0.25">
      <c r="C188" t="s">
        <v>119</v>
      </c>
      <c r="D188" t="s">
        <v>120</v>
      </c>
      <c r="E188" t="s">
        <v>63</v>
      </c>
      <c r="F188" t="s">
        <v>124</v>
      </c>
      <c r="G188">
        <v>4</v>
      </c>
      <c r="H188" t="s">
        <v>15</v>
      </c>
      <c r="I188" t="s">
        <v>62</v>
      </c>
      <c r="J188" t="s">
        <v>122</v>
      </c>
      <c r="K188">
        <v>1</v>
      </c>
      <c r="L188" s="84">
        <v>4289940</v>
      </c>
      <c r="M188" s="84">
        <v>17159760</v>
      </c>
    </row>
    <row r="189" spans="3:13" hidden="1" x14ac:dyDescent="0.25">
      <c r="C189" t="s">
        <v>64</v>
      </c>
      <c r="D189" t="s">
        <v>125</v>
      </c>
      <c r="E189" t="s">
        <v>63</v>
      </c>
      <c r="F189" t="s">
        <v>24</v>
      </c>
      <c r="G189">
        <v>22</v>
      </c>
      <c r="I189" t="s">
        <v>121</v>
      </c>
      <c r="J189" t="s">
        <v>122</v>
      </c>
      <c r="K189">
        <v>0</v>
      </c>
      <c r="L189" s="84">
        <v>47760278</v>
      </c>
      <c r="M189" s="84">
        <v>1050726116</v>
      </c>
    </row>
    <row r="190" spans="3:13" hidden="1" x14ac:dyDescent="0.25">
      <c r="C190" t="s">
        <v>64</v>
      </c>
      <c r="D190" t="s">
        <v>120</v>
      </c>
      <c r="E190" t="s">
        <v>60</v>
      </c>
      <c r="F190" t="s">
        <v>123</v>
      </c>
      <c r="G190">
        <v>1</v>
      </c>
      <c r="H190" t="s">
        <v>13</v>
      </c>
      <c r="I190" t="s">
        <v>121</v>
      </c>
      <c r="J190" t="s">
        <v>122</v>
      </c>
      <c r="K190">
        <v>0</v>
      </c>
      <c r="L190" s="84">
        <v>-2536</v>
      </c>
      <c r="M190" s="84">
        <v>0</v>
      </c>
    </row>
    <row r="191" spans="3:13" hidden="1" x14ac:dyDescent="0.25">
      <c r="C191" t="s">
        <v>65</v>
      </c>
      <c r="D191" t="s">
        <v>120</v>
      </c>
      <c r="E191" t="s">
        <v>63</v>
      </c>
      <c r="F191" t="s">
        <v>25</v>
      </c>
      <c r="G191">
        <v>-4</v>
      </c>
      <c r="H191" t="s">
        <v>14</v>
      </c>
      <c r="I191" t="s">
        <v>121</v>
      </c>
      <c r="J191" t="s">
        <v>122</v>
      </c>
      <c r="K191">
        <v>0</v>
      </c>
      <c r="L191" s="84">
        <v>829684</v>
      </c>
      <c r="M191" s="84">
        <v>0</v>
      </c>
    </row>
    <row r="192" spans="3:13" x14ac:dyDescent="0.25">
      <c r="C192" t="s">
        <v>65</v>
      </c>
      <c r="D192" t="s">
        <v>120</v>
      </c>
      <c r="E192" t="s">
        <v>63</v>
      </c>
      <c r="F192" t="s">
        <v>25</v>
      </c>
      <c r="G192">
        <v>-4</v>
      </c>
      <c r="H192" t="s">
        <v>14</v>
      </c>
      <c r="I192" t="s">
        <v>121</v>
      </c>
      <c r="J192" t="s">
        <v>66</v>
      </c>
      <c r="K192">
        <v>1</v>
      </c>
      <c r="L192" s="84">
        <v>1163282</v>
      </c>
      <c r="M192" s="84">
        <v>0</v>
      </c>
    </row>
    <row r="193" spans="3:13" hidden="1" x14ac:dyDescent="0.25">
      <c r="C193" t="s">
        <v>65</v>
      </c>
      <c r="D193" t="s">
        <v>120</v>
      </c>
      <c r="E193" t="s">
        <v>60</v>
      </c>
      <c r="F193" t="s">
        <v>124</v>
      </c>
      <c r="G193">
        <v>-1</v>
      </c>
      <c r="H193" t="s">
        <v>75</v>
      </c>
      <c r="I193" t="s">
        <v>121</v>
      </c>
      <c r="J193" t="s">
        <v>122</v>
      </c>
      <c r="K193">
        <v>0</v>
      </c>
      <c r="L193" s="84">
        <v>-2470979</v>
      </c>
      <c r="M193" s="84">
        <v>0</v>
      </c>
    </row>
    <row r="194" spans="3:13" hidden="1" x14ac:dyDescent="0.25">
      <c r="C194" t="s">
        <v>119</v>
      </c>
      <c r="D194" t="s">
        <v>120</v>
      </c>
      <c r="E194" t="s">
        <v>60</v>
      </c>
      <c r="F194" t="s">
        <v>124</v>
      </c>
      <c r="G194">
        <v>9</v>
      </c>
      <c r="H194" t="s">
        <v>17</v>
      </c>
      <c r="I194" t="s">
        <v>121</v>
      </c>
      <c r="J194" t="s">
        <v>122</v>
      </c>
      <c r="K194">
        <v>0</v>
      </c>
      <c r="L194" s="84">
        <v>-618</v>
      </c>
      <c r="M194" s="84">
        <v>0</v>
      </c>
    </row>
    <row r="195" spans="3:13" hidden="1" x14ac:dyDescent="0.25">
      <c r="C195" t="s">
        <v>64</v>
      </c>
      <c r="D195" t="s">
        <v>120</v>
      </c>
      <c r="E195" t="s">
        <v>60</v>
      </c>
      <c r="F195" t="s">
        <v>24</v>
      </c>
      <c r="G195">
        <v>8</v>
      </c>
      <c r="H195" t="s">
        <v>67</v>
      </c>
      <c r="I195" t="s">
        <v>121</v>
      </c>
      <c r="J195" t="s">
        <v>122</v>
      </c>
      <c r="K195">
        <v>0</v>
      </c>
      <c r="L195" s="84">
        <v>-4604</v>
      </c>
      <c r="M195" s="84">
        <v>0</v>
      </c>
    </row>
    <row r="196" spans="3:13" hidden="1" x14ac:dyDescent="0.25">
      <c r="C196" t="s">
        <v>119</v>
      </c>
      <c r="D196" t="s">
        <v>120</v>
      </c>
      <c r="E196" t="s">
        <v>60</v>
      </c>
      <c r="F196" t="s">
        <v>24</v>
      </c>
      <c r="G196">
        <v>14</v>
      </c>
      <c r="H196" t="s">
        <v>67</v>
      </c>
      <c r="I196" t="s">
        <v>121</v>
      </c>
      <c r="J196" t="s">
        <v>122</v>
      </c>
      <c r="K196">
        <v>0</v>
      </c>
      <c r="L196" s="84">
        <v>-3472</v>
      </c>
      <c r="M196" s="84">
        <v>0</v>
      </c>
    </row>
    <row r="197" spans="3:13" hidden="1" x14ac:dyDescent="0.25">
      <c r="C197" t="s">
        <v>65</v>
      </c>
      <c r="D197" t="s">
        <v>120</v>
      </c>
      <c r="E197" t="s">
        <v>63</v>
      </c>
      <c r="F197" t="s">
        <v>124</v>
      </c>
      <c r="G197">
        <v>-1</v>
      </c>
      <c r="H197" t="s">
        <v>17</v>
      </c>
      <c r="I197" t="s">
        <v>121</v>
      </c>
      <c r="J197" t="s">
        <v>66</v>
      </c>
      <c r="K197">
        <v>1</v>
      </c>
      <c r="L197" s="84">
        <v>542776</v>
      </c>
      <c r="M197" s="84">
        <v>0</v>
      </c>
    </row>
    <row r="198" spans="3:13" hidden="1" x14ac:dyDescent="0.25">
      <c r="C198" t="s">
        <v>119</v>
      </c>
      <c r="D198" t="s">
        <v>120</v>
      </c>
      <c r="E198" t="s">
        <v>60</v>
      </c>
      <c r="F198" t="s">
        <v>123</v>
      </c>
      <c r="G198">
        <v>-1</v>
      </c>
      <c r="H198" t="s">
        <v>70</v>
      </c>
      <c r="I198" t="s">
        <v>121</v>
      </c>
      <c r="J198" t="s">
        <v>122</v>
      </c>
      <c r="K198">
        <v>0</v>
      </c>
      <c r="L198" s="84">
        <v>-775</v>
      </c>
      <c r="M198" s="84">
        <v>0</v>
      </c>
    </row>
    <row r="199" spans="3:13" hidden="1" x14ac:dyDescent="0.25">
      <c r="C199" t="s">
        <v>65</v>
      </c>
      <c r="D199" t="s">
        <v>126</v>
      </c>
      <c r="E199" t="s">
        <v>63</v>
      </c>
      <c r="F199" t="s">
        <v>24</v>
      </c>
      <c r="G199">
        <v>-4</v>
      </c>
      <c r="H199" t="s">
        <v>74</v>
      </c>
      <c r="I199" t="s">
        <v>121</v>
      </c>
      <c r="J199" t="s">
        <v>122</v>
      </c>
      <c r="K199">
        <v>0</v>
      </c>
      <c r="L199" s="84">
        <v>780733</v>
      </c>
      <c r="M199" s="84">
        <v>0</v>
      </c>
    </row>
    <row r="200" spans="3:13" hidden="1" x14ac:dyDescent="0.25">
      <c r="C200" t="s">
        <v>119</v>
      </c>
      <c r="D200" t="s">
        <v>120</v>
      </c>
      <c r="E200" t="s">
        <v>60</v>
      </c>
      <c r="F200" t="s">
        <v>124</v>
      </c>
      <c r="G200">
        <v>-1</v>
      </c>
      <c r="H200" t="s">
        <v>79</v>
      </c>
      <c r="I200" t="s">
        <v>121</v>
      </c>
      <c r="J200" t="s">
        <v>122</v>
      </c>
      <c r="K200">
        <v>0</v>
      </c>
      <c r="L200" s="84">
        <v>-1485</v>
      </c>
      <c r="M200" s="84">
        <v>0</v>
      </c>
    </row>
    <row r="201" spans="3:13" hidden="1" x14ac:dyDescent="0.25">
      <c r="C201" t="s">
        <v>64</v>
      </c>
      <c r="D201" t="s">
        <v>120</v>
      </c>
      <c r="E201" t="s">
        <v>63</v>
      </c>
      <c r="F201" t="s">
        <v>124</v>
      </c>
      <c r="G201">
        <v>4</v>
      </c>
      <c r="H201" t="s">
        <v>71</v>
      </c>
      <c r="I201" t="s">
        <v>121</v>
      </c>
      <c r="J201" t="s">
        <v>122</v>
      </c>
      <c r="K201">
        <v>0</v>
      </c>
      <c r="L201" s="84">
        <v>1828918</v>
      </c>
      <c r="M201" s="84">
        <v>7315672</v>
      </c>
    </row>
    <row r="202" spans="3:13" hidden="1" x14ac:dyDescent="0.25">
      <c r="C202" t="s">
        <v>64</v>
      </c>
      <c r="D202" t="s">
        <v>120</v>
      </c>
      <c r="E202" t="s">
        <v>60</v>
      </c>
      <c r="F202" t="s">
        <v>124</v>
      </c>
      <c r="G202">
        <v>-4</v>
      </c>
      <c r="H202" t="s">
        <v>14</v>
      </c>
      <c r="I202" t="s">
        <v>121</v>
      </c>
      <c r="J202" t="s">
        <v>66</v>
      </c>
      <c r="K202">
        <v>1</v>
      </c>
      <c r="L202" s="84">
        <v>-47059</v>
      </c>
      <c r="M202" s="84">
        <v>0</v>
      </c>
    </row>
    <row r="203" spans="3:13" hidden="1" x14ac:dyDescent="0.25">
      <c r="C203" t="s">
        <v>65</v>
      </c>
      <c r="D203" t="s">
        <v>125</v>
      </c>
      <c r="E203" t="s">
        <v>60</v>
      </c>
      <c r="F203" t="s">
        <v>25</v>
      </c>
      <c r="G203">
        <v>5</v>
      </c>
      <c r="I203" t="s">
        <v>121</v>
      </c>
      <c r="J203" t="s">
        <v>122</v>
      </c>
      <c r="K203">
        <v>0</v>
      </c>
      <c r="L203" s="84">
        <v>-1563</v>
      </c>
      <c r="M203" s="84">
        <v>0</v>
      </c>
    </row>
    <row r="204" spans="3:13" hidden="1" x14ac:dyDescent="0.25">
      <c r="C204" t="s">
        <v>65</v>
      </c>
      <c r="D204" t="s">
        <v>120</v>
      </c>
      <c r="E204" t="s">
        <v>60</v>
      </c>
      <c r="F204" t="s">
        <v>124</v>
      </c>
      <c r="G204">
        <v>3</v>
      </c>
      <c r="H204" t="s">
        <v>12</v>
      </c>
      <c r="I204" t="s">
        <v>121</v>
      </c>
      <c r="J204" t="s">
        <v>66</v>
      </c>
      <c r="K204">
        <v>1</v>
      </c>
      <c r="L204" s="84">
        <v>-65035</v>
      </c>
      <c r="M204" s="84">
        <v>0</v>
      </c>
    </row>
    <row r="205" spans="3:13" hidden="1" x14ac:dyDescent="0.25">
      <c r="C205" t="s">
        <v>65</v>
      </c>
      <c r="D205" t="s">
        <v>120</v>
      </c>
      <c r="E205" t="s">
        <v>63</v>
      </c>
      <c r="F205" t="s">
        <v>25</v>
      </c>
      <c r="G205">
        <v>2</v>
      </c>
      <c r="H205" t="s">
        <v>17</v>
      </c>
      <c r="I205" t="s">
        <v>121</v>
      </c>
      <c r="J205" t="s">
        <v>122</v>
      </c>
      <c r="K205">
        <v>0</v>
      </c>
      <c r="L205" s="84">
        <v>71289</v>
      </c>
      <c r="M205" s="84">
        <v>142578</v>
      </c>
    </row>
    <row r="206" spans="3:13" hidden="1" x14ac:dyDescent="0.25">
      <c r="C206" t="s">
        <v>119</v>
      </c>
      <c r="D206" t="s">
        <v>120</v>
      </c>
      <c r="E206" t="s">
        <v>60</v>
      </c>
      <c r="F206" t="s">
        <v>24</v>
      </c>
      <c r="G206">
        <v>8</v>
      </c>
      <c r="H206" t="s">
        <v>72</v>
      </c>
      <c r="I206" t="s">
        <v>121</v>
      </c>
      <c r="J206" t="s">
        <v>122</v>
      </c>
      <c r="K206">
        <v>0</v>
      </c>
      <c r="L206" s="84">
        <v>-1246</v>
      </c>
      <c r="M206" s="84">
        <v>0</v>
      </c>
    </row>
    <row r="207" spans="3:13" hidden="1" x14ac:dyDescent="0.25">
      <c r="C207" t="s">
        <v>64</v>
      </c>
      <c r="D207" t="s">
        <v>120</v>
      </c>
      <c r="E207" t="s">
        <v>63</v>
      </c>
      <c r="F207" t="s">
        <v>24</v>
      </c>
      <c r="G207">
        <v>-1</v>
      </c>
      <c r="H207" t="s">
        <v>18</v>
      </c>
      <c r="I207" t="s">
        <v>121</v>
      </c>
      <c r="J207" t="s">
        <v>122</v>
      </c>
      <c r="K207">
        <v>0</v>
      </c>
      <c r="L207" s="84">
        <v>218727</v>
      </c>
      <c r="M207" s="84">
        <v>0</v>
      </c>
    </row>
    <row r="208" spans="3:13" hidden="1" x14ac:dyDescent="0.25">
      <c r="C208" t="s">
        <v>64</v>
      </c>
      <c r="D208" t="s">
        <v>120</v>
      </c>
      <c r="E208" t="s">
        <v>63</v>
      </c>
      <c r="F208" t="s">
        <v>24</v>
      </c>
      <c r="G208">
        <v>12</v>
      </c>
      <c r="H208" t="s">
        <v>68</v>
      </c>
      <c r="I208" t="s">
        <v>121</v>
      </c>
      <c r="J208" t="s">
        <v>122</v>
      </c>
      <c r="K208">
        <v>0</v>
      </c>
      <c r="L208" s="84">
        <v>957103</v>
      </c>
      <c r="M208" s="84">
        <v>11485236</v>
      </c>
    </row>
    <row r="209" spans="3:13" x14ac:dyDescent="0.25">
      <c r="C209" t="s">
        <v>64</v>
      </c>
      <c r="D209" t="s">
        <v>120</v>
      </c>
      <c r="E209" t="s">
        <v>63</v>
      </c>
      <c r="F209" t="s">
        <v>25</v>
      </c>
      <c r="G209">
        <v>-4</v>
      </c>
      <c r="H209" t="s">
        <v>17</v>
      </c>
      <c r="I209" t="s">
        <v>62</v>
      </c>
      <c r="J209" t="s">
        <v>66</v>
      </c>
      <c r="K209">
        <v>1</v>
      </c>
      <c r="L209" s="84">
        <v>88</v>
      </c>
      <c r="M209" s="84">
        <v>0</v>
      </c>
    </row>
    <row r="210" spans="3:13" hidden="1" x14ac:dyDescent="0.25">
      <c r="C210" t="s">
        <v>65</v>
      </c>
      <c r="D210" t="s">
        <v>120</v>
      </c>
      <c r="E210" t="s">
        <v>63</v>
      </c>
      <c r="F210" t="s">
        <v>24</v>
      </c>
      <c r="G210">
        <v>-4</v>
      </c>
      <c r="H210" t="s">
        <v>12</v>
      </c>
      <c r="I210" t="s">
        <v>121</v>
      </c>
      <c r="J210" t="s">
        <v>122</v>
      </c>
      <c r="K210">
        <v>0</v>
      </c>
      <c r="L210" s="84">
        <v>33503</v>
      </c>
      <c r="M210" s="84">
        <v>0</v>
      </c>
    </row>
    <row r="211" spans="3:13" hidden="1" x14ac:dyDescent="0.25">
      <c r="C211" t="s">
        <v>65</v>
      </c>
      <c r="D211" t="s">
        <v>125</v>
      </c>
      <c r="E211" t="s">
        <v>63</v>
      </c>
      <c r="F211" t="s">
        <v>25</v>
      </c>
      <c r="G211">
        <v>30</v>
      </c>
      <c r="I211" t="s">
        <v>121</v>
      </c>
      <c r="J211" t="s">
        <v>122</v>
      </c>
      <c r="K211">
        <v>0</v>
      </c>
      <c r="L211" s="84">
        <v>134174</v>
      </c>
      <c r="M211" s="84">
        <v>4025220</v>
      </c>
    </row>
    <row r="212" spans="3:13" hidden="1" x14ac:dyDescent="0.25">
      <c r="C212" t="s">
        <v>119</v>
      </c>
      <c r="D212" t="s">
        <v>120</v>
      </c>
      <c r="E212" t="s">
        <v>60</v>
      </c>
      <c r="F212" t="s">
        <v>124</v>
      </c>
      <c r="G212">
        <v>8</v>
      </c>
      <c r="H212" t="s">
        <v>17</v>
      </c>
      <c r="I212" t="s">
        <v>121</v>
      </c>
      <c r="J212" t="s">
        <v>122</v>
      </c>
      <c r="K212">
        <v>0</v>
      </c>
      <c r="L212" s="84">
        <v>-2568</v>
      </c>
      <c r="M212" s="84">
        <v>0</v>
      </c>
    </row>
    <row r="213" spans="3:13" hidden="1" x14ac:dyDescent="0.25">
      <c r="C213" t="s">
        <v>64</v>
      </c>
      <c r="D213" t="s">
        <v>126</v>
      </c>
      <c r="E213" t="s">
        <v>60</v>
      </c>
      <c r="F213" t="s">
        <v>25</v>
      </c>
      <c r="G213">
        <v>6</v>
      </c>
      <c r="H213" t="s">
        <v>74</v>
      </c>
      <c r="I213" t="s">
        <v>121</v>
      </c>
      <c r="J213" t="s">
        <v>122</v>
      </c>
      <c r="K213">
        <v>0</v>
      </c>
      <c r="L213" s="84">
        <v>-438</v>
      </c>
      <c r="M213" s="84">
        <v>0</v>
      </c>
    </row>
    <row r="214" spans="3:13" hidden="1" x14ac:dyDescent="0.25">
      <c r="C214" t="s">
        <v>64</v>
      </c>
      <c r="D214" t="s">
        <v>126</v>
      </c>
      <c r="E214" t="s">
        <v>63</v>
      </c>
      <c r="F214" t="s">
        <v>25</v>
      </c>
      <c r="G214">
        <v>-4</v>
      </c>
      <c r="H214" t="s">
        <v>72</v>
      </c>
      <c r="I214" t="s">
        <v>121</v>
      </c>
      <c r="J214" t="s">
        <v>122</v>
      </c>
      <c r="K214">
        <v>0</v>
      </c>
      <c r="L214" s="84">
        <v>11</v>
      </c>
      <c r="M214" s="84">
        <v>0</v>
      </c>
    </row>
    <row r="215" spans="3:13" hidden="1" x14ac:dyDescent="0.25">
      <c r="C215" t="s">
        <v>64</v>
      </c>
      <c r="D215" t="s">
        <v>125</v>
      </c>
      <c r="E215" t="s">
        <v>60</v>
      </c>
      <c r="F215" t="s">
        <v>25</v>
      </c>
      <c r="G215">
        <v>7</v>
      </c>
      <c r="I215" t="s">
        <v>121</v>
      </c>
      <c r="J215" t="s">
        <v>122</v>
      </c>
      <c r="K215">
        <v>0</v>
      </c>
      <c r="L215" s="84">
        <v>-44542</v>
      </c>
      <c r="M215" s="84">
        <v>0</v>
      </c>
    </row>
    <row r="216" spans="3:13" hidden="1" x14ac:dyDescent="0.25">
      <c r="C216" t="s">
        <v>119</v>
      </c>
      <c r="D216" t="s">
        <v>120</v>
      </c>
      <c r="E216" t="s">
        <v>63</v>
      </c>
      <c r="F216" t="s">
        <v>25</v>
      </c>
      <c r="G216">
        <v>12</v>
      </c>
      <c r="H216" t="s">
        <v>18</v>
      </c>
      <c r="I216" t="s">
        <v>121</v>
      </c>
      <c r="J216" t="s">
        <v>122</v>
      </c>
      <c r="K216">
        <v>0</v>
      </c>
      <c r="L216" s="84">
        <v>4534124</v>
      </c>
      <c r="M216" s="84">
        <v>54409488</v>
      </c>
    </row>
    <row r="217" spans="3:13" x14ac:dyDescent="0.25">
      <c r="C217" t="s">
        <v>119</v>
      </c>
      <c r="D217" t="s">
        <v>120</v>
      </c>
      <c r="E217" t="s">
        <v>63</v>
      </c>
      <c r="F217" t="s">
        <v>25</v>
      </c>
      <c r="G217">
        <v>12</v>
      </c>
      <c r="H217" t="s">
        <v>18</v>
      </c>
      <c r="I217" t="s">
        <v>121</v>
      </c>
      <c r="J217" t="s">
        <v>66</v>
      </c>
      <c r="K217">
        <v>1</v>
      </c>
      <c r="L217" s="84">
        <v>281456</v>
      </c>
      <c r="M217" s="84">
        <v>3377472</v>
      </c>
    </row>
    <row r="218" spans="3:13" hidden="1" x14ac:dyDescent="0.25">
      <c r="C218" t="s">
        <v>65</v>
      </c>
      <c r="D218" t="s">
        <v>125</v>
      </c>
      <c r="E218" t="s">
        <v>63</v>
      </c>
      <c r="F218" t="s">
        <v>24</v>
      </c>
      <c r="G218">
        <v>41</v>
      </c>
      <c r="I218" t="s">
        <v>121</v>
      </c>
      <c r="J218" t="s">
        <v>122</v>
      </c>
      <c r="K218">
        <v>0</v>
      </c>
      <c r="L218" s="84">
        <v>677731</v>
      </c>
      <c r="M218" s="84">
        <v>27786971</v>
      </c>
    </row>
    <row r="219" spans="3:13" hidden="1" x14ac:dyDescent="0.25">
      <c r="C219" t="s">
        <v>119</v>
      </c>
      <c r="D219" t="s">
        <v>120</v>
      </c>
      <c r="E219" t="s">
        <v>60</v>
      </c>
      <c r="F219" t="s">
        <v>124</v>
      </c>
      <c r="G219">
        <v>3</v>
      </c>
      <c r="H219" t="s">
        <v>14</v>
      </c>
      <c r="I219" t="s">
        <v>121</v>
      </c>
      <c r="J219" t="s">
        <v>66</v>
      </c>
      <c r="K219">
        <v>1</v>
      </c>
      <c r="L219" s="84">
        <v>-85567</v>
      </c>
      <c r="M219" s="84">
        <v>0</v>
      </c>
    </row>
    <row r="220" spans="3:13" hidden="1" x14ac:dyDescent="0.25">
      <c r="C220" t="s">
        <v>64</v>
      </c>
      <c r="D220" t="s">
        <v>120</v>
      </c>
      <c r="E220" t="s">
        <v>60</v>
      </c>
      <c r="F220" t="s">
        <v>123</v>
      </c>
      <c r="G220">
        <v>5</v>
      </c>
      <c r="H220" t="s">
        <v>17</v>
      </c>
      <c r="I220" t="s">
        <v>121</v>
      </c>
      <c r="J220" t="s">
        <v>66</v>
      </c>
      <c r="K220">
        <v>1</v>
      </c>
      <c r="L220" s="84">
        <v>-6786</v>
      </c>
      <c r="M220" s="84">
        <v>0</v>
      </c>
    </row>
    <row r="221" spans="3:13" hidden="1" x14ac:dyDescent="0.25">
      <c r="C221" t="s">
        <v>119</v>
      </c>
      <c r="D221" t="s">
        <v>120</v>
      </c>
      <c r="E221" t="s">
        <v>63</v>
      </c>
      <c r="F221" t="s">
        <v>25</v>
      </c>
      <c r="G221">
        <v>11</v>
      </c>
      <c r="H221" t="s">
        <v>67</v>
      </c>
      <c r="I221" t="s">
        <v>121</v>
      </c>
      <c r="J221" t="s">
        <v>122</v>
      </c>
      <c r="K221">
        <v>0</v>
      </c>
      <c r="L221" s="84">
        <v>5623656</v>
      </c>
      <c r="M221" s="84">
        <v>61860216</v>
      </c>
    </row>
    <row r="222" spans="3:13" hidden="1" x14ac:dyDescent="0.25">
      <c r="C222" t="s">
        <v>119</v>
      </c>
      <c r="D222" t="s">
        <v>120</v>
      </c>
      <c r="E222" t="s">
        <v>60</v>
      </c>
      <c r="F222" t="s">
        <v>25</v>
      </c>
      <c r="G222">
        <v>7</v>
      </c>
      <c r="H222" t="s">
        <v>76</v>
      </c>
      <c r="I222" t="s">
        <v>121</v>
      </c>
      <c r="J222" t="s">
        <v>122</v>
      </c>
      <c r="K222">
        <v>0</v>
      </c>
      <c r="L222" s="84">
        <v>-2185</v>
      </c>
      <c r="M222" s="84">
        <v>0</v>
      </c>
    </row>
    <row r="223" spans="3:13" hidden="1" x14ac:dyDescent="0.25">
      <c r="C223" t="s">
        <v>119</v>
      </c>
      <c r="D223" t="s">
        <v>120</v>
      </c>
      <c r="E223" t="s">
        <v>63</v>
      </c>
      <c r="F223" t="s">
        <v>24</v>
      </c>
      <c r="G223">
        <v>15</v>
      </c>
      <c r="H223" t="s">
        <v>68</v>
      </c>
      <c r="I223" t="s">
        <v>121</v>
      </c>
      <c r="J223" t="s">
        <v>122</v>
      </c>
      <c r="K223">
        <v>0</v>
      </c>
      <c r="L223" s="84">
        <v>6395663</v>
      </c>
      <c r="M223" s="84">
        <v>95934945</v>
      </c>
    </row>
    <row r="224" spans="3:13" hidden="1" x14ac:dyDescent="0.25">
      <c r="C224" t="s">
        <v>119</v>
      </c>
      <c r="D224" t="s">
        <v>120</v>
      </c>
      <c r="E224" t="s">
        <v>63</v>
      </c>
      <c r="F224" t="s">
        <v>123</v>
      </c>
      <c r="G224">
        <v>2</v>
      </c>
      <c r="H224" t="s">
        <v>69</v>
      </c>
      <c r="I224" t="s">
        <v>121</v>
      </c>
      <c r="J224" t="s">
        <v>122</v>
      </c>
      <c r="K224">
        <v>0</v>
      </c>
      <c r="L224" s="84">
        <v>2073284</v>
      </c>
      <c r="M224" s="84">
        <v>4146568</v>
      </c>
    </row>
    <row r="225" spans="3:13" hidden="1" x14ac:dyDescent="0.25">
      <c r="C225" t="s">
        <v>119</v>
      </c>
      <c r="D225" t="s">
        <v>120</v>
      </c>
      <c r="E225" t="s">
        <v>63</v>
      </c>
      <c r="F225" t="s">
        <v>123</v>
      </c>
      <c r="G225">
        <v>1</v>
      </c>
      <c r="H225" t="s">
        <v>14</v>
      </c>
      <c r="I225" t="s">
        <v>121</v>
      </c>
      <c r="J225" t="s">
        <v>66</v>
      </c>
      <c r="K225">
        <v>1</v>
      </c>
      <c r="L225" s="84">
        <v>1479723</v>
      </c>
      <c r="M225" s="84">
        <v>1479723</v>
      </c>
    </row>
    <row r="226" spans="3:13" hidden="1" x14ac:dyDescent="0.25">
      <c r="C226" t="s">
        <v>65</v>
      </c>
      <c r="D226" t="s">
        <v>127</v>
      </c>
      <c r="E226" t="s">
        <v>60</v>
      </c>
      <c r="F226" t="s">
        <v>25</v>
      </c>
      <c r="G226">
        <v>3</v>
      </c>
      <c r="H226" t="s">
        <v>17</v>
      </c>
      <c r="I226" t="s">
        <v>121</v>
      </c>
      <c r="J226" t="s">
        <v>122</v>
      </c>
      <c r="K226">
        <v>0</v>
      </c>
      <c r="L226" s="84">
        <v>-2196379</v>
      </c>
      <c r="M226" s="84">
        <v>0</v>
      </c>
    </row>
    <row r="227" spans="3:13" hidden="1" x14ac:dyDescent="0.25">
      <c r="C227" t="s">
        <v>119</v>
      </c>
      <c r="D227" t="s">
        <v>120</v>
      </c>
      <c r="E227" t="s">
        <v>60</v>
      </c>
      <c r="F227" t="s">
        <v>25</v>
      </c>
      <c r="G227">
        <v>2</v>
      </c>
      <c r="H227" t="s">
        <v>69</v>
      </c>
      <c r="I227" t="s">
        <v>121</v>
      </c>
      <c r="J227" t="s">
        <v>122</v>
      </c>
      <c r="K227">
        <v>0</v>
      </c>
      <c r="L227" s="84">
        <v>-40733</v>
      </c>
      <c r="M227" s="84">
        <v>0</v>
      </c>
    </row>
    <row r="228" spans="3:13" hidden="1" x14ac:dyDescent="0.25">
      <c r="C228" t="s">
        <v>119</v>
      </c>
      <c r="D228" t="s">
        <v>125</v>
      </c>
      <c r="E228" t="s">
        <v>60</v>
      </c>
      <c r="F228" t="s">
        <v>24</v>
      </c>
      <c r="G228">
        <v>40</v>
      </c>
      <c r="I228" t="s">
        <v>121</v>
      </c>
      <c r="J228" t="s">
        <v>122</v>
      </c>
      <c r="K228">
        <v>0</v>
      </c>
      <c r="L228" s="84">
        <v>-487402</v>
      </c>
      <c r="M228" s="84">
        <v>0</v>
      </c>
    </row>
    <row r="229" spans="3:13" hidden="1" x14ac:dyDescent="0.25">
      <c r="C229" t="s">
        <v>65</v>
      </c>
      <c r="D229" t="s">
        <v>120</v>
      </c>
      <c r="E229" t="s">
        <v>60</v>
      </c>
      <c r="F229" t="s">
        <v>25</v>
      </c>
      <c r="G229">
        <v>2</v>
      </c>
      <c r="H229" t="s">
        <v>14</v>
      </c>
      <c r="I229" t="s">
        <v>121</v>
      </c>
      <c r="J229" t="s">
        <v>122</v>
      </c>
      <c r="K229">
        <v>0</v>
      </c>
      <c r="L229" s="84">
        <v>-308972</v>
      </c>
      <c r="M229" s="84">
        <v>0</v>
      </c>
    </row>
    <row r="230" spans="3:13" hidden="1" x14ac:dyDescent="0.25">
      <c r="C230" t="s">
        <v>65</v>
      </c>
      <c r="D230" t="s">
        <v>120</v>
      </c>
      <c r="E230" t="s">
        <v>60</v>
      </c>
      <c r="F230" t="s">
        <v>25</v>
      </c>
      <c r="G230">
        <v>3</v>
      </c>
      <c r="H230" t="s">
        <v>14</v>
      </c>
      <c r="I230" t="s">
        <v>121</v>
      </c>
      <c r="J230" t="s">
        <v>66</v>
      </c>
      <c r="K230">
        <v>1</v>
      </c>
      <c r="L230" s="84">
        <v>-174676</v>
      </c>
      <c r="M230" s="84">
        <v>0</v>
      </c>
    </row>
    <row r="231" spans="3:13" hidden="1" x14ac:dyDescent="0.25">
      <c r="C231" t="s">
        <v>65</v>
      </c>
      <c r="D231" t="s">
        <v>120</v>
      </c>
      <c r="E231" t="s">
        <v>63</v>
      </c>
      <c r="F231" t="s">
        <v>25</v>
      </c>
      <c r="G231">
        <v>5</v>
      </c>
      <c r="H231" t="s">
        <v>68</v>
      </c>
      <c r="I231" t="s">
        <v>121</v>
      </c>
      <c r="J231" t="s">
        <v>122</v>
      </c>
      <c r="K231">
        <v>0</v>
      </c>
      <c r="L231" s="84">
        <v>178291</v>
      </c>
      <c r="M231" s="84">
        <v>891455</v>
      </c>
    </row>
    <row r="232" spans="3:13" hidden="1" x14ac:dyDescent="0.25">
      <c r="C232" t="s">
        <v>119</v>
      </c>
      <c r="D232" t="s">
        <v>120</v>
      </c>
      <c r="E232" t="s">
        <v>60</v>
      </c>
      <c r="F232" t="s">
        <v>123</v>
      </c>
      <c r="G232">
        <v>1</v>
      </c>
      <c r="H232" t="s">
        <v>76</v>
      </c>
      <c r="I232" t="s">
        <v>121</v>
      </c>
      <c r="J232" t="s">
        <v>122</v>
      </c>
      <c r="K232">
        <v>0</v>
      </c>
      <c r="L232" s="84">
        <v>-363</v>
      </c>
      <c r="M232" s="84">
        <v>0</v>
      </c>
    </row>
    <row r="233" spans="3:13" hidden="1" x14ac:dyDescent="0.25">
      <c r="C233" t="s">
        <v>65</v>
      </c>
      <c r="D233" t="s">
        <v>125</v>
      </c>
      <c r="E233" t="s">
        <v>63</v>
      </c>
      <c r="F233" t="s">
        <v>25</v>
      </c>
      <c r="G233">
        <v>-4</v>
      </c>
      <c r="I233" t="s">
        <v>121</v>
      </c>
      <c r="J233" t="s">
        <v>122</v>
      </c>
      <c r="K233">
        <v>0</v>
      </c>
      <c r="L233" s="84">
        <v>1503774</v>
      </c>
      <c r="M233" s="84">
        <v>0</v>
      </c>
    </row>
    <row r="234" spans="3:13" hidden="1" x14ac:dyDescent="0.25">
      <c r="C234" t="s">
        <v>119</v>
      </c>
      <c r="D234" t="s">
        <v>120</v>
      </c>
      <c r="E234" t="s">
        <v>63</v>
      </c>
      <c r="F234" t="s">
        <v>25</v>
      </c>
      <c r="G234">
        <v>4</v>
      </c>
      <c r="H234" t="s">
        <v>70</v>
      </c>
      <c r="I234" t="s">
        <v>121</v>
      </c>
      <c r="J234" t="s">
        <v>122</v>
      </c>
      <c r="K234">
        <v>0</v>
      </c>
      <c r="L234" s="84">
        <v>42170</v>
      </c>
      <c r="M234" s="84">
        <v>168680</v>
      </c>
    </row>
    <row r="235" spans="3:13" hidden="1" x14ac:dyDescent="0.25">
      <c r="C235" t="s">
        <v>119</v>
      </c>
      <c r="D235" t="s">
        <v>120</v>
      </c>
      <c r="E235" t="s">
        <v>60</v>
      </c>
      <c r="F235" t="s">
        <v>124</v>
      </c>
      <c r="G235">
        <v>4</v>
      </c>
      <c r="H235" t="s">
        <v>17</v>
      </c>
      <c r="I235" t="s">
        <v>62</v>
      </c>
      <c r="J235" t="s">
        <v>66</v>
      </c>
      <c r="K235">
        <v>1</v>
      </c>
      <c r="L235" s="84">
        <v>-2187</v>
      </c>
      <c r="M235" s="84">
        <v>0</v>
      </c>
    </row>
    <row r="236" spans="3:13" hidden="1" x14ac:dyDescent="0.25">
      <c r="C236" t="s">
        <v>65</v>
      </c>
      <c r="D236" t="s">
        <v>125</v>
      </c>
      <c r="E236" t="s">
        <v>63</v>
      </c>
      <c r="F236" t="s">
        <v>24</v>
      </c>
      <c r="G236">
        <v>35</v>
      </c>
      <c r="I236" t="s">
        <v>121</v>
      </c>
      <c r="J236" t="s">
        <v>122</v>
      </c>
      <c r="K236">
        <v>0</v>
      </c>
      <c r="L236" s="84">
        <v>9111457</v>
      </c>
      <c r="M236" s="84">
        <v>318900995</v>
      </c>
    </row>
    <row r="237" spans="3:13" hidden="1" x14ac:dyDescent="0.25">
      <c r="C237" t="s">
        <v>64</v>
      </c>
      <c r="D237" t="s">
        <v>120</v>
      </c>
      <c r="E237" t="s">
        <v>63</v>
      </c>
      <c r="F237" t="s">
        <v>123</v>
      </c>
      <c r="G237">
        <v>5</v>
      </c>
      <c r="H237" t="s">
        <v>70</v>
      </c>
      <c r="I237" t="s">
        <v>121</v>
      </c>
      <c r="J237" t="s">
        <v>122</v>
      </c>
      <c r="K237">
        <v>0</v>
      </c>
      <c r="L237" s="84">
        <v>28906</v>
      </c>
      <c r="M237" s="84">
        <v>144530</v>
      </c>
    </row>
    <row r="238" spans="3:13" hidden="1" x14ac:dyDescent="0.25">
      <c r="C238" t="s">
        <v>65</v>
      </c>
      <c r="D238" t="s">
        <v>120</v>
      </c>
      <c r="E238" t="s">
        <v>60</v>
      </c>
      <c r="F238" t="s">
        <v>124</v>
      </c>
      <c r="G238">
        <v>10</v>
      </c>
      <c r="H238" t="s">
        <v>14</v>
      </c>
      <c r="I238" t="s">
        <v>121</v>
      </c>
      <c r="J238" t="s">
        <v>66</v>
      </c>
      <c r="K238">
        <v>1</v>
      </c>
      <c r="L238" s="84">
        <v>-221913</v>
      </c>
      <c r="M238" s="84">
        <v>0</v>
      </c>
    </row>
    <row r="239" spans="3:13" hidden="1" x14ac:dyDescent="0.25">
      <c r="C239" t="s">
        <v>64</v>
      </c>
      <c r="D239" t="s">
        <v>120</v>
      </c>
      <c r="E239" t="s">
        <v>60</v>
      </c>
      <c r="F239" t="s">
        <v>124</v>
      </c>
      <c r="G239">
        <v>7</v>
      </c>
      <c r="H239" t="s">
        <v>12</v>
      </c>
      <c r="I239" t="s">
        <v>121</v>
      </c>
      <c r="J239" t="s">
        <v>66</v>
      </c>
      <c r="K239">
        <v>1</v>
      </c>
      <c r="L239" s="84">
        <v>-317940</v>
      </c>
      <c r="M239" s="84">
        <v>0</v>
      </c>
    </row>
    <row r="240" spans="3:13" hidden="1" x14ac:dyDescent="0.25">
      <c r="C240" t="s">
        <v>64</v>
      </c>
      <c r="D240" t="s">
        <v>120</v>
      </c>
      <c r="E240" t="s">
        <v>63</v>
      </c>
      <c r="F240" t="s">
        <v>123</v>
      </c>
      <c r="G240">
        <v>4</v>
      </c>
      <c r="H240" t="s">
        <v>14</v>
      </c>
      <c r="I240" t="s">
        <v>121</v>
      </c>
      <c r="J240" t="s">
        <v>66</v>
      </c>
      <c r="K240">
        <v>1</v>
      </c>
      <c r="L240" s="84">
        <v>1357179</v>
      </c>
      <c r="M240" s="84">
        <v>5428716</v>
      </c>
    </row>
    <row r="241" spans="3:13" hidden="1" x14ac:dyDescent="0.25">
      <c r="C241" t="s">
        <v>119</v>
      </c>
      <c r="D241" t="s">
        <v>120</v>
      </c>
      <c r="E241" t="s">
        <v>63</v>
      </c>
      <c r="F241" t="s">
        <v>124</v>
      </c>
      <c r="G241">
        <v>1</v>
      </c>
      <c r="H241" t="s">
        <v>14</v>
      </c>
      <c r="I241" t="s">
        <v>121</v>
      </c>
      <c r="J241" t="s">
        <v>122</v>
      </c>
      <c r="K241">
        <v>0</v>
      </c>
      <c r="L241" s="84">
        <v>229973594</v>
      </c>
      <c r="M241" s="84">
        <v>229973594</v>
      </c>
    </row>
    <row r="242" spans="3:13" hidden="1" x14ac:dyDescent="0.25">
      <c r="C242" t="s">
        <v>65</v>
      </c>
      <c r="D242" t="s">
        <v>120</v>
      </c>
      <c r="E242" t="s">
        <v>60</v>
      </c>
      <c r="F242" t="s">
        <v>123</v>
      </c>
      <c r="G242">
        <v>5</v>
      </c>
      <c r="H242" t="s">
        <v>75</v>
      </c>
      <c r="I242" t="s">
        <v>121</v>
      </c>
      <c r="J242" t="s">
        <v>122</v>
      </c>
      <c r="K242">
        <v>0</v>
      </c>
      <c r="L242" s="84">
        <v>-14610</v>
      </c>
      <c r="M242" s="84">
        <v>0</v>
      </c>
    </row>
    <row r="243" spans="3:13" hidden="1" x14ac:dyDescent="0.25">
      <c r="C243" t="s">
        <v>119</v>
      </c>
      <c r="D243" t="s">
        <v>120</v>
      </c>
      <c r="E243" t="s">
        <v>63</v>
      </c>
      <c r="F243" t="s">
        <v>123</v>
      </c>
      <c r="G243">
        <v>0</v>
      </c>
      <c r="H243" t="s">
        <v>18</v>
      </c>
      <c r="I243" t="s">
        <v>121</v>
      </c>
      <c r="J243" t="s">
        <v>66</v>
      </c>
      <c r="K243">
        <v>1</v>
      </c>
      <c r="L243" s="84">
        <v>55527</v>
      </c>
      <c r="M243" s="84">
        <v>0</v>
      </c>
    </row>
    <row r="244" spans="3:13" hidden="1" x14ac:dyDescent="0.25">
      <c r="C244" t="s">
        <v>119</v>
      </c>
      <c r="D244" t="s">
        <v>120</v>
      </c>
      <c r="E244" t="s">
        <v>60</v>
      </c>
      <c r="F244" t="s">
        <v>25</v>
      </c>
      <c r="G244">
        <v>10</v>
      </c>
      <c r="H244" t="s">
        <v>17</v>
      </c>
      <c r="I244" t="s">
        <v>121</v>
      </c>
      <c r="J244" t="s">
        <v>66</v>
      </c>
      <c r="K244">
        <v>1</v>
      </c>
      <c r="L244" s="84">
        <v>-36</v>
      </c>
      <c r="M244" s="84">
        <v>0</v>
      </c>
    </row>
    <row r="245" spans="3:13" hidden="1" x14ac:dyDescent="0.25">
      <c r="C245" t="s">
        <v>119</v>
      </c>
      <c r="D245" t="s">
        <v>120</v>
      </c>
      <c r="E245" t="s">
        <v>63</v>
      </c>
      <c r="F245" t="s">
        <v>123</v>
      </c>
      <c r="G245">
        <v>3</v>
      </c>
      <c r="H245" t="s">
        <v>17</v>
      </c>
      <c r="I245" t="s">
        <v>121</v>
      </c>
      <c r="J245" t="s">
        <v>66</v>
      </c>
      <c r="K245">
        <v>1</v>
      </c>
      <c r="L245" s="84">
        <v>1611599</v>
      </c>
      <c r="M245" s="84">
        <v>4834797</v>
      </c>
    </row>
    <row r="246" spans="3:13" hidden="1" x14ac:dyDescent="0.25">
      <c r="C246" t="s">
        <v>119</v>
      </c>
      <c r="D246" t="s">
        <v>120</v>
      </c>
      <c r="E246" t="s">
        <v>60</v>
      </c>
      <c r="F246" t="s">
        <v>24</v>
      </c>
      <c r="G246">
        <v>6</v>
      </c>
      <c r="H246" t="s">
        <v>76</v>
      </c>
      <c r="I246" t="s">
        <v>121</v>
      </c>
      <c r="J246" t="s">
        <v>122</v>
      </c>
      <c r="K246">
        <v>0</v>
      </c>
      <c r="L246" s="84">
        <v>-35</v>
      </c>
      <c r="M246" s="84">
        <v>0</v>
      </c>
    </row>
    <row r="247" spans="3:13" hidden="1" x14ac:dyDescent="0.25">
      <c r="C247" t="s">
        <v>119</v>
      </c>
      <c r="D247" t="s">
        <v>120</v>
      </c>
      <c r="E247" t="s">
        <v>63</v>
      </c>
      <c r="F247" t="s">
        <v>25</v>
      </c>
      <c r="G247">
        <v>0</v>
      </c>
      <c r="H247" t="s">
        <v>18</v>
      </c>
      <c r="I247" t="s">
        <v>121</v>
      </c>
      <c r="J247" t="s">
        <v>122</v>
      </c>
      <c r="K247">
        <v>0</v>
      </c>
      <c r="L247" s="84">
        <v>771523</v>
      </c>
      <c r="M247" s="84">
        <v>0</v>
      </c>
    </row>
    <row r="248" spans="3:13" hidden="1" x14ac:dyDescent="0.25">
      <c r="C248" t="s">
        <v>65</v>
      </c>
      <c r="D248" t="s">
        <v>125</v>
      </c>
      <c r="E248" t="s">
        <v>63</v>
      </c>
      <c r="F248" t="s">
        <v>24</v>
      </c>
      <c r="G248">
        <v>12</v>
      </c>
      <c r="I248" t="s">
        <v>121</v>
      </c>
      <c r="J248" t="s">
        <v>122</v>
      </c>
      <c r="K248">
        <v>0</v>
      </c>
      <c r="L248" s="84">
        <v>4053173</v>
      </c>
      <c r="M248" s="84">
        <v>48638076</v>
      </c>
    </row>
    <row r="249" spans="3:13" hidden="1" x14ac:dyDescent="0.25">
      <c r="C249" t="s">
        <v>119</v>
      </c>
      <c r="D249" t="s">
        <v>120</v>
      </c>
      <c r="E249" t="s">
        <v>63</v>
      </c>
      <c r="F249" t="s">
        <v>24</v>
      </c>
      <c r="G249">
        <v>20</v>
      </c>
      <c r="H249" t="s">
        <v>68</v>
      </c>
      <c r="I249" t="s">
        <v>121</v>
      </c>
      <c r="J249" t="s">
        <v>122</v>
      </c>
      <c r="K249">
        <v>0</v>
      </c>
      <c r="L249" s="84">
        <v>543727</v>
      </c>
      <c r="M249" s="84">
        <v>10874540</v>
      </c>
    </row>
    <row r="250" spans="3:13" hidden="1" x14ac:dyDescent="0.25">
      <c r="C250" t="s">
        <v>65</v>
      </c>
      <c r="D250" t="s">
        <v>120</v>
      </c>
      <c r="E250" t="s">
        <v>60</v>
      </c>
      <c r="F250" t="s">
        <v>123</v>
      </c>
      <c r="G250">
        <v>-4</v>
      </c>
      <c r="H250" t="s">
        <v>71</v>
      </c>
      <c r="I250" t="s">
        <v>121</v>
      </c>
      <c r="J250" t="s">
        <v>122</v>
      </c>
      <c r="K250">
        <v>0</v>
      </c>
      <c r="L250" s="84">
        <v>-7865</v>
      </c>
      <c r="M250" s="84">
        <v>0</v>
      </c>
    </row>
    <row r="251" spans="3:13" hidden="1" x14ac:dyDescent="0.25">
      <c r="C251" t="s">
        <v>119</v>
      </c>
      <c r="D251" t="s">
        <v>120</v>
      </c>
      <c r="E251" t="s">
        <v>60</v>
      </c>
      <c r="F251" t="s">
        <v>123</v>
      </c>
      <c r="G251">
        <v>3</v>
      </c>
      <c r="H251" t="s">
        <v>17</v>
      </c>
      <c r="I251" t="s">
        <v>121</v>
      </c>
      <c r="J251" t="s">
        <v>66</v>
      </c>
      <c r="K251">
        <v>1</v>
      </c>
      <c r="L251" s="84">
        <v>-2994</v>
      </c>
      <c r="M251" s="84">
        <v>0</v>
      </c>
    </row>
    <row r="252" spans="3:13" hidden="1" x14ac:dyDescent="0.25">
      <c r="C252" t="s">
        <v>64</v>
      </c>
      <c r="D252" t="s">
        <v>120</v>
      </c>
      <c r="E252" t="s">
        <v>60</v>
      </c>
      <c r="F252" t="s">
        <v>25</v>
      </c>
      <c r="G252">
        <v>2</v>
      </c>
      <c r="H252" t="s">
        <v>17</v>
      </c>
      <c r="I252" t="s">
        <v>121</v>
      </c>
      <c r="J252" t="s">
        <v>122</v>
      </c>
      <c r="K252">
        <v>0</v>
      </c>
      <c r="L252" s="84">
        <v>-5985</v>
      </c>
      <c r="M252" s="84">
        <v>0</v>
      </c>
    </row>
    <row r="253" spans="3:13" hidden="1" x14ac:dyDescent="0.25">
      <c r="C253" t="s">
        <v>64</v>
      </c>
      <c r="D253" t="s">
        <v>120</v>
      </c>
      <c r="E253" t="s">
        <v>60</v>
      </c>
      <c r="F253" t="s">
        <v>124</v>
      </c>
      <c r="G253">
        <v>5</v>
      </c>
      <c r="H253" t="s">
        <v>61</v>
      </c>
      <c r="I253" t="s">
        <v>121</v>
      </c>
      <c r="J253" t="s">
        <v>122</v>
      </c>
      <c r="K253">
        <v>0</v>
      </c>
      <c r="L253" s="84">
        <v>-25845</v>
      </c>
      <c r="M253" s="84">
        <v>0</v>
      </c>
    </row>
    <row r="254" spans="3:13" hidden="1" x14ac:dyDescent="0.25">
      <c r="C254" t="s">
        <v>64</v>
      </c>
      <c r="D254" t="s">
        <v>120</v>
      </c>
      <c r="E254" t="s">
        <v>63</v>
      </c>
      <c r="F254" t="s">
        <v>124</v>
      </c>
      <c r="G254">
        <v>2</v>
      </c>
      <c r="H254" t="s">
        <v>16</v>
      </c>
      <c r="I254" t="s">
        <v>121</v>
      </c>
      <c r="J254" t="s">
        <v>122</v>
      </c>
      <c r="K254">
        <v>0</v>
      </c>
      <c r="L254" s="84">
        <v>446785</v>
      </c>
      <c r="M254" s="84">
        <v>893570</v>
      </c>
    </row>
    <row r="255" spans="3:13" hidden="1" x14ac:dyDescent="0.25">
      <c r="C255" t="s">
        <v>119</v>
      </c>
      <c r="D255" t="s">
        <v>120</v>
      </c>
      <c r="E255" t="s">
        <v>60</v>
      </c>
      <c r="F255" t="s">
        <v>25</v>
      </c>
      <c r="G255">
        <v>3</v>
      </c>
      <c r="H255" t="s">
        <v>18</v>
      </c>
      <c r="I255" t="s">
        <v>121</v>
      </c>
      <c r="J255" t="s">
        <v>66</v>
      </c>
      <c r="K255">
        <v>1</v>
      </c>
      <c r="L255" s="84">
        <v>-113</v>
      </c>
      <c r="M255" s="84">
        <v>0</v>
      </c>
    </row>
    <row r="256" spans="3:13" hidden="1" x14ac:dyDescent="0.25">
      <c r="C256" t="s">
        <v>64</v>
      </c>
      <c r="D256" t="s">
        <v>120</v>
      </c>
      <c r="E256" t="s">
        <v>63</v>
      </c>
      <c r="F256" t="s">
        <v>24</v>
      </c>
      <c r="G256">
        <v>4</v>
      </c>
      <c r="H256" t="s">
        <v>14</v>
      </c>
      <c r="I256" t="s">
        <v>121</v>
      </c>
      <c r="J256" t="s">
        <v>122</v>
      </c>
      <c r="K256">
        <v>0</v>
      </c>
      <c r="L256" s="84">
        <v>66137</v>
      </c>
      <c r="M256" s="84">
        <v>264548</v>
      </c>
    </row>
    <row r="257" spans="3:13" hidden="1" x14ac:dyDescent="0.25">
      <c r="C257" t="s">
        <v>119</v>
      </c>
      <c r="D257" t="s">
        <v>120</v>
      </c>
      <c r="E257" t="s">
        <v>60</v>
      </c>
      <c r="F257" t="s">
        <v>25</v>
      </c>
      <c r="G257">
        <v>2</v>
      </c>
      <c r="H257" t="s">
        <v>18</v>
      </c>
      <c r="I257" t="s">
        <v>121</v>
      </c>
      <c r="J257" t="s">
        <v>122</v>
      </c>
      <c r="K257">
        <v>0</v>
      </c>
      <c r="L257" s="84">
        <v>-4834</v>
      </c>
      <c r="M257" s="84">
        <v>0</v>
      </c>
    </row>
    <row r="258" spans="3:13" hidden="1" x14ac:dyDescent="0.25">
      <c r="C258" t="s">
        <v>119</v>
      </c>
      <c r="D258" t="s">
        <v>120</v>
      </c>
      <c r="E258" t="s">
        <v>60</v>
      </c>
      <c r="F258" t="s">
        <v>124</v>
      </c>
      <c r="G258">
        <v>10</v>
      </c>
      <c r="H258" t="s">
        <v>12</v>
      </c>
      <c r="I258" t="s">
        <v>121</v>
      </c>
      <c r="J258" t="s">
        <v>66</v>
      </c>
      <c r="K258">
        <v>1</v>
      </c>
      <c r="L258" s="84">
        <v>-18100</v>
      </c>
      <c r="M258" s="84">
        <v>0</v>
      </c>
    </row>
    <row r="259" spans="3:13" hidden="1" x14ac:dyDescent="0.25">
      <c r="C259" t="s">
        <v>64</v>
      </c>
      <c r="D259" t="s">
        <v>125</v>
      </c>
      <c r="E259" t="s">
        <v>60</v>
      </c>
      <c r="F259" t="s">
        <v>25</v>
      </c>
      <c r="G259">
        <v>13</v>
      </c>
      <c r="I259" t="s">
        <v>121</v>
      </c>
      <c r="J259" t="s">
        <v>122</v>
      </c>
      <c r="K259">
        <v>0</v>
      </c>
      <c r="L259" s="84">
        <v>-2260</v>
      </c>
      <c r="M259" s="84">
        <v>0</v>
      </c>
    </row>
    <row r="260" spans="3:13" hidden="1" x14ac:dyDescent="0.25">
      <c r="C260" t="s">
        <v>64</v>
      </c>
      <c r="D260" t="s">
        <v>120</v>
      </c>
      <c r="E260" t="s">
        <v>63</v>
      </c>
      <c r="F260" t="s">
        <v>25</v>
      </c>
      <c r="G260">
        <v>10</v>
      </c>
      <c r="H260" t="s">
        <v>61</v>
      </c>
      <c r="I260" t="s">
        <v>121</v>
      </c>
      <c r="J260" t="s">
        <v>122</v>
      </c>
      <c r="K260">
        <v>0</v>
      </c>
      <c r="L260" s="84">
        <v>169698</v>
      </c>
      <c r="M260" s="84">
        <v>1696980</v>
      </c>
    </row>
    <row r="261" spans="3:13" hidden="1" x14ac:dyDescent="0.25">
      <c r="C261" t="s">
        <v>64</v>
      </c>
      <c r="D261" t="s">
        <v>120</v>
      </c>
      <c r="E261" t="s">
        <v>60</v>
      </c>
      <c r="F261" t="s">
        <v>123</v>
      </c>
      <c r="G261">
        <v>1</v>
      </c>
      <c r="H261" t="s">
        <v>76</v>
      </c>
      <c r="I261" t="s">
        <v>121</v>
      </c>
      <c r="J261" t="s">
        <v>122</v>
      </c>
      <c r="K261">
        <v>0</v>
      </c>
      <c r="L261" s="84">
        <v>-2511</v>
      </c>
      <c r="M261" s="84">
        <v>0</v>
      </c>
    </row>
    <row r="262" spans="3:13" hidden="1" x14ac:dyDescent="0.25">
      <c r="C262" t="s">
        <v>119</v>
      </c>
      <c r="D262" t="s">
        <v>120</v>
      </c>
      <c r="E262" t="s">
        <v>63</v>
      </c>
      <c r="F262" t="s">
        <v>25</v>
      </c>
      <c r="G262">
        <v>12</v>
      </c>
      <c r="H262" t="s">
        <v>69</v>
      </c>
      <c r="I262" t="s">
        <v>121</v>
      </c>
      <c r="J262" t="s">
        <v>122</v>
      </c>
      <c r="K262">
        <v>0</v>
      </c>
      <c r="L262" s="84">
        <v>27313522</v>
      </c>
      <c r="M262" s="84">
        <v>327762264</v>
      </c>
    </row>
    <row r="263" spans="3:13" hidden="1" x14ac:dyDescent="0.25">
      <c r="C263" t="s">
        <v>65</v>
      </c>
      <c r="D263" t="s">
        <v>120</v>
      </c>
      <c r="E263" t="s">
        <v>60</v>
      </c>
      <c r="F263" t="s">
        <v>124</v>
      </c>
      <c r="G263">
        <v>18</v>
      </c>
      <c r="H263" t="s">
        <v>16</v>
      </c>
      <c r="I263" t="s">
        <v>121</v>
      </c>
      <c r="J263" t="s">
        <v>122</v>
      </c>
      <c r="K263">
        <v>0</v>
      </c>
      <c r="L263" s="84">
        <v>-148919</v>
      </c>
      <c r="M263" s="84">
        <v>0</v>
      </c>
    </row>
    <row r="264" spans="3:13" hidden="1" x14ac:dyDescent="0.25">
      <c r="C264" t="s">
        <v>119</v>
      </c>
      <c r="D264" t="s">
        <v>125</v>
      </c>
      <c r="E264" t="s">
        <v>63</v>
      </c>
      <c r="F264" t="s">
        <v>24</v>
      </c>
      <c r="G264">
        <v>18</v>
      </c>
      <c r="I264" t="s">
        <v>121</v>
      </c>
      <c r="J264" t="s">
        <v>122</v>
      </c>
      <c r="K264">
        <v>0</v>
      </c>
      <c r="L264" s="84">
        <v>410341386</v>
      </c>
      <c r="M264" s="84">
        <v>7386144948</v>
      </c>
    </row>
    <row r="265" spans="3:13" hidden="1" x14ac:dyDescent="0.25">
      <c r="C265" t="s">
        <v>64</v>
      </c>
      <c r="D265" t="s">
        <v>120</v>
      </c>
      <c r="E265" t="s">
        <v>60</v>
      </c>
      <c r="F265" t="s">
        <v>124</v>
      </c>
      <c r="G265">
        <v>4</v>
      </c>
      <c r="H265" t="s">
        <v>18</v>
      </c>
      <c r="I265" t="s">
        <v>121</v>
      </c>
      <c r="J265" t="s">
        <v>66</v>
      </c>
      <c r="K265">
        <v>1</v>
      </c>
      <c r="L265" s="84">
        <v>-47497</v>
      </c>
      <c r="M265" s="84">
        <v>0</v>
      </c>
    </row>
    <row r="266" spans="3:13" hidden="1" x14ac:dyDescent="0.25">
      <c r="C266" t="s">
        <v>119</v>
      </c>
      <c r="D266" t="s">
        <v>120</v>
      </c>
      <c r="E266" t="s">
        <v>60</v>
      </c>
      <c r="F266" t="s">
        <v>124</v>
      </c>
      <c r="G266">
        <v>4</v>
      </c>
      <c r="H266" t="s">
        <v>73</v>
      </c>
      <c r="I266" t="s">
        <v>121</v>
      </c>
      <c r="J266" t="s">
        <v>122</v>
      </c>
      <c r="K266">
        <v>0</v>
      </c>
      <c r="L266" s="84">
        <v>-8774</v>
      </c>
      <c r="M266" s="84">
        <v>0</v>
      </c>
    </row>
    <row r="267" spans="3:13" hidden="1" x14ac:dyDescent="0.25">
      <c r="C267" t="s">
        <v>119</v>
      </c>
      <c r="D267" t="s">
        <v>120</v>
      </c>
      <c r="E267" t="s">
        <v>60</v>
      </c>
      <c r="F267" t="s">
        <v>124</v>
      </c>
      <c r="G267">
        <v>8</v>
      </c>
      <c r="H267" t="s">
        <v>75</v>
      </c>
      <c r="I267" t="s">
        <v>121</v>
      </c>
      <c r="J267" t="s">
        <v>122</v>
      </c>
      <c r="K267">
        <v>0</v>
      </c>
      <c r="L267" s="84">
        <v>-155416</v>
      </c>
      <c r="M267" s="84">
        <v>0</v>
      </c>
    </row>
    <row r="268" spans="3:13" hidden="1" x14ac:dyDescent="0.25">
      <c r="C268" t="s">
        <v>64</v>
      </c>
      <c r="D268" t="s">
        <v>120</v>
      </c>
      <c r="E268" t="s">
        <v>63</v>
      </c>
      <c r="F268" t="s">
        <v>124</v>
      </c>
      <c r="G268">
        <v>-1</v>
      </c>
      <c r="H268" t="s">
        <v>17</v>
      </c>
      <c r="I268" t="s">
        <v>62</v>
      </c>
      <c r="J268" t="s">
        <v>66</v>
      </c>
      <c r="K268">
        <v>1</v>
      </c>
      <c r="L268" s="84">
        <v>502531</v>
      </c>
      <c r="M268" s="84">
        <v>0</v>
      </c>
    </row>
    <row r="269" spans="3:13" hidden="1" x14ac:dyDescent="0.25">
      <c r="C269" t="s">
        <v>64</v>
      </c>
      <c r="D269" t="s">
        <v>120</v>
      </c>
      <c r="E269" t="s">
        <v>63</v>
      </c>
      <c r="F269" t="s">
        <v>124</v>
      </c>
      <c r="G269">
        <v>3</v>
      </c>
      <c r="H269" t="s">
        <v>73</v>
      </c>
      <c r="I269" t="s">
        <v>121</v>
      </c>
      <c r="J269" t="s">
        <v>122</v>
      </c>
      <c r="K269">
        <v>0</v>
      </c>
      <c r="L269" s="84">
        <v>312407</v>
      </c>
      <c r="M269" s="84">
        <v>937221</v>
      </c>
    </row>
    <row r="270" spans="3:13" hidden="1" x14ac:dyDescent="0.25">
      <c r="C270" t="s">
        <v>119</v>
      </c>
      <c r="D270" t="s">
        <v>120</v>
      </c>
      <c r="E270" t="s">
        <v>60</v>
      </c>
      <c r="F270" t="s">
        <v>124</v>
      </c>
      <c r="G270">
        <v>1</v>
      </c>
      <c r="H270" t="s">
        <v>71</v>
      </c>
      <c r="I270" t="s">
        <v>121</v>
      </c>
      <c r="J270" t="s">
        <v>122</v>
      </c>
      <c r="K270">
        <v>0</v>
      </c>
      <c r="L270" s="84">
        <v>-11621</v>
      </c>
      <c r="M270" s="84">
        <v>0</v>
      </c>
    </row>
    <row r="271" spans="3:13" hidden="1" x14ac:dyDescent="0.25">
      <c r="C271" t="s">
        <v>64</v>
      </c>
      <c r="D271" t="s">
        <v>120</v>
      </c>
      <c r="E271" t="s">
        <v>63</v>
      </c>
      <c r="F271" t="s">
        <v>25</v>
      </c>
      <c r="G271">
        <v>6</v>
      </c>
      <c r="H271" t="s">
        <v>73</v>
      </c>
      <c r="I271" t="s">
        <v>121</v>
      </c>
      <c r="J271" t="s">
        <v>122</v>
      </c>
      <c r="K271">
        <v>0</v>
      </c>
      <c r="L271" s="84">
        <v>17792</v>
      </c>
      <c r="M271" s="84">
        <v>106752</v>
      </c>
    </row>
    <row r="272" spans="3:13" hidden="1" x14ac:dyDescent="0.25">
      <c r="C272" t="s">
        <v>64</v>
      </c>
      <c r="D272" t="s">
        <v>120</v>
      </c>
      <c r="E272" t="s">
        <v>60</v>
      </c>
      <c r="F272" t="s">
        <v>25</v>
      </c>
      <c r="G272">
        <v>9</v>
      </c>
      <c r="H272" t="s">
        <v>17</v>
      </c>
      <c r="I272" t="s">
        <v>121</v>
      </c>
      <c r="J272" t="s">
        <v>122</v>
      </c>
      <c r="K272">
        <v>0</v>
      </c>
      <c r="L272" s="84">
        <v>-64792</v>
      </c>
      <c r="M272" s="84">
        <v>0</v>
      </c>
    </row>
    <row r="273" spans="3:13" hidden="1" x14ac:dyDescent="0.25">
      <c r="C273" t="s">
        <v>119</v>
      </c>
      <c r="D273" t="s">
        <v>120</v>
      </c>
      <c r="E273" t="s">
        <v>60</v>
      </c>
      <c r="F273" t="s">
        <v>24</v>
      </c>
      <c r="G273">
        <v>18</v>
      </c>
      <c r="H273" t="s">
        <v>17</v>
      </c>
      <c r="I273" t="s">
        <v>121</v>
      </c>
      <c r="J273" t="s">
        <v>122</v>
      </c>
      <c r="K273">
        <v>0</v>
      </c>
      <c r="L273" s="84">
        <v>-2512</v>
      </c>
      <c r="M273" s="84">
        <v>0</v>
      </c>
    </row>
    <row r="274" spans="3:13" hidden="1" x14ac:dyDescent="0.25">
      <c r="C274" t="s">
        <v>65</v>
      </c>
      <c r="D274" t="s">
        <v>120</v>
      </c>
      <c r="E274" t="s">
        <v>60</v>
      </c>
      <c r="F274" t="s">
        <v>123</v>
      </c>
      <c r="G274">
        <v>4</v>
      </c>
      <c r="H274" t="s">
        <v>17</v>
      </c>
      <c r="I274" t="s">
        <v>121</v>
      </c>
      <c r="J274" t="s">
        <v>122</v>
      </c>
      <c r="K274">
        <v>0</v>
      </c>
      <c r="L274" s="84">
        <v>-44469</v>
      </c>
      <c r="M274" s="84">
        <v>0</v>
      </c>
    </row>
    <row r="275" spans="3:13" hidden="1" x14ac:dyDescent="0.25">
      <c r="C275" t="s">
        <v>119</v>
      </c>
      <c r="D275" t="s">
        <v>120</v>
      </c>
      <c r="E275" t="s">
        <v>63</v>
      </c>
      <c r="F275" t="s">
        <v>25</v>
      </c>
      <c r="G275">
        <v>14</v>
      </c>
      <c r="H275" t="s">
        <v>69</v>
      </c>
      <c r="I275" t="s">
        <v>121</v>
      </c>
      <c r="J275" t="s">
        <v>122</v>
      </c>
      <c r="K275">
        <v>0</v>
      </c>
      <c r="L275" s="84">
        <v>41217257</v>
      </c>
      <c r="M275" s="84">
        <v>577041598</v>
      </c>
    </row>
    <row r="276" spans="3:13" hidden="1" x14ac:dyDescent="0.25">
      <c r="C276" t="s">
        <v>119</v>
      </c>
      <c r="D276" t="s">
        <v>120</v>
      </c>
      <c r="E276" t="s">
        <v>60</v>
      </c>
      <c r="F276" t="s">
        <v>24</v>
      </c>
      <c r="G276">
        <v>6</v>
      </c>
      <c r="H276" t="s">
        <v>68</v>
      </c>
      <c r="I276" t="s">
        <v>121</v>
      </c>
      <c r="J276" t="s">
        <v>122</v>
      </c>
      <c r="K276">
        <v>0</v>
      </c>
      <c r="L276" s="84">
        <v>-25976</v>
      </c>
      <c r="M276" s="84">
        <v>0</v>
      </c>
    </row>
    <row r="277" spans="3:13" hidden="1" x14ac:dyDescent="0.25">
      <c r="C277" t="s">
        <v>64</v>
      </c>
      <c r="D277" t="s">
        <v>120</v>
      </c>
      <c r="E277" t="s">
        <v>60</v>
      </c>
      <c r="F277" t="s">
        <v>24</v>
      </c>
      <c r="G277">
        <v>5</v>
      </c>
      <c r="H277" t="s">
        <v>68</v>
      </c>
      <c r="I277" t="s">
        <v>121</v>
      </c>
      <c r="J277" t="s">
        <v>122</v>
      </c>
      <c r="K277">
        <v>0</v>
      </c>
      <c r="L277" s="84">
        <v>-16640</v>
      </c>
      <c r="M277" s="84">
        <v>0</v>
      </c>
    </row>
    <row r="278" spans="3:13" hidden="1" x14ac:dyDescent="0.25">
      <c r="C278" t="s">
        <v>64</v>
      </c>
      <c r="D278" t="s">
        <v>120</v>
      </c>
      <c r="E278" t="s">
        <v>63</v>
      </c>
      <c r="F278" t="s">
        <v>24</v>
      </c>
      <c r="G278">
        <v>6</v>
      </c>
      <c r="H278" t="s">
        <v>69</v>
      </c>
      <c r="I278" t="s">
        <v>121</v>
      </c>
      <c r="J278" t="s">
        <v>122</v>
      </c>
      <c r="K278">
        <v>0</v>
      </c>
      <c r="L278" s="84">
        <v>409155</v>
      </c>
      <c r="M278" s="84">
        <v>2454930</v>
      </c>
    </row>
    <row r="279" spans="3:13" hidden="1" x14ac:dyDescent="0.25">
      <c r="C279" t="s">
        <v>65</v>
      </c>
      <c r="D279" t="s">
        <v>120</v>
      </c>
      <c r="E279" t="s">
        <v>60</v>
      </c>
      <c r="F279" t="s">
        <v>124</v>
      </c>
      <c r="G279">
        <v>1</v>
      </c>
      <c r="H279" t="s">
        <v>68</v>
      </c>
      <c r="I279" t="s">
        <v>121</v>
      </c>
      <c r="J279" t="s">
        <v>122</v>
      </c>
      <c r="K279">
        <v>0</v>
      </c>
      <c r="L279" s="84">
        <v>-273476</v>
      </c>
      <c r="M279" s="84">
        <v>0</v>
      </c>
    </row>
    <row r="280" spans="3:13" hidden="1" x14ac:dyDescent="0.25">
      <c r="C280" t="s">
        <v>119</v>
      </c>
      <c r="D280" t="s">
        <v>120</v>
      </c>
      <c r="E280" t="s">
        <v>60</v>
      </c>
      <c r="F280" t="s">
        <v>123</v>
      </c>
      <c r="G280">
        <v>4</v>
      </c>
      <c r="H280" t="s">
        <v>17</v>
      </c>
      <c r="I280" t="s">
        <v>121</v>
      </c>
      <c r="J280" t="s">
        <v>66</v>
      </c>
      <c r="K280">
        <v>1</v>
      </c>
      <c r="L280" s="84">
        <v>-3136</v>
      </c>
      <c r="M280" s="84">
        <v>0</v>
      </c>
    </row>
    <row r="281" spans="3:13" hidden="1" x14ac:dyDescent="0.25">
      <c r="C281" t="s">
        <v>65</v>
      </c>
      <c r="D281" t="s">
        <v>120</v>
      </c>
      <c r="E281" t="s">
        <v>63</v>
      </c>
      <c r="F281" t="s">
        <v>24</v>
      </c>
      <c r="G281">
        <v>-4</v>
      </c>
      <c r="H281" t="s">
        <v>72</v>
      </c>
      <c r="I281" t="s">
        <v>121</v>
      </c>
      <c r="J281" t="s">
        <v>122</v>
      </c>
      <c r="K281">
        <v>0</v>
      </c>
      <c r="L281" s="84">
        <v>226</v>
      </c>
      <c r="M281" s="84">
        <v>0</v>
      </c>
    </row>
    <row r="282" spans="3:13" hidden="1" x14ac:dyDescent="0.25">
      <c r="C282" t="s">
        <v>65</v>
      </c>
      <c r="D282" t="s">
        <v>120</v>
      </c>
      <c r="E282" t="s">
        <v>63</v>
      </c>
      <c r="F282" t="s">
        <v>25</v>
      </c>
      <c r="G282">
        <v>5</v>
      </c>
      <c r="H282" t="s">
        <v>76</v>
      </c>
      <c r="I282" t="s">
        <v>121</v>
      </c>
      <c r="J282" t="s">
        <v>122</v>
      </c>
      <c r="K282">
        <v>0</v>
      </c>
      <c r="L282" s="84">
        <v>164759</v>
      </c>
      <c r="M282" s="84">
        <v>823795</v>
      </c>
    </row>
    <row r="283" spans="3:13" hidden="1" x14ac:dyDescent="0.25">
      <c r="C283" t="s">
        <v>119</v>
      </c>
      <c r="D283" t="s">
        <v>120</v>
      </c>
      <c r="E283" t="s">
        <v>60</v>
      </c>
      <c r="F283" t="s">
        <v>123</v>
      </c>
      <c r="G283">
        <v>1</v>
      </c>
      <c r="H283" t="s">
        <v>68</v>
      </c>
      <c r="I283" t="s">
        <v>121</v>
      </c>
      <c r="J283" t="s">
        <v>122</v>
      </c>
      <c r="K283">
        <v>0</v>
      </c>
      <c r="L283" s="84">
        <v>-2725</v>
      </c>
      <c r="M283" s="84">
        <v>0</v>
      </c>
    </row>
    <row r="284" spans="3:13" hidden="1" x14ac:dyDescent="0.25">
      <c r="C284" t="s">
        <v>64</v>
      </c>
      <c r="D284" t="s">
        <v>120</v>
      </c>
      <c r="E284" t="s">
        <v>63</v>
      </c>
      <c r="F284" t="s">
        <v>25</v>
      </c>
      <c r="G284">
        <v>8</v>
      </c>
      <c r="H284" t="s">
        <v>61</v>
      </c>
      <c r="I284" t="s">
        <v>121</v>
      </c>
      <c r="J284" t="s">
        <v>122</v>
      </c>
      <c r="K284">
        <v>0</v>
      </c>
      <c r="L284" s="84">
        <v>142067</v>
      </c>
      <c r="M284" s="84">
        <v>1136536</v>
      </c>
    </row>
    <row r="285" spans="3:13" hidden="1" x14ac:dyDescent="0.25">
      <c r="C285" t="s">
        <v>64</v>
      </c>
      <c r="D285" t="s">
        <v>120</v>
      </c>
      <c r="E285" t="s">
        <v>60</v>
      </c>
      <c r="F285" t="s">
        <v>24</v>
      </c>
      <c r="G285">
        <v>12</v>
      </c>
      <c r="H285" t="s">
        <v>69</v>
      </c>
      <c r="I285" t="s">
        <v>121</v>
      </c>
      <c r="J285" t="s">
        <v>122</v>
      </c>
      <c r="K285">
        <v>0</v>
      </c>
      <c r="L285" s="84">
        <v>-7637</v>
      </c>
      <c r="M285" s="84">
        <v>0</v>
      </c>
    </row>
    <row r="286" spans="3:13" hidden="1" x14ac:dyDescent="0.25">
      <c r="C286" t="s">
        <v>119</v>
      </c>
      <c r="D286" t="s">
        <v>120</v>
      </c>
      <c r="E286" t="s">
        <v>60</v>
      </c>
      <c r="F286" t="s">
        <v>24</v>
      </c>
      <c r="G286">
        <v>1</v>
      </c>
      <c r="H286" t="s">
        <v>14</v>
      </c>
      <c r="I286" t="s">
        <v>121</v>
      </c>
      <c r="J286" t="s">
        <v>66</v>
      </c>
      <c r="K286">
        <v>1</v>
      </c>
      <c r="L286" s="84">
        <v>-14</v>
      </c>
      <c r="M286" s="84">
        <v>0</v>
      </c>
    </row>
    <row r="287" spans="3:13" hidden="1" x14ac:dyDescent="0.25">
      <c r="C287" t="s">
        <v>64</v>
      </c>
      <c r="D287" t="s">
        <v>125</v>
      </c>
      <c r="E287" t="s">
        <v>63</v>
      </c>
      <c r="F287" t="s">
        <v>25</v>
      </c>
      <c r="G287">
        <v>26</v>
      </c>
      <c r="I287" t="s">
        <v>121</v>
      </c>
      <c r="J287" t="s">
        <v>122</v>
      </c>
      <c r="K287">
        <v>0</v>
      </c>
      <c r="L287" s="84">
        <v>233955</v>
      </c>
      <c r="M287" s="84">
        <v>6082830</v>
      </c>
    </row>
    <row r="288" spans="3:13" hidden="1" x14ac:dyDescent="0.25">
      <c r="C288" t="s">
        <v>65</v>
      </c>
      <c r="D288" t="s">
        <v>125</v>
      </c>
      <c r="E288" t="s">
        <v>63</v>
      </c>
      <c r="F288" t="s">
        <v>24</v>
      </c>
      <c r="G288">
        <v>1</v>
      </c>
      <c r="I288" t="s">
        <v>121</v>
      </c>
      <c r="J288" t="s">
        <v>122</v>
      </c>
      <c r="K288">
        <v>0</v>
      </c>
      <c r="L288" s="84">
        <v>283212</v>
      </c>
      <c r="M288" s="84">
        <v>283212</v>
      </c>
    </row>
    <row r="289" spans="3:13" hidden="1" x14ac:dyDescent="0.25">
      <c r="C289" t="s">
        <v>64</v>
      </c>
      <c r="D289" t="s">
        <v>120</v>
      </c>
      <c r="E289" t="s">
        <v>63</v>
      </c>
      <c r="F289" t="s">
        <v>124</v>
      </c>
      <c r="G289">
        <v>5</v>
      </c>
      <c r="H289" t="s">
        <v>14</v>
      </c>
      <c r="I289" t="s">
        <v>121</v>
      </c>
      <c r="J289" t="s">
        <v>122</v>
      </c>
      <c r="K289">
        <v>0</v>
      </c>
      <c r="L289" s="84">
        <v>18192543</v>
      </c>
      <c r="M289" s="84">
        <v>90962715</v>
      </c>
    </row>
    <row r="290" spans="3:13" hidden="1" x14ac:dyDescent="0.25">
      <c r="C290" t="s">
        <v>64</v>
      </c>
      <c r="D290" t="s">
        <v>120</v>
      </c>
      <c r="E290" t="s">
        <v>60</v>
      </c>
      <c r="F290" t="s">
        <v>124</v>
      </c>
      <c r="G290">
        <v>3</v>
      </c>
      <c r="H290" t="s">
        <v>18</v>
      </c>
      <c r="I290" t="s">
        <v>121</v>
      </c>
      <c r="J290" t="s">
        <v>122</v>
      </c>
      <c r="K290">
        <v>0</v>
      </c>
      <c r="L290" s="84">
        <v>-1108277</v>
      </c>
      <c r="M290" s="84">
        <v>0</v>
      </c>
    </row>
    <row r="291" spans="3:13" hidden="1" x14ac:dyDescent="0.25">
      <c r="C291" t="s">
        <v>119</v>
      </c>
      <c r="D291" t="s">
        <v>120</v>
      </c>
      <c r="E291" t="s">
        <v>63</v>
      </c>
      <c r="F291" t="s">
        <v>123</v>
      </c>
      <c r="G291">
        <v>-1</v>
      </c>
      <c r="H291" t="s">
        <v>69</v>
      </c>
      <c r="I291" t="s">
        <v>121</v>
      </c>
      <c r="J291" t="s">
        <v>122</v>
      </c>
      <c r="K291">
        <v>0</v>
      </c>
      <c r="L291" s="84">
        <v>1643413</v>
      </c>
      <c r="M291" s="84">
        <v>0</v>
      </c>
    </row>
    <row r="292" spans="3:13" hidden="1" x14ac:dyDescent="0.25">
      <c r="C292" t="s">
        <v>119</v>
      </c>
      <c r="D292" t="s">
        <v>120</v>
      </c>
      <c r="E292" t="s">
        <v>60</v>
      </c>
      <c r="F292" t="s">
        <v>25</v>
      </c>
      <c r="G292">
        <v>3</v>
      </c>
      <c r="H292" t="s">
        <v>70</v>
      </c>
      <c r="I292" t="s">
        <v>121</v>
      </c>
      <c r="J292" t="s">
        <v>122</v>
      </c>
      <c r="K292">
        <v>0</v>
      </c>
      <c r="L292" s="84">
        <v>-209</v>
      </c>
      <c r="M292" s="84">
        <v>0</v>
      </c>
    </row>
    <row r="293" spans="3:13" hidden="1" x14ac:dyDescent="0.25">
      <c r="C293" t="s">
        <v>119</v>
      </c>
      <c r="D293" t="s">
        <v>120</v>
      </c>
      <c r="E293" t="s">
        <v>60</v>
      </c>
      <c r="F293" t="s">
        <v>124</v>
      </c>
      <c r="G293">
        <v>9</v>
      </c>
      <c r="H293" t="s">
        <v>75</v>
      </c>
      <c r="I293" t="s">
        <v>121</v>
      </c>
      <c r="J293" t="s">
        <v>122</v>
      </c>
      <c r="K293">
        <v>0</v>
      </c>
      <c r="L293" s="84">
        <v>-422</v>
      </c>
      <c r="M293" s="84">
        <v>0</v>
      </c>
    </row>
    <row r="294" spans="3:13" hidden="1" x14ac:dyDescent="0.25">
      <c r="C294" t="s">
        <v>119</v>
      </c>
      <c r="D294" t="s">
        <v>120</v>
      </c>
      <c r="E294" t="s">
        <v>63</v>
      </c>
      <c r="F294" t="s">
        <v>123</v>
      </c>
      <c r="G294">
        <v>4</v>
      </c>
      <c r="H294" t="s">
        <v>70</v>
      </c>
      <c r="I294" t="s">
        <v>121</v>
      </c>
      <c r="J294" t="s">
        <v>122</v>
      </c>
      <c r="K294">
        <v>0</v>
      </c>
      <c r="L294" s="84">
        <v>1297274</v>
      </c>
      <c r="M294" s="84">
        <v>5189096</v>
      </c>
    </row>
    <row r="295" spans="3:13" hidden="1" x14ac:dyDescent="0.25">
      <c r="C295" t="s">
        <v>65</v>
      </c>
      <c r="D295" t="s">
        <v>120</v>
      </c>
      <c r="E295" t="s">
        <v>63</v>
      </c>
      <c r="F295" t="s">
        <v>123</v>
      </c>
      <c r="G295">
        <v>1</v>
      </c>
      <c r="H295" t="s">
        <v>17</v>
      </c>
      <c r="I295" t="s">
        <v>121</v>
      </c>
      <c r="J295" t="s">
        <v>66</v>
      </c>
      <c r="K295">
        <v>1</v>
      </c>
      <c r="L295" s="84">
        <v>6043</v>
      </c>
      <c r="M295" s="84">
        <v>6043</v>
      </c>
    </row>
    <row r="296" spans="3:13" hidden="1" x14ac:dyDescent="0.25">
      <c r="C296" t="s">
        <v>119</v>
      </c>
      <c r="D296" t="s">
        <v>120</v>
      </c>
      <c r="E296" t="s">
        <v>60</v>
      </c>
      <c r="F296" t="s">
        <v>24</v>
      </c>
      <c r="G296">
        <v>14</v>
      </c>
      <c r="H296" t="s">
        <v>14</v>
      </c>
      <c r="I296" t="s">
        <v>121</v>
      </c>
      <c r="J296" t="s">
        <v>122</v>
      </c>
      <c r="K296">
        <v>0</v>
      </c>
      <c r="L296" s="84">
        <v>-398</v>
      </c>
      <c r="M296" s="84">
        <v>0</v>
      </c>
    </row>
    <row r="297" spans="3:13" x14ac:dyDescent="0.25">
      <c r="C297" t="s">
        <v>65</v>
      </c>
      <c r="D297" t="s">
        <v>120</v>
      </c>
      <c r="E297" t="s">
        <v>63</v>
      </c>
      <c r="F297" t="s">
        <v>25</v>
      </c>
      <c r="G297">
        <v>0</v>
      </c>
      <c r="H297" t="s">
        <v>12</v>
      </c>
      <c r="I297" t="s">
        <v>121</v>
      </c>
      <c r="J297" t="s">
        <v>66</v>
      </c>
      <c r="K297">
        <v>1</v>
      </c>
      <c r="L297" s="84">
        <v>17243951</v>
      </c>
      <c r="M297" s="84">
        <v>0</v>
      </c>
    </row>
    <row r="298" spans="3:13" hidden="1" x14ac:dyDescent="0.25">
      <c r="C298" t="s">
        <v>119</v>
      </c>
      <c r="D298" t="s">
        <v>120</v>
      </c>
      <c r="E298" t="s">
        <v>63</v>
      </c>
      <c r="F298" t="s">
        <v>123</v>
      </c>
      <c r="G298">
        <v>5</v>
      </c>
      <c r="H298" t="s">
        <v>14</v>
      </c>
      <c r="I298" t="s">
        <v>121</v>
      </c>
      <c r="J298" t="s">
        <v>66</v>
      </c>
      <c r="K298">
        <v>1</v>
      </c>
      <c r="L298" s="84">
        <v>2299937</v>
      </c>
      <c r="M298" s="84">
        <v>11499685</v>
      </c>
    </row>
    <row r="299" spans="3:13" hidden="1" x14ac:dyDescent="0.25">
      <c r="C299" t="s">
        <v>64</v>
      </c>
      <c r="D299" t="s">
        <v>120</v>
      </c>
      <c r="E299" t="s">
        <v>60</v>
      </c>
      <c r="G299">
        <v>-1</v>
      </c>
      <c r="H299" t="s">
        <v>73</v>
      </c>
      <c r="I299" t="s">
        <v>121</v>
      </c>
      <c r="J299" t="s">
        <v>122</v>
      </c>
      <c r="K299">
        <v>0</v>
      </c>
      <c r="L299" s="84">
        <v>1</v>
      </c>
      <c r="M299" s="84">
        <v>0</v>
      </c>
    </row>
    <row r="300" spans="3:13" hidden="1" x14ac:dyDescent="0.25">
      <c r="C300" t="s">
        <v>65</v>
      </c>
      <c r="D300" t="s">
        <v>120</v>
      </c>
      <c r="E300" t="s">
        <v>63</v>
      </c>
      <c r="F300" t="s">
        <v>25</v>
      </c>
      <c r="G300">
        <v>-4</v>
      </c>
      <c r="H300" t="s">
        <v>67</v>
      </c>
      <c r="I300" t="s">
        <v>121</v>
      </c>
      <c r="J300" t="s">
        <v>122</v>
      </c>
      <c r="K300">
        <v>0</v>
      </c>
      <c r="L300" s="84">
        <v>14135</v>
      </c>
      <c r="M300" s="84">
        <v>0</v>
      </c>
    </row>
    <row r="301" spans="3:13" hidden="1" x14ac:dyDescent="0.25">
      <c r="C301" t="s">
        <v>119</v>
      </c>
      <c r="D301" t="s">
        <v>120</v>
      </c>
      <c r="E301" t="s">
        <v>63</v>
      </c>
      <c r="F301" t="s">
        <v>25</v>
      </c>
      <c r="G301">
        <v>5</v>
      </c>
      <c r="H301" t="s">
        <v>70</v>
      </c>
      <c r="I301" t="s">
        <v>121</v>
      </c>
      <c r="J301" t="s">
        <v>122</v>
      </c>
      <c r="K301">
        <v>0</v>
      </c>
      <c r="L301" s="84">
        <v>1722635</v>
      </c>
      <c r="M301" s="84">
        <v>8613175</v>
      </c>
    </row>
    <row r="302" spans="3:13" hidden="1" x14ac:dyDescent="0.25">
      <c r="C302" t="s">
        <v>64</v>
      </c>
      <c r="D302" t="s">
        <v>125</v>
      </c>
      <c r="E302" t="s">
        <v>60</v>
      </c>
      <c r="F302" t="s">
        <v>25</v>
      </c>
      <c r="G302">
        <v>16</v>
      </c>
      <c r="I302" t="s">
        <v>121</v>
      </c>
      <c r="J302" t="s">
        <v>122</v>
      </c>
      <c r="K302">
        <v>0</v>
      </c>
      <c r="L302" s="84">
        <v>-90670</v>
      </c>
      <c r="M302" s="84">
        <v>0</v>
      </c>
    </row>
    <row r="303" spans="3:13" hidden="1" x14ac:dyDescent="0.25">
      <c r="C303" t="s">
        <v>119</v>
      </c>
      <c r="D303" t="s">
        <v>120</v>
      </c>
      <c r="E303" t="s">
        <v>60</v>
      </c>
      <c r="F303" t="s">
        <v>124</v>
      </c>
      <c r="G303">
        <v>5</v>
      </c>
      <c r="H303" t="s">
        <v>15</v>
      </c>
      <c r="I303" t="s">
        <v>121</v>
      </c>
      <c r="J303" t="s">
        <v>66</v>
      </c>
      <c r="K303">
        <v>1</v>
      </c>
      <c r="L303" s="84">
        <v>-2350</v>
      </c>
      <c r="M303" s="84">
        <v>0</v>
      </c>
    </row>
    <row r="304" spans="3:13" hidden="1" x14ac:dyDescent="0.25">
      <c r="C304" t="s">
        <v>64</v>
      </c>
      <c r="D304" t="s">
        <v>120</v>
      </c>
      <c r="E304" t="s">
        <v>60</v>
      </c>
      <c r="F304" t="s">
        <v>124</v>
      </c>
      <c r="G304">
        <v>5</v>
      </c>
      <c r="H304" t="s">
        <v>71</v>
      </c>
      <c r="I304" t="s">
        <v>121</v>
      </c>
      <c r="J304" t="s">
        <v>122</v>
      </c>
      <c r="K304">
        <v>0</v>
      </c>
      <c r="L304" s="84">
        <v>-40808</v>
      </c>
      <c r="M304" s="84">
        <v>0</v>
      </c>
    </row>
    <row r="305" spans="3:13" hidden="1" x14ac:dyDescent="0.25">
      <c r="C305" t="s">
        <v>64</v>
      </c>
      <c r="D305" t="s">
        <v>120</v>
      </c>
      <c r="E305" t="s">
        <v>60</v>
      </c>
      <c r="F305" t="s">
        <v>123</v>
      </c>
      <c r="G305">
        <v>4</v>
      </c>
      <c r="H305" t="s">
        <v>17</v>
      </c>
      <c r="I305" t="s">
        <v>121</v>
      </c>
      <c r="J305" t="s">
        <v>66</v>
      </c>
      <c r="K305">
        <v>1</v>
      </c>
      <c r="L305" s="84">
        <v>-10950</v>
      </c>
      <c r="M305" s="84">
        <v>0</v>
      </c>
    </row>
    <row r="306" spans="3:13" hidden="1" x14ac:dyDescent="0.25">
      <c r="C306" t="s">
        <v>119</v>
      </c>
      <c r="D306" t="s">
        <v>125</v>
      </c>
      <c r="E306" t="s">
        <v>63</v>
      </c>
      <c r="F306" t="s">
        <v>25</v>
      </c>
      <c r="G306">
        <v>34</v>
      </c>
      <c r="I306" t="s">
        <v>121</v>
      </c>
      <c r="J306" t="s">
        <v>122</v>
      </c>
      <c r="K306">
        <v>0</v>
      </c>
      <c r="L306" s="84">
        <v>118126</v>
      </c>
      <c r="M306" s="84">
        <v>4016284</v>
      </c>
    </row>
    <row r="307" spans="3:13" hidden="1" x14ac:dyDescent="0.25">
      <c r="C307" t="s">
        <v>65</v>
      </c>
      <c r="D307" t="s">
        <v>120</v>
      </c>
      <c r="E307" t="s">
        <v>60</v>
      </c>
      <c r="F307" t="s">
        <v>124</v>
      </c>
      <c r="G307">
        <v>7</v>
      </c>
      <c r="H307" t="s">
        <v>69</v>
      </c>
      <c r="I307" t="s">
        <v>121</v>
      </c>
      <c r="J307" t="s">
        <v>122</v>
      </c>
      <c r="K307">
        <v>0</v>
      </c>
      <c r="L307" s="84">
        <v>-24011</v>
      </c>
      <c r="M307" s="84">
        <v>0</v>
      </c>
    </row>
    <row r="308" spans="3:13" hidden="1" x14ac:dyDescent="0.25">
      <c r="C308" t="s">
        <v>65</v>
      </c>
      <c r="D308" t="s">
        <v>120</v>
      </c>
      <c r="E308" t="s">
        <v>63</v>
      </c>
      <c r="F308" t="s">
        <v>24</v>
      </c>
      <c r="G308">
        <v>-1</v>
      </c>
      <c r="H308" t="s">
        <v>12</v>
      </c>
      <c r="I308" t="s">
        <v>62</v>
      </c>
      <c r="J308" t="s">
        <v>66</v>
      </c>
      <c r="K308">
        <v>1</v>
      </c>
      <c r="L308" s="84">
        <v>281</v>
      </c>
      <c r="M308" s="84">
        <v>0</v>
      </c>
    </row>
    <row r="309" spans="3:13" hidden="1" x14ac:dyDescent="0.25">
      <c r="C309" t="s">
        <v>64</v>
      </c>
      <c r="D309" t="s">
        <v>120</v>
      </c>
      <c r="E309" t="s">
        <v>60</v>
      </c>
      <c r="F309" t="s">
        <v>123</v>
      </c>
      <c r="G309">
        <v>1</v>
      </c>
      <c r="H309" t="s">
        <v>68</v>
      </c>
      <c r="I309" t="s">
        <v>121</v>
      </c>
      <c r="J309" t="s">
        <v>122</v>
      </c>
      <c r="K309">
        <v>0</v>
      </c>
      <c r="L309" s="84">
        <v>-3901</v>
      </c>
      <c r="M309" s="84">
        <v>0</v>
      </c>
    </row>
    <row r="310" spans="3:13" hidden="1" x14ac:dyDescent="0.25">
      <c r="C310" t="s">
        <v>119</v>
      </c>
      <c r="D310" t="s">
        <v>120</v>
      </c>
      <c r="E310" t="s">
        <v>60</v>
      </c>
      <c r="F310" t="s">
        <v>24</v>
      </c>
      <c r="G310">
        <v>5</v>
      </c>
      <c r="H310" t="s">
        <v>61</v>
      </c>
      <c r="I310" t="s">
        <v>121</v>
      </c>
      <c r="J310" t="s">
        <v>122</v>
      </c>
      <c r="K310">
        <v>0</v>
      </c>
      <c r="L310" s="84">
        <v>-101</v>
      </c>
      <c r="M310" s="84">
        <v>0</v>
      </c>
    </row>
    <row r="311" spans="3:13" hidden="1" x14ac:dyDescent="0.25">
      <c r="C311" t="s">
        <v>65</v>
      </c>
      <c r="D311" t="s">
        <v>120</v>
      </c>
      <c r="E311" t="s">
        <v>60</v>
      </c>
      <c r="F311" t="s">
        <v>124</v>
      </c>
      <c r="G311">
        <v>-4</v>
      </c>
      <c r="H311" t="s">
        <v>16</v>
      </c>
      <c r="I311" t="s">
        <v>121</v>
      </c>
      <c r="J311" t="s">
        <v>122</v>
      </c>
      <c r="K311">
        <v>0</v>
      </c>
      <c r="L311" s="84">
        <v>-73388</v>
      </c>
      <c r="M311" s="84">
        <v>0</v>
      </c>
    </row>
    <row r="312" spans="3:13" hidden="1" x14ac:dyDescent="0.25">
      <c r="C312" t="s">
        <v>64</v>
      </c>
      <c r="D312" t="s">
        <v>120</v>
      </c>
      <c r="E312" t="s">
        <v>63</v>
      </c>
      <c r="F312" t="s">
        <v>25</v>
      </c>
      <c r="G312">
        <v>10</v>
      </c>
      <c r="H312" t="s">
        <v>71</v>
      </c>
      <c r="I312" t="s">
        <v>121</v>
      </c>
      <c r="J312" t="s">
        <v>122</v>
      </c>
      <c r="K312">
        <v>0</v>
      </c>
      <c r="L312" s="84">
        <v>99514</v>
      </c>
      <c r="M312" s="84">
        <v>995140</v>
      </c>
    </row>
    <row r="313" spans="3:13" hidden="1" x14ac:dyDescent="0.25">
      <c r="C313" t="s">
        <v>64</v>
      </c>
      <c r="D313" t="s">
        <v>120</v>
      </c>
      <c r="E313" t="s">
        <v>60</v>
      </c>
      <c r="F313" t="s">
        <v>24</v>
      </c>
      <c r="G313">
        <v>10</v>
      </c>
      <c r="H313" t="s">
        <v>69</v>
      </c>
      <c r="I313" t="s">
        <v>121</v>
      </c>
      <c r="J313" t="s">
        <v>122</v>
      </c>
      <c r="K313">
        <v>0</v>
      </c>
      <c r="L313" s="84">
        <v>-201477</v>
      </c>
      <c r="M313" s="84">
        <v>0</v>
      </c>
    </row>
    <row r="314" spans="3:13" hidden="1" x14ac:dyDescent="0.25">
      <c r="C314" t="s">
        <v>64</v>
      </c>
      <c r="D314" t="s">
        <v>120</v>
      </c>
      <c r="E314" t="s">
        <v>60</v>
      </c>
      <c r="F314" t="s">
        <v>24</v>
      </c>
      <c r="G314">
        <v>1</v>
      </c>
      <c r="H314" t="s">
        <v>14</v>
      </c>
      <c r="I314" t="s">
        <v>121</v>
      </c>
      <c r="J314" t="s">
        <v>66</v>
      </c>
      <c r="K314">
        <v>1</v>
      </c>
      <c r="L314" s="84">
        <v>-1078</v>
      </c>
      <c r="M314" s="84">
        <v>0</v>
      </c>
    </row>
    <row r="315" spans="3:13" hidden="1" x14ac:dyDescent="0.25">
      <c r="C315" t="s">
        <v>65</v>
      </c>
      <c r="D315" t="s">
        <v>120</v>
      </c>
      <c r="E315" t="s">
        <v>60</v>
      </c>
      <c r="F315" t="s">
        <v>24</v>
      </c>
      <c r="G315">
        <v>6</v>
      </c>
      <c r="H315" t="s">
        <v>17</v>
      </c>
      <c r="I315" t="s">
        <v>121</v>
      </c>
      <c r="J315" t="s">
        <v>122</v>
      </c>
      <c r="K315">
        <v>0</v>
      </c>
      <c r="L315" s="84">
        <v>-22820</v>
      </c>
      <c r="M315" s="84">
        <v>0</v>
      </c>
    </row>
    <row r="316" spans="3:13" hidden="1" x14ac:dyDescent="0.25">
      <c r="C316" t="s">
        <v>119</v>
      </c>
      <c r="D316" t="s">
        <v>120</v>
      </c>
      <c r="E316" t="s">
        <v>63</v>
      </c>
      <c r="F316" t="s">
        <v>24</v>
      </c>
      <c r="G316">
        <v>12</v>
      </c>
      <c r="H316" t="s">
        <v>17</v>
      </c>
      <c r="I316" t="s">
        <v>121</v>
      </c>
      <c r="J316" t="s">
        <v>122</v>
      </c>
      <c r="K316">
        <v>0</v>
      </c>
      <c r="L316" s="84">
        <v>289153</v>
      </c>
      <c r="M316" s="84">
        <v>3469836</v>
      </c>
    </row>
    <row r="317" spans="3:13" hidden="1" x14ac:dyDescent="0.25">
      <c r="C317" t="s">
        <v>119</v>
      </c>
      <c r="D317" t="s">
        <v>120</v>
      </c>
      <c r="E317" t="s">
        <v>60</v>
      </c>
      <c r="F317" t="s">
        <v>123</v>
      </c>
      <c r="G317">
        <v>-1</v>
      </c>
      <c r="H317" t="s">
        <v>17</v>
      </c>
      <c r="I317" t="s">
        <v>121</v>
      </c>
      <c r="J317" t="s">
        <v>122</v>
      </c>
      <c r="K317">
        <v>0</v>
      </c>
      <c r="L317" s="84">
        <v>-4041</v>
      </c>
      <c r="M317" s="84">
        <v>0</v>
      </c>
    </row>
    <row r="318" spans="3:13" hidden="1" x14ac:dyDescent="0.25">
      <c r="C318" t="s">
        <v>119</v>
      </c>
      <c r="D318" t="s">
        <v>120</v>
      </c>
      <c r="E318" t="s">
        <v>60</v>
      </c>
      <c r="F318" t="s">
        <v>25</v>
      </c>
      <c r="G318">
        <v>3</v>
      </c>
      <c r="H318" t="s">
        <v>75</v>
      </c>
      <c r="I318" t="s">
        <v>121</v>
      </c>
      <c r="J318" t="s">
        <v>122</v>
      </c>
      <c r="K318">
        <v>0</v>
      </c>
      <c r="L318" s="84">
        <v>-496</v>
      </c>
      <c r="M318" s="84">
        <v>0</v>
      </c>
    </row>
    <row r="319" spans="3:13" hidden="1" x14ac:dyDescent="0.25">
      <c r="C319" t="s">
        <v>65</v>
      </c>
      <c r="D319" t="s">
        <v>120</v>
      </c>
      <c r="E319" t="s">
        <v>63</v>
      </c>
      <c r="F319" t="s">
        <v>123</v>
      </c>
      <c r="G319">
        <v>2</v>
      </c>
      <c r="H319" t="s">
        <v>61</v>
      </c>
      <c r="I319" t="s">
        <v>121</v>
      </c>
      <c r="J319" t="s">
        <v>122</v>
      </c>
      <c r="K319">
        <v>0</v>
      </c>
      <c r="L319" s="84">
        <v>83006</v>
      </c>
      <c r="M319" s="84">
        <v>166012</v>
      </c>
    </row>
    <row r="320" spans="3:13" hidden="1" x14ac:dyDescent="0.25">
      <c r="C320" t="s">
        <v>64</v>
      </c>
      <c r="D320" t="s">
        <v>120</v>
      </c>
      <c r="E320" t="s">
        <v>63</v>
      </c>
      <c r="F320" t="s">
        <v>25</v>
      </c>
      <c r="G320">
        <v>19</v>
      </c>
      <c r="H320" t="s">
        <v>72</v>
      </c>
      <c r="I320" t="s">
        <v>121</v>
      </c>
      <c r="J320" t="s">
        <v>122</v>
      </c>
      <c r="K320">
        <v>0</v>
      </c>
      <c r="L320" s="84">
        <v>26607</v>
      </c>
      <c r="M320" s="84">
        <v>505533</v>
      </c>
    </row>
    <row r="321" spans="3:13" hidden="1" x14ac:dyDescent="0.25">
      <c r="C321" t="s">
        <v>64</v>
      </c>
      <c r="D321" t="s">
        <v>120</v>
      </c>
      <c r="E321" t="s">
        <v>60</v>
      </c>
      <c r="F321" t="s">
        <v>124</v>
      </c>
      <c r="G321">
        <v>10</v>
      </c>
      <c r="H321" t="s">
        <v>69</v>
      </c>
      <c r="I321" t="s">
        <v>121</v>
      </c>
      <c r="J321" t="s">
        <v>122</v>
      </c>
      <c r="K321">
        <v>0</v>
      </c>
      <c r="L321" s="84">
        <v>-7568</v>
      </c>
      <c r="M321" s="84">
        <v>0</v>
      </c>
    </row>
    <row r="322" spans="3:13" hidden="1" x14ac:dyDescent="0.25">
      <c r="C322" t="s">
        <v>119</v>
      </c>
      <c r="D322" t="s">
        <v>120</v>
      </c>
      <c r="E322" t="s">
        <v>60</v>
      </c>
      <c r="F322" t="s">
        <v>24</v>
      </c>
      <c r="G322">
        <v>5</v>
      </c>
      <c r="H322" t="s">
        <v>68</v>
      </c>
      <c r="I322" t="s">
        <v>121</v>
      </c>
      <c r="J322" t="s">
        <v>122</v>
      </c>
      <c r="K322">
        <v>0</v>
      </c>
      <c r="L322" s="84">
        <v>-9734</v>
      </c>
      <c r="M322" s="84">
        <v>0</v>
      </c>
    </row>
    <row r="323" spans="3:13" hidden="1" x14ac:dyDescent="0.25">
      <c r="C323" t="s">
        <v>64</v>
      </c>
      <c r="D323" t="s">
        <v>125</v>
      </c>
      <c r="E323" t="s">
        <v>63</v>
      </c>
      <c r="F323" t="s">
        <v>24</v>
      </c>
      <c r="G323">
        <v>44</v>
      </c>
      <c r="I323" t="s">
        <v>121</v>
      </c>
      <c r="J323" t="s">
        <v>122</v>
      </c>
      <c r="K323">
        <v>0</v>
      </c>
      <c r="L323" s="84">
        <v>1490006</v>
      </c>
      <c r="M323" s="84">
        <v>65560264</v>
      </c>
    </row>
    <row r="324" spans="3:13" hidden="1" x14ac:dyDescent="0.25">
      <c r="C324" t="s">
        <v>119</v>
      </c>
      <c r="D324" t="s">
        <v>120</v>
      </c>
      <c r="E324" t="s">
        <v>60</v>
      </c>
      <c r="F324" t="s">
        <v>124</v>
      </c>
      <c r="G324">
        <v>-1</v>
      </c>
      <c r="H324" t="s">
        <v>17</v>
      </c>
      <c r="I324" t="s">
        <v>121</v>
      </c>
      <c r="J324" t="s">
        <v>122</v>
      </c>
      <c r="K324">
        <v>0</v>
      </c>
      <c r="L324" s="84">
        <v>-326429</v>
      </c>
      <c r="M324" s="84">
        <v>0</v>
      </c>
    </row>
    <row r="325" spans="3:13" hidden="1" x14ac:dyDescent="0.25">
      <c r="C325" t="s">
        <v>65</v>
      </c>
      <c r="D325" t="s">
        <v>120</v>
      </c>
      <c r="E325" t="s">
        <v>60</v>
      </c>
      <c r="F325" t="s">
        <v>123</v>
      </c>
      <c r="G325">
        <v>0</v>
      </c>
      <c r="H325" t="s">
        <v>75</v>
      </c>
      <c r="I325" t="s">
        <v>121</v>
      </c>
      <c r="J325" t="s">
        <v>122</v>
      </c>
      <c r="K325">
        <v>0</v>
      </c>
      <c r="L325" s="84">
        <v>-66372</v>
      </c>
      <c r="M325" s="84">
        <v>0</v>
      </c>
    </row>
    <row r="326" spans="3:13" hidden="1" x14ac:dyDescent="0.25">
      <c r="C326" t="s">
        <v>119</v>
      </c>
      <c r="D326" t="s">
        <v>120</v>
      </c>
      <c r="E326" t="s">
        <v>60</v>
      </c>
      <c r="F326" t="s">
        <v>25</v>
      </c>
      <c r="G326">
        <v>0</v>
      </c>
      <c r="H326" t="s">
        <v>70</v>
      </c>
      <c r="I326" t="s">
        <v>121</v>
      </c>
      <c r="J326" t="s">
        <v>122</v>
      </c>
      <c r="K326">
        <v>0</v>
      </c>
      <c r="L326" s="84">
        <v>-8</v>
      </c>
      <c r="M326" s="84">
        <v>0</v>
      </c>
    </row>
    <row r="327" spans="3:13" hidden="1" x14ac:dyDescent="0.25">
      <c r="C327" t="s">
        <v>119</v>
      </c>
      <c r="D327" t="s">
        <v>120</v>
      </c>
      <c r="E327" t="s">
        <v>60</v>
      </c>
      <c r="F327" t="s">
        <v>24</v>
      </c>
      <c r="G327">
        <v>6</v>
      </c>
      <c r="H327" t="s">
        <v>61</v>
      </c>
      <c r="I327" t="s">
        <v>121</v>
      </c>
      <c r="J327" t="s">
        <v>122</v>
      </c>
      <c r="K327">
        <v>0</v>
      </c>
      <c r="L327" s="84">
        <v>-54</v>
      </c>
      <c r="M327" s="84">
        <v>0</v>
      </c>
    </row>
    <row r="328" spans="3:13" hidden="1" x14ac:dyDescent="0.25">
      <c r="C328" t="s">
        <v>64</v>
      </c>
      <c r="D328" t="s">
        <v>125</v>
      </c>
      <c r="E328" t="s">
        <v>63</v>
      </c>
      <c r="F328" t="s">
        <v>24</v>
      </c>
      <c r="G328">
        <v>29</v>
      </c>
      <c r="I328" t="s">
        <v>121</v>
      </c>
      <c r="J328" t="s">
        <v>122</v>
      </c>
      <c r="K328">
        <v>0</v>
      </c>
      <c r="L328" s="84">
        <v>52662605</v>
      </c>
      <c r="M328" s="84">
        <v>1527215545</v>
      </c>
    </row>
    <row r="329" spans="3:13" hidden="1" x14ac:dyDescent="0.25">
      <c r="C329" t="s">
        <v>119</v>
      </c>
      <c r="D329" t="s">
        <v>120</v>
      </c>
      <c r="E329" t="s">
        <v>60</v>
      </c>
      <c r="F329" t="s">
        <v>25</v>
      </c>
      <c r="G329">
        <v>9</v>
      </c>
      <c r="H329" t="s">
        <v>16</v>
      </c>
      <c r="I329" t="s">
        <v>121</v>
      </c>
      <c r="J329" t="s">
        <v>122</v>
      </c>
      <c r="K329">
        <v>0</v>
      </c>
      <c r="L329" s="84">
        <v>-89</v>
      </c>
      <c r="M329" s="84">
        <v>0</v>
      </c>
    </row>
    <row r="330" spans="3:13" hidden="1" x14ac:dyDescent="0.25">
      <c r="C330" t="s">
        <v>119</v>
      </c>
      <c r="D330" t="s">
        <v>120</v>
      </c>
      <c r="E330" t="s">
        <v>60</v>
      </c>
      <c r="F330" t="s">
        <v>124</v>
      </c>
      <c r="G330">
        <v>7</v>
      </c>
      <c r="H330" t="s">
        <v>69</v>
      </c>
      <c r="I330" t="s">
        <v>121</v>
      </c>
      <c r="J330" t="s">
        <v>122</v>
      </c>
      <c r="K330">
        <v>0</v>
      </c>
      <c r="L330" s="84">
        <v>-12573</v>
      </c>
      <c r="M330" s="84">
        <v>0</v>
      </c>
    </row>
    <row r="331" spans="3:13" hidden="1" x14ac:dyDescent="0.25">
      <c r="C331" t="s">
        <v>64</v>
      </c>
      <c r="D331" t="s">
        <v>120</v>
      </c>
      <c r="E331" t="s">
        <v>63</v>
      </c>
      <c r="F331" t="s">
        <v>124</v>
      </c>
      <c r="G331">
        <v>-1</v>
      </c>
      <c r="H331" t="s">
        <v>67</v>
      </c>
      <c r="I331" t="s">
        <v>121</v>
      </c>
      <c r="J331" t="s">
        <v>122</v>
      </c>
      <c r="K331">
        <v>0</v>
      </c>
      <c r="L331" s="84">
        <v>21838960</v>
      </c>
      <c r="M331" s="84">
        <v>0</v>
      </c>
    </row>
    <row r="332" spans="3:13" hidden="1" x14ac:dyDescent="0.25">
      <c r="C332" t="s">
        <v>64</v>
      </c>
      <c r="D332" t="s">
        <v>120</v>
      </c>
      <c r="E332" t="s">
        <v>60</v>
      </c>
      <c r="F332" t="s">
        <v>123</v>
      </c>
      <c r="G332">
        <v>-1</v>
      </c>
      <c r="H332" t="s">
        <v>17</v>
      </c>
      <c r="I332" t="s">
        <v>121</v>
      </c>
      <c r="J332" t="s">
        <v>122</v>
      </c>
      <c r="K332">
        <v>0</v>
      </c>
      <c r="L332" s="84">
        <v>-16172</v>
      </c>
      <c r="M332" s="84">
        <v>0</v>
      </c>
    </row>
    <row r="333" spans="3:13" hidden="1" x14ac:dyDescent="0.25">
      <c r="C333" t="s">
        <v>119</v>
      </c>
      <c r="D333" t="s">
        <v>120</v>
      </c>
      <c r="E333" t="s">
        <v>60</v>
      </c>
      <c r="F333" t="s">
        <v>25</v>
      </c>
      <c r="G333">
        <v>10</v>
      </c>
      <c r="H333" t="s">
        <v>69</v>
      </c>
      <c r="I333" t="s">
        <v>121</v>
      </c>
      <c r="J333" t="s">
        <v>122</v>
      </c>
      <c r="K333">
        <v>0</v>
      </c>
      <c r="L333" s="84">
        <v>-18204</v>
      </c>
      <c r="M333" s="84">
        <v>0</v>
      </c>
    </row>
    <row r="334" spans="3:13" hidden="1" x14ac:dyDescent="0.25">
      <c r="C334" t="s">
        <v>119</v>
      </c>
      <c r="D334" t="s">
        <v>120</v>
      </c>
      <c r="E334" t="s">
        <v>60</v>
      </c>
      <c r="F334" t="s">
        <v>24</v>
      </c>
      <c r="G334">
        <v>1</v>
      </c>
      <c r="H334" t="s">
        <v>12</v>
      </c>
      <c r="I334" t="s">
        <v>121</v>
      </c>
      <c r="J334" t="s">
        <v>66</v>
      </c>
      <c r="K334">
        <v>1</v>
      </c>
      <c r="L334" s="84">
        <v>-42</v>
      </c>
      <c r="M334" s="84">
        <v>0</v>
      </c>
    </row>
    <row r="335" spans="3:13" hidden="1" x14ac:dyDescent="0.25">
      <c r="C335" t="s">
        <v>65</v>
      </c>
      <c r="D335" t="s">
        <v>120</v>
      </c>
      <c r="E335" t="s">
        <v>60</v>
      </c>
      <c r="F335" t="s">
        <v>124</v>
      </c>
      <c r="G335">
        <v>4</v>
      </c>
      <c r="H335" t="s">
        <v>67</v>
      </c>
      <c r="I335" t="s">
        <v>121</v>
      </c>
      <c r="J335" t="s">
        <v>122</v>
      </c>
      <c r="K335">
        <v>0</v>
      </c>
      <c r="L335" s="84">
        <v>-161808</v>
      </c>
      <c r="M335" s="84">
        <v>0</v>
      </c>
    </row>
    <row r="336" spans="3:13" hidden="1" x14ac:dyDescent="0.25">
      <c r="C336" t="s">
        <v>65</v>
      </c>
      <c r="D336" t="s">
        <v>120</v>
      </c>
      <c r="E336" t="s">
        <v>60</v>
      </c>
      <c r="F336" t="s">
        <v>124</v>
      </c>
      <c r="G336">
        <v>1</v>
      </c>
      <c r="H336" t="s">
        <v>61</v>
      </c>
      <c r="I336" t="s">
        <v>121</v>
      </c>
      <c r="J336" t="s">
        <v>122</v>
      </c>
      <c r="K336">
        <v>0</v>
      </c>
      <c r="L336" s="84">
        <v>-449645</v>
      </c>
      <c r="M336" s="84">
        <v>0</v>
      </c>
    </row>
    <row r="337" spans="3:13" hidden="1" x14ac:dyDescent="0.25">
      <c r="C337" t="s">
        <v>65</v>
      </c>
      <c r="D337" t="s">
        <v>120</v>
      </c>
      <c r="E337" t="s">
        <v>63</v>
      </c>
      <c r="F337" t="s">
        <v>124</v>
      </c>
      <c r="G337">
        <v>0</v>
      </c>
      <c r="H337" t="s">
        <v>14</v>
      </c>
      <c r="I337" t="s">
        <v>121</v>
      </c>
      <c r="J337" t="s">
        <v>66</v>
      </c>
      <c r="K337">
        <v>1</v>
      </c>
      <c r="L337" s="84">
        <v>754943</v>
      </c>
      <c r="M337" s="84">
        <v>0</v>
      </c>
    </row>
    <row r="338" spans="3:13" hidden="1" x14ac:dyDescent="0.25">
      <c r="C338" t="s">
        <v>119</v>
      </c>
      <c r="D338" t="s">
        <v>120</v>
      </c>
      <c r="E338" t="s">
        <v>60</v>
      </c>
      <c r="F338" t="s">
        <v>123</v>
      </c>
      <c r="G338">
        <v>1</v>
      </c>
      <c r="H338" t="s">
        <v>61</v>
      </c>
      <c r="I338" t="s">
        <v>121</v>
      </c>
      <c r="J338" t="s">
        <v>122</v>
      </c>
      <c r="K338">
        <v>0</v>
      </c>
      <c r="L338" s="84">
        <v>-17384</v>
      </c>
      <c r="M338" s="84">
        <v>0</v>
      </c>
    </row>
    <row r="339" spans="3:13" hidden="1" x14ac:dyDescent="0.25">
      <c r="C339" t="s">
        <v>119</v>
      </c>
      <c r="D339" t="s">
        <v>125</v>
      </c>
      <c r="E339" t="s">
        <v>63</v>
      </c>
      <c r="F339" t="s">
        <v>24</v>
      </c>
      <c r="G339">
        <v>28</v>
      </c>
      <c r="I339" t="s">
        <v>121</v>
      </c>
      <c r="J339" t="s">
        <v>122</v>
      </c>
      <c r="K339">
        <v>0</v>
      </c>
      <c r="L339" s="84">
        <v>1052643559</v>
      </c>
      <c r="M339" s="84">
        <v>29474019652</v>
      </c>
    </row>
    <row r="340" spans="3:13" hidden="1" x14ac:dyDescent="0.25">
      <c r="C340" t="s">
        <v>65</v>
      </c>
      <c r="D340" t="s">
        <v>120</v>
      </c>
      <c r="E340" t="s">
        <v>60</v>
      </c>
      <c r="F340" t="s">
        <v>25</v>
      </c>
      <c r="G340">
        <v>29</v>
      </c>
      <c r="H340" t="s">
        <v>69</v>
      </c>
      <c r="I340" t="s">
        <v>121</v>
      </c>
      <c r="J340" t="s">
        <v>122</v>
      </c>
      <c r="K340">
        <v>0</v>
      </c>
      <c r="L340" s="84">
        <v>-48702556</v>
      </c>
      <c r="M340" s="84">
        <v>0</v>
      </c>
    </row>
    <row r="341" spans="3:13" hidden="1" x14ac:dyDescent="0.25">
      <c r="C341" t="s">
        <v>119</v>
      </c>
      <c r="D341" t="s">
        <v>120</v>
      </c>
      <c r="E341" t="s">
        <v>63</v>
      </c>
      <c r="F341" t="s">
        <v>124</v>
      </c>
      <c r="G341">
        <v>7</v>
      </c>
      <c r="H341" t="s">
        <v>15</v>
      </c>
      <c r="I341" t="s">
        <v>121</v>
      </c>
      <c r="J341" t="s">
        <v>66</v>
      </c>
      <c r="K341">
        <v>1</v>
      </c>
      <c r="L341" s="84">
        <v>74488</v>
      </c>
      <c r="M341" s="84">
        <v>521416</v>
      </c>
    </row>
    <row r="342" spans="3:13" hidden="1" x14ac:dyDescent="0.25">
      <c r="C342" t="s">
        <v>64</v>
      </c>
      <c r="D342" t="s">
        <v>125</v>
      </c>
      <c r="E342" t="s">
        <v>60</v>
      </c>
      <c r="F342" t="s">
        <v>25</v>
      </c>
      <c r="G342">
        <v>19</v>
      </c>
      <c r="I342" t="s">
        <v>121</v>
      </c>
      <c r="J342" t="s">
        <v>122</v>
      </c>
      <c r="K342">
        <v>0</v>
      </c>
      <c r="L342" s="84">
        <v>-20251</v>
      </c>
      <c r="M342" s="84">
        <v>0</v>
      </c>
    </row>
    <row r="343" spans="3:13" hidden="1" x14ac:dyDescent="0.25">
      <c r="C343" t="s">
        <v>65</v>
      </c>
      <c r="D343" t="s">
        <v>120</v>
      </c>
      <c r="E343" t="s">
        <v>63</v>
      </c>
      <c r="F343" t="s">
        <v>24</v>
      </c>
      <c r="G343">
        <v>1</v>
      </c>
      <c r="H343" t="s">
        <v>18</v>
      </c>
      <c r="I343" t="s">
        <v>121</v>
      </c>
      <c r="J343" t="s">
        <v>122</v>
      </c>
      <c r="K343">
        <v>0</v>
      </c>
      <c r="L343" s="84">
        <v>27517</v>
      </c>
      <c r="M343" s="84">
        <v>27517</v>
      </c>
    </row>
    <row r="344" spans="3:13" hidden="1" x14ac:dyDescent="0.25">
      <c r="C344" t="s">
        <v>64</v>
      </c>
      <c r="D344" t="s">
        <v>120</v>
      </c>
      <c r="E344" t="s">
        <v>63</v>
      </c>
      <c r="F344" t="s">
        <v>25</v>
      </c>
      <c r="G344">
        <v>10</v>
      </c>
      <c r="H344" t="s">
        <v>68</v>
      </c>
      <c r="I344" t="s">
        <v>121</v>
      </c>
      <c r="J344" t="s">
        <v>122</v>
      </c>
      <c r="K344">
        <v>0</v>
      </c>
      <c r="L344" s="84">
        <v>715952</v>
      </c>
      <c r="M344" s="84">
        <v>7159520</v>
      </c>
    </row>
    <row r="345" spans="3:13" hidden="1" x14ac:dyDescent="0.25">
      <c r="C345" t="s">
        <v>119</v>
      </c>
      <c r="D345" t="s">
        <v>120</v>
      </c>
      <c r="E345" t="s">
        <v>63</v>
      </c>
      <c r="F345" t="s">
        <v>123</v>
      </c>
      <c r="G345">
        <v>2</v>
      </c>
      <c r="H345" t="s">
        <v>16</v>
      </c>
      <c r="I345" t="s">
        <v>121</v>
      </c>
      <c r="J345" t="s">
        <v>122</v>
      </c>
      <c r="K345">
        <v>0</v>
      </c>
      <c r="L345" s="84">
        <v>222312</v>
      </c>
      <c r="M345" s="84">
        <v>444624</v>
      </c>
    </row>
    <row r="346" spans="3:13" hidden="1" x14ac:dyDescent="0.25">
      <c r="C346" t="s">
        <v>64</v>
      </c>
      <c r="D346" t="s">
        <v>120</v>
      </c>
      <c r="E346" t="s">
        <v>60</v>
      </c>
      <c r="F346" t="s">
        <v>123</v>
      </c>
      <c r="G346">
        <v>1</v>
      </c>
      <c r="H346" t="s">
        <v>71</v>
      </c>
      <c r="I346" t="s">
        <v>121</v>
      </c>
      <c r="J346" t="s">
        <v>122</v>
      </c>
      <c r="K346">
        <v>0</v>
      </c>
      <c r="L346" s="84">
        <v>-397</v>
      </c>
      <c r="M346" s="84">
        <v>0</v>
      </c>
    </row>
    <row r="347" spans="3:13" hidden="1" x14ac:dyDescent="0.25">
      <c r="C347" t="s">
        <v>65</v>
      </c>
      <c r="D347" t="s">
        <v>120</v>
      </c>
      <c r="E347" t="s">
        <v>63</v>
      </c>
      <c r="F347" t="s">
        <v>123</v>
      </c>
      <c r="G347">
        <v>4</v>
      </c>
      <c r="H347" t="s">
        <v>14</v>
      </c>
      <c r="I347" t="s">
        <v>121</v>
      </c>
      <c r="J347" t="s">
        <v>122</v>
      </c>
      <c r="K347">
        <v>0</v>
      </c>
      <c r="L347" s="84">
        <v>166982</v>
      </c>
      <c r="M347" s="84">
        <v>667928</v>
      </c>
    </row>
    <row r="348" spans="3:13" hidden="1" x14ac:dyDescent="0.25">
      <c r="C348" t="s">
        <v>119</v>
      </c>
      <c r="D348" t="s">
        <v>120</v>
      </c>
      <c r="E348" t="s">
        <v>60</v>
      </c>
      <c r="F348" t="s">
        <v>123</v>
      </c>
      <c r="G348">
        <v>3</v>
      </c>
      <c r="H348" t="s">
        <v>15</v>
      </c>
      <c r="I348" t="s">
        <v>121</v>
      </c>
      <c r="J348" t="s">
        <v>66</v>
      </c>
      <c r="K348">
        <v>1</v>
      </c>
      <c r="L348" s="84">
        <v>-39</v>
      </c>
      <c r="M348" s="84">
        <v>0</v>
      </c>
    </row>
    <row r="349" spans="3:13" hidden="1" x14ac:dyDescent="0.25">
      <c r="C349" t="s">
        <v>64</v>
      </c>
      <c r="D349" t="s">
        <v>120</v>
      </c>
      <c r="E349" t="s">
        <v>60</v>
      </c>
      <c r="F349" t="s">
        <v>124</v>
      </c>
      <c r="G349">
        <v>5</v>
      </c>
      <c r="H349" t="s">
        <v>68</v>
      </c>
      <c r="I349" t="s">
        <v>121</v>
      </c>
      <c r="J349" t="s">
        <v>122</v>
      </c>
      <c r="K349">
        <v>0</v>
      </c>
      <c r="L349" s="84">
        <v>-16973</v>
      </c>
      <c r="M349" s="84">
        <v>0</v>
      </c>
    </row>
    <row r="350" spans="3:13" hidden="1" x14ac:dyDescent="0.25">
      <c r="C350" t="s">
        <v>65</v>
      </c>
      <c r="D350" t="s">
        <v>120</v>
      </c>
      <c r="E350" t="s">
        <v>60</v>
      </c>
      <c r="F350" t="s">
        <v>124</v>
      </c>
      <c r="G350">
        <v>2</v>
      </c>
      <c r="H350" t="s">
        <v>13</v>
      </c>
      <c r="I350" t="s">
        <v>121</v>
      </c>
      <c r="J350" t="s">
        <v>122</v>
      </c>
      <c r="K350">
        <v>0</v>
      </c>
      <c r="L350" s="84">
        <v>-86428</v>
      </c>
      <c r="M350" s="84">
        <v>0</v>
      </c>
    </row>
    <row r="351" spans="3:13" hidden="1" x14ac:dyDescent="0.25">
      <c r="C351" t="s">
        <v>64</v>
      </c>
      <c r="D351" t="s">
        <v>120</v>
      </c>
      <c r="E351" t="s">
        <v>63</v>
      </c>
      <c r="F351" t="s">
        <v>24</v>
      </c>
      <c r="G351">
        <v>11</v>
      </c>
      <c r="H351" t="s">
        <v>68</v>
      </c>
      <c r="I351" t="s">
        <v>121</v>
      </c>
      <c r="J351" t="s">
        <v>122</v>
      </c>
      <c r="K351">
        <v>0</v>
      </c>
      <c r="L351" s="84">
        <v>3438502</v>
      </c>
      <c r="M351" s="84">
        <v>37823522</v>
      </c>
    </row>
    <row r="352" spans="3:13" hidden="1" x14ac:dyDescent="0.25">
      <c r="C352" t="s">
        <v>119</v>
      </c>
      <c r="D352" t="s">
        <v>120</v>
      </c>
      <c r="E352" t="s">
        <v>63</v>
      </c>
      <c r="F352" t="s">
        <v>124</v>
      </c>
      <c r="G352">
        <v>6</v>
      </c>
      <c r="H352" t="s">
        <v>18</v>
      </c>
      <c r="I352" t="s">
        <v>121</v>
      </c>
      <c r="J352" t="s">
        <v>66</v>
      </c>
      <c r="K352">
        <v>1</v>
      </c>
      <c r="L352" s="84">
        <v>2535377</v>
      </c>
      <c r="M352" s="84">
        <v>15212262</v>
      </c>
    </row>
    <row r="353" spans="3:13" hidden="1" x14ac:dyDescent="0.25">
      <c r="C353" t="s">
        <v>64</v>
      </c>
      <c r="D353" t="s">
        <v>120</v>
      </c>
      <c r="E353" t="s">
        <v>60</v>
      </c>
      <c r="F353" t="s">
        <v>25</v>
      </c>
      <c r="G353">
        <v>5</v>
      </c>
      <c r="H353" t="s">
        <v>68</v>
      </c>
      <c r="I353" t="s">
        <v>121</v>
      </c>
      <c r="J353" t="s">
        <v>122</v>
      </c>
      <c r="K353">
        <v>0</v>
      </c>
      <c r="L353" s="84">
        <v>-77297</v>
      </c>
      <c r="M353" s="84">
        <v>0</v>
      </c>
    </row>
    <row r="354" spans="3:13" hidden="1" x14ac:dyDescent="0.25">
      <c r="C354" t="s">
        <v>64</v>
      </c>
      <c r="D354" t="s">
        <v>120</v>
      </c>
      <c r="E354" t="s">
        <v>63</v>
      </c>
      <c r="F354" t="s">
        <v>25</v>
      </c>
      <c r="G354">
        <v>6</v>
      </c>
      <c r="H354" t="s">
        <v>72</v>
      </c>
      <c r="I354" t="s">
        <v>121</v>
      </c>
      <c r="J354" t="s">
        <v>122</v>
      </c>
      <c r="K354">
        <v>0</v>
      </c>
      <c r="L354" s="84">
        <v>402544</v>
      </c>
      <c r="M354" s="84">
        <v>2415264</v>
      </c>
    </row>
    <row r="355" spans="3:13" hidden="1" x14ac:dyDescent="0.25">
      <c r="C355" t="s">
        <v>64</v>
      </c>
      <c r="D355" t="s">
        <v>120</v>
      </c>
      <c r="E355" t="s">
        <v>60</v>
      </c>
      <c r="F355" t="s">
        <v>124</v>
      </c>
      <c r="G355">
        <v>1</v>
      </c>
      <c r="H355" t="s">
        <v>17</v>
      </c>
      <c r="I355" t="s">
        <v>121</v>
      </c>
      <c r="J355" t="s">
        <v>66</v>
      </c>
      <c r="K355">
        <v>1</v>
      </c>
      <c r="L355" s="84">
        <v>-35359</v>
      </c>
      <c r="M355" s="84">
        <v>0</v>
      </c>
    </row>
    <row r="356" spans="3:13" hidden="1" x14ac:dyDescent="0.25">
      <c r="C356" t="s">
        <v>119</v>
      </c>
      <c r="D356" t="s">
        <v>120</v>
      </c>
      <c r="E356" t="s">
        <v>60</v>
      </c>
      <c r="F356" t="s">
        <v>124</v>
      </c>
      <c r="G356">
        <v>1</v>
      </c>
      <c r="H356" t="s">
        <v>76</v>
      </c>
      <c r="I356" t="s">
        <v>121</v>
      </c>
      <c r="J356" t="s">
        <v>122</v>
      </c>
      <c r="K356">
        <v>0</v>
      </c>
      <c r="L356" s="84">
        <v>-7345</v>
      </c>
      <c r="M356" s="84">
        <v>0</v>
      </c>
    </row>
    <row r="357" spans="3:13" hidden="1" x14ac:dyDescent="0.25">
      <c r="C357" t="s">
        <v>119</v>
      </c>
      <c r="D357" t="s">
        <v>120</v>
      </c>
      <c r="E357" t="s">
        <v>60</v>
      </c>
      <c r="F357" t="s">
        <v>25</v>
      </c>
      <c r="G357">
        <v>5</v>
      </c>
      <c r="H357" t="s">
        <v>67</v>
      </c>
      <c r="I357" t="s">
        <v>121</v>
      </c>
      <c r="J357" t="s">
        <v>122</v>
      </c>
      <c r="K357">
        <v>0</v>
      </c>
      <c r="L357" s="84">
        <v>-820</v>
      </c>
      <c r="M357" s="84">
        <v>0</v>
      </c>
    </row>
    <row r="358" spans="3:13" hidden="1" x14ac:dyDescent="0.25">
      <c r="C358" t="s">
        <v>65</v>
      </c>
      <c r="D358" t="s">
        <v>125</v>
      </c>
      <c r="E358" t="s">
        <v>63</v>
      </c>
      <c r="F358" t="s">
        <v>24</v>
      </c>
      <c r="G358">
        <v>11</v>
      </c>
      <c r="I358" t="s">
        <v>121</v>
      </c>
      <c r="J358" t="s">
        <v>122</v>
      </c>
      <c r="K358">
        <v>0</v>
      </c>
      <c r="L358" s="84">
        <v>1809194</v>
      </c>
      <c r="M358" s="84">
        <v>19901134</v>
      </c>
    </row>
    <row r="359" spans="3:13" hidden="1" x14ac:dyDescent="0.25">
      <c r="C359" t="s">
        <v>65</v>
      </c>
      <c r="D359" t="s">
        <v>125</v>
      </c>
      <c r="E359" t="s">
        <v>63</v>
      </c>
      <c r="F359" t="s">
        <v>25</v>
      </c>
      <c r="G359">
        <v>20</v>
      </c>
      <c r="I359" t="s">
        <v>121</v>
      </c>
      <c r="J359" t="s">
        <v>122</v>
      </c>
      <c r="K359">
        <v>0</v>
      </c>
      <c r="L359" s="84">
        <v>444103</v>
      </c>
      <c r="M359" s="84">
        <v>8882060</v>
      </c>
    </row>
    <row r="360" spans="3:13" hidden="1" x14ac:dyDescent="0.25">
      <c r="C360" t="s">
        <v>119</v>
      </c>
      <c r="D360" t="s">
        <v>120</v>
      </c>
      <c r="E360" t="s">
        <v>63</v>
      </c>
      <c r="F360" t="s">
        <v>24</v>
      </c>
      <c r="G360">
        <v>17</v>
      </c>
      <c r="H360" t="s">
        <v>68</v>
      </c>
      <c r="I360" t="s">
        <v>121</v>
      </c>
      <c r="J360" t="s">
        <v>122</v>
      </c>
      <c r="K360">
        <v>0</v>
      </c>
      <c r="L360" s="84">
        <v>1287430</v>
      </c>
      <c r="M360" s="84">
        <v>21886310</v>
      </c>
    </row>
    <row r="361" spans="3:13" hidden="1" x14ac:dyDescent="0.25">
      <c r="C361" t="s">
        <v>119</v>
      </c>
      <c r="D361" t="s">
        <v>120</v>
      </c>
      <c r="E361" t="s">
        <v>60</v>
      </c>
      <c r="F361" t="s">
        <v>124</v>
      </c>
      <c r="G361">
        <v>4</v>
      </c>
      <c r="H361" t="s">
        <v>72</v>
      </c>
      <c r="I361" t="s">
        <v>121</v>
      </c>
      <c r="J361" t="s">
        <v>122</v>
      </c>
      <c r="K361">
        <v>0</v>
      </c>
      <c r="L361" s="84">
        <v>-17177</v>
      </c>
      <c r="M361" s="84">
        <v>0</v>
      </c>
    </row>
    <row r="362" spans="3:13" hidden="1" x14ac:dyDescent="0.25">
      <c r="C362" t="s">
        <v>64</v>
      </c>
      <c r="D362" t="s">
        <v>120</v>
      </c>
      <c r="E362" t="s">
        <v>63</v>
      </c>
      <c r="F362" t="s">
        <v>123</v>
      </c>
      <c r="G362">
        <v>3</v>
      </c>
      <c r="H362" t="s">
        <v>73</v>
      </c>
      <c r="I362" t="s">
        <v>121</v>
      </c>
      <c r="J362" t="s">
        <v>122</v>
      </c>
      <c r="K362">
        <v>0</v>
      </c>
      <c r="L362" s="84">
        <v>28835</v>
      </c>
      <c r="M362" s="84">
        <v>86505</v>
      </c>
    </row>
    <row r="363" spans="3:13" hidden="1" x14ac:dyDescent="0.25">
      <c r="C363" t="s">
        <v>65</v>
      </c>
      <c r="D363" t="s">
        <v>120</v>
      </c>
      <c r="E363" t="s">
        <v>60</v>
      </c>
      <c r="F363" t="s">
        <v>124</v>
      </c>
      <c r="G363">
        <v>4</v>
      </c>
      <c r="H363" t="s">
        <v>73</v>
      </c>
      <c r="I363" t="s">
        <v>121</v>
      </c>
      <c r="J363" t="s">
        <v>122</v>
      </c>
      <c r="K363">
        <v>0</v>
      </c>
      <c r="L363" s="84">
        <v>-27597</v>
      </c>
      <c r="M363" s="84">
        <v>0</v>
      </c>
    </row>
    <row r="364" spans="3:13" hidden="1" x14ac:dyDescent="0.25">
      <c r="C364" t="s">
        <v>119</v>
      </c>
      <c r="D364" t="s">
        <v>120</v>
      </c>
      <c r="E364" t="s">
        <v>60</v>
      </c>
      <c r="F364" t="s">
        <v>24</v>
      </c>
      <c r="G364">
        <v>0</v>
      </c>
      <c r="H364" t="s">
        <v>12</v>
      </c>
      <c r="I364" t="s">
        <v>121</v>
      </c>
      <c r="J364" t="s">
        <v>122</v>
      </c>
      <c r="K364">
        <v>0</v>
      </c>
      <c r="L364" s="84">
        <v>-35</v>
      </c>
      <c r="M364" s="84">
        <v>0</v>
      </c>
    </row>
    <row r="365" spans="3:13" hidden="1" x14ac:dyDescent="0.25">
      <c r="C365" t="s">
        <v>119</v>
      </c>
      <c r="D365" t="s">
        <v>120</v>
      </c>
      <c r="E365" t="s">
        <v>63</v>
      </c>
      <c r="F365" t="s">
        <v>25</v>
      </c>
      <c r="G365">
        <v>4</v>
      </c>
      <c r="H365" t="s">
        <v>75</v>
      </c>
      <c r="I365" t="s">
        <v>121</v>
      </c>
      <c r="J365" t="s">
        <v>122</v>
      </c>
      <c r="K365">
        <v>0</v>
      </c>
      <c r="L365" s="84">
        <v>6116373</v>
      </c>
      <c r="M365" s="84">
        <v>24465492</v>
      </c>
    </row>
    <row r="366" spans="3:13" hidden="1" x14ac:dyDescent="0.25">
      <c r="C366" t="s">
        <v>65</v>
      </c>
      <c r="D366" t="s">
        <v>125</v>
      </c>
      <c r="E366" t="s">
        <v>63</v>
      </c>
      <c r="F366" t="s">
        <v>25</v>
      </c>
      <c r="G366">
        <v>5</v>
      </c>
      <c r="I366" t="s">
        <v>121</v>
      </c>
      <c r="J366" t="s">
        <v>122</v>
      </c>
      <c r="K366">
        <v>0</v>
      </c>
      <c r="L366" s="84">
        <v>2569</v>
      </c>
      <c r="M366" s="84">
        <v>12845</v>
      </c>
    </row>
    <row r="367" spans="3:13" hidden="1" x14ac:dyDescent="0.25">
      <c r="C367" t="s">
        <v>119</v>
      </c>
      <c r="D367" t="s">
        <v>120</v>
      </c>
      <c r="E367" t="s">
        <v>60</v>
      </c>
      <c r="F367" t="s">
        <v>25</v>
      </c>
      <c r="G367">
        <v>0</v>
      </c>
      <c r="H367" t="s">
        <v>18</v>
      </c>
      <c r="I367" t="s">
        <v>121</v>
      </c>
      <c r="J367" t="s">
        <v>66</v>
      </c>
      <c r="K367">
        <v>1</v>
      </c>
      <c r="L367" s="84">
        <v>-49</v>
      </c>
      <c r="M367" s="84">
        <v>0</v>
      </c>
    </row>
    <row r="368" spans="3:13" hidden="1" x14ac:dyDescent="0.25">
      <c r="C368" t="s">
        <v>119</v>
      </c>
      <c r="D368" t="s">
        <v>120</v>
      </c>
      <c r="E368" t="s">
        <v>60</v>
      </c>
      <c r="F368" t="s">
        <v>25</v>
      </c>
      <c r="G368">
        <v>13</v>
      </c>
      <c r="H368" t="s">
        <v>75</v>
      </c>
      <c r="I368" t="s">
        <v>121</v>
      </c>
      <c r="J368" t="s">
        <v>122</v>
      </c>
      <c r="K368">
        <v>0</v>
      </c>
      <c r="L368" s="84">
        <v>-357</v>
      </c>
      <c r="M368" s="84">
        <v>0</v>
      </c>
    </row>
    <row r="369" spans="3:13" hidden="1" x14ac:dyDescent="0.25">
      <c r="C369" t="s">
        <v>65</v>
      </c>
      <c r="D369" t="s">
        <v>120</v>
      </c>
      <c r="E369" t="s">
        <v>63</v>
      </c>
      <c r="F369" t="s">
        <v>24</v>
      </c>
      <c r="G369">
        <v>-4</v>
      </c>
      <c r="H369" t="s">
        <v>67</v>
      </c>
      <c r="I369" t="s">
        <v>121</v>
      </c>
      <c r="J369" t="s">
        <v>122</v>
      </c>
      <c r="K369">
        <v>0</v>
      </c>
      <c r="L369" s="84">
        <v>14302</v>
      </c>
      <c r="M369" s="84">
        <v>0</v>
      </c>
    </row>
    <row r="370" spans="3:13" hidden="1" x14ac:dyDescent="0.25">
      <c r="C370" t="s">
        <v>64</v>
      </c>
      <c r="D370" t="s">
        <v>120</v>
      </c>
      <c r="E370" t="s">
        <v>60</v>
      </c>
      <c r="F370" t="s">
        <v>25</v>
      </c>
      <c r="G370">
        <v>13</v>
      </c>
      <c r="H370" t="s">
        <v>69</v>
      </c>
      <c r="I370" t="s">
        <v>121</v>
      </c>
      <c r="J370" t="s">
        <v>122</v>
      </c>
      <c r="K370">
        <v>0</v>
      </c>
      <c r="L370" s="84">
        <v>-4492</v>
      </c>
      <c r="M370" s="84">
        <v>0</v>
      </c>
    </row>
    <row r="371" spans="3:13" hidden="1" x14ac:dyDescent="0.25">
      <c r="C371" t="s">
        <v>64</v>
      </c>
      <c r="D371" t="s">
        <v>120</v>
      </c>
      <c r="E371" t="s">
        <v>60</v>
      </c>
      <c r="F371" t="s">
        <v>24</v>
      </c>
      <c r="G371">
        <v>4</v>
      </c>
      <c r="H371" t="s">
        <v>12</v>
      </c>
      <c r="I371" t="s">
        <v>62</v>
      </c>
      <c r="J371" t="s">
        <v>66</v>
      </c>
      <c r="K371">
        <v>1</v>
      </c>
      <c r="L371" s="84">
        <v>-10172</v>
      </c>
      <c r="M371" s="84">
        <v>0</v>
      </c>
    </row>
    <row r="372" spans="3:13" hidden="1" x14ac:dyDescent="0.25">
      <c r="C372" t="s">
        <v>65</v>
      </c>
      <c r="D372" t="s">
        <v>120</v>
      </c>
      <c r="E372" t="s">
        <v>63</v>
      </c>
      <c r="F372" t="s">
        <v>25</v>
      </c>
      <c r="G372">
        <v>5</v>
      </c>
      <c r="H372" t="s">
        <v>61</v>
      </c>
      <c r="I372" t="s">
        <v>121</v>
      </c>
      <c r="J372" t="s">
        <v>122</v>
      </c>
      <c r="K372">
        <v>0</v>
      </c>
      <c r="L372" s="84">
        <v>383399</v>
      </c>
      <c r="M372" s="84">
        <v>1916995</v>
      </c>
    </row>
    <row r="373" spans="3:13" hidden="1" x14ac:dyDescent="0.25">
      <c r="C373" t="s">
        <v>119</v>
      </c>
      <c r="D373" t="s">
        <v>120</v>
      </c>
      <c r="E373" t="s">
        <v>63</v>
      </c>
      <c r="F373" t="s">
        <v>123</v>
      </c>
      <c r="G373">
        <v>3</v>
      </c>
      <c r="H373" t="s">
        <v>15</v>
      </c>
      <c r="I373" t="s">
        <v>121</v>
      </c>
      <c r="J373" t="s">
        <v>66</v>
      </c>
      <c r="K373">
        <v>1</v>
      </c>
      <c r="L373" s="84">
        <v>20717</v>
      </c>
      <c r="M373" s="84">
        <v>62151</v>
      </c>
    </row>
    <row r="374" spans="3:13" hidden="1" x14ac:dyDescent="0.25">
      <c r="C374" t="s">
        <v>64</v>
      </c>
      <c r="D374" t="s">
        <v>120</v>
      </c>
      <c r="E374" t="s">
        <v>63</v>
      </c>
      <c r="F374" t="s">
        <v>24</v>
      </c>
      <c r="G374">
        <v>4</v>
      </c>
      <c r="H374" t="s">
        <v>12</v>
      </c>
      <c r="I374" t="s">
        <v>121</v>
      </c>
      <c r="J374" t="s">
        <v>66</v>
      </c>
      <c r="K374">
        <v>1</v>
      </c>
      <c r="L374" s="84">
        <v>77808</v>
      </c>
      <c r="M374" s="84">
        <v>311232</v>
      </c>
    </row>
    <row r="375" spans="3:13" hidden="1" x14ac:dyDescent="0.25">
      <c r="C375" t="s">
        <v>119</v>
      </c>
      <c r="D375" t="s">
        <v>120</v>
      </c>
      <c r="E375" t="s">
        <v>60</v>
      </c>
      <c r="F375" t="s">
        <v>124</v>
      </c>
      <c r="G375">
        <v>14</v>
      </c>
      <c r="H375" t="s">
        <v>68</v>
      </c>
      <c r="I375" t="s">
        <v>121</v>
      </c>
      <c r="J375" t="s">
        <v>122</v>
      </c>
      <c r="K375">
        <v>0</v>
      </c>
      <c r="L375" s="84">
        <v>-865</v>
      </c>
      <c r="M375" s="84">
        <v>0</v>
      </c>
    </row>
    <row r="376" spans="3:13" hidden="1" x14ac:dyDescent="0.25">
      <c r="C376" t="s">
        <v>119</v>
      </c>
      <c r="D376" t="s">
        <v>120</v>
      </c>
      <c r="E376" t="s">
        <v>60</v>
      </c>
      <c r="F376" t="s">
        <v>24</v>
      </c>
      <c r="G376">
        <v>6</v>
      </c>
      <c r="H376" t="s">
        <v>71</v>
      </c>
      <c r="I376" t="s">
        <v>121</v>
      </c>
      <c r="J376" t="s">
        <v>122</v>
      </c>
      <c r="K376">
        <v>0</v>
      </c>
      <c r="L376" s="84">
        <v>-253</v>
      </c>
      <c r="M376" s="84">
        <v>0</v>
      </c>
    </row>
    <row r="377" spans="3:13" hidden="1" x14ac:dyDescent="0.25">
      <c r="C377" t="s">
        <v>119</v>
      </c>
      <c r="D377" t="s">
        <v>120</v>
      </c>
      <c r="E377" t="s">
        <v>63</v>
      </c>
      <c r="F377" t="s">
        <v>124</v>
      </c>
      <c r="G377">
        <v>-4</v>
      </c>
      <c r="H377" t="s">
        <v>61</v>
      </c>
      <c r="I377" t="s">
        <v>121</v>
      </c>
      <c r="J377" t="s">
        <v>122</v>
      </c>
      <c r="K377">
        <v>0</v>
      </c>
      <c r="L377" s="84">
        <v>176790</v>
      </c>
      <c r="M377" s="84">
        <v>0</v>
      </c>
    </row>
    <row r="378" spans="3:13" hidden="1" x14ac:dyDescent="0.25">
      <c r="C378" t="s">
        <v>64</v>
      </c>
      <c r="D378" t="s">
        <v>120</v>
      </c>
      <c r="E378" t="s">
        <v>63</v>
      </c>
      <c r="F378" t="s">
        <v>124</v>
      </c>
      <c r="G378">
        <v>7</v>
      </c>
      <c r="H378" t="s">
        <v>69</v>
      </c>
      <c r="I378" t="s">
        <v>121</v>
      </c>
      <c r="J378" t="s">
        <v>122</v>
      </c>
      <c r="K378">
        <v>0</v>
      </c>
      <c r="L378" s="84">
        <v>478399</v>
      </c>
      <c r="M378" s="84">
        <v>3348793</v>
      </c>
    </row>
    <row r="379" spans="3:13" hidden="1" x14ac:dyDescent="0.25">
      <c r="C379" t="s">
        <v>64</v>
      </c>
      <c r="D379" t="s">
        <v>120</v>
      </c>
      <c r="E379" t="s">
        <v>60</v>
      </c>
      <c r="F379" t="s">
        <v>124</v>
      </c>
      <c r="G379">
        <v>7</v>
      </c>
      <c r="H379" t="s">
        <v>14</v>
      </c>
      <c r="I379" t="s">
        <v>121</v>
      </c>
      <c r="J379" t="s">
        <v>66</v>
      </c>
      <c r="K379">
        <v>1</v>
      </c>
      <c r="L379" s="84">
        <v>-281391</v>
      </c>
      <c r="M379" s="84">
        <v>0</v>
      </c>
    </row>
    <row r="380" spans="3:13" hidden="1" x14ac:dyDescent="0.25">
      <c r="C380" t="s">
        <v>64</v>
      </c>
      <c r="D380" t="s">
        <v>120</v>
      </c>
      <c r="E380" t="s">
        <v>63</v>
      </c>
      <c r="F380" t="s">
        <v>124</v>
      </c>
      <c r="G380">
        <v>-1</v>
      </c>
      <c r="H380" t="s">
        <v>73</v>
      </c>
      <c r="I380" t="s">
        <v>121</v>
      </c>
      <c r="J380" t="s">
        <v>122</v>
      </c>
      <c r="K380">
        <v>0</v>
      </c>
      <c r="L380" s="84">
        <v>1150662</v>
      </c>
      <c r="M380" s="84">
        <v>0</v>
      </c>
    </row>
    <row r="381" spans="3:13" hidden="1" x14ac:dyDescent="0.25">
      <c r="C381" t="s">
        <v>64</v>
      </c>
      <c r="D381" t="s">
        <v>120</v>
      </c>
      <c r="E381" t="s">
        <v>63</v>
      </c>
      <c r="F381" t="s">
        <v>124</v>
      </c>
      <c r="G381">
        <v>3</v>
      </c>
      <c r="H381" t="s">
        <v>17</v>
      </c>
      <c r="I381" t="s">
        <v>62</v>
      </c>
      <c r="J381" t="s">
        <v>66</v>
      </c>
      <c r="K381">
        <v>1</v>
      </c>
      <c r="L381" s="84">
        <v>453454</v>
      </c>
      <c r="M381" s="84">
        <v>1360362</v>
      </c>
    </row>
    <row r="382" spans="3:13" hidden="1" x14ac:dyDescent="0.25">
      <c r="C382" t="s">
        <v>64</v>
      </c>
      <c r="D382" t="s">
        <v>120</v>
      </c>
      <c r="E382" t="s">
        <v>63</v>
      </c>
      <c r="F382" t="s">
        <v>123</v>
      </c>
      <c r="G382">
        <v>4</v>
      </c>
      <c r="H382" t="s">
        <v>12</v>
      </c>
      <c r="I382" t="s">
        <v>121</v>
      </c>
      <c r="J382" t="s">
        <v>66</v>
      </c>
      <c r="K382">
        <v>1</v>
      </c>
      <c r="L382" s="84">
        <v>182772</v>
      </c>
      <c r="M382" s="84">
        <v>731088</v>
      </c>
    </row>
    <row r="383" spans="3:13" hidden="1" x14ac:dyDescent="0.25">
      <c r="C383" t="s">
        <v>119</v>
      </c>
      <c r="D383" t="s">
        <v>120</v>
      </c>
      <c r="E383" t="s">
        <v>63</v>
      </c>
      <c r="F383" t="s">
        <v>24</v>
      </c>
      <c r="G383">
        <v>6</v>
      </c>
      <c r="H383" t="s">
        <v>14</v>
      </c>
      <c r="I383" t="s">
        <v>121</v>
      </c>
      <c r="J383" t="s">
        <v>122</v>
      </c>
      <c r="K383">
        <v>0</v>
      </c>
      <c r="L383" s="84">
        <v>167931</v>
      </c>
      <c r="M383" s="84">
        <v>1007586</v>
      </c>
    </row>
    <row r="384" spans="3:13" hidden="1" x14ac:dyDescent="0.25">
      <c r="C384" t="s">
        <v>119</v>
      </c>
      <c r="D384" t="s">
        <v>126</v>
      </c>
      <c r="E384" t="s">
        <v>60</v>
      </c>
      <c r="F384" t="s">
        <v>24</v>
      </c>
      <c r="G384">
        <v>13</v>
      </c>
      <c r="H384" t="s">
        <v>74</v>
      </c>
      <c r="I384" t="s">
        <v>121</v>
      </c>
      <c r="J384" t="s">
        <v>122</v>
      </c>
      <c r="K384">
        <v>0</v>
      </c>
      <c r="L384" s="84">
        <v>-293</v>
      </c>
      <c r="M384" s="84">
        <v>0</v>
      </c>
    </row>
    <row r="385" spans="3:13" hidden="1" x14ac:dyDescent="0.25">
      <c r="C385" t="s">
        <v>119</v>
      </c>
      <c r="D385" t="s">
        <v>120</v>
      </c>
      <c r="E385" t="s">
        <v>63</v>
      </c>
      <c r="F385" t="s">
        <v>124</v>
      </c>
      <c r="G385">
        <v>8</v>
      </c>
      <c r="H385" t="s">
        <v>15</v>
      </c>
      <c r="I385" t="s">
        <v>121</v>
      </c>
      <c r="J385" t="s">
        <v>66</v>
      </c>
      <c r="K385">
        <v>1</v>
      </c>
      <c r="L385" s="84">
        <v>144385</v>
      </c>
      <c r="M385" s="84">
        <v>1155080</v>
      </c>
    </row>
    <row r="386" spans="3:13" hidden="1" x14ac:dyDescent="0.25">
      <c r="C386" t="s">
        <v>119</v>
      </c>
      <c r="D386" t="s">
        <v>125</v>
      </c>
      <c r="E386" t="s">
        <v>63</v>
      </c>
      <c r="F386" t="s">
        <v>24</v>
      </c>
      <c r="G386">
        <v>36</v>
      </c>
      <c r="I386" t="s">
        <v>121</v>
      </c>
      <c r="J386" t="s">
        <v>122</v>
      </c>
      <c r="K386">
        <v>0</v>
      </c>
      <c r="L386" s="84">
        <v>1497539363</v>
      </c>
      <c r="M386" s="84">
        <v>53911417068</v>
      </c>
    </row>
    <row r="387" spans="3:13" hidden="1" x14ac:dyDescent="0.25">
      <c r="C387" t="s">
        <v>65</v>
      </c>
      <c r="D387" t="s">
        <v>120</v>
      </c>
      <c r="E387" t="s">
        <v>60</v>
      </c>
      <c r="F387" t="s">
        <v>124</v>
      </c>
      <c r="G387">
        <v>2</v>
      </c>
      <c r="H387" t="s">
        <v>68</v>
      </c>
      <c r="I387" t="s">
        <v>121</v>
      </c>
      <c r="J387" t="s">
        <v>122</v>
      </c>
      <c r="K387">
        <v>0</v>
      </c>
      <c r="L387" s="84">
        <v>-210457</v>
      </c>
      <c r="M387" s="84">
        <v>0</v>
      </c>
    </row>
    <row r="388" spans="3:13" hidden="1" x14ac:dyDescent="0.25">
      <c r="C388" t="s">
        <v>65</v>
      </c>
      <c r="D388" t="s">
        <v>120</v>
      </c>
      <c r="E388" t="s">
        <v>60</v>
      </c>
      <c r="F388" t="s">
        <v>123</v>
      </c>
      <c r="G388">
        <v>2</v>
      </c>
      <c r="H388" t="s">
        <v>76</v>
      </c>
      <c r="I388" t="s">
        <v>121</v>
      </c>
      <c r="J388" t="s">
        <v>122</v>
      </c>
      <c r="K388">
        <v>0</v>
      </c>
      <c r="L388" s="84">
        <v>-15267</v>
      </c>
      <c r="M388" s="84">
        <v>0</v>
      </c>
    </row>
    <row r="389" spans="3:13" hidden="1" x14ac:dyDescent="0.25">
      <c r="C389" t="s">
        <v>64</v>
      </c>
      <c r="D389" t="s">
        <v>120</v>
      </c>
      <c r="E389" t="s">
        <v>60</v>
      </c>
      <c r="F389" t="s">
        <v>24</v>
      </c>
      <c r="G389">
        <v>8</v>
      </c>
      <c r="H389" t="s">
        <v>72</v>
      </c>
      <c r="I389" t="s">
        <v>121</v>
      </c>
      <c r="J389" t="s">
        <v>122</v>
      </c>
      <c r="K389">
        <v>0</v>
      </c>
      <c r="L389" s="84">
        <v>-32157</v>
      </c>
      <c r="M389" s="84">
        <v>0</v>
      </c>
    </row>
    <row r="390" spans="3:13" hidden="1" x14ac:dyDescent="0.25">
      <c r="C390" t="s">
        <v>119</v>
      </c>
      <c r="D390" t="s">
        <v>120</v>
      </c>
      <c r="E390" t="s">
        <v>60</v>
      </c>
      <c r="F390" t="s">
        <v>25</v>
      </c>
      <c r="G390">
        <v>7</v>
      </c>
      <c r="H390" t="s">
        <v>14</v>
      </c>
      <c r="I390" t="s">
        <v>121</v>
      </c>
      <c r="J390" t="s">
        <v>66</v>
      </c>
      <c r="K390">
        <v>1</v>
      </c>
      <c r="L390" s="84">
        <v>-13402</v>
      </c>
      <c r="M390" s="84">
        <v>0</v>
      </c>
    </row>
    <row r="391" spans="3:13" hidden="1" x14ac:dyDescent="0.25">
      <c r="C391" t="s">
        <v>65</v>
      </c>
      <c r="D391" t="s">
        <v>120</v>
      </c>
      <c r="E391" t="s">
        <v>63</v>
      </c>
      <c r="F391" t="s">
        <v>24</v>
      </c>
      <c r="G391">
        <v>-4</v>
      </c>
      <c r="H391" t="s">
        <v>14</v>
      </c>
      <c r="I391" t="s">
        <v>121</v>
      </c>
      <c r="J391" t="s">
        <v>66</v>
      </c>
      <c r="K391">
        <v>1</v>
      </c>
      <c r="L391" s="84">
        <v>13999</v>
      </c>
      <c r="M391" s="84">
        <v>0</v>
      </c>
    </row>
    <row r="392" spans="3:13" hidden="1" x14ac:dyDescent="0.25">
      <c r="C392" t="s">
        <v>119</v>
      </c>
      <c r="D392" t="s">
        <v>120</v>
      </c>
      <c r="E392" t="s">
        <v>60</v>
      </c>
      <c r="F392" t="s">
        <v>25</v>
      </c>
      <c r="G392">
        <v>5</v>
      </c>
      <c r="H392" t="s">
        <v>14</v>
      </c>
      <c r="I392" t="s">
        <v>121</v>
      </c>
      <c r="J392" t="s">
        <v>122</v>
      </c>
      <c r="K392">
        <v>0</v>
      </c>
      <c r="L392" s="84">
        <v>-6218</v>
      </c>
      <c r="M392" s="84">
        <v>0</v>
      </c>
    </row>
    <row r="393" spans="3:13" hidden="1" x14ac:dyDescent="0.25">
      <c r="C393" t="s">
        <v>64</v>
      </c>
      <c r="D393" t="s">
        <v>120</v>
      </c>
      <c r="E393" t="s">
        <v>63</v>
      </c>
      <c r="F393" t="s">
        <v>124</v>
      </c>
      <c r="G393">
        <v>5</v>
      </c>
      <c r="H393" t="s">
        <v>17</v>
      </c>
      <c r="I393" t="s">
        <v>62</v>
      </c>
      <c r="J393" t="s">
        <v>66</v>
      </c>
      <c r="K393">
        <v>1</v>
      </c>
      <c r="L393" s="84">
        <v>110773</v>
      </c>
      <c r="M393" s="84">
        <v>553865</v>
      </c>
    </row>
    <row r="394" spans="3:13" hidden="1" x14ac:dyDescent="0.25">
      <c r="C394" t="s">
        <v>119</v>
      </c>
      <c r="D394" t="s">
        <v>120</v>
      </c>
      <c r="E394" t="s">
        <v>60</v>
      </c>
      <c r="F394" t="s">
        <v>25</v>
      </c>
      <c r="G394">
        <v>2</v>
      </c>
      <c r="H394" t="s">
        <v>74</v>
      </c>
      <c r="I394" t="s">
        <v>121</v>
      </c>
      <c r="J394" t="s">
        <v>122</v>
      </c>
      <c r="K394">
        <v>0</v>
      </c>
      <c r="L394" s="84">
        <v>-30</v>
      </c>
      <c r="M394" s="84">
        <v>0</v>
      </c>
    </row>
    <row r="395" spans="3:13" hidden="1" x14ac:dyDescent="0.25">
      <c r="C395" t="s">
        <v>64</v>
      </c>
      <c r="D395" t="s">
        <v>120</v>
      </c>
      <c r="E395" t="s">
        <v>60</v>
      </c>
      <c r="F395" t="s">
        <v>124</v>
      </c>
      <c r="G395">
        <v>5</v>
      </c>
      <c r="H395" t="s">
        <v>13</v>
      </c>
      <c r="I395" t="s">
        <v>121</v>
      </c>
      <c r="J395" t="s">
        <v>122</v>
      </c>
      <c r="K395">
        <v>0</v>
      </c>
      <c r="L395" s="84">
        <v>-33896</v>
      </c>
      <c r="M395" s="84">
        <v>0</v>
      </c>
    </row>
    <row r="396" spans="3:13" hidden="1" x14ac:dyDescent="0.25">
      <c r="C396" t="s">
        <v>65</v>
      </c>
      <c r="D396" t="s">
        <v>120</v>
      </c>
      <c r="E396" t="s">
        <v>60</v>
      </c>
      <c r="F396" t="s">
        <v>124</v>
      </c>
      <c r="G396">
        <v>-1</v>
      </c>
      <c r="H396" t="s">
        <v>79</v>
      </c>
      <c r="I396" t="s">
        <v>121</v>
      </c>
      <c r="J396" t="s">
        <v>122</v>
      </c>
      <c r="K396">
        <v>0</v>
      </c>
      <c r="L396" s="84">
        <v>-270</v>
      </c>
      <c r="M396" s="84">
        <v>0</v>
      </c>
    </row>
    <row r="397" spans="3:13" hidden="1" x14ac:dyDescent="0.25">
      <c r="C397" t="s">
        <v>65</v>
      </c>
      <c r="D397" t="s">
        <v>120</v>
      </c>
      <c r="E397" t="s">
        <v>60</v>
      </c>
      <c r="F397" t="s">
        <v>24</v>
      </c>
      <c r="G397">
        <v>0</v>
      </c>
      <c r="H397" t="s">
        <v>18</v>
      </c>
      <c r="I397" t="s">
        <v>121</v>
      </c>
      <c r="J397" t="s">
        <v>122</v>
      </c>
      <c r="K397">
        <v>0</v>
      </c>
      <c r="L397" s="84">
        <v>-3961</v>
      </c>
      <c r="M397" s="84">
        <v>0</v>
      </c>
    </row>
    <row r="398" spans="3:13" hidden="1" x14ac:dyDescent="0.25">
      <c r="C398" t="s">
        <v>64</v>
      </c>
      <c r="D398" t="s">
        <v>120</v>
      </c>
      <c r="E398" t="s">
        <v>60</v>
      </c>
      <c r="F398" t="s">
        <v>124</v>
      </c>
      <c r="G398">
        <v>11</v>
      </c>
      <c r="H398" t="s">
        <v>18</v>
      </c>
      <c r="I398" t="s">
        <v>121</v>
      </c>
      <c r="J398" t="s">
        <v>122</v>
      </c>
      <c r="K398">
        <v>0</v>
      </c>
      <c r="L398" s="84">
        <v>-307724</v>
      </c>
      <c r="M398" s="84">
        <v>0</v>
      </c>
    </row>
    <row r="399" spans="3:13" hidden="1" x14ac:dyDescent="0.25">
      <c r="C399" t="s">
        <v>119</v>
      </c>
      <c r="D399" t="s">
        <v>120</v>
      </c>
      <c r="E399" t="s">
        <v>63</v>
      </c>
      <c r="F399" t="s">
        <v>123</v>
      </c>
      <c r="G399">
        <v>1</v>
      </c>
      <c r="H399" t="s">
        <v>17</v>
      </c>
      <c r="I399" t="s">
        <v>62</v>
      </c>
      <c r="J399" t="s">
        <v>122</v>
      </c>
      <c r="K399">
        <v>1</v>
      </c>
      <c r="L399" s="84">
        <v>15663</v>
      </c>
      <c r="M399" s="84">
        <v>15663</v>
      </c>
    </row>
    <row r="400" spans="3:13" hidden="1" x14ac:dyDescent="0.25">
      <c r="C400" t="s">
        <v>65</v>
      </c>
      <c r="D400" t="s">
        <v>120</v>
      </c>
      <c r="E400" t="s">
        <v>63</v>
      </c>
      <c r="F400" t="s">
        <v>124</v>
      </c>
      <c r="G400">
        <v>6</v>
      </c>
      <c r="H400" t="s">
        <v>14</v>
      </c>
      <c r="I400" t="s">
        <v>121</v>
      </c>
      <c r="J400" t="s">
        <v>66</v>
      </c>
      <c r="K400">
        <v>1</v>
      </c>
      <c r="L400" s="84">
        <v>524216</v>
      </c>
      <c r="M400" s="84">
        <v>3145296</v>
      </c>
    </row>
    <row r="401" spans="3:13" hidden="1" x14ac:dyDescent="0.25">
      <c r="C401" t="s">
        <v>64</v>
      </c>
      <c r="D401" t="s">
        <v>120</v>
      </c>
      <c r="E401" t="s">
        <v>63</v>
      </c>
      <c r="F401" t="s">
        <v>124</v>
      </c>
      <c r="G401">
        <v>7</v>
      </c>
      <c r="H401" t="s">
        <v>18</v>
      </c>
      <c r="I401" t="s">
        <v>121</v>
      </c>
      <c r="J401" t="s">
        <v>122</v>
      </c>
      <c r="K401">
        <v>0</v>
      </c>
      <c r="L401" s="84">
        <v>3823533</v>
      </c>
      <c r="M401" s="84">
        <v>26764731</v>
      </c>
    </row>
    <row r="402" spans="3:13" x14ac:dyDescent="0.25">
      <c r="C402" t="s">
        <v>119</v>
      </c>
      <c r="D402" t="s">
        <v>120</v>
      </c>
      <c r="E402" t="s">
        <v>63</v>
      </c>
      <c r="F402" t="s">
        <v>25</v>
      </c>
      <c r="G402">
        <v>3</v>
      </c>
      <c r="H402" t="s">
        <v>17</v>
      </c>
      <c r="I402" t="s">
        <v>62</v>
      </c>
      <c r="J402" t="s">
        <v>66</v>
      </c>
      <c r="K402">
        <v>1</v>
      </c>
      <c r="L402" s="84">
        <v>37177</v>
      </c>
      <c r="M402" s="84">
        <v>111531</v>
      </c>
    </row>
    <row r="403" spans="3:13" x14ac:dyDescent="0.25">
      <c r="C403" t="s">
        <v>64</v>
      </c>
      <c r="D403" t="s">
        <v>120</v>
      </c>
      <c r="E403" t="s">
        <v>63</v>
      </c>
      <c r="F403" t="s">
        <v>25</v>
      </c>
      <c r="G403">
        <v>7</v>
      </c>
      <c r="H403" t="s">
        <v>12</v>
      </c>
      <c r="I403" t="s">
        <v>121</v>
      </c>
      <c r="J403" t="s">
        <v>66</v>
      </c>
      <c r="K403">
        <v>1</v>
      </c>
      <c r="L403" s="84">
        <v>78647</v>
      </c>
      <c r="M403" s="84">
        <v>550529</v>
      </c>
    </row>
    <row r="404" spans="3:13" hidden="1" x14ac:dyDescent="0.25">
      <c r="C404" t="s">
        <v>65</v>
      </c>
      <c r="D404" t="s">
        <v>125</v>
      </c>
      <c r="E404" t="s">
        <v>60</v>
      </c>
      <c r="F404" t="s">
        <v>24</v>
      </c>
      <c r="G404">
        <v>40</v>
      </c>
      <c r="I404" t="s">
        <v>121</v>
      </c>
      <c r="J404" t="s">
        <v>122</v>
      </c>
      <c r="K404">
        <v>0</v>
      </c>
      <c r="L404" s="84">
        <v>-275486</v>
      </c>
      <c r="M404" s="84">
        <v>0</v>
      </c>
    </row>
    <row r="405" spans="3:13" hidden="1" x14ac:dyDescent="0.25">
      <c r="C405" t="s">
        <v>119</v>
      </c>
      <c r="D405" t="s">
        <v>120</v>
      </c>
      <c r="E405" t="s">
        <v>60</v>
      </c>
      <c r="F405" t="s">
        <v>25</v>
      </c>
      <c r="G405">
        <v>14</v>
      </c>
      <c r="H405" t="s">
        <v>70</v>
      </c>
      <c r="I405" t="s">
        <v>121</v>
      </c>
      <c r="J405" t="s">
        <v>122</v>
      </c>
      <c r="K405">
        <v>0</v>
      </c>
      <c r="L405" s="84">
        <v>-583</v>
      </c>
      <c r="M405" s="84">
        <v>0</v>
      </c>
    </row>
    <row r="406" spans="3:13" hidden="1" x14ac:dyDescent="0.25">
      <c r="C406" t="s">
        <v>119</v>
      </c>
      <c r="D406" t="s">
        <v>120</v>
      </c>
      <c r="E406" t="s">
        <v>63</v>
      </c>
      <c r="F406" t="s">
        <v>25</v>
      </c>
      <c r="G406">
        <v>0</v>
      </c>
      <c r="H406" t="s">
        <v>74</v>
      </c>
      <c r="I406" t="s">
        <v>121</v>
      </c>
      <c r="J406" t="s">
        <v>122</v>
      </c>
      <c r="K406">
        <v>0</v>
      </c>
      <c r="L406" s="84">
        <v>137976</v>
      </c>
      <c r="M406" s="84">
        <v>0</v>
      </c>
    </row>
    <row r="407" spans="3:13" hidden="1" x14ac:dyDescent="0.25">
      <c r="C407" t="s">
        <v>65</v>
      </c>
      <c r="D407" t="s">
        <v>120</v>
      </c>
      <c r="E407" t="s">
        <v>60</v>
      </c>
      <c r="F407" t="s">
        <v>124</v>
      </c>
      <c r="G407">
        <v>-1</v>
      </c>
      <c r="H407" t="s">
        <v>12</v>
      </c>
      <c r="I407" t="s">
        <v>62</v>
      </c>
      <c r="J407" t="s">
        <v>66</v>
      </c>
      <c r="K407">
        <v>1</v>
      </c>
      <c r="L407" s="84">
        <v>-148636</v>
      </c>
      <c r="M407" s="84">
        <v>0</v>
      </c>
    </row>
    <row r="408" spans="3:13" hidden="1" x14ac:dyDescent="0.25">
      <c r="C408" t="s">
        <v>65</v>
      </c>
      <c r="D408" t="s">
        <v>120</v>
      </c>
      <c r="E408" t="s">
        <v>63</v>
      </c>
      <c r="F408" t="s">
        <v>124</v>
      </c>
      <c r="G408">
        <v>-4</v>
      </c>
      <c r="H408" t="s">
        <v>70</v>
      </c>
      <c r="I408" t="s">
        <v>121</v>
      </c>
      <c r="J408" t="s">
        <v>122</v>
      </c>
      <c r="K408">
        <v>0</v>
      </c>
      <c r="L408" s="84">
        <v>440558</v>
      </c>
      <c r="M408" s="84">
        <v>0</v>
      </c>
    </row>
    <row r="409" spans="3:13" hidden="1" x14ac:dyDescent="0.25">
      <c r="C409" t="s">
        <v>119</v>
      </c>
      <c r="D409" t="s">
        <v>120</v>
      </c>
      <c r="E409" t="s">
        <v>63</v>
      </c>
      <c r="F409" t="s">
        <v>25</v>
      </c>
      <c r="G409">
        <v>-4</v>
      </c>
      <c r="H409" t="s">
        <v>18</v>
      </c>
      <c r="I409" t="s">
        <v>121</v>
      </c>
      <c r="J409" t="s">
        <v>122</v>
      </c>
      <c r="K409">
        <v>0</v>
      </c>
      <c r="L409" s="84">
        <v>190656</v>
      </c>
      <c r="M409" s="84">
        <v>0</v>
      </c>
    </row>
    <row r="410" spans="3:13" hidden="1" x14ac:dyDescent="0.25">
      <c r="C410" t="s">
        <v>119</v>
      </c>
      <c r="D410" t="s">
        <v>125</v>
      </c>
      <c r="E410" t="s">
        <v>63</v>
      </c>
      <c r="F410" t="s">
        <v>24</v>
      </c>
      <c r="G410">
        <v>25</v>
      </c>
      <c r="I410" t="s">
        <v>121</v>
      </c>
      <c r="J410" t="s">
        <v>122</v>
      </c>
      <c r="K410">
        <v>0</v>
      </c>
      <c r="L410" s="84">
        <v>788267421</v>
      </c>
      <c r="M410" s="84">
        <v>19706685525</v>
      </c>
    </row>
    <row r="411" spans="3:13" x14ac:dyDescent="0.25">
      <c r="C411" t="s">
        <v>119</v>
      </c>
      <c r="D411" t="s">
        <v>120</v>
      </c>
      <c r="E411" t="s">
        <v>63</v>
      </c>
      <c r="F411" t="s">
        <v>25</v>
      </c>
      <c r="G411">
        <v>4</v>
      </c>
      <c r="H411" t="s">
        <v>17</v>
      </c>
      <c r="I411" t="s">
        <v>121</v>
      </c>
      <c r="J411" t="s">
        <v>66</v>
      </c>
      <c r="K411">
        <v>1</v>
      </c>
      <c r="L411" s="84">
        <v>78093</v>
      </c>
      <c r="M411" s="84">
        <v>312372</v>
      </c>
    </row>
    <row r="412" spans="3:13" hidden="1" x14ac:dyDescent="0.25">
      <c r="C412" t="s">
        <v>119</v>
      </c>
      <c r="D412" t="s">
        <v>126</v>
      </c>
      <c r="E412" t="s">
        <v>60</v>
      </c>
      <c r="F412" t="s">
        <v>24</v>
      </c>
      <c r="G412">
        <v>3</v>
      </c>
      <c r="H412" t="s">
        <v>74</v>
      </c>
      <c r="I412" t="s">
        <v>121</v>
      </c>
      <c r="J412" t="s">
        <v>122</v>
      </c>
      <c r="K412">
        <v>0</v>
      </c>
      <c r="L412" s="84">
        <v>-4313</v>
      </c>
      <c r="M412" s="84">
        <v>0</v>
      </c>
    </row>
    <row r="413" spans="3:13" hidden="1" x14ac:dyDescent="0.25">
      <c r="C413" t="s">
        <v>64</v>
      </c>
      <c r="D413" t="s">
        <v>120</v>
      </c>
      <c r="E413" t="s">
        <v>63</v>
      </c>
      <c r="F413" t="s">
        <v>123</v>
      </c>
      <c r="G413">
        <v>3</v>
      </c>
      <c r="H413" t="s">
        <v>12</v>
      </c>
      <c r="I413" t="s">
        <v>62</v>
      </c>
      <c r="J413" t="s">
        <v>66</v>
      </c>
      <c r="K413">
        <v>1</v>
      </c>
      <c r="L413" s="84">
        <v>143169</v>
      </c>
      <c r="M413" s="84">
        <v>429507</v>
      </c>
    </row>
    <row r="414" spans="3:13" hidden="1" x14ac:dyDescent="0.25">
      <c r="C414" t="s">
        <v>64</v>
      </c>
      <c r="D414" t="s">
        <v>120</v>
      </c>
      <c r="E414" t="s">
        <v>63</v>
      </c>
      <c r="F414" t="s">
        <v>24</v>
      </c>
      <c r="G414">
        <v>12</v>
      </c>
      <c r="H414" t="s">
        <v>61</v>
      </c>
      <c r="I414" t="s">
        <v>121</v>
      </c>
      <c r="J414" t="s">
        <v>122</v>
      </c>
      <c r="K414">
        <v>0</v>
      </c>
      <c r="L414" s="84">
        <v>244638</v>
      </c>
      <c r="M414" s="84">
        <v>2935656</v>
      </c>
    </row>
    <row r="415" spans="3:13" hidden="1" x14ac:dyDescent="0.25">
      <c r="C415" t="s">
        <v>65</v>
      </c>
      <c r="D415" t="s">
        <v>120</v>
      </c>
      <c r="E415" t="s">
        <v>60</v>
      </c>
      <c r="F415" t="s">
        <v>123</v>
      </c>
      <c r="G415">
        <v>-4</v>
      </c>
      <c r="H415" t="s">
        <v>13</v>
      </c>
      <c r="I415" t="s">
        <v>121</v>
      </c>
      <c r="J415" t="s">
        <v>122</v>
      </c>
      <c r="K415">
        <v>0</v>
      </c>
      <c r="L415" s="84">
        <v>-33764</v>
      </c>
      <c r="M415" s="84">
        <v>0</v>
      </c>
    </row>
    <row r="416" spans="3:13" hidden="1" x14ac:dyDescent="0.25">
      <c r="C416" t="s">
        <v>65</v>
      </c>
      <c r="D416" t="s">
        <v>125</v>
      </c>
      <c r="E416" t="s">
        <v>60</v>
      </c>
      <c r="F416" t="s">
        <v>24</v>
      </c>
      <c r="G416">
        <v>44</v>
      </c>
      <c r="I416" t="s">
        <v>121</v>
      </c>
      <c r="J416" t="s">
        <v>122</v>
      </c>
      <c r="K416">
        <v>0</v>
      </c>
      <c r="L416" s="84">
        <v>-48564</v>
      </c>
      <c r="M416" s="84">
        <v>0</v>
      </c>
    </row>
    <row r="417" spans="3:13" hidden="1" x14ac:dyDescent="0.25">
      <c r="C417" t="s">
        <v>64</v>
      </c>
      <c r="D417" t="s">
        <v>120</v>
      </c>
      <c r="E417" t="s">
        <v>63</v>
      </c>
      <c r="F417" t="s">
        <v>24</v>
      </c>
      <c r="G417">
        <v>4</v>
      </c>
      <c r="H417" t="s">
        <v>72</v>
      </c>
      <c r="I417" t="s">
        <v>121</v>
      </c>
      <c r="J417" t="s">
        <v>122</v>
      </c>
      <c r="K417">
        <v>0</v>
      </c>
      <c r="L417" s="84">
        <v>54092</v>
      </c>
      <c r="M417" s="84">
        <v>216368</v>
      </c>
    </row>
    <row r="418" spans="3:13" hidden="1" x14ac:dyDescent="0.25">
      <c r="C418" t="s">
        <v>65</v>
      </c>
      <c r="D418" t="s">
        <v>120</v>
      </c>
      <c r="E418" t="s">
        <v>60</v>
      </c>
      <c r="F418" t="s">
        <v>124</v>
      </c>
      <c r="G418">
        <v>-1</v>
      </c>
      <c r="H418" t="s">
        <v>70</v>
      </c>
      <c r="I418" t="s">
        <v>121</v>
      </c>
      <c r="J418" t="s">
        <v>122</v>
      </c>
      <c r="K418">
        <v>0</v>
      </c>
      <c r="L418" s="84">
        <v>-662743</v>
      </c>
      <c r="M418" s="84">
        <v>0</v>
      </c>
    </row>
    <row r="419" spans="3:13" hidden="1" x14ac:dyDescent="0.25">
      <c r="C419" t="s">
        <v>64</v>
      </c>
      <c r="D419" t="s">
        <v>120</v>
      </c>
      <c r="E419" t="s">
        <v>60</v>
      </c>
      <c r="F419" t="s">
        <v>124</v>
      </c>
      <c r="G419">
        <v>10</v>
      </c>
      <c r="H419" t="s">
        <v>18</v>
      </c>
      <c r="I419" t="s">
        <v>121</v>
      </c>
      <c r="J419" t="s">
        <v>122</v>
      </c>
      <c r="K419">
        <v>0</v>
      </c>
      <c r="L419" s="84">
        <v>-1057</v>
      </c>
      <c r="M419" s="84">
        <v>0</v>
      </c>
    </row>
    <row r="420" spans="3:13" hidden="1" x14ac:dyDescent="0.25">
      <c r="C420" t="s">
        <v>65</v>
      </c>
      <c r="D420" t="s">
        <v>120</v>
      </c>
      <c r="E420" t="s">
        <v>60</v>
      </c>
      <c r="F420" t="s">
        <v>124</v>
      </c>
      <c r="G420">
        <v>7</v>
      </c>
      <c r="H420" t="s">
        <v>16</v>
      </c>
      <c r="I420" t="s">
        <v>121</v>
      </c>
      <c r="J420" t="s">
        <v>122</v>
      </c>
      <c r="K420">
        <v>0</v>
      </c>
      <c r="L420" s="84">
        <v>-6768</v>
      </c>
      <c r="M420" s="84">
        <v>0</v>
      </c>
    </row>
    <row r="421" spans="3:13" hidden="1" x14ac:dyDescent="0.25">
      <c r="C421" t="s">
        <v>119</v>
      </c>
      <c r="D421" t="s">
        <v>125</v>
      </c>
      <c r="E421" t="s">
        <v>63</v>
      </c>
      <c r="F421" t="s">
        <v>25</v>
      </c>
      <c r="G421">
        <v>10</v>
      </c>
      <c r="I421" t="s">
        <v>121</v>
      </c>
      <c r="J421" t="s">
        <v>122</v>
      </c>
      <c r="K421">
        <v>0</v>
      </c>
      <c r="L421" s="84">
        <v>5010567</v>
      </c>
      <c r="M421" s="84">
        <v>50105670</v>
      </c>
    </row>
    <row r="422" spans="3:13" hidden="1" x14ac:dyDescent="0.25">
      <c r="C422" t="s">
        <v>64</v>
      </c>
      <c r="D422" t="s">
        <v>120</v>
      </c>
      <c r="E422" t="s">
        <v>63</v>
      </c>
      <c r="F422" t="s">
        <v>124</v>
      </c>
      <c r="G422">
        <v>11</v>
      </c>
      <c r="H422" t="s">
        <v>71</v>
      </c>
      <c r="I422" t="s">
        <v>121</v>
      </c>
      <c r="J422" t="s">
        <v>122</v>
      </c>
      <c r="K422">
        <v>0</v>
      </c>
      <c r="L422" s="84">
        <v>1684455</v>
      </c>
      <c r="M422" s="84">
        <v>18529005</v>
      </c>
    </row>
    <row r="423" spans="3:13" hidden="1" x14ac:dyDescent="0.25">
      <c r="C423" t="s">
        <v>119</v>
      </c>
      <c r="D423" t="s">
        <v>120</v>
      </c>
      <c r="E423" t="s">
        <v>60</v>
      </c>
      <c r="F423" t="s">
        <v>24</v>
      </c>
      <c r="G423">
        <v>4</v>
      </c>
      <c r="H423" t="s">
        <v>70</v>
      </c>
      <c r="I423" t="s">
        <v>121</v>
      </c>
      <c r="J423" t="s">
        <v>122</v>
      </c>
      <c r="K423">
        <v>0</v>
      </c>
      <c r="L423" s="84">
        <v>-42</v>
      </c>
      <c r="M423" s="84">
        <v>0</v>
      </c>
    </row>
    <row r="424" spans="3:13" hidden="1" x14ac:dyDescent="0.25">
      <c r="C424" t="s">
        <v>65</v>
      </c>
      <c r="D424" t="s">
        <v>120</v>
      </c>
      <c r="E424" t="s">
        <v>60</v>
      </c>
      <c r="F424" t="s">
        <v>124</v>
      </c>
      <c r="G424">
        <v>0</v>
      </c>
      <c r="H424" t="s">
        <v>74</v>
      </c>
      <c r="I424" t="s">
        <v>121</v>
      </c>
      <c r="J424" t="s">
        <v>122</v>
      </c>
      <c r="K424">
        <v>0</v>
      </c>
      <c r="L424" s="84">
        <v>-11966</v>
      </c>
      <c r="M424" s="84">
        <v>0</v>
      </c>
    </row>
    <row r="425" spans="3:13" hidden="1" x14ac:dyDescent="0.25">
      <c r="C425" t="s">
        <v>119</v>
      </c>
      <c r="D425" t="s">
        <v>120</v>
      </c>
      <c r="E425" t="s">
        <v>60</v>
      </c>
      <c r="F425" t="s">
        <v>25</v>
      </c>
      <c r="G425">
        <v>2</v>
      </c>
      <c r="H425" t="s">
        <v>17</v>
      </c>
      <c r="I425" t="s">
        <v>121</v>
      </c>
      <c r="J425" t="s">
        <v>66</v>
      </c>
      <c r="K425">
        <v>1</v>
      </c>
      <c r="L425" s="84">
        <v>-284</v>
      </c>
      <c r="M425" s="84">
        <v>0</v>
      </c>
    </row>
    <row r="426" spans="3:13" hidden="1" x14ac:dyDescent="0.25">
      <c r="C426" t="s">
        <v>119</v>
      </c>
      <c r="D426" t="s">
        <v>120</v>
      </c>
      <c r="E426" t="s">
        <v>60</v>
      </c>
      <c r="F426" t="s">
        <v>124</v>
      </c>
      <c r="G426">
        <v>4</v>
      </c>
      <c r="H426" t="s">
        <v>12</v>
      </c>
      <c r="I426" t="s">
        <v>121</v>
      </c>
      <c r="J426" t="s">
        <v>122</v>
      </c>
      <c r="K426">
        <v>0</v>
      </c>
      <c r="L426" s="84">
        <v>-4281</v>
      </c>
      <c r="M426" s="84">
        <v>0</v>
      </c>
    </row>
    <row r="427" spans="3:13" hidden="1" x14ac:dyDescent="0.25">
      <c r="C427" t="s">
        <v>119</v>
      </c>
      <c r="D427" t="s">
        <v>120</v>
      </c>
      <c r="E427" t="s">
        <v>63</v>
      </c>
      <c r="F427" t="s">
        <v>124</v>
      </c>
      <c r="G427">
        <v>1</v>
      </c>
      <c r="H427" t="s">
        <v>17</v>
      </c>
      <c r="I427" t="s">
        <v>62</v>
      </c>
      <c r="J427" t="s">
        <v>66</v>
      </c>
      <c r="K427">
        <v>1</v>
      </c>
      <c r="L427" s="84">
        <v>676684</v>
      </c>
      <c r="M427" s="84">
        <v>676684</v>
      </c>
    </row>
    <row r="428" spans="3:13" hidden="1" x14ac:dyDescent="0.25">
      <c r="C428" t="s">
        <v>64</v>
      </c>
      <c r="D428" t="s">
        <v>120</v>
      </c>
      <c r="E428" t="s">
        <v>60</v>
      </c>
      <c r="F428" t="s">
        <v>124</v>
      </c>
      <c r="G428">
        <v>3</v>
      </c>
      <c r="H428" t="s">
        <v>74</v>
      </c>
      <c r="I428" t="s">
        <v>121</v>
      </c>
      <c r="J428" t="s">
        <v>122</v>
      </c>
      <c r="K428">
        <v>0</v>
      </c>
      <c r="L428" s="84">
        <v>-1477</v>
      </c>
      <c r="M428" s="84">
        <v>0</v>
      </c>
    </row>
    <row r="429" spans="3:13" hidden="1" x14ac:dyDescent="0.25">
      <c r="C429" t="s">
        <v>119</v>
      </c>
      <c r="D429" t="s">
        <v>120</v>
      </c>
      <c r="E429" t="s">
        <v>63</v>
      </c>
      <c r="F429" t="s">
        <v>123</v>
      </c>
      <c r="G429">
        <v>4</v>
      </c>
      <c r="H429" t="s">
        <v>17</v>
      </c>
      <c r="I429" t="s">
        <v>121</v>
      </c>
      <c r="J429" t="s">
        <v>122</v>
      </c>
      <c r="K429">
        <v>0</v>
      </c>
      <c r="L429" s="84">
        <v>10521108</v>
      </c>
      <c r="M429" s="84">
        <v>42084432</v>
      </c>
    </row>
    <row r="430" spans="3:13" hidden="1" x14ac:dyDescent="0.25">
      <c r="C430" t="s">
        <v>119</v>
      </c>
      <c r="D430" t="s">
        <v>120</v>
      </c>
      <c r="E430" t="s">
        <v>60</v>
      </c>
      <c r="F430" t="s">
        <v>123</v>
      </c>
      <c r="G430">
        <v>-1</v>
      </c>
      <c r="H430" t="s">
        <v>75</v>
      </c>
      <c r="I430" t="s">
        <v>121</v>
      </c>
      <c r="J430" t="s">
        <v>122</v>
      </c>
      <c r="K430">
        <v>0</v>
      </c>
      <c r="L430" s="84">
        <v>-117</v>
      </c>
      <c r="M430" s="84">
        <v>0</v>
      </c>
    </row>
    <row r="431" spans="3:13" hidden="1" x14ac:dyDescent="0.25">
      <c r="C431" t="s">
        <v>119</v>
      </c>
      <c r="D431" t="s">
        <v>120</v>
      </c>
      <c r="E431" t="s">
        <v>60</v>
      </c>
      <c r="F431" t="s">
        <v>124</v>
      </c>
      <c r="G431">
        <v>1</v>
      </c>
      <c r="H431" t="s">
        <v>13</v>
      </c>
      <c r="I431" t="s">
        <v>121</v>
      </c>
      <c r="J431" t="s">
        <v>122</v>
      </c>
      <c r="K431">
        <v>0</v>
      </c>
      <c r="L431" s="84">
        <v>-1333</v>
      </c>
      <c r="M431" s="84">
        <v>0</v>
      </c>
    </row>
    <row r="432" spans="3:13" hidden="1" x14ac:dyDescent="0.25">
      <c r="C432" t="s">
        <v>64</v>
      </c>
      <c r="D432" t="s">
        <v>120</v>
      </c>
      <c r="E432" t="s">
        <v>63</v>
      </c>
      <c r="F432" t="s">
        <v>123</v>
      </c>
      <c r="G432">
        <v>-4</v>
      </c>
      <c r="H432" t="s">
        <v>74</v>
      </c>
      <c r="I432" t="s">
        <v>121</v>
      </c>
      <c r="J432" t="s">
        <v>122</v>
      </c>
      <c r="K432">
        <v>0</v>
      </c>
      <c r="L432" s="84">
        <v>138</v>
      </c>
      <c r="M432" s="84">
        <v>0</v>
      </c>
    </row>
    <row r="433" spans="3:13" hidden="1" x14ac:dyDescent="0.25">
      <c r="C433" t="s">
        <v>65</v>
      </c>
      <c r="D433" t="s">
        <v>120</v>
      </c>
      <c r="E433" t="s">
        <v>60</v>
      </c>
      <c r="F433" t="s">
        <v>25</v>
      </c>
      <c r="G433">
        <v>2</v>
      </c>
      <c r="H433" t="s">
        <v>72</v>
      </c>
      <c r="I433" t="s">
        <v>121</v>
      </c>
      <c r="J433" t="s">
        <v>122</v>
      </c>
      <c r="K433">
        <v>0</v>
      </c>
      <c r="L433" s="84">
        <v>-59366</v>
      </c>
      <c r="M433" s="84">
        <v>0</v>
      </c>
    </row>
    <row r="434" spans="3:13" hidden="1" x14ac:dyDescent="0.25">
      <c r="C434" t="s">
        <v>119</v>
      </c>
      <c r="D434" t="s">
        <v>120</v>
      </c>
      <c r="E434" t="s">
        <v>60</v>
      </c>
      <c r="F434" t="s">
        <v>123</v>
      </c>
      <c r="G434">
        <v>0</v>
      </c>
      <c r="H434" t="s">
        <v>17</v>
      </c>
      <c r="I434" t="s">
        <v>121</v>
      </c>
      <c r="J434" t="s">
        <v>66</v>
      </c>
      <c r="K434">
        <v>1</v>
      </c>
      <c r="L434" s="84">
        <v>-100</v>
      </c>
      <c r="M434" s="84">
        <v>0</v>
      </c>
    </row>
    <row r="435" spans="3:13" hidden="1" x14ac:dyDescent="0.25">
      <c r="C435" t="s">
        <v>119</v>
      </c>
      <c r="D435" t="s">
        <v>120</v>
      </c>
      <c r="E435" t="s">
        <v>60</v>
      </c>
      <c r="F435" t="s">
        <v>124</v>
      </c>
      <c r="G435">
        <v>2</v>
      </c>
      <c r="H435" t="s">
        <v>71</v>
      </c>
      <c r="I435" t="s">
        <v>121</v>
      </c>
      <c r="J435" t="s">
        <v>122</v>
      </c>
      <c r="K435">
        <v>0</v>
      </c>
      <c r="L435" s="84">
        <v>-12119</v>
      </c>
      <c r="M435" s="84">
        <v>0</v>
      </c>
    </row>
    <row r="436" spans="3:13" hidden="1" x14ac:dyDescent="0.25">
      <c r="C436" t="s">
        <v>65</v>
      </c>
      <c r="D436" t="s">
        <v>120</v>
      </c>
      <c r="E436" t="s">
        <v>60</v>
      </c>
      <c r="F436" t="s">
        <v>124</v>
      </c>
      <c r="G436">
        <v>9</v>
      </c>
      <c r="H436" t="s">
        <v>17</v>
      </c>
      <c r="I436" t="s">
        <v>121</v>
      </c>
      <c r="J436" t="s">
        <v>122</v>
      </c>
      <c r="K436">
        <v>0</v>
      </c>
      <c r="L436" s="84">
        <v>-1280684</v>
      </c>
      <c r="M436" s="84">
        <v>0</v>
      </c>
    </row>
    <row r="437" spans="3:13" hidden="1" x14ac:dyDescent="0.25">
      <c r="C437" t="s">
        <v>119</v>
      </c>
      <c r="D437" t="s">
        <v>126</v>
      </c>
      <c r="E437" t="s">
        <v>63</v>
      </c>
      <c r="F437" t="s">
        <v>24</v>
      </c>
      <c r="G437">
        <v>6</v>
      </c>
      <c r="H437" t="s">
        <v>69</v>
      </c>
      <c r="I437" t="s">
        <v>121</v>
      </c>
      <c r="J437" t="s">
        <v>122</v>
      </c>
      <c r="K437">
        <v>0</v>
      </c>
      <c r="L437" s="84">
        <v>623876</v>
      </c>
      <c r="M437" s="84">
        <v>3743256</v>
      </c>
    </row>
    <row r="438" spans="3:13" hidden="1" x14ac:dyDescent="0.25">
      <c r="C438" t="s">
        <v>65</v>
      </c>
      <c r="D438" t="s">
        <v>120</v>
      </c>
      <c r="E438" t="s">
        <v>60</v>
      </c>
      <c r="F438" t="s">
        <v>124</v>
      </c>
      <c r="G438">
        <v>4</v>
      </c>
      <c r="H438" t="s">
        <v>14</v>
      </c>
      <c r="I438" t="s">
        <v>121</v>
      </c>
      <c r="J438" t="s">
        <v>122</v>
      </c>
      <c r="K438">
        <v>0</v>
      </c>
      <c r="L438" s="84">
        <v>-1867544</v>
      </c>
      <c r="M438" s="84">
        <v>0</v>
      </c>
    </row>
    <row r="439" spans="3:13" hidden="1" x14ac:dyDescent="0.25">
      <c r="C439" t="s">
        <v>119</v>
      </c>
      <c r="D439" t="s">
        <v>120</v>
      </c>
      <c r="E439" t="s">
        <v>60</v>
      </c>
      <c r="F439" t="s">
        <v>25</v>
      </c>
      <c r="G439">
        <v>14</v>
      </c>
      <c r="H439" t="s">
        <v>18</v>
      </c>
      <c r="I439" t="s">
        <v>121</v>
      </c>
      <c r="J439" t="s">
        <v>66</v>
      </c>
      <c r="K439">
        <v>1</v>
      </c>
      <c r="L439" s="84">
        <v>-916</v>
      </c>
      <c r="M439" s="84">
        <v>0</v>
      </c>
    </row>
    <row r="440" spans="3:13" hidden="1" x14ac:dyDescent="0.25">
      <c r="C440" t="s">
        <v>64</v>
      </c>
      <c r="D440" t="s">
        <v>120</v>
      </c>
      <c r="E440" t="s">
        <v>63</v>
      </c>
      <c r="F440" t="s">
        <v>25</v>
      </c>
      <c r="G440">
        <v>1</v>
      </c>
      <c r="H440" t="s">
        <v>17</v>
      </c>
      <c r="I440" t="s">
        <v>121</v>
      </c>
      <c r="J440" t="s">
        <v>122</v>
      </c>
      <c r="K440">
        <v>0</v>
      </c>
      <c r="L440" s="84">
        <v>37454</v>
      </c>
      <c r="M440" s="84">
        <v>37454</v>
      </c>
    </row>
    <row r="441" spans="3:13" x14ac:dyDescent="0.25">
      <c r="C441" t="s">
        <v>64</v>
      </c>
      <c r="D441" t="s">
        <v>120</v>
      </c>
      <c r="E441" t="s">
        <v>63</v>
      </c>
      <c r="F441" t="s">
        <v>25</v>
      </c>
      <c r="G441">
        <v>1</v>
      </c>
      <c r="H441" t="s">
        <v>17</v>
      </c>
      <c r="I441" t="s">
        <v>121</v>
      </c>
      <c r="J441" t="s">
        <v>66</v>
      </c>
      <c r="K441">
        <v>1</v>
      </c>
      <c r="L441" s="84">
        <v>7357</v>
      </c>
      <c r="M441" s="84">
        <v>7357</v>
      </c>
    </row>
    <row r="442" spans="3:13" hidden="1" x14ac:dyDescent="0.25">
      <c r="C442" t="s">
        <v>64</v>
      </c>
      <c r="D442" t="s">
        <v>120</v>
      </c>
      <c r="E442" t="s">
        <v>60</v>
      </c>
      <c r="F442" t="s">
        <v>25</v>
      </c>
      <c r="G442">
        <v>10</v>
      </c>
      <c r="H442" t="s">
        <v>17</v>
      </c>
      <c r="I442" t="s">
        <v>121</v>
      </c>
      <c r="J442" t="s">
        <v>122</v>
      </c>
      <c r="K442">
        <v>0</v>
      </c>
      <c r="L442" s="84">
        <v>-1687</v>
      </c>
      <c r="M442" s="84">
        <v>0</v>
      </c>
    </row>
    <row r="443" spans="3:13" hidden="1" x14ac:dyDescent="0.25">
      <c r="C443" t="s">
        <v>64</v>
      </c>
      <c r="D443" t="s">
        <v>120</v>
      </c>
      <c r="E443" t="s">
        <v>63</v>
      </c>
      <c r="F443" t="s">
        <v>123</v>
      </c>
      <c r="G443">
        <v>1</v>
      </c>
      <c r="H443" t="s">
        <v>75</v>
      </c>
      <c r="I443" t="s">
        <v>121</v>
      </c>
      <c r="J443" t="s">
        <v>122</v>
      </c>
      <c r="K443">
        <v>0</v>
      </c>
      <c r="L443" s="84">
        <v>1624157</v>
      </c>
      <c r="M443" s="84">
        <v>1624157</v>
      </c>
    </row>
    <row r="444" spans="3:13" hidden="1" x14ac:dyDescent="0.25">
      <c r="C444" t="s">
        <v>119</v>
      </c>
      <c r="D444" t="s">
        <v>120</v>
      </c>
      <c r="E444" t="s">
        <v>60</v>
      </c>
      <c r="F444" t="s">
        <v>124</v>
      </c>
      <c r="G444">
        <v>7</v>
      </c>
      <c r="H444" t="s">
        <v>18</v>
      </c>
      <c r="I444" t="s">
        <v>121</v>
      </c>
      <c r="J444" t="s">
        <v>122</v>
      </c>
      <c r="K444">
        <v>0</v>
      </c>
      <c r="L444" s="84">
        <v>-6335</v>
      </c>
      <c r="M444" s="84">
        <v>0</v>
      </c>
    </row>
    <row r="445" spans="3:13" hidden="1" x14ac:dyDescent="0.25">
      <c r="C445" t="s">
        <v>119</v>
      </c>
      <c r="D445" t="s">
        <v>120</v>
      </c>
      <c r="E445" t="s">
        <v>63</v>
      </c>
      <c r="F445" t="s">
        <v>24</v>
      </c>
      <c r="G445">
        <v>4</v>
      </c>
      <c r="H445" t="s">
        <v>69</v>
      </c>
      <c r="I445" t="s">
        <v>121</v>
      </c>
      <c r="J445" t="s">
        <v>122</v>
      </c>
      <c r="K445">
        <v>0</v>
      </c>
      <c r="L445" s="84">
        <v>419212</v>
      </c>
      <c r="M445" s="84">
        <v>1676848</v>
      </c>
    </row>
    <row r="446" spans="3:13" hidden="1" x14ac:dyDescent="0.25">
      <c r="C446" t="s">
        <v>119</v>
      </c>
      <c r="D446" t="s">
        <v>120</v>
      </c>
      <c r="E446" t="s">
        <v>63</v>
      </c>
      <c r="F446" t="s">
        <v>124</v>
      </c>
      <c r="G446">
        <v>0</v>
      </c>
      <c r="H446" t="s">
        <v>18</v>
      </c>
      <c r="I446" t="s">
        <v>121</v>
      </c>
      <c r="J446" t="s">
        <v>66</v>
      </c>
      <c r="K446">
        <v>1</v>
      </c>
      <c r="L446" s="84">
        <v>12016389</v>
      </c>
      <c r="M446" s="84">
        <v>0</v>
      </c>
    </row>
    <row r="447" spans="3:13" hidden="1" x14ac:dyDescent="0.25">
      <c r="C447" t="s">
        <v>119</v>
      </c>
      <c r="D447" t="s">
        <v>120</v>
      </c>
      <c r="E447" t="s">
        <v>60</v>
      </c>
      <c r="F447" t="s">
        <v>24</v>
      </c>
      <c r="G447">
        <v>-1</v>
      </c>
      <c r="H447" t="s">
        <v>68</v>
      </c>
      <c r="I447" t="s">
        <v>121</v>
      </c>
      <c r="J447" t="s">
        <v>122</v>
      </c>
      <c r="K447">
        <v>0</v>
      </c>
      <c r="L447" s="84">
        <v>-3655</v>
      </c>
      <c r="M447" s="84">
        <v>0</v>
      </c>
    </row>
    <row r="448" spans="3:13" hidden="1" x14ac:dyDescent="0.25">
      <c r="C448" t="s">
        <v>65</v>
      </c>
      <c r="D448" t="s">
        <v>125</v>
      </c>
      <c r="E448" t="s">
        <v>63</v>
      </c>
      <c r="F448" t="s">
        <v>24</v>
      </c>
      <c r="G448">
        <v>0</v>
      </c>
      <c r="I448" t="s">
        <v>121</v>
      </c>
      <c r="J448" t="s">
        <v>122</v>
      </c>
      <c r="K448">
        <v>0</v>
      </c>
      <c r="L448" s="84">
        <v>144481</v>
      </c>
      <c r="M448" s="84">
        <v>0</v>
      </c>
    </row>
    <row r="449" spans="3:13" hidden="1" x14ac:dyDescent="0.25">
      <c r="C449" t="s">
        <v>119</v>
      </c>
      <c r="D449" t="s">
        <v>120</v>
      </c>
      <c r="E449" t="s">
        <v>60</v>
      </c>
      <c r="F449" t="s">
        <v>123</v>
      </c>
      <c r="G449">
        <v>11</v>
      </c>
      <c r="H449" t="s">
        <v>68</v>
      </c>
      <c r="I449" t="s">
        <v>121</v>
      </c>
      <c r="J449" t="s">
        <v>122</v>
      </c>
      <c r="K449">
        <v>0</v>
      </c>
      <c r="L449" s="84">
        <v>-297</v>
      </c>
      <c r="M449" s="84">
        <v>0</v>
      </c>
    </row>
    <row r="450" spans="3:13" hidden="1" x14ac:dyDescent="0.25">
      <c r="C450" t="s">
        <v>64</v>
      </c>
      <c r="D450" t="s">
        <v>120</v>
      </c>
      <c r="E450" t="s">
        <v>63</v>
      </c>
      <c r="F450" t="s">
        <v>124</v>
      </c>
      <c r="G450">
        <v>4</v>
      </c>
      <c r="H450" t="s">
        <v>68</v>
      </c>
      <c r="I450" t="s">
        <v>121</v>
      </c>
      <c r="J450" t="s">
        <v>122</v>
      </c>
      <c r="K450">
        <v>0</v>
      </c>
      <c r="L450" s="84">
        <v>213948</v>
      </c>
      <c r="M450" s="84">
        <v>855792</v>
      </c>
    </row>
    <row r="451" spans="3:13" hidden="1" x14ac:dyDescent="0.25">
      <c r="C451" t="s">
        <v>119</v>
      </c>
      <c r="D451" t="s">
        <v>125</v>
      </c>
      <c r="E451" t="s">
        <v>60</v>
      </c>
      <c r="F451" t="s">
        <v>24</v>
      </c>
      <c r="G451">
        <v>5</v>
      </c>
      <c r="I451" t="s">
        <v>121</v>
      </c>
      <c r="J451" t="s">
        <v>122</v>
      </c>
      <c r="K451">
        <v>0</v>
      </c>
      <c r="L451" s="84">
        <v>-39218</v>
      </c>
      <c r="M451" s="84">
        <v>0</v>
      </c>
    </row>
    <row r="452" spans="3:13" hidden="1" x14ac:dyDescent="0.25">
      <c r="C452" t="s">
        <v>64</v>
      </c>
      <c r="D452" t="s">
        <v>125</v>
      </c>
      <c r="E452" t="s">
        <v>60</v>
      </c>
      <c r="F452" t="s">
        <v>24</v>
      </c>
      <c r="G452">
        <v>7</v>
      </c>
      <c r="I452" t="s">
        <v>121</v>
      </c>
      <c r="J452" t="s">
        <v>122</v>
      </c>
      <c r="K452">
        <v>0</v>
      </c>
      <c r="L452" s="84">
        <v>-308713</v>
      </c>
      <c r="M452" s="84">
        <v>0</v>
      </c>
    </row>
    <row r="453" spans="3:13" hidden="1" x14ac:dyDescent="0.25">
      <c r="C453" t="s">
        <v>119</v>
      </c>
      <c r="D453" t="s">
        <v>120</v>
      </c>
      <c r="E453" t="s">
        <v>63</v>
      </c>
      <c r="F453" t="s">
        <v>24</v>
      </c>
      <c r="G453">
        <v>13</v>
      </c>
      <c r="H453" t="s">
        <v>61</v>
      </c>
      <c r="I453" t="s">
        <v>121</v>
      </c>
      <c r="J453" t="s">
        <v>122</v>
      </c>
      <c r="K453">
        <v>0</v>
      </c>
      <c r="L453" s="84">
        <v>111410</v>
      </c>
      <c r="M453" s="84">
        <v>1448330</v>
      </c>
    </row>
    <row r="454" spans="3:13" hidden="1" x14ac:dyDescent="0.25">
      <c r="C454" t="s">
        <v>64</v>
      </c>
      <c r="D454" t="s">
        <v>120</v>
      </c>
      <c r="E454" t="s">
        <v>60</v>
      </c>
      <c r="F454" t="s">
        <v>25</v>
      </c>
      <c r="G454">
        <v>4</v>
      </c>
      <c r="H454" t="s">
        <v>12</v>
      </c>
      <c r="I454" t="s">
        <v>121</v>
      </c>
      <c r="J454" t="s">
        <v>66</v>
      </c>
      <c r="K454">
        <v>1</v>
      </c>
      <c r="L454" s="84">
        <v>-15615</v>
      </c>
      <c r="M454" s="84">
        <v>0</v>
      </c>
    </row>
    <row r="455" spans="3:13" hidden="1" x14ac:dyDescent="0.25">
      <c r="C455" t="s">
        <v>64</v>
      </c>
      <c r="D455" t="s">
        <v>120</v>
      </c>
      <c r="E455" t="s">
        <v>63</v>
      </c>
      <c r="F455" t="s">
        <v>123</v>
      </c>
      <c r="G455">
        <v>2</v>
      </c>
      <c r="H455" t="s">
        <v>12</v>
      </c>
      <c r="I455" t="s">
        <v>62</v>
      </c>
      <c r="J455" t="s">
        <v>66</v>
      </c>
      <c r="K455">
        <v>1</v>
      </c>
      <c r="L455" s="84">
        <v>76524</v>
      </c>
      <c r="M455" s="84">
        <v>153048</v>
      </c>
    </row>
    <row r="456" spans="3:13" x14ac:dyDescent="0.25">
      <c r="C456" t="s">
        <v>119</v>
      </c>
      <c r="D456" t="s">
        <v>120</v>
      </c>
      <c r="E456" t="s">
        <v>63</v>
      </c>
      <c r="F456" t="s">
        <v>25</v>
      </c>
      <c r="G456">
        <v>1</v>
      </c>
      <c r="H456" t="s">
        <v>17</v>
      </c>
      <c r="I456" t="s">
        <v>121</v>
      </c>
      <c r="J456" t="s">
        <v>66</v>
      </c>
      <c r="K456">
        <v>1</v>
      </c>
      <c r="L456" s="84">
        <v>38477</v>
      </c>
      <c r="M456" s="84">
        <v>38477</v>
      </c>
    </row>
    <row r="457" spans="3:13" hidden="1" x14ac:dyDescent="0.25">
      <c r="C457" t="s">
        <v>64</v>
      </c>
      <c r="D457" t="s">
        <v>125</v>
      </c>
      <c r="E457" t="s">
        <v>60</v>
      </c>
      <c r="F457" t="s">
        <v>25</v>
      </c>
      <c r="G457">
        <v>3</v>
      </c>
      <c r="I457" t="s">
        <v>121</v>
      </c>
      <c r="J457" t="s">
        <v>122</v>
      </c>
      <c r="K457">
        <v>0</v>
      </c>
      <c r="L457" s="84">
        <v>-22843</v>
      </c>
      <c r="M457" s="84">
        <v>0</v>
      </c>
    </row>
    <row r="458" spans="3:13" hidden="1" x14ac:dyDescent="0.25">
      <c r="C458" t="s">
        <v>65</v>
      </c>
      <c r="D458" t="s">
        <v>120</v>
      </c>
      <c r="E458" t="s">
        <v>60</v>
      </c>
      <c r="F458" t="s">
        <v>123</v>
      </c>
      <c r="G458">
        <v>1</v>
      </c>
      <c r="H458" t="s">
        <v>75</v>
      </c>
      <c r="I458" t="s">
        <v>121</v>
      </c>
      <c r="J458" t="s">
        <v>122</v>
      </c>
      <c r="K458">
        <v>0</v>
      </c>
      <c r="L458" s="84">
        <v>-166075</v>
      </c>
      <c r="M458" s="84">
        <v>0</v>
      </c>
    </row>
    <row r="459" spans="3:13" hidden="1" x14ac:dyDescent="0.25">
      <c r="C459" t="s">
        <v>65</v>
      </c>
      <c r="D459" t="s">
        <v>120</v>
      </c>
      <c r="E459" t="s">
        <v>63</v>
      </c>
      <c r="F459" t="s">
        <v>124</v>
      </c>
      <c r="G459">
        <v>-1</v>
      </c>
      <c r="H459" t="s">
        <v>71</v>
      </c>
      <c r="I459" t="s">
        <v>121</v>
      </c>
      <c r="J459" t="s">
        <v>122</v>
      </c>
      <c r="K459">
        <v>0</v>
      </c>
      <c r="L459" s="84">
        <v>240664</v>
      </c>
      <c r="M459" s="84">
        <v>0</v>
      </c>
    </row>
    <row r="460" spans="3:13" hidden="1" x14ac:dyDescent="0.25">
      <c r="C460" t="s">
        <v>119</v>
      </c>
      <c r="D460" t="s">
        <v>120</v>
      </c>
      <c r="E460" t="s">
        <v>63</v>
      </c>
      <c r="F460" t="s">
        <v>124</v>
      </c>
      <c r="G460">
        <v>6</v>
      </c>
      <c r="H460" t="s">
        <v>14</v>
      </c>
      <c r="I460" t="s">
        <v>121</v>
      </c>
      <c r="J460" t="s">
        <v>122</v>
      </c>
      <c r="K460">
        <v>0</v>
      </c>
      <c r="L460" s="84">
        <v>7290075</v>
      </c>
      <c r="M460" s="84">
        <v>43740450</v>
      </c>
    </row>
    <row r="461" spans="3:13" hidden="1" x14ac:dyDescent="0.25">
      <c r="C461" t="s">
        <v>119</v>
      </c>
      <c r="D461" t="s">
        <v>120</v>
      </c>
      <c r="E461" t="s">
        <v>60</v>
      </c>
      <c r="F461" t="s">
        <v>123</v>
      </c>
      <c r="G461">
        <v>0</v>
      </c>
      <c r="H461" t="s">
        <v>61</v>
      </c>
      <c r="I461" t="s">
        <v>121</v>
      </c>
      <c r="J461" t="s">
        <v>122</v>
      </c>
      <c r="K461">
        <v>0</v>
      </c>
      <c r="L461" s="84">
        <v>-9637</v>
      </c>
      <c r="M461" s="84">
        <v>0</v>
      </c>
    </row>
    <row r="462" spans="3:13" hidden="1" x14ac:dyDescent="0.25">
      <c r="C462" t="s">
        <v>119</v>
      </c>
      <c r="D462" t="s">
        <v>120</v>
      </c>
      <c r="E462" t="s">
        <v>60</v>
      </c>
      <c r="F462" t="s">
        <v>124</v>
      </c>
      <c r="G462">
        <v>3</v>
      </c>
      <c r="H462" t="s">
        <v>69</v>
      </c>
      <c r="I462" t="s">
        <v>121</v>
      </c>
      <c r="J462" t="s">
        <v>122</v>
      </c>
      <c r="K462">
        <v>0</v>
      </c>
      <c r="L462" s="84">
        <v>-89679</v>
      </c>
      <c r="M462" s="84">
        <v>0</v>
      </c>
    </row>
    <row r="463" spans="3:13" hidden="1" x14ac:dyDescent="0.25">
      <c r="C463" t="s">
        <v>64</v>
      </c>
      <c r="D463" t="s">
        <v>125</v>
      </c>
      <c r="E463" t="s">
        <v>60</v>
      </c>
      <c r="F463" t="s">
        <v>24</v>
      </c>
      <c r="G463">
        <v>24</v>
      </c>
      <c r="I463" t="s">
        <v>121</v>
      </c>
      <c r="J463" t="s">
        <v>122</v>
      </c>
      <c r="K463">
        <v>0</v>
      </c>
      <c r="L463" s="84">
        <v>-1208016</v>
      </c>
      <c r="M463" s="84">
        <v>0</v>
      </c>
    </row>
    <row r="464" spans="3:13" hidden="1" x14ac:dyDescent="0.25">
      <c r="C464" t="s">
        <v>65</v>
      </c>
      <c r="D464" t="s">
        <v>125</v>
      </c>
      <c r="E464" t="s">
        <v>60</v>
      </c>
      <c r="F464" t="s">
        <v>24</v>
      </c>
      <c r="G464">
        <v>7</v>
      </c>
      <c r="I464" t="s">
        <v>121</v>
      </c>
      <c r="J464" t="s">
        <v>122</v>
      </c>
      <c r="K464">
        <v>0</v>
      </c>
      <c r="L464" s="84">
        <v>-827149</v>
      </c>
      <c r="M464" s="84">
        <v>0</v>
      </c>
    </row>
    <row r="465" spans="3:13" hidden="1" x14ac:dyDescent="0.25">
      <c r="C465" t="s">
        <v>119</v>
      </c>
      <c r="D465" t="s">
        <v>120</v>
      </c>
      <c r="E465" t="s">
        <v>63</v>
      </c>
      <c r="F465" t="s">
        <v>123</v>
      </c>
      <c r="G465">
        <v>3</v>
      </c>
      <c r="H465" t="s">
        <v>74</v>
      </c>
      <c r="I465" t="s">
        <v>121</v>
      </c>
      <c r="J465" t="s">
        <v>122</v>
      </c>
      <c r="K465">
        <v>0</v>
      </c>
      <c r="L465" s="84">
        <v>21181</v>
      </c>
      <c r="M465" s="84">
        <v>63543</v>
      </c>
    </row>
    <row r="466" spans="3:13" hidden="1" x14ac:dyDescent="0.25">
      <c r="C466" t="s">
        <v>65</v>
      </c>
      <c r="D466" t="s">
        <v>120</v>
      </c>
      <c r="E466" t="s">
        <v>63</v>
      </c>
      <c r="F466" t="s">
        <v>124</v>
      </c>
      <c r="G466">
        <v>2</v>
      </c>
      <c r="H466" t="s">
        <v>15</v>
      </c>
      <c r="I466" t="s">
        <v>121</v>
      </c>
      <c r="J466" t="s">
        <v>122</v>
      </c>
      <c r="K466">
        <v>0</v>
      </c>
      <c r="L466" s="84">
        <v>11914</v>
      </c>
      <c r="M466" s="84">
        <v>23828</v>
      </c>
    </row>
    <row r="467" spans="3:13" hidden="1" x14ac:dyDescent="0.25">
      <c r="C467" t="s">
        <v>119</v>
      </c>
      <c r="D467" t="s">
        <v>120</v>
      </c>
      <c r="E467" t="s">
        <v>60</v>
      </c>
      <c r="F467" t="s">
        <v>25</v>
      </c>
      <c r="G467">
        <v>8</v>
      </c>
      <c r="H467" t="s">
        <v>69</v>
      </c>
      <c r="I467" t="s">
        <v>121</v>
      </c>
      <c r="J467" t="s">
        <v>122</v>
      </c>
      <c r="K467">
        <v>0</v>
      </c>
      <c r="L467" s="84">
        <v>-17952</v>
      </c>
      <c r="M467" s="84">
        <v>0</v>
      </c>
    </row>
    <row r="468" spans="3:13" hidden="1" x14ac:dyDescent="0.25">
      <c r="C468" t="s">
        <v>119</v>
      </c>
      <c r="D468" t="s">
        <v>125</v>
      </c>
      <c r="E468" t="s">
        <v>60</v>
      </c>
      <c r="F468" t="s">
        <v>25</v>
      </c>
      <c r="G468">
        <v>31</v>
      </c>
      <c r="I468" t="s">
        <v>121</v>
      </c>
      <c r="J468" t="s">
        <v>122</v>
      </c>
      <c r="K468">
        <v>0</v>
      </c>
      <c r="L468" s="84">
        <v>-1238</v>
      </c>
      <c r="M468" s="84">
        <v>0</v>
      </c>
    </row>
    <row r="469" spans="3:13" hidden="1" x14ac:dyDescent="0.25">
      <c r="C469" t="s">
        <v>119</v>
      </c>
      <c r="D469" t="s">
        <v>120</v>
      </c>
      <c r="E469" t="s">
        <v>60</v>
      </c>
      <c r="F469" t="s">
        <v>25</v>
      </c>
      <c r="G469">
        <v>18</v>
      </c>
      <c r="H469" t="s">
        <v>67</v>
      </c>
      <c r="I469" t="s">
        <v>121</v>
      </c>
      <c r="J469" t="s">
        <v>122</v>
      </c>
      <c r="K469">
        <v>0</v>
      </c>
      <c r="L469" s="84">
        <v>-72</v>
      </c>
      <c r="M469" s="84">
        <v>0</v>
      </c>
    </row>
    <row r="470" spans="3:13" hidden="1" x14ac:dyDescent="0.25">
      <c r="C470" t="s">
        <v>64</v>
      </c>
      <c r="D470" t="s">
        <v>120</v>
      </c>
      <c r="E470" t="s">
        <v>60</v>
      </c>
      <c r="F470" t="s">
        <v>25</v>
      </c>
      <c r="G470">
        <v>8</v>
      </c>
      <c r="H470" t="s">
        <v>75</v>
      </c>
      <c r="I470" t="s">
        <v>121</v>
      </c>
      <c r="J470" t="s">
        <v>122</v>
      </c>
      <c r="K470">
        <v>0</v>
      </c>
      <c r="L470" s="84">
        <v>-74836</v>
      </c>
      <c r="M470" s="84">
        <v>0</v>
      </c>
    </row>
    <row r="471" spans="3:13" hidden="1" x14ac:dyDescent="0.25">
      <c r="C471" t="s">
        <v>64</v>
      </c>
      <c r="D471" t="s">
        <v>120</v>
      </c>
      <c r="E471" t="s">
        <v>63</v>
      </c>
      <c r="F471" t="s">
        <v>25</v>
      </c>
      <c r="G471">
        <v>11</v>
      </c>
      <c r="H471" t="s">
        <v>72</v>
      </c>
      <c r="I471" t="s">
        <v>121</v>
      </c>
      <c r="J471" t="s">
        <v>122</v>
      </c>
      <c r="K471">
        <v>0</v>
      </c>
      <c r="L471" s="84">
        <v>1802741</v>
      </c>
      <c r="M471" s="84">
        <v>19830151</v>
      </c>
    </row>
    <row r="472" spans="3:13" hidden="1" x14ac:dyDescent="0.25">
      <c r="C472" t="s">
        <v>119</v>
      </c>
      <c r="D472" t="s">
        <v>125</v>
      </c>
      <c r="E472" t="s">
        <v>60</v>
      </c>
      <c r="F472" t="s">
        <v>24</v>
      </c>
      <c r="G472">
        <v>16</v>
      </c>
      <c r="I472" t="s">
        <v>121</v>
      </c>
      <c r="J472" t="s">
        <v>122</v>
      </c>
      <c r="K472">
        <v>0</v>
      </c>
      <c r="L472" s="84">
        <v>-134679</v>
      </c>
      <c r="M472" s="84">
        <v>0</v>
      </c>
    </row>
    <row r="473" spans="3:13" hidden="1" x14ac:dyDescent="0.25">
      <c r="C473" t="s">
        <v>119</v>
      </c>
      <c r="D473" t="s">
        <v>120</v>
      </c>
      <c r="E473" t="s">
        <v>60</v>
      </c>
      <c r="F473" t="s">
        <v>124</v>
      </c>
      <c r="G473">
        <v>2</v>
      </c>
      <c r="H473" t="s">
        <v>17</v>
      </c>
      <c r="I473" t="s">
        <v>121</v>
      </c>
      <c r="J473" t="s">
        <v>66</v>
      </c>
      <c r="K473">
        <v>1</v>
      </c>
      <c r="L473" s="84">
        <v>-19862</v>
      </c>
      <c r="M473" s="84">
        <v>0</v>
      </c>
    </row>
    <row r="474" spans="3:13" hidden="1" x14ac:dyDescent="0.25">
      <c r="C474" t="s">
        <v>64</v>
      </c>
      <c r="D474" t="s">
        <v>120</v>
      </c>
      <c r="E474" t="s">
        <v>60</v>
      </c>
      <c r="F474" t="s">
        <v>124</v>
      </c>
      <c r="G474">
        <v>2</v>
      </c>
      <c r="H474" t="s">
        <v>76</v>
      </c>
      <c r="I474" t="s">
        <v>121</v>
      </c>
      <c r="J474" t="s">
        <v>122</v>
      </c>
      <c r="K474">
        <v>0</v>
      </c>
      <c r="L474" s="84">
        <v>-38241</v>
      </c>
      <c r="M474" s="84">
        <v>0</v>
      </c>
    </row>
    <row r="475" spans="3:13" hidden="1" x14ac:dyDescent="0.25">
      <c r="C475" t="s">
        <v>64</v>
      </c>
      <c r="D475" t="s">
        <v>126</v>
      </c>
      <c r="E475" t="s">
        <v>63</v>
      </c>
      <c r="F475" t="s">
        <v>25</v>
      </c>
      <c r="G475">
        <v>7</v>
      </c>
      <c r="H475" t="s">
        <v>74</v>
      </c>
      <c r="I475" t="s">
        <v>121</v>
      </c>
      <c r="J475" t="s">
        <v>122</v>
      </c>
      <c r="K475">
        <v>0</v>
      </c>
      <c r="L475" s="84">
        <v>117007</v>
      </c>
      <c r="M475" s="84">
        <v>819049</v>
      </c>
    </row>
    <row r="476" spans="3:13" hidden="1" x14ac:dyDescent="0.25">
      <c r="C476" t="s">
        <v>65</v>
      </c>
      <c r="D476" t="s">
        <v>120</v>
      </c>
      <c r="E476" t="s">
        <v>63</v>
      </c>
      <c r="F476" t="s">
        <v>124</v>
      </c>
      <c r="G476">
        <v>11</v>
      </c>
      <c r="H476" t="s">
        <v>14</v>
      </c>
      <c r="I476" t="s">
        <v>121</v>
      </c>
      <c r="J476" t="s">
        <v>122</v>
      </c>
      <c r="K476">
        <v>0</v>
      </c>
      <c r="L476" s="84">
        <v>1091763</v>
      </c>
      <c r="M476" s="84">
        <v>12009393</v>
      </c>
    </row>
    <row r="477" spans="3:13" hidden="1" x14ac:dyDescent="0.25">
      <c r="C477" t="s">
        <v>119</v>
      </c>
      <c r="D477" t="s">
        <v>120</v>
      </c>
      <c r="E477" t="s">
        <v>60</v>
      </c>
      <c r="F477" t="s">
        <v>25</v>
      </c>
      <c r="G477">
        <v>1</v>
      </c>
      <c r="H477" t="s">
        <v>61</v>
      </c>
      <c r="I477" t="s">
        <v>121</v>
      </c>
      <c r="J477" t="s">
        <v>122</v>
      </c>
      <c r="K477">
        <v>0</v>
      </c>
      <c r="L477" s="84">
        <v>-142</v>
      </c>
      <c r="M477" s="84">
        <v>0</v>
      </c>
    </row>
    <row r="478" spans="3:13" hidden="1" x14ac:dyDescent="0.25">
      <c r="C478" t="s">
        <v>64</v>
      </c>
      <c r="D478" t="s">
        <v>120</v>
      </c>
      <c r="E478" t="s">
        <v>63</v>
      </c>
      <c r="F478" t="s">
        <v>25</v>
      </c>
      <c r="G478">
        <v>5</v>
      </c>
      <c r="H478" t="s">
        <v>17</v>
      </c>
      <c r="I478" t="s">
        <v>121</v>
      </c>
      <c r="J478" t="s">
        <v>122</v>
      </c>
      <c r="K478">
        <v>0</v>
      </c>
      <c r="L478" s="84">
        <v>45975</v>
      </c>
      <c r="M478" s="84">
        <v>229875</v>
      </c>
    </row>
    <row r="479" spans="3:13" hidden="1" x14ac:dyDescent="0.25">
      <c r="C479" t="s">
        <v>119</v>
      </c>
      <c r="D479" t="s">
        <v>125</v>
      </c>
      <c r="E479" t="s">
        <v>63</v>
      </c>
      <c r="F479" t="s">
        <v>24</v>
      </c>
      <c r="G479">
        <v>26</v>
      </c>
      <c r="I479" t="s">
        <v>121</v>
      </c>
      <c r="J479" t="s">
        <v>122</v>
      </c>
      <c r="K479">
        <v>0</v>
      </c>
      <c r="L479" s="84">
        <v>814183386</v>
      </c>
      <c r="M479" s="84">
        <v>21168768036</v>
      </c>
    </row>
    <row r="480" spans="3:13" x14ac:dyDescent="0.25">
      <c r="C480" t="s">
        <v>65</v>
      </c>
      <c r="D480" t="s">
        <v>120</v>
      </c>
      <c r="E480" t="s">
        <v>63</v>
      </c>
      <c r="F480" t="s">
        <v>25</v>
      </c>
      <c r="G480">
        <v>3</v>
      </c>
      <c r="H480" t="s">
        <v>14</v>
      </c>
      <c r="I480" t="s">
        <v>121</v>
      </c>
      <c r="J480" t="s">
        <v>66</v>
      </c>
      <c r="K480">
        <v>1</v>
      </c>
      <c r="L480" s="84">
        <v>358524</v>
      </c>
      <c r="M480" s="84">
        <v>1075572</v>
      </c>
    </row>
    <row r="481" spans="3:13" hidden="1" x14ac:dyDescent="0.25">
      <c r="C481" t="s">
        <v>119</v>
      </c>
      <c r="D481" t="s">
        <v>120</v>
      </c>
      <c r="E481" t="s">
        <v>63</v>
      </c>
      <c r="F481" t="s">
        <v>124</v>
      </c>
      <c r="G481">
        <v>2</v>
      </c>
      <c r="H481" t="s">
        <v>61</v>
      </c>
      <c r="I481" t="s">
        <v>121</v>
      </c>
      <c r="J481" t="s">
        <v>122</v>
      </c>
      <c r="K481">
        <v>0</v>
      </c>
      <c r="L481" s="84">
        <v>17348808</v>
      </c>
      <c r="M481" s="84">
        <v>34697616</v>
      </c>
    </row>
    <row r="482" spans="3:13" hidden="1" x14ac:dyDescent="0.25">
      <c r="C482" t="s">
        <v>119</v>
      </c>
      <c r="D482" t="s">
        <v>120</v>
      </c>
      <c r="E482" t="s">
        <v>60</v>
      </c>
      <c r="F482" t="s">
        <v>25</v>
      </c>
      <c r="G482">
        <v>11</v>
      </c>
      <c r="H482" t="s">
        <v>16</v>
      </c>
      <c r="I482" t="s">
        <v>121</v>
      </c>
      <c r="J482" t="s">
        <v>122</v>
      </c>
      <c r="K482">
        <v>0</v>
      </c>
      <c r="L482" s="84">
        <v>-275</v>
      </c>
      <c r="M482" s="84">
        <v>0</v>
      </c>
    </row>
    <row r="483" spans="3:13" hidden="1" x14ac:dyDescent="0.25">
      <c r="C483" t="s">
        <v>119</v>
      </c>
      <c r="D483" t="s">
        <v>126</v>
      </c>
      <c r="E483" t="s">
        <v>63</v>
      </c>
      <c r="F483" t="s">
        <v>25</v>
      </c>
      <c r="G483">
        <v>4</v>
      </c>
      <c r="H483" t="s">
        <v>68</v>
      </c>
      <c r="I483" t="s">
        <v>121</v>
      </c>
      <c r="J483" t="s">
        <v>122</v>
      </c>
      <c r="K483">
        <v>0</v>
      </c>
      <c r="L483" s="84">
        <v>10650046</v>
      </c>
      <c r="M483" s="84">
        <v>42600184</v>
      </c>
    </row>
    <row r="484" spans="3:13" hidden="1" x14ac:dyDescent="0.25">
      <c r="C484" t="s">
        <v>64</v>
      </c>
      <c r="D484" t="s">
        <v>120</v>
      </c>
      <c r="E484" t="s">
        <v>60</v>
      </c>
      <c r="F484" t="s">
        <v>124</v>
      </c>
      <c r="G484">
        <v>-1</v>
      </c>
      <c r="H484" t="s">
        <v>70</v>
      </c>
      <c r="I484" t="s">
        <v>121</v>
      </c>
      <c r="J484" t="s">
        <v>122</v>
      </c>
      <c r="K484">
        <v>0</v>
      </c>
      <c r="L484" s="84">
        <v>-227080</v>
      </c>
      <c r="M484" s="84">
        <v>0</v>
      </c>
    </row>
    <row r="485" spans="3:13" hidden="1" x14ac:dyDescent="0.25">
      <c r="C485" t="s">
        <v>64</v>
      </c>
      <c r="D485" t="s">
        <v>120</v>
      </c>
      <c r="E485" t="s">
        <v>60</v>
      </c>
      <c r="F485" t="s">
        <v>123</v>
      </c>
      <c r="G485">
        <v>5</v>
      </c>
      <c r="H485" t="s">
        <v>76</v>
      </c>
      <c r="I485" t="s">
        <v>121</v>
      </c>
      <c r="J485" t="s">
        <v>122</v>
      </c>
      <c r="K485">
        <v>0</v>
      </c>
      <c r="L485" s="84">
        <v>-4525</v>
      </c>
      <c r="M485" s="84">
        <v>0</v>
      </c>
    </row>
    <row r="486" spans="3:13" hidden="1" x14ac:dyDescent="0.25">
      <c r="C486" t="s">
        <v>64</v>
      </c>
      <c r="D486" t="s">
        <v>120</v>
      </c>
      <c r="E486" t="s">
        <v>60</v>
      </c>
      <c r="F486" t="s">
        <v>123</v>
      </c>
      <c r="G486">
        <v>4</v>
      </c>
      <c r="H486" t="s">
        <v>13</v>
      </c>
      <c r="I486" t="s">
        <v>121</v>
      </c>
      <c r="J486" t="s">
        <v>122</v>
      </c>
      <c r="K486">
        <v>0</v>
      </c>
      <c r="L486" s="84">
        <v>-8089</v>
      </c>
      <c r="M486" s="84">
        <v>0</v>
      </c>
    </row>
    <row r="487" spans="3:13" hidden="1" x14ac:dyDescent="0.25">
      <c r="C487" t="s">
        <v>65</v>
      </c>
      <c r="D487" t="s">
        <v>120</v>
      </c>
      <c r="E487" t="s">
        <v>63</v>
      </c>
      <c r="F487" t="s">
        <v>25</v>
      </c>
      <c r="G487">
        <v>7</v>
      </c>
      <c r="H487" t="s">
        <v>18</v>
      </c>
      <c r="I487" t="s">
        <v>121</v>
      </c>
      <c r="J487" t="s">
        <v>122</v>
      </c>
      <c r="K487">
        <v>0</v>
      </c>
      <c r="L487" s="84">
        <v>137827</v>
      </c>
      <c r="M487" s="84">
        <v>964789</v>
      </c>
    </row>
    <row r="488" spans="3:13" hidden="1" x14ac:dyDescent="0.25">
      <c r="C488" t="s">
        <v>119</v>
      </c>
      <c r="D488" t="s">
        <v>120</v>
      </c>
      <c r="E488" t="s">
        <v>63</v>
      </c>
      <c r="F488" t="s">
        <v>25</v>
      </c>
      <c r="G488">
        <v>7</v>
      </c>
      <c r="H488" t="s">
        <v>17</v>
      </c>
      <c r="I488" t="s">
        <v>62</v>
      </c>
      <c r="J488" t="s">
        <v>122</v>
      </c>
      <c r="K488">
        <v>1</v>
      </c>
      <c r="L488" s="84">
        <v>111390</v>
      </c>
      <c r="M488" s="84">
        <v>779730</v>
      </c>
    </row>
    <row r="489" spans="3:13" hidden="1" x14ac:dyDescent="0.25">
      <c r="C489" t="s">
        <v>65</v>
      </c>
      <c r="D489" t="s">
        <v>120</v>
      </c>
      <c r="E489" t="s">
        <v>60</v>
      </c>
      <c r="F489" t="s">
        <v>124</v>
      </c>
      <c r="G489">
        <v>0</v>
      </c>
      <c r="H489" t="s">
        <v>14</v>
      </c>
      <c r="I489" t="s">
        <v>121</v>
      </c>
      <c r="J489" t="s">
        <v>66</v>
      </c>
      <c r="K489">
        <v>1</v>
      </c>
      <c r="L489" s="84">
        <v>-516751</v>
      </c>
      <c r="M489" s="84">
        <v>0</v>
      </c>
    </row>
    <row r="490" spans="3:13" hidden="1" x14ac:dyDescent="0.25">
      <c r="C490" t="s">
        <v>64</v>
      </c>
      <c r="D490" t="s">
        <v>120</v>
      </c>
      <c r="E490" t="s">
        <v>63</v>
      </c>
      <c r="F490" t="s">
        <v>24</v>
      </c>
      <c r="G490">
        <v>3</v>
      </c>
      <c r="H490" t="s">
        <v>18</v>
      </c>
      <c r="I490" t="s">
        <v>121</v>
      </c>
      <c r="J490" t="s">
        <v>122</v>
      </c>
      <c r="K490">
        <v>0</v>
      </c>
      <c r="L490" s="84">
        <v>305316</v>
      </c>
      <c r="M490" s="84">
        <v>915948</v>
      </c>
    </row>
    <row r="491" spans="3:13" hidden="1" x14ac:dyDescent="0.25">
      <c r="C491" t="s">
        <v>119</v>
      </c>
      <c r="D491" t="s">
        <v>120</v>
      </c>
      <c r="E491" t="s">
        <v>60</v>
      </c>
      <c r="F491" t="s">
        <v>123</v>
      </c>
      <c r="G491">
        <v>5</v>
      </c>
      <c r="H491" t="s">
        <v>68</v>
      </c>
      <c r="I491" t="s">
        <v>121</v>
      </c>
      <c r="J491" t="s">
        <v>122</v>
      </c>
      <c r="K491">
        <v>0</v>
      </c>
      <c r="L491" s="84">
        <v>-11378</v>
      </c>
      <c r="M491" s="84">
        <v>0</v>
      </c>
    </row>
    <row r="492" spans="3:13" hidden="1" x14ac:dyDescent="0.25">
      <c r="C492" t="s">
        <v>119</v>
      </c>
      <c r="D492" t="s">
        <v>120</v>
      </c>
      <c r="E492" t="s">
        <v>60</v>
      </c>
      <c r="F492" t="s">
        <v>123</v>
      </c>
      <c r="G492">
        <v>0</v>
      </c>
      <c r="H492" t="s">
        <v>71</v>
      </c>
      <c r="I492" t="s">
        <v>121</v>
      </c>
      <c r="J492" t="s">
        <v>122</v>
      </c>
      <c r="K492">
        <v>0</v>
      </c>
      <c r="L492" s="84">
        <v>-85</v>
      </c>
      <c r="M492" s="84">
        <v>0</v>
      </c>
    </row>
    <row r="493" spans="3:13" hidden="1" x14ac:dyDescent="0.25">
      <c r="C493" t="s">
        <v>64</v>
      </c>
      <c r="D493" t="s">
        <v>120</v>
      </c>
      <c r="E493" t="s">
        <v>60</v>
      </c>
      <c r="F493" t="s">
        <v>124</v>
      </c>
      <c r="G493">
        <v>3</v>
      </c>
      <c r="H493" t="s">
        <v>14</v>
      </c>
      <c r="I493" t="s">
        <v>121</v>
      </c>
      <c r="J493" t="s">
        <v>66</v>
      </c>
      <c r="K493">
        <v>1</v>
      </c>
      <c r="L493" s="84">
        <v>-567961</v>
      </c>
      <c r="M493" s="84">
        <v>0</v>
      </c>
    </row>
    <row r="494" spans="3:13" hidden="1" x14ac:dyDescent="0.25">
      <c r="C494" t="s">
        <v>119</v>
      </c>
      <c r="D494" t="s">
        <v>125</v>
      </c>
      <c r="E494" t="s">
        <v>63</v>
      </c>
      <c r="F494" t="s">
        <v>25</v>
      </c>
      <c r="G494">
        <v>30</v>
      </c>
      <c r="I494" t="s">
        <v>121</v>
      </c>
      <c r="J494" t="s">
        <v>122</v>
      </c>
      <c r="K494">
        <v>0</v>
      </c>
      <c r="L494" s="84">
        <v>251688</v>
      </c>
      <c r="M494" s="84">
        <v>7550640</v>
      </c>
    </row>
    <row r="495" spans="3:13" hidden="1" x14ac:dyDescent="0.25">
      <c r="C495" t="s">
        <v>119</v>
      </c>
      <c r="D495" t="s">
        <v>120</v>
      </c>
      <c r="E495" t="s">
        <v>63</v>
      </c>
      <c r="F495" t="s">
        <v>25</v>
      </c>
      <c r="G495">
        <v>3</v>
      </c>
      <c r="H495" t="s">
        <v>16</v>
      </c>
      <c r="I495" t="s">
        <v>121</v>
      </c>
      <c r="J495" t="s">
        <v>122</v>
      </c>
      <c r="K495">
        <v>0</v>
      </c>
      <c r="L495" s="84">
        <v>28703</v>
      </c>
      <c r="M495" s="84">
        <v>86109</v>
      </c>
    </row>
    <row r="496" spans="3:13" hidden="1" x14ac:dyDescent="0.25">
      <c r="C496" t="s">
        <v>64</v>
      </c>
      <c r="D496" t="s">
        <v>120</v>
      </c>
      <c r="E496" t="s">
        <v>60</v>
      </c>
      <c r="F496" t="s">
        <v>25</v>
      </c>
      <c r="G496">
        <v>4</v>
      </c>
      <c r="H496" t="s">
        <v>68</v>
      </c>
      <c r="I496" t="s">
        <v>121</v>
      </c>
      <c r="J496" t="s">
        <v>122</v>
      </c>
      <c r="K496">
        <v>0</v>
      </c>
      <c r="L496" s="84">
        <v>-410312</v>
      </c>
      <c r="M496" s="84">
        <v>0</v>
      </c>
    </row>
    <row r="497" spans="3:13" hidden="1" x14ac:dyDescent="0.25">
      <c r="C497" t="s">
        <v>119</v>
      </c>
      <c r="D497" t="s">
        <v>120</v>
      </c>
      <c r="E497" t="s">
        <v>63</v>
      </c>
      <c r="F497" t="s">
        <v>24</v>
      </c>
      <c r="G497">
        <v>14</v>
      </c>
      <c r="H497" t="s">
        <v>75</v>
      </c>
      <c r="I497" t="s">
        <v>121</v>
      </c>
      <c r="J497" t="s">
        <v>122</v>
      </c>
      <c r="K497">
        <v>0</v>
      </c>
      <c r="L497" s="84">
        <v>170473</v>
      </c>
      <c r="M497" s="84">
        <v>2386622</v>
      </c>
    </row>
    <row r="498" spans="3:13" hidden="1" x14ac:dyDescent="0.25">
      <c r="C498" t="s">
        <v>119</v>
      </c>
      <c r="D498" t="s">
        <v>126</v>
      </c>
      <c r="E498" t="s">
        <v>63</v>
      </c>
      <c r="F498" t="s">
        <v>24</v>
      </c>
      <c r="G498">
        <v>3</v>
      </c>
      <c r="H498" t="s">
        <v>74</v>
      </c>
      <c r="I498" t="s">
        <v>121</v>
      </c>
      <c r="J498" t="s">
        <v>122</v>
      </c>
      <c r="K498">
        <v>0</v>
      </c>
      <c r="L498" s="84">
        <v>8198325</v>
      </c>
      <c r="M498" s="84">
        <v>24594975</v>
      </c>
    </row>
    <row r="499" spans="3:13" hidden="1" x14ac:dyDescent="0.25">
      <c r="C499" t="s">
        <v>64</v>
      </c>
      <c r="D499" t="s">
        <v>125</v>
      </c>
      <c r="E499" t="s">
        <v>60</v>
      </c>
      <c r="F499" t="s">
        <v>24</v>
      </c>
      <c r="G499">
        <v>26</v>
      </c>
      <c r="I499" t="s">
        <v>121</v>
      </c>
      <c r="J499" t="s">
        <v>122</v>
      </c>
      <c r="K499">
        <v>0</v>
      </c>
      <c r="L499" s="84">
        <v>-1414082</v>
      </c>
      <c r="M499" s="84">
        <v>0</v>
      </c>
    </row>
    <row r="500" spans="3:13" hidden="1" x14ac:dyDescent="0.25">
      <c r="C500" t="s">
        <v>119</v>
      </c>
      <c r="D500" t="s">
        <v>120</v>
      </c>
      <c r="E500" t="s">
        <v>60</v>
      </c>
      <c r="F500" t="s">
        <v>25</v>
      </c>
      <c r="G500">
        <v>4</v>
      </c>
      <c r="H500" t="s">
        <v>67</v>
      </c>
      <c r="I500" t="s">
        <v>121</v>
      </c>
      <c r="J500" t="s">
        <v>122</v>
      </c>
      <c r="K500">
        <v>0</v>
      </c>
      <c r="L500" s="84">
        <v>-4392</v>
      </c>
      <c r="M500" s="84">
        <v>0</v>
      </c>
    </row>
    <row r="501" spans="3:13" hidden="1" x14ac:dyDescent="0.25">
      <c r="C501" t="s">
        <v>119</v>
      </c>
      <c r="D501" t="s">
        <v>120</v>
      </c>
      <c r="E501" t="s">
        <v>63</v>
      </c>
      <c r="F501" t="s">
        <v>25</v>
      </c>
      <c r="G501">
        <v>7</v>
      </c>
      <c r="H501" t="s">
        <v>12</v>
      </c>
      <c r="I501" t="s">
        <v>121</v>
      </c>
      <c r="J501" t="s">
        <v>122</v>
      </c>
      <c r="K501">
        <v>0</v>
      </c>
      <c r="L501" s="84">
        <v>683891</v>
      </c>
      <c r="M501" s="84">
        <v>4787237</v>
      </c>
    </row>
    <row r="502" spans="3:13" x14ac:dyDescent="0.25">
      <c r="C502" t="s">
        <v>119</v>
      </c>
      <c r="D502" t="s">
        <v>120</v>
      </c>
      <c r="E502" t="s">
        <v>63</v>
      </c>
      <c r="F502" t="s">
        <v>25</v>
      </c>
      <c r="G502">
        <v>7</v>
      </c>
      <c r="H502" t="s">
        <v>12</v>
      </c>
      <c r="I502" t="s">
        <v>121</v>
      </c>
      <c r="J502" t="s">
        <v>66</v>
      </c>
      <c r="K502">
        <v>1</v>
      </c>
      <c r="L502" s="84">
        <v>4362092</v>
      </c>
      <c r="M502" s="84">
        <v>30534644</v>
      </c>
    </row>
    <row r="503" spans="3:13" hidden="1" x14ac:dyDescent="0.25">
      <c r="C503" t="s">
        <v>64</v>
      </c>
      <c r="D503" t="s">
        <v>120</v>
      </c>
      <c r="E503" t="s">
        <v>60</v>
      </c>
      <c r="F503" t="s">
        <v>124</v>
      </c>
      <c r="G503">
        <v>-1</v>
      </c>
      <c r="H503" t="s">
        <v>12</v>
      </c>
      <c r="I503" t="s">
        <v>62</v>
      </c>
      <c r="J503" t="s">
        <v>66</v>
      </c>
      <c r="K503">
        <v>1</v>
      </c>
      <c r="L503" s="84">
        <v>-47858</v>
      </c>
      <c r="M503" s="84">
        <v>0</v>
      </c>
    </row>
    <row r="504" spans="3:13" hidden="1" x14ac:dyDescent="0.25">
      <c r="C504" t="s">
        <v>119</v>
      </c>
      <c r="D504" t="s">
        <v>120</v>
      </c>
      <c r="E504" t="s">
        <v>63</v>
      </c>
      <c r="F504" t="s">
        <v>124</v>
      </c>
      <c r="G504">
        <v>-1</v>
      </c>
      <c r="H504" t="s">
        <v>15</v>
      </c>
      <c r="I504" t="s">
        <v>121</v>
      </c>
      <c r="J504" t="s">
        <v>122</v>
      </c>
      <c r="K504">
        <v>0</v>
      </c>
      <c r="L504" s="84">
        <v>187856</v>
      </c>
      <c r="M504" s="84">
        <v>0</v>
      </c>
    </row>
    <row r="505" spans="3:13" hidden="1" x14ac:dyDescent="0.25">
      <c r="C505" t="s">
        <v>64</v>
      </c>
      <c r="D505" t="s">
        <v>120</v>
      </c>
      <c r="E505" t="s">
        <v>63</v>
      </c>
      <c r="F505" t="s">
        <v>25</v>
      </c>
      <c r="G505">
        <v>4</v>
      </c>
      <c r="H505" t="s">
        <v>17</v>
      </c>
      <c r="I505" t="s">
        <v>121</v>
      </c>
      <c r="J505" t="s">
        <v>122</v>
      </c>
      <c r="K505">
        <v>0</v>
      </c>
      <c r="L505" s="84">
        <v>611220</v>
      </c>
      <c r="M505" s="84">
        <v>2444880</v>
      </c>
    </row>
    <row r="506" spans="3:13" hidden="1" x14ac:dyDescent="0.25">
      <c r="C506" t="s">
        <v>119</v>
      </c>
      <c r="D506" t="s">
        <v>120</v>
      </c>
      <c r="E506" t="s">
        <v>63</v>
      </c>
      <c r="F506" t="s">
        <v>123</v>
      </c>
      <c r="G506">
        <v>5</v>
      </c>
      <c r="H506" t="s">
        <v>61</v>
      </c>
      <c r="I506" t="s">
        <v>121</v>
      </c>
      <c r="J506" t="s">
        <v>122</v>
      </c>
      <c r="K506">
        <v>0</v>
      </c>
      <c r="L506" s="84">
        <v>3536067</v>
      </c>
      <c r="M506" s="84">
        <v>17680335</v>
      </c>
    </row>
    <row r="507" spans="3:13" hidden="1" x14ac:dyDescent="0.25">
      <c r="C507" t="s">
        <v>65</v>
      </c>
      <c r="D507" t="s">
        <v>120</v>
      </c>
      <c r="E507" t="s">
        <v>60</v>
      </c>
      <c r="F507" t="s">
        <v>25</v>
      </c>
      <c r="G507">
        <v>-1</v>
      </c>
      <c r="H507" t="s">
        <v>17</v>
      </c>
      <c r="I507" t="s">
        <v>121</v>
      </c>
      <c r="J507" t="s">
        <v>122</v>
      </c>
      <c r="K507">
        <v>0</v>
      </c>
      <c r="L507" s="84">
        <v>-1499</v>
      </c>
      <c r="M507" s="84">
        <v>0</v>
      </c>
    </row>
    <row r="508" spans="3:13" hidden="1" x14ac:dyDescent="0.25">
      <c r="C508" t="s">
        <v>64</v>
      </c>
      <c r="D508" t="s">
        <v>120</v>
      </c>
      <c r="E508" t="s">
        <v>63</v>
      </c>
      <c r="F508" t="s">
        <v>25</v>
      </c>
      <c r="G508">
        <v>-4</v>
      </c>
      <c r="H508" t="s">
        <v>18</v>
      </c>
      <c r="I508" t="s">
        <v>121</v>
      </c>
      <c r="J508" t="s">
        <v>122</v>
      </c>
      <c r="K508">
        <v>0</v>
      </c>
      <c r="L508" s="84">
        <v>6709</v>
      </c>
      <c r="M508" s="84">
        <v>0</v>
      </c>
    </row>
    <row r="509" spans="3:13" hidden="1" x14ac:dyDescent="0.25">
      <c r="C509" t="s">
        <v>65</v>
      </c>
      <c r="D509" t="s">
        <v>120</v>
      </c>
      <c r="E509" t="s">
        <v>63</v>
      </c>
      <c r="F509" t="s">
        <v>123</v>
      </c>
      <c r="G509">
        <v>-4</v>
      </c>
      <c r="H509" t="s">
        <v>75</v>
      </c>
      <c r="I509" t="s">
        <v>121</v>
      </c>
      <c r="J509" t="s">
        <v>122</v>
      </c>
      <c r="K509">
        <v>0</v>
      </c>
      <c r="L509" s="84">
        <v>1288949</v>
      </c>
      <c r="M509" s="84">
        <v>0</v>
      </c>
    </row>
    <row r="510" spans="3:13" hidden="1" x14ac:dyDescent="0.25">
      <c r="C510" t="s">
        <v>119</v>
      </c>
      <c r="D510" t="s">
        <v>120</v>
      </c>
      <c r="E510" t="s">
        <v>63</v>
      </c>
      <c r="F510" t="s">
        <v>124</v>
      </c>
      <c r="G510">
        <v>4</v>
      </c>
      <c r="H510" t="s">
        <v>74</v>
      </c>
      <c r="I510" t="s">
        <v>121</v>
      </c>
      <c r="J510" t="s">
        <v>122</v>
      </c>
      <c r="K510">
        <v>0</v>
      </c>
      <c r="L510" s="84">
        <v>223772</v>
      </c>
      <c r="M510" s="84">
        <v>895088</v>
      </c>
    </row>
    <row r="511" spans="3:13" hidden="1" x14ac:dyDescent="0.25">
      <c r="C511" t="s">
        <v>65</v>
      </c>
      <c r="D511" t="s">
        <v>120</v>
      </c>
      <c r="E511" t="s">
        <v>60</v>
      </c>
      <c r="F511" t="s">
        <v>124</v>
      </c>
      <c r="G511">
        <v>-4</v>
      </c>
      <c r="H511" t="s">
        <v>12</v>
      </c>
      <c r="I511" t="s">
        <v>121</v>
      </c>
      <c r="J511" t="s">
        <v>66</v>
      </c>
      <c r="K511">
        <v>1</v>
      </c>
      <c r="L511" s="84">
        <v>-227188</v>
      </c>
      <c r="M511" s="84">
        <v>0</v>
      </c>
    </row>
    <row r="512" spans="3:13" hidden="1" x14ac:dyDescent="0.25">
      <c r="C512" t="s">
        <v>119</v>
      </c>
      <c r="D512" t="s">
        <v>120</v>
      </c>
      <c r="E512" t="s">
        <v>60</v>
      </c>
      <c r="F512" t="s">
        <v>124</v>
      </c>
      <c r="G512">
        <v>-4</v>
      </c>
      <c r="H512" t="s">
        <v>14</v>
      </c>
      <c r="I512" t="s">
        <v>121</v>
      </c>
      <c r="J512" t="s">
        <v>66</v>
      </c>
      <c r="K512">
        <v>1</v>
      </c>
      <c r="L512" s="84">
        <v>-967</v>
      </c>
      <c r="M512" s="84">
        <v>0</v>
      </c>
    </row>
    <row r="513" spans="3:13" hidden="1" x14ac:dyDescent="0.25">
      <c r="C513" t="s">
        <v>65</v>
      </c>
      <c r="D513" t="s">
        <v>120</v>
      </c>
      <c r="E513" t="s">
        <v>63</v>
      </c>
      <c r="F513" t="s">
        <v>124</v>
      </c>
      <c r="G513">
        <v>16</v>
      </c>
      <c r="H513" t="s">
        <v>12</v>
      </c>
      <c r="I513" t="s">
        <v>121</v>
      </c>
      <c r="J513" t="s">
        <v>122</v>
      </c>
      <c r="K513">
        <v>0</v>
      </c>
      <c r="L513" s="84">
        <v>400733</v>
      </c>
      <c r="M513" s="84">
        <v>6411728</v>
      </c>
    </row>
    <row r="514" spans="3:13" hidden="1" x14ac:dyDescent="0.25">
      <c r="C514" t="s">
        <v>65</v>
      </c>
      <c r="D514" t="s">
        <v>125</v>
      </c>
      <c r="E514" t="s">
        <v>60</v>
      </c>
      <c r="F514" t="s">
        <v>24</v>
      </c>
      <c r="G514">
        <v>26</v>
      </c>
      <c r="I514" t="s">
        <v>121</v>
      </c>
      <c r="J514" t="s">
        <v>122</v>
      </c>
      <c r="K514">
        <v>0</v>
      </c>
      <c r="L514" s="84">
        <v>-2272972</v>
      </c>
      <c r="M514" s="84">
        <v>0</v>
      </c>
    </row>
    <row r="515" spans="3:13" hidden="1" x14ac:dyDescent="0.25">
      <c r="C515" t="s">
        <v>119</v>
      </c>
      <c r="D515" t="s">
        <v>120</v>
      </c>
      <c r="E515" t="s">
        <v>63</v>
      </c>
      <c r="F515" t="s">
        <v>124</v>
      </c>
      <c r="G515">
        <v>2</v>
      </c>
      <c r="H515" t="s">
        <v>71</v>
      </c>
      <c r="I515" t="s">
        <v>121</v>
      </c>
      <c r="J515" t="s">
        <v>122</v>
      </c>
      <c r="K515">
        <v>0</v>
      </c>
      <c r="L515" s="84">
        <v>1914701</v>
      </c>
      <c r="M515" s="84">
        <v>3829402</v>
      </c>
    </row>
    <row r="516" spans="3:13" hidden="1" x14ac:dyDescent="0.25">
      <c r="C516" t="s">
        <v>119</v>
      </c>
      <c r="D516" t="s">
        <v>120</v>
      </c>
      <c r="E516" t="s">
        <v>60</v>
      </c>
      <c r="F516" t="s">
        <v>24</v>
      </c>
      <c r="G516">
        <v>2</v>
      </c>
      <c r="H516" t="s">
        <v>70</v>
      </c>
      <c r="I516" t="s">
        <v>121</v>
      </c>
      <c r="J516" t="s">
        <v>122</v>
      </c>
      <c r="K516">
        <v>0</v>
      </c>
      <c r="L516" s="84">
        <v>-589</v>
      </c>
      <c r="M516" s="84">
        <v>0</v>
      </c>
    </row>
    <row r="517" spans="3:13" hidden="1" x14ac:dyDescent="0.25">
      <c r="C517" t="s">
        <v>65</v>
      </c>
      <c r="D517" t="s">
        <v>120</v>
      </c>
      <c r="E517" t="s">
        <v>60</v>
      </c>
      <c r="F517" t="s">
        <v>124</v>
      </c>
      <c r="G517">
        <v>11</v>
      </c>
      <c r="H517" t="s">
        <v>18</v>
      </c>
      <c r="I517" t="s">
        <v>121</v>
      </c>
      <c r="J517" t="s">
        <v>122</v>
      </c>
      <c r="K517">
        <v>0</v>
      </c>
      <c r="L517" s="84">
        <v>-19685</v>
      </c>
      <c r="M517" s="84">
        <v>0</v>
      </c>
    </row>
    <row r="518" spans="3:13" hidden="1" x14ac:dyDescent="0.25">
      <c r="C518" t="s">
        <v>119</v>
      </c>
      <c r="D518" t="s">
        <v>120</v>
      </c>
      <c r="E518" t="s">
        <v>60</v>
      </c>
      <c r="F518" t="s">
        <v>123</v>
      </c>
      <c r="G518">
        <v>3</v>
      </c>
      <c r="H518" t="s">
        <v>13</v>
      </c>
      <c r="I518" t="s">
        <v>121</v>
      </c>
      <c r="J518" t="s">
        <v>122</v>
      </c>
      <c r="K518">
        <v>0</v>
      </c>
      <c r="L518" s="84">
        <v>-718</v>
      </c>
      <c r="M518" s="84">
        <v>0</v>
      </c>
    </row>
    <row r="519" spans="3:13" hidden="1" x14ac:dyDescent="0.25">
      <c r="C519" t="s">
        <v>119</v>
      </c>
      <c r="D519" t="s">
        <v>120</v>
      </c>
      <c r="E519" t="s">
        <v>63</v>
      </c>
      <c r="F519" t="s">
        <v>123</v>
      </c>
      <c r="G519">
        <v>6</v>
      </c>
      <c r="H519" t="s">
        <v>17</v>
      </c>
      <c r="I519" t="s">
        <v>121</v>
      </c>
      <c r="J519" t="s">
        <v>122</v>
      </c>
      <c r="K519">
        <v>0</v>
      </c>
      <c r="L519" s="84">
        <v>830953</v>
      </c>
      <c r="M519" s="84">
        <v>4985718</v>
      </c>
    </row>
    <row r="520" spans="3:13" hidden="1" x14ac:dyDescent="0.25">
      <c r="C520" t="s">
        <v>65</v>
      </c>
      <c r="D520" t="s">
        <v>120</v>
      </c>
      <c r="E520" t="s">
        <v>63</v>
      </c>
      <c r="F520" t="s">
        <v>123</v>
      </c>
      <c r="G520">
        <v>0</v>
      </c>
      <c r="H520" t="s">
        <v>12</v>
      </c>
      <c r="I520" t="s">
        <v>121</v>
      </c>
      <c r="J520" t="s">
        <v>122</v>
      </c>
      <c r="K520">
        <v>0</v>
      </c>
      <c r="L520" s="84">
        <v>23474</v>
      </c>
      <c r="M520" s="84">
        <v>0</v>
      </c>
    </row>
    <row r="521" spans="3:13" hidden="1" x14ac:dyDescent="0.25">
      <c r="C521" t="s">
        <v>64</v>
      </c>
      <c r="D521" t="s">
        <v>120</v>
      </c>
      <c r="E521" t="s">
        <v>60</v>
      </c>
      <c r="F521" t="s">
        <v>123</v>
      </c>
      <c r="G521">
        <v>0</v>
      </c>
      <c r="H521" t="s">
        <v>71</v>
      </c>
      <c r="I521" t="s">
        <v>121</v>
      </c>
      <c r="J521" t="s">
        <v>122</v>
      </c>
      <c r="K521">
        <v>0</v>
      </c>
      <c r="L521" s="84">
        <v>-83</v>
      </c>
      <c r="M521" s="84">
        <v>0</v>
      </c>
    </row>
    <row r="522" spans="3:13" hidden="1" x14ac:dyDescent="0.25">
      <c r="C522" t="s">
        <v>64</v>
      </c>
      <c r="D522" t="s">
        <v>120</v>
      </c>
      <c r="E522" t="s">
        <v>63</v>
      </c>
      <c r="F522" t="s">
        <v>123</v>
      </c>
      <c r="G522">
        <v>2</v>
      </c>
      <c r="H522" t="s">
        <v>14</v>
      </c>
      <c r="I522" t="s">
        <v>121</v>
      </c>
      <c r="J522" t="s">
        <v>122</v>
      </c>
      <c r="K522">
        <v>0</v>
      </c>
      <c r="L522" s="84">
        <v>1047329</v>
      </c>
      <c r="M522" s="84">
        <v>2094658</v>
      </c>
    </row>
    <row r="523" spans="3:13" hidden="1" x14ac:dyDescent="0.25">
      <c r="C523" t="s">
        <v>119</v>
      </c>
      <c r="D523" t="s">
        <v>120</v>
      </c>
      <c r="E523" t="s">
        <v>60</v>
      </c>
      <c r="F523" t="s">
        <v>25</v>
      </c>
      <c r="G523">
        <v>1</v>
      </c>
      <c r="H523" t="s">
        <v>14</v>
      </c>
      <c r="I523" t="s">
        <v>121</v>
      </c>
      <c r="J523" t="s">
        <v>66</v>
      </c>
      <c r="K523">
        <v>1</v>
      </c>
      <c r="L523" s="84">
        <v>-2183</v>
      </c>
      <c r="M523" s="84">
        <v>0</v>
      </c>
    </row>
    <row r="524" spans="3:13" hidden="1" x14ac:dyDescent="0.25">
      <c r="C524" t="s">
        <v>65</v>
      </c>
      <c r="D524" t="s">
        <v>120</v>
      </c>
      <c r="E524" t="s">
        <v>63</v>
      </c>
      <c r="F524" t="s">
        <v>124</v>
      </c>
      <c r="G524">
        <v>3</v>
      </c>
      <c r="H524" t="s">
        <v>68</v>
      </c>
      <c r="I524" t="s">
        <v>121</v>
      </c>
      <c r="J524" t="s">
        <v>122</v>
      </c>
      <c r="K524">
        <v>0</v>
      </c>
      <c r="L524" s="84">
        <v>494727</v>
      </c>
      <c r="M524" s="84">
        <v>1484181</v>
      </c>
    </row>
    <row r="525" spans="3:13" hidden="1" x14ac:dyDescent="0.25">
      <c r="C525" t="s">
        <v>119</v>
      </c>
      <c r="D525" t="s">
        <v>120</v>
      </c>
      <c r="E525" t="s">
        <v>63</v>
      </c>
      <c r="F525" t="s">
        <v>24</v>
      </c>
      <c r="G525">
        <v>5</v>
      </c>
      <c r="H525" t="s">
        <v>69</v>
      </c>
      <c r="I525" t="s">
        <v>121</v>
      </c>
      <c r="J525" t="s">
        <v>122</v>
      </c>
      <c r="K525">
        <v>0</v>
      </c>
      <c r="L525" s="84">
        <v>21064082</v>
      </c>
      <c r="M525" s="84">
        <v>105320410</v>
      </c>
    </row>
    <row r="526" spans="3:13" hidden="1" x14ac:dyDescent="0.25">
      <c r="C526" t="s">
        <v>119</v>
      </c>
      <c r="D526" t="s">
        <v>120</v>
      </c>
      <c r="E526" t="s">
        <v>63</v>
      </c>
      <c r="F526" t="s">
        <v>124</v>
      </c>
      <c r="G526">
        <v>0</v>
      </c>
      <c r="H526" t="s">
        <v>67</v>
      </c>
      <c r="I526" t="s">
        <v>121</v>
      </c>
      <c r="J526" t="s">
        <v>122</v>
      </c>
      <c r="K526">
        <v>0</v>
      </c>
      <c r="L526" s="84">
        <v>1066855604</v>
      </c>
      <c r="M526" s="84">
        <v>0</v>
      </c>
    </row>
    <row r="527" spans="3:13" hidden="1" x14ac:dyDescent="0.25">
      <c r="C527" t="s">
        <v>64</v>
      </c>
      <c r="D527" t="s">
        <v>120</v>
      </c>
      <c r="E527" t="s">
        <v>60</v>
      </c>
      <c r="F527" t="s">
        <v>24</v>
      </c>
      <c r="G527">
        <v>1</v>
      </c>
      <c r="H527" t="s">
        <v>69</v>
      </c>
      <c r="I527" t="s">
        <v>121</v>
      </c>
      <c r="J527" t="s">
        <v>122</v>
      </c>
      <c r="K527">
        <v>0</v>
      </c>
      <c r="L527" s="84">
        <v>-9812</v>
      </c>
      <c r="M527" s="84">
        <v>0</v>
      </c>
    </row>
    <row r="528" spans="3:13" hidden="1" x14ac:dyDescent="0.25">
      <c r="C528" t="s">
        <v>64</v>
      </c>
      <c r="D528" t="s">
        <v>120</v>
      </c>
      <c r="E528" t="s">
        <v>63</v>
      </c>
      <c r="F528" t="s">
        <v>124</v>
      </c>
      <c r="G528">
        <v>1</v>
      </c>
      <c r="H528" t="s">
        <v>12</v>
      </c>
      <c r="I528" t="s">
        <v>62</v>
      </c>
      <c r="J528" t="s">
        <v>66</v>
      </c>
      <c r="K528">
        <v>1</v>
      </c>
      <c r="L528" s="84">
        <v>66563</v>
      </c>
      <c r="M528" s="84">
        <v>66563</v>
      </c>
    </row>
    <row r="529" spans="3:13" hidden="1" x14ac:dyDescent="0.25">
      <c r="C529" t="s">
        <v>119</v>
      </c>
      <c r="D529" t="s">
        <v>120</v>
      </c>
      <c r="E529" t="s">
        <v>63</v>
      </c>
      <c r="F529" t="s">
        <v>124</v>
      </c>
      <c r="G529">
        <v>3</v>
      </c>
      <c r="H529" t="s">
        <v>17</v>
      </c>
      <c r="I529" t="s">
        <v>121</v>
      </c>
      <c r="J529" t="s">
        <v>122</v>
      </c>
      <c r="K529">
        <v>0</v>
      </c>
      <c r="L529" s="84">
        <v>44566480</v>
      </c>
      <c r="M529" s="84">
        <v>133699440</v>
      </c>
    </row>
    <row r="530" spans="3:13" hidden="1" x14ac:dyDescent="0.25">
      <c r="C530" t="s">
        <v>65</v>
      </c>
      <c r="D530" t="s">
        <v>120</v>
      </c>
      <c r="E530" t="s">
        <v>63</v>
      </c>
      <c r="F530" t="s">
        <v>124</v>
      </c>
      <c r="G530">
        <v>0</v>
      </c>
      <c r="H530" t="s">
        <v>18</v>
      </c>
      <c r="I530" t="s">
        <v>121</v>
      </c>
      <c r="J530" t="s">
        <v>122</v>
      </c>
      <c r="K530">
        <v>0</v>
      </c>
      <c r="L530" s="84">
        <v>1115122</v>
      </c>
      <c r="M530" s="84">
        <v>0</v>
      </c>
    </row>
    <row r="531" spans="3:13" hidden="1" x14ac:dyDescent="0.25">
      <c r="C531" t="s">
        <v>119</v>
      </c>
      <c r="D531" t="s">
        <v>120</v>
      </c>
      <c r="E531" t="s">
        <v>60</v>
      </c>
      <c r="F531" t="s">
        <v>124</v>
      </c>
      <c r="G531">
        <v>0</v>
      </c>
      <c r="H531" t="s">
        <v>12</v>
      </c>
      <c r="I531" t="s">
        <v>121</v>
      </c>
      <c r="J531" t="s">
        <v>66</v>
      </c>
      <c r="K531">
        <v>1</v>
      </c>
      <c r="L531" s="84">
        <v>-32628</v>
      </c>
      <c r="M531" s="84">
        <v>0</v>
      </c>
    </row>
    <row r="532" spans="3:13" hidden="1" x14ac:dyDescent="0.25">
      <c r="C532" t="s">
        <v>64</v>
      </c>
      <c r="D532" t="s">
        <v>120</v>
      </c>
      <c r="E532" t="s">
        <v>60</v>
      </c>
      <c r="F532" t="s">
        <v>124</v>
      </c>
      <c r="G532">
        <v>0</v>
      </c>
      <c r="H532" t="s">
        <v>78</v>
      </c>
      <c r="I532" t="s">
        <v>121</v>
      </c>
      <c r="J532" t="s">
        <v>122</v>
      </c>
      <c r="K532">
        <v>0</v>
      </c>
      <c r="L532" s="84">
        <v>-6409</v>
      </c>
      <c r="M532" s="84">
        <v>0</v>
      </c>
    </row>
    <row r="533" spans="3:13" hidden="1" x14ac:dyDescent="0.25">
      <c r="C533" t="s">
        <v>119</v>
      </c>
      <c r="D533" t="s">
        <v>120</v>
      </c>
      <c r="E533" t="s">
        <v>63</v>
      </c>
      <c r="F533" t="s">
        <v>25</v>
      </c>
      <c r="G533">
        <v>8</v>
      </c>
      <c r="H533" t="s">
        <v>76</v>
      </c>
      <c r="I533" t="s">
        <v>121</v>
      </c>
      <c r="J533" t="s">
        <v>122</v>
      </c>
      <c r="K533">
        <v>0</v>
      </c>
      <c r="L533" s="84">
        <v>1058161</v>
      </c>
      <c r="M533" s="84">
        <v>8465288</v>
      </c>
    </row>
    <row r="534" spans="3:13" hidden="1" x14ac:dyDescent="0.25">
      <c r="C534" t="s">
        <v>64</v>
      </c>
      <c r="D534" t="s">
        <v>125</v>
      </c>
      <c r="E534" t="s">
        <v>63</v>
      </c>
      <c r="F534" t="s">
        <v>25</v>
      </c>
      <c r="G534">
        <v>19</v>
      </c>
      <c r="I534" t="s">
        <v>121</v>
      </c>
      <c r="J534" t="s">
        <v>122</v>
      </c>
      <c r="K534">
        <v>0</v>
      </c>
      <c r="L534" s="84">
        <v>140609</v>
      </c>
      <c r="M534" s="84">
        <v>2671571</v>
      </c>
    </row>
    <row r="535" spans="3:13" hidden="1" x14ac:dyDescent="0.25">
      <c r="C535" t="s">
        <v>65</v>
      </c>
      <c r="D535" t="s">
        <v>120</v>
      </c>
      <c r="E535" t="s">
        <v>63</v>
      </c>
      <c r="F535" t="s">
        <v>124</v>
      </c>
      <c r="G535">
        <v>5</v>
      </c>
      <c r="H535" t="s">
        <v>68</v>
      </c>
      <c r="I535" t="s">
        <v>121</v>
      </c>
      <c r="J535" t="s">
        <v>122</v>
      </c>
      <c r="K535">
        <v>0</v>
      </c>
      <c r="L535" s="84">
        <v>172560</v>
      </c>
      <c r="M535" s="84">
        <v>862800</v>
      </c>
    </row>
    <row r="536" spans="3:13" hidden="1" x14ac:dyDescent="0.25">
      <c r="C536" t="s">
        <v>65</v>
      </c>
      <c r="D536" t="s">
        <v>120</v>
      </c>
      <c r="E536" t="s">
        <v>60</v>
      </c>
      <c r="F536" t="s">
        <v>124</v>
      </c>
      <c r="G536">
        <v>7</v>
      </c>
      <c r="H536" t="s">
        <v>14</v>
      </c>
      <c r="I536" t="s">
        <v>121</v>
      </c>
      <c r="J536" t="s">
        <v>66</v>
      </c>
      <c r="K536">
        <v>1</v>
      </c>
      <c r="L536" s="84">
        <v>-200869</v>
      </c>
      <c r="M536" s="84">
        <v>0</v>
      </c>
    </row>
    <row r="537" spans="3:13" hidden="1" x14ac:dyDescent="0.25">
      <c r="C537" t="s">
        <v>65</v>
      </c>
      <c r="D537" t="s">
        <v>120</v>
      </c>
      <c r="E537" t="s">
        <v>63</v>
      </c>
      <c r="F537" t="s">
        <v>123</v>
      </c>
      <c r="G537">
        <v>-4</v>
      </c>
      <c r="H537" t="s">
        <v>17</v>
      </c>
      <c r="I537" t="s">
        <v>121</v>
      </c>
      <c r="J537" t="s">
        <v>122</v>
      </c>
      <c r="K537">
        <v>0</v>
      </c>
      <c r="L537" s="84">
        <v>583567</v>
      </c>
      <c r="M537" s="84">
        <v>0</v>
      </c>
    </row>
    <row r="538" spans="3:13" hidden="1" x14ac:dyDescent="0.25">
      <c r="C538" t="s">
        <v>119</v>
      </c>
      <c r="D538" t="s">
        <v>120</v>
      </c>
      <c r="E538" t="s">
        <v>63</v>
      </c>
      <c r="F538" t="s">
        <v>124</v>
      </c>
      <c r="G538">
        <v>4</v>
      </c>
      <c r="H538" t="s">
        <v>16</v>
      </c>
      <c r="I538" t="s">
        <v>121</v>
      </c>
      <c r="J538" t="s">
        <v>122</v>
      </c>
      <c r="K538">
        <v>0</v>
      </c>
      <c r="L538" s="84">
        <v>1099296</v>
      </c>
      <c r="M538" s="84">
        <v>4397184</v>
      </c>
    </row>
    <row r="539" spans="3:13" hidden="1" x14ac:dyDescent="0.25">
      <c r="C539" t="s">
        <v>119</v>
      </c>
      <c r="D539" t="s">
        <v>120</v>
      </c>
      <c r="E539" t="s">
        <v>63</v>
      </c>
      <c r="F539" t="s">
        <v>124</v>
      </c>
      <c r="G539">
        <v>7</v>
      </c>
      <c r="H539" t="s">
        <v>71</v>
      </c>
      <c r="I539" t="s">
        <v>121</v>
      </c>
      <c r="J539" t="s">
        <v>122</v>
      </c>
      <c r="K539">
        <v>0</v>
      </c>
      <c r="L539" s="84">
        <v>1481191</v>
      </c>
      <c r="M539" s="84">
        <v>10368337</v>
      </c>
    </row>
    <row r="540" spans="3:13" hidden="1" x14ac:dyDescent="0.25">
      <c r="C540" t="s">
        <v>119</v>
      </c>
      <c r="D540" t="s">
        <v>120</v>
      </c>
      <c r="E540" t="s">
        <v>63</v>
      </c>
      <c r="F540" t="s">
        <v>124</v>
      </c>
      <c r="G540">
        <v>12</v>
      </c>
      <c r="H540" t="s">
        <v>75</v>
      </c>
      <c r="I540" t="s">
        <v>121</v>
      </c>
      <c r="J540" t="s">
        <v>122</v>
      </c>
      <c r="K540">
        <v>0</v>
      </c>
      <c r="L540" s="84">
        <v>11761990</v>
      </c>
      <c r="M540" s="84">
        <v>141143880</v>
      </c>
    </row>
    <row r="541" spans="3:13" hidden="1" x14ac:dyDescent="0.25">
      <c r="C541" t="s">
        <v>65</v>
      </c>
      <c r="D541" t="s">
        <v>120</v>
      </c>
      <c r="E541" t="s">
        <v>63</v>
      </c>
      <c r="F541" t="s">
        <v>123</v>
      </c>
      <c r="G541">
        <v>1</v>
      </c>
      <c r="H541" t="s">
        <v>16</v>
      </c>
      <c r="I541" t="s">
        <v>121</v>
      </c>
      <c r="J541" t="s">
        <v>122</v>
      </c>
      <c r="K541">
        <v>0</v>
      </c>
      <c r="L541" s="84">
        <v>1359</v>
      </c>
      <c r="M541" s="84">
        <v>1359</v>
      </c>
    </row>
    <row r="542" spans="3:13" hidden="1" x14ac:dyDescent="0.25">
      <c r="C542" t="s">
        <v>119</v>
      </c>
      <c r="D542" t="s">
        <v>120</v>
      </c>
      <c r="E542" t="s">
        <v>60</v>
      </c>
      <c r="F542" t="s">
        <v>25</v>
      </c>
      <c r="G542">
        <v>6</v>
      </c>
      <c r="H542" t="s">
        <v>71</v>
      </c>
      <c r="I542" t="s">
        <v>121</v>
      </c>
      <c r="J542" t="s">
        <v>122</v>
      </c>
      <c r="K542">
        <v>0</v>
      </c>
      <c r="L542" s="84">
        <v>-783</v>
      </c>
      <c r="M542" s="84">
        <v>0</v>
      </c>
    </row>
    <row r="543" spans="3:13" hidden="1" x14ac:dyDescent="0.25">
      <c r="C543" t="s">
        <v>65</v>
      </c>
      <c r="D543" t="s">
        <v>120</v>
      </c>
      <c r="E543" t="s">
        <v>60</v>
      </c>
      <c r="F543" t="s">
        <v>124</v>
      </c>
      <c r="G543">
        <v>6</v>
      </c>
      <c r="H543" t="s">
        <v>70</v>
      </c>
      <c r="I543" t="s">
        <v>121</v>
      </c>
      <c r="J543" t="s">
        <v>122</v>
      </c>
      <c r="K543">
        <v>0</v>
      </c>
      <c r="L543" s="84">
        <v>-221295</v>
      </c>
      <c r="M543" s="84">
        <v>0</v>
      </c>
    </row>
    <row r="544" spans="3:13" hidden="1" x14ac:dyDescent="0.25">
      <c r="C544" t="s">
        <v>64</v>
      </c>
      <c r="D544" t="s">
        <v>125</v>
      </c>
      <c r="E544" t="s">
        <v>60</v>
      </c>
      <c r="F544" t="s">
        <v>24</v>
      </c>
      <c r="G544">
        <v>41</v>
      </c>
      <c r="I544" t="s">
        <v>121</v>
      </c>
      <c r="J544" t="s">
        <v>122</v>
      </c>
      <c r="K544">
        <v>0</v>
      </c>
      <c r="L544" s="84">
        <v>-100729</v>
      </c>
      <c r="M544" s="84">
        <v>0</v>
      </c>
    </row>
    <row r="545" spans="3:13" hidden="1" x14ac:dyDescent="0.25">
      <c r="C545" t="s">
        <v>119</v>
      </c>
      <c r="D545" t="s">
        <v>120</v>
      </c>
      <c r="E545" t="s">
        <v>63</v>
      </c>
      <c r="F545" t="s">
        <v>124</v>
      </c>
      <c r="G545">
        <v>5</v>
      </c>
      <c r="H545" t="s">
        <v>17</v>
      </c>
      <c r="I545" t="s">
        <v>121</v>
      </c>
      <c r="J545" t="s">
        <v>122</v>
      </c>
      <c r="K545">
        <v>0</v>
      </c>
      <c r="L545" s="84">
        <v>8111017</v>
      </c>
      <c r="M545" s="84">
        <v>40555085</v>
      </c>
    </row>
    <row r="546" spans="3:13" hidden="1" x14ac:dyDescent="0.25">
      <c r="C546" t="s">
        <v>64</v>
      </c>
      <c r="D546" t="s">
        <v>120</v>
      </c>
      <c r="E546" t="s">
        <v>60</v>
      </c>
      <c r="F546" t="s">
        <v>124</v>
      </c>
      <c r="G546">
        <v>1</v>
      </c>
      <c r="H546" t="s">
        <v>71</v>
      </c>
      <c r="I546" t="s">
        <v>121</v>
      </c>
      <c r="J546" t="s">
        <v>122</v>
      </c>
      <c r="K546">
        <v>0</v>
      </c>
      <c r="L546" s="84">
        <v>-65902</v>
      </c>
      <c r="M546" s="84">
        <v>0</v>
      </c>
    </row>
    <row r="547" spans="3:13" hidden="1" x14ac:dyDescent="0.25">
      <c r="C547" t="s">
        <v>64</v>
      </c>
      <c r="D547" t="s">
        <v>120</v>
      </c>
      <c r="E547" t="s">
        <v>60</v>
      </c>
      <c r="F547" t="s">
        <v>123</v>
      </c>
      <c r="G547">
        <v>3</v>
      </c>
      <c r="H547" t="s">
        <v>68</v>
      </c>
      <c r="I547" t="s">
        <v>121</v>
      </c>
      <c r="J547" t="s">
        <v>122</v>
      </c>
      <c r="K547">
        <v>0</v>
      </c>
      <c r="L547" s="84">
        <v>-11338</v>
      </c>
      <c r="M547" s="84">
        <v>0</v>
      </c>
    </row>
    <row r="548" spans="3:13" hidden="1" x14ac:dyDescent="0.25">
      <c r="C548" t="s">
        <v>119</v>
      </c>
      <c r="D548" t="s">
        <v>120</v>
      </c>
      <c r="E548" t="s">
        <v>63</v>
      </c>
      <c r="F548" t="s">
        <v>123</v>
      </c>
      <c r="G548">
        <v>0</v>
      </c>
      <c r="H548" t="s">
        <v>17</v>
      </c>
      <c r="I548" t="s">
        <v>62</v>
      </c>
      <c r="J548" t="s">
        <v>66</v>
      </c>
      <c r="K548">
        <v>1</v>
      </c>
      <c r="L548" s="84">
        <v>17619</v>
      </c>
      <c r="M548" s="84">
        <v>0</v>
      </c>
    </row>
    <row r="549" spans="3:13" hidden="1" x14ac:dyDescent="0.25">
      <c r="C549" t="s">
        <v>119</v>
      </c>
      <c r="D549" t="s">
        <v>120</v>
      </c>
      <c r="E549" t="s">
        <v>60</v>
      </c>
      <c r="F549" t="s">
        <v>24</v>
      </c>
      <c r="G549">
        <v>1</v>
      </c>
      <c r="H549" t="s">
        <v>16</v>
      </c>
      <c r="I549" t="s">
        <v>121</v>
      </c>
      <c r="J549" t="s">
        <v>122</v>
      </c>
      <c r="K549">
        <v>0</v>
      </c>
      <c r="L549" s="84">
        <v>-19</v>
      </c>
      <c r="M549" s="84">
        <v>0</v>
      </c>
    </row>
    <row r="550" spans="3:13" hidden="1" x14ac:dyDescent="0.25">
      <c r="C550" t="s">
        <v>64</v>
      </c>
      <c r="D550" t="s">
        <v>120</v>
      </c>
      <c r="E550" t="s">
        <v>63</v>
      </c>
      <c r="F550" t="s">
        <v>24</v>
      </c>
      <c r="G550">
        <v>3</v>
      </c>
      <c r="H550" t="s">
        <v>69</v>
      </c>
      <c r="I550" t="s">
        <v>121</v>
      </c>
      <c r="J550" t="s">
        <v>122</v>
      </c>
      <c r="K550">
        <v>0</v>
      </c>
      <c r="L550" s="84">
        <v>217351</v>
      </c>
      <c r="M550" s="84">
        <v>652053</v>
      </c>
    </row>
    <row r="551" spans="3:13" hidden="1" x14ac:dyDescent="0.25">
      <c r="C551" t="s">
        <v>119</v>
      </c>
      <c r="D551" t="s">
        <v>120</v>
      </c>
      <c r="E551" t="s">
        <v>63</v>
      </c>
      <c r="F551" t="s">
        <v>124</v>
      </c>
      <c r="G551">
        <v>6</v>
      </c>
      <c r="H551" t="s">
        <v>73</v>
      </c>
      <c r="I551" t="s">
        <v>121</v>
      </c>
      <c r="J551" t="s">
        <v>122</v>
      </c>
      <c r="K551">
        <v>0</v>
      </c>
      <c r="L551" s="84">
        <v>592907</v>
      </c>
      <c r="M551" s="84">
        <v>3557442</v>
      </c>
    </row>
    <row r="552" spans="3:13" hidden="1" x14ac:dyDescent="0.25">
      <c r="C552" t="s">
        <v>119</v>
      </c>
      <c r="D552" t="s">
        <v>120</v>
      </c>
      <c r="E552" t="s">
        <v>63</v>
      </c>
      <c r="F552" t="s">
        <v>24</v>
      </c>
      <c r="G552">
        <v>14</v>
      </c>
      <c r="H552" t="s">
        <v>17</v>
      </c>
      <c r="I552" t="s">
        <v>121</v>
      </c>
      <c r="J552" t="s">
        <v>122</v>
      </c>
      <c r="K552">
        <v>0</v>
      </c>
      <c r="L552" s="84">
        <v>14992513</v>
      </c>
      <c r="M552" s="84">
        <v>209895182</v>
      </c>
    </row>
    <row r="553" spans="3:13" hidden="1" x14ac:dyDescent="0.25">
      <c r="C553" t="s">
        <v>119</v>
      </c>
      <c r="D553" t="s">
        <v>120</v>
      </c>
      <c r="E553" t="s">
        <v>63</v>
      </c>
      <c r="F553" t="s">
        <v>123</v>
      </c>
      <c r="G553">
        <v>-4</v>
      </c>
      <c r="H553" t="s">
        <v>73</v>
      </c>
      <c r="I553" t="s">
        <v>121</v>
      </c>
      <c r="J553" t="s">
        <v>122</v>
      </c>
      <c r="K553">
        <v>0</v>
      </c>
      <c r="L553" s="84">
        <v>73</v>
      </c>
      <c r="M553" s="84">
        <v>0</v>
      </c>
    </row>
    <row r="554" spans="3:13" hidden="1" x14ac:dyDescent="0.25">
      <c r="C554" t="s">
        <v>65</v>
      </c>
      <c r="D554" t="s">
        <v>120</v>
      </c>
      <c r="E554" t="s">
        <v>63</v>
      </c>
      <c r="F554" t="s">
        <v>25</v>
      </c>
      <c r="G554">
        <v>6</v>
      </c>
      <c r="H554" t="s">
        <v>69</v>
      </c>
      <c r="I554" t="s">
        <v>121</v>
      </c>
      <c r="J554" t="s">
        <v>122</v>
      </c>
      <c r="K554">
        <v>0</v>
      </c>
      <c r="L554" s="84">
        <v>656064</v>
      </c>
      <c r="M554" s="84">
        <v>3936384</v>
      </c>
    </row>
    <row r="555" spans="3:13" hidden="1" x14ac:dyDescent="0.25">
      <c r="C555" t="s">
        <v>64</v>
      </c>
      <c r="D555" t="s">
        <v>120</v>
      </c>
      <c r="E555" t="s">
        <v>60</v>
      </c>
      <c r="F555" t="s">
        <v>124</v>
      </c>
      <c r="G555">
        <v>4</v>
      </c>
      <c r="H555" t="s">
        <v>73</v>
      </c>
      <c r="I555" t="s">
        <v>121</v>
      </c>
      <c r="J555" t="s">
        <v>122</v>
      </c>
      <c r="K555">
        <v>0</v>
      </c>
      <c r="L555" s="84">
        <v>-13858</v>
      </c>
      <c r="M555" s="84">
        <v>0</v>
      </c>
    </row>
    <row r="556" spans="3:13" hidden="1" x14ac:dyDescent="0.25">
      <c r="C556" t="s">
        <v>119</v>
      </c>
      <c r="D556" t="s">
        <v>120</v>
      </c>
      <c r="E556" t="s">
        <v>60</v>
      </c>
      <c r="F556" t="s">
        <v>25</v>
      </c>
      <c r="G556">
        <v>4</v>
      </c>
      <c r="H556" t="s">
        <v>14</v>
      </c>
      <c r="I556" t="s">
        <v>121</v>
      </c>
      <c r="J556" t="s">
        <v>122</v>
      </c>
      <c r="K556">
        <v>0</v>
      </c>
      <c r="L556" s="84">
        <v>-4993</v>
      </c>
      <c r="M556" s="84">
        <v>0</v>
      </c>
    </row>
    <row r="557" spans="3:13" hidden="1" x14ac:dyDescent="0.25">
      <c r="C557" t="s">
        <v>119</v>
      </c>
      <c r="D557" t="s">
        <v>120</v>
      </c>
      <c r="E557" t="s">
        <v>60</v>
      </c>
      <c r="F557" t="s">
        <v>25</v>
      </c>
      <c r="G557">
        <v>6</v>
      </c>
      <c r="H557" t="s">
        <v>14</v>
      </c>
      <c r="I557" t="s">
        <v>121</v>
      </c>
      <c r="J557" t="s">
        <v>66</v>
      </c>
      <c r="K557">
        <v>1</v>
      </c>
      <c r="L557" s="84">
        <v>-928</v>
      </c>
      <c r="M557" s="84">
        <v>0</v>
      </c>
    </row>
    <row r="558" spans="3:13" hidden="1" x14ac:dyDescent="0.25">
      <c r="C558" t="s">
        <v>65</v>
      </c>
      <c r="D558" t="s">
        <v>120</v>
      </c>
      <c r="E558" t="s">
        <v>63</v>
      </c>
      <c r="F558" t="s">
        <v>124</v>
      </c>
      <c r="G558">
        <v>0</v>
      </c>
      <c r="H558" t="s">
        <v>69</v>
      </c>
      <c r="I558" t="s">
        <v>121</v>
      </c>
      <c r="J558" t="s">
        <v>122</v>
      </c>
      <c r="K558">
        <v>0</v>
      </c>
      <c r="L558" s="84">
        <v>214244</v>
      </c>
      <c r="M558" s="84">
        <v>0</v>
      </c>
    </row>
    <row r="559" spans="3:13" hidden="1" x14ac:dyDescent="0.25">
      <c r="C559" t="s">
        <v>119</v>
      </c>
      <c r="D559" t="s">
        <v>120</v>
      </c>
      <c r="E559" t="s">
        <v>60</v>
      </c>
      <c r="F559" t="s">
        <v>25</v>
      </c>
      <c r="G559">
        <v>-1</v>
      </c>
      <c r="H559" t="s">
        <v>68</v>
      </c>
      <c r="I559" t="s">
        <v>121</v>
      </c>
      <c r="J559" t="s">
        <v>122</v>
      </c>
      <c r="K559">
        <v>0</v>
      </c>
      <c r="L559" s="84">
        <v>-2646</v>
      </c>
      <c r="M559" s="84">
        <v>0</v>
      </c>
    </row>
    <row r="560" spans="3:13" hidden="1" x14ac:dyDescent="0.25">
      <c r="C560" t="s">
        <v>65</v>
      </c>
      <c r="D560" t="s">
        <v>120</v>
      </c>
      <c r="E560" t="s">
        <v>60</v>
      </c>
      <c r="F560" t="s">
        <v>24</v>
      </c>
      <c r="G560">
        <v>9</v>
      </c>
      <c r="H560" t="s">
        <v>68</v>
      </c>
      <c r="I560" t="s">
        <v>121</v>
      </c>
      <c r="J560" t="s">
        <v>122</v>
      </c>
      <c r="K560">
        <v>0</v>
      </c>
      <c r="L560" s="84">
        <v>-488218</v>
      </c>
      <c r="M560" s="84">
        <v>0</v>
      </c>
    </row>
    <row r="561" spans="3:13" hidden="1" x14ac:dyDescent="0.25">
      <c r="C561" t="s">
        <v>119</v>
      </c>
      <c r="D561" t="s">
        <v>120</v>
      </c>
      <c r="E561" t="s">
        <v>63</v>
      </c>
      <c r="F561" t="s">
        <v>25</v>
      </c>
      <c r="G561">
        <v>10</v>
      </c>
      <c r="H561" t="s">
        <v>68</v>
      </c>
      <c r="I561" t="s">
        <v>121</v>
      </c>
      <c r="J561" t="s">
        <v>122</v>
      </c>
      <c r="K561">
        <v>0</v>
      </c>
      <c r="L561" s="84">
        <v>30769381</v>
      </c>
      <c r="M561" s="84">
        <v>307693810</v>
      </c>
    </row>
    <row r="562" spans="3:13" hidden="1" x14ac:dyDescent="0.25">
      <c r="C562" t="s">
        <v>65</v>
      </c>
      <c r="D562" t="s">
        <v>120</v>
      </c>
      <c r="E562" t="s">
        <v>60</v>
      </c>
      <c r="F562" t="s">
        <v>25</v>
      </c>
      <c r="G562">
        <v>-4</v>
      </c>
      <c r="H562" t="s">
        <v>17</v>
      </c>
      <c r="I562" t="s">
        <v>121</v>
      </c>
      <c r="J562" t="s">
        <v>66</v>
      </c>
      <c r="K562">
        <v>1</v>
      </c>
      <c r="L562" s="84">
        <v>-66</v>
      </c>
      <c r="M562" s="84">
        <v>0</v>
      </c>
    </row>
    <row r="563" spans="3:13" hidden="1" x14ac:dyDescent="0.25">
      <c r="C563" t="s">
        <v>119</v>
      </c>
      <c r="D563" t="s">
        <v>120</v>
      </c>
      <c r="E563" t="s">
        <v>60</v>
      </c>
      <c r="F563" t="s">
        <v>124</v>
      </c>
      <c r="G563">
        <v>6</v>
      </c>
      <c r="H563" t="s">
        <v>75</v>
      </c>
      <c r="I563" t="s">
        <v>121</v>
      </c>
      <c r="J563" t="s">
        <v>122</v>
      </c>
      <c r="K563">
        <v>0</v>
      </c>
      <c r="L563" s="84">
        <v>-60515</v>
      </c>
      <c r="M563" s="84">
        <v>0</v>
      </c>
    </row>
    <row r="564" spans="3:13" hidden="1" x14ac:dyDescent="0.25">
      <c r="C564" t="s">
        <v>64</v>
      </c>
      <c r="D564" t="s">
        <v>120</v>
      </c>
      <c r="E564" t="s">
        <v>60</v>
      </c>
      <c r="F564" t="s">
        <v>124</v>
      </c>
      <c r="G564">
        <v>2</v>
      </c>
      <c r="H564" t="s">
        <v>13</v>
      </c>
      <c r="I564" t="s">
        <v>121</v>
      </c>
      <c r="J564" t="s">
        <v>122</v>
      </c>
      <c r="K564">
        <v>0</v>
      </c>
      <c r="L564" s="84">
        <v>-7978</v>
      </c>
      <c r="M564" s="84">
        <v>0</v>
      </c>
    </row>
    <row r="565" spans="3:13" hidden="1" x14ac:dyDescent="0.25">
      <c r="C565" t="s">
        <v>119</v>
      </c>
      <c r="D565" t="s">
        <v>120</v>
      </c>
      <c r="E565" t="s">
        <v>60</v>
      </c>
      <c r="F565" t="s">
        <v>124</v>
      </c>
      <c r="G565">
        <v>0</v>
      </c>
      <c r="H565" t="s">
        <v>75</v>
      </c>
      <c r="I565" t="s">
        <v>62</v>
      </c>
      <c r="J565" t="s">
        <v>122</v>
      </c>
      <c r="K565">
        <v>1</v>
      </c>
      <c r="L565" s="84">
        <v>-188</v>
      </c>
      <c r="M565" s="84">
        <v>0</v>
      </c>
    </row>
    <row r="566" spans="3:13" hidden="1" x14ac:dyDescent="0.25">
      <c r="C566" t="s">
        <v>64</v>
      </c>
      <c r="D566" t="s">
        <v>120</v>
      </c>
      <c r="E566" t="s">
        <v>60</v>
      </c>
      <c r="F566" t="s">
        <v>123</v>
      </c>
      <c r="G566">
        <v>4</v>
      </c>
      <c r="H566" t="s">
        <v>76</v>
      </c>
      <c r="I566" t="s">
        <v>121</v>
      </c>
      <c r="J566" t="s">
        <v>122</v>
      </c>
      <c r="K566">
        <v>0</v>
      </c>
      <c r="L566" s="84">
        <v>-17953</v>
      </c>
      <c r="M566" s="84">
        <v>0</v>
      </c>
    </row>
    <row r="567" spans="3:13" hidden="1" x14ac:dyDescent="0.25">
      <c r="C567" t="s">
        <v>64</v>
      </c>
      <c r="D567" t="s">
        <v>120</v>
      </c>
      <c r="E567" t="s">
        <v>63</v>
      </c>
      <c r="F567" t="s">
        <v>124</v>
      </c>
      <c r="G567">
        <v>-1</v>
      </c>
      <c r="H567" t="s">
        <v>18</v>
      </c>
      <c r="I567" t="s">
        <v>121</v>
      </c>
      <c r="J567" t="s">
        <v>66</v>
      </c>
      <c r="K567">
        <v>1</v>
      </c>
      <c r="L567" s="84">
        <v>4744949</v>
      </c>
      <c r="M567" s="84">
        <v>0</v>
      </c>
    </row>
    <row r="568" spans="3:13" hidden="1" x14ac:dyDescent="0.25">
      <c r="C568" t="s">
        <v>119</v>
      </c>
      <c r="D568" t="s">
        <v>120</v>
      </c>
      <c r="E568" t="s">
        <v>60</v>
      </c>
      <c r="F568" t="s">
        <v>24</v>
      </c>
      <c r="G568">
        <v>15</v>
      </c>
      <c r="H568" t="s">
        <v>17</v>
      </c>
      <c r="I568" t="s">
        <v>121</v>
      </c>
      <c r="J568" t="s">
        <v>122</v>
      </c>
      <c r="K568">
        <v>0</v>
      </c>
      <c r="L568" s="84">
        <v>-1698</v>
      </c>
      <c r="M568" s="84">
        <v>0</v>
      </c>
    </row>
    <row r="569" spans="3:13" hidden="1" x14ac:dyDescent="0.25">
      <c r="C569" t="s">
        <v>65</v>
      </c>
      <c r="D569" t="s">
        <v>125</v>
      </c>
      <c r="E569" t="s">
        <v>60</v>
      </c>
      <c r="F569" t="s">
        <v>24</v>
      </c>
      <c r="G569">
        <v>41</v>
      </c>
      <c r="I569" t="s">
        <v>121</v>
      </c>
      <c r="J569" t="s">
        <v>122</v>
      </c>
      <c r="K569">
        <v>0</v>
      </c>
      <c r="L569" s="84">
        <v>-160602</v>
      </c>
      <c r="M569" s="84">
        <v>0</v>
      </c>
    </row>
    <row r="570" spans="3:13" hidden="1" x14ac:dyDescent="0.25">
      <c r="C570" t="s">
        <v>119</v>
      </c>
      <c r="D570" t="s">
        <v>120</v>
      </c>
      <c r="E570" t="s">
        <v>63</v>
      </c>
      <c r="F570" t="s">
        <v>124</v>
      </c>
      <c r="G570">
        <v>0</v>
      </c>
      <c r="H570" t="s">
        <v>14</v>
      </c>
      <c r="I570" t="s">
        <v>121</v>
      </c>
      <c r="J570" t="s">
        <v>122</v>
      </c>
      <c r="K570">
        <v>0</v>
      </c>
      <c r="L570" s="84">
        <v>720549371</v>
      </c>
      <c r="M570" s="84">
        <v>0</v>
      </c>
    </row>
    <row r="571" spans="3:13" hidden="1" x14ac:dyDescent="0.25">
      <c r="C571" t="s">
        <v>64</v>
      </c>
      <c r="D571" t="s">
        <v>120</v>
      </c>
      <c r="E571" t="s">
        <v>60</v>
      </c>
      <c r="F571" t="s">
        <v>24</v>
      </c>
      <c r="G571">
        <v>9</v>
      </c>
      <c r="H571" t="s">
        <v>17</v>
      </c>
      <c r="I571" t="s">
        <v>121</v>
      </c>
      <c r="J571" t="s">
        <v>122</v>
      </c>
      <c r="K571">
        <v>0</v>
      </c>
      <c r="L571" s="84">
        <v>-50349</v>
      </c>
      <c r="M571" s="84">
        <v>0</v>
      </c>
    </row>
    <row r="572" spans="3:13" hidden="1" x14ac:dyDescent="0.25">
      <c r="C572" t="s">
        <v>119</v>
      </c>
      <c r="D572" t="s">
        <v>120</v>
      </c>
      <c r="E572" t="s">
        <v>63</v>
      </c>
      <c r="F572" t="s">
        <v>24</v>
      </c>
      <c r="G572">
        <v>5</v>
      </c>
      <c r="H572" t="s">
        <v>18</v>
      </c>
      <c r="I572" t="s">
        <v>121</v>
      </c>
      <c r="J572" t="s">
        <v>122</v>
      </c>
      <c r="K572">
        <v>0</v>
      </c>
      <c r="L572" s="84">
        <v>1479587</v>
      </c>
      <c r="M572" s="84">
        <v>7397935</v>
      </c>
    </row>
    <row r="573" spans="3:13" hidden="1" x14ac:dyDescent="0.25">
      <c r="C573" t="s">
        <v>119</v>
      </c>
      <c r="D573" t="s">
        <v>120</v>
      </c>
      <c r="E573" t="s">
        <v>63</v>
      </c>
      <c r="F573" t="s">
        <v>24</v>
      </c>
      <c r="G573">
        <v>10</v>
      </c>
      <c r="H573" t="s">
        <v>76</v>
      </c>
      <c r="I573" t="s">
        <v>121</v>
      </c>
      <c r="J573" t="s">
        <v>122</v>
      </c>
      <c r="K573">
        <v>0</v>
      </c>
      <c r="L573" s="84">
        <v>99886</v>
      </c>
      <c r="M573" s="84">
        <v>998860</v>
      </c>
    </row>
    <row r="574" spans="3:13" hidden="1" x14ac:dyDescent="0.25">
      <c r="C574" t="s">
        <v>119</v>
      </c>
      <c r="D574" t="s">
        <v>126</v>
      </c>
      <c r="E574" t="s">
        <v>63</v>
      </c>
      <c r="F574" t="s">
        <v>25</v>
      </c>
      <c r="G574">
        <v>9</v>
      </c>
      <c r="H574" t="s">
        <v>74</v>
      </c>
      <c r="I574" t="s">
        <v>121</v>
      </c>
      <c r="J574" t="s">
        <v>122</v>
      </c>
      <c r="K574">
        <v>0</v>
      </c>
      <c r="L574" s="84">
        <v>83100</v>
      </c>
      <c r="M574" s="84">
        <v>747900</v>
      </c>
    </row>
    <row r="575" spans="3:13" hidden="1" x14ac:dyDescent="0.25">
      <c r="C575" t="s">
        <v>64</v>
      </c>
      <c r="D575" t="s">
        <v>120</v>
      </c>
      <c r="E575" t="s">
        <v>60</v>
      </c>
      <c r="F575" t="s">
        <v>24</v>
      </c>
      <c r="G575">
        <v>3</v>
      </c>
      <c r="H575" t="s">
        <v>68</v>
      </c>
      <c r="I575" t="s">
        <v>121</v>
      </c>
      <c r="J575" t="s">
        <v>122</v>
      </c>
      <c r="K575">
        <v>0</v>
      </c>
      <c r="L575" s="84">
        <v>-318350</v>
      </c>
      <c r="M575" s="84">
        <v>0</v>
      </c>
    </row>
    <row r="576" spans="3:13" hidden="1" x14ac:dyDescent="0.25">
      <c r="C576" t="s">
        <v>119</v>
      </c>
      <c r="D576" t="s">
        <v>120</v>
      </c>
      <c r="E576" t="s">
        <v>60</v>
      </c>
      <c r="F576" t="s">
        <v>123</v>
      </c>
      <c r="G576">
        <v>3</v>
      </c>
      <c r="H576" t="s">
        <v>68</v>
      </c>
      <c r="I576" t="s">
        <v>121</v>
      </c>
      <c r="J576" t="s">
        <v>122</v>
      </c>
      <c r="K576">
        <v>0</v>
      </c>
      <c r="L576" s="84">
        <v>-3717</v>
      </c>
      <c r="M576" s="84">
        <v>0</v>
      </c>
    </row>
    <row r="577" spans="3:13" hidden="1" x14ac:dyDescent="0.25">
      <c r="C577" t="s">
        <v>119</v>
      </c>
      <c r="D577" t="s">
        <v>120</v>
      </c>
      <c r="E577" t="s">
        <v>60</v>
      </c>
      <c r="F577" t="s">
        <v>124</v>
      </c>
      <c r="G577">
        <v>7</v>
      </c>
      <c r="H577" t="s">
        <v>12</v>
      </c>
      <c r="I577" t="s">
        <v>121</v>
      </c>
      <c r="J577" t="s">
        <v>66</v>
      </c>
      <c r="K577">
        <v>1</v>
      </c>
      <c r="L577" s="84">
        <v>-6713</v>
      </c>
      <c r="M577" s="84">
        <v>0</v>
      </c>
    </row>
    <row r="578" spans="3:13" hidden="1" x14ac:dyDescent="0.25">
      <c r="C578" t="s">
        <v>119</v>
      </c>
      <c r="D578" t="s">
        <v>120</v>
      </c>
      <c r="E578" t="s">
        <v>63</v>
      </c>
      <c r="F578" t="s">
        <v>24</v>
      </c>
      <c r="G578">
        <v>7</v>
      </c>
      <c r="H578" t="s">
        <v>67</v>
      </c>
      <c r="I578" t="s">
        <v>121</v>
      </c>
      <c r="J578" t="s">
        <v>122</v>
      </c>
      <c r="K578">
        <v>0</v>
      </c>
      <c r="L578" s="84">
        <v>465344</v>
      </c>
      <c r="M578" s="84">
        <v>3257408</v>
      </c>
    </row>
    <row r="579" spans="3:13" hidden="1" x14ac:dyDescent="0.25">
      <c r="C579" t="s">
        <v>119</v>
      </c>
      <c r="D579" t="s">
        <v>120</v>
      </c>
      <c r="E579" t="s">
        <v>63</v>
      </c>
      <c r="F579" t="s">
        <v>123</v>
      </c>
      <c r="G579">
        <v>1</v>
      </c>
      <c r="H579" t="s">
        <v>61</v>
      </c>
      <c r="I579" t="s">
        <v>121</v>
      </c>
      <c r="J579" t="s">
        <v>122</v>
      </c>
      <c r="K579">
        <v>0</v>
      </c>
      <c r="L579" s="84">
        <v>37164094</v>
      </c>
      <c r="M579" s="84">
        <v>37164094</v>
      </c>
    </row>
    <row r="580" spans="3:13" hidden="1" x14ac:dyDescent="0.25">
      <c r="C580" t="s">
        <v>64</v>
      </c>
      <c r="D580" t="s">
        <v>120</v>
      </c>
      <c r="E580" t="s">
        <v>60</v>
      </c>
      <c r="F580" t="s">
        <v>123</v>
      </c>
      <c r="G580">
        <v>2</v>
      </c>
      <c r="H580" t="s">
        <v>70</v>
      </c>
      <c r="I580" t="s">
        <v>121</v>
      </c>
      <c r="J580" t="s">
        <v>122</v>
      </c>
      <c r="K580">
        <v>0</v>
      </c>
      <c r="L580" s="84">
        <v>-69956</v>
      </c>
      <c r="M580" s="84">
        <v>0</v>
      </c>
    </row>
    <row r="581" spans="3:13" hidden="1" x14ac:dyDescent="0.25">
      <c r="C581" t="s">
        <v>64</v>
      </c>
      <c r="D581" t="s">
        <v>120</v>
      </c>
      <c r="E581" t="s">
        <v>60</v>
      </c>
      <c r="F581" t="s">
        <v>123</v>
      </c>
      <c r="G581">
        <v>3</v>
      </c>
      <c r="H581" t="s">
        <v>76</v>
      </c>
      <c r="I581" t="s">
        <v>121</v>
      </c>
      <c r="J581" t="s">
        <v>122</v>
      </c>
      <c r="K581">
        <v>0</v>
      </c>
      <c r="L581" s="84">
        <v>-14330</v>
      </c>
      <c r="M581" s="84">
        <v>0</v>
      </c>
    </row>
    <row r="582" spans="3:13" hidden="1" x14ac:dyDescent="0.25">
      <c r="C582" t="s">
        <v>119</v>
      </c>
      <c r="D582" t="s">
        <v>120</v>
      </c>
      <c r="E582" t="s">
        <v>60</v>
      </c>
      <c r="F582" t="s">
        <v>124</v>
      </c>
      <c r="G582">
        <v>3</v>
      </c>
      <c r="H582" t="s">
        <v>18</v>
      </c>
      <c r="I582" t="s">
        <v>121</v>
      </c>
      <c r="J582" t="s">
        <v>122</v>
      </c>
      <c r="K582">
        <v>0</v>
      </c>
      <c r="L582" s="84">
        <v>-342207</v>
      </c>
      <c r="M582" s="84">
        <v>0</v>
      </c>
    </row>
    <row r="583" spans="3:13" hidden="1" x14ac:dyDescent="0.25">
      <c r="C583" t="s">
        <v>119</v>
      </c>
      <c r="D583" t="s">
        <v>120</v>
      </c>
      <c r="E583" t="s">
        <v>63</v>
      </c>
      <c r="F583" t="s">
        <v>123</v>
      </c>
      <c r="G583">
        <v>-4</v>
      </c>
      <c r="H583" t="s">
        <v>67</v>
      </c>
      <c r="I583" t="s">
        <v>121</v>
      </c>
      <c r="J583" t="s">
        <v>122</v>
      </c>
      <c r="K583">
        <v>0</v>
      </c>
      <c r="L583" s="84">
        <v>238</v>
      </c>
      <c r="M583" s="84">
        <v>0</v>
      </c>
    </row>
    <row r="584" spans="3:13" hidden="1" x14ac:dyDescent="0.25">
      <c r="C584" t="s">
        <v>119</v>
      </c>
      <c r="D584" t="s">
        <v>120</v>
      </c>
      <c r="E584" t="s">
        <v>63</v>
      </c>
      <c r="F584" t="s">
        <v>25</v>
      </c>
      <c r="G584">
        <v>-1</v>
      </c>
      <c r="H584" t="s">
        <v>69</v>
      </c>
      <c r="I584" t="s">
        <v>121</v>
      </c>
      <c r="J584" t="s">
        <v>122</v>
      </c>
      <c r="K584">
        <v>0</v>
      </c>
      <c r="L584" s="84">
        <v>4034768</v>
      </c>
      <c r="M584" s="84">
        <v>0</v>
      </c>
    </row>
    <row r="585" spans="3:13" hidden="1" x14ac:dyDescent="0.25">
      <c r="C585" t="s">
        <v>119</v>
      </c>
      <c r="D585" t="s">
        <v>120</v>
      </c>
      <c r="E585" t="s">
        <v>63</v>
      </c>
      <c r="F585" t="s">
        <v>25</v>
      </c>
      <c r="G585">
        <v>8</v>
      </c>
      <c r="H585" t="s">
        <v>68</v>
      </c>
      <c r="I585" t="s">
        <v>121</v>
      </c>
      <c r="J585" t="s">
        <v>122</v>
      </c>
      <c r="K585">
        <v>0</v>
      </c>
      <c r="L585" s="84">
        <v>21473252</v>
      </c>
      <c r="M585" s="84">
        <v>171786016</v>
      </c>
    </row>
    <row r="586" spans="3:13" hidden="1" x14ac:dyDescent="0.25">
      <c r="C586" t="s">
        <v>64</v>
      </c>
      <c r="D586" t="s">
        <v>120</v>
      </c>
      <c r="E586" t="s">
        <v>63</v>
      </c>
      <c r="F586" t="s">
        <v>25</v>
      </c>
      <c r="G586">
        <v>9</v>
      </c>
      <c r="H586" t="s">
        <v>12</v>
      </c>
      <c r="I586" t="s">
        <v>121</v>
      </c>
      <c r="J586" t="s">
        <v>122</v>
      </c>
      <c r="K586">
        <v>0</v>
      </c>
      <c r="L586" s="84">
        <v>1085480</v>
      </c>
      <c r="M586" s="84">
        <v>9769320</v>
      </c>
    </row>
    <row r="587" spans="3:13" hidden="1" x14ac:dyDescent="0.25">
      <c r="C587" t="s">
        <v>119</v>
      </c>
      <c r="D587" t="s">
        <v>120</v>
      </c>
      <c r="E587" t="s">
        <v>60</v>
      </c>
      <c r="F587" t="s">
        <v>24</v>
      </c>
      <c r="G587">
        <v>11</v>
      </c>
      <c r="H587" t="s">
        <v>76</v>
      </c>
      <c r="I587" t="s">
        <v>121</v>
      </c>
      <c r="J587" t="s">
        <v>122</v>
      </c>
      <c r="K587">
        <v>0</v>
      </c>
      <c r="L587" s="84">
        <v>-1479</v>
      </c>
      <c r="M587" s="84">
        <v>0</v>
      </c>
    </row>
    <row r="588" spans="3:13" hidden="1" x14ac:dyDescent="0.25">
      <c r="C588" t="s">
        <v>65</v>
      </c>
      <c r="D588" t="s">
        <v>125</v>
      </c>
      <c r="E588" t="s">
        <v>63</v>
      </c>
      <c r="F588" t="s">
        <v>25</v>
      </c>
      <c r="G588">
        <v>15</v>
      </c>
      <c r="I588" t="s">
        <v>121</v>
      </c>
      <c r="J588" t="s">
        <v>122</v>
      </c>
      <c r="K588">
        <v>0</v>
      </c>
      <c r="L588" s="84">
        <v>108393</v>
      </c>
      <c r="M588" s="84">
        <v>1625895</v>
      </c>
    </row>
    <row r="589" spans="3:13" hidden="1" x14ac:dyDescent="0.25">
      <c r="C589" t="s">
        <v>64</v>
      </c>
      <c r="D589" t="s">
        <v>120</v>
      </c>
      <c r="E589" t="s">
        <v>63</v>
      </c>
      <c r="F589" t="s">
        <v>124</v>
      </c>
      <c r="G589">
        <v>-4</v>
      </c>
      <c r="H589" t="s">
        <v>69</v>
      </c>
      <c r="I589" t="s">
        <v>121</v>
      </c>
      <c r="J589" t="s">
        <v>122</v>
      </c>
      <c r="K589">
        <v>0</v>
      </c>
      <c r="L589" s="84">
        <v>21</v>
      </c>
      <c r="M589" s="84">
        <v>0</v>
      </c>
    </row>
    <row r="590" spans="3:13" hidden="1" x14ac:dyDescent="0.25">
      <c r="C590" t="s">
        <v>119</v>
      </c>
      <c r="D590" t="s">
        <v>120</v>
      </c>
      <c r="E590" t="s">
        <v>63</v>
      </c>
      <c r="F590" t="s">
        <v>124</v>
      </c>
      <c r="G590">
        <v>7</v>
      </c>
      <c r="H590" t="s">
        <v>61</v>
      </c>
      <c r="I590" t="s">
        <v>121</v>
      </c>
      <c r="J590" t="s">
        <v>122</v>
      </c>
      <c r="K590">
        <v>0</v>
      </c>
      <c r="L590" s="84">
        <v>2993772</v>
      </c>
      <c r="M590" s="84">
        <v>20956404</v>
      </c>
    </row>
    <row r="591" spans="3:13" hidden="1" x14ac:dyDescent="0.25">
      <c r="C591" t="s">
        <v>119</v>
      </c>
      <c r="D591" t="s">
        <v>120</v>
      </c>
      <c r="E591" t="s">
        <v>63</v>
      </c>
      <c r="F591" t="s">
        <v>124</v>
      </c>
      <c r="G591">
        <v>-1</v>
      </c>
      <c r="H591" t="s">
        <v>79</v>
      </c>
      <c r="I591" t="s">
        <v>121</v>
      </c>
      <c r="J591" t="s">
        <v>122</v>
      </c>
      <c r="K591">
        <v>0</v>
      </c>
      <c r="L591" s="84">
        <v>25044</v>
      </c>
      <c r="M591" s="84">
        <v>0</v>
      </c>
    </row>
    <row r="592" spans="3:13" hidden="1" x14ac:dyDescent="0.25">
      <c r="C592" t="s">
        <v>119</v>
      </c>
      <c r="D592" t="s">
        <v>120</v>
      </c>
      <c r="E592" t="s">
        <v>63</v>
      </c>
      <c r="F592" t="s">
        <v>124</v>
      </c>
      <c r="G592">
        <v>3</v>
      </c>
      <c r="H592" t="s">
        <v>12</v>
      </c>
      <c r="I592" t="s">
        <v>62</v>
      </c>
      <c r="J592" t="s">
        <v>66</v>
      </c>
      <c r="K592">
        <v>1</v>
      </c>
      <c r="L592" s="84">
        <v>311359</v>
      </c>
      <c r="M592" s="84">
        <v>934077</v>
      </c>
    </row>
    <row r="593" spans="3:13" hidden="1" x14ac:dyDescent="0.25">
      <c r="C593" t="s">
        <v>65</v>
      </c>
      <c r="D593" t="s">
        <v>120</v>
      </c>
      <c r="E593" t="s">
        <v>60</v>
      </c>
      <c r="F593" t="s">
        <v>25</v>
      </c>
      <c r="G593">
        <v>8</v>
      </c>
      <c r="H593" t="s">
        <v>14</v>
      </c>
      <c r="I593" t="s">
        <v>121</v>
      </c>
      <c r="J593" t="s">
        <v>122</v>
      </c>
      <c r="K593">
        <v>0</v>
      </c>
      <c r="L593" s="84">
        <v>-572983</v>
      </c>
      <c r="M593" s="84">
        <v>0</v>
      </c>
    </row>
    <row r="594" spans="3:13" hidden="1" x14ac:dyDescent="0.25">
      <c r="C594" t="s">
        <v>119</v>
      </c>
      <c r="D594" t="s">
        <v>120</v>
      </c>
      <c r="E594" t="s">
        <v>60</v>
      </c>
      <c r="F594" t="s">
        <v>25</v>
      </c>
      <c r="G594">
        <v>6</v>
      </c>
      <c r="H594" t="s">
        <v>61</v>
      </c>
      <c r="I594" t="s">
        <v>121</v>
      </c>
      <c r="J594" t="s">
        <v>122</v>
      </c>
      <c r="K594">
        <v>0</v>
      </c>
      <c r="L594" s="84">
        <v>-4792</v>
      </c>
      <c r="M594" s="84">
        <v>0</v>
      </c>
    </row>
    <row r="595" spans="3:13" hidden="1" x14ac:dyDescent="0.25">
      <c r="C595" t="s">
        <v>65</v>
      </c>
      <c r="D595" t="s">
        <v>120</v>
      </c>
      <c r="E595" t="s">
        <v>60</v>
      </c>
      <c r="F595" t="s">
        <v>124</v>
      </c>
      <c r="G595">
        <v>5</v>
      </c>
      <c r="H595" t="s">
        <v>76</v>
      </c>
      <c r="I595" t="s">
        <v>121</v>
      </c>
      <c r="J595" t="s">
        <v>122</v>
      </c>
      <c r="K595">
        <v>0</v>
      </c>
      <c r="L595" s="84">
        <v>-2528</v>
      </c>
      <c r="M595" s="84">
        <v>0</v>
      </c>
    </row>
    <row r="596" spans="3:13" hidden="1" x14ac:dyDescent="0.25">
      <c r="C596" t="s">
        <v>64</v>
      </c>
      <c r="D596" t="s">
        <v>120</v>
      </c>
      <c r="E596" t="s">
        <v>63</v>
      </c>
      <c r="F596" t="s">
        <v>124</v>
      </c>
      <c r="G596">
        <v>7</v>
      </c>
      <c r="H596" t="s">
        <v>14</v>
      </c>
      <c r="I596" t="s">
        <v>121</v>
      </c>
      <c r="J596" t="s">
        <v>66</v>
      </c>
      <c r="K596">
        <v>1</v>
      </c>
      <c r="L596" s="84">
        <v>3181354</v>
      </c>
      <c r="M596" s="84">
        <v>22269478</v>
      </c>
    </row>
    <row r="597" spans="3:13" hidden="1" x14ac:dyDescent="0.25">
      <c r="C597" t="s">
        <v>64</v>
      </c>
      <c r="D597" t="s">
        <v>120</v>
      </c>
      <c r="E597" t="s">
        <v>60</v>
      </c>
      <c r="F597" t="s">
        <v>123</v>
      </c>
      <c r="G597">
        <v>4</v>
      </c>
      <c r="H597" t="s">
        <v>68</v>
      </c>
      <c r="I597" t="s">
        <v>121</v>
      </c>
      <c r="J597" t="s">
        <v>122</v>
      </c>
      <c r="K597">
        <v>0</v>
      </c>
      <c r="L597" s="84">
        <v>-34514</v>
      </c>
      <c r="M597" s="84">
        <v>0</v>
      </c>
    </row>
    <row r="598" spans="3:13" hidden="1" x14ac:dyDescent="0.25">
      <c r="C598" t="s">
        <v>64</v>
      </c>
      <c r="D598" t="s">
        <v>120</v>
      </c>
      <c r="E598" t="s">
        <v>60</v>
      </c>
      <c r="F598" t="s">
        <v>123</v>
      </c>
      <c r="G598">
        <v>1</v>
      </c>
      <c r="H598" t="s">
        <v>17</v>
      </c>
      <c r="I598" t="s">
        <v>121</v>
      </c>
      <c r="J598" t="s">
        <v>66</v>
      </c>
      <c r="K598">
        <v>1</v>
      </c>
      <c r="L598" s="84">
        <v>-709</v>
      </c>
      <c r="M598" s="84">
        <v>0</v>
      </c>
    </row>
    <row r="599" spans="3:13" hidden="1" x14ac:dyDescent="0.25">
      <c r="C599" t="s">
        <v>119</v>
      </c>
      <c r="D599" t="s">
        <v>120</v>
      </c>
      <c r="E599" t="s">
        <v>60</v>
      </c>
      <c r="F599" t="s">
        <v>25</v>
      </c>
      <c r="G599">
        <v>-1</v>
      </c>
      <c r="H599" t="s">
        <v>12</v>
      </c>
      <c r="I599" t="s">
        <v>121</v>
      </c>
      <c r="J599" t="s">
        <v>66</v>
      </c>
      <c r="K599">
        <v>1</v>
      </c>
      <c r="L599" s="84">
        <v>-131</v>
      </c>
      <c r="M599" s="84">
        <v>0</v>
      </c>
    </row>
    <row r="600" spans="3:13" hidden="1" x14ac:dyDescent="0.25">
      <c r="C600" t="s">
        <v>64</v>
      </c>
      <c r="D600" t="s">
        <v>120</v>
      </c>
      <c r="E600" t="s">
        <v>60</v>
      </c>
      <c r="F600" t="s">
        <v>124</v>
      </c>
      <c r="G600">
        <v>-4</v>
      </c>
      <c r="H600" t="s">
        <v>18</v>
      </c>
      <c r="I600" t="s">
        <v>121</v>
      </c>
      <c r="J600" t="s">
        <v>122</v>
      </c>
      <c r="K600">
        <v>0</v>
      </c>
      <c r="L600" s="84">
        <v>-80478</v>
      </c>
      <c r="M600" s="84">
        <v>0</v>
      </c>
    </row>
    <row r="601" spans="3:13" hidden="1" x14ac:dyDescent="0.25">
      <c r="C601" t="s">
        <v>119</v>
      </c>
      <c r="D601" t="s">
        <v>120</v>
      </c>
      <c r="E601" t="s">
        <v>63</v>
      </c>
      <c r="F601" t="s">
        <v>24</v>
      </c>
      <c r="G601">
        <v>10</v>
      </c>
      <c r="H601" t="s">
        <v>68</v>
      </c>
      <c r="I601" t="s">
        <v>121</v>
      </c>
      <c r="J601" t="s">
        <v>122</v>
      </c>
      <c r="K601">
        <v>0</v>
      </c>
      <c r="L601" s="84">
        <v>15801264</v>
      </c>
      <c r="M601" s="84">
        <v>158012640</v>
      </c>
    </row>
    <row r="602" spans="3:13" hidden="1" x14ac:dyDescent="0.25">
      <c r="C602" t="s">
        <v>119</v>
      </c>
      <c r="D602" t="s">
        <v>120</v>
      </c>
      <c r="E602" t="s">
        <v>60</v>
      </c>
      <c r="F602" t="s">
        <v>25</v>
      </c>
      <c r="G602">
        <v>17</v>
      </c>
      <c r="H602" t="s">
        <v>61</v>
      </c>
      <c r="I602" t="s">
        <v>121</v>
      </c>
      <c r="J602" t="s">
        <v>122</v>
      </c>
      <c r="K602">
        <v>0</v>
      </c>
      <c r="L602" s="84">
        <v>-2287</v>
      </c>
      <c r="M602" s="84">
        <v>0</v>
      </c>
    </row>
    <row r="603" spans="3:13" hidden="1" x14ac:dyDescent="0.25">
      <c r="C603" t="s">
        <v>119</v>
      </c>
      <c r="D603" t="s">
        <v>120</v>
      </c>
      <c r="E603" t="s">
        <v>60</v>
      </c>
      <c r="F603" t="s">
        <v>123</v>
      </c>
      <c r="G603">
        <v>3</v>
      </c>
      <c r="H603" t="s">
        <v>76</v>
      </c>
      <c r="I603" t="s">
        <v>121</v>
      </c>
      <c r="J603" t="s">
        <v>122</v>
      </c>
      <c r="K603">
        <v>0</v>
      </c>
      <c r="L603" s="84">
        <v>-2317</v>
      </c>
      <c r="M603" s="84">
        <v>0</v>
      </c>
    </row>
    <row r="604" spans="3:13" hidden="1" x14ac:dyDescent="0.25">
      <c r="C604" t="s">
        <v>119</v>
      </c>
      <c r="D604" t="s">
        <v>120</v>
      </c>
      <c r="E604" t="s">
        <v>63</v>
      </c>
      <c r="F604" t="s">
        <v>124</v>
      </c>
      <c r="G604">
        <v>-1</v>
      </c>
      <c r="H604" t="s">
        <v>14</v>
      </c>
      <c r="I604" t="s">
        <v>62</v>
      </c>
      <c r="J604" t="s">
        <v>66</v>
      </c>
      <c r="K604">
        <v>1</v>
      </c>
      <c r="L604" s="84">
        <v>1005367</v>
      </c>
      <c r="M604" s="84">
        <v>0</v>
      </c>
    </row>
    <row r="605" spans="3:13" hidden="1" x14ac:dyDescent="0.25">
      <c r="C605" t="s">
        <v>65</v>
      </c>
      <c r="D605" t="s">
        <v>120</v>
      </c>
      <c r="E605" t="s">
        <v>60</v>
      </c>
      <c r="F605" t="s">
        <v>124</v>
      </c>
      <c r="G605">
        <v>3</v>
      </c>
      <c r="H605" t="s">
        <v>16</v>
      </c>
      <c r="I605" t="s">
        <v>121</v>
      </c>
      <c r="J605" t="s">
        <v>122</v>
      </c>
      <c r="K605">
        <v>0</v>
      </c>
      <c r="L605" s="84">
        <v>-205374</v>
      </c>
      <c r="M605" s="84">
        <v>0</v>
      </c>
    </row>
    <row r="606" spans="3:13" hidden="1" x14ac:dyDescent="0.25">
      <c r="C606" t="s">
        <v>119</v>
      </c>
      <c r="D606" t="s">
        <v>125</v>
      </c>
      <c r="E606" t="s">
        <v>63</v>
      </c>
      <c r="F606" t="s">
        <v>24</v>
      </c>
      <c r="G606">
        <v>40</v>
      </c>
      <c r="I606" t="s">
        <v>121</v>
      </c>
      <c r="J606" t="s">
        <v>122</v>
      </c>
      <c r="K606">
        <v>0</v>
      </c>
      <c r="L606" s="84">
        <v>558923410</v>
      </c>
      <c r="M606" s="84">
        <v>22356936400</v>
      </c>
    </row>
    <row r="607" spans="3:13" hidden="1" x14ac:dyDescent="0.25">
      <c r="C607" t="s">
        <v>65</v>
      </c>
      <c r="D607" t="s">
        <v>120</v>
      </c>
      <c r="E607" t="s">
        <v>63</v>
      </c>
      <c r="F607" t="s">
        <v>124</v>
      </c>
      <c r="G607">
        <v>1</v>
      </c>
      <c r="H607" t="s">
        <v>17</v>
      </c>
      <c r="I607" t="s">
        <v>62</v>
      </c>
      <c r="J607" t="s">
        <v>122</v>
      </c>
      <c r="K607">
        <v>1</v>
      </c>
      <c r="L607" s="84">
        <v>86363</v>
      </c>
      <c r="M607" s="84">
        <v>86363</v>
      </c>
    </row>
    <row r="608" spans="3:13" hidden="1" x14ac:dyDescent="0.25">
      <c r="C608" t="s">
        <v>65</v>
      </c>
      <c r="D608" t="s">
        <v>120</v>
      </c>
      <c r="E608" t="s">
        <v>63</v>
      </c>
      <c r="F608" t="s">
        <v>124</v>
      </c>
      <c r="G608">
        <v>2</v>
      </c>
      <c r="H608" t="s">
        <v>70</v>
      </c>
      <c r="I608" t="s">
        <v>121</v>
      </c>
      <c r="J608" t="s">
        <v>122</v>
      </c>
      <c r="K608">
        <v>0</v>
      </c>
      <c r="L608" s="84">
        <v>249841</v>
      </c>
      <c r="M608" s="84">
        <v>499682</v>
      </c>
    </row>
    <row r="609" spans="3:13" hidden="1" x14ac:dyDescent="0.25">
      <c r="C609" t="s">
        <v>119</v>
      </c>
      <c r="D609" t="s">
        <v>120</v>
      </c>
      <c r="E609" t="s">
        <v>63</v>
      </c>
      <c r="F609" t="s">
        <v>25</v>
      </c>
      <c r="G609">
        <v>10</v>
      </c>
      <c r="H609" t="s">
        <v>76</v>
      </c>
      <c r="I609" t="s">
        <v>121</v>
      </c>
      <c r="J609" t="s">
        <v>122</v>
      </c>
      <c r="K609">
        <v>0</v>
      </c>
      <c r="L609" s="84">
        <v>126269</v>
      </c>
      <c r="M609" s="84">
        <v>1262690</v>
      </c>
    </row>
    <row r="610" spans="3:13" hidden="1" x14ac:dyDescent="0.25">
      <c r="C610" t="s">
        <v>119</v>
      </c>
      <c r="D610" t="s">
        <v>120</v>
      </c>
      <c r="E610" t="s">
        <v>60</v>
      </c>
      <c r="F610" t="s">
        <v>25</v>
      </c>
      <c r="G610">
        <v>12</v>
      </c>
      <c r="H610" t="s">
        <v>18</v>
      </c>
      <c r="I610" t="s">
        <v>121</v>
      </c>
      <c r="J610" t="s">
        <v>66</v>
      </c>
      <c r="K610">
        <v>1</v>
      </c>
      <c r="L610" s="84">
        <v>-396</v>
      </c>
      <c r="M610" s="84">
        <v>0</v>
      </c>
    </row>
    <row r="611" spans="3:13" hidden="1" x14ac:dyDescent="0.25">
      <c r="C611" t="s">
        <v>64</v>
      </c>
      <c r="D611" t="s">
        <v>120</v>
      </c>
      <c r="E611" t="s">
        <v>60</v>
      </c>
      <c r="F611" t="s">
        <v>25</v>
      </c>
      <c r="G611">
        <v>8</v>
      </c>
      <c r="H611" t="s">
        <v>17</v>
      </c>
      <c r="I611" t="s">
        <v>121</v>
      </c>
      <c r="J611" t="s">
        <v>122</v>
      </c>
      <c r="K611">
        <v>0</v>
      </c>
      <c r="L611" s="84">
        <v>-10545</v>
      </c>
      <c r="M611" s="84">
        <v>0</v>
      </c>
    </row>
    <row r="612" spans="3:13" hidden="1" x14ac:dyDescent="0.25">
      <c r="C612" t="s">
        <v>119</v>
      </c>
      <c r="D612" t="s">
        <v>126</v>
      </c>
      <c r="E612" t="s">
        <v>60</v>
      </c>
      <c r="F612" t="s">
        <v>25</v>
      </c>
      <c r="G612">
        <v>14</v>
      </c>
      <c r="H612" t="s">
        <v>68</v>
      </c>
      <c r="I612" t="s">
        <v>121</v>
      </c>
      <c r="J612" t="s">
        <v>122</v>
      </c>
      <c r="K612">
        <v>0</v>
      </c>
      <c r="L612" s="84">
        <v>-12330</v>
      </c>
      <c r="M612" s="84">
        <v>0</v>
      </c>
    </row>
    <row r="613" spans="3:13" hidden="1" x14ac:dyDescent="0.25">
      <c r="C613" t="s">
        <v>65</v>
      </c>
      <c r="D613" t="s">
        <v>120</v>
      </c>
      <c r="E613" t="s">
        <v>63</v>
      </c>
      <c r="F613" t="s">
        <v>124</v>
      </c>
      <c r="G613">
        <v>1</v>
      </c>
      <c r="H613" t="s">
        <v>12</v>
      </c>
      <c r="I613" t="s">
        <v>121</v>
      </c>
      <c r="J613" t="s">
        <v>66</v>
      </c>
      <c r="K613">
        <v>1</v>
      </c>
      <c r="L613" s="84">
        <v>213576</v>
      </c>
      <c r="M613" s="84">
        <v>213576</v>
      </c>
    </row>
    <row r="614" spans="3:13" hidden="1" x14ac:dyDescent="0.25">
      <c r="C614" t="s">
        <v>65</v>
      </c>
      <c r="D614" t="s">
        <v>120</v>
      </c>
      <c r="E614" t="s">
        <v>60</v>
      </c>
      <c r="F614" t="s">
        <v>25</v>
      </c>
      <c r="G614">
        <v>-4</v>
      </c>
      <c r="H614" t="s">
        <v>69</v>
      </c>
      <c r="I614" t="s">
        <v>121</v>
      </c>
      <c r="J614" t="s">
        <v>122</v>
      </c>
      <c r="K614">
        <v>0</v>
      </c>
      <c r="L614" s="84">
        <v>-75308</v>
      </c>
      <c r="M614" s="84">
        <v>0</v>
      </c>
    </row>
    <row r="615" spans="3:13" hidden="1" x14ac:dyDescent="0.25">
      <c r="C615" t="s">
        <v>119</v>
      </c>
      <c r="D615" t="s">
        <v>125</v>
      </c>
      <c r="E615" t="s">
        <v>63</v>
      </c>
      <c r="F615" t="s">
        <v>24</v>
      </c>
      <c r="G615">
        <v>52</v>
      </c>
      <c r="I615" t="s">
        <v>121</v>
      </c>
      <c r="J615" t="s">
        <v>122</v>
      </c>
      <c r="K615">
        <v>0</v>
      </c>
      <c r="L615" s="84">
        <v>20798</v>
      </c>
      <c r="M615" s="84">
        <v>1081496</v>
      </c>
    </row>
    <row r="616" spans="3:13" hidden="1" x14ac:dyDescent="0.25">
      <c r="C616" t="s">
        <v>119</v>
      </c>
      <c r="D616" t="s">
        <v>120</v>
      </c>
      <c r="E616" t="s">
        <v>63</v>
      </c>
      <c r="F616" t="s">
        <v>25</v>
      </c>
      <c r="G616">
        <v>6</v>
      </c>
      <c r="H616" t="s">
        <v>67</v>
      </c>
      <c r="I616" t="s">
        <v>121</v>
      </c>
      <c r="J616" t="s">
        <v>122</v>
      </c>
      <c r="K616">
        <v>0</v>
      </c>
      <c r="L616" s="84">
        <v>3951723</v>
      </c>
      <c r="M616" s="84">
        <v>23710338</v>
      </c>
    </row>
    <row r="617" spans="3:13" hidden="1" x14ac:dyDescent="0.25">
      <c r="C617" t="s">
        <v>119</v>
      </c>
      <c r="D617" t="s">
        <v>120</v>
      </c>
      <c r="E617" t="s">
        <v>60</v>
      </c>
      <c r="F617" t="s">
        <v>123</v>
      </c>
      <c r="G617">
        <v>3</v>
      </c>
      <c r="H617" t="s">
        <v>71</v>
      </c>
      <c r="I617" t="s">
        <v>121</v>
      </c>
      <c r="J617" t="s">
        <v>122</v>
      </c>
      <c r="K617">
        <v>0</v>
      </c>
      <c r="L617" s="84">
        <v>-1530</v>
      </c>
      <c r="M617" s="84">
        <v>0</v>
      </c>
    </row>
    <row r="618" spans="3:13" hidden="1" x14ac:dyDescent="0.25">
      <c r="C618" t="s">
        <v>64</v>
      </c>
      <c r="D618" t="s">
        <v>120</v>
      </c>
      <c r="E618" t="s">
        <v>60</v>
      </c>
      <c r="F618" t="s">
        <v>124</v>
      </c>
      <c r="G618">
        <v>7</v>
      </c>
      <c r="H618" t="s">
        <v>69</v>
      </c>
      <c r="I618" t="s">
        <v>121</v>
      </c>
      <c r="J618" t="s">
        <v>122</v>
      </c>
      <c r="K618">
        <v>0</v>
      </c>
      <c r="L618" s="84">
        <v>-59414</v>
      </c>
      <c r="M618" s="84">
        <v>0</v>
      </c>
    </row>
    <row r="619" spans="3:13" hidden="1" x14ac:dyDescent="0.25">
      <c r="C619" t="s">
        <v>119</v>
      </c>
      <c r="D619" t="s">
        <v>120</v>
      </c>
      <c r="E619" t="s">
        <v>63</v>
      </c>
      <c r="F619" t="s">
        <v>124</v>
      </c>
      <c r="G619">
        <v>2</v>
      </c>
      <c r="H619" t="s">
        <v>13</v>
      </c>
      <c r="I619" t="s">
        <v>121</v>
      </c>
      <c r="J619" t="s">
        <v>122</v>
      </c>
      <c r="K619">
        <v>0</v>
      </c>
      <c r="L619" s="84">
        <v>522230</v>
      </c>
      <c r="M619" s="84">
        <v>1044460</v>
      </c>
    </row>
    <row r="620" spans="3:13" hidden="1" x14ac:dyDescent="0.25">
      <c r="C620" t="s">
        <v>64</v>
      </c>
      <c r="D620" t="s">
        <v>120</v>
      </c>
      <c r="E620" t="s">
        <v>60</v>
      </c>
      <c r="F620" t="s">
        <v>24</v>
      </c>
      <c r="G620">
        <v>3</v>
      </c>
      <c r="H620" t="s">
        <v>71</v>
      </c>
      <c r="I620" t="s">
        <v>121</v>
      </c>
      <c r="J620" t="s">
        <v>122</v>
      </c>
      <c r="K620">
        <v>0</v>
      </c>
      <c r="L620" s="84">
        <v>-2891</v>
      </c>
      <c r="M620" s="84">
        <v>0</v>
      </c>
    </row>
    <row r="621" spans="3:13" hidden="1" x14ac:dyDescent="0.25">
      <c r="C621" t="s">
        <v>119</v>
      </c>
      <c r="D621" t="s">
        <v>125</v>
      </c>
      <c r="E621" t="s">
        <v>60</v>
      </c>
      <c r="F621" t="s">
        <v>25</v>
      </c>
      <c r="G621">
        <v>4</v>
      </c>
      <c r="I621" t="s">
        <v>121</v>
      </c>
      <c r="J621" t="s">
        <v>122</v>
      </c>
      <c r="K621">
        <v>0</v>
      </c>
      <c r="L621" s="84">
        <v>-14381</v>
      </c>
      <c r="M621" s="84">
        <v>0</v>
      </c>
    </row>
    <row r="622" spans="3:13" hidden="1" x14ac:dyDescent="0.25">
      <c r="C622" t="s">
        <v>64</v>
      </c>
      <c r="D622" t="s">
        <v>120</v>
      </c>
      <c r="E622" t="s">
        <v>63</v>
      </c>
      <c r="F622" t="s">
        <v>124</v>
      </c>
      <c r="G622">
        <v>7</v>
      </c>
      <c r="H622" t="s">
        <v>12</v>
      </c>
      <c r="I622" t="s">
        <v>121</v>
      </c>
      <c r="J622" t="s">
        <v>66</v>
      </c>
      <c r="K622">
        <v>1</v>
      </c>
      <c r="L622" s="84">
        <v>7023021</v>
      </c>
      <c r="M622" s="84">
        <v>49161147</v>
      </c>
    </row>
    <row r="623" spans="3:13" hidden="1" x14ac:dyDescent="0.25">
      <c r="C623" t="s">
        <v>64</v>
      </c>
      <c r="D623" t="s">
        <v>120</v>
      </c>
      <c r="E623" t="s">
        <v>60</v>
      </c>
      <c r="F623" t="s">
        <v>124</v>
      </c>
      <c r="G623">
        <v>-1</v>
      </c>
      <c r="H623" t="s">
        <v>17</v>
      </c>
      <c r="I623" t="s">
        <v>121</v>
      </c>
      <c r="J623" t="s">
        <v>122</v>
      </c>
      <c r="K623">
        <v>0</v>
      </c>
      <c r="L623" s="84">
        <v>-1076403</v>
      </c>
      <c r="M623" s="84">
        <v>0</v>
      </c>
    </row>
    <row r="624" spans="3:13" hidden="1" x14ac:dyDescent="0.25">
      <c r="C624" t="s">
        <v>119</v>
      </c>
      <c r="D624" t="s">
        <v>120</v>
      </c>
      <c r="E624" t="s">
        <v>60</v>
      </c>
      <c r="F624" t="s">
        <v>25</v>
      </c>
      <c r="G624">
        <v>-1</v>
      </c>
      <c r="H624" t="s">
        <v>14</v>
      </c>
      <c r="I624" t="s">
        <v>121</v>
      </c>
      <c r="J624" t="s">
        <v>66</v>
      </c>
      <c r="K624">
        <v>1</v>
      </c>
      <c r="L624" s="84">
        <v>-7931</v>
      </c>
      <c r="M624" s="84">
        <v>0</v>
      </c>
    </row>
    <row r="625" spans="3:13" hidden="1" x14ac:dyDescent="0.25">
      <c r="C625" t="s">
        <v>65</v>
      </c>
      <c r="D625" t="s">
        <v>120</v>
      </c>
      <c r="E625" t="s">
        <v>63</v>
      </c>
      <c r="F625" t="s">
        <v>124</v>
      </c>
      <c r="G625">
        <v>1</v>
      </c>
      <c r="H625" t="s">
        <v>14</v>
      </c>
      <c r="I625" t="s">
        <v>121</v>
      </c>
      <c r="J625" t="s">
        <v>66</v>
      </c>
      <c r="K625">
        <v>1</v>
      </c>
      <c r="L625" s="84">
        <v>1648655</v>
      </c>
      <c r="M625" s="84">
        <v>1648655</v>
      </c>
    </row>
    <row r="626" spans="3:13" hidden="1" x14ac:dyDescent="0.25">
      <c r="C626" t="s">
        <v>119</v>
      </c>
      <c r="D626" t="s">
        <v>120</v>
      </c>
      <c r="E626" t="s">
        <v>63</v>
      </c>
      <c r="F626" t="s">
        <v>124</v>
      </c>
      <c r="G626">
        <v>-1</v>
      </c>
      <c r="H626" t="s">
        <v>12</v>
      </c>
      <c r="I626" t="s">
        <v>62</v>
      </c>
      <c r="J626" t="s">
        <v>66</v>
      </c>
      <c r="K626">
        <v>1</v>
      </c>
      <c r="L626" s="84">
        <v>625603</v>
      </c>
      <c r="M626" s="84">
        <v>0</v>
      </c>
    </row>
    <row r="627" spans="3:13" hidden="1" x14ac:dyDescent="0.25">
      <c r="C627" t="s">
        <v>119</v>
      </c>
      <c r="D627" t="s">
        <v>120</v>
      </c>
      <c r="E627" t="s">
        <v>60</v>
      </c>
      <c r="F627" t="s">
        <v>123</v>
      </c>
      <c r="G627">
        <v>-4</v>
      </c>
      <c r="H627" t="s">
        <v>17</v>
      </c>
      <c r="I627" t="s">
        <v>121</v>
      </c>
      <c r="J627" t="s">
        <v>122</v>
      </c>
      <c r="K627">
        <v>0</v>
      </c>
      <c r="L627" s="84">
        <v>-2</v>
      </c>
      <c r="M627" s="84">
        <v>0</v>
      </c>
    </row>
    <row r="628" spans="3:13" hidden="1" x14ac:dyDescent="0.25">
      <c r="C628" t="s">
        <v>119</v>
      </c>
      <c r="D628" t="s">
        <v>120</v>
      </c>
      <c r="E628" t="s">
        <v>60</v>
      </c>
      <c r="F628" t="s">
        <v>25</v>
      </c>
      <c r="G628">
        <v>-1</v>
      </c>
      <c r="H628" t="s">
        <v>71</v>
      </c>
      <c r="I628" t="s">
        <v>121</v>
      </c>
      <c r="J628" t="s">
        <v>122</v>
      </c>
      <c r="K628">
        <v>0</v>
      </c>
      <c r="L628" s="84">
        <v>-1713</v>
      </c>
      <c r="M628" s="84">
        <v>0</v>
      </c>
    </row>
    <row r="629" spans="3:13" hidden="1" x14ac:dyDescent="0.25">
      <c r="C629" t="s">
        <v>119</v>
      </c>
      <c r="D629" t="s">
        <v>120</v>
      </c>
      <c r="E629" t="s">
        <v>60</v>
      </c>
      <c r="F629" t="s">
        <v>123</v>
      </c>
      <c r="G629">
        <v>0</v>
      </c>
      <c r="H629" t="s">
        <v>13</v>
      </c>
      <c r="I629" t="s">
        <v>121</v>
      </c>
      <c r="J629" t="s">
        <v>122</v>
      </c>
      <c r="K629">
        <v>0</v>
      </c>
      <c r="L629" s="84">
        <v>-465</v>
      </c>
      <c r="M629" s="84">
        <v>0</v>
      </c>
    </row>
    <row r="630" spans="3:13" hidden="1" x14ac:dyDescent="0.25">
      <c r="C630" t="s">
        <v>64</v>
      </c>
      <c r="D630" t="s">
        <v>120</v>
      </c>
      <c r="E630" t="s">
        <v>60</v>
      </c>
      <c r="F630" t="s">
        <v>25</v>
      </c>
      <c r="G630">
        <v>-4</v>
      </c>
      <c r="H630" t="s">
        <v>68</v>
      </c>
      <c r="I630" t="s">
        <v>121</v>
      </c>
      <c r="J630" t="s">
        <v>122</v>
      </c>
      <c r="K630">
        <v>0</v>
      </c>
      <c r="L630" s="84">
        <v>-5</v>
      </c>
      <c r="M630" s="84">
        <v>0</v>
      </c>
    </row>
    <row r="631" spans="3:13" hidden="1" x14ac:dyDescent="0.25">
      <c r="C631" t="s">
        <v>119</v>
      </c>
      <c r="D631" t="s">
        <v>120</v>
      </c>
      <c r="E631" t="s">
        <v>60</v>
      </c>
      <c r="F631" t="s">
        <v>124</v>
      </c>
      <c r="G631">
        <v>3</v>
      </c>
      <c r="H631" t="s">
        <v>16</v>
      </c>
      <c r="I631" t="s">
        <v>121</v>
      </c>
      <c r="J631" t="s">
        <v>122</v>
      </c>
      <c r="K631">
        <v>0</v>
      </c>
      <c r="L631" s="84">
        <v>-11815</v>
      </c>
      <c r="M631" s="84">
        <v>0</v>
      </c>
    </row>
    <row r="632" spans="3:13" hidden="1" x14ac:dyDescent="0.25">
      <c r="C632" t="s">
        <v>119</v>
      </c>
      <c r="D632" t="s">
        <v>127</v>
      </c>
      <c r="E632" t="s">
        <v>63</v>
      </c>
      <c r="F632" t="s">
        <v>25</v>
      </c>
      <c r="G632">
        <v>4</v>
      </c>
      <c r="H632" t="s">
        <v>77</v>
      </c>
      <c r="I632" t="s">
        <v>121</v>
      </c>
      <c r="J632" t="s">
        <v>122</v>
      </c>
      <c r="K632">
        <v>0</v>
      </c>
      <c r="L632" s="84">
        <v>35090</v>
      </c>
      <c r="M632" s="84">
        <v>140360</v>
      </c>
    </row>
    <row r="633" spans="3:13" hidden="1" x14ac:dyDescent="0.25">
      <c r="C633" t="s">
        <v>119</v>
      </c>
      <c r="D633" t="s">
        <v>120</v>
      </c>
      <c r="E633" t="s">
        <v>60</v>
      </c>
      <c r="G633">
        <v>-1</v>
      </c>
      <c r="H633" t="s">
        <v>73</v>
      </c>
      <c r="I633" t="s">
        <v>121</v>
      </c>
      <c r="J633" t="s">
        <v>122</v>
      </c>
      <c r="K633">
        <v>0</v>
      </c>
      <c r="L633" s="84">
        <v>47</v>
      </c>
      <c r="M633" s="84">
        <v>0</v>
      </c>
    </row>
    <row r="634" spans="3:13" hidden="1" x14ac:dyDescent="0.25">
      <c r="C634" t="s">
        <v>119</v>
      </c>
      <c r="D634" t="s">
        <v>120</v>
      </c>
      <c r="E634" t="s">
        <v>63</v>
      </c>
      <c r="F634" t="s">
        <v>123</v>
      </c>
      <c r="G634">
        <v>1</v>
      </c>
      <c r="H634" t="s">
        <v>68</v>
      </c>
      <c r="I634" t="s">
        <v>121</v>
      </c>
      <c r="J634" t="s">
        <v>122</v>
      </c>
      <c r="K634">
        <v>0</v>
      </c>
      <c r="L634" s="84">
        <v>5980549</v>
      </c>
      <c r="M634" s="84">
        <v>5980549</v>
      </c>
    </row>
    <row r="635" spans="3:13" hidden="1" x14ac:dyDescent="0.25">
      <c r="C635" t="s">
        <v>64</v>
      </c>
      <c r="D635" t="s">
        <v>120</v>
      </c>
      <c r="E635" t="s">
        <v>63</v>
      </c>
      <c r="F635" t="s">
        <v>24</v>
      </c>
      <c r="G635">
        <v>0</v>
      </c>
      <c r="H635" t="s">
        <v>68</v>
      </c>
      <c r="I635" t="s">
        <v>121</v>
      </c>
      <c r="J635" t="s">
        <v>122</v>
      </c>
      <c r="K635">
        <v>0</v>
      </c>
      <c r="L635" s="84">
        <v>29133</v>
      </c>
      <c r="M635" s="84">
        <v>0</v>
      </c>
    </row>
    <row r="636" spans="3:13" hidden="1" x14ac:dyDescent="0.25">
      <c r="C636" t="s">
        <v>64</v>
      </c>
      <c r="D636" t="s">
        <v>120</v>
      </c>
      <c r="E636" t="s">
        <v>60</v>
      </c>
      <c r="F636" t="s">
        <v>123</v>
      </c>
      <c r="G636">
        <v>-4</v>
      </c>
      <c r="H636" t="s">
        <v>17</v>
      </c>
      <c r="I636" t="s">
        <v>121</v>
      </c>
      <c r="J636" t="s">
        <v>122</v>
      </c>
      <c r="K636">
        <v>0</v>
      </c>
      <c r="L636" s="84">
        <v>-63</v>
      </c>
      <c r="M636" s="84">
        <v>0</v>
      </c>
    </row>
    <row r="637" spans="3:13" hidden="1" x14ac:dyDescent="0.25">
      <c r="C637" t="s">
        <v>64</v>
      </c>
      <c r="D637" t="s">
        <v>120</v>
      </c>
      <c r="E637" t="s">
        <v>60</v>
      </c>
      <c r="F637" t="s">
        <v>124</v>
      </c>
      <c r="G637">
        <v>5</v>
      </c>
      <c r="H637" t="s">
        <v>17</v>
      </c>
      <c r="I637" t="s">
        <v>121</v>
      </c>
      <c r="J637" t="s">
        <v>66</v>
      </c>
      <c r="K637">
        <v>1</v>
      </c>
      <c r="L637" s="84">
        <v>-2444</v>
      </c>
      <c r="M637" s="84">
        <v>0</v>
      </c>
    </row>
    <row r="638" spans="3:13" hidden="1" x14ac:dyDescent="0.25">
      <c r="C638" t="s">
        <v>119</v>
      </c>
      <c r="D638" t="s">
        <v>120</v>
      </c>
      <c r="E638" t="s">
        <v>63</v>
      </c>
      <c r="F638" t="s">
        <v>124</v>
      </c>
      <c r="G638">
        <v>3</v>
      </c>
      <c r="H638" t="s">
        <v>14</v>
      </c>
      <c r="I638" t="s">
        <v>62</v>
      </c>
      <c r="J638" t="s">
        <v>66</v>
      </c>
      <c r="K638">
        <v>1</v>
      </c>
      <c r="L638" s="84">
        <v>396170</v>
      </c>
      <c r="M638" s="84">
        <v>1188510</v>
      </c>
    </row>
    <row r="639" spans="3:13" hidden="1" x14ac:dyDescent="0.25">
      <c r="C639" t="s">
        <v>119</v>
      </c>
      <c r="D639" t="s">
        <v>120</v>
      </c>
      <c r="E639" t="s">
        <v>60</v>
      </c>
      <c r="F639" t="s">
        <v>124</v>
      </c>
      <c r="G639">
        <v>5</v>
      </c>
      <c r="H639" t="s">
        <v>76</v>
      </c>
      <c r="I639" t="s">
        <v>121</v>
      </c>
      <c r="J639" t="s">
        <v>122</v>
      </c>
      <c r="K639">
        <v>0</v>
      </c>
      <c r="L639" s="84">
        <v>-12237</v>
      </c>
      <c r="M639" s="84">
        <v>0</v>
      </c>
    </row>
    <row r="640" spans="3:13" hidden="1" x14ac:dyDescent="0.25">
      <c r="C640" t="s">
        <v>65</v>
      </c>
      <c r="D640" t="s">
        <v>120</v>
      </c>
      <c r="E640" t="s">
        <v>60</v>
      </c>
      <c r="F640" t="s">
        <v>25</v>
      </c>
      <c r="G640">
        <v>1</v>
      </c>
      <c r="H640" t="s">
        <v>17</v>
      </c>
      <c r="I640" t="s">
        <v>121</v>
      </c>
      <c r="J640" t="s">
        <v>122</v>
      </c>
      <c r="K640">
        <v>0</v>
      </c>
      <c r="L640" s="84">
        <v>-27541</v>
      </c>
      <c r="M640" s="84">
        <v>0</v>
      </c>
    </row>
    <row r="641" spans="3:13" hidden="1" x14ac:dyDescent="0.25">
      <c r="C641" t="s">
        <v>119</v>
      </c>
      <c r="D641" t="s">
        <v>120</v>
      </c>
      <c r="E641" t="s">
        <v>60</v>
      </c>
      <c r="F641" t="s">
        <v>124</v>
      </c>
      <c r="G641">
        <v>10</v>
      </c>
      <c r="H641" t="s">
        <v>69</v>
      </c>
      <c r="I641" t="s">
        <v>121</v>
      </c>
      <c r="J641" t="s">
        <v>122</v>
      </c>
      <c r="K641">
        <v>0</v>
      </c>
      <c r="L641" s="84">
        <v>-3547</v>
      </c>
      <c r="M641" s="84">
        <v>0</v>
      </c>
    </row>
    <row r="642" spans="3:13" hidden="1" x14ac:dyDescent="0.25">
      <c r="C642" t="s">
        <v>64</v>
      </c>
      <c r="D642" t="s">
        <v>120</v>
      </c>
      <c r="E642" t="s">
        <v>63</v>
      </c>
      <c r="F642" t="s">
        <v>25</v>
      </c>
      <c r="G642">
        <v>9</v>
      </c>
      <c r="H642" t="s">
        <v>14</v>
      </c>
      <c r="I642" t="s">
        <v>121</v>
      </c>
      <c r="J642" t="s">
        <v>122</v>
      </c>
      <c r="K642">
        <v>0</v>
      </c>
      <c r="L642" s="84">
        <v>1983479</v>
      </c>
      <c r="M642" s="84">
        <v>17851311</v>
      </c>
    </row>
    <row r="643" spans="3:13" hidden="1" x14ac:dyDescent="0.25">
      <c r="C643" t="s">
        <v>119</v>
      </c>
      <c r="D643" t="s">
        <v>120</v>
      </c>
      <c r="E643" t="s">
        <v>63</v>
      </c>
      <c r="F643" t="s">
        <v>24</v>
      </c>
      <c r="G643">
        <v>16</v>
      </c>
      <c r="H643" t="s">
        <v>68</v>
      </c>
      <c r="I643" t="s">
        <v>121</v>
      </c>
      <c r="J643" t="s">
        <v>122</v>
      </c>
      <c r="K643">
        <v>0</v>
      </c>
      <c r="L643" s="84">
        <v>942212</v>
      </c>
      <c r="M643" s="84">
        <v>15075392</v>
      </c>
    </row>
    <row r="644" spans="3:13" x14ac:dyDescent="0.25">
      <c r="C644" t="s">
        <v>64</v>
      </c>
      <c r="D644" t="s">
        <v>120</v>
      </c>
      <c r="E644" t="s">
        <v>63</v>
      </c>
      <c r="F644" t="s">
        <v>25</v>
      </c>
      <c r="G644">
        <v>9</v>
      </c>
      <c r="H644" t="s">
        <v>14</v>
      </c>
      <c r="I644" t="s">
        <v>121</v>
      </c>
      <c r="J644" t="s">
        <v>66</v>
      </c>
      <c r="K644">
        <v>1</v>
      </c>
      <c r="L644" s="84">
        <v>297268</v>
      </c>
      <c r="M644" s="84">
        <v>2675412</v>
      </c>
    </row>
    <row r="645" spans="3:13" hidden="1" x14ac:dyDescent="0.25">
      <c r="C645" t="s">
        <v>119</v>
      </c>
      <c r="D645" t="s">
        <v>120</v>
      </c>
      <c r="E645" t="s">
        <v>63</v>
      </c>
      <c r="F645" t="s">
        <v>124</v>
      </c>
      <c r="G645">
        <v>10</v>
      </c>
      <c r="H645" t="s">
        <v>12</v>
      </c>
      <c r="I645" t="s">
        <v>121</v>
      </c>
      <c r="J645" t="s">
        <v>122</v>
      </c>
      <c r="K645">
        <v>0</v>
      </c>
      <c r="L645" s="84">
        <v>1164291</v>
      </c>
      <c r="M645" s="84">
        <v>11642910</v>
      </c>
    </row>
    <row r="646" spans="3:13" hidden="1" x14ac:dyDescent="0.25">
      <c r="C646" t="s">
        <v>119</v>
      </c>
      <c r="D646" t="s">
        <v>120</v>
      </c>
      <c r="E646" t="s">
        <v>60</v>
      </c>
      <c r="F646" t="s">
        <v>24</v>
      </c>
      <c r="G646">
        <v>11</v>
      </c>
      <c r="H646" t="s">
        <v>71</v>
      </c>
      <c r="I646" t="s">
        <v>121</v>
      </c>
      <c r="J646" t="s">
        <v>122</v>
      </c>
      <c r="K646">
        <v>0</v>
      </c>
      <c r="L646" s="84">
        <v>-702</v>
      </c>
      <c r="M646" s="84">
        <v>0</v>
      </c>
    </row>
    <row r="647" spans="3:13" hidden="1" x14ac:dyDescent="0.25">
      <c r="C647" t="s">
        <v>119</v>
      </c>
      <c r="D647" t="s">
        <v>125</v>
      </c>
      <c r="E647" t="s">
        <v>63</v>
      </c>
      <c r="F647" t="s">
        <v>25</v>
      </c>
      <c r="G647">
        <v>20</v>
      </c>
      <c r="I647" t="s">
        <v>121</v>
      </c>
      <c r="J647" t="s">
        <v>122</v>
      </c>
      <c r="K647">
        <v>0</v>
      </c>
      <c r="L647" s="84">
        <v>1360493</v>
      </c>
      <c r="M647" s="84">
        <v>27209860</v>
      </c>
    </row>
    <row r="648" spans="3:13" hidden="1" x14ac:dyDescent="0.25">
      <c r="C648" t="s">
        <v>64</v>
      </c>
      <c r="D648" t="s">
        <v>120</v>
      </c>
      <c r="E648" t="s">
        <v>63</v>
      </c>
      <c r="F648" t="s">
        <v>25</v>
      </c>
      <c r="G648">
        <v>11</v>
      </c>
      <c r="H648" t="s">
        <v>14</v>
      </c>
      <c r="I648" t="s">
        <v>121</v>
      </c>
      <c r="J648" t="s">
        <v>122</v>
      </c>
      <c r="K648">
        <v>0</v>
      </c>
      <c r="L648" s="84">
        <v>1995719</v>
      </c>
      <c r="M648" s="84">
        <v>21952909</v>
      </c>
    </row>
    <row r="649" spans="3:13" hidden="1" x14ac:dyDescent="0.25">
      <c r="C649" t="s">
        <v>119</v>
      </c>
      <c r="D649" t="s">
        <v>120</v>
      </c>
      <c r="E649" t="s">
        <v>63</v>
      </c>
      <c r="F649" t="s">
        <v>124</v>
      </c>
      <c r="G649">
        <v>15</v>
      </c>
      <c r="H649" t="s">
        <v>67</v>
      </c>
      <c r="I649" t="s">
        <v>121</v>
      </c>
      <c r="J649" t="s">
        <v>122</v>
      </c>
      <c r="K649">
        <v>0</v>
      </c>
      <c r="L649" s="84">
        <v>7322344</v>
      </c>
      <c r="M649" s="84">
        <v>109835160</v>
      </c>
    </row>
    <row r="650" spans="3:13" hidden="1" x14ac:dyDescent="0.25">
      <c r="C650" t="s">
        <v>65</v>
      </c>
      <c r="D650" t="s">
        <v>120</v>
      </c>
      <c r="E650" t="s">
        <v>63</v>
      </c>
      <c r="F650" t="s">
        <v>25</v>
      </c>
      <c r="G650">
        <v>1</v>
      </c>
      <c r="H650" t="s">
        <v>68</v>
      </c>
      <c r="I650" t="s">
        <v>121</v>
      </c>
      <c r="J650" t="s">
        <v>122</v>
      </c>
      <c r="K650">
        <v>0</v>
      </c>
      <c r="L650" s="84">
        <v>1694838</v>
      </c>
      <c r="M650" s="84">
        <v>1694838</v>
      </c>
    </row>
    <row r="651" spans="3:13" x14ac:dyDescent="0.25">
      <c r="C651" t="s">
        <v>64</v>
      </c>
      <c r="D651" t="s">
        <v>120</v>
      </c>
      <c r="E651" t="s">
        <v>63</v>
      </c>
      <c r="F651" t="s">
        <v>25</v>
      </c>
      <c r="G651">
        <v>11</v>
      </c>
      <c r="H651" t="s">
        <v>14</v>
      </c>
      <c r="I651" t="s">
        <v>121</v>
      </c>
      <c r="J651" t="s">
        <v>66</v>
      </c>
      <c r="K651">
        <v>1</v>
      </c>
      <c r="L651" s="84">
        <v>290768</v>
      </c>
      <c r="M651" s="84">
        <v>3198448</v>
      </c>
    </row>
    <row r="652" spans="3:13" hidden="1" x14ac:dyDescent="0.25">
      <c r="C652" t="s">
        <v>65</v>
      </c>
      <c r="D652" t="s">
        <v>120</v>
      </c>
      <c r="E652" t="s">
        <v>63</v>
      </c>
      <c r="F652" t="s">
        <v>124</v>
      </c>
      <c r="G652">
        <v>0</v>
      </c>
      <c r="H652" t="s">
        <v>74</v>
      </c>
      <c r="I652" t="s">
        <v>121</v>
      </c>
      <c r="J652" t="s">
        <v>122</v>
      </c>
      <c r="K652">
        <v>0</v>
      </c>
      <c r="L652" s="84">
        <v>18304</v>
      </c>
      <c r="M652" s="84">
        <v>0</v>
      </c>
    </row>
    <row r="653" spans="3:13" hidden="1" x14ac:dyDescent="0.25">
      <c r="C653" t="s">
        <v>65</v>
      </c>
      <c r="D653" t="s">
        <v>120</v>
      </c>
      <c r="E653" t="s">
        <v>63</v>
      </c>
      <c r="F653" t="s">
        <v>25</v>
      </c>
      <c r="G653">
        <v>8</v>
      </c>
      <c r="H653" t="s">
        <v>75</v>
      </c>
      <c r="I653" t="s">
        <v>121</v>
      </c>
      <c r="J653" t="s">
        <v>122</v>
      </c>
      <c r="K653">
        <v>0</v>
      </c>
      <c r="L653" s="84">
        <v>256246</v>
      </c>
      <c r="M653" s="84">
        <v>2049968</v>
      </c>
    </row>
    <row r="654" spans="3:13" hidden="1" x14ac:dyDescent="0.25">
      <c r="C654" t="s">
        <v>64</v>
      </c>
      <c r="D654" t="s">
        <v>120</v>
      </c>
      <c r="E654" t="s">
        <v>60</v>
      </c>
      <c r="F654" t="s">
        <v>25</v>
      </c>
      <c r="G654">
        <v>12</v>
      </c>
      <c r="H654" t="s">
        <v>69</v>
      </c>
      <c r="I654" t="s">
        <v>121</v>
      </c>
      <c r="J654" t="s">
        <v>122</v>
      </c>
      <c r="K654">
        <v>0</v>
      </c>
      <c r="L654" s="84">
        <v>-65835</v>
      </c>
      <c r="M654" s="84">
        <v>0</v>
      </c>
    </row>
    <row r="655" spans="3:13" hidden="1" x14ac:dyDescent="0.25">
      <c r="C655" t="s">
        <v>119</v>
      </c>
      <c r="D655" t="s">
        <v>120</v>
      </c>
      <c r="E655" t="s">
        <v>63</v>
      </c>
      <c r="F655" t="s">
        <v>25</v>
      </c>
      <c r="G655">
        <v>6</v>
      </c>
      <c r="H655" t="s">
        <v>73</v>
      </c>
      <c r="I655" t="s">
        <v>121</v>
      </c>
      <c r="J655" t="s">
        <v>122</v>
      </c>
      <c r="K655">
        <v>0</v>
      </c>
      <c r="L655" s="84">
        <v>154469</v>
      </c>
      <c r="M655" s="84">
        <v>926814</v>
      </c>
    </row>
    <row r="656" spans="3:13" hidden="1" x14ac:dyDescent="0.25">
      <c r="C656" t="s">
        <v>119</v>
      </c>
      <c r="D656" t="s">
        <v>120</v>
      </c>
      <c r="E656" t="s">
        <v>60</v>
      </c>
      <c r="F656" t="s">
        <v>123</v>
      </c>
      <c r="G656">
        <v>3</v>
      </c>
      <c r="H656" t="s">
        <v>61</v>
      </c>
      <c r="I656" t="s">
        <v>121</v>
      </c>
      <c r="J656" t="s">
        <v>122</v>
      </c>
      <c r="K656">
        <v>0</v>
      </c>
      <c r="L656" s="84">
        <v>-32345</v>
      </c>
      <c r="M656" s="84">
        <v>0</v>
      </c>
    </row>
    <row r="657" spans="3:13" hidden="1" x14ac:dyDescent="0.25">
      <c r="C657" t="s">
        <v>119</v>
      </c>
      <c r="D657" t="s">
        <v>120</v>
      </c>
      <c r="E657" t="s">
        <v>60</v>
      </c>
      <c r="F657" t="s">
        <v>124</v>
      </c>
      <c r="G657">
        <v>7</v>
      </c>
      <c r="H657" t="s">
        <v>14</v>
      </c>
      <c r="I657" t="s">
        <v>121</v>
      </c>
      <c r="J657" t="s">
        <v>66</v>
      </c>
      <c r="K657">
        <v>1</v>
      </c>
      <c r="L657" s="84">
        <v>-1274</v>
      </c>
      <c r="M657" s="84">
        <v>0</v>
      </c>
    </row>
    <row r="658" spans="3:13" hidden="1" x14ac:dyDescent="0.25">
      <c r="C658" t="s">
        <v>64</v>
      </c>
      <c r="D658" t="s">
        <v>120</v>
      </c>
      <c r="E658" t="s">
        <v>60</v>
      </c>
      <c r="F658" t="s">
        <v>123</v>
      </c>
      <c r="G658">
        <v>4</v>
      </c>
      <c r="H658" t="s">
        <v>71</v>
      </c>
      <c r="I658" t="s">
        <v>121</v>
      </c>
      <c r="J658" t="s">
        <v>122</v>
      </c>
      <c r="K658">
        <v>0</v>
      </c>
      <c r="L658" s="84">
        <v>-7813</v>
      </c>
      <c r="M658" s="84">
        <v>0</v>
      </c>
    </row>
    <row r="659" spans="3:13" hidden="1" x14ac:dyDescent="0.25">
      <c r="C659" t="s">
        <v>64</v>
      </c>
      <c r="D659" t="s">
        <v>120</v>
      </c>
      <c r="E659" t="s">
        <v>63</v>
      </c>
      <c r="F659" t="s">
        <v>123</v>
      </c>
      <c r="G659">
        <v>-4</v>
      </c>
      <c r="H659" t="s">
        <v>17</v>
      </c>
      <c r="I659" t="s">
        <v>121</v>
      </c>
      <c r="J659" t="s">
        <v>66</v>
      </c>
      <c r="K659">
        <v>1</v>
      </c>
      <c r="L659" s="84">
        <v>39</v>
      </c>
      <c r="M659" s="84">
        <v>0</v>
      </c>
    </row>
    <row r="660" spans="3:13" hidden="1" x14ac:dyDescent="0.25">
      <c r="C660" t="s">
        <v>64</v>
      </c>
      <c r="D660" t="s">
        <v>120</v>
      </c>
      <c r="E660" t="s">
        <v>63</v>
      </c>
      <c r="F660" t="s">
        <v>25</v>
      </c>
      <c r="G660">
        <v>12</v>
      </c>
      <c r="H660" t="s">
        <v>69</v>
      </c>
      <c r="I660" t="s">
        <v>121</v>
      </c>
      <c r="J660" t="s">
        <v>122</v>
      </c>
      <c r="K660">
        <v>0</v>
      </c>
      <c r="L660" s="84">
        <v>1805467</v>
      </c>
      <c r="M660" s="84">
        <v>21665604</v>
      </c>
    </row>
    <row r="661" spans="3:13" hidden="1" x14ac:dyDescent="0.25">
      <c r="C661" t="s">
        <v>119</v>
      </c>
      <c r="D661" t="s">
        <v>120</v>
      </c>
      <c r="E661" t="s">
        <v>60</v>
      </c>
      <c r="F661" t="s">
        <v>24</v>
      </c>
      <c r="G661">
        <v>13</v>
      </c>
      <c r="H661" t="s">
        <v>68</v>
      </c>
      <c r="I661" t="s">
        <v>121</v>
      </c>
      <c r="J661" t="s">
        <v>122</v>
      </c>
      <c r="K661">
        <v>0</v>
      </c>
      <c r="L661" s="84">
        <v>-3666</v>
      </c>
      <c r="M661" s="84">
        <v>0</v>
      </c>
    </row>
    <row r="662" spans="3:13" hidden="1" x14ac:dyDescent="0.25">
      <c r="C662" t="s">
        <v>64</v>
      </c>
      <c r="D662" t="s">
        <v>120</v>
      </c>
      <c r="E662" t="s">
        <v>60</v>
      </c>
      <c r="F662" t="s">
        <v>24</v>
      </c>
      <c r="G662">
        <v>11</v>
      </c>
      <c r="H662" t="s">
        <v>68</v>
      </c>
      <c r="I662" t="s">
        <v>121</v>
      </c>
      <c r="J662" t="s">
        <v>122</v>
      </c>
      <c r="K662">
        <v>0</v>
      </c>
      <c r="L662" s="84">
        <v>-319449</v>
      </c>
      <c r="M662" s="84">
        <v>0</v>
      </c>
    </row>
    <row r="663" spans="3:13" hidden="1" x14ac:dyDescent="0.25">
      <c r="C663" t="s">
        <v>119</v>
      </c>
      <c r="D663" t="s">
        <v>120</v>
      </c>
      <c r="E663" t="s">
        <v>60</v>
      </c>
      <c r="F663" t="s">
        <v>24</v>
      </c>
      <c r="G663">
        <v>3</v>
      </c>
      <c r="H663" t="s">
        <v>68</v>
      </c>
      <c r="I663" t="s">
        <v>121</v>
      </c>
      <c r="J663" t="s">
        <v>122</v>
      </c>
      <c r="K663">
        <v>0</v>
      </c>
      <c r="L663" s="84">
        <v>-13677</v>
      </c>
      <c r="M663" s="84">
        <v>0</v>
      </c>
    </row>
    <row r="664" spans="3:13" hidden="1" x14ac:dyDescent="0.25">
      <c r="C664" t="s">
        <v>64</v>
      </c>
      <c r="D664" t="s">
        <v>125</v>
      </c>
      <c r="E664" t="s">
        <v>63</v>
      </c>
      <c r="F664" t="s">
        <v>24</v>
      </c>
      <c r="G664">
        <v>54</v>
      </c>
      <c r="I664" t="s">
        <v>121</v>
      </c>
      <c r="J664" t="s">
        <v>122</v>
      </c>
      <c r="K664">
        <v>0</v>
      </c>
      <c r="L664" s="84">
        <v>142723</v>
      </c>
      <c r="M664" s="84">
        <v>7707042</v>
      </c>
    </row>
    <row r="665" spans="3:13" hidden="1" x14ac:dyDescent="0.25">
      <c r="C665" t="s">
        <v>65</v>
      </c>
      <c r="D665" t="s">
        <v>120</v>
      </c>
      <c r="E665" t="s">
        <v>63</v>
      </c>
      <c r="F665" t="s">
        <v>124</v>
      </c>
      <c r="G665">
        <v>5</v>
      </c>
      <c r="H665" t="s">
        <v>61</v>
      </c>
      <c r="I665" t="s">
        <v>121</v>
      </c>
      <c r="J665" t="s">
        <v>122</v>
      </c>
      <c r="K665">
        <v>0</v>
      </c>
      <c r="L665" s="84">
        <v>388792</v>
      </c>
      <c r="M665" s="84">
        <v>1943960</v>
      </c>
    </row>
    <row r="666" spans="3:13" hidden="1" x14ac:dyDescent="0.25">
      <c r="C666" t="s">
        <v>119</v>
      </c>
      <c r="D666" t="s">
        <v>120</v>
      </c>
      <c r="E666" t="s">
        <v>63</v>
      </c>
      <c r="F666" t="s">
        <v>24</v>
      </c>
      <c r="G666">
        <v>16</v>
      </c>
      <c r="H666" t="s">
        <v>76</v>
      </c>
      <c r="I666" t="s">
        <v>121</v>
      </c>
      <c r="J666" t="s">
        <v>122</v>
      </c>
      <c r="K666">
        <v>0</v>
      </c>
      <c r="L666" s="84">
        <v>64752</v>
      </c>
      <c r="M666" s="84">
        <v>1036032</v>
      </c>
    </row>
    <row r="667" spans="3:13" hidden="1" x14ac:dyDescent="0.25">
      <c r="C667" t="s">
        <v>119</v>
      </c>
      <c r="D667" t="s">
        <v>120</v>
      </c>
      <c r="E667" t="s">
        <v>60</v>
      </c>
      <c r="F667" t="s">
        <v>24</v>
      </c>
      <c r="G667">
        <v>9</v>
      </c>
      <c r="H667" t="s">
        <v>17</v>
      </c>
      <c r="I667" t="s">
        <v>121</v>
      </c>
      <c r="J667" t="s">
        <v>122</v>
      </c>
      <c r="K667">
        <v>0</v>
      </c>
      <c r="L667" s="84">
        <v>-4819</v>
      </c>
      <c r="M667" s="84">
        <v>0</v>
      </c>
    </row>
    <row r="668" spans="3:13" hidden="1" x14ac:dyDescent="0.25">
      <c r="C668" t="s">
        <v>119</v>
      </c>
      <c r="D668" t="s">
        <v>125</v>
      </c>
      <c r="E668" t="s">
        <v>60</v>
      </c>
      <c r="F668" t="s">
        <v>24</v>
      </c>
      <c r="G668">
        <v>41</v>
      </c>
      <c r="I668" t="s">
        <v>121</v>
      </c>
      <c r="J668" t="s">
        <v>122</v>
      </c>
      <c r="K668">
        <v>0</v>
      </c>
      <c r="L668" s="84">
        <v>-13167</v>
      </c>
      <c r="M668" s="84">
        <v>0</v>
      </c>
    </row>
    <row r="669" spans="3:13" hidden="1" x14ac:dyDescent="0.25">
      <c r="C669" t="s">
        <v>119</v>
      </c>
      <c r="D669" t="s">
        <v>120</v>
      </c>
      <c r="E669" t="s">
        <v>60</v>
      </c>
      <c r="F669" t="s">
        <v>24</v>
      </c>
      <c r="G669">
        <v>11</v>
      </c>
      <c r="H669" t="s">
        <v>61</v>
      </c>
      <c r="I669" t="s">
        <v>121</v>
      </c>
      <c r="J669" t="s">
        <v>122</v>
      </c>
      <c r="K669">
        <v>0</v>
      </c>
      <c r="L669" s="84">
        <v>-1320</v>
      </c>
      <c r="M669" s="84">
        <v>0</v>
      </c>
    </row>
    <row r="670" spans="3:13" hidden="1" x14ac:dyDescent="0.25">
      <c r="C670" t="s">
        <v>119</v>
      </c>
      <c r="D670" t="s">
        <v>120</v>
      </c>
      <c r="E670" t="s">
        <v>63</v>
      </c>
      <c r="F670" t="s">
        <v>124</v>
      </c>
      <c r="G670">
        <v>6</v>
      </c>
      <c r="H670" t="s">
        <v>72</v>
      </c>
      <c r="I670" t="s">
        <v>121</v>
      </c>
      <c r="J670" t="s">
        <v>122</v>
      </c>
      <c r="K670">
        <v>0</v>
      </c>
      <c r="L670" s="84">
        <v>155232</v>
      </c>
      <c r="M670" s="84">
        <v>931392</v>
      </c>
    </row>
    <row r="671" spans="3:13" hidden="1" x14ac:dyDescent="0.25">
      <c r="C671" t="s">
        <v>64</v>
      </c>
      <c r="D671" t="s">
        <v>120</v>
      </c>
      <c r="E671" t="s">
        <v>63</v>
      </c>
      <c r="F671" t="s">
        <v>24</v>
      </c>
      <c r="G671">
        <v>9</v>
      </c>
      <c r="H671" t="s">
        <v>71</v>
      </c>
      <c r="I671" t="s">
        <v>121</v>
      </c>
      <c r="J671" t="s">
        <v>122</v>
      </c>
      <c r="K671">
        <v>0</v>
      </c>
      <c r="L671" s="84">
        <v>10838</v>
      </c>
      <c r="M671" s="84">
        <v>97542</v>
      </c>
    </row>
    <row r="672" spans="3:13" hidden="1" x14ac:dyDescent="0.25">
      <c r="C672" t="s">
        <v>119</v>
      </c>
      <c r="D672" t="s">
        <v>120</v>
      </c>
      <c r="E672" t="s">
        <v>60</v>
      </c>
      <c r="F672" t="s">
        <v>123</v>
      </c>
      <c r="G672">
        <v>4</v>
      </c>
      <c r="H672" t="s">
        <v>71</v>
      </c>
      <c r="I672" t="s">
        <v>121</v>
      </c>
      <c r="J672" t="s">
        <v>122</v>
      </c>
      <c r="K672">
        <v>0</v>
      </c>
      <c r="L672" s="84">
        <v>-573</v>
      </c>
      <c r="M672" s="84">
        <v>0</v>
      </c>
    </row>
    <row r="673" spans="3:13" hidden="1" x14ac:dyDescent="0.25">
      <c r="C673" t="s">
        <v>64</v>
      </c>
      <c r="D673" t="s">
        <v>120</v>
      </c>
      <c r="E673" t="s">
        <v>63</v>
      </c>
      <c r="F673" t="s">
        <v>124</v>
      </c>
      <c r="G673">
        <v>3</v>
      </c>
      <c r="H673" t="s">
        <v>18</v>
      </c>
      <c r="I673" t="s">
        <v>121</v>
      </c>
      <c r="J673" t="s">
        <v>66</v>
      </c>
      <c r="K673">
        <v>1</v>
      </c>
      <c r="L673" s="84">
        <v>1735142</v>
      </c>
      <c r="M673" s="84">
        <v>5205426</v>
      </c>
    </row>
    <row r="674" spans="3:13" hidden="1" x14ac:dyDescent="0.25">
      <c r="C674" t="s">
        <v>64</v>
      </c>
      <c r="D674" t="s">
        <v>120</v>
      </c>
      <c r="E674" t="s">
        <v>60</v>
      </c>
      <c r="F674" t="s">
        <v>124</v>
      </c>
      <c r="G674">
        <v>4</v>
      </c>
      <c r="H674" t="s">
        <v>72</v>
      </c>
      <c r="I674" t="s">
        <v>121</v>
      </c>
      <c r="J674" t="s">
        <v>122</v>
      </c>
      <c r="K674">
        <v>0</v>
      </c>
      <c r="L674" s="84">
        <v>-23464</v>
      </c>
      <c r="M674" s="84">
        <v>0</v>
      </c>
    </row>
    <row r="675" spans="3:13" hidden="1" x14ac:dyDescent="0.25">
      <c r="C675" t="s">
        <v>119</v>
      </c>
      <c r="D675" t="s">
        <v>120</v>
      </c>
      <c r="E675" t="s">
        <v>60</v>
      </c>
      <c r="F675" t="s">
        <v>25</v>
      </c>
      <c r="G675">
        <v>6</v>
      </c>
      <c r="H675" t="s">
        <v>12</v>
      </c>
      <c r="I675" t="s">
        <v>121</v>
      </c>
      <c r="J675" t="s">
        <v>66</v>
      </c>
      <c r="K675">
        <v>1</v>
      </c>
      <c r="L675" s="84">
        <v>-2992</v>
      </c>
      <c r="M675" s="84">
        <v>0</v>
      </c>
    </row>
    <row r="676" spans="3:13" hidden="1" x14ac:dyDescent="0.25">
      <c r="C676" t="s">
        <v>119</v>
      </c>
      <c r="D676" t="s">
        <v>120</v>
      </c>
      <c r="E676" t="s">
        <v>63</v>
      </c>
      <c r="F676" t="s">
        <v>123</v>
      </c>
      <c r="G676">
        <v>1</v>
      </c>
      <c r="H676" t="s">
        <v>76</v>
      </c>
      <c r="I676" t="s">
        <v>121</v>
      </c>
      <c r="J676" t="s">
        <v>122</v>
      </c>
      <c r="K676">
        <v>0</v>
      </c>
      <c r="L676" s="84">
        <v>192602</v>
      </c>
      <c r="M676" s="84">
        <v>192602</v>
      </c>
    </row>
    <row r="677" spans="3:13" hidden="1" x14ac:dyDescent="0.25">
      <c r="C677" t="s">
        <v>65</v>
      </c>
      <c r="D677" t="s">
        <v>120</v>
      </c>
      <c r="E677" t="s">
        <v>60</v>
      </c>
      <c r="F677" t="s">
        <v>124</v>
      </c>
      <c r="G677">
        <v>6</v>
      </c>
      <c r="H677" t="s">
        <v>75</v>
      </c>
      <c r="I677" t="s">
        <v>121</v>
      </c>
      <c r="J677" t="s">
        <v>122</v>
      </c>
      <c r="K677">
        <v>0</v>
      </c>
      <c r="L677" s="84">
        <v>-903182</v>
      </c>
      <c r="M677" s="84">
        <v>0</v>
      </c>
    </row>
    <row r="678" spans="3:13" hidden="1" x14ac:dyDescent="0.25">
      <c r="C678" t="s">
        <v>119</v>
      </c>
      <c r="D678" t="s">
        <v>120</v>
      </c>
      <c r="E678" t="s">
        <v>63</v>
      </c>
      <c r="F678" t="s">
        <v>25</v>
      </c>
      <c r="G678">
        <v>7</v>
      </c>
      <c r="H678" t="s">
        <v>67</v>
      </c>
      <c r="I678" t="s">
        <v>121</v>
      </c>
      <c r="J678" t="s">
        <v>122</v>
      </c>
      <c r="K678">
        <v>0</v>
      </c>
      <c r="L678" s="84">
        <v>2551262</v>
      </c>
      <c r="M678" s="84">
        <v>17858834</v>
      </c>
    </row>
    <row r="679" spans="3:13" hidden="1" x14ac:dyDescent="0.25">
      <c r="C679" t="s">
        <v>119</v>
      </c>
      <c r="D679" t="s">
        <v>120</v>
      </c>
      <c r="E679" t="s">
        <v>63</v>
      </c>
      <c r="F679" t="s">
        <v>24</v>
      </c>
      <c r="G679">
        <v>7</v>
      </c>
      <c r="H679" t="s">
        <v>72</v>
      </c>
      <c r="I679" t="s">
        <v>121</v>
      </c>
      <c r="J679" t="s">
        <v>122</v>
      </c>
      <c r="K679">
        <v>0</v>
      </c>
      <c r="L679" s="84">
        <v>1757818</v>
      </c>
      <c r="M679" s="84">
        <v>12304726</v>
      </c>
    </row>
    <row r="680" spans="3:13" hidden="1" x14ac:dyDescent="0.25">
      <c r="C680" t="s">
        <v>64</v>
      </c>
      <c r="D680" t="s">
        <v>120</v>
      </c>
      <c r="E680" t="s">
        <v>60</v>
      </c>
      <c r="F680" t="s">
        <v>123</v>
      </c>
      <c r="G680">
        <v>3</v>
      </c>
      <c r="H680" t="s">
        <v>61</v>
      </c>
      <c r="I680" t="s">
        <v>121</v>
      </c>
      <c r="J680" t="s">
        <v>122</v>
      </c>
      <c r="K680">
        <v>0</v>
      </c>
      <c r="L680" s="84">
        <v>-32525</v>
      </c>
      <c r="M680" s="84">
        <v>0</v>
      </c>
    </row>
    <row r="681" spans="3:13" hidden="1" x14ac:dyDescent="0.25">
      <c r="C681" t="s">
        <v>64</v>
      </c>
      <c r="D681" t="s">
        <v>120</v>
      </c>
      <c r="E681" t="s">
        <v>60</v>
      </c>
      <c r="F681" t="s">
        <v>124</v>
      </c>
      <c r="G681">
        <v>1</v>
      </c>
      <c r="H681" t="s">
        <v>76</v>
      </c>
      <c r="I681" t="s">
        <v>121</v>
      </c>
      <c r="J681" t="s">
        <v>122</v>
      </c>
      <c r="K681">
        <v>0</v>
      </c>
      <c r="L681" s="84">
        <v>-66838</v>
      </c>
      <c r="M681" s="84">
        <v>0</v>
      </c>
    </row>
    <row r="682" spans="3:13" hidden="1" x14ac:dyDescent="0.25">
      <c r="C682" t="s">
        <v>119</v>
      </c>
      <c r="D682" t="s">
        <v>120</v>
      </c>
      <c r="E682" t="s">
        <v>60</v>
      </c>
      <c r="F682" t="s">
        <v>124</v>
      </c>
      <c r="G682">
        <v>1</v>
      </c>
      <c r="H682" t="s">
        <v>17</v>
      </c>
      <c r="I682" t="s">
        <v>121</v>
      </c>
      <c r="J682" t="s">
        <v>66</v>
      </c>
      <c r="K682">
        <v>1</v>
      </c>
      <c r="L682" s="84">
        <v>-43813</v>
      </c>
      <c r="M682" s="84">
        <v>0</v>
      </c>
    </row>
    <row r="683" spans="3:13" hidden="1" x14ac:dyDescent="0.25">
      <c r="C683" t="s">
        <v>64</v>
      </c>
      <c r="D683" t="s">
        <v>120</v>
      </c>
      <c r="E683" t="s">
        <v>63</v>
      </c>
      <c r="F683" t="s">
        <v>123</v>
      </c>
      <c r="G683">
        <v>2</v>
      </c>
      <c r="H683" t="s">
        <v>12</v>
      </c>
      <c r="I683" t="s">
        <v>121</v>
      </c>
      <c r="J683" t="s">
        <v>122</v>
      </c>
      <c r="K683">
        <v>0</v>
      </c>
      <c r="L683" s="84">
        <v>117826</v>
      </c>
      <c r="M683" s="84">
        <v>235652</v>
      </c>
    </row>
    <row r="684" spans="3:13" hidden="1" x14ac:dyDescent="0.25">
      <c r="C684" t="s">
        <v>64</v>
      </c>
      <c r="D684" t="s">
        <v>120</v>
      </c>
      <c r="E684" t="s">
        <v>60</v>
      </c>
      <c r="F684" t="s">
        <v>123</v>
      </c>
      <c r="G684">
        <v>0</v>
      </c>
      <c r="H684" t="s">
        <v>76</v>
      </c>
      <c r="I684" t="s">
        <v>121</v>
      </c>
      <c r="J684" t="s">
        <v>122</v>
      </c>
      <c r="K684">
        <v>0</v>
      </c>
      <c r="L684" s="84">
        <v>-859</v>
      </c>
      <c r="M684" s="84">
        <v>0</v>
      </c>
    </row>
    <row r="685" spans="3:13" hidden="1" x14ac:dyDescent="0.25">
      <c r="C685" t="s">
        <v>119</v>
      </c>
      <c r="D685" t="s">
        <v>120</v>
      </c>
      <c r="E685" t="s">
        <v>60</v>
      </c>
      <c r="F685" t="s">
        <v>124</v>
      </c>
      <c r="G685">
        <v>-1</v>
      </c>
      <c r="H685" t="s">
        <v>13</v>
      </c>
      <c r="I685" t="s">
        <v>121</v>
      </c>
      <c r="J685" t="s">
        <v>66</v>
      </c>
      <c r="K685">
        <v>1</v>
      </c>
      <c r="L685" s="84">
        <v>-2</v>
      </c>
      <c r="M685" s="84">
        <v>0</v>
      </c>
    </row>
    <row r="686" spans="3:13" hidden="1" x14ac:dyDescent="0.25">
      <c r="C686" t="s">
        <v>64</v>
      </c>
      <c r="D686" t="s">
        <v>120</v>
      </c>
      <c r="E686" t="s">
        <v>63</v>
      </c>
      <c r="F686" t="s">
        <v>25</v>
      </c>
      <c r="G686">
        <v>12</v>
      </c>
      <c r="H686" t="s">
        <v>18</v>
      </c>
      <c r="I686" t="s">
        <v>121</v>
      </c>
      <c r="J686" t="s">
        <v>122</v>
      </c>
      <c r="K686">
        <v>0</v>
      </c>
      <c r="L686" s="84">
        <v>689652</v>
      </c>
      <c r="M686" s="84">
        <v>8275824</v>
      </c>
    </row>
    <row r="687" spans="3:13" x14ac:dyDescent="0.25">
      <c r="C687" t="s">
        <v>64</v>
      </c>
      <c r="D687" t="s">
        <v>120</v>
      </c>
      <c r="E687" t="s">
        <v>63</v>
      </c>
      <c r="F687" t="s">
        <v>25</v>
      </c>
      <c r="G687">
        <v>12</v>
      </c>
      <c r="H687" t="s">
        <v>18</v>
      </c>
      <c r="I687" t="s">
        <v>121</v>
      </c>
      <c r="J687" t="s">
        <v>66</v>
      </c>
      <c r="K687">
        <v>1</v>
      </c>
      <c r="L687" s="84">
        <v>514339</v>
      </c>
      <c r="M687" s="84">
        <v>6172068</v>
      </c>
    </row>
    <row r="688" spans="3:13" hidden="1" x14ac:dyDescent="0.25">
      <c r="C688" t="s">
        <v>64</v>
      </c>
      <c r="D688" t="s">
        <v>120</v>
      </c>
      <c r="E688" t="s">
        <v>60</v>
      </c>
      <c r="F688" t="s">
        <v>25</v>
      </c>
      <c r="G688">
        <v>12</v>
      </c>
      <c r="H688" t="s">
        <v>18</v>
      </c>
      <c r="I688" t="s">
        <v>121</v>
      </c>
      <c r="J688" t="s">
        <v>122</v>
      </c>
      <c r="K688">
        <v>0</v>
      </c>
      <c r="L688" s="84">
        <v>-24210</v>
      </c>
      <c r="M688" s="84">
        <v>0</v>
      </c>
    </row>
    <row r="689" spans="3:13" hidden="1" x14ac:dyDescent="0.25">
      <c r="C689" t="s">
        <v>64</v>
      </c>
      <c r="D689" t="s">
        <v>120</v>
      </c>
      <c r="E689" t="s">
        <v>60</v>
      </c>
      <c r="F689" t="s">
        <v>25</v>
      </c>
      <c r="G689">
        <v>8</v>
      </c>
      <c r="H689" t="s">
        <v>18</v>
      </c>
      <c r="I689" t="s">
        <v>121</v>
      </c>
      <c r="J689" t="s">
        <v>66</v>
      </c>
      <c r="K689">
        <v>1</v>
      </c>
      <c r="L689" s="84">
        <v>-978</v>
      </c>
      <c r="M689" s="84">
        <v>0</v>
      </c>
    </row>
    <row r="690" spans="3:13" hidden="1" x14ac:dyDescent="0.25">
      <c r="C690" t="s">
        <v>119</v>
      </c>
      <c r="D690" t="s">
        <v>120</v>
      </c>
      <c r="E690" t="s">
        <v>60</v>
      </c>
      <c r="F690" t="s">
        <v>25</v>
      </c>
      <c r="G690">
        <v>12</v>
      </c>
      <c r="H690" t="s">
        <v>17</v>
      </c>
      <c r="I690" t="s">
        <v>121</v>
      </c>
      <c r="J690" t="s">
        <v>122</v>
      </c>
      <c r="K690">
        <v>0</v>
      </c>
      <c r="L690" s="84">
        <v>-1556</v>
      </c>
      <c r="M690" s="84">
        <v>0</v>
      </c>
    </row>
    <row r="691" spans="3:13" hidden="1" x14ac:dyDescent="0.25">
      <c r="C691" t="s">
        <v>119</v>
      </c>
      <c r="D691" t="s">
        <v>120</v>
      </c>
      <c r="E691" t="s">
        <v>60</v>
      </c>
      <c r="F691" t="s">
        <v>25</v>
      </c>
      <c r="G691">
        <v>8</v>
      </c>
      <c r="H691" t="s">
        <v>17</v>
      </c>
      <c r="I691" t="s">
        <v>121</v>
      </c>
      <c r="J691" t="s">
        <v>66</v>
      </c>
      <c r="K691">
        <v>1</v>
      </c>
      <c r="L691" s="84">
        <v>-75</v>
      </c>
      <c r="M691" s="84">
        <v>0</v>
      </c>
    </row>
    <row r="692" spans="3:13" hidden="1" x14ac:dyDescent="0.25">
      <c r="C692" t="s">
        <v>119</v>
      </c>
      <c r="D692" t="s">
        <v>120</v>
      </c>
      <c r="E692" t="s">
        <v>63</v>
      </c>
      <c r="F692" t="s">
        <v>124</v>
      </c>
      <c r="G692">
        <v>2</v>
      </c>
      <c r="H692" t="s">
        <v>76</v>
      </c>
      <c r="I692" t="s">
        <v>121</v>
      </c>
      <c r="J692" t="s">
        <v>122</v>
      </c>
      <c r="K692">
        <v>0</v>
      </c>
      <c r="L692" s="84">
        <v>2644083</v>
      </c>
      <c r="M692" s="84">
        <v>5288166</v>
      </c>
    </row>
    <row r="693" spans="3:13" hidden="1" x14ac:dyDescent="0.25">
      <c r="C693" t="s">
        <v>64</v>
      </c>
      <c r="D693" t="s">
        <v>120</v>
      </c>
      <c r="E693" t="s">
        <v>63</v>
      </c>
      <c r="F693" t="s">
        <v>24</v>
      </c>
      <c r="G693">
        <v>2</v>
      </c>
      <c r="H693" t="s">
        <v>72</v>
      </c>
      <c r="I693" t="s">
        <v>121</v>
      </c>
      <c r="J693" t="s">
        <v>122</v>
      </c>
      <c r="K693">
        <v>0</v>
      </c>
      <c r="L693" s="84">
        <v>55522</v>
      </c>
      <c r="M693" s="84">
        <v>111044</v>
      </c>
    </row>
    <row r="694" spans="3:13" hidden="1" x14ac:dyDescent="0.25">
      <c r="C694" t="s">
        <v>119</v>
      </c>
      <c r="D694" t="s">
        <v>120</v>
      </c>
      <c r="E694" t="s">
        <v>60</v>
      </c>
      <c r="F694" t="s">
        <v>25</v>
      </c>
      <c r="G694">
        <v>15</v>
      </c>
      <c r="H694" t="s">
        <v>70</v>
      </c>
      <c r="I694" t="s">
        <v>121</v>
      </c>
      <c r="J694" t="s">
        <v>122</v>
      </c>
      <c r="K694">
        <v>0</v>
      </c>
      <c r="L694" s="84">
        <v>-47</v>
      </c>
      <c r="M694" s="84">
        <v>0</v>
      </c>
    </row>
    <row r="695" spans="3:13" hidden="1" x14ac:dyDescent="0.25">
      <c r="C695" t="s">
        <v>119</v>
      </c>
      <c r="D695" t="s">
        <v>120</v>
      </c>
      <c r="E695" t="s">
        <v>63</v>
      </c>
      <c r="F695" t="s">
        <v>124</v>
      </c>
      <c r="G695">
        <v>3</v>
      </c>
      <c r="H695" t="s">
        <v>15</v>
      </c>
      <c r="I695" t="s">
        <v>121</v>
      </c>
      <c r="J695" t="s">
        <v>122</v>
      </c>
      <c r="K695">
        <v>0</v>
      </c>
      <c r="L695" s="84">
        <v>195929</v>
      </c>
      <c r="M695" s="84">
        <v>587787</v>
      </c>
    </row>
    <row r="696" spans="3:13" hidden="1" x14ac:dyDescent="0.25">
      <c r="C696" t="s">
        <v>64</v>
      </c>
      <c r="D696" t="s">
        <v>120</v>
      </c>
      <c r="E696" t="s">
        <v>60</v>
      </c>
      <c r="F696" t="s">
        <v>25</v>
      </c>
      <c r="G696">
        <v>1</v>
      </c>
      <c r="H696" t="s">
        <v>73</v>
      </c>
      <c r="I696" t="s">
        <v>121</v>
      </c>
      <c r="J696" t="s">
        <v>122</v>
      </c>
      <c r="K696">
        <v>0</v>
      </c>
      <c r="L696" s="84">
        <v>-73</v>
      </c>
      <c r="M696" s="84">
        <v>0</v>
      </c>
    </row>
    <row r="697" spans="3:13" hidden="1" x14ac:dyDescent="0.25">
      <c r="C697" t="s">
        <v>119</v>
      </c>
      <c r="D697" t="s">
        <v>120</v>
      </c>
      <c r="E697" t="s">
        <v>60</v>
      </c>
      <c r="F697" t="s">
        <v>25</v>
      </c>
      <c r="G697">
        <v>1</v>
      </c>
      <c r="H697" t="s">
        <v>76</v>
      </c>
      <c r="I697" t="s">
        <v>121</v>
      </c>
      <c r="J697" t="s">
        <v>122</v>
      </c>
      <c r="K697">
        <v>0</v>
      </c>
      <c r="L697" s="84">
        <v>-104</v>
      </c>
      <c r="M697" s="84">
        <v>0</v>
      </c>
    </row>
    <row r="698" spans="3:13" hidden="1" x14ac:dyDescent="0.25">
      <c r="C698" t="s">
        <v>119</v>
      </c>
      <c r="D698" t="s">
        <v>120</v>
      </c>
      <c r="E698" t="s">
        <v>60</v>
      </c>
      <c r="F698" t="s">
        <v>124</v>
      </c>
      <c r="G698">
        <v>0</v>
      </c>
      <c r="H698" t="s">
        <v>14</v>
      </c>
      <c r="I698" t="s">
        <v>121</v>
      </c>
      <c r="J698" t="s">
        <v>66</v>
      </c>
      <c r="K698">
        <v>1</v>
      </c>
      <c r="L698" s="84">
        <v>-624553</v>
      </c>
      <c r="M698" s="84">
        <v>0</v>
      </c>
    </row>
    <row r="699" spans="3:13" hidden="1" x14ac:dyDescent="0.25">
      <c r="C699" t="s">
        <v>64</v>
      </c>
      <c r="D699" t="s">
        <v>120</v>
      </c>
      <c r="E699" t="s">
        <v>63</v>
      </c>
      <c r="F699" t="s">
        <v>25</v>
      </c>
      <c r="G699">
        <v>11</v>
      </c>
      <c r="H699" t="s">
        <v>67</v>
      </c>
      <c r="I699" t="s">
        <v>121</v>
      </c>
      <c r="J699" t="s">
        <v>122</v>
      </c>
      <c r="K699">
        <v>0</v>
      </c>
      <c r="L699" s="84">
        <v>7298500</v>
      </c>
      <c r="M699" s="84">
        <v>80283500</v>
      </c>
    </row>
    <row r="700" spans="3:13" hidden="1" x14ac:dyDescent="0.25">
      <c r="C700" t="s">
        <v>119</v>
      </c>
      <c r="D700" t="s">
        <v>120</v>
      </c>
      <c r="E700" t="s">
        <v>63</v>
      </c>
      <c r="F700" t="s">
        <v>24</v>
      </c>
      <c r="G700">
        <v>9</v>
      </c>
      <c r="H700" t="s">
        <v>17</v>
      </c>
      <c r="I700" t="s">
        <v>121</v>
      </c>
      <c r="J700" t="s">
        <v>122</v>
      </c>
      <c r="K700">
        <v>0</v>
      </c>
      <c r="L700" s="84">
        <v>2736037</v>
      </c>
      <c r="M700" s="84">
        <v>24624333</v>
      </c>
    </row>
    <row r="701" spans="3:13" hidden="1" x14ac:dyDescent="0.25">
      <c r="C701" t="s">
        <v>64</v>
      </c>
      <c r="D701" t="s">
        <v>120</v>
      </c>
      <c r="E701" t="s">
        <v>60</v>
      </c>
      <c r="F701" t="s">
        <v>124</v>
      </c>
      <c r="G701">
        <v>2</v>
      </c>
      <c r="H701" t="s">
        <v>61</v>
      </c>
      <c r="I701" t="s">
        <v>121</v>
      </c>
      <c r="J701" t="s">
        <v>122</v>
      </c>
      <c r="K701">
        <v>0</v>
      </c>
      <c r="L701" s="84">
        <v>-238762</v>
      </c>
      <c r="M701" s="84">
        <v>0</v>
      </c>
    </row>
    <row r="702" spans="3:13" hidden="1" x14ac:dyDescent="0.25">
      <c r="C702" t="s">
        <v>64</v>
      </c>
      <c r="D702" t="s">
        <v>120</v>
      </c>
      <c r="E702" t="s">
        <v>63</v>
      </c>
      <c r="F702" t="s">
        <v>124</v>
      </c>
      <c r="G702">
        <v>5</v>
      </c>
      <c r="H702" t="s">
        <v>18</v>
      </c>
      <c r="I702" t="s">
        <v>121</v>
      </c>
      <c r="J702" t="s">
        <v>66</v>
      </c>
      <c r="K702">
        <v>1</v>
      </c>
      <c r="L702" s="84">
        <v>715275</v>
      </c>
      <c r="M702" s="84">
        <v>3576375</v>
      </c>
    </row>
    <row r="703" spans="3:13" x14ac:dyDescent="0.25">
      <c r="C703" t="s">
        <v>119</v>
      </c>
      <c r="D703" t="s">
        <v>120</v>
      </c>
      <c r="E703" t="s">
        <v>63</v>
      </c>
      <c r="F703" t="s">
        <v>25</v>
      </c>
      <c r="G703">
        <v>7</v>
      </c>
      <c r="H703" t="s">
        <v>14</v>
      </c>
      <c r="I703" t="s">
        <v>121</v>
      </c>
      <c r="J703" t="s">
        <v>66</v>
      </c>
      <c r="K703">
        <v>1</v>
      </c>
      <c r="L703" s="84">
        <v>9806384</v>
      </c>
      <c r="M703" s="84">
        <v>68644688</v>
      </c>
    </row>
    <row r="704" spans="3:13" hidden="1" x14ac:dyDescent="0.25">
      <c r="C704" t="s">
        <v>65</v>
      </c>
      <c r="D704" t="s">
        <v>120</v>
      </c>
      <c r="E704" t="s">
        <v>63</v>
      </c>
      <c r="F704" t="s">
        <v>124</v>
      </c>
      <c r="G704">
        <v>4</v>
      </c>
      <c r="H704" t="s">
        <v>14</v>
      </c>
      <c r="I704" t="s">
        <v>121</v>
      </c>
      <c r="J704" t="s">
        <v>122</v>
      </c>
      <c r="K704">
        <v>0</v>
      </c>
      <c r="L704" s="84">
        <v>2770719</v>
      </c>
      <c r="M704" s="84">
        <v>11082876</v>
      </c>
    </row>
    <row r="705" spans="3:13" hidden="1" x14ac:dyDescent="0.25">
      <c r="C705" t="s">
        <v>65</v>
      </c>
      <c r="D705" t="s">
        <v>120</v>
      </c>
      <c r="E705" t="s">
        <v>60</v>
      </c>
      <c r="F705" t="s">
        <v>124</v>
      </c>
      <c r="G705">
        <v>6</v>
      </c>
      <c r="H705" t="s">
        <v>17</v>
      </c>
      <c r="I705" t="s">
        <v>121</v>
      </c>
      <c r="J705" t="s">
        <v>122</v>
      </c>
      <c r="K705">
        <v>0</v>
      </c>
      <c r="L705" s="84">
        <v>-343173</v>
      </c>
      <c r="M705" s="84">
        <v>0</v>
      </c>
    </row>
    <row r="706" spans="3:13" hidden="1" x14ac:dyDescent="0.25">
      <c r="C706" t="s">
        <v>119</v>
      </c>
      <c r="D706" t="s">
        <v>120</v>
      </c>
      <c r="E706" t="s">
        <v>60</v>
      </c>
      <c r="F706" t="s">
        <v>24</v>
      </c>
      <c r="G706">
        <v>20</v>
      </c>
      <c r="H706" t="s">
        <v>18</v>
      </c>
      <c r="I706" t="s">
        <v>121</v>
      </c>
      <c r="J706" t="s">
        <v>122</v>
      </c>
      <c r="K706">
        <v>0</v>
      </c>
      <c r="L706" s="84">
        <v>-131</v>
      </c>
      <c r="M706" s="84">
        <v>0</v>
      </c>
    </row>
    <row r="707" spans="3:13" hidden="1" x14ac:dyDescent="0.25">
      <c r="C707" t="s">
        <v>64</v>
      </c>
      <c r="D707" t="s">
        <v>120</v>
      </c>
      <c r="E707" t="s">
        <v>60</v>
      </c>
      <c r="F707" t="s">
        <v>24</v>
      </c>
      <c r="G707">
        <v>12</v>
      </c>
      <c r="H707" t="s">
        <v>14</v>
      </c>
      <c r="I707" t="s">
        <v>121</v>
      </c>
      <c r="J707" t="s">
        <v>66</v>
      </c>
      <c r="K707">
        <v>1</v>
      </c>
      <c r="L707" s="84">
        <v>-3498</v>
      </c>
      <c r="M707" s="84">
        <v>0</v>
      </c>
    </row>
    <row r="708" spans="3:13" hidden="1" x14ac:dyDescent="0.25">
      <c r="C708" t="s">
        <v>119</v>
      </c>
      <c r="D708" t="s">
        <v>120</v>
      </c>
      <c r="E708" t="s">
        <v>60</v>
      </c>
      <c r="F708" t="s">
        <v>24</v>
      </c>
      <c r="G708">
        <v>10</v>
      </c>
      <c r="H708" t="s">
        <v>14</v>
      </c>
      <c r="I708" t="s">
        <v>121</v>
      </c>
      <c r="J708" t="s">
        <v>66</v>
      </c>
      <c r="K708">
        <v>1</v>
      </c>
      <c r="L708" s="84">
        <v>-38</v>
      </c>
      <c r="M708" s="84">
        <v>0</v>
      </c>
    </row>
    <row r="709" spans="3:13" hidden="1" x14ac:dyDescent="0.25">
      <c r="C709" t="s">
        <v>64</v>
      </c>
      <c r="D709" t="s">
        <v>125</v>
      </c>
      <c r="E709" t="s">
        <v>63</v>
      </c>
      <c r="F709" t="s">
        <v>24</v>
      </c>
      <c r="G709">
        <v>21</v>
      </c>
      <c r="I709" t="s">
        <v>121</v>
      </c>
      <c r="J709" t="s">
        <v>122</v>
      </c>
      <c r="K709">
        <v>0</v>
      </c>
      <c r="L709" s="84">
        <v>51907105</v>
      </c>
      <c r="M709" s="84">
        <v>1090049205</v>
      </c>
    </row>
    <row r="710" spans="3:13" x14ac:dyDescent="0.25">
      <c r="C710" t="s">
        <v>119</v>
      </c>
      <c r="D710" t="s">
        <v>120</v>
      </c>
      <c r="E710" t="s">
        <v>63</v>
      </c>
      <c r="F710" t="s">
        <v>25</v>
      </c>
      <c r="G710">
        <v>3</v>
      </c>
      <c r="H710" t="s">
        <v>18</v>
      </c>
      <c r="I710" t="s">
        <v>121</v>
      </c>
      <c r="J710" t="s">
        <v>66</v>
      </c>
      <c r="K710">
        <v>1</v>
      </c>
      <c r="L710" s="84">
        <v>97632</v>
      </c>
      <c r="M710" s="84">
        <v>292896</v>
      </c>
    </row>
    <row r="711" spans="3:13" hidden="1" x14ac:dyDescent="0.25">
      <c r="C711" t="s">
        <v>119</v>
      </c>
      <c r="D711" t="s">
        <v>120</v>
      </c>
      <c r="E711" t="s">
        <v>60</v>
      </c>
      <c r="F711" t="s">
        <v>124</v>
      </c>
      <c r="G711">
        <v>3</v>
      </c>
      <c r="H711" t="s">
        <v>78</v>
      </c>
      <c r="I711" t="s">
        <v>121</v>
      </c>
      <c r="J711" t="s">
        <v>122</v>
      </c>
      <c r="K711">
        <v>0</v>
      </c>
      <c r="L711" s="84">
        <v>-420</v>
      </c>
      <c r="M711" s="84">
        <v>0</v>
      </c>
    </row>
    <row r="712" spans="3:13" hidden="1" x14ac:dyDescent="0.25">
      <c r="C712" t="s">
        <v>64</v>
      </c>
      <c r="D712" t="s">
        <v>120</v>
      </c>
      <c r="E712" t="s">
        <v>60</v>
      </c>
      <c r="F712" t="s">
        <v>124</v>
      </c>
      <c r="G712">
        <v>3</v>
      </c>
      <c r="H712" t="s">
        <v>12</v>
      </c>
      <c r="I712" t="s">
        <v>121</v>
      </c>
      <c r="J712" t="s">
        <v>66</v>
      </c>
      <c r="K712">
        <v>1</v>
      </c>
      <c r="L712" s="84">
        <v>-58701</v>
      </c>
      <c r="M712" s="84">
        <v>0</v>
      </c>
    </row>
    <row r="713" spans="3:13" hidden="1" x14ac:dyDescent="0.25">
      <c r="C713" t="s">
        <v>64</v>
      </c>
      <c r="D713" t="s">
        <v>120</v>
      </c>
      <c r="E713" t="s">
        <v>60</v>
      </c>
      <c r="F713" t="s">
        <v>25</v>
      </c>
      <c r="G713">
        <v>4</v>
      </c>
      <c r="H713" t="s">
        <v>61</v>
      </c>
      <c r="I713" t="s">
        <v>121</v>
      </c>
      <c r="J713" t="s">
        <v>122</v>
      </c>
      <c r="K713">
        <v>0</v>
      </c>
      <c r="L713" s="84">
        <v>-38476</v>
      </c>
      <c r="M713" s="84">
        <v>0</v>
      </c>
    </row>
    <row r="714" spans="3:13" hidden="1" x14ac:dyDescent="0.25">
      <c r="C714" t="s">
        <v>119</v>
      </c>
      <c r="D714" t="s">
        <v>120</v>
      </c>
      <c r="E714" t="s">
        <v>60</v>
      </c>
      <c r="F714" t="s">
        <v>124</v>
      </c>
      <c r="G714">
        <v>11</v>
      </c>
      <c r="H714" t="s">
        <v>18</v>
      </c>
      <c r="I714" t="s">
        <v>121</v>
      </c>
      <c r="J714" t="s">
        <v>122</v>
      </c>
      <c r="K714">
        <v>0</v>
      </c>
      <c r="L714" s="84">
        <v>-2168</v>
      </c>
      <c r="M714" s="84">
        <v>0</v>
      </c>
    </row>
    <row r="715" spans="3:13" hidden="1" x14ac:dyDescent="0.25">
      <c r="C715" t="s">
        <v>119</v>
      </c>
      <c r="D715" t="s">
        <v>120</v>
      </c>
      <c r="E715" t="s">
        <v>63</v>
      </c>
      <c r="F715" t="s">
        <v>123</v>
      </c>
      <c r="G715">
        <v>-1</v>
      </c>
      <c r="H715" t="s">
        <v>17</v>
      </c>
      <c r="I715" t="s">
        <v>121</v>
      </c>
      <c r="J715" t="s">
        <v>66</v>
      </c>
      <c r="K715">
        <v>1</v>
      </c>
      <c r="L715" s="84">
        <v>150205</v>
      </c>
      <c r="M715" s="84">
        <v>0</v>
      </c>
    </row>
    <row r="716" spans="3:13" hidden="1" x14ac:dyDescent="0.25">
      <c r="C716" t="s">
        <v>119</v>
      </c>
      <c r="D716" t="s">
        <v>120</v>
      </c>
      <c r="E716" t="s">
        <v>63</v>
      </c>
      <c r="F716" t="s">
        <v>124</v>
      </c>
      <c r="G716">
        <v>4</v>
      </c>
      <c r="H716" t="s">
        <v>69</v>
      </c>
      <c r="I716" t="s">
        <v>121</v>
      </c>
      <c r="J716" t="s">
        <v>122</v>
      </c>
      <c r="K716">
        <v>0</v>
      </c>
      <c r="L716" s="84">
        <v>51884942</v>
      </c>
      <c r="M716" s="84">
        <v>207539768</v>
      </c>
    </row>
    <row r="717" spans="3:13" hidden="1" x14ac:dyDescent="0.25">
      <c r="C717" t="s">
        <v>64</v>
      </c>
      <c r="D717" t="s">
        <v>120</v>
      </c>
      <c r="E717" t="s">
        <v>63</v>
      </c>
      <c r="F717" t="s">
        <v>123</v>
      </c>
      <c r="G717">
        <v>0</v>
      </c>
      <c r="H717" t="s">
        <v>12</v>
      </c>
      <c r="I717" t="s">
        <v>121</v>
      </c>
      <c r="J717" t="s">
        <v>66</v>
      </c>
      <c r="K717">
        <v>1</v>
      </c>
      <c r="L717" s="84">
        <v>1018455</v>
      </c>
      <c r="M717" s="84">
        <v>0</v>
      </c>
    </row>
    <row r="718" spans="3:13" hidden="1" x14ac:dyDescent="0.25">
      <c r="C718" t="s">
        <v>65</v>
      </c>
      <c r="D718" t="s">
        <v>120</v>
      </c>
      <c r="E718" t="s">
        <v>63</v>
      </c>
      <c r="F718" t="s">
        <v>123</v>
      </c>
      <c r="G718">
        <v>1</v>
      </c>
      <c r="H718" t="s">
        <v>69</v>
      </c>
      <c r="I718" t="s">
        <v>121</v>
      </c>
      <c r="J718" t="s">
        <v>122</v>
      </c>
      <c r="K718">
        <v>0</v>
      </c>
      <c r="L718" s="84">
        <v>78722</v>
      </c>
      <c r="M718" s="84">
        <v>78722</v>
      </c>
    </row>
    <row r="719" spans="3:13" hidden="1" x14ac:dyDescent="0.25">
      <c r="C719" t="s">
        <v>119</v>
      </c>
      <c r="D719" t="s">
        <v>120</v>
      </c>
      <c r="E719" t="s">
        <v>63</v>
      </c>
      <c r="F719" t="s">
        <v>124</v>
      </c>
      <c r="G719">
        <v>12</v>
      </c>
      <c r="H719" t="s">
        <v>15</v>
      </c>
      <c r="I719" t="s">
        <v>121</v>
      </c>
      <c r="J719" t="s">
        <v>122</v>
      </c>
      <c r="K719">
        <v>0</v>
      </c>
      <c r="L719" s="84">
        <v>25908718</v>
      </c>
      <c r="M719" s="84">
        <v>310904616</v>
      </c>
    </row>
    <row r="720" spans="3:13" hidden="1" x14ac:dyDescent="0.25">
      <c r="C720" t="s">
        <v>119</v>
      </c>
      <c r="D720" t="s">
        <v>120</v>
      </c>
      <c r="E720" t="s">
        <v>63</v>
      </c>
      <c r="F720" t="s">
        <v>24</v>
      </c>
      <c r="G720">
        <v>1</v>
      </c>
      <c r="H720" t="s">
        <v>17</v>
      </c>
      <c r="I720" t="s">
        <v>121</v>
      </c>
      <c r="J720" t="s">
        <v>122</v>
      </c>
      <c r="K720">
        <v>0</v>
      </c>
      <c r="L720" s="84">
        <v>83277209</v>
      </c>
      <c r="M720" s="84">
        <v>83277209</v>
      </c>
    </row>
    <row r="721" spans="3:13" hidden="1" x14ac:dyDescent="0.25">
      <c r="C721" t="s">
        <v>119</v>
      </c>
      <c r="D721" t="s">
        <v>120</v>
      </c>
      <c r="E721" t="s">
        <v>63</v>
      </c>
      <c r="F721" t="s">
        <v>124</v>
      </c>
      <c r="G721">
        <v>-1</v>
      </c>
      <c r="H721" t="s">
        <v>17</v>
      </c>
      <c r="I721" t="s">
        <v>121</v>
      </c>
      <c r="J721" t="s">
        <v>122</v>
      </c>
      <c r="K721">
        <v>0</v>
      </c>
      <c r="L721" s="84">
        <v>40136508</v>
      </c>
      <c r="M721" s="84">
        <v>0</v>
      </c>
    </row>
    <row r="722" spans="3:13" hidden="1" x14ac:dyDescent="0.25">
      <c r="C722" t="s">
        <v>64</v>
      </c>
      <c r="D722" t="s">
        <v>125</v>
      </c>
      <c r="E722" t="s">
        <v>60</v>
      </c>
      <c r="F722" t="s">
        <v>24</v>
      </c>
      <c r="G722">
        <v>18</v>
      </c>
      <c r="I722" t="s">
        <v>121</v>
      </c>
      <c r="J722" t="s">
        <v>122</v>
      </c>
      <c r="K722">
        <v>0</v>
      </c>
      <c r="L722" s="84">
        <v>-775638</v>
      </c>
      <c r="M722" s="84">
        <v>0</v>
      </c>
    </row>
    <row r="723" spans="3:13" hidden="1" x14ac:dyDescent="0.25">
      <c r="C723" t="s">
        <v>119</v>
      </c>
      <c r="D723" t="s">
        <v>120</v>
      </c>
      <c r="E723" t="s">
        <v>60</v>
      </c>
      <c r="F723" t="s">
        <v>123</v>
      </c>
      <c r="G723">
        <v>-4</v>
      </c>
      <c r="H723" t="s">
        <v>75</v>
      </c>
      <c r="I723" t="s">
        <v>121</v>
      </c>
      <c r="J723" t="s">
        <v>122</v>
      </c>
      <c r="K723">
        <v>0</v>
      </c>
      <c r="L723" s="84">
        <v>-4</v>
      </c>
      <c r="M723" s="84">
        <v>0</v>
      </c>
    </row>
    <row r="724" spans="3:13" hidden="1" x14ac:dyDescent="0.25">
      <c r="C724" t="s">
        <v>64</v>
      </c>
      <c r="D724" t="s">
        <v>120</v>
      </c>
      <c r="E724" t="s">
        <v>60</v>
      </c>
      <c r="F724" t="s">
        <v>124</v>
      </c>
      <c r="G724">
        <v>0</v>
      </c>
      <c r="H724" t="s">
        <v>69</v>
      </c>
      <c r="I724" t="s">
        <v>121</v>
      </c>
      <c r="J724" t="s">
        <v>122</v>
      </c>
      <c r="K724">
        <v>0</v>
      </c>
      <c r="L724" s="84">
        <v>-19985</v>
      </c>
      <c r="M724" s="84">
        <v>0</v>
      </c>
    </row>
    <row r="725" spans="3:13" hidden="1" x14ac:dyDescent="0.25">
      <c r="C725" t="s">
        <v>119</v>
      </c>
      <c r="D725" t="s">
        <v>120</v>
      </c>
      <c r="E725" t="s">
        <v>63</v>
      </c>
      <c r="F725" t="s">
        <v>123</v>
      </c>
      <c r="G725">
        <v>0</v>
      </c>
      <c r="H725" t="s">
        <v>75</v>
      </c>
      <c r="I725" t="s">
        <v>121</v>
      </c>
      <c r="J725" t="s">
        <v>122</v>
      </c>
      <c r="K725">
        <v>0</v>
      </c>
      <c r="L725" s="84">
        <v>1892412</v>
      </c>
      <c r="M725" s="84">
        <v>0</v>
      </c>
    </row>
    <row r="726" spans="3:13" hidden="1" x14ac:dyDescent="0.25">
      <c r="C726" t="s">
        <v>119</v>
      </c>
      <c r="D726" t="s">
        <v>120</v>
      </c>
      <c r="E726" t="s">
        <v>63</v>
      </c>
      <c r="F726" t="s">
        <v>24</v>
      </c>
      <c r="G726">
        <v>3</v>
      </c>
      <c r="H726" t="s">
        <v>14</v>
      </c>
      <c r="I726" t="s">
        <v>121</v>
      </c>
      <c r="J726" t="s">
        <v>122</v>
      </c>
      <c r="K726">
        <v>0</v>
      </c>
      <c r="L726" s="84">
        <v>24489</v>
      </c>
      <c r="M726" s="84">
        <v>73467</v>
      </c>
    </row>
    <row r="727" spans="3:13" hidden="1" x14ac:dyDescent="0.25">
      <c r="C727" t="s">
        <v>119</v>
      </c>
      <c r="D727" t="s">
        <v>120</v>
      </c>
      <c r="E727" t="s">
        <v>63</v>
      </c>
      <c r="F727" t="s">
        <v>123</v>
      </c>
      <c r="G727">
        <v>3</v>
      </c>
      <c r="H727" t="s">
        <v>69</v>
      </c>
      <c r="I727" t="s">
        <v>121</v>
      </c>
      <c r="J727" t="s">
        <v>122</v>
      </c>
      <c r="K727">
        <v>0</v>
      </c>
      <c r="L727" s="84">
        <v>2395538</v>
      </c>
      <c r="M727" s="84">
        <v>7186614</v>
      </c>
    </row>
    <row r="728" spans="3:13" hidden="1" x14ac:dyDescent="0.25">
      <c r="C728" t="s">
        <v>65</v>
      </c>
      <c r="D728" t="s">
        <v>120</v>
      </c>
      <c r="E728" t="s">
        <v>63</v>
      </c>
      <c r="F728" t="s">
        <v>124</v>
      </c>
      <c r="G728">
        <v>2</v>
      </c>
      <c r="H728" t="s">
        <v>17</v>
      </c>
      <c r="I728" t="s">
        <v>121</v>
      </c>
      <c r="J728" t="s">
        <v>122</v>
      </c>
      <c r="K728">
        <v>0</v>
      </c>
      <c r="L728" s="84">
        <v>2668298</v>
      </c>
      <c r="M728" s="84">
        <v>5336596</v>
      </c>
    </row>
    <row r="729" spans="3:13" hidden="1" x14ac:dyDescent="0.25">
      <c r="C729" t="s">
        <v>64</v>
      </c>
      <c r="D729" t="s">
        <v>120</v>
      </c>
      <c r="E729" t="s">
        <v>60</v>
      </c>
      <c r="F729" t="s">
        <v>124</v>
      </c>
      <c r="G729">
        <v>2</v>
      </c>
      <c r="H729" t="s">
        <v>71</v>
      </c>
      <c r="I729" t="s">
        <v>121</v>
      </c>
      <c r="J729" t="s">
        <v>122</v>
      </c>
      <c r="K729">
        <v>0</v>
      </c>
      <c r="L729" s="84">
        <v>-35738</v>
      </c>
      <c r="M729" s="84">
        <v>0</v>
      </c>
    </row>
    <row r="730" spans="3:13" hidden="1" x14ac:dyDescent="0.25">
      <c r="C730" t="s">
        <v>119</v>
      </c>
      <c r="D730" t="s">
        <v>125</v>
      </c>
      <c r="E730" t="s">
        <v>60</v>
      </c>
      <c r="F730" t="s">
        <v>25</v>
      </c>
      <c r="G730">
        <v>11</v>
      </c>
      <c r="I730" t="s">
        <v>121</v>
      </c>
      <c r="J730" t="s">
        <v>122</v>
      </c>
      <c r="K730">
        <v>0</v>
      </c>
      <c r="L730" s="84">
        <v>-12478</v>
      </c>
      <c r="M730" s="84">
        <v>0</v>
      </c>
    </row>
    <row r="731" spans="3:13" hidden="1" x14ac:dyDescent="0.25">
      <c r="C731" t="s">
        <v>64</v>
      </c>
      <c r="D731" t="s">
        <v>120</v>
      </c>
      <c r="E731" t="s">
        <v>63</v>
      </c>
      <c r="F731" t="s">
        <v>24</v>
      </c>
      <c r="G731">
        <v>14</v>
      </c>
      <c r="H731" t="s">
        <v>68</v>
      </c>
      <c r="I731" t="s">
        <v>121</v>
      </c>
      <c r="J731" t="s">
        <v>122</v>
      </c>
      <c r="K731">
        <v>0</v>
      </c>
      <c r="L731" s="84">
        <v>4237716</v>
      </c>
      <c r="M731" s="84">
        <v>59328024</v>
      </c>
    </row>
    <row r="732" spans="3:13" hidden="1" x14ac:dyDescent="0.25">
      <c r="C732" t="s">
        <v>64</v>
      </c>
      <c r="D732" t="s">
        <v>120</v>
      </c>
      <c r="E732" t="s">
        <v>60</v>
      </c>
      <c r="F732" t="s">
        <v>123</v>
      </c>
      <c r="G732">
        <v>0</v>
      </c>
      <c r="H732" t="s">
        <v>68</v>
      </c>
      <c r="I732" t="s">
        <v>121</v>
      </c>
      <c r="J732" t="s">
        <v>122</v>
      </c>
      <c r="K732">
        <v>0</v>
      </c>
      <c r="L732" s="84">
        <v>-290</v>
      </c>
      <c r="M732" s="84">
        <v>0</v>
      </c>
    </row>
    <row r="733" spans="3:13" hidden="1" x14ac:dyDescent="0.25">
      <c r="C733" t="s">
        <v>119</v>
      </c>
      <c r="D733" t="s">
        <v>120</v>
      </c>
      <c r="E733" t="s">
        <v>60</v>
      </c>
      <c r="F733" t="s">
        <v>25</v>
      </c>
      <c r="G733">
        <v>11</v>
      </c>
      <c r="H733" t="s">
        <v>18</v>
      </c>
      <c r="I733" t="s">
        <v>121</v>
      </c>
      <c r="J733" t="s">
        <v>122</v>
      </c>
      <c r="K733">
        <v>0</v>
      </c>
      <c r="L733" s="84">
        <v>-9760</v>
      </c>
      <c r="M733" s="84">
        <v>0</v>
      </c>
    </row>
    <row r="734" spans="3:13" hidden="1" x14ac:dyDescent="0.25">
      <c r="C734" t="s">
        <v>119</v>
      </c>
      <c r="D734" t="s">
        <v>120</v>
      </c>
      <c r="E734" t="s">
        <v>60</v>
      </c>
      <c r="F734" t="s">
        <v>25</v>
      </c>
      <c r="G734">
        <v>15</v>
      </c>
      <c r="H734" t="s">
        <v>18</v>
      </c>
      <c r="I734" t="s">
        <v>121</v>
      </c>
      <c r="J734" t="s">
        <v>66</v>
      </c>
      <c r="K734">
        <v>1</v>
      </c>
      <c r="L734" s="84">
        <v>-761</v>
      </c>
      <c r="M734" s="84">
        <v>0</v>
      </c>
    </row>
    <row r="735" spans="3:13" hidden="1" x14ac:dyDescent="0.25">
      <c r="C735" t="s">
        <v>119</v>
      </c>
      <c r="D735" t="s">
        <v>120</v>
      </c>
      <c r="E735" t="s">
        <v>63</v>
      </c>
      <c r="F735" t="s">
        <v>124</v>
      </c>
      <c r="G735">
        <v>0</v>
      </c>
      <c r="H735" t="s">
        <v>72</v>
      </c>
      <c r="I735" t="s">
        <v>121</v>
      </c>
      <c r="J735" t="s">
        <v>122</v>
      </c>
      <c r="K735">
        <v>0</v>
      </c>
      <c r="L735" s="84">
        <v>13955236</v>
      </c>
      <c r="M735" s="84">
        <v>0</v>
      </c>
    </row>
    <row r="736" spans="3:13" hidden="1" x14ac:dyDescent="0.25">
      <c r="C736" t="s">
        <v>65</v>
      </c>
      <c r="D736" t="s">
        <v>120</v>
      </c>
      <c r="E736" t="s">
        <v>63</v>
      </c>
      <c r="F736" t="s">
        <v>124</v>
      </c>
      <c r="G736">
        <v>3</v>
      </c>
      <c r="H736" t="s">
        <v>71</v>
      </c>
      <c r="I736" t="s">
        <v>121</v>
      </c>
      <c r="J736" t="s">
        <v>122</v>
      </c>
      <c r="K736">
        <v>0</v>
      </c>
      <c r="L736" s="84">
        <v>124097</v>
      </c>
      <c r="M736" s="84">
        <v>372291</v>
      </c>
    </row>
    <row r="737" spans="3:13" hidden="1" x14ac:dyDescent="0.25">
      <c r="C737" t="s">
        <v>65</v>
      </c>
      <c r="D737" t="s">
        <v>125</v>
      </c>
      <c r="E737" t="s">
        <v>60</v>
      </c>
      <c r="F737" t="s">
        <v>24</v>
      </c>
      <c r="G737">
        <v>5</v>
      </c>
      <c r="I737" t="s">
        <v>121</v>
      </c>
      <c r="J737" t="s">
        <v>122</v>
      </c>
      <c r="K737">
        <v>0</v>
      </c>
      <c r="L737" s="84">
        <v>-554970</v>
      </c>
      <c r="M737" s="84">
        <v>0</v>
      </c>
    </row>
    <row r="738" spans="3:13" x14ac:dyDescent="0.25">
      <c r="C738" t="s">
        <v>119</v>
      </c>
      <c r="D738" t="s">
        <v>120</v>
      </c>
      <c r="E738" t="s">
        <v>63</v>
      </c>
      <c r="F738" t="s">
        <v>25</v>
      </c>
      <c r="G738">
        <v>6</v>
      </c>
      <c r="H738" t="s">
        <v>14</v>
      </c>
      <c r="I738" t="s">
        <v>121</v>
      </c>
      <c r="J738" t="s">
        <v>66</v>
      </c>
      <c r="K738">
        <v>1</v>
      </c>
      <c r="L738" s="84">
        <v>1787093</v>
      </c>
      <c r="M738" s="84">
        <v>10722558</v>
      </c>
    </row>
    <row r="739" spans="3:13" hidden="1" x14ac:dyDescent="0.25">
      <c r="C739" t="s">
        <v>119</v>
      </c>
      <c r="D739" t="s">
        <v>120</v>
      </c>
      <c r="E739" t="s">
        <v>63</v>
      </c>
      <c r="F739" t="s">
        <v>124</v>
      </c>
      <c r="G739">
        <v>1</v>
      </c>
      <c r="H739" t="s">
        <v>18</v>
      </c>
      <c r="I739" t="s">
        <v>121</v>
      </c>
      <c r="J739" t="s">
        <v>66</v>
      </c>
      <c r="K739">
        <v>1</v>
      </c>
      <c r="L739" s="84">
        <v>2236868</v>
      </c>
      <c r="M739" s="84">
        <v>2236868</v>
      </c>
    </row>
    <row r="740" spans="3:13" hidden="1" x14ac:dyDescent="0.25">
      <c r="C740" t="s">
        <v>119</v>
      </c>
      <c r="D740" t="s">
        <v>120</v>
      </c>
      <c r="E740" t="s">
        <v>60</v>
      </c>
      <c r="F740" t="s">
        <v>123</v>
      </c>
      <c r="G740">
        <v>2</v>
      </c>
      <c r="H740" t="s">
        <v>17</v>
      </c>
      <c r="I740" t="s">
        <v>121</v>
      </c>
      <c r="J740" t="s">
        <v>122</v>
      </c>
      <c r="K740">
        <v>0</v>
      </c>
      <c r="L740" s="84">
        <v>-10799</v>
      </c>
      <c r="M740" s="84">
        <v>0</v>
      </c>
    </row>
    <row r="741" spans="3:13" hidden="1" x14ac:dyDescent="0.25">
      <c r="C741" t="s">
        <v>119</v>
      </c>
      <c r="D741" t="s">
        <v>125</v>
      </c>
      <c r="E741" t="s">
        <v>60</v>
      </c>
      <c r="F741" t="s">
        <v>24</v>
      </c>
      <c r="G741">
        <v>24</v>
      </c>
      <c r="I741" t="s">
        <v>121</v>
      </c>
      <c r="J741" t="s">
        <v>122</v>
      </c>
      <c r="K741">
        <v>0</v>
      </c>
      <c r="L741" s="84">
        <v>-300643</v>
      </c>
      <c r="M741" s="84">
        <v>0</v>
      </c>
    </row>
    <row r="742" spans="3:13" hidden="1" x14ac:dyDescent="0.25">
      <c r="C742" t="s">
        <v>65</v>
      </c>
      <c r="D742" t="s">
        <v>125</v>
      </c>
      <c r="E742" t="s">
        <v>63</v>
      </c>
      <c r="F742" t="s">
        <v>24</v>
      </c>
      <c r="G742">
        <v>-1</v>
      </c>
      <c r="I742" t="s">
        <v>121</v>
      </c>
      <c r="J742" t="s">
        <v>122</v>
      </c>
      <c r="K742">
        <v>0</v>
      </c>
      <c r="L742" s="84">
        <v>300012</v>
      </c>
      <c r="M742" s="84">
        <v>0</v>
      </c>
    </row>
    <row r="743" spans="3:13" hidden="1" x14ac:dyDescent="0.25">
      <c r="C743" t="s">
        <v>119</v>
      </c>
      <c r="D743" t="s">
        <v>120</v>
      </c>
      <c r="E743" t="s">
        <v>63</v>
      </c>
      <c r="F743" t="s">
        <v>123</v>
      </c>
      <c r="G743">
        <v>6</v>
      </c>
      <c r="H743" t="s">
        <v>17</v>
      </c>
      <c r="I743" t="s">
        <v>62</v>
      </c>
      <c r="J743" t="s">
        <v>66</v>
      </c>
      <c r="K743">
        <v>1</v>
      </c>
      <c r="L743" s="84">
        <v>109032</v>
      </c>
      <c r="M743" s="84">
        <v>654192</v>
      </c>
    </row>
    <row r="744" spans="3:13" hidden="1" x14ac:dyDescent="0.25">
      <c r="C744" t="s">
        <v>64</v>
      </c>
      <c r="D744" t="s">
        <v>120</v>
      </c>
      <c r="E744" t="s">
        <v>63</v>
      </c>
      <c r="F744" t="s">
        <v>124</v>
      </c>
      <c r="G744">
        <v>1</v>
      </c>
      <c r="H744" t="s">
        <v>70</v>
      </c>
      <c r="I744" t="s">
        <v>121</v>
      </c>
      <c r="J744" t="s">
        <v>122</v>
      </c>
      <c r="K744">
        <v>0</v>
      </c>
      <c r="L744" s="84">
        <v>2598179</v>
      </c>
      <c r="M744" s="84">
        <v>2598179</v>
      </c>
    </row>
    <row r="745" spans="3:13" hidden="1" x14ac:dyDescent="0.25">
      <c r="C745" t="s">
        <v>65</v>
      </c>
      <c r="D745" t="s">
        <v>120</v>
      </c>
      <c r="E745" t="s">
        <v>63</v>
      </c>
      <c r="F745" t="s">
        <v>124</v>
      </c>
      <c r="G745">
        <v>8</v>
      </c>
      <c r="H745" t="s">
        <v>17</v>
      </c>
      <c r="I745" t="s">
        <v>121</v>
      </c>
      <c r="J745" t="s">
        <v>122</v>
      </c>
      <c r="K745">
        <v>0</v>
      </c>
      <c r="L745" s="84">
        <v>388322</v>
      </c>
      <c r="M745" s="84">
        <v>3106576</v>
      </c>
    </row>
    <row r="746" spans="3:13" hidden="1" x14ac:dyDescent="0.25">
      <c r="C746" t="s">
        <v>64</v>
      </c>
      <c r="D746" t="s">
        <v>120</v>
      </c>
      <c r="E746" t="s">
        <v>63</v>
      </c>
      <c r="F746" t="s">
        <v>24</v>
      </c>
      <c r="G746">
        <v>5</v>
      </c>
      <c r="H746" t="s">
        <v>67</v>
      </c>
      <c r="I746" t="s">
        <v>121</v>
      </c>
      <c r="J746" t="s">
        <v>122</v>
      </c>
      <c r="K746">
        <v>0</v>
      </c>
      <c r="L746" s="84">
        <v>1676260</v>
      </c>
      <c r="M746" s="84">
        <v>8381300</v>
      </c>
    </row>
    <row r="747" spans="3:13" hidden="1" x14ac:dyDescent="0.25">
      <c r="C747" t="s">
        <v>64</v>
      </c>
      <c r="D747" t="s">
        <v>120</v>
      </c>
      <c r="E747" t="s">
        <v>63</v>
      </c>
      <c r="F747" t="s">
        <v>124</v>
      </c>
      <c r="G747">
        <v>2</v>
      </c>
      <c r="H747" t="s">
        <v>12</v>
      </c>
      <c r="I747" t="s">
        <v>121</v>
      </c>
      <c r="J747" t="s">
        <v>66</v>
      </c>
      <c r="K747">
        <v>1</v>
      </c>
      <c r="L747" s="84">
        <v>1030739</v>
      </c>
      <c r="M747" s="84">
        <v>2061478</v>
      </c>
    </row>
    <row r="748" spans="3:13" hidden="1" x14ac:dyDescent="0.25">
      <c r="C748" t="s">
        <v>64</v>
      </c>
      <c r="D748" t="s">
        <v>120</v>
      </c>
      <c r="E748" t="s">
        <v>63</v>
      </c>
      <c r="F748" t="s">
        <v>124</v>
      </c>
      <c r="G748">
        <v>2</v>
      </c>
      <c r="H748" t="s">
        <v>17</v>
      </c>
      <c r="I748" t="s">
        <v>62</v>
      </c>
      <c r="J748" t="s">
        <v>122</v>
      </c>
      <c r="K748">
        <v>1</v>
      </c>
      <c r="L748" s="84">
        <v>29123</v>
      </c>
      <c r="M748" s="84">
        <v>58246</v>
      </c>
    </row>
    <row r="749" spans="3:13" hidden="1" x14ac:dyDescent="0.25">
      <c r="C749" t="s">
        <v>119</v>
      </c>
      <c r="D749" t="s">
        <v>120</v>
      </c>
      <c r="E749" t="s">
        <v>60</v>
      </c>
      <c r="F749" t="s">
        <v>25</v>
      </c>
      <c r="G749">
        <v>6</v>
      </c>
      <c r="H749" t="s">
        <v>13</v>
      </c>
      <c r="I749" t="s">
        <v>121</v>
      </c>
      <c r="J749" t="s">
        <v>122</v>
      </c>
      <c r="K749">
        <v>0</v>
      </c>
      <c r="L749" s="84">
        <v>-45</v>
      </c>
      <c r="M749" s="84">
        <v>0</v>
      </c>
    </row>
    <row r="750" spans="3:13" hidden="1" x14ac:dyDescent="0.25">
      <c r="C750" t="s">
        <v>119</v>
      </c>
      <c r="D750" t="s">
        <v>120</v>
      </c>
      <c r="E750" t="s">
        <v>63</v>
      </c>
      <c r="F750" t="s">
        <v>24</v>
      </c>
      <c r="G750">
        <v>13</v>
      </c>
      <c r="H750" t="s">
        <v>68</v>
      </c>
      <c r="I750" t="s">
        <v>121</v>
      </c>
      <c r="J750" t="s">
        <v>122</v>
      </c>
      <c r="K750">
        <v>0</v>
      </c>
      <c r="L750" s="84">
        <v>3283638</v>
      </c>
      <c r="M750" s="84">
        <v>42687294</v>
      </c>
    </row>
    <row r="751" spans="3:13" hidden="1" x14ac:dyDescent="0.25">
      <c r="C751" t="s">
        <v>64</v>
      </c>
      <c r="D751" t="s">
        <v>120</v>
      </c>
      <c r="E751" t="s">
        <v>60</v>
      </c>
      <c r="F751" t="s">
        <v>25</v>
      </c>
      <c r="G751">
        <v>6</v>
      </c>
      <c r="H751" t="s">
        <v>14</v>
      </c>
      <c r="I751" t="s">
        <v>121</v>
      </c>
      <c r="J751" t="s">
        <v>122</v>
      </c>
      <c r="K751">
        <v>0</v>
      </c>
      <c r="L751" s="84">
        <v>-44909</v>
      </c>
      <c r="M751" s="84">
        <v>0</v>
      </c>
    </row>
    <row r="752" spans="3:13" hidden="1" x14ac:dyDescent="0.25">
      <c r="C752" t="s">
        <v>65</v>
      </c>
      <c r="D752" t="s">
        <v>120</v>
      </c>
      <c r="E752" t="s">
        <v>63</v>
      </c>
      <c r="F752" t="s">
        <v>123</v>
      </c>
      <c r="G752">
        <v>0</v>
      </c>
      <c r="H752" t="s">
        <v>12</v>
      </c>
      <c r="I752" t="s">
        <v>62</v>
      </c>
      <c r="J752" t="s">
        <v>66</v>
      </c>
      <c r="K752">
        <v>1</v>
      </c>
      <c r="L752" s="84">
        <v>5955</v>
      </c>
      <c r="M752" s="84">
        <v>0</v>
      </c>
    </row>
    <row r="753" spans="3:13" hidden="1" x14ac:dyDescent="0.25">
      <c r="C753" t="s">
        <v>65</v>
      </c>
      <c r="D753" t="s">
        <v>120</v>
      </c>
      <c r="E753" t="s">
        <v>60</v>
      </c>
      <c r="F753" t="s">
        <v>124</v>
      </c>
      <c r="G753">
        <v>2</v>
      </c>
      <c r="H753" t="s">
        <v>17</v>
      </c>
      <c r="I753" t="s">
        <v>121</v>
      </c>
      <c r="J753" t="s">
        <v>66</v>
      </c>
      <c r="K753">
        <v>1</v>
      </c>
      <c r="L753" s="84">
        <v>-41345</v>
      </c>
      <c r="M753" s="84">
        <v>0</v>
      </c>
    </row>
    <row r="754" spans="3:13" hidden="1" x14ac:dyDescent="0.25">
      <c r="C754" t="s">
        <v>64</v>
      </c>
      <c r="D754" t="s">
        <v>120</v>
      </c>
      <c r="E754" t="s">
        <v>60</v>
      </c>
      <c r="F754" t="s">
        <v>123</v>
      </c>
      <c r="G754">
        <v>2</v>
      </c>
      <c r="H754" t="s">
        <v>17</v>
      </c>
      <c r="I754" t="s">
        <v>121</v>
      </c>
      <c r="J754" t="s">
        <v>122</v>
      </c>
      <c r="K754">
        <v>0</v>
      </c>
      <c r="L754" s="84">
        <v>-47920</v>
      </c>
      <c r="M754" s="84">
        <v>0</v>
      </c>
    </row>
    <row r="755" spans="3:13" hidden="1" x14ac:dyDescent="0.25">
      <c r="C755" t="s">
        <v>119</v>
      </c>
      <c r="D755" t="s">
        <v>120</v>
      </c>
      <c r="E755" t="s">
        <v>63</v>
      </c>
      <c r="F755" t="s">
        <v>123</v>
      </c>
      <c r="G755">
        <v>1</v>
      </c>
      <c r="H755" t="s">
        <v>13</v>
      </c>
      <c r="I755" t="s">
        <v>121</v>
      </c>
      <c r="J755" t="s">
        <v>122</v>
      </c>
      <c r="K755">
        <v>0</v>
      </c>
      <c r="L755" s="84">
        <v>468558</v>
      </c>
      <c r="M755" s="84">
        <v>468558</v>
      </c>
    </row>
    <row r="756" spans="3:13" hidden="1" x14ac:dyDescent="0.25">
      <c r="C756" t="s">
        <v>119</v>
      </c>
      <c r="D756" t="s">
        <v>120</v>
      </c>
      <c r="E756" t="s">
        <v>63</v>
      </c>
      <c r="F756" t="s">
        <v>124</v>
      </c>
      <c r="G756">
        <v>8</v>
      </c>
      <c r="H756" t="s">
        <v>68</v>
      </c>
      <c r="I756" t="s">
        <v>121</v>
      </c>
      <c r="J756" t="s">
        <v>122</v>
      </c>
      <c r="K756">
        <v>0</v>
      </c>
      <c r="L756" s="84">
        <v>692401</v>
      </c>
      <c r="M756" s="84">
        <v>5539208</v>
      </c>
    </row>
    <row r="757" spans="3:13" hidden="1" x14ac:dyDescent="0.25">
      <c r="C757" t="s">
        <v>119</v>
      </c>
      <c r="D757" t="s">
        <v>120</v>
      </c>
      <c r="E757" t="s">
        <v>63</v>
      </c>
      <c r="F757" t="s">
        <v>24</v>
      </c>
      <c r="G757">
        <v>3</v>
      </c>
      <c r="H757" t="s">
        <v>14</v>
      </c>
      <c r="I757" t="s">
        <v>121</v>
      </c>
      <c r="J757" t="s">
        <v>66</v>
      </c>
      <c r="K757">
        <v>1</v>
      </c>
      <c r="L757" s="84">
        <v>212372</v>
      </c>
      <c r="M757" s="84">
        <v>637116</v>
      </c>
    </row>
    <row r="758" spans="3:13" hidden="1" x14ac:dyDescent="0.25">
      <c r="C758" t="s">
        <v>119</v>
      </c>
      <c r="D758" t="s">
        <v>120</v>
      </c>
      <c r="E758" t="s">
        <v>60</v>
      </c>
      <c r="F758" t="s">
        <v>123</v>
      </c>
      <c r="G758">
        <v>5</v>
      </c>
      <c r="H758" t="s">
        <v>71</v>
      </c>
      <c r="I758" t="s">
        <v>121</v>
      </c>
      <c r="J758" t="s">
        <v>122</v>
      </c>
      <c r="K758">
        <v>0</v>
      </c>
      <c r="L758" s="84">
        <v>-1076</v>
      </c>
      <c r="M758" s="84">
        <v>0</v>
      </c>
    </row>
    <row r="759" spans="3:13" hidden="1" x14ac:dyDescent="0.25">
      <c r="C759" t="s">
        <v>119</v>
      </c>
      <c r="D759" t="s">
        <v>120</v>
      </c>
      <c r="E759" t="s">
        <v>63</v>
      </c>
      <c r="F759" t="s">
        <v>124</v>
      </c>
      <c r="G759">
        <v>6</v>
      </c>
      <c r="H759" t="s">
        <v>12</v>
      </c>
      <c r="I759" t="s">
        <v>121</v>
      </c>
      <c r="J759" t="s">
        <v>122</v>
      </c>
      <c r="K759">
        <v>0</v>
      </c>
      <c r="L759" s="84">
        <v>418203</v>
      </c>
      <c r="M759" s="84">
        <v>2509218</v>
      </c>
    </row>
    <row r="760" spans="3:13" hidden="1" x14ac:dyDescent="0.25">
      <c r="C760" t="s">
        <v>119</v>
      </c>
      <c r="D760" t="s">
        <v>120</v>
      </c>
      <c r="E760" t="s">
        <v>60</v>
      </c>
      <c r="F760" t="s">
        <v>123</v>
      </c>
      <c r="G760">
        <v>0</v>
      </c>
      <c r="H760" t="s">
        <v>68</v>
      </c>
      <c r="I760" t="s">
        <v>121</v>
      </c>
      <c r="J760" t="s">
        <v>122</v>
      </c>
      <c r="K760">
        <v>0</v>
      </c>
      <c r="L760" s="84">
        <v>-1064</v>
      </c>
      <c r="M760" s="84">
        <v>0</v>
      </c>
    </row>
    <row r="761" spans="3:13" hidden="1" x14ac:dyDescent="0.25">
      <c r="C761" t="s">
        <v>119</v>
      </c>
      <c r="D761" t="s">
        <v>125</v>
      </c>
      <c r="E761" t="s">
        <v>60</v>
      </c>
      <c r="F761" t="s">
        <v>24</v>
      </c>
      <c r="G761">
        <v>7</v>
      </c>
      <c r="I761" t="s">
        <v>121</v>
      </c>
      <c r="J761" t="s">
        <v>122</v>
      </c>
      <c r="K761">
        <v>0</v>
      </c>
      <c r="L761" s="84">
        <v>-64466</v>
      </c>
      <c r="M761" s="84">
        <v>0</v>
      </c>
    </row>
    <row r="762" spans="3:13" hidden="1" x14ac:dyDescent="0.25">
      <c r="C762" t="s">
        <v>119</v>
      </c>
      <c r="D762" t="s">
        <v>120</v>
      </c>
      <c r="E762" t="s">
        <v>60</v>
      </c>
      <c r="F762" t="s">
        <v>24</v>
      </c>
      <c r="G762">
        <v>16</v>
      </c>
      <c r="H762" t="s">
        <v>72</v>
      </c>
      <c r="I762" t="s">
        <v>121</v>
      </c>
      <c r="J762" t="s">
        <v>122</v>
      </c>
      <c r="K762">
        <v>0</v>
      </c>
      <c r="L762" s="84">
        <v>-269</v>
      </c>
      <c r="M762" s="84">
        <v>0</v>
      </c>
    </row>
    <row r="763" spans="3:13" hidden="1" x14ac:dyDescent="0.25">
      <c r="C763" t="s">
        <v>119</v>
      </c>
      <c r="D763" t="s">
        <v>120</v>
      </c>
      <c r="E763" t="s">
        <v>60</v>
      </c>
      <c r="F763" t="s">
        <v>25</v>
      </c>
      <c r="G763">
        <v>4</v>
      </c>
      <c r="H763" t="s">
        <v>72</v>
      </c>
      <c r="I763" t="s">
        <v>121</v>
      </c>
      <c r="J763" t="s">
        <v>122</v>
      </c>
      <c r="K763">
        <v>0</v>
      </c>
      <c r="L763" s="84">
        <v>-1215</v>
      </c>
      <c r="M763" s="84">
        <v>0</v>
      </c>
    </row>
    <row r="764" spans="3:13" hidden="1" x14ac:dyDescent="0.25">
      <c r="C764" t="s">
        <v>119</v>
      </c>
      <c r="D764" t="s">
        <v>120</v>
      </c>
      <c r="E764" t="s">
        <v>60</v>
      </c>
      <c r="F764" t="s">
        <v>123</v>
      </c>
      <c r="G764">
        <v>7</v>
      </c>
      <c r="H764" t="s">
        <v>75</v>
      </c>
      <c r="I764" t="s">
        <v>121</v>
      </c>
      <c r="J764" t="s">
        <v>122</v>
      </c>
      <c r="K764">
        <v>0</v>
      </c>
      <c r="L764" s="84">
        <v>-22191</v>
      </c>
      <c r="M764" s="84">
        <v>0</v>
      </c>
    </row>
    <row r="765" spans="3:13" hidden="1" x14ac:dyDescent="0.25">
      <c r="C765" t="s">
        <v>64</v>
      </c>
      <c r="D765" t="s">
        <v>120</v>
      </c>
      <c r="E765" t="s">
        <v>60</v>
      </c>
      <c r="F765" t="s">
        <v>124</v>
      </c>
      <c r="G765">
        <v>4</v>
      </c>
      <c r="H765" t="s">
        <v>12</v>
      </c>
      <c r="I765" t="s">
        <v>121</v>
      </c>
      <c r="J765" t="s">
        <v>122</v>
      </c>
      <c r="K765">
        <v>0</v>
      </c>
      <c r="L765" s="84">
        <v>-82810</v>
      </c>
      <c r="M765" s="84">
        <v>0</v>
      </c>
    </row>
    <row r="766" spans="3:13" hidden="1" x14ac:dyDescent="0.25">
      <c r="C766" t="s">
        <v>119</v>
      </c>
      <c r="D766" t="s">
        <v>126</v>
      </c>
      <c r="E766" t="s">
        <v>63</v>
      </c>
      <c r="F766" t="s">
        <v>24</v>
      </c>
      <c r="G766">
        <v>9</v>
      </c>
      <c r="H766" t="s">
        <v>68</v>
      </c>
      <c r="I766" t="s">
        <v>121</v>
      </c>
      <c r="J766" t="s">
        <v>122</v>
      </c>
      <c r="K766">
        <v>0</v>
      </c>
      <c r="L766" s="84">
        <v>15223088</v>
      </c>
      <c r="M766" s="84">
        <v>137007792</v>
      </c>
    </row>
    <row r="767" spans="3:13" hidden="1" x14ac:dyDescent="0.25">
      <c r="C767" t="s">
        <v>65</v>
      </c>
      <c r="D767" t="s">
        <v>120</v>
      </c>
      <c r="E767" t="s">
        <v>63</v>
      </c>
      <c r="F767" t="s">
        <v>124</v>
      </c>
      <c r="G767">
        <v>7</v>
      </c>
      <c r="H767" t="s">
        <v>75</v>
      </c>
      <c r="I767" t="s">
        <v>121</v>
      </c>
      <c r="J767" t="s">
        <v>122</v>
      </c>
      <c r="K767">
        <v>0</v>
      </c>
      <c r="L767" s="84">
        <v>75319</v>
      </c>
      <c r="M767" s="84">
        <v>527233</v>
      </c>
    </row>
    <row r="768" spans="3:13" hidden="1" x14ac:dyDescent="0.25">
      <c r="C768" t="s">
        <v>119</v>
      </c>
      <c r="D768" t="s">
        <v>120</v>
      </c>
      <c r="E768" t="s">
        <v>63</v>
      </c>
      <c r="F768" t="s">
        <v>25</v>
      </c>
      <c r="G768">
        <v>15</v>
      </c>
      <c r="H768" t="s">
        <v>70</v>
      </c>
      <c r="I768" t="s">
        <v>121</v>
      </c>
      <c r="J768" t="s">
        <v>122</v>
      </c>
      <c r="K768">
        <v>0</v>
      </c>
      <c r="L768" s="84">
        <v>54686</v>
      </c>
      <c r="M768" s="84">
        <v>820290</v>
      </c>
    </row>
    <row r="769" spans="3:13" hidden="1" x14ac:dyDescent="0.25">
      <c r="C769" t="s">
        <v>64</v>
      </c>
      <c r="D769" t="s">
        <v>120</v>
      </c>
      <c r="E769" t="s">
        <v>60</v>
      </c>
      <c r="F769" t="s">
        <v>25</v>
      </c>
      <c r="G769">
        <v>4</v>
      </c>
      <c r="H769" t="s">
        <v>71</v>
      </c>
      <c r="I769" t="s">
        <v>121</v>
      </c>
      <c r="J769" t="s">
        <v>122</v>
      </c>
      <c r="K769">
        <v>0</v>
      </c>
      <c r="L769" s="84">
        <v>-6824</v>
      </c>
      <c r="M769" s="84">
        <v>0</v>
      </c>
    </row>
    <row r="770" spans="3:13" hidden="1" x14ac:dyDescent="0.25">
      <c r="C770" t="s">
        <v>119</v>
      </c>
      <c r="D770" t="s">
        <v>120</v>
      </c>
      <c r="E770" t="s">
        <v>60</v>
      </c>
      <c r="F770" t="s">
        <v>124</v>
      </c>
      <c r="G770">
        <v>3</v>
      </c>
      <c r="H770" t="s">
        <v>74</v>
      </c>
      <c r="I770" t="s">
        <v>121</v>
      </c>
      <c r="J770" t="s">
        <v>122</v>
      </c>
      <c r="K770">
        <v>0</v>
      </c>
      <c r="L770" s="84">
        <v>-428</v>
      </c>
      <c r="M770" s="84">
        <v>0</v>
      </c>
    </row>
    <row r="771" spans="3:13" hidden="1" x14ac:dyDescent="0.25">
      <c r="C771" t="s">
        <v>65</v>
      </c>
      <c r="D771" t="s">
        <v>120</v>
      </c>
      <c r="E771" t="s">
        <v>63</v>
      </c>
      <c r="F771" t="s">
        <v>24</v>
      </c>
      <c r="G771">
        <v>12</v>
      </c>
      <c r="H771" t="s">
        <v>18</v>
      </c>
      <c r="I771" t="s">
        <v>121</v>
      </c>
      <c r="J771" t="s">
        <v>122</v>
      </c>
      <c r="K771">
        <v>0</v>
      </c>
      <c r="L771" s="84">
        <v>45075</v>
      </c>
      <c r="M771" s="84">
        <v>540900</v>
      </c>
    </row>
    <row r="772" spans="3:13" hidden="1" x14ac:dyDescent="0.25">
      <c r="C772" t="s">
        <v>119</v>
      </c>
      <c r="D772" t="s">
        <v>120</v>
      </c>
      <c r="E772" t="s">
        <v>63</v>
      </c>
      <c r="F772" t="s">
        <v>24</v>
      </c>
      <c r="G772">
        <v>-1</v>
      </c>
      <c r="H772" t="s">
        <v>67</v>
      </c>
      <c r="I772" t="s">
        <v>121</v>
      </c>
      <c r="J772" t="s">
        <v>122</v>
      </c>
      <c r="K772">
        <v>0</v>
      </c>
      <c r="L772" s="84">
        <v>200448</v>
      </c>
      <c r="M772" s="84">
        <v>0</v>
      </c>
    </row>
    <row r="773" spans="3:13" hidden="1" x14ac:dyDescent="0.25">
      <c r="C773" t="s">
        <v>64</v>
      </c>
      <c r="D773" t="s">
        <v>120</v>
      </c>
      <c r="E773" t="s">
        <v>60</v>
      </c>
      <c r="F773" t="s">
        <v>24</v>
      </c>
      <c r="G773">
        <v>8</v>
      </c>
      <c r="H773" t="s">
        <v>12</v>
      </c>
      <c r="I773" t="s">
        <v>121</v>
      </c>
      <c r="J773" t="s">
        <v>122</v>
      </c>
      <c r="K773">
        <v>0</v>
      </c>
      <c r="L773" s="84">
        <v>-2510</v>
      </c>
      <c r="M773" s="84">
        <v>0</v>
      </c>
    </row>
    <row r="774" spans="3:13" hidden="1" x14ac:dyDescent="0.25">
      <c r="C774" t="s">
        <v>119</v>
      </c>
      <c r="D774" t="s">
        <v>120</v>
      </c>
      <c r="E774" t="s">
        <v>63</v>
      </c>
      <c r="F774" t="s">
        <v>124</v>
      </c>
      <c r="G774">
        <v>14</v>
      </c>
      <c r="H774" t="s">
        <v>12</v>
      </c>
      <c r="I774" t="s">
        <v>121</v>
      </c>
      <c r="J774" t="s">
        <v>66</v>
      </c>
      <c r="K774">
        <v>1</v>
      </c>
      <c r="L774" s="84">
        <v>3015774</v>
      </c>
      <c r="M774" s="84">
        <v>42220836</v>
      </c>
    </row>
    <row r="775" spans="3:13" hidden="1" x14ac:dyDescent="0.25">
      <c r="C775" t="s">
        <v>65</v>
      </c>
      <c r="D775" t="s">
        <v>120</v>
      </c>
      <c r="E775" t="s">
        <v>63</v>
      </c>
      <c r="F775" t="s">
        <v>25</v>
      </c>
      <c r="G775">
        <v>0</v>
      </c>
      <c r="H775" t="s">
        <v>14</v>
      </c>
      <c r="I775" t="s">
        <v>121</v>
      </c>
      <c r="J775" t="s">
        <v>122</v>
      </c>
      <c r="K775">
        <v>0</v>
      </c>
      <c r="L775" s="84">
        <v>261749</v>
      </c>
      <c r="M775" s="84">
        <v>0</v>
      </c>
    </row>
    <row r="776" spans="3:13" hidden="1" x14ac:dyDescent="0.25">
      <c r="C776" t="s">
        <v>119</v>
      </c>
      <c r="D776" t="s">
        <v>120</v>
      </c>
      <c r="E776" t="s">
        <v>63</v>
      </c>
      <c r="F776" t="s">
        <v>123</v>
      </c>
      <c r="G776">
        <v>4</v>
      </c>
      <c r="H776" t="s">
        <v>75</v>
      </c>
      <c r="I776" t="s">
        <v>121</v>
      </c>
      <c r="J776" t="s">
        <v>122</v>
      </c>
      <c r="K776">
        <v>0</v>
      </c>
      <c r="L776" s="84">
        <v>26470503</v>
      </c>
      <c r="M776" s="84">
        <v>105882012</v>
      </c>
    </row>
    <row r="777" spans="3:13" hidden="1" x14ac:dyDescent="0.25">
      <c r="C777" t="s">
        <v>119</v>
      </c>
      <c r="D777" t="s">
        <v>120</v>
      </c>
      <c r="E777" t="s">
        <v>60</v>
      </c>
      <c r="F777" t="s">
        <v>24</v>
      </c>
      <c r="G777">
        <v>12</v>
      </c>
      <c r="H777" t="s">
        <v>69</v>
      </c>
      <c r="I777" t="s">
        <v>121</v>
      </c>
      <c r="J777" t="s">
        <v>122</v>
      </c>
      <c r="K777">
        <v>0</v>
      </c>
      <c r="L777" s="84">
        <v>-498676</v>
      </c>
      <c r="M777" s="84">
        <v>0</v>
      </c>
    </row>
    <row r="778" spans="3:13" hidden="1" x14ac:dyDescent="0.25">
      <c r="C778" t="s">
        <v>119</v>
      </c>
      <c r="D778" t="s">
        <v>120</v>
      </c>
      <c r="E778" t="s">
        <v>63</v>
      </c>
      <c r="F778" t="s">
        <v>123</v>
      </c>
      <c r="G778">
        <v>5</v>
      </c>
      <c r="H778" t="s">
        <v>12</v>
      </c>
      <c r="I778" t="s">
        <v>121</v>
      </c>
      <c r="J778" t="s">
        <v>66</v>
      </c>
      <c r="K778">
        <v>1</v>
      </c>
      <c r="L778" s="84">
        <v>861528</v>
      </c>
      <c r="M778" s="84">
        <v>4307640</v>
      </c>
    </row>
    <row r="779" spans="3:13" hidden="1" x14ac:dyDescent="0.25">
      <c r="C779" t="s">
        <v>119</v>
      </c>
      <c r="D779" t="s">
        <v>120</v>
      </c>
      <c r="E779" t="s">
        <v>60</v>
      </c>
      <c r="F779" t="s">
        <v>124</v>
      </c>
      <c r="G779">
        <v>1</v>
      </c>
      <c r="H779" t="s">
        <v>68</v>
      </c>
      <c r="I779" t="s">
        <v>121</v>
      </c>
      <c r="J779" t="s">
        <v>122</v>
      </c>
      <c r="K779">
        <v>0</v>
      </c>
      <c r="L779" s="84">
        <v>-43958</v>
      </c>
      <c r="M779" s="84">
        <v>0</v>
      </c>
    </row>
    <row r="780" spans="3:13" hidden="1" x14ac:dyDescent="0.25">
      <c r="C780" t="s">
        <v>119</v>
      </c>
      <c r="D780" t="s">
        <v>120</v>
      </c>
      <c r="E780" t="s">
        <v>60</v>
      </c>
      <c r="F780" t="s">
        <v>25</v>
      </c>
      <c r="G780">
        <v>5</v>
      </c>
      <c r="H780" t="s">
        <v>73</v>
      </c>
      <c r="I780" t="s">
        <v>121</v>
      </c>
      <c r="J780" t="s">
        <v>122</v>
      </c>
      <c r="K780">
        <v>0</v>
      </c>
      <c r="L780" s="84">
        <v>-18</v>
      </c>
      <c r="M780" s="84">
        <v>0</v>
      </c>
    </row>
    <row r="781" spans="3:13" hidden="1" x14ac:dyDescent="0.25">
      <c r="C781" t="s">
        <v>65</v>
      </c>
      <c r="D781" t="s">
        <v>120</v>
      </c>
      <c r="E781" t="s">
        <v>60</v>
      </c>
      <c r="F781" t="s">
        <v>124</v>
      </c>
      <c r="G781">
        <v>0</v>
      </c>
      <c r="H781" t="s">
        <v>16</v>
      </c>
      <c r="I781" t="s">
        <v>121</v>
      </c>
      <c r="J781" t="s">
        <v>122</v>
      </c>
      <c r="K781">
        <v>0</v>
      </c>
      <c r="L781" s="84">
        <v>-3013</v>
      </c>
      <c r="M781" s="84">
        <v>0</v>
      </c>
    </row>
    <row r="782" spans="3:13" hidden="1" x14ac:dyDescent="0.25">
      <c r="C782" t="s">
        <v>64</v>
      </c>
      <c r="D782" t="s">
        <v>120</v>
      </c>
      <c r="E782" t="s">
        <v>63</v>
      </c>
      <c r="F782" t="s">
        <v>123</v>
      </c>
      <c r="G782">
        <v>0</v>
      </c>
      <c r="H782" t="s">
        <v>68</v>
      </c>
      <c r="I782" t="s">
        <v>121</v>
      </c>
      <c r="J782" t="s">
        <v>122</v>
      </c>
      <c r="K782">
        <v>0</v>
      </c>
      <c r="L782" s="84">
        <v>17417</v>
      </c>
      <c r="M782" s="84">
        <v>0</v>
      </c>
    </row>
    <row r="783" spans="3:13" hidden="1" x14ac:dyDescent="0.25">
      <c r="C783" t="s">
        <v>64</v>
      </c>
      <c r="D783" t="s">
        <v>120</v>
      </c>
      <c r="E783" t="s">
        <v>60</v>
      </c>
      <c r="F783" t="s">
        <v>25</v>
      </c>
      <c r="G783">
        <v>3</v>
      </c>
      <c r="H783" t="s">
        <v>69</v>
      </c>
      <c r="I783" t="s">
        <v>121</v>
      </c>
      <c r="J783" t="s">
        <v>122</v>
      </c>
      <c r="K783">
        <v>0</v>
      </c>
      <c r="L783" s="84">
        <v>-6108</v>
      </c>
      <c r="M783" s="84">
        <v>0</v>
      </c>
    </row>
    <row r="784" spans="3:13" hidden="1" x14ac:dyDescent="0.25">
      <c r="C784" t="s">
        <v>65</v>
      </c>
      <c r="D784" t="s">
        <v>120</v>
      </c>
      <c r="E784" t="s">
        <v>63</v>
      </c>
      <c r="F784" t="s">
        <v>123</v>
      </c>
      <c r="G784">
        <v>-4</v>
      </c>
      <c r="H784" t="s">
        <v>18</v>
      </c>
      <c r="I784" t="s">
        <v>121</v>
      </c>
      <c r="J784" t="s">
        <v>66</v>
      </c>
      <c r="K784">
        <v>1</v>
      </c>
      <c r="L784" s="84">
        <v>8506</v>
      </c>
      <c r="M784" s="84">
        <v>0</v>
      </c>
    </row>
    <row r="785" spans="3:13" hidden="1" x14ac:dyDescent="0.25">
      <c r="C785" t="s">
        <v>64</v>
      </c>
      <c r="D785" t="s">
        <v>120</v>
      </c>
      <c r="E785" t="s">
        <v>63</v>
      </c>
      <c r="F785" t="s">
        <v>123</v>
      </c>
      <c r="G785">
        <v>3</v>
      </c>
      <c r="H785" t="s">
        <v>67</v>
      </c>
      <c r="I785" t="s">
        <v>121</v>
      </c>
      <c r="J785" t="s">
        <v>122</v>
      </c>
      <c r="K785">
        <v>0</v>
      </c>
      <c r="L785" s="84">
        <v>758965</v>
      </c>
      <c r="M785" s="84">
        <v>2276895</v>
      </c>
    </row>
    <row r="786" spans="3:13" hidden="1" x14ac:dyDescent="0.25">
      <c r="C786" t="s">
        <v>64</v>
      </c>
      <c r="D786" t="s">
        <v>120</v>
      </c>
      <c r="E786" t="s">
        <v>60</v>
      </c>
      <c r="F786" t="s">
        <v>124</v>
      </c>
      <c r="G786">
        <v>3</v>
      </c>
      <c r="H786" t="s">
        <v>16</v>
      </c>
      <c r="I786" t="s">
        <v>121</v>
      </c>
      <c r="J786" t="s">
        <v>122</v>
      </c>
      <c r="K786">
        <v>0</v>
      </c>
      <c r="L786" s="84">
        <v>-17222</v>
      </c>
      <c r="M786" s="84">
        <v>0</v>
      </c>
    </row>
    <row r="787" spans="3:13" hidden="1" x14ac:dyDescent="0.25">
      <c r="C787" t="s">
        <v>119</v>
      </c>
      <c r="D787" t="s">
        <v>126</v>
      </c>
      <c r="E787" t="s">
        <v>60</v>
      </c>
      <c r="F787" t="s">
        <v>25</v>
      </c>
      <c r="G787">
        <v>4</v>
      </c>
      <c r="H787" t="s">
        <v>74</v>
      </c>
      <c r="I787" t="s">
        <v>121</v>
      </c>
      <c r="J787" t="s">
        <v>122</v>
      </c>
      <c r="K787">
        <v>0</v>
      </c>
      <c r="L787" s="84">
        <v>-20298</v>
      </c>
      <c r="M787" s="84">
        <v>0</v>
      </c>
    </row>
    <row r="788" spans="3:13" hidden="1" x14ac:dyDescent="0.25">
      <c r="C788" t="s">
        <v>64</v>
      </c>
      <c r="D788" t="s">
        <v>120</v>
      </c>
      <c r="E788" t="s">
        <v>63</v>
      </c>
      <c r="F788" t="s">
        <v>24</v>
      </c>
      <c r="G788">
        <v>8</v>
      </c>
      <c r="H788" t="s">
        <v>70</v>
      </c>
      <c r="I788" t="s">
        <v>121</v>
      </c>
      <c r="J788" t="s">
        <v>122</v>
      </c>
      <c r="K788">
        <v>0</v>
      </c>
      <c r="L788" s="84">
        <v>754550</v>
      </c>
      <c r="M788" s="84">
        <v>6036400</v>
      </c>
    </row>
    <row r="789" spans="3:13" hidden="1" x14ac:dyDescent="0.25">
      <c r="C789" t="s">
        <v>65</v>
      </c>
      <c r="D789" t="s">
        <v>120</v>
      </c>
      <c r="E789" t="s">
        <v>60</v>
      </c>
      <c r="F789" t="s">
        <v>124</v>
      </c>
      <c r="G789">
        <v>-4</v>
      </c>
      <c r="H789" t="s">
        <v>18</v>
      </c>
      <c r="I789" t="s">
        <v>121</v>
      </c>
      <c r="J789" t="s">
        <v>122</v>
      </c>
      <c r="K789">
        <v>0</v>
      </c>
      <c r="L789" s="84">
        <v>-10751891</v>
      </c>
      <c r="M789" s="84">
        <v>0</v>
      </c>
    </row>
    <row r="790" spans="3:13" hidden="1" x14ac:dyDescent="0.25">
      <c r="C790" t="s">
        <v>64</v>
      </c>
      <c r="D790" t="s">
        <v>120</v>
      </c>
      <c r="E790" t="s">
        <v>60</v>
      </c>
      <c r="F790" t="s">
        <v>123</v>
      </c>
      <c r="G790">
        <v>1</v>
      </c>
      <c r="H790" t="s">
        <v>61</v>
      </c>
      <c r="I790" t="s">
        <v>121</v>
      </c>
      <c r="J790" t="s">
        <v>122</v>
      </c>
      <c r="K790">
        <v>0</v>
      </c>
      <c r="L790" s="84">
        <v>-19537</v>
      </c>
      <c r="M790" s="84">
        <v>0</v>
      </c>
    </row>
    <row r="791" spans="3:13" hidden="1" x14ac:dyDescent="0.25">
      <c r="C791" t="s">
        <v>119</v>
      </c>
      <c r="D791" t="s">
        <v>120</v>
      </c>
      <c r="E791" t="s">
        <v>63</v>
      </c>
      <c r="F791" t="s">
        <v>25</v>
      </c>
      <c r="G791">
        <v>2</v>
      </c>
      <c r="H791" t="s">
        <v>68</v>
      </c>
      <c r="I791" t="s">
        <v>121</v>
      </c>
      <c r="J791" t="s">
        <v>122</v>
      </c>
      <c r="K791">
        <v>0</v>
      </c>
      <c r="L791" s="84">
        <v>14507838</v>
      </c>
      <c r="M791" s="84">
        <v>29015676</v>
      </c>
    </row>
    <row r="792" spans="3:13" hidden="1" x14ac:dyDescent="0.25">
      <c r="C792" t="s">
        <v>64</v>
      </c>
      <c r="D792" t="s">
        <v>120</v>
      </c>
      <c r="E792" t="s">
        <v>60</v>
      </c>
      <c r="F792" t="s">
        <v>24</v>
      </c>
      <c r="G792">
        <v>6</v>
      </c>
      <c r="H792" t="s">
        <v>68</v>
      </c>
      <c r="I792" t="s">
        <v>121</v>
      </c>
      <c r="J792" t="s">
        <v>122</v>
      </c>
      <c r="K792">
        <v>0</v>
      </c>
      <c r="L792" s="84">
        <v>-42513</v>
      </c>
      <c r="M792" s="84">
        <v>0</v>
      </c>
    </row>
    <row r="793" spans="3:13" hidden="1" x14ac:dyDescent="0.25">
      <c r="C793" t="s">
        <v>65</v>
      </c>
      <c r="D793" t="s">
        <v>120</v>
      </c>
      <c r="E793" t="s">
        <v>63</v>
      </c>
      <c r="F793" t="s">
        <v>124</v>
      </c>
      <c r="G793">
        <v>5</v>
      </c>
      <c r="H793" t="s">
        <v>17</v>
      </c>
      <c r="I793" t="s">
        <v>121</v>
      </c>
      <c r="J793" t="s">
        <v>66</v>
      </c>
      <c r="K793">
        <v>1</v>
      </c>
      <c r="L793" s="84">
        <v>127714</v>
      </c>
      <c r="M793" s="84">
        <v>638570</v>
      </c>
    </row>
    <row r="794" spans="3:13" hidden="1" x14ac:dyDescent="0.25">
      <c r="C794" t="s">
        <v>65</v>
      </c>
      <c r="D794" t="s">
        <v>120</v>
      </c>
      <c r="E794" t="s">
        <v>60</v>
      </c>
      <c r="F794" t="s">
        <v>123</v>
      </c>
      <c r="G794">
        <v>-4</v>
      </c>
      <c r="H794" t="s">
        <v>68</v>
      </c>
      <c r="I794" t="s">
        <v>121</v>
      </c>
      <c r="J794" t="s">
        <v>122</v>
      </c>
      <c r="K794">
        <v>0</v>
      </c>
      <c r="L794" s="84">
        <v>-3711</v>
      </c>
      <c r="M794" s="84">
        <v>0</v>
      </c>
    </row>
    <row r="795" spans="3:13" hidden="1" x14ac:dyDescent="0.25">
      <c r="C795" t="s">
        <v>119</v>
      </c>
      <c r="D795" t="s">
        <v>125</v>
      </c>
      <c r="E795" t="s">
        <v>63</v>
      </c>
      <c r="F795" t="s">
        <v>25</v>
      </c>
      <c r="G795">
        <v>29</v>
      </c>
      <c r="I795" t="s">
        <v>121</v>
      </c>
      <c r="J795" t="s">
        <v>122</v>
      </c>
      <c r="K795">
        <v>0</v>
      </c>
      <c r="L795" s="84">
        <v>187039</v>
      </c>
      <c r="M795" s="84">
        <v>5424131</v>
      </c>
    </row>
    <row r="796" spans="3:13" hidden="1" x14ac:dyDescent="0.25">
      <c r="C796" t="s">
        <v>119</v>
      </c>
      <c r="D796" t="s">
        <v>120</v>
      </c>
      <c r="E796" t="s">
        <v>63</v>
      </c>
      <c r="F796" t="s">
        <v>25</v>
      </c>
      <c r="G796">
        <v>5</v>
      </c>
      <c r="H796" t="s">
        <v>75</v>
      </c>
      <c r="I796" t="s">
        <v>121</v>
      </c>
      <c r="J796" t="s">
        <v>122</v>
      </c>
      <c r="K796">
        <v>0</v>
      </c>
      <c r="L796" s="84">
        <v>1508311</v>
      </c>
      <c r="M796" s="84">
        <v>7541555</v>
      </c>
    </row>
    <row r="797" spans="3:13" hidden="1" x14ac:dyDescent="0.25">
      <c r="C797" t="s">
        <v>64</v>
      </c>
      <c r="D797" t="s">
        <v>120</v>
      </c>
      <c r="E797" t="s">
        <v>60</v>
      </c>
      <c r="F797" t="s">
        <v>124</v>
      </c>
      <c r="G797">
        <v>5</v>
      </c>
      <c r="H797" t="s">
        <v>76</v>
      </c>
      <c r="I797" t="s">
        <v>121</v>
      </c>
      <c r="J797" t="s">
        <v>122</v>
      </c>
      <c r="K797">
        <v>0</v>
      </c>
      <c r="L797" s="84">
        <v>-1690</v>
      </c>
      <c r="M797" s="84">
        <v>0</v>
      </c>
    </row>
    <row r="798" spans="3:13" hidden="1" x14ac:dyDescent="0.25">
      <c r="C798" t="s">
        <v>119</v>
      </c>
      <c r="D798" t="s">
        <v>120</v>
      </c>
      <c r="E798" t="s">
        <v>60</v>
      </c>
      <c r="F798" t="s">
        <v>124</v>
      </c>
      <c r="G798">
        <v>5</v>
      </c>
      <c r="H798" t="s">
        <v>17</v>
      </c>
      <c r="I798" t="s">
        <v>121</v>
      </c>
      <c r="J798" t="s">
        <v>66</v>
      </c>
      <c r="K798">
        <v>1</v>
      </c>
      <c r="L798" s="84">
        <v>-8748</v>
      </c>
      <c r="M798" s="84">
        <v>0</v>
      </c>
    </row>
    <row r="799" spans="3:13" hidden="1" x14ac:dyDescent="0.25">
      <c r="C799" t="s">
        <v>65</v>
      </c>
      <c r="D799" t="s">
        <v>120</v>
      </c>
      <c r="E799" t="s">
        <v>60</v>
      </c>
      <c r="F799" t="s">
        <v>124</v>
      </c>
      <c r="G799">
        <v>-1</v>
      </c>
      <c r="H799" t="s">
        <v>15</v>
      </c>
      <c r="I799" t="s">
        <v>121</v>
      </c>
      <c r="J799" t="s">
        <v>122</v>
      </c>
      <c r="K799">
        <v>0</v>
      </c>
      <c r="L799" s="84">
        <v>-6696</v>
      </c>
      <c r="M799" s="84">
        <v>0</v>
      </c>
    </row>
    <row r="800" spans="3:13" hidden="1" x14ac:dyDescent="0.25">
      <c r="C800" t="s">
        <v>119</v>
      </c>
      <c r="D800" t="s">
        <v>120</v>
      </c>
      <c r="E800" t="s">
        <v>63</v>
      </c>
      <c r="F800" t="s">
        <v>24</v>
      </c>
      <c r="G800">
        <v>8</v>
      </c>
      <c r="H800" t="s">
        <v>76</v>
      </c>
      <c r="I800" t="s">
        <v>121</v>
      </c>
      <c r="J800" t="s">
        <v>122</v>
      </c>
      <c r="K800">
        <v>0</v>
      </c>
      <c r="L800" s="84">
        <v>167442</v>
      </c>
      <c r="M800" s="84">
        <v>1339536</v>
      </c>
    </row>
    <row r="801" spans="3:13" hidden="1" x14ac:dyDescent="0.25">
      <c r="C801" t="s">
        <v>119</v>
      </c>
      <c r="D801" t="s">
        <v>120</v>
      </c>
      <c r="E801" t="s">
        <v>60</v>
      </c>
      <c r="F801" t="s">
        <v>24</v>
      </c>
      <c r="G801">
        <v>7</v>
      </c>
      <c r="H801" t="s">
        <v>17</v>
      </c>
      <c r="I801" t="s">
        <v>121</v>
      </c>
      <c r="J801" t="s">
        <v>122</v>
      </c>
      <c r="K801">
        <v>0</v>
      </c>
      <c r="L801" s="84">
        <v>-1150</v>
      </c>
      <c r="M801" s="84">
        <v>0</v>
      </c>
    </row>
    <row r="802" spans="3:13" hidden="1" x14ac:dyDescent="0.25">
      <c r="C802" t="s">
        <v>64</v>
      </c>
      <c r="D802" t="s">
        <v>120</v>
      </c>
      <c r="E802" t="s">
        <v>60</v>
      </c>
      <c r="F802" t="s">
        <v>24</v>
      </c>
      <c r="G802">
        <v>4</v>
      </c>
      <c r="H802" t="s">
        <v>17</v>
      </c>
      <c r="I802" t="s">
        <v>121</v>
      </c>
      <c r="J802" t="s">
        <v>122</v>
      </c>
      <c r="K802">
        <v>0</v>
      </c>
      <c r="L802" s="84">
        <v>-24157</v>
      </c>
      <c r="M802" s="84">
        <v>0</v>
      </c>
    </row>
    <row r="803" spans="3:13" hidden="1" x14ac:dyDescent="0.25">
      <c r="C803" t="s">
        <v>64</v>
      </c>
      <c r="D803" t="s">
        <v>120</v>
      </c>
      <c r="E803" t="s">
        <v>63</v>
      </c>
      <c r="F803" t="s">
        <v>24</v>
      </c>
      <c r="G803">
        <v>15</v>
      </c>
      <c r="H803" t="s">
        <v>17</v>
      </c>
      <c r="I803" t="s">
        <v>121</v>
      </c>
      <c r="J803" t="s">
        <v>122</v>
      </c>
      <c r="K803">
        <v>0</v>
      </c>
      <c r="L803" s="84">
        <v>136919</v>
      </c>
      <c r="M803" s="84">
        <v>2053785</v>
      </c>
    </row>
    <row r="804" spans="3:13" hidden="1" x14ac:dyDescent="0.25">
      <c r="C804" t="s">
        <v>64</v>
      </c>
      <c r="D804" t="s">
        <v>120</v>
      </c>
      <c r="E804" t="s">
        <v>63</v>
      </c>
      <c r="F804" t="s">
        <v>124</v>
      </c>
      <c r="G804">
        <v>4</v>
      </c>
      <c r="H804" t="s">
        <v>13</v>
      </c>
      <c r="I804" t="s">
        <v>121</v>
      </c>
      <c r="J804" t="s">
        <v>122</v>
      </c>
      <c r="K804">
        <v>0</v>
      </c>
      <c r="L804" s="84">
        <v>343575</v>
      </c>
      <c r="M804" s="84">
        <v>1374300</v>
      </c>
    </row>
    <row r="805" spans="3:13" hidden="1" x14ac:dyDescent="0.25">
      <c r="C805" t="s">
        <v>65</v>
      </c>
      <c r="D805" t="s">
        <v>120</v>
      </c>
      <c r="E805" t="s">
        <v>60</v>
      </c>
      <c r="F805" t="s">
        <v>25</v>
      </c>
      <c r="G805">
        <v>3</v>
      </c>
      <c r="H805" t="s">
        <v>68</v>
      </c>
      <c r="I805" t="s">
        <v>121</v>
      </c>
      <c r="J805" t="s">
        <v>122</v>
      </c>
      <c r="K805">
        <v>0</v>
      </c>
      <c r="L805" s="84">
        <v>-1172739</v>
      </c>
      <c r="M805" s="84">
        <v>0</v>
      </c>
    </row>
    <row r="806" spans="3:13" hidden="1" x14ac:dyDescent="0.25">
      <c r="C806" t="s">
        <v>119</v>
      </c>
      <c r="D806" t="s">
        <v>120</v>
      </c>
      <c r="E806" t="s">
        <v>63</v>
      </c>
      <c r="F806" t="s">
        <v>24</v>
      </c>
      <c r="G806">
        <v>4</v>
      </c>
      <c r="H806" t="s">
        <v>18</v>
      </c>
      <c r="I806" t="s">
        <v>121</v>
      </c>
      <c r="J806" t="s">
        <v>122</v>
      </c>
      <c r="K806">
        <v>0</v>
      </c>
      <c r="L806" s="84">
        <v>1242321</v>
      </c>
      <c r="M806" s="84">
        <v>4969284</v>
      </c>
    </row>
    <row r="807" spans="3:13" hidden="1" x14ac:dyDescent="0.25">
      <c r="C807" t="s">
        <v>64</v>
      </c>
      <c r="D807" t="s">
        <v>120</v>
      </c>
      <c r="E807" t="s">
        <v>63</v>
      </c>
      <c r="F807" t="s">
        <v>25</v>
      </c>
      <c r="G807">
        <v>7</v>
      </c>
      <c r="H807" t="s">
        <v>72</v>
      </c>
      <c r="I807" t="s">
        <v>121</v>
      </c>
      <c r="J807" t="s">
        <v>122</v>
      </c>
      <c r="K807">
        <v>0</v>
      </c>
      <c r="L807" s="84">
        <v>353702</v>
      </c>
      <c r="M807" s="84">
        <v>2475914</v>
      </c>
    </row>
    <row r="808" spans="3:13" hidden="1" x14ac:dyDescent="0.25">
      <c r="C808" t="s">
        <v>119</v>
      </c>
      <c r="D808" t="s">
        <v>120</v>
      </c>
      <c r="E808" t="s">
        <v>63</v>
      </c>
      <c r="F808" t="s">
        <v>24</v>
      </c>
      <c r="G808">
        <v>11</v>
      </c>
      <c r="H808" t="s">
        <v>70</v>
      </c>
      <c r="I808" t="s">
        <v>121</v>
      </c>
      <c r="J808" t="s">
        <v>122</v>
      </c>
      <c r="K808">
        <v>0</v>
      </c>
      <c r="L808" s="84">
        <v>394586</v>
      </c>
      <c r="M808" s="84">
        <v>4340446</v>
      </c>
    </row>
    <row r="809" spans="3:13" hidden="1" x14ac:dyDescent="0.25">
      <c r="C809" t="s">
        <v>65</v>
      </c>
      <c r="D809" t="s">
        <v>120</v>
      </c>
      <c r="E809" t="s">
        <v>63</v>
      </c>
      <c r="F809" t="s">
        <v>25</v>
      </c>
      <c r="G809">
        <v>11</v>
      </c>
      <c r="H809" t="s">
        <v>18</v>
      </c>
      <c r="I809" t="s">
        <v>121</v>
      </c>
      <c r="J809" t="s">
        <v>122</v>
      </c>
      <c r="K809">
        <v>0</v>
      </c>
      <c r="L809" s="84">
        <v>73752</v>
      </c>
      <c r="M809" s="84">
        <v>811272</v>
      </c>
    </row>
    <row r="810" spans="3:13" hidden="1" x14ac:dyDescent="0.25">
      <c r="C810" t="s">
        <v>64</v>
      </c>
      <c r="D810" t="s">
        <v>120</v>
      </c>
      <c r="E810" t="s">
        <v>63</v>
      </c>
      <c r="F810" t="s">
        <v>124</v>
      </c>
      <c r="G810">
        <v>5</v>
      </c>
      <c r="H810" t="s">
        <v>12</v>
      </c>
      <c r="I810" t="s">
        <v>121</v>
      </c>
      <c r="J810" t="s">
        <v>122</v>
      </c>
      <c r="K810">
        <v>0</v>
      </c>
      <c r="L810" s="84">
        <v>239855</v>
      </c>
      <c r="M810" s="84">
        <v>1199275</v>
      </c>
    </row>
    <row r="811" spans="3:13" hidden="1" x14ac:dyDescent="0.25">
      <c r="C811" t="s">
        <v>119</v>
      </c>
      <c r="D811" t="s">
        <v>120</v>
      </c>
      <c r="E811" t="s">
        <v>60</v>
      </c>
      <c r="F811" t="s">
        <v>124</v>
      </c>
      <c r="G811">
        <v>0</v>
      </c>
      <c r="H811" t="s">
        <v>18</v>
      </c>
      <c r="I811" t="s">
        <v>121</v>
      </c>
      <c r="J811" t="s">
        <v>122</v>
      </c>
      <c r="K811">
        <v>0</v>
      </c>
      <c r="L811" s="84">
        <v>-1448181</v>
      </c>
      <c r="M811" s="84">
        <v>0</v>
      </c>
    </row>
    <row r="812" spans="3:13" hidden="1" x14ac:dyDescent="0.25">
      <c r="C812" t="s">
        <v>64</v>
      </c>
      <c r="D812" t="s">
        <v>120</v>
      </c>
      <c r="E812" t="s">
        <v>63</v>
      </c>
      <c r="F812" t="s">
        <v>123</v>
      </c>
      <c r="G812">
        <v>1</v>
      </c>
      <c r="H812" t="s">
        <v>17</v>
      </c>
      <c r="I812" t="s">
        <v>121</v>
      </c>
      <c r="J812" t="s">
        <v>122</v>
      </c>
      <c r="K812">
        <v>0</v>
      </c>
      <c r="L812" s="84">
        <v>598426</v>
      </c>
      <c r="M812" s="84">
        <v>598426</v>
      </c>
    </row>
    <row r="813" spans="3:13" hidden="1" x14ac:dyDescent="0.25">
      <c r="C813" t="s">
        <v>65</v>
      </c>
      <c r="D813" t="s">
        <v>120</v>
      </c>
      <c r="E813" t="s">
        <v>60</v>
      </c>
      <c r="F813" t="s">
        <v>24</v>
      </c>
      <c r="G813">
        <v>4</v>
      </c>
      <c r="H813" t="s">
        <v>68</v>
      </c>
      <c r="I813" t="s">
        <v>121</v>
      </c>
      <c r="J813" t="s">
        <v>122</v>
      </c>
      <c r="K813">
        <v>0</v>
      </c>
      <c r="L813" s="84">
        <v>-58622</v>
      </c>
      <c r="M813" s="84">
        <v>0</v>
      </c>
    </row>
    <row r="814" spans="3:13" hidden="1" x14ac:dyDescent="0.25">
      <c r="C814" t="s">
        <v>65</v>
      </c>
      <c r="D814" t="s">
        <v>120</v>
      </c>
      <c r="E814" t="s">
        <v>63</v>
      </c>
      <c r="F814" t="s">
        <v>24</v>
      </c>
      <c r="G814">
        <v>-4</v>
      </c>
      <c r="H814" t="s">
        <v>73</v>
      </c>
      <c r="I814" t="s">
        <v>121</v>
      </c>
      <c r="J814" t="s">
        <v>122</v>
      </c>
      <c r="K814">
        <v>0</v>
      </c>
      <c r="L814" s="84">
        <v>477</v>
      </c>
      <c r="M814" s="84">
        <v>0</v>
      </c>
    </row>
    <row r="815" spans="3:13" hidden="1" x14ac:dyDescent="0.25">
      <c r="C815" t="s">
        <v>119</v>
      </c>
      <c r="D815" t="s">
        <v>120</v>
      </c>
      <c r="E815" t="s">
        <v>60</v>
      </c>
      <c r="F815" t="s">
        <v>123</v>
      </c>
      <c r="G815">
        <v>4</v>
      </c>
      <c r="H815" t="s">
        <v>15</v>
      </c>
      <c r="I815" t="s">
        <v>121</v>
      </c>
      <c r="J815" t="s">
        <v>66</v>
      </c>
      <c r="K815">
        <v>1</v>
      </c>
      <c r="L815" s="84">
        <v>-324</v>
      </c>
      <c r="M815" s="84">
        <v>0</v>
      </c>
    </row>
    <row r="816" spans="3:13" hidden="1" x14ac:dyDescent="0.25">
      <c r="C816" t="s">
        <v>64</v>
      </c>
      <c r="D816" t="s">
        <v>120</v>
      </c>
      <c r="E816" t="s">
        <v>63</v>
      </c>
      <c r="F816" t="s">
        <v>123</v>
      </c>
      <c r="G816">
        <v>-4</v>
      </c>
      <c r="H816" t="s">
        <v>16</v>
      </c>
      <c r="I816" t="s">
        <v>121</v>
      </c>
      <c r="J816" t="s">
        <v>122</v>
      </c>
      <c r="K816">
        <v>0</v>
      </c>
      <c r="L816" s="84">
        <v>245</v>
      </c>
      <c r="M816" s="84">
        <v>0</v>
      </c>
    </row>
    <row r="817" spans="3:13" hidden="1" x14ac:dyDescent="0.25">
      <c r="C817" t="s">
        <v>119</v>
      </c>
      <c r="D817" t="s">
        <v>120</v>
      </c>
      <c r="E817" t="s">
        <v>60</v>
      </c>
      <c r="F817" t="s">
        <v>24</v>
      </c>
      <c r="G817">
        <v>1</v>
      </c>
      <c r="H817" t="s">
        <v>17</v>
      </c>
      <c r="I817" t="s">
        <v>62</v>
      </c>
      <c r="J817" t="s">
        <v>122</v>
      </c>
      <c r="K817">
        <v>1</v>
      </c>
      <c r="L817" s="84">
        <v>-667</v>
      </c>
      <c r="M817" s="84">
        <v>0</v>
      </c>
    </row>
    <row r="818" spans="3:13" hidden="1" x14ac:dyDescent="0.25">
      <c r="C818" t="s">
        <v>64</v>
      </c>
      <c r="D818" t="s">
        <v>120</v>
      </c>
      <c r="E818" t="s">
        <v>63</v>
      </c>
      <c r="F818" t="s">
        <v>25</v>
      </c>
      <c r="G818">
        <v>8</v>
      </c>
      <c r="H818" t="s">
        <v>68</v>
      </c>
      <c r="I818" t="s">
        <v>121</v>
      </c>
      <c r="J818" t="s">
        <v>122</v>
      </c>
      <c r="K818">
        <v>0</v>
      </c>
      <c r="L818" s="84">
        <v>2069838</v>
      </c>
      <c r="M818" s="84">
        <v>16558704</v>
      </c>
    </row>
    <row r="819" spans="3:13" x14ac:dyDescent="0.25">
      <c r="C819" t="s">
        <v>119</v>
      </c>
      <c r="D819" t="s">
        <v>120</v>
      </c>
      <c r="E819" t="s">
        <v>63</v>
      </c>
      <c r="F819" t="s">
        <v>25</v>
      </c>
      <c r="G819">
        <v>9</v>
      </c>
      <c r="H819" t="s">
        <v>12</v>
      </c>
      <c r="I819" t="s">
        <v>121</v>
      </c>
      <c r="J819" t="s">
        <v>66</v>
      </c>
      <c r="K819">
        <v>1</v>
      </c>
      <c r="L819" s="84">
        <v>8465976</v>
      </c>
      <c r="M819" s="84">
        <v>76193784</v>
      </c>
    </row>
    <row r="820" spans="3:13" hidden="1" x14ac:dyDescent="0.25">
      <c r="C820" t="s">
        <v>64</v>
      </c>
      <c r="D820" t="s">
        <v>120</v>
      </c>
      <c r="E820" t="s">
        <v>63</v>
      </c>
      <c r="F820" t="s">
        <v>25</v>
      </c>
      <c r="G820">
        <v>-1</v>
      </c>
      <c r="H820" t="s">
        <v>69</v>
      </c>
      <c r="I820" t="s">
        <v>121</v>
      </c>
      <c r="J820" t="s">
        <v>122</v>
      </c>
      <c r="K820">
        <v>0</v>
      </c>
      <c r="L820" s="84">
        <v>29787</v>
      </c>
      <c r="M820" s="84">
        <v>0</v>
      </c>
    </row>
    <row r="821" spans="3:13" hidden="1" x14ac:dyDescent="0.25">
      <c r="C821" t="s">
        <v>119</v>
      </c>
      <c r="D821" t="s">
        <v>120</v>
      </c>
      <c r="E821" t="s">
        <v>63</v>
      </c>
      <c r="F821" t="s">
        <v>25</v>
      </c>
      <c r="G821">
        <v>9</v>
      </c>
      <c r="H821" t="s">
        <v>12</v>
      </c>
      <c r="I821" t="s">
        <v>121</v>
      </c>
      <c r="J821" t="s">
        <v>122</v>
      </c>
      <c r="K821">
        <v>0</v>
      </c>
      <c r="L821" s="84">
        <v>172601</v>
      </c>
      <c r="M821" s="84">
        <v>1553409</v>
      </c>
    </row>
    <row r="822" spans="3:13" hidden="1" x14ac:dyDescent="0.25">
      <c r="C822" t="s">
        <v>119</v>
      </c>
      <c r="D822" t="s">
        <v>120</v>
      </c>
      <c r="E822" t="s">
        <v>60</v>
      </c>
      <c r="F822" t="s">
        <v>124</v>
      </c>
      <c r="G822">
        <v>10</v>
      </c>
      <c r="H822" t="s">
        <v>14</v>
      </c>
      <c r="I822" t="s">
        <v>121</v>
      </c>
      <c r="J822" t="s">
        <v>66</v>
      </c>
      <c r="K822">
        <v>1</v>
      </c>
      <c r="L822" s="84">
        <v>-384</v>
      </c>
      <c r="M822" s="84">
        <v>0</v>
      </c>
    </row>
    <row r="823" spans="3:13" hidden="1" x14ac:dyDescent="0.25">
      <c r="C823" t="s">
        <v>64</v>
      </c>
      <c r="D823" t="s">
        <v>120</v>
      </c>
      <c r="E823" t="s">
        <v>63</v>
      </c>
      <c r="F823" t="s">
        <v>124</v>
      </c>
      <c r="G823">
        <v>-4</v>
      </c>
      <c r="H823" t="s">
        <v>14</v>
      </c>
      <c r="I823" t="s">
        <v>121</v>
      </c>
      <c r="J823" t="s">
        <v>66</v>
      </c>
      <c r="K823">
        <v>1</v>
      </c>
      <c r="L823" s="84">
        <v>251621</v>
      </c>
      <c r="M823" s="84">
        <v>0</v>
      </c>
    </row>
    <row r="824" spans="3:13" x14ac:dyDescent="0.25">
      <c r="C824" t="s">
        <v>119</v>
      </c>
      <c r="D824" t="s">
        <v>120</v>
      </c>
      <c r="E824" t="s">
        <v>63</v>
      </c>
      <c r="F824" t="s">
        <v>25</v>
      </c>
      <c r="G824">
        <v>11</v>
      </c>
      <c r="H824" t="s">
        <v>12</v>
      </c>
      <c r="I824" t="s">
        <v>121</v>
      </c>
      <c r="J824" t="s">
        <v>66</v>
      </c>
      <c r="K824">
        <v>1</v>
      </c>
      <c r="L824" s="84">
        <v>1866858</v>
      </c>
      <c r="M824" s="84">
        <v>20535438</v>
      </c>
    </row>
    <row r="825" spans="3:13" hidden="1" x14ac:dyDescent="0.25">
      <c r="C825" t="s">
        <v>119</v>
      </c>
      <c r="D825" t="s">
        <v>120</v>
      </c>
      <c r="E825" t="s">
        <v>63</v>
      </c>
      <c r="F825" t="s">
        <v>25</v>
      </c>
      <c r="G825">
        <v>2</v>
      </c>
      <c r="H825" t="s">
        <v>76</v>
      </c>
      <c r="I825" t="s">
        <v>121</v>
      </c>
      <c r="J825" t="s">
        <v>122</v>
      </c>
      <c r="K825">
        <v>0</v>
      </c>
      <c r="L825" s="84">
        <v>74968</v>
      </c>
      <c r="M825" s="84">
        <v>149936</v>
      </c>
    </row>
    <row r="826" spans="3:13" hidden="1" x14ac:dyDescent="0.25">
      <c r="C826" t="s">
        <v>65</v>
      </c>
      <c r="D826" t="s">
        <v>120</v>
      </c>
      <c r="E826" t="s">
        <v>60</v>
      </c>
      <c r="F826" t="s">
        <v>124</v>
      </c>
      <c r="G826">
        <v>4</v>
      </c>
      <c r="H826" t="s">
        <v>17</v>
      </c>
      <c r="I826" t="s">
        <v>62</v>
      </c>
      <c r="J826" t="s">
        <v>66</v>
      </c>
      <c r="K826">
        <v>1</v>
      </c>
      <c r="L826" s="84">
        <v>-22350</v>
      </c>
      <c r="M826" s="84">
        <v>0</v>
      </c>
    </row>
    <row r="827" spans="3:13" hidden="1" x14ac:dyDescent="0.25">
      <c r="C827" t="s">
        <v>65</v>
      </c>
      <c r="D827" t="s">
        <v>120</v>
      </c>
      <c r="E827" t="s">
        <v>60</v>
      </c>
      <c r="F827" t="s">
        <v>123</v>
      </c>
      <c r="G827">
        <v>-4</v>
      </c>
      <c r="H827" t="s">
        <v>76</v>
      </c>
      <c r="I827" t="s">
        <v>121</v>
      </c>
      <c r="J827" t="s">
        <v>122</v>
      </c>
      <c r="K827">
        <v>0</v>
      </c>
      <c r="L827" s="84">
        <v>-26346</v>
      </c>
      <c r="M827" s="84">
        <v>0</v>
      </c>
    </row>
    <row r="828" spans="3:13" hidden="1" x14ac:dyDescent="0.25">
      <c r="C828" t="s">
        <v>119</v>
      </c>
      <c r="D828" t="s">
        <v>120</v>
      </c>
      <c r="E828" t="s">
        <v>63</v>
      </c>
      <c r="F828" t="s">
        <v>124</v>
      </c>
      <c r="G828">
        <v>7</v>
      </c>
      <c r="H828" t="s">
        <v>14</v>
      </c>
      <c r="I828" t="s">
        <v>62</v>
      </c>
      <c r="J828" t="s">
        <v>122</v>
      </c>
      <c r="K828">
        <v>1</v>
      </c>
      <c r="L828" s="84">
        <v>701757</v>
      </c>
      <c r="M828" s="84">
        <v>4912299</v>
      </c>
    </row>
    <row r="829" spans="3:13" hidden="1" x14ac:dyDescent="0.25">
      <c r="C829" t="s">
        <v>65</v>
      </c>
      <c r="D829" t="s">
        <v>126</v>
      </c>
      <c r="E829" t="s">
        <v>60</v>
      </c>
      <c r="F829" t="s">
        <v>24</v>
      </c>
      <c r="G829">
        <v>9</v>
      </c>
      <c r="H829" t="s">
        <v>18</v>
      </c>
      <c r="I829" t="s">
        <v>121</v>
      </c>
      <c r="J829" t="s">
        <v>122</v>
      </c>
      <c r="K829">
        <v>0</v>
      </c>
      <c r="L829" s="84">
        <v>-978586</v>
      </c>
      <c r="M829" s="84">
        <v>0</v>
      </c>
    </row>
    <row r="830" spans="3:13" hidden="1" x14ac:dyDescent="0.25">
      <c r="C830" t="s">
        <v>65</v>
      </c>
      <c r="D830" t="s">
        <v>120</v>
      </c>
      <c r="E830" t="s">
        <v>63</v>
      </c>
      <c r="F830" t="s">
        <v>25</v>
      </c>
      <c r="G830">
        <v>9</v>
      </c>
      <c r="H830" t="s">
        <v>18</v>
      </c>
      <c r="I830" t="s">
        <v>121</v>
      </c>
      <c r="J830" t="s">
        <v>122</v>
      </c>
      <c r="K830">
        <v>0</v>
      </c>
      <c r="L830" s="84">
        <v>761308</v>
      </c>
      <c r="M830" s="84">
        <v>6851772</v>
      </c>
    </row>
    <row r="831" spans="3:13" hidden="1" x14ac:dyDescent="0.25">
      <c r="C831" t="s">
        <v>65</v>
      </c>
      <c r="D831" t="s">
        <v>120</v>
      </c>
      <c r="E831" t="s">
        <v>63</v>
      </c>
      <c r="F831" t="s">
        <v>25</v>
      </c>
      <c r="G831">
        <v>-4</v>
      </c>
      <c r="H831" t="s">
        <v>72</v>
      </c>
      <c r="I831" t="s">
        <v>121</v>
      </c>
      <c r="J831" t="s">
        <v>122</v>
      </c>
      <c r="K831">
        <v>0</v>
      </c>
      <c r="L831" s="84">
        <v>45429</v>
      </c>
      <c r="M831" s="84">
        <v>0</v>
      </c>
    </row>
    <row r="832" spans="3:13" hidden="1" x14ac:dyDescent="0.25">
      <c r="C832" t="s">
        <v>64</v>
      </c>
      <c r="D832" t="s">
        <v>120</v>
      </c>
      <c r="E832" t="s">
        <v>63</v>
      </c>
      <c r="F832" t="s">
        <v>124</v>
      </c>
      <c r="G832">
        <v>2</v>
      </c>
      <c r="H832" t="s">
        <v>18</v>
      </c>
      <c r="I832" t="s">
        <v>121</v>
      </c>
      <c r="J832" t="s">
        <v>122</v>
      </c>
      <c r="K832">
        <v>0</v>
      </c>
      <c r="L832" s="84">
        <v>24732417</v>
      </c>
      <c r="M832" s="84">
        <v>49464834</v>
      </c>
    </row>
    <row r="833" spans="3:13" hidden="1" x14ac:dyDescent="0.25">
      <c r="C833" t="s">
        <v>119</v>
      </c>
      <c r="D833" t="s">
        <v>120</v>
      </c>
      <c r="E833" t="s">
        <v>60</v>
      </c>
      <c r="F833" t="s">
        <v>25</v>
      </c>
      <c r="G833">
        <v>2</v>
      </c>
      <c r="H833" t="s">
        <v>16</v>
      </c>
      <c r="I833" t="s">
        <v>121</v>
      </c>
      <c r="J833" t="s">
        <v>122</v>
      </c>
      <c r="K833">
        <v>0</v>
      </c>
      <c r="L833" s="84">
        <v>-295</v>
      </c>
      <c r="M833" s="84">
        <v>0</v>
      </c>
    </row>
    <row r="834" spans="3:13" hidden="1" x14ac:dyDescent="0.25">
      <c r="C834" t="s">
        <v>64</v>
      </c>
      <c r="D834" t="s">
        <v>120</v>
      </c>
      <c r="E834" t="s">
        <v>60</v>
      </c>
      <c r="F834" t="s">
        <v>24</v>
      </c>
      <c r="G834">
        <v>0</v>
      </c>
      <c r="H834" t="s">
        <v>14</v>
      </c>
      <c r="I834" t="s">
        <v>121</v>
      </c>
      <c r="J834" t="s">
        <v>122</v>
      </c>
      <c r="K834">
        <v>0</v>
      </c>
      <c r="L834" s="84">
        <v>-131</v>
      </c>
      <c r="M834" s="84">
        <v>0</v>
      </c>
    </row>
    <row r="835" spans="3:13" hidden="1" x14ac:dyDescent="0.25">
      <c r="C835" t="s">
        <v>64</v>
      </c>
      <c r="D835" t="s">
        <v>120</v>
      </c>
      <c r="E835" t="s">
        <v>63</v>
      </c>
      <c r="F835" t="s">
        <v>124</v>
      </c>
      <c r="G835">
        <v>3</v>
      </c>
      <c r="H835" t="s">
        <v>72</v>
      </c>
      <c r="I835" t="s">
        <v>121</v>
      </c>
      <c r="J835" t="s">
        <v>122</v>
      </c>
      <c r="K835">
        <v>0</v>
      </c>
      <c r="L835" s="84">
        <v>1830046</v>
      </c>
      <c r="M835" s="84">
        <v>5490138</v>
      </c>
    </row>
    <row r="836" spans="3:13" hidden="1" x14ac:dyDescent="0.25">
      <c r="C836" t="s">
        <v>119</v>
      </c>
      <c r="D836" t="s">
        <v>125</v>
      </c>
      <c r="E836" t="s">
        <v>60</v>
      </c>
      <c r="F836" t="s">
        <v>25</v>
      </c>
      <c r="G836">
        <v>32</v>
      </c>
      <c r="I836" t="s">
        <v>121</v>
      </c>
      <c r="J836" t="s">
        <v>122</v>
      </c>
      <c r="K836">
        <v>0</v>
      </c>
      <c r="L836" s="84">
        <v>-201</v>
      </c>
      <c r="M836" s="84">
        <v>0</v>
      </c>
    </row>
    <row r="837" spans="3:13" hidden="1" x14ac:dyDescent="0.25">
      <c r="C837" t="s">
        <v>119</v>
      </c>
      <c r="D837" t="s">
        <v>120</v>
      </c>
      <c r="E837" t="s">
        <v>60</v>
      </c>
      <c r="F837" t="s">
        <v>124</v>
      </c>
      <c r="G837">
        <v>8</v>
      </c>
      <c r="H837" t="s">
        <v>70</v>
      </c>
      <c r="I837" t="s">
        <v>121</v>
      </c>
      <c r="J837" t="s">
        <v>122</v>
      </c>
      <c r="K837">
        <v>0</v>
      </c>
      <c r="L837" s="84">
        <v>-95</v>
      </c>
      <c r="M837" s="84">
        <v>0</v>
      </c>
    </row>
    <row r="838" spans="3:13" hidden="1" x14ac:dyDescent="0.25">
      <c r="C838" t="s">
        <v>64</v>
      </c>
      <c r="D838" t="s">
        <v>120</v>
      </c>
      <c r="E838" t="s">
        <v>63</v>
      </c>
      <c r="F838" t="s">
        <v>25</v>
      </c>
      <c r="G838">
        <v>13</v>
      </c>
      <c r="H838" t="s">
        <v>17</v>
      </c>
      <c r="I838" t="s">
        <v>121</v>
      </c>
      <c r="J838" t="s">
        <v>122</v>
      </c>
      <c r="K838">
        <v>0</v>
      </c>
      <c r="L838" s="84">
        <v>268087</v>
      </c>
      <c r="M838" s="84">
        <v>3485131</v>
      </c>
    </row>
    <row r="839" spans="3:13" hidden="1" x14ac:dyDescent="0.25">
      <c r="C839" t="s">
        <v>65</v>
      </c>
      <c r="D839" t="s">
        <v>120</v>
      </c>
      <c r="E839" t="s">
        <v>63</v>
      </c>
      <c r="F839" t="s">
        <v>124</v>
      </c>
      <c r="G839">
        <v>10</v>
      </c>
      <c r="H839" t="s">
        <v>14</v>
      </c>
      <c r="I839" t="s">
        <v>121</v>
      </c>
      <c r="J839" t="s">
        <v>66</v>
      </c>
      <c r="K839">
        <v>1</v>
      </c>
      <c r="L839" s="84">
        <v>335583</v>
      </c>
      <c r="M839" s="84">
        <v>3355830</v>
      </c>
    </row>
    <row r="840" spans="3:13" hidden="1" x14ac:dyDescent="0.25">
      <c r="C840" t="s">
        <v>119</v>
      </c>
      <c r="D840" t="s">
        <v>120</v>
      </c>
      <c r="E840" t="s">
        <v>63</v>
      </c>
      <c r="F840" t="s">
        <v>24</v>
      </c>
      <c r="G840">
        <v>6</v>
      </c>
      <c r="H840" t="s">
        <v>67</v>
      </c>
      <c r="I840" t="s">
        <v>121</v>
      </c>
      <c r="J840" t="s">
        <v>122</v>
      </c>
      <c r="K840">
        <v>0</v>
      </c>
      <c r="L840" s="84">
        <v>162808</v>
      </c>
      <c r="M840" s="84">
        <v>976848</v>
      </c>
    </row>
    <row r="841" spans="3:13" hidden="1" x14ac:dyDescent="0.25">
      <c r="C841" t="s">
        <v>64</v>
      </c>
      <c r="D841" t="s">
        <v>120</v>
      </c>
      <c r="E841" t="s">
        <v>63</v>
      </c>
      <c r="F841" t="s">
        <v>123</v>
      </c>
      <c r="G841">
        <v>0</v>
      </c>
      <c r="H841" t="s">
        <v>76</v>
      </c>
      <c r="I841" t="s">
        <v>121</v>
      </c>
      <c r="J841" t="s">
        <v>122</v>
      </c>
      <c r="K841">
        <v>0</v>
      </c>
      <c r="L841" s="84">
        <v>21202</v>
      </c>
      <c r="M841" s="84">
        <v>0</v>
      </c>
    </row>
    <row r="842" spans="3:13" hidden="1" x14ac:dyDescent="0.25">
      <c r="C842" t="s">
        <v>65</v>
      </c>
      <c r="D842" t="s">
        <v>120</v>
      </c>
      <c r="E842" t="s">
        <v>63</v>
      </c>
      <c r="F842" t="s">
        <v>24</v>
      </c>
      <c r="G842">
        <v>9</v>
      </c>
      <c r="H842" t="s">
        <v>18</v>
      </c>
      <c r="I842" t="s">
        <v>121</v>
      </c>
      <c r="J842" t="s">
        <v>122</v>
      </c>
      <c r="K842">
        <v>0</v>
      </c>
      <c r="L842" s="84">
        <v>177739</v>
      </c>
      <c r="M842" s="84">
        <v>1599651</v>
      </c>
    </row>
    <row r="843" spans="3:13" hidden="1" x14ac:dyDescent="0.25">
      <c r="C843" t="s">
        <v>64</v>
      </c>
      <c r="D843" t="s">
        <v>120</v>
      </c>
      <c r="E843" t="s">
        <v>63</v>
      </c>
      <c r="F843" t="s">
        <v>124</v>
      </c>
      <c r="G843">
        <v>8</v>
      </c>
      <c r="H843" t="s">
        <v>18</v>
      </c>
      <c r="I843" t="s">
        <v>121</v>
      </c>
      <c r="J843" t="s">
        <v>122</v>
      </c>
      <c r="K843">
        <v>0</v>
      </c>
      <c r="L843" s="84">
        <v>879236</v>
      </c>
      <c r="M843" s="84">
        <v>7033888</v>
      </c>
    </row>
    <row r="844" spans="3:13" hidden="1" x14ac:dyDescent="0.25">
      <c r="C844" t="s">
        <v>64</v>
      </c>
      <c r="D844" t="s">
        <v>125</v>
      </c>
      <c r="E844" t="s">
        <v>63</v>
      </c>
      <c r="F844" t="s">
        <v>24</v>
      </c>
      <c r="G844">
        <v>3</v>
      </c>
      <c r="I844" t="s">
        <v>121</v>
      </c>
      <c r="J844" t="s">
        <v>122</v>
      </c>
      <c r="K844">
        <v>0</v>
      </c>
      <c r="L844" s="84">
        <v>4530868</v>
      </c>
      <c r="M844" s="84">
        <v>13592604</v>
      </c>
    </row>
    <row r="845" spans="3:13" hidden="1" x14ac:dyDescent="0.25">
      <c r="C845" t="s">
        <v>65</v>
      </c>
      <c r="D845" t="s">
        <v>120</v>
      </c>
      <c r="E845" t="s">
        <v>60</v>
      </c>
      <c r="F845" t="s">
        <v>124</v>
      </c>
      <c r="G845">
        <v>1</v>
      </c>
      <c r="H845" t="s">
        <v>71</v>
      </c>
      <c r="I845" t="s">
        <v>121</v>
      </c>
      <c r="J845" t="s">
        <v>122</v>
      </c>
      <c r="K845">
        <v>0</v>
      </c>
      <c r="L845" s="84">
        <v>-105269</v>
      </c>
      <c r="M845" s="84">
        <v>0</v>
      </c>
    </row>
    <row r="846" spans="3:13" hidden="1" x14ac:dyDescent="0.25">
      <c r="C846" t="s">
        <v>64</v>
      </c>
      <c r="D846" t="s">
        <v>120</v>
      </c>
      <c r="E846" t="s">
        <v>63</v>
      </c>
      <c r="F846" t="s">
        <v>124</v>
      </c>
      <c r="G846">
        <v>6</v>
      </c>
      <c r="H846" t="s">
        <v>70</v>
      </c>
      <c r="I846" t="s">
        <v>121</v>
      </c>
      <c r="J846" t="s">
        <v>122</v>
      </c>
      <c r="K846">
        <v>0</v>
      </c>
      <c r="L846" s="84">
        <v>50765</v>
      </c>
      <c r="M846" s="84">
        <v>304590</v>
      </c>
    </row>
    <row r="847" spans="3:13" hidden="1" x14ac:dyDescent="0.25">
      <c r="C847" t="s">
        <v>65</v>
      </c>
      <c r="D847" t="s">
        <v>120</v>
      </c>
      <c r="E847" t="s">
        <v>60</v>
      </c>
      <c r="F847" t="s">
        <v>25</v>
      </c>
      <c r="G847">
        <v>3</v>
      </c>
      <c r="H847" t="s">
        <v>12</v>
      </c>
      <c r="I847" t="s">
        <v>121</v>
      </c>
      <c r="J847" t="s">
        <v>66</v>
      </c>
      <c r="K847">
        <v>1</v>
      </c>
      <c r="L847" s="84">
        <v>-29863</v>
      </c>
      <c r="M847" s="84">
        <v>0</v>
      </c>
    </row>
    <row r="848" spans="3:13" hidden="1" x14ac:dyDescent="0.25">
      <c r="C848" t="s">
        <v>65</v>
      </c>
      <c r="D848" t="s">
        <v>120</v>
      </c>
      <c r="E848" t="s">
        <v>63</v>
      </c>
      <c r="F848" t="s">
        <v>124</v>
      </c>
      <c r="G848">
        <v>-4</v>
      </c>
      <c r="H848" t="s">
        <v>15</v>
      </c>
      <c r="I848" t="s">
        <v>121</v>
      </c>
      <c r="J848" t="s">
        <v>122</v>
      </c>
      <c r="K848">
        <v>0</v>
      </c>
      <c r="L848" s="84">
        <v>52976</v>
      </c>
      <c r="M848" s="84">
        <v>0</v>
      </c>
    </row>
    <row r="849" spans="3:13" hidden="1" x14ac:dyDescent="0.25">
      <c r="C849" t="s">
        <v>119</v>
      </c>
      <c r="D849" t="s">
        <v>120</v>
      </c>
      <c r="E849" t="s">
        <v>60</v>
      </c>
      <c r="F849" t="s">
        <v>123</v>
      </c>
      <c r="G849">
        <v>1</v>
      </c>
      <c r="H849" t="s">
        <v>71</v>
      </c>
      <c r="I849" t="s">
        <v>121</v>
      </c>
      <c r="J849" t="s">
        <v>122</v>
      </c>
      <c r="K849">
        <v>0</v>
      </c>
      <c r="L849" s="84">
        <v>-91</v>
      </c>
      <c r="M849" s="84">
        <v>0</v>
      </c>
    </row>
    <row r="850" spans="3:13" hidden="1" x14ac:dyDescent="0.25">
      <c r="C850" t="s">
        <v>64</v>
      </c>
      <c r="D850" t="s">
        <v>120</v>
      </c>
      <c r="E850" t="s">
        <v>60</v>
      </c>
      <c r="F850" t="s">
        <v>124</v>
      </c>
      <c r="G850">
        <v>6</v>
      </c>
      <c r="H850" t="s">
        <v>70</v>
      </c>
      <c r="I850" t="s">
        <v>121</v>
      </c>
      <c r="J850" t="s">
        <v>122</v>
      </c>
      <c r="K850">
        <v>0</v>
      </c>
      <c r="L850" s="84">
        <v>-2596</v>
      </c>
      <c r="M850" s="84">
        <v>0</v>
      </c>
    </row>
    <row r="851" spans="3:13" hidden="1" x14ac:dyDescent="0.25">
      <c r="C851" t="s">
        <v>119</v>
      </c>
      <c r="D851" t="s">
        <v>120</v>
      </c>
      <c r="E851" t="s">
        <v>63</v>
      </c>
      <c r="F851" t="s">
        <v>25</v>
      </c>
      <c r="G851">
        <v>-4</v>
      </c>
      <c r="H851" t="s">
        <v>69</v>
      </c>
      <c r="I851" t="s">
        <v>121</v>
      </c>
      <c r="J851" t="s">
        <v>122</v>
      </c>
      <c r="K851">
        <v>0</v>
      </c>
      <c r="L851" s="84">
        <v>56</v>
      </c>
      <c r="M851" s="84">
        <v>0</v>
      </c>
    </row>
    <row r="852" spans="3:13" hidden="1" x14ac:dyDescent="0.25">
      <c r="C852" t="s">
        <v>65</v>
      </c>
      <c r="D852" t="s">
        <v>126</v>
      </c>
      <c r="E852" t="s">
        <v>60</v>
      </c>
      <c r="F852" t="s">
        <v>24</v>
      </c>
      <c r="G852">
        <v>2</v>
      </c>
      <c r="H852" t="s">
        <v>18</v>
      </c>
      <c r="I852" t="s">
        <v>121</v>
      </c>
      <c r="J852" t="s">
        <v>122</v>
      </c>
      <c r="K852">
        <v>0</v>
      </c>
      <c r="L852" s="84">
        <v>-498847</v>
      </c>
      <c r="M852" s="84">
        <v>0</v>
      </c>
    </row>
    <row r="853" spans="3:13" hidden="1" x14ac:dyDescent="0.25">
      <c r="C853" t="s">
        <v>119</v>
      </c>
      <c r="D853" t="s">
        <v>120</v>
      </c>
      <c r="E853" t="s">
        <v>63</v>
      </c>
      <c r="F853" t="s">
        <v>24</v>
      </c>
      <c r="G853">
        <v>8</v>
      </c>
      <c r="H853" t="s">
        <v>68</v>
      </c>
      <c r="I853" t="s">
        <v>121</v>
      </c>
      <c r="J853" t="s">
        <v>122</v>
      </c>
      <c r="K853">
        <v>0</v>
      </c>
      <c r="L853" s="84">
        <v>9508463</v>
      </c>
      <c r="M853" s="84">
        <v>76067704</v>
      </c>
    </row>
    <row r="854" spans="3:13" hidden="1" x14ac:dyDescent="0.25">
      <c r="C854" t="s">
        <v>65</v>
      </c>
      <c r="D854" t="s">
        <v>120</v>
      </c>
      <c r="E854" t="s">
        <v>60</v>
      </c>
      <c r="F854" t="s">
        <v>25</v>
      </c>
      <c r="G854">
        <v>5</v>
      </c>
      <c r="H854" t="s">
        <v>69</v>
      </c>
      <c r="I854" t="s">
        <v>121</v>
      </c>
      <c r="J854" t="s">
        <v>122</v>
      </c>
      <c r="K854">
        <v>0</v>
      </c>
      <c r="L854" s="84">
        <v>-377139</v>
      </c>
      <c r="M854" s="84">
        <v>0</v>
      </c>
    </row>
    <row r="855" spans="3:13" hidden="1" x14ac:dyDescent="0.25">
      <c r="C855" t="s">
        <v>65</v>
      </c>
      <c r="D855" t="s">
        <v>120</v>
      </c>
      <c r="E855" t="s">
        <v>60</v>
      </c>
      <c r="F855" t="s">
        <v>123</v>
      </c>
      <c r="G855">
        <v>5</v>
      </c>
      <c r="H855" t="s">
        <v>70</v>
      </c>
      <c r="I855" t="s">
        <v>121</v>
      </c>
      <c r="J855" t="s">
        <v>122</v>
      </c>
      <c r="K855">
        <v>0</v>
      </c>
      <c r="L855" s="84">
        <v>-16269</v>
      </c>
      <c r="M855" s="84">
        <v>0</v>
      </c>
    </row>
    <row r="856" spans="3:13" hidden="1" x14ac:dyDescent="0.25">
      <c r="C856" t="s">
        <v>119</v>
      </c>
      <c r="D856" t="s">
        <v>120</v>
      </c>
      <c r="E856" t="s">
        <v>63</v>
      </c>
      <c r="F856" t="s">
        <v>124</v>
      </c>
      <c r="G856">
        <v>1</v>
      </c>
      <c r="H856" t="s">
        <v>12</v>
      </c>
      <c r="I856" t="s">
        <v>121</v>
      </c>
      <c r="J856" t="s">
        <v>122</v>
      </c>
      <c r="K856">
        <v>0</v>
      </c>
      <c r="L856" s="84">
        <v>5438551</v>
      </c>
      <c r="M856" s="84">
        <v>5438551</v>
      </c>
    </row>
    <row r="857" spans="3:13" hidden="1" x14ac:dyDescent="0.25">
      <c r="C857" t="s">
        <v>119</v>
      </c>
      <c r="D857" t="s">
        <v>120</v>
      </c>
      <c r="E857" t="s">
        <v>63</v>
      </c>
      <c r="F857" t="s">
        <v>25</v>
      </c>
      <c r="G857">
        <v>0</v>
      </c>
      <c r="H857" t="s">
        <v>16</v>
      </c>
      <c r="I857" t="s">
        <v>121</v>
      </c>
      <c r="J857" t="s">
        <v>122</v>
      </c>
      <c r="K857">
        <v>0</v>
      </c>
      <c r="L857" s="84">
        <v>2706</v>
      </c>
      <c r="M857" s="84">
        <v>0</v>
      </c>
    </row>
    <row r="858" spans="3:13" hidden="1" x14ac:dyDescent="0.25">
      <c r="C858" t="s">
        <v>64</v>
      </c>
      <c r="D858" t="s">
        <v>120</v>
      </c>
      <c r="E858" t="s">
        <v>63</v>
      </c>
      <c r="F858" t="s">
        <v>123</v>
      </c>
      <c r="G858">
        <v>5</v>
      </c>
      <c r="H858" t="s">
        <v>75</v>
      </c>
      <c r="I858" t="s">
        <v>121</v>
      </c>
      <c r="J858" t="s">
        <v>122</v>
      </c>
      <c r="K858">
        <v>0</v>
      </c>
      <c r="L858" s="84">
        <v>960381</v>
      </c>
      <c r="M858" s="84">
        <v>4801905</v>
      </c>
    </row>
    <row r="859" spans="3:13" hidden="1" x14ac:dyDescent="0.25">
      <c r="C859" t="s">
        <v>119</v>
      </c>
      <c r="D859" t="s">
        <v>120</v>
      </c>
      <c r="E859" t="s">
        <v>60</v>
      </c>
      <c r="F859" t="s">
        <v>25</v>
      </c>
      <c r="G859">
        <v>10</v>
      </c>
      <c r="H859" t="s">
        <v>14</v>
      </c>
      <c r="I859" t="s">
        <v>62</v>
      </c>
      <c r="J859" t="s">
        <v>122</v>
      </c>
      <c r="K859">
        <v>1</v>
      </c>
      <c r="L859" s="84">
        <v>-1729</v>
      </c>
      <c r="M859" s="84">
        <v>0</v>
      </c>
    </row>
    <row r="860" spans="3:13" hidden="1" x14ac:dyDescent="0.25">
      <c r="C860" t="s">
        <v>119</v>
      </c>
      <c r="D860" t="s">
        <v>125</v>
      </c>
      <c r="E860" t="s">
        <v>63</v>
      </c>
      <c r="F860" t="s">
        <v>24</v>
      </c>
      <c r="G860">
        <v>46</v>
      </c>
      <c r="I860" t="s">
        <v>121</v>
      </c>
      <c r="J860" t="s">
        <v>122</v>
      </c>
      <c r="K860">
        <v>0</v>
      </c>
      <c r="L860" s="84">
        <v>135681</v>
      </c>
      <c r="M860" s="84">
        <v>6241326</v>
      </c>
    </row>
    <row r="861" spans="3:13" hidden="1" x14ac:dyDescent="0.25">
      <c r="C861" t="s">
        <v>64</v>
      </c>
      <c r="D861" t="s">
        <v>120</v>
      </c>
      <c r="E861" t="s">
        <v>63</v>
      </c>
      <c r="F861" t="s">
        <v>25</v>
      </c>
      <c r="G861">
        <v>13</v>
      </c>
      <c r="H861" t="s">
        <v>75</v>
      </c>
      <c r="I861" t="s">
        <v>121</v>
      </c>
      <c r="J861" t="s">
        <v>122</v>
      </c>
      <c r="K861">
        <v>0</v>
      </c>
      <c r="L861" s="84">
        <v>1349263</v>
      </c>
      <c r="M861" s="84">
        <v>17540419</v>
      </c>
    </row>
    <row r="862" spans="3:13" hidden="1" x14ac:dyDescent="0.25">
      <c r="D862" t="s">
        <v>120</v>
      </c>
      <c r="E862" t="s">
        <v>63</v>
      </c>
      <c r="G862">
        <v>-3</v>
      </c>
      <c r="H862" t="s">
        <v>68</v>
      </c>
      <c r="I862" t="s">
        <v>121</v>
      </c>
      <c r="J862" t="s">
        <v>122</v>
      </c>
      <c r="K862">
        <v>0</v>
      </c>
      <c r="L862" s="84">
        <v>131176</v>
      </c>
      <c r="M862" s="84">
        <v>0</v>
      </c>
    </row>
    <row r="863" spans="3:13" hidden="1" x14ac:dyDescent="0.25">
      <c r="C863" t="s">
        <v>64</v>
      </c>
      <c r="D863" t="s">
        <v>125</v>
      </c>
      <c r="E863" t="s">
        <v>60</v>
      </c>
      <c r="F863" t="s">
        <v>24</v>
      </c>
      <c r="G863">
        <v>40</v>
      </c>
      <c r="I863" t="s">
        <v>121</v>
      </c>
      <c r="J863" t="s">
        <v>122</v>
      </c>
      <c r="K863">
        <v>0</v>
      </c>
      <c r="L863" s="84">
        <v>-260840</v>
      </c>
      <c r="M863" s="84">
        <v>0</v>
      </c>
    </row>
    <row r="864" spans="3:13" hidden="1" x14ac:dyDescent="0.25">
      <c r="C864" t="s">
        <v>119</v>
      </c>
      <c r="D864" t="s">
        <v>120</v>
      </c>
      <c r="E864" t="s">
        <v>60</v>
      </c>
      <c r="F864" t="s">
        <v>124</v>
      </c>
      <c r="G864">
        <v>3</v>
      </c>
      <c r="H864" t="s">
        <v>12</v>
      </c>
      <c r="I864" t="s">
        <v>121</v>
      </c>
      <c r="J864" t="s">
        <v>66</v>
      </c>
      <c r="K864">
        <v>1</v>
      </c>
      <c r="L864" s="84">
        <v>-20715</v>
      </c>
      <c r="M864" s="84">
        <v>0</v>
      </c>
    </row>
    <row r="865" spans="3:13" hidden="1" x14ac:dyDescent="0.25">
      <c r="C865" t="s">
        <v>119</v>
      </c>
      <c r="D865" t="s">
        <v>120</v>
      </c>
      <c r="E865" t="s">
        <v>60</v>
      </c>
      <c r="F865" t="s">
        <v>24</v>
      </c>
      <c r="G865">
        <v>14</v>
      </c>
      <c r="H865" t="s">
        <v>72</v>
      </c>
      <c r="I865" t="s">
        <v>121</v>
      </c>
      <c r="J865" t="s">
        <v>122</v>
      </c>
      <c r="K865">
        <v>0</v>
      </c>
      <c r="L865" s="84">
        <v>-7105</v>
      </c>
      <c r="M865" s="84">
        <v>0</v>
      </c>
    </row>
    <row r="866" spans="3:13" hidden="1" x14ac:dyDescent="0.25">
      <c r="C866" t="s">
        <v>119</v>
      </c>
      <c r="D866" t="s">
        <v>126</v>
      </c>
      <c r="E866" t="s">
        <v>63</v>
      </c>
      <c r="F866" t="s">
        <v>25</v>
      </c>
      <c r="G866">
        <v>-1</v>
      </c>
      <c r="H866" t="s">
        <v>67</v>
      </c>
      <c r="I866" t="s">
        <v>121</v>
      </c>
      <c r="J866" t="s">
        <v>122</v>
      </c>
      <c r="K866">
        <v>0</v>
      </c>
      <c r="L866" s="84">
        <v>1150368</v>
      </c>
      <c r="M866" s="84">
        <v>0</v>
      </c>
    </row>
    <row r="867" spans="3:13" hidden="1" x14ac:dyDescent="0.25">
      <c r="C867" t="s">
        <v>119</v>
      </c>
      <c r="D867" t="s">
        <v>120</v>
      </c>
      <c r="E867" t="s">
        <v>60</v>
      </c>
      <c r="F867" t="s">
        <v>124</v>
      </c>
      <c r="G867">
        <v>8</v>
      </c>
      <c r="H867" t="s">
        <v>15</v>
      </c>
      <c r="I867" t="s">
        <v>121</v>
      </c>
      <c r="J867" t="s">
        <v>122</v>
      </c>
      <c r="K867">
        <v>0</v>
      </c>
      <c r="L867" s="84">
        <v>-23951</v>
      </c>
      <c r="M867" s="84">
        <v>0</v>
      </c>
    </row>
    <row r="868" spans="3:13" hidden="1" x14ac:dyDescent="0.25">
      <c r="C868" t="s">
        <v>119</v>
      </c>
      <c r="D868" t="s">
        <v>120</v>
      </c>
      <c r="E868" t="s">
        <v>60</v>
      </c>
      <c r="F868" t="s">
        <v>124</v>
      </c>
      <c r="G868">
        <v>-1</v>
      </c>
      <c r="H868" t="s">
        <v>14</v>
      </c>
      <c r="I868" t="s">
        <v>62</v>
      </c>
      <c r="J868" t="s">
        <v>66</v>
      </c>
      <c r="K868">
        <v>1</v>
      </c>
      <c r="L868" s="84">
        <v>-1961</v>
      </c>
      <c r="M868" s="84">
        <v>0</v>
      </c>
    </row>
    <row r="869" spans="3:13" hidden="1" x14ac:dyDescent="0.25">
      <c r="C869" t="s">
        <v>119</v>
      </c>
      <c r="D869" t="s">
        <v>120</v>
      </c>
      <c r="E869" t="s">
        <v>60</v>
      </c>
      <c r="F869" t="s">
        <v>124</v>
      </c>
      <c r="G869">
        <v>3</v>
      </c>
      <c r="H869" t="s">
        <v>17</v>
      </c>
      <c r="I869" t="s">
        <v>62</v>
      </c>
      <c r="J869" t="s">
        <v>122</v>
      </c>
      <c r="K869">
        <v>1</v>
      </c>
      <c r="L869" s="84">
        <v>-64</v>
      </c>
      <c r="M869" s="84">
        <v>0</v>
      </c>
    </row>
    <row r="870" spans="3:13" hidden="1" x14ac:dyDescent="0.25">
      <c r="C870" t="s">
        <v>65</v>
      </c>
      <c r="D870" t="s">
        <v>120</v>
      </c>
      <c r="E870" t="s">
        <v>60</v>
      </c>
      <c r="F870" t="s">
        <v>123</v>
      </c>
      <c r="G870">
        <v>3</v>
      </c>
      <c r="H870" t="s">
        <v>70</v>
      </c>
      <c r="I870" t="s">
        <v>121</v>
      </c>
      <c r="J870" t="s">
        <v>122</v>
      </c>
      <c r="K870">
        <v>0</v>
      </c>
      <c r="L870" s="84">
        <v>-14018</v>
      </c>
      <c r="M870" s="84">
        <v>0</v>
      </c>
    </row>
    <row r="871" spans="3:13" hidden="1" x14ac:dyDescent="0.25">
      <c r="C871" t="s">
        <v>65</v>
      </c>
      <c r="D871" t="s">
        <v>125</v>
      </c>
      <c r="E871" t="s">
        <v>63</v>
      </c>
      <c r="F871" t="s">
        <v>24</v>
      </c>
      <c r="G871">
        <v>-4</v>
      </c>
      <c r="I871" t="s">
        <v>121</v>
      </c>
      <c r="J871" t="s">
        <v>122</v>
      </c>
      <c r="K871">
        <v>0</v>
      </c>
      <c r="L871" s="84">
        <v>976153</v>
      </c>
      <c r="M871" s="84">
        <v>0</v>
      </c>
    </row>
    <row r="872" spans="3:13" hidden="1" x14ac:dyDescent="0.25">
      <c r="C872" t="s">
        <v>119</v>
      </c>
      <c r="D872" t="s">
        <v>120</v>
      </c>
      <c r="E872" t="s">
        <v>63</v>
      </c>
      <c r="F872" t="s">
        <v>123</v>
      </c>
      <c r="G872">
        <v>1</v>
      </c>
      <c r="H872" t="s">
        <v>12</v>
      </c>
      <c r="I872" t="s">
        <v>121</v>
      </c>
      <c r="J872" t="s">
        <v>66</v>
      </c>
      <c r="K872">
        <v>1</v>
      </c>
      <c r="L872" s="84">
        <v>825868</v>
      </c>
      <c r="M872" s="84">
        <v>825868</v>
      </c>
    </row>
    <row r="873" spans="3:13" hidden="1" x14ac:dyDescent="0.25">
      <c r="C873" t="s">
        <v>64</v>
      </c>
      <c r="D873" t="s">
        <v>120</v>
      </c>
      <c r="E873" t="s">
        <v>63</v>
      </c>
      <c r="F873" t="s">
        <v>123</v>
      </c>
      <c r="G873">
        <v>6</v>
      </c>
      <c r="H873" t="s">
        <v>61</v>
      </c>
      <c r="I873" t="s">
        <v>121</v>
      </c>
      <c r="J873" t="s">
        <v>122</v>
      </c>
      <c r="K873">
        <v>0</v>
      </c>
      <c r="L873" s="84">
        <v>97606</v>
      </c>
      <c r="M873" s="84">
        <v>585636</v>
      </c>
    </row>
    <row r="874" spans="3:13" hidden="1" x14ac:dyDescent="0.25">
      <c r="C874" t="s">
        <v>64</v>
      </c>
      <c r="D874" t="s">
        <v>120</v>
      </c>
      <c r="E874" t="s">
        <v>63</v>
      </c>
      <c r="F874" t="s">
        <v>124</v>
      </c>
      <c r="G874">
        <v>2</v>
      </c>
      <c r="H874" t="s">
        <v>69</v>
      </c>
      <c r="I874" t="s">
        <v>121</v>
      </c>
      <c r="J874" t="s">
        <v>122</v>
      </c>
      <c r="K874">
        <v>0</v>
      </c>
      <c r="L874" s="84">
        <v>5549104</v>
      </c>
      <c r="M874" s="84">
        <v>11098208</v>
      </c>
    </row>
    <row r="875" spans="3:13" hidden="1" x14ac:dyDescent="0.25">
      <c r="C875" t="s">
        <v>65</v>
      </c>
      <c r="D875" t="s">
        <v>125</v>
      </c>
      <c r="E875" t="s">
        <v>63</v>
      </c>
      <c r="F875" t="s">
        <v>24</v>
      </c>
      <c r="G875">
        <v>53</v>
      </c>
      <c r="I875" t="s">
        <v>121</v>
      </c>
      <c r="J875" t="s">
        <v>122</v>
      </c>
      <c r="K875">
        <v>0</v>
      </c>
      <c r="L875" s="84">
        <v>50354</v>
      </c>
      <c r="M875" s="84">
        <v>2668762</v>
      </c>
    </row>
    <row r="876" spans="3:13" hidden="1" x14ac:dyDescent="0.25">
      <c r="C876" t="s">
        <v>65</v>
      </c>
      <c r="D876" t="s">
        <v>120</v>
      </c>
      <c r="E876" t="s">
        <v>63</v>
      </c>
      <c r="F876" t="s">
        <v>24</v>
      </c>
      <c r="G876">
        <v>1</v>
      </c>
      <c r="H876" t="s">
        <v>69</v>
      </c>
      <c r="I876" t="s">
        <v>121</v>
      </c>
      <c r="J876" t="s">
        <v>122</v>
      </c>
      <c r="K876">
        <v>0</v>
      </c>
      <c r="L876" s="84">
        <v>527781</v>
      </c>
      <c r="M876" s="84">
        <v>527781</v>
      </c>
    </row>
    <row r="877" spans="3:13" hidden="1" x14ac:dyDescent="0.25">
      <c r="C877" t="s">
        <v>64</v>
      </c>
      <c r="D877" t="s">
        <v>120</v>
      </c>
      <c r="E877" t="s">
        <v>60</v>
      </c>
      <c r="F877" t="s">
        <v>25</v>
      </c>
      <c r="G877">
        <v>7</v>
      </c>
      <c r="H877" t="s">
        <v>72</v>
      </c>
      <c r="I877" t="s">
        <v>121</v>
      </c>
      <c r="J877" t="s">
        <v>122</v>
      </c>
      <c r="K877">
        <v>0</v>
      </c>
      <c r="L877" s="84">
        <v>-17431</v>
      </c>
      <c r="M877" s="84">
        <v>0</v>
      </c>
    </row>
    <row r="878" spans="3:13" hidden="1" x14ac:dyDescent="0.25">
      <c r="C878" t="s">
        <v>65</v>
      </c>
      <c r="D878" t="s">
        <v>120</v>
      </c>
      <c r="E878" t="s">
        <v>63</v>
      </c>
      <c r="F878" t="s">
        <v>24</v>
      </c>
      <c r="G878">
        <v>2</v>
      </c>
      <c r="H878" t="s">
        <v>17</v>
      </c>
      <c r="I878" t="s">
        <v>121</v>
      </c>
      <c r="J878" t="s">
        <v>122</v>
      </c>
      <c r="K878">
        <v>0</v>
      </c>
      <c r="L878" s="84">
        <v>12546</v>
      </c>
      <c r="M878" s="84">
        <v>25092</v>
      </c>
    </row>
    <row r="879" spans="3:13" hidden="1" x14ac:dyDescent="0.25">
      <c r="C879" t="s">
        <v>119</v>
      </c>
      <c r="D879" t="s">
        <v>120</v>
      </c>
      <c r="E879" t="s">
        <v>60</v>
      </c>
      <c r="F879" t="s">
        <v>25</v>
      </c>
      <c r="G879">
        <v>7</v>
      </c>
      <c r="H879" t="s">
        <v>71</v>
      </c>
      <c r="I879" t="s">
        <v>121</v>
      </c>
      <c r="J879" t="s">
        <v>122</v>
      </c>
      <c r="K879">
        <v>0</v>
      </c>
      <c r="L879" s="84">
        <v>-2641</v>
      </c>
      <c r="M879" s="84">
        <v>0</v>
      </c>
    </row>
    <row r="880" spans="3:13" hidden="1" x14ac:dyDescent="0.25">
      <c r="C880" t="s">
        <v>64</v>
      </c>
      <c r="D880" t="s">
        <v>120</v>
      </c>
      <c r="E880" t="s">
        <v>60</v>
      </c>
      <c r="F880" t="s">
        <v>124</v>
      </c>
      <c r="G880">
        <v>-4</v>
      </c>
      <c r="H880" t="s">
        <v>12</v>
      </c>
      <c r="I880" t="s">
        <v>121</v>
      </c>
      <c r="J880" t="s">
        <v>66</v>
      </c>
      <c r="K880">
        <v>1</v>
      </c>
      <c r="L880" s="84">
        <v>-2353</v>
      </c>
      <c r="M880" s="84">
        <v>0</v>
      </c>
    </row>
    <row r="881" spans="3:13" hidden="1" x14ac:dyDescent="0.25">
      <c r="C881" t="s">
        <v>64</v>
      </c>
      <c r="D881" t="s">
        <v>120</v>
      </c>
      <c r="E881" t="s">
        <v>63</v>
      </c>
      <c r="F881" t="s">
        <v>123</v>
      </c>
      <c r="G881">
        <v>5</v>
      </c>
      <c r="H881" t="s">
        <v>17</v>
      </c>
      <c r="I881" t="s">
        <v>121</v>
      </c>
      <c r="J881" t="s">
        <v>122</v>
      </c>
      <c r="K881">
        <v>0</v>
      </c>
      <c r="L881" s="84">
        <v>13066</v>
      </c>
      <c r="M881" s="84">
        <v>65330</v>
      </c>
    </row>
    <row r="882" spans="3:13" hidden="1" x14ac:dyDescent="0.25">
      <c r="C882" t="s">
        <v>64</v>
      </c>
      <c r="D882" t="s">
        <v>120</v>
      </c>
      <c r="E882" t="s">
        <v>63</v>
      </c>
      <c r="F882" t="s">
        <v>24</v>
      </c>
      <c r="G882">
        <v>7</v>
      </c>
      <c r="H882" t="s">
        <v>17</v>
      </c>
      <c r="I882" t="s">
        <v>62</v>
      </c>
      <c r="J882" t="s">
        <v>66</v>
      </c>
      <c r="K882">
        <v>1</v>
      </c>
      <c r="L882" s="84">
        <v>62111</v>
      </c>
      <c r="M882" s="84">
        <v>434777</v>
      </c>
    </row>
    <row r="883" spans="3:13" hidden="1" x14ac:dyDescent="0.25">
      <c r="C883" t="s">
        <v>119</v>
      </c>
      <c r="D883" t="s">
        <v>120</v>
      </c>
      <c r="E883" t="s">
        <v>63</v>
      </c>
      <c r="F883" t="s">
        <v>124</v>
      </c>
      <c r="G883">
        <v>2</v>
      </c>
      <c r="H883" t="s">
        <v>14</v>
      </c>
      <c r="I883" t="s">
        <v>62</v>
      </c>
      <c r="J883" t="s">
        <v>122</v>
      </c>
      <c r="K883">
        <v>1</v>
      </c>
      <c r="L883" s="84">
        <v>31608</v>
      </c>
      <c r="M883" s="84">
        <v>63216</v>
      </c>
    </row>
    <row r="884" spans="3:13" hidden="1" x14ac:dyDescent="0.25">
      <c r="C884" t="s">
        <v>65</v>
      </c>
      <c r="D884" t="s">
        <v>120</v>
      </c>
      <c r="E884" t="s">
        <v>60</v>
      </c>
      <c r="F884" t="s">
        <v>25</v>
      </c>
      <c r="G884">
        <v>7</v>
      </c>
      <c r="H884" t="s">
        <v>18</v>
      </c>
      <c r="I884" t="s">
        <v>121</v>
      </c>
      <c r="J884" t="s">
        <v>66</v>
      </c>
      <c r="K884">
        <v>1</v>
      </c>
      <c r="L884" s="84">
        <v>-405480</v>
      </c>
      <c r="M884" s="84">
        <v>0</v>
      </c>
    </row>
    <row r="885" spans="3:13" hidden="1" x14ac:dyDescent="0.25">
      <c r="C885" t="s">
        <v>119</v>
      </c>
      <c r="D885" t="s">
        <v>120</v>
      </c>
      <c r="E885" t="s">
        <v>60</v>
      </c>
      <c r="F885" t="s">
        <v>24</v>
      </c>
      <c r="G885">
        <v>-1</v>
      </c>
      <c r="H885" t="s">
        <v>76</v>
      </c>
      <c r="I885" t="s">
        <v>121</v>
      </c>
      <c r="J885" t="s">
        <v>122</v>
      </c>
      <c r="K885">
        <v>0</v>
      </c>
      <c r="L885" s="84">
        <v>-142</v>
      </c>
      <c r="M885" s="84">
        <v>0</v>
      </c>
    </row>
    <row r="886" spans="3:13" hidden="1" x14ac:dyDescent="0.25">
      <c r="C886" t="s">
        <v>119</v>
      </c>
      <c r="D886" t="s">
        <v>120</v>
      </c>
      <c r="E886" t="s">
        <v>63</v>
      </c>
      <c r="F886" t="s">
        <v>124</v>
      </c>
      <c r="G886">
        <v>1</v>
      </c>
      <c r="H886" t="s">
        <v>77</v>
      </c>
      <c r="I886" t="s">
        <v>121</v>
      </c>
      <c r="J886" t="s">
        <v>122</v>
      </c>
      <c r="K886">
        <v>0</v>
      </c>
      <c r="L886" s="84">
        <v>117250</v>
      </c>
      <c r="M886" s="84">
        <v>117250</v>
      </c>
    </row>
    <row r="887" spans="3:13" hidden="1" x14ac:dyDescent="0.25">
      <c r="C887" t="s">
        <v>119</v>
      </c>
      <c r="D887" t="s">
        <v>120</v>
      </c>
      <c r="E887" t="s">
        <v>63</v>
      </c>
      <c r="F887" t="s">
        <v>124</v>
      </c>
      <c r="G887">
        <v>2</v>
      </c>
      <c r="H887" t="s">
        <v>15</v>
      </c>
      <c r="I887" t="s">
        <v>121</v>
      </c>
      <c r="J887" t="s">
        <v>66</v>
      </c>
      <c r="K887">
        <v>1</v>
      </c>
      <c r="L887" s="84">
        <v>1341771</v>
      </c>
      <c r="M887" s="84">
        <v>2683542</v>
      </c>
    </row>
    <row r="888" spans="3:13" hidden="1" x14ac:dyDescent="0.25">
      <c r="C888" t="s">
        <v>64</v>
      </c>
      <c r="D888" t="s">
        <v>120</v>
      </c>
      <c r="E888" t="s">
        <v>63</v>
      </c>
      <c r="F888" t="s">
        <v>124</v>
      </c>
      <c r="G888">
        <v>4</v>
      </c>
      <c r="H888" t="s">
        <v>76</v>
      </c>
      <c r="I888" t="s">
        <v>121</v>
      </c>
      <c r="J888" t="s">
        <v>122</v>
      </c>
      <c r="K888">
        <v>0</v>
      </c>
      <c r="L888" s="84">
        <v>179894</v>
      </c>
      <c r="M888" s="84">
        <v>719576</v>
      </c>
    </row>
    <row r="889" spans="3:13" hidden="1" x14ac:dyDescent="0.25">
      <c r="C889" t="s">
        <v>119</v>
      </c>
      <c r="D889" t="s">
        <v>125</v>
      </c>
      <c r="E889" t="s">
        <v>60</v>
      </c>
      <c r="F889" t="s">
        <v>25</v>
      </c>
      <c r="G889">
        <v>18</v>
      </c>
      <c r="I889" t="s">
        <v>121</v>
      </c>
      <c r="J889" t="s">
        <v>122</v>
      </c>
      <c r="K889">
        <v>0</v>
      </c>
      <c r="L889" s="84">
        <v>-660</v>
      </c>
      <c r="M889" s="84">
        <v>0</v>
      </c>
    </row>
    <row r="890" spans="3:13" hidden="1" x14ac:dyDescent="0.25">
      <c r="C890" t="s">
        <v>119</v>
      </c>
      <c r="D890" t="s">
        <v>120</v>
      </c>
      <c r="E890" t="s">
        <v>60</v>
      </c>
      <c r="F890" t="s">
        <v>25</v>
      </c>
      <c r="G890">
        <v>9</v>
      </c>
      <c r="H890" t="s">
        <v>17</v>
      </c>
      <c r="I890" t="s">
        <v>121</v>
      </c>
      <c r="J890" t="s">
        <v>66</v>
      </c>
      <c r="K890">
        <v>1</v>
      </c>
      <c r="L890" s="84">
        <v>-549</v>
      </c>
      <c r="M890" s="84">
        <v>0</v>
      </c>
    </row>
    <row r="891" spans="3:13" hidden="1" x14ac:dyDescent="0.25">
      <c r="C891" t="s">
        <v>119</v>
      </c>
      <c r="D891" t="s">
        <v>120</v>
      </c>
      <c r="E891" t="s">
        <v>60</v>
      </c>
      <c r="F891" t="s">
        <v>25</v>
      </c>
      <c r="G891">
        <v>13</v>
      </c>
      <c r="H891" t="s">
        <v>17</v>
      </c>
      <c r="I891" t="s">
        <v>121</v>
      </c>
      <c r="J891" t="s">
        <v>122</v>
      </c>
      <c r="K891">
        <v>0</v>
      </c>
      <c r="L891" s="84">
        <v>-970</v>
      </c>
      <c r="M891" s="84">
        <v>0</v>
      </c>
    </row>
    <row r="892" spans="3:13" hidden="1" x14ac:dyDescent="0.25">
      <c r="C892" t="s">
        <v>119</v>
      </c>
      <c r="D892" t="s">
        <v>126</v>
      </c>
      <c r="E892" t="s">
        <v>63</v>
      </c>
      <c r="F892" t="s">
        <v>25</v>
      </c>
      <c r="G892">
        <v>6</v>
      </c>
      <c r="H892" t="s">
        <v>74</v>
      </c>
      <c r="I892" t="s">
        <v>121</v>
      </c>
      <c r="J892" t="s">
        <v>122</v>
      </c>
      <c r="K892">
        <v>0</v>
      </c>
      <c r="L892" s="84">
        <v>3683915</v>
      </c>
      <c r="M892" s="84">
        <v>22103490</v>
      </c>
    </row>
    <row r="893" spans="3:13" hidden="1" x14ac:dyDescent="0.25">
      <c r="C893" t="s">
        <v>64</v>
      </c>
      <c r="D893" t="s">
        <v>120</v>
      </c>
      <c r="E893" t="s">
        <v>60</v>
      </c>
      <c r="F893" t="s">
        <v>25</v>
      </c>
      <c r="G893">
        <v>13</v>
      </c>
      <c r="H893" t="s">
        <v>18</v>
      </c>
      <c r="I893" t="s">
        <v>121</v>
      </c>
      <c r="J893" t="s">
        <v>122</v>
      </c>
      <c r="K893">
        <v>0</v>
      </c>
      <c r="L893" s="84">
        <v>-35031</v>
      </c>
      <c r="M893" s="84">
        <v>0</v>
      </c>
    </row>
    <row r="894" spans="3:13" hidden="1" x14ac:dyDescent="0.25">
      <c r="C894" t="s">
        <v>119</v>
      </c>
      <c r="D894" t="s">
        <v>120</v>
      </c>
      <c r="E894" t="s">
        <v>60</v>
      </c>
      <c r="F894" t="s">
        <v>124</v>
      </c>
      <c r="G894">
        <v>2</v>
      </c>
      <c r="H894" t="s">
        <v>61</v>
      </c>
      <c r="I894" t="s">
        <v>121</v>
      </c>
      <c r="J894" t="s">
        <v>122</v>
      </c>
      <c r="K894">
        <v>0</v>
      </c>
      <c r="L894" s="84">
        <v>-59764</v>
      </c>
      <c r="M894" s="84">
        <v>0</v>
      </c>
    </row>
    <row r="895" spans="3:13" hidden="1" x14ac:dyDescent="0.25">
      <c r="C895" t="s">
        <v>119</v>
      </c>
      <c r="D895" t="s">
        <v>120</v>
      </c>
      <c r="E895" t="s">
        <v>63</v>
      </c>
      <c r="F895" t="s">
        <v>25</v>
      </c>
      <c r="G895">
        <v>9</v>
      </c>
      <c r="H895" t="s">
        <v>72</v>
      </c>
      <c r="I895" t="s">
        <v>121</v>
      </c>
      <c r="J895" t="s">
        <v>122</v>
      </c>
      <c r="K895">
        <v>0</v>
      </c>
      <c r="L895" s="84">
        <v>17357441</v>
      </c>
      <c r="M895" s="84">
        <v>156216969</v>
      </c>
    </row>
    <row r="896" spans="3:13" hidden="1" x14ac:dyDescent="0.25">
      <c r="C896" t="s">
        <v>65</v>
      </c>
      <c r="D896" t="s">
        <v>120</v>
      </c>
      <c r="E896" t="s">
        <v>60</v>
      </c>
      <c r="F896" t="s">
        <v>124</v>
      </c>
      <c r="G896">
        <v>8</v>
      </c>
      <c r="H896" t="s">
        <v>17</v>
      </c>
      <c r="I896" t="s">
        <v>121</v>
      </c>
      <c r="J896" t="s">
        <v>122</v>
      </c>
      <c r="K896">
        <v>0</v>
      </c>
      <c r="L896" s="84">
        <v>-264855</v>
      </c>
      <c r="M896" s="84">
        <v>0</v>
      </c>
    </row>
    <row r="897" spans="3:13" hidden="1" x14ac:dyDescent="0.25">
      <c r="C897" t="s">
        <v>65</v>
      </c>
      <c r="D897" t="s">
        <v>120</v>
      </c>
      <c r="E897" t="s">
        <v>60</v>
      </c>
      <c r="F897" t="s">
        <v>124</v>
      </c>
      <c r="G897">
        <v>3</v>
      </c>
      <c r="H897" t="s">
        <v>14</v>
      </c>
      <c r="I897" t="s">
        <v>121</v>
      </c>
      <c r="J897" t="s">
        <v>66</v>
      </c>
      <c r="K897">
        <v>1</v>
      </c>
      <c r="L897" s="84">
        <v>-1381328</v>
      </c>
      <c r="M897" s="84">
        <v>0</v>
      </c>
    </row>
    <row r="898" spans="3:13" hidden="1" x14ac:dyDescent="0.25">
      <c r="C898" t="s">
        <v>119</v>
      </c>
      <c r="D898" t="s">
        <v>120</v>
      </c>
      <c r="E898" t="s">
        <v>63</v>
      </c>
      <c r="F898" t="s">
        <v>123</v>
      </c>
      <c r="G898">
        <v>7</v>
      </c>
      <c r="H898" t="s">
        <v>71</v>
      </c>
      <c r="I898" t="s">
        <v>121</v>
      </c>
      <c r="J898" t="s">
        <v>122</v>
      </c>
      <c r="K898">
        <v>0</v>
      </c>
      <c r="L898" s="84">
        <v>46767</v>
      </c>
      <c r="M898" s="84">
        <v>327369</v>
      </c>
    </row>
    <row r="899" spans="3:13" hidden="1" x14ac:dyDescent="0.25">
      <c r="C899" t="s">
        <v>119</v>
      </c>
      <c r="D899" t="s">
        <v>120</v>
      </c>
      <c r="E899" t="s">
        <v>63</v>
      </c>
      <c r="F899" t="s">
        <v>25</v>
      </c>
      <c r="G899">
        <v>4</v>
      </c>
      <c r="H899" t="s">
        <v>17</v>
      </c>
      <c r="I899" t="s">
        <v>121</v>
      </c>
      <c r="J899" t="s">
        <v>122</v>
      </c>
      <c r="K899">
        <v>0</v>
      </c>
      <c r="L899" s="84">
        <v>18438698</v>
      </c>
      <c r="M899" s="84">
        <v>73754792</v>
      </c>
    </row>
    <row r="900" spans="3:13" hidden="1" x14ac:dyDescent="0.25">
      <c r="C900" t="s">
        <v>64</v>
      </c>
      <c r="D900" t="s">
        <v>120</v>
      </c>
      <c r="E900" t="s">
        <v>63</v>
      </c>
      <c r="F900" t="s">
        <v>124</v>
      </c>
      <c r="G900">
        <v>8</v>
      </c>
      <c r="H900" t="s">
        <v>69</v>
      </c>
      <c r="I900" t="s">
        <v>121</v>
      </c>
      <c r="J900" t="s">
        <v>122</v>
      </c>
      <c r="K900">
        <v>0</v>
      </c>
      <c r="L900" s="84">
        <v>1267648</v>
      </c>
      <c r="M900" s="84">
        <v>10141184</v>
      </c>
    </row>
    <row r="901" spans="3:13" hidden="1" x14ac:dyDescent="0.25">
      <c r="C901" t="s">
        <v>64</v>
      </c>
      <c r="D901" t="s">
        <v>120</v>
      </c>
      <c r="E901" t="s">
        <v>63</v>
      </c>
      <c r="F901" t="s">
        <v>124</v>
      </c>
      <c r="G901">
        <v>5</v>
      </c>
      <c r="H901" t="s">
        <v>72</v>
      </c>
      <c r="I901" t="s">
        <v>121</v>
      </c>
      <c r="J901" t="s">
        <v>122</v>
      </c>
      <c r="K901">
        <v>0</v>
      </c>
      <c r="L901" s="84">
        <v>2751359</v>
      </c>
      <c r="M901" s="84">
        <v>13756795</v>
      </c>
    </row>
    <row r="902" spans="3:13" hidden="1" x14ac:dyDescent="0.25">
      <c r="C902" t="s">
        <v>119</v>
      </c>
      <c r="D902" t="s">
        <v>120</v>
      </c>
      <c r="E902" t="s">
        <v>63</v>
      </c>
      <c r="F902" t="s">
        <v>24</v>
      </c>
      <c r="G902">
        <v>6</v>
      </c>
      <c r="H902" t="s">
        <v>14</v>
      </c>
      <c r="I902" t="s">
        <v>121</v>
      </c>
      <c r="J902" t="s">
        <v>66</v>
      </c>
      <c r="K902">
        <v>1</v>
      </c>
      <c r="L902" s="84">
        <v>42720</v>
      </c>
      <c r="M902" s="84">
        <v>256320</v>
      </c>
    </row>
    <row r="903" spans="3:13" hidden="1" x14ac:dyDescent="0.25">
      <c r="C903" t="s">
        <v>64</v>
      </c>
      <c r="D903" t="s">
        <v>120</v>
      </c>
      <c r="E903" t="s">
        <v>60</v>
      </c>
      <c r="F903" t="s">
        <v>124</v>
      </c>
      <c r="G903">
        <v>0</v>
      </c>
      <c r="H903" t="s">
        <v>14</v>
      </c>
      <c r="I903" t="s">
        <v>121</v>
      </c>
      <c r="J903" t="s">
        <v>66</v>
      </c>
      <c r="K903">
        <v>1</v>
      </c>
      <c r="L903" s="84">
        <v>-130447</v>
      </c>
      <c r="M903" s="84">
        <v>0</v>
      </c>
    </row>
    <row r="904" spans="3:13" hidden="1" x14ac:dyDescent="0.25">
      <c r="C904" t="s">
        <v>65</v>
      </c>
      <c r="D904" t="s">
        <v>120</v>
      </c>
      <c r="E904" t="s">
        <v>63</v>
      </c>
      <c r="F904" t="s">
        <v>124</v>
      </c>
      <c r="G904">
        <v>1</v>
      </c>
      <c r="H904" t="s">
        <v>16</v>
      </c>
      <c r="I904" t="s">
        <v>121</v>
      </c>
      <c r="J904" t="s">
        <v>122</v>
      </c>
      <c r="K904">
        <v>0</v>
      </c>
      <c r="L904" s="84">
        <v>98465</v>
      </c>
      <c r="M904" s="84">
        <v>98465</v>
      </c>
    </row>
    <row r="905" spans="3:13" hidden="1" x14ac:dyDescent="0.25">
      <c r="C905" t="s">
        <v>64</v>
      </c>
      <c r="D905" t="s">
        <v>125</v>
      </c>
      <c r="E905" t="s">
        <v>60</v>
      </c>
      <c r="F905" t="s">
        <v>25</v>
      </c>
      <c r="G905">
        <v>34</v>
      </c>
      <c r="I905" t="s">
        <v>121</v>
      </c>
      <c r="J905" t="s">
        <v>122</v>
      </c>
      <c r="K905">
        <v>0</v>
      </c>
      <c r="L905" s="84">
        <v>-20322</v>
      </c>
      <c r="M905" s="84">
        <v>0</v>
      </c>
    </row>
    <row r="906" spans="3:13" x14ac:dyDescent="0.25">
      <c r="C906" t="s">
        <v>119</v>
      </c>
      <c r="D906" t="s">
        <v>120</v>
      </c>
      <c r="E906" t="s">
        <v>63</v>
      </c>
      <c r="F906" t="s">
        <v>25</v>
      </c>
      <c r="G906">
        <v>5</v>
      </c>
      <c r="H906" t="s">
        <v>17</v>
      </c>
      <c r="I906" t="s">
        <v>121</v>
      </c>
      <c r="J906" t="s">
        <v>66</v>
      </c>
      <c r="K906">
        <v>1</v>
      </c>
      <c r="L906" s="84">
        <v>52539</v>
      </c>
      <c r="M906" s="84">
        <v>262695</v>
      </c>
    </row>
    <row r="907" spans="3:13" hidden="1" x14ac:dyDescent="0.25">
      <c r="C907" t="s">
        <v>119</v>
      </c>
      <c r="D907" t="s">
        <v>120</v>
      </c>
      <c r="E907" t="s">
        <v>63</v>
      </c>
      <c r="F907" t="s">
        <v>25</v>
      </c>
      <c r="G907">
        <v>5</v>
      </c>
      <c r="H907" t="s">
        <v>17</v>
      </c>
      <c r="I907" t="s">
        <v>121</v>
      </c>
      <c r="J907" t="s">
        <v>122</v>
      </c>
      <c r="K907">
        <v>0</v>
      </c>
      <c r="L907" s="84">
        <v>2897983</v>
      </c>
      <c r="M907" s="84">
        <v>14489915</v>
      </c>
    </row>
    <row r="908" spans="3:13" hidden="1" x14ac:dyDescent="0.25">
      <c r="C908" t="s">
        <v>119</v>
      </c>
      <c r="D908" t="s">
        <v>120</v>
      </c>
      <c r="E908" t="s">
        <v>63</v>
      </c>
      <c r="F908" t="s">
        <v>124</v>
      </c>
      <c r="G908">
        <v>4</v>
      </c>
      <c r="H908" t="s">
        <v>12</v>
      </c>
      <c r="I908" t="s">
        <v>121</v>
      </c>
      <c r="J908" t="s">
        <v>66</v>
      </c>
      <c r="K908">
        <v>1</v>
      </c>
      <c r="L908" s="84">
        <v>6333735</v>
      </c>
      <c r="M908" s="84">
        <v>25334940</v>
      </c>
    </row>
    <row r="909" spans="3:13" hidden="1" x14ac:dyDescent="0.25">
      <c r="C909" t="s">
        <v>64</v>
      </c>
      <c r="D909" t="s">
        <v>120</v>
      </c>
      <c r="E909" t="s">
        <v>60</v>
      </c>
      <c r="F909" t="s">
        <v>123</v>
      </c>
      <c r="G909">
        <v>0</v>
      </c>
      <c r="H909" t="s">
        <v>17</v>
      </c>
      <c r="I909" t="s">
        <v>121</v>
      </c>
      <c r="J909" t="s">
        <v>66</v>
      </c>
      <c r="K909">
        <v>1</v>
      </c>
      <c r="L909" s="84">
        <v>-74</v>
      </c>
      <c r="M909" s="84">
        <v>0</v>
      </c>
    </row>
    <row r="910" spans="3:13" hidden="1" x14ac:dyDescent="0.25">
      <c r="C910" t="s">
        <v>64</v>
      </c>
      <c r="D910" t="s">
        <v>120</v>
      </c>
      <c r="E910" t="s">
        <v>60</v>
      </c>
      <c r="F910" t="s">
        <v>24</v>
      </c>
      <c r="G910">
        <v>3</v>
      </c>
      <c r="H910" t="s">
        <v>17</v>
      </c>
      <c r="I910" t="s">
        <v>121</v>
      </c>
      <c r="J910" t="s">
        <v>66</v>
      </c>
      <c r="K910">
        <v>1</v>
      </c>
      <c r="L910" s="84">
        <v>-900</v>
      </c>
      <c r="M910" s="84">
        <v>0</v>
      </c>
    </row>
    <row r="911" spans="3:13" hidden="1" x14ac:dyDescent="0.25">
      <c r="C911" t="s">
        <v>119</v>
      </c>
      <c r="D911" t="s">
        <v>120</v>
      </c>
      <c r="E911" t="s">
        <v>63</v>
      </c>
      <c r="F911" t="s">
        <v>124</v>
      </c>
      <c r="G911">
        <v>4</v>
      </c>
      <c r="H911" t="s">
        <v>17</v>
      </c>
      <c r="I911" t="s">
        <v>62</v>
      </c>
      <c r="J911" t="s">
        <v>122</v>
      </c>
      <c r="K911">
        <v>1</v>
      </c>
      <c r="L911" s="84">
        <v>10309</v>
      </c>
      <c r="M911" s="84">
        <v>41236</v>
      </c>
    </row>
    <row r="912" spans="3:13" hidden="1" x14ac:dyDescent="0.25">
      <c r="C912" t="s">
        <v>65</v>
      </c>
      <c r="D912" t="s">
        <v>120</v>
      </c>
      <c r="E912" t="s">
        <v>60</v>
      </c>
      <c r="F912" t="s">
        <v>124</v>
      </c>
      <c r="G912">
        <v>-4</v>
      </c>
      <c r="H912" t="s">
        <v>69</v>
      </c>
      <c r="I912" t="s">
        <v>121</v>
      </c>
      <c r="J912" t="s">
        <v>122</v>
      </c>
      <c r="K912">
        <v>0</v>
      </c>
      <c r="L912" s="84">
        <v>-757728</v>
      </c>
      <c r="M912" s="84">
        <v>0</v>
      </c>
    </row>
    <row r="913" spans="3:13" hidden="1" x14ac:dyDescent="0.25">
      <c r="C913" t="s">
        <v>119</v>
      </c>
      <c r="D913" t="s">
        <v>120</v>
      </c>
      <c r="E913" t="s">
        <v>63</v>
      </c>
      <c r="F913" t="s">
        <v>25</v>
      </c>
      <c r="G913">
        <v>11</v>
      </c>
      <c r="H913" t="s">
        <v>72</v>
      </c>
      <c r="I913" t="s">
        <v>121</v>
      </c>
      <c r="J913" t="s">
        <v>122</v>
      </c>
      <c r="K913">
        <v>0</v>
      </c>
      <c r="L913" s="84">
        <v>27254795</v>
      </c>
      <c r="M913" s="84">
        <v>299802745</v>
      </c>
    </row>
    <row r="914" spans="3:13" hidden="1" x14ac:dyDescent="0.25">
      <c r="C914" t="s">
        <v>119</v>
      </c>
      <c r="D914" t="s">
        <v>120</v>
      </c>
      <c r="E914" t="s">
        <v>60</v>
      </c>
      <c r="F914" t="s">
        <v>25</v>
      </c>
      <c r="G914">
        <v>7</v>
      </c>
      <c r="H914" t="s">
        <v>61</v>
      </c>
      <c r="I914" t="s">
        <v>121</v>
      </c>
      <c r="J914" t="s">
        <v>122</v>
      </c>
      <c r="K914">
        <v>0</v>
      </c>
      <c r="L914" s="84">
        <v>-107</v>
      </c>
      <c r="M914" s="84">
        <v>0</v>
      </c>
    </row>
    <row r="915" spans="3:13" hidden="1" x14ac:dyDescent="0.25">
      <c r="C915" t="s">
        <v>64</v>
      </c>
      <c r="D915" t="s">
        <v>120</v>
      </c>
      <c r="E915" t="s">
        <v>63</v>
      </c>
      <c r="F915" t="s">
        <v>124</v>
      </c>
      <c r="G915">
        <v>0</v>
      </c>
      <c r="H915" t="s">
        <v>70</v>
      </c>
      <c r="I915" t="s">
        <v>121</v>
      </c>
      <c r="J915" t="s">
        <v>122</v>
      </c>
      <c r="K915">
        <v>0</v>
      </c>
      <c r="L915" s="84">
        <v>3059480</v>
      </c>
      <c r="M915" s="84">
        <v>0</v>
      </c>
    </row>
    <row r="916" spans="3:13" hidden="1" x14ac:dyDescent="0.25">
      <c r="C916" t="s">
        <v>64</v>
      </c>
      <c r="D916" t="s">
        <v>125</v>
      </c>
      <c r="E916" t="s">
        <v>63</v>
      </c>
      <c r="F916" t="s">
        <v>24</v>
      </c>
      <c r="G916">
        <v>24</v>
      </c>
      <c r="I916" t="s">
        <v>121</v>
      </c>
      <c r="J916" t="s">
        <v>122</v>
      </c>
      <c r="K916">
        <v>0</v>
      </c>
      <c r="L916" s="84">
        <v>48094073</v>
      </c>
      <c r="M916" s="84">
        <v>1154257752</v>
      </c>
    </row>
    <row r="917" spans="3:13" hidden="1" x14ac:dyDescent="0.25">
      <c r="C917" t="s">
        <v>64</v>
      </c>
      <c r="D917" t="s">
        <v>120</v>
      </c>
      <c r="E917" t="s">
        <v>63</v>
      </c>
      <c r="F917" t="s">
        <v>124</v>
      </c>
      <c r="G917">
        <v>15</v>
      </c>
      <c r="H917" t="s">
        <v>17</v>
      </c>
      <c r="I917" t="s">
        <v>121</v>
      </c>
      <c r="J917" t="s">
        <v>122</v>
      </c>
      <c r="K917">
        <v>0</v>
      </c>
      <c r="L917" s="84">
        <v>68680</v>
      </c>
      <c r="M917" s="84">
        <v>1030200</v>
      </c>
    </row>
    <row r="918" spans="3:13" hidden="1" x14ac:dyDescent="0.25">
      <c r="C918" t="s">
        <v>119</v>
      </c>
      <c r="D918" t="s">
        <v>120</v>
      </c>
      <c r="E918" t="s">
        <v>63</v>
      </c>
      <c r="F918" t="s">
        <v>24</v>
      </c>
      <c r="G918">
        <v>18</v>
      </c>
      <c r="H918" t="s">
        <v>17</v>
      </c>
      <c r="I918" t="s">
        <v>121</v>
      </c>
      <c r="J918" t="s">
        <v>122</v>
      </c>
      <c r="K918">
        <v>0</v>
      </c>
      <c r="L918" s="84">
        <v>247641</v>
      </c>
      <c r="M918" s="84">
        <v>4457538</v>
      </c>
    </row>
    <row r="919" spans="3:13" hidden="1" x14ac:dyDescent="0.25">
      <c r="C919" t="s">
        <v>119</v>
      </c>
      <c r="D919" t="s">
        <v>120</v>
      </c>
      <c r="E919" t="s">
        <v>60</v>
      </c>
      <c r="F919" t="s">
        <v>25</v>
      </c>
      <c r="G919">
        <v>3</v>
      </c>
      <c r="H919" t="s">
        <v>17</v>
      </c>
      <c r="I919" t="s">
        <v>121</v>
      </c>
      <c r="J919" t="s">
        <v>122</v>
      </c>
      <c r="K919">
        <v>0</v>
      </c>
      <c r="L919" s="84">
        <v>-3321</v>
      </c>
      <c r="M919" s="84">
        <v>0</v>
      </c>
    </row>
    <row r="920" spans="3:13" hidden="1" x14ac:dyDescent="0.25">
      <c r="C920" t="s">
        <v>64</v>
      </c>
      <c r="D920" t="s">
        <v>120</v>
      </c>
      <c r="E920" t="s">
        <v>63</v>
      </c>
      <c r="F920" t="s">
        <v>123</v>
      </c>
      <c r="G920">
        <v>3</v>
      </c>
      <c r="H920" t="s">
        <v>14</v>
      </c>
      <c r="I920" t="s">
        <v>121</v>
      </c>
      <c r="J920" t="s">
        <v>122</v>
      </c>
      <c r="K920">
        <v>0</v>
      </c>
      <c r="L920" s="84">
        <v>1441828</v>
      </c>
      <c r="M920" s="84">
        <v>4325484</v>
      </c>
    </row>
    <row r="921" spans="3:13" hidden="1" x14ac:dyDescent="0.25">
      <c r="C921" t="s">
        <v>64</v>
      </c>
      <c r="D921" t="s">
        <v>120</v>
      </c>
      <c r="E921" t="s">
        <v>60</v>
      </c>
      <c r="F921" t="s">
        <v>25</v>
      </c>
      <c r="G921">
        <v>2</v>
      </c>
      <c r="H921" t="s">
        <v>18</v>
      </c>
      <c r="I921" t="s">
        <v>121</v>
      </c>
      <c r="J921" t="s">
        <v>66</v>
      </c>
      <c r="K921">
        <v>1</v>
      </c>
      <c r="L921" s="84">
        <v>-578</v>
      </c>
      <c r="M921" s="84">
        <v>0</v>
      </c>
    </row>
    <row r="922" spans="3:13" hidden="1" x14ac:dyDescent="0.25">
      <c r="C922" t="s">
        <v>64</v>
      </c>
      <c r="D922" t="s">
        <v>120</v>
      </c>
      <c r="E922" t="s">
        <v>60</v>
      </c>
      <c r="F922" t="s">
        <v>25</v>
      </c>
      <c r="G922">
        <v>3</v>
      </c>
      <c r="H922" t="s">
        <v>18</v>
      </c>
      <c r="I922" t="s">
        <v>121</v>
      </c>
      <c r="J922" t="s">
        <v>122</v>
      </c>
      <c r="K922">
        <v>0</v>
      </c>
      <c r="L922" s="84">
        <v>-8554</v>
      </c>
      <c r="M922" s="84">
        <v>0</v>
      </c>
    </row>
    <row r="923" spans="3:13" hidden="1" x14ac:dyDescent="0.25">
      <c r="C923" t="s">
        <v>119</v>
      </c>
      <c r="D923" t="s">
        <v>120</v>
      </c>
      <c r="E923" t="s">
        <v>63</v>
      </c>
      <c r="F923" t="s">
        <v>24</v>
      </c>
      <c r="G923">
        <v>-1</v>
      </c>
      <c r="H923" t="s">
        <v>14</v>
      </c>
      <c r="I923" t="s">
        <v>121</v>
      </c>
      <c r="J923" t="s">
        <v>122</v>
      </c>
      <c r="K923">
        <v>0</v>
      </c>
      <c r="L923" s="84">
        <v>201028</v>
      </c>
      <c r="M923" s="84">
        <v>0</v>
      </c>
    </row>
    <row r="924" spans="3:13" hidden="1" x14ac:dyDescent="0.25">
      <c r="C924" t="s">
        <v>65</v>
      </c>
      <c r="D924" t="s">
        <v>120</v>
      </c>
      <c r="E924" t="s">
        <v>60</v>
      </c>
      <c r="F924" t="s">
        <v>124</v>
      </c>
      <c r="G924">
        <v>2</v>
      </c>
      <c r="H924" t="s">
        <v>76</v>
      </c>
      <c r="I924" t="s">
        <v>121</v>
      </c>
      <c r="J924" t="s">
        <v>122</v>
      </c>
      <c r="K924">
        <v>0</v>
      </c>
      <c r="L924" s="84">
        <v>-70304</v>
      </c>
      <c r="M924" s="84">
        <v>0</v>
      </c>
    </row>
    <row r="925" spans="3:13" hidden="1" x14ac:dyDescent="0.25">
      <c r="C925" t="s">
        <v>65</v>
      </c>
      <c r="D925" t="s">
        <v>120</v>
      </c>
      <c r="E925" t="s">
        <v>63</v>
      </c>
      <c r="F925" t="s">
        <v>124</v>
      </c>
      <c r="G925">
        <v>-1</v>
      </c>
      <c r="H925" t="s">
        <v>15</v>
      </c>
      <c r="I925" t="s">
        <v>121</v>
      </c>
      <c r="J925" t="s">
        <v>66</v>
      </c>
      <c r="K925">
        <v>1</v>
      </c>
      <c r="L925" s="84">
        <v>4865</v>
      </c>
      <c r="M925" s="84">
        <v>0</v>
      </c>
    </row>
    <row r="926" spans="3:13" hidden="1" x14ac:dyDescent="0.25">
      <c r="C926" t="s">
        <v>64</v>
      </c>
      <c r="D926" t="s">
        <v>120</v>
      </c>
      <c r="E926" t="s">
        <v>63</v>
      </c>
      <c r="F926" t="s">
        <v>124</v>
      </c>
      <c r="G926">
        <v>3</v>
      </c>
      <c r="H926" t="s">
        <v>12</v>
      </c>
      <c r="I926" t="s">
        <v>121</v>
      </c>
      <c r="J926" t="s">
        <v>122</v>
      </c>
      <c r="K926">
        <v>0</v>
      </c>
      <c r="L926" s="84">
        <v>1074777</v>
      </c>
      <c r="M926" s="84">
        <v>3224331</v>
      </c>
    </row>
    <row r="927" spans="3:13" hidden="1" x14ac:dyDescent="0.25">
      <c r="C927" t="s">
        <v>119</v>
      </c>
      <c r="D927" t="s">
        <v>120</v>
      </c>
      <c r="E927" t="s">
        <v>60</v>
      </c>
      <c r="F927" t="s">
        <v>24</v>
      </c>
      <c r="G927">
        <v>12</v>
      </c>
      <c r="H927" t="s">
        <v>18</v>
      </c>
      <c r="I927" t="s">
        <v>121</v>
      </c>
      <c r="J927" t="s">
        <v>122</v>
      </c>
      <c r="K927">
        <v>0</v>
      </c>
      <c r="L927" s="84">
        <v>-952</v>
      </c>
      <c r="M927" s="84">
        <v>0</v>
      </c>
    </row>
    <row r="928" spans="3:13" hidden="1" x14ac:dyDescent="0.25">
      <c r="C928" t="s">
        <v>64</v>
      </c>
      <c r="D928" t="s">
        <v>125</v>
      </c>
      <c r="E928" t="s">
        <v>63</v>
      </c>
      <c r="F928" t="s">
        <v>25</v>
      </c>
      <c r="G928">
        <v>16</v>
      </c>
      <c r="I928" t="s">
        <v>121</v>
      </c>
      <c r="J928" t="s">
        <v>122</v>
      </c>
      <c r="K928">
        <v>0</v>
      </c>
      <c r="L928" s="84">
        <v>746467</v>
      </c>
      <c r="M928" s="84">
        <v>11943472</v>
      </c>
    </row>
    <row r="929" spans="3:13" hidden="1" x14ac:dyDescent="0.25">
      <c r="C929" t="s">
        <v>64</v>
      </c>
      <c r="D929" t="s">
        <v>125</v>
      </c>
      <c r="E929" t="s">
        <v>63</v>
      </c>
      <c r="F929" t="s">
        <v>25</v>
      </c>
      <c r="G929">
        <v>4</v>
      </c>
      <c r="I929" t="s">
        <v>121</v>
      </c>
      <c r="J929" t="s">
        <v>122</v>
      </c>
      <c r="K929">
        <v>0</v>
      </c>
      <c r="L929" s="84">
        <v>644320</v>
      </c>
      <c r="M929" s="84">
        <v>2577280</v>
      </c>
    </row>
    <row r="930" spans="3:13" hidden="1" x14ac:dyDescent="0.25">
      <c r="C930" t="s">
        <v>64</v>
      </c>
      <c r="D930" t="s">
        <v>120</v>
      </c>
      <c r="E930" t="s">
        <v>60</v>
      </c>
      <c r="F930" t="s">
        <v>24</v>
      </c>
      <c r="G930">
        <v>19</v>
      </c>
      <c r="H930" t="s">
        <v>72</v>
      </c>
      <c r="I930" t="s">
        <v>121</v>
      </c>
      <c r="J930" t="s">
        <v>122</v>
      </c>
      <c r="K930">
        <v>0</v>
      </c>
      <c r="L930" s="84">
        <v>-28548</v>
      </c>
      <c r="M930" s="84">
        <v>0</v>
      </c>
    </row>
    <row r="931" spans="3:13" hidden="1" x14ac:dyDescent="0.25">
      <c r="C931" t="s">
        <v>65</v>
      </c>
      <c r="D931" t="s">
        <v>120</v>
      </c>
      <c r="E931" t="s">
        <v>63</v>
      </c>
      <c r="F931" t="s">
        <v>123</v>
      </c>
      <c r="G931">
        <v>3</v>
      </c>
      <c r="H931" t="s">
        <v>12</v>
      </c>
      <c r="I931" t="s">
        <v>121</v>
      </c>
      <c r="J931" t="s">
        <v>66</v>
      </c>
      <c r="K931">
        <v>1</v>
      </c>
      <c r="L931" s="84">
        <v>92445</v>
      </c>
      <c r="M931" s="84">
        <v>277335</v>
      </c>
    </row>
    <row r="932" spans="3:13" hidden="1" x14ac:dyDescent="0.25">
      <c r="C932" t="s">
        <v>64</v>
      </c>
      <c r="D932" t="s">
        <v>120</v>
      </c>
      <c r="E932" t="s">
        <v>63</v>
      </c>
      <c r="F932" t="s">
        <v>25</v>
      </c>
      <c r="G932">
        <v>-1</v>
      </c>
      <c r="H932" t="s">
        <v>18</v>
      </c>
      <c r="I932" t="s">
        <v>121</v>
      </c>
      <c r="J932" t="s">
        <v>122</v>
      </c>
      <c r="K932">
        <v>0</v>
      </c>
      <c r="L932" s="84">
        <v>457254</v>
      </c>
      <c r="M932" s="84">
        <v>0</v>
      </c>
    </row>
    <row r="933" spans="3:13" hidden="1" x14ac:dyDescent="0.25">
      <c r="C933" t="s">
        <v>64</v>
      </c>
      <c r="D933" t="s">
        <v>125</v>
      </c>
      <c r="E933" t="s">
        <v>60</v>
      </c>
      <c r="F933" t="s">
        <v>24</v>
      </c>
      <c r="G933">
        <v>44</v>
      </c>
      <c r="I933" t="s">
        <v>121</v>
      </c>
      <c r="J933" t="s">
        <v>122</v>
      </c>
      <c r="K933">
        <v>0</v>
      </c>
      <c r="L933" s="84">
        <v>-62707</v>
      </c>
      <c r="M933" s="84">
        <v>0</v>
      </c>
    </row>
    <row r="934" spans="3:13" hidden="1" x14ac:dyDescent="0.25">
      <c r="C934" t="s">
        <v>119</v>
      </c>
      <c r="D934" t="s">
        <v>120</v>
      </c>
      <c r="E934" t="s">
        <v>63</v>
      </c>
      <c r="F934" t="s">
        <v>24</v>
      </c>
      <c r="G934">
        <v>-1</v>
      </c>
      <c r="H934" t="s">
        <v>14</v>
      </c>
      <c r="I934" t="s">
        <v>121</v>
      </c>
      <c r="J934" t="s">
        <v>66</v>
      </c>
      <c r="K934">
        <v>1</v>
      </c>
      <c r="L934" s="84">
        <v>190281</v>
      </c>
      <c r="M934" s="84">
        <v>0</v>
      </c>
    </row>
    <row r="935" spans="3:13" hidden="1" x14ac:dyDescent="0.25">
      <c r="C935" t="s">
        <v>65</v>
      </c>
      <c r="D935" t="s">
        <v>120</v>
      </c>
      <c r="E935" t="s">
        <v>63</v>
      </c>
      <c r="F935" t="s">
        <v>24</v>
      </c>
      <c r="G935">
        <v>3</v>
      </c>
      <c r="H935" t="s">
        <v>68</v>
      </c>
      <c r="I935" t="s">
        <v>121</v>
      </c>
      <c r="J935" t="s">
        <v>122</v>
      </c>
      <c r="K935">
        <v>0</v>
      </c>
      <c r="L935" s="84">
        <v>99371</v>
      </c>
      <c r="M935" s="84">
        <v>298113</v>
      </c>
    </row>
    <row r="936" spans="3:13" hidden="1" x14ac:dyDescent="0.25">
      <c r="C936" t="s">
        <v>119</v>
      </c>
      <c r="D936" t="s">
        <v>120</v>
      </c>
      <c r="E936" t="s">
        <v>60</v>
      </c>
      <c r="F936" t="s">
        <v>25</v>
      </c>
      <c r="G936">
        <v>10</v>
      </c>
      <c r="H936" t="s">
        <v>18</v>
      </c>
      <c r="I936" t="s">
        <v>121</v>
      </c>
      <c r="J936" t="s">
        <v>122</v>
      </c>
      <c r="K936">
        <v>0</v>
      </c>
      <c r="L936" s="84">
        <v>-6984</v>
      </c>
      <c r="M936" s="84">
        <v>0</v>
      </c>
    </row>
    <row r="937" spans="3:13" hidden="1" x14ac:dyDescent="0.25">
      <c r="C937" t="s">
        <v>64</v>
      </c>
      <c r="D937" t="s">
        <v>120</v>
      </c>
      <c r="E937" t="s">
        <v>60</v>
      </c>
      <c r="F937" t="s">
        <v>25</v>
      </c>
      <c r="G937">
        <v>14</v>
      </c>
      <c r="H937" t="s">
        <v>17</v>
      </c>
      <c r="I937" t="s">
        <v>121</v>
      </c>
      <c r="J937" t="s">
        <v>66</v>
      </c>
      <c r="K937">
        <v>1</v>
      </c>
      <c r="L937" s="84">
        <v>-6653</v>
      </c>
      <c r="M937" s="84">
        <v>0</v>
      </c>
    </row>
    <row r="938" spans="3:13" hidden="1" x14ac:dyDescent="0.25">
      <c r="C938" t="s">
        <v>119</v>
      </c>
      <c r="D938" t="s">
        <v>120</v>
      </c>
      <c r="E938" t="s">
        <v>63</v>
      </c>
      <c r="F938" t="s">
        <v>123</v>
      </c>
      <c r="G938">
        <v>7</v>
      </c>
      <c r="H938" t="s">
        <v>61</v>
      </c>
      <c r="I938" t="s">
        <v>121</v>
      </c>
      <c r="J938" t="s">
        <v>122</v>
      </c>
      <c r="K938">
        <v>0</v>
      </c>
      <c r="L938" s="84">
        <v>5948154</v>
      </c>
      <c r="M938" s="84">
        <v>41637078</v>
      </c>
    </row>
    <row r="939" spans="3:13" hidden="1" x14ac:dyDescent="0.25">
      <c r="C939" t="s">
        <v>65</v>
      </c>
      <c r="D939" t="s">
        <v>120</v>
      </c>
      <c r="E939" t="s">
        <v>63</v>
      </c>
      <c r="F939" t="s">
        <v>25</v>
      </c>
      <c r="G939">
        <v>11</v>
      </c>
      <c r="H939" t="s">
        <v>69</v>
      </c>
      <c r="I939" t="s">
        <v>121</v>
      </c>
      <c r="J939" t="s">
        <v>122</v>
      </c>
      <c r="K939">
        <v>0</v>
      </c>
      <c r="L939" s="84">
        <v>78949</v>
      </c>
      <c r="M939" s="84">
        <v>868439</v>
      </c>
    </row>
    <row r="940" spans="3:13" hidden="1" x14ac:dyDescent="0.25">
      <c r="C940" t="s">
        <v>119</v>
      </c>
      <c r="D940" t="s">
        <v>120</v>
      </c>
      <c r="E940" t="s">
        <v>60</v>
      </c>
      <c r="F940" t="s">
        <v>24</v>
      </c>
      <c r="G940">
        <v>8</v>
      </c>
      <c r="H940" t="s">
        <v>67</v>
      </c>
      <c r="I940" t="s">
        <v>121</v>
      </c>
      <c r="J940" t="s">
        <v>122</v>
      </c>
      <c r="K940">
        <v>0</v>
      </c>
      <c r="L940" s="84">
        <v>-3218</v>
      </c>
      <c r="M940" s="84">
        <v>0</v>
      </c>
    </row>
    <row r="941" spans="3:13" hidden="1" x14ac:dyDescent="0.25">
      <c r="C941" t="s">
        <v>119</v>
      </c>
      <c r="D941" t="s">
        <v>126</v>
      </c>
      <c r="E941" t="s">
        <v>60</v>
      </c>
      <c r="F941" t="s">
        <v>25</v>
      </c>
      <c r="G941">
        <v>12</v>
      </c>
      <c r="H941" t="s">
        <v>68</v>
      </c>
      <c r="I941" t="s">
        <v>121</v>
      </c>
      <c r="J941" t="s">
        <v>122</v>
      </c>
      <c r="K941">
        <v>0</v>
      </c>
      <c r="L941" s="84">
        <v>-25484</v>
      </c>
      <c r="M941" s="84">
        <v>0</v>
      </c>
    </row>
    <row r="942" spans="3:13" hidden="1" x14ac:dyDescent="0.25">
      <c r="C942" t="s">
        <v>64</v>
      </c>
      <c r="D942" t="s">
        <v>125</v>
      </c>
      <c r="E942" t="s">
        <v>63</v>
      </c>
      <c r="F942" t="s">
        <v>24</v>
      </c>
      <c r="G942">
        <v>38</v>
      </c>
      <c r="I942" t="s">
        <v>121</v>
      </c>
      <c r="J942" t="s">
        <v>122</v>
      </c>
      <c r="K942">
        <v>0</v>
      </c>
      <c r="L942" s="84">
        <v>22118088</v>
      </c>
      <c r="M942" s="84">
        <v>840487344</v>
      </c>
    </row>
    <row r="943" spans="3:13" hidden="1" x14ac:dyDescent="0.25">
      <c r="C943" t="s">
        <v>119</v>
      </c>
      <c r="D943" t="s">
        <v>120</v>
      </c>
      <c r="E943" t="s">
        <v>63</v>
      </c>
      <c r="F943" t="s">
        <v>123</v>
      </c>
      <c r="G943">
        <v>6</v>
      </c>
      <c r="H943" t="s">
        <v>18</v>
      </c>
      <c r="I943" t="s">
        <v>121</v>
      </c>
      <c r="J943" t="s">
        <v>66</v>
      </c>
      <c r="K943">
        <v>1</v>
      </c>
      <c r="L943" s="84">
        <v>119677</v>
      </c>
      <c r="M943" s="84">
        <v>718062</v>
      </c>
    </row>
    <row r="944" spans="3:13" hidden="1" x14ac:dyDescent="0.25">
      <c r="C944" t="s">
        <v>64</v>
      </c>
      <c r="D944" t="s">
        <v>120</v>
      </c>
      <c r="E944" t="s">
        <v>60</v>
      </c>
      <c r="F944" t="s">
        <v>124</v>
      </c>
      <c r="G944">
        <v>2</v>
      </c>
      <c r="H944" t="s">
        <v>14</v>
      </c>
      <c r="I944" t="s">
        <v>62</v>
      </c>
      <c r="J944" t="s">
        <v>122</v>
      </c>
      <c r="K944">
        <v>1</v>
      </c>
      <c r="L944" s="84">
        <v>-4814</v>
      </c>
      <c r="M944" s="84">
        <v>0</v>
      </c>
    </row>
    <row r="945" spans="3:13" hidden="1" x14ac:dyDescent="0.25">
      <c r="C945" t="s">
        <v>119</v>
      </c>
      <c r="D945" t="s">
        <v>120</v>
      </c>
      <c r="E945" t="s">
        <v>60</v>
      </c>
      <c r="F945" t="s">
        <v>124</v>
      </c>
      <c r="G945">
        <v>0</v>
      </c>
      <c r="H945" t="s">
        <v>69</v>
      </c>
      <c r="I945" t="s">
        <v>121</v>
      </c>
      <c r="J945" t="s">
        <v>122</v>
      </c>
      <c r="K945">
        <v>0</v>
      </c>
      <c r="L945" s="84">
        <v>-53527</v>
      </c>
      <c r="M945" s="84">
        <v>0</v>
      </c>
    </row>
    <row r="946" spans="3:13" hidden="1" x14ac:dyDescent="0.25">
      <c r="C946" t="s">
        <v>119</v>
      </c>
      <c r="D946" t="s">
        <v>125</v>
      </c>
      <c r="E946" t="s">
        <v>60</v>
      </c>
      <c r="F946" t="s">
        <v>25</v>
      </c>
      <c r="G946">
        <v>12</v>
      </c>
      <c r="I946" t="s">
        <v>121</v>
      </c>
      <c r="J946" t="s">
        <v>122</v>
      </c>
      <c r="K946">
        <v>0</v>
      </c>
      <c r="L946" s="84">
        <v>-5528</v>
      </c>
      <c r="M946" s="84">
        <v>0</v>
      </c>
    </row>
    <row r="947" spans="3:13" hidden="1" x14ac:dyDescent="0.25">
      <c r="C947" t="s">
        <v>64</v>
      </c>
      <c r="D947" t="s">
        <v>120</v>
      </c>
      <c r="E947" t="s">
        <v>63</v>
      </c>
      <c r="F947" t="s">
        <v>124</v>
      </c>
      <c r="G947">
        <v>-1</v>
      </c>
      <c r="H947" t="s">
        <v>14</v>
      </c>
      <c r="I947" t="s">
        <v>121</v>
      </c>
      <c r="J947" t="s">
        <v>122</v>
      </c>
      <c r="K947">
        <v>0</v>
      </c>
      <c r="L947" s="84">
        <v>32385810</v>
      </c>
      <c r="M947" s="84">
        <v>0</v>
      </c>
    </row>
    <row r="948" spans="3:13" hidden="1" x14ac:dyDescent="0.25">
      <c r="C948" t="s">
        <v>65</v>
      </c>
      <c r="D948" t="s">
        <v>120</v>
      </c>
      <c r="E948" t="s">
        <v>63</v>
      </c>
      <c r="F948" t="s">
        <v>124</v>
      </c>
      <c r="G948">
        <v>3</v>
      </c>
      <c r="H948" t="s">
        <v>17</v>
      </c>
      <c r="I948" t="s">
        <v>121</v>
      </c>
      <c r="J948" t="s">
        <v>66</v>
      </c>
      <c r="K948">
        <v>1</v>
      </c>
      <c r="L948" s="84">
        <v>715001</v>
      </c>
      <c r="M948" s="84">
        <v>2145003</v>
      </c>
    </row>
    <row r="949" spans="3:13" hidden="1" x14ac:dyDescent="0.25">
      <c r="C949" t="s">
        <v>64</v>
      </c>
      <c r="D949" t="s">
        <v>120</v>
      </c>
      <c r="E949" t="s">
        <v>60</v>
      </c>
      <c r="F949" t="s">
        <v>123</v>
      </c>
      <c r="G949">
        <v>-1</v>
      </c>
      <c r="H949" t="s">
        <v>75</v>
      </c>
      <c r="I949" t="s">
        <v>121</v>
      </c>
      <c r="J949" t="s">
        <v>122</v>
      </c>
      <c r="K949">
        <v>0</v>
      </c>
      <c r="L949" s="84">
        <v>-560</v>
      </c>
      <c r="M949" s="84">
        <v>0</v>
      </c>
    </row>
    <row r="950" spans="3:13" hidden="1" x14ac:dyDescent="0.25">
      <c r="C950" t="s">
        <v>65</v>
      </c>
      <c r="D950" t="s">
        <v>120</v>
      </c>
      <c r="E950" t="s">
        <v>60</v>
      </c>
      <c r="F950" t="s">
        <v>123</v>
      </c>
      <c r="G950">
        <v>0</v>
      </c>
      <c r="H950" t="s">
        <v>17</v>
      </c>
      <c r="I950" t="s">
        <v>121</v>
      </c>
      <c r="J950" t="s">
        <v>122</v>
      </c>
      <c r="K950">
        <v>0</v>
      </c>
      <c r="L950" s="84">
        <v>-103660</v>
      </c>
      <c r="M950" s="84">
        <v>0</v>
      </c>
    </row>
    <row r="951" spans="3:13" hidden="1" x14ac:dyDescent="0.25">
      <c r="C951" t="s">
        <v>119</v>
      </c>
      <c r="D951" t="s">
        <v>120</v>
      </c>
      <c r="E951" t="s">
        <v>63</v>
      </c>
      <c r="F951" t="s">
        <v>124</v>
      </c>
      <c r="G951">
        <v>1</v>
      </c>
      <c r="H951" t="s">
        <v>72</v>
      </c>
      <c r="I951" t="s">
        <v>121</v>
      </c>
      <c r="J951" t="s">
        <v>122</v>
      </c>
      <c r="K951">
        <v>0</v>
      </c>
      <c r="L951" s="84">
        <v>9231779</v>
      </c>
      <c r="M951" s="84">
        <v>9231779</v>
      </c>
    </row>
    <row r="952" spans="3:13" hidden="1" x14ac:dyDescent="0.25">
      <c r="C952" t="s">
        <v>65</v>
      </c>
      <c r="D952" t="s">
        <v>120</v>
      </c>
      <c r="E952" t="s">
        <v>60</v>
      </c>
      <c r="F952" t="s">
        <v>123</v>
      </c>
      <c r="G952">
        <v>4</v>
      </c>
      <c r="H952" t="s">
        <v>70</v>
      </c>
      <c r="I952" t="s">
        <v>121</v>
      </c>
      <c r="J952" t="s">
        <v>122</v>
      </c>
      <c r="K952">
        <v>0</v>
      </c>
      <c r="L952" s="84">
        <v>-5042</v>
      </c>
      <c r="M952" s="84">
        <v>0</v>
      </c>
    </row>
    <row r="953" spans="3:13" hidden="1" x14ac:dyDescent="0.25">
      <c r="C953" t="s">
        <v>119</v>
      </c>
      <c r="D953" t="s">
        <v>120</v>
      </c>
      <c r="E953" t="s">
        <v>60</v>
      </c>
      <c r="F953" t="s">
        <v>124</v>
      </c>
      <c r="G953">
        <v>-1</v>
      </c>
      <c r="H953" t="s">
        <v>75</v>
      </c>
      <c r="I953" t="s">
        <v>121</v>
      </c>
      <c r="J953" t="s">
        <v>122</v>
      </c>
      <c r="K953">
        <v>0</v>
      </c>
      <c r="L953" s="84">
        <v>-184122</v>
      </c>
      <c r="M953" s="84">
        <v>0</v>
      </c>
    </row>
    <row r="954" spans="3:13" hidden="1" x14ac:dyDescent="0.25">
      <c r="C954" t="s">
        <v>119</v>
      </c>
      <c r="D954" t="s">
        <v>120</v>
      </c>
      <c r="E954" t="s">
        <v>60</v>
      </c>
      <c r="F954" t="s">
        <v>24</v>
      </c>
      <c r="G954">
        <v>7</v>
      </c>
      <c r="H954" t="s">
        <v>75</v>
      </c>
      <c r="I954" t="s">
        <v>121</v>
      </c>
      <c r="J954" t="s">
        <v>122</v>
      </c>
      <c r="K954">
        <v>0</v>
      </c>
      <c r="L954" s="84">
        <v>-91</v>
      </c>
      <c r="M954" s="84">
        <v>0</v>
      </c>
    </row>
    <row r="955" spans="3:13" hidden="1" x14ac:dyDescent="0.25">
      <c r="C955" t="s">
        <v>65</v>
      </c>
      <c r="D955" t="s">
        <v>120</v>
      </c>
      <c r="E955" t="s">
        <v>60</v>
      </c>
      <c r="F955" t="s">
        <v>124</v>
      </c>
      <c r="G955">
        <v>1</v>
      </c>
      <c r="H955" t="s">
        <v>14</v>
      </c>
      <c r="I955" t="s">
        <v>121</v>
      </c>
      <c r="J955" t="s">
        <v>122</v>
      </c>
      <c r="K955">
        <v>0</v>
      </c>
      <c r="L955" s="84">
        <v>-2158937</v>
      </c>
      <c r="M955" s="84">
        <v>0</v>
      </c>
    </row>
    <row r="956" spans="3:13" hidden="1" x14ac:dyDescent="0.25">
      <c r="C956" t="s">
        <v>64</v>
      </c>
      <c r="D956" t="s">
        <v>120</v>
      </c>
      <c r="E956" t="s">
        <v>63</v>
      </c>
      <c r="F956" t="s">
        <v>123</v>
      </c>
      <c r="G956">
        <v>2</v>
      </c>
      <c r="H956" t="s">
        <v>12</v>
      </c>
      <c r="I956" t="s">
        <v>121</v>
      </c>
      <c r="J956" t="s">
        <v>66</v>
      </c>
      <c r="K956">
        <v>1</v>
      </c>
      <c r="L956" s="84">
        <v>175747</v>
      </c>
      <c r="M956" s="84">
        <v>351494</v>
      </c>
    </row>
    <row r="957" spans="3:13" hidden="1" x14ac:dyDescent="0.25">
      <c r="C957" t="s">
        <v>65</v>
      </c>
      <c r="D957" t="s">
        <v>120</v>
      </c>
      <c r="E957" t="s">
        <v>63</v>
      </c>
      <c r="F957" t="s">
        <v>123</v>
      </c>
      <c r="G957">
        <v>0</v>
      </c>
      <c r="H957" t="s">
        <v>14</v>
      </c>
      <c r="I957" t="s">
        <v>121</v>
      </c>
      <c r="J957" t="s">
        <v>66</v>
      </c>
      <c r="K957">
        <v>1</v>
      </c>
      <c r="L957" s="84">
        <v>58050</v>
      </c>
      <c r="M957" s="84">
        <v>0</v>
      </c>
    </row>
    <row r="958" spans="3:13" hidden="1" x14ac:dyDescent="0.25">
      <c r="C958" t="s">
        <v>119</v>
      </c>
      <c r="D958" t="s">
        <v>120</v>
      </c>
      <c r="E958" t="s">
        <v>60</v>
      </c>
      <c r="F958" t="s">
        <v>124</v>
      </c>
      <c r="G958">
        <v>2</v>
      </c>
      <c r="H958" t="s">
        <v>73</v>
      </c>
      <c r="I958" t="s">
        <v>121</v>
      </c>
      <c r="J958" t="s">
        <v>122</v>
      </c>
      <c r="K958">
        <v>0</v>
      </c>
      <c r="L958" s="84">
        <v>-11809</v>
      </c>
      <c r="M958" s="84">
        <v>0</v>
      </c>
    </row>
    <row r="959" spans="3:13" hidden="1" x14ac:dyDescent="0.25">
      <c r="C959" t="s">
        <v>119</v>
      </c>
      <c r="D959" t="s">
        <v>120</v>
      </c>
      <c r="E959" t="s">
        <v>60</v>
      </c>
      <c r="F959" t="s">
        <v>24</v>
      </c>
      <c r="G959">
        <v>8</v>
      </c>
      <c r="H959" t="s">
        <v>61</v>
      </c>
      <c r="I959" t="s">
        <v>121</v>
      </c>
      <c r="J959" t="s">
        <v>122</v>
      </c>
      <c r="K959">
        <v>0</v>
      </c>
      <c r="L959" s="84">
        <v>-174</v>
      </c>
      <c r="M959" s="84">
        <v>0</v>
      </c>
    </row>
    <row r="960" spans="3:13" hidden="1" x14ac:dyDescent="0.25">
      <c r="C960" t="s">
        <v>119</v>
      </c>
      <c r="D960" t="s">
        <v>125</v>
      </c>
      <c r="E960" t="s">
        <v>60</v>
      </c>
      <c r="F960" t="s">
        <v>25</v>
      </c>
      <c r="G960">
        <v>2</v>
      </c>
      <c r="I960" t="s">
        <v>121</v>
      </c>
      <c r="J960" t="s">
        <v>122</v>
      </c>
      <c r="K960">
        <v>0</v>
      </c>
      <c r="L960" s="84">
        <v>-4229</v>
      </c>
      <c r="M960" s="84">
        <v>0</v>
      </c>
    </row>
    <row r="961" spans="3:13" hidden="1" x14ac:dyDescent="0.25">
      <c r="C961" t="s">
        <v>119</v>
      </c>
      <c r="D961" t="s">
        <v>120</v>
      </c>
      <c r="E961" t="s">
        <v>63</v>
      </c>
      <c r="F961" t="s">
        <v>24</v>
      </c>
      <c r="G961">
        <v>11</v>
      </c>
      <c r="H961" t="s">
        <v>18</v>
      </c>
      <c r="I961" t="s">
        <v>121</v>
      </c>
      <c r="J961" t="s">
        <v>122</v>
      </c>
      <c r="K961">
        <v>0</v>
      </c>
      <c r="L961" s="84">
        <v>1116755</v>
      </c>
      <c r="M961" s="84">
        <v>12284305</v>
      </c>
    </row>
    <row r="962" spans="3:13" hidden="1" x14ac:dyDescent="0.25">
      <c r="C962" t="s">
        <v>65</v>
      </c>
      <c r="D962" t="s">
        <v>120</v>
      </c>
      <c r="E962" t="s">
        <v>60</v>
      </c>
      <c r="F962" t="s">
        <v>25</v>
      </c>
      <c r="G962">
        <v>7</v>
      </c>
      <c r="H962" t="s">
        <v>69</v>
      </c>
      <c r="I962" t="s">
        <v>121</v>
      </c>
      <c r="J962" t="s">
        <v>122</v>
      </c>
      <c r="K962">
        <v>0</v>
      </c>
      <c r="L962" s="84">
        <v>-59923</v>
      </c>
      <c r="M962" s="84">
        <v>0</v>
      </c>
    </row>
    <row r="963" spans="3:13" hidden="1" x14ac:dyDescent="0.25">
      <c r="C963" t="s">
        <v>65</v>
      </c>
      <c r="D963" t="s">
        <v>120</v>
      </c>
      <c r="E963" t="s">
        <v>60</v>
      </c>
      <c r="F963" t="s">
        <v>24</v>
      </c>
      <c r="G963">
        <v>5</v>
      </c>
      <c r="H963" t="s">
        <v>69</v>
      </c>
      <c r="I963" t="s">
        <v>121</v>
      </c>
      <c r="J963" t="s">
        <v>122</v>
      </c>
      <c r="K963">
        <v>0</v>
      </c>
      <c r="L963" s="84">
        <v>-75512</v>
      </c>
      <c r="M963" s="84">
        <v>0</v>
      </c>
    </row>
    <row r="964" spans="3:13" hidden="1" x14ac:dyDescent="0.25">
      <c r="C964" t="s">
        <v>119</v>
      </c>
      <c r="D964" t="s">
        <v>120</v>
      </c>
      <c r="E964" t="s">
        <v>60</v>
      </c>
      <c r="F964" t="s">
        <v>25</v>
      </c>
      <c r="G964">
        <v>16</v>
      </c>
      <c r="H964" t="s">
        <v>68</v>
      </c>
      <c r="I964" t="s">
        <v>121</v>
      </c>
      <c r="J964" t="s">
        <v>122</v>
      </c>
      <c r="K964">
        <v>0</v>
      </c>
      <c r="L964" s="84">
        <v>-69</v>
      </c>
      <c r="M964" s="84">
        <v>0</v>
      </c>
    </row>
    <row r="965" spans="3:13" hidden="1" x14ac:dyDescent="0.25">
      <c r="C965" t="s">
        <v>119</v>
      </c>
      <c r="D965" t="s">
        <v>120</v>
      </c>
      <c r="E965" t="s">
        <v>60</v>
      </c>
      <c r="F965" t="s">
        <v>25</v>
      </c>
      <c r="G965">
        <v>9</v>
      </c>
      <c r="H965" t="s">
        <v>75</v>
      </c>
      <c r="I965" t="s">
        <v>121</v>
      </c>
      <c r="J965" t="s">
        <v>122</v>
      </c>
      <c r="K965">
        <v>0</v>
      </c>
      <c r="L965" s="84">
        <v>-132</v>
      </c>
      <c r="M965" s="84">
        <v>0</v>
      </c>
    </row>
    <row r="966" spans="3:13" hidden="1" x14ac:dyDescent="0.25">
      <c r="C966" t="s">
        <v>64</v>
      </c>
      <c r="D966" t="s">
        <v>120</v>
      </c>
      <c r="E966" t="s">
        <v>60</v>
      </c>
      <c r="F966" t="s">
        <v>123</v>
      </c>
      <c r="G966">
        <v>-4</v>
      </c>
      <c r="H966" t="s">
        <v>12</v>
      </c>
      <c r="I966" t="s">
        <v>121</v>
      </c>
      <c r="J966" t="s">
        <v>66</v>
      </c>
      <c r="K966">
        <v>1</v>
      </c>
      <c r="L966" s="84">
        <v>-5</v>
      </c>
      <c r="M966" s="84">
        <v>0</v>
      </c>
    </row>
    <row r="967" spans="3:13" hidden="1" x14ac:dyDescent="0.25">
      <c r="C967" t="s">
        <v>119</v>
      </c>
      <c r="D967" t="s">
        <v>120</v>
      </c>
      <c r="E967" t="s">
        <v>63</v>
      </c>
      <c r="F967" t="s">
        <v>124</v>
      </c>
      <c r="G967">
        <v>0</v>
      </c>
      <c r="H967" t="s">
        <v>15</v>
      </c>
      <c r="I967" t="s">
        <v>121</v>
      </c>
      <c r="J967" t="s">
        <v>66</v>
      </c>
      <c r="K967">
        <v>1</v>
      </c>
      <c r="L967" s="84">
        <v>20416122</v>
      </c>
      <c r="M967" s="84">
        <v>0</v>
      </c>
    </row>
    <row r="968" spans="3:13" hidden="1" x14ac:dyDescent="0.25">
      <c r="C968" t="s">
        <v>65</v>
      </c>
      <c r="D968" t="s">
        <v>125</v>
      </c>
      <c r="E968" t="s">
        <v>63</v>
      </c>
      <c r="F968" t="s">
        <v>24</v>
      </c>
      <c r="G968">
        <v>14</v>
      </c>
      <c r="I968" t="s">
        <v>121</v>
      </c>
      <c r="J968" t="s">
        <v>122</v>
      </c>
      <c r="K968">
        <v>0</v>
      </c>
      <c r="L968" s="84">
        <v>4486199</v>
      </c>
      <c r="M968" s="84">
        <v>62806786</v>
      </c>
    </row>
    <row r="969" spans="3:13" hidden="1" x14ac:dyDescent="0.25">
      <c r="C969" t="s">
        <v>119</v>
      </c>
      <c r="D969" t="s">
        <v>120</v>
      </c>
      <c r="E969" t="s">
        <v>60</v>
      </c>
      <c r="F969" t="s">
        <v>24</v>
      </c>
      <c r="G969">
        <v>18</v>
      </c>
      <c r="H969" t="s">
        <v>69</v>
      </c>
      <c r="I969" t="s">
        <v>121</v>
      </c>
      <c r="J969" t="s">
        <v>122</v>
      </c>
      <c r="K969">
        <v>0</v>
      </c>
      <c r="L969" s="84">
        <v>-617</v>
      </c>
      <c r="M969" s="84">
        <v>0</v>
      </c>
    </row>
    <row r="970" spans="3:13" hidden="1" x14ac:dyDescent="0.25">
      <c r="C970" t="s">
        <v>119</v>
      </c>
      <c r="D970" t="s">
        <v>120</v>
      </c>
      <c r="E970" t="s">
        <v>63</v>
      </c>
      <c r="F970" t="s">
        <v>25</v>
      </c>
      <c r="G970">
        <v>14</v>
      </c>
      <c r="H970" t="s">
        <v>17</v>
      </c>
      <c r="I970" t="s">
        <v>121</v>
      </c>
      <c r="J970" t="s">
        <v>122</v>
      </c>
      <c r="K970">
        <v>0</v>
      </c>
      <c r="L970" s="84">
        <v>5902732</v>
      </c>
      <c r="M970" s="84">
        <v>82638248</v>
      </c>
    </row>
    <row r="971" spans="3:13" hidden="1" x14ac:dyDescent="0.25">
      <c r="C971" t="s">
        <v>64</v>
      </c>
      <c r="D971" t="s">
        <v>120</v>
      </c>
      <c r="E971" t="s">
        <v>60</v>
      </c>
      <c r="F971" t="s">
        <v>123</v>
      </c>
      <c r="G971">
        <v>-4</v>
      </c>
      <c r="H971" t="s">
        <v>17</v>
      </c>
      <c r="I971" t="s">
        <v>62</v>
      </c>
      <c r="J971" t="s">
        <v>122</v>
      </c>
      <c r="K971">
        <v>1</v>
      </c>
      <c r="L971" s="84">
        <v>-1</v>
      </c>
      <c r="M971" s="84">
        <v>0</v>
      </c>
    </row>
    <row r="972" spans="3:13" hidden="1" x14ac:dyDescent="0.25">
      <c r="C972" t="s">
        <v>119</v>
      </c>
      <c r="D972" t="s">
        <v>120</v>
      </c>
      <c r="E972" t="s">
        <v>60</v>
      </c>
      <c r="F972" t="s">
        <v>24</v>
      </c>
      <c r="G972">
        <v>6</v>
      </c>
      <c r="H972" t="s">
        <v>14</v>
      </c>
      <c r="I972" t="s">
        <v>121</v>
      </c>
      <c r="J972" t="s">
        <v>122</v>
      </c>
      <c r="K972">
        <v>0</v>
      </c>
      <c r="L972" s="84">
        <v>-249</v>
      </c>
      <c r="M972" s="84">
        <v>0</v>
      </c>
    </row>
    <row r="973" spans="3:13" hidden="1" x14ac:dyDescent="0.25">
      <c r="C973" t="s">
        <v>65</v>
      </c>
      <c r="D973" t="s">
        <v>120</v>
      </c>
      <c r="E973" t="s">
        <v>60</v>
      </c>
      <c r="F973" t="s">
        <v>123</v>
      </c>
      <c r="G973">
        <v>1</v>
      </c>
      <c r="H973" t="s">
        <v>14</v>
      </c>
      <c r="I973" t="s">
        <v>121</v>
      </c>
      <c r="J973" t="s">
        <v>66</v>
      </c>
      <c r="K973">
        <v>1</v>
      </c>
      <c r="L973" s="84">
        <v>-53421</v>
      </c>
      <c r="M973" s="84">
        <v>0</v>
      </c>
    </row>
    <row r="974" spans="3:13" hidden="1" x14ac:dyDescent="0.25">
      <c r="C974" t="s">
        <v>119</v>
      </c>
      <c r="D974" t="s">
        <v>120</v>
      </c>
      <c r="E974" t="s">
        <v>60</v>
      </c>
      <c r="F974" t="s">
        <v>124</v>
      </c>
      <c r="G974">
        <v>2</v>
      </c>
      <c r="H974" t="s">
        <v>17</v>
      </c>
      <c r="I974" t="s">
        <v>62</v>
      </c>
      <c r="J974" t="s">
        <v>66</v>
      </c>
      <c r="K974">
        <v>1</v>
      </c>
      <c r="L974" s="84">
        <v>-8859</v>
      </c>
      <c r="M974" s="84">
        <v>0</v>
      </c>
    </row>
    <row r="975" spans="3:13" hidden="1" x14ac:dyDescent="0.25">
      <c r="C975" t="s">
        <v>65</v>
      </c>
      <c r="D975" t="s">
        <v>120</v>
      </c>
      <c r="E975" t="s">
        <v>60</v>
      </c>
      <c r="F975" t="s">
        <v>123</v>
      </c>
      <c r="G975">
        <v>-4</v>
      </c>
      <c r="H975" t="s">
        <v>12</v>
      </c>
      <c r="I975" t="s">
        <v>121</v>
      </c>
      <c r="J975" t="s">
        <v>122</v>
      </c>
      <c r="K975">
        <v>0</v>
      </c>
      <c r="L975" s="84">
        <v>-25095</v>
      </c>
      <c r="M975" s="84">
        <v>0</v>
      </c>
    </row>
    <row r="976" spans="3:13" hidden="1" x14ac:dyDescent="0.25">
      <c r="C976" t="s">
        <v>119</v>
      </c>
      <c r="D976" t="s">
        <v>125</v>
      </c>
      <c r="E976" t="s">
        <v>63</v>
      </c>
      <c r="F976" t="s">
        <v>25</v>
      </c>
      <c r="G976">
        <v>19</v>
      </c>
      <c r="I976" t="s">
        <v>121</v>
      </c>
      <c r="J976" t="s">
        <v>122</v>
      </c>
      <c r="K976">
        <v>0</v>
      </c>
      <c r="L976" s="84">
        <v>269813</v>
      </c>
      <c r="M976" s="84">
        <v>5126447</v>
      </c>
    </row>
    <row r="977" spans="3:13" hidden="1" x14ac:dyDescent="0.25">
      <c r="C977" t="s">
        <v>64</v>
      </c>
      <c r="D977" t="s">
        <v>120</v>
      </c>
      <c r="E977" t="s">
        <v>63</v>
      </c>
      <c r="F977" t="s">
        <v>24</v>
      </c>
      <c r="G977">
        <v>8</v>
      </c>
      <c r="H977" t="s">
        <v>18</v>
      </c>
      <c r="I977" t="s">
        <v>121</v>
      </c>
      <c r="J977" t="s">
        <v>122</v>
      </c>
      <c r="K977">
        <v>0</v>
      </c>
      <c r="L977" s="84">
        <v>336858</v>
      </c>
      <c r="M977" s="84">
        <v>2694864</v>
      </c>
    </row>
    <row r="978" spans="3:13" hidden="1" x14ac:dyDescent="0.25">
      <c r="C978" t="s">
        <v>65</v>
      </c>
      <c r="D978" t="s">
        <v>120</v>
      </c>
      <c r="E978" t="s">
        <v>60</v>
      </c>
      <c r="F978" t="s">
        <v>124</v>
      </c>
      <c r="G978">
        <v>7</v>
      </c>
      <c r="H978" t="s">
        <v>17</v>
      </c>
      <c r="I978" t="s">
        <v>121</v>
      </c>
      <c r="J978" t="s">
        <v>122</v>
      </c>
      <c r="K978">
        <v>0</v>
      </c>
      <c r="L978" s="84">
        <v>-876123</v>
      </c>
      <c r="M978" s="84">
        <v>0</v>
      </c>
    </row>
    <row r="979" spans="3:13" hidden="1" x14ac:dyDescent="0.25">
      <c r="C979" t="s">
        <v>119</v>
      </c>
      <c r="D979" t="s">
        <v>120</v>
      </c>
      <c r="E979" t="s">
        <v>60</v>
      </c>
      <c r="F979" t="s">
        <v>25</v>
      </c>
      <c r="G979">
        <v>7</v>
      </c>
      <c r="H979" t="s">
        <v>67</v>
      </c>
      <c r="I979" t="s">
        <v>121</v>
      </c>
      <c r="J979" t="s">
        <v>122</v>
      </c>
      <c r="K979">
        <v>0</v>
      </c>
      <c r="L979" s="84">
        <v>-3810</v>
      </c>
      <c r="M979" s="84">
        <v>0</v>
      </c>
    </row>
    <row r="980" spans="3:13" hidden="1" x14ac:dyDescent="0.25">
      <c r="C980" t="s">
        <v>64</v>
      </c>
      <c r="D980" t="s">
        <v>120</v>
      </c>
      <c r="E980" t="s">
        <v>60</v>
      </c>
      <c r="F980" t="s">
        <v>24</v>
      </c>
      <c r="G980">
        <v>7</v>
      </c>
      <c r="H980" t="s">
        <v>69</v>
      </c>
      <c r="I980" t="s">
        <v>121</v>
      </c>
      <c r="J980" t="s">
        <v>122</v>
      </c>
      <c r="K980">
        <v>0</v>
      </c>
      <c r="L980" s="84">
        <v>-38973</v>
      </c>
      <c r="M980" s="84">
        <v>0</v>
      </c>
    </row>
    <row r="981" spans="3:13" x14ac:dyDescent="0.25">
      <c r="C981" t="s">
        <v>119</v>
      </c>
      <c r="D981" t="s">
        <v>120</v>
      </c>
      <c r="E981" t="s">
        <v>63</v>
      </c>
      <c r="F981" t="s">
        <v>25</v>
      </c>
      <c r="G981">
        <v>2</v>
      </c>
      <c r="H981" t="s">
        <v>12</v>
      </c>
      <c r="I981" t="s">
        <v>121</v>
      </c>
      <c r="J981" t="s">
        <v>66</v>
      </c>
      <c r="K981">
        <v>1</v>
      </c>
      <c r="L981" s="84">
        <v>250578</v>
      </c>
      <c r="M981" s="84">
        <v>501156</v>
      </c>
    </row>
    <row r="982" spans="3:13" hidden="1" x14ac:dyDescent="0.25">
      <c r="C982" t="s">
        <v>64</v>
      </c>
      <c r="D982" t="s">
        <v>120</v>
      </c>
      <c r="E982" t="s">
        <v>60</v>
      </c>
      <c r="F982" t="s">
        <v>25</v>
      </c>
      <c r="G982">
        <v>7</v>
      </c>
      <c r="H982" t="s">
        <v>68</v>
      </c>
      <c r="I982" t="s">
        <v>121</v>
      </c>
      <c r="J982" t="s">
        <v>122</v>
      </c>
      <c r="K982">
        <v>0</v>
      </c>
      <c r="L982" s="84">
        <v>-387070</v>
      </c>
      <c r="M982" s="84">
        <v>0</v>
      </c>
    </row>
    <row r="983" spans="3:13" hidden="1" x14ac:dyDescent="0.25">
      <c r="C983" t="s">
        <v>119</v>
      </c>
      <c r="D983" t="s">
        <v>127</v>
      </c>
      <c r="E983" t="s">
        <v>63</v>
      </c>
      <c r="F983" t="s">
        <v>24</v>
      </c>
      <c r="G983">
        <v>3</v>
      </c>
      <c r="H983" t="s">
        <v>77</v>
      </c>
      <c r="I983" t="s">
        <v>121</v>
      </c>
      <c r="J983" t="s">
        <v>122</v>
      </c>
      <c r="K983">
        <v>0</v>
      </c>
      <c r="L983" s="84">
        <v>24348</v>
      </c>
      <c r="M983" s="84">
        <v>73044</v>
      </c>
    </row>
    <row r="984" spans="3:13" hidden="1" x14ac:dyDescent="0.25">
      <c r="C984" t="s">
        <v>64</v>
      </c>
      <c r="D984" t="s">
        <v>120</v>
      </c>
      <c r="E984" t="s">
        <v>60</v>
      </c>
      <c r="F984" t="s">
        <v>123</v>
      </c>
      <c r="G984">
        <v>1</v>
      </c>
      <c r="H984" t="s">
        <v>14</v>
      </c>
      <c r="I984" t="s">
        <v>121</v>
      </c>
      <c r="J984" t="s">
        <v>122</v>
      </c>
      <c r="K984">
        <v>0</v>
      </c>
      <c r="L984" s="84">
        <v>-14414</v>
      </c>
      <c r="M984" s="84">
        <v>0</v>
      </c>
    </row>
    <row r="985" spans="3:13" hidden="1" x14ac:dyDescent="0.25">
      <c r="C985" t="s">
        <v>65</v>
      </c>
      <c r="D985" t="s">
        <v>120</v>
      </c>
      <c r="E985" t="s">
        <v>60</v>
      </c>
      <c r="F985" t="s">
        <v>124</v>
      </c>
      <c r="G985">
        <v>0</v>
      </c>
      <c r="H985" t="s">
        <v>75</v>
      </c>
      <c r="I985" t="s">
        <v>121</v>
      </c>
      <c r="J985" t="s">
        <v>122</v>
      </c>
      <c r="K985">
        <v>0</v>
      </c>
      <c r="L985" s="84">
        <v>-210153</v>
      </c>
      <c r="M985" s="84">
        <v>0</v>
      </c>
    </row>
    <row r="986" spans="3:13" hidden="1" x14ac:dyDescent="0.25">
      <c r="C986" t="s">
        <v>65</v>
      </c>
      <c r="D986" t="s">
        <v>125</v>
      </c>
      <c r="E986" t="s">
        <v>60</v>
      </c>
      <c r="F986" t="s">
        <v>24</v>
      </c>
      <c r="G986">
        <v>21</v>
      </c>
      <c r="I986" t="s">
        <v>121</v>
      </c>
      <c r="J986" t="s">
        <v>122</v>
      </c>
      <c r="K986">
        <v>0</v>
      </c>
      <c r="L986" s="84">
        <v>-2667114</v>
      </c>
      <c r="M986" s="84">
        <v>0</v>
      </c>
    </row>
    <row r="987" spans="3:13" hidden="1" x14ac:dyDescent="0.25">
      <c r="C987" t="s">
        <v>119</v>
      </c>
      <c r="D987" t="s">
        <v>120</v>
      </c>
      <c r="E987" t="s">
        <v>63</v>
      </c>
      <c r="F987" t="s">
        <v>123</v>
      </c>
      <c r="G987">
        <v>-1</v>
      </c>
      <c r="H987" t="s">
        <v>17</v>
      </c>
      <c r="I987" t="s">
        <v>121</v>
      </c>
      <c r="J987" t="s">
        <v>122</v>
      </c>
      <c r="K987">
        <v>0</v>
      </c>
      <c r="L987" s="84">
        <v>11065536</v>
      </c>
      <c r="M987" s="84">
        <v>0</v>
      </c>
    </row>
    <row r="988" spans="3:13" hidden="1" x14ac:dyDescent="0.25">
      <c r="C988" t="s">
        <v>65</v>
      </c>
      <c r="D988" t="s">
        <v>120</v>
      </c>
      <c r="E988" t="s">
        <v>63</v>
      </c>
      <c r="F988" t="s">
        <v>123</v>
      </c>
      <c r="G988">
        <v>2</v>
      </c>
      <c r="H988" t="s">
        <v>14</v>
      </c>
      <c r="I988" t="s">
        <v>121</v>
      </c>
      <c r="J988" t="s">
        <v>122</v>
      </c>
      <c r="K988">
        <v>0</v>
      </c>
      <c r="L988" s="84">
        <v>445567</v>
      </c>
      <c r="M988" s="84">
        <v>891134</v>
      </c>
    </row>
    <row r="989" spans="3:13" hidden="1" x14ac:dyDescent="0.25">
      <c r="C989" t="s">
        <v>64</v>
      </c>
      <c r="D989" t="s">
        <v>120</v>
      </c>
      <c r="E989" t="s">
        <v>63</v>
      </c>
      <c r="F989" t="s">
        <v>123</v>
      </c>
      <c r="G989">
        <v>0</v>
      </c>
      <c r="H989" t="s">
        <v>12</v>
      </c>
      <c r="I989" t="s">
        <v>121</v>
      </c>
      <c r="J989" t="s">
        <v>122</v>
      </c>
      <c r="K989">
        <v>0</v>
      </c>
      <c r="L989" s="84">
        <v>15276</v>
      </c>
      <c r="M989" s="84">
        <v>0</v>
      </c>
    </row>
    <row r="990" spans="3:13" hidden="1" x14ac:dyDescent="0.25">
      <c r="C990" t="s">
        <v>119</v>
      </c>
      <c r="D990" t="s">
        <v>120</v>
      </c>
      <c r="E990" t="s">
        <v>60</v>
      </c>
      <c r="F990" t="s">
        <v>124</v>
      </c>
      <c r="G990">
        <v>4</v>
      </c>
      <c r="H990" t="s">
        <v>13</v>
      </c>
      <c r="I990" t="s">
        <v>121</v>
      </c>
      <c r="J990" t="s">
        <v>122</v>
      </c>
      <c r="K990">
        <v>0</v>
      </c>
      <c r="L990" s="84">
        <v>-2660</v>
      </c>
      <c r="M990" s="84">
        <v>0</v>
      </c>
    </row>
    <row r="991" spans="3:13" hidden="1" x14ac:dyDescent="0.25">
      <c r="C991" t="s">
        <v>119</v>
      </c>
      <c r="D991" t="s">
        <v>120</v>
      </c>
      <c r="E991" t="s">
        <v>60</v>
      </c>
      <c r="F991" t="s">
        <v>25</v>
      </c>
      <c r="G991">
        <v>3</v>
      </c>
      <c r="H991" t="s">
        <v>16</v>
      </c>
      <c r="I991" t="s">
        <v>121</v>
      </c>
      <c r="J991" t="s">
        <v>122</v>
      </c>
      <c r="K991">
        <v>0</v>
      </c>
      <c r="L991" s="84">
        <v>-24</v>
      </c>
      <c r="M991" s="84">
        <v>0</v>
      </c>
    </row>
    <row r="992" spans="3:13" hidden="1" x14ac:dyDescent="0.25">
      <c r="C992" t="s">
        <v>119</v>
      </c>
      <c r="D992" t="s">
        <v>120</v>
      </c>
      <c r="E992" t="s">
        <v>63</v>
      </c>
      <c r="F992" t="s">
        <v>124</v>
      </c>
      <c r="G992">
        <v>5</v>
      </c>
      <c r="H992" t="s">
        <v>12</v>
      </c>
      <c r="I992" t="s">
        <v>121</v>
      </c>
      <c r="J992" t="s">
        <v>66</v>
      </c>
      <c r="K992">
        <v>1</v>
      </c>
      <c r="L992" s="84">
        <v>6177302</v>
      </c>
      <c r="M992" s="84">
        <v>30886510</v>
      </c>
    </row>
    <row r="993" spans="3:13" hidden="1" x14ac:dyDescent="0.25">
      <c r="C993" t="s">
        <v>119</v>
      </c>
      <c r="D993" t="s">
        <v>120</v>
      </c>
      <c r="E993" t="s">
        <v>63</v>
      </c>
      <c r="F993" t="s">
        <v>123</v>
      </c>
      <c r="G993">
        <v>4</v>
      </c>
      <c r="H993" t="s">
        <v>16</v>
      </c>
      <c r="I993" t="s">
        <v>121</v>
      </c>
      <c r="J993" t="s">
        <v>122</v>
      </c>
      <c r="K993">
        <v>0</v>
      </c>
      <c r="L993" s="84">
        <v>113520</v>
      </c>
      <c r="M993" s="84">
        <v>454080</v>
      </c>
    </row>
    <row r="994" spans="3:13" hidden="1" x14ac:dyDescent="0.25">
      <c r="C994" t="s">
        <v>65</v>
      </c>
      <c r="D994" t="s">
        <v>120</v>
      </c>
      <c r="E994" t="s">
        <v>60</v>
      </c>
      <c r="F994" t="s">
        <v>24</v>
      </c>
      <c r="G994">
        <v>-1</v>
      </c>
      <c r="H994" t="s">
        <v>18</v>
      </c>
      <c r="I994" t="s">
        <v>121</v>
      </c>
      <c r="J994" t="s">
        <v>122</v>
      </c>
      <c r="K994">
        <v>0</v>
      </c>
      <c r="L994" s="84">
        <v>-94074</v>
      </c>
      <c r="M994" s="84">
        <v>0</v>
      </c>
    </row>
    <row r="995" spans="3:13" hidden="1" x14ac:dyDescent="0.25">
      <c r="C995" t="s">
        <v>65</v>
      </c>
      <c r="D995" t="s">
        <v>120</v>
      </c>
      <c r="E995" t="s">
        <v>60</v>
      </c>
      <c r="F995" t="s">
        <v>124</v>
      </c>
      <c r="G995">
        <v>2</v>
      </c>
      <c r="H995" t="s">
        <v>72</v>
      </c>
      <c r="I995" t="s">
        <v>121</v>
      </c>
      <c r="J995" t="s">
        <v>122</v>
      </c>
      <c r="K995">
        <v>0</v>
      </c>
      <c r="L995" s="84">
        <v>-471563</v>
      </c>
      <c r="M995" s="84">
        <v>0</v>
      </c>
    </row>
    <row r="996" spans="3:13" hidden="1" x14ac:dyDescent="0.25">
      <c r="C996" t="s">
        <v>119</v>
      </c>
      <c r="D996" t="s">
        <v>120</v>
      </c>
      <c r="E996" t="s">
        <v>60</v>
      </c>
      <c r="F996" t="s">
        <v>24</v>
      </c>
      <c r="G996">
        <v>14</v>
      </c>
      <c r="H996" t="s">
        <v>68</v>
      </c>
      <c r="I996" t="s">
        <v>121</v>
      </c>
      <c r="J996" t="s">
        <v>122</v>
      </c>
      <c r="K996">
        <v>0</v>
      </c>
      <c r="L996" s="84">
        <v>-18368</v>
      </c>
      <c r="M996" s="84">
        <v>0</v>
      </c>
    </row>
    <row r="997" spans="3:13" hidden="1" x14ac:dyDescent="0.25">
      <c r="C997" t="s">
        <v>119</v>
      </c>
      <c r="D997" t="s">
        <v>120</v>
      </c>
      <c r="E997" t="s">
        <v>63</v>
      </c>
      <c r="F997" t="s">
        <v>124</v>
      </c>
      <c r="G997">
        <v>5</v>
      </c>
      <c r="H997" t="s">
        <v>17</v>
      </c>
      <c r="I997" t="s">
        <v>62</v>
      </c>
      <c r="J997" t="s">
        <v>122</v>
      </c>
      <c r="K997">
        <v>1</v>
      </c>
      <c r="L997" s="84">
        <v>24282</v>
      </c>
      <c r="M997" s="84">
        <v>121410</v>
      </c>
    </row>
    <row r="998" spans="3:13" hidden="1" x14ac:dyDescent="0.25">
      <c r="C998" t="s">
        <v>64</v>
      </c>
      <c r="D998" t="s">
        <v>120</v>
      </c>
      <c r="E998" t="s">
        <v>60</v>
      </c>
      <c r="F998" t="s">
        <v>124</v>
      </c>
      <c r="G998">
        <v>-1</v>
      </c>
      <c r="H998" t="s">
        <v>17</v>
      </c>
      <c r="I998" t="s">
        <v>62</v>
      </c>
      <c r="J998" t="s">
        <v>122</v>
      </c>
      <c r="K998">
        <v>1</v>
      </c>
      <c r="L998" s="84">
        <v>-3248</v>
      </c>
      <c r="M998" s="84">
        <v>0</v>
      </c>
    </row>
    <row r="999" spans="3:13" hidden="1" x14ac:dyDescent="0.25">
      <c r="C999" t="s">
        <v>65</v>
      </c>
      <c r="D999" t="s">
        <v>120</v>
      </c>
      <c r="E999" t="s">
        <v>63</v>
      </c>
      <c r="F999" t="s">
        <v>24</v>
      </c>
      <c r="G999">
        <v>5</v>
      </c>
      <c r="H999" t="s">
        <v>18</v>
      </c>
      <c r="I999" t="s">
        <v>121</v>
      </c>
      <c r="J999" t="s">
        <v>122</v>
      </c>
      <c r="K999">
        <v>0</v>
      </c>
      <c r="L999" s="84">
        <v>38138</v>
      </c>
      <c r="M999" s="84">
        <v>190690</v>
      </c>
    </row>
    <row r="1000" spans="3:13" hidden="1" x14ac:dyDescent="0.25">
      <c r="C1000" t="s">
        <v>64</v>
      </c>
      <c r="D1000" t="s">
        <v>120</v>
      </c>
      <c r="E1000" t="s">
        <v>60</v>
      </c>
      <c r="F1000" t="s">
        <v>124</v>
      </c>
      <c r="G1000">
        <v>-1</v>
      </c>
      <c r="H1000" t="s">
        <v>12</v>
      </c>
      <c r="I1000" t="s">
        <v>121</v>
      </c>
      <c r="J1000" t="s">
        <v>66</v>
      </c>
      <c r="K1000">
        <v>1</v>
      </c>
      <c r="L1000" s="84">
        <v>-237747</v>
      </c>
      <c r="M1000" s="84">
        <v>0</v>
      </c>
    </row>
    <row r="1001" spans="3:13" hidden="1" x14ac:dyDescent="0.25">
      <c r="C1001" t="s">
        <v>119</v>
      </c>
      <c r="D1001" t="s">
        <v>120</v>
      </c>
      <c r="E1001" t="s">
        <v>60</v>
      </c>
      <c r="F1001" t="s">
        <v>124</v>
      </c>
      <c r="G1001">
        <v>-1</v>
      </c>
      <c r="H1001" t="s">
        <v>78</v>
      </c>
      <c r="I1001" t="s">
        <v>121</v>
      </c>
      <c r="J1001" t="s">
        <v>122</v>
      </c>
      <c r="K1001">
        <v>0</v>
      </c>
      <c r="L1001" s="84">
        <v>-4</v>
      </c>
      <c r="M1001" s="84">
        <v>0</v>
      </c>
    </row>
    <row r="1002" spans="3:13" hidden="1" x14ac:dyDescent="0.25">
      <c r="C1002" t="s">
        <v>119</v>
      </c>
      <c r="D1002" t="s">
        <v>120</v>
      </c>
      <c r="E1002" t="s">
        <v>63</v>
      </c>
      <c r="F1002" t="s">
        <v>25</v>
      </c>
      <c r="G1002">
        <v>0</v>
      </c>
      <c r="H1002" t="s">
        <v>75</v>
      </c>
      <c r="I1002" t="s">
        <v>121</v>
      </c>
      <c r="J1002" t="s">
        <v>122</v>
      </c>
      <c r="K1002">
        <v>0</v>
      </c>
      <c r="L1002" s="84">
        <v>40920</v>
      </c>
      <c r="M1002" s="84">
        <v>0</v>
      </c>
    </row>
    <row r="1003" spans="3:13" hidden="1" x14ac:dyDescent="0.25">
      <c r="C1003" t="s">
        <v>119</v>
      </c>
      <c r="D1003" t="s">
        <v>120</v>
      </c>
      <c r="E1003" t="s">
        <v>63</v>
      </c>
      <c r="F1003" t="s">
        <v>25</v>
      </c>
      <c r="G1003">
        <v>9</v>
      </c>
      <c r="H1003" t="s">
        <v>76</v>
      </c>
      <c r="I1003" t="s">
        <v>121</v>
      </c>
      <c r="J1003" t="s">
        <v>122</v>
      </c>
      <c r="K1003">
        <v>0</v>
      </c>
      <c r="L1003" s="84">
        <v>5412973</v>
      </c>
      <c r="M1003" s="84">
        <v>48716757</v>
      </c>
    </row>
    <row r="1004" spans="3:13" hidden="1" x14ac:dyDescent="0.25">
      <c r="C1004" t="s">
        <v>119</v>
      </c>
      <c r="D1004" t="s">
        <v>120</v>
      </c>
      <c r="E1004" t="s">
        <v>63</v>
      </c>
      <c r="F1004" t="s">
        <v>24</v>
      </c>
      <c r="G1004">
        <v>17</v>
      </c>
      <c r="H1004" t="s">
        <v>17</v>
      </c>
      <c r="I1004" t="s">
        <v>62</v>
      </c>
      <c r="J1004" t="s">
        <v>122</v>
      </c>
      <c r="K1004">
        <v>1</v>
      </c>
      <c r="L1004" s="84">
        <v>98947</v>
      </c>
      <c r="M1004" s="84">
        <v>1682099</v>
      </c>
    </row>
    <row r="1005" spans="3:13" hidden="1" x14ac:dyDescent="0.25">
      <c r="C1005" t="s">
        <v>64</v>
      </c>
      <c r="D1005" t="s">
        <v>120</v>
      </c>
      <c r="E1005" t="s">
        <v>60</v>
      </c>
      <c r="F1005" t="s">
        <v>124</v>
      </c>
      <c r="G1005">
        <v>6</v>
      </c>
      <c r="H1005" t="s">
        <v>18</v>
      </c>
      <c r="I1005" t="s">
        <v>121</v>
      </c>
      <c r="J1005" t="s">
        <v>122</v>
      </c>
      <c r="K1005">
        <v>0</v>
      </c>
      <c r="L1005" s="84">
        <v>-110404</v>
      </c>
      <c r="M1005" s="84">
        <v>0</v>
      </c>
    </row>
    <row r="1006" spans="3:13" hidden="1" x14ac:dyDescent="0.25">
      <c r="C1006" t="s">
        <v>119</v>
      </c>
      <c r="D1006" t="s">
        <v>120</v>
      </c>
      <c r="E1006" t="s">
        <v>60</v>
      </c>
      <c r="F1006" t="s">
        <v>124</v>
      </c>
      <c r="G1006">
        <v>2</v>
      </c>
      <c r="H1006" t="s">
        <v>67</v>
      </c>
      <c r="I1006" t="s">
        <v>121</v>
      </c>
      <c r="J1006" t="s">
        <v>122</v>
      </c>
      <c r="K1006">
        <v>0</v>
      </c>
      <c r="L1006" s="84">
        <v>-303107</v>
      </c>
      <c r="M1006" s="84">
        <v>0</v>
      </c>
    </row>
    <row r="1007" spans="3:13" hidden="1" x14ac:dyDescent="0.25">
      <c r="C1007" t="s">
        <v>65</v>
      </c>
      <c r="D1007" t="s">
        <v>120</v>
      </c>
      <c r="E1007" t="s">
        <v>63</v>
      </c>
      <c r="F1007" t="s">
        <v>124</v>
      </c>
      <c r="G1007">
        <v>1</v>
      </c>
      <c r="H1007" t="s">
        <v>17</v>
      </c>
      <c r="I1007" t="s">
        <v>121</v>
      </c>
      <c r="J1007" t="s">
        <v>122</v>
      </c>
      <c r="K1007">
        <v>0</v>
      </c>
      <c r="L1007" s="84">
        <v>1889944</v>
      </c>
      <c r="M1007" s="84">
        <v>1889944</v>
      </c>
    </row>
    <row r="1008" spans="3:13" hidden="1" x14ac:dyDescent="0.25">
      <c r="C1008" t="s">
        <v>64</v>
      </c>
      <c r="D1008" t="s">
        <v>120</v>
      </c>
      <c r="E1008" t="s">
        <v>63</v>
      </c>
      <c r="F1008" t="s">
        <v>124</v>
      </c>
      <c r="G1008">
        <v>4</v>
      </c>
      <c r="H1008" t="s">
        <v>17</v>
      </c>
      <c r="I1008" t="s">
        <v>62</v>
      </c>
      <c r="J1008" t="s">
        <v>66</v>
      </c>
      <c r="K1008">
        <v>1</v>
      </c>
      <c r="L1008" s="84">
        <v>202033</v>
      </c>
      <c r="M1008" s="84">
        <v>808132</v>
      </c>
    </row>
    <row r="1009" spans="3:13" hidden="1" x14ac:dyDescent="0.25">
      <c r="C1009" t="s">
        <v>119</v>
      </c>
      <c r="D1009" t="s">
        <v>120</v>
      </c>
      <c r="E1009" t="s">
        <v>63</v>
      </c>
      <c r="F1009" t="s">
        <v>25</v>
      </c>
      <c r="G1009">
        <v>12</v>
      </c>
      <c r="H1009" t="s">
        <v>17</v>
      </c>
      <c r="I1009" t="s">
        <v>121</v>
      </c>
      <c r="J1009" t="s">
        <v>122</v>
      </c>
      <c r="K1009">
        <v>0</v>
      </c>
      <c r="L1009" s="84">
        <v>1185759</v>
      </c>
      <c r="M1009" s="84">
        <v>14229108</v>
      </c>
    </row>
    <row r="1010" spans="3:13" hidden="1" x14ac:dyDescent="0.25">
      <c r="C1010" t="s">
        <v>119</v>
      </c>
      <c r="D1010" t="s">
        <v>120</v>
      </c>
      <c r="E1010" t="s">
        <v>63</v>
      </c>
      <c r="F1010" t="s">
        <v>124</v>
      </c>
      <c r="G1010">
        <v>8</v>
      </c>
      <c r="H1010" t="s">
        <v>18</v>
      </c>
      <c r="I1010" t="s">
        <v>121</v>
      </c>
      <c r="J1010" t="s">
        <v>66</v>
      </c>
      <c r="K1010">
        <v>1</v>
      </c>
      <c r="L1010" s="84">
        <v>1778704</v>
      </c>
      <c r="M1010" s="84">
        <v>14229632</v>
      </c>
    </row>
    <row r="1011" spans="3:13" hidden="1" x14ac:dyDescent="0.25">
      <c r="C1011" t="s">
        <v>65</v>
      </c>
      <c r="D1011" t="s">
        <v>120</v>
      </c>
      <c r="E1011" t="s">
        <v>60</v>
      </c>
      <c r="F1011" t="s">
        <v>123</v>
      </c>
      <c r="G1011">
        <v>2</v>
      </c>
      <c r="H1011" t="s">
        <v>72</v>
      </c>
      <c r="I1011" t="s">
        <v>121</v>
      </c>
      <c r="J1011" t="s">
        <v>122</v>
      </c>
      <c r="K1011">
        <v>0</v>
      </c>
      <c r="L1011" s="84">
        <v>-8391</v>
      </c>
      <c r="M1011" s="84">
        <v>0</v>
      </c>
    </row>
    <row r="1012" spans="3:13" hidden="1" x14ac:dyDescent="0.25">
      <c r="C1012" t="s">
        <v>119</v>
      </c>
      <c r="D1012" t="s">
        <v>120</v>
      </c>
      <c r="E1012" t="s">
        <v>60</v>
      </c>
      <c r="F1012" t="s">
        <v>124</v>
      </c>
      <c r="G1012">
        <v>8</v>
      </c>
      <c r="H1012" t="s">
        <v>18</v>
      </c>
      <c r="I1012" t="s">
        <v>121</v>
      </c>
      <c r="J1012" t="s">
        <v>122</v>
      </c>
      <c r="K1012">
        <v>0</v>
      </c>
      <c r="L1012" s="84">
        <v>-7846</v>
      </c>
      <c r="M1012" s="84">
        <v>0</v>
      </c>
    </row>
    <row r="1013" spans="3:13" hidden="1" x14ac:dyDescent="0.25">
      <c r="C1013" t="s">
        <v>119</v>
      </c>
      <c r="D1013" t="s">
        <v>120</v>
      </c>
      <c r="E1013" t="s">
        <v>60</v>
      </c>
      <c r="F1013" t="s">
        <v>24</v>
      </c>
      <c r="G1013">
        <v>14</v>
      </c>
      <c r="H1013" t="s">
        <v>76</v>
      </c>
      <c r="I1013" t="s">
        <v>121</v>
      </c>
      <c r="J1013" t="s">
        <v>122</v>
      </c>
      <c r="K1013">
        <v>0</v>
      </c>
      <c r="L1013" s="84">
        <v>-635</v>
      </c>
      <c r="M1013" s="84">
        <v>0</v>
      </c>
    </row>
    <row r="1014" spans="3:13" hidden="1" x14ac:dyDescent="0.25">
      <c r="C1014" t="s">
        <v>64</v>
      </c>
      <c r="D1014" t="s">
        <v>125</v>
      </c>
      <c r="E1014" t="s">
        <v>63</v>
      </c>
      <c r="F1014" t="s">
        <v>24</v>
      </c>
      <c r="G1014">
        <v>23</v>
      </c>
      <c r="I1014" t="s">
        <v>121</v>
      </c>
      <c r="J1014" t="s">
        <v>122</v>
      </c>
      <c r="K1014">
        <v>0</v>
      </c>
      <c r="L1014" s="84">
        <v>52303770</v>
      </c>
      <c r="M1014" s="84">
        <v>1202986710</v>
      </c>
    </row>
    <row r="1015" spans="3:13" hidden="1" x14ac:dyDescent="0.25">
      <c r="C1015" t="s">
        <v>64</v>
      </c>
      <c r="D1015" t="s">
        <v>120</v>
      </c>
      <c r="E1015" t="s">
        <v>60</v>
      </c>
      <c r="F1015" t="s">
        <v>25</v>
      </c>
      <c r="G1015">
        <v>7</v>
      </c>
      <c r="H1015" t="s">
        <v>12</v>
      </c>
      <c r="I1015" t="s">
        <v>121</v>
      </c>
      <c r="J1015" t="s">
        <v>66</v>
      </c>
      <c r="K1015">
        <v>1</v>
      </c>
      <c r="L1015" s="84">
        <v>-9195</v>
      </c>
      <c r="M1015" s="84">
        <v>0</v>
      </c>
    </row>
    <row r="1016" spans="3:13" hidden="1" x14ac:dyDescent="0.25">
      <c r="C1016" t="s">
        <v>65</v>
      </c>
      <c r="D1016" t="s">
        <v>120</v>
      </c>
      <c r="E1016" t="s">
        <v>63</v>
      </c>
      <c r="F1016" t="s">
        <v>124</v>
      </c>
      <c r="G1016">
        <v>7</v>
      </c>
      <c r="H1016" t="s">
        <v>14</v>
      </c>
      <c r="I1016" t="s">
        <v>121</v>
      </c>
      <c r="J1016" t="s">
        <v>66</v>
      </c>
      <c r="K1016">
        <v>1</v>
      </c>
      <c r="L1016" s="84">
        <v>202347</v>
      </c>
      <c r="M1016" s="84">
        <v>1416429</v>
      </c>
    </row>
    <row r="1017" spans="3:13" hidden="1" x14ac:dyDescent="0.25">
      <c r="C1017" t="s">
        <v>119</v>
      </c>
      <c r="D1017" t="s">
        <v>120</v>
      </c>
      <c r="E1017" t="s">
        <v>63</v>
      </c>
      <c r="F1017" t="s">
        <v>25</v>
      </c>
      <c r="G1017">
        <v>18</v>
      </c>
      <c r="H1017" t="s">
        <v>75</v>
      </c>
      <c r="I1017" t="s">
        <v>121</v>
      </c>
      <c r="J1017" t="s">
        <v>122</v>
      </c>
      <c r="K1017">
        <v>0</v>
      </c>
      <c r="L1017" s="84">
        <v>344713</v>
      </c>
      <c r="M1017" s="84">
        <v>6204834</v>
      </c>
    </row>
    <row r="1018" spans="3:13" hidden="1" x14ac:dyDescent="0.25">
      <c r="C1018" t="s">
        <v>64</v>
      </c>
      <c r="D1018" t="s">
        <v>120</v>
      </c>
      <c r="E1018" t="s">
        <v>63</v>
      </c>
      <c r="F1018" t="s">
        <v>124</v>
      </c>
      <c r="G1018">
        <v>1</v>
      </c>
      <c r="H1018" t="s">
        <v>12</v>
      </c>
      <c r="I1018" t="s">
        <v>121</v>
      </c>
      <c r="J1018" t="s">
        <v>66</v>
      </c>
      <c r="K1018">
        <v>1</v>
      </c>
      <c r="L1018" s="84">
        <v>1056842</v>
      </c>
      <c r="M1018" s="84">
        <v>1056842</v>
      </c>
    </row>
    <row r="1019" spans="3:13" hidden="1" x14ac:dyDescent="0.25">
      <c r="C1019" t="s">
        <v>64</v>
      </c>
      <c r="D1019" t="s">
        <v>120</v>
      </c>
      <c r="E1019" t="s">
        <v>63</v>
      </c>
      <c r="F1019" t="s">
        <v>123</v>
      </c>
      <c r="G1019">
        <v>6</v>
      </c>
      <c r="H1019" t="s">
        <v>67</v>
      </c>
      <c r="I1019" t="s">
        <v>121</v>
      </c>
      <c r="J1019" t="s">
        <v>122</v>
      </c>
      <c r="K1019">
        <v>0</v>
      </c>
      <c r="L1019" s="84">
        <v>93918</v>
      </c>
      <c r="M1019" s="84">
        <v>563508</v>
      </c>
    </row>
    <row r="1020" spans="3:13" hidden="1" x14ac:dyDescent="0.25">
      <c r="C1020" t="s">
        <v>64</v>
      </c>
      <c r="D1020" t="s">
        <v>120</v>
      </c>
      <c r="E1020" t="s">
        <v>60</v>
      </c>
      <c r="F1020" t="s">
        <v>25</v>
      </c>
      <c r="G1020">
        <v>2</v>
      </c>
      <c r="H1020" t="s">
        <v>69</v>
      </c>
      <c r="I1020" t="s">
        <v>121</v>
      </c>
      <c r="J1020" t="s">
        <v>122</v>
      </c>
      <c r="K1020">
        <v>0</v>
      </c>
      <c r="L1020" s="84">
        <v>-13652</v>
      </c>
      <c r="M1020" s="84">
        <v>0</v>
      </c>
    </row>
    <row r="1021" spans="3:13" hidden="1" x14ac:dyDescent="0.25">
      <c r="C1021" t="s">
        <v>119</v>
      </c>
      <c r="D1021" t="s">
        <v>125</v>
      </c>
      <c r="E1021" t="s">
        <v>60</v>
      </c>
      <c r="F1021" t="s">
        <v>24</v>
      </c>
      <c r="G1021">
        <v>31</v>
      </c>
      <c r="I1021" t="s">
        <v>121</v>
      </c>
      <c r="J1021" t="s">
        <v>122</v>
      </c>
      <c r="K1021">
        <v>0</v>
      </c>
      <c r="L1021" s="84">
        <v>-349069</v>
      </c>
      <c r="M1021" s="84">
        <v>0</v>
      </c>
    </row>
    <row r="1022" spans="3:13" hidden="1" x14ac:dyDescent="0.25">
      <c r="C1022" t="s">
        <v>119</v>
      </c>
      <c r="D1022" t="s">
        <v>120</v>
      </c>
      <c r="E1022" t="s">
        <v>60</v>
      </c>
      <c r="F1022" t="s">
        <v>25</v>
      </c>
      <c r="G1022">
        <v>2</v>
      </c>
      <c r="H1022" t="s">
        <v>75</v>
      </c>
      <c r="I1022" t="s">
        <v>121</v>
      </c>
      <c r="J1022" t="s">
        <v>122</v>
      </c>
      <c r="K1022">
        <v>0</v>
      </c>
      <c r="L1022" s="84">
        <v>-216</v>
      </c>
      <c r="M1022" s="84">
        <v>0</v>
      </c>
    </row>
    <row r="1023" spans="3:13" hidden="1" x14ac:dyDescent="0.25">
      <c r="C1023" t="s">
        <v>64</v>
      </c>
      <c r="D1023" t="s">
        <v>120</v>
      </c>
      <c r="E1023" t="s">
        <v>63</v>
      </c>
      <c r="F1023" t="s">
        <v>124</v>
      </c>
      <c r="G1023">
        <v>2</v>
      </c>
      <c r="H1023" t="s">
        <v>70</v>
      </c>
      <c r="I1023" t="s">
        <v>121</v>
      </c>
      <c r="J1023" t="s">
        <v>122</v>
      </c>
      <c r="K1023">
        <v>0</v>
      </c>
      <c r="L1023" s="84">
        <v>1135429</v>
      </c>
      <c r="M1023" s="84">
        <v>2270858</v>
      </c>
    </row>
    <row r="1024" spans="3:13" hidden="1" x14ac:dyDescent="0.25">
      <c r="C1024" t="s">
        <v>64</v>
      </c>
      <c r="D1024" t="s">
        <v>120</v>
      </c>
      <c r="E1024" t="s">
        <v>63</v>
      </c>
      <c r="F1024" t="s">
        <v>124</v>
      </c>
      <c r="G1024">
        <v>1</v>
      </c>
      <c r="H1024" t="s">
        <v>17</v>
      </c>
      <c r="I1024" t="s">
        <v>62</v>
      </c>
      <c r="J1024" t="s">
        <v>122</v>
      </c>
      <c r="K1024">
        <v>1</v>
      </c>
      <c r="L1024" s="84">
        <v>10764</v>
      </c>
      <c r="M1024" s="84">
        <v>10764</v>
      </c>
    </row>
    <row r="1025" spans="3:13" hidden="1" x14ac:dyDescent="0.25">
      <c r="C1025" t="s">
        <v>119</v>
      </c>
      <c r="D1025" t="s">
        <v>120</v>
      </c>
      <c r="E1025" t="s">
        <v>63</v>
      </c>
      <c r="F1025" t="s">
        <v>24</v>
      </c>
      <c r="G1025">
        <v>15</v>
      </c>
      <c r="H1025" t="s">
        <v>67</v>
      </c>
      <c r="I1025" t="s">
        <v>121</v>
      </c>
      <c r="J1025" t="s">
        <v>122</v>
      </c>
      <c r="K1025">
        <v>0</v>
      </c>
      <c r="L1025" s="84">
        <v>851706</v>
      </c>
      <c r="M1025" s="84">
        <v>12775590</v>
      </c>
    </row>
    <row r="1026" spans="3:13" hidden="1" x14ac:dyDescent="0.25">
      <c r="C1026" t="s">
        <v>119</v>
      </c>
      <c r="D1026" t="s">
        <v>120</v>
      </c>
      <c r="E1026" t="s">
        <v>63</v>
      </c>
      <c r="F1026" t="s">
        <v>25</v>
      </c>
      <c r="G1026">
        <v>11</v>
      </c>
      <c r="H1026" t="s">
        <v>68</v>
      </c>
      <c r="I1026" t="s">
        <v>121</v>
      </c>
      <c r="J1026" t="s">
        <v>122</v>
      </c>
      <c r="K1026">
        <v>0</v>
      </c>
      <c r="L1026" s="84">
        <v>26143262</v>
      </c>
      <c r="M1026" s="84">
        <v>287575882</v>
      </c>
    </row>
    <row r="1027" spans="3:13" hidden="1" x14ac:dyDescent="0.25">
      <c r="C1027" t="s">
        <v>65</v>
      </c>
      <c r="D1027" t="s">
        <v>120</v>
      </c>
      <c r="E1027" t="s">
        <v>63</v>
      </c>
      <c r="F1027" t="s">
        <v>24</v>
      </c>
      <c r="G1027">
        <v>1</v>
      </c>
      <c r="H1027" t="s">
        <v>70</v>
      </c>
      <c r="I1027" t="s">
        <v>121</v>
      </c>
      <c r="J1027" t="s">
        <v>122</v>
      </c>
      <c r="K1027">
        <v>0</v>
      </c>
      <c r="L1027" s="84">
        <v>33421</v>
      </c>
      <c r="M1027" s="84">
        <v>33421</v>
      </c>
    </row>
    <row r="1028" spans="3:13" hidden="1" x14ac:dyDescent="0.25">
      <c r="C1028" t="s">
        <v>64</v>
      </c>
      <c r="D1028" t="s">
        <v>120</v>
      </c>
      <c r="E1028" t="s">
        <v>60</v>
      </c>
      <c r="F1028" t="s">
        <v>25</v>
      </c>
      <c r="G1028">
        <v>7</v>
      </c>
      <c r="H1028" t="s">
        <v>76</v>
      </c>
      <c r="I1028" t="s">
        <v>121</v>
      </c>
      <c r="J1028" t="s">
        <v>122</v>
      </c>
      <c r="K1028">
        <v>0</v>
      </c>
      <c r="L1028" s="84">
        <v>-67692</v>
      </c>
      <c r="M1028" s="84">
        <v>0</v>
      </c>
    </row>
    <row r="1029" spans="3:13" hidden="1" x14ac:dyDescent="0.25">
      <c r="C1029" t="s">
        <v>65</v>
      </c>
      <c r="D1029" t="s">
        <v>120</v>
      </c>
      <c r="E1029" t="s">
        <v>63</v>
      </c>
      <c r="F1029" t="s">
        <v>124</v>
      </c>
      <c r="G1029">
        <v>1</v>
      </c>
      <c r="H1029" t="s">
        <v>75</v>
      </c>
      <c r="I1029" t="s">
        <v>121</v>
      </c>
      <c r="J1029" t="s">
        <v>122</v>
      </c>
      <c r="K1029">
        <v>0</v>
      </c>
      <c r="L1029" s="84">
        <v>1332864</v>
      </c>
      <c r="M1029" s="84">
        <v>1332864</v>
      </c>
    </row>
    <row r="1030" spans="3:13" hidden="1" x14ac:dyDescent="0.25">
      <c r="C1030" t="s">
        <v>64</v>
      </c>
      <c r="D1030" t="s">
        <v>120</v>
      </c>
      <c r="E1030" t="s">
        <v>60</v>
      </c>
      <c r="F1030" t="s">
        <v>123</v>
      </c>
      <c r="G1030">
        <v>3</v>
      </c>
      <c r="H1030" t="s">
        <v>18</v>
      </c>
      <c r="I1030" t="s">
        <v>121</v>
      </c>
      <c r="J1030" t="s">
        <v>66</v>
      </c>
      <c r="K1030">
        <v>1</v>
      </c>
      <c r="L1030" s="84">
        <v>-9010</v>
      </c>
      <c r="M1030" s="84">
        <v>0</v>
      </c>
    </row>
    <row r="1031" spans="3:13" hidden="1" x14ac:dyDescent="0.25">
      <c r="C1031" t="s">
        <v>119</v>
      </c>
      <c r="D1031" t="s">
        <v>126</v>
      </c>
      <c r="E1031" t="s">
        <v>60</v>
      </c>
      <c r="F1031" t="s">
        <v>24</v>
      </c>
      <c r="G1031">
        <v>9</v>
      </c>
      <c r="H1031" t="s">
        <v>68</v>
      </c>
      <c r="I1031" t="s">
        <v>121</v>
      </c>
      <c r="J1031" t="s">
        <v>122</v>
      </c>
      <c r="K1031">
        <v>0</v>
      </c>
      <c r="L1031" s="84">
        <v>-16163</v>
      </c>
      <c r="M1031" s="84">
        <v>0</v>
      </c>
    </row>
    <row r="1032" spans="3:13" hidden="1" x14ac:dyDescent="0.25">
      <c r="C1032" t="s">
        <v>119</v>
      </c>
      <c r="D1032" t="s">
        <v>120</v>
      </c>
      <c r="E1032" t="s">
        <v>60</v>
      </c>
      <c r="F1032" t="s">
        <v>123</v>
      </c>
      <c r="G1032">
        <v>6</v>
      </c>
      <c r="H1032" t="s">
        <v>12</v>
      </c>
      <c r="I1032" t="s">
        <v>121</v>
      </c>
      <c r="J1032" t="s">
        <v>66</v>
      </c>
      <c r="K1032">
        <v>1</v>
      </c>
      <c r="L1032" s="84">
        <v>-2129</v>
      </c>
      <c r="M1032" s="84">
        <v>0</v>
      </c>
    </row>
    <row r="1033" spans="3:13" hidden="1" x14ac:dyDescent="0.25">
      <c r="C1033" t="s">
        <v>65</v>
      </c>
      <c r="D1033" t="s">
        <v>120</v>
      </c>
      <c r="E1033" t="s">
        <v>63</v>
      </c>
      <c r="F1033" t="s">
        <v>124</v>
      </c>
      <c r="G1033">
        <v>-4</v>
      </c>
      <c r="H1033" t="s">
        <v>18</v>
      </c>
      <c r="I1033" t="s">
        <v>121</v>
      </c>
      <c r="J1033" t="s">
        <v>122</v>
      </c>
      <c r="K1033">
        <v>0</v>
      </c>
      <c r="L1033" s="84">
        <v>12935631</v>
      </c>
      <c r="M1033" s="84">
        <v>0</v>
      </c>
    </row>
    <row r="1034" spans="3:13" hidden="1" x14ac:dyDescent="0.25">
      <c r="C1034" t="s">
        <v>64</v>
      </c>
      <c r="D1034" t="s">
        <v>120</v>
      </c>
      <c r="E1034" t="s">
        <v>63</v>
      </c>
      <c r="F1034" t="s">
        <v>25</v>
      </c>
      <c r="G1034">
        <v>8</v>
      </c>
      <c r="H1034" t="s">
        <v>72</v>
      </c>
      <c r="I1034" t="s">
        <v>121</v>
      </c>
      <c r="J1034" t="s">
        <v>122</v>
      </c>
      <c r="K1034">
        <v>0</v>
      </c>
      <c r="L1034" s="84">
        <v>61061</v>
      </c>
      <c r="M1034" s="84">
        <v>488488</v>
      </c>
    </row>
    <row r="1035" spans="3:13" hidden="1" x14ac:dyDescent="0.25">
      <c r="C1035" t="s">
        <v>119</v>
      </c>
      <c r="D1035" t="s">
        <v>120</v>
      </c>
      <c r="E1035" t="s">
        <v>60</v>
      </c>
      <c r="F1035" t="s">
        <v>124</v>
      </c>
      <c r="G1035">
        <v>2</v>
      </c>
      <c r="H1035" t="s">
        <v>14</v>
      </c>
      <c r="I1035" t="s">
        <v>121</v>
      </c>
      <c r="J1035" t="s">
        <v>122</v>
      </c>
      <c r="K1035">
        <v>0</v>
      </c>
      <c r="L1035" s="84">
        <v>-195481</v>
      </c>
      <c r="M1035" s="84">
        <v>0</v>
      </c>
    </row>
    <row r="1036" spans="3:13" hidden="1" x14ac:dyDescent="0.25">
      <c r="C1036" t="s">
        <v>119</v>
      </c>
      <c r="D1036" t="s">
        <v>120</v>
      </c>
      <c r="E1036" t="s">
        <v>63</v>
      </c>
      <c r="F1036" t="s">
        <v>124</v>
      </c>
      <c r="G1036">
        <v>1</v>
      </c>
      <c r="H1036" t="s">
        <v>13</v>
      </c>
      <c r="I1036" t="s">
        <v>121</v>
      </c>
      <c r="J1036" t="s">
        <v>122</v>
      </c>
      <c r="K1036">
        <v>0</v>
      </c>
      <c r="L1036" s="84">
        <v>231933</v>
      </c>
      <c r="M1036" s="84">
        <v>231933</v>
      </c>
    </row>
    <row r="1037" spans="3:13" hidden="1" x14ac:dyDescent="0.25">
      <c r="C1037" t="s">
        <v>119</v>
      </c>
      <c r="D1037" t="s">
        <v>120</v>
      </c>
      <c r="E1037" t="s">
        <v>63</v>
      </c>
      <c r="F1037" t="s">
        <v>123</v>
      </c>
      <c r="G1037">
        <v>0</v>
      </c>
      <c r="H1037" t="s">
        <v>17</v>
      </c>
      <c r="I1037" t="s">
        <v>121</v>
      </c>
      <c r="J1037" t="s">
        <v>66</v>
      </c>
      <c r="K1037">
        <v>1</v>
      </c>
      <c r="L1037" s="84">
        <v>58924</v>
      </c>
      <c r="M1037" s="84">
        <v>0</v>
      </c>
    </row>
    <row r="1038" spans="3:13" hidden="1" x14ac:dyDescent="0.25">
      <c r="C1038" t="s">
        <v>119</v>
      </c>
      <c r="D1038" t="s">
        <v>120</v>
      </c>
      <c r="E1038" t="s">
        <v>60</v>
      </c>
      <c r="F1038" t="s">
        <v>25</v>
      </c>
      <c r="G1038">
        <v>10</v>
      </c>
      <c r="H1038" t="s">
        <v>18</v>
      </c>
      <c r="I1038" t="s">
        <v>121</v>
      </c>
      <c r="J1038" t="s">
        <v>66</v>
      </c>
      <c r="K1038">
        <v>1</v>
      </c>
      <c r="L1038" s="84">
        <v>-1045</v>
      </c>
      <c r="M1038" s="84">
        <v>0</v>
      </c>
    </row>
    <row r="1039" spans="3:13" hidden="1" x14ac:dyDescent="0.25">
      <c r="C1039" t="s">
        <v>64</v>
      </c>
      <c r="D1039" t="s">
        <v>125</v>
      </c>
      <c r="E1039" t="s">
        <v>63</v>
      </c>
      <c r="F1039" t="s">
        <v>24</v>
      </c>
      <c r="G1039">
        <v>18</v>
      </c>
      <c r="I1039" t="s">
        <v>121</v>
      </c>
      <c r="J1039" t="s">
        <v>122</v>
      </c>
      <c r="K1039">
        <v>0</v>
      </c>
      <c r="L1039" s="84">
        <v>32499832</v>
      </c>
      <c r="M1039" s="84">
        <v>584996976</v>
      </c>
    </row>
    <row r="1040" spans="3:13" hidden="1" x14ac:dyDescent="0.25">
      <c r="C1040" t="s">
        <v>64</v>
      </c>
      <c r="D1040" t="s">
        <v>120</v>
      </c>
      <c r="E1040" t="s">
        <v>63</v>
      </c>
      <c r="F1040" t="s">
        <v>124</v>
      </c>
      <c r="G1040">
        <v>10</v>
      </c>
      <c r="H1040" t="s">
        <v>18</v>
      </c>
      <c r="I1040" t="s">
        <v>121</v>
      </c>
      <c r="J1040" t="s">
        <v>122</v>
      </c>
      <c r="K1040">
        <v>0</v>
      </c>
      <c r="L1040" s="84">
        <v>28663</v>
      </c>
      <c r="M1040" s="84">
        <v>286630</v>
      </c>
    </row>
    <row r="1041" spans="3:13" hidden="1" x14ac:dyDescent="0.25">
      <c r="C1041" t="s">
        <v>119</v>
      </c>
      <c r="D1041" t="s">
        <v>120</v>
      </c>
      <c r="E1041" t="s">
        <v>63</v>
      </c>
      <c r="F1041" t="s">
        <v>25</v>
      </c>
      <c r="G1041">
        <v>0</v>
      </c>
      <c r="H1041" t="s">
        <v>17</v>
      </c>
      <c r="I1041" t="s">
        <v>121</v>
      </c>
      <c r="J1041" t="s">
        <v>122</v>
      </c>
      <c r="K1041">
        <v>0</v>
      </c>
      <c r="L1041" s="84">
        <v>1980601</v>
      </c>
      <c r="M1041" s="84">
        <v>0</v>
      </c>
    </row>
    <row r="1042" spans="3:13" hidden="1" x14ac:dyDescent="0.25">
      <c r="C1042" t="s">
        <v>65</v>
      </c>
      <c r="D1042" t="s">
        <v>120</v>
      </c>
      <c r="E1042" t="s">
        <v>63</v>
      </c>
      <c r="F1042" t="s">
        <v>123</v>
      </c>
      <c r="G1042">
        <v>7</v>
      </c>
      <c r="H1042" t="s">
        <v>75</v>
      </c>
      <c r="I1042" t="s">
        <v>121</v>
      </c>
      <c r="J1042" t="s">
        <v>122</v>
      </c>
      <c r="K1042">
        <v>0</v>
      </c>
      <c r="L1042" s="84">
        <v>5062</v>
      </c>
      <c r="M1042" s="84">
        <v>35434</v>
      </c>
    </row>
    <row r="1043" spans="3:13" hidden="1" x14ac:dyDescent="0.25">
      <c r="C1043" t="s">
        <v>64</v>
      </c>
      <c r="D1043" t="s">
        <v>120</v>
      </c>
      <c r="E1043" t="s">
        <v>63</v>
      </c>
      <c r="F1043" t="s">
        <v>25</v>
      </c>
      <c r="G1043">
        <v>7</v>
      </c>
      <c r="H1043" t="s">
        <v>68</v>
      </c>
      <c r="I1043" t="s">
        <v>121</v>
      </c>
      <c r="J1043" t="s">
        <v>122</v>
      </c>
      <c r="K1043">
        <v>0</v>
      </c>
      <c r="L1043" s="84">
        <v>5337241</v>
      </c>
      <c r="M1043" s="84">
        <v>37360687</v>
      </c>
    </row>
    <row r="1044" spans="3:13" hidden="1" x14ac:dyDescent="0.25">
      <c r="C1044" t="s">
        <v>64</v>
      </c>
      <c r="D1044" t="s">
        <v>120</v>
      </c>
      <c r="E1044" t="s">
        <v>63</v>
      </c>
      <c r="F1044" t="s">
        <v>124</v>
      </c>
      <c r="G1044">
        <v>-1</v>
      </c>
      <c r="H1044" t="s">
        <v>71</v>
      </c>
      <c r="I1044" t="s">
        <v>121</v>
      </c>
      <c r="J1044" t="s">
        <v>122</v>
      </c>
      <c r="K1044">
        <v>0</v>
      </c>
      <c r="L1044" s="84">
        <v>1057309</v>
      </c>
      <c r="M1044" s="84">
        <v>0</v>
      </c>
    </row>
    <row r="1045" spans="3:13" hidden="1" x14ac:dyDescent="0.25">
      <c r="C1045" t="s">
        <v>119</v>
      </c>
      <c r="D1045" t="s">
        <v>120</v>
      </c>
      <c r="E1045" t="s">
        <v>63</v>
      </c>
      <c r="F1045" t="s">
        <v>124</v>
      </c>
      <c r="G1045">
        <v>7</v>
      </c>
      <c r="H1045" t="s">
        <v>18</v>
      </c>
      <c r="I1045" t="s">
        <v>121</v>
      </c>
      <c r="J1045" t="s">
        <v>66</v>
      </c>
      <c r="K1045">
        <v>1</v>
      </c>
      <c r="L1045" s="84">
        <v>1722249</v>
      </c>
      <c r="M1045" s="84">
        <v>12055743</v>
      </c>
    </row>
    <row r="1046" spans="3:13" hidden="1" x14ac:dyDescent="0.25">
      <c r="C1046" t="s">
        <v>119</v>
      </c>
      <c r="D1046" t="s">
        <v>125</v>
      </c>
      <c r="E1046" t="s">
        <v>60</v>
      </c>
      <c r="F1046" t="s">
        <v>24</v>
      </c>
      <c r="G1046">
        <v>35</v>
      </c>
      <c r="I1046" t="s">
        <v>121</v>
      </c>
      <c r="J1046" t="s">
        <v>122</v>
      </c>
      <c r="K1046">
        <v>0</v>
      </c>
      <c r="L1046" s="84">
        <v>-725433</v>
      </c>
      <c r="M1046" s="84">
        <v>0</v>
      </c>
    </row>
    <row r="1047" spans="3:13" hidden="1" x14ac:dyDescent="0.25">
      <c r="C1047" t="s">
        <v>64</v>
      </c>
      <c r="D1047" t="s">
        <v>120</v>
      </c>
      <c r="E1047" t="s">
        <v>63</v>
      </c>
      <c r="F1047" t="s">
        <v>124</v>
      </c>
      <c r="G1047">
        <v>1</v>
      </c>
      <c r="H1047" t="s">
        <v>75</v>
      </c>
      <c r="I1047" t="s">
        <v>62</v>
      </c>
      <c r="J1047" t="s">
        <v>122</v>
      </c>
      <c r="K1047">
        <v>1</v>
      </c>
      <c r="L1047" s="84">
        <v>11129</v>
      </c>
      <c r="M1047" s="84">
        <v>11129</v>
      </c>
    </row>
    <row r="1048" spans="3:13" hidden="1" x14ac:dyDescent="0.25">
      <c r="C1048" t="s">
        <v>64</v>
      </c>
      <c r="D1048" t="s">
        <v>120</v>
      </c>
      <c r="E1048" t="s">
        <v>60</v>
      </c>
      <c r="F1048" t="s">
        <v>24</v>
      </c>
      <c r="G1048">
        <v>6</v>
      </c>
      <c r="H1048" t="s">
        <v>72</v>
      </c>
      <c r="I1048" t="s">
        <v>121</v>
      </c>
      <c r="J1048" t="s">
        <v>122</v>
      </c>
      <c r="K1048">
        <v>0</v>
      </c>
      <c r="L1048" s="84">
        <v>-5519</v>
      </c>
      <c r="M1048" s="84">
        <v>0</v>
      </c>
    </row>
    <row r="1049" spans="3:13" hidden="1" x14ac:dyDescent="0.25">
      <c r="C1049" t="s">
        <v>65</v>
      </c>
      <c r="D1049" t="s">
        <v>120</v>
      </c>
      <c r="E1049" t="s">
        <v>63</v>
      </c>
      <c r="F1049" t="s">
        <v>123</v>
      </c>
      <c r="G1049">
        <v>-1</v>
      </c>
      <c r="H1049" t="s">
        <v>14</v>
      </c>
      <c r="I1049" t="s">
        <v>121</v>
      </c>
      <c r="J1049" t="s">
        <v>122</v>
      </c>
      <c r="K1049">
        <v>0</v>
      </c>
      <c r="L1049" s="84">
        <v>326238</v>
      </c>
      <c r="M1049" s="84">
        <v>0</v>
      </c>
    </row>
    <row r="1050" spans="3:13" hidden="1" x14ac:dyDescent="0.25">
      <c r="C1050" t="s">
        <v>64</v>
      </c>
      <c r="D1050" t="s">
        <v>120</v>
      </c>
      <c r="E1050" t="s">
        <v>60</v>
      </c>
      <c r="F1050" t="s">
        <v>123</v>
      </c>
      <c r="G1050">
        <v>1</v>
      </c>
      <c r="H1050" t="s">
        <v>73</v>
      </c>
      <c r="I1050" t="s">
        <v>121</v>
      </c>
      <c r="J1050" t="s">
        <v>122</v>
      </c>
      <c r="K1050">
        <v>0</v>
      </c>
      <c r="L1050" s="84">
        <v>-1097</v>
      </c>
      <c r="M1050" s="84">
        <v>0</v>
      </c>
    </row>
    <row r="1051" spans="3:13" hidden="1" x14ac:dyDescent="0.25">
      <c r="C1051" t="s">
        <v>119</v>
      </c>
      <c r="D1051" t="s">
        <v>120</v>
      </c>
      <c r="E1051" t="s">
        <v>60</v>
      </c>
      <c r="F1051" t="s">
        <v>24</v>
      </c>
      <c r="G1051">
        <v>5</v>
      </c>
      <c r="H1051" t="s">
        <v>72</v>
      </c>
      <c r="I1051" t="s">
        <v>121</v>
      </c>
      <c r="J1051" t="s">
        <v>122</v>
      </c>
      <c r="K1051">
        <v>0</v>
      </c>
      <c r="L1051" s="84">
        <v>-1094</v>
      </c>
      <c r="M1051" s="84">
        <v>0</v>
      </c>
    </row>
    <row r="1052" spans="3:13" hidden="1" x14ac:dyDescent="0.25">
      <c r="C1052" t="s">
        <v>119</v>
      </c>
      <c r="D1052" t="s">
        <v>120</v>
      </c>
      <c r="E1052" t="s">
        <v>63</v>
      </c>
      <c r="F1052" t="s">
        <v>25</v>
      </c>
      <c r="G1052">
        <v>18</v>
      </c>
      <c r="H1052" t="s">
        <v>17</v>
      </c>
      <c r="I1052" t="s">
        <v>121</v>
      </c>
      <c r="J1052" t="s">
        <v>122</v>
      </c>
      <c r="K1052">
        <v>0</v>
      </c>
      <c r="L1052" s="84">
        <v>51548</v>
      </c>
      <c r="M1052" s="84">
        <v>927864</v>
      </c>
    </row>
    <row r="1053" spans="3:13" hidden="1" x14ac:dyDescent="0.25">
      <c r="C1053" t="s">
        <v>64</v>
      </c>
      <c r="D1053" t="s">
        <v>120</v>
      </c>
      <c r="E1053" t="s">
        <v>63</v>
      </c>
      <c r="F1053" t="s">
        <v>123</v>
      </c>
      <c r="G1053">
        <v>6</v>
      </c>
      <c r="H1053" t="s">
        <v>14</v>
      </c>
      <c r="I1053" t="s">
        <v>121</v>
      </c>
      <c r="J1053" t="s">
        <v>122</v>
      </c>
      <c r="K1053">
        <v>0</v>
      </c>
      <c r="L1053" s="84">
        <v>35641</v>
      </c>
      <c r="M1053" s="84">
        <v>213846</v>
      </c>
    </row>
    <row r="1054" spans="3:13" hidden="1" x14ac:dyDescent="0.25">
      <c r="C1054" t="s">
        <v>65</v>
      </c>
      <c r="D1054" t="s">
        <v>120</v>
      </c>
      <c r="E1054" t="s">
        <v>63</v>
      </c>
      <c r="F1054" t="s">
        <v>124</v>
      </c>
      <c r="G1054">
        <v>8</v>
      </c>
      <c r="H1054" t="s">
        <v>14</v>
      </c>
      <c r="I1054" t="s">
        <v>121</v>
      </c>
      <c r="J1054" t="s">
        <v>66</v>
      </c>
      <c r="K1054">
        <v>1</v>
      </c>
      <c r="L1054" s="84">
        <v>758332</v>
      </c>
      <c r="M1054" s="84">
        <v>6066656</v>
      </c>
    </row>
    <row r="1055" spans="3:13" hidden="1" x14ac:dyDescent="0.25">
      <c r="C1055" t="s">
        <v>65</v>
      </c>
      <c r="D1055" t="s">
        <v>120</v>
      </c>
      <c r="E1055" t="s">
        <v>60</v>
      </c>
      <c r="F1055" t="s">
        <v>25</v>
      </c>
      <c r="G1055">
        <v>-4</v>
      </c>
      <c r="H1055" t="s">
        <v>17</v>
      </c>
      <c r="I1055" t="s">
        <v>62</v>
      </c>
      <c r="J1055" t="s">
        <v>66</v>
      </c>
      <c r="K1055">
        <v>1</v>
      </c>
      <c r="L1055" s="84">
        <v>-19791</v>
      </c>
      <c r="M1055" s="84">
        <v>0</v>
      </c>
    </row>
    <row r="1056" spans="3:13" hidden="1" x14ac:dyDescent="0.25">
      <c r="C1056" t="s">
        <v>119</v>
      </c>
      <c r="D1056" t="s">
        <v>120</v>
      </c>
      <c r="E1056" t="s">
        <v>60</v>
      </c>
      <c r="F1056" t="s">
        <v>25</v>
      </c>
      <c r="G1056">
        <v>3</v>
      </c>
      <c r="H1056" t="s">
        <v>17</v>
      </c>
      <c r="I1056" t="s">
        <v>121</v>
      </c>
      <c r="J1056" t="s">
        <v>66</v>
      </c>
      <c r="K1056">
        <v>1</v>
      </c>
      <c r="L1056" s="84">
        <v>-253</v>
      </c>
      <c r="M1056" s="84">
        <v>0</v>
      </c>
    </row>
    <row r="1057" spans="3:13" hidden="1" x14ac:dyDescent="0.25">
      <c r="C1057" t="s">
        <v>65</v>
      </c>
      <c r="D1057" t="s">
        <v>120</v>
      </c>
      <c r="E1057" t="s">
        <v>60</v>
      </c>
      <c r="F1057" t="s">
        <v>124</v>
      </c>
      <c r="G1057">
        <v>1</v>
      </c>
      <c r="H1057" t="s">
        <v>17</v>
      </c>
      <c r="I1057" t="s">
        <v>62</v>
      </c>
      <c r="J1057" t="s">
        <v>66</v>
      </c>
      <c r="K1057">
        <v>1</v>
      </c>
      <c r="L1057" s="84">
        <v>-10096</v>
      </c>
      <c r="M1057" s="84">
        <v>0</v>
      </c>
    </row>
    <row r="1058" spans="3:13" hidden="1" x14ac:dyDescent="0.25">
      <c r="C1058" t="s">
        <v>119</v>
      </c>
      <c r="D1058" t="s">
        <v>120</v>
      </c>
      <c r="E1058" t="s">
        <v>63</v>
      </c>
      <c r="F1058" t="s">
        <v>124</v>
      </c>
      <c r="G1058">
        <v>6</v>
      </c>
      <c r="H1058" t="s">
        <v>15</v>
      </c>
      <c r="I1058" t="s">
        <v>121</v>
      </c>
      <c r="J1058" t="s">
        <v>66</v>
      </c>
      <c r="K1058">
        <v>1</v>
      </c>
      <c r="L1058" s="84">
        <v>6089916</v>
      </c>
      <c r="M1058" s="84">
        <v>36539496</v>
      </c>
    </row>
    <row r="1059" spans="3:13" hidden="1" x14ac:dyDescent="0.25">
      <c r="C1059" t="s">
        <v>119</v>
      </c>
      <c r="D1059" t="s">
        <v>120</v>
      </c>
      <c r="E1059" t="s">
        <v>60</v>
      </c>
      <c r="F1059" t="s">
        <v>124</v>
      </c>
      <c r="G1059">
        <v>8</v>
      </c>
      <c r="H1059" t="s">
        <v>69</v>
      </c>
      <c r="I1059" t="s">
        <v>121</v>
      </c>
      <c r="J1059" t="s">
        <v>122</v>
      </c>
      <c r="K1059">
        <v>0</v>
      </c>
      <c r="L1059" s="84">
        <v>-8967</v>
      </c>
      <c r="M1059" s="84">
        <v>0</v>
      </c>
    </row>
    <row r="1060" spans="3:13" hidden="1" x14ac:dyDescent="0.25">
      <c r="C1060" t="s">
        <v>65</v>
      </c>
      <c r="D1060" t="s">
        <v>120</v>
      </c>
      <c r="E1060" t="s">
        <v>60</v>
      </c>
      <c r="F1060" t="s">
        <v>124</v>
      </c>
      <c r="G1060">
        <v>2</v>
      </c>
      <c r="H1060" t="s">
        <v>12</v>
      </c>
      <c r="I1060" t="s">
        <v>121</v>
      </c>
      <c r="J1060" t="s">
        <v>122</v>
      </c>
      <c r="K1060">
        <v>0</v>
      </c>
      <c r="L1060" s="84">
        <v>-82568</v>
      </c>
      <c r="M1060" s="84">
        <v>0</v>
      </c>
    </row>
    <row r="1061" spans="3:13" hidden="1" x14ac:dyDescent="0.25">
      <c r="C1061" t="s">
        <v>119</v>
      </c>
      <c r="D1061" t="s">
        <v>126</v>
      </c>
      <c r="E1061" t="s">
        <v>60</v>
      </c>
      <c r="F1061" t="s">
        <v>24</v>
      </c>
      <c r="G1061">
        <v>2</v>
      </c>
      <c r="H1061" t="s">
        <v>68</v>
      </c>
      <c r="I1061" t="s">
        <v>121</v>
      </c>
      <c r="J1061" t="s">
        <v>122</v>
      </c>
      <c r="K1061">
        <v>0</v>
      </c>
      <c r="L1061" s="84">
        <v>-389</v>
      </c>
      <c r="M1061" s="84">
        <v>0</v>
      </c>
    </row>
    <row r="1062" spans="3:13" hidden="1" x14ac:dyDescent="0.25">
      <c r="C1062" t="s">
        <v>64</v>
      </c>
      <c r="D1062" t="s">
        <v>120</v>
      </c>
      <c r="E1062" t="s">
        <v>63</v>
      </c>
      <c r="F1062" t="s">
        <v>124</v>
      </c>
      <c r="G1062">
        <v>3</v>
      </c>
      <c r="H1062" t="s">
        <v>76</v>
      </c>
      <c r="I1062" t="s">
        <v>121</v>
      </c>
      <c r="J1062" t="s">
        <v>122</v>
      </c>
      <c r="K1062">
        <v>0</v>
      </c>
      <c r="L1062" s="84">
        <v>849203</v>
      </c>
      <c r="M1062" s="84">
        <v>2547609</v>
      </c>
    </row>
    <row r="1063" spans="3:13" hidden="1" x14ac:dyDescent="0.25">
      <c r="C1063" t="s">
        <v>119</v>
      </c>
      <c r="D1063" t="s">
        <v>120</v>
      </c>
      <c r="E1063" t="s">
        <v>60</v>
      </c>
      <c r="F1063" t="s">
        <v>25</v>
      </c>
      <c r="G1063">
        <v>5</v>
      </c>
      <c r="H1063" t="s">
        <v>61</v>
      </c>
      <c r="I1063" t="s">
        <v>121</v>
      </c>
      <c r="J1063" t="s">
        <v>122</v>
      </c>
      <c r="K1063">
        <v>0</v>
      </c>
      <c r="L1063" s="84">
        <v>-5274</v>
      </c>
      <c r="M1063" s="84">
        <v>0</v>
      </c>
    </row>
    <row r="1064" spans="3:13" hidden="1" x14ac:dyDescent="0.25">
      <c r="C1064" t="s">
        <v>119</v>
      </c>
      <c r="D1064" t="s">
        <v>120</v>
      </c>
      <c r="E1064" t="s">
        <v>63</v>
      </c>
      <c r="F1064" t="s">
        <v>24</v>
      </c>
      <c r="G1064">
        <v>6</v>
      </c>
      <c r="H1064" t="s">
        <v>61</v>
      </c>
      <c r="I1064" t="s">
        <v>121</v>
      </c>
      <c r="J1064" t="s">
        <v>122</v>
      </c>
      <c r="K1064">
        <v>0</v>
      </c>
      <c r="L1064" s="84">
        <v>62868</v>
      </c>
      <c r="M1064" s="84">
        <v>377208</v>
      </c>
    </row>
    <row r="1065" spans="3:13" hidden="1" x14ac:dyDescent="0.25">
      <c r="C1065" t="s">
        <v>64</v>
      </c>
      <c r="D1065" t="s">
        <v>120</v>
      </c>
      <c r="E1065" t="s">
        <v>63</v>
      </c>
      <c r="F1065" t="s">
        <v>24</v>
      </c>
      <c r="G1065">
        <v>12</v>
      </c>
      <c r="H1065" t="s">
        <v>14</v>
      </c>
      <c r="I1065" t="s">
        <v>121</v>
      </c>
      <c r="J1065" t="s">
        <v>66</v>
      </c>
      <c r="K1065">
        <v>1</v>
      </c>
      <c r="L1065" s="84">
        <v>102000</v>
      </c>
      <c r="M1065" s="84">
        <v>1224000</v>
      </c>
    </row>
    <row r="1066" spans="3:13" hidden="1" x14ac:dyDescent="0.25">
      <c r="C1066" t="s">
        <v>64</v>
      </c>
      <c r="D1066" t="s">
        <v>120</v>
      </c>
      <c r="E1066" t="s">
        <v>63</v>
      </c>
      <c r="F1066" t="s">
        <v>123</v>
      </c>
      <c r="G1066">
        <v>0</v>
      </c>
      <c r="H1066" t="s">
        <v>72</v>
      </c>
      <c r="I1066" t="s">
        <v>121</v>
      </c>
      <c r="J1066" t="s">
        <v>122</v>
      </c>
      <c r="K1066">
        <v>0</v>
      </c>
      <c r="L1066" s="84">
        <v>74656</v>
      </c>
      <c r="M1066" s="84">
        <v>0</v>
      </c>
    </row>
    <row r="1067" spans="3:13" hidden="1" x14ac:dyDescent="0.25">
      <c r="C1067" t="s">
        <v>65</v>
      </c>
      <c r="D1067" t="s">
        <v>120</v>
      </c>
      <c r="E1067" t="s">
        <v>60</v>
      </c>
      <c r="F1067" t="s">
        <v>123</v>
      </c>
      <c r="G1067">
        <v>4</v>
      </c>
      <c r="H1067" t="s">
        <v>18</v>
      </c>
      <c r="I1067" t="s">
        <v>121</v>
      </c>
      <c r="J1067" t="s">
        <v>122</v>
      </c>
      <c r="K1067">
        <v>0</v>
      </c>
      <c r="L1067" s="84">
        <v>-83591</v>
      </c>
      <c r="M1067" s="84">
        <v>0</v>
      </c>
    </row>
    <row r="1068" spans="3:13" hidden="1" x14ac:dyDescent="0.25">
      <c r="C1068" t="s">
        <v>119</v>
      </c>
      <c r="D1068" t="s">
        <v>120</v>
      </c>
      <c r="E1068" t="s">
        <v>63</v>
      </c>
      <c r="F1068" t="s">
        <v>25</v>
      </c>
      <c r="G1068">
        <v>14</v>
      </c>
      <c r="H1068" t="s">
        <v>75</v>
      </c>
      <c r="I1068" t="s">
        <v>121</v>
      </c>
      <c r="J1068" t="s">
        <v>122</v>
      </c>
      <c r="K1068">
        <v>0</v>
      </c>
      <c r="L1068" s="84">
        <v>490672</v>
      </c>
      <c r="M1068" s="84">
        <v>6869408</v>
      </c>
    </row>
    <row r="1069" spans="3:13" hidden="1" x14ac:dyDescent="0.25">
      <c r="C1069" t="s">
        <v>119</v>
      </c>
      <c r="D1069" t="s">
        <v>120</v>
      </c>
      <c r="E1069" t="s">
        <v>60</v>
      </c>
      <c r="F1069" t="s">
        <v>124</v>
      </c>
      <c r="G1069">
        <v>-1</v>
      </c>
      <c r="H1069" t="s">
        <v>16</v>
      </c>
      <c r="I1069" t="s">
        <v>121</v>
      </c>
      <c r="J1069" t="s">
        <v>122</v>
      </c>
      <c r="K1069">
        <v>0</v>
      </c>
      <c r="L1069" s="84">
        <v>-26103</v>
      </c>
      <c r="M1069" s="84">
        <v>0</v>
      </c>
    </row>
    <row r="1070" spans="3:13" hidden="1" x14ac:dyDescent="0.25">
      <c r="C1070" t="s">
        <v>65</v>
      </c>
      <c r="D1070" t="s">
        <v>120</v>
      </c>
      <c r="E1070" t="s">
        <v>60</v>
      </c>
      <c r="F1070" t="s">
        <v>124</v>
      </c>
      <c r="G1070">
        <v>5</v>
      </c>
      <c r="H1070" t="s">
        <v>18</v>
      </c>
      <c r="I1070" t="s">
        <v>121</v>
      </c>
      <c r="J1070" t="s">
        <v>66</v>
      </c>
      <c r="K1070">
        <v>1</v>
      </c>
      <c r="L1070" s="84">
        <v>-53118</v>
      </c>
      <c r="M1070" s="84">
        <v>0</v>
      </c>
    </row>
    <row r="1071" spans="3:13" hidden="1" x14ac:dyDescent="0.25">
      <c r="C1071" t="s">
        <v>64</v>
      </c>
      <c r="D1071" t="s">
        <v>120</v>
      </c>
      <c r="E1071" t="s">
        <v>63</v>
      </c>
      <c r="F1071" t="s">
        <v>25</v>
      </c>
      <c r="G1071">
        <v>15</v>
      </c>
      <c r="H1071" t="s">
        <v>16</v>
      </c>
      <c r="I1071" t="s">
        <v>121</v>
      </c>
      <c r="J1071" t="s">
        <v>122</v>
      </c>
      <c r="K1071">
        <v>0</v>
      </c>
      <c r="L1071" s="84">
        <v>123928</v>
      </c>
      <c r="M1071" s="84">
        <v>1858920</v>
      </c>
    </row>
    <row r="1072" spans="3:13" hidden="1" x14ac:dyDescent="0.25">
      <c r="C1072" t="s">
        <v>119</v>
      </c>
      <c r="D1072" t="s">
        <v>125</v>
      </c>
      <c r="E1072" t="s">
        <v>63</v>
      </c>
      <c r="F1072" t="s">
        <v>24</v>
      </c>
      <c r="G1072">
        <v>48</v>
      </c>
      <c r="I1072" t="s">
        <v>121</v>
      </c>
      <c r="J1072" t="s">
        <v>122</v>
      </c>
      <c r="K1072">
        <v>0</v>
      </c>
      <c r="L1072" s="84">
        <v>383158</v>
      </c>
      <c r="M1072" s="84">
        <v>18391584</v>
      </c>
    </row>
    <row r="1073" spans="3:13" hidden="1" x14ac:dyDescent="0.25">
      <c r="C1073" t="s">
        <v>119</v>
      </c>
      <c r="D1073" t="s">
        <v>120</v>
      </c>
      <c r="E1073" t="s">
        <v>60</v>
      </c>
      <c r="F1073" t="s">
        <v>25</v>
      </c>
      <c r="G1073">
        <v>0</v>
      </c>
      <c r="H1073" t="s">
        <v>69</v>
      </c>
      <c r="I1073" t="s">
        <v>121</v>
      </c>
      <c r="J1073" t="s">
        <v>122</v>
      </c>
      <c r="K1073">
        <v>0</v>
      </c>
      <c r="L1073" s="84">
        <v>-630</v>
      </c>
      <c r="M1073" s="84">
        <v>0</v>
      </c>
    </row>
    <row r="1074" spans="3:13" hidden="1" x14ac:dyDescent="0.25">
      <c r="C1074" t="s">
        <v>64</v>
      </c>
      <c r="D1074" t="s">
        <v>120</v>
      </c>
      <c r="E1074" t="s">
        <v>63</v>
      </c>
      <c r="F1074" t="s">
        <v>124</v>
      </c>
      <c r="G1074">
        <v>4</v>
      </c>
      <c r="H1074" t="s">
        <v>12</v>
      </c>
      <c r="I1074" t="s">
        <v>121</v>
      </c>
      <c r="J1074" t="s">
        <v>122</v>
      </c>
      <c r="K1074">
        <v>0</v>
      </c>
      <c r="L1074" s="84">
        <v>688803</v>
      </c>
      <c r="M1074" s="84">
        <v>2755212</v>
      </c>
    </row>
    <row r="1075" spans="3:13" hidden="1" x14ac:dyDescent="0.25">
      <c r="C1075" t="s">
        <v>119</v>
      </c>
      <c r="D1075" t="s">
        <v>120</v>
      </c>
      <c r="E1075" t="s">
        <v>60</v>
      </c>
      <c r="F1075" t="s">
        <v>25</v>
      </c>
      <c r="G1075">
        <v>9</v>
      </c>
      <c r="H1075" t="s">
        <v>17</v>
      </c>
      <c r="I1075" t="s">
        <v>121</v>
      </c>
      <c r="J1075" t="s">
        <v>122</v>
      </c>
      <c r="K1075">
        <v>0</v>
      </c>
      <c r="L1075" s="84">
        <v>-15093</v>
      </c>
      <c r="M1075" s="84">
        <v>0</v>
      </c>
    </row>
    <row r="1076" spans="3:13" hidden="1" x14ac:dyDescent="0.25">
      <c r="C1076" t="s">
        <v>65</v>
      </c>
      <c r="D1076" t="s">
        <v>120</v>
      </c>
      <c r="E1076" t="s">
        <v>63</v>
      </c>
      <c r="F1076" t="s">
        <v>25</v>
      </c>
      <c r="G1076">
        <v>12</v>
      </c>
      <c r="H1076" t="s">
        <v>61</v>
      </c>
      <c r="I1076" t="s">
        <v>121</v>
      </c>
      <c r="J1076" t="s">
        <v>122</v>
      </c>
      <c r="K1076">
        <v>0</v>
      </c>
      <c r="L1076" s="84">
        <v>475508</v>
      </c>
      <c r="M1076" s="84">
        <v>5706096</v>
      </c>
    </row>
    <row r="1077" spans="3:13" hidden="1" x14ac:dyDescent="0.25">
      <c r="C1077" t="s">
        <v>119</v>
      </c>
      <c r="D1077" t="s">
        <v>125</v>
      </c>
      <c r="E1077" t="s">
        <v>60</v>
      </c>
      <c r="F1077" t="s">
        <v>25</v>
      </c>
      <c r="G1077">
        <v>22</v>
      </c>
      <c r="I1077" t="s">
        <v>121</v>
      </c>
      <c r="J1077" t="s">
        <v>122</v>
      </c>
      <c r="K1077">
        <v>0</v>
      </c>
      <c r="L1077" s="84">
        <v>-393</v>
      </c>
      <c r="M1077" s="84">
        <v>0</v>
      </c>
    </row>
    <row r="1078" spans="3:13" hidden="1" x14ac:dyDescent="0.25">
      <c r="C1078" t="s">
        <v>64</v>
      </c>
      <c r="D1078" t="s">
        <v>120</v>
      </c>
      <c r="E1078" t="s">
        <v>63</v>
      </c>
      <c r="F1078" t="s">
        <v>25</v>
      </c>
      <c r="G1078">
        <v>7</v>
      </c>
      <c r="H1078" t="s">
        <v>76</v>
      </c>
      <c r="I1078" t="s">
        <v>121</v>
      </c>
      <c r="J1078" t="s">
        <v>122</v>
      </c>
      <c r="K1078">
        <v>0</v>
      </c>
      <c r="L1078" s="84">
        <v>709918</v>
      </c>
      <c r="M1078" s="84">
        <v>4969426</v>
      </c>
    </row>
    <row r="1079" spans="3:13" hidden="1" x14ac:dyDescent="0.25">
      <c r="C1079" t="s">
        <v>64</v>
      </c>
      <c r="D1079" t="s">
        <v>120</v>
      </c>
      <c r="E1079" t="s">
        <v>60</v>
      </c>
      <c r="F1079" t="s">
        <v>123</v>
      </c>
      <c r="G1079">
        <v>2</v>
      </c>
      <c r="H1079" t="s">
        <v>12</v>
      </c>
      <c r="I1079" t="s">
        <v>121</v>
      </c>
      <c r="J1079" t="s">
        <v>66</v>
      </c>
      <c r="K1079">
        <v>1</v>
      </c>
      <c r="L1079" s="84">
        <v>-9570</v>
      </c>
      <c r="M1079" s="84">
        <v>0</v>
      </c>
    </row>
    <row r="1080" spans="3:13" hidden="1" x14ac:dyDescent="0.25">
      <c r="C1080" t="s">
        <v>119</v>
      </c>
      <c r="D1080" t="s">
        <v>120</v>
      </c>
      <c r="E1080" t="s">
        <v>60</v>
      </c>
      <c r="F1080" t="s">
        <v>25</v>
      </c>
      <c r="G1080">
        <v>10</v>
      </c>
      <c r="H1080" t="s">
        <v>70</v>
      </c>
      <c r="I1080" t="s">
        <v>121</v>
      </c>
      <c r="J1080" t="s">
        <v>122</v>
      </c>
      <c r="K1080">
        <v>0</v>
      </c>
      <c r="L1080" s="84">
        <v>-1044</v>
      </c>
      <c r="M1080" s="84">
        <v>0</v>
      </c>
    </row>
    <row r="1081" spans="3:13" hidden="1" x14ac:dyDescent="0.25">
      <c r="C1081" t="s">
        <v>119</v>
      </c>
      <c r="D1081" t="s">
        <v>120</v>
      </c>
      <c r="E1081" t="s">
        <v>63</v>
      </c>
      <c r="F1081" t="s">
        <v>24</v>
      </c>
      <c r="G1081">
        <v>11</v>
      </c>
      <c r="H1081" t="s">
        <v>69</v>
      </c>
      <c r="I1081" t="s">
        <v>121</v>
      </c>
      <c r="J1081" t="s">
        <v>122</v>
      </c>
      <c r="K1081">
        <v>0</v>
      </c>
      <c r="L1081" s="84">
        <v>11097111</v>
      </c>
      <c r="M1081" s="84">
        <v>122068221</v>
      </c>
    </row>
    <row r="1082" spans="3:13" hidden="1" x14ac:dyDescent="0.25">
      <c r="C1082" t="s">
        <v>64</v>
      </c>
      <c r="D1082" t="s">
        <v>120</v>
      </c>
      <c r="E1082" t="s">
        <v>63</v>
      </c>
      <c r="F1082" t="s">
        <v>123</v>
      </c>
      <c r="G1082">
        <v>1</v>
      </c>
      <c r="H1082" t="s">
        <v>16</v>
      </c>
      <c r="I1082" t="s">
        <v>121</v>
      </c>
      <c r="J1082" t="s">
        <v>122</v>
      </c>
      <c r="K1082">
        <v>0</v>
      </c>
      <c r="L1082" s="84">
        <v>16854</v>
      </c>
      <c r="M1082" s="84">
        <v>16854</v>
      </c>
    </row>
    <row r="1083" spans="3:13" hidden="1" x14ac:dyDescent="0.25">
      <c r="C1083" t="s">
        <v>119</v>
      </c>
      <c r="D1083" t="s">
        <v>120</v>
      </c>
      <c r="E1083" t="s">
        <v>60</v>
      </c>
      <c r="F1083" t="s">
        <v>124</v>
      </c>
      <c r="G1083">
        <v>6</v>
      </c>
      <c r="H1083" t="s">
        <v>15</v>
      </c>
      <c r="I1083" t="s">
        <v>62</v>
      </c>
      <c r="J1083" t="s">
        <v>122</v>
      </c>
      <c r="K1083">
        <v>1</v>
      </c>
      <c r="L1083" s="84">
        <v>-14926</v>
      </c>
      <c r="M1083" s="84">
        <v>0</v>
      </c>
    </row>
    <row r="1084" spans="3:13" hidden="1" x14ac:dyDescent="0.25">
      <c r="C1084" t="s">
        <v>64</v>
      </c>
      <c r="D1084" t="s">
        <v>120</v>
      </c>
      <c r="E1084" t="s">
        <v>63</v>
      </c>
      <c r="F1084" t="s">
        <v>124</v>
      </c>
      <c r="G1084">
        <v>5</v>
      </c>
      <c r="H1084" t="s">
        <v>13</v>
      </c>
      <c r="I1084" t="s">
        <v>121</v>
      </c>
      <c r="J1084" t="s">
        <v>122</v>
      </c>
      <c r="K1084">
        <v>0</v>
      </c>
      <c r="L1084" s="84">
        <v>379409</v>
      </c>
      <c r="M1084" s="84">
        <v>1897045</v>
      </c>
    </row>
    <row r="1085" spans="3:13" hidden="1" x14ac:dyDescent="0.25">
      <c r="C1085" t="s">
        <v>65</v>
      </c>
      <c r="D1085" t="s">
        <v>120</v>
      </c>
      <c r="E1085" t="s">
        <v>60</v>
      </c>
      <c r="F1085" t="s">
        <v>24</v>
      </c>
      <c r="G1085">
        <v>5</v>
      </c>
      <c r="H1085" t="s">
        <v>18</v>
      </c>
      <c r="I1085" t="s">
        <v>121</v>
      </c>
      <c r="J1085" t="s">
        <v>122</v>
      </c>
      <c r="K1085">
        <v>0</v>
      </c>
      <c r="L1085" s="84">
        <v>-18765</v>
      </c>
      <c r="M1085" s="84">
        <v>0</v>
      </c>
    </row>
    <row r="1086" spans="3:13" hidden="1" x14ac:dyDescent="0.25">
      <c r="C1086" t="s">
        <v>65</v>
      </c>
      <c r="D1086" t="s">
        <v>120</v>
      </c>
      <c r="E1086" t="s">
        <v>63</v>
      </c>
      <c r="F1086" t="s">
        <v>124</v>
      </c>
      <c r="G1086">
        <v>19</v>
      </c>
      <c r="H1086" t="s">
        <v>61</v>
      </c>
      <c r="I1086" t="s">
        <v>121</v>
      </c>
      <c r="J1086" t="s">
        <v>122</v>
      </c>
      <c r="K1086">
        <v>0</v>
      </c>
      <c r="L1086" s="84">
        <v>75140</v>
      </c>
      <c r="M1086" s="84">
        <v>1427660</v>
      </c>
    </row>
    <row r="1087" spans="3:13" hidden="1" x14ac:dyDescent="0.25">
      <c r="C1087" t="s">
        <v>65</v>
      </c>
      <c r="D1087" t="s">
        <v>120</v>
      </c>
      <c r="E1087" t="s">
        <v>60</v>
      </c>
      <c r="F1087" t="s">
        <v>124</v>
      </c>
      <c r="G1087">
        <v>1</v>
      </c>
      <c r="H1087" t="s">
        <v>67</v>
      </c>
      <c r="I1087" t="s">
        <v>121</v>
      </c>
      <c r="J1087" t="s">
        <v>122</v>
      </c>
      <c r="K1087">
        <v>0</v>
      </c>
      <c r="L1087" s="84">
        <v>-516565</v>
      </c>
      <c r="M1087" s="84">
        <v>0</v>
      </c>
    </row>
    <row r="1088" spans="3:13" hidden="1" x14ac:dyDescent="0.25">
      <c r="C1088" t="s">
        <v>119</v>
      </c>
      <c r="D1088" t="s">
        <v>120</v>
      </c>
      <c r="E1088" t="s">
        <v>60</v>
      </c>
      <c r="F1088" t="s">
        <v>123</v>
      </c>
      <c r="G1088">
        <v>4</v>
      </c>
      <c r="H1088" t="s">
        <v>18</v>
      </c>
      <c r="I1088" t="s">
        <v>121</v>
      </c>
      <c r="J1088" t="s">
        <v>66</v>
      </c>
      <c r="K1088">
        <v>1</v>
      </c>
      <c r="L1088" s="84">
        <v>-3511</v>
      </c>
      <c r="M1088" s="84">
        <v>0</v>
      </c>
    </row>
    <row r="1089" spans="3:13" hidden="1" x14ac:dyDescent="0.25">
      <c r="E1089" t="s">
        <v>63</v>
      </c>
      <c r="F1089" t="s">
        <v>23</v>
      </c>
      <c r="G1089">
        <v>-5</v>
      </c>
      <c r="I1089" t="s">
        <v>121</v>
      </c>
      <c r="J1089" t="s">
        <v>122</v>
      </c>
      <c r="K1089">
        <v>0</v>
      </c>
      <c r="L1089" s="84">
        <v>43742145</v>
      </c>
      <c r="M1089" s="84">
        <v>0</v>
      </c>
    </row>
    <row r="1090" spans="3:13" hidden="1" x14ac:dyDescent="0.25">
      <c r="C1090" t="s">
        <v>65</v>
      </c>
      <c r="D1090" t="s">
        <v>120</v>
      </c>
      <c r="E1090" t="s">
        <v>63</v>
      </c>
      <c r="F1090" t="s">
        <v>25</v>
      </c>
      <c r="G1090">
        <v>5</v>
      </c>
      <c r="H1090" t="s">
        <v>73</v>
      </c>
      <c r="I1090" t="s">
        <v>121</v>
      </c>
      <c r="J1090" t="s">
        <v>122</v>
      </c>
      <c r="K1090">
        <v>0</v>
      </c>
      <c r="L1090" s="84">
        <v>48920</v>
      </c>
      <c r="M1090" s="84">
        <v>244600</v>
      </c>
    </row>
    <row r="1091" spans="3:13" hidden="1" x14ac:dyDescent="0.25">
      <c r="C1091" t="s">
        <v>119</v>
      </c>
      <c r="D1091" t="s">
        <v>120</v>
      </c>
      <c r="E1091" t="s">
        <v>60</v>
      </c>
      <c r="F1091" t="s">
        <v>124</v>
      </c>
      <c r="G1091">
        <v>6</v>
      </c>
      <c r="H1091" t="s">
        <v>14</v>
      </c>
      <c r="I1091" t="s">
        <v>121</v>
      </c>
      <c r="J1091" t="s">
        <v>66</v>
      </c>
      <c r="K1091">
        <v>1</v>
      </c>
      <c r="L1091" s="84">
        <v>-3268</v>
      </c>
      <c r="M1091" s="84">
        <v>0</v>
      </c>
    </row>
    <row r="1092" spans="3:13" hidden="1" x14ac:dyDescent="0.25">
      <c r="C1092" t="s">
        <v>119</v>
      </c>
      <c r="D1092" t="s">
        <v>127</v>
      </c>
      <c r="E1092" t="s">
        <v>60</v>
      </c>
      <c r="F1092" t="s">
        <v>24</v>
      </c>
      <c r="G1092">
        <v>3</v>
      </c>
      <c r="H1092" t="s">
        <v>77</v>
      </c>
      <c r="I1092" t="s">
        <v>121</v>
      </c>
      <c r="J1092" t="s">
        <v>122</v>
      </c>
      <c r="K1092">
        <v>0</v>
      </c>
      <c r="L1092" s="84">
        <v>-7</v>
      </c>
      <c r="M1092" s="84">
        <v>0</v>
      </c>
    </row>
    <row r="1093" spans="3:13" hidden="1" x14ac:dyDescent="0.25">
      <c r="C1093" t="s">
        <v>65</v>
      </c>
      <c r="D1093" t="s">
        <v>120</v>
      </c>
      <c r="E1093" t="s">
        <v>60</v>
      </c>
      <c r="F1093" t="s">
        <v>123</v>
      </c>
      <c r="G1093">
        <v>2</v>
      </c>
      <c r="H1093" t="s">
        <v>12</v>
      </c>
      <c r="I1093" t="s">
        <v>121</v>
      </c>
      <c r="J1093" t="s">
        <v>122</v>
      </c>
      <c r="K1093">
        <v>0</v>
      </c>
      <c r="L1093" s="84">
        <v>-10333</v>
      </c>
      <c r="M1093" s="84">
        <v>0</v>
      </c>
    </row>
    <row r="1094" spans="3:13" hidden="1" x14ac:dyDescent="0.25">
      <c r="C1094" t="s">
        <v>65</v>
      </c>
      <c r="D1094" t="s">
        <v>120</v>
      </c>
      <c r="E1094" t="s">
        <v>60</v>
      </c>
      <c r="F1094" t="s">
        <v>124</v>
      </c>
      <c r="G1094">
        <v>6</v>
      </c>
      <c r="H1094" t="s">
        <v>12</v>
      </c>
      <c r="I1094" t="s">
        <v>121</v>
      </c>
      <c r="J1094" t="s">
        <v>66</v>
      </c>
      <c r="K1094">
        <v>1</v>
      </c>
      <c r="L1094" s="84">
        <v>-27629</v>
      </c>
      <c r="M1094" s="84">
        <v>0</v>
      </c>
    </row>
    <row r="1095" spans="3:13" hidden="1" x14ac:dyDescent="0.25">
      <c r="C1095" t="s">
        <v>64</v>
      </c>
      <c r="D1095" t="s">
        <v>120</v>
      </c>
      <c r="E1095" t="s">
        <v>63</v>
      </c>
      <c r="F1095" t="s">
        <v>124</v>
      </c>
      <c r="G1095">
        <v>3</v>
      </c>
      <c r="H1095" t="s">
        <v>68</v>
      </c>
      <c r="I1095" t="s">
        <v>121</v>
      </c>
      <c r="J1095" t="s">
        <v>122</v>
      </c>
      <c r="K1095">
        <v>0</v>
      </c>
      <c r="L1095" s="84">
        <v>808007</v>
      </c>
      <c r="M1095" s="84">
        <v>2424021</v>
      </c>
    </row>
    <row r="1096" spans="3:13" hidden="1" x14ac:dyDescent="0.25">
      <c r="C1096" t="s">
        <v>64</v>
      </c>
      <c r="D1096" t="s">
        <v>120</v>
      </c>
      <c r="E1096" t="s">
        <v>60</v>
      </c>
      <c r="F1096" t="s">
        <v>123</v>
      </c>
      <c r="G1096">
        <v>1</v>
      </c>
      <c r="H1096" t="s">
        <v>17</v>
      </c>
      <c r="I1096" t="s">
        <v>62</v>
      </c>
      <c r="J1096" t="s">
        <v>66</v>
      </c>
      <c r="K1096">
        <v>1</v>
      </c>
      <c r="L1096" s="84">
        <v>-31</v>
      </c>
      <c r="M1096" s="84">
        <v>0</v>
      </c>
    </row>
    <row r="1097" spans="3:13" hidden="1" x14ac:dyDescent="0.25">
      <c r="C1097" t="s">
        <v>64</v>
      </c>
      <c r="D1097" t="s">
        <v>120</v>
      </c>
      <c r="E1097" t="s">
        <v>63</v>
      </c>
      <c r="F1097" t="s">
        <v>25</v>
      </c>
      <c r="G1097">
        <v>6</v>
      </c>
      <c r="H1097" t="s">
        <v>68</v>
      </c>
      <c r="I1097" t="s">
        <v>121</v>
      </c>
      <c r="J1097" t="s">
        <v>122</v>
      </c>
      <c r="K1097">
        <v>0</v>
      </c>
      <c r="L1097" s="84">
        <v>1564463</v>
      </c>
      <c r="M1097" s="84">
        <v>9386778</v>
      </c>
    </row>
    <row r="1098" spans="3:13" hidden="1" x14ac:dyDescent="0.25">
      <c r="C1098" t="s">
        <v>64</v>
      </c>
      <c r="D1098" t="s">
        <v>120</v>
      </c>
      <c r="E1098" t="s">
        <v>60</v>
      </c>
      <c r="F1098" t="s">
        <v>25</v>
      </c>
      <c r="G1098">
        <v>5</v>
      </c>
      <c r="H1098" t="s">
        <v>72</v>
      </c>
      <c r="I1098" t="s">
        <v>121</v>
      </c>
      <c r="J1098" t="s">
        <v>122</v>
      </c>
      <c r="K1098">
        <v>0</v>
      </c>
      <c r="L1098" s="84">
        <v>-2061</v>
      </c>
      <c r="M1098" s="84">
        <v>0</v>
      </c>
    </row>
    <row r="1099" spans="3:13" hidden="1" x14ac:dyDescent="0.25">
      <c r="C1099" t="s">
        <v>65</v>
      </c>
      <c r="D1099" t="s">
        <v>120</v>
      </c>
      <c r="E1099" t="s">
        <v>63</v>
      </c>
      <c r="F1099" t="s">
        <v>124</v>
      </c>
      <c r="G1099">
        <v>4</v>
      </c>
      <c r="H1099" t="s">
        <v>17</v>
      </c>
      <c r="I1099" t="s">
        <v>121</v>
      </c>
      <c r="J1099" t="s">
        <v>66</v>
      </c>
      <c r="K1099">
        <v>1</v>
      </c>
      <c r="L1099" s="84">
        <v>72570</v>
      </c>
      <c r="M1099" s="84">
        <v>290280</v>
      </c>
    </row>
    <row r="1100" spans="3:13" hidden="1" x14ac:dyDescent="0.25">
      <c r="C1100" t="s">
        <v>65</v>
      </c>
      <c r="D1100" t="s">
        <v>120</v>
      </c>
      <c r="E1100" t="s">
        <v>60</v>
      </c>
      <c r="F1100" t="s">
        <v>124</v>
      </c>
      <c r="G1100">
        <v>0</v>
      </c>
      <c r="H1100" t="s">
        <v>17</v>
      </c>
      <c r="I1100" t="s">
        <v>121</v>
      </c>
      <c r="J1100" t="s">
        <v>122</v>
      </c>
      <c r="K1100">
        <v>0</v>
      </c>
      <c r="L1100" s="84">
        <v>-305857</v>
      </c>
      <c r="M1100" s="84">
        <v>0</v>
      </c>
    </row>
    <row r="1101" spans="3:13" hidden="1" x14ac:dyDescent="0.25">
      <c r="C1101" t="s">
        <v>65</v>
      </c>
      <c r="D1101" t="s">
        <v>126</v>
      </c>
      <c r="E1101" t="s">
        <v>63</v>
      </c>
      <c r="F1101" t="s">
        <v>24</v>
      </c>
      <c r="G1101">
        <v>0</v>
      </c>
      <c r="H1101" t="s">
        <v>68</v>
      </c>
      <c r="I1101" t="s">
        <v>121</v>
      </c>
      <c r="J1101" t="s">
        <v>122</v>
      </c>
      <c r="K1101">
        <v>0</v>
      </c>
      <c r="L1101" s="84">
        <v>891669</v>
      </c>
      <c r="M1101" s="84">
        <v>0</v>
      </c>
    </row>
    <row r="1102" spans="3:13" hidden="1" x14ac:dyDescent="0.25">
      <c r="C1102" t="s">
        <v>65</v>
      </c>
      <c r="D1102" t="s">
        <v>120</v>
      </c>
      <c r="E1102" t="s">
        <v>63</v>
      </c>
      <c r="F1102" t="s">
        <v>123</v>
      </c>
      <c r="G1102">
        <v>2</v>
      </c>
      <c r="H1102" t="s">
        <v>67</v>
      </c>
      <c r="I1102" t="s">
        <v>121</v>
      </c>
      <c r="J1102" t="s">
        <v>122</v>
      </c>
      <c r="K1102">
        <v>0</v>
      </c>
      <c r="L1102" s="84">
        <v>17019</v>
      </c>
      <c r="M1102" s="84">
        <v>34038</v>
      </c>
    </row>
    <row r="1103" spans="3:13" hidden="1" x14ac:dyDescent="0.25">
      <c r="C1103" t="s">
        <v>64</v>
      </c>
      <c r="D1103" t="s">
        <v>120</v>
      </c>
      <c r="E1103" t="s">
        <v>63</v>
      </c>
      <c r="F1103" t="s">
        <v>123</v>
      </c>
      <c r="G1103">
        <v>3</v>
      </c>
      <c r="H1103" t="s">
        <v>61</v>
      </c>
      <c r="I1103" t="s">
        <v>121</v>
      </c>
      <c r="J1103" t="s">
        <v>122</v>
      </c>
      <c r="K1103">
        <v>0</v>
      </c>
      <c r="L1103" s="84">
        <v>545634</v>
      </c>
      <c r="M1103" s="84">
        <v>1636902</v>
      </c>
    </row>
    <row r="1104" spans="3:13" hidden="1" x14ac:dyDescent="0.25">
      <c r="C1104" t="s">
        <v>64</v>
      </c>
      <c r="D1104" t="s">
        <v>120</v>
      </c>
      <c r="E1104" t="s">
        <v>63</v>
      </c>
      <c r="F1104" t="s">
        <v>24</v>
      </c>
      <c r="G1104">
        <v>8</v>
      </c>
      <c r="H1104" t="s">
        <v>69</v>
      </c>
      <c r="I1104" t="s">
        <v>121</v>
      </c>
      <c r="J1104" t="s">
        <v>122</v>
      </c>
      <c r="K1104">
        <v>0</v>
      </c>
      <c r="L1104" s="84">
        <v>227854</v>
      </c>
      <c r="M1104" s="84">
        <v>1822832</v>
      </c>
    </row>
    <row r="1105" spans="3:13" hidden="1" x14ac:dyDescent="0.25">
      <c r="C1105" t="s">
        <v>119</v>
      </c>
      <c r="D1105" t="s">
        <v>120</v>
      </c>
      <c r="E1105" t="s">
        <v>60</v>
      </c>
      <c r="F1105" t="s">
        <v>24</v>
      </c>
      <c r="G1105">
        <v>4</v>
      </c>
      <c r="H1105" t="s">
        <v>18</v>
      </c>
      <c r="I1105" t="s">
        <v>121</v>
      </c>
      <c r="J1105" t="s">
        <v>122</v>
      </c>
      <c r="K1105">
        <v>0</v>
      </c>
      <c r="L1105" s="84">
        <v>-1625</v>
      </c>
      <c r="M1105" s="84">
        <v>0</v>
      </c>
    </row>
    <row r="1106" spans="3:13" hidden="1" x14ac:dyDescent="0.25">
      <c r="C1106" t="s">
        <v>65</v>
      </c>
      <c r="D1106" t="s">
        <v>120</v>
      </c>
      <c r="E1106" t="s">
        <v>63</v>
      </c>
      <c r="F1106" t="s">
        <v>24</v>
      </c>
      <c r="G1106">
        <v>13</v>
      </c>
      <c r="H1106" t="s">
        <v>61</v>
      </c>
      <c r="I1106" t="s">
        <v>121</v>
      </c>
      <c r="J1106" t="s">
        <v>122</v>
      </c>
      <c r="K1106">
        <v>0</v>
      </c>
      <c r="L1106" s="84">
        <v>141928</v>
      </c>
      <c r="M1106" s="84">
        <v>1845064</v>
      </c>
    </row>
    <row r="1107" spans="3:13" hidden="1" x14ac:dyDescent="0.25">
      <c r="C1107" t="s">
        <v>119</v>
      </c>
      <c r="D1107" t="s">
        <v>120</v>
      </c>
      <c r="E1107" t="s">
        <v>60</v>
      </c>
      <c r="F1107" t="s">
        <v>25</v>
      </c>
      <c r="G1107">
        <v>5</v>
      </c>
      <c r="H1107" t="s">
        <v>14</v>
      </c>
      <c r="I1107" t="s">
        <v>121</v>
      </c>
      <c r="J1107" t="s">
        <v>66</v>
      </c>
      <c r="K1107">
        <v>1</v>
      </c>
      <c r="L1107" s="84">
        <v>-12165</v>
      </c>
      <c r="M1107" s="84">
        <v>0</v>
      </c>
    </row>
    <row r="1108" spans="3:13" hidden="1" x14ac:dyDescent="0.25">
      <c r="C1108" t="s">
        <v>64</v>
      </c>
      <c r="D1108" t="s">
        <v>120</v>
      </c>
      <c r="E1108" t="s">
        <v>60</v>
      </c>
      <c r="F1108" t="s">
        <v>123</v>
      </c>
      <c r="G1108">
        <v>1</v>
      </c>
      <c r="H1108" t="s">
        <v>67</v>
      </c>
      <c r="I1108" t="s">
        <v>121</v>
      </c>
      <c r="J1108" t="s">
        <v>122</v>
      </c>
      <c r="K1108">
        <v>0</v>
      </c>
      <c r="L1108" s="84">
        <v>-6693</v>
      </c>
      <c r="M1108" s="84">
        <v>0</v>
      </c>
    </row>
    <row r="1109" spans="3:13" hidden="1" x14ac:dyDescent="0.25">
      <c r="C1109" t="s">
        <v>65</v>
      </c>
      <c r="D1109" t="s">
        <v>120</v>
      </c>
      <c r="E1109" t="s">
        <v>60</v>
      </c>
      <c r="F1109" t="s">
        <v>124</v>
      </c>
      <c r="G1109">
        <v>-4</v>
      </c>
      <c r="H1109" t="s">
        <v>15</v>
      </c>
      <c r="I1109" t="s">
        <v>121</v>
      </c>
      <c r="J1109" t="s">
        <v>122</v>
      </c>
      <c r="K1109">
        <v>0</v>
      </c>
      <c r="L1109" s="84">
        <v>-42866</v>
      </c>
      <c r="M1109" s="84">
        <v>0</v>
      </c>
    </row>
    <row r="1110" spans="3:13" hidden="1" x14ac:dyDescent="0.25">
      <c r="C1110" t="s">
        <v>119</v>
      </c>
      <c r="D1110" t="s">
        <v>125</v>
      </c>
      <c r="E1110" t="s">
        <v>63</v>
      </c>
      <c r="F1110" t="s">
        <v>25</v>
      </c>
      <c r="G1110">
        <v>13</v>
      </c>
      <c r="I1110" t="s">
        <v>121</v>
      </c>
      <c r="J1110" t="s">
        <v>122</v>
      </c>
      <c r="K1110">
        <v>0</v>
      </c>
      <c r="L1110" s="84">
        <v>1522004</v>
      </c>
      <c r="M1110" s="84">
        <v>19786052</v>
      </c>
    </row>
    <row r="1111" spans="3:13" hidden="1" x14ac:dyDescent="0.25">
      <c r="C1111" t="s">
        <v>64</v>
      </c>
      <c r="D1111" t="s">
        <v>120</v>
      </c>
      <c r="E1111" t="s">
        <v>63</v>
      </c>
      <c r="F1111" t="s">
        <v>25</v>
      </c>
      <c r="G1111">
        <v>10</v>
      </c>
      <c r="H1111" t="s">
        <v>72</v>
      </c>
      <c r="I1111" t="s">
        <v>121</v>
      </c>
      <c r="J1111" t="s">
        <v>122</v>
      </c>
      <c r="K1111">
        <v>0</v>
      </c>
      <c r="L1111" s="84">
        <v>941776</v>
      </c>
      <c r="M1111" s="84">
        <v>9417760</v>
      </c>
    </row>
    <row r="1112" spans="3:13" hidden="1" x14ac:dyDescent="0.25">
      <c r="C1112" t="s">
        <v>64</v>
      </c>
      <c r="D1112" t="s">
        <v>120</v>
      </c>
      <c r="E1112" t="s">
        <v>60</v>
      </c>
      <c r="F1112" t="s">
        <v>124</v>
      </c>
      <c r="G1112">
        <v>5</v>
      </c>
      <c r="H1112" t="s">
        <v>72</v>
      </c>
      <c r="I1112" t="s">
        <v>121</v>
      </c>
      <c r="J1112" t="s">
        <v>122</v>
      </c>
      <c r="K1112">
        <v>0</v>
      </c>
      <c r="L1112" s="84">
        <v>-296271</v>
      </c>
      <c r="M1112" s="84">
        <v>0</v>
      </c>
    </row>
    <row r="1113" spans="3:13" hidden="1" x14ac:dyDescent="0.25">
      <c r="C1113" t="s">
        <v>65</v>
      </c>
      <c r="D1113" t="s">
        <v>120</v>
      </c>
      <c r="E1113" t="s">
        <v>60</v>
      </c>
      <c r="F1113" t="s">
        <v>124</v>
      </c>
      <c r="G1113">
        <v>-1</v>
      </c>
      <c r="H1113" t="s">
        <v>18</v>
      </c>
      <c r="I1113" t="s">
        <v>121</v>
      </c>
      <c r="J1113" t="s">
        <v>122</v>
      </c>
      <c r="K1113">
        <v>0</v>
      </c>
      <c r="L1113" s="84">
        <v>-11263286</v>
      </c>
      <c r="M1113" s="84">
        <v>0</v>
      </c>
    </row>
    <row r="1114" spans="3:13" hidden="1" x14ac:dyDescent="0.25">
      <c r="C1114" t="s">
        <v>119</v>
      </c>
      <c r="D1114" t="s">
        <v>120</v>
      </c>
      <c r="E1114" t="s">
        <v>63</v>
      </c>
      <c r="F1114" t="s">
        <v>25</v>
      </c>
      <c r="G1114">
        <v>2</v>
      </c>
      <c r="H1114" t="s">
        <v>75</v>
      </c>
      <c r="I1114" t="s">
        <v>62</v>
      </c>
      <c r="J1114" t="s">
        <v>122</v>
      </c>
      <c r="K1114">
        <v>1</v>
      </c>
      <c r="L1114" s="84">
        <v>16153</v>
      </c>
      <c r="M1114" s="84">
        <v>32306</v>
      </c>
    </row>
    <row r="1115" spans="3:13" hidden="1" x14ac:dyDescent="0.25">
      <c r="C1115" t="s">
        <v>119</v>
      </c>
      <c r="D1115" t="s">
        <v>120</v>
      </c>
      <c r="E1115" t="s">
        <v>63</v>
      </c>
      <c r="F1115" t="s">
        <v>24</v>
      </c>
      <c r="G1115">
        <v>18</v>
      </c>
      <c r="H1115" t="s">
        <v>69</v>
      </c>
      <c r="I1115" t="s">
        <v>121</v>
      </c>
      <c r="J1115" t="s">
        <v>122</v>
      </c>
      <c r="K1115">
        <v>0</v>
      </c>
      <c r="L1115" s="84">
        <v>650503</v>
      </c>
      <c r="M1115" s="84">
        <v>11709054</v>
      </c>
    </row>
    <row r="1116" spans="3:13" hidden="1" x14ac:dyDescent="0.25">
      <c r="C1116" t="s">
        <v>119</v>
      </c>
      <c r="D1116" t="s">
        <v>120</v>
      </c>
      <c r="E1116" t="s">
        <v>60</v>
      </c>
      <c r="F1116" t="s">
        <v>25</v>
      </c>
      <c r="G1116">
        <v>3</v>
      </c>
      <c r="H1116" t="s">
        <v>69</v>
      </c>
      <c r="I1116" t="s">
        <v>121</v>
      </c>
      <c r="J1116" t="s">
        <v>122</v>
      </c>
      <c r="K1116">
        <v>0</v>
      </c>
      <c r="L1116" s="84">
        <v>-4446</v>
      </c>
      <c r="M1116" s="84">
        <v>0</v>
      </c>
    </row>
    <row r="1117" spans="3:13" hidden="1" x14ac:dyDescent="0.25">
      <c r="C1117" t="s">
        <v>119</v>
      </c>
      <c r="D1117" t="s">
        <v>120</v>
      </c>
      <c r="E1117" t="s">
        <v>60</v>
      </c>
      <c r="F1117" t="s">
        <v>124</v>
      </c>
      <c r="G1117">
        <v>4</v>
      </c>
      <c r="H1117" t="s">
        <v>61</v>
      </c>
      <c r="I1117" t="s">
        <v>121</v>
      </c>
      <c r="J1117" t="s">
        <v>122</v>
      </c>
      <c r="K1117">
        <v>0</v>
      </c>
      <c r="L1117" s="84">
        <v>-20578</v>
      </c>
      <c r="M1117" s="84">
        <v>0</v>
      </c>
    </row>
    <row r="1118" spans="3:13" hidden="1" x14ac:dyDescent="0.25">
      <c r="C1118" t="s">
        <v>119</v>
      </c>
      <c r="D1118" t="s">
        <v>120</v>
      </c>
      <c r="E1118" t="s">
        <v>63</v>
      </c>
      <c r="F1118" t="s">
        <v>123</v>
      </c>
      <c r="G1118">
        <v>-1</v>
      </c>
      <c r="H1118" t="s">
        <v>70</v>
      </c>
      <c r="I1118" t="s">
        <v>121</v>
      </c>
      <c r="J1118" t="s">
        <v>122</v>
      </c>
      <c r="K1118">
        <v>0</v>
      </c>
      <c r="L1118" s="84">
        <v>836030</v>
      </c>
      <c r="M1118" s="84">
        <v>0</v>
      </c>
    </row>
    <row r="1119" spans="3:13" hidden="1" x14ac:dyDescent="0.25">
      <c r="C1119" t="s">
        <v>65</v>
      </c>
      <c r="D1119" t="s">
        <v>120</v>
      </c>
      <c r="E1119" t="s">
        <v>63</v>
      </c>
      <c r="F1119" t="s">
        <v>123</v>
      </c>
      <c r="G1119">
        <v>-4</v>
      </c>
      <c r="H1119" t="s">
        <v>17</v>
      </c>
      <c r="I1119" t="s">
        <v>121</v>
      </c>
      <c r="J1119" t="s">
        <v>66</v>
      </c>
      <c r="K1119">
        <v>1</v>
      </c>
      <c r="L1119" s="84">
        <v>10091</v>
      </c>
      <c r="M1119" s="84">
        <v>0</v>
      </c>
    </row>
    <row r="1120" spans="3:13" hidden="1" x14ac:dyDescent="0.25">
      <c r="C1120" t="s">
        <v>64</v>
      </c>
      <c r="D1120" t="s">
        <v>120</v>
      </c>
      <c r="E1120" t="s">
        <v>63</v>
      </c>
      <c r="F1120" t="s">
        <v>123</v>
      </c>
      <c r="G1120">
        <v>3</v>
      </c>
      <c r="H1120" t="s">
        <v>68</v>
      </c>
      <c r="I1120" t="s">
        <v>121</v>
      </c>
      <c r="J1120" t="s">
        <v>122</v>
      </c>
      <c r="K1120">
        <v>0</v>
      </c>
      <c r="L1120" s="84">
        <v>711374</v>
      </c>
      <c r="M1120" s="84">
        <v>2134122</v>
      </c>
    </row>
    <row r="1121" spans="3:13" hidden="1" x14ac:dyDescent="0.25">
      <c r="C1121" t="s">
        <v>64</v>
      </c>
      <c r="D1121" t="s">
        <v>120</v>
      </c>
      <c r="E1121" t="s">
        <v>63</v>
      </c>
      <c r="F1121" t="s">
        <v>124</v>
      </c>
      <c r="G1121">
        <v>3</v>
      </c>
      <c r="H1121" t="s">
        <v>61</v>
      </c>
      <c r="I1121" t="s">
        <v>121</v>
      </c>
      <c r="J1121" t="s">
        <v>122</v>
      </c>
      <c r="K1121">
        <v>0</v>
      </c>
      <c r="L1121" s="84">
        <v>1281543</v>
      </c>
      <c r="M1121" s="84">
        <v>3844629</v>
      </c>
    </row>
    <row r="1122" spans="3:13" hidden="1" x14ac:dyDescent="0.25">
      <c r="C1122" t="s">
        <v>64</v>
      </c>
      <c r="D1122" t="s">
        <v>120</v>
      </c>
      <c r="E1122" t="s">
        <v>60</v>
      </c>
      <c r="F1122" t="s">
        <v>24</v>
      </c>
      <c r="G1122">
        <v>10</v>
      </c>
      <c r="H1122" t="s">
        <v>75</v>
      </c>
      <c r="I1122" t="s">
        <v>121</v>
      </c>
      <c r="J1122" t="s">
        <v>122</v>
      </c>
      <c r="K1122">
        <v>0</v>
      </c>
      <c r="L1122" s="84">
        <v>-9284</v>
      </c>
      <c r="M1122" s="84">
        <v>0</v>
      </c>
    </row>
    <row r="1123" spans="3:13" hidden="1" x14ac:dyDescent="0.25">
      <c r="C1123" t="s">
        <v>64</v>
      </c>
      <c r="D1123" t="s">
        <v>125</v>
      </c>
      <c r="E1123" t="s">
        <v>60</v>
      </c>
      <c r="F1123" t="s">
        <v>25</v>
      </c>
      <c r="G1123">
        <v>6</v>
      </c>
      <c r="I1123" t="s">
        <v>121</v>
      </c>
      <c r="J1123" t="s">
        <v>122</v>
      </c>
      <c r="K1123">
        <v>0</v>
      </c>
      <c r="L1123" s="84">
        <v>-31271</v>
      </c>
      <c r="M1123" s="84">
        <v>0</v>
      </c>
    </row>
    <row r="1124" spans="3:13" hidden="1" x14ac:dyDescent="0.25">
      <c r="C1124" t="s">
        <v>65</v>
      </c>
      <c r="D1124" t="s">
        <v>120</v>
      </c>
      <c r="E1124" t="s">
        <v>60</v>
      </c>
      <c r="F1124" t="s">
        <v>123</v>
      </c>
      <c r="G1124">
        <v>2</v>
      </c>
      <c r="H1124" t="s">
        <v>14</v>
      </c>
      <c r="I1124" t="s">
        <v>121</v>
      </c>
      <c r="J1124" t="s">
        <v>122</v>
      </c>
      <c r="K1124">
        <v>0</v>
      </c>
      <c r="L1124" s="84">
        <v>-294254</v>
      </c>
      <c r="M1124" s="84">
        <v>0</v>
      </c>
    </row>
    <row r="1125" spans="3:13" hidden="1" x14ac:dyDescent="0.25">
      <c r="C1125" t="s">
        <v>119</v>
      </c>
      <c r="D1125" t="s">
        <v>120</v>
      </c>
      <c r="E1125" t="s">
        <v>63</v>
      </c>
      <c r="F1125" t="s">
        <v>123</v>
      </c>
      <c r="G1125">
        <v>4</v>
      </c>
      <c r="H1125" t="s">
        <v>69</v>
      </c>
      <c r="I1125" t="s">
        <v>121</v>
      </c>
      <c r="J1125" t="s">
        <v>122</v>
      </c>
      <c r="K1125">
        <v>0</v>
      </c>
      <c r="L1125" s="84">
        <v>2580812</v>
      </c>
      <c r="M1125" s="84">
        <v>10323248</v>
      </c>
    </row>
    <row r="1126" spans="3:13" hidden="1" x14ac:dyDescent="0.25">
      <c r="C1126" t="s">
        <v>119</v>
      </c>
      <c r="D1126" t="s">
        <v>125</v>
      </c>
      <c r="E1126" t="s">
        <v>63</v>
      </c>
      <c r="F1126" t="s">
        <v>24</v>
      </c>
      <c r="G1126">
        <v>29</v>
      </c>
      <c r="I1126" t="s">
        <v>121</v>
      </c>
      <c r="J1126" t="s">
        <v>122</v>
      </c>
      <c r="K1126">
        <v>0</v>
      </c>
      <c r="L1126" s="84">
        <v>868380205</v>
      </c>
      <c r="M1126" s="84">
        <v>25183025945</v>
      </c>
    </row>
    <row r="1127" spans="3:13" hidden="1" x14ac:dyDescent="0.25">
      <c r="C1127" t="s">
        <v>119</v>
      </c>
      <c r="D1127" t="s">
        <v>120</v>
      </c>
      <c r="E1127" t="s">
        <v>60</v>
      </c>
      <c r="F1127" t="s">
        <v>25</v>
      </c>
      <c r="G1127">
        <v>5</v>
      </c>
      <c r="H1127" t="s">
        <v>76</v>
      </c>
      <c r="I1127" t="s">
        <v>121</v>
      </c>
      <c r="J1127" t="s">
        <v>122</v>
      </c>
      <c r="K1127">
        <v>0</v>
      </c>
      <c r="L1127" s="84">
        <v>-297</v>
      </c>
      <c r="M1127" s="84">
        <v>0</v>
      </c>
    </row>
    <row r="1128" spans="3:13" hidden="1" x14ac:dyDescent="0.25">
      <c r="C1128" t="s">
        <v>119</v>
      </c>
      <c r="D1128" t="s">
        <v>120</v>
      </c>
      <c r="E1128" t="s">
        <v>63</v>
      </c>
      <c r="F1128" t="s">
        <v>24</v>
      </c>
      <c r="G1128">
        <v>12</v>
      </c>
      <c r="H1128" t="s">
        <v>18</v>
      </c>
      <c r="I1128" t="s">
        <v>121</v>
      </c>
      <c r="J1128" t="s">
        <v>122</v>
      </c>
      <c r="K1128">
        <v>0</v>
      </c>
      <c r="L1128" s="84">
        <v>500465</v>
      </c>
      <c r="M1128" s="84">
        <v>6005580</v>
      </c>
    </row>
    <row r="1129" spans="3:13" hidden="1" x14ac:dyDescent="0.25">
      <c r="C1129" t="s">
        <v>119</v>
      </c>
      <c r="D1129" t="s">
        <v>120</v>
      </c>
      <c r="E1129" t="s">
        <v>63</v>
      </c>
      <c r="F1129" t="s">
        <v>124</v>
      </c>
      <c r="G1129">
        <v>-1</v>
      </c>
      <c r="H1129" t="s">
        <v>17</v>
      </c>
      <c r="I1129" t="s">
        <v>62</v>
      </c>
      <c r="J1129" t="s">
        <v>122</v>
      </c>
      <c r="K1129">
        <v>1</v>
      </c>
      <c r="L1129" s="84">
        <v>12597</v>
      </c>
      <c r="M1129" s="84">
        <v>0</v>
      </c>
    </row>
    <row r="1130" spans="3:13" hidden="1" x14ac:dyDescent="0.25">
      <c r="C1130" t="s">
        <v>64</v>
      </c>
      <c r="D1130" t="s">
        <v>120</v>
      </c>
      <c r="E1130" t="s">
        <v>60</v>
      </c>
      <c r="F1130" t="s">
        <v>124</v>
      </c>
      <c r="G1130">
        <v>5</v>
      </c>
      <c r="H1130" t="s">
        <v>73</v>
      </c>
      <c r="I1130" t="s">
        <v>121</v>
      </c>
      <c r="J1130" t="s">
        <v>122</v>
      </c>
      <c r="K1130">
        <v>0</v>
      </c>
      <c r="L1130" s="84">
        <v>-3703</v>
      </c>
      <c r="M1130" s="84">
        <v>0</v>
      </c>
    </row>
    <row r="1131" spans="3:13" hidden="1" x14ac:dyDescent="0.25">
      <c r="C1131" t="s">
        <v>65</v>
      </c>
      <c r="D1131" t="s">
        <v>120</v>
      </c>
      <c r="E1131" t="s">
        <v>60</v>
      </c>
      <c r="F1131" t="s">
        <v>124</v>
      </c>
      <c r="G1131">
        <v>-1</v>
      </c>
      <c r="H1131" t="s">
        <v>16</v>
      </c>
      <c r="I1131" t="s">
        <v>121</v>
      </c>
      <c r="J1131" t="s">
        <v>122</v>
      </c>
      <c r="K1131">
        <v>0</v>
      </c>
      <c r="L1131" s="84">
        <v>-65190</v>
      </c>
      <c r="M1131" s="84">
        <v>0</v>
      </c>
    </row>
    <row r="1132" spans="3:13" hidden="1" x14ac:dyDescent="0.25">
      <c r="C1132" t="s">
        <v>119</v>
      </c>
      <c r="D1132" t="s">
        <v>120</v>
      </c>
      <c r="E1132" t="s">
        <v>63</v>
      </c>
      <c r="F1132" t="s">
        <v>124</v>
      </c>
      <c r="G1132">
        <v>-1</v>
      </c>
      <c r="H1132" t="s">
        <v>12</v>
      </c>
      <c r="I1132" t="s">
        <v>121</v>
      </c>
      <c r="J1132" t="s">
        <v>66</v>
      </c>
      <c r="K1132">
        <v>1</v>
      </c>
      <c r="L1132" s="84">
        <v>28329889</v>
      </c>
      <c r="M1132" s="84">
        <v>0</v>
      </c>
    </row>
    <row r="1133" spans="3:13" hidden="1" x14ac:dyDescent="0.25">
      <c r="C1133" t="s">
        <v>64</v>
      </c>
      <c r="D1133" t="s">
        <v>120</v>
      </c>
      <c r="E1133" t="s">
        <v>63</v>
      </c>
      <c r="F1133" t="s">
        <v>25</v>
      </c>
      <c r="G1133">
        <v>10</v>
      </c>
      <c r="H1133" t="s">
        <v>73</v>
      </c>
      <c r="I1133" t="s">
        <v>121</v>
      </c>
      <c r="J1133" t="s">
        <v>122</v>
      </c>
      <c r="K1133">
        <v>0</v>
      </c>
      <c r="L1133" s="84">
        <v>74425</v>
      </c>
      <c r="M1133" s="84">
        <v>744250</v>
      </c>
    </row>
    <row r="1134" spans="3:13" hidden="1" x14ac:dyDescent="0.25">
      <c r="C1134" t="s">
        <v>119</v>
      </c>
      <c r="D1134" t="s">
        <v>125</v>
      </c>
      <c r="E1134" t="s">
        <v>60</v>
      </c>
      <c r="F1134" t="s">
        <v>25</v>
      </c>
      <c r="G1134">
        <v>37</v>
      </c>
      <c r="I1134" t="s">
        <v>121</v>
      </c>
      <c r="J1134" t="s">
        <v>122</v>
      </c>
      <c r="K1134">
        <v>0</v>
      </c>
      <c r="L1134" s="84">
        <v>-355</v>
      </c>
      <c r="M1134" s="84">
        <v>0</v>
      </c>
    </row>
    <row r="1135" spans="3:13" hidden="1" x14ac:dyDescent="0.25">
      <c r="C1135" t="s">
        <v>119</v>
      </c>
      <c r="D1135" t="s">
        <v>120</v>
      </c>
      <c r="E1135" t="s">
        <v>63</v>
      </c>
      <c r="F1135" t="s">
        <v>25</v>
      </c>
      <c r="G1135">
        <v>2</v>
      </c>
      <c r="H1135" t="s">
        <v>67</v>
      </c>
      <c r="I1135" t="s">
        <v>121</v>
      </c>
      <c r="J1135" t="s">
        <v>122</v>
      </c>
      <c r="K1135">
        <v>0</v>
      </c>
      <c r="L1135" s="84">
        <v>672669</v>
      </c>
      <c r="M1135" s="84">
        <v>1345338</v>
      </c>
    </row>
    <row r="1136" spans="3:13" hidden="1" x14ac:dyDescent="0.25">
      <c r="C1136" t="s">
        <v>64</v>
      </c>
      <c r="D1136" t="s">
        <v>120</v>
      </c>
      <c r="E1136" t="s">
        <v>60</v>
      </c>
      <c r="F1136" t="s">
        <v>24</v>
      </c>
      <c r="G1136">
        <v>6</v>
      </c>
      <c r="H1136" t="s">
        <v>67</v>
      </c>
      <c r="I1136" t="s">
        <v>121</v>
      </c>
      <c r="J1136" t="s">
        <v>122</v>
      </c>
      <c r="K1136">
        <v>0</v>
      </c>
      <c r="L1136" s="84">
        <v>-8466</v>
      </c>
      <c r="M1136" s="84">
        <v>0</v>
      </c>
    </row>
    <row r="1137" spans="3:13" hidden="1" x14ac:dyDescent="0.25">
      <c r="C1137" t="s">
        <v>65</v>
      </c>
      <c r="D1137" t="s">
        <v>120</v>
      </c>
      <c r="E1137" t="s">
        <v>60</v>
      </c>
      <c r="F1137" t="s">
        <v>25</v>
      </c>
      <c r="G1137">
        <v>10</v>
      </c>
      <c r="H1137" t="s">
        <v>68</v>
      </c>
      <c r="I1137" t="s">
        <v>121</v>
      </c>
      <c r="J1137" t="s">
        <v>122</v>
      </c>
      <c r="K1137">
        <v>0</v>
      </c>
      <c r="L1137" s="84">
        <v>-1373913</v>
      </c>
      <c r="M1137" s="84">
        <v>0</v>
      </c>
    </row>
    <row r="1138" spans="3:13" hidden="1" x14ac:dyDescent="0.25">
      <c r="C1138" t="s">
        <v>65</v>
      </c>
      <c r="D1138" t="s">
        <v>120</v>
      </c>
      <c r="E1138" t="s">
        <v>60</v>
      </c>
      <c r="F1138" t="s">
        <v>25</v>
      </c>
      <c r="G1138">
        <v>3</v>
      </c>
      <c r="H1138" t="s">
        <v>67</v>
      </c>
      <c r="I1138" t="s">
        <v>121</v>
      </c>
      <c r="J1138" t="s">
        <v>122</v>
      </c>
      <c r="K1138">
        <v>0</v>
      </c>
      <c r="L1138" s="84">
        <v>-33708</v>
      </c>
      <c r="M1138" s="84">
        <v>0</v>
      </c>
    </row>
    <row r="1139" spans="3:13" hidden="1" x14ac:dyDescent="0.25">
      <c r="C1139" t="s">
        <v>119</v>
      </c>
      <c r="D1139" t="s">
        <v>125</v>
      </c>
      <c r="E1139" t="s">
        <v>63</v>
      </c>
      <c r="F1139" t="s">
        <v>25</v>
      </c>
      <c r="G1139">
        <v>25</v>
      </c>
      <c r="I1139" t="s">
        <v>121</v>
      </c>
      <c r="J1139" t="s">
        <v>122</v>
      </c>
      <c r="K1139">
        <v>0</v>
      </c>
      <c r="L1139" s="84">
        <v>417694</v>
      </c>
      <c r="M1139" s="84">
        <v>10442350</v>
      </c>
    </row>
    <row r="1140" spans="3:13" hidden="1" x14ac:dyDescent="0.25">
      <c r="C1140" t="s">
        <v>119</v>
      </c>
      <c r="D1140" t="s">
        <v>120</v>
      </c>
      <c r="E1140" t="s">
        <v>63</v>
      </c>
      <c r="F1140" t="s">
        <v>24</v>
      </c>
      <c r="G1140">
        <v>4</v>
      </c>
      <c r="H1140" t="s">
        <v>17</v>
      </c>
      <c r="I1140" t="s">
        <v>121</v>
      </c>
      <c r="J1140" t="s">
        <v>122</v>
      </c>
      <c r="K1140">
        <v>0</v>
      </c>
      <c r="L1140" s="84">
        <v>18383407</v>
      </c>
      <c r="M1140" s="84">
        <v>73533628</v>
      </c>
    </row>
    <row r="1141" spans="3:13" hidden="1" x14ac:dyDescent="0.25">
      <c r="C1141" t="s">
        <v>119</v>
      </c>
      <c r="D1141" t="s">
        <v>120</v>
      </c>
      <c r="E1141" t="s">
        <v>60</v>
      </c>
      <c r="F1141" t="s">
        <v>124</v>
      </c>
      <c r="G1141">
        <v>7</v>
      </c>
      <c r="H1141" t="s">
        <v>75</v>
      </c>
      <c r="I1141" t="s">
        <v>121</v>
      </c>
      <c r="J1141" t="s">
        <v>122</v>
      </c>
      <c r="K1141">
        <v>0</v>
      </c>
      <c r="L1141" s="84">
        <v>-48814</v>
      </c>
      <c r="M1141" s="84">
        <v>0</v>
      </c>
    </row>
    <row r="1142" spans="3:13" hidden="1" x14ac:dyDescent="0.25">
      <c r="C1142" t="s">
        <v>119</v>
      </c>
      <c r="D1142" t="s">
        <v>120</v>
      </c>
      <c r="E1142" t="s">
        <v>60</v>
      </c>
      <c r="F1142" t="s">
        <v>24</v>
      </c>
      <c r="G1142">
        <v>9</v>
      </c>
      <c r="H1142" t="s">
        <v>12</v>
      </c>
      <c r="I1142" t="s">
        <v>121</v>
      </c>
      <c r="J1142" t="s">
        <v>66</v>
      </c>
      <c r="K1142">
        <v>1</v>
      </c>
      <c r="L1142" s="84">
        <v>-127</v>
      </c>
      <c r="M1142" s="84">
        <v>0</v>
      </c>
    </row>
    <row r="1143" spans="3:13" hidden="1" x14ac:dyDescent="0.25">
      <c r="C1143" t="s">
        <v>64</v>
      </c>
      <c r="D1143" t="s">
        <v>120</v>
      </c>
      <c r="E1143" t="s">
        <v>63</v>
      </c>
      <c r="F1143" t="s">
        <v>25</v>
      </c>
      <c r="G1143">
        <v>15</v>
      </c>
      <c r="H1143" t="s">
        <v>18</v>
      </c>
      <c r="I1143" t="s">
        <v>121</v>
      </c>
      <c r="J1143" t="s">
        <v>122</v>
      </c>
      <c r="K1143">
        <v>0</v>
      </c>
      <c r="L1143" s="84">
        <v>264531</v>
      </c>
      <c r="M1143" s="84">
        <v>3967965</v>
      </c>
    </row>
    <row r="1144" spans="3:13" hidden="1" x14ac:dyDescent="0.25">
      <c r="C1144" t="s">
        <v>119</v>
      </c>
      <c r="D1144" t="s">
        <v>120</v>
      </c>
      <c r="E1144" t="s">
        <v>60</v>
      </c>
      <c r="F1144" t="s">
        <v>124</v>
      </c>
      <c r="G1144">
        <v>-1</v>
      </c>
      <c r="H1144" t="s">
        <v>18</v>
      </c>
      <c r="I1144" t="s">
        <v>121</v>
      </c>
      <c r="J1144" t="s">
        <v>122</v>
      </c>
      <c r="K1144">
        <v>0</v>
      </c>
      <c r="L1144" s="84">
        <v>-1213580</v>
      </c>
      <c r="M1144" s="84">
        <v>0</v>
      </c>
    </row>
    <row r="1145" spans="3:13" hidden="1" x14ac:dyDescent="0.25">
      <c r="C1145" t="s">
        <v>119</v>
      </c>
      <c r="D1145" t="s">
        <v>120</v>
      </c>
      <c r="E1145" t="s">
        <v>63</v>
      </c>
      <c r="F1145" t="s">
        <v>25</v>
      </c>
      <c r="G1145">
        <v>14</v>
      </c>
      <c r="H1145" t="s">
        <v>70</v>
      </c>
      <c r="I1145" t="s">
        <v>121</v>
      </c>
      <c r="J1145" t="s">
        <v>122</v>
      </c>
      <c r="K1145">
        <v>0</v>
      </c>
      <c r="L1145" s="84">
        <v>188344</v>
      </c>
      <c r="M1145" s="84">
        <v>2636816</v>
      </c>
    </row>
    <row r="1146" spans="3:13" hidden="1" x14ac:dyDescent="0.25">
      <c r="C1146" t="s">
        <v>119</v>
      </c>
      <c r="D1146" t="s">
        <v>120</v>
      </c>
      <c r="E1146" t="s">
        <v>60</v>
      </c>
      <c r="F1146" t="s">
        <v>124</v>
      </c>
      <c r="G1146">
        <v>15</v>
      </c>
      <c r="H1146" t="s">
        <v>67</v>
      </c>
      <c r="I1146" t="s">
        <v>121</v>
      </c>
      <c r="J1146" t="s">
        <v>122</v>
      </c>
      <c r="K1146">
        <v>0</v>
      </c>
      <c r="L1146" s="84">
        <v>-12313</v>
      </c>
      <c r="M1146" s="84">
        <v>0</v>
      </c>
    </row>
    <row r="1147" spans="3:13" hidden="1" x14ac:dyDescent="0.25">
      <c r="C1147" t="s">
        <v>119</v>
      </c>
      <c r="D1147" t="s">
        <v>120</v>
      </c>
      <c r="E1147" t="s">
        <v>60</v>
      </c>
      <c r="F1147" t="s">
        <v>24</v>
      </c>
      <c r="G1147">
        <v>-1</v>
      </c>
      <c r="H1147" t="s">
        <v>14</v>
      </c>
      <c r="I1147" t="s">
        <v>121</v>
      </c>
      <c r="J1147" t="s">
        <v>122</v>
      </c>
      <c r="K1147">
        <v>0</v>
      </c>
      <c r="L1147" s="84">
        <v>-7982</v>
      </c>
      <c r="M1147" s="84">
        <v>0</v>
      </c>
    </row>
    <row r="1148" spans="3:13" hidden="1" x14ac:dyDescent="0.25">
      <c r="C1148" t="s">
        <v>119</v>
      </c>
      <c r="D1148" t="s">
        <v>120</v>
      </c>
      <c r="E1148" t="s">
        <v>60</v>
      </c>
      <c r="F1148" t="s">
        <v>24</v>
      </c>
      <c r="G1148">
        <v>7</v>
      </c>
      <c r="H1148" t="s">
        <v>18</v>
      </c>
      <c r="I1148" t="s">
        <v>121</v>
      </c>
      <c r="J1148" t="s">
        <v>122</v>
      </c>
      <c r="K1148">
        <v>0</v>
      </c>
      <c r="L1148" s="84">
        <v>-3036</v>
      </c>
      <c r="M1148" s="84">
        <v>0</v>
      </c>
    </row>
    <row r="1149" spans="3:13" hidden="1" x14ac:dyDescent="0.25">
      <c r="C1149" t="s">
        <v>64</v>
      </c>
      <c r="D1149" t="s">
        <v>120</v>
      </c>
      <c r="E1149" t="s">
        <v>60</v>
      </c>
      <c r="F1149" t="s">
        <v>24</v>
      </c>
      <c r="G1149">
        <v>4</v>
      </c>
      <c r="H1149" t="s">
        <v>18</v>
      </c>
      <c r="I1149" t="s">
        <v>121</v>
      </c>
      <c r="J1149" t="s">
        <v>122</v>
      </c>
      <c r="K1149">
        <v>0</v>
      </c>
      <c r="L1149" s="84">
        <v>-19302</v>
      </c>
      <c r="M1149" s="84">
        <v>0</v>
      </c>
    </row>
    <row r="1150" spans="3:13" hidden="1" x14ac:dyDescent="0.25">
      <c r="C1150" t="s">
        <v>64</v>
      </c>
      <c r="D1150" t="s">
        <v>120</v>
      </c>
      <c r="E1150" t="s">
        <v>63</v>
      </c>
      <c r="F1150" t="s">
        <v>124</v>
      </c>
      <c r="G1150">
        <v>4</v>
      </c>
      <c r="H1150" t="s">
        <v>14</v>
      </c>
      <c r="I1150" t="s">
        <v>121</v>
      </c>
      <c r="J1150" t="s">
        <v>122</v>
      </c>
      <c r="K1150">
        <v>0</v>
      </c>
      <c r="L1150" s="84">
        <v>7730009</v>
      </c>
      <c r="M1150" s="84">
        <v>30920036</v>
      </c>
    </row>
    <row r="1151" spans="3:13" hidden="1" x14ac:dyDescent="0.25">
      <c r="C1151" t="s">
        <v>64</v>
      </c>
      <c r="D1151" t="s">
        <v>120</v>
      </c>
      <c r="E1151" t="s">
        <v>60</v>
      </c>
      <c r="F1151" t="s">
        <v>124</v>
      </c>
      <c r="G1151">
        <v>5</v>
      </c>
      <c r="H1151" t="s">
        <v>17</v>
      </c>
      <c r="I1151" t="s">
        <v>62</v>
      </c>
      <c r="J1151" t="s">
        <v>66</v>
      </c>
      <c r="K1151">
        <v>1</v>
      </c>
      <c r="L1151" s="84">
        <v>-3192</v>
      </c>
      <c r="M1151" s="84">
        <v>0</v>
      </c>
    </row>
    <row r="1152" spans="3:13" hidden="1" x14ac:dyDescent="0.25">
      <c r="C1152" t="s">
        <v>119</v>
      </c>
      <c r="D1152" t="s">
        <v>120</v>
      </c>
      <c r="E1152" t="s">
        <v>63</v>
      </c>
      <c r="F1152" t="s">
        <v>124</v>
      </c>
      <c r="G1152">
        <v>3</v>
      </c>
      <c r="H1152" t="s">
        <v>14</v>
      </c>
      <c r="I1152" t="s">
        <v>121</v>
      </c>
      <c r="J1152" t="s">
        <v>66</v>
      </c>
      <c r="K1152">
        <v>1</v>
      </c>
      <c r="L1152" s="84">
        <v>35007208</v>
      </c>
      <c r="M1152" s="84">
        <v>105021624</v>
      </c>
    </row>
    <row r="1153" spans="3:13" hidden="1" x14ac:dyDescent="0.25">
      <c r="C1153" t="s">
        <v>119</v>
      </c>
      <c r="D1153" t="s">
        <v>125</v>
      </c>
      <c r="E1153" t="s">
        <v>63</v>
      </c>
      <c r="F1153" t="s">
        <v>24</v>
      </c>
      <c r="G1153">
        <v>44</v>
      </c>
      <c r="I1153" t="s">
        <v>121</v>
      </c>
      <c r="J1153" t="s">
        <v>122</v>
      </c>
      <c r="K1153">
        <v>0</v>
      </c>
      <c r="L1153" s="84">
        <v>2416243</v>
      </c>
      <c r="M1153" s="84">
        <v>106314692</v>
      </c>
    </row>
    <row r="1154" spans="3:13" hidden="1" x14ac:dyDescent="0.25">
      <c r="C1154" t="s">
        <v>65</v>
      </c>
      <c r="D1154" t="s">
        <v>120</v>
      </c>
      <c r="E1154" t="s">
        <v>63</v>
      </c>
      <c r="F1154" t="s">
        <v>25</v>
      </c>
      <c r="G1154">
        <v>5</v>
      </c>
      <c r="H1154" t="s">
        <v>72</v>
      </c>
      <c r="I1154" t="s">
        <v>121</v>
      </c>
      <c r="J1154" t="s">
        <v>122</v>
      </c>
      <c r="K1154">
        <v>0</v>
      </c>
      <c r="L1154" s="84">
        <v>179041</v>
      </c>
      <c r="M1154" s="84">
        <v>895205</v>
      </c>
    </row>
    <row r="1155" spans="3:13" hidden="1" x14ac:dyDescent="0.25">
      <c r="C1155" t="s">
        <v>119</v>
      </c>
      <c r="D1155" t="s">
        <v>120</v>
      </c>
      <c r="E1155" t="s">
        <v>60</v>
      </c>
      <c r="F1155" t="s">
        <v>25</v>
      </c>
      <c r="G1155">
        <v>10</v>
      </c>
      <c r="H1155" t="s">
        <v>75</v>
      </c>
      <c r="I1155" t="s">
        <v>121</v>
      </c>
      <c r="J1155" t="s">
        <v>122</v>
      </c>
      <c r="K1155">
        <v>0</v>
      </c>
      <c r="L1155" s="84">
        <v>-764</v>
      </c>
      <c r="M1155" s="84">
        <v>0</v>
      </c>
    </row>
    <row r="1156" spans="3:13" hidden="1" x14ac:dyDescent="0.25">
      <c r="C1156" t="s">
        <v>119</v>
      </c>
      <c r="D1156" t="s">
        <v>120</v>
      </c>
      <c r="E1156" t="s">
        <v>60</v>
      </c>
      <c r="F1156" t="s">
        <v>24</v>
      </c>
      <c r="G1156">
        <v>10</v>
      </c>
      <c r="H1156" t="s">
        <v>70</v>
      </c>
      <c r="I1156" t="s">
        <v>121</v>
      </c>
      <c r="J1156" t="s">
        <v>122</v>
      </c>
      <c r="K1156">
        <v>0</v>
      </c>
      <c r="L1156" s="84">
        <v>-1500</v>
      </c>
      <c r="M1156" s="84">
        <v>0</v>
      </c>
    </row>
    <row r="1157" spans="3:13" hidden="1" x14ac:dyDescent="0.25">
      <c r="C1157" t="s">
        <v>65</v>
      </c>
      <c r="D1157" t="s">
        <v>120</v>
      </c>
      <c r="E1157" t="s">
        <v>63</v>
      </c>
      <c r="F1157" t="s">
        <v>24</v>
      </c>
      <c r="G1157">
        <v>3</v>
      </c>
      <c r="H1157" t="s">
        <v>14</v>
      </c>
      <c r="I1157" t="s">
        <v>121</v>
      </c>
      <c r="J1157" t="s">
        <v>122</v>
      </c>
      <c r="K1157">
        <v>0</v>
      </c>
      <c r="L1157" s="84">
        <v>50543</v>
      </c>
      <c r="M1157" s="84">
        <v>151629</v>
      </c>
    </row>
    <row r="1158" spans="3:13" hidden="1" x14ac:dyDescent="0.25">
      <c r="C1158" t="s">
        <v>64</v>
      </c>
      <c r="D1158" t="s">
        <v>125</v>
      </c>
      <c r="E1158" t="s">
        <v>60</v>
      </c>
      <c r="F1158" t="s">
        <v>24</v>
      </c>
      <c r="G1158">
        <v>39</v>
      </c>
      <c r="I1158" t="s">
        <v>121</v>
      </c>
      <c r="J1158" t="s">
        <v>122</v>
      </c>
      <c r="K1158">
        <v>0</v>
      </c>
      <c r="L1158" s="84">
        <v>-904173</v>
      </c>
      <c r="M1158" s="84">
        <v>0</v>
      </c>
    </row>
    <row r="1159" spans="3:13" hidden="1" x14ac:dyDescent="0.25">
      <c r="C1159" t="s">
        <v>64</v>
      </c>
      <c r="D1159" t="s">
        <v>120</v>
      </c>
      <c r="E1159" t="s">
        <v>63</v>
      </c>
      <c r="F1159" t="s">
        <v>25</v>
      </c>
      <c r="G1159">
        <v>1</v>
      </c>
      <c r="H1159" t="s">
        <v>69</v>
      </c>
      <c r="I1159" t="s">
        <v>121</v>
      </c>
      <c r="J1159" t="s">
        <v>122</v>
      </c>
      <c r="K1159">
        <v>0</v>
      </c>
      <c r="L1159" s="84">
        <v>421003</v>
      </c>
      <c r="M1159" s="84">
        <v>421003</v>
      </c>
    </row>
    <row r="1160" spans="3:13" hidden="1" x14ac:dyDescent="0.25">
      <c r="C1160" t="s">
        <v>119</v>
      </c>
      <c r="D1160" t="s">
        <v>120</v>
      </c>
      <c r="E1160" t="s">
        <v>63</v>
      </c>
      <c r="F1160" t="s">
        <v>24</v>
      </c>
      <c r="G1160">
        <v>11</v>
      </c>
      <c r="H1160" t="s">
        <v>74</v>
      </c>
      <c r="I1160" t="s">
        <v>121</v>
      </c>
      <c r="J1160" t="s">
        <v>122</v>
      </c>
      <c r="K1160">
        <v>0</v>
      </c>
      <c r="L1160" s="84">
        <v>146480</v>
      </c>
      <c r="M1160" s="84">
        <v>1611280</v>
      </c>
    </row>
    <row r="1161" spans="3:13" hidden="1" x14ac:dyDescent="0.25">
      <c r="C1161" t="s">
        <v>65</v>
      </c>
      <c r="D1161" t="s">
        <v>120</v>
      </c>
      <c r="E1161" t="s">
        <v>60</v>
      </c>
      <c r="F1161" t="s">
        <v>124</v>
      </c>
      <c r="G1161">
        <v>4</v>
      </c>
      <c r="H1161" t="s">
        <v>68</v>
      </c>
      <c r="I1161" t="s">
        <v>121</v>
      </c>
      <c r="J1161" t="s">
        <v>122</v>
      </c>
      <c r="K1161">
        <v>0</v>
      </c>
      <c r="L1161" s="84">
        <v>-652810</v>
      </c>
      <c r="M1161" s="84">
        <v>0</v>
      </c>
    </row>
    <row r="1162" spans="3:13" hidden="1" x14ac:dyDescent="0.25">
      <c r="C1162" t="s">
        <v>64</v>
      </c>
      <c r="D1162" t="s">
        <v>120</v>
      </c>
      <c r="E1162" t="s">
        <v>60</v>
      </c>
      <c r="F1162" t="s">
        <v>25</v>
      </c>
      <c r="G1162">
        <v>10</v>
      </c>
      <c r="H1162" t="s">
        <v>69</v>
      </c>
      <c r="I1162" t="s">
        <v>121</v>
      </c>
      <c r="J1162" t="s">
        <v>122</v>
      </c>
      <c r="K1162">
        <v>0</v>
      </c>
      <c r="L1162" s="84">
        <v>-432594</v>
      </c>
      <c r="M1162" s="84">
        <v>0</v>
      </c>
    </row>
    <row r="1163" spans="3:13" hidden="1" x14ac:dyDescent="0.25">
      <c r="C1163" t="s">
        <v>64</v>
      </c>
      <c r="D1163" t="s">
        <v>120</v>
      </c>
      <c r="E1163" t="s">
        <v>60</v>
      </c>
      <c r="F1163" t="s">
        <v>123</v>
      </c>
      <c r="G1163">
        <v>2</v>
      </c>
      <c r="H1163" t="s">
        <v>14</v>
      </c>
      <c r="I1163" t="s">
        <v>121</v>
      </c>
      <c r="J1163" t="s">
        <v>66</v>
      </c>
      <c r="K1163">
        <v>1</v>
      </c>
      <c r="L1163" s="84">
        <v>-47575</v>
      </c>
      <c r="M1163" s="84">
        <v>0</v>
      </c>
    </row>
    <row r="1164" spans="3:13" hidden="1" x14ac:dyDescent="0.25">
      <c r="C1164" t="s">
        <v>119</v>
      </c>
      <c r="D1164" t="s">
        <v>120</v>
      </c>
      <c r="E1164" t="s">
        <v>63</v>
      </c>
      <c r="F1164" t="s">
        <v>123</v>
      </c>
      <c r="G1164">
        <v>7</v>
      </c>
      <c r="H1164" t="s">
        <v>12</v>
      </c>
      <c r="I1164" t="s">
        <v>121</v>
      </c>
      <c r="J1164" t="s">
        <v>122</v>
      </c>
      <c r="K1164">
        <v>0</v>
      </c>
      <c r="L1164" s="84">
        <v>128130</v>
      </c>
      <c r="M1164" s="84">
        <v>896910</v>
      </c>
    </row>
    <row r="1165" spans="3:13" hidden="1" x14ac:dyDescent="0.25">
      <c r="C1165" t="s">
        <v>119</v>
      </c>
      <c r="D1165" t="s">
        <v>120</v>
      </c>
      <c r="E1165" t="s">
        <v>60</v>
      </c>
      <c r="F1165" t="s">
        <v>124</v>
      </c>
      <c r="G1165">
        <v>0</v>
      </c>
      <c r="H1165" t="s">
        <v>17</v>
      </c>
      <c r="I1165" t="s">
        <v>121</v>
      </c>
      <c r="J1165" t="s">
        <v>122</v>
      </c>
      <c r="K1165">
        <v>0</v>
      </c>
      <c r="L1165" s="84">
        <v>-269823</v>
      </c>
      <c r="M1165" s="84">
        <v>0</v>
      </c>
    </row>
    <row r="1166" spans="3:13" hidden="1" x14ac:dyDescent="0.25">
      <c r="C1166" t="s">
        <v>64</v>
      </c>
      <c r="D1166" t="s">
        <v>120</v>
      </c>
      <c r="E1166" t="s">
        <v>63</v>
      </c>
      <c r="F1166" t="s">
        <v>123</v>
      </c>
      <c r="G1166">
        <v>1</v>
      </c>
      <c r="H1166" t="s">
        <v>18</v>
      </c>
      <c r="I1166" t="s">
        <v>121</v>
      </c>
      <c r="J1166" t="s">
        <v>122</v>
      </c>
      <c r="K1166">
        <v>0</v>
      </c>
      <c r="L1166" s="84">
        <v>892880</v>
      </c>
      <c r="M1166" s="84">
        <v>892880</v>
      </c>
    </row>
    <row r="1167" spans="3:13" hidden="1" x14ac:dyDescent="0.25">
      <c r="C1167" t="s">
        <v>119</v>
      </c>
      <c r="D1167" t="s">
        <v>126</v>
      </c>
      <c r="E1167" t="s">
        <v>63</v>
      </c>
      <c r="F1167" t="s">
        <v>24</v>
      </c>
      <c r="G1167">
        <v>4</v>
      </c>
      <c r="H1167" t="s">
        <v>68</v>
      </c>
      <c r="I1167" t="s">
        <v>121</v>
      </c>
      <c r="J1167" t="s">
        <v>122</v>
      </c>
      <c r="K1167">
        <v>0</v>
      </c>
      <c r="L1167" s="84">
        <v>10044809</v>
      </c>
      <c r="M1167" s="84">
        <v>40179236</v>
      </c>
    </row>
    <row r="1168" spans="3:13" hidden="1" x14ac:dyDescent="0.25">
      <c r="C1168" t="s">
        <v>65</v>
      </c>
      <c r="D1168" t="s">
        <v>120</v>
      </c>
      <c r="E1168" t="s">
        <v>63</v>
      </c>
      <c r="F1168" t="s">
        <v>25</v>
      </c>
      <c r="G1168">
        <v>9</v>
      </c>
      <c r="H1168" t="s">
        <v>17</v>
      </c>
      <c r="I1168" t="s">
        <v>121</v>
      </c>
      <c r="J1168" t="s">
        <v>122</v>
      </c>
      <c r="K1168">
        <v>0</v>
      </c>
      <c r="L1168" s="84">
        <v>5731710</v>
      </c>
      <c r="M1168" s="84">
        <v>51585390</v>
      </c>
    </row>
    <row r="1169" spans="3:13" hidden="1" x14ac:dyDescent="0.25">
      <c r="C1169" t="s">
        <v>119</v>
      </c>
      <c r="D1169" t="s">
        <v>125</v>
      </c>
      <c r="E1169" t="s">
        <v>63</v>
      </c>
      <c r="F1169" t="s">
        <v>24</v>
      </c>
      <c r="G1169">
        <v>3</v>
      </c>
      <c r="I1169" t="s">
        <v>121</v>
      </c>
      <c r="J1169" t="s">
        <v>122</v>
      </c>
      <c r="K1169">
        <v>0</v>
      </c>
      <c r="L1169" s="84">
        <v>34827261</v>
      </c>
      <c r="M1169" s="84">
        <v>104481783</v>
      </c>
    </row>
    <row r="1170" spans="3:13" hidden="1" x14ac:dyDescent="0.25">
      <c r="C1170" t="s">
        <v>119</v>
      </c>
      <c r="D1170" t="s">
        <v>120</v>
      </c>
      <c r="E1170" t="s">
        <v>60</v>
      </c>
      <c r="F1170" t="s">
        <v>24</v>
      </c>
      <c r="G1170">
        <v>17</v>
      </c>
      <c r="H1170" t="s">
        <v>17</v>
      </c>
      <c r="I1170" t="s">
        <v>62</v>
      </c>
      <c r="J1170" t="s">
        <v>122</v>
      </c>
      <c r="K1170">
        <v>1</v>
      </c>
      <c r="L1170" s="84">
        <v>-289</v>
      </c>
      <c r="M1170" s="84">
        <v>0</v>
      </c>
    </row>
    <row r="1171" spans="3:13" hidden="1" x14ac:dyDescent="0.25">
      <c r="C1171" t="s">
        <v>64</v>
      </c>
      <c r="D1171" t="s">
        <v>120</v>
      </c>
      <c r="E1171" t="s">
        <v>63</v>
      </c>
      <c r="F1171" t="s">
        <v>25</v>
      </c>
      <c r="G1171">
        <v>10</v>
      </c>
      <c r="H1171" t="s">
        <v>67</v>
      </c>
      <c r="I1171" t="s">
        <v>121</v>
      </c>
      <c r="J1171" t="s">
        <v>122</v>
      </c>
      <c r="K1171">
        <v>0</v>
      </c>
      <c r="L1171" s="84">
        <v>973047</v>
      </c>
      <c r="M1171" s="84">
        <v>9730470</v>
      </c>
    </row>
    <row r="1172" spans="3:13" hidden="1" x14ac:dyDescent="0.25">
      <c r="C1172" t="s">
        <v>64</v>
      </c>
      <c r="D1172" t="s">
        <v>120</v>
      </c>
      <c r="E1172" t="s">
        <v>60</v>
      </c>
      <c r="F1172" t="s">
        <v>123</v>
      </c>
      <c r="G1172">
        <v>1</v>
      </c>
      <c r="H1172" t="s">
        <v>72</v>
      </c>
      <c r="I1172" t="s">
        <v>121</v>
      </c>
      <c r="J1172" t="s">
        <v>122</v>
      </c>
      <c r="K1172">
        <v>0</v>
      </c>
      <c r="L1172" s="84">
        <v>-27424</v>
      </c>
      <c r="M1172" s="84">
        <v>0</v>
      </c>
    </row>
    <row r="1173" spans="3:13" hidden="1" x14ac:dyDescent="0.25">
      <c r="C1173" t="s">
        <v>119</v>
      </c>
      <c r="D1173" t="s">
        <v>120</v>
      </c>
      <c r="E1173" t="s">
        <v>63</v>
      </c>
      <c r="F1173" t="s">
        <v>25</v>
      </c>
      <c r="G1173">
        <v>2</v>
      </c>
      <c r="H1173" t="s">
        <v>73</v>
      </c>
      <c r="I1173" t="s">
        <v>121</v>
      </c>
      <c r="J1173" t="s">
        <v>122</v>
      </c>
      <c r="K1173">
        <v>0</v>
      </c>
      <c r="L1173" s="84">
        <v>28565</v>
      </c>
      <c r="M1173" s="84">
        <v>57130</v>
      </c>
    </row>
    <row r="1174" spans="3:13" hidden="1" x14ac:dyDescent="0.25">
      <c r="C1174" t="s">
        <v>64</v>
      </c>
      <c r="D1174" t="s">
        <v>120</v>
      </c>
      <c r="E1174" t="s">
        <v>63</v>
      </c>
      <c r="F1174" t="s">
        <v>25</v>
      </c>
      <c r="G1174">
        <v>13</v>
      </c>
      <c r="H1174" t="s">
        <v>18</v>
      </c>
      <c r="I1174" t="s">
        <v>121</v>
      </c>
      <c r="J1174" t="s">
        <v>122</v>
      </c>
      <c r="K1174">
        <v>0</v>
      </c>
      <c r="L1174" s="84">
        <v>2155655</v>
      </c>
      <c r="M1174" s="84">
        <v>28023515</v>
      </c>
    </row>
    <row r="1175" spans="3:13" hidden="1" x14ac:dyDescent="0.25">
      <c r="C1175" t="s">
        <v>119</v>
      </c>
      <c r="D1175" t="s">
        <v>120</v>
      </c>
      <c r="E1175" t="s">
        <v>63</v>
      </c>
      <c r="F1175" t="s">
        <v>25</v>
      </c>
      <c r="G1175">
        <v>12</v>
      </c>
      <c r="H1175" t="s">
        <v>70</v>
      </c>
      <c r="I1175" t="s">
        <v>121</v>
      </c>
      <c r="J1175" t="s">
        <v>122</v>
      </c>
      <c r="K1175">
        <v>0</v>
      </c>
      <c r="L1175" s="84">
        <v>552896</v>
      </c>
      <c r="M1175" s="84">
        <v>6634752</v>
      </c>
    </row>
    <row r="1176" spans="3:13" hidden="1" x14ac:dyDescent="0.25">
      <c r="C1176" t="s">
        <v>119</v>
      </c>
      <c r="D1176" t="s">
        <v>120</v>
      </c>
      <c r="E1176" t="s">
        <v>63</v>
      </c>
      <c r="F1176" t="s">
        <v>24</v>
      </c>
      <c r="G1176">
        <v>17</v>
      </c>
      <c r="H1176" t="s">
        <v>67</v>
      </c>
      <c r="I1176" t="s">
        <v>121</v>
      </c>
      <c r="J1176" t="s">
        <v>122</v>
      </c>
      <c r="K1176">
        <v>0</v>
      </c>
      <c r="L1176" s="84">
        <v>333895</v>
      </c>
      <c r="M1176" s="84">
        <v>5676215</v>
      </c>
    </row>
    <row r="1177" spans="3:13" hidden="1" x14ac:dyDescent="0.25">
      <c r="D1177" t="s">
        <v>120</v>
      </c>
      <c r="E1177" t="s">
        <v>63</v>
      </c>
      <c r="G1177">
        <v>-3</v>
      </c>
      <c r="H1177" t="s">
        <v>14</v>
      </c>
      <c r="I1177" t="s">
        <v>121</v>
      </c>
      <c r="J1177" t="s">
        <v>122</v>
      </c>
      <c r="K1177">
        <v>0</v>
      </c>
      <c r="L1177" s="84">
        <v>35578</v>
      </c>
      <c r="M1177" s="84">
        <v>0</v>
      </c>
    </row>
    <row r="1178" spans="3:13" hidden="1" x14ac:dyDescent="0.25">
      <c r="C1178" t="s">
        <v>65</v>
      </c>
      <c r="D1178" t="s">
        <v>120</v>
      </c>
      <c r="E1178" t="s">
        <v>63</v>
      </c>
      <c r="F1178" t="s">
        <v>123</v>
      </c>
      <c r="G1178">
        <v>2</v>
      </c>
      <c r="H1178" t="s">
        <v>72</v>
      </c>
      <c r="I1178" t="s">
        <v>121</v>
      </c>
      <c r="J1178" t="s">
        <v>122</v>
      </c>
      <c r="K1178">
        <v>0</v>
      </c>
      <c r="L1178" s="84">
        <v>15117</v>
      </c>
      <c r="M1178" s="84">
        <v>30234</v>
      </c>
    </row>
    <row r="1179" spans="3:13" hidden="1" x14ac:dyDescent="0.25">
      <c r="C1179" t="s">
        <v>64</v>
      </c>
      <c r="D1179" t="s">
        <v>120</v>
      </c>
      <c r="E1179" t="s">
        <v>63</v>
      </c>
      <c r="F1179" t="s">
        <v>24</v>
      </c>
      <c r="G1179">
        <v>11</v>
      </c>
      <c r="H1179" t="s">
        <v>67</v>
      </c>
      <c r="I1179" t="s">
        <v>121</v>
      </c>
      <c r="J1179" t="s">
        <v>122</v>
      </c>
      <c r="K1179">
        <v>0</v>
      </c>
      <c r="L1179" s="84">
        <v>172066</v>
      </c>
      <c r="M1179" s="84">
        <v>1892726</v>
      </c>
    </row>
    <row r="1180" spans="3:13" hidden="1" x14ac:dyDescent="0.25">
      <c r="C1180" t="s">
        <v>65</v>
      </c>
      <c r="D1180" t="s">
        <v>120</v>
      </c>
      <c r="E1180" t="s">
        <v>60</v>
      </c>
      <c r="F1180" t="s">
        <v>124</v>
      </c>
      <c r="G1180">
        <v>2</v>
      </c>
      <c r="H1180" t="s">
        <v>14</v>
      </c>
      <c r="I1180" t="s">
        <v>121</v>
      </c>
      <c r="J1180" t="s">
        <v>122</v>
      </c>
      <c r="K1180">
        <v>0</v>
      </c>
      <c r="L1180" s="84">
        <v>-3406715</v>
      </c>
      <c r="M1180" s="84">
        <v>0</v>
      </c>
    </row>
    <row r="1181" spans="3:13" hidden="1" x14ac:dyDescent="0.25">
      <c r="C1181" t="s">
        <v>64</v>
      </c>
      <c r="D1181" t="s">
        <v>120</v>
      </c>
      <c r="E1181" t="s">
        <v>63</v>
      </c>
      <c r="F1181" t="s">
        <v>124</v>
      </c>
      <c r="G1181">
        <v>3</v>
      </c>
      <c r="H1181" t="s">
        <v>71</v>
      </c>
      <c r="I1181" t="s">
        <v>121</v>
      </c>
      <c r="J1181" t="s">
        <v>122</v>
      </c>
      <c r="K1181">
        <v>0</v>
      </c>
      <c r="L1181" s="84">
        <v>467156</v>
      </c>
      <c r="M1181" s="84">
        <v>1401468</v>
      </c>
    </row>
    <row r="1182" spans="3:13" hidden="1" x14ac:dyDescent="0.25">
      <c r="C1182" t="s">
        <v>119</v>
      </c>
      <c r="D1182" t="s">
        <v>126</v>
      </c>
      <c r="E1182" t="s">
        <v>60</v>
      </c>
      <c r="F1182" t="s">
        <v>25</v>
      </c>
      <c r="G1182">
        <v>6</v>
      </c>
      <c r="H1182" t="s">
        <v>18</v>
      </c>
      <c r="I1182" t="s">
        <v>121</v>
      </c>
      <c r="J1182" t="s">
        <v>122</v>
      </c>
      <c r="K1182">
        <v>0</v>
      </c>
      <c r="L1182" s="84">
        <v>-4985</v>
      </c>
      <c r="M1182" s="84">
        <v>0</v>
      </c>
    </row>
    <row r="1183" spans="3:13" hidden="1" x14ac:dyDescent="0.25">
      <c r="C1183" t="s">
        <v>64</v>
      </c>
      <c r="D1183" t="s">
        <v>126</v>
      </c>
      <c r="E1183" t="s">
        <v>60</v>
      </c>
      <c r="F1183" t="s">
        <v>25</v>
      </c>
      <c r="G1183">
        <v>6</v>
      </c>
      <c r="H1183" t="s">
        <v>17</v>
      </c>
      <c r="I1183" t="s">
        <v>121</v>
      </c>
      <c r="J1183" t="s">
        <v>122</v>
      </c>
      <c r="K1183">
        <v>0</v>
      </c>
      <c r="L1183" s="84">
        <v>-2473</v>
      </c>
      <c r="M1183" s="84">
        <v>0</v>
      </c>
    </row>
    <row r="1184" spans="3:13" hidden="1" x14ac:dyDescent="0.25">
      <c r="C1184" t="s">
        <v>64</v>
      </c>
      <c r="D1184" t="s">
        <v>120</v>
      </c>
      <c r="E1184" t="s">
        <v>60</v>
      </c>
      <c r="F1184" t="s">
        <v>25</v>
      </c>
      <c r="G1184">
        <v>5</v>
      </c>
      <c r="H1184" t="s">
        <v>67</v>
      </c>
      <c r="I1184" t="s">
        <v>121</v>
      </c>
      <c r="J1184" t="s">
        <v>122</v>
      </c>
      <c r="K1184">
        <v>0</v>
      </c>
      <c r="L1184" s="84">
        <v>-7574</v>
      </c>
      <c r="M1184" s="84">
        <v>0</v>
      </c>
    </row>
    <row r="1185" spans="3:13" hidden="1" x14ac:dyDescent="0.25">
      <c r="C1185" t="s">
        <v>119</v>
      </c>
      <c r="D1185" t="s">
        <v>120</v>
      </c>
      <c r="E1185" t="s">
        <v>60</v>
      </c>
      <c r="F1185" t="s">
        <v>124</v>
      </c>
      <c r="G1185">
        <v>1</v>
      </c>
      <c r="H1185" t="s">
        <v>73</v>
      </c>
      <c r="I1185" t="s">
        <v>121</v>
      </c>
      <c r="J1185" t="s">
        <v>122</v>
      </c>
      <c r="K1185">
        <v>0</v>
      </c>
      <c r="L1185" s="84">
        <v>-8067</v>
      </c>
      <c r="M1185" s="84">
        <v>0</v>
      </c>
    </row>
    <row r="1186" spans="3:13" hidden="1" x14ac:dyDescent="0.25">
      <c r="C1186" t="s">
        <v>64</v>
      </c>
      <c r="D1186" t="s">
        <v>120</v>
      </c>
      <c r="E1186" t="s">
        <v>60</v>
      </c>
      <c r="F1186" t="s">
        <v>124</v>
      </c>
      <c r="G1186">
        <v>1</v>
      </c>
      <c r="H1186" t="s">
        <v>18</v>
      </c>
      <c r="I1186" t="s">
        <v>121</v>
      </c>
      <c r="J1186" t="s">
        <v>66</v>
      </c>
      <c r="K1186">
        <v>1</v>
      </c>
      <c r="L1186" s="84">
        <v>-31939</v>
      </c>
      <c r="M1186" s="84">
        <v>0</v>
      </c>
    </row>
    <row r="1187" spans="3:13" hidden="1" x14ac:dyDescent="0.25">
      <c r="C1187" t="s">
        <v>64</v>
      </c>
      <c r="D1187" t="s">
        <v>125</v>
      </c>
      <c r="E1187" t="s">
        <v>60</v>
      </c>
      <c r="F1187" t="s">
        <v>24</v>
      </c>
      <c r="G1187">
        <v>35</v>
      </c>
      <c r="I1187" t="s">
        <v>121</v>
      </c>
      <c r="J1187" t="s">
        <v>122</v>
      </c>
      <c r="K1187">
        <v>0</v>
      </c>
      <c r="L1187" s="84">
        <v>-1738694</v>
      </c>
      <c r="M1187" s="84">
        <v>0</v>
      </c>
    </row>
    <row r="1188" spans="3:13" hidden="1" x14ac:dyDescent="0.25">
      <c r="C1188" t="s">
        <v>65</v>
      </c>
      <c r="D1188" t="s">
        <v>125</v>
      </c>
      <c r="E1188" t="s">
        <v>63</v>
      </c>
      <c r="F1188" t="s">
        <v>25</v>
      </c>
      <c r="G1188">
        <v>4</v>
      </c>
      <c r="I1188" t="s">
        <v>121</v>
      </c>
      <c r="J1188" t="s">
        <v>122</v>
      </c>
      <c r="K1188">
        <v>0</v>
      </c>
      <c r="L1188" s="84">
        <v>8142249</v>
      </c>
      <c r="M1188" s="84">
        <v>32568996</v>
      </c>
    </row>
    <row r="1189" spans="3:13" hidden="1" x14ac:dyDescent="0.25">
      <c r="C1189" t="s">
        <v>65</v>
      </c>
      <c r="D1189" t="s">
        <v>120</v>
      </c>
      <c r="E1189" t="s">
        <v>63</v>
      </c>
      <c r="F1189" t="s">
        <v>124</v>
      </c>
      <c r="G1189">
        <v>2</v>
      </c>
      <c r="H1189" t="s">
        <v>17</v>
      </c>
      <c r="I1189" t="s">
        <v>62</v>
      </c>
      <c r="J1189" t="s">
        <v>122</v>
      </c>
      <c r="K1189">
        <v>1</v>
      </c>
      <c r="L1189" s="84">
        <v>118812</v>
      </c>
      <c r="M1189" s="84">
        <v>237624</v>
      </c>
    </row>
    <row r="1190" spans="3:13" hidden="1" x14ac:dyDescent="0.25">
      <c r="C1190" t="s">
        <v>65</v>
      </c>
      <c r="D1190" t="s">
        <v>120</v>
      </c>
      <c r="E1190" t="s">
        <v>60</v>
      </c>
      <c r="F1190" t="s">
        <v>124</v>
      </c>
      <c r="G1190">
        <v>1</v>
      </c>
      <c r="H1190" t="s">
        <v>72</v>
      </c>
      <c r="I1190" t="s">
        <v>121</v>
      </c>
      <c r="J1190" t="s">
        <v>122</v>
      </c>
      <c r="K1190">
        <v>0</v>
      </c>
      <c r="L1190" s="84">
        <v>-125361</v>
      </c>
      <c r="M1190" s="84">
        <v>0</v>
      </c>
    </row>
    <row r="1191" spans="3:13" hidden="1" x14ac:dyDescent="0.25">
      <c r="C1191" t="s">
        <v>64</v>
      </c>
      <c r="D1191" t="s">
        <v>120</v>
      </c>
      <c r="E1191" t="s">
        <v>63</v>
      </c>
      <c r="F1191" t="s">
        <v>25</v>
      </c>
      <c r="G1191">
        <v>8</v>
      </c>
      <c r="H1191" t="s">
        <v>73</v>
      </c>
      <c r="I1191" t="s">
        <v>121</v>
      </c>
      <c r="J1191" t="s">
        <v>122</v>
      </c>
      <c r="K1191">
        <v>0</v>
      </c>
      <c r="L1191" s="84">
        <v>65339</v>
      </c>
      <c r="M1191" s="84">
        <v>522712</v>
      </c>
    </row>
    <row r="1192" spans="3:13" hidden="1" x14ac:dyDescent="0.25">
      <c r="C1192" t="s">
        <v>65</v>
      </c>
      <c r="D1192" t="s">
        <v>120</v>
      </c>
      <c r="E1192" t="s">
        <v>63</v>
      </c>
      <c r="F1192" t="s">
        <v>124</v>
      </c>
      <c r="G1192">
        <v>2</v>
      </c>
      <c r="H1192" t="s">
        <v>12</v>
      </c>
      <c r="I1192" t="s">
        <v>121</v>
      </c>
      <c r="J1192" t="s">
        <v>66</v>
      </c>
      <c r="K1192">
        <v>1</v>
      </c>
      <c r="L1192" s="84">
        <v>23123</v>
      </c>
      <c r="M1192" s="84">
        <v>46246</v>
      </c>
    </row>
    <row r="1193" spans="3:13" hidden="1" x14ac:dyDescent="0.25">
      <c r="C1193" t="s">
        <v>64</v>
      </c>
      <c r="D1193" t="s">
        <v>120</v>
      </c>
      <c r="E1193" t="s">
        <v>63</v>
      </c>
      <c r="F1193" t="s">
        <v>124</v>
      </c>
      <c r="G1193">
        <v>7</v>
      </c>
      <c r="H1193" t="s">
        <v>75</v>
      </c>
      <c r="I1193" t="s">
        <v>121</v>
      </c>
      <c r="J1193" t="s">
        <v>122</v>
      </c>
      <c r="K1193">
        <v>0</v>
      </c>
      <c r="L1193" s="84">
        <v>264651</v>
      </c>
      <c r="M1193" s="84">
        <v>1852557</v>
      </c>
    </row>
    <row r="1194" spans="3:13" hidden="1" x14ac:dyDescent="0.25">
      <c r="C1194" t="s">
        <v>119</v>
      </c>
      <c r="D1194" t="s">
        <v>120</v>
      </c>
      <c r="E1194" t="s">
        <v>60</v>
      </c>
      <c r="F1194" t="s">
        <v>124</v>
      </c>
      <c r="G1194">
        <v>1</v>
      </c>
      <c r="H1194" t="s">
        <v>17</v>
      </c>
      <c r="I1194" t="s">
        <v>62</v>
      </c>
      <c r="J1194" t="s">
        <v>66</v>
      </c>
      <c r="K1194">
        <v>1</v>
      </c>
      <c r="L1194" s="84">
        <v>-1881</v>
      </c>
      <c r="M1194" s="84">
        <v>0</v>
      </c>
    </row>
    <row r="1195" spans="3:13" hidden="1" x14ac:dyDescent="0.25">
      <c r="C1195" t="s">
        <v>64</v>
      </c>
      <c r="D1195" t="s">
        <v>120</v>
      </c>
      <c r="E1195" t="s">
        <v>63</v>
      </c>
      <c r="F1195" t="s">
        <v>123</v>
      </c>
      <c r="G1195">
        <v>-1</v>
      </c>
      <c r="H1195" t="s">
        <v>14</v>
      </c>
      <c r="I1195" t="s">
        <v>121</v>
      </c>
      <c r="J1195" t="s">
        <v>66</v>
      </c>
      <c r="K1195">
        <v>1</v>
      </c>
      <c r="L1195" s="84">
        <v>228364</v>
      </c>
      <c r="M1195" s="84">
        <v>0</v>
      </c>
    </row>
    <row r="1196" spans="3:13" hidden="1" x14ac:dyDescent="0.25">
      <c r="C1196" t="s">
        <v>119</v>
      </c>
      <c r="D1196" t="s">
        <v>125</v>
      </c>
      <c r="E1196" t="s">
        <v>60</v>
      </c>
      <c r="F1196" t="s">
        <v>25</v>
      </c>
      <c r="G1196">
        <v>21</v>
      </c>
      <c r="I1196" t="s">
        <v>121</v>
      </c>
      <c r="J1196" t="s">
        <v>122</v>
      </c>
      <c r="K1196">
        <v>0</v>
      </c>
      <c r="L1196" s="84">
        <v>-622</v>
      </c>
      <c r="M1196" s="84">
        <v>0</v>
      </c>
    </row>
    <row r="1197" spans="3:13" hidden="1" x14ac:dyDescent="0.25">
      <c r="C1197" t="s">
        <v>64</v>
      </c>
      <c r="D1197" t="s">
        <v>120</v>
      </c>
      <c r="E1197" t="s">
        <v>60</v>
      </c>
      <c r="F1197" t="s">
        <v>24</v>
      </c>
      <c r="G1197">
        <v>0</v>
      </c>
      <c r="H1197" t="s">
        <v>68</v>
      </c>
      <c r="I1197" t="s">
        <v>121</v>
      </c>
      <c r="J1197" t="s">
        <v>122</v>
      </c>
      <c r="K1197">
        <v>0</v>
      </c>
      <c r="L1197" s="84">
        <v>-90</v>
      </c>
      <c r="M1197" s="84">
        <v>0</v>
      </c>
    </row>
    <row r="1198" spans="3:13" hidden="1" x14ac:dyDescent="0.25">
      <c r="C1198" t="s">
        <v>119</v>
      </c>
      <c r="D1198" t="s">
        <v>120</v>
      </c>
      <c r="E1198" t="s">
        <v>60</v>
      </c>
      <c r="F1198" t="s">
        <v>24</v>
      </c>
      <c r="G1198">
        <v>14</v>
      </c>
      <c r="H1198" t="s">
        <v>71</v>
      </c>
      <c r="I1198" t="s">
        <v>121</v>
      </c>
      <c r="J1198" t="s">
        <v>122</v>
      </c>
      <c r="K1198">
        <v>0</v>
      </c>
      <c r="L1198" s="84">
        <v>-736</v>
      </c>
      <c r="M1198" s="84">
        <v>0</v>
      </c>
    </row>
    <row r="1199" spans="3:13" hidden="1" x14ac:dyDescent="0.25">
      <c r="C1199" t="s">
        <v>65</v>
      </c>
      <c r="D1199" t="s">
        <v>120</v>
      </c>
      <c r="E1199" t="s">
        <v>60</v>
      </c>
      <c r="F1199" t="s">
        <v>123</v>
      </c>
      <c r="G1199">
        <v>2</v>
      </c>
      <c r="H1199" t="s">
        <v>73</v>
      </c>
      <c r="I1199" t="s">
        <v>121</v>
      </c>
      <c r="J1199" t="s">
        <v>122</v>
      </c>
      <c r="K1199">
        <v>0</v>
      </c>
      <c r="L1199" s="84">
        <v>-21592</v>
      </c>
      <c r="M1199" s="84">
        <v>0</v>
      </c>
    </row>
    <row r="1200" spans="3:13" hidden="1" x14ac:dyDescent="0.25">
      <c r="C1200" t="s">
        <v>64</v>
      </c>
      <c r="D1200" t="s">
        <v>120</v>
      </c>
      <c r="E1200" t="s">
        <v>60</v>
      </c>
      <c r="F1200" t="s">
        <v>25</v>
      </c>
      <c r="G1200">
        <v>5</v>
      </c>
      <c r="H1200" t="s">
        <v>14</v>
      </c>
      <c r="I1200" t="s">
        <v>121</v>
      </c>
      <c r="J1200" t="s">
        <v>122</v>
      </c>
      <c r="K1200">
        <v>0</v>
      </c>
      <c r="L1200" s="84">
        <v>-190277</v>
      </c>
      <c r="M1200" s="84">
        <v>0</v>
      </c>
    </row>
    <row r="1201" spans="3:13" hidden="1" x14ac:dyDescent="0.25">
      <c r="C1201" t="s">
        <v>64</v>
      </c>
      <c r="D1201" t="s">
        <v>120</v>
      </c>
      <c r="E1201" t="s">
        <v>63</v>
      </c>
      <c r="F1201" t="s">
        <v>25</v>
      </c>
      <c r="G1201">
        <v>13</v>
      </c>
      <c r="H1201" t="s">
        <v>69</v>
      </c>
      <c r="I1201" t="s">
        <v>121</v>
      </c>
      <c r="J1201" t="s">
        <v>122</v>
      </c>
      <c r="K1201">
        <v>0</v>
      </c>
      <c r="L1201" s="84">
        <v>383487</v>
      </c>
      <c r="M1201" s="84">
        <v>4985331</v>
      </c>
    </row>
    <row r="1202" spans="3:13" hidden="1" x14ac:dyDescent="0.25">
      <c r="C1202" t="s">
        <v>65</v>
      </c>
      <c r="D1202" t="s">
        <v>120</v>
      </c>
      <c r="E1202" t="s">
        <v>63</v>
      </c>
      <c r="F1202" t="s">
        <v>24</v>
      </c>
      <c r="G1202">
        <v>7</v>
      </c>
      <c r="H1202" t="s">
        <v>72</v>
      </c>
      <c r="I1202" t="s">
        <v>121</v>
      </c>
      <c r="J1202" t="s">
        <v>122</v>
      </c>
      <c r="K1202">
        <v>0</v>
      </c>
      <c r="L1202" s="84">
        <v>71063</v>
      </c>
      <c r="M1202" s="84">
        <v>497441</v>
      </c>
    </row>
    <row r="1203" spans="3:13" hidden="1" x14ac:dyDescent="0.25">
      <c r="C1203" t="s">
        <v>119</v>
      </c>
      <c r="D1203" t="s">
        <v>120</v>
      </c>
      <c r="E1203" t="s">
        <v>60</v>
      </c>
      <c r="F1203" t="s">
        <v>124</v>
      </c>
      <c r="G1203">
        <v>0</v>
      </c>
      <c r="H1203" t="s">
        <v>14</v>
      </c>
      <c r="I1203" t="s">
        <v>62</v>
      </c>
      <c r="J1203" t="s">
        <v>66</v>
      </c>
      <c r="K1203">
        <v>1</v>
      </c>
      <c r="L1203" s="84">
        <v>-4622</v>
      </c>
      <c r="M1203" s="84">
        <v>0</v>
      </c>
    </row>
    <row r="1204" spans="3:13" hidden="1" x14ac:dyDescent="0.25">
      <c r="C1204" t="s">
        <v>119</v>
      </c>
      <c r="D1204" t="s">
        <v>120</v>
      </c>
      <c r="E1204" t="s">
        <v>63</v>
      </c>
      <c r="F1204" t="s">
        <v>25</v>
      </c>
      <c r="G1204">
        <v>17</v>
      </c>
      <c r="H1204" t="s">
        <v>67</v>
      </c>
      <c r="I1204" t="s">
        <v>121</v>
      </c>
      <c r="J1204" t="s">
        <v>122</v>
      </c>
      <c r="K1204">
        <v>0</v>
      </c>
      <c r="L1204" s="84">
        <v>5021218</v>
      </c>
      <c r="M1204" s="84">
        <v>85360706</v>
      </c>
    </row>
    <row r="1205" spans="3:13" hidden="1" x14ac:dyDescent="0.25">
      <c r="C1205" t="s">
        <v>64</v>
      </c>
      <c r="D1205" t="s">
        <v>120</v>
      </c>
      <c r="E1205" t="s">
        <v>63</v>
      </c>
      <c r="F1205" t="s">
        <v>25</v>
      </c>
      <c r="G1205">
        <v>10</v>
      </c>
      <c r="H1205" t="s">
        <v>14</v>
      </c>
      <c r="I1205" t="s">
        <v>121</v>
      </c>
      <c r="J1205" t="s">
        <v>122</v>
      </c>
      <c r="K1205">
        <v>0</v>
      </c>
      <c r="L1205" s="84">
        <v>715916</v>
      </c>
      <c r="M1205" s="84">
        <v>7159160</v>
      </c>
    </row>
    <row r="1206" spans="3:13" hidden="1" x14ac:dyDescent="0.25">
      <c r="C1206" t="s">
        <v>119</v>
      </c>
      <c r="D1206" t="s">
        <v>120</v>
      </c>
      <c r="E1206" t="s">
        <v>60</v>
      </c>
      <c r="F1206" t="s">
        <v>25</v>
      </c>
      <c r="G1206">
        <v>7</v>
      </c>
      <c r="H1206" t="s">
        <v>72</v>
      </c>
      <c r="I1206" t="s">
        <v>121</v>
      </c>
      <c r="J1206" t="s">
        <v>122</v>
      </c>
      <c r="K1206">
        <v>0</v>
      </c>
      <c r="L1206" s="84">
        <v>-2147</v>
      </c>
      <c r="M1206" s="84">
        <v>0</v>
      </c>
    </row>
    <row r="1207" spans="3:13" x14ac:dyDescent="0.25">
      <c r="C1207" t="s">
        <v>64</v>
      </c>
      <c r="D1207" t="s">
        <v>120</v>
      </c>
      <c r="E1207" t="s">
        <v>63</v>
      </c>
      <c r="F1207" t="s">
        <v>25</v>
      </c>
      <c r="G1207">
        <v>10</v>
      </c>
      <c r="H1207" t="s">
        <v>14</v>
      </c>
      <c r="I1207" t="s">
        <v>121</v>
      </c>
      <c r="J1207" t="s">
        <v>66</v>
      </c>
      <c r="K1207">
        <v>1</v>
      </c>
      <c r="L1207" s="84">
        <v>369377</v>
      </c>
      <c r="M1207" s="84">
        <v>3693770</v>
      </c>
    </row>
    <row r="1208" spans="3:13" hidden="1" x14ac:dyDescent="0.25">
      <c r="C1208" t="s">
        <v>64</v>
      </c>
      <c r="D1208" t="s">
        <v>125</v>
      </c>
      <c r="E1208" t="s">
        <v>63</v>
      </c>
      <c r="F1208" t="s">
        <v>24</v>
      </c>
      <c r="G1208">
        <v>25</v>
      </c>
      <c r="I1208" t="s">
        <v>121</v>
      </c>
      <c r="J1208" t="s">
        <v>122</v>
      </c>
      <c r="K1208">
        <v>0</v>
      </c>
      <c r="L1208" s="84">
        <v>46071477</v>
      </c>
      <c r="M1208" s="84">
        <v>1151786925</v>
      </c>
    </row>
    <row r="1209" spans="3:13" hidden="1" x14ac:dyDescent="0.25">
      <c r="C1209" t="s">
        <v>119</v>
      </c>
      <c r="D1209" t="s">
        <v>120</v>
      </c>
      <c r="E1209" t="s">
        <v>60</v>
      </c>
      <c r="F1209" t="s">
        <v>25</v>
      </c>
      <c r="G1209">
        <v>2</v>
      </c>
      <c r="H1209" t="s">
        <v>70</v>
      </c>
      <c r="I1209" t="s">
        <v>121</v>
      </c>
      <c r="J1209" t="s">
        <v>122</v>
      </c>
      <c r="K1209">
        <v>0</v>
      </c>
      <c r="L1209" s="84">
        <v>-57</v>
      </c>
      <c r="M1209" s="84">
        <v>0</v>
      </c>
    </row>
    <row r="1210" spans="3:13" hidden="1" x14ac:dyDescent="0.25">
      <c r="C1210" t="s">
        <v>119</v>
      </c>
      <c r="D1210" t="s">
        <v>120</v>
      </c>
      <c r="E1210" t="s">
        <v>63</v>
      </c>
      <c r="F1210" t="s">
        <v>24</v>
      </c>
      <c r="G1210">
        <v>8</v>
      </c>
      <c r="H1210" t="s">
        <v>14</v>
      </c>
      <c r="I1210" t="s">
        <v>121</v>
      </c>
      <c r="J1210" t="s">
        <v>66</v>
      </c>
      <c r="K1210">
        <v>1</v>
      </c>
      <c r="L1210" s="84">
        <v>98032</v>
      </c>
      <c r="M1210" s="84">
        <v>784256</v>
      </c>
    </row>
    <row r="1211" spans="3:13" hidden="1" x14ac:dyDescent="0.25">
      <c r="C1211" t="s">
        <v>64</v>
      </c>
      <c r="D1211" t="s">
        <v>120</v>
      </c>
      <c r="E1211" t="s">
        <v>60</v>
      </c>
      <c r="F1211" t="s">
        <v>124</v>
      </c>
      <c r="G1211">
        <v>5</v>
      </c>
      <c r="H1211" t="s">
        <v>14</v>
      </c>
      <c r="I1211" t="s">
        <v>121</v>
      </c>
      <c r="J1211" t="s">
        <v>122</v>
      </c>
      <c r="K1211">
        <v>0</v>
      </c>
      <c r="L1211" s="84">
        <v>-791274</v>
      </c>
      <c r="M1211" s="84">
        <v>0</v>
      </c>
    </row>
    <row r="1212" spans="3:13" hidden="1" x14ac:dyDescent="0.25">
      <c r="C1212" t="s">
        <v>65</v>
      </c>
      <c r="D1212" t="s">
        <v>120</v>
      </c>
      <c r="E1212" t="s">
        <v>60</v>
      </c>
      <c r="F1212" t="s">
        <v>124</v>
      </c>
      <c r="G1212">
        <v>-1</v>
      </c>
      <c r="H1212" t="s">
        <v>78</v>
      </c>
      <c r="I1212" t="s">
        <v>121</v>
      </c>
      <c r="J1212" t="s">
        <v>122</v>
      </c>
      <c r="K1212">
        <v>0</v>
      </c>
      <c r="L1212" s="84">
        <v>0</v>
      </c>
      <c r="M1212" s="84">
        <v>0</v>
      </c>
    </row>
    <row r="1213" spans="3:13" hidden="1" x14ac:dyDescent="0.25">
      <c r="C1213" t="s">
        <v>64</v>
      </c>
      <c r="D1213" t="s">
        <v>125</v>
      </c>
      <c r="E1213" t="s">
        <v>63</v>
      </c>
      <c r="F1213" t="s">
        <v>24</v>
      </c>
      <c r="G1213">
        <v>36</v>
      </c>
      <c r="I1213" t="s">
        <v>121</v>
      </c>
      <c r="J1213" t="s">
        <v>122</v>
      </c>
      <c r="K1213">
        <v>0</v>
      </c>
      <c r="L1213" s="84">
        <v>85933281</v>
      </c>
      <c r="M1213" s="84">
        <v>3093598116</v>
      </c>
    </row>
    <row r="1214" spans="3:13" hidden="1" x14ac:dyDescent="0.25">
      <c r="C1214" t="s">
        <v>64</v>
      </c>
      <c r="D1214" t="s">
        <v>120</v>
      </c>
      <c r="E1214" t="s">
        <v>60</v>
      </c>
      <c r="F1214" t="s">
        <v>124</v>
      </c>
      <c r="G1214">
        <v>-1</v>
      </c>
      <c r="H1214" t="s">
        <v>14</v>
      </c>
      <c r="I1214" t="s">
        <v>121</v>
      </c>
      <c r="J1214" t="s">
        <v>66</v>
      </c>
      <c r="K1214">
        <v>1</v>
      </c>
      <c r="L1214" s="84">
        <v>-653790</v>
      </c>
      <c r="M1214" s="84">
        <v>0</v>
      </c>
    </row>
    <row r="1215" spans="3:13" hidden="1" x14ac:dyDescent="0.25">
      <c r="C1215" t="s">
        <v>119</v>
      </c>
      <c r="D1215" t="s">
        <v>120</v>
      </c>
      <c r="E1215" t="s">
        <v>60</v>
      </c>
      <c r="F1215" t="s">
        <v>25</v>
      </c>
      <c r="G1215">
        <v>21</v>
      </c>
      <c r="H1215" t="s">
        <v>72</v>
      </c>
      <c r="I1215" t="s">
        <v>121</v>
      </c>
      <c r="J1215" t="s">
        <v>122</v>
      </c>
      <c r="K1215">
        <v>0</v>
      </c>
      <c r="L1215" s="84">
        <v>-377</v>
      </c>
      <c r="M1215" s="84">
        <v>0</v>
      </c>
    </row>
    <row r="1216" spans="3:13" hidden="1" x14ac:dyDescent="0.25">
      <c r="C1216" t="s">
        <v>64</v>
      </c>
      <c r="D1216" t="s">
        <v>120</v>
      </c>
      <c r="E1216" t="s">
        <v>63</v>
      </c>
      <c r="F1216" t="s">
        <v>124</v>
      </c>
      <c r="G1216">
        <v>4</v>
      </c>
      <c r="H1216" t="s">
        <v>73</v>
      </c>
      <c r="I1216" t="s">
        <v>121</v>
      </c>
      <c r="J1216" t="s">
        <v>122</v>
      </c>
      <c r="K1216">
        <v>0</v>
      </c>
      <c r="L1216" s="84">
        <v>171947</v>
      </c>
      <c r="M1216" s="84">
        <v>687788</v>
      </c>
    </row>
    <row r="1217" spans="3:13" hidden="1" x14ac:dyDescent="0.25">
      <c r="C1217" t="s">
        <v>64</v>
      </c>
      <c r="D1217" t="s">
        <v>120</v>
      </c>
      <c r="E1217" t="s">
        <v>60</v>
      </c>
      <c r="F1217" t="s">
        <v>124</v>
      </c>
      <c r="G1217">
        <v>3</v>
      </c>
      <c r="H1217" t="s">
        <v>12</v>
      </c>
      <c r="I1217" t="s">
        <v>62</v>
      </c>
      <c r="J1217" t="s">
        <v>66</v>
      </c>
      <c r="K1217">
        <v>1</v>
      </c>
      <c r="L1217" s="84">
        <v>-5878</v>
      </c>
      <c r="M1217" s="84">
        <v>0</v>
      </c>
    </row>
    <row r="1218" spans="3:13" hidden="1" x14ac:dyDescent="0.25">
      <c r="C1218" t="s">
        <v>64</v>
      </c>
      <c r="D1218" t="s">
        <v>120</v>
      </c>
      <c r="E1218" t="s">
        <v>63</v>
      </c>
      <c r="F1218" t="s">
        <v>124</v>
      </c>
      <c r="G1218">
        <v>7</v>
      </c>
      <c r="H1218" t="s">
        <v>17</v>
      </c>
      <c r="I1218" t="s">
        <v>121</v>
      </c>
      <c r="J1218" t="s">
        <v>122</v>
      </c>
      <c r="K1218">
        <v>0</v>
      </c>
      <c r="L1218" s="84">
        <v>754248</v>
      </c>
      <c r="M1218" s="84">
        <v>5279736</v>
      </c>
    </row>
    <row r="1219" spans="3:13" hidden="1" x14ac:dyDescent="0.25">
      <c r="C1219" t="s">
        <v>119</v>
      </c>
      <c r="D1219" t="s">
        <v>120</v>
      </c>
      <c r="E1219" t="s">
        <v>63</v>
      </c>
      <c r="F1219" t="s">
        <v>25</v>
      </c>
      <c r="G1219">
        <v>4</v>
      </c>
      <c r="H1219" t="s">
        <v>18</v>
      </c>
      <c r="I1219" t="s">
        <v>121</v>
      </c>
      <c r="J1219" t="s">
        <v>122</v>
      </c>
      <c r="K1219">
        <v>0</v>
      </c>
      <c r="L1219" s="84">
        <v>7149464</v>
      </c>
      <c r="M1219" s="84">
        <v>28597856</v>
      </c>
    </row>
    <row r="1220" spans="3:13" hidden="1" x14ac:dyDescent="0.25">
      <c r="C1220" t="s">
        <v>64</v>
      </c>
      <c r="D1220" t="s">
        <v>120</v>
      </c>
      <c r="E1220" t="s">
        <v>63</v>
      </c>
      <c r="F1220" t="s">
        <v>124</v>
      </c>
      <c r="G1220">
        <v>5</v>
      </c>
      <c r="H1220" t="s">
        <v>71</v>
      </c>
      <c r="I1220" t="s">
        <v>121</v>
      </c>
      <c r="J1220" t="s">
        <v>122</v>
      </c>
      <c r="K1220">
        <v>0</v>
      </c>
      <c r="L1220" s="84">
        <v>1133519</v>
      </c>
      <c r="M1220" s="84">
        <v>5667595</v>
      </c>
    </row>
    <row r="1221" spans="3:13" hidden="1" x14ac:dyDescent="0.25">
      <c r="C1221" t="s">
        <v>64</v>
      </c>
      <c r="D1221" t="s">
        <v>120</v>
      </c>
      <c r="E1221" t="s">
        <v>60</v>
      </c>
      <c r="F1221" t="s">
        <v>25</v>
      </c>
      <c r="G1221">
        <v>13</v>
      </c>
      <c r="H1221" t="s">
        <v>17</v>
      </c>
      <c r="I1221" t="s">
        <v>121</v>
      </c>
      <c r="J1221" t="s">
        <v>122</v>
      </c>
      <c r="K1221">
        <v>0</v>
      </c>
      <c r="L1221" s="84">
        <v>-26542</v>
      </c>
      <c r="M1221" s="84">
        <v>0</v>
      </c>
    </row>
    <row r="1222" spans="3:13" hidden="1" x14ac:dyDescent="0.25">
      <c r="C1222" t="s">
        <v>119</v>
      </c>
      <c r="D1222" t="s">
        <v>126</v>
      </c>
      <c r="E1222" t="s">
        <v>60</v>
      </c>
      <c r="F1222" t="s">
        <v>25</v>
      </c>
      <c r="G1222">
        <v>11</v>
      </c>
      <c r="H1222" t="s">
        <v>68</v>
      </c>
      <c r="I1222" t="s">
        <v>121</v>
      </c>
      <c r="J1222" t="s">
        <v>122</v>
      </c>
      <c r="K1222">
        <v>0</v>
      </c>
      <c r="L1222" s="84">
        <v>-1150</v>
      </c>
      <c r="M1222" s="84">
        <v>0</v>
      </c>
    </row>
    <row r="1223" spans="3:13" hidden="1" x14ac:dyDescent="0.25">
      <c r="C1223" t="s">
        <v>119</v>
      </c>
      <c r="D1223" t="s">
        <v>120</v>
      </c>
      <c r="E1223" t="s">
        <v>63</v>
      </c>
      <c r="F1223" t="s">
        <v>25</v>
      </c>
      <c r="G1223">
        <v>9</v>
      </c>
      <c r="H1223" t="s">
        <v>71</v>
      </c>
      <c r="I1223" t="s">
        <v>121</v>
      </c>
      <c r="J1223" t="s">
        <v>122</v>
      </c>
      <c r="K1223">
        <v>0</v>
      </c>
      <c r="L1223" s="84">
        <v>8816065</v>
      </c>
      <c r="M1223" s="84">
        <v>79344585</v>
      </c>
    </row>
    <row r="1224" spans="3:13" hidden="1" x14ac:dyDescent="0.25">
      <c r="C1224" t="s">
        <v>65</v>
      </c>
      <c r="D1224" t="s">
        <v>120</v>
      </c>
      <c r="E1224" t="s">
        <v>63</v>
      </c>
      <c r="F1224" t="s">
        <v>25</v>
      </c>
      <c r="G1224">
        <v>18</v>
      </c>
      <c r="H1224" t="s">
        <v>76</v>
      </c>
      <c r="I1224" t="s">
        <v>121</v>
      </c>
      <c r="J1224" t="s">
        <v>122</v>
      </c>
      <c r="K1224">
        <v>0</v>
      </c>
      <c r="L1224" s="84">
        <v>2898833</v>
      </c>
      <c r="M1224" s="84">
        <v>52178994</v>
      </c>
    </row>
    <row r="1225" spans="3:13" hidden="1" x14ac:dyDescent="0.25">
      <c r="C1225" t="s">
        <v>119</v>
      </c>
      <c r="D1225" t="s">
        <v>120</v>
      </c>
      <c r="E1225" t="s">
        <v>63</v>
      </c>
      <c r="F1225" t="s">
        <v>25</v>
      </c>
      <c r="G1225">
        <v>-4</v>
      </c>
      <c r="H1225" t="s">
        <v>17</v>
      </c>
      <c r="I1225" t="s">
        <v>121</v>
      </c>
      <c r="J1225" t="s">
        <v>122</v>
      </c>
      <c r="K1225">
        <v>0</v>
      </c>
      <c r="L1225" s="84">
        <v>132516</v>
      </c>
      <c r="M1225" s="84">
        <v>0</v>
      </c>
    </row>
    <row r="1226" spans="3:13" x14ac:dyDescent="0.25">
      <c r="C1226" t="s">
        <v>119</v>
      </c>
      <c r="D1226" t="s">
        <v>120</v>
      </c>
      <c r="E1226" t="s">
        <v>63</v>
      </c>
      <c r="F1226" t="s">
        <v>25</v>
      </c>
      <c r="G1226">
        <v>2</v>
      </c>
      <c r="H1226" t="s">
        <v>14</v>
      </c>
      <c r="I1226" t="s">
        <v>121</v>
      </c>
      <c r="J1226" t="s">
        <v>66</v>
      </c>
      <c r="K1226">
        <v>1</v>
      </c>
      <c r="L1226" s="84">
        <v>643427</v>
      </c>
      <c r="M1226" s="84">
        <v>1286854</v>
      </c>
    </row>
    <row r="1227" spans="3:13" hidden="1" x14ac:dyDescent="0.25">
      <c r="C1227" t="s">
        <v>64</v>
      </c>
      <c r="D1227" t="s">
        <v>120</v>
      </c>
      <c r="E1227" t="s">
        <v>60</v>
      </c>
      <c r="F1227" t="s">
        <v>123</v>
      </c>
      <c r="G1227">
        <v>1</v>
      </c>
      <c r="H1227" t="s">
        <v>12</v>
      </c>
      <c r="I1227" t="s">
        <v>121</v>
      </c>
      <c r="J1227" t="s">
        <v>122</v>
      </c>
      <c r="K1227">
        <v>0</v>
      </c>
      <c r="L1227" s="84">
        <v>-4151</v>
      </c>
      <c r="M1227" s="84">
        <v>0</v>
      </c>
    </row>
    <row r="1228" spans="3:13" hidden="1" x14ac:dyDescent="0.25">
      <c r="C1228" t="s">
        <v>119</v>
      </c>
      <c r="D1228" t="s">
        <v>120</v>
      </c>
      <c r="E1228" t="s">
        <v>63</v>
      </c>
      <c r="F1228" t="s">
        <v>25</v>
      </c>
      <c r="G1228">
        <v>11</v>
      </c>
      <c r="H1228" t="s">
        <v>71</v>
      </c>
      <c r="I1228" t="s">
        <v>121</v>
      </c>
      <c r="J1228" t="s">
        <v>122</v>
      </c>
      <c r="K1228">
        <v>0</v>
      </c>
      <c r="L1228" s="84">
        <v>2248643</v>
      </c>
      <c r="M1228" s="84">
        <v>24735073</v>
      </c>
    </row>
    <row r="1229" spans="3:13" hidden="1" x14ac:dyDescent="0.25">
      <c r="C1229" t="s">
        <v>119</v>
      </c>
      <c r="D1229" t="s">
        <v>120</v>
      </c>
      <c r="E1229" t="s">
        <v>63</v>
      </c>
      <c r="F1229" t="s">
        <v>24</v>
      </c>
      <c r="G1229">
        <v>15</v>
      </c>
      <c r="H1229" t="s">
        <v>72</v>
      </c>
      <c r="I1229" t="s">
        <v>121</v>
      </c>
      <c r="J1229" t="s">
        <v>122</v>
      </c>
      <c r="K1229">
        <v>0</v>
      </c>
      <c r="L1229" s="84">
        <v>1301744</v>
      </c>
      <c r="M1229" s="84">
        <v>19526160</v>
      </c>
    </row>
    <row r="1230" spans="3:13" hidden="1" x14ac:dyDescent="0.25">
      <c r="C1230" t="s">
        <v>65</v>
      </c>
      <c r="D1230" t="s">
        <v>120</v>
      </c>
      <c r="E1230" t="s">
        <v>60</v>
      </c>
      <c r="F1230" t="s">
        <v>123</v>
      </c>
      <c r="G1230">
        <v>-4</v>
      </c>
      <c r="H1230" t="s">
        <v>14</v>
      </c>
      <c r="I1230" t="s">
        <v>121</v>
      </c>
      <c r="J1230" t="s">
        <v>122</v>
      </c>
      <c r="K1230">
        <v>0</v>
      </c>
      <c r="L1230" s="84">
        <v>-883422</v>
      </c>
      <c r="M1230" s="84">
        <v>0</v>
      </c>
    </row>
    <row r="1231" spans="3:13" x14ac:dyDescent="0.25">
      <c r="C1231" t="s">
        <v>119</v>
      </c>
      <c r="D1231" t="s">
        <v>120</v>
      </c>
      <c r="E1231" t="s">
        <v>63</v>
      </c>
      <c r="F1231" t="s">
        <v>25</v>
      </c>
      <c r="G1231">
        <v>5</v>
      </c>
      <c r="H1231" t="s">
        <v>18</v>
      </c>
      <c r="I1231" t="s">
        <v>121</v>
      </c>
      <c r="J1231" t="s">
        <v>66</v>
      </c>
      <c r="K1231">
        <v>1</v>
      </c>
      <c r="L1231" s="84">
        <v>171617</v>
      </c>
      <c r="M1231" s="84">
        <v>858085</v>
      </c>
    </row>
    <row r="1232" spans="3:13" hidden="1" x14ac:dyDescent="0.25">
      <c r="C1232" t="s">
        <v>119</v>
      </c>
      <c r="D1232" t="s">
        <v>125</v>
      </c>
      <c r="E1232" t="s">
        <v>63</v>
      </c>
      <c r="F1232" t="s">
        <v>24</v>
      </c>
      <c r="G1232">
        <v>38</v>
      </c>
      <c r="I1232" t="s">
        <v>121</v>
      </c>
      <c r="J1232" t="s">
        <v>122</v>
      </c>
      <c r="K1232">
        <v>0</v>
      </c>
      <c r="L1232" s="84">
        <v>273596120</v>
      </c>
      <c r="M1232" s="84">
        <v>10396652560</v>
      </c>
    </row>
    <row r="1233" spans="3:13" hidden="1" x14ac:dyDescent="0.25">
      <c r="C1233" t="s">
        <v>64</v>
      </c>
      <c r="D1233" t="s">
        <v>125</v>
      </c>
      <c r="E1233" t="s">
        <v>60</v>
      </c>
      <c r="F1233" t="s">
        <v>25</v>
      </c>
      <c r="G1233">
        <v>15</v>
      </c>
      <c r="I1233" t="s">
        <v>121</v>
      </c>
      <c r="J1233" t="s">
        <v>122</v>
      </c>
      <c r="K1233">
        <v>0</v>
      </c>
      <c r="L1233" s="84">
        <v>-488</v>
      </c>
      <c r="M1233" s="84">
        <v>0</v>
      </c>
    </row>
    <row r="1234" spans="3:13" hidden="1" x14ac:dyDescent="0.25">
      <c r="C1234" t="s">
        <v>119</v>
      </c>
      <c r="D1234" t="s">
        <v>120</v>
      </c>
      <c r="E1234" t="s">
        <v>63</v>
      </c>
      <c r="F1234" t="s">
        <v>124</v>
      </c>
      <c r="G1234">
        <v>-1</v>
      </c>
      <c r="H1234" t="s">
        <v>75</v>
      </c>
      <c r="I1234" t="s">
        <v>62</v>
      </c>
      <c r="J1234" t="s">
        <v>122</v>
      </c>
      <c r="K1234">
        <v>1</v>
      </c>
      <c r="L1234" s="84">
        <v>10011</v>
      </c>
      <c r="M1234" s="84">
        <v>0</v>
      </c>
    </row>
    <row r="1235" spans="3:13" hidden="1" x14ac:dyDescent="0.25">
      <c r="C1235" t="s">
        <v>65</v>
      </c>
      <c r="D1235" t="s">
        <v>120</v>
      </c>
      <c r="E1235" t="s">
        <v>60</v>
      </c>
      <c r="F1235" t="s">
        <v>124</v>
      </c>
      <c r="G1235">
        <v>15</v>
      </c>
      <c r="H1235" t="s">
        <v>12</v>
      </c>
      <c r="I1235" t="s">
        <v>121</v>
      </c>
      <c r="J1235" t="s">
        <v>122</v>
      </c>
      <c r="K1235">
        <v>0</v>
      </c>
      <c r="L1235" s="84">
        <v>-27194</v>
      </c>
      <c r="M1235" s="84">
        <v>0</v>
      </c>
    </row>
    <row r="1236" spans="3:13" hidden="1" x14ac:dyDescent="0.25">
      <c r="C1236" t="s">
        <v>119</v>
      </c>
      <c r="D1236" t="s">
        <v>120</v>
      </c>
      <c r="E1236" t="s">
        <v>60</v>
      </c>
      <c r="F1236" t="s">
        <v>123</v>
      </c>
      <c r="G1236">
        <v>-4</v>
      </c>
      <c r="H1236" t="s">
        <v>14</v>
      </c>
      <c r="I1236" t="s">
        <v>121</v>
      </c>
      <c r="J1236" t="s">
        <v>66</v>
      </c>
      <c r="K1236">
        <v>1</v>
      </c>
      <c r="L1236" s="84">
        <v>-4</v>
      </c>
      <c r="M1236" s="84">
        <v>0</v>
      </c>
    </row>
    <row r="1237" spans="3:13" hidden="1" x14ac:dyDescent="0.25">
      <c r="C1237" t="s">
        <v>119</v>
      </c>
      <c r="D1237" t="s">
        <v>120</v>
      </c>
      <c r="E1237" t="s">
        <v>63</v>
      </c>
      <c r="F1237" t="s">
        <v>123</v>
      </c>
      <c r="G1237">
        <v>4</v>
      </c>
      <c r="H1237" t="s">
        <v>18</v>
      </c>
      <c r="I1237" t="s">
        <v>121</v>
      </c>
      <c r="J1237" t="s">
        <v>122</v>
      </c>
      <c r="K1237">
        <v>0</v>
      </c>
      <c r="L1237" s="84">
        <v>9287763</v>
      </c>
      <c r="M1237" s="84">
        <v>37151052</v>
      </c>
    </row>
    <row r="1238" spans="3:13" hidden="1" x14ac:dyDescent="0.25">
      <c r="C1238" t="s">
        <v>65</v>
      </c>
      <c r="D1238" t="s">
        <v>120</v>
      </c>
      <c r="E1238" t="s">
        <v>63</v>
      </c>
      <c r="F1238" t="s">
        <v>25</v>
      </c>
      <c r="G1238">
        <v>0</v>
      </c>
      <c r="H1238" t="s">
        <v>68</v>
      </c>
      <c r="I1238" t="s">
        <v>121</v>
      </c>
      <c r="J1238" t="s">
        <v>122</v>
      </c>
      <c r="K1238">
        <v>0</v>
      </c>
      <c r="L1238" s="84">
        <v>258531</v>
      </c>
      <c r="M1238" s="84">
        <v>0</v>
      </c>
    </row>
    <row r="1239" spans="3:13" hidden="1" x14ac:dyDescent="0.25">
      <c r="C1239" t="s">
        <v>65</v>
      </c>
      <c r="D1239" t="s">
        <v>120</v>
      </c>
      <c r="E1239" t="s">
        <v>60</v>
      </c>
      <c r="F1239" t="s">
        <v>123</v>
      </c>
      <c r="G1239">
        <v>2</v>
      </c>
      <c r="H1239" t="s">
        <v>67</v>
      </c>
      <c r="I1239" t="s">
        <v>121</v>
      </c>
      <c r="J1239" t="s">
        <v>122</v>
      </c>
      <c r="K1239">
        <v>0</v>
      </c>
      <c r="L1239" s="84">
        <v>-9271</v>
      </c>
      <c r="M1239" s="84">
        <v>0</v>
      </c>
    </row>
    <row r="1240" spans="3:13" hidden="1" x14ac:dyDescent="0.25">
      <c r="C1240" t="s">
        <v>119</v>
      </c>
      <c r="D1240" t="s">
        <v>120</v>
      </c>
      <c r="E1240" t="s">
        <v>63</v>
      </c>
      <c r="F1240" t="s">
        <v>24</v>
      </c>
      <c r="G1240">
        <v>12</v>
      </c>
      <c r="H1240" t="s">
        <v>69</v>
      </c>
      <c r="I1240" t="s">
        <v>121</v>
      </c>
      <c r="J1240" t="s">
        <v>122</v>
      </c>
      <c r="K1240">
        <v>0</v>
      </c>
      <c r="L1240" s="84">
        <v>41007333</v>
      </c>
      <c r="M1240" s="84">
        <v>492087996</v>
      </c>
    </row>
    <row r="1241" spans="3:13" hidden="1" x14ac:dyDescent="0.25">
      <c r="C1241" t="s">
        <v>64</v>
      </c>
      <c r="D1241" t="s">
        <v>125</v>
      </c>
      <c r="E1241" t="s">
        <v>63</v>
      </c>
      <c r="F1241" t="s">
        <v>25</v>
      </c>
      <c r="G1241">
        <v>5</v>
      </c>
      <c r="I1241" t="s">
        <v>121</v>
      </c>
      <c r="J1241" t="s">
        <v>122</v>
      </c>
      <c r="K1241">
        <v>0</v>
      </c>
      <c r="L1241" s="84">
        <v>519466</v>
      </c>
      <c r="M1241" s="84">
        <v>2597330</v>
      </c>
    </row>
    <row r="1242" spans="3:13" hidden="1" x14ac:dyDescent="0.25">
      <c r="C1242" t="s">
        <v>65</v>
      </c>
      <c r="D1242" t="s">
        <v>120</v>
      </c>
      <c r="E1242" t="s">
        <v>60</v>
      </c>
      <c r="F1242" t="s">
        <v>124</v>
      </c>
      <c r="G1242">
        <v>0</v>
      </c>
      <c r="H1242" t="s">
        <v>70</v>
      </c>
      <c r="I1242" t="s">
        <v>121</v>
      </c>
      <c r="J1242" t="s">
        <v>122</v>
      </c>
      <c r="K1242">
        <v>0</v>
      </c>
      <c r="L1242" s="84">
        <v>-289981</v>
      </c>
      <c r="M1242" s="84">
        <v>0</v>
      </c>
    </row>
    <row r="1243" spans="3:13" hidden="1" x14ac:dyDescent="0.25">
      <c r="D1243" t="s">
        <v>120</v>
      </c>
      <c r="E1243" t="s">
        <v>63</v>
      </c>
      <c r="G1243">
        <v>-3</v>
      </c>
      <c r="H1243" t="s">
        <v>73</v>
      </c>
      <c r="I1243" t="s">
        <v>121</v>
      </c>
      <c r="J1243" t="s">
        <v>122</v>
      </c>
      <c r="K1243">
        <v>0</v>
      </c>
      <c r="L1243" s="84">
        <v>22684</v>
      </c>
      <c r="M1243" s="84">
        <v>0</v>
      </c>
    </row>
    <row r="1244" spans="3:13" hidden="1" x14ac:dyDescent="0.25">
      <c r="C1244" t="s">
        <v>119</v>
      </c>
      <c r="D1244" t="s">
        <v>128</v>
      </c>
      <c r="E1244" t="s">
        <v>63</v>
      </c>
      <c r="F1244" t="s">
        <v>25</v>
      </c>
      <c r="G1244">
        <v>-4</v>
      </c>
      <c r="H1244" t="s">
        <v>74</v>
      </c>
      <c r="I1244" t="s">
        <v>121</v>
      </c>
      <c r="J1244" t="s">
        <v>122</v>
      </c>
      <c r="K1244">
        <v>0</v>
      </c>
      <c r="L1244" s="84">
        <v>29</v>
      </c>
      <c r="M1244" s="84">
        <v>0</v>
      </c>
    </row>
    <row r="1245" spans="3:13" hidden="1" x14ac:dyDescent="0.25">
      <c r="C1245" t="s">
        <v>64</v>
      </c>
      <c r="D1245" t="s">
        <v>120</v>
      </c>
      <c r="E1245" t="s">
        <v>63</v>
      </c>
      <c r="F1245" t="s">
        <v>123</v>
      </c>
      <c r="G1245">
        <v>0</v>
      </c>
      <c r="H1245" t="s">
        <v>14</v>
      </c>
      <c r="I1245" t="s">
        <v>121</v>
      </c>
      <c r="J1245" t="s">
        <v>122</v>
      </c>
      <c r="K1245">
        <v>0</v>
      </c>
      <c r="L1245" s="84">
        <v>174404</v>
      </c>
      <c r="M1245" s="84">
        <v>0</v>
      </c>
    </row>
    <row r="1246" spans="3:13" hidden="1" x14ac:dyDescent="0.25">
      <c r="C1246" t="s">
        <v>65</v>
      </c>
      <c r="D1246" t="s">
        <v>120</v>
      </c>
      <c r="E1246" t="s">
        <v>60</v>
      </c>
      <c r="F1246" t="s">
        <v>124</v>
      </c>
      <c r="G1246">
        <v>16</v>
      </c>
      <c r="H1246" t="s">
        <v>75</v>
      </c>
      <c r="I1246" t="s">
        <v>121</v>
      </c>
      <c r="J1246" t="s">
        <v>122</v>
      </c>
      <c r="K1246">
        <v>0</v>
      </c>
      <c r="L1246" s="84">
        <v>-78301</v>
      </c>
      <c r="M1246" s="84">
        <v>0</v>
      </c>
    </row>
    <row r="1247" spans="3:13" hidden="1" x14ac:dyDescent="0.25">
      <c r="C1247" t="s">
        <v>64</v>
      </c>
      <c r="D1247" t="s">
        <v>120</v>
      </c>
      <c r="E1247" t="s">
        <v>63</v>
      </c>
      <c r="F1247" t="s">
        <v>123</v>
      </c>
      <c r="G1247">
        <v>3</v>
      </c>
      <c r="H1247" t="s">
        <v>13</v>
      </c>
      <c r="I1247" t="s">
        <v>121</v>
      </c>
      <c r="J1247" t="s">
        <v>122</v>
      </c>
      <c r="K1247">
        <v>0</v>
      </c>
      <c r="L1247" s="84">
        <v>149623</v>
      </c>
      <c r="M1247" s="84">
        <v>448869</v>
      </c>
    </row>
    <row r="1248" spans="3:13" hidden="1" x14ac:dyDescent="0.25">
      <c r="C1248" t="s">
        <v>119</v>
      </c>
      <c r="D1248" t="s">
        <v>120</v>
      </c>
      <c r="E1248" t="s">
        <v>60</v>
      </c>
      <c r="F1248" t="s">
        <v>25</v>
      </c>
      <c r="G1248">
        <v>14</v>
      </c>
      <c r="H1248" t="s">
        <v>17</v>
      </c>
      <c r="I1248" t="s">
        <v>121</v>
      </c>
      <c r="J1248" t="s">
        <v>66</v>
      </c>
      <c r="K1248">
        <v>1</v>
      </c>
      <c r="L1248" s="84">
        <v>-182</v>
      </c>
      <c r="M1248" s="84">
        <v>0</v>
      </c>
    </row>
    <row r="1249" spans="3:13" hidden="1" x14ac:dyDescent="0.25">
      <c r="C1249" t="s">
        <v>119</v>
      </c>
      <c r="D1249" t="s">
        <v>120</v>
      </c>
      <c r="E1249" t="s">
        <v>60</v>
      </c>
      <c r="F1249" t="s">
        <v>24</v>
      </c>
      <c r="G1249">
        <v>0</v>
      </c>
      <c r="H1249" t="s">
        <v>71</v>
      </c>
      <c r="I1249" t="s">
        <v>121</v>
      </c>
      <c r="J1249" t="s">
        <v>122</v>
      </c>
      <c r="K1249">
        <v>0</v>
      </c>
      <c r="L1249" s="84">
        <v>-2</v>
      </c>
      <c r="M1249" s="84">
        <v>0</v>
      </c>
    </row>
    <row r="1250" spans="3:13" hidden="1" x14ac:dyDescent="0.25">
      <c r="C1250" t="s">
        <v>64</v>
      </c>
      <c r="D1250" t="s">
        <v>120</v>
      </c>
      <c r="E1250" t="s">
        <v>63</v>
      </c>
      <c r="F1250" t="s">
        <v>124</v>
      </c>
      <c r="G1250">
        <v>2</v>
      </c>
      <c r="H1250" t="s">
        <v>12</v>
      </c>
      <c r="I1250" t="s">
        <v>62</v>
      </c>
      <c r="J1250" t="s">
        <v>66</v>
      </c>
      <c r="K1250">
        <v>1</v>
      </c>
      <c r="L1250" s="84">
        <v>157470</v>
      </c>
      <c r="M1250" s="84">
        <v>314940</v>
      </c>
    </row>
    <row r="1251" spans="3:13" hidden="1" x14ac:dyDescent="0.25">
      <c r="C1251" t="s">
        <v>64</v>
      </c>
      <c r="D1251" t="s">
        <v>120</v>
      </c>
      <c r="E1251" t="s">
        <v>63</v>
      </c>
      <c r="F1251" t="s">
        <v>25</v>
      </c>
      <c r="G1251">
        <v>1</v>
      </c>
      <c r="H1251" t="s">
        <v>18</v>
      </c>
      <c r="I1251" t="s">
        <v>121</v>
      </c>
      <c r="J1251" t="s">
        <v>122</v>
      </c>
      <c r="K1251">
        <v>0</v>
      </c>
      <c r="L1251" s="84">
        <v>438719</v>
      </c>
      <c r="M1251" s="84">
        <v>438719</v>
      </c>
    </row>
    <row r="1252" spans="3:13" hidden="1" x14ac:dyDescent="0.25">
      <c r="C1252" t="s">
        <v>119</v>
      </c>
      <c r="D1252" t="s">
        <v>120</v>
      </c>
      <c r="E1252" t="s">
        <v>60</v>
      </c>
      <c r="F1252" t="s">
        <v>24</v>
      </c>
      <c r="G1252">
        <v>8</v>
      </c>
      <c r="H1252" t="s">
        <v>68</v>
      </c>
      <c r="I1252" t="s">
        <v>121</v>
      </c>
      <c r="J1252" t="s">
        <v>122</v>
      </c>
      <c r="K1252">
        <v>0</v>
      </c>
      <c r="L1252" s="84">
        <v>-18730</v>
      </c>
      <c r="M1252" s="84">
        <v>0</v>
      </c>
    </row>
    <row r="1253" spans="3:13" hidden="1" x14ac:dyDescent="0.25">
      <c r="C1253" t="s">
        <v>65</v>
      </c>
      <c r="D1253" t="s">
        <v>120</v>
      </c>
      <c r="E1253" t="s">
        <v>63</v>
      </c>
      <c r="F1253" t="s">
        <v>124</v>
      </c>
      <c r="G1253">
        <v>13</v>
      </c>
      <c r="H1253" t="s">
        <v>14</v>
      </c>
      <c r="I1253" t="s">
        <v>121</v>
      </c>
      <c r="J1253" t="s">
        <v>66</v>
      </c>
      <c r="K1253">
        <v>1</v>
      </c>
      <c r="L1253" s="84">
        <v>1328335</v>
      </c>
      <c r="M1253" s="84">
        <v>17268355</v>
      </c>
    </row>
    <row r="1254" spans="3:13" hidden="1" x14ac:dyDescent="0.25">
      <c r="C1254" t="s">
        <v>64</v>
      </c>
      <c r="D1254" t="s">
        <v>120</v>
      </c>
      <c r="E1254" t="s">
        <v>63</v>
      </c>
      <c r="F1254" t="s">
        <v>24</v>
      </c>
      <c r="G1254">
        <v>12</v>
      </c>
      <c r="H1254" t="s">
        <v>72</v>
      </c>
      <c r="I1254" t="s">
        <v>121</v>
      </c>
      <c r="J1254" t="s">
        <v>122</v>
      </c>
      <c r="K1254">
        <v>0</v>
      </c>
      <c r="L1254" s="84">
        <v>852659</v>
      </c>
      <c r="M1254" s="84">
        <v>10231908</v>
      </c>
    </row>
    <row r="1255" spans="3:13" hidden="1" x14ac:dyDescent="0.25">
      <c r="C1255" t="s">
        <v>119</v>
      </c>
      <c r="D1255" t="s">
        <v>120</v>
      </c>
      <c r="E1255" t="s">
        <v>63</v>
      </c>
      <c r="F1255" t="s">
        <v>123</v>
      </c>
      <c r="G1255">
        <v>6</v>
      </c>
      <c r="H1255" t="s">
        <v>17</v>
      </c>
      <c r="I1255" t="s">
        <v>121</v>
      </c>
      <c r="J1255" t="s">
        <v>66</v>
      </c>
      <c r="K1255">
        <v>1</v>
      </c>
      <c r="L1255" s="84">
        <v>19601</v>
      </c>
      <c r="M1255" s="84">
        <v>117606</v>
      </c>
    </row>
    <row r="1256" spans="3:13" hidden="1" x14ac:dyDescent="0.25">
      <c r="C1256" t="s">
        <v>119</v>
      </c>
      <c r="D1256" t="s">
        <v>125</v>
      </c>
      <c r="E1256" t="s">
        <v>60</v>
      </c>
      <c r="F1256" t="s">
        <v>24</v>
      </c>
      <c r="G1256">
        <v>21</v>
      </c>
      <c r="I1256" t="s">
        <v>121</v>
      </c>
      <c r="J1256" t="s">
        <v>122</v>
      </c>
      <c r="K1256">
        <v>0</v>
      </c>
      <c r="L1256" s="84">
        <v>-375382</v>
      </c>
      <c r="M1256" s="84">
        <v>0</v>
      </c>
    </row>
    <row r="1257" spans="3:13" hidden="1" x14ac:dyDescent="0.25">
      <c r="C1257" t="s">
        <v>65</v>
      </c>
      <c r="D1257" t="s">
        <v>120</v>
      </c>
      <c r="E1257" t="s">
        <v>60</v>
      </c>
      <c r="F1257" t="s">
        <v>124</v>
      </c>
      <c r="G1257">
        <v>1</v>
      </c>
      <c r="H1257" t="s">
        <v>12</v>
      </c>
      <c r="I1257" t="s">
        <v>121</v>
      </c>
      <c r="J1257" t="s">
        <v>122</v>
      </c>
      <c r="K1257">
        <v>0</v>
      </c>
      <c r="L1257" s="84">
        <v>-160388</v>
      </c>
      <c r="M1257" s="84">
        <v>0</v>
      </c>
    </row>
    <row r="1258" spans="3:13" hidden="1" x14ac:dyDescent="0.25">
      <c r="C1258" t="s">
        <v>119</v>
      </c>
      <c r="D1258" t="s">
        <v>120</v>
      </c>
      <c r="E1258" t="s">
        <v>60</v>
      </c>
      <c r="F1258" t="s">
        <v>124</v>
      </c>
      <c r="G1258">
        <v>2</v>
      </c>
      <c r="H1258" t="s">
        <v>72</v>
      </c>
      <c r="I1258" t="s">
        <v>121</v>
      </c>
      <c r="J1258" t="s">
        <v>122</v>
      </c>
      <c r="K1258">
        <v>0</v>
      </c>
      <c r="L1258" s="84">
        <v>-45029</v>
      </c>
      <c r="M1258" s="84">
        <v>0</v>
      </c>
    </row>
    <row r="1259" spans="3:13" hidden="1" x14ac:dyDescent="0.25">
      <c r="C1259" t="s">
        <v>64</v>
      </c>
      <c r="D1259" t="s">
        <v>120</v>
      </c>
      <c r="E1259" t="s">
        <v>63</v>
      </c>
      <c r="F1259" t="s">
        <v>25</v>
      </c>
      <c r="G1259">
        <v>8</v>
      </c>
      <c r="H1259" t="s">
        <v>14</v>
      </c>
      <c r="I1259" t="s">
        <v>121</v>
      </c>
      <c r="J1259" t="s">
        <v>122</v>
      </c>
      <c r="K1259">
        <v>0</v>
      </c>
      <c r="L1259" s="84">
        <v>1412035</v>
      </c>
      <c r="M1259" s="84">
        <v>11296280</v>
      </c>
    </row>
    <row r="1260" spans="3:13" hidden="1" x14ac:dyDescent="0.25">
      <c r="C1260" t="s">
        <v>119</v>
      </c>
      <c r="D1260" t="s">
        <v>120</v>
      </c>
      <c r="E1260" t="s">
        <v>63</v>
      </c>
      <c r="F1260" t="s">
        <v>25</v>
      </c>
      <c r="G1260">
        <v>9</v>
      </c>
      <c r="H1260" t="s">
        <v>61</v>
      </c>
      <c r="I1260" t="s">
        <v>121</v>
      </c>
      <c r="J1260" t="s">
        <v>122</v>
      </c>
      <c r="K1260">
        <v>0</v>
      </c>
      <c r="L1260" s="84">
        <v>369994</v>
      </c>
      <c r="M1260" s="84">
        <v>3329946</v>
      </c>
    </row>
    <row r="1261" spans="3:13" x14ac:dyDescent="0.25">
      <c r="C1261" t="s">
        <v>64</v>
      </c>
      <c r="D1261" t="s">
        <v>120</v>
      </c>
      <c r="E1261" t="s">
        <v>63</v>
      </c>
      <c r="F1261" t="s">
        <v>25</v>
      </c>
      <c r="G1261">
        <v>8</v>
      </c>
      <c r="H1261" t="s">
        <v>14</v>
      </c>
      <c r="I1261" t="s">
        <v>121</v>
      </c>
      <c r="J1261" t="s">
        <v>66</v>
      </c>
      <c r="K1261">
        <v>1</v>
      </c>
      <c r="L1261" s="84">
        <v>1434687</v>
      </c>
      <c r="M1261" s="84">
        <v>11477496</v>
      </c>
    </row>
    <row r="1262" spans="3:13" hidden="1" x14ac:dyDescent="0.25">
      <c r="C1262" t="s">
        <v>119</v>
      </c>
      <c r="D1262" t="s">
        <v>120</v>
      </c>
      <c r="E1262" t="s">
        <v>63</v>
      </c>
      <c r="F1262" t="s">
        <v>124</v>
      </c>
      <c r="G1262">
        <v>1</v>
      </c>
      <c r="H1262" t="s">
        <v>71</v>
      </c>
      <c r="I1262" t="s">
        <v>121</v>
      </c>
      <c r="J1262" t="s">
        <v>122</v>
      </c>
      <c r="K1262">
        <v>0</v>
      </c>
      <c r="L1262" s="84">
        <v>3656372</v>
      </c>
      <c r="M1262" s="84">
        <v>3656372</v>
      </c>
    </row>
    <row r="1263" spans="3:13" hidden="1" x14ac:dyDescent="0.25">
      <c r="C1263" t="s">
        <v>65</v>
      </c>
      <c r="D1263" t="s">
        <v>120</v>
      </c>
      <c r="E1263" t="s">
        <v>60</v>
      </c>
      <c r="F1263" t="s">
        <v>123</v>
      </c>
      <c r="G1263">
        <v>0</v>
      </c>
      <c r="H1263" t="s">
        <v>18</v>
      </c>
      <c r="I1263" t="s">
        <v>121</v>
      </c>
      <c r="J1263" t="s">
        <v>122</v>
      </c>
      <c r="K1263">
        <v>0</v>
      </c>
      <c r="L1263" s="84">
        <v>-41336</v>
      </c>
      <c r="M1263" s="84">
        <v>0</v>
      </c>
    </row>
    <row r="1264" spans="3:13" hidden="1" x14ac:dyDescent="0.25">
      <c r="C1264" t="s">
        <v>119</v>
      </c>
      <c r="D1264" t="s">
        <v>120</v>
      </c>
      <c r="E1264" t="s">
        <v>60</v>
      </c>
      <c r="F1264" t="s">
        <v>24</v>
      </c>
      <c r="G1264">
        <v>-1</v>
      </c>
      <c r="H1264" t="s">
        <v>67</v>
      </c>
      <c r="I1264" t="s">
        <v>121</v>
      </c>
      <c r="J1264" t="s">
        <v>122</v>
      </c>
      <c r="K1264">
        <v>0</v>
      </c>
      <c r="L1264" s="84">
        <v>-2457</v>
      </c>
      <c r="M1264" s="84">
        <v>0</v>
      </c>
    </row>
    <row r="1265" spans="3:13" hidden="1" x14ac:dyDescent="0.25">
      <c r="C1265" t="s">
        <v>119</v>
      </c>
      <c r="D1265" t="s">
        <v>120</v>
      </c>
      <c r="E1265" t="s">
        <v>60</v>
      </c>
      <c r="F1265" t="s">
        <v>124</v>
      </c>
      <c r="G1265">
        <v>-1</v>
      </c>
      <c r="H1265" t="s">
        <v>69</v>
      </c>
      <c r="I1265" t="s">
        <v>121</v>
      </c>
      <c r="J1265" t="s">
        <v>122</v>
      </c>
      <c r="K1265">
        <v>0</v>
      </c>
      <c r="L1265" s="84">
        <v>-162914</v>
      </c>
      <c r="M1265" s="84">
        <v>0</v>
      </c>
    </row>
    <row r="1266" spans="3:13" hidden="1" x14ac:dyDescent="0.25">
      <c r="C1266" t="s">
        <v>119</v>
      </c>
      <c r="D1266" t="s">
        <v>120</v>
      </c>
      <c r="E1266" t="s">
        <v>60</v>
      </c>
      <c r="F1266" t="s">
        <v>24</v>
      </c>
      <c r="G1266">
        <v>7</v>
      </c>
      <c r="H1266" t="s">
        <v>69</v>
      </c>
      <c r="I1266" t="s">
        <v>121</v>
      </c>
      <c r="J1266" t="s">
        <v>122</v>
      </c>
      <c r="K1266">
        <v>0</v>
      </c>
      <c r="L1266" s="84">
        <v>-5558</v>
      </c>
      <c r="M1266" s="84">
        <v>0</v>
      </c>
    </row>
    <row r="1267" spans="3:13" hidden="1" x14ac:dyDescent="0.25">
      <c r="C1267" t="s">
        <v>119</v>
      </c>
      <c r="D1267" t="s">
        <v>125</v>
      </c>
      <c r="E1267" t="s">
        <v>63</v>
      </c>
      <c r="F1267" t="s">
        <v>24</v>
      </c>
      <c r="G1267">
        <v>24</v>
      </c>
      <c r="I1267" t="s">
        <v>121</v>
      </c>
      <c r="J1267" t="s">
        <v>122</v>
      </c>
      <c r="K1267">
        <v>0</v>
      </c>
      <c r="L1267" s="84">
        <v>727339863</v>
      </c>
      <c r="M1267" s="84">
        <v>17456156712</v>
      </c>
    </row>
    <row r="1268" spans="3:13" hidden="1" x14ac:dyDescent="0.25">
      <c r="C1268" t="s">
        <v>64</v>
      </c>
      <c r="D1268" t="s">
        <v>120</v>
      </c>
      <c r="E1268" t="s">
        <v>63</v>
      </c>
      <c r="F1268" t="s">
        <v>124</v>
      </c>
      <c r="G1268">
        <v>4</v>
      </c>
      <c r="H1268" t="s">
        <v>67</v>
      </c>
      <c r="I1268" t="s">
        <v>121</v>
      </c>
      <c r="J1268" t="s">
        <v>122</v>
      </c>
      <c r="K1268">
        <v>0</v>
      </c>
      <c r="L1268" s="84">
        <v>12941706</v>
      </c>
      <c r="M1268" s="84">
        <v>51766824</v>
      </c>
    </row>
    <row r="1269" spans="3:13" hidden="1" x14ac:dyDescent="0.25">
      <c r="C1269" t="s">
        <v>64</v>
      </c>
      <c r="D1269" t="s">
        <v>120</v>
      </c>
      <c r="E1269" t="s">
        <v>63</v>
      </c>
      <c r="F1269" t="s">
        <v>24</v>
      </c>
      <c r="G1269">
        <v>15</v>
      </c>
      <c r="H1269" t="s">
        <v>69</v>
      </c>
      <c r="I1269" t="s">
        <v>121</v>
      </c>
      <c r="J1269" t="s">
        <v>122</v>
      </c>
      <c r="K1269">
        <v>0</v>
      </c>
      <c r="L1269" s="84">
        <v>144568</v>
      </c>
      <c r="M1269" s="84">
        <v>2168520</v>
      </c>
    </row>
    <row r="1270" spans="3:13" hidden="1" x14ac:dyDescent="0.25">
      <c r="C1270" t="s">
        <v>119</v>
      </c>
      <c r="D1270" t="s">
        <v>120</v>
      </c>
      <c r="E1270" t="s">
        <v>60</v>
      </c>
      <c r="F1270" t="s">
        <v>25</v>
      </c>
      <c r="G1270">
        <v>0</v>
      </c>
      <c r="H1270" t="s">
        <v>16</v>
      </c>
      <c r="I1270" t="s">
        <v>121</v>
      </c>
      <c r="J1270" t="s">
        <v>122</v>
      </c>
      <c r="K1270">
        <v>0</v>
      </c>
      <c r="L1270" s="84">
        <v>-1</v>
      </c>
      <c r="M1270" s="84">
        <v>0</v>
      </c>
    </row>
    <row r="1271" spans="3:13" hidden="1" x14ac:dyDescent="0.25">
      <c r="C1271" t="s">
        <v>65</v>
      </c>
      <c r="D1271" t="s">
        <v>125</v>
      </c>
      <c r="E1271" t="s">
        <v>60</v>
      </c>
      <c r="F1271" t="s">
        <v>25</v>
      </c>
      <c r="G1271">
        <v>11</v>
      </c>
      <c r="I1271" t="s">
        <v>121</v>
      </c>
      <c r="J1271" t="s">
        <v>122</v>
      </c>
      <c r="K1271">
        <v>0</v>
      </c>
      <c r="L1271" s="84">
        <v>-11927</v>
      </c>
      <c r="M1271" s="84">
        <v>0</v>
      </c>
    </row>
    <row r="1272" spans="3:13" hidden="1" x14ac:dyDescent="0.25">
      <c r="C1272" t="s">
        <v>65</v>
      </c>
      <c r="D1272" t="s">
        <v>120</v>
      </c>
      <c r="E1272" t="s">
        <v>60</v>
      </c>
      <c r="F1272" t="s">
        <v>124</v>
      </c>
      <c r="G1272">
        <v>2</v>
      </c>
      <c r="H1272" t="s">
        <v>17</v>
      </c>
      <c r="I1272" t="s">
        <v>62</v>
      </c>
      <c r="J1272" t="s">
        <v>66</v>
      </c>
      <c r="K1272">
        <v>1</v>
      </c>
      <c r="L1272" s="84">
        <v>-31258</v>
      </c>
      <c r="M1272" s="84">
        <v>0</v>
      </c>
    </row>
    <row r="1273" spans="3:13" hidden="1" x14ac:dyDescent="0.25">
      <c r="C1273" t="s">
        <v>119</v>
      </c>
      <c r="D1273" t="s">
        <v>126</v>
      </c>
      <c r="E1273" t="s">
        <v>60</v>
      </c>
      <c r="F1273" t="s">
        <v>25</v>
      </c>
      <c r="G1273">
        <v>-1</v>
      </c>
      <c r="H1273" t="s">
        <v>74</v>
      </c>
      <c r="I1273" t="s">
        <v>121</v>
      </c>
      <c r="J1273" t="s">
        <v>122</v>
      </c>
      <c r="K1273">
        <v>0</v>
      </c>
      <c r="L1273" s="84">
        <v>-1138</v>
      </c>
      <c r="M1273" s="84">
        <v>0</v>
      </c>
    </row>
    <row r="1274" spans="3:13" hidden="1" x14ac:dyDescent="0.25">
      <c r="C1274" t="s">
        <v>65</v>
      </c>
      <c r="D1274" t="s">
        <v>120</v>
      </c>
      <c r="E1274" t="s">
        <v>60</v>
      </c>
      <c r="F1274" t="s">
        <v>25</v>
      </c>
      <c r="G1274">
        <v>3</v>
      </c>
      <c r="H1274" t="s">
        <v>14</v>
      </c>
      <c r="I1274" t="s">
        <v>121</v>
      </c>
      <c r="J1274" t="s">
        <v>122</v>
      </c>
      <c r="K1274">
        <v>0</v>
      </c>
      <c r="L1274" s="84">
        <v>-278169</v>
      </c>
      <c r="M1274" s="84">
        <v>0</v>
      </c>
    </row>
    <row r="1275" spans="3:13" hidden="1" x14ac:dyDescent="0.25">
      <c r="C1275" t="s">
        <v>64</v>
      </c>
      <c r="D1275" t="s">
        <v>120</v>
      </c>
      <c r="E1275" t="s">
        <v>63</v>
      </c>
      <c r="F1275" t="s">
        <v>124</v>
      </c>
      <c r="G1275">
        <v>-1</v>
      </c>
      <c r="H1275" t="s">
        <v>13</v>
      </c>
      <c r="I1275" t="s">
        <v>121</v>
      </c>
      <c r="J1275" t="s">
        <v>122</v>
      </c>
      <c r="K1275">
        <v>0</v>
      </c>
      <c r="L1275" s="84">
        <v>485675</v>
      </c>
      <c r="M1275" s="84">
        <v>0</v>
      </c>
    </row>
    <row r="1276" spans="3:13" hidden="1" x14ac:dyDescent="0.25">
      <c r="C1276" t="s">
        <v>119</v>
      </c>
      <c r="D1276" t="s">
        <v>120</v>
      </c>
      <c r="E1276" t="s">
        <v>60</v>
      </c>
      <c r="F1276" t="s">
        <v>124</v>
      </c>
      <c r="G1276">
        <v>7</v>
      </c>
      <c r="H1276" t="s">
        <v>17</v>
      </c>
      <c r="I1276" t="s">
        <v>121</v>
      </c>
      <c r="J1276" t="s">
        <v>122</v>
      </c>
      <c r="K1276">
        <v>0</v>
      </c>
      <c r="L1276" s="84">
        <v>-1633</v>
      </c>
      <c r="M1276" s="84">
        <v>0</v>
      </c>
    </row>
    <row r="1277" spans="3:13" hidden="1" x14ac:dyDescent="0.25">
      <c r="C1277" t="s">
        <v>119</v>
      </c>
      <c r="D1277" t="s">
        <v>120</v>
      </c>
      <c r="E1277" t="s">
        <v>63</v>
      </c>
      <c r="F1277" t="s">
        <v>124</v>
      </c>
      <c r="G1277">
        <v>0</v>
      </c>
      <c r="H1277" t="s">
        <v>17</v>
      </c>
      <c r="I1277" t="s">
        <v>121</v>
      </c>
      <c r="J1277" t="s">
        <v>66</v>
      </c>
      <c r="K1277">
        <v>1</v>
      </c>
      <c r="L1277" s="84">
        <v>35185479</v>
      </c>
      <c r="M1277" s="84">
        <v>0</v>
      </c>
    </row>
    <row r="1278" spans="3:13" hidden="1" x14ac:dyDescent="0.25">
      <c r="C1278" t="s">
        <v>64</v>
      </c>
      <c r="D1278" t="s">
        <v>120</v>
      </c>
      <c r="E1278" t="s">
        <v>60</v>
      </c>
      <c r="F1278" t="s">
        <v>123</v>
      </c>
      <c r="G1278">
        <v>-1</v>
      </c>
      <c r="H1278" t="s">
        <v>69</v>
      </c>
      <c r="I1278" t="s">
        <v>121</v>
      </c>
      <c r="J1278" t="s">
        <v>122</v>
      </c>
      <c r="K1278">
        <v>0</v>
      </c>
      <c r="L1278" s="84">
        <v>-6186</v>
      </c>
      <c r="M1278" s="84">
        <v>0</v>
      </c>
    </row>
    <row r="1279" spans="3:13" hidden="1" x14ac:dyDescent="0.25">
      <c r="C1279" t="s">
        <v>119</v>
      </c>
      <c r="D1279" t="s">
        <v>120</v>
      </c>
      <c r="E1279" t="s">
        <v>63</v>
      </c>
      <c r="F1279" t="s">
        <v>25</v>
      </c>
      <c r="G1279">
        <v>8</v>
      </c>
      <c r="H1279" t="s">
        <v>14</v>
      </c>
      <c r="I1279" t="s">
        <v>121</v>
      </c>
      <c r="J1279" t="s">
        <v>122</v>
      </c>
      <c r="K1279">
        <v>0</v>
      </c>
      <c r="L1279" s="84">
        <v>6329856</v>
      </c>
      <c r="M1279" s="84">
        <v>50638848</v>
      </c>
    </row>
    <row r="1280" spans="3:13" hidden="1" x14ac:dyDescent="0.25">
      <c r="C1280" t="s">
        <v>65</v>
      </c>
      <c r="D1280" t="s">
        <v>120</v>
      </c>
      <c r="E1280" t="s">
        <v>63</v>
      </c>
      <c r="F1280" t="s">
        <v>124</v>
      </c>
      <c r="G1280">
        <v>8</v>
      </c>
      <c r="H1280" t="s">
        <v>16</v>
      </c>
      <c r="I1280" t="s">
        <v>121</v>
      </c>
      <c r="J1280" t="s">
        <v>122</v>
      </c>
      <c r="K1280">
        <v>0</v>
      </c>
      <c r="L1280" s="84">
        <v>827665</v>
      </c>
      <c r="M1280" s="84">
        <v>6621320</v>
      </c>
    </row>
    <row r="1281" spans="3:13" hidden="1" x14ac:dyDescent="0.25">
      <c r="C1281" t="s">
        <v>64</v>
      </c>
      <c r="D1281" t="s">
        <v>120</v>
      </c>
      <c r="E1281" t="s">
        <v>63</v>
      </c>
      <c r="F1281" t="s">
        <v>25</v>
      </c>
      <c r="G1281">
        <v>9</v>
      </c>
      <c r="H1281" t="s">
        <v>61</v>
      </c>
      <c r="I1281" t="s">
        <v>121</v>
      </c>
      <c r="J1281" t="s">
        <v>122</v>
      </c>
      <c r="K1281">
        <v>0</v>
      </c>
      <c r="L1281" s="84">
        <v>57690</v>
      </c>
      <c r="M1281" s="84">
        <v>519210</v>
      </c>
    </row>
    <row r="1282" spans="3:13" hidden="1" x14ac:dyDescent="0.25">
      <c r="C1282" t="s">
        <v>64</v>
      </c>
      <c r="D1282" t="s">
        <v>120</v>
      </c>
      <c r="E1282" t="s">
        <v>63</v>
      </c>
      <c r="F1282" t="s">
        <v>124</v>
      </c>
      <c r="G1282">
        <v>1</v>
      </c>
      <c r="H1282" t="s">
        <v>69</v>
      </c>
      <c r="I1282" t="s">
        <v>121</v>
      </c>
      <c r="J1282" t="s">
        <v>122</v>
      </c>
      <c r="K1282">
        <v>0</v>
      </c>
      <c r="L1282" s="84">
        <v>9403077</v>
      </c>
      <c r="M1282" s="84">
        <v>9403077</v>
      </c>
    </row>
    <row r="1283" spans="3:13" hidden="1" x14ac:dyDescent="0.25">
      <c r="C1283" t="s">
        <v>65</v>
      </c>
      <c r="D1283" t="s">
        <v>120</v>
      </c>
      <c r="E1283" t="s">
        <v>60</v>
      </c>
      <c r="F1283" t="s">
        <v>123</v>
      </c>
      <c r="G1283">
        <v>1</v>
      </c>
      <c r="H1283" t="s">
        <v>69</v>
      </c>
      <c r="I1283" t="s">
        <v>121</v>
      </c>
      <c r="J1283" t="s">
        <v>122</v>
      </c>
      <c r="K1283">
        <v>0</v>
      </c>
      <c r="L1283" s="84">
        <v>-58552</v>
      </c>
      <c r="M1283" s="84">
        <v>0</v>
      </c>
    </row>
    <row r="1284" spans="3:13" hidden="1" x14ac:dyDescent="0.25">
      <c r="C1284" t="s">
        <v>119</v>
      </c>
      <c r="D1284" t="s">
        <v>120</v>
      </c>
      <c r="E1284" t="s">
        <v>63</v>
      </c>
      <c r="F1284" t="s">
        <v>124</v>
      </c>
      <c r="G1284">
        <v>10</v>
      </c>
      <c r="H1284" t="s">
        <v>68</v>
      </c>
      <c r="I1284" t="s">
        <v>121</v>
      </c>
      <c r="J1284" t="s">
        <v>122</v>
      </c>
      <c r="K1284">
        <v>0</v>
      </c>
      <c r="L1284" s="84">
        <v>410673</v>
      </c>
      <c r="M1284" s="84">
        <v>4106730</v>
      </c>
    </row>
    <row r="1285" spans="3:13" hidden="1" x14ac:dyDescent="0.25">
      <c r="C1285" t="s">
        <v>64</v>
      </c>
      <c r="D1285" t="s">
        <v>120</v>
      </c>
      <c r="E1285" t="s">
        <v>63</v>
      </c>
      <c r="F1285" t="s">
        <v>124</v>
      </c>
      <c r="G1285">
        <v>-4</v>
      </c>
      <c r="H1285" t="s">
        <v>17</v>
      </c>
      <c r="I1285" t="s">
        <v>121</v>
      </c>
      <c r="J1285" t="s">
        <v>122</v>
      </c>
      <c r="K1285">
        <v>0</v>
      </c>
      <c r="L1285" s="84">
        <v>284382</v>
      </c>
      <c r="M1285" s="84">
        <v>0</v>
      </c>
    </row>
    <row r="1286" spans="3:13" hidden="1" x14ac:dyDescent="0.25">
      <c r="C1286" t="s">
        <v>64</v>
      </c>
      <c r="D1286" t="s">
        <v>125</v>
      </c>
      <c r="E1286" t="s">
        <v>60</v>
      </c>
      <c r="F1286" t="s">
        <v>24</v>
      </c>
      <c r="G1286">
        <v>2</v>
      </c>
      <c r="I1286" t="s">
        <v>121</v>
      </c>
      <c r="J1286" t="s">
        <v>122</v>
      </c>
      <c r="K1286">
        <v>0</v>
      </c>
      <c r="L1286" s="84">
        <v>-66863</v>
      </c>
      <c r="M1286" s="84">
        <v>0</v>
      </c>
    </row>
    <row r="1287" spans="3:13" hidden="1" x14ac:dyDescent="0.25">
      <c r="C1287" t="s">
        <v>65</v>
      </c>
      <c r="D1287" t="s">
        <v>125</v>
      </c>
      <c r="E1287" t="s">
        <v>60</v>
      </c>
      <c r="F1287" t="s">
        <v>24</v>
      </c>
      <c r="G1287">
        <v>10</v>
      </c>
      <c r="I1287" t="s">
        <v>121</v>
      </c>
      <c r="J1287" t="s">
        <v>122</v>
      </c>
      <c r="K1287">
        <v>0</v>
      </c>
      <c r="L1287" s="84">
        <v>-754800</v>
      </c>
      <c r="M1287" s="84">
        <v>0</v>
      </c>
    </row>
    <row r="1288" spans="3:13" hidden="1" x14ac:dyDescent="0.25">
      <c r="C1288" t="s">
        <v>119</v>
      </c>
      <c r="D1288" t="s">
        <v>120</v>
      </c>
      <c r="E1288" t="s">
        <v>63</v>
      </c>
      <c r="F1288" t="s">
        <v>25</v>
      </c>
      <c r="G1288">
        <v>1</v>
      </c>
      <c r="H1288" t="s">
        <v>18</v>
      </c>
      <c r="I1288" t="s">
        <v>121</v>
      </c>
      <c r="J1288" t="s">
        <v>122</v>
      </c>
      <c r="K1288">
        <v>0</v>
      </c>
      <c r="L1288" s="84">
        <v>2085318</v>
      </c>
      <c r="M1288" s="84">
        <v>2085318</v>
      </c>
    </row>
    <row r="1289" spans="3:13" hidden="1" x14ac:dyDescent="0.25">
      <c r="C1289" t="s">
        <v>65</v>
      </c>
      <c r="D1289" t="s">
        <v>120</v>
      </c>
      <c r="E1289" t="s">
        <v>63</v>
      </c>
      <c r="F1289" t="s">
        <v>124</v>
      </c>
      <c r="G1289">
        <v>6</v>
      </c>
      <c r="H1289" t="s">
        <v>75</v>
      </c>
      <c r="I1289" t="s">
        <v>121</v>
      </c>
      <c r="J1289" t="s">
        <v>122</v>
      </c>
      <c r="K1289">
        <v>0</v>
      </c>
      <c r="L1289" s="84">
        <v>2495666</v>
      </c>
      <c r="M1289" s="84">
        <v>14973996</v>
      </c>
    </row>
    <row r="1290" spans="3:13" hidden="1" x14ac:dyDescent="0.25">
      <c r="C1290" t="s">
        <v>65</v>
      </c>
      <c r="D1290" t="s">
        <v>120</v>
      </c>
      <c r="E1290" t="s">
        <v>60</v>
      </c>
      <c r="F1290" t="s">
        <v>25</v>
      </c>
      <c r="G1290">
        <v>8</v>
      </c>
      <c r="H1290" t="s">
        <v>68</v>
      </c>
      <c r="I1290" t="s">
        <v>121</v>
      </c>
      <c r="J1290" t="s">
        <v>122</v>
      </c>
      <c r="K1290">
        <v>0</v>
      </c>
      <c r="L1290" s="84">
        <v>-12347</v>
      </c>
      <c r="M1290" s="84">
        <v>0</v>
      </c>
    </row>
    <row r="1291" spans="3:13" hidden="1" x14ac:dyDescent="0.25">
      <c r="C1291" t="s">
        <v>65</v>
      </c>
      <c r="D1291" t="s">
        <v>125</v>
      </c>
      <c r="E1291" t="s">
        <v>60</v>
      </c>
      <c r="F1291" t="s">
        <v>24</v>
      </c>
      <c r="G1291">
        <v>38</v>
      </c>
      <c r="I1291" t="s">
        <v>121</v>
      </c>
      <c r="J1291" t="s">
        <v>122</v>
      </c>
      <c r="K1291">
        <v>0</v>
      </c>
      <c r="L1291" s="84">
        <v>-1278404</v>
      </c>
      <c r="M1291" s="84">
        <v>0</v>
      </c>
    </row>
    <row r="1292" spans="3:13" hidden="1" x14ac:dyDescent="0.25">
      <c r="C1292" t="s">
        <v>119</v>
      </c>
      <c r="D1292" t="s">
        <v>120</v>
      </c>
      <c r="E1292" t="s">
        <v>60</v>
      </c>
      <c r="F1292" t="s">
        <v>25</v>
      </c>
      <c r="G1292">
        <v>4</v>
      </c>
      <c r="H1292" t="s">
        <v>12</v>
      </c>
      <c r="I1292" t="s">
        <v>121</v>
      </c>
      <c r="J1292" t="s">
        <v>66</v>
      </c>
      <c r="K1292">
        <v>1</v>
      </c>
      <c r="L1292" s="84">
        <v>-18007</v>
      </c>
      <c r="M1292" s="84">
        <v>0</v>
      </c>
    </row>
    <row r="1293" spans="3:13" hidden="1" x14ac:dyDescent="0.25">
      <c r="C1293" t="s">
        <v>65</v>
      </c>
      <c r="D1293" t="s">
        <v>120</v>
      </c>
      <c r="E1293" t="s">
        <v>63</v>
      </c>
      <c r="F1293" t="s">
        <v>24</v>
      </c>
      <c r="G1293">
        <v>6</v>
      </c>
      <c r="H1293" t="s">
        <v>72</v>
      </c>
      <c r="I1293" t="s">
        <v>121</v>
      </c>
      <c r="J1293" t="s">
        <v>122</v>
      </c>
      <c r="K1293">
        <v>0</v>
      </c>
      <c r="L1293" s="84">
        <v>104344</v>
      </c>
      <c r="M1293" s="84">
        <v>626064</v>
      </c>
    </row>
    <row r="1294" spans="3:13" hidden="1" x14ac:dyDescent="0.25">
      <c r="C1294" t="s">
        <v>119</v>
      </c>
      <c r="D1294" t="s">
        <v>120</v>
      </c>
      <c r="E1294" t="s">
        <v>63</v>
      </c>
      <c r="F1294" t="s">
        <v>123</v>
      </c>
      <c r="G1294">
        <v>1</v>
      </c>
      <c r="H1294" t="s">
        <v>12</v>
      </c>
      <c r="I1294" t="s">
        <v>121</v>
      </c>
      <c r="J1294" t="s">
        <v>122</v>
      </c>
      <c r="K1294">
        <v>0</v>
      </c>
      <c r="L1294" s="84">
        <v>336414</v>
      </c>
      <c r="M1294" s="84">
        <v>336414</v>
      </c>
    </row>
    <row r="1295" spans="3:13" hidden="1" x14ac:dyDescent="0.25">
      <c r="C1295" t="s">
        <v>64</v>
      </c>
      <c r="D1295" t="s">
        <v>120</v>
      </c>
      <c r="E1295" t="s">
        <v>60</v>
      </c>
      <c r="F1295" t="s">
        <v>124</v>
      </c>
      <c r="G1295">
        <v>1</v>
      </c>
      <c r="H1295" t="s">
        <v>12</v>
      </c>
      <c r="I1295" t="s">
        <v>121</v>
      </c>
      <c r="J1295" t="s">
        <v>122</v>
      </c>
      <c r="K1295">
        <v>0</v>
      </c>
      <c r="L1295" s="84">
        <v>-36391</v>
      </c>
      <c r="M1295" s="84">
        <v>0</v>
      </c>
    </row>
    <row r="1296" spans="3:13" hidden="1" x14ac:dyDescent="0.25">
      <c r="C1296" t="s">
        <v>64</v>
      </c>
      <c r="D1296" t="s">
        <v>125</v>
      </c>
      <c r="E1296" t="s">
        <v>63</v>
      </c>
      <c r="F1296" t="s">
        <v>24</v>
      </c>
      <c r="G1296">
        <v>26</v>
      </c>
      <c r="I1296" t="s">
        <v>121</v>
      </c>
      <c r="J1296" t="s">
        <v>122</v>
      </c>
      <c r="K1296">
        <v>0</v>
      </c>
      <c r="L1296" s="84">
        <v>50688187</v>
      </c>
      <c r="M1296" s="84">
        <v>1317892862</v>
      </c>
    </row>
    <row r="1297" spans="3:13" hidden="1" x14ac:dyDescent="0.25">
      <c r="C1297" t="s">
        <v>119</v>
      </c>
      <c r="D1297" t="s">
        <v>120</v>
      </c>
      <c r="E1297" t="s">
        <v>60</v>
      </c>
      <c r="F1297" t="s">
        <v>24</v>
      </c>
      <c r="G1297">
        <v>16</v>
      </c>
      <c r="H1297" t="s">
        <v>76</v>
      </c>
      <c r="I1297" t="s">
        <v>121</v>
      </c>
      <c r="J1297" t="s">
        <v>122</v>
      </c>
      <c r="K1297">
        <v>0</v>
      </c>
      <c r="L1297" s="84">
        <v>-56</v>
      </c>
      <c r="M1297" s="84">
        <v>0</v>
      </c>
    </row>
    <row r="1298" spans="3:13" hidden="1" x14ac:dyDescent="0.25">
      <c r="C1298" t="s">
        <v>65</v>
      </c>
      <c r="D1298" t="s">
        <v>120</v>
      </c>
      <c r="E1298" t="s">
        <v>63</v>
      </c>
      <c r="F1298" t="s">
        <v>124</v>
      </c>
      <c r="G1298">
        <v>-1</v>
      </c>
      <c r="H1298" t="s">
        <v>72</v>
      </c>
      <c r="I1298" t="s">
        <v>121</v>
      </c>
      <c r="J1298" t="s">
        <v>122</v>
      </c>
      <c r="K1298">
        <v>0</v>
      </c>
      <c r="L1298" s="84">
        <v>847043</v>
      </c>
      <c r="M1298" s="84">
        <v>0</v>
      </c>
    </row>
    <row r="1299" spans="3:13" hidden="1" x14ac:dyDescent="0.25">
      <c r="C1299" t="s">
        <v>119</v>
      </c>
      <c r="D1299" t="s">
        <v>120</v>
      </c>
      <c r="E1299" t="s">
        <v>60</v>
      </c>
      <c r="F1299" t="s">
        <v>123</v>
      </c>
      <c r="G1299">
        <v>4</v>
      </c>
      <c r="H1299" t="s">
        <v>14</v>
      </c>
      <c r="I1299" t="s">
        <v>121</v>
      </c>
      <c r="J1299" t="s">
        <v>122</v>
      </c>
      <c r="K1299">
        <v>0</v>
      </c>
      <c r="L1299" s="84">
        <v>-23861</v>
      </c>
      <c r="M1299" s="84">
        <v>0</v>
      </c>
    </row>
    <row r="1300" spans="3:13" hidden="1" x14ac:dyDescent="0.25">
      <c r="C1300" t="s">
        <v>119</v>
      </c>
      <c r="D1300" t="s">
        <v>120</v>
      </c>
      <c r="E1300" t="s">
        <v>60</v>
      </c>
      <c r="F1300" t="s">
        <v>25</v>
      </c>
      <c r="G1300">
        <v>4</v>
      </c>
      <c r="H1300" t="s">
        <v>76</v>
      </c>
      <c r="I1300" t="s">
        <v>121</v>
      </c>
      <c r="J1300" t="s">
        <v>122</v>
      </c>
      <c r="K1300">
        <v>0</v>
      </c>
      <c r="L1300" s="84">
        <v>-22</v>
      </c>
      <c r="M1300" s="84">
        <v>0</v>
      </c>
    </row>
    <row r="1301" spans="3:13" hidden="1" x14ac:dyDescent="0.25">
      <c r="C1301" t="s">
        <v>65</v>
      </c>
      <c r="D1301" t="s">
        <v>120</v>
      </c>
      <c r="E1301" t="s">
        <v>60</v>
      </c>
      <c r="F1301" t="s">
        <v>124</v>
      </c>
      <c r="G1301">
        <v>3</v>
      </c>
      <c r="H1301" t="s">
        <v>70</v>
      </c>
      <c r="I1301" t="s">
        <v>121</v>
      </c>
      <c r="J1301" t="s">
        <v>122</v>
      </c>
      <c r="K1301">
        <v>0</v>
      </c>
      <c r="L1301" s="84">
        <v>-102724</v>
      </c>
      <c r="M1301" s="84">
        <v>0</v>
      </c>
    </row>
    <row r="1302" spans="3:13" hidden="1" x14ac:dyDescent="0.25">
      <c r="C1302" t="s">
        <v>64</v>
      </c>
      <c r="D1302" t="s">
        <v>120</v>
      </c>
      <c r="E1302" t="s">
        <v>63</v>
      </c>
      <c r="F1302" t="s">
        <v>123</v>
      </c>
      <c r="G1302">
        <v>5</v>
      </c>
      <c r="H1302" t="s">
        <v>17</v>
      </c>
      <c r="I1302" t="s">
        <v>121</v>
      </c>
      <c r="J1302" t="s">
        <v>66</v>
      </c>
      <c r="K1302">
        <v>1</v>
      </c>
      <c r="L1302" s="84">
        <v>266720</v>
      </c>
      <c r="M1302" s="84">
        <v>1333600</v>
      </c>
    </row>
    <row r="1303" spans="3:13" hidden="1" x14ac:dyDescent="0.25">
      <c r="C1303" t="s">
        <v>64</v>
      </c>
      <c r="D1303" t="s">
        <v>120</v>
      </c>
      <c r="E1303" t="s">
        <v>60</v>
      </c>
      <c r="F1303" t="s">
        <v>124</v>
      </c>
      <c r="G1303">
        <v>0</v>
      </c>
      <c r="H1303" t="s">
        <v>70</v>
      </c>
      <c r="I1303" t="s">
        <v>121</v>
      </c>
      <c r="J1303" t="s">
        <v>122</v>
      </c>
      <c r="K1303">
        <v>0</v>
      </c>
      <c r="L1303" s="84">
        <v>-84152</v>
      </c>
      <c r="M1303" s="84">
        <v>0</v>
      </c>
    </row>
    <row r="1304" spans="3:13" hidden="1" x14ac:dyDescent="0.25">
      <c r="C1304" t="s">
        <v>119</v>
      </c>
      <c r="D1304" t="s">
        <v>128</v>
      </c>
      <c r="E1304" t="s">
        <v>60</v>
      </c>
      <c r="F1304" t="s">
        <v>25</v>
      </c>
      <c r="G1304">
        <v>12</v>
      </c>
      <c r="H1304" t="s">
        <v>74</v>
      </c>
      <c r="I1304" t="s">
        <v>121</v>
      </c>
      <c r="J1304" t="s">
        <v>122</v>
      </c>
      <c r="K1304">
        <v>0</v>
      </c>
      <c r="L1304" s="84">
        <v>-72</v>
      </c>
      <c r="M1304" s="84">
        <v>0</v>
      </c>
    </row>
    <row r="1305" spans="3:13" x14ac:dyDescent="0.25">
      <c r="C1305" t="s">
        <v>64</v>
      </c>
      <c r="D1305" t="s">
        <v>120</v>
      </c>
      <c r="E1305" t="s">
        <v>63</v>
      </c>
      <c r="F1305" t="s">
        <v>25</v>
      </c>
      <c r="G1305">
        <v>5</v>
      </c>
      <c r="H1305" t="s">
        <v>18</v>
      </c>
      <c r="I1305" t="s">
        <v>121</v>
      </c>
      <c r="J1305" t="s">
        <v>66</v>
      </c>
      <c r="K1305">
        <v>1</v>
      </c>
      <c r="L1305" s="84">
        <v>520349</v>
      </c>
      <c r="M1305" s="84">
        <v>2601745</v>
      </c>
    </row>
    <row r="1306" spans="3:13" hidden="1" x14ac:dyDescent="0.25">
      <c r="C1306" t="s">
        <v>65</v>
      </c>
      <c r="D1306" t="s">
        <v>125</v>
      </c>
      <c r="E1306" t="s">
        <v>63</v>
      </c>
      <c r="F1306" t="s">
        <v>24</v>
      </c>
      <c r="G1306">
        <v>5</v>
      </c>
      <c r="I1306" t="s">
        <v>121</v>
      </c>
      <c r="J1306" t="s">
        <v>122</v>
      </c>
      <c r="K1306">
        <v>0</v>
      </c>
      <c r="L1306" s="84">
        <v>1630769</v>
      </c>
      <c r="M1306" s="84">
        <v>8153845</v>
      </c>
    </row>
    <row r="1307" spans="3:13" hidden="1" x14ac:dyDescent="0.25">
      <c r="C1307" t="s">
        <v>64</v>
      </c>
      <c r="D1307" t="s">
        <v>120</v>
      </c>
      <c r="E1307" t="s">
        <v>63</v>
      </c>
      <c r="F1307" t="s">
        <v>25</v>
      </c>
      <c r="G1307">
        <v>5</v>
      </c>
      <c r="H1307" t="s">
        <v>18</v>
      </c>
      <c r="I1307" t="s">
        <v>121</v>
      </c>
      <c r="J1307" t="s">
        <v>122</v>
      </c>
      <c r="K1307">
        <v>0</v>
      </c>
      <c r="L1307" s="84">
        <v>1226287</v>
      </c>
      <c r="M1307" s="84">
        <v>6131435</v>
      </c>
    </row>
    <row r="1308" spans="3:13" hidden="1" x14ac:dyDescent="0.25">
      <c r="C1308" t="s">
        <v>64</v>
      </c>
      <c r="D1308" t="s">
        <v>120</v>
      </c>
      <c r="E1308" t="s">
        <v>60</v>
      </c>
      <c r="F1308" t="s">
        <v>25</v>
      </c>
      <c r="G1308">
        <v>1</v>
      </c>
      <c r="H1308" t="s">
        <v>61</v>
      </c>
      <c r="I1308" t="s">
        <v>121</v>
      </c>
      <c r="J1308" t="s">
        <v>122</v>
      </c>
      <c r="K1308">
        <v>0</v>
      </c>
      <c r="L1308" s="84">
        <v>-3903</v>
      </c>
      <c r="M1308" s="84">
        <v>0</v>
      </c>
    </row>
    <row r="1309" spans="3:13" hidden="1" x14ac:dyDescent="0.25">
      <c r="C1309" t="s">
        <v>119</v>
      </c>
      <c r="D1309" t="s">
        <v>120</v>
      </c>
      <c r="E1309" t="s">
        <v>60</v>
      </c>
      <c r="F1309" t="s">
        <v>123</v>
      </c>
      <c r="G1309">
        <v>-1</v>
      </c>
      <c r="H1309" t="s">
        <v>12</v>
      </c>
      <c r="I1309" t="s">
        <v>121</v>
      </c>
      <c r="J1309" t="s">
        <v>66</v>
      </c>
      <c r="K1309">
        <v>1</v>
      </c>
      <c r="L1309" s="84">
        <v>-518</v>
      </c>
      <c r="M1309" s="84">
        <v>0</v>
      </c>
    </row>
    <row r="1310" spans="3:13" hidden="1" x14ac:dyDescent="0.25">
      <c r="C1310" t="s">
        <v>64</v>
      </c>
      <c r="D1310" t="s">
        <v>120</v>
      </c>
      <c r="E1310" t="s">
        <v>63</v>
      </c>
      <c r="F1310" t="s">
        <v>123</v>
      </c>
      <c r="G1310">
        <v>-1</v>
      </c>
      <c r="H1310" t="s">
        <v>68</v>
      </c>
      <c r="I1310" t="s">
        <v>121</v>
      </c>
      <c r="J1310" t="s">
        <v>122</v>
      </c>
      <c r="K1310">
        <v>0</v>
      </c>
      <c r="L1310" s="84">
        <v>2964137</v>
      </c>
      <c r="M1310" s="84">
        <v>0</v>
      </c>
    </row>
    <row r="1311" spans="3:13" x14ac:dyDescent="0.25">
      <c r="C1311" t="s">
        <v>64</v>
      </c>
      <c r="D1311" t="s">
        <v>120</v>
      </c>
      <c r="E1311" t="s">
        <v>63</v>
      </c>
      <c r="F1311" t="s">
        <v>25</v>
      </c>
      <c r="G1311">
        <v>2</v>
      </c>
      <c r="H1311" t="s">
        <v>14</v>
      </c>
      <c r="I1311" t="s">
        <v>121</v>
      </c>
      <c r="J1311" t="s">
        <v>66</v>
      </c>
      <c r="K1311">
        <v>1</v>
      </c>
      <c r="L1311" s="84">
        <v>74976</v>
      </c>
      <c r="M1311" s="84">
        <v>149952</v>
      </c>
    </row>
    <row r="1312" spans="3:13" hidden="1" x14ac:dyDescent="0.25">
      <c r="C1312" t="s">
        <v>64</v>
      </c>
      <c r="D1312" t="s">
        <v>125</v>
      </c>
      <c r="E1312" t="s">
        <v>60</v>
      </c>
      <c r="F1312" t="s">
        <v>24</v>
      </c>
      <c r="G1312">
        <v>38</v>
      </c>
      <c r="I1312" t="s">
        <v>121</v>
      </c>
      <c r="J1312" t="s">
        <v>122</v>
      </c>
      <c r="K1312">
        <v>0</v>
      </c>
      <c r="L1312" s="84">
        <v>-757084</v>
      </c>
      <c r="M1312" s="84">
        <v>0</v>
      </c>
    </row>
    <row r="1313" spans="3:13" hidden="1" x14ac:dyDescent="0.25">
      <c r="C1313" t="s">
        <v>64</v>
      </c>
      <c r="D1313" t="s">
        <v>120</v>
      </c>
      <c r="E1313" t="s">
        <v>60</v>
      </c>
      <c r="F1313" t="s">
        <v>25</v>
      </c>
      <c r="G1313">
        <v>8</v>
      </c>
      <c r="H1313" t="s">
        <v>69</v>
      </c>
      <c r="I1313" t="s">
        <v>121</v>
      </c>
      <c r="J1313" t="s">
        <v>122</v>
      </c>
      <c r="K1313">
        <v>0</v>
      </c>
      <c r="L1313" s="84">
        <v>-59985</v>
      </c>
      <c r="M1313" s="84">
        <v>0</v>
      </c>
    </row>
    <row r="1314" spans="3:13" hidden="1" x14ac:dyDescent="0.25">
      <c r="C1314" t="s">
        <v>64</v>
      </c>
      <c r="D1314" t="s">
        <v>120</v>
      </c>
      <c r="E1314" t="s">
        <v>60</v>
      </c>
      <c r="F1314" t="s">
        <v>124</v>
      </c>
      <c r="G1314">
        <v>2</v>
      </c>
      <c r="H1314" t="s">
        <v>73</v>
      </c>
      <c r="I1314" t="s">
        <v>121</v>
      </c>
      <c r="J1314" t="s">
        <v>122</v>
      </c>
      <c r="K1314">
        <v>0</v>
      </c>
      <c r="L1314" s="84">
        <v>-32837</v>
      </c>
      <c r="M1314" s="84">
        <v>0</v>
      </c>
    </row>
    <row r="1315" spans="3:13" hidden="1" x14ac:dyDescent="0.25">
      <c r="C1315" t="s">
        <v>64</v>
      </c>
      <c r="D1315" t="s">
        <v>125</v>
      </c>
      <c r="E1315" t="s">
        <v>60</v>
      </c>
      <c r="F1315" t="s">
        <v>24</v>
      </c>
      <c r="G1315">
        <v>10</v>
      </c>
      <c r="I1315" t="s">
        <v>121</v>
      </c>
      <c r="J1315" t="s">
        <v>122</v>
      </c>
      <c r="K1315">
        <v>0</v>
      </c>
      <c r="L1315" s="84">
        <v>-297026</v>
      </c>
      <c r="M1315" s="84">
        <v>0</v>
      </c>
    </row>
    <row r="1316" spans="3:13" hidden="1" x14ac:dyDescent="0.25">
      <c r="C1316" t="s">
        <v>119</v>
      </c>
      <c r="D1316" t="s">
        <v>120</v>
      </c>
      <c r="E1316" t="s">
        <v>60</v>
      </c>
      <c r="F1316" t="s">
        <v>124</v>
      </c>
      <c r="G1316">
        <v>2</v>
      </c>
      <c r="H1316" t="s">
        <v>18</v>
      </c>
      <c r="I1316" t="s">
        <v>121</v>
      </c>
      <c r="J1316" t="s">
        <v>66</v>
      </c>
      <c r="K1316">
        <v>1</v>
      </c>
      <c r="L1316" s="84">
        <v>-26774</v>
      </c>
      <c r="M1316" s="84">
        <v>0</v>
      </c>
    </row>
    <row r="1317" spans="3:13" hidden="1" x14ac:dyDescent="0.25">
      <c r="C1317" t="s">
        <v>65</v>
      </c>
      <c r="D1317" t="s">
        <v>120</v>
      </c>
      <c r="E1317" t="s">
        <v>63</v>
      </c>
      <c r="F1317" t="s">
        <v>124</v>
      </c>
      <c r="G1317">
        <v>-4</v>
      </c>
      <c r="H1317" t="s">
        <v>17</v>
      </c>
      <c r="I1317" t="s">
        <v>62</v>
      </c>
      <c r="J1317" t="s">
        <v>122</v>
      </c>
      <c r="K1317">
        <v>1</v>
      </c>
      <c r="L1317" s="84">
        <v>7379</v>
      </c>
      <c r="M1317" s="84">
        <v>0</v>
      </c>
    </row>
    <row r="1318" spans="3:13" hidden="1" x14ac:dyDescent="0.25">
      <c r="C1318" t="s">
        <v>119</v>
      </c>
      <c r="D1318" t="s">
        <v>120</v>
      </c>
      <c r="E1318" t="s">
        <v>63</v>
      </c>
      <c r="F1318" t="s">
        <v>124</v>
      </c>
      <c r="G1318">
        <v>1</v>
      </c>
      <c r="H1318" t="s">
        <v>14</v>
      </c>
      <c r="I1318" t="s">
        <v>62</v>
      </c>
      <c r="J1318" t="s">
        <v>122</v>
      </c>
      <c r="K1318">
        <v>1</v>
      </c>
      <c r="L1318" s="84">
        <v>113586</v>
      </c>
      <c r="M1318" s="84">
        <v>113586</v>
      </c>
    </row>
    <row r="1319" spans="3:13" hidden="1" x14ac:dyDescent="0.25">
      <c r="C1319" t="s">
        <v>65</v>
      </c>
      <c r="D1319" t="s">
        <v>120</v>
      </c>
      <c r="E1319" t="s">
        <v>63</v>
      </c>
      <c r="F1319" t="s">
        <v>124</v>
      </c>
      <c r="G1319">
        <v>9</v>
      </c>
      <c r="H1319" t="s">
        <v>12</v>
      </c>
      <c r="I1319" t="s">
        <v>121</v>
      </c>
      <c r="J1319" t="s">
        <v>122</v>
      </c>
      <c r="K1319">
        <v>0</v>
      </c>
      <c r="L1319" s="84">
        <v>276644</v>
      </c>
      <c r="M1319" s="84">
        <v>2489796</v>
      </c>
    </row>
    <row r="1320" spans="3:13" hidden="1" x14ac:dyDescent="0.25">
      <c r="C1320" t="s">
        <v>119</v>
      </c>
      <c r="D1320" t="s">
        <v>120</v>
      </c>
      <c r="E1320" t="s">
        <v>63</v>
      </c>
      <c r="F1320" t="s">
        <v>124</v>
      </c>
      <c r="G1320">
        <v>0</v>
      </c>
      <c r="H1320" t="s">
        <v>76</v>
      </c>
      <c r="I1320" t="s">
        <v>121</v>
      </c>
      <c r="J1320" t="s">
        <v>122</v>
      </c>
      <c r="K1320">
        <v>0</v>
      </c>
      <c r="L1320" s="84">
        <v>1629195</v>
      </c>
      <c r="M1320" s="84">
        <v>0</v>
      </c>
    </row>
    <row r="1321" spans="3:13" hidden="1" x14ac:dyDescent="0.25">
      <c r="C1321" t="s">
        <v>119</v>
      </c>
      <c r="D1321" t="s">
        <v>120</v>
      </c>
      <c r="E1321" t="s">
        <v>63</v>
      </c>
      <c r="F1321" t="s">
        <v>123</v>
      </c>
      <c r="G1321">
        <v>9</v>
      </c>
      <c r="H1321" t="s">
        <v>68</v>
      </c>
      <c r="I1321" t="s">
        <v>121</v>
      </c>
      <c r="J1321" t="s">
        <v>122</v>
      </c>
      <c r="K1321">
        <v>0</v>
      </c>
      <c r="L1321" s="84">
        <v>45511</v>
      </c>
      <c r="M1321" s="84">
        <v>409599</v>
      </c>
    </row>
    <row r="1322" spans="3:13" hidden="1" x14ac:dyDescent="0.25">
      <c r="C1322" t="s">
        <v>119</v>
      </c>
      <c r="D1322" t="s">
        <v>120</v>
      </c>
      <c r="E1322" t="s">
        <v>63</v>
      </c>
      <c r="F1322" t="s">
        <v>124</v>
      </c>
      <c r="G1322">
        <v>1</v>
      </c>
      <c r="H1322" t="s">
        <v>15</v>
      </c>
      <c r="I1322" t="s">
        <v>121</v>
      </c>
      <c r="J1322" t="s">
        <v>66</v>
      </c>
      <c r="K1322">
        <v>1</v>
      </c>
      <c r="L1322" s="84">
        <v>134548432</v>
      </c>
      <c r="M1322" s="84">
        <v>134548432</v>
      </c>
    </row>
    <row r="1323" spans="3:13" hidden="1" x14ac:dyDescent="0.25">
      <c r="C1323" t="s">
        <v>119</v>
      </c>
      <c r="D1323" t="s">
        <v>120</v>
      </c>
      <c r="E1323" t="s">
        <v>63</v>
      </c>
      <c r="F1323" t="s">
        <v>24</v>
      </c>
      <c r="G1323">
        <v>10</v>
      </c>
      <c r="H1323" t="s">
        <v>14</v>
      </c>
      <c r="I1323" t="s">
        <v>121</v>
      </c>
      <c r="J1323" t="s">
        <v>122</v>
      </c>
      <c r="K1323">
        <v>0</v>
      </c>
      <c r="L1323" s="84">
        <v>569093</v>
      </c>
      <c r="M1323" s="84">
        <v>5690930</v>
      </c>
    </row>
    <row r="1324" spans="3:13" hidden="1" x14ac:dyDescent="0.25">
      <c r="C1324" t="s">
        <v>119</v>
      </c>
      <c r="D1324" t="s">
        <v>120</v>
      </c>
      <c r="E1324" t="s">
        <v>60</v>
      </c>
      <c r="F1324" t="s">
        <v>123</v>
      </c>
      <c r="G1324">
        <v>2</v>
      </c>
      <c r="H1324" t="s">
        <v>16</v>
      </c>
      <c r="I1324" t="s">
        <v>121</v>
      </c>
      <c r="J1324" t="s">
        <v>122</v>
      </c>
      <c r="K1324">
        <v>0</v>
      </c>
      <c r="L1324" s="84">
        <v>-346</v>
      </c>
      <c r="M1324" s="84">
        <v>0</v>
      </c>
    </row>
    <row r="1325" spans="3:13" hidden="1" x14ac:dyDescent="0.25">
      <c r="C1325" t="s">
        <v>64</v>
      </c>
      <c r="D1325" t="s">
        <v>120</v>
      </c>
      <c r="E1325" t="s">
        <v>60</v>
      </c>
      <c r="F1325" t="s">
        <v>124</v>
      </c>
      <c r="G1325">
        <v>-4</v>
      </c>
      <c r="H1325" t="s">
        <v>75</v>
      </c>
      <c r="I1325" t="s">
        <v>121</v>
      </c>
      <c r="J1325" t="s">
        <v>122</v>
      </c>
      <c r="K1325">
        <v>0</v>
      </c>
      <c r="L1325" s="84">
        <v>-1431</v>
      </c>
      <c r="M1325" s="84">
        <v>0</v>
      </c>
    </row>
    <row r="1326" spans="3:13" hidden="1" x14ac:dyDescent="0.25">
      <c r="C1326" t="s">
        <v>119</v>
      </c>
      <c r="D1326" t="s">
        <v>120</v>
      </c>
      <c r="E1326" t="s">
        <v>63</v>
      </c>
      <c r="F1326" t="s">
        <v>124</v>
      </c>
      <c r="G1326">
        <v>2</v>
      </c>
      <c r="H1326" t="s">
        <v>17</v>
      </c>
      <c r="I1326" t="s">
        <v>62</v>
      </c>
      <c r="J1326" t="s">
        <v>66</v>
      </c>
      <c r="K1326">
        <v>1</v>
      </c>
      <c r="L1326" s="84">
        <v>1251883</v>
      </c>
      <c r="M1326" s="84">
        <v>2503766</v>
      </c>
    </row>
    <row r="1327" spans="3:13" hidden="1" x14ac:dyDescent="0.25">
      <c r="C1327" t="s">
        <v>119</v>
      </c>
      <c r="D1327" t="s">
        <v>125</v>
      </c>
      <c r="E1327" t="s">
        <v>63</v>
      </c>
      <c r="F1327" t="s">
        <v>24</v>
      </c>
      <c r="G1327">
        <v>32</v>
      </c>
      <c r="I1327" t="s">
        <v>121</v>
      </c>
      <c r="J1327" t="s">
        <v>122</v>
      </c>
      <c r="K1327">
        <v>0</v>
      </c>
      <c r="L1327" s="84">
        <v>1008128122</v>
      </c>
      <c r="M1327" s="84">
        <v>32260099904</v>
      </c>
    </row>
    <row r="1328" spans="3:13" hidden="1" x14ac:dyDescent="0.25">
      <c r="C1328" t="s">
        <v>64</v>
      </c>
      <c r="D1328" t="s">
        <v>120</v>
      </c>
      <c r="E1328" t="s">
        <v>60</v>
      </c>
      <c r="F1328" t="s">
        <v>124</v>
      </c>
      <c r="G1328">
        <v>8</v>
      </c>
      <c r="H1328" t="s">
        <v>18</v>
      </c>
      <c r="I1328" t="s">
        <v>121</v>
      </c>
      <c r="J1328" t="s">
        <v>122</v>
      </c>
      <c r="K1328">
        <v>0</v>
      </c>
      <c r="L1328" s="84">
        <v>-44539</v>
      </c>
      <c r="M1328" s="84">
        <v>0</v>
      </c>
    </row>
    <row r="1329" spans="3:13" hidden="1" x14ac:dyDescent="0.25">
      <c r="C1329" t="s">
        <v>64</v>
      </c>
      <c r="D1329" t="s">
        <v>120</v>
      </c>
      <c r="E1329" t="s">
        <v>63</v>
      </c>
      <c r="F1329" t="s">
        <v>24</v>
      </c>
      <c r="G1329">
        <v>3</v>
      </c>
      <c r="H1329" t="s">
        <v>17</v>
      </c>
      <c r="I1329" t="s">
        <v>121</v>
      </c>
      <c r="J1329" t="s">
        <v>122</v>
      </c>
      <c r="K1329">
        <v>0</v>
      </c>
      <c r="L1329" s="84">
        <v>182954</v>
      </c>
      <c r="M1329" s="84">
        <v>548862</v>
      </c>
    </row>
    <row r="1330" spans="3:13" hidden="1" x14ac:dyDescent="0.25">
      <c r="C1330" t="s">
        <v>65</v>
      </c>
      <c r="D1330" t="s">
        <v>120</v>
      </c>
      <c r="E1330" t="s">
        <v>60</v>
      </c>
      <c r="F1330" t="s">
        <v>24</v>
      </c>
      <c r="G1330">
        <v>2</v>
      </c>
      <c r="H1330" t="s">
        <v>14</v>
      </c>
      <c r="I1330" t="s">
        <v>121</v>
      </c>
      <c r="J1330" t="s">
        <v>122</v>
      </c>
      <c r="K1330">
        <v>0</v>
      </c>
      <c r="L1330" s="84">
        <v>-216384</v>
      </c>
      <c r="M1330" s="84">
        <v>0</v>
      </c>
    </row>
    <row r="1331" spans="3:13" hidden="1" x14ac:dyDescent="0.25">
      <c r="C1331" t="s">
        <v>119</v>
      </c>
      <c r="D1331" t="s">
        <v>125</v>
      </c>
      <c r="E1331" t="s">
        <v>60</v>
      </c>
      <c r="F1331" t="s">
        <v>24</v>
      </c>
      <c r="G1331">
        <v>15</v>
      </c>
      <c r="I1331" t="s">
        <v>121</v>
      </c>
      <c r="J1331" t="s">
        <v>122</v>
      </c>
      <c r="K1331">
        <v>0</v>
      </c>
      <c r="L1331" s="84">
        <v>-121706</v>
      </c>
      <c r="M1331" s="84">
        <v>0</v>
      </c>
    </row>
    <row r="1332" spans="3:13" hidden="1" x14ac:dyDescent="0.25">
      <c r="C1332" t="s">
        <v>64</v>
      </c>
      <c r="D1332" t="s">
        <v>125</v>
      </c>
      <c r="E1332" t="s">
        <v>60</v>
      </c>
      <c r="F1332" t="s">
        <v>24</v>
      </c>
      <c r="G1332">
        <v>34</v>
      </c>
      <c r="I1332" t="s">
        <v>121</v>
      </c>
      <c r="J1332" t="s">
        <v>122</v>
      </c>
      <c r="K1332">
        <v>0</v>
      </c>
      <c r="L1332" s="84">
        <v>-2152966</v>
      </c>
      <c r="M1332" s="84">
        <v>0</v>
      </c>
    </row>
    <row r="1333" spans="3:13" hidden="1" x14ac:dyDescent="0.25">
      <c r="C1333" t="s">
        <v>119</v>
      </c>
      <c r="D1333" t="s">
        <v>120</v>
      </c>
      <c r="E1333" t="s">
        <v>60</v>
      </c>
      <c r="F1333" t="s">
        <v>25</v>
      </c>
      <c r="G1333">
        <v>4</v>
      </c>
      <c r="H1333" t="s">
        <v>68</v>
      </c>
      <c r="I1333" t="s">
        <v>121</v>
      </c>
      <c r="J1333" t="s">
        <v>122</v>
      </c>
      <c r="K1333">
        <v>0</v>
      </c>
      <c r="L1333" s="84">
        <v>-50441</v>
      </c>
      <c r="M1333" s="84">
        <v>0</v>
      </c>
    </row>
    <row r="1334" spans="3:13" hidden="1" x14ac:dyDescent="0.25">
      <c r="C1334" t="s">
        <v>119</v>
      </c>
      <c r="D1334" t="s">
        <v>120</v>
      </c>
      <c r="E1334" t="s">
        <v>60</v>
      </c>
      <c r="F1334" t="s">
        <v>24</v>
      </c>
      <c r="G1334">
        <v>11</v>
      </c>
      <c r="H1334" t="s">
        <v>14</v>
      </c>
      <c r="I1334" t="s">
        <v>121</v>
      </c>
      <c r="J1334" t="s">
        <v>122</v>
      </c>
      <c r="K1334">
        <v>0</v>
      </c>
      <c r="L1334" s="84">
        <v>-2341</v>
      </c>
      <c r="M1334" s="84">
        <v>0</v>
      </c>
    </row>
    <row r="1335" spans="3:13" hidden="1" x14ac:dyDescent="0.25">
      <c r="C1335" t="s">
        <v>119</v>
      </c>
      <c r="D1335" t="s">
        <v>120</v>
      </c>
      <c r="E1335" t="s">
        <v>63</v>
      </c>
      <c r="F1335" t="s">
        <v>124</v>
      </c>
      <c r="G1335">
        <v>4</v>
      </c>
      <c r="H1335" t="s">
        <v>70</v>
      </c>
      <c r="I1335" t="s">
        <v>121</v>
      </c>
      <c r="J1335" t="s">
        <v>122</v>
      </c>
      <c r="K1335">
        <v>0</v>
      </c>
      <c r="L1335" s="84">
        <v>3991047</v>
      </c>
      <c r="M1335" s="84">
        <v>15964188</v>
      </c>
    </row>
    <row r="1336" spans="3:13" hidden="1" x14ac:dyDescent="0.25">
      <c r="C1336" t="s">
        <v>64</v>
      </c>
      <c r="D1336" t="s">
        <v>120</v>
      </c>
      <c r="E1336" t="s">
        <v>60</v>
      </c>
      <c r="F1336" t="s">
        <v>24</v>
      </c>
      <c r="G1336">
        <v>13</v>
      </c>
      <c r="H1336" t="s">
        <v>14</v>
      </c>
      <c r="I1336" t="s">
        <v>121</v>
      </c>
      <c r="J1336" t="s">
        <v>122</v>
      </c>
      <c r="K1336">
        <v>0</v>
      </c>
      <c r="L1336" s="84">
        <v>-12270</v>
      </c>
      <c r="M1336" s="84">
        <v>0</v>
      </c>
    </row>
    <row r="1337" spans="3:13" hidden="1" x14ac:dyDescent="0.25">
      <c r="C1337" t="s">
        <v>65</v>
      </c>
      <c r="D1337" t="s">
        <v>120</v>
      </c>
      <c r="E1337" t="s">
        <v>63</v>
      </c>
      <c r="F1337" t="s">
        <v>123</v>
      </c>
      <c r="G1337">
        <v>-4</v>
      </c>
      <c r="H1337" t="s">
        <v>69</v>
      </c>
      <c r="I1337" t="s">
        <v>121</v>
      </c>
      <c r="J1337" t="s">
        <v>122</v>
      </c>
      <c r="K1337">
        <v>0</v>
      </c>
      <c r="L1337" s="84">
        <v>297557</v>
      </c>
      <c r="M1337" s="84">
        <v>0</v>
      </c>
    </row>
    <row r="1338" spans="3:13" hidden="1" x14ac:dyDescent="0.25">
      <c r="C1338" t="s">
        <v>119</v>
      </c>
      <c r="D1338" t="s">
        <v>120</v>
      </c>
      <c r="E1338" t="s">
        <v>63</v>
      </c>
      <c r="F1338" t="s">
        <v>124</v>
      </c>
      <c r="G1338">
        <v>12</v>
      </c>
      <c r="H1338" t="s">
        <v>18</v>
      </c>
      <c r="I1338" t="s">
        <v>121</v>
      </c>
      <c r="J1338" t="s">
        <v>122</v>
      </c>
      <c r="K1338">
        <v>0</v>
      </c>
      <c r="L1338" s="84">
        <v>2126866</v>
      </c>
      <c r="M1338" s="84">
        <v>25522392</v>
      </c>
    </row>
    <row r="1339" spans="3:13" hidden="1" x14ac:dyDescent="0.25">
      <c r="C1339" t="s">
        <v>119</v>
      </c>
      <c r="D1339" t="s">
        <v>120</v>
      </c>
      <c r="E1339" t="s">
        <v>63</v>
      </c>
      <c r="F1339" t="s">
        <v>123</v>
      </c>
      <c r="G1339">
        <v>4</v>
      </c>
      <c r="H1339" t="s">
        <v>17</v>
      </c>
      <c r="I1339" t="s">
        <v>121</v>
      </c>
      <c r="J1339" t="s">
        <v>66</v>
      </c>
      <c r="K1339">
        <v>1</v>
      </c>
      <c r="L1339" s="84">
        <v>1084569</v>
      </c>
      <c r="M1339" s="84">
        <v>4338276</v>
      </c>
    </row>
    <row r="1340" spans="3:13" hidden="1" x14ac:dyDescent="0.25">
      <c r="C1340" t="s">
        <v>65</v>
      </c>
      <c r="D1340" t="s">
        <v>125</v>
      </c>
      <c r="E1340" t="s">
        <v>63</v>
      </c>
      <c r="F1340" t="s">
        <v>24</v>
      </c>
      <c r="G1340">
        <v>49</v>
      </c>
      <c r="I1340" t="s">
        <v>121</v>
      </c>
      <c r="J1340" t="s">
        <v>122</v>
      </c>
      <c r="K1340">
        <v>0</v>
      </c>
      <c r="L1340" s="84">
        <v>19870</v>
      </c>
      <c r="M1340" s="84">
        <v>973630</v>
      </c>
    </row>
    <row r="1341" spans="3:13" x14ac:dyDescent="0.25">
      <c r="C1341" t="s">
        <v>64</v>
      </c>
      <c r="D1341" t="s">
        <v>120</v>
      </c>
      <c r="E1341" t="s">
        <v>63</v>
      </c>
      <c r="F1341" t="s">
        <v>25</v>
      </c>
      <c r="G1341">
        <v>4</v>
      </c>
      <c r="H1341" t="s">
        <v>18</v>
      </c>
      <c r="I1341" t="s">
        <v>121</v>
      </c>
      <c r="J1341" t="s">
        <v>66</v>
      </c>
      <c r="K1341">
        <v>1</v>
      </c>
      <c r="L1341" s="84">
        <v>62324</v>
      </c>
      <c r="M1341" s="84">
        <v>249296</v>
      </c>
    </row>
    <row r="1342" spans="3:13" hidden="1" x14ac:dyDescent="0.25">
      <c r="C1342" t="s">
        <v>119</v>
      </c>
      <c r="D1342" t="s">
        <v>120</v>
      </c>
      <c r="E1342" t="s">
        <v>63</v>
      </c>
      <c r="F1342" t="s">
        <v>124</v>
      </c>
      <c r="G1342">
        <v>-1</v>
      </c>
      <c r="H1342" t="s">
        <v>16</v>
      </c>
      <c r="I1342" t="s">
        <v>121</v>
      </c>
      <c r="J1342" t="s">
        <v>122</v>
      </c>
      <c r="K1342">
        <v>0</v>
      </c>
      <c r="L1342" s="84">
        <v>7328397</v>
      </c>
      <c r="M1342" s="84">
        <v>0</v>
      </c>
    </row>
    <row r="1343" spans="3:13" hidden="1" x14ac:dyDescent="0.25">
      <c r="C1343" t="s">
        <v>65</v>
      </c>
      <c r="D1343" t="s">
        <v>120</v>
      </c>
      <c r="E1343" t="s">
        <v>60</v>
      </c>
      <c r="F1343" t="s">
        <v>124</v>
      </c>
      <c r="G1343">
        <v>-1</v>
      </c>
      <c r="H1343" t="s">
        <v>14</v>
      </c>
      <c r="I1343" t="s">
        <v>121</v>
      </c>
      <c r="J1343" t="s">
        <v>66</v>
      </c>
      <c r="K1343">
        <v>1</v>
      </c>
      <c r="L1343" s="84">
        <v>-3641359</v>
      </c>
      <c r="M1343" s="84">
        <v>0</v>
      </c>
    </row>
    <row r="1344" spans="3:13" hidden="1" x14ac:dyDescent="0.25">
      <c r="C1344" t="s">
        <v>119</v>
      </c>
      <c r="D1344" t="s">
        <v>120</v>
      </c>
      <c r="E1344" t="s">
        <v>63</v>
      </c>
      <c r="F1344" t="s">
        <v>24</v>
      </c>
      <c r="G1344">
        <v>13</v>
      </c>
      <c r="H1344" t="s">
        <v>72</v>
      </c>
      <c r="I1344" t="s">
        <v>121</v>
      </c>
      <c r="J1344" t="s">
        <v>122</v>
      </c>
      <c r="K1344">
        <v>0</v>
      </c>
      <c r="L1344" s="84">
        <v>116221</v>
      </c>
      <c r="M1344" s="84">
        <v>1510873</v>
      </c>
    </row>
    <row r="1345" spans="3:13" hidden="1" x14ac:dyDescent="0.25">
      <c r="C1345" t="s">
        <v>119</v>
      </c>
      <c r="D1345" t="s">
        <v>120</v>
      </c>
      <c r="E1345" t="s">
        <v>60</v>
      </c>
      <c r="F1345" t="s">
        <v>124</v>
      </c>
      <c r="G1345">
        <v>5</v>
      </c>
      <c r="H1345" t="s">
        <v>12</v>
      </c>
      <c r="I1345" t="s">
        <v>121</v>
      </c>
      <c r="J1345" t="s">
        <v>122</v>
      </c>
      <c r="K1345">
        <v>0</v>
      </c>
      <c r="L1345" s="84">
        <v>-9892</v>
      </c>
      <c r="M1345" s="84">
        <v>0</v>
      </c>
    </row>
    <row r="1346" spans="3:13" hidden="1" x14ac:dyDescent="0.25">
      <c r="C1346" t="s">
        <v>119</v>
      </c>
      <c r="D1346" t="s">
        <v>120</v>
      </c>
      <c r="E1346" t="s">
        <v>63</v>
      </c>
      <c r="F1346" t="s">
        <v>24</v>
      </c>
      <c r="G1346">
        <v>1</v>
      </c>
      <c r="H1346" t="s">
        <v>16</v>
      </c>
      <c r="I1346" t="s">
        <v>121</v>
      </c>
      <c r="J1346" t="s">
        <v>122</v>
      </c>
      <c r="K1346">
        <v>0</v>
      </c>
      <c r="L1346" s="84">
        <v>6036</v>
      </c>
      <c r="M1346" s="84">
        <v>6036</v>
      </c>
    </row>
    <row r="1347" spans="3:13" hidden="1" x14ac:dyDescent="0.25">
      <c r="C1347" t="s">
        <v>119</v>
      </c>
      <c r="D1347" t="s">
        <v>120</v>
      </c>
      <c r="E1347" t="s">
        <v>60</v>
      </c>
      <c r="F1347" t="s">
        <v>123</v>
      </c>
      <c r="G1347">
        <v>5</v>
      </c>
      <c r="H1347" t="s">
        <v>17</v>
      </c>
      <c r="I1347" t="s">
        <v>62</v>
      </c>
      <c r="J1347" t="s">
        <v>66</v>
      </c>
      <c r="K1347">
        <v>1</v>
      </c>
      <c r="L1347" s="84">
        <v>-1174</v>
      </c>
      <c r="M1347" s="84">
        <v>0</v>
      </c>
    </row>
    <row r="1348" spans="3:13" hidden="1" x14ac:dyDescent="0.25">
      <c r="C1348" t="s">
        <v>65</v>
      </c>
      <c r="D1348" t="s">
        <v>120</v>
      </c>
      <c r="E1348" t="s">
        <v>60</v>
      </c>
      <c r="F1348" t="s">
        <v>25</v>
      </c>
      <c r="G1348">
        <v>8</v>
      </c>
      <c r="H1348" t="s">
        <v>76</v>
      </c>
      <c r="I1348" t="s">
        <v>121</v>
      </c>
      <c r="J1348" t="s">
        <v>122</v>
      </c>
      <c r="K1348">
        <v>0</v>
      </c>
      <c r="L1348" s="84">
        <v>-1803085</v>
      </c>
      <c r="M1348" s="84">
        <v>0</v>
      </c>
    </row>
    <row r="1349" spans="3:13" hidden="1" x14ac:dyDescent="0.25">
      <c r="C1349" t="s">
        <v>65</v>
      </c>
      <c r="D1349" t="s">
        <v>120</v>
      </c>
      <c r="E1349" t="s">
        <v>60</v>
      </c>
      <c r="F1349" t="s">
        <v>124</v>
      </c>
      <c r="G1349">
        <v>5</v>
      </c>
      <c r="H1349" t="s">
        <v>14</v>
      </c>
      <c r="I1349" t="s">
        <v>121</v>
      </c>
      <c r="J1349" t="s">
        <v>122</v>
      </c>
      <c r="K1349">
        <v>0</v>
      </c>
      <c r="L1349" s="84">
        <v>-2516598</v>
      </c>
      <c r="M1349" s="84">
        <v>0</v>
      </c>
    </row>
    <row r="1350" spans="3:13" hidden="1" x14ac:dyDescent="0.25">
      <c r="C1350" t="s">
        <v>64</v>
      </c>
      <c r="D1350" t="s">
        <v>120</v>
      </c>
      <c r="E1350" t="s">
        <v>60</v>
      </c>
      <c r="F1350" t="s">
        <v>123</v>
      </c>
      <c r="G1350">
        <v>5</v>
      </c>
      <c r="H1350" t="s">
        <v>67</v>
      </c>
      <c r="I1350" t="s">
        <v>121</v>
      </c>
      <c r="J1350" t="s">
        <v>122</v>
      </c>
      <c r="K1350">
        <v>0</v>
      </c>
      <c r="L1350" s="84">
        <v>-12831</v>
      </c>
      <c r="M1350" s="84">
        <v>0</v>
      </c>
    </row>
    <row r="1351" spans="3:13" hidden="1" x14ac:dyDescent="0.25">
      <c r="C1351" t="s">
        <v>119</v>
      </c>
      <c r="D1351" t="s">
        <v>120</v>
      </c>
      <c r="E1351" t="s">
        <v>63</v>
      </c>
      <c r="F1351" t="s">
        <v>25</v>
      </c>
      <c r="G1351">
        <v>13</v>
      </c>
      <c r="H1351" t="s">
        <v>69</v>
      </c>
      <c r="I1351" t="s">
        <v>121</v>
      </c>
      <c r="J1351" t="s">
        <v>122</v>
      </c>
      <c r="K1351">
        <v>0</v>
      </c>
      <c r="L1351" s="84">
        <v>66468291</v>
      </c>
      <c r="M1351" s="84">
        <v>864087783</v>
      </c>
    </row>
    <row r="1352" spans="3:13" hidden="1" x14ac:dyDescent="0.25">
      <c r="C1352" t="s">
        <v>119</v>
      </c>
      <c r="D1352" t="s">
        <v>120</v>
      </c>
      <c r="E1352" t="s">
        <v>60</v>
      </c>
      <c r="F1352" t="s">
        <v>24</v>
      </c>
      <c r="G1352">
        <v>15</v>
      </c>
      <c r="H1352" t="s">
        <v>69</v>
      </c>
      <c r="I1352" t="s">
        <v>121</v>
      </c>
      <c r="J1352" t="s">
        <v>122</v>
      </c>
      <c r="K1352">
        <v>0</v>
      </c>
      <c r="L1352" s="84">
        <v>-3192</v>
      </c>
      <c r="M1352" s="84">
        <v>0</v>
      </c>
    </row>
    <row r="1353" spans="3:13" hidden="1" x14ac:dyDescent="0.25">
      <c r="C1353" t="s">
        <v>119</v>
      </c>
      <c r="D1353" t="s">
        <v>126</v>
      </c>
      <c r="E1353" t="s">
        <v>63</v>
      </c>
      <c r="F1353" t="s">
        <v>24</v>
      </c>
      <c r="G1353">
        <v>16</v>
      </c>
      <c r="H1353" t="s">
        <v>74</v>
      </c>
      <c r="I1353" t="s">
        <v>121</v>
      </c>
      <c r="J1353" t="s">
        <v>122</v>
      </c>
      <c r="K1353">
        <v>0</v>
      </c>
      <c r="L1353" s="84">
        <v>10943585</v>
      </c>
      <c r="M1353" s="84">
        <v>175097360</v>
      </c>
    </row>
    <row r="1354" spans="3:13" hidden="1" x14ac:dyDescent="0.25">
      <c r="C1354" t="s">
        <v>119</v>
      </c>
      <c r="D1354" t="s">
        <v>120</v>
      </c>
      <c r="E1354" t="s">
        <v>63</v>
      </c>
      <c r="F1354" t="s">
        <v>24</v>
      </c>
      <c r="G1354">
        <v>5</v>
      </c>
      <c r="H1354" t="s">
        <v>75</v>
      </c>
      <c r="I1354" t="s">
        <v>121</v>
      </c>
      <c r="J1354" t="s">
        <v>122</v>
      </c>
      <c r="K1354">
        <v>0</v>
      </c>
      <c r="L1354" s="84">
        <v>63633</v>
      </c>
      <c r="M1354" s="84">
        <v>318165</v>
      </c>
    </row>
    <row r="1355" spans="3:13" hidden="1" x14ac:dyDescent="0.25">
      <c r="C1355" t="s">
        <v>64</v>
      </c>
      <c r="D1355" t="s">
        <v>120</v>
      </c>
      <c r="E1355" t="s">
        <v>60</v>
      </c>
      <c r="F1355" t="s">
        <v>25</v>
      </c>
      <c r="G1355">
        <v>1</v>
      </c>
      <c r="H1355" t="s">
        <v>14</v>
      </c>
      <c r="I1355" t="s">
        <v>121</v>
      </c>
      <c r="J1355" t="s">
        <v>66</v>
      </c>
      <c r="K1355">
        <v>1</v>
      </c>
      <c r="L1355" s="84">
        <v>-101337</v>
      </c>
      <c r="M1355" s="84">
        <v>0</v>
      </c>
    </row>
    <row r="1356" spans="3:13" hidden="1" x14ac:dyDescent="0.25">
      <c r="C1356" t="s">
        <v>65</v>
      </c>
      <c r="D1356" t="s">
        <v>125</v>
      </c>
      <c r="E1356" t="s">
        <v>60</v>
      </c>
      <c r="F1356" t="s">
        <v>24</v>
      </c>
      <c r="G1356">
        <v>34</v>
      </c>
      <c r="I1356" t="s">
        <v>121</v>
      </c>
      <c r="J1356" t="s">
        <v>122</v>
      </c>
      <c r="K1356">
        <v>0</v>
      </c>
      <c r="L1356" s="84">
        <v>-1326195</v>
      </c>
      <c r="M1356" s="84">
        <v>0</v>
      </c>
    </row>
    <row r="1357" spans="3:13" hidden="1" x14ac:dyDescent="0.25">
      <c r="C1357" t="s">
        <v>119</v>
      </c>
      <c r="D1357" t="s">
        <v>120</v>
      </c>
      <c r="E1357" t="s">
        <v>63</v>
      </c>
      <c r="F1357" t="s">
        <v>123</v>
      </c>
      <c r="G1357">
        <v>6</v>
      </c>
      <c r="H1357" t="s">
        <v>18</v>
      </c>
      <c r="I1357" t="s">
        <v>121</v>
      </c>
      <c r="J1357" t="s">
        <v>122</v>
      </c>
      <c r="K1357">
        <v>0</v>
      </c>
      <c r="L1357" s="84">
        <v>2304495</v>
      </c>
      <c r="M1357" s="84">
        <v>13826970</v>
      </c>
    </row>
    <row r="1358" spans="3:13" hidden="1" x14ac:dyDescent="0.25">
      <c r="C1358" t="s">
        <v>64</v>
      </c>
      <c r="D1358" t="s">
        <v>120</v>
      </c>
      <c r="E1358" t="s">
        <v>63</v>
      </c>
      <c r="F1358" t="s">
        <v>124</v>
      </c>
      <c r="G1358">
        <v>4</v>
      </c>
      <c r="H1358" t="s">
        <v>18</v>
      </c>
      <c r="I1358" t="s">
        <v>121</v>
      </c>
      <c r="J1358" t="s">
        <v>66</v>
      </c>
      <c r="K1358">
        <v>1</v>
      </c>
      <c r="L1358" s="84">
        <v>1078681</v>
      </c>
      <c r="M1358" s="84">
        <v>4314724</v>
      </c>
    </row>
    <row r="1359" spans="3:13" hidden="1" x14ac:dyDescent="0.25">
      <c r="C1359" t="s">
        <v>119</v>
      </c>
      <c r="D1359" t="s">
        <v>120</v>
      </c>
      <c r="E1359" t="s">
        <v>60</v>
      </c>
      <c r="F1359" t="s">
        <v>25</v>
      </c>
      <c r="G1359">
        <v>15</v>
      </c>
      <c r="H1359" t="s">
        <v>69</v>
      </c>
      <c r="I1359" t="s">
        <v>121</v>
      </c>
      <c r="J1359" t="s">
        <v>122</v>
      </c>
      <c r="K1359">
        <v>0</v>
      </c>
      <c r="L1359" s="84">
        <v>-8499</v>
      </c>
      <c r="M1359" s="84">
        <v>0</v>
      </c>
    </row>
    <row r="1360" spans="3:13" hidden="1" x14ac:dyDescent="0.25">
      <c r="C1360" t="s">
        <v>64</v>
      </c>
      <c r="D1360" t="s">
        <v>120</v>
      </c>
      <c r="E1360" t="s">
        <v>63</v>
      </c>
      <c r="F1360" t="s">
        <v>24</v>
      </c>
      <c r="G1360">
        <v>3</v>
      </c>
      <c r="H1360" t="s">
        <v>17</v>
      </c>
      <c r="I1360" t="s">
        <v>121</v>
      </c>
      <c r="J1360" t="s">
        <v>66</v>
      </c>
      <c r="K1360">
        <v>1</v>
      </c>
      <c r="L1360" s="84">
        <v>105320</v>
      </c>
      <c r="M1360" s="84">
        <v>315960</v>
      </c>
    </row>
    <row r="1361" spans="3:13" hidden="1" x14ac:dyDescent="0.25">
      <c r="C1361" t="s">
        <v>119</v>
      </c>
      <c r="D1361" t="s">
        <v>120</v>
      </c>
      <c r="E1361" t="s">
        <v>63</v>
      </c>
      <c r="F1361" t="s">
        <v>24</v>
      </c>
      <c r="G1361">
        <v>0</v>
      </c>
      <c r="H1361" t="s">
        <v>18</v>
      </c>
      <c r="I1361" t="s">
        <v>121</v>
      </c>
      <c r="J1361" t="s">
        <v>122</v>
      </c>
      <c r="K1361">
        <v>0</v>
      </c>
      <c r="L1361" s="84">
        <v>56277</v>
      </c>
      <c r="M1361" s="84">
        <v>0</v>
      </c>
    </row>
    <row r="1362" spans="3:13" hidden="1" x14ac:dyDescent="0.25">
      <c r="C1362" t="s">
        <v>64</v>
      </c>
      <c r="D1362" t="s">
        <v>120</v>
      </c>
      <c r="E1362" t="s">
        <v>60</v>
      </c>
      <c r="F1362" t="s">
        <v>123</v>
      </c>
      <c r="G1362">
        <v>5</v>
      </c>
      <c r="H1362" t="s">
        <v>17</v>
      </c>
      <c r="I1362" t="s">
        <v>62</v>
      </c>
      <c r="J1362" t="s">
        <v>66</v>
      </c>
      <c r="K1362">
        <v>1</v>
      </c>
      <c r="L1362" s="84">
        <v>-6016</v>
      </c>
      <c r="M1362" s="84">
        <v>0</v>
      </c>
    </row>
    <row r="1363" spans="3:13" hidden="1" x14ac:dyDescent="0.25">
      <c r="C1363" t="s">
        <v>65</v>
      </c>
      <c r="D1363" t="s">
        <v>120</v>
      </c>
      <c r="E1363" t="s">
        <v>60</v>
      </c>
      <c r="F1363" t="s">
        <v>123</v>
      </c>
      <c r="G1363">
        <v>3</v>
      </c>
      <c r="H1363" t="s">
        <v>14</v>
      </c>
      <c r="I1363" t="s">
        <v>121</v>
      </c>
      <c r="J1363" t="s">
        <v>66</v>
      </c>
      <c r="K1363">
        <v>1</v>
      </c>
      <c r="L1363" s="84">
        <v>-320131</v>
      </c>
      <c r="M1363" s="84">
        <v>0</v>
      </c>
    </row>
    <row r="1364" spans="3:13" hidden="1" x14ac:dyDescent="0.25">
      <c r="C1364" t="s">
        <v>119</v>
      </c>
      <c r="D1364" t="s">
        <v>120</v>
      </c>
      <c r="E1364" t="s">
        <v>63</v>
      </c>
      <c r="F1364" t="s">
        <v>25</v>
      </c>
      <c r="G1364">
        <v>10</v>
      </c>
      <c r="H1364" t="s">
        <v>14</v>
      </c>
      <c r="I1364" t="s">
        <v>121</v>
      </c>
      <c r="J1364" t="s">
        <v>122</v>
      </c>
      <c r="K1364">
        <v>0</v>
      </c>
      <c r="L1364" s="84">
        <v>8362468</v>
      </c>
      <c r="M1364" s="84">
        <v>83624680</v>
      </c>
    </row>
    <row r="1365" spans="3:13" hidden="1" x14ac:dyDescent="0.25">
      <c r="C1365" t="s">
        <v>64</v>
      </c>
      <c r="D1365" t="s">
        <v>120</v>
      </c>
      <c r="E1365" t="s">
        <v>63</v>
      </c>
      <c r="F1365" t="s">
        <v>25</v>
      </c>
      <c r="G1365">
        <v>11</v>
      </c>
      <c r="H1365" t="s">
        <v>61</v>
      </c>
      <c r="I1365" t="s">
        <v>121</v>
      </c>
      <c r="J1365" t="s">
        <v>122</v>
      </c>
      <c r="K1365">
        <v>0</v>
      </c>
      <c r="L1365" s="84">
        <v>16650325</v>
      </c>
      <c r="M1365" s="84">
        <v>183153575</v>
      </c>
    </row>
    <row r="1366" spans="3:13" hidden="1" x14ac:dyDescent="0.25">
      <c r="C1366" t="s">
        <v>119</v>
      </c>
      <c r="D1366" t="s">
        <v>120</v>
      </c>
      <c r="E1366" t="s">
        <v>60</v>
      </c>
      <c r="F1366" t="s">
        <v>124</v>
      </c>
      <c r="G1366">
        <v>6</v>
      </c>
      <c r="H1366" t="s">
        <v>18</v>
      </c>
      <c r="I1366" t="s">
        <v>121</v>
      </c>
      <c r="J1366" t="s">
        <v>122</v>
      </c>
      <c r="K1366">
        <v>0</v>
      </c>
      <c r="L1366" s="84">
        <v>-16109</v>
      </c>
      <c r="M1366" s="84">
        <v>0</v>
      </c>
    </row>
    <row r="1367" spans="3:13" hidden="1" x14ac:dyDescent="0.25">
      <c r="C1367" t="s">
        <v>119</v>
      </c>
      <c r="D1367" t="s">
        <v>125</v>
      </c>
      <c r="E1367" t="s">
        <v>63</v>
      </c>
      <c r="F1367" t="s">
        <v>25</v>
      </c>
      <c r="G1367">
        <v>26</v>
      </c>
      <c r="I1367" t="s">
        <v>121</v>
      </c>
      <c r="J1367" t="s">
        <v>122</v>
      </c>
      <c r="K1367">
        <v>0</v>
      </c>
      <c r="L1367" s="84">
        <v>397316</v>
      </c>
      <c r="M1367" s="84">
        <v>10330216</v>
      </c>
    </row>
    <row r="1368" spans="3:13" hidden="1" x14ac:dyDescent="0.25">
      <c r="C1368" t="s">
        <v>65</v>
      </c>
      <c r="D1368" t="s">
        <v>120</v>
      </c>
      <c r="E1368" t="s">
        <v>63</v>
      </c>
      <c r="F1368" t="s">
        <v>124</v>
      </c>
      <c r="G1368">
        <v>-4</v>
      </c>
      <c r="I1368" t="s">
        <v>121</v>
      </c>
      <c r="J1368" t="s">
        <v>122</v>
      </c>
      <c r="K1368">
        <v>0</v>
      </c>
      <c r="L1368" s="84">
        <v>20467</v>
      </c>
      <c r="M1368" s="84">
        <v>0</v>
      </c>
    </row>
    <row r="1369" spans="3:13" hidden="1" x14ac:dyDescent="0.25">
      <c r="C1369" t="s">
        <v>119</v>
      </c>
      <c r="D1369" t="s">
        <v>120</v>
      </c>
      <c r="E1369" t="s">
        <v>63</v>
      </c>
      <c r="F1369" t="s">
        <v>124</v>
      </c>
      <c r="G1369">
        <v>7</v>
      </c>
      <c r="H1369" t="s">
        <v>72</v>
      </c>
      <c r="I1369" t="s">
        <v>121</v>
      </c>
      <c r="J1369" t="s">
        <v>122</v>
      </c>
      <c r="K1369">
        <v>0</v>
      </c>
      <c r="L1369" s="84">
        <v>683978</v>
      </c>
      <c r="M1369" s="84">
        <v>4787846</v>
      </c>
    </row>
    <row r="1370" spans="3:13" hidden="1" x14ac:dyDescent="0.25">
      <c r="C1370" t="s">
        <v>64</v>
      </c>
      <c r="D1370" t="s">
        <v>120</v>
      </c>
      <c r="E1370" t="s">
        <v>60</v>
      </c>
      <c r="F1370" t="s">
        <v>24</v>
      </c>
      <c r="G1370">
        <v>2</v>
      </c>
      <c r="H1370" t="s">
        <v>18</v>
      </c>
      <c r="I1370" t="s">
        <v>121</v>
      </c>
      <c r="J1370" t="s">
        <v>122</v>
      </c>
      <c r="K1370">
        <v>0</v>
      </c>
      <c r="L1370" s="84">
        <v>-90</v>
      </c>
      <c r="M1370" s="84">
        <v>0</v>
      </c>
    </row>
    <row r="1371" spans="3:13" hidden="1" x14ac:dyDescent="0.25">
      <c r="C1371" t="s">
        <v>119</v>
      </c>
      <c r="D1371" t="s">
        <v>120</v>
      </c>
      <c r="E1371" t="s">
        <v>60</v>
      </c>
      <c r="F1371" t="s">
        <v>24</v>
      </c>
      <c r="G1371">
        <v>7</v>
      </c>
      <c r="H1371" t="s">
        <v>14</v>
      </c>
      <c r="I1371" t="s">
        <v>121</v>
      </c>
      <c r="J1371" t="s">
        <v>66</v>
      </c>
      <c r="K1371">
        <v>1</v>
      </c>
      <c r="L1371" s="84">
        <v>-426</v>
      </c>
      <c r="M1371" s="84">
        <v>0</v>
      </c>
    </row>
    <row r="1372" spans="3:13" hidden="1" x14ac:dyDescent="0.25">
      <c r="C1372" t="s">
        <v>119</v>
      </c>
      <c r="D1372" t="s">
        <v>120</v>
      </c>
      <c r="E1372" t="s">
        <v>63</v>
      </c>
      <c r="F1372" t="s">
        <v>124</v>
      </c>
      <c r="G1372">
        <v>-1</v>
      </c>
      <c r="H1372" t="s">
        <v>74</v>
      </c>
      <c r="I1372" t="s">
        <v>121</v>
      </c>
      <c r="J1372" t="s">
        <v>122</v>
      </c>
      <c r="K1372">
        <v>0</v>
      </c>
      <c r="L1372" s="84">
        <v>290782</v>
      </c>
      <c r="M1372" s="84">
        <v>0</v>
      </c>
    </row>
    <row r="1373" spans="3:13" hidden="1" x14ac:dyDescent="0.25">
      <c r="C1373" t="s">
        <v>119</v>
      </c>
      <c r="D1373" t="s">
        <v>125</v>
      </c>
      <c r="E1373" t="s">
        <v>63</v>
      </c>
      <c r="F1373" t="s">
        <v>24</v>
      </c>
      <c r="G1373">
        <v>30</v>
      </c>
      <c r="I1373" t="s">
        <v>121</v>
      </c>
      <c r="J1373" t="s">
        <v>122</v>
      </c>
      <c r="K1373">
        <v>0</v>
      </c>
      <c r="L1373" s="84">
        <v>822915437</v>
      </c>
      <c r="M1373" s="84">
        <v>24687463110</v>
      </c>
    </row>
    <row r="1374" spans="3:13" hidden="1" x14ac:dyDescent="0.25">
      <c r="C1374" t="s">
        <v>119</v>
      </c>
      <c r="D1374" t="s">
        <v>120</v>
      </c>
      <c r="E1374" t="s">
        <v>63</v>
      </c>
      <c r="F1374" t="s">
        <v>123</v>
      </c>
      <c r="G1374">
        <v>5</v>
      </c>
      <c r="H1374" t="s">
        <v>12</v>
      </c>
      <c r="I1374" t="s">
        <v>121</v>
      </c>
      <c r="J1374" t="s">
        <v>122</v>
      </c>
      <c r="K1374">
        <v>0</v>
      </c>
      <c r="L1374" s="84">
        <v>420115</v>
      </c>
      <c r="M1374" s="84">
        <v>2100575</v>
      </c>
    </row>
    <row r="1375" spans="3:13" hidden="1" x14ac:dyDescent="0.25">
      <c r="C1375" t="s">
        <v>64</v>
      </c>
      <c r="D1375" t="s">
        <v>120</v>
      </c>
      <c r="E1375" t="s">
        <v>63</v>
      </c>
      <c r="F1375" t="s">
        <v>25</v>
      </c>
      <c r="G1375">
        <v>4</v>
      </c>
      <c r="H1375" t="s">
        <v>69</v>
      </c>
      <c r="I1375" t="s">
        <v>121</v>
      </c>
      <c r="J1375" t="s">
        <v>122</v>
      </c>
      <c r="K1375">
        <v>0</v>
      </c>
      <c r="L1375" s="84">
        <v>1471647</v>
      </c>
      <c r="M1375" s="84">
        <v>5886588</v>
      </c>
    </row>
    <row r="1376" spans="3:13" hidden="1" x14ac:dyDescent="0.25">
      <c r="C1376" t="s">
        <v>119</v>
      </c>
      <c r="D1376" t="s">
        <v>120</v>
      </c>
      <c r="E1376" t="s">
        <v>63</v>
      </c>
      <c r="F1376" t="s">
        <v>25</v>
      </c>
      <c r="G1376">
        <v>8</v>
      </c>
      <c r="H1376" t="s">
        <v>73</v>
      </c>
      <c r="I1376" t="s">
        <v>121</v>
      </c>
      <c r="J1376" t="s">
        <v>122</v>
      </c>
      <c r="K1376">
        <v>0</v>
      </c>
      <c r="L1376" s="84">
        <v>536530</v>
      </c>
      <c r="M1376" s="84">
        <v>4292240</v>
      </c>
    </row>
    <row r="1377" spans="3:13" hidden="1" x14ac:dyDescent="0.25">
      <c r="C1377" t="s">
        <v>119</v>
      </c>
      <c r="D1377" t="s">
        <v>120</v>
      </c>
      <c r="E1377" t="s">
        <v>63</v>
      </c>
      <c r="F1377" t="s">
        <v>24</v>
      </c>
      <c r="G1377">
        <v>16</v>
      </c>
      <c r="H1377" t="s">
        <v>72</v>
      </c>
      <c r="I1377" t="s">
        <v>121</v>
      </c>
      <c r="J1377" t="s">
        <v>122</v>
      </c>
      <c r="K1377">
        <v>0</v>
      </c>
      <c r="L1377" s="84">
        <v>310986</v>
      </c>
      <c r="M1377" s="84">
        <v>4975776</v>
      </c>
    </row>
    <row r="1378" spans="3:13" hidden="1" x14ac:dyDescent="0.25">
      <c r="C1378" t="s">
        <v>64</v>
      </c>
      <c r="D1378" t="s">
        <v>120</v>
      </c>
      <c r="E1378" t="s">
        <v>60</v>
      </c>
      <c r="F1378" t="s">
        <v>123</v>
      </c>
      <c r="G1378">
        <v>3</v>
      </c>
      <c r="H1378" t="s">
        <v>17</v>
      </c>
      <c r="I1378" t="s">
        <v>62</v>
      </c>
      <c r="J1378" t="s">
        <v>66</v>
      </c>
      <c r="K1378">
        <v>1</v>
      </c>
      <c r="L1378" s="84">
        <v>-1391</v>
      </c>
      <c r="M1378" s="84">
        <v>0</v>
      </c>
    </row>
    <row r="1379" spans="3:13" hidden="1" x14ac:dyDescent="0.25">
      <c r="C1379" t="s">
        <v>65</v>
      </c>
      <c r="D1379" t="s">
        <v>120</v>
      </c>
      <c r="E1379" t="s">
        <v>60</v>
      </c>
      <c r="F1379" t="s">
        <v>123</v>
      </c>
      <c r="G1379">
        <v>5</v>
      </c>
      <c r="H1379" t="s">
        <v>14</v>
      </c>
      <c r="I1379" t="s">
        <v>121</v>
      </c>
      <c r="J1379" t="s">
        <v>66</v>
      </c>
      <c r="K1379">
        <v>1</v>
      </c>
      <c r="L1379" s="84">
        <v>-84437</v>
      </c>
      <c r="M1379" s="84">
        <v>0</v>
      </c>
    </row>
    <row r="1380" spans="3:13" hidden="1" x14ac:dyDescent="0.25">
      <c r="C1380" t="s">
        <v>119</v>
      </c>
      <c r="D1380" t="s">
        <v>120</v>
      </c>
      <c r="E1380" t="s">
        <v>63</v>
      </c>
      <c r="F1380" t="s">
        <v>124</v>
      </c>
      <c r="G1380">
        <v>4</v>
      </c>
      <c r="H1380" t="s">
        <v>15</v>
      </c>
      <c r="I1380" t="s">
        <v>121</v>
      </c>
      <c r="J1380" t="s">
        <v>122</v>
      </c>
      <c r="K1380">
        <v>0</v>
      </c>
      <c r="L1380" s="84">
        <v>27316</v>
      </c>
      <c r="M1380" s="84">
        <v>109264</v>
      </c>
    </row>
    <row r="1381" spans="3:13" hidden="1" x14ac:dyDescent="0.25">
      <c r="C1381" t="s">
        <v>65</v>
      </c>
      <c r="D1381" t="s">
        <v>125</v>
      </c>
      <c r="E1381" t="s">
        <v>63</v>
      </c>
      <c r="F1381" t="s">
        <v>24</v>
      </c>
      <c r="G1381">
        <v>10</v>
      </c>
      <c r="I1381" t="s">
        <v>121</v>
      </c>
      <c r="J1381" t="s">
        <v>122</v>
      </c>
      <c r="K1381">
        <v>0</v>
      </c>
      <c r="L1381" s="84">
        <v>2467389</v>
      </c>
      <c r="M1381" s="84">
        <v>24673890</v>
      </c>
    </row>
    <row r="1382" spans="3:13" hidden="1" x14ac:dyDescent="0.25">
      <c r="C1382" t="s">
        <v>65</v>
      </c>
      <c r="D1382" t="s">
        <v>120</v>
      </c>
      <c r="E1382" t="s">
        <v>63</v>
      </c>
      <c r="F1382" t="s">
        <v>124</v>
      </c>
      <c r="G1382">
        <v>-1</v>
      </c>
      <c r="H1382" t="s">
        <v>12</v>
      </c>
      <c r="I1382" t="s">
        <v>121</v>
      </c>
      <c r="J1382" t="s">
        <v>122</v>
      </c>
      <c r="K1382">
        <v>0</v>
      </c>
      <c r="L1382" s="84">
        <v>480736</v>
      </c>
      <c r="M1382" s="84">
        <v>0</v>
      </c>
    </row>
    <row r="1383" spans="3:13" hidden="1" x14ac:dyDescent="0.25">
      <c r="C1383" t="s">
        <v>119</v>
      </c>
      <c r="D1383" t="s">
        <v>126</v>
      </c>
      <c r="E1383" t="s">
        <v>60</v>
      </c>
      <c r="F1383" t="s">
        <v>25</v>
      </c>
      <c r="G1383">
        <v>7</v>
      </c>
      <c r="H1383" t="s">
        <v>69</v>
      </c>
      <c r="I1383" t="s">
        <v>121</v>
      </c>
      <c r="J1383" t="s">
        <v>122</v>
      </c>
      <c r="K1383">
        <v>0</v>
      </c>
      <c r="L1383" s="84">
        <v>-8828</v>
      </c>
      <c r="M1383" s="84">
        <v>0</v>
      </c>
    </row>
    <row r="1384" spans="3:13" hidden="1" x14ac:dyDescent="0.25">
      <c r="C1384" t="s">
        <v>119</v>
      </c>
      <c r="D1384" t="s">
        <v>120</v>
      </c>
      <c r="E1384" t="s">
        <v>63</v>
      </c>
      <c r="F1384" t="s">
        <v>124</v>
      </c>
      <c r="G1384">
        <v>6</v>
      </c>
      <c r="H1384" t="s">
        <v>76</v>
      </c>
      <c r="I1384" t="s">
        <v>121</v>
      </c>
      <c r="J1384" t="s">
        <v>122</v>
      </c>
      <c r="K1384">
        <v>0</v>
      </c>
      <c r="L1384" s="84">
        <v>10782097</v>
      </c>
      <c r="M1384" s="84">
        <v>64692582</v>
      </c>
    </row>
    <row r="1385" spans="3:13" hidden="1" x14ac:dyDescent="0.25">
      <c r="C1385" t="s">
        <v>119</v>
      </c>
      <c r="D1385" t="s">
        <v>120</v>
      </c>
      <c r="E1385" t="s">
        <v>60</v>
      </c>
      <c r="F1385" t="s">
        <v>123</v>
      </c>
      <c r="G1385">
        <v>5</v>
      </c>
      <c r="H1385" t="s">
        <v>14</v>
      </c>
      <c r="I1385" t="s">
        <v>121</v>
      </c>
      <c r="J1385" t="s">
        <v>122</v>
      </c>
      <c r="K1385">
        <v>0</v>
      </c>
      <c r="L1385" s="84">
        <v>-16331</v>
      </c>
      <c r="M1385" s="84">
        <v>0</v>
      </c>
    </row>
    <row r="1386" spans="3:13" hidden="1" x14ac:dyDescent="0.25">
      <c r="C1386" t="s">
        <v>119</v>
      </c>
      <c r="D1386" t="s">
        <v>120</v>
      </c>
      <c r="E1386" t="s">
        <v>60</v>
      </c>
      <c r="F1386" t="s">
        <v>24</v>
      </c>
      <c r="G1386">
        <v>8</v>
      </c>
      <c r="H1386" t="s">
        <v>17</v>
      </c>
      <c r="I1386" t="s">
        <v>121</v>
      </c>
      <c r="J1386" t="s">
        <v>66</v>
      </c>
      <c r="K1386">
        <v>1</v>
      </c>
      <c r="L1386" s="84">
        <v>-832</v>
      </c>
      <c r="M1386" s="84">
        <v>0</v>
      </c>
    </row>
    <row r="1387" spans="3:13" hidden="1" x14ac:dyDescent="0.25">
      <c r="C1387" t="s">
        <v>119</v>
      </c>
      <c r="D1387" t="s">
        <v>120</v>
      </c>
      <c r="E1387" t="s">
        <v>60</v>
      </c>
      <c r="F1387" t="s">
        <v>123</v>
      </c>
      <c r="G1387">
        <v>4</v>
      </c>
      <c r="H1387" t="s">
        <v>73</v>
      </c>
      <c r="I1387" t="s">
        <v>121</v>
      </c>
      <c r="J1387" t="s">
        <v>122</v>
      </c>
      <c r="K1387">
        <v>0</v>
      </c>
      <c r="L1387" s="84">
        <v>-2187</v>
      </c>
      <c r="M1387" s="84">
        <v>0</v>
      </c>
    </row>
    <row r="1388" spans="3:13" hidden="1" x14ac:dyDescent="0.25">
      <c r="C1388" t="s">
        <v>119</v>
      </c>
      <c r="D1388" t="s">
        <v>120</v>
      </c>
      <c r="E1388" t="s">
        <v>63</v>
      </c>
      <c r="F1388" t="s">
        <v>24</v>
      </c>
      <c r="G1388">
        <v>14</v>
      </c>
      <c r="H1388" t="s">
        <v>18</v>
      </c>
      <c r="I1388" t="s">
        <v>121</v>
      </c>
      <c r="J1388" t="s">
        <v>122</v>
      </c>
      <c r="K1388">
        <v>0</v>
      </c>
      <c r="L1388" s="84">
        <v>1038279</v>
      </c>
      <c r="M1388" s="84">
        <v>14535906</v>
      </c>
    </row>
    <row r="1389" spans="3:13" hidden="1" x14ac:dyDescent="0.25">
      <c r="C1389" t="s">
        <v>119</v>
      </c>
      <c r="D1389" t="s">
        <v>120</v>
      </c>
      <c r="E1389" t="s">
        <v>63</v>
      </c>
      <c r="F1389" t="s">
        <v>25</v>
      </c>
      <c r="G1389">
        <v>3</v>
      </c>
      <c r="H1389" t="s">
        <v>70</v>
      </c>
      <c r="I1389" t="s">
        <v>121</v>
      </c>
      <c r="J1389" t="s">
        <v>122</v>
      </c>
      <c r="K1389">
        <v>0</v>
      </c>
      <c r="L1389" s="84">
        <v>775633</v>
      </c>
      <c r="M1389" s="84">
        <v>2326899</v>
      </c>
    </row>
    <row r="1390" spans="3:13" hidden="1" x14ac:dyDescent="0.25">
      <c r="C1390" t="s">
        <v>64</v>
      </c>
      <c r="D1390" t="s">
        <v>120</v>
      </c>
      <c r="E1390" t="s">
        <v>60</v>
      </c>
      <c r="F1390" t="s">
        <v>25</v>
      </c>
      <c r="G1390">
        <v>4</v>
      </c>
      <c r="H1390" t="s">
        <v>14</v>
      </c>
      <c r="I1390" t="s">
        <v>121</v>
      </c>
      <c r="J1390" t="s">
        <v>122</v>
      </c>
      <c r="K1390">
        <v>0</v>
      </c>
      <c r="L1390" s="84">
        <v>-25563</v>
      </c>
      <c r="M1390" s="84">
        <v>0</v>
      </c>
    </row>
    <row r="1391" spans="3:13" hidden="1" x14ac:dyDescent="0.25">
      <c r="C1391" t="s">
        <v>65</v>
      </c>
      <c r="D1391" t="s">
        <v>120</v>
      </c>
      <c r="E1391" t="s">
        <v>63</v>
      </c>
      <c r="F1391" t="s">
        <v>124</v>
      </c>
      <c r="G1391">
        <v>12</v>
      </c>
      <c r="H1391" t="s">
        <v>14</v>
      </c>
      <c r="I1391" t="s">
        <v>121</v>
      </c>
      <c r="J1391" t="s">
        <v>122</v>
      </c>
      <c r="K1391">
        <v>0</v>
      </c>
      <c r="L1391" s="84">
        <v>605200</v>
      </c>
      <c r="M1391" s="84">
        <v>7262400</v>
      </c>
    </row>
    <row r="1392" spans="3:13" hidden="1" x14ac:dyDescent="0.25">
      <c r="C1392" t="s">
        <v>64</v>
      </c>
      <c r="D1392" t="s">
        <v>120</v>
      </c>
      <c r="E1392" t="s">
        <v>60</v>
      </c>
      <c r="F1392" t="s">
        <v>25</v>
      </c>
      <c r="G1392">
        <v>6</v>
      </c>
      <c r="H1392" t="s">
        <v>14</v>
      </c>
      <c r="I1392" t="s">
        <v>121</v>
      </c>
      <c r="J1392" t="s">
        <v>66</v>
      </c>
      <c r="K1392">
        <v>1</v>
      </c>
      <c r="L1392" s="84">
        <v>-99550</v>
      </c>
      <c r="M1392" s="84">
        <v>0</v>
      </c>
    </row>
    <row r="1393" spans="3:13" hidden="1" x14ac:dyDescent="0.25">
      <c r="C1393" t="s">
        <v>119</v>
      </c>
      <c r="D1393" t="s">
        <v>120</v>
      </c>
      <c r="E1393" t="s">
        <v>60</v>
      </c>
      <c r="F1393" t="s">
        <v>124</v>
      </c>
      <c r="G1393">
        <v>4</v>
      </c>
      <c r="H1393" t="s">
        <v>17</v>
      </c>
      <c r="I1393" t="s">
        <v>121</v>
      </c>
      <c r="J1393" t="s">
        <v>66</v>
      </c>
      <c r="K1393">
        <v>1</v>
      </c>
      <c r="L1393" s="84">
        <v>-6322</v>
      </c>
      <c r="M1393" s="84">
        <v>0</v>
      </c>
    </row>
    <row r="1394" spans="3:13" hidden="1" x14ac:dyDescent="0.25">
      <c r="C1394" t="s">
        <v>64</v>
      </c>
      <c r="D1394" t="s">
        <v>120</v>
      </c>
      <c r="E1394" t="s">
        <v>60</v>
      </c>
      <c r="F1394" t="s">
        <v>124</v>
      </c>
      <c r="G1394">
        <v>8</v>
      </c>
      <c r="H1394" t="s">
        <v>69</v>
      </c>
      <c r="I1394" t="s">
        <v>121</v>
      </c>
      <c r="J1394" t="s">
        <v>122</v>
      </c>
      <c r="K1394">
        <v>0</v>
      </c>
      <c r="L1394" s="84">
        <v>-81847</v>
      </c>
      <c r="M1394" s="84">
        <v>0</v>
      </c>
    </row>
    <row r="1395" spans="3:13" hidden="1" x14ac:dyDescent="0.25">
      <c r="C1395" t="s">
        <v>65</v>
      </c>
      <c r="D1395" t="s">
        <v>120</v>
      </c>
      <c r="E1395" t="s">
        <v>63</v>
      </c>
      <c r="F1395" t="s">
        <v>24</v>
      </c>
      <c r="G1395">
        <v>6</v>
      </c>
      <c r="H1395" t="s">
        <v>12</v>
      </c>
      <c r="I1395" t="s">
        <v>121</v>
      </c>
      <c r="J1395" t="s">
        <v>122</v>
      </c>
      <c r="K1395">
        <v>0</v>
      </c>
      <c r="L1395" s="84">
        <v>57629</v>
      </c>
      <c r="M1395" s="84">
        <v>345774</v>
      </c>
    </row>
    <row r="1396" spans="3:13" hidden="1" x14ac:dyDescent="0.25">
      <c r="C1396" t="s">
        <v>65</v>
      </c>
      <c r="D1396" t="s">
        <v>120</v>
      </c>
      <c r="E1396" t="s">
        <v>63</v>
      </c>
      <c r="F1396" t="s">
        <v>124</v>
      </c>
      <c r="G1396">
        <v>4</v>
      </c>
      <c r="H1396" t="s">
        <v>61</v>
      </c>
      <c r="I1396" t="s">
        <v>121</v>
      </c>
      <c r="J1396" t="s">
        <v>122</v>
      </c>
      <c r="K1396">
        <v>0</v>
      </c>
      <c r="L1396" s="84">
        <v>130835</v>
      </c>
      <c r="M1396" s="84">
        <v>523340</v>
      </c>
    </row>
    <row r="1397" spans="3:13" hidden="1" x14ac:dyDescent="0.25">
      <c r="C1397" t="s">
        <v>119</v>
      </c>
      <c r="D1397" t="s">
        <v>120</v>
      </c>
      <c r="E1397" t="s">
        <v>60</v>
      </c>
      <c r="F1397" t="s">
        <v>25</v>
      </c>
      <c r="G1397">
        <v>10</v>
      </c>
      <c r="H1397" t="s">
        <v>17</v>
      </c>
      <c r="I1397" t="s">
        <v>62</v>
      </c>
      <c r="J1397" t="s">
        <v>66</v>
      </c>
      <c r="K1397">
        <v>1</v>
      </c>
      <c r="L1397" s="84">
        <v>-454</v>
      </c>
      <c r="M1397" s="84">
        <v>0</v>
      </c>
    </row>
    <row r="1398" spans="3:13" hidden="1" x14ac:dyDescent="0.25">
      <c r="C1398" t="s">
        <v>64</v>
      </c>
      <c r="D1398" t="s">
        <v>120</v>
      </c>
      <c r="E1398" t="s">
        <v>60</v>
      </c>
      <c r="F1398" t="s">
        <v>124</v>
      </c>
      <c r="G1398">
        <v>1</v>
      </c>
      <c r="H1398" t="s">
        <v>72</v>
      </c>
      <c r="I1398" t="s">
        <v>121</v>
      </c>
      <c r="J1398" t="s">
        <v>122</v>
      </c>
      <c r="K1398">
        <v>0</v>
      </c>
      <c r="L1398" s="84">
        <v>-126685</v>
      </c>
      <c r="M1398" s="84">
        <v>0</v>
      </c>
    </row>
    <row r="1399" spans="3:13" hidden="1" x14ac:dyDescent="0.25">
      <c r="C1399" t="s">
        <v>119</v>
      </c>
      <c r="D1399" t="s">
        <v>120</v>
      </c>
      <c r="E1399" t="s">
        <v>63</v>
      </c>
      <c r="F1399" t="s">
        <v>124</v>
      </c>
      <c r="G1399">
        <v>5</v>
      </c>
      <c r="H1399" t="s">
        <v>18</v>
      </c>
      <c r="I1399" t="s">
        <v>121</v>
      </c>
      <c r="J1399" t="s">
        <v>122</v>
      </c>
      <c r="K1399">
        <v>0</v>
      </c>
      <c r="L1399" s="84">
        <v>87462800</v>
      </c>
      <c r="M1399" s="84">
        <v>437314000</v>
      </c>
    </row>
    <row r="1400" spans="3:13" hidden="1" x14ac:dyDescent="0.25">
      <c r="C1400" t="s">
        <v>65</v>
      </c>
      <c r="D1400" t="s">
        <v>120</v>
      </c>
      <c r="E1400" t="s">
        <v>60</v>
      </c>
      <c r="F1400" t="s">
        <v>124</v>
      </c>
      <c r="G1400">
        <v>1</v>
      </c>
      <c r="H1400" t="s">
        <v>18</v>
      </c>
      <c r="I1400" t="s">
        <v>121</v>
      </c>
      <c r="J1400" t="s">
        <v>66</v>
      </c>
      <c r="K1400">
        <v>1</v>
      </c>
      <c r="L1400" s="84">
        <v>-81407</v>
      </c>
      <c r="M1400" s="84">
        <v>0</v>
      </c>
    </row>
    <row r="1401" spans="3:13" hidden="1" x14ac:dyDescent="0.25">
      <c r="C1401" t="s">
        <v>119</v>
      </c>
      <c r="D1401" t="s">
        <v>120</v>
      </c>
      <c r="E1401" t="s">
        <v>63</v>
      </c>
      <c r="F1401" t="s">
        <v>25</v>
      </c>
      <c r="G1401">
        <v>10</v>
      </c>
      <c r="H1401" t="s">
        <v>67</v>
      </c>
      <c r="I1401" t="s">
        <v>121</v>
      </c>
      <c r="J1401" t="s">
        <v>122</v>
      </c>
      <c r="K1401">
        <v>0</v>
      </c>
      <c r="L1401" s="84">
        <v>2819019</v>
      </c>
      <c r="M1401" s="84">
        <v>28190190</v>
      </c>
    </row>
    <row r="1402" spans="3:13" hidden="1" x14ac:dyDescent="0.25">
      <c r="C1402" t="s">
        <v>64</v>
      </c>
      <c r="D1402" t="s">
        <v>120</v>
      </c>
      <c r="E1402" t="s">
        <v>63</v>
      </c>
      <c r="F1402" t="s">
        <v>25</v>
      </c>
      <c r="G1402">
        <v>2</v>
      </c>
      <c r="H1402" t="s">
        <v>73</v>
      </c>
      <c r="I1402" t="s">
        <v>121</v>
      </c>
      <c r="J1402" t="s">
        <v>122</v>
      </c>
      <c r="K1402">
        <v>0</v>
      </c>
      <c r="L1402" s="84">
        <v>210159</v>
      </c>
      <c r="M1402" s="84">
        <v>420318</v>
      </c>
    </row>
    <row r="1403" spans="3:13" hidden="1" x14ac:dyDescent="0.25">
      <c r="C1403" t="s">
        <v>119</v>
      </c>
      <c r="D1403" t="s">
        <v>120</v>
      </c>
      <c r="E1403" t="s">
        <v>60</v>
      </c>
      <c r="F1403" t="s">
        <v>124</v>
      </c>
      <c r="G1403">
        <v>6</v>
      </c>
      <c r="H1403" t="s">
        <v>69</v>
      </c>
      <c r="I1403" t="s">
        <v>121</v>
      </c>
      <c r="J1403" t="s">
        <v>122</v>
      </c>
      <c r="K1403">
        <v>0</v>
      </c>
      <c r="L1403" s="84">
        <v>-7501</v>
      </c>
      <c r="M1403" s="84">
        <v>0</v>
      </c>
    </row>
    <row r="1404" spans="3:13" hidden="1" x14ac:dyDescent="0.25">
      <c r="C1404" t="s">
        <v>65</v>
      </c>
      <c r="D1404" t="s">
        <v>120</v>
      </c>
      <c r="E1404" t="s">
        <v>63</v>
      </c>
      <c r="F1404" t="s">
        <v>124</v>
      </c>
      <c r="G1404">
        <v>13</v>
      </c>
      <c r="H1404" t="s">
        <v>18</v>
      </c>
      <c r="I1404" t="s">
        <v>121</v>
      </c>
      <c r="J1404" t="s">
        <v>122</v>
      </c>
      <c r="K1404">
        <v>0</v>
      </c>
      <c r="L1404" s="84">
        <v>264494</v>
      </c>
      <c r="M1404" s="84">
        <v>3438422</v>
      </c>
    </row>
    <row r="1405" spans="3:13" hidden="1" x14ac:dyDescent="0.25">
      <c r="C1405" t="s">
        <v>64</v>
      </c>
      <c r="D1405" t="s">
        <v>120</v>
      </c>
      <c r="E1405" t="s">
        <v>60</v>
      </c>
      <c r="F1405" t="s">
        <v>124</v>
      </c>
      <c r="G1405">
        <v>2</v>
      </c>
      <c r="H1405" t="s">
        <v>14</v>
      </c>
      <c r="I1405" t="s">
        <v>121</v>
      </c>
      <c r="J1405" t="s">
        <v>122</v>
      </c>
      <c r="K1405">
        <v>0</v>
      </c>
      <c r="L1405" s="84">
        <v>-962723</v>
      </c>
      <c r="M1405" s="84">
        <v>0</v>
      </c>
    </row>
    <row r="1406" spans="3:13" hidden="1" x14ac:dyDescent="0.25">
      <c r="C1406" t="s">
        <v>119</v>
      </c>
      <c r="D1406" t="s">
        <v>120</v>
      </c>
      <c r="E1406" t="s">
        <v>63</v>
      </c>
      <c r="F1406" t="s">
        <v>124</v>
      </c>
      <c r="G1406">
        <v>3</v>
      </c>
      <c r="H1406" t="s">
        <v>69</v>
      </c>
      <c r="I1406" t="s">
        <v>121</v>
      </c>
      <c r="J1406" t="s">
        <v>122</v>
      </c>
      <c r="K1406">
        <v>0</v>
      </c>
      <c r="L1406" s="84">
        <v>33493572</v>
      </c>
      <c r="M1406" s="84">
        <v>100480716</v>
      </c>
    </row>
    <row r="1407" spans="3:13" hidden="1" x14ac:dyDescent="0.25">
      <c r="C1407" t="s">
        <v>119</v>
      </c>
      <c r="D1407" t="s">
        <v>120</v>
      </c>
      <c r="E1407" t="s">
        <v>60</v>
      </c>
      <c r="F1407" t="s">
        <v>25</v>
      </c>
      <c r="G1407">
        <v>11</v>
      </c>
      <c r="H1407" t="s">
        <v>18</v>
      </c>
      <c r="I1407" t="s">
        <v>121</v>
      </c>
      <c r="J1407" t="s">
        <v>66</v>
      </c>
      <c r="K1407">
        <v>1</v>
      </c>
      <c r="L1407" s="84">
        <v>-901</v>
      </c>
      <c r="M1407" s="84">
        <v>0</v>
      </c>
    </row>
    <row r="1408" spans="3:13" hidden="1" x14ac:dyDescent="0.25">
      <c r="C1408" t="s">
        <v>65</v>
      </c>
      <c r="D1408" t="s">
        <v>120</v>
      </c>
      <c r="E1408" t="s">
        <v>63</v>
      </c>
      <c r="F1408" t="s">
        <v>124</v>
      </c>
      <c r="G1408">
        <v>0</v>
      </c>
      <c r="H1408" t="s">
        <v>75</v>
      </c>
      <c r="I1408" t="s">
        <v>121</v>
      </c>
      <c r="J1408" t="s">
        <v>122</v>
      </c>
      <c r="K1408">
        <v>0</v>
      </c>
      <c r="L1408" s="84">
        <v>308708</v>
      </c>
      <c r="M1408" s="84">
        <v>0</v>
      </c>
    </row>
    <row r="1409" spans="3:13" hidden="1" x14ac:dyDescent="0.25">
      <c r="C1409" t="s">
        <v>64</v>
      </c>
      <c r="D1409" t="s">
        <v>120</v>
      </c>
      <c r="E1409" t="s">
        <v>60</v>
      </c>
      <c r="F1409" t="s">
        <v>25</v>
      </c>
      <c r="G1409">
        <v>11</v>
      </c>
      <c r="H1409" t="s">
        <v>17</v>
      </c>
      <c r="I1409" t="s">
        <v>121</v>
      </c>
      <c r="J1409" t="s">
        <v>66</v>
      </c>
      <c r="K1409">
        <v>1</v>
      </c>
      <c r="L1409" s="84">
        <v>-6536</v>
      </c>
      <c r="M1409" s="84">
        <v>0</v>
      </c>
    </row>
    <row r="1410" spans="3:13" hidden="1" x14ac:dyDescent="0.25">
      <c r="C1410" t="s">
        <v>119</v>
      </c>
      <c r="D1410" t="s">
        <v>120</v>
      </c>
      <c r="E1410" t="s">
        <v>63</v>
      </c>
      <c r="F1410" t="s">
        <v>124</v>
      </c>
      <c r="G1410">
        <v>7</v>
      </c>
      <c r="H1410" t="s">
        <v>17</v>
      </c>
      <c r="I1410" t="s">
        <v>62</v>
      </c>
      <c r="J1410" t="s">
        <v>66</v>
      </c>
      <c r="K1410">
        <v>1</v>
      </c>
      <c r="L1410" s="84">
        <v>250205</v>
      </c>
      <c r="M1410" s="84">
        <v>1751435</v>
      </c>
    </row>
    <row r="1411" spans="3:13" hidden="1" x14ac:dyDescent="0.25">
      <c r="C1411" t="s">
        <v>64</v>
      </c>
      <c r="D1411" t="s">
        <v>120</v>
      </c>
      <c r="E1411" t="s">
        <v>60</v>
      </c>
      <c r="F1411" t="s">
        <v>25</v>
      </c>
      <c r="G1411">
        <v>-1</v>
      </c>
      <c r="H1411" t="s">
        <v>68</v>
      </c>
      <c r="I1411" t="s">
        <v>121</v>
      </c>
      <c r="J1411" t="s">
        <v>122</v>
      </c>
      <c r="K1411">
        <v>0</v>
      </c>
      <c r="L1411" s="84">
        <v>-99053</v>
      </c>
      <c r="M1411" s="84">
        <v>0</v>
      </c>
    </row>
    <row r="1412" spans="3:13" hidden="1" x14ac:dyDescent="0.25">
      <c r="C1412" t="s">
        <v>119</v>
      </c>
      <c r="D1412" t="s">
        <v>120</v>
      </c>
      <c r="E1412" t="s">
        <v>63</v>
      </c>
      <c r="F1412" t="s">
        <v>25</v>
      </c>
      <c r="G1412">
        <v>16</v>
      </c>
      <c r="H1412" t="s">
        <v>69</v>
      </c>
      <c r="I1412" t="s">
        <v>121</v>
      </c>
      <c r="J1412" t="s">
        <v>122</v>
      </c>
      <c r="K1412">
        <v>0</v>
      </c>
      <c r="L1412" s="84">
        <v>5520985</v>
      </c>
      <c r="M1412" s="84">
        <v>88335760</v>
      </c>
    </row>
    <row r="1413" spans="3:13" hidden="1" x14ac:dyDescent="0.25">
      <c r="C1413" t="s">
        <v>119</v>
      </c>
      <c r="D1413" t="s">
        <v>126</v>
      </c>
      <c r="E1413" t="s">
        <v>63</v>
      </c>
      <c r="F1413" t="s">
        <v>24</v>
      </c>
      <c r="G1413">
        <v>13</v>
      </c>
      <c r="H1413" t="s">
        <v>74</v>
      </c>
      <c r="I1413" t="s">
        <v>121</v>
      </c>
      <c r="J1413" t="s">
        <v>122</v>
      </c>
      <c r="K1413">
        <v>0</v>
      </c>
      <c r="L1413" s="84">
        <v>691427</v>
      </c>
      <c r="M1413" s="84">
        <v>8988551</v>
      </c>
    </row>
    <row r="1414" spans="3:13" hidden="1" x14ac:dyDescent="0.25">
      <c r="C1414" t="s">
        <v>65</v>
      </c>
      <c r="D1414" t="s">
        <v>120</v>
      </c>
      <c r="E1414" t="s">
        <v>60</v>
      </c>
      <c r="F1414" t="s">
        <v>25</v>
      </c>
      <c r="G1414">
        <v>4</v>
      </c>
      <c r="H1414" t="s">
        <v>17</v>
      </c>
      <c r="I1414" t="s">
        <v>121</v>
      </c>
      <c r="J1414" t="s">
        <v>122</v>
      </c>
      <c r="K1414">
        <v>0</v>
      </c>
      <c r="L1414" s="84">
        <v>-666925</v>
      </c>
      <c r="M1414" s="84">
        <v>0</v>
      </c>
    </row>
    <row r="1415" spans="3:13" hidden="1" x14ac:dyDescent="0.25">
      <c r="C1415" t="s">
        <v>119</v>
      </c>
      <c r="D1415" t="s">
        <v>120</v>
      </c>
      <c r="E1415" t="s">
        <v>63</v>
      </c>
      <c r="F1415" t="s">
        <v>24</v>
      </c>
      <c r="G1415">
        <v>10</v>
      </c>
      <c r="H1415" t="s">
        <v>73</v>
      </c>
      <c r="I1415" t="s">
        <v>121</v>
      </c>
      <c r="J1415" t="s">
        <v>122</v>
      </c>
      <c r="K1415">
        <v>0</v>
      </c>
      <c r="L1415" s="84">
        <v>12873</v>
      </c>
      <c r="M1415" s="84">
        <v>128730</v>
      </c>
    </row>
    <row r="1416" spans="3:13" hidden="1" x14ac:dyDescent="0.25">
      <c r="C1416" t="s">
        <v>64</v>
      </c>
      <c r="D1416" t="s">
        <v>125</v>
      </c>
      <c r="E1416" t="s">
        <v>60</v>
      </c>
      <c r="F1416" t="s">
        <v>25</v>
      </c>
      <c r="G1416">
        <v>-4</v>
      </c>
      <c r="I1416" t="s">
        <v>121</v>
      </c>
      <c r="J1416" t="s">
        <v>122</v>
      </c>
      <c r="K1416">
        <v>0</v>
      </c>
      <c r="L1416" s="84">
        <v>-19771</v>
      </c>
      <c r="M1416" s="84">
        <v>0</v>
      </c>
    </row>
    <row r="1417" spans="3:13" hidden="1" x14ac:dyDescent="0.25">
      <c r="C1417" t="s">
        <v>119</v>
      </c>
      <c r="D1417" t="s">
        <v>120</v>
      </c>
      <c r="E1417" t="s">
        <v>63</v>
      </c>
      <c r="F1417" t="s">
        <v>123</v>
      </c>
      <c r="G1417">
        <v>6</v>
      </c>
      <c r="H1417" t="s">
        <v>69</v>
      </c>
      <c r="I1417" t="s">
        <v>121</v>
      </c>
      <c r="J1417" t="s">
        <v>122</v>
      </c>
      <c r="K1417">
        <v>0</v>
      </c>
      <c r="L1417" s="84">
        <v>608945</v>
      </c>
      <c r="M1417" s="84">
        <v>3653670</v>
      </c>
    </row>
    <row r="1418" spans="3:13" hidden="1" x14ac:dyDescent="0.25">
      <c r="C1418" t="s">
        <v>65</v>
      </c>
      <c r="D1418" t="s">
        <v>120</v>
      </c>
      <c r="E1418" t="s">
        <v>60</v>
      </c>
      <c r="F1418" t="s">
        <v>124</v>
      </c>
      <c r="G1418">
        <v>11</v>
      </c>
      <c r="H1418" t="s">
        <v>75</v>
      </c>
      <c r="I1418" t="s">
        <v>121</v>
      </c>
      <c r="J1418" t="s">
        <v>122</v>
      </c>
      <c r="K1418">
        <v>0</v>
      </c>
      <c r="L1418" s="84">
        <v>-12456154</v>
      </c>
      <c r="M1418" s="84">
        <v>0</v>
      </c>
    </row>
    <row r="1419" spans="3:13" hidden="1" x14ac:dyDescent="0.25">
      <c r="C1419" t="s">
        <v>119</v>
      </c>
      <c r="D1419" t="s">
        <v>125</v>
      </c>
      <c r="E1419" t="s">
        <v>63</v>
      </c>
      <c r="F1419" t="s">
        <v>24</v>
      </c>
      <c r="G1419">
        <v>42</v>
      </c>
      <c r="I1419" t="s">
        <v>121</v>
      </c>
      <c r="J1419" t="s">
        <v>122</v>
      </c>
      <c r="K1419">
        <v>0</v>
      </c>
      <c r="L1419" s="84">
        <v>24168641</v>
      </c>
      <c r="M1419" s="84">
        <v>1015082922</v>
      </c>
    </row>
    <row r="1420" spans="3:13" hidden="1" x14ac:dyDescent="0.25">
      <c r="C1420" t="s">
        <v>65</v>
      </c>
      <c r="D1420" t="s">
        <v>120</v>
      </c>
      <c r="E1420" t="s">
        <v>60</v>
      </c>
      <c r="F1420" t="s">
        <v>124</v>
      </c>
      <c r="G1420">
        <v>5</v>
      </c>
      <c r="H1420" t="s">
        <v>67</v>
      </c>
      <c r="I1420" t="s">
        <v>121</v>
      </c>
      <c r="J1420" t="s">
        <v>122</v>
      </c>
      <c r="K1420">
        <v>0</v>
      </c>
      <c r="L1420" s="84">
        <v>-312613</v>
      </c>
      <c r="M1420" s="84">
        <v>0</v>
      </c>
    </row>
    <row r="1421" spans="3:13" hidden="1" x14ac:dyDescent="0.25">
      <c r="C1421" t="s">
        <v>64</v>
      </c>
      <c r="D1421" t="s">
        <v>120</v>
      </c>
      <c r="E1421" t="s">
        <v>60</v>
      </c>
      <c r="F1421" t="s">
        <v>123</v>
      </c>
      <c r="G1421">
        <v>5</v>
      </c>
      <c r="H1421" t="s">
        <v>14</v>
      </c>
      <c r="I1421" t="s">
        <v>121</v>
      </c>
      <c r="J1421" t="s">
        <v>122</v>
      </c>
      <c r="K1421">
        <v>0</v>
      </c>
      <c r="L1421" s="84">
        <v>-9083</v>
      </c>
      <c r="M1421" s="84">
        <v>0</v>
      </c>
    </row>
    <row r="1422" spans="3:13" hidden="1" x14ac:dyDescent="0.25">
      <c r="C1422" t="s">
        <v>64</v>
      </c>
      <c r="D1422" t="s">
        <v>120</v>
      </c>
      <c r="E1422" t="s">
        <v>60</v>
      </c>
      <c r="F1422" t="s">
        <v>123</v>
      </c>
      <c r="G1422">
        <v>4</v>
      </c>
      <c r="H1422" t="s">
        <v>73</v>
      </c>
      <c r="I1422" t="s">
        <v>121</v>
      </c>
      <c r="J1422" t="s">
        <v>122</v>
      </c>
      <c r="K1422">
        <v>0</v>
      </c>
      <c r="L1422" s="84">
        <v>-13831</v>
      </c>
      <c r="M1422" s="84">
        <v>0</v>
      </c>
    </row>
    <row r="1423" spans="3:13" hidden="1" x14ac:dyDescent="0.25">
      <c r="C1423" t="s">
        <v>65</v>
      </c>
      <c r="D1423" t="s">
        <v>120</v>
      </c>
      <c r="E1423" t="s">
        <v>63</v>
      </c>
      <c r="F1423" t="s">
        <v>124</v>
      </c>
      <c r="G1423">
        <v>3</v>
      </c>
      <c r="H1423" t="s">
        <v>14</v>
      </c>
      <c r="I1423" t="s">
        <v>121</v>
      </c>
      <c r="J1423" t="s">
        <v>122</v>
      </c>
      <c r="K1423">
        <v>0</v>
      </c>
      <c r="L1423" s="84">
        <v>1293029</v>
      </c>
      <c r="M1423" s="84">
        <v>3879087</v>
      </c>
    </row>
    <row r="1424" spans="3:13" hidden="1" x14ac:dyDescent="0.25">
      <c r="C1424" t="s">
        <v>119</v>
      </c>
      <c r="D1424" t="s">
        <v>120</v>
      </c>
      <c r="E1424" t="s">
        <v>60</v>
      </c>
      <c r="F1424" t="s">
        <v>24</v>
      </c>
      <c r="G1424">
        <v>15</v>
      </c>
      <c r="H1424" t="s">
        <v>18</v>
      </c>
      <c r="I1424" t="s">
        <v>121</v>
      </c>
      <c r="J1424" t="s">
        <v>122</v>
      </c>
      <c r="K1424">
        <v>0</v>
      </c>
      <c r="L1424" s="84">
        <v>-690</v>
      </c>
      <c r="M1424" s="84">
        <v>0</v>
      </c>
    </row>
    <row r="1425" spans="3:13" hidden="1" x14ac:dyDescent="0.25">
      <c r="C1425" t="s">
        <v>119</v>
      </c>
      <c r="D1425" t="s">
        <v>120</v>
      </c>
      <c r="E1425" t="s">
        <v>63</v>
      </c>
      <c r="F1425" t="s">
        <v>124</v>
      </c>
      <c r="G1425">
        <v>0</v>
      </c>
      <c r="H1425" t="s">
        <v>13</v>
      </c>
      <c r="I1425" t="s">
        <v>121</v>
      </c>
      <c r="J1425" t="s">
        <v>122</v>
      </c>
      <c r="K1425">
        <v>0</v>
      </c>
      <c r="L1425" s="84">
        <v>2065238</v>
      </c>
      <c r="M1425" s="84">
        <v>0</v>
      </c>
    </row>
    <row r="1426" spans="3:13" hidden="1" x14ac:dyDescent="0.25">
      <c r="C1426" t="s">
        <v>64</v>
      </c>
      <c r="D1426" t="s">
        <v>120</v>
      </c>
      <c r="E1426" t="s">
        <v>60</v>
      </c>
      <c r="F1426" t="s">
        <v>24</v>
      </c>
      <c r="G1426">
        <v>9</v>
      </c>
      <c r="H1426" t="s">
        <v>18</v>
      </c>
      <c r="I1426" t="s">
        <v>121</v>
      </c>
      <c r="J1426" t="s">
        <v>122</v>
      </c>
      <c r="K1426">
        <v>0</v>
      </c>
      <c r="L1426" s="84">
        <v>-27550</v>
      </c>
      <c r="M1426" s="84">
        <v>0</v>
      </c>
    </row>
    <row r="1427" spans="3:13" hidden="1" x14ac:dyDescent="0.25">
      <c r="C1427" t="s">
        <v>119</v>
      </c>
      <c r="D1427" t="s">
        <v>120</v>
      </c>
      <c r="E1427" t="s">
        <v>63</v>
      </c>
      <c r="F1427" t="s">
        <v>24</v>
      </c>
      <c r="G1427">
        <v>5</v>
      </c>
      <c r="H1427" t="s">
        <v>17</v>
      </c>
      <c r="I1427" t="s">
        <v>121</v>
      </c>
      <c r="J1427" t="s">
        <v>122</v>
      </c>
      <c r="K1427">
        <v>0</v>
      </c>
      <c r="L1427" s="84">
        <v>985605</v>
      </c>
      <c r="M1427" s="84">
        <v>4928025</v>
      </c>
    </row>
    <row r="1428" spans="3:13" hidden="1" x14ac:dyDescent="0.25">
      <c r="C1428" t="s">
        <v>119</v>
      </c>
      <c r="D1428" t="s">
        <v>120</v>
      </c>
      <c r="E1428" t="s">
        <v>60</v>
      </c>
      <c r="F1428" t="s">
        <v>123</v>
      </c>
      <c r="G1428">
        <v>4</v>
      </c>
      <c r="H1428" t="s">
        <v>67</v>
      </c>
      <c r="I1428" t="s">
        <v>121</v>
      </c>
      <c r="J1428" t="s">
        <v>122</v>
      </c>
      <c r="K1428">
        <v>0</v>
      </c>
      <c r="L1428" s="84">
        <v>-22976</v>
      </c>
      <c r="M1428" s="84">
        <v>0</v>
      </c>
    </row>
    <row r="1429" spans="3:13" hidden="1" x14ac:dyDescent="0.25">
      <c r="C1429" t="s">
        <v>64</v>
      </c>
      <c r="D1429" t="s">
        <v>120</v>
      </c>
      <c r="E1429" t="s">
        <v>63</v>
      </c>
      <c r="F1429" t="s">
        <v>24</v>
      </c>
      <c r="G1429">
        <v>9</v>
      </c>
      <c r="H1429" t="s">
        <v>67</v>
      </c>
      <c r="I1429" t="s">
        <v>121</v>
      </c>
      <c r="J1429" t="s">
        <v>122</v>
      </c>
      <c r="K1429">
        <v>0</v>
      </c>
      <c r="L1429" s="84">
        <v>272565</v>
      </c>
      <c r="M1429" s="84">
        <v>2453085</v>
      </c>
    </row>
    <row r="1430" spans="3:13" hidden="1" x14ac:dyDescent="0.25">
      <c r="C1430" t="s">
        <v>119</v>
      </c>
      <c r="D1430" t="s">
        <v>120</v>
      </c>
      <c r="E1430" t="s">
        <v>60</v>
      </c>
      <c r="F1430" t="s">
        <v>123</v>
      </c>
      <c r="G1430">
        <v>1</v>
      </c>
      <c r="H1430" t="s">
        <v>18</v>
      </c>
      <c r="I1430" t="s">
        <v>121</v>
      </c>
      <c r="J1430" t="s">
        <v>66</v>
      </c>
      <c r="K1430">
        <v>1</v>
      </c>
      <c r="L1430" s="84">
        <v>-603</v>
      </c>
      <c r="M1430" s="84">
        <v>0</v>
      </c>
    </row>
    <row r="1431" spans="3:13" x14ac:dyDescent="0.25">
      <c r="C1431" t="s">
        <v>119</v>
      </c>
      <c r="D1431" t="s">
        <v>120</v>
      </c>
      <c r="E1431" t="s">
        <v>63</v>
      </c>
      <c r="F1431" t="s">
        <v>25</v>
      </c>
      <c r="G1431">
        <v>15</v>
      </c>
      <c r="H1431" t="s">
        <v>18</v>
      </c>
      <c r="I1431" t="s">
        <v>121</v>
      </c>
      <c r="J1431" t="s">
        <v>66</v>
      </c>
      <c r="K1431">
        <v>1</v>
      </c>
      <c r="L1431" s="84">
        <v>333316</v>
      </c>
      <c r="M1431" s="84">
        <v>4999740</v>
      </c>
    </row>
    <row r="1432" spans="3:13" hidden="1" x14ac:dyDescent="0.25">
      <c r="C1432" t="s">
        <v>64</v>
      </c>
      <c r="D1432" t="s">
        <v>120</v>
      </c>
      <c r="E1432" t="s">
        <v>60</v>
      </c>
      <c r="F1432" t="s">
        <v>124</v>
      </c>
      <c r="G1432">
        <v>4</v>
      </c>
      <c r="H1432" t="s">
        <v>68</v>
      </c>
      <c r="I1432" t="s">
        <v>121</v>
      </c>
      <c r="J1432" t="s">
        <v>122</v>
      </c>
      <c r="K1432">
        <v>0</v>
      </c>
      <c r="L1432" s="84">
        <v>-23358</v>
      </c>
      <c r="M1432" s="84">
        <v>0</v>
      </c>
    </row>
    <row r="1433" spans="3:13" hidden="1" x14ac:dyDescent="0.25">
      <c r="C1433" t="s">
        <v>119</v>
      </c>
      <c r="D1433" t="s">
        <v>120</v>
      </c>
      <c r="E1433" t="s">
        <v>63</v>
      </c>
      <c r="F1433" t="s">
        <v>25</v>
      </c>
      <c r="G1433">
        <v>7</v>
      </c>
      <c r="H1433" t="s">
        <v>71</v>
      </c>
      <c r="I1433" t="s">
        <v>121</v>
      </c>
      <c r="J1433" t="s">
        <v>122</v>
      </c>
      <c r="K1433">
        <v>0</v>
      </c>
      <c r="L1433" s="84">
        <v>762580</v>
      </c>
      <c r="M1433" s="84">
        <v>5338060</v>
      </c>
    </row>
    <row r="1434" spans="3:13" hidden="1" x14ac:dyDescent="0.25">
      <c r="C1434" t="s">
        <v>119</v>
      </c>
      <c r="D1434" t="s">
        <v>120</v>
      </c>
      <c r="E1434" t="s">
        <v>63</v>
      </c>
      <c r="F1434" t="s">
        <v>24</v>
      </c>
      <c r="G1434">
        <v>7</v>
      </c>
      <c r="H1434" t="s">
        <v>68</v>
      </c>
      <c r="I1434" t="s">
        <v>121</v>
      </c>
      <c r="J1434" t="s">
        <v>122</v>
      </c>
      <c r="K1434">
        <v>0</v>
      </c>
      <c r="L1434" s="84">
        <v>5670741</v>
      </c>
      <c r="M1434" s="84">
        <v>39695187</v>
      </c>
    </row>
    <row r="1435" spans="3:13" hidden="1" x14ac:dyDescent="0.25">
      <c r="C1435" t="s">
        <v>64</v>
      </c>
      <c r="D1435" t="s">
        <v>120</v>
      </c>
      <c r="E1435" t="s">
        <v>60</v>
      </c>
      <c r="F1435" t="s">
        <v>124</v>
      </c>
      <c r="G1435">
        <v>9</v>
      </c>
      <c r="H1435" t="s">
        <v>69</v>
      </c>
      <c r="I1435" t="s">
        <v>121</v>
      </c>
      <c r="J1435" t="s">
        <v>122</v>
      </c>
      <c r="K1435">
        <v>0</v>
      </c>
      <c r="L1435" s="84">
        <v>-26947</v>
      </c>
      <c r="M1435" s="84">
        <v>0</v>
      </c>
    </row>
    <row r="1436" spans="3:13" hidden="1" x14ac:dyDescent="0.25">
      <c r="C1436" t="s">
        <v>65</v>
      </c>
      <c r="D1436" t="s">
        <v>120</v>
      </c>
      <c r="E1436" t="s">
        <v>63</v>
      </c>
      <c r="F1436" t="s">
        <v>123</v>
      </c>
      <c r="G1436">
        <v>4</v>
      </c>
      <c r="H1436" t="s">
        <v>14</v>
      </c>
      <c r="I1436" t="s">
        <v>121</v>
      </c>
      <c r="J1436" t="s">
        <v>66</v>
      </c>
      <c r="K1436">
        <v>1</v>
      </c>
      <c r="L1436" s="84">
        <v>23172</v>
      </c>
      <c r="M1436" s="84">
        <v>92688</v>
      </c>
    </row>
    <row r="1437" spans="3:13" hidden="1" x14ac:dyDescent="0.25">
      <c r="C1437" t="s">
        <v>119</v>
      </c>
      <c r="D1437" t="s">
        <v>120</v>
      </c>
      <c r="E1437" t="s">
        <v>60</v>
      </c>
      <c r="F1437" t="s">
        <v>124</v>
      </c>
      <c r="G1437">
        <v>8</v>
      </c>
      <c r="H1437" t="s">
        <v>14</v>
      </c>
      <c r="I1437" t="s">
        <v>121</v>
      </c>
      <c r="J1437" t="s">
        <v>66</v>
      </c>
      <c r="K1437">
        <v>1</v>
      </c>
      <c r="L1437" s="84">
        <v>-1855</v>
      </c>
      <c r="M1437" s="84">
        <v>0</v>
      </c>
    </row>
    <row r="1438" spans="3:13" hidden="1" x14ac:dyDescent="0.25">
      <c r="C1438" t="s">
        <v>64</v>
      </c>
      <c r="D1438" t="s">
        <v>126</v>
      </c>
      <c r="E1438" t="s">
        <v>60</v>
      </c>
      <c r="F1438" t="s">
        <v>25</v>
      </c>
      <c r="G1438">
        <v>2</v>
      </c>
      <c r="H1438" t="s">
        <v>67</v>
      </c>
      <c r="I1438" t="s">
        <v>121</v>
      </c>
      <c r="J1438" t="s">
        <v>122</v>
      </c>
      <c r="K1438">
        <v>0</v>
      </c>
      <c r="L1438" s="84">
        <v>-1861</v>
      </c>
      <c r="M1438" s="84">
        <v>0</v>
      </c>
    </row>
    <row r="1439" spans="3:13" hidden="1" x14ac:dyDescent="0.25">
      <c r="C1439" t="s">
        <v>64</v>
      </c>
      <c r="D1439" t="s">
        <v>120</v>
      </c>
      <c r="E1439" t="s">
        <v>63</v>
      </c>
      <c r="F1439" t="s">
        <v>24</v>
      </c>
      <c r="G1439">
        <v>-4</v>
      </c>
      <c r="H1439" t="s">
        <v>18</v>
      </c>
      <c r="I1439" t="s">
        <v>121</v>
      </c>
      <c r="J1439" t="s">
        <v>122</v>
      </c>
      <c r="K1439">
        <v>0</v>
      </c>
      <c r="L1439" s="84">
        <v>77</v>
      </c>
      <c r="M1439" s="84">
        <v>0</v>
      </c>
    </row>
    <row r="1440" spans="3:13" hidden="1" x14ac:dyDescent="0.25">
      <c r="C1440" t="s">
        <v>64</v>
      </c>
      <c r="D1440" t="s">
        <v>120</v>
      </c>
      <c r="E1440" t="s">
        <v>63</v>
      </c>
      <c r="F1440" t="s">
        <v>124</v>
      </c>
      <c r="G1440">
        <v>-4</v>
      </c>
      <c r="H1440" t="s">
        <v>75</v>
      </c>
      <c r="I1440" t="s">
        <v>121</v>
      </c>
      <c r="J1440" t="s">
        <v>122</v>
      </c>
      <c r="K1440">
        <v>0</v>
      </c>
      <c r="L1440" s="84">
        <v>4811</v>
      </c>
      <c r="M1440" s="84">
        <v>0</v>
      </c>
    </row>
    <row r="1441" spans="3:13" hidden="1" x14ac:dyDescent="0.25">
      <c r="C1441" t="s">
        <v>64</v>
      </c>
      <c r="D1441" t="s">
        <v>125</v>
      </c>
      <c r="E1441" t="s">
        <v>63</v>
      </c>
      <c r="F1441" t="s">
        <v>24</v>
      </c>
      <c r="G1441">
        <v>40</v>
      </c>
      <c r="I1441" t="s">
        <v>121</v>
      </c>
      <c r="J1441" t="s">
        <v>122</v>
      </c>
      <c r="K1441">
        <v>0</v>
      </c>
      <c r="L1441" s="84">
        <v>9031575</v>
      </c>
      <c r="M1441" s="84">
        <v>361263000</v>
      </c>
    </row>
    <row r="1442" spans="3:13" hidden="1" x14ac:dyDescent="0.25">
      <c r="C1442" t="s">
        <v>119</v>
      </c>
      <c r="D1442" t="s">
        <v>120</v>
      </c>
      <c r="E1442" t="s">
        <v>63</v>
      </c>
      <c r="F1442" t="s">
        <v>25</v>
      </c>
      <c r="G1442">
        <v>1</v>
      </c>
      <c r="H1442" t="s">
        <v>69</v>
      </c>
      <c r="I1442" t="s">
        <v>121</v>
      </c>
      <c r="J1442" t="s">
        <v>122</v>
      </c>
      <c r="K1442">
        <v>0</v>
      </c>
      <c r="L1442" s="84">
        <v>6474749</v>
      </c>
      <c r="M1442" s="84">
        <v>6474749</v>
      </c>
    </row>
    <row r="1443" spans="3:13" hidden="1" x14ac:dyDescent="0.25">
      <c r="C1443" t="s">
        <v>119</v>
      </c>
      <c r="D1443" t="s">
        <v>120</v>
      </c>
      <c r="E1443" t="s">
        <v>63</v>
      </c>
      <c r="F1443" t="s">
        <v>124</v>
      </c>
      <c r="G1443">
        <v>-1</v>
      </c>
      <c r="H1443" t="s">
        <v>78</v>
      </c>
      <c r="I1443" t="s">
        <v>121</v>
      </c>
      <c r="J1443" t="s">
        <v>122</v>
      </c>
      <c r="K1443">
        <v>0</v>
      </c>
      <c r="L1443" s="84">
        <v>430</v>
      </c>
      <c r="M1443" s="84">
        <v>0</v>
      </c>
    </row>
    <row r="1444" spans="3:13" hidden="1" x14ac:dyDescent="0.25">
      <c r="C1444" t="s">
        <v>64</v>
      </c>
      <c r="D1444" t="s">
        <v>120</v>
      </c>
      <c r="E1444" t="s">
        <v>60</v>
      </c>
      <c r="F1444" t="s">
        <v>25</v>
      </c>
      <c r="G1444">
        <v>6</v>
      </c>
      <c r="H1444" t="s">
        <v>61</v>
      </c>
      <c r="I1444" t="s">
        <v>121</v>
      </c>
      <c r="J1444" t="s">
        <v>122</v>
      </c>
      <c r="K1444">
        <v>0</v>
      </c>
      <c r="L1444" s="84">
        <v>-1268</v>
      </c>
      <c r="M1444" s="84">
        <v>0</v>
      </c>
    </row>
    <row r="1445" spans="3:13" hidden="1" x14ac:dyDescent="0.25">
      <c r="C1445" t="s">
        <v>65</v>
      </c>
      <c r="D1445" t="s">
        <v>120</v>
      </c>
      <c r="E1445" t="s">
        <v>63</v>
      </c>
      <c r="F1445" t="s">
        <v>124</v>
      </c>
      <c r="G1445">
        <v>6</v>
      </c>
      <c r="H1445" t="s">
        <v>17</v>
      </c>
      <c r="I1445" t="s">
        <v>121</v>
      </c>
      <c r="J1445" t="s">
        <v>122</v>
      </c>
      <c r="K1445">
        <v>0</v>
      </c>
      <c r="L1445" s="84">
        <v>556461</v>
      </c>
      <c r="M1445" s="84">
        <v>3338766</v>
      </c>
    </row>
    <row r="1446" spans="3:13" hidden="1" x14ac:dyDescent="0.25">
      <c r="C1446" t="s">
        <v>65</v>
      </c>
      <c r="D1446" t="s">
        <v>120</v>
      </c>
      <c r="E1446" t="s">
        <v>63</v>
      </c>
      <c r="F1446" t="s">
        <v>124</v>
      </c>
      <c r="G1446">
        <v>5</v>
      </c>
      <c r="H1446" t="s">
        <v>73</v>
      </c>
      <c r="I1446" t="s">
        <v>121</v>
      </c>
      <c r="J1446" t="s">
        <v>122</v>
      </c>
      <c r="K1446">
        <v>0</v>
      </c>
      <c r="L1446" s="84">
        <v>36173</v>
      </c>
      <c r="M1446" s="84">
        <v>180865</v>
      </c>
    </row>
    <row r="1447" spans="3:13" hidden="1" x14ac:dyDescent="0.25">
      <c r="C1447" t="s">
        <v>119</v>
      </c>
      <c r="D1447" t="s">
        <v>120</v>
      </c>
      <c r="E1447" t="s">
        <v>63</v>
      </c>
      <c r="F1447" t="s">
        <v>25</v>
      </c>
      <c r="G1447">
        <v>8</v>
      </c>
      <c r="H1447" t="s">
        <v>67</v>
      </c>
      <c r="I1447" t="s">
        <v>121</v>
      </c>
      <c r="J1447" t="s">
        <v>122</v>
      </c>
      <c r="K1447">
        <v>0</v>
      </c>
      <c r="L1447" s="84">
        <v>1554846</v>
      </c>
      <c r="M1447" s="84">
        <v>12438768</v>
      </c>
    </row>
    <row r="1448" spans="3:13" hidden="1" x14ac:dyDescent="0.25">
      <c r="C1448" t="s">
        <v>64</v>
      </c>
      <c r="D1448" t="s">
        <v>120</v>
      </c>
      <c r="E1448" t="s">
        <v>63</v>
      </c>
      <c r="F1448" t="s">
        <v>124</v>
      </c>
      <c r="G1448">
        <v>1</v>
      </c>
      <c r="H1448" t="s">
        <v>18</v>
      </c>
      <c r="I1448" t="s">
        <v>121</v>
      </c>
      <c r="J1448" t="s">
        <v>122</v>
      </c>
      <c r="K1448">
        <v>0</v>
      </c>
      <c r="L1448" s="84">
        <v>48987638</v>
      </c>
      <c r="M1448" s="84">
        <v>48987638</v>
      </c>
    </row>
    <row r="1449" spans="3:13" hidden="1" x14ac:dyDescent="0.25">
      <c r="C1449" t="s">
        <v>65</v>
      </c>
      <c r="D1449" t="s">
        <v>120</v>
      </c>
      <c r="E1449" t="s">
        <v>60</v>
      </c>
      <c r="F1449" t="s">
        <v>123</v>
      </c>
      <c r="G1449">
        <v>1</v>
      </c>
      <c r="H1449" t="s">
        <v>18</v>
      </c>
      <c r="I1449" t="s">
        <v>121</v>
      </c>
      <c r="J1449" t="s">
        <v>122</v>
      </c>
      <c r="K1449">
        <v>0</v>
      </c>
      <c r="L1449" s="84">
        <v>-114429</v>
      </c>
      <c r="M1449" s="84">
        <v>0</v>
      </c>
    </row>
    <row r="1450" spans="3:13" hidden="1" x14ac:dyDescent="0.25">
      <c r="C1450" t="s">
        <v>64</v>
      </c>
      <c r="D1450" t="s">
        <v>120</v>
      </c>
      <c r="E1450" t="s">
        <v>60</v>
      </c>
      <c r="F1450" t="s">
        <v>124</v>
      </c>
      <c r="G1450">
        <v>-4</v>
      </c>
      <c r="H1450" t="s">
        <v>17</v>
      </c>
      <c r="I1450" t="s">
        <v>121</v>
      </c>
      <c r="J1450" t="s">
        <v>122</v>
      </c>
      <c r="K1450">
        <v>0</v>
      </c>
      <c r="L1450" s="84">
        <v>-52880</v>
      </c>
      <c r="M1450" s="84">
        <v>0</v>
      </c>
    </row>
    <row r="1451" spans="3:13" hidden="1" x14ac:dyDescent="0.25">
      <c r="C1451" t="s">
        <v>65</v>
      </c>
      <c r="D1451" t="s">
        <v>120</v>
      </c>
      <c r="E1451" t="s">
        <v>60</v>
      </c>
      <c r="F1451" t="s">
        <v>25</v>
      </c>
      <c r="G1451">
        <v>-4</v>
      </c>
      <c r="H1451" t="s">
        <v>70</v>
      </c>
      <c r="I1451" t="s">
        <v>121</v>
      </c>
      <c r="J1451" t="s">
        <v>122</v>
      </c>
      <c r="K1451">
        <v>0</v>
      </c>
      <c r="L1451" s="84">
        <v>-23583</v>
      </c>
      <c r="M1451" s="84">
        <v>0</v>
      </c>
    </row>
    <row r="1452" spans="3:13" hidden="1" x14ac:dyDescent="0.25">
      <c r="C1452" t="s">
        <v>119</v>
      </c>
      <c r="D1452" t="s">
        <v>120</v>
      </c>
      <c r="E1452" t="s">
        <v>63</v>
      </c>
      <c r="F1452" t="s">
        <v>124</v>
      </c>
      <c r="G1452">
        <v>2</v>
      </c>
      <c r="H1452" t="s">
        <v>12</v>
      </c>
      <c r="I1452" t="s">
        <v>121</v>
      </c>
      <c r="J1452" t="s">
        <v>122</v>
      </c>
      <c r="K1452">
        <v>0</v>
      </c>
      <c r="L1452" s="84">
        <v>4971673</v>
      </c>
      <c r="M1452" s="84">
        <v>9943346</v>
      </c>
    </row>
    <row r="1453" spans="3:13" hidden="1" x14ac:dyDescent="0.25">
      <c r="C1453" t="s">
        <v>119</v>
      </c>
      <c r="D1453" t="s">
        <v>120</v>
      </c>
      <c r="E1453" t="s">
        <v>60</v>
      </c>
      <c r="F1453" t="s">
        <v>123</v>
      </c>
      <c r="G1453">
        <v>3</v>
      </c>
      <c r="H1453" t="s">
        <v>73</v>
      </c>
      <c r="I1453" t="s">
        <v>121</v>
      </c>
      <c r="J1453" t="s">
        <v>122</v>
      </c>
      <c r="K1453">
        <v>0</v>
      </c>
      <c r="L1453" s="84">
        <v>-2138</v>
      </c>
      <c r="M1453" s="84">
        <v>0</v>
      </c>
    </row>
    <row r="1454" spans="3:13" hidden="1" x14ac:dyDescent="0.25">
      <c r="C1454" t="s">
        <v>64</v>
      </c>
      <c r="D1454" t="s">
        <v>120</v>
      </c>
      <c r="E1454" t="s">
        <v>60</v>
      </c>
      <c r="F1454" t="s">
        <v>124</v>
      </c>
      <c r="G1454">
        <v>-1</v>
      </c>
      <c r="H1454" t="s">
        <v>16</v>
      </c>
      <c r="I1454" t="s">
        <v>121</v>
      </c>
      <c r="J1454" t="s">
        <v>122</v>
      </c>
      <c r="K1454">
        <v>0</v>
      </c>
      <c r="L1454" s="84">
        <v>-38106</v>
      </c>
      <c r="M1454" s="84">
        <v>0</v>
      </c>
    </row>
    <row r="1455" spans="3:13" hidden="1" x14ac:dyDescent="0.25">
      <c r="C1455" t="s">
        <v>119</v>
      </c>
      <c r="D1455" t="s">
        <v>120</v>
      </c>
      <c r="E1455" t="s">
        <v>60</v>
      </c>
      <c r="F1455" t="s">
        <v>25</v>
      </c>
      <c r="G1455">
        <v>11</v>
      </c>
      <c r="H1455" t="s">
        <v>70</v>
      </c>
      <c r="I1455" t="s">
        <v>121</v>
      </c>
      <c r="J1455" t="s">
        <v>122</v>
      </c>
      <c r="K1455">
        <v>0</v>
      </c>
      <c r="L1455" s="84">
        <v>-183</v>
      </c>
      <c r="M1455" s="84">
        <v>0</v>
      </c>
    </row>
    <row r="1456" spans="3:13" hidden="1" x14ac:dyDescent="0.25">
      <c r="C1456" t="s">
        <v>64</v>
      </c>
      <c r="D1456" t="s">
        <v>120</v>
      </c>
      <c r="E1456" t="s">
        <v>60</v>
      </c>
      <c r="F1456" t="s">
        <v>123</v>
      </c>
      <c r="G1456">
        <v>0</v>
      </c>
      <c r="H1456" t="s">
        <v>12</v>
      </c>
      <c r="I1456" t="s">
        <v>121</v>
      </c>
      <c r="J1456" t="s">
        <v>122</v>
      </c>
      <c r="K1456">
        <v>0</v>
      </c>
      <c r="L1456" s="84">
        <v>-480</v>
      </c>
      <c r="M1456" s="84">
        <v>0</v>
      </c>
    </row>
    <row r="1457" spans="3:13" hidden="1" x14ac:dyDescent="0.25">
      <c r="C1457" t="s">
        <v>64</v>
      </c>
      <c r="D1457" t="s">
        <v>120</v>
      </c>
      <c r="E1457" t="s">
        <v>60</v>
      </c>
      <c r="F1457" t="s">
        <v>24</v>
      </c>
      <c r="G1457">
        <v>11</v>
      </c>
      <c r="H1457" t="s">
        <v>72</v>
      </c>
      <c r="I1457" t="s">
        <v>121</v>
      </c>
      <c r="J1457" t="s">
        <v>122</v>
      </c>
      <c r="K1457">
        <v>0</v>
      </c>
      <c r="L1457" s="84">
        <v>-15393</v>
      </c>
      <c r="M1457" s="84">
        <v>0</v>
      </c>
    </row>
    <row r="1458" spans="3:13" hidden="1" x14ac:dyDescent="0.25">
      <c r="C1458" t="s">
        <v>119</v>
      </c>
      <c r="D1458" t="s">
        <v>120</v>
      </c>
      <c r="E1458" t="s">
        <v>60</v>
      </c>
      <c r="F1458" t="s">
        <v>24</v>
      </c>
      <c r="G1458">
        <v>13</v>
      </c>
      <c r="H1458" t="s">
        <v>72</v>
      </c>
      <c r="I1458" t="s">
        <v>121</v>
      </c>
      <c r="J1458" t="s">
        <v>122</v>
      </c>
      <c r="K1458">
        <v>0</v>
      </c>
      <c r="L1458" s="84">
        <v>-358</v>
      </c>
      <c r="M1458" s="84">
        <v>0</v>
      </c>
    </row>
    <row r="1459" spans="3:13" hidden="1" x14ac:dyDescent="0.25">
      <c r="C1459" t="s">
        <v>65</v>
      </c>
      <c r="D1459" t="s">
        <v>120</v>
      </c>
      <c r="E1459" t="s">
        <v>63</v>
      </c>
      <c r="F1459" t="s">
        <v>123</v>
      </c>
      <c r="G1459">
        <v>1</v>
      </c>
      <c r="H1459" t="s">
        <v>17</v>
      </c>
      <c r="I1459" t="s">
        <v>62</v>
      </c>
      <c r="J1459" t="s">
        <v>66</v>
      </c>
      <c r="K1459">
        <v>1</v>
      </c>
      <c r="L1459" s="84">
        <v>57361</v>
      </c>
      <c r="M1459" s="84">
        <v>57361</v>
      </c>
    </row>
    <row r="1460" spans="3:13" hidden="1" x14ac:dyDescent="0.25">
      <c r="C1460" t="s">
        <v>64</v>
      </c>
      <c r="D1460" t="s">
        <v>125</v>
      </c>
      <c r="E1460" t="s">
        <v>63</v>
      </c>
      <c r="F1460" t="s">
        <v>24</v>
      </c>
      <c r="G1460">
        <v>31</v>
      </c>
      <c r="I1460" t="s">
        <v>121</v>
      </c>
      <c r="J1460" t="s">
        <v>122</v>
      </c>
      <c r="K1460">
        <v>0</v>
      </c>
      <c r="L1460" s="84">
        <v>43584870</v>
      </c>
      <c r="M1460" s="84">
        <v>1351130970</v>
      </c>
    </row>
    <row r="1461" spans="3:13" hidden="1" x14ac:dyDescent="0.25">
      <c r="C1461" t="s">
        <v>119</v>
      </c>
      <c r="D1461" t="s">
        <v>120</v>
      </c>
      <c r="E1461" t="s">
        <v>63</v>
      </c>
      <c r="F1461" t="s">
        <v>123</v>
      </c>
      <c r="G1461">
        <v>3</v>
      </c>
      <c r="H1461" t="s">
        <v>15</v>
      </c>
      <c r="I1461" t="s">
        <v>121</v>
      </c>
      <c r="J1461" t="s">
        <v>122</v>
      </c>
      <c r="K1461">
        <v>0</v>
      </c>
      <c r="L1461" s="84">
        <v>73215</v>
      </c>
      <c r="M1461" s="84">
        <v>219645</v>
      </c>
    </row>
    <row r="1462" spans="3:13" hidden="1" x14ac:dyDescent="0.25">
      <c r="C1462" t="s">
        <v>65</v>
      </c>
      <c r="D1462" t="s">
        <v>120</v>
      </c>
      <c r="E1462" t="s">
        <v>63</v>
      </c>
      <c r="F1462" t="s">
        <v>25</v>
      </c>
      <c r="G1462">
        <v>1</v>
      </c>
      <c r="H1462" t="s">
        <v>72</v>
      </c>
      <c r="I1462" t="s">
        <v>121</v>
      </c>
      <c r="J1462" t="s">
        <v>122</v>
      </c>
      <c r="K1462">
        <v>0</v>
      </c>
      <c r="L1462" s="84">
        <v>67283</v>
      </c>
      <c r="M1462" s="84">
        <v>67283</v>
      </c>
    </row>
    <row r="1463" spans="3:13" hidden="1" x14ac:dyDescent="0.25">
      <c r="C1463" t="s">
        <v>64</v>
      </c>
      <c r="D1463" t="s">
        <v>120</v>
      </c>
      <c r="E1463" t="s">
        <v>63</v>
      </c>
      <c r="F1463" t="s">
        <v>25</v>
      </c>
      <c r="G1463">
        <v>2</v>
      </c>
      <c r="H1463" t="s">
        <v>67</v>
      </c>
      <c r="I1463" t="s">
        <v>121</v>
      </c>
      <c r="J1463" t="s">
        <v>122</v>
      </c>
      <c r="K1463">
        <v>0</v>
      </c>
      <c r="L1463" s="84">
        <v>22606</v>
      </c>
      <c r="M1463" s="84">
        <v>45212</v>
      </c>
    </row>
    <row r="1464" spans="3:13" hidden="1" x14ac:dyDescent="0.25">
      <c r="C1464" t="s">
        <v>64</v>
      </c>
      <c r="D1464" t="s">
        <v>120</v>
      </c>
      <c r="E1464" t="s">
        <v>60</v>
      </c>
      <c r="F1464" t="s">
        <v>25</v>
      </c>
      <c r="G1464">
        <v>8</v>
      </c>
      <c r="H1464" t="s">
        <v>18</v>
      </c>
      <c r="I1464" t="s">
        <v>121</v>
      </c>
      <c r="J1464" t="s">
        <v>122</v>
      </c>
      <c r="K1464">
        <v>0</v>
      </c>
      <c r="L1464" s="84">
        <v>-151123</v>
      </c>
      <c r="M1464" s="84">
        <v>0</v>
      </c>
    </row>
    <row r="1465" spans="3:13" hidden="1" x14ac:dyDescent="0.25">
      <c r="C1465" t="s">
        <v>64</v>
      </c>
      <c r="D1465" t="s">
        <v>120</v>
      </c>
      <c r="E1465" t="s">
        <v>60</v>
      </c>
      <c r="F1465" t="s">
        <v>25</v>
      </c>
      <c r="G1465">
        <v>12</v>
      </c>
      <c r="H1465" t="s">
        <v>18</v>
      </c>
      <c r="I1465" t="s">
        <v>121</v>
      </c>
      <c r="J1465" t="s">
        <v>66</v>
      </c>
      <c r="K1465">
        <v>1</v>
      </c>
      <c r="L1465" s="84">
        <v>-18150</v>
      </c>
      <c r="M1465" s="84">
        <v>0</v>
      </c>
    </row>
    <row r="1466" spans="3:13" hidden="1" x14ac:dyDescent="0.25">
      <c r="C1466" t="s">
        <v>64</v>
      </c>
      <c r="D1466" t="s">
        <v>120</v>
      </c>
      <c r="E1466" t="s">
        <v>63</v>
      </c>
      <c r="F1466" t="s">
        <v>124</v>
      </c>
      <c r="G1466">
        <v>6</v>
      </c>
      <c r="H1466" t="s">
        <v>12</v>
      </c>
      <c r="I1466" t="s">
        <v>121</v>
      </c>
      <c r="J1466" t="s">
        <v>66</v>
      </c>
      <c r="K1466">
        <v>1</v>
      </c>
      <c r="L1466" s="84">
        <v>35256</v>
      </c>
      <c r="M1466" s="84">
        <v>211536</v>
      </c>
    </row>
    <row r="1467" spans="3:13" hidden="1" x14ac:dyDescent="0.25">
      <c r="C1467" t="s">
        <v>64</v>
      </c>
      <c r="D1467" t="s">
        <v>120</v>
      </c>
      <c r="E1467" t="s">
        <v>63</v>
      </c>
      <c r="F1467" t="s">
        <v>123</v>
      </c>
      <c r="G1467">
        <v>4</v>
      </c>
      <c r="H1467" t="s">
        <v>12</v>
      </c>
      <c r="I1467" t="s">
        <v>121</v>
      </c>
      <c r="J1467" t="s">
        <v>122</v>
      </c>
      <c r="K1467">
        <v>0</v>
      </c>
      <c r="L1467" s="84">
        <v>398033</v>
      </c>
      <c r="M1467" s="84">
        <v>1592132</v>
      </c>
    </row>
    <row r="1468" spans="3:13" hidden="1" x14ac:dyDescent="0.25">
      <c r="C1468" t="s">
        <v>64</v>
      </c>
      <c r="D1468" t="s">
        <v>120</v>
      </c>
      <c r="E1468" t="s">
        <v>60</v>
      </c>
      <c r="F1468" t="s">
        <v>123</v>
      </c>
      <c r="G1468">
        <v>4</v>
      </c>
      <c r="H1468" t="s">
        <v>17</v>
      </c>
      <c r="I1468" t="s">
        <v>62</v>
      </c>
      <c r="J1468" t="s">
        <v>66</v>
      </c>
      <c r="K1468">
        <v>1</v>
      </c>
      <c r="L1468" s="84">
        <v>-13283</v>
      </c>
      <c r="M1468" s="84">
        <v>0</v>
      </c>
    </row>
    <row r="1469" spans="3:13" hidden="1" x14ac:dyDescent="0.25">
      <c r="C1469" t="s">
        <v>65</v>
      </c>
      <c r="D1469" t="s">
        <v>120</v>
      </c>
      <c r="E1469" t="s">
        <v>63</v>
      </c>
      <c r="F1469" t="s">
        <v>123</v>
      </c>
      <c r="G1469">
        <v>3</v>
      </c>
      <c r="H1469" t="s">
        <v>73</v>
      </c>
      <c r="I1469" t="s">
        <v>121</v>
      </c>
      <c r="J1469" t="s">
        <v>122</v>
      </c>
      <c r="K1469">
        <v>0</v>
      </c>
      <c r="L1469" s="84">
        <v>16106</v>
      </c>
      <c r="M1469" s="84">
        <v>48318</v>
      </c>
    </row>
    <row r="1470" spans="3:13" hidden="1" x14ac:dyDescent="0.25">
      <c r="C1470" t="s">
        <v>64</v>
      </c>
      <c r="D1470" t="s">
        <v>120</v>
      </c>
      <c r="E1470" t="s">
        <v>63</v>
      </c>
      <c r="F1470" t="s">
        <v>123</v>
      </c>
      <c r="G1470">
        <v>2</v>
      </c>
      <c r="H1470" t="s">
        <v>71</v>
      </c>
      <c r="I1470" t="s">
        <v>121</v>
      </c>
      <c r="J1470" t="s">
        <v>122</v>
      </c>
      <c r="K1470">
        <v>0</v>
      </c>
      <c r="L1470" s="84">
        <v>24833</v>
      </c>
      <c r="M1470" s="84">
        <v>49666</v>
      </c>
    </row>
    <row r="1471" spans="3:13" hidden="1" x14ac:dyDescent="0.25">
      <c r="C1471" t="s">
        <v>64</v>
      </c>
      <c r="D1471" t="s">
        <v>120</v>
      </c>
      <c r="E1471" t="s">
        <v>60</v>
      </c>
      <c r="F1471" t="s">
        <v>123</v>
      </c>
      <c r="G1471">
        <v>0</v>
      </c>
      <c r="H1471" t="s">
        <v>14</v>
      </c>
      <c r="I1471" t="s">
        <v>121</v>
      </c>
      <c r="J1471" t="s">
        <v>122</v>
      </c>
      <c r="K1471">
        <v>0</v>
      </c>
      <c r="L1471" s="84">
        <v>-3737</v>
      </c>
      <c r="M1471" s="84">
        <v>0</v>
      </c>
    </row>
    <row r="1472" spans="3:13" hidden="1" x14ac:dyDescent="0.25">
      <c r="C1472" t="s">
        <v>119</v>
      </c>
      <c r="D1472" t="s">
        <v>120</v>
      </c>
      <c r="E1472" t="s">
        <v>63</v>
      </c>
      <c r="F1472" t="s">
        <v>124</v>
      </c>
      <c r="G1472">
        <v>11</v>
      </c>
      <c r="H1472" t="s">
        <v>15</v>
      </c>
      <c r="I1472" t="s">
        <v>121</v>
      </c>
      <c r="J1472" t="s">
        <v>122</v>
      </c>
      <c r="K1472">
        <v>0</v>
      </c>
      <c r="L1472" s="84">
        <v>101599828</v>
      </c>
      <c r="M1472" s="84">
        <v>1117598108</v>
      </c>
    </row>
    <row r="1473" spans="3:13" hidden="1" x14ac:dyDescent="0.25">
      <c r="C1473" t="s">
        <v>64</v>
      </c>
      <c r="D1473" t="s">
        <v>120</v>
      </c>
      <c r="E1473" t="s">
        <v>60</v>
      </c>
      <c r="F1473" t="s">
        <v>24</v>
      </c>
      <c r="G1473">
        <v>11</v>
      </c>
      <c r="H1473" t="s">
        <v>73</v>
      </c>
      <c r="I1473" t="s">
        <v>121</v>
      </c>
      <c r="J1473" t="s">
        <v>122</v>
      </c>
      <c r="K1473">
        <v>0</v>
      </c>
      <c r="L1473" s="84">
        <v>-7191</v>
      </c>
      <c r="M1473" s="84">
        <v>0</v>
      </c>
    </row>
    <row r="1474" spans="3:13" hidden="1" x14ac:dyDescent="0.25">
      <c r="C1474" t="s">
        <v>119</v>
      </c>
      <c r="D1474" t="s">
        <v>120</v>
      </c>
      <c r="E1474" t="s">
        <v>60</v>
      </c>
      <c r="F1474" t="s">
        <v>123</v>
      </c>
      <c r="G1474">
        <v>2</v>
      </c>
      <c r="H1474" t="s">
        <v>69</v>
      </c>
      <c r="I1474" t="s">
        <v>121</v>
      </c>
      <c r="J1474" t="s">
        <v>122</v>
      </c>
      <c r="K1474">
        <v>0</v>
      </c>
      <c r="L1474" s="84">
        <v>-3975</v>
      </c>
      <c r="M1474" s="84">
        <v>0</v>
      </c>
    </row>
    <row r="1475" spans="3:13" hidden="1" x14ac:dyDescent="0.25">
      <c r="C1475" t="s">
        <v>65</v>
      </c>
      <c r="D1475" t="s">
        <v>120</v>
      </c>
      <c r="E1475" t="s">
        <v>60</v>
      </c>
      <c r="F1475" t="s">
        <v>123</v>
      </c>
      <c r="G1475">
        <v>-4</v>
      </c>
      <c r="H1475" t="s">
        <v>18</v>
      </c>
      <c r="I1475" t="s">
        <v>121</v>
      </c>
      <c r="J1475" t="s">
        <v>66</v>
      </c>
      <c r="K1475">
        <v>1</v>
      </c>
      <c r="L1475" s="84">
        <v>-8109</v>
      </c>
      <c r="M1475" s="84">
        <v>0</v>
      </c>
    </row>
    <row r="1476" spans="3:13" hidden="1" x14ac:dyDescent="0.25">
      <c r="C1476" t="s">
        <v>65</v>
      </c>
      <c r="D1476" t="s">
        <v>120</v>
      </c>
      <c r="E1476" t="s">
        <v>60</v>
      </c>
      <c r="F1476" t="s">
        <v>24</v>
      </c>
      <c r="G1476">
        <v>1</v>
      </c>
      <c r="H1476" t="s">
        <v>71</v>
      </c>
      <c r="I1476" t="s">
        <v>121</v>
      </c>
      <c r="J1476" t="s">
        <v>122</v>
      </c>
      <c r="K1476">
        <v>0</v>
      </c>
      <c r="L1476" s="84">
        <v>-27206</v>
      </c>
      <c r="M1476" s="84">
        <v>0</v>
      </c>
    </row>
    <row r="1477" spans="3:13" hidden="1" x14ac:dyDescent="0.25">
      <c r="C1477" t="s">
        <v>64</v>
      </c>
      <c r="D1477" t="s">
        <v>120</v>
      </c>
      <c r="E1477" t="s">
        <v>60</v>
      </c>
      <c r="F1477" t="s">
        <v>124</v>
      </c>
      <c r="G1477">
        <v>7</v>
      </c>
      <c r="H1477" t="s">
        <v>75</v>
      </c>
      <c r="I1477" t="s">
        <v>121</v>
      </c>
      <c r="J1477" t="s">
        <v>122</v>
      </c>
      <c r="K1477">
        <v>0</v>
      </c>
      <c r="L1477" s="84">
        <v>-14787</v>
      </c>
      <c r="M1477" s="84">
        <v>0</v>
      </c>
    </row>
    <row r="1478" spans="3:13" hidden="1" x14ac:dyDescent="0.25">
      <c r="C1478" t="s">
        <v>119</v>
      </c>
      <c r="D1478" t="s">
        <v>120</v>
      </c>
      <c r="E1478" t="s">
        <v>60</v>
      </c>
      <c r="F1478" t="s">
        <v>25</v>
      </c>
      <c r="G1478">
        <v>17</v>
      </c>
      <c r="H1478" t="s">
        <v>67</v>
      </c>
      <c r="I1478" t="s">
        <v>121</v>
      </c>
      <c r="J1478" t="s">
        <v>122</v>
      </c>
      <c r="K1478">
        <v>0</v>
      </c>
      <c r="L1478" s="84">
        <v>-5951</v>
      </c>
      <c r="M1478" s="84">
        <v>0</v>
      </c>
    </row>
    <row r="1479" spans="3:13" hidden="1" x14ac:dyDescent="0.25">
      <c r="C1479" t="s">
        <v>64</v>
      </c>
      <c r="D1479" t="s">
        <v>120</v>
      </c>
      <c r="E1479" t="s">
        <v>63</v>
      </c>
      <c r="F1479" t="s">
        <v>124</v>
      </c>
      <c r="G1479">
        <v>6</v>
      </c>
      <c r="H1479" t="s">
        <v>14</v>
      </c>
      <c r="I1479" t="s">
        <v>121</v>
      </c>
      <c r="J1479" t="s">
        <v>66</v>
      </c>
      <c r="K1479">
        <v>1</v>
      </c>
      <c r="L1479" s="84">
        <v>267433</v>
      </c>
      <c r="M1479" s="84">
        <v>1604598</v>
      </c>
    </row>
    <row r="1480" spans="3:13" hidden="1" x14ac:dyDescent="0.25">
      <c r="C1480" t="s">
        <v>65</v>
      </c>
      <c r="D1480" t="s">
        <v>120</v>
      </c>
      <c r="E1480" t="s">
        <v>63</v>
      </c>
      <c r="F1480" t="s">
        <v>124</v>
      </c>
      <c r="G1480">
        <v>11</v>
      </c>
      <c r="H1480" t="s">
        <v>61</v>
      </c>
      <c r="I1480" t="s">
        <v>121</v>
      </c>
      <c r="J1480" t="s">
        <v>122</v>
      </c>
      <c r="K1480">
        <v>0</v>
      </c>
      <c r="L1480" s="84">
        <v>7219176</v>
      </c>
      <c r="M1480" s="84">
        <v>79410936</v>
      </c>
    </row>
    <row r="1481" spans="3:13" hidden="1" x14ac:dyDescent="0.25">
      <c r="C1481" t="s">
        <v>65</v>
      </c>
      <c r="D1481" t="s">
        <v>120</v>
      </c>
      <c r="E1481" t="s">
        <v>60</v>
      </c>
      <c r="F1481" t="s">
        <v>124</v>
      </c>
      <c r="G1481">
        <v>3</v>
      </c>
      <c r="H1481" t="s">
        <v>17</v>
      </c>
      <c r="I1481" t="s">
        <v>121</v>
      </c>
      <c r="J1481" t="s">
        <v>122</v>
      </c>
      <c r="K1481">
        <v>0</v>
      </c>
      <c r="L1481" s="84">
        <v>-1610731</v>
      </c>
      <c r="M1481" s="84">
        <v>0</v>
      </c>
    </row>
    <row r="1482" spans="3:13" hidden="1" x14ac:dyDescent="0.25">
      <c r="C1482" t="s">
        <v>119</v>
      </c>
      <c r="D1482" t="s">
        <v>120</v>
      </c>
      <c r="E1482" t="s">
        <v>60</v>
      </c>
      <c r="F1482" t="s">
        <v>123</v>
      </c>
      <c r="G1482">
        <v>-4</v>
      </c>
      <c r="H1482" t="s">
        <v>18</v>
      </c>
      <c r="I1482" t="s">
        <v>121</v>
      </c>
      <c r="J1482" t="s">
        <v>122</v>
      </c>
      <c r="K1482">
        <v>0</v>
      </c>
      <c r="L1482" s="84">
        <v>-7</v>
      </c>
      <c r="M1482" s="84">
        <v>0</v>
      </c>
    </row>
    <row r="1483" spans="3:13" hidden="1" x14ac:dyDescent="0.25">
      <c r="C1483" t="s">
        <v>119</v>
      </c>
      <c r="D1483" t="s">
        <v>120</v>
      </c>
      <c r="E1483" t="s">
        <v>60</v>
      </c>
      <c r="F1483" t="s">
        <v>25</v>
      </c>
      <c r="G1483">
        <v>-1</v>
      </c>
      <c r="H1483" t="s">
        <v>72</v>
      </c>
      <c r="I1483" t="s">
        <v>121</v>
      </c>
      <c r="J1483" t="s">
        <v>122</v>
      </c>
      <c r="K1483">
        <v>0</v>
      </c>
      <c r="L1483" s="84">
        <v>0</v>
      </c>
      <c r="M1483" s="84">
        <v>0</v>
      </c>
    </row>
    <row r="1484" spans="3:13" hidden="1" x14ac:dyDescent="0.25">
      <c r="C1484" t="s">
        <v>64</v>
      </c>
      <c r="D1484" t="s">
        <v>120</v>
      </c>
      <c r="E1484" t="s">
        <v>60</v>
      </c>
      <c r="F1484" t="s">
        <v>124</v>
      </c>
      <c r="G1484">
        <v>0</v>
      </c>
      <c r="H1484" t="s">
        <v>17</v>
      </c>
      <c r="I1484" t="s">
        <v>121</v>
      </c>
      <c r="J1484" t="s">
        <v>122</v>
      </c>
      <c r="K1484">
        <v>0</v>
      </c>
      <c r="L1484" s="84">
        <v>-53338</v>
      </c>
      <c r="M1484" s="84">
        <v>0</v>
      </c>
    </row>
    <row r="1485" spans="3:13" hidden="1" x14ac:dyDescent="0.25">
      <c r="C1485" t="s">
        <v>64</v>
      </c>
      <c r="D1485" t="s">
        <v>125</v>
      </c>
      <c r="E1485" t="s">
        <v>63</v>
      </c>
      <c r="F1485" t="s">
        <v>24</v>
      </c>
      <c r="G1485">
        <v>17</v>
      </c>
      <c r="I1485" t="s">
        <v>121</v>
      </c>
      <c r="J1485" t="s">
        <v>122</v>
      </c>
      <c r="K1485">
        <v>0</v>
      </c>
      <c r="L1485" s="84">
        <v>27555917</v>
      </c>
      <c r="M1485" s="84">
        <v>468450589</v>
      </c>
    </row>
    <row r="1486" spans="3:13" hidden="1" x14ac:dyDescent="0.25">
      <c r="C1486" t="s">
        <v>119</v>
      </c>
      <c r="D1486" t="s">
        <v>120</v>
      </c>
      <c r="E1486" t="s">
        <v>63</v>
      </c>
      <c r="F1486" t="s">
        <v>24</v>
      </c>
      <c r="G1486">
        <v>3</v>
      </c>
      <c r="H1486" t="s">
        <v>68</v>
      </c>
      <c r="I1486" t="s">
        <v>121</v>
      </c>
      <c r="J1486" t="s">
        <v>122</v>
      </c>
      <c r="K1486">
        <v>0</v>
      </c>
      <c r="L1486" s="84">
        <v>16909723</v>
      </c>
      <c r="M1486" s="84">
        <v>50729169</v>
      </c>
    </row>
    <row r="1487" spans="3:13" hidden="1" x14ac:dyDescent="0.25">
      <c r="C1487" t="s">
        <v>119</v>
      </c>
      <c r="D1487" t="s">
        <v>120</v>
      </c>
      <c r="E1487" t="s">
        <v>63</v>
      </c>
      <c r="F1487" t="s">
        <v>123</v>
      </c>
      <c r="G1487">
        <v>0</v>
      </c>
      <c r="H1487" t="s">
        <v>18</v>
      </c>
      <c r="I1487" t="s">
        <v>121</v>
      </c>
      <c r="J1487" t="s">
        <v>122</v>
      </c>
      <c r="K1487">
        <v>0</v>
      </c>
      <c r="L1487" s="84">
        <v>1438266</v>
      </c>
      <c r="M1487" s="84">
        <v>0</v>
      </c>
    </row>
    <row r="1488" spans="3:13" hidden="1" x14ac:dyDescent="0.25">
      <c r="C1488" t="s">
        <v>119</v>
      </c>
      <c r="D1488" t="s">
        <v>126</v>
      </c>
      <c r="E1488" t="s">
        <v>60</v>
      </c>
      <c r="F1488" t="s">
        <v>24</v>
      </c>
      <c r="G1488">
        <v>4</v>
      </c>
      <c r="H1488" t="s">
        <v>68</v>
      </c>
      <c r="I1488" t="s">
        <v>121</v>
      </c>
      <c r="J1488" t="s">
        <v>122</v>
      </c>
      <c r="K1488">
        <v>0</v>
      </c>
      <c r="L1488" s="84">
        <v>-6997</v>
      </c>
      <c r="M1488" s="84">
        <v>0</v>
      </c>
    </row>
    <row r="1489" spans="3:13" hidden="1" x14ac:dyDescent="0.25">
      <c r="C1489" t="s">
        <v>65</v>
      </c>
      <c r="D1489" t="s">
        <v>120</v>
      </c>
      <c r="E1489" t="s">
        <v>63</v>
      </c>
      <c r="F1489" t="s">
        <v>124</v>
      </c>
      <c r="G1489">
        <v>2</v>
      </c>
      <c r="H1489" t="s">
        <v>69</v>
      </c>
      <c r="I1489" t="s">
        <v>121</v>
      </c>
      <c r="J1489" t="s">
        <v>122</v>
      </c>
      <c r="K1489">
        <v>0</v>
      </c>
      <c r="L1489" s="84">
        <v>974807</v>
      </c>
      <c r="M1489" s="84">
        <v>1949614</v>
      </c>
    </row>
    <row r="1490" spans="3:13" hidden="1" x14ac:dyDescent="0.25">
      <c r="C1490" t="s">
        <v>65</v>
      </c>
      <c r="D1490" t="s">
        <v>120</v>
      </c>
      <c r="E1490" t="s">
        <v>60</v>
      </c>
      <c r="F1490" t="s">
        <v>25</v>
      </c>
      <c r="G1490">
        <v>6</v>
      </c>
      <c r="H1490" t="s">
        <v>69</v>
      </c>
      <c r="I1490" t="s">
        <v>121</v>
      </c>
      <c r="J1490" t="s">
        <v>122</v>
      </c>
      <c r="K1490">
        <v>0</v>
      </c>
      <c r="L1490" s="84">
        <v>-598424</v>
      </c>
      <c r="M1490" s="84">
        <v>0</v>
      </c>
    </row>
    <row r="1491" spans="3:13" hidden="1" x14ac:dyDescent="0.25">
      <c r="C1491" t="s">
        <v>119</v>
      </c>
      <c r="D1491" t="s">
        <v>120</v>
      </c>
      <c r="E1491" t="s">
        <v>63</v>
      </c>
      <c r="F1491" t="s">
        <v>25</v>
      </c>
      <c r="G1491">
        <v>10</v>
      </c>
      <c r="H1491" t="s">
        <v>72</v>
      </c>
      <c r="I1491" t="s">
        <v>121</v>
      </c>
      <c r="J1491" t="s">
        <v>122</v>
      </c>
      <c r="K1491">
        <v>0</v>
      </c>
      <c r="L1491" s="84">
        <v>5936579</v>
      </c>
      <c r="M1491" s="84">
        <v>59365790</v>
      </c>
    </row>
    <row r="1492" spans="3:13" hidden="1" x14ac:dyDescent="0.25">
      <c r="C1492" t="s">
        <v>65</v>
      </c>
      <c r="D1492" t="s">
        <v>120</v>
      </c>
      <c r="E1492" t="s">
        <v>63</v>
      </c>
      <c r="F1492" t="s">
        <v>124</v>
      </c>
      <c r="G1492">
        <v>10</v>
      </c>
      <c r="H1492" t="s">
        <v>70</v>
      </c>
      <c r="I1492" t="s">
        <v>121</v>
      </c>
      <c r="J1492" t="s">
        <v>122</v>
      </c>
      <c r="K1492">
        <v>0</v>
      </c>
      <c r="L1492" s="84">
        <v>43020</v>
      </c>
      <c r="M1492" s="84">
        <v>430200</v>
      </c>
    </row>
    <row r="1493" spans="3:13" hidden="1" x14ac:dyDescent="0.25">
      <c r="C1493" t="s">
        <v>119</v>
      </c>
      <c r="D1493" t="s">
        <v>120</v>
      </c>
      <c r="E1493" t="s">
        <v>63</v>
      </c>
      <c r="F1493" t="s">
        <v>123</v>
      </c>
      <c r="G1493">
        <v>1</v>
      </c>
      <c r="H1493" t="s">
        <v>67</v>
      </c>
      <c r="I1493" t="s">
        <v>121</v>
      </c>
      <c r="J1493" t="s">
        <v>122</v>
      </c>
      <c r="K1493">
        <v>0</v>
      </c>
      <c r="L1493" s="84">
        <v>5940499</v>
      </c>
      <c r="M1493" s="84">
        <v>5940499</v>
      </c>
    </row>
    <row r="1494" spans="3:13" hidden="1" x14ac:dyDescent="0.25">
      <c r="C1494" t="s">
        <v>65</v>
      </c>
      <c r="D1494" t="s">
        <v>120</v>
      </c>
      <c r="E1494" t="s">
        <v>60</v>
      </c>
      <c r="F1494" t="s">
        <v>25</v>
      </c>
      <c r="G1494">
        <v>11</v>
      </c>
      <c r="H1494" t="s">
        <v>68</v>
      </c>
      <c r="I1494" t="s">
        <v>121</v>
      </c>
      <c r="J1494" t="s">
        <v>122</v>
      </c>
      <c r="K1494">
        <v>0</v>
      </c>
      <c r="L1494" s="84">
        <v>-31927</v>
      </c>
      <c r="M1494" s="84">
        <v>0</v>
      </c>
    </row>
    <row r="1495" spans="3:13" hidden="1" x14ac:dyDescent="0.25">
      <c r="C1495" t="s">
        <v>64</v>
      </c>
      <c r="D1495" t="s">
        <v>120</v>
      </c>
      <c r="E1495" t="s">
        <v>60</v>
      </c>
      <c r="F1495" t="s">
        <v>124</v>
      </c>
      <c r="G1495">
        <v>1</v>
      </c>
      <c r="H1495" t="s">
        <v>67</v>
      </c>
      <c r="I1495" t="s">
        <v>121</v>
      </c>
      <c r="J1495" t="s">
        <v>122</v>
      </c>
      <c r="K1495">
        <v>0</v>
      </c>
      <c r="L1495" s="84">
        <v>-125571</v>
      </c>
      <c r="M1495" s="84">
        <v>0</v>
      </c>
    </row>
    <row r="1496" spans="3:13" hidden="1" x14ac:dyDescent="0.25">
      <c r="C1496" t="s">
        <v>119</v>
      </c>
      <c r="D1496" t="s">
        <v>120</v>
      </c>
      <c r="E1496" t="s">
        <v>60</v>
      </c>
      <c r="F1496" t="s">
        <v>123</v>
      </c>
      <c r="G1496">
        <v>0</v>
      </c>
      <c r="H1496" t="s">
        <v>14</v>
      </c>
      <c r="I1496" t="s">
        <v>121</v>
      </c>
      <c r="J1496" t="s">
        <v>122</v>
      </c>
      <c r="K1496">
        <v>0</v>
      </c>
      <c r="L1496" s="84">
        <v>-1105</v>
      </c>
      <c r="M1496" s="84">
        <v>0</v>
      </c>
    </row>
    <row r="1497" spans="3:13" hidden="1" x14ac:dyDescent="0.25">
      <c r="C1497" t="s">
        <v>119</v>
      </c>
      <c r="D1497" t="s">
        <v>120</v>
      </c>
      <c r="E1497" t="s">
        <v>60</v>
      </c>
      <c r="F1497" t="s">
        <v>24</v>
      </c>
      <c r="G1497">
        <v>0</v>
      </c>
      <c r="H1497" t="s">
        <v>17</v>
      </c>
      <c r="I1497" t="s">
        <v>121</v>
      </c>
      <c r="J1497" t="s">
        <v>66</v>
      </c>
      <c r="K1497">
        <v>1</v>
      </c>
      <c r="L1497" s="84">
        <v>-16</v>
      </c>
      <c r="M1497" s="84">
        <v>0</v>
      </c>
    </row>
    <row r="1498" spans="3:13" hidden="1" x14ac:dyDescent="0.25">
      <c r="C1498" t="s">
        <v>64</v>
      </c>
      <c r="D1498" t="s">
        <v>120</v>
      </c>
      <c r="E1498" t="s">
        <v>60</v>
      </c>
      <c r="F1498" t="s">
        <v>124</v>
      </c>
      <c r="G1498">
        <v>4</v>
      </c>
      <c r="H1498" t="s">
        <v>61</v>
      </c>
      <c r="I1498" t="s">
        <v>121</v>
      </c>
      <c r="J1498" t="s">
        <v>122</v>
      </c>
      <c r="K1498">
        <v>0</v>
      </c>
      <c r="L1498" s="84">
        <v>-43427</v>
      </c>
      <c r="M1498" s="84">
        <v>0</v>
      </c>
    </row>
    <row r="1499" spans="3:13" hidden="1" x14ac:dyDescent="0.25">
      <c r="C1499" t="s">
        <v>119</v>
      </c>
      <c r="D1499" t="s">
        <v>120</v>
      </c>
      <c r="E1499" t="s">
        <v>60</v>
      </c>
      <c r="F1499" t="s">
        <v>123</v>
      </c>
      <c r="G1499">
        <v>7</v>
      </c>
      <c r="H1499" t="s">
        <v>18</v>
      </c>
      <c r="I1499" t="s">
        <v>121</v>
      </c>
      <c r="J1499" t="s">
        <v>122</v>
      </c>
      <c r="K1499">
        <v>0</v>
      </c>
      <c r="L1499" s="84">
        <v>-2258</v>
      </c>
      <c r="M1499" s="84">
        <v>0</v>
      </c>
    </row>
    <row r="1500" spans="3:13" hidden="1" x14ac:dyDescent="0.25">
      <c r="C1500" t="s">
        <v>119</v>
      </c>
      <c r="D1500" t="s">
        <v>120</v>
      </c>
      <c r="E1500" t="s">
        <v>63</v>
      </c>
      <c r="F1500" t="s">
        <v>123</v>
      </c>
      <c r="G1500">
        <v>2</v>
      </c>
      <c r="H1500" t="s">
        <v>18</v>
      </c>
      <c r="I1500" t="s">
        <v>121</v>
      </c>
      <c r="J1500" t="s">
        <v>66</v>
      </c>
      <c r="K1500">
        <v>1</v>
      </c>
      <c r="L1500" s="84">
        <v>644675</v>
      </c>
      <c r="M1500" s="84">
        <v>1289350</v>
      </c>
    </row>
    <row r="1501" spans="3:13" hidden="1" x14ac:dyDescent="0.25">
      <c r="C1501" t="s">
        <v>119</v>
      </c>
      <c r="D1501" t="s">
        <v>120</v>
      </c>
      <c r="E1501" t="s">
        <v>60</v>
      </c>
      <c r="F1501" t="s">
        <v>124</v>
      </c>
      <c r="G1501">
        <v>3</v>
      </c>
      <c r="H1501" t="s">
        <v>15</v>
      </c>
      <c r="I1501" t="s">
        <v>121</v>
      </c>
      <c r="J1501" t="s">
        <v>122</v>
      </c>
      <c r="K1501">
        <v>0</v>
      </c>
      <c r="L1501" s="84">
        <v>-731</v>
      </c>
      <c r="M1501" s="84">
        <v>0</v>
      </c>
    </row>
    <row r="1502" spans="3:13" hidden="1" x14ac:dyDescent="0.25">
      <c r="C1502" t="s">
        <v>65</v>
      </c>
      <c r="D1502" t="s">
        <v>120</v>
      </c>
      <c r="E1502" t="s">
        <v>63</v>
      </c>
      <c r="F1502" t="s">
        <v>124</v>
      </c>
      <c r="G1502">
        <v>7</v>
      </c>
      <c r="H1502" t="s">
        <v>18</v>
      </c>
      <c r="I1502" t="s">
        <v>121</v>
      </c>
      <c r="J1502" t="s">
        <v>122</v>
      </c>
      <c r="K1502">
        <v>0</v>
      </c>
      <c r="L1502" s="84">
        <v>1097717</v>
      </c>
      <c r="M1502" s="84">
        <v>7684019</v>
      </c>
    </row>
    <row r="1503" spans="3:13" hidden="1" x14ac:dyDescent="0.25">
      <c r="C1503" t="s">
        <v>65</v>
      </c>
      <c r="D1503" t="s">
        <v>120</v>
      </c>
      <c r="E1503" t="s">
        <v>60</v>
      </c>
      <c r="F1503" t="s">
        <v>123</v>
      </c>
      <c r="G1503">
        <v>0</v>
      </c>
      <c r="H1503" t="s">
        <v>14</v>
      </c>
      <c r="I1503" t="s">
        <v>121</v>
      </c>
      <c r="J1503" t="s">
        <v>66</v>
      </c>
      <c r="K1503">
        <v>1</v>
      </c>
      <c r="L1503" s="84">
        <v>-42207</v>
      </c>
      <c r="M1503" s="84">
        <v>0</v>
      </c>
    </row>
    <row r="1504" spans="3:13" hidden="1" x14ac:dyDescent="0.25">
      <c r="C1504" t="s">
        <v>65</v>
      </c>
      <c r="D1504" t="s">
        <v>120</v>
      </c>
      <c r="E1504" t="s">
        <v>60</v>
      </c>
      <c r="F1504" t="s">
        <v>25</v>
      </c>
      <c r="G1504">
        <v>1</v>
      </c>
      <c r="H1504" t="s">
        <v>18</v>
      </c>
      <c r="I1504" t="s">
        <v>121</v>
      </c>
      <c r="J1504" t="s">
        <v>122</v>
      </c>
      <c r="K1504">
        <v>0</v>
      </c>
      <c r="L1504" s="84">
        <v>-14772</v>
      </c>
      <c r="M1504" s="84">
        <v>0</v>
      </c>
    </row>
    <row r="1505" spans="3:13" hidden="1" x14ac:dyDescent="0.25">
      <c r="C1505" t="s">
        <v>65</v>
      </c>
      <c r="D1505" t="s">
        <v>120</v>
      </c>
      <c r="E1505" t="s">
        <v>60</v>
      </c>
      <c r="F1505" t="s">
        <v>123</v>
      </c>
      <c r="G1505">
        <v>1</v>
      </c>
      <c r="H1505" t="s">
        <v>16</v>
      </c>
      <c r="I1505" t="s">
        <v>121</v>
      </c>
      <c r="J1505" t="s">
        <v>122</v>
      </c>
      <c r="K1505">
        <v>0</v>
      </c>
      <c r="L1505" s="84">
        <v>-1294</v>
      </c>
      <c r="M1505" s="84">
        <v>0</v>
      </c>
    </row>
    <row r="1506" spans="3:13" hidden="1" x14ac:dyDescent="0.25">
      <c r="C1506" t="s">
        <v>119</v>
      </c>
      <c r="D1506" t="s">
        <v>120</v>
      </c>
      <c r="E1506" t="s">
        <v>60</v>
      </c>
      <c r="F1506" t="s">
        <v>24</v>
      </c>
      <c r="G1506">
        <v>11</v>
      </c>
      <c r="H1506" t="s">
        <v>72</v>
      </c>
      <c r="I1506" t="s">
        <v>121</v>
      </c>
      <c r="J1506" t="s">
        <v>122</v>
      </c>
      <c r="K1506">
        <v>0</v>
      </c>
      <c r="L1506" s="84">
        <v>-3424</v>
      </c>
      <c r="M1506" s="84">
        <v>0</v>
      </c>
    </row>
    <row r="1507" spans="3:13" hidden="1" x14ac:dyDescent="0.25">
      <c r="C1507" t="s">
        <v>64</v>
      </c>
      <c r="D1507" t="s">
        <v>120</v>
      </c>
      <c r="E1507" t="s">
        <v>63</v>
      </c>
      <c r="F1507" t="s">
        <v>124</v>
      </c>
      <c r="G1507">
        <v>-4</v>
      </c>
      <c r="H1507" t="s">
        <v>70</v>
      </c>
      <c r="I1507" t="s">
        <v>121</v>
      </c>
      <c r="J1507" t="s">
        <v>122</v>
      </c>
      <c r="K1507">
        <v>0</v>
      </c>
      <c r="L1507" s="84">
        <v>132772</v>
      </c>
      <c r="M1507" s="84">
        <v>0</v>
      </c>
    </row>
    <row r="1508" spans="3:13" hidden="1" x14ac:dyDescent="0.25">
      <c r="C1508" t="s">
        <v>64</v>
      </c>
      <c r="D1508" t="s">
        <v>120</v>
      </c>
      <c r="E1508" t="s">
        <v>60</v>
      </c>
      <c r="F1508" t="s">
        <v>123</v>
      </c>
      <c r="G1508">
        <v>-4</v>
      </c>
      <c r="H1508" t="s">
        <v>18</v>
      </c>
      <c r="I1508" t="s">
        <v>121</v>
      </c>
      <c r="J1508" t="s">
        <v>122</v>
      </c>
      <c r="K1508">
        <v>0</v>
      </c>
      <c r="L1508" s="84">
        <v>-409</v>
      </c>
      <c r="M1508" s="84">
        <v>0</v>
      </c>
    </row>
    <row r="1509" spans="3:13" hidden="1" x14ac:dyDescent="0.25">
      <c r="C1509" t="s">
        <v>119</v>
      </c>
      <c r="D1509" t="s">
        <v>120</v>
      </c>
      <c r="E1509" t="s">
        <v>60</v>
      </c>
      <c r="F1509" t="s">
        <v>25</v>
      </c>
      <c r="G1509">
        <v>6</v>
      </c>
      <c r="H1509" t="s">
        <v>67</v>
      </c>
      <c r="I1509" t="s">
        <v>121</v>
      </c>
      <c r="J1509" t="s">
        <v>122</v>
      </c>
      <c r="K1509">
        <v>0</v>
      </c>
      <c r="L1509" s="84">
        <v>-7492</v>
      </c>
      <c r="M1509" s="84">
        <v>0</v>
      </c>
    </row>
    <row r="1510" spans="3:13" hidden="1" x14ac:dyDescent="0.25">
      <c r="C1510" t="s">
        <v>65</v>
      </c>
      <c r="D1510" t="s">
        <v>120</v>
      </c>
      <c r="E1510" t="s">
        <v>63</v>
      </c>
      <c r="F1510" t="s">
        <v>124</v>
      </c>
      <c r="G1510">
        <v>0</v>
      </c>
      <c r="H1510" t="s">
        <v>70</v>
      </c>
      <c r="I1510" t="s">
        <v>121</v>
      </c>
      <c r="J1510" t="s">
        <v>122</v>
      </c>
      <c r="K1510">
        <v>0</v>
      </c>
      <c r="L1510" s="84">
        <v>694780</v>
      </c>
      <c r="M1510" s="84">
        <v>0</v>
      </c>
    </row>
    <row r="1511" spans="3:13" hidden="1" x14ac:dyDescent="0.25">
      <c r="C1511" t="s">
        <v>65</v>
      </c>
      <c r="D1511" t="s">
        <v>120</v>
      </c>
      <c r="E1511" t="s">
        <v>60</v>
      </c>
      <c r="F1511" t="s">
        <v>124</v>
      </c>
      <c r="G1511">
        <v>4</v>
      </c>
      <c r="H1511" t="s">
        <v>17</v>
      </c>
      <c r="I1511" t="s">
        <v>121</v>
      </c>
      <c r="J1511" t="s">
        <v>66</v>
      </c>
      <c r="K1511">
        <v>1</v>
      </c>
      <c r="L1511" s="84">
        <v>-36766</v>
      </c>
      <c r="M1511" s="84">
        <v>0</v>
      </c>
    </row>
    <row r="1512" spans="3:13" hidden="1" x14ac:dyDescent="0.25">
      <c r="C1512" t="s">
        <v>119</v>
      </c>
      <c r="D1512" t="s">
        <v>120</v>
      </c>
      <c r="E1512" t="s">
        <v>63</v>
      </c>
      <c r="F1512" t="s">
        <v>124</v>
      </c>
      <c r="G1512">
        <v>3</v>
      </c>
      <c r="H1512" t="s">
        <v>74</v>
      </c>
      <c r="I1512" t="s">
        <v>121</v>
      </c>
      <c r="J1512" t="s">
        <v>122</v>
      </c>
      <c r="K1512">
        <v>0</v>
      </c>
      <c r="L1512" s="84">
        <v>43503</v>
      </c>
      <c r="M1512" s="84">
        <v>130509</v>
      </c>
    </row>
    <row r="1513" spans="3:13" hidden="1" x14ac:dyDescent="0.25">
      <c r="C1513" t="s">
        <v>64</v>
      </c>
      <c r="D1513" t="s">
        <v>120</v>
      </c>
      <c r="E1513" t="s">
        <v>63</v>
      </c>
      <c r="F1513" t="s">
        <v>24</v>
      </c>
      <c r="G1513">
        <v>7</v>
      </c>
      <c r="H1513" t="s">
        <v>75</v>
      </c>
      <c r="I1513" t="s">
        <v>121</v>
      </c>
      <c r="J1513" t="s">
        <v>122</v>
      </c>
      <c r="K1513">
        <v>0</v>
      </c>
      <c r="L1513" s="84">
        <v>256536</v>
      </c>
      <c r="M1513" s="84">
        <v>1795752</v>
      </c>
    </row>
    <row r="1514" spans="3:13" hidden="1" x14ac:dyDescent="0.25">
      <c r="C1514" t="s">
        <v>119</v>
      </c>
      <c r="D1514" t="s">
        <v>125</v>
      </c>
      <c r="E1514" t="s">
        <v>63</v>
      </c>
      <c r="F1514" t="s">
        <v>25</v>
      </c>
      <c r="G1514">
        <v>4</v>
      </c>
      <c r="I1514" t="s">
        <v>121</v>
      </c>
      <c r="J1514" t="s">
        <v>122</v>
      </c>
      <c r="K1514">
        <v>0</v>
      </c>
      <c r="L1514" s="84">
        <v>53886999</v>
      </c>
      <c r="M1514" s="84">
        <v>215547996</v>
      </c>
    </row>
    <row r="1515" spans="3:13" hidden="1" x14ac:dyDescent="0.25">
      <c r="C1515" t="s">
        <v>119</v>
      </c>
      <c r="D1515" t="s">
        <v>120</v>
      </c>
      <c r="E1515" t="s">
        <v>63</v>
      </c>
      <c r="F1515" t="s">
        <v>24</v>
      </c>
      <c r="G1515">
        <v>9</v>
      </c>
      <c r="H1515" t="s">
        <v>69</v>
      </c>
      <c r="I1515" t="s">
        <v>121</v>
      </c>
      <c r="J1515" t="s">
        <v>122</v>
      </c>
      <c r="K1515">
        <v>0</v>
      </c>
      <c r="L1515" s="84">
        <v>9384418</v>
      </c>
      <c r="M1515" s="84">
        <v>84459762</v>
      </c>
    </row>
    <row r="1516" spans="3:13" hidden="1" x14ac:dyDescent="0.25">
      <c r="C1516" t="s">
        <v>119</v>
      </c>
      <c r="D1516" t="s">
        <v>120</v>
      </c>
      <c r="E1516" t="s">
        <v>63</v>
      </c>
      <c r="F1516" t="s">
        <v>24</v>
      </c>
      <c r="G1516">
        <v>3</v>
      </c>
      <c r="H1516" t="s">
        <v>76</v>
      </c>
      <c r="I1516" t="s">
        <v>121</v>
      </c>
      <c r="J1516" t="s">
        <v>122</v>
      </c>
      <c r="K1516">
        <v>0</v>
      </c>
      <c r="L1516" s="84">
        <v>189397</v>
      </c>
      <c r="M1516" s="84">
        <v>568191</v>
      </c>
    </row>
    <row r="1517" spans="3:13" hidden="1" x14ac:dyDescent="0.25">
      <c r="C1517" t="s">
        <v>64</v>
      </c>
      <c r="D1517" t="s">
        <v>120</v>
      </c>
      <c r="E1517" t="s">
        <v>60</v>
      </c>
      <c r="F1517" t="s">
        <v>124</v>
      </c>
      <c r="G1517">
        <v>2</v>
      </c>
      <c r="H1517" t="s">
        <v>12</v>
      </c>
      <c r="I1517" t="s">
        <v>121</v>
      </c>
      <c r="J1517" t="s">
        <v>122</v>
      </c>
      <c r="K1517">
        <v>0</v>
      </c>
      <c r="L1517" s="84">
        <v>-89109</v>
      </c>
      <c r="M1517" s="84">
        <v>0</v>
      </c>
    </row>
    <row r="1518" spans="3:13" hidden="1" x14ac:dyDescent="0.25">
      <c r="C1518" t="s">
        <v>65</v>
      </c>
      <c r="D1518" t="s">
        <v>120</v>
      </c>
      <c r="E1518" t="s">
        <v>60</v>
      </c>
      <c r="F1518" t="s">
        <v>124</v>
      </c>
      <c r="G1518">
        <v>9</v>
      </c>
      <c r="H1518" t="s">
        <v>14</v>
      </c>
      <c r="I1518" t="s">
        <v>121</v>
      </c>
      <c r="J1518" t="s">
        <v>66</v>
      </c>
      <c r="K1518">
        <v>1</v>
      </c>
      <c r="L1518" s="84">
        <v>-1191302</v>
      </c>
      <c r="M1518" s="84">
        <v>0</v>
      </c>
    </row>
    <row r="1519" spans="3:13" hidden="1" x14ac:dyDescent="0.25">
      <c r="C1519" t="s">
        <v>64</v>
      </c>
      <c r="D1519" t="s">
        <v>120</v>
      </c>
      <c r="E1519" t="s">
        <v>60</v>
      </c>
      <c r="F1519" t="s">
        <v>124</v>
      </c>
      <c r="G1519">
        <v>1</v>
      </c>
      <c r="H1519" t="s">
        <v>17</v>
      </c>
      <c r="I1519" t="s">
        <v>62</v>
      </c>
      <c r="J1519" t="s">
        <v>66</v>
      </c>
      <c r="K1519">
        <v>1</v>
      </c>
      <c r="L1519" s="84">
        <v>-8252</v>
      </c>
      <c r="M1519" s="84">
        <v>0</v>
      </c>
    </row>
    <row r="1520" spans="3:13" hidden="1" x14ac:dyDescent="0.25">
      <c r="C1520" t="s">
        <v>64</v>
      </c>
      <c r="D1520" t="s">
        <v>120</v>
      </c>
      <c r="E1520" t="s">
        <v>60</v>
      </c>
      <c r="F1520" t="s">
        <v>123</v>
      </c>
      <c r="G1520">
        <v>4</v>
      </c>
      <c r="H1520" t="s">
        <v>72</v>
      </c>
      <c r="I1520" t="s">
        <v>121</v>
      </c>
      <c r="J1520" t="s">
        <v>122</v>
      </c>
      <c r="K1520">
        <v>0</v>
      </c>
      <c r="L1520" s="84">
        <v>-62637</v>
      </c>
      <c r="M1520" s="84">
        <v>0</v>
      </c>
    </row>
    <row r="1521" spans="3:13" hidden="1" x14ac:dyDescent="0.25">
      <c r="C1521" t="s">
        <v>64</v>
      </c>
      <c r="D1521" t="s">
        <v>120</v>
      </c>
      <c r="E1521" t="s">
        <v>63</v>
      </c>
      <c r="F1521" t="s">
        <v>123</v>
      </c>
      <c r="G1521">
        <v>-4</v>
      </c>
      <c r="H1521" t="s">
        <v>18</v>
      </c>
      <c r="I1521" t="s">
        <v>121</v>
      </c>
      <c r="J1521" t="s">
        <v>66</v>
      </c>
      <c r="K1521">
        <v>1</v>
      </c>
      <c r="L1521" s="84">
        <v>178</v>
      </c>
      <c r="M1521" s="84">
        <v>0</v>
      </c>
    </row>
    <row r="1522" spans="3:13" hidden="1" x14ac:dyDescent="0.25">
      <c r="C1522" t="s">
        <v>65</v>
      </c>
      <c r="D1522" t="s">
        <v>120</v>
      </c>
      <c r="E1522" t="s">
        <v>63</v>
      </c>
      <c r="F1522" t="s">
        <v>124</v>
      </c>
      <c r="G1522">
        <v>9</v>
      </c>
      <c r="H1522" t="s">
        <v>73</v>
      </c>
      <c r="I1522" t="s">
        <v>121</v>
      </c>
      <c r="J1522" t="s">
        <v>122</v>
      </c>
      <c r="K1522">
        <v>0</v>
      </c>
      <c r="L1522" s="84">
        <v>92048</v>
      </c>
      <c r="M1522" s="84">
        <v>828432</v>
      </c>
    </row>
    <row r="1523" spans="3:13" hidden="1" x14ac:dyDescent="0.25">
      <c r="C1523" t="s">
        <v>64</v>
      </c>
      <c r="D1523" t="s">
        <v>120</v>
      </c>
      <c r="E1523" t="s">
        <v>60</v>
      </c>
      <c r="F1523" t="s">
        <v>124</v>
      </c>
      <c r="G1523">
        <v>14</v>
      </c>
      <c r="H1523" t="s">
        <v>67</v>
      </c>
      <c r="I1523" t="s">
        <v>121</v>
      </c>
      <c r="J1523" t="s">
        <v>122</v>
      </c>
      <c r="K1523">
        <v>0</v>
      </c>
      <c r="L1523" s="84">
        <v>-96639</v>
      </c>
      <c r="M1523" s="84">
        <v>0</v>
      </c>
    </row>
    <row r="1524" spans="3:13" hidden="1" x14ac:dyDescent="0.25">
      <c r="C1524" t="s">
        <v>119</v>
      </c>
      <c r="D1524" t="s">
        <v>120</v>
      </c>
      <c r="E1524" t="s">
        <v>60</v>
      </c>
      <c r="F1524" t="s">
        <v>24</v>
      </c>
      <c r="G1524">
        <v>13</v>
      </c>
      <c r="H1524" t="s">
        <v>67</v>
      </c>
      <c r="I1524" t="s">
        <v>121</v>
      </c>
      <c r="J1524" t="s">
        <v>122</v>
      </c>
      <c r="K1524">
        <v>0</v>
      </c>
      <c r="L1524" s="84">
        <v>-1895</v>
      </c>
      <c r="M1524" s="84">
        <v>0</v>
      </c>
    </row>
    <row r="1525" spans="3:13" hidden="1" x14ac:dyDescent="0.25">
      <c r="C1525" t="s">
        <v>64</v>
      </c>
      <c r="D1525" t="s">
        <v>120</v>
      </c>
      <c r="E1525" t="s">
        <v>63</v>
      </c>
      <c r="F1525" t="s">
        <v>124</v>
      </c>
      <c r="G1525">
        <v>-1</v>
      </c>
      <c r="H1525" t="s">
        <v>15</v>
      </c>
      <c r="I1525" t="s">
        <v>121</v>
      </c>
      <c r="J1525" t="s">
        <v>66</v>
      </c>
      <c r="K1525">
        <v>1</v>
      </c>
      <c r="L1525" s="84">
        <v>216239</v>
      </c>
      <c r="M1525" s="84">
        <v>0</v>
      </c>
    </row>
    <row r="1526" spans="3:13" hidden="1" x14ac:dyDescent="0.25">
      <c r="C1526" t="s">
        <v>64</v>
      </c>
      <c r="D1526" t="s">
        <v>120</v>
      </c>
      <c r="E1526" t="s">
        <v>60</v>
      </c>
      <c r="F1526" t="s">
        <v>24</v>
      </c>
      <c r="G1526">
        <v>11</v>
      </c>
      <c r="H1526" t="s">
        <v>67</v>
      </c>
      <c r="I1526" t="s">
        <v>121</v>
      </c>
      <c r="J1526" t="s">
        <v>122</v>
      </c>
      <c r="K1526">
        <v>0</v>
      </c>
      <c r="L1526" s="84">
        <v>-9468</v>
      </c>
      <c r="M1526" s="84">
        <v>0</v>
      </c>
    </row>
    <row r="1527" spans="3:13" hidden="1" x14ac:dyDescent="0.25">
      <c r="C1527" t="s">
        <v>119</v>
      </c>
      <c r="D1527" t="s">
        <v>120</v>
      </c>
      <c r="E1527" t="s">
        <v>63</v>
      </c>
      <c r="F1527" t="s">
        <v>24</v>
      </c>
      <c r="G1527">
        <v>10</v>
      </c>
      <c r="H1527" t="s">
        <v>72</v>
      </c>
      <c r="I1527" t="s">
        <v>121</v>
      </c>
      <c r="J1527" t="s">
        <v>122</v>
      </c>
      <c r="K1527">
        <v>0</v>
      </c>
      <c r="L1527" s="84">
        <v>1687400</v>
      </c>
      <c r="M1527" s="84">
        <v>16874000</v>
      </c>
    </row>
    <row r="1528" spans="3:13" hidden="1" x14ac:dyDescent="0.25">
      <c r="C1528" t="s">
        <v>119</v>
      </c>
      <c r="D1528" t="s">
        <v>125</v>
      </c>
      <c r="E1528" t="s">
        <v>60</v>
      </c>
      <c r="F1528" t="s">
        <v>25</v>
      </c>
      <c r="G1528">
        <v>1</v>
      </c>
      <c r="I1528" t="s">
        <v>121</v>
      </c>
      <c r="J1528" t="s">
        <v>122</v>
      </c>
      <c r="K1528">
        <v>0</v>
      </c>
      <c r="L1528" s="84">
        <v>-2261</v>
      </c>
      <c r="M1528" s="84">
        <v>0</v>
      </c>
    </row>
    <row r="1529" spans="3:13" hidden="1" x14ac:dyDescent="0.25">
      <c r="C1529" t="s">
        <v>119</v>
      </c>
      <c r="D1529" t="s">
        <v>120</v>
      </c>
      <c r="E1529" t="s">
        <v>60</v>
      </c>
      <c r="F1529" t="s">
        <v>24</v>
      </c>
      <c r="G1529">
        <v>21</v>
      </c>
      <c r="H1529" t="s">
        <v>72</v>
      </c>
      <c r="I1529" t="s">
        <v>121</v>
      </c>
      <c r="J1529" t="s">
        <v>122</v>
      </c>
      <c r="K1529">
        <v>0</v>
      </c>
      <c r="L1529" s="84">
        <v>-89</v>
      </c>
      <c r="M1529" s="84">
        <v>0</v>
      </c>
    </row>
    <row r="1530" spans="3:13" hidden="1" x14ac:dyDescent="0.25">
      <c r="C1530" t="s">
        <v>119</v>
      </c>
      <c r="D1530" t="s">
        <v>120</v>
      </c>
      <c r="E1530" t="s">
        <v>63</v>
      </c>
      <c r="F1530" t="s">
        <v>123</v>
      </c>
      <c r="G1530">
        <v>6</v>
      </c>
      <c r="H1530" t="s">
        <v>74</v>
      </c>
      <c r="I1530" t="s">
        <v>121</v>
      </c>
      <c r="J1530" t="s">
        <v>122</v>
      </c>
      <c r="K1530">
        <v>0</v>
      </c>
      <c r="L1530" s="84">
        <v>103035</v>
      </c>
      <c r="M1530" s="84">
        <v>618210</v>
      </c>
    </row>
    <row r="1531" spans="3:13" hidden="1" x14ac:dyDescent="0.25">
      <c r="C1531" t="s">
        <v>64</v>
      </c>
      <c r="D1531" t="s">
        <v>120</v>
      </c>
      <c r="E1531" t="s">
        <v>63</v>
      </c>
      <c r="F1531" t="s">
        <v>124</v>
      </c>
      <c r="G1531">
        <v>-1</v>
      </c>
      <c r="H1531" t="s">
        <v>14</v>
      </c>
      <c r="I1531" t="s">
        <v>62</v>
      </c>
      <c r="J1531" t="s">
        <v>122</v>
      </c>
      <c r="K1531">
        <v>1</v>
      </c>
      <c r="L1531" s="84">
        <v>2516</v>
      </c>
      <c r="M1531" s="84">
        <v>0</v>
      </c>
    </row>
    <row r="1532" spans="3:13" hidden="1" x14ac:dyDescent="0.25">
      <c r="C1532" t="s">
        <v>65</v>
      </c>
      <c r="D1532" t="s">
        <v>120</v>
      </c>
      <c r="E1532" t="s">
        <v>63</v>
      </c>
      <c r="F1532" t="s">
        <v>124</v>
      </c>
      <c r="G1532">
        <v>15</v>
      </c>
      <c r="H1532" t="s">
        <v>17</v>
      </c>
      <c r="I1532" t="s">
        <v>121</v>
      </c>
      <c r="J1532" t="s">
        <v>122</v>
      </c>
      <c r="K1532">
        <v>0</v>
      </c>
      <c r="L1532" s="84">
        <v>71371</v>
      </c>
      <c r="M1532" s="84">
        <v>1070565</v>
      </c>
    </row>
    <row r="1533" spans="3:13" hidden="1" x14ac:dyDescent="0.25">
      <c r="C1533" t="s">
        <v>119</v>
      </c>
      <c r="D1533" t="s">
        <v>120</v>
      </c>
      <c r="E1533" t="s">
        <v>60</v>
      </c>
      <c r="F1533" t="s">
        <v>24</v>
      </c>
      <c r="G1533">
        <v>4</v>
      </c>
      <c r="H1533" t="s">
        <v>14</v>
      </c>
      <c r="I1533" t="s">
        <v>121</v>
      </c>
      <c r="J1533" t="s">
        <v>66</v>
      </c>
      <c r="K1533">
        <v>1</v>
      </c>
      <c r="L1533" s="84">
        <v>-1111</v>
      </c>
      <c r="M1533" s="84">
        <v>0</v>
      </c>
    </row>
    <row r="1534" spans="3:13" hidden="1" x14ac:dyDescent="0.25">
      <c r="C1534" t="s">
        <v>119</v>
      </c>
      <c r="D1534" t="s">
        <v>120</v>
      </c>
      <c r="E1534" t="s">
        <v>60</v>
      </c>
      <c r="F1534" t="s">
        <v>123</v>
      </c>
      <c r="G1534">
        <v>3</v>
      </c>
      <c r="H1534" t="s">
        <v>77</v>
      </c>
      <c r="I1534" t="s">
        <v>121</v>
      </c>
      <c r="J1534" t="s">
        <v>122</v>
      </c>
      <c r="K1534">
        <v>0</v>
      </c>
      <c r="L1534" s="84">
        <v>-796</v>
      </c>
      <c r="M1534" s="84">
        <v>0</v>
      </c>
    </row>
    <row r="1535" spans="3:13" hidden="1" x14ac:dyDescent="0.25">
      <c r="C1535" t="s">
        <v>119</v>
      </c>
      <c r="D1535" t="s">
        <v>120</v>
      </c>
      <c r="E1535" t="s">
        <v>60</v>
      </c>
      <c r="F1535" t="s">
        <v>24</v>
      </c>
      <c r="G1535">
        <v>9</v>
      </c>
      <c r="H1535" t="s">
        <v>18</v>
      </c>
      <c r="I1535" t="s">
        <v>121</v>
      </c>
      <c r="J1535" t="s">
        <v>122</v>
      </c>
      <c r="K1535">
        <v>0</v>
      </c>
      <c r="L1535" s="84">
        <v>-5718</v>
      </c>
      <c r="M1535" s="84">
        <v>0</v>
      </c>
    </row>
    <row r="1536" spans="3:13" hidden="1" x14ac:dyDescent="0.25">
      <c r="C1536" t="s">
        <v>65</v>
      </c>
      <c r="D1536" t="s">
        <v>120</v>
      </c>
      <c r="E1536" t="s">
        <v>63</v>
      </c>
      <c r="F1536" t="s">
        <v>123</v>
      </c>
      <c r="G1536">
        <v>-4</v>
      </c>
      <c r="H1536" t="s">
        <v>16</v>
      </c>
      <c r="I1536" t="s">
        <v>121</v>
      </c>
      <c r="J1536" t="s">
        <v>122</v>
      </c>
      <c r="K1536">
        <v>0</v>
      </c>
      <c r="L1536" s="84">
        <v>8369</v>
      </c>
      <c r="M1536" s="84">
        <v>0</v>
      </c>
    </row>
    <row r="1537" spans="3:13" hidden="1" x14ac:dyDescent="0.25">
      <c r="C1537" t="s">
        <v>119</v>
      </c>
      <c r="D1537" t="s">
        <v>120</v>
      </c>
      <c r="E1537" t="s">
        <v>63</v>
      </c>
      <c r="F1537" t="s">
        <v>124</v>
      </c>
      <c r="G1537">
        <v>4</v>
      </c>
      <c r="H1537" t="s">
        <v>17</v>
      </c>
      <c r="I1537" t="s">
        <v>121</v>
      </c>
      <c r="J1537" t="s">
        <v>122</v>
      </c>
      <c r="K1537">
        <v>0</v>
      </c>
      <c r="L1537" s="84">
        <v>25658042</v>
      </c>
      <c r="M1537" s="84">
        <v>102632168</v>
      </c>
    </row>
    <row r="1538" spans="3:13" hidden="1" x14ac:dyDescent="0.25">
      <c r="C1538" t="s">
        <v>65</v>
      </c>
      <c r="D1538" t="s">
        <v>125</v>
      </c>
      <c r="E1538" t="s">
        <v>63</v>
      </c>
      <c r="F1538" t="s">
        <v>24</v>
      </c>
      <c r="G1538">
        <v>13</v>
      </c>
      <c r="I1538" t="s">
        <v>121</v>
      </c>
      <c r="J1538" t="s">
        <v>122</v>
      </c>
      <c r="K1538">
        <v>0</v>
      </c>
      <c r="L1538" s="84">
        <v>3415933</v>
      </c>
      <c r="M1538" s="84">
        <v>44407129</v>
      </c>
    </row>
    <row r="1539" spans="3:13" hidden="1" x14ac:dyDescent="0.25">
      <c r="C1539" t="s">
        <v>65</v>
      </c>
      <c r="D1539" t="s">
        <v>125</v>
      </c>
      <c r="E1539" t="s">
        <v>60</v>
      </c>
      <c r="F1539" t="s">
        <v>25</v>
      </c>
      <c r="G1539">
        <v>32</v>
      </c>
      <c r="I1539" t="s">
        <v>121</v>
      </c>
      <c r="J1539" t="s">
        <v>122</v>
      </c>
      <c r="K1539">
        <v>0</v>
      </c>
      <c r="L1539" s="84">
        <v>-57867</v>
      </c>
      <c r="M1539" s="84">
        <v>0</v>
      </c>
    </row>
    <row r="1540" spans="3:13" hidden="1" x14ac:dyDescent="0.25">
      <c r="C1540" t="s">
        <v>119</v>
      </c>
      <c r="D1540" t="s">
        <v>120</v>
      </c>
      <c r="E1540" t="s">
        <v>63</v>
      </c>
      <c r="F1540" t="s">
        <v>123</v>
      </c>
      <c r="G1540">
        <v>5</v>
      </c>
      <c r="H1540" t="s">
        <v>14</v>
      </c>
      <c r="I1540" t="s">
        <v>121</v>
      </c>
      <c r="J1540" t="s">
        <v>122</v>
      </c>
      <c r="K1540">
        <v>0</v>
      </c>
      <c r="L1540" s="84">
        <v>5053530</v>
      </c>
      <c r="M1540" s="84">
        <v>25267650</v>
      </c>
    </row>
    <row r="1541" spans="3:13" hidden="1" x14ac:dyDescent="0.25">
      <c r="C1541" t="s">
        <v>64</v>
      </c>
      <c r="D1541" t="s">
        <v>125</v>
      </c>
      <c r="E1541" t="s">
        <v>63</v>
      </c>
      <c r="F1541" t="s">
        <v>25</v>
      </c>
      <c r="G1541">
        <v>10</v>
      </c>
      <c r="I1541" t="s">
        <v>121</v>
      </c>
      <c r="J1541" t="s">
        <v>122</v>
      </c>
      <c r="K1541">
        <v>0</v>
      </c>
      <c r="L1541" s="84">
        <v>1228918</v>
      </c>
      <c r="M1541" s="84">
        <v>12289180</v>
      </c>
    </row>
    <row r="1542" spans="3:13" hidden="1" x14ac:dyDescent="0.25">
      <c r="C1542" t="s">
        <v>64</v>
      </c>
      <c r="D1542" t="s">
        <v>120</v>
      </c>
      <c r="E1542" t="s">
        <v>60</v>
      </c>
      <c r="F1542" t="s">
        <v>25</v>
      </c>
      <c r="G1542">
        <v>6</v>
      </c>
      <c r="H1542" t="s">
        <v>76</v>
      </c>
      <c r="I1542" t="s">
        <v>121</v>
      </c>
      <c r="J1542" t="s">
        <v>122</v>
      </c>
      <c r="K1542">
        <v>0</v>
      </c>
      <c r="L1542" s="84">
        <v>-20134</v>
      </c>
      <c r="M1542" s="84">
        <v>0</v>
      </c>
    </row>
    <row r="1543" spans="3:13" hidden="1" x14ac:dyDescent="0.25">
      <c r="C1543" t="s">
        <v>119</v>
      </c>
      <c r="D1543" t="s">
        <v>120</v>
      </c>
      <c r="E1543" t="s">
        <v>60</v>
      </c>
      <c r="F1543" t="s">
        <v>124</v>
      </c>
      <c r="G1543">
        <v>5</v>
      </c>
      <c r="H1543" t="s">
        <v>67</v>
      </c>
      <c r="I1543" t="s">
        <v>121</v>
      </c>
      <c r="J1543" t="s">
        <v>122</v>
      </c>
      <c r="K1543">
        <v>0</v>
      </c>
      <c r="L1543" s="84">
        <v>-115316</v>
      </c>
      <c r="M1543" s="84">
        <v>0</v>
      </c>
    </row>
    <row r="1544" spans="3:13" hidden="1" x14ac:dyDescent="0.25">
      <c r="C1544" t="s">
        <v>65</v>
      </c>
      <c r="D1544" t="s">
        <v>120</v>
      </c>
      <c r="E1544" t="s">
        <v>60</v>
      </c>
      <c r="F1544" t="s">
        <v>24</v>
      </c>
      <c r="G1544">
        <v>-4</v>
      </c>
      <c r="H1544" t="s">
        <v>75</v>
      </c>
      <c r="I1544" t="s">
        <v>121</v>
      </c>
      <c r="J1544" t="s">
        <v>122</v>
      </c>
      <c r="K1544">
        <v>0</v>
      </c>
      <c r="L1544" s="84">
        <v>-2871</v>
      </c>
      <c r="M1544" s="84">
        <v>0</v>
      </c>
    </row>
    <row r="1545" spans="3:13" hidden="1" x14ac:dyDescent="0.25">
      <c r="C1545" t="s">
        <v>119</v>
      </c>
      <c r="D1545" t="s">
        <v>120</v>
      </c>
      <c r="E1545" t="s">
        <v>63</v>
      </c>
      <c r="F1545" t="s">
        <v>124</v>
      </c>
      <c r="G1545">
        <v>-1</v>
      </c>
      <c r="H1545" t="s">
        <v>69</v>
      </c>
      <c r="I1545" t="s">
        <v>121</v>
      </c>
      <c r="J1545" t="s">
        <v>122</v>
      </c>
      <c r="K1545">
        <v>0</v>
      </c>
      <c r="L1545" s="84">
        <v>29742127</v>
      </c>
      <c r="M1545" s="84">
        <v>0</v>
      </c>
    </row>
    <row r="1546" spans="3:13" hidden="1" x14ac:dyDescent="0.25">
      <c r="C1546" t="s">
        <v>119</v>
      </c>
      <c r="D1546" t="s">
        <v>125</v>
      </c>
      <c r="E1546" t="s">
        <v>63</v>
      </c>
      <c r="F1546" t="s">
        <v>24</v>
      </c>
      <c r="G1546">
        <v>16</v>
      </c>
      <c r="I1546" t="s">
        <v>121</v>
      </c>
      <c r="J1546" t="s">
        <v>122</v>
      </c>
      <c r="K1546">
        <v>0</v>
      </c>
      <c r="L1546" s="84">
        <v>308485504</v>
      </c>
      <c r="M1546" s="84">
        <v>4935768064</v>
      </c>
    </row>
    <row r="1547" spans="3:13" hidden="1" x14ac:dyDescent="0.25">
      <c r="C1547" t="s">
        <v>119</v>
      </c>
      <c r="D1547" t="s">
        <v>120</v>
      </c>
      <c r="E1547" t="s">
        <v>63</v>
      </c>
      <c r="F1547" t="s">
        <v>24</v>
      </c>
      <c r="G1547">
        <v>21</v>
      </c>
      <c r="H1547" t="s">
        <v>72</v>
      </c>
      <c r="I1547" t="s">
        <v>121</v>
      </c>
      <c r="J1547" t="s">
        <v>122</v>
      </c>
      <c r="K1547">
        <v>0</v>
      </c>
      <c r="L1547" s="84">
        <v>103049</v>
      </c>
      <c r="M1547" s="84">
        <v>2164029</v>
      </c>
    </row>
    <row r="1548" spans="3:13" hidden="1" x14ac:dyDescent="0.25">
      <c r="C1548" t="s">
        <v>119</v>
      </c>
      <c r="D1548" t="s">
        <v>120</v>
      </c>
      <c r="E1548" t="s">
        <v>63</v>
      </c>
      <c r="F1548" t="s">
        <v>123</v>
      </c>
      <c r="G1548">
        <v>1</v>
      </c>
      <c r="H1548" t="s">
        <v>73</v>
      </c>
      <c r="I1548" t="s">
        <v>121</v>
      </c>
      <c r="J1548" t="s">
        <v>122</v>
      </c>
      <c r="K1548">
        <v>0</v>
      </c>
      <c r="L1548" s="84">
        <v>180671</v>
      </c>
      <c r="M1548" s="84">
        <v>180671</v>
      </c>
    </row>
    <row r="1549" spans="3:13" hidden="1" x14ac:dyDescent="0.25">
      <c r="C1549" t="s">
        <v>65</v>
      </c>
      <c r="D1549" t="s">
        <v>120</v>
      </c>
      <c r="E1549" t="s">
        <v>60</v>
      </c>
      <c r="F1549" t="s">
        <v>124</v>
      </c>
      <c r="G1549">
        <v>6</v>
      </c>
      <c r="H1549" t="s">
        <v>69</v>
      </c>
      <c r="I1549" t="s">
        <v>121</v>
      </c>
      <c r="J1549" t="s">
        <v>122</v>
      </c>
      <c r="K1549">
        <v>0</v>
      </c>
      <c r="L1549" s="84">
        <v>-262359</v>
      </c>
      <c r="M1549" s="84">
        <v>0</v>
      </c>
    </row>
    <row r="1550" spans="3:13" hidden="1" x14ac:dyDescent="0.25">
      <c r="C1550" t="s">
        <v>119</v>
      </c>
      <c r="D1550" t="s">
        <v>120</v>
      </c>
      <c r="E1550" t="s">
        <v>63</v>
      </c>
      <c r="F1550" t="s">
        <v>24</v>
      </c>
      <c r="G1550">
        <v>7</v>
      </c>
      <c r="H1550" t="s">
        <v>71</v>
      </c>
      <c r="I1550" t="s">
        <v>121</v>
      </c>
      <c r="J1550" t="s">
        <v>122</v>
      </c>
      <c r="K1550">
        <v>0</v>
      </c>
      <c r="L1550" s="84">
        <v>40156</v>
      </c>
      <c r="M1550" s="84">
        <v>281092</v>
      </c>
    </row>
    <row r="1551" spans="3:13" hidden="1" x14ac:dyDescent="0.25">
      <c r="C1551" t="s">
        <v>119</v>
      </c>
      <c r="D1551" t="s">
        <v>120</v>
      </c>
      <c r="E1551" t="s">
        <v>63</v>
      </c>
      <c r="F1551" t="s">
        <v>124</v>
      </c>
      <c r="G1551">
        <v>5</v>
      </c>
      <c r="H1551" t="s">
        <v>16</v>
      </c>
      <c r="I1551" t="s">
        <v>121</v>
      </c>
      <c r="J1551" t="s">
        <v>122</v>
      </c>
      <c r="K1551">
        <v>0</v>
      </c>
      <c r="L1551" s="84">
        <v>3652170</v>
      </c>
      <c r="M1551" s="84">
        <v>18260850</v>
      </c>
    </row>
    <row r="1552" spans="3:13" hidden="1" x14ac:dyDescent="0.25">
      <c r="C1552" t="s">
        <v>119</v>
      </c>
      <c r="D1552" t="s">
        <v>120</v>
      </c>
      <c r="E1552" t="s">
        <v>60</v>
      </c>
      <c r="F1552" t="s">
        <v>124</v>
      </c>
      <c r="G1552">
        <v>1</v>
      </c>
      <c r="H1552" t="s">
        <v>18</v>
      </c>
      <c r="I1552" t="s">
        <v>121</v>
      </c>
      <c r="J1552" t="s">
        <v>66</v>
      </c>
      <c r="K1552">
        <v>1</v>
      </c>
      <c r="L1552" s="84">
        <v>-11372</v>
      </c>
      <c r="M1552" s="84">
        <v>0</v>
      </c>
    </row>
    <row r="1553" spans="3:13" hidden="1" x14ac:dyDescent="0.25">
      <c r="C1553" t="s">
        <v>64</v>
      </c>
      <c r="D1553" t="s">
        <v>120</v>
      </c>
      <c r="E1553" t="s">
        <v>63</v>
      </c>
      <c r="F1553" t="s">
        <v>24</v>
      </c>
      <c r="G1553">
        <v>9</v>
      </c>
      <c r="H1553" t="s">
        <v>72</v>
      </c>
      <c r="I1553" t="s">
        <v>121</v>
      </c>
      <c r="J1553" t="s">
        <v>122</v>
      </c>
      <c r="K1553">
        <v>0</v>
      </c>
      <c r="L1553" s="84">
        <v>50295</v>
      </c>
      <c r="M1553" s="84">
        <v>452655</v>
      </c>
    </row>
    <row r="1554" spans="3:13" hidden="1" x14ac:dyDescent="0.25">
      <c r="C1554" t="s">
        <v>119</v>
      </c>
      <c r="D1554" t="s">
        <v>120</v>
      </c>
      <c r="E1554" t="s">
        <v>60</v>
      </c>
      <c r="F1554" t="s">
        <v>123</v>
      </c>
      <c r="G1554">
        <v>4</v>
      </c>
      <c r="H1554" t="s">
        <v>72</v>
      </c>
      <c r="I1554" t="s">
        <v>121</v>
      </c>
      <c r="J1554" t="s">
        <v>122</v>
      </c>
      <c r="K1554">
        <v>0</v>
      </c>
      <c r="L1554" s="84">
        <v>-11810</v>
      </c>
      <c r="M1554" s="84">
        <v>0</v>
      </c>
    </row>
    <row r="1555" spans="3:13" hidden="1" x14ac:dyDescent="0.25">
      <c r="C1555" t="s">
        <v>119</v>
      </c>
      <c r="D1555" t="s">
        <v>120</v>
      </c>
      <c r="E1555" t="s">
        <v>60</v>
      </c>
      <c r="F1555" t="s">
        <v>24</v>
      </c>
      <c r="G1555">
        <v>1</v>
      </c>
      <c r="H1555" t="s">
        <v>17</v>
      </c>
      <c r="I1555" t="s">
        <v>121</v>
      </c>
      <c r="J1555" t="s">
        <v>122</v>
      </c>
      <c r="K1555">
        <v>0</v>
      </c>
      <c r="L1555" s="84">
        <v>-106217</v>
      </c>
      <c r="M1555" s="84">
        <v>0</v>
      </c>
    </row>
    <row r="1556" spans="3:13" hidden="1" x14ac:dyDescent="0.25">
      <c r="C1556" t="s">
        <v>64</v>
      </c>
      <c r="D1556" t="s">
        <v>120</v>
      </c>
      <c r="E1556" t="s">
        <v>63</v>
      </c>
      <c r="F1556" t="s">
        <v>123</v>
      </c>
      <c r="G1556">
        <v>4</v>
      </c>
      <c r="H1556" t="s">
        <v>12</v>
      </c>
      <c r="I1556" t="s">
        <v>62</v>
      </c>
      <c r="J1556" t="s">
        <v>66</v>
      </c>
      <c r="K1556">
        <v>1</v>
      </c>
      <c r="L1556" s="84">
        <v>56710</v>
      </c>
      <c r="M1556" s="84">
        <v>226840</v>
      </c>
    </row>
    <row r="1557" spans="3:13" hidden="1" x14ac:dyDescent="0.25">
      <c r="C1557" t="s">
        <v>64</v>
      </c>
      <c r="D1557" t="s">
        <v>120</v>
      </c>
      <c r="E1557" t="s">
        <v>60</v>
      </c>
      <c r="F1557" t="s">
        <v>124</v>
      </c>
      <c r="G1557">
        <v>4</v>
      </c>
      <c r="H1557" t="s">
        <v>71</v>
      </c>
      <c r="I1557" t="s">
        <v>121</v>
      </c>
      <c r="J1557" t="s">
        <v>122</v>
      </c>
      <c r="K1557">
        <v>0</v>
      </c>
      <c r="L1557" s="84">
        <v>-64641</v>
      </c>
      <c r="M1557" s="84">
        <v>0</v>
      </c>
    </row>
    <row r="1558" spans="3:13" hidden="1" x14ac:dyDescent="0.25">
      <c r="C1558" t="s">
        <v>119</v>
      </c>
      <c r="D1558" t="s">
        <v>120</v>
      </c>
      <c r="E1558" t="s">
        <v>60</v>
      </c>
      <c r="F1558" t="s">
        <v>124</v>
      </c>
      <c r="G1558">
        <v>4</v>
      </c>
      <c r="H1558" t="s">
        <v>15</v>
      </c>
      <c r="I1558" t="s">
        <v>121</v>
      </c>
      <c r="J1558" t="s">
        <v>66</v>
      </c>
      <c r="K1558">
        <v>1</v>
      </c>
      <c r="L1558" s="84">
        <v>-20023</v>
      </c>
      <c r="M1558" s="84">
        <v>0</v>
      </c>
    </row>
    <row r="1559" spans="3:13" hidden="1" x14ac:dyDescent="0.25">
      <c r="C1559" t="s">
        <v>64</v>
      </c>
      <c r="D1559" t="s">
        <v>120</v>
      </c>
      <c r="E1559" t="s">
        <v>60</v>
      </c>
      <c r="F1559" t="s">
        <v>25</v>
      </c>
      <c r="G1559">
        <v>-4</v>
      </c>
      <c r="H1559" t="s">
        <v>73</v>
      </c>
      <c r="I1559" t="s">
        <v>121</v>
      </c>
      <c r="J1559" t="s">
        <v>122</v>
      </c>
      <c r="K1559">
        <v>0</v>
      </c>
      <c r="L1559" s="84">
        <v>-1</v>
      </c>
      <c r="M1559" s="84">
        <v>0</v>
      </c>
    </row>
    <row r="1560" spans="3:13" hidden="1" x14ac:dyDescent="0.25">
      <c r="C1560" t="s">
        <v>119</v>
      </c>
      <c r="D1560" t="s">
        <v>120</v>
      </c>
      <c r="E1560" t="s">
        <v>63</v>
      </c>
      <c r="F1560" t="s">
        <v>25</v>
      </c>
      <c r="G1560">
        <v>3</v>
      </c>
      <c r="H1560" t="s">
        <v>75</v>
      </c>
      <c r="I1560" t="s">
        <v>121</v>
      </c>
      <c r="J1560" t="s">
        <v>122</v>
      </c>
      <c r="K1560">
        <v>0</v>
      </c>
      <c r="L1560" s="84">
        <v>1151211</v>
      </c>
      <c r="M1560" s="84">
        <v>3453633</v>
      </c>
    </row>
    <row r="1561" spans="3:13" hidden="1" x14ac:dyDescent="0.25">
      <c r="C1561" t="s">
        <v>119</v>
      </c>
      <c r="D1561" t="s">
        <v>120</v>
      </c>
      <c r="E1561" t="s">
        <v>63</v>
      </c>
      <c r="F1561" t="s">
        <v>123</v>
      </c>
      <c r="G1561">
        <v>-4</v>
      </c>
      <c r="H1561" t="s">
        <v>71</v>
      </c>
      <c r="I1561" t="s">
        <v>121</v>
      </c>
      <c r="J1561" t="s">
        <v>122</v>
      </c>
      <c r="K1561">
        <v>0</v>
      </c>
      <c r="L1561" s="84">
        <v>26</v>
      </c>
      <c r="M1561" s="84">
        <v>0</v>
      </c>
    </row>
    <row r="1562" spans="3:13" hidden="1" x14ac:dyDescent="0.25">
      <c r="C1562" t="s">
        <v>64</v>
      </c>
      <c r="D1562" t="s">
        <v>120</v>
      </c>
      <c r="E1562" t="s">
        <v>60</v>
      </c>
      <c r="F1562" t="s">
        <v>25</v>
      </c>
      <c r="G1562">
        <v>12</v>
      </c>
      <c r="H1562" t="s">
        <v>17</v>
      </c>
      <c r="I1562" t="s">
        <v>121</v>
      </c>
      <c r="J1562" t="s">
        <v>122</v>
      </c>
      <c r="K1562">
        <v>0</v>
      </c>
      <c r="L1562" s="84">
        <v>-17555</v>
      </c>
      <c r="M1562" s="84">
        <v>0</v>
      </c>
    </row>
    <row r="1563" spans="3:13" hidden="1" x14ac:dyDescent="0.25">
      <c r="C1563" t="s">
        <v>65</v>
      </c>
      <c r="D1563" t="s">
        <v>120</v>
      </c>
      <c r="E1563" t="s">
        <v>63</v>
      </c>
      <c r="F1563" t="s">
        <v>24</v>
      </c>
      <c r="G1563">
        <v>8</v>
      </c>
      <c r="H1563" t="s">
        <v>68</v>
      </c>
      <c r="I1563" t="s">
        <v>121</v>
      </c>
      <c r="J1563" t="s">
        <v>122</v>
      </c>
      <c r="K1563">
        <v>0</v>
      </c>
      <c r="L1563" s="84">
        <v>381041</v>
      </c>
      <c r="M1563" s="84">
        <v>3048328</v>
      </c>
    </row>
    <row r="1564" spans="3:13" hidden="1" x14ac:dyDescent="0.25">
      <c r="C1564" t="s">
        <v>119</v>
      </c>
      <c r="D1564" t="s">
        <v>120</v>
      </c>
      <c r="E1564" t="s">
        <v>60</v>
      </c>
      <c r="F1564" t="s">
        <v>24</v>
      </c>
      <c r="G1564">
        <v>2</v>
      </c>
      <c r="H1564" t="s">
        <v>69</v>
      </c>
      <c r="I1564" t="s">
        <v>121</v>
      </c>
      <c r="J1564" t="s">
        <v>122</v>
      </c>
      <c r="K1564">
        <v>0</v>
      </c>
      <c r="L1564" s="84">
        <v>-1180</v>
      </c>
      <c r="M1564" s="84">
        <v>0</v>
      </c>
    </row>
    <row r="1565" spans="3:13" hidden="1" x14ac:dyDescent="0.25">
      <c r="C1565" t="s">
        <v>65</v>
      </c>
      <c r="D1565" t="s">
        <v>120</v>
      </c>
      <c r="E1565" t="s">
        <v>63</v>
      </c>
      <c r="F1565" t="s">
        <v>123</v>
      </c>
      <c r="G1565">
        <v>3</v>
      </c>
      <c r="H1565" t="s">
        <v>14</v>
      </c>
      <c r="I1565" t="s">
        <v>121</v>
      </c>
      <c r="J1565" t="s">
        <v>122</v>
      </c>
      <c r="K1565">
        <v>0</v>
      </c>
      <c r="L1565" s="84">
        <v>389470</v>
      </c>
      <c r="M1565" s="84">
        <v>1168410</v>
      </c>
    </row>
    <row r="1566" spans="3:13" hidden="1" x14ac:dyDescent="0.25">
      <c r="C1566" t="s">
        <v>119</v>
      </c>
      <c r="D1566" t="s">
        <v>120</v>
      </c>
      <c r="E1566" t="s">
        <v>60</v>
      </c>
      <c r="F1566" t="s">
        <v>124</v>
      </c>
      <c r="G1566">
        <v>-1</v>
      </c>
      <c r="H1566" t="s">
        <v>14</v>
      </c>
      <c r="I1566" t="s">
        <v>121</v>
      </c>
      <c r="J1566" t="s">
        <v>66</v>
      </c>
      <c r="K1566">
        <v>1</v>
      </c>
      <c r="L1566" s="84">
        <v>-250083</v>
      </c>
      <c r="M1566" s="84">
        <v>0</v>
      </c>
    </row>
    <row r="1567" spans="3:13" hidden="1" x14ac:dyDescent="0.25">
      <c r="C1567" t="s">
        <v>64</v>
      </c>
      <c r="D1567" t="s">
        <v>120</v>
      </c>
      <c r="E1567" t="s">
        <v>63</v>
      </c>
      <c r="F1567" t="s">
        <v>25</v>
      </c>
      <c r="G1567">
        <v>12</v>
      </c>
      <c r="H1567" t="s">
        <v>17</v>
      </c>
      <c r="I1567" t="s">
        <v>121</v>
      </c>
      <c r="J1567" t="s">
        <v>122</v>
      </c>
      <c r="K1567">
        <v>0</v>
      </c>
      <c r="L1567" s="84">
        <v>460947</v>
      </c>
      <c r="M1567" s="84">
        <v>5531364</v>
      </c>
    </row>
    <row r="1568" spans="3:13" x14ac:dyDescent="0.25">
      <c r="C1568" t="s">
        <v>119</v>
      </c>
      <c r="D1568" t="s">
        <v>120</v>
      </c>
      <c r="E1568" t="s">
        <v>63</v>
      </c>
      <c r="F1568" t="s">
        <v>25</v>
      </c>
      <c r="G1568">
        <v>10</v>
      </c>
      <c r="H1568" t="s">
        <v>12</v>
      </c>
      <c r="I1568" t="s">
        <v>121</v>
      </c>
      <c r="J1568" t="s">
        <v>66</v>
      </c>
      <c r="K1568">
        <v>1</v>
      </c>
      <c r="L1568" s="84">
        <v>2548597</v>
      </c>
      <c r="M1568" s="84">
        <v>25485970</v>
      </c>
    </row>
    <row r="1569" spans="3:13" hidden="1" x14ac:dyDescent="0.25">
      <c r="C1569" t="s">
        <v>64</v>
      </c>
      <c r="D1569" t="s">
        <v>120</v>
      </c>
      <c r="E1569" t="s">
        <v>63</v>
      </c>
      <c r="F1569" t="s">
        <v>25</v>
      </c>
      <c r="G1569">
        <v>11</v>
      </c>
      <c r="H1569" t="s">
        <v>68</v>
      </c>
      <c r="I1569" t="s">
        <v>121</v>
      </c>
      <c r="J1569" t="s">
        <v>122</v>
      </c>
      <c r="K1569">
        <v>0</v>
      </c>
      <c r="L1569" s="84">
        <v>739840</v>
      </c>
      <c r="M1569" s="84">
        <v>8138240</v>
      </c>
    </row>
    <row r="1570" spans="3:13" x14ac:dyDescent="0.25">
      <c r="C1570" t="s">
        <v>65</v>
      </c>
      <c r="D1570" t="s">
        <v>120</v>
      </c>
      <c r="E1570" t="s">
        <v>63</v>
      </c>
      <c r="F1570" t="s">
        <v>25</v>
      </c>
      <c r="G1570">
        <v>1</v>
      </c>
      <c r="H1570" t="s">
        <v>14</v>
      </c>
      <c r="I1570" t="s">
        <v>121</v>
      </c>
      <c r="J1570" t="s">
        <v>66</v>
      </c>
      <c r="K1570">
        <v>1</v>
      </c>
      <c r="L1570" s="84">
        <v>947773</v>
      </c>
      <c r="M1570" s="84">
        <v>947773</v>
      </c>
    </row>
    <row r="1571" spans="3:13" hidden="1" x14ac:dyDescent="0.25">
      <c r="C1571" t="s">
        <v>65</v>
      </c>
      <c r="D1571" t="s">
        <v>120</v>
      </c>
      <c r="E1571" t="s">
        <v>63</v>
      </c>
      <c r="F1571" t="s">
        <v>25</v>
      </c>
      <c r="G1571">
        <v>1</v>
      </c>
      <c r="H1571" t="s">
        <v>14</v>
      </c>
      <c r="I1571" t="s">
        <v>121</v>
      </c>
      <c r="J1571" t="s">
        <v>122</v>
      </c>
      <c r="K1571">
        <v>0</v>
      </c>
      <c r="L1571" s="84">
        <v>21692</v>
      </c>
      <c r="M1571" s="84">
        <v>21692</v>
      </c>
    </row>
    <row r="1572" spans="3:13" hidden="1" x14ac:dyDescent="0.25">
      <c r="C1572" t="s">
        <v>65</v>
      </c>
      <c r="D1572" t="s">
        <v>125</v>
      </c>
      <c r="E1572" t="s">
        <v>60</v>
      </c>
      <c r="F1572" t="s">
        <v>24</v>
      </c>
      <c r="G1572">
        <v>15</v>
      </c>
      <c r="I1572" t="s">
        <v>121</v>
      </c>
      <c r="J1572" t="s">
        <v>122</v>
      </c>
      <c r="K1572">
        <v>0</v>
      </c>
      <c r="L1572" s="84">
        <v>-1621863</v>
      </c>
      <c r="M1572" s="84">
        <v>0</v>
      </c>
    </row>
    <row r="1573" spans="3:13" hidden="1" x14ac:dyDescent="0.25">
      <c r="C1573" t="s">
        <v>119</v>
      </c>
      <c r="D1573" t="s">
        <v>120</v>
      </c>
      <c r="E1573" t="s">
        <v>63</v>
      </c>
      <c r="F1573" t="s">
        <v>123</v>
      </c>
      <c r="G1573">
        <v>1</v>
      </c>
      <c r="H1573" t="s">
        <v>12</v>
      </c>
      <c r="I1573" t="s">
        <v>62</v>
      </c>
      <c r="J1573" t="s">
        <v>66</v>
      </c>
      <c r="K1573">
        <v>1</v>
      </c>
      <c r="L1573" s="84">
        <v>29356</v>
      </c>
      <c r="M1573" s="84">
        <v>29356</v>
      </c>
    </row>
    <row r="1574" spans="3:13" hidden="1" x14ac:dyDescent="0.25">
      <c r="C1574" t="s">
        <v>119</v>
      </c>
      <c r="D1574" t="s">
        <v>120</v>
      </c>
      <c r="E1574" t="s">
        <v>63</v>
      </c>
      <c r="F1574" t="s">
        <v>124</v>
      </c>
      <c r="G1574">
        <v>3</v>
      </c>
      <c r="H1574" t="s">
        <v>16</v>
      </c>
      <c r="I1574" t="s">
        <v>121</v>
      </c>
      <c r="J1574" t="s">
        <v>122</v>
      </c>
      <c r="K1574">
        <v>0</v>
      </c>
      <c r="L1574" s="84">
        <v>2995852</v>
      </c>
      <c r="M1574" s="84">
        <v>8987556</v>
      </c>
    </row>
    <row r="1575" spans="3:13" hidden="1" x14ac:dyDescent="0.25">
      <c r="C1575" t="s">
        <v>65</v>
      </c>
      <c r="D1575" t="s">
        <v>120</v>
      </c>
      <c r="E1575" t="s">
        <v>63</v>
      </c>
      <c r="F1575" t="s">
        <v>25</v>
      </c>
      <c r="G1575">
        <v>8</v>
      </c>
      <c r="H1575" t="s">
        <v>18</v>
      </c>
      <c r="I1575" t="s">
        <v>121</v>
      </c>
      <c r="J1575" t="s">
        <v>122</v>
      </c>
      <c r="K1575">
        <v>0</v>
      </c>
      <c r="L1575" s="84">
        <v>80998</v>
      </c>
      <c r="M1575" s="84">
        <v>647984</v>
      </c>
    </row>
    <row r="1576" spans="3:13" hidden="1" x14ac:dyDescent="0.25">
      <c r="C1576" t="s">
        <v>64</v>
      </c>
      <c r="D1576" t="s">
        <v>120</v>
      </c>
      <c r="E1576" t="s">
        <v>63</v>
      </c>
      <c r="F1576" t="s">
        <v>123</v>
      </c>
      <c r="G1576">
        <v>4</v>
      </c>
      <c r="H1576" t="s">
        <v>73</v>
      </c>
      <c r="I1576" t="s">
        <v>121</v>
      </c>
      <c r="J1576" t="s">
        <v>122</v>
      </c>
      <c r="K1576">
        <v>0</v>
      </c>
      <c r="L1576" s="84">
        <v>161835</v>
      </c>
      <c r="M1576" s="84">
        <v>647340</v>
      </c>
    </row>
    <row r="1577" spans="3:13" hidden="1" x14ac:dyDescent="0.25">
      <c r="C1577" t="s">
        <v>119</v>
      </c>
      <c r="D1577" t="s">
        <v>120</v>
      </c>
      <c r="E1577" t="s">
        <v>60</v>
      </c>
      <c r="F1577" t="s">
        <v>124</v>
      </c>
      <c r="G1577">
        <v>0</v>
      </c>
      <c r="H1577" t="s">
        <v>13</v>
      </c>
      <c r="I1577" t="s">
        <v>121</v>
      </c>
      <c r="J1577" t="s">
        <v>66</v>
      </c>
      <c r="K1577">
        <v>1</v>
      </c>
      <c r="L1577" s="84">
        <v>-38</v>
      </c>
      <c r="M1577" s="84">
        <v>0</v>
      </c>
    </row>
    <row r="1578" spans="3:13" hidden="1" x14ac:dyDescent="0.25">
      <c r="C1578" t="s">
        <v>119</v>
      </c>
      <c r="D1578" t="s">
        <v>120</v>
      </c>
      <c r="E1578" t="s">
        <v>60</v>
      </c>
      <c r="F1578" t="s">
        <v>123</v>
      </c>
      <c r="G1578">
        <v>0</v>
      </c>
      <c r="H1578" t="s">
        <v>73</v>
      </c>
      <c r="I1578" t="s">
        <v>121</v>
      </c>
      <c r="J1578" t="s">
        <v>122</v>
      </c>
      <c r="K1578">
        <v>0</v>
      </c>
      <c r="L1578" s="84">
        <v>-88</v>
      </c>
      <c r="M1578" s="84">
        <v>0</v>
      </c>
    </row>
    <row r="1579" spans="3:13" hidden="1" x14ac:dyDescent="0.25">
      <c r="C1579" t="s">
        <v>65</v>
      </c>
      <c r="D1579" t="s">
        <v>120</v>
      </c>
      <c r="E1579" t="s">
        <v>63</v>
      </c>
      <c r="F1579" t="s">
        <v>124</v>
      </c>
      <c r="G1579">
        <v>-1</v>
      </c>
      <c r="H1579" t="s">
        <v>67</v>
      </c>
      <c r="I1579" t="s">
        <v>121</v>
      </c>
      <c r="J1579" t="s">
        <v>122</v>
      </c>
      <c r="K1579">
        <v>0</v>
      </c>
      <c r="L1579" s="84">
        <v>3134427</v>
      </c>
      <c r="M1579" s="84">
        <v>0</v>
      </c>
    </row>
    <row r="1580" spans="3:13" hidden="1" x14ac:dyDescent="0.25">
      <c r="C1580" t="s">
        <v>119</v>
      </c>
      <c r="D1580" t="s">
        <v>120</v>
      </c>
      <c r="E1580" t="s">
        <v>60</v>
      </c>
      <c r="F1580" t="s">
        <v>24</v>
      </c>
      <c r="G1580">
        <v>1</v>
      </c>
      <c r="H1580" t="s">
        <v>75</v>
      </c>
      <c r="I1580" t="s">
        <v>121</v>
      </c>
      <c r="J1580" t="s">
        <v>122</v>
      </c>
      <c r="K1580">
        <v>0</v>
      </c>
      <c r="L1580" s="84">
        <v>-15</v>
      </c>
      <c r="M1580" s="84">
        <v>0</v>
      </c>
    </row>
    <row r="1581" spans="3:13" hidden="1" x14ac:dyDescent="0.25">
      <c r="C1581" t="s">
        <v>119</v>
      </c>
      <c r="D1581" t="s">
        <v>120</v>
      </c>
      <c r="E1581" t="s">
        <v>60</v>
      </c>
      <c r="F1581" t="s">
        <v>123</v>
      </c>
      <c r="G1581">
        <v>6</v>
      </c>
      <c r="H1581" t="s">
        <v>18</v>
      </c>
      <c r="I1581" t="s">
        <v>121</v>
      </c>
      <c r="J1581" t="s">
        <v>122</v>
      </c>
      <c r="K1581">
        <v>0</v>
      </c>
      <c r="L1581" s="84">
        <v>-8599</v>
      </c>
      <c r="M1581" s="84">
        <v>0</v>
      </c>
    </row>
    <row r="1582" spans="3:13" x14ac:dyDescent="0.25">
      <c r="C1582" t="s">
        <v>119</v>
      </c>
      <c r="D1582" t="s">
        <v>120</v>
      </c>
      <c r="E1582" t="s">
        <v>63</v>
      </c>
      <c r="F1582" t="s">
        <v>25</v>
      </c>
      <c r="G1582">
        <v>3</v>
      </c>
      <c r="H1582" t="s">
        <v>17</v>
      </c>
      <c r="I1582" t="s">
        <v>121</v>
      </c>
      <c r="J1582" t="s">
        <v>66</v>
      </c>
      <c r="K1582">
        <v>1</v>
      </c>
      <c r="L1582" s="84">
        <v>236650</v>
      </c>
      <c r="M1582" s="84">
        <v>709950</v>
      </c>
    </row>
    <row r="1583" spans="3:13" hidden="1" x14ac:dyDescent="0.25">
      <c r="C1583" t="s">
        <v>64</v>
      </c>
      <c r="D1583" t="s">
        <v>120</v>
      </c>
      <c r="E1583" t="s">
        <v>60</v>
      </c>
      <c r="F1583" t="s">
        <v>24</v>
      </c>
      <c r="G1583">
        <v>-4</v>
      </c>
      <c r="H1583" t="s">
        <v>68</v>
      </c>
      <c r="I1583" t="s">
        <v>121</v>
      </c>
      <c r="J1583" t="s">
        <v>122</v>
      </c>
      <c r="K1583">
        <v>0</v>
      </c>
      <c r="L1583" s="84">
        <v>-1</v>
      </c>
      <c r="M1583" s="84">
        <v>0</v>
      </c>
    </row>
    <row r="1584" spans="3:13" hidden="1" x14ac:dyDescent="0.25">
      <c r="C1584" t="s">
        <v>119</v>
      </c>
      <c r="D1584" t="s">
        <v>120</v>
      </c>
      <c r="E1584" t="s">
        <v>63</v>
      </c>
      <c r="F1584" t="s">
        <v>25</v>
      </c>
      <c r="G1584">
        <v>7</v>
      </c>
      <c r="H1584" t="s">
        <v>13</v>
      </c>
      <c r="I1584" t="s">
        <v>121</v>
      </c>
      <c r="J1584" t="s">
        <v>122</v>
      </c>
      <c r="K1584">
        <v>0</v>
      </c>
      <c r="L1584" s="84">
        <v>497472</v>
      </c>
      <c r="M1584" s="84">
        <v>3482304</v>
      </c>
    </row>
    <row r="1585" spans="3:13" hidden="1" x14ac:dyDescent="0.25">
      <c r="C1585" t="s">
        <v>64</v>
      </c>
      <c r="D1585" t="s">
        <v>120</v>
      </c>
      <c r="E1585" t="s">
        <v>60</v>
      </c>
      <c r="F1585" t="s">
        <v>123</v>
      </c>
      <c r="G1585">
        <v>3</v>
      </c>
      <c r="H1585" t="s">
        <v>12</v>
      </c>
      <c r="I1585" t="s">
        <v>121</v>
      </c>
      <c r="J1585" t="s">
        <v>122</v>
      </c>
      <c r="K1585">
        <v>0</v>
      </c>
      <c r="L1585" s="84">
        <v>-21134</v>
      </c>
      <c r="M1585" s="84">
        <v>0</v>
      </c>
    </row>
    <row r="1586" spans="3:13" hidden="1" x14ac:dyDescent="0.25">
      <c r="C1586" t="s">
        <v>119</v>
      </c>
      <c r="D1586" t="s">
        <v>120</v>
      </c>
      <c r="E1586" t="s">
        <v>63</v>
      </c>
      <c r="F1586" t="s">
        <v>124</v>
      </c>
      <c r="G1586">
        <v>5</v>
      </c>
      <c r="H1586" t="s">
        <v>74</v>
      </c>
      <c r="I1586" t="s">
        <v>121</v>
      </c>
      <c r="J1586" t="s">
        <v>122</v>
      </c>
      <c r="K1586">
        <v>0</v>
      </c>
      <c r="L1586" s="84">
        <v>272136</v>
      </c>
      <c r="M1586" s="84">
        <v>1360680</v>
      </c>
    </row>
    <row r="1587" spans="3:13" hidden="1" x14ac:dyDescent="0.25">
      <c r="C1587" t="s">
        <v>65</v>
      </c>
      <c r="D1587" t="s">
        <v>120</v>
      </c>
      <c r="E1587" t="s">
        <v>63</v>
      </c>
      <c r="F1587" t="s">
        <v>123</v>
      </c>
      <c r="G1587">
        <v>1</v>
      </c>
      <c r="H1587" t="s">
        <v>75</v>
      </c>
      <c r="I1587" t="s">
        <v>121</v>
      </c>
      <c r="J1587" t="s">
        <v>122</v>
      </c>
      <c r="K1587">
        <v>0</v>
      </c>
      <c r="L1587" s="84">
        <v>244272</v>
      </c>
      <c r="M1587" s="84">
        <v>244272</v>
      </c>
    </row>
    <row r="1588" spans="3:13" hidden="1" x14ac:dyDescent="0.25">
      <c r="C1588" t="s">
        <v>119</v>
      </c>
      <c r="D1588" t="s">
        <v>125</v>
      </c>
      <c r="E1588" t="s">
        <v>60</v>
      </c>
      <c r="F1588" t="s">
        <v>24</v>
      </c>
      <c r="G1588">
        <v>34</v>
      </c>
      <c r="I1588" t="s">
        <v>121</v>
      </c>
      <c r="J1588" t="s">
        <v>122</v>
      </c>
      <c r="K1588">
        <v>0</v>
      </c>
      <c r="L1588" s="84">
        <v>-662528</v>
      </c>
      <c r="M1588" s="84">
        <v>0</v>
      </c>
    </row>
    <row r="1589" spans="3:13" hidden="1" x14ac:dyDescent="0.25">
      <c r="C1589" t="s">
        <v>64</v>
      </c>
      <c r="D1589" t="s">
        <v>120</v>
      </c>
      <c r="E1589" t="s">
        <v>63</v>
      </c>
      <c r="F1589" t="s">
        <v>124</v>
      </c>
      <c r="G1589">
        <v>0</v>
      </c>
      <c r="H1589" t="s">
        <v>14</v>
      </c>
      <c r="I1589" t="s">
        <v>121</v>
      </c>
      <c r="J1589" t="s">
        <v>66</v>
      </c>
      <c r="K1589">
        <v>1</v>
      </c>
      <c r="L1589" s="84">
        <v>2638164</v>
      </c>
      <c r="M1589" s="84">
        <v>0</v>
      </c>
    </row>
    <row r="1590" spans="3:13" hidden="1" x14ac:dyDescent="0.25">
      <c r="C1590" t="s">
        <v>119</v>
      </c>
      <c r="D1590" t="s">
        <v>120</v>
      </c>
      <c r="E1590" t="s">
        <v>60</v>
      </c>
      <c r="F1590" t="s">
        <v>24</v>
      </c>
      <c r="G1590">
        <v>3</v>
      </c>
      <c r="H1590" t="s">
        <v>14</v>
      </c>
      <c r="I1590" t="s">
        <v>121</v>
      </c>
      <c r="J1590" t="s">
        <v>122</v>
      </c>
      <c r="K1590">
        <v>0</v>
      </c>
      <c r="L1590" s="84">
        <v>-76</v>
      </c>
      <c r="M1590" s="84">
        <v>0</v>
      </c>
    </row>
    <row r="1591" spans="3:13" hidden="1" x14ac:dyDescent="0.25">
      <c r="C1591" t="s">
        <v>64</v>
      </c>
      <c r="D1591" t="s">
        <v>120</v>
      </c>
      <c r="E1591" t="s">
        <v>60</v>
      </c>
      <c r="F1591" t="s">
        <v>24</v>
      </c>
      <c r="G1591">
        <v>5</v>
      </c>
      <c r="H1591" t="s">
        <v>18</v>
      </c>
      <c r="I1591" t="s">
        <v>121</v>
      </c>
      <c r="J1591" t="s">
        <v>66</v>
      </c>
      <c r="K1591">
        <v>1</v>
      </c>
      <c r="L1591" s="84">
        <v>-3316</v>
      </c>
      <c r="M1591" s="84">
        <v>0</v>
      </c>
    </row>
    <row r="1592" spans="3:13" hidden="1" x14ac:dyDescent="0.25">
      <c r="C1592" t="s">
        <v>119</v>
      </c>
      <c r="D1592" t="s">
        <v>120</v>
      </c>
      <c r="E1592" t="s">
        <v>60</v>
      </c>
      <c r="F1592" t="s">
        <v>124</v>
      </c>
      <c r="G1592">
        <v>5</v>
      </c>
      <c r="H1592" t="s">
        <v>14</v>
      </c>
      <c r="I1592" t="s">
        <v>121</v>
      </c>
      <c r="J1592" t="s">
        <v>122</v>
      </c>
      <c r="K1592">
        <v>0</v>
      </c>
      <c r="L1592" s="84">
        <v>-96441</v>
      </c>
      <c r="M1592" s="84">
        <v>0</v>
      </c>
    </row>
    <row r="1593" spans="3:13" hidden="1" x14ac:dyDescent="0.25">
      <c r="C1593" t="s">
        <v>119</v>
      </c>
      <c r="D1593" t="s">
        <v>120</v>
      </c>
      <c r="E1593" t="s">
        <v>63</v>
      </c>
      <c r="F1593" t="s">
        <v>24</v>
      </c>
      <c r="G1593">
        <v>2</v>
      </c>
      <c r="H1593" t="s">
        <v>75</v>
      </c>
      <c r="I1593" t="s">
        <v>121</v>
      </c>
      <c r="J1593" t="s">
        <v>122</v>
      </c>
      <c r="K1593">
        <v>0</v>
      </c>
      <c r="L1593" s="84">
        <v>91384</v>
      </c>
      <c r="M1593" s="84">
        <v>182768</v>
      </c>
    </row>
    <row r="1594" spans="3:13" hidden="1" x14ac:dyDescent="0.25">
      <c r="C1594" t="s">
        <v>65</v>
      </c>
      <c r="D1594" t="s">
        <v>120</v>
      </c>
      <c r="E1594" t="s">
        <v>63</v>
      </c>
      <c r="F1594" t="s">
        <v>124</v>
      </c>
      <c r="G1594">
        <v>5</v>
      </c>
      <c r="H1594" t="s">
        <v>12</v>
      </c>
      <c r="I1594" t="s">
        <v>121</v>
      </c>
      <c r="J1594" t="s">
        <v>122</v>
      </c>
      <c r="K1594">
        <v>0</v>
      </c>
      <c r="L1594" s="84">
        <v>44608</v>
      </c>
      <c r="M1594" s="84">
        <v>223040</v>
      </c>
    </row>
    <row r="1595" spans="3:13" hidden="1" x14ac:dyDescent="0.25">
      <c r="C1595" t="s">
        <v>64</v>
      </c>
      <c r="D1595" t="s">
        <v>120</v>
      </c>
      <c r="E1595" t="s">
        <v>63</v>
      </c>
      <c r="F1595" t="s">
        <v>123</v>
      </c>
      <c r="G1595">
        <v>3</v>
      </c>
      <c r="H1595" t="s">
        <v>12</v>
      </c>
      <c r="I1595" t="s">
        <v>121</v>
      </c>
      <c r="J1595" t="s">
        <v>66</v>
      </c>
      <c r="K1595">
        <v>1</v>
      </c>
      <c r="L1595" s="84">
        <v>60604</v>
      </c>
      <c r="M1595" s="84">
        <v>181812</v>
      </c>
    </row>
    <row r="1596" spans="3:13" hidden="1" x14ac:dyDescent="0.25">
      <c r="C1596" t="s">
        <v>119</v>
      </c>
      <c r="D1596" t="s">
        <v>120</v>
      </c>
      <c r="E1596" t="s">
        <v>63</v>
      </c>
      <c r="F1596" t="s">
        <v>123</v>
      </c>
      <c r="G1596">
        <v>-1</v>
      </c>
      <c r="H1596" t="s">
        <v>18</v>
      </c>
      <c r="I1596" t="s">
        <v>121</v>
      </c>
      <c r="J1596" t="s">
        <v>66</v>
      </c>
      <c r="K1596">
        <v>1</v>
      </c>
      <c r="L1596" s="84">
        <v>359106</v>
      </c>
      <c r="M1596" s="84">
        <v>0</v>
      </c>
    </row>
    <row r="1597" spans="3:13" hidden="1" x14ac:dyDescent="0.25">
      <c r="C1597" t="s">
        <v>119</v>
      </c>
      <c r="D1597" t="s">
        <v>120</v>
      </c>
      <c r="E1597" t="s">
        <v>63</v>
      </c>
      <c r="F1597" t="s">
        <v>124</v>
      </c>
      <c r="G1597">
        <v>4</v>
      </c>
      <c r="H1597" t="s">
        <v>75</v>
      </c>
      <c r="I1597" t="s">
        <v>121</v>
      </c>
      <c r="J1597" t="s">
        <v>122</v>
      </c>
      <c r="K1597">
        <v>0</v>
      </c>
      <c r="L1597" s="84">
        <v>21941542</v>
      </c>
      <c r="M1597" s="84">
        <v>87766168</v>
      </c>
    </row>
    <row r="1598" spans="3:13" hidden="1" x14ac:dyDescent="0.25">
      <c r="C1598" t="s">
        <v>64</v>
      </c>
      <c r="D1598" t="s">
        <v>125</v>
      </c>
      <c r="E1598" t="s">
        <v>63</v>
      </c>
      <c r="F1598" t="s">
        <v>25</v>
      </c>
      <c r="G1598">
        <v>29</v>
      </c>
      <c r="I1598" t="s">
        <v>121</v>
      </c>
      <c r="J1598" t="s">
        <v>122</v>
      </c>
      <c r="K1598">
        <v>0</v>
      </c>
      <c r="L1598" s="84">
        <v>75080</v>
      </c>
      <c r="M1598" s="84">
        <v>2177320</v>
      </c>
    </row>
    <row r="1599" spans="3:13" hidden="1" x14ac:dyDescent="0.25">
      <c r="C1599" t="s">
        <v>119</v>
      </c>
      <c r="D1599" t="s">
        <v>120</v>
      </c>
      <c r="E1599" t="s">
        <v>63</v>
      </c>
      <c r="F1599" t="s">
        <v>124</v>
      </c>
      <c r="G1599">
        <v>10</v>
      </c>
      <c r="H1599" t="s">
        <v>71</v>
      </c>
      <c r="I1599" t="s">
        <v>121</v>
      </c>
      <c r="J1599" t="s">
        <v>122</v>
      </c>
      <c r="K1599">
        <v>0</v>
      </c>
      <c r="L1599" s="84">
        <v>762769</v>
      </c>
      <c r="M1599" s="84">
        <v>7627690</v>
      </c>
    </row>
    <row r="1600" spans="3:13" hidden="1" x14ac:dyDescent="0.25">
      <c r="C1600" t="s">
        <v>119</v>
      </c>
      <c r="D1600" t="s">
        <v>120</v>
      </c>
      <c r="E1600" t="s">
        <v>63</v>
      </c>
      <c r="F1600" t="s">
        <v>124</v>
      </c>
      <c r="G1600">
        <v>4</v>
      </c>
      <c r="H1600" t="s">
        <v>12</v>
      </c>
      <c r="I1600" t="s">
        <v>62</v>
      </c>
      <c r="J1600" t="s">
        <v>66</v>
      </c>
      <c r="K1600">
        <v>1</v>
      </c>
      <c r="L1600" s="84">
        <v>1033705</v>
      </c>
      <c r="M1600" s="84">
        <v>4134820</v>
      </c>
    </row>
    <row r="1601" spans="3:13" hidden="1" x14ac:dyDescent="0.25">
      <c r="C1601" t="s">
        <v>65</v>
      </c>
      <c r="D1601" t="s">
        <v>120</v>
      </c>
      <c r="E1601" t="s">
        <v>60</v>
      </c>
      <c r="F1601" t="s">
        <v>25</v>
      </c>
      <c r="G1601">
        <v>6</v>
      </c>
      <c r="H1601" t="s">
        <v>18</v>
      </c>
      <c r="I1601" t="s">
        <v>121</v>
      </c>
      <c r="J1601" t="s">
        <v>122</v>
      </c>
      <c r="K1601">
        <v>0</v>
      </c>
      <c r="L1601" s="84">
        <v>-833749</v>
      </c>
      <c r="M1601" s="84">
        <v>0</v>
      </c>
    </row>
    <row r="1602" spans="3:13" x14ac:dyDescent="0.25">
      <c r="C1602" t="s">
        <v>64</v>
      </c>
      <c r="D1602" t="s">
        <v>120</v>
      </c>
      <c r="E1602" t="s">
        <v>63</v>
      </c>
      <c r="F1602" t="s">
        <v>25</v>
      </c>
      <c r="G1602">
        <v>2</v>
      </c>
      <c r="H1602" t="s">
        <v>12</v>
      </c>
      <c r="I1602" t="s">
        <v>121</v>
      </c>
      <c r="J1602" t="s">
        <v>66</v>
      </c>
      <c r="K1602">
        <v>1</v>
      </c>
      <c r="L1602" s="84">
        <v>58653</v>
      </c>
      <c r="M1602" s="84">
        <v>117306</v>
      </c>
    </row>
    <row r="1603" spans="3:13" hidden="1" x14ac:dyDescent="0.25">
      <c r="C1603" t="s">
        <v>64</v>
      </c>
      <c r="D1603" t="s">
        <v>120</v>
      </c>
      <c r="E1603" t="s">
        <v>60</v>
      </c>
      <c r="F1603" t="s">
        <v>124</v>
      </c>
      <c r="G1603">
        <v>2</v>
      </c>
      <c r="H1603" t="s">
        <v>72</v>
      </c>
      <c r="I1603" t="s">
        <v>121</v>
      </c>
      <c r="J1603" t="s">
        <v>122</v>
      </c>
      <c r="K1603">
        <v>0</v>
      </c>
      <c r="L1603" s="84">
        <v>-126108</v>
      </c>
      <c r="M1603" s="84">
        <v>0</v>
      </c>
    </row>
    <row r="1604" spans="3:13" hidden="1" x14ac:dyDescent="0.25">
      <c r="C1604" t="s">
        <v>119</v>
      </c>
      <c r="D1604" t="s">
        <v>125</v>
      </c>
      <c r="E1604" t="s">
        <v>63</v>
      </c>
      <c r="F1604" t="s">
        <v>24</v>
      </c>
      <c r="G1604">
        <v>2</v>
      </c>
      <c r="I1604" t="s">
        <v>121</v>
      </c>
      <c r="J1604" t="s">
        <v>122</v>
      </c>
      <c r="K1604">
        <v>0</v>
      </c>
      <c r="L1604" s="84">
        <v>20999549</v>
      </c>
      <c r="M1604" s="84">
        <v>41999098</v>
      </c>
    </row>
    <row r="1605" spans="3:13" x14ac:dyDescent="0.25">
      <c r="C1605" t="s">
        <v>119</v>
      </c>
      <c r="D1605" t="s">
        <v>120</v>
      </c>
      <c r="E1605" t="s">
        <v>63</v>
      </c>
      <c r="F1605" t="s">
        <v>25</v>
      </c>
      <c r="G1605">
        <v>5</v>
      </c>
      <c r="H1605" t="s">
        <v>17</v>
      </c>
      <c r="I1605" t="s">
        <v>62</v>
      </c>
      <c r="J1605" t="s">
        <v>66</v>
      </c>
      <c r="K1605">
        <v>1</v>
      </c>
      <c r="L1605" s="84">
        <v>44870</v>
      </c>
      <c r="M1605" s="84">
        <v>224350</v>
      </c>
    </row>
    <row r="1606" spans="3:13" hidden="1" x14ac:dyDescent="0.25">
      <c r="C1606" t="s">
        <v>65</v>
      </c>
      <c r="D1606" t="s">
        <v>120</v>
      </c>
      <c r="E1606" t="s">
        <v>60</v>
      </c>
      <c r="F1606" t="s">
        <v>124</v>
      </c>
      <c r="G1606">
        <v>3</v>
      </c>
      <c r="H1606" t="s">
        <v>75</v>
      </c>
      <c r="I1606" t="s">
        <v>121</v>
      </c>
      <c r="J1606" t="s">
        <v>122</v>
      </c>
      <c r="K1606">
        <v>0</v>
      </c>
      <c r="L1606" s="84">
        <v>-436450</v>
      </c>
      <c r="M1606" s="84">
        <v>0</v>
      </c>
    </row>
    <row r="1607" spans="3:13" hidden="1" x14ac:dyDescent="0.25">
      <c r="C1607" t="s">
        <v>119</v>
      </c>
      <c r="D1607" t="s">
        <v>120</v>
      </c>
      <c r="E1607" t="s">
        <v>60</v>
      </c>
      <c r="F1607" t="s">
        <v>123</v>
      </c>
      <c r="G1607">
        <v>-1</v>
      </c>
      <c r="H1607" t="s">
        <v>14</v>
      </c>
      <c r="I1607" t="s">
        <v>121</v>
      </c>
      <c r="J1607" t="s">
        <v>66</v>
      </c>
      <c r="K1607">
        <v>1</v>
      </c>
      <c r="L1607" s="84">
        <v>-1166</v>
      </c>
      <c r="M1607" s="84">
        <v>0</v>
      </c>
    </row>
    <row r="1608" spans="3:13" hidden="1" x14ac:dyDescent="0.25">
      <c r="C1608" t="s">
        <v>119</v>
      </c>
      <c r="D1608" t="s">
        <v>120</v>
      </c>
      <c r="E1608" t="s">
        <v>63</v>
      </c>
      <c r="F1608" t="s">
        <v>124</v>
      </c>
      <c r="G1608">
        <v>1</v>
      </c>
      <c r="H1608" t="s">
        <v>17</v>
      </c>
      <c r="I1608" t="s">
        <v>121</v>
      </c>
      <c r="J1608" t="s">
        <v>66</v>
      </c>
      <c r="K1608">
        <v>1</v>
      </c>
      <c r="L1608" s="84">
        <v>9818199</v>
      </c>
      <c r="M1608" s="84">
        <v>9818199</v>
      </c>
    </row>
    <row r="1609" spans="3:13" hidden="1" x14ac:dyDescent="0.25">
      <c r="C1609" t="s">
        <v>64</v>
      </c>
      <c r="D1609" t="s">
        <v>120</v>
      </c>
      <c r="E1609" t="s">
        <v>60</v>
      </c>
      <c r="F1609" t="s">
        <v>124</v>
      </c>
      <c r="G1609">
        <v>-4</v>
      </c>
      <c r="H1609" t="s">
        <v>70</v>
      </c>
      <c r="I1609" t="s">
        <v>121</v>
      </c>
      <c r="J1609" t="s">
        <v>122</v>
      </c>
      <c r="K1609">
        <v>0</v>
      </c>
      <c r="L1609" s="84">
        <v>-26222</v>
      </c>
      <c r="M1609" s="84">
        <v>0</v>
      </c>
    </row>
    <row r="1610" spans="3:13" hidden="1" x14ac:dyDescent="0.25">
      <c r="C1610" t="s">
        <v>119</v>
      </c>
      <c r="D1610" t="s">
        <v>120</v>
      </c>
      <c r="E1610" t="s">
        <v>63</v>
      </c>
      <c r="F1610" t="s">
        <v>25</v>
      </c>
      <c r="G1610">
        <v>6</v>
      </c>
      <c r="H1610" t="s">
        <v>13</v>
      </c>
      <c r="I1610" t="s">
        <v>121</v>
      </c>
      <c r="J1610" t="s">
        <v>122</v>
      </c>
      <c r="K1610">
        <v>0</v>
      </c>
      <c r="L1610" s="84">
        <v>38897</v>
      </c>
      <c r="M1610" s="84">
        <v>233382</v>
      </c>
    </row>
    <row r="1611" spans="3:13" hidden="1" x14ac:dyDescent="0.25">
      <c r="C1611" t="s">
        <v>119</v>
      </c>
      <c r="D1611" t="s">
        <v>120</v>
      </c>
      <c r="E1611" t="s">
        <v>60</v>
      </c>
      <c r="F1611" t="s">
        <v>25</v>
      </c>
      <c r="G1611">
        <v>2</v>
      </c>
      <c r="H1611" t="s">
        <v>17</v>
      </c>
      <c r="I1611" t="s">
        <v>62</v>
      </c>
      <c r="J1611" t="s">
        <v>66</v>
      </c>
      <c r="K1611">
        <v>1</v>
      </c>
      <c r="L1611" s="84">
        <v>-133</v>
      </c>
      <c r="M1611" s="84">
        <v>0</v>
      </c>
    </row>
    <row r="1612" spans="3:13" hidden="1" x14ac:dyDescent="0.25">
      <c r="C1612" t="s">
        <v>64</v>
      </c>
      <c r="D1612" t="s">
        <v>120</v>
      </c>
      <c r="E1612" t="s">
        <v>60</v>
      </c>
      <c r="F1612" t="s">
        <v>124</v>
      </c>
      <c r="G1612">
        <v>7</v>
      </c>
      <c r="H1612" t="s">
        <v>17</v>
      </c>
      <c r="I1612" t="s">
        <v>121</v>
      </c>
      <c r="J1612" t="s">
        <v>122</v>
      </c>
      <c r="K1612">
        <v>0</v>
      </c>
      <c r="L1612" s="84">
        <v>-39939</v>
      </c>
      <c r="M1612" s="84">
        <v>0</v>
      </c>
    </row>
    <row r="1613" spans="3:13" hidden="1" x14ac:dyDescent="0.25">
      <c r="C1613" t="s">
        <v>65</v>
      </c>
      <c r="D1613" t="s">
        <v>125</v>
      </c>
      <c r="E1613" t="s">
        <v>63</v>
      </c>
      <c r="F1613" t="s">
        <v>25</v>
      </c>
      <c r="G1613">
        <v>2</v>
      </c>
      <c r="I1613" t="s">
        <v>121</v>
      </c>
      <c r="J1613" t="s">
        <v>122</v>
      </c>
      <c r="K1613">
        <v>0</v>
      </c>
      <c r="L1613" s="84">
        <v>110097</v>
      </c>
      <c r="M1613" s="84">
        <v>220194</v>
      </c>
    </row>
    <row r="1614" spans="3:13" hidden="1" x14ac:dyDescent="0.25">
      <c r="C1614" t="s">
        <v>119</v>
      </c>
      <c r="D1614" t="s">
        <v>120</v>
      </c>
      <c r="E1614" t="s">
        <v>60</v>
      </c>
      <c r="F1614" t="s">
        <v>24</v>
      </c>
      <c r="G1614">
        <v>17</v>
      </c>
      <c r="H1614" t="s">
        <v>69</v>
      </c>
      <c r="I1614" t="s">
        <v>121</v>
      </c>
      <c r="J1614" t="s">
        <v>122</v>
      </c>
      <c r="K1614">
        <v>0</v>
      </c>
      <c r="L1614" s="84">
        <v>-2372</v>
      </c>
      <c r="M1614" s="84">
        <v>0</v>
      </c>
    </row>
    <row r="1615" spans="3:13" hidden="1" x14ac:dyDescent="0.25">
      <c r="C1615" t="s">
        <v>119</v>
      </c>
      <c r="D1615" t="s">
        <v>120</v>
      </c>
      <c r="E1615" t="s">
        <v>63</v>
      </c>
      <c r="F1615" t="s">
        <v>124</v>
      </c>
      <c r="G1615">
        <v>2</v>
      </c>
      <c r="H1615" t="s">
        <v>67</v>
      </c>
      <c r="I1615" t="s">
        <v>121</v>
      </c>
      <c r="J1615" t="s">
        <v>122</v>
      </c>
      <c r="K1615">
        <v>0</v>
      </c>
      <c r="L1615" s="84">
        <v>143037799</v>
      </c>
      <c r="M1615" s="84">
        <v>286075598</v>
      </c>
    </row>
    <row r="1616" spans="3:13" hidden="1" x14ac:dyDescent="0.25">
      <c r="C1616" t="s">
        <v>64</v>
      </c>
      <c r="D1616" t="s">
        <v>120</v>
      </c>
      <c r="E1616" t="s">
        <v>60</v>
      </c>
      <c r="F1616" t="s">
        <v>25</v>
      </c>
      <c r="G1616">
        <v>11</v>
      </c>
      <c r="H1616" t="s">
        <v>18</v>
      </c>
      <c r="I1616" t="s">
        <v>121</v>
      </c>
      <c r="J1616" t="s">
        <v>122</v>
      </c>
      <c r="K1616">
        <v>0</v>
      </c>
      <c r="L1616" s="84">
        <v>-203620</v>
      </c>
      <c r="M1616" s="84">
        <v>0</v>
      </c>
    </row>
    <row r="1617" spans="3:13" hidden="1" x14ac:dyDescent="0.25">
      <c r="C1617" t="s">
        <v>64</v>
      </c>
      <c r="D1617" t="s">
        <v>120</v>
      </c>
      <c r="E1617" t="s">
        <v>60</v>
      </c>
      <c r="F1617" t="s">
        <v>123</v>
      </c>
      <c r="G1617">
        <v>0</v>
      </c>
      <c r="H1617" t="s">
        <v>67</v>
      </c>
      <c r="I1617" t="s">
        <v>121</v>
      </c>
      <c r="J1617" t="s">
        <v>122</v>
      </c>
      <c r="K1617">
        <v>0</v>
      </c>
      <c r="L1617" s="84">
        <v>-1157</v>
      </c>
      <c r="M1617" s="84">
        <v>0</v>
      </c>
    </row>
    <row r="1618" spans="3:13" hidden="1" x14ac:dyDescent="0.25">
      <c r="C1618" t="s">
        <v>64</v>
      </c>
      <c r="D1618" t="s">
        <v>120</v>
      </c>
      <c r="E1618" t="s">
        <v>60</v>
      </c>
      <c r="F1618" t="s">
        <v>123</v>
      </c>
      <c r="G1618">
        <v>4</v>
      </c>
      <c r="H1618" t="s">
        <v>12</v>
      </c>
      <c r="I1618" t="s">
        <v>121</v>
      </c>
      <c r="J1618" t="s">
        <v>122</v>
      </c>
      <c r="K1618">
        <v>0</v>
      </c>
      <c r="L1618" s="84">
        <v>-18330</v>
      </c>
      <c r="M1618" s="84">
        <v>0</v>
      </c>
    </row>
    <row r="1619" spans="3:13" hidden="1" x14ac:dyDescent="0.25">
      <c r="C1619" t="s">
        <v>119</v>
      </c>
      <c r="D1619" t="s">
        <v>120</v>
      </c>
      <c r="E1619" t="s">
        <v>60</v>
      </c>
      <c r="F1619" t="s">
        <v>25</v>
      </c>
      <c r="G1619">
        <v>11</v>
      </c>
      <c r="H1619" t="s">
        <v>17</v>
      </c>
      <c r="I1619" t="s">
        <v>121</v>
      </c>
      <c r="J1619" t="s">
        <v>122</v>
      </c>
      <c r="K1619">
        <v>0</v>
      </c>
      <c r="L1619" s="84">
        <v>-4962</v>
      </c>
      <c r="M1619" s="84">
        <v>0</v>
      </c>
    </row>
    <row r="1620" spans="3:13" hidden="1" x14ac:dyDescent="0.25">
      <c r="C1620" t="s">
        <v>65</v>
      </c>
      <c r="D1620" t="s">
        <v>120</v>
      </c>
      <c r="E1620" t="s">
        <v>63</v>
      </c>
      <c r="F1620" t="s">
        <v>124</v>
      </c>
      <c r="G1620">
        <v>3</v>
      </c>
      <c r="H1620" t="s">
        <v>72</v>
      </c>
      <c r="I1620" t="s">
        <v>121</v>
      </c>
      <c r="J1620" t="s">
        <v>122</v>
      </c>
      <c r="K1620">
        <v>0</v>
      </c>
      <c r="L1620" s="84">
        <v>38732</v>
      </c>
      <c r="M1620" s="84">
        <v>116196</v>
      </c>
    </row>
    <row r="1621" spans="3:13" hidden="1" x14ac:dyDescent="0.25">
      <c r="C1621" t="s">
        <v>64</v>
      </c>
      <c r="D1621" t="s">
        <v>125</v>
      </c>
      <c r="E1621" t="s">
        <v>63</v>
      </c>
      <c r="F1621" t="s">
        <v>24</v>
      </c>
      <c r="G1621">
        <v>20</v>
      </c>
      <c r="I1621" t="s">
        <v>121</v>
      </c>
      <c r="J1621" t="s">
        <v>122</v>
      </c>
      <c r="K1621">
        <v>0</v>
      </c>
      <c r="L1621" s="84">
        <v>46567381</v>
      </c>
      <c r="M1621" s="84">
        <v>931347620</v>
      </c>
    </row>
    <row r="1622" spans="3:13" hidden="1" x14ac:dyDescent="0.25">
      <c r="C1622" t="s">
        <v>119</v>
      </c>
      <c r="D1622" t="s">
        <v>120</v>
      </c>
      <c r="E1622" t="s">
        <v>63</v>
      </c>
      <c r="F1622" t="s">
        <v>124</v>
      </c>
      <c r="G1622">
        <v>7</v>
      </c>
      <c r="H1622" t="s">
        <v>14</v>
      </c>
      <c r="I1622" t="s">
        <v>121</v>
      </c>
      <c r="J1622" t="s">
        <v>122</v>
      </c>
      <c r="K1622">
        <v>0</v>
      </c>
      <c r="L1622" s="84">
        <v>39760826</v>
      </c>
      <c r="M1622" s="84">
        <v>278325782</v>
      </c>
    </row>
    <row r="1623" spans="3:13" hidden="1" x14ac:dyDescent="0.25">
      <c r="C1623" t="s">
        <v>119</v>
      </c>
      <c r="D1623" t="s">
        <v>126</v>
      </c>
      <c r="E1623" t="s">
        <v>63</v>
      </c>
      <c r="F1623" t="s">
        <v>25</v>
      </c>
      <c r="G1623">
        <v>12</v>
      </c>
      <c r="H1623" t="s">
        <v>68</v>
      </c>
      <c r="I1623" t="s">
        <v>121</v>
      </c>
      <c r="J1623" t="s">
        <v>122</v>
      </c>
      <c r="K1623">
        <v>0</v>
      </c>
      <c r="L1623" s="84">
        <v>28346559</v>
      </c>
      <c r="M1623" s="84">
        <v>340158708</v>
      </c>
    </row>
    <row r="1624" spans="3:13" hidden="1" x14ac:dyDescent="0.25">
      <c r="C1624" t="s">
        <v>119</v>
      </c>
      <c r="D1624" t="s">
        <v>120</v>
      </c>
      <c r="E1624" t="s">
        <v>63</v>
      </c>
      <c r="F1624" t="s">
        <v>25</v>
      </c>
      <c r="G1624">
        <v>8</v>
      </c>
      <c r="H1624" t="s">
        <v>17</v>
      </c>
      <c r="I1624" t="s">
        <v>62</v>
      </c>
      <c r="J1624" t="s">
        <v>122</v>
      </c>
      <c r="K1624">
        <v>1</v>
      </c>
      <c r="L1624" s="84">
        <v>479094</v>
      </c>
      <c r="M1624" s="84">
        <v>3832752</v>
      </c>
    </row>
    <row r="1625" spans="3:13" hidden="1" x14ac:dyDescent="0.25">
      <c r="C1625" t="s">
        <v>119</v>
      </c>
      <c r="D1625" t="s">
        <v>120</v>
      </c>
      <c r="E1625" t="s">
        <v>63</v>
      </c>
      <c r="F1625" t="s">
        <v>123</v>
      </c>
      <c r="G1625">
        <v>5</v>
      </c>
      <c r="H1625" t="s">
        <v>73</v>
      </c>
      <c r="I1625" t="s">
        <v>121</v>
      </c>
      <c r="J1625" t="s">
        <v>122</v>
      </c>
      <c r="K1625">
        <v>0</v>
      </c>
      <c r="L1625" s="84">
        <v>529834</v>
      </c>
      <c r="M1625" s="84">
        <v>2649170</v>
      </c>
    </row>
    <row r="1626" spans="3:13" hidden="1" x14ac:dyDescent="0.25">
      <c r="C1626" t="s">
        <v>65</v>
      </c>
      <c r="D1626" t="s">
        <v>120</v>
      </c>
      <c r="E1626" t="s">
        <v>63</v>
      </c>
      <c r="F1626" t="s">
        <v>124</v>
      </c>
      <c r="G1626">
        <v>6</v>
      </c>
      <c r="H1626" t="s">
        <v>70</v>
      </c>
      <c r="I1626" t="s">
        <v>121</v>
      </c>
      <c r="J1626" t="s">
        <v>122</v>
      </c>
      <c r="K1626">
        <v>0</v>
      </c>
      <c r="L1626" s="84">
        <v>368178</v>
      </c>
      <c r="M1626" s="84">
        <v>2209068</v>
      </c>
    </row>
    <row r="1627" spans="3:13" hidden="1" x14ac:dyDescent="0.25">
      <c r="C1627" t="s">
        <v>64</v>
      </c>
      <c r="D1627" t="s">
        <v>120</v>
      </c>
      <c r="E1627" t="s">
        <v>60</v>
      </c>
      <c r="F1627" t="s">
        <v>123</v>
      </c>
      <c r="G1627">
        <v>-1</v>
      </c>
      <c r="H1627" t="s">
        <v>14</v>
      </c>
      <c r="I1627" t="s">
        <v>121</v>
      </c>
      <c r="J1627" t="s">
        <v>66</v>
      </c>
      <c r="K1627">
        <v>1</v>
      </c>
      <c r="L1627" s="84">
        <v>-6691</v>
      </c>
      <c r="M1627" s="84">
        <v>0</v>
      </c>
    </row>
    <row r="1628" spans="3:13" hidden="1" x14ac:dyDescent="0.25">
      <c r="C1628" t="s">
        <v>119</v>
      </c>
      <c r="D1628" t="s">
        <v>120</v>
      </c>
      <c r="E1628" t="s">
        <v>60</v>
      </c>
      <c r="F1628" t="s">
        <v>25</v>
      </c>
      <c r="G1628">
        <v>4</v>
      </c>
      <c r="H1628" t="s">
        <v>14</v>
      </c>
      <c r="I1628" t="s">
        <v>121</v>
      </c>
      <c r="J1628" t="s">
        <v>66</v>
      </c>
      <c r="K1628">
        <v>1</v>
      </c>
      <c r="L1628" s="84">
        <v>-1593</v>
      </c>
      <c r="M1628" s="84">
        <v>0</v>
      </c>
    </row>
    <row r="1629" spans="3:13" hidden="1" x14ac:dyDescent="0.25">
      <c r="C1629" t="s">
        <v>119</v>
      </c>
      <c r="D1629" t="s">
        <v>120</v>
      </c>
      <c r="E1629" t="s">
        <v>63</v>
      </c>
      <c r="F1629" t="s">
        <v>24</v>
      </c>
      <c r="G1629">
        <v>13</v>
      </c>
      <c r="H1629" t="s">
        <v>67</v>
      </c>
      <c r="I1629" t="s">
        <v>121</v>
      </c>
      <c r="J1629" t="s">
        <v>122</v>
      </c>
      <c r="K1629">
        <v>0</v>
      </c>
      <c r="L1629" s="84">
        <v>682361</v>
      </c>
      <c r="M1629" s="84">
        <v>8870693</v>
      </c>
    </row>
    <row r="1630" spans="3:13" hidden="1" x14ac:dyDescent="0.25">
      <c r="C1630" t="s">
        <v>119</v>
      </c>
      <c r="D1630" t="s">
        <v>120</v>
      </c>
      <c r="E1630" t="s">
        <v>60</v>
      </c>
      <c r="F1630" t="s">
        <v>124</v>
      </c>
      <c r="G1630">
        <v>10</v>
      </c>
      <c r="H1630" t="s">
        <v>17</v>
      </c>
      <c r="I1630" t="s">
        <v>121</v>
      </c>
      <c r="J1630" t="s">
        <v>122</v>
      </c>
      <c r="K1630">
        <v>0</v>
      </c>
      <c r="L1630" s="84">
        <v>-23303</v>
      </c>
      <c r="M1630" s="84">
        <v>0</v>
      </c>
    </row>
    <row r="1631" spans="3:13" hidden="1" x14ac:dyDescent="0.25">
      <c r="C1631" t="s">
        <v>64</v>
      </c>
      <c r="D1631" t="s">
        <v>120</v>
      </c>
      <c r="E1631" t="s">
        <v>63</v>
      </c>
      <c r="F1631" t="s">
        <v>124</v>
      </c>
      <c r="G1631">
        <v>1</v>
      </c>
      <c r="H1631" t="s">
        <v>74</v>
      </c>
      <c r="I1631" t="s">
        <v>121</v>
      </c>
      <c r="J1631" t="s">
        <v>122</v>
      </c>
      <c r="K1631">
        <v>0</v>
      </c>
      <c r="L1631" s="84">
        <v>11187</v>
      </c>
      <c r="M1631" s="84">
        <v>11187</v>
      </c>
    </row>
    <row r="1632" spans="3:13" hidden="1" x14ac:dyDescent="0.25">
      <c r="C1632" t="s">
        <v>119</v>
      </c>
      <c r="D1632" t="s">
        <v>120</v>
      </c>
      <c r="E1632" t="s">
        <v>63</v>
      </c>
      <c r="F1632" t="s">
        <v>25</v>
      </c>
      <c r="G1632">
        <v>8</v>
      </c>
      <c r="H1632" t="s">
        <v>12</v>
      </c>
      <c r="I1632" t="s">
        <v>121</v>
      </c>
      <c r="J1632" t="s">
        <v>122</v>
      </c>
      <c r="K1632">
        <v>0</v>
      </c>
      <c r="L1632" s="84">
        <v>593501</v>
      </c>
      <c r="M1632" s="84">
        <v>4748008</v>
      </c>
    </row>
    <row r="1633" spans="3:13" hidden="1" x14ac:dyDescent="0.25">
      <c r="C1633" t="s">
        <v>119</v>
      </c>
      <c r="D1633" t="s">
        <v>120</v>
      </c>
      <c r="E1633" t="s">
        <v>60</v>
      </c>
      <c r="F1633" t="s">
        <v>123</v>
      </c>
      <c r="G1633">
        <v>5</v>
      </c>
      <c r="H1633" t="s">
        <v>72</v>
      </c>
      <c r="I1633" t="s">
        <v>121</v>
      </c>
      <c r="J1633" t="s">
        <v>122</v>
      </c>
      <c r="K1633">
        <v>0</v>
      </c>
      <c r="L1633" s="84">
        <v>-10987</v>
      </c>
      <c r="M1633" s="84">
        <v>0</v>
      </c>
    </row>
    <row r="1634" spans="3:13" hidden="1" x14ac:dyDescent="0.25">
      <c r="C1634" t="s">
        <v>119</v>
      </c>
      <c r="D1634" t="s">
        <v>120</v>
      </c>
      <c r="E1634" t="s">
        <v>60</v>
      </c>
      <c r="F1634" t="s">
        <v>123</v>
      </c>
      <c r="G1634">
        <v>4</v>
      </c>
      <c r="H1634" t="s">
        <v>12</v>
      </c>
      <c r="I1634" t="s">
        <v>121</v>
      </c>
      <c r="J1634" t="s">
        <v>122</v>
      </c>
      <c r="K1634">
        <v>0</v>
      </c>
      <c r="L1634" s="84">
        <v>-2378</v>
      </c>
      <c r="M1634" s="84">
        <v>0</v>
      </c>
    </row>
    <row r="1635" spans="3:13" hidden="1" x14ac:dyDescent="0.25">
      <c r="C1635" t="s">
        <v>64</v>
      </c>
      <c r="D1635" t="s">
        <v>125</v>
      </c>
      <c r="E1635" t="s">
        <v>60</v>
      </c>
      <c r="F1635" t="s">
        <v>25</v>
      </c>
      <c r="G1635">
        <v>8</v>
      </c>
      <c r="I1635" t="s">
        <v>121</v>
      </c>
      <c r="J1635" t="s">
        <v>122</v>
      </c>
      <c r="K1635">
        <v>0</v>
      </c>
      <c r="L1635" s="84">
        <v>-45549</v>
      </c>
      <c r="M1635" s="84">
        <v>0</v>
      </c>
    </row>
    <row r="1636" spans="3:13" hidden="1" x14ac:dyDescent="0.25">
      <c r="C1636" t="s">
        <v>65</v>
      </c>
      <c r="D1636" t="s">
        <v>120</v>
      </c>
      <c r="E1636" t="s">
        <v>63</v>
      </c>
      <c r="F1636" t="s">
        <v>124</v>
      </c>
      <c r="G1636">
        <v>3</v>
      </c>
      <c r="H1636" t="s">
        <v>17</v>
      </c>
      <c r="I1636" t="s">
        <v>62</v>
      </c>
      <c r="J1636" t="s">
        <v>66</v>
      </c>
      <c r="K1636">
        <v>1</v>
      </c>
      <c r="L1636" s="84">
        <v>151861</v>
      </c>
      <c r="M1636" s="84">
        <v>455583</v>
      </c>
    </row>
    <row r="1637" spans="3:13" hidden="1" x14ac:dyDescent="0.25">
      <c r="C1637" t="s">
        <v>65</v>
      </c>
      <c r="D1637" t="s">
        <v>120</v>
      </c>
      <c r="E1637" t="s">
        <v>63</v>
      </c>
      <c r="F1637" t="s">
        <v>124</v>
      </c>
      <c r="G1637">
        <v>-1</v>
      </c>
      <c r="H1637" t="s">
        <v>73</v>
      </c>
      <c r="I1637" t="s">
        <v>121</v>
      </c>
      <c r="J1637" t="s">
        <v>122</v>
      </c>
      <c r="K1637">
        <v>0</v>
      </c>
      <c r="L1637" s="84">
        <v>473284</v>
      </c>
      <c r="M1637" s="84">
        <v>0</v>
      </c>
    </row>
    <row r="1638" spans="3:13" hidden="1" x14ac:dyDescent="0.25">
      <c r="C1638" t="s">
        <v>64</v>
      </c>
      <c r="D1638" t="s">
        <v>120</v>
      </c>
      <c r="E1638" t="s">
        <v>60</v>
      </c>
      <c r="G1638">
        <v>-1</v>
      </c>
      <c r="I1638" t="s">
        <v>121</v>
      </c>
      <c r="J1638" t="s">
        <v>122</v>
      </c>
      <c r="K1638">
        <v>0</v>
      </c>
      <c r="L1638" s="84">
        <v>5</v>
      </c>
      <c r="M1638" s="84">
        <v>0</v>
      </c>
    </row>
    <row r="1639" spans="3:13" hidden="1" x14ac:dyDescent="0.25">
      <c r="C1639" t="s">
        <v>64</v>
      </c>
      <c r="D1639" t="s">
        <v>120</v>
      </c>
      <c r="E1639" t="s">
        <v>60</v>
      </c>
      <c r="F1639" t="s">
        <v>25</v>
      </c>
      <c r="G1639">
        <v>-4</v>
      </c>
      <c r="H1639" t="s">
        <v>14</v>
      </c>
      <c r="I1639" t="s">
        <v>121</v>
      </c>
      <c r="J1639" t="s">
        <v>122</v>
      </c>
      <c r="K1639">
        <v>0</v>
      </c>
      <c r="L1639" s="84">
        <v>-6</v>
      </c>
      <c r="M1639" s="84">
        <v>0</v>
      </c>
    </row>
    <row r="1640" spans="3:13" hidden="1" x14ac:dyDescent="0.25">
      <c r="C1640" t="s">
        <v>119</v>
      </c>
      <c r="D1640" t="s">
        <v>125</v>
      </c>
      <c r="E1640" t="s">
        <v>60</v>
      </c>
      <c r="F1640" t="s">
        <v>24</v>
      </c>
      <c r="G1640">
        <v>2</v>
      </c>
      <c r="I1640" t="s">
        <v>121</v>
      </c>
      <c r="J1640" t="s">
        <v>122</v>
      </c>
      <c r="K1640">
        <v>0</v>
      </c>
      <c r="L1640" s="84">
        <v>-6848</v>
      </c>
      <c r="M1640" s="84">
        <v>0</v>
      </c>
    </row>
    <row r="1641" spans="3:13" x14ac:dyDescent="0.25">
      <c r="C1641" t="s">
        <v>64</v>
      </c>
      <c r="D1641" t="s">
        <v>120</v>
      </c>
      <c r="E1641" t="s">
        <v>63</v>
      </c>
      <c r="F1641" t="s">
        <v>25</v>
      </c>
      <c r="G1641">
        <v>14</v>
      </c>
      <c r="H1641" t="s">
        <v>17</v>
      </c>
      <c r="I1641" t="s">
        <v>121</v>
      </c>
      <c r="J1641" t="s">
        <v>66</v>
      </c>
      <c r="K1641">
        <v>1</v>
      </c>
      <c r="L1641" s="84">
        <v>187130</v>
      </c>
      <c r="M1641" s="84">
        <v>2619820</v>
      </c>
    </row>
    <row r="1642" spans="3:13" hidden="1" x14ac:dyDescent="0.25">
      <c r="C1642" t="s">
        <v>65</v>
      </c>
      <c r="D1642" t="s">
        <v>120</v>
      </c>
      <c r="E1642" t="s">
        <v>63</v>
      </c>
      <c r="F1642" t="s">
        <v>124</v>
      </c>
      <c r="G1642">
        <v>7</v>
      </c>
      <c r="H1642" t="s">
        <v>69</v>
      </c>
      <c r="I1642" t="s">
        <v>121</v>
      </c>
      <c r="J1642" t="s">
        <v>122</v>
      </c>
      <c r="K1642">
        <v>0</v>
      </c>
      <c r="L1642" s="84">
        <v>48800</v>
      </c>
      <c r="M1642" s="84">
        <v>341600</v>
      </c>
    </row>
    <row r="1643" spans="3:13" hidden="1" x14ac:dyDescent="0.25">
      <c r="C1643" t="s">
        <v>119</v>
      </c>
      <c r="D1643" t="s">
        <v>120</v>
      </c>
      <c r="E1643" t="s">
        <v>60</v>
      </c>
      <c r="F1643" t="s">
        <v>124</v>
      </c>
      <c r="G1643">
        <v>3</v>
      </c>
      <c r="H1643" t="s">
        <v>70</v>
      </c>
      <c r="I1643" t="s">
        <v>121</v>
      </c>
      <c r="J1643" t="s">
        <v>122</v>
      </c>
      <c r="K1643">
        <v>0</v>
      </c>
      <c r="L1643" s="84">
        <v>-20466</v>
      </c>
      <c r="M1643" s="84">
        <v>0</v>
      </c>
    </row>
    <row r="1644" spans="3:13" hidden="1" x14ac:dyDescent="0.25">
      <c r="C1644" t="s">
        <v>64</v>
      </c>
      <c r="D1644" t="s">
        <v>120</v>
      </c>
      <c r="E1644" t="s">
        <v>60</v>
      </c>
      <c r="F1644" t="s">
        <v>123</v>
      </c>
      <c r="G1644">
        <v>2</v>
      </c>
      <c r="H1644" t="s">
        <v>18</v>
      </c>
      <c r="I1644" t="s">
        <v>121</v>
      </c>
      <c r="J1644" t="s">
        <v>122</v>
      </c>
      <c r="K1644">
        <v>0</v>
      </c>
      <c r="L1644" s="84">
        <v>-57802</v>
      </c>
      <c r="M1644" s="84">
        <v>0</v>
      </c>
    </row>
    <row r="1645" spans="3:13" hidden="1" x14ac:dyDescent="0.25">
      <c r="C1645" t="s">
        <v>65</v>
      </c>
      <c r="D1645" t="s">
        <v>120</v>
      </c>
      <c r="E1645" t="s">
        <v>60</v>
      </c>
      <c r="F1645" t="s">
        <v>124</v>
      </c>
      <c r="G1645">
        <v>2</v>
      </c>
      <c r="H1645" t="s">
        <v>18</v>
      </c>
      <c r="I1645" t="s">
        <v>121</v>
      </c>
      <c r="J1645" t="s">
        <v>66</v>
      </c>
      <c r="K1645">
        <v>1</v>
      </c>
      <c r="L1645" s="84">
        <v>-141630</v>
      </c>
      <c r="M1645" s="84">
        <v>0</v>
      </c>
    </row>
    <row r="1646" spans="3:13" hidden="1" x14ac:dyDescent="0.25">
      <c r="C1646" t="s">
        <v>64</v>
      </c>
      <c r="D1646" t="s">
        <v>120</v>
      </c>
      <c r="E1646" t="s">
        <v>60</v>
      </c>
      <c r="F1646" t="s">
        <v>124</v>
      </c>
      <c r="G1646">
        <v>1</v>
      </c>
      <c r="H1646" t="s">
        <v>14</v>
      </c>
      <c r="I1646" t="s">
        <v>121</v>
      </c>
      <c r="J1646" t="s">
        <v>122</v>
      </c>
      <c r="K1646">
        <v>0</v>
      </c>
      <c r="L1646" s="84">
        <v>-1139030</v>
      </c>
      <c r="M1646" s="84">
        <v>0</v>
      </c>
    </row>
    <row r="1647" spans="3:13" hidden="1" x14ac:dyDescent="0.25">
      <c r="C1647" t="s">
        <v>65</v>
      </c>
      <c r="D1647" t="s">
        <v>120</v>
      </c>
      <c r="E1647" t="s">
        <v>63</v>
      </c>
      <c r="F1647" t="s">
        <v>123</v>
      </c>
      <c r="G1647">
        <v>5</v>
      </c>
      <c r="H1647" t="s">
        <v>17</v>
      </c>
      <c r="I1647" t="s">
        <v>121</v>
      </c>
      <c r="J1647" t="s">
        <v>122</v>
      </c>
      <c r="K1647">
        <v>0</v>
      </c>
      <c r="L1647" s="84">
        <v>28719</v>
      </c>
      <c r="M1647" s="84">
        <v>143595</v>
      </c>
    </row>
    <row r="1648" spans="3:13" hidden="1" x14ac:dyDescent="0.25">
      <c r="C1648" t="s">
        <v>119</v>
      </c>
      <c r="D1648" t="s">
        <v>126</v>
      </c>
      <c r="E1648" t="s">
        <v>60</v>
      </c>
      <c r="F1648" t="s">
        <v>25</v>
      </c>
      <c r="G1648">
        <v>5</v>
      </c>
      <c r="H1648" t="s">
        <v>74</v>
      </c>
      <c r="I1648" t="s">
        <v>121</v>
      </c>
      <c r="J1648" t="s">
        <v>122</v>
      </c>
      <c r="K1648">
        <v>0</v>
      </c>
      <c r="L1648" s="84">
        <v>-54761</v>
      </c>
      <c r="M1648" s="84">
        <v>0</v>
      </c>
    </row>
    <row r="1649" spans="3:13" hidden="1" x14ac:dyDescent="0.25">
      <c r="C1649" t="s">
        <v>64</v>
      </c>
      <c r="D1649" t="s">
        <v>120</v>
      </c>
      <c r="E1649" t="s">
        <v>63</v>
      </c>
      <c r="F1649" t="s">
        <v>124</v>
      </c>
      <c r="G1649">
        <v>-4</v>
      </c>
      <c r="H1649" t="s">
        <v>18</v>
      </c>
      <c r="I1649" t="s">
        <v>121</v>
      </c>
      <c r="J1649" t="s">
        <v>122</v>
      </c>
      <c r="K1649">
        <v>0</v>
      </c>
      <c r="L1649" s="84">
        <v>356762</v>
      </c>
      <c r="M1649" s="84">
        <v>0</v>
      </c>
    </row>
    <row r="1650" spans="3:13" hidden="1" x14ac:dyDescent="0.25">
      <c r="C1650" t="s">
        <v>65</v>
      </c>
      <c r="D1650" t="s">
        <v>125</v>
      </c>
      <c r="E1650" t="s">
        <v>60</v>
      </c>
      <c r="F1650" t="s">
        <v>24</v>
      </c>
      <c r="G1650">
        <v>24</v>
      </c>
      <c r="I1650" t="s">
        <v>121</v>
      </c>
      <c r="J1650" t="s">
        <v>122</v>
      </c>
      <c r="K1650">
        <v>0</v>
      </c>
      <c r="L1650" s="84">
        <v>-2354853</v>
      </c>
      <c r="M1650" s="84">
        <v>0</v>
      </c>
    </row>
    <row r="1651" spans="3:13" hidden="1" x14ac:dyDescent="0.25">
      <c r="C1651" t="s">
        <v>119</v>
      </c>
      <c r="D1651" t="s">
        <v>120</v>
      </c>
      <c r="E1651" t="s">
        <v>63</v>
      </c>
      <c r="F1651" t="s">
        <v>25</v>
      </c>
      <c r="G1651">
        <v>1</v>
      </c>
      <c r="H1651" t="s">
        <v>17</v>
      </c>
      <c r="I1651" t="s">
        <v>121</v>
      </c>
      <c r="J1651" t="s">
        <v>122</v>
      </c>
      <c r="K1651">
        <v>0</v>
      </c>
      <c r="L1651" s="84">
        <v>112279473</v>
      </c>
      <c r="M1651" s="84">
        <v>112279473</v>
      </c>
    </row>
    <row r="1652" spans="3:13" hidden="1" x14ac:dyDescent="0.25">
      <c r="C1652" t="s">
        <v>65</v>
      </c>
      <c r="D1652" t="s">
        <v>120</v>
      </c>
      <c r="E1652" t="s">
        <v>63</v>
      </c>
      <c r="F1652" t="s">
        <v>124</v>
      </c>
      <c r="G1652">
        <v>6</v>
      </c>
      <c r="H1652" t="s">
        <v>69</v>
      </c>
      <c r="I1652" t="s">
        <v>121</v>
      </c>
      <c r="J1652" t="s">
        <v>122</v>
      </c>
      <c r="K1652">
        <v>0</v>
      </c>
      <c r="L1652" s="84">
        <v>262359</v>
      </c>
      <c r="M1652" s="84">
        <v>1574154</v>
      </c>
    </row>
    <row r="1653" spans="3:13" hidden="1" x14ac:dyDescent="0.25">
      <c r="C1653" t="s">
        <v>119</v>
      </c>
      <c r="D1653" t="s">
        <v>120</v>
      </c>
      <c r="E1653" t="s">
        <v>63</v>
      </c>
      <c r="F1653" t="s">
        <v>123</v>
      </c>
      <c r="G1653">
        <v>5</v>
      </c>
      <c r="H1653" t="s">
        <v>71</v>
      </c>
      <c r="I1653" t="s">
        <v>121</v>
      </c>
      <c r="J1653" t="s">
        <v>122</v>
      </c>
      <c r="K1653">
        <v>0</v>
      </c>
      <c r="L1653" s="84">
        <v>295573</v>
      </c>
      <c r="M1653" s="84">
        <v>1477865</v>
      </c>
    </row>
    <row r="1654" spans="3:13" hidden="1" x14ac:dyDescent="0.25">
      <c r="C1654" t="s">
        <v>119</v>
      </c>
      <c r="D1654" t="s">
        <v>120</v>
      </c>
      <c r="E1654" t="s">
        <v>63</v>
      </c>
      <c r="F1654" t="s">
        <v>25</v>
      </c>
      <c r="G1654">
        <v>-1</v>
      </c>
      <c r="H1654" t="s">
        <v>18</v>
      </c>
      <c r="I1654" t="s">
        <v>121</v>
      </c>
      <c r="J1654" t="s">
        <v>122</v>
      </c>
      <c r="K1654">
        <v>0</v>
      </c>
      <c r="L1654" s="84">
        <v>2726514</v>
      </c>
      <c r="M1654" s="84">
        <v>0</v>
      </c>
    </row>
    <row r="1655" spans="3:13" hidden="1" x14ac:dyDescent="0.25">
      <c r="C1655" t="s">
        <v>64</v>
      </c>
      <c r="D1655" t="s">
        <v>120</v>
      </c>
      <c r="E1655" t="s">
        <v>63</v>
      </c>
      <c r="F1655" t="s">
        <v>124</v>
      </c>
      <c r="G1655">
        <v>1</v>
      </c>
      <c r="H1655" t="s">
        <v>75</v>
      </c>
      <c r="I1655" t="s">
        <v>121</v>
      </c>
      <c r="J1655" t="s">
        <v>122</v>
      </c>
      <c r="K1655">
        <v>0</v>
      </c>
      <c r="L1655" s="84">
        <v>5686815</v>
      </c>
      <c r="M1655" s="84">
        <v>5686815</v>
      </c>
    </row>
    <row r="1656" spans="3:13" hidden="1" x14ac:dyDescent="0.25">
      <c r="C1656" t="s">
        <v>64</v>
      </c>
      <c r="D1656" t="s">
        <v>120</v>
      </c>
      <c r="E1656" t="s">
        <v>63</v>
      </c>
      <c r="F1656" t="s">
        <v>124</v>
      </c>
      <c r="G1656">
        <v>2</v>
      </c>
      <c r="H1656" t="s">
        <v>14</v>
      </c>
      <c r="I1656" t="s">
        <v>121</v>
      </c>
      <c r="J1656" t="s">
        <v>66</v>
      </c>
      <c r="K1656">
        <v>1</v>
      </c>
      <c r="L1656" s="84">
        <v>9380047</v>
      </c>
      <c r="M1656" s="84">
        <v>18760094</v>
      </c>
    </row>
    <row r="1657" spans="3:13" hidden="1" x14ac:dyDescent="0.25">
      <c r="C1657" t="s">
        <v>119</v>
      </c>
      <c r="D1657" t="s">
        <v>125</v>
      </c>
      <c r="E1657" t="s">
        <v>63</v>
      </c>
      <c r="F1657" t="s">
        <v>24</v>
      </c>
      <c r="G1657">
        <v>34</v>
      </c>
      <c r="I1657" t="s">
        <v>121</v>
      </c>
      <c r="J1657" t="s">
        <v>122</v>
      </c>
      <c r="K1657">
        <v>0</v>
      </c>
      <c r="L1657" s="84">
        <v>1618972962</v>
      </c>
      <c r="M1657" s="84">
        <v>55045080708</v>
      </c>
    </row>
    <row r="1658" spans="3:13" hidden="1" x14ac:dyDescent="0.25">
      <c r="C1658" t="s">
        <v>119</v>
      </c>
      <c r="D1658" t="s">
        <v>120</v>
      </c>
      <c r="E1658" t="s">
        <v>63</v>
      </c>
      <c r="F1658" t="s">
        <v>124</v>
      </c>
      <c r="G1658">
        <v>10</v>
      </c>
      <c r="H1658" t="s">
        <v>67</v>
      </c>
      <c r="I1658" t="s">
        <v>121</v>
      </c>
      <c r="J1658" t="s">
        <v>122</v>
      </c>
      <c r="K1658">
        <v>0</v>
      </c>
      <c r="L1658" s="84">
        <v>87585758</v>
      </c>
      <c r="M1658" s="84">
        <v>875857580</v>
      </c>
    </row>
    <row r="1659" spans="3:13" hidden="1" x14ac:dyDescent="0.25">
      <c r="C1659" t="s">
        <v>119</v>
      </c>
      <c r="D1659" t="s">
        <v>120</v>
      </c>
      <c r="E1659" t="s">
        <v>60</v>
      </c>
      <c r="F1659" t="s">
        <v>123</v>
      </c>
      <c r="G1659">
        <v>5</v>
      </c>
      <c r="H1659" t="s">
        <v>76</v>
      </c>
      <c r="I1659" t="s">
        <v>121</v>
      </c>
      <c r="J1659" t="s">
        <v>122</v>
      </c>
      <c r="K1659">
        <v>0</v>
      </c>
      <c r="L1659" s="84">
        <v>-2660</v>
      </c>
      <c r="M1659" s="84">
        <v>0</v>
      </c>
    </row>
    <row r="1660" spans="3:13" hidden="1" x14ac:dyDescent="0.25">
      <c r="C1660" t="s">
        <v>65</v>
      </c>
      <c r="D1660" t="s">
        <v>120</v>
      </c>
      <c r="E1660" t="s">
        <v>63</v>
      </c>
      <c r="F1660" t="s">
        <v>24</v>
      </c>
      <c r="G1660">
        <v>-1</v>
      </c>
      <c r="H1660" t="s">
        <v>61</v>
      </c>
      <c r="I1660" t="s">
        <v>121</v>
      </c>
      <c r="J1660" t="s">
        <v>122</v>
      </c>
      <c r="K1660">
        <v>0</v>
      </c>
      <c r="L1660" s="84">
        <v>18265</v>
      </c>
      <c r="M1660" s="84">
        <v>0</v>
      </c>
    </row>
    <row r="1661" spans="3:13" hidden="1" x14ac:dyDescent="0.25">
      <c r="C1661" t="s">
        <v>64</v>
      </c>
      <c r="D1661" t="s">
        <v>120</v>
      </c>
      <c r="E1661" t="s">
        <v>63</v>
      </c>
      <c r="F1661" t="s">
        <v>123</v>
      </c>
      <c r="G1661">
        <v>6</v>
      </c>
      <c r="H1661" t="s">
        <v>75</v>
      </c>
      <c r="I1661" t="s">
        <v>62</v>
      </c>
      <c r="J1661" t="s">
        <v>122</v>
      </c>
      <c r="K1661">
        <v>1</v>
      </c>
      <c r="L1661" s="84">
        <v>10445</v>
      </c>
      <c r="M1661" s="84">
        <v>62670</v>
      </c>
    </row>
    <row r="1662" spans="3:13" hidden="1" x14ac:dyDescent="0.25">
      <c r="C1662" t="s">
        <v>119</v>
      </c>
      <c r="D1662" t="s">
        <v>120</v>
      </c>
      <c r="E1662" t="s">
        <v>60</v>
      </c>
      <c r="F1662" t="s">
        <v>123</v>
      </c>
      <c r="G1662">
        <v>4</v>
      </c>
      <c r="H1662" t="s">
        <v>13</v>
      </c>
      <c r="I1662" t="s">
        <v>121</v>
      </c>
      <c r="J1662" t="s">
        <v>122</v>
      </c>
      <c r="K1662">
        <v>0</v>
      </c>
      <c r="L1662" s="84">
        <v>-621</v>
      </c>
      <c r="M1662" s="84">
        <v>0</v>
      </c>
    </row>
    <row r="1663" spans="3:13" hidden="1" x14ac:dyDescent="0.25">
      <c r="C1663" t="s">
        <v>64</v>
      </c>
      <c r="D1663" t="s">
        <v>120</v>
      </c>
      <c r="E1663" t="s">
        <v>60</v>
      </c>
      <c r="F1663" t="s">
        <v>25</v>
      </c>
      <c r="G1663">
        <v>4</v>
      </c>
      <c r="H1663" t="s">
        <v>76</v>
      </c>
      <c r="I1663" t="s">
        <v>121</v>
      </c>
      <c r="J1663" t="s">
        <v>122</v>
      </c>
      <c r="K1663">
        <v>0</v>
      </c>
      <c r="L1663" s="84">
        <v>-590</v>
      </c>
      <c r="M1663" s="84">
        <v>0</v>
      </c>
    </row>
    <row r="1664" spans="3:13" hidden="1" x14ac:dyDescent="0.25">
      <c r="C1664" t="s">
        <v>65</v>
      </c>
      <c r="D1664" t="s">
        <v>120</v>
      </c>
      <c r="E1664" t="s">
        <v>63</v>
      </c>
      <c r="F1664" t="s">
        <v>124</v>
      </c>
      <c r="G1664">
        <v>7</v>
      </c>
      <c r="H1664" t="s">
        <v>70</v>
      </c>
      <c r="I1664" t="s">
        <v>121</v>
      </c>
      <c r="J1664" t="s">
        <v>122</v>
      </c>
      <c r="K1664">
        <v>0</v>
      </c>
      <c r="L1664" s="84">
        <v>32913</v>
      </c>
      <c r="M1664" s="84">
        <v>230391</v>
      </c>
    </row>
    <row r="1665" spans="3:13" hidden="1" x14ac:dyDescent="0.25">
      <c r="C1665" t="s">
        <v>119</v>
      </c>
      <c r="D1665" t="s">
        <v>120</v>
      </c>
      <c r="E1665" t="s">
        <v>63</v>
      </c>
      <c r="F1665" t="s">
        <v>123</v>
      </c>
      <c r="G1665">
        <v>-4</v>
      </c>
      <c r="H1665" t="s">
        <v>14</v>
      </c>
      <c r="I1665" t="s">
        <v>121</v>
      </c>
      <c r="J1665" t="s">
        <v>122</v>
      </c>
      <c r="K1665">
        <v>0</v>
      </c>
      <c r="L1665" s="84">
        <v>240</v>
      </c>
      <c r="M1665" s="84">
        <v>0</v>
      </c>
    </row>
    <row r="1666" spans="3:13" hidden="1" x14ac:dyDescent="0.25">
      <c r="C1666" t="s">
        <v>64</v>
      </c>
      <c r="D1666" t="s">
        <v>120</v>
      </c>
      <c r="E1666" t="s">
        <v>60</v>
      </c>
      <c r="F1666" t="s">
        <v>24</v>
      </c>
      <c r="G1666">
        <v>-4</v>
      </c>
      <c r="H1666" t="s">
        <v>72</v>
      </c>
      <c r="I1666" t="s">
        <v>121</v>
      </c>
      <c r="J1666" t="s">
        <v>122</v>
      </c>
      <c r="K1666">
        <v>0</v>
      </c>
      <c r="L1666" s="84">
        <v>0</v>
      </c>
      <c r="M1666" s="84">
        <v>0</v>
      </c>
    </row>
    <row r="1667" spans="3:13" hidden="1" x14ac:dyDescent="0.25">
      <c r="C1667" t="s">
        <v>64</v>
      </c>
      <c r="D1667" t="s">
        <v>120</v>
      </c>
      <c r="E1667" t="s">
        <v>60</v>
      </c>
      <c r="F1667" t="s">
        <v>124</v>
      </c>
      <c r="G1667">
        <v>4</v>
      </c>
      <c r="H1667" t="s">
        <v>14</v>
      </c>
      <c r="I1667" t="s">
        <v>121</v>
      </c>
      <c r="J1667" t="s">
        <v>122</v>
      </c>
      <c r="K1667">
        <v>0</v>
      </c>
      <c r="L1667" s="84">
        <v>-322413</v>
      </c>
      <c r="M1667" s="84">
        <v>0</v>
      </c>
    </row>
    <row r="1668" spans="3:13" hidden="1" x14ac:dyDescent="0.25">
      <c r="C1668" t="s">
        <v>119</v>
      </c>
      <c r="D1668" t="s">
        <v>120</v>
      </c>
      <c r="E1668" t="s">
        <v>60</v>
      </c>
      <c r="F1668" t="s">
        <v>25</v>
      </c>
      <c r="G1668">
        <v>4</v>
      </c>
      <c r="H1668" t="s">
        <v>73</v>
      </c>
      <c r="I1668" t="s">
        <v>121</v>
      </c>
      <c r="J1668" t="s">
        <v>122</v>
      </c>
      <c r="K1668">
        <v>0</v>
      </c>
      <c r="L1668" s="84">
        <v>-306</v>
      </c>
      <c r="M1668" s="84">
        <v>0</v>
      </c>
    </row>
    <row r="1669" spans="3:13" hidden="1" x14ac:dyDescent="0.25">
      <c r="C1669" t="s">
        <v>119</v>
      </c>
      <c r="D1669" t="s">
        <v>120</v>
      </c>
      <c r="E1669" t="s">
        <v>63</v>
      </c>
      <c r="F1669" t="s">
        <v>24</v>
      </c>
      <c r="G1669">
        <v>7</v>
      </c>
      <c r="H1669" t="s">
        <v>14</v>
      </c>
      <c r="I1669" t="s">
        <v>121</v>
      </c>
      <c r="J1669" t="s">
        <v>122</v>
      </c>
      <c r="K1669">
        <v>0</v>
      </c>
      <c r="L1669" s="84">
        <v>130655</v>
      </c>
      <c r="M1669" s="84">
        <v>914585</v>
      </c>
    </row>
    <row r="1670" spans="3:13" hidden="1" x14ac:dyDescent="0.25">
      <c r="C1670" t="s">
        <v>65</v>
      </c>
      <c r="D1670" t="s">
        <v>120</v>
      </c>
      <c r="E1670" t="s">
        <v>63</v>
      </c>
      <c r="F1670" t="s">
        <v>124</v>
      </c>
      <c r="G1670">
        <v>10</v>
      </c>
      <c r="H1670" t="s">
        <v>18</v>
      </c>
      <c r="I1670" t="s">
        <v>121</v>
      </c>
      <c r="J1670" t="s">
        <v>122</v>
      </c>
      <c r="K1670">
        <v>0</v>
      </c>
      <c r="L1670" s="84">
        <v>371342</v>
      </c>
      <c r="M1670" s="84">
        <v>3713420</v>
      </c>
    </row>
    <row r="1671" spans="3:13" hidden="1" x14ac:dyDescent="0.25">
      <c r="C1671" t="s">
        <v>119</v>
      </c>
      <c r="D1671" t="s">
        <v>120</v>
      </c>
      <c r="E1671" t="s">
        <v>63</v>
      </c>
      <c r="F1671" t="s">
        <v>124</v>
      </c>
      <c r="G1671">
        <v>8</v>
      </c>
      <c r="H1671" t="s">
        <v>61</v>
      </c>
      <c r="I1671" t="s">
        <v>121</v>
      </c>
      <c r="J1671" t="s">
        <v>122</v>
      </c>
      <c r="K1671">
        <v>0</v>
      </c>
      <c r="L1671" s="84">
        <v>250260</v>
      </c>
      <c r="M1671" s="84">
        <v>2002080</v>
      </c>
    </row>
    <row r="1672" spans="3:13" hidden="1" x14ac:dyDescent="0.25">
      <c r="C1672" t="s">
        <v>64</v>
      </c>
      <c r="D1672" t="s">
        <v>120</v>
      </c>
      <c r="E1672" t="s">
        <v>63</v>
      </c>
      <c r="F1672" t="s">
        <v>123</v>
      </c>
      <c r="G1672">
        <v>-1</v>
      </c>
      <c r="H1672" t="s">
        <v>67</v>
      </c>
      <c r="I1672" t="s">
        <v>121</v>
      </c>
      <c r="J1672" t="s">
        <v>122</v>
      </c>
      <c r="K1672">
        <v>0</v>
      </c>
      <c r="L1672" s="84">
        <v>193020</v>
      </c>
      <c r="M1672" s="84">
        <v>0</v>
      </c>
    </row>
    <row r="1673" spans="3:13" hidden="1" x14ac:dyDescent="0.25">
      <c r="C1673" t="s">
        <v>119</v>
      </c>
      <c r="D1673" t="s">
        <v>120</v>
      </c>
      <c r="E1673" t="s">
        <v>63</v>
      </c>
      <c r="F1673" t="s">
        <v>123</v>
      </c>
      <c r="G1673">
        <v>0</v>
      </c>
      <c r="H1673" t="s">
        <v>70</v>
      </c>
      <c r="I1673" t="s">
        <v>121</v>
      </c>
      <c r="J1673" t="s">
        <v>122</v>
      </c>
      <c r="K1673">
        <v>0</v>
      </c>
      <c r="L1673" s="84">
        <v>27229</v>
      </c>
      <c r="M1673" s="84">
        <v>0</v>
      </c>
    </row>
    <row r="1674" spans="3:13" hidden="1" x14ac:dyDescent="0.25">
      <c r="C1674" t="s">
        <v>65</v>
      </c>
      <c r="D1674" t="s">
        <v>125</v>
      </c>
      <c r="E1674" t="s">
        <v>63</v>
      </c>
      <c r="F1674" t="s">
        <v>24</v>
      </c>
      <c r="G1674">
        <v>8</v>
      </c>
      <c r="I1674" t="s">
        <v>121</v>
      </c>
      <c r="J1674" t="s">
        <v>122</v>
      </c>
      <c r="K1674">
        <v>0</v>
      </c>
      <c r="L1674" s="84">
        <v>2966254</v>
      </c>
      <c r="M1674" s="84">
        <v>23730032</v>
      </c>
    </row>
    <row r="1675" spans="3:13" hidden="1" x14ac:dyDescent="0.25">
      <c r="C1675" t="s">
        <v>64</v>
      </c>
      <c r="D1675" t="s">
        <v>120</v>
      </c>
      <c r="E1675" t="s">
        <v>63</v>
      </c>
      <c r="F1675" t="s">
        <v>124</v>
      </c>
      <c r="G1675">
        <v>8</v>
      </c>
      <c r="H1675" t="s">
        <v>14</v>
      </c>
      <c r="I1675" t="s">
        <v>121</v>
      </c>
      <c r="J1675" t="s">
        <v>66</v>
      </c>
      <c r="K1675">
        <v>1</v>
      </c>
      <c r="L1675" s="84">
        <v>634117</v>
      </c>
      <c r="M1675" s="84">
        <v>5072936</v>
      </c>
    </row>
    <row r="1676" spans="3:13" hidden="1" x14ac:dyDescent="0.25">
      <c r="C1676" t="s">
        <v>119</v>
      </c>
      <c r="D1676" t="s">
        <v>120</v>
      </c>
      <c r="E1676" t="s">
        <v>63</v>
      </c>
      <c r="F1676" t="s">
        <v>24</v>
      </c>
      <c r="G1676">
        <v>7</v>
      </c>
      <c r="H1676" t="s">
        <v>14</v>
      </c>
      <c r="I1676" t="s">
        <v>121</v>
      </c>
      <c r="J1676" t="s">
        <v>66</v>
      </c>
      <c r="K1676">
        <v>1</v>
      </c>
      <c r="L1676" s="84">
        <v>367652</v>
      </c>
      <c r="M1676" s="84">
        <v>2573564</v>
      </c>
    </row>
    <row r="1677" spans="3:13" hidden="1" x14ac:dyDescent="0.25">
      <c r="C1677" t="s">
        <v>64</v>
      </c>
      <c r="D1677" t="s">
        <v>120</v>
      </c>
      <c r="E1677" t="s">
        <v>63</v>
      </c>
      <c r="F1677" t="s">
        <v>123</v>
      </c>
      <c r="G1677">
        <v>5</v>
      </c>
      <c r="H1677" t="s">
        <v>18</v>
      </c>
      <c r="I1677" t="s">
        <v>121</v>
      </c>
      <c r="J1677" t="s">
        <v>66</v>
      </c>
      <c r="K1677">
        <v>1</v>
      </c>
      <c r="L1677" s="84">
        <v>77599</v>
      </c>
      <c r="M1677" s="84">
        <v>387995</v>
      </c>
    </row>
    <row r="1678" spans="3:13" hidden="1" x14ac:dyDescent="0.25">
      <c r="C1678" t="s">
        <v>64</v>
      </c>
      <c r="D1678" t="s">
        <v>120</v>
      </c>
      <c r="E1678" t="s">
        <v>63</v>
      </c>
      <c r="F1678" t="s">
        <v>123</v>
      </c>
      <c r="G1678">
        <v>4</v>
      </c>
      <c r="H1678" t="s">
        <v>61</v>
      </c>
      <c r="I1678" t="s">
        <v>121</v>
      </c>
      <c r="J1678" t="s">
        <v>122</v>
      </c>
      <c r="K1678">
        <v>0</v>
      </c>
      <c r="L1678" s="84">
        <v>702216</v>
      </c>
      <c r="M1678" s="84">
        <v>2808864</v>
      </c>
    </row>
    <row r="1679" spans="3:13" hidden="1" x14ac:dyDescent="0.25">
      <c r="C1679" t="s">
        <v>119</v>
      </c>
      <c r="D1679" t="s">
        <v>120</v>
      </c>
      <c r="E1679" t="s">
        <v>63</v>
      </c>
      <c r="F1679" t="s">
        <v>25</v>
      </c>
      <c r="G1679">
        <v>6</v>
      </c>
      <c r="H1679" t="s">
        <v>12</v>
      </c>
      <c r="I1679" t="s">
        <v>121</v>
      </c>
      <c r="J1679" t="s">
        <v>122</v>
      </c>
      <c r="K1679">
        <v>0</v>
      </c>
      <c r="L1679" s="84">
        <v>70591</v>
      </c>
      <c r="M1679" s="84">
        <v>423546</v>
      </c>
    </row>
    <row r="1680" spans="3:13" hidden="1" x14ac:dyDescent="0.25">
      <c r="C1680" t="s">
        <v>119</v>
      </c>
      <c r="D1680" t="s">
        <v>120</v>
      </c>
      <c r="E1680" t="s">
        <v>63</v>
      </c>
      <c r="F1680" t="s">
        <v>123</v>
      </c>
      <c r="G1680">
        <v>9</v>
      </c>
      <c r="H1680" t="s">
        <v>67</v>
      </c>
      <c r="I1680" t="s">
        <v>121</v>
      </c>
      <c r="J1680" t="s">
        <v>122</v>
      </c>
      <c r="K1680">
        <v>0</v>
      </c>
      <c r="L1680" s="84">
        <v>673187</v>
      </c>
      <c r="M1680" s="84">
        <v>6058683</v>
      </c>
    </row>
    <row r="1681" spans="3:13" hidden="1" x14ac:dyDescent="0.25">
      <c r="C1681" t="s">
        <v>65</v>
      </c>
      <c r="D1681" t="s">
        <v>120</v>
      </c>
      <c r="E1681" t="s">
        <v>63</v>
      </c>
      <c r="F1681" t="s">
        <v>25</v>
      </c>
      <c r="G1681">
        <v>3</v>
      </c>
      <c r="H1681" t="s">
        <v>14</v>
      </c>
      <c r="I1681" t="s">
        <v>121</v>
      </c>
      <c r="J1681" t="s">
        <v>122</v>
      </c>
      <c r="K1681">
        <v>0</v>
      </c>
      <c r="L1681" s="84">
        <v>1423460</v>
      </c>
      <c r="M1681" s="84">
        <v>4270380</v>
      </c>
    </row>
    <row r="1682" spans="3:13" hidden="1" x14ac:dyDescent="0.25">
      <c r="C1682" t="s">
        <v>65</v>
      </c>
      <c r="D1682" t="s">
        <v>120</v>
      </c>
      <c r="E1682" t="s">
        <v>60</v>
      </c>
      <c r="F1682" t="s">
        <v>24</v>
      </c>
      <c r="G1682">
        <v>0</v>
      </c>
      <c r="H1682" t="s">
        <v>14</v>
      </c>
      <c r="I1682" t="s">
        <v>121</v>
      </c>
      <c r="J1682" t="s">
        <v>66</v>
      </c>
      <c r="K1682">
        <v>1</v>
      </c>
      <c r="L1682" s="84">
        <v>-269744</v>
      </c>
      <c r="M1682" s="84">
        <v>0</v>
      </c>
    </row>
    <row r="1683" spans="3:13" hidden="1" x14ac:dyDescent="0.25">
      <c r="C1683" t="s">
        <v>119</v>
      </c>
      <c r="D1683" t="s">
        <v>120</v>
      </c>
      <c r="E1683" t="s">
        <v>63</v>
      </c>
      <c r="F1683" t="s">
        <v>124</v>
      </c>
      <c r="G1683">
        <v>5</v>
      </c>
      <c r="H1683" t="s">
        <v>12</v>
      </c>
      <c r="I1683" t="s">
        <v>62</v>
      </c>
      <c r="J1683" t="s">
        <v>66</v>
      </c>
      <c r="K1683">
        <v>1</v>
      </c>
      <c r="L1683" s="84">
        <v>115361</v>
      </c>
      <c r="M1683" s="84">
        <v>576805</v>
      </c>
    </row>
    <row r="1684" spans="3:13" hidden="1" x14ac:dyDescent="0.25">
      <c r="C1684" t="s">
        <v>65</v>
      </c>
      <c r="D1684" t="s">
        <v>120</v>
      </c>
      <c r="E1684" t="s">
        <v>60</v>
      </c>
      <c r="F1684" t="s">
        <v>25</v>
      </c>
      <c r="G1684">
        <v>-4</v>
      </c>
      <c r="H1684" t="s">
        <v>16</v>
      </c>
      <c r="I1684" t="s">
        <v>121</v>
      </c>
      <c r="J1684" t="s">
        <v>122</v>
      </c>
      <c r="K1684">
        <v>0</v>
      </c>
      <c r="L1684" s="84">
        <v>-35</v>
      </c>
      <c r="M1684" s="84">
        <v>0</v>
      </c>
    </row>
    <row r="1685" spans="3:13" hidden="1" x14ac:dyDescent="0.25">
      <c r="C1685" t="s">
        <v>65</v>
      </c>
      <c r="D1685" t="s">
        <v>125</v>
      </c>
      <c r="E1685" t="s">
        <v>60</v>
      </c>
      <c r="F1685" t="s">
        <v>25</v>
      </c>
      <c r="G1685">
        <v>2</v>
      </c>
      <c r="I1685" t="s">
        <v>121</v>
      </c>
      <c r="J1685" t="s">
        <v>122</v>
      </c>
      <c r="K1685">
        <v>0</v>
      </c>
      <c r="L1685" s="84">
        <v>-55969</v>
      </c>
      <c r="M1685" s="84">
        <v>0</v>
      </c>
    </row>
    <row r="1686" spans="3:13" x14ac:dyDescent="0.25">
      <c r="C1686" t="s">
        <v>119</v>
      </c>
      <c r="D1686" t="s">
        <v>120</v>
      </c>
      <c r="E1686" t="s">
        <v>63</v>
      </c>
      <c r="F1686" t="s">
        <v>25</v>
      </c>
      <c r="G1686">
        <v>6</v>
      </c>
      <c r="H1686" t="s">
        <v>12</v>
      </c>
      <c r="I1686" t="s">
        <v>121</v>
      </c>
      <c r="J1686" t="s">
        <v>66</v>
      </c>
      <c r="K1686">
        <v>1</v>
      </c>
      <c r="L1686" s="84">
        <v>6220471</v>
      </c>
      <c r="M1686" s="84">
        <v>37322826</v>
      </c>
    </row>
    <row r="1687" spans="3:13" hidden="1" x14ac:dyDescent="0.25">
      <c r="C1687" t="s">
        <v>64</v>
      </c>
      <c r="D1687" t="s">
        <v>120</v>
      </c>
      <c r="E1687" t="s">
        <v>60</v>
      </c>
      <c r="F1687" t="s">
        <v>124</v>
      </c>
      <c r="G1687">
        <v>-4</v>
      </c>
      <c r="H1687" t="s">
        <v>69</v>
      </c>
      <c r="I1687" t="s">
        <v>121</v>
      </c>
      <c r="J1687" t="s">
        <v>122</v>
      </c>
      <c r="K1687">
        <v>0</v>
      </c>
      <c r="L1687" s="84">
        <v>-4</v>
      </c>
      <c r="M1687" s="84">
        <v>0</v>
      </c>
    </row>
    <row r="1688" spans="3:13" hidden="1" x14ac:dyDescent="0.25">
      <c r="C1688" t="s">
        <v>119</v>
      </c>
      <c r="D1688" t="s">
        <v>120</v>
      </c>
      <c r="E1688" t="s">
        <v>60</v>
      </c>
      <c r="F1688" t="s">
        <v>123</v>
      </c>
      <c r="G1688">
        <v>2</v>
      </c>
      <c r="H1688" t="s">
        <v>15</v>
      </c>
      <c r="I1688" t="s">
        <v>121</v>
      </c>
      <c r="J1688" t="s">
        <v>122</v>
      </c>
      <c r="K1688">
        <v>0</v>
      </c>
      <c r="L1688" s="84">
        <v>-1537</v>
      </c>
      <c r="M1688" s="84">
        <v>0</v>
      </c>
    </row>
    <row r="1689" spans="3:13" hidden="1" x14ac:dyDescent="0.25">
      <c r="C1689" t="s">
        <v>65</v>
      </c>
      <c r="D1689" t="s">
        <v>120</v>
      </c>
      <c r="E1689" t="s">
        <v>60</v>
      </c>
      <c r="F1689" t="s">
        <v>124</v>
      </c>
      <c r="G1689">
        <v>10</v>
      </c>
      <c r="H1689" t="s">
        <v>18</v>
      </c>
      <c r="I1689" t="s">
        <v>121</v>
      </c>
      <c r="J1689" t="s">
        <v>122</v>
      </c>
      <c r="K1689">
        <v>0</v>
      </c>
      <c r="L1689" s="84">
        <v>-182714</v>
      </c>
      <c r="M1689" s="84">
        <v>0</v>
      </c>
    </row>
    <row r="1690" spans="3:13" hidden="1" x14ac:dyDescent="0.25">
      <c r="C1690" t="s">
        <v>64</v>
      </c>
      <c r="D1690" t="s">
        <v>120</v>
      </c>
      <c r="E1690" t="s">
        <v>60</v>
      </c>
      <c r="F1690" t="s">
        <v>123</v>
      </c>
      <c r="G1690">
        <v>0</v>
      </c>
      <c r="H1690" t="s">
        <v>61</v>
      </c>
      <c r="I1690" t="s">
        <v>121</v>
      </c>
      <c r="J1690" t="s">
        <v>122</v>
      </c>
      <c r="K1690">
        <v>0</v>
      </c>
      <c r="L1690" s="84">
        <v>-1898</v>
      </c>
      <c r="M1690" s="84">
        <v>0</v>
      </c>
    </row>
    <row r="1691" spans="3:13" hidden="1" x14ac:dyDescent="0.25">
      <c r="C1691" t="s">
        <v>65</v>
      </c>
      <c r="D1691" t="s">
        <v>120</v>
      </c>
      <c r="E1691" t="s">
        <v>63</v>
      </c>
      <c r="F1691" t="s">
        <v>124</v>
      </c>
      <c r="G1691">
        <v>3</v>
      </c>
      <c r="H1691" t="s">
        <v>76</v>
      </c>
      <c r="I1691" t="s">
        <v>121</v>
      </c>
      <c r="J1691" t="s">
        <v>122</v>
      </c>
      <c r="K1691">
        <v>0</v>
      </c>
      <c r="L1691" s="84">
        <v>112535</v>
      </c>
      <c r="M1691" s="84">
        <v>337605</v>
      </c>
    </row>
    <row r="1692" spans="3:13" hidden="1" x14ac:dyDescent="0.25">
      <c r="C1692" t="s">
        <v>119</v>
      </c>
      <c r="D1692" t="s">
        <v>120</v>
      </c>
      <c r="E1692" t="s">
        <v>63</v>
      </c>
      <c r="F1692" t="s">
        <v>124</v>
      </c>
      <c r="G1692">
        <v>0</v>
      </c>
      <c r="H1692" t="s">
        <v>73</v>
      </c>
      <c r="I1692" t="s">
        <v>121</v>
      </c>
      <c r="J1692" t="s">
        <v>122</v>
      </c>
      <c r="K1692">
        <v>0</v>
      </c>
      <c r="L1692" s="84">
        <v>2046180</v>
      </c>
      <c r="M1692" s="84">
        <v>0</v>
      </c>
    </row>
    <row r="1693" spans="3:13" hidden="1" x14ac:dyDescent="0.25">
      <c r="C1693" t="s">
        <v>119</v>
      </c>
      <c r="D1693" t="s">
        <v>120</v>
      </c>
      <c r="E1693" t="s">
        <v>63</v>
      </c>
      <c r="F1693" t="s">
        <v>124</v>
      </c>
      <c r="G1693">
        <v>11</v>
      </c>
      <c r="H1693" t="s">
        <v>69</v>
      </c>
      <c r="I1693" t="s">
        <v>121</v>
      </c>
      <c r="J1693" t="s">
        <v>122</v>
      </c>
      <c r="K1693">
        <v>0</v>
      </c>
      <c r="L1693" s="84">
        <v>2418842</v>
      </c>
      <c r="M1693" s="84">
        <v>26607262</v>
      </c>
    </row>
    <row r="1694" spans="3:13" x14ac:dyDescent="0.25">
      <c r="C1694" t="s">
        <v>65</v>
      </c>
      <c r="D1694" t="s">
        <v>120</v>
      </c>
      <c r="E1694" t="s">
        <v>63</v>
      </c>
      <c r="F1694" t="s">
        <v>25</v>
      </c>
      <c r="G1694">
        <v>7</v>
      </c>
      <c r="H1694" t="s">
        <v>18</v>
      </c>
      <c r="I1694" t="s">
        <v>121</v>
      </c>
      <c r="J1694" t="s">
        <v>66</v>
      </c>
      <c r="K1694">
        <v>1</v>
      </c>
      <c r="L1694" s="84">
        <v>405480</v>
      </c>
      <c r="M1694" s="84">
        <v>2838360</v>
      </c>
    </row>
    <row r="1695" spans="3:13" hidden="1" x14ac:dyDescent="0.25">
      <c r="C1695" t="s">
        <v>119</v>
      </c>
      <c r="D1695" t="s">
        <v>126</v>
      </c>
      <c r="E1695" t="s">
        <v>63</v>
      </c>
      <c r="F1695" t="s">
        <v>25</v>
      </c>
      <c r="G1695">
        <v>5</v>
      </c>
      <c r="H1695" t="s">
        <v>68</v>
      </c>
      <c r="I1695" t="s">
        <v>121</v>
      </c>
      <c r="J1695" t="s">
        <v>122</v>
      </c>
      <c r="K1695">
        <v>0</v>
      </c>
      <c r="L1695" s="84">
        <v>1881205</v>
      </c>
      <c r="M1695" s="84">
        <v>9406025</v>
      </c>
    </row>
    <row r="1696" spans="3:13" hidden="1" x14ac:dyDescent="0.25">
      <c r="C1696" t="s">
        <v>65</v>
      </c>
      <c r="D1696" t="s">
        <v>120</v>
      </c>
      <c r="E1696" t="s">
        <v>63</v>
      </c>
      <c r="F1696" t="s">
        <v>124</v>
      </c>
      <c r="G1696">
        <v>-1</v>
      </c>
      <c r="H1696" t="s">
        <v>61</v>
      </c>
      <c r="I1696" t="s">
        <v>121</v>
      </c>
      <c r="J1696" t="s">
        <v>122</v>
      </c>
      <c r="K1696">
        <v>0</v>
      </c>
      <c r="L1696" s="84">
        <v>1545234</v>
      </c>
      <c r="M1696" s="84">
        <v>0</v>
      </c>
    </row>
    <row r="1697" spans="3:13" hidden="1" x14ac:dyDescent="0.25">
      <c r="C1697" t="s">
        <v>119</v>
      </c>
      <c r="D1697" t="s">
        <v>120</v>
      </c>
      <c r="E1697" t="s">
        <v>63</v>
      </c>
      <c r="F1697" t="s">
        <v>24</v>
      </c>
      <c r="G1697">
        <v>0</v>
      </c>
      <c r="H1697" t="s">
        <v>17</v>
      </c>
      <c r="I1697" t="s">
        <v>121</v>
      </c>
      <c r="J1697" t="s">
        <v>66</v>
      </c>
      <c r="K1697">
        <v>1</v>
      </c>
      <c r="L1697" s="84">
        <v>18691</v>
      </c>
      <c r="M1697" s="84">
        <v>0</v>
      </c>
    </row>
    <row r="1698" spans="3:13" hidden="1" x14ac:dyDescent="0.25">
      <c r="C1698" t="s">
        <v>119</v>
      </c>
      <c r="D1698" t="s">
        <v>125</v>
      </c>
      <c r="E1698" t="s">
        <v>60</v>
      </c>
      <c r="F1698" t="s">
        <v>24</v>
      </c>
      <c r="G1698">
        <v>18</v>
      </c>
      <c r="I1698" t="s">
        <v>121</v>
      </c>
      <c r="J1698" t="s">
        <v>122</v>
      </c>
      <c r="K1698">
        <v>0</v>
      </c>
      <c r="L1698" s="84">
        <v>-186504</v>
      </c>
      <c r="M1698" s="84">
        <v>0</v>
      </c>
    </row>
    <row r="1699" spans="3:13" hidden="1" x14ac:dyDescent="0.25">
      <c r="C1699" t="s">
        <v>65</v>
      </c>
      <c r="D1699" t="s">
        <v>120</v>
      </c>
      <c r="E1699" t="s">
        <v>63</v>
      </c>
      <c r="F1699" t="s">
        <v>25</v>
      </c>
      <c r="G1699">
        <v>6</v>
      </c>
      <c r="H1699" t="s">
        <v>18</v>
      </c>
      <c r="I1699" t="s">
        <v>121</v>
      </c>
      <c r="J1699" t="s">
        <v>122</v>
      </c>
      <c r="K1699">
        <v>0</v>
      </c>
      <c r="L1699" s="84">
        <v>1095825</v>
      </c>
      <c r="M1699" s="84">
        <v>6574950</v>
      </c>
    </row>
    <row r="1700" spans="3:13" hidden="1" x14ac:dyDescent="0.25">
      <c r="C1700" t="s">
        <v>119</v>
      </c>
      <c r="D1700" t="s">
        <v>120</v>
      </c>
      <c r="E1700" t="s">
        <v>63</v>
      </c>
      <c r="F1700" t="s">
        <v>124</v>
      </c>
      <c r="G1700">
        <v>5</v>
      </c>
      <c r="H1700" t="s">
        <v>75</v>
      </c>
      <c r="I1700" t="s">
        <v>121</v>
      </c>
      <c r="J1700" t="s">
        <v>122</v>
      </c>
      <c r="K1700">
        <v>0</v>
      </c>
      <c r="L1700" s="84">
        <v>10135285</v>
      </c>
      <c r="M1700" s="84">
        <v>50676425</v>
      </c>
    </row>
    <row r="1701" spans="3:13" hidden="1" x14ac:dyDescent="0.25">
      <c r="C1701" t="s">
        <v>64</v>
      </c>
      <c r="D1701" t="s">
        <v>120</v>
      </c>
      <c r="E1701" t="s">
        <v>60</v>
      </c>
      <c r="F1701" t="s">
        <v>123</v>
      </c>
      <c r="G1701">
        <v>3</v>
      </c>
      <c r="H1701" t="s">
        <v>13</v>
      </c>
      <c r="I1701" t="s">
        <v>121</v>
      </c>
      <c r="J1701" t="s">
        <v>122</v>
      </c>
      <c r="K1701">
        <v>0</v>
      </c>
      <c r="L1701" s="84">
        <v>-4485</v>
      </c>
      <c r="M1701" s="84">
        <v>0</v>
      </c>
    </row>
    <row r="1702" spans="3:13" hidden="1" x14ac:dyDescent="0.25">
      <c r="C1702" t="s">
        <v>64</v>
      </c>
      <c r="D1702" t="s">
        <v>125</v>
      </c>
      <c r="E1702" t="s">
        <v>63</v>
      </c>
      <c r="F1702" t="s">
        <v>25</v>
      </c>
      <c r="G1702">
        <v>13</v>
      </c>
      <c r="I1702" t="s">
        <v>121</v>
      </c>
      <c r="J1702" t="s">
        <v>122</v>
      </c>
      <c r="K1702">
        <v>0</v>
      </c>
      <c r="L1702" s="84">
        <v>16026</v>
      </c>
      <c r="M1702" s="84">
        <v>208338</v>
      </c>
    </row>
    <row r="1703" spans="3:13" hidden="1" x14ac:dyDescent="0.25">
      <c r="C1703" t="s">
        <v>119</v>
      </c>
      <c r="D1703" t="s">
        <v>120</v>
      </c>
      <c r="E1703" t="s">
        <v>63</v>
      </c>
      <c r="F1703" t="s">
        <v>123</v>
      </c>
      <c r="G1703">
        <v>4</v>
      </c>
      <c r="H1703" t="s">
        <v>18</v>
      </c>
      <c r="I1703" t="s">
        <v>121</v>
      </c>
      <c r="J1703" t="s">
        <v>66</v>
      </c>
      <c r="K1703">
        <v>1</v>
      </c>
      <c r="L1703" s="84">
        <v>1090023</v>
      </c>
      <c r="M1703" s="84">
        <v>4360092</v>
      </c>
    </row>
    <row r="1704" spans="3:13" hidden="1" x14ac:dyDescent="0.25">
      <c r="C1704" t="s">
        <v>65</v>
      </c>
      <c r="D1704" t="s">
        <v>120</v>
      </c>
      <c r="E1704" t="s">
        <v>63</v>
      </c>
      <c r="F1704" t="s">
        <v>124</v>
      </c>
      <c r="G1704">
        <v>18</v>
      </c>
      <c r="H1704" t="s">
        <v>16</v>
      </c>
      <c r="I1704" t="s">
        <v>121</v>
      </c>
      <c r="J1704" t="s">
        <v>122</v>
      </c>
      <c r="K1704">
        <v>0</v>
      </c>
      <c r="L1704" s="84">
        <v>194883</v>
      </c>
      <c r="M1704" s="84">
        <v>3507894</v>
      </c>
    </row>
    <row r="1705" spans="3:13" hidden="1" x14ac:dyDescent="0.25">
      <c r="C1705" t="s">
        <v>65</v>
      </c>
      <c r="D1705" t="s">
        <v>120</v>
      </c>
      <c r="E1705" t="s">
        <v>60</v>
      </c>
      <c r="F1705" t="s">
        <v>124</v>
      </c>
      <c r="G1705">
        <v>-4</v>
      </c>
      <c r="H1705" t="s">
        <v>17</v>
      </c>
      <c r="I1705" t="s">
        <v>62</v>
      </c>
      <c r="J1705" t="s">
        <v>122</v>
      </c>
      <c r="K1705">
        <v>1</v>
      </c>
      <c r="L1705" s="84">
        <v>-5551</v>
      </c>
      <c r="M1705" s="84">
        <v>0</v>
      </c>
    </row>
    <row r="1706" spans="3:13" hidden="1" x14ac:dyDescent="0.25">
      <c r="C1706" t="s">
        <v>64</v>
      </c>
      <c r="D1706" t="s">
        <v>125</v>
      </c>
      <c r="E1706" t="s">
        <v>63</v>
      </c>
      <c r="F1706" t="s">
        <v>24</v>
      </c>
      <c r="G1706">
        <v>27</v>
      </c>
      <c r="I1706" t="s">
        <v>121</v>
      </c>
      <c r="J1706" t="s">
        <v>122</v>
      </c>
      <c r="K1706">
        <v>0</v>
      </c>
      <c r="L1706" s="84">
        <v>55246848</v>
      </c>
      <c r="M1706" s="84">
        <v>1491664896</v>
      </c>
    </row>
    <row r="1707" spans="3:13" hidden="1" x14ac:dyDescent="0.25">
      <c r="C1707" t="s">
        <v>64</v>
      </c>
      <c r="D1707" t="s">
        <v>120</v>
      </c>
      <c r="E1707" t="s">
        <v>63</v>
      </c>
      <c r="F1707" t="s">
        <v>25</v>
      </c>
      <c r="G1707">
        <v>9</v>
      </c>
      <c r="H1707" t="s">
        <v>72</v>
      </c>
      <c r="I1707" t="s">
        <v>121</v>
      </c>
      <c r="J1707" t="s">
        <v>122</v>
      </c>
      <c r="K1707">
        <v>0</v>
      </c>
      <c r="L1707" s="84">
        <v>274942</v>
      </c>
      <c r="M1707" s="84">
        <v>2474478</v>
      </c>
    </row>
    <row r="1708" spans="3:13" hidden="1" x14ac:dyDescent="0.25">
      <c r="C1708" t="s">
        <v>64</v>
      </c>
      <c r="D1708" t="s">
        <v>120</v>
      </c>
      <c r="E1708" t="s">
        <v>63</v>
      </c>
      <c r="F1708" t="s">
        <v>123</v>
      </c>
      <c r="G1708">
        <v>0</v>
      </c>
      <c r="H1708" t="s">
        <v>14</v>
      </c>
      <c r="I1708" t="s">
        <v>121</v>
      </c>
      <c r="J1708" t="s">
        <v>66</v>
      </c>
      <c r="K1708">
        <v>1</v>
      </c>
      <c r="L1708" s="84">
        <v>69911</v>
      </c>
      <c r="M1708" s="84">
        <v>0</v>
      </c>
    </row>
    <row r="1709" spans="3:13" hidden="1" x14ac:dyDescent="0.25">
      <c r="C1709" t="s">
        <v>64</v>
      </c>
      <c r="D1709" t="s">
        <v>126</v>
      </c>
      <c r="E1709" t="s">
        <v>63</v>
      </c>
      <c r="F1709" t="s">
        <v>25</v>
      </c>
      <c r="G1709">
        <v>6</v>
      </c>
      <c r="H1709" t="s">
        <v>74</v>
      </c>
      <c r="I1709" t="s">
        <v>121</v>
      </c>
      <c r="J1709" t="s">
        <v>122</v>
      </c>
      <c r="K1709">
        <v>0</v>
      </c>
      <c r="L1709" s="84">
        <v>31335</v>
      </c>
      <c r="M1709" s="84">
        <v>188010</v>
      </c>
    </row>
    <row r="1710" spans="3:13" hidden="1" x14ac:dyDescent="0.25">
      <c r="C1710" t="s">
        <v>119</v>
      </c>
      <c r="D1710" t="s">
        <v>120</v>
      </c>
      <c r="E1710" t="s">
        <v>63</v>
      </c>
      <c r="F1710" t="s">
        <v>123</v>
      </c>
      <c r="G1710">
        <v>-1</v>
      </c>
      <c r="H1710" t="s">
        <v>15</v>
      </c>
      <c r="I1710" t="s">
        <v>121</v>
      </c>
      <c r="J1710" t="s">
        <v>66</v>
      </c>
      <c r="K1710">
        <v>1</v>
      </c>
      <c r="L1710" s="84">
        <v>250708</v>
      </c>
      <c r="M1710" s="84">
        <v>0</v>
      </c>
    </row>
    <row r="1711" spans="3:13" hidden="1" x14ac:dyDescent="0.25">
      <c r="C1711" t="s">
        <v>119</v>
      </c>
      <c r="D1711" t="s">
        <v>120</v>
      </c>
      <c r="E1711" t="s">
        <v>60</v>
      </c>
      <c r="F1711" t="s">
        <v>24</v>
      </c>
      <c r="G1711">
        <v>9</v>
      </c>
      <c r="H1711" t="s">
        <v>70</v>
      </c>
      <c r="I1711" t="s">
        <v>121</v>
      </c>
      <c r="J1711" t="s">
        <v>122</v>
      </c>
      <c r="K1711">
        <v>0</v>
      </c>
      <c r="L1711" s="84">
        <v>-191</v>
      </c>
      <c r="M1711" s="84">
        <v>0</v>
      </c>
    </row>
    <row r="1712" spans="3:13" hidden="1" x14ac:dyDescent="0.25">
      <c r="C1712" t="s">
        <v>65</v>
      </c>
      <c r="D1712" t="s">
        <v>120</v>
      </c>
      <c r="E1712" t="s">
        <v>60</v>
      </c>
      <c r="F1712" t="s">
        <v>25</v>
      </c>
      <c r="G1712">
        <v>4</v>
      </c>
      <c r="H1712" t="s">
        <v>69</v>
      </c>
      <c r="I1712" t="s">
        <v>121</v>
      </c>
      <c r="J1712" t="s">
        <v>122</v>
      </c>
      <c r="K1712">
        <v>0</v>
      </c>
      <c r="L1712" s="84">
        <v>-218739</v>
      </c>
      <c r="M1712" s="84">
        <v>0</v>
      </c>
    </row>
    <row r="1713" spans="3:13" hidden="1" x14ac:dyDescent="0.25">
      <c r="C1713" t="s">
        <v>64</v>
      </c>
      <c r="D1713" t="s">
        <v>125</v>
      </c>
      <c r="E1713" t="s">
        <v>63</v>
      </c>
      <c r="F1713" t="s">
        <v>24</v>
      </c>
      <c r="G1713">
        <v>32</v>
      </c>
      <c r="I1713" t="s">
        <v>121</v>
      </c>
      <c r="J1713" t="s">
        <v>122</v>
      </c>
      <c r="K1713">
        <v>0</v>
      </c>
      <c r="L1713" s="84">
        <v>58103476</v>
      </c>
      <c r="M1713" s="84">
        <v>1859311232</v>
      </c>
    </row>
    <row r="1714" spans="3:13" hidden="1" x14ac:dyDescent="0.25">
      <c r="C1714" t="s">
        <v>64</v>
      </c>
      <c r="D1714" t="s">
        <v>120</v>
      </c>
      <c r="E1714" t="s">
        <v>63</v>
      </c>
      <c r="F1714" t="s">
        <v>124</v>
      </c>
      <c r="G1714">
        <v>4</v>
      </c>
      <c r="H1714" t="s">
        <v>17</v>
      </c>
      <c r="I1714" t="s">
        <v>121</v>
      </c>
      <c r="J1714" t="s">
        <v>66</v>
      </c>
      <c r="K1714">
        <v>1</v>
      </c>
      <c r="L1714" s="84">
        <v>94078</v>
      </c>
      <c r="M1714" s="84">
        <v>376312</v>
      </c>
    </row>
    <row r="1715" spans="3:13" hidden="1" x14ac:dyDescent="0.25">
      <c r="C1715" t="s">
        <v>64</v>
      </c>
      <c r="D1715" t="s">
        <v>120</v>
      </c>
      <c r="E1715" t="s">
        <v>60</v>
      </c>
      <c r="F1715" t="s">
        <v>124</v>
      </c>
      <c r="G1715">
        <v>-1</v>
      </c>
      <c r="H1715" t="s">
        <v>79</v>
      </c>
      <c r="I1715" t="s">
        <v>121</v>
      </c>
      <c r="J1715" t="s">
        <v>122</v>
      </c>
      <c r="K1715">
        <v>0</v>
      </c>
      <c r="L1715" s="84">
        <v>-231</v>
      </c>
      <c r="M1715" s="84">
        <v>0</v>
      </c>
    </row>
    <row r="1716" spans="3:13" hidden="1" x14ac:dyDescent="0.25">
      <c r="C1716" t="s">
        <v>64</v>
      </c>
      <c r="D1716" t="s">
        <v>120</v>
      </c>
      <c r="E1716" t="s">
        <v>60</v>
      </c>
      <c r="F1716" t="s">
        <v>123</v>
      </c>
      <c r="G1716">
        <v>5</v>
      </c>
      <c r="H1716" t="s">
        <v>68</v>
      </c>
      <c r="I1716" t="s">
        <v>121</v>
      </c>
      <c r="J1716" t="s">
        <v>122</v>
      </c>
      <c r="K1716">
        <v>0</v>
      </c>
      <c r="L1716" s="84">
        <v>-20324</v>
      </c>
      <c r="M1716" s="84">
        <v>0</v>
      </c>
    </row>
    <row r="1717" spans="3:13" hidden="1" x14ac:dyDescent="0.25">
      <c r="C1717" t="s">
        <v>119</v>
      </c>
      <c r="D1717" t="s">
        <v>120</v>
      </c>
      <c r="E1717" t="s">
        <v>63</v>
      </c>
      <c r="F1717" t="s">
        <v>25</v>
      </c>
      <c r="G1717">
        <v>13</v>
      </c>
      <c r="H1717" t="s">
        <v>75</v>
      </c>
      <c r="I1717" t="s">
        <v>121</v>
      </c>
      <c r="J1717" t="s">
        <v>122</v>
      </c>
      <c r="K1717">
        <v>0</v>
      </c>
      <c r="L1717" s="84">
        <v>418734</v>
      </c>
      <c r="M1717" s="84">
        <v>5443542</v>
      </c>
    </row>
    <row r="1718" spans="3:13" hidden="1" x14ac:dyDescent="0.25">
      <c r="C1718" t="s">
        <v>119</v>
      </c>
      <c r="D1718" t="s">
        <v>127</v>
      </c>
      <c r="E1718" t="s">
        <v>60</v>
      </c>
      <c r="F1718" t="s">
        <v>25</v>
      </c>
      <c r="G1718">
        <v>3</v>
      </c>
      <c r="H1718" t="s">
        <v>67</v>
      </c>
      <c r="I1718" t="s">
        <v>121</v>
      </c>
      <c r="J1718" t="s">
        <v>122</v>
      </c>
      <c r="K1718">
        <v>0</v>
      </c>
      <c r="L1718" s="84">
        <v>-28</v>
      </c>
      <c r="M1718" s="84">
        <v>0</v>
      </c>
    </row>
    <row r="1719" spans="3:13" hidden="1" x14ac:dyDescent="0.25">
      <c r="C1719" t="s">
        <v>119</v>
      </c>
      <c r="D1719" t="s">
        <v>120</v>
      </c>
      <c r="E1719" t="s">
        <v>60</v>
      </c>
      <c r="F1719" t="s">
        <v>124</v>
      </c>
      <c r="G1719">
        <v>6</v>
      </c>
      <c r="H1719" t="s">
        <v>17</v>
      </c>
      <c r="I1719" t="s">
        <v>121</v>
      </c>
      <c r="J1719" t="s">
        <v>122</v>
      </c>
      <c r="K1719">
        <v>0</v>
      </c>
      <c r="L1719" s="84">
        <v>-2903</v>
      </c>
      <c r="M1719" s="84">
        <v>0</v>
      </c>
    </row>
    <row r="1720" spans="3:13" hidden="1" x14ac:dyDescent="0.25">
      <c r="C1720" t="s">
        <v>64</v>
      </c>
      <c r="D1720" t="s">
        <v>120</v>
      </c>
      <c r="E1720" t="s">
        <v>60</v>
      </c>
      <c r="F1720" t="s">
        <v>124</v>
      </c>
      <c r="G1720">
        <v>2</v>
      </c>
      <c r="H1720" t="s">
        <v>68</v>
      </c>
      <c r="I1720" t="s">
        <v>121</v>
      </c>
      <c r="J1720" t="s">
        <v>122</v>
      </c>
      <c r="K1720">
        <v>0</v>
      </c>
      <c r="L1720" s="84">
        <v>-148643</v>
      </c>
      <c r="M1720" s="84">
        <v>0</v>
      </c>
    </row>
    <row r="1721" spans="3:13" hidden="1" x14ac:dyDescent="0.25">
      <c r="C1721" t="s">
        <v>119</v>
      </c>
      <c r="D1721" t="s">
        <v>120</v>
      </c>
      <c r="E1721" t="s">
        <v>60</v>
      </c>
      <c r="F1721" t="s">
        <v>25</v>
      </c>
      <c r="G1721">
        <v>1</v>
      </c>
      <c r="H1721" t="s">
        <v>71</v>
      </c>
      <c r="I1721" t="s">
        <v>121</v>
      </c>
      <c r="J1721" t="s">
        <v>122</v>
      </c>
      <c r="K1721">
        <v>0</v>
      </c>
      <c r="L1721" s="84">
        <v>-172</v>
      </c>
      <c r="M1721" s="84">
        <v>0</v>
      </c>
    </row>
    <row r="1722" spans="3:13" hidden="1" x14ac:dyDescent="0.25">
      <c r="C1722" t="s">
        <v>119</v>
      </c>
      <c r="D1722" t="s">
        <v>120</v>
      </c>
      <c r="E1722" t="s">
        <v>63</v>
      </c>
      <c r="F1722" t="s">
        <v>25</v>
      </c>
      <c r="G1722">
        <v>16</v>
      </c>
      <c r="H1722" t="s">
        <v>17</v>
      </c>
      <c r="I1722" t="s">
        <v>121</v>
      </c>
      <c r="J1722" t="s">
        <v>122</v>
      </c>
      <c r="K1722">
        <v>0</v>
      </c>
      <c r="L1722" s="84">
        <v>4490889</v>
      </c>
      <c r="M1722" s="84">
        <v>71854224</v>
      </c>
    </row>
    <row r="1723" spans="3:13" hidden="1" x14ac:dyDescent="0.25">
      <c r="C1723" t="s">
        <v>64</v>
      </c>
      <c r="D1723" t="s">
        <v>120</v>
      </c>
      <c r="E1723" t="s">
        <v>63</v>
      </c>
      <c r="F1723" t="s">
        <v>123</v>
      </c>
      <c r="G1723">
        <v>4</v>
      </c>
      <c r="H1723" t="s">
        <v>71</v>
      </c>
      <c r="I1723" t="s">
        <v>121</v>
      </c>
      <c r="J1723" t="s">
        <v>122</v>
      </c>
      <c r="K1723">
        <v>0</v>
      </c>
      <c r="L1723" s="84">
        <v>158516</v>
      </c>
      <c r="M1723" s="84">
        <v>634064</v>
      </c>
    </row>
    <row r="1724" spans="3:13" hidden="1" x14ac:dyDescent="0.25">
      <c r="C1724" t="s">
        <v>64</v>
      </c>
      <c r="D1724" t="s">
        <v>120</v>
      </c>
      <c r="E1724" t="s">
        <v>60</v>
      </c>
      <c r="F1724" t="s">
        <v>25</v>
      </c>
      <c r="G1724">
        <v>-1</v>
      </c>
      <c r="H1724" t="s">
        <v>14</v>
      </c>
      <c r="I1724" t="s">
        <v>121</v>
      </c>
      <c r="J1724" t="s">
        <v>122</v>
      </c>
      <c r="K1724">
        <v>0</v>
      </c>
      <c r="L1724" s="84">
        <v>-3547</v>
      </c>
      <c r="M1724" s="84">
        <v>0</v>
      </c>
    </row>
    <row r="1725" spans="3:13" hidden="1" x14ac:dyDescent="0.25">
      <c r="C1725" t="s">
        <v>119</v>
      </c>
      <c r="D1725" t="s">
        <v>120</v>
      </c>
      <c r="E1725" t="s">
        <v>63</v>
      </c>
      <c r="F1725" t="s">
        <v>24</v>
      </c>
      <c r="G1725">
        <v>0</v>
      </c>
      <c r="H1725" t="s">
        <v>17</v>
      </c>
      <c r="I1725" t="s">
        <v>121</v>
      </c>
      <c r="J1725" t="s">
        <v>122</v>
      </c>
      <c r="K1725">
        <v>0</v>
      </c>
      <c r="L1725" s="84">
        <v>19506147</v>
      </c>
      <c r="M1725" s="84">
        <v>0</v>
      </c>
    </row>
    <row r="1726" spans="3:13" hidden="1" x14ac:dyDescent="0.25">
      <c r="C1726" t="s">
        <v>64</v>
      </c>
      <c r="D1726" t="s">
        <v>120</v>
      </c>
      <c r="E1726" t="s">
        <v>60</v>
      </c>
      <c r="F1726" t="s">
        <v>25</v>
      </c>
      <c r="G1726">
        <v>1</v>
      </c>
      <c r="H1726" t="s">
        <v>72</v>
      </c>
      <c r="I1726" t="s">
        <v>121</v>
      </c>
      <c r="J1726" t="s">
        <v>122</v>
      </c>
      <c r="K1726">
        <v>0</v>
      </c>
      <c r="L1726" s="84">
        <v>-15</v>
      </c>
      <c r="M1726" s="84">
        <v>0</v>
      </c>
    </row>
    <row r="1727" spans="3:13" hidden="1" x14ac:dyDescent="0.25">
      <c r="C1727" t="s">
        <v>65</v>
      </c>
      <c r="D1727" t="s">
        <v>120</v>
      </c>
      <c r="E1727" t="s">
        <v>60</v>
      </c>
      <c r="F1727" t="s">
        <v>25</v>
      </c>
      <c r="G1727">
        <v>-1</v>
      </c>
      <c r="H1727" t="s">
        <v>75</v>
      </c>
      <c r="I1727" t="s">
        <v>121</v>
      </c>
      <c r="J1727" t="s">
        <v>122</v>
      </c>
      <c r="K1727">
        <v>0</v>
      </c>
      <c r="L1727" s="84">
        <v>-973</v>
      </c>
      <c r="M1727" s="84">
        <v>0</v>
      </c>
    </row>
    <row r="1728" spans="3:13" hidden="1" x14ac:dyDescent="0.25">
      <c r="C1728" t="s">
        <v>64</v>
      </c>
      <c r="D1728" t="s">
        <v>120</v>
      </c>
      <c r="E1728" t="s">
        <v>63</v>
      </c>
      <c r="F1728" t="s">
        <v>25</v>
      </c>
      <c r="G1728">
        <v>-4</v>
      </c>
      <c r="H1728" t="s">
        <v>69</v>
      </c>
      <c r="I1728" t="s">
        <v>121</v>
      </c>
      <c r="J1728" t="s">
        <v>122</v>
      </c>
      <c r="K1728">
        <v>0</v>
      </c>
      <c r="L1728" s="84">
        <v>77</v>
      </c>
      <c r="M1728" s="84">
        <v>0</v>
      </c>
    </row>
    <row r="1729" spans="3:13" hidden="1" x14ac:dyDescent="0.25">
      <c r="C1729" t="s">
        <v>119</v>
      </c>
      <c r="D1729" t="s">
        <v>120</v>
      </c>
      <c r="E1729" t="s">
        <v>60</v>
      </c>
      <c r="F1729" t="s">
        <v>24</v>
      </c>
      <c r="G1729">
        <v>11</v>
      </c>
      <c r="H1729" t="s">
        <v>68</v>
      </c>
      <c r="I1729" t="s">
        <v>121</v>
      </c>
      <c r="J1729" t="s">
        <v>122</v>
      </c>
      <c r="K1729">
        <v>0</v>
      </c>
      <c r="L1729" s="84">
        <v>-20687</v>
      </c>
      <c r="M1729" s="84">
        <v>0</v>
      </c>
    </row>
    <row r="1730" spans="3:13" hidden="1" x14ac:dyDescent="0.25">
      <c r="C1730" t="s">
        <v>64</v>
      </c>
      <c r="D1730" t="s">
        <v>120</v>
      </c>
      <c r="E1730" t="s">
        <v>60</v>
      </c>
      <c r="F1730" t="s">
        <v>24</v>
      </c>
      <c r="G1730">
        <v>13</v>
      </c>
      <c r="H1730" t="s">
        <v>68</v>
      </c>
      <c r="I1730" t="s">
        <v>121</v>
      </c>
      <c r="J1730" t="s">
        <v>122</v>
      </c>
      <c r="K1730">
        <v>0</v>
      </c>
      <c r="L1730" s="84">
        <v>-18679</v>
      </c>
      <c r="M1730" s="84">
        <v>0</v>
      </c>
    </row>
    <row r="1731" spans="3:13" hidden="1" x14ac:dyDescent="0.25">
      <c r="C1731" t="s">
        <v>64</v>
      </c>
      <c r="D1731" t="s">
        <v>120</v>
      </c>
      <c r="E1731" t="s">
        <v>63</v>
      </c>
      <c r="F1731" t="s">
        <v>24</v>
      </c>
      <c r="G1731">
        <v>10</v>
      </c>
      <c r="H1731" t="s">
        <v>70</v>
      </c>
      <c r="I1731" t="s">
        <v>121</v>
      </c>
      <c r="J1731" t="s">
        <v>122</v>
      </c>
      <c r="K1731">
        <v>0</v>
      </c>
      <c r="L1731" s="84">
        <v>115699</v>
      </c>
      <c r="M1731" s="84">
        <v>1156990</v>
      </c>
    </row>
    <row r="1732" spans="3:13" hidden="1" x14ac:dyDescent="0.25">
      <c r="C1732" t="s">
        <v>119</v>
      </c>
      <c r="D1732" t="s">
        <v>120</v>
      </c>
      <c r="E1732" t="s">
        <v>60</v>
      </c>
      <c r="F1732" t="s">
        <v>124</v>
      </c>
      <c r="G1732">
        <v>5</v>
      </c>
      <c r="H1732" t="s">
        <v>61</v>
      </c>
      <c r="I1732" t="s">
        <v>121</v>
      </c>
      <c r="J1732" t="s">
        <v>122</v>
      </c>
      <c r="K1732">
        <v>0</v>
      </c>
      <c r="L1732" s="84">
        <v>-32994</v>
      </c>
      <c r="M1732" s="84">
        <v>0</v>
      </c>
    </row>
    <row r="1733" spans="3:13" hidden="1" x14ac:dyDescent="0.25">
      <c r="C1733" t="s">
        <v>64</v>
      </c>
      <c r="D1733" t="s">
        <v>120</v>
      </c>
      <c r="E1733" t="s">
        <v>60</v>
      </c>
      <c r="F1733" t="s">
        <v>25</v>
      </c>
      <c r="G1733">
        <v>6</v>
      </c>
      <c r="H1733" t="s">
        <v>72</v>
      </c>
      <c r="I1733" t="s">
        <v>121</v>
      </c>
      <c r="J1733" t="s">
        <v>122</v>
      </c>
      <c r="K1733">
        <v>0</v>
      </c>
      <c r="L1733" s="84">
        <v>-12003</v>
      </c>
      <c r="M1733" s="84">
        <v>0</v>
      </c>
    </row>
    <row r="1734" spans="3:13" hidden="1" x14ac:dyDescent="0.25">
      <c r="C1734" t="s">
        <v>64</v>
      </c>
      <c r="D1734" t="s">
        <v>120</v>
      </c>
      <c r="E1734" t="s">
        <v>60</v>
      </c>
      <c r="F1734" t="s">
        <v>24</v>
      </c>
      <c r="G1734">
        <v>2</v>
      </c>
      <c r="H1734" t="s">
        <v>17</v>
      </c>
      <c r="I1734" t="s">
        <v>121</v>
      </c>
      <c r="J1734" t="s">
        <v>122</v>
      </c>
      <c r="K1734">
        <v>0</v>
      </c>
      <c r="L1734" s="84">
        <v>-11805</v>
      </c>
      <c r="M1734" s="84">
        <v>0</v>
      </c>
    </row>
    <row r="1735" spans="3:13" hidden="1" x14ac:dyDescent="0.25">
      <c r="C1735" t="s">
        <v>119</v>
      </c>
      <c r="D1735" t="s">
        <v>120</v>
      </c>
      <c r="E1735" t="s">
        <v>63</v>
      </c>
      <c r="F1735" t="s">
        <v>124</v>
      </c>
      <c r="G1735">
        <v>-1</v>
      </c>
      <c r="H1735" t="s">
        <v>70</v>
      </c>
      <c r="I1735" t="s">
        <v>121</v>
      </c>
      <c r="J1735" t="s">
        <v>122</v>
      </c>
      <c r="K1735">
        <v>0</v>
      </c>
      <c r="L1735" s="84">
        <v>7709823</v>
      </c>
      <c r="M1735" s="84">
        <v>0</v>
      </c>
    </row>
    <row r="1736" spans="3:13" hidden="1" x14ac:dyDescent="0.25">
      <c r="C1736" t="s">
        <v>64</v>
      </c>
      <c r="D1736" t="s">
        <v>120</v>
      </c>
      <c r="E1736" t="s">
        <v>60</v>
      </c>
      <c r="F1736" t="s">
        <v>25</v>
      </c>
      <c r="G1736">
        <v>-4</v>
      </c>
      <c r="H1736" t="s">
        <v>14</v>
      </c>
      <c r="I1736" t="s">
        <v>121</v>
      </c>
      <c r="J1736" t="s">
        <v>66</v>
      </c>
      <c r="K1736">
        <v>1</v>
      </c>
      <c r="L1736" s="84">
        <v>0</v>
      </c>
      <c r="M1736" s="84">
        <v>0</v>
      </c>
    </row>
    <row r="1737" spans="3:13" hidden="1" x14ac:dyDescent="0.25">
      <c r="C1737" t="s">
        <v>119</v>
      </c>
      <c r="D1737" t="s">
        <v>120</v>
      </c>
      <c r="E1737" t="s">
        <v>63</v>
      </c>
      <c r="F1737" t="s">
        <v>123</v>
      </c>
      <c r="G1737">
        <v>1</v>
      </c>
      <c r="H1737" t="s">
        <v>71</v>
      </c>
      <c r="I1737" t="s">
        <v>121</v>
      </c>
      <c r="J1737" t="s">
        <v>122</v>
      </c>
      <c r="K1737">
        <v>0</v>
      </c>
      <c r="L1737" s="84">
        <v>133214</v>
      </c>
      <c r="M1737" s="84">
        <v>133214</v>
      </c>
    </row>
    <row r="1738" spans="3:13" hidden="1" x14ac:dyDescent="0.25">
      <c r="C1738" t="s">
        <v>119</v>
      </c>
      <c r="D1738" t="s">
        <v>125</v>
      </c>
      <c r="E1738" t="s">
        <v>63</v>
      </c>
      <c r="F1738" t="s">
        <v>25</v>
      </c>
      <c r="G1738">
        <v>-4</v>
      </c>
      <c r="I1738" t="s">
        <v>121</v>
      </c>
      <c r="J1738" t="s">
        <v>122</v>
      </c>
      <c r="K1738">
        <v>0</v>
      </c>
      <c r="L1738" s="84">
        <v>133702</v>
      </c>
      <c r="M1738" s="84">
        <v>0</v>
      </c>
    </row>
    <row r="1739" spans="3:13" hidden="1" x14ac:dyDescent="0.25">
      <c r="C1739" t="s">
        <v>64</v>
      </c>
      <c r="D1739" t="s">
        <v>125</v>
      </c>
      <c r="E1739" t="s">
        <v>60</v>
      </c>
      <c r="F1739" t="s">
        <v>25</v>
      </c>
      <c r="G1739">
        <v>10</v>
      </c>
      <c r="I1739" t="s">
        <v>121</v>
      </c>
      <c r="J1739" t="s">
        <v>122</v>
      </c>
      <c r="K1739">
        <v>0</v>
      </c>
      <c r="L1739" s="84">
        <v>-83255</v>
      </c>
      <c r="M1739" s="84">
        <v>0</v>
      </c>
    </row>
    <row r="1740" spans="3:13" hidden="1" x14ac:dyDescent="0.25">
      <c r="C1740" t="s">
        <v>65</v>
      </c>
      <c r="D1740" t="s">
        <v>125</v>
      </c>
      <c r="E1740" t="s">
        <v>63</v>
      </c>
      <c r="F1740" t="s">
        <v>24</v>
      </c>
      <c r="G1740">
        <v>4</v>
      </c>
      <c r="I1740" t="s">
        <v>121</v>
      </c>
      <c r="J1740" t="s">
        <v>122</v>
      </c>
      <c r="K1740">
        <v>0</v>
      </c>
      <c r="L1740" s="84">
        <v>929613</v>
      </c>
      <c r="M1740" s="84">
        <v>3718452</v>
      </c>
    </row>
    <row r="1741" spans="3:13" hidden="1" x14ac:dyDescent="0.25">
      <c r="C1741" t="s">
        <v>65</v>
      </c>
      <c r="D1741" t="s">
        <v>120</v>
      </c>
      <c r="E1741" t="s">
        <v>63</v>
      </c>
      <c r="F1741" t="s">
        <v>124</v>
      </c>
      <c r="G1741">
        <v>17</v>
      </c>
      <c r="H1741" t="s">
        <v>14</v>
      </c>
      <c r="I1741" t="s">
        <v>121</v>
      </c>
      <c r="J1741" t="s">
        <v>66</v>
      </c>
      <c r="K1741">
        <v>1</v>
      </c>
      <c r="L1741" s="84">
        <v>24843</v>
      </c>
      <c r="M1741" s="84">
        <v>422331</v>
      </c>
    </row>
    <row r="1742" spans="3:13" hidden="1" x14ac:dyDescent="0.25">
      <c r="C1742" t="s">
        <v>119</v>
      </c>
      <c r="D1742" t="s">
        <v>126</v>
      </c>
      <c r="E1742" t="s">
        <v>63</v>
      </c>
      <c r="F1742" t="s">
        <v>25</v>
      </c>
      <c r="G1742">
        <v>2</v>
      </c>
      <c r="H1742" t="s">
        <v>17</v>
      </c>
      <c r="I1742" t="s">
        <v>121</v>
      </c>
      <c r="J1742" t="s">
        <v>122</v>
      </c>
      <c r="K1742">
        <v>0</v>
      </c>
      <c r="L1742" s="84">
        <v>33233553</v>
      </c>
      <c r="M1742" s="84">
        <v>66467106</v>
      </c>
    </row>
    <row r="1743" spans="3:13" hidden="1" x14ac:dyDescent="0.25">
      <c r="C1743" t="s">
        <v>119</v>
      </c>
      <c r="D1743" t="s">
        <v>120</v>
      </c>
      <c r="E1743" t="s">
        <v>60</v>
      </c>
      <c r="F1743" t="s">
        <v>124</v>
      </c>
      <c r="G1743">
        <v>1</v>
      </c>
      <c r="H1743" t="s">
        <v>15</v>
      </c>
      <c r="I1743" t="s">
        <v>121</v>
      </c>
      <c r="J1743" t="s">
        <v>66</v>
      </c>
      <c r="K1743">
        <v>1</v>
      </c>
      <c r="L1743" s="84">
        <v>-26027</v>
      </c>
      <c r="M1743" s="84">
        <v>0</v>
      </c>
    </row>
    <row r="1744" spans="3:13" hidden="1" x14ac:dyDescent="0.25">
      <c r="C1744" t="s">
        <v>119</v>
      </c>
      <c r="D1744" t="s">
        <v>120</v>
      </c>
      <c r="E1744" t="s">
        <v>60</v>
      </c>
      <c r="F1744" t="s">
        <v>123</v>
      </c>
      <c r="G1744">
        <v>4</v>
      </c>
      <c r="H1744" t="s">
        <v>76</v>
      </c>
      <c r="I1744" t="s">
        <v>121</v>
      </c>
      <c r="J1744" t="s">
        <v>122</v>
      </c>
      <c r="K1744">
        <v>0</v>
      </c>
      <c r="L1744" s="84">
        <v>-2313</v>
      </c>
      <c r="M1744" s="84">
        <v>0</v>
      </c>
    </row>
    <row r="1745" spans="3:13" hidden="1" x14ac:dyDescent="0.25">
      <c r="C1745" t="s">
        <v>65</v>
      </c>
      <c r="D1745" t="s">
        <v>120</v>
      </c>
      <c r="E1745" t="s">
        <v>60</v>
      </c>
      <c r="F1745" t="s">
        <v>24</v>
      </c>
      <c r="G1745">
        <v>2</v>
      </c>
      <c r="H1745" t="s">
        <v>68</v>
      </c>
      <c r="I1745" t="s">
        <v>121</v>
      </c>
      <c r="J1745" t="s">
        <v>122</v>
      </c>
      <c r="K1745">
        <v>0</v>
      </c>
      <c r="L1745" s="84">
        <v>-2333999</v>
      </c>
      <c r="M1745" s="84">
        <v>0</v>
      </c>
    </row>
    <row r="1746" spans="3:13" hidden="1" x14ac:dyDescent="0.25">
      <c r="C1746" t="s">
        <v>64</v>
      </c>
      <c r="D1746" t="s">
        <v>125</v>
      </c>
      <c r="E1746" t="s">
        <v>63</v>
      </c>
      <c r="F1746" t="s">
        <v>24</v>
      </c>
      <c r="G1746">
        <v>42</v>
      </c>
      <c r="I1746" t="s">
        <v>121</v>
      </c>
      <c r="J1746" t="s">
        <v>122</v>
      </c>
      <c r="K1746">
        <v>0</v>
      </c>
      <c r="L1746" s="84">
        <v>2693748</v>
      </c>
      <c r="M1746" s="84">
        <v>113137416</v>
      </c>
    </row>
    <row r="1747" spans="3:13" hidden="1" x14ac:dyDescent="0.25">
      <c r="C1747" t="s">
        <v>119</v>
      </c>
      <c r="D1747" t="s">
        <v>120</v>
      </c>
      <c r="E1747" t="s">
        <v>60</v>
      </c>
      <c r="F1747" t="s">
        <v>25</v>
      </c>
      <c r="G1747">
        <v>-4</v>
      </c>
      <c r="H1747" t="s">
        <v>72</v>
      </c>
      <c r="I1747" t="s">
        <v>121</v>
      </c>
      <c r="J1747" t="s">
        <v>122</v>
      </c>
      <c r="K1747">
        <v>0</v>
      </c>
      <c r="L1747" s="84">
        <v>-3</v>
      </c>
      <c r="M1747" s="84">
        <v>0</v>
      </c>
    </row>
    <row r="1748" spans="3:13" hidden="1" x14ac:dyDescent="0.25">
      <c r="C1748" t="s">
        <v>65</v>
      </c>
      <c r="D1748" t="s">
        <v>120</v>
      </c>
      <c r="E1748" t="s">
        <v>60</v>
      </c>
      <c r="F1748" t="s">
        <v>25</v>
      </c>
      <c r="G1748">
        <v>12</v>
      </c>
      <c r="H1748" t="s">
        <v>61</v>
      </c>
      <c r="I1748" t="s">
        <v>121</v>
      </c>
      <c r="J1748" t="s">
        <v>122</v>
      </c>
      <c r="K1748">
        <v>0</v>
      </c>
      <c r="L1748" s="84">
        <v>-303416</v>
      </c>
      <c r="M1748" s="84">
        <v>0</v>
      </c>
    </row>
    <row r="1749" spans="3:13" hidden="1" x14ac:dyDescent="0.25">
      <c r="C1749" t="s">
        <v>119</v>
      </c>
      <c r="D1749" t="s">
        <v>120</v>
      </c>
      <c r="E1749" t="s">
        <v>60</v>
      </c>
      <c r="F1749" t="s">
        <v>124</v>
      </c>
      <c r="G1749">
        <v>4</v>
      </c>
      <c r="H1749" t="s">
        <v>18</v>
      </c>
      <c r="I1749" t="s">
        <v>121</v>
      </c>
      <c r="J1749" t="s">
        <v>66</v>
      </c>
      <c r="K1749">
        <v>1</v>
      </c>
      <c r="L1749" s="84">
        <v>-12492</v>
      </c>
      <c r="M1749" s="84">
        <v>0</v>
      </c>
    </row>
    <row r="1750" spans="3:13" hidden="1" x14ac:dyDescent="0.25">
      <c r="C1750" t="s">
        <v>119</v>
      </c>
      <c r="D1750" t="s">
        <v>120</v>
      </c>
      <c r="E1750" t="s">
        <v>60</v>
      </c>
      <c r="F1750" t="s">
        <v>123</v>
      </c>
      <c r="G1750">
        <v>6</v>
      </c>
      <c r="H1750" t="s">
        <v>70</v>
      </c>
      <c r="I1750" t="s">
        <v>121</v>
      </c>
      <c r="J1750" t="s">
        <v>122</v>
      </c>
      <c r="K1750">
        <v>0</v>
      </c>
      <c r="L1750" s="84">
        <v>-497</v>
      </c>
      <c r="M1750" s="84">
        <v>0</v>
      </c>
    </row>
    <row r="1751" spans="3:13" hidden="1" x14ac:dyDescent="0.25">
      <c r="C1751" t="s">
        <v>119</v>
      </c>
      <c r="D1751" t="s">
        <v>120</v>
      </c>
      <c r="E1751" t="s">
        <v>60</v>
      </c>
      <c r="F1751" t="s">
        <v>124</v>
      </c>
      <c r="G1751">
        <v>1</v>
      </c>
      <c r="H1751" t="s">
        <v>14</v>
      </c>
      <c r="I1751" t="s">
        <v>62</v>
      </c>
      <c r="J1751" t="s">
        <v>122</v>
      </c>
      <c r="K1751">
        <v>1</v>
      </c>
      <c r="L1751" s="84">
        <v>-312</v>
      </c>
      <c r="M1751" s="84">
        <v>0</v>
      </c>
    </row>
    <row r="1752" spans="3:13" hidden="1" x14ac:dyDescent="0.25">
      <c r="C1752" t="s">
        <v>119</v>
      </c>
      <c r="D1752" t="s">
        <v>120</v>
      </c>
      <c r="E1752" t="s">
        <v>63</v>
      </c>
      <c r="F1752" t="s">
        <v>124</v>
      </c>
      <c r="G1752">
        <v>3</v>
      </c>
      <c r="H1752" t="s">
        <v>75</v>
      </c>
      <c r="I1752" t="s">
        <v>121</v>
      </c>
      <c r="J1752" t="s">
        <v>122</v>
      </c>
      <c r="K1752">
        <v>0</v>
      </c>
      <c r="L1752" s="84">
        <v>22999328</v>
      </c>
      <c r="M1752" s="84">
        <v>68997984</v>
      </c>
    </row>
    <row r="1753" spans="3:13" hidden="1" x14ac:dyDescent="0.25">
      <c r="C1753" t="s">
        <v>119</v>
      </c>
      <c r="D1753" t="s">
        <v>120</v>
      </c>
      <c r="E1753" t="s">
        <v>60</v>
      </c>
      <c r="F1753" t="s">
        <v>25</v>
      </c>
      <c r="G1753">
        <v>11</v>
      </c>
      <c r="H1753" t="s">
        <v>17</v>
      </c>
      <c r="I1753" t="s">
        <v>121</v>
      </c>
      <c r="J1753" t="s">
        <v>66</v>
      </c>
      <c r="K1753">
        <v>1</v>
      </c>
      <c r="L1753" s="84">
        <v>-41</v>
      </c>
      <c r="M1753" s="84">
        <v>0</v>
      </c>
    </row>
    <row r="1754" spans="3:13" hidden="1" x14ac:dyDescent="0.25">
      <c r="C1754" t="s">
        <v>64</v>
      </c>
      <c r="D1754" t="s">
        <v>120</v>
      </c>
      <c r="E1754" t="s">
        <v>60</v>
      </c>
      <c r="F1754" t="s">
        <v>25</v>
      </c>
      <c r="G1754">
        <v>15</v>
      </c>
      <c r="H1754" t="s">
        <v>18</v>
      </c>
      <c r="I1754" t="s">
        <v>121</v>
      </c>
      <c r="J1754" t="s">
        <v>122</v>
      </c>
      <c r="K1754">
        <v>0</v>
      </c>
      <c r="L1754" s="84">
        <v>-9615</v>
      </c>
      <c r="M1754" s="84">
        <v>0</v>
      </c>
    </row>
    <row r="1755" spans="3:13" hidden="1" x14ac:dyDescent="0.25">
      <c r="C1755" t="s">
        <v>64</v>
      </c>
      <c r="D1755" t="s">
        <v>125</v>
      </c>
      <c r="E1755" t="s">
        <v>63</v>
      </c>
      <c r="F1755" t="s">
        <v>24</v>
      </c>
      <c r="G1755">
        <v>30</v>
      </c>
      <c r="I1755" t="s">
        <v>121</v>
      </c>
      <c r="J1755" t="s">
        <v>122</v>
      </c>
      <c r="K1755">
        <v>0</v>
      </c>
      <c r="L1755" s="84">
        <v>44508557</v>
      </c>
      <c r="M1755" s="84">
        <v>1335256710</v>
      </c>
    </row>
    <row r="1756" spans="3:13" hidden="1" x14ac:dyDescent="0.25">
      <c r="C1756" t="s">
        <v>64</v>
      </c>
      <c r="D1756" t="s">
        <v>120</v>
      </c>
      <c r="E1756" t="s">
        <v>60</v>
      </c>
      <c r="F1756" t="s">
        <v>25</v>
      </c>
      <c r="G1756">
        <v>11</v>
      </c>
      <c r="H1756" t="s">
        <v>18</v>
      </c>
      <c r="I1756" t="s">
        <v>121</v>
      </c>
      <c r="J1756" t="s">
        <v>66</v>
      </c>
      <c r="K1756">
        <v>1</v>
      </c>
      <c r="L1756" s="84">
        <v>-12640</v>
      </c>
      <c r="M1756" s="84">
        <v>0</v>
      </c>
    </row>
    <row r="1757" spans="3:13" hidden="1" x14ac:dyDescent="0.25">
      <c r="C1757" t="s">
        <v>119</v>
      </c>
      <c r="D1757" t="s">
        <v>120</v>
      </c>
      <c r="E1757" t="s">
        <v>63</v>
      </c>
      <c r="F1757" t="s">
        <v>24</v>
      </c>
      <c r="G1757">
        <v>14</v>
      </c>
      <c r="H1757" t="s">
        <v>17</v>
      </c>
      <c r="I1757" t="s">
        <v>121</v>
      </c>
      <c r="J1757" t="s">
        <v>66</v>
      </c>
      <c r="K1757">
        <v>1</v>
      </c>
      <c r="L1757" s="84">
        <v>135723</v>
      </c>
      <c r="M1757" s="84">
        <v>1900122</v>
      </c>
    </row>
    <row r="1758" spans="3:13" hidden="1" x14ac:dyDescent="0.25">
      <c r="C1758" t="s">
        <v>119</v>
      </c>
      <c r="D1758" t="s">
        <v>120</v>
      </c>
      <c r="E1758" t="s">
        <v>63</v>
      </c>
      <c r="F1758" t="s">
        <v>24</v>
      </c>
      <c r="G1758">
        <v>0</v>
      </c>
      <c r="H1758" t="s">
        <v>75</v>
      </c>
      <c r="I1758" t="s">
        <v>121</v>
      </c>
      <c r="J1758" t="s">
        <v>122</v>
      </c>
      <c r="K1758">
        <v>0</v>
      </c>
      <c r="L1758" s="84">
        <v>344141</v>
      </c>
      <c r="M1758" s="84">
        <v>0</v>
      </c>
    </row>
    <row r="1759" spans="3:13" hidden="1" x14ac:dyDescent="0.25">
      <c r="C1759" t="s">
        <v>119</v>
      </c>
      <c r="D1759" t="s">
        <v>120</v>
      </c>
      <c r="E1759" t="s">
        <v>60</v>
      </c>
      <c r="F1759" t="s">
        <v>25</v>
      </c>
      <c r="G1759">
        <v>3</v>
      </c>
      <c r="H1759" t="s">
        <v>17</v>
      </c>
      <c r="I1759" t="s">
        <v>62</v>
      </c>
      <c r="J1759" t="s">
        <v>66</v>
      </c>
      <c r="K1759">
        <v>1</v>
      </c>
      <c r="L1759" s="84">
        <v>-32</v>
      </c>
      <c r="M1759" s="84">
        <v>0</v>
      </c>
    </row>
    <row r="1760" spans="3:13" hidden="1" x14ac:dyDescent="0.25">
      <c r="C1760" t="s">
        <v>64</v>
      </c>
      <c r="D1760" t="s">
        <v>120</v>
      </c>
      <c r="E1760" t="s">
        <v>60</v>
      </c>
      <c r="F1760" t="s">
        <v>24</v>
      </c>
      <c r="G1760">
        <v>1</v>
      </c>
      <c r="H1760" t="s">
        <v>18</v>
      </c>
      <c r="I1760" t="s">
        <v>121</v>
      </c>
      <c r="J1760" t="s">
        <v>122</v>
      </c>
      <c r="K1760">
        <v>0</v>
      </c>
      <c r="L1760" s="84">
        <v>-3855</v>
      </c>
      <c r="M1760" s="84">
        <v>0</v>
      </c>
    </row>
    <row r="1761" spans="3:13" hidden="1" x14ac:dyDescent="0.25">
      <c r="C1761" t="s">
        <v>65</v>
      </c>
      <c r="D1761" t="s">
        <v>120</v>
      </c>
      <c r="E1761" t="s">
        <v>60</v>
      </c>
      <c r="F1761" t="s">
        <v>124</v>
      </c>
      <c r="G1761">
        <v>1</v>
      </c>
      <c r="H1761" t="s">
        <v>17</v>
      </c>
      <c r="I1761" t="s">
        <v>121</v>
      </c>
      <c r="J1761" t="s">
        <v>66</v>
      </c>
      <c r="K1761">
        <v>1</v>
      </c>
      <c r="L1761" s="84">
        <v>-83345</v>
      </c>
      <c r="M1761" s="84">
        <v>0</v>
      </c>
    </row>
    <row r="1762" spans="3:13" hidden="1" x14ac:dyDescent="0.25">
      <c r="C1762" t="s">
        <v>64</v>
      </c>
      <c r="D1762" t="s">
        <v>120</v>
      </c>
      <c r="E1762" t="s">
        <v>60</v>
      </c>
      <c r="F1762" t="s">
        <v>24</v>
      </c>
      <c r="G1762">
        <v>16</v>
      </c>
      <c r="H1762" t="s">
        <v>12</v>
      </c>
      <c r="I1762" t="s">
        <v>121</v>
      </c>
      <c r="J1762" t="s">
        <v>122</v>
      </c>
      <c r="K1762">
        <v>0</v>
      </c>
      <c r="L1762" s="84">
        <v>-81606</v>
      </c>
      <c r="M1762" s="84">
        <v>0</v>
      </c>
    </row>
    <row r="1763" spans="3:13" x14ac:dyDescent="0.25">
      <c r="C1763" t="s">
        <v>64</v>
      </c>
      <c r="D1763" t="s">
        <v>120</v>
      </c>
      <c r="E1763" t="s">
        <v>63</v>
      </c>
      <c r="F1763" t="s">
        <v>25</v>
      </c>
      <c r="G1763">
        <v>11</v>
      </c>
      <c r="H1763" t="s">
        <v>12</v>
      </c>
      <c r="I1763" t="s">
        <v>121</v>
      </c>
      <c r="J1763" t="s">
        <v>66</v>
      </c>
      <c r="K1763">
        <v>1</v>
      </c>
      <c r="L1763" s="84">
        <v>10474736</v>
      </c>
      <c r="M1763" s="84">
        <v>115222096</v>
      </c>
    </row>
    <row r="1764" spans="3:13" hidden="1" x14ac:dyDescent="0.25">
      <c r="C1764" t="s">
        <v>119</v>
      </c>
      <c r="D1764" t="s">
        <v>120</v>
      </c>
      <c r="E1764" t="s">
        <v>63</v>
      </c>
      <c r="F1764" t="s">
        <v>24</v>
      </c>
      <c r="G1764">
        <v>3</v>
      </c>
      <c r="H1764" t="s">
        <v>72</v>
      </c>
      <c r="I1764" t="s">
        <v>121</v>
      </c>
      <c r="J1764" t="s">
        <v>122</v>
      </c>
      <c r="K1764">
        <v>0</v>
      </c>
      <c r="L1764" s="84">
        <v>356568</v>
      </c>
      <c r="M1764" s="84">
        <v>1069704</v>
      </c>
    </row>
    <row r="1765" spans="3:13" hidden="1" x14ac:dyDescent="0.25">
      <c r="C1765" t="s">
        <v>64</v>
      </c>
      <c r="D1765" t="s">
        <v>120</v>
      </c>
      <c r="E1765" t="s">
        <v>60</v>
      </c>
      <c r="F1765" t="s">
        <v>24</v>
      </c>
      <c r="G1765">
        <v>20</v>
      </c>
      <c r="H1765" t="s">
        <v>69</v>
      </c>
      <c r="I1765" t="s">
        <v>121</v>
      </c>
      <c r="J1765" t="s">
        <v>122</v>
      </c>
      <c r="K1765">
        <v>0</v>
      </c>
      <c r="L1765" s="84">
        <v>-4021</v>
      </c>
      <c r="M1765" s="84">
        <v>0</v>
      </c>
    </row>
    <row r="1766" spans="3:13" hidden="1" x14ac:dyDescent="0.25">
      <c r="C1766" t="s">
        <v>119</v>
      </c>
      <c r="D1766" t="s">
        <v>120</v>
      </c>
      <c r="E1766" t="s">
        <v>63</v>
      </c>
      <c r="F1766" t="s">
        <v>24</v>
      </c>
      <c r="G1766">
        <v>9</v>
      </c>
      <c r="H1766" t="s">
        <v>70</v>
      </c>
      <c r="I1766" t="s">
        <v>121</v>
      </c>
      <c r="J1766" t="s">
        <v>122</v>
      </c>
      <c r="K1766">
        <v>0</v>
      </c>
      <c r="L1766" s="84">
        <v>221860</v>
      </c>
      <c r="M1766" s="84">
        <v>1996740</v>
      </c>
    </row>
    <row r="1767" spans="3:13" hidden="1" x14ac:dyDescent="0.25">
      <c r="C1767" t="s">
        <v>65</v>
      </c>
      <c r="D1767" t="s">
        <v>125</v>
      </c>
      <c r="E1767" t="s">
        <v>60</v>
      </c>
      <c r="F1767" t="s">
        <v>25</v>
      </c>
      <c r="G1767">
        <v>14</v>
      </c>
      <c r="I1767" t="s">
        <v>121</v>
      </c>
      <c r="J1767" t="s">
        <v>122</v>
      </c>
      <c r="K1767">
        <v>0</v>
      </c>
      <c r="L1767" s="84">
        <v>-39577</v>
      </c>
      <c r="M1767" s="84">
        <v>0</v>
      </c>
    </row>
    <row r="1768" spans="3:13" hidden="1" x14ac:dyDescent="0.25">
      <c r="C1768" t="s">
        <v>65</v>
      </c>
      <c r="D1768" t="s">
        <v>120</v>
      </c>
      <c r="E1768" t="s">
        <v>60</v>
      </c>
      <c r="F1768" t="s">
        <v>124</v>
      </c>
      <c r="G1768">
        <v>5</v>
      </c>
      <c r="H1768" t="s">
        <v>68</v>
      </c>
      <c r="I1768" t="s">
        <v>121</v>
      </c>
      <c r="J1768" t="s">
        <v>122</v>
      </c>
      <c r="K1768">
        <v>0</v>
      </c>
      <c r="L1768" s="84">
        <v>-90229</v>
      </c>
      <c r="M1768" s="84">
        <v>0</v>
      </c>
    </row>
    <row r="1769" spans="3:13" hidden="1" x14ac:dyDescent="0.25">
      <c r="C1769" t="s">
        <v>64</v>
      </c>
      <c r="D1769" t="s">
        <v>120</v>
      </c>
      <c r="E1769" t="s">
        <v>63</v>
      </c>
      <c r="F1769" t="s">
        <v>123</v>
      </c>
      <c r="G1769">
        <v>2</v>
      </c>
      <c r="H1769" t="s">
        <v>67</v>
      </c>
      <c r="I1769" t="s">
        <v>121</v>
      </c>
      <c r="J1769" t="s">
        <v>122</v>
      </c>
      <c r="K1769">
        <v>0</v>
      </c>
      <c r="L1769" s="84">
        <v>165907</v>
      </c>
      <c r="M1769" s="84">
        <v>331814</v>
      </c>
    </row>
    <row r="1770" spans="3:13" hidden="1" x14ac:dyDescent="0.25">
      <c r="C1770" t="s">
        <v>65</v>
      </c>
      <c r="D1770" t="s">
        <v>120</v>
      </c>
      <c r="E1770" t="s">
        <v>63</v>
      </c>
      <c r="F1770" t="s">
        <v>123</v>
      </c>
      <c r="G1770">
        <v>3</v>
      </c>
      <c r="H1770" t="s">
        <v>61</v>
      </c>
      <c r="I1770" t="s">
        <v>121</v>
      </c>
      <c r="J1770" t="s">
        <v>122</v>
      </c>
      <c r="K1770">
        <v>0</v>
      </c>
      <c r="L1770" s="84">
        <v>82697</v>
      </c>
      <c r="M1770" s="84">
        <v>248091</v>
      </c>
    </row>
    <row r="1771" spans="3:13" hidden="1" x14ac:dyDescent="0.25">
      <c r="C1771" t="s">
        <v>65</v>
      </c>
      <c r="D1771" t="s">
        <v>120</v>
      </c>
      <c r="E1771" t="s">
        <v>63</v>
      </c>
      <c r="F1771" t="s">
        <v>124</v>
      </c>
      <c r="G1771">
        <v>3</v>
      </c>
      <c r="H1771" t="s">
        <v>13</v>
      </c>
      <c r="I1771" t="s">
        <v>121</v>
      </c>
      <c r="J1771" t="s">
        <v>122</v>
      </c>
      <c r="K1771">
        <v>0</v>
      </c>
      <c r="L1771" s="84">
        <v>226105</v>
      </c>
      <c r="M1771" s="84">
        <v>678315</v>
      </c>
    </row>
    <row r="1772" spans="3:13" hidden="1" x14ac:dyDescent="0.25">
      <c r="C1772" t="s">
        <v>119</v>
      </c>
      <c r="D1772" t="s">
        <v>120</v>
      </c>
      <c r="E1772" t="s">
        <v>63</v>
      </c>
      <c r="F1772" t="s">
        <v>25</v>
      </c>
      <c r="G1772">
        <v>13</v>
      </c>
      <c r="H1772" t="s">
        <v>17</v>
      </c>
      <c r="I1772" t="s">
        <v>121</v>
      </c>
      <c r="J1772" t="s">
        <v>122</v>
      </c>
      <c r="K1772">
        <v>0</v>
      </c>
      <c r="L1772" s="84">
        <v>808852</v>
      </c>
      <c r="M1772" s="84">
        <v>10515076</v>
      </c>
    </row>
    <row r="1773" spans="3:13" hidden="1" x14ac:dyDescent="0.25">
      <c r="C1773" t="s">
        <v>119</v>
      </c>
      <c r="D1773" t="s">
        <v>120</v>
      </c>
      <c r="E1773" t="s">
        <v>60</v>
      </c>
      <c r="F1773" t="s">
        <v>24</v>
      </c>
      <c r="G1773">
        <v>13</v>
      </c>
      <c r="H1773" t="s">
        <v>61</v>
      </c>
      <c r="I1773" t="s">
        <v>121</v>
      </c>
      <c r="J1773" t="s">
        <v>122</v>
      </c>
      <c r="K1773">
        <v>0</v>
      </c>
      <c r="L1773" s="84">
        <v>-343</v>
      </c>
      <c r="M1773" s="84">
        <v>0</v>
      </c>
    </row>
    <row r="1774" spans="3:13" hidden="1" x14ac:dyDescent="0.25">
      <c r="C1774" t="s">
        <v>119</v>
      </c>
      <c r="D1774" t="s">
        <v>120</v>
      </c>
      <c r="E1774" t="s">
        <v>63</v>
      </c>
      <c r="F1774" t="s">
        <v>25</v>
      </c>
      <c r="G1774">
        <v>6</v>
      </c>
      <c r="H1774" t="s">
        <v>72</v>
      </c>
      <c r="I1774" t="s">
        <v>121</v>
      </c>
      <c r="J1774" t="s">
        <v>122</v>
      </c>
      <c r="K1774">
        <v>0</v>
      </c>
      <c r="L1774" s="84">
        <v>1382008</v>
      </c>
      <c r="M1774" s="84">
        <v>8292048</v>
      </c>
    </row>
    <row r="1775" spans="3:13" hidden="1" x14ac:dyDescent="0.25">
      <c r="C1775" t="s">
        <v>65</v>
      </c>
      <c r="D1775" t="s">
        <v>120</v>
      </c>
      <c r="E1775" t="s">
        <v>60</v>
      </c>
      <c r="F1775" t="s">
        <v>25</v>
      </c>
      <c r="G1775">
        <v>4</v>
      </c>
      <c r="H1775" t="s">
        <v>18</v>
      </c>
      <c r="I1775" t="s">
        <v>121</v>
      </c>
      <c r="J1775" t="s">
        <v>122</v>
      </c>
      <c r="K1775">
        <v>0</v>
      </c>
      <c r="L1775" s="84">
        <v>-5473005</v>
      </c>
      <c r="M1775" s="84">
        <v>0</v>
      </c>
    </row>
    <row r="1776" spans="3:13" hidden="1" x14ac:dyDescent="0.25">
      <c r="C1776" t="s">
        <v>119</v>
      </c>
      <c r="D1776" t="s">
        <v>120</v>
      </c>
      <c r="E1776" t="s">
        <v>60</v>
      </c>
      <c r="F1776" t="s">
        <v>25</v>
      </c>
      <c r="G1776">
        <v>12</v>
      </c>
      <c r="H1776" t="s">
        <v>70</v>
      </c>
      <c r="I1776" t="s">
        <v>121</v>
      </c>
      <c r="J1776" t="s">
        <v>122</v>
      </c>
      <c r="K1776">
        <v>0</v>
      </c>
      <c r="L1776" s="84">
        <v>-1459</v>
      </c>
      <c r="M1776" s="84">
        <v>0</v>
      </c>
    </row>
    <row r="1777" spans="3:13" hidden="1" x14ac:dyDescent="0.25">
      <c r="C1777" t="s">
        <v>64</v>
      </c>
      <c r="D1777" t="s">
        <v>120</v>
      </c>
      <c r="E1777" t="s">
        <v>60</v>
      </c>
      <c r="F1777" t="s">
        <v>124</v>
      </c>
      <c r="G1777">
        <v>4</v>
      </c>
      <c r="H1777" t="s">
        <v>17</v>
      </c>
      <c r="I1777" t="s">
        <v>62</v>
      </c>
      <c r="J1777" t="s">
        <v>66</v>
      </c>
      <c r="K1777">
        <v>1</v>
      </c>
      <c r="L1777" s="84">
        <v>-13219</v>
      </c>
      <c r="M1777" s="84">
        <v>0</v>
      </c>
    </row>
    <row r="1778" spans="3:13" hidden="1" x14ac:dyDescent="0.25">
      <c r="C1778" t="s">
        <v>64</v>
      </c>
      <c r="D1778" t="s">
        <v>120</v>
      </c>
      <c r="E1778" t="s">
        <v>63</v>
      </c>
      <c r="F1778" t="s">
        <v>24</v>
      </c>
      <c r="G1778">
        <v>13</v>
      </c>
      <c r="H1778" t="s">
        <v>17</v>
      </c>
      <c r="I1778" t="s">
        <v>121</v>
      </c>
      <c r="J1778" t="s">
        <v>122</v>
      </c>
      <c r="K1778">
        <v>0</v>
      </c>
      <c r="L1778" s="84">
        <v>1163539</v>
      </c>
      <c r="M1778" s="84">
        <v>15126007</v>
      </c>
    </row>
    <row r="1779" spans="3:13" hidden="1" x14ac:dyDescent="0.25">
      <c r="C1779" t="s">
        <v>119</v>
      </c>
      <c r="D1779" t="s">
        <v>120</v>
      </c>
      <c r="E1779" t="s">
        <v>63</v>
      </c>
      <c r="F1779" t="s">
        <v>123</v>
      </c>
      <c r="G1779">
        <v>6</v>
      </c>
      <c r="H1779" t="s">
        <v>75</v>
      </c>
      <c r="I1779" t="s">
        <v>121</v>
      </c>
      <c r="J1779" t="s">
        <v>122</v>
      </c>
      <c r="K1779">
        <v>0</v>
      </c>
      <c r="L1779" s="84">
        <v>3291202</v>
      </c>
      <c r="M1779" s="84">
        <v>19747212</v>
      </c>
    </row>
    <row r="1780" spans="3:13" hidden="1" x14ac:dyDescent="0.25">
      <c r="C1780" t="s">
        <v>64</v>
      </c>
      <c r="D1780" t="s">
        <v>120</v>
      </c>
      <c r="E1780" t="s">
        <v>63</v>
      </c>
      <c r="F1780" t="s">
        <v>123</v>
      </c>
      <c r="G1780">
        <v>1</v>
      </c>
      <c r="H1780" t="s">
        <v>18</v>
      </c>
      <c r="I1780" t="s">
        <v>121</v>
      </c>
      <c r="J1780" t="s">
        <v>66</v>
      </c>
      <c r="K1780">
        <v>1</v>
      </c>
      <c r="L1780" s="84">
        <v>97653</v>
      </c>
      <c r="M1780" s="84">
        <v>97653</v>
      </c>
    </row>
    <row r="1781" spans="3:13" hidden="1" x14ac:dyDescent="0.25">
      <c r="C1781" t="s">
        <v>119</v>
      </c>
      <c r="D1781" t="s">
        <v>120</v>
      </c>
      <c r="E1781" t="s">
        <v>63</v>
      </c>
      <c r="F1781" t="s">
        <v>25</v>
      </c>
      <c r="G1781">
        <v>7</v>
      </c>
      <c r="H1781" t="s">
        <v>72</v>
      </c>
      <c r="I1781" t="s">
        <v>121</v>
      </c>
      <c r="J1781" t="s">
        <v>122</v>
      </c>
      <c r="K1781">
        <v>0</v>
      </c>
      <c r="L1781" s="84">
        <v>2683847</v>
      </c>
      <c r="M1781" s="84">
        <v>18786929</v>
      </c>
    </row>
    <row r="1782" spans="3:13" hidden="1" x14ac:dyDescent="0.25">
      <c r="C1782" t="s">
        <v>64</v>
      </c>
      <c r="D1782" t="s">
        <v>120</v>
      </c>
      <c r="E1782" t="s">
        <v>60</v>
      </c>
      <c r="F1782" t="s">
        <v>124</v>
      </c>
      <c r="G1782">
        <v>1</v>
      </c>
      <c r="H1782" t="s">
        <v>61</v>
      </c>
      <c r="I1782" t="s">
        <v>121</v>
      </c>
      <c r="J1782" t="s">
        <v>122</v>
      </c>
      <c r="K1782">
        <v>0</v>
      </c>
      <c r="L1782" s="84">
        <v>-105273</v>
      </c>
      <c r="M1782" s="84">
        <v>0</v>
      </c>
    </row>
    <row r="1783" spans="3:13" hidden="1" x14ac:dyDescent="0.25">
      <c r="C1783" t="s">
        <v>119</v>
      </c>
      <c r="D1783" t="s">
        <v>126</v>
      </c>
      <c r="E1783" t="s">
        <v>63</v>
      </c>
      <c r="F1783" t="s">
        <v>25</v>
      </c>
      <c r="G1783">
        <v>11</v>
      </c>
      <c r="H1783" t="s">
        <v>74</v>
      </c>
      <c r="I1783" t="s">
        <v>121</v>
      </c>
      <c r="J1783" t="s">
        <v>122</v>
      </c>
      <c r="K1783">
        <v>0</v>
      </c>
      <c r="L1783" s="84">
        <v>140847</v>
      </c>
      <c r="M1783" s="84">
        <v>1549317</v>
      </c>
    </row>
    <row r="1784" spans="3:13" hidden="1" x14ac:dyDescent="0.25">
      <c r="C1784" t="s">
        <v>119</v>
      </c>
      <c r="D1784" t="s">
        <v>125</v>
      </c>
      <c r="E1784" t="s">
        <v>63</v>
      </c>
      <c r="F1784" t="s">
        <v>24</v>
      </c>
      <c r="G1784">
        <v>31</v>
      </c>
      <c r="I1784" t="s">
        <v>121</v>
      </c>
      <c r="J1784" t="s">
        <v>122</v>
      </c>
      <c r="K1784">
        <v>0</v>
      </c>
      <c r="L1784" s="84">
        <v>788399611</v>
      </c>
      <c r="M1784" s="84">
        <v>24440387941</v>
      </c>
    </row>
    <row r="1785" spans="3:13" hidden="1" x14ac:dyDescent="0.25">
      <c r="C1785" t="s">
        <v>119</v>
      </c>
      <c r="D1785" t="s">
        <v>120</v>
      </c>
      <c r="E1785" t="s">
        <v>60</v>
      </c>
      <c r="F1785" t="s">
        <v>123</v>
      </c>
      <c r="G1785">
        <v>4</v>
      </c>
      <c r="H1785" t="s">
        <v>68</v>
      </c>
      <c r="I1785" t="s">
        <v>121</v>
      </c>
      <c r="J1785" t="s">
        <v>122</v>
      </c>
      <c r="K1785">
        <v>0</v>
      </c>
      <c r="L1785" s="84">
        <v>-7196</v>
      </c>
      <c r="M1785" s="84">
        <v>0</v>
      </c>
    </row>
    <row r="1786" spans="3:13" hidden="1" x14ac:dyDescent="0.25">
      <c r="C1786" t="s">
        <v>64</v>
      </c>
      <c r="D1786" t="s">
        <v>120</v>
      </c>
      <c r="E1786" t="s">
        <v>63</v>
      </c>
      <c r="F1786" t="s">
        <v>24</v>
      </c>
      <c r="G1786">
        <v>9</v>
      </c>
      <c r="H1786" t="s">
        <v>68</v>
      </c>
      <c r="I1786" t="s">
        <v>121</v>
      </c>
      <c r="J1786" t="s">
        <v>122</v>
      </c>
      <c r="K1786">
        <v>0</v>
      </c>
      <c r="L1786" s="84">
        <v>938931</v>
      </c>
      <c r="M1786" s="84">
        <v>8450379</v>
      </c>
    </row>
    <row r="1787" spans="3:13" hidden="1" x14ac:dyDescent="0.25">
      <c r="C1787" t="s">
        <v>119</v>
      </c>
      <c r="D1787" t="s">
        <v>120</v>
      </c>
      <c r="E1787" t="s">
        <v>63</v>
      </c>
      <c r="F1787" t="s">
        <v>124</v>
      </c>
      <c r="G1787">
        <v>6</v>
      </c>
      <c r="H1787" t="s">
        <v>67</v>
      </c>
      <c r="I1787" t="s">
        <v>121</v>
      </c>
      <c r="J1787" t="s">
        <v>122</v>
      </c>
      <c r="K1787">
        <v>0</v>
      </c>
      <c r="L1787" s="84">
        <v>13934398</v>
      </c>
      <c r="M1787" s="84">
        <v>83606388</v>
      </c>
    </row>
    <row r="1788" spans="3:13" hidden="1" x14ac:dyDescent="0.25">
      <c r="C1788" t="s">
        <v>119</v>
      </c>
      <c r="D1788" t="s">
        <v>120</v>
      </c>
      <c r="E1788" t="s">
        <v>60</v>
      </c>
      <c r="F1788" t="s">
        <v>123</v>
      </c>
      <c r="G1788">
        <v>1</v>
      </c>
      <c r="H1788" t="s">
        <v>17</v>
      </c>
      <c r="I1788" t="s">
        <v>121</v>
      </c>
      <c r="J1788" t="s">
        <v>66</v>
      </c>
      <c r="K1788">
        <v>1</v>
      </c>
      <c r="L1788" s="84">
        <v>-525</v>
      </c>
      <c r="M1788" s="84">
        <v>0</v>
      </c>
    </row>
    <row r="1789" spans="3:13" hidden="1" x14ac:dyDescent="0.25">
      <c r="C1789" t="s">
        <v>64</v>
      </c>
      <c r="D1789" t="s">
        <v>120</v>
      </c>
      <c r="E1789" t="s">
        <v>60</v>
      </c>
      <c r="F1789" t="s">
        <v>124</v>
      </c>
      <c r="G1789">
        <v>4</v>
      </c>
      <c r="H1789" t="s">
        <v>67</v>
      </c>
      <c r="I1789" t="s">
        <v>121</v>
      </c>
      <c r="J1789" t="s">
        <v>122</v>
      </c>
      <c r="K1789">
        <v>0</v>
      </c>
      <c r="L1789" s="84">
        <v>-315094</v>
      </c>
      <c r="M1789" s="84">
        <v>0</v>
      </c>
    </row>
    <row r="1790" spans="3:13" hidden="1" x14ac:dyDescent="0.25">
      <c r="C1790" t="s">
        <v>65</v>
      </c>
      <c r="D1790" t="s">
        <v>120</v>
      </c>
      <c r="E1790" t="s">
        <v>63</v>
      </c>
      <c r="F1790" t="s">
        <v>124</v>
      </c>
      <c r="G1790">
        <v>5</v>
      </c>
      <c r="H1790" t="s">
        <v>76</v>
      </c>
      <c r="I1790" t="s">
        <v>121</v>
      </c>
      <c r="J1790" t="s">
        <v>122</v>
      </c>
      <c r="K1790">
        <v>0</v>
      </c>
      <c r="L1790" s="84">
        <v>5137</v>
      </c>
      <c r="M1790" s="84">
        <v>25685</v>
      </c>
    </row>
    <row r="1791" spans="3:13" x14ac:dyDescent="0.25">
      <c r="C1791" t="s">
        <v>64</v>
      </c>
      <c r="D1791" t="s">
        <v>120</v>
      </c>
      <c r="E1791" t="s">
        <v>63</v>
      </c>
      <c r="F1791" t="s">
        <v>25</v>
      </c>
      <c r="G1791">
        <v>9</v>
      </c>
      <c r="H1791" t="s">
        <v>12</v>
      </c>
      <c r="I1791" t="s">
        <v>121</v>
      </c>
      <c r="J1791" t="s">
        <v>66</v>
      </c>
      <c r="K1791">
        <v>1</v>
      </c>
      <c r="L1791" s="84">
        <v>1327427</v>
      </c>
      <c r="M1791" s="84">
        <v>11946843</v>
      </c>
    </row>
    <row r="1792" spans="3:13" hidden="1" x14ac:dyDescent="0.25">
      <c r="C1792" t="s">
        <v>64</v>
      </c>
      <c r="D1792" t="s">
        <v>120</v>
      </c>
      <c r="E1792" t="s">
        <v>63</v>
      </c>
      <c r="F1792" t="s">
        <v>124</v>
      </c>
      <c r="G1792">
        <v>1</v>
      </c>
      <c r="H1792" t="s">
        <v>17</v>
      </c>
      <c r="I1792" t="s">
        <v>121</v>
      </c>
      <c r="J1792" t="s">
        <v>122</v>
      </c>
      <c r="K1792">
        <v>0</v>
      </c>
      <c r="L1792" s="84">
        <v>7772113</v>
      </c>
      <c r="M1792" s="84">
        <v>7772113</v>
      </c>
    </row>
    <row r="1793" spans="3:13" hidden="1" x14ac:dyDescent="0.25">
      <c r="C1793" t="s">
        <v>64</v>
      </c>
      <c r="D1793" t="s">
        <v>120</v>
      </c>
      <c r="E1793" t="s">
        <v>60</v>
      </c>
      <c r="F1793" t="s">
        <v>124</v>
      </c>
      <c r="G1793">
        <v>11</v>
      </c>
      <c r="H1793" t="s">
        <v>12</v>
      </c>
      <c r="I1793" t="s">
        <v>121</v>
      </c>
      <c r="J1793" t="s">
        <v>66</v>
      </c>
      <c r="K1793">
        <v>1</v>
      </c>
      <c r="L1793" s="84">
        <v>-18891</v>
      </c>
      <c r="M1793" s="84">
        <v>0</v>
      </c>
    </row>
    <row r="1794" spans="3:13" hidden="1" x14ac:dyDescent="0.25">
      <c r="C1794" t="s">
        <v>65</v>
      </c>
      <c r="D1794" t="s">
        <v>120</v>
      </c>
      <c r="E1794" t="s">
        <v>60</v>
      </c>
      <c r="F1794" t="s">
        <v>123</v>
      </c>
      <c r="G1794">
        <v>1</v>
      </c>
      <c r="H1794" t="s">
        <v>17</v>
      </c>
      <c r="I1794" t="s">
        <v>121</v>
      </c>
      <c r="J1794" t="s">
        <v>122</v>
      </c>
      <c r="K1794">
        <v>0</v>
      </c>
      <c r="L1794" s="84">
        <v>-104540</v>
      </c>
      <c r="M1794" s="84">
        <v>0</v>
      </c>
    </row>
    <row r="1795" spans="3:13" hidden="1" x14ac:dyDescent="0.25">
      <c r="C1795" t="s">
        <v>64</v>
      </c>
      <c r="D1795" t="s">
        <v>120</v>
      </c>
      <c r="E1795" t="s">
        <v>60</v>
      </c>
      <c r="F1795" t="s">
        <v>123</v>
      </c>
      <c r="G1795">
        <v>2</v>
      </c>
      <c r="H1795" t="s">
        <v>12</v>
      </c>
      <c r="I1795" t="s">
        <v>62</v>
      </c>
      <c r="J1795" t="s">
        <v>66</v>
      </c>
      <c r="K1795">
        <v>1</v>
      </c>
      <c r="L1795" s="84">
        <v>-3703</v>
      </c>
      <c r="M1795" s="84">
        <v>0</v>
      </c>
    </row>
    <row r="1796" spans="3:13" hidden="1" x14ac:dyDescent="0.25">
      <c r="C1796" t="s">
        <v>119</v>
      </c>
      <c r="D1796" t="s">
        <v>120</v>
      </c>
      <c r="E1796" t="s">
        <v>63</v>
      </c>
      <c r="F1796" t="s">
        <v>25</v>
      </c>
      <c r="G1796">
        <v>1</v>
      </c>
      <c r="H1796" t="s">
        <v>75</v>
      </c>
      <c r="I1796" t="s">
        <v>121</v>
      </c>
      <c r="J1796" t="s">
        <v>122</v>
      </c>
      <c r="K1796">
        <v>0</v>
      </c>
      <c r="L1796" s="84">
        <v>197243</v>
      </c>
      <c r="M1796" s="84">
        <v>197243</v>
      </c>
    </row>
    <row r="1797" spans="3:13" hidden="1" x14ac:dyDescent="0.25">
      <c r="C1797" t="s">
        <v>119</v>
      </c>
      <c r="D1797" t="s">
        <v>120</v>
      </c>
      <c r="E1797" t="s">
        <v>60</v>
      </c>
      <c r="F1797" t="s">
        <v>124</v>
      </c>
      <c r="G1797">
        <v>5</v>
      </c>
      <c r="H1797" t="s">
        <v>71</v>
      </c>
      <c r="I1797" t="s">
        <v>121</v>
      </c>
      <c r="J1797" t="s">
        <v>122</v>
      </c>
      <c r="K1797">
        <v>0</v>
      </c>
      <c r="L1797" s="84">
        <v>-8236</v>
      </c>
      <c r="M1797" s="84">
        <v>0</v>
      </c>
    </row>
    <row r="1798" spans="3:13" hidden="1" x14ac:dyDescent="0.25">
      <c r="C1798" t="s">
        <v>65</v>
      </c>
      <c r="D1798" t="s">
        <v>120</v>
      </c>
      <c r="E1798" t="s">
        <v>63</v>
      </c>
      <c r="F1798" t="s">
        <v>124</v>
      </c>
      <c r="G1798">
        <v>6</v>
      </c>
      <c r="H1798" t="s">
        <v>18</v>
      </c>
      <c r="I1798" t="s">
        <v>121</v>
      </c>
      <c r="J1798" t="s">
        <v>122</v>
      </c>
      <c r="K1798">
        <v>0</v>
      </c>
      <c r="L1798" s="84">
        <v>2067196</v>
      </c>
      <c r="M1798" s="84">
        <v>12403176</v>
      </c>
    </row>
    <row r="1799" spans="3:13" hidden="1" x14ac:dyDescent="0.25">
      <c r="C1799" t="s">
        <v>119</v>
      </c>
      <c r="D1799" t="s">
        <v>120</v>
      </c>
      <c r="E1799" t="s">
        <v>60</v>
      </c>
      <c r="F1799" t="s">
        <v>124</v>
      </c>
      <c r="G1799">
        <v>14</v>
      </c>
      <c r="H1799" t="s">
        <v>15</v>
      </c>
      <c r="I1799" t="s">
        <v>121</v>
      </c>
      <c r="J1799" t="s">
        <v>66</v>
      </c>
      <c r="K1799">
        <v>1</v>
      </c>
      <c r="L1799" s="84">
        <v>-1824</v>
      </c>
      <c r="M1799" s="84">
        <v>0</v>
      </c>
    </row>
    <row r="1800" spans="3:13" hidden="1" x14ac:dyDescent="0.25">
      <c r="C1800" t="s">
        <v>65</v>
      </c>
      <c r="D1800" t="s">
        <v>120</v>
      </c>
      <c r="E1800" t="s">
        <v>63</v>
      </c>
      <c r="F1800" t="s">
        <v>123</v>
      </c>
      <c r="G1800">
        <v>0</v>
      </c>
      <c r="H1800" t="s">
        <v>72</v>
      </c>
      <c r="I1800" t="s">
        <v>121</v>
      </c>
      <c r="J1800" t="s">
        <v>122</v>
      </c>
      <c r="K1800">
        <v>0</v>
      </c>
      <c r="L1800" s="84">
        <v>15128</v>
      </c>
      <c r="M1800" s="84">
        <v>0</v>
      </c>
    </row>
    <row r="1801" spans="3:13" hidden="1" x14ac:dyDescent="0.25">
      <c r="C1801" t="s">
        <v>64</v>
      </c>
      <c r="D1801" t="s">
        <v>120</v>
      </c>
      <c r="E1801" t="s">
        <v>60</v>
      </c>
      <c r="F1801" t="s">
        <v>124</v>
      </c>
      <c r="G1801">
        <v>-1</v>
      </c>
      <c r="H1801" t="s">
        <v>15</v>
      </c>
      <c r="I1801" t="s">
        <v>121</v>
      </c>
      <c r="J1801" t="s">
        <v>122</v>
      </c>
      <c r="K1801">
        <v>0</v>
      </c>
      <c r="L1801" s="84">
        <v>-2739</v>
      </c>
      <c r="M1801" s="84">
        <v>0</v>
      </c>
    </row>
    <row r="1802" spans="3:13" hidden="1" x14ac:dyDescent="0.25">
      <c r="C1802" t="s">
        <v>65</v>
      </c>
      <c r="D1802" t="s">
        <v>120</v>
      </c>
      <c r="E1802" t="s">
        <v>63</v>
      </c>
      <c r="F1802" t="s">
        <v>123</v>
      </c>
      <c r="G1802">
        <v>3</v>
      </c>
      <c r="H1802" t="s">
        <v>71</v>
      </c>
      <c r="I1802" t="s">
        <v>121</v>
      </c>
      <c r="J1802" t="s">
        <v>122</v>
      </c>
      <c r="K1802">
        <v>0</v>
      </c>
      <c r="L1802" s="84">
        <v>21536</v>
      </c>
      <c r="M1802" s="84">
        <v>64608</v>
      </c>
    </row>
    <row r="1803" spans="3:13" hidden="1" x14ac:dyDescent="0.25">
      <c r="C1803" t="s">
        <v>64</v>
      </c>
      <c r="D1803" t="s">
        <v>120</v>
      </c>
      <c r="E1803" t="s">
        <v>60</v>
      </c>
      <c r="F1803" t="s">
        <v>25</v>
      </c>
      <c r="G1803">
        <v>11</v>
      </c>
      <c r="H1803" t="s">
        <v>70</v>
      </c>
      <c r="I1803" t="s">
        <v>121</v>
      </c>
      <c r="J1803" t="s">
        <v>122</v>
      </c>
      <c r="K1803">
        <v>0</v>
      </c>
      <c r="L1803" s="84">
        <v>-682</v>
      </c>
      <c r="M1803" s="84">
        <v>0</v>
      </c>
    </row>
    <row r="1804" spans="3:13" hidden="1" x14ac:dyDescent="0.25">
      <c r="C1804" t="s">
        <v>64</v>
      </c>
      <c r="D1804" t="s">
        <v>120</v>
      </c>
      <c r="E1804" t="s">
        <v>63</v>
      </c>
      <c r="F1804" t="s">
        <v>123</v>
      </c>
      <c r="G1804">
        <v>2</v>
      </c>
      <c r="H1804" t="s">
        <v>73</v>
      </c>
      <c r="I1804" t="s">
        <v>121</v>
      </c>
      <c r="J1804" t="s">
        <v>122</v>
      </c>
      <c r="K1804">
        <v>0</v>
      </c>
      <c r="L1804" s="84">
        <v>35364</v>
      </c>
      <c r="M1804" s="84">
        <v>70728</v>
      </c>
    </row>
    <row r="1805" spans="3:13" hidden="1" x14ac:dyDescent="0.25">
      <c r="C1805" t="s">
        <v>65</v>
      </c>
      <c r="D1805" t="s">
        <v>125</v>
      </c>
      <c r="E1805" t="s">
        <v>63</v>
      </c>
      <c r="F1805" t="s">
        <v>25</v>
      </c>
      <c r="G1805">
        <v>34</v>
      </c>
      <c r="I1805" t="s">
        <v>121</v>
      </c>
      <c r="J1805" t="s">
        <v>122</v>
      </c>
      <c r="K1805">
        <v>0</v>
      </c>
      <c r="L1805" s="84">
        <v>32217</v>
      </c>
      <c r="M1805" s="84">
        <v>1095378</v>
      </c>
    </row>
    <row r="1806" spans="3:13" hidden="1" x14ac:dyDescent="0.25">
      <c r="C1806" t="s">
        <v>65</v>
      </c>
      <c r="D1806" t="s">
        <v>120</v>
      </c>
      <c r="E1806" t="s">
        <v>63</v>
      </c>
      <c r="F1806" t="s">
        <v>25</v>
      </c>
      <c r="G1806">
        <v>7</v>
      </c>
      <c r="H1806" t="s">
        <v>69</v>
      </c>
      <c r="I1806" t="s">
        <v>121</v>
      </c>
      <c r="J1806" t="s">
        <v>122</v>
      </c>
      <c r="K1806">
        <v>0</v>
      </c>
      <c r="L1806" s="84">
        <v>913798</v>
      </c>
      <c r="M1806" s="84">
        <v>6396586</v>
      </c>
    </row>
    <row r="1807" spans="3:13" hidden="1" x14ac:dyDescent="0.25">
      <c r="C1807" t="s">
        <v>64</v>
      </c>
      <c r="D1807" t="s">
        <v>125</v>
      </c>
      <c r="E1807" t="s">
        <v>60</v>
      </c>
      <c r="F1807" t="s">
        <v>25</v>
      </c>
      <c r="G1807">
        <v>-1</v>
      </c>
      <c r="I1807" t="s">
        <v>121</v>
      </c>
      <c r="J1807" t="s">
        <v>122</v>
      </c>
      <c r="K1807">
        <v>0</v>
      </c>
      <c r="L1807" s="84">
        <v>-1241</v>
      </c>
      <c r="M1807" s="84">
        <v>0</v>
      </c>
    </row>
    <row r="1808" spans="3:13" hidden="1" x14ac:dyDescent="0.25">
      <c r="C1808" t="s">
        <v>119</v>
      </c>
      <c r="D1808" t="s">
        <v>120</v>
      </c>
      <c r="E1808" t="s">
        <v>63</v>
      </c>
      <c r="F1808" t="s">
        <v>124</v>
      </c>
      <c r="G1808">
        <v>11</v>
      </c>
      <c r="H1808" t="s">
        <v>18</v>
      </c>
      <c r="I1808" t="s">
        <v>121</v>
      </c>
      <c r="J1808" t="s">
        <v>122</v>
      </c>
      <c r="K1808">
        <v>0</v>
      </c>
      <c r="L1808" s="84">
        <v>1192218</v>
      </c>
      <c r="M1808" s="84">
        <v>13114398</v>
      </c>
    </row>
    <row r="1809" spans="3:13" hidden="1" x14ac:dyDescent="0.25">
      <c r="C1809" t="s">
        <v>65</v>
      </c>
      <c r="D1809" t="s">
        <v>120</v>
      </c>
      <c r="E1809" t="s">
        <v>63</v>
      </c>
      <c r="F1809" t="s">
        <v>25</v>
      </c>
      <c r="G1809">
        <v>3</v>
      </c>
      <c r="H1809" t="s">
        <v>67</v>
      </c>
      <c r="I1809" t="s">
        <v>121</v>
      </c>
      <c r="J1809" t="s">
        <v>122</v>
      </c>
      <c r="K1809">
        <v>0</v>
      </c>
      <c r="L1809" s="84">
        <v>33708</v>
      </c>
      <c r="M1809" s="84">
        <v>101124</v>
      </c>
    </row>
    <row r="1810" spans="3:13" hidden="1" x14ac:dyDescent="0.25">
      <c r="C1810" t="s">
        <v>119</v>
      </c>
      <c r="D1810" t="s">
        <v>120</v>
      </c>
      <c r="E1810" t="s">
        <v>60</v>
      </c>
      <c r="F1810" t="s">
        <v>123</v>
      </c>
      <c r="G1810">
        <v>2</v>
      </c>
      <c r="H1810" t="s">
        <v>70</v>
      </c>
      <c r="I1810" t="s">
        <v>121</v>
      </c>
      <c r="J1810" t="s">
        <v>122</v>
      </c>
      <c r="K1810">
        <v>0</v>
      </c>
      <c r="L1810" s="84">
        <v>-6814</v>
      </c>
      <c r="M1810" s="84">
        <v>0</v>
      </c>
    </row>
    <row r="1811" spans="3:13" hidden="1" x14ac:dyDescent="0.25">
      <c r="C1811" t="s">
        <v>65</v>
      </c>
      <c r="D1811" t="s">
        <v>120</v>
      </c>
      <c r="E1811" t="s">
        <v>60</v>
      </c>
      <c r="F1811" t="s">
        <v>25</v>
      </c>
      <c r="G1811">
        <v>-4</v>
      </c>
      <c r="H1811" t="s">
        <v>74</v>
      </c>
      <c r="I1811" t="s">
        <v>121</v>
      </c>
      <c r="J1811" t="s">
        <v>122</v>
      </c>
      <c r="K1811">
        <v>0</v>
      </c>
      <c r="L1811" s="84">
        <v>-175</v>
      </c>
      <c r="M1811" s="84">
        <v>0</v>
      </c>
    </row>
    <row r="1812" spans="3:13" hidden="1" x14ac:dyDescent="0.25">
      <c r="C1812" t="s">
        <v>64</v>
      </c>
      <c r="D1812" t="s">
        <v>120</v>
      </c>
      <c r="E1812" t="s">
        <v>60</v>
      </c>
      <c r="F1812" t="s">
        <v>24</v>
      </c>
      <c r="G1812">
        <v>3</v>
      </c>
      <c r="H1812" t="s">
        <v>76</v>
      </c>
      <c r="I1812" t="s">
        <v>121</v>
      </c>
      <c r="J1812" t="s">
        <v>122</v>
      </c>
      <c r="K1812">
        <v>0</v>
      </c>
      <c r="L1812" s="84">
        <v>-74</v>
      </c>
      <c r="M1812" s="84">
        <v>0</v>
      </c>
    </row>
    <row r="1813" spans="3:13" hidden="1" x14ac:dyDescent="0.25">
      <c r="C1813" t="s">
        <v>64</v>
      </c>
      <c r="D1813" t="s">
        <v>120</v>
      </c>
      <c r="E1813" t="s">
        <v>63</v>
      </c>
      <c r="F1813" t="s">
        <v>24</v>
      </c>
      <c r="G1813">
        <v>2</v>
      </c>
      <c r="H1813" t="s">
        <v>14</v>
      </c>
      <c r="I1813" t="s">
        <v>121</v>
      </c>
      <c r="J1813" t="s">
        <v>122</v>
      </c>
      <c r="K1813">
        <v>0</v>
      </c>
      <c r="L1813" s="84">
        <v>53237</v>
      </c>
      <c r="M1813" s="84">
        <v>106474</v>
      </c>
    </row>
    <row r="1814" spans="3:13" hidden="1" x14ac:dyDescent="0.25">
      <c r="C1814" t="s">
        <v>64</v>
      </c>
      <c r="D1814" t="s">
        <v>120</v>
      </c>
      <c r="E1814" t="s">
        <v>63</v>
      </c>
      <c r="F1814" t="s">
        <v>24</v>
      </c>
      <c r="G1814">
        <v>1</v>
      </c>
      <c r="H1814" t="s">
        <v>68</v>
      </c>
      <c r="I1814" t="s">
        <v>121</v>
      </c>
      <c r="J1814" t="s">
        <v>122</v>
      </c>
      <c r="K1814">
        <v>0</v>
      </c>
      <c r="L1814" s="84">
        <v>6810547</v>
      </c>
      <c r="M1814" s="84">
        <v>6810547</v>
      </c>
    </row>
    <row r="1815" spans="3:13" hidden="1" x14ac:dyDescent="0.25">
      <c r="C1815" t="s">
        <v>65</v>
      </c>
      <c r="D1815" t="s">
        <v>120</v>
      </c>
      <c r="E1815" t="s">
        <v>63</v>
      </c>
      <c r="F1815" t="s">
        <v>124</v>
      </c>
      <c r="G1815">
        <v>4</v>
      </c>
      <c r="H1815" t="s">
        <v>17</v>
      </c>
      <c r="I1815" t="s">
        <v>62</v>
      </c>
      <c r="J1815" t="s">
        <v>66</v>
      </c>
      <c r="K1815">
        <v>1</v>
      </c>
      <c r="L1815" s="84">
        <v>45423</v>
      </c>
      <c r="M1815" s="84">
        <v>181692</v>
      </c>
    </row>
    <row r="1816" spans="3:13" hidden="1" x14ac:dyDescent="0.25">
      <c r="C1816" t="s">
        <v>119</v>
      </c>
      <c r="D1816" t="s">
        <v>120</v>
      </c>
      <c r="E1816" t="s">
        <v>60</v>
      </c>
      <c r="F1816" t="s">
        <v>124</v>
      </c>
      <c r="G1816">
        <v>12</v>
      </c>
      <c r="H1816" t="s">
        <v>67</v>
      </c>
      <c r="I1816" t="s">
        <v>121</v>
      </c>
      <c r="J1816" t="s">
        <v>122</v>
      </c>
      <c r="K1816">
        <v>0</v>
      </c>
      <c r="L1816" s="84">
        <v>-1462</v>
      </c>
      <c r="M1816" s="84">
        <v>0</v>
      </c>
    </row>
    <row r="1817" spans="3:13" hidden="1" x14ac:dyDescent="0.25">
      <c r="C1817" t="s">
        <v>64</v>
      </c>
      <c r="D1817" t="s">
        <v>120</v>
      </c>
      <c r="E1817" t="s">
        <v>60</v>
      </c>
      <c r="F1817" t="s">
        <v>124</v>
      </c>
      <c r="G1817">
        <v>0</v>
      </c>
      <c r="H1817" t="s">
        <v>16</v>
      </c>
      <c r="I1817" t="s">
        <v>121</v>
      </c>
      <c r="J1817" t="s">
        <v>122</v>
      </c>
      <c r="K1817">
        <v>0</v>
      </c>
      <c r="L1817" s="84">
        <v>-174</v>
      </c>
      <c r="M1817" s="84">
        <v>0</v>
      </c>
    </row>
    <row r="1818" spans="3:13" hidden="1" x14ac:dyDescent="0.25">
      <c r="C1818" t="s">
        <v>65</v>
      </c>
      <c r="D1818" t="s">
        <v>125</v>
      </c>
      <c r="E1818" t="s">
        <v>60</v>
      </c>
      <c r="F1818" t="s">
        <v>25</v>
      </c>
      <c r="G1818">
        <v>22</v>
      </c>
      <c r="I1818" t="s">
        <v>121</v>
      </c>
      <c r="J1818" t="s">
        <v>122</v>
      </c>
      <c r="K1818">
        <v>0</v>
      </c>
      <c r="L1818" s="84">
        <v>-35116</v>
      </c>
      <c r="M1818" s="84">
        <v>0</v>
      </c>
    </row>
    <row r="1819" spans="3:13" hidden="1" x14ac:dyDescent="0.25">
      <c r="C1819" t="s">
        <v>64</v>
      </c>
      <c r="D1819" t="s">
        <v>120</v>
      </c>
      <c r="E1819" t="s">
        <v>60</v>
      </c>
      <c r="F1819" t="s">
        <v>25</v>
      </c>
      <c r="G1819">
        <v>1</v>
      </c>
      <c r="H1819" t="s">
        <v>12</v>
      </c>
      <c r="I1819" t="s">
        <v>121</v>
      </c>
      <c r="J1819" t="s">
        <v>122</v>
      </c>
      <c r="K1819">
        <v>0</v>
      </c>
      <c r="L1819" s="84">
        <v>-3166</v>
      </c>
      <c r="M1819" s="84">
        <v>0</v>
      </c>
    </row>
    <row r="1820" spans="3:13" hidden="1" x14ac:dyDescent="0.25">
      <c r="C1820" t="s">
        <v>64</v>
      </c>
      <c r="D1820" t="s">
        <v>125</v>
      </c>
      <c r="E1820" t="s">
        <v>60</v>
      </c>
      <c r="F1820" t="s">
        <v>24</v>
      </c>
      <c r="G1820">
        <v>45</v>
      </c>
      <c r="I1820" t="s">
        <v>121</v>
      </c>
      <c r="J1820" t="s">
        <v>122</v>
      </c>
      <c r="K1820">
        <v>0</v>
      </c>
      <c r="L1820" s="84">
        <v>-2212</v>
      </c>
      <c r="M1820" s="84">
        <v>0</v>
      </c>
    </row>
    <row r="1821" spans="3:13" hidden="1" x14ac:dyDescent="0.25">
      <c r="C1821" t="s">
        <v>119</v>
      </c>
      <c r="D1821" t="s">
        <v>120</v>
      </c>
      <c r="E1821" t="s">
        <v>60</v>
      </c>
      <c r="F1821" t="s">
        <v>25</v>
      </c>
      <c r="G1821">
        <v>8</v>
      </c>
      <c r="H1821" t="s">
        <v>18</v>
      </c>
      <c r="I1821" t="s">
        <v>121</v>
      </c>
      <c r="J1821" t="s">
        <v>122</v>
      </c>
      <c r="K1821">
        <v>0</v>
      </c>
      <c r="L1821" s="84">
        <v>-13263</v>
      </c>
      <c r="M1821" s="84">
        <v>0</v>
      </c>
    </row>
    <row r="1822" spans="3:13" hidden="1" x14ac:dyDescent="0.25">
      <c r="C1822" t="s">
        <v>64</v>
      </c>
      <c r="D1822" t="s">
        <v>120</v>
      </c>
      <c r="E1822" t="s">
        <v>63</v>
      </c>
      <c r="F1822" t="s">
        <v>123</v>
      </c>
      <c r="G1822">
        <v>-1</v>
      </c>
      <c r="H1822" t="s">
        <v>14</v>
      </c>
      <c r="I1822" t="s">
        <v>121</v>
      </c>
      <c r="J1822" t="s">
        <v>122</v>
      </c>
      <c r="K1822">
        <v>0</v>
      </c>
      <c r="L1822" s="84">
        <v>2017774</v>
      </c>
      <c r="M1822" s="84">
        <v>0</v>
      </c>
    </row>
    <row r="1823" spans="3:13" hidden="1" x14ac:dyDescent="0.25">
      <c r="C1823" t="s">
        <v>119</v>
      </c>
      <c r="D1823" t="s">
        <v>120</v>
      </c>
      <c r="E1823" t="s">
        <v>63</v>
      </c>
      <c r="F1823" t="s">
        <v>123</v>
      </c>
      <c r="G1823">
        <v>3</v>
      </c>
      <c r="H1823" t="s">
        <v>16</v>
      </c>
      <c r="I1823" t="s">
        <v>121</v>
      </c>
      <c r="J1823" t="s">
        <v>122</v>
      </c>
      <c r="K1823">
        <v>0</v>
      </c>
      <c r="L1823" s="84">
        <v>277074</v>
      </c>
      <c r="M1823" s="84">
        <v>831222</v>
      </c>
    </row>
    <row r="1824" spans="3:13" hidden="1" x14ac:dyDescent="0.25">
      <c r="C1824" t="s">
        <v>64</v>
      </c>
      <c r="D1824" t="s">
        <v>120</v>
      </c>
      <c r="E1824" t="s">
        <v>63</v>
      </c>
      <c r="F1824" t="s">
        <v>25</v>
      </c>
      <c r="G1824">
        <v>2</v>
      </c>
      <c r="H1824" t="s">
        <v>68</v>
      </c>
      <c r="I1824" t="s">
        <v>121</v>
      </c>
      <c r="J1824" t="s">
        <v>122</v>
      </c>
      <c r="K1824">
        <v>0</v>
      </c>
      <c r="L1824" s="84">
        <v>1361410</v>
      </c>
      <c r="M1824" s="84">
        <v>2722820</v>
      </c>
    </row>
    <row r="1825" spans="3:13" hidden="1" x14ac:dyDescent="0.25">
      <c r="C1825" t="s">
        <v>119</v>
      </c>
      <c r="D1825" t="s">
        <v>120</v>
      </c>
      <c r="E1825" t="s">
        <v>60</v>
      </c>
      <c r="F1825" t="s">
        <v>123</v>
      </c>
      <c r="G1825">
        <v>2</v>
      </c>
      <c r="H1825" t="s">
        <v>75</v>
      </c>
      <c r="I1825" t="s">
        <v>121</v>
      </c>
      <c r="J1825" t="s">
        <v>122</v>
      </c>
      <c r="K1825">
        <v>0</v>
      </c>
      <c r="L1825" s="84">
        <v>-18918</v>
      </c>
      <c r="M1825" s="84">
        <v>0</v>
      </c>
    </row>
    <row r="1826" spans="3:13" hidden="1" x14ac:dyDescent="0.25">
      <c r="C1826" t="s">
        <v>119</v>
      </c>
      <c r="D1826" t="s">
        <v>120</v>
      </c>
      <c r="E1826" t="s">
        <v>63</v>
      </c>
      <c r="F1826" t="s">
        <v>24</v>
      </c>
      <c r="G1826">
        <v>10</v>
      </c>
      <c r="H1826" t="s">
        <v>61</v>
      </c>
      <c r="I1826" t="s">
        <v>121</v>
      </c>
      <c r="J1826" t="s">
        <v>122</v>
      </c>
      <c r="K1826">
        <v>0</v>
      </c>
      <c r="L1826" s="84">
        <v>371769</v>
      </c>
      <c r="M1826" s="84">
        <v>3717690</v>
      </c>
    </row>
    <row r="1827" spans="3:13" hidden="1" x14ac:dyDescent="0.25">
      <c r="C1827" t="s">
        <v>65</v>
      </c>
      <c r="D1827" t="s">
        <v>120</v>
      </c>
      <c r="E1827" t="s">
        <v>63</v>
      </c>
      <c r="F1827" t="s">
        <v>123</v>
      </c>
      <c r="G1827">
        <v>-4</v>
      </c>
      <c r="H1827" t="s">
        <v>17</v>
      </c>
      <c r="I1827" t="s">
        <v>62</v>
      </c>
      <c r="J1827" t="s">
        <v>66</v>
      </c>
      <c r="K1827">
        <v>1</v>
      </c>
      <c r="L1827" s="84">
        <v>3217</v>
      </c>
      <c r="M1827" s="84">
        <v>0</v>
      </c>
    </row>
    <row r="1828" spans="3:13" hidden="1" x14ac:dyDescent="0.25">
      <c r="C1828" t="s">
        <v>65</v>
      </c>
      <c r="D1828" t="s">
        <v>120</v>
      </c>
      <c r="E1828" t="s">
        <v>60</v>
      </c>
      <c r="F1828" t="s">
        <v>123</v>
      </c>
      <c r="G1828">
        <v>-4</v>
      </c>
      <c r="H1828" t="s">
        <v>17</v>
      </c>
      <c r="I1828" t="s">
        <v>121</v>
      </c>
      <c r="J1828" t="s">
        <v>66</v>
      </c>
      <c r="K1828">
        <v>1</v>
      </c>
      <c r="L1828" s="84">
        <v>-9869</v>
      </c>
      <c r="M1828" s="84">
        <v>0</v>
      </c>
    </row>
    <row r="1829" spans="3:13" hidden="1" x14ac:dyDescent="0.25">
      <c r="C1829" t="s">
        <v>64</v>
      </c>
      <c r="D1829" t="s">
        <v>120</v>
      </c>
      <c r="E1829" t="s">
        <v>63</v>
      </c>
      <c r="F1829" t="s">
        <v>24</v>
      </c>
      <c r="G1829">
        <v>5</v>
      </c>
      <c r="H1829" t="s">
        <v>14</v>
      </c>
      <c r="I1829" t="s">
        <v>121</v>
      </c>
      <c r="J1829" t="s">
        <v>66</v>
      </c>
      <c r="K1829">
        <v>1</v>
      </c>
      <c r="L1829" s="84">
        <v>95511</v>
      </c>
      <c r="M1829" s="84">
        <v>477555</v>
      </c>
    </row>
    <row r="1830" spans="3:13" hidden="1" x14ac:dyDescent="0.25">
      <c r="C1830" t="s">
        <v>65</v>
      </c>
      <c r="D1830" t="s">
        <v>125</v>
      </c>
      <c r="E1830" t="s">
        <v>63</v>
      </c>
      <c r="F1830" t="s">
        <v>25</v>
      </c>
      <c r="G1830">
        <v>29</v>
      </c>
      <c r="I1830" t="s">
        <v>121</v>
      </c>
      <c r="J1830" t="s">
        <v>122</v>
      </c>
      <c r="K1830">
        <v>0</v>
      </c>
      <c r="L1830" s="84">
        <v>11560</v>
      </c>
      <c r="M1830" s="84">
        <v>335240</v>
      </c>
    </row>
    <row r="1831" spans="3:13" hidden="1" x14ac:dyDescent="0.25">
      <c r="C1831" t="s">
        <v>65</v>
      </c>
      <c r="D1831" t="s">
        <v>120</v>
      </c>
      <c r="E1831" t="s">
        <v>63</v>
      </c>
      <c r="F1831" t="s">
        <v>123</v>
      </c>
      <c r="G1831">
        <v>3</v>
      </c>
      <c r="H1831" t="s">
        <v>76</v>
      </c>
      <c r="I1831" t="s">
        <v>121</v>
      </c>
      <c r="J1831" t="s">
        <v>122</v>
      </c>
      <c r="K1831">
        <v>0</v>
      </c>
      <c r="L1831" s="84">
        <v>84557</v>
      </c>
      <c r="M1831" s="84">
        <v>253671</v>
      </c>
    </row>
    <row r="1832" spans="3:13" hidden="1" x14ac:dyDescent="0.25">
      <c r="C1832" t="s">
        <v>64</v>
      </c>
      <c r="D1832" t="s">
        <v>120</v>
      </c>
      <c r="E1832" t="s">
        <v>60</v>
      </c>
      <c r="F1832" t="s">
        <v>123</v>
      </c>
      <c r="G1832">
        <v>4</v>
      </c>
      <c r="H1832" t="s">
        <v>61</v>
      </c>
      <c r="I1832" t="s">
        <v>121</v>
      </c>
      <c r="J1832" t="s">
        <v>122</v>
      </c>
      <c r="K1832">
        <v>0</v>
      </c>
      <c r="L1832" s="84">
        <v>-30518</v>
      </c>
      <c r="M1832" s="84">
        <v>0</v>
      </c>
    </row>
    <row r="1833" spans="3:13" hidden="1" x14ac:dyDescent="0.25">
      <c r="C1833" t="s">
        <v>64</v>
      </c>
      <c r="D1833" t="s">
        <v>120</v>
      </c>
      <c r="E1833" t="s">
        <v>63</v>
      </c>
      <c r="F1833" t="s">
        <v>123</v>
      </c>
      <c r="G1833">
        <v>2</v>
      </c>
      <c r="H1833" t="s">
        <v>72</v>
      </c>
      <c r="I1833" t="s">
        <v>121</v>
      </c>
      <c r="J1833" t="s">
        <v>122</v>
      </c>
      <c r="K1833">
        <v>0</v>
      </c>
      <c r="L1833" s="84">
        <v>299695</v>
      </c>
      <c r="M1833" s="84">
        <v>599390</v>
      </c>
    </row>
    <row r="1834" spans="3:13" hidden="1" x14ac:dyDescent="0.25">
      <c r="C1834" t="s">
        <v>65</v>
      </c>
      <c r="D1834" t="s">
        <v>120</v>
      </c>
      <c r="E1834" t="s">
        <v>63</v>
      </c>
      <c r="F1834" t="s">
        <v>123</v>
      </c>
      <c r="G1834">
        <v>0</v>
      </c>
      <c r="H1834" t="s">
        <v>73</v>
      </c>
      <c r="I1834" t="s">
        <v>121</v>
      </c>
      <c r="J1834" t="s">
        <v>122</v>
      </c>
      <c r="K1834">
        <v>0</v>
      </c>
      <c r="L1834" s="84">
        <v>15018</v>
      </c>
      <c r="M1834" s="84">
        <v>0</v>
      </c>
    </row>
    <row r="1835" spans="3:13" hidden="1" x14ac:dyDescent="0.25">
      <c r="C1835" t="s">
        <v>119</v>
      </c>
      <c r="D1835" t="s">
        <v>125</v>
      </c>
      <c r="E1835" t="s">
        <v>60</v>
      </c>
      <c r="F1835" t="s">
        <v>24</v>
      </c>
      <c r="G1835">
        <v>45</v>
      </c>
      <c r="I1835" t="s">
        <v>121</v>
      </c>
      <c r="J1835" t="s">
        <v>122</v>
      </c>
      <c r="K1835">
        <v>0</v>
      </c>
      <c r="L1835" s="84">
        <v>-914</v>
      </c>
      <c r="M1835" s="84">
        <v>0</v>
      </c>
    </row>
    <row r="1836" spans="3:13" hidden="1" x14ac:dyDescent="0.25">
      <c r="C1836" t="s">
        <v>119</v>
      </c>
      <c r="D1836" t="s">
        <v>120</v>
      </c>
      <c r="E1836" t="s">
        <v>60</v>
      </c>
      <c r="F1836" t="s">
        <v>25</v>
      </c>
      <c r="G1836">
        <v>11</v>
      </c>
      <c r="H1836" t="s">
        <v>69</v>
      </c>
      <c r="I1836" t="s">
        <v>121</v>
      </c>
      <c r="J1836" t="s">
        <v>122</v>
      </c>
      <c r="K1836">
        <v>0</v>
      </c>
      <c r="L1836" s="84">
        <v>-71375</v>
      </c>
      <c r="M1836" s="84">
        <v>0</v>
      </c>
    </row>
    <row r="1837" spans="3:13" hidden="1" x14ac:dyDescent="0.25">
      <c r="C1837" t="s">
        <v>64</v>
      </c>
      <c r="D1837" t="s">
        <v>120</v>
      </c>
      <c r="E1837" t="s">
        <v>60</v>
      </c>
      <c r="F1837" t="s">
        <v>123</v>
      </c>
      <c r="G1837">
        <v>1</v>
      </c>
      <c r="H1837" t="s">
        <v>15</v>
      </c>
      <c r="I1837" t="s">
        <v>121</v>
      </c>
      <c r="J1837" t="s">
        <v>66</v>
      </c>
      <c r="K1837">
        <v>1</v>
      </c>
      <c r="L1837" s="84">
        <v>-145</v>
      </c>
      <c r="M1837" s="84">
        <v>0</v>
      </c>
    </row>
    <row r="1838" spans="3:13" hidden="1" x14ac:dyDescent="0.25">
      <c r="C1838" t="s">
        <v>64</v>
      </c>
      <c r="D1838" t="s">
        <v>120</v>
      </c>
      <c r="E1838" t="s">
        <v>63</v>
      </c>
      <c r="F1838" t="s">
        <v>25</v>
      </c>
      <c r="G1838">
        <v>2</v>
      </c>
      <c r="H1838" t="s">
        <v>61</v>
      </c>
      <c r="I1838" t="s">
        <v>121</v>
      </c>
      <c r="J1838" t="s">
        <v>122</v>
      </c>
      <c r="K1838">
        <v>0</v>
      </c>
      <c r="L1838" s="84">
        <v>26597</v>
      </c>
      <c r="M1838" s="84">
        <v>53194</v>
      </c>
    </row>
    <row r="1839" spans="3:13" hidden="1" x14ac:dyDescent="0.25">
      <c r="C1839" t="s">
        <v>119</v>
      </c>
      <c r="D1839" t="s">
        <v>120</v>
      </c>
      <c r="E1839" t="s">
        <v>63</v>
      </c>
      <c r="F1839" t="s">
        <v>123</v>
      </c>
      <c r="G1839">
        <v>0</v>
      </c>
      <c r="H1839" t="s">
        <v>17</v>
      </c>
      <c r="I1839" t="s">
        <v>121</v>
      </c>
      <c r="J1839" t="s">
        <v>122</v>
      </c>
      <c r="K1839">
        <v>0</v>
      </c>
      <c r="L1839" s="84">
        <v>674951</v>
      </c>
      <c r="M1839" s="84">
        <v>0</v>
      </c>
    </row>
    <row r="1840" spans="3:13" hidden="1" x14ac:dyDescent="0.25">
      <c r="C1840" t="s">
        <v>119</v>
      </c>
      <c r="D1840" t="s">
        <v>120</v>
      </c>
      <c r="E1840" t="s">
        <v>63</v>
      </c>
      <c r="F1840" t="s">
        <v>24</v>
      </c>
      <c r="G1840">
        <v>3</v>
      </c>
      <c r="H1840" t="s">
        <v>67</v>
      </c>
      <c r="I1840" t="s">
        <v>121</v>
      </c>
      <c r="J1840" t="s">
        <v>122</v>
      </c>
      <c r="K1840">
        <v>0</v>
      </c>
      <c r="L1840" s="84">
        <v>442542</v>
      </c>
      <c r="M1840" s="84">
        <v>1327626</v>
      </c>
    </row>
    <row r="1841" spans="3:13" hidden="1" x14ac:dyDescent="0.25">
      <c r="C1841" t="s">
        <v>119</v>
      </c>
      <c r="D1841" t="s">
        <v>120</v>
      </c>
      <c r="E1841" t="s">
        <v>63</v>
      </c>
      <c r="F1841" t="s">
        <v>25</v>
      </c>
      <c r="G1841">
        <v>10</v>
      </c>
      <c r="H1841" t="s">
        <v>71</v>
      </c>
      <c r="I1841" t="s">
        <v>121</v>
      </c>
      <c r="J1841" t="s">
        <v>122</v>
      </c>
      <c r="K1841">
        <v>0</v>
      </c>
      <c r="L1841" s="84">
        <v>774336</v>
      </c>
      <c r="M1841" s="84">
        <v>7743360</v>
      </c>
    </row>
    <row r="1842" spans="3:13" hidden="1" x14ac:dyDescent="0.25">
      <c r="C1842" t="s">
        <v>65</v>
      </c>
      <c r="D1842" t="s">
        <v>120</v>
      </c>
      <c r="E1842" t="s">
        <v>63</v>
      </c>
      <c r="F1842" t="s">
        <v>124</v>
      </c>
      <c r="G1842">
        <v>2</v>
      </c>
      <c r="H1842" t="s">
        <v>75</v>
      </c>
      <c r="I1842" t="s">
        <v>121</v>
      </c>
      <c r="J1842" t="s">
        <v>122</v>
      </c>
      <c r="K1842">
        <v>0</v>
      </c>
      <c r="L1842" s="84">
        <v>3035247</v>
      </c>
      <c r="M1842" s="84">
        <v>6070494</v>
      </c>
    </row>
    <row r="1843" spans="3:13" hidden="1" x14ac:dyDescent="0.25">
      <c r="C1843" t="s">
        <v>65</v>
      </c>
      <c r="D1843" t="s">
        <v>120</v>
      </c>
      <c r="E1843" t="s">
        <v>60</v>
      </c>
      <c r="F1843" t="s">
        <v>25</v>
      </c>
      <c r="G1843">
        <v>6</v>
      </c>
      <c r="H1843" t="s">
        <v>75</v>
      </c>
      <c r="I1843" t="s">
        <v>121</v>
      </c>
      <c r="J1843" t="s">
        <v>122</v>
      </c>
      <c r="K1843">
        <v>0</v>
      </c>
      <c r="L1843" s="84">
        <v>-162673</v>
      </c>
      <c r="M1843" s="84">
        <v>0</v>
      </c>
    </row>
    <row r="1844" spans="3:13" hidden="1" x14ac:dyDescent="0.25">
      <c r="C1844" t="s">
        <v>119</v>
      </c>
      <c r="D1844" t="s">
        <v>120</v>
      </c>
      <c r="E1844" t="s">
        <v>63</v>
      </c>
      <c r="F1844" t="s">
        <v>123</v>
      </c>
      <c r="G1844">
        <v>3</v>
      </c>
      <c r="H1844" t="s">
        <v>18</v>
      </c>
      <c r="I1844" t="s">
        <v>121</v>
      </c>
      <c r="J1844" t="s">
        <v>122</v>
      </c>
      <c r="K1844">
        <v>0</v>
      </c>
      <c r="L1844" s="84">
        <v>12167515</v>
      </c>
      <c r="M1844" s="84">
        <v>36502545</v>
      </c>
    </row>
    <row r="1845" spans="3:13" hidden="1" x14ac:dyDescent="0.25">
      <c r="C1845" t="s">
        <v>65</v>
      </c>
      <c r="D1845" t="s">
        <v>125</v>
      </c>
      <c r="E1845" t="s">
        <v>63</v>
      </c>
      <c r="F1845" t="s">
        <v>24</v>
      </c>
      <c r="G1845">
        <v>37</v>
      </c>
      <c r="I1845" t="s">
        <v>121</v>
      </c>
      <c r="J1845" t="s">
        <v>122</v>
      </c>
      <c r="K1845">
        <v>0</v>
      </c>
      <c r="L1845" s="84">
        <v>7800505</v>
      </c>
      <c r="M1845" s="84">
        <v>288618685</v>
      </c>
    </row>
    <row r="1846" spans="3:13" hidden="1" x14ac:dyDescent="0.25">
      <c r="C1846" t="s">
        <v>65</v>
      </c>
      <c r="D1846" t="s">
        <v>120</v>
      </c>
      <c r="E1846" t="s">
        <v>60</v>
      </c>
      <c r="F1846" t="s">
        <v>124</v>
      </c>
      <c r="G1846">
        <v>3</v>
      </c>
      <c r="H1846" t="s">
        <v>18</v>
      </c>
      <c r="I1846" t="s">
        <v>121</v>
      </c>
      <c r="J1846" t="s">
        <v>122</v>
      </c>
      <c r="K1846">
        <v>0</v>
      </c>
      <c r="L1846" s="84">
        <v>-1768853</v>
      </c>
      <c r="M1846" s="84">
        <v>0</v>
      </c>
    </row>
    <row r="1847" spans="3:13" hidden="1" x14ac:dyDescent="0.25">
      <c r="C1847" t="s">
        <v>64</v>
      </c>
      <c r="D1847" t="s">
        <v>120</v>
      </c>
      <c r="E1847" t="s">
        <v>60</v>
      </c>
      <c r="F1847" t="s">
        <v>25</v>
      </c>
      <c r="G1847">
        <v>1</v>
      </c>
      <c r="H1847" t="s">
        <v>14</v>
      </c>
      <c r="I1847" t="s">
        <v>121</v>
      </c>
      <c r="J1847" t="s">
        <v>122</v>
      </c>
      <c r="K1847">
        <v>0</v>
      </c>
      <c r="L1847" s="84">
        <v>-556</v>
      </c>
      <c r="M1847" s="84">
        <v>0</v>
      </c>
    </row>
    <row r="1848" spans="3:13" hidden="1" x14ac:dyDescent="0.25">
      <c r="C1848" t="s">
        <v>119</v>
      </c>
      <c r="D1848" t="s">
        <v>120</v>
      </c>
      <c r="E1848" t="s">
        <v>63</v>
      </c>
      <c r="F1848" t="s">
        <v>124</v>
      </c>
      <c r="G1848">
        <v>9</v>
      </c>
      <c r="H1848" t="s">
        <v>17</v>
      </c>
      <c r="I1848" t="s">
        <v>121</v>
      </c>
      <c r="J1848" t="s">
        <v>122</v>
      </c>
      <c r="K1848">
        <v>0</v>
      </c>
      <c r="L1848" s="84">
        <v>1704043</v>
      </c>
      <c r="M1848" s="84">
        <v>15336387</v>
      </c>
    </row>
    <row r="1849" spans="3:13" hidden="1" x14ac:dyDescent="0.25">
      <c r="C1849" t="s">
        <v>64</v>
      </c>
      <c r="D1849" t="s">
        <v>120</v>
      </c>
      <c r="E1849" t="s">
        <v>60</v>
      </c>
      <c r="F1849" t="s">
        <v>124</v>
      </c>
      <c r="G1849">
        <v>0</v>
      </c>
      <c r="H1849" t="s">
        <v>18</v>
      </c>
      <c r="I1849" t="s">
        <v>121</v>
      </c>
      <c r="J1849" t="s">
        <v>122</v>
      </c>
      <c r="K1849">
        <v>0</v>
      </c>
      <c r="L1849" s="84">
        <v>-352065</v>
      </c>
      <c r="M1849" s="84">
        <v>0</v>
      </c>
    </row>
    <row r="1850" spans="3:13" hidden="1" x14ac:dyDescent="0.25">
      <c r="C1850" t="s">
        <v>64</v>
      </c>
      <c r="D1850" t="s">
        <v>120</v>
      </c>
      <c r="E1850" t="s">
        <v>63</v>
      </c>
      <c r="F1850" t="s">
        <v>123</v>
      </c>
      <c r="G1850">
        <v>4</v>
      </c>
      <c r="H1850" t="s">
        <v>13</v>
      </c>
      <c r="I1850" t="s">
        <v>121</v>
      </c>
      <c r="J1850" t="s">
        <v>122</v>
      </c>
      <c r="K1850">
        <v>0</v>
      </c>
      <c r="L1850" s="84">
        <v>137023</v>
      </c>
      <c r="M1850" s="84">
        <v>548092</v>
      </c>
    </row>
    <row r="1851" spans="3:13" hidden="1" x14ac:dyDescent="0.25">
      <c r="C1851" t="s">
        <v>119</v>
      </c>
      <c r="D1851" t="s">
        <v>120</v>
      </c>
      <c r="E1851" t="s">
        <v>60</v>
      </c>
      <c r="F1851" t="s">
        <v>123</v>
      </c>
      <c r="G1851">
        <v>4</v>
      </c>
      <c r="H1851" t="s">
        <v>61</v>
      </c>
      <c r="I1851" t="s">
        <v>121</v>
      </c>
      <c r="J1851" t="s">
        <v>122</v>
      </c>
      <c r="K1851">
        <v>0</v>
      </c>
      <c r="L1851" s="84">
        <v>-23611</v>
      </c>
      <c r="M1851" s="84">
        <v>0</v>
      </c>
    </row>
    <row r="1852" spans="3:13" hidden="1" x14ac:dyDescent="0.25">
      <c r="C1852" t="s">
        <v>119</v>
      </c>
      <c r="D1852" t="s">
        <v>120</v>
      </c>
      <c r="E1852" t="s">
        <v>60</v>
      </c>
      <c r="F1852" t="s">
        <v>123</v>
      </c>
      <c r="G1852">
        <v>7</v>
      </c>
      <c r="H1852" t="s">
        <v>17</v>
      </c>
      <c r="I1852" t="s">
        <v>121</v>
      </c>
      <c r="J1852" t="s">
        <v>122</v>
      </c>
      <c r="K1852">
        <v>0</v>
      </c>
      <c r="L1852" s="84">
        <v>-970</v>
      </c>
      <c r="M1852" s="84">
        <v>0</v>
      </c>
    </row>
    <row r="1853" spans="3:13" hidden="1" x14ac:dyDescent="0.25">
      <c r="C1853" t="s">
        <v>64</v>
      </c>
      <c r="D1853" t="s">
        <v>120</v>
      </c>
      <c r="E1853" t="s">
        <v>63</v>
      </c>
      <c r="F1853" t="s">
        <v>25</v>
      </c>
      <c r="G1853">
        <v>14</v>
      </c>
      <c r="H1853" t="s">
        <v>69</v>
      </c>
      <c r="I1853" t="s">
        <v>121</v>
      </c>
      <c r="J1853" t="s">
        <v>122</v>
      </c>
      <c r="K1853">
        <v>0</v>
      </c>
      <c r="L1853" s="84">
        <v>4022058</v>
      </c>
      <c r="M1853" s="84">
        <v>56308812</v>
      </c>
    </row>
    <row r="1854" spans="3:13" hidden="1" x14ac:dyDescent="0.25">
      <c r="C1854" t="s">
        <v>119</v>
      </c>
      <c r="D1854" t="s">
        <v>120</v>
      </c>
      <c r="E1854" t="s">
        <v>63</v>
      </c>
      <c r="F1854" t="s">
        <v>123</v>
      </c>
      <c r="G1854">
        <v>2</v>
      </c>
      <c r="H1854" t="s">
        <v>17</v>
      </c>
      <c r="I1854" t="s">
        <v>121</v>
      </c>
      <c r="J1854" t="s">
        <v>66</v>
      </c>
      <c r="K1854">
        <v>1</v>
      </c>
      <c r="L1854" s="84">
        <v>521893</v>
      </c>
      <c r="M1854" s="84">
        <v>1043786</v>
      </c>
    </row>
    <row r="1855" spans="3:13" hidden="1" x14ac:dyDescent="0.25">
      <c r="C1855" t="s">
        <v>65</v>
      </c>
      <c r="D1855" t="s">
        <v>120</v>
      </c>
      <c r="E1855" t="s">
        <v>60</v>
      </c>
      <c r="F1855" t="s">
        <v>24</v>
      </c>
      <c r="G1855">
        <v>2</v>
      </c>
      <c r="H1855" t="s">
        <v>71</v>
      </c>
      <c r="I1855" t="s">
        <v>121</v>
      </c>
      <c r="J1855" t="s">
        <v>122</v>
      </c>
      <c r="K1855">
        <v>0</v>
      </c>
      <c r="L1855" s="84">
        <v>-11633</v>
      </c>
      <c r="M1855" s="84">
        <v>0</v>
      </c>
    </row>
    <row r="1856" spans="3:13" hidden="1" x14ac:dyDescent="0.25">
      <c r="C1856" t="s">
        <v>65</v>
      </c>
      <c r="D1856" t="s">
        <v>120</v>
      </c>
      <c r="E1856" t="s">
        <v>63</v>
      </c>
      <c r="F1856" t="s">
        <v>124</v>
      </c>
      <c r="G1856">
        <v>7</v>
      </c>
      <c r="H1856" t="s">
        <v>17</v>
      </c>
      <c r="I1856" t="s">
        <v>121</v>
      </c>
      <c r="J1856" t="s">
        <v>122</v>
      </c>
      <c r="K1856">
        <v>0</v>
      </c>
      <c r="L1856" s="84">
        <v>965770</v>
      </c>
      <c r="M1856" s="84">
        <v>6760390</v>
      </c>
    </row>
    <row r="1857" spans="3:13" hidden="1" x14ac:dyDescent="0.25">
      <c r="C1857" t="s">
        <v>119</v>
      </c>
      <c r="D1857" t="s">
        <v>120</v>
      </c>
      <c r="E1857" t="s">
        <v>60</v>
      </c>
      <c r="F1857" t="s">
        <v>123</v>
      </c>
      <c r="G1857">
        <v>1</v>
      </c>
      <c r="H1857" t="s">
        <v>15</v>
      </c>
      <c r="I1857" t="s">
        <v>121</v>
      </c>
      <c r="J1857" t="s">
        <v>66</v>
      </c>
      <c r="K1857">
        <v>1</v>
      </c>
      <c r="L1857" s="84">
        <v>-195</v>
      </c>
      <c r="M1857" s="84">
        <v>0</v>
      </c>
    </row>
    <row r="1858" spans="3:13" hidden="1" x14ac:dyDescent="0.25">
      <c r="C1858" t="s">
        <v>65</v>
      </c>
      <c r="D1858" t="s">
        <v>120</v>
      </c>
      <c r="E1858" t="s">
        <v>63</v>
      </c>
      <c r="F1858" t="s">
        <v>123</v>
      </c>
      <c r="G1858">
        <v>-1</v>
      </c>
      <c r="H1858" t="s">
        <v>14</v>
      </c>
      <c r="I1858" t="s">
        <v>121</v>
      </c>
      <c r="J1858" t="s">
        <v>66</v>
      </c>
      <c r="K1858">
        <v>1</v>
      </c>
      <c r="L1858" s="84">
        <v>20000</v>
      </c>
      <c r="M1858" s="84">
        <v>0</v>
      </c>
    </row>
    <row r="1859" spans="3:13" hidden="1" x14ac:dyDescent="0.25">
      <c r="C1859" t="s">
        <v>65</v>
      </c>
      <c r="D1859" t="s">
        <v>120</v>
      </c>
      <c r="E1859" t="s">
        <v>63</v>
      </c>
      <c r="F1859" t="s">
        <v>124</v>
      </c>
      <c r="G1859">
        <v>4</v>
      </c>
      <c r="H1859" t="s">
        <v>73</v>
      </c>
      <c r="I1859" t="s">
        <v>121</v>
      </c>
      <c r="J1859" t="s">
        <v>122</v>
      </c>
      <c r="K1859">
        <v>0</v>
      </c>
      <c r="L1859" s="84">
        <v>48597</v>
      </c>
      <c r="M1859" s="84">
        <v>194388</v>
      </c>
    </row>
    <row r="1860" spans="3:13" hidden="1" x14ac:dyDescent="0.25">
      <c r="C1860" t="s">
        <v>64</v>
      </c>
      <c r="D1860" t="s">
        <v>120</v>
      </c>
      <c r="E1860" t="s">
        <v>60</v>
      </c>
      <c r="F1860" t="s">
        <v>123</v>
      </c>
      <c r="G1860">
        <v>2</v>
      </c>
      <c r="H1860" t="s">
        <v>75</v>
      </c>
      <c r="I1860" t="s">
        <v>121</v>
      </c>
      <c r="J1860" t="s">
        <v>122</v>
      </c>
      <c r="K1860">
        <v>0</v>
      </c>
      <c r="L1860" s="84">
        <v>-91588</v>
      </c>
      <c r="M1860" s="84">
        <v>0</v>
      </c>
    </row>
    <row r="1861" spans="3:13" hidden="1" x14ac:dyDescent="0.25">
      <c r="C1861" t="s">
        <v>119</v>
      </c>
      <c r="D1861" t="s">
        <v>120</v>
      </c>
      <c r="E1861" t="s">
        <v>63</v>
      </c>
      <c r="F1861" t="s">
        <v>25</v>
      </c>
      <c r="G1861">
        <v>7</v>
      </c>
      <c r="H1861" t="s">
        <v>73</v>
      </c>
      <c r="I1861" t="s">
        <v>121</v>
      </c>
      <c r="J1861" t="s">
        <v>122</v>
      </c>
      <c r="K1861">
        <v>0</v>
      </c>
      <c r="L1861" s="84">
        <v>575752</v>
      </c>
      <c r="M1861" s="84">
        <v>4030264</v>
      </c>
    </row>
    <row r="1862" spans="3:13" hidden="1" x14ac:dyDescent="0.25">
      <c r="C1862" t="s">
        <v>64</v>
      </c>
      <c r="D1862" t="s">
        <v>120</v>
      </c>
      <c r="E1862" t="s">
        <v>60</v>
      </c>
      <c r="F1862" t="s">
        <v>123</v>
      </c>
      <c r="G1862">
        <v>3</v>
      </c>
      <c r="H1862" t="s">
        <v>71</v>
      </c>
      <c r="I1862" t="s">
        <v>121</v>
      </c>
      <c r="J1862" t="s">
        <v>122</v>
      </c>
      <c r="K1862">
        <v>0</v>
      </c>
      <c r="L1862" s="84">
        <v>-152</v>
      </c>
      <c r="M1862" s="84">
        <v>0</v>
      </c>
    </row>
    <row r="1863" spans="3:13" hidden="1" x14ac:dyDescent="0.25">
      <c r="C1863" t="s">
        <v>64</v>
      </c>
      <c r="D1863" t="s">
        <v>120</v>
      </c>
      <c r="E1863" t="s">
        <v>60</v>
      </c>
      <c r="F1863" t="s">
        <v>124</v>
      </c>
      <c r="G1863">
        <v>1</v>
      </c>
      <c r="H1863" t="s">
        <v>68</v>
      </c>
      <c r="I1863" t="s">
        <v>121</v>
      </c>
      <c r="J1863" t="s">
        <v>122</v>
      </c>
      <c r="K1863">
        <v>0</v>
      </c>
      <c r="L1863" s="84">
        <v>-145785</v>
      </c>
      <c r="M1863" s="84">
        <v>0</v>
      </c>
    </row>
    <row r="1864" spans="3:13" hidden="1" x14ac:dyDescent="0.25">
      <c r="C1864" t="s">
        <v>119</v>
      </c>
      <c r="D1864" t="s">
        <v>120</v>
      </c>
      <c r="E1864" t="s">
        <v>63</v>
      </c>
      <c r="F1864" t="s">
        <v>124</v>
      </c>
      <c r="G1864">
        <v>7</v>
      </c>
      <c r="H1864" t="s">
        <v>68</v>
      </c>
      <c r="I1864" t="s">
        <v>121</v>
      </c>
      <c r="J1864" t="s">
        <v>122</v>
      </c>
      <c r="K1864">
        <v>0</v>
      </c>
      <c r="L1864" s="84">
        <v>3931478</v>
      </c>
      <c r="M1864" s="84">
        <v>27520346</v>
      </c>
    </row>
    <row r="1865" spans="3:13" hidden="1" x14ac:dyDescent="0.25">
      <c r="C1865" t="s">
        <v>119</v>
      </c>
      <c r="D1865" t="s">
        <v>120</v>
      </c>
      <c r="E1865" t="s">
        <v>60</v>
      </c>
      <c r="F1865" t="s">
        <v>25</v>
      </c>
      <c r="G1865">
        <v>6</v>
      </c>
      <c r="H1865" t="s">
        <v>68</v>
      </c>
      <c r="I1865" t="s">
        <v>121</v>
      </c>
      <c r="J1865" t="s">
        <v>122</v>
      </c>
      <c r="K1865">
        <v>0</v>
      </c>
      <c r="L1865" s="84">
        <v>-40582</v>
      </c>
      <c r="M1865" s="84">
        <v>0</v>
      </c>
    </row>
    <row r="1866" spans="3:13" hidden="1" x14ac:dyDescent="0.25">
      <c r="C1866" t="s">
        <v>119</v>
      </c>
      <c r="D1866" t="s">
        <v>120</v>
      </c>
      <c r="E1866" t="s">
        <v>63</v>
      </c>
      <c r="F1866" t="s">
        <v>25</v>
      </c>
      <c r="G1866">
        <v>1</v>
      </c>
      <c r="H1866" t="s">
        <v>70</v>
      </c>
      <c r="I1866" t="s">
        <v>121</v>
      </c>
      <c r="J1866" t="s">
        <v>122</v>
      </c>
      <c r="K1866">
        <v>0</v>
      </c>
      <c r="L1866" s="84">
        <v>54920</v>
      </c>
      <c r="M1866" s="84">
        <v>54920</v>
      </c>
    </row>
    <row r="1867" spans="3:13" hidden="1" x14ac:dyDescent="0.25">
      <c r="C1867" t="s">
        <v>119</v>
      </c>
      <c r="D1867" t="s">
        <v>120</v>
      </c>
      <c r="E1867" t="s">
        <v>60</v>
      </c>
      <c r="F1867" t="s">
        <v>24</v>
      </c>
      <c r="G1867">
        <v>3</v>
      </c>
      <c r="H1867" t="s">
        <v>76</v>
      </c>
      <c r="I1867" t="s">
        <v>121</v>
      </c>
      <c r="J1867" t="s">
        <v>122</v>
      </c>
      <c r="K1867">
        <v>0</v>
      </c>
      <c r="L1867" s="84">
        <v>-582</v>
      </c>
      <c r="M1867" s="84">
        <v>0</v>
      </c>
    </row>
    <row r="1868" spans="3:13" hidden="1" x14ac:dyDescent="0.25">
      <c r="C1868" t="s">
        <v>64</v>
      </c>
      <c r="D1868" t="s">
        <v>120</v>
      </c>
      <c r="E1868" t="s">
        <v>60</v>
      </c>
      <c r="F1868" t="s">
        <v>25</v>
      </c>
      <c r="G1868">
        <v>6</v>
      </c>
      <c r="H1868" t="s">
        <v>67</v>
      </c>
      <c r="I1868" t="s">
        <v>121</v>
      </c>
      <c r="J1868" t="s">
        <v>122</v>
      </c>
      <c r="K1868">
        <v>0</v>
      </c>
      <c r="L1868" s="84">
        <v>-4057</v>
      </c>
      <c r="M1868" s="84">
        <v>0</v>
      </c>
    </row>
    <row r="1869" spans="3:13" hidden="1" x14ac:dyDescent="0.25">
      <c r="C1869" t="s">
        <v>64</v>
      </c>
      <c r="D1869" t="s">
        <v>120</v>
      </c>
      <c r="E1869" t="s">
        <v>63</v>
      </c>
      <c r="F1869" t="s">
        <v>24</v>
      </c>
      <c r="G1869">
        <v>2</v>
      </c>
      <c r="H1869" t="s">
        <v>12</v>
      </c>
      <c r="I1869" t="s">
        <v>121</v>
      </c>
      <c r="J1869" t="s">
        <v>66</v>
      </c>
      <c r="K1869">
        <v>1</v>
      </c>
      <c r="L1869" s="84">
        <v>33858</v>
      </c>
      <c r="M1869" s="84">
        <v>67716</v>
      </c>
    </row>
    <row r="1870" spans="3:13" hidden="1" x14ac:dyDescent="0.25">
      <c r="C1870" t="s">
        <v>119</v>
      </c>
      <c r="D1870" t="s">
        <v>120</v>
      </c>
      <c r="E1870" t="s">
        <v>63</v>
      </c>
      <c r="F1870" t="s">
        <v>25</v>
      </c>
      <c r="G1870">
        <v>8</v>
      </c>
      <c r="H1870" t="s">
        <v>61</v>
      </c>
      <c r="I1870" t="s">
        <v>121</v>
      </c>
      <c r="J1870" t="s">
        <v>122</v>
      </c>
      <c r="K1870">
        <v>0</v>
      </c>
      <c r="L1870" s="84">
        <v>6611900</v>
      </c>
      <c r="M1870" s="84">
        <v>52895200</v>
      </c>
    </row>
    <row r="1871" spans="3:13" hidden="1" x14ac:dyDescent="0.25">
      <c r="C1871" t="s">
        <v>119</v>
      </c>
      <c r="D1871" t="s">
        <v>125</v>
      </c>
      <c r="E1871" t="s">
        <v>63</v>
      </c>
      <c r="F1871" t="s">
        <v>24</v>
      </c>
      <c r="G1871">
        <v>17</v>
      </c>
      <c r="I1871" t="s">
        <v>121</v>
      </c>
      <c r="J1871" t="s">
        <v>122</v>
      </c>
      <c r="K1871">
        <v>0</v>
      </c>
      <c r="L1871" s="84">
        <v>352740103</v>
      </c>
      <c r="M1871" s="84">
        <v>5996581751</v>
      </c>
    </row>
    <row r="1872" spans="3:13" hidden="1" x14ac:dyDescent="0.25">
      <c r="C1872" t="s">
        <v>65</v>
      </c>
      <c r="D1872" t="s">
        <v>120</v>
      </c>
      <c r="E1872" t="s">
        <v>63</v>
      </c>
      <c r="F1872" t="s">
        <v>124</v>
      </c>
      <c r="G1872">
        <v>20</v>
      </c>
      <c r="H1872" t="s">
        <v>61</v>
      </c>
      <c r="I1872" t="s">
        <v>121</v>
      </c>
      <c r="J1872" t="s">
        <v>122</v>
      </c>
      <c r="K1872">
        <v>0</v>
      </c>
      <c r="L1872" s="84">
        <v>4424059</v>
      </c>
      <c r="M1872" s="84">
        <v>88481180</v>
      </c>
    </row>
    <row r="1873" spans="3:13" hidden="1" x14ac:dyDescent="0.25">
      <c r="C1873" t="s">
        <v>119</v>
      </c>
      <c r="D1873" t="s">
        <v>120</v>
      </c>
      <c r="E1873" t="s">
        <v>63</v>
      </c>
      <c r="F1873" t="s">
        <v>25</v>
      </c>
      <c r="G1873">
        <v>10</v>
      </c>
      <c r="H1873" t="s">
        <v>61</v>
      </c>
      <c r="I1873" t="s">
        <v>121</v>
      </c>
      <c r="J1873" t="s">
        <v>122</v>
      </c>
      <c r="K1873">
        <v>0</v>
      </c>
      <c r="L1873" s="84">
        <v>1287033</v>
      </c>
      <c r="M1873" s="84">
        <v>12870330</v>
      </c>
    </row>
    <row r="1874" spans="3:13" hidden="1" x14ac:dyDescent="0.25">
      <c r="C1874" t="s">
        <v>65</v>
      </c>
      <c r="D1874" t="s">
        <v>125</v>
      </c>
      <c r="E1874" t="s">
        <v>60</v>
      </c>
      <c r="F1874" t="s">
        <v>25</v>
      </c>
      <c r="G1874">
        <v>21</v>
      </c>
      <c r="I1874" t="s">
        <v>121</v>
      </c>
      <c r="J1874" t="s">
        <v>122</v>
      </c>
      <c r="K1874">
        <v>0</v>
      </c>
      <c r="L1874" s="84">
        <v>-152491</v>
      </c>
      <c r="M1874" s="84">
        <v>0</v>
      </c>
    </row>
    <row r="1875" spans="3:13" hidden="1" x14ac:dyDescent="0.25">
      <c r="C1875" t="s">
        <v>119</v>
      </c>
      <c r="D1875" t="s">
        <v>120</v>
      </c>
      <c r="E1875" t="s">
        <v>60</v>
      </c>
      <c r="F1875" t="s">
        <v>124</v>
      </c>
      <c r="G1875">
        <v>6</v>
      </c>
      <c r="H1875" t="s">
        <v>70</v>
      </c>
      <c r="I1875" t="s">
        <v>121</v>
      </c>
      <c r="J1875" t="s">
        <v>122</v>
      </c>
      <c r="K1875">
        <v>0</v>
      </c>
      <c r="L1875" s="84">
        <v>-155</v>
      </c>
      <c r="M1875" s="84">
        <v>0</v>
      </c>
    </row>
    <row r="1876" spans="3:13" hidden="1" x14ac:dyDescent="0.25">
      <c r="C1876" t="s">
        <v>64</v>
      </c>
      <c r="D1876" t="s">
        <v>120</v>
      </c>
      <c r="E1876" t="s">
        <v>60</v>
      </c>
      <c r="F1876" t="s">
        <v>25</v>
      </c>
      <c r="G1876">
        <v>15</v>
      </c>
      <c r="H1876" t="s">
        <v>16</v>
      </c>
      <c r="I1876" t="s">
        <v>121</v>
      </c>
      <c r="J1876" t="s">
        <v>122</v>
      </c>
      <c r="K1876">
        <v>0</v>
      </c>
      <c r="L1876" s="84">
        <v>-12147</v>
      </c>
      <c r="M1876" s="84">
        <v>0</v>
      </c>
    </row>
    <row r="1877" spans="3:13" hidden="1" x14ac:dyDescent="0.25">
      <c r="C1877" t="s">
        <v>65</v>
      </c>
      <c r="D1877" t="s">
        <v>120</v>
      </c>
      <c r="E1877" t="s">
        <v>60</v>
      </c>
      <c r="F1877" t="s">
        <v>124</v>
      </c>
      <c r="G1877">
        <v>4</v>
      </c>
      <c r="H1877" t="s">
        <v>18</v>
      </c>
      <c r="I1877" t="s">
        <v>121</v>
      </c>
      <c r="J1877" t="s">
        <v>66</v>
      </c>
      <c r="K1877">
        <v>1</v>
      </c>
      <c r="L1877" s="84">
        <v>-80600</v>
      </c>
      <c r="M1877" s="84">
        <v>0</v>
      </c>
    </row>
    <row r="1878" spans="3:13" hidden="1" x14ac:dyDescent="0.25">
      <c r="C1878" t="s">
        <v>119</v>
      </c>
      <c r="D1878" t="s">
        <v>120</v>
      </c>
      <c r="E1878" t="s">
        <v>63</v>
      </c>
      <c r="F1878" t="s">
        <v>124</v>
      </c>
      <c r="G1878">
        <v>3</v>
      </c>
      <c r="H1878" t="s">
        <v>70</v>
      </c>
      <c r="I1878" t="s">
        <v>121</v>
      </c>
      <c r="J1878" t="s">
        <v>122</v>
      </c>
      <c r="K1878">
        <v>0</v>
      </c>
      <c r="L1878" s="84">
        <v>5400576</v>
      </c>
      <c r="M1878" s="84">
        <v>16201728</v>
      </c>
    </row>
    <row r="1879" spans="3:13" hidden="1" x14ac:dyDescent="0.25">
      <c r="C1879" t="s">
        <v>64</v>
      </c>
      <c r="D1879" t="s">
        <v>120</v>
      </c>
      <c r="E1879" t="s">
        <v>63</v>
      </c>
      <c r="F1879" t="s">
        <v>24</v>
      </c>
      <c r="G1879">
        <v>7</v>
      </c>
      <c r="H1879" t="s">
        <v>69</v>
      </c>
      <c r="I1879" t="s">
        <v>121</v>
      </c>
      <c r="J1879" t="s">
        <v>122</v>
      </c>
      <c r="K1879">
        <v>0</v>
      </c>
      <c r="L1879" s="84">
        <v>864049</v>
      </c>
      <c r="M1879" s="84">
        <v>6048343</v>
      </c>
    </row>
    <row r="1880" spans="3:13" hidden="1" x14ac:dyDescent="0.25">
      <c r="C1880" t="s">
        <v>65</v>
      </c>
      <c r="D1880" t="s">
        <v>120</v>
      </c>
      <c r="E1880" t="s">
        <v>63</v>
      </c>
      <c r="F1880" t="s">
        <v>25</v>
      </c>
      <c r="G1880">
        <v>-1</v>
      </c>
      <c r="H1880" t="s">
        <v>67</v>
      </c>
      <c r="I1880" t="s">
        <v>121</v>
      </c>
      <c r="J1880" t="s">
        <v>122</v>
      </c>
      <c r="K1880">
        <v>0</v>
      </c>
      <c r="L1880" s="84">
        <v>218</v>
      </c>
      <c r="M1880" s="84">
        <v>0</v>
      </c>
    </row>
    <row r="1881" spans="3:13" hidden="1" x14ac:dyDescent="0.25">
      <c r="C1881" t="s">
        <v>119</v>
      </c>
      <c r="D1881" t="s">
        <v>120</v>
      </c>
      <c r="E1881" t="s">
        <v>63</v>
      </c>
      <c r="F1881" t="s">
        <v>24</v>
      </c>
      <c r="G1881">
        <v>10</v>
      </c>
      <c r="H1881" t="s">
        <v>71</v>
      </c>
      <c r="I1881" t="s">
        <v>121</v>
      </c>
      <c r="J1881" t="s">
        <v>122</v>
      </c>
      <c r="K1881">
        <v>0</v>
      </c>
      <c r="L1881" s="84">
        <v>102927</v>
      </c>
      <c r="M1881" s="84">
        <v>1029270</v>
      </c>
    </row>
    <row r="1882" spans="3:13" hidden="1" x14ac:dyDescent="0.25">
      <c r="C1882" t="s">
        <v>119</v>
      </c>
      <c r="D1882" t="s">
        <v>120</v>
      </c>
      <c r="E1882" t="s">
        <v>63</v>
      </c>
      <c r="F1882" t="s">
        <v>123</v>
      </c>
      <c r="G1882">
        <v>7</v>
      </c>
      <c r="H1882" t="s">
        <v>14</v>
      </c>
      <c r="I1882" t="s">
        <v>121</v>
      </c>
      <c r="J1882" t="s">
        <v>66</v>
      </c>
      <c r="K1882">
        <v>1</v>
      </c>
      <c r="L1882" s="84">
        <v>278150</v>
      </c>
      <c r="M1882" s="84">
        <v>1947050</v>
      </c>
    </row>
    <row r="1883" spans="3:13" hidden="1" x14ac:dyDescent="0.25">
      <c r="C1883" t="s">
        <v>119</v>
      </c>
      <c r="D1883" t="s">
        <v>120</v>
      </c>
      <c r="E1883" t="s">
        <v>60</v>
      </c>
      <c r="F1883" t="s">
        <v>25</v>
      </c>
      <c r="G1883">
        <v>12</v>
      </c>
      <c r="H1883" t="s">
        <v>75</v>
      </c>
      <c r="I1883" t="s">
        <v>121</v>
      </c>
      <c r="J1883" t="s">
        <v>122</v>
      </c>
      <c r="K1883">
        <v>0</v>
      </c>
      <c r="L1883" s="84">
        <v>-335</v>
      </c>
      <c r="M1883" s="84">
        <v>0</v>
      </c>
    </row>
    <row r="1884" spans="3:13" hidden="1" x14ac:dyDescent="0.25">
      <c r="C1884" t="s">
        <v>119</v>
      </c>
      <c r="D1884" t="s">
        <v>120</v>
      </c>
      <c r="E1884" t="s">
        <v>63</v>
      </c>
      <c r="F1884" t="s">
        <v>123</v>
      </c>
      <c r="G1884">
        <v>6</v>
      </c>
      <c r="H1884" t="s">
        <v>70</v>
      </c>
      <c r="I1884" t="s">
        <v>121</v>
      </c>
      <c r="J1884" t="s">
        <v>122</v>
      </c>
      <c r="K1884">
        <v>0</v>
      </c>
      <c r="L1884" s="84">
        <v>221953</v>
      </c>
      <c r="M1884" s="84">
        <v>1331718</v>
      </c>
    </row>
    <row r="1885" spans="3:13" hidden="1" x14ac:dyDescent="0.25">
      <c r="C1885" t="s">
        <v>64</v>
      </c>
      <c r="D1885" t="s">
        <v>125</v>
      </c>
      <c r="E1885" t="s">
        <v>63</v>
      </c>
      <c r="F1885" t="s">
        <v>24</v>
      </c>
      <c r="G1885">
        <v>16</v>
      </c>
      <c r="I1885" t="s">
        <v>121</v>
      </c>
      <c r="J1885" t="s">
        <v>122</v>
      </c>
      <c r="K1885">
        <v>0</v>
      </c>
      <c r="L1885" s="84">
        <v>27961665</v>
      </c>
      <c r="M1885" s="84">
        <v>447386640</v>
      </c>
    </row>
    <row r="1886" spans="3:13" hidden="1" x14ac:dyDescent="0.25">
      <c r="C1886" t="s">
        <v>65</v>
      </c>
      <c r="D1886" t="s">
        <v>120</v>
      </c>
      <c r="E1886" t="s">
        <v>63</v>
      </c>
      <c r="F1886" t="s">
        <v>124</v>
      </c>
      <c r="G1886">
        <v>15</v>
      </c>
      <c r="H1886" t="s">
        <v>18</v>
      </c>
      <c r="I1886" t="s">
        <v>121</v>
      </c>
      <c r="J1886" t="s">
        <v>122</v>
      </c>
      <c r="K1886">
        <v>0</v>
      </c>
      <c r="L1886" s="84">
        <v>345071</v>
      </c>
      <c r="M1886" s="84">
        <v>5176065</v>
      </c>
    </row>
    <row r="1887" spans="3:13" hidden="1" x14ac:dyDescent="0.25">
      <c r="C1887" t="s">
        <v>64</v>
      </c>
      <c r="D1887" t="s">
        <v>125</v>
      </c>
      <c r="E1887" t="s">
        <v>63</v>
      </c>
      <c r="F1887" t="s">
        <v>25</v>
      </c>
      <c r="G1887">
        <v>8</v>
      </c>
      <c r="I1887" t="s">
        <v>121</v>
      </c>
      <c r="J1887" t="s">
        <v>122</v>
      </c>
      <c r="K1887">
        <v>0</v>
      </c>
      <c r="L1887" s="84">
        <v>1179316</v>
      </c>
      <c r="M1887" s="84">
        <v>9434528</v>
      </c>
    </row>
    <row r="1888" spans="3:13" hidden="1" x14ac:dyDescent="0.25">
      <c r="C1888" t="s">
        <v>64</v>
      </c>
      <c r="D1888" t="s">
        <v>120</v>
      </c>
      <c r="E1888" t="s">
        <v>63</v>
      </c>
      <c r="F1888" t="s">
        <v>24</v>
      </c>
      <c r="G1888">
        <v>1</v>
      </c>
      <c r="H1888" t="s">
        <v>71</v>
      </c>
      <c r="I1888" t="s">
        <v>121</v>
      </c>
      <c r="J1888" t="s">
        <v>122</v>
      </c>
      <c r="K1888">
        <v>0</v>
      </c>
      <c r="L1888" s="84">
        <v>236531</v>
      </c>
      <c r="M1888" s="84">
        <v>236531</v>
      </c>
    </row>
    <row r="1889" spans="3:13" hidden="1" x14ac:dyDescent="0.25">
      <c r="C1889" t="s">
        <v>119</v>
      </c>
      <c r="D1889" t="s">
        <v>120</v>
      </c>
      <c r="E1889" t="s">
        <v>60</v>
      </c>
      <c r="F1889" t="s">
        <v>24</v>
      </c>
      <c r="G1889">
        <v>2</v>
      </c>
      <c r="H1889" t="s">
        <v>17</v>
      </c>
      <c r="I1889" t="s">
        <v>121</v>
      </c>
      <c r="J1889" t="s">
        <v>122</v>
      </c>
      <c r="K1889">
        <v>0</v>
      </c>
      <c r="L1889" s="84">
        <v>-40076</v>
      </c>
      <c r="M1889" s="84">
        <v>0</v>
      </c>
    </row>
    <row r="1890" spans="3:13" hidden="1" x14ac:dyDescent="0.25">
      <c r="C1890" t="s">
        <v>65</v>
      </c>
      <c r="D1890" t="s">
        <v>120</v>
      </c>
      <c r="E1890" t="s">
        <v>63</v>
      </c>
      <c r="F1890" t="s">
        <v>123</v>
      </c>
      <c r="G1890">
        <v>3</v>
      </c>
      <c r="H1890" t="s">
        <v>68</v>
      </c>
      <c r="I1890" t="s">
        <v>121</v>
      </c>
      <c r="J1890" t="s">
        <v>122</v>
      </c>
      <c r="K1890">
        <v>0</v>
      </c>
      <c r="L1890" s="84">
        <v>57478</v>
      </c>
      <c r="M1890" s="84">
        <v>172434</v>
      </c>
    </row>
    <row r="1891" spans="3:13" hidden="1" x14ac:dyDescent="0.25">
      <c r="C1891" t="s">
        <v>65</v>
      </c>
      <c r="D1891" t="s">
        <v>120</v>
      </c>
      <c r="E1891" t="s">
        <v>60</v>
      </c>
      <c r="F1891" t="s">
        <v>124</v>
      </c>
      <c r="G1891">
        <v>5</v>
      </c>
      <c r="H1891" t="s">
        <v>61</v>
      </c>
      <c r="I1891" t="s">
        <v>121</v>
      </c>
      <c r="J1891" t="s">
        <v>122</v>
      </c>
      <c r="K1891">
        <v>0</v>
      </c>
      <c r="L1891" s="84">
        <v>-354966</v>
      </c>
      <c r="M1891" s="84">
        <v>0</v>
      </c>
    </row>
    <row r="1892" spans="3:13" hidden="1" x14ac:dyDescent="0.25">
      <c r="C1892" t="s">
        <v>65</v>
      </c>
      <c r="D1892" t="s">
        <v>120</v>
      </c>
      <c r="E1892" t="s">
        <v>63</v>
      </c>
      <c r="F1892" t="s">
        <v>123</v>
      </c>
      <c r="G1892">
        <v>0</v>
      </c>
      <c r="H1892" t="s">
        <v>67</v>
      </c>
      <c r="I1892" t="s">
        <v>121</v>
      </c>
      <c r="J1892" t="s">
        <v>122</v>
      </c>
      <c r="K1892">
        <v>0</v>
      </c>
      <c r="L1892" s="84">
        <v>69020</v>
      </c>
      <c r="M1892" s="84">
        <v>0</v>
      </c>
    </row>
    <row r="1893" spans="3:13" hidden="1" x14ac:dyDescent="0.25">
      <c r="C1893" t="s">
        <v>119</v>
      </c>
      <c r="D1893" t="s">
        <v>120</v>
      </c>
      <c r="E1893" t="s">
        <v>63</v>
      </c>
      <c r="F1893" t="s">
        <v>124</v>
      </c>
      <c r="G1893">
        <v>0</v>
      </c>
      <c r="H1893" t="s">
        <v>12</v>
      </c>
      <c r="I1893" t="s">
        <v>121</v>
      </c>
      <c r="J1893" t="s">
        <v>122</v>
      </c>
      <c r="K1893">
        <v>0</v>
      </c>
      <c r="L1893" s="84">
        <v>30738529</v>
      </c>
      <c r="M1893" s="84">
        <v>0</v>
      </c>
    </row>
    <row r="1894" spans="3:13" hidden="1" x14ac:dyDescent="0.25">
      <c r="C1894" t="s">
        <v>119</v>
      </c>
      <c r="D1894" t="s">
        <v>120</v>
      </c>
      <c r="E1894" t="s">
        <v>63</v>
      </c>
      <c r="F1894" t="s">
        <v>24</v>
      </c>
      <c r="G1894">
        <v>5</v>
      </c>
      <c r="H1894" t="s">
        <v>16</v>
      </c>
      <c r="I1894" t="s">
        <v>121</v>
      </c>
      <c r="J1894" t="s">
        <v>122</v>
      </c>
      <c r="K1894">
        <v>0</v>
      </c>
      <c r="L1894" s="84">
        <v>89022</v>
      </c>
      <c r="M1894" s="84">
        <v>445110</v>
      </c>
    </row>
    <row r="1895" spans="3:13" hidden="1" x14ac:dyDescent="0.25">
      <c r="C1895" t="s">
        <v>64</v>
      </c>
      <c r="D1895" t="s">
        <v>120</v>
      </c>
      <c r="E1895" t="s">
        <v>60</v>
      </c>
      <c r="F1895" t="s">
        <v>123</v>
      </c>
      <c r="G1895">
        <v>6</v>
      </c>
      <c r="H1895" t="s">
        <v>75</v>
      </c>
      <c r="I1895" t="s">
        <v>121</v>
      </c>
      <c r="J1895" t="s">
        <v>122</v>
      </c>
      <c r="K1895">
        <v>0</v>
      </c>
      <c r="L1895" s="84">
        <v>-43480</v>
      </c>
      <c r="M1895" s="84">
        <v>0</v>
      </c>
    </row>
    <row r="1896" spans="3:13" hidden="1" x14ac:dyDescent="0.25">
      <c r="C1896" t="s">
        <v>64</v>
      </c>
      <c r="D1896" t="s">
        <v>120</v>
      </c>
      <c r="E1896" t="s">
        <v>63</v>
      </c>
      <c r="F1896" t="s">
        <v>24</v>
      </c>
      <c r="G1896">
        <v>10</v>
      </c>
      <c r="H1896" t="s">
        <v>75</v>
      </c>
      <c r="I1896" t="s">
        <v>121</v>
      </c>
      <c r="J1896" t="s">
        <v>122</v>
      </c>
      <c r="K1896">
        <v>0</v>
      </c>
      <c r="L1896" s="84">
        <v>100825</v>
      </c>
      <c r="M1896" s="84">
        <v>1008250</v>
      </c>
    </row>
    <row r="1897" spans="3:13" hidden="1" x14ac:dyDescent="0.25">
      <c r="C1897" t="s">
        <v>65</v>
      </c>
      <c r="D1897" t="s">
        <v>120</v>
      </c>
      <c r="E1897" t="s">
        <v>63</v>
      </c>
      <c r="F1897" t="s">
        <v>123</v>
      </c>
      <c r="G1897">
        <v>1</v>
      </c>
      <c r="H1897" t="s">
        <v>18</v>
      </c>
      <c r="I1897" t="s">
        <v>121</v>
      </c>
      <c r="J1897" t="s">
        <v>122</v>
      </c>
      <c r="K1897">
        <v>0</v>
      </c>
      <c r="L1897" s="84">
        <v>300912</v>
      </c>
      <c r="M1897" s="84">
        <v>300912</v>
      </c>
    </row>
    <row r="1898" spans="3:13" hidden="1" x14ac:dyDescent="0.25">
      <c r="C1898" t="s">
        <v>119</v>
      </c>
      <c r="D1898" t="s">
        <v>120</v>
      </c>
      <c r="E1898" t="s">
        <v>63</v>
      </c>
      <c r="F1898" t="s">
        <v>124</v>
      </c>
      <c r="G1898">
        <v>7</v>
      </c>
      <c r="H1898" t="s">
        <v>76</v>
      </c>
      <c r="I1898" t="s">
        <v>121</v>
      </c>
      <c r="J1898" t="s">
        <v>122</v>
      </c>
      <c r="K1898">
        <v>0</v>
      </c>
      <c r="L1898" s="84">
        <v>454720</v>
      </c>
      <c r="M1898" s="84">
        <v>3183040</v>
      </c>
    </row>
    <row r="1899" spans="3:13" hidden="1" x14ac:dyDescent="0.25">
      <c r="C1899" t="s">
        <v>119</v>
      </c>
      <c r="D1899" t="s">
        <v>120</v>
      </c>
      <c r="E1899" t="s">
        <v>60</v>
      </c>
      <c r="F1899" t="s">
        <v>25</v>
      </c>
      <c r="G1899">
        <v>6</v>
      </c>
      <c r="H1899" t="s">
        <v>76</v>
      </c>
      <c r="I1899" t="s">
        <v>121</v>
      </c>
      <c r="J1899" t="s">
        <v>122</v>
      </c>
      <c r="K1899">
        <v>0</v>
      </c>
      <c r="L1899" s="84">
        <v>-295</v>
      </c>
      <c r="M1899" s="84">
        <v>0</v>
      </c>
    </row>
    <row r="1900" spans="3:13" hidden="1" x14ac:dyDescent="0.25">
      <c r="C1900" t="s">
        <v>119</v>
      </c>
      <c r="D1900" t="s">
        <v>120</v>
      </c>
      <c r="E1900" t="s">
        <v>63</v>
      </c>
      <c r="F1900" t="s">
        <v>24</v>
      </c>
      <c r="G1900">
        <v>1</v>
      </c>
      <c r="H1900" t="s">
        <v>75</v>
      </c>
      <c r="I1900" t="s">
        <v>121</v>
      </c>
      <c r="J1900" t="s">
        <v>122</v>
      </c>
      <c r="K1900">
        <v>0</v>
      </c>
      <c r="L1900" s="84">
        <v>4965</v>
      </c>
      <c r="M1900" s="84">
        <v>4965</v>
      </c>
    </row>
    <row r="1901" spans="3:13" hidden="1" x14ac:dyDescent="0.25">
      <c r="C1901" t="s">
        <v>119</v>
      </c>
      <c r="D1901" t="s">
        <v>120</v>
      </c>
      <c r="E1901" t="s">
        <v>63</v>
      </c>
      <c r="F1901" t="s">
        <v>24</v>
      </c>
      <c r="G1901">
        <v>2</v>
      </c>
      <c r="H1901" t="s">
        <v>18</v>
      </c>
      <c r="I1901" t="s">
        <v>121</v>
      </c>
      <c r="J1901" t="s">
        <v>122</v>
      </c>
      <c r="K1901">
        <v>0</v>
      </c>
      <c r="L1901" s="84">
        <v>747162</v>
      </c>
      <c r="M1901" s="84">
        <v>1494324</v>
      </c>
    </row>
    <row r="1902" spans="3:13" hidden="1" x14ac:dyDescent="0.25">
      <c r="C1902" t="s">
        <v>64</v>
      </c>
      <c r="D1902" t="s">
        <v>120</v>
      </c>
      <c r="E1902" t="s">
        <v>60</v>
      </c>
      <c r="F1902" t="s">
        <v>25</v>
      </c>
      <c r="G1902">
        <v>6</v>
      </c>
      <c r="H1902" t="s">
        <v>73</v>
      </c>
      <c r="I1902" t="s">
        <v>121</v>
      </c>
      <c r="J1902" t="s">
        <v>122</v>
      </c>
      <c r="K1902">
        <v>0</v>
      </c>
      <c r="L1902" s="84">
        <v>-241</v>
      </c>
      <c r="M1902" s="84">
        <v>0</v>
      </c>
    </row>
    <row r="1903" spans="3:13" hidden="1" x14ac:dyDescent="0.25">
      <c r="C1903" t="s">
        <v>119</v>
      </c>
      <c r="D1903" t="s">
        <v>120</v>
      </c>
      <c r="E1903" t="s">
        <v>60</v>
      </c>
      <c r="F1903" t="s">
        <v>124</v>
      </c>
      <c r="G1903">
        <v>5</v>
      </c>
      <c r="H1903" t="s">
        <v>68</v>
      </c>
      <c r="I1903" t="s">
        <v>121</v>
      </c>
      <c r="J1903" t="s">
        <v>122</v>
      </c>
      <c r="K1903">
        <v>0</v>
      </c>
      <c r="L1903" s="84">
        <v>-108266</v>
      </c>
      <c r="M1903" s="84">
        <v>0</v>
      </c>
    </row>
    <row r="1904" spans="3:13" hidden="1" x14ac:dyDescent="0.25">
      <c r="C1904" t="s">
        <v>65</v>
      </c>
      <c r="D1904" t="s">
        <v>120</v>
      </c>
      <c r="E1904" t="s">
        <v>60</v>
      </c>
      <c r="F1904" t="s">
        <v>24</v>
      </c>
      <c r="G1904">
        <v>-4</v>
      </c>
      <c r="H1904" t="s">
        <v>69</v>
      </c>
      <c r="I1904" t="s">
        <v>121</v>
      </c>
      <c r="J1904" t="s">
        <v>122</v>
      </c>
      <c r="K1904">
        <v>0</v>
      </c>
      <c r="L1904" s="84">
        <v>-44533</v>
      </c>
      <c r="M1904" s="84">
        <v>0</v>
      </c>
    </row>
    <row r="1905" spans="3:13" hidden="1" x14ac:dyDescent="0.25">
      <c r="C1905" t="s">
        <v>119</v>
      </c>
      <c r="D1905" t="s">
        <v>120</v>
      </c>
      <c r="E1905" t="s">
        <v>63</v>
      </c>
      <c r="F1905" t="s">
        <v>124</v>
      </c>
      <c r="G1905">
        <v>-1</v>
      </c>
      <c r="H1905" t="s">
        <v>75</v>
      </c>
      <c r="I1905" t="s">
        <v>121</v>
      </c>
      <c r="J1905" t="s">
        <v>122</v>
      </c>
      <c r="K1905">
        <v>0</v>
      </c>
      <c r="L1905" s="84">
        <v>46273042</v>
      </c>
      <c r="M1905" s="84">
        <v>0</v>
      </c>
    </row>
    <row r="1906" spans="3:13" hidden="1" x14ac:dyDescent="0.25">
      <c r="C1906" t="s">
        <v>119</v>
      </c>
      <c r="D1906" t="s">
        <v>120</v>
      </c>
      <c r="E1906" t="s">
        <v>60</v>
      </c>
      <c r="F1906" t="s">
        <v>124</v>
      </c>
      <c r="G1906">
        <v>11</v>
      </c>
      <c r="H1906" t="s">
        <v>69</v>
      </c>
      <c r="I1906" t="s">
        <v>121</v>
      </c>
      <c r="J1906" t="s">
        <v>122</v>
      </c>
      <c r="K1906">
        <v>0</v>
      </c>
      <c r="L1906" s="84">
        <v>-2528</v>
      </c>
      <c r="M1906" s="84">
        <v>0</v>
      </c>
    </row>
    <row r="1907" spans="3:13" hidden="1" x14ac:dyDescent="0.25">
      <c r="C1907" t="s">
        <v>119</v>
      </c>
      <c r="D1907" t="s">
        <v>120</v>
      </c>
      <c r="E1907" t="s">
        <v>63</v>
      </c>
      <c r="F1907" t="s">
        <v>25</v>
      </c>
      <c r="G1907">
        <v>8</v>
      </c>
      <c r="H1907" t="s">
        <v>71</v>
      </c>
      <c r="I1907" t="s">
        <v>121</v>
      </c>
      <c r="J1907" t="s">
        <v>122</v>
      </c>
      <c r="K1907">
        <v>0</v>
      </c>
      <c r="L1907" s="84">
        <v>1146167</v>
      </c>
      <c r="M1907" s="84">
        <v>9169336</v>
      </c>
    </row>
    <row r="1908" spans="3:13" hidden="1" x14ac:dyDescent="0.25">
      <c r="C1908" t="s">
        <v>64</v>
      </c>
      <c r="D1908" t="s">
        <v>125</v>
      </c>
      <c r="E1908" t="s">
        <v>63</v>
      </c>
      <c r="F1908" t="s">
        <v>25</v>
      </c>
      <c r="G1908">
        <v>2</v>
      </c>
      <c r="I1908" t="s">
        <v>121</v>
      </c>
      <c r="J1908" t="s">
        <v>122</v>
      </c>
      <c r="K1908">
        <v>0</v>
      </c>
      <c r="L1908" s="84">
        <v>221831</v>
      </c>
      <c r="M1908" s="84">
        <v>443662</v>
      </c>
    </row>
    <row r="1909" spans="3:13" hidden="1" x14ac:dyDescent="0.25">
      <c r="C1909" t="s">
        <v>119</v>
      </c>
      <c r="D1909" t="s">
        <v>120</v>
      </c>
      <c r="E1909" t="s">
        <v>63</v>
      </c>
      <c r="F1909" t="s">
        <v>124</v>
      </c>
      <c r="G1909">
        <v>4</v>
      </c>
      <c r="H1909" t="s">
        <v>18</v>
      </c>
      <c r="I1909" t="s">
        <v>121</v>
      </c>
      <c r="J1909" t="s">
        <v>122</v>
      </c>
      <c r="K1909">
        <v>0</v>
      </c>
      <c r="L1909" s="84">
        <v>142244054</v>
      </c>
      <c r="M1909" s="84">
        <v>568976216</v>
      </c>
    </row>
    <row r="1910" spans="3:13" hidden="1" x14ac:dyDescent="0.25">
      <c r="C1910" t="s">
        <v>65</v>
      </c>
      <c r="D1910" t="s">
        <v>120</v>
      </c>
      <c r="E1910" t="s">
        <v>63</v>
      </c>
      <c r="F1910" t="s">
        <v>124</v>
      </c>
      <c r="G1910">
        <v>2</v>
      </c>
      <c r="H1910" t="s">
        <v>12</v>
      </c>
      <c r="I1910" t="s">
        <v>62</v>
      </c>
      <c r="J1910" t="s">
        <v>66</v>
      </c>
      <c r="K1910">
        <v>1</v>
      </c>
      <c r="L1910" s="84">
        <v>143026</v>
      </c>
      <c r="M1910" s="84">
        <v>286052</v>
      </c>
    </row>
    <row r="1911" spans="3:13" hidden="1" x14ac:dyDescent="0.25">
      <c r="C1911" t="s">
        <v>64</v>
      </c>
      <c r="D1911" t="s">
        <v>120</v>
      </c>
      <c r="E1911" t="s">
        <v>60</v>
      </c>
      <c r="F1911" t="s">
        <v>24</v>
      </c>
      <c r="G1911">
        <v>15</v>
      </c>
      <c r="H1911" t="s">
        <v>17</v>
      </c>
      <c r="I1911" t="s">
        <v>121</v>
      </c>
      <c r="J1911" t="s">
        <v>122</v>
      </c>
      <c r="K1911">
        <v>0</v>
      </c>
      <c r="L1911" s="84">
        <v>-13389</v>
      </c>
      <c r="M1911" s="84">
        <v>0</v>
      </c>
    </row>
    <row r="1912" spans="3:13" hidden="1" x14ac:dyDescent="0.25">
      <c r="C1912" t="s">
        <v>64</v>
      </c>
      <c r="D1912" t="s">
        <v>126</v>
      </c>
      <c r="E1912" t="s">
        <v>60</v>
      </c>
      <c r="F1912" t="s">
        <v>25</v>
      </c>
      <c r="G1912">
        <v>7</v>
      </c>
      <c r="H1912" t="s">
        <v>74</v>
      </c>
      <c r="I1912" t="s">
        <v>121</v>
      </c>
      <c r="J1912" t="s">
        <v>122</v>
      </c>
      <c r="K1912">
        <v>0</v>
      </c>
      <c r="L1912" s="84">
        <v>-3723</v>
      </c>
      <c r="M1912" s="84">
        <v>0</v>
      </c>
    </row>
    <row r="1913" spans="3:13" hidden="1" x14ac:dyDescent="0.25">
      <c r="C1913" t="s">
        <v>119</v>
      </c>
      <c r="D1913" t="s">
        <v>120</v>
      </c>
      <c r="E1913" t="s">
        <v>63</v>
      </c>
      <c r="F1913" t="s">
        <v>124</v>
      </c>
      <c r="G1913">
        <v>14</v>
      </c>
      <c r="H1913" t="s">
        <v>69</v>
      </c>
      <c r="I1913" t="s">
        <v>121</v>
      </c>
      <c r="J1913" t="s">
        <v>122</v>
      </c>
      <c r="K1913">
        <v>0</v>
      </c>
      <c r="L1913" s="84">
        <v>1011634</v>
      </c>
      <c r="M1913" s="84">
        <v>14162876</v>
      </c>
    </row>
    <row r="1914" spans="3:13" hidden="1" x14ac:dyDescent="0.25">
      <c r="C1914" t="s">
        <v>119</v>
      </c>
      <c r="D1914" t="s">
        <v>120</v>
      </c>
      <c r="E1914" t="s">
        <v>60</v>
      </c>
      <c r="F1914" t="s">
        <v>24</v>
      </c>
      <c r="G1914">
        <v>1</v>
      </c>
      <c r="H1914" t="s">
        <v>18</v>
      </c>
      <c r="I1914" t="s">
        <v>121</v>
      </c>
      <c r="J1914" t="s">
        <v>122</v>
      </c>
      <c r="K1914">
        <v>0</v>
      </c>
      <c r="L1914" s="84">
        <v>-1264</v>
      </c>
      <c r="M1914" s="84">
        <v>0</v>
      </c>
    </row>
    <row r="1915" spans="3:13" hidden="1" x14ac:dyDescent="0.25">
      <c r="C1915" t="s">
        <v>65</v>
      </c>
      <c r="D1915" t="s">
        <v>120</v>
      </c>
      <c r="E1915" t="s">
        <v>63</v>
      </c>
      <c r="F1915" t="s">
        <v>124</v>
      </c>
      <c r="G1915">
        <v>-1</v>
      </c>
      <c r="H1915" t="s">
        <v>13</v>
      </c>
      <c r="I1915" t="s">
        <v>121</v>
      </c>
      <c r="J1915" t="s">
        <v>122</v>
      </c>
      <c r="K1915">
        <v>0</v>
      </c>
      <c r="L1915" s="84">
        <v>37277</v>
      </c>
      <c r="M1915" s="84">
        <v>0</v>
      </c>
    </row>
    <row r="1916" spans="3:13" hidden="1" x14ac:dyDescent="0.25">
      <c r="C1916" t="s">
        <v>119</v>
      </c>
      <c r="D1916" t="s">
        <v>120</v>
      </c>
      <c r="E1916" t="s">
        <v>60</v>
      </c>
      <c r="F1916" t="s">
        <v>123</v>
      </c>
      <c r="G1916">
        <v>6</v>
      </c>
      <c r="H1916" t="s">
        <v>75</v>
      </c>
      <c r="I1916" t="s">
        <v>121</v>
      </c>
      <c r="J1916" t="s">
        <v>122</v>
      </c>
      <c r="K1916">
        <v>0</v>
      </c>
      <c r="L1916" s="84">
        <v>-12335</v>
      </c>
      <c r="M1916" s="84">
        <v>0</v>
      </c>
    </row>
    <row r="1917" spans="3:13" hidden="1" x14ac:dyDescent="0.25">
      <c r="C1917" t="s">
        <v>119</v>
      </c>
      <c r="D1917" t="s">
        <v>120</v>
      </c>
      <c r="E1917" t="s">
        <v>63</v>
      </c>
      <c r="F1917" t="s">
        <v>123</v>
      </c>
      <c r="G1917">
        <v>-4</v>
      </c>
      <c r="H1917" t="s">
        <v>72</v>
      </c>
      <c r="I1917" t="s">
        <v>121</v>
      </c>
      <c r="J1917" t="s">
        <v>122</v>
      </c>
      <c r="K1917">
        <v>0</v>
      </c>
      <c r="L1917" s="84">
        <v>263</v>
      </c>
      <c r="M1917" s="84">
        <v>0</v>
      </c>
    </row>
    <row r="1918" spans="3:13" hidden="1" x14ac:dyDescent="0.25">
      <c r="C1918" t="s">
        <v>119</v>
      </c>
      <c r="D1918" t="s">
        <v>120</v>
      </c>
      <c r="E1918" t="s">
        <v>63</v>
      </c>
      <c r="F1918" t="s">
        <v>25</v>
      </c>
      <c r="G1918">
        <v>3</v>
      </c>
      <c r="H1918" t="s">
        <v>69</v>
      </c>
      <c r="I1918" t="s">
        <v>121</v>
      </c>
      <c r="J1918" t="s">
        <v>122</v>
      </c>
      <c r="K1918">
        <v>0</v>
      </c>
      <c r="L1918" s="84">
        <v>7963346</v>
      </c>
      <c r="M1918" s="84">
        <v>23890038</v>
      </c>
    </row>
    <row r="1919" spans="3:13" hidden="1" x14ac:dyDescent="0.25">
      <c r="C1919" t="s">
        <v>65</v>
      </c>
      <c r="D1919" t="s">
        <v>120</v>
      </c>
      <c r="E1919" t="s">
        <v>60</v>
      </c>
      <c r="F1919" t="s">
        <v>24</v>
      </c>
      <c r="G1919">
        <v>2</v>
      </c>
      <c r="H1919" t="s">
        <v>61</v>
      </c>
      <c r="I1919" t="s">
        <v>121</v>
      </c>
      <c r="J1919" t="s">
        <v>122</v>
      </c>
      <c r="K1919">
        <v>0</v>
      </c>
      <c r="L1919" s="84">
        <v>-11416</v>
      </c>
      <c r="M1919" s="84">
        <v>0</v>
      </c>
    </row>
    <row r="1920" spans="3:13" hidden="1" x14ac:dyDescent="0.25">
      <c r="C1920" t="s">
        <v>65</v>
      </c>
      <c r="D1920" t="s">
        <v>120</v>
      </c>
      <c r="E1920" t="s">
        <v>63</v>
      </c>
      <c r="F1920" t="s">
        <v>124</v>
      </c>
      <c r="G1920">
        <v>4</v>
      </c>
      <c r="H1920" t="s">
        <v>67</v>
      </c>
      <c r="I1920" t="s">
        <v>121</v>
      </c>
      <c r="J1920" t="s">
        <v>122</v>
      </c>
      <c r="K1920">
        <v>0</v>
      </c>
      <c r="L1920" s="84">
        <v>226247</v>
      </c>
      <c r="M1920" s="84">
        <v>904988</v>
      </c>
    </row>
    <row r="1921" spans="3:13" hidden="1" x14ac:dyDescent="0.25">
      <c r="C1921" t="s">
        <v>64</v>
      </c>
      <c r="D1921" t="s">
        <v>125</v>
      </c>
      <c r="E1921" t="s">
        <v>60</v>
      </c>
      <c r="F1921" t="s">
        <v>25</v>
      </c>
      <c r="G1921">
        <v>29</v>
      </c>
      <c r="I1921" t="s">
        <v>121</v>
      </c>
      <c r="J1921" t="s">
        <v>122</v>
      </c>
      <c r="K1921">
        <v>0</v>
      </c>
      <c r="L1921" s="84">
        <v>-33748</v>
      </c>
      <c r="M1921" s="84">
        <v>0</v>
      </c>
    </row>
    <row r="1922" spans="3:13" hidden="1" x14ac:dyDescent="0.25">
      <c r="C1922" t="s">
        <v>119</v>
      </c>
      <c r="D1922" t="s">
        <v>120</v>
      </c>
      <c r="E1922" t="s">
        <v>63</v>
      </c>
      <c r="F1922" t="s">
        <v>124</v>
      </c>
      <c r="G1922">
        <v>5</v>
      </c>
      <c r="H1922" t="s">
        <v>15</v>
      </c>
      <c r="I1922" t="s">
        <v>121</v>
      </c>
      <c r="J1922" t="s">
        <v>122</v>
      </c>
      <c r="K1922">
        <v>0</v>
      </c>
      <c r="L1922" s="84">
        <v>48569</v>
      </c>
      <c r="M1922" s="84">
        <v>242845</v>
      </c>
    </row>
    <row r="1923" spans="3:13" hidden="1" x14ac:dyDescent="0.25">
      <c r="C1923" t="s">
        <v>119</v>
      </c>
      <c r="D1923" t="s">
        <v>125</v>
      </c>
      <c r="E1923" t="s">
        <v>63</v>
      </c>
      <c r="F1923" t="s">
        <v>25</v>
      </c>
      <c r="G1923">
        <v>5</v>
      </c>
      <c r="I1923" t="s">
        <v>121</v>
      </c>
      <c r="J1923" t="s">
        <v>122</v>
      </c>
      <c r="K1923">
        <v>0</v>
      </c>
      <c r="L1923" s="84">
        <v>6135648</v>
      </c>
      <c r="M1923" s="84">
        <v>30678240</v>
      </c>
    </row>
    <row r="1924" spans="3:13" hidden="1" x14ac:dyDescent="0.25">
      <c r="C1924" t="s">
        <v>64</v>
      </c>
      <c r="D1924" t="s">
        <v>120</v>
      </c>
      <c r="E1924" t="s">
        <v>60</v>
      </c>
      <c r="F1924" t="s">
        <v>123</v>
      </c>
      <c r="G1924">
        <v>5</v>
      </c>
      <c r="H1924" t="s">
        <v>61</v>
      </c>
      <c r="I1924" t="s">
        <v>121</v>
      </c>
      <c r="J1924" t="s">
        <v>122</v>
      </c>
      <c r="K1924">
        <v>0</v>
      </c>
      <c r="L1924" s="84">
        <v>-23737</v>
      </c>
      <c r="M1924" s="84">
        <v>0</v>
      </c>
    </row>
    <row r="1925" spans="3:13" hidden="1" x14ac:dyDescent="0.25">
      <c r="C1925" t="s">
        <v>65</v>
      </c>
      <c r="D1925" t="s">
        <v>120</v>
      </c>
      <c r="E1925" t="s">
        <v>63</v>
      </c>
      <c r="F1925" t="s">
        <v>123</v>
      </c>
      <c r="G1925">
        <v>0</v>
      </c>
      <c r="H1925" t="s">
        <v>14</v>
      </c>
      <c r="I1925" t="s">
        <v>121</v>
      </c>
      <c r="J1925" t="s">
        <v>122</v>
      </c>
      <c r="K1925">
        <v>0</v>
      </c>
      <c r="L1925" s="84">
        <v>171155</v>
      </c>
      <c r="M1925" s="84">
        <v>0</v>
      </c>
    </row>
    <row r="1926" spans="3:13" hidden="1" x14ac:dyDescent="0.25">
      <c r="C1926" t="s">
        <v>119</v>
      </c>
      <c r="D1926" t="s">
        <v>120</v>
      </c>
      <c r="E1926" t="s">
        <v>63</v>
      </c>
      <c r="F1926" t="s">
        <v>24</v>
      </c>
      <c r="G1926">
        <v>1</v>
      </c>
      <c r="H1926" t="s">
        <v>17</v>
      </c>
      <c r="I1926" t="s">
        <v>121</v>
      </c>
      <c r="J1926" t="s">
        <v>66</v>
      </c>
      <c r="K1926">
        <v>1</v>
      </c>
      <c r="L1926" s="84">
        <v>964008</v>
      </c>
      <c r="M1926" s="84">
        <v>964008</v>
      </c>
    </row>
    <row r="1927" spans="3:13" hidden="1" x14ac:dyDescent="0.25">
      <c r="C1927" t="s">
        <v>64</v>
      </c>
      <c r="D1927" t="s">
        <v>120</v>
      </c>
      <c r="E1927" t="s">
        <v>60</v>
      </c>
      <c r="F1927" t="s">
        <v>123</v>
      </c>
      <c r="G1927">
        <v>6</v>
      </c>
      <c r="H1927" t="s">
        <v>17</v>
      </c>
      <c r="I1927" t="s">
        <v>121</v>
      </c>
      <c r="J1927" t="s">
        <v>122</v>
      </c>
      <c r="K1927">
        <v>0</v>
      </c>
      <c r="L1927" s="84">
        <v>-9541</v>
      </c>
      <c r="M1927" s="84">
        <v>0</v>
      </c>
    </row>
    <row r="1928" spans="3:13" hidden="1" x14ac:dyDescent="0.25">
      <c r="C1928" t="s">
        <v>119</v>
      </c>
      <c r="D1928" t="s">
        <v>120</v>
      </c>
      <c r="E1928" t="s">
        <v>63</v>
      </c>
      <c r="F1928" t="s">
        <v>124</v>
      </c>
      <c r="G1928">
        <v>0</v>
      </c>
      <c r="H1928" t="s">
        <v>77</v>
      </c>
      <c r="I1928" t="s">
        <v>121</v>
      </c>
      <c r="J1928" t="s">
        <v>122</v>
      </c>
      <c r="K1928">
        <v>0</v>
      </c>
      <c r="L1928" s="84">
        <v>25499366</v>
      </c>
      <c r="M1928" s="84">
        <v>0</v>
      </c>
    </row>
    <row r="1929" spans="3:13" hidden="1" x14ac:dyDescent="0.25">
      <c r="C1929" t="s">
        <v>64</v>
      </c>
      <c r="D1929" t="s">
        <v>120</v>
      </c>
      <c r="E1929" t="s">
        <v>63</v>
      </c>
      <c r="F1929" t="s">
        <v>24</v>
      </c>
      <c r="G1929">
        <v>10</v>
      </c>
      <c r="H1929" t="s">
        <v>17</v>
      </c>
      <c r="I1929" t="s">
        <v>121</v>
      </c>
      <c r="J1929" t="s">
        <v>66</v>
      </c>
      <c r="K1929">
        <v>1</v>
      </c>
      <c r="L1929" s="84">
        <v>289591</v>
      </c>
      <c r="M1929" s="84">
        <v>2895910</v>
      </c>
    </row>
    <row r="1930" spans="3:13" hidden="1" x14ac:dyDescent="0.25">
      <c r="C1930" t="s">
        <v>65</v>
      </c>
      <c r="D1930" t="s">
        <v>120</v>
      </c>
      <c r="E1930" t="s">
        <v>63</v>
      </c>
      <c r="F1930" t="s">
        <v>124</v>
      </c>
      <c r="G1930">
        <v>3</v>
      </c>
      <c r="H1930" t="s">
        <v>61</v>
      </c>
      <c r="I1930" t="s">
        <v>121</v>
      </c>
      <c r="J1930" t="s">
        <v>122</v>
      </c>
      <c r="K1930">
        <v>0</v>
      </c>
      <c r="L1930" s="84">
        <v>126387</v>
      </c>
      <c r="M1930" s="84">
        <v>379161</v>
      </c>
    </row>
    <row r="1931" spans="3:13" hidden="1" x14ac:dyDescent="0.25">
      <c r="C1931" t="s">
        <v>119</v>
      </c>
      <c r="D1931" t="s">
        <v>120</v>
      </c>
      <c r="E1931" t="s">
        <v>60</v>
      </c>
      <c r="F1931" t="s">
        <v>25</v>
      </c>
      <c r="G1931">
        <v>1</v>
      </c>
      <c r="H1931" t="s">
        <v>12</v>
      </c>
      <c r="I1931" t="s">
        <v>121</v>
      </c>
      <c r="J1931" t="s">
        <v>66</v>
      </c>
      <c r="K1931">
        <v>1</v>
      </c>
      <c r="L1931" s="84">
        <v>-329</v>
      </c>
      <c r="M1931" s="84">
        <v>0</v>
      </c>
    </row>
    <row r="1932" spans="3:13" hidden="1" x14ac:dyDescent="0.25">
      <c r="C1932" t="s">
        <v>119</v>
      </c>
      <c r="D1932" t="s">
        <v>120</v>
      </c>
      <c r="E1932" t="s">
        <v>60</v>
      </c>
      <c r="F1932" t="s">
        <v>24</v>
      </c>
      <c r="G1932">
        <v>2</v>
      </c>
      <c r="H1932" t="s">
        <v>75</v>
      </c>
      <c r="I1932" t="s">
        <v>121</v>
      </c>
      <c r="J1932" t="s">
        <v>122</v>
      </c>
      <c r="K1932">
        <v>0</v>
      </c>
      <c r="L1932" s="84">
        <v>-79</v>
      </c>
      <c r="M1932" s="84">
        <v>0</v>
      </c>
    </row>
    <row r="1933" spans="3:13" hidden="1" x14ac:dyDescent="0.25">
      <c r="C1933" t="s">
        <v>119</v>
      </c>
      <c r="D1933" t="s">
        <v>125</v>
      </c>
      <c r="E1933" t="s">
        <v>60</v>
      </c>
      <c r="F1933" t="s">
        <v>25</v>
      </c>
      <c r="G1933">
        <v>28</v>
      </c>
      <c r="I1933" t="s">
        <v>121</v>
      </c>
      <c r="J1933" t="s">
        <v>122</v>
      </c>
      <c r="K1933">
        <v>0</v>
      </c>
      <c r="L1933" s="84">
        <v>-88</v>
      </c>
      <c r="M1933" s="84">
        <v>0</v>
      </c>
    </row>
    <row r="1934" spans="3:13" hidden="1" x14ac:dyDescent="0.25">
      <c r="C1934" t="s">
        <v>65</v>
      </c>
      <c r="D1934" t="s">
        <v>120</v>
      </c>
      <c r="E1934" t="s">
        <v>63</v>
      </c>
      <c r="F1934" t="s">
        <v>124</v>
      </c>
      <c r="G1934">
        <v>0</v>
      </c>
      <c r="H1934" t="s">
        <v>16</v>
      </c>
      <c r="I1934" t="s">
        <v>121</v>
      </c>
      <c r="J1934" t="s">
        <v>122</v>
      </c>
      <c r="K1934">
        <v>0</v>
      </c>
      <c r="L1934" s="84">
        <v>4544</v>
      </c>
      <c r="M1934" s="84">
        <v>0</v>
      </c>
    </row>
    <row r="1935" spans="3:13" hidden="1" x14ac:dyDescent="0.25">
      <c r="C1935" t="s">
        <v>119</v>
      </c>
      <c r="D1935" t="s">
        <v>120</v>
      </c>
      <c r="E1935" t="s">
        <v>63</v>
      </c>
      <c r="F1935" t="s">
        <v>24</v>
      </c>
      <c r="G1935">
        <v>-4</v>
      </c>
      <c r="H1935" t="s">
        <v>68</v>
      </c>
      <c r="I1935" t="s">
        <v>121</v>
      </c>
      <c r="J1935" t="s">
        <v>122</v>
      </c>
      <c r="K1935">
        <v>0</v>
      </c>
      <c r="L1935" s="84">
        <v>212577</v>
      </c>
      <c r="M1935" s="84">
        <v>0</v>
      </c>
    </row>
    <row r="1936" spans="3:13" hidden="1" x14ac:dyDescent="0.25">
      <c r="C1936" t="s">
        <v>64</v>
      </c>
      <c r="D1936" t="s">
        <v>120</v>
      </c>
      <c r="E1936" t="s">
        <v>63</v>
      </c>
      <c r="F1936" t="s">
        <v>24</v>
      </c>
      <c r="G1936">
        <v>7</v>
      </c>
      <c r="H1936" t="s">
        <v>18</v>
      </c>
      <c r="I1936" t="s">
        <v>121</v>
      </c>
      <c r="J1936" t="s">
        <v>122</v>
      </c>
      <c r="K1936">
        <v>0</v>
      </c>
      <c r="L1936" s="84">
        <v>323644</v>
      </c>
      <c r="M1936" s="84">
        <v>2265508</v>
      </c>
    </row>
    <row r="1937" spans="3:13" x14ac:dyDescent="0.25">
      <c r="C1937" t="s">
        <v>65</v>
      </c>
      <c r="D1937" t="s">
        <v>120</v>
      </c>
      <c r="E1937" t="s">
        <v>63</v>
      </c>
      <c r="F1937" t="s">
        <v>25</v>
      </c>
      <c r="G1937">
        <v>-1</v>
      </c>
      <c r="H1937" t="s">
        <v>14</v>
      </c>
      <c r="I1937" t="s">
        <v>121</v>
      </c>
      <c r="J1937" t="s">
        <v>66</v>
      </c>
      <c r="K1937">
        <v>1</v>
      </c>
      <c r="L1937" s="84">
        <v>0</v>
      </c>
      <c r="M1937" s="84">
        <v>0</v>
      </c>
    </row>
    <row r="1938" spans="3:13" hidden="1" x14ac:dyDescent="0.25">
      <c r="C1938" t="s">
        <v>65</v>
      </c>
      <c r="D1938" t="s">
        <v>120</v>
      </c>
      <c r="E1938" t="s">
        <v>63</v>
      </c>
      <c r="F1938" t="s">
        <v>25</v>
      </c>
      <c r="G1938">
        <v>-1</v>
      </c>
      <c r="H1938" t="s">
        <v>14</v>
      </c>
      <c r="I1938" t="s">
        <v>121</v>
      </c>
      <c r="J1938" t="s">
        <v>122</v>
      </c>
      <c r="K1938">
        <v>0</v>
      </c>
      <c r="L1938" s="84">
        <v>1781698</v>
      </c>
      <c r="M1938" s="84">
        <v>0</v>
      </c>
    </row>
    <row r="1939" spans="3:13" hidden="1" x14ac:dyDescent="0.25">
      <c r="C1939" t="s">
        <v>64</v>
      </c>
      <c r="D1939" t="s">
        <v>120</v>
      </c>
      <c r="E1939" t="s">
        <v>63</v>
      </c>
      <c r="F1939" t="s">
        <v>123</v>
      </c>
      <c r="G1939">
        <v>4</v>
      </c>
      <c r="H1939" t="s">
        <v>76</v>
      </c>
      <c r="I1939" t="s">
        <v>121</v>
      </c>
      <c r="J1939" t="s">
        <v>122</v>
      </c>
      <c r="K1939">
        <v>0</v>
      </c>
      <c r="L1939" s="84">
        <v>226595</v>
      </c>
      <c r="M1939" s="84">
        <v>906380</v>
      </c>
    </row>
    <row r="1940" spans="3:13" hidden="1" x14ac:dyDescent="0.25">
      <c r="C1940" t="s">
        <v>65</v>
      </c>
      <c r="D1940" t="s">
        <v>125</v>
      </c>
      <c r="E1940" t="s">
        <v>60</v>
      </c>
      <c r="F1940" t="s">
        <v>24</v>
      </c>
      <c r="G1940">
        <v>18</v>
      </c>
      <c r="I1940" t="s">
        <v>121</v>
      </c>
      <c r="J1940" t="s">
        <v>122</v>
      </c>
      <c r="K1940">
        <v>0</v>
      </c>
      <c r="L1940" s="84">
        <v>-2215107</v>
      </c>
      <c r="M1940" s="84">
        <v>0</v>
      </c>
    </row>
    <row r="1941" spans="3:13" hidden="1" x14ac:dyDescent="0.25">
      <c r="C1941" t="s">
        <v>119</v>
      </c>
      <c r="D1941" t="s">
        <v>120</v>
      </c>
      <c r="E1941" t="s">
        <v>63</v>
      </c>
      <c r="F1941" t="s">
        <v>25</v>
      </c>
      <c r="G1941">
        <v>7</v>
      </c>
      <c r="H1941" t="s">
        <v>14</v>
      </c>
      <c r="I1941" t="s">
        <v>121</v>
      </c>
      <c r="J1941" t="s">
        <v>122</v>
      </c>
      <c r="K1941">
        <v>0</v>
      </c>
      <c r="L1941" s="84">
        <v>2386038</v>
      </c>
      <c r="M1941" s="84">
        <v>16702266</v>
      </c>
    </row>
    <row r="1942" spans="3:13" hidden="1" x14ac:dyDescent="0.25">
      <c r="C1942" t="s">
        <v>64</v>
      </c>
      <c r="D1942" t="s">
        <v>120</v>
      </c>
      <c r="E1942" t="s">
        <v>60</v>
      </c>
      <c r="F1942" t="s">
        <v>124</v>
      </c>
      <c r="G1942">
        <v>-1</v>
      </c>
      <c r="H1942" t="s">
        <v>14</v>
      </c>
      <c r="I1942" t="s">
        <v>62</v>
      </c>
      <c r="J1942" t="s">
        <v>66</v>
      </c>
      <c r="K1942">
        <v>1</v>
      </c>
      <c r="L1942" s="84">
        <v>-118</v>
      </c>
      <c r="M1942" s="84">
        <v>0</v>
      </c>
    </row>
    <row r="1943" spans="3:13" hidden="1" x14ac:dyDescent="0.25">
      <c r="C1943" t="s">
        <v>119</v>
      </c>
      <c r="D1943" t="s">
        <v>120</v>
      </c>
      <c r="E1943" t="s">
        <v>63</v>
      </c>
      <c r="F1943" t="s">
        <v>24</v>
      </c>
      <c r="G1943">
        <v>9</v>
      </c>
      <c r="H1943" t="s">
        <v>17</v>
      </c>
      <c r="I1943" t="s">
        <v>121</v>
      </c>
      <c r="J1943" t="s">
        <v>66</v>
      </c>
      <c r="K1943">
        <v>1</v>
      </c>
      <c r="L1943" s="84">
        <v>266105</v>
      </c>
      <c r="M1943" s="84">
        <v>2394945</v>
      </c>
    </row>
    <row r="1944" spans="3:13" hidden="1" x14ac:dyDescent="0.25">
      <c r="C1944" t="s">
        <v>119</v>
      </c>
      <c r="D1944" t="s">
        <v>120</v>
      </c>
      <c r="E1944" t="s">
        <v>63</v>
      </c>
      <c r="F1944" t="s">
        <v>124</v>
      </c>
      <c r="G1944">
        <v>5</v>
      </c>
      <c r="H1944" t="s">
        <v>70</v>
      </c>
      <c r="I1944" t="s">
        <v>121</v>
      </c>
      <c r="J1944" t="s">
        <v>122</v>
      </c>
      <c r="K1944">
        <v>0</v>
      </c>
      <c r="L1944" s="84">
        <v>1895876</v>
      </c>
      <c r="M1944" s="84">
        <v>9479380</v>
      </c>
    </row>
    <row r="1945" spans="3:13" hidden="1" x14ac:dyDescent="0.25">
      <c r="C1945" t="s">
        <v>119</v>
      </c>
      <c r="D1945" t="s">
        <v>120</v>
      </c>
      <c r="E1945" t="s">
        <v>60</v>
      </c>
      <c r="F1945" t="s">
        <v>123</v>
      </c>
      <c r="G1945">
        <v>0</v>
      </c>
      <c r="H1945" t="s">
        <v>76</v>
      </c>
      <c r="I1945" t="s">
        <v>121</v>
      </c>
      <c r="J1945" t="s">
        <v>122</v>
      </c>
      <c r="K1945">
        <v>0</v>
      </c>
      <c r="L1945" s="84">
        <v>-9</v>
      </c>
      <c r="M1945" s="84">
        <v>0</v>
      </c>
    </row>
    <row r="1946" spans="3:13" hidden="1" x14ac:dyDescent="0.25">
      <c r="C1946" t="s">
        <v>119</v>
      </c>
      <c r="D1946" t="s">
        <v>120</v>
      </c>
      <c r="E1946" t="s">
        <v>60</v>
      </c>
      <c r="F1946" t="s">
        <v>123</v>
      </c>
      <c r="G1946">
        <v>5</v>
      </c>
      <c r="H1946" t="s">
        <v>61</v>
      </c>
      <c r="I1946" t="s">
        <v>121</v>
      </c>
      <c r="J1946" t="s">
        <v>122</v>
      </c>
      <c r="K1946">
        <v>0</v>
      </c>
      <c r="L1946" s="84">
        <v>-8719</v>
      </c>
      <c r="M1946" s="84">
        <v>0</v>
      </c>
    </row>
    <row r="1947" spans="3:13" hidden="1" x14ac:dyDescent="0.25">
      <c r="C1947" t="s">
        <v>65</v>
      </c>
      <c r="D1947" t="s">
        <v>120</v>
      </c>
      <c r="E1947" t="s">
        <v>60</v>
      </c>
      <c r="F1947" t="s">
        <v>124</v>
      </c>
      <c r="G1947">
        <v>0</v>
      </c>
      <c r="H1947" t="s">
        <v>12</v>
      </c>
      <c r="I1947" t="s">
        <v>121</v>
      </c>
      <c r="J1947" t="s">
        <v>66</v>
      </c>
      <c r="K1947">
        <v>1</v>
      </c>
      <c r="L1947" s="84">
        <v>-45519</v>
      </c>
      <c r="M1947" s="84">
        <v>0</v>
      </c>
    </row>
    <row r="1948" spans="3:13" hidden="1" x14ac:dyDescent="0.25">
      <c r="C1948" t="s">
        <v>65</v>
      </c>
      <c r="D1948" t="s">
        <v>120</v>
      </c>
      <c r="E1948" t="s">
        <v>63</v>
      </c>
      <c r="F1948" t="s">
        <v>124</v>
      </c>
      <c r="G1948">
        <v>-1</v>
      </c>
      <c r="H1948" t="s">
        <v>68</v>
      </c>
      <c r="I1948" t="s">
        <v>121</v>
      </c>
      <c r="J1948" t="s">
        <v>122</v>
      </c>
      <c r="K1948">
        <v>0</v>
      </c>
      <c r="L1948" s="84">
        <v>1303133</v>
      </c>
      <c r="M1948" s="84">
        <v>0</v>
      </c>
    </row>
    <row r="1949" spans="3:13" hidden="1" x14ac:dyDescent="0.25">
      <c r="C1949" t="s">
        <v>119</v>
      </c>
      <c r="D1949" t="s">
        <v>120</v>
      </c>
      <c r="E1949" t="s">
        <v>60</v>
      </c>
      <c r="F1949" t="s">
        <v>24</v>
      </c>
      <c r="G1949">
        <v>1</v>
      </c>
      <c r="H1949" t="s">
        <v>69</v>
      </c>
      <c r="I1949" t="s">
        <v>121</v>
      </c>
      <c r="J1949" t="s">
        <v>122</v>
      </c>
      <c r="K1949">
        <v>0</v>
      </c>
      <c r="L1949" s="84">
        <v>-1714</v>
      </c>
      <c r="M1949" s="84">
        <v>0</v>
      </c>
    </row>
    <row r="1950" spans="3:13" hidden="1" x14ac:dyDescent="0.25">
      <c r="C1950" t="s">
        <v>119</v>
      </c>
      <c r="D1950" t="s">
        <v>120</v>
      </c>
      <c r="E1950" t="s">
        <v>60</v>
      </c>
      <c r="F1950" t="s">
        <v>123</v>
      </c>
      <c r="G1950">
        <v>6</v>
      </c>
      <c r="H1950" t="s">
        <v>17</v>
      </c>
      <c r="I1950" t="s">
        <v>121</v>
      </c>
      <c r="J1950" t="s">
        <v>122</v>
      </c>
      <c r="K1950">
        <v>0</v>
      </c>
      <c r="L1950" s="84">
        <v>-3605</v>
      </c>
      <c r="M1950" s="84">
        <v>0</v>
      </c>
    </row>
    <row r="1951" spans="3:13" hidden="1" x14ac:dyDescent="0.25">
      <c r="C1951" t="s">
        <v>119</v>
      </c>
      <c r="D1951" t="s">
        <v>120</v>
      </c>
      <c r="E1951" t="s">
        <v>63</v>
      </c>
      <c r="F1951" t="s">
        <v>25</v>
      </c>
      <c r="G1951">
        <v>3</v>
      </c>
      <c r="H1951" t="s">
        <v>18</v>
      </c>
      <c r="I1951" t="s">
        <v>121</v>
      </c>
      <c r="J1951" t="s">
        <v>122</v>
      </c>
      <c r="K1951">
        <v>0</v>
      </c>
      <c r="L1951" s="84">
        <v>10123965</v>
      </c>
      <c r="M1951" s="84">
        <v>30371895</v>
      </c>
    </row>
    <row r="1952" spans="3:13" hidden="1" x14ac:dyDescent="0.25">
      <c r="C1952" t="s">
        <v>65</v>
      </c>
      <c r="D1952" t="s">
        <v>120</v>
      </c>
      <c r="E1952" t="s">
        <v>63</v>
      </c>
      <c r="F1952" t="s">
        <v>123</v>
      </c>
      <c r="G1952">
        <v>-4</v>
      </c>
      <c r="H1952" t="s">
        <v>70</v>
      </c>
      <c r="I1952" t="s">
        <v>121</v>
      </c>
      <c r="J1952" t="s">
        <v>122</v>
      </c>
      <c r="K1952">
        <v>0</v>
      </c>
      <c r="L1952" s="84">
        <v>34774</v>
      </c>
      <c r="M1952" s="84">
        <v>0</v>
      </c>
    </row>
    <row r="1953" spans="3:13" hidden="1" x14ac:dyDescent="0.25">
      <c r="C1953" t="s">
        <v>119</v>
      </c>
      <c r="D1953" t="s">
        <v>120</v>
      </c>
      <c r="E1953" t="s">
        <v>63</v>
      </c>
      <c r="F1953" t="s">
        <v>124</v>
      </c>
      <c r="G1953">
        <v>10</v>
      </c>
      <c r="H1953" t="s">
        <v>72</v>
      </c>
      <c r="I1953" t="s">
        <v>121</v>
      </c>
      <c r="J1953" t="s">
        <v>122</v>
      </c>
      <c r="K1953">
        <v>0</v>
      </c>
      <c r="L1953" s="84">
        <v>600770</v>
      </c>
      <c r="M1953" s="84">
        <v>6007700</v>
      </c>
    </row>
    <row r="1954" spans="3:13" hidden="1" x14ac:dyDescent="0.25">
      <c r="C1954" t="s">
        <v>65</v>
      </c>
      <c r="D1954" t="s">
        <v>120</v>
      </c>
      <c r="E1954" t="s">
        <v>63</v>
      </c>
      <c r="F1954" t="s">
        <v>123</v>
      </c>
      <c r="G1954">
        <v>2</v>
      </c>
      <c r="H1954" t="s">
        <v>14</v>
      </c>
      <c r="I1954" t="s">
        <v>121</v>
      </c>
      <c r="J1954" t="s">
        <v>66</v>
      </c>
      <c r="K1954">
        <v>1</v>
      </c>
      <c r="L1954" s="84">
        <v>314996</v>
      </c>
      <c r="M1954" s="84">
        <v>629992</v>
      </c>
    </row>
    <row r="1955" spans="3:13" hidden="1" x14ac:dyDescent="0.25">
      <c r="C1955" t="s">
        <v>65</v>
      </c>
      <c r="D1955" t="s">
        <v>120</v>
      </c>
      <c r="E1955" t="s">
        <v>60</v>
      </c>
      <c r="F1955" t="s">
        <v>124</v>
      </c>
      <c r="G1955">
        <v>-4</v>
      </c>
      <c r="H1955" t="s">
        <v>14</v>
      </c>
      <c r="I1955" t="s">
        <v>121</v>
      </c>
      <c r="J1955" t="s">
        <v>66</v>
      </c>
      <c r="K1955">
        <v>1</v>
      </c>
      <c r="L1955" s="84">
        <v>-4035673</v>
      </c>
      <c r="M1955" s="84">
        <v>0</v>
      </c>
    </row>
    <row r="1956" spans="3:13" hidden="1" x14ac:dyDescent="0.25">
      <c r="C1956" t="s">
        <v>119</v>
      </c>
      <c r="D1956" t="s">
        <v>125</v>
      </c>
      <c r="E1956" t="s">
        <v>60</v>
      </c>
      <c r="F1956" t="s">
        <v>24</v>
      </c>
      <c r="G1956">
        <v>26</v>
      </c>
      <c r="I1956" t="s">
        <v>121</v>
      </c>
      <c r="J1956" t="s">
        <v>122</v>
      </c>
      <c r="K1956">
        <v>0</v>
      </c>
      <c r="L1956" s="84">
        <v>-390012</v>
      </c>
      <c r="M1956" s="84">
        <v>0</v>
      </c>
    </row>
    <row r="1957" spans="3:13" hidden="1" x14ac:dyDescent="0.25">
      <c r="C1957" t="s">
        <v>119</v>
      </c>
      <c r="D1957" t="s">
        <v>120</v>
      </c>
      <c r="E1957" t="s">
        <v>63</v>
      </c>
      <c r="F1957" t="s">
        <v>123</v>
      </c>
      <c r="G1957">
        <v>5</v>
      </c>
      <c r="H1957" t="s">
        <v>68</v>
      </c>
      <c r="I1957" t="s">
        <v>121</v>
      </c>
      <c r="J1957" t="s">
        <v>122</v>
      </c>
      <c r="K1957">
        <v>0</v>
      </c>
      <c r="L1957" s="84">
        <v>20718384</v>
      </c>
      <c r="M1957" s="84">
        <v>103591920</v>
      </c>
    </row>
    <row r="1958" spans="3:13" hidden="1" x14ac:dyDescent="0.25">
      <c r="C1958" t="s">
        <v>119</v>
      </c>
      <c r="D1958" t="s">
        <v>120</v>
      </c>
      <c r="E1958" t="s">
        <v>63</v>
      </c>
      <c r="F1958" t="s">
        <v>24</v>
      </c>
      <c r="G1958">
        <v>2</v>
      </c>
      <c r="H1958" t="s">
        <v>69</v>
      </c>
      <c r="I1958" t="s">
        <v>121</v>
      </c>
      <c r="J1958" t="s">
        <v>122</v>
      </c>
      <c r="K1958">
        <v>0</v>
      </c>
      <c r="L1958" s="84">
        <v>1775365</v>
      </c>
      <c r="M1958" s="84">
        <v>3550730</v>
      </c>
    </row>
    <row r="1959" spans="3:13" hidden="1" x14ac:dyDescent="0.25">
      <c r="C1959" t="s">
        <v>65</v>
      </c>
      <c r="D1959" t="s">
        <v>120</v>
      </c>
      <c r="E1959" t="s">
        <v>60</v>
      </c>
      <c r="F1959" t="s">
        <v>24</v>
      </c>
      <c r="G1959">
        <v>-4</v>
      </c>
      <c r="H1959" t="s">
        <v>18</v>
      </c>
      <c r="I1959" t="s">
        <v>121</v>
      </c>
      <c r="J1959" t="s">
        <v>122</v>
      </c>
      <c r="K1959">
        <v>0</v>
      </c>
      <c r="L1959" s="84">
        <v>-36836</v>
      </c>
      <c r="M1959" s="84">
        <v>0</v>
      </c>
    </row>
    <row r="1960" spans="3:13" hidden="1" x14ac:dyDescent="0.25">
      <c r="C1960" t="s">
        <v>119</v>
      </c>
      <c r="D1960" t="s">
        <v>120</v>
      </c>
      <c r="E1960" t="s">
        <v>60</v>
      </c>
      <c r="F1960" t="s">
        <v>124</v>
      </c>
      <c r="G1960">
        <v>5</v>
      </c>
      <c r="H1960" t="s">
        <v>13</v>
      </c>
      <c r="I1960" t="s">
        <v>121</v>
      </c>
      <c r="J1960" t="s">
        <v>122</v>
      </c>
      <c r="K1960">
        <v>0</v>
      </c>
      <c r="L1960" s="84">
        <v>-4451</v>
      </c>
      <c r="M1960" s="84">
        <v>0</v>
      </c>
    </row>
    <row r="1961" spans="3:13" hidden="1" x14ac:dyDescent="0.25">
      <c r="C1961" t="s">
        <v>65</v>
      </c>
      <c r="D1961" t="s">
        <v>120</v>
      </c>
      <c r="E1961" t="s">
        <v>60</v>
      </c>
      <c r="F1961" t="s">
        <v>124</v>
      </c>
      <c r="G1961">
        <v>3</v>
      </c>
      <c r="H1961" t="s">
        <v>69</v>
      </c>
      <c r="I1961" t="s">
        <v>121</v>
      </c>
      <c r="J1961" t="s">
        <v>122</v>
      </c>
      <c r="K1961">
        <v>0</v>
      </c>
      <c r="L1961" s="84">
        <v>-254466</v>
      </c>
      <c r="M1961" s="84">
        <v>0</v>
      </c>
    </row>
    <row r="1962" spans="3:13" hidden="1" x14ac:dyDescent="0.25">
      <c r="C1962" t="s">
        <v>119</v>
      </c>
      <c r="D1962" t="s">
        <v>125</v>
      </c>
      <c r="E1962" t="s">
        <v>63</v>
      </c>
      <c r="F1962" t="s">
        <v>24</v>
      </c>
      <c r="G1962">
        <v>20</v>
      </c>
      <c r="I1962" t="s">
        <v>121</v>
      </c>
      <c r="J1962" t="s">
        <v>122</v>
      </c>
      <c r="K1962">
        <v>0</v>
      </c>
      <c r="L1962" s="84">
        <v>649407371</v>
      </c>
      <c r="M1962" s="84">
        <v>12988147420</v>
      </c>
    </row>
    <row r="1963" spans="3:13" hidden="1" x14ac:dyDescent="0.25">
      <c r="C1963" t="s">
        <v>64</v>
      </c>
      <c r="D1963" t="s">
        <v>120</v>
      </c>
      <c r="E1963" t="s">
        <v>60</v>
      </c>
      <c r="F1963" t="s">
        <v>25</v>
      </c>
      <c r="G1963">
        <v>1</v>
      </c>
      <c r="H1963" t="s">
        <v>67</v>
      </c>
      <c r="I1963" t="s">
        <v>121</v>
      </c>
      <c r="J1963" t="s">
        <v>122</v>
      </c>
      <c r="K1963">
        <v>0</v>
      </c>
      <c r="L1963" s="84">
        <v>-24</v>
      </c>
      <c r="M1963" s="84">
        <v>0</v>
      </c>
    </row>
    <row r="1964" spans="3:13" hidden="1" x14ac:dyDescent="0.25">
      <c r="C1964" t="s">
        <v>119</v>
      </c>
      <c r="D1964" t="s">
        <v>120</v>
      </c>
      <c r="E1964" t="s">
        <v>60</v>
      </c>
      <c r="F1964" t="s">
        <v>124</v>
      </c>
      <c r="G1964">
        <v>2</v>
      </c>
      <c r="H1964" t="s">
        <v>14</v>
      </c>
      <c r="I1964" t="s">
        <v>62</v>
      </c>
      <c r="J1964" t="s">
        <v>122</v>
      </c>
      <c r="K1964">
        <v>1</v>
      </c>
      <c r="L1964" s="84">
        <v>-158</v>
      </c>
      <c r="M1964" s="84">
        <v>0</v>
      </c>
    </row>
    <row r="1965" spans="3:13" hidden="1" x14ac:dyDescent="0.25">
      <c r="C1965" t="s">
        <v>119</v>
      </c>
      <c r="D1965" t="s">
        <v>120</v>
      </c>
      <c r="E1965" t="s">
        <v>63</v>
      </c>
      <c r="F1965" t="s">
        <v>124</v>
      </c>
      <c r="G1965">
        <v>9</v>
      </c>
      <c r="H1965" t="s">
        <v>75</v>
      </c>
      <c r="I1965" t="s">
        <v>121</v>
      </c>
      <c r="J1965" t="s">
        <v>122</v>
      </c>
      <c r="K1965">
        <v>0</v>
      </c>
      <c r="L1965" s="84">
        <v>1171479</v>
      </c>
      <c r="M1965" s="84">
        <v>10543311</v>
      </c>
    </row>
    <row r="1966" spans="3:13" hidden="1" x14ac:dyDescent="0.25">
      <c r="C1966" t="s">
        <v>64</v>
      </c>
      <c r="D1966" t="s">
        <v>120</v>
      </c>
      <c r="E1966" t="s">
        <v>63</v>
      </c>
      <c r="F1966" t="s">
        <v>123</v>
      </c>
      <c r="G1966">
        <v>4</v>
      </c>
      <c r="H1966" t="s">
        <v>68</v>
      </c>
      <c r="I1966" t="s">
        <v>121</v>
      </c>
      <c r="J1966" t="s">
        <v>122</v>
      </c>
      <c r="K1966">
        <v>0</v>
      </c>
      <c r="L1966" s="84">
        <v>407720</v>
      </c>
      <c r="M1966" s="84">
        <v>1630880</v>
      </c>
    </row>
    <row r="1967" spans="3:13" hidden="1" x14ac:dyDescent="0.25">
      <c r="C1967" t="s">
        <v>119</v>
      </c>
      <c r="D1967" t="s">
        <v>120</v>
      </c>
      <c r="E1967" t="s">
        <v>60</v>
      </c>
      <c r="F1967" t="s">
        <v>25</v>
      </c>
      <c r="G1967">
        <v>1</v>
      </c>
      <c r="H1967" t="s">
        <v>68</v>
      </c>
      <c r="I1967" t="s">
        <v>121</v>
      </c>
      <c r="J1967" t="s">
        <v>122</v>
      </c>
      <c r="K1967">
        <v>0</v>
      </c>
      <c r="L1967" s="84">
        <v>-30426</v>
      </c>
      <c r="M1967" s="84">
        <v>0</v>
      </c>
    </row>
    <row r="1968" spans="3:13" hidden="1" x14ac:dyDescent="0.25">
      <c r="C1968" t="s">
        <v>64</v>
      </c>
      <c r="D1968" t="s">
        <v>120</v>
      </c>
      <c r="E1968" t="s">
        <v>60</v>
      </c>
      <c r="F1968" t="s">
        <v>25</v>
      </c>
      <c r="G1968">
        <v>8</v>
      </c>
      <c r="H1968" t="s">
        <v>70</v>
      </c>
      <c r="I1968" t="s">
        <v>121</v>
      </c>
      <c r="J1968" t="s">
        <v>122</v>
      </c>
      <c r="K1968">
        <v>0</v>
      </c>
      <c r="L1968" s="84">
        <v>-22564</v>
      </c>
      <c r="M1968" s="84">
        <v>0</v>
      </c>
    </row>
    <row r="1969" spans="3:13" hidden="1" x14ac:dyDescent="0.25">
      <c r="C1969" t="s">
        <v>119</v>
      </c>
      <c r="D1969" t="s">
        <v>120</v>
      </c>
      <c r="E1969" t="s">
        <v>60</v>
      </c>
      <c r="F1969" t="s">
        <v>25</v>
      </c>
      <c r="G1969">
        <v>8</v>
      </c>
      <c r="H1969" t="s">
        <v>74</v>
      </c>
      <c r="I1969" t="s">
        <v>121</v>
      </c>
      <c r="J1969" t="s">
        <v>122</v>
      </c>
      <c r="K1969">
        <v>0</v>
      </c>
      <c r="L1969" s="84">
        <v>-66</v>
      </c>
      <c r="M1969" s="84">
        <v>0</v>
      </c>
    </row>
    <row r="1970" spans="3:13" hidden="1" x14ac:dyDescent="0.25">
      <c r="C1970" t="s">
        <v>119</v>
      </c>
      <c r="D1970" t="s">
        <v>120</v>
      </c>
      <c r="E1970" t="s">
        <v>60</v>
      </c>
      <c r="F1970" t="s">
        <v>124</v>
      </c>
      <c r="G1970">
        <v>2</v>
      </c>
      <c r="H1970" t="s">
        <v>15</v>
      </c>
      <c r="I1970" t="s">
        <v>121</v>
      </c>
      <c r="J1970" t="s">
        <v>66</v>
      </c>
      <c r="K1970">
        <v>1</v>
      </c>
      <c r="L1970" s="84">
        <v>-1046</v>
      </c>
      <c r="M1970" s="84">
        <v>0</v>
      </c>
    </row>
    <row r="1971" spans="3:13" hidden="1" x14ac:dyDescent="0.25">
      <c r="C1971" t="s">
        <v>64</v>
      </c>
      <c r="D1971" t="s">
        <v>120</v>
      </c>
      <c r="E1971" t="s">
        <v>60</v>
      </c>
      <c r="F1971" t="s">
        <v>25</v>
      </c>
      <c r="G1971">
        <v>11</v>
      </c>
      <c r="H1971" t="s">
        <v>17</v>
      </c>
      <c r="I1971" t="s">
        <v>121</v>
      </c>
      <c r="J1971" t="s">
        <v>122</v>
      </c>
      <c r="K1971">
        <v>0</v>
      </c>
      <c r="L1971" s="84">
        <v>-23778</v>
      </c>
      <c r="M1971" s="84">
        <v>0</v>
      </c>
    </row>
    <row r="1972" spans="3:13" hidden="1" x14ac:dyDescent="0.25">
      <c r="C1972" t="s">
        <v>64</v>
      </c>
      <c r="D1972" t="s">
        <v>120</v>
      </c>
      <c r="E1972" t="s">
        <v>60</v>
      </c>
      <c r="F1972" t="s">
        <v>124</v>
      </c>
      <c r="G1972">
        <v>-1</v>
      </c>
      <c r="H1972" t="s">
        <v>75</v>
      </c>
      <c r="I1972" t="s">
        <v>121</v>
      </c>
      <c r="J1972" t="s">
        <v>122</v>
      </c>
      <c r="K1972">
        <v>0</v>
      </c>
      <c r="L1972" s="84">
        <v>-524727</v>
      </c>
      <c r="M1972" s="84">
        <v>0</v>
      </c>
    </row>
    <row r="1973" spans="3:13" hidden="1" x14ac:dyDescent="0.25">
      <c r="C1973" t="s">
        <v>65</v>
      </c>
      <c r="D1973" t="s">
        <v>125</v>
      </c>
      <c r="E1973" t="s">
        <v>63</v>
      </c>
      <c r="F1973" t="s">
        <v>24</v>
      </c>
      <c r="G1973">
        <v>15</v>
      </c>
      <c r="I1973" t="s">
        <v>121</v>
      </c>
      <c r="J1973" t="s">
        <v>122</v>
      </c>
      <c r="K1973">
        <v>0</v>
      </c>
      <c r="L1973" s="84">
        <v>4542037</v>
      </c>
      <c r="M1973" s="84">
        <v>68130555</v>
      </c>
    </row>
    <row r="1974" spans="3:13" hidden="1" x14ac:dyDescent="0.25">
      <c r="C1974" t="s">
        <v>65</v>
      </c>
      <c r="D1974" t="s">
        <v>125</v>
      </c>
      <c r="E1974" t="s">
        <v>63</v>
      </c>
      <c r="F1974" t="s">
        <v>25</v>
      </c>
      <c r="G1974">
        <v>10</v>
      </c>
      <c r="I1974" t="s">
        <v>121</v>
      </c>
      <c r="J1974" t="s">
        <v>122</v>
      </c>
      <c r="K1974">
        <v>0</v>
      </c>
      <c r="L1974" s="84">
        <v>46214</v>
      </c>
      <c r="M1974" s="84">
        <v>462140</v>
      </c>
    </row>
    <row r="1975" spans="3:13" hidden="1" x14ac:dyDescent="0.25">
      <c r="C1975" t="s">
        <v>64</v>
      </c>
      <c r="D1975" t="s">
        <v>125</v>
      </c>
      <c r="E1975" t="s">
        <v>60</v>
      </c>
      <c r="F1975" t="s">
        <v>24</v>
      </c>
      <c r="G1975">
        <v>16</v>
      </c>
      <c r="I1975" t="s">
        <v>121</v>
      </c>
      <c r="J1975" t="s">
        <v>122</v>
      </c>
      <c r="K1975">
        <v>0</v>
      </c>
      <c r="L1975" s="84">
        <v>-618925</v>
      </c>
      <c r="M1975" s="84">
        <v>0</v>
      </c>
    </row>
    <row r="1976" spans="3:13" hidden="1" x14ac:dyDescent="0.25">
      <c r="C1976" t="s">
        <v>65</v>
      </c>
      <c r="D1976" t="s">
        <v>120</v>
      </c>
      <c r="E1976" t="s">
        <v>60</v>
      </c>
      <c r="F1976" t="s">
        <v>25</v>
      </c>
      <c r="G1976">
        <v>-4</v>
      </c>
      <c r="H1976" t="s">
        <v>18</v>
      </c>
      <c r="I1976" t="s">
        <v>121</v>
      </c>
      <c r="J1976" t="s">
        <v>122</v>
      </c>
      <c r="K1976">
        <v>0</v>
      </c>
      <c r="L1976" s="84">
        <v>-166007</v>
      </c>
      <c r="M1976" s="84">
        <v>0</v>
      </c>
    </row>
    <row r="1977" spans="3:13" x14ac:dyDescent="0.25">
      <c r="C1977" t="s">
        <v>65</v>
      </c>
      <c r="D1977" t="s">
        <v>120</v>
      </c>
      <c r="E1977" t="s">
        <v>63</v>
      </c>
      <c r="F1977" t="s">
        <v>25</v>
      </c>
      <c r="G1977">
        <v>3</v>
      </c>
      <c r="H1977" t="s">
        <v>12</v>
      </c>
      <c r="I1977" t="s">
        <v>121</v>
      </c>
      <c r="J1977" t="s">
        <v>66</v>
      </c>
      <c r="K1977">
        <v>1</v>
      </c>
      <c r="L1977" s="84">
        <v>46050</v>
      </c>
      <c r="M1977" s="84">
        <v>138150</v>
      </c>
    </row>
    <row r="1978" spans="3:13" hidden="1" x14ac:dyDescent="0.25">
      <c r="C1978" t="s">
        <v>119</v>
      </c>
      <c r="D1978" t="s">
        <v>120</v>
      </c>
      <c r="E1978" t="s">
        <v>63</v>
      </c>
      <c r="F1978" t="s">
        <v>25</v>
      </c>
      <c r="G1978">
        <v>6</v>
      </c>
      <c r="H1978" t="s">
        <v>14</v>
      </c>
      <c r="I1978" t="s">
        <v>121</v>
      </c>
      <c r="J1978" t="s">
        <v>122</v>
      </c>
      <c r="K1978">
        <v>0</v>
      </c>
      <c r="L1978" s="84">
        <v>2199905</v>
      </c>
      <c r="M1978" s="84">
        <v>13199430</v>
      </c>
    </row>
    <row r="1979" spans="3:13" hidden="1" x14ac:dyDescent="0.25">
      <c r="C1979" t="s">
        <v>64</v>
      </c>
      <c r="D1979" t="s">
        <v>120</v>
      </c>
      <c r="E1979" t="s">
        <v>60</v>
      </c>
      <c r="F1979" t="s">
        <v>124</v>
      </c>
      <c r="G1979">
        <v>7</v>
      </c>
      <c r="H1979" t="s">
        <v>18</v>
      </c>
      <c r="I1979" t="s">
        <v>121</v>
      </c>
      <c r="J1979" t="s">
        <v>122</v>
      </c>
      <c r="K1979">
        <v>0</v>
      </c>
      <c r="L1979" s="84">
        <v>-322268</v>
      </c>
      <c r="M1979" s="84">
        <v>0</v>
      </c>
    </row>
    <row r="1980" spans="3:13" hidden="1" x14ac:dyDescent="0.25">
      <c r="C1980" t="s">
        <v>119</v>
      </c>
      <c r="D1980" t="s">
        <v>120</v>
      </c>
      <c r="E1980" t="s">
        <v>63</v>
      </c>
      <c r="F1980" t="s">
        <v>124</v>
      </c>
      <c r="G1980">
        <v>2</v>
      </c>
      <c r="H1980" t="s">
        <v>68</v>
      </c>
      <c r="I1980" t="s">
        <v>121</v>
      </c>
      <c r="J1980" t="s">
        <v>122</v>
      </c>
      <c r="K1980">
        <v>0</v>
      </c>
      <c r="L1980" s="84">
        <v>11988758</v>
      </c>
      <c r="M1980" s="84">
        <v>23977516</v>
      </c>
    </row>
    <row r="1981" spans="3:13" hidden="1" x14ac:dyDescent="0.25">
      <c r="C1981" t="s">
        <v>64</v>
      </c>
      <c r="D1981" t="s">
        <v>120</v>
      </c>
      <c r="E1981" t="s">
        <v>63</v>
      </c>
      <c r="F1981" t="s">
        <v>25</v>
      </c>
      <c r="G1981">
        <v>9</v>
      </c>
      <c r="H1981" t="s">
        <v>67</v>
      </c>
      <c r="I1981" t="s">
        <v>121</v>
      </c>
      <c r="J1981" t="s">
        <v>122</v>
      </c>
      <c r="K1981">
        <v>0</v>
      </c>
      <c r="L1981" s="84">
        <v>412238</v>
      </c>
      <c r="M1981" s="84">
        <v>3710142</v>
      </c>
    </row>
    <row r="1982" spans="3:13" hidden="1" x14ac:dyDescent="0.25">
      <c r="C1982" t="s">
        <v>65</v>
      </c>
      <c r="D1982" t="s">
        <v>125</v>
      </c>
      <c r="E1982" t="s">
        <v>63</v>
      </c>
      <c r="F1982" t="s">
        <v>24</v>
      </c>
      <c r="G1982">
        <v>47</v>
      </c>
      <c r="I1982" t="s">
        <v>121</v>
      </c>
      <c r="J1982" t="s">
        <v>122</v>
      </c>
      <c r="K1982">
        <v>0</v>
      </c>
      <c r="L1982" s="84">
        <v>121150</v>
      </c>
      <c r="M1982" s="84">
        <v>5694050</v>
      </c>
    </row>
    <row r="1983" spans="3:13" hidden="1" x14ac:dyDescent="0.25">
      <c r="C1983" t="s">
        <v>64</v>
      </c>
      <c r="D1983" t="s">
        <v>125</v>
      </c>
      <c r="E1983" t="s">
        <v>63</v>
      </c>
      <c r="F1983" t="s">
        <v>24</v>
      </c>
      <c r="G1983">
        <v>2</v>
      </c>
      <c r="I1983" t="s">
        <v>121</v>
      </c>
      <c r="J1983" t="s">
        <v>122</v>
      </c>
      <c r="K1983">
        <v>0</v>
      </c>
      <c r="L1983" s="84">
        <v>2779857</v>
      </c>
      <c r="M1983" s="84">
        <v>5559714</v>
      </c>
    </row>
    <row r="1984" spans="3:13" hidden="1" x14ac:dyDescent="0.25">
      <c r="C1984" t="s">
        <v>119</v>
      </c>
      <c r="D1984" t="s">
        <v>125</v>
      </c>
      <c r="E1984" t="s">
        <v>60</v>
      </c>
      <c r="F1984" t="s">
        <v>25</v>
      </c>
      <c r="G1984">
        <v>0</v>
      </c>
      <c r="I1984" t="s">
        <v>121</v>
      </c>
      <c r="J1984" t="s">
        <v>122</v>
      </c>
      <c r="K1984">
        <v>0</v>
      </c>
      <c r="L1984" s="84">
        <v>-814</v>
      </c>
      <c r="M1984" s="84">
        <v>0</v>
      </c>
    </row>
    <row r="1985" spans="3:13" hidden="1" x14ac:dyDescent="0.25">
      <c r="C1985" t="s">
        <v>64</v>
      </c>
      <c r="D1985" t="s">
        <v>120</v>
      </c>
      <c r="E1985" t="s">
        <v>60</v>
      </c>
      <c r="F1985" t="s">
        <v>123</v>
      </c>
      <c r="G1985">
        <v>-4</v>
      </c>
      <c r="H1985" t="s">
        <v>75</v>
      </c>
      <c r="I1985" t="s">
        <v>121</v>
      </c>
      <c r="J1985" t="s">
        <v>122</v>
      </c>
      <c r="K1985">
        <v>0</v>
      </c>
      <c r="L1985" s="84">
        <v>-205</v>
      </c>
      <c r="M1985" s="84">
        <v>0</v>
      </c>
    </row>
    <row r="1986" spans="3:13" hidden="1" x14ac:dyDescent="0.25">
      <c r="C1986" t="s">
        <v>119</v>
      </c>
      <c r="D1986" t="s">
        <v>120</v>
      </c>
      <c r="E1986" t="s">
        <v>63</v>
      </c>
      <c r="F1986" t="s">
        <v>123</v>
      </c>
      <c r="G1986">
        <v>5</v>
      </c>
      <c r="H1986" t="s">
        <v>76</v>
      </c>
      <c r="I1986" t="s">
        <v>121</v>
      </c>
      <c r="J1986" t="s">
        <v>122</v>
      </c>
      <c r="K1986">
        <v>0</v>
      </c>
      <c r="L1986" s="84">
        <v>1236340</v>
      </c>
      <c r="M1986" s="84">
        <v>6181700</v>
      </c>
    </row>
    <row r="1987" spans="3:13" hidden="1" x14ac:dyDescent="0.25">
      <c r="C1987" t="s">
        <v>64</v>
      </c>
      <c r="D1987" t="s">
        <v>120</v>
      </c>
      <c r="E1987" t="s">
        <v>60</v>
      </c>
      <c r="F1987" t="s">
        <v>25</v>
      </c>
      <c r="G1987">
        <v>4</v>
      </c>
      <c r="H1987" t="s">
        <v>14</v>
      </c>
      <c r="I1987" t="s">
        <v>121</v>
      </c>
      <c r="J1987" t="s">
        <v>66</v>
      </c>
      <c r="K1987">
        <v>1</v>
      </c>
      <c r="L1987" s="84">
        <v>-2843</v>
      </c>
      <c r="M1987" s="84">
        <v>0</v>
      </c>
    </row>
    <row r="1988" spans="3:13" hidden="1" x14ac:dyDescent="0.25">
      <c r="C1988" t="s">
        <v>65</v>
      </c>
      <c r="D1988" t="s">
        <v>120</v>
      </c>
      <c r="E1988" t="s">
        <v>60</v>
      </c>
      <c r="F1988" t="s">
        <v>123</v>
      </c>
      <c r="G1988">
        <v>1</v>
      </c>
      <c r="H1988" t="s">
        <v>12</v>
      </c>
      <c r="I1988" t="s">
        <v>62</v>
      </c>
      <c r="J1988" t="s">
        <v>66</v>
      </c>
      <c r="K1988">
        <v>1</v>
      </c>
      <c r="L1988" s="84">
        <v>-11879</v>
      </c>
      <c r="M1988" s="84">
        <v>0</v>
      </c>
    </row>
    <row r="1989" spans="3:13" hidden="1" x14ac:dyDescent="0.25">
      <c r="C1989" t="s">
        <v>65</v>
      </c>
      <c r="D1989" t="s">
        <v>120</v>
      </c>
      <c r="E1989" t="s">
        <v>63</v>
      </c>
      <c r="F1989" t="s">
        <v>123</v>
      </c>
      <c r="G1989">
        <v>5</v>
      </c>
      <c r="H1989" t="s">
        <v>18</v>
      </c>
      <c r="I1989" t="s">
        <v>121</v>
      </c>
      <c r="J1989" t="s">
        <v>122</v>
      </c>
      <c r="K1989">
        <v>0</v>
      </c>
      <c r="L1989" s="84">
        <v>33303</v>
      </c>
      <c r="M1989" s="84">
        <v>166515</v>
      </c>
    </row>
    <row r="1990" spans="3:13" hidden="1" x14ac:dyDescent="0.25">
      <c r="C1990" t="s">
        <v>64</v>
      </c>
      <c r="D1990" t="s">
        <v>120</v>
      </c>
      <c r="E1990" t="s">
        <v>60</v>
      </c>
      <c r="F1990" t="s">
        <v>124</v>
      </c>
      <c r="G1990">
        <v>1</v>
      </c>
      <c r="H1990" t="s">
        <v>13</v>
      </c>
      <c r="I1990" t="s">
        <v>121</v>
      </c>
      <c r="J1990" t="s">
        <v>122</v>
      </c>
      <c r="K1990">
        <v>0</v>
      </c>
      <c r="L1990" s="84">
        <v>-6615</v>
      </c>
      <c r="M1990" s="84">
        <v>0</v>
      </c>
    </row>
    <row r="1991" spans="3:13" hidden="1" x14ac:dyDescent="0.25">
      <c r="C1991" t="s">
        <v>119</v>
      </c>
      <c r="D1991" t="s">
        <v>120</v>
      </c>
      <c r="E1991" t="s">
        <v>63</v>
      </c>
      <c r="F1991" t="s">
        <v>124</v>
      </c>
      <c r="G1991">
        <v>0</v>
      </c>
      <c r="H1991" t="s">
        <v>17</v>
      </c>
      <c r="I1991" t="s">
        <v>62</v>
      </c>
      <c r="J1991" t="s">
        <v>66</v>
      </c>
      <c r="K1991">
        <v>1</v>
      </c>
      <c r="L1991" s="84">
        <v>1118063</v>
      </c>
      <c r="M1991" s="84">
        <v>0</v>
      </c>
    </row>
    <row r="1992" spans="3:13" hidden="1" x14ac:dyDescent="0.25">
      <c r="C1992" t="s">
        <v>119</v>
      </c>
      <c r="D1992" t="s">
        <v>126</v>
      </c>
      <c r="E1992" t="s">
        <v>60</v>
      </c>
      <c r="F1992" t="s">
        <v>24</v>
      </c>
      <c r="G1992">
        <v>6</v>
      </c>
      <c r="H1992" t="s">
        <v>69</v>
      </c>
      <c r="I1992" t="s">
        <v>121</v>
      </c>
      <c r="J1992" t="s">
        <v>122</v>
      </c>
      <c r="K1992">
        <v>0</v>
      </c>
      <c r="L1992" s="84">
        <v>-144</v>
      </c>
      <c r="M1992" s="84">
        <v>0</v>
      </c>
    </row>
    <row r="1993" spans="3:13" hidden="1" x14ac:dyDescent="0.25">
      <c r="C1993" t="s">
        <v>65</v>
      </c>
      <c r="D1993" t="s">
        <v>120</v>
      </c>
      <c r="E1993" t="s">
        <v>63</v>
      </c>
      <c r="F1993" t="s">
        <v>124</v>
      </c>
      <c r="G1993">
        <v>-1</v>
      </c>
      <c r="H1993" t="s">
        <v>76</v>
      </c>
      <c r="I1993" t="s">
        <v>121</v>
      </c>
      <c r="J1993" t="s">
        <v>122</v>
      </c>
      <c r="K1993">
        <v>0</v>
      </c>
      <c r="L1993" s="84">
        <v>310400</v>
      </c>
      <c r="M1993" s="84">
        <v>0</v>
      </c>
    </row>
    <row r="1994" spans="3:13" hidden="1" x14ac:dyDescent="0.25">
      <c r="C1994" t="s">
        <v>64</v>
      </c>
      <c r="D1994" t="s">
        <v>125</v>
      </c>
      <c r="E1994" t="s">
        <v>60</v>
      </c>
      <c r="F1994" t="s">
        <v>24</v>
      </c>
      <c r="G1994">
        <v>5</v>
      </c>
      <c r="I1994" t="s">
        <v>121</v>
      </c>
      <c r="J1994" t="s">
        <v>122</v>
      </c>
      <c r="K1994">
        <v>0</v>
      </c>
      <c r="L1994" s="84">
        <v>-203509</v>
      </c>
      <c r="M1994" s="84">
        <v>0</v>
      </c>
    </row>
    <row r="1995" spans="3:13" hidden="1" x14ac:dyDescent="0.25">
      <c r="C1995" t="s">
        <v>64</v>
      </c>
      <c r="D1995" t="s">
        <v>120</v>
      </c>
      <c r="E1995" t="s">
        <v>63</v>
      </c>
      <c r="F1995" t="s">
        <v>25</v>
      </c>
      <c r="G1995">
        <v>14</v>
      </c>
      <c r="H1995" t="s">
        <v>18</v>
      </c>
      <c r="I1995" t="s">
        <v>121</v>
      </c>
      <c r="J1995" t="s">
        <v>122</v>
      </c>
      <c r="K1995">
        <v>0</v>
      </c>
      <c r="L1995" s="84">
        <v>221123</v>
      </c>
      <c r="M1995" s="84">
        <v>3095722</v>
      </c>
    </row>
    <row r="1996" spans="3:13" hidden="1" x14ac:dyDescent="0.25">
      <c r="C1996" t="s">
        <v>65</v>
      </c>
      <c r="D1996" t="s">
        <v>125</v>
      </c>
      <c r="E1996" t="s">
        <v>60</v>
      </c>
      <c r="F1996" t="s">
        <v>24</v>
      </c>
      <c r="G1996">
        <v>16</v>
      </c>
      <c r="I1996" t="s">
        <v>121</v>
      </c>
      <c r="J1996" t="s">
        <v>122</v>
      </c>
      <c r="K1996">
        <v>0</v>
      </c>
      <c r="L1996" s="84">
        <v>-1240145</v>
      </c>
      <c r="M1996" s="84">
        <v>0</v>
      </c>
    </row>
    <row r="1997" spans="3:13" hidden="1" x14ac:dyDescent="0.25">
      <c r="C1997" t="s">
        <v>65</v>
      </c>
      <c r="D1997" t="s">
        <v>120</v>
      </c>
      <c r="E1997" t="s">
        <v>60</v>
      </c>
      <c r="F1997" t="s">
        <v>124</v>
      </c>
      <c r="G1997">
        <v>12</v>
      </c>
      <c r="H1997" t="s">
        <v>14</v>
      </c>
      <c r="I1997" t="s">
        <v>121</v>
      </c>
      <c r="J1997" t="s">
        <v>122</v>
      </c>
      <c r="K1997">
        <v>0</v>
      </c>
      <c r="L1997" s="84">
        <v>-324223</v>
      </c>
      <c r="M1997" s="84">
        <v>0</v>
      </c>
    </row>
    <row r="1998" spans="3:13" hidden="1" x14ac:dyDescent="0.25">
      <c r="C1998" t="s">
        <v>119</v>
      </c>
      <c r="D1998" t="s">
        <v>120</v>
      </c>
      <c r="E1998" t="s">
        <v>63</v>
      </c>
      <c r="F1998" t="s">
        <v>123</v>
      </c>
      <c r="G1998">
        <v>-4</v>
      </c>
      <c r="H1998" t="s">
        <v>12</v>
      </c>
      <c r="I1998" t="s">
        <v>121</v>
      </c>
      <c r="J1998" t="s">
        <v>122</v>
      </c>
      <c r="K1998">
        <v>0</v>
      </c>
      <c r="L1998" s="84">
        <v>58</v>
      </c>
      <c r="M1998" s="84">
        <v>0</v>
      </c>
    </row>
    <row r="1999" spans="3:13" hidden="1" x14ac:dyDescent="0.25">
      <c r="C1999" t="s">
        <v>64</v>
      </c>
      <c r="D1999" t="s">
        <v>120</v>
      </c>
      <c r="E1999" t="s">
        <v>63</v>
      </c>
      <c r="F1999" t="s">
        <v>123</v>
      </c>
      <c r="G1999">
        <v>-4</v>
      </c>
      <c r="H1999" t="s">
        <v>75</v>
      </c>
      <c r="I1999" t="s">
        <v>121</v>
      </c>
      <c r="J1999" t="s">
        <v>122</v>
      </c>
      <c r="K1999">
        <v>0</v>
      </c>
      <c r="L1999" s="84">
        <v>1096</v>
      </c>
      <c r="M1999" s="84">
        <v>0</v>
      </c>
    </row>
    <row r="2000" spans="3:13" hidden="1" x14ac:dyDescent="0.25">
      <c r="C2000" t="s">
        <v>64</v>
      </c>
      <c r="D2000" t="s">
        <v>120</v>
      </c>
      <c r="E2000" t="s">
        <v>63</v>
      </c>
      <c r="F2000" t="s">
        <v>24</v>
      </c>
      <c r="G2000">
        <v>6</v>
      </c>
      <c r="H2000" t="s">
        <v>17</v>
      </c>
      <c r="I2000" t="s">
        <v>121</v>
      </c>
      <c r="J2000" t="s">
        <v>122</v>
      </c>
      <c r="K2000">
        <v>0</v>
      </c>
      <c r="L2000" s="84">
        <v>49035</v>
      </c>
      <c r="M2000" s="84">
        <v>294210</v>
      </c>
    </row>
    <row r="2001" spans="3:13" hidden="1" x14ac:dyDescent="0.25">
      <c r="C2001" t="s">
        <v>119</v>
      </c>
      <c r="D2001" t="s">
        <v>125</v>
      </c>
      <c r="E2001" t="s">
        <v>63</v>
      </c>
      <c r="F2001" t="s">
        <v>24</v>
      </c>
      <c r="G2001">
        <v>22</v>
      </c>
      <c r="I2001" t="s">
        <v>121</v>
      </c>
      <c r="J2001" t="s">
        <v>122</v>
      </c>
      <c r="K2001">
        <v>0</v>
      </c>
      <c r="L2001" s="84">
        <v>688977687</v>
      </c>
      <c r="M2001" s="84">
        <v>15157509114</v>
      </c>
    </row>
    <row r="2002" spans="3:13" hidden="1" x14ac:dyDescent="0.25">
      <c r="C2002" t="s">
        <v>119</v>
      </c>
      <c r="D2002" t="s">
        <v>120</v>
      </c>
      <c r="E2002" t="s">
        <v>63</v>
      </c>
      <c r="F2002" t="s">
        <v>25</v>
      </c>
      <c r="G2002">
        <v>9</v>
      </c>
      <c r="H2002" t="s">
        <v>68</v>
      </c>
      <c r="I2002" t="s">
        <v>121</v>
      </c>
      <c r="J2002" t="s">
        <v>122</v>
      </c>
      <c r="K2002">
        <v>0</v>
      </c>
      <c r="L2002" s="84">
        <v>52161117</v>
      </c>
      <c r="M2002" s="84">
        <v>469450053</v>
      </c>
    </row>
    <row r="2003" spans="3:13" x14ac:dyDescent="0.25">
      <c r="C2003" t="s">
        <v>64</v>
      </c>
      <c r="D2003" t="s">
        <v>120</v>
      </c>
      <c r="E2003" t="s">
        <v>63</v>
      </c>
      <c r="F2003" t="s">
        <v>25</v>
      </c>
      <c r="G2003">
        <v>8</v>
      </c>
      <c r="H2003" t="s">
        <v>12</v>
      </c>
      <c r="I2003" t="s">
        <v>121</v>
      </c>
      <c r="J2003" t="s">
        <v>66</v>
      </c>
      <c r="K2003">
        <v>1</v>
      </c>
      <c r="L2003" s="84">
        <v>185768</v>
      </c>
      <c r="M2003" s="84">
        <v>1486144</v>
      </c>
    </row>
    <row r="2004" spans="3:13" hidden="1" x14ac:dyDescent="0.25">
      <c r="C2004" t="s">
        <v>64</v>
      </c>
      <c r="D2004" t="s">
        <v>120</v>
      </c>
      <c r="E2004" t="s">
        <v>60</v>
      </c>
      <c r="F2004" t="s">
        <v>124</v>
      </c>
      <c r="G2004">
        <v>2</v>
      </c>
      <c r="H2004" t="s">
        <v>18</v>
      </c>
      <c r="I2004" t="s">
        <v>121</v>
      </c>
      <c r="J2004" t="s">
        <v>66</v>
      </c>
      <c r="K2004">
        <v>1</v>
      </c>
      <c r="L2004" s="84">
        <v>-65427</v>
      </c>
      <c r="M2004" s="84">
        <v>0</v>
      </c>
    </row>
    <row r="2005" spans="3:13" hidden="1" x14ac:dyDescent="0.25">
      <c r="C2005" t="s">
        <v>119</v>
      </c>
      <c r="D2005" t="s">
        <v>120</v>
      </c>
      <c r="E2005" t="s">
        <v>60</v>
      </c>
      <c r="F2005" t="s">
        <v>123</v>
      </c>
      <c r="G2005">
        <v>1</v>
      </c>
      <c r="H2005" t="s">
        <v>14</v>
      </c>
      <c r="I2005" t="s">
        <v>121</v>
      </c>
      <c r="J2005" t="s">
        <v>122</v>
      </c>
      <c r="K2005">
        <v>0</v>
      </c>
      <c r="L2005" s="84">
        <v>-7015</v>
      </c>
      <c r="M2005" s="84">
        <v>0</v>
      </c>
    </row>
    <row r="2006" spans="3:13" hidden="1" x14ac:dyDescent="0.25">
      <c r="C2006" t="s">
        <v>119</v>
      </c>
      <c r="D2006" t="s">
        <v>120</v>
      </c>
      <c r="E2006" t="s">
        <v>63</v>
      </c>
      <c r="F2006" t="s">
        <v>123</v>
      </c>
      <c r="G2006">
        <v>7</v>
      </c>
      <c r="H2006" t="s">
        <v>67</v>
      </c>
      <c r="I2006" t="s">
        <v>121</v>
      </c>
      <c r="J2006" t="s">
        <v>122</v>
      </c>
      <c r="K2006">
        <v>0</v>
      </c>
      <c r="L2006" s="84">
        <v>375712</v>
      </c>
      <c r="M2006" s="84">
        <v>2629984</v>
      </c>
    </row>
    <row r="2007" spans="3:13" hidden="1" x14ac:dyDescent="0.25">
      <c r="C2007" t="s">
        <v>119</v>
      </c>
      <c r="D2007" t="s">
        <v>128</v>
      </c>
      <c r="E2007" t="s">
        <v>63</v>
      </c>
      <c r="F2007" t="s">
        <v>25</v>
      </c>
      <c r="G2007">
        <v>12</v>
      </c>
      <c r="H2007" t="s">
        <v>74</v>
      </c>
      <c r="I2007" t="s">
        <v>121</v>
      </c>
      <c r="J2007" t="s">
        <v>122</v>
      </c>
      <c r="K2007">
        <v>0</v>
      </c>
      <c r="L2007" s="84">
        <v>416060</v>
      </c>
      <c r="M2007" s="84">
        <v>4992720</v>
      </c>
    </row>
    <row r="2008" spans="3:13" hidden="1" x14ac:dyDescent="0.25">
      <c r="C2008" t="s">
        <v>64</v>
      </c>
      <c r="D2008" t="s">
        <v>120</v>
      </c>
      <c r="E2008" t="s">
        <v>63</v>
      </c>
      <c r="F2008" t="s">
        <v>25</v>
      </c>
      <c r="G2008">
        <v>1</v>
      </c>
      <c r="H2008" t="s">
        <v>16</v>
      </c>
      <c r="I2008" t="s">
        <v>121</v>
      </c>
      <c r="J2008" t="s">
        <v>122</v>
      </c>
      <c r="K2008">
        <v>0</v>
      </c>
      <c r="L2008" s="84">
        <v>3709</v>
      </c>
      <c r="M2008" s="84">
        <v>3709</v>
      </c>
    </row>
    <row r="2009" spans="3:13" hidden="1" x14ac:dyDescent="0.25">
      <c r="C2009" t="s">
        <v>119</v>
      </c>
      <c r="D2009" t="s">
        <v>120</v>
      </c>
      <c r="E2009" t="s">
        <v>60</v>
      </c>
      <c r="F2009" t="s">
        <v>24</v>
      </c>
      <c r="G2009">
        <v>10</v>
      </c>
      <c r="H2009" t="s">
        <v>17</v>
      </c>
      <c r="I2009" t="s">
        <v>121</v>
      </c>
      <c r="J2009" t="s">
        <v>122</v>
      </c>
      <c r="K2009">
        <v>0</v>
      </c>
      <c r="L2009" s="84">
        <v>-4523</v>
      </c>
      <c r="M2009" s="84">
        <v>0</v>
      </c>
    </row>
    <row r="2010" spans="3:13" hidden="1" x14ac:dyDescent="0.25">
      <c r="C2010" t="s">
        <v>119</v>
      </c>
      <c r="D2010" t="s">
        <v>120</v>
      </c>
      <c r="E2010" t="s">
        <v>60</v>
      </c>
      <c r="F2010" t="s">
        <v>124</v>
      </c>
      <c r="G2010">
        <v>0</v>
      </c>
      <c r="H2010" t="s">
        <v>70</v>
      </c>
      <c r="I2010" t="s">
        <v>121</v>
      </c>
      <c r="J2010" t="s">
        <v>122</v>
      </c>
      <c r="K2010">
        <v>0</v>
      </c>
      <c r="L2010" s="84">
        <v>-47637</v>
      </c>
      <c r="M2010" s="84">
        <v>0</v>
      </c>
    </row>
    <row r="2011" spans="3:13" hidden="1" x14ac:dyDescent="0.25">
      <c r="C2011" t="s">
        <v>64</v>
      </c>
      <c r="D2011" t="s">
        <v>120</v>
      </c>
      <c r="E2011" t="s">
        <v>63</v>
      </c>
      <c r="F2011" t="s">
        <v>124</v>
      </c>
      <c r="G2011">
        <v>5</v>
      </c>
      <c r="H2011" t="s">
        <v>68</v>
      </c>
      <c r="I2011" t="s">
        <v>121</v>
      </c>
      <c r="J2011" t="s">
        <v>122</v>
      </c>
      <c r="K2011">
        <v>0</v>
      </c>
      <c r="L2011" s="84">
        <v>480772</v>
      </c>
      <c r="M2011" s="84">
        <v>2403860</v>
      </c>
    </row>
    <row r="2012" spans="3:13" hidden="1" x14ac:dyDescent="0.25">
      <c r="C2012" t="s">
        <v>64</v>
      </c>
      <c r="D2012" t="s">
        <v>120</v>
      </c>
      <c r="E2012" t="s">
        <v>60</v>
      </c>
      <c r="F2012" t="s">
        <v>25</v>
      </c>
      <c r="G2012">
        <v>9</v>
      </c>
      <c r="H2012" t="s">
        <v>69</v>
      </c>
      <c r="I2012" t="s">
        <v>121</v>
      </c>
      <c r="J2012" t="s">
        <v>122</v>
      </c>
      <c r="K2012">
        <v>0</v>
      </c>
      <c r="L2012" s="84">
        <v>-119533</v>
      </c>
      <c r="M2012" s="84">
        <v>0</v>
      </c>
    </row>
    <row r="2013" spans="3:13" hidden="1" x14ac:dyDescent="0.25">
      <c r="C2013" t="s">
        <v>119</v>
      </c>
      <c r="D2013" t="s">
        <v>125</v>
      </c>
      <c r="E2013" t="s">
        <v>60</v>
      </c>
      <c r="F2013" t="s">
        <v>24</v>
      </c>
      <c r="G2013">
        <v>29</v>
      </c>
      <c r="I2013" t="s">
        <v>121</v>
      </c>
      <c r="J2013" t="s">
        <v>122</v>
      </c>
      <c r="K2013">
        <v>0</v>
      </c>
      <c r="L2013" s="84">
        <v>-357007</v>
      </c>
      <c r="M2013" s="84">
        <v>0</v>
      </c>
    </row>
    <row r="2014" spans="3:13" hidden="1" x14ac:dyDescent="0.25">
      <c r="C2014" t="s">
        <v>64</v>
      </c>
      <c r="D2014" t="s">
        <v>120</v>
      </c>
      <c r="E2014" t="s">
        <v>60</v>
      </c>
      <c r="F2014" t="s">
        <v>25</v>
      </c>
      <c r="G2014">
        <v>16</v>
      </c>
      <c r="H2014" t="s">
        <v>67</v>
      </c>
      <c r="I2014" t="s">
        <v>121</v>
      </c>
      <c r="J2014" t="s">
        <v>122</v>
      </c>
      <c r="K2014">
        <v>0</v>
      </c>
      <c r="L2014" s="84">
        <v>-472</v>
      </c>
      <c r="M2014" s="84">
        <v>0</v>
      </c>
    </row>
    <row r="2015" spans="3:13" hidden="1" x14ac:dyDescent="0.25">
      <c r="C2015" t="s">
        <v>64</v>
      </c>
      <c r="D2015" t="s">
        <v>125</v>
      </c>
      <c r="E2015" t="s">
        <v>60</v>
      </c>
      <c r="F2015" t="s">
        <v>24</v>
      </c>
      <c r="G2015">
        <v>21</v>
      </c>
      <c r="I2015" t="s">
        <v>121</v>
      </c>
      <c r="J2015" t="s">
        <v>122</v>
      </c>
      <c r="K2015">
        <v>0</v>
      </c>
      <c r="L2015" s="84">
        <v>-1250064</v>
      </c>
      <c r="M2015" s="84">
        <v>0</v>
      </c>
    </row>
    <row r="2016" spans="3:13" hidden="1" x14ac:dyDescent="0.25">
      <c r="C2016" t="s">
        <v>119</v>
      </c>
      <c r="D2016" t="s">
        <v>120</v>
      </c>
      <c r="E2016" t="s">
        <v>63</v>
      </c>
      <c r="F2016" t="s">
        <v>24</v>
      </c>
      <c r="G2016">
        <v>4</v>
      </c>
      <c r="H2016" t="s">
        <v>70</v>
      </c>
      <c r="I2016" t="s">
        <v>121</v>
      </c>
      <c r="J2016" t="s">
        <v>122</v>
      </c>
      <c r="K2016">
        <v>0</v>
      </c>
      <c r="L2016" s="84">
        <v>49463</v>
      </c>
      <c r="M2016" s="84">
        <v>197852</v>
      </c>
    </row>
    <row r="2017" spans="3:13" hidden="1" x14ac:dyDescent="0.25">
      <c r="C2017" t="s">
        <v>119</v>
      </c>
      <c r="D2017" t="s">
        <v>120</v>
      </c>
      <c r="E2017" t="s">
        <v>63</v>
      </c>
      <c r="F2017" t="s">
        <v>124</v>
      </c>
      <c r="G2017">
        <v>1</v>
      </c>
      <c r="H2017" t="s">
        <v>76</v>
      </c>
      <c r="I2017" t="s">
        <v>121</v>
      </c>
      <c r="J2017" t="s">
        <v>122</v>
      </c>
      <c r="K2017">
        <v>0</v>
      </c>
      <c r="L2017" s="84">
        <v>1681103</v>
      </c>
      <c r="M2017" s="84">
        <v>1681103</v>
      </c>
    </row>
    <row r="2018" spans="3:13" hidden="1" x14ac:dyDescent="0.25">
      <c r="C2018" t="s">
        <v>65</v>
      </c>
      <c r="D2018" t="s">
        <v>120</v>
      </c>
      <c r="E2018" t="s">
        <v>60</v>
      </c>
      <c r="F2018" t="s">
        <v>123</v>
      </c>
      <c r="G2018">
        <v>4</v>
      </c>
      <c r="H2018" t="s">
        <v>69</v>
      </c>
      <c r="I2018" t="s">
        <v>121</v>
      </c>
      <c r="J2018" t="s">
        <v>122</v>
      </c>
      <c r="K2018">
        <v>0</v>
      </c>
      <c r="L2018" s="84">
        <v>-123229</v>
      </c>
      <c r="M2018" s="84">
        <v>0</v>
      </c>
    </row>
    <row r="2019" spans="3:13" hidden="1" x14ac:dyDescent="0.25">
      <c r="C2019" t="s">
        <v>119</v>
      </c>
      <c r="D2019" t="s">
        <v>120</v>
      </c>
      <c r="E2019" t="s">
        <v>60</v>
      </c>
      <c r="F2019" t="s">
        <v>124</v>
      </c>
      <c r="G2019">
        <v>-1</v>
      </c>
      <c r="H2019" t="s">
        <v>74</v>
      </c>
      <c r="I2019" t="s">
        <v>121</v>
      </c>
      <c r="J2019" t="s">
        <v>122</v>
      </c>
      <c r="K2019">
        <v>0</v>
      </c>
      <c r="L2019" s="84">
        <v>-1834</v>
      </c>
      <c r="M2019" s="84">
        <v>0</v>
      </c>
    </row>
    <row r="2020" spans="3:13" x14ac:dyDescent="0.25">
      <c r="C2020" t="s">
        <v>119</v>
      </c>
      <c r="D2020" t="s">
        <v>120</v>
      </c>
      <c r="E2020" t="s">
        <v>63</v>
      </c>
      <c r="F2020" t="s">
        <v>25</v>
      </c>
      <c r="G2020">
        <v>14</v>
      </c>
      <c r="H2020" t="s">
        <v>17</v>
      </c>
      <c r="I2020" t="s">
        <v>121</v>
      </c>
      <c r="J2020" t="s">
        <v>66</v>
      </c>
      <c r="K2020">
        <v>1</v>
      </c>
      <c r="L2020" s="84">
        <v>211538</v>
      </c>
      <c r="M2020" s="84">
        <v>2961532</v>
      </c>
    </row>
    <row r="2021" spans="3:13" hidden="1" x14ac:dyDescent="0.25">
      <c r="C2021" t="s">
        <v>119</v>
      </c>
      <c r="D2021" t="s">
        <v>120</v>
      </c>
      <c r="E2021" t="s">
        <v>60</v>
      </c>
      <c r="F2021" t="s">
        <v>25</v>
      </c>
      <c r="G2021">
        <v>0</v>
      </c>
      <c r="H2021" t="s">
        <v>18</v>
      </c>
      <c r="I2021" t="s">
        <v>121</v>
      </c>
      <c r="J2021" t="s">
        <v>122</v>
      </c>
      <c r="K2021">
        <v>0</v>
      </c>
      <c r="L2021" s="84">
        <v>-1177</v>
      </c>
      <c r="M2021" s="84">
        <v>0</v>
      </c>
    </row>
    <row r="2022" spans="3:13" hidden="1" x14ac:dyDescent="0.25">
      <c r="C2022" t="s">
        <v>119</v>
      </c>
      <c r="D2022" t="s">
        <v>120</v>
      </c>
      <c r="E2022" t="s">
        <v>63</v>
      </c>
      <c r="F2022" t="s">
        <v>124</v>
      </c>
      <c r="G2022">
        <v>0</v>
      </c>
      <c r="H2022" t="s">
        <v>14</v>
      </c>
      <c r="I2022" t="s">
        <v>62</v>
      </c>
      <c r="J2022" t="s">
        <v>122</v>
      </c>
      <c r="K2022">
        <v>1</v>
      </c>
      <c r="L2022" s="84">
        <v>123070</v>
      </c>
      <c r="M2022" s="84">
        <v>0</v>
      </c>
    </row>
    <row r="2023" spans="3:13" hidden="1" x14ac:dyDescent="0.25">
      <c r="C2023" t="s">
        <v>65</v>
      </c>
      <c r="D2023" t="s">
        <v>120</v>
      </c>
      <c r="E2023" t="s">
        <v>63</v>
      </c>
      <c r="F2023" t="s">
        <v>25</v>
      </c>
      <c r="G2023">
        <v>-4</v>
      </c>
      <c r="H2023" t="s">
        <v>13</v>
      </c>
      <c r="I2023" t="s">
        <v>121</v>
      </c>
      <c r="J2023" t="s">
        <v>122</v>
      </c>
      <c r="K2023">
        <v>0</v>
      </c>
      <c r="L2023" s="84">
        <v>30666</v>
      </c>
      <c r="M2023" s="84">
        <v>0</v>
      </c>
    </row>
    <row r="2024" spans="3:13" hidden="1" x14ac:dyDescent="0.25">
      <c r="C2024" t="s">
        <v>65</v>
      </c>
      <c r="D2024" t="s">
        <v>120</v>
      </c>
      <c r="E2024" t="s">
        <v>60</v>
      </c>
      <c r="F2024" t="s">
        <v>124</v>
      </c>
      <c r="G2024">
        <v>-1</v>
      </c>
      <c r="H2024" t="s">
        <v>69</v>
      </c>
      <c r="I2024" t="s">
        <v>121</v>
      </c>
      <c r="J2024" t="s">
        <v>122</v>
      </c>
      <c r="K2024">
        <v>0</v>
      </c>
      <c r="L2024" s="84">
        <v>-2823283</v>
      </c>
      <c r="M2024" s="84">
        <v>0</v>
      </c>
    </row>
    <row r="2025" spans="3:13" hidden="1" x14ac:dyDescent="0.25">
      <c r="C2025" t="s">
        <v>65</v>
      </c>
      <c r="D2025" t="s">
        <v>125</v>
      </c>
      <c r="E2025" t="s">
        <v>63</v>
      </c>
      <c r="F2025" t="s">
        <v>24</v>
      </c>
      <c r="G2025">
        <v>43</v>
      </c>
      <c r="I2025" t="s">
        <v>121</v>
      </c>
      <c r="J2025" t="s">
        <v>122</v>
      </c>
      <c r="K2025">
        <v>0</v>
      </c>
      <c r="L2025" s="84">
        <v>300669</v>
      </c>
      <c r="M2025" s="84">
        <v>12928767</v>
      </c>
    </row>
    <row r="2026" spans="3:13" hidden="1" x14ac:dyDescent="0.25">
      <c r="C2026" t="s">
        <v>65</v>
      </c>
      <c r="D2026" t="s">
        <v>120</v>
      </c>
      <c r="E2026" t="s">
        <v>60</v>
      </c>
      <c r="F2026" t="s">
        <v>24</v>
      </c>
      <c r="G2026">
        <v>10</v>
      </c>
      <c r="H2026" t="s">
        <v>61</v>
      </c>
      <c r="I2026" t="s">
        <v>121</v>
      </c>
      <c r="J2026" t="s">
        <v>122</v>
      </c>
      <c r="K2026">
        <v>0</v>
      </c>
      <c r="L2026" s="84">
        <v>-5604</v>
      </c>
      <c r="M2026" s="84">
        <v>0</v>
      </c>
    </row>
    <row r="2027" spans="3:13" hidden="1" x14ac:dyDescent="0.25">
      <c r="C2027" t="s">
        <v>64</v>
      </c>
      <c r="D2027" t="s">
        <v>120</v>
      </c>
      <c r="E2027" t="s">
        <v>60</v>
      </c>
      <c r="F2027" t="s">
        <v>24</v>
      </c>
      <c r="G2027">
        <v>6</v>
      </c>
      <c r="H2027" t="s">
        <v>12</v>
      </c>
      <c r="I2027" t="s">
        <v>121</v>
      </c>
      <c r="J2027" t="s">
        <v>122</v>
      </c>
      <c r="K2027">
        <v>0</v>
      </c>
      <c r="L2027" s="84">
        <v>-6811</v>
      </c>
      <c r="M2027" s="84">
        <v>0</v>
      </c>
    </row>
    <row r="2028" spans="3:13" hidden="1" x14ac:dyDescent="0.25">
      <c r="C2028" t="s">
        <v>119</v>
      </c>
      <c r="D2028" t="s">
        <v>120</v>
      </c>
      <c r="E2028" t="s">
        <v>63</v>
      </c>
      <c r="F2028" t="s">
        <v>25</v>
      </c>
      <c r="G2028">
        <v>2</v>
      </c>
      <c r="H2028" t="s">
        <v>12</v>
      </c>
      <c r="I2028" t="s">
        <v>121</v>
      </c>
      <c r="J2028" t="s">
        <v>122</v>
      </c>
      <c r="K2028">
        <v>0</v>
      </c>
      <c r="L2028" s="84">
        <v>28534</v>
      </c>
      <c r="M2028" s="84">
        <v>57068</v>
      </c>
    </row>
    <row r="2029" spans="3:13" hidden="1" x14ac:dyDescent="0.25">
      <c r="C2029" t="s">
        <v>119</v>
      </c>
      <c r="D2029" t="s">
        <v>120</v>
      </c>
      <c r="E2029" t="s">
        <v>63</v>
      </c>
      <c r="F2029" t="s">
        <v>25</v>
      </c>
      <c r="G2029">
        <v>11</v>
      </c>
      <c r="H2029" t="s">
        <v>76</v>
      </c>
      <c r="I2029" t="s">
        <v>121</v>
      </c>
      <c r="J2029" t="s">
        <v>122</v>
      </c>
      <c r="K2029">
        <v>0</v>
      </c>
      <c r="L2029" s="84">
        <v>129238</v>
      </c>
      <c r="M2029" s="84">
        <v>1421618</v>
      </c>
    </row>
    <row r="2030" spans="3:13" hidden="1" x14ac:dyDescent="0.25">
      <c r="C2030" t="s">
        <v>119</v>
      </c>
      <c r="D2030" t="s">
        <v>120</v>
      </c>
      <c r="E2030" t="s">
        <v>60</v>
      </c>
      <c r="F2030" t="s">
        <v>24</v>
      </c>
      <c r="G2030">
        <v>4</v>
      </c>
      <c r="H2030" t="s">
        <v>69</v>
      </c>
      <c r="I2030" t="s">
        <v>121</v>
      </c>
      <c r="J2030" t="s">
        <v>122</v>
      </c>
      <c r="K2030">
        <v>0</v>
      </c>
      <c r="L2030" s="84">
        <v>-1219</v>
      </c>
      <c r="M2030" s="84">
        <v>0</v>
      </c>
    </row>
    <row r="2031" spans="3:13" hidden="1" x14ac:dyDescent="0.25">
      <c r="C2031" t="s">
        <v>64</v>
      </c>
      <c r="D2031" t="s">
        <v>120</v>
      </c>
      <c r="E2031" t="s">
        <v>63</v>
      </c>
      <c r="F2031" t="s">
        <v>124</v>
      </c>
      <c r="G2031">
        <v>0</v>
      </c>
      <c r="H2031" t="s">
        <v>69</v>
      </c>
      <c r="I2031" t="s">
        <v>121</v>
      </c>
      <c r="J2031" t="s">
        <v>122</v>
      </c>
      <c r="K2031">
        <v>0</v>
      </c>
      <c r="L2031" s="84">
        <v>355231</v>
      </c>
      <c r="M2031" s="84">
        <v>0</v>
      </c>
    </row>
    <row r="2032" spans="3:13" x14ac:dyDescent="0.25">
      <c r="C2032" t="s">
        <v>65</v>
      </c>
      <c r="D2032" t="s">
        <v>120</v>
      </c>
      <c r="E2032" t="s">
        <v>63</v>
      </c>
      <c r="F2032" t="s">
        <v>25</v>
      </c>
      <c r="G2032">
        <v>4</v>
      </c>
      <c r="H2032" t="s">
        <v>14</v>
      </c>
      <c r="I2032" t="s">
        <v>121</v>
      </c>
      <c r="J2032" t="s">
        <v>66</v>
      </c>
      <c r="K2032">
        <v>1</v>
      </c>
      <c r="L2032" s="84">
        <v>27500</v>
      </c>
      <c r="M2032" s="84">
        <v>110000</v>
      </c>
    </row>
    <row r="2033" spans="3:13" hidden="1" x14ac:dyDescent="0.25">
      <c r="C2033" t="s">
        <v>65</v>
      </c>
      <c r="D2033" t="s">
        <v>120</v>
      </c>
      <c r="E2033" t="s">
        <v>60</v>
      </c>
      <c r="F2033" t="s">
        <v>124</v>
      </c>
      <c r="G2033">
        <v>-4</v>
      </c>
      <c r="H2033" t="s">
        <v>70</v>
      </c>
      <c r="I2033" t="s">
        <v>121</v>
      </c>
      <c r="J2033" t="s">
        <v>122</v>
      </c>
      <c r="K2033">
        <v>0</v>
      </c>
      <c r="L2033" s="84">
        <v>-331191</v>
      </c>
      <c r="M2033" s="84">
        <v>0</v>
      </c>
    </row>
    <row r="2034" spans="3:13" hidden="1" x14ac:dyDescent="0.25">
      <c r="C2034" t="s">
        <v>119</v>
      </c>
      <c r="D2034" t="s">
        <v>120</v>
      </c>
      <c r="E2034" t="s">
        <v>60</v>
      </c>
      <c r="F2034" t="s">
        <v>24</v>
      </c>
      <c r="G2034">
        <v>5</v>
      </c>
      <c r="H2034" t="s">
        <v>12</v>
      </c>
      <c r="I2034" t="s">
        <v>121</v>
      </c>
      <c r="J2034" t="s">
        <v>122</v>
      </c>
      <c r="K2034">
        <v>0</v>
      </c>
      <c r="L2034" s="84">
        <v>-554</v>
      </c>
      <c r="M2034" s="84">
        <v>0</v>
      </c>
    </row>
    <row r="2035" spans="3:13" hidden="1" x14ac:dyDescent="0.25">
      <c r="C2035" t="s">
        <v>64</v>
      </c>
      <c r="D2035" t="s">
        <v>120</v>
      </c>
      <c r="E2035" t="s">
        <v>60</v>
      </c>
      <c r="F2035" t="s">
        <v>124</v>
      </c>
      <c r="G2035">
        <v>3</v>
      </c>
      <c r="H2035" t="s">
        <v>75</v>
      </c>
      <c r="I2035" t="s">
        <v>121</v>
      </c>
      <c r="J2035" t="s">
        <v>122</v>
      </c>
      <c r="K2035">
        <v>0</v>
      </c>
      <c r="L2035" s="84">
        <v>-175528</v>
      </c>
      <c r="M2035" s="84">
        <v>0</v>
      </c>
    </row>
    <row r="2036" spans="3:13" hidden="1" x14ac:dyDescent="0.25">
      <c r="C2036" t="s">
        <v>64</v>
      </c>
      <c r="D2036" t="s">
        <v>125</v>
      </c>
      <c r="E2036" t="s">
        <v>63</v>
      </c>
      <c r="F2036" t="s">
        <v>25</v>
      </c>
      <c r="G2036">
        <v>-4</v>
      </c>
      <c r="I2036" t="s">
        <v>121</v>
      </c>
      <c r="J2036" t="s">
        <v>122</v>
      </c>
      <c r="K2036">
        <v>0</v>
      </c>
      <c r="L2036" s="84">
        <v>56193</v>
      </c>
      <c r="M2036" s="84">
        <v>0</v>
      </c>
    </row>
    <row r="2037" spans="3:13" hidden="1" x14ac:dyDescent="0.25">
      <c r="C2037" t="s">
        <v>64</v>
      </c>
      <c r="D2037" t="s">
        <v>120</v>
      </c>
      <c r="E2037" t="s">
        <v>60</v>
      </c>
      <c r="F2037" t="s">
        <v>24</v>
      </c>
      <c r="G2037">
        <v>8</v>
      </c>
      <c r="H2037" t="s">
        <v>68</v>
      </c>
      <c r="I2037" t="s">
        <v>121</v>
      </c>
      <c r="J2037" t="s">
        <v>122</v>
      </c>
      <c r="K2037">
        <v>0</v>
      </c>
      <c r="L2037" s="84">
        <v>-235200</v>
      </c>
      <c r="M2037" s="84">
        <v>0</v>
      </c>
    </row>
    <row r="2038" spans="3:13" hidden="1" x14ac:dyDescent="0.25">
      <c r="C2038" t="s">
        <v>64</v>
      </c>
      <c r="D2038" t="s">
        <v>120</v>
      </c>
      <c r="E2038" t="s">
        <v>63</v>
      </c>
      <c r="F2038" t="s">
        <v>124</v>
      </c>
      <c r="G2038">
        <v>3</v>
      </c>
      <c r="H2038" t="s">
        <v>13</v>
      </c>
      <c r="I2038" t="s">
        <v>121</v>
      </c>
      <c r="J2038" t="s">
        <v>122</v>
      </c>
      <c r="K2038">
        <v>0</v>
      </c>
      <c r="L2038" s="84">
        <v>118228</v>
      </c>
      <c r="M2038" s="84">
        <v>354684</v>
      </c>
    </row>
    <row r="2039" spans="3:13" hidden="1" x14ac:dyDescent="0.25">
      <c r="C2039" t="s">
        <v>65</v>
      </c>
      <c r="D2039" t="s">
        <v>120</v>
      </c>
      <c r="E2039" t="s">
        <v>60</v>
      </c>
      <c r="F2039" t="s">
        <v>25</v>
      </c>
      <c r="G2039">
        <v>0</v>
      </c>
      <c r="H2039" t="s">
        <v>14</v>
      </c>
      <c r="I2039" t="s">
        <v>121</v>
      </c>
      <c r="J2039" t="s">
        <v>122</v>
      </c>
      <c r="K2039">
        <v>0</v>
      </c>
      <c r="L2039" s="84">
        <v>-72486</v>
      </c>
      <c r="M2039" s="84">
        <v>0</v>
      </c>
    </row>
    <row r="2040" spans="3:13" hidden="1" x14ac:dyDescent="0.25">
      <c r="C2040" t="s">
        <v>65</v>
      </c>
      <c r="D2040" t="s">
        <v>120</v>
      </c>
      <c r="E2040" t="s">
        <v>63</v>
      </c>
      <c r="F2040" t="s">
        <v>124</v>
      </c>
      <c r="G2040">
        <v>-1</v>
      </c>
      <c r="H2040" t="s">
        <v>18</v>
      </c>
      <c r="I2040" t="s">
        <v>121</v>
      </c>
      <c r="J2040" t="s">
        <v>66</v>
      </c>
      <c r="K2040">
        <v>1</v>
      </c>
      <c r="L2040" s="84">
        <v>590797</v>
      </c>
      <c r="M2040" s="84">
        <v>0</v>
      </c>
    </row>
    <row r="2041" spans="3:13" hidden="1" x14ac:dyDescent="0.25">
      <c r="C2041" t="s">
        <v>119</v>
      </c>
      <c r="D2041" t="s">
        <v>120</v>
      </c>
      <c r="E2041" t="s">
        <v>60</v>
      </c>
      <c r="F2041" t="s">
        <v>124</v>
      </c>
      <c r="G2041">
        <v>1</v>
      </c>
      <c r="H2041" t="s">
        <v>12</v>
      </c>
      <c r="I2041" t="s">
        <v>121</v>
      </c>
      <c r="J2041" t="s">
        <v>122</v>
      </c>
      <c r="K2041">
        <v>0</v>
      </c>
      <c r="L2041" s="84">
        <v>-14790</v>
      </c>
      <c r="M2041" s="84">
        <v>0</v>
      </c>
    </row>
    <row r="2042" spans="3:13" hidden="1" x14ac:dyDescent="0.25">
      <c r="C2042" t="s">
        <v>64</v>
      </c>
      <c r="D2042" t="s">
        <v>125</v>
      </c>
      <c r="E2042" t="s">
        <v>60</v>
      </c>
      <c r="F2042" t="s">
        <v>25</v>
      </c>
      <c r="G2042">
        <v>33</v>
      </c>
      <c r="I2042" t="s">
        <v>121</v>
      </c>
      <c r="J2042" t="s">
        <v>122</v>
      </c>
      <c r="K2042">
        <v>0</v>
      </c>
      <c r="L2042" s="84">
        <v>-8304</v>
      </c>
      <c r="M2042" s="84">
        <v>0</v>
      </c>
    </row>
    <row r="2043" spans="3:13" hidden="1" x14ac:dyDescent="0.25">
      <c r="C2043" t="s">
        <v>119</v>
      </c>
      <c r="D2043" t="s">
        <v>120</v>
      </c>
      <c r="E2043" t="s">
        <v>63</v>
      </c>
      <c r="F2043" t="s">
        <v>124</v>
      </c>
      <c r="G2043">
        <v>-4</v>
      </c>
      <c r="H2043" t="s">
        <v>14</v>
      </c>
      <c r="I2043" t="s">
        <v>121</v>
      </c>
      <c r="J2043" t="s">
        <v>122</v>
      </c>
      <c r="K2043">
        <v>0</v>
      </c>
      <c r="L2043" s="84">
        <v>195846</v>
      </c>
      <c r="M2043" s="84">
        <v>0</v>
      </c>
    </row>
    <row r="2044" spans="3:13" hidden="1" x14ac:dyDescent="0.25">
      <c r="C2044" t="s">
        <v>119</v>
      </c>
      <c r="D2044" t="s">
        <v>120</v>
      </c>
      <c r="E2044" t="s">
        <v>60</v>
      </c>
      <c r="F2044" t="s">
        <v>24</v>
      </c>
      <c r="G2044">
        <v>-1</v>
      </c>
      <c r="H2044" t="s">
        <v>72</v>
      </c>
      <c r="I2044" t="s">
        <v>121</v>
      </c>
      <c r="J2044" t="s">
        <v>122</v>
      </c>
      <c r="K2044">
        <v>0</v>
      </c>
      <c r="L2044" s="84">
        <v>-81</v>
      </c>
      <c r="M2044" s="84">
        <v>0</v>
      </c>
    </row>
    <row r="2045" spans="3:13" hidden="1" x14ac:dyDescent="0.25">
      <c r="C2045" t="s">
        <v>65</v>
      </c>
      <c r="D2045" t="s">
        <v>120</v>
      </c>
      <c r="E2045" t="s">
        <v>60</v>
      </c>
      <c r="F2045" t="s">
        <v>123</v>
      </c>
      <c r="G2045">
        <v>5</v>
      </c>
      <c r="H2045" t="s">
        <v>18</v>
      </c>
      <c r="I2045" t="s">
        <v>121</v>
      </c>
      <c r="J2045" t="s">
        <v>122</v>
      </c>
      <c r="K2045">
        <v>0</v>
      </c>
      <c r="L2045" s="84">
        <v>-21141</v>
      </c>
      <c r="M2045" s="84">
        <v>0</v>
      </c>
    </row>
    <row r="2046" spans="3:13" hidden="1" x14ac:dyDescent="0.25">
      <c r="C2046" t="s">
        <v>119</v>
      </c>
      <c r="D2046" t="s">
        <v>120</v>
      </c>
      <c r="E2046" t="s">
        <v>63</v>
      </c>
      <c r="F2046" t="s">
        <v>124</v>
      </c>
      <c r="G2046">
        <v>1</v>
      </c>
      <c r="H2046" t="s">
        <v>68</v>
      </c>
      <c r="I2046" t="s">
        <v>121</v>
      </c>
      <c r="J2046" t="s">
        <v>122</v>
      </c>
      <c r="K2046">
        <v>0</v>
      </c>
      <c r="L2046" s="84">
        <v>14849743</v>
      </c>
      <c r="M2046" s="84">
        <v>14849743</v>
      </c>
    </row>
    <row r="2047" spans="3:13" hidden="1" x14ac:dyDescent="0.25">
      <c r="C2047" t="s">
        <v>64</v>
      </c>
      <c r="D2047" t="s">
        <v>120</v>
      </c>
      <c r="E2047" t="s">
        <v>63</v>
      </c>
      <c r="F2047" t="s">
        <v>25</v>
      </c>
      <c r="G2047">
        <v>3</v>
      </c>
      <c r="H2047" t="s">
        <v>17</v>
      </c>
      <c r="I2047" t="s">
        <v>121</v>
      </c>
      <c r="J2047" t="s">
        <v>122</v>
      </c>
      <c r="K2047">
        <v>0</v>
      </c>
      <c r="L2047" s="84">
        <v>156050</v>
      </c>
      <c r="M2047" s="84">
        <v>468150</v>
      </c>
    </row>
    <row r="2048" spans="3:13" hidden="1" x14ac:dyDescent="0.25">
      <c r="C2048" t="s">
        <v>119</v>
      </c>
      <c r="D2048" t="s">
        <v>120</v>
      </c>
      <c r="E2048" t="s">
        <v>60</v>
      </c>
      <c r="F2048" t="s">
        <v>25</v>
      </c>
      <c r="G2048">
        <v>14</v>
      </c>
      <c r="H2048" t="s">
        <v>69</v>
      </c>
      <c r="I2048" t="s">
        <v>121</v>
      </c>
      <c r="J2048" t="s">
        <v>122</v>
      </c>
      <c r="K2048">
        <v>0</v>
      </c>
      <c r="L2048" s="84">
        <v>-50009</v>
      </c>
      <c r="M2048" s="84">
        <v>0</v>
      </c>
    </row>
    <row r="2049" spans="3:13" hidden="1" x14ac:dyDescent="0.25">
      <c r="C2049" t="s">
        <v>64</v>
      </c>
      <c r="D2049" t="s">
        <v>120</v>
      </c>
      <c r="E2049" t="s">
        <v>63</v>
      </c>
      <c r="F2049" t="s">
        <v>124</v>
      </c>
      <c r="G2049">
        <v>10</v>
      </c>
      <c r="H2049" t="s">
        <v>69</v>
      </c>
      <c r="I2049" t="s">
        <v>121</v>
      </c>
      <c r="J2049" t="s">
        <v>122</v>
      </c>
      <c r="K2049">
        <v>0</v>
      </c>
      <c r="L2049" s="84">
        <v>97835</v>
      </c>
      <c r="M2049" s="84">
        <v>978350</v>
      </c>
    </row>
    <row r="2050" spans="3:13" hidden="1" x14ac:dyDescent="0.25">
      <c r="C2050" t="s">
        <v>64</v>
      </c>
      <c r="D2050" t="s">
        <v>120</v>
      </c>
      <c r="E2050" t="s">
        <v>63</v>
      </c>
      <c r="F2050" t="s">
        <v>124</v>
      </c>
      <c r="G2050">
        <v>4</v>
      </c>
      <c r="H2050" t="s">
        <v>72</v>
      </c>
      <c r="I2050" t="s">
        <v>121</v>
      </c>
      <c r="J2050" t="s">
        <v>122</v>
      </c>
      <c r="K2050">
        <v>0</v>
      </c>
      <c r="L2050" s="84">
        <v>503011</v>
      </c>
      <c r="M2050" s="84">
        <v>2012044</v>
      </c>
    </row>
    <row r="2051" spans="3:13" hidden="1" x14ac:dyDescent="0.25">
      <c r="C2051" t="s">
        <v>119</v>
      </c>
      <c r="D2051" t="s">
        <v>120</v>
      </c>
      <c r="E2051" t="s">
        <v>63</v>
      </c>
      <c r="F2051" t="s">
        <v>124</v>
      </c>
      <c r="G2051">
        <v>2</v>
      </c>
      <c r="H2051" t="s">
        <v>18</v>
      </c>
      <c r="I2051" t="s">
        <v>121</v>
      </c>
      <c r="J2051" t="s">
        <v>66</v>
      </c>
      <c r="K2051">
        <v>1</v>
      </c>
      <c r="L2051" s="84">
        <v>5248711</v>
      </c>
      <c r="M2051" s="84">
        <v>10497422</v>
      </c>
    </row>
    <row r="2052" spans="3:13" hidden="1" x14ac:dyDescent="0.25">
      <c r="C2052" t="s">
        <v>119</v>
      </c>
      <c r="D2052" t="s">
        <v>120</v>
      </c>
      <c r="E2052" t="s">
        <v>60</v>
      </c>
      <c r="F2052" t="s">
        <v>123</v>
      </c>
      <c r="G2052">
        <v>5</v>
      </c>
      <c r="H2052" t="s">
        <v>18</v>
      </c>
      <c r="I2052" t="s">
        <v>121</v>
      </c>
      <c r="J2052" t="s">
        <v>66</v>
      </c>
      <c r="K2052">
        <v>1</v>
      </c>
      <c r="L2052" s="84">
        <v>-2393</v>
      </c>
      <c r="M2052" s="84">
        <v>0</v>
      </c>
    </row>
    <row r="2053" spans="3:13" hidden="1" x14ac:dyDescent="0.25">
      <c r="C2053" t="s">
        <v>64</v>
      </c>
      <c r="D2053" t="s">
        <v>120</v>
      </c>
      <c r="E2053" t="s">
        <v>63</v>
      </c>
      <c r="F2053" t="s">
        <v>124</v>
      </c>
      <c r="G2053">
        <v>6</v>
      </c>
      <c r="H2053" t="s">
        <v>18</v>
      </c>
      <c r="I2053" t="s">
        <v>121</v>
      </c>
      <c r="J2053" t="s">
        <v>122</v>
      </c>
      <c r="K2053">
        <v>0</v>
      </c>
      <c r="L2053" s="84">
        <v>2258051</v>
      </c>
      <c r="M2053" s="84">
        <v>13548306</v>
      </c>
    </row>
    <row r="2054" spans="3:13" hidden="1" x14ac:dyDescent="0.25">
      <c r="C2054" t="s">
        <v>119</v>
      </c>
      <c r="D2054" t="s">
        <v>120</v>
      </c>
      <c r="E2054" t="s">
        <v>63</v>
      </c>
      <c r="F2054" t="s">
        <v>25</v>
      </c>
      <c r="G2054">
        <v>21</v>
      </c>
      <c r="H2054" t="s">
        <v>72</v>
      </c>
      <c r="I2054" t="s">
        <v>121</v>
      </c>
      <c r="J2054" t="s">
        <v>122</v>
      </c>
      <c r="K2054">
        <v>0</v>
      </c>
      <c r="L2054" s="84">
        <v>439861</v>
      </c>
      <c r="M2054" s="84">
        <v>9237081</v>
      </c>
    </row>
    <row r="2055" spans="3:13" hidden="1" x14ac:dyDescent="0.25">
      <c r="C2055" t="s">
        <v>65</v>
      </c>
      <c r="D2055" t="s">
        <v>120</v>
      </c>
      <c r="E2055" t="s">
        <v>60</v>
      </c>
      <c r="F2055" t="s">
        <v>25</v>
      </c>
      <c r="G2055">
        <v>2</v>
      </c>
      <c r="H2055" t="s">
        <v>68</v>
      </c>
      <c r="I2055" t="s">
        <v>121</v>
      </c>
      <c r="J2055" t="s">
        <v>122</v>
      </c>
      <c r="K2055">
        <v>0</v>
      </c>
      <c r="L2055" s="84">
        <v>-224046</v>
      </c>
      <c r="M2055" s="84">
        <v>0</v>
      </c>
    </row>
    <row r="2056" spans="3:13" x14ac:dyDescent="0.25">
      <c r="C2056" t="s">
        <v>64</v>
      </c>
      <c r="D2056" t="s">
        <v>120</v>
      </c>
      <c r="E2056" t="s">
        <v>63</v>
      </c>
      <c r="F2056" t="s">
        <v>25</v>
      </c>
      <c r="G2056">
        <v>4</v>
      </c>
      <c r="H2056" t="s">
        <v>17</v>
      </c>
      <c r="I2056" t="s">
        <v>62</v>
      </c>
      <c r="J2056" t="s">
        <v>66</v>
      </c>
      <c r="K2056">
        <v>1</v>
      </c>
      <c r="L2056" s="84">
        <v>17088</v>
      </c>
      <c r="M2056" s="84">
        <v>68352</v>
      </c>
    </row>
    <row r="2057" spans="3:13" hidden="1" x14ac:dyDescent="0.25">
      <c r="C2057" t="s">
        <v>119</v>
      </c>
      <c r="D2057" t="s">
        <v>120</v>
      </c>
      <c r="E2057" t="s">
        <v>60</v>
      </c>
      <c r="F2057" t="s">
        <v>25</v>
      </c>
      <c r="G2057">
        <v>13</v>
      </c>
      <c r="H2057" t="s">
        <v>16</v>
      </c>
      <c r="I2057" t="s">
        <v>121</v>
      </c>
      <c r="J2057" t="s">
        <v>122</v>
      </c>
      <c r="K2057">
        <v>0</v>
      </c>
      <c r="L2057" s="84">
        <v>-895</v>
      </c>
      <c r="M2057" s="84">
        <v>0</v>
      </c>
    </row>
    <row r="2058" spans="3:13" hidden="1" x14ac:dyDescent="0.25">
      <c r="C2058" t="s">
        <v>65</v>
      </c>
      <c r="D2058" t="s">
        <v>120</v>
      </c>
      <c r="E2058" t="s">
        <v>60</v>
      </c>
      <c r="F2058" t="s">
        <v>124</v>
      </c>
      <c r="G2058">
        <v>8</v>
      </c>
      <c r="H2058" t="s">
        <v>16</v>
      </c>
      <c r="I2058" t="s">
        <v>121</v>
      </c>
      <c r="J2058" t="s">
        <v>122</v>
      </c>
      <c r="K2058">
        <v>0</v>
      </c>
      <c r="L2058" s="84">
        <v>-827665</v>
      </c>
      <c r="M2058" s="84">
        <v>0</v>
      </c>
    </row>
    <row r="2059" spans="3:13" hidden="1" x14ac:dyDescent="0.25">
      <c r="C2059" t="s">
        <v>65</v>
      </c>
      <c r="D2059" t="s">
        <v>120</v>
      </c>
      <c r="E2059" t="s">
        <v>63</v>
      </c>
      <c r="F2059" t="s">
        <v>25</v>
      </c>
      <c r="G2059">
        <v>5</v>
      </c>
      <c r="H2059" t="s">
        <v>14</v>
      </c>
      <c r="I2059" t="s">
        <v>121</v>
      </c>
      <c r="J2059" t="s">
        <v>122</v>
      </c>
      <c r="K2059">
        <v>0</v>
      </c>
      <c r="L2059" s="84">
        <v>2478010</v>
      </c>
      <c r="M2059" s="84">
        <v>12390050</v>
      </c>
    </row>
    <row r="2060" spans="3:13" hidden="1" x14ac:dyDescent="0.25">
      <c r="C2060" t="s">
        <v>65</v>
      </c>
      <c r="D2060" t="s">
        <v>125</v>
      </c>
      <c r="E2060" t="s">
        <v>60</v>
      </c>
      <c r="F2060" t="s">
        <v>24</v>
      </c>
      <c r="G2060">
        <v>23</v>
      </c>
      <c r="I2060" t="s">
        <v>121</v>
      </c>
      <c r="J2060" t="s">
        <v>122</v>
      </c>
      <c r="K2060">
        <v>0</v>
      </c>
      <c r="L2060" s="84">
        <v>-2333650</v>
      </c>
      <c r="M2060" s="84">
        <v>0</v>
      </c>
    </row>
    <row r="2061" spans="3:13" hidden="1" x14ac:dyDescent="0.25">
      <c r="C2061" t="s">
        <v>65</v>
      </c>
      <c r="D2061" t="s">
        <v>120</v>
      </c>
      <c r="E2061" t="s">
        <v>63</v>
      </c>
      <c r="F2061" t="s">
        <v>124</v>
      </c>
      <c r="G2061">
        <v>-4</v>
      </c>
      <c r="H2061" t="s">
        <v>69</v>
      </c>
      <c r="I2061" t="s">
        <v>121</v>
      </c>
      <c r="J2061" t="s">
        <v>122</v>
      </c>
      <c r="K2061">
        <v>0</v>
      </c>
      <c r="L2061" s="84">
        <v>996246</v>
      </c>
      <c r="M2061" s="84">
        <v>0</v>
      </c>
    </row>
    <row r="2062" spans="3:13" hidden="1" x14ac:dyDescent="0.25">
      <c r="C2062" t="s">
        <v>65</v>
      </c>
      <c r="D2062" t="s">
        <v>120</v>
      </c>
      <c r="E2062" t="s">
        <v>63</v>
      </c>
      <c r="F2062" t="s">
        <v>25</v>
      </c>
      <c r="G2062">
        <v>2</v>
      </c>
      <c r="H2062" t="s">
        <v>18</v>
      </c>
      <c r="I2062" t="s">
        <v>121</v>
      </c>
      <c r="J2062" t="s">
        <v>122</v>
      </c>
      <c r="K2062">
        <v>0</v>
      </c>
      <c r="L2062" s="84">
        <v>170610</v>
      </c>
      <c r="M2062" s="84">
        <v>341220</v>
      </c>
    </row>
    <row r="2063" spans="3:13" hidden="1" x14ac:dyDescent="0.25">
      <c r="C2063" t="s">
        <v>65</v>
      </c>
      <c r="D2063" t="s">
        <v>120</v>
      </c>
      <c r="E2063" t="s">
        <v>60</v>
      </c>
      <c r="F2063" t="s">
        <v>124</v>
      </c>
      <c r="G2063">
        <v>-4</v>
      </c>
      <c r="H2063" t="s">
        <v>12</v>
      </c>
      <c r="I2063" t="s">
        <v>62</v>
      </c>
      <c r="J2063" t="s">
        <v>66</v>
      </c>
      <c r="K2063">
        <v>1</v>
      </c>
      <c r="L2063" s="84">
        <v>-235482</v>
      </c>
      <c r="M2063" s="84">
        <v>0</v>
      </c>
    </row>
    <row r="2064" spans="3:13" hidden="1" x14ac:dyDescent="0.25">
      <c r="C2064" t="s">
        <v>119</v>
      </c>
      <c r="D2064" t="s">
        <v>120</v>
      </c>
      <c r="E2064" t="s">
        <v>63</v>
      </c>
      <c r="F2064" t="s">
        <v>123</v>
      </c>
      <c r="G2064">
        <v>7</v>
      </c>
      <c r="H2064" t="s">
        <v>73</v>
      </c>
      <c r="I2064" t="s">
        <v>121</v>
      </c>
      <c r="J2064" t="s">
        <v>122</v>
      </c>
      <c r="K2064">
        <v>0</v>
      </c>
      <c r="L2064" s="84">
        <v>30492</v>
      </c>
      <c r="M2064" s="84">
        <v>213444</v>
      </c>
    </row>
    <row r="2065" spans="3:13" hidden="1" x14ac:dyDescent="0.25">
      <c r="C2065" t="s">
        <v>119</v>
      </c>
      <c r="D2065" t="s">
        <v>120</v>
      </c>
      <c r="E2065" t="s">
        <v>63</v>
      </c>
      <c r="F2065" t="s">
        <v>25</v>
      </c>
      <c r="G2065">
        <v>4</v>
      </c>
      <c r="H2065" t="s">
        <v>16</v>
      </c>
      <c r="I2065" t="s">
        <v>121</v>
      </c>
      <c r="J2065" t="s">
        <v>122</v>
      </c>
      <c r="K2065">
        <v>0</v>
      </c>
      <c r="L2065" s="84">
        <v>137101</v>
      </c>
      <c r="M2065" s="84">
        <v>548404</v>
      </c>
    </row>
    <row r="2066" spans="3:13" hidden="1" x14ac:dyDescent="0.25">
      <c r="C2066" t="s">
        <v>64</v>
      </c>
      <c r="D2066" t="s">
        <v>120</v>
      </c>
      <c r="E2066" t="s">
        <v>63</v>
      </c>
      <c r="F2066" t="s">
        <v>24</v>
      </c>
      <c r="G2066">
        <v>-1</v>
      </c>
      <c r="H2066" t="s">
        <v>17</v>
      </c>
      <c r="I2066" t="s">
        <v>121</v>
      </c>
      <c r="J2066" t="s">
        <v>122</v>
      </c>
      <c r="K2066">
        <v>0</v>
      </c>
      <c r="L2066" s="84">
        <v>300258</v>
      </c>
      <c r="M2066" s="84">
        <v>0</v>
      </c>
    </row>
    <row r="2067" spans="3:13" hidden="1" x14ac:dyDescent="0.25">
      <c r="C2067" t="s">
        <v>119</v>
      </c>
      <c r="D2067" t="s">
        <v>120</v>
      </c>
      <c r="E2067" t="s">
        <v>60</v>
      </c>
      <c r="F2067" t="s">
        <v>24</v>
      </c>
      <c r="G2067">
        <v>0</v>
      </c>
      <c r="H2067" t="s">
        <v>68</v>
      </c>
      <c r="I2067" t="s">
        <v>121</v>
      </c>
      <c r="J2067" t="s">
        <v>122</v>
      </c>
      <c r="K2067">
        <v>0</v>
      </c>
      <c r="L2067" s="84">
        <v>-16717</v>
      </c>
      <c r="M2067" s="84">
        <v>0</v>
      </c>
    </row>
    <row r="2068" spans="3:13" hidden="1" x14ac:dyDescent="0.25">
      <c r="C2068" t="s">
        <v>64</v>
      </c>
      <c r="D2068" t="s">
        <v>120</v>
      </c>
      <c r="E2068" t="s">
        <v>63</v>
      </c>
      <c r="F2068" t="s">
        <v>24</v>
      </c>
      <c r="G2068">
        <v>12</v>
      </c>
      <c r="H2068" t="s">
        <v>67</v>
      </c>
      <c r="I2068" t="s">
        <v>121</v>
      </c>
      <c r="J2068" t="s">
        <v>122</v>
      </c>
      <c r="K2068">
        <v>0</v>
      </c>
      <c r="L2068" s="84">
        <v>51112</v>
      </c>
      <c r="M2068" s="84">
        <v>613344</v>
      </c>
    </row>
    <row r="2069" spans="3:13" hidden="1" x14ac:dyDescent="0.25">
      <c r="C2069" t="s">
        <v>64</v>
      </c>
      <c r="D2069" t="s">
        <v>120</v>
      </c>
      <c r="E2069" t="s">
        <v>63</v>
      </c>
      <c r="F2069" t="s">
        <v>124</v>
      </c>
      <c r="G2069">
        <v>5</v>
      </c>
      <c r="H2069" t="s">
        <v>76</v>
      </c>
      <c r="I2069" t="s">
        <v>121</v>
      </c>
      <c r="J2069" t="s">
        <v>122</v>
      </c>
      <c r="K2069">
        <v>0</v>
      </c>
      <c r="L2069" s="84">
        <v>25691</v>
      </c>
      <c r="M2069" s="84">
        <v>128455</v>
      </c>
    </row>
    <row r="2070" spans="3:13" hidden="1" x14ac:dyDescent="0.25">
      <c r="C2070" t="s">
        <v>119</v>
      </c>
      <c r="D2070" t="s">
        <v>120</v>
      </c>
      <c r="E2070" t="s">
        <v>63</v>
      </c>
      <c r="F2070" t="s">
        <v>24</v>
      </c>
      <c r="G2070">
        <v>17</v>
      </c>
      <c r="H2070" t="s">
        <v>12</v>
      </c>
      <c r="I2070" t="s">
        <v>121</v>
      </c>
      <c r="J2070" t="s">
        <v>122</v>
      </c>
      <c r="K2070">
        <v>0</v>
      </c>
      <c r="L2070" s="84">
        <v>203354</v>
      </c>
      <c r="M2070" s="84">
        <v>3457018</v>
      </c>
    </row>
    <row r="2071" spans="3:13" hidden="1" x14ac:dyDescent="0.25">
      <c r="C2071" t="s">
        <v>119</v>
      </c>
      <c r="D2071" t="s">
        <v>126</v>
      </c>
      <c r="E2071" t="s">
        <v>63</v>
      </c>
      <c r="F2071" t="s">
        <v>25</v>
      </c>
      <c r="G2071">
        <v>8</v>
      </c>
      <c r="H2071" t="s">
        <v>74</v>
      </c>
      <c r="I2071" t="s">
        <v>121</v>
      </c>
      <c r="J2071" t="s">
        <v>122</v>
      </c>
      <c r="K2071">
        <v>0</v>
      </c>
      <c r="L2071" s="84">
        <v>26080</v>
      </c>
      <c r="M2071" s="84">
        <v>208640</v>
      </c>
    </row>
    <row r="2072" spans="3:13" hidden="1" x14ac:dyDescent="0.25">
      <c r="C2072" t="s">
        <v>119</v>
      </c>
      <c r="D2072" t="s">
        <v>126</v>
      </c>
      <c r="E2072" t="s">
        <v>60</v>
      </c>
      <c r="F2072" t="s">
        <v>25</v>
      </c>
      <c r="G2072">
        <v>6</v>
      </c>
      <c r="H2072" t="s">
        <v>74</v>
      </c>
      <c r="I2072" t="s">
        <v>121</v>
      </c>
      <c r="J2072" t="s">
        <v>122</v>
      </c>
      <c r="K2072">
        <v>0</v>
      </c>
      <c r="L2072" s="84">
        <v>-6127</v>
      </c>
      <c r="M2072" s="84">
        <v>0</v>
      </c>
    </row>
    <row r="2073" spans="3:13" hidden="1" x14ac:dyDescent="0.25">
      <c r="C2073" t="s">
        <v>65</v>
      </c>
      <c r="D2073" t="s">
        <v>120</v>
      </c>
      <c r="E2073" t="s">
        <v>60</v>
      </c>
      <c r="F2073" t="s">
        <v>123</v>
      </c>
      <c r="G2073">
        <v>3</v>
      </c>
      <c r="H2073" t="s">
        <v>69</v>
      </c>
      <c r="I2073" t="s">
        <v>121</v>
      </c>
      <c r="J2073" t="s">
        <v>122</v>
      </c>
      <c r="K2073">
        <v>0</v>
      </c>
      <c r="L2073" s="84">
        <v>-13234</v>
      </c>
      <c r="M2073" s="84">
        <v>0</v>
      </c>
    </row>
    <row r="2074" spans="3:13" hidden="1" x14ac:dyDescent="0.25">
      <c r="C2074" t="s">
        <v>64</v>
      </c>
      <c r="D2074" t="s">
        <v>120</v>
      </c>
      <c r="E2074" t="s">
        <v>60</v>
      </c>
      <c r="F2074" t="s">
        <v>25</v>
      </c>
      <c r="G2074">
        <v>5</v>
      </c>
      <c r="H2074" t="s">
        <v>12</v>
      </c>
      <c r="I2074" t="s">
        <v>121</v>
      </c>
      <c r="J2074" t="s">
        <v>122</v>
      </c>
      <c r="K2074">
        <v>0</v>
      </c>
      <c r="L2074" s="84">
        <v>-6315</v>
      </c>
      <c r="M2074" s="84">
        <v>0</v>
      </c>
    </row>
    <row r="2075" spans="3:13" hidden="1" x14ac:dyDescent="0.25">
      <c r="C2075" t="s">
        <v>64</v>
      </c>
      <c r="D2075" t="s">
        <v>125</v>
      </c>
      <c r="E2075" t="s">
        <v>60</v>
      </c>
      <c r="F2075" t="s">
        <v>24</v>
      </c>
      <c r="G2075">
        <v>23</v>
      </c>
      <c r="I2075" t="s">
        <v>121</v>
      </c>
      <c r="J2075" t="s">
        <v>122</v>
      </c>
      <c r="K2075">
        <v>0</v>
      </c>
      <c r="L2075" s="84">
        <v>-1432036</v>
      </c>
      <c r="M2075" s="84">
        <v>0</v>
      </c>
    </row>
    <row r="2076" spans="3:13" hidden="1" x14ac:dyDescent="0.25">
      <c r="C2076" t="s">
        <v>65</v>
      </c>
      <c r="D2076" t="s">
        <v>120</v>
      </c>
      <c r="E2076" t="s">
        <v>63</v>
      </c>
      <c r="F2076" t="s">
        <v>123</v>
      </c>
      <c r="G2076">
        <v>4</v>
      </c>
      <c r="H2076" t="s">
        <v>61</v>
      </c>
      <c r="I2076" t="s">
        <v>121</v>
      </c>
      <c r="J2076" t="s">
        <v>122</v>
      </c>
      <c r="K2076">
        <v>0</v>
      </c>
      <c r="L2076" s="84">
        <v>20230</v>
      </c>
      <c r="M2076" s="84">
        <v>80920</v>
      </c>
    </row>
    <row r="2077" spans="3:13" hidden="1" x14ac:dyDescent="0.25">
      <c r="C2077" t="s">
        <v>64</v>
      </c>
      <c r="D2077" t="s">
        <v>120</v>
      </c>
      <c r="E2077" t="s">
        <v>60</v>
      </c>
      <c r="F2077" t="s">
        <v>124</v>
      </c>
      <c r="G2077">
        <v>5</v>
      </c>
      <c r="H2077" t="s">
        <v>12</v>
      </c>
      <c r="I2077" t="s">
        <v>121</v>
      </c>
      <c r="J2077" t="s">
        <v>122</v>
      </c>
      <c r="K2077">
        <v>0</v>
      </c>
      <c r="L2077" s="84">
        <v>-18532</v>
      </c>
      <c r="M2077" s="84">
        <v>0</v>
      </c>
    </row>
    <row r="2078" spans="3:13" hidden="1" x14ac:dyDescent="0.25">
      <c r="C2078" t="s">
        <v>119</v>
      </c>
      <c r="D2078" t="s">
        <v>120</v>
      </c>
      <c r="E2078" t="s">
        <v>63</v>
      </c>
      <c r="F2078" t="s">
        <v>24</v>
      </c>
      <c r="G2078">
        <v>8</v>
      </c>
      <c r="H2078" t="s">
        <v>12</v>
      </c>
      <c r="I2078" t="s">
        <v>121</v>
      </c>
      <c r="J2078" t="s">
        <v>66</v>
      </c>
      <c r="K2078">
        <v>1</v>
      </c>
      <c r="L2078" s="84">
        <v>260283</v>
      </c>
      <c r="M2078" s="84">
        <v>2082264</v>
      </c>
    </row>
    <row r="2079" spans="3:13" hidden="1" x14ac:dyDescent="0.25">
      <c r="C2079" t="s">
        <v>119</v>
      </c>
      <c r="D2079" t="s">
        <v>120</v>
      </c>
      <c r="E2079" t="s">
        <v>63</v>
      </c>
      <c r="F2079" t="s">
        <v>124</v>
      </c>
      <c r="G2079">
        <v>10</v>
      </c>
      <c r="H2079" t="s">
        <v>15</v>
      </c>
      <c r="I2079" t="s">
        <v>121</v>
      </c>
      <c r="J2079" t="s">
        <v>66</v>
      </c>
      <c r="K2079">
        <v>1</v>
      </c>
      <c r="L2079" s="84">
        <v>97550284</v>
      </c>
      <c r="M2079" s="84">
        <v>975502840</v>
      </c>
    </row>
    <row r="2080" spans="3:13" hidden="1" x14ac:dyDescent="0.25">
      <c r="C2080" t="s">
        <v>64</v>
      </c>
      <c r="D2080" t="s">
        <v>120</v>
      </c>
      <c r="E2080" t="s">
        <v>63</v>
      </c>
      <c r="F2080" t="s">
        <v>24</v>
      </c>
      <c r="G2080">
        <v>4</v>
      </c>
      <c r="H2080" t="s">
        <v>68</v>
      </c>
      <c r="I2080" t="s">
        <v>121</v>
      </c>
      <c r="J2080" t="s">
        <v>122</v>
      </c>
      <c r="K2080">
        <v>0</v>
      </c>
      <c r="L2080" s="84">
        <v>600358</v>
      </c>
      <c r="M2080" s="84">
        <v>2401432</v>
      </c>
    </row>
    <row r="2081" spans="3:13" hidden="1" x14ac:dyDescent="0.25">
      <c r="C2081" t="s">
        <v>64</v>
      </c>
      <c r="D2081" t="s">
        <v>120</v>
      </c>
      <c r="E2081" t="s">
        <v>60</v>
      </c>
      <c r="F2081" t="s">
        <v>123</v>
      </c>
      <c r="G2081">
        <v>5</v>
      </c>
      <c r="H2081" t="s">
        <v>18</v>
      </c>
      <c r="I2081" t="s">
        <v>121</v>
      </c>
      <c r="J2081" t="s">
        <v>66</v>
      </c>
      <c r="K2081">
        <v>1</v>
      </c>
      <c r="L2081" s="84">
        <v>-9229</v>
      </c>
      <c r="M2081" s="84">
        <v>0</v>
      </c>
    </row>
    <row r="2082" spans="3:13" hidden="1" x14ac:dyDescent="0.25">
      <c r="C2082" t="s">
        <v>119</v>
      </c>
      <c r="D2082" t="s">
        <v>120</v>
      </c>
      <c r="E2082" t="s">
        <v>60</v>
      </c>
      <c r="F2082" t="s">
        <v>123</v>
      </c>
      <c r="G2082">
        <v>10</v>
      </c>
      <c r="H2082" t="s">
        <v>61</v>
      </c>
      <c r="I2082" t="s">
        <v>121</v>
      </c>
      <c r="J2082" t="s">
        <v>122</v>
      </c>
      <c r="K2082">
        <v>0</v>
      </c>
      <c r="L2082" s="84">
        <v>-518</v>
      </c>
      <c r="M2082" s="84">
        <v>0</v>
      </c>
    </row>
    <row r="2083" spans="3:13" hidden="1" x14ac:dyDescent="0.25">
      <c r="C2083" t="s">
        <v>119</v>
      </c>
      <c r="D2083" t="s">
        <v>120</v>
      </c>
      <c r="E2083" t="s">
        <v>60</v>
      </c>
      <c r="F2083" t="s">
        <v>124</v>
      </c>
      <c r="G2083">
        <v>0</v>
      </c>
      <c r="H2083" t="s">
        <v>12</v>
      </c>
      <c r="I2083" t="s">
        <v>62</v>
      </c>
      <c r="J2083" t="s">
        <v>66</v>
      </c>
      <c r="K2083">
        <v>1</v>
      </c>
      <c r="L2083" s="84">
        <v>-3682</v>
      </c>
      <c r="M2083" s="84">
        <v>0</v>
      </c>
    </row>
    <row r="2084" spans="3:13" hidden="1" x14ac:dyDescent="0.25">
      <c r="C2084" t="s">
        <v>64</v>
      </c>
      <c r="D2084" t="s">
        <v>126</v>
      </c>
      <c r="E2084" t="s">
        <v>60</v>
      </c>
      <c r="F2084" t="s">
        <v>25</v>
      </c>
      <c r="G2084">
        <v>-4</v>
      </c>
      <c r="H2084" t="s">
        <v>74</v>
      </c>
      <c r="I2084" t="s">
        <v>121</v>
      </c>
      <c r="J2084" t="s">
        <v>122</v>
      </c>
      <c r="K2084">
        <v>0</v>
      </c>
      <c r="L2084" s="84">
        <v>0</v>
      </c>
      <c r="M2084" s="84">
        <v>0</v>
      </c>
    </row>
    <row r="2085" spans="3:13" hidden="1" x14ac:dyDescent="0.25">
      <c r="C2085" t="s">
        <v>119</v>
      </c>
      <c r="D2085" t="s">
        <v>120</v>
      </c>
      <c r="E2085" t="s">
        <v>60</v>
      </c>
      <c r="F2085" t="s">
        <v>25</v>
      </c>
      <c r="G2085">
        <v>7</v>
      </c>
      <c r="H2085" t="s">
        <v>73</v>
      </c>
      <c r="I2085" t="s">
        <v>121</v>
      </c>
      <c r="J2085" t="s">
        <v>122</v>
      </c>
      <c r="K2085">
        <v>0</v>
      </c>
      <c r="L2085" s="84">
        <v>-606</v>
      </c>
      <c r="M2085" s="84">
        <v>0</v>
      </c>
    </row>
    <row r="2086" spans="3:13" hidden="1" x14ac:dyDescent="0.25">
      <c r="C2086" t="s">
        <v>119</v>
      </c>
      <c r="D2086" t="s">
        <v>120</v>
      </c>
      <c r="E2086" t="s">
        <v>63</v>
      </c>
      <c r="F2086" t="s">
        <v>123</v>
      </c>
      <c r="G2086">
        <v>2</v>
      </c>
      <c r="H2086" t="s">
        <v>75</v>
      </c>
      <c r="I2086" t="s">
        <v>121</v>
      </c>
      <c r="J2086" t="s">
        <v>122</v>
      </c>
      <c r="K2086">
        <v>0</v>
      </c>
      <c r="L2086" s="84">
        <v>11284489</v>
      </c>
      <c r="M2086" s="84">
        <v>22568978</v>
      </c>
    </row>
    <row r="2087" spans="3:13" hidden="1" x14ac:dyDescent="0.25">
      <c r="C2087" t="s">
        <v>119</v>
      </c>
      <c r="D2087" t="s">
        <v>120</v>
      </c>
      <c r="E2087" t="s">
        <v>63</v>
      </c>
      <c r="F2087" t="s">
        <v>25</v>
      </c>
      <c r="G2087">
        <v>4</v>
      </c>
      <c r="H2087" t="s">
        <v>74</v>
      </c>
      <c r="I2087" t="s">
        <v>121</v>
      </c>
      <c r="J2087" t="s">
        <v>122</v>
      </c>
      <c r="K2087">
        <v>0</v>
      </c>
      <c r="L2087" s="84">
        <v>160205</v>
      </c>
      <c r="M2087" s="84">
        <v>640820</v>
      </c>
    </row>
    <row r="2088" spans="3:13" hidden="1" x14ac:dyDescent="0.25">
      <c r="C2088" t="s">
        <v>65</v>
      </c>
      <c r="D2088" t="s">
        <v>120</v>
      </c>
      <c r="E2088" t="s">
        <v>63</v>
      </c>
      <c r="F2088" t="s">
        <v>25</v>
      </c>
      <c r="G2088">
        <v>2</v>
      </c>
      <c r="H2088" t="s">
        <v>69</v>
      </c>
      <c r="I2088" t="s">
        <v>121</v>
      </c>
      <c r="J2088" t="s">
        <v>122</v>
      </c>
      <c r="K2088">
        <v>0</v>
      </c>
      <c r="L2088" s="84">
        <v>3274928</v>
      </c>
      <c r="M2088" s="84">
        <v>6549856</v>
      </c>
    </row>
    <row r="2089" spans="3:13" hidden="1" x14ac:dyDescent="0.25">
      <c r="C2089" t="s">
        <v>64</v>
      </c>
      <c r="D2089" t="s">
        <v>120</v>
      </c>
      <c r="E2089" t="s">
        <v>63</v>
      </c>
      <c r="F2089" t="s">
        <v>24</v>
      </c>
      <c r="G2089">
        <v>-1</v>
      </c>
      <c r="H2089" t="s">
        <v>75</v>
      </c>
      <c r="I2089" t="s">
        <v>121</v>
      </c>
      <c r="J2089" t="s">
        <v>122</v>
      </c>
      <c r="K2089">
        <v>0</v>
      </c>
      <c r="L2089" s="84">
        <v>139117</v>
      </c>
      <c r="M2089" s="84">
        <v>0</v>
      </c>
    </row>
    <row r="2090" spans="3:13" hidden="1" x14ac:dyDescent="0.25">
      <c r="C2090" t="s">
        <v>119</v>
      </c>
      <c r="D2090" t="s">
        <v>126</v>
      </c>
      <c r="E2090" t="s">
        <v>60</v>
      </c>
      <c r="F2090" t="s">
        <v>24</v>
      </c>
      <c r="G2090">
        <v>3</v>
      </c>
      <c r="H2090" t="s">
        <v>17</v>
      </c>
      <c r="I2090" t="s">
        <v>121</v>
      </c>
      <c r="J2090" t="s">
        <v>122</v>
      </c>
      <c r="K2090">
        <v>0</v>
      </c>
      <c r="L2090" s="84">
        <v>-5477</v>
      </c>
      <c r="M2090" s="84">
        <v>0</v>
      </c>
    </row>
    <row r="2091" spans="3:13" hidden="1" x14ac:dyDescent="0.25">
      <c r="C2091" t="s">
        <v>65</v>
      </c>
      <c r="D2091" t="s">
        <v>120</v>
      </c>
      <c r="E2091" t="s">
        <v>60</v>
      </c>
      <c r="F2091" t="s">
        <v>124</v>
      </c>
      <c r="G2091">
        <v>4</v>
      </c>
      <c r="H2091" t="s">
        <v>71</v>
      </c>
      <c r="I2091" t="s">
        <v>121</v>
      </c>
      <c r="J2091" t="s">
        <v>122</v>
      </c>
      <c r="K2091">
        <v>0</v>
      </c>
      <c r="L2091" s="84">
        <v>-6745</v>
      </c>
      <c r="M2091" s="84">
        <v>0</v>
      </c>
    </row>
    <row r="2092" spans="3:13" hidden="1" x14ac:dyDescent="0.25">
      <c r="C2092" t="s">
        <v>65</v>
      </c>
      <c r="D2092" t="s">
        <v>120</v>
      </c>
      <c r="E2092" t="s">
        <v>63</v>
      </c>
      <c r="F2092" t="s">
        <v>124</v>
      </c>
      <c r="G2092">
        <v>2</v>
      </c>
      <c r="H2092" t="s">
        <v>14</v>
      </c>
      <c r="I2092" t="s">
        <v>121</v>
      </c>
      <c r="J2092" t="s">
        <v>66</v>
      </c>
      <c r="K2092">
        <v>1</v>
      </c>
      <c r="L2092" s="84">
        <v>3874088</v>
      </c>
      <c r="M2092" s="84">
        <v>7748176</v>
      </c>
    </row>
    <row r="2093" spans="3:13" hidden="1" x14ac:dyDescent="0.25">
      <c r="C2093" t="s">
        <v>119</v>
      </c>
      <c r="D2093" t="s">
        <v>120</v>
      </c>
      <c r="E2093" t="s">
        <v>60</v>
      </c>
      <c r="F2093" t="s">
        <v>123</v>
      </c>
      <c r="G2093">
        <v>6</v>
      </c>
      <c r="H2093" t="s">
        <v>17</v>
      </c>
      <c r="I2093" t="s">
        <v>62</v>
      </c>
      <c r="J2093" t="s">
        <v>122</v>
      </c>
      <c r="K2093">
        <v>1</v>
      </c>
      <c r="L2093" s="84">
        <v>-70</v>
      </c>
      <c r="M2093" s="84">
        <v>0</v>
      </c>
    </row>
    <row r="2094" spans="3:13" hidden="1" x14ac:dyDescent="0.25">
      <c r="C2094" t="s">
        <v>65</v>
      </c>
      <c r="D2094" t="s">
        <v>120</v>
      </c>
      <c r="E2094" t="s">
        <v>60</v>
      </c>
      <c r="F2094" t="s">
        <v>25</v>
      </c>
      <c r="G2094">
        <v>2</v>
      </c>
      <c r="H2094" t="s">
        <v>13</v>
      </c>
      <c r="I2094" t="s">
        <v>121</v>
      </c>
      <c r="J2094" t="s">
        <v>122</v>
      </c>
      <c r="K2094">
        <v>0</v>
      </c>
      <c r="L2094" s="84">
        <v>-127690</v>
      </c>
      <c r="M2094" s="84">
        <v>0</v>
      </c>
    </row>
    <row r="2095" spans="3:13" hidden="1" x14ac:dyDescent="0.25">
      <c r="C2095" t="s">
        <v>65</v>
      </c>
      <c r="D2095" t="s">
        <v>120</v>
      </c>
      <c r="E2095" t="s">
        <v>60</v>
      </c>
      <c r="F2095" t="s">
        <v>124</v>
      </c>
      <c r="G2095">
        <v>1</v>
      </c>
      <c r="H2095" t="s">
        <v>73</v>
      </c>
      <c r="I2095" t="s">
        <v>121</v>
      </c>
      <c r="J2095" t="s">
        <v>122</v>
      </c>
      <c r="K2095">
        <v>0</v>
      </c>
      <c r="L2095" s="84">
        <v>-190309</v>
      </c>
      <c r="M2095" s="84">
        <v>0</v>
      </c>
    </row>
    <row r="2096" spans="3:13" hidden="1" x14ac:dyDescent="0.25">
      <c r="C2096" t="s">
        <v>64</v>
      </c>
      <c r="D2096" t="s">
        <v>120</v>
      </c>
      <c r="E2096" t="s">
        <v>63</v>
      </c>
      <c r="F2096" t="s">
        <v>124</v>
      </c>
      <c r="G2096">
        <v>6</v>
      </c>
      <c r="H2096" t="s">
        <v>69</v>
      </c>
      <c r="I2096" t="s">
        <v>121</v>
      </c>
      <c r="J2096" t="s">
        <v>122</v>
      </c>
      <c r="K2096">
        <v>0</v>
      </c>
      <c r="L2096" s="84">
        <v>788433</v>
      </c>
      <c r="M2096" s="84">
        <v>4730598</v>
      </c>
    </row>
    <row r="2097" spans="3:13" hidden="1" x14ac:dyDescent="0.25">
      <c r="C2097" t="s">
        <v>65</v>
      </c>
      <c r="D2097" t="s">
        <v>120</v>
      </c>
      <c r="E2097" t="s">
        <v>63</v>
      </c>
      <c r="F2097" t="s">
        <v>24</v>
      </c>
      <c r="G2097">
        <v>-4</v>
      </c>
      <c r="H2097" t="s">
        <v>61</v>
      </c>
      <c r="I2097" t="s">
        <v>121</v>
      </c>
      <c r="J2097" t="s">
        <v>122</v>
      </c>
      <c r="K2097">
        <v>0</v>
      </c>
      <c r="L2097" s="84">
        <v>372883</v>
      </c>
      <c r="M2097" s="84">
        <v>0</v>
      </c>
    </row>
    <row r="2098" spans="3:13" hidden="1" x14ac:dyDescent="0.25">
      <c r="C2098" t="s">
        <v>119</v>
      </c>
      <c r="D2098" t="s">
        <v>120</v>
      </c>
      <c r="E2098" t="s">
        <v>63</v>
      </c>
      <c r="F2098" t="s">
        <v>25</v>
      </c>
      <c r="G2098">
        <v>-4</v>
      </c>
      <c r="H2098" t="s">
        <v>70</v>
      </c>
      <c r="I2098" t="s">
        <v>121</v>
      </c>
      <c r="J2098" t="s">
        <v>122</v>
      </c>
      <c r="K2098">
        <v>0</v>
      </c>
      <c r="L2098" s="84">
        <v>176786</v>
      </c>
      <c r="M2098" s="84">
        <v>0</v>
      </c>
    </row>
    <row r="2099" spans="3:13" hidden="1" x14ac:dyDescent="0.25">
      <c r="C2099" t="s">
        <v>64</v>
      </c>
      <c r="D2099" t="s">
        <v>120</v>
      </c>
      <c r="E2099" t="s">
        <v>60</v>
      </c>
      <c r="F2099" t="s">
        <v>124</v>
      </c>
      <c r="G2099">
        <v>6</v>
      </c>
      <c r="H2099" t="s">
        <v>69</v>
      </c>
      <c r="I2099" t="s">
        <v>121</v>
      </c>
      <c r="J2099" t="s">
        <v>122</v>
      </c>
      <c r="K2099">
        <v>0</v>
      </c>
      <c r="L2099" s="84">
        <v>-66320</v>
      </c>
      <c r="M2099" s="84">
        <v>0</v>
      </c>
    </row>
    <row r="2100" spans="3:13" hidden="1" x14ac:dyDescent="0.25">
      <c r="C2100" t="s">
        <v>119</v>
      </c>
      <c r="D2100" t="s">
        <v>120</v>
      </c>
      <c r="E2100" t="s">
        <v>60</v>
      </c>
      <c r="F2100" t="s">
        <v>123</v>
      </c>
      <c r="G2100">
        <v>1</v>
      </c>
      <c r="H2100" t="s">
        <v>73</v>
      </c>
      <c r="I2100" t="s">
        <v>121</v>
      </c>
      <c r="J2100" t="s">
        <v>122</v>
      </c>
      <c r="K2100">
        <v>0</v>
      </c>
      <c r="L2100" s="84">
        <v>-625</v>
      </c>
      <c r="M2100" s="84">
        <v>0</v>
      </c>
    </row>
    <row r="2101" spans="3:13" hidden="1" x14ac:dyDescent="0.25">
      <c r="C2101" t="s">
        <v>119</v>
      </c>
      <c r="D2101" t="s">
        <v>125</v>
      </c>
      <c r="E2101" t="s">
        <v>60</v>
      </c>
      <c r="F2101" t="s">
        <v>25</v>
      </c>
      <c r="G2101">
        <v>14</v>
      </c>
      <c r="I2101" t="s">
        <v>121</v>
      </c>
      <c r="J2101" t="s">
        <v>122</v>
      </c>
      <c r="K2101">
        <v>0</v>
      </c>
      <c r="L2101" s="84">
        <v>-6786</v>
      </c>
      <c r="M2101" s="84">
        <v>0</v>
      </c>
    </row>
    <row r="2102" spans="3:13" hidden="1" x14ac:dyDescent="0.25">
      <c r="C2102" t="s">
        <v>64</v>
      </c>
      <c r="D2102" t="s">
        <v>120</v>
      </c>
      <c r="E2102" t="s">
        <v>63</v>
      </c>
      <c r="F2102" t="s">
        <v>123</v>
      </c>
      <c r="G2102">
        <v>-1</v>
      </c>
      <c r="H2102" t="s">
        <v>12</v>
      </c>
      <c r="I2102" t="s">
        <v>121</v>
      </c>
      <c r="J2102" t="s">
        <v>66</v>
      </c>
      <c r="K2102">
        <v>1</v>
      </c>
      <c r="L2102" s="84">
        <v>746806</v>
      </c>
      <c r="M2102" s="84">
        <v>0</v>
      </c>
    </row>
    <row r="2103" spans="3:13" hidden="1" x14ac:dyDescent="0.25">
      <c r="C2103" t="s">
        <v>119</v>
      </c>
      <c r="D2103" t="s">
        <v>120</v>
      </c>
      <c r="E2103" t="s">
        <v>60</v>
      </c>
      <c r="F2103" t="s">
        <v>25</v>
      </c>
      <c r="G2103">
        <v>14</v>
      </c>
      <c r="H2103" t="s">
        <v>18</v>
      </c>
      <c r="I2103" t="s">
        <v>121</v>
      </c>
      <c r="J2103" t="s">
        <v>122</v>
      </c>
      <c r="K2103">
        <v>0</v>
      </c>
      <c r="L2103" s="84">
        <v>-4341</v>
      </c>
      <c r="M2103" s="84">
        <v>0</v>
      </c>
    </row>
    <row r="2104" spans="3:13" hidden="1" x14ac:dyDescent="0.25">
      <c r="C2104" t="s">
        <v>119</v>
      </c>
      <c r="D2104" t="s">
        <v>120</v>
      </c>
      <c r="E2104" t="s">
        <v>63</v>
      </c>
      <c r="F2104" t="s">
        <v>123</v>
      </c>
      <c r="G2104">
        <v>3</v>
      </c>
      <c r="H2104" t="s">
        <v>18</v>
      </c>
      <c r="I2104" t="s">
        <v>121</v>
      </c>
      <c r="J2104" t="s">
        <v>66</v>
      </c>
      <c r="K2104">
        <v>1</v>
      </c>
      <c r="L2104" s="84">
        <v>1049682</v>
      </c>
      <c r="M2104" s="84">
        <v>3149046</v>
      </c>
    </row>
    <row r="2105" spans="3:13" hidden="1" x14ac:dyDescent="0.25">
      <c r="C2105" t="s">
        <v>119</v>
      </c>
      <c r="D2105" t="s">
        <v>126</v>
      </c>
      <c r="E2105" t="s">
        <v>60</v>
      </c>
      <c r="F2105" t="s">
        <v>24</v>
      </c>
      <c r="G2105">
        <v>16</v>
      </c>
      <c r="H2105" t="s">
        <v>74</v>
      </c>
      <c r="I2105" t="s">
        <v>121</v>
      </c>
      <c r="J2105" t="s">
        <v>122</v>
      </c>
      <c r="K2105">
        <v>0</v>
      </c>
      <c r="L2105" s="84">
        <v>-2507</v>
      </c>
      <c r="M2105" s="84">
        <v>0</v>
      </c>
    </row>
    <row r="2106" spans="3:13" x14ac:dyDescent="0.25">
      <c r="C2106" t="s">
        <v>119</v>
      </c>
      <c r="D2106" t="s">
        <v>120</v>
      </c>
      <c r="E2106" t="s">
        <v>63</v>
      </c>
      <c r="F2106" t="s">
        <v>25</v>
      </c>
      <c r="G2106">
        <v>0</v>
      </c>
      <c r="H2106" t="s">
        <v>17</v>
      </c>
      <c r="I2106" t="s">
        <v>121</v>
      </c>
      <c r="J2106" t="s">
        <v>66</v>
      </c>
      <c r="K2106">
        <v>1</v>
      </c>
      <c r="L2106" s="84">
        <v>8812</v>
      </c>
      <c r="M2106" s="84">
        <v>0</v>
      </c>
    </row>
    <row r="2107" spans="3:13" hidden="1" x14ac:dyDescent="0.25">
      <c r="C2107" t="s">
        <v>119</v>
      </c>
      <c r="D2107" t="s">
        <v>126</v>
      </c>
      <c r="E2107" t="s">
        <v>60</v>
      </c>
      <c r="F2107" t="s">
        <v>25</v>
      </c>
      <c r="G2107">
        <v>1</v>
      </c>
      <c r="H2107" t="s">
        <v>74</v>
      </c>
      <c r="I2107" t="s">
        <v>121</v>
      </c>
      <c r="J2107" t="s">
        <v>122</v>
      </c>
      <c r="K2107">
        <v>0</v>
      </c>
      <c r="L2107" s="84">
        <v>-4261</v>
      </c>
      <c r="M2107" s="84">
        <v>0</v>
      </c>
    </row>
    <row r="2108" spans="3:13" hidden="1" x14ac:dyDescent="0.25">
      <c r="C2108" t="s">
        <v>64</v>
      </c>
      <c r="D2108" t="s">
        <v>120</v>
      </c>
      <c r="E2108" t="s">
        <v>63</v>
      </c>
      <c r="F2108" t="s">
        <v>124</v>
      </c>
      <c r="G2108">
        <v>7</v>
      </c>
      <c r="H2108" t="s">
        <v>70</v>
      </c>
      <c r="I2108" t="s">
        <v>121</v>
      </c>
      <c r="J2108" t="s">
        <v>122</v>
      </c>
      <c r="K2108">
        <v>0</v>
      </c>
      <c r="L2108" s="84">
        <v>32225</v>
      </c>
      <c r="M2108" s="84">
        <v>225575</v>
      </c>
    </row>
    <row r="2109" spans="3:13" hidden="1" x14ac:dyDescent="0.25">
      <c r="C2109" t="s">
        <v>65</v>
      </c>
      <c r="D2109" t="s">
        <v>120</v>
      </c>
      <c r="E2109" t="s">
        <v>63</v>
      </c>
      <c r="F2109" t="s">
        <v>24</v>
      </c>
      <c r="G2109">
        <v>5</v>
      </c>
      <c r="H2109" t="s">
        <v>69</v>
      </c>
      <c r="I2109" t="s">
        <v>121</v>
      </c>
      <c r="J2109" t="s">
        <v>122</v>
      </c>
      <c r="K2109">
        <v>0</v>
      </c>
      <c r="L2109" s="84">
        <v>416960</v>
      </c>
      <c r="M2109" s="84">
        <v>2084800</v>
      </c>
    </row>
    <row r="2110" spans="3:13" hidden="1" x14ac:dyDescent="0.25">
      <c r="C2110" t="s">
        <v>119</v>
      </c>
      <c r="D2110" t="s">
        <v>128</v>
      </c>
      <c r="E2110" t="s">
        <v>63</v>
      </c>
      <c r="F2110" t="s">
        <v>25</v>
      </c>
      <c r="G2110">
        <v>1</v>
      </c>
      <c r="H2110" t="s">
        <v>74</v>
      </c>
      <c r="I2110" t="s">
        <v>121</v>
      </c>
      <c r="J2110" t="s">
        <v>122</v>
      </c>
      <c r="K2110">
        <v>0</v>
      </c>
      <c r="L2110" s="84">
        <v>10746</v>
      </c>
      <c r="M2110" s="84">
        <v>10746</v>
      </c>
    </row>
    <row r="2111" spans="3:13" hidden="1" x14ac:dyDescent="0.25">
      <c r="C2111" t="s">
        <v>65</v>
      </c>
      <c r="D2111" t="s">
        <v>125</v>
      </c>
      <c r="E2111" t="s">
        <v>63</v>
      </c>
      <c r="F2111" t="s">
        <v>24</v>
      </c>
      <c r="G2111">
        <v>7</v>
      </c>
      <c r="I2111" t="s">
        <v>121</v>
      </c>
      <c r="J2111" t="s">
        <v>122</v>
      </c>
      <c r="K2111">
        <v>0</v>
      </c>
      <c r="L2111" s="84">
        <v>2529458</v>
      </c>
      <c r="M2111" s="84">
        <v>17706206</v>
      </c>
    </row>
    <row r="2112" spans="3:13" hidden="1" x14ac:dyDescent="0.25">
      <c r="C2112" t="s">
        <v>119</v>
      </c>
      <c r="D2112" t="s">
        <v>120</v>
      </c>
      <c r="E2112" t="s">
        <v>63</v>
      </c>
      <c r="F2112" t="s">
        <v>25</v>
      </c>
      <c r="G2112">
        <v>2</v>
      </c>
      <c r="H2112" t="s">
        <v>72</v>
      </c>
      <c r="I2112" t="s">
        <v>121</v>
      </c>
      <c r="J2112" t="s">
        <v>122</v>
      </c>
      <c r="K2112">
        <v>0</v>
      </c>
      <c r="L2112" s="84">
        <v>2314473</v>
      </c>
      <c r="M2112" s="84">
        <v>4628946</v>
      </c>
    </row>
    <row r="2113" spans="3:13" hidden="1" x14ac:dyDescent="0.25">
      <c r="C2113" t="s">
        <v>119</v>
      </c>
      <c r="D2113" t="s">
        <v>120</v>
      </c>
      <c r="E2113" t="s">
        <v>63</v>
      </c>
      <c r="F2113" t="s">
        <v>123</v>
      </c>
      <c r="G2113">
        <v>2</v>
      </c>
      <c r="H2113" t="s">
        <v>17</v>
      </c>
      <c r="I2113" t="s">
        <v>121</v>
      </c>
      <c r="J2113" t="s">
        <v>122</v>
      </c>
      <c r="K2113">
        <v>0</v>
      </c>
      <c r="L2113" s="84">
        <v>5974058</v>
      </c>
      <c r="M2113" s="84">
        <v>11948116</v>
      </c>
    </row>
    <row r="2114" spans="3:13" hidden="1" x14ac:dyDescent="0.25">
      <c r="C2114" t="s">
        <v>119</v>
      </c>
      <c r="D2114" t="s">
        <v>120</v>
      </c>
      <c r="E2114" t="s">
        <v>60</v>
      </c>
      <c r="F2114" t="s">
        <v>25</v>
      </c>
      <c r="G2114">
        <v>11</v>
      </c>
      <c r="H2114" t="s">
        <v>17</v>
      </c>
      <c r="I2114" t="s">
        <v>62</v>
      </c>
      <c r="J2114" t="s">
        <v>66</v>
      </c>
      <c r="K2114">
        <v>1</v>
      </c>
      <c r="L2114" s="84">
        <v>-63</v>
      </c>
      <c r="M2114" s="84">
        <v>0</v>
      </c>
    </row>
    <row r="2115" spans="3:13" hidden="1" x14ac:dyDescent="0.25">
      <c r="C2115" t="s">
        <v>65</v>
      </c>
      <c r="D2115" t="s">
        <v>120</v>
      </c>
      <c r="E2115" t="s">
        <v>63</v>
      </c>
      <c r="F2115" t="s">
        <v>25</v>
      </c>
      <c r="G2115">
        <v>-4</v>
      </c>
      <c r="H2115" t="s">
        <v>76</v>
      </c>
      <c r="I2115" t="s">
        <v>121</v>
      </c>
      <c r="J2115" t="s">
        <v>122</v>
      </c>
      <c r="K2115">
        <v>0</v>
      </c>
      <c r="L2115" s="84">
        <v>4698</v>
      </c>
      <c r="M2115" s="84">
        <v>0</v>
      </c>
    </row>
    <row r="2116" spans="3:13" hidden="1" x14ac:dyDescent="0.25">
      <c r="C2116" t="s">
        <v>65</v>
      </c>
      <c r="D2116" t="s">
        <v>120</v>
      </c>
      <c r="E2116" t="s">
        <v>60</v>
      </c>
      <c r="F2116" t="s">
        <v>123</v>
      </c>
      <c r="G2116">
        <v>-4</v>
      </c>
      <c r="H2116" t="s">
        <v>72</v>
      </c>
      <c r="I2116" t="s">
        <v>121</v>
      </c>
      <c r="J2116" t="s">
        <v>122</v>
      </c>
      <c r="K2116">
        <v>0</v>
      </c>
      <c r="L2116" s="84">
        <v>-9618</v>
      </c>
      <c r="M2116" s="84">
        <v>0</v>
      </c>
    </row>
    <row r="2117" spans="3:13" hidden="1" x14ac:dyDescent="0.25">
      <c r="C2117" t="s">
        <v>119</v>
      </c>
      <c r="D2117" t="s">
        <v>120</v>
      </c>
      <c r="E2117" t="s">
        <v>60</v>
      </c>
      <c r="F2117" t="s">
        <v>123</v>
      </c>
      <c r="G2117">
        <v>3</v>
      </c>
      <c r="H2117" t="s">
        <v>18</v>
      </c>
      <c r="I2117" t="s">
        <v>121</v>
      </c>
      <c r="J2117" t="s">
        <v>66</v>
      </c>
      <c r="K2117">
        <v>1</v>
      </c>
      <c r="L2117" s="84">
        <v>-1632</v>
      </c>
      <c r="M2117" s="84">
        <v>0</v>
      </c>
    </row>
    <row r="2118" spans="3:13" hidden="1" x14ac:dyDescent="0.25">
      <c r="C2118" t="s">
        <v>64</v>
      </c>
      <c r="D2118" t="s">
        <v>120</v>
      </c>
      <c r="E2118" t="s">
        <v>60</v>
      </c>
      <c r="F2118" t="s">
        <v>25</v>
      </c>
      <c r="G2118">
        <v>3</v>
      </c>
      <c r="H2118" t="s">
        <v>18</v>
      </c>
      <c r="I2118" t="s">
        <v>121</v>
      </c>
      <c r="J2118" t="s">
        <v>66</v>
      </c>
      <c r="K2118">
        <v>1</v>
      </c>
      <c r="L2118" s="84">
        <v>-2434</v>
      </c>
      <c r="M2118" s="84">
        <v>0</v>
      </c>
    </row>
    <row r="2119" spans="3:13" hidden="1" x14ac:dyDescent="0.25">
      <c r="C2119" t="s">
        <v>64</v>
      </c>
      <c r="D2119" t="s">
        <v>120</v>
      </c>
      <c r="E2119" t="s">
        <v>60</v>
      </c>
      <c r="F2119" t="s">
        <v>25</v>
      </c>
      <c r="G2119">
        <v>2</v>
      </c>
      <c r="H2119" t="s">
        <v>18</v>
      </c>
      <c r="I2119" t="s">
        <v>121</v>
      </c>
      <c r="J2119" t="s">
        <v>122</v>
      </c>
      <c r="K2119">
        <v>0</v>
      </c>
      <c r="L2119" s="84">
        <v>-12313</v>
      </c>
      <c r="M2119" s="84">
        <v>0</v>
      </c>
    </row>
    <row r="2120" spans="3:13" hidden="1" x14ac:dyDescent="0.25">
      <c r="C2120" t="s">
        <v>119</v>
      </c>
      <c r="D2120" t="s">
        <v>120</v>
      </c>
      <c r="E2120" t="s">
        <v>60</v>
      </c>
      <c r="F2120" t="s">
        <v>25</v>
      </c>
      <c r="G2120">
        <v>2</v>
      </c>
      <c r="H2120" t="s">
        <v>17</v>
      </c>
      <c r="I2120" t="s">
        <v>121</v>
      </c>
      <c r="J2120" t="s">
        <v>122</v>
      </c>
      <c r="K2120">
        <v>0</v>
      </c>
      <c r="L2120" s="84">
        <v>-101790</v>
      </c>
      <c r="M2120" s="84">
        <v>0</v>
      </c>
    </row>
    <row r="2121" spans="3:13" hidden="1" x14ac:dyDescent="0.25">
      <c r="C2121" t="s">
        <v>119</v>
      </c>
      <c r="D2121" t="s">
        <v>125</v>
      </c>
      <c r="E2121" t="s">
        <v>60</v>
      </c>
      <c r="F2121" t="s">
        <v>25</v>
      </c>
      <c r="G2121">
        <v>35</v>
      </c>
      <c r="I2121" t="s">
        <v>121</v>
      </c>
      <c r="J2121" t="s">
        <v>122</v>
      </c>
      <c r="K2121">
        <v>0</v>
      </c>
      <c r="L2121" s="84">
        <v>-380</v>
      </c>
      <c r="M2121" s="84">
        <v>0</v>
      </c>
    </row>
    <row r="2122" spans="3:13" hidden="1" x14ac:dyDescent="0.25">
      <c r="C2122" t="s">
        <v>119</v>
      </c>
      <c r="D2122" t="s">
        <v>120</v>
      </c>
      <c r="E2122" t="s">
        <v>60</v>
      </c>
      <c r="F2122" t="s">
        <v>124</v>
      </c>
      <c r="G2122">
        <v>1</v>
      </c>
      <c r="H2122" t="s">
        <v>72</v>
      </c>
      <c r="I2122" t="s">
        <v>121</v>
      </c>
      <c r="J2122" t="s">
        <v>122</v>
      </c>
      <c r="K2122">
        <v>0</v>
      </c>
      <c r="L2122" s="84">
        <v>-31045</v>
      </c>
      <c r="M2122" s="84">
        <v>0</v>
      </c>
    </row>
    <row r="2123" spans="3:13" hidden="1" x14ac:dyDescent="0.25">
      <c r="C2123" t="s">
        <v>65</v>
      </c>
      <c r="D2123" t="s">
        <v>120</v>
      </c>
      <c r="E2123" t="s">
        <v>60</v>
      </c>
      <c r="F2123" t="s">
        <v>123</v>
      </c>
      <c r="G2123">
        <v>3</v>
      </c>
      <c r="H2123" t="s">
        <v>18</v>
      </c>
      <c r="I2123" t="s">
        <v>121</v>
      </c>
      <c r="J2123" t="s">
        <v>122</v>
      </c>
      <c r="K2123">
        <v>0</v>
      </c>
      <c r="L2123" s="84">
        <v>-176020</v>
      </c>
      <c r="M2123" s="84">
        <v>0</v>
      </c>
    </row>
    <row r="2124" spans="3:13" hidden="1" x14ac:dyDescent="0.25">
      <c r="C2124" t="s">
        <v>65</v>
      </c>
      <c r="D2124" t="s">
        <v>120</v>
      </c>
      <c r="E2124" t="s">
        <v>60</v>
      </c>
      <c r="F2124" t="s">
        <v>25</v>
      </c>
      <c r="G2124">
        <v>10</v>
      </c>
      <c r="H2124" t="s">
        <v>14</v>
      </c>
      <c r="I2124" t="s">
        <v>121</v>
      </c>
      <c r="J2124" t="s">
        <v>66</v>
      </c>
      <c r="K2124">
        <v>1</v>
      </c>
      <c r="L2124" s="84">
        <v>-39988</v>
      </c>
      <c r="M2124" s="84">
        <v>0</v>
      </c>
    </row>
    <row r="2125" spans="3:13" hidden="1" x14ac:dyDescent="0.25">
      <c r="C2125" t="s">
        <v>64</v>
      </c>
      <c r="D2125" t="s">
        <v>120</v>
      </c>
      <c r="E2125" t="s">
        <v>63</v>
      </c>
      <c r="F2125" t="s">
        <v>25</v>
      </c>
      <c r="G2125">
        <v>6</v>
      </c>
      <c r="H2125" t="s">
        <v>76</v>
      </c>
      <c r="I2125" t="s">
        <v>121</v>
      </c>
      <c r="J2125" t="s">
        <v>122</v>
      </c>
      <c r="K2125">
        <v>0</v>
      </c>
      <c r="L2125" s="84">
        <v>231744</v>
      </c>
      <c r="M2125" s="84">
        <v>1390464</v>
      </c>
    </row>
    <row r="2126" spans="3:13" hidden="1" x14ac:dyDescent="0.25">
      <c r="C2126" t="s">
        <v>119</v>
      </c>
      <c r="D2126" t="s">
        <v>120</v>
      </c>
      <c r="E2126" t="s">
        <v>63</v>
      </c>
      <c r="F2126" t="s">
        <v>25</v>
      </c>
      <c r="G2126">
        <v>12</v>
      </c>
      <c r="H2126" t="s">
        <v>75</v>
      </c>
      <c r="I2126" t="s">
        <v>121</v>
      </c>
      <c r="J2126" t="s">
        <v>122</v>
      </c>
      <c r="K2126">
        <v>0</v>
      </c>
      <c r="L2126" s="84">
        <v>630679</v>
      </c>
      <c r="M2126" s="84">
        <v>7568148</v>
      </c>
    </row>
    <row r="2127" spans="3:13" hidden="1" x14ac:dyDescent="0.25">
      <c r="C2127" t="s">
        <v>64</v>
      </c>
      <c r="D2127" t="s">
        <v>120</v>
      </c>
      <c r="E2127" t="s">
        <v>63</v>
      </c>
      <c r="F2127" t="s">
        <v>123</v>
      </c>
      <c r="G2127">
        <v>3</v>
      </c>
      <c r="H2127" t="s">
        <v>71</v>
      </c>
      <c r="I2127" t="s">
        <v>121</v>
      </c>
      <c r="J2127" t="s">
        <v>122</v>
      </c>
      <c r="K2127">
        <v>0</v>
      </c>
      <c r="L2127" s="84">
        <v>3308</v>
      </c>
      <c r="M2127" s="84">
        <v>9924</v>
      </c>
    </row>
    <row r="2128" spans="3:13" hidden="1" x14ac:dyDescent="0.25">
      <c r="C2128" t="s">
        <v>65</v>
      </c>
      <c r="D2128" t="s">
        <v>120</v>
      </c>
      <c r="E2128" t="s">
        <v>63</v>
      </c>
      <c r="F2128" t="s">
        <v>123</v>
      </c>
      <c r="G2128">
        <v>2</v>
      </c>
      <c r="H2128" t="s">
        <v>73</v>
      </c>
      <c r="I2128" t="s">
        <v>121</v>
      </c>
      <c r="J2128" t="s">
        <v>122</v>
      </c>
      <c r="K2128">
        <v>0</v>
      </c>
      <c r="L2128" s="84">
        <v>30372</v>
      </c>
      <c r="M2128" s="84">
        <v>60744</v>
      </c>
    </row>
    <row r="2129" spans="3:13" hidden="1" x14ac:dyDescent="0.25">
      <c r="C2129" t="s">
        <v>119</v>
      </c>
      <c r="D2129" t="s">
        <v>120</v>
      </c>
      <c r="E2129" t="s">
        <v>60</v>
      </c>
      <c r="F2129" t="s">
        <v>124</v>
      </c>
      <c r="G2129">
        <v>4</v>
      </c>
      <c r="H2129" t="s">
        <v>76</v>
      </c>
      <c r="I2129" t="s">
        <v>121</v>
      </c>
      <c r="J2129" t="s">
        <v>122</v>
      </c>
      <c r="K2129">
        <v>0</v>
      </c>
      <c r="L2129" s="84">
        <v>-5314</v>
      </c>
      <c r="M2129" s="84">
        <v>0</v>
      </c>
    </row>
    <row r="2130" spans="3:13" hidden="1" x14ac:dyDescent="0.25">
      <c r="C2130" t="s">
        <v>64</v>
      </c>
      <c r="D2130" t="s">
        <v>120</v>
      </c>
      <c r="E2130" t="s">
        <v>60</v>
      </c>
      <c r="F2130" t="s">
        <v>124</v>
      </c>
      <c r="G2130">
        <v>4</v>
      </c>
      <c r="H2130" t="s">
        <v>17</v>
      </c>
      <c r="I2130" t="s">
        <v>121</v>
      </c>
      <c r="J2130" t="s">
        <v>66</v>
      </c>
      <c r="K2130">
        <v>1</v>
      </c>
      <c r="L2130" s="84">
        <v>-20211</v>
      </c>
      <c r="M2130" s="84">
        <v>0</v>
      </c>
    </row>
    <row r="2131" spans="3:13" hidden="1" x14ac:dyDescent="0.25">
      <c r="C2131" t="s">
        <v>119</v>
      </c>
      <c r="D2131" t="s">
        <v>120</v>
      </c>
      <c r="E2131" t="s">
        <v>63</v>
      </c>
      <c r="F2131" t="s">
        <v>24</v>
      </c>
      <c r="G2131">
        <v>8</v>
      </c>
      <c r="H2131" t="s">
        <v>72</v>
      </c>
      <c r="I2131" t="s">
        <v>121</v>
      </c>
      <c r="J2131" t="s">
        <v>122</v>
      </c>
      <c r="K2131">
        <v>0</v>
      </c>
      <c r="L2131" s="84">
        <v>1351996</v>
      </c>
      <c r="M2131" s="84">
        <v>10815968</v>
      </c>
    </row>
    <row r="2132" spans="3:13" hidden="1" x14ac:dyDescent="0.25">
      <c r="C2132" t="s">
        <v>119</v>
      </c>
      <c r="D2132" t="s">
        <v>125</v>
      </c>
      <c r="E2132" t="s">
        <v>60</v>
      </c>
      <c r="F2132" t="s">
        <v>24</v>
      </c>
      <c r="G2132">
        <v>39</v>
      </c>
      <c r="I2132" t="s">
        <v>121</v>
      </c>
      <c r="J2132" t="s">
        <v>122</v>
      </c>
      <c r="K2132">
        <v>0</v>
      </c>
      <c r="L2132" s="84">
        <v>-242772</v>
      </c>
      <c r="M2132" s="84">
        <v>0</v>
      </c>
    </row>
    <row r="2133" spans="3:13" hidden="1" x14ac:dyDescent="0.25">
      <c r="C2133" t="s">
        <v>119</v>
      </c>
      <c r="D2133" t="s">
        <v>120</v>
      </c>
      <c r="E2133" t="s">
        <v>60</v>
      </c>
      <c r="F2133" t="s">
        <v>24</v>
      </c>
      <c r="G2133">
        <v>6</v>
      </c>
      <c r="H2133" t="s">
        <v>67</v>
      </c>
      <c r="I2133" t="s">
        <v>121</v>
      </c>
      <c r="J2133" t="s">
        <v>122</v>
      </c>
      <c r="K2133">
        <v>0</v>
      </c>
      <c r="L2133" s="84">
        <v>-501</v>
      </c>
      <c r="M2133" s="84">
        <v>0</v>
      </c>
    </row>
    <row r="2134" spans="3:13" hidden="1" x14ac:dyDescent="0.25">
      <c r="C2134" t="s">
        <v>64</v>
      </c>
      <c r="D2134" t="s">
        <v>120</v>
      </c>
      <c r="E2134" t="s">
        <v>60</v>
      </c>
      <c r="F2134" t="s">
        <v>24</v>
      </c>
      <c r="G2134">
        <v>5</v>
      </c>
      <c r="H2134" t="s">
        <v>67</v>
      </c>
      <c r="I2134" t="s">
        <v>121</v>
      </c>
      <c r="J2134" t="s">
        <v>122</v>
      </c>
      <c r="K2134">
        <v>0</v>
      </c>
      <c r="L2134" s="84">
        <v>-5514</v>
      </c>
      <c r="M2134" s="84">
        <v>0</v>
      </c>
    </row>
    <row r="2135" spans="3:13" hidden="1" x14ac:dyDescent="0.25">
      <c r="C2135" t="s">
        <v>64</v>
      </c>
      <c r="D2135" t="s">
        <v>120</v>
      </c>
      <c r="E2135" t="s">
        <v>60</v>
      </c>
      <c r="F2135" t="s">
        <v>24</v>
      </c>
      <c r="G2135">
        <v>2</v>
      </c>
      <c r="H2135" t="s">
        <v>12</v>
      </c>
      <c r="I2135" t="s">
        <v>121</v>
      </c>
      <c r="J2135" t="s">
        <v>66</v>
      </c>
      <c r="K2135">
        <v>1</v>
      </c>
      <c r="L2135" s="84">
        <v>-1564</v>
      </c>
      <c r="M2135" s="84">
        <v>0</v>
      </c>
    </row>
    <row r="2136" spans="3:13" hidden="1" x14ac:dyDescent="0.25">
      <c r="C2136" t="s">
        <v>64</v>
      </c>
      <c r="D2136" t="s">
        <v>120</v>
      </c>
      <c r="E2136" t="s">
        <v>60</v>
      </c>
      <c r="F2136" t="s">
        <v>25</v>
      </c>
      <c r="G2136">
        <v>9</v>
      </c>
      <c r="H2136" t="s">
        <v>18</v>
      </c>
      <c r="I2136" t="s">
        <v>121</v>
      </c>
      <c r="J2136" t="s">
        <v>122</v>
      </c>
      <c r="K2136">
        <v>0</v>
      </c>
      <c r="L2136" s="84">
        <v>-101546</v>
      </c>
      <c r="M2136" s="84">
        <v>0</v>
      </c>
    </row>
    <row r="2137" spans="3:13" hidden="1" x14ac:dyDescent="0.25">
      <c r="C2137" t="s">
        <v>119</v>
      </c>
      <c r="D2137" t="s">
        <v>120</v>
      </c>
      <c r="E2137" t="s">
        <v>60</v>
      </c>
      <c r="F2137" t="s">
        <v>123</v>
      </c>
      <c r="G2137">
        <v>1</v>
      </c>
      <c r="H2137" t="s">
        <v>17</v>
      </c>
      <c r="I2137" t="s">
        <v>62</v>
      </c>
      <c r="J2137" t="s">
        <v>66</v>
      </c>
      <c r="K2137">
        <v>1</v>
      </c>
      <c r="L2137" s="84">
        <v>-234</v>
      </c>
      <c r="M2137" s="84">
        <v>0</v>
      </c>
    </row>
    <row r="2138" spans="3:13" hidden="1" x14ac:dyDescent="0.25">
      <c r="C2138" t="s">
        <v>119</v>
      </c>
      <c r="D2138" t="s">
        <v>120</v>
      </c>
      <c r="E2138" t="s">
        <v>60</v>
      </c>
      <c r="F2138" t="s">
        <v>24</v>
      </c>
      <c r="G2138">
        <v>9</v>
      </c>
      <c r="H2138" t="s">
        <v>14</v>
      </c>
      <c r="I2138" t="s">
        <v>121</v>
      </c>
      <c r="J2138" t="s">
        <v>66</v>
      </c>
      <c r="K2138">
        <v>1</v>
      </c>
      <c r="L2138" s="84">
        <v>-713</v>
      </c>
      <c r="M2138" s="84">
        <v>0</v>
      </c>
    </row>
    <row r="2139" spans="3:13" hidden="1" x14ac:dyDescent="0.25">
      <c r="C2139" t="s">
        <v>119</v>
      </c>
      <c r="D2139" t="s">
        <v>120</v>
      </c>
      <c r="E2139" t="s">
        <v>60</v>
      </c>
      <c r="F2139" t="s">
        <v>124</v>
      </c>
      <c r="G2139">
        <v>7</v>
      </c>
      <c r="H2139" t="s">
        <v>70</v>
      </c>
      <c r="I2139" t="s">
        <v>121</v>
      </c>
      <c r="J2139" t="s">
        <v>122</v>
      </c>
      <c r="K2139">
        <v>0</v>
      </c>
      <c r="L2139" s="84">
        <v>-23578</v>
      </c>
      <c r="M2139" s="84">
        <v>0</v>
      </c>
    </row>
    <row r="2140" spans="3:13" hidden="1" x14ac:dyDescent="0.25">
      <c r="C2140" t="s">
        <v>64</v>
      </c>
      <c r="D2140" t="s">
        <v>120</v>
      </c>
      <c r="E2140" t="s">
        <v>63</v>
      </c>
      <c r="F2140" t="s">
        <v>124</v>
      </c>
      <c r="G2140">
        <v>-1</v>
      </c>
      <c r="H2140" t="s">
        <v>61</v>
      </c>
      <c r="I2140" t="s">
        <v>121</v>
      </c>
      <c r="J2140" t="s">
        <v>122</v>
      </c>
      <c r="K2140">
        <v>0</v>
      </c>
      <c r="L2140" s="84">
        <v>7339707</v>
      </c>
      <c r="M2140" s="84">
        <v>0</v>
      </c>
    </row>
    <row r="2141" spans="3:13" hidden="1" x14ac:dyDescent="0.25">
      <c r="C2141" t="s">
        <v>119</v>
      </c>
      <c r="D2141" t="s">
        <v>120</v>
      </c>
      <c r="E2141" t="s">
        <v>63</v>
      </c>
      <c r="F2141" t="s">
        <v>123</v>
      </c>
      <c r="G2141">
        <v>7</v>
      </c>
      <c r="H2141" t="s">
        <v>14</v>
      </c>
      <c r="I2141" t="s">
        <v>121</v>
      </c>
      <c r="J2141" t="s">
        <v>122</v>
      </c>
      <c r="K2141">
        <v>0</v>
      </c>
      <c r="L2141" s="84">
        <v>303455</v>
      </c>
      <c r="M2141" s="84">
        <v>2124185</v>
      </c>
    </row>
    <row r="2142" spans="3:13" hidden="1" x14ac:dyDescent="0.25">
      <c r="C2142" t="s">
        <v>119</v>
      </c>
      <c r="D2142" t="s">
        <v>120</v>
      </c>
      <c r="E2142" t="s">
        <v>63</v>
      </c>
      <c r="F2142" t="s">
        <v>124</v>
      </c>
      <c r="G2142">
        <v>3</v>
      </c>
      <c r="H2142" t="s">
        <v>17</v>
      </c>
      <c r="I2142" t="s">
        <v>62</v>
      </c>
      <c r="J2142" t="s">
        <v>122</v>
      </c>
      <c r="K2142">
        <v>1</v>
      </c>
      <c r="L2142" s="84">
        <v>37006</v>
      </c>
      <c r="M2142" s="84">
        <v>111018</v>
      </c>
    </row>
    <row r="2143" spans="3:13" hidden="1" x14ac:dyDescent="0.25">
      <c r="C2143" t="s">
        <v>65</v>
      </c>
      <c r="D2143" t="s">
        <v>120</v>
      </c>
      <c r="E2143" t="s">
        <v>60</v>
      </c>
      <c r="F2143" t="s">
        <v>25</v>
      </c>
      <c r="G2143">
        <v>7</v>
      </c>
      <c r="H2143" t="s">
        <v>18</v>
      </c>
      <c r="I2143" t="s">
        <v>121</v>
      </c>
      <c r="J2143" t="s">
        <v>122</v>
      </c>
      <c r="K2143">
        <v>0</v>
      </c>
      <c r="L2143" s="84">
        <v>-45814</v>
      </c>
      <c r="M2143" s="84">
        <v>0</v>
      </c>
    </row>
    <row r="2144" spans="3:13" hidden="1" x14ac:dyDescent="0.25">
      <c r="C2144" t="s">
        <v>65</v>
      </c>
      <c r="D2144" t="s">
        <v>120</v>
      </c>
      <c r="E2144" t="s">
        <v>60</v>
      </c>
      <c r="F2144" t="s">
        <v>124</v>
      </c>
      <c r="G2144">
        <v>4</v>
      </c>
      <c r="H2144" t="s">
        <v>61</v>
      </c>
      <c r="I2144" t="s">
        <v>121</v>
      </c>
      <c r="J2144" t="s">
        <v>122</v>
      </c>
      <c r="K2144">
        <v>0</v>
      </c>
      <c r="L2144" s="84">
        <v>-75444</v>
      </c>
      <c r="M2144" s="84">
        <v>0</v>
      </c>
    </row>
    <row r="2145" spans="3:13" hidden="1" x14ac:dyDescent="0.25">
      <c r="C2145" t="s">
        <v>119</v>
      </c>
      <c r="D2145" t="s">
        <v>120</v>
      </c>
      <c r="E2145" t="s">
        <v>60</v>
      </c>
      <c r="F2145" t="s">
        <v>124</v>
      </c>
      <c r="G2145">
        <v>0</v>
      </c>
      <c r="H2145" t="s">
        <v>15</v>
      </c>
      <c r="I2145" t="s">
        <v>121</v>
      </c>
      <c r="J2145" t="s">
        <v>122</v>
      </c>
      <c r="K2145">
        <v>0</v>
      </c>
      <c r="L2145" s="84">
        <v>-31737</v>
      </c>
      <c r="M2145" s="84">
        <v>0</v>
      </c>
    </row>
    <row r="2146" spans="3:13" hidden="1" x14ac:dyDescent="0.25">
      <c r="C2146" t="s">
        <v>64</v>
      </c>
      <c r="D2146" t="s">
        <v>120</v>
      </c>
      <c r="E2146" t="s">
        <v>63</v>
      </c>
      <c r="F2146" t="s">
        <v>123</v>
      </c>
      <c r="G2146">
        <v>-4</v>
      </c>
      <c r="H2146" t="s">
        <v>17</v>
      </c>
      <c r="I2146" t="s">
        <v>121</v>
      </c>
      <c r="J2146" t="s">
        <v>122</v>
      </c>
      <c r="K2146">
        <v>0</v>
      </c>
      <c r="L2146" s="84">
        <v>484</v>
      </c>
      <c r="M2146" s="84">
        <v>0</v>
      </c>
    </row>
    <row r="2147" spans="3:13" hidden="1" x14ac:dyDescent="0.25">
      <c r="C2147" t="s">
        <v>119</v>
      </c>
      <c r="D2147" t="s">
        <v>120</v>
      </c>
      <c r="E2147" t="s">
        <v>63</v>
      </c>
      <c r="F2147" t="s">
        <v>124</v>
      </c>
      <c r="G2147">
        <v>3</v>
      </c>
      <c r="H2147" t="s">
        <v>12</v>
      </c>
      <c r="I2147" t="s">
        <v>121</v>
      </c>
      <c r="J2147" t="s">
        <v>66</v>
      </c>
      <c r="K2147">
        <v>1</v>
      </c>
      <c r="L2147" s="84">
        <v>10871839</v>
      </c>
      <c r="M2147" s="84">
        <v>32615517</v>
      </c>
    </row>
    <row r="2148" spans="3:13" hidden="1" x14ac:dyDescent="0.25">
      <c r="C2148" t="s">
        <v>119</v>
      </c>
      <c r="D2148" t="s">
        <v>120</v>
      </c>
      <c r="E2148" t="s">
        <v>60</v>
      </c>
      <c r="F2148" t="s">
        <v>123</v>
      </c>
      <c r="G2148">
        <v>1</v>
      </c>
      <c r="H2148" t="s">
        <v>67</v>
      </c>
      <c r="I2148" t="s">
        <v>121</v>
      </c>
      <c r="J2148" t="s">
        <v>122</v>
      </c>
      <c r="K2148">
        <v>0</v>
      </c>
      <c r="L2148" s="84">
        <v>-10421</v>
      </c>
      <c r="M2148" s="84">
        <v>0</v>
      </c>
    </row>
    <row r="2149" spans="3:13" hidden="1" x14ac:dyDescent="0.25">
      <c r="C2149" t="s">
        <v>119</v>
      </c>
      <c r="D2149" t="s">
        <v>127</v>
      </c>
      <c r="E2149" t="s">
        <v>60</v>
      </c>
      <c r="F2149" t="s">
        <v>25</v>
      </c>
      <c r="G2149">
        <v>4</v>
      </c>
      <c r="H2149" t="s">
        <v>77</v>
      </c>
      <c r="I2149" t="s">
        <v>121</v>
      </c>
      <c r="J2149" t="s">
        <v>122</v>
      </c>
      <c r="K2149">
        <v>0</v>
      </c>
      <c r="L2149" s="84">
        <v>-7</v>
      </c>
      <c r="M2149" s="84">
        <v>0</v>
      </c>
    </row>
    <row r="2150" spans="3:13" hidden="1" x14ac:dyDescent="0.25">
      <c r="C2150" t="s">
        <v>65</v>
      </c>
      <c r="D2150" t="s">
        <v>120</v>
      </c>
      <c r="E2150" t="s">
        <v>60</v>
      </c>
      <c r="F2150" t="s">
        <v>124</v>
      </c>
      <c r="G2150">
        <v>19</v>
      </c>
      <c r="H2150" t="s">
        <v>61</v>
      </c>
      <c r="I2150" t="s">
        <v>121</v>
      </c>
      <c r="J2150" t="s">
        <v>122</v>
      </c>
      <c r="K2150">
        <v>0</v>
      </c>
      <c r="L2150" s="84">
        <v>-36972</v>
      </c>
      <c r="M2150" s="84">
        <v>0</v>
      </c>
    </row>
    <row r="2151" spans="3:13" hidden="1" x14ac:dyDescent="0.25">
      <c r="C2151" t="s">
        <v>65</v>
      </c>
      <c r="D2151" t="s">
        <v>125</v>
      </c>
      <c r="E2151" t="s">
        <v>63</v>
      </c>
      <c r="F2151" t="s">
        <v>24</v>
      </c>
      <c r="G2151">
        <v>33</v>
      </c>
      <c r="I2151" t="s">
        <v>121</v>
      </c>
      <c r="J2151" t="s">
        <v>122</v>
      </c>
      <c r="K2151">
        <v>0</v>
      </c>
      <c r="L2151" s="84">
        <v>5704576</v>
      </c>
      <c r="M2151" s="84">
        <v>188251008</v>
      </c>
    </row>
    <row r="2152" spans="3:13" hidden="1" x14ac:dyDescent="0.25">
      <c r="C2152" t="s">
        <v>64</v>
      </c>
      <c r="D2152" t="s">
        <v>120</v>
      </c>
      <c r="E2152" t="s">
        <v>60</v>
      </c>
      <c r="F2152" t="s">
        <v>124</v>
      </c>
      <c r="G2152">
        <v>8</v>
      </c>
      <c r="H2152" t="s">
        <v>14</v>
      </c>
      <c r="I2152" t="s">
        <v>121</v>
      </c>
      <c r="J2152" t="s">
        <v>66</v>
      </c>
      <c r="K2152">
        <v>1</v>
      </c>
      <c r="L2152" s="84">
        <v>-54372</v>
      </c>
      <c r="M2152" s="84">
        <v>0</v>
      </c>
    </row>
    <row r="2153" spans="3:13" hidden="1" x14ac:dyDescent="0.25">
      <c r="C2153" t="s">
        <v>119</v>
      </c>
      <c r="D2153" t="s">
        <v>120</v>
      </c>
      <c r="E2153" t="s">
        <v>60</v>
      </c>
      <c r="F2153" t="s">
        <v>124</v>
      </c>
      <c r="G2153">
        <v>9</v>
      </c>
      <c r="H2153" t="s">
        <v>69</v>
      </c>
      <c r="I2153" t="s">
        <v>121</v>
      </c>
      <c r="J2153" t="s">
        <v>122</v>
      </c>
      <c r="K2153">
        <v>0</v>
      </c>
      <c r="L2153" s="84">
        <v>-1291</v>
      </c>
      <c r="M2153" s="84">
        <v>0</v>
      </c>
    </row>
    <row r="2154" spans="3:13" hidden="1" x14ac:dyDescent="0.25">
      <c r="C2154" t="s">
        <v>119</v>
      </c>
      <c r="D2154" t="s">
        <v>120</v>
      </c>
      <c r="E2154" t="s">
        <v>63</v>
      </c>
      <c r="F2154" t="s">
        <v>123</v>
      </c>
      <c r="G2154">
        <v>4</v>
      </c>
      <c r="H2154" t="s">
        <v>74</v>
      </c>
      <c r="I2154" t="s">
        <v>121</v>
      </c>
      <c r="J2154" t="s">
        <v>122</v>
      </c>
      <c r="K2154">
        <v>0</v>
      </c>
      <c r="L2154" s="84">
        <v>68299</v>
      </c>
      <c r="M2154" s="84">
        <v>273196</v>
      </c>
    </row>
    <row r="2155" spans="3:13" hidden="1" x14ac:dyDescent="0.25">
      <c r="C2155" t="s">
        <v>64</v>
      </c>
      <c r="D2155" t="s">
        <v>120</v>
      </c>
      <c r="E2155" t="s">
        <v>60</v>
      </c>
      <c r="F2155" t="s">
        <v>24</v>
      </c>
      <c r="G2155">
        <v>10</v>
      </c>
      <c r="H2155" t="s">
        <v>70</v>
      </c>
      <c r="I2155" t="s">
        <v>121</v>
      </c>
      <c r="J2155" t="s">
        <v>122</v>
      </c>
      <c r="K2155">
        <v>0</v>
      </c>
      <c r="L2155" s="84">
        <v>-5918</v>
      </c>
      <c r="M2155" s="84">
        <v>0</v>
      </c>
    </row>
    <row r="2156" spans="3:13" hidden="1" x14ac:dyDescent="0.25">
      <c r="C2156" t="s">
        <v>64</v>
      </c>
      <c r="D2156" t="s">
        <v>120</v>
      </c>
      <c r="E2156" t="s">
        <v>63</v>
      </c>
      <c r="F2156" t="s">
        <v>24</v>
      </c>
      <c r="G2156">
        <v>11</v>
      </c>
      <c r="H2156" t="s">
        <v>72</v>
      </c>
      <c r="I2156" t="s">
        <v>121</v>
      </c>
      <c r="J2156" t="s">
        <v>122</v>
      </c>
      <c r="K2156">
        <v>0</v>
      </c>
      <c r="L2156" s="84">
        <v>164678</v>
      </c>
      <c r="M2156" s="84">
        <v>1811458</v>
      </c>
    </row>
    <row r="2157" spans="3:13" hidden="1" x14ac:dyDescent="0.25">
      <c r="C2157" t="s">
        <v>119</v>
      </c>
      <c r="D2157" t="s">
        <v>120</v>
      </c>
      <c r="E2157" t="s">
        <v>63</v>
      </c>
      <c r="F2157" t="s">
        <v>124</v>
      </c>
      <c r="G2157">
        <v>5</v>
      </c>
      <c r="H2157" t="s">
        <v>75</v>
      </c>
      <c r="I2157" t="s">
        <v>62</v>
      </c>
      <c r="J2157" t="s">
        <v>122</v>
      </c>
      <c r="K2157">
        <v>1</v>
      </c>
      <c r="L2157" s="84">
        <v>70495</v>
      </c>
      <c r="M2157" s="84">
        <v>352475</v>
      </c>
    </row>
    <row r="2158" spans="3:13" hidden="1" x14ac:dyDescent="0.25">
      <c r="C2158" t="s">
        <v>119</v>
      </c>
      <c r="D2158" t="s">
        <v>120</v>
      </c>
      <c r="E2158" t="s">
        <v>60</v>
      </c>
      <c r="F2158" t="s">
        <v>124</v>
      </c>
      <c r="G2158">
        <v>1</v>
      </c>
      <c r="H2158" t="s">
        <v>77</v>
      </c>
      <c r="I2158" t="s">
        <v>121</v>
      </c>
      <c r="J2158" t="s">
        <v>122</v>
      </c>
      <c r="K2158">
        <v>0</v>
      </c>
      <c r="L2158" s="84">
        <v>-422</v>
      </c>
      <c r="M2158" s="84">
        <v>0</v>
      </c>
    </row>
    <row r="2159" spans="3:13" hidden="1" x14ac:dyDescent="0.25">
      <c r="C2159" t="s">
        <v>119</v>
      </c>
      <c r="D2159" t="s">
        <v>120</v>
      </c>
      <c r="E2159" t="s">
        <v>60</v>
      </c>
      <c r="F2159" t="s">
        <v>25</v>
      </c>
      <c r="G2159">
        <v>5</v>
      </c>
      <c r="H2159" t="s">
        <v>71</v>
      </c>
      <c r="I2159" t="s">
        <v>121</v>
      </c>
      <c r="J2159" t="s">
        <v>122</v>
      </c>
      <c r="K2159">
        <v>0</v>
      </c>
      <c r="L2159" s="84">
        <v>-2355</v>
      </c>
      <c r="M2159" s="84">
        <v>0</v>
      </c>
    </row>
    <row r="2160" spans="3:13" hidden="1" x14ac:dyDescent="0.25">
      <c r="C2160" t="s">
        <v>119</v>
      </c>
      <c r="D2160" t="s">
        <v>120</v>
      </c>
      <c r="E2160" t="s">
        <v>63</v>
      </c>
      <c r="F2160" t="s">
        <v>24</v>
      </c>
      <c r="G2160">
        <v>6</v>
      </c>
      <c r="H2160" t="s">
        <v>71</v>
      </c>
      <c r="I2160" t="s">
        <v>121</v>
      </c>
      <c r="J2160" t="s">
        <v>122</v>
      </c>
      <c r="K2160">
        <v>0</v>
      </c>
      <c r="L2160" s="84">
        <v>734479</v>
      </c>
      <c r="M2160" s="84">
        <v>4406874</v>
      </c>
    </row>
    <row r="2161" spans="3:13" hidden="1" x14ac:dyDescent="0.25">
      <c r="C2161" t="s">
        <v>64</v>
      </c>
      <c r="D2161" t="s">
        <v>120</v>
      </c>
      <c r="E2161" t="s">
        <v>60</v>
      </c>
      <c r="F2161" t="s">
        <v>124</v>
      </c>
      <c r="G2161">
        <v>3</v>
      </c>
      <c r="H2161" t="s">
        <v>17</v>
      </c>
      <c r="I2161" t="s">
        <v>121</v>
      </c>
      <c r="J2161" t="s">
        <v>122</v>
      </c>
      <c r="K2161">
        <v>0</v>
      </c>
      <c r="L2161" s="84">
        <v>-296305</v>
      </c>
      <c r="M2161" s="84">
        <v>0</v>
      </c>
    </row>
    <row r="2162" spans="3:13" hidden="1" x14ac:dyDescent="0.25">
      <c r="C2162" t="s">
        <v>119</v>
      </c>
      <c r="D2162" t="s">
        <v>120</v>
      </c>
      <c r="E2162" t="s">
        <v>63</v>
      </c>
      <c r="F2162" t="s">
        <v>123</v>
      </c>
      <c r="G2162">
        <v>-1</v>
      </c>
      <c r="H2162" t="s">
        <v>75</v>
      </c>
      <c r="I2162" t="s">
        <v>121</v>
      </c>
      <c r="J2162" t="s">
        <v>122</v>
      </c>
      <c r="K2162">
        <v>0</v>
      </c>
      <c r="L2162" s="84">
        <v>108034</v>
      </c>
      <c r="M2162" s="84">
        <v>0</v>
      </c>
    </row>
    <row r="2163" spans="3:13" hidden="1" x14ac:dyDescent="0.25">
      <c r="C2163" t="s">
        <v>119</v>
      </c>
      <c r="D2163" t="s">
        <v>120</v>
      </c>
      <c r="E2163" t="s">
        <v>60</v>
      </c>
      <c r="F2163" t="s">
        <v>124</v>
      </c>
      <c r="G2163">
        <v>4</v>
      </c>
      <c r="H2163" t="s">
        <v>68</v>
      </c>
      <c r="I2163" t="s">
        <v>121</v>
      </c>
      <c r="J2163" t="s">
        <v>122</v>
      </c>
      <c r="K2163">
        <v>0</v>
      </c>
      <c r="L2163" s="84">
        <v>-108310</v>
      </c>
      <c r="M2163" s="84">
        <v>0</v>
      </c>
    </row>
    <row r="2164" spans="3:13" hidden="1" x14ac:dyDescent="0.25">
      <c r="C2164" t="s">
        <v>64</v>
      </c>
      <c r="D2164" t="s">
        <v>120</v>
      </c>
      <c r="E2164" t="s">
        <v>60</v>
      </c>
      <c r="F2164" t="s">
        <v>123</v>
      </c>
      <c r="G2164">
        <v>4</v>
      </c>
      <c r="H2164" t="s">
        <v>18</v>
      </c>
      <c r="I2164" t="s">
        <v>121</v>
      </c>
      <c r="J2164" t="s">
        <v>66</v>
      </c>
      <c r="K2164">
        <v>1</v>
      </c>
      <c r="L2164" s="84">
        <v>-8523</v>
      </c>
      <c r="M2164" s="84">
        <v>0</v>
      </c>
    </row>
    <row r="2165" spans="3:13" hidden="1" x14ac:dyDescent="0.25">
      <c r="C2165" t="s">
        <v>65</v>
      </c>
      <c r="D2165" t="s">
        <v>120</v>
      </c>
      <c r="E2165" t="s">
        <v>60</v>
      </c>
      <c r="F2165" t="s">
        <v>124</v>
      </c>
      <c r="G2165">
        <v>7</v>
      </c>
      <c r="H2165" t="s">
        <v>75</v>
      </c>
      <c r="I2165" t="s">
        <v>121</v>
      </c>
      <c r="J2165" t="s">
        <v>122</v>
      </c>
      <c r="K2165">
        <v>0</v>
      </c>
      <c r="L2165" s="84">
        <v>-48718</v>
      </c>
      <c r="M2165" s="84">
        <v>0</v>
      </c>
    </row>
    <row r="2166" spans="3:13" hidden="1" x14ac:dyDescent="0.25">
      <c r="C2166" t="s">
        <v>64</v>
      </c>
      <c r="D2166" t="s">
        <v>120</v>
      </c>
      <c r="E2166" t="s">
        <v>63</v>
      </c>
      <c r="F2166" t="s">
        <v>124</v>
      </c>
      <c r="G2166">
        <v>0</v>
      </c>
      <c r="H2166" t="s">
        <v>18</v>
      </c>
      <c r="I2166" t="s">
        <v>121</v>
      </c>
      <c r="J2166" t="s">
        <v>122</v>
      </c>
      <c r="K2166">
        <v>0</v>
      </c>
      <c r="L2166" s="84">
        <v>7727565</v>
      </c>
      <c r="M2166" s="84">
        <v>0</v>
      </c>
    </row>
    <row r="2167" spans="3:13" hidden="1" x14ac:dyDescent="0.25">
      <c r="C2167" t="s">
        <v>119</v>
      </c>
      <c r="D2167" t="s">
        <v>120</v>
      </c>
      <c r="E2167" t="s">
        <v>60</v>
      </c>
      <c r="F2167" t="s">
        <v>25</v>
      </c>
      <c r="G2167">
        <v>7</v>
      </c>
      <c r="H2167" t="s">
        <v>14</v>
      </c>
      <c r="I2167" t="s">
        <v>121</v>
      </c>
      <c r="J2167" t="s">
        <v>122</v>
      </c>
      <c r="K2167">
        <v>0</v>
      </c>
      <c r="L2167" s="84">
        <v>-2566</v>
      </c>
      <c r="M2167" s="84">
        <v>0</v>
      </c>
    </row>
    <row r="2168" spans="3:13" hidden="1" x14ac:dyDescent="0.25">
      <c r="C2168" t="s">
        <v>119</v>
      </c>
      <c r="D2168" t="s">
        <v>120</v>
      </c>
      <c r="E2168" t="s">
        <v>63</v>
      </c>
      <c r="F2168" t="s">
        <v>124</v>
      </c>
      <c r="G2168">
        <v>-1</v>
      </c>
      <c r="H2168" t="s">
        <v>14</v>
      </c>
      <c r="I2168" t="s">
        <v>121</v>
      </c>
      <c r="J2168" t="s">
        <v>66</v>
      </c>
      <c r="K2168">
        <v>1</v>
      </c>
      <c r="L2168" s="84">
        <v>68262616</v>
      </c>
      <c r="M2168" s="84">
        <v>0</v>
      </c>
    </row>
    <row r="2169" spans="3:13" hidden="1" x14ac:dyDescent="0.25">
      <c r="C2169" t="s">
        <v>64</v>
      </c>
      <c r="D2169" t="s">
        <v>120</v>
      </c>
      <c r="E2169" t="s">
        <v>60</v>
      </c>
      <c r="F2169" t="s">
        <v>24</v>
      </c>
      <c r="G2169">
        <v>7</v>
      </c>
      <c r="H2169" t="s">
        <v>18</v>
      </c>
      <c r="I2169" t="s">
        <v>121</v>
      </c>
      <c r="J2169" t="s">
        <v>122</v>
      </c>
      <c r="K2169">
        <v>0</v>
      </c>
      <c r="L2169" s="84">
        <v>-20155</v>
      </c>
      <c r="M2169" s="84">
        <v>0</v>
      </c>
    </row>
    <row r="2170" spans="3:13" hidden="1" x14ac:dyDescent="0.25">
      <c r="C2170" t="s">
        <v>65</v>
      </c>
      <c r="D2170" t="s">
        <v>120</v>
      </c>
      <c r="E2170" t="s">
        <v>63</v>
      </c>
      <c r="F2170" t="s">
        <v>25</v>
      </c>
      <c r="G2170">
        <v>-4</v>
      </c>
      <c r="H2170" t="s">
        <v>68</v>
      </c>
      <c r="I2170" t="s">
        <v>121</v>
      </c>
      <c r="J2170" t="s">
        <v>122</v>
      </c>
      <c r="K2170">
        <v>0</v>
      </c>
      <c r="L2170" s="84">
        <v>4338422</v>
      </c>
      <c r="M2170" s="84">
        <v>0</v>
      </c>
    </row>
    <row r="2171" spans="3:13" hidden="1" x14ac:dyDescent="0.25">
      <c r="C2171" t="s">
        <v>119</v>
      </c>
      <c r="D2171" t="s">
        <v>120</v>
      </c>
      <c r="E2171" t="s">
        <v>60</v>
      </c>
      <c r="F2171" t="s">
        <v>123</v>
      </c>
      <c r="G2171">
        <v>2</v>
      </c>
      <c r="H2171" t="s">
        <v>12</v>
      </c>
      <c r="I2171" t="s">
        <v>121</v>
      </c>
      <c r="J2171" t="s">
        <v>66</v>
      </c>
      <c r="K2171">
        <v>1</v>
      </c>
      <c r="L2171" s="84">
        <v>-812</v>
      </c>
      <c r="M2171" s="84">
        <v>0</v>
      </c>
    </row>
    <row r="2172" spans="3:13" hidden="1" x14ac:dyDescent="0.25">
      <c r="C2172" t="s">
        <v>65</v>
      </c>
      <c r="D2172" t="s">
        <v>120</v>
      </c>
      <c r="E2172" t="s">
        <v>63</v>
      </c>
      <c r="F2172" t="s">
        <v>124</v>
      </c>
      <c r="G2172">
        <v>1</v>
      </c>
      <c r="H2172" t="s">
        <v>12</v>
      </c>
      <c r="I2172" t="s">
        <v>62</v>
      </c>
      <c r="J2172" t="s">
        <v>66</v>
      </c>
      <c r="K2172">
        <v>1</v>
      </c>
      <c r="L2172" s="84">
        <v>33092</v>
      </c>
      <c r="M2172" s="84">
        <v>33092</v>
      </c>
    </row>
    <row r="2173" spans="3:13" hidden="1" x14ac:dyDescent="0.25">
      <c r="C2173" t="s">
        <v>119</v>
      </c>
      <c r="D2173" t="s">
        <v>125</v>
      </c>
      <c r="E2173" t="s">
        <v>63</v>
      </c>
      <c r="F2173" t="s">
        <v>24</v>
      </c>
      <c r="G2173">
        <v>19</v>
      </c>
      <c r="I2173" t="s">
        <v>121</v>
      </c>
      <c r="J2173" t="s">
        <v>122</v>
      </c>
      <c r="K2173">
        <v>0</v>
      </c>
      <c r="L2173" s="84">
        <v>552777686</v>
      </c>
      <c r="M2173" s="84">
        <v>10502776034</v>
      </c>
    </row>
    <row r="2174" spans="3:13" hidden="1" x14ac:dyDescent="0.25">
      <c r="C2174" t="s">
        <v>119</v>
      </c>
      <c r="D2174" t="s">
        <v>120</v>
      </c>
      <c r="E2174" t="s">
        <v>63</v>
      </c>
      <c r="F2174" t="s">
        <v>124</v>
      </c>
      <c r="G2174">
        <v>-1</v>
      </c>
      <c r="H2174" t="s">
        <v>15</v>
      </c>
      <c r="I2174" t="s">
        <v>62</v>
      </c>
      <c r="J2174" t="s">
        <v>122</v>
      </c>
      <c r="K2174">
        <v>1</v>
      </c>
      <c r="L2174" s="84">
        <v>2977</v>
      </c>
      <c r="M2174" s="84">
        <v>0</v>
      </c>
    </row>
    <row r="2175" spans="3:13" hidden="1" x14ac:dyDescent="0.25">
      <c r="C2175" t="s">
        <v>119</v>
      </c>
      <c r="D2175" t="s">
        <v>120</v>
      </c>
      <c r="E2175" t="s">
        <v>63</v>
      </c>
      <c r="F2175" t="s">
        <v>24</v>
      </c>
      <c r="G2175">
        <v>6</v>
      </c>
      <c r="H2175" t="s">
        <v>76</v>
      </c>
      <c r="I2175" t="s">
        <v>121</v>
      </c>
      <c r="J2175" t="s">
        <v>122</v>
      </c>
      <c r="K2175">
        <v>0</v>
      </c>
      <c r="L2175" s="84">
        <v>11322</v>
      </c>
      <c r="M2175" s="84">
        <v>67932</v>
      </c>
    </row>
    <row r="2176" spans="3:13" hidden="1" x14ac:dyDescent="0.25">
      <c r="C2176" t="s">
        <v>65</v>
      </c>
      <c r="D2176" t="s">
        <v>120</v>
      </c>
      <c r="E2176" t="s">
        <v>60</v>
      </c>
      <c r="F2176" t="s">
        <v>123</v>
      </c>
      <c r="G2176">
        <v>-4</v>
      </c>
      <c r="H2176" t="s">
        <v>17</v>
      </c>
      <c r="I2176" t="s">
        <v>62</v>
      </c>
      <c r="J2176" t="s">
        <v>66</v>
      </c>
      <c r="K2176">
        <v>1</v>
      </c>
      <c r="L2176" s="84">
        <v>-2507</v>
      </c>
      <c r="M2176" s="84">
        <v>0</v>
      </c>
    </row>
    <row r="2177" spans="3:13" hidden="1" x14ac:dyDescent="0.25">
      <c r="C2177" t="s">
        <v>119</v>
      </c>
      <c r="D2177" t="s">
        <v>125</v>
      </c>
      <c r="E2177" t="s">
        <v>63</v>
      </c>
      <c r="F2177" t="s">
        <v>25</v>
      </c>
      <c r="G2177">
        <v>37</v>
      </c>
      <c r="I2177" t="s">
        <v>121</v>
      </c>
      <c r="J2177" t="s">
        <v>122</v>
      </c>
      <c r="K2177">
        <v>0</v>
      </c>
      <c r="L2177" s="84">
        <v>122330</v>
      </c>
      <c r="M2177" s="84">
        <v>4526210</v>
      </c>
    </row>
    <row r="2178" spans="3:13" hidden="1" x14ac:dyDescent="0.25">
      <c r="C2178" t="s">
        <v>64</v>
      </c>
      <c r="D2178" t="s">
        <v>120</v>
      </c>
      <c r="E2178" t="s">
        <v>63</v>
      </c>
      <c r="F2178" t="s">
        <v>123</v>
      </c>
      <c r="G2178">
        <v>0</v>
      </c>
      <c r="H2178" t="s">
        <v>67</v>
      </c>
      <c r="I2178" t="s">
        <v>121</v>
      </c>
      <c r="J2178" t="s">
        <v>122</v>
      </c>
      <c r="K2178">
        <v>0</v>
      </c>
      <c r="L2178" s="84">
        <v>21608</v>
      </c>
      <c r="M2178" s="84">
        <v>0</v>
      </c>
    </row>
    <row r="2179" spans="3:13" hidden="1" x14ac:dyDescent="0.25">
      <c r="C2179" t="s">
        <v>64</v>
      </c>
      <c r="D2179" t="s">
        <v>120</v>
      </c>
      <c r="E2179" t="s">
        <v>60</v>
      </c>
      <c r="F2179" t="s">
        <v>124</v>
      </c>
      <c r="G2179">
        <v>3</v>
      </c>
      <c r="H2179" t="s">
        <v>15</v>
      </c>
      <c r="I2179" t="s">
        <v>121</v>
      </c>
      <c r="J2179" t="s">
        <v>122</v>
      </c>
      <c r="K2179">
        <v>0</v>
      </c>
      <c r="L2179" s="84">
        <v>-1765</v>
      </c>
      <c r="M2179" s="84">
        <v>0</v>
      </c>
    </row>
    <row r="2180" spans="3:13" hidden="1" x14ac:dyDescent="0.25">
      <c r="C2180" t="s">
        <v>64</v>
      </c>
      <c r="D2180" t="s">
        <v>120</v>
      </c>
      <c r="E2180" t="s">
        <v>63</v>
      </c>
      <c r="F2180" t="s">
        <v>24</v>
      </c>
      <c r="G2180">
        <v>11</v>
      </c>
      <c r="H2180" t="s">
        <v>73</v>
      </c>
      <c r="I2180" t="s">
        <v>121</v>
      </c>
      <c r="J2180" t="s">
        <v>122</v>
      </c>
      <c r="K2180">
        <v>0</v>
      </c>
      <c r="L2180" s="84">
        <v>74083</v>
      </c>
      <c r="M2180" s="84">
        <v>814913</v>
      </c>
    </row>
    <row r="2181" spans="3:13" hidden="1" x14ac:dyDescent="0.25">
      <c r="C2181" t="s">
        <v>119</v>
      </c>
      <c r="D2181" t="s">
        <v>120</v>
      </c>
      <c r="E2181" t="s">
        <v>63</v>
      </c>
      <c r="F2181" t="s">
        <v>24</v>
      </c>
      <c r="G2181">
        <v>-1</v>
      </c>
      <c r="H2181" t="s">
        <v>68</v>
      </c>
      <c r="I2181" t="s">
        <v>121</v>
      </c>
      <c r="J2181" t="s">
        <v>122</v>
      </c>
      <c r="K2181">
        <v>0</v>
      </c>
      <c r="L2181" s="84">
        <v>1014020</v>
      </c>
      <c r="M2181" s="84">
        <v>0</v>
      </c>
    </row>
    <row r="2182" spans="3:13" hidden="1" x14ac:dyDescent="0.25">
      <c r="C2182" t="s">
        <v>65</v>
      </c>
      <c r="D2182" t="s">
        <v>120</v>
      </c>
      <c r="E2182" t="s">
        <v>60</v>
      </c>
      <c r="F2182" t="s">
        <v>124</v>
      </c>
      <c r="G2182">
        <v>6</v>
      </c>
      <c r="H2182" t="s">
        <v>14</v>
      </c>
      <c r="I2182" t="s">
        <v>121</v>
      </c>
      <c r="J2182" t="s">
        <v>66</v>
      </c>
      <c r="K2182">
        <v>1</v>
      </c>
      <c r="L2182" s="84">
        <v>-274271</v>
      </c>
      <c r="M2182" s="84">
        <v>0</v>
      </c>
    </row>
    <row r="2183" spans="3:13" hidden="1" x14ac:dyDescent="0.25">
      <c r="C2183" t="s">
        <v>64</v>
      </c>
      <c r="D2183" t="s">
        <v>120</v>
      </c>
      <c r="E2183" t="s">
        <v>63</v>
      </c>
      <c r="F2183" t="s">
        <v>25</v>
      </c>
      <c r="G2183">
        <v>6</v>
      </c>
      <c r="H2183" t="s">
        <v>61</v>
      </c>
      <c r="I2183" t="s">
        <v>121</v>
      </c>
      <c r="J2183" t="s">
        <v>122</v>
      </c>
      <c r="K2183">
        <v>0</v>
      </c>
      <c r="L2183" s="84">
        <v>42563</v>
      </c>
      <c r="M2183" s="84">
        <v>255378</v>
      </c>
    </row>
    <row r="2184" spans="3:13" hidden="1" x14ac:dyDescent="0.25">
      <c r="C2184" t="s">
        <v>64</v>
      </c>
      <c r="D2184" t="s">
        <v>120</v>
      </c>
      <c r="E2184" t="s">
        <v>60</v>
      </c>
      <c r="F2184" t="s">
        <v>25</v>
      </c>
      <c r="G2184">
        <v>5</v>
      </c>
      <c r="H2184" t="s">
        <v>73</v>
      </c>
      <c r="I2184" t="s">
        <v>121</v>
      </c>
      <c r="J2184" t="s">
        <v>122</v>
      </c>
      <c r="K2184">
        <v>0</v>
      </c>
      <c r="L2184" s="84">
        <v>-88</v>
      </c>
      <c r="M2184" s="84">
        <v>0</v>
      </c>
    </row>
    <row r="2185" spans="3:13" hidden="1" x14ac:dyDescent="0.25">
      <c r="C2185" t="s">
        <v>119</v>
      </c>
      <c r="D2185" t="s">
        <v>120</v>
      </c>
      <c r="E2185" t="s">
        <v>60</v>
      </c>
      <c r="F2185" t="s">
        <v>123</v>
      </c>
      <c r="G2185">
        <v>-1</v>
      </c>
      <c r="H2185" t="s">
        <v>18</v>
      </c>
      <c r="I2185" t="s">
        <v>121</v>
      </c>
      <c r="J2185" t="s">
        <v>122</v>
      </c>
      <c r="K2185">
        <v>0</v>
      </c>
      <c r="L2185" s="84">
        <v>-9828</v>
      </c>
      <c r="M2185" s="84">
        <v>0</v>
      </c>
    </row>
    <row r="2186" spans="3:13" hidden="1" x14ac:dyDescent="0.25">
      <c r="C2186" t="s">
        <v>119</v>
      </c>
      <c r="D2186" t="s">
        <v>120</v>
      </c>
      <c r="E2186" t="s">
        <v>60</v>
      </c>
      <c r="F2186" t="s">
        <v>124</v>
      </c>
      <c r="G2186">
        <v>1</v>
      </c>
      <c r="H2186" t="s">
        <v>67</v>
      </c>
      <c r="I2186" t="s">
        <v>121</v>
      </c>
      <c r="J2186" t="s">
        <v>122</v>
      </c>
      <c r="K2186">
        <v>0</v>
      </c>
      <c r="L2186" s="84">
        <v>-56940</v>
      </c>
      <c r="M2186" s="84">
        <v>0</v>
      </c>
    </row>
    <row r="2187" spans="3:13" hidden="1" x14ac:dyDescent="0.25">
      <c r="C2187" t="s">
        <v>65</v>
      </c>
      <c r="D2187" t="s">
        <v>120</v>
      </c>
      <c r="E2187" t="s">
        <v>63</v>
      </c>
      <c r="F2187" t="s">
        <v>124</v>
      </c>
      <c r="G2187">
        <v>5</v>
      </c>
      <c r="H2187" t="s">
        <v>18</v>
      </c>
      <c r="I2187" t="s">
        <v>121</v>
      </c>
      <c r="J2187" t="s">
        <v>66</v>
      </c>
      <c r="K2187">
        <v>1</v>
      </c>
      <c r="L2187" s="84">
        <v>82309</v>
      </c>
      <c r="M2187" s="84">
        <v>411545</v>
      </c>
    </row>
    <row r="2188" spans="3:13" hidden="1" x14ac:dyDescent="0.25">
      <c r="C2188" t="s">
        <v>65</v>
      </c>
      <c r="D2188" t="s">
        <v>120</v>
      </c>
      <c r="E2188" t="s">
        <v>60</v>
      </c>
      <c r="F2188" t="s">
        <v>123</v>
      </c>
      <c r="G2188">
        <v>-4</v>
      </c>
      <c r="H2188" t="s">
        <v>67</v>
      </c>
      <c r="I2188" t="s">
        <v>121</v>
      </c>
      <c r="J2188" t="s">
        <v>122</v>
      </c>
      <c r="K2188">
        <v>0</v>
      </c>
      <c r="L2188" s="84">
        <v>-38872</v>
      </c>
      <c r="M2188" s="84">
        <v>0</v>
      </c>
    </row>
    <row r="2189" spans="3:13" hidden="1" x14ac:dyDescent="0.25">
      <c r="C2189" t="s">
        <v>65</v>
      </c>
      <c r="D2189" t="s">
        <v>120</v>
      </c>
      <c r="E2189" t="s">
        <v>63</v>
      </c>
      <c r="F2189" t="s">
        <v>25</v>
      </c>
      <c r="G2189">
        <v>-4</v>
      </c>
      <c r="H2189" t="s">
        <v>61</v>
      </c>
      <c r="I2189" t="s">
        <v>121</v>
      </c>
      <c r="J2189" t="s">
        <v>122</v>
      </c>
      <c r="K2189">
        <v>0</v>
      </c>
      <c r="L2189" s="84">
        <v>188537</v>
      </c>
      <c r="M2189" s="84">
        <v>0</v>
      </c>
    </row>
    <row r="2190" spans="3:13" hidden="1" x14ac:dyDescent="0.25">
      <c r="C2190" t="s">
        <v>119</v>
      </c>
      <c r="D2190" t="s">
        <v>120</v>
      </c>
      <c r="E2190" t="s">
        <v>63</v>
      </c>
      <c r="F2190" t="s">
        <v>25</v>
      </c>
      <c r="G2190">
        <v>5</v>
      </c>
      <c r="H2190" t="s">
        <v>69</v>
      </c>
      <c r="I2190" t="s">
        <v>121</v>
      </c>
      <c r="J2190" t="s">
        <v>122</v>
      </c>
      <c r="K2190">
        <v>0</v>
      </c>
      <c r="L2190" s="84">
        <v>13327025</v>
      </c>
      <c r="M2190" s="84">
        <v>66635125</v>
      </c>
    </row>
    <row r="2191" spans="3:13" hidden="1" x14ac:dyDescent="0.25">
      <c r="C2191" t="s">
        <v>119</v>
      </c>
      <c r="D2191" t="s">
        <v>120</v>
      </c>
      <c r="E2191" t="s">
        <v>60</v>
      </c>
      <c r="F2191" t="s">
        <v>123</v>
      </c>
      <c r="G2191">
        <v>2</v>
      </c>
      <c r="H2191" t="s">
        <v>14</v>
      </c>
      <c r="I2191" t="s">
        <v>121</v>
      </c>
      <c r="J2191" t="s">
        <v>66</v>
      </c>
      <c r="K2191">
        <v>1</v>
      </c>
      <c r="L2191" s="84">
        <v>-5227</v>
      </c>
      <c r="M2191" s="84">
        <v>0</v>
      </c>
    </row>
    <row r="2192" spans="3:13" hidden="1" x14ac:dyDescent="0.25">
      <c r="C2192" t="s">
        <v>119</v>
      </c>
      <c r="D2192" t="s">
        <v>120</v>
      </c>
      <c r="E2192" t="s">
        <v>60</v>
      </c>
      <c r="F2192" t="s">
        <v>124</v>
      </c>
      <c r="G2192">
        <v>5</v>
      </c>
      <c r="H2192" t="s">
        <v>18</v>
      </c>
      <c r="I2192" t="s">
        <v>121</v>
      </c>
      <c r="J2192" t="s">
        <v>66</v>
      </c>
      <c r="K2192">
        <v>1</v>
      </c>
      <c r="L2192" s="84">
        <v>-18670</v>
      </c>
      <c r="M2192" s="84">
        <v>0</v>
      </c>
    </row>
    <row r="2193" spans="3:13" hidden="1" x14ac:dyDescent="0.25">
      <c r="C2193" t="s">
        <v>65</v>
      </c>
      <c r="D2193" t="s">
        <v>120</v>
      </c>
      <c r="E2193" t="s">
        <v>60</v>
      </c>
      <c r="F2193" t="s">
        <v>124</v>
      </c>
      <c r="G2193">
        <v>7</v>
      </c>
      <c r="H2193" t="s">
        <v>70</v>
      </c>
      <c r="I2193" t="s">
        <v>121</v>
      </c>
      <c r="J2193" t="s">
        <v>122</v>
      </c>
      <c r="K2193">
        <v>0</v>
      </c>
      <c r="L2193" s="84">
        <v>-17805</v>
      </c>
      <c r="M2193" s="84">
        <v>0</v>
      </c>
    </row>
    <row r="2194" spans="3:13" hidden="1" x14ac:dyDescent="0.25">
      <c r="C2194" t="s">
        <v>65</v>
      </c>
      <c r="D2194" t="s">
        <v>120</v>
      </c>
      <c r="E2194" t="s">
        <v>60</v>
      </c>
      <c r="F2194" t="s">
        <v>124</v>
      </c>
      <c r="G2194">
        <v>-4</v>
      </c>
      <c r="H2194" t="s">
        <v>17</v>
      </c>
      <c r="I2194" t="s">
        <v>121</v>
      </c>
      <c r="J2194" t="s">
        <v>122</v>
      </c>
      <c r="K2194">
        <v>0</v>
      </c>
      <c r="L2194" s="84">
        <v>-7589072</v>
      </c>
      <c r="M2194" s="84">
        <v>0</v>
      </c>
    </row>
    <row r="2195" spans="3:13" hidden="1" x14ac:dyDescent="0.25">
      <c r="C2195" t="s">
        <v>119</v>
      </c>
      <c r="D2195" t="s">
        <v>120</v>
      </c>
      <c r="E2195" t="s">
        <v>60</v>
      </c>
      <c r="F2195" t="s">
        <v>24</v>
      </c>
      <c r="G2195">
        <v>5</v>
      </c>
      <c r="H2195" t="s">
        <v>67</v>
      </c>
      <c r="I2195" t="s">
        <v>121</v>
      </c>
      <c r="J2195" t="s">
        <v>122</v>
      </c>
      <c r="K2195">
        <v>0</v>
      </c>
      <c r="L2195" s="84">
        <v>-2640</v>
      </c>
      <c r="M2195" s="84">
        <v>0</v>
      </c>
    </row>
    <row r="2196" spans="3:13" hidden="1" x14ac:dyDescent="0.25">
      <c r="C2196" t="s">
        <v>65</v>
      </c>
      <c r="D2196" t="s">
        <v>125</v>
      </c>
      <c r="E2196" t="s">
        <v>60</v>
      </c>
      <c r="F2196" t="s">
        <v>24</v>
      </c>
      <c r="G2196">
        <v>39</v>
      </c>
      <c r="I2196" t="s">
        <v>121</v>
      </c>
      <c r="J2196" t="s">
        <v>122</v>
      </c>
      <c r="K2196">
        <v>0</v>
      </c>
      <c r="L2196" s="84">
        <v>-370001</v>
      </c>
      <c r="M2196" s="84">
        <v>0</v>
      </c>
    </row>
    <row r="2197" spans="3:13" hidden="1" x14ac:dyDescent="0.25">
      <c r="C2197" t="s">
        <v>119</v>
      </c>
      <c r="D2197" t="s">
        <v>120</v>
      </c>
      <c r="E2197" t="s">
        <v>60</v>
      </c>
      <c r="F2197" t="s">
        <v>25</v>
      </c>
      <c r="G2197">
        <v>5</v>
      </c>
      <c r="H2197" t="s">
        <v>12</v>
      </c>
      <c r="I2197" t="s">
        <v>121</v>
      </c>
      <c r="J2197" t="s">
        <v>66</v>
      </c>
      <c r="K2197">
        <v>1</v>
      </c>
      <c r="L2197" s="84">
        <v>-4568</v>
      </c>
      <c r="M2197" s="84">
        <v>0</v>
      </c>
    </row>
    <row r="2198" spans="3:13" hidden="1" x14ac:dyDescent="0.25">
      <c r="C2198" t="s">
        <v>64</v>
      </c>
      <c r="D2198" t="s">
        <v>120</v>
      </c>
      <c r="E2198" t="s">
        <v>63</v>
      </c>
      <c r="F2198" t="s">
        <v>124</v>
      </c>
      <c r="G2198">
        <v>0</v>
      </c>
      <c r="H2198" t="s">
        <v>16</v>
      </c>
      <c r="I2198" t="s">
        <v>121</v>
      </c>
      <c r="J2198" t="s">
        <v>122</v>
      </c>
      <c r="K2198">
        <v>0</v>
      </c>
      <c r="L2198" s="84">
        <v>9375</v>
      </c>
      <c r="M2198" s="84">
        <v>0</v>
      </c>
    </row>
    <row r="2199" spans="3:13" hidden="1" x14ac:dyDescent="0.25">
      <c r="C2199" t="s">
        <v>119</v>
      </c>
      <c r="D2199" t="s">
        <v>120</v>
      </c>
      <c r="E2199" t="s">
        <v>60</v>
      </c>
      <c r="F2199" t="s">
        <v>25</v>
      </c>
      <c r="G2199">
        <v>7</v>
      </c>
      <c r="H2199" t="s">
        <v>12</v>
      </c>
      <c r="I2199" t="s">
        <v>121</v>
      </c>
      <c r="J2199" t="s">
        <v>122</v>
      </c>
      <c r="K2199">
        <v>0</v>
      </c>
      <c r="L2199" s="84">
        <v>-684</v>
      </c>
      <c r="M2199" s="84">
        <v>0</v>
      </c>
    </row>
    <row r="2200" spans="3:13" hidden="1" x14ac:dyDescent="0.25">
      <c r="C2200" t="s">
        <v>119</v>
      </c>
      <c r="D2200" t="s">
        <v>120</v>
      </c>
      <c r="E2200" t="s">
        <v>63</v>
      </c>
      <c r="F2200" t="s">
        <v>123</v>
      </c>
      <c r="G2200">
        <v>2</v>
      </c>
      <c r="H2200" t="s">
        <v>17</v>
      </c>
      <c r="I2200" t="s">
        <v>62</v>
      </c>
      <c r="J2200" t="s">
        <v>66</v>
      </c>
      <c r="K2200">
        <v>1</v>
      </c>
      <c r="L2200" s="84">
        <v>97791</v>
      </c>
      <c r="M2200" s="84">
        <v>195582</v>
      </c>
    </row>
    <row r="2201" spans="3:13" hidden="1" x14ac:dyDescent="0.25">
      <c r="C2201" t="s">
        <v>64</v>
      </c>
      <c r="D2201" t="s">
        <v>120</v>
      </c>
      <c r="E2201" t="s">
        <v>63</v>
      </c>
      <c r="F2201" t="s">
        <v>24</v>
      </c>
      <c r="G2201">
        <v>20</v>
      </c>
      <c r="H2201" t="s">
        <v>69</v>
      </c>
      <c r="I2201" t="s">
        <v>121</v>
      </c>
      <c r="J2201" t="s">
        <v>122</v>
      </c>
      <c r="K2201">
        <v>0</v>
      </c>
      <c r="L2201" s="84">
        <v>449841</v>
      </c>
      <c r="M2201" s="84">
        <v>8996820</v>
      </c>
    </row>
    <row r="2202" spans="3:13" hidden="1" x14ac:dyDescent="0.25">
      <c r="C2202" t="s">
        <v>64</v>
      </c>
      <c r="D2202" t="s">
        <v>120</v>
      </c>
      <c r="E2202" t="s">
        <v>63</v>
      </c>
      <c r="F2202" t="s">
        <v>124</v>
      </c>
      <c r="G2202">
        <v>-1</v>
      </c>
      <c r="H2202" t="s">
        <v>68</v>
      </c>
      <c r="I2202" t="s">
        <v>121</v>
      </c>
      <c r="J2202" t="s">
        <v>122</v>
      </c>
      <c r="K2202">
        <v>0</v>
      </c>
      <c r="L2202" s="84">
        <v>6248512</v>
      </c>
      <c r="M2202" s="84">
        <v>0</v>
      </c>
    </row>
    <row r="2203" spans="3:13" hidden="1" x14ac:dyDescent="0.25">
      <c r="C2203" t="s">
        <v>64</v>
      </c>
      <c r="D2203" t="s">
        <v>120</v>
      </c>
      <c r="E2203" t="s">
        <v>63</v>
      </c>
      <c r="F2203" t="s">
        <v>25</v>
      </c>
      <c r="G2203">
        <v>7</v>
      </c>
      <c r="H2203" t="s">
        <v>71</v>
      </c>
      <c r="I2203" t="s">
        <v>121</v>
      </c>
      <c r="J2203" t="s">
        <v>122</v>
      </c>
      <c r="K2203">
        <v>0</v>
      </c>
      <c r="L2203" s="84">
        <v>234583</v>
      </c>
      <c r="M2203" s="84">
        <v>1642081</v>
      </c>
    </row>
    <row r="2204" spans="3:13" hidden="1" x14ac:dyDescent="0.25">
      <c r="C2204" t="s">
        <v>64</v>
      </c>
      <c r="D2204" t="s">
        <v>120</v>
      </c>
      <c r="E2204" t="s">
        <v>60</v>
      </c>
      <c r="F2204" t="s">
        <v>123</v>
      </c>
      <c r="G2204">
        <v>-1</v>
      </c>
      <c r="H2204" t="s">
        <v>18</v>
      </c>
      <c r="I2204" t="s">
        <v>121</v>
      </c>
      <c r="J2204" t="s">
        <v>122</v>
      </c>
      <c r="K2204">
        <v>0</v>
      </c>
      <c r="L2204" s="84">
        <v>-42009</v>
      </c>
      <c r="M2204" s="84">
        <v>0</v>
      </c>
    </row>
    <row r="2205" spans="3:13" hidden="1" x14ac:dyDescent="0.25">
      <c r="C2205" t="s">
        <v>65</v>
      </c>
      <c r="D2205" t="s">
        <v>120</v>
      </c>
      <c r="E2205" t="s">
        <v>60</v>
      </c>
      <c r="F2205" t="s">
        <v>123</v>
      </c>
      <c r="G2205">
        <v>0</v>
      </c>
      <c r="H2205" t="s">
        <v>69</v>
      </c>
      <c r="I2205" t="s">
        <v>121</v>
      </c>
      <c r="J2205" t="s">
        <v>122</v>
      </c>
      <c r="K2205">
        <v>0</v>
      </c>
      <c r="L2205" s="84">
        <v>-7693</v>
      </c>
      <c r="M2205" s="84">
        <v>0</v>
      </c>
    </row>
    <row r="2206" spans="3:13" hidden="1" x14ac:dyDescent="0.25">
      <c r="C2206" t="s">
        <v>119</v>
      </c>
      <c r="D2206" t="s">
        <v>120</v>
      </c>
      <c r="E2206" t="s">
        <v>60</v>
      </c>
      <c r="F2206" t="s">
        <v>25</v>
      </c>
      <c r="G2206">
        <v>0</v>
      </c>
      <c r="H2206" t="s">
        <v>74</v>
      </c>
      <c r="I2206" t="s">
        <v>121</v>
      </c>
      <c r="J2206" t="s">
        <v>122</v>
      </c>
      <c r="K2206">
        <v>0</v>
      </c>
      <c r="L2206" s="84">
        <v>-119</v>
      </c>
      <c r="M2206" s="84">
        <v>0</v>
      </c>
    </row>
    <row r="2207" spans="3:13" hidden="1" x14ac:dyDescent="0.25">
      <c r="C2207" t="s">
        <v>65</v>
      </c>
      <c r="D2207" t="s">
        <v>125</v>
      </c>
      <c r="E2207" t="s">
        <v>60</v>
      </c>
      <c r="F2207" t="s">
        <v>25</v>
      </c>
      <c r="G2207">
        <v>4</v>
      </c>
      <c r="I2207" t="s">
        <v>121</v>
      </c>
      <c r="J2207" t="s">
        <v>122</v>
      </c>
      <c r="K2207">
        <v>0</v>
      </c>
      <c r="L2207" s="84">
        <v>-6169631</v>
      </c>
      <c r="M2207" s="84">
        <v>0</v>
      </c>
    </row>
    <row r="2208" spans="3:13" hidden="1" x14ac:dyDescent="0.25">
      <c r="C2208" t="s">
        <v>64</v>
      </c>
      <c r="D2208" t="s">
        <v>120</v>
      </c>
      <c r="E2208" t="s">
        <v>63</v>
      </c>
      <c r="F2208" t="s">
        <v>124</v>
      </c>
      <c r="G2208">
        <v>14</v>
      </c>
      <c r="H2208" t="s">
        <v>67</v>
      </c>
      <c r="I2208" t="s">
        <v>121</v>
      </c>
      <c r="J2208" t="s">
        <v>122</v>
      </c>
      <c r="K2208">
        <v>0</v>
      </c>
      <c r="L2208" s="84">
        <v>4281175</v>
      </c>
      <c r="M2208" s="84">
        <v>59936450</v>
      </c>
    </row>
    <row r="2209" spans="3:13" hidden="1" x14ac:dyDescent="0.25">
      <c r="C2209" t="s">
        <v>64</v>
      </c>
      <c r="D2209" t="s">
        <v>120</v>
      </c>
      <c r="E2209" t="s">
        <v>63</v>
      </c>
      <c r="F2209" t="s">
        <v>25</v>
      </c>
      <c r="G2209">
        <v>8</v>
      </c>
      <c r="H2209" t="s">
        <v>67</v>
      </c>
      <c r="I2209" t="s">
        <v>121</v>
      </c>
      <c r="J2209" t="s">
        <v>122</v>
      </c>
      <c r="K2209">
        <v>0</v>
      </c>
      <c r="L2209" s="84">
        <v>554309</v>
      </c>
      <c r="M2209" s="84">
        <v>4434472</v>
      </c>
    </row>
    <row r="2210" spans="3:13" hidden="1" x14ac:dyDescent="0.25">
      <c r="C2210" t="s">
        <v>119</v>
      </c>
      <c r="D2210" t="s">
        <v>120</v>
      </c>
      <c r="E2210" t="s">
        <v>60</v>
      </c>
      <c r="F2210" t="s">
        <v>124</v>
      </c>
      <c r="G2210">
        <v>6</v>
      </c>
      <c r="H2210" t="s">
        <v>12</v>
      </c>
      <c r="I2210" t="s">
        <v>121</v>
      </c>
      <c r="J2210" t="s">
        <v>66</v>
      </c>
      <c r="K2210">
        <v>1</v>
      </c>
      <c r="L2210" s="84">
        <v>-6157</v>
      </c>
      <c r="M2210" s="84">
        <v>0</v>
      </c>
    </row>
    <row r="2211" spans="3:13" hidden="1" x14ac:dyDescent="0.25">
      <c r="C2211" t="s">
        <v>65</v>
      </c>
      <c r="D2211" t="s">
        <v>120</v>
      </c>
      <c r="E2211" t="s">
        <v>63</v>
      </c>
      <c r="F2211" t="s">
        <v>25</v>
      </c>
      <c r="G2211">
        <v>11</v>
      </c>
      <c r="H2211" t="s">
        <v>17</v>
      </c>
      <c r="I2211" t="s">
        <v>121</v>
      </c>
      <c r="J2211" t="s">
        <v>122</v>
      </c>
      <c r="K2211">
        <v>0</v>
      </c>
      <c r="L2211" s="84">
        <v>148046</v>
      </c>
      <c r="M2211" s="84">
        <v>1628506</v>
      </c>
    </row>
    <row r="2212" spans="3:13" hidden="1" x14ac:dyDescent="0.25">
      <c r="C2212" t="s">
        <v>65</v>
      </c>
      <c r="D2212" t="s">
        <v>120</v>
      </c>
      <c r="E2212" t="s">
        <v>60</v>
      </c>
      <c r="F2212" t="s">
        <v>123</v>
      </c>
      <c r="G2212">
        <v>-4</v>
      </c>
      <c r="H2212" t="s">
        <v>73</v>
      </c>
      <c r="I2212" t="s">
        <v>121</v>
      </c>
      <c r="J2212" t="s">
        <v>122</v>
      </c>
      <c r="K2212">
        <v>0</v>
      </c>
      <c r="L2212" s="84">
        <v>-15167</v>
      </c>
      <c r="M2212" s="84">
        <v>0</v>
      </c>
    </row>
    <row r="2213" spans="3:13" hidden="1" x14ac:dyDescent="0.25">
      <c r="C2213" t="s">
        <v>65</v>
      </c>
      <c r="D2213" t="s">
        <v>120</v>
      </c>
      <c r="E2213" t="s">
        <v>63</v>
      </c>
      <c r="F2213" t="s">
        <v>124</v>
      </c>
      <c r="G2213">
        <v>8</v>
      </c>
      <c r="H2213" t="s">
        <v>12</v>
      </c>
      <c r="I2213" t="s">
        <v>121</v>
      </c>
      <c r="J2213" t="s">
        <v>66</v>
      </c>
      <c r="K2213">
        <v>1</v>
      </c>
      <c r="L2213" s="84">
        <v>33445</v>
      </c>
      <c r="M2213" s="84">
        <v>267560</v>
      </c>
    </row>
    <row r="2214" spans="3:13" x14ac:dyDescent="0.25">
      <c r="C2214" t="s">
        <v>65</v>
      </c>
      <c r="D2214" t="s">
        <v>120</v>
      </c>
      <c r="E2214" t="s">
        <v>63</v>
      </c>
      <c r="F2214" t="s">
        <v>25</v>
      </c>
      <c r="G2214">
        <v>9</v>
      </c>
      <c r="H2214" t="s">
        <v>17</v>
      </c>
      <c r="I2214" t="s">
        <v>121</v>
      </c>
      <c r="J2214" t="s">
        <v>66</v>
      </c>
      <c r="K2214">
        <v>1</v>
      </c>
      <c r="L2214" s="84">
        <v>47497</v>
      </c>
      <c r="M2214" s="84">
        <v>427473</v>
      </c>
    </row>
    <row r="2215" spans="3:13" hidden="1" x14ac:dyDescent="0.25">
      <c r="C2215" t="s">
        <v>64</v>
      </c>
      <c r="D2215" t="s">
        <v>120</v>
      </c>
      <c r="E2215" t="s">
        <v>63</v>
      </c>
      <c r="F2215" t="s">
        <v>124</v>
      </c>
      <c r="G2215">
        <v>2</v>
      </c>
      <c r="H2215" t="s">
        <v>17</v>
      </c>
      <c r="I2215" t="s">
        <v>121</v>
      </c>
      <c r="J2215" t="s">
        <v>122</v>
      </c>
      <c r="K2215">
        <v>0</v>
      </c>
      <c r="L2215" s="84">
        <v>6160197</v>
      </c>
      <c r="M2215" s="84">
        <v>12320394</v>
      </c>
    </row>
    <row r="2216" spans="3:13" hidden="1" x14ac:dyDescent="0.25">
      <c r="C2216" t="s">
        <v>64</v>
      </c>
      <c r="D2216" t="s">
        <v>120</v>
      </c>
      <c r="E2216" t="s">
        <v>60</v>
      </c>
      <c r="F2216" t="s">
        <v>124</v>
      </c>
      <c r="G2216">
        <v>5</v>
      </c>
      <c r="H2216" t="s">
        <v>67</v>
      </c>
      <c r="I2216" t="s">
        <v>121</v>
      </c>
      <c r="J2216" t="s">
        <v>122</v>
      </c>
      <c r="K2216">
        <v>0</v>
      </c>
      <c r="L2216" s="84">
        <v>-32560</v>
      </c>
      <c r="M2216" s="84">
        <v>0</v>
      </c>
    </row>
    <row r="2217" spans="3:13" hidden="1" x14ac:dyDescent="0.25">
      <c r="C2217" t="s">
        <v>119</v>
      </c>
      <c r="D2217" t="s">
        <v>120</v>
      </c>
      <c r="E2217" t="s">
        <v>63</v>
      </c>
      <c r="F2217" t="s">
        <v>123</v>
      </c>
      <c r="G2217">
        <v>2</v>
      </c>
      <c r="H2217" t="s">
        <v>15</v>
      </c>
      <c r="I2217" t="s">
        <v>121</v>
      </c>
      <c r="J2217" t="s">
        <v>122</v>
      </c>
      <c r="K2217">
        <v>0</v>
      </c>
      <c r="L2217" s="84">
        <v>2591275</v>
      </c>
      <c r="M2217" s="84">
        <v>5182550</v>
      </c>
    </row>
    <row r="2218" spans="3:13" hidden="1" x14ac:dyDescent="0.25">
      <c r="C2218" t="s">
        <v>119</v>
      </c>
      <c r="D2218" t="s">
        <v>120</v>
      </c>
      <c r="E2218" t="s">
        <v>60</v>
      </c>
      <c r="F2218" t="s">
        <v>24</v>
      </c>
      <c r="G2218">
        <v>5</v>
      </c>
      <c r="H2218" t="s">
        <v>73</v>
      </c>
      <c r="I2218" t="s">
        <v>121</v>
      </c>
      <c r="J2218" t="s">
        <v>122</v>
      </c>
      <c r="K2218">
        <v>0</v>
      </c>
      <c r="L2218" s="84">
        <v>-64</v>
      </c>
      <c r="M2218" s="84">
        <v>0</v>
      </c>
    </row>
    <row r="2219" spans="3:13" hidden="1" x14ac:dyDescent="0.25">
      <c r="C2219" t="s">
        <v>119</v>
      </c>
      <c r="D2219" t="s">
        <v>120</v>
      </c>
      <c r="E2219" t="s">
        <v>63</v>
      </c>
      <c r="F2219" t="s">
        <v>24</v>
      </c>
      <c r="G2219">
        <v>6</v>
      </c>
      <c r="H2219" t="s">
        <v>68</v>
      </c>
      <c r="I2219" t="s">
        <v>121</v>
      </c>
      <c r="J2219" t="s">
        <v>122</v>
      </c>
      <c r="K2219">
        <v>0</v>
      </c>
      <c r="L2219" s="84">
        <v>4382964</v>
      </c>
      <c r="M2219" s="84">
        <v>26297784</v>
      </c>
    </row>
    <row r="2220" spans="3:13" hidden="1" x14ac:dyDescent="0.25">
      <c r="C2220" t="s">
        <v>64</v>
      </c>
      <c r="D2220" t="s">
        <v>120</v>
      </c>
      <c r="E2220" t="s">
        <v>63</v>
      </c>
      <c r="F2220" t="s">
        <v>123</v>
      </c>
      <c r="G2220">
        <v>0</v>
      </c>
      <c r="H2220" t="s">
        <v>73</v>
      </c>
      <c r="I2220" t="s">
        <v>121</v>
      </c>
      <c r="J2220" t="s">
        <v>122</v>
      </c>
      <c r="K2220">
        <v>0</v>
      </c>
      <c r="L2220" s="84">
        <v>1589</v>
      </c>
      <c r="M2220" s="84">
        <v>0</v>
      </c>
    </row>
    <row r="2221" spans="3:13" hidden="1" x14ac:dyDescent="0.25">
      <c r="C2221" t="s">
        <v>119</v>
      </c>
      <c r="D2221" t="s">
        <v>120</v>
      </c>
      <c r="E2221" t="s">
        <v>60</v>
      </c>
      <c r="F2221" t="s">
        <v>124</v>
      </c>
      <c r="G2221">
        <v>4</v>
      </c>
      <c r="H2221" t="s">
        <v>71</v>
      </c>
      <c r="I2221" t="s">
        <v>121</v>
      </c>
      <c r="J2221" t="s">
        <v>122</v>
      </c>
      <c r="K2221">
        <v>0</v>
      </c>
      <c r="L2221" s="84">
        <v>-2218</v>
      </c>
      <c r="M2221" s="84">
        <v>0</v>
      </c>
    </row>
    <row r="2222" spans="3:13" hidden="1" x14ac:dyDescent="0.25">
      <c r="C2222" t="s">
        <v>64</v>
      </c>
      <c r="D2222" t="s">
        <v>120</v>
      </c>
      <c r="E2222" t="s">
        <v>63</v>
      </c>
      <c r="F2222" t="s">
        <v>123</v>
      </c>
      <c r="G2222">
        <v>3</v>
      </c>
      <c r="H2222" t="s">
        <v>76</v>
      </c>
      <c r="I2222" t="s">
        <v>121</v>
      </c>
      <c r="J2222" t="s">
        <v>122</v>
      </c>
      <c r="K2222">
        <v>0</v>
      </c>
      <c r="L2222" s="84">
        <v>215775</v>
      </c>
      <c r="M2222" s="84">
        <v>647325</v>
      </c>
    </row>
    <row r="2223" spans="3:13" hidden="1" x14ac:dyDescent="0.25">
      <c r="C2223" t="s">
        <v>119</v>
      </c>
      <c r="D2223" t="s">
        <v>120</v>
      </c>
      <c r="E2223" t="s">
        <v>63</v>
      </c>
      <c r="F2223" t="s">
        <v>24</v>
      </c>
      <c r="G2223">
        <v>-1</v>
      </c>
      <c r="H2223" t="s">
        <v>76</v>
      </c>
      <c r="I2223" t="s">
        <v>121</v>
      </c>
      <c r="J2223" t="s">
        <v>122</v>
      </c>
      <c r="K2223">
        <v>0</v>
      </c>
      <c r="L2223" s="84">
        <v>367003</v>
      </c>
      <c r="M2223" s="84">
        <v>0</v>
      </c>
    </row>
    <row r="2224" spans="3:13" hidden="1" x14ac:dyDescent="0.25">
      <c r="C2224" t="s">
        <v>64</v>
      </c>
      <c r="D2224" t="s">
        <v>125</v>
      </c>
      <c r="E2224" t="s">
        <v>63</v>
      </c>
      <c r="F2224" t="s">
        <v>24</v>
      </c>
      <c r="G2224">
        <v>46</v>
      </c>
      <c r="I2224" t="s">
        <v>121</v>
      </c>
      <c r="J2224" t="s">
        <v>122</v>
      </c>
      <c r="K2224">
        <v>0</v>
      </c>
      <c r="L2224" s="84">
        <v>109356</v>
      </c>
      <c r="M2224" s="84">
        <v>5030376</v>
      </c>
    </row>
    <row r="2225" spans="3:13" hidden="1" x14ac:dyDescent="0.25">
      <c r="C2225" t="s">
        <v>65</v>
      </c>
      <c r="D2225" t="s">
        <v>120</v>
      </c>
      <c r="E2225" t="s">
        <v>60</v>
      </c>
      <c r="F2225" t="s">
        <v>24</v>
      </c>
      <c r="G2225">
        <v>7</v>
      </c>
      <c r="H2225" t="s">
        <v>72</v>
      </c>
      <c r="I2225" t="s">
        <v>121</v>
      </c>
      <c r="J2225" t="s">
        <v>122</v>
      </c>
      <c r="K2225">
        <v>0</v>
      </c>
      <c r="L2225" s="84">
        <v>-19679</v>
      </c>
      <c r="M2225" s="84">
        <v>0</v>
      </c>
    </row>
    <row r="2226" spans="3:13" hidden="1" x14ac:dyDescent="0.25">
      <c r="C2226" t="s">
        <v>64</v>
      </c>
      <c r="D2226" t="s">
        <v>120</v>
      </c>
      <c r="E2226" t="s">
        <v>63</v>
      </c>
      <c r="F2226" t="s">
        <v>25</v>
      </c>
      <c r="G2226">
        <v>6</v>
      </c>
      <c r="H2226" t="s">
        <v>71</v>
      </c>
      <c r="I2226" t="s">
        <v>121</v>
      </c>
      <c r="J2226" t="s">
        <v>122</v>
      </c>
      <c r="K2226">
        <v>0</v>
      </c>
      <c r="L2226" s="84">
        <v>1037783</v>
      </c>
      <c r="M2226" s="84">
        <v>6226698</v>
      </c>
    </row>
    <row r="2227" spans="3:13" hidden="1" x14ac:dyDescent="0.25">
      <c r="C2227" t="s">
        <v>119</v>
      </c>
      <c r="D2227" t="s">
        <v>120</v>
      </c>
      <c r="E2227" t="s">
        <v>60</v>
      </c>
      <c r="F2227" t="s">
        <v>25</v>
      </c>
      <c r="G2227">
        <v>5</v>
      </c>
      <c r="H2227" t="s">
        <v>68</v>
      </c>
      <c r="I2227" t="s">
        <v>121</v>
      </c>
      <c r="J2227" t="s">
        <v>122</v>
      </c>
      <c r="K2227">
        <v>0</v>
      </c>
      <c r="L2227" s="84">
        <v>-51291</v>
      </c>
      <c r="M2227" s="84">
        <v>0</v>
      </c>
    </row>
    <row r="2228" spans="3:13" hidden="1" x14ac:dyDescent="0.25">
      <c r="C2228" t="s">
        <v>119</v>
      </c>
      <c r="D2228" t="s">
        <v>120</v>
      </c>
      <c r="E2228" t="s">
        <v>60</v>
      </c>
      <c r="F2228" t="s">
        <v>25</v>
      </c>
      <c r="G2228">
        <v>13</v>
      </c>
      <c r="H2228" t="s">
        <v>69</v>
      </c>
      <c r="I2228" t="s">
        <v>121</v>
      </c>
      <c r="J2228" t="s">
        <v>122</v>
      </c>
      <c r="K2228">
        <v>0</v>
      </c>
      <c r="L2228" s="84">
        <v>-24422</v>
      </c>
      <c r="M2228" s="84">
        <v>0</v>
      </c>
    </row>
    <row r="2229" spans="3:13" hidden="1" x14ac:dyDescent="0.25">
      <c r="C2229" t="s">
        <v>65</v>
      </c>
      <c r="D2229" t="s">
        <v>120</v>
      </c>
      <c r="E2229" t="s">
        <v>63</v>
      </c>
      <c r="F2229" t="s">
        <v>24</v>
      </c>
      <c r="G2229">
        <v>-4</v>
      </c>
      <c r="H2229" t="s">
        <v>68</v>
      </c>
      <c r="I2229" t="s">
        <v>121</v>
      </c>
      <c r="J2229" t="s">
        <v>122</v>
      </c>
      <c r="K2229">
        <v>0</v>
      </c>
      <c r="L2229" s="84">
        <v>918442</v>
      </c>
      <c r="M2229" s="84">
        <v>0</v>
      </c>
    </row>
    <row r="2230" spans="3:13" hidden="1" x14ac:dyDescent="0.25">
      <c r="C2230" t="s">
        <v>64</v>
      </c>
      <c r="D2230" t="s">
        <v>120</v>
      </c>
      <c r="E2230" t="s">
        <v>60</v>
      </c>
      <c r="F2230" t="s">
        <v>25</v>
      </c>
      <c r="G2230">
        <v>13</v>
      </c>
      <c r="H2230" t="s">
        <v>75</v>
      </c>
      <c r="I2230" t="s">
        <v>121</v>
      </c>
      <c r="J2230" t="s">
        <v>122</v>
      </c>
      <c r="K2230">
        <v>0</v>
      </c>
      <c r="L2230" s="84">
        <v>-233262</v>
      </c>
      <c r="M2230" s="84">
        <v>0</v>
      </c>
    </row>
    <row r="2231" spans="3:13" hidden="1" x14ac:dyDescent="0.25">
      <c r="C2231" t="s">
        <v>65</v>
      </c>
      <c r="D2231" t="s">
        <v>120</v>
      </c>
      <c r="E2231" t="s">
        <v>63</v>
      </c>
      <c r="F2231" t="s">
        <v>124</v>
      </c>
      <c r="G2231">
        <v>-4</v>
      </c>
      <c r="H2231" t="s">
        <v>16</v>
      </c>
      <c r="I2231" t="s">
        <v>121</v>
      </c>
      <c r="J2231" t="s">
        <v>122</v>
      </c>
      <c r="K2231">
        <v>0</v>
      </c>
      <c r="L2231" s="84">
        <v>87020</v>
      </c>
      <c r="M2231" s="84">
        <v>0</v>
      </c>
    </row>
    <row r="2232" spans="3:13" hidden="1" x14ac:dyDescent="0.25">
      <c r="C2232" t="s">
        <v>119</v>
      </c>
      <c r="D2232" t="s">
        <v>120</v>
      </c>
      <c r="E2232" t="s">
        <v>60</v>
      </c>
      <c r="F2232" t="s">
        <v>124</v>
      </c>
      <c r="G2232">
        <v>2</v>
      </c>
      <c r="H2232" t="s">
        <v>12</v>
      </c>
      <c r="I2232" t="s">
        <v>121</v>
      </c>
      <c r="J2232" t="s">
        <v>122</v>
      </c>
      <c r="K2232">
        <v>0</v>
      </c>
      <c r="L2232" s="84">
        <v>-22340</v>
      </c>
      <c r="M2232" s="84">
        <v>0</v>
      </c>
    </row>
    <row r="2233" spans="3:13" hidden="1" x14ac:dyDescent="0.25">
      <c r="C2233" t="s">
        <v>119</v>
      </c>
      <c r="D2233" t="s">
        <v>120</v>
      </c>
      <c r="E2233" t="s">
        <v>60</v>
      </c>
      <c r="F2233" t="s">
        <v>123</v>
      </c>
      <c r="G2233">
        <v>1</v>
      </c>
      <c r="H2233" t="s">
        <v>72</v>
      </c>
      <c r="I2233" t="s">
        <v>121</v>
      </c>
      <c r="J2233" t="s">
        <v>122</v>
      </c>
      <c r="K2233">
        <v>0</v>
      </c>
      <c r="L2233" s="84">
        <v>-4103</v>
      </c>
      <c r="M2233" s="84">
        <v>0</v>
      </c>
    </row>
    <row r="2234" spans="3:13" hidden="1" x14ac:dyDescent="0.25">
      <c r="C2234" t="s">
        <v>64</v>
      </c>
      <c r="D2234" t="s">
        <v>125</v>
      </c>
      <c r="E2234" t="s">
        <v>63</v>
      </c>
      <c r="F2234" t="s">
        <v>24</v>
      </c>
      <c r="G2234">
        <v>28</v>
      </c>
      <c r="I2234" t="s">
        <v>121</v>
      </c>
      <c r="J2234" t="s">
        <v>122</v>
      </c>
      <c r="K2234">
        <v>0</v>
      </c>
      <c r="L2234" s="84">
        <v>56490072</v>
      </c>
      <c r="M2234" s="84">
        <v>1581722016</v>
      </c>
    </row>
    <row r="2235" spans="3:13" hidden="1" x14ac:dyDescent="0.25">
      <c r="C2235" t="s">
        <v>119</v>
      </c>
      <c r="D2235" t="s">
        <v>120</v>
      </c>
      <c r="E2235" t="s">
        <v>63</v>
      </c>
      <c r="F2235" t="s">
        <v>25</v>
      </c>
      <c r="G2235">
        <v>-4</v>
      </c>
      <c r="H2235" t="s">
        <v>75</v>
      </c>
      <c r="I2235" t="s">
        <v>121</v>
      </c>
      <c r="J2235" t="s">
        <v>122</v>
      </c>
      <c r="K2235">
        <v>0</v>
      </c>
      <c r="L2235" s="84">
        <v>187596</v>
      </c>
      <c r="M2235" s="84">
        <v>0</v>
      </c>
    </row>
    <row r="2236" spans="3:13" hidden="1" x14ac:dyDescent="0.25">
      <c r="C2236" t="s">
        <v>119</v>
      </c>
      <c r="D2236" t="s">
        <v>120</v>
      </c>
      <c r="E2236" t="s">
        <v>60</v>
      </c>
      <c r="F2236" t="s">
        <v>123</v>
      </c>
      <c r="G2236">
        <v>6</v>
      </c>
      <c r="H2236" t="s">
        <v>14</v>
      </c>
      <c r="I2236" t="s">
        <v>121</v>
      </c>
      <c r="J2236" t="s">
        <v>66</v>
      </c>
      <c r="K2236">
        <v>1</v>
      </c>
      <c r="L2236" s="84">
        <v>-2499</v>
      </c>
      <c r="M2236" s="84">
        <v>0</v>
      </c>
    </row>
    <row r="2237" spans="3:13" hidden="1" x14ac:dyDescent="0.25">
      <c r="C2237" t="s">
        <v>65</v>
      </c>
      <c r="D2237" t="s">
        <v>120</v>
      </c>
      <c r="E2237" t="s">
        <v>60</v>
      </c>
      <c r="F2237" t="s">
        <v>124</v>
      </c>
      <c r="G2237">
        <v>4</v>
      </c>
      <c r="H2237" t="s">
        <v>76</v>
      </c>
      <c r="I2237" t="s">
        <v>121</v>
      </c>
      <c r="J2237" t="s">
        <v>122</v>
      </c>
      <c r="K2237">
        <v>0</v>
      </c>
      <c r="L2237" s="84">
        <v>-200410</v>
      </c>
      <c r="M2237" s="84">
        <v>0</v>
      </c>
    </row>
    <row r="2238" spans="3:13" hidden="1" x14ac:dyDescent="0.25">
      <c r="C2238" t="s">
        <v>64</v>
      </c>
      <c r="D2238" t="s">
        <v>120</v>
      </c>
      <c r="E2238" t="s">
        <v>63</v>
      </c>
      <c r="F2238" t="s">
        <v>24</v>
      </c>
      <c r="G2238">
        <v>-1</v>
      </c>
      <c r="H2238" t="s">
        <v>70</v>
      </c>
      <c r="I2238" t="s">
        <v>121</v>
      </c>
      <c r="J2238" t="s">
        <v>122</v>
      </c>
      <c r="K2238">
        <v>0</v>
      </c>
      <c r="L2238" s="84">
        <v>200552</v>
      </c>
      <c r="M2238" s="84">
        <v>0</v>
      </c>
    </row>
    <row r="2239" spans="3:13" hidden="1" x14ac:dyDescent="0.25">
      <c r="C2239" t="s">
        <v>119</v>
      </c>
      <c r="D2239" t="s">
        <v>120</v>
      </c>
      <c r="E2239" t="s">
        <v>63</v>
      </c>
      <c r="F2239" t="s">
        <v>25</v>
      </c>
      <c r="G2239">
        <v>4</v>
      </c>
      <c r="H2239" t="s">
        <v>69</v>
      </c>
      <c r="I2239" t="s">
        <v>121</v>
      </c>
      <c r="J2239" t="s">
        <v>122</v>
      </c>
      <c r="K2239">
        <v>0</v>
      </c>
      <c r="L2239" s="84">
        <v>22116884</v>
      </c>
      <c r="M2239" s="84">
        <v>88467536</v>
      </c>
    </row>
    <row r="2240" spans="3:13" hidden="1" x14ac:dyDescent="0.25">
      <c r="C2240" t="s">
        <v>65</v>
      </c>
      <c r="D2240" t="s">
        <v>120</v>
      </c>
      <c r="E2240" t="s">
        <v>63</v>
      </c>
      <c r="F2240" t="s">
        <v>124</v>
      </c>
      <c r="G2240">
        <v>1</v>
      </c>
      <c r="H2240" t="s">
        <v>70</v>
      </c>
      <c r="I2240" t="s">
        <v>121</v>
      </c>
      <c r="J2240" t="s">
        <v>122</v>
      </c>
      <c r="K2240">
        <v>0</v>
      </c>
      <c r="L2240" s="84">
        <v>337239</v>
      </c>
      <c r="M2240" s="84">
        <v>337239</v>
      </c>
    </row>
    <row r="2241" spans="3:13" hidden="1" x14ac:dyDescent="0.25">
      <c r="C2241" t="s">
        <v>119</v>
      </c>
      <c r="D2241" t="s">
        <v>120</v>
      </c>
      <c r="E2241" t="s">
        <v>60</v>
      </c>
      <c r="F2241" t="s">
        <v>25</v>
      </c>
      <c r="G2241">
        <v>0</v>
      </c>
      <c r="H2241" t="s">
        <v>17</v>
      </c>
      <c r="I2241" t="s">
        <v>121</v>
      </c>
      <c r="J2241" t="s">
        <v>66</v>
      </c>
      <c r="K2241">
        <v>1</v>
      </c>
      <c r="L2241" s="84">
        <v>-8</v>
      </c>
      <c r="M2241" s="84">
        <v>0</v>
      </c>
    </row>
    <row r="2242" spans="3:13" hidden="1" x14ac:dyDescent="0.25">
      <c r="C2242" t="s">
        <v>64</v>
      </c>
      <c r="D2242" t="s">
        <v>120</v>
      </c>
      <c r="E2242" t="s">
        <v>63</v>
      </c>
      <c r="F2242" t="s">
        <v>123</v>
      </c>
      <c r="G2242">
        <v>5</v>
      </c>
      <c r="H2242" t="s">
        <v>69</v>
      </c>
      <c r="I2242" t="s">
        <v>121</v>
      </c>
      <c r="J2242" t="s">
        <v>122</v>
      </c>
      <c r="K2242">
        <v>0</v>
      </c>
      <c r="L2242" s="84">
        <v>146973</v>
      </c>
      <c r="M2242" s="84">
        <v>734865</v>
      </c>
    </row>
    <row r="2243" spans="3:13" hidden="1" x14ac:dyDescent="0.25">
      <c r="C2243" t="s">
        <v>119</v>
      </c>
      <c r="D2243" t="s">
        <v>126</v>
      </c>
      <c r="E2243" t="s">
        <v>60</v>
      </c>
      <c r="F2243" t="s">
        <v>25</v>
      </c>
      <c r="G2243">
        <v>1</v>
      </c>
      <c r="H2243" t="s">
        <v>69</v>
      </c>
      <c r="I2243" t="s">
        <v>121</v>
      </c>
      <c r="J2243" t="s">
        <v>122</v>
      </c>
      <c r="K2243">
        <v>0</v>
      </c>
      <c r="L2243" s="84">
        <v>-30645</v>
      </c>
      <c r="M2243" s="84">
        <v>0</v>
      </c>
    </row>
    <row r="2244" spans="3:13" hidden="1" x14ac:dyDescent="0.25">
      <c r="C2244" t="s">
        <v>64</v>
      </c>
      <c r="D2244" t="s">
        <v>120</v>
      </c>
      <c r="E2244" t="s">
        <v>63</v>
      </c>
      <c r="F2244" t="s">
        <v>124</v>
      </c>
      <c r="G2244">
        <v>-1</v>
      </c>
      <c r="H2244" t="s">
        <v>76</v>
      </c>
      <c r="I2244" t="s">
        <v>121</v>
      </c>
      <c r="J2244" t="s">
        <v>122</v>
      </c>
      <c r="K2244">
        <v>0</v>
      </c>
      <c r="L2244" s="84">
        <v>6405859</v>
      </c>
      <c r="M2244" s="84">
        <v>0</v>
      </c>
    </row>
    <row r="2245" spans="3:13" hidden="1" x14ac:dyDescent="0.25">
      <c r="C2245" t="s">
        <v>64</v>
      </c>
      <c r="D2245" t="s">
        <v>120</v>
      </c>
      <c r="E2245" t="s">
        <v>63</v>
      </c>
      <c r="F2245" t="s">
        <v>25</v>
      </c>
      <c r="G2245">
        <v>7</v>
      </c>
      <c r="H2245" t="s">
        <v>61</v>
      </c>
      <c r="I2245" t="s">
        <v>121</v>
      </c>
      <c r="J2245" t="s">
        <v>122</v>
      </c>
      <c r="K2245">
        <v>0</v>
      </c>
      <c r="L2245" s="84">
        <v>49944</v>
      </c>
      <c r="M2245" s="84">
        <v>349608</v>
      </c>
    </row>
    <row r="2246" spans="3:13" hidden="1" x14ac:dyDescent="0.25">
      <c r="C2246" t="s">
        <v>119</v>
      </c>
      <c r="D2246" t="s">
        <v>120</v>
      </c>
      <c r="E2246" t="s">
        <v>63</v>
      </c>
      <c r="F2246" t="s">
        <v>24</v>
      </c>
      <c r="G2246">
        <v>8</v>
      </c>
      <c r="H2246" t="s">
        <v>67</v>
      </c>
      <c r="I2246" t="s">
        <v>121</v>
      </c>
      <c r="J2246" t="s">
        <v>122</v>
      </c>
      <c r="K2246">
        <v>0</v>
      </c>
      <c r="L2246" s="84">
        <v>2774963</v>
      </c>
      <c r="M2246" s="84">
        <v>22199704</v>
      </c>
    </row>
    <row r="2247" spans="3:13" hidden="1" x14ac:dyDescent="0.25">
      <c r="C2247" t="s">
        <v>119</v>
      </c>
      <c r="D2247" t="s">
        <v>120</v>
      </c>
      <c r="E2247" t="s">
        <v>60</v>
      </c>
      <c r="F2247" t="s">
        <v>124</v>
      </c>
      <c r="G2247">
        <v>14</v>
      </c>
      <c r="H2247" t="s">
        <v>67</v>
      </c>
      <c r="I2247" t="s">
        <v>121</v>
      </c>
      <c r="J2247" t="s">
        <v>122</v>
      </c>
      <c r="K2247">
        <v>0</v>
      </c>
      <c r="L2247" s="84">
        <v>-16146</v>
      </c>
      <c r="M2247" s="84">
        <v>0</v>
      </c>
    </row>
    <row r="2248" spans="3:13" hidden="1" x14ac:dyDescent="0.25">
      <c r="C2248" t="s">
        <v>119</v>
      </c>
      <c r="D2248" t="s">
        <v>120</v>
      </c>
      <c r="E2248" t="s">
        <v>63</v>
      </c>
      <c r="F2248" t="s">
        <v>123</v>
      </c>
      <c r="G2248">
        <v>0</v>
      </c>
      <c r="H2248" t="s">
        <v>15</v>
      </c>
      <c r="I2248" t="s">
        <v>121</v>
      </c>
      <c r="J2248" t="s">
        <v>66</v>
      </c>
      <c r="K2248">
        <v>1</v>
      </c>
      <c r="L2248" s="84">
        <v>72238</v>
      </c>
      <c r="M2248" s="84">
        <v>0</v>
      </c>
    </row>
    <row r="2249" spans="3:13" hidden="1" x14ac:dyDescent="0.25">
      <c r="C2249" t="s">
        <v>65</v>
      </c>
      <c r="D2249" t="s">
        <v>125</v>
      </c>
      <c r="E2249" t="s">
        <v>60</v>
      </c>
      <c r="F2249" t="s">
        <v>24</v>
      </c>
      <c r="G2249">
        <v>35</v>
      </c>
      <c r="I2249" t="s">
        <v>121</v>
      </c>
      <c r="J2249" t="s">
        <v>122</v>
      </c>
      <c r="K2249">
        <v>0</v>
      </c>
      <c r="L2249" s="84">
        <v>-2067227</v>
      </c>
      <c r="M2249" s="84">
        <v>0</v>
      </c>
    </row>
    <row r="2250" spans="3:13" hidden="1" x14ac:dyDescent="0.25">
      <c r="C2250" t="s">
        <v>119</v>
      </c>
      <c r="D2250" t="s">
        <v>120</v>
      </c>
      <c r="E2250" t="s">
        <v>60</v>
      </c>
      <c r="F2250" t="s">
        <v>123</v>
      </c>
      <c r="G2250">
        <v>9</v>
      </c>
      <c r="H2250" t="s">
        <v>67</v>
      </c>
      <c r="I2250" t="s">
        <v>121</v>
      </c>
      <c r="J2250" t="s">
        <v>122</v>
      </c>
      <c r="K2250">
        <v>0</v>
      </c>
      <c r="L2250" s="84">
        <v>-72</v>
      </c>
      <c r="M2250" s="84">
        <v>0</v>
      </c>
    </row>
    <row r="2251" spans="3:13" hidden="1" x14ac:dyDescent="0.25">
      <c r="C2251" t="s">
        <v>119</v>
      </c>
      <c r="D2251" t="s">
        <v>120</v>
      </c>
      <c r="E2251" t="s">
        <v>60</v>
      </c>
      <c r="F2251" t="s">
        <v>24</v>
      </c>
      <c r="G2251">
        <v>6</v>
      </c>
      <c r="H2251" t="s">
        <v>72</v>
      </c>
      <c r="I2251" t="s">
        <v>121</v>
      </c>
      <c r="J2251" t="s">
        <v>122</v>
      </c>
      <c r="K2251">
        <v>0</v>
      </c>
      <c r="L2251" s="84">
        <v>-1118</v>
      </c>
      <c r="M2251" s="84">
        <v>0</v>
      </c>
    </row>
    <row r="2252" spans="3:13" hidden="1" x14ac:dyDescent="0.25">
      <c r="C2252" t="s">
        <v>65</v>
      </c>
      <c r="D2252" t="s">
        <v>120</v>
      </c>
      <c r="E2252" t="s">
        <v>60</v>
      </c>
      <c r="F2252" t="s">
        <v>124</v>
      </c>
      <c r="G2252">
        <v>2</v>
      </c>
      <c r="H2252" t="s">
        <v>67</v>
      </c>
      <c r="I2252" t="s">
        <v>121</v>
      </c>
      <c r="J2252" t="s">
        <v>122</v>
      </c>
      <c r="K2252">
        <v>0</v>
      </c>
      <c r="L2252" s="84">
        <v>-321674</v>
      </c>
      <c r="M2252" s="84">
        <v>0</v>
      </c>
    </row>
    <row r="2253" spans="3:13" hidden="1" x14ac:dyDescent="0.25">
      <c r="C2253" t="s">
        <v>64</v>
      </c>
      <c r="D2253" t="s">
        <v>120</v>
      </c>
      <c r="E2253" t="s">
        <v>63</v>
      </c>
      <c r="F2253" t="s">
        <v>124</v>
      </c>
      <c r="G2253">
        <v>9</v>
      </c>
      <c r="H2253" t="s">
        <v>68</v>
      </c>
      <c r="I2253" t="s">
        <v>121</v>
      </c>
      <c r="J2253" t="s">
        <v>122</v>
      </c>
      <c r="K2253">
        <v>0</v>
      </c>
      <c r="L2253" s="84">
        <v>211307</v>
      </c>
      <c r="M2253" s="84">
        <v>1901763</v>
      </c>
    </row>
    <row r="2254" spans="3:13" hidden="1" x14ac:dyDescent="0.25">
      <c r="C2254" t="s">
        <v>64</v>
      </c>
      <c r="D2254" t="s">
        <v>120</v>
      </c>
      <c r="E2254" t="s">
        <v>60</v>
      </c>
      <c r="F2254" t="s">
        <v>25</v>
      </c>
      <c r="G2254">
        <v>7</v>
      </c>
      <c r="H2254" t="s">
        <v>14</v>
      </c>
      <c r="I2254" t="s">
        <v>121</v>
      </c>
      <c r="J2254" t="s">
        <v>66</v>
      </c>
      <c r="K2254">
        <v>1</v>
      </c>
      <c r="L2254" s="84">
        <v>-37437</v>
      </c>
      <c r="M2254" s="84">
        <v>0</v>
      </c>
    </row>
    <row r="2255" spans="3:13" hidden="1" x14ac:dyDescent="0.25">
      <c r="C2255" t="s">
        <v>64</v>
      </c>
      <c r="D2255" t="s">
        <v>125</v>
      </c>
      <c r="E2255" t="s">
        <v>60</v>
      </c>
      <c r="F2255" t="s">
        <v>24</v>
      </c>
      <c r="G2255">
        <v>31</v>
      </c>
      <c r="I2255" t="s">
        <v>121</v>
      </c>
      <c r="J2255" t="s">
        <v>122</v>
      </c>
      <c r="K2255">
        <v>0</v>
      </c>
      <c r="L2255" s="84">
        <v>-1068907</v>
      </c>
      <c r="M2255" s="84">
        <v>0</v>
      </c>
    </row>
    <row r="2256" spans="3:13" hidden="1" x14ac:dyDescent="0.25">
      <c r="C2256" t="s">
        <v>119</v>
      </c>
      <c r="D2256" t="s">
        <v>120</v>
      </c>
      <c r="E2256" t="s">
        <v>60</v>
      </c>
      <c r="F2256" t="s">
        <v>25</v>
      </c>
      <c r="G2256">
        <v>8</v>
      </c>
      <c r="H2256" t="s">
        <v>17</v>
      </c>
      <c r="I2256" t="s">
        <v>62</v>
      </c>
      <c r="J2256" t="s">
        <v>66</v>
      </c>
      <c r="K2256">
        <v>1</v>
      </c>
      <c r="L2256" s="84">
        <v>-264</v>
      </c>
      <c r="M2256" s="84">
        <v>0</v>
      </c>
    </row>
    <row r="2257" spans="3:13" hidden="1" x14ac:dyDescent="0.25">
      <c r="C2257" t="s">
        <v>119</v>
      </c>
      <c r="D2257" t="s">
        <v>125</v>
      </c>
      <c r="E2257" t="s">
        <v>60</v>
      </c>
      <c r="F2257" t="s">
        <v>24</v>
      </c>
      <c r="G2257">
        <v>23</v>
      </c>
      <c r="I2257" t="s">
        <v>121</v>
      </c>
      <c r="J2257" t="s">
        <v>122</v>
      </c>
      <c r="K2257">
        <v>0</v>
      </c>
      <c r="L2257" s="84">
        <v>-272583</v>
      </c>
      <c r="M2257" s="84">
        <v>0</v>
      </c>
    </row>
    <row r="2258" spans="3:13" hidden="1" x14ac:dyDescent="0.25">
      <c r="C2258" t="s">
        <v>119</v>
      </c>
      <c r="D2258" t="s">
        <v>120</v>
      </c>
      <c r="E2258" t="s">
        <v>63</v>
      </c>
      <c r="F2258" t="s">
        <v>123</v>
      </c>
      <c r="G2258">
        <v>-4</v>
      </c>
      <c r="H2258" t="s">
        <v>14</v>
      </c>
      <c r="I2258" t="s">
        <v>121</v>
      </c>
      <c r="J2258" t="s">
        <v>66</v>
      </c>
      <c r="K2258">
        <v>1</v>
      </c>
      <c r="L2258" s="84">
        <v>192</v>
      </c>
      <c r="M2258" s="84">
        <v>0</v>
      </c>
    </row>
    <row r="2259" spans="3:13" hidden="1" x14ac:dyDescent="0.25">
      <c r="C2259" t="s">
        <v>119</v>
      </c>
      <c r="D2259" t="s">
        <v>120</v>
      </c>
      <c r="E2259" t="s">
        <v>63</v>
      </c>
      <c r="F2259" t="s">
        <v>123</v>
      </c>
      <c r="G2259">
        <v>2</v>
      </c>
      <c r="H2259" t="s">
        <v>70</v>
      </c>
      <c r="I2259" t="s">
        <v>121</v>
      </c>
      <c r="J2259" t="s">
        <v>122</v>
      </c>
      <c r="K2259">
        <v>0</v>
      </c>
      <c r="L2259" s="84">
        <v>1037416</v>
      </c>
      <c r="M2259" s="84">
        <v>2074832</v>
      </c>
    </row>
    <row r="2260" spans="3:13" hidden="1" x14ac:dyDescent="0.25">
      <c r="C2260" t="s">
        <v>65</v>
      </c>
      <c r="D2260" t="s">
        <v>120</v>
      </c>
      <c r="E2260" t="s">
        <v>63</v>
      </c>
      <c r="F2260" t="s">
        <v>24</v>
      </c>
      <c r="G2260">
        <v>1</v>
      </c>
      <c r="H2260" t="s">
        <v>75</v>
      </c>
      <c r="I2260" t="s">
        <v>121</v>
      </c>
      <c r="J2260" t="s">
        <v>122</v>
      </c>
      <c r="K2260">
        <v>0</v>
      </c>
      <c r="L2260" s="84">
        <v>3469</v>
      </c>
      <c r="M2260" s="84">
        <v>3469</v>
      </c>
    </row>
    <row r="2261" spans="3:13" hidden="1" x14ac:dyDescent="0.25">
      <c r="C2261" t="s">
        <v>64</v>
      </c>
      <c r="D2261" t="s">
        <v>120</v>
      </c>
      <c r="E2261" t="s">
        <v>60</v>
      </c>
      <c r="F2261" t="s">
        <v>25</v>
      </c>
      <c r="G2261">
        <v>7</v>
      </c>
      <c r="H2261" t="s">
        <v>71</v>
      </c>
      <c r="I2261" t="s">
        <v>121</v>
      </c>
      <c r="J2261" t="s">
        <v>122</v>
      </c>
      <c r="K2261">
        <v>0</v>
      </c>
      <c r="L2261" s="84">
        <v>-6792</v>
      </c>
      <c r="M2261" s="84">
        <v>0</v>
      </c>
    </row>
    <row r="2262" spans="3:13" hidden="1" x14ac:dyDescent="0.25">
      <c r="C2262" t="s">
        <v>64</v>
      </c>
      <c r="D2262" t="s">
        <v>120</v>
      </c>
      <c r="E2262" t="s">
        <v>63</v>
      </c>
      <c r="F2262" t="s">
        <v>124</v>
      </c>
      <c r="G2262">
        <v>0</v>
      </c>
      <c r="H2262" t="s">
        <v>78</v>
      </c>
      <c r="I2262" t="s">
        <v>121</v>
      </c>
      <c r="J2262" t="s">
        <v>122</v>
      </c>
      <c r="K2262">
        <v>0</v>
      </c>
      <c r="L2262" s="84">
        <v>377469</v>
      </c>
      <c r="M2262" s="84">
        <v>0</v>
      </c>
    </row>
    <row r="2263" spans="3:13" hidden="1" x14ac:dyDescent="0.25">
      <c r="C2263" t="s">
        <v>119</v>
      </c>
      <c r="D2263" t="s">
        <v>120</v>
      </c>
      <c r="E2263" t="s">
        <v>63</v>
      </c>
      <c r="F2263" t="s">
        <v>25</v>
      </c>
      <c r="G2263">
        <v>11</v>
      </c>
      <c r="H2263" t="s">
        <v>61</v>
      </c>
      <c r="I2263" t="s">
        <v>121</v>
      </c>
      <c r="J2263" t="s">
        <v>122</v>
      </c>
      <c r="K2263">
        <v>0</v>
      </c>
      <c r="L2263" s="84">
        <v>313851</v>
      </c>
      <c r="M2263" s="84">
        <v>3452361</v>
      </c>
    </row>
    <row r="2264" spans="3:13" hidden="1" x14ac:dyDescent="0.25">
      <c r="C2264" t="s">
        <v>64</v>
      </c>
      <c r="D2264" t="s">
        <v>120</v>
      </c>
      <c r="E2264" t="s">
        <v>63</v>
      </c>
      <c r="F2264" t="s">
        <v>25</v>
      </c>
      <c r="G2264">
        <v>16</v>
      </c>
      <c r="H2264" t="s">
        <v>18</v>
      </c>
      <c r="I2264" t="s">
        <v>121</v>
      </c>
      <c r="J2264" t="s">
        <v>122</v>
      </c>
      <c r="K2264">
        <v>0</v>
      </c>
      <c r="L2264" s="84">
        <v>233169</v>
      </c>
      <c r="M2264" s="84">
        <v>3730704</v>
      </c>
    </row>
    <row r="2265" spans="3:13" hidden="1" x14ac:dyDescent="0.25">
      <c r="C2265" t="s">
        <v>65</v>
      </c>
      <c r="D2265" t="s">
        <v>120</v>
      </c>
      <c r="E2265" t="s">
        <v>63</v>
      </c>
      <c r="F2265" t="s">
        <v>123</v>
      </c>
      <c r="G2265">
        <v>4</v>
      </c>
      <c r="H2265" t="s">
        <v>68</v>
      </c>
      <c r="I2265" t="s">
        <v>121</v>
      </c>
      <c r="J2265" t="s">
        <v>122</v>
      </c>
      <c r="K2265">
        <v>0</v>
      </c>
      <c r="L2265" s="84">
        <v>44176</v>
      </c>
      <c r="M2265" s="84">
        <v>176704</v>
      </c>
    </row>
    <row r="2266" spans="3:13" hidden="1" x14ac:dyDescent="0.25">
      <c r="C2266" t="s">
        <v>64</v>
      </c>
      <c r="D2266" t="s">
        <v>120</v>
      </c>
      <c r="E2266" t="s">
        <v>63</v>
      </c>
      <c r="F2266" t="s">
        <v>124</v>
      </c>
      <c r="G2266">
        <v>1</v>
      </c>
      <c r="H2266" t="s">
        <v>14</v>
      </c>
      <c r="I2266" t="s">
        <v>121</v>
      </c>
      <c r="J2266" t="s">
        <v>66</v>
      </c>
      <c r="K2266">
        <v>1</v>
      </c>
      <c r="L2266" s="84">
        <v>9152081</v>
      </c>
      <c r="M2266" s="84">
        <v>9152081</v>
      </c>
    </row>
    <row r="2267" spans="3:13" hidden="1" x14ac:dyDescent="0.25">
      <c r="C2267" t="s">
        <v>64</v>
      </c>
      <c r="D2267" t="s">
        <v>120</v>
      </c>
      <c r="E2267" t="s">
        <v>63</v>
      </c>
      <c r="F2267" t="s">
        <v>124</v>
      </c>
      <c r="G2267">
        <v>2</v>
      </c>
      <c r="H2267" t="s">
        <v>75</v>
      </c>
      <c r="I2267" t="s">
        <v>121</v>
      </c>
      <c r="J2267" t="s">
        <v>122</v>
      </c>
      <c r="K2267">
        <v>0</v>
      </c>
      <c r="L2267" s="84">
        <v>4976317</v>
      </c>
      <c r="M2267" s="84">
        <v>9952634</v>
      </c>
    </row>
    <row r="2268" spans="3:13" hidden="1" x14ac:dyDescent="0.25">
      <c r="C2268" t="s">
        <v>119</v>
      </c>
      <c r="D2268" t="s">
        <v>120</v>
      </c>
      <c r="E2268" t="s">
        <v>63</v>
      </c>
      <c r="F2268" t="s">
        <v>124</v>
      </c>
      <c r="G2268">
        <v>1</v>
      </c>
      <c r="H2268" t="s">
        <v>61</v>
      </c>
      <c r="I2268" t="s">
        <v>121</v>
      </c>
      <c r="J2268" t="s">
        <v>122</v>
      </c>
      <c r="K2268">
        <v>0</v>
      </c>
      <c r="L2268" s="84">
        <v>17428102</v>
      </c>
      <c r="M2268" s="84">
        <v>17428102</v>
      </c>
    </row>
    <row r="2269" spans="3:13" hidden="1" x14ac:dyDescent="0.25">
      <c r="C2269" t="s">
        <v>119</v>
      </c>
      <c r="D2269" t="s">
        <v>120</v>
      </c>
      <c r="E2269" t="s">
        <v>63</v>
      </c>
      <c r="F2269" t="s">
        <v>25</v>
      </c>
      <c r="G2269">
        <v>0</v>
      </c>
      <c r="H2269" t="s">
        <v>70</v>
      </c>
      <c r="I2269" t="s">
        <v>121</v>
      </c>
      <c r="J2269" t="s">
        <v>122</v>
      </c>
      <c r="K2269">
        <v>0</v>
      </c>
      <c r="L2269" s="84">
        <v>9162</v>
      </c>
      <c r="M2269" s="84">
        <v>0</v>
      </c>
    </row>
    <row r="2270" spans="3:13" hidden="1" x14ac:dyDescent="0.25">
      <c r="C2270" t="s">
        <v>64</v>
      </c>
      <c r="D2270" t="s">
        <v>120</v>
      </c>
      <c r="E2270" t="s">
        <v>60</v>
      </c>
      <c r="F2270" t="s">
        <v>124</v>
      </c>
      <c r="G2270">
        <v>-1</v>
      </c>
      <c r="H2270" t="s">
        <v>15</v>
      </c>
      <c r="I2270" t="s">
        <v>62</v>
      </c>
      <c r="J2270" t="s">
        <v>122</v>
      </c>
      <c r="K2270">
        <v>1</v>
      </c>
      <c r="L2270" s="84">
        <v>-402</v>
      </c>
      <c r="M2270" s="84">
        <v>0</v>
      </c>
    </row>
    <row r="2271" spans="3:13" hidden="1" x14ac:dyDescent="0.25">
      <c r="C2271" t="s">
        <v>64</v>
      </c>
      <c r="D2271" t="s">
        <v>120</v>
      </c>
      <c r="E2271" t="s">
        <v>63</v>
      </c>
      <c r="F2271" t="s">
        <v>123</v>
      </c>
      <c r="G2271">
        <v>5</v>
      </c>
      <c r="H2271" t="s">
        <v>18</v>
      </c>
      <c r="I2271" t="s">
        <v>121</v>
      </c>
      <c r="J2271" t="s">
        <v>122</v>
      </c>
      <c r="K2271">
        <v>0</v>
      </c>
      <c r="L2271" s="84">
        <v>306967</v>
      </c>
      <c r="M2271" s="84">
        <v>1534835</v>
      </c>
    </row>
    <row r="2272" spans="3:13" hidden="1" x14ac:dyDescent="0.25">
      <c r="C2272" t="s">
        <v>65</v>
      </c>
      <c r="D2272" t="s">
        <v>125</v>
      </c>
      <c r="E2272" t="s">
        <v>60</v>
      </c>
      <c r="F2272" t="s">
        <v>24</v>
      </c>
      <c r="G2272">
        <v>31</v>
      </c>
      <c r="I2272" t="s">
        <v>121</v>
      </c>
      <c r="J2272" t="s">
        <v>122</v>
      </c>
      <c r="K2272">
        <v>0</v>
      </c>
      <c r="L2272" s="84">
        <v>-1720425</v>
      </c>
      <c r="M2272" s="84">
        <v>0</v>
      </c>
    </row>
    <row r="2273" spans="3:13" x14ac:dyDescent="0.25">
      <c r="C2273" t="s">
        <v>119</v>
      </c>
      <c r="D2273" t="s">
        <v>120</v>
      </c>
      <c r="E2273" t="s">
        <v>63</v>
      </c>
      <c r="F2273" t="s">
        <v>25</v>
      </c>
      <c r="G2273">
        <v>4</v>
      </c>
      <c r="H2273" t="s">
        <v>18</v>
      </c>
      <c r="I2273" t="s">
        <v>121</v>
      </c>
      <c r="J2273" t="s">
        <v>66</v>
      </c>
      <c r="K2273">
        <v>1</v>
      </c>
      <c r="L2273" s="84">
        <v>301914</v>
      </c>
      <c r="M2273" s="84">
        <v>1207656</v>
      </c>
    </row>
    <row r="2274" spans="3:13" hidden="1" x14ac:dyDescent="0.25">
      <c r="C2274" t="s">
        <v>119</v>
      </c>
      <c r="D2274" t="s">
        <v>120</v>
      </c>
      <c r="E2274" t="s">
        <v>60</v>
      </c>
      <c r="F2274" t="s">
        <v>24</v>
      </c>
      <c r="G2274">
        <v>0</v>
      </c>
      <c r="H2274" t="s">
        <v>61</v>
      </c>
      <c r="I2274" t="s">
        <v>121</v>
      </c>
      <c r="J2274" t="s">
        <v>122</v>
      </c>
      <c r="K2274">
        <v>0</v>
      </c>
      <c r="L2274" s="84">
        <v>-134</v>
      </c>
      <c r="M2274" s="84">
        <v>0</v>
      </c>
    </row>
    <row r="2275" spans="3:13" hidden="1" x14ac:dyDescent="0.25">
      <c r="C2275" t="s">
        <v>119</v>
      </c>
      <c r="D2275" t="s">
        <v>120</v>
      </c>
      <c r="E2275" t="s">
        <v>63</v>
      </c>
      <c r="F2275" t="s">
        <v>123</v>
      </c>
      <c r="G2275">
        <v>-1</v>
      </c>
      <c r="H2275" t="s">
        <v>17</v>
      </c>
      <c r="I2275" t="s">
        <v>62</v>
      </c>
      <c r="J2275" t="s">
        <v>66</v>
      </c>
      <c r="K2275">
        <v>1</v>
      </c>
      <c r="L2275" s="84">
        <v>384762</v>
      </c>
      <c r="M2275" s="84">
        <v>0</v>
      </c>
    </row>
    <row r="2276" spans="3:13" hidden="1" x14ac:dyDescent="0.25">
      <c r="C2276" t="s">
        <v>119</v>
      </c>
      <c r="D2276" t="s">
        <v>120</v>
      </c>
      <c r="E2276" t="s">
        <v>60</v>
      </c>
      <c r="F2276" t="s">
        <v>24</v>
      </c>
      <c r="G2276">
        <v>8</v>
      </c>
      <c r="H2276" t="s">
        <v>76</v>
      </c>
      <c r="I2276" t="s">
        <v>121</v>
      </c>
      <c r="J2276" t="s">
        <v>122</v>
      </c>
      <c r="K2276">
        <v>0</v>
      </c>
      <c r="L2276" s="84">
        <v>-291</v>
      </c>
      <c r="M2276" s="84">
        <v>0</v>
      </c>
    </row>
    <row r="2277" spans="3:13" hidden="1" x14ac:dyDescent="0.25">
      <c r="C2277" t="s">
        <v>119</v>
      </c>
      <c r="D2277" t="s">
        <v>120</v>
      </c>
      <c r="E2277" t="s">
        <v>63</v>
      </c>
      <c r="F2277" t="s">
        <v>123</v>
      </c>
      <c r="G2277">
        <v>7</v>
      </c>
      <c r="H2277" t="s">
        <v>72</v>
      </c>
      <c r="I2277" t="s">
        <v>121</v>
      </c>
      <c r="J2277" t="s">
        <v>122</v>
      </c>
      <c r="K2277">
        <v>0</v>
      </c>
      <c r="L2277" s="84">
        <v>325256</v>
      </c>
      <c r="M2277" s="84">
        <v>2276792</v>
      </c>
    </row>
    <row r="2278" spans="3:13" hidden="1" x14ac:dyDescent="0.25">
      <c r="C2278" t="s">
        <v>119</v>
      </c>
      <c r="D2278" t="s">
        <v>120</v>
      </c>
      <c r="E2278" t="s">
        <v>60</v>
      </c>
      <c r="F2278" t="s">
        <v>25</v>
      </c>
      <c r="G2278">
        <v>9</v>
      </c>
      <c r="H2278" t="s">
        <v>18</v>
      </c>
      <c r="I2278" t="s">
        <v>121</v>
      </c>
      <c r="J2278" t="s">
        <v>66</v>
      </c>
      <c r="K2278">
        <v>1</v>
      </c>
      <c r="L2278" s="84">
        <v>-902</v>
      </c>
      <c r="M2278" s="84">
        <v>0</v>
      </c>
    </row>
    <row r="2279" spans="3:13" hidden="1" x14ac:dyDescent="0.25">
      <c r="C2279" t="s">
        <v>119</v>
      </c>
      <c r="D2279" t="s">
        <v>120</v>
      </c>
      <c r="E2279" t="s">
        <v>60</v>
      </c>
      <c r="F2279" t="s">
        <v>25</v>
      </c>
      <c r="G2279">
        <v>13</v>
      </c>
      <c r="H2279" t="s">
        <v>18</v>
      </c>
      <c r="I2279" t="s">
        <v>121</v>
      </c>
      <c r="J2279" t="s">
        <v>122</v>
      </c>
      <c r="K2279">
        <v>0</v>
      </c>
      <c r="L2279" s="84">
        <v>-4269</v>
      </c>
      <c r="M2279" s="84">
        <v>0</v>
      </c>
    </row>
    <row r="2280" spans="3:13" hidden="1" x14ac:dyDescent="0.25">
      <c r="C2280" t="s">
        <v>65</v>
      </c>
      <c r="D2280" t="s">
        <v>120</v>
      </c>
      <c r="E2280" t="s">
        <v>60</v>
      </c>
      <c r="F2280" t="s">
        <v>25</v>
      </c>
      <c r="G2280">
        <v>2</v>
      </c>
      <c r="H2280" t="s">
        <v>61</v>
      </c>
      <c r="I2280" t="s">
        <v>121</v>
      </c>
      <c r="J2280" t="s">
        <v>122</v>
      </c>
      <c r="K2280">
        <v>0</v>
      </c>
      <c r="L2280" s="84">
        <v>-7431</v>
      </c>
      <c r="M2280" s="84">
        <v>0</v>
      </c>
    </row>
    <row r="2281" spans="3:13" hidden="1" x14ac:dyDescent="0.25">
      <c r="C2281" t="s">
        <v>119</v>
      </c>
      <c r="D2281" t="s">
        <v>120</v>
      </c>
      <c r="E2281" t="s">
        <v>60</v>
      </c>
      <c r="F2281" t="s">
        <v>124</v>
      </c>
      <c r="G2281">
        <v>2</v>
      </c>
      <c r="H2281" t="s">
        <v>77</v>
      </c>
      <c r="I2281" t="s">
        <v>121</v>
      </c>
      <c r="J2281" t="s">
        <v>122</v>
      </c>
      <c r="K2281">
        <v>0</v>
      </c>
      <c r="L2281" s="84">
        <v>-417</v>
      </c>
      <c r="M2281" s="84">
        <v>0</v>
      </c>
    </row>
    <row r="2282" spans="3:13" hidden="1" x14ac:dyDescent="0.25">
      <c r="C2282" t="s">
        <v>119</v>
      </c>
      <c r="D2282" t="s">
        <v>120</v>
      </c>
      <c r="E2282" t="s">
        <v>63</v>
      </c>
      <c r="F2282" t="s">
        <v>124</v>
      </c>
      <c r="G2282">
        <v>9</v>
      </c>
      <c r="H2282" t="s">
        <v>12</v>
      </c>
      <c r="I2282" t="s">
        <v>121</v>
      </c>
      <c r="J2282" t="s">
        <v>66</v>
      </c>
      <c r="K2282">
        <v>1</v>
      </c>
      <c r="L2282" s="84">
        <v>8414154</v>
      </c>
      <c r="M2282" s="84">
        <v>75727386</v>
      </c>
    </row>
    <row r="2283" spans="3:13" hidden="1" x14ac:dyDescent="0.25">
      <c r="C2283" t="s">
        <v>65</v>
      </c>
      <c r="D2283" t="s">
        <v>120</v>
      </c>
      <c r="E2283" t="s">
        <v>60</v>
      </c>
      <c r="F2283" t="s">
        <v>124</v>
      </c>
      <c r="G2283">
        <v>8</v>
      </c>
      <c r="H2283" t="s">
        <v>18</v>
      </c>
      <c r="I2283" t="s">
        <v>121</v>
      </c>
      <c r="J2283" t="s">
        <v>122</v>
      </c>
      <c r="K2283">
        <v>0</v>
      </c>
      <c r="L2283" s="84">
        <v>-200963</v>
      </c>
      <c r="M2283" s="84">
        <v>0</v>
      </c>
    </row>
    <row r="2284" spans="3:13" hidden="1" x14ac:dyDescent="0.25">
      <c r="C2284" t="s">
        <v>64</v>
      </c>
      <c r="D2284" t="s">
        <v>120</v>
      </c>
      <c r="E2284" t="s">
        <v>60</v>
      </c>
      <c r="F2284" t="s">
        <v>123</v>
      </c>
      <c r="G2284">
        <v>0</v>
      </c>
      <c r="H2284" t="s">
        <v>18</v>
      </c>
      <c r="I2284" t="s">
        <v>121</v>
      </c>
      <c r="J2284" t="s">
        <v>66</v>
      </c>
      <c r="K2284">
        <v>1</v>
      </c>
      <c r="L2284" s="84">
        <v>-290</v>
      </c>
      <c r="M2284" s="84">
        <v>0</v>
      </c>
    </row>
    <row r="2285" spans="3:13" hidden="1" x14ac:dyDescent="0.25">
      <c r="C2285" t="s">
        <v>64</v>
      </c>
      <c r="D2285" t="s">
        <v>120</v>
      </c>
      <c r="E2285" t="s">
        <v>60</v>
      </c>
      <c r="F2285" t="s">
        <v>25</v>
      </c>
      <c r="G2285">
        <v>7</v>
      </c>
      <c r="H2285" t="s">
        <v>61</v>
      </c>
      <c r="I2285" t="s">
        <v>121</v>
      </c>
      <c r="J2285" t="s">
        <v>122</v>
      </c>
      <c r="K2285">
        <v>0</v>
      </c>
      <c r="L2285" s="84">
        <v>-251</v>
      </c>
      <c r="M2285" s="84">
        <v>0</v>
      </c>
    </row>
    <row r="2286" spans="3:13" hidden="1" x14ac:dyDescent="0.25">
      <c r="C2286" t="s">
        <v>119</v>
      </c>
      <c r="D2286" t="s">
        <v>120</v>
      </c>
      <c r="E2286" t="s">
        <v>60</v>
      </c>
      <c r="F2286" t="s">
        <v>24</v>
      </c>
      <c r="G2286">
        <v>5</v>
      </c>
      <c r="H2286" t="s">
        <v>14</v>
      </c>
      <c r="I2286" t="s">
        <v>121</v>
      </c>
      <c r="J2286" t="s">
        <v>122</v>
      </c>
      <c r="K2286">
        <v>0</v>
      </c>
      <c r="L2286" s="84">
        <v>-392</v>
      </c>
      <c r="M2286" s="84">
        <v>0</v>
      </c>
    </row>
    <row r="2287" spans="3:13" hidden="1" x14ac:dyDescent="0.25">
      <c r="C2287" t="s">
        <v>65</v>
      </c>
      <c r="D2287" t="s">
        <v>120</v>
      </c>
      <c r="E2287" t="s">
        <v>60</v>
      </c>
      <c r="F2287" t="s">
        <v>124</v>
      </c>
      <c r="G2287">
        <v>-4</v>
      </c>
      <c r="H2287" t="s">
        <v>75</v>
      </c>
      <c r="I2287" t="s">
        <v>121</v>
      </c>
      <c r="J2287" t="s">
        <v>122</v>
      </c>
      <c r="K2287">
        <v>0</v>
      </c>
      <c r="L2287" s="84">
        <v>-1609872</v>
      </c>
      <c r="M2287" s="84">
        <v>0</v>
      </c>
    </row>
    <row r="2288" spans="3:13" hidden="1" x14ac:dyDescent="0.25">
      <c r="C2288" t="s">
        <v>119</v>
      </c>
      <c r="D2288" t="s">
        <v>120</v>
      </c>
      <c r="E2288" t="s">
        <v>63</v>
      </c>
      <c r="F2288" t="s">
        <v>25</v>
      </c>
      <c r="G2288">
        <v>2</v>
      </c>
      <c r="H2288" t="s">
        <v>14</v>
      </c>
      <c r="I2288" t="s">
        <v>121</v>
      </c>
      <c r="J2288" t="s">
        <v>122</v>
      </c>
      <c r="K2288">
        <v>0</v>
      </c>
      <c r="L2288" s="84">
        <v>2012529</v>
      </c>
      <c r="M2288" s="84">
        <v>4025058</v>
      </c>
    </row>
    <row r="2289" spans="3:13" hidden="1" x14ac:dyDescent="0.25">
      <c r="C2289" t="s">
        <v>64</v>
      </c>
      <c r="D2289" t="s">
        <v>120</v>
      </c>
      <c r="E2289" t="s">
        <v>60</v>
      </c>
      <c r="F2289" t="s">
        <v>24</v>
      </c>
      <c r="G2289">
        <v>6</v>
      </c>
      <c r="H2289" t="s">
        <v>14</v>
      </c>
      <c r="I2289" t="s">
        <v>121</v>
      </c>
      <c r="J2289" t="s">
        <v>122</v>
      </c>
      <c r="K2289">
        <v>0</v>
      </c>
      <c r="L2289" s="84">
        <v>-14394</v>
      </c>
      <c r="M2289" s="84">
        <v>0</v>
      </c>
    </row>
    <row r="2290" spans="3:13" hidden="1" x14ac:dyDescent="0.25">
      <c r="C2290" t="s">
        <v>64</v>
      </c>
      <c r="D2290" t="s">
        <v>120</v>
      </c>
      <c r="E2290" t="s">
        <v>63</v>
      </c>
      <c r="F2290" t="s">
        <v>123</v>
      </c>
      <c r="G2290">
        <v>6</v>
      </c>
      <c r="H2290" t="s">
        <v>72</v>
      </c>
      <c r="I2290" t="s">
        <v>121</v>
      </c>
      <c r="J2290" t="s">
        <v>122</v>
      </c>
      <c r="K2290">
        <v>0</v>
      </c>
      <c r="L2290" s="84">
        <v>346719</v>
      </c>
      <c r="M2290" s="84">
        <v>2080314</v>
      </c>
    </row>
    <row r="2291" spans="3:13" hidden="1" x14ac:dyDescent="0.25">
      <c r="C2291" t="s">
        <v>65</v>
      </c>
      <c r="D2291" t="s">
        <v>125</v>
      </c>
      <c r="E2291" t="s">
        <v>60</v>
      </c>
      <c r="F2291" t="s">
        <v>24</v>
      </c>
      <c r="G2291">
        <v>29</v>
      </c>
      <c r="I2291" t="s">
        <v>121</v>
      </c>
      <c r="J2291" t="s">
        <v>122</v>
      </c>
      <c r="K2291">
        <v>0</v>
      </c>
      <c r="L2291" s="84">
        <v>-2484055</v>
      </c>
      <c r="M2291" s="84">
        <v>0</v>
      </c>
    </row>
    <row r="2292" spans="3:13" hidden="1" x14ac:dyDescent="0.25">
      <c r="C2292" t="s">
        <v>64</v>
      </c>
      <c r="D2292" t="s">
        <v>128</v>
      </c>
      <c r="E2292" t="s">
        <v>63</v>
      </c>
      <c r="F2292" t="s">
        <v>25</v>
      </c>
      <c r="G2292">
        <v>12</v>
      </c>
      <c r="H2292" t="s">
        <v>74</v>
      </c>
      <c r="I2292" t="s">
        <v>121</v>
      </c>
      <c r="J2292" t="s">
        <v>122</v>
      </c>
      <c r="K2292">
        <v>0</v>
      </c>
      <c r="L2292" s="84">
        <v>370632</v>
      </c>
      <c r="M2292" s="84">
        <v>4447584</v>
      </c>
    </row>
    <row r="2293" spans="3:13" hidden="1" x14ac:dyDescent="0.25">
      <c r="C2293" t="s">
        <v>119</v>
      </c>
      <c r="D2293" t="s">
        <v>120</v>
      </c>
      <c r="E2293" t="s">
        <v>63</v>
      </c>
      <c r="F2293" t="s">
        <v>25</v>
      </c>
      <c r="G2293">
        <v>5</v>
      </c>
      <c r="H2293" t="s">
        <v>18</v>
      </c>
      <c r="I2293" t="s">
        <v>121</v>
      </c>
      <c r="J2293" t="s">
        <v>122</v>
      </c>
      <c r="K2293">
        <v>0</v>
      </c>
      <c r="L2293" s="84">
        <v>11988919</v>
      </c>
      <c r="M2293" s="84">
        <v>59944595</v>
      </c>
    </row>
    <row r="2294" spans="3:13" hidden="1" x14ac:dyDescent="0.25">
      <c r="C2294" t="s">
        <v>119</v>
      </c>
      <c r="D2294" t="s">
        <v>125</v>
      </c>
      <c r="E2294" t="s">
        <v>63</v>
      </c>
      <c r="F2294" t="s">
        <v>25</v>
      </c>
      <c r="G2294">
        <v>2</v>
      </c>
      <c r="I2294" t="s">
        <v>121</v>
      </c>
      <c r="J2294" t="s">
        <v>122</v>
      </c>
      <c r="K2294">
        <v>0</v>
      </c>
      <c r="L2294" s="84">
        <v>13990580</v>
      </c>
      <c r="M2294" s="84">
        <v>27981160</v>
      </c>
    </row>
    <row r="2295" spans="3:13" hidden="1" x14ac:dyDescent="0.25">
      <c r="C2295" t="s">
        <v>65</v>
      </c>
      <c r="D2295" t="s">
        <v>120</v>
      </c>
      <c r="E2295" t="s">
        <v>60</v>
      </c>
      <c r="F2295" t="s">
        <v>124</v>
      </c>
      <c r="G2295">
        <v>-1</v>
      </c>
      <c r="H2295" t="s">
        <v>74</v>
      </c>
      <c r="I2295" t="s">
        <v>121</v>
      </c>
      <c r="J2295" t="s">
        <v>122</v>
      </c>
      <c r="K2295">
        <v>0</v>
      </c>
      <c r="L2295" s="84">
        <v>-25236</v>
      </c>
      <c r="M2295" s="84">
        <v>0</v>
      </c>
    </row>
    <row r="2296" spans="3:13" hidden="1" x14ac:dyDescent="0.25">
      <c r="C2296" t="s">
        <v>119</v>
      </c>
      <c r="D2296" t="s">
        <v>120</v>
      </c>
      <c r="E2296" t="s">
        <v>60</v>
      </c>
      <c r="F2296" t="s">
        <v>24</v>
      </c>
      <c r="G2296">
        <v>14</v>
      </c>
      <c r="H2296" t="s">
        <v>61</v>
      </c>
      <c r="I2296" t="s">
        <v>121</v>
      </c>
      <c r="J2296" t="s">
        <v>122</v>
      </c>
      <c r="K2296">
        <v>0</v>
      </c>
      <c r="L2296" s="84">
        <v>-181</v>
      </c>
      <c r="M2296" s="84">
        <v>0</v>
      </c>
    </row>
    <row r="2297" spans="3:13" hidden="1" x14ac:dyDescent="0.25">
      <c r="C2297" t="s">
        <v>65</v>
      </c>
      <c r="D2297" t="s">
        <v>120</v>
      </c>
      <c r="E2297" t="s">
        <v>60</v>
      </c>
      <c r="F2297" t="s">
        <v>124</v>
      </c>
      <c r="G2297">
        <v>2</v>
      </c>
      <c r="H2297" t="s">
        <v>73</v>
      </c>
      <c r="I2297" t="s">
        <v>121</v>
      </c>
      <c r="J2297" t="s">
        <v>122</v>
      </c>
      <c r="K2297">
        <v>0</v>
      </c>
      <c r="L2297" s="84">
        <v>-44708</v>
      </c>
      <c r="M2297" s="84">
        <v>0</v>
      </c>
    </row>
    <row r="2298" spans="3:13" hidden="1" x14ac:dyDescent="0.25">
      <c r="C2298" t="s">
        <v>119</v>
      </c>
      <c r="D2298" t="s">
        <v>120</v>
      </c>
      <c r="E2298" t="s">
        <v>60</v>
      </c>
      <c r="F2298" t="s">
        <v>24</v>
      </c>
      <c r="G2298">
        <v>12</v>
      </c>
      <c r="H2298" t="s">
        <v>17</v>
      </c>
      <c r="I2298" t="s">
        <v>121</v>
      </c>
      <c r="J2298" t="s">
        <v>122</v>
      </c>
      <c r="K2298">
        <v>0</v>
      </c>
      <c r="L2298" s="84">
        <v>-248</v>
      </c>
      <c r="M2298" s="84">
        <v>0</v>
      </c>
    </row>
    <row r="2299" spans="3:13" hidden="1" x14ac:dyDescent="0.25">
      <c r="C2299" t="s">
        <v>64</v>
      </c>
      <c r="D2299" t="s">
        <v>120</v>
      </c>
      <c r="E2299" t="s">
        <v>60</v>
      </c>
      <c r="F2299" t="s">
        <v>24</v>
      </c>
      <c r="G2299">
        <v>8</v>
      </c>
      <c r="H2299" t="s">
        <v>61</v>
      </c>
      <c r="I2299" t="s">
        <v>121</v>
      </c>
      <c r="J2299" t="s">
        <v>122</v>
      </c>
      <c r="K2299">
        <v>0</v>
      </c>
      <c r="L2299" s="84">
        <v>-13327</v>
      </c>
      <c r="M2299" s="84">
        <v>0</v>
      </c>
    </row>
    <row r="2300" spans="3:13" hidden="1" x14ac:dyDescent="0.25">
      <c r="C2300" t="s">
        <v>119</v>
      </c>
      <c r="D2300" t="s">
        <v>120</v>
      </c>
      <c r="E2300" t="s">
        <v>60</v>
      </c>
      <c r="F2300" t="s">
        <v>123</v>
      </c>
      <c r="G2300">
        <v>-1</v>
      </c>
      <c r="H2300" t="s">
        <v>69</v>
      </c>
      <c r="I2300" t="s">
        <v>121</v>
      </c>
      <c r="J2300" t="s">
        <v>122</v>
      </c>
      <c r="K2300">
        <v>0</v>
      </c>
      <c r="L2300" s="84">
        <v>-4832</v>
      </c>
      <c r="M2300" s="84">
        <v>0</v>
      </c>
    </row>
    <row r="2301" spans="3:13" hidden="1" x14ac:dyDescent="0.25">
      <c r="C2301" t="s">
        <v>119</v>
      </c>
      <c r="D2301" t="s">
        <v>120</v>
      </c>
      <c r="E2301" t="s">
        <v>60</v>
      </c>
      <c r="F2301" t="s">
        <v>124</v>
      </c>
      <c r="G2301">
        <v>1</v>
      </c>
      <c r="H2301" t="s">
        <v>14</v>
      </c>
      <c r="I2301" t="s">
        <v>121</v>
      </c>
      <c r="J2301" t="s">
        <v>122</v>
      </c>
      <c r="K2301">
        <v>0</v>
      </c>
      <c r="L2301" s="84">
        <v>-671480</v>
      </c>
      <c r="M2301" s="84">
        <v>0</v>
      </c>
    </row>
    <row r="2302" spans="3:13" hidden="1" x14ac:dyDescent="0.25">
      <c r="C2302" t="s">
        <v>65</v>
      </c>
      <c r="D2302" t="s">
        <v>120</v>
      </c>
      <c r="E2302" t="s">
        <v>60</v>
      </c>
      <c r="F2302" t="s">
        <v>24</v>
      </c>
      <c r="G2302">
        <v>6</v>
      </c>
      <c r="H2302" t="s">
        <v>69</v>
      </c>
      <c r="I2302" t="s">
        <v>121</v>
      </c>
      <c r="J2302" t="s">
        <v>122</v>
      </c>
      <c r="K2302">
        <v>0</v>
      </c>
      <c r="L2302" s="84">
        <v>-30094</v>
      </c>
      <c r="M2302" s="84">
        <v>0</v>
      </c>
    </row>
    <row r="2303" spans="3:13" hidden="1" x14ac:dyDescent="0.25">
      <c r="C2303" t="s">
        <v>119</v>
      </c>
      <c r="D2303" t="s">
        <v>120</v>
      </c>
      <c r="E2303" t="s">
        <v>60</v>
      </c>
      <c r="F2303" t="s">
        <v>25</v>
      </c>
      <c r="G2303">
        <v>2</v>
      </c>
      <c r="H2303" t="s">
        <v>18</v>
      </c>
      <c r="I2303" t="s">
        <v>121</v>
      </c>
      <c r="J2303" t="s">
        <v>66</v>
      </c>
      <c r="K2303">
        <v>1</v>
      </c>
      <c r="L2303" s="84">
        <v>-39</v>
      </c>
      <c r="M2303" s="84">
        <v>0</v>
      </c>
    </row>
    <row r="2304" spans="3:13" hidden="1" x14ac:dyDescent="0.25">
      <c r="C2304" t="s">
        <v>119</v>
      </c>
      <c r="D2304" t="s">
        <v>120</v>
      </c>
      <c r="E2304" t="s">
        <v>63</v>
      </c>
      <c r="F2304" t="s">
        <v>124</v>
      </c>
      <c r="G2304">
        <v>5</v>
      </c>
      <c r="H2304" t="s">
        <v>14</v>
      </c>
      <c r="I2304" t="s">
        <v>121</v>
      </c>
      <c r="J2304" t="s">
        <v>66</v>
      </c>
      <c r="K2304">
        <v>1</v>
      </c>
      <c r="L2304" s="84">
        <v>12825995</v>
      </c>
      <c r="M2304" s="84">
        <v>64129975</v>
      </c>
    </row>
    <row r="2305" spans="3:13" hidden="1" x14ac:dyDescent="0.25">
      <c r="C2305" t="s">
        <v>119</v>
      </c>
      <c r="D2305" t="s">
        <v>120</v>
      </c>
      <c r="E2305" t="s">
        <v>60</v>
      </c>
      <c r="F2305" t="s">
        <v>25</v>
      </c>
      <c r="G2305">
        <v>3</v>
      </c>
      <c r="H2305" t="s">
        <v>18</v>
      </c>
      <c r="I2305" t="s">
        <v>121</v>
      </c>
      <c r="J2305" t="s">
        <v>122</v>
      </c>
      <c r="K2305">
        <v>0</v>
      </c>
      <c r="L2305" s="84">
        <v>-10383</v>
      </c>
      <c r="M2305" s="84">
        <v>0</v>
      </c>
    </row>
    <row r="2306" spans="3:13" hidden="1" x14ac:dyDescent="0.25">
      <c r="C2306" t="s">
        <v>64</v>
      </c>
      <c r="D2306" t="s">
        <v>120</v>
      </c>
      <c r="E2306" t="s">
        <v>60</v>
      </c>
      <c r="F2306" t="s">
        <v>124</v>
      </c>
      <c r="G2306">
        <v>3</v>
      </c>
      <c r="H2306" t="s">
        <v>70</v>
      </c>
      <c r="I2306" t="s">
        <v>121</v>
      </c>
      <c r="J2306" t="s">
        <v>122</v>
      </c>
      <c r="K2306">
        <v>0</v>
      </c>
      <c r="L2306" s="84">
        <v>-112906</v>
      </c>
      <c r="M2306" s="84">
        <v>0</v>
      </c>
    </row>
    <row r="2307" spans="3:13" hidden="1" x14ac:dyDescent="0.25">
      <c r="C2307" t="s">
        <v>64</v>
      </c>
      <c r="D2307" t="s">
        <v>120</v>
      </c>
      <c r="E2307" t="s">
        <v>60</v>
      </c>
      <c r="F2307" t="s">
        <v>25</v>
      </c>
      <c r="G2307">
        <v>3</v>
      </c>
      <c r="H2307" t="s">
        <v>17</v>
      </c>
      <c r="I2307" t="s">
        <v>121</v>
      </c>
      <c r="J2307" t="s">
        <v>122</v>
      </c>
      <c r="K2307">
        <v>0</v>
      </c>
      <c r="L2307" s="84">
        <v>-6736</v>
      </c>
      <c r="M2307" s="84">
        <v>0</v>
      </c>
    </row>
    <row r="2308" spans="3:13" hidden="1" x14ac:dyDescent="0.25">
      <c r="C2308" t="s">
        <v>65</v>
      </c>
      <c r="D2308" t="s">
        <v>120</v>
      </c>
      <c r="E2308" t="s">
        <v>63</v>
      </c>
      <c r="F2308" t="s">
        <v>123</v>
      </c>
      <c r="G2308">
        <v>2</v>
      </c>
      <c r="H2308" t="s">
        <v>12</v>
      </c>
      <c r="I2308" t="s">
        <v>121</v>
      </c>
      <c r="J2308" t="s">
        <v>122</v>
      </c>
      <c r="K2308">
        <v>0</v>
      </c>
      <c r="L2308" s="84">
        <v>18615</v>
      </c>
      <c r="M2308" s="84">
        <v>37230</v>
      </c>
    </row>
    <row r="2309" spans="3:13" hidden="1" x14ac:dyDescent="0.25">
      <c r="C2309" t="s">
        <v>64</v>
      </c>
      <c r="D2309" t="s">
        <v>120</v>
      </c>
      <c r="E2309" t="s">
        <v>60</v>
      </c>
      <c r="F2309" t="s">
        <v>24</v>
      </c>
      <c r="G2309">
        <v>14</v>
      </c>
      <c r="H2309" t="s">
        <v>68</v>
      </c>
      <c r="I2309" t="s">
        <v>121</v>
      </c>
      <c r="J2309" t="s">
        <v>122</v>
      </c>
      <c r="K2309">
        <v>0</v>
      </c>
      <c r="L2309" s="84">
        <v>-247331</v>
      </c>
      <c r="M2309" s="84">
        <v>0</v>
      </c>
    </row>
    <row r="2310" spans="3:13" hidden="1" x14ac:dyDescent="0.25">
      <c r="C2310" t="s">
        <v>119</v>
      </c>
      <c r="D2310" t="s">
        <v>120</v>
      </c>
      <c r="E2310" t="s">
        <v>60</v>
      </c>
      <c r="F2310" t="s">
        <v>25</v>
      </c>
      <c r="G2310">
        <v>10</v>
      </c>
      <c r="H2310" t="s">
        <v>17</v>
      </c>
      <c r="I2310" t="s">
        <v>121</v>
      </c>
      <c r="J2310" t="s">
        <v>122</v>
      </c>
      <c r="K2310">
        <v>0</v>
      </c>
      <c r="L2310" s="84">
        <v>-3639</v>
      </c>
      <c r="M2310" s="84">
        <v>0</v>
      </c>
    </row>
    <row r="2311" spans="3:13" hidden="1" x14ac:dyDescent="0.25">
      <c r="C2311" t="s">
        <v>65</v>
      </c>
      <c r="D2311" t="s">
        <v>125</v>
      </c>
      <c r="E2311" t="s">
        <v>63</v>
      </c>
      <c r="F2311" t="s">
        <v>24</v>
      </c>
      <c r="G2311">
        <v>9</v>
      </c>
      <c r="I2311" t="s">
        <v>121</v>
      </c>
      <c r="J2311" t="s">
        <v>122</v>
      </c>
      <c r="K2311">
        <v>0</v>
      </c>
      <c r="L2311" s="84">
        <v>2309363</v>
      </c>
      <c r="M2311" s="84">
        <v>20784267</v>
      </c>
    </row>
    <row r="2312" spans="3:13" hidden="1" x14ac:dyDescent="0.25">
      <c r="C2312" t="s">
        <v>64</v>
      </c>
      <c r="D2312" t="s">
        <v>120</v>
      </c>
      <c r="E2312" t="s">
        <v>60</v>
      </c>
      <c r="F2312" t="s">
        <v>25</v>
      </c>
      <c r="G2312">
        <v>10</v>
      </c>
      <c r="H2312" t="s">
        <v>18</v>
      </c>
      <c r="I2312" t="s">
        <v>121</v>
      </c>
      <c r="J2312" t="s">
        <v>122</v>
      </c>
      <c r="K2312">
        <v>0</v>
      </c>
      <c r="L2312" s="84">
        <v>-71152</v>
      </c>
      <c r="M2312" s="84">
        <v>0</v>
      </c>
    </row>
    <row r="2313" spans="3:13" hidden="1" x14ac:dyDescent="0.25">
      <c r="C2313" t="s">
        <v>64</v>
      </c>
      <c r="D2313" t="s">
        <v>120</v>
      </c>
      <c r="E2313" t="s">
        <v>63</v>
      </c>
      <c r="F2313" t="s">
        <v>124</v>
      </c>
      <c r="G2313">
        <v>5</v>
      </c>
      <c r="H2313" t="s">
        <v>61</v>
      </c>
      <c r="I2313" t="s">
        <v>121</v>
      </c>
      <c r="J2313" t="s">
        <v>122</v>
      </c>
      <c r="K2313">
        <v>0</v>
      </c>
      <c r="L2313" s="84">
        <v>291369</v>
      </c>
      <c r="M2313" s="84">
        <v>1456845</v>
      </c>
    </row>
    <row r="2314" spans="3:13" hidden="1" x14ac:dyDescent="0.25">
      <c r="C2314" t="s">
        <v>64</v>
      </c>
      <c r="D2314" t="s">
        <v>120</v>
      </c>
      <c r="E2314" t="s">
        <v>63</v>
      </c>
      <c r="F2314" t="s">
        <v>123</v>
      </c>
      <c r="G2314">
        <v>1</v>
      </c>
      <c r="H2314" t="s">
        <v>69</v>
      </c>
      <c r="I2314" t="s">
        <v>121</v>
      </c>
      <c r="J2314" t="s">
        <v>122</v>
      </c>
      <c r="K2314">
        <v>0</v>
      </c>
      <c r="L2314" s="84">
        <v>77642</v>
      </c>
      <c r="M2314" s="84">
        <v>77642</v>
      </c>
    </row>
    <row r="2315" spans="3:13" hidden="1" x14ac:dyDescent="0.25">
      <c r="C2315" t="s">
        <v>119</v>
      </c>
      <c r="D2315" t="s">
        <v>120</v>
      </c>
      <c r="E2315" t="s">
        <v>60</v>
      </c>
      <c r="F2315" t="s">
        <v>124</v>
      </c>
      <c r="G2315">
        <v>0</v>
      </c>
      <c r="H2315" t="s">
        <v>75</v>
      </c>
      <c r="I2315" t="s">
        <v>121</v>
      </c>
      <c r="J2315" t="s">
        <v>122</v>
      </c>
      <c r="K2315">
        <v>0</v>
      </c>
      <c r="L2315" s="84">
        <v>-180668</v>
      </c>
      <c r="M2315" s="84">
        <v>0</v>
      </c>
    </row>
    <row r="2316" spans="3:13" hidden="1" x14ac:dyDescent="0.25">
      <c r="C2316" t="s">
        <v>65</v>
      </c>
      <c r="D2316" t="s">
        <v>120</v>
      </c>
      <c r="E2316" t="s">
        <v>63</v>
      </c>
      <c r="F2316" t="s">
        <v>123</v>
      </c>
      <c r="G2316">
        <v>0</v>
      </c>
      <c r="H2316" t="s">
        <v>12</v>
      </c>
      <c r="I2316" t="s">
        <v>121</v>
      </c>
      <c r="J2316" t="s">
        <v>66</v>
      </c>
      <c r="K2316">
        <v>1</v>
      </c>
      <c r="L2316" s="84">
        <v>7635</v>
      </c>
      <c r="M2316" s="84">
        <v>0</v>
      </c>
    </row>
    <row r="2317" spans="3:13" hidden="1" x14ac:dyDescent="0.25">
      <c r="C2317" t="s">
        <v>119</v>
      </c>
      <c r="D2317" t="s">
        <v>120</v>
      </c>
      <c r="E2317" t="s">
        <v>60</v>
      </c>
      <c r="F2317" t="s">
        <v>123</v>
      </c>
      <c r="G2317">
        <v>0</v>
      </c>
      <c r="H2317" t="s">
        <v>18</v>
      </c>
      <c r="I2317" t="s">
        <v>121</v>
      </c>
      <c r="J2317" t="s">
        <v>66</v>
      </c>
      <c r="K2317">
        <v>1</v>
      </c>
      <c r="L2317" s="84">
        <v>-115</v>
      </c>
      <c r="M2317" s="84">
        <v>0</v>
      </c>
    </row>
    <row r="2318" spans="3:13" hidden="1" x14ac:dyDescent="0.25">
      <c r="C2318" t="s">
        <v>64</v>
      </c>
      <c r="D2318" t="s">
        <v>120</v>
      </c>
      <c r="E2318" t="s">
        <v>63</v>
      </c>
      <c r="F2318" t="s">
        <v>123</v>
      </c>
      <c r="G2318">
        <v>2</v>
      </c>
      <c r="H2318" t="s">
        <v>14</v>
      </c>
      <c r="I2318" t="s">
        <v>121</v>
      </c>
      <c r="J2318" t="s">
        <v>66</v>
      </c>
      <c r="K2318">
        <v>1</v>
      </c>
      <c r="L2318" s="84">
        <v>764624</v>
      </c>
      <c r="M2318" s="84">
        <v>1529248</v>
      </c>
    </row>
    <row r="2319" spans="3:13" hidden="1" x14ac:dyDescent="0.25">
      <c r="C2319" t="s">
        <v>119</v>
      </c>
      <c r="D2319" t="s">
        <v>120</v>
      </c>
      <c r="E2319" t="s">
        <v>60</v>
      </c>
      <c r="F2319" t="s">
        <v>123</v>
      </c>
      <c r="G2319">
        <v>1</v>
      </c>
      <c r="H2319" t="s">
        <v>12</v>
      </c>
      <c r="I2319" t="s">
        <v>121</v>
      </c>
      <c r="J2319" t="s">
        <v>122</v>
      </c>
      <c r="K2319">
        <v>0</v>
      </c>
      <c r="L2319" s="84">
        <v>-702</v>
      </c>
      <c r="M2319" s="84">
        <v>0</v>
      </c>
    </row>
    <row r="2320" spans="3:13" hidden="1" x14ac:dyDescent="0.25">
      <c r="C2320" t="s">
        <v>64</v>
      </c>
      <c r="D2320" t="s">
        <v>125</v>
      </c>
      <c r="E2320" t="s">
        <v>60</v>
      </c>
      <c r="F2320" t="s">
        <v>24</v>
      </c>
      <c r="G2320">
        <v>29</v>
      </c>
      <c r="I2320" t="s">
        <v>121</v>
      </c>
      <c r="J2320" t="s">
        <v>122</v>
      </c>
      <c r="K2320">
        <v>0</v>
      </c>
      <c r="L2320" s="84">
        <v>-1454715</v>
      </c>
      <c r="M2320" s="84">
        <v>0</v>
      </c>
    </row>
    <row r="2321" spans="3:13" hidden="1" x14ac:dyDescent="0.25">
      <c r="C2321" t="s">
        <v>65</v>
      </c>
      <c r="D2321" t="s">
        <v>120</v>
      </c>
      <c r="E2321" t="s">
        <v>60</v>
      </c>
      <c r="F2321" t="s">
        <v>124</v>
      </c>
      <c r="G2321">
        <v>9</v>
      </c>
      <c r="H2321" t="s">
        <v>18</v>
      </c>
      <c r="I2321" t="s">
        <v>121</v>
      </c>
      <c r="J2321" t="s">
        <v>122</v>
      </c>
      <c r="K2321">
        <v>0</v>
      </c>
      <c r="L2321" s="84">
        <v>-4592852</v>
      </c>
      <c r="M2321" s="84">
        <v>0</v>
      </c>
    </row>
    <row r="2322" spans="3:13" hidden="1" x14ac:dyDescent="0.25">
      <c r="C2322" t="s">
        <v>119</v>
      </c>
      <c r="D2322" t="s">
        <v>120</v>
      </c>
      <c r="E2322" t="s">
        <v>60</v>
      </c>
      <c r="F2322" t="s">
        <v>123</v>
      </c>
      <c r="G2322">
        <v>7</v>
      </c>
      <c r="H2322" t="s">
        <v>14</v>
      </c>
      <c r="I2322" t="s">
        <v>121</v>
      </c>
      <c r="J2322" t="s">
        <v>66</v>
      </c>
      <c r="K2322">
        <v>1</v>
      </c>
      <c r="L2322" s="84">
        <v>-890</v>
      </c>
      <c r="M2322" s="84">
        <v>0</v>
      </c>
    </row>
    <row r="2323" spans="3:13" hidden="1" x14ac:dyDescent="0.25">
      <c r="C2323" t="s">
        <v>65</v>
      </c>
      <c r="D2323" t="s">
        <v>120</v>
      </c>
      <c r="E2323" t="s">
        <v>63</v>
      </c>
      <c r="F2323" t="s">
        <v>24</v>
      </c>
      <c r="G2323">
        <v>10</v>
      </c>
      <c r="H2323" t="s">
        <v>61</v>
      </c>
      <c r="I2323" t="s">
        <v>121</v>
      </c>
      <c r="J2323" t="s">
        <v>122</v>
      </c>
      <c r="K2323">
        <v>0</v>
      </c>
      <c r="L2323" s="84">
        <v>5604</v>
      </c>
      <c r="M2323" s="84">
        <v>56040</v>
      </c>
    </row>
    <row r="2324" spans="3:13" hidden="1" x14ac:dyDescent="0.25">
      <c r="C2324" t="s">
        <v>119</v>
      </c>
      <c r="D2324" t="s">
        <v>125</v>
      </c>
      <c r="E2324" t="s">
        <v>63</v>
      </c>
      <c r="F2324" t="s">
        <v>25</v>
      </c>
      <c r="G2324">
        <v>8</v>
      </c>
      <c r="I2324" t="s">
        <v>121</v>
      </c>
      <c r="J2324" t="s">
        <v>122</v>
      </c>
      <c r="K2324">
        <v>0</v>
      </c>
      <c r="L2324" s="84">
        <v>3238785</v>
      </c>
      <c r="M2324" s="84">
        <v>25910280</v>
      </c>
    </row>
    <row r="2325" spans="3:13" hidden="1" x14ac:dyDescent="0.25">
      <c r="C2325" t="s">
        <v>65</v>
      </c>
      <c r="D2325" t="s">
        <v>120</v>
      </c>
      <c r="E2325" t="s">
        <v>60</v>
      </c>
      <c r="F2325" t="s">
        <v>123</v>
      </c>
      <c r="G2325">
        <v>1</v>
      </c>
      <c r="H2325" t="s">
        <v>12</v>
      </c>
      <c r="I2325" t="s">
        <v>121</v>
      </c>
      <c r="J2325" t="s">
        <v>66</v>
      </c>
      <c r="K2325">
        <v>1</v>
      </c>
      <c r="L2325" s="84">
        <v>-21030</v>
      </c>
      <c r="M2325" s="84">
        <v>0</v>
      </c>
    </row>
    <row r="2326" spans="3:13" hidden="1" x14ac:dyDescent="0.25">
      <c r="C2326" t="s">
        <v>64</v>
      </c>
      <c r="D2326" t="s">
        <v>120</v>
      </c>
      <c r="E2326" t="s">
        <v>60</v>
      </c>
      <c r="F2326" t="s">
        <v>24</v>
      </c>
      <c r="G2326">
        <v>4</v>
      </c>
      <c r="H2326" t="s">
        <v>69</v>
      </c>
      <c r="I2326" t="s">
        <v>121</v>
      </c>
      <c r="J2326" t="s">
        <v>122</v>
      </c>
      <c r="K2326">
        <v>0</v>
      </c>
      <c r="L2326" s="84">
        <v>-99952</v>
      </c>
      <c r="M2326" s="84">
        <v>0</v>
      </c>
    </row>
    <row r="2327" spans="3:13" hidden="1" x14ac:dyDescent="0.25">
      <c r="C2327" t="s">
        <v>119</v>
      </c>
      <c r="D2327" t="s">
        <v>120</v>
      </c>
      <c r="E2327" t="s">
        <v>60</v>
      </c>
      <c r="F2327" t="s">
        <v>25</v>
      </c>
      <c r="G2327">
        <v>9</v>
      </c>
      <c r="H2327" t="s">
        <v>70</v>
      </c>
      <c r="I2327" t="s">
        <v>121</v>
      </c>
      <c r="J2327" t="s">
        <v>122</v>
      </c>
      <c r="K2327">
        <v>0</v>
      </c>
      <c r="L2327" s="84">
        <v>-973</v>
      </c>
      <c r="M2327" s="84">
        <v>0</v>
      </c>
    </row>
    <row r="2328" spans="3:13" hidden="1" x14ac:dyDescent="0.25">
      <c r="C2328" t="s">
        <v>64</v>
      </c>
      <c r="D2328" t="s">
        <v>120</v>
      </c>
      <c r="E2328" t="s">
        <v>60</v>
      </c>
      <c r="F2328" t="s">
        <v>123</v>
      </c>
      <c r="G2328">
        <v>-4</v>
      </c>
      <c r="H2328" t="s">
        <v>14</v>
      </c>
      <c r="I2328" t="s">
        <v>121</v>
      </c>
      <c r="J2328" t="s">
        <v>66</v>
      </c>
      <c r="K2328">
        <v>1</v>
      </c>
      <c r="L2328" s="84">
        <v>-40</v>
      </c>
      <c r="M2328" s="84">
        <v>0</v>
      </c>
    </row>
    <row r="2329" spans="3:13" hidden="1" x14ac:dyDescent="0.25">
      <c r="C2329" t="s">
        <v>65</v>
      </c>
      <c r="D2329" t="s">
        <v>120</v>
      </c>
      <c r="E2329" t="s">
        <v>63</v>
      </c>
      <c r="F2329" t="s">
        <v>124</v>
      </c>
      <c r="G2329">
        <v>3</v>
      </c>
      <c r="H2329" t="s">
        <v>18</v>
      </c>
      <c r="I2329" t="s">
        <v>121</v>
      </c>
      <c r="J2329" t="s">
        <v>66</v>
      </c>
      <c r="K2329">
        <v>1</v>
      </c>
      <c r="L2329" s="84">
        <v>94994</v>
      </c>
      <c r="M2329" s="84">
        <v>284982</v>
      </c>
    </row>
    <row r="2330" spans="3:13" hidden="1" x14ac:dyDescent="0.25">
      <c r="C2330" t="s">
        <v>119</v>
      </c>
      <c r="D2330" t="s">
        <v>120</v>
      </c>
      <c r="E2330" t="s">
        <v>63</v>
      </c>
      <c r="F2330" t="s">
        <v>24</v>
      </c>
      <c r="G2330">
        <v>4</v>
      </c>
      <c r="H2330" t="s">
        <v>75</v>
      </c>
      <c r="I2330" t="s">
        <v>121</v>
      </c>
      <c r="J2330" t="s">
        <v>122</v>
      </c>
      <c r="K2330">
        <v>0</v>
      </c>
      <c r="L2330" s="84">
        <v>165950</v>
      </c>
      <c r="M2330" s="84">
        <v>663800</v>
      </c>
    </row>
    <row r="2331" spans="3:13" hidden="1" x14ac:dyDescent="0.25">
      <c r="C2331" t="s">
        <v>64</v>
      </c>
      <c r="D2331" t="s">
        <v>120</v>
      </c>
      <c r="E2331" t="s">
        <v>63</v>
      </c>
      <c r="F2331" t="s">
        <v>24</v>
      </c>
      <c r="G2331">
        <v>1</v>
      </c>
      <c r="H2331" t="s">
        <v>14</v>
      </c>
      <c r="I2331" t="s">
        <v>121</v>
      </c>
      <c r="J2331" t="s">
        <v>66</v>
      </c>
      <c r="K2331">
        <v>1</v>
      </c>
      <c r="L2331" s="84">
        <v>9161</v>
      </c>
      <c r="M2331" s="84">
        <v>9161</v>
      </c>
    </row>
    <row r="2332" spans="3:13" hidden="1" x14ac:dyDescent="0.25">
      <c r="C2332" t="s">
        <v>119</v>
      </c>
      <c r="D2332" t="s">
        <v>120</v>
      </c>
      <c r="E2332" t="s">
        <v>63</v>
      </c>
      <c r="F2332" t="s">
        <v>25</v>
      </c>
      <c r="G2332">
        <v>-1</v>
      </c>
      <c r="H2332" t="s">
        <v>17</v>
      </c>
      <c r="I2332" t="s">
        <v>121</v>
      </c>
      <c r="J2332" t="s">
        <v>122</v>
      </c>
      <c r="K2332">
        <v>0</v>
      </c>
      <c r="L2332" s="84">
        <v>9183528</v>
      </c>
      <c r="M2332" s="84">
        <v>0</v>
      </c>
    </row>
    <row r="2333" spans="3:13" hidden="1" x14ac:dyDescent="0.25">
      <c r="C2333" t="s">
        <v>65</v>
      </c>
      <c r="D2333" t="s">
        <v>120</v>
      </c>
      <c r="E2333" t="s">
        <v>60</v>
      </c>
      <c r="F2333" t="s">
        <v>123</v>
      </c>
      <c r="G2333">
        <v>4</v>
      </c>
      <c r="H2333" t="s">
        <v>14</v>
      </c>
      <c r="I2333" t="s">
        <v>121</v>
      </c>
      <c r="J2333" t="s">
        <v>66</v>
      </c>
      <c r="K2333">
        <v>1</v>
      </c>
      <c r="L2333" s="84">
        <v>-13102</v>
      </c>
      <c r="M2333" s="84">
        <v>0</v>
      </c>
    </row>
    <row r="2334" spans="3:13" x14ac:dyDescent="0.25">
      <c r="C2334" t="s">
        <v>119</v>
      </c>
      <c r="D2334" t="s">
        <v>120</v>
      </c>
      <c r="E2334" t="s">
        <v>63</v>
      </c>
      <c r="F2334" t="s">
        <v>25</v>
      </c>
      <c r="G2334">
        <v>8</v>
      </c>
      <c r="H2334" t="s">
        <v>14</v>
      </c>
      <c r="I2334" t="s">
        <v>121</v>
      </c>
      <c r="J2334" t="s">
        <v>66</v>
      </c>
      <c r="K2334">
        <v>1</v>
      </c>
      <c r="L2334" s="84">
        <v>1618937</v>
      </c>
      <c r="M2334" s="84">
        <v>12951496</v>
      </c>
    </row>
    <row r="2335" spans="3:13" hidden="1" x14ac:dyDescent="0.25">
      <c r="C2335" t="s">
        <v>119</v>
      </c>
      <c r="D2335" t="s">
        <v>120</v>
      </c>
      <c r="E2335" t="s">
        <v>63</v>
      </c>
      <c r="F2335" t="s">
        <v>24</v>
      </c>
      <c r="G2335">
        <v>10</v>
      </c>
      <c r="H2335" t="s">
        <v>14</v>
      </c>
      <c r="I2335" t="s">
        <v>121</v>
      </c>
      <c r="J2335" t="s">
        <v>66</v>
      </c>
      <c r="K2335">
        <v>1</v>
      </c>
      <c r="L2335" s="84">
        <v>43716</v>
      </c>
      <c r="M2335" s="84">
        <v>437160</v>
      </c>
    </row>
    <row r="2336" spans="3:13" hidden="1" x14ac:dyDescent="0.25">
      <c r="C2336" t="s">
        <v>64</v>
      </c>
      <c r="D2336" t="s">
        <v>120</v>
      </c>
      <c r="E2336" t="s">
        <v>60</v>
      </c>
      <c r="F2336" t="s">
        <v>123</v>
      </c>
      <c r="G2336">
        <v>-4</v>
      </c>
      <c r="H2336" t="s">
        <v>74</v>
      </c>
      <c r="I2336" t="s">
        <v>121</v>
      </c>
      <c r="J2336" t="s">
        <v>122</v>
      </c>
      <c r="K2336">
        <v>0</v>
      </c>
      <c r="L2336" s="84">
        <v>-42</v>
      </c>
      <c r="M2336" s="84">
        <v>0</v>
      </c>
    </row>
    <row r="2337" spans="3:13" hidden="1" x14ac:dyDescent="0.25">
      <c r="C2337" t="s">
        <v>119</v>
      </c>
      <c r="D2337" t="s">
        <v>120</v>
      </c>
      <c r="E2337" t="s">
        <v>63</v>
      </c>
      <c r="F2337" t="s">
        <v>124</v>
      </c>
      <c r="G2337">
        <v>7</v>
      </c>
      <c r="H2337" t="s">
        <v>12</v>
      </c>
      <c r="I2337" t="s">
        <v>121</v>
      </c>
      <c r="J2337" t="s">
        <v>122</v>
      </c>
      <c r="K2337">
        <v>0</v>
      </c>
      <c r="L2337" s="84">
        <v>1106852</v>
      </c>
      <c r="M2337" s="84">
        <v>7747964</v>
      </c>
    </row>
    <row r="2338" spans="3:13" hidden="1" x14ac:dyDescent="0.25">
      <c r="C2338" t="s">
        <v>64</v>
      </c>
      <c r="D2338" t="s">
        <v>120</v>
      </c>
      <c r="E2338" t="s">
        <v>60</v>
      </c>
      <c r="F2338" t="s">
        <v>124</v>
      </c>
      <c r="G2338">
        <v>2</v>
      </c>
      <c r="H2338" t="s">
        <v>17</v>
      </c>
      <c r="I2338" t="s">
        <v>62</v>
      </c>
      <c r="J2338" t="s">
        <v>66</v>
      </c>
      <c r="K2338">
        <v>1</v>
      </c>
      <c r="L2338" s="84">
        <v>-26418</v>
      </c>
      <c r="M2338" s="84">
        <v>0</v>
      </c>
    </row>
    <row r="2339" spans="3:13" hidden="1" x14ac:dyDescent="0.25">
      <c r="C2339" t="s">
        <v>64</v>
      </c>
      <c r="D2339" t="s">
        <v>126</v>
      </c>
      <c r="E2339" t="s">
        <v>60</v>
      </c>
      <c r="F2339" t="s">
        <v>25</v>
      </c>
      <c r="G2339">
        <v>5</v>
      </c>
      <c r="H2339" t="s">
        <v>74</v>
      </c>
      <c r="I2339" t="s">
        <v>121</v>
      </c>
      <c r="J2339" t="s">
        <v>122</v>
      </c>
      <c r="K2339">
        <v>0</v>
      </c>
      <c r="L2339" s="84">
        <v>-11464</v>
      </c>
      <c r="M2339" s="84">
        <v>0</v>
      </c>
    </row>
    <row r="2340" spans="3:13" hidden="1" x14ac:dyDescent="0.25">
      <c r="C2340" t="s">
        <v>119</v>
      </c>
      <c r="D2340" t="s">
        <v>120</v>
      </c>
      <c r="E2340" t="s">
        <v>63</v>
      </c>
      <c r="F2340" t="s">
        <v>25</v>
      </c>
      <c r="G2340">
        <v>20</v>
      </c>
      <c r="H2340" t="s">
        <v>18</v>
      </c>
      <c r="I2340" t="s">
        <v>121</v>
      </c>
      <c r="J2340" t="s">
        <v>122</v>
      </c>
      <c r="K2340">
        <v>0</v>
      </c>
      <c r="L2340" s="84">
        <v>423567</v>
      </c>
      <c r="M2340" s="84">
        <v>8471340</v>
      </c>
    </row>
    <row r="2341" spans="3:13" hidden="1" x14ac:dyDescent="0.25">
      <c r="C2341" t="s">
        <v>119</v>
      </c>
      <c r="D2341" t="s">
        <v>120</v>
      </c>
      <c r="E2341" t="s">
        <v>60</v>
      </c>
      <c r="F2341" t="s">
        <v>25</v>
      </c>
      <c r="G2341">
        <v>6</v>
      </c>
      <c r="H2341" t="s">
        <v>12</v>
      </c>
      <c r="I2341" t="s">
        <v>121</v>
      </c>
      <c r="J2341" t="s">
        <v>122</v>
      </c>
      <c r="K2341">
        <v>0</v>
      </c>
      <c r="L2341" s="84">
        <v>-217</v>
      </c>
      <c r="M2341" s="84">
        <v>0</v>
      </c>
    </row>
    <row r="2342" spans="3:13" hidden="1" x14ac:dyDescent="0.25">
      <c r="C2342" t="s">
        <v>119</v>
      </c>
      <c r="D2342" t="s">
        <v>125</v>
      </c>
      <c r="E2342" t="s">
        <v>60</v>
      </c>
      <c r="F2342" t="s">
        <v>24</v>
      </c>
      <c r="G2342">
        <v>3</v>
      </c>
      <c r="I2342" t="s">
        <v>121</v>
      </c>
      <c r="J2342" t="s">
        <v>122</v>
      </c>
      <c r="K2342">
        <v>0</v>
      </c>
      <c r="L2342" s="84">
        <v>-14505</v>
      </c>
      <c r="M2342" s="84">
        <v>0</v>
      </c>
    </row>
    <row r="2343" spans="3:13" hidden="1" x14ac:dyDescent="0.25">
      <c r="C2343" t="s">
        <v>119</v>
      </c>
      <c r="D2343" t="s">
        <v>120</v>
      </c>
      <c r="E2343" t="s">
        <v>63</v>
      </c>
      <c r="F2343" t="s">
        <v>123</v>
      </c>
      <c r="G2343">
        <v>5</v>
      </c>
      <c r="H2343" t="s">
        <v>72</v>
      </c>
      <c r="I2343" t="s">
        <v>121</v>
      </c>
      <c r="J2343" t="s">
        <v>122</v>
      </c>
      <c r="K2343">
        <v>0</v>
      </c>
      <c r="L2343" s="84">
        <v>3413567</v>
      </c>
      <c r="M2343" s="84">
        <v>17067835</v>
      </c>
    </row>
    <row r="2344" spans="3:13" x14ac:dyDescent="0.25">
      <c r="C2344" t="s">
        <v>119</v>
      </c>
      <c r="D2344" t="s">
        <v>120</v>
      </c>
      <c r="E2344" t="s">
        <v>63</v>
      </c>
      <c r="F2344" t="s">
        <v>25</v>
      </c>
      <c r="G2344">
        <v>1</v>
      </c>
      <c r="H2344" t="s">
        <v>18</v>
      </c>
      <c r="I2344" t="s">
        <v>121</v>
      </c>
      <c r="J2344" t="s">
        <v>66</v>
      </c>
      <c r="K2344">
        <v>1</v>
      </c>
      <c r="L2344" s="84">
        <v>14456</v>
      </c>
      <c r="M2344" s="84">
        <v>14456</v>
      </c>
    </row>
    <row r="2345" spans="3:13" hidden="1" x14ac:dyDescent="0.25">
      <c r="C2345" t="s">
        <v>64</v>
      </c>
      <c r="D2345" t="s">
        <v>120</v>
      </c>
      <c r="E2345" t="s">
        <v>60</v>
      </c>
      <c r="F2345" t="s">
        <v>124</v>
      </c>
      <c r="G2345">
        <v>9</v>
      </c>
      <c r="H2345" t="s">
        <v>18</v>
      </c>
      <c r="I2345" t="s">
        <v>121</v>
      </c>
      <c r="J2345" t="s">
        <v>122</v>
      </c>
      <c r="K2345">
        <v>0</v>
      </c>
      <c r="L2345" s="84">
        <v>-147083</v>
      </c>
      <c r="M2345" s="84">
        <v>0</v>
      </c>
    </row>
    <row r="2346" spans="3:13" hidden="1" x14ac:dyDescent="0.25">
      <c r="C2346" t="s">
        <v>119</v>
      </c>
      <c r="D2346" t="s">
        <v>120</v>
      </c>
      <c r="E2346" t="s">
        <v>60</v>
      </c>
      <c r="F2346" t="s">
        <v>123</v>
      </c>
      <c r="G2346">
        <v>5</v>
      </c>
      <c r="H2346" t="s">
        <v>73</v>
      </c>
      <c r="I2346" t="s">
        <v>121</v>
      </c>
      <c r="J2346" t="s">
        <v>122</v>
      </c>
      <c r="K2346">
        <v>0</v>
      </c>
      <c r="L2346" s="84">
        <v>-1834</v>
      </c>
      <c r="M2346" s="84">
        <v>0</v>
      </c>
    </row>
    <row r="2347" spans="3:13" hidden="1" x14ac:dyDescent="0.25">
      <c r="C2347" t="s">
        <v>119</v>
      </c>
      <c r="D2347" t="s">
        <v>120</v>
      </c>
      <c r="E2347" t="s">
        <v>63</v>
      </c>
      <c r="F2347" t="s">
        <v>25</v>
      </c>
      <c r="G2347">
        <v>15</v>
      </c>
      <c r="H2347" t="s">
        <v>69</v>
      </c>
      <c r="I2347" t="s">
        <v>121</v>
      </c>
      <c r="J2347" t="s">
        <v>122</v>
      </c>
      <c r="K2347">
        <v>0</v>
      </c>
      <c r="L2347" s="84">
        <v>8975576</v>
      </c>
      <c r="M2347" s="84">
        <v>134633640</v>
      </c>
    </row>
    <row r="2348" spans="3:13" hidden="1" x14ac:dyDescent="0.25">
      <c r="C2348" t="s">
        <v>119</v>
      </c>
      <c r="D2348" t="s">
        <v>120</v>
      </c>
      <c r="E2348" t="s">
        <v>60</v>
      </c>
      <c r="F2348" t="s">
        <v>124</v>
      </c>
      <c r="G2348">
        <v>3</v>
      </c>
      <c r="H2348" t="s">
        <v>75</v>
      </c>
      <c r="I2348" t="s">
        <v>121</v>
      </c>
      <c r="J2348" t="s">
        <v>122</v>
      </c>
      <c r="K2348">
        <v>0</v>
      </c>
      <c r="L2348" s="84">
        <v>-85762</v>
      </c>
      <c r="M2348" s="84">
        <v>0</v>
      </c>
    </row>
    <row r="2349" spans="3:13" hidden="1" x14ac:dyDescent="0.25">
      <c r="C2349" t="s">
        <v>64</v>
      </c>
      <c r="D2349" t="s">
        <v>120</v>
      </c>
      <c r="E2349" t="s">
        <v>60</v>
      </c>
      <c r="F2349" t="s">
        <v>124</v>
      </c>
      <c r="G2349">
        <v>4</v>
      </c>
      <c r="H2349" t="s">
        <v>13</v>
      </c>
      <c r="I2349" t="s">
        <v>121</v>
      </c>
      <c r="J2349" t="s">
        <v>122</v>
      </c>
      <c r="K2349">
        <v>0</v>
      </c>
      <c r="L2349" s="84">
        <v>-8406</v>
      </c>
      <c r="M2349" s="84">
        <v>0</v>
      </c>
    </row>
    <row r="2350" spans="3:13" hidden="1" x14ac:dyDescent="0.25">
      <c r="C2350" t="s">
        <v>65</v>
      </c>
      <c r="D2350" t="s">
        <v>120</v>
      </c>
      <c r="E2350" t="s">
        <v>63</v>
      </c>
      <c r="F2350" t="s">
        <v>124</v>
      </c>
      <c r="G2350">
        <v>-4</v>
      </c>
      <c r="H2350" t="s">
        <v>12</v>
      </c>
      <c r="I2350" t="s">
        <v>121</v>
      </c>
      <c r="J2350" t="s">
        <v>66</v>
      </c>
      <c r="K2350">
        <v>1</v>
      </c>
      <c r="L2350" s="84">
        <v>322484</v>
      </c>
      <c r="M2350" s="84">
        <v>0</v>
      </c>
    </row>
    <row r="2351" spans="3:13" hidden="1" x14ac:dyDescent="0.25">
      <c r="C2351" t="s">
        <v>64</v>
      </c>
      <c r="D2351" t="s">
        <v>125</v>
      </c>
      <c r="E2351" t="s">
        <v>63</v>
      </c>
      <c r="F2351" t="s">
        <v>24</v>
      </c>
      <c r="G2351">
        <v>34</v>
      </c>
      <c r="I2351" t="s">
        <v>121</v>
      </c>
      <c r="J2351" t="s">
        <v>122</v>
      </c>
      <c r="K2351">
        <v>0</v>
      </c>
      <c r="L2351" s="84">
        <v>78116735</v>
      </c>
      <c r="M2351" s="84">
        <v>2655968990</v>
      </c>
    </row>
    <row r="2352" spans="3:13" hidden="1" x14ac:dyDescent="0.25">
      <c r="C2352" t="s">
        <v>119</v>
      </c>
      <c r="D2352" t="s">
        <v>120</v>
      </c>
      <c r="E2352" t="s">
        <v>63</v>
      </c>
      <c r="F2352" t="s">
        <v>123</v>
      </c>
      <c r="G2352">
        <v>3</v>
      </c>
      <c r="H2352" t="s">
        <v>70</v>
      </c>
      <c r="I2352" t="s">
        <v>121</v>
      </c>
      <c r="J2352" t="s">
        <v>122</v>
      </c>
      <c r="K2352">
        <v>0</v>
      </c>
      <c r="L2352" s="84">
        <v>1840815</v>
      </c>
      <c r="M2352" s="84">
        <v>5522445</v>
      </c>
    </row>
    <row r="2353" spans="3:13" hidden="1" x14ac:dyDescent="0.25">
      <c r="C2353" t="s">
        <v>119</v>
      </c>
      <c r="D2353" t="s">
        <v>120</v>
      </c>
      <c r="E2353" t="s">
        <v>60</v>
      </c>
      <c r="F2353" t="s">
        <v>25</v>
      </c>
      <c r="G2353">
        <v>8</v>
      </c>
      <c r="H2353" t="s">
        <v>75</v>
      </c>
      <c r="I2353" t="s">
        <v>121</v>
      </c>
      <c r="J2353" t="s">
        <v>122</v>
      </c>
      <c r="K2353">
        <v>0</v>
      </c>
      <c r="L2353" s="84">
        <v>-278</v>
      </c>
      <c r="M2353" s="84">
        <v>0</v>
      </c>
    </row>
    <row r="2354" spans="3:13" hidden="1" x14ac:dyDescent="0.25">
      <c r="C2354" t="s">
        <v>119</v>
      </c>
      <c r="D2354" t="s">
        <v>125</v>
      </c>
      <c r="E2354" t="s">
        <v>60</v>
      </c>
      <c r="F2354" t="s">
        <v>24</v>
      </c>
      <c r="G2354">
        <v>14</v>
      </c>
      <c r="I2354" t="s">
        <v>121</v>
      </c>
      <c r="J2354" t="s">
        <v>122</v>
      </c>
      <c r="K2354">
        <v>0</v>
      </c>
      <c r="L2354" s="84">
        <v>-101300</v>
      </c>
      <c r="M2354" s="84">
        <v>0</v>
      </c>
    </row>
    <row r="2355" spans="3:13" hidden="1" x14ac:dyDescent="0.25">
      <c r="C2355" t="s">
        <v>64</v>
      </c>
      <c r="D2355" t="s">
        <v>120</v>
      </c>
      <c r="E2355" t="s">
        <v>63</v>
      </c>
      <c r="F2355" t="s">
        <v>25</v>
      </c>
      <c r="G2355">
        <v>2</v>
      </c>
      <c r="H2355" t="s">
        <v>14</v>
      </c>
      <c r="I2355" t="s">
        <v>121</v>
      </c>
      <c r="J2355" t="s">
        <v>122</v>
      </c>
      <c r="K2355">
        <v>0</v>
      </c>
      <c r="L2355" s="84">
        <v>2338498</v>
      </c>
      <c r="M2355" s="84">
        <v>4676996</v>
      </c>
    </row>
    <row r="2356" spans="3:13" hidden="1" x14ac:dyDescent="0.25">
      <c r="C2356" t="s">
        <v>64</v>
      </c>
      <c r="D2356" t="s">
        <v>120</v>
      </c>
      <c r="E2356" t="s">
        <v>63</v>
      </c>
      <c r="F2356" t="s">
        <v>25</v>
      </c>
      <c r="G2356">
        <v>11</v>
      </c>
      <c r="H2356" t="s">
        <v>71</v>
      </c>
      <c r="I2356" t="s">
        <v>121</v>
      </c>
      <c r="J2356" t="s">
        <v>122</v>
      </c>
      <c r="K2356">
        <v>0</v>
      </c>
      <c r="L2356" s="84">
        <v>155920</v>
      </c>
      <c r="M2356" s="84">
        <v>1715120</v>
      </c>
    </row>
    <row r="2357" spans="3:13" hidden="1" x14ac:dyDescent="0.25">
      <c r="C2357" t="s">
        <v>65</v>
      </c>
      <c r="D2357" t="s">
        <v>125</v>
      </c>
      <c r="E2357" t="s">
        <v>60</v>
      </c>
      <c r="F2357" t="s">
        <v>24</v>
      </c>
      <c r="G2357">
        <v>2</v>
      </c>
      <c r="I2357" t="s">
        <v>121</v>
      </c>
      <c r="J2357" t="s">
        <v>122</v>
      </c>
      <c r="K2357">
        <v>0</v>
      </c>
      <c r="L2357" s="84">
        <v>-54402</v>
      </c>
      <c r="M2357" s="84">
        <v>0</v>
      </c>
    </row>
    <row r="2358" spans="3:13" hidden="1" x14ac:dyDescent="0.25">
      <c r="C2358" t="s">
        <v>64</v>
      </c>
      <c r="D2358" t="s">
        <v>120</v>
      </c>
      <c r="E2358" t="s">
        <v>60</v>
      </c>
      <c r="F2358" t="s">
        <v>124</v>
      </c>
      <c r="G2358">
        <v>-1</v>
      </c>
      <c r="H2358" t="s">
        <v>74</v>
      </c>
      <c r="I2358" t="s">
        <v>121</v>
      </c>
      <c r="J2358" t="s">
        <v>122</v>
      </c>
      <c r="K2358">
        <v>0</v>
      </c>
      <c r="L2358" s="84">
        <v>-2080</v>
      </c>
      <c r="M2358" s="84">
        <v>0</v>
      </c>
    </row>
    <row r="2359" spans="3:13" hidden="1" x14ac:dyDescent="0.25">
      <c r="C2359" t="s">
        <v>64</v>
      </c>
      <c r="D2359" t="s">
        <v>120</v>
      </c>
      <c r="E2359" t="s">
        <v>60</v>
      </c>
      <c r="F2359" t="s">
        <v>123</v>
      </c>
      <c r="G2359">
        <v>5</v>
      </c>
      <c r="H2359" t="s">
        <v>73</v>
      </c>
      <c r="I2359" t="s">
        <v>121</v>
      </c>
      <c r="J2359" t="s">
        <v>122</v>
      </c>
      <c r="K2359">
        <v>0</v>
      </c>
      <c r="L2359" s="84">
        <v>-1888</v>
      </c>
      <c r="M2359" s="84">
        <v>0</v>
      </c>
    </row>
    <row r="2360" spans="3:13" hidden="1" x14ac:dyDescent="0.25">
      <c r="C2360" t="s">
        <v>64</v>
      </c>
      <c r="D2360" t="s">
        <v>120</v>
      </c>
      <c r="E2360" t="s">
        <v>60</v>
      </c>
      <c r="F2360" t="s">
        <v>123</v>
      </c>
      <c r="G2360">
        <v>4</v>
      </c>
      <c r="H2360" t="s">
        <v>14</v>
      </c>
      <c r="I2360" t="s">
        <v>121</v>
      </c>
      <c r="J2360" t="s">
        <v>122</v>
      </c>
      <c r="K2360">
        <v>0</v>
      </c>
      <c r="L2360" s="84">
        <v>-74026</v>
      </c>
      <c r="M2360" s="84">
        <v>0</v>
      </c>
    </row>
    <row r="2361" spans="3:13" hidden="1" x14ac:dyDescent="0.25">
      <c r="C2361" t="s">
        <v>65</v>
      </c>
      <c r="D2361" t="s">
        <v>120</v>
      </c>
      <c r="E2361" t="s">
        <v>63</v>
      </c>
      <c r="F2361" t="s">
        <v>124</v>
      </c>
      <c r="G2361">
        <v>-1</v>
      </c>
      <c r="H2361" t="s">
        <v>17</v>
      </c>
      <c r="I2361" t="s">
        <v>62</v>
      </c>
      <c r="J2361" t="s">
        <v>66</v>
      </c>
      <c r="K2361">
        <v>1</v>
      </c>
      <c r="L2361" s="84">
        <v>151847</v>
      </c>
      <c r="M2361" s="84">
        <v>0</v>
      </c>
    </row>
    <row r="2362" spans="3:13" hidden="1" x14ac:dyDescent="0.25">
      <c r="C2362" t="s">
        <v>119</v>
      </c>
      <c r="D2362" t="s">
        <v>120</v>
      </c>
      <c r="E2362" t="s">
        <v>63</v>
      </c>
      <c r="F2362" t="s">
        <v>124</v>
      </c>
      <c r="G2362">
        <v>11</v>
      </c>
      <c r="H2362" t="s">
        <v>75</v>
      </c>
      <c r="I2362" t="s">
        <v>121</v>
      </c>
      <c r="J2362" t="s">
        <v>122</v>
      </c>
      <c r="K2362">
        <v>0</v>
      </c>
      <c r="L2362" s="84">
        <v>9910261</v>
      </c>
      <c r="M2362" s="84">
        <v>109012871</v>
      </c>
    </row>
    <row r="2363" spans="3:13" hidden="1" x14ac:dyDescent="0.25">
      <c r="C2363" t="s">
        <v>64</v>
      </c>
      <c r="D2363" t="s">
        <v>120</v>
      </c>
      <c r="E2363" t="s">
        <v>63</v>
      </c>
      <c r="F2363" t="s">
        <v>24</v>
      </c>
      <c r="G2363">
        <v>2</v>
      </c>
      <c r="H2363" t="s">
        <v>68</v>
      </c>
      <c r="I2363" t="s">
        <v>121</v>
      </c>
      <c r="J2363" t="s">
        <v>122</v>
      </c>
      <c r="K2363">
        <v>0</v>
      </c>
      <c r="L2363" s="84">
        <v>6640524</v>
      </c>
      <c r="M2363" s="84">
        <v>13281048</v>
      </c>
    </row>
    <row r="2364" spans="3:13" hidden="1" x14ac:dyDescent="0.25">
      <c r="C2364" t="s">
        <v>119</v>
      </c>
      <c r="D2364" t="s">
        <v>120</v>
      </c>
      <c r="E2364" t="s">
        <v>63</v>
      </c>
      <c r="F2364" t="s">
        <v>124</v>
      </c>
      <c r="G2364">
        <v>2</v>
      </c>
      <c r="H2364" t="s">
        <v>77</v>
      </c>
      <c r="I2364" t="s">
        <v>121</v>
      </c>
      <c r="J2364" t="s">
        <v>122</v>
      </c>
      <c r="K2364">
        <v>0</v>
      </c>
      <c r="L2364" s="84">
        <v>61109</v>
      </c>
      <c r="M2364" s="84">
        <v>122218</v>
      </c>
    </row>
    <row r="2365" spans="3:13" hidden="1" x14ac:dyDescent="0.25">
      <c r="C2365" t="s">
        <v>65</v>
      </c>
      <c r="D2365" t="s">
        <v>125</v>
      </c>
      <c r="E2365" t="s">
        <v>63</v>
      </c>
      <c r="F2365" t="s">
        <v>25</v>
      </c>
      <c r="G2365">
        <v>19</v>
      </c>
      <c r="I2365" t="s">
        <v>121</v>
      </c>
      <c r="J2365" t="s">
        <v>122</v>
      </c>
      <c r="K2365">
        <v>0</v>
      </c>
      <c r="L2365" s="84">
        <v>279605</v>
      </c>
      <c r="M2365" s="84">
        <v>5312495</v>
      </c>
    </row>
    <row r="2366" spans="3:13" hidden="1" x14ac:dyDescent="0.25">
      <c r="C2366" t="s">
        <v>64</v>
      </c>
      <c r="D2366" t="s">
        <v>120</v>
      </c>
      <c r="E2366" t="s">
        <v>63</v>
      </c>
      <c r="F2366" t="s">
        <v>24</v>
      </c>
      <c r="G2366">
        <v>1</v>
      </c>
      <c r="H2366" t="s">
        <v>14</v>
      </c>
      <c r="I2366" t="s">
        <v>121</v>
      </c>
      <c r="J2366" t="s">
        <v>122</v>
      </c>
      <c r="K2366">
        <v>0</v>
      </c>
      <c r="L2366" s="84">
        <v>23529</v>
      </c>
      <c r="M2366" s="84">
        <v>23529</v>
      </c>
    </row>
    <row r="2367" spans="3:13" hidden="1" x14ac:dyDescent="0.25">
      <c r="C2367" t="s">
        <v>119</v>
      </c>
      <c r="D2367" t="s">
        <v>120</v>
      </c>
      <c r="E2367" t="s">
        <v>63</v>
      </c>
      <c r="F2367" t="s">
        <v>124</v>
      </c>
      <c r="G2367">
        <v>5</v>
      </c>
      <c r="H2367" t="s">
        <v>69</v>
      </c>
      <c r="I2367" t="s">
        <v>121</v>
      </c>
      <c r="J2367" t="s">
        <v>122</v>
      </c>
      <c r="K2367">
        <v>0</v>
      </c>
      <c r="L2367" s="84">
        <v>15310182</v>
      </c>
      <c r="M2367" s="84">
        <v>76550910</v>
      </c>
    </row>
    <row r="2368" spans="3:13" hidden="1" x14ac:dyDescent="0.25">
      <c r="C2368" t="s">
        <v>119</v>
      </c>
      <c r="D2368" t="s">
        <v>120</v>
      </c>
      <c r="E2368" t="s">
        <v>63</v>
      </c>
      <c r="F2368" t="s">
        <v>124</v>
      </c>
      <c r="G2368">
        <v>8</v>
      </c>
      <c r="H2368" t="s">
        <v>72</v>
      </c>
      <c r="I2368" t="s">
        <v>121</v>
      </c>
      <c r="J2368" t="s">
        <v>122</v>
      </c>
      <c r="K2368">
        <v>0</v>
      </c>
      <c r="L2368" s="84">
        <v>283437</v>
      </c>
      <c r="M2368" s="84">
        <v>2267496</v>
      </c>
    </row>
    <row r="2369" spans="3:13" hidden="1" x14ac:dyDescent="0.25">
      <c r="C2369" t="s">
        <v>64</v>
      </c>
      <c r="D2369" t="s">
        <v>120</v>
      </c>
      <c r="E2369" t="s">
        <v>60</v>
      </c>
      <c r="F2369" t="s">
        <v>123</v>
      </c>
      <c r="G2369">
        <v>3</v>
      </c>
      <c r="H2369" t="s">
        <v>14</v>
      </c>
      <c r="I2369" t="s">
        <v>121</v>
      </c>
      <c r="J2369" t="s">
        <v>122</v>
      </c>
      <c r="K2369">
        <v>0</v>
      </c>
      <c r="L2369" s="84">
        <v>-80649</v>
      </c>
      <c r="M2369" s="84">
        <v>0</v>
      </c>
    </row>
    <row r="2370" spans="3:13" hidden="1" x14ac:dyDescent="0.25">
      <c r="C2370" t="s">
        <v>119</v>
      </c>
      <c r="D2370" t="s">
        <v>120</v>
      </c>
      <c r="E2370" t="s">
        <v>60</v>
      </c>
      <c r="F2370" t="s">
        <v>24</v>
      </c>
      <c r="G2370">
        <v>16</v>
      </c>
      <c r="H2370" t="s">
        <v>68</v>
      </c>
      <c r="I2370" t="s">
        <v>121</v>
      </c>
      <c r="J2370" t="s">
        <v>122</v>
      </c>
      <c r="K2370">
        <v>0</v>
      </c>
      <c r="L2370" s="84">
        <v>-2861</v>
      </c>
      <c r="M2370" s="84">
        <v>0</v>
      </c>
    </row>
    <row r="2371" spans="3:13" hidden="1" x14ac:dyDescent="0.25">
      <c r="C2371" t="s">
        <v>64</v>
      </c>
      <c r="D2371" t="s">
        <v>125</v>
      </c>
      <c r="E2371" t="s">
        <v>60</v>
      </c>
      <c r="F2371" t="s">
        <v>24</v>
      </c>
      <c r="G2371">
        <v>11</v>
      </c>
      <c r="I2371" t="s">
        <v>121</v>
      </c>
      <c r="J2371" t="s">
        <v>122</v>
      </c>
      <c r="K2371">
        <v>0</v>
      </c>
      <c r="L2371" s="84">
        <v>-297827</v>
      </c>
      <c r="M2371" s="84">
        <v>0</v>
      </c>
    </row>
    <row r="2372" spans="3:13" hidden="1" x14ac:dyDescent="0.25">
      <c r="C2372" t="s">
        <v>119</v>
      </c>
      <c r="D2372" t="s">
        <v>120</v>
      </c>
      <c r="E2372" t="s">
        <v>60</v>
      </c>
      <c r="F2372" t="s">
        <v>123</v>
      </c>
      <c r="G2372">
        <v>5</v>
      </c>
      <c r="H2372" t="s">
        <v>67</v>
      </c>
      <c r="I2372" t="s">
        <v>121</v>
      </c>
      <c r="J2372" t="s">
        <v>122</v>
      </c>
      <c r="K2372">
        <v>0</v>
      </c>
      <c r="L2372" s="84">
        <v>-11650</v>
      </c>
      <c r="M2372" s="84">
        <v>0</v>
      </c>
    </row>
    <row r="2373" spans="3:13" hidden="1" x14ac:dyDescent="0.25">
      <c r="C2373" t="s">
        <v>119</v>
      </c>
      <c r="D2373" t="s">
        <v>120</v>
      </c>
      <c r="E2373" t="s">
        <v>60</v>
      </c>
      <c r="F2373" t="s">
        <v>123</v>
      </c>
      <c r="G2373">
        <v>0</v>
      </c>
      <c r="H2373" t="s">
        <v>72</v>
      </c>
      <c r="I2373" t="s">
        <v>121</v>
      </c>
      <c r="J2373" t="s">
        <v>122</v>
      </c>
      <c r="K2373">
        <v>0</v>
      </c>
      <c r="L2373" s="84">
        <v>-418</v>
      </c>
      <c r="M2373" s="84">
        <v>0</v>
      </c>
    </row>
    <row r="2374" spans="3:13" hidden="1" x14ac:dyDescent="0.25">
      <c r="C2374" t="s">
        <v>119</v>
      </c>
      <c r="D2374" t="s">
        <v>120</v>
      </c>
      <c r="E2374" t="s">
        <v>63</v>
      </c>
      <c r="F2374" t="s">
        <v>24</v>
      </c>
      <c r="G2374">
        <v>14</v>
      </c>
      <c r="H2374" t="s">
        <v>69</v>
      </c>
      <c r="I2374" t="s">
        <v>121</v>
      </c>
      <c r="J2374" t="s">
        <v>122</v>
      </c>
      <c r="K2374">
        <v>0</v>
      </c>
      <c r="L2374" s="84">
        <v>3991355</v>
      </c>
      <c r="M2374" s="84">
        <v>55878970</v>
      </c>
    </row>
    <row r="2375" spans="3:13" hidden="1" x14ac:dyDescent="0.25">
      <c r="C2375" t="s">
        <v>64</v>
      </c>
      <c r="D2375" t="s">
        <v>120</v>
      </c>
      <c r="E2375" t="s">
        <v>60</v>
      </c>
      <c r="F2375" t="s">
        <v>25</v>
      </c>
      <c r="G2375">
        <v>4</v>
      </c>
      <c r="H2375" t="s">
        <v>67</v>
      </c>
      <c r="I2375" t="s">
        <v>121</v>
      </c>
      <c r="J2375" t="s">
        <v>122</v>
      </c>
      <c r="K2375">
        <v>0</v>
      </c>
      <c r="L2375" s="84">
        <v>-1447</v>
      </c>
      <c r="M2375" s="84">
        <v>0</v>
      </c>
    </row>
    <row r="2376" spans="3:13" hidden="1" x14ac:dyDescent="0.25">
      <c r="C2376" t="s">
        <v>65</v>
      </c>
      <c r="D2376" t="s">
        <v>120</v>
      </c>
      <c r="E2376" t="s">
        <v>60</v>
      </c>
      <c r="F2376" t="s">
        <v>25</v>
      </c>
      <c r="G2376">
        <v>8</v>
      </c>
      <c r="H2376" t="s">
        <v>12</v>
      </c>
      <c r="I2376" t="s">
        <v>121</v>
      </c>
      <c r="J2376" t="s">
        <v>66</v>
      </c>
      <c r="K2376">
        <v>1</v>
      </c>
      <c r="L2376" s="84">
        <v>-68474</v>
      </c>
      <c r="M2376" s="84">
        <v>0</v>
      </c>
    </row>
    <row r="2377" spans="3:13" hidden="1" x14ac:dyDescent="0.25">
      <c r="C2377" t="s">
        <v>65</v>
      </c>
      <c r="D2377" t="s">
        <v>120</v>
      </c>
      <c r="E2377" t="s">
        <v>60</v>
      </c>
      <c r="F2377" t="s">
        <v>24</v>
      </c>
      <c r="G2377">
        <v>4</v>
      </c>
      <c r="H2377" t="s">
        <v>18</v>
      </c>
      <c r="I2377" t="s">
        <v>121</v>
      </c>
      <c r="J2377" t="s">
        <v>66</v>
      </c>
      <c r="K2377">
        <v>1</v>
      </c>
      <c r="L2377" s="84">
        <v>-41506</v>
      </c>
      <c r="M2377" s="84">
        <v>0</v>
      </c>
    </row>
    <row r="2378" spans="3:13" hidden="1" x14ac:dyDescent="0.25">
      <c r="C2378" t="s">
        <v>65</v>
      </c>
      <c r="D2378" t="s">
        <v>120</v>
      </c>
      <c r="E2378" t="s">
        <v>63</v>
      </c>
      <c r="F2378" t="s">
        <v>124</v>
      </c>
      <c r="G2378">
        <v>5</v>
      </c>
      <c r="H2378" t="s">
        <v>14</v>
      </c>
      <c r="I2378" t="s">
        <v>121</v>
      </c>
      <c r="J2378" t="s">
        <v>122</v>
      </c>
      <c r="K2378">
        <v>0</v>
      </c>
      <c r="L2378" s="84">
        <v>2705538</v>
      </c>
      <c r="M2378" s="84">
        <v>13527690</v>
      </c>
    </row>
    <row r="2379" spans="3:13" hidden="1" x14ac:dyDescent="0.25">
      <c r="C2379" t="s">
        <v>65</v>
      </c>
      <c r="D2379" t="s">
        <v>120</v>
      </c>
      <c r="E2379" t="s">
        <v>60</v>
      </c>
      <c r="F2379" t="s">
        <v>25</v>
      </c>
      <c r="G2379">
        <v>-1</v>
      </c>
      <c r="H2379" t="s">
        <v>18</v>
      </c>
      <c r="I2379" t="s">
        <v>121</v>
      </c>
      <c r="J2379" t="s">
        <v>122</v>
      </c>
      <c r="K2379">
        <v>0</v>
      </c>
      <c r="L2379" s="84">
        <v>-43320</v>
      </c>
      <c r="M2379" s="84">
        <v>0</v>
      </c>
    </row>
    <row r="2380" spans="3:13" hidden="1" x14ac:dyDescent="0.25">
      <c r="C2380" t="s">
        <v>64</v>
      </c>
      <c r="D2380" t="s">
        <v>120</v>
      </c>
      <c r="E2380" t="s">
        <v>63</v>
      </c>
      <c r="F2380" t="s">
        <v>25</v>
      </c>
      <c r="G2380">
        <v>-4</v>
      </c>
      <c r="H2380" t="s">
        <v>17</v>
      </c>
      <c r="I2380" t="s">
        <v>121</v>
      </c>
      <c r="J2380" t="s">
        <v>122</v>
      </c>
      <c r="K2380">
        <v>0</v>
      </c>
      <c r="L2380" s="84">
        <v>93</v>
      </c>
      <c r="M2380" s="84">
        <v>0</v>
      </c>
    </row>
    <row r="2381" spans="3:13" hidden="1" x14ac:dyDescent="0.25">
      <c r="C2381" t="s">
        <v>64</v>
      </c>
      <c r="D2381" t="s">
        <v>120</v>
      </c>
      <c r="E2381" t="s">
        <v>60</v>
      </c>
      <c r="F2381" t="s">
        <v>124</v>
      </c>
      <c r="G2381">
        <v>0</v>
      </c>
      <c r="H2381" t="s">
        <v>12</v>
      </c>
      <c r="I2381" t="s">
        <v>62</v>
      </c>
      <c r="J2381" t="s">
        <v>66</v>
      </c>
      <c r="K2381">
        <v>1</v>
      </c>
      <c r="L2381" s="84">
        <v>-5</v>
      </c>
      <c r="M2381" s="84">
        <v>0</v>
      </c>
    </row>
    <row r="2382" spans="3:13" hidden="1" x14ac:dyDescent="0.25">
      <c r="C2382" t="s">
        <v>119</v>
      </c>
      <c r="D2382" t="s">
        <v>120</v>
      </c>
      <c r="E2382" t="s">
        <v>60</v>
      </c>
      <c r="F2382" t="s">
        <v>124</v>
      </c>
      <c r="G2382">
        <v>11</v>
      </c>
      <c r="H2382" t="s">
        <v>15</v>
      </c>
      <c r="I2382" t="s">
        <v>121</v>
      </c>
      <c r="J2382" t="s">
        <v>122</v>
      </c>
      <c r="K2382">
        <v>0</v>
      </c>
      <c r="L2382" s="84">
        <v>-98177</v>
      </c>
      <c r="M2382" s="84">
        <v>0</v>
      </c>
    </row>
    <row r="2383" spans="3:13" hidden="1" x14ac:dyDescent="0.25">
      <c r="C2383" t="s">
        <v>64</v>
      </c>
      <c r="D2383" t="s">
        <v>120</v>
      </c>
      <c r="E2383" t="s">
        <v>63</v>
      </c>
      <c r="F2383" t="s">
        <v>123</v>
      </c>
      <c r="G2383">
        <v>3</v>
      </c>
      <c r="H2383" t="s">
        <v>14</v>
      </c>
      <c r="I2383" t="s">
        <v>121</v>
      </c>
      <c r="J2383" t="s">
        <v>66</v>
      </c>
      <c r="K2383">
        <v>1</v>
      </c>
      <c r="L2383" s="84">
        <v>1055733</v>
      </c>
      <c r="M2383" s="84">
        <v>3167199</v>
      </c>
    </row>
    <row r="2384" spans="3:13" hidden="1" x14ac:dyDescent="0.25">
      <c r="C2384" t="s">
        <v>119</v>
      </c>
      <c r="D2384" t="s">
        <v>125</v>
      </c>
      <c r="E2384" t="s">
        <v>63</v>
      </c>
      <c r="F2384" t="s">
        <v>25</v>
      </c>
      <c r="G2384">
        <v>35</v>
      </c>
      <c r="I2384" t="s">
        <v>121</v>
      </c>
      <c r="J2384" t="s">
        <v>122</v>
      </c>
      <c r="K2384">
        <v>0</v>
      </c>
      <c r="L2384" s="84">
        <v>131032</v>
      </c>
      <c r="M2384" s="84">
        <v>4586120</v>
      </c>
    </row>
    <row r="2385" spans="3:13" hidden="1" x14ac:dyDescent="0.25">
      <c r="C2385" t="s">
        <v>64</v>
      </c>
      <c r="D2385" t="s">
        <v>125</v>
      </c>
      <c r="E2385" t="s">
        <v>63</v>
      </c>
      <c r="F2385" t="s">
        <v>25</v>
      </c>
      <c r="G2385">
        <v>34</v>
      </c>
      <c r="I2385" t="s">
        <v>121</v>
      </c>
      <c r="J2385" t="s">
        <v>122</v>
      </c>
      <c r="K2385">
        <v>0</v>
      </c>
      <c r="L2385" s="84">
        <v>179666</v>
      </c>
      <c r="M2385" s="84">
        <v>6108644</v>
      </c>
    </row>
    <row r="2386" spans="3:13" hidden="1" x14ac:dyDescent="0.25">
      <c r="C2386" t="s">
        <v>119</v>
      </c>
      <c r="D2386" t="s">
        <v>120</v>
      </c>
      <c r="E2386" t="s">
        <v>63</v>
      </c>
      <c r="F2386" t="s">
        <v>24</v>
      </c>
      <c r="G2386">
        <v>2</v>
      </c>
      <c r="H2386" t="s">
        <v>70</v>
      </c>
      <c r="I2386" t="s">
        <v>121</v>
      </c>
      <c r="J2386" t="s">
        <v>122</v>
      </c>
      <c r="K2386">
        <v>0</v>
      </c>
      <c r="L2386" s="84">
        <v>60019</v>
      </c>
      <c r="M2386" s="84">
        <v>120038</v>
      </c>
    </row>
    <row r="2387" spans="3:13" hidden="1" x14ac:dyDescent="0.25">
      <c r="C2387" t="s">
        <v>64</v>
      </c>
      <c r="D2387" t="s">
        <v>120</v>
      </c>
      <c r="E2387" t="s">
        <v>60</v>
      </c>
      <c r="F2387" t="s">
        <v>24</v>
      </c>
      <c r="G2387">
        <v>2</v>
      </c>
      <c r="H2387" t="s">
        <v>69</v>
      </c>
      <c r="I2387" t="s">
        <v>121</v>
      </c>
      <c r="J2387" t="s">
        <v>122</v>
      </c>
      <c r="K2387">
        <v>0</v>
      </c>
      <c r="L2387" s="84">
        <v>-1170</v>
      </c>
      <c r="M2387" s="84">
        <v>0</v>
      </c>
    </row>
    <row r="2388" spans="3:13" hidden="1" x14ac:dyDescent="0.25">
      <c r="C2388" t="s">
        <v>64</v>
      </c>
      <c r="D2388" t="s">
        <v>120</v>
      </c>
      <c r="E2388" t="s">
        <v>63</v>
      </c>
      <c r="F2388" t="s">
        <v>25</v>
      </c>
      <c r="G2388">
        <v>4</v>
      </c>
      <c r="H2388" t="s">
        <v>18</v>
      </c>
      <c r="I2388" t="s">
        <v>121</v>
      </c>
      <c r="J2388" t="s">
        <v>122</v>
      </c>
      <c r="K2388">
        <v>0</v>
      </c>
      <c r="L2388" s="84">
        <v>1789893</v>
      </c>
      <c r="M2388" s="84">
        <v>7159572</v>
      </c>
    </row>
    <row r="2389" spans="3:13" hidden="1" x14ac:dyDescent="0.25">
      <c r="C2389" t="s">
        <v>64</v>
      </c>
      <c r="D2389" t="s">
        <v>120</v>
      </c>
      <c r="E2389" t="s">
        <v>63</v>
      </c>
      <c r="F2389" t="s">
        <v>124</v>
      </c>
      <c r="G2389">
        <v>0</v>
      </c>
      <c r="H2389" t="s">
        <v>12</v>
      </c>
      <c r="I2389" t="s">
        <v>121</v>
      </c>
      <c r="J2389" t="s">
        <v>66</v>
      </c>
      <c r="K2389">
        <v>1</v>
      </c>
      <c r="L2389" s="84">
        <v>597315</v>
      </c>
      <c r="M2389" s="84">
        <v>0</v>
      </c>
    </row>
    <row r="2390" spans="3:13" hidden="1" x14ac:dyDescent="0.25">
      <c r="C2390" t="s">
        <v>119</v>
      </c>
      <c r="D2390" t="s">
        <v>120</v>
      </c>
      <c r="E2390" t="s">
        <v>60</v>
      </c>
      <c r="F2390" t="s">
        <v>124</v>
      </c>
      <c r="G2390">
        <v>-1</v>
      </c>
      <c r="H2390" t="s">
        <v>12</v>
      </c>
      <c r="I2390" t="s">
        <v>121</v>
      </c>
      <c r="J2390" t="s">
        <v>66</v>
      </c>
      <c r="K2390">
        <v>1</v>
      </c>
      <c r="L2390" s="84">
        <v>-109142</v>
      </c>
      <c r="M2390" s="84">
        <v>0</v>
      </c>
    </row>
    <row r="2391" spans="3:13" hidden="1" x14ac:dyDescent="0.25">
      <c r="C2391" t="s">
        <v>65</v>
      </c>
      <c r="D2391" t="s">
        <v>120</v>
      </c>
      <c r="E2391" t="s">
        <v>63</v>
      </c>
      <c r="F2391" t="s">
        <v>123</v>
      </c>
      <c r="G2391">
        <v>3</v>
      </c>
      <c r="H2391" t="s">
        <v>12</v>
      </c>
      <c r="I2391" t="s">
        <v>121</v>
      </c>
      <c r="J2391" t="s">
        <v>122</v>
      </c>
      <c r="K2391">
        <v>0</v>
      </c>
      <c r="L2391" s="84">
        <v>25286</v>
      </c>
      <c r="M2391" s="84">
        <v>75858</v>
      </c>
    </row>
    <row r="2392" spans="3:13" hidden="1" x14ac:dyDescent="0.25">
      <c r="C2392" t="s">
        <v>64</v>
      </c>
      <c r="D2392" t="s">
        <v>120</v>
      </c>
      <c r="E2392" t="s">
        <v>60</v>
      </c>
      <c r="F2392" t="s">
        <v>123</v>
      </c>
      <c r="G2392">
        <v>0</v>
      </c>
      <c r="H2392" t="s">
        <v>72</v>
      </c>
      <c r="I2392" t="s">
        <v>121</v>
      </c>
      <c r="J2392" t="s">
        <v>122</v>
      </c>
      <c r="K2392">
        <v>0</v>
      </c>
      <c r="L2392" s="84">
        <v>-1085</v>
      </c>
      <c r="M2392" s="84">
        <v>0</v>
      </c>
    </row>
    <row r="2393" spans="3:13" hidden="1" x14ac:dyDescent="0.25">
      <c r="C2393" t="s">
        <v>64</v>
      </c>
      <c r="D2393" t="s">
        <v>120</v>
      </c>
      <c r="E2393" t="s">
        <v>63</v>
      </c>
      <c r="F2393" t="s">
        <v>123</v>
      </c>
      <c r="G2393">
        <v>2</v>
      </c>
      <c r="H2393" t="s">
        <v>13</v>
      </c>
      <c r="I2393" t="s">
        <v>121</v>
      </c>
      <c r="J2393" t="s">
        <v>122</v>
      </c>
      <c r="K2393">
        <v>0</v>
      </c>
      <c r="L2393" s="84">
        <v>75077</v>
      </c>
      <c r="M2393" s="84">
        <v>150154</v>
      </c>
    </row>
    <row r="2394" spans="3:13" hidden="1" x14ac:dyDescent="0.25">
      <c r="C2394" t="s">
        <v>65</v>
      </c>
      <c r="D2394" t="s">
        <v>120</v>
      </c>
      <c r="E2394" t="s">
        <v>63</v>
      </c>
      <c r="F2394" t="s">
        <v>124</v>
      </c>
      <c r="G2394">
        <v>3</v>
      </c>
      <c r="H2394" t="s">
        <v>67</v>
      </c>
      <c r="I2394" t="s">
        <v>121</v>
      </c>
      <c r="J2394" t="s">
        <v>122</v>
      </c>
      <c r="K2394">
        <v>0</v>
      </c>
      <c r="L2394" s="84">
        <v>574177</v>
      </c>
      <c r="M2394" s="84">
        <v>1722531</v>
      </c>
    </row>
    <row r="2395" spans="3:13" hidden="1" x14ac:dyDescent="0.25">
      <c r="C2395" t="s">
        <v>64</v>
      </c>
      <c r="D2395" t="s">
        <v>120</v>
      </c>
      <c r="E2395" t="s">
        <v>60</v>
      </c>
      <c r="F2395" t="s">
        <v>24</v>
      </c>
      <c r="G2395">
        <v>9</v>
      </c>
      <c r="H2395" t="s">
        <v>69</v>
      </c>
      <c r="I2395" t="s">
        <v>121</v>
      </c>
      <c r="J2395" t="s">
        <v>122</v>
      </c>
      <c r="K2395">
        <v>0</v>
      </c>
      <c r="L2395" s="84">
        <v>-56068</v>
      </c>
      <c r="M2395" s="84">
        <v>0</v>
      </c>
    </row>
    <row r="2396" spans="3:13" hidden="1" x14ac:dyDescent="0.25">
      <c r="C2396" t="s">
        <v>119</v>
      </c>
      <c r="D2396" t="s">
        <v>120</v>
      </c>
      <c r="E2396" t="s">
        <v>63</v>
      </c>
      <c r="F2396" t="s">
        <v>124</v>
      </c>
      <c r="G2396">
        <v>0</v>
      </c>
      <c r="H2396" t="s">
        <v>68</v>
      </c>
      <c r="I2396" t="s">
        <v>121</v>
      </c>
      <c r="J2396" t="s">
        <v>122</v>
      </c>
      <c r="K2396">
        <v>0</v>
      </c>
      <c r="L2396" s="84">
        <v>52155808</v>
      </c>
      <c r="M2396" s="84">
        <v>0</v>
      </c>
    </row>
    <row r="2397" spans="3:13" hidden="1" x14ac:dyDescent="0.25">
      <c r="C2397" t="s">
        <v>64</v>
      </c>
      <c r="D2397" t="s">
        <v>125</v>
      </c>
      <c r="E2397" t="s">
        <v>63</v>
      </c>
      <c r="F2397" t="s">
        <v>25</v>
      </c>
      <c r="G2397">
        <v>15</v>
      </c>
      <c r="I2397" t="s">
        <v>121</v>
      </c>
      <c r="J2397" t="s">
        <v>122</v>
      </c>
      <c r="K2397">
        <v>0</v>
      </c>
      <c r="L2397" s="84">
        <v>61345</v>
      </c>
      <c r="M2397" s="84">
        <v>920175</v>
      </c>
    </row>
    <row r="2398" spans="3:13" hidden="1" x14ac:dyDescent="0.25">
      <c r="C2398" t="s">
        <v>119</v>
      </c>
      <c r="D2398" t="s">
        <v>125</v>
      </c>
      <c r="E2398" t="s">
        <v>60</v>
      </c>
      <c r="F2398" t="s">
        <v>25</v>
      </c>
      <c r="G2398">
        <v>5</v>
      </c>
      <c r="I2398" t="s">
        <v>121</v>
      </c>
      <c r="J2398" t="s">
        <v>122</v>
      </c>
      <c r="K2398">
        <v>0</v>
      </c>
      <c r="L2398" s="84">
        <v>-12176</v>
      </c>
      <c r="M2398" s="84">
        <v>0</v>
      </c>
    </row>
    <row r="2399" spans="3:13" hidden="1" x14ac:dyDescent="0.25">
      <c r="C2399" t="s">
        <v>119</v>
      </c>
      <c r="D2399" t="s">
        <v>120</v>
      </c>
      <c r="E2399" t="s">
        <v>60</v>
      </c>
      <c r="F2399" t="s">
        <v>124</v>
      </c>
      <c r="G2399">
        <v>-1</v>
      </c>
      <c r="H2399" t="s">
        <v>17</v>
      </c>
      <c r="I2399" t="s">
        <v>62</v>
      </c>
      <c r="J2399" t="s">
        <v>122</v>
      </c>
      <c r="K2399">
        <v>1</v>
      </c>
      <c r="L2399" s="84">
        <v>-100</v>
      </c>
      <c r="M2399" s="84">
        <v>0</v>
      </c>
    </row>
    <row r="2400" spans="3:13" hidden="1" x14ac:dyDescent="0.25">
      <c r="C2400" t="s">
        <v>119</v>
      </c>
      <c r="D2400" t="s">
        <v>120</v>
      </c>
      <c r="E2400" t="s">
        <v>60</v>
      </c>
      <c r="F2400" t="s">
        <v>124</v>
      </c>
      <c r="G2400">
        <v>3</v>
      </c>
      <c r="H2400" t="s">
        <v>14</v>
      </c>
      <c r="I2400" t="s">
        <v>62</v>
      </c>
      <c r="J2400" t="s">
        <v>66</v>
      </c>
      <c r="K2400">
        <v>1</v>
      </c>
      <c r="L2400" s="84">
        <v>-689</v>
      </c>
      <c r="M2400" s="84">
        <v>0</v>
      </c>
    </row>
    <row r="2401" spans="3:13" hidden="1" x14ac:dyDescent="0.25">
      <c r="C2401" t="s">
        <v>119</v>
      </c>
      <c r="D2401" t="s">
        <v>120</v>
      </c>
      <c r="E2401" t="s">
        <v>63</v>
      </c>
      <c r="F2401" t="s">
        <v>124</v>
      </c>
      <c r="G2401">
        <v>2</v>
      </c>
      <c r="H2401" t="s">
        <v>72</v>
      </c>
      <c r="I2401" t="s">
        <v>121</v>
      </c>
      <c r="J2401" t="s">
        <v>122</v>
      </c>
      <c r="K2401">
        <v>0</v>
      </c>
      <c r="L2401" s="84">
        <v>9257501</v>
      </c>
      <c r="M2401" s="84">
        <v>18515002</v>
      </c>
    </row>
    <row r="2402" spans="3:13" hidden="1" x14ac:dyDescent="0.25">
      <c r="C2402" t="s">
        <v>65</v>
      </c>
      <c r="D2402" t="s">
        <v>125</v>
      </c>
      <c r="E2402" t="s">
        <v>60</v>
      </c>
      <c r="F2402" t="s">
        <v>24</v>
      </c>
      <c r="G2402">
        <v>11</v>
      </c>
      <c r="I2402" t="s">
        <v>121</v>
      </c>
      <c r="J2402" t="s">
        <v>122</v>
      </c>
      <c r="K2402">
        <v>0</v>
      </c>
      <c r="L2402" s="84">
        <v>-767650</v>
      </c>
      <c r="M2402" s="84">
        <v>0</v>
      </c>
    </row>
    <row r="2403" spans="3:13" hidden="1" x14ac:dyDescent="0.25">
      <c r="C2403" t="s">
        <v>119</v>
      </c>
      <c r="D2403" t="s">
        <v>120</v>
      </c>
      <c r="E2403" t="s">
        <v>60</v>
      </c>
      <c r="F2403" t="s">
        <v>123</v>
      </c>
      <c r="G2403">
        <v>3</v>
      </c>
      <c r="H2403" t="s">
        <v>14</v>
      </c>
      <c r="I2403" t="s">
        <v>121</v>
      </c>
      <c r="J2403" t="s">
        <v>122</v>
      </c>
      <c r="K2403">
        <v>0</v>
      </c>
      <c r="L2403" s="84">
        <v>-24692</v>
      </c>
      <c r="M2403" s="84">
        <v>0</v>
      </c>
    </row>
    <row r="2404" spans="3:13" hidden="1" x14ac:dyDescent="0.25">
      <c r="C2404" t="s">
        <v>119</v>
      </c>
      <c r="D2404" t="s">
        <v>120</v>
      </c>
      <c r="E2404" t="s">
        <v>63</v>
      </c>
      <c r="F2404" t="s">
        <v>124</v>
      </c>
      <c r="G2404">
        <v>3</v>
      </c>
      <c r="H2404" t="s">
        <v>18</v>
      </c>
      <c r="I2404" t="s">
        <v>121</v>
      </c>
      <c r="J2404" t="s">
        <v>122</v>
      </c>
      <c r="K2404">
        <v>0</v>
      </c>
      <c r="L2404" s="84">
        <v>140707194</v>
      </c>
      <c r="M2404" s="84">
        <v>422121582</v>
      </c>
    </row>
    <row r="2405" spans="3:13" hidden="1" x14ac:dyDescent="0.25">
      <c r="C2405" t="s">
        <v>64</v>
      </c>
      <c r="D2405" t="s">
        <v>126</v>
      </c>
      <c r="E2405" t="s">
        <v>63</v>
      </c>
      <c r="F2405" t="s">
        <v>24</v>
      </c>
      <c r="G2405">
        <v>0</v>
      </c>
      <c r="H2405" t="s">
        <v>74</v>
      </c>
      <c r="I2405" t="s">
        <v>121</v>
      </c>
      <c r="J2405" t="s">
        <v>122</v>
      </c>
      <c r="K2405">
        <v>0</v>
      </c>
      <c r="L2405" s="84">
        <v>942</v>
      </c>
      <c r="M2405" s="84">
        <v>0</v>
      </c>
    </row>
    <row r="2406" spans="3:13" hidden="1" x14ac:dyDescent="0.25">
      <c r="C2406" t="s">
        <v>65</v>
      </c>
      <c r="D2406" t="s">
        <v>120</v>
      </c>
      <c r="E2406" t="s">
        <v>63</v>
      </c>
      <c r="F2406" t="s">
        <v>124</v>
      </c>
      <c r="G2406">
        <v>0</v>
      </c>
      <c r="H2406" t="s">
        <v>17</v>
      </c>
      <c r="I2406" t="s">
        <v>121</v>
      </c>
      <c r="J2406" t="s">
        <v>122</v>
      </c>
      <c r="K2406">
        <v>0</v>
      </c>
      <c r="L2406" s="84">
        <v>431259</v>
      </c>
      <c r="M2406" s="84">
        <v>0</v>
      </c>
    </row>
    <row r="2407" spans="3:13" hidden="1" x14ac:dyDescent="0.25">
      <c r="C2407" t="s">
        <v>119</v>
      </c>
      <c r="D2407" t="s">
        <v>120</v>
      </c>
      <c r="E2407" t="s">
        <v>60</v>
      </c>
      <c r="F2407" t="s">
        <v>25</v>
      </c>
      <c r="G2407">
        <v>1</v>
      </c>
      <c r="H2407" t="s">
        <v>72</v>
      </c>
      <c r="I2407" t="s">
        <v>121</v>
      </c>
      <c r="J2407" t="s">
        <v>122</v>
      </c>
      <c r="K2407">
        <v>0</v>
      </c>
      <c r="L2407" s="84">
        <v>-122</v>
      </c>
      <c r="M2407" s="84">
        <v>0</v>
      </c>
    </row>
    <row r="2408" spans="3:13" hidden="1" x14ac:dyDescent="0.25">
      <c r="C2408" t="s">
        <v>64</v>
      </c>
      <c r="D2408" t="s">
        <v>120</v>
      </c>
      <c r="E2408" t="s">
        <v>60</v>
      </c>
      <c r="F2408" t="s">
        <v>25</v>
      </c>
      <c r="G2408">
        <v>-1</v>
      </c>
      <c r="H2408" t="s">
        <v>13</v>
      </c>
      <c r="I2408" t="s">
        <v>121</v>
      </c>
      <c r="J2408" t="s">
        <v>122</v>
      </c>
      <c r="K2408">
        <v>0</v>
      </c>
      <c r="L2408" s="84">
        <v>-1</v>
      </c>
      <c r="M2408" s="84">
        <v>0</v>
      </c>
    </row>
    <row r="2409" spans="3:13" hidden="1" x14ac:dyDescent="0.25">
      <c r="C2409" t="s">
        <v>119</v>
      </c>
      <c r="D2409" t="s">
        <v>120</v>
      </c>
      <c r="E2409" t="s">
        <v>63</v>
      </c>
      <c r="F2409" t="s">
        <v>25</v>
      </c>
      <c r="G2409">
        <v>16</v>
      </c>
      <c r="H2409" t="s">
        <v>18</v>
      </c>
      <c r="I2409" t="s">
        <v>121</v>
      </c>
      <c r="J2409" t="s">
        <v>122</v>
      </c>
      <c r="K2409">
        <v>0</v>
      </c>
      <c r="L2409" s="84">
        <v>897233</v>
      </c>
      <c r="M2409" s="84">
        <v>14355728</v>
      </c>
    </row>
    <row r="2410" spans="3:13" hidden="1" x14ac:dyDescent="0.25">
      <c r="C2410" t="s">
        <v>64</v>
      </c>
      <c r="D2410" t="s">
        <v>120</v>
      </c>
      <c r="E2410" t="s">
        <v>63</v>
      </c>
      <c r="F2410" t="s">
        <v>123</v>
      </c>
      <c r="G2410">
        <v>4</v>
      </c>
      <c r="H2410" t="s">
        <v>72</v>
      </c>
      <c r="I2410" t="s">
        <v>121</v>
      </c>
      <c r="J2410" t="s">
        <v>122</v>
      </c>
      <c r="K2410">
        <v>0</v>
      </c>
      <c r="L2410" s="84">
        <v>1059940</v>
      </c>
      <c r="M2410" s="84">
        <v>4239760</v>
      </c>
    </row>
    <row r="2411" spans="3:13" hidden="1" x14ac:dyDescent="0.25">
      <c r="C2411" t="s">
        <v>119</v>
      </c>
      <c r="D2411" t="s">
        <v>120</v>
      </c>
      <c r="E2411" t="s">
        <v>60</v>
      </c>
      <c r="F2411" t="s">
        <v>25</v>
      </c>
      <c r="G2411">
        <v>-1</v>
      </c>
      <c r="H2411" t="s">
        <v>14</v>
      </c>
      <c r="I2411" t="s">
        <v>121</v>
      </c>
      <c r="J2411" t="s">
        <v>122</v>
      </c>
      <c r="K2411">
        <v>0</v>
      </c>
      <c r="L2411" s="84">
        <v>-5261</v>
      </c>
      <c r="M2411" s="84">
        <v>0</v>
      </c>
    </row>
    <row r="2412" spans="3:13" hidden="1" x14ac:dyDescent="0.25">
      <c r="C2412" t="s">
        <v>65</v>
      </c>
      <c r="D2412" t="s">
        <v>120</v>
      </c>
      <c r="E2412" t="s">
        <v>63</v>
      </c>
      <c r="F2412" t="s">
        <v>123</v>
      </c>
      <c r="G2412">
        <v>5</v>
      </c>
      <c r="H2412" t="s">
        <v>17</v>
      </c>
      <c r="I2412" t="s">
        <v>62</v>
      </c>
      <c r="J2412" t="s">
        <v>66</v>
      </c>
      <c r="K2412">
        <v>1</v>
      </c>
      <c r="L2412" s="84">
        <v>25318</v>
      </c>
      <c r="M2412" s="84">
        <v>126590</v>
      </c>
    </row>
    <row r="2413" spans="3:13" x14ac:dyDescent="0.25">
      <c r="C2413" t="s">
        <v>119</v>
      </c>
      <c r="D2413" t="s">
        <v>120</v>
      </c>
      <c r="E2413" t="s">
        <v>63</v>
      </c>
      <c r="F2413" t="s">
        <v>25</v>
      </c>
      <c r="G2413">
        <v>10</v>
      </c>
      <c r="H2413" t="s">
        <v>14</v>
      </c>
      <c r="I2413" t="s">
        <v>121</v>
      </c>
      <c r="J2413" t="s">
        <v>66</v>
      </c>
      <c r="K2413">
        <v>1</v>
      </c>
      <c r="L2413" s="84">
        <v>2142462</v>
      </c>
      <c r="M2413" s="84">
        <v>21424620</v>
      </c>
    </row>
    <row r="2414" spans="3:13" hidden="1" x14ac:dyDescent="0.25">
      <c r="C2414" t="s">
        <v>119</v>
      </c>
      <c r="D2414" t="s">
        <v>120</v>
      </c>
      <c r="E2414" t="s">
        <v>63</v>
      </c>
      <c r="F2414" t="s">
        <v>24</v>
      </c>
      <c r="G2414">
        <v>9</v>
      </c>
      <c r="H2414" t="s">
        <v>16</v>
      </c>
      <c r="I2414" t="s">
        <v>121</v>
      </c>
      <c r="J2414" t="s">
        <v>122</v>
      </c>
      <c r="K2414">
        <v>0</v>
      </c>
      <c r="L2414" s="84">
        <v>59584</v>
      </c>
      <c r="M2414" s="84">
        <v>536256</v>
      </c>
    </row>
    <row r="2415" spans="3:13" x14ac:dyDescent="0.25">
      <c r="C2415" t="s">
        <v>65</v>
      </c>
      <c r="D2415" t="s">
        <v>120</v>
      </c>
      <c r="E2415" t="s">
        <v>63</v>
      </c>
      <c r="F2415" t="s">
        <v>25</v>
      </c>
      <c r="G2415">
        <v>1</v>
      </c>
      <c r="H2415" t="s">
        <v>12</v>
      </c>
      <c r="I2415" t="s">
        <v>121</v>
      </c>
      <c r="J2415" t="s">
        <v>66</v>
      </c>
      <c r="K2415">
        <v>1</v>
      </c>
      <c r="L2415" s="84">
        <v>500197</v>
      </c>
      <c r="M2415" s="84">
        <v>500197</v>
      </c>
    </row>
    <row r="2416" spans="3:13" hidden="1" x14ac:dyDescent="0.25">
      <c r="C2416" t="s">
        <v>119</v>
      </c>
      <c r="D2416" t="s">
        <v>120</v>
      </c>
      <c r="E2416" t="s">
        <v>60</v>
      </c>
      <c r="F2416" t="s">
        <v>24</v>
      </c>
      <c r="G2416">
        <v>-4</v>
      </c>
      <c r="H2416" t="s">
        <v>68</v>
      </c>
      <c r="I2416" t="s">
        <v>121</v>
      </c>
      <c r="J2416" t="s">
        <v>122</v>
      </c>
      <c r="K2416">
        <v>0</v>
      </c>
      <c r="L2416" s="84">
        <v>-183</v>
      </c>
      <c r="M2416" s="84">
        <v>0</v>
      </c>
    </row>
    <row r="2417" spans="3:13" hidden="1" x14ac:dyDescent="0.25">
      <c r="C2417" t="s">
        <v>64</v>
      </c>
      <c r="D2417" t="s">
        <v>120</v>
      </c>
      <c r="E2417" t="s">
        <v>60</v>
      </c>
      <c r="F2417" t="s">
        <v>124</v>
      </c>
      <c r="G2417">
        <v>2</v>
      </c>
      <c r="H2417" t="s">
        <v>67</v>
      </c>
      <c r="I2417" t="s">
        <v>121</v>
      </c>
      <c r="J2417" t="s">
        <v>122</v>
      </c>
      <c r="K2417">
        <v>0</v>
      </c>
      <c r="L2417" s="84">
        <v>-263711</v>
      </c>
      <c r="M2417" s="84">
        <v>0</v>
      </c>
    </row>
    <row r="2418" spans="3:13" hidden="1" x14ac:dyDescent="0.25">
      <c r="C2418" t="s">
        <v>119</v>
      </c>
      <c r="D2418" t="s">
        <v>125</v>
      </c>
      <c r="E2418" t="s">
        <v>63</v>
      </c>
      <c r="F2418" t="s">
        <v>24</v>
      </c>
      <c r="G2418">
        <v>27</v>
      </c>
      <c r="I2418" t="s">
        <v>121</v>
      </c>
      <c r="J2418" t="s">
        <v>122</v>
      </c>
      <c r="K2418">
        <v>0</v>
      </c>
      <c r="L2418" s="84">
        <v>845940113</v>
      </c>
      <c r="M2418" s="84">
        <v>22840383051</v>
      </c>
    </row>
    <row r="2419" spans="3:13" hidden="1" x14ac:dyDescent="0.25">
      <c r="C2419" t="s">
        <v>119</v>
      </c>
      <c r="D2419" t="s">
        <v>120</v>
      </c>
      <c r="E2419" t="s">
        <v>63</v>
      </c>
      <c r="F2419" t="s">
        <v>124</v>
      </c>
      <c r="G2419">
        <v>12</v>
      </c>
      <c r="H2419" t="s">
        <v>69</v>
      </c>
      <c r="I2419" t="s">
        <v>121</v>
      </c>
      <c r="J2419" t="s">
        <v>122</v>
      </c>
      <c r="K2419">
        <v>0</v>
      </c>
      <c r="L2419" s="84">
        <v>723004</v>
      </c>
      <c r="M2419" s="84">
        <v>8676048</v>
      </c>
    </row>
    <row r="2420" spans="3:13" hidden="1" x14ac:dyDescent="0.25">
      <c r="C2420" t="s">
        <v>64</v>
      </c>
      <c r="D2420" t="s">
        <v>120</v>
      </c>
      <c r="E2420" t="s">
        <v>60</v>
      </c>
      <c r="F2420" t="s">
        <v>25</v>
      </c>
      <c r="G2420">
        <v>6</v>
      </c>
      <c r="H2420" t="s">
        <v>71</v>
      </c>
      <c r="I2420" t="s">
        <v>121</v>
      </c>
      <c r="J2420" t="s">
        <v>122</v>
      </c>
      <c r="K2420">
        <v>0</v>
      </c>
      <c r="L2420" s="84">
        <v>-26018</v>
      </c>
      <c r="M2420" s="84">
        <v>0</v>
      </c>
    </row>
    <row r="2421" spans="3:13" hidden="1" x14ac:dyDescent="0.25">
      <c r="C2421" t="s">
        <v>119</v>
      </c>
      <c r="D2421" t="s">
        <v>126</v>
      </c>
      <c r="E2421" t="s">
        <v>60</v>
      </c>
      <c r="F2421" t="s">
        <v>24</v>
      </c>
      <c r="G2421">
        <v>0</v>
      </c>
      <c r="H2421" t="s">
        <v>74</v>
      </c>
      <c r="I2421" t="s">
        <v>121</v>
      </c>
      <c r="J2421" t="s">
        <v>122</v>
      </c>
      <c r="K2421">
        <v>0</v>
      </c>
      <c r="L2421" s="84">
        <v>-1432</v>
      </c>
      <c r="M2421" s="84">
        <v>0</v>
      </c>
    </row>
    <row r="2422" spans="3:13" hidden="1" x14ac:dyDescent="0.25">
      <c r="C2422" t="s">
        <v>119</v>
      </c>
      <c r="D2422" t="s">
        <v>120</v>
      </c>
      <c r="E2422" t="s">
        <v>60</v>
      </c>
      <c r="F2422" t="s">
        <v>25</v>
      </c>
      <c r="G2422">
        <v>6</v>
      </c>
      <c r="H2422" t="s">
        <v>72</v>
      </c>
      <c r="I2422" t="s">
        <v>121</v>
      </c>
      <c r="J2422" t="s">
        <v>122</v>
      </c>
      <c r="K2422">
        <v>0</v>
      </c>
      <c r="L2422" s="84">
        <v>-1893</v>
      </c>
      <c r="M2422" s="84">
        <v>0</v>
      </c>
    </row>
    <row r="2423" spans="3:13" hidden="1" x14ac:dyDescent="0.25">
      <c r="C2423" t="s">
        <v>65</v>
      </c>
      <c r="D2423" t="s">
        <v>120</v>
      </c>
      <c r="E2423" t="s">
        <v>63</v>
      </c>
      <c r="F2423" t="s">
        <v>124</v>
      </c>
      <c r="G2423">
        <v>5</v>
      </c>
      <c r="H2423" t="s">
        <v>67</v>
      </c>
      <c r="I2423" t="s">
        <v>121</v>
      </c>
      <c r="J2423" t="s">
        <v>122</v>
      </c>
      <c r="K2423">
        <v>0</v>
      </c>
      <c r="L2423" s="84">
        <v>516400</v>
      </c>
      <c r="M2423" s="84">
        <v>2582000</v>
      </c>
    </row>
    <row r="2424" spans="3:13" hidden="1" x14ac:dyDescent="0.25">
      <c r="C2424" t="s">
        <v>119</v>
      </c>
      <c r="D2424" t="s">
        <v>120</v>
      </c>
      <c r="E2424" t="s">
        <v>60</v>
      </c>
      <c r="F2424" t="s">
        <v>24</v>
      </c>
      <c r="G2424">
        <v>11</v>
      </c>
      <c r="H2424" t="s">
        <v>67</v>
      </c>
      <c r="I2424" t="s">
        <v>121</v>
      </c>
      <c r="J2424" t="s">
        <v>122</v>
      </c>
      <c r="K2424">
        <v>0</v>
      </c>
      <c r="L2424" s="84">
        <v>-9096</v>
      </c>
      <c r="M2424" s="84">
        <v>0</v>
      </c>
    </row>
    <row r="2425" spans="3:13" hidden="1" x14ac:dyDescent="0.25">
      <c r="C2425" t="s">
        <v>119</v>
      </c>
      <c r="D2425" t="s">
        <v>120</v>
      </c>
      <c r="E2425" t="s">
        <v>60</v>
      </c>
      <c r="F2425" t="s">
        <v>24</v>
      </c>
      <c r="G2425">
        <v>9</v>
      </c>
      <c r="H2425" t="s">
        <v>16</v>
      </c>
      <c r="I2425" t="s">
        <v>121</v>
      </c>
      <c r="J2425" t="s">
        <v>122</v>
      </c>
      <c r="K2425">
        <v>0</v>
      </c>
      <c r="L2425" s="84">
        <v>-1336</v>
      </c>
      <c r="M2425" s="84">
        <v>0</v>
      </c>
    </row>
    <row r="2426" spans="3:13" hidden="1" x14ac:dyDescent="0.25">
      <c r="C2426" t="s">
        <v>65</v>
      </c>
      <c r="D2426" t="s">
        <v>120</v>
      </c>
      <c r="E2426" t="s">
        <v>63</v>
      </c>
      <c r="F2426" t="s">
        <v>123</v>
      </c>
      <c r="G2426">
        <v>-4</v>
      </c>
      <c r="H2426" t="s">
        <v>18</v>
      </c>
      <c r="I2426" t="s">
        <v>121</v>
      </c>
      <c r="J2426" t="s">
        <v>122</v>
      </c>
      <c r="K2426">
        <v>0</v>
      </c>
      <c r="L2426" s="84">
        <v>571947</v>
      </c>
      <c r="M2426" s="84">
        <v>0</v>
      </c>
    </row>
    <row r="2427" spans="3:13" hidden="1" x14ac:dyDescent="0.25">
      <c r="C2427" t="s">
        <v>119</v>
      </c>
      <c r="D2427" t="s">
        <v>120</v>
      </c>
      <c r="E2427" t="s">
        <v>63</v>
      </c>
      <c r="F2427" t="s">
        <v>123</v>
      </c>
      <c r="G2427">
        <v>-4</v>
      </c>
      <c r="H2427" t="s">
        <v>76</v>
      </c>
      <c r="I2427" t="s">
        <v>121</v>
      </c>
      <c r="J2427" t="s">
        <v>122</v>
      </c>
      <c r="K2427">
        <v>0</v>
      </c>
      <c r="L2427" s="84">
        <v>38</v>
      </c>
      <c r="M2427" s="84">
        <v>0</v>
      </c>
    </row>
    <row r="2428" spans="3:13" hidden="1" x14ac:dyDescent="0.25">
      <c r="C2428" t="s">
        <v>65</v>
      </c>
      <c r="D2428" t="s">
        <v>120</v>
      </c>
      <c r="E2428" t="s">
        <v>63</v>
      </c>
      <c r="F2428" t="s">
        <v>25</v>
      </c>
      <c r="G2428">
        <v>6</v>
      </c>
      <c r="H2428" t="s">
        <v>75</v>
      </c>
      <c r="I2428" t="s">
        <v>121</v>
      </c>
      <c r="J2428" t="s">
        <v>122</v>
      </c>
      <c r="K2428">
        <v>0</v>
      </c>
      <c r="L2428" s="84">
        <v>602049</v>
      </c>
      <c r="M2428" s="84">
        <v>3612294</v>
      </c>
    </row>
    <row r="2429" spans="3:13" hidden="1" x14ac:dyDescent="0.25">
      <c r="C2429" t="s">
        <v>64</v>
      </c>
      <c r="D2429" t="s">
        <v>120</v>
      </c>
      <c r="E2429" t="s">
        <v>60</v>
      </c>
      <c r="F2429" t="s">
        <v>124</v>
      </c>
      <c r="G2429">
        <v>4</v>
      </c>
      <c r="H2429" t="s">
        <v>76</v>
      </c>
      <c r="I2429" t="s">
        <v>121</v>
      </c>
      <c r="J2429" t="s">
        <v>122</v>
      </c>
      <c r="K2429">
        <v>0</v>
      </c>
      <c r="L2429" s="84">
        <v>-25573</v>
      </c>
      <c r="M2429" s="84">
        <v>0</v>
      </c>
    </row>
    <row r="2430" spans="3:13" hidden="1" x14ac:dyDescent="0.25">
      <c r="C2430" t="s">
        <v>119</v>
      </c>
      <c r="D2430" t="s">
        <v>120</v>
      </c>
      <c r="E2430" t="s">
        <v>60</v>
      </c>
      <c r="F2430" t="s">
        <v>123</v>
      </c>
      <c r="G2430">
        <v>6</v>
      </c>
      <c r="H2430" t="s">
        <v>74</v>
      </c>
      <c r="I2430" t="s">
        <v>121</v>
      </c>
      <c r="J2430" t="s">
        <v>122</v>
      </c>
      <c r="K2430">
        <v>0</v>
      </c>
      <c r="L2430" s="84">
        <v>-274</v>
      </c>
      <c r="M2430" s="84">
        <v>0</v>
      </c>
    </row>
    <row r="2431" spans="3:13" hidden="1" x14ac:dyDescent="0.25">
      <c r="C2431" t="s">
        <v>119</v>
      </c>
      <c r="D2431" t="s">
        <v>120</v>
      </c>
      <c r="E2431" t="s">
        <v>63</v>
      </c>
      <c r="F2431" t="s">
        <v>123</v>
      </c>
      <c r="G2431">
        <v>1</v>
      </c>
      <c r="H2431" t="s">
        <v>72</v>
      </c>
      <c r="I2431" t="s">
        <v>121</v>
      </c>
      <c r="J2431" t="s">
        <v>122</v>
      </c>
      <c r="K2431">
        <v>0</v>
      </c>
      <c r="L2431" s="84">
        <v>1803047</v>
      </c>
      <c r="M2431" s="84">
        <v>1803047</v>
      </c>
    </row>
    <row r="2432" spans="3:13" hidden="1" x14ac:dyDescent="0.25">
      <c r="C2432" t="s">
        <v>119</v>
      </c>
      <c r="D2432" t="s">
        <v>120</v>
      </c>
      <c r="E2432" t="s">
        <v>63</v>
      </c>
      <c r="F2432" t="s">
        <v>25</v>
      </c>
      <c r="G2432">
        <v>7</v>
      </c>
      <c r="H2432" t="s">
        <v>61</v>
      </c>
      <c r="I2432" t="s">
        <v>121</v>
      </c>
      <c r="J2432" t="s">
        <v>122</v>
      </c>
      <c r="K2432">
        <v>0</v>
      </c>
      <c r="L2432" s="84">
        <v>210452</v>
      </c>
      <c r="M2432" s="84">
        <v>1473164</v>
      </c>
    </row>
    <row r="2433" spans="3:13" hidden="1" x14ac:dyDescent="0.25">
      <c r="C2433" t="s">
        <v>119</v>
      </c>
      <c r="D2433" t="s">
        <v>120</v>
      </c>
      <c r="E2433" t="s">
        <v>63</v>
      </c>
      <c r="F2433" t="s">
        <v>24</v>
      </c>
      <c r="G2433">
        <v>7</v>
      </c>
      <c r="H2433" t="s">
        <v>76</v>
      </c>
      <c r="I2433" t="s">
        <v>121</v>
      </c>
      <c r="J2433" t="s">
        <v>122</v>
      </c>
      <c r="K2433">
        <v>0</v>
      </c>
      <c r="L2433" s="84">
        <v>68713</v>
      </c>
      <c r="M2433" s="84">
        <v>480991</v>
      </c>
    </row>
    <row r="2434" spans="3:13" hidden="1" x14ac:dyDescent="0.25">
      <c r="C2434" t="s">
        <v>119</v>
      </c>
      <c r="D2434" t="s">
        <v>120</v>
      </c>
      <c r="E2434" t="s">
        <v>60</v>
      </c>
      <c r="F2434" t="s">
        <v>124</v>
      </c>
      <c r="G2434">
        <v>4</v>
      </c>
      <c r="H2434" t="s">
        <v>12</v>
      </c>
      <c r="I2434" t="s">
        <v>62</v>
      </c>
      <c r="J2434" t="s">
        <v>122</v>
      </c>
      <c r="K2434">
        <v>1</v>
      </c>
      <c r="L2434" s="84">
        <v>-626</v>
      </c>
      <c r="M2434" s="84">
        <v>0</v>
      </c>
    </row>
    <row r="2435" spans="3:13" hidden="1" x14ac:dyDescent="0.25">
      <c r="C2435" t="s">
        <v>119</v>
      </c>
      <c r="D2435" t="s">
        <v>120</v>
      </c>
      <c r="E2435" t="s">
        <v>63</v>
      </c>
      <c r="F2435" t="s">
        <v>123</v>
      </c>
      <c r="G2435">
        <v>3</v>
      </c>
      <c r="H2435" t="s">
        <v>17</v>
      </c>
      <c r="I2435" t="s">
        <v>62</v>
      </c>
      <c r="J2435" t="s">
        <v>66</v>
      </c>
      <c r="K2435">
        <v>1</v>
      </c>
      <c r="L2435" s="84">
        <v>228826</v>
      </c>
      <c r="M2435" s="84">
        <v>686478</v>
      </c>
    </row>
    <row r="2436" spans="3:13" hidden="1" x14ac:dyDescent="0.25">
      <c r="C2436" t="s">
        <v>64</v>
      </c>
      <c r="D2436" t="s">
        <v>120</v>
      </c>
      <c r="E2436" t="s">
        <v>63</v>
      </c>
      <c r="F2436" t="s">
        <v>24</v>
      </c>
      <c r="G2436">
        <v>0</v>
      </c>
      <c r="H2436" t="s">
        <v>72</v>
      </c>
      <c r="I2436" t="s">
        <v>121</v>
      </c>
      <c r="J2436" t="s">
        <v>122</v>
      </c>
      <c r="K2436">
        <v>0</v>
      </c>
      <c r="L2436" s="84">
        <v>2492</v>
      </c>
      <c r="M2436" s="84">
        <v>0</v>
      </c>
    </row>
    <row r="2437" spans="3:13" hidden="1" x14ac:dyDescent="0.25">
      <c r="C2437" t="s">
        <v>64</v>
      </c>
      <c r="D2437" t="s">
        <v>120</v>
      </c>
      <c r="E2437" t="s">
        <v>60</v>
      </c>
      <c r="F2437" t="s">
        <v>123</v>
      </c>
      <c r="G2437">
        <v>3</v>
      </c>
      <c r="H2437" t="s">
        <v>67</v>
      </c>
      <c r="I2437" t="s">
        <v>121</v>
      </c>
      <c r="J2437" t="s">
        <v>122</v>
      </c>
      <c r="K2437">
        <v>0</v>
      </c>
      <c r="L2437" s="84">
        <v>-23836</v>
      </c>
      <c r="M2437" s="84">
        <v>0</v>
      </c>
    </row>
    <row r="2438" spans="3:13" hidden="1" x14ac:dyDescent="0.25">
      <c r="C2438" t="s">
        <v>64</v>
      </c>
      <c r="D2438" t="s">
        <v>120</v>
      </c>
      <c r="E2438" t="s">
        <v>60</v>
      </c>
      <c r="F2438" t="s">
        <v>24</v>
      </c>
      <c r="G2438">
        <v>1</v>
      </c>
      <c r="H2438" t="s">
        <v>17</v>
      </c>
      <c r="I2438" t="s">
        <v>121</v>
      </c>
      <c r="J2438" t="s">
        <v>122</v>
      </c>
      <c r="K2438">
        <v>0</v>
      </c>
      <c r="L2438" s="84">
        <v>-4183</v>
      </c>
      <c r="M2438" s="84">
        <v>0</v>
      </c>
    </row>
    <row r="2439" spans="3:13" hidden="1" x14ac:dyDescent="0.25">
      <c r="C2439" t="s">
        <v>119</v>
      </c>
      <c r="D2439" t="s">
        <v>120</v>
      </c>
      <c r="E2439" t="s">
        <v>60</v>
      </c>
      <c r="F2439" t="s">
        <v>123</v>
      </c>
      <c r="G2439">
        <v>3</v>
      </c>
      <c r="H2439" t="s">
        <v>17</v>
      </c>
      <c r="I2439" t="s">
        <v>62</v>
      </c>
      <c r="J2439" t="s">
        <v>66</v>
      </c>
      <c r="K2439">
        <v>1</v>
      </c>
      <c r="L2439" s="84">
        <v>-437</v>
      </c>
      <c r="M2439" s="84">
        <v>0</v>
      </c>
    </row>
    <row r="2440" spans="3:13" hidden="1" x14ac:dyDescent="0.25">
      <c r="C2440" t="s">
        <v>65</v>
      </c>
      <c r="D2440" t="s">
        <v>120</v>
      </c>
      <c r="E2440" t="s">
        <v>60</v>
      </c>
      <c r="F2440" t="s">
        <v>25</v>
      </c>
      <c r="G2440">
        <v>-4</v>
      </c>
      <c r="H2440" t="s">
        <v>18</v>
      </c>
      <c r="I2440" t="s">
        <v>121</v>
      </c>
      <c r="J2440" t="s">
        <v>66</v>
      </c>
      <c r="K2440">
        <v>1</v>
      </c>
      <c r="L2440" s="84">
        <v>-138</v>
      </c>
      <c r="M2440" s="84">
        <v>0</v>
      </c>
    </row>
    <row r="2441" spans="3:13" hidden="1" x14ac:dyDescent="0.25">
      <c r="C2441" t="s">
        <v>119</v>
      </c>
      <c r="D2441" t="s">
        <v>120</v>
      </c>
      <c r="E2441" t="s">
        <v>60</v>
      </c>
      <c r="F2441" t="s">
        <v>25</v>
      </c>
      <c r="G2441">
        <v>15</v>
      </c>
      <c r="H2441" t="s">
        <v>18</v>
      </c>
      <c r="I2441" t="s">
        <v>121</v>
      </c>
      <c r="J2441" t="s">
        <v>122</v>
      </c>
      <c r="K2441">
        <v>0</v>
      </c>
      <c r="L2441" s="84">
        <v>-1447</v>
      </c>
      <c r="M2441" s="84">
        <v>0</v>
      </c>
    </row>
    <row r="2442" spans="3:13" hidden="1" x14ac:dyDescent="0.25">
      <c r="C2442" t="s">
        <v>65</v>
      </c>
      <c r="D2442" t="s">
        <v>120</v>
      </c>
      <c r="E2442" t="s">
        <v>63</v>
      </c>
      <c r="F2442" t="s">
        <v>25</v>
      </c>
      <c r="G2442">
        <v>-1</v>
      </c>
      <c r="H2442" t="s">
        <v>61</v>
      </c>
      <c r="I2442" t="s">
        <v>121</v>
      </c>
      <c r="J2442" t="s">
        <v>122</v>
      </c>
      <c r="K2442">
        <v>0</v>
      </c>
      <c r="L2442" s="84">
        <v>641</v>
      </c>
      <c r="M2442" s="84">
        <v>0</v>
      </c>
    </row>
    <row r="2443" spans="3:13" hidden="1" x14ac:dyDescent="0.25">
      <c r="C2443" t="s">
        <v>119</v>
      </c>
      <c r="D2443" t="s">
        <v>120</v>
      </c>
      <c r="E2443" t="s">
        <v>63</v>
      </c>
      <c r="F2443" t="s">
        <v>24</v>
      </c>
      <c r="G2443">
        <v>0</v>
      </c>
      <c r="H2443" t="s">
        <v>69</v>
      </c>
      <c r="I2443" t="s">
        <v>121</v>
      </c>
      <c r="J2443" t="s">
        <v>122</v>
      </c>
      <c r="K2443">
        <v>0</v>
      </c>
      <c r="L2443" s="84">
        <v>236299</v>
      </c>
      <c r="M2443" s="84">
        <v>0</v>
      </c>
    </row>
    <row r="2444" spans="3:13" hidden="1" x14ac:dyDescent="0.25">
      <c r="C2444" t="s">
        <v>119</v>
      </c>
      <c r="D2444" t="s">
        <v>125</v>
      </c>
      <c r="E2444" t="s">
        <v>60</v>
      </c>
      <c r="F2444" t="s">
        <v>25</v>
      </c>
      <c r="G2444">
        <v>9</v>
      </c>
      <c r="I2444" t="s">
        <v>121</v>
      </c>
      <c r="J2444" t="s">
        <v>122</v>
      </c>
      <c r="K2444">
        <v>0</v>
      </c>
      <c r="L2444" s="84">
        <v>-9546</v>
      </c>
      <c r="M2444" s="84">
        <v>0</v>
      </c>
    </row>
    <row r="2445" spans="3:13" hidden="1" x14ac:dyDescent="0.25">
      <c r="C2445" t="s">
        <v>119</v>
      </c>
      <c r="D2445" t="s">
        <v>120</v>
      </c>
      <c r="E2445" t="s">
        <v>63</v>
      </c>
      <c r="F2445" t="s">
        <v>25</v>
      </c>
      <c r="G2445">
        <v>6</v>
      </c>
      <c r="H2445" t="s">
        <v>71</v>
      </c>
      <c r="I2445" t="s">
        <v>121</v>
      </c>
      <c r="J2445" t="s">
        <v>122</v>
      </c>
      <c r="K2445">
        <v>0</v>
      </c>
      <c r="L2445" s="84">
        <v>254174</v>
      </c>
      <c r="M2445" s="84">
        <v>1525044</v>
      </c>
    </row>
    <row r="2446" spans="3:13" hidden="1" x14ac:dyDescent="0.25">
      <c r="C2446" t="s">
        <v>65</v>
      </c>
      <c r="D2446" t="s">
        <v>120</v>
      </c>
      <c r="E2446" t="s">
        <v>60</v>
      </c>
      <c r="F2446" t="s">
        <v>24</v>
      </c>
      <c r="G2446">
        <v>1</v>
      </c>
      <c r="H2446" t="s">
        <v>68</v>
      </c>
      <c r="I2446" t="s">
        <v>121</v>
      </c>
      <c r="J2446" t="s">
        <v>122</v>
      </c>
      <c r="K2446">
        <v>0</v>
      </c>
      <c r="L2446" s="84">
        <v>-25521</v>
      </c>
      <c r="M2446" s="84">
        <v>0</v>
      </c>
    </row>
    <row r="2447" spans="3:13" hidden="1" x14ac:dyDescent="0.25">
      <c r="C2447" t="s">
        <v>119</v>
      </c>
      <c r="D2447" t="s">
        <v>120</v>
      </c>
      <c r="E2447" t="s">
        <v>60</v>
      </c>
      <c r="F2447" t="s">
        <v>124</v>
      </c>
      <c r="G2447">
        <v>-1</v>
      </c>
      <c r="H2447" t="s">
        <v>75</v>
      </c>
      <c r="I2447" t="s">
        <v>62</v>
      </c>
      <c r="J2447" t="s">
        <v>122</v>
      </c>
      <c r="K2447">
        <v>1</v>
      </c>
      <c r="L2447" s="84">
        <v>-80</v>
      </c>
      <c r="M2447" s="84">
        <v>0</v>
      </c>
    </row>
    <row r="2448" spans="3:13" hidden="1" x14ac:dyDescent="0.25">
      <c r="C2448" t="s">
        <v>119</v>
      </c>
      <c r="D2448" t="s">
        <v>120</v>
      </c>
      <c r="E2448" t="s">
        <v>60</v>
      </c>
      <c r="F2448" t="s">
        <v>123</v>
      </c>
      <c r="G2448">
        <v>3</v>
      </c>
      <c r="H2448" t="s">
        <v>67</v>
      </c>
      <c r="I2448" t="s">
        <v>121</v>
      </c>
      <c r="J2448" t="s">
        <v>122</v>
      </c>
      <c r="K2448">
        <v>0</v>
      </c>
      <c r="L2448" s="84">
        <v>-9608</v>
      </c>
      <c r="M2448" s="84">
        <v>0</v>
      </c>
    </row>
    <row r="2449" spans="3:13" hidden="1" x14ac:dyDescent="0.25">
      <c r="C2449" t="s">
        <v>64</v>
      </c>
      <c r="D2449" t="s">
        <v>120</v>
      </c>
      <c r="E2449" t="s">
        <v>63</v>
      </c>
      <c r="F2449" t="s">
        <v>123</v>
      </c>
      <c r="G2449">
        <v>1</v>
      </c>
      <c r="H2449" t="s">
        <v>17</v>
      </c>
      <c r="I2449" t="s">
        <v>121</v>
      </c>
      <c r="J2449" t="s">
        <v>66</v>
      </c>
      <c r="K2449">
        <v>1</v>
      </c>
      <c r="L2449" s="84">
        <v>45604</v>
      </c>
      <c r="M2449" s="84">
        <v>45604</v>
      </c>
    </row>
    <row r="2450" spans="3:13" hidden="1" x14ac:dyDescent="0.25">
      <c r="C2450" t="s">
        <v>65</v>
      </c>
      <c r="D2450" t="s">
        <v>120</v>
      </c>
      <c r="E2450" t="s">
        <v>63</v>
      </c>
      <c r="F2450" t="s">
        <v>123</v>
      </c>
      <c r="G2450">
        <v>0</v>
      </c>
      <c r="H2450" t="s">
        <v>61</v>
      </c>
      <c r="I2450" t="s">
        <v>121</v>
      </c>
      <c r="J2450" t="s">
        <v>122</v>
      </c>
      <c r="K2450">
        <v>0</v>
      </c>
      <c r="L2450" s="84">
        <v>2809</v>
      </c>
      <c r="M2450" s="84">
        <v>0</v>
      </c>
    </row>
    <row r="2451" spans="3:13" hidden="1" x14ac:dyDescent="0.25">
      <c r="C2451" t="s">
        <v>64</v>
      </c>
      <c r="D2451" t="s">
        <v>120</v>
      </c>
      <c r="E2451" t="s">
        <v>63</v>
      </c>
      <c r="F2451" t="s">
        <v>123</v>
      </c>
      <c r="G2451">
        <v>2</v>
      </c>
      <c r="H2451" t="s">
        <v>68</v>
      </c>
      <c r="I2451" t="s">
        <v>121</v>
      </c>
      <c r="J2451" t="s">
        <v>122</v>
      </c>
      <c r="K2451">
        <v>0</v>
      </c>
      <c r="L2451" s="84">
        <v>596419</v>
      </c>
      <c r="M2451" s="84">
        <v>1192838</v>
      </c>
    </row>
    <row r="2452" spans="3:13" hidden="1" x14ac:dyDescent="0.25">
      <c r="C2452" t="s">
        <v>64</v>
      </c>
      <c r="D2452" t="s">
        <v>120</v>
      </c>
      <c r="E2452" t="s">
        <v>63</v>
      </c>
      <c r="F2452" t="s">
        <v>124</v>
      </c>
      <c r="G2452">
        <v>-1</v>
      </c>
      <c r="H2452" t="s">
        <v>17</v>
      </c>
      <c r="I2452" t="s">
        <v>121</v>
      </c>
      <c r="J2452" t="s">
        <v>66</v>
      </c>
      <c r="K2452">
        <v>1</v>
      </c>
      <c r="L2452" s="84">
        <v>1813699</v>
      </c>
      <c r="M2452" s="84">
        <v>0</v>
      </c>
    </row>
    <row r="2453" spans="3:13" hidden="1" x14ac:dyDescent="0.25">
      <c r="C2453" t="s">
        <v>119</v>
      </c>
      <c r="D2453" t="s">
        <v>120</v>
      </c>
      <c r="E2453" t="s">
        <v>63</v>
      </c>
      <c r="F2453" t="s">
        <v>25</v>
      </c>
      <c r="G2453">
        <v>13</v>
      </c>
      <c r="H2453" t="s">
        <v>18</v>
      </c>
      <c r="I2453" t="s">
        <v>121</v>
      </c>
      <c r="J2453" t="s">
        <v>122</v>
      </c>
      <c r="K2453">
        <v>0</v>
      </c>
      <c r="L2453" s="84">
        <v>2577304</v>
      </c>
      <c r="M2453" s="84">
        <v>33504952</v>
      </c>
    </row>
    <row r="2454" spans="3:13" hidden="1" x14ac:dyDescent="0.25">
      <c r="C2454" t="s">
        <v>119</v>
      </c>
      <c r="D2454" t="s">
        <v>120</v>
      </c>
      <c r="E2454" t="s">
        <v>63</v>
      </c>
      <c r="F2454" t="s">
        <v>124</v>
      </c>
      <c r="G2454">
        <v>6</v>
      </c>
      <c r="H2454" t="s">
        <v>68</v>
      </c>
      <c r="I2454" t="s">
        <v>121</v>
      </c>
      <c r="J2454" t="s">
        <v>122</v>
      </c>
      <c r="K2454">
        <v>0</v>
      </c>
      <c r="L2454" s="84">
        <v>1757244</v>
      </c>
      <c r="M2454" s="84">
        <v>10543464</v>
      </c>
    </row>
    <row r="2455" spans="3:13" hidden="1" x14ac:dyDescent="0.25">
      <c r="C2455" t="s">
        <v>119</v>
      </c>
      <c r="D2455" t="s">
        <v>120</v>
      </c>
      <c r="E2455" t="s">
        <v>60</v>
      </c>
      <c r="F2455" t="s">
        <v>123</v>
      </c>
      <c r="G2455">
        <v>0</v>
      </c>
      <c r="H2455" t="s">
        <v>12</v>
      </c>
      <c r="I2455" t="s">
        <v>121</v>
      </c>
      <c r="J2455" t="s">
        <v>122</v>
      </c>
      <c r="K2455">
        <v>0</v>
      </c>
      <c r="L2455" s="84">
        <v>-327</v>
      </c>
      <c r="M2455" s="84">
        <v>0</v>
      </c>
    </row>
    <row r="2456" spans="3:13" hidden="1" x14ac:dyDescent="0.25">
      <c r="C2456" t="s">
        <v>119</v>
      </c>
      <c r="D2456" t="s">
        <v>120</v>
      </c>
      <c r="E2456" t="s">
        <v>60</v>
      </c>
      <c r="F2456" t="s">
        <v>124</v>
      </c>
      <c r="G2456">
        <v>3</v>
      </c>
      <c r="H2456" t="s">
        <v>17</v>
      </c>
      <c r="I2456" t="s">
        <v>121</v>
      </c>
      <c r="J2456" t="s">
        <v>122</v>
      </c>
      <c r="K2456">
        <v>0</v>
      </c>
      <c r="L2456" s="84">
        <v>-145317</v>
      </c>
      <c r="M2456" s="84">
        <v>0</v>
      </c>
    </row>
    <row r="2457" spans="3:13" hidden="1" x14ac:dyDescent="0.25">
      <c r="C2457" t="s">
        <v>119</v>
      </c>
      <c r="D2457" t="s">
        <v>120</v>
      </c>
      <c r="E2457" t="s">
        <v>63</v>
      </c>
      <c r="F2457" t="s">
        <v>123</v>
      </c>
      <c r="G2457">
        <v>-4</v>
      </c>
      <c r="H2457" t="s">
        <v>68</v>
      </c>
      <c r="I2457" t="s">
        <v>121</v>
      </c>
      <c r="J2457" t="s">
        <v>122</v>
      </c>
      <c r="K2457">
        <v>0</v>
      </c>
      <c r="L2457" s="84">
        <v>99</v>
      </c>
      <c r="M2457" s="84">
        <v>0</v>
      </c>
    </row>
    <row r="2458" spans="3:13" hidden="1" x14ac:dyDescent="0.25">
      <c r="C2458" t="s">
        <v>65</v>
      </c>
      <c r="D2458" t="s">
        <v>120</v>
      </c>
      <c r="E2458" t="s">
        <v>63</v>
      </c>
      <c r="F2458" t="s">
        <v>124</v>
      </c>
      <c r="G2458">
        <v>7</v>
      </c>
      <c r="H2458" t="s">
        <v>16</v>
      </c>
      <c r="I2458" t="s">
        <v>121</v>
      </c>
      <c r="J2458" t="s">
        <v>122</v>
      </c>
      <c r="K2458">
        <v>0</v>
      </c>
      <c r="L2458" s="84">
        <v>13755</v>
      </c>
      <c r="M2458" s="84">
        <v>96285</v>
      </c>
    </row>
    <row r="2459" spans="3:13" hidden="1" x14ac:dyDescent="0.25">
      <c r="C2459" t="s">
        <v>119</v>
      </c>
      <c r="D2459" t="s">
        <v>120</v>
      </c>
      <c r="E2459" t="s">
        <v>63</v>
      </c>
      <c r="F2459" t="s">
        <v>25</v>
      </c>
      <c r="G2459">
        <v>15</v>
      </c>
      <c r="H2459" t="s">
        <v>18</v>
      </c>
      <c r="I2459" t="s">
        <v>121</v>
      </c>
      <c r="J2459" t="s">
        <v>122</v>
      </c>
      <c r="K2459">
        <v>0</v>
      </c>
      <c r="L2459" s="84">
        <v>1032176</v>
      </c>
      <c r="M2459" s="84">
        <v>15482640</v>
      </c>
    </row>
    <row r="2460" spans="3:13" hidden="1" x14ac:dyDescent="0.25">
      <c r="C2460" t="s">
        <v>65</v>
      </c>
      <c r="D2460" t="s">
        <v>120</v>
      </c>
      <c r="E2460" t="s">
        <v>63</v>
      </c>
      <c r="F2460" t="s">
        <v>124</v>
      </c>
      <c r="G2460">
        <v>4</v>
      </c>
      <c r="H2460" t="s">
        <v>71</v>
      </c>
      <c r="I2460" t="s">
        <v>121</v>
      </c>
      <c r="J2460" t="s">
        <v>122</v>
      </c>
      <c r="K2460">
        <v>0</v>
      </c>
      <c r="L2460" s="84">
        <v>13709</v>
      </c>
      <c r="M2460" s="84">
        <v>54836</v>
      </c>
    </row>
    <row r="2461" spans="3:13" hidden="1" x14ac:dyDescent="0.25">
      <c r="C2461" t="s">
        <v>65</v>
      </c>
      <c r="D2461" t="s">
        <v>120</v>
      </c>
      <c r="E2461" t="s">
        <v>63</v>
      </c>
      <c r="F2461" t="s">
        <v>123</v>
      </c>
      <c r="G2461">
        <v>5</v>
      </c>
      <c r="H2461" t="s">
        <v>70</v>
      </c>
      <c r="I2461" t="s">
        <v>121</v>
      </c>
      <c r="J2461" t="s">
        <v>122</v>
      </c>
      <c r="K2461">
        <v>0</v>
      </c>
      <c r="L2461" s="84">
        <v>25628</v>
      </c>
      <c r="M2461" s="84">
        <v>128140</v>
      </c>
    </row>
    <row r="2462" spans="3:13" hidden="1" x14ac:dyDescent="0.25">
      <c r="C2462" t="s">
        <v>119</v>
      </c>
      <c r="D2462" t="s">
        <v>120</v>
      </c>
      <c r="E2462" t="s">
        <v>63</v>
      </c>
      <c r="F2462" t="s">
        <v>124</v>
      </c>
      <c r="G2462">
        <v>8</v>
      </c>
      <c r="H2462" t="s">
        <v>12</v>
      </c>
      <c r="I2462" t="s">
        <v>121</v>
      </c>
      <c r="J2462" t="s">
        <v>122</v>
      </c>
      <c r="K2462">
        <v>0</v>
      </c>
      <c r="L2462" s="84">
        <v>1259989</v>
      </c>
      <c r="M2462" s="84">
        <v>10079912</v>
      </c>
    </row>
    <row r="2463" spans="3:13" hidden="1" x14ac:dyDescent="0.25">
      <c r="C2463" t="s">
        <v>64</v>
      </c>
      <c r="D2463" t="s">
        <v>120</v>
      </c>
      <c r="E2463" t="s">
        <v>60</v>
      </c>
      <c r="F2463" t="s">
        <v>123</v>
      </c>
      <c r="G2463">
        <v>3</v>
      </c>
      <c r="H2463" t="s">
        <v>73</v>
      </c>
      <c r="I2463" t="s">
        <v>121</v>
      </c>
      <c r="J2463" t="s">
        <v>122</v>
      </c>
      <c r="K2463">
        <v>0</v>
      </c>
      <c r="L2463" s="84">
        <v>-5973</v>
      </c>
      <c r="M2463" s="84">
        <v>0</v>
      </c>
    </row>
    <row r="2464" spans="3:13" hidden="1" x14ac:dyDescent="0.25">
      <c r="C2464" t="s">
        <v>64</v>
      </c>
      <c r="D2464" t="s">
        <v>120</v>
      </c>
      <c r="E2464" t="s">
        <v>60</v>
      </c>
      <c r="F2464" t="s">
        <v>123</v>
      </c>
      <c r="G2464">
        <v>-4</v>
      </c>
      <c r="H2464" t="s">
        <v>16</v>
      </c>
      <c r="I2464" t="s">
        <v>121</v>
      </c>
      <c r="J2464" t="s">
        <v>122</v>
      </c>
      <c r="K2464">
        <v>0</v>
      </c>
      <c r="L2464" s="84">
        <v>-17</v>
      </c>
      <c r="M2464" s="84">
        <v>0</v>
      </c>
    </row>
    <row r="2465" spans="3:13" hidden="1" x14ac:dyDescent="0.25">
      <c r="C2465" t="s">
        <v>119</v>
      </c>
      <c r="D2465" t="s">
        <v>120</v>
      </c>
      <c r="E2465" t="s">
        <v>60</v>
      </c>
      <c r="F2465" t="s">
        <v>24</v>
      </c>
      <c r="G2465">
        <v>3</v>
      </c>
      <c r="H2465" t="s">
        <v>72</v>
      </c>
      <c r="I2465" t="s">
        <v>121</v>
      </c>
      <c r="J2465" t="s">
        <v>122</v>
      </c>
      <c r="K2465">
        <v>0</v>
      </c>
      <c r="L2465" s="84">
        <v>-380</v>
      </c>
      <c r="M2465" s="84">
        <v>0</v>
      </c>
    </row>
    <row r="2466" spans="3:13" hidden="1" x14ac:dyDescent="0.25">
      <c r="C2466" t="s">
        <v>119</v>
      </c>
      <c r="D2466" t="s">
        <v>120</v>
      </c>
      <c r="E2466" t="s">
        <v>60</v>
      </c>
      <c r="F2466" t="s">
        <v>124</v>
      </c>
      <c r="G2466">
        <v>5</v>
      </c>
      <c r="H2466" t="s">
        <v>72</v>
      </c>
      <c r="I2466" t="s">
        <v>121</v>
      </c>
      <c r="J2466" t="s">
        <v>122</v>
      </c>
      <c r="K2466">
        <v>0</v>
      </c>
      <c r="L2466" s="84">
        <v>-30664</v>
      </c>
      <c r="M2466" s="84">
        <v>0</v>
      </c>
    </row>
    <row r="2467" spans="3:13" hidden="1" x14ac:dyDescent="0.25">
      <c r="C2467" t="s">
        <v>119</v>
      </c>
      <c r="D2467" t="s">
        <v>120</v>
      </c>
      <c r="E2467" t="s">
        <v>60</v>
      </c>
      <c r="F2467" t="s">
        <v>123</v>
      </c>
      <c r="G2467">
        <v>4</v>
      </c>
      <c r="H2467" t="s">
        <v>17</v>
      </c>
      <c r="I2467" t="s">
        <v>62</v>
      </c>
      <c r="J2467" t="s">
        <v>66</v>
      </c>
      <c r="K2467">
        <v>1</v>
      </c>
      <c r="L2467" s="84">
        <v>-1082</v>
      </c>
      <c r="M2467" s="84">
        <v>0</v>
      </c>
    </row>
    <row r="2468" spans="3:13" hidden="1" x14ac:dyDescent="0.25">
      <c r="C2468" t="s">
        <v>65</v>
      </c>
      <c r="D2468" t="s">
        <v>120</v>
      </c>
      <c r="E2468" t="s">
        <v>60</v>
      </c>
      <c r="F2468" t="s">
        <v>123</v>
      </c>
      <c r="G2468">
        <v>0</v>
      </c>
      <c r="H2468" t="s">
        <v>12</v>
      </c>
      <c r="I2468" t="s">
        <v>121</v>
      </c>
      <c r="J2468" t="s">
        <v>66</v>
      </c>
      <c r="K2468">
        <v>1</v>
      </c>
      <c r="L2468" s="84">
        <v>-4681</v>
      </c>
      <c r="M2468" s="84">
        <v>0</v>
      </c>
    </row>
    <row r="2469" spans="3:13" hidden="1" x14ac:dyDescent="0.25">
      <c r="C2469" t="s">
        <v>65</v>
      </c>
      <c r="D2469" t="s">
        <v>120</v>
      </c>
      <c r="E2469" t="s">
        <v>63</v>
      </c>
      <c r="F2469" t="s">
        <v>25</v>
      </c>
      <c r="G2469">
        <v>3</v>
      </c>
      <c r="H2469" t="s">
        <v>68</v>
      </c>
      <c r="I2469" t="s">
        <v>121</v>
      </c>
      <c r="J2469" t="s">
        <v>122</v>
      </c>
      <c r="K2469">
        <v>0</v>
      </c>
      <c r="L2469" s="84">
        <v>2922498</v>
      </c>
      <c r="M2469" s="84">
        <v>8767494</v>
      </c>
    </row>
    <row r="2470" spans="3:13" hidden="1" x14ac:dyDescent="0.25">
      <c r="C2470" t="s">
        <v>119</v>
      </c>
      <c r="D2470" t="s">
        <v>120</v>
      </c>
      <c r="E2470" t="s">
        <v>63</v>
      </c>
      <c r="F2470" t="s">
        <v>25</v>
      </c>
      <c r="G2470">
        <v>6</v>
      </c>
      <c r="H2470" t="s">
        <v>61</v>
      </c>
      <c r="I2470" t="s">
        <v>121</v>
      </c>
      <c r="J2470" t="s">
        <v>122</v>
      </c>
      <c r="K2470">
        <v>0</v>
      </c>
      <c r="L2470" s="84">
        <v>3462338</v>
      </c>
      <c r="M2470" s="84">
        <v>20774028</v>
      </c>
    </row>
    <row r="2471" spans="3:13" hidden="1" x14ac:dyDescent="0.25">
      <c r="C2471" t="s">
        <v>119</v>
      </c>
      <c r="D2471" t="s">
        <v>120</v>
      </c>
      <c r="E2471" t="s">
        <v>63</v>
      </c>
      <c r="F2471" t="s">
        <v>24</v>
      </c>
      <c r="G2471">
        <v>10</v>
      </c>
      <c r="H2471" t="s">
        <v>67</v>
      </c>
      <c r="I2471" t="s">
        <v>121</v>
      </c>
      <c r="J2471" t="s">
        <v>122</v>
      </c>
      <c r="K2471">
        <v>0</v>
      </c>
      <c r="L2471" s="84">
        <v>3000388</v>
      </c>
      <c r="M2471" s="84">
        <v>30003880</v>
      </c>
    </row>
    <row r="2472" spans="3:13" hidden="1" x14ac:dyDescent="0.25">
      <c r="C2472" t="s">
        <v>64</v>
      </c>
      <c r="D2472" t="s">
        <v>120</v>
      </c>
      <c r="E2472" t="s">
        <v>60</v>
      </c>
      <c r="F2472" t="s">
        <v>124</v>
      </c>
      <c r="G2472">
        <v>7</v>
      </c>
      <c r="H2472" t="s">
        <v>70</v>
      </c>
      <c r="I2472" t="s">
        <v>121</v>
      </c>
      <c r="J2472" t="s">
        <v>122</v>
      </c>
      <c r="K2472">
        <v>0</v>
      </c>
      <c r="L2472" s="84">
        <v>-1780</v>
      </c>
      <c r="M2472" s="84">
        <v>0</v>
      </c>
    </row>
    <row r="2473" spans="3:13" hidden="1" x14ac:dyDescent="0.25">
      <c r="C2473" t="s">
        <v>65</v>
      </c>
      <c r="D2473" t="s">
        <v>120</v>
      </c>
      <c r="E2473" t="s">
        <v>60</v>
      </c>
      <c r="F2473" t="s">
        <v>124</v>
      </c>
      <c r="G2473">
        <v>5</v>
      </c>
      <c r="H2473" t="s">
        <v>73</v>
      </c>
      <c r="I2473" t="s">
        <v>121</v>
      </c>
      <c r="J2473" t="s">
        <v>122</v>
      </c>
      <c r="K2473">
        <v>0</v>
      </c>
      <c r="L2473" s="84">
        <v>-25677</v>
      </c>
      <c r="M2473" s="84">
        <v>0</v>
      </c>
    </row>
    <row r="2474" spans="3:13" hidden="1" x14ac:dyDescent="0.25">
      <c r="C2474" t="s">
        <v>64</v>
      </c>
      <c r="D2474" t="s">
        <v>120</v>
      </c>
      <c r="E2474" t="s">
        <v>60</v>
      </c>
      <c r="F2474" t="s">
        <v>123</v>
      </c>
      <c r="G2474">
        <v>4</v>
      </c>
      <c r="H2474" t="s">
        <v>67</v>
      </c>
      <c r="I2474" t="s">
        <v>121</v>
      </c>
      <c r="J2474" t="s">
        <v>122</v>
      </c>
      <c r="K2474">
        <v>0</v>
      </c>
      <c r="L2474" s="84">
        <v>-27552</v>
      </c>
      <c r="M2474" s="84">
        <v>0</v>
      </c>
    </row>
    <row r="2475" spans="3:13" hidden="1" x14ac:dyDescent="0.25">
      <c r="C2475" t="s">
        <v>64</v>
      </c>
      <c r="D2475" t="s">
        <v>120</v>
      </c>
      <c r="E2475" t="s">
        <v>63</v>
      </c>
      <c r="F2475" t="s">
        <v>123</v>
      </c>
      <c r="G2475">
        <v>2</v>
      </c>
      <c r="H2475" t="s">
        <v>76</v>
      </c>
      <c r="I2475" t="s">
        <v>121</v>
      </c>
      <c r="J2475" t="s">
        <v>122</v>
      </c>
      <c r="K2475">
        <v>0</v>
      </c>
      <c r="L2475" s="84">
        <v>78566</v>
      </c>
      <c r="M2475" s="84">
        <v>157132</v>
      </c>
    </row>
    <row r="2476" spans="3:13" hidden="1" x14ac:dyDescent="0.25">
      <c r="C2476" t="s">
        <v>64</v>
      </c>
      <c r="D2476" t="s">
        <v>120</v>
      </c>
      <c r="E2476" t="s">
        <v>60</v>
      </c>
      <c r="F2476" t="s">
        <v>123</v>
      </c>
      <c r="G2476">
        <v>1</v>
      </c>
      <c r="H2476" t="s">
        <v>18</v>
      </c>
      <c r="I2476" t="s">
        <v>121</v>
      </c>
      <c r="J2476" t="s">
        <v>66</v>
      </c>
      <c r="K2476">
        <v>1</v>
      </c>
      <c r="L2476" s="84">
        <v>-1368</v>
      </c>
      <c r="M2476" s="84">
        <v>0</v>
      </c>
    </row>
    <row r="2477" spans="3:13" hidden="1" x14ac:dyDescent="0.25">
      <c r="C2477" t="s">
        <v>119</v>
      </c>
      <c r="D2477" t="s">
        <v>120</v>
      </c>
      <c r="E2477" t="s">
        <v>63</v>
      </c>
      <c r="F2477" t="s">
        <v>25</v>
      </c>
      <c r="G2477">
        <v>10</v>
      </c>
      <c r="H2477" t="s">
        <v>73</v>
      </c>
      <c r="I2477" t="s">
        <v>121</v>
      </c>
      <c r="J2477" t="s">
        <v>122</v>
      </c>
      <c r="K2477">
        <v>0</v>
      </c>
      <c r="L2477" s="84">
        <v>312926</v>
      </c>
      <c r="M2477" s="84">
        <v>3129260</v>
      </c>
    </row>
    <row r="2478" spans="3:13" hidden="1" x14ac:dyDescent="0.25">
      <c r="C2478" t="s">
        <v>119</v>
      </c>
      <c r="D2478" t="s">
        <v>120</v>
      </c>
      <c r="E2478" t="s">
        <v>60</v>
      </c>
      <c r="F2478" t="s">
        <v>25</v>
      </c>
      <c r="G2478">
        <v>8</v>
      </c>
      <c r="H2478" t="s">
        <v>17</v>
      </c>
      <c r="I2478" t="s">
        <v>121</v>
      </c>
      <c r="J2478" t="s">
        <v>122</v>
      </c>
      <c r="K2478">
        <v>0</v>
      </c>
      <c r="L2478" s="84">
        <v>-20070</v>
      </c>
      <c r="M2478" s="84">
        <v>0</v>
      </c>
    </row>
    <row r="2479" spans="3:13" hidden="1" x14ac:dyDescent="0.25">
      <c r="C2479" t="s">
        <v>119</v>
      </c>
      <c r="D2479" t="s">
        <v>125</v>
      </c>
      <c r="E2479" t="s">
        <v>60</v>
      </c>
      <c r="F2479" t="s">
        <v>25</v>
      </c>
      <c r="G2479">
        <v>24</v>
      </c>
      <c r="I2479" t="s">
        <v>121</v>
      </c>
      <c r="J2479" t="s">
        <v>122</v>
      </c>
      <c r="K2479">
        <v>0</v>
      </c>
      <c r="L2479" s="84">
        <v>-221</v>
      </c>
      <c r="M2479" s="84">
        <v>0</v>
      </c>
    </row>
    <row r="2480" spans="3:13" hidden="1" x14ac:dyDescent="0.25">
      <c r="C2480" t="s">
        <v>119</v>
      </c>
      <c r="D2480" t="s">
        <v>120</v>
      </c>
      <c r="E2480" t="s">
        <v>63</v>
      </c>
      <c r="F2480" t="s">
        <v>123</v>
      </c>
      <c r="G2480">
        <v>0</v>
      </c>
      <c r="H2480" t="s">
        <v>16</v>
      </c>
      <c r="I2480" t="s">
        <v>121</v>
      </c>
      <c r="J2480" t="s">
        <v>122</v>
      </c>
      <c r="K2480">
        <v>0</v>
      </c>
      <c r="L2480" s="84">
        <v>76656</v>
      </c>
      <c r="M2480" s="84">
        <v>0</v>
      </c>
    </row>
    <row r="2481" spans="3:13" hidden="1" x14ac:dyDescent="0.25">
      <c r="C2481" t="s">
        <v>65</v>
      </c>
      <c r="D2481" t="s">
        <v>120</v>
      </c>
      <c r="E2481" t="s">
        <v>60</v>
      </c>
      <c r="F2481" t="s">
        <v>124</v>
      </c>
      <c r="G2481">
        <v>8</v>
      </c>
      <c r="H2481" t="s">
        <v>12</v>
      </c>
      <c r="I2481" t="s">
        <v>121</v>
      </c>
      <c r="J2481" t="s">
        <v>66</v>
      </c>
      <c r="K2481">
        <v>1</v>
      </c>
      <c r="L2481" s="84">
        <v>-25159</v>
      </c>
      <c r="M2481" s="84">
        <v>0</v>
      </c>
    </row>
    <row r="2482" spans="3:13" hidden="1" x14ac:dyDescent="0.25">
      <c r="C2482" t="s">
        <v>64</v>
      </c>
      <c r="D2482" t="s">
        <v>120</v>
      </c>
      <c r="E2482" t="s">
        <v>60</v>
      </c>
      <c r="F2482" t="s">
        <v>124</v>
      </c>
      <c r="G2482">
        <v>6</v>
      </c>
      <c r="H2482" t="s">
        <v>14</v>
      </c>
      <c r="I2482" t="s">
        <v>121</v>
      </c>
      <c r="J2482" t="s">
        <v>66</v>
      </c>
      <c r="K2482">
        <v>1</v>
      </c>
      <c r="L2482" s="84">
        <v>-39782</v>
      </c>
      <c r="M2482" s="84">
        <v>0</v>
      </c>
    </row>
    <row r="2483" spans="3:13" hidden="1" x14ac:dyDescent="0.25">
      <c r="C2483" t="s">
        <v>119</v>
      </c>
      <c r="D2483" t="s">
        <v>120</v>
      </c>
      <c r="E2483" t="s">
        <v>60</v>
      </c>
      <c r="F2483" t="s">
        <v>124</v>
      </c>
      <c r="G2483">
        <v>12</v>
      </c>
      <c r="H2483" t="s">
        <v>68</v>
      </c>
      <c r="I2483" t="s">
        <v>121</v>
      </c>
      <c r="J2483" t="s">
        <v>122</v>
      </c>
      <c r="K2483">
        <v>0</v>
      </c>
      <c r="L2483" s="84">
        <v>-3134</v>
      </c>
      <c r="M2483" s="84">
        <v>0</v>
      </c>
    </row>
    <row r="2484" spans="3:13" hidden="1" x14ac:dyDescent="0.25">
      <c r="C2484" t="s">
        <v>119</v>
      </c>
      <c r="D2484" t="s">
        <v>120</v>
      </c>
      <c r="E2484" t="s">
        <v>60</v>
      </c>
      <c r="F2484" t="s">
        <v>25</v>
      </c>
      <c r="G2484">
        <v>1</v>
      </c>
      <c r="H2484" t="s">
        <v>12</v>
      </c>
      <c r="I2484" t="s">
        <v>121</v>
      </c>
      <c r="J2484" t="s">
        <v>122</v>
      </c>
      <c r="K2484">
        <v>0</v>
      </c>
      <c r="L2484" s="84">
        <v>-32</v>
      </c>
      <c r="M2484" s="84">
        <v>0</v>
      </c>
    </row>
    <row r="2485" spans="3:13" hidden="1" x14ac:dyDescent="0.25">
      <c r="C2485" t="s">
        <v>64</v>
      </c>
      <c r="D2485" t="s">
        <v>120</v>
      </c>
      <c r="E2485" t="s">
        <v>63</v>
      </c>
      <c r="F2485" t="s">
        <v>25</v>
      </c>
      <c r="G2485">
        <v>5</v>
      </c>
      <c r="H2485" t="s">
        <v>69</v>
      </c>
      <c r="I2485" t="s">
        <v>121</v>
      </c>
      <c r="J2485" t="s">
        <v>122</v>
      </c>
      <c r="K2485">
        <v>0</v>
      </c>
      <c r="L2485" s="84">
        <v>7600857</v>
      </c>
      <c r="M2485" s="84">
        <v>38004285</v>
      </c>
    </row>
    <row r="2486" spans="3:13" hidden="1" x14ac:dyDescent="0.25">
      <c r="C2486" t="s">
        <v>119</v>
      </c>
      <c r="D2486" t="s">
        <v>120</v>
      </c>
      <c r="E2486" t="s">
        <v>63</v>
      </c>
      <c r="F2486" t="s">
        <v>123</v>
      </c>
      <c r="G2486">
        <v>5</v>
      </c>
      <c r="H2486" t="s">
        <v>12</v>
      </c>
      <c r="I2486" t="s">
        <v>62</v>
      </c>
      <c r="J2486" t="s">
        <v>66</v>
      </c>
      <c r="K2486">
        <v>1</v>
      </c>
      <c r="L2486" s="84">
        <v>154375</v>
      </c>
      <c r="M2486" s="84">
        <v>771875</v>
      </c>
    </row>
    <row r="2487" spans="3:13" hidden="1" x14ac:dyDescent="0.25">
      <c r="C2487" t="s">
        <v>64</v>
      </c>
      <c r="D2487" t="s">
        <v>120</v>
      </c>
      <c r="E2487" t="s">
        <v>60</v>
      </c>
      <c r="F2487" t="s">
        <v>25</v>
      </c>
      <c r="G2487">
        <v>11</v>
      </c>
      <c r="H2487" t="s">
        <v>69</v>
      </c>
      <c r="I2487" t="s">
        <v>121</v>
      </c>
      <c r="J2487" t="s">
        <v>122</v>
      </c>
      <c r="K2487">
        <v>0</v>
      </c>
      <c r="L2487" s="84">
        <v>-716754</v>
      </c>
      <c r="M2487" s="84">
        <v>0</v>
      </c>
    </row>
    <row r="2488" spans="3:13" hidden="1" x14ac:dyDescent="0.25">
      <c r="C2488" t="s">
        <v>65</v>
      </c>
      <c r="D2488" t="s">
        <v>120</v>
      </c>
      <c r="E2488" t="s">
        <v>63</v>
      </c>
      <c r="F2488" t="s">
        <v>123</v>
      </c>
      <c r="G2488">
        <v>0</v>
      </c>
      <c r="H2488" t="s">
        <v>76</v>
      </c>
      <c r="I2488" t="s">
        <v>121</v>
      </c>
      <c r="J2488" t="s">
        <v>122</v>
      </c>
      <c r="K2488">
        <v>0</v>
      </c>
      <c r="L2488" s="84">
        <v>3745</v>
      </c>
      <c r="M2488" s="84">
        <v>0</v>
      </c>
    </row>
    <row r="2489" spans="3:13" hidden="1" x14ac:dyDescent="0.25">
      <c r="C2489" t="s">
        <v>65</v>
      </c>
      <c r="D2489" t="s">
        <v>120</v>
      </c>
      <c r="E2489" t="s">
        <v>60</v>
      </c>
      <c r="F2489" t="s">
        <v>124</v>
      </c>
      <c r="G2489">
        <v>5</v>
      </c>
      <c r="H2489" t="s">
        <v>72</v>
      </c>
      <c r="I2489" t="s">
        <v>121</v>
      </c>
      <c r="J2489" t="s">
        <v>122</v>
      </c>
      <c r="K2489">
        <v>0</v>
      </c>
      <c r="L2489" s="84">
        <v>-57743</v>
      </c>
      <c r="M2489" s="84">
        <v>0</v>
      </c>
    </row>
    <row r="2490" spans="3:13" hidden="1" x14ac:dyDescent="0.25">
      <c r="C2490" t="s">
        <v>65</v>
      </c>
      <c r="D2490" t="s">
        <v>120</v>
      </c>
      <c r="E2490" t="s">
        <v>63</v>
      </c>
      <c r="F2490" t="s">
        <v>124</v>
      </c>
      <c r="G2490">
        <v>9</v>
      </c>
      <c r="H2490" t="s">
        <v>67</v>
      </c>
      <c r="I2490" t="s">
        <v>121</v>
      </c>
      <c r="J2490" t="s">
        <v>122</v>
      </c>
      <c r="K2490">
        <v>0</v>
      </c>
      <c r="L2490" s="84">
        <v>27750</v>
      </c>
      <c r="M2490" s="84">
        <v>249750</v>
      </c>
    </row>
    <row r="2491" spans="3:13" hidden="1" x14ac:dyDescent="0.25">
      <c r="C2491" t="s">
        <v>119</v>
      </c>
      <c r="D2491" t="s">
        <v>120</v>
      </c>
      <c r="E2491" t="s">
        <v>60</v>
      </c>
      <c r="F2491" t="s">
        <v>25</v>
      </c>
      <c r="G2491">
        <v>11</v>
      </c>
      <c r="H2491" t="s">
        <v>75</v>
      </c>
      <c r="I2491" t="s">
        <v>121</v>
      </c>
      <c r="J2491" t="s">
        <v>122</v>
      </c>
      <c r="K2491">
        <v>0</v>
      </c>
      <c r="L2491" s="84">
        <v>-923</v>
      </c>
      <c r="M2491" s="84">
        <v>0</v>
      </c>
    </row>
    <row r="2492" spans="3:13" hidden="1" x14ac:dyDescent="0.25">
      <c r="C2492" t="s">
        <v>64</v>
      </c>
      <c r="D2492" t="s">
        <v>120</v>
      </c>
      <c r="E2492" t="s">
        <v>60</v>
      </c>
      <c r="F2492" t="s">
        <v>124</v>
      </c>
      <c r="G2492">
        <v>-1</v>
      </c>
      <c r="H2492" t="s">
        <v>18</v>
      </c>
      <c r="I2492" t="s">
        <v>121</v>
      </c>
      <c r="J2492" t="s">
        <v>122</v>
      </c>
      <c r="K2492">
        <v>0</v>
      </c>
      <c r="L2492" s="84">
        <v>-2793527</v>
      </c>
      <c r="M2492" s="84">
        <v>0</v>
      </c>
    </row>
    <row r="2493" spans="3:13" hidden="1" x14ac:dyDescent="0.25">
      <c r="C2493" t="s">
        <v>65</v>
      </c>
      <c r="D2493" t="s">
        <v>120</v>
      </c>
      <c r="E2493" t="s">
        <v>60</v>
      </c>
      <c r="F2493" t="s">
        <v>25</v>
      </c>
      <c r="G2493">
        <v>-4</v>
      </c>
      <c r="H2493" t="s">
        <v>75</v>
      </c>
      <c r="I2493" t="s">
        <v>121</v>
      </c>
      <c r="J2493" t="s">
        <v>122</v>
      </c>
      <c r="K2493">
        <v>0</v>
      </c>
      <c r="L2493" s="84">
        <v>-120419</v>
      </c>
      <c r="M2493" s="84">
        <v>0</v>
      </c>
    </row>
    <row r="2494" spans="3:13" hidden="1" x14ac:dyDescent="0.25">
      <c r="C2494" t="s">
        <v>119</v>
      </c>
      <c r="D2494" t="s">
        <v>126</v>
      </c>
      <c r="E2494" t="s">
        <v>63</v>
      </c>
      <c r="F2494" t="s">
        <v>24</v>
      </c>
      <c r="G2494">
        <v>2</v>
      </c>
      <c r="H2494" t="s">
        <v>68</v>
      </c>
      <c r="I2494" t="s">
        <v>121</v>
      </c>
      <c r="J2494" t="s">
        <v>122</v>
      </c>
      <c r="K2494">
        <v>0</v>
      </c>
      <c r="L2494" s="84">
        <v>337858</v>
      </c>
      <c r="M2494" s="84">
        <v>675716</v>
      </c>
    </row>
    <row r="2495" spans="3:13" hidden="1" x14ac:dyDescent="0.25">
      <c r="C2495" t="s">
        <v>119</v>
      </c>
      <c r="D2495" t="s">
        <v>120</v>
      </c>
      <c r="E2495" t="s">
        <v>63</v>
      </c>
      <c r="F2495" t="s">
        <v>25</v>
      </c>
      <c r="G2495">
        <v>6</v>
      </c>
      <c r="H2495" t="s">
        <v>68</v>
      </c>
      <c r="I2495" t="s">
        <v>121</v>
      </c>
      <c r="J2495" t="s">
        <v>122</v>
      </c>
      <c r="K2495">
        <v>0</v>
      </c>
      <c r="L2495" s="84">
        <v>26897801</v>
      </c>
      <c r="M2495" s="84">
        <v>161386806</v>
      </c>
    </row>
    <row r="2496" spans="3:13" hidden="1" x14ac:dyDescent="0.25">
      <c r="C2496" t="s">
        <v>65</v>
      </c>
      <c r="D2496" t="s">
        <v>120</v>
      </c>
      <c r="E2496" t="s">
        <v>60</v>
      </c>
      <c r="F2496" t="s">
        <v>124</v>
      </c>
      <c r="G2496">
        <v>10</v>
      </c>
      <c r="H2496" t="s">
        <v>70</v>
      </c>
      <c r="I2496" t="s">
        <v>121</v>
      </c>
      <c r="J2496" t="s">
        <v>122</v>
      </c>
      <c r="K2496">
        <v>0</v>
      </c>
      <c r="L2496" s="84">
        <v>-32363</v>
      </c>
      <c r="M2496" s="84">
        <v>0</v>
      </c>
    </row>
    <row r="2497" spans="3:13" hidden="1" x14ac:dyDescent="0.25">
      <c r="C2497" t="s">
        <v>119</v>
      </c>
      <c r="D2497" t="s">
        <v>120</v>
      </c>
      <c r="E2497" t="s">
        <v>60</v>
      </c>
      <c r="F2497" t="s">
        <v>123</v>
      </c>
      <c r="G2497">
        <v>3</v>
      </c>
      <c r="H2497" t="s">
        <v>72</v>
      </c>
      <c r="I2497" t="s">
        <v>121</v>
      </c>
      <c r="J2497" t="s">
        <v>122</v>
      </c>
      <c r="K2497">
        <v>0</v>
      </c>
      <c r="L2497" s="84">
        <v>-13426</v>
      </c>
      <c r="M2497" s="84">
        <v>0</v>
      </c>
    </row>
    <row r="2498" spans="3:13" hidden="1" x14ac:dyDescent="0.25">
      <c r="C2498" t="s">
        <v>119</v>
      </c>
      <c r="D2498" t="s">
        <v>120</v>
      </c>
      <c r="E2498" t="s">
        <v>63</v>
      </c>
      <c r="F2498" t="s">
        <v>124</v>
      </c>
      <c r="G2498">
        <v>2</v>
      </c>
      <c r="H2498" t="s">
        <v>14</v>
      </c>
      <c r="I2498" t="s">
        <v>121</v>
      </c>
      <c r="J2498" t="s">
        <v>122</v>
      </c>
      <c r="K2498">
        <v>0</v>
      </c>
      <c r="L2498" s="84">
        <v>58099995</v>
      </c>
      <c r="M2498" s="84">
        <v>116199990</v>
      </c>
    </row>
    <row r="2499" spans="3:13" hidden="1" x14ac:dyDescent="0.25">
      <c r="C2499" t="s">
        <v>119</v>
      </c>
      <c r="D2499" t="s">
        <v>120</v>
      </c>
      <c r="E2499" t="s">
        <v>63</v>
      </c>
      <c r="F2499" t="s">
        <v>124</v>
      </c>
      <c r="G2499">
        <v>3</v>
      </c>
      <c r="H2499" t="s">
        <v>78</v>
      </c>
      <c r="I2499" t="s">
        <v>121</v>
      </c>
      <c r="J2499" t="s">
        <v>122</v>
      </c>
      <c r="K2499">
        <v>0</v>
      </c>
      <c r="L2499" s="84">
        <v>43227</v>
      </c>
      <c r="M2499" s="84">
        <v>129681</v>
      </c>
    </row>
    <row r="2500" spans="3:13" hidden="1" x14ac:dyDescent="0.25">
      <c r="C2500" t="s">
        <v>119</v>
      </c>
      <c r="D2500" t="s">
        <v>120</v>
      </c>
      <c r="E2500" t="s">
        <v>60</v>
      </c>
      <c r="F2500" t="s">
        <v>25</v>
      </c>
      <c r="G2500">
        <v>1</v>
      </c>
      <c r="H2500" t="s">
        <v>14</v>
      </c>
      <c r="I2500" t="s">
        <v>121</v>
      </c>
      <c r="J2500" t="s">
        <v>122</v>
      </c>
      <c r="K2500">
        <v>0</v>
      </c>
      <c r="L2500" s="84">
        <v>-2060</v>
      </c>
      <c r="M2500" s="84">
        <v>0</v>
      </c>
    </row>
    <row r="2501" spans="3:13" hidden="1" x14ac:dyDescent="0.25">
      <c r="C2501" t="s">
        <v>64</v>
      </c>
      <c r="D2501" t="s">
        <v>120</v>
      </c>
      <c r="E2501" t="s">
        <v>63</v>
      </c>
      <c r="F2501" t="s">
        <v>123</v>
      </c>
      <c r="G2501">
        <v>4</v>
      </c>
      <c r="H2501" t="s">
        <v>14</v>
      </c>
      <c r="I2501" t="s">
        <v>121</v>
      </c>
      <c r="J2501" t="s">
        <v>122</v>
      </c>
      <c r="K2501">
        <v>0</v>
      </c>
      <c r="L2501" s="84">
        <v>2252782</v>
      </c>
      <c r="M2501" s="84">
        <v>9011128</v>
      </c>
    </row>
    <row r="2502" spans="3:13" hidden="1" x14ac:dyDescent="0.25">
      <c r="C2502" t="s">
        <v>64</v>
      </c>
      <c r="D2502" t="s">
        <v>120</v>
      </c>
      <c r="E2502" t="s">
        <v>60</v>
      </c>
      <c r="F2502" t="s">
        <v>25</v>
      </c>
      <c r="G2502">
        <v>8</v>
      </c>
      <c r="H2502" t="s">
        <v>16</v>
      </c>
      <c r="I2502" t="s">
        <v>121</v>
      </c>
      <c r="J2502" t="s">
        <v>122</v>
      </c>
      <c r="K2502">
        <v>0</v>
      </c>
      <c r="L2502" s="84">
        <v>-26671</v>
      </c>
      <c r="M2502" s="84">
        <v>0</v>
      </c>
    </row>
    <row r="2503" spans="3:13" hidden="1" x14ac:dyDescent="0.25">
      <c r="C2503" t="s">
        <v>119</v>
      </c>
      <c r="D2503" t="s">
        <v>120</v>
      </c>
      <c r="E2503" t="s">
        <v>60</v>
      </c>
      <c r="F2503" t="s">
        <v>124</v>
      </c>
      <c r="G2503">
        <v>5</v>
      </c>
      <c r="H2503" t="s">
        <v>17</v>
      </c>
      <c r="I2503" t="s">
        <v>62</v>
      </c>
      <c r="J2503" t="s">
        <v>66</v>
      </c>
      <c r="K2503">
        <v>1</v>
      </c>
      <c r="L2503" s="84">
        <v>-3908</v>
      </c>
      <c r="M2503" s="84">
        <v>0</v>
      </c>
    </row>
    <row r="2504" spans="3:13" hidden="1" x14ac:dyDescent="0.25">
      <c r="C2504" t="s">
        <v>119</v>
      </c>
      <c r="D2504" t="s">
        <v>120</v>
      </c>
      <c r="E2504" t="s">
        <v>63</v>
      </c>
      <c r="F2504" t="s">
        <v>123</v>
      </c>
      <c r="G2504">
        <v>3</v>
      </c>
      <c r="H2504" t="s">
        <v>17</v>
      </c>
      <c r="I2504" t="s">
        <v>121</v>
      </c>
      <c r="J2504" t="s">
        <v>122</v>
      </c>
      <c r="K2504">
        <v>0</v>
      </c>
      <c r="L2504" s="84">
        <v>9711014</v>
      </c>
      <c r="M2504" s="84">
        <v>29133042</v>
      </c>
    </row>
    <row r="2505" spans="3:13" hidden="1" x14ac:dyDescent="0.25">
      <c r="C2505" t="s">
        <v>64</v>
      </c>
      <c r="D2505" t="s">
        <v>120</v>
      </c>
      <c r="E2505" t="s">
        <v>60</v>
      </c>
      <c r="F2505" t="s">
        <v>124</v>
      </c>
      <c r="G2505">
        <v>6</v>
      </c>
      <c r="H2505" t="s">
        <v>12</v>
      </c>
      <c r="I2505" t="s">
        <v>121</v>
      </c>
      <c r="J2505" t="s">
        <v>66</v>
      </c>
      <c r="K2505">
        <v>1</v>
      </c>
      <c r="L2505" s="84">
        <v>-1839</v>
      </c>
      <c r="M2505" s="84">
        <v>0</v>
      </c>
    </row>
    <row r="2506" spans="3:13" hidden="1" x14ac:dyDescent="0.25">
      <c r="C2506" t="s">
        <v>65</v>
      </c>
      <c r="D2506" t="s">
        <v>120</v>
      </c>
      <c r="E2506" t="s">
        <v>60</v>
      </c>
      <c r="F2506" t="s">
        <v>124</v>
      </c>
      <c r="G2506">
        <v>8</v>
      </c>
      <c r="H2506" t="s">
        <v>14</v>
      </c>
      <c r="I2506" t="s">
        <v>121</v>
      </c>
      <c r="J2506" t="s">
        <v>66</v>
      </c>
      <c r="K2506">
        <v>1</v>
      </c>
      <c r="L2506" s="84">
        <v>-513751</v>
      </c>
      <c r="M2506" s="84">
        <v>0</v>
      </c>
    </row>
    <row r="2507" spans="3:13" hidden="1" x14ac:dyDescent="0.25">
      <c r="C2507" t="s">
        <v>65</v>
      </c>
      <c r="D2507" t="s">
        <v>120</v>
      </c>
      <c r="E2507" t="s">
        <v>63</v>
      </c>
      <c r="F2507" t="s">
        <v>124</v>
      </c>
      <c r="G2507">
        <v>4</v>
      </c>
      <c r="H2507" t="s">
        <v>76</v>
      </c>
      <c r="I2507" t="s">
        <v>121</v>
      </c>
      <c r="J2507" t="s">
        <v>122</v>
      </c>
      <c r="K2507">
        <v>0</v>
      </c>
      <c r="L2507" s="84">
        <v>361108</v>
      </c>
      <c r="M2507" s="84">
        <v>1444432</v>
      </c>
    </row>
    <row r="2508" spans="3:13" hidden="1" x14ac:dyDescent="0.25">
      <c r="C2508" t="s">
        <v>64</v>
      </c>
      <c r="D2508" t="s">
        <v>120</v>
      </c>
      <c r="E2508" t="s">
        <v>60</v>
      </c>
      <c r="F2508" t="s">
        <v>123</v>
      </c>
      <c r="G2508">
        <v>2</v>
      </c>
      <c r="H2508" t="s">
        <v>69</v>
      </c>
      <c r="I2508" t="s">
        <v>121</v>
      </c>
      <c r="J2508" t="s">
        <v>122</v>
      </c>
      <c r="K2508">
        <v>0</v>
      </c>
      <c r="L2508" s="84">
        <v>-8415</v>
      </c>
      <c r="M2508" s="84">
        <v>0</v>
      </c>
    </row>
    <row r="2509" spans="3:13" hidden="1" x14ac:dyDescent="0.25">
      <c r="C2509" t="s">
        <v>119</v>
      </c>
      <c r="D2509" t="s">
        <v>120</v>
      </c>
      <c r="E2509" t="s">
        <v>63</v>
      </c>
      <c r="F2509" t="s">
        <v>24</v>
      </c>
      <c r="G2509">
        <v>7</v>
      </c>
      <c r="H2509" t="s">
        <v>61</v>
      </c>
      <c r="I2509" t="s">
        <v>121</v>
      </c>
      <c r="J2509" t="s">
        <v>122</v>
      </c>
      <c r="K2509">
        <v>0</v>
      </c>
      <c r="L2509" s="84">
        <v>79595</v>
      </c>
      <c r="M2509" s="84">
        <v>557165</v>
      </c>
    </row>
    <row r="2510" spans="3:13" hidden="1" x14ac:dyDescent="0.25">
      <c r="C2510" t="s">
        <v>119</v>
      </c>
      <c r="D2510" t="s">
        <v>120</v>
      </c>
      <c r="E2510" t="s">
        <v>63</v>
      </c>
      <c r="F2510" t="s">
        <v>25</v>
      </c>
      <c r="G2510">
        <v>7</v>
      </c>
      <c r="H2510" t="s">
        <v>76</v>
      </c>
      <c r="I2510" t="s">
        <v>121</v>
      </c>
      <c r="J2510" t="s">
        <v>122</v>
      </c>
      <c r="K2510">
        <v>0</v>
      </c>
      <c r="L2510" s="84">
        <v>927141</v>
      </c>
      <c r="M2510" s="84">
        <v>6489987</v>
      </c>
    </row>
    <row r="2511" spans="3:13" hidden="1" x14ac:dyDescent="0.25">
      <c r="C2511" t="s">
        <v>119</v>
      </c>
      <c r="D2511" t="s">
        <v>120</v>
      </c>
      <c r="E2511" t="s">
        <v>60</v>
      </c>
      <c r="F2511" t="s">
        <v>124</v>
      </c>
      <c r="G2511">
        <v>8</v>
      </c>
      <c r="H2511" t="s">
        <v>12</v>
      </c>
      <c r="I2511" t="s">
        <v>121</v>
      </c>
      <c r="J2511" t="s">
        <v>66</v>
      </c>
      <c r="K2511">
        <v>1</v>
      </c>
      <c r="L2511" s="84">
        <v>-4186</v>
      </c>
      <c r="M2511" s="84">
        <v>0</v>
      </c>
    </row>
    <row r="2512" spans="3:13" hidden="1" x14ac:dyDescent="0.25">
      <c r="C2512" t="s">
        <v>64</v>
      </c>
      <c r="D2512" t="s">
        <v>120</v>
      </c>
      <c r="E2512" t="s">
        <v>60</v>
      </c>
      <c r="F2512" t="s">
        <v>123</v>
      </c>
      <c r="G2512">
        <v>3</v>
      </c>
      <c r="H2512" t="s">
        <v>72</v>
      </c>
      <c r="I2512" t="s">
        <v>121</v>
      </c>
      <c r="J2512" t="s">
        <v>122</v>
      </c>
      <c r="K2512">
        <v>0</v>
      </c>
      <c r="L2512" s="84">
        <v>-96195</v>
      </c>
      <c r="M2512" s="84">
        <v>0</v>
      </c>
    </row>
    <row r="2513" spans="3:13" hidden="1" x14ac:dyDescent="0.25">
      <c r="C2513" t="s">
        <v>65</v>
      </c>
      <c r="D2513" t="s">
        <v>120</v>
      </c>
      <c r="E2513" t="s">
        <v>63</v>
      </c>
      <c r="F2513" t="s">
        <v>123</v>
      </c>
      <c r="G2513">
        <v>5</v>
      </c>
      <c r="H2513" t="s">
        <v>75</v>
      </c>
      <c r="I2513" t="s">
        <v>121</v>
      </c>
      <c r="J2513" t="s">
        <v>122</v>
      </c>
      <c r="K2513">
        <v>0</v>
      </c>
      <c r="L2513" s="84">
        <v>26321</v>
      </c>
      <c r="M2513" s="84">
        <v>131605</v>
      </c>
    </row>
    <row r="2514" spans="3:13" hidden="1" x14ac:dyDescent="0.25">
      <c r="C2514" t="s">
        <v>119</v>
      </c>
      <c r="D2514" t="s">
        <v>120</v>
      </c>
      <c r="E2514" t="s">
        <v>63</v>
      </c>
      <c r="F2514" t="s">
        <v>124</v>
      </c>
      <c r="G2514">
        <v>8</v>
      </c>
      <c r="H2514" t="s">
        <v>14</v>
      </c>
      <c r="I2514" t="s">
        <v>121</v>
      </c>
      <c r="J2514" t="s">
        <v>122</v>
      </c>
      <c r="K2514">
        <v>0</v>
      </c>
      <c r="L2514" s="84">
        <v>13138648</v>
      </c>
      <c r="M2514" s="84">
        <v>105109184</v>
      </c>
    </row>
    <row r="2515" spans="3:13" hidden="1" x14ac:dyDescent="0.25">
      <c r="C2515" t="s">
        <v>65</v>
      </c>
      <c r="D2515" t="s">
        <v>120</v>
      </c>
      <c r="E2515" t="s">
        <v>63</v>
      </c>
      <c r="F2515" t="s">
        <v>24</v>
      </c>
      <c r="G2515">
        <v>-1</v>
      </c>
      <c r="H2515" t="s">
        <v>14</v>
      </c>
      <c r="I2515" t="s">
        <v>121</v>
      </c>
      <c r="J2515" t="s">
        <v>122</v>
      </c>
      <c r="K2515">
        <v>0</v>
      </c>
      <c r="L2515" s="84">
        <v>304</v>
      </c>
      <c r="M2515" s="84">
        <v>0</v>
      </c>
    </row>
    <row r="2516" spans="3:13" hidden="1" x14ac:dyDescent="0.25">
      <c r="C2516" t="s">
        <v>119</v>
      </c>
      <c r="D2516" t="s">
        <v>120</v>
      </c>
      <c r="E2516" t="s">
        <v>63</v>
      </c>
      <c r="F2516" t="s">
        <v>124</v>
      </c>
      <c r="G2516">
        <v>6</v>
      </c>
      <c r="H2516" t="s">
        <v>61</v>
      </c>
      <c r="I2516" t="s">
        <v>121</v>
      </c>
      <c r="J2516" t="s">
        <v>122</v>
      </c>
      <c r="K2516">
        <v>0</v>
      </c>
      <c r="L2516" s="84">
        <v>75117</v>
      </c>
      <c r="M2516" s="84">
        <v>450702</v>
      </c>
    </row>
    <row r="2517" spans="3:13" hidden="1" x14ac:dyDescent="0.25">
      <c r="C2517" t="s">
        <v>64</v>
      </c>
      <c r="D2517" t="s">
        <v>120</v>
      </c>
      <c r="E2517" t="s">
        <v>60</v>
      </c>
      <c r="F2517" t="s">
        <v>25</v>
      </c>
      <c r="G2517">
        <v>-4</v>
      </c>
      <c r="H2517" t="s">
        <v>67</v>
      </c>
      <c r="I2517" t="s">
        <v>121</v>
      </c>
      <c r="J2517" t="s">
        <v>122</v>
      </c>
      <c r="K2517">
        <v>0</v>
      </c>
      <c r="L2517" s="84">
        <v>-8</v>
      </c>
      <c r="M2517" s="84">
        <v>0</v>
      </c>
    </row>
    <row r="2518" spans="3:13" hidden="1" x14ac:dyDescent="0.25">
      <c r="C2518" t="s">
        <v>119</v>
      </c>
      <c r="D2518" t="s">
        <v>120</v>
      </c>
      <c r="E2518" t="s">
        <v>60</v>
      </c>
      <c r="F2518" t="s">
        <v>25</v>
      </c>
      <c r="G2518">
        <v>-4</v>
      </c>
      <c r="H2518" t="s">
        <v>68</v>
      </c>
      <c r="I2518" t="s">
        <v>121</v>
      </c>
      <c r="J2518" t="s">
        <v>122</v>
      </c>
      <c r="K2518">
        <v>0</v>
      </c>
      <c r="L2518" s="84">
        <v>-117</v>
      </c>
      <c r="M2518" s="84">
        <v>0</v>
      </c>
    </row>
    <row r="2519" spans="3:13" hidden="1" x14ac:dyDescent="0.25">
      <c r="C2519" t="s">
        <v>119</v>
      </c>
      <c r="D2519" t="s">
        <v>120</v>
      </c>
      <c r="E2519" t="s">
        <v>63</v>
      </c>
      <c r="F2519" t="s">
        <v>123</v>
      </c>
      <c r="G2519">
        <v>-4</v>
      </c>
      <c r="H2519" t="s">
        <v>61</v>
      </c>
      <c r="I2519" t="s">
        <v>121</v>
      </c>
      <c r="J2519" t="s">
        <v>122</v>
      </c>
      <c r="K2519">
        <v>0</v>
      </c>
      <c r="L2519" s="84">
        <v>81</v>
      </c>
      <c r="M2519" s="84">
        <v>0</v>
      </c>
    </row>
    <row r="2520" spans="3:13" hidden="1" x14ac:dyDescent="0.25">
      <c r="C2520" t="s">
        <v>64</v>
      </c>
      <c r="D2520" t="s">
        <v>120</v>
      </c>
      <c r="E2520" t="s">
        <v>63</v>
      </c>
      <c r="F2520" t="s">
        <v>124</v>
      </c>
      <c r="G2520">
        <v>1</v>
      </c>
      <c r="H2520" t="s">
        <v>16</v>
      </c>
      <c r="I2520" t="s">
        <v>121</v>
      </c>
      <c r="J2520" t="s">
        <v>122</v>
      </c>
      <c r="K2520">
        <v>0</v>
      </c>
      <c r="L2520" s="84">
        <v>239106</v>
      </c>
      <c r="M2520" s="84">
        <v>239106</v>
      </c>
    </row>
    <row r="2521" spans="3:13" hidden="1" x14ac:dyDescent="0.25">
      <c r="C2521" t="s">
        <v>65</v>
      </c>
      <c r="D2521" t="s">
        <v>120</v>
      </c>
      <c r="E2521" t="s">
        <v>63</v>
      </c>
      <c r="F2521" t="s">
        <v>124</v>
      </c>
      <c r="G2521">
        <v>5</v>
      </c>
      <c r="H2521" t="s">
        <v>72</v>
      </c>
      <c r="I2521" t="s">
        <v>121</v>
      </c>
      <c r="J2521" t="s">
        <v>122</v>
      </c>
      <c r="K2521">
        <v>0</v>
      </c>
      <c r="L2521" s="84">
        <v>108161</v>
      </c>
      <c r="M2521" s="84">
        <v>540805</v>
      </c>
    </row>
    <row r="2522" spans="3:13" hidden="1" x14ac:dyDescent="0.25">
      <c r="C2522" t="s">
        <v>64</v>
      </c>
      <c r="D2522" t="s">
        <v>120</v>
      </c>
      <c r="E2522" t="s">
        <v>60</v>
      </c>
      <c r="F2522" t="s">
        <v>24</v>
      </c>
      <c r="G2522">
        <v>13</v>
      </c>
      <c r="H2522" t="s">
        <v>72</v>
      </c>
      <c r="I2522" t="s">
        <v>121</v>
      </c>
      <c r="J2522" t="s">
        <v>122</v>
      </c>
      <c r="K2522">
        <v>0</v>
      </c>
      <c r="L2522" s="84">
        <v>-17037</v>
      </c>
      <c r="M2522" s="84">
        <v>0</v>
      </c>
    </row>
    <row r="2523" spans="3:13" hidden="1" x14ac:dyDescent="0.25">
      <c r="C2523" t="s">
        <v>119</v>
      </c>
      <c r="D2523" t="s">
        <v>120</v>
      </c>
      <c r="E2523" t="s">
        <v>63</v>
      </c>
      <c r="G2523">
        <v>-1</v>
      </c>
      <c r="H2523" t="s">
        <v>73</v>
      </c>
      <c r="I2523" t="s">
        <v>121</v>
      </c>
      <c r="J2523" t="s">
        <v>122</v>
      </c>
      <c r="K2523">
        <v>0</v>
      </c>
      <c r="L2523" s="84">
        <v>-5</v>
      </c>
      <c r="M2523" s="84">
        <v>0</v>
      </c>
    </row>
    <row r="2524" spans="3:13" hidden="1" x14ac:dyDescent="0.25">
      <c r="C2524" t="s">
        <v>119</v>
      </c>
      <c r="D2524" t="s">
        <v>120</v>
      </c>
      <c r="E2524" t="s">
        <v>63</v>
      </c>
      <c r="F2524" t="s">
        <v>124</v>
      </c>
      <c r="G2524">
        <v>7</v>
      </c>
      <c r="H2524" t="s">
        <v>67</v>
      </c>
      <c r="I2524" t="s">
        <v>121</v>
      </c>
      <c r="J2524" t="s">
        <v>122</v>
      </c>
      <c r="K2524">
        <v>0</v>
      </c>
      <c r="L2524" s="84">
        <v>47989836</v>
      </c>
      <c r="M2524" s="84">
        <v>335928852</v>
      </c>
    </row>
    <row r="2525" spans="3:13" hidden="1" x14ac:dyDescent="0.25">
      <c r="C2525" t="s">
        <v>64</v>
      </c>
      <c r="D2525" t="s">
        <v>120</v>
      </c>
      <c r="E2525" t="s">
        <v>60</v>
      </c>
      <c r="F2525" t="s">
        <v>25</v>
      </c>
      <c r="G2525">
        <v>6</v>
      </c>
      <c r="H2525" t="s">
        <v>68</v>
      </c>
      <c r="I2525" t="s">
        <v>121</v>
      </c>
      <c r="J2525" t="s">
        <v>122</v>
      </c>
      <c r="K2525">
        <v>0</v>
      </c>
      <c r="L2525" s="84">
        <v>-105166</v>
      </c>
      <c r="M2525" s="84">
        <v>0</v>
      </c>
    </row>
    <row r="2526" spans="3:13" hidden="1" x14ac:dyDescent="0.25">
      <c r="C2526" t="s">
        <v>119</v>
      </c>
      <c r="D2526" t="s">
        <v>120</v>
      </c>
      <c r="E2526" t="s">
        <v>60</v>
      </c>
      <c r="F2526" t="s">
        <v>124</v>
      </c>
      <c r="G2526">
        <v>5</v>
      </c>
      <c r="H2526" t="s">
        <v>73</v>
      </c>
      <c r="I2526" t="s">
        <v>121</v>
      </c>
      <c r="J2526" t="s">
        <v>122</v>
      </c>
      <c r="K2526">
        <v>0</v>
      </c>
      <c r="L2526" s="84">
        <v>-6209</v>
      </c>
      <c r="M2526" s="84">
        <v>0</v>
      </c>
    </row>
    <row r="2527" spans="3:13" hidden="1" x14ac:dyDescent="0.25">
      <c r="C2527" t="s">
        <v>64</v>
      </c>
      <c r="D2527" t="s">
        <v>120</v>
      </c>
      <c r="E2527" t="s">
        <v>60</v>
      </c>
      <c r="F2527" t="s">
        <v>124</v>
      </c>
      <c r="G2527">
        <v>5</v>
      </c>
      <c r="H2527" t="s">
        <v>18</v>
      </c>
      <c r="I2527" t="s">
        <v>121</v>
      </c>
      <c r="J2527" t="s">
        <v>66</v>
      </c>
      <c r="K2527">
        <v>1</v>
      </c>
      <c r="L2527" s="84">
        <v>-68488</v>
      </c>
      <c r="M2527" s="84">
        <v>0</v>
      </c>
    </row>
    <row r="2528" spans="3:13" hidden="1" x14ac:dyDescent="0.25">
      <c r="C2528" t="s">
        <v>119</v>
      </c>
      <c r="D2528" t="s">
        <v>125</v>
      </c>
      <c r="E2528" t="s">
        <v>60</v>
      </c>
      <c r="F2528" t="s">
        <v>25</v>
      </c>
      <c r="G2528">
        <v>27</v>
      </c>
      <c r="I2528" t="s">
        <v>121</v>
      </c>
      <c r="J2528" t="s">
        <v>122</v>
      </c>
      <c r="K2528">
        <v>0</v>
      </c>
      <c r="L2528" s="84">
        <v>-971</v>
      </c>
      <c r="M2528" s="84">
        <v>0</v>
      </c>
    </row>
    <row r="2529" spans="3:13" hidden="1" x14ac:dyDescent="0.25">
      <c r="C2529" t="s">
        <v>65</v>
      </c>
      <c r="D2529" t="s">
        <v>120</v>
      </c>
      <c r="E2529" t="s">
        <v>63</v>
      </c>
      <c r="F2529" t="s">
        <v>25</v>
      </c>
      <c r="G2529">
        <v>8</v>
      </c>
      <c r="H2529" t="s">
        <v>69</v>
      </c>
      <c r="I2529" t="s">
        <v>121</v>
      </c>
      <c r="J2529" t="s">
        <v>122</v>
      </c>
      <c r="K2529">
        <v>0</v>
      </c>
      <c r="L2529" s="84">
        <v>2481639</v>
      </c>
      <c r="M2529" s="84">
        <v>19853112</v>
      </c>
    </row>
    <row r="2530" spans="3:13" hidden="1" x14ac:dyDescent="0.25">
      <c r="C2530" t="s">
        <v>64</v>
      </c>
      <c r="D2530" t="s">
        <v>120</v>
      </c>
      <c r="E2530" t="s">
        <v>63</v>
      </c>
      <c r="F2530" t="s">
        <v>25</v>
      </c>
      <c r="G2530">
        <v>2</v>
      </c>
      <c r="H2530" t="s">
        <v>72</v>
      </c>
      <c r="I2530" t="s">
        <v>121</v>
      </c>
      <c r="J2530" t="s">
        <v>122</v>
      </c>
      <c r="K2530">
        <v>0</v>
      </c>
      <c r="L2530" s="84">
        <v>13892</v>
      </c>
      <c r="M2530" s="84">
        <v>27784</v>
      </c>
    </row>
    <row r="2531" spans="3:13" hidden="1" x14ac:dyDescent="0.25">
      <c r="C2531" t="s">
        <v>119</v>
      </c>
      <c r="D2531" t="s">
        <v>120</v>
      </c>
      <c r="E2531" t="s">
        <v>60</v>
      </c>
      <c r="F2531" t="s">
        <v>24</v>
      </c>
      <c r="G2531">
        <v>14</v>
      </c>
      <c r="H2531" t="s">
        <v>17</v>
      </c>
      <c r="I2531" t="s">
        <v>121</v>
      </c>
      <c r="J2531" t="s">
        <v>66</v>
      </c>
      <c r="K2531">
        <v>1</v>
      </c>
      <c r="L2531" s="84">
        <v>-418</v>
      </c>
      <c r="M2531" s="84">
        <v>0</v>
      </c>
    </row>
    <row r="2532" spans="3:13" hidden="1" x14ac:dyDescent="0.25">
      <c r="C2532" t="s">
        <v>64</v>
      </c>
      <c r="D2532" t="s">
        <v>120</v>
      </c>
      <c r="E2532" t="s">
        <v>63</v>
      </c>
      <c r="F2532" t="s">
        <v>123</v>
      </c>
      <c r="G2532">
        <v>2</v>
      </c>
      <c r="H2532" t="s">
        <v>61</v>
      </c>
      <c r="I2532" t="s">
        <v>121</v>
      </c>
      <c r="J2532" t="s">
        <v>122</v>
      </c>
      <c r="K2532">
        <v>0</v>
      </c>
      <c r="L2532" s="84">
        <v>494165</v>
      </c>
      <c r="M2532" s="84">
        <v>988330</v>
      </c>
    </row>
    <row r="2533" spans="3:13" hidden="1" x14ac:dyDescent="0.25">
      <c r="C2533" t="s">
        <v>119</v>
      </c>
      <c r="D2533" t="s">
        <v>120</v>
      </c>
      <c r="E2533" t="s">
        <v>63</v>
      </c>
      <c r="F2533" t="s">
        <v>24</v>
      </c>
      <c r="G2533">
        <v>2</v>
      </c>
      <c r="H2533" t="s">
        <v>17</v>
      </c>
      <c r="I2533" t="s">
        <v>121</v>
      </c>
      <c r="J2533" t="s">
        <v>66</v>
      </c>
      <c r="K2533">
        <v>1</v>
      </c>
      <c r="L2533" s="84">
        <v>654129</v>
      </c>
      <c r="M2533" s="84">
        <v>1308258</v>
      </c>
    </row>
    <row r="2534" spans="3:13" hidden="1" x14ac:dyDescent="0.25">
      <c r="C2534" t="s">
        <v>64</v>
      </c>
      <c r="D2534" t="s">
        <v>120</v>
      </c>
      <c r="E2534" t="s">
        <v>63</v>
      </c>
      <c r="F2534" t="s">
        <v>24</v>
      </c>
      <c r="G2534">
        <v>19</v>
      </c>
      <c r="H2534" t="s">
        <v>72</v>
      </c>
      <c r="I2534" t="s">
        <v>121</v>
      </c>
      <c r="J2534" t="s">
        <v>122</v>
      </c>
      <c r="K2534">
        <v>0</v>
      </c>
      <c r="L2534" s="84">
        <v>285584</v>
      </c>
      <c r="M2534" s="84">
        <v>5426096</v>
      </c>
    </row>
    <row r="2535" spans="3:13" hidden="1" x14ac:dyDescent="0.25">
      <c r="C2535" t="s">
        <v>65</v>
      </c>
      <c r="D2535" t="s">
        <v>125</v>
      </c>
      <c r="E2535" t="s">
        <v>63</v>
      </c>
      <c r="F2535" t="s">
        <v>24</v>
      </c>
      <c r="G2535">
        <v>39</v>
      </c>
      <c r="I2535" t="s">
        <v>121</v>
      </c>
      <c r="J2535" t="s">
        <v>122</v>
      </c>
      <c r="K2535">
        <v>0</v>
      </c>
      <c r="L2535" s="84">
        <v>1668930</v>
      </c>
      <c r="M2535" s="84">
        <v>65088270</v>
      </c>
    </row>
    <row r="2536" spans="3:13" hidden="1" x14ac:dyDescent="0.25">
      <c r="C2536" t="s">
        <v>65</v>
      </c>
      <c r="D2536" t="s">
        <v>120</v>
      </c>
      <c r="E2536" t="s">
        <v>63</v>
      </c>
      <c r="F2536" t="s">
        <v>124</v>
      </c>
      <c r="G2536">
        <v>3</v>
      </c>
      <c r="H2536" t="s">
        <v>12</v>
      </c>
      <c r="I2536" t="s">
        <v>121</v>
      </c>
      <c r="J2536" t="s">
        <v>122</v>
      </c>
      <c r="K2536">
        <v>0</v>
      </c>
      <c r="L2536" s="84">
        <v>101322</v>
      </c>
      <c r="M2536" s="84">
        <v>303966</v>
      </c>
    </row>
    <row r="2537" spans="3:13" hidden="1" x14ac:dyDescent="0.25">
      <c r="C2537" t="s">
        <v>119</v>
      </c>
      <c r="D2537" t="s">
        <v>120</v>
      </c>
      <c r="E2537" t="s">
        <v>63</v>
      </c>
      <c r="F2537" t="s">
        <v>25</v>
      </c>
      <c r="G2537">
        <v>13</v>
      </c>
      <c r="H2537" t="s">
        <v>16</v>
      </c>
      <c r="I2537" t="s">
        <v>121</v>
      </c>
      <c r="J2537" t="s">
        <v>122</v>
      </c>
      <c r="K2537">
        <v>0</v>
      </c>
      <c r="L2537" s="84">
        <v>495097</v>
      </c>
      <c r="M2537" s="84">
        <v>6436261</v>
      </c>
    </row>
    <row r="2538" spans="3:13" hidden="1" x14ac:dyDescent="0.25">
      <c r="C2538" t="s">
        <v>119</v>
      </c>
      <c r="D2538" t="s">
        <v>120</v>
      </c>
      <c r="E2538" t="s">
        <v>63</v>
      </c>
      <c r="F2538" t="s">
        <v>25</v>
      </c>
      <c r="G2538">
        <v>6</v>
      </c>
      <c r="H2538" t="s">
        <v>76</v>
      </c>
      <c r="I2538" t="s">
        <v>121</v>
      </c>
      <c r="J2538" t="s">
        <v>122</v>
      </c>
      <c r="K2538">
        <v>0</v>
      </c>
      <c r="L2538" s="84">
        <v>140202</v>
      </c>
      <c r="M2538" s="84">
        <v>841212</v>
      </c>
    </row>
    <row r="2539" spans="3:13" hidden="1" x14ac:dyDescent="0.25">
      <c r="C2539" t="s">
        <v>119</v>
      </c>
      <c r="D2539" t="s">
        <v>120</v>
      </c>
      <c r="E2539" t="s">
        <v>60</v>
      </c>
      <c r="F2539" t="s">
        <v>25</v>
      </c>
      <c r="G2539">
        <v>12</v>
      </c>
      <c r="H2539" t="s">
        <v>69</v>
      </c>
      <c r="I2539" t="s">
        <v>121</v>
      </c>
      <c r="J2539" t="s">
        <v>122</v>
      </c>
      <c r="K2539">
        <v>0</v>
      </c>
      <c r="L2539" s="84">
        <v>-12906</v>
      </c>
      <c r="M2539" s="84">
        <v>0</v>
      </c>
    </row>
    <row r="2540" spans="3:13" hidden="1" x14ac:dyDescent="0.25">
      <c r="C2540" t="s">
        <v>64</v>
      </c>
      <c r="D2540" t="s">
        <v>120</v>
      </c>
      <c r="E2540" t="s">
        <v>63</v>
      </c>
      <c r="F2540" t="s">
        <v>24</v>
      </c>
      <c r="G2540">
        <v>1</v>
      </c>
      <c r="H2540" t="s">
        <v>72</v>
      </c>
      <c r="I2540" t="s">
        <v>121</v>
      </c>
      <c r="J2540" t="s">
        <v>122</v>
      </c>
      <c r="K2540">
        <v>0</v>
      </c>
      <c r="L2540" s="84">
        <v>29303</v>
      </c>
      <c r="M2540" s="84">
        <v>29303</v>
      </c>
    </row>
    <row r="2541" spans="3:13" hidden="1" x14ac:dyDescent="0.25">
      <c r="C2541" t="s">
        <v>64</v>
      </c>
      <c r="D2541" t="s">
        <v>120</v>
      </c>
      <c r="E2541" t="s">
        <v>63</v>
      </c>
      <c r="F2541" t="s">
        <v>123</v>
      </c>
      <c r="G2541">
        <v>1</v>
      </c>
      <c r="H2541" t="s">
        <v>15</v>
      </c>
      <c r="I2541" t="s">
        <v>121</v>
      </c>
      <c r="J2541" t="s">
        <v>66</v>
      </c>
      <c r="K2541">
        <v>1</v>
      </c>
      <c r="L2541" s="84">
        <v>5878</v>
      </c>
      <c r="M2541" s="84">
        <v>5878</v>
      </c>
    </row>
    <row r="2542" spans="3:13" hidden="1" x14ac:dyDescent="0.25">
      <c r="C2542" t="s">
        <v>119</v>
      </c>
      <c r="D2542" t="s">
        <v>120</v>
      </c>
      <c r="E2542" t="s">
        <v>60</v>
      </c>
      <c r="F2542" t="s">
        <v>24</v>
      </c>
      <c r="G2542">
        <v>2</v>
      </c>
      <c r="H2542" t="s">
        <v>18</v>
      </c>
      <c r="I2542" t="s">
        <v>121</v>
      </c>
      <c r="J2542" t="s">
        <v>122</v>
      </c>
      <c r="K2542">
        <v>0</v>
      </c>
      <c r="L2542" s="84">
        <v>-946</v>
      </c>
      <c r="M2542" s="84">
        <v>0</v>
      </c>
    </row>
    <row r="2543" spans="3:13" hidden="1" x14ac:dyDescent="0.25">
      <c r="C2543" t="s">
        <v>64</v>
      </c>
      <c r="D2543" t="s">
        <v>120</v>
      </c>
      <c r="E2543" t="s">
        <v>60</v>
      </c>
      <c r="F2543" t="s">
        <v>24</v>
      </c>
      <c r="G2543">
        <v>7</v>
      </c>
      <c r="H2543" t="s">
        <v>14</v>
      </c>
      <c r="I2543" t="s">
        <v>121</v>
      </c>
      <c r="J2543" t="s">
        <v>66</v>
      </c>
      <c r="K2543">
        <v>1</v>
      </c>
      <c r="L2543" s="84">
        <v>-43388</v>
      </c>
      <c r="M2543" s="84">
        <v>0</v>
      </c>
    </row>
    <row r="2544" spans="3:13" hidden="1" x14ac:dyDescent="0.25">
      <c r="C2544" t="s">
        <v>64</v>
      </c>
      <c r="D2544" t="s">
        <v>126</v>
      </c>
      <c r="E2544" t="s">
        <v>60</v>
      </c>
      <c r="F2544" t="s">
        <v>24</v>
      </c>
      <c r="G2544">
        <v>0</v>
      </c>
      <c r="H2544" t="s">
        <v>74</v>
      </c>
      <c r="I2544" t="s">
        <v>121</v>
      </c>
      <c r="J2544" t="s">
        <v>122</v>
      </c>
      <c r="K2544">
        <v>0</v>
      </c>
      <c r="L2544" s="84">
        <v>-68</v>
      </c>
      <c r="M2544" s="84">
        <v>0</v>
      </c>
    </row>
    <row r="2545" spans="3:13" hidden="1" x14ac:dyDescent="0.25">
      <c r="C2545" t="s">
        <v>119</v>
      </c>
      <c r="D2545" t="s">
        <v>120</v>
      </c>
      <c r="E2545" t="s">
        <v>60</v>
      </c>
      <c r="F2545" t="s">
        <v>124</v>
      </c>
      <c r="G2545">
        <v>11</v>
      </c>
      <c r="H2545" t="s">
        <v>75</v>
      </c>
      <c r="I2545" t="s">
        <v>121</v>
      </c>
      <c r="J2545" t="s">
        <v>122</v>
      </c>
      <c r="K2545">
        <v>0</v>
      </c>
      <c r="L2545" s="84">
        <v>-14682</v>
      </c>
      <c r="M2545" s="84">
        <v>0</v>
      </c>
    </row>
    <row r="2546" spans="3:13" hidden="1" x14ac:dyDescent="0.25">
      <c r="C2546" t="s">
        <v>119</v>
      </c>
      <c r="D2546" t="s">
        <v>120</v>
      </c>
      <c r="E2546" t="s">
        <v>63</v>
      </c>
      <c r="F2546" t="s">
        <v>25</v>
      </c>
      <c r="G2546">
        <v>8</v>
      </c>
      <c r="H2546" t="s">
        <v>72</v>
      </c>
      <c r="I2546" t="s">
        <v>121</v>
      </c>
      <c r="J2546" t="s">
        <v>122</v>
      </c>
      <c r="K2546">
        <v>0</v>
      </c>
      <c r="L2546" s="84">
        <v>1173465</v>
      </c>
      <c r="M2546" s="84">
        <v>9387720</v>
      </c>
    </row>
    <row r="2547" spans="3:13" hidden="1" x14ac:dyDescent="0.25">
      <c r="C2547" t="s">
        <v>119</v>
      </c>
      <c r="D2547" t="s">
        <v>120</v>
      </c>
      <c r="E2547" t="s">
        <v>63</v>
      </c>
      <c r="F2547" t="s">
        <v>24</v>
      </c>
      <c r="G2547">
        <v>19</v>
      </c>
      <c r="H2547" t="s">
        <v>69</v>
      </c>
      <c r="I2547" t="s">
        <v>121</v>
      </c>
      <c r="J2547" t="s">
        <v>122</v>
      </c>
      <c r="K2547">
        <v>0</v>
      </c>
      <c r="L2547" s="84">
        <v>423910</v>
      </c>
      <c r="M2547" s="84">
        <v>8054290</v>
      </c>
    </row>
    <row r="2548" spans="3:13" hidden="1" x14ac:dyDescent="0.25">
      <c r="C2548" t="s">
        <v>64</v>
      </c>
      <c r="D2548" t="s">
        <v>126</v>
      </c>
      <c r="E2548" t="s">
        <v>63</v>
      </c>
      <c r="F2548" t="s">
        <v>25</v>
      </c>
      <c r="G2548">
        <v>6</v>
      </c>
      <c r="H2548" t="s">
        <v>17</v>
      </c>
      <c r="I2548" t="s">
        <v>121</v>
      </c>
      <c r="J2548" t="s">
        <v>122</v>
      </c>
      <c r="K2548">
        <v>0</v>
      </c>
      <c r="L2548" s="84">
        <v>91294</v>
      </c>
      <c r="M2548" s="84">
        <v>547764</v>
      </c>
    </row>
    <row r="2549" spans="3:13" hidden="1" x14ac:dyDescent="0.25">
      <c r="C2549" t="s">
        <v>64</v>
      </c>
      <c r="D2549" t="s">
        <v>120</v>
      </c>
      <c r="E2549" t="s">
        <v>63</v>
      </c>
      <c r="F2549" t="s">
        <v>24</v>
      </c>
      <c r="G2549">
        <v>10</v>
      </c>
      <c r="H2549" t="s">
        <v>69</v>
      </c>
      <c r="I2549" t="s">
        <v>121</v>
      </c>
      <c r="J2549" t="s">
        <v>122</v>
      </c>
      <c r="K2549">
        <v>0</v>
      </c>
      <c r="L2549" s="84">
        <v>4403041</v>
      </c>
      <c r="M2549" s="84">
        <v>44030410</v>
      </c>
    </row>
    <row r="2550" spans="3:13" hidden="1" x14ac:dyDescent="0.25">
      <c r="C2550" t="s">
        <v>65</v>
      </c>
      <c r="D2550" t="s">
        <v>120</v>
      </c>
      <c r="E2550" t="s">
        <v>63</v>
      </c>
      <c r="F2550" t="s">
        <v>123</v>
      </c>
      <c r="G2550">
        <v>1</v>
      </c>
      <c r="H2550" t="s">
        <v>17</v>
      </c>
      <c r="I2550" t="s">
        <v>121</v>
      </c>
      <c r="J2550" t="s">
        <v>122</v>
      </c>
      <c r="K2550">
        <v>0</v>
      </c>
      <c r="L2550" s="84">
        <v>145541</v>
      </c>
      <c r="M2550" s="84">
        <v>145541</v>
      </c>
    </row>
    <row r="2551" spans="3:13" hidden="1" x14ac:dyDescent="0.25">
      <c r="C2551" t="s">
        <v>119</v>
      </c>
      <c r="D2551" t="s">
        <v>120</v>
      </c>
      <c r="E2551" t="s">
        <v>60</v>
      </c>
      <c r="F2551" t="s">
        <v>25</v>
      </c>
      <c r="G2551">
        <v>6</v>
      </c>
      <c r="H2551" t="s">
        <v>73</v>
      </c>
      <c r="I2551" t="s">
        <v>121</v>
      </c>
      <c r="J2551" t="s">
        <v>122</v>
      </c>
      <c r="K2551">
        <v>0</v>
      </c>
      <c r="L2551" s="84">
        <v>-176</v>
      </c>
      <c r="M2551" s="84">
        <v>0</v>
      </c>
    </row>
    <row r="2552" spans="3:13" hidden="1" x14ac:dyDescent="0.25">
      <c r="C2552" t="s">
        <v>119</v>
      </c>
      <c r="D2552" t="s">
        <v>120</v>
      </c>
      <c r="E2552" t="s">
        <v>63</v>
      </c>
      <c r="F2552" t="s">
        <v>24</v>
      </c>
      <c r="G2552">
        <v>1</v>
      </c>
      <c r="H2552" t="s">
        <v>69</v>
      </c>
      <c r="I2552" t="s">
        <v>121</v>
      </c>
      <c r="J2552" t="s">
        <v>122</v>
      </c>
      <c r="K2552">
        <v>0</v>
      </c>
      <c r="L2552" s="84">
        <v>4505271</v>
      </c>
      <c r="M2552" s="84">
        <v>4505271</v>
      </c>
    </row>
    <row r="2553" spans="3:13" hidden="1" x14ac:dyDescent="0.25">
      <c r="C2553" t="s">
        <v>64</v>
      </c>
      <c r="D2553" t="s">
        <v>120</v>
      </c>
      <c r="E2553" t="s">
        <v>60</v>
      </c>
      <c r="F2553" t="s">
        <v>24</v>
      </c>
      <c r="G2553">
        <v>4</v>
      </c>
      <c r="H2553" t="s">
        <v>12</v>
      </c>
      <c r="I2553" t="s">
        <v>121</v>
      </c>
      <c r="J2553" t="s">
        <v>66</v>
      </c>
      <c r="K2553">
        <v>1</v>
      </c>
      <c r="L2553" s="84">
        <v>-4224</v>
      </c>
      <c r="M2553" s="84">
        <v>0</v>
      </c>
    </row>
    <row r="2554" spans="3:13" hidden="1" x14ac:dyDescent="0.25">
      <c r="C2554" t="s">
        <v>119</v>
      </c>
      <c r="D2554" t="s">
        <v>120</v>
      </c>
      <c r="E2554" t="s">
        <v>63</v>
      </c>
      <c r="F2554" t="s">
        <v>24</v>
      </c>
      <c r="G2554">
        <v>2</v>
      </c>
      <c r="H2554" t="s">
        <v>17</v>
      </c>
      <c r="I2554" t="s">
        <v>121</v>
      </c>
      <c r="J2554" t="s">
        <v>122</v>
      </c>
      <c r="K2554">
        <v>0</v>
      </c>
      <c r="L2554" s="84">
        <v>53028311</v>
      </c>
      <c r="M2554" s="84">
        <v>106056622</v>
      </c>
    </row>
    <row r="2555" spans="3:13" hidden="1" x14ac:dyDescent="0.25">
      <c r="C2555" t="s">
        <v>119</v>
      </c>
      <c r="D2555" t="s">
        <v>120</v>
      </c>
      <c r="E2555" t="s">
        <v>60</v>
      </c>
      <c r="F2555" t="s">
        <v>24</v>
      </c>
      <c r="G2555">
        <v>3</v>
      </c>
      <c r="H2555" t="s">
        <v>67</v>
      </c>
      <c r="I2555" t="s">
        <v>121</v>
      </c>
      <c r="J2555" t="s">
        <v>122</v>
      </c>
      <c r="K2555">
        <v>0</v>
      </c>
      <c r="L2555" s="84">
        <v>-586</v>
      </c>
      <c r="M2555" s="84">
        <v>0</v>
      </c>
    </row>
    <row r="2556" spans="3:13" hidden="1" x14ac:dyDescent="0.25">
      <c r="C2556" t="s">
        <v>65</v>
      </c>
      <c r="D2556" t="s">
        <v>120</v>
      </c>
      <c r="E2556" t="s">
        <v>63</v>
      </c>
      <c r="F2556" t="s">
        <v>124</v>
      </c>
      <c r="G2556">
        <v>4</v>
      </c>
      <c r="H2556" t="s">
        <v>68</v>
      </c>
      <c r="I2556" t="s">
        <v>121</v>
      </c>
      <c r="J2556" t="s">
        <v>122</v>
      </c>
      <c r="K2556">
        <v>0</v>
      </c>
      <c r="L2556" s="84">
        <v>718032</v>
      </c>
      <c r="M2556" s="84">
        <v>2872128</v>
      </c>
    </row>
    <row r="2557" spans="3:13" hidden="1" x14ac:dyDescent="0.25">
      <c r="C2557" t="s">
        <v>119</v>
      </c>
      <c r="D2557" t="s">
        <v>120</v>
      </c>
      <c r="E2557" t="s">
        <v>60</v>
      </c>
      <c r="F2557" t="s">
        <v>124</v>
      </c>
      <c r="G2557">
        <v>9</v>
      </c>
      <c r="H2557" t="s">
        <v>12</v>
      </c>
      <c r="I2557" t="s">
        <v>121</v>
      </c>
      <c r="J2557" t="s">
        <v>66</v>
      </c>
      <c r="K2557">
        <v>1</v>
      </c>
      <c r="L2557" s="84">
        <v>-14713</v>
      </c>
      <c r="M2557" s="84">
        <v>0</v>
      </c>
    </row>
    <row r="2558" spans="3:13" hidden="1" x14ac:dyDescent="0.25">
      <c r="C2558" t="s">
        <v>119</v>
      </c>
      <c r="D2558" t="s">
        <v>120</v>
      </c>
      <c r="E2558" t="s">
        <v>63</v>
      </c>
      <c r="F2558" t="s">
        <v>25</v>
      </c>
      <c r="G2558">
        <v>7</v>
      </c>
      <c r="H2558" t="s">
        <v>68</v>
      </c>
      <c r="I2558" t="s">
        <v>121</v>
      </c>
      <c r="J2558" t="s">
        <v>122</v>
      </c>
      <c r="K2558">
        <v>0</v>
      </c>
      <c r="L2558" s="84">
        <v>26157703</v>
      </c>
      <c r="M2558" s="84">
        <v>183103921</v>
      </c>
    </row>
    <row r="2559" spans="3:13" hidden="1" x14ac:dyDescent="0.25">
      <c r="C2559" t="s">
        <v>64</v>
      </c>
      <c r="D2559" t="s">
        <v>120</v>
      </c>
      <c r="E2559" t="s">
        <v>63</v>
      </c>
      <c r="F2559" t="s">
        <v>24</v>
      </c>
      <c r="G2559">
        <v>4</v>
      </c>
      <c r="H2559" t="s">
        <v>12</v>
      </c>
      <c r="I2559" t="s">
        <v>62</v>
      </c>
      <c r="J2559" t="s">
        <v>66</v>
      </c>
      <c r="K2559">
        <v>1</v>
      </c>
      <c r="L2559" s="84">
        <v>605646</v>
      </c>
      <c r="M2559" s="84">
        <v>2422584</v>
      </c>
    </row>
    <row r="2560" spans="3:13" hidden="1" x14ac:dyDescent="0.25">
      <c r="C2560" t="s">
        <v>119</v>
      </c>
      <c r="D2560" t="s">
        <v>120</v>
      </c>
      <c r="E2560" t="s">
        <v>60</v>
      </c>
      <c r="F2560" t="s">
        <v>124</v>
      </c>
      <c r="G2560">
        <v>4</v>
      </c>
      <c r="H2560" t="s">
        <v>14</v>
      </c>
      <c r="I2560" t="s">
        <v>62</v>
      </c>
      <c r="J2560" t="s">
        <v>122</v>
      </c>
      <c r="K2560">
        <v>1</v>
      </c>
      <c r="L2560" s="84">
        <v>-113</v>
      </c>
      <c r="M2560" s="84">
        <v>0</v>
      </c>
    </row>
    <row r="2561" spans="3:13" hidden="1" x14ac:dyDescent="0.25">
      <c r="C2561" t="s">
        <v>64</v>
      </c>
      <c r="D2561" t="s">
        <v>120</v>
      </c>
      <c r="E2561" t="s">
        <v>60</v>
      </c>
      <c r="F2561" t="s">
        <v>124</v>
      </c>
      <c r="G2561">
        <v>1</v>
      </c>
      <c r="H2561" t="s">
        <v>73</v>
      </c>
      <c r="I2561" t="s">
        <v>121</v>
      </c>
      <c r="J2561" t="s">
        <v>122</v>
      </c>
      <c r="K2561">
        <v>0</v>
      </c>
      <c r="L2561" s="84">
        <v>-28050</v>
      </c>
      <c r="M2561" s="84">
        <v>0</v>
      </c>
    </row>
    <row r="2562" spans="3:13" hidden="1" x14ac:dyDescent="0.25">
      <c r="C2562" t="s">
        <v>119</v>
      </c>
      <c r="D2562" t="s">
        <v>120</v>
      </c>
      <c r="E2562" t="s">
        <v>60</v>
      </c>
      <c r="F2562" t="s">
        <v>123</v>
      </c>
      <c r="G2562">
        <v>5</v>
      </c>
      <c r="H2562" t="s">
        <v>12</v>
      </c>
      <c r="I2562" t="s">
        <v>121</v>
      </c>
      <c r="J2562" t="s">
        <v>122</v>
      </c>
      <c r="K2562">
        <v>0</v>
      </c>
      <c r="L2562" s="84">
        <v>-2454</v>
      </c>
      <c r="M2562" s="84">
        <v>0</v>
      </c>
    </row>
    <row r="2563" spans="3:13" hidden="1" x14ac:dyDescent="0.25">
      <c r="C2563" t="s">
        <v>119</v>
      </c>
      <c r="D2563" t="s">
        <v>120</v>
      </c>
      <c r="E2563" t="s">
        <v>63</v>
      </c>
      <c r="F2563" t="s">
        <v>124</v>
      </c>
      <c r="G2563">
        <v>6</v>
      </c>
      <c r="H2563" t="s">
        <v>71</v>
      </c>
      <c r="I2563" t="s">
        <v>121</v>
      </c>
      <c r="J2563" t="s">
        <v>122</v>
      </c>
      <c r="K2563">
        <v>0</v>
      </c>
      <c r="L2563" s="84">
        <v>59965</v>
      </c>
      <c r="M2563" s="84">
        <v>359790</v>
      </c>
    </row>
    <row r="2564" spans="3:13" hidden="1" x14ac:dyDescent="0.25">
      <c r="C2564" t="s">
        <v>119</v>
      </c>
      <c r="D2564" t="s">
        <v>125</v>
      </c>
      <c r="E2564" t="s">
        <v>63</v>
      </c>
      <c r="F2564" t="s">
        <v>25</v>
      </c>
      <c r="G2564">
        <v>16</v>
      </c>
      <c r="I2564" t="s">
        <v>121</v>
      </c>
      <c r="J2564" t="s">
        <v>122</v>
      </c>
      <c r="K2564">
        <v>0</v>
      </c>
      <c r="L2564" s="84">
        <v>2463350</v>
      </c>
      <c r="M2564" s="84">
        <v>39413600</v>
      </c>
    </row>
    <row r="2565" spans="3:13" hidden="1" x14ac:dyDescent="0.25">
      <c r="C2565" t="s">
        <v>64</v>
      </c>
      <c r="D2565" t="s">
        <v>120</v>
      </c>
      <c r="E2565" t="s">
        <v>63</v>
      </c>
      <c r="F2565" t="s">
        <v>124</v>
      </c>
      <c r="G2565">
        <v>3</v>
      </c>
      <c r="H2565" t="s">
        <v>17</v>
      </c>
      <c r="I2565" t="s">
        <v>121</v>
      </c>
      <c r="J2565" t="s">
        <v>66</v>
      </c>
      <c r="K2565">
        <v>1</v>
      </c>
      <c r="L2565" s="84">
        <v>582203</v>
      </c>
      <c r="M2565" s="84">
        <v>1746609</v>
      </c>
    </row>
    <row r="2566" spans="3:13" hidden="1" x14ac:dyDescent="0.25">
      <c r="C2566" t="s">
        <v>65</v>
      </c>
      <c r="D2566" t="s">
        <v>120</v>
      </c>
      <c r="E2566" t="s">
        <v>63</v>
      </c>
      <c r="F2566" t="s">
        <v>124</v>
      </c>
      <c r="G2566">
        <v>-1</v>
      </c>
      <c r="H2566" t="s">
        <v>14</v>
      </c>
      <c r="I2566" t="s">
        <v>121</v>
      </c>
      <c r="J2566" t="s">
        <v>122</v>
      </c>
      <c r="K2566">
        <v>0</v>
      </c>
      <c r="L2566" s="84">
        <v>4913799</v>
      </c>
      <c r="M2566" s="84">
        <v>0</v>
      </c>
    </row>
    <row r="2567" spans="3:13" hidden="1" x14ac:dyDescent="0.25">
      <c r="C2567" t="s">
        <v>119</v>
      </c>
      <c r="D2567" t="s">
        <v>126</v>
      </c>
      <c r="E2567" t="s">
        <v>63</v>
      </c>
      <c r="F2567" t="s">
        <v>24</v>
      </c>
      <c r="G2567">
        <v>3</v>
      </c>
      <c r="H2567" t="s">
        <v>17</v>
      </c>
      <c r="I2567" t="s">
        <v>121</v>
      </c>
      <c r="J2567" t="s">
        <v>122</v>
      </c>
      <c r="K2567">
        <v>0</v>
      </c>
      <c r="L2567" s="84">
        <v>7837544</v>
      </c>
      <c r="M2567" s="84">
        <v>23512632</v>
      </c>
    </row>
    <row r="2568" spans="3:13" hidden="1" x14ac:dyDescent="0.25">
      <c r="C2568" t="s">
        <v>119</v>
      </c>
      <c r="D2568" t="s">
        <v>120</v>
      </c>
      <c r="E2568" t="s">
        <v>60</v>
      </c>
      <c r="F2568" t="s">
        <v>123</v>
      </c>
      <c r="G2568">
        <v>6</v>
      </c>
      <c r="H2568" t="s">
        <v>69</v>
      </c>
      <c r="I2568" t="s">
        <v>121</v>
      </c>
      <c r="J2568" t="s">
        <v>122</v>
      </c>
      <c r="K2568">
        <v>0</v>
      </c>
      <c r="L2568" s="84">
        <v>-1398</v>
      </c>
      <c r="M2568" s="84">
        <v>0</v>
      </c>
    </row>
    <row r="2569" spans="3:13" hidden="1" x14ac:dyDescent="0.25">
      <c r="C2569" t="s">
        <v>119</v>
      </c>
      <c r="D2569" t="s">
        <v>120</v>
      </c>
      <c r="E2569" t="s">
        <v>60</v>
      </c>
      <c r="F2569" t="s">
        <v>124</v>
      </c>
      <c r="G2569">
        <v>3</v>
      </c>
      <c r="H2569" t="s">
        <v>12</v>
      </c>
      <c r="I2569" t="s">
        <v>62</v>
      </c>
      <c r="J2569" t="s">
        <v>66</v>
      </c>
      <c r="K2569">
        <v>1</v>
      </c>
      <c r="L2569" s="84">
        <v>-1037</v>
      </c>
      <c r="M2569" s="84">
        <v>0</v>
      </c>
    </row>
    <row r="2570" spans="3:13" hidden="1" x14ac:dyDescent="0.25">
      <c r="C2570" t="s">
        <v>119</v>
      </c>
      <c r="D2570" t="s">
        <v>120</v>
      </c>
      <c r="E2570" t="s">
        <v>60</v>
      </c>
      <c r="F2570" t="s">
        <v>124</v>
      </c>
      <c r="G2570">
        <v>-1</v>
      </c>
      <c r="H2570" t="s">
        <v>15</v>
      </c>
      <c r="I2570" t="s">
        <v>62</v>
      </c>
      <c r="J2570" t="s">
        <v>122</v>
      </c>
      <c r="K2570">
        <v>1</v>
      </c>
      <c r="L2570" s="84">
        <v>-33</v>
      </c>
      <c r="M2570" s="84">
        <v>0</v>
      </c>
    </row>
    <row r="2571" spans="3:13" hidden="1" x14ac:dyDescent="0.25">
      <c r="C2571" t="s">
        <v>119</v>
      </c>
      <c r="D2571" t="s">
        <v>120</v>
      </c>
      <c r="E2571" t="s">
        <v>60</v>
      </c>
      <c r="F2571" t="s">
        <v>25</v>
      </c>
      <c r="G2571">
        <v>12</v>
      </c>
      <c r="H2571" t="s">
        <v>18</v>
      </c>
      <c r="I2571" t="s">
        <v>121</v>
      </c>
      <c r="J2571" t="s">
        <v>122</v>
      </c>
      <c r="K2571">
        <v>0</v>
      </c>
      <c r="L2571" s="84">
        <v>-7149</v>
      </c>
      <c r="M2571" s="84">
        <v>0</v>
      </c>
    </row>
    <row r="2572" spans="3:13" hidden="1" x14ac:dyDescent="0.25">
      <c r="C2572" t="s">
        <v>119</v>
      </c>
      <c r="D2572" t="s">
        <v>120</v>
      </c>
      <c r="E2572" t="s">
        <v>60</v>
      </c>
      <c r="F2572" t="s">
        <v>25</v>
      </c>
      <c r="G2572">
        <v>8</v>
      </c>
      <c r="H2572" t="s">
        <v>18</v>
      </c>
      <c r="I2572" t="s">
        <v>121</v>
      </c>
      <c r="J2572" t="s">
        <v>66</v>
      </c>
      <c r="K2572">
        <v>1</v>
      </c>
      <c r="L2572" s="84">
        <v>-5487</v>
      </c>
      <c r="M2572" s="84">
        <v>0</v>
      </c>
    </row>
    <row r="2573" spans="3:13" hidden="1" x14ac:dyDescent="0.25">
      <c r="C2573" t="s">
        <v>119</v>
      </c>
      <c r="D2573" t="s">
        <v>120</v>
      </c>
      <c r="E2573" t="s">
        <v>60</v>
      </c>
      <c r="F2573" t="s">
        <v>123</v>
      </c>
      <c r="G2573">
        <v>3</v>
      </c>
      <c r="H2573" t="s">
        <v>12</v>
      </c>
      <c r="I2573" t="s">
        <v>121</v>
      </c>
      <c r="J2573" t="s">
        <v>122</v>
      </c>
      <c r="K2573">
        <v>0</v>
      </c>
      <c r="L2573" s="84">
        <v>-979</v>
      </c>
      <c r="M2573" s="84">
        <v>0</v>
      </c>
    </row>
    <row r="2574" spans="3:13" hidden="1" x14ac:dyDescent="0.25">
      <c r="C2574" t="s">
        <v>119</v>
      </c>
      <c r="D2574" t="s">
        <v>120</v>
      </c>
      <c r="E2574" t="s">
        <v>63</v>
      </c>
      <c r="F2574" t="s">
        <v>124</v>
      </c>
      <c r="G2574">
        <v>2</v>
      </c>
      <c r="H2574" t="s">
        <v>73</v>
      </c>
      <c r="I2574" t="s">
        <v>121</v>
      </c>
      <c r="J2574" t="s">
        <v>122</v>
      </c>
      <c r="K2574">
        <v>0</v>
      </c>
      <c r="L2574" s="84">
        <v>2209478</v>
      </c>
      <c r="M2574" s="84">
        <v>4418956</v>
      </c>
    </row>
    <row r="2575" spans="3:13" hidden="1" x14ac:dyDescent="0.25">
      <c r="C2575" t="s">
        <v>119</v>
      </c>
      <c r="D2575" t="s">
        <v>125</v>
      </c>
      <c r="E2575" t="s">
        <v>63</v>
      </c>
      <c r="F2575" t="s">
        <v>24</v>
      </c>
      <c r="G2575">
        <v>21</v>
      </c>
      <c r="I2575" t="s">
        <v>121</v>
      </c>
      <c r="J2575" t="s">
        <v>122</v>
      </c>
      <c r="K2575">
        <v>0</v>
      </c>
      <c r="L2575" s="84">
        <v>697356475</v>
      </c>
      <c r="M2575" s="84">
        <v>14644485975</v>
      </c>
    </row>
    <row r="2576" spans="3:13" hidden="1" x14ac:dyDescent="0.25">
      <c r="C2576" t="s">
        <v>64</v>
      </c>
      <c r="D2576" t="s">
        <v>120</v>
      </c>
      <c r="E2576" t="s">
        <v>60</v>
      </c>
      <c r="F2576" t="s">
        <v>123</v>
      </c>
      <c r="G2576">
        <v>0</v>
      </c>
      <c r="H2576" t="s">
        <v>73</v>
      </c>
      <c r="I2576" t="s">
        <v>121</v>
      </c>
      <c r="J2576" t="s">
        <v>122</v>
      </c>
      <c r="K2576">
        <v>0</v>
      </c>
      <c r="L2576" s="84">
        <v>-191</v>
      </c>
      <c r="M2576" s="84">
        <v>0</v>
      </c>
    </row>
    <row r="2577" spans="3:13" hidden="1" x14ac:dyDescent="0.25">
      <c r="C2577" t="s">
        <v>65</v>
      </c>
      <c r="D2577" t="s">
        <v>120</v>
      </c>
      <c r="E2577" t="s">
        <v>60</v>
      </c>
      <c r="F2577" t="s">
        <v>124</v>
      </c>
      <c r="G2577">
        <v>5</v>
      </c>
      <c r="H2577" t="s">
        <v>12</v>
      </c>
      <c r="I2577" t="s">
        <v>121</v>
      </c>
      <c r="J2577" t="s">
        <v>122</v>
      </c>
      <c r="K2577">
        <v>0</v>
      </c>
      <c r="L2577" s="84">
        <v>-23508</v>
      </c>
      <c r="M2577" s="84">
        <v>0</v>
      </c>
    </row>
    <row r="2578" spans="3:13" hidden="1" x14ac:dyDescent="0.25">
      <c r="C2578" t="s">
        <v>64</v>
      </c>
      <c r="D2578" t="s">
        <v>120</v>
      </c>
      <c r="E2578" t="s">
        <v>60</v>
      </c>
      <c r="F2578" t="s">
        <v>123</v>
      </c>
      <c r="G2578">
        <v>6</v>
      </c>
      <c r="H2578" t="s">
        <v>18</v>
      </c>
      <c r="I2578" t="s">
        <v>121</v>
      </c>
      <c r="J2578" t="s">
        <v>122</v>
      </c>
      <c r="K2578">
        <v>0</v>
      </c>
      <c r="L2578" s="84">
        <v>-5005</v>
      </c>
      <c r="M2578" s="84">
        <v>0</v>
      </c>
    </row>
    <row r="2579" spans="3:13" hidden="1" x14ac:dyDescent="0.25">
      <c r="C2579" t="s">
        <v>119</v>
      </c>
      <c r="D2579" t="s">
        <v>120</v>
      </c>
      <c r="E2579" t="s">
        <v>63</v>
      </c>
      <c r="F2579" t="s">
        <v>24</v>
      </c>
      <c r="G2579">
        <v>5</v>
      </c>
      <c r="H2579" t="s">
        <v>70</v>
      </c>
      <c r="I2579" t="s">
        <v>121</v>
      </c>
      <c r="J2579" t="s">
        <v>122</v>
      </c>
      <c r="K2579">
        <v>0</v>
      </c>
      <c r="L2579" s="84">
        <v>103010</v>
      </c>
      <c r="M2579" s="84">
        <v>515050</v>
      </c>
    </row>
    <row r="2580" spans="3:13" hidden="1" x14ac:dyDescent="0.25">
      <c r="C2580" t="s">
        <v>119</v>
      </c>
      <c r="D2580" t="s">
        <v>120</v>
      </c>
      <c r="E2580" t="s">
        <v>63</v>
      </c>
      <c r="F2580" t="s">
        <v>124</v>
      </c>
      <c r="G2580">
        <v>0</v>
      </c>
      <c r="H2580" t="s">
        <v>61</v>
      </c>
      <c r="I2580" t="s">
        <v>121</v>
      </c>
      <c r="J2580" t="s">
        <v>122</v>
      </c>
      <c r="K2580">
        <v>0</v>
      </c>
      <c r="L2580" s="84">
        <v>57564361</v>
      </c>
      <c r="M2580" s="84">
        <v>0</v>
      </c>
    </row>
    <row r="2581" spans="3:13" hidden="1" x14ac:dyDescent="0.25">
      <c r="C2581" t="s">
        <v>119</v>
      </c>
      <c r="D2581" t="s">
        <v>120</v>
      </c>
      <c r="E2581" t="s">
        <v>63</v>
      </c>
      <c r="F2581" t="s">
        <v>24</v>
      </c>
      <c r="G2581">
        <v>9</v>
      </c>
      <c r="H2581" t="s">
        <v>18</v>
      </c>
      <c r="I2581" t="s">
        <v>121</v>
      </c>
      <c r="J2581" t="s">
        <v>122</v>
      </c>
      <c r="K2581">
        <v>0</v>
      </c>
      <c r="L2581" s="84">
        <v>6477498</v>
      </c>
      <c r="M2581" s="84">
        <v>58297482</v>
      </c>
    </row>
    <row r="2582" spans="3:13" hidden="1" x14ac:dyDescent="0.25">
      <c r="C2582" t="s">
        <v>119</v>
      </c>
      <c r="D2582" t="s">
        <v>120</v>
      </c>
      <c r="E2582" t="s">
        <v>63</v>
      </c>
      <c r="F2582" t="s">
        <v>25</v>
      </c>
      <c r="G2582">
        <v>10</v>
      </c>
      <c r="H2582" t="s">
        <v>12</v>
      </c>
      <c r="I2582" t="s">
        <v>121</v>
      </c>
      <c r="J2582" t="s">
        <v>122</v>
      </c>
      <c r="K2582">
        <v>0</v>
      </c>
      <c r="L2582" s="84">
        <v>38368</v>
      </c>
      <c r="M2582" s="84">
        <v>383680</v>
      </c>
    </row>
    <row r="2583" spans="3:13" hidden="1" x14ac:dyDescent="0.25">
      <c r="C2583" t="s">
        <v>64</v>
      </c>
      <c r="D2583" t="s">
        <v>120</v>
      </c>
      <c r="E2583" t="s">
        <v>60</v>
      </c>
      <c r="F2583" t="s">
        <v>24</v>
      </c>
      <c r="G2583">
        <v>16</v>
      </c>
      <c r="H2583" t="s">
        <v>68</v>
      </c>
      <c r="I2583" t="s">
        <v>121</v>
      </c>
      <c r="J2583" t="s">
        <v>122</v>
      </c>
      <c r="K2583">
        <v>0</v>
      </c>
      <c r="L2583" s="84">
        <v>-24603</v>
      </c>
      <c r="M2583" s="84">
        <v>0</v>
      </c>
    </row>
    <row r="2584" spans="3:13" hidden="1" x14ac:dyDescent="0.25">
      <c r="C2584" t="s">
        <v>65</v>
      </c>
      <c r="D2584" t="s">
        <v>125</v>
      </c>
      <c r="E2584" t="s">
        <v>60</v>
      </c>
      <c r="F2584" t="s">
        <v>25</v>
      </c>
      <c r="G2584">
        <v>18</v>
      </c>
      <c r="I2584" t="s">
        <v>121</v>
      </c>
      <c r="J2584" t="s">
        <v>122</v>
      </c>
      <c r="K2584">
        <v>0</v>
      </c>
      <c r="L2584" s="84">
        <v>-14108</v>
      </c>
      <c r="M2584" s="84">
        <v>0</v>
      </c>
    </row>
    <row r="2585" spans="3:13" hidden="1" x14ac:dyDescent="0.25">
      <c r="C2585" t="s">
        <v>64</v>
      </c>
      <c r="D2585" t="s">
        <v>120</v>
      </c>
      <c r="E2585" t="s">
        <v>63</v>
      </c>
      <c r="F2585" t="s">
        <v>124</v>
      </c>
      <c r="G2585">
        <v>5</v>
      </c>
      <c r="H2585" t="s">
        <v>17</v>
      </c>
      <c r="I2585" t="s">
        <v>121</v>
      </c>
      <c r="J2585" t="s">
        <v>66</v>
      </c>
      <c r="K2585">
        <v>1</v>
      </c>
      <c r="L2585" s="84">
        <v>92526</v>
      </c>
      <c r="M2585" s="84">
        <v>462630</v>
      </c>
    </row>
    <row r="2586" spans="3:13" hidden="1" x14ac:dyDescent="0.25">
      <c r="C2586" t="s">
        <v>119</v>
      </c>
      <c r="D2586" t="s">
        <v>126</v>
      </c>
      <c r="E2586" t="s">
        <v>63</v>
      </c>
      <c r="F2586" t="s">
        <v>25</v>
      </c>
      <c r="G2586">
        <v>14</v>
      </c>
      <c r="H2586" t="s">
        <v>68</v>
      </c>
      <c r="I2586" t="s">
        <v>121</v>
      </c>
      <c r="J2586" t="s">
        <v>122</v>
      </c>
      <c r="K2586">
        <v>0</v>
      </c>
      <c r="L2586" s="84">
        <v>10634120</v>
      </c>
      <c r="M2586" s="84">
        <v>148877680</v>
      </c>
    </row>
    <row r="2587" spans="3:13" hidden="1" x14ac:dyDescent="0.25">
      <c r="C2587" t="s">
        <v>65</v>
      </c>
      <c r="D2587" t="s">
        <v>120</v>
      </c>
      <c r="E2587" t="s">
        <v>60</v>
      </c>
      <c r="F2587" t="s">
        <v>123</v>
      </c>
      <c r="G2587">
        <v>3</v>
      </c>
      <c r="H2587" t="s">
        <v>12</v>
      </c>
      <c r="I2587" t="s">
        <v>121</v>
      </c>
      <c r="J2587" t="s">
        <v>66</v>
      </c>
      <c r="K2587">
        <v>1</v>
      </c>
      <c r="L2587" s="84">
        <v>-69543</v>
      </c>
      <c r="M2587" s="84">
        <v>0</v>
      </c>
    </row>
    <row r="2588" spans="3:13" hidden="1" x14ac:dyDescent="0.25">
      <c r="C2588" t="s">
        <v>119</v>
      </c>
      <c r="D2588" t="s">
        <v>120</v>
      </c>
      <c r="E2588" t="s">
        <v>60</v>
      </c>
      <c r="F2588" t="s">
        <v>25</v>
      </c>
      <c r="G2588">
        <v>1</v>
      </c>
      <c r="H2588" t="s">
        <v>73</v>
      </c>
      <c r="I2588" t="s">
        <v>121</v>
      </c>
      <c r="J2588" t="s">
        <v>122</v>
      </c>
      <c r="K2588">
        <v>0</v>
      </c>
      <c r="L2588" s="84">
        <v>-134</v>
      </c>
      <c r="M2588" s="84">
        <v>0</v>
      </c>
    </row>
    <row r="2589" spans="3:13" hidden="1" x14ac:dyDescent="0.25">
      <c r="C2589" t="s">
        <v>119</v>
      </c>
      <c r="D2589" t="s">
        <v>120</v>
      </c>
      <c r="E2589" t="s">
        <v>60</v>
      </c>
      <c r="F2589" t="s">
        <v>25</v>
      </c>
      <c r="G2589">
        <v>4</v>
      </c>
      <c r="H2589" t="s">
        <v>61</v>
      </c>
      <c r="I2589" t="s">
        <v>121</v>
      </c>
      <c r="J2589" t="s">
        <v>122</v>
      </c>
      <c r="K2589">
        <v>0</v>
      </c>
      <c r="L2589" s="84">
        <v>-243</v>
      </c>
      <c r="M2589" s="84">
        <v>0</v>
      </c>
    </row>
    <row r="2590" spans="3:13" hidden="1" x14ac:dyDescent="0.25">
      <c r="C2590" t="s">
        <v>119</v>
      </c>
      <c r="D2590" t="s">
        <v>120</v>
      </c>
      <c r="E2590" t="s">
        <v>63</v>
      </c>
      <c r="F2590" t="s">
        <v>25</v>
      </c>
      <c r="G2590">
        <v>3</v>
      </c>
      <c r="H2590" t="s">
        <v>17</v>
      </c>
      <c r="I2590" t="s">
        <v>121</v>
      </c>
      <c r="J2590" t="s">
        <v>122</v>
      </c>
      <c r="K2590">
        <v>0</v>
      </c>
      <c r="L2590" s="84">
        <v>2718305</v>
      </c>
      <c r="M2590" s="84">
        <v>8154915</v>
      </c>
    </row>
    <row r="2591" spans="3:13" hidden="1" x14ac:dyDescent="0.25">
      <c r="C2591" t="s">
        <v>65</v>
      </c>
      <c r="D2591" t="s">
        <v>120</v>
      </c>
      <c r="E2591" t="s">
        <v>60</v>
      </c>
      <c r="F2591" t="s">
        <v>124</v>
      </c>
      <c r="G2591">
        <v>6</v>
      </c>
      <c r="H2591" t="s">
        <v>18</v>
      </c>
      <c r="I2591" t="s">
        <v>121</v>
      </c>
      <c r="J2591" t="s">
        <v>122</v>
      </c>
      <c r="K2591">
        <v>0</v>
      </c>
      <c r="L2591" s="84">
        <v>-1235436</v>
      </c>
      <c r="M2591" s="84">
        <v>0</v>
      </c>
    </row>
    <row r="2592" spans="3:13" hidden="1" x14ac:dyDescent="0.25">
      <c r="C2592" t="s">
        <v>64</v>
      </c>
      <c r="D2592" t="s">
        <v>125</v>
      </c>
      <c r="E2592" t="s">
        <v>60</v>
      </c>
      <c r="F2592" t="s">
        <v>25</v>
      </c>
      <c r="G2592">
        <v>26</v>
      </c>
      <c r="I2592" t="s">
        <v>121</v>
      </c>
      <c r="J2592" t="s">
        <v>122</v>
      </c>
      <c r="K2592">
        <v>0</v>
      </c>
      <c r="L2592" s="84">
        <v>-5786</v>
      </c>
      <c r="M2592" s="84">
        <v>0</v>
      </c>
    </row>
    <row r="2593" spans="3:13" hidden="1" x14ac:dyDescent="0.25">
      <c r="C2593" t="s">
        <v>119</v>
      </c>
      <c r="D2593" t="s">
        <v>120</v>
      </c>
      <c r="E2593" t="s">
        <v>63</v>
      </c>
      <c r="F2593" t="s">
        <v>123</v>
      </c>
      <c r="G2593">
        <v>4</v>
      </c>
      <c r="H2593" t="s">
        <v>15</v>
      </c>
      <c r="I2593" t="s">
        <v>121</v>
      </c>
      <c r="J2593" t="s">
        <v>66</v>
      </c>
      <c r="K2593">
        <v>1</v>
      </c>
      <c r="L2593" s="84">
        <v>170723</v>
      </c>
      <c r="M2593" s="84">
        <v>682892</v>
      </c>
    </row>
    <row r="2594" spans="3:13" hidden="1" x14ac:dyDescent="0.25">
      <c r="C2594" t="s">
        <v>64</v>
      </c>
      <c r="D2594" t="s">
        <v>125</v>
      </c>
      <c r="E2594" t="s">
        <v>60</v>
      </c>
      <c r="F2594" t="s">
        <v>24</v>
      </c>
      <c r="G2594">
        <v>15</v>
      </c>
      <c r="I2594" t="s">
        <v>121</v>
      </c>
      <c r="J2594" t="s">
        <v>122</v>
      </c>
      <c r="K2594">
        <v>0</v>
      </c>
      <c r="L2594" s="84">
        <v>-573058</v>
      </c>
      <c r="M2594" s="84">
        <v>0</v>
      </c>
    </row>
    <row r="2595" spans="3:13" hidden="1" x14ac:dyDescent="0.25">
      <c r="C2595" t="s">
        <v>119</v>
      </c>
      <c r="D2595" t="s">
        <v>126</v>
      </c>
      <c r="E2595" t="s">
        <v>63</v>
      </c>
      <c r="F2595" t="s">
        <v>24</v>
      </c>
      <c r="G2595">
        <v>10</v>
      </c>
      <c r="H2595" t="s">
        <v>74</v>
      </c>
      <c r="I2595" t="s">
        <v>121</v>
      </c>
      <c r="J2595" t="s">
        <v>122</v>
      </c>
      <c r="K2595">
        <v>0</v>
      </c>
      <c r="L2595" s="84">
        <v>114576</v>
      </c>
      <c r="M2595" s="84">
        <v>1145760</v>
      </c>
    </row>
    <row r="2596" spans="3:13" hidden="1" x14ac:dyDescent="0.25">
      <c r="C2596" t="s">
        <v>119</v>
      </c>
      <c r="D2596" t="s">
        <v>120</v>
      </c>
      <c r="E2596" t="s">
        <v>63</v>
      </c>
      <c r="F2596" t="s">
        <v>24</v>
      </c>
      <c r="G2596">
        <v>1</v>
      </c>
      <c r="H2596" t="s">
        <v>18</v>
      </c>
      <c r="I2596" t="s">
        <v>121</v>
      </c>
      <c r="J2596" t="s">
        <v>122</v>
      </c>
      <c r="K2596">
        <v>0</v>
      </c>
      <c r="L2596" s="84">
        <v>695070</v>
      </c>
      <c r="M2596" s="84">
        <v>695070</v>
      </c>
    </row>
    <row r="2597" spans="3:13" hidden="1" x14ac:dyDescent="0.25">
      <c r="C2597" t="s">
        <v>119</v>
      </c>
      <c r="D2597" t="s">
        <v>120</v>
      </c>
      <c r="E2597" t="s">
        <v>63</v>
      </c>
      <c r="F2597" t="s">
        <v>123</v>
      </c>
      <c r="G2597">
        <v>5</v>
      </c>
      <c r="H2597" t="s">
        <v>67</v>
      </c>
      <c r="I2597" t="s">
        <v>121</v>
      </c>
      <c r="J2597" t="s">
        <v>122</v>
      </c>
      <c r="K2597">
        <v>0</v>
      </c>
      <c r="L2597" s="84">
        <v>2352292</v>
      </c>
      <c r="M2597" s="84">
        <v>11761460</v>
      </c>
    </row>
    <row r="2598" spans="3:13" hidden="1" x14ac:dyDescent="0.25">
      <c r="C2598" t="s">
        <v>119</v>
      </c>
      <c r="D2598" t="s">
        <v>125</v>
      </c>
      <c r="E2598" t="s">
        <v>60</v>
      </c>
      <c r="F2598" t="s">
        <v>24</v>
      </c>
      <c r="G2598">
        <v>11</v>
      </c>
      <c r="I2598" t="s">
        <v>121</v>
      </c>
      <c r="J2598" t="s">
        <v>122</v>
      </c>
      <c r="K2598">
        <v>0</v>
      </c>
      <c r="L2598" s="84">
        <v>-75255</v>
      </c>
      <c r="M2598" s="84">
        <v>0</v>
      </c>
    </row>
    <row r="2599" spans="3:13" hidden="1" x14ac:dyDescent="0.25">
      <c r="C2599" t="s">
        <v>119</v>
      </c>
      <c r="D2599" t="s">
        <v>120</v>
      </c>
      <c r="E2599" t="s">
        <v>63</v>
      </c>
      <c r="F2599" t="s">
        <v>124</v>
      </c>
      <c r="G2599">
        <v>-1</v>
      </c>
      <c r="H2599" t="s">
        <v>18</v>
      </c>
      <c r="I2599" t="s">
        <v>121</v>
      </c>
      <c r="J2599" t="s">
        <v>122</v>
      </c>
      <c r="K2599">
        <v>0</v>
      </c>
      <c r="L2599" s="84">
        <v>203128090</v>
      </c>
      <c r="M2599" s="84">
        <v>0</v>
      </c>
    </row>
    <row r="2600" spans="3:13" hidden="1" x14ac:dyDescent="0.25">
      <c r="C2600" t="s">
        <v>65</v>
      </c>
      <c r="D2600" t="s">
        <v>120</v>
      </c>
      <c r="E2600" t="s">
        <v>60</v>
      </c>
      <c r="F2600" t="s">
        <v>124</v>
      </c>
      <c r="G2600">
        <v>-1</v>
      </c>
      <c r="H2600" t="s">
        <v>12</v>
      </c>
      <c r="I2600" t="s">
        <v>121</v>
      </c>
      <c r="J2600" t="s">
        <v>66</v>
      </c>
      <c r="K2600">
        <v>1</v>
      </c>
      <c r="L2600" s="84">
        <v>-1246652</v>
      </c>
      <c r="M2600" s="84">
        <v>0</v>
      </c>
    </row>
    <row r="2601" spans="3:13" hidden="1" x14ac:dyDescent="0.25">
      <c r="C2601" t="s">
        <v>119</v>
      </c>
      <c r="D2601" t="s">
        <v>120</v>
      </c>
      <c r="E2601" t="s">
        <v>60</v>
      </c>
      <c r="F2601" t="s">
        <v>25</v>
      </c>
      <c r="G2601">
        <v>9</v>
      </c>
      <c r="H2601" t="s">
        <v>17</v>
      </c>
      <c r="I2601" t="s">
        <v>62</v>
      </c>
      <c r="J2601" t="s">
        <v>66</v>
      </c>
      <c r="K2601">
        <v>1</v>
      </c>
      <c r="L2601" s="84">
        <v>-393</v>
      </c>
      <c r="M2601" s="84">
        <v>0</v>
      </c>
    </row>
    <row r="2602" spans="3:13" hidden="1" x14ac:dyDescent="0.25">
      <c r="C2602" t="s">
        <v>65</v>
      </c>
      <c r="D2602" t="s">
        <v>120</v>
      </c>
      <c r="E2602" t="s">
        <v>60</v>
      </c>
      <c r="F2602" t="s">
        <v>24</v>
      </c>
      <c r="G2602">
        <v>-4</v>
      </c>
      <c r="H2602" t="s">
        <v>17</v>
      </c>
      <c r="I2602" t="s">
        <v>121</v>
      </c>
      <c r="J2602" t="s">
        <v>122</v>
      </c>
      <c r="K2602">
        <v>0</v>
      </c>
      <c r="L2602" s="84">
        <v>-264556</v>
      </c>
      <c r="M2602" s="84">
        <v>0</v>
      </c>
    </row>
    <row r="2603" spans="3:13" hidden="1" x14ac:dyDescent="0.25">
      <c r="C2603" t="s">
        <v>64</v>
      </c>
      <c r="D2603" t="s">
        <v>120</v>
      </c>
      <c r="E2603" t="s">
        <v>63</v>
      </c>
      <c r="F2603" t="s">
        <v>124</v>
      </c>
      <c r="G2603">
        <v>1</v>
      </c>
      <c r="H2603" t="s">
        <v>78</v>
      </c>
      <c r="I2603" t="s">
        <v>121</v>
      </c>
      <c r="J2603" t="s">
        <v>122</v>
      </c>
      <c r="K2603">
        <v>0</v>
      </c>
      <c r="L2603" s="84">
        <v>1246182</v>
      </c>
      <c r="M2603" s="84">
        <v>1246182</v>
      </c>
    </row>
    <row r="2604" spans="3:13" hidden="1" x14ac:dyDescent="0.25">
      <c r="C2604" t="s">
        <v>65</v>
      </c>
      <c r="D2604" t="s">
        <v>120</v>
      </c>
      <c r="E2604" t="s">
        <v>63</v>
      </c>
      <c r="F2604" t="s">
        <v>123</v>
      </c>
      <c r="G2604">
        <v>-4</v>
      </c>
      <c r="H2604" t="s">
        <v>74</v>
      </c>
      <c r="I2604" t="s">
        <v>121</v>
      </c>
      <c r="J2604" t="s">
        <v>122</v>
      </c>
      <c r="K2604">
        <v>0</v>
      </c>
      <c r="L2604" s="84">
        <v>26</v>
      </c>
      <c r="M2604" s="84">
        <v>0</v>
      </c>
    </row>
    <row r="2605" spans="3:13" hidden="1" x14ac:dyDescent="0.25">
      <c r="C2605" t="s">
        <v>65</v>
      </c>
      <c r="D2605" t="s">
        <v>120</v>
      </c>
      <c r="E2605" t="s">
        <v>60</v>
      </c>
      <c r="F2605" t="s">
        <v>124</v>
      </c>
      <c r="G2605">
        <v>-1</v>
      </c>
      <c r="H2605" t="s">
        <v>17</v>
      </c>
      <c r="I2605" t="s">
        <v>62</v>
      </c>
      <c r="J2605" t="s">
        <v>122</v>
      </c>
      <c r="K2605">
        <v>1</v>
      </c>
      <c r="L2605" s="84">
        <v>-22783</v>
      </c>
      <c r="M2605" s="84">
        <v>0</v>
      </c>
    </row>
    <row r="2606" spans="3:13" hidden="1" x14ac:dyDescent="0.25">
      <c r="C2606" t="s">
        <v>119</v>
      </c>
      <c r="D2606" t="s">
        <v>120</v>
      </c>
      <c r="E2606" t="s">
        <v>60</v>
      </c>
      <c r="F2606" t="s">
        <v>24</v>
      </c>
      <c r="G2606">
        <v>9</v>
      </c>
      <c r="H2606" t="s">
        <v>69</v>
      </c>
      <c r="I2606" t="s">
        <v>121</v>
      </c>
      <c r="J2606" t="s">
        <v>122</v>
      </c>
      <c r="K2606">
        <v>0</v>
      </c>
      <c r="L2606" s="84">
        <v>-13056</v>
      </c>
      <c r="M2606" s="84">
        <v>0</v>
      </c>
    </row>
    <row r="2607" spans="3:13" hidden="1" x14ac:dyDescent="0.25">
      <c r="C2607" t="s">
        <v>64</v>
      </c>
      <c r="D2607" t="s">
        <v>120</v>
      </c>
      <c r="E2607" t="s">
        <v>60</v>
      </c>
      <c r="F2607" t="s">
        <v>24</v>
      </c>
      <c r="G2607">
        <v>15</v>
      </c>
      <c r="H2607" t="s">
        <v>69</v>
      </c>
      <c r="I2607" t="s">
        <v>121</v>
      </c>
      <c r="J2607" t="s">
        <v>122</v>
      </c>
      <c r="K2607">
        <v>0</v>
      </c>
      <c r="L2607" s="84">
        <v>-18917</v>
      </c>
      <c r="M2607" s="84">
        <v>0</v>
      </c>
    </row>
    <row r="2608" spans="3:13" hidden="1" x14ac:dyDescent="0.25">
      <c r="C2608" t="s">
        <v>119</v>
      </c>
      <c r="D2608" t="s">
        <v>120</v>
      </c>
      <c r="E2608" t="s">
        <v>63</v>
      </c>
      <c r="F2608" t="s">
        <v>123</v>
      </c>
      <c r="G2608">
        <v>0</v>
      </c>
      <c r="H2608" t="s">
        <v>69</v>
      </c>
      <c r="I2608" t="s">
        <v>121</v>
      </c>
      <c r="J2608" t="s">
        <v>122</v>
      </c>
      <c r="K2608">
        <v>0</v>
      </c>
      <c r="L2608" s="84">
        <v>112213</v>
      </c>
      <c r="M2608" s="84">
        <v>0</v>
      </c>
    </row>
    <row r="2609" spans="3:13" hidden="1" x14ac:dyDescent="0.25">
      <c r="C2609" t="s">
        <v>64</v>
      </c>
      <c r="D2609" t="s">
        <v>120</v>
      </c>
      <c r="E2609" t="s">
        <v>60</v>
      </c>
      <c r="F2609" t="s">
        <v>25</v>
      </c>
      <c r="G2609">
        <v>8</v>
      </c>
      <c r="H2609" t="s">
        <v>74</v>
      </c>
      <c r="I2609" t="s">
        <v>121</v>
      </c>
      <c r="J2609" t="s">
        <v>122</v>
      </c>
      <c r="K2609">
        <v>0</v>
      </c>
      <c r="L2609" s="84">
        <v>-7592</v>
      </c>
      <c r="M2609" s="84">
        <v>0</v>
      </c>
    </row>
    <row r="2610" spans="3:13" hidden="1" x14ac:dyDescent="0.25">
      <c r="C2610" t="s">
        <v>64</v>
      </c>
      <c r="D2610" t="s">
        <v>120</v>
      </c>
      <c r="E2610" t="s">
        <v>63</v>
      </c>
      <c r="F2610" t="s">
        <v>123</v>
      </c>
      <c r="G2610">
        <v>-1</v>
      </c>
      <c r="H2610" t="s">
        <v>61</v>
      </c>
      <c r="I2610" t="s">
        <v>121</v>
      </c>
      <c r="J2610" t="s">
        <v>122</v>
      </c>
      <c r="K2610">
        <v>0</v>
      </c>
      <c r="L2610" s="84">
        <v>351285</v>
      </c>
      <c r="M2610" s="84">
        <v>0</v>
      </c>
    </row>
    <row r="2611" spans="3:13" hidden="1" x14ac:dyDescent="0.25">
      <c r="C2611" t="s">
        <v>119</v>
      </c>
      <c r="D2611" t="s">
        <v>120</v>
      </c>
      <c r="E2611" t="s">
        <v>63</v>
      </c>
      <c r="F2611" t="s">
        <v>123</v>
      </c>
      <c r="G2611">
        <v>3</v>
      </c>
      <c r="H2611" t="s">
        <v>75</v>
      </c>
      <c r="I2611" t="s">
        <v>121</v>
      </c>
      <c r="J2611" t="s">
        <v>122</v>
      </c>
      <c r="K2611">
        <v>0</v>
      </c>
      <c r="L2611" s="84">
        <v>13569914</v>
      </c>
      <c r="M2611" s="84">
        <v>40709742</v>
      </c>
    </row>
    <row r="2612" spans="3:13" hidden="1" x14ac:dyDescent="0.25">
      <c r="C2612" t="s">
        <v>65</v>
      </c>
      <c r="D2612" t="s">
        <v>120</v>
      </c>
      <c r="E2612" t="s">
        <v>63</v>
      </c>
      <c r="F2612" t="s">
        <v>124</v>
      </c>
      <c r="G2612">
        <v>2</v>
      </c>
      <c r="H2612" t="s">
        <v>18</v>
      </c>
      <c r="I2612" t="s">
        <v>121</v>
      </c>
      <c r="J2612" t="s">
        <v>122</v>
      </c>
      <c r="K2612">
        <v>0</v>
      </c>
      <c r="L2612" s="84">
        <v>3682467</v>
      </c>
      <c r="M2612" s="84">
        <v>7364934</v>
      </c>
    </row>
    <row r="2613" spans="3:13" hidden="1" x14ac:dyDescent="0.25">
      <c r="C2613" t="s">
        <v>119</v>
      </c>
      <c r="D2613" t="s">
        <v>120</v>
      </c>
      <c r="E2613" t="s">
        <v>60</v>
      </c>
      <c r="F2613" t="s">
        <v>25</v>
      </c>
      <c r="G2613">
        <v>8</v>
      </c>
      <c r="H2613" t="s">
        <v>70</v>
      </c>
      <c r="I2613" t="s">
        <v>121</v>
      </c>
      <c r="J2613" t="s">
        <v>122</v>
      </c>
      <c r="K2613">
        <v>0</v>
      </c>
      <c r="L2613" s="84">
        <v>-1411</v>
      </c>
      <c r="M2613" s="84">
        <v>0</v>
      </c>
    </row>
    <row r="2614" spans="3:13" hidden="1" x14ac:dyDescent="0.25">
      <c r="C2614" t="s">
        <v>64</v>
      </c>
      <c r="D2614" t="s">
        <v>120</v>
      </c>
      <c r="E2614" t="s">
        <v>60</v>
      </c>
      <c r="F2614" t="s">
        <v>25</v>
      </c>
      <c r="G2614">
        <v>1</v>
      </c>
      <c r="H2614" t="s">
        <v>68</v>
      </c>
      <c r="I2614" t="s">
        <v>121</v>
      </c>
      <c r="J2614" t="s">
        <v>122</v>
      </c>
      <c r="K2614">
        <v>0</v>
      </c>
      <c r="L2614" s="84">
        <v>-5937</v>
      </c>
      <c r="M2614" s="84">
        <v>0</v>
      </c>
    </row>
    <row r="2615" spans="3:13" hidden="1" x14ac:dyDescent="0.25">
      <c r="C2615" t="s">
        <v>64</v>
      </c>
      <c r="D2615" t="s">
        <v>120</v>
      </c>
      <c r="E2615" t="s">
        <v>63</v>
      </c>
      <c r="F2615" t="s">
        <v>123</v>
      </c>
      <c r="G2615">
        <v>4</v>
      </c>
      <c r="H2615" t="s">
        <v>67</v>
      </c>
      <c r="I2615" t="s">
        <v>121</v>
      </c>
      <c r="J2615" t="s">
        <v>122</v>
      </c>
      <c r="K2615">
        <v>0</v>
      </c>
      <c r="L2615" s="84">
        <v>973112</v>
      </c>
      <c r="M2615" s="84">
        <v>3892448</v>
      </c>
    </row>
    <row r="2616" spans="3:13" hidden="1" x14ac:dyDescent="0.25">
      <c r="C2616" t="s">
        <v>65</v>
      </c>
      <c r="D2616" t="s">
        <v>120</v>
      </c>
      <c r="E2616" t="s">
        <v>63</v>
      </c>
      <c r="F2616" t="s">
        <v>124</v>
      </c>
      <c r="G2616">
        <v>-4</v>
      </c>
      <c r="H2616" t="s">
        <v>14</v>
      </c>
      <c r="I2616" t="s">
        <v>121</v>
      </c>
      <c r="J2616" t="s">
        <v>66</v>
      </c>
      <c r="K2616">
        <v>1</v>
      </c>
      <c r="L2616" s="84">
        <v>5457034</v>
      </c>
      <c r="M2616" s="84">
        <v>0</v>
      </c>
    </row>
    <row r="2617" spans="3:13" hidden="1" x14ac:dyDescent="0.25">
      <c r="C2617" t="s">
        <v>64</v>
      </c>
      <c r="D2617" t="s">
        <v>120</v>
      </c>
      <c r="E2617" t="s">
        <v>60</v>
      </c>
      <c r="F2617" t="s">
        <v>124</v>
      </c>
      <c r="G2617">
        <v>0</v>
      </c>
      <c r="H2617" t="s">
        <v>75</v>
      </c>
      <c r="I2617" t="s">
        <v>121</v>
      </c>
      <c r="J2617" t="s">
        <v>122</v>
      </c>
      <c r="K2617">
        <v>0</v>
      </c>
      <c r="L2617" s="84">
        <v>-713900</v>
      </c>
      <c r="M2617" s="84">
        <v>0</v>
      </c>
    </row>
    <row r="2618" spans="3:13" hidden="1" x14ac:dyDescent="0.25">
      <c r="C2618" t="s">
        <v>119</v>
      </c>
      <c r="D2618" t="s">
        <v>120</v>
      </c>
      <c r="E2618" t="s">
        <v>63</v>
      </c>
      <c r="F2618" t="s">
        <v>124</v>
      </c>
      <c r="G2618">
        <v>9</v>
      </c>
      <c r="H2618" t="s">
        <v>69</v>
      </c>
      <c r="I2618" t="s">
        <v>121</v>
      </c>
      <c r="J2618" t="s">
        <v>122</v>
      </c>
      <c r="K2618">
        <v>0</v>
      </c>
      <c r="L2618" s="84">
        <v>771538</v>
      </c>
      <c r="M2618" s="84">
        <v>6943842</v>
      </c>
    </row>
    <row r="2619" spans="3:13" hidden="1" x14ac:dyDescent="0.25">
      <c r="C2619" t="s">
        <v>119</v>
      </c>
      <c r="D2619" t="s">
        <v>120</v>
      </c>
      <c r="E2619" t="s">
        <v>60</v>
      </c>
      <c r="F2619" t="s">
        <v>25</v>
      </c>
      <c r="G2619">
        <v>1</v>
      </c>
      <c r="H2619" t="s">
        <v>67</v>
      </c>
      <c r="I2619" t="s">
        <v>121</v>
      </c>
      <c r="J2619" t="s">
        <v>122</v>
      </c>
      <c r="K2619">
        <v>0</v>
      </c>
      <c r="L2619" s="84">
        <v>-233</v>
      </c>
      <c r="M2619" s="84">
        <v>0</v>
      </c>
    </row>
    <row r="2620" spans="3:13" hidden="1" x14ac:dyDescent="0.25">
      <c r="C2620" t="s">
        <v>65</v>
      </c>
      <c r="D2620" t="s">
        <v>120</v>
      </c>
      <c r="E2620" t="s">
        <v>60</v>
      </c>
      <c r="F2620" t="s">
        <v>25</v>
      </c>
      <c r="G2620">
        <v>-4</v>
      </c>
      <c r="H2620" t="s">
        <v>17</v>
      </c>
      <c r="I2620" t="s">
        <v>121</v>
      </c>
      <c r="J2620" t="s">
        <v>122</v>
      </c>
      <c r="K2620">
        <v>0</v>
      </c>
      <c r="L2620" s="84">
        <v>-253032</v>
      </c>
      <c r="M2620" s="84">
        <v>0</v>
      </c>
    </row>
    <row r="2621" spans="3:13" hidden="1" x14ac:dyDescent="0.25">
      <c r="C2621" t="s">
        <v>119</v>
      </c>
      <c r="D2621" t="s">
        <v>120</v>
      </c>
      <c r="E2621" t="s">
        <v>60</v>
      </c>
      <c r="F2621" t="s">
        <v>123</v>
      </c>
      <c r="G2621">
        <v>2</v>
      </c>
      <c r="H2621" t="s">
        <v>18</v>
      </c>
      <c r="I2621" t="s">
        <v>121</v>
      </c>
      <c r="J2621" t="s">
        <v>122</v>
      </c>
      <c r="K2621">
        <v>0</v>
      </c>
      <c r="L2621" s="84">
        <v>-14081</v>
      </c>
      <c r="M2621" s="84">
        <v>0</v>
      </c>
    </row>
    <row r="2622" spans="3:13" hidden="1" x14ac:dyDescent="0.25">
      <c r="C2622" t="s">
        <v>64</v>
      </c>
      <c r="D2622" t="s">
        <v>125</v>
      </c>
      <c r="E2622" t="s">
        <v>60</v>
      </c>
      <c r="F2622" t="s">
        <v>24</v>
      </c>
      <c r="G2622">
        <v>54</v>
      </c>
      <c r="I2622" t="s">
        <v>121</v>
      </c>
      <c r="J2622" t="s">
        <v>122</v>
      </c>
      <c r="K2622">
        <v>0</v>
      </c>
      <c r="L2622" s="84">
        <v>-797</v>
      </c>
      <c r="M2622" s="84">
        <v>0</v>
      </c>
    </row>
    <row r="2623" spans="3:13" hidden="1" x14ac:dyDescent="0.25">
      <c r="C2623" t="s">
        <v>119</v>
      </c>
      <c r="D2623" t="s">
        <v>125</v>
      </c>
      <c r="E2623" t="s">
        <v>60</v>
      </c>
      <c r="F2623" t="s">
        <v>24</v>
      </c>
      <c r="G2623">
        <v>10</v>
      </c>
      <c r="I2623" t="s">
        <v>121</v>
      </c>
      <c r="J2623" t="s">
        <v>122</v>
      </c>
      <c r="K2623">
        <v>0</v>
      </c>
      <c r="L2623" s="84">
        <v>-77024</v>
      </c>
      <c r="M2623" s="84">
        <v>0</v>
      </c>
    </row>
    <row r="2624" spans="3:13" hidden="1" x14ac:dyDescent="0.25">
      <c r="C2624" t="s">
        <v>65</v>
      </c>
      <c r="D2624" t="s">
        <v>120</v>
      </c>
      <c r="E2624" t="s">
        <v>60</v>
      </c>
      <c r="F2624" t="s">
        <v>123</v>
      </c>
      <c r="G2624">
        <v>-1</v>
      </c>
      <c r="H2624" t="s">
        <v>14</v>
      </c>
      <c r="I2624" t="s">
        <v>121</v>
      </c>
      <c r="J2624" t="s">
        <v>122</v>
      </c>
      <c r="K2624">
        <v>0</v>
      </c>
      <c r="L2624" s="84">
        <v>-125692</v>
      </c>
      <c r="M2624" s="84">
        <v>0</v>
      </c>
    </row>
    <row r="2625" spans="3:13" hidden="1" x14ac:dyDescent="0.25">
      <c r="C2625" t="s">
        <v>64</v>
      </c>
      <c r="D2625" t="s">
        <v>125</v>
      </c>
      <c r="E2625" t="s">
        <v>60</v>
      </c>
      <c r="F2625" t="s">
        <v>24</v>
      </c>
      <c r="G2625">
        <v>14</v>
      </c>
      <c r="I2625" t="s">
        <v>121</v>
      </c>
      <c r="J2625" t="s">
        <v>122</v>
      </c>
      <c r="K2625">
        <v>0</v>
      </c>
      <c r="L2625" s="84">
        <v>-482113</v>
      </c>
      <c r="M2625" s="84">
        <v>0</v>
      </c>
    </row>
    <row r="2626" spans="3:13" hidden="1" x14ac:dyDescent="0.25">
      <c r="C2626" t="s">
        <v>119</v>
      </c>
      <c r="D2626" t="s">
        <v>125</v>
      </c>
      <c r="E2626" t="s">
        <v>60</v>
      </c>
      <c r="F2626" t="s">
        <v>24</v>
      </c>
      <c r="G2626">
        <v>38</v>
      </c>
      <c r="I2626" t="s">
        <v>121</v>
      </c>
      <c r="J2626" t="s">
        <v>122</v>
      </c>
      <c r="K2626">
        <v>0</v>
      </c>
      <c r="L2626" s="84">
        <v>-131876</v>
      </c>
      <c r="M2626" s="84">
        <v>0</v>
      </c>
    </row>
    <row r="2627" spans="3:13" hidden="1" x14ac:dyDescent="0.25">
      <c r="C2627" t="s">
        <v>65</v>
      </c>
      <c r="D2627" t="s">
        <v>125</v>
      </c>
      <c r="E2627" t="s">
        <v>60</v>
      </c>
      <c r="F2627" t="s">
        <v>24</v>
      </c>
      <c r="G2627">
        <v>3</v>
      </c>
      <c r="I2627" t="s">
        <v>121</v>
      </c>
      <c r="J2627" t="s">
        <v>122</v>
      </c>
      <c r="K2627">
        <v>0</v>
      </c>
      <c r="L2627" s="84">
        <v>-409947</v>
      </c>
      <c r="M2627" s="84">
        <v>0</v>
      </c>
    </row>
    <row r="2628" spans="3:13" hidden="1" x14ac:dyDescent="0.25">
      <c r="C2628" t="s">
        <v>64</v>
      </c>
      <c r="D2628" t="s">
        <v>120</v>
      </c>
      <c r="E2628" t="s">
        <v>60</v>
      </c>
      <c r="F2628" t="s">
        <v>123</v>
      </c>
      <c r="G2628">
        <v>5</v>
      </c>
      <c r="H2628" t="s">
        <v>72</v>
      </c>
      <c r="I2628" t="s">
        <v>121</v>
      </c>
      <c r="J2628" t="s">
        <v>122</v>
      </c>
      <c r="K2628">
        <v>0</v>
      </c>
      <c r="L2628" s="84">
        <v>-15555</v>
      </c>
      <c r="M2628" s="84">
        <v>0</v>
      </c>
    </row>
    <row r="2629" spans="3:13" hidden="1" x14ac:dyDescent="0.25">
      <c r="C2629" t="s">
        <v>65</v>
      </c>
      <c r="D2629" t="s">
        <v>120</v>
      </c>
      <c r="E2629" t="s">
        <v>63</v>
      </c>
      <c r="F2629" t="s">
        <v>124</v>
      </c>
      <c r="G2629">
        <v>9</v>
      </c>
      <c r="H2629" t="s">
        <v>14</v>
      </c>
      <c r="I2629" t="s">
        <v>121</v>
      </c>
      <c r="J2629" t="s">
        <v>122</v>
      </c>
      <c r="K2629">
        <v>0</v>
      </c>
      <c r="L2629" s="84">
        <v>1298004</v>
      </c>
      <c r="M2629" s="84">
        <v>11682036</v>
      </c>
    </row>
    <row r="2630" spans="3:13" hidden="1" x14ac:dyDescent="0.25">
      <c r="C2630" t="s">
        <v>64</v>
      </c>
      <c r="D2630" t="s">
        <v>120</v>
      </c>
      <c r="E2630" t="s">
        <v>60</v>
      </c>
      <c r="F2630" t="s">
        <v>124</v>
      </c>
      <c r="G2630">
        <v>-1</v>
      </c>
      <c r="H2630" t="s">
        <v>69</v>
      </c>
      <c r="I2630" t="s">
        <v>121</v>
      </c>
      <c r="J2630" t="s">
        <v>122</v>
      </c>
      <c r="K2630">
        <v>0</v>
      </c>
      <c r="L2630" s="84">
        <v>-507640</v>
      </c>
      <c r="M2630" s="84">
        <v>0</v>
      </c>
    </row>
    <row r="2631" spans="3:13" hidden="1" x14ac:dyDescent="0.25">
      <c r="C2631" t="s">
        <v>65</v>
      </c>
      <c r="D2631" t="s">
        <v>120</v>
      </c>
      <c r="E2631" t="s">
        <v>63</v>
      </c>
      <c r="F2631" t="s">
        <v>24</v>
      </c>
      <c r="G2631">
        <v>4</v>
      </c>
      <c r="H2631" t="s">
        <v>18</v>
      </c>
      <c r="I2631" t="s">
        <v>121</v>
      </c>
      <c r="J2631" t="s">
        <v>122</v>
      </c>
      <c r="K2631">
        <v>0</v>
      </c>
      <c r="L2631" s="84">
        <v>198686</v>
      </c>
      <c r="M2631" s="84">
        <v>794744</v>
      </c>
    </row>
    <row r="2632" spans="3:13" hidden="1" x14ac:dyDescent="0.25">
      <c r="C2632" t="s">
        <v>119</v>
      </c>
      <c r="D2632" t="s">
        <v>120</v>
      </c>
      <c r="E2632" t="s">
        <v>63</v>
      </c>
      <c r="F2632" t="s">
        <v>124</v>
      </c>
      <c r="G2632">
        <v>0</v>
      </c>
      <c r="H2632" t="s">
        <v>71</v>
      </c>
      <c r="I2632" t="s">
        <v>121</v>
      </c>
      <c r="J2632" t="s">
        <v>122</v>
      </c>
      <c r="K2632">
        <v>0</v>
      </c>
      <c r="L2632" s="84">
        <v>1409088</v>
      </c>
      <c r="M2632" s="84">
        <v>0</v>
      </c>
    </row>
    <row r="2633" spans="3:13" hidden="1" x14ac:dyDescent="0.25">
      <c r="C2633" t="s">
        <v>119</v>
      </c>
      <c r="D2633" t="s">
        <v>120</v>
      </c>
      <c r="E2633" t="s">
        <v>63</v>
      </c>
      <c r="F2633" t="s">
        <v>24</v>
      </c>
      <c r="G2633">
        <v>5</v>
      </c>
      <c r="H2633" t="s">
        <v>79</v>
      </c>
      <c r="I2633" t="s">
        <v>121</v>
      </c>
      <c r="J2633" t="s">
        <v>122</v>
      </c>
      <c r="K2633">
        <v>0</v>
      </c>
      <c r="L2633" s="84">
        <v>85231</v>
      </c>
      <c r="M2633" s="84">
        <v>426155</v>
      </c>
    </row>
    <row r="2634" spans="3:13" hidden="1" x14ac:dyDescent="0.25">
      <c r="C2634" t="s">
        <v>64</v>
      </c>
      <c r="D2634" t="s">
        <v>120</v>
      </c>
      <c r="E2634" t="s">
        <v>60</v>
      </c>
      <c r="F2634" t="s">
        <v>123</v>
      </c>
      <c r="G2634">
        <v>-4</v>
      </c>
      <c r="H2634" t="s">
        <v>69</v>
      </c>
      <c r="I2634" t="s">
        <v>121</v>
      </c>
      <c r="J2634" t="s">
        <v>122</v>
      </c>
      <c r="K2634">
        <v>0</v>
      </c>
      <c r="L2634" s="84">
        <v>-79</v>
      </c>
      <c r="M2634" s="84">
        <v>0</v>
      </c>
    </row>
    <row r="2635" spans="3:13" hidden="1" x14ac:dyDescent="0.25">
      <c r="C2635" t="s">
        <v>65</v>
      </c>
      <c r="D2635" t="s">
        <v>120</v>
      </c>
      <c r="E2635" t="s">
        <v>63</v>
      </c>
      <c r="F2635" t="s">
        <v>24</v>
      </c>
      <c r="G2635">
        <v>4</v>
      </c>
      <c r="H2635" t="s">
        <v>18</v>
      </c>
      <c r="I2635" t="s">
        <v>121</v>
      </c>
      <c r="J2635" t="s">
        <v>66</v>
      </c>
      <c r="K2635">
        <v>1</v>
      </c>
      <c r="L2635" s="84">
        <v>65048</v>
      </c>
      <c r="M2635" s="84">
        <v>260192</v>
      </c>
    </row>
    <row r="2636" spans="3:13" hidden="1" x14ac:dyDescent="0.25">
      <c r="C2636" t="s">
        <v>119</v>
      </c>
      <c r="D2636" t="s">
        <v>120</v>
      </c>
      <c r="E2636" t="s">
        <v>60</v>
      </c>
      <c r="F2636" t="s">
        <v>25</v>
      </c>
      <c r="G2636">
        <v>6</v>
      </c>
      <c r="H2636" t="s">
        <v>14</v>
      </c>
      <c r="I2636" t="s">
        <v>121</v>
      </c>
      <c r="J2636" t="s">
        <v>122</v>
      </c>
      <c r="K2636">
        <v>0</v>
      </c>
      <c r="L2636" s="84">
        <v>-3842</v>
      </c>
      <c r="M2636" s="84">
        <v>0</v>
      </c>
    </row>
    <row r="2637" spans="3:13" hidden="1" x14ac:dyDescent="0.25">
      <c r="C2637" t="s">
        <v>119</v>
      </c>
      <c r="D2637" t="s">
        <v>120</v>
      </c>
      <c r="E2637" t="s">
        <v>60</v>
      </c>
      <c r="F2637" t="s">
        <v>123</v>
      </c>
      <c r="G2637">
        <v>0</v>
      </c>
      <c r="H2637" t="s">
        <v>17</v>
      </c>
      <c r="I2637" t="s">
        <v>62</v>
      </c>
      <c r="J2637" t="s">
        <v>66</v>
      </c>
      <c r="K2637">
        <v>1</v>
      </c>
      <c r="L2637" s="84">
        <v>-59</v>
      </c>
      <c r="M2637" s="84">
        <v>0</v>
      </c>
    </row>
    <row r="2638" spans="3:13" hidden="1" x14ac:dyDescent="0.25">
      <c r="C2638" t="s">
        <v>64</v>
      </c>
      <c r="D2638" t="s">
        <v>120</v>
      </c>
      <c r="E2638" t="s">
        <v>63</v>
      </c>
      <c r="F2638" t="s">
        <v>25</v>
      </c>
      <c r="G2638">
        <v>9</v>
      </c>
      <c r="H2638" t="s">
        <v>68</v>
      </c>
      <c r="I2638" t="s">
        <v>121</v>
      </c>
      <c r="J2638" t="s">
        <v>122</v>
      </c>
      <c r="K2638">
        <v>0</v>
      </c>
      <c r="L2638" s="84">
        <v>6166025</v>
      </c>
      <c r="M2638" s="84">
        <v>55494225</v>
      </c>
    </row>
    <row r="2639" spans="3:13" x14ac:dyDescent="0.25">
      <c r="C2639" t="s">
        <v>119</v>
      </c>
      <c r="D2639" t="s">
        <v>120</v>
      </c>
      <c r="E2639" t="s">
        <v>63</v>
      </c>
      <c r="F2639" t="s">
        <v>25</v>
      </c>
      <c r="G2639">
        <v>8</v>
      </c>
      <c r="H2639" t="s">
        <v>12</v>
      </c>
      <c r="I2639" t="s">
        <v>121</v>
      </c>
      <c r="J2639" t="s">
        <v>66</v>
      </c>
      <c r="K2639">
        <v>1</v>
      </c>
      <c r="L2639" s="84">
        <v>3793475</v>
      </c>
      <c r="M2639" s="84">
        <v>30347800</v>
      </c>
    </row>
    <row r="2640" spans="3:13" hidden="1" x14ac:dyDescent="0.25">
      <c r="C2640" t="s">
        <v>65</v>
      </c>
      <c r="D2640" t="s">
        <v>120</v>
      </c>
      <c r="E2640" t="s">
        <v>60</v>
      </c>
      <c r="F2640" t="s">
        <v>25</v>
      </c>
      <c r="G2640">
        <v>1</v>
      </c>
      <c r="H2640" t="s">
        <v>69</v>
      </c>
      <c r="I2640" t="s">
        <v>121</v>
      </c>
      <c r="J2640" t="s">
        <v>122</v>
      </c>
      <c r="K2640">
        <v>0</v>
      </c>
      <c r="L2640" s="84">
        <v>-17444</v>
      </c>
      <c r="M2640" s="84">
        <v>0</v>
      </c>
    </row>
    <row r="2641" spans="3:13" hidden="1" x14ac:dyDescent="0.25">
      <c r="C2641" t="s">
        <v>65</v>
      </c>
      <c r="D2641" t="s">
        <v>120</v>
      </c>
      <c r="E2641" t="s">
        <v>63</v>
      </c>
      <c r="F2641" t="s">
        <v>124</v>
      </c>
      <c r="G2641">
        <v>8</v>
      </c>
      <c r="H2641" t="s">
        <v>18</v>
      </c>
      <c r="I2641" t="s">
        <v>121</v>
      </c>
      <c r="J2641" t="s">
        <v>122</v>
      </c>
      <c r="K2641">
        <v>0</v>
      </c>
      <c r="L2641" s="84">
        <v>230302</v>
      </c>
      <c r="M2641" s="84">
        <v>1842416</v>
      </c>
    </row>
    <row r="2642" spans="3:13" hidden="1" x14ac:dyDescent="0.25">
      <c r="C2642" t="s">
        <v>65</v>
      </c>
      <c r="D2642" t="s">
        <v>125</v>
      </c>
      <c r="E2642" t="s">
        <v>63</v>
      </c>
      <c r="F2642" t="s">
        <v>25</v>
      </c>
      <c r="G2642">
        <v>8</v>
      </c>
      <c r="I2642" t="s">
        <v>121</v>
      </c>
      <c r="J2642" t="s">
        <v>122</v>
      </c>
      <c r="K2642">
        <v>0</v>
      </c>
      <c r="L2642" s="84">
        <v>46075</v>
      </c>
      <c r="M2642" s="84">
        <v>368600</v>
      </c>
    </row>
    <row r="2643" spans="3:13" hidden="1" x14ac:dyDescent="0.25">
      <c r="C2643" t="s">
        <v>64</v>
      </c>
      <c r="D2643" t="s">
        <v>120</v>
      </c>
      <c r="E2643" t="s">
        <v>63</v>
      </c>
      <c r="F2643" t="s">
        <v>24</v>
      </c>
      <c r="G2643">
        <v>5</v>
      </c>
      <c r="H2643" t="s">
        <v>68</v>
      </c>
      <c r="I2643" t="s">
        <v>121</v>
      </c>
      <c r="J2643" t="s">
        <v>122</v>
      </c>
      <c r="K2643">
        <v>0</v>
      </c>
      <c r="L2643" s="84">
        <v>799421</v>
      </c>
      <c r="M2643" s="84">
        <v>3997105</v>
      </c>
    </row>
    <row r="2644" spans="3:13" hidden="1" x14ac:dyDescent="0.25">
      <c r="C2644" t="s">
        <v>119</v>
      </c>
      <c r="D2644" t="s">
        <v>120</v>
      </c>
      <c r="E2644" t="s">
        <v>60</v>
      </c>
      <c r="F2644" t="s">
        <v>25</v>
      </c>
      <c r="G2644">
        <v>4</v>
      </c>
      <c r="H2644" t="s">
        <v>15</v>
      </c>
      <c r="I2644" t="s">
        <v>62</v>
      </c>
      <c r="J2644" t="s">
        <v>122</v>
      </c>
      <c r="K2644">
        <v>1</v>
      </c>
      <c r="L2644" s="84">
        <v>-2977</v>
      </c>
      <c r="M2644" s="84">
        <v>0</v>
      </c>
    </row>
    <row r="2645" spans="3:13" hidden="1" x14ac:dyDescent="0.25">
      <c r="C2645" t="s">
        <v>119</v>
      </c>
      <c r="D2645" t="s">
        <v>120</v>
      </c>
      <c r="E2645" t="s">
        <v>60</v>
      </c>
      <c r="F2645" t="s">
        <v>123</v>
      </c>
      <c r="G2645">
        <v>0</v>
      </c>
      <c r="H2645" t="s">
        <v>67</v>
      </c>
      <c r="I2645" t="s">
        <v>121</v>
      </c>
      <c r="J2645" t="s">
        <v>122</v>
      </c>
      <c r="K2645">
        <v>0</v>
      </c>
      <c r="L2645" s="84">
        <v>-557</v>
      </c>
      <c r="M2645" s="84">
        <v>0</v>
      </c>
    </row>
    <row r="2646" spans="3:13" hidden="1" x14ac:dyDescent="0.25">
      <c r="C2646" t="s">
        <v>65</v>
      </c>
      <c r="D2646" t="s">
        <v>125</v>
      </c>
      <c r="E2646" t="s">
        <v>60</v>
      </c>
      <c r="F2646" t="s">
        <v>24</v>
      </c>
      <c r="G2646">
        <v>14</v>
      </c>
      <c r="I2646" t="s">
        <v>121</v>
      </c>
      <c r="J2646" t="s">
        <v>122</v>
      </c>
      <c r="K2646">
        <v>0</v>
      </c>
      <c r="L2646" s="84">
        <v>-1528679</v>
      </c>
      <c r="M2646" s="84">
        <v>0</v>
      </c>
    </row>
    <row r="2647" spans="3:13" hidden="1" x14ac:dyDescent="0.25">
      <c r="C2647" t="s">
        <v>64</v>
      </c>
      <c r="D2647" t="s">
        <v>125</v>
      </c>
      <c r="E2647" t="s">
        <v>60</v>
      </c>
      <c r="F2647" t="s">
        <v>24</v>
      </c>
      <c r="G2647">
        <v>3</v>
      </c>
      <c r="I2647" t="s">
        <v>121</v>
      </c>
      <c r="J2647" t="s">
        <v>122</v>
      </c>
      <c r="K2647">
        <v>0</v>
      </c>
      <c r="L2647" s="84">
        <v>-75780</v>
      </c>
      <c r="M2647" s="84">
        <v>0</v>
      </c>
    </row>
    <row r="2648" spans="3:13" hidden="1" x14ac:dyDescent="0.25">
      <c r="C2648" t="s">
        <v>119</v>
      </c>
      <c r="D2648" t="s">
        <v>120</v>
      </c>
      <c r="E2648" t="s">
        <v>60</v>
      </c>
      <c r="F2648" t="s">
        <v>25</v>
      </c>
      <c r="G2648">
        <v>4</v>
      </c>
      <c r="H2648" t="s">
        <v>71</v>
      </c>
      <c r="I2648" t="s">
        <v>121</v>
      </c>
      <c r="J2648" t="s">
        <v>122</v>
      </c>
      <c r="K2648">
        <v>0</v>
      </c>
      <c r="L2648" s="84">
        <v>-76</v>
      </c>
      <c r="M2648" s="84">
        <v>0</v>
      </c>
    </row>
    <row r="2649" spans="3:13" hidden="1" x14ac:dyDescent="0.25">
      <c r="C2649" t="s">
        <v>119</v>
      </c>
      <c r="D2649" t="s">
        <v>120</v>
      </c>
      <c r="E2649" t="s">
        <v>60</v>
      </c>
      <c r="F2649" t="s">
        <v>123</v>
      </c>
      <c r="G2649">
        <v>7</v>
      </c>
      <c r="H2649" t="s">
        <v>69</v>
      </c>
      <c r="I2649" t="s">
        <v>121</v>
      </c>
      <c r="J2649" t="s">
        <v>122</v>
      </c>
      <c r="K2649">
        <v>0</v>
      </c>
      <c r="L2649" s="84">
        <v>-526</v>
      </c>
      <c r="M2649" s="84">
        <v>0</v>
      </c>
    </row>
    <row r="2650" spans="3:13" hidden="1" x14ac:dyDescent="0.25">
      <c r="C2650" t="s">
        <v>119</v>
      </c>
      <c r="D2650" t="s">
        <v>120</v>
      </c>
      <c r="E2650" t="s">
        <v>63</v>
      </c>
      <c r="F2650" t="s">
        <v>123</v>
      </c>
      <c r="G2650">
        <v>1</v>
      </c>
      <c r="H2650" t="s">
        <v>14</v>
      </c>
      <c r="I2650" t="s">
        <v>121</v>
      </c>
      <c r="J2650" t="s">
        <v>122</v>
      </c>
      <c r="K2650">
        <v>0</v>
      </c>
      <c r="L2650" s="84">
        <v>3672462</v>
      </c>
      <c r="M2650" s="84">
        <v>3672462</v>
      </c>
    </row>
    <row r="2651" spans="3:13" hidden="1" x14ac:dyDescent="0.25">
      <c r="C2651" t="s">
        <v>64</v>
      </c>
      <c r="D2651" t="s">
        <v>120</v>
      </c>
      <c r="E2651" t="s">
        <v>63</v>
      </c>
      <c r="F2651" t="s">
        <v>24</v>
      </c>
      <c r="G2651">
        <v>0</v>
      </c>
      <c r="H2651" t="s">
        <v>14</v>
      </c>
      <c r="I2651" t="s">
        <v>121</v>
      </c>
      <c r="J2651" t="s">
        <v>122</v>
      </c>
      <c r="K2651">
        <v>0</v>
      </c>
      <c r="L2651" s="84">
        <v>5838</v>
      </c>
      <c r="M2651" s="84">
        <v>0</v>
      </c>
    </row>
    <row r="2652" spans="3:13" hidden="1" x14ac:dyDescent="0.25">
      <c r="C2652" t="s">
        <v>119</v>
      </c>
      <c r="D2652" t="s">
        <v>120</v>
      </c>
      <c r="E2652" t="s">
        <v>63</v>
      </c>
      <c r="F2652" t="s">
        <v>124</v>
      </c>
      <c r="G2652">
        <v>8</v>
      </c>
      <c r="H2652" t="s">
        <v>67</v>
      </c>
      <c r="I2652" t="s">
        <v>121</v>
      </c>
      <c r="J2652" t="s">
        <v>122</v>
      </c>
      <c r="K2652">
        <v>0</v>
      </c>
      <c r="L2652" s="84">
        <v>1208081</v>
      </c>
      <c r="M2652" s="84">
        <v>9664648</v>
      </c>
    </row>
    <row r="2653" spans="3:13" hidden="1" x14ac:dyDescent="0.25">
      <c r="C2653" t="s">
        <v>64</v>
      </c>
      <c r="D2653" t="s">
        <v>120</v>
      </c>
      <c r="E2653" t="s">
        <v>60</v>
      </c>
      <c r="F2653" t="s">
        <v>123</v>
      </c>
      <c r="G2653">
        <v>3</v>
      </c>
      <c r="H2653" t="s">
        <v>14</v>
      </c>
      <c r="I2653" t="s">
        <v>121</v>
      </c>
      <c r="J2653" t="s">
        <v>66</v>
      </c>
      <c r="K2653">
        <v>1</v>
      </c>
      <c r="L2653" s="84">
        <v>-41250</v>
      </c>
      <c r="M2653" s="84">
        <v>0</v>
      </c>
    </row>
    <row r="2654" spans="3:13" hidden="1" x14ac:dyDescent="0.25">
      <c r="C2654" t="s">
        <v>64</v>
      </c>
      <c r="D2654" t="s">
        <v>120</v>
      </c>
      <c r="E2654" t="s">
        <v>63</v>
      </c>
      <c r="F2654" t="s">
        <v>24</v>
      </c>
      <c r="G2654">
        <v>12</v>
      </c>
      <c r="H2654" t="s">
        <v>18</v>
      </c>
      <c r="I2654" t="s">
        <v>121</v>
      </c>
      <c r="J2654" t="s">
        <v>122</v>
      </c>
      <c r="K2654">
        <v>0</v>
      </c>
      <c r="L2654" s="84">
        <v>817825</v>
      </c>
      <c r="M2654" s="84">
        <v>9813900</v>
      </c>
    </row>
    <row r="2655" spans="3:13" hidden="1" x14ac:dyDescent="0.25">
      <c r="C2655" t="s">
        <v>119</v>
      </c>
      <c r="D2655" t="s">
        <v>120</v>
      </c>
      <c r="E2655" t="s">
        <v>63</v>
      </c>
      <c r="F2655" t="s">
        <v>124</v>
      </c>
      <c r="G2655">
        <v>76</v>
      </c>
      <c r="H2655" t="s">
        <v>74</v>
      </c>
      <c r="I2655" t="s">
        <v>121</v>
      </c>
      <c r="J2655" t="s">
        <v>122</v>
      </c>
      <c r="K2655">
        <v>0</v>
      </c>
      <c r="L2655" s="84">
        <v>333880</v>
      </c>
      <c r="M2655" s="84">
        <v>25374880</v>
      </c>
    </row>
    <row r="2656" spans="3:13" hidden="1" x14ac:dyDescent="0.25">
      <c r="C2656" t="s">
        <v>119</v>
      </c>
      <c r="D2656" t="s">
        <v>120</v>
      </c>
      <c r="E2656" t="s">
        <v>63</v>
      </c>
      <c r="F2656" t="s">
        <v>123</v>
      </c>
      <c r="G2656">
        <v>11</v>
      </c>
      <c r="H2656" t="s">
        <v>68</v>
      </c>
      <c r="I2656" t="s">
        <v>121</v>
      </c>
      <c r="J2656" t="s">
        <v>122</v>
      </c>
      <c r="K2656">
        <v>0</v>
      </c>
      <c r="L2656" s="84">
        <v>776065</v>
      </c>
      <c r="M2656" s="84">
        <v>8536715</v>
      </c>
    </row>
    <row r="2657" spans="3:13" hidden="1" x14ac:dyDescent="0.25">
      <c r="C2657" t="s">
        <v>64</v>
      </c>
      <c r="D2657" t="s">
        <v>120</v>
      </c>
      <c r="E2657" t="s">
        <v>60</v>
      </c>
      <c r="F2657" t="s">
        <v>25</v>
      </c>
      <c r="G2657">
        <v>10</v>
      </c>
      <c r="H2657" t="s">
        <v>72</v>
      </c>
      <c r="I2657" t="s">
        <v>121</v>
      </c>
      <c r="J2657" t="s">
        <v>122</v>
      </c>
      <c r="K2657">
        <v>0</v>
      </c>
      <c r="L2657" s="84">
        <v>-66861</v>
      </c>
      <c r="M2657" s="84">
        <v>0</v>
      </c>
    </row>
    <row r="2658" spans="3:13" hidden="1" x14ac:dyDescent="0.25">
      <c r="C2658" t="s">
        <v>119</v>
      </c>
      <c r="D2658" t="s">
        <v>120</v>
      </c>
      <c r="E2658" t="s">
        <v>60</v>
      </c>
      <c r="F2658" t="s">
        <v>24</v>
      </c>
      <c r="G2658">
        <v>0</v>
      </c>
      <c r="H2658" t="s">
        <v>17</v>
      </c>
      <c r="I2658" t="s">
        <v>121</v>
      </c>
      <c r="J2658" t="s">
        <v>122</v>
      </c>
      <c r="K2658">
        <v>0</v>
      </c>
      <c r="L2658" s="84">
        <v>-15299</v>
      </c>
      <c r="M2658" s="84">
        <v>0</v>
      </c>
    </row>
    <row r="2659" spans="3:13" hidden="1" x14ac:dyDescent="0.25">
      <c r="C2659" t="s">
        <v>119</v>
      </c>
      <c r="D2659" t="s">
        <v>120</v>
      </c>
      <c r="E2659" t="s">
        <v>60</v>
      </c>
      <c r="F2659" t="s">
        <v>25</v>
      </c>
      <c r="G2659">
        <v>10</v>
      </c>
      <c r="H2659" t="s">
        <v>71</v>
      </c>
      <c r="I2659" t="s">
        <v>121</v>
      </c>
      <c r="J2659" t="s">
        <v>122</v>
      </c>
      <c r="K2659">
        <v>0</v>
      </c>
      <c r="L2659" s="84">
        <v>-2002</v>
      </c>
      <c r="M2659" s="84">
        <v>0</v>
      </c>
    </row>
    <row r="2660" spans="3:13" hidden="1" x14ac:dyDescent="0.25">
      <c r="C2660" t="s">
        <v>65</v>
      </c>
      <c r="D2660" t="s">
        <v>120</v>
      </c>
      <c r="E2660" t="s">
        <v>63</v>
      </c>
      <c r="F2660" t="s">
        <v>25</v>
      </c>
      <c r="G2660">
        <v>5</v>
      </c>
      <c r="H2660" t="s">
        <v>69</v>
      </c>
      <c r="I2660" t="s">
        <v>121</v>
      </c>
      <c r="J2660" t="s">
        <v>122</v>
      </c>
      <c r="K2660">
        <v>0</v>
      </c>
      <c r="L2660" s="84">
        <v>408022</v>
      </c>
      <c r="M2660" s="84">
        <v>2040110</v>
      </c>
    </row>
    <row r="2661" spans="3:13" hidden="1" x14ac:dyDescent="0.25">
      <c r="C2661" t="s">
        <v>64</v>
      </c>
      <c r="D2661" t="s">
        <v>125</v>
      </c>
      <c r="E2661" t="s">
        <v>63</v>
      </c>
      <c r="F2661" t="s">
        <v>24</v>
      </c>
      <c r="G2661">
        <v>41</v>
      </c>
      <c r="I2661" t="s">
        <v>121</v>
      </c>
      <c r="J2661" t="s">
        <v>122</v>
      </c>
      <c r="K2661">
        <v>0</v>
      </c>
      <c r="L2661" s="84">
        <v>2926968</v>
      </c>
      <c r="M2661" s="84">
        <v>120005688</v>
      </c>
    </row>
    <row r="2662" spans="3:13" hidden="1" x14ac:dyDescent="0.25">
      <c r="C2662" t="s">
        <v>119</v>
      </c>
      <c r="D2662" t="s">
        <v>120</v>
      </c>
      <c r="E2662" t="s">
        <v>60</v>
      </c>
      <c r="F2662" t="s">
        <v>124</v>
      </c>
      <c r="G2662">
        <v>2</v>
      </c>
      <c r="H2662" t="s">
        <v>18</v>
      </c>
      <c r="I2662" t="s">
        <v>121</v>
      </c>
      <c r="J2662" t="s">
        <v>122</v>
      </c>
      <c r="K2662">
        <v>0</v>
      </c>
      <c r="L2662" s="84">
        <v>-347672</v>
      </c>
      <c r="M2662" s="84">
        <v>0</v>
      </c>
    </row>
    <row r="2663" spans="3:13" hidden="1" x14ac:dyDescent="0.25">
      <c r="C2663" t="s">
        <v>65</v>
      </c>
      <c r="D2663" t="s">
        <v>120</v>
      </c>
      <c r="E2663" t="s">
        <v>60</v>
      </c>
      <c r="F2663" t="s">
        <v>25</v>
      </c>
      <c r="G2663">
        <v>2</v>
      </c>
      <c r="H2663" t="s">
        <v>17</v>
      </c>
      <c r="I2663" t="s">
        <v>121</v>
      </c>
      <c r="J2663" t="s">
        <v>122</v>
      </c>
      <c r="K2663">
        <v>0</v>
      </c>
      <c r="L2663" s="84">
        <v>-71289</v>
      </c>
      <c r="M2663" s="84">
        <v>0</v>
      </c>
    </row>
    <row r="2664" spans="3:13" hidden="1" x14ac:dyDescent="0.25">
      <c r="C2664" t="s">
        <v>119</v>
      </c>
      <c r="D2664" t="s">
        <v>120</v>
      </c>
      <c r="E2664" t="s">
        <v>60</v>
      </c>
      <c r="F2664" t="s">
        <v>25</v>
      </c>
      <c r="G2664">
        <v>0</v>
      </c>
      <c r="H2664" t="s">
        <v>73</v>
      </c>
      <c r="I2664" t="s">
        <v>121</v>
      </c>
      <c r="J2664" t="s">
        <v>122</v>
      </c>
      <c r="K2664">
        <v>0</v>
      </c>
      <c r="L2664" s="84">
        <v>-9</v>
      </c>
      <c r="M2664" s="84">
        <v>0</v>
      </c>
    </row>
    <row r="2665" spans="3:13" hidden="1" x14ac:dyDescent="0.25">
      <c r="C2665" t="s">
        <v>119</v>
      </c>
      <c r="D2665" t="s">
        <v>120</v>
      </c>
      <c r="E2665" t="s">
        <v>63</v>
      </c>
      <c r="F2665" t="s">
        <v>124</v>
      </c>
      <c r="G2665">
        <v>1</v>
      </c>
      <c r="H2665" t="s">
        <v>17</v>
      </c>
      <c r="I2665" t="s">
        <v>121</v>
      </c>
      <c r="J2665" t="s">
        <v>122</v>
      </c>
      <c r="K2665">
        <v>0</v>
      </c>
      <c r="L2665" s="84">
        <v>24487208</v>
      </c>
      <c r="M2665" s="84">
        <v>24487208</v>
      </c>
    </row>
    <row r="2666" spans="3:13" hidden="1" x14ac:dyDescent="0.25">
      <c r="C2666" t="s">
        <v>65</v>
      </c>
      <c r="D2666" t="s">
        <v>120</v>
      </c>
      <c r="E2666" t="s">
        <v>60</v>
      </c>
      <c r="F2666" t="s">
        <v>123</v>
      </c>
      <c r="G2666">
        <v>0</v>
      </c>
      <c r="H2666" t="s">
        <v>72</v>
      </c>
      <c r="I2666" t="s">
        <v>121</v>
      </c>
      <c r="J2666" t="s">
        <v>122</v>
      </c>
      <c r="K2666">
        <v>0</v>
      </c>
      <c r="L2666" s="84">
        <v>-11380</v>
      </c>
      <c r="M2666" s="84">
        <v>0</v>
      </c>
    </row>
    <row r="2667" spans="3:13" hidden="1" x14ac:dyDescent="0.25">
      <c r="C2667" t="s">
        <v>119</v>
      </c>
      <c r="D2667" t="s">
        <v>120</v>
      </c>
      <c r="E2667" t="s">
        <v>60</v>
      </c>
      <c r="F2667" t="s">
        <v>25</v>
      </c>
      <c r="G2667">
        <v>10</v>
      </c>
      <c r="H2667" t="s">
        <v>14</v>
      </c>
      <c r="I2667" t="s">
        <v>121</v>
      </c>
      <c r="J2667" t="s">
        <v>66</v>
      </c>
      <c r="K2667">
        <v>1</v>
      </c>
      <c r="L2667" s="84">
        <v>-2913</v>
      </c>
      <c r="M2667" s="84">
        <v>0</v>
      </c>
    </row>
    <row r="2668" spans="3:13" hidden="1" x14ac:dyDescent="0.25">
      <c r="C2668" t="s">
        <v>65</v>
      </c>
      <c r="D2668" t="s">
        <v>120</v>
      </c>
      <c r="E2668" t="s">
        <v>60</v>
      </c>
      <c r="F2668" t="s">
        <v>25</v>
      </c>
      <c r="G2668">
        <v>5</v>
      </c>
      <c r="H2668" t="s">
        <v>61</v>
      </c>
      <c r="I2668" t="s">
        <v>121</v>
      </c>
      <c r="J2668" t="s">
        <v>122</v>
      </c>
      <c r="K2668">
        <v>0</v>
      </c>
      <c r="L2668" s="84">
        <v>-86442</v>
      </c>
      <c r="M2668" s="84">
        <v>0</v>
      </c>
    </row>
    <row r="2669" spans="3:13" hidden="1" x14ac:dyDescent="0.25">
      <c r="C2669" t="s">
        <v>64</v>
      </c>
      <c r="D2669" t="s">
        <v>120</v>
      </c>
      <c r="E2669" t="s">
        <v>63</v>
      </c>
      <c r="F2669" t="s">
        <v>124</v>
      </c>
      <c r="G2669">
        <v>-1</v>
      </c>
      <c r="H2669" t="s">
        <v>79</v>
      </c>
      <c r="I2669" t="s">
        <v>121</v>
      </c>
      <c r="J2669" t="s">
        <v>122</v>
      </c>
      <c r="K2669">
        <v>0</v>
      </c>
      <c r="L2669" s="84">
        <v>27100</v>
      </c>
      <c r="M2669" s="84">
        <v>0</v>
      </c>
    </row>
    <row r="2670" spans="3:13" hidden="1" x14ac:dyDescent="0.25">
      <c r="C2670" t="s">
        <v>119</v>
      </c>
      <c r="D2670" t="s">
        <v>120</v>
      </c>
      <c r="E2670" t="s">
        <v>60</v>
      </c>
      <c r="F2670" t="s">
        <v>124</v>
      </c>
      <c r="G2670">
        <v>7</v>
      </c>
      <c r="H2670" t="s">
        <v>71</v>
      </c>
      <c r="I2670" t="s">
        <v>121</v>
      </c>
      <c r="J2670" t="s">
        <v>122</v>
      </c>
      <c r="K2670">
        <v>0</v>
      </c>
      <c r="L2670" s="84">
        <v>-8105</v>
      </c>
      <c r="M2670" s="84">
        <v>0</v>
      </c>
    </row>
    <row r="2671" spans="3:13" hidden="1" x14ac:dyDescent="0.25">
      <c r="C2671" t="s">
        <v>64</v>
      </c>
      <c r="D2671" t="s">
        <v>120</v>
      </c>
      <c r="E2671" t="s">
        <v>63</v>
      </c>
      <c r="F2671" t="s">
        <v>123</v>
      </c>
      <c r="G2671">
        <v>4</v>
      </c>
      <c r="H2671" t="s">
        <v>17</v>
      </c>
      <c r="I2671" t="s">
        <v>121</v>
      </c>
      <c r="J2671" t="s">
        <v>66</v>
      </c>
      <c r="K2671">
        <v>1</v>
      </c>
      <c r="L2671" s="84">
        <v>134103</v>
      </c>
      <c r="M2671" s="84">
        <v>536412</v>
      </c>
    </row>
    <row r="2672" spans="3:13" hidden="1" x14ac:dyDescent="0.25">
      <c r="C2672" t="s">
        <v>64</v>
      </c>
      <c r="D2672" t="s">
        <v>120</v>
      </c>
      <c r="E2672" t="s">
        <v>63</v>
      </c>
      <c r="F2672" t="s">
        <v>124</v>
      </c>
      <c r="G2672">
        <v>3</v>
      </c>
      <c r="H2672" t="s">
        <v>12</v>
      </c>
      <c r="I2672" t="s">
        <v>62</v>
      </c>
      <c r="J2672" t="s">
        <v>66</v>
      </c>
      <c r="K2672">
        <v>1</v>
      </c>
      <c r="L2672" s="84">
        <v>101855</v>
      </c>
      <c r="M2672" s="84">
        <v>305565</v>
      </c>
    </row>
    <row r="2673" spans="3:13" hidden="1" x14ac:dyDescent="0.25">
      <c r="C2673" t="s">
        <v>65</v>
      </c>
      <c r="D2673" t="s">
        <v>120</v>
      </c>
      <c r="E2673" t="s">
        <v>63</v>
      </c>
      <c r="F2673" t="s">
        <v>124</v>
      </c>
      <c r="G2673">
        <v>9</v>
      </c>
      <c r="H2673" t="s">
        <v>14</v>
      </c>
      <c r="I2673" t="s">
        <v>121</v>
      </c>
      <c r="J2673" t="s">
        <v>66</v>
      </c>
      <c r="K2673">
        <v>1</v>
      </c>
      <c r="L2673" s="84">
        <v>1759510</v>
      </c>
      <c r="M2673" s="84">
        <v>15835590</v>
      </c>
    </row>
    <row r="2674" spans="3:13" hidden="1" x14ac:dyDescent="0.25">
      <c r="C2674" t="s">
        <v>119</v>
      </c>
      <c r="D2674" t="s">
        <v>120</v>
      </c>
      <c r="E2674" t="s">
        <v>63</v>
      </c>
      <c r="F2674" t="s">
        <v>25</v>
      </c>
      <c r="G2674">
        <v>11</v>
      </c>
      <c r="H2674" t="s">
        <v>17</v>
      </c>
      <c r="I2674" t="s">
        <v>121</v>
      </c>
      <c r="J2674" t="s">
        <v>122</v>
      </c>
      <c r="K2674">
        <v>0</v>
      </c>
      <c r="L2674" s="84">
        <v>4939737</v>
      </c>
      <c r="M2674" s="84">
        <v>54337107</v>
      </c>
    </row>
    <row r="2675" spans="3:13" hidden="1" x14ac:dyDescent="0.25">
      <c r="C2675" t="s">
        <v>64</v>
      </c>
      <c r="D2675" t="s">
        <v>120</v>
      </c>
      <c r="E2675" t="s">
        <v>63</v>
      </c>
      <c r="F2675" t="s">
        <v>124</v>
      </c>
      <c r="G2675">
        <v>11</v>
      </c>
      <c r="H2675" t="s">
        <v>18</v>
      </c>
      <c r="I2675" t="s">
        <v>121</v>
      </c>
      <c r="J2675" t="s">
        <v>122</v>
      </c>
      <c r="K2675">
        <v>0</v>
      </c>
      <c r="L2675" s="84">
        <v>1713214</v>
      </c>
      <c r="M2675" s="84">
        <v>18845354</v>
      </c>
    </row>
    <row r="2676" spans="3:13" hidden="1" x14ac:dyDescent="0.25">
      <c r="C2676" t="s">
        <v>119</v>
      </c>
      <c r="D2676" t="s">
        <v>120</v>
      </c>
      <c r="E2676" t="s">
        <v>63</v>
      </c>
      <c r="F2676" t="s">
        <v>123</v>
      </c>
      <c r="G2676">
        <v>2</v>
      </c>
      <c r="H2676" t="s">
        <v>13</v>
      </c>
      <c r="I2676" t="s">
        <v>121</v>
      </c>
      <c r="J2676" t="s">
        <v>122</v>
      </c>
      <c r="K2676">
        <v>0</v>
      </c>
      <c r="L2676" s="84">
        <v>250794</v>
      </c>
      <c r="M2676" s="84">
        <v>501588</v>
      </c>
    </row>
    <row r="2677" spans="3:13" hidden="1" x14ac:dyDescent="0.25">
      <c r="C2677" t="s">
        <v>119</v>
      </c>
      <c r="D2677" t="s">
        <v>120</v>
      </c>
      <c r="E2677" t="s">
        <v>60</v>
      </c>
      <c r="F2677" t="s">
        <v>123</v>
      </c>
      <c r="G2677">
        <v>3</v>
      </c>
      <c r="H2677" t="s">
        <v>14</v>
      </c>
      <c r="I2677" t="s">
        <v>121</v>
      </c>
      <c r="J2677" t="s">
        <v>66</v>
      </c>
      <c r="K2677">
        <v>1</v>
      </c>
      <c r="L2677" s="84">
        <v>-8712</v>
      </c>
      <c r="M2677" s="84">
        <v>0</v>
      </c>
    </row>
    <row r="2678" spans="3:13" hidden="1" x14ac:dyDescent="0.25">
      <c r="C2678" t="s">
        <v>64</v>
      </c>
      <c r="D2678" t="s">
        <v>120</v>
      </c>
      <c r="E2678" t="s">
        <v>60</v>
      </c>
      <c r="F2678" t="s">
        <v>25</v>
      </c>
      <c r="G2678">
        <v>2</v>
      </c>
      <c r="H2678" t="s">
        <v>14</v>
      </c>
      <c r="I2678" t="s">
        <v>121</v>
      </c>
      <c r="J2678" t="s">
        <v>122</v>
      </c>
      <c r="K2678">
        <v>0</v>
      </c>
      <c r="L2678" s="84">
        <v>-22536</v>
      </c>
      <c r="M2678" s="84">
        <v>0</v>
      </c>
    </row>
    <row r="2679" spans="3:13" hidden="1" x14ac:dyDescent="0.25">
      <c r="C2679" t="s">
        <v>64</v>
      </c>
      <c r="D2679" t="s">
        <v>120</v>
      </c>
      <c r="E2679" t="s">
        <v>63</v>
      </c>
      <c r="F2679" t="s">
        <v>24</v>
      </c>
      <c r="G2679">
        <v>4</v>
      </c>
      <c r="H2679" t="s">
        <v>17</v>
      </c>
      <c r="I2679" t="s">
        <v>121</v>
      </c>
      <c r="J2679" t="s">
        <v>122</v>
      </c>
      <c r="K2679">
        <v>0</v>
      </c>
      <c r="L2679" s="84">
        <v>303271</v>
      </c>
      <c r="M2679" s="84">
        <v>1213084</v>
      </c>
    </row>
    <row r="2680" spans="3:13" hidden="1" x14ac:dyDescent="0.25">
      <c r="C2680" t="s">
        <v>119</v>
      </c>
      <c r="D2680" t="s">
        <v>120</v>
      </c>
      <c r="E2680" t="s">
        <v>63</v>
      </c>
      <c r="F2680" t="s">
        <v>25</v>
      </c>
      <c r="G2680">
        <v>5</v>
      </c>
      <c r="H2680" t="s">
        <v>72</v>
      </c>
      <c r="I2680" t="s">
        <v>121</v>
      </c>
      <c r="J2680" t="s">
        <v>122</v>
      </c>
      <c r="K2680">
        <v>0</v>
      </c>
      <c r="L2680" s="84">
        <v>2891560</v>
      </c>
      <c r="M2680" s="84">
        <v>14457800</v>
      </c>
    </row>
    <row r="2681" spans="3:13" hidden="1" x14ac:dyDescent="0.25">
      <c r="C2681" t="s">
        <v>119</v>
      </c>
      <c r="D2681" t="s">
        <v>120</v>
      </c>
      <c r="E2681" t="s">
        <v>60</v>
      </c>
      <c r="F2681" t="s">
        <v>124</v>
      </c>
      <c r="G2681">
        <v>1</v>
      </c>
      <c r="H2681" t="s">
        <v>78</v>
      </c>
      <c r="I2681" t="s">
        <v>121</v>
      </c>
      <c r="J2681" t="s">
        <v>122</v>
      </c>
      <c r="K2681">
        <v>0</v>
      </c>
      <c r="L2681" s="84">
        <v>-1055918</v>
      </c>
      <c r="M2681" s="84">
        <v>0</v>
      </c>
    </row>
    <row r="2682" spans="3:13" hidden="1" x14ac:dyDescent="0.25">
      <c r="C2682" t="s">
        <v>119</v>
      </c>
      <c r="D2682" t="s">
        <v>120</v>
      </c>
      <c r="E2682" t="s">
        <v>60</v>
      </c>
      <c r="F2682" t="s">
        <v>25</v>
      </c>
      <c r="G2682">
        <v>5</v>
      </c>
      <c r="H2682" t="s">
        <v>70</v>
      </c>
      <c r="I2682" t="s">
        <v>121</v>
      </c>
      <c r="J2682" t="s">
        <v>122</v>
      </c>
      <c r="K2682">
        <v>0</v>
      </c>
      <c r="L2682" s="84">
        <v>-480</v>
      </c>
      <c r="M2682" s="84">
        <v>0</v>
      </c>
    </row>
    <row r="2683" spans="3:13" hidden="1" x14ac:dyDescent="0.25">
      <c r="C2683" t="s">
        <v>64</v>
      </c>
      <c r="D2683" t="s">
        <v>120</v>
      </c>
      <c r="E2683" t="s">
        <v>60</v>
      </c>
      <c r="F2683" t="s">
        <v>124</v>
      </c>
      <c r="G2683">
        <v>1</v>
      </c>
      <c r="H2683" t="s">
        <v>12</v>
      </c>
      <c r="I2683" t="s">
        <v>121</v>
      </c>
      <c r="J2683" t="s">
        <v>66</v>
      </c>
      <c r="K2683">
        <v>1</v>
      </c>
      <c r="L2683" s="84">
        <v>-30939</v>
      </c>
      <c r="M2683" s="84">
        <v>0</v>
      </c>
    </row>
    <row r="2684" spans="3:13" hidden="1" x14ac:dyDescent="0.25">
      <c r="C2684" t="s">
        <v>65</v>
      </c>
      <c r="D2684" t="s">
        <v>120</v>
      </c>
      <c r="E2684" t="s">
        <v>63</v>
      </c>
      <c r="F2684" t="s">
        <v>24</v>
      </c>
      <c r="G2684">
        <v>14</v>
      </c>
      <c r="H2684" t="s">
        <v>68</v>
      </c>
      <c r="I2684" t="s">
        <v>121</v>
      </c>
      <c r="J2684" t="s">
        <v>122</v>
      </c>
      <c r="K2684">
        <v>0</v>
      </c>
      <c r="L2684" s="84">
        <v>154031</v>
      </c>
      <c r="M2684" s="84">
        <v>2156434</v>
      </c>
    </row>
    <row r="2685" spans="3:13" hidden="1" x14ac:dyDescent="0.25">
      <c r="C2685" t="s">
        <v>119</v>
      </c>
      <c r="D2685" t="s">
        <v>120</v>
      </c>
      <c r="E2685" t="s">
        <v>63</v>
      </c>
      <c r="F2685" t="s">
        <v>25</v>
      </c>
      <c r="G2685">
        <v>12</v>
      </c>
      <c r="H2685" t="s">
        <v>68</v>
      </c>
      <c r="I2685" t="s">
        <v>121</v>
      </c>
      <c r="J2685" t="s">
        <v>122</v>
      </c>
      <c r="K2685">
        <v>0</v>
      </c>
      <c r="L2685" s="84">
        <v>36419096</v>
      </c>
      <c r="M2685" s="84">
        <v>437029152</v>
      </c>
    </row>
    <row r="2686" spans="3:13" hidden="1" x14ac:dyDescent="0.25">
      <c r="C2686" t="s">
        <v>119</v>
      </c>
      <c r="D2686" t="s">
        <v>125</v>
      </c>
      <c r="E2686" t="s">
        <v>60</v>
      </c>
      <c r="F2686" t="s">
        <v>24</v>
      </c>
      <c r="G2686">
        <v>43</v>
      </c>
      <c r="I2686" t="s">
        <v>121</v>
      </c>
      <c r="J2686" t="s">
        <v>122</v>
      </c>
      <c r="K2686">
        <v>0</v>
      </c>
      <c r="L2686" s="84">
        <v>-9381</v>
      </c>
      <c r="M2686" s="84">
        <v>0</v>
      </c>
    </row>
    <row r="2687" spans="3:13" hidden="1" x14ac:dyDescent="0.25">
      <c r="C2687" t="s">
        <v>119</v>
      </c>
      <c r="D2687" t="s">
        <v>120</v>
      </c>
      <c r="E2687" t="s">
        <v>60</v>
      </c>
      <c r="F2687" t="s">
        <v>124</v>
      </c>
      <c r="G2687">
        <v>-1</v>
      </c>
      <c r="H2687" t="s">
        <v>12</v>
      </c>
      <c r="I2687" t="s">
        <v>121</v>
      </c>
      <c r="J2687" t="s">
        <v>122</v>
      </c>
      <c r="K2687">
        <v>0</v>
      </c>
      <c r="L2687" s="84">
        <v>-67261</v>
      </c>
      <c r="M2687" s="84">
        <v>0</v>
      </c>
    </row>
    <row r="2688" spans="3:13" hidden="1" x14ac:dyDescent="0.25">
      <c r="C2688" t="s">
        <v>119</v>
      </c>
      <c r="D2688" t="s">
        <v>120</v>
      </c>
      <c r="E2688" t="s">
        <v>63</v>
      </c>
      <c r="F2688" t="s">
        <v>25</v>
      </c>
      <c r="G2688">
        <v>14</v>
      </c>
      <c r="H2688" t="s">
        <v>68</v>
      </c>
      <c r="I2688" t="s">
        <v>121</v>
      </c>
      <c r="J2688" t="s">
        <v>122</v>
      </c>
      <c r="K2688">
        <v>0</v>
      </c>
      <c r="L2688" s="84">
        <v>22281631</v>
      </c>
      <c r="M2688" s="84">
        <v>311942834</v>
      </c>
    </row>
    <row r="2689" spans="3:13" hidden="1" x14ac:dyDescent="0.25">
      <c r="C2689" t="s">
        <v>64</v>
      </c>
      <c r="D2689" t="s">
        <v>120</v>
      </c>
      <c r="E2689" t="s">
        <v>63</v>
      </c>
      <c r="F2689" t="s">
        <v>124</v>
      </c>
      <c r="G2689">
        <v>-1</v>
      </c>
      <c r="H2689" t="s">
        <v>70</v>
      </c>
      <c r="I2689" t="s">
        <v>121</v>
      </c>
      <c r="J2689" t="s">
        <v>122</v>
      </c>
      <c r="K2689">
        <v>0</v>
      </c>
      <c r="L2689" s="84">
        <v>7049856</v>
      </c>
      <c r="M2689" s="84">
        <v>0</v>
      </c>
    </row>
    <row r="2690" spans="3:13" hidden="1" x14ac:dyDescent="0.25">
      <c r="C2690" t="s">
        <v>119</v>
      </c>
      <c r="D2690" t="s">
        <v>120</v>
      </c>
      <c r="E2690" t="s">
        <v>60</v>
      </c>
      <c r="F2690" t="s">
        <v>124</v>
      </c>
      <c r="G2690">
        <v>7</v>
      </c>
      <c r="H2690" t="s">
        <v>61</v>
      </c>
      <c r="I2690" t="s">
        <v>121</v>
      </c>
      <c r="J2690" t="s">
        <v>122</v>
      </c>
      <c r="K2690">
        <v>0</v>
      </c>
      <c r="L2690" s="84">
        <v>-4195</v>
      </c>
      <c r="M2690" s="84">
        <v>0</v>
      </c>
    </row>
    <row r="2691" spans="3:13" hidden="1" x14ac:dyDescent="0.25">
      <c r="C2691" t="s">
        <v>119</v>
      </c>
      <c r="D2691" t="s">
        <v>120</v>
      </c>
      <c r="E2691" t="s">
        <v>60</v>
      </c>
      <c r="F2691" t="s">
        <v>25</v>
      </c>
      <c r="G2691">
        <v>16</v>
      </c>
      <c r="H2691" t="s">
        <v>17</v>
      </c>
      <c r="I2691" t="s">
        <v>121</v>
      </c>
      <c r="J2691" t="s">
        <v>122</v>
      </c>
      <c r="K2691">
        <v>0</v>
      </c>
      <c r="L2691" s="84">
        <v>-5150</v>
      </c>
      <c r="M2691" s="84">
        <v>0</v>
      </c>
    </row>
    <row r="2692" spans="3:13" hidden="1" x14ac:dyDescent="0.25">
      <c r="C2692" t="s">
        <v>64</v>
      </c>
      <c r="D2692" t="s">
        <v>120</v>
      </c>
      <c r="E2692" t="s">
        <v>60</v>
      </c>
      <c r="F2692" t="s">
        <v>25</v>
      </c>
      <c r="G2692">
        <v>16</v>
      </c>
      <c r="H2692" t="s">
        <v>18</v>
      </c>
      <c r="I2692" t="s">
        <v>121</v>
      </c>
      <c r="J2692" t="s">
        <v>122</v>
      </c>
      <c r="K2692">
        <v>0</v>
      </c>
      <c r="L2692" s="84">
        <v>-22984</v>
      </c>
      <c r="M2692" s="84">
        <v>0</v>
      </c>
    </row>
    <row r="2693" spans="3:13" hidden="1" x14ac:dyDescent="0.25">
      <c r="C2693" t="s">
        <v>64</v>
      </c>
      <c r="D2693" t="s">
        <v>120</v>
      </c>
      <c r="E2693" t="s">
        <v>63</v>
      </c>
      <c r="F2693" t="s">
        <v>123</v>
      </c>
      <c r="G2693">
        <v>5</v>
      </c>
      <c r="H2693" t="s">
        <v>72</v>
      </c>
      <c r="I2693" t="s">
        <v>121</v>
      </c>
      <c r="J2693" t="s">
        <v>122</v>
      </c>
      <c r="K2693">
        <v>0</v>
      </c>
      <c r="L2693" s="84">
        <v>81778</v>
      </c>
      <c r="M2693" s="84">
        <v>408890</v>
      </c>
    </row>
    <row r="2694" spans="3:13" hidden="1" x14ac:dyDescent="0.25">
      <c r="C2694" t="s">
        <v>119</v>
      </c>
      <c r="D2694" t="s">
        <v>125</v>
      </c>
      <c r="E2694" t="s">
        <v>63</v>
      </c>
      <c r="F2694" t="s">
        <v>24</v>
      </c>
      <c r="G2694">
        <v>14</v>
      </c>
      <c r="I2694" t="s">
        <v>121</v>
      </c>
      <c r="J2694" t="s">
        <v>122</v>
      </c>
      <c r="K2694">
        <v>0</v>
      </c>
      <c r="L2694" s="84">
        <v>271975222</v>
      </c>
      <c r="M2694" s="84">
        <v>3807653108</v>
      </c>
    </row>
    <row r="2695" spans="3:13" hidden="1" x14ac:dyDescent="0.25">
      <c r="C2695" t="s">
        <v>64</v>
      </c>
      <c r="D2695" t="s">
        <v>120</v>
      </c>
      <c r="E2695" t="s">
        <v>63</v>
      </c>
      <c r="F2695" t="s">
        <v>123</v>
      </c>
      <c r="G2695">
        <v>1</v>
      </c>
      <c r="H2695" t="s">
        <v>12</v>
      </c>
      <c r="I2695" t="s">
        <v>121</v>
      </c>
      <c r="J2695" t="s">
        <v>122</v>
      </c>
      <c r="K2695">
        <v>0</v>
      </c>
      <c r="L2695" s="84">
        <v>132733</v>
      </c>
      <c r="M2695" s="84">
        <v>132733</v>
      </c>
    </row>
    <row r="2696" spans="3:13" hidden="1" x14ac:dyDescent="0.25">
      <c r="C2696" t="s">
        <v>119</v>
      </c>
      <c r="D2696" t="s">
        <v>125</v>
      </c>
      <c r="E2696" t="s">
        <v>60</v>
      </c>
      <c r="F2696" t="s">
        <v>25</v>
      </c>
      <c r="G2696">
        <v>20</v>
      </c>
      <c r="I2696" t="s">
        <v>121</v>
      </c>
      <c r="J2696" t="s">
        <v>122</v>
      </c>
      <c r="K2696">
        <v>0</v>
      </c>
      <c r="L2696" s="84">
        <v>-2173</v>
      </c>
      <c r="M2696" s="84">
        <v>0</v>
      </c>
    </row>
    <row r="2697" spans="3:13" hidden="1" x14ac:dyDescent="0.25">
      <c r="C2697" t="s">
        <v>65</v>
      </c>
      <c r="D2697" t="s">
        <v>120</v>
      </c>
      <c r="E2697" t="s">
        <v>60</v>
      </c>
      <c r="F2697" t="s">
        <v>24</v>
      </c>
      <c r="G2697">
        <v>5</v>
      </c>
      <c r="H2697" t="s">
        <v>14</v>
      </c>
      <c r="I2697" t="s">
        <v>121</v>
      </c>
      <c r="J2697" t="s">
        <v>122</v>
      </c>
      <c r="K2697">
        <v>0</v>
      </c>
      <c r="L2697" s="84">
        <v>-54211</v>
      </c>
      <c r="M2697" s="84">
        <v>0</v>
      </c>
    </row>
    <row r="2698" spans="3:13" hidden="1" x14ac:dyDescent="0.25">
      <c r="C2698" t="s">
        <v>119</v>
      </c>
      <c r="D2698" t="s">
        <v>120</v>
      </c>
      <c r="E2698" t="s">
        <v>63</v>
      </c>
      <c r="F2698" t="s">
        <v>25</v>
      </c>
      <c r="G2698">
        <v>4</v>
      </c>
      <c r="H2698" t="s">
        <v>72</v>
      </c>
      <c r="I2698" t="s">
        <v>121</v>
      </c>
      <c r="J2698" t="s">
        <v>122</v>
      </c>
      <c r="K2698">
        <v>0</v>
      </c>
      <c r="L2698" s="84">
        <v>519900</v>
      </c>
      <c r="M2698" s="84">
        <v>2079600</v>
      </c>
    </row>
    <row r="2699" spans="3:13" hidden="1" x14ac:dyDescent="0.25">
      <c r="C2699" t="s">
        <v>119</v>
      </c>
      <c r="D2699" t="s">
        <v>120</v>
      </c>
      <c r="E2699" t="s">
        <v>63</v>
      </c>
      <c r="F2699" t="s">
        <v>123</v>
      </c>
      <c r="G2699">
        <v>7</v>
      </c>
      <c r="H2699" t="s">
        <v>18</v>
      </c>
      <c r="I2699" t="s">
        <v>121</v>
      </c>
      <c r="J2699" t="s">
        <v>122</v>
      </c>
      <c r="K2699">
        <v>0</v>
      </c>
      <c r="L2699" s="84">
        <v>618645</v>
      </c>
      <c r="M2699" s="84">
        <v>4330515</v>
      </c>
    </row>
    <row r="2700" spans="3:13" hidden="1" x14ac:dyDescent="0.25">
      <c r="C2700" t="s">
        <v>119</v>
      </c>
      <c r="D2700" t="s">
        <v>120</v>
      </c>
      <c r="E2700" t="s">
        <v>60</v>
      </c>
      <c r="F2700" t="s">
        <v>24</v>
      </c>
      <c r="G2700">
        <v>10</v>
      </c>
      <c r="H2700" t="s">
        <v>68</v>
      </c>
      <c r="I2700" t="s">
        <v>121</v>
      </c>
      <c r="J2700" t="s">
        <v>122</v>
      </c>
      <c r="K2700">
        <v>0</v>
      </c>
      <c r="L2700" s="84">
        <v>-19293</v>
      </c>
      <c r="M2700" s="84">
        <v>0</v>
      </c>
    </row>
    <row r="2701" spans="3:13" hidden="1" x14ac:dyDescent="0.25">
      <c r="C2701" t="s">
        <v>119</v>
      </c>
      <c r="D2701" t="s">
        <v>120</v>
      </c>
      <c r="E2701" t="s">
        <v>63</v>
      </c>
      <c r="F2701" t="s">
        <v>24</v>
      </c>
      <c r="G2701">
        <v>11</v>
      </c>
      <c r="H2701" t="s">
        <v>67</v>
      </c>
      <c r="I2701" t="s">
        <v>121</v>
      </c>
      <c r="J2701" t="s">
        <v>122</v>
      </c>
      <c r="K2701">
        <v>0</v>
      </c>
      <c r="L2701" s="84">
        <v>7410447</v>
      </c>
      <c r="M2701" s="84">
        <v>81514917</v>
      </c>
    </row>
    <row r="2702" spans="3:13" hidden="1" x14ac:dyDescent="0.25">
      <c r="C2702" t="s">
        <v>119</v>
      </c>
      <c r="D2702" t="s">
        <v>125</v>
      </c>
      <c r="E2702" t="s">
        <v>63</v>
      </c>
      <c r="F2702" t="s">
        <v>25</v>
      </c>
      <c r="G2702">
        <v>27</v>
      </c>
      <c r="I2702" t="s">
        <v>121</v>
      </c>
      <c r="J2702" t="s">
        <v>122</v>
      </c>
      <c r="K2702">
        <v>0</v>
      </c>
      <c r="L2702" s="84">
        <v>414249</v>
      </c>
      <c r="M2702" s="84">
        <v>11184723</v>
      </c>
    </row>
    <row r="2703" spans="3:13" hidden="1" x14ac:dyDescent="0.25">
      <c r="C2703" t="s">
        <v>119</v>
      </c>
      <c r="D2703" t="s">
        <v>120</v>
      </c>
      <c r="E2703" t="s">
        <v>60</v>
      </c>
      <c r="F2703" t="s">
        <v>24</v>
      </c>
      <c r="G2703">
        <v>1</v>
      </c>
      <c r="H2703" t="s">
        <v>17</v>
      </c>
      <c r="I2703" t="s">
        <v>121</v>
      </c>
      <c r="J2703" t="s">
        <v>66</v>
      </c>
      <c r="K2703">
        <v>1</v>
      </c>
      <c r="L2703" s="84">
        <v>-1222</v>
      </c>
      <c r="M2703" s="84">
        <v>0</v>
      </c>
    </row>
    <row r="2704" spans="3:13" hidden="1" x14ac:dyDescent="0.25">
      <c r="C2704" t="s">
        <v>119</v>
      </c>
      <c r="D2704" t="s">
        <v>120</v>
      </c>
      <c r="E2704" t="s">
        <v>60</v>
      </c>
      <c r="F2704" t="s">
        <v>124</v>
      </c>
      <c r="G2704">
        <v>6</v>
      </c>
      <c r="H2704" t="s">
        <v>18</v>
      </c>
      <c r="I2704" t="s">
        <v>121</v>
      </c>
      <c r="J2704" t="s">
        <v>66</v>
      </c>
      <c r="K2704">
        <v>1</v>
      </c>
      <c r="L2704" s="84">
        <v>-5027</v>
      </c>
      <c r="M2704" s="84">
        <v>0</v>
      </c>
    </row>
    <row r="2705" spans="3:13" hidden="1" x14ac:dyDescent="0.25">
      <c r="C2705" t="s">
        <v>64</v>
      </c>
      <c r="D2705" t="s">
        <v>120</v>
      </c>
      <c r="E2705" t="s">
        <v>60</v>
      </c>
      <c r="F2705" t="s">
        <v>124</v>
      </c>
      <c r="G2705">
        <v>6</v>
      </c>
      <c r="H2705" t="s">
        <v>73</v>
      </c>
      <c r="I2705" t="s">
        <v>121</v>
      </c>
      <c r="J2705" t="s">
        <v>122</v>
      </c>
      <c r="K2705">
        <v>0</v>
      </c>
      <c r="L2705" s="84">
        <v>-2040</v>
      </c>
      <c r="M2705" s="84">
        <v>0</v>
      </c>
    </row>
    <row r="2706" spans="3:13" hidden="1" x14ac:dyDescent="0.25">
      <c r="C2706" t="s">
        <v>64</v>
      </c>
      <c r="D2706" t="s">
        <v>120</v>
      </c>
      <c r="E2706" t="s">
        <v>63</v>
      </c>
      <c r="F2706" t="s">
        <v>25</v>
      </c>
      <c r="G2706">
        <v>8</v>
      </c>
      <c r="H2706" t="s">
        <v>74</v>
      </c>
      <c r="I2706" t="s">
        <v>121</v>
      </c>
      <c r="J2706" t="s">
        <v>122</v>
      </c>
      <c r="K2706">
        <v>0</v>
      </c>
      <c r="L2706" s="84">
        <v>57731</v>
      </c>
      <c r="M2706" s="84">
        <v>461848</v>
      </c>
    </row>
    <row r="2707" spans="3:13" hidden="1" x14ac:dyDescent="0.25">
      <c r="C2707" t="s">
        <v>119</v>
      </c>
      <c r="D2707" t="s">
        <v>120</v>
      </c>
      <c r="E2707" t="s">
        <v>60</v>
      </c>
      <c r="F2707" t="s">
        <v>123</v>
      </c>
      <c r="G2707">
        <v>4</v>
      </c>
      <c r="H2707" t="s">
        <v>14</v>
      </c>
      <c r="I2707" t="s">
        <v>121</v>
      </c>
      <c r="J2707" t="s">
        <v>66</v>
      </c>
      <c r="K2707">
        <v>1</v>
      </c>
      <c r="L2707" s="84">
        <v>-10134</v>
      </c>
      <c r="M2707" s="84">
        <v>0</v>
      </c>
    </row>
    <row r="2708" spans="3:13" hidden="1" x14ac:dyDescent="0.25">
      <c r="C2708" t="s">
        <v>119</v>
      </c>
      <c r="D2708" t="s">
        <v>120</v>
      </c>
      <c r="E2708" t="s">
        <v>63</v>
      </c>
      <c r="F2708" t="s">
        <v>123</v>
      </c>
      <c r="G2708">
        <v>5</v>
      </c>
      <c r="H2708" t="s">
        <v>17</v>
      </c>
      <c r="I2708" t="s">
        <v>121</v>
      </c>
      <c r="J2708" t="s">
        <v>66</v>
      </c>
      <c r="K2708">
        <v>1</v>
      </c>
      <c r="L2708" s="84">
        <v>397127</v>
      </c>
      <c r="M2708" s="84">
        <v>1985635</v>
      </c>
    </row>
    <row r="2709" spans="3:13" hidden="1" x14ac:dyDescent="0.25">
      <c r="C2709" t="s">
        <v>65</v>
      </c>
      <c r="D2709" t="s">
        <v>120</v>
      </c>
      <c r="E2709" t="s">
        <v>60</v>
      </c>
      <c r="F2709" t="s">
        <v>24</v>
      </c>
      <c r="G2709">
        <v>6</v>
      </c>
      <c r="H2709" t="s">
        <v>12</v>
      </c>
      <c r="I2709" t="s">
        <v>121</v>
      </c>
      <c r="J2709" t="s">
        <v>122</v>
      </c>
      <c r="K2709">
        <v>0</v>
      </c>
      <c r="L2709" s="84">
        <v>-20290</v>
      </c>
      <c r="M2709" s="84">
        <v>0</v>
      </c>
    </row>
    <row r="2710" spans="3:13" hidden="1" x14ac:dyDescent="0.25">
      <c r="C2710" t="s">
        <v>119</v>
      </c>
      <c r="D2710" t="s">
        <v>120</v>
      </c>
      <c r="E2710" t="s">
        <v>60</v>
      </c>
      <c r="F2710" t="s">
        <v>123</v>
      </c>
      <c r="G2710">
        <v>-1</v>
      </c>
      <c r="H2710" t="s">
        <v>12</v>
      </c>
      <c r="I2710" t="s">
        <v>121</v>
      </c>
      <c r="J2710" t="s">
        <v>122</v>
      </c>
      <c r="K2710">
        <v>0</v>
      </c>
      <c r="L2710" s="84">
        <v>-1186</v>
      </c>
      <c r="M2710" s="84">
        <v>0</v>
      </c>
    </row>
    <row r="2711" spans="3:13" hidden="1" x14ac:dyDescent="0.25">
      <c r="C2711" t="s">
        <v>119</v>
      </c>
      <c r="D2711" t="s">
        <v>120</v>
      </c>
      <c r="E2711" t="s">
        <v>60</v>
      </c>
      <c r="F2711" t="s">
        <v>124</v>
      </c>
      <c r="G2711">
        <v>9</v>
      </c>
      <c r="H2711" t="s">
        <v>67</v>
      </c>
      <c r="I2711" t="s">
        <v>121</v>
      </c>
      <c r="J2711" t="s">
        <v>122</v>
      </c>
      <c r="K2711">
        <v>0</v>
      </c>
      <c r="L2711" s="84">
        <v>-1274</v>
      </c>
      <c r="M2711" s="84">
        <v>0</v>
      </c>
    </row>
    <row r="2712" spans="3:13" hidden="1" x14ac:dyDescent="0.25">
      <c r="C2712" t="s">
        <v>64</v>
      </c>
      <c r="D2712" t="s">
        <v>120</v>
      </c>
      <c r="E2712" t="s">
        <v>60</v>
      </c>
      <c r="F2712" t="s">
        <v>24</v>
      </c>
      <c r="G2712">
        <v>8</v>
      </c>
      <c r="H2712" t="s">
        <v>17</v>
      </c>
      <c r="I2712" t="s">
        <v>121</v>
      </c>
      <c r="J2712" t="s">
        <v>122</v>
      </c>
      <c r="K2712">
        <v>0</v>
      </c>
      <c r="L2712" s="84">
        <v>-82738</v>
      </c>
      <c r="M2712" s="84">
        <v>0</v>
      </c>
    </row>
    <row r="2713" spans="3:13" hidden="1" x14ac:dyDescent="0.25">
      <c r="C2713" t="s">
        <v>65</v>
      </c>
      <c r="D2713" t="s">
        <v>120</v>
      </c>
      <c r="E2713" t="s">
        <v>63</v>
      </c>
      <c r="F2713" t="s">
        <v>123</v>
      </c>
      <c r="G2713">
        <v>1</v>
      </c>
      <c r="H2713" t="s">
        <v>14</v>
      </c>
      <c r="I2713" t="s">
        <v>121</v>
      </c>
      <c r="J2713" t="s">
        <v>66</v>
      </c>
      <c r="K2713">
        <v>1</v>
      </c>
      <c r="L2713" s="84">
        <v>76335</v>
      </c>
      <c r="M2713" s="84">
        <v>76335</v>
      </c>
    </row>
    <row r="2714" spans="3:13" hidden="1" x14ac:dyDescent="0.25">
      <c r="C2714" t="s">
        <v>64</v>
      </c>
      <c r="D2714" t="s">
        <v>120</v>
      </c>
      <c r="E2714" t="s">
        <v>60</v>
      </c>
      <c r="F2714" t="s">
        <v>24</v>
      </c>
      <c r="G2714">
        <v>10</v>
      </c>
      <c r="H2714" t="s">
        <v>61</v>
      </c>
      <c r="I2714" t="s">
        <v>121</v>
      </c>
      <c r="J2714" t="s">
        <v>122</v>
      </c>
      <c r="K2714">
        <v>0</v>
      </c>
      <c r="L2714" s="84">
        <v>-105718</v>
      </c>
      <c r="M2714" s="84">
        <v>0</v>
      </c>
    </row>
    <row r="2715" spans="3:13" hidden="1" x14ac:dyDescent="0.25">
      <c r="C2715" t="s">
        <v>64</v>
      </c>
      <c r="D2715" t="s">
        <v>120</v>
      </c>
      <c r="E2715" t="s">
        <v>63</v>
      </c>
      <c r="F2715" t="s">
        <v>124</v>
      </c>
      <c r="G2715">
        <v>3</v>
      </c>
      <c r="H2715" t="s">
        <v>75</v>
      </c>
      <c r="I2715" t="s">
        <v>121</v>
      </c>
      <c r="J2715" t="s">
        <v>122</v>
      </c>
      <c r="K2715">
        <v>0</v>
      </c>
      <c r="L2715" s="84">
        <v>3072928</v>
      </c>
      <c r="M2715" s="84">
        <v>9218784</v>
      </c>
    </row>
    <row r="2716" spans="3:13" hidden="1" x14ac:dyDescent="0.25">
      <c r="C2716" t="s">
        <v>119</v>
      </c>
      <c r="D2716" t="s">
        <v>120</v>
      </c>
      <c r="E2716" t="s">
        <v>60</v>
      </c>
      <c r="F2716" t="s">
        <v>24</v>
      </c>
      <c r="G2716">
        <v>14</v>
      </c>
      <c r="H2716" t="s">
        <v>17</v>
      </c>
      <c r="I2716" t="s">
        <v>121</v>
      </c>
      <c r="J2716" t="s">
        <v>122</v>
      </c>
      <c r="K2716">
        <v>0</v>
      </c>
      <c r="L2716" s="84">
        <v>-25073</v>
      </c>
      <c r="M2716" s="84">
        <v>0</v>
      </c>
    </row>
    <row r="2717" spans="3:13" hidden="1" x14ac:dyDescent="0.25">
      <c r="C2717" t="s">
        <v>65</v>
      </c>
      <c r="D2717" t="s">
        <v>120</v>
      </c>
      <c r="E2717" t="s">
        <v>63</v>
      </c>
      <c r="F2717" t="s">
        <v>123</v>
      </c>
      <c r="G2717">
        <v>2</v>
      </c>
      <c r="H2717" t="s">
        <v>69</v>
      </c>
      <c r="I2717" t="s">
        <v>121</v>
      </c>
      <c r="J2717" t="s">
        <v>122</v>
      </c>
      <c r="K2717">
        <v>0</v>
      </c>
      <c r="L2717" s="84">
        <v>59554</v>
      </c>
      <c r="M2717" s="84">
        <v>119108</v>
      </c>
    </row>
    <row r="2718" spans="3:13" hidden="1" x14ac:dyDescent="0.25">
      <c r="C2718" t="s">
        <v>119</v>
      </c>
      <c r="D2718" t="s">
        <v>125</v>
      </c>
      <c r="E2718" t="s">
        <v>60</v>
      </c>
      <c r="F2718" t="s">
        <v>24</v>
      </c>
      <c r="G2718">
        <v>-1</v>
      </c>
      <c r="I2718" t="s">
        <v>121</v>
      </c>
      <c r="J2718" t="s">
        <v>122</v>
      </c>
      <c r="K2718">
        <v>0</v>
      </c>
      <c r="L2718" s="84">
        <v>-747</v>
      </c>
      <c r="M2718" s="84">
        <v>0</v>
      </c>
    </row>
    <row r="2719" spans="3:13" hidden="1" x14ac:dyDescent="0.25">
      <c r="C2719" t="s">
        <v>64</v>
      </c>
      <c r="D2719" t="s">
        <v>120</v>
      </c>
      <c r="E2719" t="s">
        <v>60</v>
      </c>
      <c r="F2719" t="s">
        <v>124</v>
      </c>
      <c r="G2719">
        <v>3</v>
      </c>
      <c r="H2719" t="s">
        <v>13</v>
      </c>
      <c r="I2719" t="s">
        <v>121</v>
      </c>
      <c r="J2719" t="s">
        <v>122</v>
      </c>
      <c r="K2719">
        <v>0</v>
      </c>
      <c r="L2719" s="84">
        <v>-7153</v>
      </c>
      <c r="M2719" s="84">
        <v>0</v>
      </c>
    </row>
    <row r="2720" spans="3:13" hidden="1" x14ac:dyDescent="0.25">
      <c r="C2720" t="s">
        <v>64</v>
      </c>
      <c r="D2720" t="s">
        <v>120</v>
      </c>
      <c r="E2720" t="s">
        <v>63</v>
      </c>
      <c r="F2720" t="s">
        <v>123</v>
      </c>
      <c r="G2720">
        <v>3</v>
      </c>
      <c r="H2720" t="s">
        <v>70</v>
      </c>
      <c r="I2720" t="s">
        <v>121</v>
      </c>
      <c r="J2720" t="s">
        <v>122</v>
      </c>
      <c r="K2720">
        <v>0</v>
      </c>
      <c r="L2720" s="84">
        <v>99448</v>
      </c>
      <c r="M2720" s="84">
        <v>298344</v>
      </c>
    </row>
    <row r="2721" spans="3:13" hidden="1" x14ac:dyDescent="0.25">
      <c r="C2721" t="s">
        <v>119</v>
      </c>
      <c r="D2721" t="s">
        <v>120</v>
      </c>
      <c r="E2721" t="s">
        <v>60</v>
      </c>
      <c r="F2721" t="s">
        <v>124</v>
      </c>
      <c r="G2721">
        <v>4</v>
      </c>
      <c r="H2721" t="s">
        <v>75</v>
      </c>
      <c r="I2721" t="s">
        <v>121</v>
      </c>
      <c r="J2721" t="s">
        <v>122</v>
      </c>
      <c r="K2721">
        <v>0</v>
      </c>
      <c r="L2721" s="84">
        <v>-50146</v>
      </c>
      <c r="M2721" s="84">
        <v>0</v>
      </c>
    </row>
    <row r="2722" spans="3:13" hidden="1" x14ac:dyDescent="0.25">
      <c r="C2722" t="s">
        <v>119</v>
      </c>
      <c r="D2722" t="s">
        <v>120</v>
      </c>
      <c r="E2722" t="s">
        <v>63</v>
      </c>
      <c r="F2722" t="s">
        <v>25</v>
      </c>
      <c r="G2722">
        <v>12</v>
      </c>
      <c r="H2722" t="s">
        <v>76</v>
      </c>
      <c r="I2722" t="s">
        <v>121</v>
      </c>
      <c r="J2722" t="s">
        <v>122</v>
      </c>
      <c r="K2722">
        <v>0</v>
      </c>
      <c r="L2722" s="84">
        <v>13186584</v>
      </c>
      <c r="M2722" s="84">
        <v>158239008</v>
      </c>
    </row>
    <row r="2723" spans="3:13" hidden="1" x14ac:dyDescent="0.25">
      <c r="C2723" t="s">
        <v>119</v>
      </c>
      <c r="D2723" t="s">
        <v>120</v>
      </c>
      <c r="E2723" t="s">
        <v>60</v>
      </c>
      <c r="F2723" t="s">
        <v>25</v>
      </c>
      <c r="G2723">
        <v>5</v>
      </c>
      <c r="H2723" t="s">
        <v>18</v>
      </c>
      <c r="I2723" t="s">
        <v>121</v>
      </c>
      <c r="J2723" t="s">
        <v>66</v>
      </c>
      <c r="K2723">
        <v>1</v>
      </c>
      <c r="L2723" s="84">
        <v>-483</v>
      </c>
      <c r="M2723" s="84">
        <v>0</v>
      </c>
    </row>
    <row r="2724" spans="3:13" hidden="1" x14ac:dyDescent="0.25">
      <c r="C2724" t="s">
        <v>65</v>
      </c>
      <c r="D2724" t="s">
        <v>120</v>
      </c>
      <c r="E2724" t="s">
        <v>63</v>
      </c>
      <c r="F2724" t="s">
        <v>25</v>
      </c>
      <c r="G2724">
        <v>4</v>
      </c>
      <c r="H2724" t="s">
        <v>69</v>
      </c>
      <c r="I2724" t="s">
        <v>121</v>
      </c>
      <c r="J2724" t="s">
        <v>122</v>
      </c>
      <c r="K2724">
        <v>0</v>
      </c>
      <c r="L2724" s="84">
        <v>232483</v>
      </c>
      <c r="M2724" s="84">
        <v>929932</v>
      </c>
    </row>
    <row r="2725" spans="3:13" hidden="1" x14ac:dyDescent="0.25">
      <c r="C2725" t="s">
        <v>119</v>
      </c>
      <c r="D2725" t="s">
        <v>120</v>
      </c>
      <c r="E2725" t="s">
        <v>63</v>
      </c>
      <c r="F2725" t="s">
        <v>25</v>
      </c>
      <c r="G2725">
        <v>2</v>
      </c>
      <c r="H2725" t="s">
        <v>74</v>
      </c>
      <c r="I2725" t="s">
        <v>121</v>
      </c>
      <c r="J2725" t="s">
        <v>122</v>
      </c>
      <c r="K2725">
        <v>0</v>
      </c>
      <c r="L2725" s="84">
        <v>34906</v>
      </c>
      <c r="M2725" s="84">
        <v>69812</v>
      </c>
    </row>
    <row r="2726" spans="3:13" hidden="1" x14ac:dyDescent="0.25">
      <c r="C2726" t="s">
        <v>119</v>
      </c>
      <c r="D2726" t="s">
        <v>127</v>
      </c>
      <c r="E2726" t="s">
        <v>60</v>
      </c>
      <c r="F2726" t="s">
        <v>25</v>
      </c>
      <c r="G2726">
        <v>2</v>
      </c>
      <c r="H2726" t="s">
        <v>77</v>
      </c>
      <c r="I2726" t="s">
        <v>121</v>
      </c>
      <c r="J2726" t="s">
        <v>122</v>
      </c>
      <c r="K2726">
        <v>0</v>
      </c>
      <c r="L2726" s="84">
        <v>-9</v>
      </c>
      <c r="M2726" s="84">
        <v>0</v>
      </c>
    </row>
    <row r="2727" spans="3:13" hidden="1" x14ac:dyDescent="0.25">
      <c r="C2727" t="s">
        <v>119</v>
      </c>
      <c r="D2727" t="s">
        <v>125</v>
      </c>
      <c r="E2727" t="s">
        <v>63</v>
      </c>
      <c r="F2727" t="s">
        <v>25</v>
      </c>
      <c r="G2727">
        <v>33</v>
      </c>
      <c r="I2727" t="s">
        <v>121</v>
      </c>
      <c r="J2727" t="s">
        <v>122</v>
      </c>
      <c r="K2727">
        <v>0</v>
      </c>
      <c r="L2727" s="84">
        <v>126772</v>
      </c>
      <c r="M2727" s="84">
        <v>4183476</v>
      </c>
    </row>
    <row r="2728" spans="3:13" hidden="1" x14ac:dyDescent="0.25">
      <c r="C2728" t="s">
        <v>64</v>
      </c>
      <c r="D2728" t="s">
        <v>120</v>
      </c>
      <c r="E2728" t="s">
        <v>60</v>
      </c>
      <c r="F2728" t="s">
        <v>123</v>
      </c>
      <c r="G2728">
        <v>1</v>
      </c>
      <c r="H2728" t="s">
        <v>69</v>
      </c>
      <c r="I2728" t="s">
        <v>121</v>
      </c>
      <c r="J2728" t="s">
        <v>122</v>
      </c>
      <c r="K2728">
        <v>0</v>
      </c>
      <c r="L2728" s="84">
        <v>-2442</v>
      </c>
      <c r="M2728" s="84">
        <v>0</v>
      </c>
    </row>
    <row r="2729" spans="3:13" hidden="1" x14ac:dyDescent="0.25">
      <c r="C2729" t="s">
        <v>65</v>
      </c>
      <c r="D2729" t="s">
        <v>120</v>
      </c>
      <c r="E2729" t="s">
        <v>60</v>
      </c>
      <c r="F2729" t="s">
        <v>24</v>
      </c>
      <c r="G2729">
        <v>8</v>
      </c>
      <c r="H2729" t="s">
        <v>68</v>
      </c>
      <c r="I2729" t="s">
        <v>121</v>
      </c>
      <c r="J2729" t="s">
        <v>122</v>
      </c>
      <c r="K2729">
        <v>0</v>
      </c>
      <c r="L2729" s="84">
        <v>-243138</v>
      </c>
      <c r="M2729" s="84">
        <v>0</v>
      </c>
    </row>
    <row r="2730" spans="3:13" hidden="1" x14ac:dyDescent="0.25">
      <c r="C2730" t="s">
        <v>64</v>
      </c>
      <c r="D2730" t="s">
        <v>120</v>
      </c>
      <c r="E2730" t="s">
        <v>60</v>
      </c>
      <c r="F2730" t="s">
        <v>123</v>
      </c>
      <c r="G2730">
        <v>4</v>
      </c>
      <c r="H2730" t="s">
        <v>14</v>
      </c>
      <c r="I2730" t="s">
        <v>121</v>
      </c>
      <c r="J2730" t="s">
        <v>66</v>
      </c>
      <c r="K2730">
        <v>1</v>
      </c>
      <c r="L2730" s="84">
        <v>-68792</v>
      </c>
      <c r="M2730" s="84">
        <v>0</v>
      </c>
    </row>
    <row r="2731" spans="3:13" hidden="1" x14ac:dyDescent="0.25">
      <c r="C2731" t="s">
        <v>119</v>
      </c>
      <c r="D2731" t="s">
        <v>126</v>
      </c>
      <c r="E2731" t="s">
        <v>60</v>
      </c>
      <c r="F2731" t="s">
        <v>25</v>
      </c>
      <c r="G2731">
        <v>4</v>
      </c>
      <c r="H2731" t="s">
        <v>68</v>
      </c>
      <c r="I2731" t="s">
        <v>121</v>
      </c>
      <c r="J2731" t="s">
        <v>122</v>
      </c>
      <c r="K2731">
        <v>0</v>
      </c>
      <c r="L2731" s="84">
        <v>-18169</v>
      </c>
      <c r="M2731" s="84">
        <v>0</v>
      </c>
    </row>
    <row r="2732" spans="3:13" hidden="1" x14ac:dyDescent="0.25">
      <c r="C2732" t="s">
        <v>64</v>
      </c>
      <c r="D2732" t="s">
        <v>120</v>
      </c>
      <c r="E2732" t="s">
        <v>63</v>
      </c>
      <c r="F2732" t="s">
        <v>24</v>
      </c>
      <c r="G2732">
        <v>8</v>
      </c>
      <c r="H2732" t="s">
        <v>67</v>
      </c>
      <c r="I2732" t="s">
        <v>121</v>
      </c>
      <c r="J2732" t="s">
        <v>122</v>
      </c>
      <c r="K2732">
        <v>0</v>
      </c>
      <c r="L2732" s="84">
        <v>140735</v>
      </c>
      <c r="M2732" s="84">
        <v>1125880</v>
      </c>
    </row>
    <row r="2733" spans="3:13" hidden="1" x14ac:dyDescent="0.25">
      <c r="C2733" t="s">
        <v>64</v>
      </c>
      <c r="D2733" t="s">
        <v>125</v>
      </c>
      <c r="E2733" t="s">
        <v>63</v>
      </c>
      <c r="F2733" t="s">
        <v>24</v>
      </c>
      <c r="G2733">
        <v>6</v>
      </c>
      <c r="I2733" t="s">
        <v>121</v>
      </c>
      <c r="J2733" t="s">
        <v>122</v>
      </c>
      <c r="K2733">
        <v>0</v>
      </c>
      <c r="L2733" s="84">
        <v>15716170</v>
      </c>
      <c r="M2733" s="84">
        <v>94297020</v>
      </c>
    </row>
    <row r="2734" spans="3:13" hidden="1" x14ac:dyDescent="0.25">
      <c r="C2734" t="s">
        <v>65</v>
      </c>
      <c r="D2734" t="s">
        <v>120</v>
      </c>
      <c r="E2734" t="s">
        <v>63</v>
      </c>
      <c r="F2734" t="s">
        <v>124</v>
      </c>
      <c r="G2734">
        <v>5</v>
      </c>
      <c r="H2734" t="s">
        <v>12</v>
      </c>
      <c r="I2734" t="s">
        <v>121</v>
      </c>
      <c r="J2734" t="s">
        <v>66</v>
      </c>
      <c r="K2734">
        <v>1</v>
      </c>
      <c r="L2734" s="84">
        <v>15779</v>
      </c>
      <c r="M2734" s="84">
        <v>78895</v>
      </c>
    </row>
    <row r="2735" spans="3:13" hidden="1" x14ac:dyDescent="0.25">
      <c r="C2735" t="s">
        <v>119</v>
      </c>
      <c r="D2735" t="s">
        <v>120</v>
      </c>
      <c r="E2735" t="s">
        <v>63</v>
      </c>
      <c r="F2735" t="s">
        <v>25</v>
      </c>
      <c r="G2735">
        <v>9</v>
      </c>
      <c r="H2735" t="s">
        <v>75</v>
      </c>
      <c r="I2735" t="s">
        <v>121</v>
      </c>
      <c r="J2735" t="s">
        <v>122</v>
      </c>
      <c r="K2735">
        <v>0</v>
      </c>
      <c r="L2735" s="84">
        <v>89542</v>
      </c>
      <c r="M2735" s="84">
        <v>805878</v>
      </c>
    </row>
    <row r="2736" spans="3:13" hidden="1" x14ac:dyDescent="0.25">
      <c r="C2736" t="s">
        <v>64</v>
      </c>
      <c r="D2736" t="s">
        <v>120</v>
      </c>
      <c r="E2736" t="s">
        <v>60</v>
      </c>
      <c r="F2736" t="s">
        <v>124</v>
      </c>
      <c r="G2736">
        <v>2</v>
      </c>
      <c r="H2736" t="s">
        <v>14</v>
      </c>
      <c r="I2736" t="s">
        <v>121</v>
      </c>
      <c r="J2736" t="s">
        <v>66</v>
      </c>
      <c r="K2736">
        <v>1</v>
      </c>
      <c r="L2736" s="84">
        <v>-386583</v>
      </c>
      <c r="M2736" s="84">
        <v>0</v>
      </c>
    </row>
    <row r="2737" spans="3:13" hidden="1" x14ac:dyDescent="0.25">
      <c r="C2737" t="s">
        <v>64</v>
      </c>
      <c r="D2737" t="s">
        <v>120</v>
      </c>
      <c r="E2737" t="s">
        <v>63</v>
      </c>
      <c r="F2737" t="s">
        <v>123</v>
      </c>
      <c r="G2737">
        <v>-4</v>
      </c>
      <c r="H2737" t="s">
        <v>68</v>
      </c>
      <c r="I2737" t="s">
        <v>121</v>
      </c>
      <c r="J2737" t="s">
        <v>122</v>
      </c>
      <c r="K2737">
        <v>0</v>
      </c>
      <c r="L2737" s="84">
        <v>374</v>
      </c>
      <c r="M2737" s="84">
        <v>0</v>
      </c>
    </row>
    <row r="2738" spans="3:13" hidden="1" x14ac:dyDescent="0.25">
      <c r="C2738" t="s">
        <v>65</v>
      </c>
      <c r="D2738" t="s">
        <v>120</v>
      </c>
      <c r="E2738" t="s">
        <v>60</v>
      </c>
      <c r="F2738" t="s">
        <v>124</v>
      </c>
      <c r="G2738">
        <v>1</v>
      </c>
      <c r="H2738" t="s">
        <v>18</v>
      </c>
      <c r="I2738" t="s">
        <v>121</v>
      </c>
      <c r="J2738" t="s">
        <v>122</v>
      </c>
      <c r="K2738">
        <v>0</v>
      </c>
      <c r="L2738" s="84">
        <v>-2267672</v>
      </c>
      <c r="M2738" s="84">
        <v>0</v>
      </c>
    </row>
    <row r="2739" spans="3:13" hidden="1" x14ac:dyDescent="0.25">
      <c r="C2739" t="s">
        <v>65</v>
      </c>
      <c r="D2739" t="s">
        <v>120</v>
      </c>
      <c r="E2739" t="s">
        <v>63</v>
      </c>
      <c r="F2739" t="s">
        <v>123</v>
      </c>
      <c r="G2739">
        <v>0</v>
      </c>
      <c r="H2739" t="s">
        <v>18</v>
      </c>
      <c r="I2739" t="s">
        <v>121</v>
      </c>
      <c r="J2739" t="s">
        <v>66</v>
      </c>
      <c r="K2739">
        <v>1</v>
      </c>
      <c r="L2739" s="84">
        <v>18743</v>
      </c>
      <c r="M2739" s="84">
        <v>0</v>
      </c>
    </row>
    <row r="2740" spans="3:13" hidden="1" x14ac:dyDescent="0.25">
      <c r="C2740" t="s">
        <v>65</v>
      </c>
      <c r="D2740" t="s">
        <v>125</v>
      </c>
      <c r="E2740" t="s">
        <v>60</v>
      </c>
      <c r="F2740" t="s">
        <v>25</v>
      </c>
      <c r="G2740">
        <v>29</v>
      </c>
      <c r="I2740" t="s">
        <v>121</v>
      </c>
      <c r="J2740" t="s">
        <v>122</v>
      </c>
      <c r="K2740">
        <v>0</v>
      </c>
      <c r="L2740" s="84">
        <v>-11560</v>
      </c>
      <c r="M2740" s="84">
        <v>0</v>
      </c>
    </row>
    <row r="2741" spans="3:13" hidden="1" x14ac:dyDescent="0.25">
      <c r="C2741" t="s">
        <v>119</v>
      </c>
      <c r="D2741" t="s">
        <v>126</v>
      </c>
      <c r="E2741" t="s">
        <v>60</v>
      </c>
      <c r="F2741" t="s">
        <v>25</v>
      </c>
      <c r="G2741">
        <v>12</v>
      </c>
      <c r="H2741" t="s">
        <v>74</v>
      </c>
      <c r="I2741" t="s">
        <v>121</v>
      </c>
      <c r="J2741" t="s">
        <v>122</v>
      </c>
      <c r="K2741">
        <v>0</v>
      </c>
      <c r="L2741" s="84">
        <v>-2231</v>
      </c>
      <c r="M2741" s="84">
        <v>0</v>
      </c>
    </row>
    <row r="2742" spans="3:13" hidden="1" x14ac:dyDescent="0.25">
      <c r="C2742" t="s">
        <v>119</v>
      </c>
      <c r="D2742" t="s">
        <v>120</v>
      </c>
      <c r="E2742" t="s">
        <v>60</v>
      </c>
      <c r="F2742" t="s">
        <v>24</v>
      </c>
      <c r="G2742">
        <v>8</v>
      </c>
      <c r="H2742" t="s">
        <v>70</v>
      </c>
      <c r="I2742" t="s">
        <v>121</v>
      </c>
      <c r="J2742" t="s">
        <v>122</v>
      </c>
      <c r="K2742">
        <v>0</v>
      </c>
      <c r="L2742" s="84">
        <v>-55</v>
      </c>
      <c r="M2742" s="84">
        <v>0</v>
      </c>
    </row>
    <row r="2743" spans="3:13" hidden="1" x14ac:dyDescent="0.25">
      <c r="C2743" t="s">
        <v>64</v>
      </c>
      <c r="D2743" t="s">
        <v>120</v>
      </c>
      <c r="E2743" t="s">
        <v>63</v>
      </c>
      <c r="F2743" t="s">
        <v>25</v>
      </c>
      <c r="G2743">
        <v>1</v>
      </c>
      <c r="H2743" t="s">
        <v>12</v>
      </c>
      <c r="I2743" t="s">
        <v>121</v>
      </c>
      <c r="J2743" t="s">
        <v>122</v>
      </c>
      <c r="K2743">
        <v>0</v>
      </c>
      <c r="L2743" s="84">
        <v>53018</v>
      </c>
      <c r="M2743" s="84">
        <v>53018</v>
      </c>
    </row>
    <row r="2744" spans="3:13" hidden="1" x14ac:dyDescent="0.25">
      <c r="C2744" t="s">
        <v>119</v>
      </c>
      <c r="D2744" t="s">
        <v>120</v>
      </c>
      <c r="E2744" t="s">
        <v>63</v>
      </c>
      <c r="F2744" t="s">
        <v>24</v>
      </c>
      <c r="G2744">
        <v>11</v>
      </c>
      <c r="H2744" t="s">
        <v>14</v>
      </c>
      <c r="I2744" t="s">
        <v>121</v>
      </c>
      <c r="J2744" t="s">
        <v>122</v>
      </c>
      <c r="K2744">
        <v>0</v>
      </c>
      <c r="L2744" s="84">
        <v>1474187</v>
      </c>
      <c r="M2744" s="84">
        <v>16216057</v>
      </c>
    </row>
    <row r="2745" spans="3:13" hidden="1" x14ac:dyDescent="0.25">
      <c r="C2745" t="s">
        <v>64</v>
      </c>
      <c r="D2745" t="s">
        <v>125</v>
      </c>
      <c r="E2745" t="s">
        <v>60</v>
      </c>
      <c r="F2745" t="s">
        <v>24</v>
      </c>
      <c r="G2745">
        <v>19</v>
      </c>
      <c r="I2745" t="s">
        <v>121</v>
      </c>
      <c r="J2745" t="s">
        <v>122</v>
      </c>
      <c r="K2745">
        <v>0</v>
      </c>
      <c r="L2745" s="84">
        <v>-963522</v>
      </c>
      <c r="M2745" s="84">
        <v>0</v>
      </c>
    </row>
    <row r="2746" spans="3:13" hidden="1" x14ac:dyDescent="0.25">
      <c r="C2746" t="s">
        <v>65</v>
      </c>
      <c r="D2746" t="s">
        <v>120</v>
      </c>
      <c r="E2746" t="s">
        <v>63</v>
      </c>
      <c r="F2746" t="s">
        <v>124</v>
      </c>
      <c r="G2746">
        <v>3</v>
      </c>
      <c r="H2746" t="s">
        <v>12</v>
      </c>
      <c r="I2746" t="s">
        <v>121</v>
      </c>
      <c r="J2746" t="s">
        <v>66</v>
      </c>
      <c r="K2746">
        <v>1</v>
      </c>
      <c r="L2746" s="84">
        <v>96169</v>
      </c>
      <c r="M2746" s="84">
        <v>288507</v>
      </c>
    </row>
    <row r="2747" spans="3:13" hidden="1" x14ac:dyDescent="0.25">
      <c r="C2747" t="s">
        <v>119</v>
      </c>
      <c r="D2747" t="s">
        <v>120</v>
      </c>
      <c r="E2747" t="s">
        <v>63</v>
      </c>
      <c r="F2747" t="s">
        <v>24</v>
      </c>
      <c r="G2747">
        <v>4</v>
      </c>
      <c r="H2747" t="s">
        <v>61</v>
      </c>
      <c r="I2747" t="s">
        <v>121</v>
      </c>
      <c r="J2747" t="s">
        <v>122</v>
      </c>
      <c r="K2747">
        <v>0</v>
      </c>
      <c r="L2747" s="84">
        <v>56425</v>
      </c>
      <c r="M2747" s="84">
        <v>225700</v>
      </c>
    </row>
    <row r="2748" spans="3:13" hidden="1" x14ac:dyDescent="0.25">
      <c r="C2748" t="s">
        <v>64</v>
      </c>
      <c r="D2748" t="s">
        <v>120</v>
      </c>
      <c r="E2748" t="s">
        <v>60</v>
      </c>
      <c r="F2748" t="s">
        <v>25</v>
      </c>
      <c r="G2748">
        <v>9</v>
      </c>
      <c r="H2748" t="s">
        <v>67</v>
      </c>
      <c r="I2748" t="s">
        <v>121</v>
      </c>
      <c r="J2748" t="s">
        <v>122</v>
      </c>
      <c r="K2748">
        <v>0</v>
      </c>
      <c r="L2748" s="84">
        <v>-26605</v>
      </c>
      <c r="M2748" s="84">
        <v>0</v>
      </c>
    </row>
    <row r="2749" spans="3:13" hidden="1" x14ac:dyDescent="0.25">
      <c r="C2749" t="s">
        <v>64</v>
      </c>
      <c r="D2749" t="s">
        <v>120</v>
      </c>
      <c r="E2749" t="s">
        <v>63</v>
      </c>
      <c r="F2749" t="s">
        <v>124</v>
      </c>
      <c r="G2749">
        <v>12</v>
      </c>
      <c r="H2749" t="s">
        <v>17</v>
      </c>
      <c r="I2749" t="s">
        <v>121</v>
      </c>
      <c r="J2749" t="s">
        <v>122</v>
      </c>
      <c r="K2749">
        <v>0</v>
      </c>
      <c r="L2749" s="84">
        <v>9837</v>
      </c>
      <c r="M2749" s="84">
        <v>118044</v>
      </c>
    </row>
    <row r="2750" spans="3:13" hidden="1" x14ac:dyDescent="0.25">
      <c r="C2750" t="s">
        <v>119</v>
      </c>
      <c r="D2750" t="s">
        <v>126</v>
      </c>
      <c r="E2750" t="s">
        <v>60</v>
      </c>
      <c r="F2750" t="s">
        <v>25</v>
      </c>
      <c r="G2750">
        <v>-1</v>
      </c>
      <c r="H2750" t="s">
        <v>67</v>
      </c>
      <c r="I2750" t="s">
        <v>121</v>
      </c>
      <c r="J2750" t="s">
        <v>122</v>
      </c>
      <c r="K2750">
        <v>0</v>
      </c>
      <c r="L2750" s="84">
        <v>-444</v>
      </c>
      <c r="M2750" s="84">
        <v>0</v>
      </c>
    </row>
    <row r="2751" spans="3:13" hidden="1" x14ac:dyDescent="0.25">
      <c r="C2751" t="s">
        <v>119</v>
      </c>
      <c r="D2751" t="s">
        <v>120</v>
      </c>
      <c r="E2751" t="s">
        <v>60</v>
      </c>
      <c r="F2751" t="s">
        <v>24</v>
      </c>
      <c r="G2751">
        <v>6</v>
      </c>
      <c r="H2751" t="s">
        <v>18</v>
      </c>
      <c r="I2751" t="s">
        <v>121</v>
      </c>
      <c r="J2751" t="s">
        <v>122</v>
      </c>
      <c r="K2751">
        <v>0</v>
      </c>
      <c r="L2751" s="84">
        <v>-662</v>
      </c>
      <c r="M2751" s="84">
        <v>0</v>
      </c>
    </row>
    <row r="2752" spans="3:13" hidden="1" x14ac:dyDescent="0.25">
      <c r="C2752" t="s">
        <v>119</v>
      </c>
      <c r="D2752" t="s">
        <v>120</v>
      </c>
      <c r="E2752" t="s">
        <v>60</v>
      </c>
      <c r="F2752" t="s">
        <v>124</v>
      </c>
      <c r="G2752">
        <v>-1</v>
      </c>
      <c r="H2752" t="s">
        <v>77</v>
      </c>
      <c r="I2752" t="s">
        <v>121</v>
      </c>
      <c r="J2752" t="s">
        <v>122</v>
      </c>
      <c r="K2752">
        <v>0</v>
      </c>
      <c r="L2752" s="84">
        <v>0</v>
      </c>
      <c r="M2752" s="84">
        <v>0</v>
      </c>
    </row>
    <row r="2753" spans="3:13" hidden="1" x14ac:dyDescent="0.25">
      <c r="C2753" t="s">
        <v>119</v>
      </c>
      <c r="D2753" t="s">
        <v>120</v>
      </c>
      <c r="E2753" t="s">
        <v>60</v>
      </c>
      <c r="F2753" t="s">
        <v>25</v>
      </c>
      <c r="G2753">
        <v>14</v>
      </c>
      <c r="H2753" t="s">
        <v>73</v>
      </c>
      <c r="I2753" t="s">
        <v>121</v>
      </c>
      <c r="J2753" t="s">
        <v>122</v>
      </c>
      <c r="K2753">
        <v>0</v>
      </c>
      <c r="L2753" s="84">
        <v>-665</v>
      </c>
      <c r="M2753" s="84">
        <v>0</v>
      </c>
    </row>
    <row r="2754" spans="3:13" hidden="1" x14ac:dyDescent="0.25">
      <c r="C2754" t="s">
        <v>65</v>
      </c>
      <c r="D2754" t="s">
        <v>120</v>
      </c>
      <c r="E2754" t="s">
        <v>60</v>
      </c>
      <c r="F2754" t="s">
        <v>124</v>
      </c>
      <c r="G2754">
        <v>-1</v>
      </c>
      <c r="H2754" t="s">
        <v>67</v>
      </c>
      <c r="I2754" t="s">
        <v>121</v>
      </c>
      <c r="J2754" t="s">
        <v>122</v>
      </c>
      <c r="K2754">
        <v>0</v>
      </c>
      <c r="L2754" s="84">
        <v>-2392978</v>
      </c>
      <c r="M2754" s="84">
        <v>0</v>
      </c>
    </row>
    <row r="2755" spans="3:13" hidden="1" x14ac:dyDescent="0.25">
      <c r="C2755" t="s">
        <v>64</v>
      </c>
      <c r="D2755" t="s">
        <v>120</v>
      </c>
      <c r="E2755" t="s">
        <v>60</v>
      </c>
      <c r="F2755" t="s">
        <v>25</v>
      </c>
      <c r="G2755">
        <v>2</v>
      </c>
      <c r="H2755" t="s">
        <v>73</v>
      </c>
      <c r="I2755" t="s">
        <v>121</v>
      </c>
      <c r="J2755" t="s">
        <v>122</v>
      </c>
      <c r="K2755">
        <v>0</v>
      </c>
      <c r="L2755" s="84">
        <v>-2094</v>
      </c>
      <c r="M2755" s="84">
        <v>0</v>
      </c>
    </row>
    <row r="2756" spans="3:13" hidden="1" x14ac:dyDescent="0.25">
      <c r="C2756" t="s">
        <v>119</v>
      </c>
      <c r="D2756" t="s">
        <v>120</v>
      </c>
      <c r="E2756" t="s">
        <v>60</v>
      </c>
      <c r="F2756" t="s">
        <v>25</v>
      </c>
      <c r="G2756">
        <v>2</v>
      </c>
      <c r="H2756" t="s">
        <v>76</v>
      </c>
      <c r="I2756" t="s">
        <v>121</v>
      </c>
      <c r="J2756" t="s">
        <v>122</v>
      </c>
      <c r="K2756">
        <v>0</v>
      </c>
      <c r="L2756" s="84">
        <v>-189</v>
      </c>
      <c r="M2756" s="84">
        <v>0</v>
      </c>
    </row>
    <row r="2757" spans="3:13" x14ac:dyDescent="0.25">
      <c r="C2757" t="s">
        <v>119</v>
      </c>
      <c r="D2757" t="s">
        <v>120</v>
      </c>
      <c r="E2757" t="s">
        <v>63</v>
      </c>
      <c r="F2757" t="s">
        <v>25</v>
      </c>
      <c r="G2757">
        <v>5</v>
      </c>
      <c r="H2757" t="s">
        <v>12</v>
      </c>
      <c r="I2757" t="s">
        <v>121</v>
      </c>
      <c r="J2757" t="s">
        <v>66</v>
      </c>
      <c r="K2757">
        <v>1</v>
      </c>
      <c r="L2757" s="84">
        <v>11974236</v>
      </c>
      <c r="M2757" s="84">
        <v>59871180</v>
      </c>
    </row>
    <row r="2758" spans="3:13" hidden="1" x14ac:dyDescent="0.25">
      <c r="C2758" t="s">
        <v>119</v>
      </c>
      <c r="D2758" t="s">
        <v>120</v>
      </c>
      <c r="E2758" t="s">
        <v>63</v>
      </c>
      <c r="F2758" t="s">
        <v>25</v>
      </c>
      <c r="G2758">
        <v>2</v>
      </c>
      <c r="H2758" t="s">
        <v>16</v>
      </c>
      <c r="I2758" t="s">
        <v>121</v>
      </c>
      <c r="J2758" t="s">
        <v>122</v>
      </c>
      <c r="K2758">
        <v>0</v>
      </c>
      <c r="L2758" s="84">
        <v>516297</v>
      </c>
      <c r="M2758" s="84">
        <v>1032594</v>
      </c>
    </row>
    <row r="2759" spans="3:13" hidden="1" x14ac:dyDescent="0.25">
      <c r="C2759" t="s">
        <v>65</v>
      </c>
      <c r="D2759" t="s">
        <v>120</v>
      </c>
      <c r="E2759" t="s">
        <v>63</v>
      </c>
      <c r="F2759" t="s">
        <v>25</v>
      </c>
      <c r="G2759">
        <v>4</v>
      </c>
      <c r="H2759" t="s">
        <v>18</v>
      </c>
      <c r="I2759" t="s">
        <v>121</v>
      </c>
      <c r="J2759" t="s">
        <v>122</v>
      </c>
      <c r="K2759">
        <v>0</v>
      </c>
      <c r="L2759" s="84">
        <v>15909899</v>
      </c>
      <c r="M2759" s="84">
        <v>63639596</v>
      </c>
    </row>
    <row r="2760" spans="3:13" hidden="1" x14ac:dyDescent="0.25">
      <c r="C2760" t="s">
        <v>119</v>
      </c>
      <c r="D2760" t="s">
        <v>120</v>
      </c>
      <c r="E2760" t="s">
        <v>60</v>
      </c>
      <c r="F2760" t="s">
        <v>124</v>
      </c>
      <c r="G2760">
        <v>5</v>
      </c>
      <c r="H2760" t="s">
        <v>75</v>
      </c>
      <c r="I2760" t="s">
        <v>62</v>
      </c>
      <c r="J2760" t="s">
        <v>122</v>
      </c>
      <c r="K2760">
        <v>1</v>
      </c>
      <c r="L2760" s="84">
        <v>-694</v>
      </c>
      <c r="M2760" s="84">
        <v>0</v>
      </c>
    </row>
    <row r="2761" spans="3:13" hidden="1" x14ac:dyDescent="0.25">
      <c r="C2761" t="s">
        <v>119</v>
      </c>
      <c r="D2761" t="s">
        <v>126</v>
      </c>
      <c r="E2761" t="s">
        <v>63</v>
      </c>
      <c r="F2761" t="s">
        <v>25</v>
      </c>
      <c r="G2761">
        <v>7</v>
      </c>
      <c r="H2761" t="s">
        <v>68</v>
      </c>
      <c r="I2761" t="s">
        <v>121</v>
      </c>
      <c r="J2761" t="s">
        <v>122</v>
      </c>
      <c r="K2761">
        <v>0</v>
      </c>
      <c r="L2761" s="84">
        <v>4485823</v>
      </c>
      <c r="M2761" s="84">
        <v>31400761</v>
      </c>
    </row>
    <row r="2762" spans="3:13" hidden="1" x14ac:dyDescent="0.25">
      <c r="C2762" t="s">
        <v>64</v>
      </c>
      <c r="D2762" t="s">
        <v>120</v>
      </c>
      <c r="E2762" t="s">
        <v>60</v>
      </c>
      <c r="F2762" t="s">
        <v>124</v>
      </c>
      <c r="G2762">
        <v>3</v>
      </c>
      <c r="H2762" t="s">
        <v>68</v>
      </c>
      <c r="I2762" t="s">
        <v>121</v>
      </c>
      <c r="J2762" t="s">
        <v>122</v>
      </c>
      <c r="K2762">
        <v>0</v>
      </c>
      <c r="L2762" s="84">
        <v>-74717</v>
      </c>
      <c r="M2762" s="84">
        <v>0</v>
      </c>
    </row>
    <row r="2763" spans="3:13" hidden="1" x14ac:dyDescent="0.25">
      <c r="C2763" t="s">
        <v>119</v>
      </c>
      <c r="D2763" t="s">
        <v>120</v>
      </c>
      <c r="E2763" t="s">
        <v>63</v>
      </c>
      <c r="F2763" t="s">
        <v>124</v>
      </c>
      <c r="G2763">
        <v>1</v>
      </c>
      <c r="H2763" t="s">
        <v>12</v>
      </c>
      <c r="I2763" t="s">
        <v>62</v>
      </c>
      <c r="J2763" t="s">
        <v>66</v>
      </c>
      <c r="K2763">
        <v>1</v>
      </c>
      <c r="L2763" s="84">
        <v>60913</v>
      </c>
      <c r="M2763" s="84">
        <v>60913</v>
      </c>
    </row>
    <row r="2764" spans="3:13" hidden="1" x14ac:dyDescent="0.25">
      <c r="C2764" t="s">
        <v>64</v>
      </c>
      <c r="D2764" t="s">
        <v>120</v>
      </c>
      <c r="E2764" t="s">
        <v>63</v>
      </c>
      <c r="F2764" t="s">
        <v>123</v>
      </c>
      <c r="G2764">
        <v>3</v>
      </c>
      <c r="H2764" t="s">
        <v>15</v>
      </c>
      <c r="I2764" t="s">
        <v>121</v>
      </c>
      <c r="J2764" t="s">
        <v>122</v>
      </c>
      <c r="K2764">
        <v>0</v>
      </c>
      <c r="L2764" s="84">
        <v>48524</v>
      </c>
      <c r="M2764" s="84">
        <v>145572</v>
      </c>
    </row>
    <row r="2765" spans="3:13" hidden="1" x14ac:dyDescent="0.25">
      <c r="C2765" t="s">
        <v>64</v>
      </c>
      <c r="D2765" t="s">
        <v>120</v>
      </c>
      <c r="E2765" t="s">
        <v>63</v>
      </c>
      <c r="F2765" t="s">
        <v>123</v>
      </c>
      <c r="G2765">
        <v>0</v>
      </c>
      <c r="H2765" t="s">
        <v>16</v>
      </c>
      <c r="I2765" t="s">
        <v>121</v>
      </c>
      <c r="J2765" t="s">
        <v>122</v>
      </c>
      <c r="K2765">
        <v>0</v>
      </c>
      <c r="L2765" s="84">
        <v>560</v>
      </c>
      <c r="M2765" s="84">
        <v>0</v>
      </c>
    </row>
    <row r="2766" spans="3:13" hidden="1" x14ac:dyDescent="0.25">
      <c r="C2766" t="s">
        <v>119</v>
      </c>
      <c r="D2766" t="s">
        <v>120</v>
      </c>
      <c r="E2766" t="s">
        <v>60</v>
      </c>
      <c r="F2766" t="s">
        <v>25</v>
      </c>
      <c r="G2766">
        <v>3</v>
      </c>
      <c r="H2766" t="s">
        <v>12</v>
      </c>
      <c r="I2766" t="s">
        <v>121</v>
      </c>
      <c r="J2766" t="s">
        <v>122</v>
      </c>
      <c r="K2766">
        <v>0</v>
      </c>
      <c r="L2766" s="84">
        <v>-1097</v>
      </c>
      <c r="M2766" s="84">
        <v>0</v>
      </c>
    </row>
    <row r="2767" spans="3:13" hidden="1" x14ac:dyDescent="0.25">
      <c r="C2767" t="s">
        <v>119</v>
      </c>
      <c r="D2767" t="s">
        <v>120</v>
      </c>
      <c r="E2767" t="s">
        <v>60</v>
      </c>
      <c r="F2767" t="s">
        <v>124</v>
      </c>
      <c r="G2767">
        <v>1</v>
      </c>
      <c r="H2767" t="s">
        <v>16</v>
      </c>
      <c r="I2767" t="s">
        <v>121</v>
      </c>
      <c r="J2767" t="s">
        <v>122</v>
      </c>
      <c r="K2767">
        <v>0</v>
      </c>
      <c r="L2767" s="84">
        <v>-2563</v>
      </c>
      <c r="M2767" s="84">
        <v>0</v>
      </c>
    </row>
    <row r="2768" spans="3:13" x14ac:dyDescent="0.25">
      <c r="C2768" t="s">
        <v>64</v>
      </c>
      <c r="D2768" t="s">
        <v>120</v>
      </c>
      <c r="E2768" t="s">
        <v>63</v>
      </c>
      <c r="F2768" t="s">
        <v>25</v>
      </c>
      <c r="G2768">
        <v>6</v>
      </c>
      <c r="H2768" t="s">
        <v>17</v>
      </c>
      <c r="I2768" t="s">
        <v>121</v>
      </c>
      <c r="J2768" t="s">
        <v>66</v>
      </c>
      <c r="K2768">
        <v>1</v>
      </c>
      <c r="L2768" s="84">
        <v>45250</v>
      </c>
      <c r="M2768" s="84">
        <v>271500</v>
      </c>
    </row>
    <row r="2769" spans="3:13" hidden="1" x14ac:dyDescent="0.25">
      <c r="C2769" t="s">
        <v>65</v>
      </c>
      <c r="D2769" t="s">
        <v>120</v>
      </c>
      <c r="E2769" t="s">
        <v>60</v>
      </c>
      <c r="F2769" t="s">
        <v>123</v>
      </c>
      <c r="G2769">
        <v>3</v>
      </c>
      <c r="H2769" t="s">
        <v>73</v>
      </c>
      <c r="I2769" t="s">
        <v>121</v>
      </c>
      <c r="J2769" t="s">
        <v>122</v>
      </c>
      <c r="K2769">
        <v>0</v>
      </c>
      <c r="L2769" s="84">
        <v>-12116</v>
      </c>
      <c r="M2769" s="84">
        <v>0</v>
      </c>
    </row>
    <row r="2770" spans="3:13" hidden="1" x14ac:dyDescent="0.25">
      <c r="C2770" t="s">
        <v>64</v>
      </c>
      <c r="D2770" t="s">
        <v>120</v>
      </c>
      <c r="E2770" t="s">
        <v>63</v>
      </c>
      <c r="F2770" t="s">
        <v>25</v>
      </c>
      <c r="G2770">
        <v>6</v>
      </c>
      <c r="H2770" t="s">
        <v>17</v>
      </c>
      <c r="I2770" t="s">
        <v>121</v>
      </c>
      <c r="J2770" t="s">
        <v>122</v>
      </c>
      <c r="K2770">
        <v>0</v>
      </c>
      <c r="L2770" s="84">
        <v>1405297</v>
      </c>
      <c r="M2770" s="84">
        <v>8431782</v>
      </c>
    </row>
    <row r="2771" spans="3:13" hidden="1" x14ac:dyDescent="0.25">
      <c r="C2771" t="s">
        <v>119</v>
      </c>
      <c r="D2771" t="s">
        <v>120</v>
      </c>
      <c r="E2771" t="s">
        <v>63</v>
      </c>
      <c r="F2771" t="s">
        <v>123</v>
      </c>
      <c r="G2771">
        <v>4</v>
      </c>
      <c r="H2771" t="s">
        <v>12</v>
      </c>
      <c r="I2771" t="s">
        <v>121</v>
      </c>
      <c r="J2771" t="s">
        <v>122</v>
      </c>
      <c r="K2771">
        <v>0</v>
      </c>
      <c r="L2771" s="84">
        <v>454676</v>
      </c>
      <c r="M2771" s="84">
        <v>1818704</v>
      </c>
    </row>
    <row r="2772" spans="3:13" hidden="1" x14ac:dyDescent="0.25">
      <c r="C2772" t="s">
        <v>119</v>
      </c>
      <c r="D2772" t="s">
        <v>120</v>
      </c>
      <c r="E2772" t="s">
        <v>60</v>
      </c>
      <c r="F2772" t="s">
        <v>24</v>
      </c>
      <c r="G2772">
        <v>14</v>
      </c>
      <c r="H2772" t="s">
        <v>75</v>
      </c>
      <c r="I2772" t="s">
        <v>121</v>
      </c>
      <c r="J2772" t="s">
        <v>122</v>
      </c>
      <c r="K2772">
        <v>0</v>
      </c>
      <c r="L2772" s="84">
        <v>-1742</v>
      </c>
      <c r="M2772" s="84">
        <v>0</v>
      </c>
    </row>
    <row r="2773" spans="3:13" hidden="1" x14ac:dyDescent="0.25">
      <c r="C2773" t="s">
        <v>65</v>
      </c>
      <c r="D2773" t="s">
        <v>120</v>
      </c>
      <c r="E2773" t="s">
        <v>60</v>
      </c>
      <c r="F2773" t="s">
        <v>25</v>
      </c>
      <c r="G2773">
        <v>0</v>
      </c>
      <c r="H2773" t="s">
        <v>18</v>
      </c>
      <c r="I2773" t="s">
        <v>121</v>
      </c>
      <c r="J2773" t="s">
        <v>122</v>
      </c>
      <c r="K2773">
        <v>0</v>
      </c>
      <c r="L2773" s="84">
        <v>-57915</v>
      </c>
      <c r="M2773" s="84">
        <v>0</v>
      </c>
    </row>
    <row r="2774" spans="3:13" hidden="1" x14ac:dyDescent="0.25">
      <c r="C2774" t="s">
        <v>65</v>
      </c>
      <c r="D2774" t="s">
        <v>120</v>
      </c>
      <c r="E2774" t="s">
        <v>63</v>
      </c>
      <c r="F2774" t="s">
        <v>124</v>
      </c>
      <c r="G2774">
        <v>-1</v>
      </c>
      <c r="H2774" t="s">
        <v>14</v>
      </c>
      <c r="I2774" t="s">
        <v>121</v>
      </c>
      <c r="J2774" t="s">
        <v>66</v>
      </c>
      <c r="K2774">
        <v>1</v>
      </c>
      <c r="L2774" s="84">
        <v>4508751</v>
      </c>
      <c r="M2774" s="84">
        <v>0</v>
      </c>
    </row>
    <row r="2775" spans="3:13" hidden="1" x14ac:dyDescent="0.25">
      <c r="C2775" t="s">
        <v>64</v>
      </c>
      <c r="D2775" t="s">
        <v>125</v>
      </c>
      <c r="E2775" t="s">
        <v>60</v>
      </c>
      <c r="F2775" t="s">
        <v>25</v>
      </c>
      <c r="G2775">
        <v>21</v>
      </c>
      <c r="I2775" t="s">
        <v>121</v>
      </c>
      <c r="J2775" t="s">
        <v>122</v>
      </c>
      <c r="K2775">
        <v>0</v>
      </c>
      <c r="L2775" s="84">
        <v>-79712</v>
      </c>
      <c r="M2775" s="84">
        <v>0</v>
      </c>
    </row>
    <row r="2776" spans="3:13" hidden="1" x14ac:dyDescent="0.25">
      <c r="C2776" t="s">
        <v>64</v>
      </c>
      <c r="D2776" t="s">
        <v>125</v>
      </c>
      <c r="E2776" t="s">
        <v>63</v>
      </c>
      <c r="F2776" t="s">
        <v>24</v>
      </c>
      <c r="G2776">
        <v>12</v>
      </c>
      <c r="I2776" t="s">
        <v>121</v>
      </c>
      <c r="J2776" t="s">
        <v>122</v>
      </c>
      <c r="K2776">
        <v>0</v>
      </c>
      <c r="L2776" s="84">
        <v>17091542</v>
      </c>
      <c r="M2776" s="84">
        <v>205098504</v>
      </c>
    </row>
    <row r="2777" spans="3:13" hidden="1" x14ac:dyDescent="0.25">
      <c r="C2777" t="s">
        <v>64</v>
      </c>
      <c r="D2777" t="s">
        <v>120</v>
      </c>
      <c r="E2777" t="s">
        <v>63</v>
      </c>
      <c r="F2777" t="s">
        <v>25</v>
      </c>
      <c r="G2777">
        <v>7</v>
      </c>
      <c r="H2777" t="s">
        <v>17</v>
      </c>
      <c r="I2777" t="s">
        <v>121</v>
      </c>
      <c r="J2777" t="s">
        <v>122</v>
      </c>
      <c r="K2777">
        <v>0</v>
      </c>
      <c r="L2777" s="84">
        <v>513438</v>
      </c>
      <c r="M2777" s="84">
        <v>3594066</v>
      </c>
    </row>
    <row r="2778" spans="3:13" hidden="1" x14ac:dyDescent="0.25">
      <c r="C2778" t="s">
        <v>65</v>
      </c>
      <c r="D2778" t="s">
        <v>125</v>
      </c>
      <c r="E2778" t="s">
        <v>60</v>
      </c>
      <c r="F2778" t="s">
        <v>24</v>
      </c>
      <c r="G2778">
        <v>-4</v>
      </c>
      <c r="I2778" t="s">
        <v>121</v>
      </c>
      <c r="J2778" t="s">
        <v>122</v>
      </c>
      <c r="K2778">
        <v>0</v>
      </c>
      <c r="L2778" s="84">
        <v>-550008</v>
      </c>
      <c r="M2778" s="84">
        <v>0</v>
      </c>
    </row>
    <row r="2779" spans="3:13" hidden="1" x14ac:dyDescent="0.25">
      <c r="C2779" t="s">
        <v>119</v>
      </c>
      <c r="D2779" t="s">
        <v>120</v>
      </c>
      <c r="E2779" t="s">
        <v>60</v>
      </c>
      <c r="F2779" t="s">
        <v>25</v>
      </c>
      <c r="G2779">
        <v>9</v>
      </c>
      <c r="H2779" t="s">
        <v>76</v>
      </c>
      <c r="I2779" t="s">
        <v>121</v>
      </c>
      <c r="J2779" t="s">
        <v>122</v>
      </c>
      <c r="K2779">
        <v>0</v>
      </c>
      <c r="L2779" s="84">
        <v>-6216</v>
      </c>
      <c r="M2779" s="84">
        <v>0</v>
      </c>
    </row>
    <row r="2780" spans="3:13" hidden="1" x14ac:dyDescent="0.25">
      <c r="C2780" t="s">
        <v>64</v>
      </c>
      <c r="D2780" t="s">
        <v>120</v>
      </c>
      <c r="E2780" t="s">
        <v>60</v>
      </c>
      <c r="F2780" t="s">
        <v>24</v>
      </c>
      <c r="G2780">
        <v>4</v>
      </c>
      <c r="H2780" t="s">
        <v>72</v>
      </c>
      <c r="I2780" t="s">
        <v>121</v>
      </c>
      <c r="J2780" t="s">
        <v>122</v>
      </c>
      <c r="K2780">
        <v>0</v>
      </c>
      <c r="L2780" s="84">
        <v>-183</v>
      </c>
      <c r="M2780" s="84">
        <v>0</v>
      </c>
    </row>
    <row r="2781" spans="3:13" hidden="1" x14ac:dyDescent="0.25">
      <c r="C2781" t="s">
        <v>64</v>
      </c>
      <c r="D2781" t="s">
        <v>120</v>
      </c>
      <c r="E2781" t="s">
        <v>63</v>
      </c>
      <c r="F2781" t="s">
        <v>24</v>
      </c>
      <c r="G2781">
        <v>15</v>
      </c>
      <c r="H2781" t="s">
        <v>72</v>
      </c>
      <c r="I2781" t="s">
        <v>121</v>
      </c>
      <c r="J2781" t="s">
        <v>122</v>
      </c>
      <c r="K2781">
        <v>0</v>
      </c>
      <c r="L2781" s="84">
        <v>400592</v>
      </c>
      <c r="M2781" s="84">
        <v>6008880</v>
      </c>
    </row>
    <row r="2782" spans="3:13" hidden="1" x14ac:dyDescent="0.25">
      <c r="C2782" t="s">
        <v>119</v>
      </c>
      <c r="D2782" t="s">
        <v>120</v>
      </c>
      <c r="E2782" t="s">
        <v>60</v>
      </c>
      <c r="F2782" t="s">
        <v>124</v>
      </c>
      <c r="G2782">
        <v>-1</v>
      </c>
      <c r="H2782" t="s">
        <v>72</v>
      </c>
      <c r="I2782" t="s">
        <v>121</v>
      </c>
      <c r="J2782" t="s">
        <v>122</v>
      </c>
      <c r="K2782">
        <v>0</v>
      </c>
      <c r="L2782" s="84">
        <v>-104166</v>
      </c>
      <c r="M2782" s="84">
        <v>0</v>
      </c>
    </row>
    <row r="2783" spans="3:13" hidden="1" x14ac:dyDescent="0.25">
      <c r="C2783" t="s">
        <v>64</v>
      </c>
      <c r="D2783" t="s">
        <v>120</v>
      </c>
      <c r="E2783" t="s">
        <v>60</v>
      </c>
      <c r="F2783" t="s">
        <v>25</v>
      </c>
      <c r="G2783">
        <v>14</v>
      </c>
      <c r="H2783" t="s">
        <v>68</v>
      </c>
      <c r="I2783" t="s">
        <v>121</v>
      </c>
      <c r="J2783" t="s">
        <v>122</v>
      </c>
      <c r="K2783">
        <v>0</v>
      </c>
      <c r="L2783" s="84">
        <v>-364002</v>
      </c>
      <c r="M2783" s="84">
        <v>0</v>
      </c>
    </row>
    <row r="2784" spans="3:13" hidden="1" x14ac:dyDescent="0.25">
      <c r="C2784" t="s">
        <v>65</v>
      </c>
      <c r="D2784" t="s">
        <v>120</v>
      </c>
      <c r="E2784" t="s">
        <v>60</v>
      </c>
      <c r="F2784" t="s">
        <v>123</v>
      </c>
      <c r="G2784">
        <v>5</v>
      </c>
      <c r="H2784" t="s">
        <v>14</v>
      </c>
      <c r="I2784" t="s">
        <v>121</v>
      </c>
      <c r="J2784" t="s">
        <v>122</v>
      </c>
      <c r="K2784">
        <v>0</v>
      </c>
      <c r="L2784" s="84">
        <v>-170916</v>
      </c>
      <c r="M2784" s="84">
        <v>0</v>
      </c>
    </row>
    <row r="2785" spans="3:13" hidden="1" x14ac:dyDescent="0.25">
      <c r="C2785" t="s">
        <v>65</v>
      </c>
      <c r="D2785" t="s">
        <v>125</v>
      </c>
      <c r="E2785" t="s">
        <v>60</v>
      </c>
      <c r="F2785" t="s">
        <v>24</v>
      </c>
      <c r="G2785">
        <v>17</v>
      </c>
      <c r="I2785" t="s">
        <v>121</v>
      </c>
      <c r="J2785" t="s">
        <v>122</v>
      </c>
      <c r="K2785">
        <v>0</v>
      </c>
      <c r="L2785" s="84">
        <v>-2182613</v>
      </c>
      <c r="M2785" s="84">
        <v>0</v>
      </c>
    </row>
    <row r="2786" spans="3:13" hidden="1" x14ac:dyDescent="0.25">
      <c r="C2786" t="s">
        <v>64</v>
      </c>
      <c r="D2786" t="s">
        <v>120</v>
      </c>
      <c r="E2786" t="s">
        <v>63</v>
      </c>
      <c r="F2786" t="s">
        <v>123</v>
      </c>
      <c r="G2786">
        <v>-4</v>
      </c>
      <c r="H2786" t="s">
        <v>76</v>
      </c>
      <c r="I2786" t="s">
        <v>121</v>
      </c>
      <c r="J2786" t="s">
        <v>122</v>
      </c>
      <c r="K2786">
        <v>0</v>
      </c>
      <c r="L2786" s="84">
        <v>165</v>
      </c>
      <c r="M2786" s="84">
        <v>0</v>
      </c>
    </row>
    <row r="2787" spans="3:13" hidden="1" x14ac:dyDescent="0.25">
      <c r="C2787" t="s">
        <v>119</v>
      </c>
      <c r="D2787" t="s">
        <v>120</v>
      </c>
      <c r="E2787" t="s">
        <v>60</v>
      </c>
      <c r="F2787" t="s">
        <v>25</v>
      </c>
      <c r="G2787">
        <v>9</v>
      </c>
      <c r="H2787" t="s">
        <v>12</v>
      </c>
      <c r="I2787" t="s">
        <v>121</v>
      </c>
      <c r="J2787" t="s">
        <v>66</v>
      </c>
      <c r="K2787">
        <v>1</v>
      </c>
      <c r="L2787" s="84">
        <v>-5341</v>
      </c>
      <c r="M2787" s="84">
        <v>0</v>
      </c>
    </row>
    <row r="2788" spans="3:13" hidden="1" x14ac:dyDescent="0.25">
      <c r="C2788" t="s">
        <v>119</v>
      </c>
      <c r="D2788" t="s">
        <v>120</v>
      </c>
      <c r="E2788" t="s">
        <v>60</v>
      </c>
      <c r="F2788" t="s">
        <v>124</v>
      </c>
      <c r="G2788">
        <v>0</v>
      </c>
      <c r="H2788" t="s">
        <v>71</v>
      </c>
      <c r="I2788" t="s">
        <v>121</v>
      </c>
      <c r="J2788" t="s">
        <v>122</v>
      </c>
      <c r="K2788">
        <v>0</v>
      </c>
      <c r="L2788" s="84">
        <v>-4134</v>
      </c>
      <c r="M2788" s="84">
        <v>0</v>
      </c>
    </row>
    <row r="2789" spans="3:13" hidden="1" x14ac:dyDescent="0.25">
      <c r="C2789" t="s">
        <v>64</v>
      </c>
      <c r="D2789" t="s">
        <v>120</v>
      </c>
      <c r="E2789" t="s">
        <v>60</v>
      </c>
      <c r="F2789" t="s">
        <v>124</v>
      </c>
      <c r="G2789">
        <v>0</v>
      </c>
      <c r="H2789" t="s">
        <v>15</v>
      </c>
      <c r="I2789" t="s">
        <v>121</v>
      </c>
      <c r="J2789" t="s">
        <v>66</v>
      </c>
      <c r="K2789">
        <v>1</v>
      </c>
      <c r="L2789" s="84">
        <v>-464</v>
      </c>
      <c r="M2789" s="84">
        <v>0</v>
      </c>
    </row>
    <row r="2790" spans="3:13" hidden="1" x14ac:dyDescent="0.25">
      <c r="C2790" t="s">
        <v>64</v>
      </c>
      <c r="D2790" t="s">
        <v>120</v>
      </c>
      <c r="E2790" t="s">
        <v>63</v>
      </c>
      <c r="F2790" t="s">
        <v>123</v>
      </c>
      <c r="G2790">
        <v>1</v>
      </c>
      <c r="H2790" t="s">
        <v>72</v>
      </c>
      <c r="I2790" t="s">
        <v>121</v>
      </c>
      <c r="J2790" t="s">
        <v>122</v>
      </c>
      <c r="K2790">
        <v>0</v>
      </c>
      <c r="L2790" s="84">
        <v>342563</v>
      </c>
      <c r="M2790" s="84">
        <v>342563</v>
      </c>
    </row>
    <row r="2791" spans="3:13" hidden="1" x14ac:dyDescent="0.25">
      <c r="C2791" t="s">
        <v>65</v>
      </c>
      <c r="D2791" t="s">
        <v>120</v>
      </c>
      <c r="E2791" t="s">
        <v>63</v>
      </c>
      <c r="F2791" t="s">
        <v>25</v>
      </c>
      <c r="G2791">
        <v>2</v>
      </c>
      <c r="H2791" t="s">
        <v>14</v>
      </c>
      <c r="I2791" t="s">
        <v>121</v>
      </c>
      <c r="J2791" t="s">
        <v>122</v>
      </c>
      <c r="K2791">
        <v>0</v>
      </c>
      <c r="L2791" s="84">
        <v>392142</v>
      </c>
      <c r="M2791" s="84">
        <v>784284</v>
      </c>
    </row>
    <row r="2792" spans="3:13" hidden="1" x14ac:dyDescent="0.25">
      <c r="C2792" t="s">
        <v>64</v>
      </c>
      <c r="D2792" t="s">
        <v>120</v>
      </c>
      <c r="E2792" t="s">
        <v>63</v>
      </c>
      <c r="F2792" t="s">
        <v>123</v>
      </c>
      <c r="G2792">
        <v>3</v>
      </c>
      <c r="H2792" t="s">
        <v>17</v>
      </c>
      <c r="I2792" t="s">
        <v>62</v>
      </c>
      <c r="J2792" t="s">
        <v>66</v>
      </c>
      <c r="K2792">
        <v>1</v>
      </c>
      <c r="L2792" s="84">
        <v>27298</v>
      </c>
      <c r="M2792" s="84">
        <v>81894</v>
      </c>
    </row>
    <row r="2793" spans="3:13" hidden="1" x14ac:dyDescent="0.25">
      <c r="C2793" t="s">
        <v>119</v>
      </c>
      <c r="D2793" t="s">
        <v>120</v>
      </c>
      <c r="E2793" t="s">
        <v>63</v>
      </c>
      <c r="F2793" t="s">
        <v>25</v>
      </c>
      <c r="G2793">
        <v>4</v>
      </c>
      <c r="H2793" t="s">
        <v>12</v>
      </c>
      <c r="I2793" t="s">
        <v>121</v>
      </c>
      <c r="J2793" t="s">
        <v>122</v>
      </c>
      <c r="K2793">
        <v>0</v>
      </c>
      <c r="L2793" s="84">
        <v>46042</v>
      </c>
      <c r="M2793" s="84">
        <v>184168</v>
      </c>
    </row>
    <row r="2794" spans="3:13" hidden="1" x14ac:dyDescent="0.25">
      <c r="C2794" t="s">
        <v>119</v>
      </c>
      <c r="D2794" t="s">
        <v>126</v>
      </c>
      <c r="E2794" t="s">
        <v>60</v>
      </c>
      <c r="F2794" t="s">
        <v>24</v>
      </c>
      <c r="G2794">
        <v>3</v>
      </c>
      <c r="H2794" t="s">
        <v>68</v>
      </c>
      <c r="I2794" t="s">
        <v>121</v>
      </c>
      <c r="J2794" t="s">
        <v>122</v>
      </c>
      <c r="K2794">
        <v>0</v>
      </c>
      <c r="L2794" s="84">
        <v>-17122</v>
      </c>
      <c r="M2794" s="84">
        <v>0</v>
      </c>
    </row>
    <row r="2795" spans="3:13" hidden="1" x14ac:dyDescent="0.25">
      <c r="C2795" t="s">
        <v>64</v>
      </c>
      <c r="D2795" t="s">
        <v>120</v>
      </c>
      <c r="E2795" t="s">
        <v>60</v>
      </c>
      <c r="F2795" t="s">
        <v>124</v>
      </c>
      <c r="G2795">
        <v>1</v>
      </c>
      <c r="H2795" t="s">
        <v>75</v>
      </c>
      <c r="I2795" t="s">
        <v>62</v>
      </c>
      <c r="J2795" t="s">
        <v>122</v>
      </c>
      <c r="K2795">
        <v>1</v>
      </c>
      <c r="L2795" s="84">
        <v>-43</v>
      </c>
      <c r="M2795" s="84">
        <v>0</v>
      </c>
    </row>
    <row r="2796" spans="3:13" hidden="1" x14ac:dyDescent="0.25">
      <c r="C2796" t="s">
        <v>119</v>
      </c>
      <c r="D2796" t="s">
        <v>120</v>
      </c>
      <c r="E2796" t="s">
        <v>63</v>
      </c>
      <c r="F2796" t="s">
        <v>124</v>
      </c>
      <c r="G2796">
        <v>8</v>
      </c>
      <c r="H2796" t="s">
        <v>14</v>
      </c>
      <c r="I2796" t="s">
        <v>121</v>
      </c>
      <c r="J2796" t="s">
        <v>66</v>
      </c>
      <c r="K2796">
        <v>1</v>
      </c>
      <c r="L2796" s="84">
        <v>615738</v>
      </c>
      <c r="M2796" s="84">
        <v>4925904</v>
      </c>
    </row>
    <row r="2797" spans="3:13" hidden="1" x14ac:dyDescent="0.25">
      <c r="D2797" t="s">
        <v>120</v>
      </c>
      <c r="E2797" t="s">
        <v>63</v>
      </c>
      <c r="G2797">
        <v>-3</v>
      </c>
      <c r="H2797" t="s">
        <v>74</v>
      </c>
      <c r="I2797" t="s">
        <v>121</v>
      </c>
      <c r="J2797" t="s">
        <v>122</v>
      </c>
      <c r="K2797">
        <v>0</v>
      </c>
      <c r="L2797" s="84">
        <v>0</v>
      </c>
      <c r="M2797" s="84">
        <v>0</v>
      </c>
    </row>
    <row r="2798" spans="3:13" hidden="1" x14ac:dyDescent="0.25">
      <c r="C2798" t="s">
        <v>65</v>
      </c>
      <c r="D2798" t="s">
        <v>120</v>
      </c>
      <c r="E2798" t="s">
        <v>60</v>
      </c>
      <c r="F2798" t="s">
        <v>124</v>
      </c>
      <c r="G2798">
        <v>0</v>
      </c>
      <c r="H2798" t="s">
        <v>76</v>
      </c>
      <c r="I2798" t="s">
        <v>121</v>
      </c>
      <c r="J2798" t="s">
        <v>122</v>
      </c>
      <c r="K2798">
        <v>0</v>
      </c>
      <c r="L2798" s="84">
        <v>-74239</v>
      </c>
      <c r="M2798" s="84">
        <v>0</v>
      </c>
    </row>
    <row r="2799" spans="3:13" hidden="1" x14ac:dyDescent="0.25">
      <c r="C2799" t="s">
        <v>119</v>
      </c>
      <c r="D2799" t="s">
        <v>126</v>
      </c>
      <c r="E2799" t="s">
        <v>60</v>
      </c>
      <c r="F2799" t="s">
        <v>24</v>
      </c>
      <c r="G2799">
        <v>13</v>
      </c>
      <c r="H2799" t="s">
        <v>68</v>
      </c>
      <c r="I2799" t="s">
        <v>121</v>
      </c>
      <c r="J2799" t="s">
        <v>122</v>
      </c>
      <c r="K2799">
        <v>0</v>
      </c>
      <c r="L2799" s="84">
        <v>-1589</v>
      </c>
      <c r="M2799" s="84">
        <v>0</v>
      </c>
    </row>
    <row r="2800" spans="3:13" hidden="1" x14ac:dyDescent="0.25">
      <c r="C2800" t="s">
        <v>119</v>
      </c>
      <c r="D2800" t="s">
        <v>125</v>
      </c>
      <c r="E2800" t="s">
        <v>63</v>
      </c>
      <c r="F2800" t="s">
        <v>24</v>
      </c>
      <c r="G2800">
        <v>7</v>
      </c>
      <c r="I2800" t="s">
        <v>121</v>
      </c>
      <c r="J2800" t="s">
        <v>122</v>
      </c>
      <c r="K2800">
        <v>0</v>
      </c>
      <c r="L2800" s="84">
        <v>176032976</v>
      </c>
      <c r="M2800" s="84">
        <v>1232230832</v>
      </c>
    </row>
    <row r="2801" spans="3:13" hidden="1" x14ac:dyDescent="0.25">
      <c r="C2801" t="s">
        <v>65</v>
      </c>
      <c r="D2801" t="s">
        <v>120</v>
      </c>
      <c r="E2801" t="s">
        <v>60</v>
      </c>
      <c r="F2801" t="s">
        <v>24</v>
      </c>
      <c r="G2801">
        <v>6</v>
      </c>
      <c r="H2801" t="s">
        <v>72</v>
      </c>
      <c r="I2801" t="s">
        <v>121</v>
      </c>
      <c r="J2801" t="s">
        <v>122</v>
      </c>
      <c r="K2801">
        <v>0</v>
      </c>
      <c r="L2801" s="84">
        <v>-66580</v>
      </c>
      <c r="M2801" s="84">
        <v>0</v>
      </c>
    </row>
    <row r="2802" spans="3:13" hidden="1" x14ac:dyDescent="0.25">
      <c r="C2802" t="s">
        <v>119</v>
      </c>
      <c r="D2802" t="s">
        <v>120</v>
      </c>
      <c r="E2802" t="s">
        <v>63</v>
      </c>
      <c r="F2802" t="s">
        <v>24</v>
      </c>
      <c r="G2802">
        <v>12</v>
      </c>
      <c r="H2802" t="s">
        <v>72</v>
      </c>
      <c r="I2802" t="s">
        <v>121</v>
      </c>
      <c r="J2802" t="s">
        <v>122</v>
      </c>
      <c r="K2802">
        <v>0</v>
      </c>
      <c r="L2802" s="84">
        <v>5111067</v>
      </c>
      <c r="M2802" s="84">
        <v>61332804</v>
      </c>
    </row>
    <row r="2803" spans="3:13" hidden="1" x14ac:dyDescent="0.25">
      <c r="C2803" t="s">
        <v>119</v>
      </c>
      <c r="D2803" t="s">
        <v>120</v>
      </c>
      <c r="E2803" t="s">
        <v>60</v>
      </c>
      <c r="F2803" t="s">
        <v>124</v>
      </c>
      <c r="G2803">
        <v>8</v>
      </c>
      <c r="H2803" t="s">
        <v>14</v>
      </c>
      <c r="I2803" t="s">
        <v>121</v>
      </c>
      <c r="J2803" t="s">
        <v>122</v>
      </c>
      <c r="K2803">
        <v>0</v>
      </c>
      <c r="L2803" s="84">
        <v>-9533</v>
      </c>
      <c r="M2803" s="84">
        <v>0</v>
      </c>
    </row>
    <row r="2804" spans="3:13" hidden="1" x14ac:dyDescent="0.25">
      <c r="C2804" t="s">
        <v>64</v>
      </c>
      <c r="D2804" t="s">
        <v>120</v>
      </c>
      <c r="E2804" t="s">
        <v>60</v>
      </c>
      <c r="F2804" t="s">
        <v>24</v>
      </c>
      <c r="G2804">
        <v>0</v>
      </c>
      <c r="H2804" t="s">
        <v>70</v>
      </c>
      <c r="I2804" t="s">
        <v>121</v>
      </c>
      <c r="J2804" t="s">
        <v>122</v>
      </c>
      <c r="K2804">
        <v>0</v>
      </c>
      <c r="L2804" s="84">
        <v>-32</v>
      </c>
      <c r="M2804" s="84">
        <v>0</v>
      </c>
    </row>
    <row r="2805" spans="3:13" hidden="1" x14ac:dyDescent="0.25">
      <c r="C2805" t="s">
        <v>65</v>
      </c>
      <c r="D2805" t="s">
        <v>120</v>
      </c>
      <c r="E2805" t="s">
        <v>60</v>
      </c>
      <c r="F2805" t="s">
        <v>124</v>
      </c>
      <c r="G2805">
        <v>14</v>
      </c>
      <c r="H2805" t="s">
        <v>18</v>
      </c>
      <c r="I2805" t="s">
        <v>121</v>
      </c>
      <c r="J2805" t="s">
        <v>122</v>
      </c>
      <c r="K2805">
        <v>0</v>
      </c>
      <c r="L2805" s="84">
        <v>-36334</v>
      </c>
      <c r="M2805" s="84">
        <v>0</v>
      </c>
    </row>
    <row r="2806" spans="3:13" hidden="1" x14ac:dyDescent="0.25">
      <c r="C2806" t="s">
        <v>65</v>
      </c>
      <c r="D2806" t="s">
        <v>120</v>
      </c>
      <c r="E2806" t="s">
        <v>60</v>
      </c>
      <c r="F2806" t="s">
        <v>124</v>
      </c>
      <c r="G2806">
        <v>-1</v>
      </c>
      <c r="H2806" t="s">
        <v>73</v>
      </c>
      <c r="I2806" t="s">
        <v>121</v>
      </c>
      <c r="J2806" t="s">
        <v>122</v>
      </c>
      <c r="K2806">
        <v>0</v>
      </c>
      <c r="L2806" s="84">
        <v>-407931</v>
      </c>
      <c r="M2806" s="84">
        <v>0</v>
      </c>
    </row>
    <row r="2807" spans="3:13" hidden="1" x14ac:dyDescent="0.25">
      <c r="C2807" t="s">
        <v>64</v>
      </c>
      <c r="D2807" t="s">
        <v>125</v>
      </c>
      <c r="E2807" t="s">
        <v>63</v>
      </c>
      <c r="F2807" t="s">
        <v>24</v>
      </c>
      <c r="G2807">
        <v>35</v>
      </c>
      <c r="I2807" t="s">
        <v>121</v>
      </c>
      <c r="J2807" t="s">
        <v>122</v>
      </c>
      <c r="K2807">
        <v>0</v>
      </c>
      <c r="L2807" s="84">
        <v>59016461</v>
      </c>
      <c r="M2807" s="84">
        <v>2065576135</v>
      </c>
    </row>
    <row r="2808" spans="3:13" hidden="1" x14ac:dyDescent="0.25">
      <c r="C2808" t="s">
        <v>119</v>
      </c>
      <c r="D2808" t="s">
        <v>120</v>
      </c>
      <c r="E2808" t="s">
        <v>60</v>
      </c>
      <c r="F2808" t="s">
        <v>25</v>
      </c>
      <c r="G2808">
        <v>2</v>
      </c>
      <c r="H2808" t="s">
        <v>68</v>
      </c>
      <c r="I2808" t="s">
        <v>121</v>
      </c>
      <c r="J2808" t="s">
        <v>122</v>
      </c>
      <c r="K2808">
        <v>0</v>
      </c>
      <c r="L2808" s="84">
        <v>-24199</v>
      </c>
      <c r="M2808" s="84">
        <v>0</v>
      </c>
    </row>
    <row r="2809" spans="3:13" hidden="1" x14ac:dyDescent="0.25">
      <c r="C2809" t="s">
        <v>119</v>
      </c>
      <c r="D2809" t="s">
        <v>125</v>
      </c>
      <c r="E2809" t="s">
        <v>60</v>
      </c>
      <c r="F2809" t="s">
        <v>24</v>
      </c>
      <c r="G2809">
        <v>25</v>
      </c>
      <c r="I2809" t="s">
        <v>121</v>
      </c>
      <c r="J2809" t="s">
        <v>122</v>
      </c>
      <c r="K2809">
        <v>0</v>
      </c>
      <c r="L2809" s="84">
        <v>-338443</v>
      </c>
      <c r="M2809" s="84">
        <v>0</v>
      </c>
    </row>
    <row r="2810" spans="3:13" hidden="1" x14ac:dyDescent="0.25">
      <c r="C2810" t="s">
        <v>64</v>
      </c>
      <c r="D2810" t="s">
        <v>120</v>
      </c>
      <c r="E2810" t="s">
        <v>63</v>
      </c>
      <c r="F2810" t="s">
        <v>124</v>
      </c>
      <c r="G2810">
        <v>2</v>
      </c>
      <c r="H2810" t="s">
        <v>61</v>
      </c>
      <c r="I2810" t="s">
        <v>121</v>
      </c>
      <c r="J2810" t="s">
        <v>122</v>
      </c>
      <c r="K2810">
        <v>0</v>
      </c>
      <c r="L2810" s="84">
        <v>2915627</v>
      </c>
      <c r="M2810" s="84">
        <v>5831254</v>
      </c>
    </row>
    <row r="2811" spans="3:13" hidden="1" x14ac:dyDescent="0.25">
      <c r="C2811" t="s">
        <v>65</v>
      </c>
      <c r="D2811" t="s">
        <v>120</v>
      </c>
      <c r="E2811" t="s">
        <v>63</v>
      </c>
      <c r="F2811" t="s">
        <v>123</v>
      </c>
      <c r="G2811">
        <v>5</v>
      </c>
      <c r="H2811" t="s">
        <v>14</v>
      </c>
      <c r="I2811" t="s">
        <v>121</v>
      </c>
      <c r="J2811" t="s">
        <v>66</v>
      </c>
      <c r="K2811">
        <v>1</v>
      </c>
      <c r="L2811" s="84">
        <v>110981</v>
      </c>
      <c r="M2811" s="84">
        <v>554905</v>
      </c>
    </row>
    <row r="2812" spans="3:13" hidden="1" x14ac:dyDescent="0.25">
      <c r="C2812" t="s">
        <v>119</v>
      </c>
      <c r="D2812" t="s">
        <v>120</v>
      </c>
      <c r="E2812" t="s">
        <v>63</v>
      </c>
      <c r="F2812" t="s">
        <v>24</v>
      </c>
      <c r="G2812">
        <v>20</v>
      </c>
      <c r="H2812" t="s">
        <v>18</v>
      </c>
      <c r="I2812" t="s">
        <v>121</v>
      </c>
      <c r="J2812" t="s">
        <v>122</v>
      </c>
      <c r="K2812">
        <v>0</v>
      </c>
      <c r="L2812" s="84">
        <v>151091</v>
      </c>
      <c r="M2812" s="84">
        <v>3021820</v>
      </c>
    </row>
    <row r="2813" spans="3:13" hidden="1" x14ac:dyDescent="0.25">
      <c r="C2813" t="s">
        <v>65</v>
      </c>
      <c r="D2813" t="s">
        <v>120</v>
      </c>
      <c r="E2813" t="s">
        <v>63</v>
      </c>
      <c r="F2813" t="s">
        <v>24</v>
      </c>
      <c r="G2813">
        <v>19</v>
      </c>
      <c r="H2813" t="s">
        <v>61</v>
      </c>
      <c r="I2813" t="s">
        <v>121</v>
      </c>
      <c r="J2813" t="s">
        <v>122</v>
      </c>
      <c r="K2813">
        <v>0</v>
      </c>
      <c r="L2813" s="84">
        <v>129452</v>
      </c>
      <c r="M2813" s="84">
        <v>2459588</v>
      </c>
    </row>
    <row r="2814" spans="3:13" hidden="1" x14ac:dyDescent="0.25">
      <c r="C2814" t="s">
        <v>65</v>
      </c>
      <c r="D2814" t="s">
        <v>120</v>
      </c>
      <c r="E2814" t="s">
        <v>63</v>
      </c>
      <c r="F2814" t="s">
        <v>123</v>
      </c>
      <c r="G2814">
        <v>4</v>
      </c>
      <c r="H2814" t="s">
        <v>70</v>
      </c>
      <c r="I2814" t="s">
        <v>121</v>
      </c>
      <c r="J2814" t="s">
        <v>122</v>
      </c>
      <c r="K2814">
        <v>0</v>
      </c>
      <c r="L2814" s="84">
        <v>9083</v>
      </c>
      <c r="M2814" s="84">
        <v>36332</v>
      </c>
    </row>
    <row r="2815" spans="3:13" hidden="1" x14ac:dyDescent="0.25">
      <c r="C2815" t="s">
        <v>119</v>
      </c>
      <c r="D2815" t="s">
        <v>120</v>
      </c>
      <c r="E2815" t="s">
        <v>63</v>
      </c>
      <c r="F2815" t="s">
        <v>25</v>
      </c>
      <c r="G2815">
        <v>11</v>
      </c>
      <c r="H2815" t="s">
        <v>75</v>
      </c>
      <c r="I2815" t="s">
        <v>121</v>
      </c>
      <c r="J2815" t="s">
        <v>122</v>
      </c>
      <c r="K2815">
        <v>0</v>
      </c>
      <c r="L2815" s="84">
        <v>845721</v>
      </c>
      <c r="M2815" s="84">
        <v>9302931</v>
      </c>
    </row>
    <row r="2816" spans="3:13" hidden="1" x14ac:dyDescent="0.25">
      <c r="C2816" t="s">
        <v>65</v>
      </c>
      <c r="D2816" t="s">
        <v>120</v>
      </c>
      <c r="E2816" t="s">
        <v>60</v>
      </c>
      <c r="F2816" t="s">
        <v>124</v>
      </c>
      <c r="G2816">
        <v>-4</v>
      </c>
      <c r="H2816" t="s">
        <v>71</v>
      </c>
      <c r="I2816" t="s">
        <v>121</v>
      </c>
      <c r="J2816" t="s">
        <v>122</v>
      </c>
      <c r="K2816">
        <v>0</v>
      </c>
      <c r="L2816" s="84">
        <v>-50173</v>
      </c>
      <c r="M2816" s="84">
        <v>0</v>
      </c>
    </row>
    <row r="2817" spans="3:13" hidden="1" x14ac:dyDescent="0.25">
      <c r="C2817" t="s">
        <v>64</v>
      </c>
      <c r="D2817" t="s">
        <v>120</v>
      </c>
      <c r="E2817" t="s">
        <v>60</v>
      </c>
      <c r="F2817" t="s">
        <v>123</v>
      </c>
      <c r="G2817">
        <v>5</v>
      </c>
      <c r="H2817" t="s">
        <v>14</v>
      </c>
      <c r="I2817" t="s">
        <v>121</v>
      </c>
      <c r="J2817" t="s">
        <v>66</v>
      </c>
      <c r="K2817">
        <v>1</v>
      </c>
      <c r="L2817" s="84">
        <v>-13956</v>
      </c>
      <c r="M2817" s="84">
        <v>0</v>
      </c>
    </row>
    <row r="2818" spans="3:13" hidden="1" x14ac:dyDescent="0.25">
      <c r="C2818" t="s">
        <v>64</v>
      </c>
      <c r="D2818" t="s">
        <v>120</v>
      </c>
      <c r="E2818" t="s">
        <v>60</v>
      </c>
      <c r="F2818" t="s">
        <v>25</v>
      </c>
      <c r="G2818">
        <v>5</v>
      </c>
      <c r="H2818" t="s">
        <v>18</v>
      </c>
      <c r="I2818" t="s">
        <v>121</v>
      </c>
      <c r="J2818" t="s">
        <v>122</v>
      </c>
      <c r="K2818">
        <v>0</v>
      </c>
      <c r="L2818" s="84">
        <v>-75618</v>
      </c>
      <c r="M2818" s="84">
        <v>0</v>
      </c>
    </row>
    <row r="2819" spans="3:13" hidden="1" x14ac:dyDescent="0.25">
      <c r="C2819" t="s">
        <v>65</v>
      </c>
      <c r="D2819" t="s">
        <v>120</v>
      </c>
      <c r="E2819" t="s">
        <v>60</v>
      </c>
      <c r="F2819" t="s">
        <v>124</v>
      </c>
      <c r="G2819">
        <v>2</v>
      </c>
      <c r="H2819" t="s">
        <v>69</v>
      </c>
      <c r="I2819" t="s">
        <v>121</v>
      </c>
      <c r="J2819" t="s">
        <v>122</v>
      </c>
      <c r="K2819">
        <v>0</v>
      </c>
      <c r="L2819" s="84">
        <v>-596421</v>
      </c>
      <c r="M2819" s="84">
        <v>0</v>
      </c>
    </row>
    <row r="2820" spans="3:13" hidden="1" x14ac:dyDescent="0.25">
      <c r="C2820" t="s">
        <v>65</v>
      </c>
      <c r="D2820" t="s">
        <v>125</v>
      </c>
      <c r="E2820" t="s">
        <v>63</v>
      </c>
      <c r="F2820" t="s">
        <v>24</v>
      </c>
      <c r="G2820">
        <v>3</v>
      </c>
      <c r="I2820" t="s">
        <v>121</v>
      </c>
      <c r="J2820" t="s">
        <v>122</v>
      </c>
      <c r="K2820">
        <v>0</v>
      </c>
      <c r="L2820" s="84">
        <v>987452</v>
      </c>
      <c r="M2820" s="84">
        <v>2962356</v>
      </c>
    </row>
    <row r="2821" spans="3:13" hidden="1" x14ac:dyDescent="0.25">
      <c r="C2821" t="s">
        <v>119</v>
      </c>
      <c r="D2821" t="s">
        <v>120</v>
      </c>
      <c r="E2821" t="s">
        <v>63</v>
      </c>
      <c r="F2821" t="s">
        <v>124</v>
      </c>
      <c r="G2821">
        <v>8</v>
      </c>
      <c r="H2821" t="s">
        <v>12</v>
      </c>
      <c r="I2821" t="s">
        <v>121</v>
      </c>
      <c r="J2821" t="s">
        <v>66</v>
      </c>
      <c r="K2821">
        <v>1</v>
      </c>
      <c r="L2821" s="84">
        <v>2091928</v>
      </c>
      <c r="M2821" s="84">
        <v>16735424</v>
      </c>
    </row>
    <row r="2822" spans="3:13" hidden="1" x14ac:dyDescent="0.25">
      <c r="C2822" t="s">
        <v>119</v>
      </c>
      <c r="D2822" t="s">
        <v>125</v>
      </c>
      <c r="E2822" t="s">
        <v>60</v>
      </c>
      <c r="F2822" t="s">
        <v>24</v>
      </c>
      <c r="G2822">
        <v>17</v>
      </c>
      <c r="I2822" t="s">
        <v>121</v>
      </c>
      <c r="J2822" t="s">
        <v>122</v>
      </c>
      <c r="K2822">
        <v>0</v>
      </c>
      <c r="L2822" s="84">
        <v>-157480</v>
      </c>
      <c r="M2822" s="84">
        <v>0</v>
      </c>
    </row>
    <row r="2823" spans="3:13" hidden="1" x14ac:dyDescent="0.25">
      <c r="C2823" t="s">
        <v>119</v>
      </c>
      <c r="D2823" t="s">
        <v>126</v>
      </c>
      <c r="E2823" t="s">
        <v>63</v>
      </c>
      <c r="F2823" t="s">
        <v>25</v>
      </c>
      <c r="G2823">
        <v>1</v>
      </c>
      <c r="H2823" t="s">
        <v>69</v>
      </c>
      <c r="I2823" t="s">
        <v>121</v>
      </c>
      <c r="J2823" t="s">
        <v>122</v>
      </c>
      <c r="K2823">
        <v>0</v>
      </c>
      <c r="L2823" s="84">
        <v>18995966</v>
      </c>
      <c r="M2823" s="84">
        <v>18995966</v>
      </c>
    </row>
    <row r="2824" spans="3:13" hidden="1" x14ac:dyDescent="0.25">
      <c r="C2824" t="s">
        <v>64</v>
      </c>
      <c r="D2824" t="s">
        <v>120</v>
      </c>
      <c r="E2824" t="s">
        <v>63</v>
      </c>
      <c r="F2824" t="s">
        <v>25</v>
      </c>
      <c r="G2824">
        <v>13</v>
      </c>
      <c r="H2824" t="s">
        <v>67</v>
      </c>
      <c r="I2824" t="s">
        <v>121</v>
      </c>
      <c r="J2824" t="s">
        <v>122</v>
      </c>
      <c r="K2824">
        <v>0</v>
      </c>
      <c r="L2824" s="84">
        <v>149648</v>
      </c>
      <c r="M2824" s="84">
        <v>1945424</v>
      </c>
    </row>
    <row r="2825" spans="3:13" hidden="1" x14ac:dyDescent="0.25">
      <c r="C2825" t="s">
        <v>119</v>
      </c>
      <c r="D2825" t="s">
        <v>120</v>
      </c>
      <c r="E2825" t="s">
        <v>63</v>
      </c>
      <c r="F2825" t="s">
        <v>24</v>
      </c>
      <c r="G2825">
        <v>6</v>
      </c>
      <c r="H2825" t="s">
        <v>17</v>
      </c>
      <c r="I2825" t="s">
        <v>121</v>
      </c>
      <c r="J2825" t="s">
        <v>122</v>
      </c>
      <c r="K2825">
        <v>0</v>
      </c>
      <c r="L2825" s="84">
        <v>301530</v>
      </c>
      <c r="M2825" s="84">
        <v>1809180</v>
      </c>
    </row>
    <row r="2826" spans="3:13" hidden="1" x14ac:dyDescent="0.25">
      <c r="C2826" t="s">
        <v>64</v>
      </c>
      <c r="D2826" t="s">
        <v>125</v>
      </c>
      <c r="E2826" t="s">
        <v>60</v>
      </c>
      <c r="F2826" t="s">
        <v>24</v>
      </c>
      <c r="G2826">
        <v>25</v>
      </c>
      <c r="I2826" t="s">
        <v>121</v>
      </c>
      <c r="J2826" t="s">
        <v>122</v>
      </c>
      <c r="K2826">
        <v>0</v>
      </c>
      <c r="L2826" s="84">
        <v>-1204532</v>
      </c>
      <c r="M2826" s="84">
        <v>0</v>
      </c>
    </row>
    <row r="2827" spans="3:13" hidden="1" x14ac:dyDescent="0.25">
      <c r="C2827" t="s">
        <v>119</v>
      </c>
      <c r="D2827" t="s">
        <v>120</v>
      </c>
      <c r="E2827" t="s">
        <v>63</v>
      </c>
      <c r="F2827" t="s">
        <v>123</v>
      </c>
      <c r="G2827">
        <v>2</v>
      </c>
      <c r="H2827" t="s">
        <v>61</v>
      </c>
      <c r="I2827" t="s">
        <v>121</v>
      </c>
      <c r="J2827" t="s">
        <v>122</v>
      </c>
      <c r="K2827">
        <v>0</v>
      </c>
      <c r="L2827" s="84">
        <v>14176341</v>
      </c>
      <c r="M2827" s="84">
        <v>28352682</v>
      </c>
    </row>
    <row r="2828" spans="3:13" hidden="1" x14ac:dyDescent="0.25">
      <c r="C2828" t="s">
        <v>64</v>
      </c>
      <c r="D2828" t="s">
        <v>120</v>
      </c>
      <c r="E2828" t="s">
        <v>63</v>
      </c>
      <c r="F2828" t="s">
        <v>25</v>
      </c>
      <c r="G2828">
        <v>10</v>
      </c>
      <c r="H2828" t="s">
        <v>18</v>
      </c>
      <c r="I2828" t="s">
        <v>121</v>
      </c>
      <c r="J2828" t="s">
        <v>122</v>
      </c>
      <c r="K2828">
        <v>0</v>
      </c>
      <c r="L2828" s="84">
        <v>1594346</v>
      </c>
      <c r="M2828" s="84">
        <v>15943460</v>
      </c>
    </row>
    <row r="2829" spans="3:13" hidden="1" x14ac:dyDescent="0.25">
      <c r="C2829" t="s">
        <v>64</v>
      </c>
      <c r="D2829" t="s">
        <v>120</v>
      </c>
      <c r="E2829" t="s">
        <v>63</v>
      </c>
      <c r="F2829" t="s">
        <v>124</v>
      </c>
      <c r="G2829">
        <v>0</v>
      </c>
      <c r="H2829" t="s">
        <v>72</v>
      </c>
      <c r="I2829" t="s">
        <v>121</v>
      </c>
      <c r="J2829" t="s">
        <v>122</v>
      </c>
      <c r="K2829">
        <v>0</v>
      </c>
      <c r="L2829" s="84">
        <v>71567</v>
      </c>
      <c r="M2829" s="84">
        <v>0</v>
      </c>
    </row>
    <row r="2830" spans="3:13" hidden="1" x14ac:dyDescent="0.25">
      <c r="C2830" t="s">
        <v>119</v>
      </c>
      <c r="D2830" t="s">
        <v>120</v>
      </c>
      <c r="E2830" t="s">
        <v>60</v>
      </c>
      <c r="F2830" t="s">
        <v>24</v>
      </c>
      <c r="G2830">
        <v>4</v>
      </c>
      <c r="H2830" t="s">
        <v>72</v>
      </c>
      <c r="I2830" t="s">
        <v>121</v>
      </c>
      <c r="J2830" t="s">
        <v>122</v>
      </c>
      <c r="K2830">
        <v>0</v>
      </c>
      <c r="L2830" s="84">
        <v>-1776</v>
      </c>
      <c r="M2830" s="84">
        <v>0</v>
      </c>
    </row>
    <row r="2831" spans="3:13" hidden="1" x14ac:dyDescent="0.25">
      <c r="C2831" t="s">
        <v>119</v>
      </c>
      <c r="D2831" t="s">
        <v>120</v>
      </c>
      <c r="E2831" t="s">
        <v>63</v>
      </c>
      <c r="F2831" t="s">
        <v>25</v>
      </c>
      <c r="G2831">
        <v>11</v>
      </c>
      <c r="H2831" t="s">
        <v>70</v>
      </c>
      <c r="I2831" t="s">
        <v>121</v>
      </c>
      <c r="J2831" t="s">
        <v>122</v>
      </c>
      <c r="K2831">
        <v>0</v>
      </c>
      <c r="L2831" s="84">
        <v>212232</v>
      </c>
      <c r="M2831" s="84">
        <v>2334552</v>
      </c>
    </row>
    <row r="2832" spans="3:13" hidden="1" x14ac:dyDescent="0.25">
      <c r="C2832" t="s">
        <v>65</v>
      </c>
      <c r="D2832" t="s">
        <v>120</v>
      </c>
      <c r="E2832" t="s">
        <v>63</v>
      </c>
      <c r="F2832" t="s">
        <v>24</v>
      </c>
      <c r="G2832">
        <v>5</v>
      </c>
      <c r="H2832" t="s">
        <v>12</v>
      </c>
      <c r="I2832" t="s">
        <v>121</v>
      </c>
      <c r="J2832" t="s">
        <v>66</v>
      </c>
      <c r="K2832">
        <v>1</v>
      </c>
      <c r="L2832" s="84">
        <v>417664</v>
      </c>
      <c r="M2832" s="84">
        <v>2088320</v>
      </c>
    </row>
    <row r="2833" spans="3:13" hidden="1" x14ac:dyDescent="0.25">
      <c r="C2833" t="s">
        <v>119</v>
      </c>
      <c r="D2833" t="s">
        <v>120</v>
      </c>
      <c r="E2833" t="s">
        <v>63</v>
      </c>
      <c r="F2833" t="s">
        <v>25</v>
      </c>
      <c r="G2833">
        <v>17</v>
      </c>
      <c r="H2833" t="s">
        <v>69</v>
      </c>
      <c r="I2833" t="s">
        <v>121</v>
      </c>
      <c r="J2833" t="s">
        <v>122</v>
      </c>
      <c r="K2833">
        <v>0</v>
      </c>
      <c r="L2833" s="84">
        <v>1485227</v>
      </c>
      <c r="M2833" s="84">
        <v>25248859</v>
      </c>
    </row>
    <row r="2834" spans="3:13" hidden="1" x14ac:dyDescent="0.25">
      <c r="C2834" t="s">
        <v>64</v>
      </c>
      <c r="D2834" t="s">
        <v>120</v>
      </c>
      <c r="E2834" t="s">
        <v>63</v>
      </c>
      <c r="F2834" t="s">
        <v>124</v>
      </c>
      <c r="G2834">
        <v>2</v>
      </c>
      <c r="H2834" t="s">
        <v>68</v>
      </c>
      <c r="I2834" t="s">
        <v>121</v>
      </c>
      <c r="J2834" t="s">
        <v>122</v>
      </c>
      <c r="K2834">
        <v>0</v>
      </c>
      <c r="L2834" s="84">
        <v>1972946</v>
      </c>
      <c r="M2834" s="84">
        <v>3945892</v>
      </c>
    </row>
    <row r="2835" spans="3:13" hidden="1" x14ac:dyDescent="0.25">
      <c r="C2835" t="s">
        <v>64</v>
      </c>
      <c r="D2835" t="s">
        <v>120</v>
      </c>
      <c r="E2835" t="s">
        <v>60</v>
      </c>
      <c r="F2835" t="s">
        <v>124</v>
      </c>
      <c r="G2835">
        <v>5</v>
      </c>
      <c r="H2835" t="s">
        <v>18</v>
      </c>
      <c r="I2835" t="s">
        <v>121</v>
      </c>
      <c r="J2835" t="s">
        <v>122</v>
      </c>
      <c r="K2835">
        <v>0</v>
      </c>
      <c r="L2835" s="84">
        <v>-433190</v>
      </c>
      <c r="M2835" s="84">
        <v>0</v>
      </c>
    </row>
    <row r="2836" spans="3:13" hidden="1" x14ac:dyDescent="0.25">
      <c r="C2836" t="s">
        <v>65</v>
      </c>
      <c r="D2836" t="s">
        <v>120</v>
      </c>
      <c r="E2836" t="s">
        <v>60</v>
      </c>
      <c r="F2836" t="s">
        <v>124</v>
      </c>
      <c r="G2836">
        <v>-1</v>
      </c>
      <c r="H2836" t="s">
        <v>72</v>
      </c>
      <c r="I2836" t="s">
        <v>121</v>
      </c>
      <c r="J2836" t="s">
        <v>122</v>
      </c>
      <c r="K2836">
        <v>0</v>
      </c>
      <c r="L2836" s="84">
        <v>-675769</v>
      </c>
      <c r="M2836" s="84">
        <v>0</v>
      </c>
    </row>
    <row r="2837" spans="3:13" hidden="1" x14ac:dyDescent="0.25">
      <c r="C2837" t="s">
        <v>119</v>
      </c>
      <c r="D2837" t="s">
        <v>120</v>
      </c>
      <c r="E2837" t="s">
        <v>63</v>
      </c>
      <c r="F2837" t="s">
        <v>123</v>
      </c>
      <c r="G2837">
        <v>1</v>
      </c>
      <c r="H2837" t="s">
        <v>15</v>
      </c>
      <c r="I2837" t="s">
        <v>121</v>
      </c>
      <c r="J2837" t="s">
        <v>66</v>
      </c>
      <c r="K2837">
        <v>1</v>
      </c>
      <c r="L2837" s="84">
        <v>101621</v>
      </c>
      <c r="M2837" s="84">
        <v>101621</v>
      </c>
    </row>
    <row r="2838" spans="3:13" hidden="1" x14ac:dyDescent="0.25">
      <c r="C2838" t="s">
        <v>64</v>
      </c>
      <c r="D2838" t="s">
        <v>120</v>
      </c>
      <c r="E2838" t="s">
        <v>63</v>
      </c>
      <c r="F2838" t="s">
        <v>124</v>
      </c>
      <c r="G2838">
        <v>1</v>
      </c>
      <c r="H2838" t="s">
        <v>18</v>
      </c>
      <c r="I2838" t="s">
        <v>121</v>
      </c>
      <c r="J2838" t="s">
        <v>66</v>
      </c>
      <c r="K2838">
        <v>1</v>
      </c>
      <c r="L2838" s="84">
        <v>1049676</v>
      </c>
      <c r="M2838" s="84">
        <v>1049676</v>
      </c>
    </row>
    <row r="2839" spans="3:13" hidden="1" x14ac:dyDescent="0.25">
      <c r="C2839" t="s">
        <v>119</v>
      </c>
      <c r="D2839" t="s">
        <v>120</v>
      </c>
      <c r="E2839" t="s">
        <v>63</v>
      </c>
      <c r="F2839" t="s">
        <v>124</v>
      </c>
      <c r="G2839">
        <v>2</v>
      </c>
      <c r="H2839" t="s">
        <v>12</v>
      </c>
      <c r="I2839" t="s">
        <v>121</v>
      </c>
      <c r="J2839" t="s">
        <v>66</v>
      </c>
      <c r="K2839">
        <v>1</v>
      </c>
      <c r="L2839" s="84">
        <v>7226273</v>
      </c>
      <c r="M2839" s="84">
        <v>14452546</v>
      </c>
    </row>
    <row r="2840" spans="3:13" hidden="1" x14ac:dyDescent="0.25">
      <c r="C2840" t="s">
        <v>64</v>
      </c>
      <c r="D2840" t="s">
        <v>120</v>
      </c>
      <c r="E2840" t="s">
        <v>60</v>
      </c>
      <c r="F2840" t="s">
        <v>124</v>
      </c>
      <c r="G2840">
        <v>-1</v>
      </c>
      <c r="H2840" t="s">
        <v>18</v>
      </c>
      <c r="I2840" t="s">
        <v>121</v>
      </c>
      <c r="J2840" t="s">
        <v>66</v>
      </c>
      <c r="K2840">
        <v>1</v>
      </c>
      <c r="L2840" s="84">
        <v>-271810</v>
      </c>
      <c r="M2840" s="84">
        <v>0</v>
      </c>
    </row>
    <row r="2841" spans="3:13" hidden="1" x14ac:dyDescent="0.25">
      <c r="C2841" t="s">
        <v>119</v>
      </c>
      <c r="D2841" t="s">
        <v>120</v>
      </c>
      <c r="E2841" t="s">
        <v>60</v>
      </c>
      <c r="F2841" t="s">
        <v>124</v>
      </c>
      <c r="G2841">
        <v>-1</v>
      </c>
      <c r="H2841" t="s">
        <v>73</v>
      </c>
      <c r="I2841" t="s">
        <v>121</v>
      </c>
      <c r="J2841" t="s">
        <v>122</v>
      </c>
      <c r="K2841">
        <v>0</v>
      </c>
      <c r="L2841" s="84">
        <v>-1437012</v>
      </c>
      <c r="M2841" s="84">
        <v>0</v>
      </c>
    </row>
    <row r="2842" spans="3:13" hidden="1" x14ac:dyDescent="0.25">
      <c r="C2842" t="s">
        <v>119</v>
      </c>
      <c r="D2842" t="s">
        <v>120</v>
      </c>
      <c r="E2842" t="s">
        <v>63</v>
      </c>
      <c r="F2842" t="s">
        <v>24</v>
      </c>
      <c r="G2842">
        <v>4</v>
      </c>
      <c r="H2842" t="s">
        <v>76</v>
      </c>
      <c r="I2842" t="s">
        <v>121</v>
      </c>
      <c r="J2842" t="s">
        <v>122</v>
      </c>
      <c r="K2842">
        <v>0</v>
      </c>
      <c r="L2842" s="84">
        <v>39962</v>
      </c>
      <c r="M2842" s="84">
        <v>159848</v>
      </c>
    </row>
    <row r="2843" spans="3:13" hidden="1" x14ac:dyDescent="0.25">
      <c r="C2843" t="s">
        <v>65</v>
      </c>
      <c r="D2843" t="s">
        <v>125</v>
      </c>
      <c r="E2843" t="s">
        <v>60</v>
      </c>
      <c r="F2843" t="s">
        <v>24</v>
      </c>
      <c r="G2843">
        <v>25</v>
      </c>
      <c r="I2843" t="s">
        <v>121</v>
      </c>
      <c r="J2843" t="s">
        <v>122</v>
      </c>
      <c r="K2843">
        <v>0</v>
      </c>
      <c r="L2843" s="84">
        <v>-2585689</v>
      </c>
      <c r="M2843" s="84">
        <v>0</v>
      </c>
    </row>
    <row r="2844" spans="3:13" hidden="1" x14ac:dyDescent="0.25">
      <c r="C2844" t="s">
        <v>119</v>
      </c>
      <c r="D2844" t="s">
        <v>120</v>
      </c>
      <c r="E2844" t="s">
        <v>63</v>
      </c>
      <c r="F2844" t="s">
        <v>124</v>
      </c>
      <c r="G2844">
        <v>2</v>
      </c>
      <c r="H2844" t="s">
        <v>17</v>
      </c>
      <c r="I2844" t="s">
        <v>62</v>
      </c>
      <c r="J2844" t="s">
        <v>122</v>
      </c>
      <c r="K2844">
        <v>1</v>
      </c>
      <c r="L2844" s="84">
        <v>57500</v>
      </c>
      <c r="M2844" s="84">
        <v>115000</v>
      </c>
    </row>
    <row r="2845" spans="3:13" hidden="1" x14ac:dyDescent="0.25">
      <c r="C2845" t="s">
        <v>64</v>
      </c>
      <c r="D2845" t="s">
        <v>120</v>
      </c>
      <c r="E2845" t="s">
        <v>60</v>
      </c>
      <c r="F2845" t="s">
        <v>124</v>
      </c>
      <c r="G2845">
        <v>0</v>
      </c>
      <c r="H2845" t="s">
        <v>17</v>
      </c>
      <c r="I2845" t="s">
        <v>121</v>
      </c>
      <c r="J2845" t="s">
        <v>66</v>
      </c>
      <c r="K2845">
        <v>1</v>
      </c>
      <c r="L2845" s="84">
        <v>-2585</v>
      </c>
      <c r="M2845" s="84">
        <v>0</v>
      </c>
    </row>
    <row r="2846" spans="3:13" hidden="1" x14ac:dyDescent="0.25">
      <c r="C2846" t="s">
        <v>64</v>
      </c>
      <c r="D2846" t="s">
        <v>120</v>
      </c>
      <c r="E2846" t="s">
        <v>63</v>
      </c>
      <c r="F2846" t="s">
        <v>123</v>
      </c>
      <c r="G2846">
        <v>1</v>
      </c>
      <c r="H2846" t="s">
        <v>73</v>
      </c>
      <c r="I2846" t="s">
        <v>121</v>
      </c>
      <c r="J2846" t="s">
        <v>122</v>
      </c>
      <c r="K2846">
        <v>0</v>
      </c>
      <c r="L2846" s="84">
        <v>39136</v>
      </c>
      <c r="M2846" s="84">
        <v>39136</v>
      </c>
    </row>
    <row r="2847" spans="3:13" x14ac:dyDescent="0.25">
      <c r="C2847" t="s">
        <v>119</v>
      </c>
      <c r="D2847" t="s">
        <v>120</v>
      </c>
      <c r="E2847" t="s">
        <v>63</v>
      </c>
      <c r="F2847" t="s">
        <v>25</v>
      </c>
      <c r="G2847">
        <v>4</v>
      </c>
      <c r="H2847" t="s">
        <v>14</v>
      </c>
      <c r="I2847" t="s">
        <v>121</v>
      </c>
      <c r="J2847" t="s">
        <v>66</v>
      </c>
      <c r="K2847">
        <v>1</v>
      </c>
      <c r="L2847" s="84">
        <v>892005</v>
      </c>
      <c r="M2847" s="84">
        <v>3568020</v>
      </c>
    </row>
    <row r="2848" spans="3:13" hidden="1" x14ac:dyDescent="0.25">
      <c r="C2848" t="s">
        <v>65</v>
      </c>
      <c r="D2848" t="s">
        <v>120</v>
      </c>
      <c r="E2848" t="s">
        <v>60</v>
      </c>
      <c r="F2848" t="s">
        <v>124</v>
      </c>
      <c r="G2848">
        <v>3</v>
      </c>
      <c r="H2848" t="s">
        <v>17</v>
      </c>
      <c r="I2848" t="s">
        <v>121</v>
      </c>
      <c r="J2848" t="s">
        <v>66</v>
      </c>
      <c r="K2848">
        <v>1</v>
      </c>
      <c r="L2848" s="84">
        <v>-254939</v>
      </c>
      <c r="M2848" s="84">
        <v>0</v>
      </c>
    </row>
    <row r="2849" spans="3:13" hidden="1" x14ac:dyDescent="0.25">
      <c r="C2849" t="s">
        <v>119</v>
      </c>
      <c r="D2849" t="s">
        <v>120</v>
      </c>
      <c r="E2849" t="s">
        <v>63</v>
      </c>
      <c r="F2849" t="s">
        <v>25</v>
      </c>
      <c r="G2849">
        <v>4</v>
      </c>
      <c r="H2849" t="s">
        <v>14</v>
      </c>
      <c r="I2849" t="s">
        <v>121</v>
      </c>
      <c r="J2849" t="s">
        <v>122</v>
      </c>
      <c r="K2849">
        <v>0</v>
      </c>
      <c r="L2849" s="84">
        <v>2630123</v>
      </c>
      <c r="M2849" s="84">
        <v>10520492</v>
      </c>
    </row>
    <row r="2850" spans="3:13" hidden="1" x14ac:dyDescent="0.25">
      <c r="C2850" t="s">
        <v>119</v>
      </c>
      <c r="D2850" t="s">
        <v>120</v>
      </c>
      <c r="E2850" t="s">
        <v>60</v>
      </c>
      <c r="F2850" t="s">
        <v>124</v>
      </c>
      <c r="G2850">
        <v>2</v>
      </c>
      <c r="H2850" t="s">
        <v>74</v>
      </c>
      <c r="I2850" t="s">
        <v>121</v>
      </c>
      <c r="J2850" t="s">
        <v>122</v>
      </c>
      <c r="K2850">
        <v>0</v>
      </c>
      <c r="L2850" s="84">
        <v>-1529</v>
      </c>
      <c r="M2850" s="84">
        <v>0</v>
      </c>
    </row>
    <row r="2851" spans="3:13" hidden="1" x14ac:dyDescent="0.25">
      <c r="C2851" t="s">
        <v>119</v>
      </c>
      <c r="D2851" t="s">
        <v>120</v>
      </c>
      <c r="E2851" t="s">
        <v>63</v>
      </c>
      <c r="F2851" t="s">
        <v>123</v>
      </c>
      <c r="G2851">
        <v>4</v>
      </c>
      <c r="H2851" t="s">
        <v>12</v>
      </c>
      <c r="I2851" t="s">
        <v>62</v>
      </c>
      <c r="J2851" t="s">
        <v>66</v>
      </c>
      <c r="K2851">
        <v>1</v>
      </c>
      <c r="L2851" s="84">
        <v>47590</v>
      </c>
      <c r="M2851" s="84">
        <v>190360</v>
      </c>
    </row>
    <row r="2852" spans="3:13" hidden="1" x14ac:dyDescent="0.25">
      <c r="C2852" t="s">
        <v>65</v>
      </c>
      <c r="D2852" t="s">
        <v>120</v>
      </c>
      <c r="E2852" t="s">
        <v>60</v>
      </c>
      <c r="F2852" t="s">
        <v>124</v>
      </c>
      <c r="G2852">
        <v>8</v>
      </c>
      <c r="H2852" t="s">
        <v>14</v>
      </c>
      <c r="I2852" t="s">
        <v>121</v>
      </c>
      <c r="J2852" t="s">
        <v>122</v>
      </c>
      <c r="K2852">
        <v>0</v>
      </c>
      <c r="L2852" s="84">
        <v>-1410355</v>
      </c>
      <c r="M2852" s="84">
        <v>0</v>
      </c>
    </row>
    <row r="2853" spans="3:13" hidden="1" x14ac:dyDescent="0.25">
      <c r="C2853" t="s">
        <v>64</v>
      </c>
      <c r="D2853" t="s">
        <v>120</v>
      </c>
      <c r="E2853" t="s">
        <v>60</v>
      </c>
      <c r="F2853" t="s">
        <v>124</v>
      </c>
      <c r="G2853">
        <v>6</v>
      </c>
      <c r="H2853" t="s">
        <v>12</v>
      </c>
      <c r="I2853" t="s">
        <v>121</v>
      </c>
      <c r="J2853" t="s">
        <v>122</v>
      </c>
      <c r="K2853">
        <v>0</v>
      </c>
      <c r="L2853" s="84">
        <v>-17337</v>
      </c>
      <c r="M2853" s="84">
        <v>0</v>
      </c>
    </row>
    <row r="2854" spans="3:13" hidden="1" x14ac:dyDescent="0.25">
      <c r="C2854" t="s">
        <v>65</v>
      </c>
      <c r="D2854" t="s">
        <v>120</v>
      </c>
      <c r="E2854" t="s">
        <v>63</v>
      </c>
      <c r="F2854" t="s">
        <v>24</v>
      </c>
      <c r="G2854">
        <v>-4</v>
      </c>
      <c r="H2854" t="s">
        <v>17</v>
      </c>
      <c r="I2854" t="s">
        <v>121</v>
      </c>
      <c r="J2854" t="s">
        <v>122</v>
      </c>
      <c r="K2854">
        <v>0</v>
      </c>
      <c r="L2854" s="84">
        <v>309996</v>
      </c>
      <c r="M2854" s="84">
        <v>0</v>
      </c>
    </row>
    <row r="2855" spans="3:13" hidden="1" x14ac:dyDescent="0.25">
      <c r="C2855" t="s">
        <v>119</v>
      </c>
      <c r="D2855" t="s">
        <v>120</v>
      </c>
      <c r="E2855" t="s">
        <v>60</v>
      </c>
      <c r="F2855" t="s">
        <v>25</v>
      </c>
      <c r="G2855">
        <v>9</v>
      </c>
      <c r="H2855" t="s">
        <v>14</v>
      </c>
      <c r="I2855" t="s">
        <v>121</v>
      </c>
      <c r="J2855" t="s">
        <v>66</v>
      </c>
      <c r="K2855">
        <v>1</v>
      </c>
      <c r="L2855" s="84">
        <v>-1945</v>
      </c>
      <c r="M2855" s="84">
        <v>0</v>
      </c>
    </row>
    <row r="2856" spans="3:13" hidden="1" x14ac:dyDescent="0.25">
      <c r="C2856" t="s">
        <v>119</v>
      </c>
      <c r="D2856" t="s">
        <v>120</v>
      </c>
      <c r="E2856" t="s">
        <v>60</v>
      </c>
      <c r="F2856" t="s">
        <v>25</v>
      </c>
      <c r="G2856">
        <v>13</v>
      </c>
      <c r="H2856" t="s">
        <v>14</v>
      </c>
      <c r="I2856" t="s">
        <v>121</v>
      </c>
      <c r="J2856" t="s">
        <v>122</v>
      </c>
      <c r="K2856">
        <v>0</v>
      </c>
      <c r="L2856" s="84">
        <v>-2078</v>
      </c>
      <c r="M2856" s="84">
        <v>0</v>
      </c>
    </row>
    <row r="2857" spans="3:13" hidden="1" x14ac:dyDescent="0.25">
      <c r="C2857" t="s">
        <v>119</v>
      </c>
      <c r="D2857" t="s">
        <v>120</v>
      </c>
      <c r="E2857" t="s">
        <v>60</v>
      </c>
      <c r="F2857" t="s">
        <v>123</v>
      </c>
      <c r="G2857">
        <v>5</v>
      </c>
      <c r="H2857" t="s">
        <v>12</v>
      </c>
      <c r="I2857" t="s">
        <v>121</v>
      </c>
      <c r="J2857" t="s">
        <v>66</v>
      </c>
      <c r="K2857">
        <v>1</v>
      </c>
      <c r="L2857" s="84">
        <v>-1921</v>
      </c>
      <c r="M2857" s="84">
        <v>0</v>
      </c>
    </row>
    <row r="2858" spans="3:13" hidden="1" x14ac:dyDescent="0.25">
      <c r="C2858" t="s">
        <v>64</v>
      </c>
      <c r="D2858" t="s">
        <v>120</v>
      </c>
      <c r="E2858" t="s">
        <v>63</v>
      </c>
      <c r="F2858" t="s">
        <v>124</v>
      </c>
      <c r="G2858">
        <v>6</v>
      </c>
      <c r="H2858" t="s">
        <v>12</v>
      </c>
      <c r="I2858" t="s">
        <v>121</v>
      </c>
      <c r="J2858" t="s">
        <v>122</v>
      </c>
      <c r="K2858">
        <v>0</v>
      </c>
      <c r="L2858" s="84">
        <v>177724</v>
      </c>
      <c r="M2858" s="84">
        <v>1066344</v>
      </c>
    </row>
    <row r="2859" spans="3:13" hidden="1" x14ac:dyDescent="0.25">
      <c r="C2859" t="s">
        <v>119</v>
      </c>
      <c r="D2859" t="s">
        <v>120</v>
      </c>
      <c r="E2859" t="s">
        <v>63</v>
      </c>
      <c r="F2859" t="s">
        <v>123</v>
      </c>
      <c r="G2859">
        <v>2</v>
      </c>
      <c r="H2859" t="s">
        <v>71</v>
      </c>
      <c r="I2859" t="s">
        <v>121</v>
      </c>
      <c r="J2859" t="s">
        <v>122</v>
      </c>
      <c r="K2859">
        <v>0</v>
      </c>
      <c r="L2859" s="84">
        <v>203256</v>
      </c>
      <c r="M2859" s="84">
        <v>406512</v>
      </c>
    </row>
    <row r="2860" spans="3:13" hidden="1" x14ac:dyDescent="0.25">
      <c r="C2860" t="s">
        <v>64</v>
      </c>
      <c r="D2860" t="s">
        <v>120</v>
      </c>
      <c r="E2860" t="s">
        <v>60</v>
      </c>
      <c r="F2860" t="s">
        <v>123</v>
      </c>
      <c r="G2860">
        <v>1</v>
      </c>
      <c r="H2860" t="s">
        <v>16</v>
      </c>
      <c r="I2860" t="s">
        <v>121</v>
      </c>
      <c r="J2860" t="s">
        <v>122</v>
      </c>
      <c r="K2860">
        <v>0</v>
      </c>
      <c r="L2860" s="84">
        <v>-421</v>
      </c>
      <c r="M2860" s="84">
        <v>0</v>
      </c>
    </row>
    <row r="2861" spans="3:13" hidden="1" x14ac:dyDescent="0.25">
      <c r="C2861" t="s">
        <v>119</v>
      </c>
      <c r="D2861" t="s">
        <v>120</v>
      </c>
      <c r="E2861" t="s">
        <v>60</v>
      </c>
      <c r="F2861" t="s">
        <v>24</v>
      </c>
      <c r="G2861">
        <v>5</v>
      </c>
      <c r="H2861" t="s">
        <v>18</v>
      </c>
      <c r="I2861" t="s">
        <v>121</v>
      </c>
      <c r="J2861" t="s">
        <v>122</v>
      </c>
      <c r="K2861">
        <v>0</v>
      </c>
      <c r="L2861" s="84">
        <v>-1217</v>
      </c>
      <c r="M2861" s="84">
        <v>0</v>
      </c>
    </row>
    <row r="2862" spans="3:13" hidden="1" x14ac:dyDescent="0.25">
      <c r="C2862" t="s">
        <v>119</v>
      </c>
      <c r="D2862" t="s">
        <v>120</v>
      </c>
      <c r="E2862" t="s">
        <v>63</v>
      </c>
      <c r="F2862" t="s">
        <v>25</v>
      </c>
      <c r="G2862">
        <v>2</v>
      </c>
      <c r="H2862" t="s">
        <v>18</v>
      </c>
      <c r="I2862" t="s">
        <v>121</v>
      </c>
      <c r="J2862" t="s">
        <v>122</v>
      </c>
      <c r="K2862">
        <v>0</v>
      </c>
      <c r="L2862" s="84">
        <v>2844834</v>
      </c>
      <c r="M2862" s="84">
        <v>5689668</v>
      </c>
    </row>
    <row r="2863" spans="3:13" hidden="1" x14ac:dyDescent="0.25">
      <c r="C2863" t="s">
        <v>119</v>
      </c>
      <c r="D2863" t="s">
        <v>120</v>
      </c>
      <c r="E2863" t="s">
        <v>60</v>
      </c>
      <c r="F2863" t="s">
        <v>25</v>
      </c>
      <c r="G2863">
        <v>7</v>
      </c>
      <c r="H2863" t="s">
        <v>74</v>
      </c>
      <c r="I2863" t="s">
        <v>121</v>
      </c>
      <c r="J2863" t="s">
        <v>122</v>
      </c>
      <c r="K2863">
        <v>0</v>
      </c>
      <c r="L2863" s="84">
        <v>-728</v>
      </c>
      <c r="M2863" s="84">
        <v>0</v>
      </c>
    </row>
    <row r="2864" spans="3:13" hidden="1" x14ac:dyDescent="0.25">
      <c r="C2864" t="s">
        <v>64</v>
      </c>
      <c r="D2864" t="s">
        <v>120</v>
      </c>
      <c r="E2864" t="s">
        <v>60</v>
      </c>
      <c r="F2864" t="s">
        <v>24</v>
      </c>
      <c r="G2864">
        <v>6</v>
      </c>
      <c r="H2864" t="s">
        <v>18</v>
      </c>
      <c r="I2864" t="s">
        <v>121</v>
      </c>
      <c r="J2864" t="s">
        <v>122</v>
      </c>
      <c r="K2864">
        <v>0</v>
      </c>
      <c r="L2864" s="84">
        <v>-3925</v>
      </c>
      <c r="M2864" s="84">
        <v>0</v>
      </c>
    </row>
    <row r="2865" spans="3:13" hidden="1" x14ac:dyDescent="0.25">
      <c r="C2865" t="s">
        <v>64</v>
      </c>
      <c r="D2865" t="s">
        <v>120</v>
      </c>
      <c r="E2865" t="s">
        <v>63</v>
      </c>
      <c r="F2865" t="s">
        <v>24</v>
      </c>
      <c r="G2865">
        <v>8</v>
      </c>
      <c r="H2865" t="s">
        <v>12</v>
      </c>
      <c r="I2865" t="s">
        <v>121</v>
      </c>
      <c r="J2865" t="s">
        <v>122</v>
      </c>
      <c r="K2865">
        <v>0</v>
      </c>
      <c r="L2865" s="84">
        <v>64260</v>
      </c>
      <c r="M2865" s="84">
        <v>514080</v>
      </c>
    </row>
    <row r="2866" spans="3:13" hidden="1" x14ac:dyDescent="0.25">
      <c r="C2866" t="s">
        <v>64</v>
      </c>
      <c r="D2866" t="s">
        <v>120</v>
      </c>
      <c r="E2866" t="s">
        <v>63</v>
      </c>
      <c r="F2866" t="s">
        <v>124</v>
      </c>
      <c r="G2866">
        <v>2</v>
      </c>
      <c r="H2866" t="s">
        <v>76</v>
      </c>
      <c r="I2866" t="s">
        <v>121</v>
      </c>
      <c r="J2866" t="s">
        <v>122</v>
      </c>
      <c r="K2866">
        <v>0</v>
      </c>
      <c r="L2866" s="84">
        <v>537669</v>
      </c>
      <c r="M2866" s="84">
        <v>1075338</v>
      </c>
    </row>
    <row r="2867" spans="3:13" hidden="1" x14ac:dyDescent="0.25">
      <c r="C2867" t="s">
        <v>65</v>
      </c>
      <c r="D2867" t="s">
        <v>125</v>
      </c>
      <c r="E2867" t="s">
        <v>63</v>
      </c>
      <c r="F2867" t="s">
        <v>24</v>
      </c>
      <c r="G2867">
        <v>29</v>
      </c>
      <c r="I2867" t="s">
        <v>121</v>
      </c>
      <c r="J2867" t="s">
        <v>122</v>
      </c>
      <c r="K2867">
        <v>0</v>
      </c>
      <c r="L2867" s="84">
        <v>8760371</v>
      </c>
      <c r="M2867" s="84">
        <v>254050759</v>
      </c>
    </row>
    <row r="2868" spans="3:13" hidden="1" x14ac:dyDescent="0.25">
      <c r="C2868" t="s">
        <v>64</v>
      </c>
      <c r="D2868" t="s">
        <v>120</v>
      </c>
      <c r="E2868" t="s">
        <v>60</v>
      </c>
      <c r="F2868" t="s">
        <v>25</v>
      </c>
      <c r="G2868">
        <v>2</v>
      </c>
      <c r="H2868" t="s">
        <v>72</v>
      </c>
      <c r="I2868" t="s">
        <v>121</v>
      </c>
      <c r="J2868" t="s">
        <v>122</v>
      </c>
      <c r="K2868">
        <v>0</v>
      </c>
      <c r="L2868" s="84">
        <v>-981</v>
      </c>
      <c r="M2868" s="84">
        <v>0</v>
      </c>
    </row>
    <row r="2869" spans="3:13" x14ac:dyDescent="0.25">
      <c r="C2869" t="s">
        <v>119</v>
      </c>
      <c r="D2869" t="s">
        <v>120</v>
      </c>
      <c r="E2869" t="s">
        <v>63</v>
      </c>
      <c r="F2869" t="s">
        <v>25</v>
      </c>
      <c r="G2869">
        <v>5</v>
      </c>
      <c r="H2869" t="s">
        <v>14</v>
      </c>
      <c r="I2869" t="s">
        <v>121</v>
      </c>
      <c r="J2869" t="s">
        <v>66</v>
      </c>
      <c r="K2869">
        <v>1</v>
      </c>
      <c r="L2869" s="84">
        <v>3015437</v>
      </c>
      <c r="M2869" s="84">
        <v>15077185</v>
      </c>
    </row>
    <row r="2870" spans="3:13" hidden="1" x14ac:dyDescent="0.25">
      <c r="C2870" t="s">
        <v>65</v>
      </c>
      <c r="D2870" t="s">
        <v>125</v>
      </c>
      <c r="E2870" t="s">
        <v>60</v>
      </c>
      <c r="F2870" t="s">
        <v>24</v>
      </c>
      <c r="G2870">
        <v>27</v>
      </c>
      <c r="I2870" t="s">
        <v>121</v>
      </c>
      <c r="J2870" t="s">
        <v>122</v>
      </c>
      <c r="K2870">
        <v>0</v>
      </c>
      <c r="L2870" s="84">
        <v>-2728292</v>
      </c>
      <c r="M2870" s="84">
        <v>0</v>
      </c>
    </row>
    <row r="2871" spans="3:13" hidden="1" x14ac:dyDescent="0.25">
      <c r="C2871" t="s">
        <v>119</v>
      </c>
      <c r="D2871" t="s">
        <v>120</v>
      </c>
      <c r="E2871" t="s">
        <v>63</v>
      </c>
      <c r="F2871" t="s">
        <v>24</v>
      </c>
      <c r="G2871">
        <v>12</v>
      </c>
      <c r="H2871" t="s">
        <v>67</v>
      </c>
      <c r="I2871" t="s">
        <v>121</v>
      </c>
      <c r="J2871" t="s">
        <v>122</v>
      </c>
      <c r="K2871">
        <v>0</v>
      </c>
      <c r="L2871" s="84">
        <v>1099437</v>
      </c>
      <c r="M2871" s="84">
        <v>13193244</v>
      </c>
    </row>
    <row r="2872" spans="3:13" hidden="1" x14ac:dyDescent="0.25">
      <c r="C2872" t="s">
        <v>119</v>
      </c>
      <c r="D2872" t="s">
        <v>120</v>
      </c>
      <c r="E2872" t="s">
        <v>60</v>
      </c>
      <c r="F2872" t="s">
        <v>124</v>
      </c>
      <c r="G2872">
        <v>1</v>
      </c>
      <c r="H2872" t="s">
        <v>18</v>
      </c>
      <c r="I2872" t="s">
        <v>121</v>
      </c>
      <c r="J2872" t="s">
        <v>122</v>
      </c>
      <c r="K2872">
        <v>0</v>
      </c>
      <c r="L2872" s="84">
        <v>-477052</v>
      </c>
      <c r="M2872" s="84">
        <v>0</v>
      </c>
    </row>
    <row r="2873" spans="3:13" hidden="1" x14ac:dyDescent="0.25">
      <c r="C2873" t="s">
        <v>119</v>
      </c>
      <c r="D2873" t="s">
        <v>120</v>
      </c>
      <c r="E2873" t="s">
        <v>60</v>
      </c>
      <c r="F2873" t="s">
        <v>123</v>
      </c>
      <c r="G2873">
        <v>-1</v>
      </c>
      <c r="H2873" t="s">
        <v>67</v>
      </c>
      <c r="I2873" t="s">
        <v>121</v>
      </c>
      <c r="J2873" t="s">
        <v>122</v>
      </c>
      <c r="K2873">
        <v>0</v>
      </c>
      <c r="L2873" s="84">
        <v>-1325</v>
      </c>
      <c r="M2873" s="84">
        <v>0</v>
      </c>
    </row>
    <row r="2874" spans="3:13" hidden="1" x14ac:dyDescent="0.25">
      <c r="C2874" t="s">
        <v>65</v>
      </c>
      <c r="D2874" t="s">
        <v>120</v>
      </c>
      <c r="E2874" t="s">
        <v>63</v>
      </c>
      <c r="F2874" t="s">
        <v>124</v>
      </c>
      <c r="G2874">
        <v>-1</v>
      </c>
      <c r="H2874" t="s">
        <v>12</v>
      </c>
      <c r="I2874" t="s">
        <v>121</v>
      </c>
      <c r="J2874" t="s">
        <v>66</v>
      </c>
      <c r="K2874">
        <v>1</v>
      </c>
      <c r="L2874" s="84">
        <v>1871610</v>
      </c>
      <c r="M2874" s="84">
        <v>0</v>
      </c>
    </row>
    <row r="2875" spans="3:13" hidden="1" x14ac:dyDescent="0.25">
      <c r="C2875" t="s">
        <v>64</v>
      </c>
      <c r="D2875" t="s">
        <v>120</v>
      </c>
      <c r="E2875" t="s">
        <v>63</v>
      </c>
      <c r="F2875" t="s">
        <v>124</v>
      </c>
      <c r="G2875">
        <v>3</v>
      </c>
      <c r="H2875" t="s">
        <v>15</v>
      </c>
      <c r="I2875" t="s">
        <v>121</v>
      </c>
      <c r="J2875" t="s">
        <v>122</v>
      </c>
      <c r="K2875">
        <v>0</v>
      </c>
      <c r="L2875" s="84">
        <v>65553</v>
      </c>
      <c r="M2875" s="84">
        <v>196659</v>
      </c>
    </row>
    <row r="2876" spans="3:13" hidden="1" x14ac:dyDescent="0.25">
      <c r="C2876" t="s">
        <v>119</v>
      </c>
      <c r="D2876" t="s">
        <v>120</v>
      </c>
      <c r="E2876" t="s">
        <v>63</v>
      </c>
      <c r="F2876" t="s">
        <v>123</v>
      </c>
      <c r="G2876">
        <v>4</v>
      </c>
      <c r="H2876" t="s">
        <v>14</v>
      </c>
      <c r="I2876" t="s">
        <v>121</v>
      </c>
      <c r="J2876" t="s">
        <v>122</v>
      </c>
      <c r="K2876">
        <v>0</v>
      </c>
      <c r="L2876" s="84">
        <v>10350500</v>
      </c>
      <c r="M2876" s="84">
        <v>41402000</v>
      </c>
    </row>
    <row r="2877" spans="3:13" hidden="1" x14ac:dyDescent="0.25">
      <c r="C2877" t="s">
        <v>119</v>
      </c>
      <c r="D2877" t="s">
        <v>120</v>
      </c>
      <c r="E2877" t="s">
        <v>60</v>
      </c>
      <c r="F2877" t="s">
        <v>25</v>
      </c>
      <c r="G2877">
        <v>2</v>
      </c>
      <c r="H2877" t="s">
        <v>14</v>
      </c>
      <c r="I2877" t="s">
        <v>121</v>
      </c>
      <c r="J2877" t="s">
        <v>66</v>
      </c>
      <c r="K2877">
        <v>1</v>
      </c>
      <c r="L2877" s="84">
        <v>-1375</v>
      </c>
      <c r="M2877" s="84">
        <v>0</v>
      </c>
    </row>
    <row r="2878" spans="3:13" hidden="1" x14ac:dyDescent="0.25">
      <c r="C2878" t="s">
        <v>119</v>
      </c>
      <c r="D2878" t="s">
        <v>120</v>
      </c>
      <c r="E2878" t="s">
        <v>60</v>
      </c>
      <c r="F2878" t="s">
        <v>124</v>
      </c>
      <c r="G2878">
        <v>4</v>
      </c>
      <c r="H2878" t="s">
        <v>15</v>
      </c>
      <c r="I2878" t="s">
        <v>121</v>
      </c>
      <c r="J2878" t="s">
        <v>122</v>
      </c>
      <c r="K2878">
        <v>0</v>
      </c>
      <c r="L2878" s="84">
        <v>-186</v>
      </c>
      <c r="M2878" s="84">
        <v>0</v>
      </c>
    </row>
    <row r="2879" spans="3:13" hidden="1" x14ac:dyDescent="0.25">
      <c r="C2879" t="s">
        <v>119</v>
      </c>
      <c r="D2879" t="s">
        <v>120</v>
      </c>
      <c r="E2879" t="s">
        <v>60</v>
      </c>
      <c r="F2879" t="s">
        <v>25</v>
      </c>
      <c r="G2879">
        <v>3</v>
      </c>
      <c r="H2879" t="s">
        <v>14</v>
      </c>
      <c r="I2879" t="s">
        <v>121</v>
      </c>
      <c r="J2879" t="s">
        <v>122</v>
      </c>
      <c r="K2879">
        <v>0</v>
      </c>
      <c r="L2879" s="84">
        <v>-2049</v>
      </c>
      <c r="M2879" s="84">
        <v>0</v>
      </c>
    </row>
    <row r="2880" spans="3:13" hidden="1" x14ac:dyDescent="0.25">
      <c r="C2880" t="s">
        <v>119</v>
      </c>
      <c r="D2880" t="s">
        <v>120</v>
      </c>
      <c r="E2880" t="s">
        <v>63</v>
      </c>
      <c r="F2880" t="s">
        <v>124</v>
      </c>
      <c r="G2880">
        <v>5</v>
      </c>
      <c r="H2880" t="s">
        <v>18</v>
      </c>
      <c r="I2880" t="s">
        <v>121</v>
      </c>
      <c r="J2880" t="s">
        <v>66</v>
      </c>
      <c r="K2880">
        <v>1</v>
      </c>
      <c r="L2880" s="84">
        <v>3306860</v>
      </c>
      <c r="M2880" s="84">
        <v>16534300</v>
      </c>
    </row>
    <row r="2881" spans="3:13" hidden="1" x14ac:dyDescent="0.25">
      <c r="C2881" t="s">
        <v>64</v>
      </c>
      <c r="D2881" t="s">
        <v>120</v>
      </c>
      <c r="E2881" t="s">
        <v>63</v>
      </c>
      <c r="F2881" t="s">
        <v>123</v>
      </c>
      <c r="G2881">
        <v>3</v>
      </c>
      <c r="H2881" t="s">
        <v>17</v>
      </c>
      <c r="I2881" t="s">
        <v>121</v>
      </c>
      <c r="J2881" t="s">
        <v>122</v>
      </c>
      <c r="K2881">
        <v>0</v>
      </c>
      <c r="L2881" s="84">
        <v>1125451</v>
      </c>
      <c r="M2881" s="84">
        <v>3376353</v>
      </c>
    </row>
    <row r="2882" spans="3:13" hidden="1" x14ac:dyDescent="0.25">
      <c r="C2882" t="s">
        <v>119</v>
      </c>
      <c r="D2882" t="s">
        <v>120</v>
      </c>
      <c r="E2882" t="s">
        <v>63</v>
      </c>
      <c r="F2882" t="s">
        <v>124</v>
      </c>
      <c r="G2882">
        <v>1</v>
      </c>
      <c r="H2882" t="s">
        <v>14</v>
      </c>
      <c r="I2882" t="s">
        <v>62</v>
      </c>
      <c r="J2882" t="s">
        <v>66</v>
      </c>
      <c r="K2882">
        <v>1</v>
      </c>
      <c r="L2882" s="84">
        <v>705237</v>
      </c>
      <c r="M2882" s="84">
        <v>705237</v>
      </c>
    </row>
    <row r="2883" spans="3:13" hidden="1" x14ac:dyDescent="0.25">
      <c r="C2883" t="s">
        <v>64</v>
      </c>
      <c r="D2883" t="s">
        <v>120</v>
      </c>
      <c r="E2883" t="s">
        <v>63</v>
      </c>
      <c r="F2883" t="s">
        <v>124</v>
      </c>
      <c r="G2883">
        <v>5</v>
      </c>
      <c r="H2883" t="s">
        <v>70</v>
      </c>
      <c r="I2883" t="s">
        <v>121</v>
      </c>
      <c r="J2883" t="s">
        <v>122</v>
      </c>
      <c r="K2883">
        <v>0</v>
      </c>
      <c r="L2883" s="84">
        <v>878961</v>
      </c>
      <c r="M2883" s="84">
        <v>4394805</v>
      </c>
    </row>
    <row r="2884" spans="3:13" hidden="1" x14ac:dyDescent="0.25">
      <c r="C2884" t="s">
        <v>65</v>
      </c>
      <c r="D2884" t="s">
        <v>120</v>
      </c>
      <c r="E2884" t="s">
        <v>60</v>
      </c>
      <c r="F2884" t="s">
        <v>24</v>
      </c>
      <c r="G2884">
        <v>4</v>
      </c>
      <c r="H2884" t="s">
        <v>18</v>
      </c>
      <c r="I2884" t="s">
        <v>121</v>
      </c>
      <c r="J2884" t="s">
        <v>122</v>
      </c>
      <c r="K2884">
        <v>0</v>
      </c>
      <c r="L2884" s="84">
        <v>-126669</v>
      </c>
      <c r="M2884" s="84">
        <v>0</v>
      </c>
    </row>
    <row r="2885" spans="3:13" hidden="1" x14ac:dyDescent="0.25">
      <c r="C2885" t="s">
        <v>64</v>
      </c>
      <c r="D2885" t="s">
        <v>120</v>
      </c>
      <c r="E2885" t="s">
        <v>60</v>
      </c>
      <c r="F2885" t="s">
        <v>124</v>
      </c>
      <c r="G2885">
        <v>2</v>
      </c>
      <c r="H2885" t="s">
        <v>17</v>
      </c>
      <c r="I2885" t="s">
        <v>62</v>
      </c>
      <c r="J2885" t="s">
        <v>122</v>
      </c>
      <c r="K2885">
        <v>1</v>
      </c>
      <c r="L2885" s="84">
        <v>-245</v>
      </c>
      <c r="M2885" s="84">
        <v>0</v>
      </c>
    </row>
    <row r="2886" spans="3:13" hidden="1" x14ac:dyDescent="0.25">
      <c r="C2886" t="s">
        <v>119</v>
      </c>
      <c r="D2886" t="s">
        <v>120</v>
      </c>
      <c r="E2886" t="s">
        <v>60</v>
      </c>
      <c r="F2886" t="s">
        <v>124</v>
      </c>
      <c r="G2886">
        <v>0</v>
      </c>
      <c r="H2886" t="s">
        <v>68</v>
      </c>
      <c r="I2886" t="s">
        <v>121</v>
      </c>
      <c r="J2886" t="s">
        <v>122</v>
      </c>
      <c r="K2886">
        <v>0</v>
      </c>
      <c r="L2886" s="84">
        <v>-76926</v>
      </c>
      <c r="M2886" s="84">
        <v>0</v>
      </c>
    </row>
    <row r="2887" spans="3:13" hidden="1" x14ac:dyDescent="0.25">
      <c r="C2887" t="s">
        <v>65</v>
      </c>
      <c r="D2887" t="s">
        <v>120</v>
      </c>
      <c r="E2887" t="s">
        <v>60</v>
      </c>
      <c r="F2887" t="s">
        <v>124</v>
      </c>
      <c r="G2887">
        <v>4</v>
      </c>
      <c r="H2887" t="s">
        <v>17</v>
      </c>
      <c r="I2887" t="s">
        <v>121</v>
      </c>
      <c r="J2887" t="s">
        <v>122</v>
      </c>
      <c r="K2887">
        <v>0</v>
      </c>
      <c r="L2887" s="84">
        <v>-1054470</v>
      </c>
      <c r="M2887" s="84">
        <v>0</v>
      </c>
    </row>
    <row r="2888" spans="3:13" hidden="1" x14ac:dyDescent="0.25">
      <c r="C2888" t="s">
        <v>64</v>
      </c>
      <c r="D2888" t="s">
        <v>120</v>
      </c>
      <c r="E2888" t="s">
        <v>63</v>
      </c>
      <c r="F2888" t="s">
        <v>25</v>
      </c>
      <c r="G2888">
        <v>1</v>
      </c>
      <c r="H2888" t="s">
        <v>14</v>
      </c>
      <c r="I2888" t="s">
        <v>121</v>
      </c>
      <c r="J2888" t="s">
        <v>122</v>
      </c>
      <c r="K2888">
        <v>0</v>
      </c>
      <c r="L2888" s="84">
        <v>406865</v>
      </c>
      <c r="M2888" s="84">
        <v>406865</v>
      </c>
    </row>
    <row r="2889" spans="3:13" hidden="1" x14ac:dyDescent="0.25">
      <c r="C2889" t="s">
        <v>64</v>
      </c>
      <c r="D2889" t="s">
        <v>120</v>
      </c>
      <c r="E2889" t="s">
        <v>60</v>
      </c>
      <c r="F2889" t="s">
        <v>25</v>
      </c>
      <c r="G2889">
        <v>14</v>
      </c>
      <c r="H2889" t="s">
        <v>14</v>
      </c>
      <c r="I2889" t="s">
        <v>121</v>
      </c>
      <c r="J2889" t="s">
        <v>66</v>
      </c>
      <c r="K2889">
        <v>1</v>
      </c>
      <c r="L2889" s="84">
        <v>-7250</v>
      </c>
      <c r="M2889" s="84">
        <v>0</v>
      </c>
    </row>
    <row r="2890" spans="3:13" x14ac:dyDescent="0.25">
      <c r="C2890" t="s">
        <v>64</v>
      </c>
      <c r="D2890" t="s">
        <v>120</v>
      </c>
      <c r="E2890" t="s">
        <v>63</v>
      </c>
      <c r="F2890" t="s">
        <v>25</v>
      </c>
      <c r="G2890">
        <v>1</v>
      </c>
      <c r="H2890" t="s">
        <v>14</v>
      </c>
      <c r="I2890" t="s">
        <v>121</v>
      </c>
      <c r="J2890" t="s">
        <v>66</v>
      </c>
      <c r="K2890">
        <v>1</v>
      </c>
      <c r="L2890" s="84">
        <v>1382912</v>
      </c>
      <c r="M2890" s="84">
        <v>1382912</v>
      </c>
    </row>
    <row r="2891" spans="3:13" hidden="1" x14ac:dyDescent="0.25">
      <c r="C2891" t="s">
        <v>64</v>
      </c>
      <c r="D2891" t="s">
        <v>120</v>
      </c>
      <c r="E2891" t="s">
        <v>60</v>
      </c>
      <c r="F2891" t="s">
        <v>25</v>
      </c>
      <c r="G2891">
        <v>10</v>
      </c>
      <c r="H2891" t="s">
        <v>14</v>
      </c>
      <c r="I2891" t="s">
        <v>121</v>
      </c>
      <c r="J2891" t="s">
        <v>122</v>
      </c>
      <c r="K2891">
        <v>0</v>
      </c>
      <c r="L2891" s="84">
        <v>-43825</v>
      </c>
      <c r="M2891" s="84">
        <v>0</v>
      </c>
    </row>
    <row r="2892" spans="3:13" hidden="1" x14ac:dyDescent="0.25">
      <c r="C2892" t="s">
        <v>65</v>
      </c>
      <c r="D2892" t="s">
        <v>120</v>
      </c>
      <c r="E2892" t="s">
        <v>63</v>
      </c>
      <c r="F2892" t="s">
        <v>25</v>
      </c>
      <c r="G2892">
        <v>11</v>
      </c>
      <c r="H2892" t="s">
        <v>68</v>
      </c>
      <c r="I2892" t="s">
        <v>121</v>
      </c>
      <c r="J2892" t="s">
        <v>122</v>
      </c>
      <c r="K2892">
        <v>0</v>
      </c>
      <c r="L2892" s="84">
        <v>141606</v>
      </c>
      <c r="M2892" s="84">
        <v>1557666</v>
      </c>
    </row>
    <row r="2893" spans="3:13" hidden="1" x14ac:dyDescent="0.25">
      <c r="C2893" t="s">
        <v>119</v>
      </c>
      <c r="D2893" t="s">
        <v>120</v>
      </c>
      <c r="E2893" t="s">
        <v>60</v>
      </c>
      <c r="F2893" t="s">
        <v>24</v>
      </c>
      <c r="G2893">
        <v>8</v>
      </c>
      <c r="H2893" t="s">
        <v>75</v>
      </c>
      <c r="I2893" t="s">
        <v>121</v>
      </c>
      <c r="J2893" t="s">
        <v>122</v>
      </c>
      <c r="K2893">
        <v>0</v>
      </c>
      <c r="L2893" s="84">
        <v>-151</v>
      </c>
      <c r="M2893" s="84">
        <v>0</v>
      </c>
    </row>
    <row r="2894" spans="3:13" hidden="1" x14ac:dyDescent="0.25">
      <c r="C2894" t="s">
        <v>64</v>
      </c>
      <c r="D2894" t="s">
        <v>120</v>
      </c>
      <c r="E2894" t="s">
        <v>63</v>
      </c>
      <c r="F2894" t="s">
        <v>25</v>
      </c>
      <c r="G2894">
        <v>-1</v>
      </c>
      <c r="H2894" t="s">
        <v>13</v>
      </c>
      <c r="I2894" t="s">
        <v>121</v>
      </c>
      <c r="J2894" t="s">
        <v>122</v>
      </c>
      <c r="K2894">
        <v>0</v>
      </c>
      <c r="L2894" s="84">
        <v>2</v>
      </c>
      <c r="M2894" s="84">
        <v>0</v>
      </c>
    </row>
    <row r="2895" spans="3:13" hidden="1" x14ac:dyDescent="0.25">
      <c r="C2895" t="s">
        <v>64</v>
      </c>
      <c r="D2895" t="s">
        <v>120</v>
      </c>
      <c r="E2895" t="s">
        <v>60</v>
      </c>
      <c r="F2895" t="s">
        <v>124</v>
      </c>
      <c r="G2895">
        <v>2</v>
      </c>
      <c r="H2895" t="s">
        <v>12</v>
      </c>
      <c r="I2895" t="s">
        <v>121</v>
      </c>
      <c r="J2895" t="s">
        <v>66</v>
      </c>
      <c r="K2895">
        <v>1</v>
      </c>
      <c r="L2895" s="84">
        <v>-55178</v>
      </c>
      <c r="M2895" s="84">
        <v>0</v>
      </c>
    </row>
    <row r="2896" spans="3:13" hidden="1" x14ac:dyDescent="0.25">
      <c r="C2896" t="s">
        <v>64</v>
      </c>
      <c r="D2896" t="s">
        <v>120</v>
      </c>
      <c r="E2896" t="s">
        <v>63</v>
      </c>
      <c r="F2896" t="s">
        <v>25</v>
      </c>
      <c r="G2896">
        <v>8</v>
      </c>
      <c r="H2896" t="s">
        <v>18</v>
      </c>
      <c r="I2896" t="s">
        <v>121</v>
      </c>
      <c r="J2896" t="s">
        <v>122</v>
      </c>
      <c r="K2896">
        <v>0</v>
      </c>
      <c r="L2896" s="84">
        <v>2128718</v>
      </c>
      <c r="M2896" s="84">
        <v>17029744</v>
      </c>
    </row>
    <row r="2897" spans="3:13" hidden="1" x14ac:dyDescent="0.25">
      <c r="C2897" t="s">
        <v>64</v>
      </c>
      <c r="D2897" t="s">
        <v>125</v>
      </c>
      <c r="E2897" t="s">
        <v>60</v>
      </c>
      <c r="F2897" t="s">
        <v>24</v>
      </c>
      <c r="G2897">
        <v>27</v>
      </c>
      <c r="I2897" t="s">
        <v>121</v>
      </c>
      <c r="J2897" t="s">
        <v>122</v>
      </c>
      <c r="K2897">
        <v>0</v>
      </c>
      <c r="L2897" s="84">
        <v>-1331321</v>
      </c>
      <c r="M2897" s="84">
        <v>0</v>
      </c>
    </row>
    <row r="2898" spans="3:13" x14ac:dyDescent="0.25">
      <c r="C2898" t="s">
        <v>64</v>
      </c>
      <c r="D2898" t="s">
        <v>120</v>
      </c>
      <c r="E2898" t="s">
        <v>63</v>
      </c>
      <c r="F2898" t="s">
        <v>25</v>
      </c>
      <c r="G2898">
        <v>8</v>
      </c>
      <c r="H2898" t="s">
        <v>18</v>
      </c>
      <c r="I2898" t="s">
        <v>121</v>
      </c>
      <c r="J2898" t="s">
        <v>66</v>
      </c>
      <c r="K2898">
        <v>1</v>
      </c>
      <c r="L2898" s="84">
        <v>30156</v>
      </c>
      <c r="M2898" s="84">
        <v>241248</v>
      </c>
    </row>
    <row r="2899" spans="3:13" hidden="1" x14ac:dyDescent="0.25">
      <c r="C2899" t="s">
        <v>65</v>
      </c>
      <c r="D2899" t="s">
        <v>120</v>
      </c>
      <c r="E2899" t="s">
        <v>60</v>
      </c>
      <c r="F2899" t="s">
        <v>124</v>
      </c>
      <c r="G2899">
        <v>1</v>
      </c>
      <c r="H2899" t="s">
        <v>16</v>
      </c>
      <c r="I2899" t="s">
        <v>121</v>
      </c>
      <c r="J2899" t="s">
        <v>122</v>
      </c>
      <c r="K2899">
        <v>0</v>
      </c>
      <c r="L2899" s="84">
        <v>-95336</v>
      </c>
      <c r="M2899" s="84">
        <v>0</v>
      </c>
    </row>
    <row r="2900" spans="3:13" hidden="1" x14ac:dyDescent="0.25">
      <c r="C2900" t="s">
        <v>119</v>
      </c>
      <c r="D2900" t="s">
        <v>120</v>
      </c>
      <c r="E2900" t="s">
        <v>60</v>
      </c>
      <c r="F2900" t="s">
        <v>123</v>
      </c>
      <c r="G2900">
        <v>0</v>
      </c>
      <c r="H2900" t="s">
        <v>14</v>
      </c>
      <c r="I2900" t="s">
        <v>121</v>
      </c>
      <c r="J2900" t="s">
        <v>66</v>
      </c>
      <c r="K2900">
        <v>1</v>
      </c>
      <c r="L2900" s="84">
        <v>-3064</v>
      </c>
      <c r="M2900" s="84">
        <v>0</v>
      </c>
    </row>
    <row r="2901" spans="3:13" hidden="1" x14ac:dyDescent="0.25">
      <c r="C2901" t="s">
        <v>119</v>
      </c>
      <c r="D2901" t="s">
        <v>120</v>
      </c>
      <c r="E2901" t="s">
        <v>60</v>
      </c>
      <c r="F2901" t="s">
        <v>24</v>
      </c>
      <c r="G2901">
        <v>7</v>
      </c>
      <c r="H2901" t="s">
        <v>67</v>
      </c>
      <c r="I2901" t="s">
        <v>121</v>
      </c>
      <c r="J2901" t="s">
        <v>122</v>
      </c>
      <c r="K2901">
        <v>0</v>
      </c>
      <c r="L2901" s="84">
        <v>-1086</v>
      </c>
      <c r="M2901" s="84">
        <v>0</v>
      </c>
    </row>
    <row r="2902" spans="3:13" hidden="1" x14ac:dyDescent="0.25">
      <c r="C2902" t="s">
        <v>119</v>
      </c>
      <c r="D2902" t="s">
        <v>120</v>
      </c>
      <c r="E2902" t="s">
        <v>60</v>
      </c>
      <c r="F2902" t="s">
        <v>123</v>
      </c>
      <c r="G2902">
        <v>11</v>
      </c>
      <c r="H2902" t="s">
        <v>69</v>
      </c>
      <c r="I2902" t="s">
        <v>121</v>
      </c>
      <c r="J2902" t="s">
        <v>122</v>
      </c>
      <c r="K2902">
        <v>0</v>
      </c>
      <c r="L2902" s="84">
        <v>-1</v>
      </c>
      <c r="M2902" s="84">
        <v>0</v>
      </c>
    </row>
    <row r="2903" spans="3:13" hidden="1" x14ac:dyDescent="0.25">
      <c r="C2903" t="s">
        <v>64</v>
      </c>
      <c r="D2903" t="s">
        <v>120</v>
      </c>
      <c r="E2903" t="s">
        <v>63</v>
      </c>
      <c r="F2903" t="s">
        <v>24</v>
      </c>
      <c r="G2903">
        <v>15</v>
      </c>
      <c r="H2903" t="s">
        <v>67</v>
      </c>
      <c r="I2903" t="s">
        <v>121</v>
      </c>
      <c r="J2903" t="s">
        <v>122</v>
      </c>
      <c r="K2903">
        <v>0</v>
      </c>
      <c r="L2903" s="84">
        <v>535933</v>
      </c>
      <c r="M2903" s="84">
        <v>8038995</v>
      </c>
    </row>
    <row r="2904" spans="3:13" hidden="1" x14ac:dyDescent="0.25">
      <c r="C2904" t="s">
        <v>64</v>
      </c>
      <c r="D2904" t="s">
        <v>120</v>
      </c>
      <c r="E2904" t="s">
        <v>63</v>
      </c>
      <c r="F2904" t="s">
        <v>124</v>
      </c>
      <c r="G2904">
        <v>4</v>
      </c>
      <c r="H2904" t="s">
        <v>69</v>
      </c>
      <c r="I2904" t="s">
        <v>121</v>
      </c>
      <c r="J2904" t="s">
        <v>122</v>
      </c>
      <c r="K2904">
        <v>0</v>
      </c>
      <c r="L2904" s="84">
        <v>3301981</v>
      </c>
      <c r="M2904" s="84">
        <v>13207924</v>
      </c>
    </row>
    <row r="2905" spans="3:13" hidden="1" x14ac:dyDescent="0.25">
      <c r="C2905" t="s">
        <v>119</v>
      </c>
      <c r="D2905" t="s">
        <v>120</v>
      </c>
      <c r="E2905" t="s">
        <v>63</v>
      </c>
      <c r="F2905" t="s">
        <v>25</v>
      </c>
      <c r="G2905">
        <v>0</v>
      </c>
      <c r="H2905" t="s">
        <v>71</v>
      </c>
      <c r="I2905" t="s">
        <v>121</v>
      </c>
      <c r="J2905" t="s">
        <v>122</v>
      </c>
      <c r="K2905">
        <v>0</v>
      </c>
      <c r="L2905" s="84">
        <v>305292</v>
      </c>
      <c r="M2905" s="84">
        <v>0</v>
      </c>
    </row>
    <row r="2906" spans="3:13" hidden="1" x14ac:dyDescent="0.25">
      <c r="C2906" t="s">
        <v>65</v>
      </c>
      <c r="D2906" t="s">
        <v>120</v>
      </c>
      <c r="E2906" t="s">
        <v>60</v>
      </c>
      <c r="F2906" t="s">
        <v>123</v>
      </c>
      <c r="G2906">
        <v>0</v>
      </c>
      <c r="H2906" t="s">
        <v>14</v>
      </c>
      <c r="I2906" t="s">
        <v>121</v>
      </c>
      <c r="J2906" t="s">
        <v>122</v>
      </c>
      <c r="K2906">
        <v>0</v>
      </c>
      <c r="L2906" s="84">
        <v>-126775</v>
      </c>
      <c r="M2906" s="84">
        <v>0</v>
      </c>
    </row>
    <row r="2907" spans="3:13" hidden="1" x14ac:dyDescent="0.25">
      <c r="C2907" t="s">
        <v>119</v>
      </c>
      <c r="D2907" t="s">
        <v>120</v>
      </c>
      <c r="E2907" t="s">
        <v>60</v>
      </c>
      <c r="F2907" t="s">
        <v>124</v>
      </c>
      <c r="G2907">
        <v>-1</v>
      </c>
      <c r="H2907" t="s">
        <v>67</v>
      </c>
      <c r="I2907" t="s">
        <v>121</v>
      </c>
      <c r="J2907" t="s">
        <v>122</v>
      </c>
      <c r="K2907">
        <v>0</v>
      </c>
      <c r="L2907" s="84">
        <v>-234086</v>
      </c>
      <c r="M2907" s="84">
        <v>0</v>
      </c>
    </row>
    <row r="2908" spans="3:13" hidden="1" x14ac:dyDescent="0.25">
      <c r="C2908" t="s">
        <v>64</v>
      </c>
      <c r="D2908" t="s">
        <v>120</v>
      </c>
      <c r="E2908" t="s">
        <v>60</v>
      </c>
      <c r="F2908" t="s">
        <v>123</v>
      </c>
      <c r="G2908">
        <v>-1</v>
      </c>
      <c r="H2908" t="s">
        <v>67</v>
      </c>
      <c r="I2908" t="s">
        <v>121</v>
      </c>
      <c r="J2908" t="s">
        <v>122</v>
      </c>
      <c r="K2908">
        <v>0</v>
      </c>
      <c r="L2908" s="84">
        <v>-117</v>
      </c>
      <c r="M2908" s="84">
        <v>0</v>
      </c>
    </row>
    <row r="2909" spans="3:13" hidden="1" x14ac:dyDescent="0.25">
      <c r="C2909" t="s">
        <v>119</v>
      </c>
      <c r="D2909" t="s">
        <v>120</v>
      </c>
      <c r="E2909" t="s">
        <v>63</v>
      </c>
      <c r="F2909" t="s">
        <v>124</v>
      </c>
      <c r="G2909">
        <v>0</v>
      </c>
      <c r="H2909" t="s">
        <v>13</v>
      </c>
      <c r="I2909" t="s">
        <v>121</v>
      </c>
      <c r="J2909" t="s">
        <v>66</v>
      </c>
      <c r="K2909">
        <v>1</v>
      </c>
      <c r="L2909" s="84">
        <v>97376</v>
      </c>
      <c r="M2909" s="84">
        <v>0</v>
      </c>
    </row>
    <row r="2910" spans="3:13" hidden="1" x14ac:dyDescent="0.25">
      <c r="C2910" t="s">
        <v>119</v>
      </c>
      <c r="D2910" t="s">
        <v>120</v>
      </c>
      <c r="E2910" t="s">
        <v>60</v>
      </c>
      <c r="F2910" t="s">
        <v>124</v>
      </c>
      <c r="G2910">
        <v>-4</v>
      </c>
      <c r="H2910" t="s">
        <v>61</v>
      </c>
      <c r="I2910" t="s">
        <v>121</v>
      </c>
      <c r="J2910" t="s">
        <v>122</v>
      </c>
      <c r="K2910">
        <v>0</v>
      </c>
      <c r="L2910" s="84">
        <v>-2013</v>
      </c>
      <c r="M2910" s="84">
        <v>0</v>
      </c>
    </row>
    <row r="2911" spans="3:13" hidden="1" x14ac:dyDescent="0.25">
      <c r="C2911" t="s">
        <v>64</v>
      </c>
      <c r="D2911" t="s">
        <v>120</v>
      </c>
      <c r="E2911" t="s">
        <v>60</v>
      </c>
      <c r="F2911" t="s">
        <v>123</v>
      </c>
      <c r="G2911">
        <v>-4</v>
      </c>
      <c r="H2911" t="s">
        <v>18</v>
      </c>
      <c r="I2911" t="s">
        <v>121</v>
      </c>
      <c r="J2911" t="s">
        <v>66</v>
      </c>
      <c r="K2911">
        <v>1</v>
      </c>
      <c r="L2911" s="84">
        <v>-43</v>
      </c>
      <c r="M2911" s="84">
        <v>0</v>
      </c>
    </row>
    <row r="2912" spans="3:13" hidden="1" x14ac:dyDescent="0.25">
      <c r="C2912" t="s">
        <v>64</v>
      </c>
      <c r="D2912" t="s">
        <v>120</v>
      </c>
      <c r="E2912" t="s">
        <v>63</v>
      </c>
      <c r="F2912" t="s">
        <v>123</v>
      </c>
      <c r="G2912">
        <v>3</v>
      </c>
      <c r="H2912" t="s">
        <v>75</v>
      </c>
      <c r="I2912" t="s">
        <v>121</v>
      </c>
      <c r="J2912" t="s">
        <v>122</v>
      </c>
      <c r="K2912">
        <v>0</v>
      </c>
      <c r="L2912" s="84">
        <v>4596753</v>
      </c>
      <c r="M2912" s="84">
        <v>13790259</v>
      </c>
    </row>
    <row r="2913" spans="3:13" hidden="1" x14ac:dyDescent="0.25">
      <c r="C2913" t="s">
        <v>119</v>
      </c>
      <c r="D2913" t="s">
        <v>120</v>
      </c>
      <c r="E2913" t="s">
        <v>63</v>
      </c>
      <c r="F2913" t="s">
        <v>123</v>
      </c>
      <c r="G2913">
        <v>-1</v>
      </c>
      <c r="H2913" t="s">
        <v>61</v>
      </c>
      <c r="I2913" t="s">
        <v>121</v>
      </c>
      <c r="J2913" t="s">
        <v>122</v>
      </c>
      <c r="K2913">
        <v>0</v>
      </c>
      <c r="L2913" s="84">
        <v>1071493</v>
      </c>
      <c r="M2913" s="84">
        <v>0</v>
      </c>
    </row>
    <row r="2914" spans="3:13" hidden="1" x14ac:dyDescent="0.25">
      <c r="C2914" t="s">
        <v>119</v>
      </c>
      <c r="D2914" t="s">
        <v>125</v>
      </c>
      <c r="E2914" t="s">
        <v>63</v>
      </c>
      <c r="F2914" t="s">
        <v>25</v>
      </c>
      <c r="G2914">
        <v>12</v>
      </c>
      <c r="I2914" t="s">
        <v>121</v>
      </c>
      <c r="J2914" t="s">
        <v>122</v>
      </c>
      <c r="K2914">
        <v>0</v>
      </c>
      <c r="L2914" s="84">
        <v>2702489</v>
      </c>
      <c r="M2914" s="84">
        <v>32429868</v>
      </c>
    </row>
    <row r="2915" spans="3:13" hidden="1" x14ac:dyDescent="0.25">
      <c r="C2915" t="s">
        <v>119</v>
      </c>
      <c r="D2915" t="s">
        <v>125</v>
      </c>
      <c r="E2915" t="s">
        <v>60</v>
      </c>
      <c r="F2915" t="s">
        <v>25</v>
      </c>
      <c r="G2915">
        <v>33</v>
      </c>
      <c r="I2915" t="s">
        <v>121</v>
      </c>
      <c r="J2915" t="s">
        <v>122</v>
      </c>
      <c r="K2915">
        <v>0</v>
      </c>
      <c r="L2915" s="84">
        <v>-47</v>
      </c>
      <c r="M2915" s="84">
        <v>0</v>
      </c>
    </row>
    <row r="2916" spans="3:13" hidden="1" x14ac:dyDescent="0.25">
      <c r="C2916" t="s">
        <v>119</v>
      </c>
      <c r="D2916" t="s">
        <v>120</v>
      </c>
      <c r="E2916" t="s">
        <v>63</v>
      </c>
      <c r="F2916" t="s">
        <v>25</v>
      </c>
      <c r="G2916">
        <v>12</v>
      </c>
      <c r="H2916" t="s">
        <v>71</v>
      </c>
      <c r="I2916" t="s">
        <v>121</v>
      </c>
      <c r="J2916" t="s">
        <v>122</v>
      </c>
      <c r="K2916">
        <v>0</v>
      </c>
      <c r="L2916" s="84">
        <v>365401</v>
      </c>
      <c r="M2916" s="84">
        <v>4384812</v>
      </c>
    </row>
    <row r="2917" spans="3:13" hidden="1" x14ac:dyDescent="0.25">
      <c r="C2917" t="s">
        <v>119</v>
      </c>
      <c r="D2917" t="s">
        <v>120</v>
      </c>
      <c r="E2917" t="s">
        <v>60</v>
      </c>
      <c r="F2917" t="s">
        <v>124</v>
      </c>
      <c r="G2917">
        <v>1</v>
      </c>
      <c r="H2917" t="s">
        <v>69</v>
      </c>
      <c r="I2917" t="s">
        <v>121</v>
      </c>
      <c r="J2917" t="s">
        <v>122</v>
      </c>
      <c r="K2917">
        <v>0</v>
      </c>
      <c r="L2917" s="84">
        <v>-49716</v>
      </c>
      <c r="M2917" s="84">
        <v>0</v>
      </c>
    </row>
    <row r="2918" spans="3:13" hidden="1" x14ac:dyDescent="0.25">
      <c r="C2918" t="s">
        <v>64</v>
      </c>
      <c r="D2918" t="s">
        <v>120</v>
      </c>
      <c r="E2918" t="s">
        <v>60</v>
      </c>
      <c r="F2918" t="s">
        <v>24</v>
      </c>
      <c r="G2918">
        <v>10</v>
      </c>
      <c r="H2918" t="s">
        <v>68</v>
      </c>
      <c r="I2918" t="s">
        <v>121</v>
      </c>
      <c r="J2918" t="s">
        <v>122</v>
      </c>
      <c r="K2918">
        <v>0</v>
      </c>
      <c r="L2918" s="84">
        <v>-35669</v>
      </c>
      <c r="M2918" s="84">
        <v>0</v>
      </c>
    </row>
    <row r="2919" spans="3:13" hidden="1" x14ac:dyDescent="0.25">
      <c r="C2919" t="s">
        <v>65</v>
      </c>
      <c r="D2919" t="s">
        <v>120</v>
      </c>
      <c r="E2919" t="s">
        <v>60</v>
      </c>
      <c r="F2919" t="s">
        <v>124</v>
      </c>
      <c r="G2919">
        <v>6</v>
      </c>
      <c r="H2919" t="s">
        <v>18</v>
      </c>
      <c r="I2919" t="s">
        <v>121</v>
      </c>
      <c r="J2919" t="s">
        <v>66</v>
      </c>
      <c r="K2919">
        <v>1</v>
      </c>
      <c r="L2919" s="84">
        <v>-42418</v>
      </c>
      <c r="M2919" s="84">
        <v>0</v>
      </c>
    </row>
    <row r="2920" spans="3:13" hidden="1" x14ac:dyDescent="0.25">
      <c r="C2920" t="s">
        <v>65</v>
      </c>
      <c r="D2920" t="s">
        <v>120</v>
      </c>
      <c r="E2920" t="s">
        <v>63</v>
      </c>
      <c r="F2920" t="s">
        <v>123</v>
      </c>
      <c r="G2920">
        <v>1</v>
      </c>
      <c r="H2920" t="s">
        <v>12</v>
      </c>
      <c r="I2920" t="s">
        <v>121</v>
      </c>
      <c r="J2920" t="s">
        <v>66</v>
      </c>
      <c r="K2920">
        <v>1</v>
      </c>
      <c r="L2920" s="84">
        <v>29184</v>
      </c>
      <c r="M2920" s="84">
        <v>29184</v>
      </c>
    </row>
    <row r="2921" spans="3:13" hidden="1" x14ac:dyDescent="0.25">
      <c r="C2921" t="s">
        <v>119</v>
      </c>
      <c r="D2921" t="s">
        <v>120</v>
      </c>
      <c r="E2921" t="s">
        <v>63</v>
      </c>
      <c r="F2921" t="s">
        <v>123</v>
      </c>
      <c r="G2921">
        <v>4</v>
      </c>
      <c r="H2921" t="s">
        <v>67</v>
      </c>
      <c r="I2921" t="s">
        <v>121</v>
      </c>
      <c r="J2921" t="s">
        <v>122</v>
      </c>
      <c r="K2921">
        <v>0</v>
      </c>
      <c r="L2921" s="84">
        <v>10591538</v>
      </c>
      <c r="M2921" s="84">
        <v>42366152</v>
      </c>
    </row>
    <row r="2922" spans="3:13" hidden="1" x14ac:dyDescent="0.25">
      <c r="C2922" t="s">
        <v>119</v>
      </c>
      <c r="D2922" t="s">
        <v>120</v>
      </c>
      <c r="E2922" t="s">
        <v>60</v>
      </c>
      <c r="F2922" t="s">
        <v>24</v>
      </c>
      <c r="G2922">
        <v>12</v>
      </c>
      <c r="H2922" t="s">
        <v>68</v>
      </c>
      <c r="I2922" t="s">
        <v>121</v>
      </c>
      <c r="J2922" t="s">
        <v>122</v>
      </c>
      <c r="K2922">
        <v>0</v>
      </c>
      <c r="L2922" s="84">
        <v>-22267</v>
      </c>
      <c r="M2922" s="84">
        <v>0</v>
      </c>
    </row>
    <row r="2923" spans="3:13" hidden="1" x14ac:dyDescent="0.25">
      <c r="C2923" t="s">
        <v>65</v>
      </c>
      <c r="D2923" t="s">
        <v>120</v>
      </c>
      <c r="E2923" t="s">
        <v>60</v>
      </c>
      <c r="F2923" t="s">
        <v>124</v>
      </c>
      <c r="G2923">
        <v>-1</v>
      </c>
      <c r="H2923" t="s">
        <v>12</v>
      </c>
      <c r="I2923" t="s">
        <v>121</v>
      </c>
      <c r="J2923" t="s">
        <v>122</v>
      </c>
      <c r="K2923">
        <v>0</v>
      </c>
      <c r="L2923" s="84">
        <v>-384234</v>
      </c>
      <c r="M2923" s="84">
        <v>0</v>
      </c>
    </row>
    <row r="2924" spans="3:13" hidden="1" x14ac:dyDescent="0.25">
      <c r="C2924" t="s">
        <v>65</v>
      </c>
      <c r="D2924" t="s">
        <v>120</v>
      </c>
      <c r="E2924" t="s">
        <v>63</v>
      </c>
      <c r="F2924" t="s">
        <v>124</v>
      </c>
      <c r="G2924">
        <v>5</v>
      </c>
      <c r="H2924" t="s">
        <v>14</v>
      </c>
      <c r="I2924" t="s">
        <v>121</v>
      </c>
      <c r="J2924" t="s">
        <v>66</v>
      </c>
      <c r="K2924">
        <v>1</v>
      </c>
      <c r="L2924" s="84">
        <v>652354</v>
      </c>
      <c r="M2924" s="84">
        <v>3261770</v>
      </c>
    </row>
    <row r="2925" spans="3:13" hidden="1" x14ac:dyDescent="0.25">
      <c r="C2925" t="s">
        <v>119</v>
      </c>
      <c r="D2925" t="s">
        <v>120</v>
      </c>
      <c r="E2925" t="s">
        <v>63</v>
      </c>
      <c r="F2925" t="s">
        <v>25</v>
      </c>
      <c r="G2925">
        <v>5</v>
      </c>
      <c r="H2925" t="s">
        <v>67</v>
      </c>
      <c r="I2925" t="s">
        <v>121</v>
      </c>
      <c r="J2925" t="s">
        <v>122</v>
      </c>
      <c r="K2925">
        <v>0</v>
      </c>
      <c r="L2925" s="84">
        <v>1397046</v>
      </c>
      <c r="M2925" s="84">
        <v>6985230</v>
      </c>
    </row>
    <row r="2926" spans="3:13" hidden="1" x14ac:dyDescent="0.25">
      <c r="C2926" t="s">
        <v>64</v>
      </c>
      <c r="D2926" t="s">
        <v>125</v>
      </c>
      <c r="E2926" t="s">
        <v>63</v>
      </c>
      <c r="F2926" t="s">
        <v>25</v>
      </c>
      <c r="G2926">
        <v>28</v>
      </c>
      <c r="I2926" t="s">
        <v>121</v>
      </c>
      <c r="J2926" t="s">
        <v>122</v>
      </c>
      <c r="K2926">
        <v>0</v>
      </c>
      <c r="L2926" s="84">
        <v>278661</v>
      </c>
      <c r="M2926" s="84">
        <v>7802508</v>
      </c>
    </row>
    <row r="2927" spans="3:13" hidden="1" x14ac:dyDescent="0.25">
      <c r="C2927" t="s">
        <v>64</v>
      </c>
      <c r="D2927" t="s">
        <v>120</v>
      </c>
      <c r="E2927" t="s">
        <v>63</v>
      </c>
      <c r="F2927" t="s">
        <v>124</v>
      </c>
      <c r="G2927">
        <v>0</v>
      </c>
      <c r="H2927" t="s">
        <v>12</v>
      </c>
      <c r="I2927" t="s">
        <v>121</v>
      </c>
      <c r="J2927" t="s">
        <v>122</v>
      </c>
      <c r="K2927">
        <v>0</v>
      </c>
      <c r="L2927" s="84">
        <v>269958</v>
      </c>
      <c r="M2927" s="84">
        <v>0</v>
      </c>
    </row>
    <row r="2928" spans="3:13" hidden="1" x14ac:dyDescent="0.25">
      <c r="C2928" t="s">
        <v>119</v>
      </c>
      <c r="D2928" t="s">
        <v>120</v>
      </c>
      <c r="E2928" t="s">
        <v>60</v>
      </c>
      <c r="F2928" t="s">
        <v>24</v>
      </c>
      <c r="G2928">
        <v>4</v>
      </c>
      <c r="H2928" t="s">
        <v>12</v>
      </c>
      <c r="I2928" t="s">
        <v>121</v>
      </c>
      <c r="J2928" t="s">
        <v>122</v>
      </c>
      <c r="K2928">
        <v>0</v>
      </c>
      <c r="L2928" s="84">
        <v>-73</v>
      </c>
      <c r="M2928" s="84">
        <v>0</v>
      </c>
    </row>
    <row r="2929" spans="3:13" hidden="1" x14ac:dyDescent="0.25">
      <c r="C2929" t="s">
        <v>65</v>
      </c>
      <c r="D2929" t="s">
        <v>125</v>
      </c>
      <c r="E2929" t="s">
        <v>60</v>
      </c>
      <c r="F2929" t="s">
        <v>24</v>
      </c>
      <c r="G2929">
        <v>43</v>
      </c>
      <c r="I2929" t="s">
        <v>121</v>
      </c>
      <c r="J2929" t="s">
        <v>122</v>
      </c>
      <c r="K2929">
        <v>0</v>
      </c>
      <c r="L2929" s="84">
        <v>-88817</v>
      </c>
      <c r="M2929" s="84">
        <v>0</v>
      </c>
    </row>
    <row r="2930" spans="3:13" hidden="1" x14ac:dyDescent="0.25">
      <c r="C2930" t="s">
        <v>119</v>
      </c>
      <c r="D2930" t="s">
        <v>120</v>
      </c>
      <c r="E2930" t="s">
        <v>60</v>
      </c>
      <c r="F2930" t="s">
        <v>25</v>
      </c>
      <c r="G2930">
        <v>7</v>
      </c>
      <c r="H2930" t="s">
        <v>16</v>
      </c>
      <c r="I2930" t="s">
        <v>121</v>
      </c>
      <c r="J2930" t="s">
        <v>122</v>
      </c>
      <c r="K2930">
        <v>0</v>
      </c>
      <c r="L2930" s="84">
        <v>-115</v>
      </c>
      <c r="M2930" s="84">
        <v>0</v>
      </c>
    </row>
    <row r="2931" spans="3:13" hidden="1" x14ac:dyDescent="0.25">
      <c r="C2931" t="s">
        <v>64</v>
      </c>
      <c r="D2931" t="s">
        <v>120</v>
      </c>
      <c r="E2931" t="s">
        <v>60</v>
      </c>
      <c r="F2931" t="s">
        <v>24</v>
      </c>
      <c r="G2931">
        <v>6</v>
      </c>
      <c r="H2931" t="s">
        <v>69</v>
      </c>
      <c r="I2931" t="s">
        <v>121</v>
      </c>
      <c r="J2931" t="s">
        <v>122</v>
      </c>
      <c r="K2931">
        <v>0</v>
      </c>
      <c r="L2931" s="84">
        <v>-18522</v>
      </c>
      <c r="M2931" s="84">
        <v>0</v>
      </c>
    </row>
    <row r="2932" spans="3:13" hidden="1" x14ac:dyDescent="0.25">
      <c r="C2932" t="s">
        <v>64</v>
      </c>
      <c r="D2932" t="s">
        <v>120</v>
      </c>
      <c r="E2932" t="s">
        <v>63</v>
      </c>
      <c r="F2932" t="s">
        <v>124</v>
      </c>
      <c r="G2932">
        <v>-1</v>
      </c>
      <c r="H2932" t="s">
        <v>75</v>
      </c>
      <c r="I2932" t="s">
        <v>121</v>
      </c>
      <c r="J2932" t="s">
        <v>122</v>
      </c>
      <c r="K2932">
        <v>0</v>
      </c>
      <c r="L2932" s="84">
        <v>9984433</v>
      </c>
      <c r="M2932" s="84">
        <v>0</v>
      </c>
    </row>
    <row r="2933" spans="3:13" hidden="1" x14ac:dyDescent="0.25">
      <c r="C2933" t="s">
        <v>119</v>
      </c>
      <c r="D2933" t="s">
        <v>126</v>
      </c>
      <c r="E2933" t="s">
        <v>60</v>
      </c>
      <c r="F2933" t="s">
        <v>25</v>
      </c>
      <c r="G2933">
        <v>15</v>
      </c>
      <c r="H2933" t="s">
        <v>74</v>
      </c>
      <c r="I2933" t="s">
        <v>121</v>
      </c>
      <c r="J2933" t="s">
        <v>122</v>
      </c>
      <c r="K2933">
        <v>0</v>
      </c>
      <c r="L2933" s="84">
        <v>-171</v>
      </c>
      <c r="M2933" s="84">
        <v>0</v>
      </c>
    </row>
    <row r="2934" spans="3:13" hidden="1" x14ac:dyDescent="0.25">
      <c r="C2934" t="s">
        <v>64</v>
      </c>
      <c r="D2934" t="s">
        <v>120</v>
      </c>
      <c r="E2934" t="s">
        <v>60</v>
      </c>
      <c r="F2934" t="s">
        <v>123</v>
      </c>
      <c r="G2934">
        <v>-1</v>
      </c>
      <c r="H2934" t="s">
        <v>14</v>
      </c>
      <c r="I2934" t="s">
        <v>121</v>
      </c>
      <c r="J2934" t="s">
        <v>122</v>
      </c>
      <c r="K2934">
        <v>0</v>
      </c>
      <c r="L2934" s="84">
        <v>-1815</v>
      </c>
      <c r="M2934" s="84">
        <v>0</v>
      </c>
    </row>
    <row r="2935" spans="3:13" hidden="1" x14ac:dyDescent="0.25">
      <c r="C2935" t="s">
        <v>64</v>
      </c>
      <c r="D2935" t="s">
        <v>120</v>
      </c>
      <c r="E2935" t="s">
        <v>63</v>
      </c>
      <c r="F2935" t="s">
        <v>124</v>
      </c>
      <c r="G2935">
        <v>7</v>
      </c>
      <c r="H2935" t="s">
        <v>76</v>
      </c>
      <c r="I2935" t="s">
        <v>121</v>
      </c>
      <c r="J2935" t="s">
        <v>122</v>
      </c>
      <c r="K2935">
        <v>0</v>
      </c>
      <c r="L2935" s="84">
        <v>250535</v>
      </c>
      <c r="M2935" s="84">
        <v>1753745</v>
      </c>
    </row>
    <row r="2936" spans="3:13" hidden="1" x14ac:dyDescent="0.25">
      <c r="C2936" t="s">
        <v>64</v>
      </c>
      <c r="D2936" t="s">
        <v>120</v>
      </c>
      <c r="E2936" t="s">
        <v>63</v>
      </c>
      <c r="F2936" t="s">
        <v>123</v>
      </c>
      <c r="G2936">
        <v>5</v>
      </c>
      <c r="H2936" t="s">
        <v>73</v>
      </c>
      <c r="I2936" t="s">
        <v>121</v>
      </c>
      <c r="J2936" t="s">
        <v>122</v>
      </c>
      <c r="K2936">
        <v>0</v>
      </c>
      <c r="L2936" s="84">
        <v>34413</v>
      </c>
      <c r="M2936" s="84">
        <v>172065</v>
      </c>
    </row>
    <row r="2937" spans="3:13" hidden="1" x14ac:dyDescent="0.25">
      <c r="C2937" t="s">
        <v>65</v>
      </c>
      <c r="D2937" t="s">
        <v>120</v>
      </c>
      <c r="E2937" t="s">
        <v>60</v>
      </c>
      <c r="F2937" t="s">
        <v>25</v>
      </c>
      <c r="G2937">
        <v>3</v>
      </c>
      <c r="H2937" t="s">
        <v>69</v>
      </c>
      <c r="I2937" t="s">
        <v>121</v>
      </c>
      <c r="J2937" t="s">
        <v>122</v>
      </c>
      <c r="K2937">
        <v>0</v>
      </c>
      <c r="L2937" s="84">
        <v>-531589</v>
      </c>
      <c r="M2937" s="84">
        <v>0</v>
      </c>
    </row>
    <row r="2938" spans="3:13" hidden="1" x14ac:dyDescent="0.25">
      <c r="C2938" t="s">
        <v>64</v>
      </c>
      <c r="D2938" t="s">
        <v>125</v>
      </c>
      <c r="E2938" t="s">
        <v>63</v>
      </c>
      <c r="F2938" t="s">
        <v>25</v>
      </c>
      <c r="G2938">
        <v>7</v>
      </c>
      <c r="I2938" t="s">
        <v>121</v>
      </c>
      <c r="J2938" t="s">
        <v>122</v>
      </c>
      <c r="K2938">
        <v>0</v>
      </c>
      <c r="L2938" s="84">
        <v>618541</v>
      </c>
      <c r="M2938" s="84">
        <v>4329787</v>
      </c>
    </row>
    <row r="2939" spans="3:13" hidden="1" x14ac:dyDescent="0.25">
      <c r="C2939" t="s">
        <v>119</v>
      </c>
      <c r="D2939" t="s">
        <v>120</v>
      </c>
      <c r="E2939" t="s">
        <v>60</v>
      </c>
      <c r="F2939" t="s">
        <v>24</v>
      </c>
      <c r="G2939">
        <v>7</v>
      </c>
      <c r="H2939" t="s">
        <v>14</v>
      </c>
      <c r="I2939" t="s">
        <v>121</v>
      </c>
      <c r="J2939" t="s">
        <v>122</v>
      </c>
      <c r="K2939">
        <v>0</v>
      </c>
      <c r="L2939" s="84">
        <v>-112</v>
      </c>
      <c r="M2939" s="84">
        <v>0</v>
      </c>
    </row>
    <row r="2940" spans="3:13" hidden="1" x14ac:dyDescent="0.25">
      <c r="C2940" t="s">
        <v>64</v>
      </c>
      <c r="D2940" t="s">
        <v>120</v>
      </c>
      <c r="E2940" t="s">
        <v>60</v>
      </c>
      <c r="F2940" t="s">
        <v>24</v>
      </c>
      <c r="G2940">
        <v>4</v>
      </c>
      <c r="H2940" t="s">
        <v>14</v>
      </c>
      <c r="I2940" t="s">
        <v>121</v>
      </c>
      <c r="J2940" t="s">
        <v>122</v>
      </c>
      <c r="K2940">
        <v>0</v>
      </c>
      <c r="L2940" s="84">
        <v>-927</v>
      </c>
      <c r="M2940" s="84">
        <v>0</v>
      </c>
    </row>
    <row r="2941" spans="3:13" hidden="1" x14ac:dyDescent="0.25">
      <c r="C2941" t="s">
        <v>64</v>
      </c>
      <c r="D2941" t="s">
        <v>120</v>
      </c>
      <c r="E2941" t="s">
        <v>63</v>
      </c>
      <c r="F2941" t="s">
        <v>124</v>
      </c>
      <c r="G2941">
        <v>4</v>
      </c>
      <c r="H2941" t="s">
        <v>18</v>
      </c>
      <c r="I2941" t="s">
        <v>121</v>
      </c>
      <c r="J2941" t="s">
        <v>122</v>
      </c>
      <c r="K2941">
        <v>0</v>
      </c>
      <c r="L2941" s="84">
        <v>11201001</v>
      </c>
      <c r="M2941" s="84">
        <v>44804004</v>
      </c>
    </row>
    <row r="2942" spans="3:13" hidden="1" x14ac:dyDescent="0.25">
      <c r="C2942" t="s">
        <v>65</v>
      </c>
      <c r="D2942" t="s">
        <v>120</v>
      </c>
      <c r="E2942" t="s">
        <v>60</v>
      </c>
      <c r="F2942" t="s">
        <v>25</v>
      </c>
      <c r="G2942">
        <v>5</v>
      </c>
      <c r="H2942" t="s">
        <v>76</v>
      </c>
      <c r="I2942" t="s">
        <v>121</v>
      </c>
      <c r="J2942" t="s">
        <v>122</v>
      </c>
      <c r="K2942">
        <v>0</v>
      </c>
      <c r="L2942" s="84">
        <v>-81067</v>
      </c>
      <c r="M2942" s="84">
        <v>0</v>
      </c>
    </row>
    <row r="2943" spans="3:13" hidden="1" x14ac:dyDescent="0.25">
      <c r="C2943" t="s">
        <v>65</v>
      </c>
      <c r="D2943" t="s">
        <v>120</v>
      </c>
      <c r="E2943" t="s">
        <v>60</v>
      </c>
      <c r="F2943" t="s">
        <v>24</v>
      </c>
      <c r="G2943">
        <v>14</v>
      </c>
      <c r="H2943" t="s">
        <v>68</v>
      </c>
      <c r="I2943" t="s">
        <v>121</v>
      </c>
      <c r="J2943" t="s">
        <v>122</v>
      </c>
      <c r="K2943">
        <v>0</v>
      </c>
      <c r="L2943" s="84">
        <v>-48352</v>
      </c>
      <c r="M2943" s="84">
        <v>0</v>
      </c>
    </row>
    <row r="2944" spans="3:13" hidden="1" x14ac:dyDescent="0.25">
      <c r="C2944" t="s">
        <v>119</v>
      </c>
      <c r="D2944" t="s">
        <v>120</v>
      </c>
      <c r="E2944" t="s">
        <v>63</v>
      </c>
      <c r="F2944" t="s">
        <v>25</v>
      </c>
      <c r="G2944">
        <v>14</v>
      </c>
      <c r="H2944" t="s">
        <v>61</v>
      </c>
      <c r="I2944" t="s">
        <v>121</v>
      </c>
      <c r="J2944" t="s">
        <v>122</v>
      </c>
      <c r="K2944">
        <v>0</v>
      </c>
      <c r="L2944" s="84">
        <v>2076170</v>
      </c>
      <c r="M2944" s="84">
        <v>29066380</v>
      </c>
    </row>
    <row r="2945" spans="3:13" hidden="1" x14ac:dyDescent="0.25">
      <c r="C2945" t="s">
        <v>119</v>
      </c>
      <c r="D2945" t="s">
        <v>120</v>
      </c>
      <c r="E2945" t="s">
        <v>60</v>
      </c>
      <c r="F2945" t="s">
        <v>124</v>
      </c>
      <c r="G2945">
        <v>-1</v>
      </c>
      <c r="H2945" t="s">
        <v>14</v>
      </c>
      <c r="I2945" t="s">
        <v>121</v>
      </c>
      <c r="J2945" t="s">
        <v>122</v>
      </c>
      <c r="K2945">
        <v>0</v>
      </c>
      <c r="L2945" s="84">
        <v>-473010</v>
      </c>
      <c r="M2945" s="84">
        <v>0</v>
      </c>
    </row>
    <row r="2946" spans="3:13" hidden="1" x14ac:dyDescent="0.25">
      <c r="C2946" t="s">
        <v>119</v>
      </c>
      <c r="D2946" t="s">
        <v>120</v>
      </c>
      <c r="E2946" t="s">
        <v>60</v>
      </c>
      <c r="F2946" t="s">
        <v>24</v>
      </c>
      <c r="G2946">
        <v>-1</v>
      </c>
      <c r="H2946" t="s">
        <v>18</v>
      </c>
      <c r="I2946" t="s">
        <v>121</v>
      </c>
      <c r="J2946" t="s">
        <v>122</v>
      </c>
      <c r="K2946">
        <v>0</v>
      </c>
      <c r="L2946" s="84">
        <v>-2078</v>
      </c>
      <c r="M2946" s="84">
        <v>0</v>
      </c>
    </row>
    <row r="2947" spans="3:13" hidden="1" x14ac:dyDescent="0.25">
      <c r="C2947" t="s">
        <v>64</v>
      </c>
      <c r="D2947" t="s">
        <v>120</v>
      </c>
      <c r="E2947" t="s">
        <v>63</v>
      </c>
      <c r="F2947" t="s">
        <v>25</v>
      </c>
      <c r="G2947">
        <v>8</v>
      </c>
      <c r="H2947" t="s">
        <v>69</v>
      </c>
      <c r="I2947" t="s">
        <v>121</v>
      </c>
      <c r="J2947" t="s">
        <v>122</v>
      </c>
      <c r="K2947">
        <v>0</v>
      </c>
      <c r="L2947" s="84">
        <v>861054</v>
      </c>
      <c r="M2947" s="84">
        <v>6888432</v>
      </c>
    </row>
    <row r="2948" spans="3:13" hidden="1" x14ac:dyDescent="0.25">
      <c r="C2948" t="s">
        <v>119</v>
      </c>
      <c r="D2948" t="s">
        <v>120</v>
      </c>
      <c r="E2948" t="s">
        <v>60</v>
      </c>
      <c r="F2948" t="s">
        <v>123</v>
      </c>
      <c r="G2948">
        <v>1</v>
      </c>
      <c r="H2948" t="s">
        <v>74</v>
      </c>
      <c r="I2948" t="s">
        <v>121</v>
      </c>
      <c r="J2948" t="s">
        <v>122</v>
      </c>
      <c r="K2948">
        <v>0</v>
      </c>
      <c r="L2948" s="84">
        <v>-70</v>
      </c>
      <c r="M2948" s="84">
        <v>0</v>
      </c>
    </row>
    <row r="2949" spans="3:13" hidden="1" x14ac:dyDescent="0.25">
      <c r="C2949" t="s">
        <v>65</v>
      </c>
      <c r="D2949" t="s">
        <v>125</v>
      </c>
      <c r="E2949" t="s">
        <v>60</v>
      </c>
      <c r="F2949" t="s">
        <v>24</v>
      </c>
      <c r="G2949">
        <v>-1</v>
      </c>
      <c r="I2949" t="s">
        <v>121</v>
      </c>
      <c r="J2949" t="s">
        <v>122</v>
      </c>
      <c r="K2949">
        <v>0</v>
      </c>
      <c r="L2949" s="84">
        <v>-247590</v>
      </c>
      <c r="M2949" s="84">
        <v>0</v>
      </c>
    </row>
    <row r="2950" spans="3:13" hidden="1" x14ac:dyDescent="0.25">
      <c r="C2950" t="s">
        <v>64</v>
      </c>
      <c r="D2950" t="s">
        <v>120</v>
      </c>
      <c r="E2950" t="s">
        <v>60</v>
      </c>
      <c r="F2950" t="s">
        <v>124</v>
      </c>
      <c r="G2950">
        <v>6</v>
      </c>
      <c r="H2950" t="s">
        <v>72</v>
      </c>
      <c r="I2950" t="s">
        <v>121</v>
      </c>
      <c r="J2950" t="s">
        <v>122</v>
      </c>
      <c r="K2950">
        <v>0</v>
      </c>
      <c r="L2950" s="84">
        <v>-12262</v>
      </c>
      <c r="M2950" s="84">
        <v>0</v>
      </c>
    </row>
    <row r="2951" spans="3:13" hidden="1" x14ac:dyDescent="0.25">
      <c r="C2951" t="s">
        <v>119</v>
      </c>
      <c r="D2951" t="s">
        <v>120</v>
      </c>
      <c r="E2951" t="s">
        <v>63</v>
      </c>
      <c r="F2951" t="s">
        <v>124</v>
      </c>
      <c r="G2951">
        <v>3</v>
      </c>
      <c r="H2951" t="s">
        <v>18</v>
      </c>
      <c r="I2951" t="s">
        <v>121</v>
      </c>
      <c r="J2951" t="s">
        <v>66</v>
      </c>
      <c r="K2951">
        <v>1</v>
      </c>
      <c r="L2951" s="84">
        <v>6005941</v>
      </c>
      <c r="M2951" s="84">
        <v>18017823</v>
      </c>
    </row>
    <row r="2952" spans="3:13" hidden="1" x14ac:dyDescent="0.25">
      <c r="C2952" t="s">
        <v>64</v>
      </c>
      <c r="D2952" t="s">
        <v>120</v>
      </c>
      <c r="E2952" t="s">
        <v>63</v>
      </c>
      <c r="F2952" t="s">
        <v>24</v>
      </c>
      <c r="G2952">
        <v>6</v>
      </c>
      <c r="H2952" t="s">
        <v>61</v>
      </c>
      <c r="I2952" t="s">
        <v>121</v>
      </c>
      <c r="J2952" t="s">
        <v>122</v>
      </c>
      <c r="K2952">
        <v>0</v>
      </c>
      <c r="L2952" s="84">
        <v>41770</v>
      </c>
      <c r="M2952" s="84">
        <v>250620</v>
      </c>
    </row>
    <row r="2953" spans="3:13" hidden="1" x14ac:dyDescent="0.25">
      <c r="C2953" t="s">
        <v>64</v>
      </c>
      <c r="D2953" t="s">
        <v>120</v>
      </c>
      <c r="E2953" t="s">
        <v>63</v>
      </c>
      <c r="F2953" t="s">
        <v>124</v>
      </c>
      <c r="G2953">
        <v>6</v>
      </c>
      <c r="H2953" t="s">
        <v>72</v>
      </c>
      <c r="I2953" t="s">
        <v>121</v>
      </c>
      <c r="J2953" t="s">
        <v>122</v>
      </c>
      <c r="K2953">
        <v>0</v>
      </c>
      <c r="L2953" s="84">
        <v>86036</v>
      </c>
      <c r="M2953" s="84">
        <v>516216</v>
      </c>
    </row>
    <row r="2954" spans="3:13" hidden="1" x14ac:dyDescent="0.25">
      <c r="C2954" t="s">
        <v>64</v>
      </c>
      <c r="D2954" t="s">
        <v>120</v>
      </c>
      <c r="E2954" t="s">
        <v>60</v>
      </c>
      <c r="F2954" t="s">
        <v>25</v>
      </c>
      <c r="G2954">
        <v>13</v>
      </c>
      <c r="H2954" t="s">
        <v>76</v>
      </c>
      <c r="I2954" t="s">
        <v>121</v>
      </c>
      <c r="J2954" t="s">
        <v>122</v>
      </c>
      <c r="K2954">
        <v>0</v>
      </c>
      <c r="L2954" s="84">
        <v>-9114</v>
      </c>
      <c r="M2954" s="84">
        <v>0</v>
      </c>
    </row>
    <row r="2955" spans="3:13" hidden="1" x14ac:dyDescent="0.25">
      <c r="C2955" t="s">
        <v>119</v>
      </c>
      <c r="D2955" t="s">
        <v>120</v>
      </c>
      <c r="E2955" t="s">
        <v>60</v>
      </c>
      <c r="F2955" t="s">
        <v>123</v>
      </c>
      <c r="G2955">
        <v>4</v>
      </c>
      <c r="H2955" t="s">
        <v>12</v>
      </c>
      <c r="I2955" t="s">
        <v>121</v>
      </c>
      <c r="J2955" t="s">
        <v>66</v>
      </c>
      <c r="K2955">
        <v>1</v>
      </c>
      <c r="L2955" s="84">
        <v>-3713</v>
      </c>
      <c r="M2955" s="84">
        <v>0</v>
      </c>
    </row>
    <row r="2956" spans="3:13" hidden="1" x14ac:dyDescent="0.25">
      <c r="C2956" t="s">
        <v>65</v>
      </c>
      <c r="D2956" t="s">
        <v>120</v>
      </c>
      <c r="E2956" t="s">
        <v>60</v>
      </c>
      <c r="F2956" t="s">
        <v>123</v>
      </c>
      <c r="G2956">
        <v>0</v>
      </c>
      <c r="H2956" t="s">
        <v>17</v>
      </c>
      <c r="I2956" t="s">
        <v>62</v>
      </c>
      <c r="J2956" t="s">
        <v>66</v>
      </c>
      <c r="K2956">
        <v>1</v>
      </c>
      <c r="L2956" s="84">
        <v>-17444</v>
      </c>
      <c r="M2956" s="84">
        <v>0</v>
      </c>
    </row>
    <row r="2957" spans="3:13" hidden="1" x14ac:dyDescent="0.25">
      <c r="C2957" t="s">
        <v>64</v>
      </c>
      <c r="D2957" t="s">
        <v>120</v>
      </c>
      <c r="E2957" t="s">
        <v>63</v>
      </c>
      <c r="F2957" t="s">
        <v>123</v>
      </c>
      <c r="G2957">
        <v>1</v>
      </c>
      <c r="H2957" t="s">
        <v>14</v>
      </c>
      <c r="I2957" t="s">
        <v>121</v>
      </c>
      <c r="J2957" t="s">
        <v>122</v>
      </c>
      <c r="K2957">
        <v>0</v>
      </c>
      <c r="L2957" s="84">
        <v>692541</v>
      </c>
      <c r="M2957" s="84">
        <v>692541</v>
      </c>
    </row>
    <row r="2958" spans="3:13" hidden="1" x14ac:dyDescent="0.25">
      <c r="C2958" t="s">
        <v>119</v>
      </c>
      <c r="D2958" t="s">
        <v>120</v>
      </c>
      <c r="E2958" t="s">
        <v>60</v>
      </c>
      <c r="F2958" t="s">
        <v>24</v>
      </c>
      <c r="G2958">
        <v>10</v>
      </c>
      <c r="H2958" t="s">
        <v>61</v>
      </c>
      <c r="I2958" t="s">
        <v>121</v>
      </c>
      <c r="J2958" t="s">
        <v>122</v>
      </c>
      <c r="K2958">
        <v>0</v>
      </c>
      <c r="L2958" s="84">
        <v>-373</v>
      </c>
      <c r="M2958" s="84">
        <v>0</v>
      </c>
    </row>
    <row r="2959" spans="3:13" hidden="1" x14ac:dyDescent="0.25">
      <c r="C2959" t="s">
        <v>119</v>
      </c>
      <c r="D2959" t="s">
        <v>120</v>
      </c>
      <c r="E2959" t="s">
        <v>60</v>
      </c>
      <c r="F2959" t="s">
        <v>25</v>
      </c>
      <c r="G2959">
        <v>10</v>
      </c>
      <c r="H2959" t="s">
        <v>68</v>
      </c>
      <c r="I2959" t="s">
        <v>121</v>
      </c>
      <c r="J2959" t="s">
        <v>122</v>
      </c>
      <c r="K2959">
        <v>0</v>
      </c>
      <c r="L2959" s="84">
        <v>-40056</v>
      </c>
      <c r="M2959" s="84">
        <v>0</v>
      </c>
    </row>
    <row r="2960" spans="3:13" hidden="1" x14ac:dyDescent="0.25">
      <c r="C2960" t="s">
        <v>64</v>
      </c>
      <c r="D2960" t="s">
        <v>120</v>
      </c>
      <c r="E2960" t="s">
        <v>63</v>
      </c>
      <c r="F2960" t="s">
        <v>25</v>
      </c>
      <c r="G2960">
        <v>1</v>
      </c>
      <c r="H2960" t="s">
        <v>67</v>
      </c>
      <c r="I2960" t="s">
        <v>121</v>
      </c>
      <c r="J2960" t="s">
        <v>122</v>
      </c>
      <c r="K2960">
        <v>0</v>
      </c>
      <c r="L2960" s="84">
        <v>27680</v>
      </c>
      <c r="M2960" s="84">
        <v>27680</v>
      </c>
    </row>
    <row r="2961" spans="3:13" hidden="1" x14ac:dyDescent="0.25">
      <c r="C2961" t="s">
        <v>65</v>
      </c>
      <c r="D2961" t="s">
        <v>120</v>
      </c>
      <c r="E2961" t="s">
        <v>60</v>
      </c>
      <c r="F2961" t="s">
        <v>124</v>
      </c>
      <c r="G2961">
        <v>4</v>
      </c>
      <c r="H2961" t="s">
        <v>75</v>
      </c>
      <c r="I2961" t="s">
        <v>121</v>
      </c>
      <c r="J2961" t="s">
        <v>122</v>
      </c>
      <c r="K2961">
        <v>0</v>
      </c>
      <c r="L2961" s="84">
        <v>-296639</v>
      </c>
      <c r="M2961" s="84">
        <v>0</v>
      </c>
    </row>
    <row r="2962" spans="3:13" hidden="1" x14ac:dyDescent="0.25">
      <c r="C2962" t="s">
        <v>119</v>
      </c>
      <c r="D2962" t="s">
        <v>120</v>
      </c>
      <c r="E2962" t="s">
        <v>60</v>
      </c>
      <c r="F2962" t="s">
        <v>123</v>
      </c>
      <c r="G2962">
        <v>4</v>
      </c>
      <c r="H2962" t="s">
        <v>17</v>
      </c>
      <c r="I2962" t="s">
        <v>62</v>
      </c>
      <c r="J2962" t="s">
        <v>122</v>
      </c>
      <c r="K2962">
        <v>1</v>
      </c>
      <c r="L2962" s="84">
        <v>-24</v>
      </c>
      <c r="M2962" s="84">
        <v>0</v>
      </c>
    </row>
    <row r="2963" spans="3:13" hidden="1" x14ac:dyDescent="0.25">
      <c r="C2963" t="s">
        <v>119</v>
      </c>
      <c r="D2963" t="s">
        <v>120</v>
      </c>
      <c r="E2963" t="s">
        <v>60</v>
      </c>
      <c r="F2963" t="s">
        <v>24</v>
      </c>
      <c r="G2963">
        <v>8</v>
      </c>
      <c r="H2963" t="s">
        <v>17</v>
      </c>
      <c r="I2963" t="s">
        <v>121</v>
      </c>
      <c r="J2963" t="s">
        <v>122</v>
      </c>
      <c r="K2963">
        <v>0</v>
      </c>
      <c r="L2963" s="84">
        <v>-3900</v>
      </c>
      <c r="M2963" s="84">
        <v>0</v>
      </c>
    </row>
    <row r="2964" spans="3:13" hidden="1" x14ac:dyDescent="0.25">
      <c r="C2964" t="s">
        <v>64</v>
      </c>
      <c r="D2964" t="s">
        <v>120</v>
      </c>
      <c r="E2964" t="s">
        <v>60</v>
      </c>
      <c r="F2964" t="s">
        <v>25</v>
      </c>
      <c r="G2964">
        <v>10</v>
      </c>
      <c r="H2964" t="s">
        <v>67</v>
      </c>
      <c r="I2964" t="s">
        <v>121</v>
      </c>
      <c r="J2964" t="s">
        <v>122</v>
      </c>
      <c r="K2964">
        <v>0</v>
      </c>
      <c r="L2964" s="84">
        <v>-62602</v>
      </c>
      <c r="M2964" s="84">
        <v>0</v>
      </c>
    </row>
    <row r="2965" spans="3:13" hidden="1" x14ac:dyDescent="0.25">
      <c r="C2965" t="s">
        <v>64</v>
      </c>
      <c r="D2965" t="s">
        <v>125</v>
      </c>
      <c r="E2965" t="s">
        <v>60</v>
      </c>
      <c r="F2965" t="s">
        <v>24</v>
      </c>
      <c r="G2965">
        <v>43</v>
      </c>
      <c r="I2965" t="s">
        <v>121</v>
      </c>
      <c r="J2965" t="s">
        <v>122</v>
      </c>
      <c r="K2965">
        <v>0</v>
      </c>
      <c r="L2965" s="84">
        <v>-97708</v>
      </c>
      <c r="M2965" s="84">
        <v>0</v>
      </c>
    </row>
    <row r="2966" spans="3:13" hidden="1" x14ac:dyDescent="0.25">
      <c r="C2966" t="s">
        <v>64</v>
      </c>
      <c r="D2966" t="s">
        <v>120</v>
      </c>
      <c r="E2966" t="s">
        <v>60</v>
      </c>
      <c r="F2966" t="s">
        <v>24</v>
      </c>
      <c r="G2966">
        <v>12</v>
      </c>
      <c r="H2966" t="s">
        <v>61</v>
      </c>
      <c r="I2966" t="s">
        <v>121</v>
      </c>
      <c r="J2966" t="s">
        <v>122</v>
      </c>
      <c r="K2966">
        <v>0</v>
      </c>
      <c r="L2966" s="84">
        <v>-8661</v>
      </c>
      <c r="M2966" s="84">
        <v>0</v>
      </c>
    </row>
    <row r="2967" spans="3:13" hidden="1" x14ac:dyDescent="0.25">
      <c r="C2967" t="s">
        <v>64</v>
      </c>
      <c r="D2967" t="s">
        <v>120</v>
      </c>
      <c r="E2967" t="s">
        <v>60</v>
      </c>
      <c r="F2967" t="s">
        <v>123</v>
      </c>
      <c r="G2967">
        <v>2</v>
      </c>
      <c r="H2967" t="s">
        <v>18</v>
      </c>
      <c r="I2967" t="s">
        <v>121</v>
      </c>
      <c r="J2967" t="s">
        <v>66</v>
      </c>
      <c r="K2967">
        <v>1</v>
      </c>
      <c r="L2967" s="84">
        <v>-2386</v>
      </c>
      <c r="M2967" s="84">
        <v>0</v>
      </c>
    </row>
    <row r="2968" spans="3:13" hidden="1" x14ac:dyDescent="0.25">
      <c r="C2968" t="s">
        <v>64</v>
      </c>
      <c r="D2968" t="s">
        <v>120</v>
      </c>
      <c r="E2968" t="s">
        <v>63</v>
      </c>
      <c r="F2968" t="s">
        <v>124</v>
      </c>
      <c r="G2968">
        <v>2</v>
      </c>
      <c r="H2968" t="s">
        <v>13</v>
      </c>
      <c r="I2968" t="s">
        <v>121</v>
      </c>
      <c r="J2968" t="s">
        <v>122</v>
      </c>
      <c r="K2968">
        <v>0</v>
      </c>
      <c r="L2968" s="84">
        <v>171691</v>
      </c>
      <c r="M2968" s="84">
        <v>343382</v>
      </c>
    </row>
    <row r="2969" spans="3:13" hidden="1" x14ac:dyDescent="0.25">
      <c r="C2969" t="s">
        <v>119</v>
      </c>
      <c r="D2969" t="s">
        <v>120</v>
      </c>
      <c r="E2969" t="s">
        <v>60</v>
      </c>
      <c r="F2969" t="s">
        <v>123</v>
      </c>
      <c r="G2969">
        <v>3</v>
      </c>
      <c r="H2969" t="s">
        <v>12</v>
      </c>
      <c r="I2969" t="s">
        <v>121</v>
      </c>
      <c r="J2969" t="s">
        <v>66</v>
      </c>
      <c r="K2969">
        <v>1</v>
      </c>
      <c r="L2969" s="84">
        <v>-1561</v>
      </c>
      <c r="M2969" s="84">
        <v>0</v>
      </c>
    </row>
    <row r="2970" spans="3:13" hidden="1" x14ac:dyDescent="0.25">
      <c r="C2970" t="s">
        <v>64</v>
      </c>
      <c r="D2970" t="s">
        <v>125</v>
      </c>
      <c r="E2970" t="s">
        <v>60</v>
      </c>
      <c r="F2970" t="s">
        <v>25</v>
      </c>
      <c r="G2970">
        <v>2</v>
      </c>
      <c r="I2970" t="s">
        <v>121</v>
      </c>
      <c r="J2970" t="s">
        <v>122</v>
      </c>
      <c r="K2970">
        <v>0</v>
      </c>
      <c r="L2970" s="84">
        <v>-10565</v>
      </c>
      <c r="M2970" s="84">
        <v>0</v>
      </c>
    </row>
    <row r="2971" spans="3:13" hidden="1" x14ac:dyDescent="0.25">
      <c r="C2971" t="s">
        <v>64</v>
      </c>
      <c r="D2971" t="s">
        <v>120</v>
      </c>
      <c r="E2971" t="s">
        <v>60</v>
      </c>
      <c r="F2971" t="s">
        <v>123</v>
      </c>
      <c r="G2971">
        <v>6</v>
      </c>
      <c r="H2971" t="s">
        <v>18</v>
      </c>
      <c r="I2971" t="s">
        <v>121</v>
      </c>
      <c r="J2971" t="s">
        <v>66</v>
      </c>
      <c r="K2971">
        <v>1</v>
      </c>
      <c r="L2971" s="84">
        <v>-4497</v>
      </c>
      <c r="M2971" s="84">
        <v>0</v>
      </c>
    </row>
    <row r="2972" spans="3:13" hidden="1" x14ac:dyDescent="0.25">
      <c r="C2972" t="s">
        <v>119</v>
      </c>
      <c r="D2972" t="s">
        <v>120</v>
      </c>
      <c r="E2972" t="s">
        <v>63</v>
      </c>
      <c r="F2972" t="s">
        <v>124</v>
      </c>
      <c r="G2972">
        <v>7</v>
      </c>
      <c r="H2972" t="s">
        <v>12</v>
      </c>
      <c r="I2972" t="s">
        <v>121</v>
      </c>
      <c r="J2972" t="s">
        <v>66</v>
      </c>
      <c r="K2972">
        <v>1</v>
      </c>
      <c r="L2972" s="84">
        <v>2994109</v>
      </c>
      <c r="M2972" s="84">
        <v>20958763</v>
      </c>
    </row>
    <row r="2973" spans="3:13" hidden="1" x14ac:dyDescent="0.25">
      <c r="C2973" t="s">
        <v>64</v>
      </c>
      <c r="D2973" t="s">
        <v>120</v>
      </c>
      <c r="E2973" t="s">
        <v>63</v>
      </c>
      <c r="F2973" t="s">
        <v>24</v>
      </c>
      <c r="G2973">
        <v>8</v>
      </c>
      <c r="H2973" t="s">
        <v>72</v>
      </c>
      <c r="I2973" t="s">
        <v>121</v>
      </c>
      <c r="J2973" t="s">
        <v>122</v>
      </c>
      <c r="K2973">
        <v>0</v>
      </c>
      <c r="L2973" s="84">
        <v>810151</v>
      </c>
      <c r="M2973" s="84">
        <v>6481208</v>
      </c>
    </row>
    <row r="2974" spans="3:13" hidden="1" x14ac:dyDescent="0.25">
      <c r="C2974" t="s">
        <v>64</v>
      </c>
      <c r="D2974" t="s">
        <v>120</v>
      </c>
      <c r="E2974" t="s">
        <v>60</v>
      </c>
      <c r="F2974" t="s">
        <v>124</v>
      </c>
      <c r="G2974">
        <v>10</v>
      </c>
      <c r="H2974" t="s">
        <v>76</v>
      </c>
      <c r="I2974" t="s">
        <v>121</v>
      </c>
      <c r="J2974" t="s">
        <v>122</v>
      </c>
      <c r="K2974">
        <v>0</v>
      </c>
      <c r="L2974" s="84">
        <v>-90533</v>
      </c>
      <c r="M2974" s="84">
        <v>0</v>
      </c>
    </row>
    <row r="2975" spans="3:13" hidden="1" x14ac:dyDescent="0.25">
      <c r="C2975" t="s">
        <v>119</v>
      </c>
      <c r="D2975" t="s">
        <v>120</v>
      </c>
      <c r="E2975" t="s">
        <v>63</v>
      </c>
      <c r="F2975" t="s">
        <v>123</v>
      </c>
      <c r="G2975">
        <v>-1</v>
      </c>
      <c r="H2975" t="s">
        <v>71</v>
      </c>
      <c r="I2975" t="s">
        <v>121</v>
      </c>
      <c r="J2975" t="s">
        <v>122</v>
      </c>
      <c r="K2975">
        <v>0</v>
      </c>
      <c r="L2975" s="84">
        <v>150743</v>
      </c>
      <c r="M2975" s="84">
        <v>0</v>
      </c>
    </row>
    <row r="2976" spans="3:13" hidden="1" x14ac:dyDescent="0.25">
      <c r="C2976" t="s">
        <v>64</v>
      </c>
      <c r="D2976" t="s">
        <v>120</v>
      </c>
      <c r="E2976" t="s">
        <v>63</v>
      </c>
      <c r="F2976" t="s">
        <v>25</v>
      </c>
      <c r="G2976">
        <v>13</v>
      </c>
      <c r="H2976" t="s">
        <v>14</v>
      </c>
      <c r="I2976" t="s">
        <v>121</v>
      </c>
      <c r="J2976" t="s">
        <v>122</v>
      </c>
      <c r="K2976">
        <v>0</v>
      </c>
      <c r="L2976" s="84">
        <v>316921</v>
      </c>
      <c r="M2976" s="84">
        <v>4119973</v>
      </c>
    </row>
    <row r="2977" spans="3:13" hidden="1" x14ac:dyDescent="0.25">
      <c r="C2977" t="s">
        <v>119</v>
      </c>
      <c r="D2977" t="s">
        <v>120</v>
      </c>
      <c r="E2977" t="s">
        <v>63</v>
      </c>
      <c r="F2977" t="s">
        <v>25</v>
      </c>
      <c r="G2977">
        <v>12</v>
      </c>
      <c r="H2977" t="s">
        <v>61</v>
      </c>
      <c r="I2977" t="s">
        <v>121</v>
      </c>
      <c r="J2977" t="s">
        <v>122</v>
      </c>
      <c r="K2977">
        <v>0</v>
      </c>
      <c r="L2977" s="84">
        <v>770073</v>
      </c>
      <c r="M2977" s="84">
        <v>9240876</v>
      </c>
    </row>
    <row r="2978" spans="3:13" hidden="1" x14ac:dyDescent="0.25">
      <c r="C2978" t="s">
        <v>64</v>
      </c>
      <c r="D2978" t="s">
        <v>120</v>
      </c>
      <c r="E2978" t="s">
        <v>60</v>
      </c>
      <c r="F2978" t="s">
        <v>25</v>
      </c>
      <c r="G2978">
        <v>5</v>
      </c>
      <c r="H2978" t="s">
        <v>69</v>
      </c>
      <c r="I2978" t="s">
        <v>121</v>
      </c>
      <c r="J2978" t="s">
        <v>122</v>
      </c>
      <c r="K2978">
        <v>0</v>
      </c>
      <c r="L2978" s="84">
        <v>-184444</v>
      </c>
      <c r="M2978" s="84">
        <v>0</v>
      </c>
    </row>
    <row r="2979" spans="3:13" hidden="1" x14ac:dyDescent="0.25">
      <c r="C2979" t="s">
        <v>64</v>
      </c>
      <c r="D2979" t="s">
        <v>120</v>
      </c>
      <c r="E2979" t="s">
        <v>60</v>
      </c>
      <c r="F2979" t="s">
        <v>124</v>
      </c>
      <c r="G2979">
        <v>1</v>
      </c>
      <c r="H2979" t="s">
        <v>14</v>
      </c>
      <c r="I2979" t="s">
        <v>121</v>
      </c>
      <c r="J2979" t="s">
        <v>66</v>
      </c>
      <c r="K2979">
        <v>1</v>
      </c>
      <c r="L2979" s="84">
        <v>-278460</v>
      </c>
      <c r="M2979" s="84">
        <v>0</v>
      </c>
    </row>
    <row r="2980" spans="3:13" hidden="1" x14ac:dyDescent="0.25">
      <c r="C2980" t="s">
        <v>119</v>
      </c>
      <c r="D2980" t="s">
        <v>120</v>
      </c>
      <c r="E2980" t="s">
        <v>60</v>
      </c>
      <c r="F2980" t="s">
        <v>25</v>
      </c>
      <c r="G2980">
        <v>5</v>
      </c>
      <c r="H2980" t="s">
        <v>75</v>
      </c>
      <c r="I2980" t="s">
        <v>121</v>
      </c>
      <c r="J2980" t="s">
        <v>122</v>
      </c>
      <c r="K2980">
        <v>0</v>
      </c>
      <c r="L2980" s="84">
        <v>-1472</v>
      </c>
      <c r="M2980" s="84">
        <v>0</v>
      </c>
    </row>
    <row r="2981" spans="3:13" hidden="1" x14ac:dyDescent="0.25">
      <c r="C2981" t="s">
        <v>64</v>
      </c>
      <c r="D2981" t="s">
        <v>120</v>
      </c>
      <c r="E2981" t="s">
        <v>63</v>
      </c>
      <c r="F2981" t="s">
        <v>124</v>
      </c>
      <c r="G2981">
        <v>-1</v>
      </c>
      <c r="H2981" t="s">
        <v>12</v>
      </c>
      <c r="I2981" t="s">
        <v>62</v>
      </c>
      <c r="J2981" t="s">
        <v>66</v>
      </c>
      <c r="K2981">
        <v>1</v>
      </c>
      <c r="L2981" s="84">
        <v>603387</v>
      </c>
      <c r="M2981" s="84">
        <v>0</v>
      </c>
    </row>
    <row r="2982" spans="3:13" hidden="1" x14ac:dyDescent="0.25">
      <c r="C2982" t="s">
        <v>119</v>
      </c>
      <c r="D2982" t="s">
        <v>126</v>
      </c>
      <c r="E2982" t="s">
        <v>60</v>
      </c>
      <c r="F2982" t="s">
        <v>25</v>
      </c>
      <c r="G2982">
        <v>6</v>
      </c>
      <c r="H2982" t="s">
        <v>14</v>
      </c>
      <c r="I2982" t="s">
        <v>121</v>
      </c>
      <c r="J2982" t="s">
        <v>122</v>
      </c>
      <c r="K2982">
        <v>0</v>
      </c>
      <c r="L2982" s="84">
        <v>-938</v>
      </c>
      <c r="M2982" s="84">
        <v>0</v>
      </c>
    </row>
    <row r="2983" spans="3:13" hidden="1" x14ac:dyDescent="0.25">
      <c r="C2983" t="s">
        <v>119</v>
      </c>
      <c r="D2983" t="s">
        <v>120</v>
      </c>
      <c r="E2983" t="s">
        <v>60</v>
      </c>
      <c r="F2983" t="s">
        <v>124</v>
      </c>
      <c r="G2983">
        <v>9</v>
      </c>
      <c r="H2983" t="s">
        <v>72</v>
      </c>
      <c r="I2983" t="s">
        <v>121</v>
      </c>
      <c r="J2983" t="s">
        <v>122</v>
      </c>
      <c r="K2983">
        <v>0</v>
      </c>
      <c r="L2983" s="84">
        <v>-701</v>
      </c>
      <c r="M2983" s="84">
        <v>0</v>
      </c>
    </row>
    <row r="2984" spans="3:13" hidden="1" x14ac:dyDescent="0.25">
      <c r="C2984" t="s">
        <v>65</v>
      </c>
      <c r="D2984" t="s">
        <v>120</v>
      </c>
      <c r="E2984" t="s">
        <v>63</v>
      </c>
      <c r="F2984" t="s">
        <v>124</v>
      </c>
      <c r="G2984">
        <v>-4</v>
      </c>
      <c r="H2984" t="s">
        <v>12</v>
      </c>
      <c r="I2984" t="s">
        <v>121</v>
      </c>
      <c r="J2984" t="s">
        <v>122</v>
      </c>
      <c r="K2984">
        <v>0</v>
      </c>
      <c r="L2984" s="84">
        <v>332375</v>
      </c>
      <c r="M2984" s="84">
        <v>0</v>
      </c>
    </row>
    <row r="2985" spans="3:13" hidden="1" x14ac:dyDescent="0.25">
      <c r="C2985" t="s">
        <v>65</v>
      </c>
      <c r="D2985" t="s">
        <v>120</v>
      </c>
      <c r="E2985" t="s">
        <v>60</v>
      </c>
      <c r="F2985" t="s">
        <v>124</v>
      </c>
      <c r="G2985">
        <v>9</v>
      </c>
      <c r="H2985" t="s">
        <v>73</v>
      </c>
      <c r="I2985" t="s">
        <v>121</v>
      </c>
      <c r="J2985" t="s">
        <v>122</v>
      </c>
      <c r="K2985">
        <v>0</v>
      </c>
      <c r="L2985" s="84">
        <v>-92048</v>
      </c>
      <c r="M2985" s="84">
        <v>0</v>
      </c>
    </row>
    <row r="2986" spans="3:13" hidden="1" x14ac:dyDescent="0.25">
      <c r="C2986" t="s">
        <v>119</v>
      </c>
      <c r="D2986" t="s">
        <v>120</v>
      </c>
      <c r="E2986" t="s">
        <v>60</v>
      </c>
      <c r="F2986" t="s">
        <v>123</v>
      </c>
      <c r="G2986">
        <v>6</v>
      </c>
      <c r="H2986" t="s">
        <v>18</v>
      </c>
      <c r="I2986" t="s">
        <v>121</v>
      </c>
      <c r="J2986" t="s">
        <v>66</v>
      </c>
      <c r="K2986">
        <v>1</v>
      </c>
      <c r="L2986" s="84">
        <v>-313</v>
      </c>
      <c r="M2986" s="84">
        <v>0</v>
      </c>
    </row>
    <row r="2987" spans="3:13" hidden="1" x14ac:dyDescent="0.25">
      <c r="C2987" t="s">
        <v>65</v>
      </c>
      <c r="D2987" t="s">
        <v>120</v>
      </c>
      <c r="E2987" t="s">
        <v>63</v>
      </c>
      <c r="F2987" t="s">
        <v>24</v>
      </c>
      <c r="G2987">
        <v>-4</v>
      </c>
      <c r="H2987" t="s">
        <v>75</v>
      </c>
      <c r="I2987" t="s">
        <v>121</v>
      </c>
      <c r="J2987" t="s">
        <v>122</v>
      </c>
      <c r="K2987">
        <v>0</v>
      </c>
      <c r="L2987" s="84">
        <v>5429</v>
      </c>
      <c r="M2987" s="84">
        <v>0</v>
      </c>
    </row>
    <row r="2988" spans="3:13" hidden="1" x14ac:dyDescent="0.25">
      <c r="C2988" t="s">
        <v>64</v>
      </c>
      <c r="D2988" t="s">
        <v>120</v>
      </c>
      <c r="E2988" t="s">
        <v>60</v>
      </c>
      <c r="F2988" t="s">
        <v>25</v>
      </c>
      <c r="G2988">
        <v>13</v>
      </c>
      <c r="H2988" t="s">
        <v>68</v>
      </c>
      <c r="I2988" t="s">
        <v>121</v>
      </c>
      <c r="J2988" t="s">
        <v>122</v>
      </c>
      <c r="K2988">
        <v>0</v>
      </c>
      <c r="L2988" s="84">
        <v>-292353</v>
      </c>
      <c r="M2988" s="84">
        <v>0</v>
      </c>
    </row>
    <row r="2989" spans="3:13" hidden="1" x14ac:dyDescent="0.25">
      <c r="C2989" t="s">
        <v>65</v>
      </c>
      <c r="D2989" t="s">
        <v>120</v>
      </c>
      <c r="E2989" t="s">
        <v>63</v>
      </c>
      <c r="F2989" t="s">
        <v>124</v>
      </c>
      <c r="G2989">
        <v>1</v>
      </c>
      <c r="H2989" t="s">
        <v>61</v>
      </c>
      <c r="I2989" t="s">
        <v>121</v>
      </c>
      <c r="J2989" t="s">
        <v>122</v>
      </c>
      <c r="K2989">
        <v>0</v>
      </c>
      <c r="L2989" s="84">
        <v>698197</v>
      </c>
      <c r="M2989" s="84">
        <v>698197</v>
      </c>
    </row>
    <row r="2990" spans="3:13" hidden="1" x14ac:dyDescent="0.25">
      <c r="C2990" t="s">
        <v>64</v>
      </c>
      <c r="D2990" t="s">
        <v>120</v>
      </c>
      <c r="E2990" t="s">
        <v>60</v>
      </c>
      <c r="F2990" t="s">
        <v>123</v>
      </c>
      <c r="G2990">
        <v>3</v>
      </c>
      <c r="H2990" t="s">
        <v>12</v>
      </c>
      <c r="I2990" t="s">
        <v>121</v>
      </c>
      <c r="J2990" t="s">
        <v>66</v>
      </c>
      <c r="K2990">
        <v>1</v>
      </c>
      <c r="L2990" s="84">
        <v>-4927</v>
      </c>
      <c r="M2990" s="84">
        <v>0</v>
      </c>
    </row>
    <row r="2991" spans="3:13" hidden="1" x14ac:dyDescent="0.25">
      <c r="C2991" t="s">
        <v>119</v>
      </c>
      <c r="D2991" t="s">
        <v>120</v>
      </c>
      <c r="E2991" t="s">
        <v>60</v>
      </c>
      <c r="F2991" t="s">
        <v>24</v>
      </c>
      <c r="G2991">
        <v>10</v>
      </c>
      <c r="H2991" t="s">
        <v>71</v>
      </c>
      <c r="I2991" t="s">
        <v>121</v>
      </c>
      <c r="J2991" t="s">
        <v>122</v>
      </c>
      <c r="K2991">
        <v>0</v>
      </c>
      <c r="L2991" s="84">
        <v>-88</v>
      </c>
      <c r="M2991" s="84">
        <v>0</v>
      </c>
    </row>
    <row r="2992" spans="3:13" hidden="1" x14ac:dyDescent="0.25">
      <c r="C2992" t="s">
        <v>119</v>
      </c>
      <c r="D2992" t="s">
        <v>120</v>
      </c>
      <c r="E2992" t="s">
        <v>63</v>
      </c>
      <c r="F2992" t="s">
        <v>25</v>
      </c>
      <c r="G2992">
        <v>4</v>
      </c>
      <c r="H2992" t="s">
        <v>67</v>
      </c>
      <c r="I2992" t="s">
        <v>121</v>
      </c>
      <c r="J2992" t="s">
        <v>122</v>
      </c>
      <c r="K2992">
        <v>0</v>
      </c>
      <c r="L2992" s="84">
        <v>10283541</v>
      </c>
      <c r="M2992" s="84">
        <v>41134164</v>
      </c>
    </row>
    <row r="2993" spans="3:13" hidden="1" x14ac:dyDescent="0.25">
      <c r="C2993" t="s">
        <v>64</v>
      </c>
      <c r="D2993" t="s">
        <v>120</v>
      </c>
      <c r="E2993" t="s">
        <v>60</v>
      </c>
      <c r="F2993" t="s">
        <v>25</v>
      </c>
      <c r="G2993">
        <v>10</v>
      </c>
      <c r="H2993" t="s">
        <v>73</v>
      </c>
      <c r="I2993" t="s">
        <v>121</v>
      </c>
      <c r="J2993" t="s">
        <v>122</v>
      </c>
      <c r="K2993">
        <v>0</v>
      </c>
      <c r="L2993" s="84">
        <v>-2577</v>
      </c>
      <c r="M2993" s="84">
        <v>0</v>
      </c>
    </row>
    <row r="2994" spans="3:13" hidden="1" x14ac:dyDescent="0.25">
      <c r="C2994" t="s">
        <v>119</v>
      </c>
      <c r="D2994" t="s">
        <v>120</v>
      </c>
      <c r="E2994" t="s">
        <v>63</v>
      </c>
      <c r="F2994" t="s">
        <v>124</v>
      </c>
      <c r="G2994">
        <v>2</v>
      </c>
      <c r="H2994" t="s">
        <v>75</v>
      </c>
      <c r="I2994" t="s">
        <v>62</v>
      </c>
      <c r="J2994" t="s">
        <v>122</v>
      </c>
      <c r="K2994">
        <v>1</v>
      </c>
      <c r="L2994" s="84">
        <v>42008</v>
      </c>
      <c r="M2994" s="84">
        <v>84016</v>
      </c>
    </row>
    <row r="2995" spans="3:13" hidden="1" x14ac:dyDescent="0.25">
      <c r="C2995" t="s">
        <v>64</v>
      </c>
      <c r="D2995" t="s">
        <v>120</v>
      </c>
      <c r="E2995" t="s">
        <v>63</v>
      </c>
      <c r="F2995" t="s">
        <v>123</v>
      </c>
      <c r="G2995">
        <v>5</v>
      </c>
      <c r="H2995" t="s">
        <v>67</v>
      </c>
      <c r="I2995" t="s">
        <v>121</v>
      </c>
      <c r="J2995" t="s">
        <v>122</v>
      </c>
      <c r="K2995">
        <v>0</v>
      </c>
      <c r="L2995" s="84">
        <v>291583</v>
      </c>
      <c r="M2995" s="84">
        <v>1457915</v>
      </c>
    </row>
    <row r="2996" spans="3:13" hidden="1" x14ac:dyDescent="0.25">
      <c r="C2996" t="s">
        <v>119</v>
      </c>
      <c r="D2996" t="s">
        <v>120</v>
      </c>
      <c r="E2996" t="s">
        <v>60</v>
      </c>
      <c r="F2996" t="s">
        <v>25</v>
      </c>
      <c r="G2996">
        <v>10</v>
      </c>
      <c r="H2996" t="s">
        <v>12</v>
      </c>
      <c r="I2996" t="s">
        <v>121</v>
      </c>
      <c r="J2996" t="s">
        <v>66</v>
      </c>
      <c r="K2996">
        <v>1</v>
      </c>
      <c r="L2996" s="84">
        <v>-1350</v>
      </c>
      <c r="M2996" s="84">
        <v>0</v>
      </c>
    </row>
    <row r="2997" spans="3:13" hidden="1" x14ac:dyDescent="0.25">
      <c r="C2997" t="s">
        <v>119</v>
      </c>
      <c r="D2997" t="s">
        <v>120</v>
      </c>
      <c r="E2997" t="s">
        <v>63</v>
      </c>
      <c r="F2997" t="s">
        <v>24</v>
      </c>
      <c r="G2997">
        <v>8</v>
      </c>
      <c r="H2997" t="s">
        <v>69</v>
      </c>
      <c r="I2997" t="s">
        <v>121</v>
      </c>
      <c r="J2997" t="s">
        <v>122</v>
      </c>
      <c r="K2997">
        <v>0</v>
      </c>
      <c r="L2997" s="84">
        <v>3934658</v>
      </c>
      <c r="M2997" s="84">
        <v>31477264</v>
      </c>
    </row>
    <row r="2998" spans="3:13" hidden="1" x14ac:dyDescent="0.25">
      <c r="C2998" t="s">
        <v>119</v>
      </c>
      <c r="D2998" t="s">
        <v>120</v>
      </c>
      <c r="E2998" t="s">
        <v>63</v>
      </c>
      <c r="F2998" t="s">
        <v>124</v>
      </c>
      <c r="G2998">
        <v>1</v>
      </c>
      <c r="H2998" t="s">
        <v>15</v>
      </c>
      <c r="I2998" t="s">
        <v>121</v>
      </c>
      <c r="J2998" t="s">
        <v>122</v>
      </c>
      <c r="K2998">
        <v>0</v>
      </c>
      <c r="L2998" s="84">
        <v>3967331</v>
      </c>
      <c r="M2998" s="84">
        <v>3967331</v>
      </c>
    </row>
    <row r="2999" spans="3:13" hidden="1" x14ac:dyDescent="0.25">
      <c r="C2999" t="s">
        <v>119</v>
      </c>
      <c r="D2999" t="s">
        <v>120</v>
      </c>
      <c r="E2999" t="s">
        <v>60</v>
      </c>
      <c r="F2999" t="s">
        <v>124</v>
      </c>
      <c r="G2999">
        <v>14</v>
      </c>
      <c r="H2999" t="s">
        <v>69</v>
      </c>
      <c r="I2999" t="s">
        <v>121</v>
      </c>
      <c r="J2999" t="s">
        <v>122</v>
      </c>
      <c r="K2999">
        <v>0</v>
      </c>
      <c r="L2999" s="84">
        <v>-1798</v>
      </c>
      <c r="M2999" s="84">
        <v>0</v>
      </c>
    </row>
    <row r="3000" spans="3:13" hidden="1" x14ac:dyDescent="0.25">
      <c r="C3000" t="s">
        <v>119</v>
      </c>
      <c r="D3000" t="s">
        <v>120</v>
      </c>
      <c r="E3000" t="s">
        <v>60</v>
      </c>
      <c r="F3000" t="s">
        <v>124</v>
      </c>
      <c r="G3000">
        <v>5</v>
      </c>
      <c r="H3000" t="s">
        <v>74</v>
      </c>
      <c r="I3000" t="s">
        <v>121</v>
      </c>
      <c r="J3000" t="s">
        <v>122</v>
      </c>
      <c r="K3000">
        <v>0</v>
      </c>
      <c r="L3000" s="84">
        <v>-2679</v>
      </c>
      <c r="M3000" s="84">
        <v>0</v>
      </c>
    </row>
    <row r="3001" spans="3:13" hidden="1" x14ac:dyDescent="0.25">
      <c r="C3001" t="s">
        <v>64</v>
      </c>
      <c r="D3001" t="s">
        <v>120</v>
      </c>
      <c r="E3001" t="s">
        <v>60</v>
      </c>
      <c r="F3001" t="s">
        <v>24</v>
      </c>
      <c r="G3001">
        <v>2</v>
      </c>
      <c r="H3001" t="s">
        <v>14</v>
      </c>
      <c r="I3001" t="s">
        <v>121</v>
      </c>
      <c r="J3001" t="s">
        <v>122</v>
      </c>
      <c r="K3001">
        <v>0</v>
      </c>
      <c r="L3001" s="84">
        <v>-359</v>
      </c>
      <c r="M3001" s="84">
        <v>0</v>
      </c>
    </row>
    <row r="3002" spans="3:13" hidden="1" x14ac:dyDescent="0.25">
      <c r="C3002" t="s">
        <v>65</v>
      </c>
      <c r="D3002" t="s">
        <v>125</v>
      </c>
      <c r="E3002" t="s">
        <v>63</v>
      </c>
      <c r="F3002" t="s">
        <v>24</v>
      </c>
      <c r="G3002">
        <v>32</v>
      </c>
      <c r="I3002" t="s">
        <v>121</v>
      </c>
      <c r="J3002" t="s">
        <v>122</v>
      </c>
      <c r="K3002">
        <v>0</v>
      </c>
      <c r="L3002" s="84">
        <v>6044249</v>
      </c>
      <c r="M3002" s="84">
        <v>193415968</v>
      </c>
    </row>
    <row r="3003" spans="3:13" hidden="1" x14ac:dyDescent="0.25">
      <c r="C3003" t="s">
        <v>119</v>
      </c>
      <c r="D3003" t="s">
        <v>120</v>
      </c>
      <c r="E3003" t="s">
        <v>63</v>
      </c>
      <c r="F3003" t="s">
        <v>124</v>
      </c>
      <c r="G3003">
        <v>12</v>
      </c>
      <c r="H3003" t="s">
        <v>67</v>
      </c>
      <c r="I3003" t="s">
        <v>121</v>
      </c>
      <c r="J3003" t="s">
        <v>122</v>
      </c>
      <c r="K3003">
        <v>0</v>
      </c>
      <c r="L3003" s="84">
        <v>3974470</v>
      </c>
      <c r="M3003" s="84">
        <v>47693640</v>
      </c>
    </row>
    <row r="3004" spans="3:13" hidden="1" x14ac:dyDescent="0.25">
      <c r="C3004" t="s">
        <v>119</v>
      </c>
      <c r="D3004" t="s">
        <v>120</v>
      </c>
      <c r="E3004" t="s">
        <v>60</v>
      </c>
      <c r="F3004" t="s">
        <v>24</v>
      </c>
      <c r="G3004">
        <v>-1</v>
      </c>
      <c r="H3004" t="s">
        <v>14</v>
      </c>
      <c r="I3004" t="s">
        <v>121</v>
      </c>
      <c r="J3004" t="s">
        <v>66</v>
      </c>
      <c r="K3004">
        <v>1</v>
      </c>
      <c r="L3004" s="84">
        <v>-1553</v>
      </c>
      <c r="M3004" s="84">
        <v>0</v>
      </c>
    </row>
    <row r="3005" spans="3:13" hidden="1" x14ac:dyDescent="0.25">
      <c r="C3005" t="s">
        <v>119</v>
      </c>
      <c r="D3005" t="s">
        <v>120</v>
      </c>
      <c r="E3005" t="s">
        <v>60</v>
      </c>
      <c r="F3005" t="s">
        <v>24</v>
      </c>
      <c r="G3005">
        <v>11</v>
      </c>
      <c r="H3005" t="s">
        <v>69</v>
      </c>
      <c r="I3005" t="s">
        <v>121</v>
      </c>
      <c r="J3005" t="s">
        <v>122</v>
      </c>
      <c r="K3005">
        <v>0</v>
      </c>
      <c r="L3005" s="84">
        <v>-9431</v>
      </c>
      <c r="M3005" s="84">
        <v>0</v>
      </c>
    </row>
    <row r="3006" spans="3:13" hidden="1" x14ac:dyDescent="0.25">
      <c r="C3006" t="s">
        <v>65</v>
      </c>
      <c r="D3006" t="s">
        <v>120</v>
      </c>
      <c r="E3006" t="s">
        <v>63</v>
      </c>
      <c r="F3006" t="s">
        <v>124</v>
      </c>
      <c r="G3006">
        <v>2</v>
      </c>
      <c r="H3006" t="s">
        <v>17</v>
      </c>
      <c r="I3006" t="s">
        <v>62</v>
      </c>
      <c r="J3006" t="s">
        <v>66</v>
      </c>
      <c r="K3006">
        <v>1</v>
      </c>
      <c r="L3006" s="84">
        <v>42338</v>
      </c>
      <c r="M3006" s="84">
        <v>84676</v>
      </c>
    </row>
    <row r="3007" spans="3:13" hidden="1" x14ac:dyDescent="0.25">
      <c r="C3007" t="s">
        <v>65</v>
      </c>
      <c r="D3007" t="s">
        <v>120</v>
      </c>
      <c r="E3007" t="s">
        <v>63</v>
      </c>
      <c r="F3007" t="s">
        <v>123</v>
      </c>
      <c r="G3007">
        <v>-4</v>
      </c>
      <c r="H3007" t="s">
        <v>14</v>
      </c>
      <c r="I3007" t="s">
        <v>121</v>
      </c>
      <c r="J3007" t="s">
        <v>122</v>
      </c>
      <c r="K3007">
        <v>0</v>
      </c>
      <c r="L3007" s="84">
        <v>955550</v>
      </c>
      <c r="M3007" s="84">
        <v>0</v>
      </c>
    </row>
    <row r="3008" spans="3:13" hidden="1" x14ac:dyDescent="0.25">
      <c r="C3008" t="s">
        <v>119</v>
      </c>
      <c r="D3008" t="s">
        <v>125</v>
      </c>
      <c r="E3008" t="s">
        <v>63</v>
      </c>
      <c r="F3008" t="s">
        <v>25</v>
      </c>
      <c r="G3008">
        <v>18</v>
      </c>
      <c r="I3008" t="s">
        <v>121</v>
      </c>
      <c r="J3008" t="s">
        <v>122</v>
      </c>
      <c r="K3008">
        <v>0</v>
      </c>
      <c r="L3008" s="84">
        <v>332955</v>
      </c>
      <c r="M3008" s="84">
        <v>5993190</v>
      </c>
    </row>
    <row r="3009" spans="3:13" hidden="1" x14ac:dyDescent="0.25">
      <c r="C3009" t="s">
        <v>119</v>
      </c>
      <c r="D3009" t="s">
        <v>120</v>
      </c>
      <c r="E3009" t="s">
        <v>60</v>
      </c>
      <c r="F3009" t="s">
        <v>124</v>
      </c>
      <c r="G3009">
        <v>10</v>
      </c>
      <c r="H3009" t="s">
        <v>71</v>
      </c>
      <c r="I3009" t="s">
        <v>121</v>
      </c>
      <c r="J3009" t="s">
        <v>122</v>
      </c>
      <c r="K3009">
        <v>0</v>
      </c>
      <c r="L3009" s="84">
        <v>-4467</v>
      </c>
      <c r="M3009" s="84">
        <v>0</v>
      </c>
    </row>
    <row r="3010" spans="3:13" hidden="1" x14ac:dyDescent="0.25">
      <c r="C3010" t="s">
        <v>119</v>
      </c>
      <c r="D3010" t="s">
        <v>120</v>
      </c>
      <c r="E3010" t="s">
        <v>60</v>
      </c>
      <c r="F3010" t="s">
        <v>124</v>
      </c>
      <c r="G3010">
        <v>11</v>
      </c>
      <c r="H3010" t="s">
        <v>61</v>
      </c>
      <c r="I3010" t="s">
        <v>121</v>
      </c>
      <c r="J3010" t="s">
        <v>122</v>
      </c>
      <c r="K3010">
        <v>0</v>
      </c>
      <c r="L3010" s="84">
        <v>-206</v>
      </c>
      <c r="M3010" s="84">
        <v>0</v>
      </c>
    </row>
    <row r="3011" spans="3:13" hidden="1" x14ac:dyDescent="0.25">
      <c r="C3011" t="s">
        <v>119</v>
      </c>
      <c r="D3011" t="s">
        <v>120</v>
      </c>
      <c r="E3011" t="s">
        <v>63</v>
      </c>
      <c r="F3011" t="s">
        <v>25</v>
      </c>
      <c r="G3011">
        <v>3</v>
      </c>
      <c r="H3011" t="s">
        <v>61</v>
      </c>
      <c r="I3011" t="s">
        <v>121</v>
      </c>
      <c r="J3011" t="s">
        <v>122</v>
      </c>
      <c r="K3011">
        <v>0</v>
      </c>
      <c r="L3011" s="84">
        <v>414588</v>
      </c>
      <c r="M3011" s="84">
        <v>1243764</v>
      </c>
    </row>
    <row r="3012" spans="3:13" hidden="1" x14ac:dyDescent="0.25">
      <c r="C3012" t="s">
        <v>64</v>
      </c>
      <c r="D3012" t="s">
        <v>120</v>
      </c>
      <c r="E3012" t="s">
        <v>60</v>
      </c>
      <c r="F3012" t="s">
        <v>25</v>
      </c>
      <c r="G3012">
        <v>6</v>
      </c>
      <c r="H3012" t="s">
        <v>18</v>
      </c>
      <c r="I3012" t="s">
        <v>121</v>
      </c>
      <c r="J3012" t="s">
        <v>66</v>
      </c>
      <c r="K3012">
        <v>1</v>
      </c>
      <c r="L3012" s="84">
        <v>-7478</v>
      </c>
      <c r="M3012" s="84">
        <v>0</v>
      </c>
    </row>
    <row r="3013" spans="3:13" hidden="1" x14ac:dyDescent="0.25">
      <c r="C3013" t="s">
        <v>65</v>
      </c>
      <c r="D3013" t="s">
        <v>120</v>
      </c>
      <c r="E3013" t="s">
        <v>63</v>
      </c>
      <c r="F3013" t="s">
        <v>25</v>
      </c>
      <c r="G3013">
        <v>6</v>
      </c>
      <c r="H3013" t="s">
        <v>68</v>
      </c>
      <c r="I3013" t="s">
        <v>121</v>
      </c>
      <c r="J3013" t="s">
        <v>122</v>
      </c>
      <c r="K3013">
        <v>0</v>
      </c>
      <c r="L3013" s="84">
        <v>168366</v>
      </c>
      <c r="M3013" s="84">
        <v>1010196</v>
      </c>
    </row>
    <row r="3014" spans="3:13" hidden="1" x14ac:dyDescent="0.25">
      <c r="C3014" t="s">
        <v>119</v>
      </c>
      <c r="D3014" t="s">
        <v>120</v>
      </c>
      <c r="E3014" t="s">
        <v>60</v>
      </c>
      <c r="F3014" t="s">
        <v>124</v>
      </c>
      <c r="G3014">
        <v>1</v>
      </c>
      <c r="H3014" t="s">
        <v>17</v>
      </c>
      <c r="I3014" t="s">
        <v>62</v>
      </c>
      <c r="J3014" t="s">
        <v>122</v>
      </c>
      <c r="K3014">
        <v>1</v>
      </c>
      <c r="L3014" s="84">
        <v>-346</v>
      </c>
      <c r="M3014" s="84">
        <v>0</v>
      </c>
    </row>
    <row r="3015" spans="3:13" hidden="1" x14ac:dyDescent="0.25">
      <c r="C3015" t="s">
        <v>119</v>
      </c>
      <c r="D3015" t="s">
        <v>120</v>
      </c>
      <c r="E3015" t="s">
        <v>60</v>
      </c>
      <c r="F3015" t="s">
        <v>24</v>
      </c>
      <c r="G3015">
        <v>16</v>
      </c>
      <c r="H3015" t="s">
        <v>17</v>
      </c>
      <c r="I3015" t="s">
        <v>121</v>
      </c>
      <c r="J3015" t="s">
        <v>122</v>
      </c>
      <c r="K3015">
        <v>0</v>
      </c>
      <c r="L3015" s="84">
        <v>-2630</v>
      </c>
      <c r="M3015" s="84">
        <v>0</v>
      </c>
    </row>
    <row r="3016" spans="3:13" hidden="1" x14ac:dyDescent="0.25">
      <c r="C3016" t="s">
        <v>65</v>
      </c>
      <c r="D3016" t="s">
        <v>120</v>
      </c>
      <c r="E3016" t="s">
        <v>63</v>
      </c>
      <c r="F3016" t="s">
        <v>124</v>
      </c>
      <c r="G3016">
        <v>-1</v>
      </c>
      <c r="H3016" t="s">
        <v>16</v>
      </c>
      <c r="I3016" t="s">
        <v>121</v>
      </c>
      <c r="J3016" t="s">
        <v>122</v>
      </c>
      <c r="K3016">
        <v>0</v>
      </c>
      <c r="L3016" s="84">
        <v>74001</v>
      </c>
      <c r="M3016" s="84">
        <v>0</v>
      </c>
    </row>
    <row r="3017" spans="3:13" hidden="1" x14ac:dyDescent="0.25">
      <c r="C3017" t="s">
        <v>119</v>
      </c>
      <c r="D3017" t="s">
        <v>120</v>
      </c>
      <c r="E3017" t="s">
        <v>60</v>
      </c>
      <c r="F3017" t="s">
        <v>123</v>
      </c>
      <c r="G3017">
        <v>5</v>
      </c>
      <c r="H3017" t="s">
        <v>18</v>
      </c>
      <c r="I3017" t="s">
        <v>121</v>
      </c>
      <c r="J3017" t="s">
        <v>122</v>
      </c>
      <c r="K3017">
        <v>0</v>
      </c>
      <c r="L3017" s="84">
        <v>-20164</v>
      </c>
      <c r="M3017" s="84">
        <v>0</v>
      </c>
    </row>
    <row r="3018" spans="3:13" hidden="1" x14ac:dyDescent="0.25">
      <c r="C3018" t="s">
        <v>119</v>
      </c>
      <c r="D3018" t="s">
        <v>120</v>
      </c>
      <c r="E3018" t="s">
        <v>60</v>
      </c>
      <c r="F3018" t="s">
        <v>124</v>
      </c>
      <c r="G3018">
        <v>1</v>
      </c>
      <c r="H3018" t="s">
        <v>12</v>
      </c>
      <c r="I3018" t="s">
        <v>121</v>
      </c>
      <c r="J3018" t="s">
        <v>66</v>
      </c>
      <c r="K3018">
        <v>1</v>
      </c>
      <c r="L3018" s="84">
        <v>-16631</v>
      </c>
      <c r="M3018" s="84">
        <v>0</v>
      </c>
    </row>
    <row r="3019" spans="3:13" hidden="1" x14ac:dyDescent="0.25">
      <c r="C3019" t="s">
        <v>64</v>
      </c>
      <c r="D3019" t="s">
        <v>120</v>
      </c>
      <c r="E3019" t="s">
        <v>60</v>
      </c>
      <c r="F3019" t="s">
        <v>123</v>
      </c>
      <c r="G3019">
        <v>3</v>
      </c>
      <c r="H3019" t="s">
        <v>69</v>
      </c>
      <c r="I3019" t="s">
        <v>121</v>
      </c>
      <c r="J3019" t="s">
        <v>122</v>
      </c>
      <c r="K3019">
        <v>0</v>
      </c>
      <c r="L3019" s="84">
        <v>-29728</v>
      </c>
      <c r="M3019" s="84">
        <v>0</v>
      </c>
    </row>
    <row r="3020" spans="3:13" hidden="1" x14ac:dyDescent="0.25">
      <c r="C3020" t="s">
        <v>119</v>
      </c>
      <c r="D3020" t="s">
        <v>125</v>
      </c>
      <c r="E3020" t="s">
        <v>63</v>
      </c>
      <c r="F3020" t="s">
        <v>24</v>
      </c>
      <c r="G3020">
        <v>49</v>
      </c>
      <c r="I3020" t="s">
        <v>121</v>
      </c>
      <c r="J3020" t="s">
        <v>122</v>
      </c>
      <c r="K3020">
        <v>0</v>
      </c>
      <c r="L3020" s="84">
        <v>443046</v>
      </c>
      <c r="M3020" s="84">
        <v>21709254</v>
      </c>
    </row>
    <row r="3021" spans="3:13" hidden="1" x14ac:dyDescent="0.25">
      <c r="C3021" t="s">
        <v>64</v>
      </c>
      <c r="D3021" t="s">
        <v>120</v>
      </c>
      <c r="E3021" t="s">
        <v>60</v>
      </c>
      <c r="F3021" t="s">
        <v>123</v>
      </c>
      <c r="G3021">
        <v>2</v>
      </c>
      <c r="H3021" t="s">
        <v>72</v>
      </c>
      <c r="I3021" t="s">
        <v>121</v>
      </c>
      <c r="J3021" t="s">
        <v>122</v>
      </c>
      <c r="K3021">
        <v>0</v>
      </c>
      <c r="L3021" s="84">
        <v>-17944</v>
      </c>
      <c r="M3021" s="84">
        <v>0</v>
      </c>
    </row>
    <row r="3022" spans="3:13" hidden="1" x14ac:dyDescent="0.25">
      <c r="C3022" t="s">
        <v>119</v>
      </c>
      <c r="D3022" t="s">
        <v>120</v>
      </c>
      <c r="E3022" t="s">
        <v>60</v>
      </c>
      <c r="F3022" t="s">
        <v>124</v>
      </c>
      <c r="G3022">
        <v>6</v>
      </c>
      <c r="H3022" t="s">
        <v>67</v>
      </c>
      <c r="I3022" t="s">
        <v>121</v>
      </c>
      <c r="J3022" t="s">
        <v>122</v>
      </c>
      <c r="K3022">
        <v>0</v>
      </c>
      <c r="L3022" s="84">
        <v>-21849</v>
      </c>
      <c r="M3022" s="84">
        <v>0</v>
      </c>
    </row>
    <row r="3023" spans="3:13" hidden="1" x14ac:dyDescent="0.25">
      <c r="C3023" t="s">
        <v>64</v>
      </c>
      <c r="D3023" t="s">
        <v>120</v>
      </c>
      <c r="E3023" t="s">
        <v>60</v>
      </c>
      <c r="F3023" t="s">
        <v>124</v>
      </c>
      <c r="G3023">
        <v>2</v>
      </c>
      <c r="H3023" t="s">
        <v>18</v>
      </c>
      <c r="I3023" t="s">
        <v>121</v>
      </c>
      <c r="J3023" t="s">
        <v>122</v>
      </c>
      <c r="K3023">
        <v>0</v>
      </c>
      <c r="L3023" s="84">
        <v>-1574499</v>
      </c>
      <c r="M3023" s="84">
        <v>0</v>
      </c>
    </row>
    <row r="3024" spans="3:13" hidden="1" x14ac:dyDescent="0.25">
      <c r="C3024" t="s">
        <v>65</v>
      </c>
      <c r="D3024" t="s">
        <v>120</v>
      </c>
      <c r="E3024" t="s">
        <v>63</v>
      </c>
      <c r="F3024" t="s">
        <v>124</v>
      </c>
      <c r="G3024">
        <v>2</v>
      </c>
      <c r="H3024" t="s">
        <v>72</v>
      </c>
      <c r="I3024" t="s">
        <v>121</v>
      </c>
      <c r="J3024" t="s">
        <v>122</v>
      </c>
      <c r="K3024">
        <v>0</v>
      </c>
      <c r="L3024" s="84">
        <v>743203</v>
      </c>
      <c r="M3024" s="84">
        <v>1486406</v>
      </c>
    </row>
    <row r="3025" spans="3:13" hidden="1" x14ac:dyDescent="0.25">
      <c r="C3025" t="s">
        <v>119</v>
      </c>
      <c r="D3025" t="s">
        <v>120</v>
      </c>
      <c r="E3025" t="s">
        <v>63</v>
      </c>
      <c r="F3025" t="s">
        <v>25</v>
      </c>
      <c r="G3025">
        <v>10</v>
      </c>
      <c r="H3025" t="s">
        <v>69</v>
      </c>
      <c r="I3025" t="s">
        <v>121</v>
      </c>
      <c r="J3025" t="s">
        <v>122</v>
      </c>
      <c r="K3025">
        <v>0</v>
      </c>
      <c r="L3025" s="84">
        <v>20615721</v>
      </c>
      <c r="M3025" s="84">
        <v>206157210</v>
      </c>
    </row>
    <row r="3026" spans="3:13" hidden="1" x14ac:dyDescent="0.25">
      <c r="C3026" t="s">
        <v>119</v>
      </c>
      <c r="D3026" t="s">
        <v>120</v>
      </c>
      <c r="E3026" t="s">
        <v>60</v>
      </c>
      <c r="F3026" t="s">
        <v>25</v>
      </c>
      <c r="G3026">
        <v>15</v>
      </c>
      <c r="H3026" t="s">
        <v>14</v>
      </c>
      <c r="I3026" t="s">
        <v>121</v>
      </c>
      <c r="J3026" t="s">
        <v>122</v>
      </c>
      <c r="K3026">
        <v>0</v>
      </c>
      <c r="L3026" s="84">
        <v>-776</v>
      </c>
      <c r="M3026" s="84">
        <v>0</v>
      </c>
    </row>
    <row r="3027" spans="3:13" hidden="1" x14ac:dyDescent="0.25">
      <c r="C3027" t="s">
        <v>65</v>
      </c>
      <c r="D3027" t="s">
        <v>120</v>
      </c>
      <c r="E3027" t="s">
        <v>63</v>
      </c>
      <c r="F3027" t="s">
        <v>124</v>
      </c>
      <c r="G3027">
        <v>0</v>
      </c>
      <c r="H3027" t="s">
        <v>68</v>
      </c>
      <c r="I3027" t="s">
        <v>121</v>
      </c>
      <c r="J3027" t="s">
        <v>122</v>
      </c>
      <c r="K3027">
        <v>0</v>
      </c>
      <c r="L3027" s="84">
        <v>66321</v>
      </c>
      <c r="M3027" s="84">
        <v>0</v>
      </c>
    </row>
    <row r="3028" spans="3:13" hidden="1" x14ac:dyDescent="0.25">
      <c r="C3028" t="s">
        <v>64</v>
      </c>
      <c r="D3028" t="s">
        <v>120</v>
      </c>
      <c r="E3028" t="s">
        <v>63</v>
      </c>
      <c r="F3028" t="s">
        <v>24</v>
      </c>
      <c r="G3028">
        <v>13</v>
      </c>
      <c r="H3028" t="s">
        <v>14</v>
      </c>
      <c r="I3028" t="s">
        <v>121</v>
      </c>
      <c r="J3028" t="s">
        <v>122</v>
      </c>
      <c r="K3028">
        <v>0</v>
      </c>
      <c r="L3028" s="84">
        <v>129439</v>
      </c>
      <c r="M3028" s="84">
        <v>1682707</v>
      </c>
    </row>
    <row r="3029" spans="3:13" hidden="1" x14ac:dyDescent="0.25">
      <c r="C3029" t="s">
        <v>64</v>
      </c>
      <c r="D3029" t="s">
        <v>120</v>
      </c>
      <c r="E3029" t="s">
        <v>60</v>
      </c>
      <c r="F3029" t="s">
        <v>24</v>
      </c>
      <c r="G3029">
        <v>3</v>
      </c>
      <c r="H3029" t="s">
        <v>69</v>
      </c>
      <c r="I3029" t="s">
        <v>121</v>
      </c>
      <c r="J3029" t="s">
        <v>122</v>
      </c>
      <c r="K3029">
        <v>0</v>
      </c>
      <c r="L3029" s="84">
        <v>-2930</v>
      </c>
      <c r="M3029" s="84">
        <v>0</v>
      </c>
    </row>
    <row r="3030" spans="3:13" hidden="1" x14ac:dyDescent="0.25">
      <c r="C3030" t="s">
        <v>119</v>
      </c>
      <c r="D3030" t="s">
        <v>125</v>
      </c>
      <c r="E3030" t="s">
        <v>60</v>
      </c>
      <c r="F3030" t="s">
        <v>25</v>
      </c>
      <c r="G3030">
        <v>8</v>
      </c>
      <c r="I3030" t="s">
        <v>121</v>
      </c>
      <c r="J3030" t="s">
        <v>122</v>
      </c>
      <c r="K3030">
        <v>0</v>
      </c>
      <c r="L3030" s="84">
        <v>-6144</v>
      </c>
      <c r="M3030" s="84">
        <v>0</v>
      </c>
    </row>
    <row r="3031" spans="3:13" hidden="1" x14ac:dyDescent="0.25">
      <c r="C3031" t="s">
        <v>64</v>
      </c>
      <c r="D3031" t="s">
        <v>120</v>
      </c>
      <c r="E3031" t="s">
        <v>63</v>
      </c>
      <c r="F3031" t="s">
        <v>123</v>
      </c>
      <c r="G3031">
        <v>-4</v>
      </c>
      <c r="H3031" t="s">
        <v>17</v>
      </c>
      <c r="I3031" t="s">
        <v>62</v>
      </c>
      <c r="J3031" t="s">
        <v>122</v>
      </c>
      <c r="K3031">
        <v>1</v>
      </c>
      <c r="L3031" s="84">
        <v>58</v>
      </c>
      <c r="M3031" s="84">
        <v>0</v>
      </c>
    </row>
    <row r="3032" spans="3:13" hidden="1" x14ac:dyDescent="0.25">
      <c r="C3032" t="s">
        <v>119</v>
      </c>
      <c r="D3032" t="s">
        <v>120</v>
      </c>
      <c r="E3032" t="s">
        <v>63</v>
      </c>
      <c r="F3032" t="s">
        <v>124</v>
      </c>
      <c r="G3032">
        <v>13</v>
      </c>
      <c r="H3032" t="s">
        <v>69</v>
      </c>
      <c r="I3032" t="s">
        <v>121</v>
      </c>
      <c r="J3032" t="s">
        <v>122</v>
      </c>
      <c r="K3032">
        <v>0</v>
      </c>
      <c r="L3032" s="84">
        <v>170302</v>
      </c>
      <c r="M3032" s="84">
        <v>2213926</v>
      </c>
    </row>
    <row r="3033" spans="3:13" hidden="1" x14ac:dyDescent="0.25">
      <c r="C3033" t="s">
        <v>119</v>
      </c>
      <c r="D3033" t="s">
        <v>120</v>
      </c>
      <c r="E3033" t="s">
        <v>60</v>
      </c>
      <c r="F3033" t="s">
        <v>123</v>
      </c>
      <c r="G3033">
        <v>2</v>
      </c>
      <c r="H3033" t="s">
        <v>72</v>
      </c>
      <c r="I3033" t="s">
        <v>121</v>
      </c>
      <c r="J3033" t="s">
        <v>122</v>
      </c>
      <c r="K3033">
        <v>0</v>
      </c>
      <c r="L3033" s="84">
        <v>-14636</v>
      </c>
      <c r="M3033" s="84">
        <v>0</v>
      </c>
    </row>
    <row r="3034" spans="3:13" hidden="1" x14ac:dyDescent="0.25">
      <c r="C3034" t="s">
        <v>119</v>
      </c>
      <c r="D3034" t="s">
        <v>120</v>
      </c>
      <c r="E3034" t="s">
        <v>63</v>
      </c>
      <c r="F3034" t="s">
        <v>124</v>
      </c>
      <c r="G3034">
        <v>0</v>
      </c>
      <c r="H3034" t="s">
        <v>17</v>
      </c>
      <c r="I3034" t="s">
        <v>121</v>
      </c>
      <c r="J3034" t="s">
        <v>122</v>
      </c>
      <c r="K3034">
        <v>0</v>
      </c>
      <c r="L3034" s="84">
        <v>84564738</v>
      </c>
      <c r="M3034" s="84">
        <v>0</v>
      </c>
    </row>
    <row r="3035" spans="3:13" hidden="1" x14ac:dyDescent="0.25">
      <c r="C3035" t="s">
        <v>65</v>
      </c>
      <c r="D3035" t="s">
        <v>125</v>
      </c>
      <c r="E3035" t="s">
        <v>63</v>
      </c>
      <c r="F3035" t="s">
        <v>24</v>
      </c>
      <c r="G3035">
        <v>27</v>
      </c>
      <c r="I3035" t="s">
        <v>121</v>
      </c>
      <c r="J3035" t="s">
        <v>122</v>
      </c>
      <c r="K3035">
        <v>0</v>
      </c>
      <c r="L3035" s="84">
        <v>9452142</v>
      </c>
      <c r="M3035" s="84">
        <v>255207834</v>
      </c>
    </row>
    <row r="3036" spans="3:13" x14ac:dyDescent="0.25">
      <c r="C3036" t="s">
        <v>119</v>
      </c>
      <c r="D3036" t="s">
        <v>120</v>
      </c>
      <c r="E3036" t="s">
        <v>63</v>
      </c>
      <c r="F3036" t="s">
        <v>25</v>
      </c>
      <c r="G3036">
        <v>13</v>
      </c>
      <c r="H3036" t="s">
        <v>14</v>
      </c>
      <c r="I3036" t="s">
        <v>121</v>
      </c>
      <c r="J3036" t="s">
        <v>66</v>
      </c>
      <c r="K3036">
        <v>1</v>
      </c>
      <c r="L3036" s="84">
        <v>166393</v>
      </c>
      <c r="M3036" s="84">
        <v>2163109</v>
      </c>
    </row>
    <row r="3037" spans="3:13" hidden="1" x14ac:dyDescent="0.25">
      <c r="C3037" t="s">
        <v>65</v>
      </c>
      <c r="D3037" t="s">
        <v>120</v>
      </c>
      <c r="E3037" t="s">
        <v>63</v>
      </c>
      <c r="F3037" t="s">
        <v>123</v>
      </c>
      <c r="G3037">
        <v>0</v>
      </c>
      <c r="H3037" t="s">
        <v>70</v>
      </c>
      <c r="I3037" t="s">
        <v>121</v>
      </c>
      <c r="J3037" t="s">
        <v>122</v>
      </c>
      <c r="K3037">
        <v>0</v>
      </c>
      <c r="L3037" s="84">
        <v>17735</v>
      </c>
      <c r="M3037" s="84">
        <v>0</v>
      </c>
    </row>
    <row r="3038" spans="3:13" hidden="1" x14ac:dyDescent="0.25">
      <c r="C3038" t="s">
        <v>64</v>
      </c>
      <c r="D3038" t="s">
        <v>120</v>
      </c>
      <c r="E3038" t="s">
        <v>60</v>
      </c>
      <c r="F3038" t="s">
        <v>25</v>
      </c>
      <c r="G3038">
        <v>11</v>
      </c>
      <c r="H3038" t="s">
        <v>72</v>
      </c>
      <c r="I3038" t="s">
        <v>121</v>
      </c>
      <c r="J3038" t="s">
        <v>122</v>
      </c>
      <c r="K3038">
        <v>0</v>
      </c>
      <c r="L3038" s="84">
        <v>-236605</v>
      </c>
      <c r="M3038" s="84">
        <v>0</v>
      </c>
    </row>
    <row r="3039" spans="3:13" hidden="1" x14ac:dyDescent="0.25">
      <c r="C3039" t="s">
        <v>64</v>
      </c>
      <c r="D3039" t="s">
        <v>120</v>
      </c>
      <c r="E3039" t="s">
        <v>60</v>
      </c>
      <c r="F3039" t="s">
        <v>123</v>
      </c>
      <c r="G3039">
        <v>5</v>
      </c>
      <c r="H3039" t="s">
        <v>18</v>
      </c>
      <c r="I3039" t="s">
        <v>121</v>
      </c>
      <c r="J3039" t="s">
        <v>122</v>
      </c>
      <c r="K3039">
        <v>0</v>
      </c>
      <c r="L3039" s="84">
        <v>-20953</v>
      </c>
      <c r="M3039" s="84">
        <v>0</v>
      </c>
    </row>
    <row r="3040" spans="3:13" hidden="1" x14ac:dyDescent="0.25">
      <c r="C3040" t="s">
        <v>64</v>
      </c>
      <c r="D3040" t="s">
        <v>120</v>
      </c>
      <c r="E3040" t="s">
        <v>63</v>
      </c>
      <c r="F3040" t="s">
        <v>123</v>
      </c>
      <c r="G3040">
        <v>-4</v>
      </c>
      <c r="H3040" t="s">
        <v>12</v>
      </c>
      <c r="I3040" t="s">
        <v>121</v>
      </c>
      <c r="J3040" t="s">
        <v>66</v>
      </c>
      <c r="K3040">
        <v>1</v>
      </c>
      <c r="L3040" s="84">
        <v>79</v>
      </c>
      <c r="M3040" s="84">
        <v>0</v>
      </c>
    </row>
    <row r="3041" spans="3:13" hidden="1" x14ac:dyDescent="0.25">
      <c r="C3041" t="s">
        <v>119</v>
      </c>
      <c r="D3041" t="s">
        <v>120</v>
      </c>
      <c r="E3041" t="s">
        <v>63</v>
      </c>
      <c r="F3041" t="s">
        <v>123</v>
      </c>
      <c r="G3041">
        <v>-4</v>
      </c>
      <c r="H3041" t="s">
        <v>75</v>
      </c>
      <c r="I3041" t="s">
        <v>121</v>
      </c>
      <c r="J3041" t="s">
        <v>122</v>
      </c>
      <c r="K3041">
        <v>0</v>
      </c>
      <c r="L3041" s="84">
        <v>288</v>
      </c>
      <c r="M3041" s="84">
        <v>0</v>
      </c>
    </row>
    <row r="3042" spans="3:13" hidden="1" x14ac:dyDescent="0.25">
      <c r="C3042" t="s">
        <v>119</v>
      </c>
      <c r="D3042" t="s">
        <v>120</v>
      </c>
      <c r="E3042" t="s">
        <v>60</v>
      </c>
      <c r="F3042" t="s">
        <v>123</v>
      </c>
      <c r="G3042">
        <v>1</v>
      </c>
      <c r="H3042" t="s">
        <v>14</v>
      </c>
      <c r="I3042" t="s">
        <v>121</v>
      </c>
      <c r="J3042" t="s">
        <v>66</v>
      </c>
      <c r="K3042">
        <v>1</v>
      </c>
      <c r="L3042" s="84">
        <v>-4016</v>
      </c>
      <c r="M3042" s="84">
        <v>0</v>
      </c>
    </row>
    <row r="3043" spans="3:13" hidden="1" x14ac:dyDescent="0.25">
      <c r="C3043" t="s">
        <v>119</v>
      </c>
      <c r="D3043" t="s">
        <v>120</v>
      </c>
      <c r="E3043" t="s">
        <v>60</v>
      </c>
      <c r="F3043" t="s">
        <v>123</v>
      </c>
      <c r="G3043">
        <v>6</v>
      </c>
      <c r="H3043" t="s">
        <v>72</v>
      </c>
      <c r="I3043" t="s">
        <v>121</v>
      </c>
      <c r="J3043" t="s">
        <v>122</v>
      </c>
      <c r="K3043">
        <v>0</v>
      </c>
      <c r="L3043" s="84">
        <v>-12635</v>
      </c>
      <c r="M3043" s="84">
        <v>0</v>
      </c>
    </row>
    <row r="3044" spans="3:13" hidden="1" x14ac:dyDescent="0.25">
      <c r="C3044" t="s">
        <v>64</v>
      </c>
      <c r="D3044" t="s">
        <v>120</v>
      </c>
      <c r="E3044" t="s">
        <v>60</v>
      </c>
      <c r="F3044" t="s">
        <v>124</v>
      </c>
      <c r="G3044">
        <v>4</v>
      </c>
      <c r="H3044" t="s">
        <v>75</v>
      </c>
      <c r="I3044" t="s">
        <v>121</v>
      </c>
      <c r="J3044" t="s">
        <v>122</v>
      </c>
      <c r="K3044">
        <v>0</v>
      </c>
      <c r="L3044" s="84">
        <v>-427770</v>
      </c>
      <c r="M3044" s="84">
        <v>0</v>
      </c>
    </row>
    <row r="3045" spans="3:13" hidden="1" x14ac:dyDescent="0.25">
      <c r="C3045" t="s">
        <v>119</v>
      </c>
      <c r="D3045" t="s">
        <v>120</v>
      </c>
      <c r="E3045" t="s">
        <v>60</v>
      </c>
      <c r="F3045" t="s">
        <v>123</v>
      </c>
      <c r="G3045">
        <v>4</v>
      </c>
      <c r="H3045" t="s">
        <v>69</v>
      </c>
      <c r="I3045" t="s">
        <v>121</v>
      </c>
      <c r="J3045" t="s">
        <v>122</v>
      </c>
      <c r="K3045">
        <v>0</v>
      </c>
      <c r="L3045" s="84">
        <v>-8614</v>
      </c>
      <c r="M3045" s="84">
        <v>0</v>
      </c>
    </row>
    <row r="3046" spans="3:13" hidden="1" x14ac:dyDescent="0.25">
      <c r="C3046" t="s">
        <v>64</v>
      </c>
      <c r="D3046" t="s">
        <v>120</v>
      </c>
      <c r="E3046" t="s">
        <v>63</v>
      </c>
      <c r="F3046" t="s">
        <v>24</v>
      </c>
      <c r="G3046">
        <v>9</v>
      </c>
      <c r="H3046" t="s">
        <v>69</v>
      </c>
      <c r="I3046" t="s">
        <v>121</v>
      </c>
      <c r="J3046" t="s">
        <v>122</v>
      </c>
      <c r="K3046">
        <v>0</v>
      </c>
      <c r="L3046" s="84">
        <v>3169619</v>
      </c>
      <c r="M3046" s="84">
        <v>28526571</v>
      </c>
    </row>
    <row r="3047" spans="3:13" hidden="1" x14ac:dyDescent="0.25">
      <c r="C3047" t="s">
        <v>64</v>
      </c>
      <c r="D3047" t="s">
        <v>120</v>
      </c>
      <c r="E3047" t="s">
        <v>63</v>
      </c>
      <c r="F3047" t="s">
        <v>24</v>
      </c>
      <c r="G3047">
        <v>3</v>
      </c>
      <c r="H3047" t="s">
        <v>76</v>
      </c>
      <c r="I3047" t="s">
        <v>121</v>
      </c>
      <c r="J3047" t="s">
        <v>122</v>
      </c>
      <c r="K3047">
        <v>0</v>
      </c>
      <c r="L3047" s="84">
        <v>32934</v>
      </c>
      <c r="M3047" s="84">
        <v>98802</v>
      </c>
    </row>
    <row r="3048" spans="3:13" hidden="1" x14ac:dyDescent="0.25">
      <c r="C3048" t="s">
        <v>119</v>
      </c>
      <c r="D3048" t="s">
        <v>120</v>
      </c>
      <c r="E3048" t="s">
        <v>63</v>
      </c>
      <c r="F3048" t="s">
        <v>124</v>
      </c>
      <c r="G3048">
        <v>6</v>
      </c>
      <c r="H3048" t="s">
        <v>75</v>
      </c>
      <c r="I3048" t="s">
        <v>121</v>
      </c>
      <c r="J3048" t="s">
        <v>122</v>
      </c>
      <c r="K3048">
        <v>0</v>
      </c>
      <c r="L3048" s="84">
        <v>33849653</v>
      </c>
      <c r="M3048" s="84">
        <v>203097918</v>
      </c>
    </row>
    <row r="3049" spans="3:13" hidden="1" x14ac:dyDescent="0.25">
      <c r="C3049" t="s">
        <v>119</v>
      </c>
      <c r="D3049" t="s">
        <v>120</v>
      </c>
      <c r="E3049" t="s">
        <v>60</v>
      </c>
      <c r="F3049" t="s">
        <v>123</v>
      </c>
      <c r="G3049">
        <v>0</v>
      </c>
      <c r="H3049" t="s">
        <v>16</v>
      </c>
      <c r="I3049" t="s">
        <v>121</v>
      </c>
      <c r="J3049" t="s">
        <v>122</v>
      </c>
      <c r="K3049">
        <v>0</v>
      </c>
      <c r="L3049" s="84">
        <v>-100</v>
      </c>
      <c r="M3049" s="84">
        <v>0</v>
      </c>
    </row>
    <row r="3050" spans="3:13" hidden="1" x14ac:dyDescent="0.25">
      <c r="C3050" t="s">
        <v>119</v>
      </c>
      <c r="D3050" t="s">
        <v>120</v>
      </c>
      <c r="E3050" t="s">
        <v>60</v>
      </c>
      <c r="F3050" t="s">
        <v>124</v>
      </c>
      <c r="G3050">
        <v>8</v>
      </c>
      <c r="H3050" t="s">
        <v>18</v>
      </c>
      <c r="I3050" t="s">
        <v>121</v>
      </c>
      <c r="J3050" t="s">
        <v>66</v>
      </c>
      <c r="K3050">
        <v>1</v>
      </c>
      <c r="L3050" s="84">
        <v>-1561</v>
      </c>
      <c r="M3050" s="84">
        <v>0</v>
      </c>
    </row>
    <row r="3051" spans="3:13" hidden="1" x14ac:dyDescent="0.25">
      <c r="C3051" t="s">
        <v>119</v>
      </c>
      <c r="D3051" t="s">
        <v>120</v>
      </c>
      <c r="E3051" t="s">
        <v>63</v>
      </c>
      <c r="F3051" t="s">
        <v>123</v>
      </c>
      <c r="G3051">
        <v>1</v>
      </c>
      <c r="H3051" t="s">
        <v>74</v>
      </c>
      <c r="I3051" t="s">
        <v>121</v>
      </c>
      <c r="J3051" t="s">
        <v>122</v>
      </c>
      <c r="K3051">
        <v>0</v>
      </c>
      <c r="L3051" s="84">
        <v>36898</v>
      </c>
      <c r="M3051" s="84">
        <v>36898</v>
      </c>
    </row>
    <row r="3052" spans="3:13" hidden="1" x14ac:dyDescent="0.25">
      <c r="C3052" t="s">
        <v>119</v>
      </c>
      <c r="D3052" t="s">
        <v>120</v>
      </c>
      <c r="E3052" t="s">
        <v>63</v>
      </c>
      <c r="F3052" t="s">
        <v>25</v>
      </c>
      <c r="G3052">
        <v>1</v>
      </c>
      <c r="H3052" t="s">
        <v>67</v>
      </c>
      <c r="I3052" t="s">
        <v>121</v>
      </c>
      <c r="J3052" t="s">
        <v>122</v>
      </c>
      <c r="K3052">
        <v>0</v>
      </c>
      <c r="L3052" s="84">
        <v>169177</v>
      </c>
      <c r="M3052" s="84">
        <v>169177</v>
      </c>
    </row>
    <row r="3053" spans="3:13" hidden="1" x14ac:dyDescent="0.25">
      <c r="C3053" t="s">
        <v>65</v>
      </c>
      <c r="D3053" t="s">
        <v>120</v>
      </c>
      <c r="E3053" t="s">
        <v>60</v>
      </c>
      <c r="F3053" t="s">
        <v>123</v>
      </c>
      <c r="G3053">
        <v>1</v>
      </c>
      <c r="H3053" t="s">
        <v>14</v>
      </c>
      <c r="I3053" t="s">
        <v>121</v>
      </c>
      <c r="J3053" t="s">
        <v>122</v>
      </c>
      <c r="K3053">
        <v>0</v>
      </c>
      <c r="L3053" s="84">
        <v>-32801</v>
      </c>
      <c r="M3053" s="84">
        <v>0</v>
      </c>
    </row>
    <row r="3054" spans="3:13" hidden="1" x14ac:dyDescent="0.25">
      <c r="C3054" t="s">
        <v>64</v>
      </c>
      <c r="D3054" t="s">
        <v>120</v>
      </c>
      <c r="E3054" t="s">
        <v>60</v>
      </c>
      <c r="F3054" t="s">
        <v>124</v>
      </c>
      <c r="G3054">
        <v>5</v>
      </c>
      <c r="H3054" t="s">
        <v>17</v>
      </c>
      <c r="I3054" t="s">
        <v>62</v>
      </c>
      <c r="J3054" t="s">
        <v>122</v>
      </c>
      <c r="K3054">
        <v>1</v>
      </c>
      <c r="L3054" s="84">
        <v>-1227</v>
      </c>
      <c r="M3054" s="84">
        <v>0</v>
      </c>
    </row>
    <row r="3055" spans="3:13" hidden="1" x14ac:dyDescent="0.25">
      <c r="C3055" t="s">
        <v>119</v>
      </c>
      <c r="D3055" t="s">
        <v>120</v>
      </c>
      <c r="E3055" t="s">
        <v>63</v>
      </c>
      <c r="F3055" t="s">
        <v>25</v>
      </c>
      <c r="G3055">
        <v>-1</v>
      </c>
      <c r="H3055" t="s">
        <v>68</v>
      </c>
      <c r="I3055" t="s">
        <v>121</v>
      </c>
      <c r="J3055" t="s">
        <v>122</v>
      </c>
      <c r="K3055">
        <v>0</v>
      </c>
      <c r="L3055" s="84">
        <v>1428752</v>
      </c>
      <c r="M3055" s="84">
        <v>0</v>
      </c>
    </row>
    <row r="3056" spans="3:13" hidden="1" x14ac:dyDescent="0.25">
      <c r="C3056" t="s">
        <v>119</v>
      </c>
      <c r="D3056" t="s">
        <v>120</v>
      </c>
      <c r="E3056" t="s">
        <v>63</v>
      </c>
      <c r="F3056" t="s">
        <v>25</v>
      </c>
      <c r="G3056">
        <v>8</v>
      </c>
      <c r="H3056" t="s">
        <v>69</v>
      </c>
      <c r="I3056" t="s">
        <v>121</v>
      </c>
      <c r="J3056" t="s">
        <v>122</v>
      </c>
      <c r="K3056">
        <v>0</v>
      </c>
      <c r="L3056" s="84">
        <v>42770384</v>
      </c>
      <c r="M3056" s="84">
        <v>342163072</v>
      </c>
    </row>
    <row r="3057" spans="3:13" hidden="1" x14ac:dyDescent="0.25">
      <c r="C3057" t="s">
        <v>64</v>
      </c>
      <c r="D3057" t="s">
        <v>120</v>
      </c>
      <c r="E3057" t="s">
        <v>63</v>
      </c>
      <c r="F3057" t="s">
        <v>24</v>
      </c>
      <c r="G3057">
        <v>2</v>
      </c>
      <c r="H3057" t="s">
        <v>17</v>
      </c>
      <c r="I3057" t="s">
        <v>121</v>
      </c>
      <c r="J3057" t="s">
        <v>66</v>
      </c>
      <c r="K3057">
        <v>1</v>
      </c>
      <c r="L3057" s="84">
        <v>93745</v>
      </c>
      <c r="M3057" s="84">
        <v>187490</v>
      </c>
    </row>
    <row r="3058" spans="3:13" hidden="1" x14ac:dyDescent="0.25">
      <c r="C3058" t="s">
        <v>64</v>
      </c>
      <c r="D3058" t="s">
        <v>120</v>
      </c>
      <c r="E3058" t="s">
        <v>63</v>
      </c>
      <c r="F3058" t="s">
        <v>124</v>
      </c>
      <c r="G3058">
        <v>1</v>
      </c>
      <c r="H3058" t="s">
        <v>14</v>
      </c>
      <c r="I3058" t="s">
        <v>121</v>
      </c>
      <c r="J3058" t="s">
        <v>122</v>
      </c>
      <c r="K3058">
        <v>0</v>
      </c>
      <c r="L3058" s="84">
        <v>19671634</v>
      </c>
      <c r="M3058" s="84">
        <v>19671634</v>
      </c>
    </row>
    <row r="3059" spans="3:13" hidden="1" x14ac:dyDescent="0.25">
      <c r="C3059" t="s">
        <v>119</v>
      </c>
      <c r="D3059" t="s">
        <v>120</v>
      </c>
      <c r="E3059" t="s">
        <v>63</v>
      </c>
      <c r="F3059" t="s">
        <v>124</v>
      </c>
      <c r="G3059">
        <v>2</v>
      </c>
      <c r="H3059" t="s">
        <v>16</v>
      </c>
      <c r="I3059" t="s">
        <v>121</v>
      </c>
      <c r="J3059" t="s">
        <v>122</v>
      </c>
      <c r="K3059">
        <v>0</v>
      </c>
      <c r="L3059" s="84">
        <v>2810175</v>
      </c>
      <c r="M3059" s="84">
        <v>5620350</v>
      </c>
    </row>
    <row r="3060" spans="3:13" hidden="1" x14ac:dyDescent="0.25">
      <c r="C3060" t="s">
        <v>119</v>
      </c>
      <c r="D3060" t="s">
        <v>125</v>
      </c>
      <c r="E3060" t="s">
        <v>63</v>
      </c>
      <c r="F3060" t="s">
        <v>24</v>
      </c>
      <c r="G3060">
        <v>5</v>
      </c>
      <c r="I3060" t="s">
        <v>121</v>
      </c>
      <c r="J3060" t="s">
        <v>122</v>
      </c>
      <c r="K3060">
        <v>0</v>
      </c>
      <c r="L3060" s="84">
        <v>98517737</v>
      </c>
      <c r="M3060" s="84">
        <v>492588685</v>
      </c>
    </row>
    <row r="3061" spans="3:13" hidden="1" x14ac:dyDescent="0.25">
      <c r="C3061" t="s">
        <v>119</v>
      </c>
      <c r="D3061" t="s">
        <v>120</v>
      </c>
      <c r="E3061" t="s">
        <v>60</v>
      </c>
      <c r="F3061" t="s">
        <v>25</v>
      </c>
      <c r="G3061">
        <v>12</v>
      </c>
      <c r="H3061" t="s">
        <v>72</v>
      </c>
      <c r="I3061" t="s">
        <v>121</v>
      </c>
      <c r="J3061" t="s">
        <v>122</v>
      </c>
      <c r="K3061">
        <v>0</v>
      </c>
      <c r="L3061" s="84">
        <v>-10552</v>
      </c>
      <c r="M3061" s="84">
        <v>0</v>
      </c>
    </row>
    <row r="3062" spans="3:13" hidden="1" x14ac:dyDescent="0.25">
      <c r="C3062" t="s">
        <v>119</v>
      </c>
      <c r="D3062" t="s">
        <v>120</v>
      </c>
      <c r="E3062" t="s">
        <v>63</v>
      </c>
      <c r="F3062" t="s">
        <v>25</v>
      </c>
      <c r="G3062">
        <v>6</v>
      </c>
      <c r="H3062" t="s">
        <v>70</v>
      </c>
      <c r="I3062" t="s">
        <v>121</v>
      </c>
      <c r="J3062" t="s">
        <v>122</v>
      </c>
      <c r="K3062">
        <v>0</v>
      </c>
      <c r="L3062" s="84">
        <v>581377</v>
      </c>
      <c r="M3062" s="84">
        <v>3488262</v>
      </c>
    </row>
    <row r="3063" spans="3:13" hidden="1" x14ac:dyDescent="0.25">
      <c r="C3063" t="s">
        <v>119</v>
      </c>
      <c r="D3063" t="s">
        <v>120</v>
      </c>
      <c r="E3063" t="s">
        <v>60</v>
      </c>
      <c r="F3063" t="s">
        <v>123</v>
      </c>
      <c r="G3063">
        <v>2</v>
      </c>
      <c r="H3063" t="s">
        <v>77</v>
      </c>
      <c r="I3063" t="s">
        <v>121</v>
      </c>
      <c r="J3063" t="s">
        <v>122</v>
      </c>
      <c r="K3063">
        <v>0</v>
      </c>
      <c r="L3063" s="84">
        <v>-19</v>
      </c>
      <c r="M3063" s="84">
        <v>0</v>
      </c>
    </row>
    <row r="3064" spans="3:13" hidden="1" x14ac:dyDescent="0.25">
      <c r="C3064" t="s">
        <v>65</v>
      </c>
      <c r="D3064" t="s">
        <v>120</v>
      </c>
      <c r="E3064" t="s">
        <v>63</v>
      </c>
      <c r="F3064" t="s">
        <v>123</v>
      </c>
      <c r="G3064">
        <v>-4</v>
      </c>
      <c r="H3064" t="s">
        <v>12</v>
      </c>
      <c r="I3064" t="s">
        <v>62</v>
      </c>
      <c r="J3064" t="s">
        <v>66</v>
      </c>
      <c r="K3064">
        <v>1</v>
      </c>
      <c r="L3064" s="84">
        <v>2785</v>
      </c>
      <c r="M3064" s="84">
        <v>0</v>
      </c>
    </row>
    <row r="3065" spans="3:13" hidden="1" x14ac:dyDescent="0.25">
      <c r="C3065" t="s">
        <v>65</v>
      </c>
      <c r="D3065" t="s">
        <v>120</v>
      </c>
      <c r="E3065" t="s">
        <v>60</v>
      </c>
      <c r="F3065" t="s">
        <v>25</v>
      </c>
      <c r="G3065">
        <v>-4</v>
      </c>
      <c r="H3065" t="s">
        <v>61</v>
      </c>
      <c r="I3065" t="s">
        <v>121</v>
      </c>
      <c r="J3065" t="s">
        <v>122</v>
      </c>
      <c r="K3065">
        <v>0</v>
      </c>
      <c r="L3065" s="84">
        <v>-79686</v>
      </c>
      <c r="M3065" s="84">
        <v>0</v>
      </c>
    </row>
    <row r="3066" spans="3:13" hidden="1" x14ac:dyDescent="0.25">
      <c r="C3066" t="s">
        <v>119</v>
      </c>
      <c r="D3066" t="s">
        <v>120</v>
      </c>
      <c r="E3066" t="s">
        <v>60</v>
      </c>
      <c r="F3066" t="s">
        <v>124</v>
      </c>
      <c r="G3066">
        <v>14</v>
      </c>
      <c r="H3066" t="s">
        <v>12</v>
      </c>
      <c r="I3066" t="s">
        <v>121</v>
      </c>
      <c r="J3066" t="s">
        <v>66</v>
      </c>
      <c r="K3066">
        <v>1</v>
      </c>
      <c r="L3066" s="84">
        <v>-5266</v>
      </c>
      <c r="M3066" s="84">
        <v>0</v>
      </c>
    </row>
    <row r="3067" spans="3:13" hidden="1" x14ac:dyDescent="0.25">
      <c r="C3067" t="s">
        <v>64</v>
      </c>
      <c r="D3067" t="s">
        <v>120</v>
      </c>
      <c r="E3067" t="s">
        <v>60</v>
      </c>
      <c r="F3067" t="s">
        <v>124</v>
      </c>
      <c r="G3067">
        <v>-1</v>
      </c>
      <c r="H3067" t="s">
        <v>12</v>
      </c>
      <c r="I3067" t="s">
        <v>121</v>
      </c>
      <c r="J3067" t="s">
        <v>122</v>
      </c>
      <c r="K3067">
        <v>0</v>
      </c>
      <c r="L3067" s="84">
        <v>-162271</v>
      </c>
      <c r="M3067" s="84">
        <v>0</v>
      </c>
    </row>
    <row r="3068" spans="3:13" hidden="1" x14ac:dyDescent="0.25">
      <c r="C3068" t="s">
        <v>119</v>
      </c>
      <c r="D3068" t="s">
        <v>120</v>
      </c>
      <c r="E3068" t="s">
        <v>60</v>
      </c>
      <c r="F3068" t="s">
        <v>124</v>
      </c>
      <c r="G3068">
        <v>6</v>
      </c>
      <c r="H3068" t="s">
        <v>73</v>
      </c>
      <c r="I3068" t="s">
        <v>121</v>
      </c>
      <c r="J3068" t="s">
        <v>122</v>
      </c>
      <c r="K3068">
        <v>0</v>
      </c>
      <c r="L3068" s="84">
        <v>-206</v>
      </c>
      <c r="M3068" s="84">
        <v>0</v>
      </c>
    </row>
    <row r="3069" spans="3:13" hidden="1" x14ac:dyDescent="0.25">
      <c r="C3069" t="s">
        <v>119</v>
      </c>
      <c r="D3069" t="s">
        <v>127</v>
      </c>
      <c r="E3069" t="s">
        <v>60</v>
      </c>
      <c r="F3069" t="s">
        <v>24</v>
      </c>
      <c r="G3069">
        <v>4</v>
      </c>
      <c r="H3069" t="s">
        <v>77</v>
      </c>
      <c r="I3069" t="s">
        <v>121</v>
      </c>
      <c r="J3069" t="s">
        <v>122</v>
      </c>
      <c r="K3069">
        <v>0</v>
      </c>
      <c r="L3069" s="84">
        <v>-6</v>
      </c>
      <c r="M3069" s="84">
        <v>0</v>
      </c>
    </row>
    <row r="3070" spans="3:13" hidden="1" x14ac:dyDescent="0.25">
      <c r="C3070" t="s">
        <v>64</v>
      </c>
      <c r="D3070" t="s">
        <v>120</v>
      </c>
      <c r="E3070" t="s">
        <v>60</v>
      </c>
      <c r="F3070" t="s">
        <v>124</v>
      </c>
      <c r="G3070">
        <v>6</v>
      </c>
      <c r="H3070" t="s">
        <v>18</v>
      </c>
      <c r="I3070" t="s">
        <v>121</v>
      </c>
      <c r="J3070" t="s">
        <v>66</v>
      </c>
      <c r="K3070">
        <v>1</v>
      </c>
      <c r="L3070" s="84">
        <v>-654</v>
      </c>
      <c r="M3070" s="84">
        <v>0</v>
      </c>
    </row>
    <row r="3071" spans="3:13" hidden="1" x14ac:dyDescent="0.25">
      <c r="C3071" t="s">
        <v>64</v>
      </c>
      <c r="D3071" t="s">
        <v>120</v>
      </c>
      <c r="E3071" t="s">
        <v>60</v>
      </c>
      <c r="F3071" t="s">
        <v>25</v>
      </c>
      <c r="G3071">
        <v>8</v>
      </c>
      <c r="H3071" t="s">
        <v>14</v>
      </c>
      <c r="I3071" t="s">
        <v>121</v>
      </c>
      <c r="J3071" t="s">
        <v>122</v>
      </c>
      <c r="K3071">
        <v>0</v>
      </c>
      <c r="L3071" s="84">
        <v>-92251</v>
      </c>
      <c r="M3071" s="84">
        <v>0</v>
      </c>
    </row>
    <row r="3072" spans="3:13" hidden="1" x14ac:dyDescent="0.25">
      <c r="C3072" t="s">
        <v>119</v>
      </c>
      <c r="D3072" t="s">
        <v>120</v>
      </c>
      <c r="E3072" t="s">
        <v>60</v>
      </c>
      <c r="F3072" t="s">
        <v>25</v>
      </c>
      <c r="G3072">
        <v>18</v>
      </c>
      <c r="H3072" t="s">
        <v>17</v>
      </c>
      <c r="I3072" t="s">
        <v>121</v>
      </c>
      <c r="J3072" t="s">
        <v>122</v>
      </c>
      <c r="K3072">
        <v>0</v>
      </c>
      <c r="L3072" s="84">
        <v>-524</v>
      </c>
      <c r="M3072" s="84">
        <v>0</v>
      </c>
    </row>
    <row r="3073" spans="3:13" hidden="1" x14ac:dyDescent="0.25">
      <c r="C3073" t="s">
        <v>119</v>
      </c>
      <c r="D3073" t="s">
        <v>120</v>
      </c>
      <c r="E3073" t="s">
        <v>63</v>
      </c>
      <c r="F3073" t="s">
        <v>24</v>
      </c>
      <c r="G3073">
        <v>3</v>
      </c>
      <c r="H3073" t="s">
        <v>70</v>
      </c>
      <c r="I3073" t="s">
        <v>121</v>
      </c>
      <c r="J3073" t="s">
        <v>122</v>
      </c>
      <c r="K3073">
        <v>0</v>
      </c>
      <c r="L3073" s="84">
        <v>60166</v>
      </c>
      <c r="M3073" s="84">
        <v>180498</v>
      </c>
    </row>
    <row r="3074" spans="3:13" hidden="1" x14ac:dyDescent="0.25">
      <c r="C3074" t="s">
        <v>64</v>
      </c>
      <c r="D3074" t="s">
        <v>120</v>
      </c>
      <c r="E3074" t="s">
        <v>63</v>
      </c>
      <c r="F3074" t="s">
        <v>123</v>
      </c>
      <c r="G3074">
        <v>4</v>
      </c>
      <c r="H3074" t="s">
        <v>16</v>
      </c>
      <c r="I3074" t="s">
        <v>121</v>
      </c>
      <c r="J3074" t="s">
        <v>122</v>
      </c>
      <c r="K3074">
        <v>0</v>
      </c>
      <c r="L3074" s="84">
        <v>39263</v>
      </c>
      <c r="M3074" s="84">
        <v>157052</v>
      </c>
    </row>
    <row r="3075" spans="3:13" hidden="1" x14ac:dyDescent="0.25">
      <c r="C3075" t="s">
        <v>65</v>
      </c>
      <c r="D3075" t="s">
        <v>120</v>
      </c>
      <c r="E3075" t="s">
        <v>63</v>
      </c>
      <c r="F3075" t="s">
        <v>124</v>
      </c>
      <c r="G3075">
        <v>11</v>
      </c>
      <c r="H3075" t="s">
        <v>75</v>
      </c>
      <c r="I3075" t="s">
        <v>121</v>
      </c>
      <c r="J3075" t="s">
        <v>122</v>
      </c>
      <c r="K3075">
        <v>0</v>
      </c>
      <c r="L3075" s="84">
        <v>22952190</v>
      </c>
      <c r="M3075" s="84">
        <v>252474090</v>
      </c>
    </row>
    <row r="3076" spans="3:13" hidden="1" x14ac:dyDescent="0.25">
      <c r="C3076" t="s">
        <v>64</v>
      </c>
      <c r="D3076" t="s">
        <v>120</v>
      </c>
      <c r="E3076" t="s">
        <v>63</v>
      </c>
      <c r="F3076" t="s">
        <v>124</v>
      </c>
      <c r="G3076">
        <v>2</v>
      </c>
      <c r="H3076" t="s">
        <v>17</v>
      </c>
      <c r="I3076" t="s">
        <v>121</v>
      </c>
      <c r="J3076" t="s">
        <v>66</v>
      </c>
      <c r="K3076">
        <v>1</v>
      </c>
      <c r="L3076" s="84">
        <v>816261</v>
      </c>
      <c r="M3076" s="84">
        <v>1632522</v>
      </c>
    </row>
    <row r="3077" spans="3:13" hidden="1" x14ac:dyDescent="0.25">
      <c r="C3077" t="s">
        <v>64</v>
      </c>
      <c r="D3077" t="s">
        <v>120</v>
      </c>
      <c r="E3077" t="s">
        <v>60</v>
      </c>
      <c r="F3077" t="s">
        <v>24</v>
      </c>
      <c r="G3077">
        <v>15</v>
      </c>
      <c r="H3077" t="s">
        <v>72</v>
      </c>
      <c r="I3077" t="s">
        <v>121</v>
      </c>
      <c r="J3077" t="s">
        <v>122</v>
      </c>
      <c r="K3077">
        <v>0</v>
      </c>
      <c r="L3077" s="84">
        <v>-15227</v>
      </c>
      <c r="M3077" s="84">
        <v>0</v>
      </c>
    </row>
    <row r="3078" spans="3:13" hidden="1" x14ac:dyDescent="0.25">
      <c r="C3078" t="s">
        <v>65</v>
      </c>
      <c r="D3078" t="s">
        <v>120</v>
      </c>
      <c r="E3078" t="s">
        <v>60</v>
      </c>
      <c r="F3078" t="s">
        <v>123</v>
      </c>
      <c r="G3078">
        <v>1</v>
      </c>
      <c r="H3078" t="s">
        <v>67</v>
      </c>
      <c r="I3078" t="s">
        <v>121</v>
      </c>
      <c r="J3078" t="s">
        <v>122</v>
      </c>
      <c r="K3078">
        <v>0</v>
      </c>
      <c r="L3078" s="84">
        <v>-23271</v>
      </c>
      <c r="M3078" s="84">
        <v>0</v>
      </c>
    </row>
    <row r="3079" spans="3:13" hidden="1" x14ac:dyDescent="0.25">
      <c r="C3079" t="s">
        <v>65</v>
      </c>
      <c r="D3079" t="s">
        <v>120</v>
      </c>
      <c r="E3079" t="s">
        <v>63</v>
      </c>
      <c r="F3079" t="s">
        <v>123</v>
      </c>
      <c r="G3079">
        <v>-4</v>
      </c>
      <c r="H3079" t="s">
        <v>73</v>
      </c>
      <c r="I3079" t="s">
        <v>121</v>
      </c>
      <c r="J3079" t="s">
        <v>122</v>
      </c>
      <c r="K3079">
        <v>0</v>
      </c>
      <c r="L3079" s="84">
        <v>19730</v>
      </c>
      <c r="M3079" s="84">
        <v>0</v>
      </c>
    </row>
    <row r="3080" spans="3:13" hidden="1" x14ac:dyDescent="0.25">
      <c r="C3080" t="s">
        <v>119</v>
      </c>
      <c r="D3080" t="s">
        <v>120</v>
      </c>
      <c r="E3080" t="s">
        <v>63</v>
      </c>
      <c r="F3080" t="s">
        <v>25</v>
      </c>
      <c r="G3080">
        <v>8</v>
      </c>
      <c r="H3080" t="s">
        <v>18</v>
      </c>
      <c r="I3080" t="s">
        <v>121</v>
      </c>
      <c r="J3080" t="s">
        <v>122</v>
      </c>
      <c r="K3080">
        <v>0</v>
      </c>
      <c r="L3080" s="84">
        <v>18696531</v>
      </c>
      <c r="M3080" s="84">
        <v>149572248</v>
      </c>
    </row>
    <row r="3081" spans="3:13" hidden="1" x14ac:dyDescent="0.25">
      <c r="C3081" t="s">
        <v>64</v>
      </c>
      <c r="D3081" t="s">
        <v>120</v>
      </c>
      <c r="E3081" t="s">
        <v>63</v>
      </c>
      <c r="F3081" t="s">
        <v>124</v>
      </c>
      <c r="G3081">
        <v>1</v>
      </c>
      <c r="H3081" t="s">
        <v>67</v>
      </c>
      <c r="I3081" t="s">
        <v>121</v>
      </c>
      <c r="J3081" t="s">
        <v>122</v>
      </c>
      <c r="K3081">
        <v>0</v>
      </c>
      <c r="L3081" s="84">
        <v>3686796</v>
      </c>
      <c r="M3081" s="84">
        <v>3686796</v>
      </c>
    </row>
    <row r="3082" spans="3:13" hidden="1" x14ac:dyDescent="0.25">
      <c r="C3082" t="s">
        <v>65</v>
      </c>
      <c r="D3082" t="s">
        <v>120</v>
      </c>
      <c r="E3082" t="s">
        <v>63</v>
      </c>
      <c r="F3082" t="s">
        <v>123</v>
      </c>
      <c r="G3082">
        <v>0</v>
      </c>
      <c r="H3082" t="s">
        <v>17</v>
      </c>
      <c r="I3082" t="s">
        <v>62</v>
      </c>
      <c r="J3082" t="s">
        <v>66</v>
      </c>
      <c r="K3082">
        <v>1</v>
      </c>
      <c r="L3082" s="84">
        <v>22452</v>
      </c>
      <c r="M3082" s="84">
        <v>0</v>
      </c>
    </row>
    <row r="3083" spans="3:13" hidden="1" x14ac:dyDescent="0.25">
      <c r="C3083" t="s">
        <v>119</v>
      </c>
      <c r="D3083" t="s">
        <v>120</v>
      </c>
      <c r="E3083" t="s">
        <v>63</v>
      </c>
      <c r="F3083" t="s">
        <v>24</v>
      </c>
      <c r="G3083">
        <v>2</v>
      </c>
      <c r="H3083" t="s">
        <v>71</v>
      </c>
      <c r="I3083" t="s">
        <v>121</v>
      </c>
      <c r="J3083" t="s">
        <v>122</v>
      </c>
      <c r="K3083">
        <v>0</v>
      </c>
      <c r="L3083" s="84">
        <v>105914</v>
      </c>
      <c r="M3083" s="84">
        <v>211828</v>
      </c>
    </row>
    <row r="3084" spans="3:13" hidden="1" x14ac:dyDescent="0.25">
      <c r="C3084" t="s">
        <v>119</v>
      </c>
      <c r="D3084" t="s">
        <v>120</v>
      </c>
      <c r="E3084" t="s">
        <v>63</v>
      </c>
      <c r="F3084" t="s">
        <v>25</v>
      </c>
      <c r="G3084">
        <v>1</v>
      </c>
      <c r="H3084" t="s">
        <v>14</v>
      </c>
      <c r="I3084" t="s">
        <v>121</v>
      </c>
      <c r="J3084" t="s">
        <v>122</v>
      </c>
      <c r="K3084">
        <v>0</v>
      </c>
      <c r="L3084" s="84">
        <v>2696855</v>
      </c>
      <c r="M3084" s="84">
        <v>2696855</v>
      </c>
    </row>
    <row r="3085" spans="3:13" hidden="1" x14ac:dyDescent="0.25">
      <c r="C3085" t="s">
        <v>65</v>
      </c>
      <c r="D3085" t="s">
        <v>120</v>
      </c>
      <c r="E3085" t="s">
        <v>63</v>
      </c>
      <c r="F3085" t="s">
        <v>124</v>
      </c>
      <c r="G3085">
        <v>6</v>
      </c>
      <c r="H3085" t="s">
        <v>68</v>
      </c>
      <c r="I3085" t="s">
        <v>121</v>
      </c>
      <c r="J3085" t="s">
        <v>122</v>
      </c>
      <c r="K3085">
        <v>0</v>
      </c>
      <c r="L3085" s="84">
        <v>419994</v>
      </c>
      <c r="M3085" s="84">
        <v>2519964</v>
      </c>
    </row>
    <row r="3086" spans="3:13" hidden="1" x14ac:dyDescent="0.25">
      <c r="C3086" t="s">
        <v>65</v>
      </c>
      <c r="D3086" t="s">
        <v>125</v>
      </c>
      <c r="E3086" t="s">
        <v>60</v>
      </c>
      <c r="F3086" t="s">
        <v>24</v>
      </c>
      <c r="G3086">
        <v>9</v>
      </c>
      <c r="I3086" t="s">
        <v>121</v>
      </c>
      <c r="J3086" t="s">
        <v>122</v>
      </c>
      <c r="K3086">
        <v>0</v>
      </c>
      <c r="L3086" s="84">
        <v>-718862</v>
      </c>
      <c r="M3086" s="84">
        <v>0</v>
      </c>
    </row>
    <row r="3087" spans="3:13" hidden="1" x14ac:dyDescent="0.25">
      <c r="C3087" t="s">
        <v>119</v>
      </c>
      <c r="D3087" t="s">
        <v>120</v>
      </c>
      <c r="E3087" t="s">
        <v>63</v>
      </c>
      <c r="F3087" t="s">
        <v>124</v>
      </c>
      <c r="G3087">
        <v>5</v>
      </c>
      <c r="H3087" t="s">
        <v>73</v>
      </c>
      <c r="I3087" t="s">
        <v>121</v>
      </c>
      <c r="J3087" t="s">
        <v>122</v>
      </c>
      <c r="K3087">
        <v>0</v>
      </c>
      <c r="L3087" s="84">
        <v>717907</v>
      </c>
      <c r="M3087" s="84">
        <v>3589535</v>
      </c>
    </row>
    <row r="3088" spans="3:13" hidden="1" x14ac:dyDescent="0.25">
      <c r="C3088" t="s">
        <v>64</v>
      </c>
      <c r="D3088" t="s">
        <v>125</v>
      </c>
      <c r="E3088" t="s">
        <v>60</v>
      </c>
      <c r="F3088" t="s">
        <v>25</v>
      </c>
      <c r="G3088">
        <v>1</v>
      </c>
      <c r="I3088" t="s">
        <v>121</v>
      </c>
      <c r="J3088" t="s">
        <v>122</v>
      </c>
      <c r="K3088">
        <v>0</v>
      </c>
      <c r="L3088" s="84">
        <v>-1933</v>
      </c>
      <c r="M3088" s="84">
        <v>0</v>
      </c>
    </row>
    <row r="3089" spans="3:13" hidden="1" x14ac:dyDescent="0.25">
      <c r="C3089" t="s">
        <v>65</v>
      </c>
      <c r="D3089" t="s">
        <v>120</v>
      </c>
      <c r="E3089" t="s">
        <v>60</v>
      </c>
      <c r="F3089" t="s">
        <v>124</v>
      </c>
      <c r="G3089">
        <v>2</v>
      </c>
      <c r="H3089" t="s">
        <v>17</v>
      </c>
      <c r="I3089" t="s">
        <v>62</v>
      </c>
      <c r="J3089" t="s">
        <v>122</v>
      </c>
      <c r="K3089">
        <v>1</v>
      </c>
      <c r="L3089" s="84">
        <v>-96139</v>
      </c>
      <c r="M3089" s="84">
        <v>0</v>
      </c>
    </row>
    <row r="3090" spans="3:13" hidden="1" x14ac:dyDescent="0.25">
      <c r="C3090" t="s">
        <v>64</v>
      </c>
      <c r="D3090" t="s">
        <v>120</v>
      </c>
      <c r="E3090" t="s">
        <v>63</v>
      </c>
      <c r="F3090" t="s">
        <v>24</v>
      </c>
      <c r="G3090">
        <v>9</v>
      </c>
      <c r="H3090" t="s">
        <v>18</v>
      </c>
      <c r="I3090" t="s">
        <v>121</v>
      </c>
      <c r="J3090" t="s">
        <v>122</v>
      </c>
      <c r="K3090">
        <v>0</v>
      </c>
      <c r="L3090" s="84">
        <v>683980</v>
      </c>
      <c r="M3090" s="84">
        <v>6155820</v>
      </c>
    </row>
    <row r="3091" spans="3:13" hidden="1" x14ac:dyDescent="0.25">
      <c r="C3091" t="s">
        <v>119</v>
      </c>
      <c r="D3091" t="s">
        <v>120</v>
      </c>
      <c r="E3091" t="s">
        <v>63</v>
      </c>
      <c r="F3091" t="s">
        <v>124</v>
      </c>
      <c r="G3091">
        <v>0</v>
      </c>
      <c r="H3091" t="s">
        <v>12</v>
      </c>
      <c r="I3091" t="s">
        <v>62</v>
      </c>
      <c r="J3091" t="s">
        <v>66</v>
      </c>
      <c r="K3091">
        <v>1</v>
      </c>
      <c r="L3091" s="84">
        <v>754345</v>
      </c>
      <c r="M3091" s="84">
        <v>0</v>
      </c>
    </row>
    <row r="3092" spans="3:13" hidden="1" x14ac:dyDescent="0.25">
      <c r="C3092" t="s">
        <v>64</v>
      </c>
      <c r="D3092" t="s">
        <v>125</v>
      </c>
      <c r="E3092" t="s">
        <v>63</v>
      </c>
      <c r="F3092" t="s">
        <v>25</v>
      </c>
      <c r="G3092">
        <v>0</v>
      </c>
      <c r="I3092" t="s">
        <v>121</v>
      </c>
      <c r="J3092" t="s">
        <v>122</v>
      </c>
      <c r="K3092">
        <v>0</v>
      </c>
      <c r="L3092" s="84">
        <v>33549</v>
      </c>
      <c r="M3092" s="84">
        <v>0</v>
      </c>
    </row>
    <row r="3093" spans="3:13" hidden="1" x14ac:dyDescent="0.25">
      <c r="C3093" t="s">
        <v>65</v>
      </c>
      <c r="D3093" t="s">
        <v>120</v>
      </c>
      <c r="E3093" t="s">
        <v>63</v>
      </c>
      <c r="F3093" t="s">
        <v>123</v>
      </c>
      <c r="G3093">
        <v>6</v>
      </c>
      <c r="H3093" t="s">
        <v>75</v>
      </c>
      <c r="I3093" t="s">
        <v>121</v>
      </c>
      <c r="J3093" t="s">
        <v>122</v>
      </c>
      <c r="K3093">
        <v>0</v>
      </c>
      <c r="L3093" s="84">
        <v>8895367</v>
      </c>
      <c r="M3093" s="84">
        <v>53372202</v>
      </c>
    </row>
    <row r="3094" spans="3:13" hidden="1" x14ac:dyDescent="0.25">
      <c r="C3094" t="s">
        <v>64</v>
      </c>
      <c r="D3094" t="s">
        <v>120</v>
      </c>
      <c r="E3094" t="s">
        <v>63</v>
      </c>
      <c r="F3094" t="s">
        <v>25</v>
      </c>
      <c r="G3094">
        <v>5</v>
      </c>
      <c r="H3094" t="s">
        <v>14</v>
      </c>
      <c r="I3094" t="s">
        <v>121</v>
      </c>
      <c r="J3094" t="s">
        <v>122</v>
      </c>
      <c r="K3094">
        <v>0</v>
      </c>
      <c r="L3094" s="84">
        <v>6981846</v>
      </c>
      <c r="M3094" s="84">
        <v>34909230</v>
      </c>
    </row>
    <row r="3095" spans="3:13" hidden="1" x14ac:dyDescent="0.25">
      <c r="C3095" t="s">
        <v>64</v>
      </c>
      <c r="D3095" t="s">
        <v>120</v>
      </c>
      <c r="E3095" t="s">
        <v>63</v>
      </c>
      <c r="F3095" t="s">
        <v>124</v>
      </c>
      <c r="G3095">
        <v>8</v>
      </c>
      <c r="H3095" t="s">
        <v>17</v>
      </c>
      <c r="I3095" t="s">
        <v>121</v>
      </c>
      <c r="J3095" t="s">
        <v>66</v>
      </c>
      <c r="K3095">
        <v>1</v>
      </c>
      <c r="L3095" s="84">
        <v>12851</v>
      </c>
      <c r="M3095" s="84">
        <v>102808</v>
      </c>
    </row>
    <row r="3096" spans="3:13" hidden="1" x14ac:dyDescent="0.25">
      <c r="C3096" t="s">
        <v>64</v>
      </c>
      <c r="D3096" t="s">
        <v>120</v>
      </c>
      <c r="E3096" t="s">
        <v>63</v>
      </c>
      <c r="F3096" t="s">
        <v>123</v>
      </c>
      <c r="G3096">
        <v>-1</v>
      </c>
      <c r="H3096" t="s">
        <v>75</v>
      </c>
      <c r="I3096" t="s">
        <v>121</v>
      </c>
      <c r="J3096" t="s">
        <v>122</v>
      </c>
      <c r="K3096">
        <v>0</v>
      </c>
      <c r="L3096" s="84">
        <v>180350</v>
      </c>
      <c r="M3096" s="84">
        <v>0</v>
      </c>
    </row>
    <row r="3097" spans="3:13" hidden="1" x14ac:dyDescent="0.25">
      <c r="C3097" t="s">
        <v>119</v>
      </c>
      <c r="D3097" t="s">
        <v>125</v>
      </c>
      <c r="E3097" t="s">
        <v>60</v>
      </c>
      <c r="F3097" t="s">
        <v>24</v>
      </c>
      <c r="G3097">
        <v>13</v>
      </c>
      <c r="I3097" t="s">
        <v>121</v>
      </c>
      <c r="J3097" t="s">
        <v>122</v>
      </c>
      <c r="K3097">
        <v>0</v>
      </c>
      <c r="L3097" s="84">
        <v>-83926</v>
      </c>
      <c r="M3097" s="84">
        <v>0</v>
      </c>
    </row>
    <row r="3098" spans="3:13" hidden="1" x14ac:dyDescent="0.25">
      <c r="C3098" t="s">
        <v>119</v>
      </c>
      <c r="D3098" t="s">
        <v>120</v>
      </c>
      <c r="E3098" t="s">
        <v>60</v>
      </c>
      <c r="F3098" t="s">
        <v>25</v>
      </c>
      <c r="G3098">
        <v>18</v>
      </c>
      <c r="H3098" t="s">
        <v>75</v>
      </c>
      <c r="I3098" t="s">
        <v>121</v>
      </c>
      <c r="J3098" t="s">
        <v>122</v>
      </c>
      <c r="K3098">
        <v>0</v>
      </c>
      <c r="L3098" s="84">
        <v>-79</v>
      </c>
      <c r="M3098" s="84">
        <v>0</v>
      </c>
    </row>
    <row r="3099" spans="3:13" hidden="1" x14ac:dyDescent="0.25">
      <c r="C3099" t="s">
        <v>64</v>
      </c>
      <c r="D3099" t="s">
        <v>120</v>
      </c>
      <c r="E3099" t="s">
        <v>60</v>
      </c>
      <c r="F3099" t="s">
        <v>25</v>
      </c>
      <c r="G3099">
        <v>8</v>
      </c>
      <c r="H3099" t="s">
        <v>67</v>
      </c>
      <c r="I3099" t="s">
        <v>121</v>
      </c>
      <c r="J3099" t="s">
        <v>122</v>
      </c>
      <c r="K3099">
        <v>0</v>
      </c>
      <c r="L3099" s="84">
        <v>-34496</v>
      </c>
      <c r="M3099" s="84">
        <v>0</v>
      </c>
    </row>
    <row r="3100" spans="3:13" hidden="1" x14ac:dyDescent="0.25">
      <c r="C3100" t="s">
        <v>119</v>
      </c>
      <c r="D3100" t="s">
        <v>126</v>
      </c>
      <c r="E3100" t="s">
        <v>60</v>
      </c>
      <c r="F3100" t="s">
        <v>25</v>
      </c>
      <c r="G3100">
        <v>13</v>
      </c>
      <c r="H3100" t="s">
        <v>74</v>
      </c>
      <c r="I3100" t="s">
        <v>121</v>
      </c>
      <c r="J3100" t="s">
        <v>122</v>
      </c>
      <c r="K3100">
        <v>0</v>
      </c>
      <c r="L3100" s="84">
        <v>-86</v>
      </c>
      <c r="M3100" s="84">
        <v>0</v>
      </c>
    </row>
    <row r="3101" spans="3:13" hidden="1" x14ac:dyDescent="0.25">
      <c r="C3101" t="s">
        <v>64</v>
      </c>
      <c r="D3101" t="s">
        <v>120</v>
      </c>
      <c r="E3101" t="s">
        <v>60</v>
      </c>
      <c r="F3101" t="s">
        <v>124</v>
      </c>
      <c r="G3101">
        <v>-1</v>
      </c>
      <c r="H3101" t="s">
        <v>77</v>
      </c>
      <c r="I3101" t="s">
        <v>121</v>
      </c>
      <c r="J3101" t="s">
        <v>122</v>
      </c>
      <c r="K3101">
        <v>0</v>
      </c>
      <c r="L3101" s="84">
        <v>-418</v>
      </c>
      <c r="M3101" s="84">
        <v>0</v>
      </c>
    </row>
    <row r="3102" spans="3:13" hidden="1" x14ac:dyDescent="0.25">
      <c r="C3102" t="s">
        <v>119</v>
      </c>
      <c r="D3102" t="s">
        <v>120</v>
      </c>
      <c r="E3102" t="s">
        <v>63</v>
      </c>
      <c r="F3102" t="s">
        <v>124</v>
      </c>
      <c r="G3102">
        <v>20</v>
      </c>
      <c r="H3102" t="s">
        <v>73</v>
      </c>
      <c r="I3102" t="s">
        <v>121</v>
      </c>
      <c r="J3102" t="s">
        <v>122</v>
      </c>
      <c r="K3102">
        <v>0</v>
      </c>
      <c r="L3102" s="84">
        <v>3501741</v>
      </c>
      <c r="M3102" s="84">
        <v>70034820</v>
      </c>
    </row>
    <row r="3103" spans="3:13" hidden="1" x14ac:dyDescent="0.25">
      <c r="C3103" t="s">
        <v>119</v>
      </c>
      <c r="D3103" t="s">
        <v>120</v>
      </c>
      <c r="E3103" t="s">
        <v>63</v>
      </c>
      <c r="F3103" t="s">
        <v>124</v>
      </c>
      <c r="G3103">
        <v>2</v>
      </c>
      <c r="H3103" t="s">
        <v>74</v>
      </c>
      <c r="I3103" t="s">
        <v>121</v>
      </c>
      <c r="J3103" t="s">
        <v>122</v>
      </c>
      <c r="K3103">
        <v>0</v>
      </c>
      <c r="L3103" s="84">
        <v>235060</v>
      </c>
      <c r="M3103" s="84">
        <v>470120</v>
      </c>
    </row>
    <row r="3104" spans="3:13" hidden="1" x14ac:dyDescent="0.25">
      <c r="C3104" t="s">
        <v>64</v>
      </c>
      <c r="D3104" t="s">
        <v>120</v>
      </c>
      <c r="E3104" t="s">
        <v>63</v>
      </c>
      <c r="F3104" t="s">
        <v>24</v>
      </c>
      <c r="G3104">
        <v>1</v>
      </c>
      <c r="H3104" t="s">
        <v>18</v>
      </c>
      <c r="I3104" t="s">
        <v>121</v>
      </c>
      <c r="J3104" t="s">
        <v>122</v>
      </c>
      <c r="K3104">
        <v>0</v>
      </c>
      <c r="L3104" s="84">
        <v>987284</v>
      </c>
      <c r="M3104" s="84">
        <v>987284</v>
      </c>
    </row>
    <row r="3105" spans="3:13" hidden="1" x14ac:dyDescent="0.25">
      <c r="C3105" t="s">
        <v>119</v>
      </c>
      <c r="D3105" t="s">
        <v>120</v>
      </c>
      <c r="E3105" t="s">
        <v>63</v>
      </c>
      <c r="F3105" t="s">
        <v>24</v>
      </c>
      <c r="G3105">
        <v>10</v>
      </c>
      <c r="H3105" t="s">
        <v>18</v>
      </c>
      <c r="I3105" t="s">
        <v>121</v>
      </c>
      <c r="J3105" t="s">
        <v>122</v>
      </c>
      <c r="K3105">
        <v>0</v>
      </c>
      <c r="L3105" s="84">
        <v>640127</v>
      </c>
      <c r="M3105" s="84">
        <v>6401270</v>
      </c>
    </row>
    <row r="3106" spans="3:13" hidden="1" x14ac:dyDescent="0.25">
      <c r="C3106" t="s">
        <v>64</v>
      </c>
      <c r="D3106" t="s">
        <v>120</v>
      </c>
      <c r="E3106" t="s">
        <v>60</v>
      </c>
      <c r="F3106" t="s">
        <v>124</v>
      </c>
      <c r="G3106">
        <v>-4</v>
      </c>
      <c r="H3106" t="s">
        <v>68</v>
      </c>
      <c r="I3106" t="s">
        <v>121</v>
      </c>
      <c r="J3106" t="s">
        <v>122</v>
      </c>
      <c r="K3106">
        <v>0</v>
      </c>
      <c r="L3106" s="84">
        <v>-34827</v>
      </c>
      <c r="M3106" s="84">
        <v>0</v>
      </c>
    </row>
    <row r="3107" spans="3:13" hidden="1" x14ac:dyDescent="0.25">
      <c r="C3107" t="s">
        <v>119</v>
      </c>
      <c r="D3107" t="s">
        <v>120</v>
      </c>
      <c r="E3107" t="s">
        <v>63</v>
      </c>
      <c r="F3107" t="s">
        <v>124</v>
      </c>
      <c r="G3107">
        <v>5</v>
      </c>
      <c r="H3107" t="s">
        <v>67</v>
      </c>
      <c r="I3107" t="s">
        <v>121</v>
      </c>
      <c r="J3107" t="s">
        <v>122</v>
      </c>
      <c r="K3107">
        <v>0</v>
      </c>
      <c r="L3107" s="84">
        <v>45848775</v>
      </c>
      <c r="M3107" s="84">
        <v>229243875</v>
      </c>
    </row>
    <row r="3108" spans="3:13" hidden="1" x14ac:dyDescent="0.25">
      <c r="C3108" t="s">
        <v>119</v>
      </c>
      <c r="D3108" t="s">
        <v>120</v>
      </c>
      <c r="E3108" t="s">
        <v>63</v>
      </c>
      <c r="F3108" t="s">
        <v>24</v>
      </c>
      <c r="G3108">
        <v>9</v>
      </c>
      <c r="H3108" t="s">
        <v>12</v>
      </c>
      <c r="I3108" t="s">
        <v>121</v>
      </c>
      <c r="J3108" t="s">
        <v>66</v>
      </c>
      <c r="K3108">
        <v>1</v>
      </c>
      <c r="L3108" s="84">
        <v>548236</v>
      </c>
      <c r="M3108" s="84">
        <v>4934124</v>
      </c>
    </row>
    <row r="3109" spans="3:13" hidden="1" x14ac:dyDescent="0.25">
      <c r="C3109" t="s">
        <v>65</v>
      </c>
      <c r="D3109" t="s">
        <v>125</v>
      </c>
      <c r="E3109" t="s">
        <v>63</v>
      </c>
      <c r="F3109" t="s">
        <v>24</v>
      </c>
      <c r="G3109">
        <v>30</v>
      </c>
      <c r="I3109" t="s">
        <v>121</v>
      </c>
      <c r="J3109" t="s">
        <v>122</v>
      </c>
      <c r="K3109">
        <v>0</v>
      </c>
      <c r="L3109" s="84">
        <v>4652534</v>
      </c>
      <c r="M3109" s="84">
        <v>139576020</v>
      </c>
    </row>
    <row r="3110" spans="3:13" hidden="1" x14ac:dyDescent="0.25">
      <c r="C3110" t="s">
        <v>64</v>
      </c>
      <c r="D3110" t="s">
        <v>120</v>
      </c>
      <c r="E3110" t="s">
        <v>60</v>
      </c>
      <c r="F3110" t="s">
        <v>25</v>
      </c>
      <c r="G3110">
        <v>4</v>
      </c>
      <c r="H3110" t="s">
        <v>69</v>
      </c>
      <c r="I3110" t="s">
        <v>121</v>
      </c>
      <c r="J3110" t="s">
        <v>122</v>
      </c>
      <c r="K3110">
        <v>0</v>
      </c>
      <c r="L3110" s="84">
        <v>-96772</v>
      </c>
      <c r="M3110" s="84">
        <v>0</v>
      </c>
    </row>
    <row r="3111" spans="3:13" hidden="1" x14ac:dyDescent="0.25">
      <c r="C3111" t="s">
        <v>119</v>
      </c>
      <c r="D3111" t="s">
        <v>120</v>
      </c>
      <c r="E3111" t="s">
        <v>60</v>
      </c>
      <c r="F3111" t="s">
        <v>25</v>
      </c>
      <c r="G3111">
        <v>4</v>
      </c>
      <c r="H3111" t="s">
        <v>75</v>
      </c>
      <c r="I3111" t="s">
        <v>121</v>
      </c>
      <c r="J3111" t="s">
        <v>122</v>
      </c>
      <c r="K3111">
        <v>0</v>
      </c>
      <c r="L3111" s="84">
        <v>-7063</v>
      </c>
      <c r="M3111" s="84">
        <v>0</v>
      </c>
    </row>
    <row r="3112" spans="3:13" hidden="1" x14ac:dyDescent="0.25">
      <c r="C3112" t="s">
        <v>65</v>
      </c>
      <c r="D3112" t="s">
        <v>120</v>
      </c>
      <c r="E3112" t="s">
        <v>63</v>
      </c>
      <c r="F3112" t="s">
        <v>124</v>
      </c>
      <c r="G3112">
        <v>-1</v>
      </c>
      <c r="H3112" t="s">
        <v>74</v>
      </c>
      <c r="I3112" t="s">
        <v>121</v>
      </c>
      <c r="J3112" t="s">
        <v>122</v>
      </c>
      <c r="K3112">
        <v>0</v>
      </c>
      <c r="L3112" s="84">
        <v>32117</v>
      </c>
      <c r="M3112" s="84">
        <v>0</v>
      </c>
    </row>
    <row r="3113" spans="3:13" hidden="1" x14ac:dyDescent="0.25">
      <c r="C3113" t="s">
        <v>119</v>
      </c>
      <c r="D3113" t="s">
        <v>120</v>
      </c>
      <c r="E3113" t="s">
        <v>60</v>
      </c>
      <c r="F3113" t="s">
        <v>24</v>
      </c>
      <c r="G3113">
        <v>1</v>
      </c>
      <c r="H3113" t="s">
        <v>61</v>
      </c>
      <c r="I3113" t="s">
        <v>121</v>
      </c>
      <c r="J3113" t="s">
        <v>122</v>
      </c>
      <c r="K3113">
        <v>0</v>
      </c>
      <c r="L3113" s="84">
        <v>-71</v>
      </c>
      <c r="M3113" s="84">
        <v>0</v>
      </c>
    </row>
    <row r="3114" spans="3:13" hidden="1" x14ac:dyDescent="0.25">
      <c r="C3114" t="s">
        <v>64</v>
      </c>
      <c r="D3114" t="s">
        <v>125</v>
      </c>
      <c r="E3114" t="s">
        <v>60</v>
      </c>
      <c r="F3114" t="s">
        <v>24</v>
      </c>
      <c r="G3114">
        <v>8</v>
      </c>
      <c r="I3114" t="s">
        <v>121</v>
      </c>
      <c r="J3114" t="s">
        <v>122</v>
      </c>
      <c r="K3114">
        <v>0</v>
      </c>
      <c r="L3114" s="84">
        <v>-347973</v>
      </c>
      <c r="M3114" s="84">
        <v>0</v>
      </c>
    </row>
    <row r="3115" spans="3:13" hidden="1" x14ac:dyDescent="0.25">
      <c r="C3115" t="s">
        <v>64</v>
      </c>
      <c r="D3115" t="s">
        <v>120</v>
      </c>
      <c r="E3115" t="s">
        <v>63</v>
      </c>
      <c r="F3115" t="s">
        <v>123</v>
      </c>
      <c r="G3115">
        <v>0</v>
      </c>
      <c r="H3115" t="s">
        <v>17</v>
      </c>
      <c r="I3115" t="s">
        <v>121</v>
      </c>
      <c r="J3115" t="s">
        <v>66</v>
      </c>
      <c r="K3115">
        <v>1</v>
      </c>
      <c r="L3115" s="84">
        <v>8306</v>
      </c>
      <c r="M3115" s="84">
        <v>0</v>
      </c>
    </row>
    <row r="3116" spans="3:13" hidden="1" x14ac:dyDescent="0.25">
      <c r="C3116" t="s">
        <v>64</v>
      </c>
      <c r="D3116" t="s">
        <v>120</v>
      </c>
      <c r="E3116" t="s">
        <v>63</v>
      </c>
      <c r="F3116" t="s">
        <v>123</v>
      </c>
      <c r="G3116">
        <v>3</v>
      </c>
      <c r="H3116" t="s">
        <v>18</v>
      </c>
      <c r="I3116" t="s">
        <v>121</v>
      </c>
      <c r="J3116" t="s">
        <v>66</v>
      </c>
      <c r="K3116">
        <v>1</v>
      </c>
      <c r="L3116" s="84">
        <v>170117</v>
      </c>
      <c r="M3116" s="84">
        <v>510351</v>
      </c>
    </row>
    <row r="3117" spans="3:13" hidden="1" x14ac:dyDescent="0.25">
      <c r="C3117" t="s">
        <v>65</v>
      </c>
      <c r="D3117" t="s">
        <v>120</v>
      </c>
      <c r="E3117" t="s">
        <v>63</v>
      </c>
      <c r="F3117" t="s">
        <v>123</v>
      </c>
      <c r="G3117">
        <v>-4</v>
      </c>
      <c r="H3117" t="s">
        <v>67</v>
      </c>
      <c r="I3117" t="s">
        <v>121</v>
      </c>
      <c r="J3117" t="s">
        <v>122</v>
      </c>
      <c r="K3117">
        <v>0</v>
      </c>
      <c r="L3117" s="84">
        <v>46323</v>
      </c>
      <c r="M3117" s="84">
        <v>0</v>
      </c>
    </row>
    <row r="3118" spans="3:13" hidden="1" x14ac:dyDescent="0.25">
      <c r="C3118" t="s">
        <v>119</v>
      </c>
      <c r="D3118" t="s">
        <v>120</v>
      </c>
      <c r="E3118" t="s">
        <v>63</v>
      </c>
      <c r="F3118" t="s">
        <v>124</v>
      </c>
      <c r="G3118">
        <v>4</v>
      </c>
      <c r="H3118" t="s">
        <v>61</v>
      </c>
      <c r="I3118" t="s">
        <v>121</v>
      </c>
      <c r="J3118" t="s">
        <v>122</v>
      </c>
      <c r="K3118">
        <v>0</v>
      </c>
      <c r="L3118" s="84">
        <v>10981105</v>
      </c>
      <c r="M3118" s="84">
        <v>43924420</v>
      </c>
    </row>
    <row r="3119" spans="3:13" hidden="1" x14ac:dyDescent="0.25">
      <c r="C3119" t="s">
        <v>119</v>
      </c>
      <c r="D3119" t="s">
        <v>120</v>
      </c>
      <c r="E3119" t="s">
        <v>63</v>
      </c>
      <c r="F3119" t="s">
        <v>123</v>
      </c>
      <c r="G3119">
        <v>-1</v>
      </c>
      <c r="H3119" t="s">
        <v>12</v>
      </c>
      <c r="I3119" t="s">
        <v>121</v>
      </c>
      <c r="J3119" t="s">
        <v>66</v>
      </c>
      <c r="K3119">
        <v>1</v>
      </c>
      <c r="L3119" s="84">
        <v>1045042</v>
      </c>
      <c r="M3119" s="84">
        <v>0</v>
      </c>
    </row>
    <row r="3120" spans="3:13" hidden="1" x14ac:dyDescent="0.25">
      <c r="C3120" t="s">
        <v>65</v>
      </c>
      <c r="D3120" t="s">
        <v>120</v>
      </c>
      <c r="E3120" t="s">
        <v>63</v>
      </c>
      <c r="F3120" t="s">
        <v>124</v>
      </c>
      <c r="G3120">
        <v>5</v>
      </c>
      <c r="H3120" t="s">
        <v>18</v>
      </c>
      <c r="I3120" t="s">
        <v>121</v>
      </c>
      <c r="J3120" t="s">
        <v>122</v>
      </c>
      <c r="K3120">
        <v>0</v>
      </c>
      <c r="L3120" s="84">
        <v>2768592</v>
      </c>
      <c r="M3120" s="84">
        <v>13842960</v>
      </c>
    </row>
    <row r="3121" spans="3:13" hidden="1" x14ac:dyDescent="0.25">
      <c r="C3121" t="s">
        <v>65</v>
      </c>
      <c r="D3121" t="s">
        <v>120</v>
      </c>
      <c r="E3121" t="s">
        <v>60</v>
      </c>
      <c r="F3121" t="s">
        <v>25</v>
      </c>
      <c r="G3121">
        <v>-1</v>
      </c>
      <c r="H3121" t="s">
        <v>14</v>
      </c>
      <c r="I3121" t="s">
        <v>121</v>
      </c>
      <c r="J3121" t="s">
        <v>122</v>
      </c>
      <c r="K3121">
        <v>0</v>
      </c>
      <c r="L3121" s="84">
        <v>-1680682</v>
      </c>
      <c r="M3121" s="84">
        <v>0</v>
      </c>
    </row>
    <row r="3122" spans="3:13" x14ac:dyDescent="0.25">
      <c r="C3122" t="s">
        <v>64</v>
      </c>
      <c r="D3122" t="s">
        <v>120</v>
      </c>
      <c r="E3122" t="s">
        <v>63</v>
      </c>
      <c r="F3122" t="s">
        <v>25</v>
      </c>
      <c r="G3122">
        <v>4</v>
      </c>
      <c r="H3122" t="s">
        <v>14</v>
      </c>
      <c r="I3122" t="s">
        <v>121</v>
      </c>
      <c r="J3122" t="s">
        <v>66</v>
      </c>
      <c r="K3122">
        <v>1</v>
      </c>
      <c r="L3122" s="84">
        <v>120917</v>
      </c>
      <c r="M3122" s="84">
        <v>483668</v>
      </c>
    </row>
    <row r="3123" spans="3:13" hidden="1" x14ac:dyDescent="0.25">
      <c r="C3123" t="s">
        <v>119</v>
      </c>
      <c r="D3123" t="s">
        <v>120</v>
      </c>
      <c r="E3123" t="s">
        <v>63</v>
      </c>
      <c r="F3123" t="s">
        <v>124</v>
      </c>
      <c r="G3123">
        <v>-1</v>
      </c>
      <c r="H3123" t="s">
        <v>12</v>
      </c>
      <c r="I3123" t="s">
        <v>121</v>
      </c>
      <c r="J3123" t="s">
        <v>122</v>
      </c>
      <c r="K3123">
        <v>0</v>
      </c>
      <c r="L3123" s="84">
        <v>9121125</v>
      </c>
      <c r="M3123" s="84">
        <v>0</v>
      </c>
    </row>
    <row r="3124" spans="3:13" hidden="1" x14ac:dyDescent="0.25">
      <c r="C3124" t="s">
        <v>119</v>
      </c>
      <c r="D3124" t="s">
        <v>120</v>
      </c>
      <c r="E3124" t="s">
        <v>60</v>
      </c>
      <c r="F3124" t="s">
        <v>124</v>
      </c>
      <c r="G3124">
        <v>5</v>
      </c>
      <c r="H3124" t="s">
        <v>16</v>
      </c>
      <c r="I3124" t="s">
        <v>121</v>
      </c>
      <c r="J3124" t="s">
        <v>122</v>
      </c>
      <c r="K3124">
        <v>0</v>
      </c>
      <c r="L3124" s="84">
        <v>-6448</v>
      </c>
      <c r="M3124" s="84">
        <v>0</v>
      </c>
    </row>
    <row r="3125" spans="3:13" hidden="1" x14ac:dyDescent="0.25">
      <c r="C3125" t="s">
        <v>119</v>
      </c>
      <c r="D3125" t="s">
        <v>120</v>
      </c>
      <c r="E3125" t="s">
        <v>63</v>
      </c>
      <c r="F3125" t="s">
        <v>24</v>
      </c>
      <c r="G3125">
        <v>2</v>
      </c>
      <c r="H3125" t="s">
        <v>61</v>
      </c>
      <c r="I3125" t="s">
        <v>121</v>
      </c>
      <c r="J3125" t="s">
        <v>122</v>
      </c>
      <c r="K3125">
        <v>0</v>
      </c>
      <c r="L3125" s="84">
        <v>440060</v>
      </c>
      <c r="M3125" s="84">
        <v>880120</v>
      </c>
    </row>
    <row r="3126" spans="3:13" hidden="1" x14ac:dyDescent="0.25">
      <c r="C3126" t="s">
        <v>65</v>
      </c>
      <c r="D3126" t="s">
        <v>120</v>
      </c>
      <c r="E3126" t="s">
        <v>63</v>
      </c>
      <c r="F3126" t="s">
        <v>123</v>
      </c>
      <c r="G3126">
        <v>1</v>
      </c>
      <c r="H3126" t="s">
        <v>61</v>
      </c>
      <c r="I3126" t="s">
        <v>121</v>
      </c>
      <c r="J3126" t="s">
        <v>122</v>
      </c>
      <c r="K3126">
        <v>0</v>
      </c>
      <c r="L3126" s="84">
        <v>21952</v>
      </c>
      <c r="M3126" s="84">
        <v>21952</v>
      </c>
    </row>
    <row r="3127" spans="3:13" hidden="1" x14ac:dyDescent="0.25">
      <c r="C3127" t="s">
        <v>119</v>
      </c>
      <c r="D3127" t="s">
        <v>120</v>
      </c>
      <c r="E3127" t="s">
        <v>63</v>
      </c>
      <c r="F3127" t="s">
        <v>24</v>
      </c>
      <c r="G3127">
        <v>5</v>
      </c>
      <c r="H3127" t="s">
        <v>68</v>
      </c>
      <c r="I3127" t="s">
        <v>121</v>
      </c>
      <c r="J3127" t="s">
        <v>122</v>
      </c>
      <c r="K3127">
        <v>0</v>
      </c>
      <c r="L3127" s="84">
        <v>6294421</v>
      </c>
      <c r="M3127" s="84">
        <v>31472105</v>
      </c>
    </row>
    <row r="3128" spans="3:13" hidden="1" x14ac:dyDescent="0.25">
      <c r="C3128" t="s">
        <v>119</v>
      </c>
      <c r="D3128" t="s">
        <v>120</v>
      </c>
      <c r="E3128" t="s">
        <v>63</v>
      </c>
      <c r="F3128" t="s">
        <v>124</v>
      </c>
      <c r="G3128">
        <v>0</v>
      </c>
      <c r="H3128" t="s">
        <v>75</v>
      </c>
      <c r="I3128" t="s">
        <v>121</v>
      </c>
      <c r="J3128" t="s">
        <v>122</v>
      </c>
      <c r="K3128">
        <v>0</v>
      </c>
      <c r="L3128" s="84">
        <v>242964131</v>
      </c>
      <c r="M3128" s="84">
        <v>0</v>
      </c>
    </row>
    <row r="3129" spans="3:13" hidden="1" x14ac:dyDescent="0.25">
      <c r="C3129" t="s">
        <v>65</v>
      </c>
      <c r="D3129" t="s">
        <v>120</v>
      </c>
      <c r="E3129" t="s">
        <v>60</v>
      </c>
      <c r="F3129" t="s">
        <v>124</v>
      </c>
      <c r="G3129">
        <v>5</v>
      </c>
      <c r="H3129" t="s">
        <v>18</v>
      </c>
      <c r="I3129" t="s">
        <v>121</v>
      </c>
      <c r="J3129" t="s">
        <v>122</v>
      </c>
      <c r="K3129">
        <v>0</v>
      </c>
      <c r="L3129" s="84">
        <v>-1525633</v>
      </c>
      <c r="M3129" s="84">
        <v>0</v>
      </c>
    </row>
    <row r="3130" spans="3:13" hidden="1" x14ac:dyDescent="0.25">
      <c r="C3130" t="s">
        <v>119</v>
      </c>
      <c r="D3130" t="s">
        <v>120</v>
      </c>
      <c r="E3130" t="s">
        <v>63</v>
      </c>
      <c r="F3130" t="s">
        <v>24</v>
      </c>
      <c r="G3130">
        <v>1</v>
      </c>
      <c r="H3130" t="s">
        <v>12</v>
      </c>
      <c r="I3130" t="s">
        <v>121</v>
      </c>
      <c r="J3130" t="s">
        <v>66</v>
      </c>
      <c r="K3130">
        <v>1</v>
      </c>
      <c r="L3130" s="84">
        <v>183901</v>
      </c>
      <c r="M3130" s="84">
        <v>183901</v>
      </c>
    </row>
    <row r="3131" spans="3:13" hidden="1" x14ac:dyDescent="0.25">
      <c r="C3131" t="s">
        <v>64</v>
      </c>
      <c r="D3131" t="s">
        <v>120</v>
      </c>
      <c r="E3131" t="s">
        <v>60</v>
      </c>
      <c r="F3131" t="s">
        <v>124</v>
      </c>
      <c r="G3131">
        <v>-1</v>
      </c>
      <c r="H3131" t="s">
        <v>72</v>
      </c>
      <c r="I3131" t="s">
        <v>121</v>
      </c>
      <c r="J3131" t="s">
        <v>122</v>
      </c>
      <c r="K3131">
        <v>0</v>
      </c>
      <c r="L3131" s="84">
        <v>-173013</v>
      </c>
      <c r="M3131" s="84">
        <v>0</v>
      </c>
    </row>
    <row r="3132" spans="3:13" hidden="1" x14ac:dyDescent="0.25">
      <c r="C3132" t="s">
        <v>64</v>
      </c>
      <c r="D3132" t="s">
        <v>120</v>
      </c>
      <c r="E3132" t="s">
        <v>60</v>
      </c>
      <c r="F3132" t="s">
        <v>123</v>
      </c>
      <c r="G3132">
        <v>5</v>
      </c>
      <c r="H3132" t="s">
        <v>69</v>
      </c>
      <c r="I3132" t="s">
        <v>121</v>
      </c>
      <c r="J3132" t="s">
        <v>122</v>
      </c>
      <c r="K3132">
        <v>0</v>
      </c>
      <c r="L3132" s="84">
        <v>-8910</v>
      </c>
      <c r="M3132" s="84">
        <v>0</v>
      </c>
    </row>
    <row r="3133" spans="3:13" hidden="1" x14ac:dyDescent="0.25">
      <c r="C3133" t="s">
        <v>64</v>
      </c>
      <c r="D3133" t="s">
        <v>120</v>
      </c>
      <c r="E3133" t="s">
        <v>60</v>
      </c>
      <c r="F3133" t="s">
        <v>24</v>
      </c>
      <c r="G3133">
        <v>3</v>
      </c>
      <c r="H3133" t="s">
        <v>18</v>
      </c>
      <c r="I3133" t="s">
        <v>121</v>
      </c>
      <c r="J3133" t="s">
        <v>122</v>
      </c>
      <c r="K3133">
        <v>0</v>
      </c>
      <c r="L3133" s="84">
        <v>-21548</v>
      </c>
      <c r="M3133" s="84">
        <v>0</v>
      </c>
    </row>
    <row r="3134" spans="3:13" hidden="1" x14ac:dyDescent="0.25">
      <c r="C3134" t="s">
        <v>119</v>
      </c>
      <c r="D3134" t="s">
        <v>120</v>
      </c>
      <c r="E3134" t="s">
        <v>60</v>
      </c>
      <c r="F3134" t="s">
        <v>24</v>
      </c>
      <c r="G3134">
        <v>5</v>
      </c>
      <c r="H3134" t="s">
        <v>14</v>
      </c>
      <c r="I3134" t="s">
        <v>121</v>
      </c>
      <c r="J3134" t="s">
        <v>66</v>
      </c>
      <c r="K3134">
        <v>1</v>
      </c>
      <c r="L3134" s="84">
        <v>-1049</v>
      </c>
      <c r="M3134" s="84">
        <v>0</v>
      </c>
    </row>
    <row r="3135" spans="3:13" hidden="1" x14ac:dyDescent="0.25">
      <c r="C3135" t="s">
        <v>65</v>
      </c>
      <c r="D3135" t="s">
        <v>125</v>
      </c>
      <c r="E3135" t="s">
        <v>60</v>
      </c>
      <c r="F3135" t="s">
        <v>24</v>
      </c>
      <c r="G3135">
        <v>8</v>
      </c>
      <c r="I3135" t="s">
        <v>121</v>
      </c>
      <c r="J3135" t="s">
        <v>122</v>
      </c>
      <c r="K3135">
        <v>0</v>
      </c>
      <c r="L3135" s="84">
        <v>-786109</v>
      </c>
      <c r="M3135" s="84">
        <v>0</v>
      </c>
    </row>
    <row r="3136" spans="3:13" hidden="1" x14ac:dyDescent="0.25">
      <c r="C3136" t="s">
        <v>119</v>
      </c>
      <c r="D3136" t="s">
        <v>120</v>
      </c>
      <c r="E3136" t="s">
        <v>60</v>
      </c>
      <c r="F3136" t="s">
        <v>123</v>
      </c>
      <c r="G3136">
        <v>3</v>
      </c>
      <c r="H3136" t="s">
        <v>18</v>
      </c>
      <c r="I3136" t="s">
        <v>121</v>
      </c>
      <c r="J3136" t="s">
        <v>122</v>
      </c>
      <c r="K3136">
        <v>0</v>
      </c>
      <c r="L3136" s="84">
        <v>-30579</v>
      </c>
      <c r="M3136" s="84">
        <v>0</v>
      </c>
    </row>
    <row r="3137" spans="3:13" hidden="1" x14ac:dyDescent="0.25">
      <c r="C3137" t="s">
        <v>64</v>
      </c>
      <c r="D3137" t="s">
        <v>120</v>
      </c>
      <c r="E3137" t="s">
        <v>63</v>
      </c>
      <c r="F3137" t="s">
        <v>124</v>
      </c>
      <c r="G3137">
        <v>4</v>
      </c>
      <c r="H3137" t="s">
        <v>14</v>
      </c>
      <c r="I3137" t="s">
        <v>121</v>
      </c>
      <c r="J3137" t="s">
        <v>66</v>
      </c>
      <c r="K3137">
        <v>1</v>
      </c>
      <c r="L3137" s="84">
        <v>4931101</v>
      </c>
      <c r="M3137" s="84">
        <v>19724404</v>
      </c>
    </row>
    <row r="3138" spans="3:13" hidden="1" x14ac:dyDescent="0.25">
      <c r="C3138" t="s">
        <v>65</v>
      </c>
      <c r="D3138" t="s">
        <v>120</v>
      </c>
      <c r="E3138" t="s">
        <v>60</v>
      </c>
      <c r="F3138" t="s">
        <v>25</v>
      </c>
      <c r="G3138">
        <v>4</v>
      </c>
      <c r="H3138" t="s">
        <v>68</v>
      </c>
      <c r="I3138" t="s">
        <v>121</v>
      </c>
      <c r="J3138" t="s">
        <v>122</v>
      </c>
      <c r="K3138">
        <v>0</v>
      </c>
      <c r="L3138" s="84">
        <v>-1010796</v>
      </c>
      <c r="M3138" s="84">
        <v>0</v>
      </c>
    </row>
    <row r="3139" spans="3:13" hidden="1" x14ac:dyDescent="0.25">
      <c r="C3139" t="s">
        <v>119</v>
      </c>
      <c r="D3139" t="s">
        <v>120</v>
      </c>
      <c r="E3139" t="s">
        <v>63</v>
      </c>
      <c r="F3139" t="s">
        <v>24</v>
      </c>
      <c r="G3139">
        <v>1</v>
      </c>
      <c r="H3139" t="s">
        <v>17</v>
      </c>
      <c r="I3139" t="s">
        <v>62</v>
      </c>
      <c r="J3139" t="s">
        <v>122</v>
      </c>
      <c r="K3139">
        <v>1</v>
      </c>
      <c r="L3139" s="84">
        <v>958219</v>
      </c>
      <c r="M3139" s="84">
        <v>958219</v>
      </c>
    </row>
    <row r="3140" spans="3:13" hidden="1" x14ac:dyDescent="0.25">
      <c r="C3140" t="s">
        <v>119</v>
      </c>
      <c r="D3140" t="s">
        <v>120</v>
      </c>
      <c r="E3140" t="s">
        <v>60</v>
      </c>
      <c r="F3140" t="s">
        <v>124</v>
      </c>
      <c r="G3140">
        <v>0</v>
      </c>
      <c r="H3140" t="s">
        <v>15</v>
      </c>
      <c r="I3140" t="s">
        <v>121</v>
      </c>
      <c r="J3140" t="s">
        <v>66</v>
      </c>
      <c r="K3140">
        <v>1</v>
      </c>
      <c r="L3140" s="84">
        <v>-2034</v>
      </c>
      <c r="M3140" s="84">
        <v>0</v>
      </c>
    </row>
    <row r="3141" spans="3:13" x14ac:dyDescent="0.25">
      <c r="C3141" t="s">
        <v>65</v>
      </c>
      <c r="D3141" t="s">
        <v>120</v>
      </c>
      <c r="E3141" t="s">
        <v>63</v>
      </c>
      <c r="F3141" t="s">
        <v>25</v>
      </c>
      <c r="G3141">
        <v>8</v>
      </c>
      <c r="H3141" t="s">
        <v>12</v>
      </c>
      <c r="I3141" t="s">
        <v>121</v>
      </c>
      <c r="J3141" t="s">
        <v>66</v>
      </c>
      <c r="K3141">
        <v>1</v>
      </c>
      <c r="L3141" s="84">
        <v>247260</v>
      </c>
      <c r="M3141" s="84">
        <v>1978080</v>
      </c>
    </row>
    <row r="3142" spans="3:13" hidden="1" x14ac:dyDescent="0.25">
      <c r="C3142" t="s">
        <v>119</v>
      </c>
      <c r="D3142" t="s">
        <v>120</v>
      </c>
      <c r="E3142" t="s">
        <v>60</v>
      </c>
      <c r="F3142" t="s">
        <v>25</v>
      </c>
      <c r="G3142">
        <v>-1</v>
      </c>
      <c r="H3142" t="s">
        <v>18</v>
      </c>
      <c r="I3142" t="s">
        <v>121</v>
      </c>
      <c r="J3142" t="s">
        <v>122</v>
      </c>
      <c r="K3142">
        <v>0</v>
      </c>
      <c r="L3142" s="84">
        <v>-24461</v>
      </c>
      <c r="M3142" s="84">
        <v>0</v>
      </c>
    </row>
    <row r="3143" spans="3:13" hidden="1" x14ac:dyDescent="0.25">
      <c r="C3143" t="s">
        <v>65</v>
      </c>
      <c r="D3143" t="s">
        <v>120</v>
      </c>
      <c r="E3143" t="s">
        <v>60</v>
      </c>
      <c r="F3143" t="s">
        <v>123</v>
      </c>
      <c r="G3143">
        <v>3</v>
      </c>
      <c r="H3143" t="s">
        <v>18</v>
      </c>
      <c r="I3143" t="s">
        <v>121</v>
      </c>
      <c r="J3143" t="s">
        <v>66</v>
      </c>
      <c r="K3143">
        <v>1</v>
      </c>
      <c r="L3143" s="84">
        <v>-20158</v>
      </c>
      <c r="M3143" s="84">
        <v>0</v>
      </c>
    </row>
    <row r="3144" spans="3:13" hidden="1" x14ac:dyDescent="0.25">
      <c r="C3144" t="s">
        <v>64</v>
      </c>
      <c r="D3144" t="s">
        <v>125</v>
      </c>
      <c r="E3144" t="s">
        <v>63</v>
      </c>
      <c r="F3144" t="s">
        <v>24</v>
      </c>
      <c r="G3144">
        <v>4</v>
      </c>
      <c r="I3144" t="s">
        <v>121</v>
      </c>
      <c r="J3144" t="s">
        <v>122</v>
      </c>
      <c r="K3144">
        <v>0</v>
      </c>
      <c r="L3144" s="84">
        <v>9545353</v>
      </c>
      <c r="M3144" s="84">
        <v>38181412</v>
      </c>
    </row>
    <row r="3145" spans="3:13" hidden="1" x14ac:dyDescent="0.25">
      <c r="C3145" t="s">
        <v>65</v>
      </c>
      <c r="D3145" t="s">
        <v>120</v>
      </c>
      <c r="E3145" t="s">
        <v>60</v>
      </c>
      <c r="F3145" t="s">
        <v>124</v>
      </c>
      <c r="G3145">
        <v>3</v>
      </c>
      <c r="H3145" t="s">
        <v>71</v>
      </c>
      <c r="I3145" t="s">
        <v>121</v>
      </c>
      <c r="J3145" t="s">
        <v>122</v>
      </c>
      <c r="K3145">
        <v>0</v>
      </c>
      <c r="L3145" s="84">
        <v>-78184</v>
      </c>
      <c r="M3145" s="84">
        <v>0</v>
      </c>
    </row>
    <row r="3146" spans="3:13" hidden="1" x14ac:dyDescent="0.25">
      <c r="C3146" t="s">
        <v>119</v>
      </c>
      <c r="D3146" t="s">
        <v>120</v>
      </c>
      <c r="E3146" t="s">
        <v>60</v>
      </c>
      <c r="F3146" t="s">
        <v>124</v>
      </c>
      <c r="G3146">
        <v>6</v>
      </c>
      <c r="H3146" t="s">
        <v>14</v>
      </c>
      <c r="I3146" t="s">
        <v>121</v>
      </c>
      <c r="J3146" t="s">
        <v>122</v>
      </c>
      <c r="K3146">
        <v>0</v>
      </c>
      <c r="L3146" s="84">
        <v>-27708</v>
      </c>
      <c r="M3146" s="84">
        <v>0</v>
      </c>
    </row>
    <row r="3147" spans="3:13" hidden="1" x14ac:dyDescent="0.25">
      <c r="C3147" t="s">
        <v>119</v>
      </c>
      <c r="D3147" t="s">
        <v>120</v>
      </c>
      <c r="E3147" t="s">
        <v>60</v>
      </c>
      <c r="F3147" t="s">
        <v>124</v>
      </c>
      <c r="G3147">
        <v>0</v>
      </c>
      <c r="H3147" t="s">
        <v>14</v>
      </c>
      <c r="I3147" t="s">
        <v>62</v>
      </c>
      <c r="J3147" t="s">
        <v>122</v>
      </c>
      <c r="K3147">
        <v>1</v>
      </c>
      <c r="L3147" s="84">
        <v>-73</v>
      </c>
      <c r="M3147" s="84">
        <v>0</v>
      </c>
    </row>
    <row r="3148" spans="3:13" hidden="1" x14ac:dyDescent="0.25">
      <c r="C3148" t="s">
        <v>64</v>
      </c>
      <c r="D3148" t="s">
        <v>120</v>
      </c>
      <c r="E3148" t="s">
        <v>60</v>
      </c>
      <c r="F3148" t="s">
        <v>24</v>
      </c>
      <c r="G3148">
        <v>10</v>
      </c>
      <c r="H3148" t="s">
        <v>17</v>
      </c>
      <c r="I3148" t="s">
        <v>121</v>
      </c>
      <c r="J3148" t="s">
        <v>66</v>
      </c>
      <c r="K3148">
        <v>1</v>
      </c>
      <c r="L3148" s="84">
        <v>-27153</v>
      </c>
      <c r="M3148" s="84">
        <v>0</v>
      </c>
    </row>
    <row r="3149" spans="3:13" hidden="1" x14ac:dyDescent="0.25">
      <c r="C3149" t="s">
        <v>119</v>
      </c>
      <c r="D3149" t="s">
        <v>120</v>
      </c>
      <c r="E3149" t="s">
        <v>63</v>
      </c>
      <c r="F3149" t="s">
        <v>123</v>
      </c>
      <c r="G3149">
        <v>3</v>
      </c>
      <c r="H3149" t="s">
        <v>71</v>
      </c>
      <c r="I3149" t="s">
        <v>121</v>
      </c>
      <c r="J3149" t="s">
        <v>122</v>
      </c>
      <c r="K3149">
        <v>0</v>
      </c>
      <c r="L3149" s="84">
        <v>549283</v>
      </c>
      <c r="M3149" s="84">
        <v>1647849</v>
      </c>
    </row>
    <row r="3150" spans="3:13" hidden="1" x14ac:dyDescent="0.25">
      <c r="C3150" t="s">
        <v>65</v>
      </c>
      <c r="D3150" t="s">
        <v>125</v>
      </c>
      <c r="E3150" t="s">
        <v>63</v>
      </c>
      <c r="F3150" t="s">
        <v>24</v>
      </c>
      <c r="G3150">
        <v>42</v>
      </c>
      <c r="I3150" t="s">
        <v>121</v>
      </c>
      <c r="J3150" t="s">
        <v>122</v>
      </c>
      <c r="K3150">
        <v>0</v>
      </c>
      <c r="L3150" s="84">
        <v>659278</v>
      </c>
      <c r="M3150" s="84">
        <v>27689676</v>
      </c>
    </row>
    <row r="3151" spans="3:13" x14ac:dyDescent="0.25">
      <c r="C3151" t="s">
        <v>119</v>
      </c>
      <c r="D3151" t="s">
        <v>120</v>
      </c>
      <c r="E3151" t="s">
        <v>63</v>
      </c>
      <c r="F3151" t="s">
        <v>25</v>
      </c>
      <c r="G3151">
        <v>10</v>
      </c>
      <c r="H3151" t="s">
        <v>18</v>
      </c>
      <c r="I3151" t="s">
        <v>121</v>
      </c>
      <c r="J3151" t="s">
        <v>66</v>
      </c>
      <c r="K3151">
        <v>1</v>
      </c>
      <c r="L3151" s="84">
        <v>348859</v>
      </c>
      <c r="M3151" s="84">
        <v>3488590</v>
      </c>
    </row>
    <row r="3152" spans="3:13" hidden="1" x14ac:dyDescent="0.25">
      <c r="C3152" t="s">
        <v>64</v>
      </c>
      <c r="D3152" t="s">
        <v>120</v>
      </c>
      <c r="E3152" t="s">
        <v>63</v>
      </c>
      <c r="F3152" t="s">
        <v>25</v>
      </c>
      <c r="G3152">
        <v>11</v>
      </c>
      <c r="H3152" t="s">
        <v>70</v>
      </c>
      <c r="I3152" t="s">
        <v>121</v>
      </c>
      <c r="J3152" t="s">
        <v>122</v>
      </c>
      <c r="K3152">
        <v>0</v>
      </c>
      <c r="L3152" s="84">
        <v>99722</v>
      </c>
      <c r="M3152" s="84">
        <v>1096942</v>
      </c>
    </row>
    <row r="3153" spans="3:13" hidden="1" x14ac:dyDescent="0.25">
      <c r="C3153" t="s">
        <v>119</v>
      </c>
      <c r="D3153" t="s">
        <v>120</v>
      </c>
      <c r="E3153" t="s">
        <v>60</v>
      </c>
      <c r="F3153" t="s">
        <v>123</v>
      </c>
      <c r="G3153">
        <v>3</v>
      </c>
      <c r="H3153" t="s">
        <v>16</v>
      </c>
      <c r="I3153" t="s">
        <v>121</v>
      </c>
      <c r="J3153" t="s">
        <v>122</v>
      </c>
      <c r="K3153">
        <v>0</v>
      </c>
      <c r="L3153" s="84">
        <v>-286</v>
      </c>
      <c r="M3153" s="84">
        <v>0</v>
      </c>
    </row>
    <row r="3154" spans="3:13" hidden="1" x14ac:dyDescent="0.25">
      <c r="C3154" t="s">
        <v>64</v>
      </c>
      <c r="D3154" t="s">
        <v>120</v>
      </c>
      <c r="E3154" t="s">
        <v>60</v>
      </c>
      <c r="F3154" t="s">
        <v>24</v>
      </c>
      <c r="G3154">
        <v>6</v>
      </c>
      <c r="H3154" t="s">
        <v>12</v>
      </c>
      <c r="I3154" t="s">
        <v>121</v>
      </c>
      <c r="J3154" t="s">
        <v>66</v>
      </c>
      <c r="K3154">
        <v>1</v>
      </c>
      <c r="L3154" s="84">
        <v>-2293</v>
      </c>
      <c r="M3154" s="84">
        <v>0</v>
      </c>
    </row>
    <row r="3155" spans="3:13" hidden="1" x14ac:dyDescent="0.25">
      <c r="C3155" t="s">
        <v>64</v>
      </c>
      <c r="D3155" t="s">
        <v>120</v>
      </c>
      <c r="E3155" t="s">
        <v>63</v>
      </c>
      <c r="F3155" t="s">
        <v>124</v>
      </c>
      <c r="G3155">
        <v>4</v>
      </c>
      <c r="H3155" t="s">
        <v>12</v>
      </c>
      <c r="I3155" t="s">
        <v>121</v>
      </c>
      <c r="J3155" t="s">
        <v>66</v>
      </c>
      <c r="K3155">
        <v>1</v>
      </c>
      <c r="L3155" s="84">
        <v>427806</v>
      </c>
      <c r="M3155" s="84">
        <v>1711224</v>
      </c>
    </row>
    <row r="3156" spans="3:13" hidden="1" x14ac:dyDescent="0.25">
      <c r="C3156" t="s">
        <v>119</v>
      </c>
      <c r="D3156" t="s">
        <v>120</v>
      </c>
      <c r="E3156" t="s">
        <v>60</v>
      </c>
      <c r="F3156" t="s">
        <v>24</v>
      </c>
      <c r="G3156">
        <v>2</v>
      </c>
      <c r="H3156" t="s">
        <v>67</v>
      </c>
      <c r="I3156" t="s">
        <v>121</v>
      </c>
      <c r="J3156" t="s">
        <v>122</v>
      </c>
      <c r="K3156">
        <v>0</v>
      </c>
      <c r="L3156" s="84">
        <v>-1493</v>
      </c>
      <c r="M3156" s="84">
        <v>0</v>
      </c>
    </row>
    <row r="3157" spans="3:13" hidden="1" x14ac:dyDescent="0.25">
      <c r="C3157" t="s">
        <v>64</v>
      </c>
      <c r="D3157" t="s">
        <v>120</v>
      </c>
      <c r="E3157" t="s">
        <v>60</v>
      </c>
      <c r="F3157" t="s">
        <v>124</v>
      </c>
      <c r="G3157">
        <v>-4</v>
      </c>
      <c r="H3157" t="s">
        <v>71</v>
      </c>
      <c r="I3157" t="s">
        <v>121</v>
      </c>
      <c r="J3157" t="s">
        <v>122</v>
      </c>
      <c r="K3157">
        <v>0</v>
      </c>
      <c r="L3157" s="84">
        <v>-73</v>
      </c>
      <c r="M3157" s="84">
        <v>0</v>
      </c>
    </row>
    <row r="3158" spans="3:13" hidden="1" x14ac:dyDescent="0.25">
      <c r="C3158" t="s">
        <v>119</v>
      </c>
      <c r="D3158" t="s">
        <v>120</v>
      </c>
      <c r="E3158" t="s">
        <v>60</v>
      </c>
      <c r="F3158" t="s">
        <v>25</v>
      </c>
      <c r="G3158">
        <v>8</v>
      </c>
      <c r="H3158" t="s">
        <v>14</v>
      </c>
      <c r="I3158" t="s">
        <v>121</v>
      </c>
      <c r="J3158" t="s">
        <v>66</v>
      </c>
      <c r="K3158">
        <v>1</v>
      </c>
      <c r="L3158" s="84">
        <v>-1213</v>
      </c>
      <c r="M3158" s="84">
        <v>0</v>
      </c>
    </row>
    <row r="3159" spans="3:13" hidden="1" x14ac:dyDescent="0.25">
      <c r="C3159" t="s">
        <v>119</v>
      </c>
      <c r="D3159" t="s">
        <v>120</v>
      </c>
      <c r="E3159" t="s">
        <v>60</v>
      </c>
      <c r="F3159" t="s">
        <v>24</v>
      </c>
      <c r="G3159">
        <v>13</v>
      </c>
      <c r="H3159" t="s">
        <v>18</v>
      </c>
      <c r="I3159" t="s">
        <v>121</v>
      </c>
      <c r="J3159" t="s">
        <v>122</v>
      </c>
      <c r="K3159">
        <v>0</v>
      </c>
      <c r="L3159" s="84">
        <v>-217</v>
      </c>
      <c r="M3159" s="84">
        <v>0</v>
      </c>
    </row>
    <row r="3160" spans="3:13" hidden="1" x14ac:dyDescent="0.25">
      <c r="C3160" t="s">
        <v>64</v>
      </c>
      <c r="D3160" t="s">
        <v>120</v>
      </c>
      <c r="E3160" t="s">
        <v>63</v>
      </c>
      <c r="F3160" t="s">
        <v>124</v>
      </c>
      <c r="G3160">
        <v>4</v>
      </c>
      <c r="H3160" t="s">
        <v>17</v>
      </c>
      <c r="I3160" t="s">
        <v>62</v>
      </c>
      <c r="J3160" t="s">
        <v>122</v>
      </c>
      <c r="K3160">
        <v>1</v>
      </c>
      <c r="L3160" s="84">
        <v>15638</v>
      </c>
      <c r="M3160" s="84">
        <v>62552</v>
      </c>
    </row>
    <row r="3161" spans="3:13" hidden="1" x14ac:dyDescent="0.25">
      <c r="C3161" t="s">
        <v>64</v>
      </c>
      <c r="D3161" t="s">
        <v>126</v>
      </c>
      <c r="E3161" t="s">
        <v>63</v>
      </c>
      <c r="F3161" t="s">
        <v>25</v>
      </c>
      <c r="G3161">
        <v>1</v>
      </c>
      <c r="H3161" t="s">
        <v>74</v>
      </c>
      <c r="I3161" t="s">
        <v>121</v>
      </c>
      <c r="J3161" t="s">
        <v>122</v>
      </c>
      <c r="K3161">
        <v>0</v>
      </c>
      <c r="L3161" s="84">
        <v>112604</v>
      </c>
      <c r="M3161" s="84">
        <v>112604</v>
      </c>
    </row>
    <row r="3162" spans="3:13" hidden="1" x14ac:dyDescent="0.25">
      <c r="C3162" t="s">
        <v>65</v>
      </c>
      <c r="D3162" t="s">
        <v>120</v>
      </c>
      <c r="E3162" t="s">
        <v>60</v>
      </c>
      <c r="F3162" t="s">
        <v>124</v>
      </c>
      <c r="G3162">
        <v>5</v>
      </c>
      <c r="H3162" t="s">
        <v>16</v>
      </c>
      <c r="I3162" t="s">
        <v>121</v>
      </c>
      <c r="J3162" t="s">
        <v>122</v>
      </c>
      <c r="K3162">
        <v>0</v>
      </c>
      <c r="L3162" s="84">
        <v>-10516</v>
      </c>
      <c r="M3162" s="84">
        <v>0</v>
      </c>
    </row>
    <row r="3163" spans="3:13" hidden="1" x14ac:dyDescent="0.25">
      <c r="C3163" t="s">
        <v>64</v>
      </c>
      <c r="D3163" t="s">
        <v>120</v>
      </c>
      <c r="E3163" t="s">
        <v>60</v>
      </c>
      <c r="F3163" t="s">
        <v>25</v>
      </c>
      <c r="G3163">
        <v>7</v>
      </c>
      <c r="H3163" t="s">
        <v>17</v>
      </c>
      <c r="I3163" t="s">
        <v>62</v>
      </c>
      <c r="J3163" t="s">
        <v>66</v>
      </c>
      <c r="K3163">
        <v>1</v>
      </c>
      <c r="L3163" s="84">
        <v>-12499</v>
      </c>
      <c r="M3163" s="84">
        <v>0</v>
      </c>
    </row>
    <row r="3164" spans="3:13" hidden="1" x14ac:dyDescent="0.25">
      <c r="C3164" t="s">
        <v>65</v>
      </c>
      <c r="D3164" t="s">
        <v>120</v>
      </c>
      <c r="E3164" t="s">
        <v>63</v>
      </c>
      <c r="F3164" t="s">
        <v>123</v>
      </c>
      <c r="G3164">
        <v>0</v>
      </c>
      <c r="H3164" t="s">
        <v>17</v>
      </c>
      <c r="I3164" t="s">
        <v>121</v>
      </c>
      <c r="J3164" t="s">
        <v>122</v>
      </c>
      <c r="K3164">
        <v>0</v>
      </c>
      <c r="L3164" s="84">
        <v>148819</v>
      </c>
      <c r="M3164" s="84">
        <v>0</v>
      </c>
    </row>
    <row r="3165" spans="3:13" hidden="1" x14ac:dyDescent="0.25">
      <c r="C3165" t="s">
        <v>64</v>
      </c>
      <c r="D3165" t="s">
        <v>120</v>
      </c>
      <c r="E3165" t="s">
        <v>60</v>
      </c>
      <c r="F3165" t="s">
        <v>124</v>
      </c>
      <c r="G3165">
        <v>-1</v>
      </c>
      <c r="H3165" t="s">
        <v>73</v>
      </c>
      <c r="I3165" t="s">
        <v>121</v>
      </c>
      <c r="J3165" t="s">
        <v>122</v>
      </c>
      <c r="K3165">
        <v>0</v>
      </c>
      <c r="L3165" s="84">
        <v>-76695</v>
      </c>
      <c r="M3165" s="84">
        <v>0</v>
      </c>
    </row>
    <row r="3166" spans="3:13" hidden="1" x14ac:dyDescent="0.25">
      <c r="C3166" t="s">
        <v>119</v>
      </c>
      <c r="D3166" t="s">
        <v>120</v>
      </c>
      <c r="E3166" t="s">
        <v>63</v>
      </c>
      <c r="F3166" t="s">
        <v>24</v>
      </c>
      <c r="G3166">
        <v>1</v>
      </c>
      <c r="H3166" t="s">
        <v>14</v>
      </c>
      <c r="I3166" t="s">
        <v>121</v>
      </c>
      <c r="J3166" t="s">
        <v>66</v>
      </c>
      <c r="K3166">
        <v>1</v>
      </c>
      <c r="L3166" s="84">
        <v>15758</v>
      </c>
      <c r="M3166" s="84">
        <v>15758</v>
      </c>
    </row>
    <row r="3167" spans="3:13" hidden="1" x14ac:dyDescent="0.25">
      <c r="C3167" t="s">
        <v>64</v>
      </c>
      <c r="D3167" t="s">
        <v>120</v>
      </c>
      <c r="E3167" t="s">
        <v>60</v>
      </c>
      <c r="F3167" t="s">
        <v>124</v>
      </c>
      <c r="G3167">
        <v>2</v>
      </c>
      <c r="H3167" t="s">
        <v>74</v>
      </c>
      <c r="I3167" t="s">
        <v>121</v>
      </c>
      <c r="J3167" t="s">
        <v>122</v>
      </c>
      <c r="K3167">
        <v>0</v>
      </c>
      <c r="L3167" s="84">
        <v>-1543</v>
      </c>
      <c r="M3167" s="84">
        <v>0</v>
      </c>
    </row>
    <row r="3168" spans="3:13" hidden="1" x14ac:dyDescent="0.25">
      <c r="C3168" t="s">
        <v>119</v>
      </c>
      <c r="D3168" t="s">
        <v>125</v>
      </c>
      <c r="E3168" t="s">
        <v>63</v>
      </c>
      <c r="F3168" t="s">
        <v>24</v>
      </c>
      <c r="G3168">
        <v>39</v>
      </c>
      <c r="I3168" t="s">
        <v>121</v>
      </c>
      <c r="J3168" t="s">
        <v>122</v>
      </c>
      <c r="K3168">
        <v>0</v>
      </c>
      <c r="L3168" s="84">
        <v>569189517</v>
      </c>
      <c r="M3168" s="84">
        <v>22198391163</v>
      </c>
    </row>
    <row r="3169" spans="3:13" hidden="1" x14ac:dyDescent="0.25">
      <c r="C3169" t="s">
        <v>65</v>
      </c>
      <c r="D3169" t="s">
        <v>125</v>
      </c>
      <c r="E3169" t="s">
        <v>60</v>
      </c>
      <c r="F3169" t="s">
        <v>24</v>
      </c>
      <c r="G3169">
        <v>12</v>
      </c>
      <c r="I3169" t="s">
        <v>121</v>
      </c>
      <c r="J3169" t="s">
        <v>122</v>
      </c>
      <c r="K3169">
        <v>0</v>
      </c>
      <c r="L3169" s="84">
        <v>-1146603</v>
      </c>
      <c r="M3169" s="84">
        <v>0</v>
      </c>
    </row>
    <row r="3170" spans="3:13" hidden="1" x14ac:dyDescent="0.25">
      <c r="C3170" t="s">
        <v>119</v>
      </c>
      <c r="D3170" t="s">
        <v>120</v>
      </c>
      <c r="E3170" t="s">
        <v>60</v>
      </c>
      <c r="F3170" t="s">
        <v>124</v>
      </c>
      <c r="G3170">
        <v>6</v>
      </c>
      <c r="H3170" t="s">
        <v>12</v>
      </c>
      <c r="I3170" t="s">
        <v>121</v>
      </c>
      <c r="J3170" t="s">
        <v>122</v>
      </c>
      <c r="K3170">
        <v>0</v>
      </c>
      <c r="L3170" s="84">
        <v>-798</v>
      </c>
      <c r="M3170" s="84">
        <v>0</v>
      </c>
    </row>
    <row r="3171" spans="3:13" hidden="1" x14ac:dyDescent="0.25">
      <c r="C3171" t="s">
        <v>119</v>
      </c>
      <c r="D3171" t="s">
        <v>120</v>
      </c>
      <c r="E3171" t="s">
        <v>63</v>
      </c>
      <c r="F3171" t="s">
        <v>123</v>
      </c>
      <c r="G3171">
        <v>0</v>
      </c>
      <c r="H3171" t="s">
        <v>73</v>
      </c>
      <c r="I3171" t="s">
        <v>121</v>
      </c>
      <c r="J3171" t="s">
        <v>122</v>
      </c>
      <c r="K3171">
        <v>0</v>
      </c>
      <c r="L3171" s="84">
        <v>34562</v>
      </c>
      <c r="M3171" s="84">
        <v>0</v>
      </c>
    </row>
    <row r="3172" spans="3:13" hidden="1" x14ac:dyDescent="0.25">
      <c r="C3172" t="s">
        <v>119</v>
      </c>
      <c r="D3172" t="s">
        <v>120</v>
      </c>
      <c r="E3172" t="s">
        <v>60</v>
      </c>
      <c r="F3172" t="s">
        <v>25</v>
      </c>
      <c r="G3172">
        <v>8</v>
      </c>
      <c r="H3172" t="s">
        <v>71</v>
      </c>
      <c r="I3172" t="s">
        <v>121</v>
      </c>
      <c r="J3172" t="s">
        <v>122</v>
      </c>
      <c r="K3172">
        <v>0</v>
      </c>
      <c r="L3172" s="84">
        <v>-1844</v>
      </c>
      <c r="M3172" s="84">
        <v>0</v>
      </c>
    </row>
    <row r="3173" spans="3:13" hidden="1" x14ac:dyDescent="0.25">
      <c r="C3173" t="s">
        <v>119</v>
      </c>
      <c r="D3173" t="s">
        <v>126</v>
      </c>
      <c r="E3173" t="s">
        <v>60</v>
      </c>
      <c r="F3173" t="s">
        <v>25</v>
      </c>
      <c r="G3173">
        <v>0</v>
      </c>
      <c r="H3173" t="s">
        <v>74</v>
      </c>
      <c r="I3173" t="s">
        <v>121</v>
      </c>
      <c r="J3173" t="s">
        <v>122</v>
      </c>
      <c r="K3173">
        <v>0</v>
      </c>
      <c r="L3173" s="84">
        <v>-19</v>
      </c>
      <c r="M3173" s="84">
        <v>0</v>
      </c>
    </row>
    <row r="3174" spans="3:13" hidden="1" x14ac:dyDescent="0.25">
      <c r="C3174" t="s">
        <v>119</v>
      </c>
      <c r="D3174" t="s">
        <v>120</v>
      </c>
      <c r="E3174" t="s">
        <v>63</v>
      </c>
      <c r="F3174" t="s">
        <v>123</v>
      </c>
      <c r="G3174">
        <v>3</v>
      </c>
      <c r="H3174" t="s">
        <v>76</v>
      </c>
      <c r="I3174" t="s">
        <v>121</v>
      </c>
      <c r="J3174" t="s">
        <v>122</v>
      </c>
      <c r="K3174">
        <v>0</v>
      </c>
      <c r="L3174" s="84">
        <v>869895</v>
      </c>
      <c r="M3174" s="84">
        <v>2609685</v>
      </c>
    </row>
    <row r="3175" spans="3:13" hidden="1" x14ac:dyDescent="0.25">
      <c r="C3175" t="s">
        <v>65</v>
      </c>
      <c r="D3175" t="s">
        <v>120</v>
      </c>
      <c r="E3175" t="s">
        <v>63</v>
      </c>
      <c r="F3175" t="s">
        <v>25</v>
      </c>
      <c r="G3175">
        <v>8</v>
      </c>
      <c r="H3175" t="s">
        <v>14</v>
      </c>
      <c r="I3175" t="s">
        <v>121</v>
      </c>
      <c r="J3175" t="s">
        <v>122</v>
      </c>
      <c r="K3175">
        <v>0</v>
      </c>
      <c r="L3175" s="84">
        <v>1389645</v>
      </c>
      <c r="M3175" s="84">
        <v>11117160</v>
      </c>
    </row>
    <row r="3176" spans="3:13" hidden="1" x14ac:dyDescent="0.25">
      <c r="C3176" t="s">
        <v>65</v>
      </c>
      <c r="D3176" t="s">
        <v>120</v>
      </c>
      <c r="E3176" t="s">
        <v>63</v>
      </c>
      <c r="F3176" t="s">
        <v>25</v>
      </c>
      <c r="G3176">
        <v>-1</v>
      </c>
      <c r="H3176" t="s">
        <v>17</v>
      </c>
      <c r="I3176" t="s">
        <v>121</v>
      </c>
      <c r="J3176" t="s">
        <v>122</v>
      </c>
      <c r="K3176">
        <v>0</v>
      </c>
      <c r="L3176" s="84">
        <v>1724</v>
      </c>
      <c r="M3176" s="84">
        <v>0</v>
      </c>
    </row>
    <row r="3177" spans="3:13" hidden="1" x14ac:dyDescent="0.25">
      <c r="C3177" t="s">
        <v>119</v>
      </c>
      <c r="D3177" t="s">
        <v>120</v>
      </c>
      <c r="E3177" t="s">
        <v>60</v>
      </c>
      <c r="F3177" t="s">
        <v>124</v>
      </c>
      <c r="G3177">
        <v>0</v>
      </c>
      <c r="H3177" t="s">
        <v>17</v>
      </c>
      <c r="I3177" t="s">
        <v>121</v>
      </c>
      <c r="J3177" t="s">
        <v>66</v>
      </c>
      <c r="K3177">
        <v>1</v>
      </c>
      <c r="L3177" s="84">
        <v>-73707</v>
      </c>
      <c r="M3177" s="84">
        <v>0</v>
      </c>
    </row>
    <row r="3178" spans="3:13" hidden="1" x14ac:dyDescent="0.25">
      <c r="C3178" t="s">
        <v>64</v>
      </c>
      <c r="D3178" t="s">
        <v>125</v>
      </c>
      <c r="E3178" t="s">
        <v>63</v>
      </c>
      <c r="F3178" t="s">
        <v>25</v>
      </c>
      <c r="G3178">
        <v>14</v>
      </c>
      <c r="I3178" t="s">
        <v>121</v>
      </c>
      <c r="J3178" t="s">
        <v>122</v>
      </c>
      <c r="K3178">
        <v>0</v>
      </c>
      <c r="L3178" s="84">
        <v>385374</v>
      </c>
      <c r="M3178" s="84">
        <v>5395236</v>
      </c>
    </row>
    <row r="3179" spans="3:13" hidden="1" x14ac:dyDescent="0.25">
      <c r="C3179" t="s">
        <v>64</v>
      </c>
      <c r="D3179" t="s">
        <v>120</v>
      </c>
      <c r="E3179" t="s">
        <v>60</v>
      </c>
      <c r="F3179" t="s">
        <v>25</v>
      </c>
      <c r="G3179">
        <v>15</v>
      </c>
      <c r="H3179" t="s">
        <v>61</v>
      </c>
      <c r="I3179" t="s">
        <v>121</v>
      </c>
      <c r="J3179" t="s">
        <v>122</v>
      </c>
      <c r="K3179">
        <v>0</v>
      </c>
      <c r="L3179" s="84">
        <v>-9216</v>
      </c>
      <c r="M3179" s="84">
        <v>0</v>
      </c>
    </row>
    <row r="3180" spans="3:13" hidden="1" x14ac:dyDescent="0.25">
      <c r="C3180" t="s">
        <v>119</v>
      </c>
      <c r="D3180" t="s">
        <v>120</v>
      </c>
      <c r="E3180" t="s">
        <v>63</v>
      </c>
      <c r="F3180" t="s">
        <v>123</v>
      </c>
      <c r="G3180">
        <v>-4</v>
      </c>
      <c r="H3180" t="s">
        <v>17</v>
      </c>
      <c r="I3180" t="s">
        <v>62</v>
      </c>
      <c r="J3180" t="s">
        <v>66</v>
      </c>
      <c r="K3180">
        <v>1</v>
      </c>
      <c r="L3180" s="84">
        <v>48</v>
      </c>
      <c r="M3180" s="84">
        <v>0</v>
      </c>
    </row>
    <row r="3181" spans="3:13" hidden="1" x14ac:dyDescent="0.25">
      <c r="C3181" t="s">
        <v>119</v>
      </c>
      <c r="D3181" t="s">
        <v>120</v>
      </c>
      <c r="E3181" t="s">
        <v>63</v>
      </c>
      <c r="F3181" t="s">
        <v>124</v>
      </c>
      <c r="G3181">
        <v>3</v>
      </c>
      <c r="H3181" t="s">
        <v>12</v>
      </c>
      <c r="I3181" t="s">
        <v>121</v>
      </c>
      <c r="J3181" t="s">
        <v>122</v>
      </c>
      <c r="K3181">
        <v>0</v>
      </c>
      <c r="L3181" s="84">
        <v>5507538</v>
      </c>
      <c r="M3181" s="84">
        <v>16522614</v>
      </c>
    </row>
    <row r="3182" spans="3:13" hidden="1" x14ac:dyDescent="0.25">
      <c r="C3182" t="s">
        <v>119</v>
      </c>
      <c r="D3182" t="s">
        <v>126</v>
      </c>
      <c r="E3182" t="s">
        <v>63</v>
      </c>
      <c r="F3182" t="s">
        <v>24</v>
      </c>
      <c r="G3182">
        <v>3</v>
      </c>
      <c r="H3182" t="s">
        <v>68</v>
      </c>
      <c r="I3182" t="s">
        <v>121</v>
      </c>
      <c r="J3182" t="s">
        <v>122</v>
      </c>
      <c r="K3182">
        <v>0</v>
      </c>
      <c r="L3182" s="84">
        <v>24547589</v>
      </c>
      <c r="M3182" s="84">
        <v>73642767</v>
      </c>
    </row>
    <row r="3183" spans="3:13" hidden="1" x14ac:dyDescent="0.25">
      <c r="C3183" t="s">
        <v>119</v>
      </c>
      <c r="D3183" t="s">
        <v>120</v>
      </c>
      <c r="E3183" t="s">
        <v>60</v>
      </c>
      <c r="F3183" t="s">
        <v>123</v>
      </c>
      <c r="G3183">
        <v>7</v>
      </c>
      <c r="H3183" t="s">
        <v>73</v>
      </c>
      <c r="I3183" t="s">
        <v>121</v>
      </c>
      <c r="J3183" t="s">
        <v>122</v>
      </c>
      <c r="K3183">
        <v>0</v>
      </c>
      <c r="L3183" s="84">
        <v>-111</v>
      </c>
      <c r="M3183" s="84">
        <v>0</v>
      </c>
    </row>
    <row r="3184" spans="3:13" hidden="1" x14ac:dyDescent="0.25">
      <c r="C3184" t="s">
        <v>119</v>
      </c>
      <c r="D3184" t="s">
        <v>120</v>
      </c>
      <c r="E3184" t="s">
        <v>60</v>
      </c>
      <c r="F3184" t="s">
        <v>25</v>
      </c>
      <c r="G3184">
        <v>4</v>
      </c>
      <c r="H3184" t="s">
        <v>70</v>
      </c>
      <c r="I3184" t="s">
        <v>121</v>
      </c>
      <c r="J3184" t="s">
        <v>122</v>
      </c>
      <c r="K3184">
        <v>0</v>
      </c>
      <c r="L3184" s="84">
        <v>-181</v>
      </c>
      <c r="M3184" s="84">
        <v>0</v>
      </c>
    </row>
    <row r="3185" spans="3:13" hidden="1" x14ac:dyDescent="0.25">
      <c r="C3185" t="s">
        <v>65</v>
      </c>
      <c r="D3185" t="s">
        <v>120</v>
      </c>
      <c r="E3185" t="s">
        <v>63</v>
      </c>
      <c r="F3185" t="s">
        <v>124</v>
      </c>
      <c r="G3185">
        <v>7</v>
      </c>
      <c r="H3185" t="s">
        <v>73</v>
      </c>
      <c r="I3185" t="s">
        <v>121</v>
      </c>
      <c r="J3185" t="s">
        <v>122</v>
      </c>
      <c r="K3185">
        <v>0</v>
      </c>
      <c r="L3185" s="84">
        <v>11395</v>
      </c>
      <c r="M3185" s="84">
        <v>79765</v>
      </c>
    </row>
    <row r="3186" spans="3:13" hidden="1" x14ac:dyDescent="0.25">
      <c r="C3186" t="s">
        <v>64</v>
      </c>
      <c r="D3186" t="s">
        <v>120</v>
      </c>
      <c r="E3186" t="s">
        <v>60</v>
      </c>
      <c r="F3186" t="s">
        <v>124</v>
      </c>
      <c r="G3186">
        <v>-1</v>
      </c>
      <c r="H3186" t="s">
        <v>17</v>
      </c>
      <c r="I3186" t="s">
        <v>62</v>
      </c>
      <c r="J3186" t="s">
        <v>66</v>
      </c>
      <c r="K3186">
        <v>1</v>
      </c>
      <c r="L3186" s="84">
        <v>-41103</v>
      </c>
      <c r="M3186" s="84">
        <v>0</v>
      </c>
    </row>
    <row r="3187" spans="3:13" x14ac:dyDescent="0.25">
      <c r="C3187" t="s">
        <v>119</v>
      </c>
      <c r="D3187" t="s">
        <v>120</v>
      </c>
      <c r="E3187" t="s">
        <v>63</v>
      </c>
      <c r="F3187" t="s">
        <v>25</v>
      </c>
      <c r="G3187">
        <v>7</v>
      </c>
      <c r="H3187" t="s">
        <v>17</v>
      </c>
      <c r="I3187" t="s">
        <v>121</v>
      </c>
      <c r="J3187" t="s">
        <v>66</v>
      </c>
      <c r="K3187">
        <v>1</v>
      </c>
      <c r="L3187" s="84">
        <v>125798</v>
      </c>
      <c r="M3187" s="84">
        <v>880586</v>
      </c>
    </row>
    <row r="3188" spans="3:13" hidden="1" x14ac:dyDescent="0.25">
      <c r="C3188" t="s">
        <v>65</v>
      </c>
      <c r="D3188" t="s">
        <v>120</v>
      </c>
      <c r="E3188" t="s">
        <v>63</v>
      </c>
      <c r="F3188" t="s">
        <v>124</v>
      </c>
      <c r="G3188">
        <v>4</v>
      </c>
      <c r="H3188" t="s">
        <v>17</v>
      </c>
      <c r="I3188" t="s">
        <v>121</v>
      </c>
      <c r="J3188" t="s">
        <v>122</v>
      </c>
      <c r="K3188">
        <v>0</v>
      </c>
      <c r="L3188" s="84">
        <v>1728701</v>
      </c>
      <c r="M3188" s="84">
        <v>6914804</v>
      </c>
    </row>
    <row r="3189" spans="3:13" hidden="1" x14ac:dyDescent="0.25">
      <c r="C3189" t="s">
        <v>119</v>
      </c>
      <c r="D3189" t="s">
        <v>120</v>
      </c>
      <c r="E3189" t="s">
        <v>63</v>
      </c>
      <c r="F3189" t="s">
        <v>25</v>
      </c>
      <c r="G3189">
        <v>7</v>
      </c>
      <c r="H3189" t="s">
        <v>17</v>
      </c>
      <c r="I3189" t="s">
        <v>121</v>
      </c>
      <c r="J3189" t="s">
        <v>122</v>
      </c>
      <c r="K3189">
        <v>0</v>
      </c>
      <c r="L3189" s="84">
        <v>2139084</v>
      </c>
      <c r="M3189" s="84">
        <v>14973588</v>
      </c>
    </row>
    <row r="3190" spans="3:13" hidden="1" x14ac:dyDescent="0.25">
      <c r="C3190" t="s">
        <v>65</v>
      </c>
      <c r="D3190" t="s">
        <v>120</v>
      </c>
      <c r="E3190" t="s">
        <v>63</v>
      </c>
      <c r="F3190" t="s">
        <v>24</v>
      </c>
      <c r="G3190">
        <v>6</v>
      </c>
      <c r="H3190" t="s">
        <v>69</v>
      </c>
      <c r="I3190" t="s">
        <v>121</v>
      </c>
      <c r="J3190" t="s">
        <v>122</v>
      </c>
      <c r="K3190">
        <v>0</v>
      </c>
      <c r="L3190" s="84">
        <v>61163</v>
      </c>
      <c r="M3190" s="84">
        <v>366978</v>
      </c>
    </row>
    <row r="3191" spans="3:13" hidden="1" x14ac:dyDescent="0.25">
      <c r="C3191" t="s">
        <v>65</v>
      </c>
      <c r="D3191" t="s">
        <v>120</v>
      </c>
      <c r="E3191" t="s">
        <v>60</v>
      </c>
      <c r="F3191" t="s">
        <v>124</v>
      </c>
      <c r="G3191">
        <v>6</v>
      </c>
      <c r="H3191" t="s">
        <v>14</v>
      </c>
      <c r="I3191" t="s">
        <v>121</v>
      </c>
      <c r="J3191" t="s">
        <v>122</v>
      </c>
      <c r="K3191">
        <v>0</v>
      </c>
      <c r="L3191" s="84">
        <v>-1286335</v>
      </c>
      <c r="M3191" s="84">
        <v>0</v>
      </c>
    </row>
    <row r="3192" spans="3:13" hidden="1" x14ac:dyDescent="0.25">
      <c r="C3192" t="s">
        <v>119</v>
      </c>
      <c r="D3192" t="s">
        <v>120</v>
      </c>
      <c r="E3192" t="s">
        <v>63</v>
      </c>
      <c r="F3192" t="s">
        <v>123</v>
      </c>
      <c r="G3192">
        <v>5</v>
      </c>
      <c r="H3192" t="s">
        <v>69</v>
      </c>
      <c r="I3192" t="s">
        <v>121</v>
      </c>
      <c r="J3192" t="s">
        <v>122</v>
      </c>
      <c r="K3192">
        <v>0</v>
      </c>
      <c r="L3192" s="84">
        <v>1963527</v>
      </c>
      <c r="M3192" s="84">
        <v>9817635</v>
      </c>
    </row>
    <row r="3193" spans="3:13" hidden="1" x14ac:dyDescent="0.25">
      <c r="C3193" t="s">
        <v>119</v>
      </c>
      <c r="D3193" t="s">
        <v>120</v>
      </c>
      <c r="E3193" t="s">
        <v>63</v>
      </c>
      <c r="F3193" t="s">
        <v>124</v>
      </c>
      <c r="G3193">
        <v>-1</v>
      </c>
      <c r="H3193" t="s">
        <v>14</v>
      </c>
      <c r="I3193" t="s">
        <v>121</v>
      </c>
      <c r="J3193" t="s">
        <v>122</v>
      </c>
      <c r="K3193">
        <v>0</v>
      </c>
      <c r="L3193" s="84">
        <v>130024219</v>
      </c>
      <c r="M3193" s="84">
        <v>0</v>
      </c>
    </row>
    <row r="3194" spans="3:13" hidden="1" x14ac:dyDescent="0.25">
      <c r="C3194" t="s">
        <v>64</v>
      </c>
      <c r="D3194" t="s">
        <v>125</v>
      </c>
      <c r="E3194" t="s">
        <v>60</v>
      </c>
      <c r="F3194" t="s">
        <v>25</v>
      </c>
      <c r="G3194">
        <v>24</v>
      </c>
      <c r="I3194" t="s">
        <v>121</v>
      </c>
      <c r="J3194" t="s">
        <v>122</v>
      </c>
      <c r="K3194">
        <v>0</v>
      </c>
      <c r="L3194" s="84">
        <v>-3309</v>
      </c>
      <c r="M3194" s="84">
        <v>0</v>
      </c>
    </row>
    <row r="3195" spans="3:13" hidden="1" x14ac:dyDescent="0.25">
      <c r="C3195" t="s">
        <v>119</v>
      </c>
      <c r="D3195" t="s">
        <v>120</v>
      </c>
      <c r="E3195" t="s">
        <v>60</v>
      </c>
      <c r="F3195" t="s">
        <v>24</v>
      </c>
      <c r="G3195">
        <v>3</v>
      </c>
      <c r="H3195" t="s">
        <v>18</v>
      </c>
      <c r="I3195" t="s">
        <v>121</v>
      </c>
      <c r="J3195" t="s">
        <v>122</v>
      </c>
      <c r="K3195">
        <v>0</v>
      </c>
      <c r="L3195" s="84">
        <v>-1990</v>
      </c>
      <c r="M3195" s="84">
        <v>0</v>
      </c>
    </row>
    <row r="3196" spans="3:13" hidden="1" x14ac:dyDescent="0.25">
      <c r="C3196" t="s">
        <v>64</v>
      </c>
      <c r="D3196" t="s">
        <v>120</v>
      </c>
      <c r="E3196" t="s">
        <v>60</v>
      </c>
      <c r="F3196" t="s">
        <v>24</v>
      </c>
      <c r="G3196">
        <v>5</v>
      </c>
      <c r="H3196" t="s">
        <v>14</v>
      </c>
      <c r="I3196" t="s">
        <v>121</v>
      </c>
      <c r="J3196" t="s">
        <v>66</v>
      </c>
      <c r="K3196">
        <v>1</v>
      </c>
      <c r="L3196" s="84">
        <v>-5068</v>
      </c>
      <c r="M3196" s="84">
        <v>0</v>
      </c>
    </row>
    <row r="3197" spans="3:13" hidden="1" x14ac:dyDescent="0.25">
      <c r="C3197" t="s">
        <v>64</v>
      </c>
      <c r="D3197" t="s">
        <v>120</v>
      </c>
      <c r="E3197" t="s">
        <v>63</v>
      </c>
      <c r="F3197" t="s">
        <v>24</v>
      </c>
      <c r="G3197">
        <v>10</v>
      </c>
      <c r="H3197" t="s">
        <v>14</v>
      </c>
      <c r="I3197" t="s">
        <v>121</v>
      </c>
      <c r="J3197" t="s">
        <v>122</v>
      </c>
      <c r="K3197">
        <v>0</v>
      </c>
      <c r="L3197" s="84">
        <v>160546</v>
      </c>
      <c r="M3197" s="84">
        <v>1605460</v>
      </c>
    </row>
    <row r="3198" spans="3:13" hidden="1" x14ac:dyDescent="0.25">
      <c r="C3198" t="s">
        <v>64</v>
      </c>
      <c r="D3198" t="s">
        <v>120</v>
      </c>
      <c r="E3198" t="s">
        <v>60</v>
      </c>
      <c r="F3198" t="s">
        <v>123</v>
      </c>
      <c r="G3198">
        <v>-4</v>
      </c>
      <c r="H3198" t="s">
        <v>73</v>
      </c>
      <c r="I3198" t="s">
        <v>121</v>
      </c>
      <c r="J3198" t="s">
        <v>122</v>
      </c>
      <c r="K3198">
        <v>0</v>
      </c>
      <c r="L3198" s="84">
        <v>-36</v>
      </c>
      <c r="M3198" s="84">
        <v>0</v>
      </c>
    </row>
    <row r="3199" spans="3:13" hidden="1" x14ac:dyDescent="0.25">
      <c r="C3199" t="s">
        <v>119</v>
      </c>
      <c r="D3199" t="s">
        <v>120</v>
      </c>
      <c r="E3199" t="s">
        <v>63</v>
      </c>
      <c r="F3199" t="s">
        <v>123</v>
      </c>
      <c r="G3199">
        <v>-1</v>
      </c>
      <c r="H3199" t="s">
        <v>14</v>
      </c>
      <c r="I3199" t="s">
        <v>121</v>
      </c>
      <c r="J3199" t="s">
        <v>66</v>
      </c>
      <c r="K3199">
        <v>1</v>
      </c>
      <c r="L3199" s="84">
        <v>2630581</v>
      </c>
      <c r="M3199" s="84">
        <v>0</v>
      </c>
    </row>
    <row r="3200" spans="3:13" hidden="1" x14ac:dyDescent="0.25">
      <c r="C3200" t="s">
        <v>119</v>
      </c>
      <c r="D3200" t="s">
        <v>120</v>
      </c>
      <c r="E3200" t="s">
        <v>60</v>
      </c>
      <c r="F3200" t="s">
        <v>24</v>
      </c>
      <c r="G3200">
        <v>9</v>
      </c>
      <c r="H3200" t="s">
        <v>67</v>
      </c>
      <c r="I3200" t="s">
        <v>121</v>
      </c>
      <c r="J3200" t="s">
        <v>122</v>
      </c>
      <c r="K3200">
        <v>0</v>
      </c>
      <c r="L3200" s="84">
        <v>-3996</v>
      </c>
      <c r="M3200" s="84">
        <v>0</v>
      </c>
    </row>
    <row r="3201" spans="3:13" hidden="1" x14ac:dyDescent="0.25">
      <c r="C3201" t="s">
        <v>64</v>
      </c>
      <c r="D3201" t="s">
        <v>120</v>
      </c>
      <c r="E3201" t="s">
        <v>60</v>
      </c>
      <c r="F3201" t="s">
        <v>24</v>
      </c>
      <c r="G3201">
        <v>15</v>
      </c>
      <c r="H3201" t="s">
        <v>67</v>
      </c>
      <c r="I3201" t="s">
        <v>121</v>
      </c>
      <c r="J3201" t="s">
        <v>122</v>
      </c>
      <c r="K3201">
        <v>0</v>
      </c>
      <c r="L3201" s="84">
        <v>-18577</v>
      </c>
      <c r="M3201" s="84">
        <v>0</v>
      </c>
    </row>
    <row r="3202" spans="3:13" hidden="1" x14ac:dyDescent="0.25">
      <c r="C3202" t="s">
        <v>64</v>
      </c>
      <c r="D3202" t="s">
        <v>120</v>
      </c>
      <c r="E3202" t="s">
        <v>60</v>
      </c>
      <c r="F3202" t="s">
        <v>24</v>
      </c>
      <c r="G3202">
        <v>1</v>
      </c>
      <c r="H3202" t="s">
        <v>71</v>
      </c>
      <c r="I3202" t="s">
        <v>121</v>
      </c>
      <c r="J3202" t="s">
        <v>122</v>
      </c>
      <c r="K3202">
        <v>0</v>
      </c>
      <c r="L3202" s="84">
        <v>-2218</v>
      </c>
      <c r="M3202" s="84">
        <v>0</v>
      </c>
    </row>
    <row r="3203" spans="3:13" hidden="1" x14ac:dyDescent="0.25">
      <c r="C3203" t="s">
        <v>119</v>
      </c>
      <c r="D3203" t="s">
        <v>120</v>
      </c>
      <c r="E3203" t="s">
        <v>63</v>
      </c>
      <c r="F3203" t="s">
        <v>123</v>
      </c>
      <c r="G3203">
        <v>3</v>
      </c>
      <c r="H3203" t="s">
        <v>68</v>
      </c>
      <c r="I3203" t="s">
        <v>121</v>
      </c>
      <c r="J3203" t="s">
        <v>122</v>
      </c>
      <c r="K3203">
        <v>0</v>
      </c>
      <c r="L3203" s="84">
        <v>8301180</v>
      </c>
      <c r="M3203" s="84">
        <v>24903540</v>
      </c>
    </row>
    <row r="3204" spans="3:13" hidden="1" x14ac:dyDescent="0.25">
      <c r="C3204" t="s">
        <v>65</v>
      </c>
      <c r="D3204" t="s">
        <v>120</v>
      </c>
      <c r="E3204" t="s">
        <v>60</v>
      </c>
      <c r="F3204" t="s">
        <v>25</v>
      </c>
      <c r="G3204">
        <v>4</v>
      </c>
      <c r="H3204" t="s">
        <v>14</v>
      </c>
      <c r="I3204" t="s">
        <v>121</v>
      </c>
      <c r="J3204" t="s">
        <v>66</v>
      </c>
      <c r="K3204">
        <v>1</v>
      </c>
      <c r="L3204" s="84">
        <v>-27500</v>
      </c>
      <c r="M3204" s="84">
        <v>0</v>
      </c>
    </row>
    <row r="3205" spans="3:13" hidden="1" x14ac:dyDescent="0.25">
      <c r="C3205" t="s">
        <v>64</v>
      </c>
      <c r="D3205" t="s">
        <v>120</v>
      </c>
      <c r="E3205" t="s">
        <v>63</v>
      </c>
      <c r="F3205" t="s">
        <v>123</v>
      </c>
      <c r="G3205">
        <v>-1</v>
      </c>
      <c r="H3205" t="s">
        <v>70</v>
      </c>
      <c r="I3205" t="s">
        <v>121</v>
      </c>
      <c r="J3205" t="s">
        <v>122</v>
      </c>
      <c r="K3205">
        <v>0</v>
      </c>
      <c r="L3205" s="84">
        <v>30042</v>
      </c>
      <c r="M3205" s="84">
        <v>0</v>
      </c>
    </row>
    <row r="3206" spans="3:13" hidden="1" x14ac:dyDescent="0.25">
      <c r="C3206" t="s">
        <v>65</v>
      </c>
      <c r="D3206" t="s">
        <v>120</v>
      </c>
      <c r="E3206" t="s">
        <v>63</v>
      </c>
      <c r="F3206" t="s">
        <v>124</v>
      </c>
      <c r="G3206">
        <v>2</v>
      </c>
      <c r="H3206" t="s">
        <v>14</v>
      </c>
      <c r="I3206" t="s">
        <v>121</v>
      </c>
      <c r="J3206" t="s">
        <v>122</v>
      </c>
      <c r="K3206">
        <v>0</v>
      </c>
      <c r="L3206" s="84">
        <v>6489985</v>
      </c>
      <c r="M3206" s="84">
        <v>12979970</v>
      </c>
    </row>
    <row r="3207" spans="3:13" hidden="1" x14ac:dyDescent="0.25">
      <c r="C3207" t="s">
        <v>65</v>
      </c>
      <c r="D3207" t="s">
        <v>120</v>
      </c>
      <c r="E3207" t="s">
        <v>63</v>
      </c>
      <c r="F3207" t="s">
        <v>124</v>
      </c>
      <c r="G3207">
        <v>-4</v>
      </c>
      <c r="H3207" t="s">
        <v>18</v>
      </c>
      <c r="I3207" t="s">
        <v>121</v>
      </c>
      <c r="J3207" t="s">
        <v>66</v>
      </c>
      <c r="K3207">
        <v>1</v>
      </c>
      <c r="L3207" s="84">
        <v>432334</v>
      </c>
      <c r="M3207" s="84">
        <v>0</v>
      </c>
    </row>
    <row r="3208" spans="3:13" hidden="1" x14ac:dyDescent="0.25">
      <c r="C3208" t="s">
        <v>119</v>
      </c>
      <c r="D3208" t="s">
        <v>120</v>
      </c>
      <c r="E3208" t="s">
        <v>60</v>
      </c>
      <c r="F3208" t="s">
        <v>124</v>
      </c>
      <c r="G3208">
        <v>2</v>
      </c>
      <c r="H3208" t="s">
        <v>17</v>
      </c>
      <c r="I3208" t="s">
        <v>62</v>
      </c>
      <c r="J3208" t="s">
        <v>122</v>
      </c>
      <c r="K3208">
        <v>1</v>
      </c>
      <c r="L3208" s="84">
        <v>-391</v>
      </c>
      <c r="M3208" s="84">
        <v>0</v>
      </c>
    </row>
    <row r="3209" spans="3:13" hidden="1" x14ac:dyDescent="0.25">
      <c r="C3209" t="s">
        <v>64</v>
      </c>
      <c r="D3209" t="s">
        <v>120</v>
      </c>
      <c r="E3209" t="s">
        <v>63</v>
      </c>
      <c r="F3209" t="s">
        <v>123</v>
      </c>
      <c r="G3209">
        <v>4</v>
      </c>
      <c r="H3209" t="s">
        <v>69</v>
      </c>
      <c r="I3209" t="s">
        <v>121</v>
      </c>
      <c r="J3209" t="s">
        <v>122</v>
      </c>
      <c r="K3209">
        <v>0</v>
      </c>
      <c r="L3209" s="84">
        <v>608920</v>
      </c>
      <c r="M3209" s="84">
        <v>2435680</v>
      </c>
    </row>
    <row r="3210" spans="3:13" hidden="1" x14ac:dyDescent="0.25">
      <c r="C3210" t="s">
        <v>119</v>
      </c>
      <c r="D3210" t="s">
        <v>120</v>
      </c>
      <c r="E3210" t="s">
        <v>60</v>
      </c>
      <c r="F3210" t="s">
        <v>25</v>
      </c>
      <c r="G3210">
        <v>1</v>
      </c>
      <c r="H3210" t="s">
        <v>69</v>
      </c>
      <c r="I3210" t="s">
        <v>121</v>
      </c>
      <c r="J3210" t="s">
        <v>122</v>
      </c>
      <c r="K3210">
        <v>0</v>
      </c>
      <c r="L3210" s="84">
        <v>-5021</v>
      </c>
      <c r="M3210" s="84">
        <v>0</v>
      </c>
    </row>
    <row r="3211" spans="3:13" hidden="1" x14ac:dyDescent="0.25">
      <c r="C3211" t="s">
        <v>119</v>
      </c>
      <c r="D3211" t="s">
        <v>120</v>
      </c>
      <c r="E3211" t="s">
        <v>60</v>
      </c>
      <c r="F3211" t="s">
        <v>124</v>
      </c>
      <c r="G3211">
        <v>12</v>
      </c>
      <c r="H3211" t="s">
        <v>15</v>
      </c>
      <c r="I3211" t="s">
        <v>121</v>
      </c>
      <c r="J3211" t="s">
        <v>122</v>
      </c>
      <c r="K3211">
        <v>0</v>
      </c>
      <c r="L3211" s="84">
        <v>-25006</v>
      </c>
      <c r="M3211" s="84">
        <v>0</v>
      </c>
    </row>
    <row r="3212" spans="3:13" x14ac:dyDescent="0.25">
      <c r="C3212" t="s">
        <v>119</v>
      </c>
      <c r="D3212" t="s">
        <v>120</v>
      </c>
      <c r="E3212" t="s">
        <v>63</v>
      </c>
      <c r="F3212" t="s">
        <v>25</v>
      </c>
      <c r="G3212">
        <v>2</v>
      </c>
      <c r="H3212" t="s">
        <v>17</v>
      </c>
      <c r="I3212" t="s">
        <v>62</v>
      </c>
      <c r="J3212" t="s">
        <v>66</v>
      </c>
      <c r="K3212">
        <v>1</v>
      </c>
      <c r="L3212" s="84">
        <v>63877</v>
      </c>
      <c r="M3212" s="84">
        <v>127754</v>
      </c>
    </row>
    <row r="3213" spans="3:13" hidden="1" x14ac:dyDescent="0.25">
      <c r="C3213" t="s">
        <v>65</v>
      </c>
      <c r="D3213" t="s">
        <v>120</v>
      </c>
      <c r="E3213" t="s">
        <v>60</v>
      </c>
      <c r="F3213" t="s">
        <v>124</v>
      </c>
      <c r="G3213">
        <v>3</v>
      </c>
      <c r="H3213" t="s">
        <v>68</v>
      </c>
      <c r="I3213" t="s">
        <v>121</v>
      </c>
      <c r="J3213" t="s">
        <v>122</v>
      </c>
      <c r="K3213">
        <v>0</v>
      </c>
      <c r="L3213" s="84">
        <v>-297242</v>
      </c>
      <c r="M3213" s="84">
        <v>0</v>
      </c>
    </row>
    <row r="3214" spans="3:13" hidden="1" x14ac:dyDescent="0.25">
      <c r="C3214" t="s">
        <v>119</v>
      </c>
      <c r="D3214" t="s">
        <v>125</v>
      </c>
      <c r="E3214" t="s">
        <v>60</v>
      </c>
      <c r="F3214" t="s">
        <v>24</v>
      </c>
      <c r="G3214">
        <v>42</v>
      </c>
      <c r="I3214" t="s">
        <v>121</v>
      </c>
      <c r="J3214" t="s">
        <v>122</v>
      </c>
      <c r="K3214">
        <v>0</v>
      </c>
      <c r="L3214" s="84">
        <v>-13066</v>
      </c>
      <c r="M3214" s="84">
        <v>0</v>
      </c>
    </row>
    <row r="3215" spans="3:13" hidden="1" x14ac:dyDescent="0.25">
      <c r="C3215" t="s">
        <v>64</v>
      </c>
      <c r="D3215" t="s">
        <v>120</v>
      </c>
      <c r="E3215" t="s">
        <v>63</v>
      </c>
      <c r="F3215" t="s">
        <v>24</v>
      </c>
      <c r="G3215">
        <v>13</v>
      </c>
      <c r="H3215" t="s">
        <v>72</v>
      </c>
      <c r="I3215" t="s">
        <v>121</v>
      </c>
      <c r="J3215" t="s">
        <v>122</v>
      </c>
      <c r="K3215">
        <v>0</v>
      </c>
      <c r="L3215" s="84">
        <v>278828</v>
      </c>
      <c r="M3215" s="84">
        <v>3624764</v>
      </c>
    </row>
    <row r="3216" spans="3:13" hidden="1" x14ac:dyDescent="0.25">
      <c r="C3216" t="s">
        <v>119</v>
      </c>
      <c r="D3216" t="s">
        <v>120</v>
      </c>
      <c r="E3216" t="s">
        <v>60</v>
      </c>
      <c r="F3216" t="s">
        <v>24</v>
      </c>
      <c r="G3216">
        <v>17</v>
      </c>
      <c r="H3216" t="s">
        <v>67</v>
      </c>
      <c r="I3216" t="s">
        <v>121</v>
      </c>
      <c r="J3216" t="s">
        <v>122</v>
      </c>
      <c r="K3216">
        <v>0</v>
      </c>
      <c r="L3216" s="84">
        <v>-1250</v>
      </c>
      <c r="M3216" s="84">
        <v>0</v>
      </c>
    </row>
    <row r="3217" spans="3:13" hidden="1" x14ac:dyDescent="0.25">
      <c r="C3217" t="s">
        <v>119</v>
      </c>
      <c r="D3217" t="s">
        <v>120</v>
      </c>
      <c r="E3217" t="s">
        <v>60</v>
      </c>
      <c r="F3217" t="s">
        <v>123</v>
      </c>
      <c r="G3217">
        <v>2</v>
      </c>
      <c r="H3217" t="s">
        <v>14</v>
      </c>
      <c r="I3217" t="s">
        <v>121</v>
      </c>
      <c r="J3217" t="s">
        <v>122</v>
      </c>
      <c r="K3217">
        <v>0</v>
      </c>
      <c r="L3217" s="84">
        <v>-12549</v>
      </c>
      <c r="M3217" s="84">
        <v>0</v>
      </c>
    </row>
    <row r="3218" spans="3:13" hidden="1" x14ac:dyDescent="0.25">
      <c r="C3218" t="s">
        <v>119</v>
      </c>
      <c r="D3218" t="s">
        <v>125</v>
      </c>
      <c r="E3218" t="s">
        <v>60</v>
      </c>
      <c r="F3218" t="s">
        <v>24</v>
      </c>
      <c r="G3218">
        <v>9</v>
      </c>
      <c r="I3218" t="s">
        <v>121</v>
      </c>
      <c r="J3218" t="s">
        <v>122</v>
      </c>
      <c r="K3218">
        <v>0</v>
      </c>
      <c r="L3218" s="84">
        <v>-57616</v>
      </c>
      <c r="M3218" s="84">
        <v>0</v>
      </c>
    </row>
    <row r="3219" spans="3:13" hidden="1" x14ac:dyDescent="0.25">
      <c r="C3219" t="s">
        <v>64</v>
      </c>
      <c r="D3219" t="s">
        <v>120</v>
      </c>
      <c r="E3219" t="s">
        <v>60</v>
      </c>
      <c r="F3219" t="s">
        <v>124</v>
      </c>
      <c r="G3219">
        <v>-4</v>
      </c>
      <c r="H3219" t="s">
        <v>61</v>
      </c>
      <c r="I3219" t="s">
        <v>121</v>
      </c>
      <c r="J3219" t="s">
        <v>122</v>
      </c>
      <c r="K3219">
        <v>0</v>
      </c>
      <c r="L3219" s="84">
        <v>-5724</v>
      </c>
      <c r="M3219" s="84">
        <v>0</v>
      </c>
    </row>
    <row r="3220" spans="3:13" hidden="1" x14ac:dyDescent="0.25">
      <c r="C3220" t="s">
        <v>119</v>
      </c>
      <c r="D3220" t="s">
        <v>120</v>
      </c>
      <c r="E3220" t="s">
        <v>63</v>
      </c>
      <c r="F3220" t="s">
        <v>25</v>
      </c>
      <c r="G3220">
        <v>6</v>
      </c>
      <c r="H3220" t="s">
        <v>17</v>
      </c>
      <c r="I3220" t="s">
        <v>121</v>
      </c>
      <c r="J3220" t="s">
        <v>122</v>
      </c>
      <c r="K3220">
        <v>0</v>
      </c>
      <c r="L3220" s="84">
        <v>1249156</v>
      </c>
      <c r="M3220" s="84">
        <v>7494936</v>
      </c>
    </row>
    <row r="3221" spans="3:13" hidden="1" x14ac:dyDescent="0.25">
      <c r="C3221" t="s">
        <v>119</v>
      </c>
      <c r="D3221" t="s">
        <v>120</v>
      </c>
      <c r="E3221" t="s">
        <v>63</v>
      </c>
      <c r="F3221" t="s">
        <v>124</v>
      </c>
      <c r="G3221">
        <v>11</v>
      </c>
      <c r="H3221" t="s">
        <v>61</v>
      </c>
      <c r="I3221" t="s">
        <v>121</v>
      </c>
      <c r="J3221" t="s">
        <v>122</v>
      </c>
      <c r="K3221">
        <v>0</v>
      </c>
      <c r="L3221" s="84">
        <v>112550</v>
      </c>
      <c r="M3221" s="84">
        <v>1238050</v>
      </c>
    </row>
    <row r="3222" spans="3:13" hidden="1" x14ac:dyDescent="0.25">
      <c r="C3222" t="s">
        <v>119</v>
      </c>
      <c r="D3222" t="s">
        <v>120</v>
      </c>
      <c r="E3222" t="s">
        <v>60</v>
      </c>
      <c r="F3222" t="s">
        <v>24</v>
      </c>
      <c r="G3222">
        <v>15</v>
      </c>
      <c r="H3222" t="s">
        <v>72</v>
      </c>
      <c r="I3222" t="s">
        <v>121</v>
      </c>
      <c r="J3222" t="s">
        <v>122</v>
      </c>
      <c r="K3222">
        <v>0</v>
      </c>
      <c r="L3222" s="84">
        <v>-3315</v>
      </c>
      <c r="M3222" s="84">
        <v>0</v>
      </c>
    </row>
    <row r="3223" spans="3:13" hidden="1" x14ac:dyDescent="0.25">
      <c r="C3223" t="s">
        <v>119</v>
      </c>
      <c r="D3223" t="s">
        <v>120</v>
      </c>
      <c r="E3223" t="s">
        <v>60</v>
      </c>
      <c r="F3223" t="s">
        <v>124</v>
      </c>
      <c r="G3223">
        <v>20</v>
      </c>
      <c r="H3223" t="s">
        <v>73</v>
      </c>
      <c r="I3223" t="s">
        <v>121</v>
      </c>
      <c r="J3223" t="s">
        <v>122</v>
      </c>
      <c r="K3223">
        <v>0</v>
      </c>
      <c r="L3223" s="84">
        <v>-1277</v>
      </c>
      <c r="M3223" s="84">
        <v>0</v>
      </c>
    </row>
    <row r="3224" spans="3:13" hidden="1" x14ac:dyDescent="0.25">
      <c r="C3224" t="s">
        <v>64</v>
      </c>
      <c r="D3224" t="s">
        <v>120</v>
      </c>
      <c r="E3224" t="s">
        <v>60</v>
      </c>
      <c r="F3224" t="s">
        <v>123</v>
      </c>
      <c r="G3224">
        <v>0</v>
      </c>
      <c r="H3224" t="s">
        <v>69</v>
      </c>
      <c r="I3224" t="s">
        <v>121</v>
      </c>
      <c r="J3224" t="s">
        <v>122</v>
      </c>
      <c r="K3224">
        <v>0</v>
      </c>
      <c r="L3224" s="84">
        <v>-384</v>
      </c>
      <c r="M3224" s="84">
        <v>0</v>
      </c>
    </row>
    <row r="3225" spans="3:13" hidden="1" x14ac:dyDescent="0.25">
      <c r="C3225" t="s">
        <v>64</v>
      </c>
      <c r="D3225" t="s">
        <v>120</v>
      </c>
      <c r="E3225" t="s">
        <v>60</v>
      </c>
      <c r="F3225" t="s">
        <v>123</v>
      </c>
      <c r="G3225">
        <v>4</v>
      </c>
      <c r="H3225" t="s">
        <v>16</v>
      </c>
      <c r="I3225" t="s">
        <v>121</v>
      </c>
      <c r="J3225" t="s">
        <v>122</v>
      </c>
      <c r="K3225">
        <v>0</v>
      </c>
      <c r="L3225" s="84">
        <v>-1612</v>
      </c>
      <c r="M3225" s="84">
        <v>0</v>
      </c>
    </row>
    <row r="3226" spans="3:13" hidden="1" x14ac:dyDescent="0.25">
      <c r="C3226" t="s">
        <v>119</v>
      </c>
      <c r="D3226" t="s">
        <v>126</v>
      </c>
      <c r="E3226" t="s">
        <v>63</v>
      </c>
      <c r="F3226" t="s">
        <v>25</v>
      </c>
      <c r="G3226">
        <v>4</v>
      </c>
      <c r="H3226" t="s">
        <v>74</v>
      </c>
      <c r="I3226" t="s">
        <v>121</v>
      </c>
      <c r="J3226" t="s">
        <v>122</v>
      </c>
      <c r="K3226">
        <v>0</v>
      </c>
      <c r="L3226" s="84">
        <v>29606128</v>
      </c>
      <c r="M3226" s="84">
        <v>118424512</v>
      </c>
    </row>
    <row r="3227" spans="3:13" hidden="1" x14ac:dyDescent="0.25">
      <c r="C3227" t="s">
        <v>65</v>
      </c>
      <c r="D3227" t="s">
        <v>120</v>
      </c>
      <c r="E3227" t="s">
        <v>63</v>
      </c>
      <c r="F3227" t="s">
        <v>124</v>
      </c>
      <c r="G3227">
        <v>9</v>
      </c>
      <c r="H3227" t="s">
        <v>18</v>
      </c>
      <c r="I3227" t="s">
        <v>121</v>
      </c>
      <c r="J3227" t="s">
        <v>122</v>
      </c>
      <c r="K3227">
        <v>0</v>
      </c>
      <c r="L3227" s="84">
        <v>4711739</v>
      </c>
      <c r="M3227" s="84">
        <v>42405651</v>
      </c>
    </row>
    <row r="3228" spans="3:13" hidden="1" x14ac:dyDescent="0.25">
      <c r="C3228" t="s">
        <v>119</v>
      </c>
      <c r="D3228" t="s">
        <v>120</v>
      </c>
      <c r="E3228" t="s">
        <v>60</v>
      </c>
      <c r="F3228" t="s">
        <v>25</v>
      </c>
      <c r="G3228">
        <v>6</v>
      </c>
      <c r="H3228" t="s">
        <v>18</v>
      </c>
      <c r="I3228" t="s">
        <v>121</v>
      </c>
      <c r="J3228" t="s">
        <v>122</v>
      </c>
      <c r="K3228">
        <v>0</v>
      </c>
      <c r="L3228" s="84">
        <v>-9015</v>
      </c>
      <c r="M3228" s="84">
        <v>0</v>
      </c>
    </row>
    <row r="3229" spans="3:13" hidden="1" x14ac:dyDescent="0.25">
      <c r="C3229" t="s">
        <v>64</v>
      </c>
      <c r="D3229" t="s">
        <v>120</v>
      </c>
      <c r="E3229" t="s">
        <v>63</v>
      </c>
      <c r="F3229" t="s">
        <v>124</v>
      </c>
      <c r="G3229">
        <v>2</v>
      </c>
      <c r="H3229" t="s">
        <v>14</v>
      </c>
      <c r="I3229" t="s">
        <v>62</v>
      </c>
      <c r="J3229" t="s">
        <v>122</v>
      </c>
      <c r="K3229">
        <v>1</v>
      </c>
      <c r="L3229" s="84">
        <v>17550</v>
      </c>
      <c r="M3229" s="84">
        <v>35100</v>
      </c>
    </row>
    <row r="3230" spans="3:13" hidden="1" x14ac:dyDescent="0.25">
      <c r="C3230" t="s">
        <v>65</v>
      </c>
      <c r="D3230" t="s">
        <v>120</v>
      </c>
      <c r="E3230" t="s">
        <v>63</v>
      </c>
      <c r="F3230" t="s">
        <v>124</v>
      </c>
      <c r="G3230">
        <v>6</v>
      </c>
      <c r="H3230" t="s">
        <v>61</v>
      </c>
      <c r="I3230" t="s">
        <v>121</v>
      </c>
      <c r="J3230" t="s">
        <v>122</v>
      </c>
      <c r="K3230">
        <v>0</v>
      </c>
      <c r="L3230" s="84">
        <v>369274</v>
      </c>
      <c r="M3230" s="84">
        <v>2215644</v>
      </c>
    </row>
    <row r="3231" spans="3:13" hidden="1" x14ac:dyDescent="0.25">
      <c r="C3231" t="s">
        <v>64</v>
      </c>
      <c r="D3231" t="s">
        <v>120</v>
      </c>
      <c r="E3231" t="s">
        <v>60</v>
      </c>
      <c r="F3231" t="s">
        <v>123</v>
      </c>
      <c r="G3231">
        <v>-1</v>
      </c>
      <c r="H3231" t="s">
        <v>18</v>
      </c>
      <c r="I3231" t="s">
        <v>121</v>
      </c>
      <c r="J3231" t="s">
        <v>66</v>
      </c>
      <c r="K3231">
        <v>1</v>
      </c>
      <c r="L3231" s="84">
        <v>-754</v>
      </c>
      <c r="M3231" s="84">
        <v>0</v>
      </c>
    </row>
    <row r="3232" spans="3:13" hidden="1" x14ac:dyDescent="0.25">
      <c r="C3232" t="s">
        <v>64</v>
      </c>
      <c r="D3232" t="s">
        <v>120</v>
      </c>
      <c r="E3232" t="s">
        <v>63</v>
      </c>
      <c r="F3232" t="s">
        <v>123</v>
      </c>
      <c r="G3232">
        <v>2</v>
      </c>
      <c r="H3232" t="s">
        <v>17</v>
      </c>
      <c r="I3232" t="s">
        <v>62</v>
      </c>
      <c r="J3232" t="s">
        <v>66</v>
      </c>
      <c r="K3232">
        <v>1</v>
      </c>
      <c r="L3232" s="84">
        <v>8075</v>
      </c>
      <c r="M3232" s="84">
        <v>16150</v>
      </c>
    </row>
    <row r="3233" spans="3:13" hidden="1" x14ac:dyDescent="0.25">
      <c r="C3233" t="s">
        <v>119</v>
      </c>
      <c r="D3233" t="s">
        <v>120</v>
      </c>
      <c r="E3233" t="s">
        <v>63</v>
      </c>
      <c r="F3233" t="s">
        <v>24</v>
      </c>
      <c r="G3233">
        <v>13</v>
      </c>
      <c r="H3233" t="s">
        <v>69</v>
      </c>
      <c r="I3233" t="s">
        <v>121</v>
      </c>
      <c r="J3233" t="s">
        <v>122</v>
      </c>
      <c r="K3233">
        <v>0</v>
      </c>
      <c r="L3233" s="84">
        <v>5656284</v>
      </c>
      <c r="M3233" s="84">
        <v>73531692</v>
      </c>
    </row>
    <row r="3234" spans="3:13" hidden="1" x14ac:dyDescent="0.25">
      <c r="C3234" t="s">
        <v>64</v>
      </c>
      <c r="D3234" t="s">
        <v>120</v>
      </c>
      <c r="E3234" t="s">
        <v>60</v>
      </c>
      <c r="F3234" t="s">
        <v>24</v>
      </c>
      <c r="G3234">
        <v>2</v>
      </c>
      <c r="H3234" t="s">
        <v>72</v>
      </c>
      <c r="I3234" t="s">
        <v>121</v>
      </c>
      <c r="J3234" t="s">
        <v>122</v>
      </c>
      <c r="K3234">
        <v>0</v>
      </c>
      <c r="L3234" s="84">
        <v>-82</v>
      </c>
      <c r="M3234" s="84">
        <v>0</v>
      </c>
    </row>
    <row r="3235" spans="3:13" hidden="1" x14ac:dyDescent="0.25">
      <c r="C3235" t="s">
        <v>119</v>
      </c>
      <c r="D3235" t="s">
        <v>120</v>
      </c>
      <c r="E3235" t="s">
        <v>63</v>
      </c>
      <c r="F3235" t="s">
        <v>25</v>
      </c>
      <c r="G3235">
        <v>1</v>
      </c>
      <c r="H3235" t="s">
        <v>12</v>
      </c>
      <c r="I3235" t="s">
        <v>121</v>
      </c>
      <c r="J3235" t="s">
        <v>122</v>
      </c>
      <c r="K3235">
        <v>0</v>
      </c>
      <c r="L3235" s="84">
        <v>37175</v>
      </c>
      <c r="M3235" s="84">
        <v>37175</v>
      </c>
    </row>
    <row r="3236" spans="3:13" hidden="1" x14ac:dyDescent="0.25">
      <c r="C3236" t="s">
        <v>64</v>
      </c>
      <c r="D3236" t="s">
        <v>120</v>
      </c>
      <c r="E3236" t="s">
        <v>60</v>
      </c>
      <c r="F3236" t="s">
        <v>123</v>
      </c>
      <c r="G3236">
        <v>-4</v>
      </c>
      <c r="H3236" t="s">
        <v>67</v>
      </c>
      <c r="I3236" t="s">
        <v>121</v>
      </c>
      <c r="J3236" t="s">
        <v>122</v>
      </c>
      <c r="K3236">
        <v>0</v>
      </c>
      <c r="L3236" s="84">
        <v>-54</v>
      </c>
      <c r="M3236" s="84">
        <v>0</v>
      </c>
    </row>
    <row r="3237" spans="3:13" hidden="1" x14ac:dyDescent="0.25">
      <c r="C3237" t="s">
        <v>119</v>
      </c>
      <c r="D3237" t="s">
        <v>120</v>
      </c>
      <c r="E3237" t="s">
        <v>63</v>
      </c>
      <c r="F3237" t="s">
        <v>124</v>
      </c>
      <c r="G3237">
        <v>7</v>
      </c>
      <c r="H3237" t="s">
        <v>18</v>
      </c>
      <c r="I3237" t="s">
        <v>121</v>
      </c>
      <c r="J3237" t="s">
        <v>122</v>
      </c>
      <c r="K3237">
        <v>0</v>
      </c>
      <c r="L3237" s="84">
        <v>6874969</v>
      </c>
      <c r="M3237" s="84">
        <v>48124783</v>
      </c>
    </row>
    <row r="3238" spans="3:13" hidden="1" x14ac:dyDescent="0.25">
      <c r="C3238" t="s">
        <v>64</v>
      </c>
      <c r="D3238" t="s">
        <v>120</v>
      </c>
      <c r="E3238" t="s">
        <v>63</v>
      </c>
      <c r="F3238" t="s">
        <v>25</v>
      </c>
      <c r="G3238">
        <v>9</v>
      </c>
      <c r="H3238" t="s">
        <v>75</v>
      </c>
      <c r="I3238" t="s">
        <v>121</v>
      </c>
      <c r="J3238" t="s">
        <v>122</v>
      </c>
      <c r="K3238">
        <v>0</v>
      </c>
      <c r="L3238" s="84">
        <v>984431</v>
      </c>
      <c r="M3238" s="84">
        <v>8859879</v>
      </c>
    </row>
    <row r="3239" spans="3:13" hidden="1" x14ac:dyDescent="0.25">
      <c r="C3239" t="s">
        <v>65</v>
      </c>
      <c r="D3239" t="s">
        <v>120</v>
      </c>
      <c r="E3239" t="s">
        <v>63</v>
      </c>
      <c r="F3239" t="s">
        <v>124</v>
      </c>
      <c r="G3239">
        <v>8</v>
      </c>
      <c r="H3239" t="s">
        <v>14</v>
      </c>
      <c r="I3239" t="s">
        <v>121</v>
      </c>
      <c r="J3239" t="s">
        <v>122</v>
      </c>
      <c r="K3239">
        <v>0</v>
      </c>
      <c r="L3239" s="84">
        <v>2009671</v>
      </c>
      <c r="M3239" s="84">
        <v>16077368</v>
      </c>
    </row>
    <row r="3240" spans="3:13" hidden="1" x14ac:dyDescent="0.25">
      <c r="C3240" t="s">
        <v>119</v>
      </c>
      <c r="D3240" t="s">
        <v>120</v>
      </c>
      <c r="E3240" t="s">
        <v>60</v>
      </c>
      <c r="F3240" t="s">
        <v>123</v>
      </c>
      <c r="G3240">
        <v>7</v>
      </c>
      <c r="H3240" t="s">
        <v>67</v>
      </c>
      <c r="I3240" t="s">
        <v>121</v>
      </c>
      <c r="J3240" t="s">
        <v>122</v>
      </c>
      <c r="K3240">
        <v>0</v>
      </c>
      <c r="L3240" s="84">
        <v>-1646</v>
      </c>
      <c r="M3240" s="84">
        <v>0</v>
      </c>
    </row>
    <row r="3241" spans="3:13" hidden="1" x14ac:dyDescent="0.25">
      <c r="C3241" t="s">
        <v>64</v>
      </c>
      <c r="D3241" t="s">
        <v>120</v>
      </c>
      <c r="E3241" t="s">
        <v>60</v>
      </c>
      <c r="F3241" t="s">
        <v>25</v>
      </c>
      <c r="G3241">
        <v>-4</v>
      </c>
      <c r="H3241" t="s">
        <v>18</v>
      </c>
      <c r="I3241" t="s">
        <v>121</v>
      </c>
      <c r="J3241" t="s">
        <v>122</v>
      </c>
      <c r="K3241">
        <v>0</v>
      </c>
      <c r="L3241" s="84">
        <v>-795</v>
      </c>
      <c r="M3241" s="84">
        <v>0</v>
      </c>
    </row>
    <row r="3242" spans="3:13" hidden="1" x14ac:dyDescent="0.25">
      <c r="C3242" t="s">
        <v>119</v>
      </c>
      <c r="D3242" t="s">
        <v>120</v>
      </c>
      <c r="E3242" t="s">
        <v>63</v>
      </c>
      <c r="F3242" t="s">
        <v>24</v>
      </c>
      <c r="G3242">
        <v>14</v>
      </c>
      <c r="H3242" t="s">
        <v>72</v>
      </c>
      <c r="I3242" t="s">
        <v>121</v>
      </c>
      <c r="J3242" t="s">
        <v>122</v>
      </c>
      <c r="K3242">
        <v>0</v>
      </c>
      <c r="L3242" s="84">
        <v>1988449</v>
      </c>
      <c r="M3242" s="84">
        <v>27838286</v>
      </c>
    </row>
    <row r="3243" spans="3:13" hidden="1" x14ac:dyDescent="0.25">
      <c r="C3243" t="s">
        <v>65</v>
      </c>
      <c r="D3243" t="s">
        <v>120</v>
      </c>
      <c r="E3243" t="s">
        <v>63</v>
      </c>
      <c r="F3243" t="s">
        <v>124</v>
      </c>
      <c r="G3243">
        <v>7</v>
      </c>
      <c r="H3243" t="s">
        <v>67</v>
      </c>
      <c r="I3243" t="s">
        <v>121</v>
      </c>
      <c r="J3243" t="s">
        <v>122</v>
      </c>
      <c r="K3243">
        <v>0</v>
      </c>
      <c r="L3243" s="84">
        <v>21783</v>
      </c>
      <c r="M3243" s="84">
        <v>152481</v>
      </c>
    </row>
    <row r="3244" spans="3:13" hidden="1" x14ac:dyDescent="0.25">
      <c r="C3244" t="s">
        <v>119</v>
      </c>
      <c r="D3244" t="s">
        <v>120</v>
      </c>
      <c r="E3244" t="s">
        <v>63</v>
      </c>
      <c r="F3244" t="s">
        <v>124</v>
      </c>
      <c r="G3244">
        <v>0</v>
      </c>
      <c r="H3244" t="s">
        <v>14</v>
      </c>
      <c r="I3244" t="s">
        <v>62</v>
      </c>
      <c r="J3244" t="s">
        <v>66</v>
      </c>
      <c r="K3244">
        <v>1</v>
      </c>
      <c r="L3244" s="84">
        <v>2058776</v>
      </c>
      <c r="M3244" s="84">
        <v>0</v>
      </c>
    </row>
    <row r="3245" spans="3:13" hidden="1" x14ac:dyDescent="0.25">
      <c r="C3245" t="s">
        <v>119</v>
      </c>
      <c r="D3245" t="s">
        <v>120</v>
      </c>
      <c r="E3245" t="s">
        <v>60</v>
      </c>
      <c r="F3245" t="s">
        <v>123</v>
      </c>
      <c r="G3245">
        <v>0</v>
      </c>
      <c r="H3245" t="s">
        <v>69</v>
      </c>
      <c r="I3245" t="s">
        <v>121</v>
      </c>
      <c r="J3245" t="s">
        <v>122</v>
      </c>
      <c r="K3245">
        <v>0</v>
      </c>
      <c r="L3245" s="84">
        <v>-245</v>
      </c>
      <c r="M3245" s="84">
        <v>0</v>
      </c>
    </row>
    <row r="3246" spans="3:13" hidden="1" x14ac:dyDescent="0.25">
      <c r="C3246" t="s">
        <v>65</v>
      </c>
      <c r="D3246" t="s">
        <v>125</v>
      </c>
      <c r="E3246" t="s">
        <v>60</v>
      </c>
      <c r="F3246" t="s">
        <v>24</v>
      </c>
      <c r="G3246">
        <v>13</v>
      </c>
      <c r="I3246" t="s">
        <v>121</v>
      </c>
      <c r="J3246" t="s">
        <v>122</v>
      </c>
      <c r="K3246">
        <v>0</v>
      </c>
      <c r="L3246" s="84">
        <v>-1345794</v>
      </c>
      <c r="M3246" s="84">
        <v>0</v>
      </c>
    </row>
    <row r="3247" spans="3:13" hidden="1" x14ac:dyDescent="0.25">
      <c r="C3247" t="s">
        <v>119</v>
      </c>
      <c r="D3247" t="s">
        <v>125</v>
      </c>
      <c r="E3247" t="s">
        <v>60</v>
      </c>
      <c r="F3247" t="s">
        <v>25</v>
      </c>
      <c r="G3247">
        <v>-4</v>
      </c>
      <c r="I3247" t="s">
        <v>121</v>
      </c>
      <c r="J3247" t="s">
        <v>122</v>
      </c>
      <c r="K3247">
        <v>0</v>
      </c>
      <c r="L3247" s="84">
        <v>-187</v>
      </c>
      <c r="M3247" s="84">
        <v>0</v>
      </c>
    </row>
    <row r="3248" spans="3:13" hidden="1" x14ac:dyDescent="0.25">
      <c r="C3248" t="s">
        <v>64</v>
      </c>
      <c r="D3248" t="s">
        <v>125</v>
      </c>
      <c r="E3248" t="s">
        <v>63</v>
      </c>
      <c r="F3248" t="s">
        <v>24</v>
      </c>
      <c r="G3248">
        <v>37</v>
      </c>
      <c r="I3248" t="s">
        <v>121</v>
      </c>
      <c r="J3248" t="s">
        <v>122</v>
      </c>
      <c r="K3248">
        <v>0</v>
      </c>
      <c r="L3248" s="84">
        <v>52004295</v>
      </c>
      <c r="M3248" s="84">
        <v>1924158915</v>
      </c>
    </row>
    <row r="3249" spans="3:13" hidden="1" x14ac:dyDescent="0.25">
      <c r="C3249" t="s">
        <v>65</v>
      </c>
      <c r="D3249" t="s">
        <v>120</v>
      </c>
      <c r="E3249" t="s">
        <v>60</v>
      </c>
      <c r="F3249" t="s">
        <v>25</v>
      </c>
      <c r="G3249">
        <v>11</v>
      </c>
      <c r="H3249" t="s">
        <v>17</v>
      </c>
      <c r="I3249" t="s">
        <v>121</v>
      </c>
      <c r="J3249" t="s">
        <v>122</v>
      </c>
      <c r="K3249">
        <v>0</v>
      </c>
      <c r="L3249" s="84">
        <v>-40998</v>
      </c>
      <c r="M3249" s="84">
        <v>0</v>
      </c>
    </row>
    <row r="3250" spans="3:13" hidden="1" x14ac:dyDescent="0.25">
      <c r="C3250" t="s">
        <v>119</v>
      </c>
      <c r="D3250" t="s">
        <v>120</v>
      </c>
      <c r="E3250" t="s">
        <v>63</v>
      </c>
      <c r="F3250" t="s">
        <v>124</v>
      </c>
      <c r="G3250">
        <v>8</v>
      </c>
      <c r="H3250" t="s">
        <v>69</v>
      </c>
      <c r="I3250" t="s">
        <v>121</v>
      </c>
      <c r="J3250" t="s">
        <v>122</v>
      </c>
      <c r="K3250">
        <v>0</v>
      </c>
      <c r="L3250" s="84">
        <v>7373032</v>
      </c>
      <c r="M3250" s="84">
        <v>58984256</v>
      </c>
    </row>
    <row r="3251" spans="3:13" hidden="1" x14ac:dyDescent="0.25">
      <c r="C3251" t="s">
        <v>64</v>
      </c>
      <c r="D3251" t="s">
        <v>120</v>
      </c>
      <c r="E3251" t="s">
        <v>60</v>
      </c>
      <c r="F3251" t="s">
        <v>124</v>
      </c>
      <c r="G3251">
        <v>1</v>
      </c>
      <c r="H3251" t="s">
        <v>18</v>
      </c>
      <c r="I3251" t="s">
        <v>121</v>
      </c>
      <c r="J3251" t="s">
        <v>122</v>
      </c>
      <c r="K3251">
        <v>0</v>
      </c>
      <c r="L3251" s="84">
        <v>-745795</v>
      </c>
      <c r="M3251" s="84">
        <v>0</v>
      </c>
    </row>
    <row r="3252" spans="3:13" hidden="1" x14ac:dyDescent="0.25">
      <c r="C3252" t="s">
        <v>119</v>
      </c>
      <c r="D3252" t="s">
        <v>126</v>
      </c>
      <c r="E3252" t="s">
        <v>63</v>
      </c>
      <c r="F3252" t="s">
        <v>24</v>
      </c>
      <c r="G3252">
        <v>0</v>
      </c>
      <c r="H3252" t="s">
        <v>74</v>
      </c>
      <c r="I3252" t="s">
        <v>121</v>
      </c>
      <c r="J3252" t="s">
        <v>122</v>
      </c>
      <c r="K3252">
        <v>0</v>
      </c>
      <c r="L3252" s="84">
        <v>6213380</v>
      </c>
      <c r="M3252" s="84">
        <v>0</v>
      </c>
    </row>
    <row r="3253" spans="3:13" hidden="1" x14ac:dyDescent="0.25">
      <c r="C3253" t="s">
        <v>64</v>
      </c>
      <c r="D3253" t="s">
        <v>120</v>
      </c>
      <c r="E3253" t="s">
        <v>60</v>
      </c>
      <c r="F3253" t="s">
        <v>123</v>
      </c>
      <c r="G3253">
        <v>2</v>
      </c>
      <c r="H3253" t="s">
        <v>14</v>
      </c>
      <c r="I3253" t="s">
        <v>121</v>
      </c>
      <c r="J3253" t="s">
        <v>122</v>
      </c>
      <c r="K3253">
        <v>0</v>
      </c>
      <c r="L3253" s="84">
        <v>-43654</v>
      </c>
      <c r="M3253" s="84">
        <v>0</v>
      </c>
    </row>
    <row r="3254" spans="3:13" hidden="1" x14ac:dyDescent="0.25">
      <c r="C3254" t="s">
        <v>119</v>
      </c>
      <c r="D3254" t="s">
        <v>120</v>
      </c>
      <c r="E3254" t="s">
        <v>63</v>
      </c>
      <c r="F3254" t="s">
        <v>123</v>
      </c>
      <c r="G3254">
        <v>1</v>
      </c>
      <c r="H3254" t="s">
        <v>18</v>
      </c>
      <c r="I3254" t="s">
        <v>121</v>
      </c>
      <c r="J3254" t="s">
        <v>122</v>
      </c>
      <c r="K3254">
        <v>0</v>
      </c>
      <c r="L3254" s="84">
        <v>3754546</v>
      </c>
      <c r="M3254" s="84">
        <v>3754546</v>
      </c>
    </row>
    <row r="3255" spans="3:13" hidden="1" x14ac:dyDescent="0.25">
      <c r="C3255" t="s">
        <v>64</v>
      </c>
      <c r="D3255" t="s">
        <v>120</v>
      </c>
      <c r="E3255" t="s">
        <v>63</v>
      </c>
      <c r="F3255" t="s">
        <v>25</v>
      </c>
      <c r="G3255">
        <v>12</v>
      </c>
      <c r="H3255" t="s">
        <v>76</v>
      </c>
      <c r="I3255" t="s">
        <v>121</v>
      </c>
      <c r="J3255" t="s">
        <v>122</v>
      </c>
      <c r="K3255">
        <v>0</v>
      </c>
      <c r="L3255" s="84">
        <v>223381</v>
      </c>
      <c r="M3255" s="84">
        <v>2680572</v>
      </c>
    </row>
    <row r="3256" spans="3:13" hidden="1" x14ac:dyDescent="0.25">
      <c r="C3256" t="s">
        <v>65</v>
      </c>
      <c r="D3256" t="s">
        <v>125</v>
      </c>
      <c r="E3256" t="s">
        <v>63</v>
      </c>
      <c r="F3256" t="s">
        <v>24</v>
      </c>
      <c r="G3256">
        <v>2</v>
      </c>
      <c r="I3256" t="s">
        <v>121</v>
      </c>
      <c r="J3256" t="s">
        <v>122</v>
      </c>
      <c r="K3256">
        <v>0</v>
      </c>
      <c r="L3256" s="84">
        <v>189060</v>
      </c>
      <c r="M3256" s="84">
        <v>378120</v>
      </c>
    </row>
    <row r="3257" spans="3:13" hidden="1" x14ac:dyDescent="0.25">
      <c r="C3257" t="s">
        <v>64</v>
      </c>
      <c r="D3257" t="s">
        <v>120</v>
      </c>
      <c r="E3257" t="s">
        <v>60</v>
      </c>
      <c r="F3257" t="s">
        <v>123</v>
      </c>
      <c r="G3257">
        <v>0</v>
      </c>
      <c r="H3257" t="s">
        <v>18</v>
      </c>
      <c r="I3257" t="s">
        <v>121</v>
      </c>
      <c r="J3257" t="s">
        <v>122</v>
      </c>
      <c r="K3257">
        <v>0</v>
      </c>
      <c r="L3257" s="84">
        <v>-4281</v>
      </c>
      <c r="M3257" s="84">
        <v>0</v>
      </c>
    </row>
    <row r="3258" spans="3:13" hidden="1" x14ac:dyDescent="0.25">
      <c r="C3258" t="s">
        <v>64</v>
      </c>
      <c r="D3258" t="s">
        <v>120</v>
      </c>
      <c r="E3258" t="s">
        <v>60</v>
      </c>
      <c r="F3258" t="s">
        <v>124</v>
      </c>
      <c r="G3258">
        <v>-1</v>
      </c>
      <c r="H3258" t="s">
        <v>14</v>
      </c>
      <c r="I3258" t="s">
        <v>121</v>
      </c>
      <c r="J3258" t="s">
        <v>122</v>
      </c>
      <c r="K3258">
        <v>0</v>
      </c>
      <c r="L3258" s="84">
        <v>-1172973</v>
      </c>
      <c r="M3258" s="84">
        <v>0</v>
      </c>
    </row>
    <row r="3259" spans="3:13" hidden="1" x14ac:dyDescent="0.25">
      <c r="C3259" t="s">
        <v>119</v>
      </c>
      <c r="D3259" t="s">
        <v>120</v>
      </c>
      <c r="E3259" t="s">
        <v>63</v>
      </c>
      <c r="F3259" t="s">
        <v>124</v>
      </c>
      <c r="G3259">
        <v>-4</v>
      </c>
      <c r="H3259" t="s">
        <v>14</v>
      </c>
      <c r="I3259" t="s">
        <v>121</v>
      </c>
      <c r="J3259" t="s">
        <v>66</v>
      </c>
      <c r="K3259">
        <v>1</v>
      </c>
      <c r="L3259" s="84">
        <v>85368</v>
      </c>
      <c r="M3259" s="84">
        <v>0</v>
      </c>
    </row>
    <row r="3260" spans="3:13" hidden="1" x14ac:dyDescent="0.25">
      <c r="C3260" t="s">
        <v>119</v>
      </c>
      <c r="D3260" t="s">
        <v>120</v>
      </c>
      <c r="E3260" t="s">
        <v>60</v>
      </c>
      <c r="F3260" t="s">
        <v>25</v>
      </c>
      <c r="G3260">
        <v>17</v>
      </c>
      <c r="H3260" t="s">
        <v>69</v>
      </c>
      <c r="I3260" t="s">
        <v>121</v>
      </c>
      <c r="J3260" t="s">
        <v>122</v>
      </c>
      <c r="K3260">
        <v>0</v>
      </c>
      <c r="L3260" s="84">
        <v>-465</v>
      </c>
      <c r="M3260" s="84">
        <v>0</v>
      </c>
    </row>
    <row r="3261" spans="3:13" hidden="1" x14ac:dyDescent="0.25">
      <c r="C3261" t="s">
        <v>65</v>
      </c>
      <c r="D3261" t="s">
        <v>120</v>
      </c>
      <c r="E3261" t="s">
        <v>63</v>
      </c>
      <c r="F3261" t="s">
        <v>124</v>
      </c>
      <c r="G3261">
        <v>4</v>
      </c>
      <c r="H3261" t="s">
        <v>12</v>
      </c>
      <c r="I3261" t="s">
        <v>62</v>
      </c>
      <c r="J3261" t="s">
        <v>66</v>
      </c>
      <c r="K3261">
        <v>1</v>
      </c>
      <c r="L3261" s="84">
        <v>25984</v>
      </c>
      <c r="M3261" s="84">
        <v>103936</v>
      </c>
    </row>
    <row r="3262" spans="3:13" hidden="1" x14ac:dyDescent="0.25">
      <c r="C3262" t="s">
        <v>64</v>
      </c>
      <c r="D3262" t="s">
        <v>120</v>
      </c>
      <c r="E3262" t="s">
        <v>60</v>
      </c>
      <c r="F3262" t="s">
        <v>124</v>
      </c>
      <c r="G3262">
        <v>7</v>
      </c>
      <c r="H3262" t="s">
        <v>68</v>
      </c>
      <c r="I3262" t="s">
        <v>121</v>
      </c>
      <c r="J3262" t="s">
        <v>122</v>
      </c>
      <c r="K3262">
        <v>0</v>
      </c>
      <c r="L3262" s="84">
        <v>-110270</v>
      </c>
      <c r="M3262" s="84">
        <v>0</v>
      </c>
    </row>
    <row r="3263" spans="3:13" hidden="1" x14ac:dyDescent="0.25">
      <c r="C3263" t="s">
        <v>119</v>
      </c>
      <c r="D3263" t="s">
        <v>120</v>
      </c>
      <c r="E3263" t="s">
        <v>63</v>
      </c>
      <c r="F3263" t="s">
        <v>123</v>
      </c>
      <c r="G3263">
        <v>6</v>
      </c>
      <c r="H3263" t="s">
        <v>72</v>
      </c>
      <c r="I3263" t="s">
        <v>121</v>
      </c>
      <c r="J3263" t="s">
        <v>122</v>
      </c>
      <c r="K3263">
        <v>0</v>
      </c>
      <c r="L3263" s="84">
        <v>2418527</v>
      </c>
      <c r="M3263" s="84">
        <v>14511162</v>
      </c>
    </row>
    <row r="3264" spans="3:13" hidden="1" x14ac:dyDescent="0.25">
      <c r="C3264" t="s">
        <v>119</v>
      </c>
      <c r="D3264" t="s">
        <v>120</v>
      </c>
      <c r="E3264" t="s">
        <v>63</v>
      </c>
      <c r="F3264" t="s">
        <v>25</v>
      </c>
      <c r="G3264">
        <v>6</v>
      </c>
      <c r="H3264" t="s">
        <v>75</v>
      </c>
      <c r="I3264" t="s">
        <v>121</v>
      </c>
      <c r="J3264" t="s">
        <v>122</v>
      </c>
      <c r="K3264">
        <v>0</v>
      </c>
      <c r="L3264" s="84">
        <v>500009</v>
      </c>
      <c r="M3264" s="84">
        <v>3000054</v>
      </c>
    </row>
    <row r="3265" spans="3:13" hidden="1" x14ac:dyDescent="0.25">
      <c r="C3265" t="s">
        <v>119</v>
      </c>
      <c r="D3265" t="s">
        <v>120</v>
      </c>
      <c r="E3265" t="s">
        <v>63</v>
      </c>
      <c r="F3265" t="s">
        <v>24</v>
      </c>
      <c r="G3265">
        <v>0</v>
      </c>
      <c r="H3265" t="s">
        <v>72</v>
      </c>
      <c r="I3265" t="s">
        <v>121</v>
      </c>
      <c r="J3265" t="s">
        <v>122</v>
      </c>
      <c r="K3265">
        <v>0</v>
      </c>
      <c r="L3265" s="84">
        <v>1829</v>
      </c>
      <c r="M3265" s="84">
        <v>0</v>
      </c>
    </row>
    <row r="3266" spans="3:13" hidden="1" x14ac:dyDescent="0.25">
      <c r="C3266" t="s">
        <v>119</v>
      </c>
      <c r="D3266" t="s">
        <v>120</v>
      </c>
      <c r="E3266" t="s">
        <v>60</v>
      </c>
      <c r="F3266" t="s">
        <v>25</v>
      </c>
      <c r="G3266">
        <v>1</v>
      </c>
      <c r="H3266" t="s">
        <v>18</v>
      </c>
      <c r="I3266" t="s">
        <v>121</v>
      </c>
      <c r="J3266" t="s">
        <v>122</v>
      </c>
      <c r="K3266">
        <v>0</v>
      </c>
      <c r="L3266" s="84">
        <v>-3492</v>
      </c>
      <c r="M3266" s="84">
        <v>0</v>
      </c>
    </row>
    <row r="3267" spans="3:13" hidden="1" x14ac:dyDescent="0.25">
      <c r="C3267" t="s">
        <v>119</v>
      </c>
      <c r="D3267" t="s">
        <v>120</v>
      </c>
      <c r="E3267" t="s">
        <v>63</v>
      </c>
      <c r="F3267" t="s">
        <v>124</v>
      </c>
      <c r="G3267">
        <v>9</v>
      </c>
      <c r="H3267" t="s">
        <v>14</v>
      </c>
      <c r="I3267" t="s">
        <v>121</v>
      </c>
      <c r="J3267" t="s">
        <v>122</v>
      </c>
      <c r="K3267">
        <v>0</v>
      </c>
      <c r="L3267" s="84">
        <v>28710600</v>
      </c>
      <c r="M3267" s="84">
        <v>258395400</v>
      </c>
    </row>
    <row r="3268" spans="3:13" hidden="1" x14ac:dyDescent="0.25">
      <c r="C3268" t="s">
        <v>119</v>
      </c>
      <c r="D3268" t="s">
        <v>120</v>
      </c>
      <c r="E3268" t="s">
        <v>60</v>
      </c>
      <c r="F3268" t="s">
        <v>124</v>
      </c>
      <c r="G3268">
        <v>2</v>
      </c>
      <c r="H3268" t="s">
        <v>75</v>
      </c>
      <c r="I3268" t="s">
        <v>62</v>
      </c>
      <c r="J3268" t="s">
        <v>122</v>
      </c>
      <c r="K3268">
        <v>1</v>
      </c>
      <c r="L3268" s="84">
        <v>-286</v>
      </c>
      <c r="M3268" s="84">
        <v>0</v>
      </c>
    </row>
    <row r="3269" spans="3:13" hidden="1" x14ac:dyDescent="0.25">
      <c r="C3269" t="s">
        <v>64</v>
      </c>
      <c r="D3269" t="s">
        <v>120</v>
      </c>
      <c r="E3269" t="s">
        <v>63</v>
      </c>
      <c r="F3269" t="s">
        <v>124</v>
      </c>
      <c r="G3269">
        <v>6</v>
      </c>
      <c r="H3269" t="s">
        <v>18</v>
      </c>
      <c r="I3269" t="s">
        <v>121</v>
      </c>
      <c r="J3269" t="s">
        <v>66</v>
      </c>
      <c r="K3269">
        <v>1</v>
      </c>
      <c r="L3269" s="84">
        <v>23415</v>
      </c>
      <c r="M3269" s="84">
        <v>140490</v>
      </c>
    </row>
    <row r="3270" spans="3:13" hidden="1" x14ac:dyDescent="0.25">
      <c r="C3270" t="s">
        <v>119</v>
      </c>
      <c r="D3270" t="s">
        <v>120</v>
      </c>
      <c r="E3270" t="s">
        <v>63</v>
      </c>
      <c r="F3270" t="s">
        <v>124</v>
      </c>
      <c r="G3270">
        <v>-1</v>
      </c>
      <c r="H3270" t="s">
        <v>15</v>
      </c>
      <c r="I3270" t="s">
        <v>62</v>
      </c>
      <c r="J3270" t="s">
        <v>66</v>
      </c>
      <c r="K3270">
        <v>1</v>
      </c>
      <c r="L3270" s="84">
        <v>4</v>
      </c>
      <c r="M3270" s="84">
        <v>0</v>
      </c>
    </row>
    <row r="3271" spans="3:13" hidden="1" x14ac:dyDescent="0.25">
      <c r="C3271" t="s">
        <v>119</v>
      </c>
      <c r="D3271" t="s">
        <v>120</v>
      </c>
      <c r="E3271" t="s">
        <v>60</v>
      </c>
      <c r="F3271" t="s">
        <v>123</v>
      </c>
      <c r="G3271">
        <v>2</v>
      </c>
      <c r="H3271" t="s">
        <v>17</v>
      </c>
      <c r="I3271" t="s">
        <v>62</v>
      </c>
      <c r="J3271" t="s">
        <v>66</v>
      </c>
      <c r="K3271">
        <v>1</v>
      </c>
      <c r="L3271" s="84">
        <v>-188</v>
      </c>
      <c r="M3271" s="84">
        <v>0</v>
      </c>
    </row>
    <row r="3272" spans="3:13" hidden="1" x14ac:dyDescent="0.25">
      <c r="C3272" t="s">
        <v>119</v>
      </c>
      <c r="D3272" t="s">
        <v>120</v>
      </c>
      <c r="E3272" t="s">
        <v>63</v>
      </c>
      <c r="F3272" t="s">
        <v>24</v>
      </c>
      <c r="G3272">
        <v>9</v>
      </c>
      <c r="H3272" t="s">
        <v>73</v>
      </c>
      <c r="I3272" t="s">
        <v>121</v>
      </c>
      <c r="J3272" t="s">
        <v>122</v>
      </c>
      <c r="K3272">
        <v>0</v>
      </c>
      <c r="L3272" s="84">
        <v>242527</v>
      </c>
      <c r="M3272" s="84">
        <v>2182743</v>
      </c>
    </row>
    <row r="3273" spans="3:13" hidden="1" x14ac:dyDescent="0.25">
      <c r="C3273" t="s">
        <v>65</v>
      </c>
      <c r="D3273" t="s">
        <v>120</v>
      </c>
      <c r="E3273" t="s">
        <v>63</v>
      </c>
      <c r="F3273" t="s">
        <v>124</v>
      </c>
      <c r="G3273">
        <v>2</v>
      </c>
      <c r="H3273" t="s">
        <v>67</v>
      </c>
      <c r="I3273" t="s">
        <v>121</v>
      </c>
      <c r="J3273" t="s">
        <v>122</v>
      </c>
      <c r="K3273">
        <v>0</v>
      </c>
      <c r="L3273" s="84">
        <v>468665</v>
      </c>
      <c r="M3273" s="84">
        <v>937330</v>
      </c>
    </row>
    <row r="3274" spans="3:13" hidden="1" x14ac:dyDescent="0.25">
      <c r="C3274" t="s">
        <v>119</v>
      </c>
      <c r="D3274" t="s">
        <v>120</v>
      </c>
      <c r="E3274" t="s">
        <v>63</v>
      </c>
      <c r="F3274" t="s">
        <v>123</v>
      </c>
      <c r="G3274">
        <v>3</v>
      </c>
      <c r="H3274" t="s">
        <v>13</v>
      </c>
      <c r="I3274" t="s">
        <v>121</v>
      </c>
      <c r="J3274" t="s">
        <v>122</v>
      </c>
      <c r="K3274">
        <v>0</v>
      </c>
      <c r="L3274" s="84">
        <v>620148</v>
      </c>
      <c r="M3274" s="84">
        <v>1860444</v>
      </c>
    </row>
    <row r="3275" spans="3:13" hidden="1" x14ac:dyDescent="0.25">
      <c r="C3275" t="s">
        <v>119</v>
      </c>
      <c r="D3275" t="s">
        <v>120</v>
      </c>
      <c r="E3275" t="s">
        <v>60</v>
      </c>
      <c r="F3275" t="s">
        <v>123</v>
      </c>
      <c r="G3275">
        <v>1</v>
      </c>
      <c r="H3275" t="s">
        <v>17</v>
      </c>
      <c r="I3275" t="s">
        <v>62</v>
      </c>
      <c r="J3275" t="s">
        <v>122</v>
      </c>
      <c r="K3275">
        <v>1</v>
      </c>
      <c r="L3275" s="84">
        <v>-30</v>
      </c>
      <c r="M3275" s="84">
        <v>0</v>
      </c>
    </row>
    <row r="3276" spans="3:13" hidden="1" x14ac:dyDescent="0.25">
      <c r="C3276" t="s">
        <v>64</v>
      </c>
      <c r="D3276" t="s">
        <v>120</v>
      </c>
      <c r="E3276" t="s">
        <v>60</v>
      </c>
      <c r="F3276" t="s">
        <v>124</v>
      </c>
      <c r="G3276">
        <v>1</v>
      </c>
      <c r="H3276" t="s">
        <v>69</v>
      </c>
      <c r="I3276" t="s">
        <v>121</v>
      </c>
      <c r="J3276" t="s">
        <v>122</v>
      </c>
      <c r="K3276">
        <v>0</v>
      </c>
      <c r="L3276" s="84">
        <v>-212633</v>
      </c>
      <c r="M3276" s="84">
        <v>0</v>
      </c>
    </row>
    <row r="3277" spans="3:13" hidden="1" x14ac:dyDescent="0.25">
      <c r="C3277" t="s">
        <v>64</v>
      </c>
      <c r="D3277" t="s">
        <v>120</v>
      </c>
      <c r="E3277" t="s">
        <v>60</v>
      </c>
      <c r="F3277" t="s">
        <v>123</v>
      </c>
      <c r="G3277">
        <v>2</v>
      </c>
      <c r="H3277" t="s">
        <v>67</v>
      </c>
      <c r="I3277" t="s">
        <v>121</v>
      </c>
      <c r="J3277" t="s">
        <v>122</v>
      </c>
      <c r="K3277">
        <v>0</v>
      </c>
      <c r="L3277" s="84">
        <v>-12201</v>
      </c>
      <c r="M3277" s="84">
        <v>0</v>
      </c>
    </row>
    <row r="3278" spans="3:13" hidden="1" x14ac:dyDescent="0.25">
      <c r="C3278" t="s">
        <v>65</v>
      </c>
      <c r="D3278" t="s">
        <v>125</v>
      </c>
      <c r="E3278" t="s">
        <v>63</v>
      </c>
      <c r="F3278" t="s">
        <v>25</v>
      </c>
      <c r="G3278">
        <v>3</v>
      </c>
      <c r="I3278" t="s">
        <v>121</v>
      </c>
      <c r="J3278" t="s">
        <v>122</v>
      </c>
      <c r="K3278">
        <v>0</v>
      </c>
      <c r="L3278" s="84">
        <v>60928</v>
      </c>
      <c r="M3278" s="84">
        <v>182784</v>
      </c>
    </row>
    <row r="3279" spans="3:13" hidden="1" x14ac:dyDescent="0.25">
      <c r="C3279" t="s">
        <v>119</v>
      </c>
      <c r="D3279" t="s">
        <v>120</v>
      </c>
      <c r="E3279" t="s">
        <v>60</v>
      </c>
      <c r="F3279" t="s">
        <v>123</v>
      </c>
      <c r="G3279">
        <v>6</v>
      </c>
      <c r="H3279" t="s">
        <v>73</v>
      </c>
      <c r="I3279" t="s">
        <v>121</v>
      </c>
      <c r="J3279" t="s">
        <v>122</v>
      </c>
      <c r="K3279">
        <v>0</v>
      </c>
      <c r="L3279" s="84">
        <v>-313</v>
      </c>
      <c r="M3279" s="84">
        <v>0</v>
      </c>
    </row>
    <row r="3280" spans="3:13" hidden="1" x14ac:dyDescent="0.25">
      <c r="C3280" t="s">
        <v>64</v>
      </c>
      <c r="D3280" t="s">
        <v>120</v>
      </c>
      <c r="E3280" t="s">
        <v>60</v>
      </c>
      <c r="F3280" t="s">
        <v>124</v>
      </c>
      <c r="G3280">
        <v>4</v>
      </c>
      <c r="H3280" t="s">
        <v>70</v>
      </c>
      <c r="I3280" t="s">
        <v>121</v>
      </c>
      <c r="J3280" t="s">
        <v>122</v>
      </c>
      <c r="K3280">
        <v>0</v>
      </c>
      <c r="L3280" s="84">
        <v>-25666</v>
      </c>
      <c r="M3280" s="84">
        <v>0</v>
      </c>
    </row>
    <row r="3281" spans="3:13" hidden="1" x14ac:dyDescent="0.25">
      <c r="C3281" t="s">
        <v>65</v>
      </c>
      <c r="D3281" t="s">
        <v>120</v>
      </c>
      <c r="E3281" t="s">
        <v>63</v>
      </c>
      <c r="F3281" t="s">
        <v>124</v>
      </c>
      <c r="G3281">
        <v>7</v>
      </c>
      <c r="H3281" t="s">
        <v>14</v>
      </c>
      <c r="I3281" t="s">
        <v>121</v>
      </c>
      <c r="J3281" t="s">
        <v>122</v>
      </c>
      <c r="K3281">
        <v>0</v>
      </c>
      <c r="L3281" s="84">
        <v>1003804</v>
      </c>
      <c r="M3281" s="84">
        <v>7026628</v>
      </c>
    </row>
    <row r="3282" spans="3:13" hidden="1" x14ac:dyDescent="0.25">
      <c r="C3282" t="s">
        <v>119</v>
      </c>
      <c r="D3282" t="s">
        <v>120</v>
      </c>
      <c r="E3282" t="s">
        <v>60</v>
      </c>
      <c r="F3282" t="s">
        <v>123</v>
      </c>
      <c r="G3282">
        <v>4</v>
      </c>
      <c r="H3282" t="s">
        <v>74</v>
      </c>
      <c r="I3282" t="s">
        <v>121</v>
      </c>
      <c r="J3282" t="s">
        <v>122</v>
      </c>
      <c r="K3282">
        <v>0</v>
      </c>
      <c r="L3282" s="84">
        <v>-130</v>
      </c>
      <c r="M3282" s="84">
        <v>0</v>
      </c>
    </row>
    <row r="3283" spans="3:13" hidden="1" x14ac:dyDescent="0.25">
      <c r="C3283" t="s">
        <v>119</v>
      </c>
      <c r="D3283" t="s">
        <v>120</v>
      </c>
      <c r="E3283" t="s">
        <v>63</v>
      </c>
      <c r="F3283" t="s">
        <v>124</v>
      </c>
      <c r="G3283">
        <v>6</v>
      </c>
      <c r="H3283" t="s">
        <v>70</v>
      </c>
      <c r="I3283" t="s">
        <v>121</v>
      </c>
      <c r="J3283" t="s">
        <v>122</v>
      </c>
      <c r="K3283">
        <v>0</v>
      </c>
      <c r="L3283" s="84">
        <v>74145</v>
      </c>
      <c r="M3283" s="84">
        <v>444870</v>
      </c>
    </row>
    <row r="3284" spans="3:13" hidden="1" x14ac:dyDescent="0.25">
      <c r="C3284" t="s">
        <v>64</v>
      </c>
      <c r="D3284" t="s">
        <v>120</v>
      </c>
      <c r="E3284" t="s">
        <v>63</v>
      </c>
      <c r="F3284" t="s">
        <v>24</v>
      </c>
      <c r="G3284">
        <v>5</v>
      </c>
      <c r="H3284" t="s">
        <v>17</v>
      </c>
      <c r="I3284" t="s">
        <v>121</v>
      </c>
      <c r="J3284" t="s">
        <v>122</v>
      </c>
      <c r="K3284">
        <v>0</v>
      </c>
      <c r="L3284" s="84">
        <v>667815</v>
      </c>
      <c r="M3284" s="84">
        <v>3339075</v>
      </c>
    </row>
    <row r="3285" spans="3:13" hidden="1" x14ac:dyDescent="0.25">
      <c r="C3285" t="s">
        <v>64</v>
      </c>
      <c r="D3285" t="s">
        <v>120</v>
      </c>
      <c r="E3285" t="s">
        <v>60</v>
      </c>
      <c r="F3285" t="s">
        <v>123</v>
      </c>
      <c r="G3285">
        <v>2</v>
      </c>
      <c r="H3285" t="s">
        <v>17</v>
      </c>
      <c r="I3285" t="s">
        <v>62</v>
      </c>
      <c r="J3285" t="s">
        <v>66</v>
      </c>
      <c r="K3285">
        <v>1</v>
      </c>
      <c r="L3285" s="84">
        <v>-357</v>
      </c>
      <c r="M3285" s="84">
        <v>0</v>
      </c>
    </row>
    <row r="3286" spans="3:13" hidden="1" x14ac:dyDescent="0.25">
      <c r="C3286" t="s">
        <v>65</v>
      </c>
      <c r="D3286" t="s">
        <v>120</v>
      </c>
      <c r="E3286" t="s">
        <v>60</v>
      </c>
      <c r="F3286" t="s">
        <v>123</v>
      </c>
      <c r="G3286">
        <v>0</v>
      </c>
      <c r="H3286" t="s">
        <v>18</v>
      </c>
      <c r="I3286" t="s">
        <v>121</v>
      </c>
      <c r="J3286" t="s">
        <v>66</v>
      </c>
      <c r="K3286">
        <v>1</v>
      </c>
      <c r="L3286" s="84">
        <v>-14099</v>
      </c>
      <c r="M3286" s="84">
        <v>0</v>
      </c>
    </row>
    <row r="3287" spans="3:13" hidden="1" x14ac:dyDescent="0.25">
      <c r="C3287" t="s">
        <v>65</v>
      </c>
      <c r="D3287" t="s">
        <v>120</v>
      </c>
      <c r="E3287" t="s">
        <v>60</v>
      </c>
      <c r="F3287" t="s">
        <v>25</v>
      </c>
      <c r="G3287">
        <v>1</v>
      </c>
      <c r="H3287" t="s">
        <v>14</v>
      </c>
      <c r="I3287" t="s">
        <v>121</v>
      </c>
      <c r="J3287" t="s">
        <v>122</v>
      </c>
      <c r="K3287">
        <v>0</v>
      </c>
      <c r="L3287" s="84">
        <v>-12176</v>
      </c>
      <c r="M3287" s="84">
        <v>0</v>
      </c>
    </row>
    <row r="3288" spans="3:13" hidden="1" x14ac:dyDescent="0.25">
      <c r="C3288" t="s">
        <v>119</v>
      </c>
      <c r="D3288" t="s">
        <v>120</v>
      </c>
      <c r="E3288" t="s">
        <v>60</v>
      </c>
      <c r="F3288" t="s">
        <v>124</v>
      </c>
      <c r="G3288">
        <v>10</v>
      </c>
      <c r="H3288" t="s">
        <v>68</v>
      </c>
      <c r="I3288" t="s">
        <v>121</v>
      </c>
      <c r="J3288" t="s">
        <v>122</v>
      </c>
      <c r="K3288">
        <v>0</v>
      </c>
      <c r="L3288" s="84">
        <v>-151</v>
      </c>
      <c r="M3288" s="84">
        <v>0</v>
      </c>
    </row>
    <row r="3289" spans="3:13" hidden="1" x14ac:dyDescent="0.25">
      <c r="C3289" t="s">
        <v>65</v>
      </c>
      <c r="D3289" t="s">
        <v>120</v>
      </c>
      <c r="E3289" t="s">
        <v>63</v>
      </c>
      <c r="F3289" t="s">
        <v>124</v>
      </c>
      <c r="G3289">
        <v>8</v>
      </c>
      <c r="H3289" t="s">
        <v>67</v>
      </c>
      <c r="I3289" t="s">
        <v>121</v>
      </c>
      <c r="J3289" t="s">
        <v>122</v>
      </c>
      <c r="K3289">
        <v>0</v>
      </c>
      <c r="L3289" s="84">
        <v>56483</v>
      </c>
      <c r="M3289" s="84">
        <v>451864</v>
      </c>
    </row>
    <row r="3290" spans="3:13" hidden="1" x14ac:dyDescent="0.25">
      <c r="C3290" t="s">
        <v>119</v>
      </c>
      <c r="D3290" t="s">
        <v>120</v>
      </c>
      <c r="E3290" t="s">
        <v>63</v>
      </c>
      <c r="F3290" t="s">
        <v>25</v>
      </c>
      <c r="G3290">
        <v>8</v>
      </c>
      <c r="H3290" t="s">
        <v>74</v>
      </c>
      <c r="I3290" t="s">
        <v>121</v>
      </c>
      <c r="J3290" t="s">
        <v>122</v>
      </c>
      <c r="K3290">
        <v>0</v>
      </c>
      <c r="L3290" s="84">
        <v>76265</v>
      </c>
      <c r="M3290" s="84">
        <v>610120</v>
      </c>
    </row>
    <row r="3291" spans="3:13" hidden="1" x14ac:dyDescent="0.25">
      <c r="C3291" t="s">
        <v>64</v>
      </c>
      <c r="D3291" t="s">
        <v>120</v>
      </c>
      <c r="E3291" t="s">
        <v>63</v>
      </c>
      <c r="F3291" t="s">
        <v>25</v>
      </c>
      <c r="G3291">
        <v>5</v>
      </c>
      <c r="H3291" t="s">
        <v>72</v>
      </c>
      <c r="I3291" t="s">
        <v>121</v>
      </c>
      <c r="J3291" t="s">
        <v>122</v>
      </c>
      <c r="K3291">
        <v>0</v>
      </c>
      <c r="L3291" s="84">
        <v>73118</v>
      </c>
      <c r="M3291" s="84">
        <v>365590</v>
      </c>
    </row>
    <row r="3292" spans="3:13" hidden="1" x14ac:dyDescent="0.25">
      <c r="C3292" t="s">
        <v>65</v>
      </c>
      <c r="D3292" t="s">
        <v>120</v>
      </c>
      <c r="E3292" t="s">
        <v>63</v>
      </c>
      <c r="F3292" t="s">
        <v>25</v>
      </c>
      <c r="G3292">
        <v>-1</v>
      </c>
      <c r="H3292" t="s">
        <v>75</v>
      </c>
      <c r="I3292" t="s">
        <v>121</v>
      </c>
      <c r="J3292" t="s">
        <v>122</v>
      </c>
      <c r="K3292">
        <v>0</v>
      </c>
      <c r="L3292" s="84">
        <v>1037</v>
      </c>
      <c r="M3292" s="84">
        <v>0</v>
      </c>
    </row>
    <row r="3293" spans="3:13" hidden="1" x14ac:dyDescent="0.25">
      <c r="C3293" t="s">
        <v>64</v>
      </c>
      <c r="D3293" t="s">
        <v>120</v>
      </c>
      <c r="E3293" t="s">
        <v>60</v>
      </c>
      <c r="F3293" t="s">
        <v>123</v>
      </c>
      <c r="G3293">
        <v>6</v>
      </c>
      <c r="H3293" t="s">
        <v>17</v>
      </c>
      <c r="I3293" t="s">
        <v>62</v>
      </c>
      <c r="J3293" t="s">
        <v>66</v>
      </c>
      <c r="K3293">
        <v>1</v>
      </c>
      <c r="L3293" s="84">
        <v>-1400</v>
      </c>
      <c r="M3293" s="84">
        <v>0</v>
      </c>
    </row>
    <row r="3294" spans="3:13" hidden="1" x14ac:dyDescent="0.25">
      <c r="C3294" t="s">
        <v>64</v>
      </c>
      <c r="D3294" t="s">
        <v>120</v>
      </c>
      <c r="E3294" t="s">
        <v>63</v>
      </c>
      <c r="F3294" t="s">
        <v>24</v>
      </c>
      <c r="G3294">
        <v>7</v>
      </c>
      <c r="H3294" t="s">
        <v>68</v>
      </c>
      <c r="I3294" t="s">
        <v>121</v>
      </c>
      <c r="J3294" t="s">
        <v>122</v>
      </c>
      <c r="K3294">
        <v>0</v>
      </c>
      <c r="L3294" s="84">
        <v>3326878</v>
      </c>
      <c r="M3294" s="84">
        <v>23288146</v>
      </c>
    </row>
    <row r="3295" spans="3:13" hidden="1" x14ac:dyDescent="0.25">
      <c r="C3295" t="s">
        <v>64</v>
      </c>
      <c r="D3295" t="s">
        <v>120</v>
      </c>
      <c r="E3295" t="s">
        <v>63</v>
      </c>
      <c r="F3295" t="s">
        <v>25</v>
      </c>
      <c r="G3295">
        <v>11</v>
      </c>
      <c r="H3295" t="s">
        <v>17</v>
      </c>
      <c r="I3295" t="s">
        <v>121</v>
      </c>
      <c r="J3295" t="s">
        <v>122</v>
      </c>
      <c r="K3295">
        <v>0</v>
      </c>
      <c r="L3295" s="84">
        <v>491233</v>
      </c>
      <c r="M3295" s="84">
        <v>5403563</v>
      </c>
    </row>
    <row r="3296" spans="3:13" hidden="1" x14ac:dyDescent="0.25">
      <c r="C3296" t="s">
        <v>119</v>
      </c>
      <c r="D3296" t="s">
        <v>120</v>
      </c>
      <c r="E3296" t="s">
        <v>63</v>
      </c>
      <c r="F3296" t="s">
        <v>124</v>
      </c>
      <c r="G3296">
        <v>15</v>
      </c>
      <c r="H3296" t="s">
        <v>75</v>
      </c>
      <c r="I3296" t="s">
        <v>121</v>
      </c>
      <c r="J3296" t="s">
        <v>122</v>
      </c>
      <c r="K3296">
        <v>0</v>
      </c>
      <c r="L3296" s="84">
        <v>4441277</v>
      </c>
      <c r="M3296" s="84">
        <v>66619155</v>
      </c>
    </row>
    <row r="3297" spans="3:13" x14ac:dyDescent="0.25">
      <c r="C3297" t="s">
        <v>64</v>
      </c>
      <c r="D3297" t="s">
        <v>120</v>
      </c>
      <c r="E3297" t="s">
        <v>63</v>
      </c>
      <c r="F3297" t="s">
        <v>25</v>
      </c>
      <c r="G3297">
        <v>11</v>
      </c>
      <c r="H3297" t="s">
        <v>17</v>
      </c>
      <c r="I3297" t="s">
        <v>121</v>
      </c>
      <c r="J3297" t="s">
        <v>66</v>
      </c>
      <c r="K3297">
        <v>1</v>
      </c>
      <c r="L3297" s="84">
        <v>103087</v>
      </c>
      <c r="M3297" s="84">
        <v>1133957</v>
      </c>
    </row>
    <row r="3298" spans="3:13" hidden="1" x14ac:dyDescent="0.25">
      <c r="C3298" t="s">
        <v>65</v>
      </c>
      <c r="D3298" t="s">
        <v>120</v>
      </c>
      <c r="E3298" t="s">
        <v>63</v>
      </c>
      <c r="F3298" t="s">
        <v>124</v>
      </c>
      <c r="G3298">
        <v>2</v>
      </c>
      <c r="H3298" t="s">
        <v>73</v>
      </c>
      <c r="I3298" t="s">
        <v>121</v>
      </c>
      <c r="J3298" t="s">
        <v>122</v>
      </c>
      <c r="K3298">
        <v>0</v>
      </c>
      <c r="L3298" s="84">
        <v>78133</v>
      </c>
      <c r="M3298" s="84">
        <v>156266</v>
      </c>
    </row>
    <row r="3299" spans="3:13" hidden="1" x14ac:dyDescent="0.25">
      <c r="C3299" t="s">
        <v>64</v>
      </c>
      <c r="D3299" t="s">
        <v>120</v>
      </c>
      <c r="E3299" t="s">
        <v>63</v>
      </c>
      <c r="F3299" t="s">
        <v>25</v>
      </c>
      <c r="G3299">
        <v>12</v>
      </c>
      <c r="H3299" t="s">
        <v>68</v>
      </c>
      <c r="I3299" t="s">
        <v>121</v>
      </c>
      <c r="J3299" t="s">
        <v>122</v>
      </c>
      <c r="K3299">
        <v>0</v>
      </c>
      <c r="L3299" s="84">
        <v>1900140</v>
      </c>
      <c r="M3299" s="84">
        <v>22801680</v>
      </c>
    </row>
    <row r="3300" spans="3:13" x14ac:dyDescent="0.25">
      <c r="C3300" t="s">
        <v>119</v>
      </c>
      <c r="D3300" t="s">
        <v>120</v>
      </c>
      <c r="E3300" t="s">
        <v>63</v>
      </c>
      <c r="F3300" t="s">
        <v>25</v>
      </c>
      <c r="G3300">
        <v>13</v>
      </c>
      <c r="H3300" t="s">
        <v>12</v>
      </c>
      <c r="I3300" t="s">
        <v>121</v>
      </c>
      <c r="J3300" t="s">
        <v>66</v>
      </c>
      <c r="K3300">
        <v>1</v>
      </c>
      <c r="L3300" s="84">
        <v>1378632</v>
      </c>
      <c r="M3300" s="84">
        <v>17922216</v>
      </c>
    </row>
    <row r="3301" spans="3:13" hidden="1" x14ac:dyDescent="0.25">
      <c r="C3301" t="s">
        <v>64</v>
      </c>
      <c r="D3301" t="s">
        <v>120</v>
      </c>
      <c r="E3301" t="s">
        <v>60</v>
      </c>
      <c r="F3301" t="s">
        <v>123</v>
      </c>
      <c r="G3301">
        <v>6</v>
      </c>
      <c r="H3301" t="s">
        <v>67</v>
      </c>
      <c r="I3301" t="s">
        <v>121</v>
      </c>
      <c r="J3301" t="s">
        <v>122</v>
      </c>
      <c r="K3301">
        <v>0</v>
      </c>
      <c r="L3301" s="84">
        <v>-5056</v>
      </c>
      <c r="M3301" s="84">
        <v>0</v>
      </c>
    </row>
    <row r="3302" spans="3:13" hidden="1" x14ac:dyDescent="0.25">
      <c r="C3302" t="s">
        <v>64</v>
      </c>
      <c r="D3302" t="s">
        <v>120</v>
      </c>
      <c r="E3302" t="s">
        <v>60</v>
      </c>
      <c r="F3302" t="s">
        <v>24</v>
      </c>
      <c r="G3302">
        <v>11</v>
      </c>
      <c r="H3302" t="s">
        <v>69</v>
      </c>
      <c r="I3302" t="s">
        <v>121</v>
      </c>
      <c r="J3302" t="s">
        <v>122</v>
      </c>
      <c r="K3302">
        <v>0</v>
      </c>
      <c r="L3302" s="84">
        <v>-9171</v>
      </c>
      <c r="M3302" s="84">
        <v>0</v>
      </c>
    </row>
    <row r="3303" spans="3:13" hidden="1" x14ac:dyDescent="0.25">
      <c r="C3303" t="s">
        <v>65</v>
      </c>
      <c r="D3303" t="s">
        <v>120</v>
      </c>
      <c r="E3303" t="s">
        <v>63</v>
      </c>
      <c r="F3303" t="s">
        <v>124</v>
      </c>
      <c r="G3303">
        <v>3</v>
      </c>
      <c r="H3303" t="s">
        <v>16</v>
      </c>
      <c r="I3303" t="s">
        <v>121</v>
      </c>
      <c r="J3303" t="s">
        <v>122</v>
      </c>
      <c r="K3303">
        <v>0</v>
      </c>
      <c r="L3303" s="84">
        <v>296902</v>
      </c>
      <c r="M3303" s="84">
        <v>890706</v>
      </c>
    </row>
    <row r="3304" spans="3:13" hidden="1" x14ac:dyDescent="0.25">
      <c r="C3304" t="s">
        <v>64</v>
      </c>
      <c r="D3304" t="s">
        <v>120</v>
      </c>
      <c r="E3304" t="s">
        <v>63</v>
      </c>
      <c r="F3304" t="s">
        <v>123</v>
      </c>
      <c r="G3304">
        <v>-4</v>
      </c>
      <c r="H3304" t="s">
        <v>14</v>
      </c>
      <c r="I3304" t="s">
        <v>121</v>
      </c>
      <c r="J3304" t="s">
        <v>66</v>
      </c>
      <c r="K3304">
        <v>1</v>
      </c>
      <c r="L3304" s="84">
        <v>384</v>
      </c>
      <c r="M3304" s="84">
        <v>0</v>
      </c>
    </row>
    <row r="3305" spans="3:13" hidden="1" x14ac:dyDescent="0.25">
      <c r="C3305" t="s">
        <v>65</v>
      </c>
      <c r="D3305" t="s">
        <v>120</v>
      </c>
      <c r="E3305" t="s">
        <v>63</v>
      </c>
      <c r="F3305" t="s">
        <v>123</v>
      </c>
      <c r="G3305">
        <v>0</v>
      </c>
      <c r="H3305" t="s">
        <v>75</v>
      </c>
      <c r="I3305" t="s">
        <v>121</v>
      </c>
      <c r="J3305" t="s">
        <v>122</v>
      </c>
      <c r="K3305">
        <v>0</v>
      </c>
      <c r="L3305" s="84">
        <v>84180</v>
      </c>
      <c r="M3305" s="84">
        <v>0</v>
      </c>
    </row>
    <row r="3306" spans="3:13" hidden="1" x14ac:dyDescent="0.25">
      <c r="C3306" t="s">
        <v>119</v>
      </c>
      <c r="D3306" t="s">
        <v>120</v>
      </c>
      <c r="E3306" t="s">
        <v>60</v>
      </c>
      <c r="F3306" t="s">
        <v>124</v>
      </c>
      <c r="G3306">
        <v>15</v>
      </c>
      <c r="H3306" t="s">
        <v>14</v>
      </c>
      <c r="I3306" t="s">
        <v>121</v>
      </c>
      <c r="J3306" t="s">
        <v>66</v>
      </c>
      <c r="K3306">
        <v>1</v>
      </c>
      <c r="L3306" s="84">
        <v>-9494</v>
      </c>
      <c r="M3306" s="84">
        <v>0</v>
      </c>
    </row>
    <row r="3307" spans="3:13" hidden="1" x14ac:dyDescent="0.25">
      <c r="C3307" t="s">
        <v>119</v>
      </c>
      <c r="D3307" t="s">
        <v>120</v>
      </c>
      <c r="E3307" t="s">
        <v>60</v>
      </c>
      <c r="F3307" t="s">
        <v>123</v>
      </c>
      <c r="G3307">
        <v>3</v>
      </c>
      <c r="H3307" t="s">
        <v>74</v>
      </c>
      <c r="I3307" t="s">
        <v>121</v>
      </c>
      <c r="J3307" t="s">
        <v>122</v>
      </c>
      <c r="K3307">
        <v>0</v>
      </c>
      <c r="L3307" s="84">
        <v>-40</v>
      </c>
      <c r="M3307" s="84">
        <v>0</v>
      </c>
    </row>
    <row r="3308" spans="3:13" hidden="1" x14ac:dyDescent="0.25">
      <c r="C3308" t="s">
        <v>65</v>
      </c>
      <c r="D3308" t="s">
        <v>120</v>
      </c>
      <c r="E3308" t="s">
        <v>60</v>
      </c>
      <c r="F3308" t="s">
        <v>124</v>
      </c>
      <c r="G3308">
        <v>10</v>
      </c>
      <c r="H3308" t="s">
        <v>71</v>
      </c>
      <c r="I3308" t="s">
        <v>121</v>
      </c>
      <c r="J3308" t="s">
        <v>122</v>
      </c>
      <c r="K3308">
        <v>0</v>
      </c>
      <c r="L3308" s="84">
        <v>-13183</v>
      </c>
      <c r="M3308" s="84">
        <v>0</v>
      </c>
    </row>
    <row r="3309" spans="3:13" hidden="1" x14ac:dyDescent="0.25">
      <c r="C3309" t="s">
        <v>65</v>
      </c>
      <c r="D3309" t="s">
        <v>120</v>
      </c>
      <c r="E3309" t="s">
        <v>60</v>
      </c>
      <c r="F3309" t="s">
        <v>124</v>
      </c>
      <c r="G3309">
        <v>11</v>
      </c>
      <c r="H3309" t="s">
        <v>61</v>
      </c>
      <c r="I3309" t="s">
        <v>121</v>
      </c>
      <c r="J3309" t="s">
        <v>122</v>
      </c>
      <c r="K3309">
        <v>0</v>
      </c>
      <c r="L3309" s="84">
        <v>-3390125</v>
      </c>
      <c r="M3309" s="84">
        <v>0</v>
      </c>
    </row>
    <row r="3310" spans="3:13" hidden="1" x14ac:dyDescent="0.25">
      <c r="C3310" t="s">
        <v>64</v>
      </c>
      <c r="D3310" t="s">
        <v>120</v>
      </c>
      <c r="E3310" t="s">
        <v>60</v>
      </c>
      <c r="F3310" t="s">
        <v>124</v>
      </c>
      <c r="G3310">
        <v>7</v>
      </c>
      <c r="H3310" t="s">
        <v>76</v>
      </c>
      <c r="I3310" t="s">
        <v>121</v>
      </c>
      <c r="J3310" t="s">
        <v>122</v>
      </c>
      <c r="K3310">
        <v>0</v>
      </c>
      <c r="L3310" s="84">
        <v>-54808</v>
      </c>
      <c r="M3310" s="84">
        <v>0</v>
      </c>
    </row>
    <row r="3311" spans="3:13" hidden="1" x14ac:dyDescent="0.25">
      <c r="C3311" t="s">
        <v>119</v>
      </c>
      <c r="D3311" t="s">
        <v>120</v>
      </c>
      <c r="E3311" t="s">
        <v>60</v>
      </c>
      <c r="F3311" t="s">
        <v>24</v>
      </c>
      <c r="G3311">
        <v>2</v>
      </c>
      <c r="H3311" t="s">
        <v>14</v>
      </c>
      <c r="I3311" t="s">
        <v>121</v>
      </c>
      <c r="J3311" t="s">
        <v>122</v>
      </c>
      <c r="K3311">
        <v>0</v>
      </c>
      <c r="L3311" s="84">
        <v>-461</v>
      </c>
      <c r="M3311" s="84">
        <v>0</v>
      </c>
    </row>
    <row r="3312" spans="3:13" hidden="1" x14ac:dyDescent="0.25">
      <c r="C3312" t="s">
        <v>119</v>
      </c>
      <c r="D3312" t="s">
        <v>120</v>
      </c>
      <c r="E3312" t="s">
        <v>60</v>
      </c>
      <c r="F3312" t="s">
        <v>123</v>
      </c>
      <c r="G3312">
        <v>2</v>
      </c>
      <c r="H3312" t="s">
        <v>73</v>
      </c>
      <c r="I3312" t="s">
        <v>121</v>
      </c>
      <c r="J3312" t="s">
        <v>122</v>
      </c>
      <c r="K3312">
        <v>0</v>
      </c>
      <c r="L3312" s="84">
        <v>-754</v>
      </c>
      <c r="M3312" s="84">
        <v>0</v>
      </c>
    </row>
    <row r="3313" spans="3:13" hidden="1" x14ac:dyDescent="0.25">
      <c r="C3313" t="s">
        <v>64</v>
      </c>
      <c r="D3313" t="s">
        <v>120</v>
      </c>
      <c r="E3313" t="s">
        <v>60</v>
      </c>
      <c r="F3313" t="s">
        <v>25</v>
      </c>
      <c r="G3313">
        <v>12</v>
      </c>
      <c r="H3313" t="s">
        <v>68</v>
      </c>
      <c r="I3313" t="s">
        <v>121</v>
      </c>
      <c r="J3313" t="s">
        <v>122</v>
      </c>
      <c r="K3313">
        <v>0</v>
      </c>
      <c r="L3313" s="84">
        <v>-33903</v>
      </c>
      <c r="M3313" s="84">
        <v>0</v>
      </c>
    </row>
    <row r="3314" spans="3:13" hidden="1" x14ac:dyDescent="0.25">
      <c r="C3314" t="s">
        <v>119</v>
      </c>
      <c r="D3314" t="s">
        <v>120</v>
      </c>
      <c r="E3314" t="s">
        <v>60</v>
      </c>
      <c r="F3314" t="s">
        <v>25</v>
      </c>
      <c r="G3314">
        <v>12</v>
      </c>
      <c r="H3314" t="s">
        <v>67</v>
      </c>
      <c r="I3314" t="s">
        <v>121</v>
      </c>
      <c r="J3314" t="s">
        <v>122</v>
      </c>
      <c r="K3314">
        <v>0</v>
      </c>
      <c r="L3314" s="84">
        <v>-3847</v>
      </c>
      <c r="M3314" s="84">
        <v>0</v>
      </c>
    </row>
    <row r="3315" spans="3:13" hidden="1" x14ac:dyDescent="0.25">
      <c r="C3315" t="s">
        <v>119</v>
      </c>
      <c r="D3315" t="s">
        <v>120</v>
      </c>
      <c r="E3315" t="s">
        <v>60</v>
      </c>
      <c r="F3315" t="s">
        <v>24</v>
      </c>
      <c r="G3315">
        <v>9</v>
      </c>
      <c r="H3315" t="s">
        <v>14</v>
      </c>
      <c r="I3315" t="s">
        <v>121</v>
      </c>
      <c r="J3315" t="s">
        <v>122</v>
      </c>
      <c r="K3315">
        <v>0</v>
      </c>
      <c r="L3315" s="84">
        <v>-1241</v>
      </c>
      <c r="M3315" s="84">
        <v>0</v>
      </c>
    </row>
    <row r="3316" spans="3:13" hidden="1" x14ac:dyDescent="0.25">
      <c r="C3316" t="s">
        <v>119</v>
      </c>
      <c r="D3316" t="s">
        <v>120</v>
      </c>
      <c r="E3316" t="s">
        <v>63</v>
      </c>
      <c r="F3316" t="s">
        <v>124</v>
      </c>
      <c r="G3316">
        <v>4</v>
      </c>
      <c r="H3316" t="s">
        <v>13</v>
      </c>
      <c r="I3316" t="s">
        <v>121</v>
      </c>
      <c r="J3316" t="s">
        <v>122</v>
      </c>
      <c r="K3316">
        <v>0</v>
      </c>
      <c r="L3316" s="84">
        <v>1347710</v>
      </c>
      <c r="M3316" s="84">
        <v>5390840</v>
      </c>
    </row>
    <row r="3317" spans="3:13" hidden="1" x14ac:dyDescent="0.25">
      <c r="C3317" t="s">
        <v>65</v>
      </c>
      <c r="D3317" t="s">
        <v>120</v>
      </c>
      <c r="E3317" t="s">
        <v>63</v>
      </c>
      <c r="F3317" t="s">
        <v>123</v>
      </c>
      <c r="G3317">
        <v>-4</v>
      </c>
      <c r="H3317" t="s">
        <v>12</v>
      </c>
      <c r="I3317" t="s">
        <v>121</v>
      </c>
      <c r="J3317" t="s">
        <v>122</v>
      </c>
      <c r="K3317">
        <v>0</v>
      </c>
      <c r="L3317" s="84">
        <v>27604</v>
      </c>
      <c r="M3317" s="84">
        <v>0</v>
      </c>
    </row>
    <row r="3318" spans="3:13" hidden="1" x14ac:dyDescent="0.25">
      <c r="C3318" t="s">
        <v>119</v>
      </c>
      <c r="D3318" t="s">
        <v>125</v>
      </c>
      <c r="E3318" t="s">
        <v>63</v>
      </c>
      <c r="F3318" t="s">
        <v>24</v>
      </c>
      <c r="G3318">
        <v>45</v>
      </c>
      <c r="I3318" t="s">
        <v>121</v>
      </c>
      <c r="J3318" t="s">
        <v>122</v>
      </c>
      <c r="K3318">
        <v>0</v>
      </c>
      <c r="L3318" s="84">
        <v>751840</v>
      </c>
      <c r="M3318" s="84">
        <v>33832800</v>
      </c>
    </row>
    <row r="3319" spans="3:13" hidden="1" x14ac:dyDescent="0.25">
      <c r="C3319" t="s">
        <v>119</v>
      </c>
      <c r="D3319" t="s">
        <v>120</v>
      </c>
      <c r="E3319" t="s">
        <v>63</v>
      </c>
      <c r="F3319" t="s">
        <v>24</v>
      </c>
      <c r="G3319">
        <v>1</v>
      </c>
      <c r="H3319" t="s">
        <v>67</v>
      </c>
      <c r="I3319" t="s">
        <v>121</v>
      </c>
      <c r="J3319" t="s">
        <v>122</v>
      </c>
      <c r="K3319">
        <v>0</v>
      </c>
      <c r="L3319" s="84">
        <v>15926698</v>
      </c>
      <c r="M3319" s="84">
        <v>15926698</v>
      </c>
    </row>
    <row r="3320" spans="3:13" hidden="1" x14ac:dyDescent="0.25">
      <c r="C3320" t="s">
        <v>119</v>
      </c>
      <c r="D3320" t="s">
        <v>120</v>
      </c>
      <c r="E3320" t="s">
        <v>60</v>
      </c>
      <c r="F3320" t="s">
        <v>124</v>
      </c>
      <c r="G3320">
        <v>5</v>
      </c>
      <c r="H3320" t="s">
        <v>69</v>
      </c>
      <c r="I3320" t="s">
        <v>121</v>
      </c>
      <c r="J3320" t="s">
        <v>122</v>
      </c>
      <c r="K3320">
        <v>0</v>
      </c>
      <c r="L3320" s="84">
        <v>-55512</v>
      </c>
      <c r="M3320" s="84">
        <v>0</v>
      </c>
    </row>
    <row r="3321" spans="3:13" hidden="1" x14ac:dyDescent="0.25">
      <c r="C3321" t="s">
        <v>65</v>
      </c>
      <c r="D3321" t="s">
        <v>120</v>
      </c>
      <c r="E3321" t="s">
        <v>60</v>
      </c>
      <c r="F3321" t="s">
        <v>24</v>
      </c>
      <c r="G3321">
        <v>-4</v>
      </c>
      <c r="H3321" t="s">
        <v>68</v>
      </c>
      <c r="I3321" t="s">
        <v>121</v>
      </c>
      <c r="J3321" t="s">
        <v>122</v>
      </c>
      <c r="K3321">
        <v>0</v>
      </c>
      <c r="L3321" s="84">
        <v>-663838</v>
      </c>
      <c r="M3321" s="84">
        <v>0</v>
      </c>
    </row>
    <row r="3322" spans="3:13" hidden="1" x14ac:dyDescent="0.25">
      <c r="C3322" t="s">
        <v>119</v>
      </c>
      <c r="D3322" t="s">
        <v>120</v>
      </c>
      <c r="E3322" t="s">
        <v>60</v>
      </c>
      <c r="F3322" t="s">
        <v>24</v>
      </c>
      <c r="G3322">
        <v>3</v>
      </c>
      <c r="H3322" t="s">
        <v>69</v>
      </c>
      <c r="I3322" t="s">
        <v>121</v>
      </c>
      <c r="J3322" t="s">
        <v>122</v>
      </c>
      <c r="K3322">
        <v>0</v>
      </c>
      <c r="L3322" s="84">
        <v>-1773</v>
      </c>
      <c r="M3322" s="84">
        <v>0</v>
      </c>
    </row>
    <row r="3323" spans="3:13" hidden="1" x14ac:dyDescent="0.25">
      <c r="C3323" t="s">
        <v>119</v>
      </c>
      <c r="D3323" t="s">
        <v>120</v>
      </c>
      <c r="E3323" t="s">
        <v>60</v>
      </c>
      <c r="F3323" t="s">
        <v>123</v>
      </c>
      <c r="G3323">
        <v>6</v>
      </c>
      <c r="H3323" t="s">
        <v>17</v>
      </c>
      <c r="I3323" t="s">
        <v>62</v>
      </c>
      <c r="J3323" t="s">
        <v>66</v>
      </c>
      <c r="K3323">
        <v>1</v>
      </c>
      <c r="L3323" s="84">
        <v>-688</v>
      </c>
      <c r="M3323" s="84">
        <v>0</v>
      </c>
    </row>
    <row r="3324" spans="3:13" hidden="1" x14ac:dyDescent="0.25">
      <c r="C3324" t="s">
        <v>64</v>
      </c>
      <c r="D3324" t="s">
        <v>120</v>
      </c>
      <c r="E3324" t="s">
        <v>63</v>
      </c>
      <c r="F3324" t="s">
        <v>24</v>
      </c>
      <c r="G3324">
        <v>10</v>
      </c>
      <c r="H3324" t="s">
        <v>67</v>
      </c>
      <c r="I3324" t="s">
        <v>121</v>
      </c>
      <c r="J3324" t="s">
        <v>122</v>
      </c>
      <c r="K3324">
        <v>0</v>
      </c>
      <c r="L3324" s="84">
        <v>2435709</v>
      </c>
      <c r="M3324" s="84">
        <v>24357090</v>
      </c>
    </row>
    <row r="3325" spans="3:13" hidden="1" x14ac:dyDescent="0.25">
      <c r="C3325" t="s">
        <v>64</v>
      </c>
      <c r="D3325" t="s">
        <v>120</v>
      </c>
      <c r="E3325" t="s">
        <v>63</v>
      </c>
      <c r="F3325" t="s">
        <v>124</v>
      </c>
      <c r="G3325">
        <v>-4</v>
      </c>
      <c r="H3325" t="s">
        <v>71</v>
      </c>
      <c r="I3325" t="s">
        <v>121</v>
      </c>
      <c r="J3325" t="s">
        <v>122</v>
      </c>
      <c r="K3325">
        <v>0</v>
      </c>
      <c r="L3325" s="84">
        <v>235</v>
      </c>
      <c r="M3325" s="84">
        <v>0</v>
      </c>
    </row>
    <row r="3326" spans="3:13" hidden="1" x14ac:dyDescent="0.25">
      <c r="C3326" t="s">
        <v>64</v>
      </c>
      <c r="D3326" t="s">
        <v>120</v>
      </c>
      <c r="E3326" t="s">
        <v>60</v>
      </c>
      <c r="F3326" t="s">
        <v>123</v>
      </c>
      <c r="G3326">
        <v>3</v>
      </c>
      <c r="H3326" t="s">
        <v>74</v>
      </c>
      <c r="I3326" t="s">
        <v>121</v>
      </c>
      <c r="J3326" t="s">
        <v>122</v>
      </c>
      <c r="K3326">
        <v>0</v>
      </c>
      <c r="L3326" s="84">
        <v>-1582</v>
      </c>
      <c r="M3326" s="84">
        <v>0</v>
      </c>
    </row>
    <row r="3327" spans="3:13" hidden="1" x14ac:dyDescent="0.25">
      <c r="C3327" t="s">
        <v>65</v>
      </c>
      <c r="D3327" t="s">
        <v>120</v>
      </c>
      <c r="E3327" t="s">
        <v>63</v>
      </c>
      <c r="F3327" t="s">
        <v>123</v>
      </c>
      <c r="G3327">
        <v>5</v>
      </c>
      <c r="H3327" t="s">
        <v>76</v>
      </c>
      <c r="I3327" t="s">
        <v>121</v>
      </c>
      <c r="J3327" t="s">
        <v>122</v>
      </c>
      <c r="K3327">
        <v>0</v>
      </c>
      <c r="L3327" s="84">
        <v>13219</v>
      </c>
      <c r="M3327" s="84">
        <v>66095</v>
      </c>
    </row>
    <row r="3328" spans="3:13" hidden="1" x14ac:dyDescent="0.25">
      <c r="C3328" t="s">
        <v>119</v>
      </c>
      <c r="D3328" t="s">
        <v>120</v>
      </c>
      <c r="E3328" t="s">
        <v>60</v>
      </c>
      <c r="F3328" t="s">
        <v>124</v>
      </c>
      <c r="G3328">
        <v>1</v>
      </c>
      <c r="H3328" t="s">
        <v>14</v>
      </c>
      <c r="I3328" t="s">
        <v>121</v>
      </c>
      <c r="J3328" t="s">
        <v>66</v>
      </c>
      <c r="K3328">
        <v>1</v>
      </c>
      <c r="L3328" s="84">
        <v>-97940</v>
      </c>
      <c r="M3328" s="84">
        <v>0</v>
      </c>
    </row>
    <row r="3329" spans="3:13" hidden="1" x14ac:dyDescent="0.25">
      <c r="C3329" t="s">
        <v>65</v>
      </c>
      <c r="D3329" t="s">
        <v>120</v>
      </c>
      <c r="E3329" t="s">
        <v>63</v>
      </c>
      <c r="F3329" t="s">
        <v>124</v>
      </c>
      <c r="G3329">
        <v>10</v>
      </c>
      <c r="H3329" t="s">
        <v>71</v>
      </c>
      <c r="I3329" t="s">
        <v>121</v>
      </c>
      <c r="J3329" t="s">
        <v>122</v>
      </c>
      <c r="K3329">
        <v>0</v>
      </c>
      <c r="L3329" s="84">
        <v>26792</v>
      </c>
      <c r="M3329" s="84">
        <v>267920</v>
      </c>
    </row>
    <row r="3330" spans="3:13" hidden="1" x14ac:dyDescent="0.25">
      <c r="C3330" t="s">
        <v>64</v>
      </c>
      <c r="D3330" t="s">
        <v>120</v>
      </c>
      <c r="E3330" t="s">
        <v>60</v>
      </c>
      <c r="F3330" t="s">
        <v>123</v>
      </c>
      <c r="G3330">
        <v>2</v>
      </c>
      <c r="H3330" t="s">
        <v>73</v>
      </c>
      <c r="I3330" t="s">
        <v>121</v>
      </c>
      <c r="J3330" t="s">
        <v>122</v>
      </c>
      <c r="K3330">
        <v>0</v>
      </c>
      <c r="L3330" s="84">
        <v>-1663</v>
      </c>
      <c r="M3330" s="84">
        <v>0</v>
      </c>
    </row>
    <row r="3331" spans="3:13" hidden="1" x14ac:dyDescent="0.25">
      <c r="C3331" t="s">
        <v>119</v>
      </c>
      <c r="D3331" t="s">
        <v>120</v>
      </c>
      <c r="E3331" t="s">
        <v>60</v>
      </c>
      <c r="F3331" t="s">
        <v>123</v>
      </c>
      <c r="G3331">
        <v>6</v>
      </c>
      <c r="H3331" t="s">
        <v>67</v>
      </c>
      <c r="I3331" t="s">
        <v>121</v>
      </c>
      <c r="J3331" t="s">
        <v>122</v>
      </c>
      <c r="K3331">
        <v>0</v>
      </c>
      <c r="L3331" s="84">
        <v>-2412</v>
      </c>
      <c r="M3331" s="84">
        <v>0</v>
      </c>
    </row>
    <row r="3332" spans="3:13" hidden="1" x14ac:dyDescent="0.25">
      <c r="C3332" t="s">
        <v>119</v>
      </c>
      <c r="D3332" t="s">
        <v>120</v>
      </c>
      <c r="E3332" t="s">
        <v>60</v>
      </c>
      <c r="F3332" t="s">
        <v>124</v>
      </c>
      <c r="G3332">
        <v>2</v>
      </c>
      <c r="H3332" t="s">
        <v>17</v>
      </c>
      <c r="I3332" t="s">
        <v>121</v>
      </c>
      <c r="J3332" t="s">
        <v>122</v>
      </c>
      <c r="K3332">
        <v>0</v>
      </c>
      <c r="L3332" s="84">
        <v>-157038</v>
      </c>
      <c r="M3332" s="84">
        <v>0</v>
      </c>
    </row>
    <row r="3333" spans="3:13" hidden="1" x14ac:dyDescent="0.25">
      <c r="C3333" t="s">
        <v>119</v>
      </c>
      <c r="D3333" t="s">
        <v>127</v>
      </c>
      <c r="E3333" t="s">
        <v>60</v>
      </c>
      <c r="F3333" t="s">
        <v>24</v>
      </c>
      <c r="G3333">
        <v>18</v>
      </c>
      <c r="H3333" t="s">
        <v>72</v>
      </c>
      <c r="I3333" t="s">
        <v>121</v>
      </c>
      <c r="J3333" t="s">
        <v>122</v>
      </c>
      <c r="K3333">
        <v>0</v>
      </c>
      <c r="L3333" s="84">
        <v>-728</v>
      </c>
      <c r="M3333" s="84">
        <v>0</v>
      </c>
    </row>
    <row r="3334" spans="3:13" hidden="1" x14ac:dyDescent="0.25">
      <c r="C3334" t="s">
        <v>119</v>
      </c>
      <c r="D3334" t="s">
        <v>120</v>
      </c>
      <c r="E3334" t="s">
        <v>60</v>
      </c>
      <c r="F3334" t="s">
        <v>25</v>
      </c>
      <c r="G3334">
        <v>13</v>
      </c>
      <c r="H3334" t="s">
        <v>61</v>
      </c>
      <c r="I3334" t="s">
        <v>121</v>
      </c>
      <c r="J3334" t="s">
        <v>122</v>
      </c>
      <c r="K3334">
        <v>0</v>
      </c>
      <c r="L3334" s="84">
        <v>-2530</v>
      </c>
      <c r="M3334" s="84">
        <v>0</v>
      </c>
    </row>
    <row r="3335" spans="3:13" hidden="1" x14ac:dyDescent="0.25">
      <c r="C3335" t="s">
        <v>65</v>
      </c>
      <c r="D3335" t="s">
        <v>120</v>
      </c>
      <c r="E3335" t="s">
        <v>60</v>
      </c>
      <c r="F3335" t="s">
        <v>124</v>
      </c>
      <c r="G3335">
        <v>7</v>
      </c>
      <c r="H3335" t="s">
        <v>17</v>
      </c>
      <c r="I3335" t="s">
        <v>62</v>
      </c>
      <c r="J3335" t="s">
        <v>66</v>
      </c>
      <c r="K3335">
        <v>1</v>
      </c>
      <c r="L3335" s="84">
        <v>-20167</v>
      </c>
      <c r="M3335" s="84">
        <v>0</v>
      </c>
    </row>
    <row r="3336" spans="3:13" hidden="1" x14ac:dyDescent="0.25">
      <c r="C3336" t="s">
        <v>65</v>
      </c>
      <c r="D3336" t="s">
        <v>120</v>
      </c>
      <c r="E3336" t="s">
        <v>63</v>
      </c>
      <c r="F3336" t="s">
        <v>124</v>
      </c>
      <c r="G3336">
        <v>1</v>
      </c>
      <c r="H3336" t="s">
        <v>67</v>
      </c>
      <c r="I3336" t="s">
        <v>121</v>
      </c>
      <c r="J3336" t="s">
        <v>122</v>
      </c>
      <c r="K3336">
        <v>0</v>
      </c>
      <c r="L3336" s="84">
        <v>781700</v>
      </c>
      <c r="M3336" s="84">
        <v>781700</v>
      </c>
    </row>
    <row r="3337" spans="3:13" hidden="1" x14ac:dyDescent="0.25">
      <c r="C3337" t="s">
        <v>65</v>
      </c>
      <c r="D3337" t="s">
        <v>125</v>
      </c>
      <c r="E3337" t="s">
        <v>60</v>
      </c>
      <c r="F3337" t="s">
        <v>25</v>
      </c>
      <c r="G3337">
        <v>8</v>
      </c>
      <c r="I3337" t="s">
        <v>121</v>
      </c>
      <c r="J3337" t="s">
        <v>122</v>
      </c>
      <c r="K3337">
        <v>0</v>
      </c>
      <c r="L3337" s="84">
        <v>-46075</v>
      </c>
      <c r="M3337" s="84">
        <v>0</v>
      </c>
    </row>
    <row r="3338" spans="3:13" hidden="1" x14ac:dyDescent="0.25">
      <c r="C3338" t="s">
        <v>65</v>
      </c>
      <c r="D3338" t="s">
        <v>120</v>
      </c>
      <c r="E3338" t="s">
        <v>63</v>
      </c>
      <c r="F3338" t="s">
        <v>25</v>
      </c>
      <c r="G3338">
        <v>2</v>
      </c>
      <c r="H3338" t="s">
        <v>68</v>
      </c>
      <c r="I3338" t="s">
        <v>121</v>
      </c>
      <c r="J3338" t="s">
        <v>122</v>
      </c>
      <c r="K3338">
        <v>0</v>
      </c>
      <c r="L3338" s="84">
        <v>224046</v>
      </c>
      <c r="M3338" s="84">
        <v>448092</v>
      </c>
    </row>
    <row r="3339" spans="3:13" hidden="1" x14ac:dyDescent="0.25">
      <c r="C3339" t="s">
        <v>119</v>
      </c>
      <c r="D3339" t="s">
        <v>120</v>
      </c>
      <c r="E3339" t="s">
        <v>60</v>
      </c>
      <c r="F3339" t="s">
        <v>24</v>
      </c>
      <c r="G3339">
        <v>0</v>
      </c>
      <c r="H3339" t="s">
        <v>18</v>
      </c>
      <c r="I3339" t="s">
        <v>121</v>
      </c>
      <c r="J3339" t="s">
        <v>122</v>
      </c>
      <c r="K3339">
        <v>0</v>
      </c>
      <c r="L3339" s="84">
        <v>-83</v>
      </c>
      <c r="M3339" s="84">
        <v>0</v>
      </c>
    </row>
    <row r="3340" spans="3:13" hidden="1" x14ac:dyDescent="0.25">
      <c r="C3340" t="s">
        <v>119</v>
      </c>
      <c r="D3340" t="s">
        <v>120</v>
      </c>
      <c r="E3340" t="s">
        <v>63</v>
      </c>
      <c r="F3340" t="s">
        <v>24</v>
      </c>
      <c r="G3340">
        <v>11</v>
      </c>
      <c r="H3340" t="s">
        <v>76</v>
      </c>
      <c r="I3340" t="s">
        <v>121</v>
      </c>
      <c r="J3340" t="s">
        <v>122</v>
      </c>
      <c r="K3340">
        <v>0</v>
      </c>
      <c r="L3340" s="84">
        <v>666906</v>
      </c>
      <c r="M3340" s="84">
        <v>7335966</v>
      </c>
    </row>
    <row r="3341" spans="3:13" hidden="1" x14ac:dyDescent="0.25">
      <c r="C3341" t="s">
        <v>119</v>
      </c>
      <c r="D3341" t="s">
        <v>120</v>
      </c>
      <c r="E3341" t="s">
        <v>60</v>
      </c>
      <c r="F3341" t="s">
        <v>25</v>
      </c>
      <c r="G3341">
        <v>10</v>
      </c>
      <c r="H3341" t="s">
        <v>72</v>
      </c>
      <c r="I3341" t="s">
        <v>121</v>
      </c>
      <c r="J3341" t="s">
        <v>122</v>
      </c>
      <c r="K3341">
        <v>0</v>
      </c>
      <c r="L3341" s="84">
        <v>-3055</v>
      </c>
      <c r="M3341" s="84">
        <v>0</v>
      </c>
    </row>
    <row r="3342" spans="3:13" hidden="1" x14ac:dyDescent="0.25">
      <c r="C3342" t="s">
        <v>119</v>
      </c>
      <c r="D3342" t="s">
        <v>120</v>
      </c>
      <c r="E3342" t="s">
        <v>60</v>
      </c>
      <c r="F3342" t="s">
        <v>24</v>
      </c>
      <c r="G3342">
        <v>10</v>
      </c>
      <c r="H3342" t="s">
        <v>73</v>
      </c>
      <c r="I3342" t="s">
        <v>121</v>
      </c>
      <c r="J3342" t="s">
        <v>122</v>
      </c>
      <c r="K3342">
        <v>0</v>
      </c>
      <c r="L3342" s="84">
        <v>-38</v>
      </c>
      <c r="M3342" s="84">
        <v>0</v>
      </c>
    </row>
    <row r="3343" spans="3:13" hidden="1" x14ac:dyDescent="0.25">
      <c r="C3343" t="s">
        <v>64</v>
      </c>
      <c r="D3343" t="s">
        <v>125</v>
      </c>
      <c r="E3343" t="s">
        <v>63</v>
      </c>
      <c r="F3343" t="s">
        <v>25</v>
      </c>
      <c r="G3343">
        <v>1</v>
      </c>
      <c r="I3343" t="s">
        <v>121</v>
      </c>
      <c r="J3343" t="s">
        <v>122</v>
      </c>
      <c r="K3343">
        <v>0</v>
      </c>
      <c r="L3343" s="84">
        <v>33829</v>
      </c>
      <c r="M3343" s="84">
        <v>33829</v>
      </c>
    </row>
    <row r="3344" spans="3:13" hidden="1" x14ac:dyDescent="0.25">
      <c r="C3344" t="s">
        <v>119</v>
      </c>
      <c r="D3344" t="s">
        <v>120</v>
      </c>
      <c r="E3344" t="s">
        <v>60</v>
      </c>
      <c r="F3344" t="s">
        <v>124</v>
      </c>
      <c r="G3344">
        <v>7</v>
      </c>
      <c r="H3344" t="s">
        <v>72</v>
      </c>
      <c r="I3344" t="s">
        <v>121</v>
      </c>
      <c r="J3344" t="s">
        <v>122</v>
      </c>
      <c r="K3344">
        <v>0</v>
      </c>
      <c r="L3344" s="84">
        <v>-2992</v>
      </c>
      <c r="M3344" s="84">
        <v>0</v>
      </c>
    </row>
    <row r="3345" spans="3:13" hidden="1" x14ac:dyDescent="0.25">
      <c r="C3345" t="s">
        <v>64</v>
      </c>
      <c r="D3345" t="s">
        <v>120</v>
      </c>
      <c r="E3345" t="s">
        <v>63</v>
      </c>
      <c r="F3345" t="s">
        <v>25</v>
      </c>
      <c r="G3345">
        <v>7</v>
      </c>
      <c r="H3345" t="s">
        <v>69</v>
      </c>
      <c r="I3345" t="s">
        <v>121</v>
      </c>
      <c r="J3345" t="s">
        <v>122</v>
      </c>
      <c r="K3345">
        <v>0</v>
      </c>
      <c r="L3345" s="84">
        <v>7698004</v>
      </c>
      <c r="M3345" s="84">
        <v>53886028</v>
      </c>
    </row>
    <row r="3346" spans="3:13" hidden="1" x14ac:dyDescent="0.25">
      <c r="C3346" t="s">
        <v>119</v>
      </c>
      <c r="D3346" t="s">
        <v>120</v>
      </c>
      <c r="E3346" t="s">
        <v>60</v>
      </c>
      <c r="F3346" t="s">
        <v>25</v>
      </c>
      <c r="G3346">
        <v>6</v>
      </c>
      <c r="H3346" t="s">
        <v>17</v>
      </c>
      <c r="I3346" t="s">
        <v>62</v>
      </c>
      <c r="J3346" t="s">
        <v>66</v>
      </c>
      <c r="K3346">
        <v>1</v>
      </c>
      <c r="L3346" s="84">
        <v>-109</v>
      </c>
      <c r="M3346" s="84">
        <v>0</v>
      </c>
    </row>
    <row r="3347" spans="3:13" x14ac:dyDescent="0.25">
      <c r="C3347" t="s">
        <v>119</v>
      </c>
      <c r="D3347" t="s">
        <v>120</v>
      </c>
      <c r="E3347" t="s">
        <v>63</v>
      </c>
      <c r="F3347" t="s">
        <v>25</v>
      </c>
      <c r="G3347">
        <v>0</v>
      </c>
      <c r="H3347" t="s">
        <v>14</v>
      </c>
      <c r="I3347" t="s">
        <v>121</v>
      </c>
      <c r="J3347" t="s">
        <v>66</v>
      </c>
      <c r="K3347">
        <v>1</v>
      </c>
      <c r="L3347" s="84">
        <v>9303416</v>
      </c>
      <c r="M3347" s="84">
        <v>0</v>
      </c>
    </row>
    <row r="3348" spans="3:13" hidden="1" x14ac:dyDescent="0.25">
      <c r="C3348" t="s">
        <v>119</v>
      </c>
      <c r="D3348" t="s">
        <v>120</v>
      </c>
      <c r="E3348" t="s">
        <v>63</v>
      </c>
      <c r="F3348" t="s">
        <v>124</v>
      </c>
      <c r="G3348">
        <v>1</v>
      </c>
      <c r="H3348" t="s">
        <v>18</v>
      </c>
      <c r="I3348" t="s">
        <v>121</v>
      </c>
      <c r="J3348" t="s">
        <v>122</v>
      </c>
      <c r="K3348">
        <v>0</v>
      </c>
      <c r="L3348" s="84">
        <v>205672893</v>
      </c>
      <c r="M3348" s="84">
        <v>205672893</v>
      </c>
    </row>
    <row r="3349" spans="3:13" hidden="1" x14ac:dyDescent="0.25">
      <c r="C3349" t="s">
        <v>119</v>
      </c>
      <c r="D3349" t="s">
        <v>120</v>
      </c>
      <c r="E3349" t="s">
        <v>63</v>
      </c>
      <c r="F3349" t="s">
        <v>25</v>
      </c>
      <c r="G3349">
        <v>14</v>
      </c>
      <c r="H3349" t="s">
        <v>73</v>
      </c>
      <c r="I3349" t="s">
        <v>121</v>
      </c>
      <c r="J3349" t="s">
        <v>122</v>
      </c>
      <c r="K3349">
        <v>0</v>
      </c>
      <c r="L3349" s="84">
        <v>773898</v>
      </c>
      <c r="M3349" s="84">
        <v>10834572</v>
      </c>
    </row>
    <row r="3350" spans="3:13" hidden="1" x14ac:dyDescent="0.25">
      <c r="C3350" t="s">
        <v>119</v>
      </c>
      <c r="D3350" t="s">
        <v>120</v>
      </c>
      <c r="E3350" t="s">
        <v>63</v>
      </c>
      <c r="F3350" t="s">
        <v>123</v>
      </c>
      <c r="G3350">
        <v>0</v>
      </c>
      <c r="H3350" t="s">
        <v>14</v>
      </c>
      <c r="I3350" t="s">
        <v>121</v>
      </c>
      <c r="J3350" t="s">
        <v>66</v>
      </c>
      <c r="K3350">
        <v>1</v>
      </c>
      <c r="L3350" s="84">
        <v>1929575</v>
      </c>
      <c r="M3350" s="84">
        <v>0</v>
      </c>
    </row>
    <row r="3351" spans="3:13" hidden="1" x14ac:dyDescent="0.25">
      <c r="C3351" t="s">
        <v>119</v>
      </c>
      <c r="D3351" t="s">
        <v>120</v>
      </c>
      <c r="E3351" t="s">
        <v>63</v>
      </c>
      <c r="F3351" t="s">
        <v>24</v>
      </c>
      <c r="G3351">
        <v>8</v>
      </c>
      <c r="H3351" t="s">
        <v>70</v>
      </c>
      <c r="I3351" t="s">
        <v>121</v>
      </c>
      <c r="J3351" t="s">
        <v>122</v>
      </c>
      <c r="K3351">
        <v>0</v>
      </c>
      <c r="L3351" s="84">
        <v>63877</v>
      </c>
      <c r="M3351" s="84">
        <v>511016</v>
      </c>
    </row>
    <row r="3352" spans="3:13" hidden="1" x14ac:dyDescent="0.25">
      <c r="C3352" t="s">
        <v>64</v>
      </c>
      <c r="D3352" t="s">
        <v>120</v>
      </c>
      <c r="E3352" t="s">
        <v>63</v>
      </c>
      <c r="F3352" t="s">
        <v>25</v>
      </c>
      <c r="G3352">
        <v>3</v>
      </c>
      <c r="H3352" t="s">
        <v>67</v>
      </c>
      <c r="I3352" t="s">
        <v>121</v>
      </c>
      <c r="J3352" t="s">
        <v>122</v>
      </c>
      <c r="K3352">
        <v>0</v>
      </c>
      <c r="L3352" s="84">
        <v>23189</v>
      </c>
      <c r="M3352" s="84">
        <v>69567</v>
      </c>
    </row>
    <row r="3353" spans="3:13" hidden="1" x14ac:dyDescent="0.25">
      <c r="C3353" t="s">
        <v>64</v>
      </c>
      <c r="D3353" t="s">
        <v>120</v>
      </c>
      <c r="E3353" t="s">
        <v>63</v>
      </c>
      <c r="G3353">
        <v>-1</v>
      </c>
      <c r="H3353" t="s">
        <v>73</v>
      </c>
      <c r="I3353" t="s">
        <v>121</v>
      </c>
      <c r="J3353" t="s">
        <v>122</v>
      </c>
      <c r="K3353">
        <v>0</v>
      </c>
      <c r="L3353" s="84">
        <v>3</v>
      </c>
      <c r="M3353" s="84">
        <v>0</v>
      </c>
    </row>
    <row r="3354" spans="3:13" hidden="1" x14ac:dyDescent="0.25">
      <c r="C3354" t="s">
        <v>64</v>
      </c>
      <c r="D3354" t="s">
        <v>120</v>
      </c>
      <c r="E3354" t="s">
        <v>60</v>
      </c>
      <c r="F3354" t="s">
        <v>124</v>
      </c>
      <c r="G3354">
        <v>5</v>
      </c>
      <c r="H3354" t="s">
        <v>70</v>
      </c>
      <c r="I3354" t="s">
        <v>121</v>
      </c>
      <c r="J3354" t="s">
        <v>122</v>
      </c>
      <c r="K3354">
        <v>0</v>
      </c>
      <c r="L3354" s="84">
        <v>-52899</v>
      </c>
      <c r="M3354" s="84">
        <v>0</v>
      </c>
    </row>
    <row r="3355" spans="3:13" hidden="1" x14ac:dyDescent="0.25">
      <c r="C3355" t="s">
        <v>64</v>
      </c>
      <c r="D3355" t="s">
        <v>120</v>
      </c>
      <c r="E3355" t="s">
        <v>63</v>
      </c>
      <c r="F3355" t="s">
        <v>124</v>
      </c>
      <c r="G3355">
        <v>2</v>
      </c>
      <c r="H3355" t="s">
        <v>12</v>
      </c>
      <c r="I3355" t="s">
        <v>121</v>
      </c>
      <c r="J3355" t="s">
        <v>122</v>
      </c>
      <c r="K3355">
        <v>0</v>
      </c>
      <c r="L3355" s="84">
        <v>1201537</v>
      </c>
      <c r="M3355" s="84">
        <v>2403074</v>
      </c>
    </row>
    <row r="3356" spans="3:13" hidden="1" x14ac:dyDescent="0.25">
      <c r="C3356" t="s">
        <v>64</v>
      </c>
      <c r="D3356" t="s">
        <v>120</v>
      </c>
      <c r="E3356" t="s">
        <v>63</v>
      </c>
      <c r="F3356" t="s">
        <v>24</v>
      </c>
      <c r="G3356">
        <v>4</v>
      </c>
      <c r="H3356" t="s">
        <v>18</v>
      </c>
      <c r="I3356" t="s">
        <v>121</v>
      </c>
      <c r="J3356" t="s">
        <v>122</v>
      </c>
      <c r="K3356">
        <v>0</v>
      </c>
      <c r="L3356" s="84">
        <v>313216</v>
      </c>
      <c r="M3356" s="84">
        <v>1252864</v>
      </c>
    </row>
    <row r="3357" spans="3:13" hidden="1" x14ac:dyDescent="0.25">
      <c r="C3357" t="s">
        <v>119</v>
      </c>
      <c r="D3357" t="s">
        <v>120</v>
      </c>
      <c r="E3357" t="s">
        <v>63</v>
      </c>
      <c r="F3357" t="s">
        <v>25</v>
      </c>
      <c r="G3357">
        <v>5</v>
      </c>
      <c r="H3357" t="s">
        <v>71</v>
      </c>
      <c r="I3357" t="s">
        <v>121</v>
      </c>
      <c r="J3357" t="s">
        <v>122</v>
      </c>
      <c r="K3357">
        <v>0</v>
      </c>
      <c r="L3357" s="84">
        <v>8697428</v>
      </c>
      <c r="M3357" s="84">
        <v>43487140</v>
      </c>
    </row>
    <row r="3358" spans="3:13" hidden="1" x14ac:dyDescent="0.25">
      <c r="C3358" t="s">
        <v>64</v>
      </c>
      <c r="D3358" t="s">
        <v>120</v>
      </c>
      <c r="E3358" t="s">
        <v>63</v>
      </c>
      <c r="F3358" t="s">
        <v>123</v>
      </c>
      <c r="G3358">
        <v>6</v>
      </c>
      <c r="H3358" t="s">
        <v>17</v>
      </c>
      <c r="I3358" t="s">
        <v>121</v>
      </c>
      <c r="J3358" t="s">
        <v>122</v>
      </c>
      <c r="K3358">
        <v>0</v>
      </c>
      <c r="L3358" s="84">
        <v>59146</v>
      </c>
      <c r="M3358" s="84">
        <v>354876</v>
      </c>
    </row>
    <row r="3359" spans="3:13" hidden="1" x14ac:dyDescent="0.25">
      <c r="C3359" t="s">
        <v>119</v>
      </c>
      <c r="D3359" t="s">
        <v>120</v>
      </c>
      <c r="E3359" t="s">
        <v>63</v>
      </c>
      <c r="F3359" t="s">
        <v>24</v>
      </c>
      <c r="G3359">
        <v>15</v>
      </c>
      <c r="H3359" t="s">
        <v>17</v>
      </c>
      <c r="I3359" t="s">
        <v>121</v>
      </c>
      <c r="J3359" t="s">
        <v>122</v>
      </c>
      <c r="K3359">
        <v>0</v>
      </c>
      <c r="L3359" s="84">
        <v>1055732</v>
      </c>
      <c r="M3359" s="84">
        <v>15835980</v>
      </c>
    </row>
    <row r="3360" spans="3:13" hidden="1" x14ac:dyDescent="0.25">
      <c r="C3360" t="s">
        <v>119</v>
      </c>
      <c r="D3360" t="s">
        <v>120</v>
      </c>
      <c r="E3360" t="s">
        <v>60</v>
      </c>
      <c r="F3360" t="s">
        <v>25</v>
      </c>
      <c r="G3360">
        <v>3</v>
      </c>
      <c r="H3360" t="s">
        <v>15</v>
      </c>
      <c r="I3360" t="s">
        <v>62</v>
      </c>
      <c r="J3360" t="s">
        <v>122</v>
      </c>
      <c r="K3360">
        <v>1</v>
      </c>
      <c r="L3360" s="84">
        <v>-1194</v>
      </c>
      <c r="M3360" s="84">
        <v>0</v>
      </c>
    </row>
    <row r="3361" spans="3:13" hidden="1" x14ac:dyDescent="0.25">
      <c r="C3361" t="s">
        <v>65</v>
      </c>
      <c r="D3361" t="s">
        <v>120</v>
      </c>
      <c r="E3361" t="s">
        <v>63</v>
      </c>
      <c r="F3361" t="s">
        <v>24</v>
      </c>
      <c r="G3361">
        <v>2</v>
      </c>
      <c r="H3361" t="s">
        <v>61</v>
      </c>
      <c r="I3361" t="s">
        <v>121</v>
      </c>
      <c r="J3361" t="s">
        <v>122</v>
      </c>
      <c r="K3361">
        <v>0</v>
      </c>
      <c r="L3361" s="84">
        <v>1420424</v>
      </c>
      <c r="M3361" s="84">
        <v>2840848</v>
      </c>
    </row>
    <row r="3362" spans="3:13" hidden="1" x14ac:dyDescent="0.25">
      <c r="C3362" t="s">
        <v>119</v>
      </c>
      <c r="D3362" t="s">
        <v>120</v>
      </c>
      <c r="E3362" t="s">
        <v>63</v>
      </c>
      <c r="F3362" t="s">
        <v>123</v>
      </c>
      <c r="G3362">
        <v>2</v>
      </c>
      <c r="H3362" t="s">
        <v>14</v>
      </c>
      <c r="I3362" t="s">
        <v>121</v>
      </c>
      <c r="J3362" t="s">
        <v>122</v>
      </c>
      <c r="K3362">
        <v>0</v>
      </c>
      <c r="L3362" s="84">
        <v>6295509</v>
      </c>
      <c r="M3362" s="84">
        <v>12591018</v>
      </c>
    </row>
    <row r="3363" spans="3:13" hidden="1" x14ac:dyDescent="0.25">
      <c r="C3363" t="s">
        <v>64</v>
      </c>
      <c r="D3363" t="s">
        <v>120</v>
      </c>
      <c r="E3363" t="s">
        <v>63</v>
      </c>
      <c r="F3363" t="s">
        <v>25</v>
      </c>
      <c r="G3363">
        <v>10</v>
      </c>
      <c r="H3363" t="s">
        <v>70</v>
      </c>
      <c r="I3363" t="s">
        <v>121</v>
      </c>
      <c r="J3363" t="s">
        <v>122</v>
      </c>
      <c r="K3363">
        <v>0</v>
      </c>
      <c r="L3363" s="84">
        <v>29652</v>
      </c>
      <c r="M3363" s="84">
        <v>296520</v>
      </c>
    </row>
    <row r="3364" spans="3:13" hidden="1" x14ac:dyDescent="0.25">
      <c r="C3364" t="s">
        <v>65</v>
      </c>
      <c r="D3364" t="s">
        <v>120</v>
      </c>
      <c r="E3364" t="s">
        <v>63</v>
      </c>
      <c r="F3364" t="s">
        <v>123</v>
      </c>
      <c r="G3364">
        <v>-1</v>
      </c>
      <c r="H3364" t="s">
        <v>17</v>
      </c>
      <c r="I3364" t="s">
        <v>121</v>
      </c>
      <c r="J3364" t="s">
        <v>122</v>
      </c>
      <c r="K3364">
        <v>0</v>
      </c>
      <c r="L3364" s="84">
        <v>2348</v>
      </c>
      <c r="M3364" s="84">
        <v>0</v>
      </c>
    </row>
    <row r="3365" spans="3:13" hidden="1" x14ac:dyDescent="0.25">
      <c r="C3365" t="s">
        <v>119</v>
      </c>
      <c r="D3365" t="s">
        <v>120</v>
      </c>
      <c r="E3365" t="s">
        <v>60</v>
      </c>
      <c r="F3365" t="s">
        <v>24</v>
      </c>
      <c r="G3365">
        <v>5</v>
      </c>
      <c r="H3365" t="s">
        <v>79</v>
      </c>
      <c r="I3365" t="s">
        <v>121</v>
      </c>
      <c r="J3365" t="s">
        <v>122</v>
      </c>
      <c r="K3365">
        <v>0</v>
      </c>
      <c r="L3365" s="84">
        <v>-262</v>
      </c>
      <c r="M3365" s="84">
        <v>0</v>
      </c>
    </row>
    <row r="3366" spans="3:13" hidden="1" x14ac:dyDescent="0.25">
      <c r="C3366" t="s">
        <v>65</v>
      </c>
      <c r="D3366" t="s">
        <v>125</v>
      </c>
      <c r="E3366" t="s">
        <v>63</v>
      </c>
      <c r="F3366" t="s">
        <v>25</v>
      </c>
      <c r="G3366">
        <v>22</v>
      </c>
      <c r="I3366" t="s">
        <v>121</v>
      </c>
      <c r="J3366" t="s">
        <v>122</v>
      </c>
      <c r="K3366">
        <v>0</v>
      </c>
      <c r="L3366" s="84">
        <v>57724</v>
      </c>
      <c r="M3366" s="84">
        <v>1269928</v>
      </c>
    </row>
    <row r="3367" spans="3:13" hidden="1" x14ac:dyDescent="0.25">
      <c r="C3367" t="s">
        <v>64</v>
      </c>
      <c r="D3367" t="s">
        <v>120</v>
      </c>
      <c r="E3367" t="s">
        <v>63</v>
      </c>
      <c r="F3367" t="s">
        <v>25</v>
      </c>
      <c r="G3367">
        <v>19</v>
      </c>
      <c r="H3367" t="s">
        <v>69</v>
      </c>
      <c r="I3367" t="s">
        <v>121</v>
      </c>
      <c r="J3367" t="s">
        <v>122</v>
      </c>
      <c r="K3367">
        <v>0</v>
      </c>
      <c r="L3367" s="84">
        <v>128101</v>
      </c>
      <c r="M3367" s="84">
        <v>2433919</v>
      </c>
    </row>
    <row r="3368" spans="3:13" hidden="1" x14ac:dyDescent="0.25">
      <c r="C3368" t="s">
        <v>65</v>
      </c>
      <c r="D3368" t="s">
        <v>120</v>
      </c>
      <c r="E3368" t="s">
        <v>60</v>
      </c>
      <c r="F3368" t="s">
        <v>124</v>
      </c>
      <c r="G3368">
        <v>7</v>
      </c>
      <c r="H3368" t="s">
        <v>73</v>
      </c>
      <c r="I3368" t="s">
        <v>121</v>
      </c>
      <c r="J3368" t="s">
        <v>122</v>
      </c>
      <c r="K3368">
        <v>0</v>
      </c>
      <c r="L3368" s="84">
        <v>-5607</v>
      </c>
      <c r="M3368" s="84">
        <v>0</v>
      </c>
    </row>
    <row r="3369" spans="3:13" hidden="1" x14ac:dyDescent="0.25">
      <c r="C3369" t="s">
        <v>119</v>
      </c>
      <c r="D3369" t="s">
        <v>120</v>
      </c>
      <c r="E3369" t="s">
        <v>63</v>
      </c>
      <c r="F3369" t="s">
        <v>123</v>
      </c>
      <c r="G3369">
        <v>-1</v>
      </c>
      <c r="H3369" t="s">
        <v>73</v>
      </c>
      <c r="I3369" t="s">
        <v>121</v>
      </c>
      <c r="J3369" t="s">
        <v>122</v>
      </c>
      <c r="K3369">
        <v>0</v>
      </c>
      <c r="L3369" s="84">
        <v>20035</v>
      </c>
      <c r="M3369" s="84">
        <v>0</v>
      </c>
    </row>
    <row r="3370" spans="3:13" hidden="1" x14ac:dyDescent="0.25">
      <c r="C3370" t="s">
        <v>64</v>
      </c>
      <c r="D3370" t="s">
        <v>125</v>
      </c>
      <c r="E3370" t="s">
        <v>60</v>
      </c>
      <c r="F3370" t="s">
        <v>25</v>
      </c>
      <c r="G3370">
        <v>12</v>
      </c>
      <c r="I3370" t="s">
        <v>121</v>
      </c>
      <c r="J3370" t="s">
        <v>122</v>
      </c>
      <c r="K3370">
        <v>0</v>
      </c>
      <c r="L3370" s="84">
        <v>-128974</v>
      </c>
      <c r="M3370" s="84">
        <v>0</v>
      </c>
    </row>
    <row r="3371" spans="3:13" hidden="1" x14ac:dyDescent="0.25">
      <c r="C3371" t="s">
        <v>64</v>
      </c>
      <c r="D3371" t="s">
        <v>120</v>
      </c>
      <c r="E3371" t="s">
        <v>60</v>
      </c>
      <c r="F3371" t="s">
        <v>124</v>
      </c>
      <c r="G3371">
        <v>4</v>
      </c>
      <c r="H3371" t="s">
        <v>14</v>
      </c>
      <c r="I3371" t="s">
        <v>121</v>
      </c>
      <c r="J3371" t="s">
        <v>66</v>
      </c>
      <c r="K3371">
        <v>1</v>
      </c>
      <c r="L3371" s="84">
        <v>-378996</v>
      </c>
      <c r="M3371" s="84">
        <v>0</v>
      </c>
    </row>
    <row r="3372" spans="3:13" hidden="1" x14ac:dyDescent="0.25">
      <c r="C3372" t="s">
        <v>119</v>
      </c>
      <c r="D3372" t="s">
        <v>120</v>
      </c>
      <c r="E3372" t="s">
        <v>63</v>
      </c>
      <c r="F3372" t="s">
        <v>124</v>
      </c>
      <c r="G3372">
        <v>6</v>
      </c>
      <c r="H3372" t="s">
        <v>12</v>
      </c>
      <c r="I3372" t="s">
        <v>121</v>
      </c>
      <c r="J3372" t="s">
        <v>66</v>
      </c>
      <c r="K3372">
        <v>1</v>
      </c>
      <c r="L3372" s="84">
        <v>3751431</v>
      </c>
      <c r="M3372" s="84">
        <v>22508586</v>
      </c>
    </row>
    <row r="3373" spans="3:13" hidden="1" x14ac:dyDescent="0.25">
      <c r="C3373" t="s">
        <v>119</v>
      </c>
      <c r="D3373" t="s">
        <v>120</v>
      </c>
      <c r="E3373" t="s">
        <v>63</v>
      </c>
      <c r="F3373" t="s">
        <v>123</v>
      </c>
      <c r="G3373">
        <v>4</v>
      </c>
      <c r="H3373" t="s">
        <v>71</v>
      </c>
      <c r="I3373" t="s">
        <v>121</v>
      </c>
      <c r="J3373" t="s">
        <v>122</v>
      </c>
      <c r="K3373">
        <v>0</v>
      </c>
      <c r="L3373" s="84">
        <v>229387</v>
      </c>
      <c r="M3373" s="84">
        <v>917548</v>
      </c>
    </row>
    <row r="3374" spans="3:13" hidden="1" x14ac:dyDescent="0.25">
      <c r="C3374" t="s">
        <v>119</v>
      </c>
      <c r="D3374" t="s">
        <v>120</v>
      </c>
      <c r="E3374" t="s">
        <v>60</v>
      </c>
      <c r="F3374" t="s">
        <v>124</v>
      </c>
      <c r="G3374">
        <v>9</v>
      </c>
      <c r="H3374" t="s">
        <v>76</v>
      </c>
      <c r="I3374" t="s">
        <v>121</v>
      </c>
      <c r="J3374" t="s">
        <v>122</v>
      </c>
      <c r="K3374">
        <v>0</v>
      </c>
      <c r="L3374" s="84">
        <v>-48525</v>
      </c>
      <c r="M3374" s="84">
        <v>0</v>
      </c>
    </row>
    <row r="3375" spans="3:13" hidden="1" x14ac:dyDescent="0.25">
      <c r="C3375" t="s">
        <v>64</v>
      </c>
      <c r="D3375" t="s">
        <v>120</v>
      </c>
      <c r="E3375" t="s">
        <v>60</v>
      </c>
      <c r="F3375" t="s">
        <v>24</v>
      </c>
      <c r="G3375">
        <v>10</v>
      </c>
      <c r="H3375" t="s">
        <v>72</v>
      </c>
      <c r="I3375" t="s">
        <v>121</v>
      </c>
      <c r="J3375" t="s">
        <v>122</v>
      </c>
      <c r="K3375">
        <v>0</v>
      </c>
      <c r="L3375" s="84">
        <v>-12453</v>
      </c>
      <c r="M3375" s="84">
        <v>0</v>
      </c>
    </row>
    <row r="3376" spans="3:13" hidden="1" x14ac:dyDescent="0.25">
      <c r="C3376" t="s">
        <v>119</v>
      </c>
      <c r="D3376" t="s">
        <v>120</v>
      </c>
      <c r="E3376" t="s">
        <v>60</v>
      </c>
      <c r="F3376" t="s">
        <v>24</v>
      </c>
      <c r="G3376">
        <v>9</v>
      </c>
      <c r="H3376" t="s">
        <v>17</v>
      </c>
      <c r="I3376" t="s">
        <v>121</v>
      </c>
      <c r="J3376" t="s">
        <v>66</v>
      </c>
      <c r="K3376">
        <v>1</v>
      </c>
      <c r="L3376" s="84">
        <v>-823</v>
      </c>
      <c r="M3376" s="84">
        <v>0</v>
      </c>
    </row>
    <row r="3377" spans="3:13" hidden="1" x14ac:dyDescent="0.25">
      <c r="C3377" t="s">
        <v>119</v>
      </c>
      <c r="D3377" t="s">
        <v>120</v>
      </c>
      <c r="E3377" t="s">
        <v>60</v>
      </c>
      <c r="F3377" t="s">
        <v>25</v>
      </c>
      <c r="G3377">
        <v>16</v>
      </c>
      <c r="H3377" t="s">
        <v>18</v>
      </c>
      <c r="I3377" t="s">
        <v>121</v>
      </c>
      <c r="J3377" t="s">
        <v>122</v>
      </c>
      <c r="K3377">
        <v>0</v>
      </c>
      <c r="L3377" s="84">
        <v>-1044</v>
      </c>
      <c r="M3377" s="84">
        <v>0</v>
      </c>
    </row>
    <row r="3378" spans="3:13" hidden="1" x14ac:dyDescent="0.25">
      <c r="C3378" t="s">
        <v>119</v>
      </c>
      <c r="D3378" t="s">
        <v>120</v>
      </c>
      <c r="E3378" t="s">
        <v>60</v>
      </c>
      <c r="F3378" t="s">
        <v>124</v>
      </c>
      <c r="G3378">
        <v>-4</v>
      </c>
      <c r="H3378" t="s">
        <v>14</v>
      </c>
      <c r="I3378" t="s">
        <v>121</v>
      </c>
      <c r="J3378" t="s">
        <v>122</v>
      </c>
      <c r="K3378">
        <v>0</v>
      </c>
      <c r="L3378" s="84">
        <v>-869</v>
      </c>
      <c r="M3378" s="84">
        <v>0</v>
      </c>
    </row>
    <row r="3379" spans="3:13" hidden="1" x14ac:dyDescent="0.25">
      <c r="C3379" t="s">
        <v>119</v>
      </c>
      <c r="D3379" t="s">
        <v>120</v>
      </c>
      <c r="E3379" t="s">
        <v>60</v>
      </c>
      <c r="F3379" t="s">
        <v>25</v>
      </c>
      <c r="G3379">
        <v>9</v>
      </c>
      <c r="H3379" t="s">
        <v>14</v>
      </c>
      <c r="I3379" t="s">
        <v>121</v>
      </c>
      <c r="J3379" t="s">
        <v>122</v>
      </c>
      <c r="K3379">
        <v>0</v>
      </c>
      <c r="L3379" s="84">
        <v>-6941</v>
      </c>
      <c r="M3379" s="84">
        <v>0</v>
      </c>
    </row>
    <row r="3380" spans="3:13" hidden="1" x14ac:dyDescent="0.25">
      <c r="C3380" t="s">
        <v>119</v>
      </c>
      <c r="D3380" t="s">
        <v>120</v>
      </c>
      <c r="E3380" t="s">
        <v>60</v>
      </c>
      <c r="F3380" t="s">
        <v>25</v>
      </c>
      <c r="G3380">
        <v>0</v>
      </c>
      <c r="H3380" t="s">
        <v>68</v>
      </c>
      <c r="I3380" t="s">
        <v>121</v>
      </c>
      <c r="J3380" t="s">
        <v>122</v>
      </c>
      <c r="K3380">
        <v>0</v>
      </c>
      <c r="L3380" s="84">
        <v>-2609</v>
      </c>
      <c r="M3380" s="84">
        <v>0</v>
      </c>
    </row>
    <row r="3381" spans="3:13" hidden="1" x14ac:dyDescent="0.25">
      <c r="C3381" t="s">
        <v>119</v>
      </c>
      <c r="D3381" t="s">
        <v>120</v>
      </c>
      <c r="E3381" t="s">
        <v>63</v>
      </c>
      <c r="F3381" t="s">
        <v>124</v>
      </c>
      <c r="G3381">
        <v>0</v>
      </c>
      <c r="H3381" t="s">
        <v>75</v>
      </c>
      <c r="I3381" t="s">
        <v>62</v>
      </c>
      <c r="J3381" t="s">
        <v>122</v>
      </c>
      <c r="K3381">
        <v>1</v>
      </c>
      <c r="L3381" s="84">
        <v>45197</v>
      </c>
      <c r="M3381" s="84">
        <v>0</v>
      </c>
    </row>
    <row r="3382" spans="3:13" hidden="1" x14ac:dyDescent="0.25">
      <c r="C3382" t="s">
        <v>65</v>
      </c>
      <c r="D3382" t="s">
        <v>120</v>
      </c>
      <c r="E3382" t="s">
        <v>60</v>
      </c>
      <c r="F3382" t="s">
        <v>123</v>
      </c>
      <c r="G3382">
        <v>0</v>
      </c>
      <c r="H3382" t="s">
        <v>61</v>
      </c>
      <c r="I3382" t="s">
        <v>121</v>
      </c>
      <c r="J3382" t="s">
        <v>122</v>
      </c>
      <c r="K3382">
        <v>0</v>
      </c>
      <c r="L3382" s="84">
        <v>-1894</v>
      </c>
      <c r="M3382" s="84">
        <v>0</v>
      </c>
    </row>
    <row r="3383" spans="3:13" hidden="1" x14ac:dyDescent="0.25">
      <c r="C3383" t="s">
        <v>65</v>
      </c>
      <c r="D3383" t="s">
        <v>120</v>
      </c>
      <c r="E3383" t="s">
        <v>60</v>
      </c>
      <c r="F3383" t="s">
        <v>25</v>
      </c>
      <c r="G3383">
        <v>5</v>
      </c>
      <c r="H3383" t="s">
        <v>72</v>
      </c>
      <c r="I3383" t="s">
        <v>121</v>
      </c>
      <c r="J3383" t="s">
        <v>122</v>
      </c>
      <c r="K3383">
        <v>0</v>
      </c>
      <c r="L3383" s="84">
        <v>-89698</v>
      </c>
      <c r="M3383" s="84">
        <v>0</v>
      </c>
    </row>
    <row r="3384" spans="3:13" hidden="1" x14ac:dyDescent="0.25">
      <c r="C3384" t="s">
        <v>64</v>
      </c>
      <c r="D3384" t="s">
        <v>120</v>
      </c>
      <c r="E3384" t="s">
        <v>60</v>
      </c>
      <c r="F3384" t="s">
        <v>124</v>
      </c>
      <c r="G3384">
        <v>6</v>
      </c>
      <c r="H3384" t="s">
        <v>76</v>
      </c>
      <c r="I3384" t="s">
        <v>121</v>
      </c>
      <c r="J3384" t="s">
        <v>122</v>
      </c>
      <c r="K3384">
        <v>0</v>
      </c>
      <c r="L3384" s="84">
        <v>-959</v>
      </c>
      <c r="M3384" s="84">
        <v>0</v>
      </c>
    </row>
    <row r="3385" spans="3:13" hidden="1" x14ac:dyDescent="0.25">
      <c r="C3385" t="s">
        <v>119</v>
      </c>
      <c r="D3385" t="s">
        <v>120</v>
      </c>
      <c r="E3385" t="s">
        <v>63</v>
      </c>
      <c r="F3385" t="s">
        <v>25</v>
      </c>
      <c r="G3385">
        <v>-4</v>
      </c>
      <c r="H3385" t="s">
        <v>72</v>
      </c>
      <c r="I3385" t="s">
        <v>121</v>
      </c>
      <c r="J3385" t="s">
        <v>122</v>
      </c>
      <c r="K3385">
        <v>0</v>
      </c>
      <c r="L3385" s="84">
        <v>3371</v>
      </c>
      <c r="M3385" s="84">
        <v>0</v>
      </c>
    </row>
    <row r="3386" spans="3:13" hidden="1" x14ac:dyDescent="0.25">
      <c r="C3386" t="s">
        <v>64</v>
      </c>
      <c r="D3386" t="s">
        <v>120</v>
      </c>
      <c r="E3386" t="s">
        <v>63</v>
      </c>
      <c r="F3386" t="s">
        <v>25</v>
      </c>
      <c r="G3386">
        <v>8</v>
      </c>
      <c r="H3386" t="s">
        <v>70</v>
      </c>
      <c r="I3386" t="s">
        <v>121</v>
      </c>
      <c r="J3386" t="s">
        <v>122</v>
      </c>
      <c r="K3386">
        <v>0</v>
      </c>
      <c r="L3386" s="84">
        <v>173026</v>
      </c>
      <c r="M3386" s="84">
        <v>1384208</v>
      </c>
    </row>
    <row r="3387" spans="3:13" hidden="1" x14ac:dyDescent="0.25">
      <c r="C3387" t="s">
        <v>65</v>
      </c>
      <c r="D3387" t="s">
        <v>120</v>
      </c>
      <c r="E3387" t="s">
        <v>60</v>
      </c>
      <c r="F3387" t="s">
        <v>124</v>
      </c>
      <c r="G3387">
        <v>1</v>
      </c>
      <c r="H3387" t="s">
        <v>75</v>
      </c>
      <c r="I3387" t="s">
        <v>121</v>
      </c>
      <c r="J3387" t="s">
        <v>122</v>
      </c>
      <c r="K3387">
        <v>0</v>
      </c>
      <c r="L3387" s="84">
        <v>-856568</v>
      </c>
      <c r="M3387" s="84">
        <v>0</v>
      </c>
    </row>
    <row r="3388" spans="3:13" hidden="1" x14ac:dyDescent="0.25">
      <c r="C3388" t="s">
        <v>64</v>
      </c>
      <c r="D3388" t="s">
        <v>120</v>
      </c>
      <c r="E3388" t="s">
        <v>63</v>
      </c>
      <c r="F3388" t="s">
        <v>123</v>
      </c>
      <c r="G3388">
        <v>-4</v>
      </c>
      <c r="H3388" t="s">
        <v>14</v>
      </c>
      <c r="I3388" t="s">
        <v>121</v>
      </c>
      <c r="J3388" t="s">
        <v>122</v>
      </c>
      <c r="K3388">
        <v>0</v>
      </c>
      <c r="L3388" s="84">
        <v>3792</v>
      </c>
      <c r="M3388" s="84">
        <v>0</v>
      </c>
    </row>
    <row r="3389" spans="3:13" hidden="1" x14ac:dyDescent="0.25">
      <c r="C3389" t="s">
        <v>119</v>
      </c>
      <c r="D3389" t="s">
        <v>120</v>
      </c>
      <c r="E3389" t="s">
        <v>63</v>
      </c>
      <c r="F3389" t="s">
        <v>124</v>
      </c>
      <c r="G3389">
        <v>3</v>
      </c>
      <c r="H3389" t="s">
        <v>15</v>
      </c>
      <c r="I3389" t="s">
        <v>121</v>
      </c>
      <c r="J3389" t="s">
        <v>66</v>
      </c>
      <c r="K3389">
        <v>1</v>
      </c>
      <c r="L3389" s="84">
        <v>4599996</v>
      </c>
      <c r="M3389" s="84">
        <v>13799988</v>
      </c>
    </row>
    <row r="3390" spans="3:13" hidden="1" x14ac:dyDescent="0.25">
      <c r="C3390" t="s">
        <v>64</v>
      </c>
      <c r="D3390" t="s">
        <v>120</v>
      </c>
      <c r="E3390" t="s">
        <v>60</v>
      </c>
      <c r="F3390" t="s">
        <v>124</v>
      </c>
      <c r="G3390">
        <v>5</v>
      </c>
      <c r="H3390" t="s">
        <v>12</v>
      </c>
      <c r="I3390" t="s">
        <v>62</v>
      </c>
      <c r="J3390" t="s">
        <v>66</v>
      </c>
      <c r="K3390">
        <v>1</v>
      </c>
      <c r="L3390" s="84">
        <v>-5689</v>
      </c>
      <c r="M3390" s="84">
        <v>0</v>
      </c>
    </row>
    <row r="3391" spans="3:13" hidden="1" x14ac:dyDescent="0.25">
      <c r="C3391" t="s">
        <v>119</v>
      </c>
      <c r="D3391" t="s">
        <v>120</v>
      </c>
      <c r="E3391" t="s">
        <v>60</v>
      </c>
      <c r="F3391" t="s">
        <v>124</v>
      </c>
      <c r="G3391">
        <v>0</v>
      </c>
      <c r="H3391" t="s">
        <v>12</v>
      </c>
      <c r="I3391" t="s">
        <v>121</v>
      </c>
      <c r="J3391" t="s">
        <v>122</v>
      </c>
      <c r="K3391">
        <v>0</v>
      </c>
      <c r="L3391" s="84">
        <v>-56499</v>
      </c>
      <c r="M3391" s="84">
        <v>0</v>
      </c>
    </row>
    <row r="3392" spans="3:13" hidden="1" x14ac:dyDescent="0.25">
      <c r="C3392" t="s">
        <v>65</v>
      </c>
      <c r="D3392" t="s">
        <v>120</v>
      </c>
      <c r="E3392" t="s">
        <v>63</v>
      </c>
      <c r="F3392" t="s">
        <v>124</v>
      </c>
      <c r="G3392">
        <v>1</v>
      </c>
      <c r="H3392" t="s">
        <v>73</v>
      </c>
      <c r="I3392" t="s">
        <v>121</v>
      </c>
      <c r="J3392" t="s">
        <v>122</v>
      </c>
      <c r="K3392">
        <v>0</v>
      </c>
      <c r="L3392" s="84">
        <v>277098</v>
      </c>
      <c r="M3392" s="84">
        <v>277098</v>
      </c>
    </row>
    <row r="3393" spans="3:13" hidden="1" x14ac:dyDescent="0.25">
      <c r="C3393" t="s">
        <v>64</v>
      </c>
      <c r="D3393" t="s">
        <v>120</v>
      </c>
      <c r="E3393" t="s">
        <v>63</v>
      </c>
      <c r="F3393" t="s">
        <v>124</v>
      </c>
      <c r="G3393">
        <v>5</v>
      </c>
      <c r="H3393" t="s">
        <v>18</v>
      </c>
      <c r="I3393" t="s">
        <v>121</v>
      </c>
      <c r="J3393" t="s">
        <v>122</v>
      </c>
      <c r="K3393">
        <v>0</v>
      </c>
      <c r="L3393" s="84">
        <v>5894559</v>
      </c>
      <c r="M3393" s="84">
        <v>29472795</v>
      </c>
    </row>
    <row r="3394" spans="3:13" hidden="1" x14ac:dyDescent="0.25">
      <c r="C3394" t="s">
        <v>65</v>
      </c>
      <c r="D3394" t="s">
        <v>127</v>
      </c>
      <c r="E3394" t="s">
        <v>63</v>
      </c>
      <c r="F3394" t="s">
        <v>25</v>
      </c>
      <c r="G3394">
        <v>3</v>
      </c>
      <c r="H3394" t="s">
        <v>17</v>
      </c>
      <c r="I3394" t="s">
        <v>121</v>
      </c>
      <c r="J3394" t="s">
        <v>122</v>
      </c>
      <c r="K3394">
        <v>0</v>
      </c>
      <c r="L3394" s="84">
        <v>2685388</v>
      </c>
      <c r="M3394" s="84">
        <v>8056164</v>
      </c>
    </row>
    <row r="3395" spans="3:13" hidden="1" x14ac:dyDescent="0.25">
      <c r="C3395" t="s">
        <v>64</v>
      </c>
      <c r="D3395" t="s">
        <v>120</v>
      </c>
      <c r="E3395" t="s">
        <v>60</v>
      </c>
      <c r="F3395" t="s">
        <v>25</v>
      </c>
      <c r="G3395">
        <v>10</v>
      </c>
      <c r="H3395" t="s">
        <v>61</v>
      </c>
      <c r="I3395" t="s">
        <v>121</v>
      </c>
      <c r="J3395" t="s">
        <v>122</v>
      </c>
      <c r="K3395">
        <v>0</v>
      </c>
      <c r="L3395" s="84">
        <v>-10169</v>
      </c>
      <c r="M3395" s="84">
        <v>0</v>
      </c>
    </row>
    <row r="3396" spans="3:13" hidden="1" x14ac:dyDescent="0.25">
      <c r="C3396" t="s">
        <v>119</v>
      </c>
      <c r="D3396" t="s">
        <v>120</v>
      </c>
      <c r="E3396" t="s">
        <v>63</v>
      </c>
      <c r="F3396" t="s">
        <v>124</v>
      </c>
      <c r="G3396">
        <v>15</v>
      </c>
      <c r="H3396" t="s">
        <v>14</v>
      </c>
      <c r="I3396" t="s">
        <v>121</v>
      </c>
      <c r="J3396" t="s">
        <v>66</v>
      </c>
      <c r="K3396">
        <v>1</v>
      </c>
      <c r="L3396" s="84">
        <v>1505107</v>
      </c>
      <c r="M3396" s="84">
        <v>22576605</v>
      </c>
    </row>
    <row r="3397" spans="3:13" hidden="1" x14ac:dyDescent="0.25">
      <c r="C3397" t="s">
        <v>119</v>
      </c>
      <c r="D3397" t="s">
        <v>120</v>
      </c>
      <c r="E3397" t="s">
        <v>63</v>
      </c>
      <c r="F3397" t="s">
        <v>123</v>
      </c>
      <c r="G3397">
        <v>7</v>
      </c>
      <c r="H3397" t="s">
        <v>17</v>
      </c>
      <c r="I3397" t="s">
        <v>121</v>
      </c>
      <c r="J3397" t="s">
        <v>122</v>
      </c>
      <c r="K3397">
        <v>0</v>
      </c>
      <c r="L3397" s="84">
        <v>266055</v>
      </c>
      <c r="M3397" s="84">
        <v>1862385</v>
      </c>
    </row>
    <row r="3398" spans="3:13" hidden="1" x14ac:dyDescent="0.25">
      <c r="C3398" t="s">
        <v>119</v>
      </c>
      <c r="D3398" t="s">
        <v>120</v>
      </c>
      <c r="E3398" t="s">
        <v>63</v>
      </c>
      <c r="F3398" t="s">
        <v>25</v>
      </c>
      <c r="G3398">
        <v>4</v>
      </c>
      <c r="H3398" t="s">
        <v>71</v>
      </c>
      <c r="I3398" t="s">
        <v>121</v>
      </c>
      <c r="J3398" t="s">
        <v>122</v>
      </c>
      <c r="K3398">
        <v>0</v>
      </c>
      <c r="L3398" s="84">
        <v>87470</v>
      </c>
      <c r="M3398" s="84">
        <v>349880</v>
      </c>
    </row>
    <row r="3399" spans="3:13" hidden="1" x14ac:dyDescent="0.25">
      <c r="C3399" t="s">
        <v>64</v>
      </c>
      <c r="D3399" t="s">
        <v>120</v>
      </c>
      <c r="E3399" t="s">
        <v>60</v>
      </c>
      <c r="F3399" t="s">
        <v>24</v>
      </c>
      <c r="G3399">
        <v>12</v>
      </c>
      <c r="H3399" t="s">
        <v>67</v>
      </c>
      <c r="I3399" t="s">
        <v>121</v>
      </c>
      <c r="J3399" t="s">
        <v>122</v>
      </c>
      <c r="K3399">
        <v>0</v>
      </c>
      <c r="L3399" s="84">
        <v>-4865</v>
      </c>
      <c r="M3399" s="84">
        <v>0</v>
      </c>
    </row>
    <row r="3400" spans="3:13" hidden="1" x14ac:dyDescent="0.25">
      <c r="C3400" t="s">
        <v>119</v>
      </c>
      <c r="D3400" t="s">
        <v>120</v>
      </c>
      <c r="E3400" t="s">
        <v>63</v>
      </c>
      <c r="F3400" t="s">
        <v>123</v>
      </c>
      <c r="G3400">
        <v>10</v>
      </c>
      <c r="H3400" t="s">
        <v>61</v>
      </c>
      <c r="I3400" t="s">
        <v>121</v>
      </c>
      <c r="J3400" t="s">
        <v>122</v>
      </c>
      <c r="K3400">
        <v>0</v>
      </c>
      <c r="L3400" s="84">
        <v>267473</v>
      </c>
      <c r="M3400" s="84">
        <v>2674730</v>
      </c>
    </row>
    <row r="3401" spans="3:13" hidden="1" x14ac:dyDescent="0.25">
      <c r="C3401" t="s">
        <v>119</v>
      </c>
      <c r="D3401" t="s">
        <v>120</v>
      </c>
      <c r="E3401" t="s">
        <v>60</v>
      </c>
      <c r="F3401" t="s">
        <v>24</v>
      </c>
      <c r="G3401">
        <v>10</v>
      </c>
      <c r="H3401" t="s">
        <v>67</v>
      </c>
      <c r="I3401" t="s">
        <v>121</v>
      </c>
      <c r="J3401" t="s">
        <v>122</v>
      </c>
      <c r="K3401">
        <v>0</v>
      </c>
      <c r="L3401" s="84">
        <v>-8018</v>
      </c>
      <c r="M3401" s="84">
        <v>0</v>
      </c>
    </row>
    <row r="3402" spans="3:13" hidden="1" x14ac:dyDescent="0.25">
      <c r="C3402" t="s">
        <v>65</v>
      </c>
      <c r="D3402" t="s">
        <v>120</v>
      </c>
      <c r="E3402" t="s">
        <v>60</v>
      </c>
      <c r="F3402" t="s">
        <v>25</v>
      </c>
      <c r="G3402">
        <v>9</v>
      </c>
      <c r="H3402" t="s">
        <v>18</v>
      </c>
      <c r="I3402" t="s">
        <v>121</v>
      </c>
      <c r="J3402" t="s">
        <v>122</v>
      </c>
      <c r="K3402">
        <v>0</v>
      </c>
      <c r="L3402" s="84">
        <v>-761308</v>
      </c>
      <c r="M3402" s="84">
        <v>0</v>
      </c>
    </row>
    <row r="3403" spans="3:13" hidden="1" x14ac:dyDescent="0.25">
      <c r="C3403" t="s">
        <v>64</v>
      </c>
      <c r="D3403" t="s">
        <v>120</v>
      </c>
      <c r="E3403" t="s">
        <v>63</v>
      </c>
      <c r="F3403" t="s">
        <v>123</v>
      </c>
      <c r="G3403">
        <v>3</v>
      </c>
      <c r="H3403" t="s">
        <v>74</v>
      </c>
      <c r="I3403" t="s">
        <v>121</v>
      </c>
      <c r="J3403" t="s">
        <v>122</v>
      </c>
      <c r="K3403">
        <v>0</v>
      </c>
      <c r="L3403" s="84">
        <v>31946</v>
      </c>
      <c r="M3403" s="84">
        <v>95838</v>
      </c>
    </row>
    <row r="3404" spans="3:13" hidden="1" x14ac:dyDescent="0.25">
      <c r="C3404" t="s">
        <v>64</v>
      </c>
      <c r="D3404" t="s">
        <v>120</v>
      </c>
      <c r="E3404" t="s">
        <v>60</v>
      </c>
      <c r="F3404" t="s">
        <v>124</v>
      </c>
      <c r="G3404">
        <v>3</v>
      </c>
      <c r="H3404" t="s">
        <v>14</v>
      </c>
      <c r="I3404" t="s">
        <v>121</v>
      </c>
      <c r="J3404" t="s">
        <v>122</v>
      </c>
      <c r="K3404">
        <v>0</v>
      </c>
      <c r="L3404" s="84">
        <v>-744135</v>
      </c>
      <c r="M3404" s="84">
        <v>0</v>
      </c>
    </row>
    <row r="3405" spans="3:13" hidden="1" x14ac:dyDescent="0.25">
      <c r="C3405" t="s">
        <v>65</v>
      </c>
      <c r="D3405" t="s">
        <v>120</v>
      </c>
      <c r="E3405" t="s">
        <v>60</v>
      </c>
      <c r="F3405" t="s">
        <v>123</v>
      </c>
      <c r="G3405">
        <v>-4</v>
      </c>
      <c r="H3405" t="s">
        <v>12</v>
      </c>
      <c r="I3405" t="s">
        <v>62</v>
      </c>
      <c r="J3405" t="s">
        <v>66</v>
      </c>
      <c r="K3405">
        <v>1</v>
      </c>
      <c r="L3405" s="84">
        <v>-2376</v>
      </c>
      <c r="M3405" s="84">
        <v>0</v>
      </c>
    </row>
    <row r="3406" spans="3:13" hidden="1" x14ac:dyDescent="0.25">
      <c r="C3406" t="s">
        <v>65</v>
      </c>
      <c r="D3406" t="s">
        <v>120</v>
      </c>
      <c r="E3406" t="s">
        <v>60</v>
      </c>
      <c r="F3406" t="s">
        <v>124</v>
      </c>
      <c r="G3406">
        <v>0</v>
      </c>
      <c r="H3406" t="s">
        <v>14</v>
      </c>
      <c r="I3406" t="s">
        <v>121</v>
      </c>
      <c r="J3406" t="s">
        <v>122</v>
      </c>
      <c r="K3406">
        <v>0</v>
      </c>
      <c r="L3406" s="84">
        <v>-1241675</v>
      </c>
      <c r="M3406" s="84">
        <v>0</v>
      </c>
    </row>
    <row r="3407" spans="3:13" hidden="1" x14ac:dyDescent="0.25">
      <c r="C3407" t="s">
        <v>119</v>
      </c>
      <c r="D3407" t="s">
        <v>120</v>
      </c>
      <c r="E3407" t="s">
        <v>63</v>
      </c>
      <c r="F3407" t="s">
        <v>25</v>
      </c>
      <c r="G3407">
        <v>12</v>
      </c>
      <c r="H3407" t="s">
        <v>73</v>
      </c>
      <c r="I3407" t="s">
        <v>121</v>
      </c>
      <c r="J3407" t="s">
        <v>122</v>
      </c>
      <c r="K3407">
        <v>0</v>
      </c>
      <c r="L3407" s="84">
        <v>163367</v>
      </c>
      <c r="M3407" s="84">
        <v>1960404</v>
      </c>
    </row>
    <row r="3408" spans="3:13" hidden="1" x14ac:dyDescent="0.25">
      <c r="C3408" t="s">
        <v>119</v>
      </c>
      <c r="D3408" t="s">
        <v>120</v>
      </c>
      <c r="E3408" t="s">
        <v>63</v>
      </c>
      <c r="F3408" t="s">
        <v>123</v>
      </c>
      <c r="G3408">
        <v>5</v>
      </c>
      <c r="H3408" t="s">
        <v>18</v>
      </c>
      <c r="I3408" t="s">
        <v>121</v>
      </c>
      <c r="J3408" t="s">
        <v>66</v>
      </c>
      <c r="K3408">
        <v>1</v>
      </c>
      <c r="L3408" s="84">
        <v>440231</v>
      </c>
      <c r="M3408" s="84">
        <v>2201155</v>
      </c>
    </row>
    <row r="3409" spans="3:13" hidden="1" x14ac:dyDescent="0.25">
      <c r="C3409" t="s">
        <v>119</v>
      </c>
      <c r="D3409" t="s">
        <v>120</v>
      </c>
      <c r="E3409" t="s">
        <v>60</v>
      </c>
      <c r="F3409" t="s">
        <v>124</v>
      </c>
      <c r="G3409">
        <v>1</v>
      </c>
      <c r="H3409" t="s">
        <v>70</v>
      </c>
      <c r="I3409" t="s">
        <v>121</v>
      </c>
      <c r="J3409" t="s">
        <v>122</v>
      </c>
      <c r="K3409">
        <v>0</v>
      </c>
      <c r="L3409" s="84">
        <v>-10260</v>
      </c>
      <c r="M3409" s="84">
        <v>0</v>
      </c>
    </row>
    <row r="3410" spans="3:13" hidden="1" x14ac:dyDescent="0.25">
      <c r="C3410" t="s">
        <v>119</v>
      </c>
      <c r="D3410" t="s">
        <v>120</v>
      </c>
      <c r="E3410" t="s">
        <v>60</v>
      </c>
      <c r="F3410" t="s">
        <v>124</v>
      </c>
      <c r="G3410">
        <v>9</v>
      </c>
      <c r="H3410" t="s">
        <v>68</v>
      </c>
      <c r="I3410" t="s">
        <v>121</v>
      </c>
      <c r="J3410" t="s">
        <v>122</v>
      </c>
      <c r="K3410">
        <v>0</v>
      </c>
      <c r="L3410" s="84">
        <v>-1069</v>
      </c>
      <c r="M3410" s="84">
        <v>0</v>
      </c>
    </row>
    <row r="3411" spans="3:13" hidden="1" x14ac:dyDescent="0.25">
      <c r="C3411" t="s">
        <v>65</v>
      </c>
      <c r="D3411" t="s">
        <v>120</v>
      </c>
      <c r="E3411" t="s">
        <v>60</v>
      </c>
      <c r="F3411" t="s">
        <v>25</v>
      </c>
      <c r="G3411">
        <v>0</v>
      </c>
      <c r="H3411" t="s">
        <v>75</v>
      </c>
      <c r="I3411" t="s">
        <v>121</v>
      </c>
      <c r="J3411" t="s">
        <v>122</v>
      </c>
      <c r="K3411">
        <v>0</v>
      </c>
      <c r="L3411" s="84">
        <v>-12121</v>
      </c>
      <c r="M3411" s="84">
        <v>0</v>
      </c>
    </row>
    <row r="3412" spans="3:13" hidden="1" x14ac:dyDescent="0.25">
      <c r="C3412" t="s">
        <v>119</v>
      </c>
      <c r="D3412" t="s">
        <v>120</v>
      </c>
      <c r="E3412" t="s">
        <v>60</v>
      </c>
      <c r="F3412" t="s">
        <v>24</v>
      </c>
      <c r="G3412">
        <v>14</v>
      </c>
      <c r="H3412" t="s">
        <v>18</v>
      </c>
      <c r="I3412" t="s">
        <v>121</v>
      </c>
      <c r="J3412" t="s">
        <v>122</v>
      </c>
      <c r="K3412">
        <v>0</v>
      </c>
      <c r="L3412" s="84">
        <v>-1048</v>
      </c>
      <c r="M3412" s="84">
        <v>0</v>
      </c>
    </row>
    <row r="3413" spans="3:13" hidden="1" x14ac:dyDescent="0.25">
      <c r="C3413" t="s">
        <v>64</v>
      </c>
      <c r="D3413" t="s">
        <v>125</v>
      </c>
      <c r="E3413" t="s">
        <v>60</v>
      </c>
      <c r="F3413" t="s">
        <v>25</v>
      </c>
      <c r="G3413">
        <v>18</v>
      </c>
      <c r="I3413" t="s">
        <v>121</v>
      </c>
      <c r="J3413" t="s">
        <v>122</v>
      </c>
      <c r="K3413">
        <v>0</v>
      </c>
      <c r="L3413" s="84">
        <v>-1028</v>
      </c>
      <c r="M3413" s="84">
        <v>0</v>
      </c>
    </row>
    <row r="3414" spans="3:13" hidden="1" x14ac:dyDescent="0.25">
      <c r="C3414" t="s">
        <v>65</v>
      </c>
      <c r="D3414" t="s">
        <v>120</v>
      </c>
      <c r="E3414" t="s">
        <v>60</v>
      </c>
      <c r="F3414" t="s">
        <v>124</v>
      </c>
      <c r="G3414">
        <v>-1</v>
      </c>
      <c r="H3414" t="s">
        <v>13</v>
      </c>
      <c r="I3414" t="s">
        <v>121</v>
      </c>
      <c r="J3414" t="s">
        <v>122</v>
      </c>
      <c r="K3414">
        <v>0</v>
      </c>
      <c r="L3414" s="84">
        <v>-34930</v>
      </c>
      <c r="M3414" s="84">
        <v>0</v>
      </c>
    </row>
    <row r="3415" spans="3:13" hidden="1" x14ac:dyDescent="0.25">
      <c r="C3415" t="s">
        <v>65</v>
      </c>
      <c r="D3415" t="s">
        <v>120</v>
      </c>
      <c r="E3415" t="s">
        <v>63</v>
      </c>
      <c r="F3415" t="s">
        <v>25</v>
      </c>
      <c r="G3415">
        <v>-4</v>
      </c>
      <c r="H3415" t="s">
        <v>69</v>
      </c>
      <c r="I3415" t="s">
        <v>121</v>
      </c>
      <c r="J3415" t="s">
        <v>122</v>
      </c>
      <c r="K3415">
        <v>0</v>
      </c>
      <c r="L3415" s="84">
        <v>105358</v>
      </c>
      <c r="M3415" s="84">
        <v>0</v>
      </c>
    </row>
    <row r="3416" spans="3:13" hidden="1" x14ac:dyDescent="0.25">
      <c r="C3416" t="s">
        <v>64</v>
      </c>
      <c r="D3416" t="s">
        <v>120</v>
      </c>
      <c r="E3416" t="s">
        <v>63</v>
      </c>
      <c r="F3416" t="s">
        <v>124</v>
      </c>
      <c r="G3416">
        <v>0</v>
      </c>
      <c r="H3416" t="s">
        <v>13</v>
      </c>
      <c r="I3416" t="s">
        <v>121</v>
      </c>
      <c r="J3416" t="s">
        <v>122</v>
      </c>
      <c r="K3416">
        <v>0</v>
      </c>
      <c r="L3416" s="84">
        <v>15355</v>
      </c>
      <c r="M3416" s="84">
        <v>0</v>
      </c>
    </row>
    <row r="3417" spans="3:13" hidden="1" x14ac:dyDescent="0.25">
      <c r="C3417" t="s">
        <v>119</v>
      </c>
      <c r="D3417" t="s">
        <v>120</v>
      </c>
      <c r="E3417" t="s">
        <v>60</v>
      </c>
      <c r="F3417" t="s">
        <v>25</v>
      </c>
      <c r="G3417">
        <v>5</v>
      </c>
      <c r="H3417" t="s">
        <v>17</v>
      </c>
      <c r="I3417" t="s">
        <v>121</v>
      </c>
      <c r="J3417" t="s">
        <v>66</v>
      </c>
      <c r="K3417">
        <v>1</v>
      </c>
      <c r="L3417" s="84">
        <v>-45</v>
      </c>
      <c r="M3417" s="84">
        <v>0</v>
      </c>
    </row>
    <row r="3418" spans="3:13" hidden="1" x14ac:dyDescent="0.25">
      <c r="C3418" t="s">
        <v>65</v>
      </c>
      <c r="D3418" t="s">
        <v>120</v>
      </c>
      <c r="E3418" t="s">
        <v>63</v>
      </c>
      <c r="F3418" t="s">
        <v>24</v>
      </c>
      <c r="G3418">
        <v>2</v>
      </c>
      <c r="H3418" t="s">
        <v>71</v>
      </c>
      <c r="I3418" t="s">
        <v>121</v>
      </c>
      <c r="J3418" t="s">
        <v>122</v>
      </c>
      <c r="K3418">
        <v>0</v>
      </c>
      <c r="L3418" s="84">
        <v>18232</v>
      </c>
      <c r="M3418" s="84">
        <v>36464</v>
      </c>
    </row>
    <row r="3419" spans="3:13" hidden="1" x14ac:dyDescent="0.25">
      <c r="C3419" t="s">
        <v>119</v>
      </c>
      <c r="D3419" t="s">
        <v>120</v>
      </c>
      <c r="E3419" t="s">
        <v>63</v>
      </c>
      <c r="F3419" t="s">
        <v>25</v>
      </c>
      <c r="G3419">
        <v>2</v>
      </c>
      <c r="H3419" t="s">
        <v>70</v>
      </c>
      <c r="I3419" t="s">
        <v>121</v>
      </c>
      <c r="J3419" t="s">
        <v>122</v>
      </c>
      <c r="K3419">
        <v>0</v>
      </c>
      <c r="L3419" s="84">
        <v>66643</v>
      </c>
      <c r="M3419" s="84">
        <v>133286</v>
      </c>
    </row>
    <row r="3420" spans="3:13" hidden="1" x14ac:dyDescent="0.25">
      <c r="C3420" t="s">
        <v>64</v>
      </c>
      <c r="D3420" t="s">
        <v>120</v>
      </c>
      <c r="E3420" t="s">
        <v>60</v>
      </c>
      <c r="F3420" t="s">
        <v>25</v>
      </c>
      <c r="G3420">
        <v>5</v>
      </c>
      <c r="H3420" t="s">
        <v>18</v>
      </c>
      <c r="I3420" t="s">
        <v>121</v>
      </c>
      <c r="J3420" t="s">
        <v>66</v>
      </c>
      <c r="K3420">
        <v>1</v>
      </c>
      <c r="L3420" s="84">
        <v>-12880</v>
      </c>
      <c r="M3420" s="84">
        <v>0</v>
      </c>
    </row>
    <row r="3421" spans="3:13" hidden="1" x14ac:dyDescent="0.25">
      <c r="C3421" t="s">
        <v>119</v>
      </c>
      <c r="D3421" t="s">
        <v>120</v>
      </c>
      <c r="E3421" t="s">
        <v>60</v>
      </c>
      <c r="F3421" t="s">
        <v>24</v>
      </c>
      <c r="G3421">
        <v>5</v>
      </c>
      <c r="H3421" t="s">
        <v>70</v>
      </c>
      <c r="I3421" t="s">
        <v>121</v>
      </c>
      <c r="J3421" t="s">
        <v>122</v>
      </c>
      <c r="K3421">
        <v>0</v>
      </c>
      <c r="L3421" s="84">
        <v>-89</v>
      </c>
      <c r="M3421" s="84">
        <v>0</v>
      </c>
    </row>
    <row r="3422" spans="3:13" hidden="1" x14ac:dyDescent="0.25">
      <c r="C3422" t="s">
        <v>64</v>
      </c>
      <c r="D3422" t="s">
        <v>120</v>
      </c>
      <c r="E3422" t="s">
        <v>60</v>
      </c>
      <c r="F3422" t="s">
        <v>123</v>
      </c>
      <c r="G3422">
        <v>1</v>
      </c>
      <c r="H3422" t="s">
        <v>75</v>
      </c>
      <c r="I3422" t="s">
        <v>121</v>
      </c>
      <c r="J3422" t="s">
        <v>122</v>
      </c>
      <c r="K3422">
        <v>0</v>
      </c>
      <c r="L3422" s="84">
        <v>-48755</v>
      </c>
      <c r="M3422" s="84">
        <v>0</v>
      </c>
    </row>
    <row r="3423" spans="3:13" hidden="1" x14ac:dyDescent="0.25">
      <c r="C3423" t="s">
        <v>65</v>
      </c>
      <c r="D3423" t="s">
        <v>120</v>
      </c>
      <c r="E3423" t="s">
        <v>60</v>
      </c>
      <c r="F3423" t="s">
        <v>124</v>
      </c>
      <c r="G3423">
        <v>-4</v>
      </c>
      <c r="H3423" t="s">
        <v>12</v>
      </c>
      <c r="I3423" t="s">
        <v>121</v>
      </c>
      <c r="J3423" t="s">
        <v>122</v>
      </c>
      <c r="K3423">
        <v>0</v>
      </c>
      <c r="L3423" s="84">
        <v>-279176</v>
      </c>
      <c r="M3423" s="84">
        <v>0</v>
      </c>
    </row>
    <row r="3424" spans="3:13" hidden="1" x14ac:dyDescent="0.25">
      <c r="C3424" t="s">
        <v>64</v>
      </c>
      <c r="D3424" t="s">
        <v>120</v>
      </c>
      <c r="E3424" t="s">
        <v>60</v>
      </c>
      <c r="F3424" t="s">
        <v>25</v>
      </c>
      <c r="G3424">
        <v>7</v>
      </c>
      <c r="H3424" t="s">
        <v>18</v>
      </c>
      <c r="I3424" t="s">
        <v>121</v>
      </c>
      <c r="J3424" t="s">
        <v>122</v>
      </c>
      <c r="K3424">
        <v>0</v>
      </c>
      <c r="L3424" s="84">
        <v>-66593</v>
      </c>
      <c r="M3424" s="84">
        <v>0</v>
      </c>
    </row>
    <row r="3425" spans="3:13" hidden="1" x14ac:dyDescent="0.25">
      <c r="C3425" t="s">
        <v>64</v>
      </c>
      <c r="D3425" t="s">
        <v>120</v>
      </c>
      <c r="E3425" t="s">
        <v>60</v>
      </c>
      <c r="F3425" t="s">
        <v>24</v>
      </c>
      <c r="G3425">
        <v>-1</v>
      </c>
      <c r="H3425" t="s">
        <v>17</v>
      </c>
      <c r="I3425" t="s">
        <v>121</v>
      </c>
      <c r="J3425" t="s">
        <v>122</v>
      </c>
      <c r="K3425">
        <v>0</v>
      </c>
      <c r="L3425" s="84">
        <v>-18235</v>
      </c>
      <c r="M3425" s="84">
        <v>0</v>
      </c>
    </row>
    <row r="3426" spans="3:13" hidden="1" x14ac:dyDescent="0.25">
      <c r="C3426" t="s">
        <v>119</v>
      </c>
      <c r="D3426" t="s">
        <v>125</v>
      </c>
      <c r="E3426" t="s">
        <v>60</v>
      </c>
      <c r="F3426" t="s">
        <v>25</v>
      </c>
      <c r="G3426">
        <v>34</v>
      </c>
      <c r="I3426" t="s">
        <v>121</v>
      </c>
      <c r="J3426" t="s">
        <v>122</v>
      </c>
      <c r="K3426">
        <v>0</v>
      </c>
      <c r="L3426" s="84">
        <v>-342</v>
      </c>
      <c r="M3426" s="84">
        <v>0</v>
      </c>
    </row>
    <row r="3427" spans="3:13" hidden="1" x14ac:dyDescent="0.25">
      <c r="C3427" t="s">
        <v>64</v>
      </c>
      <c r="D3427" t="s">
        <v>120</v>
      </c>
      <c r="E3427" t="s">
        <v>63</v>
      </c>
      <c r="F3427" t="s">
        <v>24</v>
      </c>
      <c r="G3427">
        <v>8</v>
      </c>
      <c r="H3427" t="s">
        <v>68</v>
      </c>
      <c r="I3427" t="s">
        <v>121</v>
      </c>
      <c r="J3427" t="s">
        <v>122</v>
      </c>
      <c r="K3427">
        <v>0</v>
      </c>
      <c r="L3427" s="84">
        <v>3580404</v>
      </c>
      <c r="M3427" s="84">
        <v>28643232</v>
      </c>
    </row>
    <row r="3428" spans="3:13" hidden="1" x14ac:dyDescent="0.25">
      <c r="C3428" t="s">
        <v>64</v>
      </c>
      <c r="D3428" t="s">
        <v>120</v>
      </c>
      <c r="E3428" t="s">
        <v>63</v>
      </c>
      <c r="F3428" t="s">
        <v>123</v>
      </c>
      <c r="G3428">
        <v>1</v>
      </c>
      <c r="H3428" t="s">
        <v>61</v>
      </c>
      <c r="I3428" t="s">
        <v>121</v>
      </c>
      <c r="J3428" t="s">
        <v>122</v>
      </c>
      <c r="K3428">
        <v>0</v>
      </c>
      <c r="L3428" s="84">
        <v>585782</v>
      </c>
      <c r="M3428" s="84">
        <v>585782</v>
      </c>
    </row>
    <row r="3429" spans="3:13" hidden="1" x14ac:dyDescent="0.25">
      <c r="C3429" t="s">
        <v>119</v>
      </c>
      <c r="D3429" t="s">
        <v>120</v>
      </c>
      <c r="E3429" t="s">
        <v>60</v>
      </c>
      <c r="F3429" t="s">
        <v>124</v>
      </c>
      <c r="G3429">
        <v>0</v>
      </c>
      <c r="H3429" t="s">
        <v>77</v>
      </c>
      <c r="I3429" t="s">
        <v>121</v>
      </c>
      <c r="J3429" t="s">
        <v>122</v>
      </c>
      <c r="K3429">
        <v>0</v>
      </c>
      <c r="L3429" s="84">
        <v>-99288</v>
      </c>
      <c r="M3429" s="84">
        <v>0</v>
      </c>
    </row>
    <row r="3430" spans="3:13" hidden="1" x14ac:dyDescent="0.25">
      <c r="C3430" t="s">
        <v>119</v>
      </c>
      <c r="D3430" t="s">
        <v>120</v>
      </c>
      <c r="E3430" t="s">
        <v>63</v>
      </c>
      <c r="F3430" t="s">
        <v>123</v>
      </c>
      <c r="G3430">
        <v>6</v>
      </c>
      <c r="H3430" t="s">
        <v>12</v>
      </c>
      <c r="I3430" t="s">
        <v>121</v>
      </c>
      <c r="J3430" t="s">
        <v>66</v>
      </c>
      <c r="K3430">
        <v>1</v>
      </c>
      <c r="L3430" s="84">
        <v>1223783</v>
      </c>
      <c r="M3430" s="84">
        <v>7342698</v>
      </c>
    </row>
    <row r="3431" spans="3:13" hidden="1" x14ac:dyDescent="0.25">
      <c r="C3431" t="s">
        <v>64</v>
      </c>
      <c r="D3431" t="s">
        <v>126</v>
      </c>
      <c r="E3431" t="s">
        <v>60</v>
      </c>
      <c r="F3431" t="s">
        <v>25</v>
      </c>
      <c r="G3431">
        <v>12</v>
      </c>
      <c r="H3431" t="s">
        <v>74</v>
      </c>
      <c r="I3431" t="s">
        <v>121</v>
      </c>
      <c r="J3431" t="s">
        <v>122</v>
      </c>
      <c r="K3431">
        <v>0</v>
      </c>
      <c r="L3431" s="84">
        <v>-8176</v>
      </c>
      <c r="M3431" s="84">
        <v>0</v>
      </c>
    </row>
    <row r="3432" spans="3:13" hidden="1" x14ac:dyDescent="0.25">
      <c r="C3432" t="s">
        <v>119</v>
      </c>
      <c r="D3432" t="s">
        <v>120</v>
      </c>
      <c r="E3432" t="s">
        <v>63</v>
      </c>
      <c r="F3432" t="s">
        <v>123</v>
      </c>
      <c r="G3432">
        <v>7</v>
      </c>
      <c r="H3432" t="s">
        <v>75</v>
      </c>
      <c r="I3432" t="s">
        <v>121</v>
      </c>
      <c r="J3432" t="s">
        <v>122</v>
      </c>
      <c r="K3432">
        <v>0</v>
      </c>
      <c r="L3432" s="84">
        <v>13129492</v>
      </c>
      <c r="M3432" s="84">
        <v>91906444</v>
      </c>
    </row>
    <row r="3433" spans="3:13" hidden="1" x14ac:dyDescent="0.25">
      <c r="C3433" t="s">
        <v>64</v>
      </c>
      <c r="D3433" t="s">
        <v>120</v>
      </c>
      <c r="E3433" t="s">
        <v>63</v>
      </c>
      <c r="F3433" t="s">
        <v>124</v>
      </c>
      <c r="G3433">
        <v>2</v>
      </c>
      <c r="H3433" t="s">
        <v>17</v>
      </c>
      <c r="I3433" t="s">
        <v>62</v>
      </c>
      <c r="J3433" t="s">
        <v>66</v>
      </c>
      <c r="K3433">
        <v>1</v>
      </c>
      <c r="L3433" s="84">
        <v>256336</v>
      </c>
      <c r="M3433" s="84">
        <v>512672</v>
      </c>
    </row>
    <row r="3434" spans="3:13" hidden="1" x14ac:dyDescent="0.25">
      <c r="C3434" t="s">
        <v>65</v>
      </c>
      <c r="D3434" t="s">
        <v>120</v>
      </c>
      <c r="E3434" t="s">
        <v>60</v>
      </c>
      <c r="F3434" t="s">
        <v>124</v>
      </c>
      <c r="G3434">
        <v>4</v>
      </c>
      <c r="H3434" t="s">
        <v>16</v>
      </c>
      <c r="I3434" t="s">
        <v>121</v>
      </c>
      <c r="J3434" t="s">
        <v>122</v>
      </c>
      <c r="K3434">
        <v>0</v>
      </c>
      <c r="L3434" s="84">
        <v>-10732</v>
      </c>
      <c r="M3434" s="84">
        <v>0</v>
      </c>
    </row>
    <row r="3435" spans="3:13" hidden="1" x14ac:dyDescent="0.25">
      <c r="C3435" t="s">
        <v>119</v>
      </c>
      <c r="D3435" t="s">
        <v>120</v>
      </c>
      <c r="E3435" t="s">
        <v>60</v>
      </c>
      <c r="F3435" t="s">
        <v>24</v>
      </c>
      <c r="G3435">
        <v>10</v>
      </c>
      <c r="H3435" t="s">
        <v>14</v>
      </c>
      <c r="I3435" t="s">
        <v>121</v>
      </c>
      <c r="J3435" t="s">
        <v>122</v>
      </c>
      <c r="K3435">
        <v>0</v>
      </c>
      <c r="L3435" s="84">
        <v>-1863</v>
      </c>
      <c r="M3435" s="84">
        <v>0</v>
      </c>
    </row>
    <row r="3436" spans="3:13" hidden="1" x14ac:dyDescent="0.25">
      <c r="C3436" t="s">
        <v>65</v>
      </c>
      <c r="D3436" t="s">
        <v>120</v>
      </c>
      <c r="E3436" t="s">
        <v>63</v>
      </c>
      <c r="F3436" t="s">
        <v>124</v>
      </c>
      <c r="G3436">
        <v>-4</v>
      </c>
      <c r="H3436" t="s">
        <v>76</v>
      </c>
      <c r="I3436" t="s">
        <v>121</v>
      </c>
      <c r="J3436" t="s">
        <v>122</v>
      </c>
      <c r="K3436">
        <v>0</v>
      </c>
      <c r="L3436" s="84">
        <v>172319</v>
      </c>
      <c r="M3436" s="84">
        <v>0</v>
      </c>
    </row>
    <row r="3437" spans="3:13" hidden="1" x14ac:dyDescent="0.25">
      <c r="C3437" t="s">
        <v>119</v>
      </c>
      <c r="D3437" t="s">
        <v>120</v>
      </c>
      <c r="E3437" t="s">
        <v>60</v>
      </c>
      <c r="F3437" t="s">
        <v>24</v>
      </c>
      <c r="G3437">
        <v>6</v>
      </c>
      <c r="H3437" t="s">
        <v>17</v>
      </c>
      <c r="I3437" t="s">
        <v>121</v>
      </c>
      <c r="J3437" t="s">
        <v>122</v>
      </c>
      <c r="K3437">
        <v>0</v>
      </c>
      <c r="L3437" s="84">
        <v>-929</v>
      </c>
      <c r="M3437" s="84">
        <v>0</v>
      </c>
    </row>
    <row r="3438" spans="3:13" hidden="1" x14ac:dyDescent="0.25">
      <c r="C3438" t="s">
        <v>64</v>
      </c>
      <c r="D3438" t="s">
        <v>120</v>
      </c>
      <c r="E3438" t="s">
        <v>63</v>
      </c>
      <c r="F3438" t="s">
        <v>124</v>
      </c>
      <c r="G3438">
        <v>10</v>
      </c>
      <c r="H3438" t="s">
        <v>76</v>
      </c>
      <c r="I3438" t="s">
        <v>121</v>
      </c>
      <c r="J3438" t="s">
        <v>122</v>
      </c>
      <c r="K3438">
        <v>0</v>
      </c>
      <c r="L3438" s="84">
        <v>1364257</v>
      </c>
      <c r="M3438" s="84">
        <v>13642570</v>
      </c>
    </row>
    <row r="3439" spans="3:13" hidden="1" x14ac:dyDescent="0.25">
      <c r="C3439" t="s">
        <v>119</v>
      </c>
      <c r="D3439" t="s">
        <v>120</v>
      </c>
      <c r="E3439" t="s">
        <v>63</v>
      </c>
      <c r="F3439" t="s">
        <v>25</v>
      </c>
      <c r="G3439">
        <v>0</v>
      </c>
      <c r="H3439" t="s">
        <v>73</v>
      </c>
      <c r="I3439" t="s">
        <v>121</v>
      </c>
      <c r="J3439" t="s">
        <v>122</v>
      </c>
      <c r="K3439">
        <v>0</v>
      </c>
      <c r="L3439" s="84">
        <v>10386</v>
      </c>
      <c r="M3439" s="84">
        <v>0</v>
      </c>
    </row>
    <row r="3440" spans="3:13" hidden="1" x14ac:dyDescent="0.25">
      <c r="C3440" t="s">
        <v>64</v>
      </c>
      <c r="D3440" t="s">
        <v>120</v>
      </c>
      <c r="E3440" t="s">
        <v>60</v>
      </c>
      <c r="F3440" t="s">
        <v>25</v>
      </c>
      <c r="G3440">
        <v>0</v>
      </c>
      <c r="H3440" t="s">
        <v>14</v>
      </c>
      <c r="I3440" t="s">
        <v>121</v>
      </c>
      <c r="J3440" t="s">
        <v>122</v>
      </c>
      <c r="K3440">
        <v>0</v>
      </c>
      <c r="L3440" s="84">
        <v>-13410</v>
      </c>
      <c r="M3440" s="84">
        <v>0</v>
      </c>
    </row>
    <row r="3441" spans="3:13" hidden="1" x14ac:dyDescent="0.25">
      <c r="C3441" t="s">
        <v>64</v>
      </c>
      <c r="D3441" t="s">
        <v>120</v>
      </c>
      <c r="E3441" t="s">
        <v>60</v>
      </c>
      <c r="F3441" t="s">
        <v>24</v>
      </c>
      <c r="G3441">
        <v>5</v>
      </c>
      <c r="H3441" t="s">
        <v>17</v>
      </c>
      <c r="I3441" t="s">
        <v>121</v>
      </c>
      <c r="J3441" t="s">
        <v>122</v>
      </c>
      <c r="K3441">
        <v>0</v>
      </c>
      <c r="L3441" s="84">
        <v>-13144</v>
      </c>
      <c r="M3441" s="84">
        <v>0</v>
      </c>
    </row>
    <row r="3442" spans="3:13" x14ac:dyDescent="0.25">
      <c r="C3442" t="s">
        <v>119</v>
      </c>
      <c r="D3442" t="s">
        <v>120</v>
      </c>
      <c r="E3442" t="s">
        <v>63</v>
      </c>
      <c r="F3442" t="s">
        <v>25</v>
      </c>
      <c r="G3442">
        <v>14</v>
      </c>
      <c r="H3442" t="s">
        <v>14</v>
      </c>
      <c r="I3442" t="s">
        <v>121</v>
      </c>
      <c r="J3442" t="s">
        <v>66</v>
      </c>
      <c r="K3442">
        <v>1</v>
      </c>
      <c r="L3442" s="84">
        <v>2160056</v>
      </c>
      <c r="M3442" s="84">
        <v>30240784</v>
      </c>
    </row>
    <row r="3443" spans="3:13" hidden="1" x14ac:dyDescent="0.25">
      <c r="C3443" t="s">
        <v>119</v>
      </c>
      <c r="D3443" t="s">
        <v>120</v>
      </c>
      <c r="E3443" t="s">
        <v>60</v>
      </c>
      <c r="F3443" t="s">
        <v>25</v>
      </c>
      <c r="G3443">
        <v>14</v>
      </c>
      <c r="H3443" t="s">
        <v>76</v>
      </c>
      <c r="I3443" t="s">
        <v>121</v>
      </c>
      <c r="J3443" t="s">
        <v>122</v>
      </c>
      <c r="K3443">
        <v>0</v>
      </c>
      <c r="L3443" s="84">
        <v>-141</v>
      </c>
      <c r="M3443" s="84">
        <v>0</v>
      </c>
    </row>
    <row r="3444" spans="3:13" hidden="1" x14ac:dyDescent="0.25">
      <c r="C3444" t="s">
        <v>64</v>
      </c>
      <c r="D3444" t="s">
        <v>120</v>
      </c>
      <c r="E3444" t="s">
        <v>60</v>
      </c>
      <c r="F3444" t="s">
        <v>123</v>
      </c>
      <c r="G3444">
        <v>-1</v>
      </c>
      <c r="H3444" t="s">
        <v>61</v>
      </c>
      <c r="I3444" t="s">
        <v>121</v>
      </c>
      <c r="J3444" t="s">
        <v>122</v>
      </c>
      <c r="K3444">
        <v>0</v>
      </c>
      <c r="L3444" s="84">
        <v>-790</v>
      </c>
      <c r="M3444" s="84">
        <v>0</v>
      </c>
    </row>
    <row r="3445" spans="3:13" hidden="1" x14ac:dyDescent="0.25">
      <c r="C3445" t="s">
        <v>119</v>
      </c>
      <c r="D3445" t="s">
        <v>120</v>
      </c>
      <c r="E3445" t="s">
        <v>60</v>
      </c>
      <c r="F3445" t="s">
        <v>124</v>
      </c>
      <c r="G3445">
        <v>7</v>
      </c>
      <c r="H3445" t="s">
        <v>12</v>
      </c>
      <c r="I3445" t="s">
        <v>121</v>
      </c>
      <c r="J3445" t="s">
        <v>122</v>
      </c>
      <c r="K3445">
        <v>0</v>
      </c>
      <c r="L3445" s="84">
        <v>-4569</v>
      </c>
      <c r="M3445" s="84">
        <v>0</v>
      </c>
    </row>
    <row r="3446" spans="3:13" hidden="1" x14ac:dyDescent="0.25">
      <c r="C3446" t="s">
        <v>119</v>
      </c>
      <c r="D3446" t="s">
        <v>125</v>
      </c>
      <c r="E3446" t="s">
        <v>63</v>
      </c>
      <c r="F3446" t="s">
        <v>24</v>
      </c>
      <c r="G3446">
        <v>1</v>
      </c>
      <c r="I3446" t="s">
        <v>121</v>
      </c>
      <c r="J3446" t="s">
        <v>122</v>
      </c>
      <c r="K3446">
        <v>0</v>
      </c>
      <c r="L3446" s="84">
        <v>11370372</v>
      </c>
      <c r="M3446" s="84">
        <v>11370372</v>
      </c>
    </row>
    <row r="3447" spans="3:13" hidden="1" x14ac:dyDescent="0.25">
      <c r="C3447" t="s">
        <v>119</v>
      </c>
      <c r="D3447" t="s">
        <v>120</v>
      </c>
      <c r="E3447" t="s">
        <v>60</v>
      </c>
      <c r="F3447" t="s">
        <v>24</v>
      </c>
      <c r="G3447">
        <v>18</v>
      </c>
      <c r="H3447" t="s">
        <v>68</v>
      </c>
      <c r="I3447" t="s">
        <v>121</v>
      </c>
      <c r="J3447" t="s">
        <v>122</v>
      </c>
      <c r="K3447">
        <v>0</v>
      </c>
      <c r="L3447" s="84">
        <v>-8116</v>
      </c>
      <c r="M3447" s="84">
        <v>0</v>
      </c>
    </row>
    <row r="3448" spans="3:13" hidden="1" x14ac:dyDescent="0.25">
      <c r="C3448" t="s">
        <v>119</v>
      </c>
      <c r="D3448" t="s">
        <v>120</v>
      </c>
      <c r="E3448" t="s">
        <v>60</v>
      </c>
      <c r="F3448" t="s">
        <v>25</v>
      </c>
      <c r="G3448">
        <v>16</v>
      </c>
      <c r="H3448" t="s">
        <v>69</v>
      </c>
      <c r="I3448" t="s">
        <v>121</v>
      </c>
      <c r="J3448" t="s">
        <v>122</v>
      </c>
      <c r="K3448">
        <v>0</v>
      </c>
      <c r="L3448" s="84">
        <v>-6408</v>
      </c>
      <c r="M3448" s="84">
        <v>0</v>
      </c>
    </row>
    <row r="3449" spans="3:13" hidden="1" x14ac:dyDescent="0.25">
      <c r="C3449" t="s">
        <v>64</v>
      </c>
      <c r="D3449" t="s">
        <v>120</v>
      </c>
      <c r="E3449" t="s">
        <v>60</v>
      </c>
      <c r="F3449" t="s">
        <v>25</v>
      </c>
      <c r="G3449">
        <v>9</v>
      </c>
      <c r="H3449" t="s">
        <v>68</v>
      </c>
      <c r="I3449" t="s">
        <v>121</v>
      </c>
      <c r="J3449" t="s">
        <v>122</v>
      </c>
      <c r="K3449">
        <v>0</v>
      </c>
      <c r="L3449" s="84">
        <v>-324608</v>
      </c>
      <c r="M3449" s="84">
        <v>0</v>
      </c>
    </row>
    <row r="3450" spans="3:13" hidden="1" x14ac:dyDescent="0.25">
      <c r="C3450" t="s">
        <v>119</v>
      </c>
      <c r="D3450" t="s">
        <v>125</v>
      </c>
      <c r="E3450" t="s">
        <v>60</v>
      </c>
      <c r="F3450" t="s">
        <v>24</v>
      </c>
      <c r="G3450">
        <v>32</v>
      </c>
      <c r="I3450" t="s">
        <v>121</v>
      </c>
      <c r="J3450" t="s">
        <v>122</v>
      </c>
      <c r="K3450">
        <v>0</v>
      </c>
      <c r="L3450" s="84">
        <v>-436251</v>
      </c>
      <c r="M3450" s="84">
        <v>0</v>
      </c>
    </row>
    <row r="3451" spans="3:13" hidden="1" x14ac:dyDescent="0.25">
      <c r="C3451" t="s">
        <v>65</v>
      </c>
      <c r="D3451" t="s">
        <v>120</v>
      </c>
      <c r="E3451" t="s">
        <v>63</v>
      </c>
      <c r="F3451" t="s">
        <v>25</v>
      </c>
      <c r="G3451">
        <v>4</v>
      </c>
      <c r="H3451" t="s">
        <v>17</v>
      </c>
      <c r="I3451" t="s">
        <v>121</v>
      </c>
      <c r="J3451" t="s">
        <v>122</v>
      </c>
      <c r="K3451">
        <v>0</v>
      </c>
      <c r="L3451" s="84">
        <v>666925</v>
      </c>
      <c r="M3451" s="84">
        <v>2667700</v>
      </c>
    </row>
    <row r="3452" spans="3:13" hidden="1" x14ac:dyDescent="0.25">
      <c r="C3452" t="s">
        <v>64</v>
      </c>
      <c r="D3452" t="s">
        <v>120</v>
      </c>
      <c r="E3452" t="s">
        <v>60</v>
      </c>
      <c r="F3452" t="s">
        <v>123</v>
      </c>
      <c r="G3452">
        <v>1</v>
      </c>
      <c r="H3452" t="s">
        <v>17</v>
      </c>
      <c r="I3452" t="s">
        <v>121</v>
      </c>
      <c r="J3452" t="s">
        <v>122</v>
      </c>
      <c r="K3452">
        <v>0</v>
      </c>
      <c r="L3452" s="84">
        <v>-18708</v>
      </c>
      <c r="M3452" s="84">
        <v>0</v>
      </c>
    </row>
    <row r="3453" spans="3:13" hidden="1" x14ac:dyDescent="0.25">
      <c r="C3453" t="s">
        <v>64</v>
      </c>
      <c r="D3453" t="s">
        <v>120</v>
      </c>
      <c r="E3453" t="s">
        <v>60</v>
      </c>
      <c r="F3453" t="s">
        <v>24</v>
      </c>
      <c r="G3453">
        <v>-1</v>
      </c>
      <c r="H3453" t="s">
        <v>75</v>
      </c>
      <c r="I3453" t="s">
        <v>121</v>
      </c>
      <c r="J3453" t="s">
        <v>122</v>
      </c>
      <c r="K3453">
        <v>0</v>
      </c>
      <c r="L3453" s="84">
        <v>-7396</v>
      </c>
      <c r="M3453" s="84">
        <v>0</v>
      </c>
    </row>
    <row r="3454" spans="3:13" hidden="1" x14ac:dyDescent="0.25">
      <c r="C3454" t="s">
        <v>65</v>
      </c>
      <c r="D3454" t="s">
        <v>120</v>
      </c>
      <c r="E3454" t="s">
        <v>60</v>
      </c>
      <c r="F3454" t="s">
        <v>124</v>
      </c>
      <c r="G3454">
        <v>15</v>
      </c>
      <c r="H3454" t="s">
        <v>17</v>
      </c>
      <c r="I3454" t="s">
        <v>121</v>
      </c>
      <c r="J3454" t="s">
        <v>122</v>
      </c>
      <c r="K3454">
        <v>0</v>
      </c>
      <c r="L3454" s="84">
        <v>-46284</v>
      </c>
      <c r="M3454" s="84">
        <v>0</v>
      </c>
    </row>
    <row r="3455" spans="3:13" hidden="1" x14ac:dyDescent="0.25">
      <c r="C3455" t="s">
        <v>64</v>
      </c>
      <c r="D3455" t="s">
        <v>120</v>
      </c>
      <c r="E3455" t="s">
        <v>63</v>
      </c>
      <c r="F3455" t="s">
        <v>124</v>
      </c>
      <c r="G3455">
        <v>2</v>
      </c>
      <c r="H3455" t="s">
        <v>72</v>
      </c>
      <c r="I3455" t="s">
        <v>121</v>
      </c>
      <c r="J3455" t="s">
        <v>122</v>
      </c>
      <c r="K3455">
        <v>0</v>
      </c>
      <c r="L3455" s="84">
        <v>2369898</v>
      </c>
      <c r="M3455" s="84">
        <v>4739796</v>
      </c>
    </row>
    <row r="3456" spans="3:13" hidden="1" x14ac:dyDescent="0.25">
      <c r="C3456" t="s">
        <v>119</v>
      </c>
      <c r="D3456" t="s">
        <v>120</v>
      </c>
      <c r="E3456" t="s">
        <v>60</v>
      </c>
      <c r="F3456" t="s">
        <v>25</v>
      </c>
      <c r="G3456">
        <v>2</v>
      </c>
      <c r="H3456" t="s">
        <v>73</v>
      </c>
      <c r="I3456" t="s">
        <v>121</v>
      </c>
      <c r="J3456" t="s">
        <v>122</v>
      </c>
      <c r="K3456">
        <v>0</v>
      </c>
      <c r="L3456" s="84">
        <v>-24</v>
      </c>
      <c r="M3456" s="84">
        <v>0</v>
      </c>
    </row>
    <row r="3457" spans="3:13" hidden="1" x14ac:dyDescent="0.25">
      <c r="C3457" t="s">
        <v>64</v>
      </c>
      <c r="D3457" t="s">
        <v>125</v>
      </c>
      <c r="E3457" t="s">
        <v>63</v>
      </c>
      <c r="F3457" t="s">
        <v>25</v>
      </c>
      <c r="G3457">
        <v>18</v>
      </c>
      <c r="I3457" t="s">
        <v>121</v>
      </c>
      <c r="J3457" t="s">
        <v>122</v>
      </c>
      <c r="K3457">
        <v>0</v>
      </c>
      <c r="L3457" s="84">
        <v>22042</v>
      </c>
      <c r="M3457" s="84">
        <v>396756</v>
      </c>
    </row>
    <row r="3458" spans="3:13" hidden="1" x14ac:dyDescent="0.25">
      <c r="C3458" t="s">
        <v>119</v>
      </c>
      <c r="D3458" t="s">
        <v>120</v>
      </c>
      <c r="E3458" t="s">
        <v>60</v>
      </c>
      <c r="F3458" t="s">
        <v>124</v>
      </c>
      <c r="G3458">
        <v>2</v>
      </c>
      <c r="H3458" t="s">
        <v>14</v>
      </c>
      <c r="I3458" t="s">
        <v>62</v>
      </c>
      <c r="J3458" t="s">
        <v>66</v>
      </c>
      <c r="K3458">
        <v>1</v>
      </c>
      <c r="L3458" s="84">
        <v>-849</v>
      </c>
      <c r="M3458" s="84">
        <v>0</v>
      </c>
    </row>
    <row r="3459" spans="3:13" hidden="1" x14ac:dyDescent="0.25">
      <c r="C3459" t="s">
        <v>65</v>
      </c>
      <c r="D3459" t="s">
        <v>120</v>
      </c>
      <c r="E3459" t="s">
        <v>63</v>
      </c>
      <c r="F3459" t="s">
        <v>25</v>
      </c>
      <c r="G3459">
        <v>-4</v>
      </c>
      <c r="H3459" t="s">
        <v>18</v>
      </c>
      <c r="I3459" t="s">
        <v>121</v>
      </c>
      <c r="J3459" t="s">
        <v>122</v>
      </c>
      <c r="K3459">
        <v>0</v>
      </c>
      <c r="L3459" s="84">
        <v>187387</v>
      </c>
      <c r="M3459" s="84">
        <v>0</v>
      </c>
    </row>
    <row r="3460" spans="3:13" x14ac:dyDescent="0.25">
      <c r="C3460" t="s">
        <v>65</v>
      </c>
      <c r="D3460" t="s">
        <v>120</v>
      </c>
      <c r="E3460" t="s">
        <v>63</v>
      </c>
      <c r="F3460" t="s">
        <v>25</v>
      </c>
      <c r="G3460">
        <v>-4</v>
      </c>
      <c r="H3460" t="s">
        <v>18</v>
      </c>
      <c r="I3460" t="s">
        <v>121</v>
      </c>
      <c r="J3460" t="s">
        <v>66</v>
      </c>
      <c r="K3460">
        <v>1</v>
      </c>
      <c r="L3460" s="84">
        <v>302</v>
      </c>
      <c r="M3460" s="84">
        <v>0</v>
      </c>
    </row>
    <row r="3461" spans="3:13" hidden="1" x14ac:dyDescent="0.25">
      <c r="C3461" t="s">
        <v>119</v>
      </c>
      <c r="D3461" t="s">
        <v>120</v>
      </c>
      <c r="E3461" t="s">
        <v>60</v>
      </c>
      <c r="F3461" t="s">
        <v>123</v>
      </c>
      <c r="G3461">
        <v>-1</v>
      </c>
      <c r="H3461" t="s">
        <v>61</v>
      </c>
      <c r="I3461" t="s">
        <v>121</v>
      </c>
      <c r="J3461" t="s">
        <v>122</v>
      </c>
      <c r="K3461">
        <v>0</v>
      </c>
      <c r="L3461" s="84">
        <v>-344</v>
      </c>
      <c r="M3461" s="84">
        <v>0</v>
      </c>
    </row>
    <row r="3462" spans="3:13" x14ac:dyDescent="0.25">
      <c r="C3462" t="s">
        <v>64</v>
      </c>
      <c r="D3462" t="s">
        <v>120</v>
      </c>
      <c r="E3462" t="s">
        <v>63</v>
      </c>
      <c r="F3462" t="s">
        <v>25</v>
      </c>
      <c r="G3462">
        <v>6</v>
      </c>
      <c r="H3462" t="s">
        <v>18</v>
      </c>
      <c r="I3462" t="s">
        <v>121</v>
      </c>
      <c r="J3462" t="s">
        <v>66</v>
      </c>
      <c r="K3462">
        <v>1</v>
      </c>
      <c r="L3462" s="84">
        <v>134415</v>
      </c>
      <c r="M3462" s="84">
        <v>806490</v>
      </c>
    </row>
    <row r="3463" spans="3:13" hidden="1" x14ac:dyDescent="0.25">
      <c r="C3463" t="s">
        <v>65</v>
      </c>
      <c r="D3463" t="s">
        <v>120</v>
      </c>
      <c r="E3463" t="s">
        <v>60</v>
      </c>
      <c r="F3463" t="s">
        <v>123</v>
      </c>
      <c r="G3463">
        <v>3</v>
      </c>
      <c r="H3463" t="s">
        <v>76</v>
      </c>
      <c r="I3463" t="s">
        <v>121</v>
      </c>
      <c r="J3463" t="s">
        <v>122</v>
      </c>
      <c r="K3463">
        <v>0</v>
      </c>
      <c r="L3463" s="84">
        <v>-47000</v>
      </c>
      <c r="M3463" s="84">
        <v>0</v>
      </c>
    </row>
    <row r="3464" spans="3:13" hidden="1" x14ac:dyDescent="0.25">
      <c r="C3464" t="s">
        <v>65</v>
      </c>
      <c r="D3464" t="s">
        <v>120</v>
      </c>
      <c r="E3464" t="s">
        <v>60</v>
      </c>
      <c r="F3464" t="s">
        <v>123</v>
      </c>
      <c r="G3464">
        <v>2</v>
      </c>
      <c r="H3464" t="s">
        <v>70</v>
      </c>
      <c r="I3464" t="s">
        <v>121</v>
      </c>
      <c r="J3464" t="s">
        <v>122</v>
      </c>
      <c r="K3464">
        <v>0</v>
      </c>
      <c r="L3464" s="84">
        <v>-6152</v>
      </c>
      <c r="M3464" s="84">
        <v>0</v>
      </c>
    </row>
    <row r="3465" spans="3:13" hidden="1" x14ac:dyDescent="0.25">
      <c r="C3465" t="s">
        <v>64</v>
      </c>
      <c r="D3465" t="s">
        <v>120</v>
      </c>
      <c r="E3465" t="s">
        <v>60</v>
      </c>
      <c r="F3465" t="s">
        <v>25</v>
      </c>
      <c r="G3465">
        <v>2</v>
      </c>
      <c r="H3465" t="s">
        <v>12</v>
      </c>
      <c r="I3465" t="s">
        <v>121</v>
      </c>
      <c r="J3465" t="s">
        <v>66</v>
      </c>
      <c r="K3465">
        <v>1</v>
      </c>
      <c r="L3465" s="84">
        <v>-798</v>
      </c>
      <c r="M3465" s="84">
        <v>0</v>
      </c>
    </row>
    <row r="3466" spans="3:13" hidden="1" x14ac:dyDescent="0.25">
      <c r="C3466" t="s">
        <v>64</v>
      </c>
      <c r="D3466" t="s">
        <v>120</v>
      </c>
      <c r="E3466" t="s">
        <v>60</v>
      </c>
      <c r="F3466" t="s">
        <v>124</v>
      </c>
      <c r="G3466">
        <v>3</v>
      </c>
      <c r="H3466" t="s">
        <v>67</v>
      </c>
      <c r="I3466" t="s">
        <v>121</v>
      </c>
      <c r="J3466" t="s">
        <v>122</v>
      </c>
      <c r="K3466">
        <v>0</v>
      </c>
      <c r="L3466" s="84">
        <v>-149443</v>
      </c>
      <c r="M3466" s="84">
        <v>0</v>
      </c>
    </row>
    <row r="3467" spans="3:13" hidden="1" x14ac:dyDescent="0.25">
      <c r="C3467" t="s">
        <v>119</v>
      </c>
      <c r="D3467" t="s">
        <v>120</v>
      </c>
      <c r="E3467" t="s">
        <v>63</v>
      </c>
      <c r="F3467" t="s">
        <v>123</v>
      </c>
      <c r="G3467">
        <v>-1</v>
      </c>
      <c r="H3467" t="s">
        <v>14</v>
      </c>
      <c r="I3467" t="s">
        <v>121</v>
      </c>
      <c r="J3467" t="s">
        <v>122</v>
      </c>
      <c r="K3467">
        <v>0</v>
      </c>
      <c r="L3467" s="84">
        <v>5361443</v>
      </c>
      <c r="M3467" s="84">
        <v>0</v>
      </c>
    </row>
    <row r="3468" spans="3:13" hidden="1" x14ac:dyDescent="0.25">
      <c r="C3468" t="s">
        <v>64</v>
      </c>
      <c r="D3468" t="s">
        <v>120</v>
      </c>
      <c r="E3468" t="s">
        <v>60</v>
      </c>
      <c r="F3468" t="s">
        <v>25</v>
      </c>
      <c r="G3468">
        <v>3</v>
      </c>
      <c r="H3468" t="s">
        <v>12</v>
      </c>
      <c r="I3468" t="s">
        <v>121</v>
      </c>
      <c r="J3468" t="s">
        <v>122</v>
      </c>
      <c r="K3468">
        <v>0</v>
      </c>
      <c r="L3468" s="84">
        <v>-2228</v>
      </c>
      <c r="M3468" s="84">
        <v>0</v>
      </c>
    </row>
    <row r="3469" spans="3:13" hidden="1" x14ac:dyDescent="0.25">
      <c r="C3469" t="s">
        <v>119</v>
      </c>
      <c r="D3469" t="s">
        <v>120</v>
      </c>
      <c r="E3469" t="s">
        <v>60</v>
      </c>
      <c r="F3469" t="s">
        <v>124</v>
      </c>
      <c r="G3469">
        <v>4</v>
      </c>
      <c r="H3469" t="s">
        <v>18</v>
      </c>
      <c r="I3469" t="s">
        <v>121</v>
      </c>
      <c r="J3469" t="s">
        <v>122</v>
      </c>
      <c r="K3469">
        <v>0</v>
      </c>
      <c r="L3469" s="84">
        <v>-171685</v>
      </c>
      <c r="M3469" s="84">
        <v>0</v>
      </c>
    </row>
    <row r="3470" spans="3:13" hidden="1" x14ac:dyDescent="0.25">
      <c r="C3470" t="s">
        <v>65</v>
      </c>
      <c r="D3470" t="s">
        <v>120</v>
      </c>
      <c r="E3470" t="s">
        <v>60</v>
      </c>
      <c r="F3470" t="s">
        <v>124</v>
      </c>
      <c r="G3470">
        <v>0</v>
      </c>
      <c r="H3470" t="s">
        <v>67</v>
      </c>
      <c r="I3470" t="s">
        <v>121</v>
      </c>
      <c r="J3470" t="s">
        <v>122</v>
      </c>
      <c r="K3470">
        <v>0</v>
      </c>
      <c r="L3470" s="84">
        <v>-1993983</v>
      </c>
      <c r="M3470" s="84">
        <v>0</v>
      </c>
    </row>
    <row r="3471" spans="3:13" hidden="1" x14ac:dyDescent="0.25">
      <c r="C3471" t="s">
        <v>119</v>
      </c>
      <c r="D3471" t="s">
        <v>125</v>
      </c>
      <c r="E3471" t="s">
        <v>63</v>
      </c>
      <c r="F3471" t="s">
        <v>25</v>
      </c>
      <c r="G3471">
        <v>11</v>
      </c>
      <c r="I3471" t="s">
        <v>121</v>
      </c>
      <c r="J3471" t="s">
        <v>122</v>
      </c>
      <c r="K3471">
        <v>0</v>
      </c>
      <c r="L3471" s="84">
        <v>8829749</v>
      </c>
      <c r="M3471" s="84">
        <v>97127239</v>
      </c>
    </row>
    <row r="3472" spans="3:13" hidden="1" x14ac:dyDescent="0.25">
      <c r="C3472" t="s">
        <v>119</v>
      </c>
      <c r="D3472" t="s">
        <v>120</v>
      </c>
      <c r="E3472" t="s">
        <v>63</v>
      </c>
      <c r="F3472" t="s">
        <v>25</v>
      </c>
      <c r="G3472">
        <v>0</v>
      </c>
      <c r="H3472" t="s">
        <v>67</v>
      </c>
      <c r="I3472" t="s">
        <v>121</v>
      </c>
      <c r="J3472" t="s">
        <v>122</v>
      </c>
      <c r="K3472">
        <v>0</v>
      </c>
      <c r="L3472" s="84">
        <v>74433</v>
      </c>
      <c r="M3472" s="84">
        <v>0</v>
      </c>
    </row>
    <row r="3473" spans="3:13" hidden="1" x14ac:dyDescent="0.25">
      <c r="C3473" t="s">
        <v>119</v>
      </c>
      <c r="D3473" t="s">
        <v>120</v>
      </c>
      <c r="E3473" t="s">
        <v>60</v>
      </c>
      <c r="F3473" t="s">
        <v>24</v>
      </c>
      <c r="G3473">
        <v>7</v>
      </c>
      <c r="H3473" t="s">
        <v>71</v>
      </c>
      <c r="I3473" t="s">
        <v>121</v>
      </c>
      <c r="J3473" t="s">
        <v>122</v>
      </c>
      <c r="K3473">
        <v>0</v>
      </c>
      <c r="L3473" s="84">
        <v>-34</v>
      </c>
      <c r="M3473" s="84">
        <v>0</v>
      </c>
    </row>
    <row r="3474" spans="3:13" hidden="1" x14ac:dyDescent="0.25">
      <c r="C3474" t="s">
        <v>64</v>
      </c>
      <c r="D3474" t="s">
        <v>120</v>
      </c>
      <c r="E3474" t="s">
        <v>60</v>
      </c>
      <c r="F3474" t="s">
        <v>124</v>
      </c>
      <c r="G3474">
        <v>-1</v>
      </c>
      <c r="H3474" t="s">
        <v>15</v>
      </c>
      <c r="I3474" t="s">
        <v>121</v>
      </c>
      <c r="J3474" t="s">
        <v>66</v>
      </c>
      <c r="K3474">
        <v>1</v>
      </c>
      <c r="L3474" s="84">
        <v>-34919</v>
      </c>
      <c r="M3474" s="84">
        <v>0</v>
      </c>
    </row>
    <row r="3475" spans="3:13" hidden="1" x14ac:dyDescent="0.25">
      <c r="C3475" t="s">
        <v>64</v>
      </c>
      <c r="D3475" t="s">
        <v>120</v>
      </c>
      <c r="E3475" t="s">
        <v>63</v>
      </c>
      <c r="F3475" t="s">
        <v>25</v>
      </c>
      <c r="G3475">
        <v>3</v>
      </c>
      <c r="H3475" t="s">
        <v>14</v>
      </c>
      <c r="I3475" t="s">
        <v>121</v>
      </c>
      <c r="J3475" t="s">
        <v>122</v>
      </c>
      <c r="K3475">
        <v>0</v>
      </c>
      <c r="L3475" s="84">
        <v>1153468</v>
      </c>
      <c r="M3475" s="84">
        <v>3460404</v>
      </c>
    </row>
    <row r="3476" spans="3:13" hidden="1" x14ac:dyDescent="0.25">
      <c r="C3476" t="s">
        <v>119</v>
      </c>
      <c r="D3476" t="s">
        <v>120</v>
      </c>
      <c r="E3476" t="s">
        <v>60</v>
      </c>
      <c r="F3476" t="s">
        <v>25</v>
      </c>
      <c r="G3476">
        <v>14</v>
      </c>
      <c r="H3476" t="s">
        <v>68</v>
      </c>
      <c r="I3476" t="s">
        <v>121</v>
      </c>
      <c r="J3476" t="s">
        <v>122</v>
      </c>
      <c r="K3476">
        <v>0</v>
      </c>
      <c r="L3476" s="84">
        <v>-19422</v>
      </c>
      <c r="M3476" s="84">
        <v>0</v>
      </c>
    </row>
    <row r="3477" spans="3:13" hidden="1" x14ac:dyDescent="0.25">
      <c r="C3477" t="s">
        <v>65</v>
      </c>
      <c r="D3477" t="s">
        <v>125</v>
      </c>
      <c r="E3477" t="s">
        <v>63</v>
      </c>
      <c r="F3477" t="s">
        <v>25</v>
      </c>
      <c r="G3477">
        <v>32</v>
      </c>
      <c r="I3477" t="s">
        <v>121</v>
      </c>
      <c r="J3477" t="s">
        <v>122</v>
      </c>
      <c r="K3477">
        <v>0</v>
      </c>
      <c r="L3477" s="84">
        <v>112406</v>
      </c>
      <c r="M3477" s="84">
        <v>3596992</v>
      </c>
    </row>
    <row r="3478" spans="3:13" hidden="1" x14ac:dyDescent="0.25">
      <c r="C3478" t="s">
        <v>65</v>
      </c>
      <c r="D3478" t="s">
        <v>120</v>
      </c>
      <c r="E3478" t="s">
        <v>63</v>
      </c>
      <c r="F3478" t="s">
        <v>124</v>
      </c>
      <c r="G3478">
        <v>1</v>
      </c>
      <c r="H3478" t="s">
        <v>14</v>
      </c>
      <c r="I3478" t="s">
        <v>121</v>
      </c>
      <c r="J3478" t="s">
        <v>122</v>
      </c>
      <c r="K3478">
        <v>0</v>
      </c>
      <c r="L3478" s="84">
        <v>3117670</v>
      </c>
      <c r="M3478" s="84">
        <v>3117670</v>
      </c>
    </row>
    <row r="3479" spans="3:13" hidden="1" x14ac:dyDescent="0.25">
      <c r="C3479" t="s">
        <v>65</v>
      </c>
      <c r="D3479" t="s">
        <v>120</v>
      </c>
      <c r="E3479" t="s">
        <v>63</v>
      </c>
      <c r="F3479" t="s">
        <v>25</v>
      </c>
      <c r="G3479">
        <v>17</v>
      </c>
      <c r="H3479" t="s">
        <v>76</v>
      </c>
      <c r="I3479" t="s">
        <v>121</v>
      </c>
      <c r="J3479" t="s">
        <v>122</v>
      </c>
      <c r="K3479">
        <v>0</v>
      </c>
      <c r="L3479" s="84">
        <v>281497</v>
      </c>
      <c r="M3479" s="84">
        <v>4785449</v>
      </c>
    </row>
    <row r="3480" spans="3:13" hidden="1" x14ac:dyDescent="0.25">
      <c r="C3480" t="s">
        <v>119</v>
      </c>
      <c r="D3480" t="s">
        <v>125</v>
      </c>
      <c r="E3480" t="s">
        <v>63</v>
      </c>
      <c r="F3480" t="s">
        <v>24</v>
      </c>
      <c r="G3480">
        <v>35</v>
      </c>
      <c r="I3480" t="s">
        <v>121</v>
      </c>
      <c r="J3480" t="s">
        <v>122</v>
      </c>
      <c r="K3480">
        <v>0</v>
      </c>
      <c r="L3480" s="84">
        <v>1415112198</v>
      </c>
      <c r="M3480" s="84">
        <v>49528926930</v>
      </c>
    </row>
    <row r="3481" spans="3:13" hidden="1" x14ac:dyDescent="0.25">
      <c r="C3481" t="s">
        <v>119</v>
      </c>
      <c r="D3481" t="s">
        <v>120</v>
      </c>
      <c r="E3481" t="s">
        <v>60</v>
      </c>
      <c r="F3481" t="s">
        <v>24</v>
      </c>
      <c r="G3481">
        <v>0</v>
      </c>
      <c r="H3481" t="s">
        <v>69</v>
      </c>
      <c r="I3481" t="s">
        <v>121</v>
      </c>
      <c r="J3481" t="s">
        <v>122</v>
      </c>
      <c r="K3481">
        <v>0</v>
      </c>
      <c r="L3481" s="84">
        <v>-623</v>
      </c>
      <c r="M3481" s="84">
        <v>0</v>
      </c>
    </row>
    <row r="3482" spans="3:13" hidden="1" x14ac:dyDescent="0.25">
      <c r="C3482" t="s">
        <v>119</v>
      </c>
      <c r="D3482" t="s">
        <v>126</v>
      </c>
      <c r="E3482" t="s">
        <v>60</v>
      </c>
      <c r="F3482" t="s">
        <v>25</v>
      </c>
      <c r="G3482">
        <v>11</v>
      </c>
      <c r="H3482" t="s">
        <v>74</v>
      </c>
      <c r="I3482" t="s">
        <v>121</v>
      </c>
      <c r="J3482" t="s">
        <v>122</v>
      </c>
      <c r="K3482">
        <v>0</v>
      </c>
      <c r="L3482" s="84">
        <v>-122</v>
      </c>
      <c r="M3482" s="84">
        <v>0</v>
      </c>
    </row>
    <row r="3483" spans="3:13" hidden="1" x14ac:dyDescent="0.25">
      <c r="C3483" t="s">
        <v>64</v>
      </c>
      <c r="D3483" t="s">
        <v>120</v>
      </c>
      <c r="E3483" t="s">
        <v>60</v>
      </c>
      <c r="F3483" t="s">
        <v>124</v>
      </c>
      <c r="G3483">
        <v>6</v>
      </c>
      <c r="H3483" t="s">
        <v>13</v>
      </c>
      <c r="I3483" t="s">
        <v>121</v>
      </c>
      <c r="J3483" t="s">
        <v>122</v>
      </c>
      <c r="K3483">
        <v>0</v>
      </c>
      <c r="L3483" s="84">
        <v>-1484</v>
      </c>
      <c r="M3483" s="84">
        <v>0</v>
      </c>
    </row>
    <row r="3484" spans="3:13" hidden="1" x14ac:dyDescent="0.25">
      <c r="C3484" t="s">
        <v>119</v>
      </c>
      <c r="D3484" t="s">
        <v>120</v>
      </c>
      <c r="E3484" t="s">
        <v>60</v>
      </c>
      <c r="F3484" t="s">
        <v>124</v>
      </c>
      <c r="G3484">
        <v>2</v>
      </c>
      <c r="H3484" t="s">
        <v>75</v>
      </c>
      <c r="I3484" t="s">
        <v>121</v>
      </c>
      <c r="J3484" t="s">
        <v>122</v>
      </c>
      <c r="K3484">
        <v>0</v>
      </c>
      <c r="L3484" s="84">
        <v>-78350</v>
      </c>
      <c r="M3484" s="84">
        <v>0</v>
      </c>
    </row>
    <row r="3485" spans="3:13" hidden="1" x14ac:dyDescent="0.25">
      <c r="C3485" t="s">
        <v>65</v>
      </c>
      <c r="D3485" t="s">
        <v>120</v>
      </c>
      <c r="E3485" t="s">
        <v>63</v>
      </c>
      <c r="F3485" t="s">
        <v>124</v>
      </c>
      <c r="G3485">
        <v>-4</v>
      </c>
      <c r="H3485" t="s">
        <v>68</v>
      </c>
      <c r="I3485" t="s">
        <v>121</v>
      </c>
      <c r="J3485" t="s">
        <v>122</v>
      </c>
      <c r="K3485">
        <v>0</v>
      </c>
      <c r="L3485" s="84">
        <v>1680787</v>
      </c>
      <c r="M3485" s="84">
        <v>0</v>
      </c>
    </row>
    <row r="3486" spans="3:13" hidden="1" x14ac:dyDescent="0.25">
      <c r="C3486" t="s">
        <v>65</v>
      </c>
      <c r="D3486" t="s">
        <v>120</v>
      </c>
      <c r="E3486" t="s">
        <v>60</v>
      </c>
      <c r="F3486" t="s">
        <v>124</v>
      </c>
      <c r="G3486">
        <v>2</v>
      </c>
      <c r="H3486" t="s">
        <v>70</v>
      </c>
      <c r="I3486" t="s">
        <v>121</v>
      </c>
      <c r="J3486" t="s">
        <v>122</v>
      </c>
      <c r="K3486">
        <v>0</v>
      </c>
      <c r="L3486" s="84">
        <v>-131219</v>
      </c>
      <c r="M3486" s="84">
        <v>0</v>
      </c>
    </row>
    <row r="3487" spans="3:13" hidden="1" x14ac:dyDescent="0.25">
      <c r="C3487" t="s">
        <v>64</v>
      </c>
      <c r="D3487" t="s">
        <v>120</v>
      </c>
      <c r="E3487" t="s">
        <v>60</v>
      </c>
      <c r="F3487" t="s">
        <v>124</v>
      </c>
      <c r="G3487">
        <v>3</v>
      </c>
      <c r="H3487" t="s">
        <v>73</v>
      </c>
      <c r="I3487" t="s">
        <v>121</v>
      </c>
      <c r="J3487" t="s">
        <v>122</v>
      </c>
      <c r="K3487">
        <v>0</v>
      </c>
      <c r="L3487" s="84">
        <v>-18077</v>
      </c>
      <c r="M3487" s="84">
        <v>0</v>
      </c>
    </row>
    <row r="3488" spans="3:13" hidden="1" x14ac:dyDescent="0.25">
      <c r="C3488" t="s">
        <v>119</v>
      </c>
      <c r="D3488" t="s">
        <v>120</v>
      </c>
      <c r="E3488" t="s">
        <v>63</v>
      </c>
      <c r="F3488" t="s">
        <v>25</v>
      </c>
      <c r="G3488">
        <v>12</v>
      </c>
      <c r="H3488" t="s">
        <v>14</v>
      </c>
      <c r="I3488" t="s">
        <v>121</v>
      </c>
      <c r="J3488" t="s">
        <v>122</v>
      </c>
      <c r="K3488">
        <v>0</v>
      </c>
      <c r="L3488" s="84">
        <v>5539052</v>
      </c>
      <c r="M3488" s="84">
        <v>66468624</v>
      </c>
    </row>
    <row r="3489" spans="3:13" hidden="1" x14ac:dyDescent="0.25">
      <c r="C3489" t="s">
        <v>119</v>
      </c>
      <c r="D3489" t="s">
        <v>120</v>
      </c>
      <c r="E3489" t="s">
        <v>60</v>
      </c>
      <c r="F3489" t="s">
        <v>24</v>
      </c>
      <c r="G3489">
        <v>4</v>
      </c>
      <c r="H3489" t="s">
        <v>76</v>
      </c>
      <c r="I3489" t="s">
        <v>121</v>
      </c>
      <c r="J3489" t="s">
        <v>122</v>
      </c>
      <c r="K3489">
        <v>0</v>
      </c>
      <c r="L3489" s="84">
        <v>-76</v>
      </c>
      <c r="M3489" s="84">
        <v>0</v>
      </c>
    </row>
    <row r="3490" spans="3:13" hidden="1" x14ac:dyDescent="0.25">
      <c r="C3490" t="s">
        <v>64</v>
      </c>
      <c r="D3490" t="s">
        <v>120</v>
      </c>
      <c r="E3490" t="s">
        <v>63</v>
      </c>
      <c r="F3490" t="s">
        <v>124</v>
      </c>
      <c r="G3490">
        <v>0</v>
      </c>
      <c r="H3490" t="s">
        <v>76</v>
      </c>
      <c r="I3490" t="s">
        <v>121</v>
      </c>
      <c r="J3490" t="s">
        <v>122</v>
      </c>
      <c r="K3490">
        <v>0</v>
      </c>
      <c r="L3490" s="84">
        <v>56149</v>
      </c>
      <c r="M3490" s="84">
        <v>0</v>
      </c>
    </row>
    <row r="3491" spans="3:13" hidden="1" x14ac:dyDescent="0.25">
      <c r="C3491" t="s">
        <v>65</v>
      </c>
      <c r="D3491" t="s">
        <v>125</v>
      </c>
      <c r="E3491" t="s">
        <v>63</v>
      </c>
      <c r="F3491" t="s">
        <v>24</v>
      </c>
      <c r="G3491">
        <v>18</v>
      </c>
      <c r="I3491" t="s">
        <v>121</v>
      </c>
      <c r="J3491" t="s">
        <v>122</v>
      </c>
      <c r="K3491">
        <v>0</v>
      </c>
      <c r="L3491" s="84">
        <v>6956323</v>
      </c>
      <c r="M3491" s="84">
        <v>125213814</v>
      </c>
    </row>
    <row r="3492" spans="3:13" hidden="1" x14ac:dyDescent="0.25">
      <c r="C3492" t="s">
        <v>119</v>
      </c>
      <c r="D3492" t="s">
        <v>120</v>
      </c>
      <c r="E3492" t="s">
        <v>63</v>
      </c>
      <c r="F3492" t="s">
        <v>123</v>
      </c>
      <c r="G3492">
        <v>2</v>
      </c>
      <c r="H3492" t="s">
        <v>67</v>
      </c>
      <c r="I3492" t="s">
        <v>121</v>
      </c>
      <c r="J3492" t="s">
        <v>122</v>
      </c>
      <c r="K3492">
        <v>0</v>
      </c>
      <c r="L3492" s="84">
        <v>2758138</v>
      </c>
      <c r="M3492" s="84">
        <v>5516276</v>
      </c>
    </row>
    <row r="3493" spans="3:13" hidden="1" x14ac:dyDescent="0.25">
      <c r="C3493" t="s">
        <v>119</v>
      </c>
      <c r="D3493" t="s">
        <v>125</v>
      </c>
      <c r="E3493" t="s">
        <v>60</v>
      </c>
      <c r="F3493" t="s">
        <v>24</v>
      </c>
      <c r="G3493">
        <v>36</v>
      </c>
      <c r="I3493" t="s">
        <v>121</v>
      </c>
      <c r="J3493" t="s">
        <v>122</v>
      </c>
      <c r="K3493">
        <v>0</v>
      </c>
      <c r="L3493" s="84">
        <v>-620226</v>
      </c>
      <c r="M3493" s="84">
        <v>0</v>
      </c>
    </row>
    <row r="3494" spans="3:13" hidden="1" x14ac:dyDescent="0.25">
      <c r="C3494" t="s">
        <v>65</v>
      </c>
      <c r="D3494" t="s">
        <v>120</v>
      </c>
      <c r="E3494" t="s">
        <v>60</v>
      </c>
      <c r="F3494" t="s">
        <v>124</v>
      </c>
      <c r="G3494">
        <v>-1</v>
      </c>
      <c r="H3494" t="s">
        <v>76</v>
      </c>
      <c r="I3494" t="s">
        <v>121</v>
      </c>
      <c r="J3494" t="s">
        <v>122</v>
      </c>
      <c r="K3494">
        <v>0</v>
      </c>
      <c r="L3494" s="84">
        <v>-251244</v>
      </c>
      <c r="M3494" s="84">
        <v>0</v>
      </c>
    </row>
    <row r="3495" spans="3:13" hidden="1" x14ac:dyDescent="0.25">
      <c r="C3495" t="s">
        <v>64</v>
      </c>
      <c r="D3495" t="s">
        <v>120</v>
      </c>
      <c r="E3495" t="s">
        <v>63</v>
      </c>
      <c r="F3495" t="s">
        <v>24</v>
      </c>
      <c r="G3495">
        <v>4</v>
      </c>
      <c r="H3495" t="s">
        <v>69</v>
      </c>
      <c r="I3495" t="s">
        <v>121</v>
      </c>
      <c r="J3495" t="s">
        <v>122</v>
      </c>
      <c r="K3495">
        <v>0</v>
      </c>
      <c r="L3495" s="84">
        <v>1368438</v>
      </c>
      <c r="M3495" s="84">
        <v>5473752</v>
      </c>
    </row>
    <row r="3496" spans="3:13" hidden="1" x14ac:dyDescent="0.25">
      <c r="C3496" t="s">
        <v>64</v>
      </c>
      <c r="D3496" t="s">
        <v>120</v>
      </c>
      <c r="E3496" t="s">
        <v>63</v>
      </c>
      <c r="F3496" t="s">
        <v>124</v>
      </c>
      <c r="G3496">
        <v>1</v>
      </c>
      <c r="H3496" t="s">
        <v>15</v>
      </c>
      <c r="I3496" t="s">
        <v>121</v>
      </c>
      <c r="J3496" t="s">
        <v>66</v>
      </c>
      <c r="K3496">
        <v>1</v>
      </c>
      <c r="L3496" s="84">
        <v>8688</v>
      </c>
      <c r="M3496" s="84">
        <v>8688</v>
      </c>
    </row>
    <row r="3497" spans="3:13" hidden="1" x14ac:dyDescent="0.25">
      <c r="C3497" t="s">
        <v>119</v>
      </c>
      <c r="D3497" t="s">
        <v>120</v>
      </c>
      <c r="E3497" t="s">
        <v>63</v>
      </c>
      <c r="F3497" t="s">
        <v>25</v>
      </c>
      <c r="G3497">
        <v>18</v>
      </c>
      <c r="H3497" t="s">
        <v>67</v>
      </c>
      <c r="I3497" t="s">
        <v>121</v>
      </c>
      <c r="J3497" t="s">
        <v>122</v>
      </c>
      <c r="K3497">
        <v>0</v>
      </c>
      <c r="L3497" s="84">
        <v>83583</v>
      </c>
      <c r="M3497" s="84">
        <v>1504494</v>
      </c>
    </row>
    <row r="3498" spans="3:13" hidden="1" x14ac:dyDescent="0.25">
      <c r="C3498" t="s">
        <v>119</v>
      </c>
      <c r="D3498" t="s">
        <v>120</v>
      </c>
      <c r="E3498" t="s">
        <v>63</v>
      </c>
      <c r="F3498" t="s">
        <v>123</v>
      </c>
      <c r="G3498">
        <v>1</v>
      </c>
      <c r="H3498" t="s">
        <v>18</v>
      </c>
      <c r="I3498" t="s">
        <v>121</v>
      </c>
      <c r="J3498" t="s">
        <v>66</v>
      </c>
      <c r="K3498">
        <v>1</v>
      </c>
      <c r="L3498" s="84">
        <v>314476</v>
      </c>
      <c r="M3498" s="84">
        <v>314476</v>
      </c>
    </row>
    <row r="3499" spans="3:13" hidden="1" x14ac:dyDescent="0.25">
      <c r="C3499" t="s">
        <v>64</v>
      </c>
      <c r="D3499" t="s">
        <v>120</v>
      </c>
      <c r="E3499" t="s">
        <v>63</v>
      </c>
      <c r="F3499" t="s">
        <v>123</v>
      </c>
      <c r="G3499">
        <v>6</v>
      </c>
      <c r="H3499" t="s">
        <v>75</v>
      </c>
      <c r="I3499" t="s">
        <v>121</v>
      </c>
      <c r="J3499" t="s">
        <v>122</v>
      </c>
      <c r="K3499">
        <v>0</v>
      </c>
      <c r="L3499" s="84">
        <v>379177</v>
      </c>
      <c r="M3499" s="84">
        <v>2275062</v>
      </c>
    </row>
    <row r="3500" spans="3:13" x14ac:dyDescent="0.25">
      <c r="C3500" t="s">
        <v>119</v>
      </c>
      <c r="D3500" t="s">
        <v>120</v>
      </c>
      <c r="E3500" t="s">
        <v>63</v>
      </c>
      <c r="F3500" t="s">
        <v>25</v>
      </c>
      <c r="G3500">
        <v>12</v>
      </c>
      <c r="H3500" t="s">
        <v>12</v>
      </c>
      <c r="I3500" t="s">
        <v>121</v>
      </c>
      <c r="J3500" t="s">
        <v>66</v>
      </c>
      <c r="K3500">
        <v>1</v>
      </c>
      <c r="L3500" s="84">
        <v>16699230</v>
      </c>
      <c r="M3500" s="84">
        <v>200390760</v>
      </c>
    </row>
    <row r="3501" spans="3:13" hidden="1" x14ac:dyDescent="0.25">
      <c r="C3501" t="s">
        <v>65</v>
      </c>
      <c r="D3501" t="s">
        <v>125</v>
      </c>
      <c r="E3501" t="s">
        <v>63</v>
      </c>
      <c r="F3501" t="s">
        <v>24</v>
      </c>
      <c r="G3501">
        <v>28</v>
      </c>
      <c r="I3501" t="s">
        <v>121</v>
      </c>
      <c r="J3501" t="s">
        <v>122</v>
      </c>
      <c r="K3501">
        <v>0</v>
      </c>
      <c r="L3501" s="84">
        <v>10376412</v>
      </c>
      <c r="M3501" s="84">
        <v>290539536</v>
      </c>
    </row>
    <row r="3502" spans="3:13" hidden="1" x14ac:dyDescent="0.25">
      <c r="C3502" t="s">
        <v>64</v>
      </c>
      <c r="D3502" t="s">
        <v>120</v>
      </c>
      <c r="E3502" t="s">
        <v>63</v>
      </c>
      <c r="F3502" t="s">
        <v>25</v>
      </c>
      <c r="G3502">
        <v>13</v>
      </c>
      <c r="H3502" t="s">
        <v>68</v>
      </c>
      <c r="I3502" t="s">
        <v>121</v>
      </c>
      <c r="J3502" t="s">
        <v>122</v>
      </c>
      <c r="K3502">
        <v>0</v>
      </c>
      <c r="L3502" s="84">
        <v>4966784</v>
      </c>
      <c r="M3502" s="84">
        <v>64568192</v>
      </c>
    </row>
    <row r="3503" spans="3:13" hidden="1" x14ac:dyDescent="0.25">
      <c r="C3503" t="s">
        <v>119</v>
      </c>
      <c r="D3503" t="s">
        <v>120</v>
      </c>
      <c r="E3503" t="s">
        <v>63</v>
      </c>
      <c r="F3503" t="s">
        <v>25</v>
      </c>
      <c r="G3503">
        <v>12</v>
      </c>
      <c r="H3503" t="s">
        <v>12</v>
      </c>
      <c r="I3503" t="s">
        <v>121</v>
      </c>
      <c r="J3503" t="s">
        <v>122</v>
      </c>
      <c r="K3503">
        <v>0</v>
      </c>
      <c r="L3503" s="84">
        <v>504809</v>
      </c>
      <c r="M3503" s="84">
        <v>6057708</v>
      </c>
    </row>
    <row r="3504" spans="3:13" hidden="1" x14ac:dyDescent="0.25">
      <c r="C3504" t="s">
        <v>65</v>
      </c>
      <c r="D3504" t="s">
        <v>120</v>
      </c>
      <c r="E3504" t="s">
        <v>60</v>
      </c>
      <c r="F3504" t="s">
        <v>123</v>
      </c>
      <c r="G3504">
        <v>3</v>
      </c>
      <c r="H3504" t="s">
        <v>61</v>
      </c>
      <c r="I3504" t="s">
        <v>121</v>
      </c>
      <c r="J3504" t="s">
        <v>122</v>
      </c>
      <c r="K3504">
        <v>0</v>
      </c>
      <c r="L3504" s="84">
        <v>-55796</v>
      </c>
      <c r="M3504" s="84">
        <v>0</v>
      </c>
    </row>
    <row r="3505" spans="3:13" hidden="1" x14ac:dyDescent="0.25">
      <c r="C3505" t="s">
        <v>119</v>
      </c>
      <c r="D3505" t="s">
        <v>126</v>
      </c>
      <c r="E3505" t="s">
        <v>60</v>
      </c>
      <c r="F3505" t="s">
        <v>25</v>
      </c>
      <c r="G3505">
        <v>6</v>
      </c>
      <c r="H3505" t="s">
        <v>68</v>
      </c>
      <c r="I3505" t="s">
        <v>121</v>
      </c>
      <c r="J3505" t="s">
        <v>122</v>
      </c>
      <c r="K3505">
        <v>0</v>
      </c>
      <c r="L3505" s="84">
        <v>-45780</v>
      </c>
      <c r="M3505" s="84">
        <v>0</v>
      </c>
    </row>
    <row r="3506" spans="3:13" hidden="1" x14ac:dyDescent="0.25">
      <c r="C3506" t="s">
        <v>64</v>
      </c>
      <c r="D3506" t="s">
        <v>120</v>
      </c>
      <c r="E3506" t="s">
        <v>60</v>
      </c>
      <c r="F3506" t="s">
        <v>25</v>
      </c>
      <c r="G3506">
        <v>2</v>
      </c>
      <c r="H3506" t="s">
        <v>61</v>
      </c>
      <c r="I3506" t="s">
        <v>121</v>
      </c>
      <c r="J3506" t="s">
        <v>122</v>
      </c>
      <c r="K3506">
        <v>0</v>
      </c>
      <c r="L3506" s="84">
        <v>-162</v>
      </c>
      <c r="M3506" s="84">
        <v>0</v>
      </c>
    </row>
    <row r="3507" spans="3:13" hidden="1" x14ac:dyDescent="0.25">
      <c r="C3507" t="s">
        <v>64</v>
      </c>
      <c r="D3507" t="s">
        <v>120</v>
      </c>
      <c r="E3507" t="s">
        <v>60</v>
      </c>
      <c r="F3507" t="s">
        <v>124</v>
      </c>
      <c r="G3507">
        <v>5</v>
      </c>
      <c r="H3507" t="s">
        <v>17</v>
      </c>
      <c r="I3507" t="s">
        <v>121</v>
      </c>
      <c r="J3507" t="s">
        <v>122</v>
      </c>
      <c r="K3507">
        <v>0</v>
      </c>
      <c r="L3507" s="84">
        <v>-204611</v>
      </c>
      <c r="M3507" s="84">
        <v>0</v>
      </c>
    </row>
    <row r="3508" spans="3:13" hidden="1" x14ac:dyDescent="0.25">
      <c r="C3508" t="s">
        <v>65</v>
      </c>
      <c r="D3508" t="s">
        <v>120</v>
      </c>
      <c r="E3508" t="s">
        <v>60</v>
      </c>
      <c r="F3508" t="s">
        <v>124</v>
      </c>
      <c r="G3508">
        <v>-1</v>
      </c>
      <c r="H3508" t="s">
        <v>71</v>
      </c>
      <c r="I3508" t="s">
        <v>121</v>
      </c>
      <c r="J3508" t="s">
        <v>122</v>
      </c>
      <c r="K3508">
        <v>0</v>
      </c>
      <c r="L3508" s="84">
        <v>-205384</v>
      </c>
      <c r="M3508" s="84">
        <v>0</v>
      </c>
    </row>
    <row r="3509" spans="3:13" hidden="1" x14ac:dyDescent="0.25">
      <c r="C3509" t="s">
        <v>65</v>
      </c>
      <c r="D3509" t="s">
        <v>120</v>
      </c>
      <c r="E3509" t="s">
        <v>60</v>
      </c>
      <c r="F3509" t="s">
        <v>25</v>
      </c>
      <c r="G3509">
        <v>9</v>
      </c>
      <c r="H3509" t="s">
        <v>17</v>
      </c>
      <c r="I3509" t="s">
        <v>121</v>
      </c>
      <c r="J3509" t="s">
        <v>66</v>
      </c>
      <c r="K3509">
        <v>1</v>
      </c>
      <c r="L3509" s="84">
        <v>-18769</v>
      </c>
      <c r="M3509" s="84">
        <v>0</v>
      </c>
    </row>
    <row r="3510" spans="3:13" hidden="1" x14ac:dyDescent="0.25">
      <c r="C3510" t="s">
        <v>65</v>
      </c>
      <c r="D3510" t="s">
        <v>120</v>
      </c>
      <c r="E3510" t="s">
        <v>63</v>
      </c>
      <c r="F3510" t="s">
        <v>123</v>
      </c>
      <c r="G3510">
        <v>4</v>
      </c>
      <c r="H3510" t="s">
        <v>69</v>
      </c>
      <c r="I3510" t="s">
        <v>121</v>
      </c>
      <c r="J3510" t="s">
        <v>122</v>
      </c>
      <c r="K3510">
        <v>0</v>
      </c>
      <c r="L3510" s="84">
        <v>182292</v>
      </c>
      <c r="M3510" s="84">
        <v>729168</v>
      </c>
    </row>
    <row r="3511" spans="3:13" hidden="1" x14ac:dyDescent="0.25">
      <c r="C3511" t="s">
        <v>65</v>
      </c>
      <c r="D3511" t="s">
        <v>125</v>
      </c>
      <c r="E3511" t="s">
        <v>63</v>
      </c>
      <c r="F3511" t="s">
        <v>25</v>
      </c>
      <c r="G3511">
        <v>7</v>
      </c>
      <c r="I3511" t="s">
        <v>121</v>
      </c>
      <c r="J3511" t="s">
        <v>122</v>
      </c>
      <c r="K3511">
        <v>0</v>
      </c>
      <c r="L3511" s="84">
        <v>341179</v>
      </c>
      <c r="M3511" s="84">
        <v>2388253</v>
      </c>
    </row>
    <row r="3512" spans="3:13" hidden="1" x14ac:dyDescent="0.25">
      <c r="C3512" t="s">
        <v>119</v>
      </c>
      <c r="D3512" t="s">
        <v>120</v>
      </c>
      <c r="E3512" t="s">
        <v>63</v>
      </c>
      <c r="F3512" t="s">
        <v>123</v>
      </c>
      <c r="G3512">
        <v>2</v>
      </c>
      <c r="H3512" t="s">
        <v>77</v>
      </c>
      <c r="I3512" t="s">
        <v>121</v>
      </c>
      <c r="J3512" t="s">
        <v>122</v>
      </c>
      <c r="K3512">
        <v>0</v>
      </c>
      <c r="L3512" s="84">
        <v>10115</v>
      </c>
      <c r="M3512" s="84">
        <v>20230</v>
      </c>
    </row>
    <row r="3513" spans="3:13" hidden="1" x14ac:dyDescent="0.25">
      <c r="C3513" t="s">
        <v>64</v>
      </c>
      <c r="D3513" t="s">
        <v>120</v>
      </c>
      <c r="E3513" t="s">
        <v>63</v>
      </c>
      <c r="F3513" t="s">
        <v>124</v>
      </c>
      <c r="G3513">
        <v>0</v>
      </c>
      <c r="H3513" t="s">
        <v>71</v>
      </c>
      <c r="I3513" t="s">
        <v>121</v>
      </c>
      <c r="J3513" t="s">
        <v>122</v>
      </c>
      <c r="K3513">
        <v>0</v>
      </c>
      <c r="L3513" s="84">
        <v>47640</v>
      </c>
      <c r="M3513" s="84">
        <v>0</v>
      </c>
    </row>
    <row r="3514" spans="3:13" hidden="1" x14ac:dyDescent="0.25">
      <c r="C3514" t="s">
        <v>65</v>
      </c>
      <c r="D3514" t="s">
        <v>120</v>
      </c>
      <c r="E3514" t="s">
        <v>63</v>
      </c>
      <c r="F3514" t="s">
        <v>124</v>
      </c>
      <c r="G3514">
        <v>6</v>
      </c>
      <c r="H3514" t="s">
        <v>18</v>
      </c>
      <c r="I3514" t="s">
        <v>121</v>
      </c>
      <c r="J3514" t="s">
        <v>66</v>
      </c>
      <c r="K3514">
        <v>1</v>
      </c>
      <c r="L3514" s="84">
        <v>101124</v>
      </c>
      <c r="M3514" s="84">
        <v>606744</v>
      </c>
    </row>
    <row r="3515" spans="3:13" hidden="1" x14ac:dyDescent="0.25">
      <c r="C3515" t="s">
        <v>119</v>
      </c>
      <c r="D3515" t="s">
        <v>120</v>
      </c>
      <c r="E3515" t="s">
        <v>60</v>
      </c>
      <c r="F3515" t="s">
        <v>25</v>
      </c>
      <c r="G3515">
        <v>9</v>
      </c>
      <c r="H3515" t="s">
        <v>72</v>
      </c>
      <c r="I3515" t="s">
        <v>121</v>
      </c>
      <c r="J3515" t="s">
        <v>122</v>
      </c>
      <c r="K3515">
        <v>0</v>
      </c>
      <c r="L3515" s="84">
        <v>-16246</v>
      </c>
      <c r="M3515" s="84">
        <v>0</v>
      </c>
    </row>
    <row r="3516" spans="3:13" hidden="1" x14ac:dyDescent="0.25">
      <c r="C3516" t="s">
        <v>65</v>
      </c>
      <c r="D3516" t="s">
        <v>120</v>
      </c>
      <c r="E3516" t="s">
        <v>60</v>
      </c>
      <c r="F3516" t="s">
        <v>123</v>
      </c>
      <c r="G3516">
        <v>6</v>
      </c>
      <c r="H3516" t="s">
        <v>75</v>
      </c>
      <c r="I3516" t="s">
        <v>121</v>
      </c>
      <c r="J3516" t="s">
        <v>122</v>
      </c>
      <c r="K3516">
        <v>0</v>
      </c>
      <c r="L3516" s="84">
        <v>-2886202</v>
      </c>
      <c r="M3516" s="84">
        <v>0</v>
      </c>
    </row>
    <row r="3517" spans="3:13" hidden="1" x14ac:dyDescent="0.25">
      <c r="C3517" t="s">
        <v>119</v>
      </c>
      <c r="D3517" t="s">
        <v>120</v>
      </c>
      <c r="E3517" t="s">
        <v>60</v>
      </c>
      <c r="F3517" t="s">
        <v>25</v>
      </c>
      <c r="G3517">
        <v>14</v>
      </c>
      <c r="H3517" t="s">
        <v>61</v>
      </c>
      <c r="I3517" t="s">
        <v>121</v>
      </c>
      <c r="J3517" t="s">
        <v>122</v>
      </c>
      <c r="K3517">
        <v>0</v>
      </c>
      <c r="L3517" s="84">
        <v>-1764</v>
      </c>
      <c r="M3517" s="84">
        <v>0</v>
      </c>
    </row>
    <row r="3518" spans="3:13" hidden="1" x14ac:dyDescent="0.25">
      <c r="C3518" t="s">
        <v>64</v>
      </c>
      <c r="D3518" t="s">
        <v>120</v>
      </c>
      <c r="E3518" t="s">
        <v>63</v>
      </c>
      <c r="F3518" t="s">
        <v>25</v>
      </c>
      <c r="G3518">
        <v>3</v>
      </c>
      <c r="H3518" t="s">
        <v>12</v>
      </c>
      <c r="I3518" t="s">
        <v>121</v>
      </c>
      <c r="J3518" t="s">
        <v>122</v>
      </c>
      <c r="K3518">
        <v>0</v>
      </c>
      <c r="L3518" s="84">
        <v>270245</v>
      </c>
      <c r="M3518" s="84">
        <v>810735</v>
      </c>
    </row>
    <row r="3519" spans="3:13" hidden="1" x14ac:dyDescent="0.25">
      <c r="C3519" t="s">
        <v>119</v>
      </c>
      <c r="D3519" t="s">
        <v>120</v>
      </c>
      <c r="E3519" t="s">
        <v>63</v>
      </c>
      <c r="F3519" t="s">
        <v>24</v>
      </c>
      <c r="G3519">
        <v>8</v>
      </c>
      <c r="H3519" t="s">
        <v>17</v>
      </c>
      <c r="I3519" t="s">
        <v>121</v>
      </c>
      <c r="J3519" t="s">
        <v>122</v>
      </c>
      <c r="K3519">
        <v>0</v>
      </c>
      <c r="L3519" s="84">
        <v>2785522</v>
      </c>
      <c r="M3519" s="84">
        <v>22284176</v>
      </c>
    </row>
    <row r="3520" spans="3:13" hidden="1" x14ac:dyDescent="0.25">
      <c r="C3520" t="s">
        <v>119</v>
      </c>
      <c r="D3520" t="s">
        <v>120</v>
      </c>
      <c r="E3520" t="s">
        <v>60</v>
      </c>
      <c r="F3520" t="s">
        <v>124</v>
      </c>
      <c r="G3520">
        <v>-1</v>
      </c>
      <c r="H3520" t="s">
        <v>76</v>
      </c>
      <c r="I3520" t="s">
        <v>121</v>
      </c>
      <c r="J3520" t="s">
        <v>122</v>
      </c>
      <c r="K3520">
        <v>0</v>
      </c>
      <c r="L3520" s="84">
        <v>-28085</v>
      </c>
      <c r="M3520" s="84">
        <v>0</v>
      </c>
    </row>
    <row r="3521" spans="3:13" hidden="1" x14ac:dyDescent="0.25">
      <c r="C3521" t="s">
        <v>64</v>
      </c>
      <c r="D3521" t="s">
        <v>120</v>
      </c>
      <c r="E3521" t="s">
        <v>60</v>
      </c>
      <c r="F3521" t="s">
        <v>124</v>
      </c>
      <c r="G3521">
        <v>-1</v>
      </c>
      <c r="H3521" t="s">
        <v>17</v>
      </c>
      <c r="I3521" t="s">
        <v>121</v>
      </c>
      <c r="J3521" t="s">
        <v>66</v>
      </c>
      <c r="K3521">
        <v>1</v>
      </c>
      <c r="L3521" s="84">
        <v>-148196</v>
      </c>
      <c r="M3521" s="84">
        <v>0</v>
      </c>
    </row>
    <row r="3522" spans="3:13" hidden="1" x14ac:dyDescent="0.25">
      <c r="C3522" t="s">
        <v>65</v>
      </c>
      <c r="D3522" t="s">
        <v>120</v>
      </c>
      <c r="E3522" t="s">
        <v>63</v>
      </c>
      <c r="F3522" t="s">
        <v>124</v>
      </c>
      <c r="G3522">
        <v>-4</v>
      </c>
      <c r="H3522" t="s">
        <v>61</v>
      </c>
      <c r="I3522" t="s">
        <v>121</v>
      </c>
      <c r="J3522" t="s">
        <v>122</v>
      </c>
      <c r="K3522">
        <v>0</v>
      </c>
      <c r="L3522" s="84">
        <v>697123</v>
      </c>
      <c r="M3522" s="84">
        <v>0</v>
      </c>
    </row>
    <row r="3523" spans="3:13" hidden="1" x14ac:dyDescent="0.25">
      <c r="C3523" t="s">
        <v>64</v>
      </c>
      <c r="D3523" t="s">
        <v>120</v>
      </c>
      <c r="E3523" t="s">
        <v>60</v>
      </c>
      <c r="F3523" t="s">
        <v>25</v>
      </c>
      <c r="G3523">
        <v>9</v>
      </c>
      <c r="H3523" t="s">
        <v>14</v>
      </c>
      <c r="I3523" t="s">
        <v>121</v>
      </c>
      <c r="J3523" t="s">
        <v>66</v>
      </c>
      <c r="K3523">
        <v>1</v>
      </c>
      <c r="L3523" s="84">
        <v>-10193</v>
      </c>
      <c r="M3523" s="84">
        <v>0</v>
      </c>
    </row>
    <row r="3524" spans="3:13" hidden="1" x14ac:dyDescent="0.25">
      <c r="C3524" t="s">
        <v>64</v>
      </c>
      <c r="D3524" t="s">
        <v>120</v>
      </c>
      <c r="E3524" t="s">
        <v>60</v>
      </c>
      <c r="F3524" t="s">
        <v>25</v>
      </c>
      <c r="G3524">
        <v>13</v>
      </c>
      <c r="H3524" t="s">
        <v>14</v>
      </c>
      <c r="I3524" t="s">
        <v>121</v>
      </c>
      <c r="J3524" t="s">
        <v>122</v>
      </c>
      <c r="K3524">
        <v>0</v>
      </c>
      <c r="L3524" s="84">
        <v>-11245</v>
      </c>
      <c r="M3524" s="84">
        <v>0</v>
      </c>
    </row>
    <row r="3525" spans="3:13" hidden="1" x14ac:dyDescent="0.25">
      <c r="C3525" t="s">
        <v>119</v>
      </c>
      <c r="D3525" t="s">
        <v>120</v>
      </c>
      <c r="E3525" t="s">
        <v>60</v>
      </c>
      <c r="F3525" t="s">
        <v>124</v>
      </c>
      <c r="G3525">
        <v>0</v>
      </c>
      <c r="H3525" t="s">
        <v>73</v>
      </c>
      <c r="I3525" t="s">
        <v>121</v>
      </c>
      <c r="J3525" t="s">
        <v>122</v>
      </c>
      <c r="K3525">
        <v>0</v>
      </c>
      <c r="L3525" s="84">
        <v>-20254</v>
      </c>
      <c r="M3525" s="84">
        <v>0</v>
      </c>
    </row>
    <row r="3526" spans="3:13" hidden="1" x14ac:dyDescent="0.25">
      <c r="C3526" t="s">
        <v>64</v>
      </c>
      <c r="D3526" t="s">
        <v>120</v>
      </c>
      <c r="E3526" t="s">
        <v>60</v>
      </c>
      <c r="F3526" t="s">
        <v>124</v>
      </c>
      <c r="G3526">
        <v>0</v>
      </c>
      <c r="H3526" t="s">
        <v>18</v>
      </c>
      <c r="I3526" t="s">
        <v>121</v>
      </c>
      <c r="J3526" t="s">
        <v>66</v>
      </c>
      <c r="K3526">
        <v>1</v>
      </c>
      <c r="L3526" s="84">
        <v>-18461</v>
      </c>
      <c r="M3526" s="84">
        <v>0</v>
      </c>
    </row>
    <row r="3527" spans="3:13" hidden="1" x14ac:dyDescent="0.25">
      <c r="C3527" t="s">
        <v>65</v>
      </c>
      <c r="D3527" t="s">
        <v>120</v>
      </c>
      <c r="E3527" t="s">
        <v>60</v>
      </c>
      <c r="F3527" t="s">
        <v>124</v>
      </c>
      <c r="G3527">
        <v>3</v>
      </c>
      <c r="H3527" t="s">
        <v>18</v>
      </c>
      <c r="I3527" t="s">
        <v>121</v>
      </c>
      <c r="J3527" t="s">
        <v>66</v>
      </c>
      <c r="K3527">
        <v>1</v>
      </c>
      <c r="L3527" s="84">
        <v>-60573</v>
      </c>
      <c r="M3527" s="84">
        <v>0</v>
      </c>
    </row>
    <row r="3528" spans="3:13" hidden="1" x14ac:dyDescent="0.25">
      <c r="C3528" t="s">
        <v>65</v>
      </c>
      <c r="D3528" t="s">
        <v>120</v>
      </c>
      <c r="E3528" t="s">
        <v>60</v>
      </c>
      <c r="F3528" t="s">
        <v>124</v>
      </c>
      <c r="G3528">
        <v>-4</v>
      </c>
      <c r="H3528" t="s">
        <v>17</v>
      </c>
      <c r="I3528" t="s">
        <v>62</v>
      </c>
      <c r="J3528" t="s">
        <v>66</v>
      </c>
      <c r="K3528">
        <v>1</v>
      </c>
      <c r="L3528" s="84">
        <v>-53504</v>
      </c>
      <c r="M3528" s="84">
        <v>0</v>
      </c>
    </row>
    <row r="3529" spans="3:13" hidden="1" x14ac:dyDescent="0.25">
      <c r="C3529" t="s">
        <v>65</v>
      </c>
      <c r="D3529" t="s">
        <v>125</v>
      </c>
      <c r="E3529" t="s">
        <v>60</v>
      </c>
      <c r="F3529" t="s">
        <v>24</v>
      </c>
      <c r="G3529">
        <v>32</v>
      </c>
      <c r="I3529" t="s">
        <v>121</v>
      </c>
      <c r="J3529" t="s">
        <v>122</v>
      </c>
      <c r="K3529">
        <v>0</v>
      </c>
      <c r="L3529" s="84">
        <v>-1260112</v>
      </c>
      <c r="M3529" s="84">
        <v>0</v>
      </c>
    </row>
    <row r="3530" spans="3:13" hidden="1" x14ac:dyDescent="0.25">
      <c r="C3530" t="s">
        <v>119</v>
      </c>
      <c r="D3530" t="s">
        <v>120</v>
      </c>
      <c r="E3530" t="s">
        <v>60</v>
      </c>
      <c r="F3530" t="s">
        <v>24</v>
      </c>
      <c r="G3530">
        <v>5</v>
      </c>
      <c r="H3530" t="s">
        <v>17</v>
      </c>
      <c r="I3530" t="s">
        <v>121</v>
      </c>
      <c r="J3530" t="s">
        <v>122</v>
      </c>
      <c r="K3530">
        <v>0</v>
      </c>
      <c r="L3530" s="84">
        <v>-1064</v>
      </c>
      <c r="M3530" s="84">
        <v>0</v>
      </c>
    </row>
    <row r="3531" spans="3:13" hidden="1" x14ac:dyDescent="0.25">
      <c r="C3531" t="s">
        <v>119</v>
      </c>
      <c r="D3531" t="s">
        <v>120</v>
      </c>
      <c r="E3531" t="s">
        <v>63</v>
      </c>
      <c r="F3531" t="s">
        <v>25</v>
      </c>
      <c r="G3531">
        <v>2</v>
      </c>
      <c r="H3531" t="s">
        <v>17</v>
      </c>
      <c r="I3531" t="s">
        <v>121</v>
      </c>
      <c r="J3531" t="s">
        <v>122</v>
      </c>
      <c r="K3531">
        <v>0</v>
      </c>
      <c r="L3531" s="84">
        <v>87209226</v>
      </c>
      <c r="M3531" s="84">
        <v>174418452</v>
      </c>
    </row>
    <row r="3532" spans="3:13" hidden="1" x14ac:dyDescent="0.25">
      <c r="C3532" t="s">
        <v>65</v>
      </c>
      <c r="D3532" t="s">
        <v>125</v>
      </c>
      <c r="E3532" t="s">
        <v>60</v>
      </c>
      <c r="F3532" t="s">
        <v>25</v>
      </c>
      <c r="G3532">
        <v>-4</v>
      </c>
      <c r="I3532" t="s">
        <v>121</v>
      </c>
      <c r="J3532" t="s">
        <v>122</v>
      </c>
      <c r="K3532">
        <v>0</v>
      </c>
      <c r="L3532" s="84">
        <v>-1213903</v>
      </c>
      <c r="M3532" s="84">
        <v>0</v>
      </c>
    </row>
    <row r="3533" spans="3:13" hidden="1" x14ac:dyDescent="0.25">
      <c r="C3533" t="s">
        <v>65</v>
      </c>
      <c r="D3533" t="s">
        <v>120</v>
      </c>
      <c r="E3533" t="s">
        <v>60</v>
      </c>
      <c r="F3533" t="s">
        <v>24</v>
      </c>
      <c r="G3533">
        <v>1</v>
      </c>
      <c r="H3533" t="s">
        <v>14</v>
      </c>
      <c r="I3533" t="s">
        <v>121</v>
      </c>
      <c r="J3533" t="s">
        <v>66</v>
      </c>
      <c r="K3533">
        <v>1</v>
      </c>
      <c r="L3533" s="84">
        <v>-264411</v>
      </c>
      <c r="M3533" s="84">
        <v>0</v>
      </c>
    </row>
    <row r="3534" spans="3:13" hidden="1" x14ac:dyDescent="0.25">
      <c r="C3534" t="s">
        <v>64</v>
      </c>
      <c r="D3534" t="s">
        <v>120</v>
      </c>
      <c r="E3534" t="s">
        <v>63</v>
      </c>
      <c r="F3534" t="s">
        <v>123</v>
      </c>
      <c r="G3534">
        <v>0</v>
      </c>
      <c r="H3534" t="s">
        <v>17</v>
      </c>
      <c r="I3534" t="s">
        <v>121</v>
      </c>
      <c r="J3534" t="s">
        <v>122</v>
      </c>
      <c r="K3534">
        <v>0</v>
      </c>
      <c r="L3534" s="84">
        <v>49544</v>
      </c>
      <c r="M3534" s="84">
        <v>0</v>
      </c>
    </row>
    <row r="3535" spans="3:13" hidden="1" x14ac:dyDescent="0.25">
      <c r="C3535" t="s">
        <v>119</v>
      </c>
      <c r="D3535" t="s">
        <v>120</v>
      </c>
      <c r="E3535" t="s">
        <v>60</v>
      </c>
      <c r="F3535" t="s">
        <v>124</v>
      </c>
      <c r="G3535">
        <v>4</v>
      </c>
      <c r="H3535" t="s">
        <v>16</v>
      </c>
      <c r="I3535" t="s">
        <v>121</v>
      </c>
      <c r="J3535" t="s">
        <v>122</v>
      </c>
      <c r="K3535">
        <v>0</v>
      </c>
      <c r="L3535" s="84">
        <v>-1715</v>
      </c>
      <c r="M3535" s="84">
        <v>0</v>
      </c>
    </row>
    <row r="3536" spans="3:13" hidden="1" x14ac:dyDescent="0.25">
      <c r="C3536" t="s">
        <v>64</v>
      </c>
      <c r="D3536" t="s">
        <v>120</v>
      </c>
      <c r="E3536" t="s">
        <v>60</v>
      </c>
      <c r="F3536" t="s">
        <v>25</v>
      </c>
      <c r="G3536">
        <v>2</v>
      </c>
      <c r="H3536" t="s">
        <v>14</v>
      </c>
      <c r="I3536" t="s">
        <v>121</v>
      </c>
      <c r="J3536" t="s">
        <v>66</v>
      </c>
      <c r="K3536">
        <v>1</v>
      </c>
      <c r="L3536" s="84">
        <v>-2362</v>
      </c>
      <c r="M3536" s="84">
        <v>0</v>
      </c>
    </row>
    <row r="3537" spans="3:13" x14ac:dyDescent="0.25">
      <c r="C3537" t="s">
        <v>119</v>
      </c>
      <c r="D3537" t="s">
        <v>120</v>
      </c>
      <c r="E3537" t="s">
        <v>63</v>
      </c>
      <c r="F3537" t="s">
        <v>25</v>
      </c>
      <c r="G3537">
        <v>6</v>
      </c>
      <c r="H3537" t="s">
        <v>17</v>
      </c>
      <c r="I3537" t="s">
        <v>62</v>
      </c>
      <c r="J3537" t="s">
        <v>66</v>
      </c>
      <c r="K3537">
        <v>1</v>
      </c>
      <c r="L3537" s="84">
        <v>127169</v>
      </c>
      <c r="M3537" s="84">
        <v>763014</v>
      </c>
    </row>
    <row r="3538" spans="3:13" hidden="1" x14ac:dyDescent="0.25">
      <c r="C3538" t="s">
        <v>64</v>
      </c>
      <c r="D3538" t="s">
        <v>120</v>
      </c>
      <c r="E3538" t="s">
        <v>60</v>
      </c>
      <c r="F3538" t="s">
        <v>25</v>
      </c>
      <c r="G3538">
        <v>3</v>
      </c>
      <c r="H3538" t="s">
        <v>14</v>
      </c>
      <c r="I3538" t="s">
        <v>121</v>
      </c>
      <c r="J3538" t="s">
        <v>122</v>
      </c>
      <c r="K3538">
        <v>0</v>
      </c>
      <c r="L3538" s="84">
        <v>-60017</v>
      </c>
      <c r="M3538" s="84">
        <v>0</v>
      </c>
    </row>
    <row r="3539" spans="3:13" hidden="1" x14ac:dyDescent="0.25">
      <c r="C3539" t="s">
        <v>64</v>
      </c>
      <c r="D3539" t="s">
        <v>120</v>
      </c>
      <c r="E3539" t="s">
        <v>63</v>
      </c>
      <c r="F3539" t="s">
        <v>25</v>
      </c>
      <c r="G3539">
        <v>13</v>
      </c>
      <c r="H3539" t="s">
        <v>76</v>
      </c>
      <c r="I3539" t="s">
        <v>121</v>
      </c>
      <c r="J3539" t="s">
        <v>122</v>
      </c>
      <c r="K3539">
        <v>0</v>
      </c>
      <c r="L3539" s="84">
        <v>250404</v>
      </c>
      <c r="M3539" s="84">
        <v>3255252</v>
      </c>
    </row>
    <row r="3540" spans="3:13" hidden="1" x14ac:dyDescent="0.25">
      <c r="C3540" t="s">
        <v>119</v>
      </c>
      <c r="D3540" t="s">
        <v>120</v>
      </c>
      <c r="E3540" t="s">
        <v>60</v>
      </c>
      <c r="F3540" t="s">
        <v>123</v>
      </c>
      <c r="G3540">
        <v>-1</v>
      </c>
      <c r="H3540" t="s">
        <v>68</v>
      </c>
      <c r="I3540" t="s">
        <v>121</v>
      </c>
      <c r="J3540" t="s">
        <v>122</v>
      </c>
      <c r="K3540">
        <v>0</v>
      </c>
      <c r="L3540" s="84">
        <v>-6677</v>
      </c>
      <c r="M3540" s="84">
        <v>0</v>
      </c>
    </row>
    <row r="3541" spans="3:13" hidden="1" x14ac:dyDescent="0.25">
      <c r="C3541" t="s">
        <v>64</v>
      </c>
      <c r="D3541" t="s">
        <v>120</v>
      </c>
      <c r="E3541" t="s">
        <v>60</v>
      </c>
      <c r="F3541" t="s">
        <v>24</v>
      </c>
      <c r="G3541">
        <v>10</v>
      </c>
      <c r="H3541" t="s">
        <v>14</v>
      </c>
      <c r="I3541" t="s">
        <v>121</v>
      </c>
      <c r="J3541" t="s">
        <v>122</v>
      </c>
      <c r="K3541">
        <v>0</v>
      </c>
      <c r="L3541" s="84">
        <v>-5562</v>
      </c>
      <c r="M3541" s="84">
        <v>0</v>
      </c>
    </row>
    <row r="3542" spans="3:13" hidden="1" x14ac:dyDescent="0.25">
      <c r="C3542" t="s">
        <v>119</v>
      </c>
      <c r="D3542" t="s">
        <v>120</v>
      </c>
      <c r="E3542" t="s">
        <v>63</v>
      </c>
      <c r="F3542" t="s">
        <v>123</v>
      </c>
      <c r="G3542">
        <v>4</v>
      </c>
      <c r="H3542" t="s">
        <v>13</v>
      </c>
      <c r="I3542" t="s">
        <v>121</v>
      </c>
      <c r="J3542" t="s">
        <v>122</v>
      </c>
      <c r="K3542">
        <v>0</v>
      </c>
      <c r="L3542" s="84">
        <v>636406</v>
      </c>
      <c r="M3542" s="84">
        <v>2545624</v>
      </c>
    </row>
    <row r="3543" spans="3:13" hidden="1" x14ac:dyDescent="0.25">
      <c r="C3543" t="s">
        <v>65</v>
      </c>
      <c r="D3543" t="s">
        <v>120</v>
      </c>
      <c r="E3543" t="s">
        <v>63</v>
      </c>
      <c r="F3543" t="s">
        <v>25</v>
      </c>
      <c r="G3543">
        <v>0</v>
      </c>
      <c r="H3543" t="s">
        <v>69</v>
      </c>
      <c r="I3543" t="s">
        <v>121</v>
      </c>
      <c r="J3543" t="s">
        <v>122</v>
      </c>
      <c r="K3543">
        <v>0</v>
      </c>
      <c r="L3543" s="84">
        <v>14672</v>
      </c>
      <c r="M3543" s="84">
        <v>0</v>
      </c>
    </row>
    <row r="3544" spans="3:13" hidden="1" x14ac:dyDescent="0.25">
      <c r="C3544" t="s">
        <v>64</v>
      </c>
      <c r="D3544" t="s">
        <v>120</v>
      </c>
      <c r="E3544" t="s">
        <v>63</v>
      </c>
      <c r="F3544" t="s">
        <v>25</v>
      </c>
      <c r="G3544">
        <v>8</v>
      </c>
      <c r="H3544" t="s">
        <v>17</v>
      </c>
      <c r="I3544" t="s">
        <v>121</v>
      </c>
      <c r="J3544" t="s">
        <v>122</v>
      </c>
      <c r="K3544">
        <v>0</v>
      </c>
      <c r="L3544" s="84">
        <v>168786</v>
      </c>
      <c r="M3544" s="84">
        <v>1350288</v>
      </c>
    </row>
    <row r="3545" spans="3:13" hidden="1" x14ac:dyDescent="0.25">
      <c r="C3545" t="s">
        <v>64</v>
      </c>
      <c r="D3545" t="s">
        <v>125</v>
      </c>
      <c r="E3545" t="s">
        <v>60</v>
      </c>
      <c r="F3545" t="s">
        <v>24</v>
      </c>
      <c r="G3545">
        <v>32</v>
      </c>
      <c r="I3545" t="s">
        <v>121</v>
      </c>
      <c r="J3545" t="s">
        <v>122</v>
      </c>
      <c r="K3545">
        <v>0</v>
      </c>
      <c r="L3545" s="84">
        <v>-1521272</v>
      </c>
      <c r="M3545" s="84">
        <v>0</v>
      </c>
    </row>
    <row r="3546" spans="3:13" hidden="1" x14ac:dyDescent="0.25">
      <c r="C3546" t="s">
        <v>64</v>
      </c>
      <c r="D3546" t="s">
        <v>120</v>
      </c>
      <c r="E3546" t="s">
        <v>60</v>
      </c>
      <c r="F3546" t="s">
        <v>25</v>
      </c>
      <c r="G3546">
        <v>4</v>
      </c>
      <c r="H3546" t="s">
        <v>17</v>
      </c>
      <c r="I3546" t="s">
        <v>62</v>
      </c>
      <c r="J3546" t="s">
        <v>66</v>
      </c>
      <c r="K3546">
        <v>1</v>
      </c>
      <c r="L3546" s="84">
        <v>-440</v>
      </c>
      <c r="M3546" s="84">
        <v>0</v>
      </c>
    </row>
    <row r="3547" spans="3:13" hidden="1" x14ac:dyDescent="0.25">
      <c r="C3547" t="s">
        <v>64</v>
      </c>
      <c r="D3547" t="s">
        <v>120</v>
      </c>
      <c r="E3547" t="s">
        <v>63</v>
      </c>
      <c r="F3547" t="s">
        <v>24</v>
      </c>
      <c r="G3547">
        <v>6</v>
      </c>
      <c r="H3547" t="s">
        <v>12</v>
      </c>
      <c r="I3547" t="s">
        <v>121</v>
      </c>
      <c r="J3547" t="s">
        <v>122</v>
      </c>
      <c r="K3547">
        <v>0</v>
      </c>
      <c r="L3547" s="84">
        <v>73127</v>
      </c>
      <c r="M3547" s="84">
        <v>438762</v>
      </c>
    </row>
    <row r="3548" spans="3:13" hidden="1" x14ac:dyDescent="0.25">
      <c r="C3548" t="s">
        <v>64</v>
      </c>
      <c r="D3548" t="s">
        <v>126</v>
      </c>
      <c r="E3548" t="s">
        <v>63</v>
      </c>
      <c r="F3548" t="s">
        <v>25</v>
      </c>
      <c r="G3548">
        <v>12</v>
      </c>
      <c r="H3548" t="s">
        <v>74</v>
      </c>
      <c r="I3548" t="s">
        <v>121</v>
      </c>
      <c r="J3548" t="s">
        <v>122</v>
      </c>
      <c r="K3548">
        <v>0</v>
      </c>
      <c r="L3548" s="84">
        <v>171495</v>
      </c>
      <c r="M3548" s="84">
        <v>2057940</v>
      </c>
    </row>
    <row r="3549" spans="3:13" hidden="1" x14ac:dyDescent="0.25">
      <c r="C3549" t="s">
        <v>65</v>
      </c>
      <c r="D3549" t="s">
        <v>120</v>
      </c>
      <c r="E3549" t="s">
        <v>60</v>
      </c>
      <c r="F3549" t="s">
        <v>124</v>
      </c>
      <c r="G3549">
        <v>4</v>
      </c>
      <c r="H3549" t="s">
        <v>18</v>
      </c>
      <c r="I3549" t="s">
        <v>121</v>
      </c>
      <c r="J3549" t="s">
        <v>122</v>
      </c>
      <c r="K3549">
        <v>0</v>
      </c>
      <c r="L3549" s="84">
        <v>-3123393</v>
      </c>
      <c r="M3549" s="84">
        <v>0</v>
      </c>
    </row>
    <row r="3550" spans="3:13" hidden="1" x14ac:dyDescent="0.25">
      <c r="C3550" t="s">
        <v>119</v>
      </c>
      <c r="D3550" t="s">
        <v>126</v>
      </c>
      <c r="E3550" t="s">
        <v>60</v>
      </c>
      <c r="F3550" t="s">
        <v>24</v>
      </c>
      <c r="G3550">
        <v>3</v>
      </c>
      <c r="H3550" t="s">
        <v>72</v>
      </c>
      <c r="I3550" t="s">
        <v>121</v>
      </c>
      <c r="J3550" t="s">
        <v>122</v>
      </c>
      <c r="K3550">
        <v>0</v>
      </c>
      <c r="L3550" s="84">
        <v>-780</v>
      </c>
      <c r="M3550" s="84">
        <v>0</v>
      </c>
    </row>
    <row r="3551" spans="3:13" hidden="1" x14ac:dyDescent="0.25">
      <c r="C3551" t="s">
        <v>119</v>
      </c>
      <c r="D3551" t="s">
        <v>125</v>
      </c>
      <c r="E3551" t="s">
        <v>60</v>
      </c>
      <c r="F3551" t="s">
        <v>25</v>
      </c>
      <c r="G3551">
        <v>13</v>
      </c>
      <c r="I3551" t="s">
        <v>121</v>
      </c>
      <c r="J3551" t="s">
        <v>122</v>
      </c>
      <c r="K3551">
        <v>0</v>
      </c>
      <c r="L3551" s="84">
        <v>-5825</v>
      </c>
      <c r="M3551" s="84">
        <v>0</v>
      </c>
    </row>
    <row r="3552" spans="3:13" hidden="1" x14ac:dyDescent="0.25">
      <c r="C3552" t="s">
        <v>64</v>
      </c>
      <c r="D3552" t="s">
        <v>120</v>
      </c>
      <c r="E3552" t="s">
        <v>60</v>
      </c>
      <c r="F3552" t="s">
        <v>24</v>
      </c>
      <c r="G3552">
        <v>14</v>
      </c>
      <c r="H3552" t="s">
        <v>69</v>
      </c>
      <c r="I3552" t="s">
        <v>121</v>
      </c>
      <c r="J3552" t="s">
        <v>122</v>
      </c>
      <c r="K3552">
        <v>0</v>
      </c>
      <c r="L3552" s="84">
        <v>-9769</v>
      </c>
      <c r="M3552" s="84">
        <v>0</v>
      </c>
    </row>
    <row r="3553" spans="3:13" hidden="1" x14ac:dyDescent="0.25">
      <c r="C3553" t="s">
        <v>119</v>
      </c>
      <c r="D3553" t="s">
        <v>120</v>
      </c>
      <c r="E3553" t="s">
        <v>60</v>
      </c>
      <c r="F3553" t="s">
        <v>24</v>
      </c>
      <c r="G3553">
        <v>8</v>
      </c>
      <c r="H3553" t="s">
        <v>69</v>
      </c>
      <c r="I3553" t="s">
        <v>121</v>
      </c>
      <c r="J3553" t="s">
        <v>122</v>
      </c>
      <c r="K3553">
        <v>0</v>
      </c>
      <c r="L3553" s="84">
        <v>-5609</v>
      </c>
      <c r="M3553" s="84">
        <v>0</v>
      </c>
    </row>
    <row r="3554" spans="3:13" hidden="1" x14ac:dyDescent="0.25">
      <c r="C3554" t="s">
        <v>64</v>
      </c>
      <c r="D3554" t="s">
        <v>120</v>
      </c>
      <c r="E3554" t="s">
        <v>63</v>
      </c>
      <c r="F3554" t="s">
        <v>124</v>
      </c>
      <c r="G3554">
        <v>-1</v>
      </c>
      <c r="H3554" t="s">
        <v>18</v>
      </c>
      <c r="I3554" t="s">
        <v>121</v>
      </c>
      <c r="J3554" t="s">
        <v>122</v>
      </c>
      <c r="K3554">
        <v>0</v>
      </c>
      <c r="L3554" s="84">
        <v>60599228</v>
      </c>
      <c r="M3554" s="84">
        <v>0</v>
      </c>
    </row>
    <row r="3555" spans="3:13" hidden="1" x14ac:dyDescent="0.25">
      <c r="C3555" t="s">
        <v>119</v>
      </c>
      <c r="D3555" t="s">
        <v>120</v>
      </c>
      <c r="E3555" t="s">
        <v>60</v>
      </c>
      <c r="F3555" t="s">
        <v>124</v>
      </c>
      <c r="G3555">
        <v>7</v>
      </c>
      <c r="H3555" t="s">
        <v>14</v>
      </c>
      <c r="I3555" t="s">
        <v>121</v>
      </c>
      <c r="J3555" t="s">
        <v>122</v>
      </c>
      <c r="K3555">
        <v>0</v>
      </c>
      <c r="L3555" s="84">
        <v>-28190</v>
      </c>
      <c r="M3555" s="84">
        <v>0</v>
      </c>
    </row>
    <row r="3556" spans="3:13" hidden="1" x14ac:dyDescent="0.25">
      <c r="C3556" t="s">
        <v>119</v>
      </c>
      <c r="D3556" t="s">
        <v>120</v>
      </c>
      <c r="E3556" t="s">
        <v>63</v>
      </c>
      <c r="F3556" t="s">
        <v>124</v>
      </c>
      <c r="G3556">
        <v>0</v>
      </c>
      <c r="H3556" t="s">
        <v>14</v>
      </c>
      <c r="I3556" t="s">
        <v>121</v>
      </c>
      <c r="J3556" t="s">
        <v>66</v>
      </c>
      <c r="K3556">
        <v>1</v>
      </c>
      <c r="L3556" s="84">
        <v>207352085</v>
      </c>
      <c r="M3556" s="84">
        <v>0</v>
      </c>
    </row>
    <row r="3557" spans="3:13" hidden="1" x14ac:dyDescent="0.25">
      <c r="C3557" t="s">
        <v>64</v>
      </c>
      <c r="D3557" t="s">
        <v>120</v>
      </c>
      <c r="E3557" t="s">
        <v>60</v>
      </c>
      <c r="F3557" t="s">
        <v>123</v>
      </c>
      <c r="G3557">
        <v>-4</v>
      </c>
      <c r="H3557" t="s">
        <v>17</v>
      </c>
      <c r="I3557" t="s">
        <v>121</v>
      </c>
      <c r="J3557" t="s">
        <v>66</v>
      </c>
      <c r="K3557">
        <v>1</v>
      </c>
      <c r="L3557" s="84">
        <v>-8</v>
      </c>
      <c r="M3557" s="84">
        <v>0</v>
      </c>
    </row>
    <row r="3558" spans="3:13" hidden="1" x14ac:dyDescent="0.25">
      <c r="C3558" t="s">
        <v>119</v>
      </c>
      <c r="D3558" t="s">
        <v>120</v>
      </c>
      <c r="E3558" t="s">
        <v>60</v>
      </c>
      <c r="F3558" t="s">
        <v>24</v>
      </c>
      <c r="G3558">
        <v>7</v>
      </c>
      <c r="H3558" t="s">
        <v>68</v>
      </c>
      <c r="I3558" t="s">
        <v>121</v>
      </c>
      <c r="J3558" t="s">
        <v>122</v>
      </c>
      <c r="K3558">
        <v>0</v>
      </c>
      <c r="L3558" s="84">
        <v>-8905</v>
      </c>
      <c r="M3558" s="84">
        <v>0</v>
      </c>
    </row>
    <row r="3559" spans="3:13" hidden="1" x14ac:dyDescent="0.25">
      <c r="C3559" t="s">
        <v>64</v>
      </c>
      <c r="D3559" t="s">
        <v>120</v>
      </c>
      <c r="E3559" t="s">
        <v>63</v>
      </c>
      <c r="F3559" t="s">
        <v>124</v>
      </c>
      <c r="G3559">
        <v>4</v>
      </c>
      <c r="H3559" t="s">
        <v>75</v>
      </c>
      <c r="I3559" t="s">
        <v>121</v>
      </c>
      <c r="J3559" t="s">
        <v>122</v>
      </c>
      <c r="K3559">
        <v>0</v>
      </c>
      <c r="L3559" s="84">
        <v>4395462</v>
      </c>
      <c r="M3559" s="84">
        <v>17581848</v>
      </c>
    </row>
    <row r="3560" spans="3:13" hidden="1" x14ac:dyDescent="0.25">
      <c r="C3560" t="s">
        <v>64</v>
      </c>
      <c r="D3560" t="s">
        <v>120</v>
      </c>
      <c r="E3560" t="s">
        <v>63</v>
      </c>
      <c r="F3560" t="s">
        <v>24</v>
      </c>
      <c r="G3560">
        <v>15</v>
      </c>
      <c r="H3560" t="s">
        <v>68</v>
      </c>
      <c r="I3560" t="s">
        <v>121</v>
      </c>
      <c r="J3560" t="s">
        <v>122</v>
      </c>
      <c r="K3560">
        <v>0</v>
      </c>
      <c r="L3560" s="84">
        <v>521660</v>
      </c>
      <c r="M3560" s="84">
        <v>7824900</v>
      </c>
    </row>
    <row r="3561" spans="3:13" hidden="1" x14ac:dyDescent="0.25">
      <c r="C3561" t="s">
        <v>64</v>
      </c>
      <c r="D3561" t="s">
        <v>120</v>
      </c>
      <c r="E3561" t="s">
        <v>60</v>
      </c>
      <c r="F3561" t="s">
        <v>24</v>
      </c>
      <c r="G3561">
        <v>4</v>
      </c>
      <c r="H3561" t="s">
        <v>68</v>
      </c>
      <c r="I3561" t="s">
        <v>121</v>
      </c>
      <c r="J3561" t="s">
        <v>122</v>
      </c>
      <c r="K3561">
        <v>0</v>
      </c>
      <c r="L3561" s="84">
        <v>-6202</v>
      </c>
      <c r="M3561" s="84">
        <v>0</v>
      </c>
    </row>
    <row r="3562" spans="3:13" hidden="1" x14ac:dyDescent="0.25">
      <c r="C3562" t="s">
        <v>119</v>
      </c>
      <c r="D3562" t="s">
        <v>120</v>
      </c>
      <c r="E3562" t="s">
        <v>63</v>
      </c>
      <c r="F3562" t="s">
        <v>124</v>
      </c>
      <c r="G3562">
        <v>1</v>
      </c>
      <c r="H3562" t="s">
        <v>78</v>
      </c>
      <c r="I3562" t="s">
        <v>121</v>
      </c>
      <c r="J3562" t="s">
        <v>122</v>
      </c>
      <c r="K3562">
        <v>0</v>
      </c>
      <c r="L3562" s="84">
        <v>68527052</v>
      </c>
      <c r="M3562" s="84">
        <v>68527052</v>
      </c>
    </row>
    <row r="3563" spans="3:13" hidden="1" x14ac:dyDescent="0.25">
      <c r="C3563" t="s">
        <v>119</v>
      </c>
      <c r="D3563" t="s">
        <v>120</v>
      </c>
      <c r="E3563" t="s">
        <v>60</v>
      </c>
      <c r="F3563" t="s">
        <v>124</v>
      </c>
      <c r="G3563">
        <v>-1</v>
      </c>
      <c r="H3563" t="s">
        <v>68</v>
      </c>
      <c r="I3563" t="s">
        <v>121</v>
      </c>
      <c r="J3563" t="s">
        <v>122</v>
      </c>
      <c r="K3563">
        <v>0</v>
      </c>
      <c r="L3563" s="84">
        <v>-185165</v>
      </c>
      <c r="M3563" s="84">
        <v>0</v>
      </c>
    </row>
    <row r="3564" spans="3:13" hidden="1" x14ac:dyDescent="0.25">
      <c r="C3564" t="s">
        <v>64</v>
      </c>
      <c r="D3564" t="s">
        <v>125</v>
      </c>
      <c r="E3564" t="s">
        <v>63</v>
      </c>
      <c r="F3564" t="s">
        <v>24</v>
      </c>
      <c r="G3564">
        <v>9</v>
      </c>
      <c r="I3564" t="s">
        <v>121</v>
      </c>
      <c r="J3564" t="s">
        <v>122</v>
      </c>
      <c r="K3564">
        <v>0</v>
      </c>
      <c r="L3564" s="84">
        <v>17093027</v>
      </c>
      <c r="M3564" s="84">
        <v>153837243</v>
      </c>
    </row>
    <row r="3565" spans="3:13" hidden="1" x14ac:dyDescent="0.25">
      <c r="C3565" t="s">
        <v>64</v>
      </c>
      <c r="D3565" t="s">
        <v>120</v>
      </c>
      <c r="E3565" t="s">
        <v>60</v>
      </c>
      <c r="F3565" t="s">
        <v>24</v>
      </c>
      <c r="G3565">
        <v>10</v>
      </c>
      <c r="H3565" t="s">
        <v>67</v>
      </c>
      <c r="I3565" t="s">
        <v>121</v>
      </c>
      <c r="J3565" t="s">
        <v>122</v>
      </c>
      <c r="K3565">
        <v>0</v>
      </c>
      <c r="L3565" s="84">
        <v>-122542</v>
      </c>
      <c r="M3565" s="84">
        <v>0</v>
      </c>
    </row>
    <row r="3566" spans="3:13" hidden="1" x14ac:dyDescent="0.25">
      <c r="C3566" t="s">
        <v>119</v>
      </c>
      <c r="D3566" t="s">
        <v>120</v>
      </c>
      <c r="E3566" t="s">
        <v>63</v>
      </c>
      <c r="F3566" t="s">
        <v>123</v>
      </c>
      <c r="G3566">
        <v>4</v>
      </c>
      <c r="H3566" t="s">
        <v>68</v>
      </c>
      <c r="I3566" t="s">
        <v>121</v>
      </c>
      <c r="J3566" t="s">
        <v>122</v>
      </c>
      <c r="K3566">
        <v>0</v>
      </c>
      <c r="L3566" s="84">
        <v>3924173</v>
      </c>
      <c r="M3566" s="84">
        <v>15696692</v>
      </c>
    </row>
    <row r="3567" spans="3:13" hidden="1" x14ac:dyDescent="0.25">
      <c r="C3567" t="s">
        <v>119</v>
      </c>
      <c r="D3567" t="s">
        <v>120</v>
      </c>
      <c r="E3567" t="s">
        <v>60</v>
      </c>
      <c r="F3567" t="s">
        <v>24</v>
      </c>
      <c r="G3567">
        <v>12</v>
      </c>
      <c r="H3567" t="s">
        <v>67</v>
      </c>
      <c r="I3567" t="s">
        <v>121</v>
      </c>
      <c r="J3567" t="s">
        <v>122</v>
      </c>
      <c r="K3567">
        <v>0</v>
      </c>
      <c r="L3567" s="84">
        <v>-497</v>
      </c>
      <c r="M3567" s="84">
        <v>0</v>
      </c>
    </row>
    <row r="3568" spans="3:13" hidden="1" x14ac:dyDescent="0.25">
      <c r="C3568" t="s">
        <v>65</v>
      </c>
      <c r="D3568" t="s">
        <v>120</v>
      </c>
      <c r="E3568" t="s">
        <v>63</v>
      </c>
      <c r="F3568" t="s">
        <v>25</v>
      </c>
      <c r="G3568">
        <v>0</v>
      </c>
      <c r="H3568" t="s">
        <v>18</v>
      </c>
      <c r="I3568" t="s">
        <v>121</v>
      </c>
      <c r="J3568" t="s">
        <v>122</v>
      </c>
      <c r="K3568">
        <v>0</v>
      </c>
      <c r="L3568" s="84">
        <v>61892</v>
      </c>
      <c r="M3568" s="84">
        <v>0</v>
      </c>
    </row>
    <row r="3569" spans="3:13" hidden="1" x14ac:dyDescent="0.25">
      <c r="C3569" t="s">
        <v>119</v>
      </c>
      <c r="D3569" t="s">
        <v>120</v>
      </c>
      <c r="E3569" t="s">
        <v>60</v>
      </c>
      <c r="F3569" t="s">
        <v>124</v>
      </c>
      <c r="G3569">
        <v>4</v>
      </c>
      <c r="H3569" t="s">
        <v>74</v>
      </c>
      <c r="I3569" t="s">
        <v>121</v>
      </c>
      <c r="J3569" t="s">
        <v>122</v>
      </c>
      <c r="K3569">
        <v>0</v>
      </c>
      <c r="L3569" s="84">
        <v>-1523</v>
      </c>
      <c r="M3569" s="84">
        <v>0</v>
      </c>
    </row>
    <row r="3570" spans="3:13" hidden="1" x14ac:dyDescent="0.25">
      <c r="C3570" t="s">
        <v>64</v>
      </c>
      <c r="D3570" t="s">
        <v>120</v>
      </c>
      <c r="E3570" t="s">
        <v>60</v>
      </c>
      <c r="F3570" t="s">
        <v>25</v>
      </c>
      <c r="G3570">
        <v>3</v>
      </c>
      <c r="H3570" t="s">
        <v>67</v>
      </c>
      <c r="I3570" t="s">
        <v>121</v>
      </c>
      <c r="J3570" t="s">
        <v>122</v>
      </c>
      <c r="K3570">
        <v>0</v>
      </c>
      <c r="L3570" s="84">
        <v>-1241</v>
      </c>
      <c r="M3570" s="84">
        <v>0</v>
      </c>
    </row>
    <row r="3571" spans="3:13" hidden="1" x14ac:dyDescent="0.25">
      <c r="C3571" t="s">
        <v>65</v>
      </c>
      <c r="D3571" t="s">
        <v>120</v>
      </c>
      <c r="E3571" t="s">
        <v>63</v>
      </c>
      <c r="F3571" t="s">
        <v>123</v>
      </c>
      <c r="G3571">
        <v>2</v>
      </c>
      <c r="H3571" t="s">
        <v>70</v>
      </c>
      <c r="I3571" t="s">
        <v>121</v>
      </c>
      <c r="J3571" t="s">
        <v>122</v>
      </c>
      <c r="K3571">
        <v>0</v>
      </c>
      <c r="L3571" s="84">
        <v>11084</v>
      </c>
      <c r="M3571" s="84">
        <v>22168</v>
      </c>
    </row>
    <row r="3572" spans="3:13" hidden="1" x14ac:dyDescent="0.25">
      <c r="C3572" t="s">
        <v>64</v>
      </c>
      <c r="D3572" t="s">
        <v>120</v>
      </c>
      <c r="E3572" t="s">
        <v>60</v>
      </c>
      <c r="F3572" t="s">
        <v>124</v>
      </c>
      <c r="G3572">
        <v>3</v>
      </c>
      <c r="H3572" t="s">
        <v>12</v>
      </c>
      <c r="I3572" t="s">
        <v>121</v>
      </c>
      <c r="J3572" t="s">
        <v>122</v>
      </c>
      <c r="K3572">
        <v>0</v>
      </c>
      <c r="L3572" s="84">
        <v>-67972</v>
      </c>
      <c r="M3572" s="84">
        <v>0</v>
      </c>
    </row>
    <row r="3573" spans="3:13" hidden="1" x14ac:dyDescent="0.25">
      <c r="C3573" t="s">
        <v>65</v>
      </c>
      <c r="D3573" t="s">
        <v>120</v>
      </c>
      <c r="E3573" t="s">
        <v>63</v>
      </c>
      <c r="F3573" t="s">
        <v>124</v>
      </c>
      <c r="G3573">
        <v>4</v>
      </c>
      <c r="H3573" t="s">
        <v>12</v>
      </c>
      <c r="I3573" t="s">
        <v>121</v>
      </c>
      <c r="J3573" t="s">
        <v>66</v>
      </c>
      <c r="K3573">
        <v>1</v>
      </c>
      <c r="L3573" s="84">
        <v>576166</v>
      </c>
      <c r="M3573" s="84">
        <v>2304664</v>
      </c>
    </row>
    <row r="3574" spans="3:13" hidden="1" x14ac:dyDescent="0.25">
      <c r="C3574" t="s">
        <v>119</v>
      </c>
      <c r="D3574" t="s">
        <v>120</v>
      </c>
      <c r="E3574" t="s">
        <v>63</v>
      </c>
      <c r="F3574" t="s">
        <v>24</v>
      </c>
      <c r="G3574">
        <v>18</v>
      </c>
      <c r="H3574" t="s">
        <v>68</v>
      </c>
      <c r="I3574" t="s">
        <v>121</v>
      </c>
      <c r="J3574" t="s">
        <v>122</v>
      </c>
      <c r="K3574">
        <v>0</v>
      </c>
      <c r="L3574" s="84">
        <v>6505456</v>
      </c>
      <c r="M3574" s="84">
        <v>117098208</v>
      </c>
    </row>
    <row r="3575" spans="3:13" hidden="1" x14ac:dyDescent="0.25">
      <c r="C3575" t="s">
        <v>65</v>
      </c>
      <c r="D3575" t="s">
        <v>120</v>
      </c>
      <c r="E3575" t="s">
        <v>60</v>
      </c>
      <c r="F3575" t="s">
        <v>124</v>
      </c>
      <c r="G3575">
        <v>0</v>
      </c>
      <c r="H3575" t="s">
        <v>12</v>
      </c>
      <c r="I3575" t="s">
        <v>121</v>
      </c>
      <c r="J3575" t="s">
        <v>122</v>
      </c>
      <c r="K3575">
        <v>0</v>
      </c>
      <c r="L3575" s="84">
        <v>-138002</v>
      </c>
      <c r="M3575" s="84">
        <v>0</v>
      </c>
    </row>
    <row r="3576" spans="3:13" hidden="1" x14ac:dyDescent="0.25">
      <c r="C3576" t="s">
        <v>64</v>
      </c>
      <c r="D3576" t="s">
        <v>120</v>
      </c>
      <c r="E3576" t="s">
        <v>60</v>
      </c>
      <c r="F3576" t="s">
        <v>123</v>
      </c>
      <c r="G3576">
        <v>1</v>
      </c>
      <c r="H3576" t="s">
        <v>70</v>
      </c>
      <c r="I3576" t="s">
        <v>121</v>
      </c>
      <c r="J3576" t="s">
        <v>122</v>
      </c>
      <c r="K3576">
        <v>0</v>
      </c>
      <c r="L3576" s="84">
        <v>-13809</v>
      </c>
      <c r="M3576" s="84">
        <v>0</v>
      </c>
    </row>
    <row r="3577" spans="3:13" hidden="1" x14ac:dyDescent="0.25">
      <c r="C3577" t="s">
        <v>64</v>
      </c>
      <c r="D3577" t="s">
        <v>125</v>
      </c>
      <c r="E3577" t="s">
        <v>63</v>
      </c>
      <c r="F3577" t="s">
        <v>25</v>
      </c>
      <c r="G3577">
        <v>6</v>
      </c>
      <c r="I3577" t="s">
        <v>121</v>
      </c>
      <c r="J3577" t="s">
        <v>122</v>
      </c>
      <c r="K3577">
        <v>0</v>
      </c>
      <c r="L3577" s="84">
        <v>1016812</v>
      </c>
      <c r="M3577" s="84">
        <v>6100872</v>
      </c>
    </row>
    <row r="3578" spans="3:13" hidden="1" x14ac:dyDescent="0.25">
      <c r="C3578" t="s">
        <v>119</v>
      </c>
      <c r="D3578" t="s">
        <v>120</v>
      </c>
      <c r="E3578" t="s">
        <v>63</v>
      </c>
      <c r="F3578" t="s">
        <v>124</v>
      </c>
      <c r="G3578">
        <v>-1</v>
      </c>
      <c r="H3578" t="s">
        <v>15</v>
      </c>
      <c r="I3578" t="s">
        <v>121</v>
      </c>
      <c r="J3578" t="s">
        <v>66</v>
      </c>
      <c r="K3578">
        <v>1</v>
      </c>
      <c r="L3578" s="84">
        <v>5077609</v>
      </c>
      <c r="M3578" s="84">
        <v>0</v>
      </c>
    </row>
    <row r="3579" spans="3:13" hidden="1" x14ac:dyDescent="0.25">
      <c r="C3579" t="s">
        <v>64</v>
      </c>
      <c r="D3579" t="s">
        <v>120</v>
      </c>
      <c r="E3579" t="s">
        <v>63</v>
      </c>
      <c r="F3579" t="s">
        <v>24</v>
      </c>
      <c r="G3579">
        <v>8</v>
      </c>
      <c r="H3579" t="s">
        <v>61</v>
      </c>
      <c r="I3579" t="s">
        <v>121</v>
      </c>
      <c r="J3579" t="s">
        <v>122</v>
      </c>
      <c r="K3579">
        <v>0</v>
      </c>
      <c r="L3579" s="84">
        <v>336383</v>
      </c>
      <c r="M3579" s="84">
        <v>2691064</v>
      </c>
    </row>
    <row r="3580" spans="3:13" hidden="1" x14ac:dyDescent="0.25">
      <c r="C3580" t="s">
        <v>65</v>
      </c>
      <c r="D3580" t="s">
        <v>120</v>
      </c>
      <c r="E3580" t="s">
        <v>63</v>
      </c>
      <c r="G3580">
        <v>-1</v>
      </c>
      <c r="H3580" t="s">
        <v>73</v>
      </c>
      <c r="I3580" t="s">
        <v>121</v>
      </c>
      <c r="J3580" t="s">
        <v>122</v>
      </c>
      <c r="K3580">
        <v>0</v>
      </c>
      <c r="L3580" s="84">
        <v>-4</v>
      </c>
      <c r="M3580" s="84">
        <v>0</v>
      </c>
    </row>
    <row r="3581" spans="3:13" hidden="1" x14ac:dyDescent="0.25">
      <c r="C3581" t="s">
        <v>119</v>
      </c>
      <c r="D3581" t="s">
        <v>120</v>
      </c>
      <c r="E3581" t="s">
        <v>63</v>
      </c>
      <c r="F3581" t="s">
        <v>124</v>
      </c>
      <c r="G3581">
        <v>-1</v>
      </c>
      <c r="H3581" t="s">
        <v>14</v>
      </c>
      <c r="I3581" t="s">
        <v>62</v>
      </c>
      <c r="J3581" t="s">
        <v>122</v>
      </c>
      <c r="K3581">
        <v>1</v>
      </c>
      <c r="L3581" s="84">
        <v>60087</v>
      </c>
      <c r="M3581" s="84">
        <v>0</v>
      </c>
    </row>
    <row r="3582" spans="3:13" hidden="1" x14ac:dyDescent="0.25">
      <c r="C3582" t="s">
        <v>119</v>
      </c>
      <c r="D3582" t="s">
        <v>120</v>
      </c>
      <c r="E3582" t="s">
        <v>60</v>
      </c>
      <c r="F3582" t="s">
        <v>123</v>
      </c>
      <c r="G3582">
        <v>2</v>
      </c>
      <c r="H3582" t="s">
        <v>17</v>
      </c>
      <c r="I3582" t="s">
        <v>121</v>
      </c>
      <c r="J3582" t="s">
        <v>66</v>
      </c>
      <c r="K3582">
        <v>1</v>
      </c>
      <c r="L3582" s="84">
        <v>-896</v>
      </c>
      <c r="M3582" s="84">
        <v>0</v>
      </c>
    </row>
    <row r="3583" spans="3:13" hidden="1" x14ac:dyDescent="0.25">
      <c r="C3583" t="s">
        <v>119</v>
      </c>
      <c r="D3583" t="s">
        <v>120</v>
      </c>
      <c r="E3583" t="s">
        <v>60</v>
      </c>
      <c r="F3583" t="s">
        <v>24</v>
      </c>
      <c r="G3583">
        <v>6</v>
      </c>
      <c r="H3583" t="s">
        <v>70</v>
      </c>
      <c r="I3583" t="s">
        <v>121</v>
      </c>
      <c r="J3583" t="s">
        <v>122</v>
      </c>
      <c r="K3583">
        <v>0</v>
      </c>
      <c r="L3583" s="84">
        <v>-155</v>
      </c>
      <c r="M3583" s="84">
        <v>0</v>
      </c>
    </row>
    <row r="3584" spans="3:13" hidden="1" x14ac:dyDescent="0.25">
      <c r="C3584" t="s">
        <v>119</v>
      </c>
      <c r="D3584" t="s">
        <v>120</v>
      </c>
      <c r="E3584" t="s">
        <v>60</v>
      </c>
      <c r="F3584" t="s">
        <v>124</v>
      </c>
      <c r="G3584">
        <v>15</v>
      </c>
      <c r="H3584" t="s">
        <v>75</v>
      </c>
      <c r="I3584" t="s">
        <v>121</v>
      </c>
      <c r="J3584" t="s">
        <v>122</v>
      </c>
      <c r="K3584">
        <v>0</v>
      </c>
      <c r="L3584" s="84">
        <v>-8093</v>
      </c>
      <c r="M3584" s="84">
        <v>0</v>
      </c>
    </row>
    <row r="3585" spans="3:13" hidden="1" x14ac:dyDescent="0.25">
      <c r="C3585" t="s">
        <v>119</v>
      </c>
      <c r="D3585" t="s">
        <v>125</v>
      </c>
      <c r="E3585" t="s">
        <v>60</v>
      </c>
      <c r="F3585" t="s">
        <v>25</v>
      </c>
      <c r="G3585">
        <v>7</v>
      </c>
      <c r="I3585" t="s">
        <v>121</v>
      </c>
      <c r="J3585" t="s">
        <v>122</v>
      </c>
      <c r="K3585">
        <v>0</v>
      </c>
      <c r="L3585" s="84">
        <v>-21818</v>
      </c>
      <c r="M3585" s="84">
        <v>0</v>
      </c>
    </row>
    <row r="3586" spans="3:13" hidden="1" x14ac:dyDescent="0.25">
      <c r="C3586" t="s">
        <v>119</v>
      </c>
      <c r="D3586" t="s">
        <v>120</v>
      </c>
      <c r="E3586" t="s">
        <v>63</v>
      </c>
      <c r="F3586" t="s">
        <v>24</v>
      </c>
      <c r="G3586">
        <v>4</v>
      </c>
      <c r="H3586" t="s">
        <v>14</v>
      </c>
      <c r="I3586" t="s">
        <v>121</v>
      </c>
      <c r="J3586" t="s">
        <v>122</v>
      </c>
      <c r="K3586">
        <v>0</v>
      </c>
      <c r="L3586" s="84">
        <v>575357</v>
      </c>
      <c r="M3586" s="84">
        <v>2301428</v>
      </c>
    </row>
    <row r="3587" spans="3:13" hidden="1" x14ac:dyDescent="0.25">
      <c r="C3587" t="s">
        <v>119</v>
      </c>
      <c r="D3587" t="s">
        <v>120</v>
      </c>
      <c r="E3587" t="s">
        <v>60</v>
      </c>
      <c r="F3587" t="s">
        <v>25</v>
      </c>
      <c r="G3587">
        <v>10</v>
      </c>
      <c r="H3587" t="s">
        <v>67</v>
      </c>
      <c r="I3587" t="s">
        <v>121</v>
      </c>
      <c r="J3587" t="s">
        <v>122</v>
      </c>
      <c r="K3587">
        <v>0</v>
      </c>
      <c r="L3587" s="84">
        <v>-3478</v>
      </c>
      <c r="M3587" s="84">
        <v>0</v>
      </c>
    </row>
    <row r="3588" spans="3:13" hidden="1" x14ac:dyDescent="0.25">
      <c r="C3588" t="s">
        <v>64</v>
      </c>
      <c r="D3588" t="s">
        <v>120</v>
      </c>
      <c r="E3588" t="s">
        <v>63</v>
      </c>
      <c r="F3588" t="s">
        <v>25</v>
      </c>
      <c r="G3588">
        <v>1</v>
      </c>
      <c r="H3588" t="s">
        <v>68</v>
      </c>
      <c r="I3588" t="s">
        <v>121</v>
      </c>
      <c r="J3588" t="s">
        <v>122</v>
      </c>
      <c r="K3588">
        <v>0</v>
      </c>
      <c r="L3588" s="84">
        <v>82627</v>
      </c>
      <c r="M3588" s="84">
        <v>82627</v>
      </c>
    </row>
    <row r="3589" spans="3:13" hidden="1" x14ac:dyDescent="0.25">
      <c r="C3589" t="s">
        <v>65</v>
      </c>
      <c r="D3589" t="s">
        <v>120</v>
      </c>
      <c r="E3589" t="s">
        <v>60</v>
      </c>
      <c r="F3589" t="s">
        <v>124</v>
      </c>
      <c r="G3589">
        <v>4</v>
      </c>
      <c r="H3589" t="s">
        <v>69</v>
      </c>
      <c r="I3589" t="s">
        <v>121</v>
      </c>
      <c r="J3589" t="s">
        <v>122</v>
      </c>
      <c r="K3589">
        <v>0</v>
      </c>
      <c r="L3589" s="84">
        <v>-398394</v>
      </c>
      <c r="M3589" s="84">
        <v>0</v>
      </c>
    </row>
    <row r="3590" spans="3:13" hidden="1" x14ac:dyDescent="0.25">
      <c r="C3590" t="s">
        <v>119</v>
      </c>
      <c r="D3590" t="s">
        <v>120</v>
      </c>
      <c r="E3590" t="s">
        <v>63</v>
      </c>
      <c r="F3590" t="s">
        <v>25</v>
      </c>
      <c r="G3590">
        <v>4</v>
      </c>
      <c r="H3590" t="s">
        <v>76</v>
      </c>
      <c r="I3590" t="s">
        <v>121</v>
      </c>
      <c r="J3590" t="s">
        <v>122</v>
      </c>
      <c r="K3590">
        <v>0</v>
      </c>
      <c r="L3590" s="84">
        <v>25996</v>
      </c>
      <c r="M3590" s="84">
        <v>103984</v>
      </c>
    </row>
    <row r="3591" spans="3:13" hidden="1" x14ac:dyDescent="0.25">
      <c r="C3591" t="s">
        <v>119</v>
      </c>
      <c r="D3591" t="s">
        <v>120</v>
      </c>
      <c r="E3591" t="s">
        <v>60</v>
      </c>
      <c r="F3591" t="s">
        <v>123</v>
      </c>
      <c r="G3591">
        <v>1</v>
      </c>
      <c r="H3591" t="s">
        <v>70</v>
      </c>
      <c r="I3591" t="s">
        <v>121</v>
      </c>
      <c r="J3591" t="s">
        <v>122</v>
      </c>
      <c r="K3591">
        <v>0</v>
      </c>
      <c r="L3591" s="84">
        <v>-3269</v>
      </c>
      <c r="M3591" s="84">
        <v>0</v>
      </c>
    </row>
    <row r="3592" spans="3:13" hidden="1" x14ac:dyDescent="0.25">
      <c r="C3592" t="s">
        <v>64</v>
      </c>
      <c r="D3592" t="s">
        <v>120</v>
      </c>
      <c r="E3592" t="s">
        <v>60</v>
      </c>
      <c r="F3592" t="s">
        <v>25</v>
      </c>
      <c r="G3592">
        <v>19</v>
      </c>
      <c r="H3592" t="s">
        <v>69</v>
      </c>
      <c r="I3592" t="s">
        <v>121</v>
      </c>
      <c r="J3592" t="s">
        <v>122</v>
      </c>
      <c r="K3592">
        <v>0</v>
      </c>
      <c r="L3592" s="84">
        <v>-1108</v>
      </c>
      <c r="M3592" s="84">
        <v>0</v>
      </c>
    </row>
    <row r="3593" spans="3:13" hidden="1" x14ac:dyDescent="0.25">
      <c r="C3593" t="s">
        <v>119</v>
      </c>
      <c r="D3593" t="s">
        <v>125</v>
      </c>
      <c r="E3593" t="s">
        <v>63</v>
      </c>
      <c r="F3593" t="s">
        <v>25</v>
      </c>
      <c r="G3593">
        <v>14</v>
      </c>
      <c r="I3593" t="s">
        <v>121</v>
      </c>
      <c r="J3593" t="s">
        <v>122</v>
      </c>
      <c r="K3593">
        <v>0</v>
      </c>
      <c r="L3593" s="84">
        <v>4250894</v>
      </c>
      <c r="M3593" s="84">
        <v>59512516</v>
      </c>
    </row>
    <row r="3594" spans="3:13" hidden="1" x14ac:dyDescent="0.25">
      <c r="C3594" t="s">
        <v>64</v>
      </c>
      <c r="D3594" t="s">
        <v>120</v>
      </c>
      <c r="E3594" t="s">
        <v>60</v>
      </c>
      <c r="F3594" t="s">
        <v>24</v>
      </c>
      <c r="G3594">
        <v>-4</v>
      </c>
      <c r="H3594" t="s">
        <v>17</v>
      </c>
      <c r="I3594" t="s">
        <v>62</v>
      </c>
      <c r="J3594" t="s">
        <v>122</v>
      </c>
      <c r="K3594">
        <v>1</v>
      </c>
      <c r="L3594" s="84">
        <v>-26</v>
      </c>
      <c r="M3594" s="84">
        <v>0</v>
      </c>
    </row>
    <row r="3595" spans="3:13" hidden="1" x14ac:dyDescent="0.25">
      <c r="C3595" t="s">
        <v>64</v>
      </c>
      <c r="D3595" t="s">
        <v>120</v>
      </c>
      <c r="E3595" t="s">
        <v>63</v>
      </c>
      <c r="F3595" t="s">
        <v>124</v>
      </c>
      <c r="G3595">
        <v>6</v>
      </c>
      <c r="H3595" t="s">
        <v>71</v>
      </c>
      <c r="I3595" t="s">
        <v>121</v>
      </c>
      <c r="J3595" t="s">
        <v>122</v>
      </c>
      <c r="K3595">
        <v>0</v>
      </c>
      <c r="L3595" s="84">
        <v>663022</v>
      </c>
      <c r="M3595" s="84">
        <v>3978132</v>
      </c>
    </row>
    <row r="3596" spans="3:13" hidden="1" x14ac:dyDescent="0.25">
      <c r="C3596" t="s">
        <v>64</v>
      </c>
      <c r="D3596" t="s">
        <v>120</v>
      </c>
      <c r="E3596" t="s">
        <v>63</v>
      </c>
      <c r="F3596" t="s">
        <v>123</v>
      </c>
      <c r="G3596">
        <v>-4</v>
      </c>
      <c r="H3596" t="s">
        <v>12</v>
      </c>
      <c r="I3596" t="s">
        <v>121</v>
      </c>
      <c r="J3596" t="s">
        <v>122</v>
      </c>
      <c r="K3596">
        <v>0</v>
      </c>
      <c r="L3596" s="84">
        <v>59</v>
      </c>
      <c r="M3596" s="84">
        <v>0</v>
      </c>
    </row>
    <row r="3597" spans="3:13" hidden="1" x14ac:dyDescent="0.25">
      <c r="C3597" t="s">
        <v>65</v>
      </c>
      <c r="D3597" t="s">
        <v>120</v>
      </c>
      <c r="E3597" t="s">
        <v>63</v>
      </c>
      <c r="F3597" t="s">
        <v>124</v>
      </c>
      <c r="G3597">
        <v>0</v>
      </c>
      <c r="H3597" t="s">
        <v>18</v>
      </c>
      <c r="I3597" t="s">
        <v>121</v>
      </c>
      <c r="J3597" t="s">
        <v>66</v>
      </c>
      <c r="K3597">
        <v>1</v>
      </c>
      <c r="L3597" s="84">
        <v>25930</v>
      </c>
      <c r="M3597" s="84">
        <v>0</v>
      </c>
    </row>
    <row r="3598" spans="3:13" hidden="1" x14ac:dyDescent="0.25">
      <c r="C3598" t="s">
        <v>65</v>
      </c>
      <c r="D3598" t="s">
        <v>125</v>
      </c>
      <c r="E3598" t="s">
        <v>63</v>
      </c>
      <c r="F3598" t="s">
        <v>24</v>
      </c>
      <c r="G3598">
        <v>36</v>
      </c>
      <c r="I3598" t="s">
        <v>121</v>
      </c>
      <c r="J3598" t="s">
        <v>122</v>
      </c>
      <c r="K3598">
        <v>0</v>
      </c>
      <c r="L3598" s="84">
        <v>9587484</v>
      </c>
      <c r="M3598" s="84">
        <v>345149424</v>
      </c>
    </row>
    <row r="3599" spans="3:13" hidden="1" x14ac:dyDescent="0.25">
      <c r="C3599" t="s">
        <v>65</v>
      </c>
      <c r="D3599" t="s">
        <v>120</v>
      </c>
      <c r="E3599" t="s">
        <v>60</v>
      </c>
      <c r="F3599" t="s">
        <v>124</v>
      </c>
      <c r="G3599">
        <v>1</v>
      </c>
      <c r="H3599" t="s">
        <v>12</v>
      </c>
      <c r="I3599" t="s">
        <v>62</v>
      </c>
      <c r="J3599" t="s">
        <v>66</v>
      </c>
      <c r="K3599">
        <v>1</v>
      </c>
      <c r="L3599" s="84">
        <v>-20059</v>
      </c>
      <c r="M3599" s="84">
        <v>0</v>
      </c>
    </row>
    <row r="3600" spans="3:13" hidden="1" x14ac:dyDescent="0.25">
      <c r="C3600" t="s">
        <v>119</v>
      </c>
      <c r="D3600" t="s">
        <v>120</v>
      </c>
      <c r="E3600" t="s">
        <v>60</v>
      </c>
      <c r="F3600" t="s">
        <v>25</v>
      </c>
      <c r="G3600">
        <v>2</v>
      </c>
      <c r="H3600" t="s">
        <v>12</v>
      </c>
      <c r="I3600" t="s">
        <v>121</v>
      </c>
      <c r="J3600" t="s">
        <v>122</v>
      </c>
      <c r="K3600">
        <v>0</v>
      </c>
      <c r="L3600" s="84">
        <v>-88</v>
      </c>
      <c r="M3600" s="84">
        <v>0</v>
      </c>
    </row>
    <row r="3601" spans="3:13" hidden="1" x14ac:dyDescent="0.25">
      <c r="C3601" t="s">
        <v>64</v>
      </c>
      <c r="D3601" t="s">
        <v>120</v>
      </c>
      <c r="E3601" t="s">
        <v>60</v>
      </c>
      <c r="F3601" t="s">
        <v>124</v>
      </c>
      <c r="G3601">
        <v>5</v>
      </c>
      <c r="H3601" t="s">
        <v>75</v>
      </c>
      <c r="I3601" t="s">
        <v>121</v>
      </c>
      <c r="J3601" t="s">
        <v>122</v>
      </c>
      <c r="K3601">
        <v>0</v>
      </c>
      <c r="L3601" s="84">
        <v>-95536</v>
      </c>
      <c r="M3601" s="84">
        <v>0</v>
      </c>
    </row>
    <row r="3602" spans="3:13" hidden="1" x14ac:dyDescent="0.25">
      <c r="C3602" t="s">
        <v>64</v>
      </c>
      <c r="D3602" t="s">
        <v>120</v>
      </c>
      <c r="E3602" t="s">
        <v>63</v>
      </c>
      <c r="F3602" t="s">
        <v>123</v>
      </c>
      <c r="G3602">
        <v>8</v>
      </c>
      <c r="H3602" t="s">
        <v>68</v>
      </c>
      <c r="I3602" t="s">
        <v>121</v>
      </c>
      <c r="J3602" t="s">
        <v>122</v>
      </c>
      <c r="K3602">
        <v>0</v>
      </c>
      <c r="L3602" s="84">
        <v>1520274</v>
      </c>
      <c r="M3602" s="84">
        <v>12162192</v>
      </c>
    </row>
    <row r="3603" spans="3:13" hidden="1" x14ac:dyDescent="0.25">
      <c r="C3603" t="s">
        <v>64</v>
      </c>
      <c r="D3603" t="s">
        <v>120</v>
      </c>
      <c r="E3603" t="s">
        <v>60</v>
      </c>
      <c r="F3603" t="s">
        <v>124</v>
      </c>
      <c r="G3603">
        <v>4</v>
      </c>
      <c r="H3603" t="s">
        <v>17</v>
      </c>
      <c r="I3603" t="s">
        <v>62</v>
      </c>
      <c r="J3603" t="s">
        <v>122</v>
      </c>
      <c r="K3603">
        <v>1</v>
      </c>
      <c r="L3603" s="84">
        <v>-1685</v>
      </c>
      <c r="M3603" s="84">
        <v>0</v>
      </c>
    </row>
    <row r="3604" spans="3:13" hidden="1" x14ac:dyDescent="0.25">
      <c r="C3604" t="s">
        <v>64</v>
      </c>
      <c r="D3604" t="s">
        <v>120</v>
      </c>
      <c r="E3604" t="s">
        <v>60</v>
      </c>
      <c r="F3604" t="s">
        <v>24</v>
      </c>
      <c r="G3604">
        <v>0</v>
      </c>
      <c r="H3604" t="s">
        <v>18</v>
      </c>
      <c r="I3604" t="s">
        <v>121</v>
      </c>
      <c r="J3604" t="s">
        <v>122</v>
      </c>
      <c r="K3604">
        <v>0</v>
      </c>
      <c r="L3604" s="84">
        <v>-6724</v>
      </c>
      <c r="M3604" s="84">
        <v>0</v>
      </c>
    </row>
    <row r="3605" spans="3:13" hidden="1" x14ac:dyDescent="0.25">
      <c r="C3605" t="s">
        <v>119</v>
      </c>
      <c r="D3605" t="s">
        <v>125</v>
      </c>
      <c r="E3605" t="s">
        <v>63</v>
      </c>
      <c r="F3605" t="s">
        <v>24</v>
      </c>
      <c r="G3605">
        <v>-4</v>
      </c>
      <c r="I3605" t="s">
        <v>121</v>
      </c>
      <c r="J3605" t="s">
        <v>122</v>
      </c>
      <c r="K3605">
        <v>0</v>
      </c>
      <c r="L3605" s="84">
        <v>58712</v>
      </c>
      <c r="M3605" s="84">
        <v>0</v>
      </c>
    </row>
    <row r="3606" spans="3:13" hidden="1" x14ac:dyDescent="0.25">
      <c r="C3606" t="s">
        <v>119</v>
      </c>
      <c r="D3606" t="s">
        <v>120</v>
      </c>
      <c r="E3606" t="s">
        <v>60</v>
      </c>
      <c r="F3606" t="s">
        <v>124</v>
      </c>
      <c r="G3606">
        <v>9</v>
      </c>
      <c r="H3606" t="s">
        <v>71</v>
      </c>
      <c r="I3606" t="s">
        <v>121</v>
      </c>
      <c r="J3606" t="s">
        <v>122</v>
      </c>
      <c r="K3606">
        <v>0</v>
      </c>
      <c r="L3606" s="84">
        <v>-993</v>
      </c>
      <c r="M3606" s="84">
        <v>0</v>
      </c>
    </row>
    <row r="3607" spans="3:13" hidden="1" x14ac:dyDescent="0.25">
      <c r="C3607" t="s">
        <v>65</v>
      </c>
      <c r="D3607" t="s">
        <v>120</v>
      </c>
      <c r="E3607" t="s">
        <v>60</v>
      </c>
      <c r="F3607" t="s">
        <v>124</v>
      </c>
      <c r="G3607">
        <v>12</v>
      </c>
      <c r="H3607" t="s">
        <v>14</v>
      </c>
      <c r="I3607" t="s">
        <v>121</v>
      </c>
      <c r="J3607" t="s">
        <v>66</v>
      </c>
      <c r="K3607">
        <v>1</v>
      </c>
      <c r="L3607" s="84">
        <v>-229721</v>
      </c>
      <c r="M3607" s="84">
        <v>0</v>
      </c>
    </row>
    <row r="3608" spans="3:13" hidden="1" x14ac:dyDescent="0.25">
      <c r="C3608" t="s">
        <v>64</v>
      </c>
      <c r="D3608" t="s">
        <v>120</v>
      </c>
      <c r="E3608" t="s">
        <v>60</v>
      </c>
      <c r="F3608" t="s">
        <v>124</v>
      </c>
      <c r="G3608">
        <v>4</v>
      </c>
      <c r="H3608" t="s">
        <v>12</v>
      </c>
      <c r="I3608" t="s">
        <v>121</v>
      </c>
      <c r="J3608" t="s">
        <v>66</v>
      </c>
      <c r="K3608">
        <v>1</v>
      </c>
      <c r="L3608" s="84">
        <v>-31114</v>
      </c>
      <c r="M3608" s="84">
        <v>0</v>
      </c>
    </row>
    <row r="3609" spans="3:13" hidden="1" x14ac:dyDescent="0.25">
      <c r="C3609" t="s">
        <v>119</v>
      </c>
      <c r="D3609" t="s">
        <v>120</v>
      </c>
      <c r="E3609" t="s">
        <v>63</v>
      </c>
      <c r="F3609" t="s">
        <v>123</v>
      </c>
      <c r="G3609">
        <v>-1</v>
      </c>
      <c r="H3609" t="s">
        <v>72</v>
      </c>
      <c r="I3609" t="s">
        <v>121</v>
      </c>
      <c r="J3609" t="s">
        <v>122</v>
      </c>
      <c r="K3609">
        <v>0</v>
      </c>
      <c r="L3609" s="84">
        <v>461381</v>
      </c>
      <c r="M3609" s="84">
        <v>0</v>
      </c>
    </row>
    <row r="3610" spans="3:13" hidden="1" x14ac:dyDescent="0.25">
      <c r="C3610" t="s">
        <v>119</v>
      </c>
      <c r="D3610" t="s">
        <v>120</v>
      </c>
      <c r="E3610" t="s">
        <v>63</v>
      </c>
      <c r="F3610" t="s">
        <v>124</v>
      </c>
      <c r="G3610">
        <v>6</v>
      </c>
      <c r="H3610" t="s">
        <v>15</v>
      </c>
      <c r="I3610" t="s">
        <v>62</v>
      </c>
      <c r="J3610" t="s">
        <v>122</v>
      </c>
      <c r="K3610">
        <v>1</v>
      </c>
      <c r="L3610" s="84">
        <v>40209627</v>
      </c>
      <c r="M3610" s="84">
        <v>241257762</v>
      </c>
    </row>
    <row r="3611" spans="3:13" hidden="1" x14ac:dyDescent="0.25">
      <c r="C3611" t="s">
        <v>64</v>
      </c>
      <c r="D3611" t="s">
        <v>125</v>
      </c>
      <c r="E3611" t="s">
        <v>60</v>
      </c>
      <c r="F3611" t="s">
        <v>25</v>
      </c>
      <c r="G3611">
        <v>17</v>
      </c>
      <c r="I3611" t="s">
        <v>121</v>
      </c>
      <c r="J3611" t="s">
        <v>122</v>
      </c>
      <c r="K3611">
        <v>0</v>
      </c>
      <c r="L3611" s="84">
        <v>-1068</v>
      </c>
      <c r="M3611" s="84">
        <v>0</v>
      </c>
    </row>
    <row r="3612" spans="3:13" hidden="1" x14ac:dyDescent="0.25">
      <c r="C3612" t="s">
        <v>119</v>
      </c>
      <c r="D3612" t="s">
        <v>120</v>
      </c>
      <c r="E3612" t="s">
        <v>60</v>
      </c>
      <c r="F3612" t="s">
        <v>124</v>
      </c>
      <c r="G3612">
        <v>7</v>
      </c>
      <c r="H3612" t="s">
        <v>17</v>
      </c>
      <c r="I3612" t="s">
        <v>62</v>
      </c>
      <c r="J3612" t="s">
        <v>66</v>
      </c>
      <c r="K3612">
        <v>1</v>
      </c>
      <c r="L3612" s="84">
        <v>-522</v>
      </c>
      <c r="M3612" s="84">
        <v>0</v>
      </c>
    </row>
    <row r="3613" spans="3:13" hidden="1" x14ac:dyDescent="0.25">
      <c r="C3613" t="s">
        <v>119</v>
      </c>
      <c r="D3613" t="s">
        <v>120</v>
      </c>
      <c r="E3613" t="s">
        <v>63</v>
      </c>
      <c r="F3613" t="s">
        <v>24</v>
      </c>
      <c r="G3613">
        <v>11</v>
      </c>
      <c r="H3613" t="s">
        <v>71</v>
      </c>
      <c r="I3613" t="s">
        <v>121</v>
      </c>
      <c r="J3613" t="s">
        <v>122</v>
      </c>
      <c r="K3613">
        <v>0</v>
      </c>
      <c r="L3613" s="84">
        <v>815015</v>
      </c>
      <c r="M3613" s="84">
        <v>8965165</v>
      </c>
    </row>
    <row r="3614" spans="3:13" hidden="1" x14ac:dyDescent="0.25">
      <c r="C3614" t="s">
        <v>119</v>
      </c>
      <c r="D3614" t="s">
        <v>120</v>
      </c>
      <c r="E3614" t="s">
        <v>60</v>
      </c>
      <c r="F3614" t="s">
        <v>24</v>
      </c>
      <c r="G3614">
        <v>10</v>
      </c>
      <c r="H3614" t="s">
        <v>72</v>
      </c>
      <c r="I3614" t="s">
        <v>121</v>
      </c>
      <c r="J3614" t="s">
        <v>122</v>
      </c>
      <c r="K3614">
        <v>0</v>
      </c>
      <c r="L3614" s="84">
        <v>-2317</v>
      </c>
      <c r="M3614" s="84">
        <v>0</v>
      </c>
    </row>
    <row r="3615" spans="3:13" hidden="1" x14ac:dyDescent="0.25">
      <c r="C3615" t="s">
        <v>119</v>
      </c>
      <c r="D3615" t="s">
        <v>120</v>
      </c>
      <c r="E3615" t="s">
        <v>60</v>
      </c>
      <c r="F3615" t="s">
        <v>25</v>
      </c>
      <c r="G3615">
        <v>10</v>
      </c>
      <c r="H3615" t="s">
        <v>73</v>
      </c>
      <c r="I3615" t="s">
        <v>121</v>
      </c>
      <c r="J3615" t="s">
        <v>122</v>
      </c>
      <c r="K3615">
        <v>0</v>
      </c>
      <c r="L3615" s="84">
        <v>-270</v>
      </c>
      <c r="M3615" s="84">
        <v>0</v>
      </c>
    </row>
    <row r="3616" spans="3:13" hidden="1" x14ac:dyDescent="0.25">
      <c r="C3616" t="s">
        <v>119</v>
      </c>
      <c r="D3616" t="s">
        <v>120</v>
      </c>
      <c r="E3616" t="s">
        <v>63</v>
      </c>
      <c r="F3616" t="s">
        <v>25</v>
      </c>
      <c r="G3616">
        <v>4</v>
      </c>
      <c r="H3616" t="s">
        <v>68</v>
      </c>
      <c r="I3616" t="s">
        <v>121</v>
      </c>
      <c r="J3616" t="s">
        <v>122</v>
      </c>
      <c r="K3616">
        <v>0</v>
      </c>
      <c r="L3616" s="84">
        <v>38653012</v>
      </c>
      <c r="M3616" s="84">
        <v>154612048</v>
      </c>
    </row>
    <row r="3617" spans="3:13" hidden="1" x14ac:dyDescent="0.25">
      <c r="C3617" t="s">
        <v>64</v>
      </c>
      <c r="D3617" t="s">
        <v>120</v>
      </c>
      <c r="E3617" t="s">
        <v>60</v>
      </c>
      <c r="F3617" t="s">
        <v>24</v>
      </c>
      <c r="G3617">
        <v>12</v>
      </c>
      <c r="H3617" t="s">
        <v>72</v>
      </c>
      <c r="I3617" t="s">
        <v>121</v>
      </c>
      <c r="J3617" t="s">
        <v>122</v>
      </c>
      <c r="K3617">
        <v>0</v>
      </c>
      <c r="L3617" s="84">
        <v>-47944</v>
      </c>
      <c r="M3617" s="84">
        <v>0</v>
      </c>
    </row>
    <row r="3618" spans="3:13" hidden="1" x14ac:dyDescent="0.25">
      <c r="C3618" t="s">
        <v>65</v>
      </c>
      <c r="D3618" t="s">
        <v>120</v>
      </c>
      <c r="E3618" t="s">
        <v>63</v>
      </c>
      <c r="F3618" t="s">
        <v>25</v>
      </c>
      <c r="G3618">
        <v>2</v>
      </c>
      <c r="H3618" t="s">
        <v>61</v>
      </c>
      <c r="I3618" t="s">
        <v>121</v>
      </c>
      <c r="J3618" t="s">
        <v>122</v>
      </c>
      <c r="K3618">
        <v>0</v>
      </c>
      <c r="L3618" s="84">
        <v>14833</v>
      </c>
      <c r="M3618" s="84">
        <v>29666</v>
      </c>
    </row>
    <row r="3619" spans="3:13" hidden="1" x14ac:dyDescent="0.25">
      <c r="C3619" t="s">
        <v>119</v>
      </c>
      <c r="D3619" t="s">
        <v>120</v>
      </c>
      <c r="E3619" t="s">
        <v>60</v>
      </c>
      <c r="F3619" t="s">
        <v>124</v>
      </c>
      <c r="G3619">
        <v>2</v>
      </c>
      <c r="H3619" t="s">
        <v>15</v>
      </c>
      <c r="I3619" t="s">
        <v>121</v>
      </c>
      <c r="J3619" t="s">
        <v>122</v>
      </c>
      <c r="K3619">
        <v>0</v>
      </c>
      <c r="L3619" s="84">
        <v>-5807</v>
      </c>
      <c r="M3619" s="84">
        <v>0</v>
      </c>
    </row>
    <row r="3620" spans="3:13" hidden="1" x14ac:dyDescent="0.25">
      <c r="C3620" t="s">
        <v>119</v>
      </c>
      <c r="D3620" t="s">
        <v>120</v>
      </c>
      <c r="E3620" t="s">
        <v>60</v>
      </c>
      <c r="F3620" t="s">
        <v>25</v>
      </c>
      <c r="G3620">
        <v>13</v>
      </c>
      <c r="H3620" t="s">
        <v>68</v>
      </c>
      <c r="I3620" t="s">
        <v>121</v>
      </c>
      <c r="J3620" t="s">
        <v>122</v>
      </c>
      <c r="K3620">
        <v>0</v>
      </c>
      <c r="L3620" s="84">
        <v>-12397</v>
      </c>
      <c r="M3620" s="84">
        <v>0</v>
      </c>
    </row>
    <row r="3621" spans="3:13" hidden="1" x14ac:dyDescent="0.25">
      <c r="C3621" t="s">
        <v>65</v>
      </c>
      <c r="D3621" t="s">
        <v>120</v>
      </c>
      <c r="E3621" t="s">
        <v>63</v>
      </c>
      <c r="F3621" t="s">
        <v>124</v>
      </c>
      <c r="G3621">
        <v>11</v>
      </c>
      <c r="H3621" t="s">
        <v>14</v>
      </c>
      <c r="I3621" t="s">
        <v>121</v>
      </c>
      <c r="J3621" t="s">
        <v>66</v>
      </c>
      <c r="K3621">
        <v>1</v>
      </c>
      <c r="L3621" s="84">
        <v>135941</v>
      </c>
      <c r="M3621" s="84">
        <v>1495351</v>
      </c>
    </row>
    <row r="3622" spans="3:13" hidden="1" x14ac:dyDescent="0.25">
      <c r="C3622" t="s">
        <v>64</v>
      </c>
      <c r="D3622" t="s">
        <v>120</v>
      </c>
      <c r="E3622" t="s">
        <v>60</v>
      </c>
      <c r="F3622" t="s">
        <v>25</v>
      </c>
      <c r="G3622">
        <v>13</v>
      </c>
      <c r="H3622" t="s">
        <v>67</v>
      </c>
      <c r="I3622" t="s">
        <v>121</v>
      </c>
      <c r="J3622" t="s">
        <v>122</v>
      </c>
      <c r="K3622">
        <v>0</v>
      </c>
      <c r="L3622" s="84">
        <v>-7194</v>
      </c>
      <c r="M3622" s="84">
        <v>0</v>
      </c>
    </row>
    <row r="3623" spans="3:13" hidden="1" x14ac:dyDescent="0.25">
      <c r="C3623" t="s">
        <v>119</v>
      </c>
      <c r="D3623" t="s">
        <v>120</v>
      </c>
      <c r="E3623" t="s">
        <v>60</v>
      </c>
      <c r="F3623" t="s">
        <v>25</v>
      </c>
      <c r="G3623">
        <v>0</v>
      </c>
      <c r="H3623" t="s">
        <v>71</v>
      </c>
      <c r="I3623" t="s">
        <v>121</v>
      </c>
      <c r="J3623" t="s">
        <v>122</v>
      </c>
      <c r="K3623">
        <v>0</v>
      </c>
      <c r="L3623" s="84">
        <v>-922</v>
      </c>
      <c r="M3623" s="84">
        <v>0</v>
      </c>
    </row>
    <row r="3624" spans="3:13" hidden="1" x14ac:dyDescent="0.25">
      <c r="C3624" t="s">
        <v>119</v>
      </c>
      <c r="D3624" t="s">
        <v>120</v>
      </c>
      <c r="E3624" t="s">
        <v>63</v>
      </c>
      <c r="F3624" t="s">
        <v>24</v>
      </c>
      <c r="G3624">
        <v>8</v>
      </c>
      <c r="H3624" t="s">
        <v>75</v>
      </c>
      <c r="I3624" t="s">
        <v>121</v>
      </c>
      <c r="J3624" t="s">
        <v>122</v>
      </c>
      <c r="K3624">
        <v>0</v>
      </c>
      <c r="L3624" s="84">
        <v>145434</v>
      </c>
      <c r="M3624" s="84">
        <v>1163472</v>
      </c>
    </row>
    <row r="3625" spans="3:13" hidden="1" x14ac:dyDescent="0.25">
      <c r="C3625" t="s">
        <v>119</v>
      </c>
      <c r="D3625" t="s">
        <v>120</v>
      </c>
      <c r="E3625" t="s">
        <v>60</v>
      </c>
      <c r="F3625" t="s">
        <v>124</v>
      </c>
      <c r="G3625">
        <v>1</v>
      </c>
      <c r="H3625" t="s">
        <v>14</v>
      </c>
      <c r="I3625" t="s">
        <v>62</v>
      </c>
      <c r="J3625" t="s">
        <v>66</v>
      </c>
      <c r="K3625">
        <v>1</v>
      </c>
      <c r="L3625" s="84">
        <v>-1370</v>
      </c>
      <c r="M3625" s="84">
        <v>0</v>
      </c>
    </row>
    <row r="3626" spans="3:13" hidden="1" x14ac:dyDescent="0.25">
      <c r="C3626" t="s">
        <v>65</v>
      </c>
      <c r="D3626" t="s">
        <v>120</v>
      </c>
      <c r="E3626" t="s">
        <v>60</v>
      </c>
      <c r="F3626" t="s">
        <v>123</v>
      </c>
      <c r="G3626">
        <v>0</v>
      </c>
      <c r="H3626" t="s">
        <v>76</v>
      </c>
      <c r="I3626" t="s">
        <v>121</v>
      </c>
      <c r="J3626" t="s">
        <v>122</v>
      </c>
      <c r="K3626">
        <v>0</v>
      </c>
      <c r="L3626" s="84">
        <v>-2117</v>
      </c>
      <c r="M3626" s="84">
        <v>0</v>
      </c>
    </row>
    <row r="3627" spans="3:13" hidden="1" x14ac:dyDescent="0.25">
      <c r="C3627" t="s">
        <v>119</v>
      </c>
      <c r="D3627" t="s">
        <v>120</v>
      </c>
      <c r="E3627" t="s">
        <v>63</v>
      </c>
      <c r="F3627" t="s">
        <v>123</v>
      </c>
      <c r="G3627">
        <v>0</v>
      </c>
      <c r="H3627" t="s">
        <v>12</v>
      </c>
      <c r="I3627" t="s">
        <v>121</v>
      </c>
      <c r="J3627" t="s">
        <v>66</v>
      </c>
      <c r="K3627">
        <v>1</v>
      </c>
      <c r="L3627" s="84">
        <v>191197</v>
      </c>
      <c r="M3627" s="84">
        <v>0</v>
      </c>
    </row>
    <row r="3628" spans="3:13" hidden="1" x14ac:dyDescent="0.25">
      <c r="C3628" t="s">
        <v>119</v>
      </c>
      <c r="D3628" t="s">
        <v>120</v>
      </c>
      <c r="E3628" t="s">
        <v>63</v>
      </c>
      <c r="F3628" t="s">
        <v>25</v>
      </c>
      <c r="G3628">
        <v>14</v>
      </c>
      <c r="H3628" t="s">
        <v>72</v>
      </c>
      <c r="I3628" t="s">
        <v>121</v>
      </c>
      <c r="J3628" t="s">
        <v>122</v>
      </c>
      <c r="K3628">
        <v>0</v>
      </c>
      <c r="L3628" s="84">
        <v>5575857</v>
      </c>
      <c r="M3628" s="84">
        <v>78061998</v>
      </c>
    </row>
    <row r="3629" spans="3:13" hidden="1" x14ac:dyDescent="0.25">
      <c r="C3629" t="s">
        <v>64</v>
      </c>
      <c r="D3629" t="s">
        <v>120</v>
      </c>
      <c r="E3629" t="s">
        <v>63</v>
      </c>
      <c r="F3629" t="s">
        <v>123</v>
      </c>
      <c r="G3629">
        <v>5</v>
      </c>
      <c r="H3629" t="s">
        <v>68</v>
      </c>
      <c r="I3629" t="s">
        <v>121</v>
      </c>
      <c r="J3629" t="s">
        <v>122</v>
      </c>
      <c r="K3629">
        <v>0</v>
      </c>
      <c r="L3629" s="84">
        <v>284170</v>
      </c>
      <c r="M3629" s="84">
        <v>1420850</v>
      </c>
    </row>
    <row r="3630" spans="3:13" hidden="1" x14ac:dyDescent="0.25">
      <c r="C3630" t="s">
        <v>65</v>
      </c>
      <c r="D3630" t="s">
        <v>125</v>
      </c>
      <c r="E3630" t="s">
        <v>63</v>
      </c>
      <c r="F3630" t="s">
        <v>24</v>
      </c>
      <c r="G3630">
        <v>25</v>
      </c>
      <c r="I3630" t="s">
        <v>121</v>
      </c>
      <c r="J3630" t="s">
        <v>122</v>
      </c>
      <c r="K3630">
        <v>0</v>
      </c>
      <c r="L3630" s="84">
        <v>9344225</v>
      </c>
      <c r="M3630" s="84">
        <v>233605625</v>
      </c>
    </row>
    <row r="3631" spans="3:13" hidden="1" x14ac:dyDescent="0.25">
      <c r="C3631" t="s">
        <v>64</v>
      </c>
      <c r="D3631" t="s">
        <v>120</v>
      </c>
      <c r="E3631" t="s">
        <v>63</v>
      </c>
      <c r="F3631" t="s">
        <v>124</v>
      </c>
      <c r="G3631">
        <v>7</v>
      </c>
      <c r="H3631" t="s">
        <v>67</v>
      </c>
      <c r="I3631" t="s">
        <v>121</v>
      </c>
      <c r="J3631" t="s">
        <v>122</v>
      </c>
      <c r="K3631">
        <v>0</v>
      </c>
      <c r="L3631" s="84">
        <v>3764219</v>
      </c>
      <c r="M3631" s="84">
        <v>26349533</v>
      </c>
    </row>
    <row r="3632" spans="3:13" hidden="1" x14ac:dyDescent="0.25">
      <c r="C3632" t="s">
        <v>65</v>
      </c>
      <c r="D3632" t="s">
        <v>120</v>
      </c>
      <c r="E3632" t="s">
        <v>63</v>
      </c>
      <c r="F3632" t="s">
        <v>24</v>
      </c>
      <c r="G3632">
        <v>1</v>
      </c>
      <c r="H3632" t="s">
        <v>14</v>
      </c>
      <c r="I3632" t="s">
        <v>121</v>
      </c>
      <c r="J3632" t="s">
        <v>66</v>
      </c>
      <c r="K3632">
        <v>1</v>
      </c>
      <c r="L3632" s="84">
        <v>264411</v>
      </c>
      <c r="M3632" s="84">
        <v>264411</v>
      </c>
    </row>
    <row r="3633" spans="3:13" hidden="1" x14ac:dyDescent="0.25">
      <c r="C3633" t="s">
        <v>119</v>
      </c>
      <c r="D3633" t="s">
        <v>120</v>
      </c>
      <c r="E3633" t="s">
        <v>63</v>
      </c>
      <c r="G3633">
        <v>-1</v>
      </c>
      <c r="H3633" t="s">
        <v>70</v>
      </c>
      <c r="I3633" t="s">
        <v>121</v>
      </c>
      <c r="J3633" t="s">
        <v>122</v>
      </c>
      <c r="K3633">
        <v>0</v>
      </c>
      <c r="L3633" s="84">
        <v>0</v>
      </c>
      <c r="M3633" s="84">
        <v>0</v>
      </c>
    </row>
    <row r="3634" spans="3:13" hidden="1" x14ac:dyDescent="0.25">
      <c r="C3634" t="s">
        <v>119</v>
      </c>
      <c r="D3634" t="s">
        <v>120</v>
      </c>
      <c r="E3634" t="s">
        <v>63</v>
      </c>
      <c r="F3634" t="s">
        <v>124</v>
      </c>
      <c r="G3634">
        <v>4</v>
      </c>
      <c r="H3634" t="s">
        <v>12</v>
      </c>
      <c r="I3634" t="s">
        <v>121</v>
      </c>
      <c r="J3634" t="s">
        <v>122</v>
      </c>
      <c r="K3634">
        <v>0</v>
      </c>
      <c r="L3634" s="84">
        <v>1327324</v>
      </c>
      <c r="M3634" s="84">
        <v>5309296</v>
      </c>
    </row>
    <row r="3635" spans="3:13" hidden="1" x14ac:dyDescent="0.25">
      <c r="C3635" t="s">
        <v>65</v>
      </c>
      <c r="D3635" t="s">
        <v>120</v>
      </c>
      <c r="E3635" t="s">
        <v>63</v>
      </c>
      <c r="F3635" t="s">
        <v>123</v>
      </c>
      <c r="G3635">
        <v>-4</v>
      </c>
      <c r="H3635" t="s">
        <v>13</v>
      </c>
      <c r="I3635" t="s">
        <v>121</v>
      </c>
      <c r="J3635" t="s">
        <v>122</v>
      </c>
      <c r="K3635">
        <v>0</v>
      </c>
      <c r="L3635" s="84">
        <v>33895</v>
      </c>
      <c r="M3635" s="84">
        <v>0</v>
      </c>
    </row>
    <row r="3636" spans="3:13" hidden="1" x14ac:dyDescent="0.25">
      <c r="C3636" t="s">
        <v>65</v>
      </c>
      <c r="D3636" t="s">
        <v>120</v>
      </c>
      <c r="E3636" t="s">
        <v>63</v>
      </c>
      <c r="F3636" t="s">
        <v>124</v>
      </c>
      <c r="G3636">
        <v>5</v>
      </c>
      <c r="H3636" t="s">
        <v>75</v>
      </c>
      <c r="I3636" t="s">
        <v>121</v>
      </c>
      <c r="J3636" t="s">
        <v>122</v>
      </c>
      <c r="K3636">
        <v>0</v>
      </c>
      <c r="L3636" s="84">
        <v>533808</v>
      </c>
      <c r="M3636" s="84">
        <v>2669040</v>
      </c>
    </row>
    <row r="3637" spans="3:13" hidden="1" x14ac:dyDescent="0.25">
      <c r="C3637" t="s">
        <v>119</v>
      </c>
      <c r="D3637" t="s">
        <v>120</v>
      </c>
      <c r="E3637" t="s">
        <v>63</v>
      </c>
      <c r="F3637" t="s">
        <v>25</v>
      </c>
      <c r="G3637">
        <v>-1</v>
      </c>
      <c r="H3637" t="s">
        <v>73</v>
      </c>
      <c r="I3637" t="s">
        <v>121</v>
      </c>
      <c r="J3637" t="s">
        <v>122</v>
      </c>
      <c r="K3637">
        <v>0</v>
      </c>
      <c r="L3637" s="84">
        <v>0</v>
      </c>
      <c r="M3637" s="84">
        <v>0</v>
      </c>
    </row>
    <row r="3638" spans="3:13" hidden="1" x14ac:dyDescent="0.25">
      <c r="C3638" t="s">
        <v>119</v>
      </c>
      <c r="D3638" t="s">
        <v>120</v>
      </c>
      <c r="E3638" t="s">
        <v>60</v>
      </c>
      <c r="F3638" t="s">
        <v>124</v>
      </c>
      <c r="G3638">
        <v>10</v>
      </c>
      <c r="H3638" t="s">
        <v>72</v>
      </c>
      <c r="I3638" t="s">
        <v>121</v>
      </c>
      <c r="J3638" t="s">
        <v>122</v>
      </c>
      <c r="K3638">
        <v>0</v>
      </c>
      <c r="L3638" s="84">
        <v>-1106</v>
      </c>
      <c r="M3638" s="84">
        <v>0</v>
      </c>
    </row>
    <row r="3639" spans="3:13" hidden="1" x14ac:dyDescent="0.25">
      <c r="C3639" t="s">
        <v>65</v>
      </c>
      <c r="D3639" t="s">
        <v>120</v>
      </c>
      <c r="E3639" t="s">
        <v>60</v>
      </c>
      <c r="F3639" t="s">
        <v>124</v>
      </c>
      <c r="G3639">
        <v>7</v>
      </c>
      <c r="H3639" t="s">
        <v>18</v>
      </c>
      <c r="I3639" t="s">
        <v>121</v>
      </c>
      <c r="J3639" t="s">
        <v>66</v>
      </c>
      <c r="K3639">
        <v>1</v>
      </c>
      <c r="L3639" s="84">
        <v>-1902</v>
      </c>
      <c r="M3639" s="84">
        <v>0</v>
      </c>
    </row>
    <row r="3640" spans="3:13" hidden="1" x14ac:dyDescent="0.25">
      <c r="C3640" t="s">
        <v>65</v>
      </c>
      <c r="D3640" t="s">
        <v>127</v>
      </c>
      <c r="E3640" t="s">
        <v>63</v>
      </c>
      <c r="F3640" t="s">
        <v>25</v>
      </c>
      <c r="G3640">
        <v>-4</v>
      </c>
      <c r="H3640" t="s">
        <v>17</v>
      </c>
      <c r="I3640" t="s">
        <v>121</v>
      </c>
      <c r="J3640" t="s">
        <v>122</v>
      </c>
      <c r="K3640">
        <v>0</v>
      </c>
      <c r="L3640" s="84">
        <v>122024</v>
      </c>
      <c r="M3640" s="84">
        <v>0</v>
      </c>
    </row>
    <row r="3641" spans="3:13" hidden="1" x14ac:dyDescent="0.25">
      <c r="C3641" t="s">
        <v>64</v>
      </c>
      <c r="D3641" t="s">
        <v>120</v>
      </c>
      <c r="E3641" t="s">
        <v>63</v>
      </c>
      <c r="F3641" t="s">
        <v>25</v>
      </c>
      <c r="G3641">
        <v>-4</v>
      </c>
      <c r="H3641" t="s">
        <v>67</v>
      </c>
      <c r="I3641" t="s">
        <v>121</v>
      </c>
      <c r="J3641" t="s">
        <v>122</v>
      </c>
      <c r="K3641">
        <v>0</v>
      </c>
      <c r="L3641" s="84">
        <v>124</v>
      </c>
      <c r="M3641" s="84">
        <v>0</v>
      </c>
    </row>
    <row r="3642" spans="3:13" hidden="1" x14ac:dyDescent="0.25">
      <c r="C3642" t="s">
        <v>119</v>
      </c>
      <c r="D3642" t="s">
        <v>120</v>
      </c>
      <c r="E3642" t="s">
        <v>63</v>
      </c>
      <c r="F3642" t="s">
        <v>24</v>
      </c>
      <c r="G3642">
        <v>2</v>
      </c>
      <c r="H3642" t="s">
        <v>12</v>
      </c>
      <c r="I3642" t="s">
        <v>121</v>
      </c>
      <c r="J3642" t="s">
        <v>122</v>
      </c>
      <c r="K3642">
        <v>0</v>
      </c>
      <c r="L3642" s="84">
        <v>80560</v>
      </c>
      <c r="M3642" s="84">
        <v>161120</v>
      </c>
    </row>
    <row r="3643" spans="3:13" hidden="1" x14ac:dyDescent="0.25">
      <c r="C3643" t="s">
        <v>119</v>
      </c>
      <c r="D3643" t="s">
        <v>120</v>
      </c>
      <c r="E3643" t="s">
        <v>63</v>
      </c>
      <c r="F3643" t="s">
        <v>124</v>
      </c>
      <c r="G3643">
        <v>-1</v>
      </c>
      <c r="H3643" t="s">
        <v>61</v>
      </c>
      <c r="I3643" t="s">
        <v>121</v>
      </c>
      <c r="J3643" t="s">
        <v>122</v>
      </c>
      <c r="K3643">
        <v>0</v>
      </c>
      <c r="L3643" s="84">
        <v>16945403</v>
      </c>
      <c r="M3643" s="84">
        <v>0</v>
      </c>
    </row>
    <row r="3644" spans="3:13" hidden="1" x14ac:dyDescent="0.25">
      <c r="C3644" t="s">
        <v>119</v>
      </c>
      <c r="D3644" t="s">
        <v>120</v>
      </c>
      <c r="E3644" t="s">
        <v>60</v>
      </c>
      <c r="F3644" t="s">
        <v>24</v>
      </c>
      <c r="G3644">
        <v>3</v>
      </c>
      <c r="H3644" t="s">
        <v>70</v>
      </c>
      <c r="I3644" t="s">
        <v>121</v>
      </c>
      <c r="J3644" t="s">
        <v>122</v>
      </c>
      <c r="K3644">
        <v>0</v>
      </c>
      <c r="L3644" s="84">
        <v>-52</v>
      </c>
      <c r="M3644" s="84">
        <v>0</v>
      </c>
    </row>
    <row r="3645" spans="3:13" hidden="1" x14ac:dyDescent="0.25">
      <c r="C3645" t="s">
        <v>119</v>
      </c>
      <c r="D3645" t="s">
        <v>120</v>
      </c>
      <c r="E3645" t="s">
        <v>63</v>
      </c>
      <c r="F3645" t="s">
        <v>123</v>
      </c>
      <c r="G3645">
        <v>5</v>
      </c>
      <c r="H3645" t="s">
        <v>15</v>
      </c>
      <c r="I3645" t="s">
        <v>121</v>
      </c>
      <c r="J3645" t="s">
        <v>122</v>
      </c>
      <c r="K3645">
        <v>0</v>
      </c>
      <c r="L3645" s="84">
        <v>26792</v>
      </c>
      <c r="M3645" s="84">
        <v>133960</v>
      </c>
    </row>
    <row r="3646" spans="3:13" hidden="1" x14ac:dyDescent="0.25">
      <c r="C3646" t="s">
        <v>64</v>
      </c>
      <c r="D3646" t="s">
        <v>120</v>
      </c>
      <c r="E3646" t="s">
        <v>63</v>
      </c>
      <c r="F3646" t="s">
        <v>25</v>
      </c>
      <c r="G3646">
        <v>4</v>
      </c>
      <c r="H3646" t="s">
        <v>68</v>
      </c>
      <c r="I3646" t="s">
        <v>121</v>
      </c>
      <c r="J3646" t="s">
        <v>122</v>
      </c>
      <c r="K3646">
        <v>0</v>
      </c>
      <c r="L3646" s="84">
        <v>6013606</v>
      </c>
      <c r="M3646" s="84">
        <v>24054424</v>
      </c>
    </row>
    <row r="3647" spans="3:13" hidden="1" x14ac:dyDescent="0.25">
      <c r="C3647" t="s">
        <v>119</v>
      </c>
      <c r="D3647" t="s">
        <v>120</v>
      </c>
      <c r="E3647" t="s">
        <v>63</v>
      </c>
      <c r="F3647" t="s">
        <v>124</v>
      </c>
      <c r="G3647">
        <v>12</v>
      </c>
      <c r="H3647" t="s">
        <v>68</v>
      </c>
      <c r="I3647" t="s">
        <v>121</v>
      </c>
      <c r="J3647" t="s">
        <v>122</v>
      </c>
      <c r="K3647">
        <v>0</v>
      </c>
      <c r="L3647" s="84">
        <v>1725824</v>
      </c>
      <c r="M3647" s="84">
        <v>20709888</v>
      </c>
    </row>
    <row r="3648" spans="3:13" hidden="1" x14ac:dyDescent="0.25">
      <c r="C3648" t="s">
        <v>64</v>
      </c>
      <c r="D3648" t="s">
        <v>120</v>
      </c>
      <c r="E3648" t="s">
        <v>60</v>
      </c>
      <c r="F3648" t="s">
        <v>123</v>
      </c>
      <c r="G3648">
        <v>3</v>
      </c>
      <c r="H3648" t="s">
        <v>75</v>
      </c>
      <c r="I3648" t="s">
        <v>121</v>
      </c>
      <c r="J3648" t="s">
        <v>122</v>
      </c>
      <c r="K3648">
        <v>0</v>
      </c>
      <c r="L3648" s="84">
        <v>-184150</v>
      </c>
      <c r="M3648" s="84">
        <v>0</v>
      </c>
    </row>
    <row r="3649" spans="3:13" hidden="1" x14ac:dyDescent="0.25">
      <c r="C3649" t="s">
        <v>65</v>
      </c>
      <c r="D3649" t="s">
        <v>120</v>
      </c>
      <c r="E3649" t="s">
        <v>60</v>
      </c>
      <c r="F3649" t="s">
        <v>124</v>
      </c>
      <c r="G3649">
        <v>6</v>
      </c>
      <c r="H3649" t="s">
        <v>61</v>
      </c>
      <c r="I3649" t="s">
        <v>121</v>
      </c>
      <c r="J3649" t="s">
        <v>122</v>
      </c>
      <c r="K3649">
        <v>0</v>
      </c>
      <c r="L3649" s="84">
        <v>-195542</v>
      </c>
      <c r="M3649" s="84">
        <v>0</v>
      </c>
    </row>
    <row r="3650" spans="3:13" hidden="1" x14ac:dyDescent="0.25">
      <c r="C3650" t="s">
        <v>119</v>
      </c>
      <c r="D3650" t="s">
        <v>120</v>
      </c>
      <c r="E3650" t="s">
        <v>63</v>
      </c>
      <c r="F3650" t="s">
        <v>25</v>
      </c>
      <c r="G3650">
        <v>7</v>
      </c>
      <c r="H3650" t="s">
        <v>74</v>
      </c>
      <c r="I3650" t="s">
        <v>121</v>
      </c>
      <c r="J3650" t="s">
        <v>122</v>
      </c>
      <c r="K3650">
        <v>0</v>
      </c>
      <c r="L3650" s="84">
        <v>390881</v>
      </c>
      <c r="M3650" s="84">
        <v>2736167</v>
      </c>
    </row>
    <row r="3651" spans="3:13" hidden="1" x14ac:dyDescent="0.25">
      <c r="C3651" t="s">
        <v>64</v>
      </c>
      <c r="D3651" t="s">
        <v>120</v>
      </c>
      <c r="E3651" t="s">
        <v>60</v>
      </c>
      <c r="F3651" t="s">
        <v>123</v>
      </c>
      <c r="G3651">
        <v>2</v>
      </c>
      <c r="H3651" t="s">
        <v>71</v>
      </c>
      <c r="I3651" t="s">
        <v>121</v>
      </c>
      <c r="J3651" t="s">
        <v>122</v>
      </c>
      <c r="K3651">
        <v>0</v>
      </c>
      <c r="L3651" s="84">
        <v>-787</v>
      </c>
      <c r="M3651" s="84">
        <v>0</v>
      </c>
    </row>
    <row r="3652" spans="3:13" hidden="1" x14ac:dyDescent="0.25">
      <c r="C3652" t="s">
        <v>119</v>
      </c>
      <c r="D3652" t="s">
        <v>120</v>
      </c>
      <c r="E3652" t="s">
        <v>60</v>
      </c>
      <c r="F3652" t="s">
        <v>25</v>
      </c>
      <c r="G3652">
        <v>4</v>
      </c>
      <c r="H3652" t="s">
        <v>18</v>
      </c>
      <c r="I3652" t="s">
        <v>121</v>
      </c>
      <c r="J3652" t="s">
        <v>122</v>
      </c>
      <c r="K3652">
        <v>0</v>
      </c>
      <c r="L3652" s="84">
        <v>-11132</v>
      </c>
      <c r="M3652" s="84">
        <v>0</v>
      </c>
    </row>
    <row r="3653" spans="3:13" hidden="1" x14ac:dyDescent="0.25">
      <c r="C3653" t="s">
        <v>65</v>
      </c>
      <c r="D3653" t="s">
        <v>120</v>
      </c>
      <c r="E3653" t="s">
        <v>60</v>
      </c>
      <c r="F3653" t="s">
        <v>124</v>
      </c>
      <c r="G3653">
        <v>10</v>
      </c>
      <c r="H3653" t="s">
        <v>17</v>
      </c>
      <c r="I3653" t="s">
        <v>62</v>
      </c>
      <c r="J3653" t="s">
        <v>66</v>
      </c>
      <c r="K3653">
        <v>1</v>
      </c>
      <c r="L3653" s="84">
        <v>-117210</v>
      </c>
      <c r="M3653" s="84">
        <v>0</v>
      </c>
    </row>
    <row r="3654" spans="3:13" hidden="1" x14ac:dyDescent="0.25">
      <c r="C3654" t="s">
        <v>65</v>
      </c>
      <c r="D3654" t="s">
        <v>120</v>
      </c>
      <c r="E3654" t="s">
        <v>63</v>
      </c>
      <c r="F3654" t="s">
        <v>124</v>
      </c>
      <c r="G3654">
        <v>-1</v>
      </c>
      <c r="H3654" t="s">
        <v>15</v>
      </c>
      <c r="I3654" t="s">
        <v>121</v>
      </c>
      <c r="J3654" t="s">
        <v>122</v>
      </c>
      <c r="K3654">
        <v>0</v>
      </c>
      <c r="L3654" s="84">
        <v>7606</v>
      </c>
      <c r="M3654" s="84">
        <v>0</v>
      </c>
    </row>
    <row r="3655" spans="3:13" hidden="1" x14ac:dyDescent="0.25">
      <c r="C3655" t="s">
        <v>119</v>
      </c>
      <c r="D3655" t="s">
        <v>120</v>
      </c>
      <c r="E3655" t="s">
        <v>60</v>
      </c>
      <c r="F3655" t="s">
        <v>24</v>
      </c>
      <c r="G3655">
        <v>8</v>
      </c>
      <c r="H3655" t="s">
        <v>14</v>
      </c>
      <c r="I3655" t="s">
        <v>121</v>
      </c>
      <c r="J3655" t="s">
        <v>66</v>
      </c>
      <c r="K3655">
        <v>1</v>
      </c>
      <c r="L3655" s="84">
        <v>-23</v>
      </c>
      <c r="M3655" s="84">
        <v>0</v>
      </c>
    </row>
    <row r="3656" spans="3:13" hidden="1" x14ac:dyDescent="0.25">
      <c r="C3656" t="s">
        <v>119</v>
      </c>
      <c r="D3656" t="s">
        <v>120</v>
      </c>
      <c r="E3656" t="s">
        <v>63</v>
      </c>
      <c r="F3656" t="s">
        <v>25</v>
      </c>
      <c r="G3656">
        <v>16</v>
      </c>
      <c r="H3656" t="s">
        <v>68</v>
      </c>
      <c r="I3656" t="s">
        <v>121</v>
      </c>
      <c r="J3656" t="s">
        <v>122</v>
      </c>
      <c r="K3656">
        <v>0</v>
      </c>
      <c r="L3656" s="84">
        <v>59522</v>
      </c>
      <c r="M3656" s="84">
        <v>952352</v>
      </c>
    </row>
    <row r="3657" spans="3:13" hidden="1" x14ac:dyDescent="0.25">
      <c r="C3657" t="s">
        <v>64</v>
      </c>
      <c r="D3657" t="s">
        <v>125</v>
      </c>
      <c r="E3657" t="s">
        <v>63</v>
      </c>
      <c r="F3657" t="s">
        <v>25</v>
      </c>
      <c r="G3657">
        <v>9</v>
      </c>
      <c r="I3657" t="s">
        <v>121</v>
      </c>
      <c r="J3657" t="s">
        <v>122</v>
      </c>
      <c r="K3657">
        <v>0</v>
      </c>
      <c r="L3657" s="84">
        <v>478964</v>
      </c>
      <c r="M3657" s="84">
        <v>4310676</v>
      </c>
    </row>
    <row r="3658" spans="3:13" hidden="1" x14ac:dyDescent="0.25">
      <c r="C3658" t="s">
        <v>65</v>
      </c>
      <c r="D3658" t="s">
        <v>120</v>
      </c>
      <c r="E3658" t="s">
        <v>63</v>
      </c>
      <c r="F3658" t="s">
        <v>124</v>
      </c>
      <c r="G3658">
        <v>0</v>
      </c>
      <c r="H3658" t="s">
        <v>67</v>
      </c>
      <c r="I3658" t="s">
        <v>121</v>
      </c>
      <c r="J3658" t="s">
        <v>122</v>
      </c>
      <c r="K3658">
        <v>0</v>
      </c>
      <c r="L3658" s="84">
        <v>2031370</v>
      </c>
      <c r="M3658" s="84">
        <v>0</v>
      </c>
    </row>
    <row r="3659" spans="3:13" hidden="1" x14ac:dyDescent="0.25">
      <c r="C3659" t="s">
        <v>65</v>
      </c>
      <c r="D3659" t="s">
        <v>120</v>
      </c>
      <c r="E3659" t="s">
        <v>60</v>
      </c>
      <c r="F3659" t="s">
        <v>124</v>
      </c>
      <c r="G3659">
        <v>4</v>
      </c>
      <c r="H3659" t="s">
        <v>12</v>
      </c>
      <c r="I3659" t="s">
        <v>121</v>
      </c>
      <c r="J3659" t="s">
        <v>66</v>
      </c>
      <c r="K3659">
        <v>1</v>
      </c>
      <c r="L3659" s="84">
        <v>-552144</v>
      </c>
      <c r="M3659" s="84">
        <v>0</v>
      </c>
    </row>
    <row r="3660" spans="3:13" hidden="1" x14ac:dyDescent="0.25">
      <c r="C3660" t="s">
        <v>64</v>
      </c>
      <c r="D3660" t="s">
        <v>120</v>
      </c>
      <c r="E3660" t="s">
        <v>60</v>
      </c>
      <c r="F3660" t="s">
        <v>25</v>
      </c>
      <c r="G3660">
        <v>11</v>
      </c>
      <c r="H3660" t="s">
        <v>14</v>
      </c>
      <c r="I3660" t="s">
        <v>121</v>
      </c>
      <c r="J3660" t="s">
        <v>66</v>
      </c>
      <c r="K3660">
        <v>1</v>
      </c>
      <c r="L3660" s="84">
        <v>-10192</v>
      </c>
      <c r="M3660" s="84">
        <v>0</v>
      </c>
    </row>
    <row r="3661" spans="3:13" hidden="1" x14ac:dyDescent="0.25">
      <c r="C3661" t="s">
        <v>119</v>
      </c>
      <c r="D3661" t="s">
        <v>120</v>
      </c>
      <c r="E3661" t="s">
        <v>60</v>
      </c>
      <c r="F3661" t="s">
        <v>124</v>
      </c>
      <c r="G3661">
        <v>6</v>
      </c>
      <c r="H3661" t="s">
        <v>68</v>
      </c>
      <c r="I3661" t="s">
        <v>121</v>
      </c>
      <c r="J3661" t="s">
        <v>122</v>
      </c>
      <c r="K3661">
        <v>0</v>
      </c>
      <c r="L3661" s="84">
        <v>-2439</v>
      </c>
      <c r="M3661" s="84">
        <v>0</v>
      </c>
    </row>
    <row r="3662" spans="3:13" hidden="1" x14ac:dyDescent="0.25">
      <c r="C3662" t="s">
        <v>119</v>
      </c>
      <c r="D3662" t="s">
        <v>120</v>
      </c>
      <c r="E3662" t="s">
        <v>63</v>
      </c>
      <c r="F3662" t="s">
        <v>25</v>
      </c>
      <c r="G3662">
        <v>10</v>
      </c>
      <c r="H3662" t="s">
        <v>75</v>
      </c>
      <c r="I3662" t="s">
        <v>121</v>
      </c>
      <c r="J3662" t="s">
        <v>122</v>
      </c>
      <c r="K3662">
        <v>0</v>
      </c>
      <c r="L3662" s="84">
        <v>3301289</v>
      </c>
      <c r="M3662" s="84">
        <v>33012890</v>
      </c>
    </row>
    <row r="3663" spans="3:13" hidden="1" x14ac:dyDescent="0.25">
      <c r="C3663" t="s">
        <v>65</v>
      </c>
      <c r="D3663" t="s">
        <v>120</v>
      </c>
      <c r="E3663" t="s">
        <v>63</v>
      </c>
      <c r="F3663" t="s">
        <v>124</v>
      </c>
      <c r="G3663">
        <v>2</v>
      </c>
      <c r="H3663" t="s">
        <v>71</v>
      </c>
      <c r="I3663" t="s">
        <v>121</v>
      </c>
      <c r="J3663" t="s">
        <v>122</v>
      </c>
      <c r="K3663">
        <v>0</v>
      </c>
      <c r="L3663" s="84">
        <v>62948</v>
      </c>
      <c r="M3663" s="84">
        <v>125896</v>
      </c>
    </row>
    <row r="3664" spans="3:13" hidden="1" x14ac:dyDescent="0.25">
      <c r="C3664" t="s">
        <v>119</v>
      </c>
      <c r="D3664" t="s">
        <v>120</v>
      </c>
      <c r="E3664" t="s">
        <v>63</v>
      </c>
      <c r="F3664" t="s">
        <v>24</v>
      </c>
      <c r="G3664">
        <v>9</v>
      </c>
      <c r="H3664" t="s">
        <v>61</v>
      </c>
      <c r="I3664" t="s">
        <v>121</v>
      </c>
      <c r="J3664" t="s">
        <v>122</v>
      </c>
      <c r="K3664">
        <v>0</v>
      </c>
      <c r="L3664" s="84">
        <v>1090824</v>
      </c>
      <c r="M3664" s="84">
        <v>9817416</v>
      </c>
    </row>
    <row r="3665" spans="3:13" hidden="1" x14ac:dyDescent="0.25">
      <c r="C3665" t="s">
        <v>65</v>
      </c>
      <c r="D3665" t="s">
        <v>120</v>
      </c>
      <c r="E3665" t="s">
        <v>63</v>
      </c>
      <c r="F3665" t="s">
        <v>124</v>
      </c>
      <c r="G3665">
        <v>3</v>
      </c>
      <c r="H3665" t="s">
        <v>17</v>
      </c>
      <c r="I3665" t="s">
        <v>121</v>
      </c>
      <c r="J3665" t="s">
        <v>122</v>
      </c>
      <c r="K3665">
        <v>0</v>
      </c>
      <c r="L3665" s="84">
        <v>5743221</v>
      </c>
      <c r="M3665" s="84">
        <v>17229663</v>
      </c>
    </row>
    <row r="3666" spans="3:13" hidden="1" x14ac:dyDescent="0.25">
      <c r="C3666" t="s">
        <v>65</v>
      </c>
      <c r="D3666" t="s">
        <v>125</v>
      </c>
      <c r="E3666" t="s">
        <v>60</v>
      </c>
      <c r="F3666" t="s">
        <v>24</v>
      </c>
      <c r="G3666">
        <v>37</v>
      </c>
      <c r="I3666" t="s">
        <v>121</v>
      </c>
      <c r="J3666" t="s">
        <v>122</v>
      </c>
      <c r="K3666">
        <v>0</v>
      </c>
      <c r="L3666" s="84">
        <v>-1652554</v>
      </c>
      <c r="M3666" s="84">
        <v>0</v>
      </c>
    </row>
    <row r="3667" spans="3:13" hidden="1" x14ac:dyDescent="0.25">
      <c r="C3667" t="s">
        <v>119</v>
      </c>
      <c r="D3667" t="s">
        <v>120</v>
      </c>
      <c r="E3667" t="s">
        <v>60</v>
      </c>
      <c r="F3667" t="s">
        <v>24</v>
      </c>
      <c r="G3667">
        <v>13</v>
      </c>
      <c r="H3667" t="s">
        <v>70</v>
      </c>
      <c r="I3667" t="s">
        <v>121</v>
      </c>
      <c r="J3667" t="s">
        <v>122</v>
      </c>
      <c r="K3667">
        <v>0</v>
      </c>
      <c r="L3667" s="84">
        <v>-921</v>
      </c>
      <c r="M3667" s="84">
        <v>0</v>
      </c>
    </row>
    <row r="3668" spans="3:13" hidden="1" x14ac:dyDescent="0.25">
      <c r="C3668" t="s">
        <v>64</v>
      </c>
      <c r="D3668" t="s">
        <v>120</v>
      </c>
      <c r="E3668" t="s">
        <v>60</v>
      </c>
      <c r="F3668" t="s">
        <v>123</v>
      </c>
      <c r="G3668">
        <v>6</v>
      </c>
      <c r="H3668" t="s">
        <v>61</v>
      </c>
      <c r="I3668" t="s">
        <v>121</v>
      </c>
      <c r="J3668" t="s">
        <v>122</v>
      </c>
      <c r="K3668">
        <v>0</v>
      </c>
      <c r="L3668" s="84">
        <v>-6633</v>
      </c>
      <c r="M3668" s="84">
        <v>0</v>
      </c>
    </row>
    <row r="3669" spans="3:13" hidden="1" x14ac:dyDescent="0.25">
      <c r="C3669" t="s">
        <v>65</v>
      </c>
      <c r="D3669" t="s">
        <v>120</v>
      </c>
      <c r="E3669" t="s">
        <v>60</v>
      </c>
      <c r="F3669" t="s">
        <v>124</v>
      </c>
      <c r="G3669">
        <v>5</v>
      </c>
      <c r="H3669" t="s">
        <v>75</v>
      </c>
      <c r="I3669" t="s">
        <v>121</v>
      </c>
      <c r="J3669" t="s">
        <v>122</v>
      </c>
      <c r="K3669">
        <v>0</v>
      </c>
      <c r="L3669" s="84">
        <v>-312610</v>
      </c>
      <c r="M3669" s="84">
        <v>0</v>
      </c>
    </row>
    <row r="3670" spans="3:13" hidden="1" x14ac:dyDescent="0.25">
      <c r="C3670" t="s">
        <v>64</v>
      </c>
      <c r="D3670" t="s">
        <v>120</v>
      </c>
      <c r="E3670" t="s">
        <v>60</v>
      </c>
      <c r="F3670" t="s">
        <v>124</v>
      </c>
      <c r="G3670">
        <v>1</v>
      </c>
      <c r="H3670" t="s">
        <v>12</v>
      </c>
      <c r="I3670" t="s">
        <v>62</v>
      </c>
      <c r="J3670" t="s">
        <v>66</v>
      </c>
      <c r="K3670">
        <v>1</v>
      </c>
      <c r="L3670" s="84">
        <v>-2868</v>
      </c>
      <c r="M3670" s="84">
        <v>0</v>
      </c>
    </row>
    <row r="3671" spans="3:13" hidden="1" x14ac:dyDescent="0.25">
      <c r="C3671" t="s">
        <v>64</v>
      </c>
      <c r="D3671" t="s">
        <v>120</v>
      </c>
      <c r="E3671" t="s">
        <v>63</v>
      </c>
      <c r="F3671" t="s">
        <v>124</v>
      </c>
      <c r="G3671">
        <v>-1</v>
      </c>
      <c r="H3671" t="s">
        <v>15</v>
      </c>
      <c r="I3671" t="s">
        <v>62</v>
      </c>
      <c r="J3671" t="s">
        <v>122</v>
      </c>
      <c r="K3671">
        <v>1</v>
      </c>
      <c r="L3671" s="84">
        <v>950</v>
      </c>
      <c r="M3671" s="84">
        <v>0</v>
      </c>
    </row>
    <row r="3672" spans="3:13" hidden="1" x14ac:dyDescent="0.25">
      <c r="C3672" t="s">
        <v>119</v>
      </c>
      <c r="D3672" t="s">
        <v>120</v>
      </c>
      <c r="E3672" t="s">
        <v>60</v>
      </c>
      <c r="F3672" t="s">
        <v>123</v>
      </c>
      <c r="G3672">
        <v>3</v>
      </c>
      <c r="H3672" t="s">
        <v>75</v>
      </c>
      <c r="I3672" t="s">
        <v>121</v>
      </c>
      <c r="J3672" t="s">
        <v>122</v>
      </c>
      <c r="K3672">
        <v>0</v>
      </c>
      <c r="L3672" s="84">
        <v>-34959</v>
      </c>
      <c r="M3672" s="84">
        <v>0</v>
      </c>
    </row>
    <row r="3673" spans="3:13" hidden="1" x14ac:dyDescent="0.25">
      <c r="C3673" t="s">
        <v>65</v>
      </c>
      <c r="D3673" t="s">
        <v>120</v>
      </c>
      <c r="E3673" t="s">
        <v>63</v>
      </c>
      <c r="F3673" t="s">
        <v>124</v>
      </c>
      <c r="G3673">
        <v>15</v>
      </c>
      <c r="H3673" t="s">
        <v>12</v>
      </c>
      <c r="I3673" t="s">
        <v>121</v>
      </c>
      <c r="J3673" t="s">
        <v>122</v>
      </c>
      <c r="K3673">
        <v>0</v>
      </c>
      <c r="L3673" s="84">
        <v>41934</v>
      </c>
      <c r="M3673" s="84">
        <v>629010</v>
      </c>
    </row>
    <row r="3674" spans="3:13" hidden="1" x14ac:dyDescent="0.25">
      <c r="C3674" t="s">
        <v>119</v>
      </c>
      <c r="D3674" t="s">
        <v>120</v>
      </c>
      <c r="E3674" t="s">
        <v>60</v>
      </c>
      <c r="F3674" t="s">
        <v>25</v>
      </c>
      <c r="G3674">
        <v>12</v>
      </c>
      <c r="H3674" t="s">
        <v>61</v>
      </c>
      <c r="I3674" t="s">
        <v>121</v>
      </c>
      <c r="J3674" t="s">
        <v>122</v>
      </c>
      <c r="K3674">
        <v>0</v>
      </c>
      <c r="L3674" s="84">
        <v>-550</v>
      </c>
      <c r="M3674" s="84">
        <v>0</v>
      </c>
    </row>
    <row r="3675" spans="3:13" hidden="1" x14ac:dyDescent="0.25">
      <c r="C3675" t="s">
        <v>119</v>
      </c>
      <c r="D3675" t="s">
        <v>120</v>
      </c>
      <c r="E3675" t="s">
        <v>60</v>
      </c>
      <c r="F3675" t="s">
        <v>123</v>
      </c>
      <c r="G3675">
        <v>2</v>
      </c>
      <c r="H3675" t="s">
        <v>71</v>
      </c>
      <c r="I3675" t="s">
        <v>121</v>
      </c>
      <c r="J3675" t="s">
        <v>122</v>
      </c>
      <c r="K3675">
        <v>0</v>
      </c>
      <c r="L3675" s="84">
        <v>-388</v>
      </c>
      <c r="M3675" s="84">
        <v>0</v>
      </c>
    </row>
    <row r="3676" spans="3:13" hidden="1" x14ac:dyDescent="0.25">
      <c r="C3676" t="s">
        <v>119</v>
      </c>
      <c r="D3676" t="s">
        <v>120</v>
      </c>
      <c r="E3676" t="s">
        <v>63</v>
      </c>
      <c r="F3676" t="s">
        <v>124</v>
      </c>
      <c r="G3676">
        <v>8</v>
      </c>
      <c r="H3676" t="s">
        <v>15</v>
      </c>
      <c r="I3676" t="s">
        <v>121</v>
      </c>
      <c r="J3676" t="s">
        <v>122</v>
      </c>
      <c r="K3676">
        <v>0</v>
      </c>
      <c r="L3676" s="84">
        <v>13870583</v>
      </c>
      <c r="M3676" s="84">
        <v>110964664</v>
      </c>
    </row>
    <row r="3677" spans="3:13" hidden="1" x14ac:dyDescent="0.25">
      <c r="C3677" t="s">
        <v>64</v>
      </c>
      <c r="D3677" t="s">
        <v>120</v>
      </c>
      <c r="E3677" t="s">
        <v>63</v>
      </c>
      <c r="F3677" t="s">
        <v>123</v>
      </c>
      <c r="G3677">
        <v>7</v>
      </c>
      <c r="H3677" t="s">
        <v>68</v>
      </c>
      <c r="I3677" t="s">
        <v>121</v>
      </c>
      <c r="J3677" t="s">
        <v>122</v>
      </c>
      <c r="K3677">
        <v>0</v>
      </c>
      <c r="L3677" s="84">
        <v>1843906</v>
      </c>
      <c r="M3677" s="84">
        <v>12907342</v>
      </c>
    </row>
    <row r="3678" spans="3:13" hidden="1" x14ac:dyDescent="0.25">
      <c r="C3678" t="s">
        <v>119</v>
      </c>
      <c r="D3678" t="s">
        <v>120</v>
      </c>
      <c r="E3678" t="s">
        <v>63</v>
      </c>
      <c r="F3678" t="s">
        <v>123</v>
      </c>
      <c r="G3678">
        <v>1</v>
      </c>
      <c r="H3678" t="s">
        <v>70</v>
      </c>
      <c r="I3678" t="s">
        <v>121</v>
      </c>
      <c r="J3678" t="s">
        <v>122</v>
      </c>
      <c r="K3678">
        <v>0</v>
      </c>
      <c r="L3678" s="84">
        <v>386392</v>
      </c>
      <c r="M3678" s="84">
        <v>386392</v>
      </c>
    </row>
    <row r="3679" spans="3:13" hidden="1" x14ac:dyDescent="0.25">
      <c r="C3679" t="s">
        <v>64</v>
      </c>
      <c r="D3679" t="s">
        <v>120</v>
      </c>
      <c r="E3679" t="s">
        <v>60</v>
      </c>
      <c r="F3679" t="s">
        <v>123</v>
      </c>
      <c r="G3679">
        <v>2</v>
      </c>
      <c r="H3679" t="s">
        <v>61</v>
      </c>
      <c r="I3679" t="s">
        <v>121</v>
      </c>
      <c r="J3679" t="s">
        <v>122</v>
      </c>
      <c r="K3679">
        <v>0</v>
      </c>
      <c r="L3679" s="84">
        <v>-19127</v>
      </c>
      <c r="M3679" s="84">
        <v>0</v>
      </c>
    </row>
    <row r="3680" spans="3:13" hidden="1" x14ac:dyDescent="0.25">
      <c r="C3680" t="s">
        <v>65</v>
      </c>
      <c r="D3680" t="s">
        <v>125</v>
      </c>
      <c r="E3680" t="s">
        <v>63</v>
      </c>
      <c r="F3680" t="s">
        <v>24</v>
      </c>
      <c r="G3680">
        <v>34</v>
      </c>
      <c r="I3680" t="s">
        <v>121</v>
      </c>
      <c r="J3680" t="s">
        <v>122</v>
      </c>
      <c r="K3680">
        <v>0</v>
      </c>
      <c r="L3680" s="84">
        <v>6160022</v>
      </c>
      <c r="M3680" s="84">
        <v>209440748</v>
      </c>
    </row>
    <row r="3681" spans="3:13" hidden="1" x14ac:dyDescent="0.25">
      <c r="C3681" t="s">
        <v>119</v>
      </c>
      <c r="D3681" t="s">
        <v>120</v>
      </c>
      <c r="E3681" t="s">
        <v>63</v>
      </c>
      <c r="F3681" t="s">
        <v>25</v>
      </c>
      <c r="G3681">
        <v>3</v>
      </c>
      <c r="H3681" t="s">
        <v>72</v>
      </c>
      <c r="I3681" t="s">
        <v>121</v>
      </c>
      <c r="J3681" t="s">
        <v>122</v>
      </c>
      <c r="K3681">
        <v>0</v>
      </c>
      <c r="L3681" s="84">
        <v>737506</v>
      </c>
      <c r="M3681" s="84">
        <v>2212518</v>
      </c>
    </row>
    <row r="3682" spans="3:13" hidden="1" x14ac:dyDescent="0.25">
      <c r="C3682" t="s">
        <v>64</v>
      </c>
      <c r="D3682" t="s">
        <v>120</v>
      </c>
      <c r="E3682" t="s">
        <v>60</v>
      </c>
      <c r="F3682" t="s">
        <v>124</v>
      </c>
      <c r="G3682">
        <v>4</v>
      </c>
      <c r="H3682" t="s">
        <v>69</v>
      </c>
      <c r="I3682" t="s">
        <v>121</v>
      </c>
      <c r="J3682" t="s">
        <v>122</v>
      </c>
      <c r="K3682">
        <v>0</v>
      </c>
      <c r="L3682" s="84">
        <v>-184249</v>
      </c>
      <c r="M3682" s="84">
        <v>0</v>
      </c>
    </row>
    <row r="3683" spans="3:13" hidden="1" x14ac:dyDescent="0.25">
      <c r="C3683" t="s">
        <v>119</v>
      </c>
      <c r="D3683" t="s">
        <v>120</v>
      </c>
      <c r="E3683" t="s">
        <v>60</v>
      </c>
      <c r="F3683" t="s">
        <v>24</v>
      </c>
      <c r="G3683">
        <v>0</v>
      </c>
      <c r="H3683" t="s">
        <v>12</v>
      </c>
      <c r="I3683" t="s">
        <v>121</v>
      </c>
      <c r="J3683" t="s">
        <v>66</v>
      </c>
      <c r="K3683">
        <v>1</v>
      </c>
      <c r="L3683" s="84">
        <v>-235</v>
      </c>
      <c r="M3683" s="84">
        <v>0</v>
      </c>
    </row>
    <row r="3684" spans="3:13" hidden="1" x14ac:dyDescent="0.25">
      <c r="C3684" t="s">
        <v>119</v>
      </c>
      <c r="D3684" t="s">
        <v>120</v>
      </c>
      <c r="E3684" t="s">
        <v>60</v>
      </c>
      <c r="F3684" t="s">
        <v>123</v>
      </c>
      <c r="G3684">
        <v>4</v>
      </c>
      <c r="H3684" t="s">
        <v>75</v>
      </c>
      <c r="I3684" t="s">
        <v>121</v>
      </c>
      <c r="J3684" t="s">
        <v>122</v>
      </c>
      <c r="K3684">
        <v>0</v>
      </c>
      <c r="L3684" s="84">
        <v>-97667</v>
      </c>
      <c r="M3684" s="84">
        <v>0</v>
      </c>
    </row>
    <row r="3685" spans="3:13" hidden="1" x14ac:dyDescent="0.25">
      <c r="C3685" t="s">
        <v>65</v>
      </c>
      <c r="D3685" t="s">
        <v>120</v>
      </c>
      <c r="E3685" t="s">
        <v>60</v>
      </c>
      <c r="F3685" t="s">
        <v>123</v>
      </c>
      <c r="G3685">
        <v>1</v>
      </c>
      <c r="H3685" t="s">
        <v>13</v>
      </c>
      <c r="I3685" t="s">
        <v>121</v>
      </c>
      <c r="J3685" t="s">
        <v>122</v>
      </c>
      <c r="K3685">
        <v>0</v>
      </c>
      <c r="L3685" s="84">
        <v>-218067</v>
      </c>
      <c r="M3685" s="84">
        <v>0</v>
      </c>
    </row>
    <row r="3686" spans="3:13" hidden="1" x14ac:dyDescent="0.25">
      <c r="C3686" t="s">
        <v>64</v>
      </c>
      <c r="D3686" t="s">
        <v>125</v>
      </c>
      <c r="E3686" t="s">
        <v>60</v>
      </c>
      <c r="F3686" t="s">
        <v>25</v>
      </c>
      <c r="G3686">
        <v>28</v>
      </c>
      <c r="I3686" t="s">
        <v>121</v>
      </c>
      <c r="J3686" t="s">
        <v>122</v>
      </c>
      <c r="K3686">
        <v>0</v>
      </c>
      <c r="L3686" s="84">
        <v>-126375</v>
      </c>
      <c r="M3686" s="84">
        <v>0</v>
      </c>
    </row>
    <row r="3687" spans="3:13" hidden="1" x14ac:dyDescent="0.25">
      <c r="C3687" t="s">
        <v>64</v>
      </c>
      <c r="D3687" t="s">
        <v>120</v>
      </c>
      <c r="E3687" t="s">
        <v>63</v>
      </c>
      <c r="F3687" t="s">
        <v>25</v>
      </c>
      <c r="G3687">
        <v>-4</v>
      </c>
      <c r="H3687" t="s">
        <v>73</v>
      </c>
      <c r="I3687" t="s">
        <v>121</v>
      </c>
      <c r="J3687" t="s">
        <v>122</v>
      </c>
      <c r="K3687">
        <v>0</v>
      </c>
      <c r="L3687" s="84">
        <v>18</v>
      </c>
      <c r="M3687" s="84">
        <v>0</v>
      </c>
    </row>
    <row r="3688" spans="3:13" hidden="1" x14ac:dyDescent="0.25">
      <c r="C3688" t="s">
        <v>119</v>
      </c>
      <c r="D3688" t="s">
        <v>120</v>
      </c>
      <c r="E3688" t="s">
        <v>63</v>
      </c>
      <c r="F3688" t="s">
        <v>25</v>
      </c>
      <c r="G3688">
        <v>1</v>
      </c>
      <c r="H3688" t="s">
        <v>68</v>
      </c>
      <c r="I3688" t="s">
        <v>121</v>
      </c>
      <c r="J3688" t="s">
        <v>122</v>
      </c>
      <c r="K3688">
        <v>0</v>
      </c>
      <c r="L3688" s="84">
        <v>20639740</v>
      </c>
      <c r="M3688" s="84">
        <v>20639740</v>
      </c>
    </row>
    <row r="3689" spans="3:13" hidden="1" x14ac:dyDescent="0.25">
      <c r="C3689" t="s">
        <v>64</v>
      </c>
      <c r="D3689" t="s">
        <v>120</v>
      </c>
      <c r="E3689" t="s">
        <v>63</v>
      </c>
      <c r="F3689" t="s">
        <v>124</v>
      </c>
      <c r="G3689">
        <v>-4</v>
      </c>
      <c r="H3689" t="s">
        <v>67</v>
      </c>
      <c r="I3689" t="s">
        <v>121</v>
      </c>
      <c r="J3689" t="s">
        <v>122</v>
      </c>
      <c r="K3689">
        <v>0</v>
      </c>
      <c r="L3689" s="84">
        <v>12408</v>
      </c>
      <c r="M3689" s="84">
        <v>0</v>
      </c>
    </row>
    <row r="3690" spans="3:13" hidden="1" x14ac:dyDescent="0.25">
      <c r="C3690" t="s">
        <v>119</v>
      </c>
      <c r="D3690" t="s">
        <v>120</v>
      </c>
      <c r="E3690" t="s">
        <v>63</v>
      </c>
      <c r="F3690" t="s">
        <v>124</v>
      </c>
      <c r="G3690">
        <v>1</v>
      </c>
      <c r="H3690" t="s">
        <v>75</v>
      </c>
      <c r="I3690" t="s">
        <v>62</v>
      </c>
      <c r="J3690" t="s">
        <v>122</v>
      </c>
      <c r="K3690">
        <v>1</v>
      </c>
      <c r="L3690" s="84">
        <v>25066</v>
      </c>
      <c r="M3690" s="84">
        <v>25066</v>
      </c>
    </row>
    <row r="3691" spans="3:13" hidden="1" x14ac:dyDescent="0.25">
      <c r="C3691" t="s">
        <v>64</v>
      </c>
      <c r="D3691" t="s">
        <v>120</v>
      </c>
      <c r="E3691" t="s">
        <v>60</v>
      </c>
      <c r="F3691" t="s">
        <v>25</v>
      </c>
      <c r="G3691">
        <v>11</v>
      </c>
      <c r="H3691" t="s">
        <v>61</v>
      </c>
      <c r="I3691" t="s">
        <v>121</v>
      </c>
      <c r="J3691" t="s">
        <v>122</v>
      </c>
      <c r="K3691">
        <v>0</v>
      </c>
      <c r="L3691" s="84">
        <v>-7461812</v>
      </c>
      <c r="M3691" s="84">
        <v>0</v>
      </c>
    </row>
    <row r="3692" spans="3:13" hidden="1" x14ac:dyDescent="0.25">
      <c r="C3692" t="s">
        <v>119</v>
      </c>
      <c r="D3692" t="s">
        <v>120</v>
      </c>
      <c r="E3692" t="s">
        <v>63</v>
      </c>
      <c r="F3692" t="s">
        <v>124</v>
      </c>
      <c r="G3692">
        <v>2</v>
      </c>
      <c r="H3692" t="s">
        <v>15</v>
      </c>
      <c r="I3692" t="s">
        <v>121</v>
      </c>
      <c r="J3692" t="s">
        <v>122</v>
      </c>
      <c r="K3692">
        <v>0</v>
      </c>
      <c r="L3692" s="84">
        <v>2693564</v>
      </c>
      <c r="M3692" s="84">
        <v>5387128</v>
      </c>
    </row>
    <row r="3693" spans="3:13" hidden="1" x14ac:dyDescent="0.25">
      <c r="C3693" t="s">
        <v>65</v>
      </c>
      <c r="D3693" t="s">
        <v>125</v>
      </c>
      <c r="E3693" t="s">
        <v>60</v>
      </c>
      <c r="F3693" t="s">
        <v>25</v>
      </c>
      <c r="G3693">
        <v>20</v>
      </c>
      <c r="I3693" t="s">
        <v>121</v>
      </c>
      <c r="J3693" t="s">
        <v>122</v>
      </c>
      <c r="K3693">
        <v>0</v>
      </c>
      <c r="L3693" s="84">
        <v>-257562</v>
      </c>
      <c r="M3693" s="84">
        <v>0</v>
      </c>
    </row>
    <row r="3694" spans="3:13" hidden="1" x14ac:dyDescent="0.25">
      <c r="C3694" t="s">
        <v>64</v>
      </c>
      <c r="D3694" t="s">
        <v>120</v>
      </c>
      <c r="E3694" t="s">
        <v>63</v>
      </c>
      <c r="F3694" t="s">
        <v>24</v>
      </c>
      <c r="G3694">
        <v>2</v>
      </c>
      <c r="H3694" t="s">
        <v>18</v>
      </c>
      <c r="I3694" t="s">
        <v>121</v>
      </c>
      <c r="J3694" t="s">
        <v>122</v>
      </c>
      <c r="K3694">
        <v>0</v>
      </c>
      <c r="L3694" s="84">
        <v>12529</v>
      </c>
      <c r="M3694" s="84">
        <v>25058</v>
      </c>
    </row>
    <row r="3695" spans="3:13" hidden="1" x14ac:dyDescent="0.25">
      <c r="C3695" t="s">
        <v>119</v>
      </c>
      <c r="D3695" t="s">
        <v>120</v>
      </c>
      <c r="E3695" t="s">
        <v>63</v>
      </c>
      <c r="F3695" t="s">
        <v>123</v>
      </c>
      <c r="G3695">
        <v>6</v>
      </c>
      <c r="H3695" t="s">
        <v>76</v>
      </c>
      <c r="I3695" t="s">
        <v>121</v>
      </c>
      <c r="J3695" t="s">
        <v>122</v>
      </c>
      <c r="K3695">
        <v>0</v>
      </c>
      <c r="L3695" s="84">
        <v>463381</v>
      </c>
      <c r="M3695" s="84">
        <v>2780286</v>
      </c>
    </row>
    <row r="3696" spans="3:13" hidden="1" x14ac:dyDescent="0.25">
      <c r="C3696" t="s">
        <v>64</v>
      </c>
      <c r="D3696" t="s">
        <v>125</v>
      </c>
      <c r="E3696" t="s">
        <v>60</v>
      </c>
      <c r="F3696" t="s">
        <v>24</v>
      </c>
      <c r="G3696">
        <v>1</v>
      </c>
      <c r="I3696" t="s">
        <v>121</v>
      </c>
      <c r="J3696" t="s">
        <v>122</v>
      </c>
      <c r="K3696">
        <v>0</v>
      </c>
      <c r="L3696" s="84">
        <v>-119966</v>
      </c>
      <c r="M3696" s="84">
        <v>0</v>
      </c>
    </row>
    <row r="3697" spans="3:13" hidden="1" x14ac:dyDescent="0.25">
      <c r="C3697" t="s">
        <v>119</v>
      </c>
      <c r="D3697" t="s">
        <v>120</v>
      </c>
      <c r="E3697" t="s">
        <v>60</v>
      </c>
      <c r="F3697" t="s">
        <v>25</v>
      </c>
      <c r="G3697">
        <v>12</v>
      </c>
      <c r="H3697" t="s">
        <v>71</v>
      </c>
      <c r="I3697" t="s">
        <v>121</v>
      </c>
      <c r="J3697" t="s">
        <v>122</v>
      </c>
      <c r="K3697">
        <v>0</v>
      </c>
      <c r="L3697" s="84">
        <v>-313</v>
      </c>
      <c r="M3697" s="84">
        <v>0</v>
      </c>
    </row>
    <row r="3698" spans="3:13" hidden="1" x14ac:dyDescent="0.25">
      <c r="C3698" t="s">
        <v>65</v>
      </c>
      <c r="D3698" t="s">
        <v>120</v>
      </c>
      <c r="E3698" t="s">
        <v>63</v>
      </c>
      <c r="F3698" t="s">
        <v>25</v>
      </c>
      <c r="G3698">
        <v>3</v>
      </c>
      <c r="H3698" t="s">
        <v>69</v>
      </c>
      <c r="I3698" t="s">
        <v>121</v>
      </c>
      <c r="J3698" t="s">
        <v>122</v>
      </c>
      <c r="K3698">
        <v>0</v>
      </c>
      <c r="L3698" s="84">
        <v>2235753</v>
      </c>
      <c r="M3698" s="84">
        <v>6707259</v>
      </c>
    </row>
    <row r="3699" spans="3:13" hidden="1" x14ac:dyDescent="0.25">
      <c r="C3699" t="s">
        <v>64</v>
      </c>
      <c r="D3699" t="s">
        <v>120</v>
      </c>
      <c r="E3699" t="s">
        <v>60</v>
      </c>
      <c r="F3699" t="s">
        <v>124</v>
      </c>
      <c r="G3699">
        <v>-4</v>
      </c>
      <c r="H3699" t="s">
        <v>14</v>
      </c>
      <c r="I3699" t="s">
        <v>121</v>
      </c>
      <c r="J3699" t="s">
        <v>122</v>
      </c>
      <c r="K3699">
        <v>0</v>
      </c>
      <c r="L3699" s="84">
        <v>-152344</v>
      </c>
      <c r="M3699" s="84">
        <v>0</v>
      </c>
    </row>
    <row r="3700" spans="3:13" hidden="1" x14ac:dyDescent="0.25">
      <c r="C3700" t="s">
        <v>64</v>
      </c>
      <c r="D3700" t="s">
        <v>120</v>
      </c>
      <c r="E3700" t="s">
        <v>60</v>
      </c>
      <c r="F3700" t="s">
        <v>25</v>
      </c>
      <c r="G3700">
        <v>12</v>
      </c>
      <c r="H3700" t="s">
        <v>72</v>
      </c>
      <c r="I3700" t="s">
        <v>121</v>
      </c>
      <c r="J3700" t="s">
        <v>122</v>
      </c>
      <c r="K3700">
        <v>0</v>
      </c>
      <c r="L3700" s="84">
        <v>-27285</v>
      </c>
      <c r="M3700" s="84">
        <v>0</v>
      </c>
    </row>
    <row r="3701" spans="3:13" hidden="1" x14ac:dyDescent="0.25">
      <c r="C3701" t="s">
        <v>64</v>
      </c>
      <c r="D3701" t="s">
        <v>120</v>
      </c>
      <c r="E3701" t="s">
        <v>60</v>
      </c>
      <c r="F3701" t="s">
        <v>124</v>
      </c>
      <c r="G3701">
        <v>0</v>
      </c>
      <c r="H3701" t="s">
        <v>12</v>
      </c>
      <c r="I3701" t="s">
        <v>121</v>
      </c>
      <c r="J3701" t="s">
        <v>122</v>
      </c>
      <c r="K3701">
        <v>0</v>
      </c>
      <c r="L3701" s="84">
        <v>-12680</v>
      </c>
      <c r="M3701" s="84">
        <v>0</v>
      </c>
    </row>
    <row r="3702" spans="3:13" hidden="1" x14ac:dyDescent="0.25">
      <c r="C3702" t="s">
        <v>64</v>
      </c>
      <c r="D3702" t="s">
        <v>125</v>
      </c>
      <c r="E3702" t="s">
        <v>60</v>
      </c>
      <c r="F3702" t="s">
        <v>24</v>
      </c>
      <c r="G3702">
        <v>33</v>
      </c>
      <c r="I3702" t="s">
        <v>121</v>
      </c>
      <c r="J3702" t="s">
        <v>122</v>
      </c>
      <c r="K3702">
        <v>0</v>
      </c>
      <c r="L3702" s="84">
        <v>-1430784</v>
      </c>
      <c r="M3702" s="84">
        <v>0</v>
      </c>
    </row>
    <row r="3703" spans="3:13" hidden="1" x14ac:dyDescent="0.25">
      <c r="C3703" t="s">
        <v>64</v>
      </c>
      <c r="D3703" t="s">
        <v>120</v>
      </c>
      <c r="E3703" t="s">
        <v>63</v>
      </c>
      <c r="F3703" t="s">
        <v>123</v>
      </c>
      <c r="G3703">
        <v>4</v>
      </c>
      <c r="H3703" t="s">
        <v>15</v>
      </c>
      <c r="I3703" t="s">
        <v>121</v>
      </c>
      <c r="J3703" t="s">
        <v>122</v>
      </c>
      <c r="K3703">
        <v>0</v>
      </c>
      <c r="L3703" s="84">
        <v>80856</v>
      </c>
      <c r="M3703" s="84">
        <v>323424</v>
      </c>
    </row>
    <row r="3704" spans="3:13" hidden="1" x14ac:dyDescent="0.25">
      <c r="C3704" t="s">
        <v>65</v>
      </c>
      <c r="D3704" t="s">
        <v>120</v>
      </c>
      <c r="E3704" t="s">
        <v>60</v>
      </c>
      <c r="F3704" t="s">
        <v>124</v>
      </c>
      <c r="G3704">
        <v>3</v>
      </c>
      <c r="H3704" t="s">
        <v>12</v>
      </c>
      <c r="I3704" t="s">
        <v>121</v>
      </c>
      <c r="J3704" t="s">
        <v>122</v>
      </c>
      <c r="K3704">
        <v>0</v>
      </c>
      <c r="L3704" s="84">
        <v>-63627</v>
      </c>
      <c r="M3704" s="84">
        <v>0</v>
      </c>
    </row>
    <row r="3705" spans="3:13" hidden="1" x14ac:dyDescent="0.25">
      <c r="C3705" t="s">
        <v>119</v>
      </c>
      <c r="D3705" t="s">
        <v>125</v>
      </c>
      <c r="E3705" t="s">
        <v>60</v>
      </c>
      <c r="F3705" t="s">
        <v>24</v>
      </c>
      <c r="G3705">
        <v>49</v>
      </c>
      <c r="I3705" t="s">
        <v>121</v>
      </c>
      <c r="J3705" t="s">
        <v>122</v>
      </c>
      <c r="K3705">
        <v>0</v>
      </c>
      <c r="L3705" s="84">
        <v>-415</v>
      </c>
      <c r="M3705" s="84">
        <v>0</v>
      </c>
    </row>
    <row r="3706" spans="3:13" hidden="1" x14ac:dyDescent="0.25">
      <c r="C3706" t="s">
        <v>119</v>
      </c>
      <c r="D3706" t="s">
        <v>120</v>
      </c>
      <c r="E3706" t="s">
        <v>60</v>
      </c>
      <c r="F3706" t="s">
        <v>124</v>
      </c>
      <c r="G3706">
        <v>6</v>
      </c>
      <c r="H3706" t="s">
        <v>76</v>
      </c>
      <c r="I3706" t="s">
        <v>121</v>
      </c>
      <c r="J3706" t="s">
        <v>122</v>
      </c>
      <c r="K3706">
        <v>0</v>
      </c>
      <c r="L3706" s="84">
        <v>-10966</v>
      </c>
      <c r="M3706" s="84">
        <v>0</v>
      </c>
    </row>
    <row r="3707" spans="3:13" hidden="1" x14ac:dyDescent="0.25">
      <c r="C3707" t="s">
        <v>65</v>
      </c>
      <c r="D3707" t="s">
        <v>120</v>
      </c>
      <c r="E3707" t="s">
        <v>63</v>
      </c>
      <c r="F3707" t="s">
        <v>124</v>
      </c>
      <c r="G3707">
        <v>2</v>
      </c>
      <c r="H3707" t="s">
        <v>61</v>
      </c>
      <c r="I3707" t="s">
        <v>121</v>
      </c>
      <c r="J3707" t="s">
        <v>122</v>
      </c>
      <c r="K3707">
        <v>0</v>
      </c>
      <c r="L3707" s="84">
        <v>401020</v>
      </c>
      <c r="M3707" s="84">
        <v>802040</v>
      </c>
    </row>
    <row r="3708" spans="3:13" hidden="1" x14ac:dyDescent="0.25">
      <c r="C3708" t="s">
        <v>119</v>
      </c>
      <c r="D3708" t="s">
        <v>120</v>
      </c>
      <c r="E3708" t="s">
        <v>63</v>
      </c>
      <c r="F3708" t="s">
        <v>123</v>
      </c>
      <c r="G3708">
        <v>3</v>
      </c>
      <c r="H3708" t="s">
        <v>12</v>
      </c>
      <c r="I3708" t="s">
        <v>121</v>
      </c>
      <c r="J3708" t="s">
        <v>122</v>
      </c>
      <c r="K3708">
        <v>0</v>
      </c>
      <c r="L3708" s="84">
        <v>952030</v>
      </c>
      <c r="M3708" s="84">
        <v>2856090</v>
      </c>
    </row>
    <row r="3709" spans="3:13" hidden="1" x14ac:dyDescent="0.25">
      <c r="C3709" t="s">
        <v>119</v>
      </c>
      <c r="D3709" t="s">
        <v>120</v>
      </c>
      <c r="E3709" t="s">
        <v>60</v>
      </c>
      <c r="F3709" t="s">
        <v>124</v>
      </c>
      <c r="G3709">
        <v>5</v>
      </c>
      <c r="H3709" t="s">
        <v>12</v>
      </c>
      <c r="I3709" t="s">
        <v>62</v>
      </c>
      <c r="J3709" t="s">
        <v>66</v>
      </c>
      <c r="K3709">
        <v>1</v>
      </c>
      <c r="L3709" s="84">
        <v>-1136</v>
      </c>
      <c r="M3709" s="84">
        <v>0</v>
      </c>
    </row>
    <row r="3710" spans="3:13" hidden="1" x14ac:dyDescent="0.25">
      <c r="C3710" t="s">
        <v>119</v>
      </c>
      <c r="D3710" t="s">
        <v>120</v>
      </c>
      <c r="E3710" t="s">
        <v>63</v>
      </c>
      <c r="F3710" t="s">
        <v>24</v>
      </c>
      <c r="G3710">
        <v>9</v>
      </c>
      <c r="H3710" t="s">
        <v>71</v>
      </c>
      <c r="I3710" t="s">
        <v>121</v>
      </c>
      <c r="J3710" t="s">
        <v>122</v>
      </c>
      <c r="K3710">
        <v>0</v>
      </c>
      <c r="L3710" s="84">
        <v>111962</v>
      </c>
      <c r="M3710" s="84">
        <v>1007658</v>
      </c>
    </row>
    <row r="3711" spans="3:13" hidden="1" x14ac:dyDescent="0.25">
      <c r="C3711" t="s">
        <v>119</v>
      </c>
      <c r="D3711" t="s">
        <v>120</v>
      </c>
      <c r="E3711" t="s">
        <v>63</v>
      </c>
      <c r="F3711" t="s">
        <v>24</v>
      </c>
      <c r="G3711">
        <v>2</v>
      </c>
      <c r="H3711" t="s">
        <v>72</v>
      </c>
      <c r="I3711" t="s">
        <v>121</v>
      </c>
      <c r="J3711" t="s">
        <v>122</v>
      </c>
      <c r="K3711">
        <v>0</v>
      </c>
      <c r="L3711" s="84">
        <v>315918</v>
      </c>
      <c r="M3711" s="84">
        <v>631836</v>
      </c>
    </row>
    <row r="3712" spans="3:13" hidden="1" x14ac:dyDescent="0.25">
      <c r="C3712" t="s">
        <v>119</v>
      </c>
      <c r="D3712" t="s">
        <v>120</v>
      </c>
      <c r="E3712" t="s">
        <v>63</v>
      </c>
      <c r="F3712" t="s">
        <v>24</v>
      </c>
      <c r="G3712">
        <v>13</v>
      </c>
      <c r="H3712" t="s">
        <v>70</v>
      </c>
      <c r="I3712" t="s">
        <v>121</v>
      </c>
      <c r="J3712" t="s">
        <v>122</v>
      </c>
      <c r="K3712">
        <v>0</v>
      </c>
      <c r="L3712" s="84">
        <v>298275</v>
      </c>
      <c r="M3712" s="84">
        <v>3877575</v>
      </c>
    </row>
    <row r="3713" spans="3:13" hidden="1" x14ac:dyDescent="0.25">
      <c r="C3713" t="s">
        <v>65</v>
      </c>
      <c r="D3713" t="s">
        <v>120</v>
      </c>
      <c r="E3713" t="s">
        <v>63</v>
      </c>
      <c r="F3713" t="s">
        <v>124</v>
      </c>
      <c r="G3713">
        <v>6</v>
      </c>
      <c r="H3713" t="s">
        <v>67</v>
      </c>
      <c r="I3713" t="s">
        <v>121</v>
      </c>
      <c r="J3713" t="s">
        <v>122</v>
      </c>
      <c r="K3713">
        <v>0</v>
      </c>
      <c r="L3713" s="84">
        <v>325225</v>
      </c>
      <c r="M3713" s="84">
        <v>1951350</v>
      </c>
    </row>
    <row r="3714" spans="3:13" hidden="1" x14ac:dyDescent="0.25">
      <c r="C3714" t="s">
        <v>119</v>
      </c>
      <c r="D3714" t="s">
        <v>120</v>
      </c>
      <c r="E3714" t="s">
        <v>60</v>
      </c>
      <c r="F3714" t="s">
        <v>123</v>
      </c>
      <c r="G3714">
        <v>0</v>
      </c>
      <c r="H3714" t="s">
        <v>12</v>
      </c>
      <c r="I3714" t="s">
        <v>62</v>
      </c>
      <c r="J3714" t="s">
        <v>66</v>
      </c>
      <c r="K3714">
        <v>1</v>
      </c>
      <c r="L3714" s="84">
        <v>-3</v>
      </c>
      <c r="M3714" s="84">
        <v>0</v>
      </c>
    </row>
    <row r="3715" spans="3:13" hidden="1" x14ac:dyDescent="0.25">
      <c r="C3715" t="s">
        <v>65</v>
      </c>
      <c r="D3715" t="s">
        <v>125</v>
      </c>
      <c r="E3715" t="s">
        <v>60</v>
      </c>
      <c r="F3715" t="s">
        <v>24</v>
      </c>
      <c r="G3715">
        <v>30</v>
      </c>
      <c r="I3715" t="s">
        <v>121</v>
      </c>
      <c r="J3715" t="s">
        <v>122</v>
      </c>
      <c r="K3715">
        <v>0</v>
      </c>
      <c r="L3715" s="84">
        <v>-1222370</v>
      </c>
      <c r="M3715" s="84">
        <v>0</v>
      </c>
    </row>
    <row r="3716" spans="3:13" hidden="1" x14ac:dyDescent="0.25">
      <c r="C3716" t="s">
        <v>64</v>
      </c>
      <c r="D3716" t="s">
        <v>120</v>
      </c>
      <c r="E3716" t="s">
        <v>60</v>
      </c>
      <c r="F3716" t="s">
        <v>123</v>
      </c>
      <c r="G3716">
        <v>-4</v>
      </c>
      <c r="H3716" t="s">
        <v>61</v>
      </c>
      <c r="I3716" t="s">
        <v>121</v>
      </c>
      <c r="J3716" t="s">
        <v>122</v>
      </c>
      <c r="K3716">
        <v>0</v>
      </c>
      <c r="L3716" s="84">
        <v>-53</v>
      </c>
      <c r="M3716" s="84">
        <v>0</v>
      </c>
    </row>
    <row r="3717" spans="3:13" hidden="1" x14ac:dyDescent="0.25">
      <c r="C3717" t="s">
        <v>65</v>
      </c>
      <c r="D3717" t="s">
        <v>120</v>
      </c>
      <c r="E3717" t="s">
        <v>60</v>
      </c>
      <c r="F3717" t="s">
        <v>123</v>
      </c>
      <c r="G3717">
        <v>1</v>
      </c>
      <c r="H3717" t="s">
        <v>68</v>
      </c>
      <c r="I3717" t="s">
        <v>121</v>
      </c>
      <c r="J3717" t="s">
        <v>122</v>
      </c>
      <c r="K3717">
        <v>0</v>
      </c>
      <c r="L3717" s="84">
        <v>-28975</v>
      </c>
      <c r="M3717" s="84">
        <v>0</v>
      </c>
    </row>
    <row r="3718" spans="3:13" hidden="1" x14ac:dyDescent="0.25">
      <c r="C3718" t="s">
        <v>119</v>
      </c>
      <c r="D3718" t="s">
        <v>120</v>
      </c>
      <c r="E3718" t="s">
        <v>60</v>
      </c>
      <c r="F3718" t="s">
        <v>24</v>
      </c>
      <c r="G3718">
        <v>9</v>
      </c>
      <c r="H3718" t="s">
        <v>71</v>
      </c>
      <c r="I3718" t="s">
        <v>121</v>
      </c>
      <c r="J3718" t="s">
        <v>122</v>
      </c>
      <c r="K3718">
        <v>0</v>
      </c>
      <c r="L3718" s="84">
        <v>-97</v>
      </c>
      <c r="M3718" s="84">
        <v>0</v>
      </c>
    </row>
    <row r="3719" spans="3:13" hidden="1" x14ac:dyDescent="0.25">
      <c r="C3719" t="s">
        <v>119</v>
      </c>
      <c r="D3719" t="s">
        <v>120</v>
      </c>
      <c r="E3719" t="s">
        <v>63</v>
      </c>
      <c r="F3719" t="s">
        <v>124</v>
      </c>
      <c r="G3719">
        <v>10</v>
      </c>
      <c r="H3719" t="s">
        <v>69</v>
      </c>
      <c r="I3719" t="s">
        <v>121</v>
      </c>
      <c r="J3719" t="s">
        <v>122</v>
      </c>
      <c r="K3719">
        <v>0</v>
      </c>
      <c r="L3719" s="84">
        <v>5398288</v>
      </c>
      <c r="M3719" s="84">
        <v>53982880</v>
      </c>
    </row>
    <row r="3720" spans="3:13" hidden="1" x14ac:dyDescent="0.25">
      <c r="C3720" t="s">
        <v>119</v>
      </c>
      <c r="D3720" t="s">
        <v>120</v>
      </c>
      <c r="E3720" t="s">
        <v>63</v>
      </c>
      <c r="F3720" t="s">
        <v>124</v>
      </c>
      <c r="G3720">
        <v>4</v>
      </c>
      <c r="H3720" t="s">
        <v>72</v>
      </c>
      <c r="I3720" t="s">
        <v>121</v>
      </c>
      <c r="J3720" t="s">
        <v>122</v>
      </c>
      <c r="K3720">
        <v>0</v>
      </c>
      <c r="L3720" s="84">
        <v>7992336</v>
      </c>
      <c r="M3720" s="84">
        <v>31969344</v>
      </c>
    </row>
    <row r="3721" spans="3:13" hidden="1" x14ac:dyDescent="0.25">
      <c r="C3721" t="s">
        <v>119</v>
      </c>
      <c r="D3721" t="s">
        <v>120</v>
      </c>
      <c r="E3721" t="s">
        <v>63</v>
      </c>
      <c r="F3721" t="s">
        <v>25</v>
      </c>
      <c r="G3721">
        <v>-1</v>
      </c>
      <c r="H3721" t="s">
        <v>14</v>
      </c>
      <c r="I3721" t="s">
        <v>121</v>
      </c>
      <c r="J3721" t="s">
        <v>122</v>
      </c>
      <c r="K3721">
        <v>0</v>
      </c>
      <c r="L3721" s="84">
        <v>1051174</v>
      </c>
      <c r="M3721" s="84">
        <v>0</v>
      </c>
    </row>
    <row r="3722" spans="3:13" hidden="1" x14ac:dyDescent="0.25">
      <c r="C3722" t="s">
        <v>64</v>
      </c>
      <c r="D3722" t="s">
        <v>120</v>
      </c>
      <c r="E3722" t="s">
        <v>63</v>
      </c>
      <c r="F3722" t="s">
        <v>124</v>
      </c>
      <c r="G3722">
        <v>1</v>
      </c>
      <c r="H3722" t="s">
        <v>68</v>
      </c>
      <c r="I3722" t="s">
        <v>121</v>
      </c>
      <c r="J3722" t="s">
        <v>122</v>
      </c>
      <c r="K3722">
        <v>0</v>
      </c>
      <c r="L3722" s="84">
        <v>2652607</v>
      </c>
      <c r="M3722" s="84">
        <v>2652607</v>
      </c>
    </row>
    <row r="3723" spans="3:13" hidden="1" x14ac:dyDescent="0.25">
      <c r="C3723" t="s">
        <v>65</v>
      </c>
      <c r="D3723" t="s">
        <v>125</v>
      </c>
      <c r="E3723" t="s">
        <v>63</v>
      </c>
      <c r="F3723" t="s">
        <v>24</v>
      </c>
      <c r="G3723">
        <v>31</v>
      </c>
      <c r="I3723" t="s">
        <v>121</v>
      </c>
      <c r="J3723" t="s">
        <v>122</v>
      </c>
      <c r="K3723">
        <v>0</v>
      </c>
      <c r="L3723" s="84">
        <v>7150886</v>
      </c>
      <c r="M3723" s="84">
        <v>221677466</v>
      </c>
    </row>
    <row r="3724" spans="3:13" x14ac:dyDescent="0.25">
      <c r="C3724" t="s">
        <v>119</v>
      </c>
      <c r="D3724" t="s">
        <v>120</v>
      </c>
      <c r="E3724" t="s">
        <v>63</v>
      </c>
      <c r="F3724" t="s">
        <v>25</v>
      </c>
      <c r="G3724">
        <v>-1</v>
      </c>
      <c r="H3724" t="s">
        <v>14</v>
      </c>
      <c r="I3724" t="s">
        <v>121</v>
      </c>
      <c r="J3724" t="s">
        <v>66</v>
      </c>
      <c r="K3724">
        <v>1</v>
      </c>
      <c r="L3724" s="84">
        <v>1088331</v>
      </c>
      <c r="M3724" s="84">
        <v>0</v>
      </c>
    </row>
    <row r="3725" spans="3:13" hidden="1" x14ac:dyDescent="0.25">
      <c r="C3725" t="s">
        <v>119</v>
      </c>
      <c r="D3725" t="s">
        <v>120</v>
      </c>
      <c r="E3725" t="s">
        <v>63</v>
      </c>
      <c r="F3725" t="s">
        <v>24</v>
      </c>
      <c r="G3725">
        <v>14</v>
      </c>
      <c r="H3725" t="s">
        <v>76</v>
      </c>
      <c r="I3725" t="s">
        <v>121</v>
      </c>
      <c r="J3725" t="s">
        <v>122</v>
      </c>
      <c r="K3725">
        <v>0</v>
      </c>
      <c r="L3725" s="84">
        <v>736010</v>
      </c>
      <c r="M3725" s="84">
        <v>10304140</v>
      </c>
    </row>
    <row r="3726" spans="3:13" hidden="1" x14ac:dyDescent="0.25">
      <c r="C3726" t="s">
        <v>65</v>
      </c>
      <c r="D3726" t="s">
        <v>120</v>
      </c>
      <c r="E3726" t="s">
        <v>63</v>
      </c>
      <c r="F3726" t="s">
        <v>124</v>
      </c>
      <c r="G3726">
        <v>7</v>
      </c>
      <c r="H3726" t="s">
        <v>61</v>
      </c>
      <c r="I3726" t="s">
        <v>121</v>
      </c>
      <c r="J3726" t="s">
        <v>122</v>
      </c>
      <c r="K3726">
        <v>0</v>
      </c>
      <c r="L3726" s="84">
        <v>172067</v>
      </c>
      <c r="M3726" s="84">
        <v>1204469</v>
      </c>
    </row>
    <row r="3727" spans="3:13" hidden="1" x14ac:dyDescent="0.25">
      <c r="C3727" t="s">
        <v>119</v>
      </c>
      <c r="D3727" t="s">
        <v>120</v>
      </c>
      <c r="E3727" t="s">
        <v>63</v>
      </c>
      <c r="F3727" t="s">
        <v>123</v>
      </c>
      <c r="G3727">
        <v>-4</v>
      </c>
      <c r="H3727" t="s">
        <v>18</v>
      </c>
      <c r="I3727" t="s">
        <v>121</v>
      </c>
      <c r="J3727" t="s">
        <v>122</v>
      </c>
      <c r="K3727">
        <v>0</v>
      </c>
      <c r="L3727" s="84">
        <v>620</v>
      </c>
      <c r="M3727" s="84">
        <v>0</v>
      </c>
    </row>
    <row r="3728" spans="3:13" hidden="1" x14ac:dyDescent="0.25">
      <c r="C3728" t="s">
        <v>119</v>
      </c>
      <c r="D3728" t="s">
        <v>120</v>
      </c>
      <c r="E3728" t="s">
        <v>63</v>
      </c>
      <c r="F3728" t="s">
        <v>25</v>
      </c>
      <c r="G3728">
        <v>15</v>
      </c>
      <c r="H3728" t="s">
        <v>68</v>
      </c>
      <c r="I3728" t="s">
        <v>121</v>
      </c>
      <c r="J3728" t="s">
        <v>122</v>
      </c>
      <c r="K3728">
        <v>0</v>
      </c>
      <c r="L3728" s="84">
        <v>7842270</v>
      </c>
      <c r="M3728" s="84">
        <v>117634050</v>
      </c>
    </row>
    <row r="3729" spans="3:13" hidden="1" x14ac:dyDescent="0.25">
      <c r="C3729" t="s">
        <v>119</v>
      </c>
      <c r="D3729" t="s">
        <v>120</v>
      </c>
      <c r="E3729" t="s">
        <v>60</v>
      </c>
      <c r="F3729" t="s">
        <v>124</v>
      </c>
      <c r="G3729">
        <v>3</v>
      </c>
      <c r="H3729" t="s">
        <v>67</v>
      </c>
      <c r="I3729" t="s">
        <v>121</v>
      </c>
      <c r="J3729" t="s">
        <v>122</v>
      </c>
      <c r="K3729">
        <v>0</v>
      </c>
      <c r="L3729" s="84">
        <v>-191630</v>
      </c>
      <c r="M3729" s="84">
        <v>0</v>
      </c>
    </row>
    <row r="3730" spans="3:13" hidden="1" x14ac:dyDescent="0.25">
      <c r="C3730" t="s">
        <v>64</v>
      </c>
      <c r="D3730" t="s">
        <v>120</v>
      </c>
      <c r="E3730" t="s">
        <v>60</v>
      </c>
      <c r="F3730" t="s">
        <v>124</v>
      </c>
      <c r="G3730">
        <v>4</v>
      </c>
      <c r="H3730" t="s">
        <v>18</v>
      </c>
      <c r="I3730" t="s">
        <v>121</v>
      </c>
      <c r="J3730" t="s">
        <v>122</v>
      </c>
      <c r="K3730">
        <v>0</v>
      </c>
      <c r="L3730" s="84">
        <v>-892404</v>
      </c>
      <c r="M3730" s="84">
        <v>0</v>
      </c>
    </row>
    <row r="3731" spans="3:13" hidden="1" x14ac:dyDescent="0.25">
      <c r="C3731" t="s">
        <v>119</v>
      </c>
      <c r="D3731" t="s">
        <v>120</v>
      </c>
      <c r="E3731" t="s">
        <v>60</v>
      </c>
      <c r="F3731" t="s">
        <v>24</v>
      </c>
      <c r="G3731">
        <v>1</v>
      </c>
      <c r="H3731" t="s">
        <v>72</v>
      </c>
      <c r="I3731" t="s">
        <v>121</v>
      </c>
      <c r="J3731" t="s">
        <v>122</v>
      </c>
      <c r="K3731">
        <v>0</v>
      </c>
      <c r="L3731" s="84">
        <v>-201</v>
      </c>
      <c r="M3731" s="84">
        <v>0</v>
      </c>
    </row>
    <row r="3732" spans="3:13" hidden="1" x14ac:dyDescent="0.25">
      <c r="C3732" t="s">
        <v>119</v>
      </c>
      <c r="D3732" t="s">
        <v>120</v>
      </c>
      <c r="E3732" t="s">
        <v>63</v>
      </c>
      <c r="F3732" t="s">
        <v>124</v>
      </c>
      <c r="G3732">
        <v>6</v>
      </c>
      <c r="H3732" t="s">
        <v>18</v>
      </c>
      <c r="I3732" t="s">
        <v>121</v>
      </c>
      <c r="J3732" t="s">
        <v>122</v>
      </c>
      <c r="K3732">
        <v>0</v>
      </c>
      <c r="L3732" s="84">
        <v>9943995</v>
      </c>
      <c r="M3732" s="84">
        <v>59663970</v>
      </c>
    </row>
    <row r="3733" spans="3:13" hidden="1" x14ac:dyDescent="0.25">
      <c r="C3733" t="s">
        <v>64</v>
      </c>
      <c r="D3733" t="s">
        <v>120</v>
      </c>
      <c r="E3733" t="s">
        <v>63</v>
      </c>
      <c r="F3733" t="s">
        <v>25</v>
      </c>
      <c r="G3733">
        <v>0</v>
      </c>
      <c r="H3733" t="s">
        <v>72</v>
      </c>
      <c r="I3733" t="s">
        <v>121</v>
      </c>
      <c r="J3733" t="s">
        <v>122</v>
      </c>
      <c r="K3733">
        <v>0</v>
      </c>
      <c r="L3733" s="84">
        <v>1196</v>
      </c>
      <c r="M3733" s="84">
        <v>0</v>
      </c>
    </row>
    <row r="3734" spans="3:13" hidden="1" x14ac:dyDescent="0.25">
      <c r="C3734" t="s">
        <v>119</v>
      </c>
      <c r="D3734" t="s">
        <v>120</v>
      </c>
      <c r="E3734" t="s">
        <v>60</v>
      </c>
      <c r="F3734" t="s">
        <v>123</v>
      </c>
      <c r="G3734">
        <v>0</v>
      </c>
      <c r="H3734" t="s">
        <v>70</v>
      </c>
      <c r="I3734" t="s">
        <v>121</v>
      </c>
      <c r="J3734" t="s">
        <v>122</v>
      </c>
      <c r="K3734">
        <v>0</v>
      </c>
      <c r="L3734" s="84">
        <v>-39</v>
      </c>
      <c r="M3734" s="84">
        <v>0</v>
      </c>
    </row>
    <row r="3735" spans="3:13" hidden="1" x14ac:dyDescent="0.25">
      <c r="C3735" t="s">
        <v>64</v>
      </c>
      <c r="D3735" t="s">
        <v>120</v>
      </c>
      <c r="E3735" t="s">
        <v>63</v>
      </c>
      <c r="F3735" t="s">
        <v>24</v>
      </c>
      <c r="G3735">
        <v>9</v>
      </c>
      <c r="H3735" t="s">
        <v>17</v>
      </c>
      <c r="I3735" t="s">
        <v>121</v>
      </c>
      <c r="J3735" t="s">
        <v>122</v>
      </c>
      <c r="K3735">
        <v>0</v>
      </c>
      <c r="L3735" s="84">
        <v>1148673</v>
      </c>
      <c r="M3735" s="84">
        <v>10338057</v>
      </c>
    </row>
    <row r="3736" spans="3:13" hidden="1" x14ac:dyDescent="0.25">
      <c r="C3736" t="s">
        <v>65</v>
      </c>
      <c r="D3736" t="s">
        <v>120</v>
      </c>
      <c r="E3736" t="s">
        <v>63</v>
      </c>
      <c r="F3736" t="s">
        <v>25</v>
      </c>
      <c r="G3736">
        <v>29</v>
      </c>
      <c r="H3736" t="s">
        <v>69</v>
      </c>
      <c r="I3736" t="s">
        <v>121</v>
      </c>
      <c r="J3736" t="s">
        <v>122</v>
      </c>
      <c r="K3736">
        <v>0</v>
      </c>
      <c r="L3736" s="84">
        <v>57153005</v>
      </c>
      <c r="M3736" s="84">
        <v>1657437145</v>
      </c>
    </row>
    <row r="3737" spans="3:13" hidden="1" x14ac:dyDescent="0.25">
      <c r="C3737" t="s">
        <v>119</v>
      </c>
      <c r="D3737" t="s">
        <v>120</v>
      </c>
      <c r="E3737" t="s">
        <v>63</v>
      </c>
      <c r="F3737" t="s">
        <v>124</v>
      </c>
      <c r="G3737">
        <v>5</v>
      </c>
      <c r="H3737" t="s">
        <v>76</v>
      </c>
      <c r="I3737" t="s">
        <v>121</v>
      </c>
      <c r="J3737" t="s">
        <v>122</v>
      </c>
      <c r="K3737">
        <v>0</v>
      </c>
      <c r="L3737" s="84">
        <v>1855599</v>
      </c>
      <c r="M3737" s="84">
        <v>9277995</v>
      </c>
    </row>
    <row r="3738" spans="3:13" hidden="1" x14ac:dyDescent="0.25">
      <c r="C3738" t="s">
        <v>65</v>
      </c>
      <c r="D3738" t="s">
        <v>120</v>
      </c>
      <c r="E3738" t="s">
        <v>63</v>
      </c>
      <c r="F3738" t="s">
        <v>124</v>
      </c>
      <c r="G3738">
        <v>10</v>
      </c>
      <c r="H3738" t="s">
        <v>14</v>
      </c>
      <c r="I3738" t="s">
        <v>121</v>
      </c>
      <c r="J3738" t="s">
        <v>122</v>
      </c>
      <c r="K3738">
        <v>0</v>
      </c>
      <c r="L3738" s="84">
        <v>270295</v>
      </c>
      <c r="M3738" s="84">
        <v>2702950</v>
      </c>
    </row>
    <row r="3739" spans="3:13" hidden="1" x14ac:dyDescent="0.25">
      <c r="C3739" t="s">
        <v>64</v>
      </c>
      <c r="D3739" t="s">
        <v>120</v>
      </c>
      <c r="E3739" t="s">
        <v>63</v>
      </c>
      <c r="F3739" t="s">
        <v>24</v>
      </c>
      <c r="G3739">
        <v>-4</v>
      </c>
      <c r="H3739" t="s">
        <v>68</v>
      </c>
      <c r="I3739" t="s">
        <v>121</v>
      </c>
      <c r="J3739" t="s">
        <v>122</v>
      </c>
      <c r="K3739">
        <v>0</v>
      </c>
      <c r="L3739" s="84">
        <v>90</v>
      </c>
      <c r="M3739" s="84">
        <v>0</v>
      </c>
    </row>
    <row r="3740" spans="3:13" x14ac:dyDescent="0.25">
      <c r="C3740" t="s">
        <v>65</v>
      </c>
      <c r="D3740" t="s">
        <v>120</v>
      </c>
      <c r="E3740" t="s">
        <v>63</v>
      </c>
      <c r="F3740" t="s">
        <v>25</v>
      </c>
      <c r="G3740">
        <v>-4</v>
      </c>
      <c r="H3740" t="s">
        <v>17</v>
      </c>
      <c r="I3740" t="s">
        <v>62</v>
      </c>
      <c r="J3740" t="s">
        <v>66</v>
      </c>
      <c r="K3740">
        <v>1</v>
      </c>
      <c r="L3740" s="84">
        <v>19791</v>
      </c>
      <c r="M3740" s="84">
        <v>0</v>
      </c>
    </row>
    <row r="3741" spans="3:13" hidden="1" x14ac:dyDescent="0.25">
      <c r="C3741" t="s">
        <v>119</v>
      </c>
      <c r="D3741" t="s">
        <v>125</v>
      </c>
      <c r="E3741" t="s">
        <v>60</v>
      </c>
      <c r="F3741" t="s">
        <v>24</v>
      </c>
      <c r="G3741">
        <v>22</v>
      </c>
      <c r="I3741" t="s">
        <v>121</v>
      </c>
      <c r="J3741" t="s">
        <v>122</v>
      </c>
      <c r="K3741">
        <v>0</v>
      </c>
      <c r="L3741" s="84">
        <v>-324041</v>
      </c>
      <c r="M3741" s="84">
        <v>0</v>
      </c>
    </row>
    <row r="3742" spans="3:13" hidden="1" x14ac:dyDescent="0.25">
      <c r="C3742" t="s">
        <v>64</v>
      </c>
      <c r="D3742" t="s">
        <v>120</v>
      </c>
      <c r="E3742" t="s">
        <v>63</v>
      </c>
      <c r="F3742" t="s">
        <v>123</v>
      </c>
      <c r="G3742">
        <v>-1</v>
      </c>
      <c r="H3742" t="s">
        <v>69</v>
      </c>
      <c r="I3742" t="s">
        <v>121</v>
      </c>
      <c r="J3742" t="s">
        <v>122</v>
      </c>
      <c r="K3742">
        <v>0</v>
      </c>
      <c r="L3742" s="84">
        <v>1304076</v>
      </c>
      <c r="M3742" s="84">
        <v>0</v>
      </c>
    </row>
    <row r="3743" spans="3:13" hidden="1" x14ac:dyDescent="0.25">
      <c r="C3743" t="s">
        <v>119</v>
      </c>
      <c r="D3743" t="s">
        <v>120</v>
      </c>
      <c r="E3743" t="s">
        <v>60</v>
      </c>
      <c r="F3743" t="s">
        <v>25</v>
      </c>
      <c r="G3743">
        <v>8</v>
      </c>
      <c r="H3743" t="s">
        <v>67</v>
      </c>
      <c r="I3743" t="s">
        <v>121</v>
      </c>
      <c r="J3743" t="s">
        <v>122</v>
      </c>
      <c r="K3743">
        <v>0</v>
      </c>
      <c r="L3743" s="84">
        <v>-2912</v>
      </c>
      <c r="M3743" s="84">
        <v>0</v>
      </c>
    </row>
    <row r="3744" spans="3:13" hidden="1" x14ac:dyDescent="0.25">
      <c r="C3744" t="s">
        <v>64</v>
      </c>
      <c r="D3744" t="s">
        <v>125</v>
      </c>
      <c r="E3744" t="s">
        <v>60</v>
      </c>
      <c r="F3744" t="s">
        <v>24</v>
      </c>
      <c r="G3744">
        <v>30</v>
      </c>
      <c r="I3744" t="s">
        <v>121</v>
      </c>
      <c r="J3744" t="s">
        <v>122</v>
      </c>
      <c r="K3744">
        <v>0</v>
      </c>
      <c r="L3744" s="84">
        <v>-1243494</v>
      </c>
      <c r="M3744" s="84">
        <v>0</v>
      </c>
    </row>
    <row r="3745" spans="3:13" hidden="1" x14ac:dyDescent="0.25">
      <c r="C3745" t="s">
        <v>119</v>
      </c>
      <c r="D3745" t="s">
        <v>120</v>
      </c>
      <c r="E3745" t="s">
        <v>63</v>
      </c>
      <c r="F3745" t="s">
        <v>124</v>
      </c>
      <c r="G3745">
        <v>4</v>
      </c>
      <c r="H3745" t="s">
        <v>17</v>
      </c>
      <c r="I3745" t="s">
        <v>62</v>
      </c>
      <c r="J3745" t="s">
        <v>66</v>
      </c>
      <c r="K3745">
        <v>1</v>
      </c>
      <c r="L3745" s="84">
        <v>3665450</v>
      </c>
      <c r="M3745" s="84">
        <v>14661800</v>
      </c>
    </row>
    <row r="3746" spans="3:13" hidden="1" x14ac:dyDescent="0.25">
      <c r="C3746" t="s">
        <v>119</v>
      </c>
      <c r="D3746" t="s">
        <v>120</v>
      </c>
      <c r="E3746" t="s">
        <v>60</v>
      </c>
      <c r="F3746" t="s">
        <v>123</v>
      </c>
      <c r="G3746">
        <v>-1</v>
      </c>
      <c r="H3746" t="s">
        <v>15</v>
      </c>
      <c r="I3746" t="s">
        <v>121</v>
      </c>
      <c r="J3746" t="s">
        <v>66</v>
      </c>
      <c r="K3746">
        <v>1</v>
      </c>
      <c r="L3746" s="84">
        <v>-1231</v>
      </c>
      <c r="M3746" s="84">
        <v>0</v>
      </c>
    </row>
    <row r="3747" spans="3:13" hidden="1" x14ac:dyDescent="0.25">
      <c r="C3747" t="s">
        <v>119</v>
      </c>
      <c r="D3747" t="s">
        <v>120</v>
      </c>
      <c r="E3747" t="s">
        <v>60</v>
      </c>
      <c r="F3747" t="s">
        <v>124</v>
      </c>
      <c r="G3747">
        <v>12</v>
      </c>
      <c r="H3747" t="s">
        <v>18</v>
      </c>
      <c r="I3747" t="s">
        <v>121</v>
      </c>
      <c r="J3747" t="s">
        <v>122</v>
      </c>
      <c r="K3747">
        <v>0</v>
      </c>
      <c r="L3747" s="84">
        <v>-3721</v>
      </c>
      <c r="M3747" s="84">
        <v>0</v>
      </c>
    </row>
    <row r="3748" spans="3:13" hidden="1" x14ac:dyDescent="0.25">
      <c r="C3748" t="s">
        <v>64</v>
      </c>
      <c r="D3748" t="s">
        <v>120</v>
      </c>
      <c r="E3748" t="s">
        <v>63</v>
      </c>
      <c r="F3748" t="s">
        <v>24</v>
      </c>
      <c r="G3748">
        <v>2</v>
      </c>
      <c r="H3748" t="s">
        <v>69</v>
      </c>
      <c r="I3748" t="s">
        <v>121</v>
      </c>
      <c r="J3748" t="s">
        <v>122</v>
      </c>
      <c r="K3748">
        <v>0</v>
      </c>
      <c r="L3748" s="84">
        <v>205995</v>
      </c>
      <c r="M3748" s="84">
        <v>411990</v>
      </c>
    </row>
    <row r="3749" spans="3:13" hidden="1" x14ac:dyDescent="0.25">
      <c r="C3749" t="s">
        <v>65</v>
      </c>
      <c r="D3749" t="s">
        <v>125</v>
      </c>
      <c r="E3749" t="s">
        <v>63</v>
      </c>
      <c r="F3749" t="s">
        <v>24</v>
      </c>
      <c r="G3749">
        <v>40</v>
      </c>
      <c r="I3749" t="s">
        <v>121</v>
      </c>
      <c r="J3749" t="s">
        <v>122</v>
      </c>
      <c r="K3749">
        <v>0</v>
      </c>
      <c r="L3749" s="84">
        <v>1097959</v>
      </c>
      <c r="M3749" s="84">
        <v>43918360</v>
      </c>
    </row>
    <row r="3750" spans="3:13" hidden="1" x14ac:dyDescent="0.25">
      <c r="C3750" t="s">
        <v>119</v>
      </c>
      <c r="D3750" t="s">
        <v>125</v>
      </c>
      <c r="E3750" t="s">
        <v>60</v>
      </c>
      <c r="F3750" t="s">
        <v>24</v>
      </c>
      <c r="G3750">
        <v>0</v>
      </c>
      <c r="I3750" t="s">
        <v>121</v>
      </c>
      <c r="J3750" t="s">
        <v>122</v>
      </c>
      <c r="K3750">
        <v>0</v>
      </c>
      <c r="L3750" s="84">
        <v>-3411</v>
      </c>
      <c r="M3750" s="84">
        <v>0</v>
      </c>
    </row>
    <row r="3751" spans="3:13" hidden="1" x14ac:dyDescent="0.25">
      <c r="C3751" t="s">
        <v>64</v>
      </c>
      <c r="D3751" t="s">
        <v>120</v>
      </c>
      <c r="E3751" t="s">
        <v>60</v>
      </c>
      <c r="F3751" t="s">
        <v>124</v>
      </c>
      <c r="G3751">
        <v>7</v>
      </c>
      <c r="H3751" t="s">
        <v>12</v>
      </c>
      <c r="I3751" t="s">
        <v>121</v>
      </c>
      <c r="J3751" t="s">
        <v>122</v>
      </c>
      <c r="K3751">
        <v>0</v>
      </c>
      <c r="L3751" s="84">
        <v>-15436</v>
      </c>
      <c r="M3751" s="84">
        <v>0</v>
      </c>
    </row>
    <row r="3752" spans="3:13" hidden="1" x14ac:dyDescent="0.25">
      <c r="C3752" t="s">
        <v>65</v>
      </c>
      <c r="D3752" t="s">
        <v>120</v>
      </c>
      <c r="E3752" t="s">
        <v>60</v>
      </c>
      <c r="F3752" t="s">
        <v>124</v>
      </c>
      <c r="G3752">
        <v>10</v>
      </c>
      <c r="H3752" t="s">
        <v>14</v>
      </c>
      <c r="I3752" t="s">
        <v>121</v>
      </c>
      <c r="J3752" t="s">
        <v>122</v>
      </c>
      <c r="K3752">
        <v>0</v>
      </c>
      <c r="L3752" s="84">
        <v>-205240</v>
      </c>
      <c r="M3752" s="84">
        <v>0</v>
      </c>
    </row>
    <row r="3753" spans="3:13" hidden="1" x14ac:dyDescent="0.25">
      <c r="C3753" t="s">
        <v>119</v>
      </c>
      <c r="D3753" t="s">
        <v>120</v>
      </c>
      <c r="E3753" t="s">
        <v>63</v>
      </c>
      <c r="F3753" t="s">
        <v>25</v>
      </c>
      <c r="G3753">
        <v>6</v>
      </c>
      <c r="H3753" t="s">
        <v>16</v>
      </c>
      <c r="I3753" t="s">
        <v>121</v>
      </c>
      <c r="J3753" t="s">
        <v>122</v>
      </c>
      <c r="K3753">
        <v>0</v>
      </c>
      <c r="L3753" s="84">
        <v>128179</v>
      </c>
      <c r="M3753" s="84">
        <v>769074</v>
      </c>
    </row>
    <row r="3754" spans="3:13" hidden="1" x14ac:dyDescent="0.25">
      <c r="C3754" t="s">
        <v>65</v>
      </c>
      <c r="D3754" t="s">
        <v>120</v>
      </c>
      <c r="E3754" t="s">
        <v>63</v>
      </c>
      <c r="F3754" t="s">
        <v>25</v>
      </c>
      <c r="G3754">
        <v>3</v>
      </c>
      <c r="H3754" t="s">
        <v>18</v>
      </c>
      <c r="I3754" t="s">
        <v>121</v>
      </c>
      <c r="J3754" t="s">
        <v>122</v>
      </c>
      <c r="K3754">
        <v>0</v>
      </c>
      <c r="L3754" s="84">
        <v>327343</v>
      </c>
      <c r="M3754" s="84">
        <v>982029</v>
      </c>
    </row>
    <row r="3755" spans="3:13" hidden="1" x14ac:dyDescent="0.25">
      <c r="C3755" t="s">
        <v>119</v>
      </c>
      <c r="D3755" t="s">
        <v>120</v>
      </c>
      <c r="E3755" t="s">
        <v>63</v>
      </c>
      <c r="F3755" t="s">
        <v>25</v>
      </c>
      <c r="G3755">
        <v>13</v>
      </c>
      <c r="H3755" t="s">
        <v>76</v>
      </c>
      <c r="I3755" t="s">
        <v>121</v>
      </c>
      <c r="J3755" t="s">
        <v>122</v>
      </c>
      <c r="K3755">
        <v>0</v>
      </c>
      <c r="L3755" s="84">
        <v>164346</v>
      </c>
      <c r="M3755" s="84">
        <v>2136498</v>
      </c>
    </row>
    <row r="3756" spans="3:13" x14ac:dyDescent="0.25">
      <c r="C3756" t="s">
        <v>65</v>
      </c>
      <c r="D3756" t="s">
        <v>120</v>
      </c>
      <c r="E3756" t="s">
        <v>63</v>
      </c>
      <c r="F3756" t="s">
        <v>25</v>
      </c>
      <c r="G3756">
        <v>7</v>
      </c>
      <c r="H3756" t="s">
        <v>14</v>
      </c>
      <c r="I3756" t="s">
        <v>121</v>
      </c>
      <c r="J3756" t="s">
        <v>66</v>
      </c>
      <c r="K3756">
        <v>1</v>
      </c>
      <c r="L3756" s="84">
        <v>150438</v>
      </c>
      <c r="M3756" s="84">
        <v>1053066</v>
      </c>
    </row>
    <row r="3757" spans="3:13" hidden="1" x14ac:dyDescent="0.25">
      <c r="C3757" t="s">
        <v>119</v>
      </c>
      <c r="D3757" t="s">
        <v>120</v>
      </c>
      <c r="E3757" t="s">
        <v>63</v>
      </c>
      <c r="F3757" t="s">
        <v>124</v>
      </c>
      <c r="G3757">
        <v>1</v>
      </c>
      <c r="H3757" t="s">
        <v>17</v>
      </c>
      <c r="I3757" t="s">
        <v>62</v>
      </c>
      <c r="J3757" t="s">
        <v>122</v>
      </c>
      <c r="K3757">
        <v>1</v>
      </c>
      <c r="L3757" s="84">
        <v>62496</v>
      </c>
      <c r="M3757" s="84">
        <v>62496</v>
      </c>
    </row>
    <row r="3758" spans="3:13" hidden="1" x14ac:dyDescent="0.25">
      <c r="C3758" t="s">
        <v>119</v>
      </c>
      <c r="D3758" t="s">
        <v>125</v>
      </c>
      <c r="E3758" t="s">
        <v>60</v>
      </c>
      <c r="F3758" t="s">
        <v>25</v>
      </c>
      <c r="G3758">
        <v>29</v>
      </c>
      <c r="I3758" t="s">
        <v>121</v>
      </c>
      <c r="J3758" t="s">
        <v>122</v>
      </c>
      <c r="K3758">
        <v>0</v>
      </c>
      <c r="L3758" s="84">
        <v>-433</v>
      </c>
      <c r="M3758" s="84">
        <v>0</v>
      </c>
    </row>
    <row r="3759" spans="3:13" hidden="1" x14ac:dyDescent="0.25">
      <c r="C3759" t="s">
        <v>119</v>
      </c>
      <c r="D3759" t="s">
        <v>120</v>
      </c>
      <c r="E3759" t="s">
        <v>60</v>
      </c>
      <c r="F3759" t="s">
        <v>25</v>
      </c>
      <c r="G3759">
        <v>15</v>
      </c>
      <c r="H3759" t="s">
        <v>12</v>
      </c>
      <c r="I3759" t="s">
        <v>121</v>
      </c>
      <c r="J3759" t="s">
        <v>66</v>
      </c>
      <c r="K3759">
        <v>1</v>
      </c>
      <c r="L3759" s="84">
        <v>-3764</v>
      </c>
      <c r="M3759" s="84">
        <v>0</v>
      </c>
    </row>
    <row r="3760" spans="3:13" hidden="1" x14ac:dyDescent="0.25">
      <c r="C3760" t="s">
        <v>64</v>
      </c>
      <c r="D3760" t="s">
        <v>120</v>
      </c>
      <c r="E3760" t="s">
        <v>60</v>
      </c>
      <c r="F3760" t="s">
        <v>123</v>
      </c>
      <c r="G3760">
        <v>4</v>
      </c>
      <c r="H3760" t="s">
        <v>17</v>
      </c>
      <c r="I3760" t="s">
        <v>121</v>
      </c>
      <c r="J3760" t="s">
        <v>122</v>
      </c>
      <c r="K3760">
        <v>0</v>
      </c>
      <c r="L3760" s="84">
        <v>-66733</v>
      </c>
      <c r="M3760" s="84">
        <v>0</v>
      </c>
    </row>
    <row r="3761" spans="3:13" hidden="1" x14ac:dyDescent="0.25">
      <c r="C3761" t="s">
        <v>119</v>
      </c>
      <c r="D3761" t="s">
        <v>120</v>
      </c>
      <c r="E3761" t="s">
        <v>60</v>
      </c>
      <c r="F3761" t="s">
        <v>124</v>
      </c>
      <c r="G3761">
        <v>3</v>
      </c>
      <c r="H3761" t="s">
        <v>73</v>
      </c>
      <c r="I3761" t="s">
        <v>121</v>
      </c>
      <c r="J3761" t="s">
        <v>122</v>
      </c>
      <c r="K3761">
        <v>0</v>
      </c>
      <c r="L3761" s="84">
        <v>-8941</v>
      </c>
      <c r="M3761" s="84">
        <v>0</v>
      </c>
    </row>
    <row r="3762" spans="3:13" hidden="1" x14ac:dyDescent="0.25">
      <c r="C3762" t="s">
        <v>65</v>
      </c>
      <c r="D3762" t="s">
        <v>120</v>
      </c>
      <c r="E3762" t="s">
        <v>60</v>
      </c>
      <c r="F3762" t="s">
        <v>24</v>
      </c>
      <c r="G3762">
        <v>2</v>
      </c>
      <c r="H3762" t="s">
        <v>17</v>
      </c>
      <c r="I3762" t="s">
        <v>121</v>
      </c>
      <c r="J3762" t="s">
        <v>122</v>
      </c>
      <c r="K3762">
        <v>0</v>
      </c>
      <c r="L3762" s="84">
        <v>-8136</v>
      </c>
      <c r="M3762" s="84">
        <v>0</v>
      </c>
    </row>
    <row r="3763" spans="3:13" hidden="1" x14ac:dyDescent="0.25">
      <c r="C3763" t="s">
        <v>119</v>
      </c>
      <c r="D3763" t="s">
        <v>120</v>
      </c>
      <c r="E3763" t="s">
        <v>63</v>
      </c>
      <c r="F3763" t="s">
        <v>25</v>
      </c>
      <c r="G3763">
        <v>15</v>
      </c>
      <c r="H3763" t="s">
        <v>76</v>
      </c>
      <c r="I3763" t="s">
        <v>121</v>
      </c>
      <c r="J3763" t="s">
        <v>122</v>
      </c>
      <c r="K3763">
        <v>0</v>
      </c>
      <c r="L3763" s="84">
        <v>487862</v>
      </c>
      <c r="M3763" s="84">
        <v>7317930</v>
      </c>
    </row>
    <row r="3764" spans="3:13" hidden="1" x14ac:dyDescent="0.25">
      <c r="C3764" t="s">
        <v>119</v>
      </c>
      <c r="D3764" t="s">
        <v>120</v>
      </c>
      <c r="E3764" t="s">
        <v>63</v>
      </c>
      <c r="F3764" t="s">
        <v>25</v>
      </c>
      <c r="G3764">
        <v>3</v>
      </c>
      <c r="H3764" t="s">
        <v>12</v>
      </c>
      <c r="I3764" t="s">
        <v>121</v>
      </c>
      <c r="J3764" t="s">
        <v>122</v>
      </c>
      <c r="K3764">
        <v>0</v>
      </c>
      <c r="L3764" s="84">
        <v>365629</v>
      </c>
      <c r="M3764" s="84">
        <v>1096887</v>
      </c>
    </row>
    <row r="3765" spans="3:13" x14ac:dyDescent="0.25">
      <c r="C3765" t="s">
        <v>65</v>
      </c>
      <c r="D3765" t="s">
        <v>120</v>
      </c>
      <c r="E3765" t="s">
        <v>63</v>
      </c>
      <c r="F3765" t="s">
        <v>25</v>
      </c>
      <c r="G3765">
        <v>6</v>
      </c>
      <c r="H3765" t="s">
        <v>14</v>
      </c>
      <c r="I3765" t="s">
        <v>121</v>
      </c>
      <c r="J3765" t="s">
        <v>66</v>
      </c>
      <c r="K3765">
        <v>1</v>
      </c>
      <c r="L3765" s="84">
        <v>154264</v>
      </c>
      <c r="M3765" s="84">
        <v>925584</v>
      </c>
    </row>
    <row r="3766" spans="3:13" hidden="1" x14ac:dyDescent="0.25">
      <c r="C3766" t="s">
        <v>119</v>
      </c>
      <c r="D3766" t="s">
        <v>125</v>
      </c>
      <c r="E3766" t="s">
        <v>60</v>
      </c>
      <c r="F3766" t="s">
        <v>24</v>
      </c>
      <c r="G3766">
        <v>20</v>
      </c>
      <c r="I3766" t="s">
        <v>121</v>
      </c>
      <c r="J3766" t="s">
        <v>122</v>
      </c>
      <c r="K3766">
        <v>0</v>
      </c>
      <c r="L3766" s="84">
        <v>-323163</v>
      </c>
      <c r="M3766" s="84">
        <v>0</v>
      </c>
    </row>
    <row r="3767" spans="3:13" hidden="1" x14ac:dyDescent="0.25">
      <c r="C3767" t="s">
        <v>65</v>
      </c>
      <c r="D3767" t="s">
        <v>120</v>
      </c>
      <c r="E3767" t="s">
        <v>60</v>
      </c>
      <c r="F3767" t="s">
        <v>124</v>
      </c>
      <c r="G3767">
        <v>0</v>
      </c>
      <c r="H3767" t="s">
        <v>18</v>
      </c>
      <c r="I3767" t="s">
        <v>121</v>
      </c>
      <c r="J3767" t="s">
        <v>66</v>
      </c>
      <c r="K3767">
        <v>1</v>
      </c>
      <c r="L3767" s="84">
        <v>-19168</v>
      </c>
      <c r="M3767" s="84">
        <v>0</v>
      </c>
    </row>
    <row r="3768" spans="3:13" hidden="1" x14ac:dyDescent="0.25">
      <c r="C3768" t="s">
        <v>65</v>
      </c>
      <c r="D3768" t="s">
        <v>120</v>
      </c>
      <c r="E3768" t="s">
        <v>63</v>
      </c>
      <c r="F3768" t="s">
        <v>124</v>
      </c>
      <c r="G3768">
        <v>-1</v>
      </c>
      <c r="H3768" t="s">
        <v>70</v>
      </c>
      <c r="I3768" t="s">
        <v>121</v>
      </c>
      <c r="J3768" t="s">
        <v>122</v>
      </c>
      <c r="K3768">
        <v>0</v>
      </c>
      <c r="L3768" s="84">
        <v>819074</v>
      </c>
      <c r="M3768" s="84">
        <v>0</v>
      </c>
    </row>
    <row r="3769" spans="3:13" x14ac:dyDescent="0.25">
      <c r="C3769" t="s">
        <v>64</v>
      </c>
      <c r="D3769" t="s">
        <v>120</v>
      </c>
      <c r="E3769" t="s">
        <v>63</v>
      </c>
      <c r="F3769" t="s">
        <v>25</v>
      </c>
      <c r="G3769">
        <v>7</v>
      </c>
      <c r="H3769" t="s">
        <v>17</v>
      </c>
      <c r="I3769" t="s">
        <v>62</v>
      </c>
      <c r="J3769" t="s">
        <v>66</v>
      </c>
      <c r="K3769">
        <v>1</v>
      </c>
      <c r="L3769" s="84">
        <v>157836</v>
      </c>
      <c r="M3769" s="84">
        <v>1104852</v>
      </c>
    </row>
    <row r="3770" spans="3:13" hidden="1" x14ac:dyDescent="0.25">
      <c r="C3770" t="s">
        <v>119</v>
      </c>
      <c r="D3770" t="s">
        <v>120</v>
      </c>
      <c r="E3770" t="s">
        <v>60</v>
      </c>
      <c r="F3770" t="s">
        <v>123</v>
      </c>
      <c r="G3770">
        <v>5</v>
      </c>
      <c r="H3770" t="s">
        <v>75</v>
      </c>
      <c r="I3770" t="s">
        <v>121</v>
      </c>
      <c r="J3770" t="s">
        <v>122</v>
      </c>
      <c r="K3770">
        <v>0</v>
      </c>
      <c r="L3770" s="84">
        <v>-30879</v>
      </c>
      <c r="M3770" s="84">
        <v>0</v>
      </c>
    </row>
    <row r="3771" spans="3:13" hidden="1" x14ac:dyDescent="0.25">
      <c r="C3771" t="s">
        <v>119</v>
      </c>
      <c r="D3771" t="s">
        <v>120</v>
      </c>
      <c r="E3771" t="s">
        <v>63</v>
      </c>
      <c r="F3771" t="s">
        <v>124</v>
      </c>
      <c r="G3771">
        <v>5</v>
      </c>
      <c r="H3771" t="s">
        <v>68</v>
      </c>
      <c r="I3771" t="s">
        <v>121</v>
      </c>
      <c r="J3771" t="s">
        <v>122</v>
      </c>
      <c r="K3771">
        <v>0</v>
      </c>
      <c r="L3771" s="84">
        <v>54431989</v>
      </c>
      <c r="M3771" s="84">
        <v>272159945</v>
      </c>
    </row>
    <row r="3772" spans="3:13" hidden="1" x14ac:dyDescent="0.25">
      <c r="C3772" t="s">
        <v>64</v>
      </c>
      <c r="D3772" t="s">
        <v>125</v>
      </c>
      <c r="E3772" t="s">
        <v>60</v>
      </c>
      <c r="F3772" t="s">
        <v>25</v>
      </c>
      <c r="G3772">
        <v>4</v>
      </c>
      <c r="I3772" t="s">
        <v>121</v>
      </c>
      <c r="J3772" t="s">
        <v>122</v>
      </c>
      <c r="K3772">
        <v>0</v>
      </c>
      <c r="L3772" s="84">
        <v>-27711</v>
      </c>
      <c r="M3772" s="84">
        <v>0</v>
      </c>
    </row>
    <row r="3773" spans="3:13" hidden="1" x14ac:dyDescent="0.25">
      <c r="C3773" t="s">
        <v>119</v>
      </c>
      <c r="D3773" t="s">
        <v>120</v>
      </c>
      <c r="E3773" t="s">
        <v>63</v>
      </c>
      <c r="F3773" t="s">
        <v>124</v>
      </c>
      <c r="G3773">
        <v>2</v>
      </c>
      <c r="H3773" t="s">
        <v>14</v>
      </c>
      <c r="I3773" t="s">
        <v>62</v>
      </c>
      <c r="J3773" t="s">
        <v>66</v>
      </c>
      <c r="K3773">
        <v>1</v>
      </c>
      <c r="L3773" s="84">
        <v>463782</v>
      </c>
      <c r="M3773" s="84">
        <v>927564</v>
      </c>
    </row>
    <row r="3774" spans="3:13" hidden="1" x14ac:dyDescent="0.25">
      <c r="C3774" t="s">
        <v>65</v>
      </c>
      <c r="D3774" t="s">
        <v>120</v>
      </c>
      <c r="E3774" t="s">
        <v>60</v>
      </c>
      <c r="F3774" t="s">
        <v>25</v>
      </c>
      <c r="G3774">
        <v>1</v>
      </c>
      <c r="H3774" t="s">
        <v>14</v>
      </c>
      <c r="I3774" t="s">
        <v>121</v>
      </c>
      <c r="J3774" t="s">
        <v>66</v>
      </c>
      <c r="K3774">
        <v>1</v>
      </c>
      <c r="L3774" s="84">
        <v>-296165</v>
      </c>
      <c r="M3774" s="84">
        <v>0</v>
      </c>
    </row>
    <row r="3775" spans="3:13" hidden="1" x14ac:dyDescent="0.25">
      <c r="C3775" t="s">
        <v>65</v>
      </c>
      <c r="D3775" t="s">
        <v>120</v>
      </c>
      <c r="E3775" t="s">
        <v>63</v>
      </c>
      <c r="F3775" t="s">
        <v>124</v>
      </c>
      <c r="G3775">
        <v>4</v>
      </c>
      <c r="H3775" t="s">
        <v>16</v>
      </c>
      <c r="I3775" t="s">
        <v>121</v>
      </c>
      <c r="J3775" t="s">
        <v>122</v>
      </c>
      <c r="K3775">
        <v>0</v>
      </c>
      <c r="L3775" s="84">
        <v>19701</v>
      </c>
      <c r="M3775" s="84">
        <v>78804</v>
      </c>
    </row>
    <row r="3776" spans="3:13" hidden="1" x14ac:dyDescent="0.25">
      <c r="C3776" t="s">
        <v>119</v>
      </c>
      <c r="D3776" t="s">
        <v>125</v>
      </c>
      <c r="E3776" t="s">
        <v>63</v>
      </c>
      <c r="F3776" t="s">
        <v>25</v>
      </c>
      <c r="G3776">
        <v>32</v>
      </c>
      <c r="I3776" t="s">
        <v>121</v>
      </c>
      <c r="J3776" t="s">
        <v>122</v>
      </c>
      <c r="K3776">
        <v>0</v>
      </c>
      <c r="L3776" s="84">
        <v>149988</v>
      </c>
      <c r="M3776" s="84">
        <v>4799616</v>
      </c>
    </row>
    <row r="3777" spans="3:13" hidden="1" x14ac:dyDescent="0.25">
      <c r="C3777" t="s">
        <v>65</v>
      </c>
      <c r="D3777" t="s">
        <v>120</v>
      </c>
      <c r="E3777" t="s">
        <v>60</v>
      </c>
      <c r="F3777" t="s">
        <v>124</v>
      </c>
      <c r="G3777">
        <v>-1</v>
      </c>
      <c r="H3777" t="s">
        <v>17</v>
      </c>
      <c r="I3777" t="s">
        <v>121</v>
      </c>
      <c r="J3777" t="s">
        <v>66</v>
      </c>
      <c r="K3777">
        <v>1</v>
      </c>
      <c r="L3777" s="84">
        <v>-441559</v>
      </c>
      <c r="M3777" s="84">
        <v>0</v>
      </c>
    </row>
    <row r="3778" spans="3:13" hidden="1" x14ac:dyDescent="0.25">
      <c r="C3778" t="s">
        <v>119</v>
      </c>
      <c r="D3778" t="s">
        <v>120</v>
      </c>
      <c r="E3778" t="s">
        <v>60</v>
      </c>
      <c r="F3778" t="s">
        <v>124</v>
      </c>
      <c r="G3778">
        <v>5</v>
      </c>
      <c r="H3778" t="s">
        <v>15</v>
      </c>
      <c r="I3778" t="s">
        <v>121</v>
      </c>
      <c r="J3778" t="s">
        <v>122</v>
      </c>
      <c r="K3778">
        <v>0</v>
      </c>
      <c r="L3778" s="84">
        <v>-478</v>
      </c>
      <c r="M3778" s="84">
        <v>0</v>
      </c>
    </row>
    <row r="3779" spans="3:13" hidden="1" x14ac:dyDescent="0.25">
      <c r="C3779" t="s">
        <v>64</v>
      </c>
      <c r="D3779" t="s">
        <v>120</v>
      </c>
      <c r="E3779" t="s">
        <v>63</v>
      </c>
      <c r="F3779" t="s">
        <v>124</v>
      </c>
      <c r="G3779">
        <v>0</v>
      </c>
      <c r="H3779" t="s">
        <v>15</v>
      </c>
      <c r="I3779" t="s">
        <v>121</v>
      </c>
      <c r="J3779" t="s">
        <v>66</v>
      </c>
      <c r="K3779">
        <v>1</v>
      </c>
      <c r="L3779" s="84">
        <v>18081</v>
      </c>
      <c r="M3779" s="84">
        <v>0</v>
      </c>
    </row>
    <row r="3780" spans="3:13" hidden="1" x14ac:dyDescent="0.25">
      <c r="C3780" t="s">
        <v>119</v>
      </c>
      <c r="D3780" t="s">
        <v>120</v>
      </c>
      <c r="E3780" t="s">
        <v>63</v>
      </c>
      <c r="F3780" t="s">
        <v>123</v>
      </c>
      <c r="G3780">
        <v>5</v>
      </c>
      <c r="H3780" t="s">
        <v>70</v>
      </c>
      <c r="I3780" t="s">
        <v>121</v>
      </c>
      <c r="J3780" t="s">
        <v>122</v>
      </c>
      <c r="K3780">
        <v>0</v>
      </c>
      <c r="L3780" s="84">
        <v>817049</v>
      </c>
      <c r="M3780" s="84">
        <v>4085245</v>
      </c>
    </row>
    <row r="3781" spans="3:13" hidden="1" x14ac:dyDescent="0.25">
      <c r="C3781" t="s">
        <v>64</v>
      </c>
      <c r="D3781" t="s">
        <v>120</v>
      </c>
      <c r="E3781" t="s">
        <v>60</v>
      </c>
      <c r="F3781" t="s">
        <v>123</v>
      </c>
      <c r="G3781">
        <v>-4</v>
      </c>
      <c r="H3781" t="s">
        <v>71</v>
      </c>
      <c r="I3781" t="s">
        <v>121</v>
      </c>
      <c r="J3781" t="s">
        <v>122</v>
      </c>
      <c r="K3781">
        <v>0</v>
      </c>
      <c r="L3781" s="84">
        <v>-9</v>
      </c>
      <c r="M3781" s="84">
        <v>0</v>
      </c>
    </row>
    <row r="3782" spans="3:13" hidden="1" x14ac:dyDescent="0.25">
      <c r="C3782" t="s">
        <v>119</v>
      </c>
      <c r="D3782" t="s">
        <v>120</v>
      </c>
      <c r="E3782" t="s">
        <v>63</v>
      </c>
      <c r="F3782" t="s">
        <v>123</v>
      </c>
      <c r="G3782">
        <v>4</v>
      </c>
      <c r="H3782" t="s">
        <v>14</v>
      </c>
      <c r="I3782" t="s">
        <v>121</v>
      </c>
      <c r="J3782" t="s">
        <v>66</v>
      </c>
      <c r="K3782">
        <v>1</v>
      </c>
      <c r="L3782" s="84">
        <v>3945489</v>
      </c>
      <c r="M3782" s="84">
        <v>15781956</v>
      </c>
    </row>
    <row r="3783" spans="3:13" hidden="1" x14ac:dyDescent="0.25">
      <c r="C3783" t="s">
        <v>64</v>
      </c>
      <c r="D3783" t="s">
        <v>125</v>
      </c>
      <c r="E3783" t="s">
        <v>63</v>
      </c>
      <c r="F3783" t="s">
        <v>25</v>
      </c>
      <c r="G3783">
        <v>33</v>
      </c>
      <c r="I3783" t="s">
        <v>121</v>
      </c>
      <c r="J3783" t="s">
        <v>122</v>
      </c>
      <c r="K3783">
        <v>0</v>
      </c>
      <c r="L3783" s="84">
        <v>82950</v>
      </c>
      <c r="M3783" s="84">
        <v>2737350</v>
      </c>
    </row>
    <row r="3784" spans="3:13" hidden="1" x14ac:dyDescent="0.25">
      <c r="C3784" t="s">
        <v>65</v>
      </c>
      <c r="D3784" t="s">
        <v>120</v>
      </c>
      <c r="E3784" t="s">
        <v>60</v>
      </c>
      <c r="F3784" t="s">
        <v>123</v>
      </c>
      <c r="G3784">
        <v>1</v>
      </c>
      <c r="H3784" t="s">
        <v>76</v>
      </c>
      <c r="I3784" t="s">
        <v>121</v>
      </c>
      <c r="J3784" t="s">
        <v>122</v>
      </c>
      <c r="K3784">
        <v>0</v>
      </c>
      <c r="L3784" s="84">
        <v>-11032</v>
      </c>
      <c r="M3784" s="84">
        <v>0</v>
      </c>
    </row>
    <row r="3785" spans="3:13" hidden="1" x14ac:dyDescent="0.25">
      <c r="C3785" t="s">
        <v>64</v>
      </c>
      <c r="D3785" t="s">
        <v>120</v>
      </c>
      <c r="E3785" t="s">
        <v>60</v>
      </c>
      <c r="F3785" t="s">
        <v>24</v>
      </c>
      <c r="G3785">
        <v>13</v>
      </c>
      <c r="H3785" t="s">
        <v>17</v>
      </c>
      <c r="I3785" t="s">
        <v>121</v>
      </c>
      <c r="J3785" t="s">
        <v>122</v>
      </c>
      <c r="K3785">
        <v>0</v>
      </c>
      <c r="L3785" s="84">
        <v>-198191</v>
      </c>
      <c r="M3785" s="84">
        <v>0</v>
      </c>
    </row>
    <row r="3786" spans="3:13" hidden="1" x14ac:dyDescent="0.25">
      <c r="C3786" t="s">
        <v>64</v>
      </c>
      <c r="D3786" t="s">
        <v>120</v>
      </c>
      <c r="E3786" t="s">
        <v>63</v>
      </c>
      <c r="F3786" t="s">
        <v>123</v>
      </c>
      <c r="G3786">
        <v>3</v>
      </c>
      <c r="H3786" t="s">
        <v>17</v>
      </c>
      <c r="I3786" t="s">
        <v>121</v>
      </c>
      <c r="J3786" t="s">
        <v>66</v>
      </c>
      <c r="K3786">
        <v>1</v>
      </c>
      <c r="L3786" s="84">
        <v>54593</v>
      </c>
      <c r="M3786" s="84">
        <v>163779</v>
      </c>
    </row>
    <row r="3787" spans="3:13" hidden="1" x14ac:dyDescent="0.25">
      <c r="C3787" t="s">
        <v>65</v>
      </c>
      <c r="D3787" t="s">
        <v>120</v>
      </c>
      <c r="E3787" t="s">
        <v>63</v>
      </c>
      <c r="F3787" t="s">
        <v>123</v>
      </c>
      <c r="G3787">
        <v>-4</v>
      </c>
      <c r="H3787" t="s">
        <v>68</v>
      </c>
      <c r="I3787" t="s">
        <v>121</v>
      </c>
      <c r="J3787" t="s">
        <v>122</v>
      </c>
      <c r="K3787">
        <v>0</v>
      </c>
      <c r="L3787" s="84">
        <v>4415</v>
      </c>
      <c r="M3787" s="84">
        <v>0</v>
      </c>
    </row>
    <row r="3788" spans="3:13" hidden="1" x14ac:dyDescent="0.25">
      <c r="C3788" t="s">
        <v>65</v>
      </c>
      <c r="D3788" t="s">
        <v>120</v>
      </c>
      <c r="E3788" t="s">
        <v>63</v>
      </c>
      <c r="F3788" t="s">
        <v>124</v>
      </c>
      <c r="G3788">
        <v>5</v>
      </c>
      <c r="H3788" t="s">
        <v>17</v>
      </c>
      <c r="I3788" t="s">
        <v>121</v>
      </c>
      <c r="J3788" t="s">
        <v>122</v>
      </c>
      <c r="K3788">
        <v>0</v>
      </c>
      <c r="L3788" s="84">
        <v>858101</v>
      </c>
      <c r="M3788" s="84">
        <v>4290505</v>
      </c>
    </row>
    <row r="3789" spans="3:13" x14ac:dyDescent="0.25">
      <c r="C3789" t="s">
        <v>64</v>
      </c>
      <c r="D3789" t="s">
        <v>120</v>
      </c>
      <c r="E3789" t="s">
        <v>63</v>
      </c>
      <c r="F3789" t="s">
        <v>25</v>
      </c>
      <c r="G3789">
        <v>-4</v>
      </c>
      <c r="H3789" t="s">
        <v>14</v>
      </c>
      <c r="I3789" t="s">
        <v>121</v>
      </c>
      <c r="J3789" t="s">
        <v>66</v>
      </c>
      <c r="K3789">
        <v>1</v>
      </c>
      <c r="L3789" s="84">
        <v>4</v>
      </c>
      <c r="M3789" s="84">
        <v>0</v>
      </c>
    </row>
    <row r="3790" spans="3:13" hidden="1" x14ac:dyDescent="0.25">
      <c r="C3790" t="s">
        <v>64</v>
      </c>
      <c r="D3790" t="s">
        <v>120</v>
      </c>
      <c r="E3790" t="s">
        <v>63</v>
      </c>
      <c r="F3790" t="s">
        <v>124</v>
      </c>
      <c r="G3790">
        <v>1</v>
      </c>
      <c r="H3790" t="s">
        <v>76</v>
      </c>
      <c r="I3790" t="s">
        <v>121</v>
      </c>
      <c r="J3790" t="s">
        <v>122</v>
      </c>
      <c r="K3790">
        <v>0</v>
      </c>
      <c r="L3790" s="84">
        <v>1606896</v>
      </c>
      <c r="M3790" s="84">
        <v>1606896</v>
      </c>
    </row>
    <row r="3791" spans="3:13" hidden="1" x14ac:dyDescent="0.25">
      <c r="C3791" t="s">
        <v>119</v>
      </c>
      <c r="D3791" t="s">
        <v>125</v>
      </c>
      <c r="E3791" t="s">
        <v>60</v>
      </c>
      <c r="F3791" t="s">
        <v>24</v>
      </c>
      <c r="G3791">
        <v>4</v>
      </c>
      <c r="I3791" t="s">
        <v>121</v>
      </c>
      <c r="J3791" t="s">
        <v>122</v>
      </c>
      <c r="K3791">
        <v>0</v>
      </c>
      <c r="L3791" s="84">
        <v>-25298</v>
      </c>
      <c r="M3791" s="84">
        <v>0</v>
      </c>
    </row>
    <row r="3792" spans="3:13" hidden="1" x14ac:dyDescent="0.25">
      <c r="C3792" t="s">
        <v>119</v>
      </c>
      <c r="D3792" t="s">
        <v>120</v>
      </c>
      <c r="E3792" t="s">
        <v>60</v>
      </c>
      <c r="F3792" t="s">
        <v>24</v>
      </c>
      <c r="G3792">
        <v>2</v>
      </c>
      <c r="H3792" t="s">
        <v>61</v>
      </c>
      <c r="I3792" t="s">
        <v>121</v>
      </c>
      <c r="J3792" t="s">
        <v>122</v>
      </c>
      <c r="K3792">
        <v>0</v>
      </c>
      <c r="L3792" s="84">
        <v>-521</v>
      </c>
      <c r="M3792" s="84">
        <v>0</v>
      </c>
    </row>
    <row r="3793" spans="3:13" hidden="1" x14ac:dyDescent="0.25">
      <c r="C3793" t="s">
        <v>65</v>
      </c>
      <c r="D3793" t="s">
        <v>120</v>
      </c>
      <c r="E3793" t="s">
        <v>60</v>
      </c>
      <c r="F3793" t="s">
        <v>24</v>
      </c>
      <c r="G3793">
        <v>1</v>
      </c>
      <c r="H3793" t="s">
        <v>18</v>
      </c>
      <c r="I3793" t="s">
        <v>121</v>
      </c>
      <c r="J3793" t="s">
        <v>122</v>
      </c>
      <c r="K3793">
        <v>0</v>
      </c>
      <c r="L3793" s="84">
        <v>-27517</v>
      </c>
      <c r="M3793" s="84">
        <v>0</v>
      </c>
    </row>
    <row r="3794" spans="3:13" hidden="1" x14ac:dyDescent="0.25">
      <c r="C3794" t="s">
        <v>65</v>
      </c>
      <c r="D3794" t="s">
        <v>125</v>
      </c>
      <c r="E3794" t="s">
        <v>60</v>
      </c>
      <c r="F3794" t="s">
        <v>24</v>
      </c>
      <c r="G3794">
        <v>28</v>
      </c>
      <c r="I3794" t="s">
        <v>121</v>
      </c>
      <c r="J3794" t="s">
        <v>122</v>
      </c>
      <c r="K3794">
        <v>0</v>
      </c>
      <c r="L3794" s="84">
        <v>-3004908</v>
      </c>
      <c r="M3794" s="84">
        <v>0</v>
      </c>
    </row>
    <row r="3795" spans="3:13" hidden="1" x14ac:dyDescent="0.25">
      <c r="C3795" t="s">
        <v>64</v>
      </c>
      <c r="D3795" t="s">
        <v>120</v>
      </c>
      <c r="E3795" t="s">
        <v>60</v>
      </c>
      <c r="F3795" t="s">
        <v>124</v>
      </c>
      <c r="G3795">
        <v>-4</v>
      </c>
      <c r="H3795" t="s">
        <v>73</v>
      </c>
      <c r="I3795" t="s">
        <v>121</v>
      </c>
      <c r="J3795" t="s">
        <v>122</v>
      </c>
      <c r="K3795">
        <v>0</v>
      </c>
      <c r="L3795" s="84">
        <v>-213</v>
      </c>
      <c r="M3795" s="84">
        <v>0</v>
      </c>
    </row>
    <row r="3796" spans="3:13" hidden="1" x14ac:dyDescent="0.25">
      <c r="C3796" t="s">
        <v>119</v>
      </c>
      <c r="D3796" t="s">
        <v>120</v>
      </c>
      <c r="E3796" t="s">
        <v>60</v>
      </c>
      <c r="F3796" t="s">
        <v>124</v>
      </c>
      <c r="G3796">
        <v>-1</v>
      </c>
      <c r="H3796" t="s">
        <v>14</v>
      </c>
      <c r="I3796" t="s">
        <v>62</v>
      </c>
      <c r="J3796" t="s">
        <v>122</v>
      </c>
      <c r="K3796">
        <v>1</v>
      </c>
      <c r="L3796" s="84">
        <v>-486</v>
      </c>
      <c r="M3796" s="84">
        <v>0</v>
      </c>
    </row>
    <row r="3797" spans="3:13" hidden="1" x14ac:dyDescent="0.25">
      <c r="C3797" t="s">
        <v>64</v>
      </c>
      <c r="D3797" t="s">
        <v>120</v>
      </c>
      <c r="E3797" t="s">
        <v>60</v>
      </c>
      <c r="F3797" t="s">
        <v>25</v>
      </c>
      <c r="G3797">
        <v>8</v>
      </c>
      <c r="H3797" t="s">
        <v>12</v>
      </c>
      <c r="I3797" t="s">
        <v>121</v>
      </c>
      <c r="J3797" t="s">
        <v>66</v>
      </c>
      <c r="K3797">
        <v>1</v>
      </c>
      <c r="L3797" s="84">
        <v>-10934</v>
      </c>
      <c r="M3797" s="84">
        <v>0</v>
      </c>
    </row>
    <row r="3798" spans="3:13" hidden="1" x14ac:dyDescent="0.25">
      <c r="C3798" t="s">
        <v>119</v>
      </c>
      <c r="D3798" t="s">
        <v>120</v>
      </c>
      <c r="E3798" t="s">
        <v>60</v>
      </c>
      <c r="F3798" t="s">
        <v>124</v>
      </c>
      <c r="G3798">
        <v>3</v>
      </c>
      <c r="H3798" t="s">
        <v>17</v>
      </c>
      <c r="I3798" t="s">
        <v>62</v>
      </c>
      <c r="J3798" t="s">
        <v>66</v>
      </c>
      <c r="K3798">
        <v>1</v>
      </c>
      <c r="L3798" s="84">
        <v>-7345</v>
      </c>
      <c r="M3798" s="84">
        <v>0</v>
      </c>
    </row>
    <row r="3799" spans="3:13" hidden="1" x14ac:dyDescent="0.25">
      <c r="C3799" t="s">
        <v>119</v>
      </c>
      <c r="D3799" t="s">
        <v>120</v>
      </c>
      <c r="E3799" t="s">
        <v>63</v>
      </c>
      <c r="F3799" t="s">
        <v>25</v>
      </c>
      <c r="G3799">
        <v>13</v>
      </c>
      <c r="H3799" t="s">
        <v>68</v>
      </c>
      <c r="I3799" t="s">
        <v>121</v>
      </c>
      <c r="J3799" t="s">
        <v>122</v>
      </c>
      <c r="K3799">
        <v>0</v>
      </c>
      <c r="L3799" s="84">
        <v>32938468</v>
      </c>
      <c r="M3799" s="84">
        <v>428200084</v>
      </c>
    </row>
    <row r="3800" spans="3:13" hidden="1" x14ac:dyDescent="0.25">
      <c r="C3800" t="s">
        <v>65</v>
      </c>
      <c r="D3800" t="s">
        <v>120</v>
      </c>
      <c r="E3800" t="s">
        <v>63</v>
      </c>
      <c r="F3800" t="s">
        <v>124</v>
      </c>
      <c r="G3800">
        <v>3</v>
      </c>
      <c r="H3800" t="s">
        <v>75</v>
      </c>
      <c r="I3800" t="s">
        <v>121</v>
      </c>
      <c r="J3800" t="s">
        <v>122</v>
      </c>
      <c r="K3800">
        <v>0</v>
      </c>
      <c r="L3800" s="84">
        <v>629829</v>
      </c>
      <c r="M3800" s="84">
        <v>1889487</v>
      </c>
    </row>
    <row r="3801" spans="3:13" hidden="1" x14ac:dyDescent="0.25">
      <c r="C3801" t="s">
        <v>119</v>
      </c>
      <c r="D3801" t="s">
        <v>120</v>
      </c>
      <c r="E3801" t="s">
        <v>60</v>
      </c>
      <c r="F3801" t="s">
        <v>25</v>
      </c>
      <c r="G3801">
        <v>1</v>
      </c>
      <c r="H3801" t="s">
        <v>18</v>
      </c>
      <c r="I3801" t="s">
        <v>121</v>
      </c>
      <c r="J3801" t="s">
        <v>66</v>
      </c>
      <c r="K3801">
        <v>1</v>
      </c>
      <c r="L3801" s="84">
        <v>-12</v>
      </c>
      <c r="M3801" s="84">
        <v>0</v>
      </c>
    </row>
    <row r="3802" spans="3:13" hidden="1" x14ac:dyDescent="0.25">
      <c r="C3802" t="s">
        <v>64</v>
      </c>
      <c r="D3802" t="s">
        <v>120</v>
      </c>
      <c r="E3802" t="s">
        <v>60</v>
      </c>
      <c r="F3802" t="s">
        <v>25</v>
      </c>
      <c r="G3802">
        <v>1</v>
      </c>
      <c r="H3802" t="s">
        <v>17</v>
      </c>
      <c r="I3802" t="s">
        <v>121</v>
      </c>
      <c r="J3802" t="s">
        <v>66</v>
      </c>
      <c r="K3802">
        <v>1</v>
      </c>
      <c r="L3802" s="84">
        <v>-35</v>
      </c>
      <c r="M3802" s="84">
        <v>0</v>
      </c>
    </row>
    <row r="3803" spans="3:13" hidden="1" x14ac:dyDescent="0.25">
      <c r="C3803" t="s">
        <v>64</v>
      </c>
      <c r="D3803" t="s">
        <v>120</v>
      </c>
      <c r="E3803" t="s">
        <v>60</v>
      </c>
      <c r="F3803" t="s">
        <v>24</v>
      </c>
      <c r="G3803">
        <v>9</v>
      </c>
      <c r="H3803" t="s">
        <v>68</v>
      </c>
      <c r="I3803" t="s">
        <v>121</v>
      </c>
      <c r="J3803" t="s">
        <v>122</v>
      </c>
      <c r="K3803">
        <v>0</v>
      </c>
      <c r="L3803" s="84">
        <v>-29223</v>
      </c>
      <c r="M3803" s="84">
        <v>0</v>
      </c>
    </row>
    <row r="3804" spans="3:13" hidden="1" x14ac:dyDescent="0.25">
      <c r="C3804" t="s">
        <v>119</v>
      </c>
      <c r="D3804" t="s">
        <v>120</v>
      </c>
      <c r="E3804" t="s">
        <v>63</v>
      </c>
      <c r="F3804" t="s">
        <v>124</v>
      </c>
      <c r="G3804">
        <v>0</v>
      </c>
      <c r="H3804" t="s">
        <v>69</v>
      </c>
      <c r="I3804" t="s">
        <v>121</v>
      </c>
      <c r="J3804" t="s">
        <v>122</v>
      </c>
      <c r="K3804">
        <v>0</v>
      </c>
      <c r="L3804" s="84">
        <v>19938935</v>
      </c>
      <c r="M3804" s="84">
        <v>0</v>
      </c>
    </row>
    <row r="3805" spans="3:13" hidden="1" x14ac:dyDescent="0.25">
      <c r="C3805" t="s">
        <v>119</v>
      </c>
      <c r="D3805" t="s">
        <v>120</v>
      </c>
      <c r="E3805" t="s">
        <v>60</v>
      </c>
      <c r="F3805" t="s">
        <v>124</v>
      </c>
      <c r="G3805">
        <v>-1</v>
      </c>
      <c r="H3805" t="s">
        <v>15</v>
      </c>
      <c r="I3805" t="s">
        <v>121</v>
      </c>
      <c r="J3805" t="s">
        <v>66</v>
      </c>
      <c r="K3805">
        <v>1</v>
      </c>
      <c r="L3805" s="84">
        <v>-11240</v>
      </c>
      <c r="M3805" s="84">
        <v>0</v>
      </c>
    </row>
    <row r="3806" spans="3:13" hidden="1" x14ac:dyDescent="0.25">
      <c r="C3806" t="s">
        <v>65</v>
      </c>
      <c r="D3806" t="s">
        <v>125</v>
      </c>
      <c r="E3806" t="s">
        <v>60</v>
      </c>
      <c r="F3806" t="s">
        <v>25</v>
      </c>
      <c r="G3806">
        <v>6</v>
      </c>
      <c r="I3806" t="s">
        <v>121</v>
      </c>
      <c r="J3806" t="s">
        <v>122</v>
      </c>
      <c r="K3806">
        <v>0</v>
      </c>
      <c r="L3806" s="84">
        <v>-7696</v>
      </c>
      <c r="M3806" s="84">
        <v>0</v>
      </c>
    </row>
    <row r="3807" spans="3:13" hidden="1" x14ac:dyDescent="0.25">
      <c r="C3807" t="s">
        <v>65</v>
      </c>
      <c r="D3807" t="s">
        <v>120</v>
      </c>
      <c r="E3807" t="s">
        <v>60</v>
      </c>
      <c r="F3807" t="s">
        <v>24</v>
      </c>
      <c r="G3807">
        <v>3</v>
      </c>
      <c r="H3807" t="s">
        <v>68</v>
      </c>
      <c r="I3807" t="s">
        <v>121</v>
      </c>
      <c r="J3807" t="s">
        <v>122</v>
      </c>
      <c r="K3807">
        <v>0</v>
      </c>
      <c r="L3807" s="84">
        <v>-33031</v>
      </c>
      <c r="M3807" s="84">
        <v>0</v>
      </c>
    </row>
    <row r="3808" spans="3:13" hidden="1" x14ac:dyDescent="0.25">
      <c r="C3808" t="s">
        <v>64</v>
      </c>
      <c r="D3808" t="s">
        <v>120</v>
      </c>
      <c r="E3808" t="s">
        <v>60</v>
      </c>
      <c r="F3808" t="s">
        <v>124</v>
      </c>
      <c r="G3808">
        <v>2</v>
      </c>
      <c r="H3808" t="s">
        <v>75</v>
      </c>
      <c r="I3808" t="s">
        <v>121</v>
      </c>
      <c r="J3808" t="s">
        <v>122</v>
      </c>
      <c r="K3808">
        <v>0</v>
      </c>
      <c r="L3808" s="84">
        <v>-466012</v>
      </c>
      <c r="M3808" s="84">
        <v>0</v>
      </c>
    </row>
    <row r="3809" spans="3:13" hidden="1" x14ac:dyDescent="0.25">
      <c r="C3809" t="s">
        <v>119</v>
      </c>
      <c r="D3809" t="s">
        <v>120</v>
      </c>
      <c r="E3809" t="s">
        <v>63</v>
      </c>
      <c r="F3809" t="s">
        <v>25</v>
      </c>
      <c r="G3809">
        <v>10</v>
      </c>
      <c r="H3809" t="s">
        <v>17</v>
      </c>
      <c r="I3809" t="s">
        <v>121</v>
      </c>
      <c r="J3809" t="s">
        <v>122</v>
      </c>
      <c r="K3809">
        <v>0</v>
      </c>
      <c r="L3809" s="84">
        <v>11295696</v>
      </c>
      <c r="M3809" s="84">
        <v>112956960</v>
      </c>
    </row>
    <row r="3810" spans="3:13" hidden="1" x14ac:dyDescent="0.25">
      <c r="C3810" t="s">
        <v>119</v>
      </c>
      <c r="D3810" t="s">
        <v>120</v>
      </c>
      <c r="E3810" t="s">
        <v>60</v>
      </c>
      <c r="F3810" t="s">
        <v>25</v>
      </c>
      <c r="G3810">
        <v>8</v>
      </c>
      <c r="H3810" t="s">
        <v>73</v>
      </c>
      <c r="I3810" t="s">
        <v>121</v>
      </c>
      <c r="J3810" t="s">
        <v>122</v>
      </c>
      <c r="K3810">
        <v>0</v>
      </c>
      <c r="L3810" s="84">
        <v>-810</v>
      </c>
      <c r="M3810" s="84">
        <v>0</v>
      </c>
    </row>
    <row r="3811" spans="3:13" hidden="1" x14ac:dyDescent="0.25">
      <c r="C3811" t="s">
        <v>119</v>
      </c>
      <c r="D3811" t="s">
        <v>120</v>
      </c>
      <c r="E3811" t="s">
        <v>63</v>
      </c>
      <c r="F3811" t="s">
        <v>123</v>
      </c>
      <c r="G3811">
        <v>3</v>
      </c>
      <c r="H3811" t="s">
        <v>72</v>
      </c>
      <c r="I3811" t="s">
        <v>121</v>
      </c>
      <c r="J3811" t="s">
        <v>122</v>
      </c>
      <c r="K3811">
        <v>0</v>
      </c>
      <c r="L3811" s="84">
        <v>7456108</v>
      </c>
      <c r="M3811" s="84">
        <v>22368324</v>
      </c>
    </row>
    <row r="3812" spans="3:13" hidden="1" x14ac:dyDescent="0.25">
      <c r="C3812" t="s">
        <v>64</v>
      </c>
      <c r="D3812" t="s">
        <v>120</v>
      </c>
      <c r="E3812" t="s">
        <v>60</v>
      </c>
      <c r="F3812" t="s">
        <v>124</v>
      </c>
      <c r="G3812">
        <v>0</v>
      </c>
      <c r="H3812" t="s">
        <v>72</v>
      </c>
      <c r="I3812" t="s">
        <v>121</v>
      </c>
      <c r="J3812" t="s">
        <v>122</v>
      </c>
      <c r="K3812">
        <v>0</v>
      </c>
      <c r="L3812" s="84">
        <v>-2574</v>
      </c>
      <c r="M3812" s="84">
        <v>0</v>
      </c>
    </row>
    <row r="3813" spans="3:13" hidden="1" x14ac:dyDescent="0.25">
      <c r="C3813" t="s">
        <v>119</v>
      </c>
      <c r="D3813" t="s">
        <v>120</v>
      </c>
      <c r="E3813" t="s">
        <v>63</v>
      </c>
      <c r="F3813" t="s">
        <v>124</v>
      </c>
      <c r="G3813">
        <v>9</v>
      </c>
      <c r="H3813" t="s">
        <v>71</v>
      </c>
      <c r="I3813" t="s">
        <v>121</v>
      </c>
      <c r="J3813" t="s">
        <v>122</v>
      </c>
      <c r="K3813">
        <v>0</v>
      </c>
      <c r="L3813" s="84">
        <v>2766820</v>
      </c>
      <c r="M3813" s="84">
        <v>24901380</v>
      </c>
    </row>
    <row r="3814" spans="3:13" hidden="1" x14ac:dyDescent="0.25">
      <c r="C3814" t="s">
        <v>65</v>
      </c>
      <c r="D3814" t="s">
        <v>120</v>
      </c>
      <c r="E3814" t="s">
        <v>60</v>
      </c>
      <c r="F3814" t="s">
        <v>123</v>
      </c>
      <c r="G3814">
        <v>3</v>
      </c>
      <c r="H3814" t="s">
        <v>17</v>
      </c>
      <c r="I3814" t="s">
        <v>121</v>
      </c>
      <c r="J3814" t="s">
        <v>66</v>
      </c>
      <c r="K3814">
        <v>1</v>
      </c>
      <c r="L3814" s="84">
        <v>-19297</v>
      </c>
      <c r="M3814" s="84">
        <v>0</v>
      </c>
    </row>
    <row r="3815" spans="3:13" hidden="1" x14ac:dyDescent="0.25">
      <c r="C3815" t="s">
        <v>64</v>
      </c>
      <c r="D3815" t="s">
        <v>120</v>
      </c>
      <c r="E3815" t="s">
        <v>63</v>
      </c>
      <c r="F3815" t="s">
        <v>124</v>
      </c>
      <c r="G3815">
        <v>5</v>
      </c>
      <c r="H3815" t="s">
        <v>17</v>
      </c>
      <c r="I3815" t="s">
        <v>62</v>
      </c>
      <c r="J3815" t="s">
        <v>122</v>
      </c>
      <c r="K3815">
        <v>1</v>
      </c>
      <c r="L3815" s="84">
        <v>44804</v>
      </c>
      <c r="M3815" s="84">
        <v>224020</v>
      </c>
    </row>
    <row r="3816" spans="3:13" hidden="1" x14ac:dyDescent="0.25">
      <c r="C3816" t="s">
        <v>119</v>
      </c>
      <c r="D3816" t="s">
        <v>120</v>
      </c>
      <c r="E3816" t="s">
        <v>60</v>
      </c>
      <c r="F3816" t="s">
        <v>25</v>
      </c>
      <c r="G3816">
        <v>-1</v>
      </c>
      <c r="H3816" t="s">
        <v>17</v>
      </c>
      <c r="I3816" t="s">
        <v>121</v>
      </c>
      <c r="J3816" t="s">
        <v>122</v>
      </c>
      <c r="K3816">
        <v>0</v>
      </c>
      <c r="L3816" s="84">
        <v>-17450</v>
      </c>
      <c r="M3816" s="84">
        <v>0</v>
      </c>
    </row>
    <row r="3817" spans="3:13" hidden="1" x14ac:dyDescent="0.25">
      <c r="C3817" t="s">
        <v>119</v>
      </c>
      <c r="D3817" t="s">
        <v>126</v>
      </c>
      <c r="E3817" t="s">
        <v>63</v>
      </c>
      <c r="F3817" t="s">
        <v>25</v>
      </c>
      <c r="G3817">
        <v>14</v>
      </c>
      <c r="H3817" t="s">
        <v>74</v>
      </c>
      <c r="I3817" t="s">
        <v>121</v>
      </c>
      <c r="J3817" t="s">
        <v>122</v>
      </c>
      <c r="K3817">
        <v>0</v>
      </c>
      <c r="L3817" s="84">
        <v>4103387</v>
      </c>
      <c r="M3817" s="84">
        <v>57447418</v>
      </c>
    </row>
    <row r="3818" spans="3:13" hidden="1" x14ac:dyDescent="0.25">
      <c r="C3818" t="s">
        <v>119</v>
      </c>
      <c r="D3818" t="s">
        <v>120</v>
      </c>
      <c r="E3818" t="s">
        <v>60</v>
      </c>
      <c r="F3818" t="s">
        <v>25</v>
      </c>
      <c r="G3818">
        <v>15</v>
      </c>
      <c r="H3818" t="s">
        <v>68</v>
      </c>
      <c r="I3818" t="s">
        <v>121</v>
      </c>
      <c r="J3818" t="s">
        <v>122</v>
      </c>
      <c r="K3818">
        <v>0</v>
      </c>
      <c r="L3818" s="84">
        <v>-12380</v>
      </c>
      <c r="M3818" s="84">
        <v>0</v>
      </c>
    </row>
    <row r="3819" spans="3:13" hidden="1" x14ac:dyDescent="0.25">
      <c r="C3819" t="s">
        <v>119</v>
      </c>
      <c r="D3819" t="s">
        <v>120</v>
      </c>
      <c r="E3819" t="s">
        <v>63</v>
      </c>
      <c r="F3819" t="s">
        <v>124</v>
      </c>
      <c r="G3819">
        <v>3</v>
      </c>
      <c r="H3819" t="s">
        <v>13</v>
      </c>
      <c r="I3819" t="s">
        <v>121</v>
      </c>
      <c r="J3819" t="s">
        <v>122</v>
      </c>
      <c r="K3819">
        <v>0</v>
      </c>
      <c r="L3819" s="84">
        <v>1176364</v>
      </c>
      <c r="M3819" s="84">
        <v>3529092</v>
      </c>
    </row>
    <row r="3820" spans="3:13" hidden="1" x14ac:dyDescent="0.25">
      <c r="C3820" t="s">
        <v>119</v>
      </c>
      <c r="D3820" t="s">
        <v>120</v>
      </c>
      <c r="E3820" t="s">
        <v>60</v>
      </c>
      <c r="F3820" t="s">
        <v>123</v>
      </c>
      <c r="G3820">
        <v>-4</v>
      </c>
      <c r="H3820" t="s">
        <v>71</v>
      </c>
      <c r="I3820" t="s">
        <v>121</v>
      </c>
      <c r="J3820" t="s">
        <v>122</v>
      </c>
      <c r="K3820">
        <v>0</v>
      </c>
      <c r="L3820" s="84">
        <v>0</v>
      </c>
      <c r="M3820" s="84">
        <v>0</v>
      </c>
    </row>
    <row r="3821" spans="3:13" hidden="1" x14ac:dyDescent="0.25">
      <c r="C3821" t="s">
        <v>65</v>
      </c>
      <c r="D3821" t="s">
        <v>120</v>
      </c>
      <c r="E3821" t="s">
        <v>63</v>
      </c>
      <c r="F3821" t="s">
        <v>124</v>
      </c>
      <c r="G3821">
        <v>0</v>
      </c>
      <c r="H3821" t="s">
        <v>14</v>
      </c>
      <c r="I3821" t="s">
        <v>121</v>
      </c>
      <c r="J3821" t="s">
        <v>122</v>
      </c>
      <c r="K3821">
        <v>0</v>
      </c>
      <c r="L3821" s="84">
        <v>1565533</v>
      </c>
      <c r="M3821" s="84">
        <v>0</v>
      </c>
    </row>
    <row r="3822" spans="3:13" hidden="1" x14ac:dyDescent="0.25">
      <c r="C3822" t="s">
        <v>119</v>
      </c>
      <c r="D3822" t="s">
        <v>120</v>
      </c>
      <c r="E3822" t="s">
        <v>60</v>
      </c>
      <c r="F3822" t="s">
        <v>24</v>
      </c>
      <c r="G3822">
        <v>13</v>
      </c>
      <c r="H3822" t="s">
        <v>17</v>
      </c>
      <c r="I3822" t="s">
        <v>121</v>
      </c>
      <c r="J3822" t="s">
        <v>122</v>
      </c>
      <c r="K3822">
        <v>0</v>
      </c>
      <c r="L3822" s="84">
        <v>-654</v>
      </c>
      <c r="M3822" s="84">
        <v>0</v>
      </c>
    </row>
    <row r="3823" spans="3:13" hidden="1" x14ac:dyDescent="0.25">
      <c r="C3823" t="s">
        <v>119</v>
      </c>
      <c r="D3823" t="s">
        <v>120</v>
      </c>
      <c r="E3823" t="s">
        <v>63</v>
      </c>
      <c r="F3823" t="s">
        <v>124</v>
      </c>
      <c r="G3823">
        <v>0</v>
      </c>
      <c r="H3823" t="s">
        <v>74</v>
      </c>
      <c r="I3823" t="s">
        <v>121</v>
      </c>
      <c r="J3823" t="s">
        <v>122</v>
      </c>
      <c r="K3823">
        <v>0</v>
      </c>
      <c r="L3823" s="84">
        <v>175825</v>
      </c>
      <c r="M3823" s="84">
        <v>0</v>
      </c>
    </row>
    <row r="3824" spans="3:13" hidden="1" x14ac:dyDescent="0.25">
      <c r="C3824" t="s">
        <v>119</v>
      </c>
      <c r="D3824" t="s">
        <v>120</v>
      </c>
      <c r="E3824" t="s">
        <v>63</v>
      </c>
      <c r="F3824" t="s">
        <v>25</v>
      </c>
      <c r="G3824">
        <v>13</v>
      </c>
      <c r="H3824" t="s">
        <v>61</v>
      </c>
      <c r="I3824" t="s">
        <v>121</v>
      </c>
      <c r="J3824" t="s">
        <v>122</v>
      </c>
      <c r="K3824">
        <v>0</v>
      </c>
      <c r="L3824" s="84">
        <v>1553079</v>
      </c>
      <c r="M3824" s="84">
        <v>20190027</v>
      </c>
    </row>
    <row r="3825" spans="3:13" hidden="1" x14ac:dyDescent="0.25">
      <c r="C3825" t="s">
        <v>65</v>
      </c>
      <c r="D3825" t="s">
        <v>120</v>
      </c>
      <c r="E3825" t="s">
        <v>63</v>
      </c>
      <c r="F3825" t="s">
        <v>124</v>
      </c>
      <c r="G3825">
        <v>3</v>
      </c>
      <c r="H3825" t="s">
        <v>70</v>
      </c>
      <c r="I3825" t="s">
        <v>121</v>
      </c>
      <c r="J3825" t="s">
        <v>122</v>
      </c>
      <c r="K3825">
        <v>0</v>
      </c>
      <c r="L3825" s="84">
        <v>180233</v>
      </c>
      <c r="M3825" s="84">
        <v>540699</v>
      </c>
    </row>
    <row r="3826" spans="3:13" hidden="1" x14ac:dyDescent="0.25">
      <c r="C3826" t="s">
        <v>65</v>
      </c>
      <c r="D3826" t="s">
        <v>120</v>
      </c>
      <c r="E3826" t="s">
        <v>63</v>
      </c>
      <c r="F3826" t="s">
        <v>24</v>
      </c>
      <c r="G3826">
        <v>-4</v>
      </c>
      <c r="H3826" t="s">
        <v>17</v>
      </c>
      <c r="I3826" t="s">
        <v>62</v>
      </c>
      <c r="J3826" t="s">
        <v>66</v>
      </c>
      <c r="K3826">
        <v>1</v>
      </c>
      <c r="L3826" s="84">
        <v>3285</v>
      </c>
      <c r="M3826" s="84">
        <v>0</v>
      </c>
    </row>
    <row r="3827" spans="3:13" hidden="1" x14ac:dyDescent="0.25">
      <c r="C3827" t="s">
        <v>64</v>
      </c>
      <c r="D3827" t="s">
        <v>120</v>
      </c>
      <c r="E3827" t="s">
        <v>60</v>
      </c>
      <c r="F3827" t="s">
        <v>124</v>
      </c>
      <c r="G3827">
        <v>-1</v>
      </c>
      <c r="H3827" t="s">
        <v>76</v>
      </c>
      <c r="I3827" t="s">
        <v>121</v>
      </c>
      <c r="J3827" t="s">
        <v>122</v>
      </c>
      <c r="K3827">
        <v>0</v>
      </c>
      <c r="L3827" s="84">
        <v>-134912</v>
      </c>
      <c r="M3827" s="84">
        <v>0</v>
      </c>
    </row>
    <row r="3828" spans="3:13" hidden="1" x14ac:dyDescent="0.25">
      <c r="C3828" t="s">
        <v>119</v>
      </c>
      <c r="D3828" t="s">
        <v>120</v>
      </c>
      <c r="E3828" t="s">
        <v>60</v>
      </c>
      <c r="F3828" t="s">
        <v>123</v>
      </c>
      <c r="G3828">
        <v>3</v>
      </c>
      <c r="H3828" t="s">
        <v>15</v>
      </c>
      <c r="I3828" t="s">
        <v>121</v>
      </c>
      <c r="J3828" t="s">
        <v>122</v>
      </c>
      <c r="K3828">
        <v>0</v>
      </c>
      <c r="L3828" s="84">
        <v>-140</v>
      </c>
      <c r="M3828" s="84">
        <v>0</v>
      </c>
    </row>
    <row r="3829" spans="3:13" hidden="1" x14ac:dyDescent="0.25">
      <c r="C3829" t="s">
        <v>119</v>
      </c>
      <c r="D3829" t="s">
        <v>120</v>
      </c>
      <c r="E3829" t="s">
        <v>60</v>
      </c>
      <c r="F3829" t="s">
        <v>24</v>
      </c>
      <c r="G3829">
        <v>2</v>
      </c>
      <c r="H3829" t="s">
        <v>68</v>
      </c>
      <c r="I3829" t="s">
        <v>121</v>
      </c>
      <c r="J3829" t="s">
        <v>122</v>
      </c>
      <c r="K3829">
        <v>0</v>
      </c>
      <c r="L3829" s="84">
        <v>-55619</v>
      </c>
      <c r="M3829" s="84">
        <v>0</v>
      </c>
    </row>
    <row r="3830" spans="3:13" hidden="1" x14ac:dyDescent="0.25">
      <c r="C3830" t="s">
        <v>64</v>
      </c>
      <c r="D3830" t="s">
        <v>120</v>
      </c>
      <c r="E3830" t="s">
        <v>60</v>
      </c>
      <c r="F3830" t="s">
        <v>25</v>
      </c>
      <c r="G3830">
        <v>12</v>
      </c>
      <c r="H3830" t="s">
        <v>14</v>
      </c>
      <c r="I3830" t="s">
        <v>121</v>
      </c>
      <c r="J3830" t="s">
        <v>122</v>
      </c>
      <c r="K3830">
        <v>0</v>
      </c>
      <c r="L3830" s="84">
        <v>-2571</v>
      </c>
      <c r="M3830" s="84">
        <v>0</v>
      </c>
    </row>
    <row r="3831" spans="3:13" hidden="1" x14ac:dyDescent="0.25">
      <c r="C3831" t="s">
        <v>65</v>
      </c>
      <c r="D3831" t="s">
        <v>120</v>
      </c>
      <c r="E3831" t="s">
        <v>63</v>
      </c>
      <c r="F3831" t="s">
        <v>24</v>
      </c>
      <c r="G3831">
        <v>8</v>
      </c>
      <c r="H3831" t="s">
        <v>69</v>
      </c>
      <c r="I3831" t="s">
        <v>121</v>
      </c>
      <c r="J3831" t="s">
        <v>122</v>
      </c>
      <c r="K3831">
        <v>0</v>
      </c>
      <c r="L3831" s="84">
        <v>510361</v>
      </c>
      <c r="M3831" s="84">
        <v>4082888</v>
      </c>
    </row>
    <row r="3832" spans="3:13" hidden="1" x14ac:dyDescent="0.25">
      <c r="C3832" t="s">
        <v>119</v>
      </c>
      <c r="D3832" t="s">
        <v>125</v>
      </c>
      <c r="E3832" t="s">
        <v>60</v>
      </c>
      <c r="F3832" t="s">
        <v>25</v>
      </c>
      <c r="G3832">
        <v>30</v>
      </c>
      <c r="I3832" t="s">
        <v>121</v>
      </c>
      <c r="J3832" t="s">
        <v>122</v>
      </c>
      <c r="K3832">
        <v>0</v>
      </c>
      <c r="L3832" s="84">
        <v>-529</v>
      </c>
      <c r="M3832" s="84">
        <v>0</v>
      </c>
    </row>
    <row r="3833" spans="3:13" hidden="1" x14ac:dyDescent="0.25">
      <c r="C3833" t="s">
        <v>119</v>
      </c>
      <c r="D3833" t="s">
        <v>125</v>
      </c>
      <c r="E3833" t="s">
        <v>63</v>
      </c>
      <c r="F3833" t="s">
        <v>25</v>
      </c>
      <c r="G3833">
        <v>7</v>
      </c>
      <c r="I3833" t="s">
        <v>121</v>
      </c>
      <c r="J3833" t="s">
        <v>122</v>
      </c>
      <c r="K3833">
        <v>0</v>
      </c>
      <c r="L3833" s="84">
        <v>10858754</v>
      </c>
      <c r="M3833" s="84">
        <v>76011278</v>
      </c>
    </row>
    <row r="3834" spans="3:13" hidden="1" x14ac:dyDescent="0.25">
      <c r="C3834" t="s">
        <v>64</v>
      </c>
      <c r="D3834" t="s">
        <v>120</v>
      </c>
      <c r="E3834" t="s">
        <v>60</v>
      </c>
      <c r="F3834" t="s">
        <v>123</v>
      </c>
      <c r="G3834">
        <v>5</v>
      </c>
      <c r="H3834" t="s">
        <v>12</v>
      </c>
      <c r="I3834" t="s">
        <v>62</v>
      </c>
      <c r="J3834" t="s">
        <v>66</v>
      </c>
      <c r="K3834">
        <v>1</v>
      </c>
      <c r="L3834" s="84">
        <v>-3032</v>
      </c>
      <c r="M3834" s="84">
        <v>0</v>
      </c>
    </row>
    <row r="3835" spans="3:13" hidden="1" x14ac:dyDescent="0.25">
      <c r="C3835" t="s">
        <v>119</v>
      </c>
      <c r="D3835" t="s">
        <v>120</v>
      </c>
      <c r="E3835" t="s">
        <v>60</v>
      </c>
      <c r="F3835" t="s">
        <v>124</v>
      </c>
      <c r="G3835">
        <v>0</v>
      </c>
      <c r="H3835" t="s">
        <v>18</v>
      </c>
      <c r="I3835" t="s">
        <v>121</v>
      </c>
      <c r="J3835" t="s">
        <v>66</v>
      </c>
      <c r="K3835">
        <v>1</v>
      </c>
      <c r="L3835" s="84">
        <v>-55728</v>
      </c>
      <c r="M3835" s="84">
        <v>0</v>
      </c>
    </row>
    <row r="3836" spans="3:13" hidden="1" x14ac:dyDescent="0.25">
      <c r="C3836" t="s">
        <v>119</v>
      </c>
      <c r="D3836" t="s">
        <v>126</v>
      </c>
      <c r="E3836" t="s">
        <v>63</v>
      </c>
      <c r="F3836" t="s">
        <v>25</v>
      </c>
      <c r="G3836">
        <v>14</v>
      </c>
      <c r="H3836" t="s">
        <v>69</v>
      </c>
      <c r="I3836" t="s">
        <v>121</v>
      </c>
      <c r="J3836" t="s">
        <v>122</v>
      </c>
      <c r="K3836">
        <v>0</v>
      </c>
      <c r="L3836" s="84">
        <v>29240436</v>
      </c>
      <c r="M3836" s="84">
        <v>409366104</v>
      </c>
    </row>
    <row r="3837" spans="3:13" hidden="1" x14ac:dyDescent="0.25">
      <c r="C3837" t="s">
        <v>119</v>
      </c>
      <c r="D3837" t="s">
        <v>120</v>
      </c>
      <c r="E3837" t="s">
        <v>60</v>
      </c>
      <c r="F3837" t="s">
        <v>123</v>
      </c>
      <c r="G3837">
        <v>-4</v>
      </c>
      <c r="H3837" t="s">
        <v>76</v>
      </c>
      <c r="I3837" t="s">
        <v>121</v>
      </c>
      <c r="J3837" t="s">
        <v>122</v>
      </c>
      <c r="K3837">
        <v>0</v>
      </c>
      <c r="L3837" s="84">
        <v>0</v>
      </c>
      <c r="M3837" s="84">
        <v>0</v>
      </c>
    </row>
    <row r="3838" spans="3:13" hidden="1" x14ac:dyDescent="0.25">
      <c r="C3838" t="s">
        <v>119</v>
      </c>
      <c r="D3838" t="s">
        <v>120</v>
      </c>
      <c r="E3838" t="s">
        <v>60</v>
      </c>
      <c r="F3838" t="s">
        <v>25</v>
      </c>
      <c r="G3838">
        <v>15</v>
      </c>
      <c r="H3838" t="s">
        <v>61</v>
      </c>
      <c r="I3838" t="s">
        <v>121</v>
      </c>
      <c r="J3838" t="s">
        <v>122</v>
      </c>
      <c r="K3838">
        <v>0</v>
      </c>
      <c r="L3838" s="84">
        <v>-499</v>
      </c>
      <c r="M3838" s="84">
        <v>0</v>
      </c>
    </row>
    <row r="3839" spans="3:13" hidden="1" x14ac:dyDescent="0.25">
      <c r="C3839" t="s">
        <v>65</v>
      </c>
      <c r="D3839" t="s">
        <v>120</v>
      </c>
      <c r="E3839" t="s">
        <v>60</v>
      </c>
      <c r="F3839" t="s">
        <v>24</v>
      </c>
      <c r="G3839">
        <v>-1</v>
      </c>
      <c r="H3839" t="s">
        <v>17</v>
      </c>
      <c r="I3839" t="s">
        <v>121</v>
      </c>
      <c r="J3839" t="s">
        <v>66</v>
      </c>
      <c r="K3839">
        <v>1</v>
      </c>
      <c r="L3839" s="84">
        <v>-1923</v>
      </c>
      <c r="M3839" s="84">
        <v>0</v>
      </c>
    </row>
    <row r="3840" spans="3:13" hidden="1" x14ac:dyDescent="0.25">
      <c r="C3840" t="s">
        <v>119</v>
      </c>
      <c r="D3840" t="s">
        <v>120</v>
      </c>
      <c r="E3840" t="s">
        <v>60</v>
      </c>
      <c r="F3840" t="s">
        <v>25</v>
      </c>
      <c r="G3840">
        <v>8</v>
      </c>
      <c r="H3840" t="s">
        <v>72</v>
      </c>
      <c r="I3840" t="s">
        <v>121</v>
      </c>
      <c r="J3840" t="s">
        <v>122</v>
      </c>
      <c r="K3840">
        <v>0</v>
      </c>
      <c r="L3840" s="84">
        <v>-2080</v>
      </c>
      <c r="M3840" s="84">
        <v>0</v>
      </c>
    </row>
    <row r="3841" spans="3:13" hidden="1" x14ac:dyDescent="0.25">
      <c r="C3841" t="s">
        <v>65</v>
      </c>
      <c r="D3841" t="s">
        <v>120</v>
      </c>
      <c r="E3841" t="s">
        <v>63</v>
      </c>
      <c r="F3841" t="s">
        <v>25</v>
      </c>
      <c r="G3841">
        <v>1</v>
      </c>
      <c r="H3841" t="s">
        <v>17</v>
      </c>
      <c r="I3841" t="s">
        <v>121</v>
      </c>
      <c r="J3841" t="s">
        <v>122</v>
      </c>
      <c r="K3841">
        <v>0</v>
      </c>
      <c r="L3841" s="84">
        <v>51933</v>
      </c>
      <c r="M3841" s="84">
        <v>51933</v>
      </c>
    </row>
    <row r="3842" spans="3:13" hidden="1" x14ac:dyDescent="0.25">
      <c r="C3842" t="s">
        <v>64</v>
      </c>
      <c r="D3842" t="s">
        <v>120</v>
      </c>
      <c r="E3842" t="s">
        <v>60</v>
      </c>
      <c r="F3842" t="s">
        <v>123</v>
      </c>
      <c r="G3842">
        <v>3</v>
      </c>
      <c r="H3842" t="s">
        <v>15</v>
      </c>
      <c r="I3842" t="s">
        <v>121</v>
      </c>
      <c r="J3842" t="s">
        <v>122</v>
      </c>
      <c r="K3842">
        <v>0</v>
      </c>
      <c r="L3842" s="84">
        <v>-4362</v>
      </c>
      <c r="M3842" s="84">
        <v>0</v>
      </c>
    </row>
    <row r="3843" spans="3:13" hidden="1" x14ac:dyDescent="0.25">
      <c r="C3843" t="s">
        <v>65</v>
      </c>
      <c r="D3843" t="s">
        <v>120</v>
      </c>
      <c r="E3843" t="s">
        <v>60</v>
      </c>
      <c r="F3843" t="s">
        <v>24</v>
      </c>
      <c r="G3843">
        <v>13</v>
      </c>
      <c r="H3843" t="s">
        <v>61</v>
      </c>
      <c r="I3843" t="s">
        <v>121</v>
      </c>
      <c r="J3843" t="s">
        <v>122</v>
      </c>
      <c r="K3843">
        <v>0</v>
      </c>
      <c r="L3843" s="84">
        <v>-53504</v>
      </c>
      <c r="M3843" s="84">
        <v>0</v>
      </c>
    </row>
    <row r="3844" spans="3:13" hidden="1" x14ac:dyDescent="0.25">
      <c r="C3844" t="s">
        <v>119</v>
      </c>
      <c r="D3844" t="s">
        <v>120</v>
      </c>
      <c r="E3844" t="s">
        <v>63</v>
      </c>
      <c r="F3844" t="s">
        <v>124</v>
      </c>
      <c r="G3844">
        <v>5</v>
      </c>
      <c r="H3844" t="s">
        <v>61</v>
      </c>
      <c r="I3844" t="s">
        <v>121</v>
      </c>
      <c r="J3844" t="s">
        <v>122</v>
      </c>
      <c r="K3844">
        <v>0</v>
      </c>
      <c r="L3844" s="84">
        <v>6076360</v>
      </c>
      <c r="M3844" s="84">
        <v>30381800</v>
      </c>
    </row>
    <row r="3845" spans="3:13" hidden="1" x14ac:dyDescent="0.25">
      <c r="C3845" t="s">
        <v>65</v>
      </c>
      <c r="D3845" t="s">
        <v>120</v>
      </c>
      <c r="E3845" t="s">
        <v>63</v>
      </c>
      <c r="F3845" t="s">
        <v>124</v>
      </c>
      <c r="G3845">
        <v>4</v>
      </c>
      <c r="H3845" t="s">
        <v>18</v>
      </c>
      <c r="I3845" t="s">
        <v>121</v>
      </c>
      <c r="J3845" t="s">
        <v>122</v>
      </c>
      <c r="K3845">
        <v>0</v>
      </c>
      <c r="L3845" s="84">
        <v>5099456</v>
      </c>
      <c r="M3845" s="84">
        <v>20397824</v>
      </c>
    </row>
    <row r="3846" spans="3:13" hidden="1" x14ac:dyDescent="0.25">
      <c r="C3846" t="s">
        <v>119</v>
      </c>
      <c r="D3846" t="s">
        <v>125</v>
      </c>
      <c r="E3846" t="s">
        <v>60</v>
      </c>
      <c r="F3846" t="s">
        <v>25</v>
      </c>
      <c r="G3846">
        <v>-1</v>
      </c>
      <c r="I3846" t="s">
        <v>121</v>
      </c>
      <c r="J3846" t="s">
        <v>122</v>
      </c>
      <c r="K3846">
        <v>0</v>
      </c>
      <c r="L3846" s="84">
        <v>-3008</v>
      </c>
      <c r="M3846" s="84">
        <v>0</v>
      </c>
    </row>
    <row r="3847" spans="3:13" x14ac:dyDescent="0.25">
      <c r="C3847" t="s">
        <v>119</v>
      </c>
      <c r="D3847" t="s">
        <v>120</v>
      </c>
      <c r="E3847" t="s">
        <v>63</v>
      </c>
      <c r="F3847" t="s">
        <v>25</v>
      </c>
      <c r="G3847">
        <v>3</v>
      </c>
      <c r="H3847" t="s">
        <v>14</v>
      </c>
      <c r="I3847" t="s">
        <v>121</v>
      </c>
      <c r="J3847" t="s">
        <v>66</v>
      </c>
      <c r="K3847">
        <v>1</v>
      </c>
      <c r="L3847" s="84">
        <v>900606</v>
      </c>
      <c r="M3847" s="84">
        <v>2701818</v>
      </c>
    </row>
    <row r="3848" spans="3:13" hidden="1" x14ac:dyDescent="0.25">
      <c r="C3848" t="s">
        <v>119</v>
      </c>
      <c r="D3848" t="s">
        <v>120</v>
      </c>
      <c r="E3848" t="s">
        <v>60</v>
      </c>
      <c r="F3848" t="s">
        <v>25</v>
      </c>
      <c r="G3848">
        <v>4</v>
      </c>
      <c r="H3848" t="s">
        <v>74</v>
      </c>
      <c r="I3848" t="s">
        <v>121</v>
      </c>
      <c r="J3848" t="s">
        <v>122</v>
      </c>
      <c r="K3848">
        <v>0</v>
      </c>
      <c r="L3848" s="84">
        <v>-411</v>
      </c>
      <c r="M3848" s="84">
        <v>0</v>
      </c>
    </row>
    <row r="3849" spans="3:13" hidden="1" x14ac:dyDescent="0.25">
      <c r="C3849" t="s">
        <v>119</v>
      </c>
      <c r="D3849" t="s">
        <v>120</v>
      </c>
      <c r="E3849" t="s">
        <v>63</v>
      </c>
      <c r="F3849" t="s">
        <v>25</v>
      </c>
      <c r="G3849">
        <v>3</v>
      </c>
      <c r="H3849" t="s">
        <v>14</v>
      </c>
      <c r="I3849" t="s">
        <v>121</v>
      </c>
      <c r="J3849" t="s">
        <v>122</v>
      </c>
      <c r="K3849">
        <v>0</v>
      </c>
      <c r="L3849" s="84">
        <v>2641115</v>
      </c>
      <c r="M3849" s="84">
        <v>7923345</v>
      </c>
    </row>
    <row r="3850" spans="3:13" hidden="1" x14ac:dyDescent="0.25">
      <c r="C3850" t="s">
        <v>64</v>
      </c>
      <c r="D3850" t="s">
        <v>120</v>
      </c>
      <c r="E3850" t="s">
        <v>63</v>
      </c>
      <c r="F3850" t="s">
        <v>25</v>
      </c>
      <c r="G3850">
        <v>0</v>
      </c>
      <c r="H3850" t="s">
        <v>67</v>
      </c>
      <c r="I3850" t="s">
        <v>121</v>
      </c>
      <c r="J3850" t="s">
        <v>122</v>
      </c>
      <c r="K3850">
        <v>0</v>
      </c>
      <c r="L3850" s="84">
        <v>276451</v>
      </c>
      <c r="M3850" s="84">
        <v>0</v>
      </c>
    </row>
    <row r="3851" spans="3:13" hidden="1" x14ac:dyDescent="0.25">
      <c r="C3851" t="s">
        <v>65</v>
      </c>
      <c r="D3851" t="s">
        <v>120</v>
      </c>
      <c r="E3851" t="s">
        <v>63</v>
      </c>
      <c r="F3851" t="s">
        <v>124</v>
      </c>
      <c r="G3851">
        <v>-1</v>
      </c>
      <c r="H3851" t="s">
        <v>75</v>
      </c>
      <c r="I3851" t="s">
        <v>121</v>
      </c>
      <c r="J3851" t="s">
        <v>122</v>
      </c>
      <c r="K3851">
        <v>0</v>
      </c>
      <c r="L3851" s="84">
        <v>3136059</v>
      </c>
      <c r="M3851" s="84">
        <v>0</v>
      </c>
    </row>
    <row r="3852" spans="3:13" hidden="1" x14ac:dyDescent="0.25">
      <c r="C3852" t="s">
        <v>65</v>
      </c>
      <c r="D3852" t="s">
        <v>120</v>
      </c>
      <c r="E3852" t="s">
        <v>60</v>
      </c>
      <c r="F3852" t="s">
        <v>124</v>
      </c>
      <c r="G3852">
        <v>3</v>
      </c>
      <c r="H3852" t="s">
        <v>17</v>
      </c>
      <c r="I3852" t="s">
        <v>62</v>
      </c>
      <c r="J3852" t="s">
        <v>66</v>
      </c>
      <c r="K3852">
        <v>1</v>
      </c>
      <c r="L3852" s="84">
        <v>-86516</v>
      </c>
      <c r="M3852" s="84">
        <v>0</v>
      </c>
    </row>
    <row r="3853" spans="3:13" hidden="1" x14ac:dyDescent="0.25">
      <c r="C3853" t="s">
        <v>119</v>
      </c>
      <c r="D3853" t="s">
        <v>120</v>
      </c>
      <c r="E3853" t="s">
        <v>63</v>
      </c>
      <c r="F3853" t="s">
        <v>124</v>
      </c>
      <c r="G3853">
        <v>4</v>
      </c>
      <c r="H3853" t="s">
        <v>67</v>
      </c>
      <c r="I3853" t="s">
        <v>121</v>
      </c>
      <c r="J3853" t="s">
        <v>122</v>
      </c>
      <c r="K3853">
        <v>0</v>
      </c>
      <c r="L3853" s="84">
        <v>77398743</v>
      </c>
      <c r="M3853" s="84">
        <v>309594972</v>
      </c>
    </row>
    <row r="3854" spans="3:13" hidden="1" x14ac:dyDescent="0.25">
      <c r="C3854" t="s">
        <v>119</v>
      </c>
      <c r="D3854" t="s">
        <v>120</v>
      </c>
      <c r="E3854" t="s">
        <v>60</v>
      </c>
      <c r="F3854" t="s">
        <v>24</v>
      </c>
      <c r="G3854">
        <v>9</v>
      </c>
      <c r="H3854" t="s">
        <v>68</v>
      </c>
      <c r="I3854" t="s">
        <v>121</v>
      </c>
      <c r="J3854" t="s">
        <v>122</v>
      </c>
      <c r="K3854">
        <v>0</v>
      </c>
      <c r="L3854" s="84">
        <v>-23444</v>
      </c>
      <c r="M3854" s="84">
        <v>0</v>
      </c>
    </row>
    <row r="3855" spans="3:13" hidden="1" x14ac:dyDescent="0.25">
      <c r="C3855" t="s">
        <v>64</v>
      </c>
      <c r="D3855" t="s">
        <v>120</v>
      </c>
      <c r="E3855" t="s">
        <v>60</v>
      </c>
      <c r="F3855" t="s">
        <v>124</v>
      </c>
      <c r="G3855">
        <v>0</v>
      </c>
      <c r="H3855" t="s">
        <v>17</v>
      </c>
      <c r="I3855" t="s">
        <v>62</v>
      </c>
      <c r="J3855" t="s">
        <v>66</v>
      </c>
      <c r="K3855">
        <v>1</v>
      </c>
      <c r="L3855" s="84">
        <v>-1660</v>
      </c>
      <c r="M3855" s="84">
        <v>0</v>
      </c>
    </row>
    <row r="3856" spans="3:13" hidden="1" x14ac:dyDescent="0.25">
      <c r="C3856" t="s">
        <v>64</v>
      </c>
      <c r="D3856" t="s">
        <v>120</v>
      </c>
      <c r="E3856" t="s">
        <v>63</v>
      </c>
      <c r="F3856" t="s">
        <v>124</v>
      </c>
      <c r="G3856">
        <v>1</v>
      </c>
      <c r="H3856" t="s">
        <v>71</v>
      </c>
      <c r="I3856" t="s">
        <v>121</v>
      </c>
      <c r="J3856" t="s">
        <v>122</v>
      </c>
      <c r="K3856">
        <v>0</v>
      </c>
      <c r="L3856" s="84">
        <v>1225297</v>
      </c>
      <c r="M3856" s="84">
        <v>1225297</v>
      </c>
    </row>
    <row r="3857" spans="3:13" hidden="1" x14ac:dyDescent="0.25">
      <c r="C3857" t="s">
        <v>64</v>
      </c>
      <c r="D3857" t="s">
        <v>125</v>
      </c>
      <c r="E3857" t="s">
        <v>60</v>
      </c>
      <c r="F3857" t="s">
        <v>24</v>
      </c>
      <c r="G3857">
        <v>20</v>
      </c>
      <c r="I3857" t="s">
        <v>121</v>
      </c>
      <c r="J3857" t="s">
        <v>122</v>
      </c>
      <c r="K3857">
        <v>0</v>
      </c>
      <c r="L3857" s="84">
        <v>-1128458</v>
      </c>
      <c r="M3857" s="84">
        <v>0</v>
      </c>
    </row>
    <row r="3858" spans="3:13" hidden="1" x14ac:dyDescent="0.25">
      <c r="C3858" t="s">
        <v>119</v>
      </c>
      <c r="D3858" t="s">
        <v>120</v>
      </c>
      <c r="E3858" t="s">
        <v>60</v>
      </c>
      <c r="F3858" t="s">
        <v>123</v>
      </c>
      <c r="G3858">
        <v>5</v>
      </c>
      <c r="H3858" t="s">
        <v>12</v>
      </c>
      <c r="I3858" t="s">
        <v>62</v>
      </c>
      <c r="J3858" t="s">
        <v>66</v>
      </c>
      <c r="K3858">
        <v>1</v>
      </c>
      <c r="L3858" s="84">
        <v>-780</v>
      </c>
      <c r="M3858" s="84">
        <v>0</v>
      </c>
    </row>
    <row r="3859" spans="3:13" hidden="1" x14ac:dyDescent="0.25">
      <c r="C3859" t="s">
        <v>64</v>
      </c>
      <c r="D3859" t="s">
        <v>120</v>
      </c>
      <c r="E3859" t="s">
        <v>63</v>
      </c>
      <c r="F3859" t="s">
        <v>124</v>
      </c>
      <c r="G3859">
        <v>0</v>
      </c>
      <c r="H3859" t="s">
        <v>17</v>
      </c>
      <c r="I3859" t="s">
        <v>121</v>
      </c>
      <c r="J3859" t="s">
        <v>66</v>
      </c>
      <c r="K3859">
        <v>1</v>
      </c>
      <c r="L3859" s="84">
        <v>36481</v>
      </c>
      <c r="M3859" s="84">
        <v>0</v>
      </c>
    </row>
    <row r="3860" spans="3:13" hidden="1" x14ac:dyDescent="0.25">
      <c r="C3860" t="s">
        <v>119</v>
      </c>
      <c r="D3860" t="s">
        <v>120</v>
      </c>
      <c r="E3860" t="s">
        <v>60</v>
      </c>
      <c r="F3860" t="s">
        <v>24</v>
      </c>
      <c r="G3860">
        <v>3</v>
      </c>
      <c r="H3860" t="s">
        <v>17</v>
      </c>
      <c r="I3860" t="s">
        <v>121</v>
      </c>
      <c r="J3860" t="s">
        <v>122</v>
      </c>
      <c r="K3860">
        <v>0</v>
      </c>
      <c r="L3860" s="84">
        <v>-6370</v>
      </c>
      <c r="M3860" s="84">
        <v>0</v>
      </c>
    </row>
    <row r="3861" spans="3:13" hidden="1" x14ac:dyDescent="0.25">
      <c r="C3861" t="s">
        <v>119</v>
      </c>
      <c r="D3861" t="s">
        <v>120</v>
      </c>
      <c r="E3861" t="s">
        <v>63</v>
      </c>
      <c r="F3861" t="s">
        <v>124</v>
      </c>
      <c r="G3861">
        <v>-1</v>
      </c>
      <c r="H3861" t="s">
        <v>13</v>
      </c>
      <c r="I3861" t="s">
        <v>121</v>
      </c>
      <c r="J3861" t="s">
        <v>122</v>
      </c>
      <c r="K3861">
        <v>0</v>
      </c>
      <c r="L3861" s="84">
        <v>1465765</v>
      </c>
      <c r="M3861" s="84">
        <v>0</v>
      </c>
    </row>
    <row r="3862" spans="3:13" hidden="1" x14ac:dyDescent="0.25">
      <c r="C3862" t="s">
        <v>119</v>
      </c>
      <c r="D3862" t="s">
        <v>120</v>
      </c>
      <c r="E3862" t="s">
        <v>60</v>
      </c>
      <c r="F3862" t="s">
        <v>124</v>
      </c>
      <c r="G3862">
        <v>5</v>
      </c>
      <c r="H3862" t="s">
        <v>17</v>
      </c>
      <c r="I3862" t="s">
        <v>121</v>
      </c>
      <c r="J3862" t="s">
        <v>122</v>
      </c>
      <c r="K3862">
        <v>0</v>
      </c>
      <c r="L3862" s="84">
        <v>-70956</v>
      </c>
      <c r="M3862" s="84">
        <v>0</v>
      </c>
    </row>
    <row r="3863" spans="3:13" hidden="1" x14ac:dyDescent="0.25">
      <c r="C3863" t="s">
        <v>119</v>
      </c>
      <c r="D3863" t="s">
        <v>120</v>
      </c>
      <c r="E3863" t="s">
        <v>63</v>
      </c>
      <c r="F3863" t="s">
        <v>24</v>
      </c>
      <c r="G3863">
        <v>2</v>
      </c>
      <c r="H3863" t="s">
        <v>67</v>
      </c>
      <c r="I3863" t="s">
        <v>121</v>
      </c>
      <c r="J3863" t="s">
        <v>122</v>
      </c>
      <c r="K3863">
        <v>0</v>
      </c>
      <c r="L3863" s="84">
        <v>875559</v>
      </c>
      <c r="M3863" s="84">
        <v>1751118</v>
      </c>
    </row>
    <row r="3864" spans="3:13" hidden="1" x14ac:dyDescent="0.25">
      <c r="C3864" t="s">
        <v>119</v>
      </c>
      <c r="D3864" t="s">
        <v>120</v>
      </c>
      <c r="E3864" t="s">
        <v>63</v>
      </c>
      <c r="F3864" t="s">
        <v>123</v>
      </c>
      <c r="G3864">
        <v>4</v>
      </c>
      <c r="H3864" t="s">
        <v>12</v>
      </c>
      <c r="I3864" t="s">
        <v>121</v>
      </c>
      <c r="J3864" t="s">
        <v>66</v>
      </c>
      <c r="K3864">
        <v>1</v>
      </c>
      <c r="L3864" s="84">
        <v>2056033</v>
      </c>
      <c r="M3864" s="84">
        <v>8224132</v>
      </c>
    </row>
    <row r="3865" spans="3:13" hidden="1" x14ac:dyDescent="0.25">
      <c r="C3865" t="s">
        <v>119</v>
      </c>
      <c r="D3865" t="s">
        <v>125</v>
      </c>
      <c r="E3865" t="s">
        <v>60</v>
      </c>
      <c r="F3865" t="s">
        <v>24</v>
      </c>
      <c r="G3865">
        <v>28</v>
      </c>
      <c r="I3865" t="s">
        <v>121</v>
      </c>
      <c r="J3865" t="s">
        <v>122</v>
      </c>
      <c r="K3865">
        <v>0</v>
      </c>
      <c r="L3865" s="84">
        <v>-429492</v>
      </c>
      <c r="M3865" s="84">
        <v>0</v>
      </c>
    </row>
    <row r="3866" spans="3:13" hidden="1" x14ac:dyDescent="0.25">
      <c r="C3866" t="s">
        <v>119</v>
      </c>
      <c r="D3866" t="s">
        <v>120</v>
      </c>
      <c r="E3866" t="s">
        <v>60</v>
      </c>
      <c r="F3866" t="s">
        <v>123</v>
      </c>
      <c r="G3866">
        <v>-1</v>
      </c>
      <c r="H3866" t="s">
        <v>17</v>
      </c>
      <c r="I3866" t="s">
        <v>121</v>
      </c>
      <c r="J3866" t="s">
        <v>66</v>
      </c>
      <c r="K3866">
        <v>1</v>
      </c>
      <c r="L3866" s="84">
        <v>-39</v>
      </c>
      <c r="M3866" s="84">
        <v>0</v>
      </c>
    </row>
    <row r="3867" spans="3:13" hidden="1" x14ac:dyDescent="0.25">
      <c r="C3867" t="s">
        <v>64</v>
      </c>
      <c r="D3867" t="s">
        <v>120</v>
      </c>
      <c r="E3867" t="s">
        <v>63</v>
      </c>
      <c r="F3867" t="s">
        <v>123</v>
      </c>
      <c r="G3867">
        <v>4</v>
      </c>
      <c r="H3867" t="s">
        <v>75</v>
      </c>
      <c r="I3867" t="s">
        <v>121</v>
      </c>
      <c r="J3867" t="s">
        <v>122</v>
      </c>
      <c r="K3867">
        <v>0</v>
      </c>
      <c r="L3867" s="84">
        <v>3106333</v>
      </c>
      <c r="M3867" s="84">
        <v>12425332</v>
      </c>
    </row>
    <row r="3868" spans="3:13" hidden="1" x14ac:dyDescent="0.25">
      <c r="C3868" t="s">
        <v>65</v>
      </c>
      <c r="D3868" t="s">
        <v>120</v>
      </c>
      <c r="E3868" t="s">
        <v>63</v>
      </c>
      <c r="F3868" t="s">
        <v>124</v>
      </c>
      <c r="G3868">
        <v>-4</v>
      </c>
      <c r="H3868" t="s">
        <v>17</v>
      </c>
      <c r="I3868" t="s">
        <v>121</v>
      </c>
      <c r="J3868" t="s">
        <v>66</v>
      </c>
      <c r="K3868">
        <v>1</v>
      </c>
      <c r="L3868" s="84">
        <v>330750</v>
      </c>
      <c r="M3868" s="84">
        <v>0</v>
      </c>
    </row>
    <row r="3869" spans="3:13" hidden="1" x14ac:dyDescent="0.25">
      <c r="C3869" t="s">
        <v>64</v>
      </c>
      <c r="D3869" t="s">
        <v>120</v>
      </c>
      <c r="E3869" t="s">
        <v>60</v>
      </c>
      <c r="F3869" t="s">
        <v>25</v>
      </c>
      <c r="G3869">
        <v>8</v>
      </c>
      <c r="H3869" t="s">
        <v>61</v>
      </c>
      <c r="I3869" t="s">
        <v>121</v>
      </c>
      <c r="J3869" t="s">
        <v>122</v>
      </c>
      <c r="K3869">
        <v>0</v>
      </c>
      <c r="L3869" s="84">
        <v>-2276</v>
      </c>
      <c r="M3869" s="84">
        <v>0</v>
      </c>
    </row>
    <row r="3870" spans="3:13" hidden="1" x14ac:dyDescent="0.25">
      <c r="C3870" t="s">
        <v>64</v>
      </c>
      <c r="D3870" t="s">
        <v>125</v>
      </c>
      <c r="E3870" t="s">
        <v>60</v>
      </c>
      <c r="F3870" t="s">
        <v>24</v>
      </c>
      <c r="G3870">
        <v>0</v>
      </c>
      <c r="I3870" t="s">
        <v>121</v>
      </c>
      <c r="J3870" t="s">
        <v>122</v>
      </c>
      <c r="K3870">
        <v>0</v>
      </c>
      <c r="L3870" s="84">
        <v>-1540</v>
      </c>
      <c r="M3870" s="84">
        <v>0</v>
      </c>
    </row>
    <row r="3871" spans="3:13" hidden="1" x14ac:dyDescent="0.25">
      <c r="C3871" t="s">
        <v>119</v>
      </c>
      <c r="D3871" t="s">
        <v>120</v>
      </c>
      <c r="E3871" t="s">
        <v>63</v>
      </c>
      <c r="F3871" t="s">
        <v>123</v>
      </c>
      <c r="G3871">
        <v>3</v>
      </c>
      <c r="H3871" t="s">
        <v>67</v>
      </c>
      <c r="I3871" t="s">
        <v>121</v>
      </c>
      <c r="J3871" t="s">
        <v>122</v>
      </c>
      <c r="K3871">
        <v>0</v>
      </c>
      <c r="L3871" s="84">
        <v>4971557</v>
      </c>
      <c r="M3871" s="84">
        <v>14914671</v>
      </c>
    </row>
    <row r="3872" spans="3:13" hidden="1" x14ac:dyDescent="0.25">
      <c r="C3872" t="s">
        <v>119</v>
      </c>
      <c r="D3872" t="s">
        <v>120</v>
      </c>
      <c r="E3872" t="s">
        <v>63</v>
      </c>
      <c r="F3872" t="s">
        <v>124</v>
      </c>
      <c r="G3872">
        <v>0</v>
      </c>
      <c r="H3872" t="s">
        <v>78</v>
      </c>
      <c r="I3872" t="s">
        <v>121</v>
      </c>
      <c r="J3872" t="s">
        <v>122</v>
      </c>
      <c r="K3872">
        <v>0</v>
      </c>
      <c r="L3872" s="84">
        <v>36671359</v>
      </c>
      <c r="M3872" s="84">
        <v>0</v>
      </c>
    </row>
    <row r="3873" spans="3:13" hidden="1" x14ac:dyDescent="0.25">
      <c r="C3873" t="s">
        <v>119</v>
      </c>
      <c r="D3873" t="s">
        <v>120</v>
      </c>
      <c r="E3873" t="s">
        <v>63</v>
      </c>
      <c r="F3873" t="s">
        <v>24</v>
      </c>
      <c r="G3873">
        <v>5</v>
      </c>
      <c r="H3873" t="s">
        <v>72</v>
      </c>
      <c r="I3873" t="s">
        <v>121</v>
      </c>
      <c r="J3873" t="s">
        <v>122</v>
      </c>
      <c r="K3873">
        <v>0</v>
      </c>
      <c r="L3873" s="84">
        <v>831582</v>
      </c>
      <c r="M3873" s="84">
        <v>4157910</v>
      </c>
    </row>
    <row r="3874" spans="3:13" hidden="1" x14ac:dyDescent="0.25">
      <c r="C3874" t="s">
        <v>119</v>
      </c>
      <c r="D3874" t="s">
        <v>125</v>
      </c>
      <c r="E3874" t="s">
        <v>60</v>
      </c>
      <c r="F3874" t="s">
        <v>25</v>
      </c>
      <c r="G3874">
        <v>10</v>
      </c>
      <c r="I3874" t="s">
        <v>121</v>
      </c>
      <c r="J3874" t="s">
        <v>122</v>
      </c>
      <c r="K3874">
        <v>0</v>
      </c>
      <c r="L3874" s="84">
        <v>-8209</v>
      </c>
      <c r="M3874" s="84">
        <v>0</v>
      </c>
    </row>
    <row r="3875" spans="3:13" hidden="1" x14ac:dyDescent="0.25">
      <c r="C3875" t="s">
        <v>65</v>
      </c>
      <c r="D3875" t="s">
        <v>120</v>
      </c>
      <c r="E3875" t="s">
        <v>63</v>
      </c>
      <c r="F3875" t="s">
        <v>124</v>
      </c>
      <c r="G3875">
        <v>-1</v>
      </c>
      <c r="H3875" t="s">
        <v>12</v>
      </c>
      <c r="I3875" t="s">
        <v>62</v>
      </c>
      <c r="J3875" t="s">
        <v>66</v>
      </c>
      <c r="K3875">
        <v>1</v>
      </c>
      <c r="L3875" s="84">
        <v>187253</v>
      </c>
      <c r="M3875" s="84">
        <v>0</v>
      </c>
    </row>
    <row r="3876" spans="3:13" hidden="1" x14ac:dyDescent="0.25">
      <c r="C3876" t="s">
        <v>119</v>
      </c>
      <c r="D3876" t="s">
        <v>120</v>
      </c>
      <c r="E3876" t="s">
        <v>60</v>
      </c>
      <c r="F3876" t="s">
        <v>25</v>
      </c>
      <c r="G3876">
        <v>20</v>
      </c>
      <c r="H3876" t="s">
        <v>18</v>
      </c>
      <c r="I3876" t="s">
        <v>121</v>
      </c>
      <c r="J3876" t="s">
        <v>122</v>
      </c>
      <c r="K3876">
        <v>0</v>
      </c>
      <c r="L3876" s="84">
        <v>-3059</v>
      </c>
      <c r="M3876" s="84">
        <v>0</v>
      </c>
    </row>
    <row r="3877" spans="3:13" hidden="1" x14ac:dyDescent="0.25">
      <c r="C3877" t="s">
        <v>64</v>
      </c>
      <c r="D3877" t="s">
        <v>120</v>
      </c>
      <c r="E3877" t="s">
        <v>60</v>
      </c>
      <c r="F3877" t="s">
        <v>123</v>
      </c>
      <c r="G3877">
        <v>0</v>
      </c>
      <c r="H3877" t="s">
        <v>75</v>
      </c>
      <c r="I3877" t="s">
        <v>121</v>
      </c>
      <c r="J3877" t="s">
        <v>122</v>
      </c>
      <c r="K3877">
        <v>0</v>
      </c>
      <c r="L3877" s="84">
        <v>-7657</v>
      </c>
      <c r="M3877" s="84">
        <v>0</v>
      </c>
    </row>
    <row r="3878" spans="3:13" hidden="1" x14ac:dyDescent="0.25">
      <c r="C3878" t="s">
        <v>65</v>
      </c>
      <c r="D3878" t="s">
        <v>120</v>
      </c>
      <c r="E3878" t="s">
        <v>63</v>
      </c>
      <c r="F3878" t="s">
        <v>124</v>
      </c>
      <c r="G3878">
        <v>9</v>
      </c>
      <c r="H3878" t="s">
        <v>17</v>
      </c>
      <c r="I3878" t="s">
        <v>121</v>
      </c>
      <c r="J3878" t="s">
        <v>122</v>
      </c>
      <c r="K3878">
        <v>0</v>
      </c>
      <c r="L3878" s="84">
        <v>1280684</v>
      </c>
      <c r="M3878" s="84">
        <v>11526156</v>
      </c>
    </row>
    <row r="3879" spans="3:13" hidden="1" x14ac:dyDescent="0.25">
      <c r="C3879" t="s">
        <v>64</v>
      </c>
      <c r="D3879" t="s">
        <v>120</v>
      </c>
      <c r="E3879" t="s">
        <v>60</v>
      </c>
      <c r="F3879" t="s">
        <v>124</v>
      </c>
      <c r="G3879">
        <v>-1</v>
      </c>
      <c r="H3879" t="s">
        <v>68</v>
      </c>
      <c r="I3879" t="s">
        <v>121</v>
      </c>
      <c r="J3879" t="s">
        <v>122</v>
      </c>
      <c r="K3879">
        <v>0</v>
      </c>
      <c r="L3879" s="84">
        <v>-388394</v>
      </c>
      <c r="M3879" s="84">
        <v>0</v>
      </c>
    </row>
    <row r="3880" spans="3:13" hidden="1" x14ac:dyDescent="0.25">
      <c r="C3880" t="s">
        <v>119</v>
      </c>
      <c r="D3880" t="s">
        <v>120</v>
      </c>
      <c r="E3880" t="s">
        <v>60</v>
      </c>
      <c r="F3880" t="s">
        <v>25</v>
      </c>
      <c r="G3880">
        <v>11</v>
      </c>
      <c r="H3880" t="s">
        <v>14</v>
      </c>
      <c r="I3880" t="s">
        <v>121</v>
      </c>
      <c r="J3880" t="s">
        <v>122</v>
      </c>
      <c r="K3880">
        <v>0</v>
      </c>
      <c r="L3880" s="84">
        <v>-15103</v>
      </c>
      <c r="M3880" s="84">
        <v>0</v>
      </c>
    </row>
    <row r="3881" spans="3:13" hidden="1" x14ac:dyDescent="0.25">
      <c r="C3881" t="s">
        <v>119</v>
      </c>
      <c r="D3881" t="s">
        <v>120</v>
      </c>
      <c r="E3881" t="s">
        <v>63</v>
      </c>
      <c r="F3881" t="s">
        <v>124</v>
      </c>
      <c r="G3881">
        <v>1</v>
      </c>
      <c r="H3881" t="s">
        <v>15</v>
      </c>
      <c r="I3881" t="s">
        <v>62</v>
      </c>
      <c r="J3881" t="s">
        <v>122</v>
      </c>
      <c r="K3881">
        <v>1</v>
      </c>
      <c r="L3881" s="84">
        <v>47032</v>
      </c>
      <c r="M3881" s="84">
        <v>47032</v>
      </c>
    </row>
    <row r="3882" spans="3:13" hidden="1" x14ac:dyDescent="0.25">
      <c r="C3882" t="s">
        <v>65</v>
      </c>
      <c r="D3882" t="s">
        <v>120</v>
      </c>
      <c r="E3882" t="s">
        <v>60</v>
      </c>
      <c r="F3882" t="s">
        <v>123</v>
      </c>
      <c r="G3882">
        <v>-1</v>
      </c>
      <c r="H3882" t="s">
        <v>17</v>
      </c>
      <c r="I3882" t="s">
        <v>121</v>
      </c>
      <c r="J3882" t="s">
        <v>122</v>
      </c>
      <c r="K3882">
        <v>0</v>
      </c>
      <c r="L3882" s="84">
        <v>-1502</v>
      </c>
      <c r="M3882" s="84">
        <v>0</v>
      </c>
    </row>
    <row r="3883" spans="3:13" hidden="1" x14ac:dyDescent="0.25">
      <c r="C3883" t="s">
        <v>64</v>
      </c>
      <c r="D3883" t="s">
        <v>120</v>
      </c>
      <c r="E3883" t="s">
        <v>60</v>
      </c>
      <c r="F3883" t="s">
        <v>124</v>
      </c>
      <c r="G3883">
        <v>7</v>
      </c>
      <c r="H3883" t="s">
        <v>14</v>
      </c>
      <c r="I3883" t="s">
        <v>121</v>
      </c>
      <c r="J3883" t="s">
        <v>122</v>
      </c>
      <c r="K3883">
        <v>0</v>
      </c>
      <c r="L3883" s="84">
        <v>-67509</v>
      </c>
      <c r="M3883" s="84">
        <v>0</v>
      </c>
    </row>
    <row r="3884" spans="3:13" hidden="1" x14ac:dyDescent="0.25">
      <c r="C3884" t="s">
        <v>119</v>
      </c>
      <c r="D3884" t="s">
        <v>120</v>
      </c>
      <c r="E3884" t="s">
        <v>60</v>
      </c>
      <c r="F3884" t="s">
        <v>24</v>
      </c>
      <c r="G3884">
        <v>17</v>
      </c>
      <c r="H3884" t="s">
        <v>68</v>
      </c>
      <c r="I3884" t="s">
        <v>121</v>
      </c>
      <c r="J3884" t="s">
        <v>122</v>
      </c>
      <c r="K3884">
        <v>0</v>
      </c>
      <c r="L3884" s="84">
        <v>-2332</v>
      </c>
      <c r="M3884" s="84">
        <v>0</v>
      </c>
    </row>
    <row r="3885" spans="3:13" hidden="1" x14ac:dyDescent="0.25">
      <c r="C3885" t="s">
        <v>119</v>
      </c>
      <c r="D3885" t="s">
        <v>125</v>
      </c>
      <c r="E3885" t="s">
        <v>60</v>
      </c>
      <c r="F3885" t="s">
        <v>24</v>
      </c>
      <c r="G3885">
        <v>30</v>
      </c>
      <c r="I3885" t="s">
        <v>121</v>
      </c>
      <c r="J3885" t="s">
        <v>122</v>
      </c>
      <c r="K3885">
        <v>0</v>
      </c>
      <c r="L3885" s="84">
        <v>-364125</v>
      </c>
      <c r="M3885" s="84">
        <v>0</v>
      </c>
    </row>
    <row r="3886" spans="3:13" hidden="1" x14ac:dyDescent="0.25">
      <c r="C3886" t="s">
        <v>119</v>
      </c>
      <c r="D3886" t="s">
        <v>125</v>
      </c>
      <c r="E3886" t="s">
        <v>63</v>
      </c>
      <c r="F3886" t="s">
        <v>24</v>
      </c>
      <c r="G3886">
        <v>37</v>
      </c>
      <c r="I3886" t="s">
        <v>121</v>
      </c>
      <c r="J3886" t="s">
        <v>122</v>
      </c>
      <c r="K3886">
        <v>0</v>
      </c>
      <c r="L3886" s="84">
        <v>1254723623</v>
      </c>
      <c r="M3886" s="84">
        <v>46424774051</v>
      </c>
    </row>
    <row r="3887" spans="3:13" hidden="1" x14ac:dyDescent="0.25">
      <c r="C3887" t="s">
        <v>119</v>
      </c>
      <c r="D3887" t="s">
        <v>120</v>
      </c>
      <c r="E3887" t="s">
        <v>60</v>
      </c>
      <c r="F3887" t="s">
        <v>123</v>
      </c>
      <c r="G3887">
        <v>2</v>
      </c>
      <c r="H3887" t="s">
        <v>13</v>
      </c>
      <c r="I3887" t="s">
        <v>121</v>
      </c>
      <c r="J3887" t="s">
        <v>122</v>
      </c>
      <c r="K3887">
        <v>0</v>
      </c>
      <c r="L3887" s="84">
        <v>-2672</v>
      </c>
      <c r="M3887" s="84">
        <v>0</v>
      </c>
    </row>
    <row r="3888" spans="3:13" hidden="1" x14ac:dyDescent="0.25">
      <c r="C3888" t="s">
        <v>119</v>
      </c>
      <c r="D3888" t="s">
        <v>120</v>
      </c>
      <c r="E3888" t="s">
        <v>60</v>
      </c>
      <c r="F3888" t="s">
        <v>24</v>
      </c>
      <c r="G3888">
        <v>9</v>
      </c>
      <c r="H3888" t="s">
        <v>76</v>
      </c>
      <c r="I3888" t="s">
        <v>121</v>
      </c>
      <c r="J3888" t="s">
        <v>122</v>
      </c>
      <c r="K3888">
        <v>0</v>
      </c>
      <c r="L3888" s="84">
        <v>-464</v>
      </c>
      <c r="M3888" s="84">
        <v>0</v>
      </c>
    </row>
    <row r="3889" spans="3:13" hidden="1" x14ac:dyDescent="0.25">
      <c r="C3889" t="s">
        <v>65</v>
      </c>
      <c r="D3889" t="s">
        <v>120</v>
      </c>
      <c r="E3889" t="s">
        <v>63</v>
      </c>
      <c r="F3889" t="s">
        <v>123</v>
      </c>
      <c r="G3889">
        <v>-4</v>
      </c>
      <c r="H3889" t="s">
        <v>71</v>
      </c>
      <c r="I3889" t="s">
        <v>121</v>
      </c>
      <c r="J3889" t="s">
        <v>122</v>
      </c>
      <c r="K3889">
        <v>0</v>
      </c>
      <c r="L3889" s="84">
        <v>8719</v>
      </c>
      <c r="M3889" s="84">
        <v>0</v>
      </c>
    </row>
    <row r="3890" spans="3:13" hidden="1" x14ac:dyDescent="0.25">
      <c r="C3890" t="s">
        <v>119</v>
      </c>
      <c r="D3890" t="s">
        <v>120</v>
      </c>
      <c r="E3890" t="s">
        <v>63</v>
      </c>
      <c r="F3890" t="s">
        <v>124</v>
      </c>
      <c r="G3890">
        <v>4</v>
      </c>
      <c r="H3890" t="s">
        <v>73</v>
      </c>
      <c r="I3890" t="s">
        <v>121</v>
      </c>
      <c r="J3890" t="s">
        <v>122</v>
      </c>
      <c r="K3890">
        <v>0</v>
      </c>
      <c r="L3890" s="84">
        <v>2067707</v>
      </c>
      <c r="M3890" s="84">
        <v>8270828</v>
      </c>
    </row>
    <row r="3891" spans="3:13" hidden="1" x14ac:dyDescent="0.25">
      <c r="C3891" t="s">
        <v>64</v>
      </c>
      <c r="D3891" t="s">
        <v>120</v>
      </c>
      <c r="E3891" t="s">
        <v>63</v>
      </c>
      <c r="F3891" t="s">
        <v>24</v>
      </c>
      <c r="G3891">
        <v>5</v>
      </c>
      <c r="H3891" t="s">
        <v>69</v>
      </c>
      <c r="I3891" t="s">
        <v>121</v>
      </c>
      <c r="J3891" t="s">
        <v>122</v>
      </c>
      <c r="K3891">
        <v>0</v>
      </c>
      <c r="L3891" s="84">
        <v>300572</v>
      </c>
      <c r="M3891" s="84">
        <v>1502860</v>
      </c>
    </row>
    <row r="3892" spans="3:13" hidden="1" x14ac:dyDescent="0.25">
      <c r="C3892" t="s">
        <v>119</v>
      </c>
      <c r="D3892" t="s">
        <v>125</v>
      </c>
      <c r="E3892" t="s">
        <v>63</v>
      </c>
      <c r="F3892" t="s">
        <v>25</v>
      </c>
      <c r="G3892">
        <v>-1</v>
      </c>
      <c r="I3892" t="s">
        <v>121</v>
      </c>
      <c r="J3892" t="s">
        <v>122</v>
      </c>
      <c r="K3892">
        <v>0</v>
      </c>
      <c r="L3892" s="84">
        <v>8159414</v>
      </c>
      <c r="M3892" s="84">
        <v>0</v>
      </c>
    </row>
    <row r="3893" spans="3:13" hidden="1" x14ac:dyDescent="0.25">
      <c r="C3893" t="s">
        <v>65</v>
      </c>
      <c r="D3893" t="s">
        <v>120</v>
      </c>
      <c r="E3893" t="s">
        <v>60</v>
      </c>
      <c r="F3893" t="s">
        <v>123</v>
      </c>
      <c r="G3893">
        <v>1</v>
      </c>
      <c r="H3893" t="s">
        <v>61</v>
      </c>
      <c r="I3893" t="s">
        <v>121</v>
      </c>
      <c r="J3893" t="s">
        <v>122</v>
      </c>
      <c r="K3893">
        <v>0</v>
      </c>
      <c r="L3893" s="84">
        <v>-15669</v>
      </c>
      <c r="M3893" s="84">
        <v>0</v>
      </c>
    </row>
    <row r="3894" spans="3:13" hidden="1" x14ac:dyDescent="0.25">
      <c r="C3894" t="s">
        <v>64</v>
      </c>
      <c r="D3894" t="s">
        <v>120</v>
      </c>
      <c r="E3894" t="s">
        <v>63</v>
      </c>
      <c r="F3894" t="s">
        <v>124</v>
      </c>
      <c r="G3894">
        <v>1</v>
      </c>
      <c r="H3894" t="s">
        <v>61</v>
      </c>
      <c r="I3894" t="s">
        <v>121</v>
      </c>
      <c r="J3894" t="s">
        <v>122</v>
      </c>
      <c r="K3894">
        <v>0</v>
      </c>
      <c r="L3894" s="84">
        <v>2884342</v>
      </c>
      <c r="M3894" s="84">
        <v>2884342</v>
      </c>
    </row>
    <row r="3895" spans="3:13" hidden="1" x14ac:dyDescent="0.25">
      <c r="C3895" t="s">
        <v>65</v>
      </c>
      <c r="D3895" t="s">
        <v>120</v>
      </c>
      <c r="E3895" t="s">
        <v>63</v>
      </c>
      <c r="F3895" t="s">
        <v>124</v>
      </c>
      <c r="G3895">
        <v>8</v>
      </c>
      <c r="H3895" t="s">
        <v>13</v>
      </c>
      <c r="I3895" t="s">
        <v>121</v>
      </c>
      <c r="J3895" t="s">
        <v>122</v>
      </c>
      <c r="K3895">
        <v>0</v>
      </c>
      <c r="L3895" s="84">
        <v>169153</v>
      </c>
      <c r="M3895" s="84">
        <v>1353224</v>
      </c>
    </row>
    <row r="3896" spans="3:13" hidden="1" x14ac:dyDescent="0.25">
      <c r="C3896" t="s">
        <v>119</v>
      </c>
      <c r="D3896" t="s">
        <v>120</v>
      </c>
      <c r="E3896" t="s">
        <v>60</v>
      </c>
      <c r="F3896" t="s">
        <v>25</v>
      </c>
      <c r="G3896">
        <v>6</v>
      </c>
      <c r="H3896" t="s">
        <v>17</v>
      </c>
      <c r="I3896" t="s">
        <v>121</v>
      </c>
      <c r="J3896" t="s">
        <v>122</v>
      </c>
      <c r="K3896">
        <v>0</v>
      </c>
      <c r="L3896" s="84">
        <v>-1775</v>
      </c>
      <c r="M3896" s="84">
        <v>0</v>
      </c>
    </row>
    <row r="3897" spans="3:13" hidden="1" x14ac:dyDescent="0.25">
      <c r="C3897" t="s">
        <v>119</v>
      </c>
      <c r="D3897" t="s">
        <v>120</v>
      </c>
      <c r="E3897" t="s">
        <v>60</v>
      </c>
      <c r="F3897" t="s">
        <v>123</v>
      </c>
      <c r="G3897">
        <v>0</v>
      </c>
      <c r="H3897" t="s">
        <v>14</v>
      </c>
      <c r="I3897" t="s">
        <v>62</v>
      </c>
      <c r="J3897" t="s">
        <v>66</v>
      </c>
      <c r="K3897">
        <v>1</v>
      </c>
      <c r="L3897" s="84">
        <v>-47</v>
      </c>
      <c r="M3897" s="84">
        <v>0</v>
      </c>
    </row>
    <row r="3898" spans="3:13" hidden="1" x14ac:dyDescent="0.25">
      <c r="C3898" t="s">
        <v>119</v>
      </c>
      <c r="D3898" t="s">
        <v>120</v>
      </c>
      <c r="E3898" t="s">
        <v>60</v>
      </c>
      <c r="F3898" t="s">
        <v>25</v>
      </c>
      <c r="G3898">
        <v>4</v>
      </c>
      <c r="H3898" t="s">
        <v>17</v>
      </c>
      <c r="I3898" t="s">
        <v>121</v>
      </c>
      <c r="J3898" t="s">
        <v>66</v>
      </c>
      <c r="K3898">
        <v>1</v>
      </c>
      <c r="L3898" s="84">
        <v>-294</v>
      </c>
      <c r="M3898" s="84">
        <v>0</v>
      </c>
    </row>
    <row r="3899" spans="3:13" hidden="1" x14ac:dyDescent="0.25">
      <c r="C3899" t="s">
        <v>64</v>
      </c>
      <c r="D3899" t="s">
        <v>120</v>
      </c>
      <c r="E3899" t="s">
        <v>60</v>
      </c>
      <c r="F3899" t="s">
        <v>25</v>
      </c>
      <c r="G3899">
        <v>4</v>
      </c>
      <c r="H3899" t="s">
        <v>18</v>
      </c>
      <c r="I3899" t="s">
        <v>121</v>
      </c>
      <c r="J3899" t="s">
        <v>66</v>
      </c>
      <c r="K3899">
        <v>1</v>
      </c>
      <c r="L3899" s="84">
        <v>-5025</v>
      </c>
      <c r="M3899" s="84">
        <v>0</v>
      </c>
    </row>
    <row r="3900" spans="3:13" hidden="1" x14ac:dyDescent="0.25">
      <c r="C3900" t="s">
        <v>64</v>
      </c>
      <c r="D3900" t="s">
        <v>120</v>
      </c>
      <c r="E3900" t="s">
        <v>63</v>
      </c>
      <c r="F3900" t="s">
        <v>124</v>
      </c>
      <c r="G3900">
        <v>-4</v>
      </c>
      <c r="H3900" t="s">
        <v>12</v>
      </c>
      <c r="I3900" t="s">
        <v>121</v>
      </c>
      <c r="J3900" t="s">
        <v>122</v>
      </c>
      <c r="K3900">
        <v>0</v>
      </c>
      <c r="L3900" s="84">
        <v>5000</v>
      </c>
      <c r="M3900" s="84">
        <v>0</v>
      </c>
    </row>
    <row r="3901" spans="3:13" hidden="1" x14ac:dyDescent="0.25">
      <c r="C3901" t="s">
        <v>119</v>
      </c>
      <c r="D3901" t="s">
        <v>120</v>
      </c>
      <c r="E3901" t="s">
        <v>63</v>
      </c>
      <c r="F3901" t="s">
        <v>124</v>
      </c>
      <c r="G3901">
        <v>5</v>
      </c>
      <c r="H3901" t="s">
        <v>71</v>
      </c>
      <c r="I3901" t="s">
        <v>121</v>
      </c>
      <c r="J3901" t="s">
        <v>122</v>
      </c>
      <c r="K3901">
        <v>0</v>
      </c>
      <c r="L3901" s="84">
        <v>835829</v>
      </c>
      <c r="M3901" s="84">
        <v>4179145</v>
      </c>
    </row>
    <row r="3902" spans="3:13" hidden="1" x14ac:dyDescent="0.25">
      <c r="C3902" t="s">
        <v>65</v>
      </c>
      <c r="D3902" t="s">
        <v>120</v>
      </c>
      <c r="E3902" t="s">
        <v>63</v>
      </c>
      <c r="F3902" t="s">
        <v>123</v>
      </c>
      <c r="G3902">
        <v>5</v>
      </c>
      <c r="H3902" t="s">
        <v>14</v>
      </c>
      <c r="I3902" t="s">
        <v>121</v>
      </c>
      <c r="J3902" t="s">
        <v>122</v>
      </c>
      <c r="K3902">
        <v>0</v>
      </c>
      <c r="L3902" s="84">
        <v>185890</v>
      </c>
      <c r="M3902" s="84">
        <v>929450</v>
      </c>
    </row>
    <row r="3903" spans="3:13" hidden="1" x14ac:dyDescent="0.25">
      <c r="C3903" t="s">
        <v>65</v>
      </c>
      <c r="D3903" t="s">
        <v>125</v>
      </c>
      <c r="E3903" t="s">
        <v>63</v>
      </c>
      <c r="F3903" t="s">
        <v>24</v>
      </c>
      <c r="G3903">
        <v>17</v>
      </c>
      <c r="I3903" t="s">
        <v>121</v>
      </c>
      <c r="J3903" t="s">
        <v>122</v>
      </c>
      <c r="K3903">
        <v>0</v>
      </c>
      <c r="L3903" s="84">
        <v>6065223</v>
      </c>
      <c r="M3903" s="84">
        <v>103108791</v>
      </c>
    </row>
    <row r="3904" spans="3:13" hidden="1" x14ac:dyDescent="0.25">
      <c r="C3904" t="s">
        <v>119</v>
      </c>
      <c r="D3904" t="s">
        <v>120</v>
      </c>
      <c r="E3904" t="s">
        <v>60</v>
      </c>
      <c r="F3904" t="s">
        <v>123</v>
      </c>
      <c r="G3904">
        <v>7</v>
      </c>
      <c r="H3904" t="s">
        <v>68</v>
      </c>
      <c r="I3904" t="s">
        <v>121</v>
      </c>
      <c r="J3904" t="s">
        <v>122</v>
      </c>
      <c r="K3904">
        <v>0</v>
      </c>
      <c r="L3904" s="84">
        <v>-381</v>
      </c>
      <c r="M3904" s="84">
        <v>0</v>
      </c>
    </row>
    <row r="3905" spans="3:13" hidden="1" x14ac:dyDescent="0.25">
      <c r="C3905" t="s">
        <v>119</v>
      </c>
      <c r="D3905" t="s">
        <v>120</v>
      </c>
      <c r="E3905" t="s">
        <v>63</v>
      </c>
      <c r="F3905" t="s">
        <v>24</v>
      </c>
      <c r="G3905">
        <v>14</v>
      </c>
      <c r="H3905" t="s">
        <v>71</v>
      </c>
      <c r="I3905" t="s">
        <v>121</v>
      </c>
      <c r="J3905" t="s">
        <v>122</v>
      </c>
      <c r="K3905">
        <v>0</v>
      </c>
      <c r="L3905" s="84">
        <v>633026</v>
      </c>
      <c r="M3905" s="84">
        <v>8862364</v>
      </c>
    </row>
    <row r="3906" spans="3:13" hidden="1" x14ac:dyDescent="0.25">
      <c r="C3906" t="s">
        <v>65</v>
      </c>
      <c r="D3906" t="s">
        <v>125</v>
      </c>
      <c r="E3906" t="s">
        <v>63</v>
      </c>
      <c r="F3906" t="s">
        <v>24</v>
      </c>
      <c r="G3906">
        <v>20</v>
      </c>
      <c r="I3906" t="s">
        <v>121</v>
      </c>
      <c r="J3906" t="s">
        <v>122</v>
      </c>
      <c r="K3906">
        <v>0</v>
      </c>
      <c r="L3906" s="84">
        <v>7307322</v>
      </c>
      <c r="M3906" s="84">
        <v>146146440</v>
      </c>
    </row>
    <row r="3907" spans="3:13" hidden="1" x14ac:dyDescent="0.25">
      <c r="C3907" t="s">
        <v>119</v>
      </c>
      <c r="D3907" t="s">
        <v>120</v>
      </c>
      <c r="E3907" t="s">
        <v>60</v>
      </c>
      <c r="F3907" t="s">
        <v>123</v>
      </c>
      <c r="G3907">
        <v>2</v>
      </c>
      <c r="H3907" t="s">
        <v>68</v>
      </c>
      <c r="I3907" t="s">
        <v>121</v>
      </c>
      <c r="J3907" t="s">
        <v>122</v>
      </c>
      <c r="K3907">
        <v>0</v>
      </c>
      <c r="L3907" s="84">
        <v>-4459</v>
      </c>
      <c r="M3907" s="84">
        <v>0</v>
      </c>
    </row>
    <row r="3908" spans="3:13" hidden="1" x14ac:dyDescent="0.25">
      <c r="C3908" t="s">
        <v>65</v>
      </c>
      <c r="D3908" t="s">
        <v>120</v>
      </c>
      <c r="E3908" t="s">
        <v>60</v>
      </c>
      <c r="F3908" t="s">
        <v>25</v>
      </c>
      <c r="G3908">
        <v>-4</v>
      </c>
      <c r="H3908" t="s">
        <v>67</v>
      </c>
      <c r="I3908" t="s">
        <v>121</v>
      </c>
      <c r="J3908" t="s">
        <v>122</v>
      </c>
      <c r="K3908">
        <v>0</v>
      </c>
      <c r="L3908" s="84">
        <v>-5848</v>
      </c>
      <c r="M3908" s="84">
        <v>0</v>
      </c>
    </row>
    <row r="3909" spans="3:13" hidden="1" x14ac:dyDescent="0.25">
      <c r="C3909" t="s">
        <v>119</v>
      </c>
      <c r="D3909" t="s">
        <v>120</v>
      </c>
      <c r="E3909" t="s">
        <v>63</v>
      </c>
      <c r="F3909" t="s">
        <v>24</v>
      </c>
      <c r="G3909">
        <v>10</v>
      </c>
      <c r="H3909" t="s">
        <v>70</v>
      </c>
      <c r="I3909" t="s">
        <v>121</v>
      </c>
      <c r="J3909" t="s">
        <v>122</v>
      </c>
      <c r="K3909">
        <v>0</v>
      </c>
      <c r="L3909" s="84">
        <v>697277</v>
      </c>
      <c r="M3909" s="84">
        <v>6972770</v>
      </c>
    </row>
    <row r="3910" spans="3:13" hidden="1" x14ac:dyDescent="0.25">
      <c r="C3910" t="s">
        <v>119</v>
      </c>
      <c r="D3910" t="s">
        <v>120</v>
      </c>
      <c r="E3910" t="s">
        <v>60</v>
      </c>
      <c r="F3910" t="s">
        <v>25</v>
      </c>
      <c r="G3910">
        <v>12</v>
      </c>
      <c r="H3910" t="s">
        <v>76</v>
      </c>
      <c r="I3910" t="s">
        <v>121</v>
      </c>
      <c r="J3910" t="s">
        <v>122</v>
      </c>
      <c r="K3910">
        <v>0</v>
      </c>
      <c r="L3910" s="84">
        <v>-15215</v>
      </c>
      <c r="M3910" s="84">
        <v>0</v>
      </c>
    </row>
    <row r="3911" spans="3:13" hidden="1" x14ac:dyDescent="0.25">
      <c r="C3911" t="s">
        <v>119</v>
      </c>
      <c r="D3911" t="s">
        <v>120</v>
      </c>
      <c r="E3911" t="s">
        <v>63</v>
      </c>
      <c r="F3911" t="s">
        <v>25</v>
      </c>
      <c r="G3911">
        <v>6</v>
      </c>
      <c r="H3911" t="s">
        <v>69</v>
      </c>
      <c r="I3911" t="s">
        <v>121</v>
      </c>
      <c r="J3911" t="s">
        <v>122</v>
      </c>
      <c r="K3911">
        <v>0</v>
      </c>
      <c r="L3911" s="84">
        <v>17888251</v>
      </c>
      <c r="M3911" s="84">
        <v>107329506</v>
      </c>
    </row>
    <row r="3912" spans="3:13" hidden="1" x14ac:dyDescent="0.25">
      <c r="C3912" t="s">
        <v>64</v>
      </c>
      <c r="D3912" t="s">
        <v>120</v>
      </c>
      <c r="E3912" t="s">
        <v>63</v>
      </c>
      <c r="F3912" t="s">
        <v>24</v>
      </c>
      <c r="G3912">
        <v>5</v>
      </c>
      <c r="H3912" t="s">
        <v>18</v>
      </c>
      <c r="I3912" t="s">
        <v>121</v>
      </c>
      <c r="J3912" t="s">
        <v>66</v>
      </c>
      <c r="K3912">
        <v>1</v>
      </c>
      <c r="L3912" s="84">
        <v>61212</v>
      </c>
      <c r="M3912" s="84">
        <v>306060</v>
      </c>
    </row>
    <row r="3913" spans="3:13" hidden="1" x14ac:dyDescent="0.25">
      <c r="C3913" t="s">
        <v>64</v>
      </c>
      <c r="D3913" t="s">
        <v>120</v>
      </c>
      <c r="E3913" t="s">
        <v>63</v>
      </c>
      <c r="F3913" t="s">
        <v>25</v>
      </c>
      <c r="G3913">
        <v>12</v>
      </c>
      <c r="H3913" t="s">
        <v>73</v>
      </c>
      <c r="I3913" t="s">
        <v>121</v>
      </c>
      <c r="J3913" t="s">
        <v>122</v>
      </c>
      <c r="K3913">
        <v>0</v>
      </c>
      <c r="L3913" s="84">
        <v>88725</v>
      </c>
      <c r="M3913" s="84">
        <v>1064700</v>
      </c>
    </row>
    <row r="3914" spans="3:13" hidden="1" x14ac:dyDescent="0.25">
      <c r="C3914" t="s">
        <v>65</v>
      </c>
      <c r="D3914" t="s">
        <v>120</v>
      </c>
      <c r="E3914" t="s">
        <v>63</v>
      </c>
      <c r="F3914" t="s">
        <v>123</v>
      </c>
      <c r="G3914">
        <v>1</v>
      </c>
      <c r="H3914" t="s">
        <v>12</v>
      </c>
      <c r="I3914" t="s">
        <v>62</v>
      </c>
      <c r="J3914" t="s">
        <v>66</v>
      </c>
      <c r="K3914">
        <v>1</v>
      </c>
      <c r="L3914" s="84">
        <v>15791</v>
      </c>
      <c r="M3914" s="84">
        <v>15791</v>
      </c>
    </row>
    <row r="3915" spans="3:13" hidden="1" x14ac:dyDescent="0.25">
      <c r="C3915" t="s">
        <v>64</v>
      </c>
      <c r="D3915" t="s">
        <v>125</v>
      </c>
      <c r="E3915" t="s">
        <v>60</v>
      </c>
      <c r="F3915" t="s">
        <v>24</v>
      </c>
      <c r="G3915">
        <v>49</v>
      </c>
      <c r="I3915" t="s">
        <v>121</v>
      </c>
      <c r="J3915" t="s">
        <v>122</v>
      </c>
      <c r="K3915">
        <v>0</v>
      </c>
      <c r="L3915" s="84">
        <v>-4814</v>
      </c>
      <c r="M3915" s="84">
        <v>0</v>
      </c>
    </row>
    <row r="3916" spans="3:13" hidden="1" x14ac:dyDescent="0.25">
      <c r="C3916" t="s">
        <v>119</v>
      </c>
      <c r="D3916" t="s">
        <v>125</v>
      </c>
      <c r="E3916" t="s">
        <v>60</v>
      </c>
      <c r="F3916" t="s">
        <v>24</v>
      </c>
      <c r="G3916">
        <v>33</v>
      </c>
      <c r="I3916" t="s">
        <v>121</v>
      </c>
      <c r="J3916" t="s">
        <v>122</v>
      </c>
      <c r="K3916">
        <v>0</v>
      </c>
      <c r="L3916" s="84">
        <v>-430509</v>
      </c>
      <c r="M3916" s="84">
        <v>0</v>
      </c>
    </row>
    <row r="3917" spans="3:13" hidden="1" x14ac:dyDescent="0.25">
      <c r="C3917" t="s">
        <v>119</v>
      </c>
      <c r="D3917" t="s">
        <v>120</v>
      </c>
      <c r="E3917" t="s">
        <v>60</v>
      </c>
      <c r="F3917" t="s">
        <v>25</v>
      </c>
      <c r="G3917">
        <v>11</v>
      </c>
      <c r="H3917" t="s">
        <v>67</v>
      </c>
      <c r="I3917" t="s">
        <v>121</v>
      </c>
      <c r="J3917" t="s">
        <v>122</v>
      </c>
      <c r="K3917">
        <v>0</v>
      </c>
      <c r="L3917" s="84">
        <v>-9274</v>
      </c>
      <c r="M3917" s="84">
        <v>0</v>
      </c>
    </row>
    <row r="3918" spans="3:13" hidden="1" x14ac:dyDescent="0.25">
      <c r="C3918" t="s">
        <v>64</v>
      </c>
      <c r="D3918" t="s">
        <v>120</v>
      </c>
      <c r="E3918" t="s">
        <v>60</v>
      </c>
      <c r="F3918" t="s">
        <v>124</v>
      </c>
      <c r="G3918">
        <v>-1</v>
      </c>
      <c r="H3918" t="s">
        <v>13</v>
      </c>
      <c r="I3918" t="s">
        <v>121</v>
      </c>
      <c r="J3918" t="s">
        <v>122</v>
      </c>
      <c r="K3918">
        <v>0</v>
      </c>
      <c r="L3918" s="84">
        <v>-34068</v>
      </c>
      <c r="M3918" s="84">
        <v>0</v>
      </c>
    </row>
    <row r="3919" spans="3:13" hidden="1" x14ac:dyDescent="0.25">
      <c r="C3919" t="s">
        <v>65</v>
      </c>
      <c r="D3919" t="s">
        <v>120</v>
      </c>
      <c r="E3919" t="s">
        <v>60</v>
      </c>
      <c r="F3919" t="s">
        <v>124</v>
      </c>
      <c r="G3919">
        <v>17</v>
      </c>
      <c r="H3919" t="s">
        <v>14</v>
      </c>
      <c r="I3919" t="s">
        <v>121</v>
      </c>
      <c r="J3919" t="s">
        <v>66</v>
      </c>
      <c r="K3919">
        <v>1</v>
      </c>
      <c r="L3919" s="84">
        <v>-13520</v>
      </c>
      <c r="M3919" s="84">
        <v>0</v>
      </c>
    </row>
    <row r="3920" spans="3:13" hidden="1" x14ac:dyDescent="0.25">
      <c r="C3920" t="s">
        <v>65</v>
      </c>
      <c r="D3920" t="s">
        <v>120</v>
      </c>
      <c r="E3920" t="s">
        <v>63</v>
      </c>
      <c r="F3920" t="s">
        <v>124</v>
      </c>
      <c r="G3920">
        <v>1</v>
      </c>
      <c r="H3920" t="s">
        <v>18</v>
      </c>
      <c r="I3920" t="s">
        <v>121</v>
      </c>
      <c r="J3920" t="s">
        <v>66</v>
      </c>
      <c r="K3920">
        <v>1</v>
      </c>
      <c r="L3920" s="84">
        <v>115310</v>
      </c>
      <c r="M3920" s="84">
        <v>115310</v>
      </c>
    </row>
    <row r="3921" spans="3:13" hidden="1" x14ac:dyDescent="0.25">
      <c r="C3921" t="s">
        <v>64</v>
      </c>
      <c r="D3921" t="s">
        <v>120</v>
      </c>
      <c r="E3921" t="s">
        <v>63</v>
      </c>
      <c r="F3921" t="s">
        <v>24</v>
      </c>
      <c r="G3921">
        <v>14</v>
      </c>
      <c r="H3921" t="s">
        <v>17</v>
      </c>
      <c r="I3921" t="s">
        <v>121</v>
      </c>
      <c r="J3921" t="s">
        <v>122</v>
      </c>
      <c r="K3921">
        <v>0</v>
      </c>
      <c r="L3921" s="84">
        <v>41636</v>
      </c>
      <c r="M3921" s="84">
        <v>582904</v>
      </c>
    </row>
    <row r="3922" spans="3:13" hidden="1" x14ac:dyDescent="0.25">
      <c r="C3922" t="s">
        <v>119</v>
      </c>
      <c r="D3922" t="s">
        <v>120</v>
      </c>
      <c r="E3922" t="s">
        <v>63</v>
      </c>
      <c r="F3922" t="s">
        <v>123</v>
      </c>
      <c r="G3922">
        <v>0</v>
      </c>
      <c r="H3922" t="s">
        <v>13</v>
      </c>
      <c r="I3922" t="s">
        <v>121</v>
      </c>
      <c r="J3922" t="s">
        <v>122</v>
      </c>
      <c r="K3922">
        <v>0</v>
      </c>
      <c r="L3922" s="84">
        <v>43908</v>
      </c>
      <c r="M3922" s="84">
        <v>0</v>
      </c>
    </row>
    <row r="3923" spans="3:13" hidden="1" x14ac:dyDescent="0.25">
      <c r="C3923" t="s">
        <v>65</v>
      </c>
      <c r="D3923" t="s">
        <v>120</v>
      </c>
      <c r="E3923" t="s">
        <v>60</v>
      </c>
      <c r="F3923" t="s">
        <v>25</v>
      </c>
      <c r="G3923">
        <v>6</v>
      </c>
      <c r="H3923" t="s">
        <v>68</v>
      </c>
      <c r="I3923" t="s">
        <v>121</v>
      </c>
      <c r="J3923" t="s">
        <v>122</v>
      </c>
      <c r="K3923">
        <v>0</v>
      </c>
      <c r="L3923" s="84">
        <v>-159962</v>
      </c>
      <c r="M3923" s="84">
        <v>0</v>
      </c>
    </row>
    <row r="3924" spans="3:13" hidden="1" x14ac:dyDescent="0.25">
      <c r="C3924" t="s">
        <v>119</v>
      </c>
      <c r="D3924" t="s">
        <v>120</v>
      </c>
      <c r="E3924" t="s">
        <v>60</v>
      </c>
      <c r="F3924" t="s">
        <v>25</v>
      </c>
      <c r="G3924">
        <v>8</v>
      </c>
      <c r="H3924" t="s">
        <v>12</v>
      </c>
      <c r="I3924" t="s">
        <v>121</v>
      </c>
      <c r="J3924" t="s">
        <v>122</v>
      </c>
      <c r="K3924">
        <v>0</v>
      </c>
      <c r="L3924" s="84">
        <v>-2225</v>
      </c>
      <c r="M3924" s="84">
        <v>0</v>
      </c>
    </row>
    <row r="3925" spans="3:13" hidden="1" x14ac:dyDescent="0.25">
      <c r="C3925" t="s">
        <v>119</v>
      </c>
      <c r="D3925" t="s">
        <v>120</v>
      </c>
      <c r="E3925" t="s">
        <v>63</v>
      </c>
      <c r="F3925" t="s">
        <v>123</v>
      </c>
      <c r="G3925">
        <v>3</v>
      </c>
      <c r="H3925" t="s">
        <v>14</v>
      </c>
      <c r="I3925" t="s">
        <v>121</v>
      </c>
      <c r="J3925" t="s">
        <v>122</v>
      </c>
      <c r="K3925">
        <v>0</v>
      </c>
      <c r="L3925" s="84">
        <v>9778017</v>
      </c>
      <c r="M3925" s="84">
        <v>29334051</v>
      </c>
    </row>
    <row r="3926" spans="3:13" hidden="1" x14ac:dyDescent="0.25">
      <c r="C3926" t="s">
        <v>64</v>
      </c>
      <c r="D3926" t="s">
        <v>120</v>
      </c>
      <c r="E3926" t="s">
        <v>60</v>
      </c>
      <c r="F3926" t="s">
        <v>25</v>
      </c>
      <c r="G3926">
        <v>1</v>
      </c>
      <c r="H3926" t="s">
        <v>18</v>
      </c>
      <c r="I3926" t="s">
        <v>121</v>
      </c>
      <c r="J3926" t="s">
        <v>122</v>
      </c>
      <c r="K3926">
        <v>0</v>
      </c>
      <c r="L3926" s="84">
        <v>-13433</v>
      </c>
      <c r="M3926" s="84">
        <v>0</v>
      </c>
    </row>
    <row r="3927" spans="3:13" hidden="1" x14ac:dyDescent="0.25">
      <c r="C3927" t="s">
        <v>119</v>
      </c>
      <c r="D3927" t="s">
        <v>125</v>
      </c>
      <c r="E3927" t="s">
        <v>63</v>
      </c>
      <c r="F3927" t="s">
        <v>24</v>
      </c>
      <c r="G3927">
        <v>-1</v>
      </c>
      <c r="I3927" t="s">
        <v>121</v>
      </c>
      <c r="J3927" t="s">
        <v>122</v>
      </c>
      <c r="K3927">
        <v>0</v>
      </c>
      <c r="L3927" s="84">
        <v>89271</v>
      </c>
      <c r="M3927" s="84">
        <v>0</v>
      </c>
    </row>
    <row r="3928" spans="3:13" hidden="1" x14ac:dyDescent="0.25">
      <c r="C3928" t="s">
        <v>119</v>
      </c>
      <c r="D3928" t="s">
        <v>120</v>
      </c>
      <c r="E3928" t="s">
        <v>63</v>
      </c>
      <c r="F3928" t="s">
        <v>24</v>
      </c>
      <c r="G3928">
        <v>0</v>
      </c>
      <c r="H3928" t="s">
        <v>71</v>
      </c>
      <c r="I3928" t="s">
        <v>121</v>
      </c>
      <c r="J3928" t="s">
        <v>122</v>
      </c>
      <c r="K3928">
        <v>0</v>
      </c>
      <c r="L3928" s="84">
        <v>627</v>
      </c>
      <c r="M3928" s="84">
        <v>0</v>
      </c>
    </row>
    <row r="3929" spans="3:13" hidden="1" x14ac:dyDescent="0.25">
      <c r="C3929" t="s">
        <v>65</v>
      </c>
      <c r="D3929" t="s">
        <v>120</v>
      </c>
      <c r="E3929" t="s">
        <v>63</v>
      </c>
      <c r="F3929" t="s">
        <v>24</v>
      </c>
      <c r="G3929">
        <v>-1</v>
      </c>
      <c r="H3929" t="s">
        <v>17</v>
      </c>
      <c r="I3929" t="s">
        <v>121</v>
      </c>
      <c r="J3929" t="s">
        <v>66</v>
      </c>
      <c r="K3929">
        <v>1</v>
      </c>
      <c r="L3929" s="84">
        <v>2051</v>
      </c>
      <c r="M3929" s="84">
        <v>0</v>
      </c>
    </row>
    <row r="3930" spans="3:13" hidden="1" x14ac:dyDescent="0.25">
      <c r="C3930" t="s">
        <v>64</v>
      </c>
      <c r="D3930" t="s">
        <v>120</v>
      </c>
      <c r="E3930" t="s">
        <v>63</v>
      </c>
      <c r="F3930" t="s">
        <v>123</v>
      </c>
      <c r="G3930">
        <v>4</v>
      </c>
      <c r="H3930" t="s">
        <v>17</v>
      </c>
      <c r="I3930" t="s">
        <v>121</v>
      </c>
      <c r="J3930" t="s">
        <v>122</v>
      </c>
      <c r="K3930">
        <v>0</v>
      </c>
      <c r="L3930" s="84">
        <v>1076006</v>
      </c>
      <c r="M3930" s="84">
        <v>4304024</v>
      </c>
    </row>
    <row r="3931" spans="3:13" hidden="1" x14ac:dyDescent="0.25">
      <c r="C3931" t="s">
        <v>64</v>
      </c>
      <c r="D3931" t="s">
        <v>120</v>
      </c>
      <c r="E3931" t="s">
        <v>60</v>
      </c>
      <c r="F3931" t="s">
        <v>124</v>
      </c>
      <c r="G3931">
        <v>0</v>
      </c>
      <c r="H3931" t="s">
        <v>14</v>
      </c>
      <c r="I3931" t="s">
        <v>121</v>
      </c>
      <c r="J3931" t="s">
        <v>122</v>
      </c>
      <c r="K3931">
        <v>0</v>
      </c>
      <c r="L3931" s="84">
        <v>-590258</v>
      </c>
      <c r="M3931" s="84">
        <v>0</v>
      </c>
    </row>
    <row r="3932" spans="3:13" hidden="1" x14ac:dyDescent="0.25">
      <c r="C3932" t="s">
        <v>119</v>
      </c>
      <c r="D3932" t="s">
        <v>120</v>
      </c>
      <c r="E3932" t="s">
        <v>63</v>
      </c>
      <c r="F3932" t="s">
        <v>124</v>
      </c>
      <c r="G3932">
        <v>3</v>
      </c>
      <c r="H3932" t="s">
        <v>71</v>
      </c>
      <c r="I3932" t="s">
        <v>121</v>
      </c>
      <c r="J3932" t="s">
        <v>122</v>
      </c>
      <c r="K3932">
        <v>0</v>
      </c>
      <c r="L3932" s="84">
        <v>1951833</v>
      </c>
      <c r="M3932" s="84">
        <v>5855499</v>
      </c>
    </row>
    <row r="3933" spans="3:13" hidden="1" x14ac:dyDescent="0.25">
      <c r="C3933" t="s">
        <v>119</v>
      </c>
      <c r="D3933" t="s">
        <v>120</v>
      </c>
      <c r="E3933" t="s">
        <v>60</v>
      </c>
      <c r="F3933" t="s">
        <v>124</v>
      </c>
      <c r="G3933">
        <v>3</v>
      </c>
      <c r="H3933" t="s">
        <v>12</v>
      </c>
      <c r="I3933" t="s">
        <v>121</v>
      </c>
      <c r="J3933" t="s">
        <v>122</v>
      </c>
      <c r="K3933">
        <v>0</v>
      </c>
      <c r="L3933" s="84">
        <v>-16767</v>
      </c>
      <c r="M3933" s="84">
        <v>0</v>
      </c>
    </row>
    <row r="3934" spans="3:13" hidden="1" x14ac:dyDescent="0.25">
      <c r="C3934" t="s">
        <v>119</v>
      </c>
      <c r="D3934" t="s">
        <v>120</v>
      </c>
      <c r="E3934" t="s">
        <v>63</v>
      </c>
      <c r="F3934" t="s">
        <v>25</v>
      </c>
      <c r="G3934">
        <v>3</v>
      </c>
      <c r="H3934" t="s">
        <v>73</v>
      </c>
      <c r="I3934" t="s">
        <v>121</v>
      </c>
      <c r="J3934" t="s">
        <v>122</v>
      </c>
      <c r="K3934">
        <v>0</v>
      </c>
      <c r="L3934" s="84">
        <v>96872</v>
      </c>
      <c r="M3934" s="84">
        <v>290616</v>
      </c>
    </row>
    <row r="3935" spans="3:13" hidden="1" x14ac:dyDescent="0.25">
      <c r="C3935" t="s">
        <v>65</v>
      </c>
      <c r="D3935" t="s">
        <v>125</v>
      </c>
      <c r="E3935" t="s">
        <v>63</v>
      </c>
      <c r="F3935" t="s">
        <v>25</v>
      </c>
      <c r="G3935">
        <v>14</v>
      </c>
      <c r="I3935" t="s">
        <v>121</v>
      </c>
      <c r="J3935" t="s">
        <v>122</v>
      </c>
      <c r="K3935">
        <v>0</v>
      </c>
      <c r="L3935" s="84">
        <v>39577</v>
      </c>
      <c r="M3935" s="84">
        <v>554078</v>
      </c>
    </row>
    <row r="3936" spans="3:13" hidden="1" x14ac:dyDescent="0.25">
      <c r="C3936" t="s">
        <v>119</v>
      </c>
      <c r="D3936" t="s">
        <v>125</v>
      </c>
      <c r="E3936" t="s">
        <v>63</v>
      </c>
      <c r="F3936" t="s">
        <v>24</v>
      </c>
      <c r="G3936">
        <v>47</v>
      </c>
      <c r="I3936" t="s">
        <v>121</v>
      </c>
      <c r="J3936" t="s">
        <v>122</v>
      </c>
      <c r="K3936">
        <v>0</v>
      </c>
      <c r="L3936" s="84">
        <v>233779</v>
      </c>
      <c r="M3936" s="84">
        <v>10987613</v>
      </c>
    </row>
    <row r="3937" spans="3:13" hidden="1" x14ac:dyDescent="0.25">
      <c r="C3937" t="s">
        <v>64</v>
      </c>
      <c r="D3937" t="s">
        <v>120</v>
      </c>
      <c r="E3937" t="s">
        <v>63</v>
      </c>
      <c r="F3937" t="s">
        <v>24</v>
      </c>
      <c r="G3937">
        <v>0</v>
      </c>
      <c r="H3937" t="s">
        <v>75</v>
      </c>
      <c r="I3937" t="s">
        <v>121</v>
      </c>
      <c r="J3937" t="s">
        <v>122</v>
      </c>
      <c r="K3937">
        <v>0</v>
      </c>
      <c r="L3937" s="84">
        <v>2860</v>
      </c>
      <c r="M3937" s="84">
        <v>0</v>
      </c>
    </row>
    <row r="3938" spans="3:13" hidden="1" x14ac:dyDescent="0.25">
      <c r="C3938" t="s">
        <v>119</v>
      </c>
      <c r="D3938" t="s">
        <v>120</v>
      </c>
      <c r="E3938" t="s">
        <v>63</v>
      </c>
      <c r="F3938" t="s">
        <v>124</v>
      </c>
      <c r="G3938">
        <v>8</v>
      </c>
      <c r="H3938" t="s">
        <v>17</v>
      </c>
      <c r="I3938" t="s">
        <v>121</v>
      </c>
      <c r="J3938" t="s">
        <v>122</v>
      </c>
      <c r="K3938">
        <v>0</v>
      </c>
      <c r="L3938" s="84">
        <v>759801</v>
      </c>
      <c r="M3938" s="84">
        <v>6078408</v>
      </c>
    </row>
    <row r="3939" spans="3:13" hidden="1" x14ac:dyDescent="0.25">
      <c r="C3939" t="s">
        <v>64</v>
      </c>
      <c r="D3939" t="s">
        <v>120</v>
      </c>
      <c r="E3939" t="s">
        <v>60</v>
      </c>
      <c r="F3939" t="s">
        <v>123</v>
      </c>
      <c r="G3939">
        <v>2</v>
      </c>
      <c r="H3939" t="s">
        <v>68</v>
      </c>
      <c r="I3939" t="s">
        <v>121</v>
      </c>
      <c r="J3939" t="s">
        <v>122</v>
      </c>
      <c r="K3939">
        <v>0</v>
      </c>
      <c r="L3939" s="84">
        <v>-17300</v>
      </c>
      <c r="M3939" s="84">
        <v>0</v>
      </c>
    </row>
    <row r="3940" spans="3:13" hidden="1" x14ac:dyDescent="0.25">
      <c r="C3940" t="s">
        <v>119</v>
      </c>
      <c r="D3940" t="s">
        <v>120</v>
      </c>
      <c r="E3940" t="s">
        <v>63</v>
      </c>
      <c r="F3940" t="s">
        <v>124</v>
      </c>
      <c r="G3940">
        <v>-1</v>
      </c>
      <c r="H3940" t="s">
        <v>76</v>
      </c>
      <c r="I3940" t="s">
        <v>121</v>
      </c>
      <c r="J3940" t="s">
        <v>122</v>
      </c>
      <c r="K3940">
        <v>0</v>
      </c>
      <c r="L3940" s="84">
        <v>3738074</v>
      </c>
      <c r="M3940" s="84">
        <v>0</v>
      </c>
    </row>
    <row r="3941" spans="3:13" hidden="1" x14ac:dyDescent="0.25">
      <c r="C3941" t="s">
        <v>119</v>
      </c>
      <c r="D3941" t="s">
        <v>120</v>
      </c>
      <c r="E3941" t="s">
        <v>63</v>
      </c>
      <c r="F3941" t="s">
        <v>124</v>
      </c>
      <c r="G3941">
        <v>7</v>
      </c>
      <c r="H3941" t="s">
        <v>75</v>
      </c>
      <c r="I3941" t="s">
        <v>121</v>
      </c>
      <c r="J3941" t="s">
        <v>122</v>
      </c>
      <c r="K3941">
        <v>0</v>
      </c>
      <c r="L3941" s="84">
        <v>30782538</v>
      </c>
      <c r="M3941" s="84">
        <v>215477766</v>
      </c>
    </row>
    <row r="3942" spans="3:13" hidden="1" x14ac:dyDescent="0.25">
      <c r="C3942" t="s">
        <v>64</v>
      </c>
      <c r="D3942" t="s">
        <v>120</v>
      </c>
      <c r="E3942" t="s">
        <v>63</v>
      </c>
      <c r="F3942" t="s">
        <v>24</v>
      </c>
      <c r="G3942">
        <v>5</v>
      </c>
      <c r="H3942" t="s">
        <v>18</v>
      </c>
      <c r="I3942" t="s">
        <v>121</v>
      </c>
      <c r="J3942" t="s">
        <v>122</v>
      </c>
      <c r="K3942">
        <v>0</v>
      </c>
      <c r="L3942" s="84">
        <v>301987</v>
      </c>
      <c r="M3942" s="84">
        <v>1509935</v>
      </c>
    </row>
    <row r="3943" spans="3:13" hidden="1" x14ac:dyDescent="0.25">
      <c r="C3943" t="s">
        <v>65</v>
      </c>
      <c r="D3943" t="s">
        <v>120</v>
      </c>
      <c r="E3943" t="s">
        <v>60</v>
      </c>
      <c r="F3943" t="s">
        <v>123</v>
      </c>
      <c r="G3943">
        <v>0</v>
      </c>
      <c r="H3943" t="s">
        <v>17</v>
      </c>
      <c r="I3943" t="s">
        <v>121</v>
      </c>
      <c r="J3943" t="s">
        <v>66</v>
      </c>
      <c r="K3943">
        <v>1</v>
      </c>
      <c r="L3943" s="84">
        <v>-15127</v>
      </c>
      <c r="M3943" s="84">
        <v>0</v>
      </c>
    </row>
    <row r="3944" spans="3:13" hidden="1" x14ac:dyDescent="0.25">
      <c r="C3944" t="s">
        <v>119</v>
      </c>
      <c r="D3944" t="s">
        <v>120</v>
      </c>
      <c r="E3944" t="s">
        <v>60</v>
      </c>
      <c r="F3944" t="s">
        <v>124</v>
      </c>
      <c r="G3944">
        <v>6</v>
      </c>
      <c r="H3944" t="s">
        <v>61</v>
      </c>
      <c r="I3944" t="s">
        <v>121</v>
      </c>
      <c r="J3944" t="s">
        <v>122</v>
      </c>
      <c r="K3944">
        <v>0</v>
      </c>
      <c r="L3944" s="84">
        <v>-156</v>
      </c>
      <c r="M3944" s="84">
        <v>0</v>
      </c>
    </row>
    <row r="3945" spans="3:13" hidden="1" x14ac:dyDescent="0.25">
      <c r="C3945" t="s">
        <v>119</v>
      </c>
      <c r="D3945" t="s">
        <v>120</v>
      </c>
      <c r="E3945" t="s">
        <v>63</v>
      </c>
      <c r="F3945" t="s">
        <v>24</v>
      </c>
      <c r="G3945">
        <v>9</v>
      </c>
      <c r="H3945" t="s">
        <v>68</v>
      </c>
      <c r="I3945" t="s">
        <v>121</v>
      </c>
      <c r="J3945" t="s">
        <v>122</v>
      </c>
      <c r="K3945">
        <v>0</v>
      </c>
      <c r="L3945" s="84">
        <v>15217578</v>
      </c>
      <c r="M3945" s="84">
        <v>136958202</v>
      </c>
    </row>
    <row r="3946" spans="3:13" hidden="1" x14ac:dyDescent="0.25">
      <c r="C3946" t="s">
        <v>64</v>
      </c>
      <c r="D3946" t="s">
        <v>120</v>
      </c>
      <c r="E3946" t="s">
        <v>60</v>
      </c>
      <c r="F3946" t="s">
        <v>24</v>
      </c>
      <c r="G3946">
        <v>8</v>
      </c>
      <c r="H3946" t="s">
        <v>14</v>
      </c>
      <c r="I3946" t="s">
        <v>121</v>
      </c>
      <c r="J3946" t="s">
        <v>66</v>
      </c>
      <c r="K3946">
        <v>1</v>
      </c>
      <c r="L3946" s="84">
        <v>-1634</v>
      </c>
      <c r="M3946" s="84">
        <v>0</v>
      </c>
    </row>
    <row r="3947" spans="3:13" hidden="1" x14ac:dyDescent="0.25">
      <c r="C3947" t="s">
        <v>119</v>
      </c>
      <c r="D3947" t="s">
        <v>120</v>
      </c>
      <c r="E3947" t="s">
        <v>63</v>
      </c>
      <c r="F3947" t="s">
        <v>25</v>
      </c>
      <c r="G3947">
        <v>10</v>
      </c>
      <c r="H3947" t="s">
        <v>70</v>
      </c>
      <c r="I3947" t="s">
        <v>121</v>
      </c>
      <c r="J3947" t="s">
        <v>122</v>
      </c>
      <c r="K3947">
        <v>0</v>
      </c>
      <c r="L3947" s="84">
        <v>947125</v>
      </c>
      <c r="M3947" s="84">
        <v>9471250</v>
      </c>
    </row>
    <row r="3948" spans="3:13" x14ac:dyDescent="0.25">
      <c r="C3948" t="s">
        <v>64</v>
      </c>
      <c r="D3948" t="s">
        <v>120</v>
      </c>
      <c r="E3948" t="s">
        <v>63</v>
      </c>
      <c r="F3948" t="s">
        <v>25</v>
      </c>
      <c r="G3948">
        <v>11</v>
      </c>
      <c r="H3948" t="s">
        <v>18</v>
      </c>
      <c r="I3948" t="s">
        <v>121</v>
      </c>
      <c r="J3948" t="s">
        <v>66</v>
      </c>
      <c r="K3948">
        <v>1</v>
      </c>
      <c r="L3948" s="84">
        <v>354656</v>
      </c>
      <c r="M3948" s="84">
        <v>3901216</v>
      </c>
    </row>
    <row r="3949" spans="3:13" hidden="1" x14ac:dyDescent="0.25">
      <c r="C3949" t="s">
        <v>65</v>
      </c>
      <c r="D3949" t="s">
        <v>125</v>
      </c>
      <c r="E3949" t="s">
        <v>60</v>
      </c>
      <c r="F3949" t="s">
        <v>24</v>
      </c>
      <c r="G3949">
        <v>53</v>
      </c>
      <c r="I3949" t="s">
        <v>121</v>
      </c>
      <c r="J3949" t="s">
        <v>122</v>
      </c>
      <c r="K3949">
        <v>0</v>
      </c>
      <c r="L3949" s="84">
        <v>-13877</v>
      </c>
      <c r="M3949" s="84">
        <v>0</v>
      </c>
    </row>
    <row r="3950" spans="3:13" hidden="1" x14ac:dyDescent="0.25">
      <c r="C3950" t="s">
        <v>64</v>
      </c>
      <c r="D3950" t="s">
        <v>120</v>
      </c>
      <c r="E3950" t="s">
        <v>60</v>
      </c>
      <c r="F3950" t="s">
        <v>25</v>
      </c>
      <c r="G3950">
        <v>11</v>
      </c>
      <c r="H3950" t="s">
        <v>12</v>
      </c>
      <c r="I3950" t="s">
        <v>121</v>
      </c>
      <c r="J3950" t="s">
        <v>66</v>
      </c>
      <c r="K3950">
        <v>1</v>
      </c>
      <c r="L3950" s="84">
        <v>-589091</v>
      </c>
      <c r="M3950" s="84">
        <v>0</v>
      </c>
    </row>
    <row r="3951" spans="3:13" hidden="1" x14ac:dyDescent="0.25">
      <c r="C3951" t="s">
        <v>64</v>
      </c>
      <c r="D3951" t="s">
        <v>120</v>
      </c>
      <c r="E3951" t="s">
        <v>63</v>
      </c>
      <c r="F3951" t="s">
        <v>24</v>
      </c>
      <c r="G3951">
        <v>7</v>
      </c>
      <c r="H3951" t="s">
        <v>67</v>
      </c>
      <c r="I3951" t="s">
        <v>121</v>
      </c>
      <c r="J3951" t="s">
        <v>122</v>
      </c>
      <c r="K3951">
        <v>0</v>
      </c>
      <c r="L3951" s="84">
        <v>584809</v>
      </c>
      <c r="M3951" s="84">
        <v>4093663</v>
      </c>
    </row>
    <row r="3952" spans="3:13" hidden="1" x14ac:dyDescent="0.25">
      <c r="C3952" t="s">
        <v>64</v>
      </c>
      <c r="D3952" t="s">
        <v>120</v>
      </c>
      <c r="E3952" t="s">
        <v>63</v>
      </c>
      <c r="F3952" t="s">
        <v>124</v>
      </c>
      <c r="G3952">
        <v>-1</v>
      </c>
      <c r="H3952" t="s">
        <v>17</v>
      </c>
      <c r="I3952" t="s">
        <v>62</v>
      </c>
      <c r="J3952" t="s">
        <v>122</v>
      </c>
      <c r="K3952">
        <v>1</v>
      </c>
      <c r="L3952" s="84">
        <v>15087</v>
      </c>
      <c r="M3952" s="84">
        <v>0</v>
      </c>
    </row>
    <row r="3953" spans="3:13" hidden="1" x14ac:dyDescent="0.25">
      <c r="C3953" t="s">
        <v>64</v>
      </c>
      <c r="D3953" t="s">
        <v>120</v>
      </c>
      <c r="E3953" t="s">
        <v>63</v>
      </c>
      <c r="F3953" t="s">
        <v>123</v>
      </c>
      <c r="G3953">
        <v>1</v>
      </c>
      <c r="H3953" t="s">
        <v>12</v>
      </c>
      <c r="I3953" t="s">
        <v>121</v>
      </c>
      <c r="J3953" t="s">
        <v>66</v>
      </c>
      <c r="K3953">
        <v>1</v>
      </c>
      <c r="L3953" s="84">
        <v>202246</v>
      </c>
      <c r="M3953" s="84">
        <v>202246</v>
      </c>
    </row>
    <row r="3954" spans="3:13" hidden="1" x14ac:dyDescent="0.25">
      <c r="C3954" t="s">
        <v>119</v>
      </c>
      <c r="D3954" t="s">
        <v>120</v>
      </c>
      <c r="E3954" t="s">
        <v>60</v>
      </c>
      <c r="F3954" t="s">
        <v>123</v>
      </c>
      <c r="G3954">
        <v>3</v>
      </c>
      <c r="H3954" t="s">
        <v>70</v>
      </c>
      <c r="I3954" t="s">
        <v>121</v>
      </c>
      <c r="J3954" t="s">
        <v>122</v>
      </c>
      <c r="K3954">
        <v>0</v>
      </c>
      <c r="L3954" s="84">
        <v>-1971</v>
      </c>
      <c r="M3954" s="84">
        <v>0</v>
      </c>
    </row>
    <row r="3955" spans="3:13" hidden="1" x14ac:dyDescent="0.25">
      <c r="C3955" t="s">
        <v>119</v>
      </c>
      <c r="D3955" t="s">
        <v>120</v>
      </c>
      <c r="E3955" t="s">
        <v>60</v>
      </c>
      <c r="F3955" t="s">
        <v>124</v>
      </c>
      <c r="G3955">
        <v>7</v>
      </c>
      <c r="H3955" t="s">
        <v>18</v>
      </c>
      <c r="I3955" t="s">
        <v>121</v>
      </c>
      <c r="J3955" t="s">
        <v>66</v>
      </c>
      <c r="K3955">
        <v>1</v>
      </c>
      <c r="L3955" s="84">
        <v>-630</v>
      </c>
      <c r="M3955" s="84">
        <v>0</v>
      </c>
    </row>
    <row r="3956" spans="3:13" hidden="1" x14ac:dyDescent="0.25">
      <c r="C3956" t="s">
        <v>65</v>
      </c>
      <c r="D3956" t="s">
        <v>120</v>
      </c>
      <c r="E3956" t="s">
        <v>60</v>
      </c>
      <c r="F3956" t="s">
        <v>25</v>
      </c>
      <c r="G3956">
        <v>-4</v>
      </c>
      <c r="H3956" t="s">
        <v>73</v>
      </c>
      <c r="I3956" t="s">
        <v>121</v>
      </c>
      <c r="J3956" t="s">
        <v>122</v>
      </c>
      <c r="K3956">
        <v>0</v>
      </c>
      <c r="L3956" s="84">
        <v>-84183</v>
      </c>
      <c r="M3956" s="84">
        <v>0</v>
      </c>
    </row>
    <row r="3957" spans="3:13" hidden="1" x14ac:dyDescent="0.25">
      <c r="C3957" t="s">
        <v>119</v>
      </c>
      <c r="D3957" t="s">
        <v>120</v>
      </c>
      <c r="E3957" t="s">
        <v>60</v>
      </c>
      <c r="F3957" t="s">
        <v>25</v>
      </c>
      <c r="G3957">
        <v>12</v>
      </c>
      <c r="H3957" t="s">
        <v>68</v>
      </c>
      <c r="I3957" t="s">
        <v>121</v>
      </c>
      <c r="J3957" t="s">
        <v>122</v>
      </c>
      <c r="K3957">
        <v>0</v>
      </c>
      <c r="L3957" s="84">
        <v>-53934</v>
      </c>
      <c r="M3957" s="84">
        <v>0</v>
      </c>
    </row>
    <row r="3958" spans="3:13" hidden="1" x14ac:dyDescent="0.25">
      <c r="C3958" t="s">
        <v>64</v>
      </c>
      <c r="D3958" t="s">
        <v>120</v>
      </c>
      <c r="E3958" t="s">
        <v>60</v>
      </c>
      <c r="F3958" t="s">
        <v>123</v>
      </c>
      <c r="G3958">
        <v>6</v>
      </c>
      <c r="H3958" t="s">
        <v>68</v>
      </c>
      <c r="I3958" t="s">
        <v>121</v>
      </c>
      <c r="J3958" t="s">
        <v>122</v>
      </c>
      <c r="K3958">
        <v>0</v>
      </c>
      <c r="L3958" s="84">
        <v>-1480</v>
      </c>
      <c r="M3958" s="84">
        <v>0</v>
      </c>
    </row>
    <row r="3959" spans="3:13" hidden="1" x14ac:dyDescent="0.25">
      <c r="C3959" t="s">
        <v>64</v>
      </c>
      <c r="D3959" t="s">
        <v>120</v>
      </c>
      <c r="E3959" t="s">
        <v>63</v>
      </c>
      <c r="F3959" t="s">
        <v>25</v>
      </c>
      <c r="G3959">
        <v>12</v>
      </c>
      <c r="H3959" t="s">
        <v>67</v>
      </c>
      <c r="I3959" t="s">
        <v>121</v>
      </c>
      <c r="J3959" t="s">
        <v>122</v>
      </c>
      <c r="K3959">
        <v>0</v>
      </c>
      <c r="L3959" s="84">
        <v>627343</v>
      </c>
      <c r="M3959" s="84">
        <v>7528116</v>
      </c>
    </row>
    <row r="3960" spans="3:13" hidden="1" x14ac:dyDescent="0.25">
      <c r="C3960" t="s">
        <v>119</v>
      </c>
      <c r="D3960" t="s">
        <v>120</v>
      </c>
      <c r="E3960" t="s">
        <v>63</v>
      </c>
      <c r="F3960" t="s">
        <v>24</v>
      </c>
      <c r="G3960">
        <v>5</v>
      </c>
      <c r="H3960" t="s">
        <v>12</v>
      </c>
      <c r="I3960" t="s">
        <v>121</v>
      </c>
      <c r="J3960" t="s">
        <v>122</v>
      </c>
      <c r="K3960">
        <v>0</v>
      </c>
      <c r="L3960" s="84">
        <v>178831</v>
      </c>
      <c r="M3960" s="84">
        <v>894155</v>
      </c>
    </row>
    <row r="3961" spans="3:13" hidden="1" x14ac:dyDescent="0.25">
      <c r="C3961" t="s">
        <v>64</v>
      </c>
      <c r="D3961" t="s">
        <v>120</v>
      </c>
      <c r="E3961" t="s">
        <v>63</v>
      </c>
      <c r="F3961" t="s">
        <v>124</v>
      </c>
      <c r="G3961">
        <v>-1</v>
      </c>
      <c r="H3961" t="s">
        <v>12</v>
      </c>
      <c r="I3961" t="s">
        <v>121</v>
      </c>
      <c r="J3961" t="s">
        <v>66</v>
      </c>
      <c r="K3961">
        <v>1</v>
      </c>
      <c r="L3961" s="84">
        <v>4605974</v>
      </c>
      <c r="M3961" s="84">
        <v>0</v>
      </c>
    </row>
    <row r="3962" spans="3:13" hidden="1" x14ac:dyDescent="0.25">
      <c r="C3962" t="s">
        <v>65</v>
      </c>
      <c r="D3962" t="s">
        <v>120</v>
      </c>
      <c r="E3962" t="s">
        <v>63</v>
      </c>
      <c r="F3962" t="s">
        <v>123</v>
      </c>
      <c r="G3962">
        <v>3</v>
      </c>
      <c r="H3962" t="s">
        <v>75</v>
      </c>
      <c r="I3962" t="s">
        <v>121</v>
      </c>
      <c r="J3962" t="s">
        <v>122</v>
      </c>
      <c r="K3962">
        <v>0</v>
      </c>
      <c r="L3962" s="84">
        <v>197004</v>
      </c>
      <c r="M3962" s="84">
        <v>591012</v>
      </c>
    </row>
    <row r="3963" spans="3:13" hidden="1" x14ac:dyDescent="0.25">
      <c r="C3963" t="s">
        <v>65</v>
      </c>
      <c r="D3963" t="s">
        <v>120</v>
      </c>
      <c r="E3963" t="s">
        <v>63</v>
      </c>
      <c r="F3963" t="s">
        <v>123</v>
      </c>
      <c r="G3963">
        <v>0</v>
      </c>
      <c r="H3963" t="s">
        <v>69</v>
      </c>
      <c r="I3963" t="s">
        <v>121</v>
      </c>
      <c r="J3963" t="s">
        <v>122</v>
      </c>
      <c r="K3963">
        <v>0</v>
      </c>
      <c r="L3963" s="84">
        <v>11941</v>
      </c>
      <c r="M3963" s="84">
        <v>0</v>
      </c>
    </row>
    <row r="3964" spans="3:13" hidden="1" x14ac:dyDescent="0.25">
      <c r="C3964" t="s">
        <v>65</v>
      </c>
      <c r="D3964" t="s">
        <v>120</v>
      </c>
      <c r="E3964" t="s">
        <v>60</v>
      </c>
      <c r="F3964" t="s">
        <v>124</v>
      </c>
      <c r="G3964">
        <v>5</v>
      </c>
      <c r="H3964" t="s">
        <v>70</v>
      </c>
      <c r="I3964" t="s">
        <v>121</v>
      </c>
      <c r="J3964" t="s">
        <v>122</v>
      </c>
      <c r="K3964">
        <v>0</v>
      </c>
      <c r="L3964" s="84">
        <v>-7885</v>
      </c>
      <c r="M3964" s="84">
        <v>0</v>
      </c>
    </row>
    <row r="3965" spans="3:13" hidden="1" x14ac:dyDescent="0.25">
      <c r="C3965" t="s">
        <v>64</v>
      </c>
      <c r="D3965" t="s">
        <v>120</v>
      </c>
      <c r="E3965" t="s">
        <v>63</v>
      </c>
      <c r="F3965" t="s">
        <v>25</v>
      </c>
      <c r="G3965">
        <v>4</v>
      </c>
      <c r="H3965" t="s">
        <v>61</v>
      </c>
      <c r="I3965" t="s">
        <v>121</v>
      </c>
      <c r="J3965" t="s">
        <v>122</v>
      </c>
      <c r="K3965">
        <v>0</v>
      </c>
      <c r="L3965" s="84">
        <v>193645</v>
      </c>
      <c r="M3965" s="84">
        <v>774580</v>
      </c>
    </row>
    <row r="3966" spans="3:13" hidden="1" x14ac:dyDescent="0.25">
      <c r="C3966" t="s">
        <v>119</v>
      </c>
      <c r="D3966" t="s">
        <v>120</v>
      </c>
      <c r="E3966" t="s">
        <v>63</v>
      </c>
      <c r="F3966" t="s">
        <v>25</v>
      </c>
      <c r="G3966">
        <v>1</v>
      </c>
      <c r="H3966" t="s">
        <v>71</v>
      </c>
      <c r="I3966" t="s">
        <v>121</v>
      </c>
      <c r="J3966" t="s">
        <v>122</v>
      </c>
      <c r="K3966">
        <v>0</v>
      </c>
      <c r="L3966" s="84">
        <v>199458</v>
      </c>
      <c r="M3966" s="84">
        <v>199458</v>
      </c>
    </row>
    <row r="3967" spans="3:13" hidden="1" x14ac:dyDescent="0.25">
      <c r="C3967" t="s">
        <v>119</v>
      </c>
      <c r="D3967" t="s">
        <v>120</v>
      </c>
      <c r="E3967" t="s">
        <v>63</v>
      </c>
      <c r="F3967" t="s">
        <v>124</v>
      </c>
      <c r="G3967">
        <v>-1</v>
      </c>
      <c r="H3967" t="s">
        <v>68</v>
      </c>
      <c r="I3967" t="s">
        <v>121</v>
      </c>
      <c r="J3967" t="s">
        <v>122</v>
      </c>
      <c r="K3967">
        <v>0</v>
      </c>
      <c r="L3967" s="84">
        <v>25465371</v>
      </c>
      <c r="M3967" s="84">
        <v>0</v>
      </c>
    </row>
    <row r="3968" spans="3:13" hidden="1" x14ac:dyDescent="0.25">
      <c r="C3968" t="s">
        <v>65</v>
      </c>
      <c r="D3968" t="s">
        <v>120</v>
      </c>
      <c r="E3968" t="s">
        <v>63</v>
      </c>
      <c r="F3968" t="s">
        <v>123</v>
      </c>
      <c r="G3968">
        <v>1</v>
      </c>
      <c r="H3968" t="s">
        <v>14</v>
      </c>
      <c r="I3968" t="s">
        <v>121</v>
      </c>
      <c r="J3968" t="s">
        <v>122</v>
      </c>
      <c r="K3968">
        <v>0</v>
      </c>
      <c r="L3968" s="84">
        <v>45460</v>
      </c>
      <c r="M3968" s="84">
        <v>45460</v>
      </c>
    </row>
    <row r="3969" spans="3:13" hidden="1" x14ac:dyDescent="0.25">
      <c r="C3969" t="s">
        <v>119</v>
      </c>
      <c r="D3969" t="s">
        <v>125</v>
      </c>
      <c r="E3969" t="s">
        <v>60</v>
      </c>
      <c r="F3969" t="s">
        <v>24</v>
      </c>
      <c r="G3969">
        <v>37</v>
      </c>
      <c r="I3969" t="s">
        <v>121</v>
      </c>
      <c r="J3969" t="s">
        <v>122</v>
      </c>
      <c r="K3969">
        <v>0</v>
      </c>
      <c r="L3969" s="84">
        <v>-841224</v>
      </c>
      <c r="M3969" s="84">
        <v>0</v>
      </c>
    </row>
    <row r="3970" spans="3:13" hidden="1" x14ac:dyDescent="0.25">
      <c r="C3970" t="s">
        <v>64</v>
      </c>
      <c r="D3970" t="s">
        <v>120</v>
      </c>
      <c r="E3970" t="s">
        <v>60</v>
      </c>
      <c r="F3970" t="s">
        <v>123</v>
      </c>
      <c r="G3970">
        <v>3</v>
      </c>
      <c r="H3970" t="s">
        <v>12</v>
      </c>
      <c r="I3970" t="s">
        <v>62</v>
      </c>
      <c r="J3970" t="s">
        <v>66</v>
      </c>
      <c r="K3970">
        <v>1</v>
      </c>
      <c r="L3970" s="84">
        <v>-9104</v>
      </c>
      <c r="M3970" s="84">
        <v>0</v>
      </c>
    </row>
    <row r="3971" spans="3:13" hidden="1" x14ac:dyDescent="0.25">
      <c r="C3971" t="s">
        <v>119</v>
      </c>
      <c r="D3971" t="s">
        <v>127</v>
      </c>
      <c r="E3971" t="s">
        <v>63</v>
      </c>
      <c r="F3971" t="s">
        <v>24</v>
      </c>
      <c r="G3971">
        <v>4</v>
      </c>
      <c r="H3971" t="s">
        <v>77</v>
      </c>
      <c r="I3971" t="s">
        <v>121</v>
      </c>
      <c r="J3971" t="s">
        <v>122</v>
      </c>
      <c r="K3971">
        <v>0</v>
      </c>
      <c r="L3971" s="84">
        <v>20323</v>
      </c>
      <c r="M3971" s="84">
        <v>81292</v>
      </c>
    </row>
    <row r="3972" spans="3:13" hidden="1" x14ac:dyDescent="0.25">
      <c r="C3972" t="s">
        <v>65</v>
      </c>
      <c r="D3972" t="s">
        <v>120</v>
      </c>
      <c r="E3972" t="s">
        <v>60</v>
      </c>
      <c r="F3972" t="s">
        <v>25</v>
      </c>
      <c r="G3972">
        <v>-1</v>
      </c>
      <c r="H3972" t="s">
        <v>61</v>
      </c>
      <c r="I3972" t="s">
        <v>121</v>
      </c>
      <c r="J3972" t="s">
        <v>122</v>
      </c>
      <c r="K3972">
        <v>0</v>
      </c>
      <c r="L3972" s="84">
        <v>-520</v>
      </c>
      <c r="M3972" s="84">
        <v>0</v>
      </c>
    </row>
    <row r="3973" spans="3:13" hidden="1" x14ac:dyDescent="0.25">
      <c r="C3973" t="s">
        <v>64</v>
      </c>
      <c r="D3973" t="s">
        <v>120</v>
      </c>
      <c r="E3973" t="s">
        <v>63</v>
      </c>
      <c r="F3973" t="s">
        <v>25</v>
      </c>
      <c r="G3973">
        <v>14</v>
      </c>
      <c r="H3973" t="s">
        <v>73</v>
      </c>
      <c r="I3973" t="s">
        <v>121</v>
      </c>
      <c r="J3973" t="s">
        <v>122</v>
      </c>
      <c r="K3973">
        <v>0</v>
      </c>
      <c r="L3973" s="84">
        <v>387028</v>
      </c>
      <c r="M3973" s="84">
        <v>5418392</v>
      </c>
    </row>
    <row r="3974" spans="3:13" hidden="1" x14ac:dyDescent="0.25">
      <c r="C3974" t="s">
        <v>119</v>
      </c>
      <c r="D3974" t="s">
        <v>120</v>
      </c>
      <c r="E3974" t="s">
        <v>60</v>
      </c>
      <c r="F3974" t="s">
        <v>25</v>
      </c>
      <c r="G3974">
        <v>4</v>
      </c>
      <c r="H3974" t="s">
        <v>16</v>
      </c>
      <c r="I3974" t="s">
        <v>121</v>
      </c>
      <c r="J3974" t="s">
        <v>122</v>
      </c>
      <c r="K3974">
        <v>0</v>
      </c>
      <c r="L3974" s="84">
        <v>-423</v>
      </c>
      <c r="M3974" s="84">
        <v>0</v>
      </c>
    </row>
    <row r="3975" spans="3:13" hidden="1" x14ac:dyDescent="0.25">
      <c r="C3975" t="s">
        <v>64</v>
      </c>
      <c r="D3975" t="s">
        <v>120</v>
      </c>
      <c r="E3975" t="s">
        <v>60</v>
      </c>
      <c r="F3975" t="s">
        <v>24</v>
      </c>
      <c r="G3975">
        <v>-4</v>
      </c>
      <c r="H3975" t="s">
        <v>18</v>
      </c>
      <c r="I3975" t="s">
        <v>121</v>
      </c>
      <c r="J3975" t="s">
        <v>122</v>
      </c>
      <c r="K3975">
        <v>0</v>
      </c>
      <c r="L3975" s="84">
        <v>-6</v>
      </c>
      <c r="M3975" s="84">
        <v>0</v>
      </c>
    </row>
    <row r="3976" spans="3:13" hidden="1" x14ac:dyDescent="0.25">
      <c r="C3976" t="s">
        <v>119</v>
      </c>
      <c r="D3976" t="s">
        <v>120</v>
      </c>
      <c r="E3976" t="s">
        <v>60</v>
      </c>
      <c r="F3976" t="s">
        <v>123</v>
      </c>
      <c r="G3976">
        <v>5</v>
      </c>
      <c r="H3976" t="s">
        <v>15</v>
      </c>
      <c r="I3976" t="s">
        <v>121</v>
      </c>
      <c r="J3976" t="s">
        <v>122</v>
      </c>
      <c r="K3976">
        <v>0</v>
      </c>
      <c r="L3976" s="84">
        <v>-51</v>
      </c>
      <c r="M3976" s="84">
        <v>0</v>
      </c>
    </row>
    <row r="3977" spans="3:13" hidden="1" x14ac:dyDescent="0.25">
      <c r="C3977" t="s">
        <v>64</v>
      </c>
      <c r="D3977" t="s">
        <v>120</v>
      </c>
      <c r="E3977" t="s">
        <v>63</v>
      </c>
      <c r="F3977" t="s">
        <v>25</v>
      </c>
      <c r="G3977">
        <v>0</v>
      </c>
      <c r="H3977" t="s">
        <v>14</v>
      </c>
      <c r="I3977" t="s">
        <v>121</v>
      </c>
      <c r="J3977" t="s">
        <v>122</v>
      </c>
      <c r="K3977">
        <v>0</v>
      </c>
      <c r="L3977" s="84">
        <v>263592</v>
      </c>
      <c r="M3977" s="84">
        <v>0</v>
      </c>
    </row>
    <row r="3978" spans="3:13" hidden="1" x14ac:dyDescent="0.25">
      <c r="C3978" t="s">
        <v>64</v>
      </c>
      <c r="D3978" t="s">
        <v>125</v>
      </c>
      <c r="E3978" t="s">
        <v>63</v>
      </c>
      <c r="F3978" t="s">
        <v>25</v>
      </c>
      <c r="G3978">
        <v>17</v>
      </c>
      <c r="I3978" t="s">
        <v>121</v>
      </c>
      <c r="J3978" t="s">
        <v>122</v>
      </c>
      <c r="K3978">
        <v>0</v>
      </c>
      <c r="L3978" s="84">
        <v>100158</v>
      </c>
      <c r="M3978" s="84">
        <v>1702686</v>
      </c>
    </row>
    <row r="3979" spans="3:13" hidden="1" x14ac:dyDescent="0.25">
      <c r="C3979" t="s">
        <v>65</v>
      </c>
      <c r="D3979" t="s">
        <v>120</v>
      </c>
      <c r="E3979" t="s">
        <v>60</v>
      </c>
      <c r="F3979" t="s">
        <v>25</v>
      </c>
      <c r="G3979">
        <v>17</v>
      </c>
      <c r="H3979" t="s">
        <v>76</v>
      </c>
      <c r="I3979" t="s">
        <v>121</v>
      </c>
      <c r="J3979" t="s">
        <v>122</v>
      </c>
      <c r="K3979">
        <v>0</v>
      </c>
      <c r="L3979" s="84">
        <v>-281497</v>
      </c>
      <c r="M3979" s="84">
        <v>0</v>
      </c>
    </row>
    <row r="3980" spans="3:13" hidden="1" x14ac:dyDescent="0.25">
      <c r="C3980" t="s">
        <v>64</v>
      </c>
      <c r="D3980" t="s">
        <v>120</v>
      </c>
      <c r="E3980" t="s">
        <v>63</v>
      </c>
      <c r="F3980" t="s">
        <v>124</v>
      </c>
      <c r="G3980">
        <v>3</v>
      </c>
      <c r="H3980" t="s">
        <v>14</v>
      </c>
      <c r="I3980" t="s">
        <v>121</v>
      </c>
      <c r="J3980" t="s">
        <v>66</v>
      </c>
      <c r="K3980">
        <v>1</v>
      </c>
      <c r="L3980" s="84">
        <v>10739027</v>
      </c>
      <c r="M3980" s="84">
        <v>32217081</v>
      </c>
    </row>
    <row r="3981" spans="3:13" hidden="1" x14ac:dyDescent="0.25">
      <c r="C3981" t="s">
        <v>64</v>
      </c>
      <c r="D3981" t="s">
        <v>120</v>
      </c>
      <c r="E3981" t="s">
        <v>60</v>
      </c>
      <c r="F3981" t="s">
        <v>123</v>
      </c>
      <c r="G3981">
        <v>3</v>
      </c>
      <c r="H3981" t="s">
        <v>70</v>
      </c>
      <c r="I3981" t="s">
        <v>121</v>
      </c>
      <c r="J3981" t="s">
        <v>122</v>
      </c>
      <c r="K3981">
        <v>0</v>
      </c>
      <c r="L3981" s="84">
        <v>-4933</v>
      </c>
      <c r="M3981" s="84">
        <v>0</v>
      </c>
    </row>
    <row r="3982" spans="3:13" hidden="1" x14ac:dyDescent="0.25">
      <c r="C3982" t="s">
        <v>119</v>
      </c>
      <c r="D3982" t="s">
        <v>120</v>
      </c>
      <c r="E3982" t="s">
        <v>60</v>
      </c>
      <c r="F3982" t="s">
        <v>124</v>
      </c>
      <c r="G3982">
        <v>4</v>
      </c>
      <c r="H3982" t="s">
        <v>17</v>
      </c>
      <c r="I3982" t="s">
        <v>62</v>
      </c>
      <c r="J3982" t="s">
        <v>122</v>
      </c>
      <c r="K3982">
        <v>1</v>
      </c>
      <c r="L3982" s="84">
        <v>-72</v>
      </c>
      <c r="M3982" s="84">
        <v>0</v>
      </c>
    </row>
    <row r="3983" spans="3:13" hidden="1" x14ac:dyDescent="0.25">
      <c r="C3983" t="s">
        <v>65</v>
      </c>
      <c r="D3983" t="s">
        <v>120</v>
      </c>
      <c r="E3983" t="s">
        <v>60</v>
      </c>
      <c r="F3983" t="s">
        <v>124</v>
      </c>
      <c r="G3983">
        <v>6</v>
      </c>
      <c r="H3983" t="s">
        <v>68</v>
      </c>
      <c r="I3983" t="s">
        <v>121</v>
      </c>
      <c r="J3983" t="s">
        <v>122</v>
      </c>
      <c r="K3983">
        <v>0</v>
      </c>
      <c r="L3983" s="84">
        <v>-280975</v>
      </c>
      <c r="M3983" s="84">
        <v>0</v>
      </c>
    </row>
    <row r="3984" spans="3:13" hidden="1" x14ac:dyDescent="0.25">
      <c r="C3984" t="s">
        <v>65</v>
      </c>
      <c r="D3984" t="s">
        <v>120</v>
      </c>
      <c r="E3984" t="s">
        <v>63</v>
      </c>
      <c r="F3984" t="s">
        <v>124</v>
      </c>
      <c r="G3984">
        <v>1</v>
      </c>
      <c r="H3984" t="s">
        <v>68</v>
      </c>
      <c r="I3984" t="s">
        <v>121</v>
      </c>
      <c r="J3984" t="s">
        <v>122</v>
      </c>
      <c r="K3984">
        <v>0</v>
      </c>
      <c r="L3984" s="84">
        <v>370196</v>
      </c>
      <c r="M3984" s="84">
        <v>370196</v>
      </c>
    </row>
    <row r="3985" spans="3:13" hidden="1" x14ac:dyDescent="0.25">
      <c r="C3985" t="s">
        <v>65</v>
      </c>
      <c r="D3985" t="s">
        <v>120</v>
      </c>
      <c r="E3985" t="s">
        <v>60</v>
      </c>
      <c r="F3985" t="s">
        <v>123</v>
      </c>
      <c r="G3985">
        <v>5</v>
      </c>
      <c r="H3985" t="s">
        <v>17</v>
      </c>
      <c r="I3985" t="s">
        <v>62</v>
      </c>
      <c r="J3985" t="s">
        <v>66</v>
      </c>
      <c r="K3985">
        <v>1</v>
      </c>
      <c r="L3985" s="84">
        <v>-25318</v>
      </c>
      <c r="M3985" s="84">
        <v>0</v>
      </c>
    </row>
    <row r="3986" spans="3:13" hidden="1" x14ac:dyDescent="0.25">
      <c r="C3986" t="s">
        <v>64</v>
      </c>
      <c r="D3986" t="s">
        <v>120</v>
      </c>
      <c r="E3986" t="s">
        <v>60</v>
      </c>
      <c r="F3986" t="s">
        <v>24</v>
      </c>
      <c r="G3986">
        <v>12</v>
      </c>
      <c r="H3986" t="s">
        <v>76</v>
      </c>
      <c r="I3986" t="s">
        <v>121</v>
      </c>
      <c r="J3986" t="s">
        <v>122</v>
      </c>
      <c r="K3986">
        <v>0</v>
      </c>
      <c r="L3986" s="84">
        <v>-5445</v>
      </c>
      <c r="M3986" s="84">
        <v>0</v>
      </c>
    </row>
    <row r="3987" spans="3:13" hidden="1" x14ac:dyDescent="0.25">
      <c r="C3987" t="s">
        <v>65</v>
      </c>
      <c r="D3987" t="s">
        <v>120</v>
      </c>
      <c r="E3987" t="s">
        <v>63</v>
      </c>
      <c r="F3987" t="s">
        <v>25</v>
      </c>
      <c r="G3987">
        <v>2</v>
      </c>
      <c r="H3987" t="s">
        <v>67</v>
      </c>
      <c r="I3987" t="s">
        <v>121</v>
      </c>
      <c r="J3987" t="s">
        <v>122</v>
      </c>
      <c r="K3987">
        <v>0</v>
      </c>
      <c r="L3987" s="84">
        <v>1011956</v>
      </c>
      <c r="M3987" s="84">
        <v>2023912</v>
      </c>
    </row>
    <row r="3988" spans="3:13" hidden="1" x14ac:dyDescent="0.25">
      <c r="C3988" t="s">
        <v>64</v>
      </c>
      <c r="D3988" t="s">
        <v>120</v>
      </c>
      <c r="E3988" t="s">
        <v>63</v>
      </c>
      <c r="F3988" t="s">
        <v>25</v>
      </c>
      <c r="G3988">
        <v>1</v>
      </c>
      <c r="H3988" t="s">
        <v>72</v>
      </c>
      <c r="I3988" t="s">
        <v>121</v>
      </c>
      <c r="J3988" t="s">
        <v>122</v>
      </c>
      <c r="K3988">
        <v>0</v>
      </c>
      <c r="L3988" s="84">
        <v>4821</v>
      </c>
      <c r="M3988" s="84">
        <v>4821</v>
      </c>
    </row>
    <row r="3989" spans="3:13" hidden="1" x14ac:dyDescent="0.25">
      <c r="C3989" t="s">
        <v>64</v>
      </c>
      <c r="D3989" t="s">
        <v>120</v>
      </c>
      <c r="E3989" t="s">
        <v>63</v>
      </c>
      <c r="F3989" t="s">
        <v>24</v>
      </c>
      <c r="G3989">
        <v>-1</v>
      </c>
      <c r="H3989" t="s">
        <v>68</v>
      </c>
      <c r="I3989" t="s">
        <v>121</v>
      </c>
      <c r="J3989" t="s">
        <v>122</v>
      </c>
      <c r="K3989">
        <v>0</v>
      </c>
      <c r="L3989" s="84">
        <v>100043</v>
      </c>
      <c r="M3989" s="84">
        <v>0</v>
      </c>
    </row>
    <row r="3990" spans="3:13" hidden="1" x14ac:dyDescent="0.25">
      <c r="C3990" t="s">
        <v>119</v>
      </c>
      <c r="D3990" t="s">
        <v>120</v>
      </c>
      <c r="E3990" t="s">
        <v>60</v>
      </c>
      <c r="F3990" t="s">
        <v>24</v>
      </c>
      <c r="G3990">
        <v>10</v>
      </c>
      <c r="H3990" t="s">
        <v>76</v>
      </c>
      <c r="I3990" t="s">
        <v>121</v>
      </c>
      <c r="J3990" t="s">
        <v>122</v>
      </c>
      <c r="K3990">
        <v>0</v>
      </c>
      <c r="L3990" s="84">
        <v>-86</v>
      </c>
      <c r="M3990" s="84">
        <v>0</v>
      </c>
    </row>
    <row r="3991" spans="3:13" hidden="1" x14ac:dyDescent="0.25">
      <c r="C3991" t="s">
        <v>65</v>
      </c>
      <c r="D3991" t="s">
        <v>120</v>
      </c>
      <c r="E3991" t="s">
        <v>63</v>
      </c>
      <c r="F3991" t="s">
        <v>124</v>
      </c>
      <c r="G3991">
        <v>2</v>
      </c>
      <c r="H3991" t="s">
        <v>18</v>
      </c>
      <c r="I3991" t="s">
        <v>121</v>
      </c>
      <c r="J3991" t="s">
        <v>66</v>
      </c>
      <c r="K3991">
        <v>1</v>
      </c>
      <c r="L3991" s="84">
        <v>225848</v>
      </c>
      <c r="M3991" s="84">
        <v>451696</v>
      </c>
    </row>
    <row r="3992" spans="3:13" hidden="1" x14ac:dyDescent="0.25">
      <c r="C3992" t="s">
        <v>64</v>
      </c>
      <c r="D3992" t="s">
        <v>120</v>
      </c>
      <c r="E3992" t="s">
        <v>60</v>
      </c>
      <c r="F3992" t="s">
        <v>124</v>
      </c>
      <c r="G3992">
        <v>6</v>
      </c>
      <c r="H3992" t="s">
        <v>67</v>
      </c>
      <c r="I3992" t="s">
        <v>121</v>
      </c>
      <c r="J3992" t="s">
        <v>122</v>
      </c>
      <c r="K3992">
        <v>0</v>
      </c>
      <c r="L3992" s="84">
        <v>-55118</v>
      </c>
      <c r="M3992" s="84">
        <v>0</v>
      </c>
    </row>
    <row r="3993" spans="3:13" hidden="1" x14ac:dyDescent="0.25">
      <c r="C3993" t="s">
        <v>65</v>
      </c>
      <c r="D3993" t="s">
        <v>120</v>
      </c>
      <c r="E3993" t="s">
        <v>63</v>
      </c>
      <c r="F3993" t="s">
        <v>124</v>
      </c>
      <c r="G3993">
        <v>-4</v>
      </c>
      <c r="H3993" t="s">
        <v>14</v>
      </c>
      <c r="I3993" t="s">
        <v>121</v>
      </c>
      <c r="J3993" t="s">
        <v>122</v>
      </c>
      <c r="K3993">
        <v>0</v>
      </c>
      <c r="L3993" s="84">
        <v>11213892</v>
      </c>
      <c r="M3993" s="84">
        <v>0</v>
      </c>
    </row>
    <row r="3994" spans="3:13" hidden="1" x14ac:dyDescent="0.25">
      <c r="C3994" t="s">
        <v>64</v>
      </c>
      <c r="D3994" t="s">
        <v>120</v>
      </c>
      <c r="E3994" t="s">
        <v>63</v>
      </c>
      <c r="F3994" t="s">
        <v>124</v>
      </c>
      <c r="G3994">
        <v>6</v>
      </c>
      <c r="H3994" t="s">
        <v>67</v>
      </c>
      <c r="I3994" t="s">
        <v>121</v>
      </c>
      <c r="J3994" t="s">
        <v>122</v>
      </c>
      <c r="K3994">
        <v>0</v>
      </c>
      <c r="L3994" s="84">
        <v>770120</v>
      </c>
      <c r="M3994" s="84">
        <v>4620720</v>
      </c>
    </row>
    <row r="3995" spans="3:13" hidden="1" x14ac:dyDescent="0.25">
      <c r="C3995" t="s">
        <v>119</v>
      </c>
      <c r="D3995" t="s">
        <v>125</v>
      </c>
      <c r="E3995" t="s">
        <v>60</v>
      </c>
      <c r="F3995" t="s">
        <v>25</v>
      </c>
      <c r="G3995">
        <v>15</v>
      </c>
      <c r="I3995" t="s">
        <v>121</v>
      </c>
      <c r="J3995" t="s">
        <v>122</v>
      </c>
      <c r="K3995">
        <v>0</v>
      </c>
      <c r="L3995" s="84">
        <v>-19051</v>
      </c>
      <c r="M3995" s="84">
        <v>0</v>
      </c>
    </row>
    <row r="3996" spans="3:13" hidden="1" x14ac:dyDescent="0.25">
      <c r="C3996" t="s">
        <v>65</v>
      </c>
      <c r="D3996" t="s">
        <v>125</v>
      </c>
      <c r="E3996" t="s">
        <v>63</v>
      </c>
      <c r="F3996" t="s">
        <v>25</v>
      </c>
      <c r="G3996">
        <v>18</v>
      </c>
      <c r="I3996" t="s">
        <v>121</v>
      </c>
      <c r="J3996" t="s">
        <v>122</v>
      </c>
      <c r="K3996">
        <v>0</v>
      </c>
      <c r="L3996" s="84">
        <v>26413</v>
      </c>
      <c r="M3996" s="84">
        <v>475434</v>
      </c>
    </row>
    <row r="3997" spans="3:13" hidden="1" x14ac:dyDescent="0.25">
      <c r="C3997" t="s">
        <v>119</v>
      </c>
      <c r="D3997" t="s">
        <v>120</v>
      </c>
      <c r="E3997" t="s">
        <v>63</v>
      </c>
      <c r="F3997" t="s">
        <v>25</v>
      </c>
      <c r="G3997">
        <v>14</v>
      </c>
      <c r="H3997" t="s">
        <v>76</v>
      </c>
      <c r="I3997" t="s">
        <v>121</v>
      </c>
      <c r="J3997" t="s">
        <v>122</v>
      </c>
      <c r="K3997">
        <v>0</v>
      </c>
      <c r="L3997" s="84">
        <v>162151</v>
      </c>
      <c r="M3997" s="84">
        <v>2270114</v>
      </c>
    </row>
    <row r="3998" spans="3:13" hidden="1" x14ac:dyDescent="0.25">
      <c r="C3998" t="s">
        <v>119</v>
      </c>
      <c r="D3998" t="s">
        <v>120</v>
      </c>
      <c r="E3998" t="s">
        <v>63</v>
      </c>
      <c r="F3998" t="s">
        <v>123</v>
      </c>
      <c r="G3998">
        <v>3</v>
      </c>
      <c r="H3998" t="s">
        <v>14</v>
      </c>
      <c r="I3998" t="s">
        <v>121</v>
      </c>
      <c r="J3998" t="s">
        <v>66</v>
      </c>
      <c r="K3998">
        <v>1</v>
      </c>
      <c r="L3998" s="84">
        <v>5094873</v>
      </c>
      <c r="M3998" s="84">
        <v>15284619</v>
      </c>
    </row>
    <row r="3999" spans="3:13" hidden="1" x14ac:dyDescent="0.25">
      <c r="C3999" t="s">
        <v>119</v>
      </c>
      <c r="D3999" t="s">
        <v>120</v>
      </c>
      <c r="E3999" t="s">
        <v>60</v>
      </c>
      <c r="F3999" t="s">
        <v>25</v>
      </c>
      <c r="G3999">
        <v>14</v>
      </c>
      <c r="H3999" t="s">
        <v>14</v>
      </c>
      <c r="I3999" t="s">
        <v>121</v>
      </c>
      <c r="J3999" t="s">
        <v>122</v>
      </c>
      <c r="K3999">
        <v>0</v>
      </c>
      <c r="L3999" s="84">
        <v>-5026</v>
      </c>
      <c r="M3999" s="84">
        <v>0</v>
      </c>
    </row>
    <row r="4000" spans="3:13" hidden="1" x14ac:dyDescent="0.25">
      <c r="C4000" t="s">
        <v>64</v>
      </c>
      <c r="D4000" t="s">
        <v>120</v>
      </c>
      <c r="E4000" t="s">
        <v>63</v>
      </c>
      <c r="F4000" t="s">
        <v>25</v>
      </c>
      <c r="G4000">
        <v>3</v>
      </c>
      <c r="H4000" t="s">
        <v>68</v>
      </c>
      <c r="I4000" t="s">
        <v>121</v>
      </c>
      <c r="J4000" t="s">
        <v>122</v>
      </c>
      <c r="K4000">
        <v>0</v>
      </c>
      <c r="L4000" s="84">
        <v>3211000</v>
      </c>
      <c r="M4000" s="84">
        <v>9633000</v>
      </c>
    </row>
    <row r="4001" spans="3:13" hidden="1" x14ac:dyDescent="0.25">
      <c r="C4001" t="s">
        <v>119</v>
      </c>
      <c r="D4001" t="s">
        <v>120</v>
      </c>
      <c r="E4001" t="s">
        <v>63</v>
      </c>
      <c r="F4001" t="s">
        <v>24</v>
      </c>
      <c r="G4001">
        <v>15</v>
      </c>
      <c r="H4001" t="s">
        <v>18</v>
      </c>
      <c r="I4001" t="s">
        <v>121</v>
      </c>
      <c r="J4001" t="s">
        <v>122</v>
      </c>
      <c r="K4001">
        <v>0</v>
      </c>
      <c r="L4001" s="84">
        <v>235337</v>
      </c>
      <c r="M4001" s="84">
        <v>3530055</v>
      </c>
    </row>
    <row r="4002" spans="3:13" hidden="1" x14ac:dyDescent="0.25">
      <c r="C4002" t="s">
        <v>65</v>
      </c>
      <c r="D4002" t="s">
        <v>120</v>
      </c>
      <c r="E4002" t="s">
        <v>60</v>
      </c>
      <c r="F4002" t="s">
        <v>124</v>
      </c>
      <c r="G4002">
        <v>4</v>
      </c>
      <c r="H4002" t="s">
        <v>12</v>
      </c>
      <c r="I4002" t="s">
        <v>62</v>
      </c>
      <c r="J4002" t="s">
        <v>66</v>
      </c>
      <c r="K4002">
        <v>1</v>
      </c>
      <c r="L4002" s="84">
        <v>-12785</v>
      </c>
      <c r="M4002" s="84">
        <v>0</v>
      </c>
    </row>
    <row r="4003" spans="3:13" x14ac:dyDescent="0.25">
      <c r="C4003" t="s">
        <v>119</v>
      </c>
      <c r="D4003" t="s">
        <v>120</v>
      </c>
      <c r="E4003" t="s">
        <v>63</v>
      </c>
      <c r="F4003" t="s">
        <v>25</v>
      </c>
      <c r="G4003">
        <v>11</v>
      </c>
      <c r="H4003" t="s">
        <v>17</v>
      </c>
      <c r="I4003" t="s">
        <v>121</v>
      </c>
      <c r="J4003" t="s">
        <v>66</v>
      </c>
      <c r="K4003">
        <v>1</v>
      </c>
      <c r="L4003" s="84">
        <v>47562</v>
      </c>
      <c r="M4003" s="84">
        <v>523182</v>
      </c>
    </row>
    <row r="4004" spans="3:13" hidden="1" x14ac:dyDescent="0.25">
      <c r="C4004" t="s">
        <v>65</v>
      </c>
      <c r="D4004" t="s">
        <v>120</v>
      </c>
      <c r="E4004" t="s">
        <v>63</v>
      </c>
      <c r="F4004" t="s">
        <v>123</v>
      </c>
      <c r="G4004">
        <v>-1</v>
      </c>
      <c r="H4004" t="s">
        <v>18</v>
      </c>
      <c r="I4004" t="s">
        <v>121</v>
      </c>
      <c r="J4004" t="s">
        <v>122</v>
      </c>
      <c r="K4004">
        <v>0</v>
      </c>
      <c r="L4004" s="84">
        <v>160145</v>
      </c>
      <c r="M4004" s="84">
        <v>0</v>
      </c>
    </row>
    <row r="4005" spans="3:13" hidden="1" x14ac:dyDescent="0.25">
      <c r="C4005" t="s">
        <v>119</v>
      </c>
      <c r="D4005" t="s">
        <v>125</v>
      </c>
      <c r="E4005" t="s">
        <v>60</v>
      </c>
      <c r="F4005" t="s">
        <v>24</v>
      </c>
      <c r="G4005">
        <v>47</v>
      </c>
      <c r="I4005" t="s">
        <v>121</v>
      </c>
      <c r="J4005" t="s">
        <v>122</v>
      </c>
      <c r="K4005">
        <v>0</v>
      </c>
      <c r="L4005" s="84">
        <v>-221</v>
      </c>
      <c r="M4005" s="84">
        <v>0</v>
      </c>
    </row>
    <row r="4006" spans="3:13" hidden="1" x14ac:dyDescent="0.25">
      <c r="C4006" t="s">
        <v>119</v>
      </c>
      <c r="D4006" t="s">
        <v>120</v>
      </c>
      <c r="E4006" t="s">
        <v>63</v>
      </c>
      <c r="F4006" t="s">
        <v>124</v>
      </c>
      <c r="G4006">
        <v>7</v>
      </c>
      <c r="H4006" t="s">
        <v>14</v>
      </c>
      <c r="I4006" t="s">
        <v>121</v>
      </c>
      <c r="J4006" t="s">
        <v>66</v>
      </c>
      <c r="K4006">
        <v>1</v>
      </c>
      <c r="L4006" s="84">
        <v>729182</v>
      </c>
      <c r="M4006" s="84">
        <v>5104274</v>
      </c>
    </row>
    <row r="4007" spans="3:13" hidden="1" x14ac:dyDescent="0.25">
      <c r="C4007" t="s">
        <v>65</v>
      </c>
      <c r="D4007" t="s">
        <v>120</v>
      </c>
      <c r="E4007" t="s">
        <v>60</v>
      </c>
      <c r="F4007" t="s">
        <v>25</v>
      </c>
      <c r="G4007">
        <v>29</v>
      </c>
      <c r="H4007" t="s">
        <v>61</v>
      </c>
      <c r="I4007" t="s">
        <v>121</v>
      </c>
      <c r="J4007" t="s">
        <v>122</v>
      </c>
      <c r="K4007">
        <v>0</v>
      </c>
      <c r="L4007" s="84">
        <v>-5550000</v>
      </c>
      <c r="M4007" s="84">
        <v>0</v>
      </c>
    </row>
    <row r="4008" spans="3:13" hidden="1" x14ac:dyDescent="0.25">
      <c r="C4008" t="s">
        <v>119</v>
      </c>
      <c r="D4008" t="s">
        <v>120</v>
      </c>
      <c r="E4008" t="s">
        <v>60</v>
      </c>
      <c r="F4008" t="s">
        <v>124</v>
      </c>
      <c r="G4008">
        <v>10</v>
      </c>
      <c r="H4008" t="s">
        <v>15</v>
      </c>
      <c r="I4008" t="s">
        <v>121</v>
      </c>
      <c r="J4008" t="s">
        <v>66</v>
      </c>
      <c r="K4008">
        <v>1</v>
      </c>
      <c r="L4008" s="84">
        <v>-79885</v>
      </c>
      <c r="M4008" s="84">
        <v>0</v>
      </c>
    </row>
    <row r="4009" spans="3:13" hidden="1" x14ac:dyDescent="0.25">
      <c r="C4009" t="s">
        <v>64</v>
      </c>
      <c r="D4009" t="s">
        <v>120</v>
      </c>
      <c r="E4009" t="s">
        <v>60</v>
      </c>
      <c r="F4009" t="s">
        <v>25</v>
      </c>
      <c r="G4009">
        <v>3</v>
      </c>
      <c r="H4009" t="s">
        <v>14</v>
      </c>
      <c r="I4009" t="s">
        <v>121</v>
      </c>
      <c r="J4009" t="s">
        <v>66</v>
      </c>
      <c r="K4009">
        <v>1</v>
      </c>
      <c r="L4009" s="84">
        <v>-16057</v>
      </c>
      <c r="M4009" s="84">
        <v>0</v>
      </c>
    </row>
    <row r="4010" spans="3:13" hidden="1" x14ac:dyDescent="0.25">
      <c r="C4010" t="s">
        <v>119</v>
      </c>
      <c r="D4010" t="s">
        <v>126</v>
      </c>
      <c r="E4010" t="s">
        <v>63</v>
      </c>
      <c r="F4010" t="s">
        <v>25</v>
      </c>
      <c r="G4010">
        <v>15</v>
      </c>
      <c r="H4010" t="s">
        <v>74</v>
      </c>
      <c r="I4010" t="s">
        <v>121</v>
      </c>
      <c r="J4010" t="s">
        <v>122</v>
      </c>
      <c r="K4010">
        <v>0</v>
      </c>
      <c r="L4010" s="84">
        <v>103868</v>
      </c>
      <c r="M4010" s="84">
        <v>1558020</v>
      </c>
    </row>
    <row r="4011" spans="3:13" hidden="1" x14ac:dyDescent="0.25">
      <c r="C4011" t="s">
        <v>64</v>
      </c>
      <c r="D4011" t="s">
        <v>120</v>
      </c>
      <c r="E4011" t="s">
        <v>63</v>
      </c>
      <c r="F4011" t="s">
        <v>123</v>
      </c>
      <c r="G4011">
        <v>6</v>
      </c>
      <c r="H4011" t="s">
        <v>18</v>
      </c>
      <c r="I4011" t="s">
        <v>121</v>
      </c>
      <c r="J4011" t="s">
        <v>122</v>
      </c>
      <c r="K4011">
        <v>0</v>
      </c>
      <c r="L4011" s="84">
        <v>119753</v>
      </c>
      <c r="M4011" s="84">
        <v>718518</v>
      </c>
    </row>
    <row r="4012" spans="3:13" hidden="1" x14ac:dyDescent="0.25">
      <c r="C4012" t="s">
        <v>65</v>
      </c>
      <c r="D4012" t="s">
        <v>120</v>
      </c>
      <c r="E4012" t="s">
        <v>60</v>
      </c>
      <c r="F4012" t="s">
        <v>25</v>
      </c>
      <c r="G4012">
        <v>14</v>
      </c>
      <c r="H4012" t="s">
        <v>18</v>
      </c>
      <c r="I4012" t="s">
        <v>121</v>
      </c>
      <c r="J4012" t="s">
        <v>122</v>
      </c>
      <c r="K4012">
        <v>0</v>
      </c>
      <c r="L4012" s="84">
        <v>-64703</v>
      </c>
      <c r="M4012" s="84">
        <v>0</v>
      </c>
    </row>
    <row r="4013" spans="3:13" hidden="1" x14ac:dyDescent="0.25">
      <c r="C4013" t="s">
        <v>65</v>
      </c>
      <c r="D4013" t="s">
        <v>120</v>
      </c>
      <c r="E4013" t="s">
        <v>60</v>
      </c>
      <c r="F4013" t="s">
        <v>123</v>
      </c>
      <c r="G4013">
        <v>3</v>
      </c>
      <c r="H4013" t="s">
        <v>14</v>
      </c>
      <c r="I4013" t="s">
        <v>121</v>
      </c>
      <c r="J4013" t="s">
        <v>122</v>
      </c>
      <c r="K4013">
        <v>0</v>
      </c>
      <c r="L4013" s="84">
        <v>-252260</v>
      </c>
      <c r="M4013" s="84">
        <v>0</v>
      </c>
    </row>
    <row r="4014" spans="3:13" hidden="1" x14ac:dyDescent="0.25">
      <c r="C4014" t="s">
        <v>119</v>
      </c>
      <c r="D4014" t="s">
        <v>120</v>
      </c>
      <c r="E4014" t="s">
        <v>63</v>
      </c>
      <c r="F4014" t="s">
        <v>123</v>
      </c>
      <c r="G4014">
        <v>4</v>
      </c>
      <c r="H4014" t="s">
        <v>72</v>
      </c>
      <c r="I4014" t="s">
        <v>121</v>
      </c>
      <c r="J4014" t="s">
        <v>122</v>
      </c>
      <c r="K4014">
        <v>0</v>
      </c>
      <c r="L4014" s="84">
        <v>6963053</v>
      </c>
      <c r="M4014" s="84">
        <v>27852212</v>
      </c>
    </row>
    <row r="4015" spans="3:13" hidden="1" x14ac:dyDescent="0.25">
      <c r="C4015" t="s">
        <v>65</v>
      </c>
      <c r="D4015" t="s">
        <v>120</v>
      </c>
      <c r="E4015" t="s">
        <v>63</v>
      </c>
      <c r="F4015" t="s">
        <v>25</v>
      </c>
      <c r="G4015">
        <v>27</v>
      </c>
      <c r="H4015" t="s">
        <v>69</v>
      </c>
      <c r="I4015" t="s">
        <v>121</v>
      </c>
      <c r="J4015" t="s">
        <v>122</v>
      </c>
      <c r="K4015">
        <v>0</v>
      </c>
      <c r="L4015" s="84">
        <v>6330314</v>
      </c>
      <c r="M4015" s="84">
        <v>170918478</v>
      </c>
    </row>
    <row r="4016" spans="3:13" hidden="1" x14ac:dyDescent="0.25">
      <c r="C4016" t="s">
        <v>119</v>
      </c>
      <c r="D4016" t="s">
        <v>120</v>
      </c>
      <c r="E4016" t="s">
        <v>60</v>
      </c>
      <c r="F4016" t="s">
        <v>124</v>
      </c>
      <c r="G4016">
        <v>8</v>
      </c>
      <c r="H4016" t="s">
        <v>67</v>
      </c>
      <c r="I4016" t="s">
        <v>121</v>
      </c>
      <c r="J4016" t="s">
        <v>122</v>
      </c>
      <c r="K4016">
        <v>0</v>
      </c>
      <c r="L4016" s="84">
        <v>-4660</v>
      </c>
      <c r="M4016" s="84">
        <v>0</v>
      </c>
    </row>
    <row r="4017" spans="3:13" hidden="1" x14ac:dyDescent="0.25">
      <c r="C4017" t="s">
        <v>64</v>
      </c>
      <c r="D4017" t="s">
        <v>120</v>
      </c>
      <c r="E4017" t="s">
        <v>63</v>
      </c>
      <c r="F4017" t="s">
        <v>124</v>
      </c>
      <c r="G4017">
        <v>-1</v>
      </c>
      <c r="H4017" t="s">
        <v>14</v>
      </c>
      <c r="I4017" t="s">
        <v>62</v>
      </c>
      <c r="J4017" t="s">
        <v>66</v>
      </c>
      <c r="K4017">
        <v>1</v>
      </c>
      <c r="L4017" s="84">
        <v>13585</v>
      </c>
      <c r="M4017" s="84">
        <v>0</v>
      </c>
    </row>
    <row r="4018" spans="3:13" hidden="1" x14ac:dyDescent="0.25">
      <c r="C4018" t="s">
        <v>119</v>
      </c>
      <c r="D4018" t="s">
        <v>120</v>
      </c>
      <c r="E4018" t="s">
        <v>63</v>
      </c>
      <c r="F4018" t="s">
        <v>123</v>
      </c>
      <c r="G4018">
        <v>-1</v>
      </c>
      <c r="H4018" t="s">
        <v>76</v>
      </c>
      <c r="I4018" t="s">
        <v>121</v>
      </c>
      <c r="J4018" t="s">
        <v>122</v>
      </c>
      <c r="K4018">
        <v>0</v>
      </c>
      <c r="L4018" s="84">
        <v>53721</v>
      </c>
      <c r="M4018" s="84">
        <v>0</v>
      </c>
    </row>
    <row r="4019" spans="3:13" hidden="1" x14ac:dyDescent="0.25">
      <c r="C4019" t="s">
        <v>64</v>
      </c>
      <c r="D4019" t="s">
        <v>120</v>
      </c>
      <c r="E4019" t="s">
        <v>60</v>
      </c>
      <c r="F4019" t="s">
        <v>124</v>
      </c>
      <c r="G4019">
        <v>1</v>
      </c>
      <c r="H4019" t="s">
        <v>17</v>
      </c>
      <c r="I4019" t="s">
        <v>62</v>
      </c>
      <c r="J4019" t="s">
        <v>122</v>
      </c>
      <c r="K4019">
        <v>1</v>
      </c>
      <c r="L4019" s="84">
        <v>-1401</v>
      </c>
      <c r="M4019" s="84">
        <v>0</v>
      </c>
    </row>
    <row r="4020" spans="3:13" hidden="1" x14ac:dyDescent="0.25">
      <c r="C4020" t="s">
        <v>119</v>
      </c>
      <c r="D4020" t="s">
        <v>120</v>
      </c>
      <c r="E4020" t="s">
        <v>60</v>
      </c>
      <c r="F4020" t="s">
        <v>25</v>
      </c>
      <c r="G4020">
        <v>3</v>
      </c>
      <c r="H4020" t="s">
        <v>72</v>
      </c>
      <c r="I4020" t="s">
        <v>121</v>
      </c>
      <c r="J4020" t="s">
        <v>122</v>
      </c>
      <c r="K4020">
        <v>0</v>
      </c>
      <c r="L4020" s="84">
        <v>-715</v>
      </c>
      <c r="M4020" s="84">
        <v>0</v>
      </c>
    </row>
    <row r="4021" spans="3:13" hidden="1" x14ac:dyDescent="0.25">
      <c r="C4021" t="s">
        <v>119</v>
      </c>
      <c r="D4021" t="s">
        <v>120</v>
      </c>
      <c r="E4021" t="s">
        <v>63</v>
      </c>
      <c r="F4021" t="s">
        <v>24</v>
      </c>
      <c r="G4021">
        <v>6</v>
      </c>
      <c r="H4021" t="s">
        <v>70</v>
      </c>
      <c r="I4021" t="s">
        <v>121</v>
      </c>
      <c r="J4021" t="s">
        <v>122</v>
      </c>
      <c r="K4021">
        <v>0</v>
      </c>
      <c r="L4021" s="84">
        <v>50300</v>
      </c>
      <c r="M4021" s="84">
        <v>301800</v>
      </c>
    </row>
    <row r="4022" spans="3:13" hidden="1" x14ac:dyDescent="0.25">
      <c r="C4022" t="s">
        <v>119</v>
      </c>
      <c r="D4022" t="s">
        <v>120</v>
      </c>
      <c r="E4022" t="s">
        <v>60</v>
      </c>
      <c r="F4022" t="s">
        <v>24</v>
      </c>
      <c r="G4022">
        <v>6</v>
      </c>
      <c r="H4022" t="s">
        <v>69</v>
      </c>
      <c r="I4022" t="s">
        <v>121</v>
      </c>
      <c r="J4022" t="s">
        <v>122</v>
      </c>
      <c r="K4022">
        <v>0</v>
      </c>
      <c r="L4022" s="84">
        <v>-7821</v>
      </c>
      <c r="M4022" s="84">
        <v>0</v>
      </c>
    </row>
    <row r="4023" spans="3:13" hidden="1" x14ac:dyDescent="0.25">
      <c r="C4023" t="s">
        <v>119</v>
      </c>
      <c r="D4023" t="s">
        <v>120</v>
      </c>
      <c r="E4023" t="s">
        <v>60</v>
      </c>
      <c r="F4023" t="s">
        <v>25</v>
      </c>
      <c r="G4023">
        <v>0</v>
      </c>
      <c r="H4023" t="s">
        <v>67</v>
      </c>
      <c r="I4023" t="s">
        <v>121</v>
      </c>
      <c r="J4023" t="s">
        <v>122</v>
      </c>
      <c r="K4023">
        <v>0</v>
      </c>
      <c r="L4023" s="84">
        <v>-276</v>
      </c>
      <c r="M4023" s="84">
        <v>0</v>
      </c>
    </row>
    <row r="4024" spans="3:13" hidden="1" x14ac:dyDescent="0.25">
      <c r="C4024" t="s">
        <v>64</v>
      </c>
      <c r="D4024" t="s">
        <v>120</v>
      </c>
      <c r="E4024" t="s">
        <v>60</v>
      </c>
      <c r="F4024" t="s">
        <v>24</v>
      </c>
      <c r="G4024">
        <v>5</v>
      </c>
      <c r="H4024" t="s">
        <v>69</v>
      </c>
      <c r="I4024" t="s">
        <v>121</v>
      </c>
      <c r="J4024" t="s">
        <v>122</v>
      </c>
      <c r="K4024">
        <v>0</v>
      </c>
      <c r="L4024" s="84">
        <v>-9019</v>
      </c>
      <c r="M4024" s="84">
        <v>0</v>
      </c>
    </row>
    <row r="4025" spans="3:13" hidden="1" x14ac:dyDescent="0.25">
      <c r="C4025" t="s">
        <v>64</v>
      </c>
      <c r="D4025" t="s">
        <v>120</v>
      </c>
      <c r="E4025" t="s">
        <v>60</v>
      </c>
      <c r="F4025" t="s">
        <v>25</v>
      </c>
      <c r="G4025">
        <v>0</v>
      </c>
      <c r="H4025" t="s">
        <v>68</v>
      </c>
      <c r="I4025" t="s">
        <v>121</v>
      </c>
      <c r="J4025" t="s">
        <v>122</v>
      </c>
      <c r="K4025">
        <v>0</v>
      </c>
      <c r="L4025" s="84">
        <v>-1239</v>
      </c>
      <c r="M4025" s="84">
        <v>0</v>
      </c>
    </row>
    <row r="4026" spans="3:13" hidden="1" x14ac:dyDescent="0.25">
      <c r="C4026" t="s">
        <v>65</v>
      </c>
      <c r="D4026" t="s">
        <v>120</v>
      </c>
      <c r="E4026" t="s">
        <v>60</v>
      </c>
      <c r="F4026" t="s">
        <v>123</v>
      </c>
      <c r="G4026">
        <v>4</v>
      </c>
      <c r="H4026" t="s">
        <v>14</v>
      </c>
      <c r="I4026" t="s">
        <v>121</v>
      </c>
      <c r="J4026" t="s">
        <v>122</v>
      </c>
      <c r="K4026">
        <v>0</v>
      </c>
      <c r="L4026" s="84">
        <v>-128503</v>
      </c>
      <c r="M4026" s="84">
        <v>0</v>
      </c>
    </row>
    <row r="4027" spans="3:13" hidden="1" x14ac:dyDescent="0.25">
      <c r="C4027" t="s">
        <v>65</v>
      </c>
      <c r="D4027" t="s">
        <v>120</v>
      </c>
      <c r="E4027" t="s">
        <v>60</v>
      </c>
      <c r="F4027" t="s">
        <v>124</v>
      </c>
      <c r="G4027">
        <v>5</v>
      </c>
      <c r="H4027" t="s">
        <v>14</v>
      </c>
      <c r="I4027" t="s">
        <v>121</v>
      </c>
      <c r="J4027" t="s">
        <v>66</v>
      </c>
      <c r="K4027">
        <v>1</v>
      </c>
      <c r="L4027" s="84">
        <v>-422809</v>
      </c>
      <c r="M4027" s="84">
        <v>0</v>
      </c>
    </row>
    <row r="4028" spans="3:13" hidden="1" x14ac:dyDescent="0.25">
      <c r="C4028" t="s">
        <v>65</v>
      </c>
      <c r="D4028" t="s">
        <v>125</v>
      </c>
      <c r="E4028" t="s">
        <v>63</v>
      </c>
      <c r="F4028" t="s">
        <v>24</v>
      </c>
      <c r="G4028">
        <v>22</v>
      </c>
      <c r="I4028" t="s">
        <v>121</v>
      </c>
      <c r="J4028" t="s">
        <v>122</v>
      </c>
      <c r="K4028">
        <v>0</v>
      </c>
      <c r="L4028" s="84">
        <v>7954593</v>
      </c>
      <c r="M4028" s="84">
        <v>175001046</v>
      </c>
    </row>
    <row r="4029" spans="3:13" hidden="1" x14ac:dyDescent="0.25">
      <c r="C4029" t="s">
        <v>64</v>
      </c>
      <c r="D4029" t="s">
        <v>120</v>
      </c>
      <c r="E4029" t="s">
        <v>60</v>
      </c>
      <c r="F4029" t="s">
        <v>25</v>
      </c>
      <c r="G4029">
        <v>9</v>
      </c>
      <c r="H4029" t="s">
        <v>14</v>
      </c>
      <c r="I4029" t="s">
        <v>121</v>
      </c>
      <c r="J4029" t="s">
        <v>122</v>
      </c>
      <c r="K4029">
        <v>0</v>
      </c>
      <c r="L4029" s="84">
        <v>-83286</v>
      </c>
      <c r="M4029" s="84">
        <v>0</v>
      </c>
    </row>
    <row r="4030" spans="3:13" hidden="1" x14ac:dyDescent="0.25">
      <c r="C4030" t="s">
        <v>119</v>
      </c>
      <c r="D4030" t="s">
        <v>126</v>
      </c>
      <c r="E4030" t="s">
        <v>63</v>
      </c>
      <c r="F4030" t="s">
        <v>25</v>
      </c>
      <c r="G4030">
        <v>13</v>
      </c>
      <c r="H4030" t="s">
        <v>74</v>
      </c>
      <c r="I4030" t="s">
        <v>121</v>
      </c>
      <c r="J4030" t="s">
        <v>122</v>
      </c>
      <c r="K4030">
        <v>0</v>
      </c>
      <c r="L4030" s="84">
        <v>99495</v>
      </c>
      <c r="M4030" s="84">
        <v>1293435</v>
      </c>
    </row>
    <row r="4031" spans="3:13" hidden="1" x14ac:dyDescent="0.25">
      <c r="C4031" t="s">
        <v>65</v>
      </c>
      <c r="D4031" t="s">
        <v>120</v>
      </c>
      <c r="E4031" t="s">
        <v>63</v>
      </c>
      <c r="F4031" t="s">
        <v>124</v>
      </c>
      <c r="G4031">
        <v>1</v>
      </c>
      <c r="H4031" t="s">
        <v>76</v>
      </c>
      <c r="I4031" t="s">
        <v>121</v>
      </c>
      <c r="J4031" t="s">
        <v>122</v>
      </c>
      <c r="K4031">
        <v>0</v>
      </c>
      <c r="L4031" s="84">
        <v>159664</v>
      </c>
      <c r="M4031" s="84">
        <v>159664</v>
      </c>
    </row>
    <row r="4032" spans="3:13" hidden="1" x14ac:dyDescent="0.25">
      <c r="C4032" t="s">
        <v>64</v>
      </c>
      <c r="D4032" t="s">
        <v>120</v>
      </c>
      <c r="E4032" t="s">
        <v>63</v>
      </c>
      <c r="F4032" t="s">
        <v>124</v>
      </c>
      <c r="G4032">
        <v>5</v>
      </c>
      <c r="H4032" t="s">
        <v>17</v>
      </c>
      <c r="I4032" t="s">
        <v>121</v>
      </c>
      <c r="J4032" t="s">
        <v>122</v>
      </c>
      <c r="K4032">
        <v>0</v>
      </c>
      <c r="L4032" s="84">
        <v>2520764</v>
      </c>
      <c r="M4032" s="84">
        <v>12603820</v>
      </c>
    </row>
    <row r="4033" spans="3:13" hidden="1" x14ac:dyDescent="0.25">
      <c r="C4033" t="s">
        <v>64</v>
      </c>
      <c r="D4033" t="s">
        <v>120</v>
      </c>
      <c r="E4033" t="s">
        <v>60</v>
      </c>
      <c r="F4033" t="s">
        <v>24</v>
      </c>
      <c r="G4033">
        <v>12</v>
      </c>
      <c r="H4033" t="s">
        <v>68</v>
      </c>
      <c r="I4033" t="s">
        <v>121</v>
      </c>
      <c r="J4033" t="s">
        <v>122</v>
      </c>
      <c r="K4033">
        <v>0</v>
      </c>
      <c r="L4033" s="84">
        <v>-42557</v>
      </c>
      <c r="M4033" s="84">
        <v>0</v>
      </c>
    </row>
    <row r="4034" spans="3:13" hidden="1" x14ac:dyDescent="0.25">
      <c r="C4034" t="s">
        <v>119</v>
      </c>
      <c r="D4034" t="s">
        <v>120</v>
      </c>
      <c r="E4034" t="s">
        <v>60</v>
      </c>
      <c r="F4034" t="s">
        <v>25</v>
      </c>
      <c r="G4034">
        <v>10</v>
      </c>
      <c r="H4034" t="s">
        <v>61</v>
      </c>
      <c r="I4034" t="s">
        <v>121</v>
      </c>
      <c r="J4034" t="s">
        <v>122</v>
      </c>
      <c r="K4034">
        <v>0</v>
      </c>
      <c r="L4034" s="84">
        <v>-673</v>
      </c>
      <c r="M4034" s="84">
        <v>0</v>
      </c>
    </row>
    <row r="4035" spans="3:13" hidden="1" x14ac:dyDescent="0.25">
      <c r="C4035" t="s">
        <v>65</v>
      </c>
      <c r="D4035" t="s">
        <v>120</v>
      </c>
      <c r="E4035" t="s">
        <v>60</v>
      </c>
      <c r="F4035" t="s">
        <v>124</v>
      </c>
      <c r="G4035">
        <v>4</v>
      </c>
      <c r="H4035" t="s">
        <v>70</v>
      </c>
      <c r="I4035" t="s">
        <v>121</v>
      </c>
      <c r="J4035" t="s">
        <v>122</v>
      </c>
      <c r="K4035">
        <v>0</v>
      </c>
      <c r="L4035" s="84">
        <v>-151452</v>
      </c>
      <c r="M4035" s="84">
        <v>0</v>
      </c>
    </row>
    <row r="4036" spans="3:13" hidden="1" x14ac:dyDescent="0.25">
      <c r="C4036" t="s">
        <v>119</v>
      </c>
      <c r="D4036" t="s">
        <v>120</v>
      </c>
      <c r="E4036" t="s">
        <v>63</v>
      </c>
      <c r="F4036" t="s">
        <v>25</v>
      </c>
      <c r="G4036">
        <v>9</v>
      </c>
      <c r="H4036" t="s">
        <v>17</v>
      </c>
      <c r="I4036" t="s">
        <v>121</v>
      </c>
      <c r="J4036" t="s">
        <v>122</v>
      </c>
      <c r="K4036">
        <v>0</v>
      </c>
      <c r="L4036" s="84">
        <v>12877914</v>
      </c>
      <c r="M4036" s="84">
        <v>115901226</v>
      </c>
    </row>
    <row r="4037" spans="3:13" hidden="1" x14ac:dyDescent="0.25">
      <c r="C4037" t="s">
        <v>119</v>
      </c>
      <c r="D4037" t="s">
        <v>120</v>
      </c>
      <c r="E4037" t="s">
        <v>60</v>
      </c>
      <c r="F4037" t="s">
        <v>123</v>
      </c>
      <c r="G4037">
        <v>1</v>
      </c>
      <c r="H4037" t="s">
        <v>69</v>
      </c>
      <c r="I4037" t="s">
        <v>121</v>
      </c>
      <c r="J4037" t="s">
        <v>122</v>
      </c>
      <c r="K4037">
        <v>0</v>
      </c>
      <c r="L4037" s="84">
        <v>-3608</v>
      </c>
      <c r="M4037" s="84">
        <v>0</v>
      </c>
    </row>
    <row r="4038" spans="3:13" x14ac:dyDescent="0.25">
      <c r="C4038" t="s">
        <v>119</v>
      </c>
      <c r="D4038" t="s">
        <v>120</v>
      </c>
      <c r="E4038" t="s">
        <v>63</v>
      </c>
      <c r="F4038" t="s">
        <v>25</v>
      </c>
      <c r="G4038">
        <v>9</v>
      </c>
      <c r="H4038" t="s">
        <v>17</v>
      </c>
      <c r="I4038" t="s">
        <v>121</v>
      </c>
      <c r="J4038" t="s">
        <v>66</v>
      </c>
      <c r="K4038">
        <v>1</v>
      </c>
      <c r="L4038" s="84">
        <v>635569</v>
      </c>
      <c r="M4038" s="84">
        <v>5720121</v>
      </c>
    </row>
    <row r="4039" spans="3:13" hidden="1" x14ac:dyDescent="0.25">
      <c r="C4039" t="s">
        <v>64</v>
      </c>
      <c r="D4039" t="s">
        <v>120</v>
      </c>
      <c r="E4039" t="s">
        <v>63</v>
      </c>
      <c r="F4039" t="s">
        <v>124</v>
      </c>
      <c r="G4039">
        <v>6</v>
      </c>
      <c r="H4039" t="s">
        <v>73</v>
      </c>
      <c r="I4039" t="s">
        <v>121</v>
      </c>
      <c r="J4039" t="s">
        <v>122</v>
      </c>
      <c r="K4039">
        <v>0</v>
      </c>
      <c r="L4039" s="84">
        <v>69912</v>
      </c>
      <c r="M4039" s="84">
        <v>419472</v>
      </c>
    </row>
    <row r="4040" spans="3:13" hidden="1" x14ac:dyDescent="0.25">
      <c r="C4040" t="s">
        <v>64</v>
      </c>
      <c r="D4040" t="s">
        <v>120</v>
      </c>
      <c r="E4040" t="s">
        <v>63</v>
      </c>
      <c r="F4040" t="s">
        <v>24</v>
      </c>
      <c r="G4040">
        <v>6</v>
      </c>
      <c r="H4040" t="s">
        <v>68</v>
      </c>
      <c r="I4040" t="s">
        <v>121</v>
      </c>
      <c r="J4040" t="s">
        <v>122</v>
      </c>
      <c r="K4040">
        <v>0</v>
      </c>
      <c r="L4040" s="84">
        <v>1383852</v>
      </c>
      <c r="M4040" s="84">
        <v>8303112</v>
      </c>
    </row>
    <row r="4041" spans="3:13" hidden="1" x14ac:dyDescent="0.25">
      <c r="C4041" t="s">
        <v>65</v>
      </c>
      <c r="D4041" t="s">
        <v>120</v>
      </c>
      <c r="E4041" t="s">
        <v>60</v>
      </c>
      <c r="F4041" t="s">
        <v>124</v>
      </c>
      <c r="G4041">
        <v>1</v>
      </c>
      <c r="H4041" t="s">
        <v>69</v>
      </c>
      <c r="I4041" t="s">
        <v>121</v>
      </c>
      <c r="J4041" t="s">
        <v>122</v>
      </c>
      <c r="K4041">
        <v>0</v>
      </c>
      <c r="L4041" s="84">
        <v>-686799</v>
      </c>
      <c r="M4041" s="84">
        <v>0</v>
      </c>
    </row>
    <row r="4042" spans="3:13" hidden="1" x14ac:dyDescent="0.25">
      <c r="C4042" t="s">
        <v>119</v>
      </c>
      <c r="D4042" t="s">
        <v>120</v>
      </c>
      <c r="E4042" t="s">
        <v>60</v>
      </c>
      <c r="F4042" t="s">
        <v>25</v>
      </c>
      <c r="G4042">
        <v>13</v>
      </c>
      <c r="H4042" t="s">
        <v>72</v>
      </c>
      <c r="I4042" t="s">
        <v>121</v>
      </c>
      <c r="J4042" t="s">
        <v>122</v>
      </c>
      <c r="K4042">
        <v>0</v>
      </c>
      <c r="L4042" s="84">
        <v>-1454</v>
      </c>
      <c r="M4042" s="84">
        <v>0</v>
      </c>
    </row>
    <row r="4043" spans="3:13" hidden="1" x14ac:dyDescent="0.25">
      <c r="C4043" t="s">
        <v>119</v>
      </c>
      <c r="D4043" t="s">
        <v>120</v>
      </c>
      <c r="E4043" t="s">
        <v>60</v>
      </c>
      <c r="F4043" t="s">
        <v>124</v>
      </c>
      <c r="G4043">
        <v>1</v>
      </c>
      <c r="H4043" t="s">
        <v>74</v>
      </c>
      <c r="I4043" t="s">
        <v>121</v>
      </c>
      <c r="J4043" t="s">
        <v>122</v>
      </c>
      <c r="K4043">
        <v>0</v>
      </c>
      <c r="L4043" s="84">
        <v>-3272</v>
      </c>
      <c r="M4043" s="84">
        <v>0</v>
      </c>
    </row>
    <row r="4044" spans="3:13" hidden="1" x14ac:dyDescent="0.25">
      <c r="C4044" t="s">
        <v>119</v>
      </c>
      <c r="D4044" t="s">
        <v>120</v>
      </c>
      <c r="E4044" t="s">
        <v>60</v>
      </c>
      <c r="F4044" t="s">
        <v>25</v>
      </c>
      <c r="G4044">
        <v>2</v>
      </c>
      <c r="H4044" t="s">
        <v>75</v>
      </c>
      <c r="I4044" t="s">
        <v>62</v>
      </c>
      <c r="J4044" t="s">
        <v>122</v>
      </c>
      <c r="K4044">
        <v>1</v>
      </c>
      <c r="L4044" s="84">
        <v>-50</v>
      </c>
      <c r="M4044" s="84">
        <v>0</v>
      </c>
    </row>
    <row r="4045" spans="3:13" hidden="1" x14ac:dyDescent="0.25">
      <c r="C4045" t="s">
        <v>119</v>
      </c>
      <c r="D4045" t="s">
        <v>125</v>
      </c>
      <c r="E4045" t="s">
        <v>63</v>
      </c>
      <c r="F4045" t="s">
        <v>24</v>
      </c>
      <c r="G4045">
        <v>43</v>
      </c>
      <c r="I4045" t="s">
        <v>121</v>
      </c>
      <c r="J4045" t="s">
        <v>122</v>
      </c>
      <c r="K4045">
        <v>0</v>
      </c>
      <c r="L4045" s="84">
        <v>14067988</v>
      </c>
      <c r="M4045" s="84">
        <v>604923484</v>
      </c>
    </row>
    <row r="4046" spans="3:13" hidden="1" x14ac:dyDescent="0.25">
      <c r="C4046" t="s">
        <v>65</v>
      </c>
      <c r="D4046" t="s">
        <v>120</v>
      </c>
      <c r="E4046" t="s">
        <v>60</v>
      </c>
      <c r="F4046" t="s">
        <v>25</v>
      </c>
      <c r="G4046">
        <v>0</v>
      </c>
      <c r="H4046" t="s">
        <v>69</v>
      </c>
      <c r="I4046" t="s">
        <v>121</v>
      </c>
      <c r="J4046" t="s">
        <v>122</v>
      </c>
      <c r="K4046">
        <v>0</v>
      </c>
      <c r="L4046" s="84">
        <v>-6862</v>
      </c>
      <c r="M4046" s="84">
        <v>0</v>
      </c>
    </row>
    <row r="4047" spans="3:13" hidden="1" x14ac:dyDescent="0.25">
      <c r="C4047" t="s">
        <v>65</v>
      </c>
      <c r="D4047" t="s">
        <v>120</v>
      </c>
      <c r="E4047" t="s">
        <v>60</v>
      </c>
      <c r="F4047" t="s">
        <v>25</v>
      </c>
      <c r="G4047">
        <v>9</v>
      </c>
      <c r="H4047" t="s">
        <v>17</v>
      </c>
      <c r="I4047" t="s">
        <v>121</v>
      </c>
      <c r="J4047" t="s">
        <v>122</v>
      </c>
      <c r="K4047">
        <v>0</v>
      </c>
      <c r="L4047" s="84">
        <v>-5731710</v>
      </c>
      <c r="M4047" s="84">
        <v>0</v>
      </c>
    </row>
    <row r="4048" spans="3:13" hidden="1" x14ac:dyDescent="0.25">
      <c r="C4048" t="s">
        <v>119</v>
      </c>
      <c r="D4048" t="s">
        <v>120</v>
      </c>
      <c r="E4048" t="s">
        <v>63</v>
      </c>
      <c r="F4048" t="s">
        <v>123</v>
      </c>
      <c r="G4048">
        <v>-1</v>
      </c>
      <c r="H4048" t="s">
        <v>68</v>
      </c>
      <c r="I4048" t="s">
        <v>121</v>
      </c>
      <c r="J4048" t="s">
        <v>122</v>
      </c>
      <c r="K4048">
        <v>0</v>
      </c>
      <c r="L4048" s="84">
        <v>18016712</v>
      </c>
      <c r="M4048" s="84">
        <v>0</v>
      </c>
    </row>
    <row r="4049" spans="3:13" hidden="1" x14ac:dyDescent="0.25">
      <c r="C4049" t="s">
        <v>119</v>
      </c>
      <c r="D4049" t="s">
        <v>120</v>
      </c>
      <c r="E4049" t="s">
        <v>60</v>
      </c>
      <c r="F4049" t="s">
        <v>24</v>
      </c>
      <c r="G4049">
        <v>4</v>
      </c>
      <c r="H4049" t="s">
        <v>14</v>
      </c>
      <c r="I4049" t="s">
        <v>121</v>
      </c>
      <c r="J4049" t="s">
        <v>122</v>
      </c>
      <c r="K4049">
        <v>0</v>
      </c>
      <c r="L4049" s="84">
        <v>-1138</v>
      </c>
      <c r="M4049" s="84">
        <v>0</v>
      </c>
    </row>
    <row r="4050" spans="3:13" hidden="1" x14ac:dyDescent="0.25">
      <c r="C4050" t="s">
        <v>64</v>
      </c>
      <c r="D4050" t="s">
        <v>120</v>
      </c>
      <c r="E4050" t="s">
        <v>63</v>
      </c>
      <c r="F4050" t="s">
        <v>124</v>
      </c>
      <c r="G4050">
        <v>0</v>
      </c>
      <c r="H4050" t="s">
        <v>14</v>
      </c>
      <c r="I4050" t="s">
        <v>121</v>
      </c>
      <c r="J4050" t="s">
        <v>122</v>
      </c>
      <c r="K4050">
        <v>0</v>
      </c>
      <c r="L4050" s="84">
        <v>22934331</v>
      </c>
      <c r="M4050" s="84">
        <v>0</v>
      </c>
    </row>
    <row r="4051" spans="3:13" hidden="1" x14ac:dyDescent="0.25">
      <c r="C4051" t="s">
        <v>119</v>
      </c>
      <c r="D4051" t="s">
        <v>120</v>
      </c>
      <c r="E4051" t="s">
        <v>60</v>
      </c>
      <c r="F4051" t="s">
        <v>25</v>
      </c>
      <c r="G4051">
        <v>7</v>
      </c>
      <c r="H4051" t="s">
        <v>18</v>
      </c>
      <c r="I4051" t="s">
        <v>121</v>
      </c>
      <c r="J4051" t="s">
        <v>122</v>
      </c>
      <c r="K4051">
        <v>0</v>
      </c>
      <c r="L4051" s="84">
        <v>-10740</v>
      </c>
      <c r="M4051" s="84">
        <v>0</v>
      </c>
    </row>
    <row r="4052" spans="3:13" hidden="1" x14ac:dyDescent="0.25">
      <c r="C4052" t="s">
        <v>119</v>
      </c>
      <c r="D4052" t="s">
        <v>120</v>
      </c>
      <c r="E4052" t="s">
        <v>63</v>
      </c>
      <c r="F4052" t="s">
        <v>124</v>
      </c>
      <c r="G4052">
        <v>-1</v>
      </c>
      <c r="H4052" t="s">
        <v>18</v>
      </c>
      <c r="I4052" t="s">
        <v>121</v>
      </c>
      <c r="J4052" t="s">
        <v>66</v>
      </c>
      <c r="K4052">
        <v>1</v>
      </c>
      <c r="L4052" s="84">
        <v>9132275</v>
      </c>
      <c r="M4052" s="84">
        <v>0</v>
      </c>
    </row>
    <row r="4053" spans="3:13" hidden="1" x14ac:dyDescent="0.25">
      <c r="C4053" t="s">
        <v>119</v>
      </c>
      <c r="D4053" t="s">
        <v>120</v>
      </c>
      <c r="E4053" t="s">
        <v>60</v>
      </c>
      <c r="F4053" t="s">
        <v>124</v>
      </c>
      <c r="G4053">
        <v>5</v>
      </c>
      <c r="H4053" t="s">
        <v>17</v>
      </c>
      <c r="I4053" t="s">
        <v>62</v>
      </c>
      <c r="J4053" t="s">
        <v>122</v>
      </c>
      <c r="K4053">
        <v>1</v>
      </c>
      <c r="L4053" s="84">
        <v>-239</v>
      </c>
      <c r="M4053" s="84">
        <v>0</v>
      </c>
    </row>
    <row r="4054" spans="3:13" hidden="1" x14ac:dyDescent="0.25">
      <c r="C4054" t="s">
        <v>64</v>
      </c>
      <c r="D4054" t="s">
        <v>120</v>
      </c>
      <c r="E4054" t="s">
        <v>60</v>
      </c>
      <c r="F4054" t="s">
        <v>25</v>
      </c>
      <c r="G4054">
        <v>7</v>
      </c>
      <c r="H4054" t="s">
        <v>17</v>
      </c>
      <c r="I4054" t="s">
        <v>121</v>
      </c>
      <c r="J4054" t="s">
        <v>122</v>
      </c>
      <c r="K4054">
        <v>0</v>
      </c>
      <c r="L4054" s="84">
        <v>-18312</v>
      </c>
      <c r="M4054" s="84">
        <v>0</v>
      </c>
    </row>
    <row r="4055" spans="3:13" hidden="1" x14ac:dyDescent="0.25">
      <c r="C4055" t="s">
        <v>64</v>
      </c>
      <c r="D4055" t="s">
        <v>120</v>
      </c>
      <c r="E4055" t="s">
        <v>60</v>
      </c>
      <c r="F4055" t="s">
        <v>24</v>
      </c>
      <c r="G4055">
        <v>-1</v>
      </c>
      <c r="H4055" t="s">
        <v>18</v>
      </c>
      <c r="I4055" t="s">
        <v>121</v>
      </c>
      <c r="J4055" t="s">
        <v>122</v>
      </c>
      <c r="K4055">
        <v>0</v>
      </c>
      <c r="L4055" s="84">
        <v>-22334</v>
      </c>
      <c r="M4055" s="84">
        <v>0</v>
      </c>
    </row>
    <row r="4056" spans="3:13" hidden="1" x14ac:dyDescent="0.25">
      <c r="C4056" t="s">
        <v>64</v>
      </c>
      <c r="D4056" t="s">
        <v>120</v>
      </c>
      <c r="E4056" t="s">
        <v>60</v>
      </c>
      <c r="F4056" t="s">
        <v>124</v>
      </c>
      <c r="G4056">
        <v>11</v>
      </c>
      <c r="H4056" t="s">
        <v>71</v>
      </c>
      <c r="I4056" t="s">
        <v>121</v>
      </c>
      <c r="J4056" t="s">
        <v>122</v>
      </c>
      <c r="K4056">
        <v>0</v>
      </c>
      <c r="L4056" s="84">
        <v>-130277</v>
      </c>
      <c r="M4056" s="84">
        <v>0</v>
      </c>
    </row>
    <row r="4057" spans="3:13" hidden="1" x14ac:dyDescent="0.25">
      <c r="C4057" t="s">
        <v>119</v>
      </c>
      <c r="D4057" t="s">
        <v>120</v>
      </c>
      <c r="E4057" t="s">
        <v>60</v>
      </c>
      <c r="F4057" t="s">
        <v>124</v>
      </c>
      <c r="G4057">
        <v>5</v>
      </c>
      <c r="H4057" t="s">
        <v>12</v>
      </c>
      <c r="I4057" t="s">
        <v>121</v>
      </c>
      <c r="J4057" t="s">
        <v>66</v>
      </c>
      <c r="K4057">
        <v>1</v>
      </c>
      <c r="L4057" s="84">
        <v>-27341</v>
      </c>
      <c r="M4057" s="84">
        <v>0</v>
      </c>
    </row>
    <row r="4058" spans="3:13" hidden="1" x14ac:dyDescent="0.25">
      <c r="C4058" t="s">
        <v>65</v>
      </c>
      <c r="D4058" t="s">
        <v>120</v>
      </c>
      <c r="E4058" t="s">
        <v>60</v>
      </c>
      <c r="F4058" t="s">
        <v>124</v>
      </c>
      <c r="G4058">
        <v>-1</v>
      </c>
      <c r="H4058" t="s">
        <v>14</v>
      </c>
      <c r="I4058" t="s">
        <v>121</v>
      </c>
      <c r="J4058" t="s">
        <v>122</v>
      </c>
      <c r="K4058">
        <v>0</v>
      </c>
      <c r="L4058" s="84">
        <v>-3692520</v>
      </c>
      <c r="M4058" s="84">
        <v>0</v>
      </c>
    </row>
    <row r="4059" spans="3:13" hidden="1" x14ac:dyDescent="0.25">
      <c r="C4059" t="s">
        <v>65</v>
      </c>
      <c r="D4059" t="s">
        <v>120</v>
      </c>
      <c r="E4059" t="s">
        <v>63</v>
      </c>
      <c r="F4059" t="s">
        <v>25</v>
      </c>
      <c r="G4059">
        <v>-4</v>
      </c>
      <c r="H4059" t="s">
        <v>75</v>
      </c>
      <c r="I4059" t="s">
        <v>121</v>
      </c>
      <c r="J4059" t="s">
        <v>122</v>
      </c>
      <c r="K4059">
        <v>0</v>
      </c>
      <c r="L4059" s="84">
        <v>120419</v>
      </c>
      <c r="M4059" s="84">
        <v>0</v>
      </c>
    </row>
    <row r="4060" spans="3:13" hidden="1" x14ac:dyDescent="0.25">
      <c r="C4060" t="s">
        <v>65</v>
      </c>
      <c r="D4060" t="s">
        <v>120</v>
      </c>
      <c r="E4060" t="s">
        <v>60</v>
      </c>
      <c r="F4060" t="s">
        <v>123</v>
      </c>
      <c r="G4060">
        <v>-4</v>
      </c>
      <c r="H4060" t="s">
        <v>74</v>
      </c>
      <c r="I4060" t="s">
        <v>121</v>
      </c>
      <c r="J4060" t="s">
        <v>122</v>
      </c>
      <c r="K4060">
        <v>0</v>
      </c>
      <c r="L4060" s="84">
        <v>-26</v>
      </c>
      <c r="M4060" s="84">
        <v>0</v>
      </c>
    </row>
    <row r="4061" spans="3:13" hidden="1" x14ac:dyDescent="0.25">
      <c r="C4061" t="s">
        <v>65</v>
      </c>
      <c r="D4061" t="s">
        <v>120</v>
      </c>
      <c r="E4061" t="s">
        <v>60</v>
      </c>
      <c r="F4061" t="s">
        <v>124</v>
      </c>
      <c r="G4061">
        <v>9</v>
      </c>
      <c r="H4061" t="s">
        <v>12</v>
      </c>
      <c r="I4061" t="s">
        <v>121</v>
      </c>
      <c r="J4061" t="s">
        <v>122</v>
      </c>
      <c r="K4061">
        <v>0</v>
      </c>
      <c r="L4061" s="84">
        <v>-183957</v>
      </c>
      <c r="M4061" s="84">
        <v>0</v>
      </c>
    </row>
    <row r="4062" spans="3:13" hidden="1" x14ac:dyDescent="0.25">
      <c r="C4062" t="s">
        <v>65</v>
      </c>
      <c r="D4062" t="s">
        <v>120</v>
      </c>
      <c r="E4062" t="s">
        <v>63</v>
      </c>
      <c r="F4062" t="s">
        <v>124</v>
      </c>
      <c r="G4062">
        <v>-4</v>
      </c>
      <c r="H4062" t="s">
        <v>73</v>
      </c>
      <c r="I4062" t="s">
        <v>121</v>
      </c>
      <c r="J4062" t="s">
        <v>122</v>
      </c>
      <c r="K4062">
        <v>0</v>
      </c>
      <c r="L4062" s="84">
        <v>491938</v>
      </c>
      <c r="M4062" s="84">
        <v>0</v>
      </c>
    </row>
    <row r="4063" spans="3:13" hidden="1" x14ac:dyDescent="0.25">
      <c r="C4063" t="s">
        <v>64</v>
      </c>
      <c r="D4063" t="s">
        <v>120</v>
      </c>
      <c r="E4063" t="s">
        <v>63</v>
      </c>
      <c r="F4063" t="s">
        <v>25</v>
      </c>
      <c r="G4063">
        <v>8</v>
      </c>
      <c r="H4063" t="s">
        <v>16</v>
      </c>
      <c r="I4063" t="s">
        <v>121</v>
      </c>
      <c r="J4063" t="s">
        <v>122</v>
      </c>
      <c r="K4063">
        <v>0</v>
      </c>
      <c r="L4063" s="84">
        <v>679677</v>
      </c>
      <c r="M4063" s="84">
        <v>5437416</v>
      </c>
    </row>
    <row r="4064" spans="3:13" hidden="1" x14ac:dyDescent="0.25">
      <c r="C4064" t="s">
        <v>119</v>
      </c>
      <c r="D4064" t="s">
        <v>120</v>
      </c>
      <c r="E4064" t="s">
        <v>60</v>
      </c>
      <c r="F4064" t="s">
        <v>123</v>
      </c>
      <c r="G4064">
        <v>1</v>
      </c>
      <c r="H4064" t="s">
        <v>18</v>
      </c>
      <c r="I4064" t="s">
        <v>121</v>
      </c>
      <c r="J4064" t="s">
        <v>122</v>
      </c>
      <c r="K4064">
        <v>0</v>
      </c>
      <c r="L4064" s="84">
        <v>-11122</v>
      </c>
      <c r="M4064" s="84">
        <v>0</v>
      </c>
    </row>
    <row r="4065" spans="3:13" hidden="1" x14ac:dyDescent="0.25">
      <c r="C4065" t="s">
        <v>65</v>
      </c>
      <c r="D4065" t="s">
        <v>120</v>
      </c>
      <c r="E4065" t="s">
        <v>63</v>
      </c>
      <c r="F4065" t="s">
        <v>123</v>
      </c>
      <c r="G4065">
        <v>3</v>
      </c>
      <c r="H4065" t="s">
        <v>17</v>
      </c>
      <c r="I4065" t="s">
        <v>121</v>
      </c>
      <c r="J4065" t="s">
        <v>66</v>
      </c>
      <c r="K4065">
        <v>1</v>
      </c>
      <c r="L4065" s="84">
        <v>27413</v>
      </c>
      <c r="M4065" s="84">
        <v>82239</v>
      </c>
    </row>
    <row r="4066" spans="3:13" hidden="1" x14ac:dyDescent="0.25">
      <c r="C4066" t="s">
        <v>119</v>
      </c>
      <c r="D4066" t="s">
        <v>120</v>
      </c>
      <c r="E4066" t="s">
        <v>60</v>
      </c>
      <c r="F4066" t="s">
        <v>123</v>
      </c>
      <c r="G4066">
        <v>0</v>
      </c>
      <c r="H4066" t="s">
        <v>12</v>
      </c>
      <c r="I4066" t="s">
        <v>121</v>
      </c>
      <c r="J4066" t="s">
        <v>66</v>
      </c>
      <c r="K4066">
        <v>1</v>
      </c>
      <c r="L4066" s="84">
        <v>-95</v>
      </c>
      <c r="M4066" s="84">
        <v>0</v>
      </c>
    </row>
    <row r="4067" spans="3:13" hidden="1" x14ac:dyDescent="0.25">
      <c r="C4067" t="s">
        <v>119</v>
      </c>
      <c r="D4067" t="s">
        <v>125</v>
      </c>
      <c r="E4067" t="s">
        <v>63</v>
      </c>
      <c r="F4067" t="s">
        <v>25</v>
      </c>
      <c r="G4067">
        <v>9</v>
      </c>
      <c r="I4067" t="s">
        <v>121</v>
      </c>
      <c r="J4067" t="s">
        <v>122</v>
      </c>
      <c r="K4067">
        <v>0</v>
      </c>
      <c r="L4067" s="84">
        <v>6185584</v>
      </c>
      <c r="M4067" s="84">
        <v>55670256</v>
      </c>
    </row>
    <row r="4068" spans="3:13" x14ac:dyDescent="0.25">
      <c r="C4068" t="s">
        <v>119</v>
      </c>
      <c r="D4068" t="s">
        <v>120</v>
      </c>
      <c r="E4068" t="s">
        <v>63</v>
      </c>
      <c r="F4068" t="s">
        <v>25</v>
      </c>
      <c r="G4068">
        <v>8</v>
      </c>
      <c r="H4068" t="s">
        <v>17</v>
      </c>
      <c r="I4068" t="s">
        <v>62</v>
      </c>
      <c r="J4068" t="s">
        <v>66</v>
      </c>
      <c r="K4068">
        <v>1</v>
      </c>
      <c r="L4068" s="84">
        <v>86090</v>
      </c>
      <c r="M4068" s="84">
        <v>688720</v>
      </c>
    </row>
    <row r="4069" spans="3:13" hidden="1" x14ac:dyDescent="0.25">
      <c r="C4069" t="s">
        <v>119</v>
      </c>
      <c r="D4069" t="s">
        <v>120</v>
      </c>
      <c r="E4069" t="s">
        <v>60</v>
      </c>
      <c r="F4069" t="s">
        <v>124</v>
      </c>
      <c r="G4069">
        <v>0</v>
      </c>
      <c r="H4069" t="s">
        <v>61</v>
      </c>
      <c r="I4069" t="s">
        <v>121</v>
      </c>
      <c r="J4069" t="s">
        <v>122</v>
      </c>
      <c r="K4069">
        <v>0</v>
      </c>
      <c r="L4069" s="84">
        <v>-74598</v>
      </c>
      <c r="M4069" s="84">
        <v>0</v>
      </c>
    </row>
    <row r="4070" spans="3:13" hidden="1" x14ac:dyDescent="0.25">
      <c r="C4070" t="s">
        <v>64</v>
      </c>
      <c r="D4070" t="s">
        <v>120</v>
      </c>
      <c r="E4070" t="s">
        <v>63</v>
      </c>
      <c r="F4070" t="s">
        <v>124</v>
      </c>
      <c r="G4070">
        <v>5</v>
      </c>
      <c r="H4070" t="s">
        <v>75</v>
      </c>
      <c r="I4070" t="s">
        <v>121</v>
      </c>
      <c r="J4070" t="s">
        <v>122</v>
      </c>
      <c r="K4070">
        <v>0</v>
      </c>
      <c r="L4070" s="84">
        <v>640712</v>
      </c>
      <c r="M4070" s="84">
        <v>3203560</v>
      </c>
    </row>
    <row r="4071" spans="3:13" hidden="1" x14ac:dyDescent="0.25">
      <c r="C4071" t="s">
        <v>119</v>
      </c>
      <c r="D4071" t="s">
        <v>120</v>
      </c>
      <c r="E4071" t="s">
        <v>63</v>
      </c>
      <c r="F4071" t="s">
        <v>123</v>
      </c>
      <c r="G4071">
        <v>7</v>
      </c>
      <c r="H4071" t="s">
        <v>69</v>
      </c>
      <c r="I4071" t="s">
        <v>121</v>
      </c>
      <c r="J4071" t="s">
        <v>122</v>
      </c>
      <c r="K4071">
        <v>0</v>
      </c>
      <c r="L4071" s="84">
        <v>486219</v>
      </c>
      <c r="M4071" s="84">
        <v>3403533</v>
      </c>
    </row>
    <row r="4072" spans="3:13" hidden="1" x14ac:dyDescent="0.25">
      <c r="C4072" t="s">
        <v>64</v>
      </c>
      <c r="D4072" t="s">
        <v>120</v>
      </c>
      <c r="E4072" t="s">
        <v>60</v>
      </c>
      <c r="F4072" t="s">
        <v>124</v>
      </c>
      <c r="G4072">
        <v>12</v>
      </c>
      <c r="H4072" t="s">
        <v>17</v>
      </c>
      <c r="I4072" t="s">
        <v>121</v>
      </c>
      <c r="J4072" t="s">
        <v>122</v>
      </c>
      <c r="K4072">
        <v>0</v>
      </c>
      <c r="L4072" s="84">
        <v>-2841</v>
      </c>
      <c r="M4072" s="84">
        <v>0</v>
      </c>
    </row>
    <row r="4073" spans="3:13" hidden="1" x14ac:dyDescent="0.25">
      <c r="C4073" t="s">
        <v>65</v>
      </c>
      <c r="D4073" t="s">
        <v>120</v>
      </c>
      <c r="E4073" t="s">
        <v>60</v>
      </c>
      <c r="F4073" t="s">
        <v>25</v>
      </c>
      <c r="G4073">
        <v>7</v>
      </c>
      <c r="H4073" t="s">
        <v>67</v>
      </c>
      <c r="I4073" t="s">
        <v>121</v>
      </c>
      <c r="J4073" t="s">
        <v>122</v>
      </c>
      <c r="K4073">
        <v>0</v>
      </c>
      <c r="L4073" s="84">
        <v>-54352</v>
      </c>
      <c r="M4073" s="84">
        <v>0</v>
      </c>
    </row>
    <row r="4074" spans="3:13" hidden="1" x14ac:dyDescent="0.25">
      <c r="C4074" t="s">
        <v>64</v>
      </c>
      <c r="D4074" t="s">
        <v>120</v>
      </c>
      <c r="E4074" t="s">
        <v>63</v>
      </c>
      <c r="F4074" t="s">
        <v>24</v>
      </c>
      <c r="G4074">
        <v>8</v>
      </c>
      <c r="H4074" t="s">
        <v>14</v>
      </c>
      <c r="I4074" t="s">
        <v>121</v>
      </c>
      <c r="J4074" t="s">
        <v>66</v>
      </c>
      <c r="K4074">
        <v>1</v>
      </c>
      <c r="L4074" s="84">
        <v>103747</v>
      </c>
      <c r="M4074" s="84">
        <v>829976</v>
      </c>
    </row>
    <row r="4075" spans="3:13" hidden="1" x14ac:dyDescent="0.25">
      <c r="C4075" t="s">
        <v>64</v>
      </c>
      <c r="D4075" t="s">
        <v>125</v>
      </c>
      <c r="E4075" t="s">
        <v>63</v>
      </c>
      <c r="F4075" t="s">
        <v>25</v>
      </c>
      <c r="G4075">
        <v>22</v>
      </c>
      <c r="I4075" t="s">
        <v>121</v>
      </c>
      <c r="J4075" t="s">
        <v>122</v>
      </c>
      <c r="K4075">
        <v>0</v>
      </c>
      <c r="L4075" s="84">
        <v>240007</v>
      </c>
      <c r="M4075" s="84">
        <v>5280154</v>
      </c>
    </row>
    <row r="4076" spans="3:13" hidden="1" x14ac:dyDescent="0.25">
      <c r="C4076" t="s">
        <v>64</v>
      </c>
      <c r="D4076" t="s">
        <v>120</v>
      </c>
      <c r="E4076" t="s">
        <v>63</v>
      </c>
      <c r="F4076" t="s">
        <v>124</v>
      </c>
      <c r="G4076">
        <v>-1</v>
      </c>
      <c r="H4076" t="s">
        <v>15</v>
      </c>
      <c r="I4076" t="s">
        <v>121</v>
      </c>
      <c r="J4076" t="s">
        <v>122</v>
      </c>
      <c r="K4076">
        <v>0</v>
      </c>
      <c r="L4076" s="84">
        <v>33632</v>
      </c>
      <c r="M4076" s="84">
        <v>0</v>
      </c>
    </row>
    <row r="4077" spans="3:13" hidden="1" x14ac:dyDescent="0.25">
      <c r="C4077" t="s">
        <v>119</v>
      </c>
      <c r="D4077" t="s">
        <v>120</v>
      </c>
      <c r="E4077" t="s">
        <v>60</v>
      </c>
      <c r="F4077" t="s">
        <v>24</v>
      </c>
      <c r="G4077">
        <v>11</v>
      </c>
      <c r="H4077" t="s">
        <v>12</v>
      </c>
      <c r="I4077" t="s">
        <v>121</v>
      </c>
      <c r="J4077" t="s">
        <v>66</v>
      </c>
      <c r="K4077">
        <v>1</v>
      </c>
      <c r="L4077" s="84">
        <v>-742</v>
      </c>
      <c r="M4077" s="84">
        <v>0</v>
      </c>
    </row>
    <row r="4078" spans="3:13" hidden="1" x14ac:dyDescent="0.25">
      <c r="C4078" t="s">
        <v>119</v>
      </c>
      <c r="D4078" t="s">
        <v>125</v>
      </c>
      <c r="E4078" t="s">
        <v>60</v>
      </c>
      <c r="F4078" t="s">
        <v>24</v>
      </c>
      <c r="G4078">
        <v>27</v>
      </c>
      <c r="I4078" t="s">
        <v>121</v>
      </c>
      <c r="J4078" t="s">
        <v>122</v>
      </c>
      <c r="K4078">
        <v>0</v>
      </c>
      <c r="L4078" s="84">
        <v>-361990</v>
      </c>
      <c r="M4078" s="84">
        <v>0</v>
      </c>
    </row>
    <row r="4079" spans="3:13" hidden="1" x14ac:dyDescent="0.25">
      <c r="C4079" t="s">
        <v>119</v>
      </c>
      <c r="D4079" t="s">
        <v>120</v>
      </c>
      <c r="E4079" t="s">
        <v>60</v>
      </c>
      <c r="F4079" t="s">
        <v>25</v>
      </c>
      <c r="G4079">
        <v>9</v>
      </c>
      <c r="H4079" t="s">
        <v>68</v>
      </c>
      <c r="I4079" t="s">
        <v>121</v>
      </c>
      <c r="J4079" t="s">
        <v>122</v>
      </c>
      <c r="K4079">
        <v>0</v>
      </c>
      <c r="L4079" s="84">
        <v>-67030</v>
      </c>
      <c r="M4079" s="84">
        <v>0</v>
      </c>
    </row>
    <row r="4080" spans="3:13" hidden="1" x14ac:dyDescent="0.25">
      <c r="C4080" t="s">
        <v>119</v>
      </c>
      <c r="D4080" t="s">
        <v>120</v>
      </c>
      <c r="E4080" t="s">
        <v>60</v>
      </c>
      <c r="F4080" t="s">
        <v>25</v>
      </c>
      <c r="G4080">
        <v>0</v>
      </c>
      <c r="H4080" t="s">
        <v>14</v>
      </c>
      <c r="I4080" t="s">
        <v>121</v>
      </c>
      <c r="J4080" t="s">
        <v>122</v>
      </c>
      <c r="K4080">
        <v>0</v>
      </c>
      <c r="L4080" s="84">
        <v>-124</v>
      </c>
      <c r="M4080" s="84">
        <v>0</v>
      </c>
    </row>
    <row r="4081" spans="3:13" hidden="1" x14ac:dyDescent="0.25">
      <c r="C4081" t="s">
        <v>64</v>
      </c>
      <c r="D4081" t="s">
        <v>120</v>
      </c>
      <c r="E4081" t="s">
        <v>60</v>
      </c>
      <c r="F4081" t="s">
        <v>24</v>
      </c>
      <c r="G4081">
        <v>5</v>
      </c>
      <c r="H4081" t="s">
        <v>18</v>
      </c>
      <c r="I4081" t="s">
        <v>121</v>
      </c>
      <c r="J4081" t="s">
        <v>122</v>
      </c>
      <c r="K4081">
        <v>0</v>
      </c>
      <c r="L4081" s="84">
        <v>-25713</v>
      </c>
      <c r="M4081" s="84">
        <v>0</v>
      </c>
    </row>
    <row r="4082" spans="3:13" hidden="1" x14ac:dyDescent="0.25">
      <c r="C4082" t="s">
        <v>119</v>
      </c>
      <c r="D4082" t="s">
        <v>125</v>
      </c>
      <c r="E4082" t="s">
        <v>63</v>
      </c>
      <c r="F4082" t="s">
        <v>24</v>
      </c>
      <c r="G4082">
        <v>33</v>
      </c>
      <c r="I4082" t="s">
        <v>121</v>
      </c>
      <c r="J4082" t="s">
        <v>122</v>
      </c>
      <c r="K4082">
        <v>0</v>
      </c>
      <c r="L4082" s="84">
        <v>1003830303</v>
      </c>
      <c r="M4082" s="84">
        <v>33126399999</v>
      </c>
    </row>
    <row r="4083" spans="3:13" hidden="1" x14ac:dyDescent="0.25">
      <c r="C4083" t="s">
        <v>119</v>
      </c>
      <c r="D4083" t="s">
        <v>120</v>
      </c>
      <c r="E4083" t="s">
        <v>60</v>
      </c>
      <c r="F4083" t="s">
        <v>24</v>
      </c>
      <c r="G4083">
        <v>3</v>
      </c>
      <c r="H4083" t="s">
        <v>14</v>
      </c>
      <c r="I4083" t="s">
        <v>121</v>
      </c>
      <c r="J4083" t="s">
        <v>66</v>
      </c>
      <c r="K4083">
        <v>1</v>
      </c>
      <c r="L4083" s="84">
        <v>-4146</v>
      </c>
      <c r="M4083" s="84">
        <v>0</v>
      </c>
    </row>
    <row r="4084" spans="3:13" hidden="1" x14ac:dyDescent="0.25">
      <c r="C4084" t="s">
        <v>119</v>
      </c>
      <c r="D4084" t="s">
        <v>120</v>
      </c>
      <c r="E4084" t="s">
        <v>63</v>
      </c>
      <c r="F4084" t="s">
        <v>124</v>
      </c>
      <c r="G4084">
        <v>4</v>
      </c>
      <c r="H4084" t="s">
        <v>17</v>
      </c>
      <c r="I4084" t="s">
        <v>121</v>
      </c>
      <c r="J4084" t="s">
        <v>66</v>
      </c>
      <c r="K4084">
        <v>1</v>
      </c>
      <c r="L4084" s="84">
        <v>2366017</v>
      </c>
      <c r="M4084" s="84">
        <v>9464068</v>
      </c>
    </row>
    <row r="4085" spans="3:13" hidden="1" x14ac:dyDescent="0.25">
      <c r="C4085" t="s">
        <v>64</v>
      </c>
      <c r="D4085" t="s">
        <v>120</v>
      </c>
      <c r="E4085" t="s">
        <v>63</v>
      </c>
      <c r="F4085" t="s">
        <v>124</v>
      </c>
      <c r="G4085">
        <v>2</v>
      </c>
      <c r="H4085" t="s">
        <v>71</v>
      </c>
      <c r="I4085" t="s">
        <v>121</v>
      </c>
      <c r="J4085" t="s">
        <v>122</v>
      </c>
      <c r="K4085">
        <v>0</v>
      </c>
      <c r="L4085" s="84">
        <v>515652</v>
      </c>
      <c r="M4085" s="84">
        <v>1031304</v>
      </c>
    </row>
    <row r="4086" spans="3:13" hidden="1" x14ac:dyDescent="0.25">
      <c r="C4086" t="s">
        <v>65</v>
      </c>
      <c r="D4086" t="s">
        <v>120</v>
      </c>
      <c r="E4086" t="s">
        <v>63</v>
      </c>
      <c r="F4086" t="s">
        <v>25</v>
      </c>
      <c r="G4086">
        <v>-4</v>
      </c>
      <c r="H4086" t="s">
        <v>17</v>
      </c>
      <c r="I4086" t="s">
        <v>121</v>
      </c>
      <c r="J4086" t="s">
        <v>122</v>
      </c>
      <c r="K4086">
        <v>0</v>
      </c>
      <c r="L4086" s="84">
        <v>304544</v>
      </c>
      <c r="M4086" s="84">
        <v>0</v>
      </c>
    </row>
    <row r="4087" spans="3:13" hidden="1" x14ac:dyDescent="0.25">
      <c r="C4087" t="s">
        <v>119</v>
      </c>
      <c r="D4087" t="s">
        <v>120</v>
      </c>
      <c r="E4087" t="s">
        <v>63</v>
      </c>
      <c r="F4087" t="s">
        <v>25</v>
      </c>
      <c r="G4087">
        <v>5</v>
      </c>
      <c r="H4087" t="s">
        <v>12</v>
      </c>
      <c r="I4087" t="s">
        <v>121</v>
      </c>
      <c r="J4087" t="s">
        <v>122</v>
      </c>
      <c r="K4087">
        <v>0</v>
      </c>
      <c r="L4087" s="84">
        <v>125073</v>
      </c>
      <c r="M4087" s="84">
        <v>625365</v>
      </c>
    </row>
    <row r="4088" spans="3:13" hidden="1" x14ac:dyDescent="0.25">
      <c r="C4088" t="s">
        <v>65</v>
      </c>
      <c r="D4088" t="s">
        <v>120</v>
      </c>
      <c r="E4088" t="s">
        <v>60</v>
      </c>
      <c r="F4088" t="s">
        <v>123</v>
      </c>
      <c r="G4088">
        <v>-4</v>
      </c>
      <c r="H4088" t="s">
        <v>16</v>
      </c>
      <c r="I4088" t="s">
        <v>121</v>
      </c>
      <c r="J4088" t="s">
        <v>122</v>
      </c>
      <c r="K4088">
        <v>0</v>
      </c>
      <c r="L4088" s="84">
        <v>-6594</v>
      </c>
      <c r="M4088" s="84">
        <v>0</v>
      </c>
    </row>
    <row r="4089" spans="3:13" x14ac:dyDescent="0.25">
      <c r="C4089" t="s">
        <v>65</v>
      </c>
      <c r="D4089" t="s">
        <v>120</v>
      </c>
      <c r="E4089" t="s">
        <v>63</v>
      </c>
      <c r="F4089" t="s">
        <v>25</v>
      </c>
      <c r="G4089">
        <v>-4</v>
      </c>
      <c r="H4089" t="s">
        <v>17</v>
      </c>
      <c r="I4089" t="s">
        <v>121</v>
      </c>
      <c r="J4089" t="s">
        <v>66</v>
      </c>
      <c r="K4089">
        <v>1</v>
      </c>
      <c r="L4089" s="84">
        <v>199</v>
      </c>
      <c r="M4089" s="84">
        <v>0</v>
      </c>
    </row>
    <row r="4090" spans="3:13" hidden="1" x14ac:dyDescent="0.25">
      <c r="C4090" t="s">
        <v>119</v>
      </c>
      <c r="D4090" t="s">
        <v>120</v>
      </c>
      <c r="E4090" t="s">
        <v>60</v>
      </c>
      <c r="F4090" t="s">
        <v>25</v>
      </c>
      <c r="G4090">
        <v>7</v>
      </c>
      <c r="H4090" t="s">
        <v>69</v>
      </c>
      <c r="I4090" t="s">
        <v>121</v>
      </c>
      <c r="J4090" t="s">
        <v>122</v>
      </c>
      <c r="K4090">
        <v>0</v>
      </c>
      <c r="L4090" s="84">
        <v>-14678</v>
      </c>
      <c r="M4090" s="84">
        <v>0</v>
      </c>
    </row>
    <row r="4091" spans="3:13" hidden="1" x14ac:dyDescent="0.25">
      <c r="C4091" t="s">
        <v>119</v>
      </c>
      <c r="D4091" t="s">
        <v>120</v>
      </c>
      <c r="E4091" t="s">
        <v>60</v>
      </c>
      <c r="F4091" t="s">
        <v>24</v>
      </c>
      <c r="G4091">
        <v>4</v>
      </c>
      <c r="H4091" t="s">
        <v>67</v>
      </c>
      <c r="I4091" t="s">
        <v>121</v>
      </c>
      <c r="J4091" t="s">
        <v>122</v>
      </c>
      <c r="K4091">
        <v>0</v>
      </c>
      <c r="L4091" s="84">
        <v>-1331</v>
      </c>
      <c r="M4091" s="84">
        <v>0</v>
      </c>
    </row>
    <row r="4092" spans="3:13" hidden="1" x14ac:dyDescent="0.25">
      <c r="C4092" t="s">
        <v>64</v>
      </c>
      <c r="D4092" t="s">
        <v>120</v>
      </c>
      <c r="E4092" t="s">
        <v>63</v>
      </c>
      <c r="F4092" t="s">
        <v>124</v>
      </c>
      <c r="G4092">
        <v>0</v>
      </c>
      <c r="H4092" t="s">
        <v>67</v>
      </c>
      <c r="I4092" t="s">
        <v>121</v>
      </c>
      <c r="J4092" t="s">
        <v>122</v>
      </c>
      <c r="K4092">
        <v>0</v>
      </c>
      <c r="L4092" s="84">
        <v>9364192</v>
      </c>
      <c r="M4092" s="84">
        <v>0</v>
      </c>
    </row>
    <row r="4093" spans="3:13" hidden="1" x14ac:dyDescent="0.25">
      <c r="C4093" t="s">
        <v>119</v>
      </c>
      <c r="D4093" t="s">
        <v>120</v>
      </c>
      <c r="E4093" t="s">
        <v>63</v>
      </c>
      <c r="F4093" t="s">
        <v>123</v>
      </c>
      <c r="G4093">
        <v>2</v>
      </c>
      <c r="H4093" t="s">
        <v>76</v>
      </c>
      <c r="I4093" t="s">
        <v>121</v>
      </c>
      <c r="J4093" t="s">
        <v>122</v>
      </c>
      <c r="K4093">
        <v>0</v>
      </c>
      <c r="L4093" s="84">
        <v>402321</v>
      </c>
      <c r="M4093" s="84">
        <v>804642</v>
      </c>
    </row>
    <row r="4094" spans="3:13" hidden="1" x14ac:dyDescent="0.25">
      <c r="C4094" t="s">
        <v>64</v>
      </c>
      <c r="D4094" t="s">
        <v>120</v>
      </c>
      <c r="E4094" t="s">
        <v>60</v>
      </c>
      <c r="F4094" t="s">
        <v>24</v>
      </c>
      <c r="G4094">
        <v>7</v>
      </c>
      <c r="H4094" t="s">
        <v>67</v>
      </c>
      <c r="I4094" t="s">
        <v>121</v>
      </c>
      <c r="J4094" t="s">
        <v>122</v>
      </c>
      <c r="K4094">
        <v>0</v>
      </c>
      <c r="L4094" s="84">
        <v>-60271</v>
      </c>
      <c r="M4094" s="84">
        <v>0</v>
      </c>
    </row>
    <row r="4095" spans="3:13" hidden="1" x14ac:dyDescent="0.25">
      <c r="C4095" t="s">
        <v>65</v>
      </c>
      <c r="D4095" t="s">
        <v>120</v>
      </c>
      <c r="E4095" t="s">
        <v>63</v>
      </c>
      <c r="F4095" t="s">
        <v>24</v>
      </c>
      <c r="G4095">
        <v>1</v>
      </c>
      <c r="H4095" t="s">
        <v>71</v>
      </c>
      <c r="I4095" t="s">
        <v>121</v>
      </c>
      <c r="J4095" t="s">
        <v>122</v>
      </c>
      <c r="K4095">
        <v>0</v>
      </c>
      <c r="L4095" s="84">
        <v>27206</v>
      </c>
      <c r="M4095" s="84">
        <v>27206</v>
      </c>
    </row>
    <row r="4096" spans="3:13" hidden="1" x14ac:dyDescent="0.25">
      <c r="C4096" t="s">
        <v>65</v>
      </c>
      <c r="D4096" t="s">
        <v>120</v>
      </c>
      <c r="E4096" t="s">
        <v>60</v>
      </c>
      <c r="F4096" t="s">
        <v>124</v>
      </c>
      <c r="G4096">
        <v>-4</v>
      </c>
      <c r="H4096" t="s">
        <v>61</v>
      </c>
      <c r="I4096" t="s">
        <v>121</v>
      </c>
      <c r="J4096" t="s">
        <v>122</v>
      </c>
      <c r="K4096">
        <v>0</v>
      </c>
      <c r="L4096" s="84">
        <v>-545060</v>
      </c>
      <c r="M4096" s="84">
        <v>0</v>
      </c>
    </row>
    <row r="4097" spans="3:13" hidden="1" x14ac:dyDescent="0.25">
      <c r="C4097" t="s">
        <v>119</v>
      </c>
      <c r="D4097" t="s">
        <v>120</v>
      </c>
      <c r="E4097" t="s">
        <v>63</v>
      </c>
      <c r="F4097" t="s">
        <v>124</v>
      </c>
      <c r="G4097">
        <v>4</v>
      </c>
      <c r="H4097" t="s">
        <v>12</v>
      </c>
      <c r="I4097" t="s">
        <v>62</v>
      </c>
      <c r="J4097" t="s">
        <v>122</v>
      </c>
      <c r="K4097">
        <v>1</v>
      </c>
      <c r="L4097" s="84">
        <v>91764</v>
      </c>
      <c r="M4097" s="84">
        <v>367056</v>
      </c>
    </row>
    <row r="4098" spans="3:13" hidden="1" x14ac:dyDescent="0.25">
      <c r="C4098" t="s">
        <v>64</v>
      </c>
      <c r="D4098" t="s">
        <v>120</v>
      </c>
      <c r="E4098" t="s">
        <v>60</v>
      </c>
      <c r="F4098" t="s">
        <v>123</v>
      </c>
      <c r="G4098">
        <v>1</v>
      </c>
      <c r="H4098" t="s">
        <v>18</v>
      </c>
      <c r="I4098" t="s">
        <v>121</v>
      </c>
      <c r="J4098" t="s">
        <v>122</v>
      </c>
      <c r="K4098">
        <v>0</v>
      </c>
      <c r="L4098" s="84">
        <v>-26335</v>
      </c>
      <c r="M4098" s="84">
        <v>0</v>
      </c>
    </row>
    <row r="4099" spans="3:13" hidden="1" x14ac:dyDescent="0.25">
      <c r="C4099" t="s">
        <v>119</v>
      </c>
      <c r="D4099" t="s">
        <v>120</v>
      </c>
      <c r="E4099" t="s">
        <v>60</v>
      </c>
      <c r="F4099" t="s">
        <v>24</v>
      </c>
      <c r="G4099">
        <v>5</v>
      </c>
      <c r="H4099" t="s">
        <v>16</v>
      </c>
      <c r="I4099" t="s">
        <v>121</v>
      </c>
      <c r="J4099" t="s">
        <v>122</v>
      </c>
      <c r="K4099">
        <v>0</v>
      </c>
      <c r="L4099" s="84">
        <v>-276</v>
      </c>
      <c r="M4099" s="84">
        <v>0</v>
      </c>
    </row>
    <row r="4100" spans="3:13" hidden="1" x14ac:dyDescent="0.25">
      <c r="C4100" t="s">
        <v>64</v>
      </c>
      <c r="D4100" t="s">
        <v>120</v>
      </c>
      <c r="E4100" t="s">
        <v>60</v>
      </c>
      <c r="F4100" t="s">
        <v>123</v>
      </c>
      <c r="G4100">
        <v>0</v>
      </c>
      <c r="H4100" t="s">
        <v>12</v>
      </c>
      <c r="I4100" t="s">
        <v>121</v>
      </c>
      <c r="J4100" t="s">
        <v>66</v>
      </c>
      <c r="K4100">
        <v>1</v>
      </c>
      <c r="L4100" s="84">
        <v>-668</v>
      </c>
      <c r="M4100" s="84">
        <v>0</v>
      </c>
    </row>
    <row r="4101" spans="3:13" hidden="1" x14ac:dyDescent="0.25">
      <c r="C4101" t="s">
        <v>64</v>
      </c>
      <c r="D4101" t="s">
        <v>126</v>
      </c>
      <c r="E4101" t="s">
        <v>60</v>
      </c>
      <c r="F4101" t="s">
        <v>25</v>
      </c>
      <c r="G4101">
        <v>-4</v>
      </c>
      <c r="H4101" t="s">
        <v>72</v>
      </c>
      <c r="I4101" t="s">
        <v>121</v>
      </c>
      <c r="J4101" t="s">
        <v>122</v>
      </c>
      <c r="K4101">
        <v>0</v>
      </c>
      <c r="L4101" s="84">
        <v>-1</v>
      </c>
      <c r="M4101" s="84">
        <v>0</v>
      </c>
    </row>
    <row r="4102" spans="3:13" hidden="1" x14ac:dyDescent="0.25">
      <c r="C4102" t="s">
        <v>119</v>
      </c>
      <c r="D4102" t="s">
        <v>120</v>
      </c>
      <c r="E4102" t="s">
        <v>63</v>
      </c>
      <c r="F4102" t="s">
        <v>123</v>
      </c>
      <c r="G4102">
        <v>-1</v>
      </c>
      <c r="H4102" t="s">
        <v>13</v>
      </c>
      <c r="I4102" t="s">
        <v>121</v>
      </c>
      <c r="J4102" t="s">
        <v>122</v>
      </c>
      <c r="K4102">
        <v>0</v>
      </c>
      <c r="L4102" s="84">
        <v>313365</v>
      </c>
      <c r="M4102" s="84">
        <v>0</v>
      </c>
    </row>
    <row r="4103" spans="3:13" hidden="1" x14ac:dyDescent="0.25">
      <c r="C4103" t="s">
        <v>65</v>
      </c>
      <c r="D4103" t="s">
        <v>120</v>
      </c>
      <c r="E4103" t="s">
        <v>63</v>
      </c>
      <c r="F4103" t="s">
        <v>123</v>
      </c>
      <c r="G4103">
        <v>2</v>
      </c>
      <c r="H4103" t="s">
        <v>18</v>
      </c>
      <c r="I4103" t="s">
        <v>121</v>
      </c>
      <c r="J4103" t="s">
        <v>122</v>
      </c>
      <c r="K4103">
        <v>0</v>
      </c>
      <c r="L4103" s="84">
        <v>64140</v>
      </c>
      <c r="M4103" s="84">
        <v>128280</v>
      </c>
    </row>
    <row r="4104" spans="3:13" hidden="1" x14ac:dyDescent="0.25">
      <c r="C4104" t="s">
        <v>119</v>
      </c>
      <c r="D4104" t="s">
        <v>120</v>
      </c>
      <c r="E4104" t="s">
        <v>60</v>
      </c>
      <c r="F4104" t="s">
        <v>25</v>
      </c>
      <c r="G4104">
        <v>2</v>
      </c>
      <c r="H4104" t="s">
        <v>12</v>
      </c>
      <c r="I4104" t="s">
        <v>121</v>
      </c>
      <c r="J4104" t="s">
        <v>66</v>
      </c>
      <c r="K4104">
        <v>1</v>
      </c>
      <c r="L4104" s="84">
        <v>-295</v>
      </c>
      <c r="M4104" s="84">
        <v>0</v>
      </c>
    </row>
    <row r="4105" spans="3:13" hidden="1" x14ac:dyDescent="0.25">
      <c r="C4105" t="s">
        <v>119</v>
      </c>
      <c r="D4105" t="s">
        <v>120</v>
      </c>
      <c r="E4105" t="s">
        <v>60</v>
      </c>
      <c r="F4105" t="s">
        <v>124</v>
      </c>
      <c r="G4105">
        <v>4</v>
      </c>
      <c r="H4105" t="s">
        <v>17</v>
      </c>
      <c r="I4105" t="s">
        <v>121</v>
      </c>
      <c r="J4105" t="s">
        <v>122</v>
      </c>
      <c r="K4105">
        <v>0</v>
      </c>
      <c r="L4105" s="84">
        <v>-58628</v>
      </c>
      <c r="M4105" s="84">
        <v>0</v>
      </c>
    </row>
    <row r="4106" spans="3:13" hidden="1" x14ac:dyDescent="0.25">
      <c r="C4106" t="s">
        <v>65</v>
      </c>
      <c r="D4106" t="s">
        <v>120</v>
      </c>
      <c r="E4106" t="s">
        <v>60</v>
      </c>
      <c r="F4106" t="s">
        <v>124</v>
      </c>
      <c r="G4106">
        <v>0</v>
      </c>
      <c r="H4106" t="s">
        <v>68</v>
      </c>
      <c r="I4106" t="s">
        <v>121</v>
      </c>
      <c r="J4106" t="s">
        <v>122</v>
      </c>
      <c r="K4106">
        <v>0</v>
      </c>
      <c r="L4106" s="84">
        <v>-45994</v>
      </c>
      <c r="M4106" s="84">
        <v>0</v>
      </c>
    </row>
    <row r="4107" spans="3:13" hidden="1" x14ac:dyDescent="0.25">
      <c r="C4107" t="s">
        <v>65</v>
      </c>
      <c r="D4107" t="s">
        <v>125</v>
      </c>
      <c r="E4107" t="s">
        <v>60</v>
      </c>
      <c r="F4107" t="s">
        <v>24</v>
      </c>
      <c r="G4107">
        <v>19</v>
      </c>
      <c r="I4107" t="s">
        <v>121</v>
      </c>
      <c r="J4107" t="s">
        <v>122</v>
      </c>
      <c r="K4107">
        <v>0</v>
      </c>
      <c r="L4107" s="84">
        <v>-2136087</v>
      </c>
      <c r="M4107" s="84">
        <v>0</v>
      </c>
    </row>
    <row r="4108" spans="3:13" hidden="1" x14ac:dyDescent="0.25">
      <c r="C4108" t="s">
        <v>119</v>
      </c>
      <c r="D4108" t="s">
        <v>120</v>
      </c>
      <c r="E4108" t="s">
        <v>60</v>
      </c>
      <c r="F4108" t="s">
        <v>124</v>
      </c>
      <c r="G4108">
        <v>9</v>
      </c>
      <c r="H4108" t="s">
        <v>14</v>
      </c>
      <c r="I4108" t="s">
        <v>121</v>
      </c>
      <c r="J4108" t="s">
        <v>122</v>
      </c>
      <c r="K4108">
        <v>0</v>
      </c>
      <c r="L4108" s="84">
        <v>-10356</v>
      </c>
      <c r="M4108" s="84">
        <v>0</v>
      </c>
    </row>
    <row r="4109" spans="3:13" hidden="1" x14ac:dyDescent="0.25">
      <c r="C4109" t="s">
        <v>65</v>
      </c>
      <c r="D4109" t="s">
        <v>120</v>
      </c>
      <c r="E4109" t="s">
        <v>60</v>
      </c>
      <c r="F4109" t="s">
        <v>24</v>
      </c>
      <c r="G4109">
        <v>-1</v>
      </c>
      <c r="H4109" t="s">
        <v>14</v>
      </c>
      <c r="I4109" t="s">
        <v>121</v>
      </c>
      <c r="J4109" t="s">
        <v>122</v>
      </c>
      <c r="K4109">
        <v>0</v>
      </c>
      <c r="L4109" s="84">
        <v>-265</v>
      </c>
      <c r="M4109" s="84">
        <v>0</v>
      </c>
    </row>
    <row r="4110" spans="3:13" hidden="1" x14ac:dyDescent="0.25">
      <c r="C4110" t="s">
        <v>65</v>
      </c>
      <c r="D4110" t="s">
        <v>125</v>
      </c>
      <c r="E4110" t="s">
        <v>63</v>
      </c>
      <c r="F4110" t="s">
        <v>24</v>
      </c>
      <c r="G4110">
        <v>19</v>
      </c>
      <c r="I4110" t="s">
        <v>121</v>
      </c>
      <c r="J4110" t="s">
        <v>122</v>
      </c>
      <c r="K4110">
        <v>0</v>
      </c>
      <c r="L4110" s="84">
        <v>6953066</v>
      </c>
      <c r="M4110" s="84">
        <v>132108254</v>
      </c>
    </row>
    <row r="4111" spans="3:13" hidden="1" x14ac:dyDescent="0.25">
      <c r="C4111" t="s">
        <v>64</v>
      </c>
      <c r="D4111" t="s">
        <v>125</v>
      </c>
      <c r="E4111" t="s">
        <v>63</v>
      </c>
      <c r="F4111" t="s">
        <v>24</v>
      </c>
      <c r="G4111">
        <v>1</v>
      </c>
      <c r="I4111" t="s">
        <v>121</v>
      </c>
      <c r="J4111" t="s">
        <v>122</v>
      </c>
      <c r="K4111">
        <v>0</v>
      </c>
      <c r="L4111" s="84">
        <v>1602266</v>
      </c>
      <c r="M4111" s="84">
        <v>1602266</v>
      </c>
    </row>
    <row r="4112" spans="3:13" hidden="1" x14ac:dyDescent="0.25">
      <c r="C4112" t="s">
        <v>64</v>
      </c>
      <c r="D4112" t="s">
        <v>120</v>
      </c>
      <c r="E4112" t="s">
        <v>63</v>
      </c>
      <c r="F4112" t="s">
        <v>124</v>
      </c>
      <c r="G4112">
        <v>3</v>
      </c>
      <c r="H4112" t="s">
        <v>17</v>
      </c>
      <c r="I4112" t="s">
        <v>121</v>
      </c>
      <c r="J4112" t="s">
        <v>122</v>
      </c>
      <c r="K4112">
        <v>0</v>
      </c>
      <c r="L4112" s="84">
        <v>3896654</v>
      </c>
      <c r="M4112" s="84">
        <v>11689962</v>
      </c>
    </row>
    <row r="4113" spans="3:13" hidden="1" x14ac:dyDescent="0.25">
      <c r="C4113" t="s">
        <v>65</v>
      </c>
      <c r="D4113" t="s">
        <v>120</v>
      </c>
      <c r="E4113" t="s">
        <v>63</v>
      </c>
      <c r="F4113" t="s">
        <v>24</v>
      </c>
      <c r="G4113">
        <v>5</v>
      </c>
      <c r="H4113" t="s">
        <v>14</v>
      </c>
      <c r="I4113" t="s">
        <v>121</v>
      </c>
      <c r="J4113" t="s">
        <v>122</v>
      </c>
      <c r="K4113">
        <v>0</v>
      </c>
      <c r="L4113" s="84">
        <v>54211</v>
      </c>
      <c r="M4113" s="84">
        <v>271055</v>
      </c>
    </row>
    <row r="4114" spans="3:13" hidden="1" x14ac:dyDescent="0.25">
      <c r="C4114" t="s">
        <v>119</v>
      </c>
      <c r="D4114" t="s">
        <v>120</v>
      </c>
      <c r="E4114" t="s">
        <v>63</v>
      </c>
      <c r="F4114" t="s">
        <v>124</v>
      </c>
      <c r="G4114">
        <v>-4</v>
      </c>
      <c r="H4114" t="s">
        <v>18</v>
      </c>
      <c r="I4114" t="s">
        <v>121</v>
      </c>
      <c r="J4114" t="s">
        <v>122</v>
      </c>
      <c r="K4114">
        <v>0</v>
      </c>
      <c r="L4114" s="84">
        <v>281096</v>
      </c>
      <c r="M4114" s="84">
        <v>0</v>
      </c>
    </row>
    <row r="4115" spans="3:13" hidden="1" x14ac:dyDescent="0.25">
      <c r="C4115" t="s">
        <v>119</v>
      </c>
      <c r="D4115" t="s">
        <v>120</v>
      </c>
      <c r="E4115" t="s">
        <v>63</v>
      </c>
      <c r="F4115" t="s">
        <v>25</v>
      </c>
      <c r="G4115">
        <v>0</v>
      </c>
      <c r="H4115" t="s">
        <v>68</v>
      </c>
      <c r="I4115" t="s">
        <v>121</v>
      </c>
      <c r="J4115" t="s">
        <v>122</v>
      </c>
      <c r="K4115">
        <v>0</v>
      </c>
      <c r="L4115" s="84">
        <v>3930492</v>
      </c>
      <c r="M4115" s="84">
        <v>0</v>
      </c>
    </row>
    <row r="4116" spans="3:13" hidden="1" x14ac:dyDescent="0.25">
      <c r="C4116" t="s">
        <v>65</v>
      </c>
      <c r="D4116" t="s">
        <v>126</v>
      </c>
      <c r="E4116" t="s">
        <v>63</v>
      </c>
      <c r="F4116" t="s">
        <v>25</v>
      </c>
      <c r="G4116">
        <v>-1</v>
      </c>
      <c r="H4116" t="s">
        <v>76</v>
      </c>
      <c r="I4116" t="s">
        <v>121</v>
      </c>
      <c r="J4116" t="s">
        <v>122</v>
      </c>
      <c r="K4116">
        <v>0</v>
      </c>
      <c r="L4116" s="84">
        <v>2874887</v>
      </c>
      <c r="M4116" s="84">
        <v>0</v>
      </c>
    </row>
    <row r="4117" spans="3:13" hidden="1" x14ac:dyDescent="0.25">
      <c r="C4117" t="s">
        <v>119</v>
      </c>
      <c r="D4117" t="s">
        <v>125</v>
      </c>
      <c r="E4117" t="s">
        <v>60</v>
      </c>
      <c r="F4117" t="s">
        <v>25</v>
      </c>
      <c r="G4117">
        <v>6</v>
      </c>
      <c r="I4117" t="s">
        <v>121</v>
      </c>
      <c r="J4117" t="s">
        <v>122</v>
      </c>
      <c r="K4117">
        <v>0</v>
      </c>
      <c r="L4117" s="84">
        <v>-5545</v>
      </c>
      <c r="M4117" s="84">
        <v>0</v>
      </c>
    </row>
    <row r="4118" spans="3:13" hidden="1" x14ac:dyDescent="0.25">
      <c r="C4118" t="s">
        <v>119</v>
      </c>
      <c r="D4118" t="s">
        <v>120</v>
      </c>
      <c r="E4118" t="s">
        <v>63</v>
      </c>
      <c r="F4118" t="s">
        <v>124</v>
      </c>
      <c r="G4118">
        <v>2</v>
      </c>
      <c r="H4118" t="s">
        <v>14</v>
      </c>
      <c r="I4118" t="s">
        <v>121</v>
      </c>
      <c r="J4118" t="s">
        <v>66</v>
      </c>
      <c r="K4118">
        <v>1</v>
      </c>
      <c r="L4118" s="84">
        <v>34974341</v>
      </c>
      <c r="M4118" s="84">
        <v>69948682</v>
      </c>
    </row>
    <row r="4119" spans="3:13" hidden="1" x14ac:dyDescent="0.25">
      <c r="C4119" t="s">
        <v>64</v>
      </c>
      <c r="D4119" t="s">
        <v>126</v>
      </c>
      <c r="E4119" t="s">
        <v>63</v>
      </c>
      <c r="F4119" t="s">
        <v>25</v>
      </c>
      <c r="G4119">
        <v>5</v>
      </c>
      <c r="H4119" t="s">
        <v>74</v>
      </c>
      <c r="I4119" t="s">
        <v>121</v>
      </c>
      <c r="J4119" t="s">
        <v>122</v>
      </c>
      <c r="K4119">
        <v>0</v>
      </c>
      <c r="L4119" s="84">
        <v>89268</v>
      </c>
      <c r="M4119" s="84">
        <v>446340</v>
      </c>
    </row>
    <row r="4120" spans="3:13" hidden="1" x14ac:dyDescent="0.25">
      <c r="C4120" t="s">
        <v>119</v>
      </c>
      <c r="D4120" t="s">
        <v>120</v>
      </c>
      <c r="E4120" t="s">
        <v>60</v>
      </c>
      <c r="F4120" t="s">
        <v>24</v>
      </c>
      <c r="G4120">
        <v>7</v>
      </c>
      <c r="H4120" t="s">
        <v>72</v>
      </c>
      <c r="I4120" t="s">
        <v>121</v>
      </c>
      <c r="J4120" t="s">
        <v>122</v>
      </c>
      <c r="K4120">
        <v>0</v>
      </c>
      <c r="L4120" s="84">
        <v>-2667</v>
      </c>
      <c r="M4120" s="84">
        <v>0</v>
      </c>
    </row>
    <row r="4121" spans="3:13" hidden="1" x14ac:dyDescent="0.25">
      <c r="C4121" t="s">
        <v>119</v>
      </c>
      <c r="D4121" t="s">
        <v>120</v>
      </c>
      <c r="E4121" t="s">
        <v>63</v>
      </c>
      <c r="F4121" t="s">
        <v>124</v>
      </c>
      <c r="G4121">
        <v>1</v>
      </c>
      <c r="H4121" t="s">
        <v>75</v>
      </c>
      <c r="I4121" t="s">
        <v>121</v>
      </c>
      <c r="J4121" t="s">
        <v>122</v>
      </c>
      <c r="K4121">
        <v>0</v>
      </c>
      <c r="L4121" s="84">
        <v>78985093</v>
      </c>
      <c r="M4121" s="84">
        <v>78985093</v>
      </c>
    </row>
    <row r="4122" spans="3:13" hidden="1" x14ac:dyDescent="0.25">
      <c r="C4122" t="s">
        <v>119</v>
      </c>
      <c r="D4122" t="s">
        <v>120</v>
      </c>
      <c r="E4122" t="s">
        <v>60</v>
      </c>
      <c r="F4122" t="s">
        <v>25</v>
      </c>
      <c r="G4122">
        <v>14</v>
      </c>
      <c r="H4122" t="s">
        <v>67</v>
      </c>
      <c r="I4122" t="s">
        <v>121</v>
      </c>
      <c r="J4122" t="s">
        <v>122</v>
      </c>
      <c r="K4122">
        <v>0</v>
      </c>
      <c r="L4122" s="84">
        <v>-32967</v>
      </c>
      <c r="M4122" s="84">
        <v>0</v>
      </c>
    </row>
    <row r="4123" spans="3:13" hidden="1" x14ac:dyDescent="0.25">
      <c r="C4123" t="s">
        <v>64</v>
      </c>
      <c r="D4123" t="s">
        <v>120</v>
      </c>
      <c r="E4123" t="s">
        <v>63</v>
      </c>
      <c r="F4123" t="s">
        <v>25</v>
      </c>
      <c r="G4123">
        <v>15</v>
      </c>
      <c r="H4123" t="s">
        <v>72</v>
      </c>
      <c r="I4123" t="s">
        <v>121</v>
      </c>
      <c r="J4123" t="s">
        <v>122</v>
      </c>
      <c r="K4123">
        <v>0</v>
      </c>
      <c r="L4123" s="84">
        <v>126278</v>
      </c>
      <c r="M4123" s="84">
        <v>1894170</v>
      </c>
    </row>
    <row r="4124" spans="3:13" hidden="1" x14ac:dyDescent="0.25">
      <c r="C4124" t="s">
        <v>64</v>
      </c>
      <c r="D4124" t="s">
        <v>120</v>
      </c>
      <c r="E4124" t="s">
        <v>60</v>
      </c>
      <c r="F4124" t="s">
        <v>124</v>
      </c>
      <c r="G4124">
        <v>6</v>
      </c>
      <c r="H4124" t="s">
        <v>14</v>
      </c>
      <c r="I4124" t="s">
        <v>121</v>
      </c>
      <c r="J4124" t="s">
        <v>122</v>
      </c>
      <c r="K4124">
        <v>0</v>
      </c>
      <c r="L4124" s="84">
        <v>-53811</v>
      </c>
      <c r="M4124" s="84">
        <v>0</v>
      </c>
    </row>
    <row r="4125" spans="3:13" hidden="1" x14ac:dyDescent="0.25">
      <c r="C4125" t="s">
        <v>119</v>
      </c>
      <c r="D4125" t="s">
        <v>120</v>
      </c>
      <c r="E4125" t="s">
        <v>60</v>
      </c>
      <c r="F4125" t="s">
        <v>124</v>
      </c>
      <c r="G4125">
        <v>2</v>
      </c>
      <c r="H4125" t="s">
        <v>69</v>
      </c>
      <c r="I4125" t="s">
        <v>121</v>
      </c>
      <c r="J4125" t="s">
        <v>122</v>
      </c>
      <c r="K4125">
        <v>0</v>
      </c>
      <c r="L4125" s="84">
        <v>-104424</v>
      </c>
      <c r="M4125" s="84">
        <v>0</v>
      </c>
    </row>
    <row r="4126" spans="3:13" hidden="1" x14ac:dyDescent="0.25">
      <c r="C4126" t="s">
        <v>65</v>
      </c>
      <c r="D4126" t="s">
        <v>120</v>
      </c>
      <c r="E4126" t="s">
        <v>63</v>
      </c>
      <c r="F4126" t="s">
        <v>124</v>
      </c>
      <c r="G4126">
        <v>-4</v>
      </c>
      <c r="H4126" t="s">
        <v>67</v>
      </c>
      <c r="I4126" t="s">
        <v>121</v>
      </c>
      <c r="J4126" t="s">
        <v>122</v>
      </c>
      <c r="K4126">
        <v>0</v>
      </c>
      <c r="L4126" s="84">
        <v>1792878</v>
      </c>
      <c r="M4126" s="84">
        <v>0</v>
      </c>
    </row>
    <row r="4127" spans="3:13" hidden="1" x14ac:dyDescent="0.25">
      <c r="C4127" t="s">
        <v>64</v>
      </c>
      <c r="D4127" t="s">
        <v>120</v>
      </c>
      <c r="E4127" t="s">
        <v>63</v>
      </c>
      <c r="F4127" t="s">
        <v>124</v>
      </c>
      <c r="G4127">
        <v>6</v>
      </c>
      <c r="H4127" t="s">
        <v>14</v>
      </c>
      <c r="I4127" t="s">
        <v>121</v>
      </c>
      <c r="J4127" t="s">
        <v>122</v>
      </c>
      <c r="K4127">
        <v>0</v>
      </c>
      <c r="L4127" s="84">
        <v>350518</v>
      </c>
      <c r="M4127" s="84">
        <v>2103108</v>
      </c>
    </row>
    <row r="4128" spans="3:13" hidden="1" x14ac:dyDescent="0.25">
      <c r="C4128" t="s">
        <v>119</v>
      </c>
      <c r="D4128" t="s">
        <v>120</v>
      </c>
      <c r="E4128" t="s">
        <v>60</v>
      </c>
      <c r="F4128" t="s">
        <v>123</v>
      </c>
      <c r="G4128">
        <v>5</v>
      </c>
      <c r="H4128" t="s">
        <v>14</v>
      </c>
      <c r="I4128" t="s">
        <v>121</v>
      </c>
      <c r="J4128" t="s">
        <v>66</v>
      </c>
      <c r="K4128">
        <v>1</v>
      </c>
      <c r="L4128" s="84">
        <v>-6194</v>
      </c>
      <c r="M4128" s="84">
        <v>0</v>
      </c>
    </row>
    <row r="4129" spans="3:13" hidden="1" x14ac:dyDescent="0.25">
      <c r="C4129" t="s">
        <v>119</v>
      </c>
      <c r="D4129" t="s">
        <v>126</v>
      </c>
      <c r="E4129" t="s">
        <v>63</v>
      </c>
      <c r="F4129" t="s">
        <v>25</v>
      </c>
      <c r="G4129">
        <v>6</v>
      </c>
      <c r="H4129" t="s">
        <v>68</v>
      </c>
      <c r="I4129" t="s">
        <v>121</v>
      </c>
      <c r="J4129" t="s">
        <v>122</v>
      </c>
      <c r="K4129">
        <v>0</v>
      </c>
      <c r="L4129" s="84">
        <v>28902798</v>
      </c>
      <c r="M4129" s="84">
        <v>173416788</v>
      </c>
    </row>
    <row r="4130" spans="3:13" hidden="1" x14ac:dyDescent="0.25">
      <c r="C4130" t="s">
        <v>65</v>
      </c>
      <c r="D4130" t="s">
        <v>120</v>
      </c>
      <c r="E4130" t="s">
        <v>60</v>
      </c>
      <c r="F4130" t="s">
        <v>124</v>
      </c>
      <c r="G4130">
        <v>-1</v>
      </c>
      <c r="H4130" t="s">
        <v>17</v>
      </c>
      <c r="I4130" t="s">
        <v>62</v>
      </c>
      <c r="J4130" t="s">
        <v>66</v>
      </c>
      <c r="K4130">
        <v>1</v>
      </c>
      <c r="L4130" s="84">
        <v>-131982</v>
      </c>
      <c r="M4130" s="84">
        <v>0</v>
      </c>
    </row>
    <row r="4131" spans="3:13" hidden="1" x14ac:dyDescent="0.25">
      <c r="C4131" t="s">
        <v>64</v>
      </c>
      <c r="D4131" t="s">
        <v>120</v>
      </c>
      <c r="E4131" t="s">
        <v>63</v>
      </c>
      <c r="F4131" t="s">
        <v>24</v>
      </c>
      <c r="G4131">
        <v>12</v>
      </c>
      <c r="H4131" t="s">
        <v>69</v>
      </c>
      <c r="I4131" t="s">
        <v>121</v>
      </c>
      <c r="J4131" t="s">
        <v>122</v>
      </c>
      <c r="K4131">
        <v>0</v>
      </c>
      <c r="L4131" s="84">
        <v>440927</v>
      </c>
      <c r="M4131" s="84">
        <v>5291124</v>
      </c>
    </row>
    <row r="4132" spans="3:13" x14ac:dyDescent="0.25">
      <c r="C4132" t="s">
        <v>119</v>
      </c>
      <c r="D4132" t="s">
        <v>120</v>
      </c>
      <c r="E4132" t="s">
        <v>63</v>
      </c>
      <c r="F4132" t="s">
        <v>25</v>
      </c>
      <c r="G4132">
        <v>4</v>
      </c>
      <c r="H4132" t="s">
        <v>12</v>
      </c>
      <c r="I4132" t="s">
        <v>121</v>
      </c>
      <c r="J4132" t="s">
        <v>66</v>
      </c>
      <c r="K4132">
        <v>1</v>
      </c>
      <c r="L4132" s="84">
        <v>1398702</v>
      </c>
      <c r="M4132" s="84">
        <v>5594808</v>
      </c>
    </row>
    <row r="4133" spans="3:13" hidden="1" x14ac:dyDescent="0.25">
      <c r="C4133" t="s">
        <v>119</v>
      </c>
      <c r="D4133" t="s">
        <v>120</v>
      </c>
      <c r="E4133" t="s">
        <v>60</v>
      </c>
      <c r="F4133" t="s">
        <v>24</v>
      </c>
      <c r="G4133">
        <v>0</v>
      </c>
      <c r="H4133" t="s">
        <v>75</v>
      </c>
      <c r="I4133" t="s">
        <v>121</v>
      </c>
      <c r="J4133" t="s">
        <v>122</v>
      </c>
      <c r="K4133">
        <v>0</v>
      </c>
      <c r="L4133" s="84">
        <v>-241</v>
      </c>
      <c r="M4133" s="84">
        <v>0</v>
      </c>
    </row>
    <row r="4134" spans="3:13" hidden="1" x14ac:dyDescent="0.25">
      <c r="C4134" t="s">
        <v>119</v>
      </c>
      <c r="D4134" t="s">
        <v>126</v>
      </c>
      <c r="E4134" t="s">
        <v>63</v>
      </c>
      <c r="F4134" t="s">
        <v>25</v>
      </c>
      <c r="G4134">
        <v>1</v>
      </c>
      <c r="H4134" t="s">
        <v>74</v>
      </c>
      <c r="I4134" t="s">
        <v>121</v>
      </c>
      <c r="J4134" t="s">
        <v>122</v>
      </c>
      <c r="K4134">
        <v>0</v>
      </c>
      <c r="L4134" s="84">
        <v>10919887</v>
      </c>
      <c r="M4134" s="84">
        <v>10919887</v>
      </c>
    </row>
    <row r="4135" spans="3:13" hidden="1" x14ac:dyDescent="0.25">
      <c r="C4135" t="s">
        <v>64</v>
      </c>
      <c r="D4135" t="s">
        <v>120</v>
      </c>
      <c r="E4135" t="s">
        <v>60</v>
      </c>
      <c r="F4135" t="s">
        <v>124</v>
      </c>
      <c r="G4135">
        <v>3</v>
      </c>
      <c r="H4135" t="s">
        <v>76</v>
      </c>
      <c r="I4135" t="s">
        <v>121</v>
      </c>
      <c r="J4135" t="s">
        <v>122</v>
      </c>
      <c r="K4135">
        <v>0</v>
      </c>
      <c r="L4135" s="84">
        <v>-58457</v>
      </c>
      <c r="M4135" s="84">
        <v>0</v>
      </c>
    </row>
    <row r="4136" spans="3:13" hidden="1" x14ac:dyDescent="0.25">
      <c r="C4136" t="s">
        <v>119</v>
      </c>
      <c r="D4136" t="s">
        <v>120</v>
      </c>
      <c r="E4136" t="s">
        <v>60</v>
      </c>
      <c r="F4136" t="s">
        <v>124</v>
      </c>
      <c r="G4136">
        <v>3</v>
      </c>
      <c r="H4136" t="s">
        <v>17</v>
      </c>
      <c r="I4136" t="s">
        <v>121</v>
      </c>
      <c r="J4136" t="s">
        <v>66</v>
      </c>
      <c r="K4136">
        <v>1</v>
      </c>
      <c r="L4136" s="84">
        <v>-16717</v>
      </c>
      <c r="M4136" s="84">
        <v>0</v>
      </c>
    </row>
    <row r="4137" spans="3:13" hidden="1" x14ac:dyDescent="0.25">
      <c r="C4137" t="s">
        <v>64</v>
      </c>
      <c r="D4137" t="s">
        <v>125</v>
      </c>
      <c r="E4137" t="s">
        <v>60</v>
      </c>
      <c r="F4137" t="s">
        <v>24</v>
      </c>
      <c r="G4137">
        <v>-4</v>
      </c>
      <c r="I4137" t="s">
        <v>121</v>
      </c>
      <c r="J4137" t="s">
        <v>122</v>
      </c>
      <c r="K4137">
        <v>0</v>
      </c>
      <c r="L4137" s="84">
        <v>-669</v>
      </c>
      <c r="M4137" s="84">
        <v>0</v>
      </c>
    </row>
    <row r="4138" spans="3:13" hidden="1" x14ac:dyDescent="0.25">
      <c r="C4138" t="s">
        <v>119</v>
      </c>
      <c r="D4138" t="s">
        <v>120</v>
      </c>
      <c r="E4138" t="s">
        <v>60</v>
      </c>
      <c r="F4138" t="s">
        <v>123</v>
      </c>
      <c r="G4138">
        <v>-1</v>
      </c>
      <c r="H4138" t="s">
        <v>72</v>
      </c>
      <c r="I4138" t="s">
        <v>121</v>
      </c>
      <c r="J4138" t="s">
        <v>122</v>
      </c>
      <c r="K4138">
        <v>0</v>
      </c>
      <c r="L4138" s="84">
        <v>-171</v>
      </c>
      <c r="M4138" s="84">
        <v>0</v>
      </c>
    </row>
    <row r="4139" spans="3:13" hidden="1" x14ac:dyDescent="0.25">
      <c r="C4139" t="s">
        <v>65</v>
      </c>
      <c r="D4139" t="s">
        <v>120</v>
      </c>
      <c r="E4139" t="s">
        <v>63</v>
      </c>
      <c r="F4139" t="s">
        <v>124</v>
      </c>
      <c r="G4139">
        <v>7</v>
      </c>
      <c r="H4139" t="s">
        <v>18</v>
      </c>
      <c r="I4139" t="s">
        <v>121</v>
      </c>
      <c r="J4139" t="s">
        <v>66</v>
      </c>
      <c r="K4139">
        <v>1</v>
      </c>
      <c r="L4139" s="84">
        <v>3865</v>
      </c>
      <c r="M4139" s="84">
        <v>27055</v>
      </c>
    </row>
    <row r="4140" spans="3:13" hidden="1" x14ac:dyDescent="0.25">
      <c r="C4140" t="s">
        <v>119</v>
      </c>
      <c r="D4140" t="s">
        <v>120</v>
      </c>
      <c r="E4140" t="s">
        <v>60</v>
      </c>
      <c r="F4140" t="s">
        <v>124</v>
      </c>
      <c r="G4140">
        <v>-1</v>
      </c>
      <c r="H4140" t="s">
        <v>15</v>
      </c>
      <c r="I4140" t="s">
        <v>62</v>
      </c>
      <c r="J4140" t="s">
        <v>66</v>
      </c>
      <c r="K4140">
        <v>1</v>
      </c>
      <c r="L4140" s="84">
        <v>0</v>
      </c>
      <c r="M4140" s="84">
        <v>0</v>
      </c>
    </row>
    <row r="4141" spans="3:13" x14ac:dyDescent="0.25">
      <c r="C4141" t="s">
        <v>119</v>
      </c>
      <c r="D4141" t="s">
        <v>120</v>
      </c>
      <c r="E4141" t="s">
        <v>63</v>
      </c>
      <c r="F4141" t="s">
        <v>25</v>
      </c>
      <c r="G4141">
        <v>10</v>
      </c>
      <c r="H4141" t="s">
        <v>17</v>
      </c>
      <c r="I4141" t="s">
        <v>62</v>
      </c>
      <c r="J4141" t="s">
        <v>66</v>
      </c>
      <c r="K4141">
        <v>1</v>
      </c>
      <c r="L4141" s="84">
        <v>392814</v>
      </c>
      <c r="M4141" s="84">
        <v>3928140</v>
      </c>
    </row>
    <row r="4142" spans="3:13" hidden="1" x14ac:dyDescent="0.25">
      <c r="C4142" t="s">
        <v>64</v>
      </c>
      <c r="D4142" t="s">
        <v>120</v>
      </c>
      <c r="E4142" t="s">
        <v>60</v>
      </c>
      <c r="F4142" t="s">
        <v>25</v>
      </c>
      <c r="G4142">
        <v>2</v>
      </c>
      <c r="H4142" t="s">
        <v>67</v>
      </c>
      <c r="I4142" t="s">
        <v>121</v>
      </c>
      <c r="J4142" t="s">
        <v>122</v>
      </c>
      <c r="K4142">
        <v>0</v>
      </c>
      <c r="L4142" s="84">
        <v>-259</v>
      </c>
      <c r="M4142" s="84">
        <v>0</v>
      </c>
    </row>
    <row r="4143" spans="3:13" hidden="1" x14ac:dyDescent="0.25">
      <c r="C4143" t="s">
        <v>119</v>
      </c>
      <c r="D4143" t="s">
        <v>120</v>
      </c>
      <c r="E4143" t="s">
        <v>63</v>
      </c>
      <c r="F4143" t="s">
        <v>123</v>
      </c>
      <c r="G4143">
        <v>1</v>
      </c>
      <c r="H4143" t="s">
        <v>17</v>
      </c>
      <c r="I4143" t="s">
        <v>121</v>
      </c>
      <c r="J4143" t="s">
        <v>66</v>
      </c>
      <c r="K4143">
        <v>1</v>
      </c>
      <c r="L4143" s="84">
        <v>326489</v>
      </c>
      <c r="M4143" s="84">
        <v>326489</v>
      </c>
    </row>
    <row r="4144" spans="3:13" hidden="1" x14ac:dyDescent="0.25">
      <c r="C4144" t="s">
        <v>64</v>
      </c>
      <c r="D4144" t="s">
        <v>125</v>
      </c>
      <c r="E4144" t="s">
        <v>60</v>
      </c>
      <c r="F4144" t="s">
        <v>24</v>
      </c>
      <c r="G4144">
        <v>17</v>
      </c>
      <c r="I4144" t="s">
        <v>121</v>
      </c>
      <c r="J4144" t="s">
        <v>122</v>
      </c>
      <c r="K4144">
        <v>0</v>
      </c>
      <c r="L4144" s="84">
        <v>-608653</v>
      </c>
      <c r="M4144" s="84">
        <v>0</v>
      </c>
    </row>
    <row r="4145" spans="3:13" hidden="1" x14ac:dyDescent="0.25">
      <c r="C4145" t="s">
        <v>64</v>
      </c>
      <c r="D4145" t="s">
        <v>120</v>
      </c>
      <c r="E4145" t="s">
        <v>63</v>
      </c>
      <c r="F4145" t="s">
        <v>124</v>
      </c>
      <c r="G4145">
        <v>5</v>
      </c>
      <c r="H4145" t="s">
        <v>12</v>
      </c>
      <c r="I4145" t="s">
        <v>62</v>
      </c>
      <c r="J4145" t="s">
        <v>66</v>
      </c>
      <c r="K4145">
        <v>1</v>
      </c>
      <c r="L4145" s="84">
        <v>30536</v>
      </c>
      <c r="M4145" s="84">
        <v>152680</v>
      </c>
    </row>
    <row r="4146" spans="3:13" hidden="1" x14ac:dyDescent="0.25">
      <c r="C4146" t="s">
        <v>64</v>
      </c>
      <c r="D4146" t="s">
        <v>120</v>
      </c>
      <c r="E4146" t="s">
        <v>63</v>
      </c>
      <c r="F4146" t="s">
        <v>124</v>
      </c>
      <c r="G4146">
        <v>0</v>
      </c>
      <c r="H4146" t="s">
        <v>73</v>
      </c>
      <c r="I4146" t="s">
        <v>121</v>
      </c>
      <c r="J4146" t="s">
        <v>122</v>
      </c>
      <c r="K4146">
        <v>0</v>
      </c>
      <c r="L4146" s="84">
        <v>254465</v>
      </c>
      <c r="M4146" s="84">
        <v>0</v>
      </c>
    </row>
    <row r="4147" spans="3:13" hidden="1" x14ac:dyDescent="0.25">
      <c r="C4147" t="s">
        <v>119</v>
      </c>
      <c r="D4147" t="s">
        <v>120</v>
      </c>
      <c r="E4147" t="s">
        <v>63</v>
      </c>
      <c r="F4147" t="s">
        <v>24</v>
      </c>
      <c r="G4147">
        <v>15</v>
      </c>
      <c r="H4147" t="s">
        <v>69</v>
      </c>
      <c r="I4147" t="s">
        <v>121</v>
      </c>
      <c r="J4147" t="s">
        <v>122</v>
      </c>
      <c r="K4147">
        <v>0</v>
      </c>
      <c r="L4147" s="84">
        <v>3656780</v>
      </c>
      <c r="M4147" s="84">
        <v>54851700</v>
      </c>
    </row>
    <row r="4148" spans="3:13" hidden="1" x14ac:dyDescent="0.25">
      <c r="C4148" t="s">
        <v>119</v>
      </c>
      <c r="D4148" t="s">
        <v>120</v>
      </c>
      <c r="E4148" t="s">
        <v>63</v>
      </c>
      <c r="F4148" t="s">
        <v>123</v>
      </c>
      <c r="G4148">
        <v>2</v>
      </c>
      <c r="H4148" t="s">
        <v>68</v>
      </c>
      <c r="I4148" t="s">
        <v>121</v>
      </c>
      <c r="J4148" t="s">
        <v>122</v>
      </c>
      <c r="K4148">
        <v>0</v>
      </c>
      <c r="L4148" s="84">
        <v>10983952</v>
      </c>
      <c r="M4148" s="84">
        <v>21967904</v>
      </c>
    </row>
    <row r="4149" spans="3:13" hidden="1" x14ac:dyDescent="0.25">
      <c r="C4149" t="s">
        <v>119</v>
      </c>
      <c r="D4149" t="s">
        <v>120</v>
      </c>
      <c r="E4149" t="s">
        <v>60</v>
      </c>
      <c r="F4149" t="s">
        <v>124</v>
      </c>
      <c r="G4149">
        <v>-1</v>
      </c>
      <c r="H4149" t="s">
        <v>17</v>
      </c>
      <c r="I4149" t="s">
        <v>62</v>
      </c>
      <c r="J4149" t="s">
        <v>66</v>
      </c>
      <c r="K4149">
        <v>1</v>
      </c>
      <c r="L4149" s="84">
        <v>-10462</v>
      </c>
      <c r="M4149" s="84">
        <v>0</v>
      </c>
    </row>
    <row r="4150" spans="3:13" hidden="1" x14ac:dyDescent="0.25">
      <c r="C4150" t="s">
        <v>119</v>
      </c>
      <c r="D4150" t="s">
        <v>120</v>
      </c>
      <c r="E4150" t="s">
        <v>60</v>
      </c>
      <c r="F4150" t="s">
        <v>124</v>
      </c>
      <c r="G4150">
        <v>3</v>
      </c>
      <c r="H4150" t="s">
        <v>14</v>
      </c>
      <c r="I4150" t="s">
        <v>62</v>
      </c>
      <c r="J4150" t="s">
        <v>122</v>
      </c>
      <c r="K4150">
        <v>1</v>
      </c>
      <c r="L4150" s="84">
        <v>-761</v>
      </c>
      <c r="M4150" s="84">
        <v>0</v>
      </c>
    </row>
    <row r="4151" spans="3:13" hidden="1" x14ac:dyDescent="0.25">
      <c r="C4151" t="s">
        <v>119</v>
      </c>
      <c r="D4151" t="s">
        <v>120</v>
      </c>
      <c r="E4151" t="s">
        <v>60</v>
      </c>
      <c r="F4151" t="s">
        <v>25</v>
      </c>
      <c r="G4151">
        <v>7</v>
      </c>
      <c r="H4151" t="s">
        <v>17</v>
      </c>
      <c r="I4151" t="s">
        <v>121</v>
      </c>
      <c r="J4151" t="s">
        <v>66</v>
      </c>
      <c r="K4151">
        <v>1</v>
      </c>
      <c r="L4151" s="84">
        <v>-108</v>
      </c>
      <c r="M4151" s="84">
        <v>0</v>
      </c>
    </row>
    <row r="4152" spans="3:13" hidden="1" x14ac:dyDescent="0.25">
      <c r="C4152" t="s">
        <v>119</v>
      </c>
      <c r="D4152" t="s">
        <v>120</v>
      </c>
      <c r="E4152" t="s">
        <v>60</v>
      </c>
      <c r="F4152" t="s">
        <v>25</v>
      </c>
      <c r="G4152">
        <v>5</v>
      </c>
      <c r="H4152" t="s">
        <v>17</v>
      </c>
      <c r="I4152" t="s">
        <v>121</v>
      </c>
      <c r="J4152" t="s">
        <v>122</v>
      </c>
      <c r="K4152">
        <v>0</v>
      </c>
      <c r="L4152" s="84">
        <v>-2264</v>
      </c>
      <c r="M4152" s="84">
        <v>0</v>
      </c>
    </row>
    <row r="4153" spans="3:13" hidden="1" x14ac:dyDescent="0.25">
      <c r="C4153" t="s">
        <v>64</v>
      </c>
      <c r="D4153" t="s">
        <v>120</v>
      </c>
      <c r="E4153" t="s">
        <v>60</v>
      </c>
      <c r="F4153" t="s">
        <v>24</v>
      </c>
      <c r="G4153">
        <v>0</v>
      </c>
      <c r="H4153" t="s">
        <v>75</v>
      </c>
      <c r="I4153" t="s">
        <v>121</v>
      </c>
      <c r="J4153" t="s">
        <v>122</v>
      </c>
      <c r="K4153">
        <v>0</v>
      </c>
      <c r="L4153" s="84">
        <v>-57</v>
      </c>
      <c r="M4153" s="84">
        <v>0</v>
      </c>
    </row>
    <row r="4154" spans="3:13" hidden="1" x14ac:dyDescent="0.25">
      <c r="C4154" t="s">
        <v>64</v>
      </c>
      <c r="D4154" t="s">
        <v>120</v>
      </c>
      <c r="E4154" t="s">
        <v>63</v>
      </c>
      <c r="F4154" t="s">
        <v>24</v>
      </c>
      <c r="G4154">
        <v>11</v>
      </c>
      <c r="H4154" t="s">
        <v>18</v>
      </c>
      <c r="I4154" t="s">
        <v>121</v>
      </c>
      <c r="J4154" t="s">
        <v>122</v>
      </c>
      <c r="K4154">
        <v>0</v>
      </c>
      <c r="L4154" s="84">
        <v>624698</v>
      </c>
      <c r="M4154" s="84">
        <v>6871678</v>
      </c>
    </row>
    <row r="4155" spans="3:13" hidden="1" x14ac:dyDescent="0.25">
      <c r="C4155" t="s">
        <v>119</v>
      </c>
      <c r="D4155" t="s">
        <v>120</v>
      </c>
      <c r="E4155" t="s">
        <v>60</v>
      </c>
      <c r="F4155" t="s">
        <v>124</v>
      </c>
      <c r="G4155">
        <v>8</v>
      </c>
      <c r="H4155" t="s">
        <v>12</v>
      </c>
      <c r="I4155" t="s">
        <v>121</v>
      </c>
      <c r="J4155" t="s">
        <v>122</v>
      </c>
      <c r="K4155">
        <v>0</v>
      </c>
      <c r="L4155" s="84">
        <v>-2199</v>
      </c>
      <c r="M4155" s="84">
        <v>0</v>
      </c>
    </row>
    <row r="4156" spans="3:13" hidden="1" x14ac:dyDescent="0.25">
      <c r="C4156" t="s">
        <v>119</v>
      </c>
      <c r="D4156" t="s">
        <v>120</v>
      </c>
      <c r="E4156" t="s">
        <v>60</v>
      </c>
      <c r="F4156" t="s">
        <v>124</v>
      </c>
      <c r="G4156">
        <v>3</v>
      </c>
      <c r="H4156" t="s">
        <v>15</v>
      </c>
      <c r="I4156" t="s">
        <v>121</v>
      </c>
      <c r="J4156" t="s">
        <v>66</v>
      </c>
      <c r="K4156">
        <v>1</v>
      </c>
      <c r="L4156" s="84">
        <v>-2144</v>
      </c>
      <c r="M4156" s="84">
        <v>0</v>
      </c>
    </row>
    <row r="4157" spans="3:13" hidden="1" x14ac:dyDescent="0.25">
      <c r="C4157" t="s">
        <v>64</v>
      </c>
      <c r="D4157" t="s">
        <v>120</v>
      </c>
      <c r="E4157" t="s">
        <v>60</v>
      </c>
      <c r="F4157" t="s">
        <v>124</v>
      </c>
      <c r="G4157">
        <v>3</v>
      </c>
      <c r="H4157" t="s">
        <v>71</v>
      </c>
      <c r="I4157" t="s">
        <v>121</v>
      </c>
      <c r="J4157" t="s">
        <v>122</v>
      </c>
      <c r="K4157">
        <v>0</v>
      </c>
      <c r="L4157" s="84">
        <v>-23362</v>
      </c>
      <c r="M4157" s="84">
        <v>0</v>
      </c>
    </row>
    <row r="4158" spans="3:13" hidden="1" x14ac:dyDescent="0.25">
      <c r="C4158" t="s">
        <v>64</v>
      </c>
      <c r="D4158" t="s">
        <v>125</v>
      </c>
      <c r="E4158" t="s">
        <v>60</v>
      </c>
      <c r="F4158" t="s">
        <v>25</v>
      </c>
      <c r="G4158">
        <v>22</v>
      </c>
      <c r="I4158" t="s">
        <v>121</v>
      </c>
      <c r="J4158" t="s">
        <v>122</v>
      </c>
      <c r="K4158">
        <v>0</v>
      </c>
      <c r="L4158" s="84">
        <v>-7157</v>
      </c>
      <c r="M4158" s="84">
        <v>0</v>
      </c>
    </row>
    <row r="4159" spans="3:13" hidden="1" x14ac:dyDescent="0.25">
      <c r="C4159" t="s">
        <v>65</v>
      </c>
      <c r="D4159" t="s">
        <v>120</v>
      </c>
      <c r="E4159" t="s">
        <v>60</v>
      </c>
      <c r="F4159" t="s">
        <v>124</v>
      </c>
      <c r="G4159">
        <v>-4</v>
      </c>
      <c r="H4159" t="s">
        <v>76</v>
      </c>
      <c r="I4159" t="s">
        <v>121</v>
      </c>
      <c r="J4159" t="s">
        <v>122</v>
      </c>
      <c r="K4159">
        <v>0</v>
      </c>
      <c r="L4159" s="84">
        <v>-132382</v>
      </c>
      <c r="M4159" s="84">
        <v>0</v>
      </c>
    </row>
    <row r="4160" spans="3:13" hidden="1" x14ac:dyDescent="0.25">
      <c r="C4160" t="s">
        <v>119</v>
      </c>
      <c r="D4160" t="s">
        <v>120</v>
      </c>
      <c r="E4160" t="s">
        <v>63</v>
      </c>
      <c r="F4160" t="s">
        <v>123</v>
      </c>
      <c r="G4160">
        <v>-4</v>
      </c>
      <c r="H4160" t="s">
        <v>18</v>
      </c>
      <c r="I4160" t="s">
        <v>121</v>
      </c>
      <c r="J4160" t="s">
        <v>66</v>
      </c>
      <c r="K4160">
        <v>1</v>
      </c>
      <c r="L4160" s="84">
        <v>71</v>
      </c>
      <c r="M4160" s="84">
        <v>0</v>
      </c>
    </row>
    <row r="4161" spans="3:13" hidden="1" x14ac:dyDescent="0.25">
      <c r="C4161" t="s">
        <v>65</v>
      </c>
      <c r="D4161" t="s">
        <v>120</v>
      </c>
      <c r="E4161" t="s">
        <v>63</v>
      </c>
      <c r="F4161" t="s">
        <v>24</v>
      </c>
      <c r="G4161">
        <v>1</v>
      </c>
      <c r="H4161" t="s">
        <v>68</v>
      </c>
      <c r="I4161" t="s">
        <v>121</v>
      </c>
      <c r="J4161" t="s">
        <v>122</v>
      </c>
      <c r="K4161">
        <v>0</v>
      </c>
      <c r="L4161" s="84">
        <v>56930</v>
      </c>
      <c r="M4161" s="84">
        <v>56930</v>
      </c>
    </row>
    <row r="4162" spans="3:13" hidden="1" x14ac:dyDescent="0.25">
      <c r="C4162" t="s">
        <v>65</v>
      </c>
      <c r="D4162" t="s">
        <v>120</v>
      </c>
      <c r="E4162" t="s">
        <v>63</v>
      </c>
      <c r="F4162" t="s">
        <v>24</v>
      </c>
      <c r="G4162">
        <v>2</v>
      </c>
      <c r="H4162" t="s">
        <v>14</v>
      </c>
      <c r="I4162" t="s">
        <v>121</v>
      </c>
      <c r="J4162" t="s">
        <v>122</v>
      </c>
      <c r="K4162">
        <v>0</v>
      </c>
      <c r="L4162" s="84">
        <v>924354</v>
      </c>
      <c r="M4162" s="84">
        <v>1848708</v>
      </c>
    </row>
    <row r="4163" spans="3:13" x14ac:dyDescent="0.25">
      <c r="C4163" t="s">
        <v>64</v>
      </c>
      <c r="D4163" t="s">
        <v>120</v>
      </c>
      <c r="E4163" t="s">
        <v>63</v>
      </c>
      <c r="F4163" t="s">
        <v>25</v>
      </c>
      <c r="G4163">
        <v>10</v>
      </c>
      <c r="H4163" t="s">
        <v>18</v>
      </c>
      <c r="I4163" t="s">
        <v>121</v>
      </c>
      <c r="J4163" t="s">
        <v>66</v>
      </c>
      <c r="K4163">
        <v>1</v>
      </c>
      <c r="L4163" s="84">
        <v>414169</v>
      </c>
      <c r="M4163" s="84">
        <v>4141690</v>
      </c>
    </row>
    <row r="4164" spans="3:13" hidden="1" x14ac:dyDescent="0.25">
      <c r="C4164" t="s">
        <v>119</v>
      </c>
      <c r="D4164" t="s">
        <v>120</v>
      </c>
      <c r="E4164" t="s">
        <v>60</v>
      </c>
      <c r="F4164" t="s">
        <v>25</v>
      </c>
      <c r="G4164">
        <v>2</v>
      </c>
      <c r="H4164" t="s">
        <v>61</v>
      </c>
      <c r="I4164" t="s">
        <v>121</v>
      </c>
      <c r="J4164" t="s">
        <v>122</v>
      </c>
      <c r="K4164">
        <v>0</v>
      </c>
      <c r="L4164" s="84">
        <v>-119</v>
      </c>
      <c r="M4164" s="84">
        <v>0</v>
      </c>
    </row>
    <row r="4165" spans="3:13" hidden="1" x14ac:dyDescent="0.25">
      <c r="C4165" t="s">
        <v>65</v>
      </c>
      <c r="D4165" t="s">
        <v>120</v>
      </c>
      <c r="E4165" t="s">
        <v>63</v>
      </c>
      <c r="F4165" t="s">
        <v>123</v>
      </c>
      <c r="G4165">
        <v>4</v>
      </c>
      <c r="H4165" t="s">
        <v>75</v>
      </c>
      <c r="I4165" t="s">
        <v>121</v>
      </c>
      <c r="J4165" t="s">
        <v>122</v>
      </c>
      <c r="K4165">
        <v>0</v>
      </c>
      <c r="L4165" s="84">
        <v>152848</v>
      </c>
      <c r="M4165" s="84">
        <v>611392</v>
      </c>
    </row>
    <row r="4166" spans="3:13" hidden="1" x14ac:dyDescent="0.25">
      <c r="C4166" t="s">
        <v>119</v>
      </c>
      <c r="D4166" t="s">
        <v>125</v>
      </c>
      <c r="E4166" t="s">
        <v>60</v>
      </c>
      <c r="F4166" t="s">
        <v>24</v>
      </c>
      <c r="G4166">
        <v>-4</v>
      </c>
      <c r="I4166" t="s">
        <v>121</v>
      </c>
      <c r="J4166" t="s">
        <v>122</v>
      </c>
      <c r="K4166">
        <v>0</v>
      </c>
      <c r="L4166" s="84">
        <v>-60</v>
      </c>
      <c r="M4166" s="84">
        <v>0</v>
      </c>
    </row>
    <row r="4167" spans="3:13" hidden="1" x14ac:dyDescent="0.25">
      <c r="C4167" t="s">
        <v>119</v>
      </c>
      <c r="D4167" t="s">
        <v>120</v>
      </c>
      <c r="E4167" t="s">
        <v>63</v>
      </c>
      <c r="F4167" t="s">
        <v>24</v>
      </c>
      <c r="G4167">
        <v>8</v>
      </c>
      <c r="H4167" t="s">
        <v>18</v>
      </c>
      <c r="I4167" t="s">
        <v>121</v>
      </c>
      <c r="J4167" t="s">
        <v>122</v>
      </c>
      <c r="K4167">
        <v>0</v>
      </c>
      <c r="L4167" s="84">
        <v>1077054</v>
      </c>
      <c r="M4167" s="84">
        <v>8616432</v>
      </c>
    </row>
    <row r="4168" spans="3:13" hidden="1" x14ac:dyDescent="0.25">
      <c r="C4168" t="s">
        <v>119</v>
      </c>
      <c r="D4168" t="s">
        <v>120</v>
      </c>
      <c r="E4168" t="s">
        <v>63</v>
      </c>
      <c r="F4168" t="s">
        <v>124</v>
      </c>
      <c r="G4168">
        <v>1</v>
      </c>
      <c r="H4168" t="s">
        <v>70</v>
      </c>
      <c r="I4168" t="s">
        <v>121</v>
      </c>
      <c r="J4168" t="s">
        <v>122</v>
      </c>
      <c r="K4168">
        <v>0</v>
      </c>
      <c r="L4168" s="84">
        <v>6981400</v>
      </c>
      <c r="M4168" s="84">
        <v>6981400</v>
      </c>
    </row>
    <row r="4169" spans="3:13" hidden="1" x14ac:dyDescent="0.25">
      <c r="C4169" t="s">
        <v>64</v>
      </c>
      <c r="D4169" t="s">
        <v>126</v>
      </c>
      <c r="E4169" t="s">
        <v>63</v>
      </c>
      <c r="F4169" t="s">
        <v>25</v>
      </c>
      <c r="G4169">
        <v>2</v>
      </c>
      <c r="H4169" t="s">
        <v>67</v>
      </c>
      <c r="I4169" t="s">
        <v>121</v>
      </c>
      <c r="J4169" t="s">
        <v>122</v>
      </c>
      <c r="K4169">
        <v>0</v>
      </c>
      <c r="L4169" s="84">
        <v>193390</v>
      </c>
      <c r="M4169" s="84">
        <v>386780</v>
      </c>
    </row>
    <row r="4170" spans="3:13" hidden="1" x14ac:dyDescent="0.25">
      <c r="C4170" t="s">
        <v>119</v>
      </c>
      <c r="D4170" t="s">
        <v>120</v>
      </c>
      <c r="E4170" t="s">
        <v>60</v>
      </c>
      <c r="F4170" t="s">
        <v>25</v>
      </c>
      <c r="G4170">
        <v>9</v>
      </c>
      <c r="H4170" t="s">
        <v>71</v>
      </c>
      <c r="I4170" t="s">
        <v>121</v>
      </c>
      <c r="J4170" t="s">
        <v>122</v>
      </c>
      <c r="K4170">
        <v>0</v>
      </c>
      <c r="L4170" s="84">
        <v>-2191</v>
      </c>
      <c r="M4170" s="84">
        <v>0</v>
      </c>
    </row>
    <row r="4171" spans="3:13" hidden="1" x14ac:dyDescent="0.25">
      <c r="C4171" t="s">
        <v>64</v>
      </c>
      <c r="D4171" t="s">
        <v>120</v>
      </c>
      <c r="E4171" t="s">
        <v>63</v>
      </c>
      <c r="F4171" t="s">
        <v>123</v>
      </c>
      <c r="G4171">
        <v>5</v>
      </c>
      <c r="H4171" t="s">
        <v>14</v>
      </c>
      <c r="I4171" t="s">
        <v>121</v>
      </c>
      <c r="J4171" t="s">
        <v>122</v>
      </c>
      <c r="K4171">
        <v>0</v>
      </c>
      <c r="L4171" s="84">
        <v>144288</v>
      </c>
      <c r="M4171" s="84">
        <v>721440</v>
      </c>
    </row>
    <row r="4172" spans="3:13" hidden="1" x14ac:dyDescent="0.25">
      <c r="C4172" t="s">
        <v>64</v>
      </c>
      <c r="D4172" t="s">
        <v>120</v>
      </c>
      <c r="E4172" t="s">
        <v>60</v>
      </c>
      <c r="F4172" t="s">
        <v>25</v>
      </c>
      <c r="G4172">
        <v>9</v>
      </c>
      <c r="H4172" t="s">
        <v>72</v>
      </c>
      <c r="I4172" t="s">
        <v>121</v>
      </c>
      <c r="J4172" t="s">
        <v>122</v>
      </c>
      <c r="K4172">
        <v>0</v>
      </c>
      <c r="L4172" s="84">
        <v>-13842</v>
      </c>
      <c r="M4172" s="84">
        <v>0</v>
      </c>
    </row>
    <row r="4173" spans="3:13" hidden="1" x14ac:dyDescent="0.25">
      <c r="C4173" t="s">
        <v>65</v>
      </c>
      <c r="D4173" t="s">
        <v>125</v>
      </c>
      <c r="E4173" t="s">
        <v>63</v>
      </c>
      <c r="F4173" t="s">
        <v>25</v>
      </c>
      <c r="G4173">
        <v>6</v>
      </c>
      <c r="I4173" t="s">
        <v>121</v>
      </c>
      <c r="J4173" t="s">
        <v>122</v>
      </c>
      <c r="K4173">
        <v>0</v>
      </c>
      <c r="L4173" s="84">
        <v>19662</v>
      </c>
      <c r="M4173" s="84">
        <v>117972</v>
      </c>
    </row>
    <row r="4174" spans="3:13" hidden="1" x14ac:dyDescent="0.25">
      <c r="C4174" t="s">
        <v>119</v>
      </c>
      <c r="D4174" t="s">
        <v>120</v>
      </c>
      <c r="E4174" t="s">
        <v>60</v>
      </c>
      <c r="F4174" t="s">
        <v>124</v>
      </c>
      <c r="G4174">
        <v>0</v>
      </c>
      <c r="H4174" t="s">
        <v>76</v>
      </c>
      <c r="I4174" t="s">
        <v>121</v>
      </c>
      <c r="J4174" t="s">
        <v>122</v>
      </c>
      <c r="K4174">
        <v>0</v>
      </c>
      <c r="L4174" s="84">
        <v>-6575</v>
      </c>
      <c r="M4174" s="84">
        <v>0</v>
      </c>
    </row>
    <row r="4175" spans="3:13" hidden="1" x14ac:dyDescent="0.25">
      <c r="C4175" t="s">
        <v>65</v>
      </c>
      <c r="D4175" t="s">
        <v>120</v>
      </c>
      <c r="E4175" t="s">
        <v>63</v>
      </c>
      <c r="F4175" t="s">
        <v>24</v>
      </c>
      <c r="G4175">
        <v>9</v>
      </c>
      <c r="H4175" t="s">
        <v>68</v>
      </c>
      <c r="I4175" t="s">
        <v>121</v>
      </c>
      <c r="J4175" t="s">
        <v>122</v>
      </c>
      <c r="K4175">
        <v>0</v>
      </c>
      <c r="L4175" s="84">
        <v>488218</v>
      </c>
      <c r="M4175" s="84">
        <v>4393962</v>
      </c>
    </row>
    <row r="4176" spans="3:13" hidden="1" x14ac:dyDescent="0.25">
      <c r="C4176" t="s">
        <v>65</v>
      </c>
      <c r="D4176" t="s">
        <v>126</v>
      </c>
      <c r="E4176" t="s">
        <v>60</v>
      </c>
      <c r="F4176" t="s">
        <v>24</v>
      </c>
      <c r="G4176">
        <v>-4</v>
      </c>
      <c r="H4176" t="s">
        <v>74</v>
      </c>
      <c r="I4176" t="s">
        <v>121</v>
      </c>
      <c r="J4176" t="s">
        <v>122</v>
      </c>
      <c r="K4176">
        <v>0</v>
      </c>
      <c r="L4176" s="84">
        <v>-210953</v>
      </c>
      <c r="M4176" s="84">
        <v>0</v>
      </c>
    </row>
    <row r="4177" spans="3:13" hidden="1" x14ac:dyDescent="0.25">
      <c r="C4177" t="s">
        <v>65</v>
      </c>
      <c r="D4177" t="s">
        <v>125</v>
      </c>
      <c r="E4177" t="s">
        <v>60</v>
      </c>
      <c r="F4177" t="s">
        <v>25</v>
      </c>
      <c r="G4177">
        <v>30</v>
      </c>
      <c r="I4177" t="s">
        <v>121</v>
      </c>
      <c r="J4177" t="s">
        <v>122</v>
      </c>
      <c r="K4177">
        <v>0</v>
      </c>
      <c r="L4177" s="84">
        <v>-84463</v>
      </c>
      <c r="M4177" s="84">
        <v>0</v>
      </c>
    </row>
    <row r="4178" spans="3:13" hidden="1" x14ac:dyDescent="0.25">
      <c r="C4178" t="s">
        <v>64</v>
      </c>
      <c r="D4178" t="s">
        <v>125</v>
      </c>
      <c r="E4178" t="s">
        <v>63</v>
      </c>
      <c r="F4178" t="s">
        <v>24</v>
      </c>
      <c r="G4178">
        <v>11</v>
      </c>
      <c r="I4178" t="s">
        <v>121</v>
      </c>
      <c r="J4178" t="s">
        <v>122</v>
      </c>
      <c r="K4178">
        <v>0</v>
      </c>
      <c r="L4178" s="84">
        <v>16111932</v>
      </c>
      <c r="M4178" s="84">
        <v>177231252</v>
      </c>
    </row>
    <row r="4179" spans="3:13" hidden="1" x14ac:dyDescent="0.25">
      <c r="C4179" t="s">
        <v>64</v>
      </c>
      <c r="D4179" t="s">
        <v>120</v>
      </c>
      <c r="E4179" t="s">
        <v>63</v>
      </c>
      <c r="F4179" t="s">
        <v>124</v>
      </c>
      <c r="G4179">
        <v>0</v>
      </c>
      <c r="H4179" t="s">
        <v>17</v>
      </c>
      <c r="I4179" t="s">
        <v>62</v>
      </c>
      <c r="J4179" t="s">
        <v>66</v>
      </c>
      <c r="K4179">
        <v>1</v>
      </c>
      <c r="L4179" s="84">
        <v>56256</v>
      </c>
      <c r="M4179" s="84">
        <v>0</v>
      </c>
    </row>
    <row r="4180" spans="3:13" hidden="1" x14ac:dyDescent="0.25">
      <c r="C4180" t="s">
        <v>119</v>
      </c>
      <c r="D4180" t="s">
        <v>120</v>
      </c>
      <c r="E4180" t="s">
        <v>63</v>
      </c>
      <c r="F4180" t="s">
        <v>25</v>
      </c>
      <c r="G4180">
        <v>4</v>
      </c>
      <c r="H4180" t="s">
        <v>15</v>
      </c>
      <c r="I4180" t="s">
        <v>62</v>
      </c>
      <c r="J4180" t="s">
        <v>122</v>
      </c>
      <c r="K4180">
        <v>1</v>
      </c>
      <c r="L4180" s="84">
        <v>528967</v>
      </c>
      <c r="M4180" s="84">
        <v>2115868</v>
      </c>
    </row>
    <row r="4181" spans="3:13" hidden="1" x14ac:dyDescent="0.25">
      <c r="C4181" t="s">
        <v>64</v>
      </c>
      <c r="D4181" t="s">
        <v>120</v>
      </c>
      <c r="E4181" t="s">
        <v>63</v>
      </c>
      <c r="F4181" t="s">
        <v>123</v>
      </c>
      <c r="G4181">
        <v>-4</v>
      </c>
      <c r="H4181" t="s">
        <v>71</v>
      </c>
      <c r="I4181" t="s">
        <v>121</v>
      </c>
      <c r="J4181" t="s">
        <v>122</v>
      </c>
      <c r="K4181">
        <v>0</v>
      </c>
      <c r="L4181" s="84">
        <v>48</v>
      </c>
      <c r="M4181" s="84">
        <v>0</v>
      </c>
    </row>
    <row r="4182" spans="3:13" x14ac:dyDescent="0.25">
      <c r="C4182" t="s">
        <v>119</v>
      </c>
      <c r="D4182" t="s">
        <v>120</v>
      </c>
      <c r="E4182" t="s">
        <v>63</v>
      </c>
      <c r="F4182" t="s">
        <v>25</v>
      </c>
      <c r="G4182">
        <v>2</v>
      </c>
      <c r="H4182" t="s">
        <v>18</v>
      </c>
      <c r="I4182" t="s">
        <v>121</v>
      </c>
      <c r="J4182" t="s">
        <v>66</v>
      </c>
      <c r="K4182">
        <v>1</v>
      </c>
      <c r="L4182" s="84">
        <v>45989</v>
      </c>
      <c r="M4182" s="84">
        <v>91978</v>
      </c>
    </row>
    <row r="4183" spans="3:13" hidden="1" x14ac:dyDescent="0.25">
      <c r="C4183" t="s">
        <v>65</v>
      </c>
      <c r="D4183" t="s">
        <v>120</v>
      </c>
      <c r="E4183" t="s">
        <v>60</v>
      </c>
      <c r="F4183" t="s">
        <v>124</v>
      </c>
      <c r="G4183">
        <v>-4</v>
      </c>
      <c r="H4183" t="s">
        <v>68</v>
      </c>
      <c r="I4183" t="s">
        <v>121</v>
      </c>
      <c r="J4183" t="s">
        <v>122</v>
      </c>
      <c r="K4183">
        <v>0</v>
      </c>
      <c r="L4183" s="84">
        <v>-1261779</v>
      </c>
      <c r="M4183" s="84">
        <v>0</v>
      </c>
    </row>
    <row r="4184" spans="3:13" hidden="1" x14ac:dyDescent="0.25">
      <c r="C4184" t="s">
        <v>64</v>
      </c>
      <c r="D4184" t="s">
        <v>120</v>
      </c>
      <c r="E4184" t="s">
        <v>63</v>
      </c>
      <c r="F4184" t="s">
        <v>123</v>
      </c>
      <c r="G4184">
        <v>5</v>
      </c>
      <c r="H4184" t="s">
        <v>12</v>
      </c>
      <c r="I4184" t="s">
        <v>62</v>
      </c>
      <c r="J4184" t="s">
        <v>66</v>
      </c>
      <c r="K4184">
        <v>1</v>
      </c>
      <c r="L4184" s="84">
        <v>48012</v>
      </c>
      <c r="M4184" s="84">
        <v>240060</v>
      </c>
    </row>
    <row r="4185" spans="3:13" hidden="1" x14ac:dyDescent="0.25">
      <c r="C4185" t="s">
        <v>119</v>
      </c>
      <c r="D4185" t="s">
        <v>120</v>
      </c>
      <c r="E4185" t="s">
        <v>63</v>
      </c>
      <c r="F4185" t="s">
        <v>124</v>
      </c>
      <c r="G4185">
        <v>4</v>
      </c>
      <c r="H4185" t="s">
        <v>14</v>
      </c>
      <c r="I4185" t="s">
        <v>62</v>
      </c>
      <c r="J4185" t="s">
        <v>122</v>
      </c>
      <c r="K4185">
        <v>1</v>
      </c>
      <c r="L4185" s="84">
        <v>309538</v>
      </c>
      <c r="M4185" s="84">
        <v>1238152</v>
      </c>
    </row>
    <row r="4186" spans="3:13" hidden="1" x14ac:dyDescent="0.25">
      <c r="C4186" t="s">
        <v>65</v>
      </c>
      <c r="D4186" t="s">
        <v>120</v>
      </c>
      <c r="E4186" t="s">
        <v>63</v>
      </c>
      <c r="F4186" t="s">
        <v>124</v>
      </c>
      <c r="G4186">
        <v>-4</v>
      </c>
      <c r="H4186" t="s">
        <v>17</v>
      </c>
      <c r="I4186" t="s">
        <v>62</v>
      </c>
      <c r="J4186" t="s">
        <v>66</v>
      </c>
      <c r="K4186">
        <v>1</v>
      </c>
      <c r="L4186" s="84">
        <v>65593</v>
      </c>
      <c r="M4186" s="84">
        <v>0</v>
      </c>
    </row>
    <row r="4187" spans="3:13" hidden="1" x14ac:dyDescent="0.25">
      <c r="C4187" t="s">
        <v>64</v>
      </c>
      <c r="D4187" t="s">
        <v>120</v>
      </c>
      <c r="E4187" t="s">
        <v>60</v>
      </c>
      <c r="F4187" t="s">
        <v>123</v>
      </c>
      <c r="G4187">
        <v>0</v>
      </c>
      <c r="H4187" t="s">
        <v>14</v>
      </c>
      <c r="I4187" t="s">
        <v>121</v>
      </c>
      <c r="J4187" t="s">
        <v>66</v>
      </c>
      <c r="K4187">
        <v>1</v>
      </c>
      <c r="L4187" s="84">
        <v>-5292</v>
      </c>
      <c r="M4187" s="84">
        <v>0</v>
      </c>
    </row>
    <row r="4188" spans="3:13" hidden="1" x14ac:dyDescent="0.25">
      <c r="C4188" t="s">
        <v>119</v>
      </c>
      <c r="D4188" t="s">
        <v>120</v>
      </c>
      <c r="E4188" t="s">
        <v>63</v>
      </c>
      <c r="F4188" t="s">
        <v>124</v>
      </c>
      <c r="G4188">
        <v>4</v>
      </c>
      <c r="H4188" t="s">
        <v>15</v>
      </c>
      <c r="I4188" t="s">
        <v>121</v>
      </c>
      <c r="J4188" t="s">
        <v>66</v>
      </c>
      <c r="K4188">
        <v>1</v>
      </c>
      <c r="L4188" s="84">
        <v>11239675</v>
      </c>
      <c r="M4188" s="84">
        <v>44958700</v>
      </c>
    </row>
    <row r="4189" spans="3:13" hidden="1" x14ac:dyDescent="0.25">
      <c r="C4189" t="s">
        <v>65</v>
      </c>
      <c r="D4189" t="s">
        <v>120</v>
      </c>
      <c r="E4189" t="s">
        <v>60</v>
      </c>
      <c r="F4189" t="s">
        <v>123</v>
      </c>
      <c r="G4189">
        <v>-4</v>
      </c>
      <c r="H4189" t="s">
        <v>18</v>
      </c>
      <c r="I4189" t="s">
        <v>121</v>
      </c>
      <c r="J4189" t="s">
        <v>122</v>
      </c>
      <c r="K4189">
        <v>0</v>
      </c>
      <c r="L4189" s="84">
        <v>-401483</v>
      </c>
      <c r="M4189" s="84">
        <v>0</v>
      </c>
    </row>
    <row r="4190" spans="3:13" hidden="1" x14ac:dyDescent="0.25">
      <c r="C4190" t="s">
        <v>119</v>
      </c>
      <c r="D4190" t="s">
        <v>120</v>
      </c>
      <c r="E4190" t="s">
        <v>63</v>
      </c>
      <c r="F4190" t="s">
        <v>25</v>
      </c>
      <c r="G4190">
        <v>5</v>
      </c>
      <c r="H4190" t="s">
        <v>14</v>
      </c>
      <c r="I4190" t="s">
        <v>121</v>
      </c>
      <c r="J4190" t="s">
        <v>122</v>
      </c>
      <c r="K4190">
        <v>0</v>
      </c>
      <c r="L4190" s="84">
        <v>9662969</v>
      </c>
      <c r="M4190" s="84">
        <v>48314845</v>
      </c>
    </row>
    <row r="4191" spans="3:13" hidden="1" x14ac:dyDescent="0.25">
      <c r="C4191" t="s">
        <v>64</v>
      </c>
      <c r="D4191" t="s">
        <v>125</v>
      </c>
      <c r="E4191" t="s">
        <v>60</v>
      </c>
      <c r="F4191" t="s">
        <v>25</v>
      </c>
      <c r="G4191">
        <v>14</v>
      </c>
      <c r="I4191" t="s">
        <v>121</v>
      </c>
      <c r="J4191" t="s">
        <v>122</v>
      </c>
      <c r="K4191">
        <v>0</v>
      </c>
      <c r="L4191" s="84">
        <v>-11071</v>
      </c>
      <c r="M4191" s="84">
        <v>0</v>
      </c>
    </row>
    <row r="4192" spans="3:13" hidden="1" x14ac:dyDescent="0.25">
      <c r="C4192" t="s">
        <v>65</v>
      </c>
      <c r="D4192" t="s">
        <v>120</v>
      </c>
      <c r="E4192" t="s">
        <v>63</v>
      </c>
      <c r="F4192" t="s">
        <v>124</v>
      </c>
      <c r="G4192">
        <v>12</v>
      </c>
      <c r="H4192" t="s">
        <v>14</v>
      </c>
      <c r="I4192" t="s">
        <v>121</v>
      </c>
      <c r="J4192" t="s">
        <v>66</v>
      </c>
      <c r="K4192">
        <v>1</v>
      </c>
      <c r="L4192" s="84">
        <v>408711</v>
      </c>
      <c r="M4192" s="84">
        <v>4904532</v>
      </c>
    </row>
    <row r="4193" spans="3:13" hidden="1" x14ac:dyDescent="0.25">
      <c r="C4193" t="s">
        <v>119</v>
      </c>
      <c r="D4193" t="s">
        <v>125</v>
      </c>
      <c r="E4193" t="s">
        <v>63</v>
      </c>
      <c r="F4193" t="s">
        <v>25</v>
      </c>
      <c r="G4193">
        <v>17</v>
      </c>
      <c r="I4193" t="s">
        <v>121</v>
      </c>
      <c r="J4193" t="s">
        <v>122</v>
      </c>
      <c r="K4193">
        <v>0</v>
      </c>
      <c r="L4193" s="84">
        <v>373577</v>
      </c>
      <c r="M4193" s="84">
        <v>6350809</v>
      </c>
    </row>
    <row r="4194" spans="3:13" hidden="1" x14ac:dyDescent="0.25">
      <c r="C4194" t="s">
        <v>119</v>
      </c>
      <c r="D4194" t="s">
        <v>120</v>
      </c>
      <c r="E4194" t="s">
        <v>63</v>
      </c>
      <c r="F4194" t="s">
        <v>24</v>
      </c>
      <c r="G4194">
        <v>-1</v>
      </c>
      <c r="H4194" t="s">
        <v>17</v>
      </c>
      <c r="I4194" t="s">
        <v>121</v>
      </c>
      <c r="J4194" t="s">
        <v>122</v>
      </c>
      <c r="K4194">
        <v>0</v>
      </c>
      <c r="L4194" s="84">
        <v>15072</v>
      </c>
      <c r="M4194" s="84">
        <v>0</v>
      </c>
    </row>
    <row r="4195" spans="3:13" hidden="1" x14ac:dyDescent="0.25">
      <c r="C4195" t="s">
        <v>119</v>
      </c>
      <c r="D4195" t="s">
        <v>120</v>
      </c>
      <c r="E4195" t="s">
        <v>60</v>
      </c>
      <c r="F4195" t="s">
        <v>123</v>
      </c>
      <c r="G4195">
        <v>-4</v>
      </c>
      <c r="H4195" t="s">
        <v>18</v>
      </c>
      <c r="I4195" t="s">
        <v>121</v>
      </c>
      <c r="J4195" t="s">
        <v>66</v>
      </c>
      <c r="K4195">
        <v>1</v>
      </c>
      <c r="L4195" s="84">
        <v>-1</v>
      </c>
      <c r="M4195" s="84">
        <v>0</v>
      </c>
    </row>
    <row r="4196" spans="3:13" hidden="1" x14ac:dyDescent="0.25">
      <c r="C4196" t="s">
        <v>65</v>
      </c>
      <c r="D4196" t="s">
        <v>120</v>
      </c>
      <c r="E4196" t="s">
        <v>63</v>
      </c>
      <c r="F4196" t="s">
        <v>25</v>
      </c>
      <c r="G4196">
        <v>0</v>
      </c>
      <c r="H4196" t="s">
        <v>75</v>
      </c>
      <c r="I4196" t="s">
        <v>121</v>
      </c>
      <c r="J4196" t="s">
        <v>122</v>
      </c>
      <c r="K4196">
        <v>0</v>
      </c>
      <c r="L4196" s="84">
        <v>21444</v>
      </c>
      <c r="M4196" s="84">
        <v>0</v>
      </c>
    </row>
    <row r="4197" spans="3:13" hidden="1" x14ac:dyDescent="0.25">
      <c r="C4197" t="s">
        <v>64</v>
      </c>
      <c r="D4197" t="s">
        <v>120</v>
      </c>
      <c r="E4197" t="s">
        <v>60</v>
      </c>
      <c r="F4197" t="s">
        <v>24</v>
      </c>
      <c r="G4197">
        <v>8</v>
      </c>
      <c r="H4197" t="s">
        <v>70</v>
      </c>
      <c r="I4197" t="s">
        <v>121</v>
      </c>
      <c r="J4197" t="s">
        <v>122</v>
      </c>
      <c r="K4197">
        <v>0</v>
      </c>
      <c r="L4197" s="84">
        <v>-30709</v>
      </c>
      <c r="M4197" s="84">
        <v>0</v>
      </c>
    </row>
    <row r="4198" spans="3:13" hidden="1" x14ac:dyDescent="0.25">
      <c r="C4198" t="s">
        <v>65</v>
      </c>
      <c r="D4198" t="s">
        <v>120</v>
      </c>
      <c r="E4198" t="s">
        <v>60</v>
      </c>
      <c r="F4198" t="s">
        <v>123</v>
      </c>
      <c r="G4198">
        <v>2</v>
      </c>
      <c r="H4198" t="s">
        <v>69</v>
      </c>
      <c r="I4198" t="s">
        <v>121</v>
      </c>
      <c r="J4198" t="s">
        <v>122</v>
      </c>
      <c r="K4198">
        <v>0</v>
      </c>
      <c r="L4198" s="84">
        <v>-39376</v>
      </c>
      <c r="M4198" s="84">
        <v>0</v>
      </c>
    </row>
    <row r="4199" spans="3:13" hidden="1" x14ac:dyDescent="0.25">
      <c r="C4199" t="s">
        <v>64</v>
      </c>
      <c r="D4199" t="s">
        <v>120</v>
      </c>
      <c r="E4199" t="s">
        <v>63</v>
      </c>
      <c r="F4199" t="s">
        <v>123</v>
      </c>
      <c r="G4199">
        <v>0</v>
      </c>
      <c r="H4199" t="s">
        <v>18</v>
      </c>
      <c r="I4199" t="s">
        <v>121</v>
      </c>
      <c r="J4199" t="s">
        <v>122</v>
      </c>
      <c r="K4199">
        <v>0</v>
      </c>
      <c r="L4199" s="84">
        <v>172875</v>
      </c>
      <c r="M4199" s="84">
        <v>0</v>
      </c>
    </row>
    <row r="4200" spans="3:13" hidden="1" x14ac:dyDescent="0.25">
      <c r="C4200" t="s">
        <v>64</v>
      </c>
      <c r="D4200" t="s">
        <v>120</v>
      </c>
      <c r="E4200" t="s">
        <v>60</v>
      </c>
      <c r="F4200" t="s">
        <v>124</v>
      </c>
      <c r="G4200">
        <v>3</v>
      </c>
      <c r="H4200" t="s">
        <v>61</v>
      </c>
      <c r="I4200" t="s">
        <v>121</v>
      </c>
      <c r="J4200" t="s">
        <v>122</v>
      </c>
      <c r="K4200">
        <v>0</v>
      </c>
      <c r="L4200" s="84">
        <v>-101140</v>
      </c>
      <c r="M4200" s="84">
        <v>0</v>
      </c>
    </row>
    <row r="4201" spans="3:13" hidden="1" x14ac:dyDescent="0.25">
      <c r="C4201" t="s">
        <v>119</v>
      </c>
      <c r="D4201" t="s">
        <v>120</v>
      </c>
      <c r="E4201" t="s">
        <v>63</v>
      </c>
      <c r="F4201" t="s">
        <v>24</v>
      </c>
      <c r="G4201">
        <v>11</v>
      </c>
      <c r="H4201" t="s">
        <v>12</v>
      </c>
      <c r="I4201" t="s">
        <v>121</v>
      </c>
      <c r="J4201" t="s">
        <v>66</v>
      </c>
      <c r="K4201">
        <v>1</v>
      </c>
      <c r="L4201" s="84">
        <v>240440</v>
      </c>
      <c r="M4201" s="84">
        <v>2644840</v>
      </c>
    </row>
    <row r="4202" spans="3:13" hidden="1" x14ac:dyDescent="0.25">
      <c r="C4202" t="s">
        <v>65</v>
      </c>
      <c r="D4202" t="s">
        <v>120</v>
      </c>
      <c r="E4202" t="s">
        <v>60</v>
      </c>
      <c r="F4202" t="s">
        <v>124</v>
      </c>
      <c r="G4202">
        <v>0</v>
      </c>
      <c r="H4202" t="s">
        <v>61</v>
      </c>
      <c r="I4202" t="s">
        <v>121</v>
      </c>
      <c r="J4202" t="s">
        <v>122</v>
      </c>
      <c r="K4202">
        <v>0</v>
      </c>
      <c r="L4202" s="84">
        <v>-61531</v>
      </c>
      <c r="M4202" s="84">
        <v>0</v>
      </c>
    </row>
    <row r="4203" spans="3:13" hidden="1" x14ac:dyDescent="0.25">
      <c r="C4203" t="s">
        <v>65</v>
      </c>
      <c r="D4203" t="s">
        <v>120</v>
      </c>
      <c r="E4203" t="s">
        <v>63</v>
      </c>
      <c r="F4203" t="s">
        <v>124</v>
      </c>
      <c r="G4203">
        <v>-1</v>
      </c>
      <c r="H4203" t="s">
        <v>17</v>
      </c>
      <c r="I4203" t="s">
        <v>62</v>
      </c>
      <c r="J4203" t="s">
        <v>122</v>
      </c>
      <c r="K4203">
        <v>1</v>
      </c>
      <c r="L4203" s="84">
        <v>27555</v>
      </c>
      <c r="M4203" s="84">
        <v>0</v>
      </c>
    </row>
    <row r="4204" spans="3:13" hidden="1" x14ac:dyDescent="0.25">
      <c r="C4204" t="s">
        <v>64</v>
      </c>
      <c r="D4204" t="s">
        <v>120</v>
      </c>
      <c r="E4204" t="s">
        <v>63</v>
      </c>
      <c r="F4204" t="s">
        <v>123</v>
      </c>
      <c r="G4204">
        <v>1</v>
      </c>
      <c r="H4204" t="s">
        <v>67</v>
      </c>
      <c r="I4204" t="s">
        <v>121</v>
      </c>
      <c r="J4204" t="s">
        <v>122</v>
      </c>
      <c r="K4204">
        <v>0</v>
      </c>
      <c r="L4204" s="84">
        <v>197571</v>
      </c>
      <c r="M4204" s="84">
        <v>197571</v>
      </c>
    </row>
    <row r="4205" spans="3:13" hidden="1" x14ac:dyDescent="0.25">
      <c r="C4205" t="s">
        <v>65</v>
      </c>
      <c r="D4205" t="s">
        <v>120</v>
      </c>
      <c r="E4205" t="s">
        <v>63</v>
      </c>
      <c r="F4205" t="s">
        <v>124</v>
      </c>
      <c r="G4205">
        <v>-4</v>
      </c>
      <c r="H4205" t="s">
        <v>72</v>
      </c>
      <c r="I4205" t="s">
        <v>121</v>
      </c>
      <c r="J4205" t="s">
        <v>122</v>
      </c>
      <c r="K4205">
        <v>0</v>
      </c>
      <c r="L4205" s="84">
        <v>248123</v>
      </c>
      <c r="M4205" s="84">
        <v>0</v>
      </c>
    </row>
    <row r="4206" spans="3:13" hidden="1" x14ac:dyDescent="0.25">
      <c r="C4206" t="s">
        <v>65</v>
      </c>
      <c r="D4206" t="s">
        <v>125</v>
      </c>
      <c r="E4206" t="s">
        <v>60</v>
      </c>
      <c r="F4206" t="s">
        <v>25</v>
      </c>
      <c r="G4206">
        <v>10</v>
      </c>
      <c r="I4206" t="s">
        <v>121</v>
      </c>
      <c r="J4206" t="s">
        <v>122</v>
      </c>
      <c r="K4206">
        <v>0</v>
      </c>
      <c r="L4206" s="84">
        <v>-23260</v>
      </c>
      <c r="M4206" s="84">
        <v>0</v>
      </c>
    </row>
    <row r="4207" spans="3:13" hidden="1" x14ac:dyDescent="0.25">
      <c r="C4207" t="s">
        <v>119</v>
      </c>
      <c r="D4207" t="s">
        <v>120</v>
      </c>
      <c r="E4207" t="s">
        <v>60</v>
      </c>
      <c r="F4207" t="s">
        <v>123</v>
      </c>
      <c r="G4207">
        <v>1</v>
      </c>
      <c r="H4207" t="s">
        <v>16</v>
      </c>
      <c r="I4207" t="s">
        <v>121</v>
      </c>
      <c r="J4207" t="s">
        <v>122</v>
      </c>
      <c r="K4207">
        <v>0</v>
      </c>
      <c r="L4207" s="84">
        <v>-198</v>
      </c>
      <c r="M4207" s="84">
        <v>0</v>
      </c>
    </row>
    <row r="4208" spans="3:13" hidden="1" x14ac:dyDescent="0.25">
      <c r="C4208" t="s">
        <v>65</v>
      </c>
      <c r="D4208" t="s">
        <v>120</v>
      </c>
      <c r="E4208" t="s">
        <v>60</v>
      </c>
      <c r="F4208" t="s">
        <v>124</v>
      </c>
      <c r="G4208">
        <v>9</v>
      </c>
      <c r="H4208" t="s">
        <v>14</v>
      </c>
      <c r="I4208" t="s">
        <v>121</v>
      </c>
      <c r="J4208" t="s">
        <v>122</v>
      </c>
      <c r="K4208">
        <v>0</v>
      </c>
      <c r="L4208" s="84">
        <v>-625700</v>
      </c>
      <c r="M4208" s="84">
        <v>0</v>
      </c>
    </row>
    <row r="4209" spans="3:13" hidden="1" x14ac:dyDescent="0.25">
      <c r="C4209" t="s">
        <v>119</v>
      </c>
      <c r="D4209" t="s">
        <v>120</v>
      </c>
      <c r="E4209" t="s">
        <v>63</v>
      </c>
      <c r="F4209" t="s">
        <v>25</v>
      </c>
      <c r="G4209">
        <v>9</v>
      </c>
      <c r="H4209" t="s">
        <v>70</v>
      </c>
      <c r="I4209" t="s">
        <v>121</v>
      </c>
      <c r="J4209" t="s">
        <v>122</v>
      </c>
      <c r="K4209">
        <v>0</v>
      </c>
      <c r="L4209" s="84">
        <v>625071</v>
      </c>
      <c r="M4209" s="84">
        <v>5625639</v>
      </c>
    </row>
    <row r="4210" spans="3:13" hidden="1" x14ac:dyDescent="0.25">
      <c r="C4210" t="s">
        <v>119</v>
      </c>
      <c r="D4210" t="s">
        <v>120</v>
      </c>
      <c r="E4210" t="s">
        <v>60</v>
      </c>
      <c r="F4210" t="s">
        <v>123</v>
      </c>
      <c r="G4210">
        <v>7</v>
      </c>
      <c r="H4210" t="s">
        <v>18</v>
      </c>
      <c r="I4210" t="s">
        <v>121</v>
      </c>
      <c r="J4210" t="s">
        <v>66</v>
      </c>
      <c r="K4210">
        <v>1</v>
      </c>
      <c r="L4210" s="84">
        <v>-1317</v>
      </c>
      <c r="M4210" s="84">
        <v>0</v>
      </c>
    </row>
    <row r="4211" spans="3:13" hidden="1" x14ac:dyDescent="0.25">
      <c r="C4211" t="s">
        <v>119</v>
      </c>
      <c r="D4211" t="s">
        <v>125</v>
      </c>
      <c r="E4211" t="s">
        <v>60</v>
      </c>
      <c r="F4211" t="s">
        <v>24</v>
      </c>
      <c r="G4211">
        <v>19</v>
      </c>
      <c r="I4211" t="s">
        <v>121</v>
      </c>
      <c r="J4211" t="s">
        <v>122</v>
      </c>
      <c r="K4211">
        <v>0</v>
      </c>
      <c r="L4211" s="84">
        <v>-214099</v>
      </c>
      <c r="M4211" s="84">
        <v>0</v>
      </c>
    </row>
    <row r="4212" spans="3:13" hidden="1" x14ac:dyDescent="0.25">
      <c r="C4212" t="s">
        <v>64</v>
      </c>
      <c r="D4212" t="s">
        <v>120</v>
      </c>
      <c r="E4212" t="s">
        <v>63</v>
      </c>
      <c r="F4212" t="s">
        <v>123</v>
      </c>
      <c r="G4212">
        <v>-4</v>
      </c>
      <c r="H4212" t="s">
        <v>61</v>
      </c>
      <c r="I4212" t="s">
        <v>121</v>
      </c>
      <c r="J4212" t="s">
        <v>122</v>
      </c>
      <c r="K4212">
        <v>0</v>
      </c>
      <c r="L4212" s="84">
        <v>271</v>
      </c>
      <c r="M4212" s="84">
        <v>0</v>
      </c>
    </row>
    <row r="4213" spans="3:13" hidden="1" x14ac:dyDescent="0.25">
      <c r="C4213" t="s">
        <v>64</v>
      </c>
      <c r="D4213" t="s">
        <v>120</v>
      </c>
      <c r="E4213" t="s">
        <v>63</v>
      </c>
      <c r="F4213" t="s">
        <v>123</v>
      </c>
      <c r="G4213">
        <v>2</v>
      </c>
      <c r="H4213" t="s">
        <v>18</v>
      </c>
      <c r="I4213" t="s">
        <v>121</v>
      </c>
      <c r="J4213" t="s">
        <v>66</v>
      </c>
      <c r="K4213">
        <v>1</v>
      </c>
      <c r="L4213" s="84">
        <v>65294</v>
      </c>
      <c r="M4213" s="84">
        <v>130588</v>
      </c>
    </row>
    <row r="4214" spans="3:13" hidden="1" x14ac:dyDescent="0.25">
      <c r="C4214" t="s">
        <v>64</v>
      </c>
      <c r="D4214" t="s">
        <v>120</v>
      </c>
      <c r="E4214" t="s">
        <v>60</v>
      </c>
      <c r="F4214" t="s">
        <v>24</v>
      </c>
      <c r="G4214">
        <v>4</v>
      </c>
      <c r="H4214" t="s">
        <v>67</v>
      </c>
      <c r="I4214" t="s">
        <v>121</v>
      </c>
      <c r="J4214" t="s">
        <v>122</v>
      </c>
      <c r="K4214">
        <v>0</v>
      </c>
      <c r="L4214" s="84">
        <v>-1931</v>
      </c>
      <c r="M4214" s="84">
        <v>0</v>
      </c>
    </row>
    <row r="4215" spans="3:13" hidden="1" x14ac:dyDescent="0.25">
      <c r="C4215" t="s">
        <v>119</v>
      </c>
      <c r="D4215" t="s">
        <v>120</v>
      </c>
      <c r="E4215" t="s">
        <v>60</v>
      </c>
      <c r="F4215" t="s">
        <v>25</v>
      </c>
      <c r="G4215">
        <v>14</v>
      </c>
      <c r="H4215" t="s">
        <v>72</v>
      </c>
      <c r="I4215" t="s">
        <v>121</v>
      </c>
      <c r="J4215" t="s">
        <v>122</v>
      </c>
      <c r="K4215">
        <v>0</v>
      </c>
      <c r="L4215" s="84">
        <v>-6011</v>
      </c>
      <c r="M4215" s="84">
        <v>0</v>
      </c>
    </row>
    <row r="4216" spans="3:13" hidden="1" x14ac:dyDescent="0.25">
      <c r="C4216" t="s">
        <v>119</v>
      </c>
      <c r="D4216" t="s">
        <v>120</v>
      </c>
      <c r="E4216" t="s">
        <v>60</v>
      </c>
      <c r="F4216" t="s">
        <v>24</v>
      </c>
      <c r="G4216">
        <v>-1</v>
      </c>
      <c r="H4216" t="s">
        <v>69</v>
      </c>
      <c r="I4216" t="s">
        <v>121</v>
      </c>
      <c r="J4216" t="s">
        <v>122</v>
      </c>
      <c r="K4216">
        <v>0</v>
      </c>
      <c r="L4216" s="84">
        <v>-873</v>
      </c>
      <c r="M4216" s="84">
        <v>0</v>
      </c>
    </row>
    <row r="4217" spans="3:13" hidden="1" x14ac:dyDescent="0.25">
      <c r="C4217" t="s">
        <v>65</v>
      </c>
      <c r="D4217" t="s">
        <v>125</v>
      </c>
      <c r="E4217" t="s">
        <v>63</v>
      </c>
      <c r="F4217" t="s">
        <v>24</v>
      </c>
      <c r="G4217">
        <v>44</v>
      </c>
      <c r="I4217" t="s">
        <v>121</v>
      </c>
      <c r="J4217" t="s">
        <v>122</v>
      </c>
      <c r="K4217">
        <v>0</v>
      </c>
      <c r="L4217" s="84">
        <v>166354</v>
      </c>
      <c r="M4217" s="84">
        <v>7319576</v>
      </c>
    </row>
    <row r="4218" spans="3:13" hidden="1" x14ac:dyDescent="0.25">
      <c r="C4218" t="s">
        <v>64</v>
      </c>
      <c r="D4218" t="s">
        <v>120</v>
      </c>
      <c r="E4218" t="s">
        <v>63</v>
      </c>
      <c r="F4218" t="s">
        <v>124</v>
      </c>
      <c r="G4218">
        <v>-1</v>
      </c>
      <c r="H4218" t="s">
        <v>17</v>
      </c>
      <c r="I4218" t="s">
        <v>121</v>
      </c>
      <c r="J4218" t="s">
        <v>122</v>
      </c>
      <c r="K4218">
        <v>0</v>
      </c>
      <c r="L4218" s="84">
        <v>15789591</v>
      </c>
      <c r="M4218" s="84">
        <v>0</v>
      </c>
    </row>
    <row r="4219" spans="3:13" hidden="1" x14ac:dyDescent="0.25">
      <c r="C4219" t="s">
        <v>65</v>
      </c>
      <c r="D4219" t="s">
        <v>120</v>
      </c>
      <c r="E4219" t="s">
        <v>63</v>
      </c>
      <c r="F4219" t="s">
        <v>124</v>
      </c>
      <c r="G4219">
        <v>3</v>
      </c>
      <c r="H4219" t="s">
        <v>14</v>
      </c>
      <c r="I4219" t="s">
        <v>121</v>
      </c>
      <c r="J4219" t="s">
        <v>66</v>
      </c>
      <c r="K4219">
        <v>1</v>
      </c>
      <c r="L4219" s="84">
        <v>1967505</v>
      </c>
      <c r="M4219" s="84">
        <v>5902515</v>
      </c>
    </row>
    <row r="4220" spans="3:13" hidden="1" x14ac:dyDescent="0.25">
      <c r="C4220" t="s">
        <v>119</v>
      </c>
      <c r="D4220" t="s">
        <v>120</v>
      </c>
      <c r="E4220" t="s">
        <v>63</v>
      </c>
      <c r="F4220" t="s">
        <v>24</v>
      </c>
      <c r="G4220">
        <v>4</v>
      </c>
      <c r="H4220" t="s">
        <v>68</v>
      </c>
      <c r="I4220" t="s">
        <v>121</v>
      </c>
      <c r="J4220" t="s">
        <v>122</v>
      </c>
      <c r="K4220">
        <v>0</v>
      </c>
      <c r="L4220" s="84">
        <v>18083120</v>
      </c>
      <c r="M4220" s="84">
        <v>72332480</v>
      </c>
    </row>
    <row r="4221" spans="3:13" hidden="1" x14ac:dyDescent="0.25">
      <c r="C4221" t="s">
        <v>119</v>
      </c>
      <c r="D4221" t="s">
        <v>120</v>
      </c>
      <c r="E4221" t="s">
        <v>60</v>
      </c>
      <c r="F4221" t="s">
        <v>25</v>
      </c>
      <c r="G4221">
        <v>9</v>
      </c>
      <c r="H4221" t="s">
        <v>61</v>
      </c>
      <c r="I4221" t="s">
        <v>121</v>
      </c>
      <c r="J4221" t="s">
        <v>122</v>
      </c>
      <c r="K4221">
        <v>0</v>
      </c>
      <c r="L4221" s="84">
        <v>-613</v>
      </c>
      <c r="M4221" s="84">
        <v>0</v>
      </c>
    </row>
    <row r="4222" spans="3:13" hidden="1" x14ac:dyDescent="0.25">
      <c r="C4222" t="s">
        <v>65</v>
      </c>
      <c r="D4222" t="s">
        <v>120</v>
      </c>
      <c r="E4222" t="s">
        <v>60</v>
      </c>
      <c r="F4222" t="s">
        <v>25</v>
      </c>
      <c r="G4222">
        <v>3</v>
      </c>
      <c r="H4222" t="s">
        <v>18</v>
      </c>
      <c r="I4222" t="s">
        <v>121</v>
      </c>
      <c r="J4222" t="s">
        <v>122</v>
      </c>
      <c r="K4222">
        <v>0</v>
      </c>
      <c r="L4222" s="84">
        <v>-318175</v>
      </c>
      <c r="M4222" s="84">
        <v>0</v>
      </c>
    </row>
    <row r="4223" spans="3:13" hidden="1" x14ac:dyDescent="0.25">
      <c r="C4223" t="s">
        <v>119</v>
      </c>
      <c r="D4223" t="s">
        <v>120</v>
      </c>
      <c r="E4223" t="s">
        <v>60</v>
      </c>
      <c r="F4223" t="s">
        <v>124</v>
      </c>
      <c r="G4223">
        <v>4</v>
      </c>
      <c r="H4223" t="s">
        <v>70</v>
      </c>
      <c r="I4223" t="s">
        <v>121</v>
      </c>
      <c r="J4223" t="s">
        <v>122</v>
      </c>
      <c r="K4223">
        <v>0</v>
      </c>
      <c r="L4223" s="84">
        <v>-8743</v>
      </c>
      <c r="M4223" s="84">
        <v>0</v>
      </c>
    </row>
    <row r="4224" spans="3:13" hidden="1" x14ac:dyDescent="0.25">
      <c r="C4224" t="s">
        <v>119</v>
      </c>
      <c r="D4224" t="s">
        <v>120</v>
      </c>
      <c r="E4224" t="s">
        <v>60</v>
      </c>
      <c r="F4224" t="s">
        <v>25</v>
      </c>
      <c r="G4224">
        <v>3</v>
      </c>
      <c r="H4224" t="s">
        <v>67</v>
      </c>
      <c r="I4224" t="s">
        <v>121</v>
      </c>
      <c r="J4224" t="s">
        <v>122</v>
      </c>
      <c r="K4224">
        <v>0</v>
      </c>
      <c r="L4224" s="84">
        <v>-3095</v>
      </c>
      <c r="M4224" s="84">
        <v>0</v>
      </c>
    </row>
    <row r="4225" spans="3:13" hidden="1" x14ac:dyDescent="0.25">
      <c r="C4225" t="s">
        <v>64</v>
      </c>
      <c r="D4225" t="s">
        <v>120</v>
      </c>
      <c r="E4225" t="s">
        <v>63</v>
      </c>
      <c r="F4225" t="s">
        <v>123</v>
      </c>
      <c r="G4225">
        <v>0</v>
      </c>
      <c r="H4225" t="s">
        <v>69</v>
      </c>
      <c r="I4225" t="s">
        <v>121</v>
      </c>
      <c r="J4225" t="s">
        <v>122</v>
      </c>
      <c r="K4225">
        <v>0</v>
      </c>
      <c r="L4225" s="84">
        <v>18674</v>
      </c>
      <c r="M4225" s="84">
        <v>0</v>
      </c>
    </row>
    <row r="4226" spans="3:13" hidden="1" x14ac:dyDescent="0.25">
      <c r="C4226" t="s">
        <v>64</v>
      </c>
      <c r="D4226" t="s">
        <v>120</v>
      </c>
      <c r="E4226" t="s">
        <v>60</v>
      </c>
      <c r="F4226" t="s">
        <v>25</v>
      </c>
      <c r="G4226">
        <v>3</v>
      </c>
      <c r="H4226" t="s">
        <v>68</v>
      </c>
      <c r="I4226" t="s">
        <v>121</v>
      </c>
      <c r="J4226" t="s">
        <v>122</v>
      </c>
      <c r="K4226">
        <v>0</v>
      </c>
      <c r="L4226" s="84">
        <v>-50109</v>
      </c>
      <c r="M4226" s="84">
        <v>0</v>
      </c>
    </row>
    <row r="4227" spans="3:13" hidden="1" x14ac:dyDescent="0.25">
      <c r="C4227" t="s">
        <v>119</v>
      </c>
      <c r="D4227" t="s">
        <v>120</v>
      </c>
      <c r="E4227" t="s">
        <v>60</v>
      </c>
      <c r="F4227" t="s">
        <v>123</v>
      </c>
      <c r="G4227">
        <v>-1</v>
      </c>
      <c r="H4227" t="s">
        <v>14</v>
      </c>
      <c r="I4227" t="s">
        <v>121</v>
      </c>
      <c r="J4227" t="s">
        <v>122</v>
      </c>
      <c r="K4227">
        <v>0</v>
      </c>
      <c r="L4227" s="84">
        <v>-6042</v>
      </c>
      <c r="M4227" s="84">
        <v>0</v>
      </c>
    </row>
    <row r="4228" spans="3:13" hidden="1" x14ac:dyDescent="0.25">
      <c r="C4228" t="s">
        <v>64</v>
      </c>
      <c r="D4228" t="s">
        <v>120</v>
      </c>
      <c r="E4228" t="s">
        <v>63</v>
      </c>
      <c r="F4228" t="s">
        <v>124</v>
      </c>
      <c r="G4228">
        <v>3</v>
      </c>
      <c r="H4228" t="s">
        <v>70</v>
      </c>
      <c r="I4228" t="s">
        <v>121</v>
      </c>
      <c r="J4228" t="s">
        <v>122</v>
      </c>
      <c r="K4228">
        <v>0</v>
      </c>
      <c r="L4228" s="84">
        <v>1781488</v>
      </c>
      <c r="M4228" s="84">
        <v>5344464</v>
      </c>
    </row>
    <row r="4229" spans="3:13" hidden="1" x14ac:dyDescent="0.25">
      <c r="C4229" t="s">
        <v>65</v>
      </c>
      <c r="D4229" t="s">
        <v>120</v>
      </c>
      <c r="E4229" t="s">
        <v>60</v>
      </c>
      <c r="F4229" t="s">
        <v>123</v>
      </c>
      <c r="G4229">
        <v>2</v>
      </c>
      <c r="H4229" t="s">
        <v>18</v>
      </c>
      <c r="I4229" t="s">
        <v>121</v>
      </c>
      <c r="J4229" t="s">
        <v>122</v>
      </c>
      <c r="K4229">
        <v>0</v>
      </c>
      <c r="L4229" s="84">
        <v>-49108</v>
      </c>
      <c r="M4229" s="84">
        <v>0</v>
      </c>
    </row>
    <row r="4230" spans="3:13" hidden="1" x14ac:dyDescent="0.25">
      <c r="C4230" t="s">
        <v>119</v>
      </c>
      <c r="D4230" t="s">
        <v>120</v>
      </c>
      <c r="E4230" t="s">
        <v>60</v>
      </c>
      <c r="F4230" t="s">
        <v>124</v>
      </c>
      <c r="G4230">
        <v>8</v>
      </c>
      <c r="H4230" t="s">
        <v>72</v>
      </c>
      <c r="I4230" t="s">
        <v>121</v>
      </c>
      <c r="J4230" t="s">
        <v>122</v>
      </c>
      <c r="K4230">
        <v>0</v>
      </c>
      <c r="L4230" s="84">
        <v>-593</v>
      </c>
      <c r="M4230" s="84">
        <v>0</v>
      </c>
    </row>
    <row r="4231" spans="3:13" hidden="1" x14ac:dyDescent="0.25">
      <c r="C4231" t="s">
        <v>119</v>
      </c>
      <c r="D4231" t="s">
        <v>120</v>
      </c>
      <c r="E4231" t="s">
        <v>63</v>
      </c>
      <c r="F4231" t="s">
        <v>124</v>
      </c>
      <c r="G4231">
        <v>14</v>
      </c>
      <c r="H4231" t="s">
        <v>15</v>
      </c>
      <c r="I4231" t="s">
        <v>121</v>
      </c>
      <c r="J4231" t="s">
        <v>66</v>
      </c>
      <c r="K4231">
        <v>1</v>
      </c>
      <c r="L4231" s="84">
        <v>1000556</v>
      </c>
      <c r="M4231" s="84">
        <v>14007784</v>
      </c>
    </row>
    <row r="4232" spans="3:13" hidden="1" x14ac:dyDescent="0.25">
      <c r="C4232" t="s">
        <v>65</v>
      </c>
      <c r="D4232" t="s">
        <v>125</v>
      </c>
      <c r="E4232" t="s">
        <v>63</v>
      </c>
      <c r="F4232" t="s">
        <v>24</v>
      </c>
      <c r="G4232">
        <v>38</v>
      </c>
      <c r="I4232" t="s">
        <v>121</v>
      </c>
      <c r="J4232" t="s">
        <v>122</v>
      </c>
      <c r="K4232">
        <v>0</v>
      </c>
      <c r="L4232" s="84">
        <v>6079070</v>
      </c>
      <c r="M4232" s="84">
        <v>231004660</v>
      </c>
    </row>
    <row r="4233" spans="3:13" hidden="1" x14ac:dyDescent="0.25">
      <c r="C4233" t="s">
        <v>119</v>
      </c>
      <c r="D4233" t="s">
        <v>120</v>
      </c>
      <c r="E4233" t="s">
        <v>60</v>
      </c>
      <c r="F4233" t="s">
        <v>124</v>
      </c>
      <c r="G4233">
        <v>5</v>
      </c>
      <c r="H4233" t="s">
        <v>14</v>
      </c>
      <c r="I4233" t="s">
        <v>121</v>
      </c>
      <c r="J4233" t="s">
        <v>66</v>
      </c>
      <c r="K4233">
        <v>1</v>
      </c>
      <c r="L4233" s="84">
        <v>-32598</v>
      </c>
      <c r="M4233" s="84">
        <v>0</v>
      </c>
    </row>
    <row r="4234" spans="3:13" hidden="1" x14ac:dyDescent="0.25">
      <c r="C4234" t="s">
        <v>65</v>
      </c>
      <c r="D4234" t="s">
        <v>120</v>
      </c>
      <c r="E4234" t="s">
        <v>60</v>
      </c>
      <c r="F4234" t="s">
        <v>123</v>
      </c>
      <c r="G4234">
        <v>-1</v>
      </c>
      <c r="H4234" t="s">
        <v>14</v>
      </c>
      <c r="I4234" t="s">
        <v>121</v>
      </c>
      <c r="J4234" t="s">
        <v>66</v>
      </c>
      <c r="K4234">
        <v>1</v>
      </c>
      <c r="L4234" s="84">
        <v>-5853</v>
      </c>
      <c r="M4234" s="84">
        <v>0</v>
      </c>
    </row>
    <row r="4235" spans="3:13" hidden="1" x14ac:dyDescent="0.25">
      <c r="C4235" t="s">
        <v>64</v>
      </c>
      <c r="D4235" t="s">
        <v>125</v>
      </c>
      <c r="E4235" t="s">
        <v>60</v>
      </c>
      <c r="F4235" t="s">
        <v>24</v>
      </c>
      <c r="G4235">
        <v>-1</v>
      </c>
      <c r="I4235" t="s">
        <v>121</v>
      </c>
      <c r="J4235" t="s">
        <v>122</v>
      </c>
      <c r="K4235">
        <v>0</v>
      </c>
      <c r="L4235" s="84">
        <v>-3811</v>
      </c>
      <c r="M4235" s="84">
        <v>0</v>
      </c>
    </row>
    <row r="4236" spans="3:13" hidden="1" x14ac:dyDescent="0.25">
      <c r="C4236" t="s">
        <v>65</v>
      </c>
      <c r="D4236" t="s">
        <v>120</v>
      </c>
      <c r="E4236" t="s">
        <v>60</v>
      </c>
      <c r="F4236" t="s">
        <v>123</v>
      </c>
      <c r="G4236">
        <v>-4</v>
      </c>
      <c r="H4236" t="s">
        <v>69</v>
      </c>
      <c r="I4236" t="s">
        <v>121</v>
      </c>
      <c r="J4236" t="s">
        <v>122</v>
      </c>
      <c r="K4236">
        <v>0</v>
      </c>
      <c r="L4236" s="84">
        <v>-280376</v>
      </c>
      <c r="M4236" s="84">
        <v>0</v>
      </c>
    </row>
    <row r="4237" spans="3:13" hidden="1" x14ac:dyDescent="0.25">
      <c r="C4237" t="s">
        <v>65</v>
      </c>
      <c r="D4237" t="s">
        <v>120</v>
      </c>
      <c r="E4237" t="s">
        <v>63</v>
      </c>
      <c r="F4237" t="s">
        <v>25</v>
      </c>
      <c r="G4237">
        <v>-4</v>
      </c>
      <c r="H4237" t="s">
        <v>70</v>
      </c>
      <c r="I4237" t="s">
        <v>121</v>
      </c>
      <c r="J4237" t="s">
        <v>122</v>
      </c>
      <c r="K4237">
        <v>0</v>
      </c>
      <c r="L4237" s="84">
        <v>56631</v>
      </c>
      <c r="M4237" s="84">
        <v>0</v>
      </c>
    </row>
    <row r="4238" spans="3:13" hidden="1" x14ac:dyDescent="0.25">
      <c r="C4238" t="s">
        <v>119</v>
      </c>
      <c r="D4238" t="s">
        <v>120</v>
      </c>
      <c r="E4238" t="s">
        <v>60</v>
      </c>
      <c r="F4238" t="s">
        <v>123</v>
      </c>
      <c r="G4238">
        <v>2</v>
      </c>
      <c r="H4238" t="s">
        <v>18</v>
      </c>
      <c r="I4238" t="s">
        <v>121</v>
      </c>
      <c r="J4238" t="s">
        <v>66</v>
      </c>
      <c r="K4238">
        <v>1</v>
      </c>
      <c r="L4238" s="84">
        <v>-750</v>
      </c>
      <c r="M4238" s="84">
        <v>0</v>
      </c>
    </row>
    <row r="4239" spans="3:13" hidden="1" x14ac:dyDescent="0.25">
      <c r="C4239" t="s">
        <v>65</v>
      </c>
      <c r="D4239" t="s">
        <v>120</v>
      </c>
      <c r="E4239" t="s">
        <v>60</v>
      </c>
      <c r="F4239" t="s">
        <v>124</v>
      </c>
      <c r="G4239">
        <v>-4</v>
      </c>
      <c r="H4239" t="s">
        <v>13</v>
      </c>
      <c r="I4239" t="s">
        <v>121</v>
      </c>
      <c r="J4239" t="s">
        <v>122</v>
      </c>
      <c r="K4239">
        <v>0</v>
      </c>
      <c r="L4239" s="84">
        <v>-13713</v>
      </c>
      <c r="M4239" s="84">
        <v>0</v>
      </c>
    </row>
    <row r="4240" spans="3:13" hidden="1" x14ac:dyDescent="0.25">
      <c r="C4240" t="s">
        <v>119</v>
      </c>
      <c r="D4240" t="s">
        <v>120</v>
      </c>
      <c r="E4240" t="s">
        <v>60</v>
      </c>
      <c r="F4240" t="s">
        <v>24</v>
      </c>
      <c r="G4240">
        <v>5</v>
      </c>
      <c r="H4240" t="s">
        <v>69</v>
      </c>
      <c r="I4240" t="s">
        <v>121</v>
      </c>
      <c r="J4240" t="s">
        <v>122</v>
      </c>
      <c r="K4240">
        <v>0</v>
      </c>
      <c r="L4240" s="84">
        <v>-14936</v>
      </c>
      <c r="M4240" s="84">
        <v>0</v>
      </c>
    </row>
    <row r="4241" spans="3:13" hidden="1" x14ac:dyDescent="0.25">
      <c r="C4241" t="s">
        <v>64</v>
      </c>
      <c r="D4241" t="s">
        <v>125</v>
      </c>
      <c r="E4241" t="s">
        <v>63</v>
      </c>
      <c r="F4241" t="s">
        <v>24</v>
      </c>
      <c r="G4241">
        <v>0</v>
      </c>
      <c r="I4241" t="s">
        <v>121</v>
      </c>
      <c r="J4241" t="s">
        <v>122</v>
      </c>
      <c r="K4241">
        <v>0</v>
      </c>
      <c r="L4241" s="84">
        <v>151165</v>
      </c>
      <c r="M4241" s="84">
        <v>0</v>
      </c>
    </row>
    <row r="4242" spans="3:13" hidden="1" x14ac:dyDescent="0.25">
      <c r="C4242" t="s">
        <v>119</v>
      </c>
      <c r="D4242" t="s">
        <v>120</v>
      </c>
      <c r="E4242" t="s">
        <v>63</v>
      </c>
      <c r="F4242" t="s">
        <v>25</v>
      </c>
      <c r="G4242">
        <v>2</v>
      </c>
      <c r="H4242" t="s">
        <v>69</v>
      </c>
      <c r="I4242" t="s">
        <v>121</v>
      </c>
      <c r="J4242" t="s">
        <v>122</v>
      </c>
      <c r="K4242">
        <v>0</v>
      </c>
      <c r="L4242" s="84">
        <v>78809212</v>
      </c>
      <c r="M4242" s="84">
        <v>157618424</v>
      </c>
    </row>
    <row r="4243" spans="3:13" hidden="1" x14ac:dyDescent="0.25">
      <c r="C4243" t="s">
        <v>65</v>
      </c>
      <c r="D4243" t="s">
        <v>120</v>
      </c>
      <c r="E4243" t="s">
        <v>60</v>
      </c>
      <c r="F4243" t="s">
        <v>124</v>
      </c>
      <c r="G4243">
        <v>7</v>
      </c>
      <c r="H4243" t="s">
        <v>61</v>
      </c>
      <c r="I4243" t="s">
        <v>121</v>
      </c>
      <c r="J4243" t="s">
        <v>122</v>
      </c>
      <c r="K4243">
        <v>0</v>
      </c>
      <c r="L4243" s="84">
        <v>-54032</v>
      </c>
      <c r="M4243" s="84">
        <v>0</v>
      </c>
    </row>
    <row r="4244" spans="3:13" hidden="1" x14ac:dyDescent="0.25">
      <c r="C4244" t="s">
        <v>64</v>
      </c>
      <c r="D4244" t="s">
        <v>120</v>
      </c>
      <c r="E4244" t="s">
        <v>60</v>
      </c>
      <c r="F4244" t="s">
        <v>123</v>
      </c>
      <c r="G4244">
        <v>4</v>
      </c>
      <c r="H4244" t="s">
        <v>12</v>
      </c>
      <c r="I4244" t="s">
        <v>121</v>
      </c>
      <c r="J4244" t="s">
        <v>66</v>
      </c>
      <c r="K4244">
        <v>1</v>
      </c>
      <c r="L4244" s="84">
        <v>-10484</v>
      </c>
      <c r="M4244" s="84">
        <v>0</v>
      </c>
    </row>
    <row r="4245" spans="3:13" hidden="1" x14ac:dyDescent="0.25">
      <c r="C4245" t="s">
        <v>119</v>
      </c>
      <c r="D4245" t="s">
        <v>120</v>
      </c>
      <c r="E4245" t="s">
        <v>60</v>
      </c>
      <c r="F4245" t="s">
        <v>124</v>
      </c>
      <c r="G4245">
        <v>7</v>
      </c>
      <c r="H4245" t="s">
        <v>68</v>
      </c>
      <c r="I4245" t="s">
        <v>121</v>
      </c>
      <c r="J4245" t="s">
        <v>122</v>
      </c>
      <c r="K4245">
        <v>0</v>
      </c>
      <c r="L4245" s="84">
        <v>-3240</v>
      </c>
      <c r="M4245" s="84">
        <v>0</v>
      </c>
    </row>
    <row r="4246" spans="3:13" hidden="1" x14ac:dyDescent="0.25">
      <c r="C4246" t="s">
        <v>64</v>
      </c>
      <c r="D4246" t="s">
        <v>120</v>
      </c>
      <c r="E4246" t="s">
        <v>60</v>
      </c>
      <c r="F4246" t="s">
        <v>25</v>
      </c>
      <c r="G4246">
        <v>9</v>
      </c>
      <c r="H4246" t="s">
        <v>12</v>
      </c>
      <c r="I4246" t="s">
        <v>121</v>
      </c>
      <c r="J4246" t="s">
        <v>122</v>
      </c>
      <c r="K4246">
        <v>0</v>
      </c>
      <c r="L4246" s="84">
        <v>-45293</v>
      </c>
      <c r="M4246" s="84">
        <v>0</v>
      </c>
    </row>
    <row r="4247" spans="3:13" hidden="1" x14ac:dyDescent="0.25">
      <c r="C4247" t="s">
        <v>119</v>
      </c>
      <c r="D4247" t="s">
        <v>125</v>
      </c>
      <c r="E4247" t="s">
        <v>63</v>
      </c>
      <c r="F4247" t="s">
        <v>24</v>
      </c>
      <c r="G4247">
        <v>9</v>
      </c>
      <c r="I4247" t="s">
        <v>121</v>
      </c>
      <c r="J4247" t="s">
        <v>122</v>
      </c>
      <c r="K4247">
        <v>0</v>
      </c>
      <c r="L4247" s="84">
        <v>170857886</v>
      </c>
      <c r="M4247" s="84">
        <v>1537720974</v>
      </c>
    </row>
    <row r="4248" spans="3:13" hidden="1" x14ac:dyDescent="0.25">
      <c r="C4248" t="s">
        <v>119</v>
      </c>
      <c r="D4248" t="s">
        <v>127</v>
      </c>
      <c r="E4248" t="s">
        <v>63</v>
      </c>
      <c r="F4248" t="s">
        <v>25</v>
      </c>
      <c r="G4248">
        <v>2</v>
      </c>
      <c r="H4248" t="s">
        <v>77</v>
      </c>
      <c r="I4248" t="s">
        <v>121</v>
      </c>
      <c r="J4248" t="s">
        <v>122</v>
      </c>
      <c r="K4248">
        <v>0</v>
      </c>
      <c r="L4248" s="84">
        <v>71090</v>
      </c>
      <c r="M4248" s="84">
        <v>142180</v>
      </c>
    </row>
    <row r="4249" spans="3:13" x14ac:dyDescent="0.25">
      <c r="C4249" t="s">
        <v>64</v>
      </c>
      <c r="D4249" t="s">
        <v>120</v>
      </c>
      <c r="E4249" t="s">
        <v>63</v>
      </c>
      <c r="F4249" t="s">
        <v>25</v>
      </c>
      <c r="G4249">
        <v>15</v>
      </c>
      <c r="H4249" t="s">
        <v>14</v>
      </c>
      <c r="I4249" t="s">
        <v>121</v>
      </c>
      <c r="J4249" t="s">
        <v>66</v>
      </c>
      <c r="K4249">
        <v>1</v>
      </c>
      <c r="L4249" s="84">
        <v>468884</v>
      </c>
      <c r="M4249" s="84">
        <v>7033260</v>
      </c>
    </row>
    <row r="4250" spans="3:13" hidden="1" x14ac:dyDescent="0.25">
      <c r="C4250" t="s">
        <v>65</v>
      </c>
      <c r="D4250" t="s">
        <v>120</v>
      </c>
      <c r="E4250" t="s">
        <v>60</v>
      </c>
      <c r="F4250" t="s">
        <v>124</v>
      </c>
      <c r="G4250">
        <v>5</v>
      </c>
      <c r="H4250" t="s">
        <v>12</v>
      </c>
      <c r="I4250" t="s">
        <v>121</v>
      </c>
      <c r="J4250" t="s">
        <v>66</v>
      </c>
      <c r="K4250">
        <v>1</v>
      </c>
      <c r="L4250" s="84">
        <v>-8759</v>
      </c>
      <c r="M4250" s="84">
        <v>0</v>
      </c>
    </row>
    <row r="4251" spans="3:13" hidden="1" x14ac:dyDescent="0.25">
      <c r="C4251" t="s">
        <v>65</v>
      </c>
      <c r="D4251" t="s">
        <v>120</v>
      </c>
      <c r="E4251" t="s">
        <v>60</v>
      </c>
      <c r="F4251" t="s">
        <v>123</v>
      </c>
      <c r="G4251">
        <v>0</v>
      </c>
      <c r="H4251" t="s">
        <v>67</v>
      </c>
      <c r="I4251" t="s">
        <v>121</v>
      </c>
      <c r="J4251" t="s">
        <v>122</v>
      </c>
      <c r="K4251">
        <v>0</v>
      </c>
      <c r="L4251" s="84">
        <v>-51975</v>
      </c>
      <c r="M4251" s="84">
        <v>0</v>
      </c>
    </row>
    <row r="4252" spans="3:13" hidden="1" x14ac:dyDescent="0.25">
      <c r="C4252" t="s">
        <v>65</v>
      </c>
      <c r="D4252" t="s">
        <v>126</v>
      </c>
      <c r="E4252" t="s">
        <v>63</v>
      </c>
      <c r="F4252" t="s">
        <v>24</v>
      </c>
      <c r="G4252">
        <v>2</v>
      </c>
      <c r="H4252" t="s">
        <v>18</v>
      </c>
      <c r="I4252" t="s">
        <v>121</v>
      </c>
      <c r="J4252" t="s">
        <v>122</v>
      </c>
      <c r="K4252">
        <v>0</v>
      </c>
      <c r="L4252" s="84">
        <v>498847</v>
      </c>
      <c r="M4252" s="84">
        <v>997694</v>
      </c>
    </row>
    <row r="4253" spans="3:13" hidden="1" x14ac:dyDescent="0.25">
      <c r="C4253" t="s">
        <v>65</v>
      </c>
      <c r="D4253" t="s">
        <v>125</v>
      </c>
      <c r="E4253" t="s">
        <v>63</v>
      </c>
      <c r="F4253" t="s">
        <v>24</v>
      </c>
      <c r="G4253">
        <v>24</v>
      </c>
      <c r="I4253" t="s">
        <v>121</v>
      </c>
      <c r="J4253" t="s">
        <v>122</v>
      </c>
      <c r="K4253">
        <v>0</v>
      </c>
      <c r="L4253" s="84">
        <v>7946234</v>
      </c>
      <c r="M4253" s="84">
        <v>190709616</v>
      </c>
    </row>
    <row r="4254" spans="3:13" hidden="1" x14ac:dyDescent="0.25">
      <c r="C4254" t="s">
        <v>64</v>
      </c>
      <c r="D4254" t="s">
        <v>120</v>
      </c>
      <c r="E4254" t="s">
        <v>63</v>
      </c>
      <c r="F4254" t="s">
        <v>25</v>
      </c>
      <c r="G4254">
        <v>-1</v>
      </c>
      <c r="H4254" t="s">
        <v>68</v>
      </c>
      <c r="I4254" t="s">
        <v>121</v>
      </c>
      <c r="J4254" t="s">
        <v>122</v>
      </c>
      <c r="K4254">
        <v>0</v>
      </c>
      <c r="L4254" s="84">
        <v>974831</v>
      </c>
      <c r="M4254" s="84">
        <v>0</v>
      </c>
    </row>
    <row r="4255" spans="3:13" hidden="1" x14ac:dyDescent="0.25">
      <c r="C4255" t="s">
        <v>65</v>
      </c>
      <c r="D4255" t="s">
        <v>120</v>
      </c>
      <c r="E4255" t="s">
        <v>60</v>
      </c>
      <c r="F4255" t="s">
        <v>124</v>
      </c>
      <c r="G4255">
        <v>9</v>
      </c>
      <c r="H4255" t="s">
        <v>67</v>
      </c>
      <c r="I4255" t="s">
        <v>121</v>
      </c>
      <c r="J4255" t="s">
        <v>122</v>
      </c>
      <c r="K4255">
        <v>0</v>
      </c>
      <c r="L4255" s="84">
        <v>-20875</v>
      </c>
      <c r="M4255" s="84">
        <v>0</v>
      </c>
    </row>
    <row r="4256" spans="3:13" hidden="1" x14ac:dyDescent="0.25">
      <c r="C4256" t="s">
        <v>65</v>
      </c>
      <c r="D4256" t="s">
        <v>120</v>
      </c>
      <c r="E4256" t="s">
        <v>63</v>
      </c>
      <c r="F4256" t="s">
        <v>124</v>
      </c>
      <c r="G4256">
        <v>0</v>
      </c>
      <c r="H4256" t="s">
        <v>17</v>
      </c>
      <c r="I4256" t="s">
        <v>121</v>
      </c>
      <c r="J4256" t="s">
        <v>66</v>
      </c>
      <c r="K4256">
        <v>1</v>
      </c>
      <c r="L4256" s="84">
        <v>23992</v>
      </c>
      <c r="M4256" s="84">
        <v>0</v>
      </c>
    </row>
    <row r="4257" spans="3:13" hidden="1" x14ac:dyDescent="0.25">
      <c r="C4257" t="s">
        <v>119</v>
      </c>
      <c r="D4257" t="s">
        <v>120</v>
      </c>
      <c r="E4257" t="s">
        <v>60</v>
      </c>
      <c r="F4257" t="s">
        <v>124</v>
      </c>
      <c r="G4257">
        <v>0</v>
      </c>
      <c r="H4257" t="s">
        <v>13</v>
      </c>
      <c r="I4257" t="s">
        <v>121</v>
      </c>
      <c r="J4257" t="s">
        <v>122</v>
      </c>
      <c r="K4257">
        <v>0</v>
      </c>
      <c r="L4257" s="84">
        <v>-5833</v>
      </c>
      <c r="M4257" s="84">
        <v>0</v>
      </c>
    </row>
    <row r="4258" spans="3:13" hidden="1" x14ac:dyDescent="0.25">
      <c r="C4258" t="s">
        <v>65</v>
      </c>
      <c r="D4258" t="s">
        <v>120</v>
      </c>
      <c r="E4258" t="s">
        <v>63</v>
      </c>
      <c r="F4258" t="s">
        <v>124</v>
      </c>
      <c r="G4258">
        <v>1</v>
      </c>
      <c r="H4258" t="s">
        <v>71</v>
      </c>
      <c r="I4258" t="s">
        <v>121</v>
      </c>
      <c r="J4258" t="s">
        <v>122</v>
      </c>
      <c r="K4258">
        <v>0</v>
      </c>
      <c r="L4258" s="84">
        <v>155805</v>
      </c>
      <c r="M4258" s="84">
        <v>155805</v>
      </c>
    </row>
    <row r="4259" spans="3:13" hidden="1" x14ac:dyDescent="0.25">
      <c r="C4259" t="s">
        <v>119</v>
      </c>
      <c r="D4259" t="s">
        <v>125</v>
      </c>
      <c r="E4259" t="s">
        <v>63</v>
      </c>
      <c r="F4259" t="s">
        <v>25</v>
      </c>
      <c r="G4259">
        <v>3</v>
      </c>
      <c r="I4259" t="s">
        <v>121</v>
      </c>
      <c r="J4259" t="s">
        <v>122</v>
      </c>
      <c r="K4259">
        <v>0</v>
      </c>
      <c r="L4259" s="84">
        <v>2301882</v>
      </c>
      <c r="M4259" s="84">
        <v>6905646</v>
      </c>
    </row>
    <row r="4260" spans="3:13" hidden="1" x14ac:dyDescent="0.25">
      <c r="C4260" t="s">
        <v>64</v>
      </c>
      <c r="D4260" t="s">
        <v>120</v>
      </c>
      <c r="E4260" t="s">
        <v>60</v>
      </c>
      <c r="F4260" t="s">
        <v>24</v>
      </c>
      <c r="G4260">
        <v>14</v>
      </c>
      <c r="H4260" t="s">
        <v>17</v>
      </c>
      <c r="I4260" t="s">
        <v>121</v>
      </c>
      <c r="J4260" t="s">
        <v>122</v>
      </c>
      <c r="K4260">
        <v>0</v>
      </c>
      <c r="L4260" s="84">
        <v>-1440</v>
      </c>
      <c r="M4260" s="84">
        <v>0</v>
      </c>
    </row>
    <row r="4261" spans="3:13" hidden="1" x14ac:dyDescent="0.25">
      <c r="C4261" t="s">
        <v>65</v>
      </c>
      <c r="D4261" t="s">
        <v>120</v>
      </c>
      <c r="E4261" t="s">
        <v>63</v>
      </c>
      <c r="F4261" t="s">
        <v>25</v>
      </c>
      <c r="G4261">
        <v>2</v>
      </c>
      <c r="H4261" t="s">
        <v>72</v>
      </c>
      <c r="I4261" t="s">
        <v>121</v>
      </c>
      <c r="J4261" t="s">
        <v>122</v>
      </c>
      <c r="K4261">
        <v>0</v>
      </c>
      <c r="L4261" s="84">
        <v>59366</v>
      </c>
      <c r="M4261" s="84">
        <v>118732</v>
      </c>
    </row>
    <row r="4262" spans="3:13" hidden="1" x14ac:dyDescent="0.25">
      <c r="C4262" t="s">
        <v>119</v>
      </c>
      <c r="D4262" t="s">
        <v>120</v>
      </c>
      <c r="E4262" t="s">
        <v>63</v>
      </c>
      <c r="F4262" t="s">
        <v>25</v>
      </c>
      <c r="G4262">
        <v>4</v>
      </c>
      <c r="H4262" t="s">
        <v>73</v>
      </c>
      <c r="I4262" t="s">
        <v>121</v>
      </c>
      <c r="J4262" t="s">
        <v>122</v>
      </c>
      <c r="K4262">
        <v>0</v>
      </c>
      <c r="L4262" s="84">
        <v>985312</v>
      </c>
      <c r="M4262" s="84">
        <v>3941248</v>
      </c>
    </row>
    <row r="4263" spans="3:13" hidden="1" x14ac:dyDescent="0.25">
      <c r="C4263" t="s">
        <v>64</v>
      </c>
      <c r="D4263" t="s">
        <v>120</v>
      </c>
      <c r="E4263" t="s">
        <v>60</v>
      </c>
      <c r="F4263" t="s">
        <v>124</v>
      </c>
      <c r="G4263">
        <v>5</v>
      </c>
      <c r="H4263" t="s">
        <v>69</v>
      </c>
      <c r="I4263" t="s">
        <v>121</v>
      </c>
      <c r="J4263" t="s">
        <v>122</v>
      </c>
      <c r="K4263">
        <v>0</v>
      </c>
      <c r="L4263" s="84">
        <v>-162606</v>
      </c>
      <c r="M4263" s="84">
        <v>0</v>
      </c>
    </row>
    <row r="4264" spans="3:13" hidden="1" x14ac:dyDescent="0.25">
      <c r="C4264" t="s">
        <v>65</v>
      </c>
      <c r="D4264" t="s">
        <v>120</v>
      </c>
      <c r="E4264" t="s">
        <v>63</v>
      </c>
      <c r="F4264" t="s">
        <v>123</v>
      </c>
      <c r="G4264">
        <v>4</v>
      </c>
      <c r="H4264" t="s">
        <v>17</v>
      </c>
      <c r="I4264" t="s">
        <v>121</v>
      </c>
      <c r="J4264" t="s">
        <v>122</v>
      </c>
      <c r="K4264">
        <v>0</v>
      </c>
      <c r="L4264" s="84">
        <v>66528</v>
      </c>
      <c r="M4264" s="84">
        <v>266112</v>
      </c>
    </row>
    <row r="4265" spans="3:13" hidden="1" x14ac:dyDescent="0.25">
      <c r="C4265" t="s">
        <v>64</v>
      </c>
      <c r="D4265" t="s">
        <v>120</v>
      </c>
      <c r="E4265" t="s">
        <v>63</v>
      </c>
      <c r="F4265" t="s">
        <v>25</v>
      </c>
      <c r="G4265">
        <v>16</v>
      </c>
      <c r="H4265" t="s">
        <v>67</v>
      </c>
      <c r="I4265" t="s">
        <v>121</v>
      </c>
      <c r="J4265" t="s">
        <v>122</v>
      </c>
      <c r="K4265">
        <v>0</v>
      </c>
      <c r="L4265" s="84">
        <v>58316</v>
      </c>
      <c r="M4265" s="84">
        <v>933056</v>
      </c>
    </row>
    <row r="4266" spans="3:13" hidden="1" x14ac:dyDescent="0.25">
      <c r="C4266" t="s">
        <v>119</v>
      </c>
      <c r="D4266" t="s">
        <v>120</v>
      </c>
      <c r="E4266" t="s">
        <v>63</v>
      </c>
      <c r="F4266" t="s">
        <v>25</v>
      </c>
      <c r="G4266">
        <v>5</v>
      </c>
      <c r="H4266" t="s">
        <v>73</v>
      </c>
      <c r="I4266" t="s">
        <v>121</v>
      </c>
      <c r="J4266" t="s">
        <v>122</v>
      </c>
      <c r="K4266">
        <v>0</v>
      </c>
      <c r="L4266" s="84">
        <v>21306</v>
      </c>
      <c r="M4266" s="84">
        <v>106530</v>
      </c>
    </row>
    <row r="4267" spans="3:13" hidden="1" x14ac:dyDescent="0.25">
      <c r="C4267" t="s">
        <v>64</v>
      </c>
      <c r="D4267" t="s">
        <v>125</v>
      </c>
      <c r="E4267" t="s">
        <v>63</v>
      </c>
      <c r="F4267" t="s">
        <v>25</v>
      </c>
      <c r="G4267">
        <v>-1</v>
      </c>
      <c r="I4267" t="s">
        <v>121</v>
      </c>
      <c r="J4267" t="s">
        <v>122</v>
      </c>
      <c r="K4267">
        <v>0</v>
      </c>
      <c r="L4267" s="84">
        <v>14527</v>
      </c>
      <c r="M4267" s="84">
        <v>0</v>
      </c>
    </row>
    <row r="4268" spans="3:13" hidden="1" x14ac:dyDescent="0.25">
      <c r="C4268" t="s">
        <v>64</v>
      </c>
      <c r="D4268" t="s">
        <v>120</v>
      </c>
      <c r="E4268" t="s">
        <v>63</v>
      </c>
      <c r="F4268" t="s">
        <v>25</v>
      </c>
      <c r="G4268">
        <v>10</v>
      </c>
      <c r="H4268" t="s">
        <v>69</v>
      </c>
      <c r="I4268" t="s">
        <v>121</v>
      </c>
      <c r="J4268" t="s">
        <v>122</v>
      </c>
      <c r="K4268">
        <v>0</v>
      </c>
      <c r="L4268" s="84">
        <v>9230154</v>
      </c>
      <c r="M4268" s="84">
        <v>92301540</v>
      </c>
    </row>
    <row r="4269" spans="3:13" hidden="1" x14ac:dyDescent="0.25">
      <c r="C4269" t="s">
        <v>65</v>
      </c>
      <c r="D4269" t="s">
        <v>120</v>
      </c>
      <c r="E4269" t="s">
        <v>63</v>
      </c>
      <c r="F4269" t="s">
        <v>24</v>
      </c>
      <c r="G4269">
        <v>2</v>
      </c>
      <c r="H4269" t="s">
        <v>67</v>
      </c>
      <c r="I4269" t="s">
        <v>121</v>
      </c>
      <c r="J4269" t="s">
        <v>122</v>
      </c>
      <c r="K4269">
        <v>0</v>
      </c>
      <c r="L4269" s="84">
        <v>107940</v>
      </c>
      <c r="M4269" s="84">
        <v>215880</v>
      </c>
    </row>
    <row r="4270" spans="3:13" hidden="1" x14ac:dyDescent="0.25">
      <c r="C4270" t="s">
        <v>119</v>
      </c>
      <c r="D4270" t="s">
        <v>120</v>
      </c>
      <c r="E4270" t="s">
        <v>60</v>
      </c>
      <c r="F4270" t="s">
        <v>25</v>
      </c>
      <c r="G4270">
        <v>3</v>
      </c>
      <c r="H4270" t="s">
        <v>73</v>
      </c>
      <c r="I4270" t="s">
        <v>121</v>
      </c>
      <c r="J4270" t="s">
        <v>122</v>
      </c>
      <c r="K4270">
        <v>0</v>
      </c>
      <c r="L4270" s="84">
        <v>-209</v>
      </c>
      <c r="M4270" s="84">
        <v>0</v>
      </c>
    </row>
    <row r="4271" spans="3:13" hidden="1" x14ac:dyDescent="0.25">
      <c r="C4271" t="s">
        <v>64</v>
      </c>
      <c r="D4271" t="s">
        <v>120</v>
      </c>
      <c r="E4271" t="s">
        <v>60</v>
      </c>
      <c r="F4271" t="s">
        <v>24</v>
      </c>
      <c r="G4271">
        <v>7</v>
      </c>
      <c r="H4271" t="s">
        <v>17</v>
      </c>
      <c r="I4271" t="s">
        <v>62</v>
      </c>
      <c r="J4271" t="s">
        <v>66</v>
      </c>
      <c r="K4271">
        <v>1</v>
      </c>
      <c r="L4271" s="84">
        <v>-1991</v>
      </c>
      <c r="M4271" s="84">
        <v>0</v>
      </c>
    </row>
    <row r="4272" spans="3:13" hidden="1" x14ac:dyDescent="0.25">
      <c r="C4272" t="s">
        <v>119</v>
      </c>
      <c r="D4272" t="s">
        <v>120</v>
      </c>
      <c r="E4272" t="s">
        <v>63</v>
      </c>
      <c r="F4272" t="s">
        <v>24</v>
      </c>
      <c r="G4272">
        <v>17</v>
      </c>
      <c r="H4272" t="s">
        <v>69</v>
      </c>
      <c r="I4272" t="s">
        <v>121</v>
      </c>
      <c r="J4272" t="s">
        <v>122</v>
      </c>
      <c r="K4272">
        <v>0</v>
      </c>
      <c r="L4272" s="84">
        <v>6980307</v>
      </c>
      <c r="M4272" s="84">
        <v>118665219</v>
      </c>
    </row>
    <row r="4273" spans="3:13" hidden="1" x14ac:dyDescent="0.25">
      <c r="C4273" t="s">
        <v>64</v>
      </c>
      <c r="D4273" t="s">
        <v>120</v>
      </c>
      <c r="E4273" t="s">
        <v>63</v>
      </c>
      <c r="F4273" t="s">
        <v>123</v>
      </c>
      <c r="G4273">
        <v>1</v>
      </c>
      <c r="H4273" t="s">
        <v>12</v>
      </c>
      <c r="I4273" t="s">
        <v>62</v>
      </c>
      <c r="J4273" t="s">
        <v>66</v>
      </c>
      <c r="K4273">
        <v>1</v>
      </c>
      <c r="L4273" s="84">
        <v>26835</v>
      </c>
      <c r="M4273" s="84">
        <v>26835</v>
      </c>
    </row>
    <row r="4274" spans="3:13" hidden="1" x14ac:dyDescent="0.25">
      <c r="C4274" t="s">
        <v>64</v>
      </c>
      <c r="D4274" t="s">
        <v>125</v>
      </c>
      <c r="E4274" t="s">
        <v>60</v>
      </c>
      <c r="F4274" t="s">
        <v>24</v>
      </c>
      <c r="G4274">
        <v>47</v>
      </c>
      <c r="I4274" t="s">
        <v>121</v>
      </c>
      <c r="J4274" t="s">
        <v>122</v>
      </c>
      <c r="K4274">
        <v>0</v>
      </c>
      <c r="L4274" s="84">
        <v>-4799</v>
      </c>
      <c r="M4274" s="84">
        <v>0</v>
      </c>
    </row>
    <row r="4275" spans="3:13" hidden="1" x14ac:dyDescent="0.25">
      <c r="C4275" t="s">
        <v>65</v>
      </c>
      <c r="D4275" t="s">
        <v>120</v>
      </c>
      <c r="E4275" t="s">
        <v>60</v>
      </c>
      <c r="F4275" t="s">
        <v>123</v>
      </c>
      <c r="G4275">
        <v>3</v>
      </c>
      <c r="H4275" t="s">
        <v>12</v>
      </c>
      <c r="I4275" t="s">
        <v>121</v>
      </c>
      <c r="J4275" t="s">
        <v>122</v>
      </c>
      <c r="K4275">
        <v>0</v>
      </c>
      <c r="L4275" s="84">
        <v>-14036</v>
      </c>
      <c r="M4275" s="84">
        <v>0</v>
      </c>
    </row>
    <row r="4276" spans="3:13" hidden="1" x14ac:dyDescent="0.25">
      <c r="C4276" t="s">
        <v>65</v>
      </c>
      <c r="D4276" t="s">
        <v>120</v>
      </c>
      <c r="E4276" t="s">
        <v>60</v>
      </c>
      <c r="F4276" t="s">
        <v>124</v>
      </c>
      <c r="G4276">
        <v>2</v>
      </c>
      <c r="H4276" t="s">
        <v>18</v>
      </c>
      <c r="I4276" t="s">
        <v>121</v>
      </c>
      <c r="J4276" t="s">
        <v>122</v>
      </c>
      <c r="K4276">
        <v>0</v>
      </c>
      <c r="L4276" s="84">
        <v>-2366726</v>
      </c>
      <c r="M4276" s="84">
        <v>0</v>
      </c>
    </row>
    <row r="4277" spans="3:13" hidden="1" x14ac:dyDescent="0.25">
      <c r="C4277" t="s">
        <v>64</v>
      </c>
      <c r="D4277" t="s">
        <v>120</v>
      </c>
      <c r="E4277" t="s">
        <v>60</v>
      </c>
      <c r="F4277" t="s">
        <v>24</v>
      </c>
      <c r="G4277">
        <v>0</v>
      </c>
      <c r="H4277" t="s">
        <v>17</v>
      </c>
      <c r="I4277" t="s">
        <v>121</v>
      </c>
      <c r="J4277" t="s">
        <v>122</v>
      </c>
      <c r="K4277">
        <v>0</v>
      </c>
      <c r="L4277" s="84">
        <v>-2943</v>
      </c>
      <c r="M4277" s="84">
        <v>0</v>
      </c>
    </row>
    <row r="4278" spans="3:13" hidden="1" x14ac:dyDescent="0.25">
      <c r="C4278" t="s">
        <v>64</v>
      </c>
      <c r="D4278" t="s">
        <v>120</v>
      </c>
      <c r="E4278" t="s">
        <v>63</v>
      </c>
      <c r="F4278" t="s">
        <v>24</v>
      </c>
      <c r="G4278">
        <v>11</v>
      </c>
      <c r="H4278" t="s">
        <v>69</v>
      </c>
      <c r="I4278" t="s">
        <v>121</v>
      </c>
      <c r="J4278" t="s">
        <v>122</v>
      </c>
      <c r="K4278">
        <v>0</v>
      </c>
      <c r="L4278" s="84">
        <v>255746</v>
      </c>
      <c r="M4278" s="84">
        <v>2813206</v>
      </c>
    </row>
    <row r="4279" spans="3:13" hidden="1" x14ac:dyDescent="0.25">
      <c r="C4279" t="s">
        <v>119</v>
      </c>
      <c r="D4279" t="s">
        <v>120</v>
      </c>
      <c r="E4279" t="s">
        <v>63</v>
      </c>
      <c r="F4279" t="s">
        <v>123</v>
      </c>
      <c r="G4279">
        <v>4</v>
      </c>
      <c r="H4279" t="s">
        <v>73</v>
      </c>
      <c r="I4279" t="s">
        <v>121</v>
      </c>
      <c r="J4279" t="s">
        <v>122</v>
      </c>
      <c r="K4279">
        <v>0</v>
      </c>
      <c r="L4279" s="84">
        <v>582786</v>
      </c>
      <c r="M4279" s="84">
        <v>2331144</v>
      </c>
    </row>
    <row r="4280" spans="3:13" hidden="1" x14ac:dyDescent="0.25">
      <c r="C4280" t="s">
        <v>119</v>
      </c>
      <c r="D4280" t="s">
        <v>125</v>
      </c>
      <c r="E4280" t="s">
        <v>60</v>
      </c>
      <c r="F4280" t="s">
        <v>25</v>
      </c>
      <c r="G4280">
        <v>23</v>
      </c>
      <c r="I4280" t="s">
        <v>121</v>
      </c>
      <c r="J4280" t="s">
        <v>122</v>
      </c>
      <c r="K4280">
        <v>0</v>
      </c>
      <c r="L4280" s="84">
        <v>-736</v>
      </c>
      <c r="M4280" s="84">
        <v>0</v>
      </c>
    </row>
    <row r="4281" spans="3:13" hidden="1" x14ac:dyDescent="0.25">
      <c r="C4281" t="s">
        <v>119</v>
      </c>
      <c r="D4281" t="s">
        <v>120</v>
      </c>
      <c r="E4281" t="s">
        <v>60</v>
      </c>
      <c r="F4281" t="s">
        <v>124</v>
      </c>
      <c r="G4281">
        <v>2</v>
      </c>
      <c r="H4281" t="s">
        <v>16</v>
      </c>
      <c r="I4281" t="s">
        <v>121</v>
      </c>
      <c r="J4281" t="s">
        <v>122</v>
      </c>
      <c r="K4281">
        <v>0</v>
      </c>
      <c r="L4281" s="84">
        <v>-6500</v>
      </c>
      <c r="M4281" s="84">
        <v>0</v>
      </c>
    </row>
    <row r="4282" spans="3:13" hidden="1" x14ac:dyDescent="0.25">
      <c r="C4282" t="s">
        <v>65</v>
      </c>
      <c r="D4282" t="s">
        <v>120</v>
      </c>
      <c r="E4282" t="s">
        <v>60</v>
      </c>
      <c r="F4282" t="s">
        <v>124</v>
      </c>
      <c r="G4282">
        <v>8</v>
      </c>
      <c r="H4282" t="s">
        <v>67</v>
      </c>
      <c r="I4282" t="s">
        <v>121</v>
      </c>
      <c r="J4282" t="s">
        <v>122</v>
      </c>
      <c r="K4282">
        <v>0</v>
      </c>
      <c r="L4282" s="84">
        <v>-45705</v>
      </c>
      <c r="M4282" s="84">
        <v>0</v>
      </c>
    </row>
    <row r="4283" spans="3:13" hidden="1" x14ac:dyDescent="0.25">
      <c r="C4283" t="s">
        <v>119</v>
      </c>
      <c r="D4283" t="s">
        <v>120</v>
      </c>
      <c r="E4283" t="s">
        <v>63</v>
      </c>
      <c r="F4283" t="s">
        <v>25</v>
      </c>
      <c r="G4283">
        <v>-4</v>
      </c>
      <c r="H4283" t="s">
        <v>68</v>
      </c>
      <c r="I4283" t="s">
        <v>121</v>
      </c>
      <c r="J4283" t="s">
        <v>122</v>
      </c>
      <c r="K4283">
        <v>0</v>
      </c>
      <c r="L4283" s="84">
        <v>136130</v>
      </c>
      <c r="M4283" s="84">
        <v>0</v>
      </c>
    </row>
    <row r="4284" spans="3:13" hidden="1" x14ac:dyDescent="0.25">
      <c r="C4284" t="s">
        <v>119</v>
      </c>
      <c r="D4284" t="s">
        <v>120</v>
      </c>
      <c r="E4284" t="s">
        <v>60</v>
      </c>
      <c r="F4284" t="s">
        <v>25</v>
      </c>
      <c r="G4284">
        <v>13</v>
      </c>
      <c r="H4284" t="s">
        <v>67</v>
      </c>
      <c r="I4284" t="s">
        <v>121</v>
      </c>
      <c r="J4284" t="s">
        <v>122</v>
      </c>
      <c r="K4284">
        <v>0</v>
      </c>
      <c r="L4284" s="84">
        <v>-450</v>
      </c>
      <c r="M4284" s="84">
        <v>0</v>
      </c>
    </row>
    <row r="4285" spans="3:13" hidden="1" x14ac:dyDescent="0.25">
      <c r="C4285" t="s">
        <v>119</v>
      </c>
      <c r="D4285" t="s">
        <v>120</v>
      </c>
      <c r="E4285" t="s">
        <v>63</v>
      </c>
      <c r="F4285" t="s">
        <v>24</v>
      </c>
      <c r="G4285">
        <v>11</v>
      </c>
      <c r="H4285" t="s">
        <v>72</v>
      </c>
      <c r="I4285" t="s">
        <v>121</v>
      </c>
      <c r="J4285" t="s">
        <v>122</v>
      </c>
      <c r="K4285">
        <v>0</v>
      </c>
      <c r="L4285" s="84">
        <v>3315452</v>
      </c>
      <c r="M4285" s="84">
        <v>36469972</v>
      </c>
    </row>
    <row r="4286" spans="3:13" hidden="1" x14ac:dyDescent="0.25">
      <c r="C4286" t="s">
        <v>64</v>
      </c>
      <c r="D4286" t="s">
        <v>120</v>
      </c>
      <c r="E4286" t="s">
        <v>63</v>
      </c>
      <c r="F4286" t="s">
        <v>25</v>
      </c>
      <c r="G4286">
        <v>1</v>
      </c>
      <c r="H4286" t="s">
        <v>73</v>
      </c>
      <c r="I4286" t="s">
        <v>121</v>
      </c>
      <c r="J4286" t="s">
        <v>122</v>
      </c>
      <c r="K4286">
        <v>0</v>
      </c>
      <c r="L4286" s="84">
        <v>85275</v>
      </c>
      <c r="M4286" s="84">
        <v>85275</v>
      </c>
    </row>
    <row r="4287" spans="3:13" hidden="1" x14ac:dyDescent="0.25">
      <c r="C4287" t="s">
        <v>119</v>
      </c>
      <c r="D4287" t="s">
        <v>120</v>
      </c>
      <c r="E4287" t="s">
        <v>60</v>
      </c>
      <c r="F4287" t="s">
        <v>25</v>
      </c>
      <c r="G4287">
        <v>10</v>
      </c>
      <c r="H4287" t="s">
        <v>76</v>
      </c>
      <c r="I4287" t="s">
        <v>121</v>
      </c>
      <c r="J4287" t="s">
        <v>122</v>
      </c>
      <c r="K4287">
        <v>0</v>
      </c>
      <c r="L4287" s="84">
        <v>-390</v>
      </c>
      <c r="M4287" s="84">
        <v>0</v>
      </c>
    </row>
    <row r="4288" spans="3:13" hidden="1" x14ac:dyDescent="0.25">
      <c r="C4288" t="s">
        <v>119</v>
      </c>
      <c r="D4288" t="s">
        <v>120</v>
      </c>
      <c r="E4288" t="s">
        <v>60</v>
      </c>
      <c r="F4288" t="s">
        <v>124</v>
      </c>
      <c r="G4288">
        <v>7</v>
      </c>
      <c r="H4288" t="s">
        <v>76</v>
      </c>
      <c r="I4288" t="s">
        <v>121</v>
      </c>
      <c r="J4288" t="s">
        <v>122</v>
      </c>
      <c r="K4288">
        <v>0</v>
      </c>
      <c r="L4288" s="84">
        <v>-789</v>
      </c>
      <c r="M4288" s="84">
        <v>0</v>
      </c>
    </row>
    <row r="4289" spans="3:13" hidden="1" x14ac:dyDescent="0.25">
      <c r="C4289" t="s">
        <v>64</v>
      </c>
      <c r="D4289" t="s">
        <v>125</v>
      </c>
      <c r="E4289" t="s">
        <v>63</v>
      </c>
      <c r="F4289" t="s">
        <v>24</v>
      </c>
      <c r="G4289">
        <v>-4</v>
      </c>
      <c r="I4289" t="s">
        <v>121</v>
      </c>
      <c r="J4289" t="s">
        <v>122</v>
      </c>
      <c r="K4289">
        <v>0</v>
      </c>
      <c r="L4289" s="84">
        <v>10364</v>
      </c>
      <c r="M4289" s="84">
        <v>0</v>
      </c>
    </row>
    <row r="4290" spans="3:13" hidden="1" x14ac:dyDescent="0.25">
      <c r="C4290" t="s">
        <v>65</v>
      </c>
      <c r="D4290" t="s">
        <v>125</v>
      </c>
      <c r="E4290" t="s">
        <v>60</v>
      </c>
      <c r="F4290" t="s">
        <v>25</v>
      </c>
      <c r="G4290">
        <v>3</v>
      </c>
      <c r="I4290" t="s">
        <v>121</v>
      </c>
      <c r="J4290" t="s">
        <v>122</v>
      </c>
      <c r="K4290">
        <v>0</v>
      </c>
      <c r="L4290" s="84">
        <v>-30057</v>
      </c>
      <c r="M4290" s="84">
        <v>0</v>
      </c>
    </row>
    <row r="4291" spans="3:13" hidden="1" x14ac:dyDescent="0.25">
      <c r="C4291" t="s">
        <v>65</v>
      </c>
      <c r="D4291" t="s">
        <v>120</v>
      </c>
      <c r="E4291" t="s">
        <v>60</v>
      </c>
      <c r="F4291" t="s">
        <v>24</v>
      </c>
      <c r="G4291">
        <v>19</v>
      </c>
      <c r="H4291" t="s">
        <v>61</v>
      </c>
      <c r="I4291" t="s">
        <v>121</v>
      </c>
      <c r="J4291" t="s">
        <v>122</v>
      </c>
      <c r="K4291">
        <v>0</v>
      </c>
      <c r="L4291" s="84">
        <v>-129452</v>
      </c>
      <c r="M4291" s="84">
        <v>0</v>
      </c>
    </row>
    <row r="4292" spans="3:13" hidden="1" x14ac:dyDescent="0.25">
      <c r="C4292" t="s">
        <v>64</v>
      </c>
      <c r="D4292" t="s">
        <v>120</v>
      </c>
      <c r="E4292" t="s">
        <v>63</v>
      </c>
      <c r="F4292" t="s">
        <v>124</v>
      </c>
      <c r="G4292">
        <v>7</v>
      </c>
      <c r="H4292" t="s">
        <v>68</v>
      </c>
      <c r="I4292" t="s">
        <v>121</v>
      </c>
      <c r="J4292" t="s">
        <v>122</v>
      </c>
      <c r="K4292">
        <v>0</v>
      </c>
      <c r="L4292" s="84">
        <v>2378324</v>
      </c>
      <c r="M4292" s="84">
        <v>16648268</v>
      </c>
    </row>
    <row r="4293" spans="3:13" hidden="1" x14ac:dyDescent="0.25">
      <c r="C4293" t="s">
        <v>119</v>
      </c>
      <c r="D4293" t="s">
        <v>120</v>
      </c>
      <c r="E4293" t="s">
        <v>60</v>
      </c>
      <c r="F4293" t="s">
        <v>124</v>
      </c>
      <c r="G4293">
        <v>4</v>
      </c>
      <c r="H4293" t="s">
        <v>12</v>
      </c>
      <c r="I4293" t="s">
        <v>62</v>
      </c>
      <c r="J4293" t="s">
        <v>66</v>
      </c>
      <c r="K4293">
        <v>1</v>
      </c>
      <c r="L4293" s="84">
        <v>-2386</v>
      </c>
      <c r="M4293" s="84">
        <v>0</v>
      </c>
    </row>
    <row r="4294" spans="3:13" hidden="1" x14ac:dyDescent="0.25">
      <c r="C4294" t="s">
        <v>119</v>
      </c>
      <c r="D4294" t="s">
        <v>126</v>
      </c>
      <c r="E4294" t="s">
        <v>60</v>
      </c>
      <c r="F4294" t="s">
        <v>24</v>
      </c>
      <c r="G4294">
        <v>1</v>
      </c>
      <c r="H4294" t="s">
        <v>74</v>
      </c>
      <c r="I4294" t="s">
        <v>121</v>
      </c>
      <c r="J4294" t="s">
        <v>122</v>
      </c>
      <c r="K4294">
        <v>0</v>
      </c>
      <c r="L4294" s="84">
        <v>-12596</v>
      </c>
      <c r="M4294" s="84">
        <v>0</v>
      </c>
    </row>
    <row r="4295" spans="3:13" hidden="1" x14ac:dyDescent="0.25">
      <c r="C4295" t="s">
        <v>119</v>
      </c>
      <c r="D4295" t="s">
        <v>120</v>
      </c>
      <c r="E4295" t="s">
        <v>60</v>
      </c>
      <c r="F4295" t="s">
        <v>25</v>
      </c>
      <c r="G4295">
        <v>0</v>
      </c>
      <c r="H4295" t="s">
        <v>72</v>
      </c>
      <c r="I4295" t="s">
        <v>121</v>
      </c>
      <c r="J4295" t="s">
        <v>122</v>
      </c>
      <c r="K4295">
        <v>0</v>
      </c>
      <c r="L4295" s="84">
        <v>-186</v>
      </c>
      <c r="M4295" s="84">
        <v>0</v>
      </c>
    </row>
    <row r="4296" spans="3:13" hidden="1" x14ac:dyDescent="0.25">
      <c r="C4296" t="s">
        <v>65</v>
      </c>
      <c r="D4296" t="s">
        <v>125</v>
      </c>
      <c r="E4296" t="s">
        <v>60</v>
      </c>
      <c r="F4296" t="s">
        <v>24</v>
      </c>
      <c r="G4296">
        <v>47</v>
      </c>
      <c r="I4296" t="s">
        <v>121</v>
      </c>
      <c r="J4296" t="s">
        <v>122</v>
      </c>
      <c r="K4296">
        <v>0</v>
      </c>
      <c r="L4296" s="84">
        <v>-35367</v>
      </c>
      <c r="M4296" s="84">
        <v>0</v>
      </c>
    </row>
    <row r="4297" spans="3:13" hidden="1" x14ac:dyDescent="0.25">
      <c r="C4297" t="s">
        <v>64</v>
      </c>
      <c r="D4297" t="s">
        <v>120</v>
      </c>
      <c r="E4297" t="s">
        <v>63</v>
      </c>
      <c r="F4297" t="s">
        <v>123</v>
      </c>
      <c r="G4297">
        <v>-1</v>
      </c>
      <c r="H4297" t="s">
        <v>18</v>
      </c>
      <c r="I4297" t="s">
        <v>121</v>
      </c>
      <c r="J4297" t="s">
        <v>66</v>
      </c>
      <c r="K4297">
        <v>1</v>
      </c>
      <c r="L4297" s="84">
        <v>589481</v>
      </c>
      <c r="M4297" s="84">
        <v>0</v>
      </c>
    </row>
    <row r="4298" spans="3:13" hidden="1" x14ac:dyDescent="0.25">
      <c r="C4298" t="s">
        <v>65</v>
      </c>
      <c r="D4298" t="s">
        <v>120</v>
      </c>
      <c r="E4298" t="s">
        <v>60</v>
      </c>
      <c r="F4298" t="s">
        <v>25</v>
      </c>
      <c r="G4298">
        <v>5</v>
      </c>
      <c r="H4298" t="s">
        <v>68</v>
      </c>
      <c r="I4298" t="s">
        <v>121</v>
      </c>
      <c r="J4298" t="s">
        <v>122</v>
      </c>
      <c r="K4298">
        <v>0</v>
      </c>
      <c r="L4298" s="84">
        <v>-82068</v>
      </c>
      <c r="M4298" s="84">
        <v>0</v>
      </c>
    </row>
    <row r="4299" spans="3:13" hidden="1" x14ac:dyDescent="0.25">
      <c r="C4299" t="s">
        <v>119</v>
      </c>
      <c r="D4299" t="s">
        <v>120</v>
      </c>
      <c r="E4299" t="s">
        <v>63</v>
      </c>
      <c r="F4299" t="s">
        <v>123</v>
      </c>
      <c r="G4299">
        <v>3</v>
      </c>
      <c r="H4299" t="s">
        <v>12</v>
      </c>
      <c r="I4299" t="s">
        <v>121</v>
      </c>
      <c r="J4299" t="s">
        <v>66</v>
      </c>
      <c r="K4299">
        <v>1</v>
      </c>
      <c r="L4299" s="84">
        <v>1013298</v>
      </c>
      <c r="M4299" s="84">
        <v>3039894</v>
      </c>
    </row>
    <row r="4300" spans="3:13" hidden="1" x14ac:dyDescent="0.25">
      <c r="C4300" t="s">
        <v>65</v>
      </c>
      <c r="D4300" t="s">
        <v>120</v>
      </c>
      <c r="E4300" t="s">
        <v>60</v>
      </c>
      <c r="F4300" t="s">
        <v>123</v>
      </c>
      <c r="G4300">
        <v>0</v>
      </c>
      <c r="H4300" t="s">
        <v>73</v>
      </c>
      <c r="I4300" t="s">
        <v>121</v>
      </c>
      <c r="J4300" t="s">
        <v>122</v>
      </c>
      <c r="K4300">
        <v>0</v>
      </c>
      <c r="L4300" s="84">
        <v>-11297</v>
      </c>
      <c r="M4300" s="84">
        <v>0</v>
      </c>
    </row>
    <row r="4301" spans="3:13" hidden="1" x14ac:dyDescent="0.25">
      <c r="C4301" t="s">
        <v>119</v>
      </c>
      <c r="D4301" t="s">
        <v>120</v>
      </c>
      <c r="E4301" t="s">
        <v>63</v>
      </c>
      <c r="F4301" t="s">
        <v>25</v>
      </c>
      <c r="G4301">
        <v>14</v>
      </c>
      <c r="H4301" t="s">
        <v>71</v>
      </c>
      <c r="I4301" t="s">
        <v>121</v>
      </c>
      <c r="J4301" t="s">
        <v>122</v>
      </c>
      <c r="K4301">
        <v>0</v>
      </c>
      <c r="L4301" s="84">
        <v>1506358</v>
      </c>
      <c r="M4301" s="84">
        <v>21089012</v>
      </c>
    </row>
    <row r="4302" spans="3:13" hidden="1" x14ac:dyDescent="0.25">
      <c r="C4302" t="s">
        <v>65</v>
      </c>
      <c r="D4302" t="s">
        <v>120</v>
      </c>
      <c r="E4302" t="s">
        <v>60</v>
      </c>
      <c r="F4302" t="s">
        <v>24</v>
      </c>
      <c r="G4302">
        <v>-4</v>
      </c>
      <c r="H4302" t="s">
        <v>61</v>
      </c>
      <c r="I4302" t="s">
        <v>121</v>
      </c>
      <c r="J4302" t="s">
        <v>122</v>
      </c>
      <c r="K4302">
        <v>0</v>
      </c>
      <c r="L4302" s="84">
        <v>-137628</v>
      </c>
      <c r="M4302" s="84">
        <v>0</v>
      </c>
    </row>
    <row r="4303" spans="3:13" hidden="1" x14ac:dyDescent="0.25">
      <c r="C4303" t="s">
        <v>119</v>
      </c>
      <c r="D4303" t="s">
        <v>120</v>
      </c>
      <c r="E4303" t="s">
        <v>63</v>
      </c>
      <c r="F4303" t="s">
        <v>124</v>
      </c>
      <c r="G4303">
        <v>-1</v>
      </c>
      <c r="H4303" t="s">
        <v>77</v>
      </c>
      <c r="I4303" t="s">
        <v>121</v>
      </c>
      <c r="J4303" t="s">
        <v>122</v>
      </c>
      <c r="K4303">
        <v>0</v>
      </c>
      <c r="L4303" s="84">
        <v>14</v>
      </c>
      <c r="M4303" s="84">
        <v>0</v>
      </c>
    </row>
    <row r="4304" spans="3:13" hidden="1" x14ac:dyDescent="0.25">
      <c r="C4304" t="s">
        <v>119</v>
      </c>
      <c r="D4304" t="s">
        <v>120</v>
      </c>
      <c r="E4304" t="s">
        <v>63</v>
      </c>
      <c r="F4304" t="s">
        <v>25</v>
      </c>
      <c r="G4304">
        <v>1</v>
      </c>
      <c r="H4304" t="s">
        <v>73</v>
      </c>
      <c r="I4304" t="s">
        <v>121</v>
      </c>
      <c r="J4304" t="s">
        <v>122</v>
      </c>
      <c r="K4304">
        <v>0</v>
      </c>
      <c r="L4304" s="84">
        <v>156602</v>
      </c>
      <c r="M4304" s="84">
        <v>156602</v>
      </c>
    </row>
    <row r="4305" spans="3:13" hidden="1" x14ac:dyDescent="0.25">
      <c r="C4305" t="s">
        <v>64</v>
      </c>
      <c r="D4305" t="s">
        <v>120</v>
      </c>
      <c r="E4305" t="s">
        <v>63</v>
      </c>
      <c r="F4305" t="s">
        <v>25</v>
      </c>
      <c r="G4305">
        <v>4</v>
      </c>
      <c r="H4305" t="s">
        <v>67</v>
      </c>
      <c r="I4305" t="s">
        <v>121</v>
      </c>
      <c r="J4305" t="s">
        <v>122</v>
      </c>
      <c r="K4305">
        <v>0</v>
      </c>
      <c r="L4305" s="84">
        <v>55914</v>
      </c>
      <c r="M4305" s="84">
        <v>223656</v>
      </c>
    </row>
    <row r="4306" spans="3:13" hidden="1" x14ac:dyDescent="0.25">
      <c r="C4306" t="s">
        <v>64</v>
      </c>
      <c r="D4306" t="s">
        <v>120</v>
      </c>
      <c r="E4306" t="s">
        <v>63</v>
      </c>
      <c r="F4306" t="s">
        <v>124</v>
      </c>
      <c r="G4306">
        <v>-4</v>
      </c>
      <c r="H4306" t="s">
        <v>76</v>
      </c>
      <c r="I4306" t="s">
        <v>121</v>
      </c>
      <c r="J4306" t="s">
        <v>122</v>
      </c>
      <c r="K4306">
        <v>0</v>
      </c>
      <c r="L4306" s="84">
        <v>2334</v>
      </c>
      <c r="M4306" s="84">
        <v>0</v>
      </c>
    </row>
    <row r="4307" spans="3:13" hidden="1" x14ac:dyDescent="0.25">
      <c r="C4307" t="s">
        <v>65</v>
      </c>
      <c r="D4307" t="s">
        <v>120</v>
      </c>
      <c r="E4307" t="s">
        <v>60</v>
      </c>
      <c r="F4307" t="s">
        <v>25</v>
      </c>
      <c r="G4307">
        <v>-1</v>
      </c>
      <c r="H4307" t="s">
        <v>67</v>
      </c>
      <c r="I4307" t="s">
        <v>121</v>
      </c>
      <c r="J4307" t="s">
        <v>122</v>
      </c>
      <c r="K4307">
        <v>0</v>
      </c>
      <c r="L4307" s="84">
        <v>-201</v>
      </c>
      <c r="M4307" s="84">
        <v>0</v>
      </c>
    </row>
    <row r="4308" spans="3:13" hidden="1" x14ac:dyDescent="0.25">
      <c r="C4308" t="s">
        <v>65</v>
      </c>
      <c r="D4308" t="s">
        <v>120</v>
      </c>
      <c r="E4308" t="s">
        <v>63</v>
      </c>
      <c r="F4308" t="s">
        <v>124</v>
      </c>
      <c r="G4308">
        <v>5</v>
      </c>
      <c r="H4308" t="s">
        <v>69</v>
      </c>
      <c r="I4308" t="s">
        <v>121</v>
      </c>
      <c r="J4308" t="s">
        <v>122</v>
      </c>
      <c r="K4308">
        <v>0</v>
      </c>
      <c r="L4308" s="84">
        <v>333580</v>
      </c>
      <c r="M4308" s="84">
        <v>1667900</v>
      </c>
    </row>
    <row r="4309" spans="3:13" hidden="1" x14ac:dyDescent="0.25">
      <c r="C4309" t="s">
        <v>65</v>
      </c>
      <c r="D4309" t="s">
        <v>120</v>
      </c>
      <c r="E4309" t="s">
        <v>60</v>
      </c>
      <c r="F4309" t="s">
        <v>124</v>
      </c>
      <c r="G4309">
        <v>7</v>
      </c>
      <c r="H4309" t="s">
        <v>17</v>
      </c>
      <c r="I4309" t="s">
        <v>121</v>
      </c>
      <c r="J4309" t="s">
        <v>66</v>
      </c>
      <c r="K4309">
        <v>1</v>
      </c>
      <c r="L4309" s="84">
        <v>-44666</v>
      </c>
      <c r="M4309" s="84">
        <v>0</v>
      </c>
    </row>
    <row r="4310" spans="3:13" hidden="1" x14ac:dyDescent="0.25">
      <c r="C4310" t="s">
        <v>64</v>
      </c>
      <c r="D4310" t="s">
        <v>120</v>
      </c>
      <c r="E4310" t="s">
        <v>63</v>
      </c>
      <c r="F4310" t="s">
        <v>25</v>
      </c>
      <c r="G4310">
        <v>-4</v>
      </c>
      <c r="H4310" t="s">
        <v>68</v>
      </c>
      <c r="I4310" t="s">
        <v>121</v>
      </c>
      <c r="J4310" t="s">
        <v>122</v>
      </c>
      <c r="K4310">
        <v>0</v>
      </c>
      <c r="L4310" s="84">
        <v>98</v>
      </c>
      <c r="M4310" s="84">
        <v>0</v>
      </c>
    </row>
    <row r="4311" spans="3:13" hidden="1" x14ac:dyDescent="0.25">
      <c r="C4311" t="s">
        <v>64</v>
      </c>
      <c r="D4311" t="s">
        <v>120</v>
      </c>
      <c r="E4311" t="s">
        <v>60</v>
      </c>
      <c r="F4311" t="s">
        <v>25</v>
      </c>
      <c r="G4311">
        <v>4</v>
      </c>
      <c r="H4311" t="s">
        <v>18</v>
      </c>
      <c r="I4311" t="s">
        <v>121</v>
      </c>
      <c r="J4311" t="s">
        <v>122</v>
      </c>
      <c r="K4311">
        <v>0</v>
      </c>
      <c r="L4311" s="84">
        <v>-60600</v>
      </c>
      <c r="M4311" s="84">
        <v>0</v>
      </c>
    </row>
    <row r="4312" spans="3:13" hidden="1" x14ac:dyDescent="0.25">
      <c r="C4312" t="s">
        <v>119</v>
      </c>
      <c r="D4312" t="s">
        <v>120</v>
      </c>
      <c r="E4312" t="s">
        <v>63</v>
      </c>
      <c r="F4312" t="s">
        <v>24</v>
      </c>
      <c r="G4312">
        <v>14</v>
      </c>
      <c r="H4312" t="s">
        <v>14</v>
      </c>
      <c r="I4312" t="s">
        <v>121</v>
      </c>
      <c r="J4312" t="s">
        <v>122</v>
      </c>
      <c r="K4312">
        <v>0</v>
      </c>
      <c r="L4312" s="84">
        <v>462874</v>
      </c>
      <c r="M4312" s="84">
        <v>6480236</v>
      </c>
    </row>
    <row r="4313" spans="3:13" hidden="1" x14ac:dyDescent="0.25">
      <c r="C4313" t="s">
        <v>119</v>
      </c>
      <c r="D4313" t="s">
        <v>128</v>
      </c>
      <c r="E4313" t="s">
        <v>60</v>
      </c>
      <c r="F4313" t="s">
        <v>25</v>
      </c>
      <c r="G4313">
        <v>1</v>
      </c>
      <c r="H4313" t="s">
        <v>74</v>
      </c>
      <c r="I4313" t="s">
        <v>121</v>
      </c>
      <c r="J4313" t="s">
        <v>122</v>
      </c>
      <c r="K4313">
        <v>0</v>
      </c>
      <c r="L4313" s="84">
        <v>-8</v>
      </c>
      <c r="M4313" s="84">
        <v>0</v>
      </c>
    </row>
    <row r="4314" spans="3:13" hidden="1" x14ac:dyDescent="0.25">
      <c r="C4314" t="s">
        <v>65</v>
      </c>
      <c r="D4314" t="s">
        <v>120</v>
      </c>
      <c r="E4314" t="s">
        <v>63</v>
      </c>
      <c r="F4314" t="s">
        <v>124</v>
      </c>
      <c r="G4314">
        <v>12</v>
      </c>
      <c r="H4314" t="s">
        <v>18</v>
      </c>
      <c r="I4314" t="s">
        <v>121</v>
      </c>
      <c r="J4314" t="s">
        <v>122</v>
      </c>
      <c r="K4314">
        <v>0</v>
      </c>
      <c r="L4314" s="84">
        <v>33519</v>
      </c>
      <c r="M4314" s="84">
        <v>402228</v>
      </c>
    </row>
    <row r="4315" spans="3:13" hidden="1" x14ac:dyDescent="0.25">
      <c r="C4315" t="s">
        <v>119</v>
      </c>
      <c r="D4315" t="s">
        <v>120</v>
      </c>
      <c r="E4315" t="s">
        <v>60</v>
      </c>
      <c r="F4315" t="s">
        <v>25</v>
      </c>
      <c r="G4315">
        <v>4</v>
      </c>
      <c r="H4315" t="s">
        <v>17</v>
      </c>
      <c r="I4315" t="s">
        <v>121</v>
      </c>
      <c r="J4315" t="s">
        <v>122</v>
      </c>
      <c r="K4315">
        <v>0</v>
      </c>
      <c r="L4315" s="84">
        <v>-27591</v>
      </c>
      <c r="M4315" s="84">
        <v>0</v>
      </c>
    </row>
    <row r="4316" spans="3:13" hidden="1" x14ac:dyDescent="0.25">
      <c r="C4316" t="s">
        <v>64</v>
      </c>
      <c r="D4316" t="s">
        <v>120</v>
      </c>
      <c r="E4316" t="s">
        <v>63</v>
      </c>
      <c r="F4316" t="s">
        <v>24</v>
      </c>
      <c r="G4316">
        <v>3</v>
      </c>
      <c r="H4316" t="s">
        <v>68</v>
      </c>
      <c r="I4316" t="s">
        <v>121</v>
      </c>
      <c r="J4316" t="s">
        <v>122</v>
      </c>
      <c r="K4316">
        <v>0</v>
      </c>
      <c r="L4316" s="84">
        <v>2778021</v>
      </c>
      <c r="M4316" s="84">
        <v>8334063</v>
      </c>
    </row>
    <row r="4317" spans="3:13" hidden="1" x14ac:dyDescent="0.25">
      <c r="C4317" t="s">
        <v>64</v>
      </c>
      <c r="D4317" t="s">
        <v>125</v>
      </c>
      <c r="E4317" t="s">
        <v>63</v>
      </c>
      <c r="F4317" t="s">
        <v>25</v>
      </c>
      <c r="G4317">
        <v>11</v>
      </c>
      <c r="I4317" t="s">
        <v>121</v>
      </c>
      <c r="J4317" t="s">
        <v>122</v>
      </c>
      <c r="K4317">
        <v>0</v>
      </c>
      <c r="L4317" s="84">
        <v>984897</v>
      </c>
      <c r="M4317" s="84">
        <v>10833867</v>
      </c>
    </row>
    <row r="4318" spans="3:13" hidden="1" x14ac:dyDescent="0.25">
      <c r="C4318" t="s">
        <v>119</v>
      </c>
      <c r="D4318" t="s">
        <v>120</v>
      </c>
      <c r="E4318" t="s">
        <v>63</v>
      </c>
      <c r="F4318" t="s">
        <v>124</v>
      </c>
      <c r="G4318">
        <v>5</v>
      </c>
      <c r="H4318" t="s">
        <v>14</v>
      </c>
      <c r="I4318" t="s">
        <v>121</v>
      </c>
      <c r="J4318" t="s">
        <v>122</v>
      </c>
      <c r="K4318">
        <v>0</v>
      </c>
      <c r="L4318" s="84">
        <v>27598383</v>
      </c>
      <c r="M4318" s="84">
        <v>137991915</v>
      </c>
    </row>
    <row r="4319" spans="3:13" hidden="1" x14ac:dyDescent="0.25">
      <c r="C4319" t="s">
        <v>64</v>
      </c>
      <c r="D4319" t="s">
        <v>120</v>
      </c>
      <c r="E4319" t="s">
        <v>60</v>
      </c>
      <c r="F4319" t="s">
        <v>124</v>
      </c>
      <c r="G4319">
        <v>1</v>
      </c>
      <c r="H4319" t="s">
        <v>78</v>
      </c>
      <c r="I4319" t="s">
        <v>121</v>
      </c>
      <c r="J4319" t="s">
        <v>122</v>
      </c>
      <c r="K4319">
        <v>0</v>
      </c>
      <c r="L4319" s="84">
        <v>-19081</v>
      </c>
      <c r="M4319" s="84">
        <v>0</v>
      </c>
    </row>
    <row r="4320" spans="3:13" hidden="1" x14ac:dyDescent="0.25">
      <c r="C4320" t="s">
        <v>119</v>
      </c>
      <c r="D4320" t="s">
        <v>120</v>
      </c>
      <c r="E4320" t="s">
        <v>63</v>
      </c>
      <c r="F4320" t="s">
        <v>123</v>
      </c>
      <c r="G4320">
        <v>0</v>
      </c>
      <c r="H4320" t="s">
        <v>14</v>
      </c>
      <c r="I4320" t="s">
        <v>62</v>
      </c>
      <c r="J4320" t="s">
        <v>66</v>
      </c>
      <c r="K4320">
        <v>1</v>
      </c>
      <c r="L4320" s="84">
        <v>23968</v>
      </c>
      <c r="M4320" s="84">
        <v>0</v>
      </c>
    </row>
    <row r="4321" spans="3:13" hidden="1" x14ac:dyDescent="0.25">
      <c r="C4321" t="s">
        <v>64</v>
      </c>
      <c r="D4321" t="s">
        <v>120</v>
      </c>
      <c r="E4321" t="s">
        <v>60</v>
      </c>
      <c r="F4321" t="s">
        <v>124</v>
      </c>
      <c r="G4321">
        <v>8</v>
      </c>
      <c r="H4321" t="s">
        <v>67</v>
      </c>
      <c r="I4321" t="s">
        <v>121</v>
      </c>
      <c r="J4321" t="s">
        <v>122</v>
      </c>
      <c r="K4321">
        <v>0</v>
      </c>
      <c r="L4321" s="84">
        <v>-43219</v>
      </c>
      <c r="M4321" s="84">
        <v>0</v>
      </c>
    </row>
    <row r="4322" spans="3:13" hidden="1" x14ac:dyDescent="0.25">
      <c r="C4322" t="s">
        <v>119</v>
      </c>
      <c r="D4322" t="s">
        <v>120</v>
      </c>
      <c r="E4322" t="s">
        <v>63</v>
      </c>
      <c r="F4322" t="s">
        <v>25</v>
      </c>
      <c r="G4322">
        <v>7</v>
      </c>
      <c r="H4322" t="s">
        <v>70</v>
      </c>
      <c r="I4322" t="s">
        <v>121</v>
      </c>
      <c r="J4322" t="s">
        <v>122</v>
      </c>
      <c r="K4322">
        <v>0</v>
      </c>
      <c r="L4322" s="84">
        <v>2848486</v>
      </c>
      <c r="M4322" s="84">
        <v>19939402</v>
      </c>
    </row>
    <row r="4323" spans="3:13" hidden="1" x14ac:dyDescent="0.25">
      <c r="C4323" t="s">
        <v>65</v>
      </c>
      <c r="D4323" t="s">
        <v>120</v>
      </c>
      <c r="E4323" t="s">
        <v>63</v>
      </c>
      <c r="F4323" t="s">
        <v>124</v>
      </c>
      <c r="G4323">
        <v>4</v>
      </c>
      <c r="H4323" t="s">
        <v>70</v>
      </c>
      <c r="I4323" t="s">
        <v>121</v>
      </c>
      <c r="J4323" t="s">
        <v>122</v>
      </c>
      <c r="K4323">
        <v>0</v>
      </c>
      <c r="L4323" s="84">
        <v>250730</v>
      </c>
      <c r="M4323" s="84">
        <v>1002920</v>
      </c>
    </row>
    <row r="4324" spans="3:13" hidden="1" x14ac:dyDescent="0.25">
      <c r="C4324" t="s">
        <v>65</v>
      </c>
      <c r="D4324" t="s">
        <v>120</v>
      </c>
      <c r="E4324" t="s">
        <v>60</v>
      </c>
      <c r="F4324" t="s">
        <v>24</v>
      </c>
      <c r="G4324">
        <v>3</v>
      </c>
      <c r="H4324" t="s">
        <v>14</v>
      </c>
      <c r="I4324" t="s">
        <v>121</v>
      </c>
      <c r="J4324" t="s">
        <v>122</v>
      </c>
      <c r="K4324">
        <v>0</v>
      </c>
      <c r="L4324" s="84">
        <v>-50543</v>
      </c>
      <c r="M4324" s="84">
        <v>0</v>
      </c>
    </row>
    <row r="4325" spans="3:13" hidden="1" x14ac:dyDescent="0.25">
      <c r="C4325" t="s">
        <v>65</v>
      </c>
      <c r="D4325" t="s">
        <v>120</v>
      </c>
      <c r="E4325" t="s">
        <v>60</v>
      </c>
      <c r="F4325" t="s">
        <v>124</v>
      </c>
      <c r="G4325">
        <v>1</v>
      </c>
      <c r="H4325" t="s">
        <v>14</v>
      </c>
      <c r="I4325" t="s">
        <v>121</v>
      </c>
      <c r="J4325" t="s">
        <v>66</v>
      </c>
      <c r="K4325">
        <v>1</v>
      </c>
      <c r="L4325" s="84">
        <v>-1161485</v>
      </c>
      <c r="M4325" s="84">
        <v>0</v>
      </c>
    </row>
    <row r="4326" spans="3:13" hidden="1" x14ac:dyDescent="0.25">
      <c r="C4326" t="s">
        <v>65</v>
      </c>
      <c r="D4326" t="s">
        <v>120</v>
      </c>
      <c r="E4326" t="s">
        <v>60</v>
      </c>
      <c r="F4326" t="s">
        <v>25</v>
      </c>
      <c r="G4326">
        <v>-4</v>
      </c>
      <c r="H4326" t="s">
        <v>14</v>
      </c>
      <c r="I4326" t="s">
        <v>121</v>
      </c>
      <c r="J4326" t="s">
        <v>66</v>
      </c>
      <c r="K4326">
        <v>1</v>
      </c>
      <c r="L4326" s="84">
        <v>-1054845</v>
      </c>
      <c r="M4326" s="84">
        <v>0</v>
      </c>
    </row>
    <row r="4327" spans="3:13" hidden="1" x14ac:dyDescent="0.25">
      <c r="C4327" t="s">
        <v>64</v>
      </c>
      <c r="D4327" t="s">
        <v>120</v>
      </c>
      <c r="E4327" t="s">
        <v>63</v>
      </c>
      <c r="F4327" t="s">
        <v>25</v>
      </c>
      <c r="G4327">
        <v>5</v>
      </c>
      <c r="H4327" t="s">
        <v>73</v>
      </c>
      <c r="I4327" t="s">
        <v>121</v>
      </c>
      <c r="J4327" t="s">
        <v>122</v>
      </c>
      <c r="K4327">
        <v>0</v>
      </c>
      <c r="L4327" s="84">
        <v>24193</v>
      </c>
      <c r="M4327" s="84">
        <v>120965</v>
      </c>
    </row>
    <row r="4328" spans="3:13" hidden="1" x14ac:dyDescent="0.25">
      <c r="C4328" t="s">
        <v>119</v>
      </c>
      <c r="D4328" t="s">
        <v>120</v>
      </c>
      <c r="E4328" t="s">
        <v>60</v>
      </c>
      <c r="F4328" t="s">
        <v>25</v>
      </c>
      <c r="G4328">
        <v>-1</v>
      </c>
      <c r="H4328" t="s">
        <v>69</v>
      </c>
      <c r="I4328" t="s">
        <v>121</v>
      </c>
      <c r="J4328" t="s">
        <v>122</v>
      </c>
      <c r="K4328">
        <v>0</v>
      </c>
      <c r="L4328" s="84">
        <v>-2814</v>
      </c>
      <c r="M4328" s="84">
        <v>0</v>
      </c>
    </row>
    <row r="4329" spans="3:13" hidden="1" x14ac:dyDescent="0.25">
      <c r="C4329" t="s">
        <v>119</v>
      </c>
      <c r="D4329" t="s">
        <v>120</v>
      </c>
      <c r="E4329" t="s">
        <v>63</v>
      </c>
      <c r="F4329" t="s">
        <v>24</v>
      </c>
      <c r="G4329">
        <v>0</v>
      </c>
      <c r="H4329" t="s">
        <v>67</v>
      </c>
      <c r="I4329" t="s">
        <v>121</v>
      </c>
      <c r="J4329" t="s">
        <v>122</v>
      </c>
      <c r="K4329">
        <v>0</v>
      </c>
      <c r="L4329" s="84">
        <v>24724</v>
      </c>
      <c r="M4329" s="84">
        <v>0</v>
      </c>
    </row>
    <row r="4330" spans="3:13" hidden="1" x14ac:dyDescent="0.25">
      <c r="C4330" t="s">
        <v>119</v>
      </c>
      <c r="D4330" t="s">
        <v>120</v>
      </c>
      <c r="E4330" t="s">
        <v>63</v>
      </c>
      <c r="F4330" t="s">
        <v>124</v>
      </c>
      <c r="G4330">
        <v>3</v>
      </c>
      <c r="H4330" t="s">
        <v>67</v>
      </c>
      <c r="I4330" t="s">
        <v>121</v>
      </c>
      <c r="J4330" t="s">
        <v>122</v>
      </c>
      <c r="K4330">
        <v>0</v>
      </c>
      <c r="L4330" s="84">
        <v>136441922</v>
      </c>
      <c r="M4330" s="84">
        <v>409325766</v>
      </c>
    </row>
    <row r="4331" spans="3:13" hidden="1" x14ac:dyDescent="0.25">
      <c r="C4331" t="s">
        <v>119</v>
      </c>
      <c r="D4331" t="s">
        <v>120</v>
      </c>
      <c r="E4331" t="s">
        <v>60</v>
      </c>
      <c r="F4331" t="s">
        <v>25</v>
      </c>
      <c r="G4331">
        <v>11</v>
      </c>
      <c r="H4331" t="s">
        <v>14</v>
      </c>
      <c r="I4331" t="s">
        <v>121</v>
      </c>
      <c r="J4331" t="s">
        <v>66</v>
      </c>
      <c r="K4331">
        <v>1</v>
      </c>
      <c r="L4331" s="84">
        <v>-1183</v>
      </c>
      <c r="M4331" s="84">
        <v>0</v>
      </c>
    </row>
    <row r="4332" spans="3:13" hidden="1" x14ac:dyDescent="0.25">
      <c r="C4332" t="s">
        <v>119</v>
      </c>
      <c r="D4332" t="s">
        <v>120</v>
      </c>
      <c r="E4332" t="s">
        <v>60</v>
      </c>
      <c r="F4332" t="s">
        <v>24</v>
      </c>
      <c r="G4332">
        <v>2</v>
      </c>
      <c r="H4332" t="s">
        <v>12</v>
      </c>
      <c r="I4332" t="s">
        <v>121</v>
      </c>
      <c r="J4332" t="s">
        <v>122</v>
      </c>
      <c r="K4332">
        <v>0</v>
      </c>
      <c r="L4332" s="84">
        <v>-247</v>
      </c>
      <c r="M4332" s="84">
        <v>0</v>
      </c>
    </row>
    <row r="4333" spans="3:13" hidden="1" x14ac:dyDescent="0.25">
      <c r="C4333" t="s">
        <v>64</v>
      </c>
      <c r="D4333" t="s">
        <v>120</v>
      </c>
      <c r="E4333" t="s">
        <v>63</v>
      </c>
      <c r="F4333" t="s">
        <v>24</v>
      </c>
      <c r="G4333">
        <v>12</v>
      </c>
      <c r="H4333" t="s">
        <v>17</v>
      </c>
      <c r="I4333" t="s">
        <v>62</v>
      </c>
      <c r="J4333" t="s">
        <v>66</v>
      </c>
      <c r="K4333">
        <v>1</v>
      </c>
      <c r="L4333" s="84">
        <v>33543</v>
      </c>
      <c r="M4333" s="84">
        <v>402516</v>
      </c>
    </row>
    <row r="4334" spans="3:13" hidden="1" x14ac:dyDescent="0.25">
      <c r="C4334" t="s">
        <v>119</v>
      </c>
      <c r="D4334" t="s">
        <v>120</v>
      </c>
      <c r="E4334" t="s">
        <v>63</v>
      </c>
      <c r="F4334" t="s">
        <v>123</v>
      </c>
      <c r="G4334">
        <v>6</v>
      </c>
      <c r="H4334" t="s">
        <v>67</v>
      </c>
      <c r="I4334" t="s">
        <v>121</v>
      </c>
      <c r="J4334" t="s">
        <v>122</v>
      </c>
      <c r="K4334">
        <v>0</v>
      </c>
      <c r="L4334" s="84">
        <v>751464</v>
      </c>
      <c r="M4334" s="84">
        <v>4508784</v>
      </c>
    </row>
    <row r="4335" spans="3:13" hidden="1" x14ac:dyDescent="0.25">
      <c r="C4335" t="s">
        <v>119</v>
      </c>
      <c r="D4335" t="s">
        <v>120</v>
      </c>
      <c r="E4335" t="s">
        <v>60</v>
      </c>
      <c r="F4335" t="s">
        <v>123</v>
      </c>
      <c r="G4335">
        <v>3</v>
      </c>
      <c r="H4335" t="s">
        <v>69</v>
      </c>
      <c r="I4335" t="s">
        <v>121</v>
      </c>
      <c r="J4335" t="s">
        <v>122</v>
      </c>
      <c r="K4335">
        <v>0</v>
      </c>
      <c r="L4335" s="84">
        <v>-4563</v>
      </c>
      <c r="M4335" s="84">
        <v>0</v>
      </c>
    </row>
    <row r="4336" spans="3:13" hidden="1" x14ac:dyDescent="0.25">
      <c r="C4336" t="s">
        <v>119</v>
      </c>
      <c r="D4336" t="s">
        <v>120</v>
      </c>
      <c r="E4336" t="s">
        <v>60</v>
      </c>
      <c r="F4336" t="s">
        <v>124</v>
      </c>
      <c r="G4336">
        <v>7</v>
      </c>
      <c r="H4336" t="s">
        <v>15</v>
      </c>
      <c r="I4336" t="s">
        <v>121</v>
      </c>
      <c r="J4336" t="s">
        <v>66</v>
      </c>
      <c r="K4336">
        <v>1</v>
      </c>
      <c r="L4336" s="84">
        <v>-290</v>
      </c>
      <c r="M4336" s="84">
        <v>0</v>
      </c>
    </row>
    <row r="4337" spans="3:13" hidden="1" x14ac:dyDescent="0.25">
      <c r="C4337" t="s">
        <v>65</v>
      </c>
      <c r="D4337" t="s">
        <v>120</v>
      </c>
      <c r="E4337" t="s">
        <v>60</v>
      </c>
      <c r="F4337" t="s">
        <v>24</v>
      </c>
      <c r="G4337">
        <v>1</v>
      </c>
      <c r="H4337" t="s">
        <v>75</v>
      </c>
      <c r="I4337" t="s">
        <v>121</v>
      </c>
      <c r="J4337" t="s">
        <v>122</v>
      </c>
      <c r="K4337">
        <v>0</v>
      </c>
      <c r="L4337" s="84">
        <v>-961</v>
      </c>
      <c r="M4337" s="84">
        <v>0</v>
      </c>
    </row>
    <row r="4338" spans="3:13" hidden="1" x14ac:dyDescent="0.25">
      <c r="C4338" t="s">
        <v>64</v>
      </c>
      <c r="D4338" t="s">
        <v>120</v>
      </c>
      <c r="E4338" t="s">
        <v>60</v>
      </c>
      <c r="F4338" t="s">
        <v>25</v>
      </c>
      <c r="G4338">
        <v>12</v>
      </c>
      <c r="H4338" t="s">
        <v>61</v>
      </c>
      <c r="I4338" t="s">
        <v>121</v>
      </c>
      <c r="J4338" t="s">
        <v>122</v>
      </c>
      <c r="K4338">
        <v>0</v>
      </c>
      <c r="L4338" s="84">
        <v>-6769</v>
      </c>
      <c r="M4338" s="84">
        <v>0</v>
      </c>
    </row>
    <row r="4339" spans="3:13" hidden="1" x14ac:dyDescent="0.25">
      <c r="C4339" t="s">
        <v>65</v>
      </c>
      <c r="D4339" t="s">
        <v>120</v>
      </c>
      <c r="E4339" t="s">
        <v>63</v>
      </c>
      <c r="F4339" t="s">
        <v>124</v>
      </c>
      <c r="G4339">
        <v>3</v>
      </c>
      <c r="H4339" t="s">
        <v>18</v>
      </c>
      <c r="I4339" t="s">
        <v>121</v>
      </c>
      <c r="J4339" t="s">
        <v>122</v>
      </c>
      <c r="K4339">
        <v>0</v>
      </c>
      <c r="L4339" s="84">
        <v>2809891</v>
      </c>
      <c r="M4339" s="84">
        <v>8429673</v>
      </c>
    </row>
    <row r="4340" spans="3:13" hidden="1" x14ac:dyDescent="0.25">
      <c r="C4340" t="s">
        <v>119</v>
      </c>
      <c r="D4340" t="s">
        <v>120</v>
      </c>
      <c r="E4340" t="s">
        <v>60</v>
      </c>
      <c r="F4340" t="s">
        <v>124</v>
      </c>
      <c r="G4340">
        <v>7</v>
      </c>
      <c r="H4340" t="s">
        <v>14</v>
      </c>
      <c r="I4340" t="s">
        <v>62</v>
      </c>
      <c r="J4340" t="s">
        <v>122</v>
      </c>
      <c r="K4340">
        <v>1</v>
      </c>
      <c r="L4340" s="84">
        <v>-1281</v>
      </c>
      <c r="M4340" s="84">
        <v>0</v>
      </c>
    </row>
    <row r="4341" spans="3:13" hidden="1" x14ac:dyDescent="0.25">
      <c r="C4341" t="s">
        <v>119</v>
      </c>
      <c r="D4341" t="s">
        <v>120</v>
      </c>
      <c r="E4341" t="s">
        <v>63</v>
      </c>
      <c r="F4341" t="s">
        <v>25</v>
      </c>
      <c r="G4341">
        <v>13</v>
      </c>
      <c r="H4341" t="s">
        <v>14</v>
      </c>
      <c r="I4341" t="s">
        <v>121</v>
      </c>
      <c r="J4341" t="s">
        <v>122</v>
      </c>
      <c r="K4341">
        <v>0</v>
      </c>
      <c r="L4341" s="84">
        <v>1179840</v>
      </c>
      <c r="M4341" s="84">
        <v>15337920</v>
      </c>
    </row>
    <row r="4342" spans="3:13" hidden="1" x14ac:dyDescent="0.25">
      <c r="C4342" t="s">
        <v>64</v>
      </c>
      <c r="D4342" t="s">
        <v>120</v>
      </c>
      <c r="E4342" t="s">
        <v>63</v>
      </c>
      <c r="F4342" t="s">
        <v>25</v>
      </c>
      <c r="G4342">
        <v>12</v>
      </c>
      <c r="H4342" t="s">
        <v>61</v>
      </c>
      <c r="I4342" t="s">
        <v>121</v>
      </c>
      <c r="J4342" t="s">
        <v>122</v>
      </c>
      <c r="K4342">
        <v>0</v>
      </c>
      <c r="L4342" s="84">
        <v>71262</v>
      </c>
      <c r="M4342" s="84">
        <v>855144</v>
      </c>
    </row>
    <row r="4343" spans="3:13" hidden="1" x14ac:dyDescent="0.25">
      <c r="C4343" t="s">
        <v>119</v>
      </c>
      <c r="D4343" t="s">
        <v>120</v>
      </c>
      <c r="E4343" t="s">
        <v>60</v>
      </c>
      <c r="F4343" t="s">
        <v>25</v>
      </c>
      <c r="G4343">
        <v>11</v>
      </c>
      <c r="H4343" t="s">
        <v>71</v>
      </c>
      <c r="I4343" t="s">
        <v>121</v>
      </c>
      <c r="J4343" t="s">
        <v>122</v>
      </c>
      <c r="K4343">
        <v>0</v>
      </c>
      <c r="L4343" s="84">
        <v>-1978</v>
      </c>
      <c r="M4343" s="84">
        <v>0</v>
      </c>
    </row>
    <row r="4344" spans="3:13" hidden="1" x14ac:dyDescent="0.25">
      <c r="C4344" t="s">
        <v>65</v>
      </c>
      <c r="D4344" t="s">
        <v>120</v>
      </c>
      <c r="E4344" t="s">
        <v>60</v>
      </c>
      <c r="F4344" t="s">
        <v>124</v>
      </c>
      <c r="G4344">
        <v>5</v>
      </c>
      <c r="H4344" t="s">
        <v>69</v>
      </c>
      <c r="I4344" t="s">
        <v>121</v>
      </c>
      <c r="J4344" t="s">
        <v>122</v>
      </c>
      <c r="K4344">
        <v>0</v>
      </c>
      <c r="L4344" s="84">
        <v>-199184</v>
      </c>
      <c r="M4344" s="84">
        <v>0</v>
      </c>
    </row>
    <row r="4345" spans="3:13" hidden="1" x14ac:dyDescent="0.25">
      <c r="C4345" t="s">
        <v>64</v>
      </c>
      <c r="D4345" t="s">
        <v>120</v>
      </c>
      <c r="E4345" t="s">
        <v>63</v>
      </c>
      <c r="F4345" t="s">
        <v>123</v>
      </c>
      <c r="G4345">
        <v>2</v>
      </c>
      <c r="H4345" t="s">
        <v>75</v>
      </c>
      <c r="I4345" t="s">
        <v>121</v>
      </c>
      <c r="J4345" t="s">
        <v>122</v>
      </c>
      <c r="K4345">
        <v>0</v>
      </c>
      <c r="L4345" s="84">
        <v>1724878</v>
      </c>
      <c r="M4345" s="84">
        <v>3449756</v>
      </c>
    </row>
    <row r="4346" spans="3:13" hidden="1" x14ac:dyDescent="0.25">
      <c r="C4346" t="s">
        <v>119</v>
      </c>
      <c r="D4346" t="s">
        <v>120</v>
      </c>
      <c r="E4346" t="s">
        <v>60</v>
      </c>
      <c r="F4346" t="s">
        <v>25</v>
      </c>
      <c r="G4346">
        <v>-4</v>
      </c>
      <c r="H4346" t="s">
        <v>70</v>
      </c>
      <c r="I4346" t="s">
        <v>121</v>
      </c>
      <c r="J4346" t="s">
        <v>122</v>
      </c>
      <c r="K4346">
        <v>0</v>
      </c>
      <c r="L4346" s="84">
        <v>-153</v>
      </c>
      <c r="M4346" s="84">
        <v>0</v>
      </c>
    </row>
    <row r="4347" spans="3:13" hidden="1" x14ac:dyDescent="0.25">
      <c r="C4347" t="s">
        <v>119</v>
      </c>
      <c r="D4347" t="s">
        <v>120</v>
      </c>
      <c r="E4347" t="s">
        <v>60</v>
      </c>
      <c r="F4347" t="s">
        <v>124</v>
      </c>
      <c r="G4347">
        <v>3</v>
      </c>
      <c r="H4347" t="s">
        <v>13</v>
      </c>
      <c r="I4347" t="s">
        <v>121</v>
      </c>
      <c r="J4347" t="s">
        <v>122</v>
      </c>
      <c r="K4347">
        <v>0</v>
      </c>
      <c r="L4347" s="84">
        <v>-1814</v>
      </c>
      <c r="M4347" s="84">
        <v>0</v>
      </c>
    </row>
    <row r="4348" spans="3:13" hidden="1" x14ac:dyDescent="0.25">
      <c r="C4348" t="s">
        <v>119</v>
      </c>
      <c r="D4348" t="s">
        <v>120</v>
      </c>
      <c r="E4348" t="s">
        <v>63</v>
      </c>
      <c r="F4348" t="s">
        <v>123</v>
      </c>
      <c r="G4348">
        <v>2</v>
      </c>
      <c r="H4348" t="s">
        <v>12</v>
      </c>
      <c r="I4348" t="s">
        <v>121</v>
      </c>
      <c r="J4348" t="s">
        <v>66</v>
      </c>
      <c r="K4348">
        <v>1</v>
      </c>
      <c r="L4348" s="84">
        <v>503369</v>
      </c>
      <c r="M4348" s="84">
        <v>1006738</v>
      </c>
    </row>
    <row r="4349" spans="3:13" hidden="1" x14ac:dyDescent="0.25">
      <c r="C4349" t="s">
        <v>119</v>
      </c>
      <c r="D4349" t="s">
        <v>120</v>
      </c>
      <c r="E4349" t="s">
        <v>63</v>
      </c>
      <c r="F4349" t="s">
        <v>25</v>
      </c>
      <c r="G4349">
        <v>15</v>
      </c>
      <c r="H4349" t="s">
        <v>14</v>
      </c>
      <c r="I4349" t="s">
        <v>121</v>
      </c>
      <c r="J4349" t="s">
        <v>122</v>
      </c>
      <c r="K4349">
        <v>0</v>
      </c>
      <c r="L4349" s="84">
        <v>408432</v>
      </c>
      <c r="M4349" s="84">
        <v>6126480</v>
      </c>
    </row>
    <row r="4350" spans="3:13" hidden="1" x14ac:dyDescent="0.25">
      <c r="C4350" t="s">
        <v>119</v>
      </c>
      <c r="D4350" t="s">
        <v>120</v>
      </c>
      <c r="E4350" t="s">
        <v>63</v>
      </c>
      <c r="F4350" t="s">
        <v>25</v>
      </c>
      <c r="G4350">
        <v>3</v>
      </c>
      <c r="H4350" t="s">
        <v>71</v>
      </c>
      <c r="I4350" t="s">
        <v>121</v>
      </c>
      <c r="J4350" t="s">
        <v>122</v>
      </c>
      <c r="K4350">
        <v>0</v>
      </c>
      <c r="L4350" s="84">
        <v>157381</v>
      </c>
      <c r="M4350" s="84">
        <v>472143</v>
      </c>
    </row>
    <row r="4351" spans="3:13" hidden="1" x14ac:dyDescent="0.25">
      <c r="C4351" t="s">
        <v>119</v>
      </c>
      <c r="D4351" t="s">
        <v>120</v>
      </c>
      <c r="E4351" t="s">
        <v>60</v>
      </c>
      <c r="F4351" t="s">
        <v>123</v>
      </c>
      <c r="G4351">
        <v>7</v>
      </c>
      <c r="H4351" t="s">
        <v>12</v>
      </c>
      <c r="I4351" t="s">
        <v>121</v>
      </c>
      <c r="J4351" t="s">
        <v>122</v>
      </c>
      <c r="K4351">
        <v>0</v>
      </c>
      <c r="L4351" s="84">
        <v>-468</v>
      </c>
      <c r="M4351" s="84">
        <v>0</v>
      </c>
    </row>
    <row r="4352" spans="3:13" hidden="1" x14ac:dyDescent="0.25">
      <c r="C4352" t="s">
        <v>64</v>
      </c>
      <c r="D4352" t="s">
        <v>125</v>
      </c>
      <c r="E4352" t="s">
        <v>63</v>
      </c>
      <c r="F4352" t="s">
        <v>24</v>
      </c>
      <c r="G4352">
        <v>8</v>
      </c>
      <c r="I4352" t="s">
        <v>121</v>
      </c>
      <c r="J4352" t="s">
        <v>122</v>
      </c>
      <c r="K4352">
        <v>0</v>
      </c>
      <c r="L4352" s="84">
        <v>19087619</v>
      </c>
      <c r="M4352" s="84">
        <v>152700952</v>
      </c>
    </row>
    <row r="4353" spans="3:13" hidden="1" x14ac:dyDescent="0.25">
      <c r="C4353" t="s">
        <v>65</v>
      </c>
      <c r="D4353" t="s">
        <v>125</v>
      </c>
      <c r="E4353" t="s">
        <v>60</v>
      </c>
      <c r="F4353" t="s">
        <v>25</v>
      </c>
      <c r="G4353">
        <v>34</v>
      </c>
      <c r="I4353" t="s">
        <v>121</v>
      </c>
      <c r="J4353" t="s">
        <v>122</v>
      </c>
      <c r="K4353">
        <v>0</v>
      </c>
      <c r="L4353" s="84">
        <v>-32217</v>
      </c>
      <c r="M4353" s="84">
        <v>0</v>
      </c>
    </row>
    <row r="4354" spans="3:13" hidden="1" x14ac:dyDescent="0.25">
      <c r="C4354" t="s">
        <v>64</v>
      </c>
      <c r="D4354" t="s">
        <v>120</v>
      </c>
      <c r="E4354" t="s">
        <v>60</v>
      </c>
      <c r="F4354" t="s">
        <v>124</v>
      </c>
      <c r="G4354">
        <v>1</v>
      </c>
      <c r="H4354" t="s">
        <v>74</v>
      </c>
      <c r="I4354" t="s">
        <v>121</v>
      </c>
      <c r="J4354" t="s">
        <v>122</v>
      </c>
      <c r="K4354">
        <v>0</v>
      </c>
      <c r="L4354" s="84">
        <v>-625</v>
      </c>
      <c r="M4354" s="84">
        <v>0</v>
      </c>
    </row>
    <row r="4355" spans="3:13" hidden="1" x14ac:dyDescent="0.25">
      <c r="C4355" t="s">
        <v>119</v>
      </c>
      <c r="D4355" t="s">
        <v>120</v>
      </c>
      <c r="E4355" t="s">
        <v>63</v>
      </c>
      <c r="F4355" t="s">
        <v>24</v>
      </c>
      <c r="G4355">
        <v>7</v>
      </c>
      <c r="H4355" t="s">
        <v>75</v>
      </c>
      <c r="I4355" t="s">
        <v>121</v>
      </c>
      <c r="J4355" t="s">
        <v>122</v>
      </c>
      <c r="K4355">
        <v>0</v>
      </c>
      <c r="L4355" s="84">
        <v>78511</v>
      </c>
      <c r="M4355" s="84">
        <v>549577</v>
      </c>
    </row>
    <row r="4356" spans="3:13" hidden="1" x14ac:dyDescent="0.25">
      <c r="C4356" t="s">
        <v>65</v>
      </c>
      <c r="D4356" t="s">
        <v>120</v>
      </c>
      <c r="E4356" t="s">
        <v>60</v>
      </c>
      <c r="F4356" t="s">
        <v>124</v>
      </c>
      <c r="G4356">
        <v>6</v>
      </c>
      <c r="H4356" t="s">
        <v>72</v>
      </c>
      <c r="I4356" t="s">
        <v>121</v>
      </c>
      <c r="J4356" t="s">
        <v>122</v>
      </c>
      <c r="K4356">
        <v>0</v>
      </c>
      <c r="L4356" s="84">
        <v>-131205</v>
      </c>
      <c r="M4356" s="84">
        <v>0</v>
      </c>
    </row>
    <row r="4357" spans="3:13" hidden="1" x14ac:dyDescent="0.25">
      <c r="C4357" t="s">
        <v>119</v>
      </c>
      <c r="D4357" t="s">
        <v>120</v>
      </c>
      <c r="E4357" t="s">
        <v>63</v>
      </c>
      <c r="F4357" t="s">
        <v>124</v>
      </c>
      <c r="G4357">
        <v>-1</v>
      </c>
      <c r="H4357" t="s">
        <v>72</v>
      </c>
      <c r="I4357" t="s">
        <v>121</v>
      </c>
      <c r="J4357" t="s">
        <v>122</v>
      </c>
      <c r="K4357">
        <v>0</v>
      </c>
      <c r="L4357" s="84">
        <v>11483822</v>
      </c>
      <c r="M4357" s="84">
        <v>0</v>
      </c>
    </row>
    <row r="4358" spans="3:13" hidden="1" x14ac:dyDescent="0.25">
      <c r="C4358" t="s">
        <v>64</v>
      </c>
      <c r="D4358" t="s">
        <v>120</v>
      </c>
      <c r="E4358" t="s">
        <v>60</v>
      </c>
      <c r="F4358" t="s">
        <v>124</v>
      </c>
      <c r="G4358">
        <v>5</v>
      </c>
      <c r="H4358" t="s">
        <v>12</v>
      </c>
      <c r="I4358" t="s">
        <v>121</v>
      </c>
      <c r="J4358" t="s">
        <v>66</v>
      </c>
      <c r="K4358">
        <v>1</v>
      </c>
      <c r="L4358" s="84">
        <v>-77630</v>
      </c>
      <c r="M4358" s="84">
        <v>0</v>
      </c>
    </row>
    <row r="4359" spans="3:13" hidden="1" x14ac:dyDescent="0.25">
      <c r="C4359" t="s">
        <v>119</v>
      </c>
      <c r="D4359" t="s">
        <v>120</v>
      </c>
      <c r="E4359" t="s">
        <v>63</v>
      </c>
      <c r="F4359" t="s">
        <v>24</v>
      </c>
      <c r="G4359">
        <v>1</v>
      </c>
      <c r="H4359" t="s">
        <v>72</v>
      </c>
      <c r="I4359" t="s">
        <v>121</v>
      </c>
      <c r="J4359" t="s">
        <v>122</v>
      </c>
      <c r="K4359">
        <v>0</v>
      </c>
      <c r="L4359" s="84">
        <v>141267</v>
      </c>
      <c r="M4359" s="84">
        <v>141267</v>
      </c>
    </row>
    <row r="4360" spans="3:13" hidden="1" x14ac:dyDescent="0.25">
      <c r="C4360" t="s">
        <v>64</v>
      </c>
      <c r="D4360" t="s">
        <v>120</v>
      </c>
      <c r="E4360" t="s">
        <v>63</v>
      </c>
      <c r="F4360" t="s">
        <v>124</v>
      </c>
      <c r="G4360">
        <v>-4</v>
      </c>
      <c r="H4360" t="s">
        <v>68</v>
      </c>
      <c r="I4360" t="s">
        <v>121</v>
      </c>
      <c r="J4360" t="s">
        <v>122</v>
      </c>
      <c r="K4360">
        <v>0</v>
      </c>
      <c r="L4360" s="84">
        <v>117785</v>
      </c>
      <c r="M4360" s="84">
        <v>0</v>
      </c>
    </row>
    <row r="4361" spans="3:13" hidden="1" x14ac:dyDescent="0.25">
      <c r="C4361" t="s">
        <v>64</v>
      </c>
      <c r="D4361" t="s">
        <v>120</v>
      </c>
      <c r="E4361" t="s">
        <v>60</v>
      </c>
      <c r="F4361" t="s">
        <v>123</v>
      </c>
      <c r="G4361">
        <v>-4</v>
      </c>
      <c r="H4361" t="s">
        <v>12</v>
      </c>
      <c r="I4361" t="s">
        <v>121</v>
      </c>
      <c r="J4361" t="s">
        <v>122</v>
      </c>
      <c r="K4361">
        <v>0</v>
      </c>
      <c r="L4361" s="84">
        <v>-12</v>
      </c>
      <c r="M4361" s="84">
        <v>0</v>
      </c>
    </row>
    <row r="4362" spans="3:13" hidden="1" x14ac:dyDescent="0.25">
      <c r="C4362" t="s">
        <v>64</v>
      </c>
      <c r="D4362" t="s">
        <v>120</v>
      </c>
      <c r="E4362" t="s">
        <v>63</v>
      </c>
      <c r="F4362" t="s">
        <v>24</v>
      </c>
      <c r="G4362">
        <v>10</v>
      </c>
      <c r="H4362" t="s">
        <v>72</v>
      </c>
      <c r="I4362" t="s">
        <v>121</v>
      </c>
      <c r="J4362" t="s">
        <v>122</v>
      </c>
      <c r="K4362">
        <v>0</v>
      </c>
      <c r="L4362" s="84">
        <v>363517</v>
      </c>
      <c r="M4362" s="84">
        <v>3635170</v>
      </c>
    </row>
    <row r="4363" spans="3:13" hidden="1" x14ac:dyDescent="0.25">
      <c r="C4363" t="s">
        <v>119</v>
      </c>
      <c r="D4363" t="s">
        <v>120</v>
      </c>
      <c r="E4363" t="s">
        <v>63</v>
      </c>
      <c r="F4363" t="s">
        <v>124</v>
      </c>
      <c r="G4363">
        <v>10</v>
      </c>
      <c r="H4363" t="s">
        <v>17</v>
      </c>
      <c r="I4363" t="s">
        <v>121</v>
      </c>
      <c r="J4363" t="s">
        <v>122</v>
      </c>
      <c r="K4363">
        <v>0</v>
      </c>
      <c r="L4363" s="84">
        <v>31135613</v>
      </c>
      <c r="M4363" s="84">
        <v>311356130</v>
      </c>
    </row>
    <row r="4364" spans="3:13" hidden="1" x14ac:dyDescent="0.25">
      <c r="C4364" t="s">
        <v>119</v>
      </c>
      <c r="D4364" t="s">
        <v>120</v>
      </c>
      <c r="E4364" t="s">
        <v>60</v>
      </c>
      <c r="F4364" t="s">
        <v>24</v>
      </c>
      <c r="G4364">
        <v>17</v>
      </c>
      <c r="H4364" t="s">
        <v>12</v>
      </c>
      <c r="I4364" t="s">
        <v>121</v>
      </c>
      <c r="J4364" t="s">
        <v>122</v>
      </c>
      <c r="K4364">
        <v>0</v>
      </c>
      <c r="L4364" s="84">
        <v>-625</v>
      </c>
      <c r="M4364" s="84">
        <v>0</v>
      </c>
    </row>
    <row r="4365" spans="3:13" hidden="1" x14ac:dyDescent="0.25">
      <c r="C4365" t="s">
        <v>64</v>
      </c>
      <c r="D4365" t="s">
        <v>120</v>
      </c>
      <c r="E4365" t="s">
        <v>63</v>
      </c>
      <c r="F4365" t="s">
        <v>24</v>
      </c>
      <c r="G4365">
        <v>2</v>
      </c>
      <c r="H4365" t="s">
        <v>17</v>
      </c>
      <c r="I4365" t="s">
        <v>121</v>
      </c>
      <c r="J4365" t="s">
        <v>122</v>
      </c>
      <c r="K4365">
        <v>0</v>
      </c>
      <c r="L4365" s="84">
        <v>242392</v>
      </c>
      <c r="M4365" s="84">
        <v>484784</v>
      </c>
    </row>
    <row r="4366" spans="3:13" hidden="1" x14ac:dyDescent="0.25">
      <c r="C4366" t="s">
        <v>64</v>
      </c>
      <c r="D4366" t="s">
        <v>120</v>
      </c>
      <c r="E4366" t="s">
        <v>63</v>
      </c>
      <c r="F4366" t="s">
        <v>24</v>
      </c>
      <c r="G4366">
        <v>1</v>
      </c>
      <c r="H4366" t="s">
        <v>69</v>
      </c>
      <c r="I4366" t="s">
        <v>121</v>
      </c>
      <c r="J4366" t="s">
        <v>122</v>
      </c>
      <c r="K4366">
        <v>0</v>
      </c>
      <c r="L4366" s="84">
        <v>148987</v>
      </c>
      <c r="M4366" s="84">
        <v>148987</v>
      </c>
    </row>
    <row r="4367" spans="3:13" hidden="1" x14ac:dyDescent="0.25">
      <c r="C4367" t="s">
        <v>119</v>
      </c>
      <c r="D4367" t="s">
        <v>120</v>
      </c>
      <c r="E4367" t="s">
        <v>63</v>
      </c>
      <c r="F4367" t="s">
        <v>123</v>
      </c>
      <c r="G4367">
        <v>6</v>
      </c>
      <c r="H4367" t="s">
        <v>73</v>
      </c>
      <c r="I4367" t="s">
        <v>121</v>
      </c>
      <c r="J4367" t="s">
        <v>122</v>
      </c>
      <c r="K4367">
        <v>0</v>
      </c>
      <c r="L4367" s="84">
        <v>139781</v>
      </c>
      <c r="M4367" s="84">
        <v>838686</v>
      </c>
    </row>
    <row r="4368" spans="3:13" hidden="1" x14ac:dyDescent="0.25">
      <c r="C4368" t="s">
        <v>65</v>
      </c>
      <c r="D4368" t="s">
        <v>120</v>
      </c>
      <c r="E4368" t="s">
        <v>60</v>
      </c>
      <c r="F4368" t="s">
        <v>123</v>
      </c>
      <c r="G4368">
        <v>-4</v>
      </c>
      <c r="H4368" t="s">
        <v>12</v>
      </c>
      <c r="I4368" t="s">
        <v>121</v>
      </c>
      <c r="J4368" t="s">
        <v>66</v>
      </c>
      <c r="K4368">
        <v>1</v>
      </c>
      <c r="L4368" s="84">
        <v>-29151</v>
      </c>
      <c r="M4368" s="84">
        <v>0</v>
      </c>
    </row>
    <row r="4369" spans="3:13" hidden="1" x14ac:dyDescent="0.25">
      <c r="C4369" t="s">
        <v>64</v>
      </c>
      <c r="D4369" t="s">
        <v>120</v>
      </c>
      <c r="E4369" t="s">
        <v>60</v>
      </c>
      <c r="F4369" t="s">
        <v>25</v>
      </c>
      <c r="G4369">
        <v>12</v>
      </c>
      <c r="H4369" t="s">
        <v>71</v>
      </c>
      <c r="I4369" t="s">
        <v>121</v>
      </c>
      <c r="J4369" t="s">
        <v>122</v>
      </c>
      <c r="K4369">
        <v>0</v>
      </c>
      <c r="L4369" s="84">
        <v>-5021</v>
      </c>
      <c r="M4369" s="84">
        <v>0</v>
      </c>
    </row>
    <row r="4370" spans="3:13" hidden="1" x14ac:dyDescent="0.25">
      <c r="C4370" t="s">
        <v>119</v>
      </c>
      <c r="D4370" t="s">
        <v>120</v>
      </c>
      <c r="E4370" t="s">
        <v>63</v>
      </c>
      <c r="F4370" t="s">
        <v>24</v>
      </c>
      <c r="G4370">
        <v>10</v>
      </c>
      <c r="H4370" t="s">
        <v>69</v>
      </c>
      <c r="I4370" t="s">
        <v>121</v>
      </c>
      <c r="J4370" t="s">
        <v>122</v>
      </c>
      <c r="K4370">
        <v>0</v>
      </c>
      <c r="L4370" s="84">
        <v>6534186</v>
      </c>
      <c r="M4370" s="84">
        <v>65341860</v>
      </c>
    </row>
    <row r="4371" spans="3:13" hidden="1" x14ac:dyDescent="0.25">
      <c r="C4371" t="s">
        <v>64</v>
      </c>
      <c r="D4371" t="s">
        <v>120</v>
      </c>
      <c r="E4371" t="s">
        <v>60</v>
      </c>
      <c r="F4371" t="s">
        <v>123</v>
      </c>
      <c r="G4371">
        <v>1</v>
      </c>
      <c r="H4371" t="s">
        <v>14</v>
      </c>
      <c r="I4371" t="s">
        <v>121</v>
      </c>
      <c r="J4371" t="s">
        <v>66</v>
      </c>
      <c r="K4371">
        <v>1</v>
      </c>
      <c r="L4371" s="84">
        <v>-8251</v>
      </c>
      <c r="M4371" s="84">
        <v>0</v>
      </c>
    </row>
    <row r="4372" spans="3:13" hidden="1" x14ac:dyDescent="0.25">
      <c r="C4372" t="s">
        <v>65</v>
      </c>
      <c r="D4372" t="s">
        <v>120</v>
      </c>
      <c r="E4372" t="s">
        <v>63</v>
      </c>
      <c r="F4372" t="s">
        <v>25</v>
      </c>
      <c r="G4372">
        <v>7</v>
      </c>
      <c r="H4372" t="s">
        <v>68</v>
      </c>
      <c r="I4372" t="s">
        <v>121</v>
      </c>
      <c r="J4372" t="s">
        <v>122</v>
      </c>
      <c r="K4372">
        <v>0</v>
      </c>
      <c r="L4372" s="84">
        <v>3157844</v>
      </c>
      <c r="M4372" s="84">
        <v>22104908</v>
      </c>
    </row>
    <row r="4373" spans="3:13" hidden="1" x14ac:dyDescent="0.25">
      <c r="C4373" t="s">
        <v>64</v>
      </c>
      <c r="D4373" t="s">
        <v>120</v>
      </c>
      <c r="E4373" t="s">
        <v>60</v>
      </c>
      <c r="F4373" t="s">
        <v>123</v>
      </c>
      <c r="G4373">
        <v>6</v>
      </c>
      <c r="H4373" t="s">
        <v>72</v>
      </c>
      <c r="I4373" t="s">
        <v>121</v>
      </c>
      <c r="J4373" t="s">
        <v>122</v>
      </c>
      <c r="K4373">
        <v>0</v>
      </c>
      <c r="L4373" s="84">
        <v>-15138</v>
      </c>
      <c r="M4373" s="84">
        <v>0</v>
      </c>
    </row>
    <row r="4374" spans="3:13" hidden="1" x14ac:dyDescent="0.25">
      <c r="C4374" t="s">
        <v>64</v>
      </c>
      <c r="D4374" t="s">
        <v>120</v>
      </c>
      <c r="E4374" t="s">
        <v>63</v>
      </c>
      <c r="F4374" t="s">
        <v>25</v>
      </c>
      <c r="G4374">
        <v>12</v>
      </c>
      <c r="H4374" t="s">
        <v>71</v>
      </c>
      <c r="I4374" t="s">
        <v>121</v>
      </c>
      <c r="J4374" t="s">
        <v>122</v>
      </c>
      <c r="K4374">
        <v>0</v>
      </c>
      <c r="L4374" s="84">
        <v>141838</v>
      </c>
      <c r="M4374" s="84">
        <v>1702056</v>
      </c>
    </row>
    <row r="4375" spans="3:13" hidden="1" x14ac:dyDescent="0.25">
      <c r="C4375" t="s">
        <v>119</v>
      </c>
      <c r="D4375" t="s">
        <v>125</v>
      </c>
      <c r="E4375" t="s">
        <v>60</v>
      </c>
      <c r="F4375" t="s">
        <v>25</v>
      </c>
      <c r="G4375">
        <v>26</v>
      </c>
      <c r="I4375" t="s">
        <v>121</v>
      </c>
      <c r="J4375" t="s">
        <v>122</v>
      </c>
      <c r="K4375">
        <v>0</v>
      </c>
      <c r="L4375" s="84">
        <v>-614</v>
      </c>
      <c r="M4375" s="84">
        <v>0</v>
      </c>
    </row>
    <row r="4376" spans="3:13" hidden="1" x14ac:dyDescent="0.25">
      <c r="C4376" t="s">
        <v>119</v>
      </c>
      <c r="D4376" t="s">
        <v>120</v>
      </c>
      <c r="E4376" t="s">
        <v>60</v>
      </c>
      <c r="F4376" t="s">
        <v>25</v>
      </c>
      <c r="G4376">
        <v>11</v>
      </c>
      <c r="H4376" t="s">
        <v>61</v>
      </c>
      <c r="I4376" t="s">
        <v>121</v>
      </c>
      <c r="J4376" t="s">
        <v>122</v>
      </c>
      <c r="K4376">
        <v>0</v>
      </c>
      <c r="L4376" s="84">
        <v>-271</v>
      </c>
      <c r="M4376" s="84">
        <v>0</v>
      </c>
    </row>
    <row r="4377" spans="3:13" hidden="1" x14ac:dyDescent="0.25">
      <c r="C4377" t="s">
        <v>64</v>
      </c>
      <c r="D4377" t="s">
        <v>120</v>
      </c>
      <c r="E4377" t="s">
        <v>60</v>
      </c>
      <c r="F4377" t="s">
        <v>123</v>
      </c>
      <c r="G4377">
        <v>4</v>
      </c>
      <c r="H4377" t="s">
        <v>69</v>
      </c>
      <c r="I4377" t="s">
        <v>121</v>
      </c>
      <c r="J4377" t="s">
        <v>122</v>
      </c>
      <c r="K4377">
        <v>0</v>
      </c>
      <c r="L4377" s="84">
        <v>-52988</v>
      </c>
      <c r="M4377" s="84">
        <v>0</v>
      </c>
    </row>
    <row r="4378" spans="3:13" hidden="1" x14ac:dyDescent="0.25">
      <c r="C4378" t="s">
        <v>65</v>
      </c>
      <c r="D4378" t="s">
        <v>120</v>
      </c>
      <c r="E4378" t="s">
        <v>60</v>
      </c>
      <c r="F4378" t="s">
        <v>123</v>
      </c>
      <c r="G4378">
        <v>-4</v>
      </c>
      <c r="H4378" t="s">
        <v>17</v>
      </c>
      <c r="I4378" t="s">
        <v>62</v>
      </c>
      <c r="J4378" t="s">
        <v>122</v>
      </c>
      <c r="K4378">
        <v>1</v>
      </c>
      <c r="L4378" s="84">
        <v>-316</v>
      </c>
      <c r="M4378" s="84">
        <v>0</v>
      </c>
    </row>
    <row r="4379" spans="3:13" hidden="1" x14ac:dyDescent="0.25">
      <c r="C4379" t="s">
        <v>64</v>
      </c>
      <c r="D4379" t="s">
        <v>120</v>
      </c>
      <c r="E4379" t="s">
        <v>60</v>
      </c>
      <c r="F4379" t="s">
        <v>123</v>
      </c>
      <c r="G4379">
        <v>0</v>
      </c>
      <c r="H4379" t="s">
        <v>16</v>
      </c>
      <c r="I4379" t="s">
        <v>121</v>
      </c>
      <c r="J4379" t="s">
        <v>122</v>
      </c>
      <c r="K4379">
        <v>0</v>
      </c>
      <c r="L4379" s="84">
        <v>-16</v>
      </c>
      <c r="M4379" s="84">
        <v>0</v>
      </c>
    </row>
    <row r="4380" spans="3:13" hidden="1" x14ac:dyDescent="0.25">
      <c r="C4380" t="s">
        <v>119</v>
      </c>
      <c r="D4380" t="s">
        <v>126</v>
      </c>
      <c r="E4380" t="s">
        <v>60</v>
      </c>
      <c r="F4380" t="s">
        <v>25</v>
      </c>
      <c r="G4380">
        <v>14</v>
      </c>
      <c r="H4380" t="s">
        <v>69</v>
      </c>
      <c r="I4380" t="s">
        <v>121</v>
      </c>
      <c r="J4380" t="s">
        <v>122</v>
      </c>
      <c r="K4380">
        <v>0</v>
      </c>
      <c r="L4380" s="84">
        <v>-88627</v>
      </c>
      <c r="M4380" s="84">
        <v>0</v>
      </c>
    </row>
    <row r="4381" spans="3:13" hidden="1" x14ac:dyDescent="0.25">
      <c r="C4381" t="s">
        <v>64</v>
      </c>
      <c r="D4381" t="s">
        <v>120</v>
      </c>
      <c r="E4381" t="s">
        <v>63</v>
      </c>
      <c r="F4381" t="s">
        <v>123</v>
      </c>
      <c r="G4381">
        <v>-1</v>
      </c>
      <c r="H4381" t="s">
        <v>17</v>
      </c>
      <c r="I4381" t="s">
        <v>121</v>
      </c>
      <c r="J4381" t="s">
        <v>122</v>
      </c>
      <c r="K4381">
        <v>0</v>
      </c>
      <c r="L4381" s="84">
        <v>326947</v>
      </c>
      <c r="M4381" s="84">
        <v>0</v>
      </c>
    </row>
    <row r="4382" spans="3:13" hidden="1" x14ac:dyDescent="0.25">
      <c r="C4382" t="s">
        <v>64</v>
      </c>
      <c r="D4382" t="s">
        <v>120</v>
      </c>
      <c r="E4382" t="s">
        <v>63</v>
      </c>
      <c r="F4382" t="s">
        <v>25</v>
      </c>
      <c r="G4382">
        <v>2</v>
      </c>
      <c r="H4382" t="s">
        <v>69</v>
      </c>
      <c r="I4382" t="s">
        <v>121</v>
      </c>
      <c r="J4382" t="s">
        <v>122</v>
      </c>
      <c r="K4382">
        <v>0</v>
      </c>
      <c r="L4382" s="84">
        <v>124225</v>
      </c>
      <c r="M4382" s="84">
        <v>248450</v>
      </c>
    </row>
    <row r="4383" spans="3:13" hidden="1" x14ac:dyDescent="0.25">
      <c r="C4383" t="s">
        <v>119</v>
      </c>
      <c r="D4383" t="s">
        <v>120</v>
      </c>
      <c r="E4383" t="s">
        <v>63</v>
      </c>
      <c r="F4383" t="s">
        <v>24</v>
      </c>
      <c r="G4383">
        <v>9</v>
      </c>
      <c r="H4383" t="s">
        <v>72</v>
      </c>
      <c r="I4383" t="s">
        <v>121</v>
      </c>
      <c r="J4383" t="s">
        <v>122</v>
      </c>
      <c r="K4383">
        <v>0</v>
      </c>
      <c r="L4383" s="84">
        <v>3022273</v>
      </c>
      <c r="M4383" s="84">
        <v>27200457</v>
      </c>
    </row>
    <row r="4384" spans="3:13" hidden="1" x14ac:dyDescent="0.25">
      <c r="C4384" t="s">
        <v>64</v>
      </c>
      <c r="D4384" t="s">
        <v>120</v>
      </c>
      <c r="E4384" t="s">
        <v>60</v>
      </c>
      <c r="F4384" t="s">
        <v>25</v>
      </c>
      <c r="G4384">
        <v>12</v>
      </c>
      <c r="H4384" t="s">
        <v>14</v>
      </c>
      <c r="I4384" t="s">
        <v>121</v>
      </c>
      <c r="J4384" t="s">
        <v>66</v>
      </c>
      <c r="K4384">
        <v>1</v>
      </c>
      <c r="L4384" s="84">
        <v>-7095</v>
      </c>
      <c r="M4384" s="84">
        <v>0</v>
      </c>
    </row>
    <row r="4385" spans="3:13" hidden="1" x14ac:dyDescent="0.25">
      <c r="C4385" t="s">
        <v>119</v>
      </c>
      <c r="D4385" t="s">
        <v>120</v>
      </c>
      <c r="E4385" t="s">
        <v>63</v>
      </c>
      <c r="F4385" t="s">
        <v>123</v>
      </c>
      <c r="G4385">
        <v>0</v>
      </c>
      <c r="H4385" t="s">
        <v>12</v>
      </c>
      <c r="I4385" t="s">
        <v>121</v>
      </c>
      <c r="J4385" t="s">
        <v>122</v>
      </c>
      <c r="K4385">
        <v>0</v>
      </c>
      <c r="L4385" s="84">
        <v>140722</v>
      </c>
      <c r="M4385" s="84">
        <v>0</v>
      </c>
    </row>
    <row r="4386" spans="3:13" hidden="1" x14ac:dyDescent="0.25">
      <c r="C4386" t="s">
        <v>119</v>
      </c>
      <c r="D4386" t="s">
        <v>120</v>
      </c>
      <c r="E4386" t="s">
        <v>63</v>
      </c>
      <c r="F4386" t="s">
        <v>24</v>
      </c>
      <c r="G4386">
        <v>0</v>
      </c>
      <c r="H4386" t="s">
        <v>73</v>
      </c>
      <c r="I4386" t="s">
        <v>121</v>
      </c>
      <c r="J4386" t="s">
        <v>122</v>
      </c>
      <c r="K4386">
        <v>0</v>
      </c>
      <c r="L4386" s="84">
        <v>1279</v>
      </c>
      <c r="M4386" s="84">
        <v>0</v>
      </c>
    </row>
    <row r="4387" spans="3:13" hidden="1" x14ac:dyDescent="0.25">
      <c r="C4387" t="s">
        <v>64</v>
      </c>
      <c r="D4387" t="s">
        <v>120</v>
      </c>
      <c r="E4387" t="s">
        <v>63</v>
      </c>
      <c r="F4387" t="s">
        <v>25</v>
      </c>
      <c r="G4387">
        <v>5</v>
      </c>
      <c r="H4387" t="s">
        <v>67</v>
      </c>
      <c r="I4387" t="s">
        <v>121</v>
      </c>
      <c r="J4387" t="s">
        <v>122</v>
      </c>
      <c r="K4387">
        <v>0</v>
      </c>
      <c r="L4387" s="84">
        <v>403737</v>
      </c>
      <c r="M4387" s="84">
        <v>2018685</v>
      </c>
    </row>
    <row r="4388" spans="3:13" hidden="1" x14ac:dyDescent="0.25">
      <c r="C4388" t="s">
        <v>119</v>
      </c>
      <c r="D4388" t="s">
        <v>120</v>
      </c>
      <c r="E4388" t="s">
        <v>63</v>
      </c>
      <c r="F4388" t="s">
        <v>124</v>
      </c>
      <c r="G4388">
        <v>-1</v>
      </c>
      <c r="H4388" t="s">
        <v>17</v>
      </c>
      <c r="I4388" t="s">
        <v>62</v>
      </c>
      <c r="J4388" t="s">
        <v>66</v>
      </c>
      <c r="K4388">
        <v>1</v>
      </c>
      <c r="L4388" s="84">
        <v>1902239</v>
      </c>
      <c r="M4388" s="84">
        <v>0</v>
      </c>
    </row>
    <row r="4389" spans="3:13" hidden="1" x14ac:dyDescent="0.25">
      <c r="C4389" t="s">
        <v>119</v>
      </c>
      <c r="D4389" t="s">
        <v>120</v>
      </c>
      <c r="E4389" t="s">
        <v>60</v>
      </c>
      <c r="F4389" t="s">
        <v>123</v>
      </c>
      <c r="G4389">
        <v>-4</v>
      </c>
      <c r="H4389" t="s">
        <v>12</v>
      </c>
      <c r="I4389" t="s">
        <v>121</v>
      </c>
      <c r="J4389" t="s">
        <v>122</v>
      </c>
      <c r="K4389">
        <v>0</v>
      </c>
      <c r="L4389" s="84">
        <v>-1</v>
      </c>
      <c r="M4389" s="84">
        <v>0</v>
      </c>
    </row>
    <row r="4390" spans="3:13" hidden="1" x14ac:dyDescent="0.25">
      <c r="C4390" t="s">
        <v>119</v>
      </c>
      <c r="D4390" t="s">
        <v>120</v>
      </c>
      <c r="E4390" t="s">
        <v>63</v>
      </c>
      <c r="F4390" t="s">
        <v>124</v>
      </c>
      <c r="G4390">
        <v>3</v>
      </c>
      <c r="H4390" t="s">
        <v>73</v>
      </c>
      <c r="I4390" t="s">
        <v>121</v>
      </c>
      <c r="J4390" t="s">
        <v>122</v>
      </c>
      <c r="K4390">
        <v>0</v>
      </c>
      <c r="L4390" s="84">
        <v>2436196</v>
      </c>
      <c r="M4390" s="84">
        <v>7308588</v>
      </c>
    </row>
    <row r="4391" spans="3:13" hidden="1" x14ac:dyDescent="0.25">
      <c r="C4391" t="s">
        <v>119</v>
      </c>
      <c r="D4391" t="s">
        <v>120</v>
      </c>
      <c r="E4391" t="s">
        <v>60</v>
      </c>
      <c r="F4391" t="s">
        <v>124</v>
      </c>
      <c r="G4391">
        <v>12</v>
      </c>
      <c r="H4391" t="s">
        <v>75</v>
      </c>
      <c r="I4391" t="s">
        <v>121</v>
      </c>
      <c r="J4391" t="s">
        <v>122</v>
      </c>
      <c r="K4391">
        <v>0</v>
      </c>
      <c r="L4391" s="84">
        <v>-15494</v>
      </c>
      <c r="M4391" s="84">
        <v>0</v>
      </c>
    </row>
    <row r="4392" spans="3:13" hidden="1" x14ac:dyDescent="0.25">
      <c r="C4392" t="s">
        <v>119</v>
      </c>
      <c r="D4392" t="s">
        <v>120</v>
      </c>
      <c r="E4392" t="s">
        <v>60</v>
      </c>
      <c r="F4392" t="s">
        <v>25</v>
      </c>
      <c r="G4392">
        <v>5</v>
      </c>
      <c r="H4392" t="s">
        <v>17</v>
      </c>
      <c r="I4392" t="s">
        <v>62</v>
      </c>
      <c r="J4392" t="s">
        <v>66</v>
      </c>
      <c r="K4392">
        <v>1</v>
      </c>
      <c r="L4392" s="84">
        <v>-38</v>
      </c>
      <c r="M4392" s="84">
        <v>0</v>
      </c>
    </row>
    <row r="4393" spans="3:13" hidden="1" x14ac:dyDescent="0.25">
      <c r="C4393" t="s">
        <v>65</v>
      </c>
      <c r="D4393" t="s">
        <v>120</v>
      </c>
      <c r="E4393" t="s">
        <v>63</v>
      </c>
      <c r="F4393" t="s">
        <v>124</v>
      </c>
      <c r="G4393">
        <v>0</v>
      </c>
      <c r="H4393" t="s">
        <v>76</v>
      </c>
      <c r="I4393" t="s">
        <v>121</v>
      </c>
      <c r="J4393" t="s">
        <v>122</v>
      </c>
      <c r="K4393">
        <v>0</v>
      </c>
      <c r="L4393" s="84">
        <v>101378</v>
      </c>
      <c r="M4393" s="84">
        <v>0</v>
      </c>
    </row>
    <row r="4394" spans="3:13" hidden="1" x14ac:dyDescent="0.25">
      <c r="C4394" t="s">
        <v>119</v>
      </c>
      <c r="D4394" t="s">
        <v>120</v>
      </c>
      <c r="E4394" t="s">
        <v>60</v>
      </c>
      <c r="F4394" t="s">
        <v>24</v>
      </c>
      <c r="G4394">
        <v>9</v>
      </c>
      <c r="H4394" t="s">
        <v>72</v>
      </c>
      <c r="I4394" t="s">
        <v>121</v>
      </c>
      <c r="J4394" t="s">
        <v>122</v>
      </c>
      <c r="K4394">
        <v>0</v>
      </c>
      <c r="L4394" s="84">
        <v>-11241</v>
      </c>
      <c r="M4394" s="84">
        <v>0</v>
      </c>
    </row>
    <row r="4395" spans="3:13" hidden="1" x14ac:dyDescent="0.25">
      <c r="C4395" t="s">
        <v>119</v>
      </c>
      <c r="D4395" t="s">
        <v>120</v>
      </c>
      <c r="E4395" t="s">
        <v>63</v>
      </c>
      <c r="F4395" t="s">
        <v>124</v>
      </c>
      <c r="G4395">
        <v>4</v>
      </c>
      <c r="H4395" t="s">
        <v>71</v>
      </c>
      <c r="I4395" t="s">
        <v>121</v>
      </c>
      <c r="J4395" t="s">
        <v>122</v>
      </c>
      <c r="K4395">
        <v>0</v>
      </c>
      <c r="L4395" s="84">
        <v>1544659</v>
      </c>
      <c r="M4395" s="84">
        <v>6178636</v>
      </c>
    </row>
    <row r="4396" spans="3:13" x14ac:dyDescent="0.25">
      <c r="C4396" t="s">
        <v>119</v>
      </c>
      <c r="D4396" t="s">
        <v>120</v>
      </c>
      <c r="E4396" t="s">
        <v>63</v>
      </c>
      <c r="F4396" t="s">
        <v>25</v>
      </c>
      <c r="G4396">
        <v>8</v>
      </c>
      <c r="H4396" t="s">
        <v>18</v>
      </c>
      <c r="I4396" t="s">
        <v>121</v>
      </c>
      <c r="J4396" t="s">
        <v>66</v>
      </c>
      <c r="K4396">
        <v>1</v>
      </c>
      <c r="L4396" s="84">
        <v>1104583</v>
      </c>
      <c r="M4396" s="84">
        <v>8836664</v>
      </c>
    </row>
    <row r="4397" spans="3:13" hidden="1" x14ac:dyDescent="0.25">
      <c r="C4397" t="s">
        <v>119</v>
      </c>
      <c r="D4397" t="s">
        <v>126</v>
      </c>
      <c r="E4397" t="s">
        <v>60</v>
      </c>
      <c r="F4397" t="s">
        <v>24</v>
      </c>
      <c r="G4397">
        <v>10</v>
      </c>
      <c r="H4397" t="s">
        <v>74</v>
      </c>
      <c r="I4397" t="s">
        <v>121</v>
      </c>
      <c r="J4397" t="s">
        <v>122</v>
      </c>
      <c r="K4397">
        <v>0</v>
      </c>
      <c r="L4397" s="84">
        <v>-99</v>
      </c>
      <c r="M4397" s="84">
        <v>0</v>
      </c>
    </row>
    <row r="4398" spans="3:13" hidden="1" x14ac:dyDescent="0.25">
      <c r="C4398" t="s">
        <v>65</v>
      </c>
      <c r="D4398" t="s">
        <v>125</v>
      </c>
      <c r="E4398" t="s">
        <v>60</v>
      </c>
      <c r="F4398" t="s">
        <v>24</v>
      </c>
      <c r="G4398">
        <v>42</v>
      </c>
      <c r="I4398" t="s">
        <v>121</v>
      </c>
      <c r="J4398" t="s">
        <v>122</v>
      </c>
      <c r="K4398">
        <v>0</v>
      </c>
      <c r="L4398" s="84">
        <v>-178917</v>
      </c>
      <c r="M4398" s="84">
        <v>0</v>
      </c>
    </row>
    <row r="4399" spans="3:13" hidden="1" x14ac:dyDescent="0.25">
      <c r="C4399" t="s">
        <v>65</v>
      </c>
      <c r="D4399" t="s">
        <v>120</v>
      </c>
      <c r="E4399" t="s">
        <v>60</v>
      </c>
      <c r="F4399" t="s">
        <v>25</v>
      </c>
      <c r="G4399">
        <v>8</v>
      </c>
      <c r="H4399" t="s">
        <v>75</v>
      </c>
      <c r="I4399" t="s">
        <v>121</v>
      </c>
      <c r="J4399" t="s">
        <v>122</v>
      </c>
      <c r="K4399">
        <v>0</v>
      </c>
      <c r="L4399" s="84">
        <v>-163507</v>
      </c>
      <c r="M4399" s="84">
        <v>0</v>
      </c>
    </row>
    <row r="4400" spans="3:13" hidden="1" x14ac:dyDescent="0.25">
      <c r="C4400" t="s">
        <v>119</v>
      </c>
      <c r="D4400" t="s">
        <v>120</v>
      </c>
      <c r="E4400" t="s">
        <v>60</v>
      </c>
      <c r="F4400" t="s">
        <v>25</v>
      </c>
      <c r="G4400">
        <v>6</v>
      </c>
      <c r="H4400" t="s">
        <v>16</v>
      </c>
      <c r="I4400" t="s">
        <v>121</v>
      </c>
      <c r="J4400" t="s">
        <v>122</v>
      </c>
      <c r="K4400">
        <v>0</v>
      </c>
      <c r="L4400" s="84">
        <v>-2567</v>
      </c>
      <c r="M4400" s="84">
        <v>0</v>
      </c>
    </row>
    <row r="4401" spans="3:13" x14ac:dyDescent="0.25">
      <c r="C4401" t="s">
        <v>119</v>
      </c>
      <c r="D4401" t="s">
        <v>120</v>
      </c>
      <c r="E4401" t="s">
        <v>63</v>
      </c>
      <c r="F4401" t="s">
        <v>25</v>
      </c>
      <c r="G4401">
        <v>1</v>
      </c>
      <c r="H4401" t="s">
        <v>14</v>
      </c>
      <c r="I4401" t="s">
        <v>121</v>
      </c>
      <c r="J4401" t="s">
        <v>66</v>
      </c>
      <c r="K4401">
        <v>1</v>
      </c>
      <c r="L4401" s="84">
        <v>1816080</v>
      </c>
      <c r="M4401" s="84">
        <v>1816080</v>
      </c>
    </row>
    <row r="4402" spans="3:13" hidden="1" x14ac:dyDescent="0.25">
      <c r="C4402" t="s">
        <v>64</v>
      </c>
      <c r="D4402" t="s">
        <v>120</v>
      </c>
      <c r="E4402" t="s">
        <v>63</v>
      </c>
      <c r="F4402" t="s">
        <v>124</v>
      </c>
      <c r="G4402">
        <v>11</v>
      </c>
      <c r="H4402" t="s">
        <v>12</v>
      </c>
      <c r="I4402" t="s">
        <v>121</v>
      </c>
      <c r="J4402" t="s">
        <v>66</v>
      </c>
      <c r="K4402">
        <v>1</v>
      </c>
      <c r="L4402" s="84">
        <v>137587</v>
      </c>
      <c r="M4402" s="84">
        <v>1513457</v>
      </c>
    </row>
    <row r="4403" spans="3:13" hidden="1" x14ac:dyDescent="0.25">
      <c r="C4403" t="s">
        <v>119</v>
      </c>
      <c r="D4403" t="s">
        <v>120</v>
      </c>
      <c r="E4403" t="s">
        <v>63</v>
      </c>
      <c r="F4403" t="s">
        <v>124</v>
      </c>
      <c r="G4403">
        <v>7</v>
      </c>
      <c r="H4403" t="s">
        <v>16</v>
      </c>
      <c r="I4403" t="s">
        <v>121</v>
      </c>
      <c r="J4403" t="s">
        <v>122</v>
      </c>
      <c r="K4403">
        <v>0</v>
      </c>
      <c r="L4403" s="84">
        <v>346314</v>
      </c>
      <c r="M4403" s="84">
        <v>2424198</v>
      </c>
    </row>
    <row r="4404" spans="3:13" hidden="1" x14ac:dyDescent="0.25">
      <c r="C4404" t="s">
        <v>64</v>
      </c>
      <c r="D4404" t="s">
        <v>120</v>
      </c>
      <c r="E4404" t="s">
        <v>60</v>
      </c>
      <c r="F4404" t="s">
        <v>124</v>
      </c>
      <c r="G4404">
        <v>1</v>
      </c>
      <c r="H4404" t="s">
        <v>16</v>
      </c>
      <c r="I4404" t="s">
        <v>121</v>
      </c>
      <c r="J4404" t="s">
        <v>122</v>
      </c>
      <c r="K4404">
        <v>0</v>
      </c>
      <c r="L4404" s="84">
        <v>-8798</v>
      </c>
      <c r="M4404" s="84">
        <v>0</v>
      </c>
    </row>
    <row r="4405" spans="3:13" hidden="1" x14ac:dyDescent="0.25">
      <c r="C4405" t="s">
        <v>65</v>
      </c>
      <c r="D4405" t="s">
        <v>120</v>
      </c>
      <c r="E4405" t="s">
        <v>60</v>
      </c>
      <c r="F4405" t="s">
        <v>123</v>
      </c>
      <c r="G4405">
        <v>1</v>
      </c>
      <c r="H4405" t="s">
        <v>17</v>
      </c>
      <c r="I4405" t="s">
        <v>62</v>
      </c>
      <c r="J4405" t="s">
        <v>66</v>
      </c>
      <c r="K4405">
        <v>1</v>
      </c>
      <c r="L4405" s="84">
        <v>-44567</v>
      </c>
      <c r="M4405" s="84">
        <v>0</v>
      </c>
    </row>
    <row r="4406" spans="3:13" hidden="1" x14ac:dyDescent="0.25">
      <c r="C4406" t="s">
        <v>119</v>
      </c>
      <c r="D4406" t="s">
        <v>120</v>
      </c>
      <c r="E4406" t="s">
        <v>63</v>
      </c>
      <c r="F4406" t="s">
        <v>123</v>
      </c>
      <c r="G4406">
        <v>1</v>
      </c>
      <c r="H4406" t="s">
        <v>16</v>
      </c>
      <c r="I4406" t="s">
        <v>121</v>
      </c>
      <c r="J4406" t="s">
        <v>122</v>
      </c>
      <c r="K4406">
        <v>0</v>
      </c>
      <c r="L4406" s="84">
        <v>193575</v>
      </c>
      <c r="M4406" s="84">
        <v>193575</v>
      </c>
    </row>
    <row r="4407" spans="3:13" hidden="1" x14ac:dyDescent="0.25">
      <c r="C4407" t="s">
        <v>119</v>
      </c>
      <c r="D4407" t="s">
        <v>120</v>
      </c>
      <c r="E4407" t="s">
        <v>63</v>
      </c>
      <c r="F4407" t="s">
        <v>24</v>
      </c>
      <c r="G4407">
        <v>7</v>
      </c>
      <c r="H4407" t="s">
        <v>17</v>
      </c>
      <c r="I4407" t="s">
        <v>121</v>
      </c>
      <c r="J4407" t="s">
        <v>122</v>
      </c>
      <c r="K4407">
        <v>0</v>
      </c>
      <c r="L4407" s="84">
        <v>782734</v>
      </c>
      <c r="M4407" s="84">
        <v>5479138</v>
      </c>
    </row>
    <row r="4408" spans="3:13" hidden="1" x14ac:dyDescent="0.25">
      <c r="C4408" t="s">
        <v>119</v>
      </c>
      <c r="D4408" t="s">
        <v>126</v>
      </c>
      <c r="E4408" t="s">
        <v>60</v>
      </c>
      <c r="F4408" t="s">
        <v>25</v>
      </c>
      <c r="G4408">
        <v>2</v>
      </c>
      <c r="H4408" t="s">
        <v>17</v>
      </c>
      <c r="I4408" t="s">
        <v>121</v>
      </c>
      <c r="J4408" t="s">
        <v>122</v>
      </c>
      <c r="K4408">
        <v>0</v>
      </c>
      <c r="L4408" s="84">
        <v>-36441</v>
      </c>
      <c r="M4408" s="84">
        <v>0</v>
      </c>
    </row>
    <row r="4409" spans="3:13" hidden="1" x14ac:dyDescent="0.25">
      <c r="C4409" t="s">
        <v>64</v>
      </c>
      <c r="D4409" t="s">
        <v>120</v>
      </c>
      <c r="E4409" t="s">
        <v>60</v>
      </c>
      <c r="F4409" t="s">
        <v>123</v>
      </c>
      <c r="G4409">
        <v>2</v>
      </c>
      <c r="H4409" t="s">
        <v>12</v>
      </c>
      <c r="I4409" t="s">
        <v>121</v>
      </c>
      <c r="J4409" t="s">
        <v>122</v>
      </c>
      <c r="K4409">
        <v>0</v>
      </c>
      <c r="L4409" s="84">
        <v>-4360</v>
      </c>
      <c r="M4409" s="84">
        <v>0</v>
      </c>
    </row>
    <row r="4410" spans="3:13" hidden="1" x14ac:dyDescent="0.25">
      <c r="C4410" t="s">
        <v>65</v>
      </c>
      <c r="D4410" t="s">
        <v>120</v>
      </c>
      <c r="E4410" t="s">
        <v>60</v>
      </c>
      <c r="F4410" t="s">
        <v>124</v>
      </c>
      <c r="G4410">
        <v>2</v>
      </c>
      <c r="H4410" t="s">
        <v>12</v>
      </c>
      <c r="I4410" t="s">
        <v>121</v>
      </c>
      <c r="J4410" t="s">
        <v>66</v>
      </c>
      <c r="K4410">
        <v>1</v>
      </c>
      <c r="L4410" s="84">
        <v>-16278</v>
      </c>
      <c r="M4410" s="84">
        <v>0</v>
      </c>
    </row>
    <row r="4411" spans="3:13" hidden="1" x14ac:dyDescent="0.25">
      <c r="C4411" t="s">
        <v>119</v>
      </c>
      <c r="D4411" t="s">
        <v>120</v>
      </c>
      <c r="E4411" t="s">
        <v>63</v>
      </c>
      <c r="F4411" t="s">
        <v>25</v>
      </c>
      <c r="G4411">
        <v>15</v>
      </c>
      <c r="H4411" t="s">
        <v>67</v>
      </c>
      <c r="I4411" t="s">
        <v>121</v>
      </c>
      <c r="J4411" t="s">
        <v>122</v>
      </c>
      <c r="K4411">
        <v>0</v>
      </c>
      <c r="L4411" s="84">
        <v>154561</v>
      </c>
      <c r="M4411" s="84">
        <v>2318415</v>
      </c>
    </row>
    <row r="4412" spans="3:13" hidden="1" x14ac:dyDescent="0.25">
      <c r="C4412" t="s">
        <v>119</v>
      </c>
      <c r="D4412" t="s">
        <v>120</v>
      </c>
      <c r="E4412" t="s">
        <v>63</v>
      </c>
      <c r="F4412" t="s">
        <v>123</v>
      </c>
      <c r="G4412">
        <v>-4</v>
      </c>
      <c r="H4412" t="s">
        <v>17</v>
      </c>
      <c r="I4412" t="s">
        <v>121</v>
      </c>
      <c r="J4412" t="s">
        <v>122</v>
      </c>
      <c r="K4412">
        <v>0</v>
      </c>
      <c r="L4412" s="84">
        <v>162</v>
      </c>
      <c r="M4412" s="84">
        <v>0</v>
      </c>
    </row>
    <row r="4413" spans="3:13" hidden="1" x14ac:dyDescent="0.25">
      <c r="C4413" t="s">
        <v>119</v>
      </c>
      <c r="D4413" t="s">
        <v>120</v>
      </c>
      <c r="E4413" t="s">
        <v>60</v>
      </c>
      <c r="F4413" t="s">
        <v>124</v>
      </c>
      <c r="G4413">
        <v>3</v>
      </c>
      <c r="H4413" t="s">
        <v>68</v>
      </c>
      <c r="I4413" t="s">
        <v>121</v>
      </c>
      <c r="J4413" t="s">
        <v>122</v>
      </c>
      <c r="K4413">
        <v>0</v>
      </c>
      <c r="L4413" s="84">
        <v>-60344</v>
      </c>
      <c r="M4413" s="84">
        <v>0</v>
      </c>
    </row>
    <row r="4414" spans="3:13" hidden="1" x14ac:dyDescent="0.25">
      <c r="C4414" t="s">
        <v>64</v>
      </c>
      <c r="D4414" t="s">
        <v>120</v>
      </c>
      <c r="E4414" t="s">
        <v>60</v>
      </c>
      <c r="F4414" t="s">
        <v>124</v>
      </c>
      <c r="G4414">
        <v>4</v>
      </c>
      <c r="H4414" t="s">
        <v>17</v>
      </c>
      <c r="I4414" t="s">
        <v>121</v>
      </c>
      <c r="J4414" t="s">
        <v>122</v>
      </c>
      <c r="K4414">
        <v>0</v>
      </c>
      <c r="L4414" s="84">
        <v>-194400</v>
      </c>
      <c r="M4414" s="84">
        <v>0</v>
      </c>
    </row>
    <row r="4415" spans="3:13" hidden="1" x14ac:dyDescent="0.25">
      <c r="C4415" t="s">
        <v>65</v>
      </c>
      <c r="D4415" t="s">
        <v>120</v>
      </c>
      <c r="E4415" t="s">
        <v>63</v>
      </c>
      <c r="F4415" t="s">
        <v>124</v>
      </c>
      <c r="G4415">
        <v>-1</v>
      </c>
      <c r="H4415" t="s">
        <v>78</v>
      </c>
      <c r="I4415" t="s">
        <v>121</v>
      </c>
      <c r="J4415" t="s">
        <v>122</v>
      </c>
      <c r="K4415">
        <v>0</v>
      </c>
      <c r="L4415" s="84">
        <v>0</v>
      </c>
      <c r="M4415" s="84">
        <v>0</v>
      </c>
    </row>
    <row r="4416" spans="3:13" hidden="1" x14ac:dyDescent="0.25">
      <c r="C4416" t="s">
        <v>119</v>
      </c>
      <c r="D4416" t="s">
        <v>120</v>
      </c>
      <c r="E4416" t="s">
        <v>63</v>
      </c>
      <c r="F4416" t="s">
        <v>124</v>
      </c>
      <c r="G4416">
        <v>6</v>
      </c>
      <c r="H4416" t="s">
        <v>17</v>
      </c>
      <c r="I4416" t="s">
        <v>121</v>
      </c>
      <c r="J4416" t="s">
        <v>122</v>
      </c>
      <c r="K4416">
        <v>0</v>
      </c>
      <c r="L4416" s="84">
        <v>514064</v>
      </c>
      <c r="M4416" s="84">
        <v>3084384</v>
      </c>
    </row>
    <row r="4417" spans="3:13" hidden="1" x14ac:dyDescent="0.25">
      <c r="C4417" t="s">
        <v>119</v>
      </c>
      <c r="D4417" t="s">
        <v>120</v>
      </c>
      <c r="E4417" t="s">
        <v>60</v>
      </c>
      <c r="F4417" t="s">
        <v>123</v>
      </c>
      <c r="G4417">
        <v>4</v>
      </c>
      <c r="H4417" t="s">
        <v>18</v>
      </c>
      <c r="I4417" t="s">
        <v>121</v>
      </c>
      <c r="J4417" t="s">
        <v>122</v>
      </c>
      <c r="K4417">
        <v>0</v>
      </c>
      <c r="L4417" s="84">
        <v>-28183</v>
      </c>
      <c r="M4417" s="84">
        <v>0</v>
      </c>
    </row>
    <row r="4418" spans="3:13" x14ac:dyDescent="0.25">
      <c r="C4418" t="s">
        <v>64</v>
      </c>
      <c r="D4418" t="s">
        <v>120</v>
      </c>
      <c r="E4418" t="s">
        <v>63</v>
      </c>
      <c r="F4418" t="s">
        <v>25</v>
      </c>
      <c r="G4418">
        <v>5</v>
      </c>
      <c r="H4418" t="s">
        <v>14</v>
      </c>
      <c r="I4418" t="s">
        <v>121</v>
      </c>
      <c r="J4418" t="s">
        <v>66</v>
      </c>
      <c r="K4418">
        <v>1</v>
      </c>
      <c r="L4418" s="84">
        <v>706586</v>
      </c>
      <c r="M4418" s="84">
        <v>3532930</v>
      </c>
    </row>
    <row r="4419" spans="3:13" hidden="1" x14ac:dyDescent="0.25">
      <c r="C4419" t="s">
        <v>64</v>
      </c>
      <c r="D4419" t="s">
        <v>120</v>
      </c>
      <c r="E4419" t="s">
        <v>60</v>
      </c>
      <c r="F4419" t="s">
        <v>124</v>
      </c>
      <c r="G4419">
        <v>0</v>
      </c>
      <c r="H4419" t="s">
        <v>61</v>
      </c>
      <c r="I4419" t="s">
        <v>121</v>
      </c>
      <c r="J4419" t="s">
        <v>122</v>
      </c>
      <c r="K4419">
        <v>0</v>
      </c>
      <c r="L4419" s="84">
        <v>-9677</v>
      </c>
      <c r="M4419" s="84">
        <v>0</v>
      </c>
    </row>
    <row r="4420" spans="3:13" hidden="1" x14ac:dyDescent="0.25">
      <c r="C4420" t="s">
        <v>65</v>
      </c>
      <c r="D4420" t="s">
        <v>120</v>
      </c>
      <c r="E4420" t="s">
        <v>60</v>
      </c>
      <c r="F4420" t="s">
        <v>124</v>
      </c>
      <c r="G4420">
        <v>3</v>
      </c>
      <c r="H4420" t="s">
        <v>61</v>
      </c>
      <c r="I4420" t="s">
        <v>121</v>
      </c>
      <c r="J4420" t="s">
        <v>122</v>
      </c>
      <c r="K4420">
        <v>0</v>
      </c>
      <c r="L4420" s="84">
        <v>-67441</v>
      </c>
      <c r="M4420" s="84">
        <v>0</v>
      </c>
    </row>
    <row r="4421" spans="3:13" hidden="1" x14ac:dyDescent="0.25">
      <c r="C4421" t="s">
        <v>119</v>
      </c>
      <c r="D4421" t="s">
        <v>120</v>
      </c>
      <c r="E4421" t="s">
        <v>60</v>
      </c>
      <c r="F4421" t="s">
        <v>25</v>
      </c>
      <c r="G4421">
        <v>15</v>
      </c>
      <c r="H4421" t="s">
        <v>73</v>
      </c>
      <c r="I4421" t="s">
        <v>121</v>
      </c>
      <c r="J4421" t="s">
        <v>122</v>
      </c>
      <c r="K4421">
        <v>0</v>
      </c>
      <c r="L4421" s="84">
        <v>-140</v>
      </c>
      <c r="M4421" s="84">
        <v>0</v>
      </c>
    </row>
    <row r="4422" spans="3:13" hidden="1" x14ac:dyDescent="0.25">
      <c r="C4422" t="s">
        <v>64</v>
      </c>
      <c r="D4422" t="s">
        <v>128</v>
      </c>
      <c r="E4422" t="s">
        <v>60</v>
      </c>
      <c r="F4422" t="s">
        <v>25</v>
      </c>
      <c r="G4422">
        <v>12</v>
      </c>
      <c r="H4422" t="s">
        <v>74</v>
      </c>
      <c r="I4422" t="s">
        <v>121</v>
      </c>
      <c r="J4422" t="s">
        <v>122</v>
      </c>
      <c r="K4422">
        <v>0</v>
      </c>
      <c r="L4422" s="84">
        <v>-3567</v>
      </c>
      <c r="M4422" s="84">
        <v>0</v>
      </c>
    </row>
    <row r="4423" spans="3:13" hidden="1" x14ac:dyDescent="0.25">
      <c r="C4423" t="s">
        <v>64</v>
      </c>
      <c r="D4423" t="s">
        <v>125</v>
      </c>
      <c r="E4423" t="s">
        <v>60</v>
      </c>
      <c r="F4423" t="s">
        <v>24</v>
      </c>
      <c r="G4423">
        <v>9</v>
      </c>
      <c r="I4423" t="s">
        <v>121</v>
      </c>
      <c r="J4423" t="s">
        <v>122</v>
      </c>
      <c r="K4423">
        <v>0</v>
      </c>
      <c r="L4423" s="84">
        <v>-288141</v>
      </c>
      <c r="M4423" s="84">
        <v>0</v>
      </c>
    </row>
    <row r="4424" spans="3:13" hidden="1" x14ac:dyDescent="0.25">
      <c r="C4424" t="s">
        <v>119</v>
      </c>
      <c r="D4424" t="s">
        <v>120</v>
      </c>
      <c r="E4424" t="s">
        <v>60</v>
      </c>
      <c r="F4424" t="s">
        <v>124</v>
      </c>
      <c r="G4424">
        <v>2</v>
      </c>
      <c r="H4424" t="s">
        <v>14</v>
      </c>
      <c r="I4424" t="s">
        <v>121</v>
      </c>
      <c r="J4424" t="s">
        <v>66</v>
      </c>
      <c r="K4424">
        <v>1</v>
      </c>
      <c r="L4424" s="84">
        <v>-119151</v>
      </c>
      <c r="M4424" s="84">
        <v>0</v>
      </c>
    </row>
    <row r="4425" spans="3:13" hidden="1" x14ac:dyDescent="0.25">
      <c r="C4425" t="s">
        <v>119</v>
      </c>
      <c r="D4425" t="s">
        <v>120</v>
      </c>
      <c r="E4425" t="s">
        <v>63</v>
      </c>
      <c r="F4425" t="s">
        <v>123</v>
      </c>
      <c r="G4425">
        <v>3</v>
      </c>
      <c r="H4425" t="s">
        <v>61</v>
      </c>
      <c r="I4425" t="s">
        <v>121</v>
      </c>
      <c r="J4425" t="s">
        <v>122</v>
      </c>
      <c r="K4425">
        <v>0</v>
      </c>
      <c r="L4425" s="84">
        <v>24294824</v>
      </c>
      <c r="M4425" s="84">
        <v>72884472</v>
      </c>
    </row>
    <row r="4426" spans="3:13" hidden="1" x14ac:dyDescent="0.25">
      <c r="C4426" t="s">
        <v>65</v>
      </c>
      <c r="D4426" t="s">
        <v>120</v>
      </c>
      <c r="E4426" t="s">
        <v>63</v>
      </c>
      <c r="F4426" t="s">
        <v>124</v>
      </c>
      <c r="G4426">
        <v>2</v>
      </c>
      <c r="H4426" t="s">
        <v>12</v>
      </c>
      <c r="I4426" t="s">
        <v>121</v>
      </c>
      <c r="J4426" t="s">
        <v>122</v>
      </c>
      <c r="K4426">
        <v>0</v>
      </c>
      <c r="L4426" s="84">
        <v>106076</v>
      </c>
      <c r="M4426" s="84">
        <v>212152</v>
      </c>
    </row>
    <row r="4427" spans="3:13" hidden="1" x14ac:dyDescent="0.25">
      <c r="C4427" t="s">
        <v>64</v>
      </c>
      <c r="D4427" t="s">
        <v>125</v>
      </c>
      <c r="E4427" t="s">
        <v>60</v>
      </c>
      <c r="F4427" t="s">
        <v>24</v>
      </c>
      <c r="G4427">
        <v>42</v>
      </c>
      <c r="I4427" t="s">
        <v>121</v>
      </c>
      <c r="J4427" t="s">
        <v>122</v>
      </c>
      <c r="K4427">
        <v>0</v>
      </c>
      <c r="L4427" s="84">
        <v>-91235</v>
      </c>
      <c r="M4427" s="84">
        <v>0</v>
      </c>
    </row>
    <row r="4428" spans="3:13" hidden="1" x14ac:dyDescent="0.25">
      <c r="C4428" t="s">
        <v>119</v>
      </c>
      <c r="D4428" t="s">
        <v>120</v>
      </c>
      <c r="E4428" t="s">
        <v>60</v>
      </c>
      <c r="F4428" t="s">
        <v>25</v>
      </c>
      <c r="G4428">
        <v>8</v>
      </c>
      <c r="H4428" t="s">
        <v>68</v>
      </c>
      <c r="I4428" t="s">
        <v>121</v>
      </c>
      <c r="J4428" t="s">
        <v>122</v>
      </c>
      <c r="K4428">
        <v>0</v>
      </c>
      <c r="L4428" s="84">
        <v>-22964</v>
      </c>
      <c r="M4428" s="84">
        <v>0</v>
      </c>
    </row>
    <row r="4429" spans="3:13" x14ac:dyDescent="0.25">
      <c r="C4429" t="s">
        <v>64</v>
      </c>
      <c r="D4429" t="s">
        <v>120</v>
      </c>
      <c r="E4429" t="s">
        <v>63</v>
      </c>
      <c r="F4429" t="s">
        <v>25</v>
      </c>
      <c r="G4429">
        <v>2</v>
      </c>
      <c r="H4429" t="s">
        <v>18</v>
      </c>
      <c r="I4429" t="s">
        <v>121</v>
      </c>
      <c r="J4429" t="s">
        <v>66</v>
      </c>
      <c r="K4429">
        <v>1</v>
      </c>
      <c r="L4429" s="84">
        <v>6980</v>
      </c>
      <c r="M4429" s="84">
        <v>13960</v>
      </c>
    </row>
    <row r="4430" spans="3:13" hidden="1" x14ac:dyDescent="0.25">
      <c r="C4430" t="s">
        <v>64</v>
      </c>
      <c r="D4430" t="s">
        <v>120</v>
      </c>
      <c r="E4430" t="s">
        <v>63</v>
      </c>
      <c r="F4430" t="s">
        <v>25</v>
      </c>
      <c r="G4430">
        <v>2</v>
      </c>
      <c r="H4430" t="s">
        <v>18</v>
      </c>
      <c r="I4430" t="s">
        <v>121</v>
      </c>
      <c r="J4430" t="s">
        <v>122</v>
      </c>
      <c r="K4430">
        <v>0</v>
      </c>
      <c r="L4430" s="84">
        <v>258487</v>
      </c>
      <c r="M4430" s="84">
        <v>516974</v>
      </c>
    </row>
    <row r="4431" spans="3:13" hidden="1" x14ac:dyDescent="0.25">
      <c r="C4431" t="s">
        <v>119</v>
      </c>
      <c r="D4431" t="s">
        <v>125</v>
      </c>
      <c r="E4431" t="s">
        <v>63</v>
      </c>
      <c r="F4431" t="s">
        <v>25</v>
      </c>
      <c r="G4431">
        <v>1</v>
      </c>
      <c r="I4431" t="s">
        <v>121</v>
      </c>
      <c r="J4431" t="s">
        <v>122</v>
      </c>
      <c r="K4431">
        <v>0</v>
      </c>
      <c r="L4431" s="84">
        <v>2008987</v>
      </c>
      <c r="M4431" s="84">
        <v>2008987</v>
      </c>
    </row>
    <row r="4432" spans="3:13" hidden="1" x14ac:dyDescent="0.25">
      <c r="C4432" t="s">
        <v>64</v>
      </c>
      <c r="D4432" t="s">
        <v>120</v>
      </c>
      <c r="E4432" t="s">
        <v>60</v>
      </c>
      <c r="F4432" t="s">
        <v>123</v>
      </c>
      <c r="G4432">
        <v>4</v>
      </c>
      <c r="H4432" t="s">
        <v>18</v>
      </c>
      <c r="I4432" t="s">
        <v>121</v>
      </c>
      <c r="J4432" t="s">
        <v>122</v>
      </c>
      <c r="K4432">
        <v>0</v>
      </c>
      <c r="L4432" s="84">
        <v>-171812</v>
      </c>
      <c r="M4432" s="84">
        <v>0</v>
      </c>
    </row>
    <row r="4433" spans="3:13" hidden="1" x14ac:dyDescent="0.25">
      <c r="C4433" t="s">
        <v>65</v>
      </c>
      <c r="D4433" t="s">
        <v>125</v>
      </c>
      <c r="E4433" t="s">
        <v>60</v>
      </c>
      <c r="F4433" t="s">
        <v>25</v>
      </c>
      <c r="G4433">
        <v>19</v>
      </c>
      <c r="I4433" t="s">
        <v>121</v>
      </c>
      <c r="J4433" t="s">
        <v>122</v>
      </c>
      <c r="K4433">
        <v>0</v>
      </c>
      <c r="L4433" s="84">
        <v>-216241</v>
      </c>
      <c r="M4433" s="84">
        <v>0</v>
      </c>
    </row>
    <row r="4434" spans="3:13" hidden="1" x14ac:dyDescent="0.25">
      <c r="C4434" t="s">
        <v>119</v>
      </c>
      <c r="D4434" t="s">
        <v>120</v>
      </c>
      <c r="E4434" t="s">
        <v>60</v>
      </c>
      <c r="F4434" t="s">
        <v>24</v>
      </c>
      <c r="G4434">
        <v>2</v>
      </c>
      <c r="H4434" t="s">
        <v>72</v>
      </c>
      <c r="I4434" t="s">
        <v>121</v>
      </c>
      <c r="J4434" t="s">
        <v>122</v>
      </c>
      <c r="K4434">
        <v>0</v>
      </c>
      <c r="L4434" s="84">
        <v>-521</v>
      </c>
      <c r="M4434" s="84">
        <v>0</v>
      </c>
    </row>
    <row r="4435" spans="3:13" hidden="1" x14ac:dyDescent="0.25">
      <c r="C4435" t="s">
        <v>119</v>
      </c>
      <c r="D4435" t="s">
        <v>120</v>
      </c>
      <c r="E4435" t="s">
        <v>63</v>
      </c>
      <c r="F4435" t="s">
        <v>25</v>
      </c>
      <c r="G4435">
        <v>6</v>
      </c>
      <c r="H4435" t="s">
        <v>15</v>
      </c>
      <c r="I4435" t="s">
        <v>121</v>
      </c>
      <c r="J4435" t="s">
        <v>122</v>
      </c>
      <c r="K4435">
        <v>0</v>
      </c>
      <c r="L4435" s="84">
        <v>57990</v>
      </c>
      <c r="M4435" s="84">
        <v>347940</v>
      </c>
    </row>
    <row r="4436" spans="3:13" hidden="1" x14ac:dyDescent="0.25">
      <c r="C4436" t="s">
        <v>119</v>
      </c>
      <c r="D4436" t="s">
        <v>126</v>
      </c>
      <c r="E4436" t="s">
        <v>63</v>
      </c>
      <c r="F4436" t="s">
        <v>24</v>
      </c>
      <c r="G4436">
        <v>1</v>
      </c>
      <c r="H4436" t="s">
        <v>74</v>
      </c>
      <c r="I4436" t="s">
        <v>121</v>
      </c>
      <c r="J4436" t="s">
        <v>122</v>
      </c>
      <c r="K4436">
        <v>0</v>
      </c>
      <c r="L4436" s="84">
        <v>18076488</v>
      </c>
      <c r="M4436" s="84">
        <v>18076488</v>
      </c>
    </row>
    <row r="4437" spans="3:13" hidden="1" x14ac:dyDescent="0.25">
      <c r="C4437" t="s">
        <v>119</v>
      </c>
      <c r="D4437" t="s">
        <v>120</v>
      </c>
      <c r="E4437" t="s">
        <v>60</v>
      </c>
      <c r="F4437" t="s">
        <v>123</v>
      </c>
      <c r="G4437">
        <v>2</v>
      </c>
      <c r="H4437" t="s">
        <v>12</v>
      </c>
      <c r="I4437" t="s">
        <v>121</v>
      </c>
      <c r="J4437" t="s">
        <v>122</v>
      </c>
      <c r="K4437">
        <v>0</v>
      </c>
      <c r="L4437" s="84">
        <v>-570</v>
      </c>
      <c r="M4437" s="84">
        <v>0</v>
      </c>
    </row>
    <row r="4438" spans="3:13" hidden="1" x14ac:dyDescent="0.25">
      <c r="C4438" t="s">
        <v>64</v>
      </c>
      <c r="D4438" t="s">
        <v>120</v>
      </c>
      <c r="E4438" t="s">
        <v>60</v>
      </c>
      <c r="F4438" t="s">
        <v>123</v>
      </c>
      <c r="G4438">
        <v>3</v>
      </c>
      <c r="H4438" t="s">
        <v>18</v>
      </c>
      <c r="I4438" t="s">
        <v>121</v>
      </c>
      <c r="J4438" t="s">
        <v>122</v>
      </c>
      <c r="K4438">
        <v>0</v>
      </c>
      <c r="L4438" s="84">
        <v>-113236</v>
      </c>
      <c r="M4438" s="84">
        <v>0</v>
      </c>
    </row>
    <row r="4439" spans="3:13" hidden="1" x14ac:dyDescent="0.25">
      <c r="C4439" t="s">
        <v>65</v>
      </c>
      <c r="D4439" t="s">
        <v>120</v>
      </c>
      <c r="E4439" t="s">
        <v>60</v>
      </c>
      <c r="F4439" t="s">
        <v>124</v>
      </c>
      <c r="G4439">
        <v>6</v>
      </c>
      <c r="H4439" t="s">
        <v>12</v>
      </c>
      <c r="I4439" t="s">
        <v>121</v>
      </c>
      <c r="J4439" t="s">
        <v>122</v>
      </c>
      <c r="K4439">
        <v>0</v>
      </c>
      <c r="L4439" s="84">
        <v>-27519</v>
      </c>
      <c r="M4439" s="84">
        <v>0</v>
      </c>
    </row>
    <row r="4440" spans="3:13" hidden="1" x14ac:dyDescent="0.25">
      <c r="C4440" t="s">
        <v>64</v>
      </c>
      <c r="D4440" t="s">
        <v>120</v>
      </c>
      <c r="E4440" t="s">
        <v>60</v>
      </c>
      <c r="F4440" t="s">
        <v>124</v>
      </c>
      <c r="G4440">
        <v>3</v>
      </c>
      <c r="H4440" t="s">
        <v>17</v>
      </c>
      <c r="I4440" t="s">
        <v>121</v>
      </c>
      <c r="J4440" t="s">
        <v>66</v>
      </c>
      <c r="K4440">
        <v>1</v>
      </c>
      <c r="L4440" s="84">
        <v>-54661</v>
      </c>
      <c r="M4440" s="84">
        <v>0</v>
      </c>
    </row>
    <row r="4441" spans="3:13" hidden="1" x14ac:dyDescent="0.25">
      <c r="C4441" t="s">
        <v>64</v>
      </c>
      <c r="D4441" t="s">
        <v>125</v>
      </c>
      <c r="E4441" t="s">
        <v>63</v>
      </c>
      <c r="F4441" t="s">
        <v>25</v>
      </c>
      <c r="G4441">
        <v>31</v>
      </c>
      <c r="I4441" t="s">
        <v>121</v>
      </c>
      <c r="J4441" t="s">
        <v>122</v>
      </c>
      <c r="K4441">
        <v>0</v>
      </c>
      <c r="L4441" s="84">
        <v>317516</v>
      </c>
      <c r="M4441" s="84">
        <v>9842996</v>
      </c>
    </row>
    <row r="4442" spans="3:13" hidden="1" x14ac:dyDescent="0.25">
      <c r="C4442" t="s">
        <v>119</v>
      </c>
      <c r="D4442" t="s">
        <v>120</v>
      </c>
      <c r="E4442" t="s">
        <v>60</v>
      </c>
      <c r="F4442" t="s">
        <v>124</v>
      </c>
      <c r="G4442">
        <v>3</v>
      </c>
      <c r="H4442" t="s">
        <v>76</v>
      </c>
      <c r="I4442" t="s">
        <v>121</v>
      </c>
      <c r="J4442" t="s">
        <v>122</v>
      </c>
      <c r="K4442">
        <v>0</v>
      </c>
      <c r="L4442" s="84">
        <v>-11977</v>
      </c>
      <c r="M4442" s="84">
        <v>0</v>
      </c>
    </row>
    <row r="4443" spans="3:13" hidden="1" x14ac:dyDescent="0.25">
      <c r="C4443" t="s">
        <v>119</v>
      </c>
      <c r="D4443" t="s">
        <v>120</v>
      </c>
      <c r="E4443" t="s">
        <v>63</v>
      </c>
      <c r="F4443" t="s">
        <v>25</v>
      </c>
      <c r="G4443">
        <v>15</v>
      </c>
      <c r="H4443" t="s">
        <v>73</v>
      </c>
      <c r="I4443" t="s">
        <v>121</v>
      </c>
      <c r="J4443" t="s">
        <v>122</v>
      </c>
      <c r="K4443">
        <v>0</v>
      </c>
      <c r="L4443" s="84">
        <v>84501</v>
      </c>
      <c r="M4443" s="84">
        <v>1267515</v>
      </c>
    </row>
    <row r="4444" spans="3:13" hidden="1" x14ac:dyDescent="0.25">
      <c r="C4444" t="s">
        <v>119</v>
      </c>
      <c r="D4444" t="s">
        <v>120</v>
      </c>
      <c r="E4444" t="s">
        <v>63</v>
      </c>
      <c r="F4444" t="s">
        <v>24</v>
      </c>
      <c r="G4444">
        <v>14</v>
      </c>
      <c r="H4444" t="s">
        <v>67</v>
      </c>
      <c r="I4444" t="s">
        <v>121</v>
      </c>
      <c r="J4444" t="s">
        <v>122</v>
      </c>
      <c r="K4444">
        <v>0</v>
      </c>
      <c r="L4444" s="84">
        <v>1588020</v>
      </c>
      <c r="M4444" s="84">
        <v>22232280</v>
      </c>
    </row>
    <row r="4445" spans="3:13" hidden="1" x14ac:dyDescent="0.25">
      <c r="C4445" t="s">
        <v>64</v>
      </c>
      <c r="D4445" t="s">
        <v>125</v>
      </c>
      <c r="E4445" t="s">
        <v>60</v>
      </c>
      <c r="F4445" t="s">
        <v>24</v>
      </c>
      <c r="G4445">
        <v>46</v>
      </c>
      <c r="I4445" t="s">
        <v>121</v>
      </c>
      <c r="J4445" t="s">
        <v>122</v>
      </c>
      <c r="K4445">
        <v>0</v>
      </c>
      <c r="L4445" s="84">
        <v>-3567</v>
      </c>
      <c r="M4445" s="84">
        <v>0</v>
      </c>
    </row>
    <row r="4446" spans="3:13" hidden="1" x14ac:dyDescent="0.25">
      <c r="C4446" t="s">
        <v>119</v>
      </c>
      <c r="D4446" t="s">
        <v>125</v>
      </c>
      <c r="E4446" t="s">
        <v>60</v>
      </c>
      <c r="F4446" t="s">
        <v>24</v>
      </c>
      <c r="G4446">
        <v>12</v>
      </c>
      <c r="I4446" t="s">
        <v>121</v>
      </c>
      <c r="J4446" t="s">
        <v>122</v>
      </c>
      <c r="K4446">
        <v>0</v>
      </c>
      <c r="L4446" s="84">
        <v>-80351</v>
      </c>
      <c r="M4446" s="84">
        <v>0</v>
      </c>
    </row>
    <row r="4447" spans="3:13" hidden="1" x14ac:dyDescent="0.25">
      <c r="C4447" t="s">
        <v>119</v>
      </c>
      <c r="D4447" t="s">
        <v>120</v>
      </c>
      <c r="E4447" t="s">
        <v>60</v>
      </c>
      <c r="F4447" t="s">
        <v>123</v>
      </c>
      <c r="G4447">
        <v>6</v>
      </c>
      <c r="H4447" t="s">
        <v>12</v>
      </c>
      <c r="I4447" t="s">
        <v>121</v>
      </c>
      <c r="J4447" t="s">
        <v>122</v>
      </c>
      <c r="K4447">
        <v>0</v>
      </c>
      <c r="L4447" s="84">
        <v>-608</v>
      </c>
      <c r="M4447" s="84">
        <v>0</v>
      </c>
    </row>
    <row r="4448" spans="3:13" hidden="1" x14ac:dyDescent="0.25">
      <c r="C4448" t="s">
        <v>119</v>
      </c>
      <c r="D4448" t="s">
        <v>120</v>
      </c>
      <c r="E4448" t="s">
        <v>60</v>
      </c>
      <c r="F4448" t="s">
        <v>124</v>
      </c>
      <c r="G4448">
        <v>1</v>
      </c>
      <c r="H4448" t="s">
        <v>75</v>
      </c>
      <c r="I4448" t="s">
        <v>62</v>
      </c>
      <c r="J4448" t="s">
        <v>122</v>
      </c>
      <c r="K4448">
        <v>1</v>
      </c>
      <c r="L4448" s="84">
        <v>-97</v>
      </c>
      <c r="M4448" s="84">
        <v>0</v>
      </c>
    </row>
    <row r="4449" spans="3:13" hidden="1" x14ac:dyDescent="0.25">
      <c r="C4449" t="s">
        <v>119</v>
      </c>
      <c r="D4449" t="s">
        <v>120</v>
      </c>
      <c r="E4449" t="s">
        <v>60</v>
      </c>
      <c r="F4449" t="s">
        <v>123</v>
      </c>
      <c r="G4449">
        <v>7</v>
      </c>
      <c r="H4449" t="s">
        <v>72</v>
      </c>
      <c r="I4449" t="s">
        <v>121</v>
      </c>
      <c r="J4449" t="s">
        <v>122</v>
      </c>
      <c r="K4449">
        <v>0</v>
      </c>
      <c r="L4449" s="84">
        <v>-1673</v>
      </c>
      <c r="M4449" s="84">
        <v>0</v>
      </c>
    </row>
    <row r="4450" spans="3:13" hidden="1" x14ac:dyDescent="0.25">
      <c r="C4450" t="s">
        <v>65</v>
      </c>
      <c r="D4450" t="s">
        <v>120</v>
      </c>
      <c r="E4450" t="s">
        <v>60</v>
      </c>
      <c r="F4450" t="s">
        <v>124</v>
      </c>
      <c r="G4450">
        <v>0</v>
      </c>
      <c r="H4450" t="s">
        <v>17</v>
      </c>
      <c r="I4450" t="s">
        <v>121</v>
      </c>
      <c r="J4450" t="s">
        <v>66</v>
      </c>
      <c r="K4450">
        <v>1</v>
      </c>
      <c r="L4450" s="84">
        <v>-18378</v>
      </c>
      <c r="M4450" s="84">
        <v>0</v>
      </c>
    </row>
    <row r="4451" spans="3:13" hidden="1" x14ac:dyDescent="0.25">
      <c r="C4451" t="s">
        <v>119</v>
      </c>
      <c r="D4451" t="s">
        <v>120</v>
      </c>
      <c r="E4451" t="s">
        <v>60</v>
      </c>
      <c r="F4451" t="s">
        <v>123</v>
      </c>
      <c r="G4451">
        <v>5</v>
      </c>
      <c r="H4451" t="s">
        <v>69</v>
      </c>
      <c r="I4451" t="s">
        <v>121</v>
      </c>
      <c r="J4451" t="s">
        <v>122</v>
      </c>
      <c r="K4451">
        <v>0</v>
      </c>
      <c r="L4451" s="84">
        <v>-8077</v>
      </c>
      <c r="M4451" s="84">
        <v>0</v>
      </c>
    </row>
    <row r="4452" spans="3:13" hidden="1" x14ac:dyDescent="0.25">
      <c r="C4452" t="s">
        <v>65</v>
      </c>
      <c r="D4452" t="s">
        <v>120</v>
      </c>
      <c r="E4452" t="s">
        <v>60</v>
      </c>
      <c r="F4452" t="s">
        <v>123</v>
      </c>
      <c r="G4452">
        <v>1</v>
      </c>
      <c r="H4452" t="s">
        <v>73</v>
      </c>
      <c r="I4452" t="s">
        <v>121</v>
      </c>
      <c r="J4452" t="s">
        <v>122</v>
      </c>
      <c r="K4452">
        <v>0</v>
      </c>
      <c r="L4452" s="84">
        <v>-8482</v>
      </c>
      <c r="M4452" s="84">
        <v>0</v>
      </c>
    </row>
    <row r="4453" spans="3:13" hidden="1" x14ac:dyDescent="0.25">
      <c r="C4453" t="s">
        <v>119</v>
      </c>
      <c r="D4453" t="s">
        <v>120</v>
      </c>
      <c r="E4453" t="s">
        <v>60</v>
      </c>
      <c r="F4453" t="s">
        <v>24</v>
      </c>
      <c r="G4453">
        <v>11</v>
      </c>
      <c r="H4453" t="s">
        <v>18</v>
      </c>
      <c r="I4453" t="s">
        <v>121</v>
      </c>
      <c r="J4453" t="s">
        <v>122</v>
      </c>
      <c r="K4453">
        <v>0</v>
      </c>
      <c r="L4453" s="84">
        <v>-1956</v>
      </c>
      <c r="M4453" s="84">
        <v>0</v>
      </c>
    </row>
    <row r="4454" spans="3:13" hidden="1" x14ac:dyDescent="0.25">
      <c r="C4454" t="s">
        <v>119</v>
      </c>
      <c r="D4454" t="s">
        <v>125</v>
      </c>
      <c r="E4454" t="s">
        <v>63</v>
      </c>
      <c r="F4454" t="s">
        <v>24</v>
      </c>
      <c r="G4454">
        <v>10</v>
      </c>
      <c r="I4454" t="s">
        <v>121</v>
      </c>
      <c r="J4454" t="s">
        <v>122</v>
      </c>
      <c r="K4454">
        <v>0</v>
      </c>
      <c r="L4454" s="84">
        <v>175441498</v>
      </c>
      <c r="M4454" s="84">
        <v>1754414980</v>
      </c>
    </row>
    <row r="4455" spans="3:13" hidden="1" x14ac:dyDescent="0.25">
      <c r="C4455" t="s">
        <v>64</v>
      </c>
      <c r="D4455" t="s">
        <v>120</v>
      </c>
      <c r="E4455" t="s">
        <v>63</v>
      </c>
      <c r="F4455" t="s">
        <v>124</v>
      </c>
      <c r="G4455">
        <v>1</v>
      </c>
      <c r="H4455" t="s">
        <v>73</v>
      </c>
      <c r="I4455" t="s">
        <v>121</v>
      </c>
      <c r="J4455" t="s">
        <v>122</v>
      </c>
      <c r="K4455">
        <v>0</v>
      </c>
      <c r="L4455" s="84">
        <v>674524</v>
      </c>
      <c r="M4455" s="84">
        <v>674524</v>
      </c>
    </row>
    <row r="4456" spans="3:13" hidden="1" x14ac:dyDescent="0.25">
      <c r="C4456" t="s">
        <v>65</v>
      </c>
      <c r="D4456" t="s">
        <v>120</v>
      </c>
      <c r="E4456" t="s">
        <v>60</v>
      </c>
      <c r="F4456" t="s">
        <v>25</v>
      </c>
      <c r="G4456">
        <v>1</v>
      </c>
      <c r="H4456" t="s">
        <v>72</v>
      </c>
      <c r="I4456" t="s">
        <v>121</v>
      </c>
      <c r="J4456" t="s">
        <v>122</v>
      </c>
      <c r="K4456">
        <v>0</v>
      </c>
      <c r="L4456" s="84">
        <v>-67283</v>
      </c>
      <c r="M4456" s="84">
        <v>0</v>
      </c>
    </row>
    <row r="4457" spans="3:13" hidden="1" x14ac:dyDescent="0.25">
      <c r="C4457" t="s">
        <v>119</v>
      </c>
      <c r="D4457" t="s">
        <v>126</v>
      </c>
      <c r="E4457" t="s">
        <v>60</v>
      </c>
      <c r="F4457" t="s">
        <v>25</v>
      </c>
      <c r="G4457">
        <v>3</v>
      </c>
      <c r="H4457" t="s">
        <v>74</v>
      </c>
      <c r="I4457" t="s">
        <v>121</v>
      </c>
      <c r="J4457" t="s">
        <v>122</v>
      </c>
      <c r="K4457">
        <v>0</v>
      </c>
      <c r="L4457" s="84">
        <v>-11797</v>
      </c>
      <c r="M4457" s="84">
        <v>0</v>
      </c>
    </row>
    <row r="4458" spans="3:13" hidden="1" x14ac:dyDescent="0.25">
      <c r="C4458" t="s">
        <v>65</v>
      </c>
      <c r="D4458" t="s">
        <v>120</v>
      </c>
      <c r="E4458" t="s">
        <v>60</v>
      </c>
      <c r="F4458" t="s">
        <v>124</v>
      </c>
      <c r="G4458">
        <v>-1</v>
      </c>
      <c r="H4458" t="s">
        <v>18</v>
      </c>
      <c r="I4458" t="s">
        <v>121</v>
      </c>
      <c r="J4458" t="s">
        <v>66</v>
      </c>
      <c r="K4458">
        <v>1</v>
      </c>
      <c r="L4458" s="84">
        <v>-486701</v>
      </c>
      <c r="M4458" s="84">
        <v>0</v>
      </c>
    </row>
    <row r="4459" spans="3:13" hidden="1" x14ac:dyDescent="0.25">
      <c r="C4459" t="s">
        <v>65</v>
      </c>
      <c r="D4459" t="s">
        <v>120</v>
      </c>
      <c r="E4459" t="s">
        <v>60</v>
      </c>
      <c r="F4459" t="s">
        <v>25</v>
      </c>
      <c r="G4459">
        <v>18</v>
      </c>
      <c r="H4459" t="s">
        <v>76</v>
      </c>
      <c r="I4459" t="s">
        <v>121</v>
      </c>
      <c r="J4459" t="s">
        <v>122</v>
      </c>
      <c r="K4459">
        <v>0</v>
      </c>
      <c r="L4459" s="84">
        <v>-2070926</v>
      </c>
      <c r="M4459" s="84">
        <v>0</v>
      </c>
    </row>
    <row r="4460" spans="3:13" hidden="1" x14ac:dyDescent="0.25">
      <c r="C4460" t="s">
        <v>64</v>
      </c>
      <c r="D4460" t="s">
        <v>120</v>
      </c>
      <c r="E4460" t="s">
        <v>63</v>
      </c>
      <c r="F4460" t="s">
        <v>25</v>
      </c>
      <c r="G4460">
        <v>4</v>
      </c>
      <c r="H4460" t="s">
        <v>14</v>
      </c>
      <c r="I4460" t="s">
        <v>121</v>
      </c>
      <c r="J4460" t="s">
        <v>122</v>
      </c>
      <c r="K4460">
        <v>0</v>
      </c>
      <c r="L4460" s="84">
        <v>496752</v>
      </c>
      <c r="M4460" s="84">
        <v>1987008</v>
      </c>
    </row>
    <row r="4461" spans="3:13" hidden="1" x14ac:dyDescent="0.25">
      <c r="C4461" t="s">
        <v>119</v>
      </c>
      <c r="D4461" t="s">
        <v>120</v>
      </c>
      <c r="E4461" t="s">
        <v>63</v>
      </c>
      <c r="F4461" t="s">
        <v>123</v>
      </c>
      <c r="G4461">
        <v>5</v>
      </c>
      <c r="H4461" t="s">
        <v>74</v>
      </c>
      <c r="I4461" t="s">
        <v>121</v>
      </c>
      <c r="J4461" t="s">
        <v>122</v>
      </c>
      <c r="K4461">
        <v>0</v>
      </c>
      <c r="L4461" s="84">
        <v>122871</v>
      </c>
      <c r="M4461" s="84">
        <v>614355</v>
      </c>
    </row>
    <row r="4462" spans="3:13" hidden="1" x14ac:dyDescent="0.25">
      <c r="C4462" t="s">
        <v>64</v>
      </c>
      <c r="D4462" t="s">
        <v>120</v>
      </c>
      <c r="E4462" t="s">
        <v>60</v>
      </c>
      <c r="F4462" t="s">
        <v>123</v>
      </c>
      <c r="G4462">
        <v>-4</v>
      </c>
      <c r="H4462" t="s">
        <v>72</v>
      </c>
      <c r="I4462" t="s">
        <v>121</v>
      </c>
      <c r="J4462" t="s">
        <v>122</v>
      </c>
      <c r="K4462">
        <v>0</v>
      </c>
      <c r="L4462" s="84">
        <v>-23</v>
      </c>
      <c r="M4462" s="84">
        <v>0</v>
      </c>
    </row>
    <row r="4463" spans="3:13" hidden="1" x14ac:dyDescent="0.25">
      <c r="C4463" t="s">
        <v>119</v>
      </c>
      <c r="D4463" t="s">
        <v>120</v>
      </c>
      <c r="E4463" t="s">
        <v>60</v>
      </c>
      <c r="F4463" t="s">
        <v>24</v>
      </c>
      <c r="G4463">
        <v>15</v>
      </c>
      <c r="H4463" t="s">
        <v>67</v>
      </c>
      <c r="I4463" t="s">
        <v>121</v>
      </c>
      <c r="J4463" t="s">
        <v>122</v>
      </c>
      <c r="K4463">
        <v>0</v>
      </c>
      <c r="L4463" s="84">
        <v>-1914</v>
      </c>
      <c r="M4463" s="84">
        <v>0</v>
      </c>
    </row>
    <row r="4464" spans="3:13" hidden="1" x14ac:dyDescent="0.25">
      <c r="C4464" t="s">
        <v>119</v>
      </c>
      <c r="D4464" t="s">
        <v>120</v>
      </c>
      <c r="E4464" t="s">
        <v>63</v>
      </c>
      <c r="F4464" t="s">
        <v>25</v>
      </c>
      <c r="G4464">
        <v>13</v>
      </c>
      <c r="H4464" t="s">
        <v>67</v>
      </c>
      <c r="I4464" t="s">
        <v>121</v>
      </c>
      <c r="J4464" t="s">
        <v>122</v>
      </c>
      <c r="K4464">
        <v>0</v>
      </c>
      <c r="L4464" s="84">
        <v>523272</v>
      </c>
      <c r="M4464" s="84">
        <v>6802536</v>
      </c>
    </row>
    <row r="4465" spans="3:13" hidden="1" x14ac:dyDescent="0.25">
      <c r="C4465" t="s">
        <v>65</v>
      </c>
      <c r="D4465" t="s">
        <v>120</v>
      </c>
      <c r="E4465" t="s">
        <v>63</v>
      </c>
      <c r="F4465" t="s">
        <v>124</v>
      </c>
      <c r="G4465">
        <v>3</v>
      </c>
      <c r="H4465" t="s">
        <v>69</v>
      </c>
      <c r="I4465" t="s">
        <v>121</v>
      </c>
      <c r="J4465" t="s">
        <v>122</v>
      </c>
      <c r="K4465">
        <v>0</v>
      </c>
      <c r="L4465" s="84">
        <v>450497</v>
      </c>
      <c r="M4465" s="84">
        <v>1351491</v>
      </c>
    </row>
    <row r="4466" spans="3:13" hidden="1" x14ac:dyDescent="0.25">
      <c r="C4466" t="s">
        <v>119</v>
      </c>
      <c r="D4466" t="s">
        <v>120</v>
      </c>
      <c r="E4466" t="s">
        <v>60</v>
      </c>
      <c r="F4466" t="s">
        <v>25</v>
      </c>
      <c r="G4466">
        <v>1</v>
      </c>
      <c r="H4466" t="s">
        <v>17</v>
      </c>
      <c r="I4466" t="s">
        <v>121</v>
      </c>
      <c r="J4466" t="s">
        <v>66</v>
      </c>
      <c r="K4466">
        <v>1</v>
      </c>
      <c r="L4466" s="84">
        <v>-33</v>
      </c>
      <c r="M4466" s="84">
        <v>0</v>
      </c>
    </row>
    <row r="4467" spans="3:13" hidden="1" x14ac:dyDescent="0.25">
      <c r="C4467" t="s">
        <v>64</v>
      </c>
      <c r="D4467" t="s">
        <v>120</v>
      </c>
      <c r="E4467" t="s">
        <v>60</v>
      </c>
      <c r="F4467" t="s">
        <v>24</v>
      </c>
      <c r="G4467">
        <v>9</v>
      </c>
      <c r="H4467" t="s">
        <v>67</v>
      </c>
      <c r="I4467" t="s">
        <v>121</v>
      </c>
      <c r="J4467" t="s">
        <v>122</v>
      </c>
      <c r="K4467">
        <v>0</v>
      </c>
      <c r="L4467" s="84">
        <v>-12834</v>
      </c>
      <c r="M4467" s="84">
        <v>0</v>
      </c>
    </row>
    <row r="4468" spans="3:13" hidden="1" x14ac:dyDescent="0.25">
      <c r="C4468" t="s">
        <v>65</v>
      </c>
      <c r="D4468" t="s">
        <v>120</v>
      </c>
      <c r="E4468" t="s">
        <v>63</v>
      </c>
      <c r="F4468" t="s">
        <v>124</v>
      </c>
      <c r="G4468">
        <v>7</v>
      </c>
      <c r="H4468" t="s">
        <v>17</v>
      </c>
      <c r="I4468" t="s">
        <v>62</v>
      </c>
      <c r="J4468" t="s">
        <v>66</v>
      </c>
      <c r="K4468">
        <v>1</v>
      </c>
      <c r="L4468" s="84">
        <v>58335</v>
      </c>
      <c r="M4468" s="84">
        <v>408345</v>
      </c>
    </row>
    <row r="4469" spans="3:13" hidden="1" x14ac:dyDescent="0.25">
      <c r="C4469" t="s">
        <v>64</v>
      </c>
      <c r="D4469" t="s">
        <v>120</v>
      </c>
      <c r="E4469" t="s">
        <v>63</v>
      </c>
      <c r="F4469" t="s">
        <v>123</v>
      </c>
      <c r="G4469">
        <v>2</v>
      </c>
      <c r="H4469" t="s">
        <v>17</v>
      </c>
      <c r="I4469" t="s">
        <v>121</v>
      </c>
      <c r="J4469" t="s">
        <v>122</v>
      </c>
      <c r="K4469">
        <v>0</v>
      </c>
      <c r="L4469" s="84">
        <v>837752</v>
      </c>
      <c r="M4469" s="84">
        <v>1675504</v>
      </c>
    </row>
    <row r="4470" spans="3:13" hidden="1" x14ac:dyDescent="0.25">
      <c r="C4470" t="s">
        <v>119</v>
      </c>
      <c r="D4470" t="s">
        <v>120</v>
      </c>
      <c r="E4470" t="s">
        <v>60</v>
      </c>
      <c r="F4470" t="s">
        <v>25</v>
      </c>
      <c r="G4470">
        <v>8</v>
      </c>
      <c r="H4470" t="s">
        <v>17</v>
      </c>
      <c r="I4470" t="s">
        <v>62</v>
      </c>
      <c r="J4470" t="s">
        <v>122</v>
      </c>
      <c r="K4470">
        <v>1</v>
      </c>
      <c r="L4470" s="84">
        <v>-557</v>
      </c>
      <c r="M4470" s="84">
        <v>0</v>
      </c>
    </row>
    <row r="4471" spans="3:13" hidden="1" x14ac:dyDescent="0.25">
      <c r="C4471" t="s">
        <v>119</v>
      </c>
      <c r="D4471" t="s">
        <v>120</v>
      </c>
      <c r="E4471" t="s">
        <v>63</v>
      </c>
      <c r="F4471" t="s">
        <v>123</v>
      </c>
      <c r="G4471">
        <v>6</v>
      </c>
      <c r="H4471" t="s">
        <v>14</v>
      </c>
      <c r="I4471" t="s">
        <v>121</v>
      </c>
      <c r="J4471" t="s">
        <v>122</v>
      </c>
      <c r="K4471">
        <v>0</v>
      </c>
      <c r="L4471" s="84">
        <v>1298666</v>
      </c>
      <c r="M4471" s="84">
        <v>7791996</v>
      </c>
    </row>
    <row r="4472" spans="3:13" hidden="1" x14ac:dyDescent="0.25">
      <c r="C4472" t="s">
        <v>119</v>
      </c>
      <c r="D4472" t="s">
        <v>120</v>
      </c>
      <c r="E4472" t="s">
        <v>60</v>
      </c>
      <c r="F4472" t="s">
        <v>25</v>
      </c>
      <c r="G4472">
        <v>12</v>
      </c>
      <c r="H4472" t="s">
        <v>12</v>
      </c>
      <c r="I4472" t="s">
        <v>121</v>
      </c>
      <c r="J4472" t="s">
        <v>122</v>
      </c>
      <c r="K4472">
        <v>0</v>
      </c>
      <c r="L4472" s="84">
        <v>-588</v>
      </c>
      <c r="M4472" s="84">
        <v>0</v>
      </c>
    </row>
    <row r="4473" spans="3:13" hidden="1" x14ac:dyDescent="0.25">
      <c r="C4473" t="s">
        <v>119</v>
      </c>
      <c r="D4473" t="s">
        <v>120</v>
      </c>
      <c r="E4473" t="s">
        <v>60</v>
      </c>
      <c r="F4473" t="s">
        <v>25</v>
      </c>
      <c r="G4473">
        <v>8</v>
      </c>
      <c r="H4473" t="s">
        <v>12</v>
      </c>
      <c r="I4473" t="s">
        <v>121</v>
      </c>
      <c r="J4473" t="s">
        <v>66</v>
      </c>
      <c r="K4473">
        <v>1</v>
      </c>
      <c r="L4473" s="84">
        <v>-3579</v>
      </c>
      <c r="M4473" s="84">
        <v>0</v>
      </c>
    </row>
    <row r="4474" spans="3:13" hidden="1" x14ac:dyDescent="0.25">
      <c r="C4474" t="s">
        <v>64</v>
      </c>
      <c r="D4474" t="s">
        <v>120</v>
      </c>
      <c r="E4474" t="s">
        <v>60</v>
      </c>
      <c r="F4474" t="s">
        <v>124</v>
      </c>
      <c r="G4474">
        <v>-4</v>
      </c>
      <c r="H4474" t="s">
        <v>76</v>
      </c>
      <c r="I4474" t="s">
        <v>121</v>
      </c>
      <c r="J4474" t="s">
        <v>122</v>
      </c>
      <c r="K4474">
        <v>0</v>
      </c>
      <c r="L4474" s="84">
        <v>-369</v>
      </c>
      <c r="M4474" s="84">
        <v>0</v>
      </c>
    </row>
    <row r="4475" spans="3:13" hidden="1" x14ac:dyDescent="0.25">
      <c r="C4475" t="s">
        <v>64</v>
      </c>
      <c r="D4475" t="s">
        <v>120</v>
      </c>
      <c r="E4475" t="s">
        <v>60</v>
      </c>
      <c r="F4475" t="s">
        <v>124</v>
      </c>
      <c r="G4475">
        <v>0</v>
      </c>
      <c r="H4475" t="s">
        <v>71</v>
      </c>
      <c r="I4475" t="s">
        <v>121</v>
      </c>
      <c r="J4475" t="s">
        <v>122</v>
      </c>
      <c r="K4475">
        <v>0</v>
      </c>
      <c r="L4475" s="84">
        <v>-3888</v>
      </c>
      <c r="M4475" s="84">
        <v>0</v>
      </c>
    </row>
    <row r="4476" spans="3:13" hidden="1" x14ac:dyDescent="0.25">
      <c r="C4476" t="s">
        <v>119</v>
      </c>
      <c r="D4476" t="s">
        <v>120</v>
      </c>
      <c r="E4476" t="s">
        <v>63</v>
      </c>
      <c r="F4476" t="s">
        <v>124</v>
      </c>
      <c r="G4476">
        <v>9</v>
      </c>
      <c r="H4476" t="s">
        <v>72</v>
      </c>
      <c r="I4476" t="s">
        <v>121</v>
      </c>
      <c r="J4476" t="s">
        <v>122</v>
      </c>
      <c r="K4476">
        <v>0</v>
      </c>
      <c r="L4476" s="84">
        <v>401179</v>
      </c>
      <c r="M4476" s="84">
        <v>3610611</v>
      </c>
    </row>
    <row r="4477" spans="3:13" hidden="1" x14ac:dyDescent="0.25">
      <c r="C4477" t="s">
        <v>65</v>
      </c>
      <c r="D4477" t="s">
        <v>120</v>
      </c>
      <c r="E4477" t="s">
        <v>60</v>
      </c>
      <c r="F4477" t="s">
        <v>24</v>
      </c>
      <c r="G4477">
        <v>9</v>
      </c>
      <c r="H4477" t="s">
        <v>18</v>
      </c>
      <c r="I4477" t="s">
        <v>121</v>
      </c>
      <c r="J4477" t="s">
        <v>122</v>
      </c>
      <c r="K4477">
        <v>0</v>
      </c>
      <c r="L4477" s="84">
        <v>-177739</v>
      </c>
      <c r="M4477" s="84">
        <v>0</v>
      </c>
    </row>
    <row r="4478" spans="3:13" hidden="1" x14ac:dyDescent="0.25">
      <c r="C4478" t="s">
        <v>119</v>
      </c>
      <c r="D4478" t="s">
        <v>120</v>
      </c>
      <c r="E4478" t="s">
        <v>60</v>
      </c>
      <c r="F4478" t="s">
        <v>123</v>
      </c>
      <c r="G4478">
        <v>-4</v>
      </c>
      <c r="H4478" t="s">
        <v>72</v>
      </c>
      <c r="I4478" t="s">
        <v>121</v>
      </c>
      <c r="J4478" t="s">
        <v>122</v>
      </c>
      <c r="K4478">
        <v>0</v>
      </c>
      <c r="L4478" s="84">
        <v>-3</v>
      </c>
      <c r="M4478" s="84">
        <v>0</v>
      </c>
    </row>
    <row r="4479" spans="3:13" hidden="1" x14ac:dyDescent="0.25">
      <c r="C4479" t="s">
        <v>119</v>
      </c>
      <c r="D4479" t="s">
        <v>120</v>
      </c>
      <c r="E4479" t="s">
        <v>60</v>
      </c>
      <c r="F4479" t="s">
        <v>25</v>
      </c>
      <c r="G4479">
        <v>15</v>
      </c>
      <c r="H4479" t="s">
        <v>67</v>
      </c>
      <c r="I4479" t="s">
        <v>121</v>
      </c>
      <c r="J4479" t="s">
        <v>122</v>
      </c>
      <c r="K4479">
        <v>0</v>
      </c>
      <c r="L4479" s="84">
        <v>-804</v>
      </c>
      <c r="M4479" s="84">
        <v>0</v>
      </c>
    </row>
    <row r="4480" spans="3:13" hidden="1" x14ac:dyDescent="0.25">
      <c r="C4480" t="s">
        <v>119</v>
      </c>
      <c r="D4480" t="s">
        <v>120</v>
      </c>
      <c r="E4480" t="s">
        <v>63</v>
      </c>
      <c r="F4480" t="s">
        <v>124</v>
      </c>
      <c r="G4480">
        <v>3</v>
      </c>
      <c r="H4480" t="s">
        <v>14</v>
      </c>
      <c r="I4480" t="s">
        <v>121</v>
      </c>
      <c r="J4480" t="s">
        <v>122</v>
      </c>
      <c r="K4480">
        <v>0</v>
      </c>
      <c r="L4480" s="84">
        <v>63468290</v>
      </c>
      <c r="M4480" s="84">
        <v>190404870</v>
      </c>
    </row>
    <row r="4481" spans="3:13" hidden="1" x14ac:dyDescent="0.25">
      <c r="C4481" t="s">
        <v>64</v>
      </c>
      <c r="D4481" t="s">
        <v>120</v>
      </c>
      <c r="E4481" t="s">
        <v>60</v>
      </c>
      <c r="F4481" t="s">
        <v>124</v>
      </c>
      <c r="G4481">
        <v>2</v>
      </c>
      <c r="H4481" t="s">
        <v>69</v>
      </c>
      <c r="I4481" t="s">
        <v>121</v>
      </c>
      <c r="J4481" t="s">
        <v>122</v>
      </c>
      <c r="K4481">
        <v>0</v>
      </c>
      <c r="L4481" s="84">
        <v>-393673</v>
      </c>
      <c r="M4481" s="84">
        <v>0</v>
      </c>
    </row>
    <row r="4482" spans="3:13" hidden="1" x14ac:dyDescent="0.25">
      <c r="C4482" t="s">
        <v>119</v>
      </c>
      <c r="D4482" t="s">
        <v>120</v>
      </c>
      <c r="E4482" t="s">
        <v>63</v>
      </c>
      <c r="F4482" t="s">
        <v>25</v>
      </c>
      <c r="G4482">
        <v>10</v>
      </c>
      <c r="H4482" t="s">
        <v>18</v>
      </c>
      <c r="I4482" t="s">
        <v>121</v>
      </c>
      <c r="J4482" t="s">
        <v>122</v>
      </c>
      <c r="K4482">
        <v>0</v>
      </c>
      <c r="L4482" s="84">
        <v>5739604</v>
      </c>
      <c r="M4482" s="84">
        <v>57396040</v>
      </c>
    </row>
    <row r="4483" spans="3:13" hidden="1" x14ac:dyDescent="0.25">
      <c r="C4483" t="s">
        <v>119</v>
      </c>
      <c r="D4483" t="s">
        <v>120</v>
      </c>
      <c r="E4483" t="s">
        <v>60</v>
      </c>
      <c r="F4483" t="s">
        <v>25</v>
      </c>
      <c r="G4483">
        <v>8</v>
      </c>
      <c r="H4483" t="s">
        <v>76</v>
      </c>
      <c r="I4483" t="s">
        <v>121</v>
      </c>
      <c r="J4483" t="s">
        <v>122</v>
      </c>
      <c r="K4483">
        <v>0</v>
      </c>
      <c r="L4483" s="84">
        <v>-1404</v>
      </c>
      <c r="M4483" s="84">
        <v>0</v>
      </c>
    </row>
    <row r="4484" spans="3:13" hidden="1" x14ac:dyDescent="0.25">
      <c r="C4484" t="s">
        <v>64</v>
      </c>
      <c r="D4484" t="s">
        <v>120</v>
      </c>
      <c r="E4484" t="s">
        <v>60</v>
      </c>
      <c r="F4484" t="s">
        <v>24</v>
      </c>
      <c r="G4484">
        <v>1</v>
      </c>
      <c r="H4484" t="s">
        <v>68</v>
      </c>
      <c r="I4484" t="s">
        <v>121</v>
      </c>
      <c r="J4484" t="s">
        <v>122</v>
      </c>
      <c r="K4484">
        <v>0</v>
      </c>
      <c r="L4484" s="84">
        <v>-497974</v>
      </c>
      <c r="M4484" s="84">
        <v>0</v>
      </c>
    </row>
    <row r="4485" spans="3:13" hidden="1" x14ac:dyDescent="0.25">
      <c r="C4485" t="s">
        <v>64</v>
      </c>
      <c r="D4485" t="s">
        <v>120</v>
      </c>
      <c r="E4485" t="s">
        <v>60</v>
      </c>
      <c r="F4485" t="s">
        <v>25</v>
      </c>
      <c r="G4485">
        <v>8</v>
      </c>
      <c r="H4485" t="s">
        <v>73</v>
      </c>
      <c r="I4485" t="s">
        <v>121</v>
      </c>
      <c r="J4485" t="s">
        <v>122</v>
      </c>
      <c r="K4485">
        <v>0</v>
      </c>
      <c r="L4485" s="84">
        <v>-2164</v>
      </c>
      <c r="M4485" s="84">
        <v>0</v>
      </c>
    </row>
    <row r="4486" spans="3:13" hidden="1" x14ac:dyDescent="0.25">
      <c r="C4486" t="s">
        <v>119</v>
      </c>
      <c r="D4486" t="s">
        <v>120</v>
      </c>
      <c r="E4486" t="s">
        <v>63</v>
      </c>
      <c r="F4486" t="s">
        <v>123</v>
      </c>
      <c r="G4486">
        <v>0</v>
      </c>
      <c r="H4486" t="s">
        <v>72</v>
      </c>
      <c r="I4486" t="s">
        <v>121</v>
      </c>
      <c r="J4486" t="s">
        <v>122</v>
      </c>
      <c r="K4486">
        <v>0</v>
      </c>
      <c r="L4486" s="84">
        <v>259289</v>
      </c>
      <c r="M4486" s="84">
        <v>0</v>
      </c>
    </row>
    <row r="4487" spans="3:13" hidden="1" x14ac:dyDescent="0.25">
      <c r="C4487" t="s">
        <v>119</v>
      </c>
      <c r="D4487" t="s">
        <v>120</v>
      </c>
      <c r="E4487" t="s">
        <v>63</v>
      </c>
      <c r="F4487" t="s">
        <v>123</v>
      </c>
      <c r="G4487">
        <v>6</v>
      </c>
      <c r="H4487" t="s">
        <v>12</v>
      </c>
      <c r="I4487" t="s">
        <v>121</v>
      </c>
      <c r="J4487" t="s">
        <v>122</v>
      </c>
      <c r="K4487">
        <v>0</v>
      </c>
      <c r="L4487" s="84">
        <v>115326</v>
      </c>
      <c r="M4487" s="84">
        <v>691956</v>
      </c>
    </row>
    <row r="4488" spans="3:13" hidden="1" x14ac:dyDescent="0.25">
      <c r="C4488" t="s">
        <v>119</v>
      </c>
      <c r="D4488" t="s">
        <v>120</v>
      </c>
      <c r="E4488" t="s">
        <v>60</v>
      </c>
      <c r="F4488" t="s">
        <v>25</v>
      </c>
      <c r="G4488">
        <v>12</v>
      </c>
      <c r="H4488" t="s">
        <v>14</v>
      </c>
      <c r="I4488" t="s">
        <v>121</v>
      </c>
      <c r="J4488" t="s">
        <v>122</v>
      </c>
      <c r="K4488">
        <v>0</v>
      </c>
      <c r="L4488" s="84">
        <v>-8603</v>
      </c>
      <c r="M4488" s="84">
        <v>0</v>
      </c>
    </row>
    <row r="4489" spans="3:13" hidden="1" x14ac:dyDescent="0.25">
      <c r="C4489" t="s">
        <v>119</v>
      </c>
      <c r="D4489" t="s">
        <v>120</v>
      </c>
      <c r="E4489" t="s">
        <v>63</v>
      </c>
      <c r="F4489" t="s">
        <v>24</v>
      </c>
      <c r="G4489">
        <v>5</v>
      </c>
      <c r="H4489" t="s">
        <v>61</v>
      </c>
      <c r="I4489" t="s">
        <v>121</v>
      </c>
      <c r="J4489" t="s">
        <v>122</v>
      </c>
      <c r="K4489">
        <v>0</v>
      </c>
      <c r="L4489" s="84">
        <v>201922</v>
      </c>
      <c r="M4489" s="84">
        <v>1009610</v>
      </c>
    </row>
    <row r="4490" spans="3:13" hidden="1" x14ac:dyDescent="0.25">
      <c r="C4490" t="s">
        <v>64</v>
      </c>
      <c r="D4490" t="s">
        <v>120</v>
      </c>
      <c r="E4490" t="s">
        <v>60</v>
      </c>
      <c r="F4490" t="s">
        <v>123</v>
      </c>
      <c r="G4490">
        <v>6</v>
      </c>
      <c r="H4490" t="s">
        <v>14</v>
      </c>
      <c r="I4490" t="s">
        <v>121</v>
      </c>
      <c r="J4490" t="s">
        <v>122</v>
      </c>
      <c r="K4490">
        <v>0</v>
      </c>
      <c r="L4490" s="84">
        <v>-2445</v>
      </c>
      <c r="M4490" s="84">
        <v>0</v>
      </c>
    </row>
    <row r="4491" spans="3:13" hidden="1" x14ac:dyDescent="0.25">
      <c r="C4491" t="s">
        <v>119</v>
      </c>
      <c r="D4491" t="s">
        <v>120</v>
      </c>
      <c r="E4491" t="s">
        <v>63</v>
      </c>
      <c r="F4491" t="s">
        <v>124</v>
      </c>
      <c r="G4491">
        <v>0</v>
      </c>
      <c r="H4491" t="s">
        <v>70</v>
      </c>
      <c r="I4491" t="s">
        <v>121</v>
      </c>
      <c r="J4491" t="s">
        <v>122</v>
      </c>
      <c r="K4491">
        <v>0</v>
      </c>
      <c r="L4491" s="84">
        <v>25464662</v>
      </c>
      <c r="M4491" s="84">
        <v>0</v>
      </c>
    </row>
    <row r="4492" spans="3:13" hidden="1" x14ac:dyDescent="0.25">
      <c r="C4492" t="s">
        <v>119</v>
      </c>
      <c r="D4492" t="s">
        <v>125</v>
      </c>
      <c r="E4492" t="s">
        <v>63</v>
      </c>
      <c r="F4492" t="s">
        <v>25</v>
      </c>
      <c r="G4492">
        <v>24</v>
      </c>
      <c r="I4492" t="s">
        <v>121</v>
      </c>
      <c r="J4492" t="s">
        <v>122</v>
      </c>
      <c r="K4492">
        <v>0</v>
      </c>
      <c r="L4492" s="84">
        <v>318316</v>
      </c>
      <c r="M4492" s="84">
        <v>7639584</v>
      </c>
    </row>
    <row r="4493" spans="3:13" hidden="1" x14ac:dyDescent="0.25">
      <c r="C4493" t="s">
        <v>64</v>
      </c>
      <c r="D4493" t="s">
        <v>120</v>
      </c>
      <c r="E4493" t="s">
        <v>60</v>
      </c>
      <c r="F4493" t="s">
        <v>24</v>
      </c>
      <c r="G4493">
        <v>11</v>
      </c>
      <c r="H4493" t="s">
        <v>18</v>
      </c>
      <c r="I4493" t="s">
        <v>121</v>
      </c>
      <c r="J4493" t="s">
        <v>122</v>
      </c>
      <c r="K4493">
        <v>0</v>
      </c>
      <c r="L4493" s="84">
        <v>-32395</v>
      </c>
      <c r="M4493" s="84">
        <v>0</v>
      </c>
    </row>
    <row r="4494" spans="3:13" hidden="1" x14ac:dyDescent="0.25">
      <c r="C4494" t="s">
        <v>65</v>
      </c>
      <c r="D4494" t="s">
        <v>120</v>
      </c>
      <c r="E4494" t="s">
        <v>63</v>
      </c>
      <c r="F4494" t="s">
        <v>123</v>
      </c>
      <c r="G4494">
        <v>3</v>
      </c>
      <c r="H4494" t="s">
        <v>18</v>
      </c>
      <c r="I4494" t="s">
        <v>121</v>
      </c>
      <c r="J4494" t="s">
        <v>122</v>
      </c>
      <c r="K4494">
        <v>0</v>
      </c>
      <c r="L4494" s="84">
        <v>268776</v>
      </c>
      <c r="M4494" s="84">
        <v>806328</v>
      </c>
    </row>
    <row r="4495" spans="3:13" hidden="1" x14ac:dyDescent="0.25">
      <c r="C4495" t="s">
        <v>64</v>
      </c>
      <c r="D4495" t="s">
        <v>120</v>
      </c>
      <c r="E4495" t="s">
        <v>63</v>
      </c>
      <c r="F4495" t="s">
        <v>24</v>
      </c>
      <c r="G4495">
        <v>16</v>
      </c>
      <c r="H4495" t="s">
        <v>12</v>
      </c>
      <c r="I4495" t="s">
        <v>121</v>
      </c>
      <c r="J4495" t="s">
        <v>122</v>
      </c>
      <c r="K4495">
        <v>0</v>
      </c>
      <c r="L4495" s="84">
        <v>480036</v>
      </c>
      <c r="M4495" s="84">
        <v>7680576</v>
      </c>
    </row>
    <row r="4496" spans="3:13" hidden="1" x14ac:dyDescent="0.25">
      <c r="C4496" t="s">
        <v>119</v>
      </c>
      <c r="D4496" t="s">
        <v>120</v>
      </c>
      <c r="E4496" t="s">
        <v>60</v>
      </c>
      <c r="F4496" t="s">
        <v>124</v>
      </c>
      <c r="G4496">
        <v>-1</v>
      </c>
      <c r="H4496" t="s">
        <v>18</v>
      </c>
      <c r="I4496" t="s">
        <v>121</v>
      </c>
      <c r="J4496" t="s">
        <v>66</v>
      </c>
      <c r="K4496">
        <v>1</v>
      </c>
      <c r="L4496" s="84">
        <v>-64058</v>
      </c>
      <c r="M4496" s="84">
        <v>0</v>
      </c>
    </row>
    <row r="4497" spans="3:13" hidden="1" x14ac:dyDescent="0.25">
      <c r="C4497" t="s">
        <v>64</v>
      </c>
      <c r="D4497" t="s">
        <v>120</v>
      </c>
      <c r="E4497" t="s">
        <v>63</v>
      </c>
      <c r="F4497" t="s">
        <v>124</v>
      </c>
      <c r="G4497">
        <v>1</v>
      </c>
      <c r="H4497" t="s">
        <v>17</v>
      </c>
      <c r="I4497" t="s">
        <v>62</v>
      </c>
      <c r="J4497" t="s">
        <v>66</v>
      </c>
      <c r="K4497">
        <v>1</v>
      </c>
      <c r="L4497" s="84">
        <v>214901</v>
      </c>
      <c r="M4497" s="84">
        <v>214901</v>
      </c>
    </row>
    <row r="4498" spans="3:13" hidden="1" x14ac:dyDescent="0.25">
      <c r="C4498" t="s">
        <v>64</v>
      </c>
      <c r="D4498" t="s">
        <v>120</v>
      </c>
      <c r="E4498" t="s">
        <v>60</v>
      </c>
      <c r="F4498" t="s">
        <v>25</v>
      </c>
      <c r="G4498">
        <v>8</v>
      </c>
      <c r="H4498" t="s">
        <v>72</v>
      </c>
      <c r="I4498" t="s">
        <v>121</v>
      </c>
      <c r="J4498" t="s">
        <v>122</v>
      </c>
      <c r="K4498">
        <v>0</v>
      </c>
      <c r="L4498" s="84">
        <v>-2023</v>
      </c>
      <c r="M4498" s="84">
        <v>0</v>
      </c>
    </row>
    <row r="4499" spans="3:13" hidden="1" x14ac:dyDescent="0.25">
      <c r="C4499" t="s">
        <v>119</v>
      </c>
      <c r="D4499" t="s">
        <v>120</v>
      </c>
      <c r="E4499" t="s">
        <v>63</v>
      </c>
      <c r="F4499" t="s">
        <v>24</v>
      </c>
      <c r="G4499">
        <v>9</v>
      </c>
      <c r="H4499" t="s">
        <v>14</v>
      </c>
      <c r="I4499" t="s">
        <v>121</v>
      </c>
      <c r="J4499" t="s">
        <v>122</v>
      </c>
      <c r="K4499">
        <v>0</v>
      </c>
      <c r="L4499" s="84">
        <v>1071395</v>
      </c>
      <c r="M4499" s="84">
        <v>9642555</v>
      </c>
    </row>
    <row r="4500" spans="3:13" hidden="1" x14ac:dyDescent="0.25">
      <c r="C4500" t="s">
        <v>65</v>
      </c>
      <c r="D4500" t="s">
        <v>120</v>
      </c>
      <c r="E4500" t="s">
        <v>63</v>
      </c>
      <c r="F4500" t="s">
        <v>25</v>
      </c>
      <c r="G4500">
        <v>1</v>
      </c>
      <c r="H4500" t="s">
        <v>18</v>
      </c>
      <c r="I4500" t="s">
        <v>121</v>
      </c>
      <c r="J4500" t="s">
        <v>122</v>
      </c>
      <c r="K4500">
        <v>0</v>
      </c>
      <c r="L4500" s="84">
        <v>30326</v>
      </c>
      <c r="M4500" s="84">
        <v>30326</v>
      </c>
    </row>
    <row r="4501" spans="3:13" hidden="1" x14ac:dyDescent="0.25">
      <c r="C4501" t="s">
        <v>119</v>
      </c>
      <c r="D4501" t="s">
        <v>120</v>
      </c>
      <c r="E4501" t="s">
        <v>63</v>
      </c>
      <c r="F4501" t="s">
        <v>24</v>
      </c>
      <c r="G4501">
        <v>0</v>
      </c>
      <c r="H4501" t="s">
        <v>12</v>
      </c>
      <c r="I4501" t="s">
        <v>121</v>
      </c>
      <c r="J4501" t="s">
        <v>122</v>
      </c>
      <c r="K4501">
        <v>0</v>
      </c>
      <c r="L4501" s="84">
        <v>11760</v>
      </c>
      <c r="M4501" s="84">
        <v>0</v>
      </c>
    </row>
    <row r="4502" spans="3:13" hidden="1" x14ac:dyDescent="0.25">
      <c r="C4502" t="s">
        <v>64</v>
      </c>
      <c r="D4502" t="s">
        <v>120</v>
      </c>
      <c r="E4502" t="s">
        <v>60</v>
      </c>
      <c r="F4502" t="s">
        <v>124</v>
      </c>
      <c r="G4502">
        <v>0</v>
      </c>
      <c r="H4502" t="s">
        <v>76</v>
      </c>
      <c r="I4502" t="s">
        <v>121</v>
      </c>
      <c r="J4502" t="s">
        <v>122</v>
      </c>
      <c r="K4502">
        <v>0</v>
      </c>
      <c r="L4502" s="84">
        <v>-1890</v>
      </c>
      <c r="M4502" s="84">
        <v>0</v>
      </c>
    </row>
    <row r="4503" spans="3:13" hidden="1" x14ac:dyDescent="0.25">
      <c r="C4503" t="s">
        <v>65</v>
      </c>
      <c r="D4503" t="s">
        <v>120</v>
      </c>
      <c r="E4503" t="s">
        <v>60</v>
      </c>
      <c r="F4503" t="s">
        <v>124</v>
      </c>
      <c r="G4503">
        <v>3</v>
      </c>
      <c r="H4503" t="s">
        <v>76</v>
      </c>
      <c r="I4503" t="s">
        <v>121</v>
      </c>
      <c r="J4503" t="s">
        <v>122</v>
      </c>
      <c r="K4503">
        <v>0</v>
      </c>
      <c r="L4503" s="84">
        <v>-66097</v>
      </c>
      <c r="M4503" s="84">
        <v>0</v>
      </c>
    </row>
    <row r="4504" spans="3:13" hidden="1" x14ac:dyDescent="0.25">
      <c r="C4504" t="s">
        <v>119</v>
      </c>
      <c r="D4504" t="s">
        <v>120</v>
      </c>
      <c r="E4504" t="s">
        <v>60</v>
      </c>
      <c r="F4504" t="s">
        <v>123</v>
      </c>
      <c r="G4504">
        <v>-4</v>
      </c>
      <c r="H4504" t="s">
        <v>73</v>
      </c>
      <c r="I4504" t="s">
        <v>121</v>
      </c>
      <c r="J4504" t="s">
        <v>122</v>
      </c>
      <c r="K4504">
        <v>0</v>
      </c>
      <c r="L4504" s="84">
        <v>-1</v>
      </c>
      <c r="M4504" s="84">
        <v>0</v>
      </c>
    </row>
    <row r="4505" spans="3:13" hidden="1" x14ac:dyDescent="0.25">
      <c r="C4505" t="s">
        <v>119</v>
      </c>
      <c r="D4505" t="s">
        <v>120</v>
      </c>
      <c r="E4505" t="s">
        <v>60</v>
      </c>
      <c r="F4505" t="s">
        <v>123</v>
      </c>
      <c r="G4505">
        <v>6</v>
      </c>
      <c r="H4505" t="s">
        <v>14</v>
      </c>
      <c r="I4505" t="s">
        <v>121</v>
      </c>
      <c r="J4505" t="s">
        <v>122</v>
      </c>
      <c r="K4505">
        <v>0</v>
      </c>
      <c r="L4505" s="84">
        <v>-2154</v>
      </c>
      <c r="M4505" s="84">
        <v>0</v>
      </c>
    </row>
    <row r="4506" spans="3:13" hidden="1" x14ac:dyDescent="0.25">
      <c r="C4506" t="s">
        <v>119</v>
      </c>
      <c r="D4506" t="s">
        <v>120</v>
      </c>
      <c r="E4506" t="s">
        <v>60</v>
      </c>
      <c r="F4506" t="s">
        <v>124</v>
      </c>
      <c r="G4506">
        <v>3</v>
      </c>
      <c r="H4506" t="s">
        <v>71</v>
      </c>
      <c r="I4506" t="s">
        <v>121</v>
      </c>
      <c r="J4506" t="s">
        <v>122</v>
      </c>
      <c r="K4506">
        <v>0</v>
      </c>
      <c r="L4506" s="84">
        <v>-5974</v>
      </c>
      <c r="M4506" s="84">
        <v>0</v>
      </c>
    </row>
    <row r="4507" spans="3:13" hidden="1" x14ac:dyDescent="0.25">
      <c r="C4507" t="s">
        <v>119</v>
      </c>
      <c r="D4507" t="s">
        <v>120</v>
      </c>
      <c r="E4507" t="s">
        <v>63</v>
      </c>
      <c r="F4507" t="s">
        <v>25</v>
      </c>
      <c r="G4507">
        <v>15</v>
      </c>
      <c r="H4507" t="s">
        <v>72</v>
      </c>
      <c r="I4507" t="s">
        <v>121</v>
      </c>
      <c r="J4507" t="s">
        <v>122</v>
      </c>
      <c r="K4507">
        <v>0</v>
      </c>
      <c r="L4507" s="84">
        <v>727722</v>
      </c>
      <c r="M4507" s="84">
        <v>10915830</v>
      </c>
    </row>
    <row r="4508" spans="3:13" hidden="1" x14ac:dyDescent="0.25">
      <c r="C4508" t="s">
        <v>119</v>
      </c>
      <c r="D4508" t="s">
        <v>125</v>
      </c>
      <c r="E4508" t="s">
        <v>63</v>
      </c>
      <c r="F4508" t="s">
        <v>24</v>
      </c>
      <c r="G4508">
        <v>13</v>
      </c>
      <c r="I4508" t="s">
        <v>121</v>
      </c>
      <c r="J4508" t="s">
        <v>122</v>
      </c>
      <c r="K4508">
        <v>0</v>
      </c>
      <c r="L4508" s="84">
        <v>212076577</v>
      </c>
      <c r="M4508" s="84">
        <v>2756995501</v>
      </c>
    </row>
    <row r="4509" spans="3:13" hidden="1" x14ac:dyDescent="0.25">
      <c r="C4509" t="s">
        <v>64</v>
      </c>
      <c r="D4509" t="s">
        <v>120</v>
      </c>
      <c r="E4509" t="s">
        <v>63</v>
      </c>
      <c r="F4509" t="s">
        <v>25</v>
      </c>
      <c r="G4509">
        <v>0</v>
      </c>
      <c r="H4509" t="s">
        <v>68</v>
      </c>
      <c r="I4509" t="s">
        <v>121</v>
      </c>
      <c r="J4509" t="s">
        <v>122</v>
      </c>
      <c r="K4509">
        <v>0</v>
      </c>
      <c r="L4509" s="84">
        <v>68357</v>
      </c>
      <c r="M4509" s="84">
        <v>0</v>
      </c>
    </row>
    <row r="4510" spans="3:13" hidden="1" x14ac:dyDescent="0.25">
      <c r="C4510" t="s">
        <v>119</v>
      </c>
      <c r="D4510" t="s">
        <v>120</v>
      </c>
      <c r="E4510" t="s">
        <v>60</v>
      </c>
      <c r="F4510" t="s">
        <v>123</v>
      </c>
      <c r="G4510">
        <v>5</v>
      </c>
      <c r="H4510" t="s">
        <v>74</v>
      </c>
      <c r="I4510" t="s">
        <v>121</v>
      </c>
      <c r="J4510" t="s">
        <v>122</v>
      </c>
      <c r="K4510">
        <v>0</v>
      </c>
      <c r="L4510" s="84">
        <v>-782</v>
      </c>
      <c r="M4510" s="84">
        <v>0</v>
      </c>
    </row>
    <row r="4511" spans="3:13" hidden="1" x14ac:dyDescent="0.25">
      <c r="C4511" t="s">
        <v>65</v>
      </c>
      <c r="D4511" t="s">
        <v>120</v>
      </c>
      <c r="E4511" t="s">
        <v>63</v>
      </c>
      <c r="F4511" t="s">
        <v>124</v>
      </c>
      <c r="G4511">
        <v>-1</v>
      </c>
      <c r="H4511" t="s">
        <v>69</v>
      </c>
      <c r="I4511" t="s">
        <v>121</v>
      </c>
      <c r="J4511" t="s">
        <v>122</v>
      </c>
      <c r="K4511">
        <v>0</v>
      </c>
      <c r="L4511" s="84">
        <v>3500654</v>
      </c>
      <c r="M4511" s="84">
        <v>0</v>
      </c>
    </row>
    <row r="4512" spans="3:13" hidden="1" x14ac:dyDescent="0.25">
      <c r="C4512" t="s">
        <v>119</v>
      </c>
      <c r="D4512" t="s">
        <v>126</v>
      </c>
      <c r="E4512" t="s">
        <v>63</v>
      </c>
      <c r="F4512" t="s">
        <v>25</v>
      </c>
      <c r="G4512">
        <v>5</v>
      </c>
      <c r="H4512" t="s">
        <v>74</v>
      </c>
      <c r="I4512" t="s">
        <v>121</v>
      </c>
      <c r="J4512" t="s">
        <v>122</v>
      </c>
      <c r="K4512">
        <v>0</v>
      </c>
      <c r="L4512" s="84">
        <v>33220088</v>
      </c>
      <c r="M4512" s="84">
        <v>166100440</v>
      </c>
    </row>
    <row r="4513" spans="3:13" hidden="1" x14ac:dyDescent="0.25">
      <c r="C4513" t="s">
        <v>119</v>
      </c>
      <c r="D4513" t="s">
        <v>120</v>
      </c>
      <c r="E4513" t="s">
        <v>63</v>
      </c>
      <c r="F4513" t="s">
        <v>24</v>
      </c>
      <c r="G4513">
        <v>0</v>
      </c>
      <c r="H4513" t="s">
        <v>12</v>
      </c>
      <c r="I4513" t="s">
        <v>121</v>
      </c>
      <c r="J4513" t="s">
        <v>66</v>
      </c>
      <c r="K4513">
        <v>1</v>
      </c>
      <c r="L4513" s="84">
        <v>469113</v>
      </c>
      <c r="M4513" s="84">
        <v>0</v>
      </c>
    </row>
    <row r="4514" spans="3:13" hidden="1" x14ac:dyDescent="0.25">
      <c r="C4514" t="s">
        <v>119</v>
      </c>
      <c r="D4514" t="s">
        <v>120</v>
      </c>
      <c r="E4514" t="s">
        <v>60</v>
      </c>
      <c r="F4514" t="s">
        <v>24</v>
      </c>
      <c r="G4514">
        <v>1</v>
      </c>
      <c r="H4514" t="s">
        <v>68</v>
      </c>
      <c r="I4514" t="s">
        <v>121</v>
      </c>
      <c r="J4514" t="s">
        <v>122</v>
      </c>
      <c r="K4514">
        <v>0</v>
      </c>
      <c r="L4514" s="84">
        <v>-36905</v>
      </c>
      <c r="M4514" s="84">
        <v>0</v>
      </c>
    </row>
    <row r="4515" spans="3:13" hidden="1" x14ac:dyDescent="0.25">
      <c r="C4515" t="s">
        <v>119</v>
      </c>
      <c r="D4515" t="s">
        <v>120</v>
      </c>
      <c r="E4515" t="s">
        <v>63</v>
      </c>
      <c r="F4515" t="s">
        <v>24</v>
      </c>
      <c r="G4515">
        <v>9</v>
      </c>
      <c r="H4515" t="s">
        <v>14</v>
      </c>
      <c r="I4515" t="s">
        <v>121</v>
      </c>
      <c r="J4515" t="s">
        <v>66</v>
      </c>
      <c r="K4515">
        <v>1</v>
      </c>
      <c r="L4515" s="84">
        <v>616670</v>
      </c>
      <c r="M4515" s="84">
        <v>5550030</v>
      </c>
    </row>
    <row r="4516" spans="3:13" hidden="1" x14ac:dyDescent="0.25">
      <c r="C4516" t="s">
        <v>64</v>
      </c>
      <c r="D4516" t="s">
        <v>120</v>
      </c>
      <c r="E4516" t="s">
        <v>63</v>
      </c>
      <c r="F4516" t="s">
        <v>24</v>
      </c>
      <c r="G4516">
        <v>-4</v>
      </c>
      <c r="H4516" t="s">
        <v>72</v>
      </c>
      <c r="I4516" t="s">
        <v>121</v>
      </c>
      <c r="J4516" t="s">
        <v>122</v>
      </c>
      <c r="K4516">
        <v>0</v>
      </c>
      <c r="L4516" s="84">
        <v>2</v>
      </c>
      <c r="M4516" s="84">
        <v>0</v>
      </c>
    </row>
    <row r="4517" spans="3:13" hidden="1" x14ac:dyDescent="0.25">
      <c r="C4517" t="s">
        <v>64</v>
      </c>
      <c r="D4517" t="s">
        <v>120</v>
      </c>
      <c r="E4517" t="s">
        <v>63</v>
      </c>
      <c r="F4517" t="s">
        <v>124</v>
      </c>
      <c r="G4517">
        <v>0</v>
      </c>
      <c r="H4517" t="s">
        <v>18</v>
      </c>
      <c r="I4517" t="s">
        <v>121</v>
      </c>
      <c r="J4517" t="s">
        <v>66</v>
      </c>
      <c r="K4517">
        <v>1</v>
      </c>
      <c r="L4517" s="84">
        <v>888098</v>
      </c>
      <c r="M4517" s="84">
        <v>0</v>
      </c>
    </row>
    <row r="4518" spans="3:13" hidden="1" x14ac:dyDescent="0.25">
      <c r="C4518" t="s">
        <v>65</v>
      </c>
      <c r="D4518" t="s">
        <v>120</v>
      </c>
      <c r="E4518" t="s">
        <v>63</v>
      </c>
      <c r="F4518" t="s">
        <v>124</v>
      </c>
      <c r="G4518">
        <v>6</v>
      </c>
      <c r="H4518" t="s">
        <v>71</v>
      </c>
      <c r="I4518" t="s">
        <v>121</v>
      </c>
      <c r="J4518" t="s">
        <v>122</v>
      </c>
      <c r="K4518">
        <v>0</v>
      </c>
      <c r="L4518" s="84">
        <v>18198</v>
      </c>
      <c r="M4518" s="84">
        <v>109188</v>
      </c>
    </row>
    <row r="4519" spans="3:13" hidden="1" x14ac:dyDescent="0.25">
      <c r="C4519" t="s">
        <v>119</v>
      </c>
      <c r="D4519" t="s">
        <v>120</v>
      </c>
      <c r="E4519" t="s">
        <v>60</v>
      </c>
      <c r="F4519" t="s">
        <v>24</v>
      </c>
      <c r="G4519">
        <v>6</v>
      </c>
      <c r="H4519" t="s">
        <v>14</v>
      </c>
      <c r="I4519" t="s">
        <v>121</v>
      </c>
      <c r="J4519" t="s">
        <v>66</v>
      </c>
      <c r="K4519">
        <v>1</v>
      </c>
      <c r="L4519" s="84">
        <v>-132</v>
      </c>
      <c r="M4519" s="84">
        <v>0</v>
      </c>
    </row>
    <row r="4520" spans="3:13" hidden="1" x14ac:dyDescent="0.25">
      <c r="C4520" t="s">
        <v>119</v>
      </c>
      <c r="D4520" t="s">
        <v>125</v>
      </c>
      <c r="E4520" t="s">
        <v>60</v>
      </c>
      <c r="F4520" t="s">
        <v>24</v>
      </c>
      <c r="G4520">
        <v>8</v>
      </c>
      <c r="I4520" t="s">
        <v>121</v>
      </c>
      <c r="J4520" t="s">
        <v>122</v>
      </c>
      <c r="K4520">
        <v>0</v>
      </c>
      <c r="L4520" s="84">
        <v>-55473</v>
      </c>
      <c r="M4520" s="84">
        <v>0</v>
      </c>
    </row>
    <row r="4521" spans="3:13" x14ac:dyDescent="0.25">
      <c r="C4521" t="s">
        <v>64</v>
      </c>
      <c r="D4521" t="s">
        <v>120</v>
      </c>
      <c r="E4521" t="s">
        <v>63</v>
      </c>
      <c r="F4521" t="s">
        <v>25</v>
      </c>
      <c r="G4521">
        <v>4</v>
      </c>
      <c r="H4521" t="s">
        <v>12</v>
      </c>
      <c r="I4521" t="s">
        <v>121</v>
      </c>
      <c r="J4521" t="s">
        <v>66</v>
      </c>
      <c r="K4521">
        <v>1</v>
      </c>
      <c r="L4521" s="84">
        <v>662890</v>
      </c>
      <c r="M4521" s="84">
        <v>2651560</v>
      </c>
    </row>
    <row r="4522" spans="3:13" hidden="1" x14ac:dyDescent="0.25">
      <c r="C4522" t="s">
        <v>119</v>
      </c>
      <c r="D4522" t="s">
        <v>120</v>
      </c>
      <c r="E4522" t="s">
        <v>63</v>
      </c>
      <c r="F4522" t="s">
        <v>24</v>
      </c>
      <c r="G4522">
        <v>2</v>
      </c>
      <c r="H4522" t="s">
        <v>68</v>
      </c>
      <c r="I4522" t="s">
        <v>121</v>
      </c>
      <c r="J4522" t="s">
        <v>122</v>
      </c>
      <c r="K4522">
        <v>0</v>
      </c>
      <c r="L4522" s="84">
        <v>64202320</v>
      </c>
      <c r="M4522" s="84">
        <v>128404640</v>
      </c>
    </row>
    <row r="4523" spans="3:13" hidden="1" x14ac:dyDescent="0.25">
      <c r="C4523" t="s">
        <v>119</v>
      </c>
      <c r="D4523" t="s">
        <v>120</v>
      </c>
      <c r="E4523" t="s">
        <v>60</v>
      </c>
      <c r="F4523" t="s">
        <v>124</v>
      </c>
      <c r="G4523">
        <v>5</v>
      </c>
      <c r="H4523" t="s">
        <v>18</v>
      </c>
      <c r="I4523" t="s">
        <v>121</v>
      </c>
      <c r="J4523" t="s">
        <v>122</v>
      </c>
      <c r="K4523">
        <v>0</v>
      </c>
      <c r="L4523" s="84">
        <v>-244123</v>
      </c>
      <c r="M4523" s="84">
        <v>0</v>
      </c>
    </row>
    <row r="4524" spans="3:13" hidden="1" x14ac:dyDescent="0.25">
      <c r="C4524" t="s">
        <v>65</v>
      </c>
      <c r="D4524" t="s">
        <v>125</v>
      </c>
      <c r="E4524" t="s">
        <v>63</v>
      </c>
      <c r="F4524" t="s">
        <v>24</v>
      </c>
      <c r="G4524">
        <v>16</v>
      </c>
      <c r="I4524" t="s">
        <v>121</v>
      </c>
      <c r="J4524" t="s">
        <v>122</v>
      </c>
      <c r="K4524">
        <v>0</v>
      </c>
      <c r="L4524" s="84">
        <v>3759799</v>
      </c>
      <c r="M4524" s="84">
        <v>60156784</v>
      </c>
    </row>
    <row r="4525" spans="3:13" hidden="1" x14ac:dyDescent="0.25">
      <c r="C4525" t="s">
        <v>65</v>
      </c>
      <c r="D4525" t="s">
        <v>120</v>
      </c>
      <c r="E4525" t="s">
        <v>63</v>
      </c>
      <c r="F4525" t="s">
        <v>123</v>
      </c>
      <c r="G4525">
        <v>1</v>
      </c>
      <c r="H4525" t="s">
        <v>68</v>
      </c>
      <c r="I4525" t="s">
        <v>121</v>
      </c>
      <c r="J4525" t="s">
        <v>122</v>
      </c>
      <c r="K4525">
        <v>0</v>
      </c>
      <c r="L4525" s="84">
        <v>40956</v>
      </c>
      <c r="M4525" s="84">
        <v>40956</v>
      </c>
    </row>
    <row r="4526" spans="3:13" hidden="1" x14ac:dyDescent="0.25">
      <c r="C4526" t="s">
        <v>119</v>
      </c>
      <c r="D4526" t="s">
        <v>125</v>
      </c>
      <c r="E4526" t="s">
        <v>63</v>
      </c>
      <c r="F4526" t="s">
        <v>25</v>
      </c>
      <c r="G4526">
        <v>6</v>
      </c>
      <c r="I4526" t="s">
        <v>121</v>
      </c>
      <c r="J4526" t="s">
        <v>122</v>
      </c>
      <c r="K4526">
        <v>0</v>
      </c>
      <c r="L4526" s="84">
        <v>2506412</v>
      </c>
      <c r="M4526" s="84">
        <v>15038472</v>
      </c>
    </row>
    <row r="4527" spans="3:13" hidden="1" x14ac:dyDescent="0.25">
      <c r="C4527" t="s">
        <v>119</v>
      </c>
      <c r="D4527" t="s">
        <v>125</v>
      </c>
      <c r="E4527" t="s">
        <v>60</v>
      </c>
      <c r="F4527" t="s">
        <v>24</v>
      </c>
      <c r="G4527">
        <v>46</v>
      </c>
      <c r="I4527" t="s">
        <v>121</v>
      </c>
      <c r="J4527" t="s">
        <v>122</v>
      </c>
      <c r="K4527">
        <v>0</v>
      </c>
      <c r="L4527" s="84">
        <v>-15</v>
      </c>
      <c r="M4527" s="84">
        <v>0</v>
      </c>
    </row>
    <row r="4528" spans="3:13" hidden="1" x14ac:dyDescent="0.25">
      <c r="C4528" t="s">
        <v>64</v>
      </c>
      <c r="D4528" t="s">
        <v>125</v>
      </c>
      <c r="E4528" t="s">
        <v>60</v>
      </c>
      <c r="F4528" t="s">
        <v>24</v>
      </c>
      <c r="G4528">
        <v>12</v>
      </c>
      <c r="I4528" t="s">
        <v>121</v>
      </c>
      <c r="J4528" t="s">
        <v>122</v>
      </c>
      <c r="K4528">
        <v>0</v>
      </c>
      <c r="L4528" s="84">
        <v>-367503</v>
      </c>
      <c r="M4528" s="84">
        <v>0</v>
      </c>
    </row>
    <row r="4529" spans="3:13" hidden="1" x14ac:dyDescent="0.25">
      <c r="C4529" t="s">
        <v>119</v>
      </c>
      <c r="D4529" t="s">
        <v>120</v>
      </c>
      <c r="E4529" t="s">
        <v>63</v>
      </c>
      <c r="F4529" t="s">
        <v>124</v>
      </c>
      <c r="G4529">
        <v>4</v>
      </c>
      <c r="H4529" t="s">
        <v>68</v>
      </c>
      <c r="I4529" t="s">
        <v>121</v>
      </c>
      <c r="J4529" t="s">
        <v>122</v>
      </c>
      <c r="K4529">
        <v>0</v>
      </c>
      <c r="L4529" s="84">
        <v>58585000</v>
      </c>
      <c r="M4529" s="84">
        <v>234340000</v>
      </c>
    </row>
    <row r="4530" spans="3:13" hidden="1" x14ac:dyDescent="0.25">
      <c r="C4530" t="s">
        <v>65</v>
      </c>
      <c r="D4530" t="s">
        <v>120</v>
      </c>
      <c r="E4530" t="s">
        <v>60</v>
      </c>
      <c r="F4530" t="s">
        <v>124</v>
      </c>
      <c r="G4530">
        <v>-4</v>
      </c>
      <c r="H4530" t="s">
        <v>17</v>
      </c>
      <c r="I4530" t="s">
        <v>121</v>
      </c>
      <c r="J4530" t="s">
        <v>66</v>
      </c>
      <c r="K4530">
        <v>1</v>
      </c>
      <c r="L4530" s="84">
        <v>-268995</v>
      </c>
      <c r="M4530" s="84">
        <v>0</v>
      </c>
    </row>
    <row r="4531" spans="3:13" hidden="1" x14ac:dyDescent="0.25">
      <c r="C4531" t="s">
        <v>65</v>
      </c>
      <c r="D4531" t="s">
        <v>120</v>
      </c>
      <c r="E4531" t="s">
        <v>60</v>
      </c>
      <c r="F4531" t="s">
        <v>123</v>
      </c>
      <c r="G4531">
        <v>1</v>
      </c>
      <c r="H4531" t="s">
        <v>72</v>
      </c>
      <c r="I4531" t="s">
        <v>121</v>
      </c>
      <c r="J4531" t="s">
        <v>122</v>
      </c>
      <c r="K4531">
        <v>0</v>
      </c>
      <c r="L4531" s="84">
        <v>-21326</v>
      </c>
      <c r="M4531" s="84">
        <v>0</v>
      </c>
    </row>
    <row r="4532" spans="3:13" hidden="1" x14ac:dyDescent="0.25">
      <c r="C4532" t="s">
        <v>64</v>
      </c>
      <c r="D4532" t="s">
        <v>120</v>
      </c>
      <c r="E4532" t="s">
        <v>63</v>
      </c>
      <c r="F4532" t="s">
        <v>124</v>
      </c>
      <c r="G4532">
        <v>1</v>
      </c>
      <c r="H4532" t="s">
        <v>72</v>
      </c>
      <c r="I4532" t="s">
        <v>121</v>
      </c>
      <c r="J4532" t="s">
        <v>122</v>
      </c>
      <c r="K4532">
        <v>0</v>
      </c>
      <c r="L4532" s="84">
        <v>3357714</v>
      </c>
      <c r="M4532" s="84">
        <v>3357714</v>
      </c>
    </row>
    <row r="4533" spans="3:13" hidden="1" x14ac:dyDescent="0.25">
      <c r="C4533" t="s">
        <v>65</v>
      </c>
      <c r="D4533" t="s">
        <v>120</v>
      </c>
      <c r="E4533" t="s">
        <v>63</v>
      </c>
      <c r="F4533" t="s">
        <v>124</v>
      </c>
      <c r="G4533">
        <v>5</v>
      </c>
      <c r="H4533" t="s">
        <v>16</v>
      </c>
      <c r="I4533" t="s">
        <v>121</v>
      </c>
      <c r="J4533" t="s">
        <v>122</v>
      </c>
      <c r="K4533">
        <v>0</v>
      </c>
      <c r="L4533" s="84">
        <v>21372</v>
      </c>
      <c r="M4533" s="84">
        <v>106860</v>
      </c>
    </row>
    <row r="4534" spans="3:13" hidden="1" x14ac:dyDescent="0.25">
      <c r="C4534" t="s">
        <v>119</v>
      </c>
      <c r="D4534" t="s">
        <v>120</v>
      </c>
      <c r="E4534" t="s">
        <v>60</v>
      </c>
      <c r="F4534" t="s">
        <v>124</v>
      </c>
      <c r="G4534">
        <v>2</v>
      </c>
      <c r="H4534" t="s">
        <v>12</v>
      </c>
      <c r="I4534" t="s">
        <v>121</v>
      </c>
      <c r="J4534" t="s">
        <v>66</v>
      </c>
      <c r="K4534">
        <v>1</v>
      </c>
      <c r="L4534" s="84">
        <v>-21712</v>
      </c>
      <c r="M4534" s="84">
        <v>0</v>
      </c>
    </row>
    <row r="4535" spans="3:13" hidden="1" x14ac:dyDescent="0.25">
      <c r="C4535" t="s">
        <v>64</v>
      </c>
      <c r="D4535" t="s">
        <v>120</v>
      </c>
      <c r="E4535" t="s">
        <v>63</v>
      </c>
      <c r="F4535" t="s">
        <v>24</v>
      </c>
      <c r="G4535">
        <v>14</v>
      </c>
      <c r="H4535" t="s">
        <v>69</v>
      </c>
      <c r="I4535" t="s">
        <v>121</v>
      </c>
      <c r="J4535" t="s">
        <v>122</v>
      </c>
      <c r="K4535">
        <v>0</v>
      </c>
      <c r="L4535" s="84">
        <v>264804</v>
      </c>
      <c r="M4535" s="84">
        <v>3707256</v>
      </c>
    </row>
    <row r="4536" spans="3:13" hidden="1" x14ac:dyDescent="0.25">
      <c r="C4536" t="s">
        <v>119</v>
      </c>
      <c r="D4536" t="s">
        <v>120</v>
      </c>
      <c r="E4536" t="s">
        <v>63</v>
      </c>
      <c r="F4536" t="s">
        <v>123</v>
      </c>
      <c r="G4536">
        <v>0</v>
      </c>
      <c r="H4536" t="s">
        <v>67</v>
      </c>
      <c r="I4536" t="s">
        <v>121</v>
      </c>
      <c r="J4536" t="s">
        <v>122</v>
      </c>
      <c r="K4536">
        <v>0</v>
      </c>
      <c r="L4536" s="84">
        <v>314546</v>
      </c>
      <c r="M4536" s="84">
        <v>0</v>
      </c>
    </row>
    <row r="4537" spans="3:13" hidden="1" x14ac:dyDescent="0.25">
      <c r="C4537" t="s">
        <v>119</v>
      </c>
      <c r="D4537" t="s">
        <v>120</v>
      </c>
      <c r="E4537" t="s">
        <v>63</v>
      </c>
      <c r="F4537" t="s">
        <v>24</v>
      </c>
      <c r="G4537">
        <v>3</v>
      </c>
      <c r="H4537" t="s">
        <v>17</v>
      </c>
      <c r="I4537" t="s">
        <v>121</v>
      </c>
      <c r="J4537" t="s">
        <v>122</v>
      </c>
      <c r="K4537">
        <v>0</v>
      </c>
      <c r="L4537" s="84">
        <v>6275613</v>
      </c>
      <c r="M4537" s="84">
        <v>18826839</v>
      </c>
    </row>
    <row r="4538" spans="3:13" hidden="1" x14ac:dyDescent="0.25">
      <c r="C4538" t="s">
        <v>119</v>
      </c>
      <c r="D4538" t="s">
        <v>120</v>
      </c>
      <c r="E4538" t="s">
        <v>60</v>
      </c>
      <c r="F4538" t="s">
        <v>25</v>
      </c>
      <c r="G4538">
        <v>8</v>
      </c>
      <c r="H4538" t="s">
        <v>61</v>
      </c>
      <c r="I4538" t="s">
        <v>121</v>
      </c>
      <c r="J4538" t="s">
        <v>122</v>
      </c>
      <c r="K4538">
        <v>0</v>
      </c>
      <c r="L4538" s="84">
        <v>-2634</v>
      </c>
      <c r="M4538" s="84">
        <v>0</v>
      </c>
    </row>
    <row r="4539" spans="3:13" hidden="1" x14ac:dyDescent="0.25">
      <c r="C4539" t="s">
        <v>65</v>
      </c>
      <c r="D4539" t="s">
        <v>120</v>
      </c>
      <c r="E4539" t="s">
        <v>60</v>
      </c>
      <c r="F4539" t="s">
        <v>25</v>
      </c>
      <c r="G4539">
        <v>6</v>
      </c>
      <c r="H4539" t="s">
        <v>14</v>
      </c>
      <c r="I4539" t="s">
        <v>121</v>
      </c>
      <c r="J4539" t="s">
        <v>122</v>
      </c>
      <c r="K4539">
        <v>0</v>
      </c>
      <c r="L4539" s="84">
        <v>-145224</v>
      </c>
      <c r="M4539" s="84">
        <v>0</v>
      </c>
    </row>
    <row r="4540" spans="3:13" hidden="1" x14ac:dyDescent="0.25">
      <c r="C4540" t="s">
        <v>65</v>
      </c>
      <c r="D4540" t="s">
        <v>120</v>
      </c>
      <c r="E4540" t="s">
        <v>63</v>
      </c>
      <c r="F4540" t="s">
        <v>123</v>
      </c>
      <c r="G4540">
        <v>8</v>
      </c>
      <c r="H4540" t="s">
        <v>13</v>
      </c>
      <c r="I4540" t="s">
        <v>121</v>
      </c>
      <c r="J4540" t="s">
        <v>122</v>
      </c>
      <c r="K4540">
        <v>0</v>
      </c>
      <c r="L4540" s="84">
        <v>187284</v>
      </c>
      <c r="M4540" s="84">
        <v>1498272</v>
      </c>
    </row>
    <row r="4541" spans="3:13" hidden="1" x14ac:dyDescent="0.25">
      <c r="C4541" t="s">
        <v>64</v>
      </c>
      <c r="D4541" t="s">
        <v>120</v>
      </c>
      <c r="E4541" t="s">
        <v>63</v>
      </c>
      <c r="F4541" t="s">
        <v>25</v>
      </c>
      <c r="G4541">
        <v>5</v>
      </c>
      <c r="H4541" t="s">
        <v>12</v>
      </c>
      <c r="I4541" t="s">
        <v>121</v>
      </c>
      <c r="J4541" t="s">
        <v>122</v>
      </c>
      <c r="K4541">
        <v>0</v>
      </c>
      <c r="L4541" s="84">
        <v>270674</v>
      </c>
      <c r="M4541" s="84">
        <v>1353370</v>
      </c>
    </row>
    <row r="4542" spans="3:13" hidden="1" x14ac:dyDescent="0.25">
      <c r="C4542" t="s">
        <v>119</v>
      </c>
      <c r="D4542" t="s">
        <v>120</v>
      </c>
      <c r="E4542" t="s">
        <v>60</v>
      </c>
      <c r="F4542" t="s">
        <v>123</v>
      </c>
      <c r="G4542">
        <v>-1</v>
      </c>
      <c r="H4542" t="s">
        <v>18</v>
      </c>
      <c r="I4542" t="s">
        <v>121</v>
      </c>
      <c r="J4542" t="s">
        <v>66</v>
      </c>
      <c r="K4542">
        <v>1</v>
      </c>
      <c r="L4542" s="84">
        <v>-1407</v>
      </c>
      <c r="M4542" s="84">
        <v>0</v>
      </c>
    </row>
    <row r="4543" spans="3:13" hidden="1" x14ac:dyDescent="0.25">
      <c r="C4543" t="s">
        <v>64</v>
      </c>
      <c r="D4543" t="s">
        <v>120</v>
      </c>
      <c r="E4543" t="s">
        <v>60</v>
      </c>
      <c r="F4543" t="s">
        <v>124</v>
      </c>
      <c r="G4543">
        <v>0</v>
      </c>
      <c r="H4543" t="s">
        <v>68</v>
      </c>
      <c r="I4543" t="s">
        <v>121</v>
      </c>
      <c r="J4543" t="s">
        <v>122</v>
      </c>
      <c r="K4543">
        <v>0</v>
      </c>
      <c r="L4543" s="84">
        <v>-31650</v>
      </c>
      <c r="M4543" s="84">
        <v>0</v>
      </c>
    </row>
    <row r="4544" spans="3:13" hidden="1" x14ac:dyDescent="0.25">
      <c r="C4544" t="s">
        <v>119</v>
      </c>
      <c r="D4544" t="s">
        <v>120</v>
      </c>
      <c r="E4544" t="s">
        <v>63</v>
      </c>
      <c r="F4544" t="s">
        <v>124</v>
      </c>
      <c r="G4544">
        <v>9</v>
      </c>
      <c r="H4544" t="s">
        <v>67</v>
      </c>
      <c r="I4544" t="s">
        <v>121</v>
      </c>
      <c r="J4544" t="s">
        <v>122</v>
      </c>
      <c r="K4544">
        <v>0</v>
      </c>
      <c r="L4544" s="84">
        <v>184694</v>
      </c>
      <c r="M4544" s="84">
        <v>1662246</v>
      </c>
    </row>
    <row r="4545" spans="3:13" hidden="1" x14ac:dyDescent="0.25">
      <c r="C4545" t="s">
        <v>65</v>
      </c>
      <c r="D4545" t="s">
        <v>120</v>
      </c>
      <c r="E4545" t="s">
        <v>60</v>
      </c>
      <c r="F4545" t="s">
        <v>123</v>
      </c>
      <c r="G4545">
        <v>2</v>
      </c>
      <c r="H4545" t="s">
        <v>14</v>
      </c>
      <c r="I4545" t="s">
        <v>121</v>
      </c>
      <c r="J4545" t="s">
        <v>66</v>
      </c>
      <c r="K4545">
        <v>1</v>
      </c>
      <c r="L4545" s="84">
        <v>-263747</v>
      </c>
      <c r="M4545" s="84">
        <v>0</v>
      </c>
    </row>
    <row r="4546" spans="3:13" hidden="1" x14ac:dyDescent="0.25">
      <c r="C4546" t="s">
        <v>119</v>
      </c>
      <c r="D4546" t="s">
        <v>120</v>
      </c>
      <c r="E4546" t="s">
        <v>60</v>
      </c>
      <c r="F4546" t="s">
        <v>25</v>
      </c>
      <c r="G4546">
        <v>15</v>
      </c>
      <c r="H4546" t="s">
        <v>72</v>
      </c>
      <c r="I4546" t="s">
        <v>121</v>
      </c>
      <c r="J4546" t="s">
        <v>122</v>
      </c>
      <c r="K4546">
        <v>0</v>
      </c>
      <c r="L4546" s="84">
        <v>-169</v>
      </c>
      <c r="M4546" s="84">
        <v>0</v>
      </c>
    </row>
    <row r="4547" spans="3:13" hidden="1" x14ac:dyDescent="0.25">
      <c r="C4547" t="s">
        <v>119</v>
      </c>
      <c r="D4547" t="s">
        <v>120</v>
      </c>
      <c r="E4547" t="s">
        <v>60</v>
      </c>
      <c r="F4547" t="s">
        <v>123</v>
      </c>
      <c r="G4547">
        <v>-4</v>
      </c>
      <c r="H4547" t="s">
        <v>67</v>
      </c>
      <c r="I4547" t="s">
        <v>121</v>
      </c>
      <c r="J4547" t="s">
        <v>122</v>
      </c>
      <c r="K4547">
        <v>0</v>
      </c>
      <c r="L4547" s="84">
        <v>-4</v>
      </c>
      <c r="M4547" s="84">
        <v>0</v>
      </c>
    </row>
    <row r="4548" spans="3:13" hidden="1" x14ac:dyDescent="0.25">
      <c r="C4548" t="s">
        <v>65</v>
      </c>
      <c r="D4548" t="s">
        <v>120</v>
      </c>
      <c r="E4548" t="s">
        <v>60</v>
      </c>
      <c r="F4548" t="s">
        <v>123</v>
      </c>
      <c r="G4548">
        <v>-1</v>
      </c>
      <c r="H4548" t="s">
        <v>18</v>
      </c>
      <c r="I4548" t="s">
        <v>121</v>
      </c>
      <c r="J4548" t="s">
        <v>122</v>
      </c>
      <c r="K4548">
        <v>0</v>
      </c>
      <c r="L4548" s="84">
        <v>-43312</v>
      </c>
      <c r="M4548" s="84">
        <v>0</v>
      </c>
    </row>
    <row r="4549" spans="3:13" hidden="1" x14ac:dyDescent="0.25">
      <c r="C4549" t="s">
        <v>64</v>
      </c>
      <c r="D4549" t="s">
        <v>125</v>
      </c>
      <c r="E4549" t="s">
        <v>60</v>
      </c>
      <c r="F4549" t="s">
        <v>24</v>
      </c>
      <c r="G4549">
        <v>13</v>
      </c>
      <c r="I4549" t="s">
        <v>121</v>
      </c>
      <c r="J4549" t="s">
        <v>122</v>
      </c>
      <c r="K4549">
        <v>0</v>
      </c>
      <c r="L4549" s="84">
        <v>-356820</v>
      </c>
      <c r="M4549" s="84">
        <v>0</v>
      </c>
    </row>
    <row r="4550" spans="3:13" hidden="1" x14ac:dyDescent="0.25">
      <c r="C4550" t="s">
        <v>119</v>
      </c>
      <c r="D4550" t="s">
        <v>120</v>
      </c>
      <c r="E4550" t="s">
        <v>60</v>
      </c>
      <c r="F4550" t="s">
        <v>24</v>
      </c>
      <c r="G4550">
        <v>2</v>
      </c>
      <c r="H4550" t="s">
        <v>73</v>
      </c>
      <c r="I4550" t="s">
        <v>121</v>
      </c>
      <c r="J4550" t="s">
        <v>122</v>
      </c>
      <c r="K4550">
        <v>0</v>
      </c>
      <c r="L4550" s="84">
        <v>-266</v>
      </c>
      <c r="M4550" s="84">
        <v>0</v>
      </c>
    </row>
    <row r="4551" spans="3:13" hidden="1" x14ac:dyDescent="0.25">
      <c r="C4551" t="s">
        <v>119</v>
      </c>
      <c r="D4551" t="s">
        <v>120</v>
      </c>
      <c r="E4551" t="s">
        <v>63</v>
      </c>
      <c r="F4551" t="s">
        <v>124</v>
      </c>
      <c r="G4551">
        <v>2</v>
      </c>
      <c r="H4551" t="s">
        <v>69</v>
      </c>
      <c r="I4551" t="s">
        <v>121</v>
      </c>
      <c r="J4551" t="s">
        <v>122</v>
      </c>
      <c r="K4551">
        <v>0</v>
      </c>
      <c r="L4551" s="84">
        <v>41812251</v>
      </c>
      <c r="M4551" s="84">
        <v>83624502</v>
      </c>
    </row>
    <row r="4552" spans="3:13" hidden="1" x14ac:dyDescent="0.25">
      <c r="C4552" t="s">
        <v>65</v>
      </c>
      <c r="D4552" t="s">
        <v>120</v>
      </c>
      <c r="E4552" t="s">
        <v>60</v>
      </c>
      <c r="F4552" t="s">
        <v>25</v>
      </c>
      <c r="G4552">
        <v>-4</v>
      </c>
      <c r="H4552" t="s">
        <v>13</v>
      </c>
      <c r="I4552" t="s">
        <v>121</v>
      </c>
      <c r="J4552" t="s">
        <v>122</v>
      </c>
      <c r="K4552">
        <v>0</v>
      </c>
      <c r="L4552" s="84">
        <v>-30666</v>
      </c>
      <c r="M4552" s="84">
        <v>0</v>
      </c>
    </row>
    <row r="4553" spans="3:13" hidden="1" x14ac:dyDescent="0.25">
      <c r="C4553" t="s">
        <v>119</v>
      </c>
      <c r="D4553" t="s">
        <v>120</v>
      </c>
      <c r="E4553" t="s">
        <v>63</v>
      </c>
      <c r="F4553" t="s">
        <v>124</v>
      </c>
      <c r="G4553">
        <v>5</v>
      </c>
      <c r="H4553" t="s">
        <v>17</v>
      </c>
      <c r="I4553" t="s">
        <v>62</v>
      </c>
      <c r="J4553" t="s">
        <v>66</v>
      </c>
      <c r="K4553">
        <v>1</v>
      </c>
      <c r="L4553" s="84">
        <v>423088</v>
      </c>
      <c r="M4553" s="84">
        <v>2115440</v>
      </c>
    </row>
    <row r="4554" spans="3:13" hidden="1" x14ac:dyDescent="0.25">
      <c r="C4554" t="s">
        <v>64</v>
      </c>
      <c r="D4554" t="s">
        <v>120</v>
      </c>
      <c r="E4554" t="s">
        <v>60</v>
      </c>
      <c r="F4554" t="s">
        <v>24</v>
      </c>
      <c r="G4554">
        <v>9</v>
      </c>
      <c r="H4554" t="s">
        <v>72</v>
      </c>
      <c r="I4554" t="s">
        <v>121</v>
      </c>
      <c r="J4554" t="s">
        <v>122</v>
      </c>
      <c r="K4554">
        <v>0</v>
      </c>
      <c r="L4554" s="84">
        <v>-4736</v>
      </c>
      <c r="M4554" s="84">
        <v>0</v>
      </c>
    </row>
    <row r="4555" spans="3:13" hidden="1" x14ac:dyDescent="0.25">
      <c r="C4555" t="s">
        <v>119</v>
      </c>
      <c r="D4555" t="s">
        <v>120</v>
      </c>
      <c r="E4555" t="s">
        <v>63</v>
      </c>
      <c r="F4555" t="s">
        <v>25</v>
      </c>
      <c r="G4555">
        <v>13</v>
      </c>
      <c r="H4555" t="s">
        <v>72</v>
      </c>
      <c r="I4555" t="s">
        <v>121</v>
      </c>
      <c r="J4555" t="s">
        <v>122</v>
      </c>
      <c r="K4555">
        <v>0</v>
      </c>
      <c r="L4555" s="84">
        <v>2344882</v>
      </c>
      <c r="M4555" s="84">
        <v>30483466</v>
      </c>
    </row>
    <row r="4556" spans="3:13" hidden="1" x14ac:dyDescent="0.25">
      <c r="C4556" t="s">
        <v>119</v>
      </c>
      <c r="D4556" t="s">
        <v>120</v>
      </c>
      <c r="E4556" t="s">
        <v>60</v>
      </c>
      <c r="F4556" t="s">
        <v>123</v>
      </c>
      <c r="G4556">
        <v>-4</v>
      </c>
      <c r="H4556" t="s">
        <v>17</v>
      </c>
      <c r="I4556" t="s">
        <v>62</v>
      </c>
      <c r="J4556" t="s">
        <v>66</v>
      </c>
      <c r="K4556">
        <v>1</v>
      </c>
      <c r="L4556" s="84">
        <v>0</v>
      </c>
      <c r="M4556" s="84">
        <v>0</v>
      </c>
    </row>
    <row r="4557" spans="3:13" hidden="1" x14ac:dyDescent="0.25">
      <c r="C4557" t="s">
        <v>64</v>
      </c>
      <c r="D4557" t="s">
        <v>120</v>
      </c>
      <c r="E4557" t="s">
        <v>60</v>
      </c>
      <c r="F4557" t="s">
        <v>25</v>
      </c>
      <c r="G4557">
        <v>11</v>
      </c>
      <c r="H4557" t="s">
        <v>14</v>
      </c>
      <c r="I4557" t="s">
        <v>121</v>
      </c>
      <c r="J4557" t="s">
        <v>122</v>
      </c>
      <c r="K4557">
        <v>0</v>
      </c>
      <c r="L4557" s="84">
        <v>-194575</v>
      </c>
      <c r="M4557" s="84">
        <v>0</v>
      </c>
    </row>
    <row r="4558" spans="3:13" hidden="1" x14ac:dyDescent="0.25">
      <c r="C4558" t="s">
        <v>64</v>
      </c>
      <c r="D4558" t="s">
        <v>120</v>
      </c>
      <c r="E4558" t="s">
        <v>60</v>
      </c>
      <c r="F4558" t="s">
        <v>25</v>
      </c>
      <c r="G4558">
        <v>15</v>
      </c>
      <c r="H4558" t="s">
        <v>14</v>
      </c>
      <c r="I4558" t="s">
        <v>121</v>
      </c>
      <c r="J4558" t="s">
        <v>66</v>
      </c>
      <c r="K4558">
        <v>1</v>
      </c>
      <c r="L4558" s="84">
        <v>-8558</v>
      </c>
      <c r="M4558" s="84">
        <v>0</v>
      </c>
    </row>
    <row r="4559" spans="3:13" hidden="1" x14ac:dyDescent="0.25">
      <c r="C4559" t="s">
        <v>64</v>
      </c>
      <c r="D4559" t="s">
        <v>120</v>
      </c>
      <c r="E4559" t="s">
        <v>60</v>
      </c>
      <c r="F4559" t="s">
        <v>124</v>
      </c>
      <c r="G4559">
        <v>-1</v>
      </c>
      <c r="H4559" t="s">
        <v>67</v>
      </c>
      <c r="I4559" t="s">
        <v>121</v>
      </c>
      <c r="J4559" t="s">
        <v>122</v>
      </c>
      <c r="K4559">
        <v>0</v>
      </c>
      <c r="L4559" s="84">
        <v>-576202</v>
      </c>
      <c r="M4559" s="84">
        <v>0</v>
      </c>
    </row>
    <row r="4560" spans="3:13" x14ac:dyDescent="0.25">
      <c r="C4560" t="s">
        <v>65</v>
      </c>
      <c r="D4560" t="s">
        <v>120</v>
      </c>
      <c r="E4560" t="s">
        <v>63</v>
      </c>
      <c r="F4560" t="s">
        <v>25</v>
      </c>
      <c r="G4560">
        <v>10</v>
      </c>
      <c r="H4560" t="s">
        <v>14</v>
      </c>
      <c r="I4560" t="s">
        <v>121</v>
      </c>
      <c r="J4560" t="s">
        <v>66</v>
      </c>
      <c r="K4560">
        <v>1</v>
      </c>
      <c r="L4560" s="84">
        <v>144398</v>
      </c>
      <c r="M4560" s="84">
        <v>1443980</v>
      </c>
    </row>
    <row r="4561" spans="3:13" hidden="1" x14ac:dyDescent="0.25">
      <c r="C4561" t="s">
        <v>119</v>
      </c>
      <c r="D4561" t="s">
        <v>120</v>
      </c>
      <c r="E4561" t="s">
        <v>60</v>
      </c>
      <c r="F4561" t="s">
        <v>25</v>
      </c>
      <c r="G4561">
        <v>4</v>
      </c>
      <c r="H4561" t="s">
        <v>18</v>
      </c>
      <c r="I4561" t="s">
        <v>121</v>
      </c>
      <c r="J4561" t="s">
        <v>66</v>
      </c>
      <c r="K4561">
        <v>1</v>
      </c>
      <c r="L4561" s="84">
        <v>-260</v>
      </c>
      <c r="M4561" s="84">
        <v>0</v>
      </c>
    </row>
    <row r="4562" spans="3:13" x14ac:dyDescent="0.25">
      <c r="C4562" t="s">
        <v>119</v>
      </c>
      <c r="D4562" t="s">
        <v>120</v>
      </c>
      <c r="E4562" t="s">
        <v>63</v>
      </c>
      <c r="F4562" t="s">
        <v>25</v>
      </c>
      <c r="G4562">
        <v>1</v>
      </c>
      <c r="H4562" t="s">
        <v>12</v>
      </c>
      <c r="I4562" t="s">
        <v>121</v>
      </c>
      <c r="J4562" t="s">
        <v>66</v>
      </c>
      <c r="K4562">
        <v>1</v>
      </c>
      <c r="L4562" s="84">
        <v>106845</v>
      </c>
      <c r="M4562" s="84">
        <v>106845</v>
      </c>
    </row>
    <row r="4563" spans="3:13" hidden="1" x14ac:dyDescent="0.25">
      <c r="C4563" t="s">
        <v>64</v>
      </c>
      <c r="D4563" t="s">
        <v>120</v>
      </c>
      <c r="E4563" t="s">
        <v>60</v>
      </c>
      <c r="F4563" t="s">
        <v>25</v>
      </c>
      <c r="G4563">
        <v>6</v>
      </c>
      <c r="H4563" t="s">
        <v>17</v>
      </c>
      <c r="I4563" t="s">
        <v>121</v>
      </c>
      <c r="J4563" t="s">
        <v>122</v>
      </c>
      <c r="K4563">
        <v>0</v>
      </c>
      <c r="L4563" s="84">
        <v>-44637</v>
      </c>
      <c r="M4563" s="84">
        <v>0</v>
      </c>
    </row>
    <row r="4564" spans="3:13" hidden="1" x14ac:dyDescent="0.25">
      <c r="C4564" t="s">
        <v>65</v>
      </c>
      <c r="D4564" t="s">
        <v>120</v>
      </c>
      <c r="E4564" t="s">
        <v>63</v>
      </c>
      <c r="F4564" t="s">
        <v>123</v>
      </c>
      <c r="G4564">
        <v>1</v>
      </c>
      <c r="H4564" t="s">
        <v>76</v>
      </c>
      <c r="I4564" t="s">
        <v>121</v>
      </c>
      <c r="J4564" t="s">
        <v>122</v>
      </c>
      <c r="K4564">
        <v>0</v>
      </c>
      <c r="L4564" s="84">
        <v>14216</v>
      </c>
      <c r="M4564" s="84">
        <v>14216</v>
      </c>
    </row>
    <row r="4565" spans="3:13" hidden="1" x14ac:dyDescent="0.25">
      <c r="C4565" t="s">
        <v>119</v>
      </c>
      <c r="D4565" t="s">
        <v>126</v>
      </c>
      <c r="E4565" t="s">
        <v>60</v>
      </c>
      <c r="F4565" t="s">
        <v>25</v>
      </c>
      <c r="G4565">
        <v>5</v>
      </c>
      <c r="H4565" t="s">
        <v>68</v>
      </c>
      <c r="I4565" t="s">
        <v>121</v>
      </c>
      <c r="J4565" t="s">
        <v>122</v>
      </c>
      <c r="K4565">
        <v>0</v>
      </c>
      <c r="L4565" s="84">
        <v>-916</v>
      </c>
      <c r="M4565" s="84">
        <v>0</v>
      </c>
    </row>
    <row r="4566" spans="3:13" hidden="1" x14ac:dyDescent="0.25">
      <c r="C4566" t="s">
        <v>119</v>
      </c>
      <c r="D4566" t="s">
        <v>120</v>
      </c>
      <c r="E4566" t="s">
        <v>60</v>
      </c>
      <c r="F4566" t="s">
        <v>24</v>
      </c>
      <c r="G4566">
        <v>9</v>
      </c>
      <c r="H4566" t="s">
        <v>73</v>
      </c>
      <c r="I4566" t="s">
        <v>121</v>
      </c>
      <c r="J4566" t="s">
        <v>122</v>
      </c>
      <c r="K4566">
        <v>0</v>
      </c>
      <c r="L4566" s="84">
        <v>-749</v>
      </c>
      <c r="M4566" s="84">
        <v>0</v>
      </c>
    </row>
    <row r="4567" spans="3:13" hidden="1" x14ac:dyDescent="0.25">
      <c r="C4567" t="s">
        <v>119</v>
      </c>
      <c r="D4567" t="s">
        <v>120</v>
      </c>
      <c r="E4567" t="s">
        <v>63</v>
      </c>
      <c r="F4567" t="s">
        <v>124</v>
      </c>
      <c r="G4567">
        <v>4</v>
      </c>
      <c r="H4567" t="s">
        <v>76</v>
      </c>
      <c r="I4567" t="s">
        <v>121</v>
      </c>
      <c r="J4567" t="s">
        <v>122</v>
      </c>
      <c r="K4567">
        <v>0</v>
      </c>
      <c r="L4567" s="84">
        <v>2737680</v>
      </c>
      <c r="M4567" s="84">
        <v>10950720</v>
      </c>
    </row>
    <row r="4568" spans="3:13" hidden="1" x14ac:dyDescent="0.25">
      <c r="C4568" t="s">
        <v>65</v>
      </c>
      <c r="D4568" t="s">
        <v>120</v>
      </c>
      <c r="E4568" t="s">
        <v>63</v>
      </c>
      <c r="F4568" t="s">
        <v>123</v>
      </c>
      <c r="G4568">
        <v>-4</v>
      </c>
      <c r="H4568" t="s">
        <v>72</v>
      </c>
      <c r="I4568" t="s">
        <v>121</v>
      </c>
      <c r="J4568" t="s">
        <v>122</v>
      </c>
      <c r="K4568">
        <v>0</v>
      </c>
      <c r="L4568" s="84">
        <v>10270</v>
      </c>
      <c r="M4568" s="84">
        <v>0</v>
      </c>
    </row>
    <row r="4569" spans="3:13" hidden="1" x14ac:dyDescent="0.25">
      <c r="C4569" t="s">
        <v>64</v>
      </c>
      <c r="D4569" t="s">
        <v>125</v>
      </c>
      <c r="E4569" t="s">
        <v>60</v>
      </c>
      <c r="F4569" t="s">
        <v>25</v>
      </c>
      <c r="G4569">
        <v>9</v>
      </c>
      <c r="I4569" t="s">
        <v>121</v>
      </c>
      <c r="J4569" t="s">
        <v>122</v>
      </c>
      <c r="K4569">
        <v>0</v>
      </c>
      <c r="L4569" s="84">
        <v>-21181</v>
      </c>
      <c r="M4569" s="84">
        <v>0</v>
      </c>
    </row>
    <row r="4570" spans="3:13" hidden="1" x14ac:dyDescent="0.25">
      <c r="C4570" t="s">
        <v>119</v>
      </c>
      <c r="D4570" t="s">
        <v>120</v>
      </c>
      <c r="E4570" t="s">
        <v>60</v>
      </c>
      <c r="F4570" t="s">
        <v>25</v>
      </c>
      <c r="G4570">
        <v>-4</v>
      </c>
      <c r="H4570" t="s">
        <v>17</v>
      </c>
      <c r="I4570" t="s">
        <v>121</v>
      </c>
      <c r="J4570" t="s">
        <v>122</v>
      </c>
      <c r="K4570">
        <v>0</v>
      </c>
      <c r="L4570" s="84">
        <v>-154</v>
      </c>
      <c r="M4570" s="84">
        <v>0</v>
      </c>
    </row>
    <row r="4571" spans="3:13" hidden="1" x14ac:dyDescent="0.25">
      <c r="C4571" t="s">
        <v>119</v>
      </c>
      <c r="D4571" t="s">
        <v>120</v>
      </c>
      <c r="E4571" t="s">
        <v>60</v>
      </c>
      <c r="F4571" t="s">
        <v>124</v>
      </c>
      <c r="G4571">
        <v>3</v>
      </c>
      <c r="H4571" t="s">
        <v>61</v>
      </c>
      <c r="I4571" t="s">
        <v>121</v>
      </c>
      <c r="J4571" t="s">
        <v>122</v>
      </c>
      <c r="K4571">
        <v>0</v>
      </c>
      <c r="L4571" s="84">
        <v>-48113</v>
      </c>
      <c r="M4571" s="84">
        <v>0</v>
      </c>
    </row>
    <row r="4572" spans="3:13" hidden="1" x14ac:dyDescent="0.25">
      <c r="C4572" t="s">
        <v>119</v>
      </c>
      <c r="D4572" t="s">
        <v>120</v>
      </c>
      <c r="E4572" t="s">
        <v>60</v>
      </c>
      <c r="F4572" t="s">
        <v>123</v>
      </c>
      <c r="G4572">
        <v>4</v>
      </c>
      <c r="H4572" t="s">
        <v>16</v>
      </c>
      <c r="I4572" t="s">
        <v>121</v>
      </c>
      <c r="J4572" t="s">
        <v>122</v>
      </c>
      <c r="K4572">
        <v>0</v>
      </c>
      <c r="L4572" s="84">
        <v>-234</v>
      </c>
      <c r="M4572" s="84">
        <v>0</v>
      </c>
    </row>
    <row r="4573" spans="3:13" hidden="1" x14ac:dyDescent="0.25">
      <c r="C4573" t="s">
        <v>64</v>
      </c>
      <c r="D4573" t="s">
        <v>120</v>
      </c>
      <c r="E4573" t="s">
        <v>63</v>
      </c>
      <c r="F4573" t="s">
        <v>24</v>
      </c>
      <c r="G4573">
        <v>0</v>
      </c>
      <c r="H4573" t="s">
        <v>18</v>
      </c>
      <c r="I4573" t="s">
        <v>121</v>
      </c>
      <c r="J4573" t="s">
        <v>122</v>
      </c>
      <c r="K4573">
        <v>0</v>
      </c>
      <c r="L4573" s="84">
        <v>1791749</v>
      </c>
      <c r="M4573" s="84">
        <v>0</v>
      </c>
    </row>
    <row r="4574" spans="3:13" hidden="1" x14ac:dyDescent="0.25">
      <c r="C4574" t="s">
        <v>119</v>
      </c>
      <c r="D4574" t="s">
        <v>120</v>
      </c>
      <c r="E4574" t="s">
        <v>63</v>
      </c>
      <c r="F4574" t="s">
        <v>124</v>
      </c>
      <c r="G4574">
        <v>5</v>
      </c>
      <c r="H4574" t="s">
        <v>72</v>
      </c>
      <c r="I4574" t="s">
        <v>121</v>
      </c>
      <c r="J4574" t="s">
        <v>122</v>
      </c>
      <c r="K4574">
        <v>0</v>
      </c>
      <c r="L4574" s="84">
        <v>5236856</v>
      </c>
      <c r="M4574" s="84">
        <v>26184280</v>
      </c>
    </row>
    <row r="4575" spans="3:13" hidden="1" x14ac:dyDescent="0.25">
      <c r="C4575" t="s">
        <v>65</v>
      </c>
      <c r="D4575" t="s">
        <v>120</v>
      </c>
      <c r="E4575" t="s">
        <v>60</v>
      </c>
      <c r="F4575" t="s">
        <v>124</v>
      </c>
      <c r="G4575">
        <v>2</v>
      </c>
      <c r="H4575" t="s">
        <v>14</v>
      </c>
      <c r="I4575" t="s">
        <v>121</v>
      </c>
      <c r="J4575" t="s">
        <v>66</v>
      </c>
      <c r="K4575">
        <v>1</v>
      </c>
      <c r="L4575" s="84">
        <v>-2288471</v>
      </c>
      <c r="M4575" s="84">
        <v>0</v>
      </c>
    </row>
    <row r="4576" spans="3:13" hidden="1" x14ac:dyDescent="0.25">
      <c r="C4576" t="s">
        <v>119</v>
      </c>
      <c r="D4576" t="s">
        <v>127</v>
      </c>
      <c r="E4576" t="s">
        <v>60</v>
      </c>
      <c r="F4576" t="s">
        <v>24</v>
      </c>
      <c r="G4576">
        <v>2</v>
      </c>
      <c r="H4576" t="s">
        <v>77</v>
      </c>
      <c r="I4576" t="s">
        <v>121</v>
      </c>
      <c r="J4576" t="s">
        <v>122</v>
      </c>
      <c r="K4576">
        <v>0</v>
      </c>
      <c r="L4576" s="84">
        <v>-11</v>
      </c>
      <c r="M4576" s="84">
        <v>0</v>
      </c>
    </row>
    <row r="4577" spans="3:13" hidden="1" x14ac:dyDescent="0.25">
      <c r="C4577" t="s">
        <v>65</v>
      </c>
      <c r="D4577" t="s">
        <v>120</v>
      </c>
      <c r="E4577" t="s">
        <v>60</v>
      </c>
      <c r="F4577" t="s">
        <v>124</v>
      </c>
      <c r="G4577">
        <v>6</v>
      </c>
      <c r="H4577" t="s">
        <v>17</v>
      </c>
      <c r="I4577" t="s">
        <v>62</v>
      </c>
      <c r="J4577" t="s">
        <v>66</v>
      </c>
      <c r="K4577">
        <v>1</v>
      </c>
      <c r="L4577" s="84">
        <v>-7859</v>
      </c>
      <c r="M4577" s="84">
        <v>0</v>
      </c>
    </row>
    <row r="4578" spans="3:13" hidden="1" x14ac:dyDescent="0.25">
      <c r="C4578" t="s">
        <v>64</v>
      </c>
      <c r="D4578" t="s">
        <v>125</v>
      </c>
      <c r="E4578" t="s">
        <v>63</v>
      </c>
      <c r="F4578" t="s">
        <v>24</v>
      </c>
      <c r="G4578">
        <v>47</v>
      </c>
      <c r="I4578" t="s">
        <v>121</v>
      </c>
      <c r="J4578" t="s">
        <v>122</v>
      </c>
      <c r="K4578">
        <v>0</v>
      </c>
      <c r="L4578" s="84">
        <v>118197</v>
      </c>
      <c r="M4578" s="84">
        <v>5555259</v>
      </c>
    </row>
    <row r="4579" spans="3:13" hidden="1" x14ac:dyDescent="0.25">
      <c r="C4579" t="s">
        <v>64</v>
      </c>
      <c r="D4579" t="s">
        <v>120</v>
      </c>
      <c r="E4579" t="s">
        <v>60</v>
      </c>
      <c r="F4579" t="s">
        <v>123</v>
      </c>
      <c r="G4579">
        <v>1</v>
      </c>
      <c r="H4579" t="s">
        <v>12</v>
      </c>
      <c r="I4579" t="s">
        <v>121</v>
      </c>
      <c r="J4579" t="s">
        <v>66</v>
      </c>
      <c r="K4579">
        <v>1</v>
      </c>
      <c r="L4579" s="84">
        <v>-10757</v>
      </c>
      <c r="M4579" s="84">
        <v>0</v>
      </c>
    </row>
    <row r="4580" spans="3:13" hidden="1" x14ac:dyDescent="0.25">
      <c r="C4580" t="s">
        <v>64</v>
      </c>
      <c r="D4580" t="s">
        <v>120</v>
      </c>
      <c r="E4580" t="s">
        <v>60</v>
      </c>
      <c r="F4580" t="s">
        <v>25</v>
      </c>
      <c r="G4580">
        <v>11</v>
      </c>
      <c r="H4580" t="s">
        <v>67</v>
      </c>
      <c r="I4580" t="s">
        <v>121</v>
      </c>
      <c r="J4580" t="s">
        <v>122</v>
      </c>
      <c r="K4580">
        <v>0</v>
      </c>
      <c r="L4580" s="84">
        <v>-3193821</v>
      </c>
      <c r="M4580" s="84">
        <v>0</v>
      </c>
    </row>
    <row r="4581" spans="3:13" hidden="1" x14ac:dyDescent="0.25">
      <c r="C4581" t="s">
        <v>119</v>
      </c>
      <c r="D4581" t="s">
        <v>120</v>
      </c>
      <c r="E4581" t="s">
        <v>60</v>
      </c>
      <c r="F4581" t="s">
        <v>25</v>
      </c>
      <c r="G4581">
        <v>11</v>
      </c>
      <c r="H4581" t="s">
        <v>68</v>
      </c>
      <c r="I4581" t="s">
        <v>121</v>
      </c>
      <c r="J4581" t="s">
        <v>122</v>
      </c>
      <c r="K4581">
        <v>0</v>
      </c>
      <c r="L4581" s="84">
        <v>-41748</v>
      </c>
      <c r="M4581" s="84">
        <v>0</v>
      </c>
    </row>
    <row r="4582" spans="3:13" hidden="1" x14ac:dyDescent="0.25">
      <c r="C4582" t="s">
        <v>119</v>
      </c>
      <c r="D4582" t="s">
        <v>120</v>
      </c>
      <c r="E4582" t="s">
        <v>63</v>
      </c>
      <c r="F4582" t="s">
        <v>124</v>
      </c>
      <c r="G4582">
        <v>2</v>
      </c>
      <c r="H4582" t="s">
        <v>18</v>
      </c>
      <c r="I4582" t="s">
        <v>121</v>
      </c>
      <c r="J4582" t="s">
        <v>122</v>
      </c>
      <c r="K4582">
        <v>0</v>
      </c>
      <c r="L4582" s="84">
        <v>94224893</v>
      </c>
      <c r="M4582" s="84">
        <v>188449786</v>
      </c>
    </row>
    <row r="4583" spans="3:13" hidden="1" x14ac:dyDescent="0.25">
      <c r="C4583" t="s">
        <v>119</v>
      </c>
      <c r="D4583" t="s">
        <v>120</v>
      </c>
      <c r="E4583" t="s">
        <v>60</v>
      </c>
      <c r="F4583" t="s">
        <v>123</v>
      </c>
      <c r="G4583">
        <v>2</v>
      </c>
      <c r="H4583" t="s">
        <v>67</v>
      </c>
      <c r="I4583" t="s">
        <v>121</v>
      </c>
      <c r="J4583" t="s">
        <v>122</v>
      </c>
      <c r="K4583">
        <v>0</v>
      </c>
      <c r="L4583" s="84">
        <v>-5314</v>
      </c>
      <c r="M4583" s="84">
        <v>0</v>
      </c>
    </row>
    <row r="4584" spans="3:13" hidden="1" x14ac:dyDescent="0.25">
      <c r="C4584" t="s">
        <v>64</v>
      </c>
      <c r="D4584" t="s">
        <v>120</v>
      </c>
      <c r="E4584" t="s">
        <v>60</v>
      </c>
      <c r="F4584" t="s">
        <v>25</v>
      </c>
      <c r="G4584">
        <v>12</v>
      </c>
      <c r="H4584" t="s">
        <v>76</v>
      </c>
      <c r="I4584" t="s">
        <v>121</v>
      </c>
      <c r="J4584" t="s">
        <v>122</v>
      </c>
      <c r="K4584">
        <v>0</v>
      </c>
      <c r="L4584" s="84">
        <v>-7941</v>
      </c>
      <c r="M4584" s="84">
        <v>0</v>
      </c>
    </row>
    <row r="4585" spans="3:13" hidden="1" x14ac:dyDescent="0.25">
      <c r="C4585" t="s">
        <v>65</v>
      </c>
      <c r="D4585" t="s">
        <v>120</v>
      </c>
      <c r="E4585" t="s">
        <v>60</v>
      </c>
      <c r="F4585" t="s">
        <v>25</v>
      </c>
      <c r="G4585">
        <v>-4</v>
      </c>
      <c r="H4585" t="s">
        <v>68</v>
      </c>
      <c r="I4585" t="s">
        <v>121</v>
      </c>
      <c r="J4585" t="s">
        <v>122</v>
      </c>
      <c r="K4585">
        <v>0</v>
      </c>
      <c r="L4585" s="84">
        <v>-3153196</v>
      </c>
      <c r="M4585" s="84">
        <v>0</v>
      </c>
    </row>
    <row r="4586" spans="3:13" hidden="1" x14ac:dyDescent="0.25">
      <c r="C4586" t="s">
        <v>119</v>
      </c>
      <c r="D4586" t="s">
        <v>120</v>
      </c>
      <c r="E4586" t="s">
        <v>60</v>
      </c>
      <c r="F4586" t="s">
        <v>25</v>
      </c>
      <c r="G4586">
        <v>12</v>
      </c>
      <c r="H4586" t="s">
        <v>73</v>
      </c>
      <c r="I4586" t="s">
        <v>121</v>
      </c>
      <c r="J4586" t="s">
        <v>122</v>
      </c>
      <c r="K4586">
        <v>0</v>
      </c>
      <c r="L4586" s="84">
        <v>-140</v>
      </c>
      <c r="M4586" s="84">
        <v>0</v>
      </c>
    </row>
    <row r="4587" spans="3:13" hidden="1" x14ac:dyDescent="0.25">
      <c r="C4587" t="s">
        <v>65</v>
      </c>
      <c r="D4587" t="s">
        <v>120</v>
      </c>
      <c r="E4587" t="s">
        <v>60</v>
      </c>
      <c r="F4587" t="s">
        <v>123</v>
      </c>
      <c r="G4587">
        <v>-4</v>
      </c>
      <c r="H4587" t="s">
        <v>14</v>
      </c>
      <c r="I4587" t="s">
        <v>121</v>
      </c>
      <c r="J4587" t="s">
        <v>66</v>
      </c>
      <c r="K4587">
        <v>1</v>
      </c>
      <c r="L4587" s="84">
        <v>-324847</v>
      </c>
      <c r="M4587" s="84">
        <v>0</v>
      </c>
    </row>
    <row r="4588" spans="3:13" hidden="1" x14ac:dyDescent="0.25">
      <c r="C4588" t="s">
        <v>64</v>
      </c>
      <c r="D4588" t="s">
        <v>120</v>
      </c>
      <c r="E4588" t="s">
        <v>60</v>
      </c>
      <c r="F4588" t="s">
        <v>25</v>
      </c>
      <c r="G4588">
        <v>1</v>
      </c>
      <c r="H4588" t="s">
        <v>17</v>
      </c>
      <c r="I4588" t="s">
        <v>121</v>
      </c>
      <c r="J4588" t="s">
        <v>122</v>
      </c>
      <c r="K4588">
        <v>0</v>
      </c>
      <c r="L4588" s="84">
        <v>-135</v>
      </c>
      <c r="M4588" s="84">
        <v>0</v>
      </c>
    </row>
    <row r="4589" spans="3:13" hidden="1" x14ac:dyDescent="0.25">
      <c r="C4589" t="s">
        <v>64</v>
      </c>
      <c r="D4589" t="s">
        <v>120</v>
      </c>
      <c r="E4589" t="s">
        <v>63</v>
      </c>
      <c r="F4589" t="s">
        <v>24</v>
      </c>
      <c r="G4589">
        <v>-4</v>
      </c>
      <c r="H4589" t="s">
        <v>17</v>
      </c>
      <c r="I4589" t="s">
        <v>62</v>
      </c>
      <c r="J4589" t="s">
        <v>122</v>
      </c>
      <c r="K4589">
        <v>1</v>
      </c>
      <c r="L4589" s="84">
        <v>362</v>
      </c>
      <c r="M4589" s="84">
        <v>0</v>
      </c>
    </row>
    <row r="4590" spans="3:13" hidden="1" x14ac:dyDescent="0.25">
      <c r="C4590" t="s">
        <v>64</v>
      </c>
      <c r="D4590" t="s">
        <v>120</v>
      </c>
      <c r="E4590" t="s">
        <v>60</v>
      </c>
      <c r="F4590" t="s">
        <v>124</v>
      </c>
      <c r="G4590">
        <v>0</v>
      </c>
      <c r="H4590" t="s">
        <v>13</v>
      </c>
      <c r="I4590" t="s">
        <v>121</v>
      </c>
      <c r="J4590" t="s">
        <v>122</v>
      </c>
      <c r="K4590">
        <v>0</v>
      </c>
      <c r="L4590" s="84">
        <v>-73</v>
      </c>
      <c r="M4590" s="84">
        <v>0</v>
      </c>
    </row>
    <row r="4591" spans="3:13" hidden="1" x14ac:dyDescent="0.25">
      <c r="C4591" t="s">
        <v>65</v>
      </c>
      <c r="D4591" t="s">
        <v>125</v>
      </c>
      <c r="E4591" t="s">
        <v>60</v>
      </c>
      <c r="F4591" t="s">
        <v>25</v>
      </c>
      <c r="G4591">
        <v>7</v>
      </c>
      <c r="I4591" t="s">
        <v>121</v>
      </c>
      <c r="J4591" t="s">
        <v>122</v>
      </c>
      <c r="K4591">
        <v>0</v>
      </c>
      <c r="L4591" s="84">
        <v>-193928</v>
      </c>
      <c r="M4591" s="84">
        <v>0</v>
      </c>
    </row>
    <row r="4592" spans="3:13" hidden="1" x14ac:dyDescent="0.25">
      <c r="C4592" t="s">
        <v>64</v>
      </c>
      <c r="D4592" t="s">
        <v>120</v>
      </c>
      <c r="E4592" t="s">
        <v>63</v>
      </c>
      <c r="F4592" t="s">
        <v>123</v>
      </c>
      <c r="G4592">
        <v>4</v>
      </c>
      <c r="H4592" t="s">
        <v>18</v>
      </c>
      <c r="I4592" t="s">
        <v>121</v>
      </c>
      <c r="J4592" t="s">
        <v>122</v>
      </c>
      <c r="K4592">
        <v>0</v>
      </c>
      <c r="L4592" s="84">
        <v>3110350</v>
      </c>
      <c r="M4592" s="84">
        <v>12441400</v>
      </c>
    </row>
    <row r="4593" spans="3:13" hidden="1" x14ac:dyDescent="0.25">
      <c r="C4593" t="s">
        <v>119</v>
      </c>
      <c r="D4593" t="s">
        <v>120</v>
      </c>
      <c r="E4593" t="s">
        <v>63</v>
      </c>
      <c r="F4593" t="s">
        <v>124</v>
      </c>
      <c r="G4593">
        <v>3</v>
      </c>
      <c r="H4593" t="s">
        <v>72</v>
      </c>
      <c r="I4593" t="s">
        <v>121</v>
      </c>
      <c r="J4593" t="s">
        <v>122</v>
      </c>
      <c r="K4593">
        <v>0</v>
      </c>
      <c r="L4593" s="84">
        <v>9995755</v>
      </c>
      <c r="M4593" s="84">
        <v>29987265</v>
      </c>
    </row>
    <row r="4594" spans="3:13" hidden="1" x14ac:dyDescent="0.25">
      <c r="C4594" t="s">
        <v>65</v>
      </c>
      <c r="D4594" t="s">
        <v>120</v>
      </c>
      <c r="E4594" t="s">
        <v>60</v>
      </c>
      <c r="F4594" t="s">
        <v>124</v>
      </c>
      <c r="G4594">
        <v>3</v>
      </c>
      <c r="H4594" t="s">
        <v>13</v>
      </c>
      <c r="I4594" t="s">
        <v>121</v>
      </c>
      <c r="J4594" t="s">
        <v>122</v>
      </c>
      <c r="K4594">
        <v>0</v>
      </c>
      <c r="L4594" s="84">
        <v>-156161</v>
      </c>
      <c r="M4594" s="84">
        <v>0</v>
      </c>
    </row>
    <row r="4595" spans="3:13" hidden="1" x14ac:dyDescent="0.25">
      <c r="C4595" t="s">
        <v>119</v>
      </c>
      <c r="D4595" t="s">
        <v>120</v>
      </c>
      <c r="E4595" t="s">
        <v>60</v>
      </c>
      <c r="F4595" t="s">
        <v>123</v>
      </c>
      <c r="G4595">
        <v>-4</v>
      </c>
      <c r="H4595" t="s">
        <v>14</v>
      </c>
      <c r="I4595" t="s">
        <v>121</v>
      </c>
      <c r="J4595" t="s">
        <v>122</v>
      </c>
      <c r="K4595">
        <v>0</v>
      </c>
      <c r="L4595" s="84">
        <v>-3</v>
      </c>
      <c r="M4595" s="84">
        <v>0</v>
      </c>
    </row>
    <row r="4596" spans="3:13" hidden="1" x14ac:dyDescent="0.25">
      <c r="C4596" t="s">
        <v>65</v>
      </c>
      <c r="D4596" t="s">
        <v>120</v>
      </c>
      <c r="E4596" t="s">
        <v>63</v>
      </c>
      <c r="F4596" t="s">
        <v>124</v>
      </c>
      <c r="G4596">
        <v>1</v>
      </c>
      <c r="H4596" t="s">
        <v>17</v>
      </c>
      <c r="I4596" t="s">
        <v>121</v>
      </c>
      <c r="J4596" t="s">
        <v>66</v>
      </c>
      <c r="K4596">
        <v>1</v>
      </c>
      <c r="L4596" s="84">
        <v>116292</v>
      </c>
      <c r="M4596" s="84">
        <v>116292</v>
      </c>
    </row>
    <row r="4597" spans="3:13" hidden="1" x14ac:dyDescent="0.25">
      <c r="C4597" t="s">
        <v>119</v>
      </c>
      <c r="D4597" t="s">
        <v>126</v>
      </c>
      <c r="E4597" t="s">
        <v>60</v>
      </c>
      <c r="F4597" t="s">
        <v>25</v>
      </c>
      <c r="G4597">
        <v>14</v>
      </c>
      <c r="H4597" t="s">
        <v>74</v>
      </c>
      <c r="I4597" t="s">
        <v>121</v>
      </c>
      <c r="J4597" t="s">
        <v>122</v>
      </c>
      <c r="K4597">
        <v>0</v>
      </c>
      <c r="L4597" s="84">
        <v>-7039</v>
      </c>
      <c r="M4597" s="84">
        <v>0</v>
      </c>
    </row>
    <row r="4598" spans="3:13" hidden="1" x14ac:dyDescent="0.25">
      <c r="C4598" t="s">
        <v>119</v>
      </c>
      <c r="D4598" t="s">
        <v>120</v>
      </c>
      <c r="E4598" t="s">
        <v>60</v>
      </c>
      <c r="F4598" t="s">
        <v>124</v>
      </c>
      <c r="G4598">
        <v>6</v>
      </c>
      <c r="H4598" t="s">
        <v>72</v>
      </c>
      <c r="I4598" t="s">
        <v>121</v>
      </c>
      <c r="J4598" t="s">
        <v>122</v>
      </c>
      <c r="K4598">
        <v>0</v>
      </c>
      <c r="L4598" s="84">
        <v>-54</v>
      </c>
      <c r="M4598" s="84">
        <v>0</v>
      </c>
    </row>
    <row r="4599" spans="3:13" hidden="1" x14ac:dyDescent="0.25">
      <c r="C4599" t="s">
        <v>65</v>
      </c>
      <c r="D4599" t="s">
        <v>120</v>
      </c>
      <c r="E4599" t="s">
        <v>60</v>
      </c>
      <c r="F4599" t="s">
        <v>123</v>
      </c>
      <c r="G4599">
        <v>8</v>
      </c>
      <c r="H4599" t="s">
        <v>13</v>
      </c>
      <c r="I4599" t="s">
        <v>121</v>
      </c>
      <c r="J4599" t="s">
        <v>122</v>
      </c>
      <c r="K4599">
        <v>0</v>
      </c>
      <c r="L4599" s="84">
        <v>-187284</v>
      </c>
      <c r="M4599" s="84">
        <v>0</v>
      </c>
    </row>
    <row r="4600" spans="3:13" hidden="1" x14ac:dyDescent="0.25">
      <c r="C4600" t="s">
        <v>119</v>
      </c>
      <c r="D4600" t="s">
        <v>120</v>
      </c>
      <c r="E4600" t="s">
        <v>63</v>
      </c>
      <c r="F4600" t="s">
        <v>123</v>
      </c>
      <c r="G4600">
        <v>0</v>
      </c>
      <c r="H4600" t="s">
        <v>14</v>
      </c>
      <c r="I4600" t="s">
        <v>121</v>
      </c>
      <c r="J4600" t="s">
        <v>122</v>
      </c>
      <c r="K4600">
        <v>0</v>
      </c>
      <c r="L4600" s="84">
        <v>612859</v>
      </c>
      <c r="M4600" s="84">
        <v>0</v>
      </c>
    </row>
    <row r="4601" spans="3:13" hidden="1" x14ac:dyDescent="0.25">
      <c r="C4601" t="s">
        <v>119</v>
      </c>
      <c r="D4601" t="s">
        <v>126</v>
      </c>
      <c r="E4601" t="s">
        <v>63</v>
      </c>
      <c r="F4601" t="s">
        <v>25</v>
      </c>
      <c r="G4601">
        <v>11</v>
      </c>
      <c r="H4601" t="s">
        <v>68</v>
      </c>
      <c r="I4601" t="s">
        <v>121</v>
      </c>
      <c r="J4601" t="s">
        <v>122</v>
      </c>
      <c r="K4601">
        <v>0</v>
      </c>
      <c r="L4601" s="84">
        <v>4989995</v>
      </c>
      <c r="M4601" s="84">
        <v>54889945</v>
      </c>
    </row>
    <row r="4602" spans="3:13" hidden="1" x14ac:dyDescent="0.25">
      <c r="C4602" t="s">
        <v>119</v>
      </c>
      <c r="D4602" t="s">
        <v>120</v>
      </c>
      <c r="E4602" t="s">
        <v>63</v>
      </c>
      <c r="F4602" t="s">
        <v>124</v>
      </c>
      <c r="G4602">
        <v>8</v>
      </c>
      <c r="H4602" t="s">
        <v>18</v>
      </c>
      <c r="I4602" t="s">
        <v>121</v>
      </c>
      <c r="J4602" t="s">
        <v>122</v>
      </c>
      <c r="K4602">
        <v>0</v>
      </c>
      <c r="L4602" s="84">
        <v>4171930</v>
      </c>
      <c r="M4602" s="84">
        <v>33375440</v>
      </c>
    </row>
    <row r="4603" spans="3:13" hidden="1" x14ac:dyDescent="0.25">
      <c r="C4603" t="s">
        <v>119</v>
      </c>
      <c r="D4603" t="s">
        <v>120</v>
      </c>
      <c r="E4603" t="s">
        <v>63</v>
      </c>
      <c r="F4603" t="s">
        <v>24</v>
      </c>
      <c r="G4603">
        <v>7</v>
      </c>
      <c r="H4603" t="s">
        <v>70</v>
      </c>
      <c r="I4603" t="s">
        <v>121</v>
      </c>
      <c r="J4603" t="s">
        <v>122</v>
      </c>
      <c r="K4603">
        <v>0</v>
      </c>
      <c r="L4603" s="84">
        <v>232713</v>
      </c>
      <c r="M4603" s="84">
        <v>1628991</v>
      </c>
    </row>
    <row r="4604" spans="3:13" hidden="1" x14ac:dyDescent="0.25">
      <c r="C4604" t="s">
        <v>119</v>
      </c>
      <c r="D4604" t="s">
        <v>120</v>
      </c>
      <c r="E4604" t="s">
        <v>63</v>
      </c>
      <c r="F4604" t="s">
        <v>123</v>
      </c>
      <c r="G4604">
        <v>1</v>
      </c>
      <c r="H4604" t="s">
        <v>69</v>
      </c>
      <c r="I4604" t="s">
        <v>121</v>
      </c>
      <c r="J4604" t="s">
        <v>122</v>
      </c>
      <c r="K4604">
        <v>0</v>
      </c>
      <c r="L4604" s="84">
        <v>3918133</v>
      </c>
      <c r="M4604" s="84">
        <v>3918133</v>
      </c>
    </row>
    <row r="4605" spans="3:13" hidden="1" x14ac:dyDescent="0.25">
      <c r="C4605" t="s">
        <v>64</v>
      </c>
      <c r="D4605" t="s">
        <v>120</v>
      </c>
      <c r="E4605" t="s">
        <v>60</v>
      </c>
      <c r="F4605" t="s">
        <v>25</v>
      </c>
      <c r="G4605">
        <v>-4</v>
      </c>
      <c r="H4605" t="s">
        <v>69</v>
      </c>
      <c r="I4605" t="s">
        <v>121</v>
      </c>
      <c r="J4605" t="s">
        <v>122</v>
      </c>
      <c r="K4605">
        <v>0</v>
      </c>
      <c r="L4605" s="84">
        <v>-3</v>
      </c>
      <c r="M4605" s="84">
        <v>0</v>
      </c>
    </row>
    <row r="4606" spans="3:13" hidden="1" x14ac:dyDescent="0.25">
      <c r="C4606" t="s">
        <v>119</v>
      </c>
      <c r="D4606" t="s">
        <v>120</v>
      </c>
      <c r="E4606" t="s">
        <v>60</v>
      </c>
      <c r="F4606" t="s">
        <v>123</v>
      </c>
      <c r="G4606">
        <v>7</v>
      </c>
      <c r="H4606" t="s">
        <v>14</v>
      </c>
      <c r="I4606" t="s">
        <v>121</v>
      </c>
      <c r="J4606" t="s">
        <v>122</v>
      </c>
      <c r="K4606">
        <v>0</v>
      </c>
      <c r="L4606" s="84">
        <v>-537</v>
      </c>
      <c r="M4606" s="84">
        <v>0</v>
      </c>
    </row>
    <row r="4607" spans="3:13" x14ac:dyDescent="0.25">
      <c r="C4607" t="s">
        <v>119</v>
      </c>
      <c r="D4607" t="s">
        <v>120</v>
      </c>
      <c r="E4607" t="s">
        <v>63</v>
      </c>
      <c r="F4607" t="s">
        <v>25</v>
      </c>
      <c r="G4607">
        <v>15</v>
      </c>
      <c r="H4607" t="s">
        <v>12</v>
      </c>
      <c r="I4607" t="s">
        <v>121</v>
      </c>
      <c r="J4607" t="s">
        <v>66</v>
      </c>
      <c r="K4607">
        <v>1</v>
      </c>
      <c r="L4607" s="84">
        <v>2654813</v>
      </c>
      <c r="M4607" s="84">
        <v>39822195</v>
      </c>
    </row>
    <row r="4608" spans="3:13" hidden="1" x14ac:dyDescent="0.25">
      <c r="C4608" t="s">
        <v>64</v>
      </c>
      <c r="D4608" t="s">
        <v>120</v>
      </c>
      <c r="E4608" t="s">
        <v>63</v>
      </c>
      <c r="F4608" t="s">
        <v>25</v>
      </c>
      <c r="G4608">
        <v>14</v>
      </c>
      <c r="H4608" t="s">
        <v>68</v>
      </c>
      <c r="I4608" t="s">
        <v>121</v>
      </c>
      <c r="J4608" t="s">
        <v>122</v>
      </c>
      <c r="K4608">
        <v>0</v>
      </c>
      <c r="L4608" s="84">
        <v>4749762</v>
      </c>
      <c r="M4608" s="84">
        <v>66496668</v>
      </c>
    </row>
    <row r="4609" spans="3:13" hidden="1" x14ac:dyDescent="0.25">
      <c r="C4609" t="s">
        <v>119</v>
      </c>
      <c r="D4609" t="s">
        <v>120</v>
      </c>
      <c r="E4609" t="s">
        <v>63</v>
      </c>
      <c r="F4609" t="s">
        <v>123</v>
      </c>
      <c r="G4609">
        <v>2</v>
      </c>
      <c r="H4609" t="s">
        <v>14</v>
      </c>
      <c r="I4609" t="s">
        <v>121</v>
      </c>
      <c r="J4609" t="s">
        <v>66</v>
      </c>
      <c r="K4609">
        <v>1</v>
      </c>
      <c r="L4609" s="84">
        <v>2837671</v>
      </c>
      <c r="M4609" s="84">
        <v>5675342</v>
      </c>
    </row>
    <row r="4610" spans="3:13" hidden="1" x14ac:dyDescent="0.25">
      <c r="C4610" t="s">
        <v>119</v>
      </c>
      <c r="D4610" t="s">
        <v>120</v>
      </c>
      <c r="E4610" t="s">
        <v>60</v>
      </c>
      <c r="F4610" t="s">
        <v>25</v>
      </c>
      <c r="G4610">
        <v>-4</v>
      </c>
      <c r="H4610" t="s">
        <v>75</v>
      </c>
      <c r="I4610" t="s">
        <v>121</v>
      </c>
      <c r="J4610" t="s">
        <v>122</v>
      </c>
      <c r="K4610">
        <v>0</v>
      </c>
      <c r="L4610" s="84">
        <v>-162</v>
      </c>
      <c r="M4610" s="84">
        <v>0</v>
      </c>
    </row>
    <row r="4611" spans="3:13" hidden="1" x14ac:dyDescent="0.25">
      <c r="C4611" t="s">
        <v>64</v>
      </c>
      <c r="D4611" t="s">
        <v>125</v>
      </c>
      <c r="E4611" t="s">
        <v>60</v>
      </c>
      <c r="F4611" t="s">
        <v>25</v>
      </c>
      <c r="G4611">
        <v>5</v>
      </c>
      <c r="I4611" t="s">
        <v>121</v>
      </c>
      <c r="J4611" t="s">
        <v>122</v>
      </c>
      <c r="K4611">
        <v>0</v>
      </c>
      <c r="L4611" s="84">
        <v>-28228</v>
      </c>
      <c r="M4611" s="84">
        <v>0</v>
      </c>
    </row>
    <row r="4612" spans="3:13" hidden="1" x14ac:dyDescent="0.25">
      <c r="C4612" t="s">
        <v>119</v>
      </c>
      <c r="D4612" t="s">
        <v>120</v>
      </c>
      <c r="E4612" t="s">
        <v>60</v>
      </c>
      <c r="F4612" t="s">
        <v>123</v>
      </c>
      <c r="G4612">
        <v>1</v>
      </c>
      <c r="H4612" t="s">
        <v>12</v>
      </c>
      <c r="I4612" t="s">
        <v>121</v>
      </c>
      <c r="J4612" t="s">
        <v>66</v>
      </c>
      <c r="K4612">
        <v>1</v>
      </c>
      <c r="L4612" s="84">
        <v>-1022</v>
      </c>
      <c r="M4612" s="84">
        <v>0</v>
      </c>
    </row>
    <row r="4613" spans="3:13" hidden="1" x14ac:dyDescent="0.25">
      <c r="C4613" t="s">
        <v>65</v>
      </c>
      <c r="D4613" t="s">
        <v>120</v>
      </c>
      <c r="E4613" t="s">
        <v>63</v>
      </c>
      <c r="F4613" t="s">
        <v>24</v>
      </c>
      <c r="G4613">
        <v>-1</v>
      </c>
      <c r="H4613" t="s">
        <v>18</v>
      </c>
      <c r="I4613" t="s">
        <v>121</v>
      </c>
      <c r="J4613" t="s">
        <v>122</v>
      </c>
      <c r="K4613">
        <v>0</v>
      </c>
      <c r="L4613" s="84">
        <v>100775</v>
      </c>
      <c r="M4613" s="84">
        <v>0</v>
      </c>
    </row>
    <row r="4614" spans="3:13" hidden="1" x14ac:dyDescent="0.25">
      <c r="C4614" t="s">
        <v>119</v>
      </c>
      <c r="D4614" t="s">
        <v>120</v>
      </c>
      <c r="E4614" t="s">
        <v>60</v>
      </c>
      <c r="F4614" t="s">
        <v>123</v>
      </c>
      <c r="G4614">
        <v>0</v>
      </c>
      <c r="H4614" t="s">
        <v>18</v>
      </c>
      <c r="I4614" t="s">
        <v>121</v>
      </c>
      <c r="J4614" t="s">
        <v>122</v>
      </c>
      <c r="K4614">
        <v>0</v>
      </c>
      <c r="L4614" s="84">
        <v>-2834</v>
      </c>
      <c r="M4614" s="84">
        <v>0</v>
      </c>
    </row>
    <row r="4615" spans="3:13" hidden="1" x14ac:dyDescent="0.25">
      <c r="C4615" t="s">
        <v>64</v>
      </c>
      <c r="D4615" t="s">
        <v>120</v>
      </c>
      <c r="E4615" t="s">
        <v>63</v>
      </c>
      <c r="F4615" t="s">
        <v>24</v>
      </c>
      <c r="G4615">
        <v>3</v>
      </c>
      <c r="H4615" t="s">
        <v>71</v>
      </c>
      <c r="I4615" t="s">
        <v>121</v>
      </c>
      <c r="J4615" t="s">
        <v>122</v>
      </c>
      <c r="K4615">
        <v>0</v>
      </c>
      <c r="L4615" s="84">
        <v>33939</v>
      </c>
      <c r="M4615" s="84">
        <v>101817</v>
      </c>
    </row>
    <row r="4616" spans="3:13" hidden="1" x14ac:dyDescent="0.25">
      <c r="C4616" t="s">
        <v>65</v>
      </c>
      <c r="D4616" t="s">
        <v>120</v>
      </c>
      <c r="E4616" t="s">
        <v>60</v>
      </c>
      <c r="F4616" t="s">
        <v>123</v>
      </c>
      <c r="G4616">
        <v>1</v>
      </c>
      <c r="H4616" t="s">
        <v>12</v>
      </c>
      <c r="I4616" t="s">
        <v>121</v>
      </c>
      <c r="J4616" t="s">
        <v>122</v>
      </c>
      <c r="K4616">
        <v>0</v>
      </c>
      <c r="L4616" s="84">
        <v>-130061</v>
      </c>
      <c r="M4616" s="84">
        <v>0</v>
      </c>
    </row>
    <row r="4617" spans="3:13" hidden="1" x14ac:dyDescent="0.25">
      <c r="C4617" t="s">
        <v>64</v>
      </c>
      <c r="D4617" t="s">
        <v>125</v>
      </c>
      <c r="E4617" t="s">
        <v>63</v>
      </c>
      <c r="F4617" t="s">
        <v>24</v>
      </c>
      <c r="G4617">
        <v>15</v>
      </c>
      <c r="I4617" t="s">
        <v>121</v>
      </c>
      <c r="J4617" t="s">
        <v>122</v>
      </c>
      <c r="K4617">
        <v>0</v>
      </c>
      <c r="L4617" s="84">
        <v>26769823</v>
      </c>
      <c r="M4617" s="84">
        <v>401547345</v>
      </c>
    </row>
    <row r="4618" spans="3:13" hidden="1" x14ac:dyDescent="0.25">
      <c r="C4618" t="s">
        <v>64</v>
      </c>
      <c r="D4618" t="s">
        <v>120</v>
      </c>
      <c r="E4618" t="s">
        <v>63</v>
      </c>
      <c r="F4618" t="s">
        <v>124</v>
      </c>
      <c r="G4618">
        <v>1</v>
      </c>
      <c r="H4618" t="s">
        <v>12</v>
      </c>
      <c r="I4618" t="s">
        <v>121</v>
      </c>
      <c r="J4618" t="s">
        <v>122</v>
      </c>
      <c r="K4618">
        <v>0</v>
      </c>
      <c r="L4618" s="84">
        <v>1058605</v>
      </c>
      <c r="M4618" s="84">
        <v>1058605</v>
      </c>
    </row>
    <row r="4619" spans="3:13" hidden="1" x14ac:dyDescent="0.25">
      <c r="C4619" t="s">
        <v>64</v>
      </c>
      <c r="D4619" t="s">
        <v>120</v>
      </c>
      <c r="E4619" t="s">
        <v>63</v>
      </c>
      <c r="F4619" t="s">
        <v>25</v>
      </c>
      <c r="G4619">
        <v>9</v>
      </c>
      <c r="H4619" t="s">
        <v>17</v>
      </c>
      <c r="I4619" t="s">
        <v>121</v>
      </c>
      <c r="J4619" t="s">
        <v>122</v>
      </c>
      <c r="K4619">
        <v>0</v>
      </c>
      <c r="L4619" s="84">
        <v>1405234</v>
      </c>
      <c r="M4619" s="84">
        <v>12647106</v>
      </c>
    </row>
    <row r="4620" spans="3:13" hidden="1" x14ac:dyDescent="0.25">
      <c r="C4620" t="s">
        <v>119</v>
      </c>
      <c r="D4620" t="s">
        <v>120</v>
      </c>
      <c r="E4620" t="s">
        <v>60</v>
      </c>
      <c r="F4620" t="s">
        <v>25</v>
      </c>
      <c r="G4620">
        <v>6</v>
      </c>
      <c r="H4620" t="s">
        <v>69</v>
      </c>
      <c r="I4620" t="s">
        <v>121</v>
      </c>
      <c r="J4620" t="s">
        <v>122</v>
      </c>
      <c r="K4620">
        <v>0</v>
      </c>
      <c r="L4620" s="84">
        <v>-21102</v>
      </c>
      <c r="M4620" s="84">
        <v>0</v>
      </c>
    </row>
    <row r="4621" spans="3:13" hidden="1" x14ac:dyDescent="0.25">
      <c r="C4621" t="s">
        <v>119</v>
      </c>
      <c r="D4621" t="s">
        <v>120</v>
      </c>
      <c r="E4621" t="s">
        <v>63</v>
      </c>
      <c r="F4621" t="s">
        <v>124</v>
      </c>
      <c r="G4621">
        <v>-1</v>
      </c>
      <c r="H4621" t="s">
        <v>73</v>
      </c>
      <c r="I4621" t="s">
        <v>121</v>
      </c>
      <c r="J4621" t="s">
        <v>122</v>
      </c>
      <c r="K4621">
        <v>0</v>
      </c>
      <c r="L4621" s="84">
        <v>1149576</v>
      </c>
      <c r="M4621" s="84">
        <v>0</v>
      </c>
    </row>
    <row r="4622" spans="3:13" hidden="1" x14ac:dyDescent="0.25">
      <c r="C4622" t="s">
        <v>64</v>
      </c>
      <c r="D4622" t="s">
        <v>120</v>
      </c>
      <c r="E4622" t="s">
        <v>60</v>
      </c>
      <c r="F4622" t="s">
        <v>124</v>
      </c>
      <c r="G4622">
        <v>5</v>
      </c>
      <c r="H4622" t="s">
        <v>14</v>
      </c>
      <c r="I4622" t="s">
        <v>121</v>
      </c>
      <c r="J4622" t="s">
        <v>66</v>
      </c>
      <c r="K4622">
        <v>1</v>
      </c>
      <c r="L4622" s="84">
        <v>-241122</v>
      </c>
      <c r="M4622" s="84">
        <v>0</v>
      </c>
    </row>
    <row r="4623" spans="3:13" hidden="1" x14ac:dyDescent="0.25">
      <c r="C4623" t="s">
        <v>119</v>
      </c>
      <c r="D4623" t="s">
        <v>120</v>
      </c>
      <c r="E4623" t="s">
        <v>63</v>
      </c>
      <c r="F4623" t="s">
        <v>24</v>
      </c>
      <c r="G4623">
        <v>13</v>
      </c>
      <c r="H4623" t="s">
        <v>18</v>
      </c>
      <c r="I4623" t="s">
        <v>121</v>
      </c>
      <c r="J4623" t="s">
        <v>122</v>
      </c>
      <c r="K4623">
        <v>0</v>
      </c>
      <c r="L4623" s="84">
        <v>186946</v>
      </c>
      <c r="M4623" s="84">
        <v>2430298</v>
      </c>
    </row>
    <row r="4624" spans="3:13" hidden="1" x14ac:dyDescent="0.25">
      <c r="C4624" t="s">
        <v>119</v>
      </c>
      <c r="D4624" t="s">
        <v>120</v>
      </c>
      <c r="E4624" t="s">
        <v>63</v>
      </c>
      <c r="F4624" t="s">
        <v>124</v>
      </c>
      <c r="G4624">
        <v>3</v>
      </c>
      <c r="H4624" t="s">
        <v>17</v>
      </c>
      <c r="I4624" t="s">
        <v>62</v>
      </c>
      <c r="J4624" t="s">
        <v>66</v>
      </c>
      <c r="K4624">
        <v>1</v>
      </c>
      <c r="L4624" s="84">
        <v>2480526</v>
      </c>
      <c r="M4624" s="84">
        <v>7441578</v>
      </c>
    </row>
    <row r="4625" spans="3:13" hidden="1" x14ac:dyDescent="0.25">
      <c r="C4625" t="s">
        <v>64</v>
      </c>
      <c r="D4625" t="s">
        <v>125</v>
      </c>
      <c r="E4625" t="s">
        <v>63</v>
      </c>
      <c r="F4625" t="s">
        <v>24</v>
      </c>
      <c r="G4625">
        <v>-1</v>
      </c>
      <c r="I4625" t="s">
        <v>121</v>
      </c>
      <c r="J4625" t="s">
        <v>122</v>
      </c>
      <c r="K4625">
        <v>0</v>
      </c>
      <c r="L4625" s="84">
        <v>63592</v>
      </c>
      <c r="M4625" s="84">
        <v>0</v>
      </c>
    </row>
    <row r="4626" spans="3:13" hidden="1" x14ac:dyDescent="0.25">
      <c r="C4626" t="s">
        <v>64</v>
      </c>
      <c r="D4626" t="s">
        <v>120</v>
      </c>
      <c r="E4626" t="s">
        <v>63</v>
      </c>
      <c r="F4626" t="s">
        <v>124</v>
      </c>
      <c r="G4626">
        <v>-4</v>
      </c>
      <c r="H4626" t="s">
        <v>61</v>
      </c>
      <c r="I4626" t="s">
        <v>121</v>
      </c>
      <c r="J4626" t="s">
        <v>122</v>
      </c>
      <c r="K4626">
        <v>0</v>
      </c>
      <c r="L4626" s="84">
        <v>19158</v>
      </c>
      <c r="M4626" s="84">
        <v>0</v>
      </c>
    </row>
    <row r="4627" spans="3:13" hidden="1" x14ac:dyDescent="0.25">
      <c r="C4627" t="s">
        <v>64</v>
      </c>
      <c r="D4627" t="s">
        <v>120</v>
      </c>
      <c r="E4627" t="s">
        <v>60</v>
      </c>
      <c r="F4627" t="s">
        <v>123</v>
      </c>
      <c r="G4627">
        <v>-4</v>
      </c>
      <c r="H4627" t="s">
        <v>14</v>
      </c>
      <c r="I4627" t="s">
        <v>121</v>
      </c>
      <c r="J4627" t="s">
        <v>122</v>
      </c>
      <c r="K4627">
        <v>0</v>
      </c>
      <c r="L4627" s="84">
        <v>-929</v>
      </c>
      <c r="M4627" s="84">
        <v>0</v>
      </c>
    </row>
    <row r="4628" spans="3:13" hidden="1" x14ac:dyDescent="0.25">
      <c r="C4628" t="s">
        <v>119</v>
      </c>
      <c r="D4628" t="s">
        <v>120</v>
      </c>
      <c r="E4628" t="s">
        <v>63</v>
      </c>
      <c r="F4628" t="s">
        <v>124</v>
      </c>
      <c r="G4628">
        <v>7</v>
      </c>
      <c r="H4628" t="s">
        <v>69</v>
      </c>
      <c r="I4628" t="s">
        <v>121</v>
      </c>
      <c r="J4628" t="s">
        <v>122</v>
      </c>
      <c r="K4628">
        <v>0</v>
      </c>
      <c r="L4628" s="84">
        <v>8753370</v>
      </c>
      <c r="M4628" s="84">
        <v>61273590</v>
      </c>
    </row>
    <row r="4629" spans="3:13" hidden="1" x14ac:dyDescent="0.25">
      <c r="C4629" t="s">
        <v>65</v>
      </c>
      <c r="D4629" t="s">
        <v>120</v>
      </c>
      <c r="E4629" t="s">
        <v>63</v>
      </c>
      <c r="F4629" t="s">
        <v>124</v>
      </c>
      <c r="G4629">
        <v>0</v>
      </c>
      <c r="H4629" t="s">
        <v>61</v>
      </c>
      <c r="I4629" t="s">
        <v>121</v>
      </c>
      <c r="J4629" t="s">
        <v>122</v>
      </c>
      <c r="K4629">
        <v>0</v>
      </c>
      <c r="L4629" s="84">
        <v>83279</v>
      </c>
      <c r="M4629" s="84">
        <v>0</v>
      </c>
    </row>
    <row r="4630" spans="3:13" hidden="1" x14ac:dyDescent="0.25">
      <c r="C4630" t="s">
        <v>65</v>
      </c>
      <c r="D4630" t="s">
        <v>120</v>
      </c>
      <c r="E4630" t="s">
        <v>60</v>
      </c>
      <c r="F4630" t="s">
        <v>124</v>
      </c>
      <c r="G4630">
        <v>1</v>
      </c>
      <c r="H4630" t="s">
        <v>17</v>
      </c>
      <c r="I4630" t="s">
        <v>62</v>
      </c>
      <c r="J4630" t="s">
        <v>122</v>
      </c>
      <c r="K4630">
        <v>1</v>
      </c>
      <c r="L4630" s="84">
        <v>-60407</v>
      </c>
      <c r="M4630" s="84">
        <v>0</v>
      </c>
    </row>
    <row r="4631" spans="3:13" hidden="1" x14ac:dyDescent="0.25">
      <c r="C4631" t="s">
        <v>64</v>
      </c>
      <c r="D4631" t="s">
        <v>126</v>
      </c>
      <c r="E4631" t="s">
        <v>63</v>
      </c>
      <c r="F4631" t="s">
        <v>25</v>
      </c>
      <c r="G4631">
        <v>15</v>
      </c>
      <c r="H4631" t="s">
        <v>74</v>
      </c>
      <c r="I4631" t="s">
        <v>121</v>
      </c>
      <c r="J4631" t="s">
        <v>122</v>
      </c>
      <c r="K4631">
        <v>0</v>
      </c>
      <c r="L4631" s="84">
        <v>221611</v>
      </c>
      <c r="M4631" s="84">
        <v>3324165</v>
      </c>
    </row>
    <row r="4632" spans="3:13" hidden="1" x14ac:dyDescent="0.25">
      <c r="C4632" t="s">
        <v>119</v>
      </c>
      <c r="D4632" t="s">
        <v>120</v>
      </c>
      <c r="E4632" t="s">
        <v>60</v>
      </c>
      <c r="F4632" t="s">
        <v>25</v>
      </c>
      <c r="G4632">
        <v>11</v>
      </c>
      <c r="H4632" t="s">
        <v>12</v>
      </c>
      <c r="I4632" t="s">
        <v>121</v>
      </c>
      <c r="J4632" t="s">
        <v>66</v>
      </c>
      <c r="K4632">
        <v>1</v>
      </c>
      <c r="L4632" s="84">
        <v>-2460</v>
      </c>
      <c r="M4632" s="84">
        <v>0</v>
      </c>
    </row>
    <row r="4633" spans="3:13" hidden="1" x14ac:dyDescent="0.25">
      <c r="C4633" t="s">
        <v>64</v>
      </c>
      <c r="D4633" t="s">
        <v>120</v>
      </c>
      <c r="E4633" t="s">
        <v>60</v>
      </c>
      <c r="F4633" t="s">
        <v>124</v>
      </c>
      <c r="G4633">
        <v>2</v>
      </c>
      <c r="H4633" t="s">
        <v>16</v>
      </c>
      <c r="I4633" t="s">
        <v>121</v>
      </c>
      <c r="J4633" t="s">
        <v>122</v>
      </c>
      <c r="K4633">
        <v>0</v>
      </c>
      <c r="L4633" s="84">
        <v>-23054</v>
      </c>
      <c r="M4633" s="84">
        <v>0</v>
      </c>
    </row>
    <row r="4634" spans="3:13" hidden="1" x14ac:dyDescent="0.25">
      <c r="C4634" t="s">
        <v>119</v>
      </c>
      <c r="D4634" t="s">
        <v>120</v>
      </c>
      <c r="E4634" t="s">
        <v>63</v>
      </c>
      <c r="F4634" t="s">
        <v>24</v>
      </c>
      <c r="G4634">
        <v>9</v>
      </c>
      <c r="H4634" t="s">
        <v>67</v>
      </c>
      <c r="I4634" t="s">
        <v>121</v>
      </c>
      <c r="J4634" t="s">
        <v>122</v>
      </c>
      <c r="K4634">
        <v>0</v>
      </c>
      <c r="L4634" s="84">
        <v>2095969</v>
      </c>
      <c r="M4634" s="84">
        <v>18863721</v>
      </c>
    </row>
    <row r="4635" spans="3:13" hidden="1" x14ac:dyDescent="0.25">
      <c r="C4635" t="s">
        <v>64</v>
      </c>
      <c r="D4635" t="s">
        <v>125</v>
      </c>
      <c r="E4635" t="s">
        <v>63</v>
      </c>
      <c r="F4635" t="s">
        <v>25</v>
      </c>
      <c r="G4635">
        <v>21</v>
      </c>
      <c r="I4635" t="s">
        <v>121</v>
      </c>
      <c r="J4635" t="s">
        <v>122</v>
      </c>
      <c r="K4635">
        <v>0</v>
      </c>
      <c r="L4635" s="84">
        <v>364892</v>
      </c>
      <c r="M4635" s="84">
        <v>7662732</v>
      </c>
    </row>
    <row r="4636" spans="3:13" hidden="1" x14ac:dyDescent="0.25">
      <c r="C4636" t="s">
        <v>65</v>
      </c>
      <c r="D4636" t="s">
        <v>125</v>
      </c>
      <c r="E4636" t="s">
        <v>63</v>
      </c>
      <c r="F4636" t="s">
        <v>24</v>
      </c>
      <c r="G4636">
        <v>21</v>
      </c>
      <c r="I4636" t="s">
        <v>121</v>
      </c>
      <c r="J4636" t="s">
        <v>122</v>
      </c>
      <c r="K4636">
        <v>0</v>
      </c>
      <c r="L4636" s="84">
        <v>8232035</v>
      </c>
      <c r="M4636" s="84">
        <v>172872735</v>
      </c>
    </row>
    <row r="4637" spans="3:13" hidden="1" x14ac:dyDescent="0.25">
      <c r="C4637" t="s">
        <v>65</v>
      </c>
      <c r="D4637" t="s">
        <v>120</v>
      </c>
      <c r="E4637" t="s">
        <v>60</v>
      </c>
      <c r="F4637" t="s">
        <v>124</v>
      </c>
      <c r="G4637">
        <v>1</v>
      </c>
      <c r="H4637" t="s">
        <v>12</v>
      </c>
      <c r="I4637" t="s">
        <v>121</v>
      </c>
      <c r="J4637" t="s">
        <v>66</v>
      </c>
      <c r="K4637">
        <v>1</v>
      </c>
      <c r="L4637" s="84">
        <v>-122670</v>
      </c>
      <c r="M4637" s="84">
        <v>0</v>
      </c>
    </row>
    <row r="4638" spans="3:13" hidden="1" x14ac:dyDescent="0.25">
      <c r="C4638" t="s">
        <v>65</v>
      </c>
      <c r="D4638" t="s">
        <v>120</v>
      </c>
      <c r="E4638" t="s">
        <v>63</v>
      </c>
      <c r="F4638" t="s">
        <v>25</v>
      </c>
      <c r="G4638">
        <v>1</v>
      </c>
      <c r="H4638" t="s">
        <v>69</v>
      </c>
      <c r="I4638" t="s">
        <v>121</v>
      </c>
      <c r="J4638" t="s">
        <v>122</v>
      </c>
      <c r="K4638">
        <v>0</v>
      </c>
      <c r="L4638" s="84">
        <v>41705</v>
      </c>
      <c r="M4638" s="84">
        <v>41705</v>
      </c>
    </row>
    <row r="4639" spans="3:13" hidden="1" x14ac:dyDescent="0.25">
      <c r="C4639" t="s">
        <v>65</v>
      </c>
      <c r="D4639" t="s">
        <v>120</v>
      </c>
      <c r="E4639" t="s">
        <v>60</v>
      </c>
      <c r="F4639" t="s">
        <v>25</v>
      </c>
      <c r="G4639">
        <v>6</v>
      </c>
      <c r="H4639" t="s">
        <v>73</v>
      </c>
      <c r="I4639" t="s">
        <v>121</v>
      </c>
      <c r="J4639" t="s">
        <v>122</v>
      </c>
      <c r="K4639">
        <v>0</v>
      </c>
      <c r="L4639" s="84">
        <v>-22617</v>
      </c>
      <c r="M4639" s="84">
        <v>0</v>
      </c>
    </row>
    <row r="4640" spans="3:13" hidden="1" x14ac:dyDescent="0.25">
      <c r="C4640" t="s">
        <v>119</v>
      </c>
      <c r="D4640" t="s">
        <v>120</v>
      </c>
      <c r="E4640" t="s">
        <v>63</v>
      </c>
      <c r="F4640" t="s">
        <v>124</v>
      </c>
      <c r="G4640">
        <v>0</v>
      </c>
      <c r="H4640" t="s">
        <v>15</v>
      </c>
      <c r="I4640" t="s">
        <v>121</v>
      </c>
      <c r="J4640" t="s">
        <v>122</v>
      </c>
      <c r="K4640">
        <v>0</v>
      </c>
      <c r="L4640" s="84">
        <v>256856620</v>
      </c>
      <c r="M4640" s="84">
        <v>0</v>
      </c>
    </row>
    <row r="4641" spans="3:13" hidden="1" x14ac:dyDescent="0.25">
      <c r="C4641" t="s">
        <v>119</v>
      </c>
      <c r="D4641" t="s">
        <v>120</v>
      </c>
      <c r="E4641" t="s">
        <v>60</v>
      </c>
      <c r="F4641" t="s">
        <v>24</v>
      </c>
      <c r="G4641">
        <v>13</v>
      </c>
      <c r="H4641" t="s">
        <v>69</v>
      </c>
      <c r="I4641" t="s">
        <v>121</v>
      </c>
      <c r="J4641" t="s">
        <v>122</v>
      </c>
      <c r="K4641">
        <v>0</v>
      </c>
      <c r="L4641" s="84">
        <v>-8133</v>
      </c>
      <c r="M4641" s="84">
        <v>0</v>
      </c>
    </row>
    <row r="4642" spans="3:13" hidden="1" x14ac:dyDescent="0.25">
      <c r="C4642" t="s">
        <v>64</v>
      </c>
      <c r="D4642" t="s">
        <v>120</v>
      </c>
      <c r="E4642" t="s">
        <v>63</v>
      </c>
      <c r="F4642" t="s">
        <v>123</v>
      </c>
      <c r="G4642">
        <v>2</v>
      </c>
      <c r="H4642" t="s">
        <v>70</v>
      </c>
      <c r="I4642" t="s">
        <v>121</v>
      </c>
      <c r="J4642" t="s">
        <v>122</v>
      </c>
      <c r="K4642">
        <v>0</v>
      </c>
      <c r="L4642" s="84">
        <v>2910469</v>
      </c>
      <c r="M4642" s="84">
        <v>5820938</v>
      </c>
    </row>
    <row r="4643" spans="3:13" hidden="1" x14ac:dyDescent="0.25">
      <c r="C4643" t="s">
        <v>65</v>
      </c>
      <c r="D4643" t="s">
        <v>120</v>
      </c>
      <c r="E4643" t="s">
        <v>63</v>
      </c>
      <c r="F4643" t="s">
        <v>123</v>
      </c>
      <c r="G4643">
        <v>3</v>
      </c>
      <c r="H4643" t="s">
        <v>69</v>
      </c>
      <c r="I4643" t="s">
        <v>121</v>
      </c>
      <c r="J4643" t="s">
        <v>122</v>
      </c>
      <c r="K4643">
        <v>0</v>
      </c>
      <c r="L4643" s="84">
        <v>20541</v>
      </c>
      <c r="M4643" s="84">
        <v>61623</v>
      </c>
    </row>
    <row r="4644" spans="3:13" hidden="1" x14ac:dyDescent="0.25">
      <c r="C4644" t="s">
        <v>119</v>
      </c>
      <c r="D4644" t="s">
        <v>120</v>
      </c>
      <c r="E4644" t="s">
        <v>60</v>
      </c>
      <c r="F4644" t="s">
        <v>25</v>
      </c>
      <c r="G4644">
        <v>11</v>
      </c>
      <c r="H4644" t="s">
        <v>76</v>
      </c>
      <c r="I4644" t="s">
        <v>121</v>
      </c>
      <c r="J4644" t="s">
        <v>122</v>
      </c>
      <c r="K4644">
        <v>0</v>
      </c>
      <c r="L4644" s="84">
        <v>-111</v>
      </c>
      <c r="M4644" s="84">
        <v>0</v>
      </c>
    </row>
    <row r="4645" spans="3:13" hidden="1" x14ac:dyDescent="0.25">
      <c r="C4645" t="s">
        <v>65</v>
      </c>
      <c r="D4645" t="s">
        <v>120</v>
      </c>
      <c r="E4645" t="s">
        <v>60</v>
      </c>
      <c r="F4645" t="s">
        <v>25</v>
      </c>
      <c r="G4645">
        <v>-4</v>
      </c>
      <c r="H4645" t="s">
        <v>76</v>
      </c>
      <c r="I4645" t="s">
        <v>121</v>
      </c>
      <c r="J4645" t="s">
        <v>122</v>
      </c>
      <c r="K4645">
        <v>0</v>
      </c>
      <c r="L4645" s="84">
        <v>-2998</v>
      </c>
      <c r="M4645" s="84">
        <v>0</v>
      </c>
    </row>
    <row r="4646" spans="3:13" hidden="1" x14ac:dyDescent="0.25">
      <c r="C4646" t="s">
        <v>65</v>
      </c>
      <c r="D4646" t="s">
        <v>120</v>
      </c>
      <c r="E4646" t="s">
        <v>63</v>
      </c>
      <c r="F4646" t="s">
        <v>124</v>
      </c>
      <c r="G4646">
        <v>16</v>
      </c>
      <c r="H4646" t="s">
        <v>75</v>
      </c>
      <c r="I4646" t="s">
        <v>121</v>
      </c>
      <c r="J4646" t="s">
        <v>122</v>
      </c>
      <c r="K4646">
        <v>0</v>
      </c>
      <c r="L4646" s="84">
        <v>78959</v>
      </c>
      <c r="M4646" s="84">
        <v>1263344</v>
      </c>
    </row>
    <row r="4647" spans="3:13" hidden="1" x14ac:dyDescent="0.25">
      <c r="C4647" t="s">
        <v>119</v>
      </c>
      <c r="D4647" t="s">
        <v>120</v>
      </c>
      <c r="E4647" t="s">
        <v>63</v>
      </c>
      <c r="F4647" t="s">
        <v>123</v>
      </c>
      <c r="G4647">
        <v>7</v>
      </c>
      <c r="H4647" t="s">
        <v>17</v>
      </c>
      <c r="I4647" t="s">
        <v>121</v>
      </c>
      <c r="J4647" t="s">
        <v>66</v>
      </c>
      <c r="K4647">
        <v>1</v>
      </c>
      <c r="L4647" s="84">
        <v>84665</v>
      </c>
      <c r="M4647" s="84">
        <v>592655</v>
      </c>
    </row>
    <row r="4648" spans="3:13" hidden="1" x14ac:dyDescent="0.25">
      <c r="C4648" t="s">
        <v>119</v>
      </c>
      <c r="D4648" t="s">
        <v>125</v>
      </c>
      <c r="E4648" t="s">
        <v>60</v>
      </c>
      <c r="F4648" t="s">
        <v>25</v>
      </c>
      <c r="G4648">
        <v>25</v>
      </c>
      <c r="I4648" t="s">
        <v>121</v>
      </c>
      <c r="J4648" t="s">
        <v>122</v>
      </c>
      <c r="K4648">
        <v>0</v>
      </c>
      <c r="L4648" s="84">
        <v>-497</v>
      </c>
      <c r="M4648" s="84">
        <v>0</v>
      </c>
    </row>
    <row r="4649" spans="3:13" hidden="1" x14ac:dyDescent="0.25">
      <c r="C4649" t="s">
        <v>64</v>
      </c>
      <c r="D4649" t="s">
        <v>120</v>
      </c>
      <c r="E4649" t="s">
        <v>60</v>
      </c>
      <c r="F4649" t="s">
        <v>124</v>
      </c>
      <c r="G4649">
        <v>4</v>
      </c>
      <c r="H4649" t="s">
        <v>12</v>
      </c>
      <c r="I4649" t="s">
        <v>62</v>
      </c>
      <c r="J4649" t="s">
        <v>66</v>
      </c>
      <c r="K4649">
        <v>1</v>
      </c>
      <c r="L4649" s="84">
        <v>-10439</v>
      </c>
      <c r="M4649" s="84">
        <v>0</v>
      </c>
    </row>
    <row r="4650" spans="3:13" hidden="1" x14ac:dyDescent="0.25">
      <c r="C4650" t="s">
        <v>65</v>
      </c>
      <c r="D4650" t="s">
        <v>120</v>
      </c>
      <c r="E4650" t="s">
        <v>60</v>
      </c>
      <c r="F4650" t="s">
        <v>24</v>
      </c>
      <c r="G4650">
        <v>1</v>
      </c>
      <c r="H4650" t="s">
        <v>70</v>
      </c>
      <c r="I4650" t="s">
        <v>121</v>
      </c>
      <c r="J4650" t="s">
        <v>122</v>
      </c>
      <c r="K4650">
        <v>0</v>
      </c>
      <c r="L4650" s="84">
        <v>-13145</v>
      </c>
      <c r="M4650" s="84">
        <v>0</v>
      </c>
    </row>
    <row r="4651" spans="3:13" hidden="1" x14ac:dyDescent="0.25">
      <c r="C4651" t="s">
        <v>119</v>
      </c>
      <c r="D4651" t="s">
        <v>120</v>
      </c>
      <c r="E4651" t="s">
        <v>60</v>
      </c>
      <c r="F4651" t="s">
        <v>24</v>
      </c>
      <c r="G4651">
        <v>11</v>
      </c>
      <c r="H4651" t="s">
        <v>74</v>
      </c>
      <c r="I4651" t="s">
        <v>121</v>
      </c>
      <c r="J4651" t="s">
        <v>122</v>
      </c>
      <c r="K4651">
        <v>0</v>
      </c>
      <c r="L4651" s="84">
        <v>-450</v>
      </c>
      <c r="M4651" s="84">
        <v>0</v>
      </c>
    </row>
    <row r="4652" spans="3:13" hidden="1" x14ac:dyDescent="0.25">
      <c r="C4652" t="s">
        <v>119</v>
      </c>
      <c r="D4652" t="s">
        <v>120</v>
      </c>
      <c r="E4652" t="s">
        <v>63</v>
      </c>
      <c r="F4652" t="s">
        <v>25</v>
      </c>
      <c r="G4652">
        <v>-1</v>
      </c>
      <c r="H4652" t="s">
        <v>71</v>
      </c>
      <c r="I4652" t="s">
        <v>121</v>
      </c>
      <c r="J4652" t="s">
        <v>122</v>
      </c>
      <c r="K4652">
        <v>0</v>
      </c>
      <c r="L4652" s="84">
        <v>242293</v>
      </c>
      <c r="M4652" s="84">
        <v>0</v>
      </c>
    </row>
    <row r="4653" spans="3:13" hidden="1" x14ac:dyDescent="0.25">
      <c r="C4653" t="s">
        <v>119</v>
      </c>
      <c r="D4653" t="s">
        <v>120</v>
      </c>
      <c r="E4653" t="s">
        <v>63</v>
      </c>
      <c r="F4653" t="s">
        <v>123</v>
      </c>
      <c r="G4653">
        <v>5</v>
      </c>
      <c r="H4653" t="s">
        <v>18</v>
      </c>
      <c r="I4653" t="s">
        <v>121</v>
      </c>
      <c r="J4653" t="s">
        <v>122</v>
      </c>
      <c r="K4653">
        <v>0</v>
      </c>
      <c r="L4653" s="84">
        <v>5004593</v>
      </c>
      <c r="M4653" s="84">
        <v>25022965</v>
      </c>
    </row>
    <row r="4654" spans="3:13" hidden="1" x14ac:dyDescent="0.25">
      <c r="C4654" t="s">
        <v>119</v>
      </c>
      <c r="D4654" t="s">
        <v>120</v>
      </c>
      <c r="E4654" t="s">
        <v>63</v>
      </c>
      <c r="F4654" t="s">
        <v>25</v>
      </c>
      <c r="G4654">
        <v>1</v>
      </c>
      <c r="H4654" t="s">
        <v>72</v>
      </c>
      <c r="I4654" t="s">
        <v>121</v>
      </c>
      <c r="J4654" t="s">
        <v>122</v>
      </c>
      <c r="K4654">
        <v>0</v>
      </c>
      <c r="L4654" s="84">
        <v>141877</v>
      </c>
      <c r="M4654" s="84">
        <v>141877</v>
      </c>
    </row>
    <row r="4655" spans="3:13" hidden="1" x14ac:dyDescent="0.25">
      <c r="C4655" t="s">
        <v>119</v>
      </c>
      <c r="D4655" t="s">
        <v>120</v>
      </c>
      <c r="E4655" t="s">
        <v>63</v>
      </c>
      <c r="F4655" t="s">
        <v>124</v>
      </c>
      <c r="G4655">
        <v>-1</v>
      </c>
      <c r="H4655" t="s">
        <v>67</v>
      </c>
      <c r="I4655" t="s">
        <v>121</v>
      </c>
      <c r="J4655" t="s">
        <v>122</v>
      </c>
      <c r="K4655">
        <v>0</v>
      </c>
      <c r="L4655" s="84">
        <v>61516941</v>
      </c>
      <c r="M4655" s="84">
        <v>0</v>
      </c>
    </row>
    <row r="4656" spans="3:13" hidden="1" x14ac:dyDescent="0.25">
      <c r="C4656" t="s">
        <v>119</v>
      </c>
      <c r="D4656" t="s">
        <v>120</v>
      </c>
      <c r="E4656" t="s">
        <v>60</v>
      </c>
      <c r="F4656" t="s">
        <v>24</v>
      </c>
      <c r="G4656">
        <v>-1</v>
      </c>
      <c r="H4656" t="s">
        <v>12</v>
      </c>
      <c r="I4656" t="s">
        <v>121</v>
      </c>
      <c r="J4656" t="s">
        <v>66</v>
      </c>
      <c r="K4656">
        <v>1</v>
      </c>
      <c r="L4656" s="84">
        <v>-3355</v>
      </c>
      <c r="M4656" s="84">
        <v>0</v>
      </c>
    </row>
    <row r="4657" spans="3:13" hidden="1" x14ac:dyDescent="0.25">
      <c r="C4657" t="s">
        <v>65</v>
      </c>
      <c r="D4657" t="s">
        <v>120</v>
      </c>
      <c r="E4657" t="s">
        <v>63</v>
      </c>
      <c r="F4657" t="s">
        <v>123</v>
      </c>
      <c r="G4657">
        <v>1</v>
      </c>
      <c r="H4657" t="s">
        <v>13</v>
      </c>
      <c r="I4657" t="s">
        <v>121</v>
      </c>
      <c r="J4657" t="s">
        <v>122</v>
      </c>
      <c r="K4657">
        <v>0</v>
      </c>
      <c r="L4657" s="84">
        <v>364469</v>
      </c>
      <c r="M4657" s="84">
        <v>364469</v>
      </c>
    </row>
    <row r="4658" spans="3:13" hidden="1" x14ac:dyDescent="0.25">
      <c r="C4658" t="s">
        <v>119</v>
      </c>
      <c r="D4658" t="s">
        <v>120</v>
      </c>
      <c r="E4658" t="s">
        <v>63</v>
      </c>
      <c r="F4658" t="s">
        <v>123</v>
      </c>
      <c r="G4658">
        <v>0</v>
      </c>
      <c r="H4658" t="s">
        <v>12</v>
      </c>
      <c r="I4658" t="s">
        <v>62</v>
      </c>
      <c r="J4658" t="s">
        <v>66</v>
      </c>
      <c r="K4658">
        <v>1</v>
      </c>
      <c r="L4658" s="84">
        <v>1222</v>
      </c>
      <c r="M4658" s="84">
        <v>0</v>
      </c>
    </row>
    <row r="4659" spans="3:13" hidden="1" x14ac:dyDescent="0.25">
      <c r="C4659" t="s">
        <v>119</v>
      </c>
      <c r="D4659" t="s">
        <v>120</v>
      </c>
      <c r="E4659" t="s">
        <v>63</v>
      </c>
      <c r="F4659" t="s">
        <v>124</v>
      </c>
      <c r="G4659">
        <v>5</v>
      </c>
      <c r="H4659" t="s">
        <v>12</v>
      </c>
      <c r="I4659" t="s">
        <v>121</v>
      </c>
      <c r="J4659" t="s">
        <v>122</v>
      </c>
      <c r="K4659">
        <v>0</v>
      </c>
      <c r="L4659" s="84">
        <v>1528642</v>
      </c>
      <c r="M4659" s="84">
        <v>7643210</v>
      </c>
    </row>
    <row r="4660" spans="3:13" hidden="1" x14ac:dyDescent="0.25">
      <c r="C4660" t="s">
        <v>65</v>
      </c>
      <c r="D4660" t="s">
        <v>120</v>
      </c>
      <c r="E4660" t="s">
        <v>63</v>
      </c>
      <c r="F4660" t="s">
        <v>124</v>
      </c>
      <c r="G4660">
        <v>4</v>
      </c>
      <c r="H4660" t="s">
        <v>75</v>
      </c>
      <c r="I4660" t="s">
        <v>121</v>
      </c>
      <c r="J4660" t="s">
        <v>122</v>
      </c>
      <c r="K4660">
        <v>0</v>
      </c>
      <c r="L4660" s="84">
        <v>537264</v>
      </c>
      <c r="M4660" s="84">
        <v>2149056</v>
      </c>
    </row>
    <row r="4661" spans="3:13" hidden="1" x14ac:dyDescent="0.25">
      <c r="C4661" t="s">
        <v>65</v>
      </c>
      <c r="D4661" t="s">
        <v>120</v>
      </c>
      <c r="E4661" t="s">
        <v>60</v>
      </c>
      <c r="F4661" t="s">
        <v>124</v>
      </c>
      <c r="G4661">
        <v>6</v>
      </c>
      <c r="H4661" t="s">
        <v>67</v>
      </c>
      <c r="I4661" t="s">
        <v>121</v>
      </c>
      <c r="J4661" t="s">
        <v>122</v>
      </c>
      <c r="K4661">
        <v>0</v>
      </c>
      <c r="L4661" s="84">
        <v>-207213</v>
      </c>
      <c r="M4661" s="84">
        <v>0</v>
      </c>
    </row>
    <row r="4662" spans="3:13" hidden="1" x14ac:dyDescent="0.25">
      <c r="C4662" t="s">
        <v>119</v>
      </c>
      <c r="D4662" t="s">
        <v>120</v>
      </c>
      <c r="E4662" t="s">
        <v>63</v>
      </c>
      <c r="F4662" t="s">
        <v>25</v>
      </c>
      <c r="G4662">
        <v>7</v>
      </c>
      <c r="H4662" t="s">
        <v>75</v>
      </c>
      <c r="I4662" t="s">
        <v>121</v>
      </c>
      <c r="J4662" t="s">
        <v>122</v>
      </c>
      <c r="K4662">
        <v>0</v>
      </c>
      <c r="L4662" s="84">
        <v>444340</v>
      </c>
      <c r="M4662" s="84">
        <v>3110380</v>
      </c>
    </row>
    <row r="4663" spans="3:13" hidden="1" x14ac:dyDescent="0.25">
      <c r="C4663" t="s">
        <v>119</v>
      </c>
      <c r="D4663" t="s">
        <v>127</v>
      </c>
      <c r="E4663" t="s">
        <v>63</v>
      </c>
      <c r="F4663" t="s">
        <v>24</v>
      </c>
      <c r="G4663">
        <v>2</v>
      </c>
      <c r="H4663" t="s">
        <v>77</v>
      </c>
      <c r="I4663" t="s">
        <v>121</v>
      </c>
      <c r="J4663" t="s">
        <v>122</v>
      </c>
      <c r="K4663">
        <v>0</v>
      </c>
      <c r="L4663" s="84">
        <v>36888</v>
      </c>
      <c r="M4663" s="84">
        <v>73776</v>
      </c>
    </row>
    <row r="4664" spans="3:13" hidden="1" x14ac:dyDescent="0.25">
      <c r="C4664" t="s">
        <v>119</v>
      </c>
      <c r="D4664" t="s">
        <v>120</v>
      </c>
      <c r="E4664" t="s">
        <v>60</v>
      </c>
      <c r="F4664" t="s">
        <v>124</v>
      </c>
      <c r="G4664">
        <v>1</v>
      </c>
      <c r="H4664" t="s">
        <v>15</v>
      </c>
      <c r="I4664" t="s">
        <v>62</v>
      </c>
      <c r="J4664" t="s">
        <v>122</v>
      </c>
      <c r="K4664">
        <v>1</v>
      </c>
      <c r="L4664" s="84">
        <v>-18</v>
      </c>
      <c r="M4664" s="84">
        <v>0</v>
      </c>
    </row>
    <row r="4665" spans="3:13" hidden="1" x14ac:dyDescent="0.25">
      <c r="C4665" t="s">
        <v>119</v>
      </c>
      <c r="D4665" t="s">
        <v>120</v>
      </c>
      <c r="E4665" t="s">
        <v>63</v>
      </c>
      <c r="F4665" t="s">
        <v>25</v>
      </c>
      <c r="G4665">
        <v>3</v>
      </c>
      <c r="H4665" t="s">
        <v>68</v>
      </c>
      <c r="I4665" t="s">
        <v>121</v>
      </c>
      <c r="J4665" t="s">
        <v>122</v>
      </c>
      <c r="K4665">
        <v>0</v>
      </c>
      <c r="L4665" s="84">
        <v>21604606</v>
      </c>
      <c r="M4665" s="84">
        <v>64813818</v>
      </c>
    </row>
    <row r="4666" spans="3:13" hidden="1" x14ac:dyDescent="0.25">
      <c r="C4666" t="s">
        <v>119</v>
      </c>
      <c r="D4666" t="s">
        <v>127</v>
      </c>
      <c r="E4666" t="s">
        <v>63</v>
      </c>
      <c r="F4666" t="s">
        <v>25</v>
      </c>
      <c r="G4666">
        <v>3</v>
      </c>
      <c r="H4666" t="s">
        <v>67</v>
      </c>
      <c r="I4666" t="s">
        <v>121</v>
      </c>
      <c r="J4666" t="s">
        <v>122</v>
      </c>
      <c r="K4666">
        <v>0</v>
      </c>
      <c r="L4666" s="84">
        <v>122746</v>
      </c>
      <c r="M4666" s="84">
        <v>368238</v>
      </c>
    </row>
    <row r="4667" spans="3:13" hidden="1" x14ac:dyDescent="0.25">
      <c r="C4667" t="s">
        <v>119</v>
      </c>
      <c r="D4667" t="s">
        <v>120</v>
      </c>
      <c r="E4667" t="s">
        <v>60</v>
      </c>
      <c r="F4667" t="s">
        <v>24</v>
      </c>
      <c r="G4667">
        <v>20</v>
      </c>
      <c r="H4667" t="s">
        <v>68</v>
      </c>
      <c r="I4667" t="s">
        <v>121</v>
      </c>
      <c r="J4667" t="s">
        <v>122</v>
      </c>
      <c r="K4667">
        <v>0</v>
      </c>
      <c r="L4667" s="84">
        <v>-470</v>
      </c>
      <c r="M4667" s="84">
        <v>0</v>
      </c>
    </row>
    <row r="4668" spans="3:13" hidden="1" x14ac:dyDescent="0.25">
      <c r="C4668" t="s">
        <v>119</v>
      </c>
      <c r="D4668" t="s">
        <v>120</v>
      </c>
      <c r="E4668" t="s">
        <v>63</v>
      </c>
      <c r="F4668" t="s">
        <v>124</v>
      </c>
      <c r="G4668">
        <v>14</v>
      </c>
      <c r="H4668" t="s">
        <v>68</v>
      </c>
      <c r="I4668" t="s">
        <v>121</v>
      </c>
      <c r="J4668" t="s">
        <v>122</v>
      </c>
      <c r="K4668">
        <v>0</v>
      </c>
      <c r="L4668" s="84">
        <v>127182</v>
      </c>
      <c r="M4668" s="84">
        <v>1780548</v>
      </c>
    </row>
    <row r="4669" spans="3:13" hidden="1" x14ac:dyDescent="0.25">
      <c r="C4669" t="s">
        <v>65</v>
      </c>
      <c r="D4669" t="s">
        <v>120</v>
      </c>
      <c r="E4669" t="s">
        <v>63</v>
      </c>
      <c r="F4669" t="s">
        <v>124</v>
      </c>
      <c r="G4669">
        <v>-1</v>
      </c>
      <c r="H4669" t="s">
        <v>18</v>
      </c>
      <c r="I4669" t="s">
        <v>121</v>
      </c>
      <c r="J4669" t="s">
        <v>122</v>
      </c>
      <c r="K4669">
        <v>0</v>
      </c>
      <c r="L4669" s="84">
        <v>14470309</v>
      </c>
      <c r="M4669" s="84">
        <v>0</v>
      </c>
    </row>
    <row r="4670" spans="3:13" hidden="1" x14ac:dyDescent="0.25">
      <c r="C4670" t="s">
        <v>64</v>
      </c>
      <c r="D4670" t="s">
        <v>120</v>
      </c>
      <c r="E4670" t="s">
        <v>60</v>
      </c>
      <c r="F4670" t="s">
        <v>124</v>
      </c>
      <c r="G4670">
        <v>6</v>
      </c>
      <c r="H4670" t="s">
        <v>68</v>
      </c>
      <c r="I4670" t="s">
        <v>121</v>
      </c>
      <c r="J4670" t="s">
        <v>122</v>
      </c>
      <c r="K4670">
        <v>0</v>
      </c>
      <c r="L4670" s="84">
        <v>-56687</v>
      </c>
      <c r="M4670" s="84">
        <v>0</v>
      </c>
    </row>
    <row r="4671" spans="3:13" hidden="1" x14ac:dyDescent="0.25">
      <c r="C4671" t="s">
        <v>65</v>
      </c>
      <c r="D4671" t="s">
        <v>120</v>
      </c>
      <c r="E4671" t="s">
        <v>63</v>
      </c>
      <c r="F4671" t="s">
        <v>124</v>
      </c>
      <c r="G4671">
        <v>-4</v>
      </c>
      <c r="H4671" t="s">
        <v>13</v>
      </c>
      <c r="I4671" t="s">
        <v>121</v>
      </c>
      <c r="J4671" t="s">
        <v>122</v>
      </c>
      <c r="K4671">
        <v>0</v>
      </c>
      <c r="L4671" s="84">
        <v>20000</v>
      </c>
      <c r="M4671" s="84">
        <v>0</v>
      </c>
    </row>
    <row r="4672" spans="3:13" hidden="1" x14ac:dyDescent="0.25">
      <c r="C4672" t="s">
        <v>119</v>
      </c>
      <c r="D4672" t="s">
        <v>126</v>
      </c>
      <c r="E4672" t="s">
        <v>63</v>
      </c>
      <c r="F4672" t="s">
        <v>25</v>
      </c>
      <c r="G4672">
        <v>6</v>
      </c>
      <c r="H4672" t="s">
        <v>14</v>
      </c>
      <c r="I4672" t="s">
        <v>121</v>
      </c>
      <c r="J4672" t="s">
        <v>122</v>
      </c>
      <c r="K4672">
        <v>0</v>
      </c>
      <c r="L4672" s="84">
        <v>811073</v>
      </c>
      <c r="M4672" s="84">
        <v>4866438</v>
      </c>
    </row>
    <row r="4673" spans="3:13" hidden="1" x14ac:dyDescent="0.25">
      <c r="C4673" t="s">
        <v>64</v>
      </c>
      <c r="D4673" t="s">
        <v>120</v>
      </c>
      <c r="E4673" t="s">
        <v>60</v>
      </c>
      <c r="F4673" t="s">
        <v>25</v>
      </c>
      <c r="G4673">
        <v>-4</v>
      </c>
      <c r="H4673" t="s">
        <v>17</v>
      </c>
      <c r="I4673" t="s">
        <v>62</v>
      </c>
      <c r="J4673" t="s">
        <v>66</v>
      </c>
      <c r="K4673">
        <v>1</v>
      </c>
      <c r="L4673" s="84">
        <v>-6</v>
      </c>
      <c r="M4673" s="84">
        <v>0</v>
      </c>
    </row>
    <row r="4674" spans="3:13" hidden="1" x14ac:dyDescent="0.25">
      <c r="C4674" t="s">
        <v>65</v>
      </c>
      <c r="D4674" t="s">
        <v>120</v>
      </c>
      <c r="E4674" t="s">
        <v>60</v>
      </c>
      <c r="F4674" t="s">
        <v>25</v>
      </c>
      <c r="G4674">
        <v>2</v>
      </c>
      <c r="H4674" t="s">
        <v>18</v>
      </c>
      <c r="I4674" t="s">
        <v>121</v>
      </c>
      <c r="J4674" t="s">
        <v>122</v>
      </c>
      <c r="K4674">
        <v>0</v>
      </c>
      <c r="L4674" s="84">
        <v>-67501</v>
      </c>
      <c r="M4674" s="84">
        <v>0</v>
      </c>
    </row>
    <row r="4675" spans="3:13" hidden="1" x14ac:dyDescent="0.25">
      <c r="C4675" t="s">
        <v>64</v>
      </c>
      <c r="D4675" t="s">
        <v>120</v>
      </c>
      <c r="E4675" t="s">
        <v>63</v>
      </c>
      <c r="F4675" t="s">
        <v>124</v>
      </c>
      <c r="G4675">
        <v>6</v>
      </c>
      <c r="H4675" t="s">
        <v>68</v>
      </c>
      <c r="I4675" t="s">
        <v>121</v>
      </c>
      <c r="J4675" t="s">
        <v>122</v>
      </c>
      <c r="K4675">
        <v>0</v>
      </c>
      <c r="L4675" s="84">
        <v>306794</v>
      </c>
      <c r="M4675" s="84">
        <v>1840764</v>
      </c>
    </row>
    <row r="4676" spans="3:13" hidden="1" x14ac:dyDescent="0.25">
      <c r="C4676" t="s">
        <v>119</v>
      </c>
      <c r="D4676" t="s">
        <v>125</v>
      </c>
      <c r="E4676" t="s">
        <v>63</v>
      </c>
      <c r="F4676" t="s">
        <v>25</v>
      </c>
      <c r="G4676">
        <v>0</v>
      </c>
      <c r="I4676" t="s">
        <v>121</v>
      </c>
      <c r="J4676" t="s">
        <v>122</v>
      </c>
      <c r="K4676">
        <v>0</v>
      </c>
      <c r="L4676" s="84">
        <v>482512</v>
      </c>
      <c r="M4676" s="84">
        <v>0</v>
      </c>
    </row>
    <row r="4677" spans="3:13" hidden="1" x14ac:dyDescent="0.25">
      <c r="C4677" t="s">
        <v>119</v>
      </c>
      <c r="D4677" t="s">
        <v>120</v>
      </c>
      <c r="E4677" t="s">
        <v>60</v>
      </c>
      <c r="F4677" t="s">
        <v>25</v>
      </c>
      <c r="G4677">
        <v>0</v>
      </c>
      <c r="H4677" t="s">
        <v>12</v>
      </c>
      <c r="I4677" t="s">
        <v>121</v>
      </c>
      <c r="J4677" t="s">
        <v>66</v>
      </c>
      <c r="K4677">
        <v>1</v>
      </c>
      <c r="L4677" s="84">
        <v>-131</v>
      </c>
      <c r="M4677" s="84">
        <v>0</v>
      </c>
    </row>
    <row r="4678" spans="3:13" hidden="1" x14ac:dyDescent="0.25">
      <c r="C4678" t="s">
        <v>65</v>
      </c>
      <c r="D4678" t="s">
        <v>125</v>
      </c>
      <c r="E4678" t="s">
        <v>63</v>
      </c>
      <c r="F4678" t="s">
        <v>24</v>
      </c>
      <c r="G4678">
        <v>23</v>
      </c>
      <c r="I4678" t="s">
        <v>121</v>
      </c>
      <c r="J4678" t="s">
        <v>122</v>
      </c>
      <c r="K4678">
        <v>0</v>
      </c>
      <c r="L4678" s="84">
        <v>8894169</v>
      </c>
      <c r="M4678" s="84">
        <v>204565887</v>
      </c>
    </row>
    <row r="4679" spans="3:13" hidden="1" x14ac:dyDescent="0.25">
      <c r="C4679" t="s">
        <v>119</v>
      </c>
      <c r="D4679" t="s">
        <v>120</v>
      </c>
      <c r="E4679" t="s">
        <v>63</v>
      </c>
      <c r="F4679" t="s">
        <v>25</v>
      </c>
      <c r="G4679">
        <v>4</v>
      </c>
      <c r="H4679" t="s">
        <v>61</v>
      </c>
      <c r="I4679" t="s">
        <v>121</v>
      </c>
      <c r="J4679" t="s">
        <v>122</v>
      </c>
      <c r="K4679">
        <v>0</v>
      </c>
      <c r="L4679" s="84">
        <v>728724</v>
      </c>
      <c r="M4679" s="84">
        <v>2914896</v>
      </c>
    </row>
    <row r="4680" spans="3:13" hidden="1" x14ac:dyDescent="0.25">
      <c r="C4680" t="s">
        <v>64</v>
      </c>
      <c r="D4680" t="s">
        <v>120</v>
      </c>
      <c r="E4680" t="s">
        <v>60</v>
      </c>
      <c r="F4680" t="s">
        <v>25</v>
      </c>
      <c r="G4680">
        <v>10</v>
      </c>
      <c r="H4680" t="s">
        <v>71</v>
      </c>
      <c r="I4680" t="s">
        <v>121</v>
      </c>
      <c r="J4680" t="s">
        <v>122</v>
      </c>
      <c r="K4680">
        <v>0</v>
      </c>
      <c r="L4680" s="84">
        <v>-3476</v>
      </c>
      <c r="M4680" s="84">
        <v>0</v>
      </c>
    </row>
    <row r="4681" spans="3:13" hidden="1" x14ac:dyDescent="0.25">
      <c r="C4681" t="s">
        <v>65</v>
      </c>
      <c r="D4681" t="s">
        <v>120</v>
      </c>
      <c r="E4681" t="s">
        <v>63</v>
      </c>
      <c r="F4681" t="s">
        <v>124</v>
      </c>
      <c r="G4681">
        <v>2</v>
      </c>
      <c r="H4681" t="s">
        <v>17</v>
      </c>
      <c r="I4681" t="s">
        <v>121</v>
      </c>
      <c r="J4681" t="s">
        <v>66</v>
      </c>
      <c r="K4681">
        <v>1</v>
      </c>
      <c r="L4681" s="84">
        <v>65186</v>
      </c>
      <c r="M4681" s="84">
        <v>130372</v>
      </c>
    </row>
    <row r="4682" spans="3:13" hidden="1" x14ac:dyDescent="0.25">
      <c r="C4682" t="s">
        <v>64</v>
      </c>
      <c r="D4682" t="s">
        <v>120</v>
      </c>
      <c r="E4682" t="s">
        <v>63</v>
      </c>
      <c r="F4682" t="s">
        <v>123</v>
      </c>
      <c r="G4682">
        <v>4</v>
      </c>
      <c r="H4682" t="s">
        <v>18</v>
      </c>
      <c r="I4682" t="s">
        <v>121</v>
      </c>
      <c r="J4682" t="s">
        <v>66</v>
      </c>
      <c r="K4682">
        <v>1</v>
      </c>
      <c r="L4682" s="84">
        <v>162750</v>
      </c>
      <c r="M4682" s="84">
        <v>651000</v>
      </c>
    </row>
    <row r="4683" spans="3:13" hidden="1" x14ac:dyDescent="0.25">
      <c r="C4683" t="s">
        <v>64</v>
      </c>
      <c r="D4683" t="s">
        <v>120</v>
      </c>
      <c r="E4683" t="s">
        <v>63</v>
      </c>
      <c r="F4683" t="s">
        <v>123</v>
      </c>
      <c r="G4683">
        <v>5</v>
      </c>
      <c r="H4683" t="s">
        <v>61</v>
      </c>
      <c r="I4683" t="s">
        <v>121</v>
      </c>
      <c r="J4683" t="s">
        <v>122</v>
      </c>
      <c r="K4683">
        <v>0</v>
      </c>
      <c r="L4683" s="84">
        <v>260068</v>
      </c>
      <c r="M4683" s="84">
        <v>1300340</v>
      </c>
    </row>
    <row r="4684" spans="3:13" hidden="1" x14ac:dyDescent="0.25">
      <c r="C4684" t="s">
        <v>119</v>
      </c>
      <c r="D4684" t="s">
        <v>120</v>
      </c>
      <c r="E4684" t="s">
        <v>63</v>
      </c>
      <c r="F4684" t="s">
        <v>25</v>
      </c>
      <c r="G4684">
        <v>0</v>
      </c>
      <c r="H4684" t="s">
        <v>14</v>
      </c>
      <c r="I4684" t="s">
        <v>121</v>
      </c>
      <c r="J4684" t="s">
        <v>122</v>
      </c>
      <c r="K4684">
        <v>0</v>
      </c>
      <c r="L4684" s="84">
        <v>48557</v>
      </c>
      <c r="M4684" s="84">
        <v>0</v>
      </c>
    </row>
    <row r="4685" spans="3:13" hidden="1" x14ac:dyDescent="0.25">
      <c r="C4685" t="s">
        <v>64</v>
      </c>
      <c r="D4685" t="s">
        <v>120</v>
      </c>
      <c r="E4685" t="s">
        <v>60</v>
      </c>
      <c r="F4685" t="s">
        <v>25</v>
      </c>
      <c r="G4685">
        <v>10</v>
      </c>
      <c r="H4685" t="s">
        <v>14</v>
      </c>
      <c r="I4685" t="s">
        <v>121</v>
      </c>
      <c r="J4685" t="s">
        <v>66</v>
      </c>
      <c r="K4685">
        <v>1</v>
      </c>
      <c r="L4685" s="84">
        <v>-42618</v>
      </c>
      <c r="M4685" s="84">
        <v>0</v>
      </c>
    </row>
    <row r="4686" spans="3:13" hidden="1" x14ac:dyDescent="0.25">
      <c r="C4686" t="s">
        <v>64</v>
      </c>
      <c r="D4686" t="s">
        <v>120</v>
      </c>
      <c r="E4686" t="s">
        <v>60</v>
      </c>
      <c r="F4686" t="s">
        <v>25</v>
      </c>
      <c r="G4686">
        <v>14</v>
      </c>
      <c r="H4686" t="s">
        <v>14</v>
      </c>
      <c r="I4686" t="s">
        <v>121</v>
      </c>
      <c r="J4686" t="s">
        <v>122</v>
      </c>
      <c r="K4686">
        <v>0</v>
      </c>
      <c r="L4686" s="84">
        <v>-5090</v>
      </c>
      <c r="M4686" s="84">
        <v>0</v>
      </c>
    </row>
    <row r="4687" spans="3:13" hidden="1" x14ac:dyDescent="0.25">
      <c r="C4687" t="s">
        <v>119</v>
      </c>
      <c r="D4687" t="s">
        <v>120</v>
      </c>
      <c r="E4687" t="s">
        <v>60</v>
      </c>
      <c r="F4687" t="s">
        <v>124</v>
      </c>
      <c r="G4687">
        <v>1</v>
      </c>
      <c r="H4687" t="s">
        <v>12</v>
      </c>
      <c r="I4687" t="s">
        <v>62</v>
      </c>
      <c r="J4687" t="s">
        <v>66</v>
      </c>
      <c r="K4687">
        <v>1</v>
      </c>
      <c r="L4687" s="84">
        <v>-317</v>
      </c>
      <c r="M4687" s="84">
        <v>0</v>
      </c>
    </row>
    <row r="4688" spans="3:13" hidden="1" x14ac:dyDescent="0.25">
      <c r="C4688" t="s">
        <v>119</v>
      </c>
      <c r="D4688" t="s">
        <v>120</v>
      </c>
      <c r="E4688" t="s">
        <v>60</v>
      </c>
      <c r="F4688" t="s">
        <v>25</v>
      </c>
      <c r="G4688">
        <v>3</v>
      </c>
      <c r="H4688" t="s">
        <v>14</v>
      </c>
      <c r="I4688" t="s">
        <v>121</v>
      </c>
      <c r="J4688" t="s">
        <v>66</v>
      </c>
      <c r="K4688">
        <v>1</v>
      </c>
      <c r="L4688" s="84">
        <v>-890</v>
      </c>
      <c r="M4688" s="84">
        <v>0</v>
      </c>
    </row>
    <row r="4689" spans="3:13" hidden="1" x14ac:dyDescent="0.25">
      <c r="C4689" t="s">
        <v>119</v>
      </c>
      <c r="D4689" t="s">
        <v>120</v>
      </c>
      <c r="E4689" t="s">
        <v>60</v>
      </c>
      <c r="F4689" t="s">
        <v>25</v>
      </c>
      <c r="G4689">
        <v>2</v>
      </c>
      <c r="H4689" t="s">
        <v>14</v>
      </c>
      <c r="I4689" t="s">
        <v>121</v>
      </c>
      <c r="J4689" t="s">
        <v>122</v>
      </c>
      <c r="K4689">
        <v>0</v>
      </c>
      <c r="L4689" s="84">
        <v>-2086</v>
      </c>
      <c r="M4689" s="84">
        <v>0</v>
      </c>
    </row>
    <row r="4690" spans="3:13" hidden="1" x14ac:dyDescent="0.25">
      <c r="C4690" t="s">
        <v>119</v>
      </c>
      <c r="D4690" t="s">
        <v>120</v>
      </c>
      <c r="E4690" t="s">
        <v>63</v>
      </c>
      <c r="F4690" t="s">
        <v>25</v>
      </c>
      <c r="G4690">
        <v>11</v>
      </c>
      <c r="H4690" t="s">
        <v>18</v>
      </c>
      <c r="I4690" t="s">
        <v>121</v>
      </c>
      <c r="J4690" t="s">
        <v>122</v>
      </c>
      <c r="K4690">
        <v>0</v>
      </c>
      <c r="L4690" s="84">
        <v>8750364</v>
      </c>
      <c r="M4690" s="84">
        <v>96254004</v>
      </c>
    </row>
    <row r="4691" spans="3:13" x14ac:dyDescent="0.25">
      <c r="C4691" t="s">
        <v>119</v>
      </c>
      <c r="D4691" t="s">
        <v>120</v>
      </c>
      <c r="E4691" t="s">
        <v>63</v>
      </c>
      <c r="F4691" t="s">
        <v>25</v>
      </c>
      <c r="G4691">
        <v>11</v>
      </c>
      <c r="H4691" t="s">
        <v>18</v>
      </c>
      <c r="I4691" t="s">
        <v>121</v>
      </c>
      <c r="J4691" t="s">
        <v>66</v>
      </c>
      <c r="K4691">
        <v>1</v>
      </c>
      <c r="L4691" s="84">
        <v>986536</v>
      </c>
      <c r="M4691" s="84">
        <v>10851896</v>
      </c>
    </row>
    <row r="4692" spans="3:13" hidden="1" x14ac:dyDescent="0.25">
      <c r="C4692" t="s">
        <v>119</v>
      </c>
      <c r="D4692" t="s">
        <v>125</v>
      </c>
      <c r="E4692" t="s">
        <v>63</v>
      </c>
      <c r="F4692" t="s">
        <v>24</v>
      </c>
      <c r="G4692">
        <v>41</v>
      </c>
      <c r="I4692" t="s">
        <v>121</v>
      </c>
      <c r="J4692" t="s">
        <v>122</v>
      </c>
      <c r="K4692">
        <v>0</v>
      </c>
      <c r="L4692" s="84">
        <v>25554715</v>
      </c>
      <c r="M4692" s="84">
        <v>1047743315</v>
      </c>
    </row>
    <row r="4693" spans="3:13" hidden="1" x14ac:dyDescent="0.25">
      <c r="C4693" t="s">
        <v>119</v>
      </c>
      <c r="D4693" t="s">
        <v>120</v>
      </c>
      <c r="E4693" t="s">
        <v>60</v>
      </c>
      <c r="F4693" t="s">
        <v>25</v>
      </c>
      <c r="G4693">
        <v>3</v>
      </c>
      <c r="H4693" t="s">
        <v>71</v>
      </c>
      <c r="I4693" t="s">
        <v>121</v>
      </c>
      <c r="J4693" t="s">
        <v>122</v>
      </c>
      <c r="K4693">
        <v>0</v>
      </c>
      <c r="L4693" s="84">
        <v>-172</v>
      </c>
      <c r="M4693" s="84">
        <v>0</v>
      </c>
    </row>
    <row r="4694" spans="3:13" hidden="1" x14ac:dyDescent="0.25">
      <c r="C4694" t="s">
        <v>119</v>
      </c>
      <c r="D4694" t="s">
        <v>120</v>
      </c>
      <c r="E4694" t="s">
        <v>63</v>
      </c>
      <c r="F4694" t="s">
        <v>25</v>
      </c>
      <c r="G4694">
        <v>12</v>
      </c>
      <c r="H4694" t="s">
        <v>67</v>
      </c>
      <c r="I4694" t="s">
        <v>121</v>
      </c>
      <c r="J4694" t="s">
        <v>122</v>
      </c>
      <c r="K4694">
        <v>0</v>
      </c>
      <c r="L4694" s="84">
        <v>2743638</v>
      </c>
      <c r="M4694" s="84">
        <v>32923656</v>
      </c>
    </row>
    <row r="4695" spans="3:13" hidden="1" x14ac:dyDescent="0.25">
      <c r="C4695" t="s">
        <v>119</v>
      </c>
      <c r="D4695" t="s">
        <v>120</v>
      </c>
      <c r="E4695" t="s">
        <v>60</v>
      </c>
      <c r="F4695" t="s">
        <v>24</v>
      </c>
      <c r="G4695">
        <v>12</v>
      </c>
      <c r="H4695" t="s">
        <v>72</v>
      </c>
      <c r="I4695" t="s">
        <v>121</v>
      </c>
      <c r="J4695" t="s">
        <v>122</v>
      </c>
      <c r="K4695">
        <v>0</v>
      </c>
      <c r="L4695" s="84">
        <v>-4929</v>
      </c>
      <c r="M4695" s="84">
        <v>0</v>
      </c>
    </row>
    <row r="4696" spans="3:13" hidden="1" x14ac:dyDescent="0.25">
      <c r="C4696" t="s">
        <v>65</v>
      </c>
      <c r="D4696" t="s">
        <v>120</v>
      </c>
      <c r="E4696" t="s">
        <v>63</v>
      </c>
      <c r="F4696" t="s">
        <v>24</v>
      </c>
      <c r="G4696">
        <v>0</v>
      </c>
      <c r="H4696" t="s">
        <v>14</v>
      </c>
      <c r="I4696" t="s">
        <v>121</v>
      </c>
      <c r="J4696" t="s">
        <v>66</v>
      </c>
      <c r="K4696">
        <v>1</v>
      </c>
      <c r="L4696" s="84">
        <v>269744</v>
      </c>
      <c r="M4696" s="84">
        <v>0</v>
      </c>
    </row>
    <row r="4697" spans="3:13" hidden="1" x14ac:dyDescent="0.25">
      <c r="C4697" t="s">
        <v>119</v>
      </c>
      <c r="D4697" t="s">
        <v>120</v>
      </c>
      <c r="E4697" t="s">
        <v>60</v>
      </c>
      <c r="F4697" t="s">
        <v>124</v>
      </c>
      <c r="G4697">
        <v>8</v>
      </c>
      <c r="H4697" t="s">
        <v>68</v>
      </c>
      <c r="I4697" t="s">
        <v>121</v>
      </c>
      <c r="J4697" t="s">
        <v>122</v>
      </c>
      <c r="K4697">
        <v>0</v>
      </c>
      <c r="L4697" s="84">
        <v>-2240</v>
      </c>
      <c r="M4697" s="84">
        <v>0</v>
      </c>
    </row>
    <row r="4698" spans="3:13" hidden="1" x14ac:dyDescent="0.25">
      <c r="C4698" t="s">
        <v>65</v>
      </c>
      <c r="D4698" t="s">
        <v>120</v>
      </c>
      <c r="E4698" t="s">
        <v>60</v>
      </c>
      <c r="F4698" t="s">
        <v>124</v>
      </c>
      <c r="G4698">
        <v>2</v>
      </c>
      <c r="H4698" t="s">
        <v>15</v>
      </c>
      <c r="I4698" t="s">
        <v>121</v>
      </c>
      <c r="J4698" t="s">
        <v>122</v>
      </c>
      <c r="K4698">
        <v>0</v>
      </c>
      <c r="L4698" s="84">
        <v>-6860</v>
      </c>
      <c r="M4698" s="84">
        <v>0</v>
      </c>
    </row>
    <row r="4699" spans="3:13" hidden="1" x14ac:dyDescent="0.25">
      <c r="C4699" t="s">
        <v>119</v>
      </c>
      <c r="D4699" t="s">
        <v>120</v>
      </c>
      <c r="E4699" t="s">
        <v>63</v>
      </c>
      <c r="F4699" t="s">
        <v>24</v>
      </c>
      <c r="G4699">
        <v>4</v>
      </c>
      <c r="H4699" t="s">
        <v>12</v>
      </c>
      <c r="I4699" t="s">
        <v>121</v>
      </c>
      <c r="J4699" t="s">
        <v>122</v>
      </c>
      <c r="K4699">
        <v>0</v>
      </c>
      <c r="L4699" s="84">
        <v>24219</v>
      </c>
      <c r="M4699" s="84">
        <v>96876</v>
      </c>
    </row>
    <row r="4700" spans="3:13" hidden="1" x14ac:dyDescent="0.25">
      <c r="C4700" t="s">
        <v>64</v>
      </c>
      <c r="D4700" t="s">
        <v>120</v>
      </c>
      <c r="E4700" t="s">
        <v>63</v>
      </c>
      <c r="F4700" t="s">
        <v>124</v>
      </c>
      <c r="G4700">
        <v>-1</v>
      </c>
      <c r="H4700" t="s">
        <v>74</v>
      </c>
      <c r="I4700" t="s">
        <v>121</v>
      </c>
      <c r="J4700" t="s">
        <v>122</v>
      </c>
      <c r="K4700">
        <v>0</v>
      </c>
      <c r="L4700" s="84">
        <v>31897</v>
      </c>
      <c r="M4700" s="84">
        <v>0</v>
      </c>
    </row>
    <row r="4701" spans="3:13" hidden="1" x14ac:dyDescent="0.25">
      <c r="C4701" t="s">
        <v>64</v>
      </c>
      <c r="D4701" t="s">
        <v>120</v>
      </c>
      <c r="E4701" t="s">
        <v>63</v>
      </c>
      <c r="F4701" t="s">
        <v>124</v>
      </c>
      <c r="G4701">
        <v>7</v>
      </c>
      <c r="H4701" t="s">
        <v>72</v>
      </c>
      <c r="I4701" t="s">
        <v>121</v>
      </c>
      <c r="J4701" t="s">
        <v>122</v>
      </c>
      <c r="K4701">
        <v>0</v>
      </c>
      <c r="L4701" s="84">
        <v>2896536</v>
      </c>
      <c r="M4701" s="84">
        <v>20275752</v>
      </c>
    </row>
    <row r="4702" spans="3:13" hidden="1" x14ac:dyDescent="0.25">
      <c r="C4702" t="s">
        <v>119</v>
      </c>
      <c r="D4702" t="s">
        <v>120</v>
      </c>
      <c r="E4702" t="s">
        <v>60</v>
      </c>
      <c r="F4702" t="s">
        <v>25</v>
      </c>
      <c r="G4702">
        <v>13</v>
      </c>
      <c r="H4702" t="s">
        <v>14</v>
      </c>
      <c r="I4702" t="s">
        <v>121</v>
      </c>
      <c r="J4702" t="s">
        <v>66</v>
      </c>
      <c r="K4702">
        <v>1</v>
      </c>
      <c r="L4702" s="84">
        <v>-143</v>
      </c>
      <c r="M4702" s="84">
        <v>0</v>
      </c>
    </row>
    <row r="4703" spans="3:13" hidden="1" x14ac:dyDescent="0.25">
      <c r="C4703" t="s">
        <v>64</v>
      </c>
      <c r="D4703" t="s">
        <v>125</v>
      </c>
      <c r="E4703" t="s">
        <v>63</v>
      </c>
      <c r="F4703" t="s">
        <v>24</v>
      </c>
      <c r="G4703">
        <v>43</v>
      </c>
      <c r="I4703" t="s">
        <v>121</v>
      </c>
      <c r="J4703" t="s">
        <v>122</v>
      </c>
      <c r="K4703">
        <v>0</v>
      </c>
      <c r="L4703" s="84">
        <v>2448912</v>
      </c>
      <c r="M4703" s="84">
        <v>105303216</v>
      </c>
    </row>
    <row r="4704" spans="3:13" hidden="1" x14ac:dyDescent="0.25">
      <c r="C4704" t="s">
        <v>64</v>
      </c>
      <c r="D4704" t="s">
        <v>120</v>
      </c>
      <c r="E4704" t="s">
        <v>60</v>
      </c>
      <c r="F4704" t="s">
        <v>25</v>
      </c>
      <c r="G4704">
        <v>0</v>
      </c>
      <c r="H4704" t="s">
        <v>67</v>
      </c>
      <c r="I4704" t="s">
        <v>121</v>
      </c>
      <c r="J4704" t="s">
        <v>122</v>
      </c>
      <c r="K4704">
        <v>0</v>
      </c>
      <c r="L4704" s="84">
        <v>-981</v>
      </c>
      <c r="M4704" s="84">
        <v>0</v>
      </c>
    </row>
    <row r="4705" spans="3:13" hidden="1" x14ac:dyDescent="0.25">
      <c r="C4705" t="s">
        <v>119</v>
      </c>
      <c r="D4705" t="s">
        <v>120</v>
      </c>
      <c r="E4705" t="s">
        <v>63</v>
      </c>
      <c r="F4705" t="s">
        <v>25</v>
      </c>
      <c r="G4705">
        <v>14</v>
      </c>
      <c r="H4705" t="s">
        <v>67</v>
      </c>
      <c r="I4705" t="s">
        <v>121</v>
      </c>
      <c r="J4705" t="s">
        <v>122</v>
      </c>
      <c r="K4705">
        <v>0</v>
      </c>
      <c r="L4705" s="84">
        <v>9695940</v>
      </c>
      <c r="M4705" s="84">
        <v>135743160</v>
      </c>
    </row>
    <row r="4706" spans="3:13" hidden="1" x14ac:dyDescent="0.25">
      <c r="C4706" t="s">
        <v>65</v>
      </c>
      <c r="D4706" t="s">
        <v>120</v>
      </c>
      <c r="E4706" t="s">
        <v>60</v>
      </c>
      <c r="F4706" t="s">
        <v>24</v>
      </c>
      <c r="G4706">
        <v>12</v>
      </c>
      <c r="H4706" t="s">
        <v>18</v>
      </c>
      <c r="I4706" t="s">
        <v>121</v>
      </c>
      <c r="J4706" t="s">
        <v>122</v>
      </c>
      <c r="K4706">
        <v>0</v>
      </c>
      <c r="L4706" s="84">
        <v>-19675</v>
      </c>
      <c r="M4706" s="84">
        <v>0</v>
      </c>
    </row>
    <row r="4707" spans="3:13" hidden="1" x14ac:dyDescent="0.25">
      <c r="C4707" t="s">
        <v>65</v>
      </c>
      <c r="D4707" t="s">
        <v>120</v>
      </c>
      <c r="E4707" t="s">
        <v>60</v>
      </c>
      <c r="F4707" t="s">
        <v>123</v>
      </c>
      <c r="G4707">
        <v>5</v>
      </c>
      <c r="H4707" t="s">
        <v>76</v>
      </c>
      <c r="I4707" t="s">
        <v>121</v>
      </c>
      <c r="J4707" t="s">
        <v>122</v>
      </c>
      <c r="K4707">
        <v>0</v>
      </c>
      <c r="L4707" s="84">
        <v>-7871</v>
      </c>
      <c r="M4707" s="84">
        <v>0</v>
      </c>
    </row>
    <row r="4708" spans="3:13" hidden="1" x14ac:dyDescent="0.25">
      <c r="C4708" t="s">
        <v>64</v>
      </c>
      <c r="D4708" t="s">
        <v>120</v>
      </c>
      <c r="E4708" t="s">
        <v>63</v>
      </c>
      <c r="F4708" t="s">
        <v>25</v>
      </c>
      <c r="G4708">
        <v>3</v>
      </c>
      <c r="H4708" t="s">
        <v>73</v>
      </c>
      <c r="I4708" t="s">
        <v>121</v>
      </c>
      <c r="J4708" t="s">
        <v>122</v>
      </c>
      <c r="K4708">
        <v>0</v>
      </c>
      <c r="L4708" s="84">
        <v>37932</v>
      </c>
      <c r="M4708" s="84">
        <v>113796</v>
      </c>
    </row>
    <row r="4709" spans="3:13" hidden="1" x14ac:dyDescent="0.25">
      <c r="C4709" t="s">
        <v>119</v>
      </c>
      <c r="D4709" t="s">
        <v>120</v>
      </c>
      <c r="E4709" t="s">
        <v>63</v>
      </c>
      <c r="F4709" t="s">
        <v>25</v>
      </c>
      <c r="G4709">
        <v>9</v>
      </c>
      <c r="H4709" t="s">
        <v>18</v>
      </c>
      <c r="I4709" t="s">
        <v>121</v>
      </c>
      <c r="J4709" t="s">
        <v>122</v>
      </c>
      <c r="K4709">
        <v>0</v>
      </c>
      <c r="L4709" s="84">
        <v>3459190</v>
      </c>
      <c r="M4709" s="84">
        <v>31132710</v>
      </c>
    </row>
    <row r="4710" spans="3:13" hidden="1" x14ac:dyDescent="0.25">
      <c r="C4710" t="s">
        <v>119</v>
      </c>
      <c r="D4710" t="s">
        <v>120</v>
      </c>
      <c r="E4710" t="s">
        <v>60</v>
      </c>
      <c r="F4710" t="s">
        <v>123</v>
      </c>
      <c r="G4710">
        <v>1</v>
      </c>
      <c r="H4710" t="s">
        <v>75</v>
      </c>
      <c r="I4710" t="s">
        <v>121</v>
      </c>
      <c r="J4710" t="s">
        <v>122</v>
      </c>
      <c r="K4710">
        <v>0</v>
      </c>
      <c r="L4710" s="84">
        <v>-11150</v>
      </c>
      <c r="M4710" s="84">
        <v>0</v>
      </c>
    </row>
    <row r="4711" spans="3:13" hidden="1" x14ac:dyDescent="0.25">
      <c r="C4711" t="s">
        <v>119</v>
      </c>
      <c r="D4711" t="s">
        <v>125</v>
      </c>
      <c r="E4711" t="s">
        <v>63</v>
      </c>
      <c r="F4711" t="s">
        <v>24</v>
      </c>
      <c r="G4711">
        <v>6</v>
      </c>
      <c r="I4711" t="s">
        <v>121</v>
      </c>
      <c r="J4711" t="s">
        <v>122</v>
      </c>
      <c r="K4711">
        <v>0</v>
      </c>
      <c r="L4711" s="84">
        <v>126119885</v>
      </c>
      <c r="M4711" s="84">
        <v>756719310</v>
      </c>
    </row>
    <row r="4712" spans="3:13" x14ac:dyDescent="0.25">
      <c r="C4712" t="s">
        <v>119</v>
      </c>
      <c r="D4712" t="s">
        <v>120</v>
      </c>
      <c r="E4712" t="s">
        <v>63</v>
      </c>
      <c r="F4712" t="s">
        <v>25</v>
      </c>
      <c r="G4712">
        <v>9</v>
      </c>
      <c r="H4712" t="s">
        <v>18</v>
      </c>
      <c r="I4712" t="s">
        <v>121</v>
      </c>
      <c r="J4712" t="s">
        <v>66</v>
      </c>
      <c r="K4712">
        <v>1</v>
      </c>
      <c r="L4712" s="84">
        <v>580355</v>
      </c>
      <c r="M4712" s="84">
        <v>5223195</v>
      </c>
    </row>
    <row r="4713" spans="3:13" hidden="1" x14ac:dyDescent="0.25">
      <c r="C4713" t="s">
        <v>64</v>
      </c>
      <c r="D4713" t="s">
        <v>120</v>
      </c>
      <c r="E4713" t="s">
        <v>63</v>
      </c>
      <c r="F4713" t="s">
        <v>124</v>
      </c>
      <c r="G4713">
        <v>6</v>
      </c>
      <c r="H4713" t="s">
        <v>76</v>
      </c>
      <c r="I4713" t="s">
        <v>121</v>
      </c>
      <c r="J4713" t="s">
        <v>122</v>
      </c>
      <c r="K4713">
        <v>0</v>
      </c>
      <c r="L4713" s="84">
        <v>19323</v>
      </c>
      <c r="M4713" s="84">
        <v>115938</v>
      </c>
    </row>
    <row r="4714" spans="3:13" hidden="1" x14ac:dyDescent="0.25">
      <c r="C4714" t="s">
        <v>64</v>
      </c>
      <c r="D4714" t="s">
        <v>120</v>
      </c>
      <c r="E4714" t="s">
        <v>63</v>
      </c>
      <c r="F4714" t="s">
        <v>24</v>
      </c>
      <c r="G4714">
        <v>6</v>
      </c>
      <c r="H4714" t="s">
        <v>67</v>
      </c>
      <c r="I4714" t="s">
        <v>121</v>
      </c>
      <c r="J4714" t="s">
        <v>122</v>
      </c>
      <c r="K4714">
        <v>0</v>
      </c>
      <c r="L4714" s="84">
        <v>298894</v>
      </c>
      <c r="M4714" s="84">
        <v>1793364</v>
      </c>
    </row>
    <row r="4715" spans="3:13" hidden="1" x14ac:dyDescent="0.25">
      <c r="C4715" t="s">
        <v>119</v>
      </c>
      <c r="D4715" t="s">
        <v>120</v>
      </c>
      <c r="E4715" t="s">
        <v>60</v>
      </c>
      <c r="F4715" t="s">
        <v>25</v>
      </c>
      <c r="G4715">
        <v>13</v>
      </c>
      <c r="H4715" t="s">
        <v>71</v>
      </c>
      <c r="I4715" t="s">
        <v>121</v>
      </c>
      <c r="J4715" t="s">
        <v>122</v>
      </c>
      <c r="K4715">
        <v>0</v>
      </c>
      <c r="L4715" s="84">
        <v>-123</v>
      </c>
      <c r="M4715" s="84">
        <v>0</v>
      </c>
    </row>
    <row r="4716" spans="3:13" hidden="1" x14ac:dyDescent="0.25">
      <c r="C4716" t="s">
        <v>119</v>
      </c>
      <c r="D4716" t="s">
        <v>120</v>
      </c>
      <c r="E4716" t="s">
        <v>63</v>
      </c>
      <c r="F4716" t="s">
        <v>124</v>
      </c>
      <c r="G4716">
        <v>3</v>
      </c>
      <c r="H4716" t="s">
        <v>14</v>
      </c>
      <c r="I4716" t="s">
        <v>62</v>
      </c>
      <c r="J4716" t="s">
        <v>122</v>
      </c>
      <c r="K4716">
        <v>1</v>
      </c>
      <c r="L4716" s="84">
        <v>604031</v>
      </c>
      <c r="M4716" s="84">
        <v>1812093</v>
      </c>
    </row>
    <row r="4717" spans="3:13" hidden="1" x14ac:dyDescent="0.25">
      <c r="C4717" t="s">
        <v>119</v>
      </c>
      <c r="D4717" t="s">
        <v>120</v>
      </c>
      <c r="E4717" t="s">
        <v>63</v>
      </c>
      <c r="F4717" t="s">
        <v>24</v>
      </c>
      <c r="G4717">
        <v>11</v>
      </c>
      <c r="H4717" t="s">
        <v>68</v>
      </c>
      <c r="I4717" t="s">
        <v>121</v>
      </c>
      <c r="J4717" t="s">
        <v>122</v>
      </c>
      <c r="K4717">
        <v>0</v>
      </c>
      <c r="L4717" s="84">
        <v>21878462</v>
      </c>
      <c r="M4717" s="84">
        <v>240663082</v>
      </c>
    </row>
    <row r="4718" spans="3:13" hidden="1" x14ac:dyDescent="0.25">
      <c r="C4718" t="s">
        <v>64</v>
      </c>
      <c r="D4718" t="s">
        <v>120</v>
      </c>
      <c r="E4718" t="s">
        <v>63</v>
      </c>
      <c r="F4718" t="s">
        <v>25</v>
      </c>
      <c r="G4718">
        <v>1</v>
      </c>
      <c r="H4718" t="s">
        <v>61</v>
      </c>
      <c r="I4718" t="s">
        <v>121</v>
      </c>
      <c r="J4718" t="s">
        <v>122</v>
      </c>
      <c r="K4718">
        <v>0</v>
      </c>
      <c r="L4718" s="84">
        <v>32971</v>
      </c>
      <c r="M4718" s="84">
        <v>32971</v>
      </c>
    </row>
    <row r="4719" spans="3:13" hidden="1" x14ac:dyDescent="0.25">
      <c r="C4719" t="s">
        <v>65</v>
      </c>
      <c r="D4719" t="s">
        <v>120</v>
      </c>
      <c r="E4719" t="s">
        <v>63</v>
      </c>
      <c r="F4719" t="s">
        <v>123</v>
      </c>
      <c r="G4719">
        <v>2</v>
      </c>
      <c r="H4719" t="s">
        <v>75</v>
      </c>
      <c r="I4719" t="s">
        <v>121</v>
      </c>
      <c r="J4719" t="s">
        <v>122</v>
      </c>
      <c r="K4719">
        <v>0</v>
      </c>
      <c r="L4719" s="84">
        <v>389512</v>
      </c>
      <c r="M4719" s="84">
        <v>779024</v>
      </c>
    </row>
    <row r="4720" spans="3:13" hidden="1" x14ac:dyDescent="0.25">
      <c r="C4720" t="s">
        <v>65</v>
      </c>
      <c r="D4720" t="s">
        <v>120</v>
      </c>
      <c r="E4720" t="s">
        <v>63</v>
      </c>
      <c r="F4720" t="s">
        <v>123</v>
      </c>
      <c r="G4720">
        <v>-4</v>
      </c>
      <c r="H4720" t="s">
        <v>12</v>
      </c>
      <c r="I4720" t="s">
        <v>121</v>
      </c>
      <c r="J4720" t="s">
        <v>66</v>
      </c>
      <c r="K4720">
        <v>1</v>
      </c>
      <c r="L4720" s="84">
        <v>31021</v>
      </c>
      <c r="M4720" s="84">
        <v>0</v>
      </c>
    </row>
    <row r="4721" spans="3:13" hidden="1" x14ac:dyDescent="0.25">
      <c r="C4721" t="s">
        <v>65</v>
      </c>
      <c r="D4721" t="s">
        <v>120</v>
      </c>
      <c r="E4721" t="s">
        <v>60</v>
      </c>
      <c r="F4721" t="s">
        <v>124</v>
      </c>
      <c r="G4721">
        <v>16</v>
      </c>
      <c r="H4721" t="s">
        <v>12</v>
      </c>
      <c r="I4721" t="s">
        <v>121</v>
      </c>
      <c r="J4721" t="s">
        <v>122</v>
      </c>
      <c r="K4721">
        <v>0</v>
      </c>
      <c r="L4721" s="84">
        <v>-218299</v>
      </c>
      <c r="M4721" s="84">
        <v>0</v>
      </c>
    </row>
    <row r="4722" spans="3:13" hidden="1" x14ac:dyDescent="0.25">
      <c r="C4722" t="s">
        <v>119</v>
      </c>
      <c r="D4722" t="s">
        <v>120</v>
      </c>
      <c r="E4722" t="s">
        <v>63</v>
      </c>
      <c r="F4722" t="s">
        <v>123</v>
      </c>
      <c r="G4722">
        <v>-1</v>
      </c>
      <c r="H4722" t="s">
        <v>67</v>
      </c>
      <c r="I4722" t="s">
        <v>121</v>
      </c>
      <c r="J4722" t="s">
        <v>122</v>
      </c>
      <c r="K4722">
        <v>0</v>
      </c>
      <c r="L4722" s="84">
        <v>10984678</v>
      </c>
      <c r="M4722" s="84">
        <v>0</v>
      </c>
    </row>
    <row r="4723" spans="3:13" hidden="1" x14ac:dyDescent="0.25">
      <c r="C4723" t="s">
        <v>119</v>
      </c>
      <c r="D4723" t="s">
        <v>120</v>
      </c>
      <c r="E4723" t="s">
        <v>60</v>
      </c>
      <c r="F4723" t="s">
        <v>25</v>
      </c>
      <c r="G4723">
        <v>3</v>
      </c>
      <c r="H4723" t="s">
        <v>61</v>
      </c>
      <c r="I4723" t="s">
        <v>121</v>
      </c>
      <c r="J4723" t="s">
        <v>122</v>
      </c>
      <c r="K4723">
        <v>0</v>
      </c>
      <c r="L4723" s="84">
        <v>-1190</v>
      </c>
      <c r="M4723" s="84">
        <v>0</v>
      </c>
    </row>
    <row r="4724" spans="3:13" hidden="1" x14ac:dyDescent="0.25">
      <c r="C4724" t="s">
        <v>119</v>
      </c>
      <c r="D4724" t="s">
        <v>120</v>
      </c>
      <c r="E4724" t="s">
        <v>60</v>
      </c>
      <c r="F4724" t="s">
        <v>124</v>
      </c>
      <c r="G4724">
        <v>4</v>
      </c>
      <c r="H4724" t="s">
        <v>69</v>
      </c>
      <c r="I4724" t="s">
        <v>121</v>
      </c>
      <c r="J4724" t="s">
        <v>122</v>
      </c>
      <c r="K4724">
        <v>0</v>
      </c>
      <c r="L4724" s="84">
        <v>-81918</v>
      </c>
      <c r="M4724" s="84">
        <v>0</v>
      </c>
    </row>
    <row r="4725" spans="3:13" hidden="1" x14ac:dyDescent="0.25">
      <c r="C4725" t="s">
        <v>64</v>
      </c>
      <c r="D4725" t="s">
        <v>120</v>
      </c>
      <c r="E4725" t="s">
        <v>63</v>
      </c>
      <c r="F4725" t="s">
        <v>123</v>
      </c>
      <c r="G4725">
        <v>0</v>
      </c>
      <c r="H4725" t="s">
        <v>70</v>
      </c>
      <c r="I4725" t="s">
        <v>121</v>
      </c>
      <c r="J4725" t="s">
        <v>122</v>
      </c>
      <c r="K4725">
        <v>0</v>
      </c>
      <c r="L4725" s="84">
        <v>11412</v>
      </c>
      <c r="M4725" s="84">
        <v>0</v>
      </c>
    </row>
    <row r="4726" spans="3:13" hidden="1" x14ac:dyDescent="0.25">
      <c r="C4726" t="s">
        <v>65</v>
      </c>
      <c r="D4726" t="s">
        <v>120</v>
      </c>
      <c r="E4726" t="s">
        <v>63</v>
      </c>
      <c r="F4726" t="s">
        <v>124</v>
      </c>
      <c r="G4726">
        <v>4</v>
      </c>
      <c r="H4726" t="s">
        <v>14</v>
      </c>
      <c r="I4726" t="s">
        <v>121</v>
      </c>
      <c r="J4726" t="s">
        <v>66</v>
      </c>
      <c r="K4726">
        <v>1</v>
      </c>
      <c r="L4726" s="84">
        <v>841132</v>
      </c>
      <c r="M4726" s="84">
        <v>3364528</v>
      </c>
    </row>
    <row r="4727" spans="3:13" hidden="1" x14ac:dyDescent="0.25">
      <c r="C4727" t="s">
        <v>64</v>
      </c>
      <c r="D4727" t="s">
        <v>120</v>
      </c>
      <c r="E4727" t="s">
        <v>63</v>
      </c>
      <c r="F4727" t="s">
        <v>25</v>
      </c>
      <c r="G4727">
        <v>6</v>
      </c>
      <c r="H4727" t="s">
        <v>69</v>
      </c>
      <c r="I4727" t="s">
        <v>121</v>
      </c>
      <c r="J4727" t="s">
        <v>122</v>
      </c>
      <c r="K4727">
        <v>0</v>
      </c>
      <c r="L4727" s="84">
        <v>1053817</v>
      </c>
      <c r="M4727" s="84">
        <v>6322902</v>
      </c>
    </row>
    <row r="4728" spans="3:13" hidden="1" x14ac:dyDescent="0.25">
      <c r="C4728" t="s">
        <v>64</v>
      </c>
      <c r="D4728" t="s">
        <v>120</v>
      </c>
      <c r="E4728" t="s">
        <v>63</v>
      </c>
      <c r="F4728" t="s">
        <v>124</v>
      </c>
      <c r="G4728">
        <v>7</v>
      </c>
      <c r="H4728" t="s">
        <v>17</v>
      </c>
      <c r="I4728" t="s">
        <v>62</v>
      </c>
      <c r="J4728" t="s">
        <v>66</v>
      </c>
      <c r="K4728">
        <v>1</v>
      </c>
      <c r="L4728" s="84">
        <v>39801</v>
      </c>
      <c r="M4728" s="84">
        <v>278607</v>
      </c>
    </row>
    <row r="4729" spans="3:13" hidden="1" x14ac:dyDescent="0.25">
      <c r="C4729" t="s">
        <v>65</v>
      </c>
      <c r="D4729" t="s">
        <v>120</v>
      </c>
      <c r="E4729" t="s">
        <v>63</v>
      </c>
      <c r="F4729" t="s">
        <v>123</v>
      </c>
      <c r="G4729">
        <v>-4</v>
      </c>
      <c r="H4729" t="s">
        <v>17</v>
      </c>
      <c r="I4729" t="s">
        <v>62</v>
      </c>
      <c r="J4729" t="s">
        <v>122</v>
      </c>
      <c r="K4729">
        <v>1</v>
      </c>
      <c r="L4729" s="84">
        <v>385</v>
      </c>
      <c r="M4729" s="84">
        <v>0</v>
      </c>
    </row>
    <row r="4730" spans="3:13" hidden="1" x14ac:dyDescent="0.25">
      <c r="C4730" t="s">
        <v>64</v>
      </c>
      <c r="D4730" t="s">
        <v>120</v>
      </c>
      <c r="E4730" t="s">
        <v>60</v>
      </c>
      <c r="F4730" t="s">
        <v>124</v>
      </c>
      <c r="G4730">
        <v>8</v>
      </c>
      <c r="H4730" t="s">
        <v>17</v>
      </c>
      <c r="I4730" t="s">
        <v>121</v>
      </c>
      <c r="J4730" t="s">
        <v>66</v>
      </c>
      <c r="K4730">
        <v>1</v>
      </c>
      <c r="L4730" s="84">
        <v>-1705</v>
      </c>
      <c r="M4730" s="84">
        <v>0</v>
      </c>
    </row>
    <row r="4731" spans="3:13" hidden="1" x14ac:dyDescent="0.25">
      <c r="C4731" t="s">
        <v>64</v>
      </c>
      <c r="D4731" t="s">
        <v>120</v>
      </c>
      <c r="E4731" t="s">
        <v>60</v>
      </c>
      <c r="F4731" t="s">
        <v>24</v>
      </c>
      <c r="G4731">
        <v>8</v>
      </c>
      <c r="H4731" t="s">
        <v>18</v>
      </c>
      <c r="I4731" t="s">
        <v>121</v>
      </c>
      <c r="J4731" t="s">
        <v>122</v>
      </c>
      <c r="K4731">
        <v>0</v>
      </c>
      <c r="L4731" s="84">
        <v>-19964</v>
      </c>
      <c r="M4731" s="84">
        <v>0</v>
      </c>
    </row>
    <row r="4732" spans="3:13" hidden="1" x14ac:dyDescent="0.25">
      <c r="C4732" t="s">
        <v>119</v>
      </c>
      <c r="D4732" t="s">
        <v>120</v>
      </c>
      <c r="E4732" t="s">
        <v>63</v>
      </c>
      <c r="F4732" t="s">
        <v>123</v>
      </c>
      <c r="G4732">
        <v>4</v>
      </c>
      <c r="H4732" t="s">
        <v>61</v>
      </c>
      <c r="I4732" t="s">
        <v>121</v>
      </c>
      <c r="J4732" t="s">
        <v>122</v>
      </c>
      <c r="K4732">
        <v>0</v>
      </c>
      <c r="L4732" s="84">
        <v>10383219</v>
      </c>
      <c r="M4732" s="84">
        <v>41532876</v>
      </c>
    </row>
    <row r="4733" spans="3:13" hidden="1" x14ac:dyDescent="0.25">
      <c r="C4733" t="s">
        <v>119</v>
      </c>
      <c r="D4733" t="s">
        <v>125</v>
      </c>
      <c r="E4733" t="s">
        <v>63</v>
      </c>
      <c r="F4733" t="s">
        <v>25</v>
      </c>
      <c r="G4733">
        <v>31</v>
      </c>
      <c r="I4733" t="s">
        <v>121</v>
      </c>
      <c r="J4733" t="s">
        <v>122</v>
      </c>
      <c r="K4733">
        <v>0</v>
      </c>
      <c r="L4733" s="84">
        <v>136240</v>
      </c>
      <c r="M4733" s="84">
        <v>4223440</v>
      </c>
    </row>
    <row r="4734" spans="3:13" hidden="1" x14ac:dyDescent="0.25">
      <c r="C4734" t="s">
        <v>64</v>
      </c>
      <c r="D4734" t="s">
        <v>120</v>
      </c>
      <c r="E4734" t="s">
        <v>63</v>
      </c>
      <c r="F4734" t="s">
        <v>124</v>
      </c>
      <c r="G4734">
        <v>3</v>
      </c>
      <c r="H4734" t="s">
        <v>69</v>
      </c>
      <c r="I4734" t="s">
        <v>121</v>
      </c>
      <c r="J4734" t="s">
        <v>122</v>
      </c>
      <c r="K4734">
        <v>0</v>
      </c>
      <c r="L4734" s="84">
        <v>2885463</v>
      </c>
      <c r="M4734" s="84">
        <v>8656389</v>
      </c>
    </row>
    <row r="4735" spans="3:13" hidden="1" x14ac:dyDescent="0.25">
      <c r="C4735" t="s">
        <v>119</v>
      </c>
      <c r="D4735" t="s">
        <v>120</v>
      </c>
      <c r="E4735" t="s">
        <v>63</v>
      </c>
      <c r="F4735" t="s">
        <v>124</v>
      </c>
      <c r="G4735">
        <v>-1</v>
      </c>
      <c r="H4735" t="s">
        <v>12</v>
      </c>
      <c r="I4735" t="s">
        <v>62</v>
      </c>
      <c r="J4735" t="s">
        <v>122</v>
      </c>
      <c r="K4735">
        <v>1</v>
      </c>
      <c r="L4735" s="84">
        <v>549</v>
      </c>
      <c r="M4735" s="84">
        <v>0</v>
      </c>
    </row>
    <row r="4736" spans="3:13" hidden="1" x14ac:dyDescent="0.25">
      <c r="C4736" t="s">
        <v>119</v>
      </c>
      <c r="D4736" t="s">
        <v>120</v>
      </c>
      <c r="E4736" t="s">
        <v>63</v>
      </c>
      <c r="F4736" t="s">
        <v>25</v>
      </c>
      <c r="G4736">
        <v>5</v>
      </c>
      <c r="H4736" t="s">
        <v>61</v>
      </c>
      <c r="I4736" t="s">
        <v>121</v>
      </c>
      <c r="J4736" t="s">
        <v>122</v>
      </c>
      <c r="K4736">
        <v>0</v>
      </c>
      <c r="L4736" s="84">
        <v>3008933</v>
      </c>
      <c r="M4736" s="84">
        <v>15044665</v>
      </c>
    </row>
    <row r="4737" spans="3:13" hidden="1" x14ac:dyDescent="0.25">
      <c r="C4737" t="s">
        <v>64</v>
      </c>
      <c r="D4737" t="s">
        <v>125</v>
      </c>
      <c r="E4737" t="s">
        <v>63</v>
      </c>
      <c r="F4737" t="s">
        <v>24</v>
      </c>
      <c r="G4737">
        <v>14</v>
      </c>
      <c r="I4737" t="s">
        <v>121</v>
      </c>
      <c r="J4737" t="s">
        <v>122</v>
      </c>
      <c r="K4737">
        <v>0</v>
      </c>
      <c r="L4737" s="84">
        <v>24293799</v>
      </c>
      <c r="M4737" s="84">
        <v>340113186</v>
      </c>
    </row>
    <row r="4738" spans="3:13" hidden="1" x14ac:dyDescent="0.25">
      <c r="C4738" t="s">
        <v>65</v>
      </c>
      <c r="D4738" t="s">
        <v>120</v>
      </c>
      <c r="E4738" t="s">
        <v>60</v>
      </c>
      <c r="F4738" t="s">
        <v>123</v>
      </c>
      <c r="G4738">
        <v>-4</v>
      </c>
      <c r="H4738" t="s">
        <v>70</v>
      </c>
      <c r="I4738" t="s">
        <v>121</v>
      </c>
      <c r="J4738" t="s">
        <v>122</v>
      </c>
      <c r="K4738">
        <v>0</v>
      </c>
      <c r="L4738" s="84">
        <v>-30918</v>
      </c>
      <c r="M4738" s="84">
        <v>0</v>
      </c>
    </row>
    <row r="4739" spans="3:13" hidden="1" x14ac:dyDescent="0.25">
      <c r="C4739" t="s">
        <v>119</v>
      </c>
      <c r="D4739" t="s">
        <v>120</v>
      </c>
      <c r="E4739" t="s">
        <v>60</v>
      </c>
      <c r="F4739" t="s">
        <v>25</v>
      </c>
      <c r="G4739">
        <v>7</v>
      </c>
      <c r="H4739" t="s">
        <v>17</v>
      </c>
      <c r="I4739" t="s">
        <v>121</v>
      </c>
      <c r="J4739" t="s">
        <v>122</v>
      </c>
      <c r="K4739">
        <v>0</v>
      </c>
      <c r="L4739" s="84">
        <v>-2009</v>
      </c>
      <c r="M4739" s="84">
        <v>0</v>
      </c>
    </row>
    <row r="4740" spans="3:13" hidden="1" x14ac:dyDescent="0.25">
      <c r="C4740" t="s">
        <v>119</v>
      </c>
      <c r="D4740" t="s">
        <v>120</v>
      </c>
      <c r="E4740" t="s">
        <v>63</v>
      </c>
      <c r="F4740" t="s">
        <v>124</v>
      </c>
      <c r="G4740">
        <v>-1</v>
      </c>
      <c r="H4740" t="s">
        <v>17</v>
      </c>
      <c r="I4740" t="s">
        <v>121</v>
      </c>
      <c r="J4740" t="s">
        <v>66</v>
      </c>
      <c r="K4740">
        <v>1</v>
      </c>
      <c r="L4740" s="84">
        <v>4755212</v>
      </c>
      <c r="M4740" s="84">
        <v>0</v>
      </c>
    </row>
    <row r="4741" spans="3:13" hidden="1" x14ac:dyDescent="0.25">
      <c r="C4741" t="s">
        <v>119</v>
      </c>
      <c r="D4741" t="s">
        <v>120</v>
      </c>
      <c r="E4741" t="s">
        <v>60</v>
      </c>
      <c r="F4741" t="s">
        <v>24</v>
      </c>
      <c r="G4741">
        <v>2</v>
      </c>
      <c r="H4741" t="s">
        <v>17</v>
      </c>
      <c r="I4741" t="s">
        <v>121</v>
      </c>
      <c r="J4741" t="s">
        <v>66</v>
      </c>
      <c r="K4741">
        <v>1</v>
      </c>
      <c r="L4741" s="84">
        <v>-457</v>
      </c>
      <c r="M4741" s="84">
        <v>0</v>
      </c>
    </row>
    <row r="4742" spans="3:13" hidden="1" x14ac:dyDescent="0.25">
      <c r="C4742" t="s">
        <v>65</v>
      </c>
      <c r="D4742" t="s">
        <v>120</v>
      </c>
      <c r="E4742" t="s">
        <v>60</v>
      </c>
      <c r="F4742" t="s">
        <v>124</v>
      </c>
      <c r="G4742">
        <v>7</v>
      </c>
      <c r="H4742" t="s">
        <v>67</v>
      </c>
      <c r="I4742" t="s">
        <v>121</v>
      </c>
      <c r="J4742" t="s">
        <v>122</v>
      </c>
      <c r="K4742">
        <v>0</v>
      </c>
      <c r="L4742" s="84">
        <v>-14126</v>
      </c>
      <c r="M4742" s="84">
        <v>0</v>
      </c>
    </row>
    <row r="4743" spans="3:13" hidden="1" x14ac:dyDescent="0.25">
      <c r="C4743" t="s">
        <v>64</v>
      </c>
      <c r="D4743" t="s">
        <v>120</v>
      </c>
      <c r="E4743" t="s">
        <v>63</v>
      </c>
      <c r="F4743" t="s">
        <v>124</v>
      </c>
      <c r="G4743">
        <v>5</v>
      </c>
      <c r="H4743" t="s">
        <v>69</v>
      </c>
      <c r="I4743" t="s">
        <v>121</v>
      </c>
      <c r="J4743" t="s">
        <v>122</v>
      </c>
      <c r="K4743">
        <v>0</v>
      </c>
      <c r="L4743" s="84">
        <v>2713218</v>
      </c>
      <c r="M4743" s="84">
        <v>13566090</v>
      </c>
    </row>
    <row r="4744" spans="3:13" hidden="1" x14ac:dyDescent="0.25">
      <c r="C4744" t="s">
        <v>119</v>
      </c>
      <c r="D4744" t="s">
        <v>125</v>
      </c>
      <c r="E4744" t="s">
        <v>60</v>
      </c>
      <c r="F4744" t="s">
        <v>25</v>
      </c>
      <c r="G4744">
        <v>19</v>
      </c>
      <c r="I4744" t="s">
        <v>121</v>
      </c>
      <c r="J4744" t="s">
        <v>122</v>
      </c>
      <c r="K4744">
        <v>0</v>
      </c>
      <c r="L4744" s="84">
        <v>-582</v>
      </c>
      <c r="M4744" s="84">
        <v>0</v>
      </c>
    </row>
    <row r="4745" spans="3:13" hidden="1" x14ac:dyDescent="0.25">
      <c r="C4745" t="s">
        <v>119</v>
      </c>
      <c r="D4745" t="s">
        <v>120</v>
      </c>
      <c r="E4745" t="s">
        <v>60</v>
      </c>
      <c r="F4745" t="s">
        <v>25</v>
      </c>
      <c r="G4745">
        <v>14</v>
      </c>
      <c r="H4745" t="s">
        <v>12</v>
      </c>
      <c r="I4745" t="s">
        <v>121</v>
      </c>
      <c r="J4745" t="s">
        <v>66</v>
      </c>
      <c r="K4745">
        <v>1</v>
      </c>
      <c r="L4745" s="84">
        <v>-21708</v>
      </c>
      <c r="M4745" s="84">
        <v>0</v>
      </c>
    </row>
    <row r="4746" spans="3:13" hidden="1" x14ac:dyDescent="0.25">
      <c r="C4746" t="s">
        <v>65</v>
      </c>
      <c r="D4746" t="s">
        <v>120</v>
      </c>
      <c r="E4746" t="s">
        <v>60</v>
      </c>
      <c r="F4746" t="s">
        <v>25</v>
      </c>
      <c r="G4746">
        <v>7</v>
      </c>
      <c r="H4746" t="s">
        <v>68</v>
      </c>
      <c r="I4746" t="s">
        <v>121</v>
      </c>
      <c r="J4746" t="s">
        <v>122</v>
      </c>
      <c r="K4746">
        <v>0</v>
      </c>
      <c r="L4746" s="84">
        <v>-3157844</v>
      </c>
      <c r="M4746" s="84">
        <v>0</v>
      </c>
    </row>
    <row r="4747" spans="3:13" hidden="1" x14ac:dyDescent="0.25">
      <c r="C4747" t="s">
        <v>119</v>
      </c>
      <c r="D4747" t="s">
        <v>120</v>
      </c>
      <c r="E4747" t="s">
        <v>60</v>
      </c>
      <c r="F4747" t="s">
        <v>25</v>
      </c>
      <c r="G4747">
        <v>10</v>
      </c>
      <c r="H4747" t="s">
        <v>12</v>
      </c>
      <c r="I4747" t="s">
        <v>121</v>
      </c>
      <c r="J4747" t="s">
        <v>122</v>
      </c>
      <c r="K4747">
        <v>0</v>
      </c>
      <c r="L4747" s="84">
        <v>-140</v>
      </c>
      <c r="M4747" s="84">
        <v>0</v>
      </c>
    </row>
    <row r="4748" spans="3:13" hidden="1" x14ac:dyDescent="0.25">
      <c r="C4748" t="s">
        <v>119</v>
      </c>
      <c r="D4748" t="s">
        <v>120</v>
      </c>
      <c r="E4748" t="s">
        <v>63</v>
      </c>
      <c r="F4748" t="s">
        <v>25</v>
      </c>
      <c r="G4748">
        <v>9</v>
      </c>
      <c r="H4748" t="s">
        <v>69</v>
      </c>
      <c r="I4748" t="s">
        <v>121</v>
      </c>
      <c r="J4748" t="s">
        <v>122</v>
      </c>
      <c r="K4748">
        <v>0</v>
      </c>
      <c r="L4748" s="84">
        <v>19179901</v>
      </c>
      <c r="M4748" s="84">
        <v>172619109</v>
      </c>
    </row>
    <row r="4749" spans="3:13" hidden="1" x14ac:dyDescent="0.25">
      <c r="C4749" t="s">
        <v>119</v>
      </c>
      <c r="D4749" t="s">
        <v>120</v>
      </c>
      <c r="E4749" t="s">
        <v>63</v>
      </c>
      <c r="F4749" t="s">
        <v>123</v>
      </c>
      <c r="G4749">
        <v>6</v>
      </c>
      <c r="H4749" t="s">
        <v>17</v>
      </c>
      <c r="I4749" t="s">
        <v>62</v>
      </c>
      <c r="J4749" t="s">
        <v>122</v>
      </c>
      <c r="K4749">
        <v>1</v>
      </c>
      <c r="L4749" s="84">
        <v>36728</v>
      </c>
      <c r="M4749" s="84">
        <v>220368</v>
      </c>
    </row>
    <row r="4750" spans="3:13" hidden="1" x14ac:dyDescent="0.25">
      <c r="C4750" t="s">
        <v>119</v>
      </c>
      <c r="D4750" t="s">
        <v>120</v>
      </c>
      <c r="E4750" t="s">
        <v>60</v>
      </c>
      <c r="F4750" t="s">
        <v>123</v>
      </c>
      <c r="G4750">
        <v>1</v>
      </c>
      <c r="H4750" t="s">
        <v>17</v>
      </c>
      <c r="I4750" t="s">
        <v>121</v>
      </c>
      <c r="J4750" t="s">
        <v>122</v>
      </c>
      <c r="K4750">
        <v>0</v>
      </c>
      <c r="L4750" s="84">
        <v>-5504</v>
      </c>
      <c r="M4750" s="84">
        <v>0</v>
      </c>
    </row>
    <row r="4751" spans="3:13" hidden="1" x14ac:dyDescent="0.25">
      <c r="C4751" t="s">
        <v>65</v>
      </c>
      <c r="D4751" t="s">
        <v>120</v>
      </c>
      <c r="E4751" t="s">
        <v>63</v>
      </c>
      <c r="F4751" t="s">
        <v>123</v>
      </c>
      <c r="G4751">
        <v>3</v>
      </c>
      <c r="H4751" t="s">
        <v>18</v>
      </c>
      <c r="I4751" t="s">
        <v>121</v>
      </c>
      <c r="J4751" t="s">
        <v>66</v>
      </c>
      <c r="K4751">
        <v>1</v>
      </c>
      <c r="L4751" s="84">
        <v>28354</v>
      </c>
      <c r="M4751" s="84">
        <v>85062</v>
      </c>
    </row>
    <row r="4752" spans="3:13" hidden="1" x14ac:dyDescent="0.25">
      <c r="C4752" t="s">
        <v>64</v>
      </c>
      <c r="D4752" t="s">
        <v>120</v>
      </c>
      <c r="E4752" t="s">
        <v>63</v>
      </c>
      <c r="F4752" t="s">
        <v>123</v>
      </c>
      <c r="G4752">
        <v>-4</v>
      </c>
      <c r="H4752" t="s">
        <v>67</v>
      </c>
      <c r="I4752" t="s">
        <v>121</v>
      </c>
      <c r="J4752" t="s">
        <v>122</v>
      </c>
      <c r="K4752">
        <v>0</v>
      </c>
      <c r="L4752" s="84">
        <v>360</v>
      </c>
      <c r="M4752" s="84">
        <v>0</v>
      </c>
    </row>
    <row r="4753" spans="3:13" hidden="1" x14ac:dyDescent="0.25">
      <c r="C4753" t="s">
        <v>65</v>
      </c>
      <c r="D4753" t="s">
        <v>120</v>
      </c>
      <c r="E4753" t="s">
        <v>60</v>
      </c>
      <c r="F4753" t="s">
        <v>124</v>
      </c>
      <c r="G4753">
        <v>1</v>
      </c>
      <c r="H4753" t="s">
        <v>17</v>
      </c>
      <c r="I4753" t="s">
        <v>121</v>
      </c>
      <c r="J4753" t="s">
        <v>122</v>
      </c>
      <c r="K4753">
        <v>0</v>
      </c>
      <c r="L4753" s="84">
        <v>-1157195</v>
      </c>
      <c r="M4753" s="84">
        <v>0</v>
      </c>
    </row>
    <row r="4754" spans="3:13" hidden="1" x14ac:dyDescent="0.25">
      <c r="C4754" t="s">
        <v>64</v>
      </c>
      <c r="D4754" t="s">
        <v>120</v>
      </c>
      <c r="E4754" t="s">
        <v>63</v>
      </c>
      <c r="F4754" t="s">
        <v>24</v>
      </c>
      <c r="G4754">
        <v>6</v>
      </c>
      <c r="H4754" t="s">
        <v>14</v>
      </c>
      <c r="I4754" t="s">
        <v>121</v>
      </c>
      <c r="J4754" t="s">
        <v>122</v>
      </c>
      <c r="K4754">
        <v>0</v>
      </c>
      <c r="L4754" s="84">
        <v>161908</v>
      </c>
      <c r="M4754" s="84">
        <v>971448</v>
      </c>
    </row>
    <row r="4755" spans="3:13" hidden="1" x14ac:dyDescent="0.25">
      <c r="C4755" t="s">
        <v>65</v>
      </c>
      <c r="D4755" t="s">
        <v>120</v>
      </c>
      <c r="E4755" t="s">
        <v>63</v>
      </c>
      <c r="F4755" t="s">
        <v>123</v>
      </c>
      <c r="G4755">
        <v>0</v>
      </c>
      <c r="H4755" t="s">
        <v>17</v>
      </c>
      <c r="I4755" t="s">
        <v>121</v>
      </c>
      <c r="J4755" t="s">
        <v>66</v>
      </c>
      <c r="K4755">
        <v>1</v>
      </c>
      <c r="L4755" s="84">
        <v>20109</v>
      </c>
      <c r="M4755" s="84">
        <v>0</v>
      </c>
    </row>
    <row r="4756" spans="3:13" hidden="1" x14ac:dyDescent="0.25">
      <c r="C4756" t="s">
        <v>64</v>
      </c>
      <c r="D4756" t="s">
        <v>120</v>
      </c>
      <c r="E4756" t="s">
        <v>63</v>
      </c>
      <c r="F4756" t="s">
        <v>124</v>
      </c>
      <c r="G4756">
        <v>4</v>
      </c>
      <c r="H4756" t="s">
        <v>70</v>
      </c>
      <c r="I4756" t="s">
        <v>121</v>
      </c>
      <c r="J4756" t="s">
        <v>122</v>
      </c>
      <c r="K4756">
        <v>0</v>
      </c>
      <c r="L4756" s="84">
        <v>315116</v>
      </c>
      <c r="M4756" s="84">
        <v>1260464</v>
      </c>
    </row>
    <row r="4757" spans="3:13" hidden="1" x14ac:dyDescent="0.25">
      <c r="C4757" t="s">
        <v>65</v>
      </c>
      <c r="D4757" t="s">
        <v>120</v>
      </c>
      <c r="E4757" t="s">
        <v>60</v>
      </c>
      <c r="F4757" t="s">
        <v>124</v>
      </c>
      <c r="G4757">
        <v>2</v>
      </c>
      <c r="H4757" t="s">
        <v>12</v>
      </c>
      <c r="I4757" t="s">
        <v>62</v>
      </c>
      <c r="J4757" t="s">
        <v>66</v>
      </c>
      <c r="K4757">
        <v>1</v>
      </c>
      <c r="L4757" s="84">
        <v>-77913</v>
      </c>
      <c r="M4757" s="84">
        <v>0</v>
      </c>
    </row>
    <row r="4758" spans="3:13" hidden="1" x14ac:dyDescent="0.25">
      <c r="C4758" t="s">
        <v>119</v>
      </c>
      <c r="D4758" t="s">
        <v>120</v>
      </c>
      <c r="E4758" t="s">
        <v>60</v>
      </c>
      <c r="F4758" t="s">
        <v>24</v>
      </c>
      <c r="G4758">
        <v>7</v>
      </c>
      <c r="H4758" t="s">
        <v>61</v>
      </c>
      <c r="I4758" t="s">
        <v>121</v>
      </c>
      <c r="J4758" t="s">
        <v>122</v>
      </c>
      <c r="K4758">
        <v>0</v>
      </c>
      <c r="L4758" s="84">
        <v>-19</v>
      </c>
      <c r="M4758" s="84">
        <v>0</v>
      </c>
    </row>
    <row r="4759" spans="3:13" hidden="1" x14ac:dyDescent="0.25">
      <c r="C4759" t="s">
        <v>65</v>
      </c>
      <c r="D4759" t="s">
        <v>120</v>
      </c>
      <c r="E4759" t="s">
        <v>60</v>
      </c>
      <c r="F4759" t="s">
        <v>123</v>
      </c>
      <c r="G4759">
        <v>1</v>
      </c>
      <c r="H4759" t="s">
        <v>17</v>
      </c>
      <c r="I4759" t="s">
        <v>121</v>
      </c>
      <c r="J4759" t="s">
        <v>66</v>
      </c>
      <c r="K4759">
        <v>1</v>
      </c>
      <c r="L4759" s="84">
        <v>-4254</v>
      </c>
      <c r="M4759" s="84">
        <v>0</v>
      </c>
    </row>
    <row r="4760" spans="3:13" hidden="1" x14ac:dyDescent="0.25">
      <c r="C4760" t="s">
        <v>119</v>
      </c>
      <c r="D4760" t="s">
        <v>120</v>
      </c>
      <c r="E4760" t="s">
        <v>63</v>
      </c>
      <c r="F4760" t="s">
        <v>25</v>
      </c>
      <c r="G4760">
        <v>14</v>
      </c>
      <c r="H4760" t="s">
        <v>14</v>
      </c>
      <c r="I4760" t="s">
        <v>121</v>
      </c>
      <c r="J4760" t="s">
        <v>122</v>
      </c>
      <c r="K4760">
        <v>0</v>
      </c>
      <c r="L4760" s="84">
        <v>4486047</v>
      </c>
      <c r="M4760" s="84">
        <v>62804658</v>
      </c>
    </row>
    <row r="4761" spans="3:13" hidden="1" x14ac:dyDescent="0.25">
      <c r="C4761" t="s">
        <v>64</v>
      </c>
      <c r="D4761" t="s">
        <v>120</v>
      </c>
      <c r="E4761" t="s">
        <v>60</v>
      </c>
      <c r="F4761" t="s">
        <v>25</v>
      </c>
      <c r="G4761">
        <v>14</v>
      </c>
      <c r="H4761" t="s">
        <v>73</v>
      </c>
      <c r="I4761" t="s">
        <v>121</v>
      </c>
      <c r="J4761" t="s">
        <v>122</v>
      </c>
      <c r="K4761">
        <v>0</v>
      </c>
      <c r="L4761" s="84">
        <v>-14240</v>
      </c>
      <c r="M4761" s="84">
        <v>0</v>
      </c>
    </row>
    <row r="4762" spans="3:13" hidden="1" x14ac:dyDescent="0.25">
      <c r="C4762" t="s">
        <v>65</v>
      </c>
      <c r="D4762" t="s">
        <v>120</v>
      </c>
      <c r="E4762" t="s">
        <v>60</v>
      </c>
      <c r="F4762" t="s">
        <v>123</v>
      </c>
      <c r="G4762">
        <v>4</v>
      </c>
      <c r="H4762" t="s">
        <v>68</v>
      </c>
      <c r="I4762" t="s">
        <v>121</v>
      </c>
      <c r="J4762" t="s">
        <v>122</v>
      </c>
      <c r="K4762">
        <v>0</v>
      </c>
      <c r="L4762" s="84">
        <v>-28043</v>
      </c>
      <c r="M4762" s="84">
        <v>0</v>
      </c>
    </row>
    <row r="4763" spans="3:13" hidden="1" x14ac:dyDescent="0.25">
      <c r="C4763" t="s">
        <v>119</v>
      </c>
      <c r="D4763" t="s">
        <v>120</v>
      </c>
      <c r="E4763" t="s">
        <v>60</v>
      </c>
      <c r="F4763" t="s">
        <v>124</v>
      </c>
      <c r="G4763">
        <v>-1</v>
      </c>
      <c r="H4763" t="s">
        <v>61</v>
      </c>
      <c r="I4763" t="s">
        <v>121</v>
      </c>
      <c r="J4763" t="s">
        <v>122</v>
      </c>
      <c r="K4763">
        <v>0</v>
      </c>
      <c r="L4763" s="84">
        <v>-156630</v>
      </c>
      <c r="M4763" s="84">
        <v>0</v>
      </c>
    </row>
    <row r="4764" spans="3:13" hidden="1" x14ac:dyDescent="0.25">
      <c r="C4764" t="s">
        <v>64</v>
      </c>
      <c r="D4764" t="s">
        <v>120</v>
      </c>
      <c r="E4764" t="s">
        <v>63</v>
      </c>
      <c r="F4764" t="s">
        <v>25</v>
      </c>
      <c r="G4764">
        <v>15</v>
      </c>
      <c r="H4764" t="s">
        <v>61</v>
      </c>
      <c r="I4764" t="s">
        <v>121</v>
      </c>
      <c r="J4764" t="s">
        <v>122</v>
      </c>
      <c r="K4764">
        <v>0</v>
      </c>
      <c r="L4764" s="84">
        <v>255686</v>
      </c>
      <c r="M4764" s="84">
        <v>3835290</v>
      </c>
    </row>
    <row r="4765" spans="3:13" hidden="1" x14ac:dyDescent="0.25">
      <c r="C4765" t="s">
        <v>119</v>
      </c>
      <c r="D4765" t="s">
        <v>120</v>
      </c>
      <c r="E4765" t="s">
        <v>63</v>
      </c>
      <c r="F4765" t="s">
        <v>124</v>
      </c>
      <c r="G4765">
        <v>0</v>
      </c>
      <c r="H4765" t="s">
        <v>12</v>
      </c>
      <c r="I4765" t="s">
        <v>121</v>
      </c>
      <c r="J4765" t="s">
        <v>66</v>
      </c>
      <c r="K4765">
        <v>1</v>
      </c>
      <c r="L4765" s="84">
        <v>22072059</v>
      </c>
      <c r="M4765" s="84">
        <v>0</v>
      </c>
    </row>
    <row r="4766" spans="3:13" hidden="1" x14ac:dyDescent="0.25">
      <c r="C4766" t="s">
        <v>64</v>
      </c>
      <c r="D4766" t="s">
        <v>120</v>
      </c>
      <c r="E4766" t="s">
        <v>63</v>
      </c>
      <c r="F4766" t="s">
        <v>124</v>
      </c>
      <c r="G4766">
        <v>-1</v>
      </c>
      <c r="H4766" t="s">
        <v>16</v>
      </c>
      <c r="I4766" t="s">
        <v>121</v>
      </c>
      <c r="J4766" t="s">
        <v>122</v>
      </c>
      <c r="K4766">
        <v>0</v>
      </c>
      <c r="L4766" s="84">
        <v>5228878</v>
      </c>
      <c r="M4766" s="84">
        <v>0</v>
      </c>
    </row>
    <row r="4767" spans="3:13" hidden="1" x14ac:dyDescent="0.25">
      <c r="C4767" t="s">
        <v>119</v>
      </c>
      <c r="D4767" t="s">
        <v>120</v>
      </c>
      <c r="E4767" t="s">
        <v>60</v>
      </c>
      <c r="F4767" t="s">
        <v>25</v>
      </c>
      <c r="G4767">
        <v>9</v>
      </c>
      <c r="H4767" t="s">
        <v>67</v>
      </c>
      <c r="I4767" t="s">
        <v>121</v>
      </c>
      <c r="J4767" t="s">
        <v>122</v>
      </c>
      <c r="K4767">
        <v>0</v>
      </c>
      <c r="L4767" s="84">
        <v>-2364</v>
      </c>
      <c r="M4767" s="84">
        <v>0</v>
      </c>
    </row>
    <row r="4768" spans="3:13" hidden="1" x14ac:dyDescent="0.25">
      <c r="C4768" t="s">
        <v>119</v>
      </c>
      <c r="D4768" t="s">
        <v>120</v>
      </c>
      <c r="E4768" t="s">
        <v>60</v>
      </c>
      <c r="F4768" t="s">
        <v>25</v>
      </c>
      <c r="G4768">
        <v>7</v>
      </c>
      <c r="H4768" t="s">
        <v>75</v>
      </c>
      <c r="I4768" t="s">
        <v>121</v>
      </c>
      <c r="J4768" t="s">
        <v>122</v>
      </c>
      <c r="K4768">
        <v>0</v>
      </c>
      <c r="L4768" s="84">
        <v>-382</v>
      </c>
      <c r="M4768" s="84">
        <v>0</v>
      </c>
    </row>
    <row r="4769" spans="3:13" hidden="1" x14ac:dyDescent="0.25">
      <c r="C4769" t="s">
        <v>119</v>
      </c>
      <c r="D4769" t="s">
        <v>120</v>
      </c>
      <c r="E4769" t="s">
        <v>60</v>
      </c>
      <c r="F4769" t="s">
        <v>24</v>
      </c>
      <c r="G4769">
        <v>4</v>
      </c>
      <c r="H4769" t="s">
        <v>68</v>
      </c>
      <c r="I4769" t="s">
        <v>121</v>
      </c>
      <c r="J4769" t="s">
        <v>122</v>
      </c>
      <c r="K4769">
        <v>0</v>
      </c>
      <c r="L4769" s="84">
        <v>-17556</v>
      </c>
      <c r="M4769" s="84">
        <v>0</v>
      </c>
    </row>
    <row r="4770" spans="3:13" hidden="1" x14ac:dyDescent="0.25">
      <c r="C4770" t="s">
        <v>64</v>
      </c>
      <c r="D4770" t="s">
        <v>120</v>
      </c>
      <c r="E4770" t="s">
        <v>63</v>
      </c>
      <c r="F4770" t="s">
        <v>124</v>
      </c>
      <c r="G4770">
        <v>0</v>
      </c>
      <c r="H4770" t="s">
        <v>68</v>
      </c>
      <c r="I4770" t="s">
        <v>121</v>
      </c>
      <c r="J4770" t="s">
        <v>122</v>
      </c>
      <c r="K4770">
        <v>0</v>
      </c>
      <c r="L4770" s="84">
        <v>536829</v>
      </c>
      <c r="M4770" s="84">
        <v>0</v>
      </c>
    </row>
    <row r="4771" spans="3:13" hidden="1" x14ac:dyDescent="0.25">
      <c r="C4771" t="s">
        <v>64</v>
      </c>
      <c r="D4771" t="s">
        <v>120</v>
      </c>
      <c r="E4771" t="s">
        <v>60</v>
      </c>
      <c r="F4771" t="s">
        <v>25</v>
      </c>
      <c r="G4771">
        <v>7</v>
      </c>
      <c r="H4771" t="s">
        <v>69</v>
      </c>
      <c r="I4771" t="s">
        <v>121</v>
      </c>
      <c r="J4771" t="s">
        <v>122</v>
      </c>
      <c r="K4771">
        <v>0</v>
      </c>
      <c r="L4771" s="84">
        <v>-275912</v>
      </c>
      <c r="M4771" s="84">
        <v>0</v>
      </c>
    </row>
    <row r="4772" spans="3:13" hidden="1" x14ac:dyDescent="0.25">
      <c r="C4772" t="s">
        <v>64</v>
      </c>
      <c r="D4772" t="s">
        <v>120</v>
      </c>
      <c r="E4772" t="s">
        <v>60</v>
      </c>
      <c r="F4772" t="s">
        <v>24</v>
      </c>
      <c r="G4772">
        <v>7</v>
      </c>
      <c r="H4772" t="s">
        <v>68</v>
      </c>
      <c r="I4772" t="s">
        <v>121</v>
      </c>
      <c r="J4772" t="s">
        <v>122</v>
      </c>
      <c r="K4772">
        <v>0</v>
      </c>
      <c r="L4772" s="84">
        <v>-204606</v>
      </c>
      <c r="M4772" s="84">
        <v>0</v>
      </c>
    </row>
    <row r="4773" spans="3:13" hidden="1" x14ac:dyDescent="0.25">
      <c r="C4773" t="s">
        <v>119</v>
      </c>
      <c r="D4773" t="s">
        <v>120</v>
      </c>
      <c r="E4773" t="s">
        <v>63</v>
      </c>
      <c r="F4773" t="s">
        <v>123</v>
      </c>
      <c r="G4773">
        <v>2</v>
      </c>
      <c r="H4773" t="s">
        <v>73</v>
      </c>
      <c r="I4773" t="s">
        <v>121</v>
      </c>
      <c r="J4773" t="s">
        <v>122</v>
      </c>
      <c r="K4773">
        <v>0</v>
      </c>
      <c r="L4773" s="84">
        <v>278894</v>
      </c>
      <c r="M4773" s="84">
        <v>557788</v>
      </c>
    </row>
    <row r="4774" spans="3:13" hidden="1" x14ac:dyDescent="0.25">
      <c r="C4774" t="s">
        <v>65</v>
      </c>
      <c r="D4774" t="s">
        <v>120</v>
      </c>
      <c r="E4774" t="s">
        <v>60</v>
      </c>
      <c r="F4774" t="s">
        <v>124</v>
      </c>
      <c r="G4774">
        <v>7</v>
      </c>
      <c r="H4774" t="s">
        <v>14</v>
      </c>
      <c r="I4774" t="s">
        <v>121</v>
      </c>
      <c r="J4774" t="s">
        <v>122</v>
      </c>
      <c r="K4774">
        <v>0</v>
      </c>
      <c r="L4774" s="84">
        <v>-735097</v>
      </c>
      <c r="M4774" s="84">
        <v>0</v>
      </c>
    </row>
    <row r="4775" spans="3:13" hidden="1" x14ac:dyDescent="0.25">
      <c r="C4775" t="s">
        <v>65</v>
      </c>
      <c r="D4775" t="s">
        <v>120</v>
      </c>
      <c r="E4775" t="s">
        <v>60</v>
      </c>
      <c r="F4775" t="s">
        <v>124</v>
      </c>
      <c r="G4775">
        <v>-1</v>
      </c>
      <c r="H4775" t="s">
        <v>68</v>
      </c>
      <c r="I4775" t="s">
        <v>121</v>
      </c>
      <c r="J4775" t="s">
        <v>122</v>
      </c>
      <c r="K4775">
        <v>0</v>
      </c>
      <c r="L4775" s="84">
        <v>-1079141</v>
      </c>
      <c r="M4775" s="84">
        <v>0</v>
      </c>
    </row>
    <row r="4776" spans="3:13" hidden="1" x14ac:dyDescent="0.25">
      <c r="C4776" t="s">
        <v>119</v>
      </c>
      <c r="D4776" t="s">
        <v>120</v>
      </c>
      <c r="E4776" t="s">
        <v>63</v>
      </c>
      <c r="F4776" t="s">
        <v>124</v>
      </c>
      <c r="G4776">
        <v>4</v>
      </c>
      <c r="H4776" t="s">
        <v>18</v>
      </c>
      <c r="I4776" t="s">
        <v>121</v>
      </c>
      <c r="J4776" t="s">
        <v>66</v>
      </c>
      <c r="K4776">
        <v>1</v>
      </c>
      <c r="L4776" s="84">
        <v>4462344</v>
      </c>
      <c r="M4776" s="84">
        <v>17849376</v>
      </c>
    </row>
    <row r="4777" spans="3:13" hidden="1" x14ac:dyDescent="0.25">
      <c r="C4777" t="s">
        <v>119</v>
      </c>
      <c r="D4777" t="s">
        <v>120</v>
      </c>
      <c r="E4777" t="s">
        <v>60</v>
      </c>
      <c r="F4777" t="s">
        <v>124</v>
      </c>
      <c r="G4777">
        <v>1</v>
      </c>
      <c r="H4777" t="s">
        <v>15</v>
      </c>
      <c r="I4777" t="s">
        <v>121</v>
      </c>
      <c r="J4777" t="s">
        <v>122</v>
      </c>
      <c r="K4777">
        <v>0</v>
      </c>
      <c r="L4777" s="84">
        <v>-2384</v>
      </c>
      <c r="M4777" s="84">
        <v>0</v>
      </c>
    </row>
    <row r="4778" spans="3:13" hidden="1" x14ac:dyDescent="0.25">
      <c r="C4778" t="s">
        <v>64</v>
      </c>
      <c r="D4778" t="s">
        <v>120</v>
      </c>
      <c r="E4778" t="s">
        <v>63</v>
      </c>
      <c r="F4778" t="s">
        <v>25</v>
      </c>
      <c r="G4778">
        <v>6</v>
      </c>
      <c r="H4778" t="s">
        <v>18</v>
      </c>
      <c r="I4778" t="s">
        <v>121</v>
      </c>
      <c r="J4778" t="s">
        <v>122</v>
      </c>
      <c r="K4778">
        <v>0</v>
      </c>
      <c r="L4778" s="84">
        <v>3856763</v>
      </c>
      <c r="M4778" s="84">
        <v>23140578</v>
      </c>
    </row>
    <row r="4779" spans="3:13" hidden="1" x14ac:dyDescent="0.25">
      <c r="C4779" t="s">
        <v>64</v>
      </c>
      <c r="D4779" t="s">
        <v>120</v>
      </c>
      <c r="E4779" t="s">
        <v>60</v>
      </c>
      <c r="F4779" t="s">
        <v>24</v>
      </c>
      <c r="G4779">
        <v>8</v>
      </c>
      <c r="H4779" t="s">
        <v>69</v>
      </c>
      <c r="I4779" t="s">
        <v>121</v>
      </c>
      <c r="J4779" t="s">
        <v>122</v>
      </c>
      <c r="K4779">
        <v>0</v>
      </c>
      <c r="L4779" s="84">
        <v>-11975</v>
      </c>
      <c r="M4779" s="84">
        <v>0</v>
      </c>
    </row>
    <row r="4780" spans="3:13" hidden="1" x14ac:dyDescent="0.25">
      <c r="C4780" t="s">
        <v>119</v>
      </c>
      <c r="D4780" t="s">
        <v>120</v>
      </c>
      <c r="E4780" t="s">
        <v>60</v>
      </c>
      <c r="F4780" t="s">
        <v>24</v>
      </c>
      <c r="G4780">
        <v>14</v>
      </c>
      <c r="H4780" t="s">
        <v>69</v>
      </c>
      <c r="I4780" t="s">
        <v>121</v>
      </c>
      <c r="J4780" t="s">
        <v>122</v>
      </c>
      <c r="K4780">
        <v>0</v>
      </c>
      <c r="L4780" s="84">
        <v>-8105</v>
      </c>
      <c r="M4780" s="84">
        <v>0</v>
      </c>
    </row>
    <row r="4781" spans="3:13" hidden="1" x14ac:dyDescent="0.25">
      <c r="C4781" t="s">
        <v>64</v>
      </c>
      <c r="D4781" t="s">
        <v>126</v>
      </c>
      <c r="E4781" t="s">
        <v>63</v>
      </c>
      <c r="F4781" t="s">
        <v>25</v>
      </c>
      <c r="G4781">
        <v>-4</v>
      </c>
      <c r="H4781" t="s">
        <v>74</v>
      </c>
      <c r="I4781" t="s">
        <v>121</v>
      </c>
      <c r="J4781" t="s">
        <v>122</v>
      </c>
      <c r="K4781">
        <v>0</v>
      </c>
      <c r="L4781" s="84">
        <v>42</v>
      </c>
      <c r="M4781" s="84">
        <v>0</v>
      </c>
    </row>
    <row r="4782" spans="3:13" hidden="1" x14ac:dyDescent="0.25">
      <c r="C4782" t="s">
        <v>64</v>
      </c>
      <c r="D4782" t="s">
        <v>120</v>
      </c>
      <c r="E4782" t="s">
        <v>63</v>
      </c>
      <c r="F4782" t="s">
        <v>124</v>
      </c>
      <c r="G4782">
        <v>3</v>
      </c>
      <c r="H4782" t="s">
        <v>18</v>
      </c>
      <c r="I4782" t="s">
        <v>121</v>
      </c>
      <c r="J4782" t="s">
        <v>122</v>
      </c>
      <c r="K4782">
        <v>0</v>
      </c>
      <c r="L4782" s="84">
        <v>17545066</v>
      </c>
      <c r="M4782" s="84">
        <v>52635198</v>
      </c>
    </row>
    <row r="4783" spans="3:13" hidden="1" x14ac:dyDescent="0.25">
      <c r="C4783" t="s">
        <v>65</v>
      </c>
      <c r="D4783" t="s">
        <v>120</v>
      </c>
      <c r="E4783" t="s">
        <v>63</v>
      </c>
      <c r="F4783" t="s">
        <v>123</v>
      </c>
      <c r="G4783">
        <v>2</v>
      </c>
      <c r="H4783" t="s">
        <v>17</v>
      </c>
      <c r="I4783" t="s">
        <v>121</v>
      </c>
      <c r="J4783" t="s">
        <v>122</v>
      </c>
      <c r="K4783">
        <v>0</v>
      </c>
      <c r="L4783" s="84">
        <v>284390</v>
      </c>
      <c r="M4783" s="84">
        <v>568780</v>
      </c>
    </row>
    <row r="4784" spans="3:13" hidden="1" x14ac:dyDescent="0.25">
      <c r="C4784" t="s">
        <v>119</v>
      </c>
      <c r="D4784" t="s">
        <v>120</v>
      </c>
      <c r="E4784" t="s">
        <v>63</v>
      </c>
      <c r="F4784" t="s">
        <v>124</v>
      </c>
      <c r="G4784">
        <v>5</v>
      </c>
      <c r="H4784" t="s">
        <v>15</v>
      </c>
      <c r="I4784" t="s">
        <v>121</v>
      </c>
      <c r="J4784" t="s">
        <v>66</v>
      </c>
      <c r="K4784">
        <v>1</v>
      </c>
      <c r="L4784" s="84">
        <v>238728</v>
      </c>
      <c r="M4784" s="84">
        <v>1193640</v>
      </c>
    </row>
    <row r="4785" spans="3:13" hidden="1" x14ac:dyDescent="0.25">
      <c r="C4785" t="s">
        <v>64</v>
      </c>
      <c r="D4785" t="s">
        <v>125</v>
      </c>
      <c r="E4785" t="s">
        <v>63</v>
      </c>
      <c r="F4785" t="s">
        <v>24</v>
      </c>
      <c r="G4785">
        <v>33</v>
      </c>
      <c r="I4785" t="s">
        <v>121</v>
      </c>
      <c r="J4785" t="s">
        <v>122</v>
      </c>
      <c r="K4785">
        <v>0</v>
      </c>
      <c r="L4785" s="84">
        <v>49914321</v>
      </c>
      <c r="M4785" s="84">
        <v>1647172593</v>
      </c>
    </row>
    <row r="4786" spans="3:13" hidden="1" x14ac:dyDescent="0.25">
      <c r="C4786" t="s">
        <v>64</v>
      </c>
      <c r="D4786" t="s">
        <v>125</v>
      </c>
      <c r="E4786" t="s">
        <v>63</v>
      </c>
      <c r="F4786" t="s">
        <v>24</v>
      </c>
      <c r="G4786">
        <v>7</v>
      </c>
      <c r="I4786" t="s">
        <v>121</v>
      </c>
      <c r="J4786" t="s">
        <v>122</v>
      </c>
      <c r="K4786">
        <v>0</v>
      </c>
      <c r="L4786" s="84">
        <v>19333336</v>
      </c>
      <c r="M4786" s="84">
        <v>135333352</v>
      </c>
    </row>
    <row r="4787" spans="3:13" x14ac:dyDescent="0.25">
      <c r="C4787" t="s">
        <v>64</v>
      </c>
      <c r="D4787" t="s">
        <v>120</v>
      </c>
      <c r="E4787" t="s">
        <v>63</v>
      </c>
      <c r="F4787" t="s">
        <v>25</v>
      </c>
      <c r="G4787">
        <v>3</v>
      </c>
      <c r="H4787" t="s">
        <v>14</v>
      </c>
      <c r="I4787" t="s">
        <v>121</v>
      </c>
      <c r="J4787" t="s">
        <v>66</v>
      </c>
      <c r="K4787">
        <v>1</v>
      </c>
      <c r="L4787" s="84">
        <v>142969</v>
      </c>
      <c r="M4787" s="84">
        <v>428907</v>
      </c>
    </row>
    <row r="4788" spans="3:13" hidden="1" x14ac:dyDescent="0.25">
      <c r="C4788" t="s">
        <v>119</v>
      </c>
      <c r="D4788" t="s">
        <v>120</v>
      </c>
      <c r="E4788" t="s">
        <v>60</v>
      </c>
      <c r="F4788" t="s">
        <v>124</v>
      </c>
      <c r="G4788">
        <v>-1</v>
      </c>
      <c r="H4788" t="s">
        <v>71</v>
      </c>
      <c r="I4788" t="s">
        <v>121</v>
      </c>
      <c r="J4788" t="s">
        <v>122</v>
      </c>
      <c r="K4788">
        <v>0</v>
      </c>
      <c r="L4788" s="84">
        <v>-25012</v>
      </c>
      <c r="M4788" s="84">
        <v>0</v>
      </c>
    </row>
    <row r="4789" spans="3:13" hidden="1" x14ac:dyDescent="0.25">
      <c r="C4789" t="s">
        <v>119</v>
      </c>
      <c r="D4789" t="s">
        <v>120</v>
      </c>
      <c r="E4789" t="s">
        <v>63</v>
      </c>
      <c r="F4789" t="s">
        <v>124</v>
      </c>
      <c r="G4789">
        <v>1</v>
      </c>
      <c r="H4789" t="s">
        <v>69</v>
      </c>
      <c r="I4789" t="s">
        <v>121</v>
      </c>
      <c r="J4789" t="s">
        <v>122</v>
      </c>
      <c r="K4789">
        <v>0</v>
      </c>
      <c r="L4789" s="84">
        <v>22015454</v>
      </c>
      <c r="M4789" s="84">
        <v>22015454</v>
      </c>
    </row>
    <row r="4790" spans="3:13" hidden="1" x14ac:dyDescent="0.25">
      <c r="C4790" t="s">
        <v>119</v>
      </c>
      <c r="D4790" t="s">
        <v>120</v>
      </c>
      <c r="E4790" t="s">
        <v>60</v>
      </c>
      <c r="F4790" t="s">
        <v>124</v>
      </c>
      <c r="G4790">
        <v>76</v>
      </c>
      <c r="H4790" t="s">
        <v>74</v>
      </c>
      <c r="I4790" t="s">
        <v>121</v>
      </c>
      <c r="J4790" t="s">
        <v>122</v>
      </c>
      <c r="K4790">
        <v>0</v>
      </c>
      <c r="L4790" s="84">
        <v>-333880</v>
      </c>
      <c r="M4790" s="84">
        <v>0</v>
      </c>
    </row>
    <row r="4791" spans="3:13" hidden="1" x14ac:dyDescent="0.25">
      <c r="C4791" t="s">
        <v>119</v>
      </c>
      <c r="D4791" t="s">
        <v>120</v>
      </c>
      <c r="E4791" t="s">
        <v>63</v>
      </c>
      <c r="F4791" t="s">
        <v>24</v>
      </c>
      <c r="G4791">
        <v>4</v>
      </c>
      <c r="H4791" t="s">
        <v>72</v>
      </c>
      <c r="I4791" t="s">
        <v>121</v>
      </c>
      <c r="J4791" t="s">
        <v>122</v>
      </c>
      <c r="K4791">
        <v>0</v>
      </c>
      <c r="L4791" s="84">
        <v>831298</v>
      </c>
      <c r="M4791" s="84">
        <v>3325192</v>
      </c>
    </row>
    <row r="4792" spans="3:13" hidden="1" x14ac:dyDescent="0.25">
      <c r="C4792" t="s">
        <v>64</v>
      </c>
      <c r="D4792" t="s">
        <v>120</v>
      </c>
      <c r="E4792" t="s">
        <v>63</v>
      </c>
      <c r="F4792" t="s">
        <v>25</v>
      </c>
      <c r="G4792">
        <v>7</v>
      </c>
      <c r="H4792" t="s">
        <v>18</v>
      </c>
      <c r="I4792" t="s">
        <v>121</v>
      </c>
      <c r="J4792" t="s">
        <v>122</v>
      </c>
      <c r="K4792">
        <v>0</v>
      </c>
      <c r="L4792" s="84">
        <v>1589796</v>
      </c>
      <c r="M4792" s="84">
        <v>11128572</v>
      </c>
    </row>
    <row r="4793" spans="3:13" hidden="1" x14ac:dyDescent="0.25">
      <c r="C4793" t="s">
        <v>64</v>
      </c>
      <c r="D4793" t="s">
        <v>120</v>
      </c>
      <c r="E4793" t="s">
        <v>63</v>
      </c>
      <c r="F4793" t="s">
        <v>124</v>
      </c>
      <c r="G4793">
        <v>7</v>
      </c>
      <c r="H4793" t="s">
        <v>12</v>
      </c>
      <c r="I4793" t="s">
        <v>121</v>
      </c>
      <c r="J4793" t="s">
        <v>122</v>
      </c>
      <c r="K4793">
        <v>0</v>
      </c>
      <c r="L4793" s="84">
        <v>222729</v>
      </c>
      <c r="M4793" s="84">
        <v>1559103</v>
      </c>
    </row>
    <row r="4794" spans="3:13" hidden="1" x14ac:dyDescent="0.25">
      <c r="C4794" t="s">
        <v>64</v>
      </c>
      <c r="D4794" t="s">
        <v>120</v>
      </c>
      <c r="E4794" t="s">
        <v>60</v>
      </c>
      <c r="F4794" t="s">
        <v>124</v>
      </c>
      <c r="G4794">
        <v>3</v>
      </c>
      <c r="H4794" t="s">
        <v>17</v>
      </c>
      <c r="I4794" t="s">
        <v>62</v>
      </c>
      <c r="J4794" t="s">
        <v>66</v>
      </c>
      <c r="K4794">
        <v>1</v>
      </c>
      <c r="L4794" s="84">
        <v>-17707</v>
      </c>
      <c r="M4794" s="84">
        <v>0</v>
      </c>
    </row>
    <row r="4795" spans="3:13" hidden="1" x14ac:dyDescent="0.25">
      <c r="C4795" t="s">
        <v>64</v>
      </c>
      <c r="D4795" t="s">
        <v>120</v>
      </c>
      <c r="E4795" t="s">
        <v>60</v>
      </c>
      <c r="F4795" t="s">
        <v>124</v>
      </c>
      <c r="G4795">
        <v>-1</v>
      </c>
      <c r="H4795" t="s">
        <v>14</v>
      </c>
      <c r="I4795" t="s">
        <v>62</v>
      </c>
      <c r="J4795" t="s">
        <v>122</v>
      </c>
      <c r="K4795">
        <v>1</v>
      </c>
      <c r="L4795" s="84">
        <v>-156</v>
      </c>
      <c r="M4795" s="84">
        <v>0</v>
      </c>
    </row>
    <row r="4796" spans="3:13" hidden="1" x14ac:dyDescent="0.25">
      <c r="C4796" t="s">
        <v>119</v>
      </c>
      <c r="D4796" t="s">
        <v>120</v>
      </c>
      <c r="E4796" t="s">
        <v>60</v>
      </c>
      <c r="F4796" t="s">
        <v>25</v>
      </c>
      <c r="G4796">
        <v>9</v>
      </c>
      <c r="H4796" t="s">
        <v>73</v>
      </c>
      <c r="I4796" t="s">
        <v>121</v>
      </c>
      <c r="J4796" t="s">
        <v>122</v>
      </c>
      <c r="K4796">
        <v>0</v>
      </c>
      <c r="L4796" s="84">
        <v>-1745</v>
      </c>
      <c r="M4796" s="84">
        <v>0</v>
      </c>
    </row>
    <row r="4797" spans="3:13" hidden="1" x14ac:dyDescent="0.25">
      <c r="C4797" t="s">
        <v>119</v>
      </c>
      <c r="D4797" t="s">
        <v>120</v>
      </c>
      <c r="E4797" t="s">
        <v>60</v>
      </c>
      <c r="F4797" t="s">
        <v>124</v>
      </c>
      <c r="G4797">
        <v>0</v>
      </c>
      <c r="H4797" t="s">
        <v>72</v>
      </c>
      <c r="I4797" t="s">
        <v>121</v>
      </c>
      <c r="J4797" t="s">
        <v>122</v>
      </c>
      <c r="K4797">
        <v>0</v>
      </c>
      <c r="L4797" s="84">
        <v>-36578</v>
      </c>
      <c r="M4797" s="84">
        <v>0</v>
      </c>
    </row>
    <row r="4798" spans="3:13" hidden="1" x14ac:dyDescent="0.25">
      <c r="C4798" t="s">
        <v>64</v>
      </c>
      <c r="D4798" t="s">
        <v>120</v>
      </c>
      <c r="E4798" t="s">
        <v>63</v>
      </c>
      <c r="F4798" t="s">
        <v>123</v>
      </c>
      <c r="G4798">
        <v>1</v>
      </c>
      <c r="H4798" t="s">
        <v>71</v>
      </c>
      <c r="I4798" t="s">
        <v>121</v>
      </c>
      <c r="J4798" t="s">
        <v>122</v>
      </c>
      <c r="K4798">
        <v>0</v>
      </c>
      <c r="L4798" s="84">
        <v>16586</v>
      </c>
      <c r="M4798" s="84">
        <v>16586</v>
      </c>
    </row>
    <row r="4799" spans="3:13" hidden="1" x14ac:dyDescent="0.25">
      <c r="C4799" t="s">
        <v>65</v>
      </c>
      <c r="D4799" t="s">
        <v>120</v>
      </c>
      <c r="E4799" t="s">
        <v>63</v>
      </c>
      <c r="F4799" t="s">
        <v>25</v>
      </c>
      <c r="G4799">
        <v>2</v>
      </c>
      <c r="H4799" t="s">
        <v>13</v>
      </c>
      <c r="I4799" t="s">
        <v>121</v>
      </c>
      <c r="J4799" t="s">
        <v>122</v>
      </c>
      <c r="K4799">
        <v>0</v>
      </c>
      <c r="L4799" s="84">
        <v>584662</v>
      </c>
      <c r="M4799" s="84">
        <v>1169324</v>
      </c>
    </row>
    <row r="4800" spans="3:13" hidden="1" x14ac:dyDescent="0.25">
      <c r="C4800" t="s">
        <v>64</v>
      </c>
      <c r="D4800" t="s">
        <v>120</v>
      </c>
      <c r="E4800" t="s">
        <v>60</v>
      </c>
      <c r="F4800" t="s">
        <v>25</v>
      </c>
      <c r="G4800">
        <v>9</v>
      </c>
      <c r="H4800" t="s">
        <v>12</v>
      </c>
      <c r="I4800" t="s">
        <v>121</v>
      </c>
      <c r="J4800" t="s">
        <v>66</v>
      </c>
      <c r="K4800">
        <v>1</v>
      </c>
      <c r="L4800" s="84">
        <v>-66694</v>
      </c>
      <c r="M4800" s="84">
        <v>0</v>
      </c>
    </row>
    <row r="4801" spans="3:13" hidden="1" x14ac:dyDescent="0.25">
      <c r="C4801" t="s">
        <v>64</v>
      </c>
      <c r="D4801" t="s">
        <v>120</v>
      </c>
      <c r="E4801" t="s">
        <v>63</v>
      </c>
      <c r="F4801" t="s">
        <v>124</v>
      </c>
      <c r="G4801">
        <v>6</v>
      </c>
      <c r="H4801" t="s">
        <v>13</v>
      </c>
      <c r="I4801" t="s">
        <v>121</v>
      </c>
      <c r="J4801" t="s">
        <v>122</v>
      </c>
      <c r="K4801">
        <v>0</v>
      </c>
      <c r="L4801" s="84">
        <v>28742</v>
      </c>
      <c r="M4801" s="84">
        <v>172452</v>
      </c>
    </row>
    <row r="4802" spans="3:13" hidden="1" x14ac:dyDescent="0.25">
      <c r="C4802" t="s">
        <v>64</v>
      </c>
      <c r="D4802" t="s">
        <v>120</v>
      </c>
      <c r="E4802" t="s">
        <v>63</v>
      </c>
      <c r="F4802" t="s">
        <v>123</v>
      </c>
      <c r="G4802">
        <v>-4</v>
      </c>
      <c r="H4802" t="s">
        <v>73</v>
      </c>
      <c r="I4802" t="s">
        <v>121</v>
      </c>
      <c r="J4802" t="s">
        <v>122</v>
      </c>
      <c r="K4802">
        <v>0</v>
      </c>
      <c r="L4802" s="84">
        <v>213</v>
      </c>
      <c r="M4802" s="84">
        <v>0</v>
      </c>
    </row>
    <row r="4803" spans="3:13" hidden="1" x14ac:dyDescent="0.25">
      <c r="C4803" t="s">
        <v>65</v>
      </c>
      <c r="D4803" t="s">
        <v>120</v>
      </c>
      <c r="E4803" t="s">
        <v>60</v>
      </c>
      <c r="F4803" t="s">
        <v>123</v>
      </c>
      <c r="G4803">
        <v>3</v>
      </c>
      <c r="H4803" t="s">
        <v>68</v>
      </c>
      <c r="I4803" t="s">
        <v>121</v>
      </c>
      <c r="J4803" t="s">
        <v>122</v>
      </c>
      <c r="K4803">
        <v>0</v>
      </c>
      <c r="L4803" s="84">
        <v>-40856</v>
      </c>
      <c r="M4803" s="84">
        <v>0</v>
      </c>
    </row>
    <row r="4804" spans="3:13" hidden="1" x14ac:dyDescent="0.25">
      <c r="C4804" t="s">
        <v>65</v>
      </c>
      <c r="D4804" t="s">
        <v>120</v>
      </c>
      <c r="E4804" t="s">
        <v>63</v>
      </c>
      <c r="F4804" t="s">
        <v>124</v>
      </c>
      <c r="G4804">
        <v>7</v>
      </c>
      <c r="H4804" t="s">
        <v>17</v>
      </c>
      <c r="I4804" t="s">
        <v>121</v>
      </c>
      <c r="J4804" t="s">
        <v>66</v>
      </c>
      <c r="K4804">
        <v>1</v>
      </c>
      <c r="L4804" s="84">
        <v>90777</v>
      </c>
      <c r="M4804" s="84">
        <v>635439</v>
      </c>
    </row>
    <row r="4805" spans="3:13" hidden="1" x14ac:dyDescent="0.25">
      <c r="C4805" t="s">
        <v>119</v>
      </c>
      <c r="D4805" t="s">
        <v>126</v>
      </c>
      <c r="E4805" t="s">
        <v>63</v>
      </c>
      <c r="F4805" t="s">
        <v>25</v>
      </c>
      <c r="G4805">
        <v>-1</v>
      </c>
      <c r="H4805" t="s">
        <v>74</v>
      </c>
      <c r="I4805" t="s">
        <v>121</v>
      </c>
      <c r="J4805" t="s">
        <v>122</v>
      </c>
      <c r="K4805">
        <v>0</v>
      </c>
      <c r="L4805" s="84">
        <v>2355801</v>
      </c>
      <c r="M4805" s="84">
        <v>0</v>
      </c>
    </row>
    <row r="4806" spans="3:13" hidden="1" x14ac:dyDescent="0.25">
      <c r="C4806" t="s">
        <v>119</v>
      </c>
      <c r="D4806" t="s">
        <v>125</v>
      </c>
      <c r="E4806" t="s">
        <v>63</v>
      </c>
      <c r="F4806" t="s">
        <v>24</v>
      </c>
      <c r="G4806">
        <v>12</v>
      </c>
      <c r="I4806" t="s">
        <v>121</v>
      </c>
      <c r="J4806" t="s">
        <v>122</v>
      </c>
      <c r="K4806">
        <v>0</v>
      </c>
      <c r="L4806" s="84">
        <v>192089403</v>
      </c>
      <c r="M4806" s="84">
        <v>2305072836</v>
      </c>
    </row>
    <row r="4807" spans="3:13" hidden="1" x14ac:dyDescent="0.25">
      <c r="C4807" t="s">
        <v>119</v>
      </c>
      <c r="D4807" t="s">
        <v>120</v>
      </c>
      <c r="E4807" t="s">
        <v>60</v>
      </c>
      <c r="F4807" t="s">
        <v>124</v>
      </c>
      <c r="G4807">
        <v>3</v>
      </c>
      <c r="H4807" t="s">
        <v>18</v>
      </c>
      <c r="I4807" t="s">
        <v>121</v>
      </c>
      <c r="J4807" t="s">
        <v>66</v>
      </c>
      <c r="K4807">
        <v>1</v>
      </c>
      <c r="L4807" s="84">
        <v>-24147</v>
      </c>
      <c r="M4807" s="84">
        <v>0</v>
      </c>
    </row>
    <row r="4808" spans="3:13" hidden="1" x14ac:dyDescent="0.25">
      <c r="D4808" t="s">
        <v>120</v>
      </c>
      <c r="E4808" t="s">
        <v>63</v>
      </c>
      <c r="G4808">
        <v>-3</v>
      </c>
      <c r="H4808" t="s">
        <v>70</v>
      </c>
      <c r="I4808" t="s">
        <v>121</v>
      </c>
      <c r="J4808" t="s">
        <v>122</v>
      </c>
      <c r="K4808">
        <v>0</v>
      </c>
      <c r="L4808" s="84">
        <v>133078</v>
      </c>
      <c r="M4808" s="84">
        <v>0</v>
      </c>
    </row>
    <row r="4809" spans="3:13" hidden="1" x14ac:dyDescent="0.25">
      <c r="C4809" t="s">
        <v>65</v>
      </c>
      <c r="D4809" t="s">
        <v>120</v>
      </c>
      <c r="E4809" t="s">
        <v>60</v>
      </c>
      <c r="F4809" t="s">
        <v>124</v>
      </c>
      <c r="G4809">
        <v>0</v>
      </c>
      <c r="H4809" t="s">
        <v>73</v>
      </c>
      <c r="I4809" t="s">
        <v>121</v>
      </c>
      <c r="J4809" t="s">
        <v>122</v>
      </c>
      <c r="K4809">
        <v>0</v>
      </c>
      <c r="L4809" s="84">
        <v>-70284</v>
      </c>
      <c r="M4809" s="84">
        <v>0</v>
      </c>
    </row>
    <row r="4810" spans="3:13" x14ac:dyDescent="0.25">
      <c r="C4810" t="s">
        <v>119</v>
      </c>
      <c r="D4810" t="s">
        <v>120</v>
      </c>
      <c r="E4810" t="s">
        <v>63</v>
      </c>
      <c r="F4810" t="s">
        <v>25</v>
      </c>
      <c r="G4810">
        <v>12</v>
      </c>
      <c r="H4810" t="s">
        <v>14</v>
      </c>
      <c r="I4810" t="s">
        <v>121</v>
      </c>
      <c r="J4810" t="s">
        <v>66</v>
      </c>
      <c r="K4810">
        <v>1</v>
      </c>
      <c r="L4810" s="84">
        <v>1628329</v>
      </c>
      <c r="M4810" s="84">
        <v>19539948</v>
      </c>
    </row>
    <row r="4811" spans="3:13" hidden="1" x14ac:dyDescent="0.25">
      <c r="C4811" t="s">
        <v>119</v>
      </c>
      <c r="D4811" t="s">
        <v>127</v>
      </c>
      <c r="E4811" t="s">
        <v>63</v>
      </c>
      <c r="F4811" t="s">
        <v>24</v>
      </c>
      <c r="G4811">
        <v>18</v>
      </c>
      <c r="H4811" t="s">
        <v>72</v>
      </c>
      <c r="I4811" t="s">
        <v>121</v>
      </c>
      <c r="J4811" t="s">
        <v>122</v>
      </c>
      <c r="K4811">
        <v>0</v>
      </c>
      <c r="L4811" s="84">
        <v>3160481</v>
      </c>
      <c r="M4811" s="84">
        <v>56888658</v>
      </c>
    </row>
    <row r="4812" spans="3:13" hidden="1" x14ac:dyDescent="0.25">
      <c r="C4812" t="s">
        <v>119</v>
      </c>
      <c r="D4812" t="s">
        <v>120</v>
      </c>
      <c r="E4812" t="s">
        <v>63</v>
      </c>
      <c r="F4812" t="s">
        <v>25</v>
      </c>
      <c r="G4812">
        <v>11</v>
      </c>
      <c r="H4812" t="s">
        <v>69</v>
      </c>
      <c r="I4812" t="s">
        <v>121</v>
      </c>
      <c r="J4812" t="s">
        <v>122</v>
      </c>
      <c r="K4812">
        <v>0</v>
      </c>
      <c r="L4812" s="84">
        <v>77528344</v>
      </c>
      <c r="M4812" s="84">
        <v>852811784</v>
      </c>
    </row>
    <row r="4813" spans="3:13" hidden="1" x14ac:dyDescent="0.25">
      <c r="C4813" t="s">
        <v>65</v>
      </c>
      <c r="D4813" t="s">
        <v>120</v>
      </c>
      <c r="E4813" t="s">
        <v>60</v>
      </c>
      <c r="F4813" t="s">
        <v>124</v>
      </c>
      <c r="G4813">
        <v>-4</v>
      </c>
      <c r="H4813" t="s">
        <v>72</v>
      </c>
      <c r="I4813" t="s">
        <v>121</v>
      </c>
      <c r="J4813" t="s">
        <v>122</v>
      </c>
      <c r="K4813">
        <v>0</v>
      </c>
      <c r="L4813" s="84">
        <v>-210642</v>
      </c>
      <c r="M4813" s="84">
        <v>0</v>
      </c>
    </row>
    <row r="4814" spans="3:13" hidden="1" x14ac:dyDescent="0.25">
      <c r="C4814" t="s">
        <v>64</v>
      </c>
      <c r="D4814" t="s">
        <v>120</v>
      </c>
      <c r="E4814" t="s">
        <v>63</v>
      </c>
      <c r="F4814" t="s">
        <v>124</v>
      </c>
      <c r="G4814">
        <v>1</v>
      </c>
      <c r="H4814" t="s">
        <v>14</v>
      </c>
      <c r="I4814" t="s">
        <v>62</v>
      </c>
      <c r="J4814" t="s">
        <v>122</v>
      </c>
      <c r="K4814">
        <v>1</v>
      </c>
      <c r="L4814" s="84">
        <v>5557</v>
      </c>
      <c r="M4814" s="84">
        <v>5557</v>
      </c>
    </row>
    <row r="4815" spans="3:13" hidden="1" x14ac:dyDescent="0.25">
      <c r="C4815" t="s">
        <v>64</v>
      </c>
      <c r="D4815" t="s">
        <v>120</v>
      </c>
      <c r="E4815" t="s">
        <v>60</v>
      </c>
      <c r="F4815" t="s">
        <v>25</v>
      </c>
      <c r="G4815">
        <v>2</v>
      </c>
      <c r="H4815" t="s">
        <v>68</v>
      </c>
      <c r="I4815" t="s">
        <v>121</v>
      </c>
      <c r="J4815" t="s">
        <v>122</v>
      </c>
      <c r="K4815">
        <v>0</v>
      </c>
      <c r="L4815" s="84">
        <v>-21470</v>
      </c>
      <c r="M4815" s="84">
        <v>0</v>
      </c>
    </row>
    <row r="4816" spans="3:13" hidden="1" x14ac:dyDescent="0.25">
      <c r="C4816" t="s">
        <v>119</v>
      </c>
      <c r="D4816" t="s">
        <v>120</v>
      </c>
      <c r="E4816" t="s">
        <v>63</v>
      </c>
      <c r="F4816" t="s">
        <v>124</v>
      </c>
      <c r="G4816">
        <v>10</v>
      </c>
      <c r="H4816" t="s">
        <v>12</v>
      </c>
      <c r="I4816" t="s">
        <v>121</v>
      </c>
      <c r="J4816" t="s">
        <v>66</v>
      </c>
      <c r="K4816">
        <v>1</v>
      </c>
      <c r="L4816" s="84">
        <v>4270815</v>
      </c>
      <c r="M4816" s="84">
        <v>42708150</v>
      </c>
    </row>
    <row r="4817" spans="3:13" hidden="1" x14ac:dyDescent="0.25">
      <c r="C4817" t="s">
        <v>119</v>
      </c>
      <c r="D4817" t="s">
        <v>120</v>
      </c>
      <c r="E4817" t="s">
        <v>60</v>
      </c>
      <c r="F4817" t="s">
        <v>25</v>
      </c>
      <c r="G4817">
        <v>2</v>
      </c>
      <c r="H4817" t="s">
        <v>67</v>
      </c>
      <c r="I4817" t="s">
        <v>121</v>
      </c>
      <c r="J4817" t="s">
        <v>122</v>
      </c>
      <c r="K4817">
        <v>0</v>
      </c>
      <c r="L4817" s="84">
        <v>-1518</v>
      </c>
      <c r="M4817" s="84">
        <v>0</v>
      </c>
    </row>
    <row r="4818" spans="3:13" hidden="1" x14ac:dyDescent="0.25">
      <c r="C4818" t="s">
        <v>119</v>
      </c>
      <c r="D4818" t="s">
        <v>120</v>
      </c>
      <c r="E4818" t="s">
        <v>63</v>
      </c>
      <c r="G4818">
        <v>-1</v>
      </c>
      <c r="I4818" t="s">
        <v>121</v>
      </c>
      <c r="J4818" t="s">
        <v>122</v>
      </c>
      <c r="K4818">
        <v>0</v>
      </c>
      <c r="L4818" s="84">
        <v>92550</v>
      </c>
      <c r="M4818" s="84">
        <v>0</v>
      </c>
    </row>
    <row r="4819" spans="3:13" hidden="1" x14ac:dyDescent="0.25">
      <c r="C4819" t="s">
        <v>119</v>
      </c>
      <c r="D4819" t="s">
        <v>125</v>
      </c>
      <c r="E4819" t="s">
        <v>60</v>
      </c>
      <c r="F4819" t="s">
        <v>24</v>
      </c>
      <c r="G4819">
        <v>52</v>
      </c>
      <c r="I4819" t="s">
        <v>121</v>
      </c>
      <c r="J4819" t="s">
        <v>122</v>
      </c>
      <c r="K4819">
        <v>0</v>
      </c>
      <c r="L4819" s="84">
        <v>-192</v>
      </c>
      <c r="M4819" s="84">
        <v>0</v>
      </c>
    </row>
    <row r="4820" spans="3:13" hidden="1" x14ac:dyDescent="0.25">
      <c r="C4820" t="s">
        <v>64</v>
      </c>
      <c r="D4820" t="s">
        <v>120</v>
      </c>
      <c r="E4820" t="s">
        <v>60</v>
      </c>
      <c r="F4820" t="s">
        <v>124</v>
      </c>
      <c r="G4820">
        <v>3</v>
      </c>
      <c r="H4820" t="s">
        <v>72</v>
      </c>
      <c r="I4820" t="s">
        <v>121</v>
      </c>
      <c r="J4820" t="s">
        <v>122</v>
      </c>
      <c r="K4820">
        <v>0</v>
      </c>
      <c r="L4820" s="84">
        <v>-106301</v>
      </c>
      <c r="M4820" s="84">
        <v>0</v>
      </c>
    </row>
    <row r="4821" spans="3:13" hidden="1" x14ac:dyDescent="0.25">
      <c r="C4821" t="s">
        <v>64</v>
      </c>
      <c r="D4821" t="s">
        <v>125</v>
      </c>
      <c r="E4821" t="s">
        <v>60</v>
      </c>
      <c r="F4821" t="s">
        <v>24</v>
      </c>
      <c r="G4821">
        <v>36</v>
      </c>
      <c r="I4821" t="s">
        <v>121</v>
      </c>
      <c r="J4821" t="s">
        <v>122</v>
      </c>
      <c r="K4821">
        <v>0</v>
      </c>
      <c r="L4821" s="84">
        <v>-2255665</v>
      </c>
      <c r="M4821" s="84">
        <v>0</v>
      </c>
    </row>
    <row r="4822" spans="3:13" hidden="1" x14ac:dyDescent="0.25">
      <c r="C4822" t="s">
        <v>119</v>
      </c>
      <c r="D4822" t="s">
        <v>120</v>
      </c>
      <c r="E4822" t="s">
        <v>60</v>
      </c>
      <c r="F4822" t="s">
        <v>24</v>
      </c>
      <c r="G4822">
        <v>19</v>
      </c>
      <c r="H4822" t="s">
        <v>69</v>
      </c>
      <c r="I4822" t="s">
        <v>121</v>
      </c>
      <c r="J4822" t="s">
        <v>122</v>
      </c>
      <c r="K4822">
        <v>0</v>
      </c>
      <c r="L4822" s="84">
        <v>-364</v>
      </c>
      <c r="M4822" s="84">
        <v>0</v>
      </c>
    </row>
    <row r="4823" spans="3:13" hidden="1" x14ac:dyDescent="0.25">
      <c r="C4823" t="s">
        <v>119</v>
      </c>
      <c r="D4823" t="s">
        <v>120</v>
      </c>
      <c r="E4823" t="s">
        <v>63</v>
      </c>
      <c r="F4823" t="s">
        <v>24</v>
      </c>
      <c r="G4823">
        <v>6</v>
      </c>
      <c r="H4823" t="s">
        <v>18</v>
      </c>
      <c r="I4823" t="s">
        <v>121</v>
      </c>
      <c r="J4823" t="s">
        <v>122</v>
      </c>
      <c r="K4823">
        <v>0</v>
      </c>
      <c r="L4823" s="84">
        <v>789400</v>
      </c>
      <c r="M4823" s="84">
        <v>4736400</v>
      </c>
    </row>
    <row r="4824" spans="3:13" hidden="1" x14ac:dyDescent="0.25">
      <c r="C4824" t="s">
        <v>64</v>
      </c>
      <c r="D4824" t="s">
        <v>120</v>
      </c>
      <c r="E4824" t="s">
        <v>63</v>
      </c>
      <c r="F4824" t="s">
        <v>124</v>
      </c>
      <c r="G4824">
        <v>4</v>
      </c>
      <c r="H4824" t="s">
        <v>12</v>
      </c>
      <c r="I4824" t="s">
        <v>62</v>
      </c>
      <c r="J4824" t="s">
        <v>66</v>
      </c>
      <c r="K4824">
        <v>1</v>
      </c>
      <c r="L4824" s="84">
        <v>205108</v>
      </c>
      <c r="M4824" s="84">
        <v>820432</v>
      </c>
    </row>
    <row r="4825" spans="3:13" hidden="1" x14ac:dyDescent="0.25">
      <c r="C4825" t="s">
        <v>65</v>
      </c>
      <c r="D4825" t="s">
        <v>120</v>
      </c>
      <c r="E4825" t="s">
        <v>60</v>
      </c>
      <c r="F4825" t="s">
        <v>124</v>
      </c>
      <c r="G4825">
        <v>0</v>
      </c>
      <c r="H4825" t="s">
        <v>72</v>
      </c>
      <c r="I4825" t="s">
        <v>121</v>
      </c>
      <c r="J4825" t="s">
        <v>122</v>
      </c>
      <c r="K4825">
        <v>0</v>
      </c>
      <c r="L4825" s="84">
        <v>-27178</v>
      </c>
      <c r="M4825" s="84">
        <v>0</v>
      </c>
    </row>
    <row r="4826" spans="3:13" hidden="1" x14ac:dyDescent="0.25">
      <c r="C4826" t="s">
        <v>64</v>
      </c>
      <c r="D4826" t="s">
        <v>120</v>
      </c>
      <c r="E4826" t="s">
        <v>63</v>
      </c>
      <c r="F4826" t="s">
        <v>124</v>
      </c>
      <c r="G4826">
        <v>9</v>
      </c>
      <c r="H4826" t="s">
        <v>69</v>
      </c>
      <c r="I4826" t="s">
        <v>121</v>
      </c>
      <c r="J4826" t="s">
        <v>122</v>
      </c>
      <c r="K4826">
        <v>0</v>
      </c>
      <c r="L4826" s="84">
        <v>392424</v>
      </c>
      <c r="M4826" s="84">
        <v>3531816</v>
      </c>
    </row>
    <row r="4827" spans="3:13" hidden="1" x14ac:dyDescent="0.25">
      <c r="C4827" t="s">
        <v>64</v>
      </c>
      <c r="D4827" t="s">
        <v>120</v>
      </c>
      <c r="E4827" t="s">
        <v>60</v>
      </c>
      <c r="F4827" t="s">
        <v>25</v>
      </c>
      <c r="G4827">
        <v>5</v>
      </c>
      <c r="H4827" t="s">
        <v>17</v>
      </c>
      <c r="I4827" t="s">
        <v>121</v>
      </c>
      <c r="J4827" t="s">
        <v>122</v>
      </c>
      <c r="K4827">
        <v>0</v>
      </c>
      <c r="L4827" s="84">
        <v>-1243</v>
      </c>
      <c r="M4827" s="84">
        <v>0</v>
      </c>
    </row>
    <row r="4828" spans="3:13" hidden="1" x14ac:dyDescent="0.25">
      <c r="C4828" t="s">
        <v>119</v>
      </c>
      <c r="D4828" t="s">
        <v>120</v>
      </c>
      <c r="E4828" t="s">
        <v>60</v>
      </c>
      <c r="F4828" t="s">
        <v>25</v>
      </c>
      <c r="G4828">
        <v>7</v>
      </c>
      <c r="H4828" t="s">
        <v>18</v>
      </c>
      <c r="I4828" t="s">
        <v>121</v>
      </c>
      <c r="J4828" t="s">
        <v>66</v>
      </c>
      <c r="K4828">
        <v>1</v>
      </c>
      <c r="L4828" s="84">
        <v>-673</v>
      </c>
      <c r="M4828" s="84">
        <v>0</v>
      </c>
    </row>
    <row r="4829" spans="3:13" hidden="1" x14ac:dyDescent="0.25">
      <c r="C4829" t="s">
        <v>65</v>
      </c>
      <c r="D4829" t="s">
        <v>120</v>
      </c>
      <c r="E4829" t="s">
        <v>63</v>
      </c>
      <c r="F4829" t="s">
        <v>25</v>
      </c>
      <c r="G4829">
        <v>14</v>
      </c>
      <c r="H4829" t="s">
        <v>18</v>
      </c>
      <c r="I4829" t="s">
        <v>121</v>
      </c>
      <c r="J4829" t="s">
        <v>122</v>
      </c>
      <c r="K4829">
        <v>0</v>
      </c>
      <c r="L4829" s="84">
        <v>147525</v>
      </c>
      <c r="M4829" s="84">
        <v>2065350</v>
      </c>
    </row>
    <row r="4830" spans="3:13" hidden="1" x14ac:dyDescent="0.25">
      <c r="C4830" t="s">
        <v>119</v>
      </c>
      <c r="D4830" t="s">
        <v>120</v>
      </c>
      <c r="E4830" t="s">
        <v>60</v>
      </c>
      <c r="F4830" t="s">
        <v>25</v>
      </c>
      <c r="G4830">
        <v>5</v>
      </c>
      <c r="H4830" t="s">
        <v>18</v>
      </c>
      <c r="I4830" t="s">
        <v>121</v>
      </c>
      <c r="J4830" t="s">
        <v>122</v>
      </c>
      <c r="K4830">
        <v>0</v>
      </c>
      <c r="L4830" s="84">
        <v>-17957</v>
      </c>
      <c r="M4830" s="84">
        <v>0</v>
      </c>
    </row>
    <row r="4831" spans="3:13" hidden="1" x14ac:dyDescent="0.25">
      <c r="C4831" t="s">
        <v>119</v>
      </c>
      <c r="D4831" t="s">
        <v>120</v>
      </c>
      <c r="E4831" t="s">
        <v>60</v>
      </c>
      <c r="F4831" t="s">
        <v>123</v>
      </c>
      <c r="G4831">
        <v>-1</v>
      </c>
      <c r="H4831" t="s">
        <v>76</v>
      </c>
      <c r="I4831" t="s">
        <v>121</v>
      </c>
      <c r="J4831" t="s">
        <v>122</v>
      </c>
      <c r="K4831">
        <v>0</v>
      </c>
      <c r="L4831" s="84">
        <v>-237</v>
      </c>
      <c r="M4831" s="84">
        <v>0</v>
      </c>
    </row>
    <row r="4832" spans="3:13" hidden="1" x14ac:dyDescent="0.25">
      <c r="C4832" t="s">
        <v>65</v>
      </c>
      <c r="D4832" t="s">
        <v>120</v>
      </c>
      <c r="E4832" t="s">
        <v>60</v>
      </c>
      <c r="F4832" t="s">
        <v>124</v>
      </c>
      <c r="G4832">
        <v>2</v>
      </c>
      <c r="H4832" t="s">
        <v>75</v>
      </c>
      <c r="I4832" t="s">
        <v>121</v>
      </c>
      <c r="J4832" t="s">
        <v>122</v>
      </c>
      <c r="K4832">
        <v>0</v>
      </c>
      <c r="L4832" s="84">
        <v>-1240160</v>
      </c>
      <c r="M4832" s="84">
        <v>0</v>
      </c>
    </row>
    <row r="4833" spans="3:13" hidden="1" x14ac:dyDescent="0.25">
      <c r="C4833" t="s">
        <v>64</v>
      </c>
      <c r="D4833" t="s">
        <v>120</v>
      </c>
      <c r="E4833" t="s">
        <v>63</v>
      </c>
      <c r="F4833" t="s">
        <v>124</v>
      </c>
      <c r="G4833">
        <v>2</v>
      </c>
      <c r="H4833" t="s">
        <v>67</v>
      </c>
      <c r="I4833" t="s">
        <v>121</v>
      </c>
      <c r="J4833" t="s">
        <v>122</v>
      </c>
      <c r="K4833">
        <v>0</v>
      </c>
      <c r="L4833" s="84">
        <v>2983192</v>
      </c>
      <c r="M4833" s="84">
        <v>5966384</v>
      </c>
    </row>
    <row r="4834" spans="3:13" hidden="1" x14ac:dyDescent="0.25">
      <c r="C4834" t="s">
        <v>119</v>
      </c>
      <c r="D4834" t="s">
        <v>125</v>
      </c>
      <c r="E4834" t="s">
        <v>63</v>
      </c>
      <c r="F4834" t="s">
        <v>24</v>
      </c>
      <c r="G4834">
        <v>11</v>
      </c>
      <c r="I4834" t="s">
        <v>121</v>
      </c>
      <c r="J4834" t="s">
        <v>122</v>
      </c>
      <c r="K4834">
        <v>0</v>
      </c>
      <c r="L4834" s="84">
        <v>176110281</v>
      </c>
      <c r="M4834" s="84">
        <v>1937213091</v>
      </c>
    </row>
    <row r="4835" spans="3:13" hidden="1" x14ac:dyDescent="0.25">
      <c r="C4835" t="s">
        <v>119</v>
      </c>
      <c r="D4835" t="s">
        <v>120</v>
      </c>
      <c r="E4835" t="s">
        <v>63</v>
      </c>
      <c r="F4835" t="s">
        <v>24</v>
      </c>
      <c r="G4835">
        <v>8</v>
      </c>
      <c r="H4835" t="s">
        <v>17</v>
      </c>
      <c r="I4835" t="s">
        <v>121</v>
      </c>
      <c r="J4835" t="s">
        <v>66</v>
      </c>
      <c r="K4835">
        <v>1</v>
      </c>
      <c r="L4835" s="84">
        <v>722416</v>
      </c>
      <c r="M4835" s="84">
        <v>5779328</v>
      </c>
    </row>
    <row r="4836" spans="3:13" hidden="1" x14ac:dyDescent="0.25">
      <c r="C4836" t="s">
        <v>119</v>
      </c>
      <c r="D4836" t="s">
        <v>120</v>
      </c>
      <c r="E4836" t="s">
        <v>63</v>
      </c>
      <c r="F4836" t="s">
        <v>124</v>
      </c>
      <c r="G4836">
        <v>10</v>
      </c>
      <c r="H4836" t="s">
        <v>14</v>
      </c>
      <c r="I4836" t="s">
        <v>121</v>
      </c>
      <c r="J4836" t="s">
        <v>66</v>
      </c>
      <c r="K4836">
        <v>1</v>
      </c>
      <c r="L4836" s="84">
        <v>219907</v>
      </c>
      <c r="M4836" s="84">
        <v>2199070</v>
      </c>
    </row>
    <row r="4837" spans="3:13" hidden="1" x14ac:dyDescent="0.25">
      <c r="C4837" t="s">
        <v>64</v>
      </c>
      <c r="D4837" t="s">
        <v>120</v>
      </c>
      <c r="E4837" t="s">
        <v>63</v>
      </c>
      <c r="F4837" t="s">
        <v>124</v>
      </c>
      <c r="G4837">
        <v>1</v>
      </c>
      <c r="H4837" t="s">
        <v>17</v>
      </c>
      <c r="I4837" t="s">
        <v>121</v>
      </c>
      <c r="J4837" t="s">
        <v>66</v>
      </c>
      <c r="K4837">
        <v>1</v>
      </c>
      <c r="L4837" s="84">
        <v>856495</v>
      </c>
      <c r="M4837" s="84">
        <v>856495</v>
      </c>
    </row>
    <row r="4838" spans="3:13" hidden="1" x14ac:dyDescent="0.25">
      <c r="C4838" t="s">
        <v>65</v>
      </c>
      <c r="D4838" t="s">
        <v>120</v>
      </c>
      <c r="E4838" t="s">
        <v>63</v>
      </c>
      <c r="F4838" t="s">
        <v>25</v>
      </c>
      <c r="G4838">
        <v>9</v>
      </c>
      <c r="H4838" t="s">
        <v>67</v>
      </c>
      <c r="I4838" t="s">
        <v>121</v>
      </c>
      <c r="J4838" t="s">
        <v>122</v>
      </c>
      <c r="K4838">
        <v>0</v>
      </c>
      <c r="L4838" s="84">
        <v>490107</v>
      </c>
      <c r="M4838" s="84">
        <v>4410963</v>
      </c>
    </row>
    <row r="4839" spans="3:13" hidden="1" x14ac:dyDescent="0.25">
      <c r="C4839" t="s">
        <v>65</v>
      </c>
      <c r="D4839" t="s">
        <v>120</v>
      </c>
      <c r="E4839" t="s">
        <v>60</v>
      </c>
      <c r="F4839" t="s">
        <v>124</v>
      </c>
      <c r="G4839">
        <v>-4</v>
      </c>
      <c r="H4839" t="s">
        <v>73</v>
      </c>
      <c r="I4839" t="s">
        <v>121</v>
      </c>
      <c r="J4839" t="s">
        <v>122</v>
      </c>
      <c r="K4839">
        <v>0</v>
      </c>
      <c r="L4839" s="84">
        <v>-371889</v>
      </c>
      <c r="M4839" s="84">
        <v>0</v>
      </c>
    </row>
    <row r="4840" spans="3:13" hidden="1" x14ac:dyDescent="0.25">
      <c r="C4840" t="s">
        <v>64</v>
      </c>
      <c r="D4840" t="s">
        <v>120</v>
      </c>
      <c r="E4840" t="s">
        <v>63</v>
      </c>
      <c r="F4840" t="s">
        <v>25</v>
      </c>
      <c r="G4840">
        <v>10</v>
      </c>
      <c r="H4840" t="s">
        <v>17</v>
      </c>
      <c r="I4840" t="s">
        <v>121</v>
      </c>
      <c r="J4840" t="s">
        <v>122</v>
      </c>
      <c r="K4840">
        <v>0</v>
      </c>
      <c r="L4840" s="84">
        <v>52258</v>
      </c>
      <c r="M4840" s="84">
        <v>522580</v>
      </c>
    </row>
    <row r="4841" spans="3:13" hidden="1" x14ac:dyDescent="0.25">
      <c r="C4841" t="s">
        <v>119</v>
      </c>
      <c r="D4841" t="s">
        <v>120</v>
      </c>
      <c r="E4841" t="s">
        <v>60</v>
      </c>
      <c r="F4841" t="s">
        <v>124</v>
      </c>
      <c r="G4841">
        <v>0</v>
      </c>
      <c r="H4841" t="s">
        <v>17</v>
      </c>
      <c r="I4841" t="s">
        <v>62</v>
      </c>
      <c r="J4841" t="s">
        <v>66</v>
      </c>
      <c r="K4841">
        <v>1</v>
      </c>
      <c r="L4841" s="84">
        <v>-7566</v>
      </c>
      <c r="M4841" s="84">
        <v>0</v>
      </c>
    </row>
    <row r="4842" spans="3:13" hidden="1" x14ac:dyDescent="0.25">
      <c r="C4842" t="s">
        <v>65</v>
      </c>
      <c r="D4842" t="s">
        <v>125</v>
      </c>
      <c r="E4842" t="s">
        <v>60</v>
      </c>
      <c r="F4842" t="s">
        <v>24</v>
      </c>
      <c r="G4842">
        <v>36</v>
      </c>
      <c r="I4842" t="s">
        <v>121</v>
      </c>
      <c r="J4842" t="s">
        <v>122</v>
      </c>
      <c r="K4842">
        <v>0</v>
      </c>
      <c r="L4842" s="84">
        <v>-2013472</v>
      </c>
      <c r="M4842" s="84">
        <v>0</v>
      </c>
    </row>
    <row r="4843" spans="3:13" hidden="1" x14ac:dyDescent="0.25">
      <c r="C4843" t="s">
        <v>64</v>
      </c>
      <c r="D4843" t="s">
        <v>120</v>
      </c>
      <c r="E4843" t="s">
        <v>60</v>
      </c>
      <c r="F4843" t="s">
        <v>24</v>
      </c>
      <c r="G4843">
        <v>12</v>
      </c>
      <c r="H4843" t="s">
        <v>17</v>
      </c>
      <c r="I4843" t="s">
        <v>62</v>
      </c>
      <c r="J4843" t="s">
        <v>66</v>
      </c>
      <c r="K4843">
        <v>1</v>
      </c>
      <c r="L4843" s="84">
        <v>-530</v>
      </c>
      <c r="M4843" s="84">
        <v>0</v>
      </c>
    </row>
    <row r="4844" spans="3:13" hidden="1" x14ac:dyDescent="0.25">
      <c r="C4844" t="s">
        <v>64</v>
      </c>
      <c r="D4844" t="s">
        <v>120</v>
      </c>
      <c r="E4844" t="s">
        <v>63</v>
      </c>
      <c r="F4844" t="s">
        <v>124</v>
      </c>
      <c r="G4844">
        <v>7</v>
      </c>
      <c r="H4844" t="s">
        <v>14</v>
      </c>
      <c r="I4844" t="s">
        <v>121</v>
      </c>
      <c r="J4844" t="s">
        <v>122</v>
      </c>
      <c r="K4844">
        <v>0</v>
      </c>
      <c r="L4844" s="84">
        <v>1376230</v>
      </c>
      <c r="M4844" s="84">
        <v>9633610</v>
      </c>
    </row>
    <row r="4845" spans="3:13" hidden="1" x14ac:dyDescent="0.25">
      <c r="C4845" t="s">
        <v>65</v>
      </c>
      <c r="D4845" t="s">
        <v>120</v>
      </c>
      <c r="E4845" t="s">
        <v>60</v>
      </c>
      <c r="F4845" t="s">
        <v>25</v>
      </c>
      <c r="G4845">
        <v>5</v>
      </c>
      <c r="H4845" t="s">
        <v>14</v>
      </c>
      <c r="I4845" t="s">
        <v>121</v>
      </c>
      <c r="J4845" t="s">
        <v>122</v>
      </c>
      <c r="K4845">
        <v>0</v>
      </c>
      <c r="L4845" s="84">
        <v>-1440619</v>
      </c>
      <c r="M4845" s="84">
        <v>0</v>
      </c>
    </row>
    <row r="4846" spans="3:13" hidden="1" x14ac:dyDescent="0.25">
      <c r="C4846" t="s">
        <v>65</v>
      </c>
      <c r="D4846" t="s">
        <v>120</v>
      </c>
      <c r="E4846" t="s">
        <v>60</v>
      </c>
      <c r="F4846" t="s">
        <v>25</v>
      </c>
      <c r="G4846">
        <v>7</v>
      </c>
      <c r="H4846" t="s">
        <v>14</v>
      </c>
      <c r="I4846" t="s">
        <v>121</v>
      </c>
      <c r="J4846" t="s">
        <v>66</v>
      </c>
      <c r="K4846">
        <v>1</v>
      </c>
      <c r="L4846" s="84">
        <v>-95992</v>
      </c>
      <c r="M4846" s="84">
        <v>0</v>
      </c>
    </row>
    <row r="4847" spans="3:13" hidden="1" x14ac:dyDescent="0.25">
      <c r="C4847" t="s">
        <v>119</v>
      </c>
      <c r="D4847" t="s">
        <v>120</v>
      </c>
      <c r="E4847" t="s">
        <v>63</v>
      </c>
      <c r="F4847" t="s">
        <v>124</v>
      </c>
      <c r="G4847">
        <v>1</v>
      </c>
      <c r="H4847" t="s">
        <v>74</v>
      </c>
      <c r="I4847" t="s">
        <v>121</v>
      </c>
      <c r="J4847" t="s">
        <v>122</v>
      </c>
      <c r="K4847">
        <v>0</v>
      </c>
      <c r="L4847" s="84">
        <v>359863</v>
      </c>
      <c r="M4847" s="84">
        <v>359863</v>
      </c>
    </row>
    <row r="4848" spans="3:13" hidden="1" x14ac:dyDescent="0.25">
      <c r="C4848" t="s">
        <v>119</v>
      </c>
      <c r="D4848" t="s">
        <v>120</v>
      </c>
      <c r="E4848" t="s">
        <v>60</v>
      </c>
      <c r="F4848" t="s">
        <v>124</v>
      </c>
      <c r="G4848">
        <v>2</v>
      </c>
      <c r="H4848" t="s">
        <v>70</v>
      </c>
      <c r="I4848" t="s">
        <v>121</v>
      </c>
      <c r="J4848" t="s">
        <v>122</v>
      </c>
      <c r="K4848">
        <v>0</v>
      </c>
      <c r="L4848" s="84">
        <v>-25119</v>
      </c>
      <c r="M4848" s="84">
        <v>0</v>
      </c>
    </row>
    <row r="4849" spans="3:13" hidden="1" x14ac:dyDescent="0.25">
      <c r="C4849" t="s">
        <v>119</v>
      </c>
      <c r="D4849" t="s">
        <v>125</v>
      </c>
      <c r="E4849" t="s">
        <v>60</v>
      </c>
      <c r="F4849" t="s">
        <v>25</v>
      </c>
      <c r="G4849">
        <v>16</v>
      </c>
      <c r="I4849" t="s">
        <v>121</v>
      </c>
      <c r="J4849" t="s">
        <v>122</v>
      </c>
      <c r="K4849">
        <v>0</v>
      </c>
      <c r="L4849" s="84">
        <v>-3593</v>
      </c>
      <c r="M4849" s="84">
        <v>0</v>
      </c>
    </row>
    <row r="4850" spans="3:13" hidden="1" x14ac:dyDescent="0.25">
      <c r="C4850" t="s">
        <v>65</v>
      </c>
      <c r="D4850" t="s">
        <v>120</v>
      </c>
      <c r="E4850" t="s">
        <v>60</v>
      </c>
      <c r="F4850" t="s">
        <v>124</v>
      </c>
      <c r="G4850">
        <v>8</v>
      </c>
      <c r="H4850" t="s">
        <v>13</v>
      </c>
      <c r="I4850" t="s">
        <v>121</v>
      </c>
      <c r="J4850" t="s">
        <v>122</v>
      </c>
      <c r="K4850">
        <v>0</v>
      </c>
      <c r="L4850" s="84">
        <v>-169153</v>
      </c>
      <c r="M4850" s="84">
        <v>0</v>
      </c>
    </row>
    <row r="4851" spans="3:13" hidden="1" x14ac:dyDescent="0.25">
      <c r="C4851" t="s">
        <v>65</v>
      </c>
      <c r="D4851" t="s">
        <v>120</v>
      </c>
      <c r="E4851" t="s">
        <v>63</v>
      </c>
      <c r="F4851" t="s">
        <v>24</v>
      </c>
      <c r="G4851">
        <v>-4</v>
      </c>
      <c r="H4851" t="s">
        <v>18</v>
      </c>
      <c r="I4851" t="s">
        <v>121</v>
      </c>
      <c r="J4851" t="s">
        <v>122</v>
      </c>
      <c r="K4851">
        <v>0</v>
      </c>
      <c r="L4851" s="84">
        <v>38098</v>
      </c>
      <c r="M4851" s="84">
        <v>0</v>
      </c>
    </row>
    <row r="4852" spans="3:13" hidden="1" x14ac:dyDescent="0.25">
      <c r="C4852" t="s">
        <v>64</v>
      </c>
      <c r="D4852" t="s">
        <v>120</v>
      </c>
      <c r="E4852" t="s">
        <v>63</v>
      </c>
      <c r="F4852" t="s">
        <v>123</v>
      </c>
      <c r="G4852">
        <v>-4</v>
      </c>
      <c r="H4852" t="s">
        <v>72</v>
      </c>
      <c r="I4852" t="s">
        <v>121</v>
      </c>
      <c r="J4852" t="s">
        <v>122</v>
      </c>
      <c r="K4852">
        <v>0</v>
      </c>
      <c r="L4852" s="84">
        <v>137</v>
      </c>
      <c r="M4852" s="84">
        <v>0</v>
      </c>
    </row>
    <row r="4853" spans="3:13" hidden="1" x14ac:dyDescent="0.25">
      <c r="C4853" t="s">
        <v>64</v>
      </c>
      <c r="D4853" t="s">
        <v>120</v>
      </c>
      <c r="E4853" t="s">
        <v>63</v>
      </c>
      <c r="F4853" t="s">
        <v>124</v>
      </c>
      <c r="G4853">
        <v>8</v>
      </c>
      <c r="H4853" t="s">
        <v>67</v>
      </c>
      <c r="I4853" t="s">
        <v>121</v>
      </c>
      <c r="J4853" t="s">
        <v>122</v>
      </c>
      <c r="K4853">
        <v>0</v>
      </c>
      <c r="L4853" s="84">
        <v>147494</v>
      </c>
      <c r="M4853" s="84">
        <v>1179952</v>
      </c>
    </row>
    <row r="4854" spans="3:13" hidden="1" x14ac:dyDescent="0.25">
      <c r="C4854" t="s">
        <v>64</v>
      </c>
      <c r="D4854" t="s">
        <v>120</v>
      </c>
      <c r="E4854" t="s">
        <v>63</v>
      </c>
      <c r="F4854" t="s">
        <v>123</v>
      </c>
      <c r="G4854">
        <v>1</v>
      </c>
      <c r="H4854" t="s">
        <v>76</v>
      </c>
      <c r="I4854" t="s">
        <v>121</v>
      </c>
      <c r="J4854" t="s">
        <v>122</v>
      </c>
      <c r="K4854">
        <v>0</v>
      </c>
      <c r="L4854" s="84">
        <v>34840</v>
      </c>
      <c r="M4854" s="84">
        <v>34840</v>
      </c>
    </row>
    <row r="4855" spans="3:13" hidden="1" x14ac:dyDescent="0.25">
      <c r="C4855" t="s">
        <v>65</v>
      </c>
      <c r="D4855" t="s">
        <v>120</v>
      </c>
      <c r="E4855" t="s">
        <v>63</v>
      </c>
      <c r="F4855" t="s">
        <v>124</v>
      </c>
      <c r="G4855">
        <v>1</v>
      </c>
      <c r="H4855" t="s">
        <v>12</v>
      </c>
      <c r="I4855" t="s">
        <v>121</v>
      </c>
      <c r="J4855" t="s">
        <v>122</v>
      </c>
      <c r="K4855">
        <v>0</v>
      </c>
      <c r="L4855" s="84">
        <v>221665</v>
      </c>
      <c r="M4855" s="84">
        <v>221665</v>
      </c>
    </row>
    <row r="4856" spans="3:13" hidden="1" x14ac:dyDescent="0.25">
      <c r="C4856" t="s">
        <v>64</v>
      </c>
      <c r="D4856" t="s">
        <v>120</v>
      </c>
      <c r="E4856" t="s">
        <v>63</v>
      </c>
      <c r="F4856" t="s">
        <v>124</v>
      </c>
      <c r="G4856">
        <v>2</v>
      </c>
      <c r="H4856" t="s">
        <v>73</v>
      </c>
      <c r="I4856" t="s">
        <v>121</v>
      </c>
      <c r="J4856" t="s">
        <v>122</v>
      </c>
      <c r="K4856">
        <v>0</v>
      </c>
      <c r="L4856" s="84">
        <v>360711</v>
      </c>
      <c r="M4856" s="84">
        <v>721422</v>
      </c>
    </row>
    <row r="4857" spans="3:13" hidden="1" x14ac:dyDescent="0.25">
      <c r="C4857" t="s">
        <v>119</v>
      </c>
      <c r="D4857" t="s">
        <v>120</v>
      </c>
      <c r="E4857" t="s">
        <v>60</v>
      </c>
      <c r="F4857" t="s">
        <v>25</v>
      </c>
      <c r="G4857">
        <v>2</v>
      </c>
      <c r="H4857" t="s">
        <v>72</v>
      </c>
      <c r="I4857" t="s">
        <v>121</v>
      </c>
      <c r="J4857" t="s">
        <v>122</v>
      </c>
      <c r="K4857">
        <v>0</v>
      </c>
      <c r="L4857" s="84">
        <v>-1527</v>
      </c>
      <c r="M4857" s="84">
        <v>0</v>
      </c>
    </row>
    <row r="4858" spans="3:13" hidden="1" x14ac:dyDescent="0.25">
      <c r="C4858" t="s">
        <v>65</v>
      </c>
      <c r="D4858" t="s">
        <v>120</v>
      </c>
      <c r="E4858" t="s">
        <v>60</v>
      </c>
      <c r="F4858" t="s">
        <v>124</v>
      </c>
      <c r="G4858">
        <v>-1</v>
      </c>
      <c r="H4858" t="s">
        <v>61</v>
      </c>
      <c r="I4858" t="s">
        <v>121</v>
      </c>
      <c r="J4858" t="s">
        <v>122</v>
      </c>
      <c r="K4858">
        <v>0</v>
      </c>
      <c r="L4858" s="84">
        <v>-1213368</v>
      </c>
      <c r="M4858" s="84">
        <v>0</v>
      </c>
    </row>
    <row r="4859" spans="3:13" hidden="1" x14ac:dyDescent="0.25">
      <c r="C4859" t="s">
        <v>119</v>
      </c>
      <c r="D4859" t="s">
        <v>126</v>
      </c>
      <c r="E4859" t="s">
        <v>63</v>
      </c>
      <c r="F4859" t="s">
        <v>25</v>
      </c>
      <c r="G4859">
        <v>3</v>
      </c>
      <c r="H4859" t="s">
        <v>74</v>
      </c>
      <c r="I4859" t="s">
        <v>121</v>
      </c>
      <c r="J4859" t="s">
        <v>122</v>
      </c>
      <c r="K4859">
        <v>0</v>
      </c>
      <c r="L4859" s="84">
        <v>16818331</v>
      </c>
      <c r="M4859" s="84">
        <v>50454993</v>
      </c>
    </row>
    <row r="4860" spans="3:13" hidden="1" x14ac:dyDescent="0.25">
      <c r="C4860" t="s">
        <v>65</v>
      </c>
      <c r="D4860" t="s">
        <v>120</v>
      </c>
      <c r="E4860" t="s">
        <v>60</v>
      </c>
      <c r="F4860" t="s">
        <v>123</v>
      </c>
      <c r="G4860">
        <v>-4</v>
      </c>
      <c r="H4860" t="s">
        <v>17</v>
      </c>
      <c r="I4860" t="s">
        <v>121</v>
      </c>
      <c r="J4860" t="s">
        <v>122</v>
      </c>
      <c r="K4860">
        <v>0</v>
      </c>
      <c r="L4860" s="84">
        <v>-488050</v>
      </c>
      <c r="M4860" s="84">
        <v>0</v>
      </c>
    </row>
    <row r="4861" spans="3:13" hidden="1" x14ac:dyDescent="0.25">
      <c r="C4861" t="s">
        <v>119</v>
      </c>
      <c r="D4861" t="s">
        <v>120</v>
      </c>
      <c r="E4861" t="s">
        <v>60</v>
      </c>
      <c r="F4861" t="s">
        <v>124</v>
      </c>
      <c r="G4861">
        <v>2</v>
      </c>
      <c r="H4861" t="s">
        <v>12</v>
      </c>
      <c r="I4861" t="s">
        <v>62</v>
      </c>
      <c r="J4861" t="s">
        <v>66</v>
      </c>
      <c r="K4861">
        <v>1</v>
      </c>
      <c r="L4861" s="84">
        <v>-3717</v>
      </c>
      <c r="M4861" s="84">
        <v>0</v>
      </c>
    </row>
    <row r="4862" spans="3:13" hidden="1" x14ac:dyDescent="0.25">
      <c r="C4862" t="s">
        <v>65</v>
      </c>
      <c r="D4862" t="s">
        <v>120</v>
      </c>
      <c r="E4862" t="s">
        <v>63</v>
      </c>
      <c r="F4862" t="s">
        <v>25</v>
      </c>
      <c r="G4862">
        <v>-4</v>
      </c>
      <c r="H4862" t="s">
        <v>16</v>
      </c>
      <c r="I4862" t="s">
        <v>121</v>
      </c>
      <c r="J4862" t="s">
        <v>122</v>
      </c>
      <c r="K4862">
        <v>0</v>
      </c>
      <c r="L4862" s="84">
        <v>127</v>
      </c>
      <c r="M4862" s="84">
        <v>0</v>
      </c>
    </row>
    <row r="4863" spans="3:13" hidden="1" x14ac:dyDescent="0.25">
      <c r="C4863" t="s">
        <v>119</v>
      </c>
      <c r="D4863" t="s">
        <v>120</v>
      </c>
      <c r="E4863" t="s">
        <v>63</v>
      </c>
      <c r="F4863" t="s">
        <v>123</v>
      </c>
      <c r="G4863">
        <v>2</v>
      </c>
      <c r="H4863" t="s">
        <v>72</v>
      </c>
      <c r="I4863" t="s">
        <v>121</v>
      </c>
      <c r="J4863" t="s">
        <v>122</v>
      </c>
      <c r="K4863">
        <v>0</v>
      </c>
      <c r="L4863" s="84">
        <v>4292161</v>
      </c>
      <c r="M4863" s="84">
        <v>8584322</v>
      </c>
    </row>
    <row r="4864" spans="3:13" x14ac:dyDescent="0.25">
      <c r="C4864" t="s">
        <v>119</v>
      </c>
      <c r="D4864" t="s">
        <v>120</v>
      </c>
      <c r="E4864" t="s">
        <v>63</v>
      </c>
      <c r="F4864" t="s">
        <v>25</v>
      </c>
      <c r="G4864">
        <v>2</v>
      </c>
      <c r="H4864" t="s">
        <v>17</v>
      </c>
      <c r="I4864" t="s">
        <v>121</v>
      </c>
      <c r="J4864" t="s">
        <v>66</v>
      </c>
      <c r="K4864">
        <v>1</v>
      </c>
      <c r="L4864" s="84">
        <v>247651</v>
      </c>
      <c r="M4864" s="84">
        <v>495302</v>
      </c>
    </row>
    <row r="4865" spans="3:13" hidden="1" x14ac:dyDescent="0.25">
      <c r="C4865" t="s">
        <v>65</v>
      </c>
      <c r="D4865" t="s">
        <v>120</v>
      </c>
      <c r="E4865" t="s">
        <v>60</v>
      </c>
      <c r="F4865" t="s">
        <v>124</v>
      </c>
      <c r="G4865">
        <v>-4</v>
      </c>
      <c r="H4865" t="s">
        <v>67</v>
      </c>
      <c r="I4865" t="s">
        <v>121</v>
      </c>
      <c r="J4865" t="s">
        <v>122</v>
      </c>
      <c r="K4865">
        <v>0</v>
      </c>
      <c r="L4865" s="84">
        <v>-1303764</v>
      </c>
      <c r="M4865" s="84">
        <v>0</v>
      </c>
    </row>
    <row r="4866" spans="3:13" hidden="1" x14ac:dyDescent="0.25">
      <c r="C4866" t="s">
        <v>64</v>
      </c>
      <c r="D4866" t="s">
        <v>120</v>
      </c>
      <c r="E4866" t="s">
        <v>60</v>
      </c>
      <c r="F4866" t="s">
        <v>24</v>
      </c>
      <c r="G4866">
        <v>6</v>
      </c>
      <c r="H4866" t="s">
        <v>17</v>
      </c>
      <c r="I4866" t="s">
        <v>121</v>
      </c>
      <c r="J4866" t="s">
        <v>122</v>
      </c>
      <c r="K4866">
        <v>0</v>
      </c>
      <c r="L4866" s="84">
        <v>-672</v>
      </c>
      <c r="M4866" s="84">
        <v>0</v>
      </c>
    </row>
    <row r="4867" spans="3:13" hidden="1" x14ac:dyDescent="0.25">
      <c r="C4867" t="s">
        <v>119</v>
      </c>
      <c r="D4867" t="s">
        <v>120</v>
      </c>
      <c r="E4867" t="s">
        <v>60</v>
      </c>
      <c r="F4867" t="s">
        <v>25</v>
      </c>
      <c r="G4867">
        <v>7</v>
      </c>
      <c r="H4867" t="s">
        <v>70</v>
      </c>
      <c r="I4867" t="s">
        <v>121</v>
      </c>
      <c r="J4867" t="s">
        <v>122</v>
      </c>
      <c r="K4867">
        <v>0</v>
      </c>
      <c r="L4867" s="84">
        <v>-5016</v>
      </c>
      <c r="M4867" s="84">
        <v>0</v>
      </c>
    </row>
    <row r="4868" spans="3:13" hidden="1" x14ac:dyDescent="0.25">
      <c r="C4868" t="s">
        <v>64</v>
      </c>
      <c r="D4868" t="s">
        <v>120</v>
      </c>
      <c r="E4868" t="s">
        <v>63</v>
      </c>
      <c r="F4868" t="s">
        <v>124</v>
      </c>
      <c r="G4868">
        <v>0</v>
      </c>
      <c r="H4868" t="s">
        <v>61</v>
      </c>
      <c r="I4868" t="s">
        <v>121</v>
      </c>
      <c r="J4868" t="s">
        <v>122</v>
      </c>
      <c r="K4868">
        <v>0</v>
      </c>
      <c r="L4868" s="84">
        <v>307877</v>
      </c>
      <c r="M4868" s="84">
        <v>0</v>
      </c>
    </row>
    <row r="4869" spans="3:13" hidden="1" x14ac:dyDescent="0.25">
      <c r="C4869" t="s">
        <v>119</v>
      </c>
      <c r="D4869" t="s">
        <v>120</v>
      </c>
      <c r="E4869" t="s">
        <v>60</v>
      </c>
      <c r="F4869" t="s">
        <v>24</v>
      </c>
      <c r="G4869">
        <v>4</v>
      </c>
      <c r="H4869" t="s">
        <v>61</v>
      </c>
      <c r="I4869" t="s">
        <v>121</v>
      </c>
      <c r="J4869" t="s">
        <v>122</v>
      </c>
      <c r="K4869">
        <v>0</v>
      </c>
      <c r="L4869" s="84">
        <v>-48</v>
      </c>
      <c r="M4869" s="84">
        <v>0</v>
      </c>
    </row>
    <row r="4870" spans="3:13" hidden="1" x14ac:dyDescent="0.25">
      <c r="C4870" t="s">
        <v>64</v>
      </c>
      <c r="D4870" t="s">
        <v>120</v>
      </c>
      <c r="E4870" t="s">
        <v>60</v>
      </c>
      <c r="F4870" t="s">
        <v>24</v>
      </c>
      <c r="G4870">
        <v>-1</v>
      </c>
      <c r="H4870" t="s">
        <v>70</v>
      </c>
      <c r="I4870" t="s">
        <v>121</v>
      </c>
      <c r="J4870" t="s">
        <v>122</v>
      </c>
      <c r="K4870">
        <v>0</v>
      </c>
      <c r="L4870" s="84">
        <v>-26208</v>
      </c>
      <c r="M4870" s="84">
        <v>0</v>
      </c>
    </row>
    <row r="4871" spans="3:13" hidden="1" x14ac:dyDescent="0.25">
      <c r="C4871" t="s">
        <v>119</v>
      </c>
      <c r="D4871" t="s">
        <v>120</v>
      </c>
      <c r="E4871" t="s">
        <v>63</v>
      </c>
      <c r="F4871" t="s">
        <v>124</v>
      </c>
      <c r="G4871">
        <v>5</v>
      </c>
      <c r="H4871" t="s">
        <v>17</v>
      </c>
      <c r="I4871" t="s">
        <v>121</v>
      </c>
      <c r="J4871" t="s">
        <v>66</v>
      </c>
      <c r="K4871">
        <v>1</v>
      </c>
      <c r="L4871" s="84">
        <v>2124203</v>
      </c>
      <c r="M4871" s="84">
        <v>10621015</v>
      </c>
    </row>
    <row r="4872" spans="3:13" hidden="1" x14ac:dyDescent="0.25">
      <c r="C4872" t="s">
        <v>119</v>
      </c>
      <c r="D4872" t="s">
        <v>120</v>
      </c>
      <c r="E4872" t="s">
        <v>63</v>
      </c>
      <c r="F4872" t="s">
        <v>123</v>
      </c>
      <c r="G4872">
        <v>-1</v>
      </c>
      <c r="H4872" t="s">
        <v>12</v>
      </c>
      <c r="I4872" t="s">
        <v>121</v>
      </c>
      <c r="J4872" t="s">
        <v>122</v>
      </c>
      <c r="K4872">
        <v>0</v>
      </c>
      <c r="L4872" s="84">
        <v>699733</v>
      </c>
      <c r="M4872" s="84">
        <v>0</v>
      </c>
    </row>
    <row r="4873" spans="3:13" hidden="1" x14ac:dyDescent="0.25">
      <c r="C4873" t="s">
        <v>64</v>
      </c>
      <c r="D4873" t="s">
        <v>120</v>
      </c>
      <c r="E4873" t="s">
        <v>63</v>
      </c>
      <c r="F4873" t="s">
        <v>123</v>
      </c>
      <c r="G4873">
        <v>3</v>
      </c>
      <c r="H4873" t="s">
        <v>18</v>
      </c>
      <c r="I4873" t="s">
        <v>121</v>
      </c>
      <c r="J4873" t="s">
        <v>122</v>
      </c>
      <c r="K4873">
        <v>0</v>
      </c>
      <c r="L4873" s="84">
        <v>1711884</v>
      </c>
      <c r="M4873" s="84">
        <v>5135652</v>
      </c>
    </row>
    <row r="4874" spans="3:13" hidden="1" x14ac:dyDescent="0.25">
      <c r="C4874" t="s">
        <v>64</v>
      </c>
      <c r="D4874" t="s">
        <v>120</v>
      </c>
      <c r="E4874" t="s">
        <v>63</v>
      </c>
      <c r="F4874" t="s">
        <v>24</v>
      </c>
      <c r="G4874">
        <v>6</v>
      </c>
      <c r="H4874" t="s">
        <v>12</v>
      </c>
      <c r="I4874" t="s">
        <v>121</v>
      </c>
      <c r="J4874" t="s">
        <v>66</v>
      </c>
      <c r="K4874">
        <v>1</v>
      </c>
      <c r="L4874" s="84">
        <v>45208</v>
      </c>
      <c r="M4874" s="84">
        <v>271248</v>
      </c>
    </row>
    <row r="4875" spans="3:13" hidden="1" x14ac:dyDescent="0.25">
      <c r="C4875" t="s">
        <v>65</v>
      </c>
      <c r="D4875" t="s">
        <v>126</v>
      </c>
      <c r="E4875" t="s">
        <v>63</v>
      </c>
      <c r="F4875" t="s">
        <v>24</v>
      </c>
      <c r="G4875">
        <v>9</v>
      </c>
      <c r="H4875" t="s">
        <v>18</v>
      </c>
      <c r="I4875" t="s">
        <v>121</v>
      </c>
      <c r="J4875" t="s">
        <v>122</v>
      </c>
      <c r="K4875">
        <v>0</v>
      </c>
      <c r="L4875" s="84">
        <v>978586</v>
      </c>
      <c r="M4875" s="84">
        <v>8807274</v>
      </c>
    </row>
    <row r="4876" spans="3:13" hidden="1" x14ac:dyDescent="0.25">
      <c r="C4876" t="s">
        <v>119</v>
      </c>
      <c r="D4876" t="s">
        <v>120</v>
      </c>
      <c r="E4876" t="s">
        <v>60</v>
      </c>
      <c r="F4876" t="s">
        <v>124</v>
      </c>
      <c r="G4876">
        <v>1</v>
      </c>
      <c r="H4876" t="s">
        <v>17</v>
      </c>
      <c r="I4876" t="s">
        <v>121</v>
      </c>
      <c r="J4876" t="s">
        <v>122</v>
      </c>
      <c r="K4876">
        <v>0</v>
      </c>
      <c r="L4876" s="84">
        <v>-73036</v>
      </c>
      <c r="M4876" s="84">
        <v>0</v>
      </c>
    </row>
    <row r="4877" spans="3:13" hidden="1" x14ac:dyDescent="0.25">
      <c r="C4877" t="s">
        <v>119</v>
      </c>
      <c r="D4877" t="s">
        <v>120</v>
      </c>
      <c r="E4877" t="s">
        <v>63</v>
      </c>
      <c r="F4877" t="s">
        <v>24</v>
      </c>
      <c r="G4877">
        <v>12</v>
      </c>
      <c r="H4877" t="s">
        <v>68</v>
      </c>
      <c r="I4877" t="s">
        <v>121</v>
      </c>
      <c r="J4877" t="s">
        <v>122</v>
      </c>
      <c r="K4877">
        <v>0</v>
      </c>
      <c r="L4877" s="84">
        <v>12992742</v>
      </c>
      <c r="M4877" s="84">
        <v>155912904</v>
      </c>
    </row>
    <row r="4878" spans="3:13" hidden="1" x14ac:dyDescent="0.25">
      <c r="C4878" t="s">
        <v>65</v>
      </c>
      <c r="D4878" t="s">
        <v>120</v>
      </c>
      <c r="E4878" t="s">
        <v>60</v>
      </c>
      <c r="F4878" t="s">
        <v>123</v>
      </c>
      <c r="G4878">
        <v>3</v>
      </c>
      <c r="H4878" t="s">
        <v>71</v>
      </c>
      <c r="I4878" t="s">
        <v>121</v>
      </c>
      <c r="J4878" t="s">
        <v>122</v>
      </c>
      <c r="K4878">
        <v>0</v>
      </c>
      <c r="L4878" s="84">
        <v>-12823</v>
      </c>
      <c r="M4878" s="84">
        <v>0</v>
      </c>
    </row>
    <row r="4879" spans="3:13" hidden="1" x14ac:dyDescent="0.25">
      <c r="C4879" t="s">
        <v>119</v>
      </c>
      <c r="D4879" t="s">
        <v>120</v>
      </c>
      <c r="E4879" t="s">
        <v>63</v>
      </c>
      <c r="F4879" t="s">
        <v>24</v>
      </c>
      <c r="G4879">
        <v>-1</v>
      </c>
      <c r="H4879" t="s">
        <v>18</v>
      </c>
      <c r="I4879" t="s">
        <v>121</v>
      </c>
      <c r="J4879" t="s">
        <v>122</v>
      </c>
      <c r="K4879">
        <v>0</v>
      </c>
      <c r="L4879" s="84">
        <v>676505</v>
      </c>
      <c r="M4879" s="84">
        <v>0</v>
      </c>
    </row>
    <row r="4880" spans="3:13" hidden="1" x14ac:dyDescent="0.25">
      <c r="C4880" t="s">
        <v>64</v>
      </c>
      <c r="D4880" t="s">
        <v>120</v>
      </c>
      <c r="E4880" t="s">
        <v>63</v>
      </c>
      <c r="F4880" t="s">
        <v>124</v>
      </c>
      <c r="G4880">
        <v>3</v>
      </c>
      <c r="H4880" t="s">
        <v>16</v>
      </c>
      <c r="I4880" t="s">
        <v>121</v>
      </c>
      <c r="J4880" t="s">
        <v>122</v>
      </c>
      <c r="K4880">
        <v>0</v>
      </c>
      <c r="L4880" s="84">
        <v>574750</v>
      </c>
      <c r="M4880" s="84">
        <v>1724250</v>
      </c>
    </row>
    <row r="4881" spans="3:13" hidden="1" x14ac:dyDescent="0.25">
      <c r="C4881" t="s">
        <v>65</v>
      </c>
      <c r="D4881" t="s">
        <v>120</v>
      </c>
      <c r="E4881" t="s">
        <v>60</v>
      </c>
      <c r="F4881" t="s">
        <v>123</v>
      </c>
      <c r="G4881">
        <v>2</v>
      </c>
      <c r="H4881" t="s">
        <v>75</v>
      </c>
      <c r="I4881" t="s">
        <v>121</v>
      </c>
      <c r="J4881" t="s">
        <v>122</v>
      </c>
      <c r="K4881">
        <v>0</v>
      </c>
      <c r="L4881" s="84">
        <v>-239489</v>
      </c>
      <c r="M4881" s="84">
        <v>0</v>
      </c>
    </row>
    <row r="4882" spans="3:13" hidden="1" x14ac:dyDescent="0.25">
      <c r="C4882" t="s">
        <v>64</v>
      </c>
      <c r="D4882" t="s">
        <v>120</v>
      </c>
      <c r="E4882" t="s">
        <v>63</v>
      </c>
      <c r="F4882" t="s">
        <v>25</v>
      </c>
      <c r="G4882">
        <v>-1</v>
      </c>
      <c r="H4882" t="s">
        <v>14</v>
      </c>
      <c r="I4882" t="s">
        <v>121</v>
      </c>
      <c r="J4882" t="s">
        <v>122</v>
      </c>
      <c r="K4882">
        <v>0</v>
      </c>
      <c r="L4882" s="84">
        <v>60775</v>
      </c>
      <c r="M4882" s="84">
        <v>0</v>
      </c>
    </row>
    <row r="4883" spans="3:13" hidden="1" x14ac:dyDescent="0.25">
      <c r="C4883" t="s">
        <v>65</v>
      </c>
      <c r="D4883" t="s">
        <v>120</v>
      </c>
      <c r="E4883" t="s">
        <v>63</v>
      </c>
      <c r="F4883" t="s">
        <v>124</v>
      </c>
      <c r="G4883">
        <v>-4</v>
      </c>
      <c r="H4883" t="s">
        <v>71</v>
      </c>
      <c r="I4883" t="s">
        <v>121</v>
      </c>
      <c r="J4883" t="s">
        <v>122</v>
      </c>
      <c r="K4883">
        <v>0</v>
      </c>
      <c r="L4883" s="84">
        <v>65985</v>
      </c>
      <c r="M4883" s="84">
        <v>0</v>
      </c>
    </row>
    <row r="4884" spans="3:13" hidden="1" x14ac:dyDescent="0.25">
      <c r="C4884" t="s">
        <v>119</v>
      </c>
      <c r="D4884" t="s">
        <v>120</v>
      </c>
      <c r="E4884" t="s">
        <v>60</v>
      </c>
      <c r="F4884" t="s">
        <v>123</v>
      </c>
      <c r="G4884">
        <v>1</v>
      </c>
      <c r="H4884" t="s">
        <v>15</v>
      </c>
      <c r="I4884" t="s">
        <v>121</v>
      </c>
      <c r="J4884" t="s">
        <v>122</v>
      </c>
      <c r="K4884">
        <v>0</v>
      </c>
      <c r="L4884" s="84">
        <v>-8</v>
      </c>
      <c r="M4884" s="84">
        <v>0</v>
      </c>
    </row>
    <row r="4885" spans="3:13" hidden="1" x14ac:dyDescent="0.25">
      <c r="C4885" t="s">
        <v>119</v>
      </c>
      <c r="D4885" t="s">
        <v>120</v>
      </c>
      <c r="E4885" t="s">
        <v>60</v>
      </c>
      <c r="F4885" t="s">
        <v>123</v>
      </c>
      <c r="G4885">
        <v>7</v>
      </c>
      <c r="H4885" t="s">
        <v>17</v>
      </c>
      <c r="I4885" t="s">
        <v>121</v>
      </c>
      <c r="J4885" t="s">
        <v>66</v>
      </c>
      <c r="K4885">
        <v>1</v>
      </c>
      <c r="L4885" s="84">
        <v>-308</v>
      </c>
      <c r="M4885" s="84">
        <v>0</v>
      </c>
    </row>
    <row r="4886" spans="3:13" hidden="1" x14ac:dyDescent="0.25">
      <c r="C4886" t="s">
        <v>119</v>
      </c>
      <c r="D4886" t="s">
        <v>125</v>
      </c>
      <c r="E4886" t="s">
        <v>60</v>
      </c>
      <c r="F4886" t="s">
        <v>24</v>
      </c>
      <c r="G4886">
        <v>48</v>
      </c>
      <c r="I4886" t="s">
        <v>121</v>
      </c>
      <c r="J4886" t="s">
        <v>122</v>
      </c>
      <c r="K4886">
        <v>0</v>
      </c>
      <c r="L4886" s="84">
        <v>-165</v>
      </c>
      <c r="M4886" s="84">
        <v>0</v>
      </c>
    </row>
    <row r="4887" spans="3:13" hidden="1" x14ac:dyDescent="0.25">
      <c r="C4887" t="s">
        <v>64</v>
      </c>
      <c r="D4887" t="s">
        <v>120</v>
      </c>
      <c r="E4887" t="s">
        <v>63</v>
      </c>
      <c r="F4887" t="s">
        <v>123</v>
      </c>
      <c r="G4887">
        <v>2</v>
      </c>
      <c r="H4887" t="s">
        <v>17</v>
      </c>
      <c r="I4887" t="s">
        <v>121</v>
      </c>
      <c r="J4887" t="s">
        <v>66</v>
      </c>
      <c r="K4887">
        <v>1</v>
      </c>
      <c r="L4887" s="84">
        <v>92046</v>
      </c>
      <c r="M4887" s="84">
        <v>184092</v>
      </c>
    </row>
    <row r="4888" spans="3:13" hidden="1" x14ac:dyDescent="0.25">
      <c r="C4888" t="s">
        <v>119</v>
      </c>
      <c r="D4888" t="s">
        <v>125</v>
      </c>
      <c r="E4888" t="s">
        <v>63</v>
      </c>
      <c r="F4888" t="s">
        <v>25</v>
      </c>
      <c r="G4888">
        <v>21</v>
      </c>
      <c r="I4888" t="s">
        <v>121</v>
      </c>
      <c r="J4888" t="s">
        <v>122</v>
      </c>
      <c r="K4888">
        <v>0</v>
      </c>
      <c r="L4888" s="84">
        <v>300208</v>
      </c>
      <c r="M4888" s="84">
        <v>6304368</v>
      </c>
    </row>
    <row r="4889" spans="3:13" hidden="1" x14ac:dyDescent="0.25">
      <c r="C4889" t="s">
        <v>64</v>
      </c>
      <c r="D4889" t="s">
        <v>120</v>
      </c>
      <c r="E4889" t="s">
        <v>63</v>
      </c>
      <c r="F4889" t="s">
        <v>123</v>
      </c>
      <c r="G4889">
        <v>1</v>
      </c>
      <c r="H4889" t="s">
        <v>68</v>
      </c>
      <c r="I4889" t="s">
        <v>121</v>
      </c>
      <c r="J4889" t="s">
        <v>122</v>
      </c>
      <c r="K4889">
        <v>0</v>
      </c>
      <c r="L4889" s="84">
        <v>74322</v>
      </c>
      <c r="M4889" s="84">
        <v>74322</v>
      </c>
    </row>
    <row r="4890" spans="3:13" hidden="1" x14ac:dyDescent="0.25">
      <c r="C4890" t="s">
        <v>119</v>
      </c>
      <c r="D4890" t="s">
        <v>120</v>
      </c>
      <c r="E4890" t="s">
        <v>63</v>
      </c>
      <c r="F4890" t="s">
        <v>123</v>
      </c>
      <c r="G4890">
        <v>6</v>
      </c>
      <c r="H4890" t="s">
        <v>14</v>
      </c>
      <c r="I4890" t="s">
        <v>121</v>
      </c>
      <c r="J4890" t="s">
        <v>66</v>
      </c>
      <c r="K4890">
        <v>1</v>
      </c>
      <c r="L4890" s="84">
        <v>1002579</v>
      </c>
      <c r="M4890" s="84">
        <v>6015474</v>
      </c>
    </row>
    <row r="4891" spans="3:13" hidden="1" x14ac:dyDescent="0.25">
      <c r="C4891" t="s">
        <v>119</v>
      </c>
      <c r="D4891" t="s">
        <v>120</v>
      </c>
      <c r="E4891" t="s">
        <v>60</v>
      </c>
      <c r="F4891" t="s">
        <v>124</v>
      </c>
      <c r="G4891">
        <v>0</v>
      </c>
      <c r="H4891" t="s">
        <v>67</v>
      </c>
      <c r="I4891" t="s">
        <v>121</v>
      </c>
      <c r="J4891" t="s">
        <v>122</v>
      </c>
      <c r="K4891">
        <v>0</v>
      </c>
      <c r="L4891" s="84">
        <v>-444587</v>
      </c>
      <c r="M4891" s="84">
        <v>0</v>
      </c>
    </row>
    <row r="4892" spans="3:13" hidden="1" x14ac:dyDescent="0.25">
      <c r="C4892" t="s">
        <v>119</v>
      </c>
      <c r="D4892" t="s">
        <v>120</v>
      </c>
      <c r="E4892" t="s">
        <v>60</v>
      </c>
      <c r="F4892" t="s">
        <v>25</v>
      </c>
      <c r="G4892">
        <v>14</v>
      </c>
      <c r="H4892" t="s">
        <v>14</v>
      </c>
      <c r="I4892" t="s">
        <v>121</v>
      </c>
      <c r="J4892" t="s">
        <v>66</v>
      </c>
      <c r="K4892">
        <v>1</v>
      </c>
      <c r="L4892" s="84">
        <v>-8061</v>
      </c>
      <c r="M4892" s="84">
        <v>0</v>
      </c>
    </row>
    <row r="4893" spans="3:13" hidden="1" x14ac:dyDescent="0.25">
      <c r="C4893" t="s">
        <v>119</v>
      </c>
      <c r="D4893" t="s">
        <v>120</v>
      </c>
      <c r="E4893" t="s">
        <v>60</v>
      </c>
      <c r="F4893" t="s">
        <v>25</v>
      </c>
      <c r="G4893">
        <v>10</v>
      </c>
      <c r="H4893" t="s">
        <v>14</v>
      </c>
      <c r="I4893" t="s">
        <v>121</v>
      </c>
      <c r="J4893" t="s">
        <v>122</v>
      </c>
      <c r="K4893">
        <v>0</v>
      </c>
      <c r="L4893" s="84">
        <v>-4797</v>
      </c>
      <c r="M4893" s="84">
        <v>0</v>
      </c>
    </row>
    <row r="4894" spans="3:13" hidden="1" x14ac:dyDescent="0.25">
      <c r="C4894" t="s">
        <v>119</v>
      </c>
      <c r="D4894" t="s">
        <v>120</v>
      </c>
      <c r="E4894" t="s">
        <v>63</v>
      </c>
      <c r="F4894" t="s">
        <v>24</v>
      </c>
      <c r="G4894">
        <v>4</v>
      </c>
      <c r="H4894" t="s">
        <v>67</v>
      </c>
      <c r="I4894" t="s">
        <v>121</v>
      </c>
      <c r="J4894" t="s">
        <v>122</v>
      </c>
      <c r="K4894">
        <v>0</v>
      </c>
      <c r="L4894" s="84">
        <v>514194</v>
      </c>
      <c r="M4894" s="84">
        <v>2056776</v>
      </c>
    </row>
    <row r="4895" spans="3:13" hidden="1" x14ac:dyDescent="0.25">
      <c r="C4895" t="s">
        <v>64</v>
      </c>
      <c r="D4895" t="s">
        <v>120</v>
      </c>
      <c r="E4895" t="s">
        <v>60</v>
      </c>
      <c r="F4895" t="s">
        <v>123</v>
      </c>
      <c r="G4895">
        <v>-1</v>
      </c>
      <c r="H4895" t="s">
        <v>68</v>
      </c>
      <c r="I4895" t="s">
        <v>121</v>
      </c>
      <c r="J4895" t="s">
        <v>122</v>
      </c>
      <c r="K4895">
        <v>0</v>
      </c>
      <c r="L4895" s="84">
        <v>-31095</v>
      </c>
      <c r="M4895" s="84">
        <v>0</v>
      </c>
    </row>
    <row r="4896" spans="3:13" hidden="1" x14ac:dyDescent="0.25">
      <c r="C4896" t="s">
        <v>64</v>
      </c>
      <c r="D4896" t="s">
        <v>120</v>
      </c>
      <c r="E4896" t="s">
        <v>60</v>
      </c>
      <c r="F4896" t="s">
        <v>25</v>
      </c>
      <c r="G4896">
        <v>9</v>
      </c>
      <c r="H4896" t="s">
        <v>61</v>
      </c>
      <c r="I4896" t="s">
        <v>121</v>
      </c>
      <c r="J4896" t="s">
        <v>122</v>
      </c>
      <c r="K4896">
        <v>0</v>
      </c>
      <c r="L4896" s="84">
        <v>-1978</v>
      </c>
      <c r="M4896" s="84">
        <v>0</v>
      </c>
    </row>
    <row r="4897" spans="3:13" hidden="1" x14ac:dyDescent="0.25">
      <c r="C4897" t="s">
        <v>119</v>
      </c>
      <c r="D4897" t="s">
        <v>120</v>
      </c>
      <c r="E4897" t="s">
        <v>63</v>
      </c>
      <c r="F4897" t="s">
        <v>25</v>
      </c>
      <c r="G4897">
        <v>0</v>
      </c>
      <c r="H4897" t="s">
        <v>72</v>
      </c>
      <c r="I4897" t="s">
        <v>121</v>
      </c>
      <c r="J4897" t="s">
        <v>122</v>
      </c>
      <c r="K4897">
        <v>0</v>
      </c>
      <c r="L4897" s="84">
        <v>201038</v>
      </c>
      <c r="M4897" s="84">
        <v>0</v>
      </c>
    </row>
    <row r="4898" spans="3:13" hidden="1" x14ac:dyDescent="0.25">
      <c r="C4898" t="s">
        <v>119</v>
      </c>
      <c r="D4898" t="s">
        <v>120</v>
      </c>
      <c r="E4898" t="s">
        <v>60</v>
      </c>
      <c r="F4898" t="s">
        <v>25</v>
      </c>
      <c r="G4898">
        <v>14</v>
      </c>
      <c r="H4898" t="s">
        <v>71</v>
      </c>
      <c r="I4898" t="s">
        <v>121</v>
      </c>
      <c r="J4898" t="s">
        <v>122</v>
      </c>
      <c r="K4898">
        <v>0</v>
      </c>
      <c r="L4898" s="84">
        <v>-1702</v>
      </c>
      <c r="M4898" s="84">
        <v>0</v>
      </c>
    </row>
    <row r="4899" spans="3:13" x14ac:dyDescent="0.25">
      <c r="C4899" t="s">
        <v>119</v>
      </c>
      <c r="D4899" t="s">
        <v>120</v>
      </c>
      <c r="E4899" t="s">
        <v>63</v>
      </c>
      <c r="F4899" t="s">
        <v>25</v>
      </c>
      <c r="G4899">
        <v>14</v>
      </c>
      <c r="H4899" t="s">
        <v>12</v>
      </c>
      <c r="I4899" t="s">
        <v>121</v>
      </c>
      <c r="J4899" t="s">
        <v>66</v>
      </c>
      <c r="K4899">
        <v>1</v>
      </c>
      <c r="L4899" s="84">
        <v>18303610</v>
      </c>
      <c r="M4899" s="84">
        <v>256250540</v>
      </c>
    </row>
    <row r="4900" spans="3:13" hidden="1" x14ac:dyDescent="0.25">
      <c r="C4900" t="s">
        <v>65</v>
      </c>
      <c r="D4900" t="s">
        <v>120</v>
      </c>
      <c r="E4900" t="s">
        <v>60</v>
      </c>
      <c r="F4900" t="s">
        <v>123</v>
      </c>
      <c r="G4900">
        <v>4</v>
      </c>
      <c r="H4900" t="s">
        <v>61</v>
      </c>
      <c r="I4900" t="s">
        <v>121</v>
      </c>
      <c r="J4900" t="s">
        <v>122</v>
      </c>
      <c r="K4900">
        <v>0</v>
      </c>
      <c r="L4900" s="84">
        <v>-12046</v>
      </c>
      <c r="M4900" s="84">
        <v>0</v>
      </c>
    </row>
    <row r="4901" spans="3:13" hidden="1" x14ac:dyDescent="0.25">
      <c r="C4901" t="s">
        <v>119</v>
      </c>
      <c r="D4901" t="s">
        <v>120</v>
      </c>
      <c r="E4901" t="s">
        <v>60</v>
      </c>
      <c r="F4901" t="s">
        <v>124</v>
      </c>
      <c r="G4901">
        <v>1</v>
      </c>
      <c r="H4901" t="s">
        <v>75</v>
      </c>
      <c r="I4901" t="s">
        <v>121</v>
      </c>
      <c r="J4901" t="s">
        <v>122</v>
      </c>
      <c r="K4901">
        <v>0</v>
      </c>
      <c r="L4901" s="84">
        <v>-190177</v>
      </c>
      <c r="M4901" s="84">
        <v>0</v>
      </c>
    </row>
    <row r="4902" spans="3:13" hidden="1" x14ac:dyDescent="0.25">
      <c r="C4902" t="s">
        <v>119</v>
      </c>
      <c r="D4902" t="s">
        <v>120</v>
      </c>
      <c r="E4902" t="s">
        <v>60</v>
      </c>
      <c r="F4902" t="s">
        <v>123</v>
      </c>
      <c r="G4902">
        <v>-1</v>
      </c>
      <c r="H4902" t="s">
        <v>13</v>
      </c>
      <c r="I4902" t="s">
        <v>121</v>
      </c>
      <c r="J4902" t="s">
        <v>122</v>
      </c>
      <c r="K4902">
        <v>0</v>
      </c>
      <c r="L4902" s="84">
        <v>-28</v>
      </c>
      <c r="M4902" s="84">
        <v>0</v>
      </c>
    </row>
    <row r="4903" spans="3:13" hidden="1" x14ac:dyDescent="0.25">
      <c r="C4903" t="s">
        <v>64</v>
      </c>
      <c r="D4903" t="s">
        <v>120</v>
      </c>
      <c r="E4903" t="s">
        <v>63</v>
      </c>
      <c r="F4903" t="s">
        <v>124</v>
      </c>
      <c r="G4903">
        <v>3</v>
      </c>
      <c r="H4903" t="s">
        <v>74</v>
      </c>
      <c r="I4903" t="s">
        <v>121</v>
      </c>
      <c r="J4903" t="s">
        <v>122</v>
      </c>
      <c r="K4903">
        <v>0</v>
      </c>
      <c r="L4903" s="84">
        <v>19730</v>
      </c>
      <c r="M4903" s="84">
        <v>59190</v>
      </c>
    </row>
    <row r="4904" spans="3:13" hidden="1" x14ac:dyDescent="0.25">
      <c r="C4904" t="s">
        <v>64</v>
      </c>
      <c r="D4904" t="s">
        <v>120</v>
      </c>
      <c r="E4904" t="s">
        <v>60</v>
      </c>
      <c r="F4904" t="s">
        <v>123</v>
      </c>
      <c r="G4904">
        <v>1</v>
      </c>
      <c r="H4904" t="s">
        <v>12</v>
      </c>
      <c r="I4904" t="s">
        <v>62</v>
      </c>
      <c r="J4904" t="s">
        <v>66</v>
      </c>
      <c r="K4904">
        <v>1</v>
      </c>
      <c r="L4904" s="84">
        <v>-1580</v>
      </c>
      <c r="M4904" s="84">
        <v>0</v>
      </c>
    </row>
    <row r="4905" spans="3:13" hidden="1" x14ac:dyDescent="0.25">
      <c r="C4905" t="s">
        <v>119</v>
      </c>
      <c r="D4905" t="s">
        <v>120</v>
      </c>
      <c r="E4905" t="s">
        <v>63</v>
      </c>
      <c r="F4905" t="s">
        <v>24</v>
      </c>
      <c r="G4905">
        <v>-1</v>
      </c>
      <c r="H4905" t="s">
        <v>69</v>
      </c>
      <c r="I4905" t="s">
        <v>121</v>
      </c>
      <c r="J4905" t="s">
        <v>122</v>
      </c>
      <c r="K4905">
        <v>0</v>
      </c>
      <c r="L4905" s="84">
        <v>106826</v>
      </c>
      <c r="M4905" s="84">
        <v>0</v>
      </c>
    </row>
    <row r="4906" spans="3:13" hidden="1" x14ac:dyDescent="0.25">
      <c r="C4906" t="s">
        <v>65</v>
      </c>
      <c r="D4906" t="s">
        <v>120</v>
      </c>
      <c r="E4906" t="s">
        <v>60</v>
      </c>
      <c r="F4906" t="s">
        <v>24</v>
      </c>
      <c r="G4906">
        <v>-1</v>
      </c>
      <c r="H4906" t="s">
        <v>61</v>
      </c>
      <c r="I4906" t="s">
        <v>121</v>
      </c>
      <c r="J4906" t="s">
        <v>122</v>
      </c>
      <c r="K4906">
        <v>0</v>
      </c>
      <c r="L4906" s="84">
        <v>-18557</v>
      </c>
      <c r="M4906" s="84">
        <v>0</v>
      </c>
    </row>
    <row r="4907" spans="3:13" hidden="1" x14ac:dyDescent="0.25">
      <c r="C4907" t="s">
        <v>65</v>
      </c>
      <c r="D4907" t="s">
        <v>120</v>
      </c>
      <c r="E4907" t="s">
        <v>60</v>
      </c>
      <c r="F4907" t="s">
        <v>123</v>
      </c>
      <c r="G4907">
        <v>2</v>
      </c>
      <c r="H4907" t="s">
        <v>17</v>
      </c>
      <c r="I4907" t="s">
        <v>121</v>
      </c>
      <c r="J4907" t="s">
        <v>122</v>
      </c>
      <c r="K4907">
        <v>0</v>
      </c>
      <c r="L4907" s="84">
        <v>-205031</v>
      </c>
      <c r="M4907" s="84">
        <v>0</v>
      </c>
    </row>
    <row r="4908" spans="3:13" hidden="1" x14ac:dyDescent="0.25">
      <c r="C4908" t="s">
        <v>65</v>
      </c>
      <c r="D4908" t="s">
        <v>120</v>
      </c>
      <c r="E4908" t="s">
        <v>60</v>
      </c>
      <c r="F4908" t="s">
        <v>124</v>
      </c>
      <c r="G4908">
        <v>13</v>
      </c>
      <c r="H4908" t="s">
        <v>14</v>
      </c>
      <c r="I4908" t="s">
        <v>121</v>
      </c>
      <c r="J4908" t="s">
        <v>66</v>
      </c>
      <c r="K4908">
        <v>1</v>
      </c>
      <c r="L4908" s="84">
        <v>-1220857</v>
      </c>
      <c r="M4908" s="84">
        <v>0</v>
      </c>
    </row>
    <row r="4909" spans="3:13" hidden="1" x14ac:dyDescent="0.25">
      <c r="C4909" t="s">
        <v>119</v>
      </c>
      <c r="D4909" t="s">
        <v>120</v>
      </c>
      <c r="E4909" t="s">
        <v>60</v>
      </c>
      <c r="F4909" t="s">
        <v>25</v>
      </c>
      <c r="G4909">
        <v>3</v>
      </c>
      <c r="H4909" t="s">
        <v>68</v>
      </c>
      <c r="I4909" t="s">
        <v>121</v>
      </c>
      <c r="J4909" t="s">
        <v>122</v>
      </c>
      <c r="K4909">
        <v>0</v>
      </c>
      <c r="L4909" s="84">
        <v>-27286</v>
      </c>
      <c r="M4909" s="84">
        <v>0</v>
      </c>
    </row>
    <row r="4910" spans="3:13" hidden="1" x14ac:dyDescent="0.25">
      <c r="C4910" t="s">
        <v>64</v>
      </c>
      <c r="D4910" t="s">
        <v>120</v>
      </c>
      <c r="E4910" t="s">
        <v>63</v>
      </c>
      <c r="F4910" t="s">
        <v>123</v>
      </c>
      <c r="G4910">
        <v>0</v>
      </c>
      <c r="H4910" t="s">
        <v>75</v>
      </c>
      <c r="I4910" t="s">
        <v>121</v>
      </c>
      <c r="J4910" t="s">
        <v>122</v>
      </c>
      <c r="K4910">
        <v>0</v>
      </c>
      <c r="L4910" s="84">
        <v>297719</v>
      </c>
      <c r="M4910" s="84">
        <v>0</v>
      </c>
    </row>
    <row r="4911" spans="3:13" hidden="1" x14ac:dyDescent="0.25">
      <c r="C4911" t="s">
        <v>65</v>
      </c>
      <c r="D4911" t="s">
        <v>120</v>
      </c>
      <c r="E4911" t="s">
        <v>63</v>
      </c>
      <c r="F4911" t="s">
        <v>123</v>
      </c>
      <c r="G4911">
        <v>-4</v>
      </c>
      <c r="H4911" t="s">
        <v>14</v>
      </c>
      <c r="I4911" t="s">
        <v>121</v>
      </c>
      <c r="J4911" t="s">
        <v>66</v>
      </c>
      <c r="K4911">
        <v>1</v>
      </c>
      <c r="L4911" s="84">
        <v>356776</v>
      </c>
      <c r="M4911" s="84">
        <v>0</v>
      </c>
    </row>
    <row r="4912" spans="3:13" hidden="1" x14ac:dyDescent="0.25">
      <c r="C4912" t="s">
        <v>64</v>
      </c>
      <c r="D4912" t="s">
        <v>120</v>
      </c>
      <c r="E4912" t="s">
        <v>63</v>
      </c>
      <c r="F4912" t="s">
        <v>123</v>
      </c>
      <c r="G4912">
        <v>3</v>
      </c>
      <c r="H4912" t="s">
        <v>69</v>
      </c>
      <c r="I4912" t="s">
        <v>121</v>
      </c>
      <c r="J4912" t="s">
        <v>122</v>
      </c>
      <c r="K4912">
        <v>0</v>
      </c>
      <c r="L4912" s="84">
        <v>547716</v>
      </c>
      <c r="M4912" s="84">
        <v>1643148</v>
      </c>
    </row>
    <row r="4913" spans="3:13" hidden="1" x14ac:dyDescent="0.25">
      <c r="C4913" t="s">
        <v>119</v>
      </c>
      <c r="D4913" t="s">
        <v>120</v>
      </c>
      <c r="E4913" t="s">
        <v>63</v>
      </c>
      <c r="F4913" t="s">
        <v>25</v>
      </c>
      <c r="G4913">
        <v>12</v>
      </c>
      <c r="H4913" t="s">
        <v>72</v>
      </c>
      <c r="I4913" t="s">
        <v>121</v>
      </c>
      <c r="J4913" t="s">
        <v>122</v>
      </c>
      <c r="K4913">
        <v>0</v>
      </c>
      <c r="L4913" s="84">
        <v>8924053</v>
      </c>
      <c r="M4913" s="84">
        <v>107088636</v>
      </c>
    </row>
    <row r="4914" spans="3:13" hidden="1" x14ac:dyDescent="0.25">
      <c r="C4914" t="s">
        <v>65</v>
      </c>
      <c r="D4914" t="s">
        <v>120</v>
      </c>
      <c r="E4914" t="s">
        <v>60</v>
      </c>
      <c r="F4914" t="s">
        <v>124</v>
      </c>
      <c r="G4914">
        <v>-4</v>
      </c>
      <c r="H4914" t="s">
        <v>14</v>
      </c>
      <c r="I4914" t="s">
        <v>121</v>
      </c>
      <c r="J4914" t="s">
        <v>122</v>
      </c>
      <c r="K4914">
        <v>0</v>
      </c>
      <c r="L4914" s="84">
        <v>-9146194</v>
      </c>
      <c r="M4914" s="84">
        <v>0</v>
      </c>
    </row>
    <row r="4915" spans="3:13" hidden="1" x14ac:dyDescent="0.25">
      <c r="C4915" t="s">
        <v>119</v>
      </c>
      <c r="D4915" t="s">
        <v>120</v>
      </c>
      <c r="E4915" t="s">
        <v>60</v>
      </c>
      <c r="F4915" t="s">
        <v>24</v>
      </c>
      <c r="G4915">
        <v>5</v>
      </c>
      <c r="H4915" t="s">
        <v>75</v>
      </c>
      <c r="I4915" t="s">
        <v>121</v>
      </c>
      <c r="J4915" t="s">
        <v>122</v>
      </c>
      <c r="K4915">
        <v>0</v>
      </c>
      <c r="L4915" s="84">
        <v>-1268</v>
      </c>
      <c r="M4915" s="84">
        <v>0</v>
      </c>
    </row>
    <row r="4916" spans="3:13" hidden="1" x14ac:dyDescent="0.25">
      <c r="C4916" t="s">
        <v>119</v>
      </c>
      <c r="D4916" t="s">
        <v>120</v>
      </c>
      <c r="E4916" t="s">
        <v>63</v>
      </c>
      <c r="F4916" t="s">
        <v>25</v>
      </c>
      <c r="G4916">
        <v>2</v>
      </c>
      <c r="H4916" t="s">
        <v>75</v>
      </c>
      <c r="I4916" t="s">
        <v>121</v>
      </c>
      <c r="J4916" t="s">
        <v>122</v>
      </c>
      <c r="K4916">
        <v>0</v>
      </c>
      <c r="L4916" s="84">
        <v>191730</v>
      </c>
      <c r="M4916" s="84">
        <v>383460</v>
      </c>
    </row>
    <row r="4917" spans="3:13" hidden="1" x14ac:dyDescent="0.25">
      <c r="C4917" t="s">
        <v>119</v>
      </c>
      <c r="D4917" t="s">
        <v>120</v>
      </c>
      <c r="E4917" t="s">
        <v>63</v>
      </c>
      <c r="F4917" t="s">
        <v>24</v>
      </c>
      <c r="G4917">
        <v>4</v>
      </c>
      <c r="H4917" t="s">
        <v>14</v>
      </c>
      <c r="I4917" t="s">
        <v>121</v>
      </c>
      <c r="J4917" t="s">
        <v>66</v>
      </c>
      <c r="K4917">
        <v>1</v>
      </c>
      <c r="L4917" s="84">
        <v>359511</v>
      </c>
      <c r="M4917" s="84">
        <v>1438044</v>
      </c>
    </row>
    <row r="4918" spans="3:13" hidden="1" x14ac:dyDescent="0.25">
      <c r="C4918" t="s">
        <v>65</v>
      </c>
      <c r="D4918" t="s">
        <v>120</v>
      </c>
      <c r="E4918" t="s">
        <v>60</v>
      </c>
      <c r="F4918" t="s">
        <v>123</v>
      </c>
      <c r="G4918">
        <v>-4</v>
      </c>
      <c r="H4918" t="s">
        <v>75</v>
      </c>
      <c r="I4918" t="s">
        <v>121</v>
      </c>
      <c r="J4918" t="s">
        <v>122</v>
      </c>
      <c r="K4918">
        <v>0</v>
      </c>
      <c r="L4918" s="84">
        <v>-1168852</v>
      </c>
      <c r="M4918" s="84">
        <v>0</v>
      </c>
    </row>
    <row r="4919" spans="3:13" hidden="1" x14ac:dyDescent="0.25">
      <c r="C4919" t="s">
        <v>64</v>
      </c>
      <c r="D4919" t="s">
        <v>126</v>
      </c>
      <c r="E4919" t="s">
        <v>63</v>
      </c>
      <c r="F4919" t="s">
        <v>25</v>
      </c>
      <c r="G4919">
        <v>0</v>
      </c>
      <c r="H4919" t="s">
        <v>74</v>
      </c>
      <c r="I4919" t="s">
        <v>121</v>
      </c>
      <c r="J4919" t="s">
        <v>122</v>
      </c>
      <c r="K4919">
        <v>0</v>
      </c>
      <c r="L4919" s="84">
        <v>3893</v>
      </c>
      <c r="M4919" s="84">
        <v>0</v>
      </c>
    </row>
    <row r="4920" spans="3:13" hidden="1" x14ac:dyDescent="0.25">
      <c r="C4920" t="s">
        <v>65</v>
      </c>
      <c r="D4920" t="s">
        <v>120</v>
      </c>
      <c r="E4920" t="s">
        <v>63</v>
      </c>
      <c r="F4920" t="s">
        <v>25</v>
      </c>
      <c r="G4920">
        <v>-4</v>
      </c>
      <c r="H4920" t="s">
        <v>74</v>
      </c>
      <c r="I4920" t="s">
        <v>121</v>
      </c>
      <c r="J4920" t="s">
        <v>122</v>
      </c>
      <c r="K4920">
        <v>0</v>
      </c>
      <c r="L4920" s="84">
        <v>430</v>
      </c>
      <c r="M4920" s="84">
        <v>0</v>
      </c>
    </row>
    <row r="4921" spans="3:13" hidden="1" x14ac:dyDescent="0.25">
      <c r="C4921" t="s">
        <v>119</v>
      </c>
      <c r="D4921" t="s">
        <v>120</v>
      </c>
      <c r="E4921" t="s">
        <v>63</v>
      </c>
      <c r="F4921" t="s">
        <v>25</v>
      </c>
      <c r="G4921">
        <v>5</v>
      </c>
      <c r="H4921" t="s">
        <v>68</v>
      </c>
      <c r="I4921" t="s">
        <v>121</v>
      </c>
      <c r="J4921" t="s">
        <v>122</v>
      </c>
      <c r="K4921">
        <v>0</v>
      </c>
      <c r="L4921" s="84">
        <v>43990441</v>
      </c>
      <c r="M4921" s="84">
        <v>219952205</v>
      </c>
    </row>
    <row r="4922" spans="3:13" hidden="1" x14ac:dyDescent="0.25">
      <c r="C4922" t="s">
        <v>65</v>
      </c>
      <c r="D4922" t="s">
        <v>120</v>
      </c>
      <c r="E4922" t="s">
        <v>63</v>
      </c>
      <c r="F4922" t="s">
        <v>124</v>
      </c>
      <c r="G4922">
        <v>1</v>
      </c>
      <c r="H4922" t="s">
        <v>17</v>
      </c>
      <c r="I4922" t="s">
        <v>62</v>
      </c>
      <c r="J4922" t="s">
        <v>66</v>
      </c>
      <c r="K4922">
        <v>1</v>
      </c>
      <c r="L4922" s="84">
        <v>15443</v>
      </c>
      <c r="M4922" s="84">
        <v>15443</v>
      </c>
    </row>
    <row r="4923" spans="3:13" hidden="1" x14ac:dyDescent="0.25">
      <c r="C4923" t="s">
        <v>64</v>
      </c>
      <c r="D4923" t="s">
        <v>120</v>
      </c>
      <c r="E4923" t="s">
        <v>63</v>
      </c>
      <c r="F4923" t="s">
        <v>123</v>
      </c>
      <c r="G4923">
        <v>6</v>
      </c>
      <c r="H4923" t="s">
        <v>17</v>
      </c>
      <c r="I4923" t="s">
        <v>62</v>
      </c>
      <c r="J4923" t="s">
        <v>66</v>
      </c>
      <c r="K4923">
        <v>1</v>
      </c>
      <c r="L4923" s="84">
        <v>20682</v>
      </c>
      <c r="M4923" s="84">
        <v>124092</v>
      </c>
    </row>
    <row r="4924" spans="3:13" hidden="1" x14ac:dyDescent="0.25">
      <c r="C4924" t="s">
        <v>64</v>
      </c>
      <c r="D4924" t="s">
        <v>120</v>
      </c>
      <c r="E4924" t="s">
        <v>60</v>
      </c>
      <c r="F4924" t="s">
        <v>24</v>
      </c>
      <c r="G4924">
        <v>2</v>
      </c>
      <c r="H4924" t="s">
        <v>17</v>
      </c>
      <c r="I4924" t="s">
        <v>121</v>
      </c>
      <c r="J4924" t="s">
        <v>66</v>
      </c>
      <c r="K4924">
        <v>1</v>
      </c>
      <c r="L4924" s="84">
        <v>-520</v>
      </c>
      <c r="M4924" s="84">
        <v>0</v>
      </c>
    </row>
    <row r="4925" spans="3:13" hidden="1" x14ac:dyDescent="0.25">
      <c r="C4925" t="s">
        <v>64</v>
      </c>
      <c r="D4925" t="s">
        <v>120</v>
      </c>
      <c r="E4925" t="s">
        <v>63</v>
      </c>
      <c r="F4925" t="s">
        <v>124</v>
      </c>
      <c r="G4925">
        <v>4</v>
      </c>
      <c r="H4925" t="s">
        <v>17</v>
      </c>
      <c r="I4925" t="s">
        <v>121</v>
      </c>
      <c r="J4925" t="s">
        <v>122</v>
      </c>
      <c r="K4925">
        <v>0</v>
      </c>
      <c r="L4925" s="84">
        <v>2084479</v>
      </c>
      <c r="M4925" s="84">
        <v>8337916</v>
      </c>
    </row>
    <row r="4926" spans="3:13" hidden="1" x14ac:dyDescent="0.25">
      <c r="C4926" t="s">
        <v>65</v>
      </c>
      <c r="D4926" t="s">
        <v>120</v>
      </c>
      <c r="E4926" t="s">
        <v>60</v>
      </c>
      <c r="F4926" t="s">
        <v>123</v>
      </c>
      <c r="G4926">
        <v>7</v>
      </c>
      <c r="H4926" t="s">
        <v>75</v>
      </c>
      <c r="I4926" t="s">
        <v>121</v>
      </c>
      <c r="J4926" t="s">
        <v>122</v>
      </c>
      <c r="K4926">
        <v>0</v>
      </c>
      <c r="L4926" s="84">
        <v>-5062</v>
      </c>
      <c r="M4926" s="84">
        <v>0</v>
      </c>
    </row>
    <row r="4927" spans="3:13" hidden="1" x14ac:dyDescent="0.25">
      <c r="C4927" t="s">
        <v>65</v>
      </c>
      <c r="D4927" t="s">
        <v>120</v>
      </c>
      <c r="E4927" t="s">
        <v>60</v>
      </c>
      <c r="F4927" t="s">
        <v>25</v>
      </c>
      <c r="G4927">
        <v>5</v>
      </c>
      <c r="H4927" t="s">
        <v>73</v>
      </c>
      <c r="I4927" t="s">
        <v>121</v>
      </c>
      <c r="J4927" t="s">
        <v>122</v>
      </c>
      <c r="K4927">
        <v>0</v>
      </c>
      <c r="L4927" s="84">
        <v>-25869</v>
      </c>
      <c r="M4927" s="84">
        <v>0</v>
      </c>
    </row>
    <row r="4928" spans="3:13" hidden="1" x14ac:dyDescent="0.25">
      <c r="C4928" t="s">
        <v>119</v>
      </c>
      <c r="D4928" t="s">
        <v>120</v>
      </c>
      <c r="E4928" t="s">
        <v>60</v>
      </c>
      <c r="F4928" t="s">
        <v>124</v>
      </c>
      <c r="G4928">
        <v>-1</v>
      </c>
      <c r="H4928" t="s">
        <v>13</v>
      </c>
      <c r="I4928" t="s">
        <v>121</v>
      </c>
      <c r="J4928" t="s">
        <v>122</v>
      </c>
      <c r="K4928">
        <v>0</v>
      </c>
      <c r="L4928" s="84">
        <v>-4653</v>
      </c>
      <c r="M4928" s="84">
        <v>0</v>
      </c>
    </row>
    <row r="4929" spans="3:13" hidden="1" x14ac:dyDescent="0.25">
      <c r="C4929" t="s">
        <v>119</v>
      </c>
      <c r="D4929" t="s">
        <v>120</v>
      </c>
      <c r="E4929" t="s">
        <v>60</v>
      </c>
      <c r="F4929" t="s">
        <v>24</v>
      </c>
      <c r="G4929">
        <v>-1</v>
      </c>
      <c r="H4929" t="s">
        <v>17</v>
      </c>
      <c r="I4929" t="s">
        <v>121</v>
      </c>
      <c r="J4929" t="s">
        <v>122</v>
      </c>
      <c r="K4929">
        <v>0</v>
      </c>
      <c r="L4929" s="84">
        <v>-10</v>
      </c>
      <c r="M4929" s="84">
        <v>0</v>
      </c>
    </row>
    <row r="4930" spans="3:13" hidden="1" x14ac:dyDescent="0.25">
      <c r="C4930" t="s">
        <v>64</v>
      </c>
      <c r="D4930" t="s">
        <v>126</v>
      </c>
      <c r="E4930" t="s">
        <v>60</v>
      </c>
      <c r="F4930" t="s">
        <v>25</v>
      </c>
      <c r="G4930">
        <v>15</v>
      </c>
      <c r="H4930" t="s">
        <v>74</v>
      </c>
      <c r="I4930" t="s">
        <v>121</v>
      </c>
      <c r="J4930" t="s">
        <v>122</v>
      </c>
      <c r="K4930">
        <v>0</v>
      </c>
      <c r="L4930" s="84">
        <v>-8120</v>
      </c>
      <c r="M4930" s="84">
        <v>0</v>
      </c>
    </row>
    <row r="4931" spans="3:13" hidden="1" x14ac:dyDescent="0.25">
      <c r="C4931" t="s">
        <v>64</v>
      </c>
      <c r="D4931" t="s">
        <v>120</v>
      </c>
      <c r="E4931" t="s">
        <v>63</v>
      </c>
      <c r="F4931" t="s">
        <v>124</v>
      </c>
      <c r="G4931">
        <v>-1</v>
      </c>
      <c r="H4931" t="s">
        <v>69</v>
      </c>
      <c r="I4931" t="s">
        <v>121</v>
      </c>
      <c r="J4931" t="s">
        <v>122</v>
      </c>
      <c r="K4931">
        <v>0</v>
      </c>
      <c r="L4931" s="84">
        <v>8545444</v>
      </c>
      <c r="M4931" s="84">
        <v>0</v>
      </c>
    </row>
    <row r="4932" spans="3:13" hidden="1" x14ac:dyDescent="0.25">
      <c r="C4932" t="s">
        <v>119</v>
      </c>
      <c r="D4932" t="s">
        <v>120</v>
      </c>
      <c r="E4932" t="s">
        <v>60</v>
      </c>
      <c r="F4932" t="s">
        <v>124</v>
      </c>
      <c r="G4932">
        <v>7</v>
      </c>
      <c r="H4932" t="s">
        <v>67</v>
      </c>
      <c r="I4932" t="s">
        <v>121</v>
      </c>
      <c r="J4932" t="s">
        <v>122</v>
      </c>
      <c r="K4932">
        <v>0</v>
      </c>
      <c r="L4932" s="84">
        <v>-104515</v>
      </c>
      <c r="M4932" s="84">
        <v>0</v>
      </c>
    </row>
    <row r="4933" spans="3:13" hidden="1" x14ac:dyDescent="0.25">
      <c r="C4933" t="s">
        <v>65</v>
      </c>
      <c r="D4933" t="s">
        <v>120</v>
      </c>
      <c r="E4933" t="s">
        <v>63</v>
      </c>
      <c r="F4933" t="s">
        <v>25</v>
      </c>
      <c r="G4933">
        <v>12</v>
      </c>
      <c r="H4933" t="s">
        <v>69</v>
      </c>
      <c r="I4933" t="s">
        <v>121</v>
      </c>
      <c r="J4933" t="s">
        <v>122</v>
      </c>
      <c r="K4933">
        <v>0</v>
      </c>
      <c r="L4933" s="84">
        <v>1585963</v>
      </c>
      <c r="M4933" s="84">
        <v>19031556</v>
      </c>
    </row>
    <row r="4934" spans="3:13" hidden="1" x14ac:dyDescent="0.25">
      <c r="C4934" t="s">
        <v>119</v>
      </c>
      <c r="D4934" t="s">
        <v>120</v>
      </c>
      <c r="E4934" t="s">
        <v>60</v>
      </c>
      <c r="F4934" t="s">
        <v>25</v>
      </c>
      <c r="G4934">
        <v>13</v>
      </c>
      <c r="H4934" t="s">
        <v>12</v>
      </c>
      <c r="I4934" t="s">
        <v>121</v>
      </c>
      <c r="J4934" t="s">
        <v>66</v>
      </c>
      <c r="K4934">
        <v>1</v>
      </c>
      <c r="L4934" s="84">
        <v>-1598</v>
      </c>
      <c r="M4934" s="84">
        <v>0</v>
      </c>
    </row>
    <row r="4935" spans="3:13" hidden="1" x14ac:dyDescent="0.25">
      <c r="C4935" t="s">
        <v>64</v>
      </c>
      <c r="D4935" t="s">
        <v>120</v>
      </c>
      <c r="E4935" t="s">
        <v>63</v>
      </c>
      <c r="F4935" t="s">
        <v>124</v>
      </c>
      <c r="G4935">
        <v>7</v>
      </c>
      <c r="H4935" t="s">
        <v>73</v>
      </c>
      <c r="I4935" t="s">
        <v>121</v>
      </c>
      <c r="J4935" t="s">
        <v>122</v>
      </c>
      <c r="K4935">
        <v>0</v>
      </c>
      <c r="L4935" s="84">
        <v>107959</v>
      </c>
      <c r="M4935" s="84">
        <v>755713</v>
      </c>
    </row>
    <row r="4936" spans="3:13" hidden="1" x14ac:dyDescent="0.25">
      <c r="C4936" t="s">
        <v>119</v>
      </c>
      <c r="D4936" t="s">
        <v>120</v>
      </c>
      <c r="E4936" t="s">
        <v>60</v>
      </c>
      <c r="F4936" t="s">
        <v>25</v>
      </c>
      <c r="G4936">
        <v>9</v>
      </c>
      <c r="H4936" t="s">
        <v>12</v>
      </c>
      <c r="I4936" t="s">
        <v>121</v>
      </c>
      <c r="J4936" t="s">
        <v>122</v>
      </c>
      <c r="K4936">
        <v>0</v>
      </c>
      <c r="L4936" s="84">
        <v>-722</v>
      </c>
      <c r="M4936" s="84">
        <v>0</v>
      </c>
    </row>
    <row r="4937" spans="3:13" hidden="1" x14ac:dyDescent="0.25">
      <c r="C4937" t="s">
        <v>64</v>
      </c>
      <c r="D4937" t="s">
        <v>120</v>
      </c>
      <c r="E4937" t="s">
        <v>63</v>
      </c>
      <c r="F4937" t="s">
        <v>123</v>
      </c>
      <c r="G4937">
        <v>5</v>
      </c>
      <c r="H4937" t="s">
        <v>76</v>
      </c>
      <c r="I4937" t="s">
        <v>121</v>
      </c>
      <c r="J4937" t="s">
        <v>122</v>
      </c>
      <c r="K4937">
        <v>0</v>
      </c>
      <c r="L4937" s="84">
        <v>75451</v>
      </c>
      <c r="M4937" s="84">
        <v>377255</v>
      </c>
    </row>
    <row r="4938" spans="3:13" hidden="1" x14ac:dyDescent="0.25">
      <c r="C4938" t="s">
        <v>119</v>
      </c>
      <c r="D4938" t="s">
        <v>120</v>
      </c>
      <c r="E4938" t="s">
        <v>60</v>
      </c>
      <c r="F4938" t="s">
        <v>123</v>
      </c>
      <c r="G4938">
        <v>1</v>
      </c>
      <c r="H4938" t="s">
        <v>12</v>
      </c>
      <c r="I4938" t="s">
        <v>62</v>
      </c>
      <c r="J4938" t="s">
        <v>66</v>
      </c>
      <c r="K4938">
        <v>1</v>
      </c>
      <c r="L4938" s="84">
        <v>-56</v>
      </c>
      <c r="M4938" s="84">
        <v>0</v>
      </c>
    </row>
    <row r="4939" spans="3:13" hidden="1" x14ac:dyDescent="0.25">
      <c r="C4939" t="s">
        <v>64</v>
      </c>
      <c r="D4939" t="s">
        <v>125</v>
      </c>
      <c r="E4939" t="s">
        <v>63</v>
      </c>
      <c r="F4939" t="s">
        <v>25</v>
      </c>
      <c r="G4939">
        <v>24</v>
      </c>
      <c r="I4939" t="s">
        <v>121</v>
      </c>
      <c r="J4939" t="s">
        <v>122</v>
      </c>
      <c r="K4939">
        <v>0</v>
      </c>
      <c r="L4939" s="84">
        <v>155962</v>
      </c>
      <c r="M4939" s="84">
        <v>3743088</v>
      </c>
    </row>
    <row r="4940" spans="3:13" hidden="1" x14ac:dyDescent="0.25">
      <c r="C4940" t="s">
        <v>119</v>
      </c>
      <c r="D4940" t="s">
        <v>120</v>
      </c>
      <c r="E4940" t="s">
        <v>60</v>
      </c>
      <c r="F4940" t="s">
        <v>124</v>
      </c>
      <c r="G4940">
        <v>0</v>
      </c>
      <c r="H4940" t="s">
        <v>14</v>
      </c>
      <c r="I4940" t="s">
        <v>121</v>
      </c>
      <c r="J4940" t="s">
        <v>122</v>
      </c>
      <c r="K4940">
        <v>0</v>
      </c>
      <c r="L4940" s="84">
        <v>-1297577</v>
      </c>
      <c r="M4940" s="84">
        <v>0</v>
      </c>
    </row>
    <row r="4941" spans="3:13" hidden="1" x14ac:dyDescent="0.25">
      <c r="C4941" t="s">
        <v>64</v>
      </c>
      <c r="D4941" t="s">
        <v>120</v>
      </c>
      <c r="E4941" t="s">
        <v>63</v>
      </c>
      <c r="F4941" t="s">
        <v>123</v>
      </c>
      <c r="G4941">
        <v>1</v>
      </c>
      <c r="H4941" t="s">
        <v>13</v>
      </c>
      <c r="I4941" t="s">
        <v>121</v>
      </c>
      <c r="J4941" t="s">
        <v>122</v>
      </c>
      <c r="K4941">
        <v>0</v>
      </c>
      <c r="L4941" s="84">
        <v>15743</v>
      </c>
      <c r="M4941" s="84">
        <v>15743</v>
      </c>
    </row>
    <row r="4942" spans="3:13" hidden="1" x14ac:dyDescent="0.25">
      <c r="C4942" t="s">
        <v>65</v>
      </c>
      <c r="D4942" t="s">
        <v>120</v>
      </c>
      <c r="E4942" t="s">
        <v>63</v>
      </c>
      <c r="F4942" t="s">
        <v>124</v>
      </c>
      <c r="G4942">
        <v>1</v>
      </c>
      <c r="H4942" t="s">
        <v>72</v>
      </c>
      <c r="I4942" t="s">
        <v>121</v>
      </c>
      <c r="J4942" t="s">
        <v>122</v>
      </c>
      <c r="K4942">
        <v>0</v>
      </c>
      <c r="L4942" s="84">
        <v>199122</v>
      </c>
      <c r="M4942" s="84">
        <v>199122</v>
      </c>
    </row>
    <row r="4943" spans="3:13" hidden="1" x14ac:dyDescent="0.25">
      <c r="C4943" t="s">
        <v>119</v>
      </c>
      <c r="D4943" t="s">
        <v>120</v>
      </c>
      <c r="E4943" t="s">
        <v>63</v>
      </c>
      <c r="F4943" t="s">
        <v>24</v>
      </c>
      <c r="G4943">
        <v>11</v>
      </c>
      <c r="H4943" t="s">
        <v>61</v>
      </c>
      <c r="I4943" t="s">
        <v>121</v>
      </c>
      <c r="J4943" t="s">
        <v>122</v>
      </c>
      <c r="K4943">
        <v>0</v>
      </c>
      <c r="L4943" s="84">
        <v>910783</v>
      </c>
      <c r="M4943" s="84">
        <v>10018613</v>
      </c>
    </row>
    <row r="4944" spans="3:13" hidden="1" x14ac:dyDescent="0.25">
      <c r="C4944" t="s">
        <v>119</v>
      </c>
      <c r="D4944" t="s">
        <v>120</v>
      </c>
      <c r="E4944" t="s">
        <v>60</v>
      </c>
      <c r="F4944" t="s">
        <v>24</v>
      </c>
      <c r="G4944">
        <v>8</v>
      </c>
      <c r="H4944" t="s">
        <v>18</v>
      </c>
      <c r="I4944" t="s">
        <v>121</v>
      </c>
      <c r="J4944" t="s">
        <v>122</v>
      </c>
      <c r="K4944">
        <v>0</v>
      </c>
      <c r="L4944" s="84">
        <v>-886</v>
      </c>
      <c r="M4944" s="84">
        <v>0</v>
      </c>
    </row>
    <row r="4945" spans="3:13" hidden="1" x14ac:dyDescent="0.25">
      <c r="C4945" t="s">
        <v>64</v>
      </c>
      <c r="D4945" t="s">
        <v>120</v>
      </c>
      <c r="E4945" t="s">
        <v>60</v>
      </c>
      <c r="F4945" t="s">
        <v>25</v>
      </c>
      <c r="G4945">
        <v>10</v>
      </c>
      <c r="H4945" t="s">
        <v>68</v>
      </c>
      <c r="I4945" t="s">
        <v>121</v>
      </c>
      <c r="J4945" t="s">
        <v>122</v>
      </c>
      <c r="K4945">
        <v>0</v>
      </c>
      <c r="L4945" s="84">
        <v>-34750</v>
      </c>
      <c r="M4945" s="84">
        <v>0</v>
      </c>
    </row>
    <row r="4946" spans="3:13" hidden="1" x14ac:dyDescent="0.25">
      <c r="C4946" t="s">
        <v>64</v>
      </c>
      <c r="D4946" t="s">
        <v>120</v>
      </c>
      <c r="E4946" t="s">
        <v>60</v>
      </c>
      <c r="F4946" t="s">
        <v>123</v>
      </c>
      <c r="G4946">
        <v>2</v>
      </c>
      <c r="H4946" t="s">
        <v>17</v>
      </c>
      <c r="I4946" t="s">
        <v>121</v>
      </c>
      <c r="J4946" t="s">
        <v>66</v>
      </c>
      <c r="K4946">
        <v>1</v>
      </c>
      <c r="L4946" s="84">
        <v>-3735</v>
      </c>
      <c r="M4946" s="84">
        <v>0</v>
      </c>
    </row>
    <row r="4947" spans="3:13" hidden="1" x14ac:dyDescent="0.25">
      <c r="C4947" t="s">
        <v>64</v>
      </c>
      <c r="D4947" t="s">
        <v>120</v>
      </c>
      <c r="E4947" t="s">
        <v>63</v>
      </c>
      <c r="F4947" t="s">
        <v>25</v>
      </c>
      <c r="G4947">
        <v>8</v>
      </c>
      <c r="H4947" t="s">
        <v>75</v>
      </c>
      <c r="I4947" t="s">
        <v>121</v>
      </c>
      <c r="J4947" t="s">
        <v>122</v>
      </c>
      <c r="K4947">
        <v>0</v>
      </c>
      <c r="L4947" s="84">
        <v>801709</v>
      </c>
      <c r="M4947" s="84">
        <v>6413672</v>
      </c>
    </row>
    <row r="4948" spans="3:13" hidden="1" x14ac:dyDescent="0.25">
      <c r="C4948" t="s">
        <v>119</v>
      </c>
      <c r="D4948" t="s">
        <v>120</v>
      </c>
      <c r="E4948" t="s">
        <v>63</v>
      </c>
      <c r="F4948" t="s">
        <v>25</v>
      </c>
      <c r="G4948">
        <v>9</v>
      </c>
      <c r="H4948" t="s">
        <v>16</v>
      </c>
      <c r="I4948" t="s">
        <v>121</v>
      </c>
      <c r="J4948" t="s">
        <v>122</v>
      </c>
      <c r="K4948">
        <v>0</v>
      </c>
      <c r="L4948" s="84">
        <v>102786</v>
      </c>
      <c r="M4948" s="84">
        <v>925074</v>
      </c>
    </row>
    <row r="4949" spans="3:13" hidden="1" x14ac:dyDescent="0.25">
      <c r="C4949" t="s">
        <v>119</v>
      </c>
      <c r="D4949" t="s">
        <v>120</v>
      </c>
      <c r="E4949" t="s">
        <v>60</v>
      </c>
      <c r="F4949" t="s">
        <v>124</v>
      </c>
      <c r="G4949">
        <v>6</v>
      </c>
      <c r="H4949" t="s">
        <v>15</v>
      </c>
      <c r="I4949" t="s">
        <v>121</v>
      </c>
      <c r="J4949" t="s">
        <v>66</v>
      </c>
      <c r="K4949">
        <v>1</v>
      </c>
      <c r="L4949" s="84">
        <v>-11256</v>
      </c>
      <c r="M4949" s="84">
        <v>0</v>
      </c>
    </row>
    <row r="4950" spans="3:13" hidden="1" x14ac:dyDescent="0.25">
      <c r="C4950" t="s">
        <v>64</v>
      </c>
      <c r="D4950" t="s">
        <v>120</v>
      </c>
      <c r="E4950" t="s">
        <v>60</v>
      </c>
      <c r="F4950" t="s">
        <v>124</v>
      </c>
      <c r="G4950">
        <v>6</v>
      </c>
      <c r="H4950" t="s">
        <v>71</v>
      </c>
      <c r="I4950" t="s">
        <v>121</v>
      </c>
      <c r="J4950" t="s">
        <v>122</v>
      </c>
      <c r="K4950">
        <v>0</v>
      </c>
      <c r="L4950" s="84">
        <v>-82613</v>
      </c>
      <c r="M4950" s="84">
        <v>0</v>
      </c>
    </row>
    <row r="4951" spans="3:13" hidden="1" x14ac:dyDescent="0.25">
      <c r="C4951" t="s">
        <v>119</v>
      </c>
      <c r="D4951" t="s">
        <v>120</v>
      </c>
      <c r="E4951" t="s">
        <v>60</v>
      </c>
      <c r="F4951" t="s">
        <v>25</v>
      </c>
      <c r="G4951">
        <v>13</v>
      </c>
      <c r="H4951" t="s">
        <v>76</v>
      </c>
      <c r="I4951" t="s">
        <v>121</v>
      </c>
      <c r="J4951" t="s">
        <v>122</v>
      </c>
      <c r="K4951">
        <v>0</v>
      </c>
      <c r="L4951" s="84">
        <v>-142</v>
      </c>
      <c r="M4951" s="84">
        <v>0</v>
      </c>
    </row>
    <row r="4952" spans="3:13" hidden="1" x14ac:dyDescent="0.25">
      <c r="C4952" t="s">
        <v>119</v>
      </c>
      <c r="D4952" t="s">
        <v>120</v>
      </c>
      <c r="E4952" t="s">
        <v>63</v>
      </c>
      <c r="F4952" t="s">
        <v>124</v>
      </c>
      <c r="G4952">
        <v>3</v>
      </c>
      <c r="H4952" t="s">
        <v>17</v>
      </c>
      <c r="I4952" t="s">
        <v>121</v>
      </c>
      <c r="J4952" t="s">
        <v>66</v>
      </c>
      <c r="K4952">
        <v>1</v>
      </c>
      <c r="L4952" s="84">
        <v>4467572</v>
      </c>
      <c r="M4952" s="84">
        <v>13402716</v>
      </c>
    </row>
    <row r="4953" spans="3:13" hidden="1" x14ac:dyDescent="0.25">
      <c r="C4953" t="s">
        <v>65</v>
      </c>
      <c r="D4953" t="s">
        <v>120</v>
      </c>
      <c r="E4953" t="s">
        <v>60</v>
      </c>
      <c r="F4953" t="s">
        <v>124</v>
      </c>
      <c r="G4953">
        <v>1</v>
      </c>
      <c r="H4953" t="s">
        <v>70</v>
      </c>
      <c r="I4953" t="s">
        <v>121</v>
      </c>
      <c r="J4953" t="s">
        <v>122</v>
      </c>
      <c r="K4953">
        <v>0</v>
      </c>
      <c r="L4953" s="84">
        <v>-220495</v>
      </c>
      <c r="M4953" s="84">
        <v>0</v>
      </c>
    </row>
    <row r="4954" spans="3:13" hidden="1" x14ac:dyDescent="0.25">
      <c r="C4954" t="s">
        <v>119</v>
      </c>
      <c r="D4954" t="s">
        <v>125</v>
      </c>
      <c r="E4954" t="s">
        <v>63</v>
      </c>
      <c r="F4954" t="s">
        <v>24</v>
      </c>
      <c r="G4954">
        <v>0</v>
      </c>
      <c r="I4954" t="s">
        <v>121</v>
      </c>
      <c r="J4954" t="s">
        <v>122</v>
      </c>
      <c r="K4954">
        <v>0</v>
      </c>
      <c r="L4954" s="84">
        <v>5243397</v>
      </c>
      <c r="M4954" s="84">
        <v>0</v>
      </c>
    </row>
    <row r="4955" spans="3:13" hidden="1" x14ac:dyDescent="0.25">
      <c r="C4955" t="s">
        <v>119</v>
      </c>
      <c r="D4955" t="s">
        <v>120</v>
      </c>
      <c r="E4955" t="s">
        <v>63</v>
      </c>
      <c r="F4955" t="s">
        <v>123</v>
      </c>
      <c r="G4955">
        <v>2</v>
      </c>
      <c r="H4955" t="s">
        <v>12</v>
      </c>
      <c r="I4955" t="s">
        <v>121</v>
      </c>
      <c r="J4955" t="s">
        <v>122</v>
      </c>
      <c r="K4955">
        <v>0</v>
      </c>
      <c r="L4955" s="84">
        <v>297169</v>
      </c>
      <c r="M4955" s="84">
        <v>594338</v>
      </c>
    </row>
    <row r="4956" spans="3:13" hidden="1" x14ac:dyDescent="0.25">
      <c r="C4956" t="s">
        <v>119</v>
      </c>
      <c r="D4956" t="s">
        <v>120</v>
      </c>
      <c r="E4956" t="s">
        <v>63</v>
      </c>
      <c r="F4956" t="s">
        <v>25</v>
      </c>
      <c r="G4956">
        <v>11</v>
      </c>
      <c r="H4956" t="s">
        <v>16</v>
      </c>
      <c r="I4956" t="s">
        <v>121</v>
      </c>
      <c r="J4956" t="s">
        <v>122</v>
      </c>
      <c r="K4956">
        <v>0</v>
      </c>
      <c r="L4956" s="84">
        <v>266899</v>
      </c>
      <c r="M4956" s="84">
        <v>2935889</v>
      </c>
    </row>
    <row r="4957" spans="3:13" hidden="1" x14ac:dyDescent="0.25">
      <c r="C4957" t="s">
        <v>65</v>
      </c>
      <c r="D4957" t="s">
        <v>120</v>
      </c>
      <c r="E4957" t="s">
        <v>63</v>
      </c>
      <c r="F4957" t="s">
        <v>24</v>
      </c>
      <c r="G4957">
        <v>2</v>
      </c>
      <c r="H4957" t="s">
        <v>68</v>
      </c>
      <c r="I4957" t="s">
        <v>121</v>
      </c>
      <c r="J4957" t="s">
        <v>122</v>
      </c>
      <c r="K4957">
        <v>0</v>
      </c>
      <c r="L4957" s="84">
        <v>3203934</v>
      </c>
      <c r="M4957" s="84">
        <v>6407868</v>
      </c>
    </row>
    <row r="4958" spans="3:13" hidden="1" x14ac:dyDescent="0.25">
      <c r="C4958" t="s">
        <v>64</v>
      </c>
      <c r="D4958" t="s">
        <v>120</v>
      </c>
      <c r="E4958" t="s">
        <v>63</v>
      </c>
      <c r="F4958" t="s">
        <v>124</v>
      </c>
      <c r="G4958">
        <v>2</v>
      </c>
      <c r="H4958" t="s">
        <v>14</v>
      </c>
      <c r="I4958" t="s">
        <v>121</v>
      </c>
      <c r="J4958" t="s">
        <v>122</v>
      </c>
      <c r="K4958">
        <v>0</v>
      </c>
      <c r="L4958" s="84">
        <v>19568963</v>
      </c>
      <c r="M4958" s="84">
        <v>39137926</v>
      </c>
    </row>
    <row r="4959" spans="3:13" hidden="1" x14ac:dyDescent="0.25">
      <c r="C4959" t="s">
        <v>119</v>
      </c>
      <c r="D4959" t="s">
        <v>120</v>
      </c>
      <c r="E4959" t="s">
        <v>60</v>
      </c>
      <c r="F4959" t="s">
        <v>25</v>
      </c>
      <c r="G4959">
        <v>3</v>
      </c>
      <c r="H4959" t="s">
        <v>12</v>
      </c>
      <c r="I4959" t="s">
        <v>121</v>
      </c>
      <c r="J4959" t="s">
        <v>66</v>
      </c>
      <c r="K4959">
        <v>1</v>
      </c>
      <c r="L4959" s="84">
        <v>-340</v>
      </c>
      <c r="M4959" s="84">
        <v>0</v>
      </c>
    </row>
    <row r="4960" spans="3:13" hidden="1" x14ac:dyDescent="0.25">
      <c r="C4960" t="s">
        <v>65</v>
      </c>
      <c r="D4960" t="s">
        <v>120</v>
      </c>
      <c r="E4960" t="s">
        <v>63</v>
      </c>
      <c r="F4960" t="s">
        <v>123</v>
      </c>
      <c r="G4960">
        <v>4</v>
      </c>
      <c r="H4960" t="s">
        <v>18</v>
      </c>
      <c r="I4960" t="s">
        <v>121</v>
      </c>
      <c r="J4960" t="s">
        <v>122</v>
      </c>
      <c r="K4960">
        <v>0</v>
      </c>
      <c r="L4960" s="84">
        <v>139987</v>
      </c>
      <c r="M4960" s="84">
        <v>559948</v>
      </c>
    </row>
    <row r="4961" spans="3:13" hidden="1" x14ac:dyDescent="0.25">
      <c r="C4961" t="s">
        <v>119</v>
      </c>
      <c r="D4961" t="s">
        <v>120</v>
      </c>
      <c r="E4961" t="s">
        <v>63</v>
      </c>
      <c r="F4961" t="s">
        <v>25</v>
      </c>
      <c r="G4961">
        <v>5</v>
      </c>
      <c r="H4961" t="s">
        <v>76</v>
      </c>
      <c r="I4961" t="s">
        <v>121</v>
      </c>
      <c r="J4961" t="s">
        <v>122</v>
      </c>
      <c r="K4961">
        <v>0</v>
      </c>
      <c r="L4961" s="84">
        <v>181637</v>
      </c>
      <c r="M4961" s="84">
        <v>908185</v>
      </c>
    </row>
    <row r="4962" spans="3:13" hidden="1" x14ac:dyDescent="0.25">
      <c r="C4962" t="s">
        <v>64</v>
      </c>
      <c r="D4962" t="s">
        <v>120</v>
      </c>
      <c r="E4962" t="s">
        <v>63</v>
      </c>
      <c r="F4962" t="s">
        <v>124</v>
      </c>
      <c r="G4962">
        <v>9</v>
      </c>
      <c r="H4962" t="s">
        <v>18</v>
      </c>
      <c r="I4962" t="s">
        <v>121</v>
      </c>
      <c r="J4962" t="s">
        <v>122</v>
      </c>
      <c r="K4962">
        <v>0</v>
      </c>
      <c r="L4962" s="84">
        <v>598205</v>
      </c>
      <c r="M4962" s="84">
        <v>5383845</v>
      </c>
    </row>
    <row r="4963" spans="3:13" hidden="1" x14ac:dyDescent="0.25">
      <c r="C4963" t="s">
        <v>119</v>
      </c>
      <c r="D4963" t="s">
        <v>120</v>
      </c>
      <c r="E4963" t="s">
        <v>60</v>
      </c>
      <c r="F4963" t="s">
        <v>25</v>
      </c>
      <c r="G4963">
        <v>5</v>
      </c>
      <c r="H4963" t="s">
        <v>69</v>
      </c>
      <c r="I4963" t="s">
        <v>121</v>
      </c>
      <c r="J4963" t="s">
        <v>122</v>
      </c>
      <c r="K4963">
        <v>0</v>
      </c>
      <c r="L4963" s="84">
        <v>-7769</v>
      </c>
      <c r="M4963" s="84">
        <v>0</v>
      </c>
    </row>
    <row r="4964" spans="3:13" hidden="1" x14ac:dyDescent="0.25">
      <c r="C4964" t="s">
        <v>65</v>
      </c>
      <c r="D4964" t="s">
        <v>120</v>
      </c>
      <c r="E4964" t="s">
        <v>60</v>
      </c>
      <c r="F4964" t="s">
        <v>124</v>
      </c>
      <c r="G4964">
        <v>2</v>
      </c>
      <c r="H4964" t="s">
        <v>17</v>
      </c>
      <c r="I4964" t="s">
        <v>121</v>
      </c>
      <c r="J4964" t="s">
        <v>122</v>
      </c>
      <c r="K4964">
        <v>0</v>
      </c>
      <c r="L4964" s="84">
        <v>-1738337</v>
      </c>
      <c r="M4964" s="84">
        <v>0</v>
      </c>
    </row>
    <row r="4965" spans="3:13" hidden="1" x14ac:dyDescent="0.25">
      <c r="C4965" t="s">
        <v>119</v>
      </c>
      <c r="D4965" t="s">
        <v>126</v>
      </c>
      <c r="E4965" t="s">
        <v>60</v>
      </c>
      <c r="F4965" t="s">
        <v>24</v>
      </c>
      <c r="G4965">
        <v>2</v>
      </c>
      <c r="H4965" t="s">
        <v>74</v>
      </c>
      <c r="I4965" t="s">
        <v>121</v>
      </c>
      <c r="J4965" t="s">
        <v>122</v>
      </c>
      <c r="K4965">
        <v>0</v>
      </c>
      <c r="L4965" s="84">
        <v>-6755</v>
      </c>
      <c r="M4965" s="84">
        <v>0</v>
      </c>
    </row>
    <row r="4966" spans="3:13" hidden="1" x14ac:dyDescent="0.25">
      <c r="C4966" t="s">
        <v>119</v>
      </c>
      <c r="D4966" t="s">
        <v>120</v>
      </c>
      <c r="E4966" t="s">
        <v>63</v>
      </c>
      <c r="F4966" t="s">
        <v>123</v>
      </c>
      <c r="G4966">
        <v>4</v>
      </c>
      <c r="H4966" t="s">
        <v>76</v>
      </c>
      <c r="I4966" t="s">
        <v>121</v>
      </c>
      <c r="J4966" t="s">
        <v>122</v>
      </c>
      <c r="K4966">
        <v>0</v>
      </c>
      <c r="L4966" s="84">
        <v>1083843</v>
      </c>
      <c r="M4966" s="84">
        <v>4335372</v>
      </c>
    </row>
    <row r="4967" spans="3:13" hidden="1" x14ac:dyDescent="0.25">
      <c r="C4967" t="s">
        <v>119</v>
      </c>
      <c r="D4967" t="s">
        <v>120</v>
      </c>
      <c r="E4967" t="s">
        <v>63</v>
      </c>
      <c r="F4967" t="s">
        <v>124</v>
      </c>
      <c r="G4967">
        <v>6</v>
      </c>
      <c r="H4967" t="s">
        <v>14</v>
      </c>
      <c r="I4967" t="s">
        <v>121</v>
      </c>
      <c r="J4967" t="s">
        <v>66</v>
      </c>
      <c r="K4967">
        <v>1</v>
      </c>
      <c r="L4967" s="84">
        <v>4213961</v>
      </c>
      <c r="M4967" s="84">
        <v>25283766</v>
      </c>
    </row>
    <row r="4968" spans="3:13" hidden="1" x14ac:dyDescent="0.25">
      <c r="C4968" t="s">
        <v>119</v>
      </c>
      <c r="D4968" t="s">
        <v>120</v>
      </c>
      <c r="E4968" t="s">
        <v>60</v>
      </c>
      <c r="F4968" t="s">
        <v>124</v>
      </c>
      <c r="G4968">
        <v>8</v>
      </c>
      <c r="H4968" t="s">
        <v>61</v>
      </c>
      <c r="I4968" t="s">
        <v>121</v>
      </c>
      <c r="J4968" t="s">
        <v>122</v>
      </c>
      <c r="K4968">
        <v>0</v>
      </c>
      <c r="L4968" s="84">
        <v>-437</v>
      </c>
      <c r="M4968" s="84">
        <v>0</v>
      </c>
    </row>
    <row r="4969" spans="3:13" hidden="1" x14ac:dyDescent="0.25">
      <c r="C4969" t="s">
        <v>64</v>
      </c>
      <c r="D4969" t="s">
        <v>120</v>
      </c>
      <c r="E4969" t="s">
        <v>60</v>
      </c>
      <c r="F4969" t="s">
        <v>25</v>
      </c>
      <c r="G4969">
        <v>3</v>
      </c>
      <c r="H4969" t="s">
        <v>73</v>
      </c>
      <c r="I4969" t="s">
        <v>121</v>
      </c>
      <c r="J4969" t="s">
        <v>122</v>
      </c>
      <c r="K4969">
        <v>0</v>
      </c>
      <c r="L4969" s="84">
        <v>-353</v>
      </c>
      <c r="M4969" s="84">
        <v>0</v>
      </c>
    </row>
    <row r="4970" spans="3:13" hidden="1" x14ac:dyDescent="0.25">
      <c r="C4970" t="s">
        <v>119</v>
      </c>
      <c r="D4970" t="s">
        <v>120</v>
      </c>
      <c r="E4970" t="s">
        <v>63</v>
      </c>
      <c r="F4970" t="s">
        <v>24</v>
      </c>
      <c r="G4970">
        <v>6</v>
      </c>
      <c r="H4970" t="s">
        <v>69</v>
      </c>
      <c r="I4970" t="s">
        <v>121</v>
      </c>
      <c r="J4970" t="s">
        <v>122</v>
      </c>
      <c r="K4970">
        <v>0</v>
      </c>
      <c r="L4970" s="84">
        <v>5780254</v>
      </c>
      <c r="M4970" s="84">
        <v>34681524</v>
      </c>
    </row>
    <row r="4971" spans="3:13" hidden="1" x14ac:dyDescent="0.25">
      <c r="C4971" t="s">
        <v>119</v>
      </c>
      <c r="D4971" t="s">
        <v>120</v>
      </c>
      <c r="E4971" t="s">
        <v>60</v>
      </c>
      <c r="F4971" t="s">
        <v>25</v>
      </c>
      <c r="G4971">
        <v>0</v>
      </c>
      <c r="H4971" t="s">
        <v>14</v>
      </c>
      <c r="I4971" t="s">
        <v>121</v>
      </c>
      <c r="J4971" t="s">
        <v>66</v>
      </c>
      <c r="K4971">
        <v>1</v>
      </c>
      <c r="L4971" s="84">
        <v>-3591</v>
      </c>
      <c r="M4971" s="84">
        <v>0</v>
      </c>
    </row>
    <row r="4972" spans="3:13" hidden="1" x14ac:dyDescent="0.25">
      <c r="C4972" t="s">
        <v>64</v>
      </c>
      <c r="D4972" t="s">
        <v>120</v>
      </c>
      <c r="E4972" t="s">
        <v>60</v>
      </c>
      <c r="F4972" t="s">
        <v>124</v>
      </c>
      <c r="G4972">
        <v>6</v>
      </c>
      <c r="H4972" t="s">
        <v>61</v>
      </c>
      <c r="I4972" t="s">
        <v>121</v>
      </c>
      <c r="J4972" t="s">
        <v>122</v>
      </c>
      <c r="K4972">
        <v>0</v>
      </c>
      <c r="L4972" s="84">
        <v>-169876</v>
      </c>
      <c r="M4972" s="84">
        <v>0</v>
      </c>
    </row>
    <row r="4973" spans="3:13" hidden="1" x14ac:dyDescent="0.25">
      <c r="C4973" t="s">
        <v>119</v>
      </c>
      <c r="D4973" t="s">
        <v>120</v>
      </c>
      <c r="E4973" t="s">
        <v>60</v>
      </c>
      <c r="F4973" t="s">
        <v>123</v>
      </c>
      <c r="G4973">
        <v>6</v>
      </c>
      <c r="H4973" t="s">
        <v>17</v>
      </c>
      <c r="I4973" t="s">
        <v>121</v>
      </c>
      <c r="J4973" t="s">
        <v>66</v>
      </c>
      <c r="K4973">
        <v>1</v>
      </c>
      <c r="L4973" s="84">
        <v>-37</v>
      </c>
      <c r="M4973" s="84">
        <v>0</v>
      </c>
    </row>
    <row r="4974" spans="3:13" hidden="1" x14ac:dyDescent="0.25">
      <c r="C4974" t="s">
        <v>65</v>
      </c>
      <c r="D4974" t="s">
        <v>120</v>
      </c>
      <c r="E4974" t="s">
        <v>63</v>
      </c>
      <c r="F4974" t="s">
        <v>24</v>
      </c>
      <c r="G4974">
        <v>-4</v>
      </c>
      <c r="H4974" t="s">
        <v>69</v>
      </c>
      <c r="I4974" t="s">
        <v>121</v>
      </c>
      <c r="J4974" t="s">
        <v>122</v>
      </c>
      <c r="K4974">
        <v>0</v>
      </c>
      <c r="L4974" s="84">
        <v>71518</v>
      </c>
      <c r="M4974" s="84">
        <v>0</v>
      </c>
    </row>
    <row r="4975" spans="3:13" hidden="1" x14ac:dyDescent="0.25">
      <c r="C4975" t="s">
        <v>64</v>
      </c>
      <c r="D4975" t="s">
        <v>120</v>
      </c>
      <c r="E4975" t="s">
        <v>63</v>
      </c>
      <c r="F4975" t="s">
        <v>124</v>
      </c>
      <c r="G4975">
        <v>6</v>
      </c>
      <c r="H4975" t="s">
        <v>61</v>
      </c>
      <c r="I4975" t="s">
        <v>121</v>
      </c>
      <c r="J4975" t="s">
        <v>122</v>
      </c>
      <c r="K4975">
        <v>0</v>
      </c>
      <c r="L4975" s="84">
        <v>4092268</v>
      </c>
      <c r="M4975" s="84">
        <v>24553608</v>
      </c>
    </row>
    <row r="4976" spans="3:13" hidden="1" x14ac:dyDescent="0.25">
      <c r="C4976" t="s">
        <v>64</v>
      </c>
      <c r="D4976" t="s">
        <v>120</v>
      </c>
      <c r="E4976" t="s">
        <v>63</v>
      </c>
      <c r="F4976" t="s">
        <v>24</v>
      </c>
      <c r="G4976">
        <v>6</v>
      </c>
      <c r="H4976" t="s">
        <v>72</v>
      </c>
      <c r="I4976" t="s">
        <v>121</v>
      </c>
      <c r="J4976" t="s">
        <v>122</v>
      </c>
      <c r="K4976">
        <v>0</v>
      </c>
      <c r="L4976" s="84">
        <v>363042</v>
      </c>
      <c r="M4976" s="84">
        <v>2178252</v>
      </c>
    </row>
    <row r="4977" spans="3:13" hidden="1" x14ac:dyDescent="0.25">
      <c r="C4977" t="s">
        <v>64</v>
      </c>
      <c r="D4977" t="s">
        <v>120</v>
      </c>
      <c r="E4977" t="s">
        <v>60</v>
      </c>
      <c r="F4977" t="s">
        <v>25</v>
      </c>
      <c r="G4977">
        <v>0</v>
      </c>
      <c r="H4977" t="s">
        <v>72</v>
      </c>
      <c r="I4977" t="s">
        <v>121</v>
      </c>
      <c r="J4977" t="s">
        <v>122</v>
      </c>
      <c r="K4977">
        <v>0</v>
      </c>
      <c r="L4977" s="84">
        <v>-59</v>
      </c>
      <c r="M4977" s="84">
        <v>0</v>
      </c>
    </row>
    <row r="4978" spans="3:13" x14ac:dyDescent="0.25">
      <c r="C4978" t="s">
        <v>119</v>
      </c>
      <c r="D4978" t="s">
        <v>120</v>
      </c>
      <c r="E4978" t="s">
        <v>63</v>
      </c>
      <c r="F4978" t="s">
        <v>25</v>
      </c>
      <c r="G4978">
        <v>0</v>
      </c>
      <c r="H4978" t="s">
        <v>12</v>
      </c>
      <c r="I4978" t="s">
        <v>121</v>
      </c>
      <c r="J4978" t="s">
        <v>66</v>
      </c>
      <c r="K4978">
        <v>1</v>
      </c>
      <c r="L4978" s="84">
        <v>42293</v>
      </c>
      <c r="M4978" s="84">
        <v>0</v>
      </c>
    </row>
    <row r="4979" spans="3:13" hidden="1" x14ac:dyDescent="0.25">
      <c r="C4979" t="s">
        <v>119</v>
      </c>
      <c r="D4979" t="s">
        <v>126</v>
      </c>
      <c r="E4979" t="s">
        <v>60</v>
      </c>
      <c r="F4979" t="s">
        <v>25</v>
      </c>
      <c r="G4979">
        <v>8</v>
      </c>
      <c r="H4979" t="s">
        <v>74</v>
      </c>
      <c r="I4979" t="s">
        <v>121</v>
      </c>
      <c r="J4979" t="s">
        <v>122</v>
      </c>
      <c r="K4979">
        <v>0</v>
      </c>
      <c r="L4979" s="84">
        <v>-22</v>
      </c>
      <c r="M4979" s="84">
        <v>0</v>
      </c>
    </row>
    <row r="4980" spans="3:13" hidden="1" x14ac:dyDescent="0.25">
      <c r="C4980" t="s">
        <v>119</v>
      </c>
      <c r="D4980" t="s">
        <v>120</v>
      </c>
      <c r="E4980" t="s">
        <v>63</v>
      </c>
      <c r="F4980" t="s">
        <v>124</v>
      </c>
      <c r="G4980">
        <v>1</v>
      </c>
      <c r="H4980" t="s">
        <v>16</v>
      </c>
      <c r="I4980" t="s">
        <v>121</v>
      </c>
      <c r="J4980" t="s">
        <v>122</v>
      </c>
      <c r="K4980">
        <v>0</v>
      </c>
      <c r="L4980" s="84">
        <v>911574</v>
      </c>
      <c r="M4980" s="84">
        <v>911574</v>
      </c>
    </row>
    <row r="4981" spans="3:13" hidden="1" x14ac:dyDescent="0.25">
      <c r="C4981" t="s">
        <v>119</v>
      </c>
      <c r="D4981" t="s">
        <v>120</v>
      </c>
      <c r="E4981" t="s">
        <v>60</v>
      </c>
      <c r="F4981" t="s">
        <v>24</v>
      </c>
      <c r="G4981">
        <v>11</v>
      </c>
      <c r="H4981" t="s">
        <v>75</v>
      </c>
      <c r="I4981" t="s">
        <v>121</v>
      </c>
      <c r="J4981" t="s">
        <v>122</v>
      </c>
      <c r="K4981">
        <v>0</v>
      </c>
      <c r="L4981" s="84">
        <v>-208</v>
      </c>
      <c r="M4981" s="84">
        <v>0</v>
      </c>
    </row>
    <row r="4982" spans="3:13" hidden="1" x14ac:dyDescent="0.25">
      <c r="C4982" t="s">
        <v>119</v>
      </c>
      <c r="D4982" t="s">
        <v>120</v>
      </c>
      <c r="E4982" t="s">
        <v>60</v>
      </c>
      <c r="F4982" t="s">
        <v>124</v>
      </c>
      <c r="G4982">
        <v>5</v>
      </c>
      <c r="H4982" t="s">
        <v>70</v>
      </c>
      <c r="I4982" t="s">
        <v>121</v>
      </c>
      <c r="J4982" t="s">
        <v>122</v>
      </c>
      <c r="K4982">
        <v>0</v>
      </c>
      <c r="L4982" s="84">
        <v>-13413</v>
      </c>
      <c r="M4982" s="84">
        <v>0</v>
      </c>
    </row>
    <row r="4983" spans="3:13" hidden="1" x14ac:dyDescent="0.25">
      <c r="C4983" t="s">
        <v>119</v>
      </c>
      <c r="D4983" t="s">
        <v>120</v>
      </c>
      <c r="E4983" t="s">
        <v>63</v>
      </c>
      <c r="F4983" t="s">
        <v>25</v>
      </c>
      <c r="G4983">
        <v>1</v>
      </c>
      <c r="H4983" t="s">
        <v>76</v>
      </c>
      <c r="I4983" t="s">
        <v>121</v>
      </c>
      <c r="J4983" t="s">
        <v>122</v>
      </c>
      <c r="K4983">
        <v>0</v>
      </c>
      <c r="L4983" s="84">
        <v>120353</v>
      </c>
      <c r="M4983" s="84">
        <v>120353</v>
      </c>
    </row>
    <row r="4984" spans="3:13" hidden="1" x14ac:dyDescent="0.25">
      <c r="C4984" t="s">
        <v>119</v>
      </c>
      <c r="D4984" t="s">
        <v>120</v>
      </c>
      <c r="E4984" t="s">
        <v>63</v>
      </c>
      <c r="F4984" t="s">
        <v>24</v>
      </c>
      <c r="G4984">
        <v>1</v>
      </c>
      <c r="H4984" t="s">
        <v>61</v>
      </c>
      <c r="I4984" t="s">
        <v>121</v>
      </c>
      <c r="J4984" t="s">
        <v>122</v>
      </c>
      <c r="K4984">
        <v>0</v>
      </c>
      <c r="L4984" s="84">
        <v>30545</v>
      </c>
      <c r="M4984" s="84">
        <v>30545</v>
      </c>
    </row>
    <row r="4985" spans="3:13" hidden="1" x14ac:dyDescent="0.25">
      <c r="C4985" t="s">
        <v>119</v>
      </c>
      <c r="D4985" t="s">
        <v>120</v>
      </c>
      <c r="E4985" t="s">
        <v>63</v>
      </c>
      <c r="F4985" t="s">
        <v>24</v>
      </c>
      <c r="G4985">
        <v>5</v>
      </c>
      <c r="H4985" t="s">
        <v>14</v>
      </c>
      <c r="I4985" t="s">
        <v>121</v>
      </c>
      <c r="J4985" t="s">
        <v>66</v>
      </c>
      <c r="K4985">
        <v>1</v>
      </c>
      <c r="L4985" s="84">
        <v>344927</v>
      </c>
      <c r="M4985" s="84">
        <v>1724635</v>
      </c>
    </row>
    <row r="4986" spans="3:13" hidden="1" x14ac:dyDescent="0.25">
      <c r="C4986" t="s">
        <v>64</v>
      </c>
      <c r="D4986" t="s">
        <v>120</v>
      </c>
      <c r="E4986" t="s">
        <v>63</v>
      </c>
      <c r="F4986" t="s">
        <v>124</v>
      </c>
      <c r="G4986">
        <v>-4</v>
      </c>
      <c r="H4986" t="s">
        <v>73</v>
      </c>
      <c r="I4986" t="s">
        <v>121</v>
      </c>
      <c r="J4986" t="s">
        <v>122</v>
      </c>
      <c r="K4986">
        <v>0</v>
      </c>
      <c r="L4986" s="84">
        <v>33172</v>
      </c>
      <c r="M4986" s="84">
        <v>0</v>
      </c>
    </row>
    <row r="4987" spans="3:13" hidden="1" x14ac:dyDescent="0.25">
      <c r="C4987" t="s">
        <v>64</v>
      </c>
      <c r="D4987" t="s">
        <v>125</v>
      </c>
      <c r="E4987" t="s">
        <v>60</v>
      </c>
      <c r="F4987" t="s">
        <v>25</v>
      </c>
      <c r="G4987">
        <v>11</v>
      </c>
      <c r="I4987" t="s">
        <v>121</v>
      </c>
      <c r="J4987" t="s">
        <v>122</v>
      </c>
      <c r="K4987">
        <v>0</v>
      </c>
      <c r="L4987" s="84">
        <v>-121982</v>
      </c>
      <c r="M4987" s="84">
        <v>0</v>
      </c>
    </row>
    <row r="4988" spans="3:13" hidden="1" x14ac:dyDescent="0.25">
      <c r="C4988" t="s">
        <v>64</v>
      </c>
      <c r="D4988" t="s">
        <v>120</v>
      </c>
      <c r="E4988" t="s">
        <v>63</v>
      </c>
      <c r="F4988" t="s">
        <v>24</v>
      </c>
      <c r="G4988">
        <v>10</v>
      </c>
      <c r="H4988" t="s">
        <v>61</v>
      </c>
      <c r="I4988" t="s">
        <v>121</v>
      </c>
      <c r="J4988" t="s">
        <v>122</v>
      </c>
      <c r="K4988">
        <v>0</v>
      </c>
      <c r="L4988" s="84">
        <v>384884</v>
      </c>
      <c r="M4988" s="84">
        <v>3848840</v>
      </c>
    </row>
    <row r="4989" spans="3:13" hidden="1" x14ac:dyDescent="0.25">
      <c r="C4989" t="s">
        <v>65</v>
      </c>
      <c r="D4989" t="s">
        <v>120</v>
      </c>
      <c r="E4989" t="s">
        <v>63</v>
      </c>
      <c r="F4989" t="s">
        <v>123</v>
      </c>
      <c r="G4989">
        <v>1</v>
      </c>
      <c r="H4989" t="s">
        <v>12</v>
      </c>
      <c r="I4989" t="s">
        <v>121</v>
      </c>
      <c r="J4989" t="s">
        <v>122</v>
      </c>
      <c r="K4989">
        <v>0</v>
      </c>
      <c r="L4989" s="84">
        <v>178272</v>
      </c>
      <c r="M4989" s="84">
        <v>178272</v>
      </c>
    </row>
    <row r="4990" spans="3:13" hidden="1" x14ac:dyDescent="0.25">
      <c r="C4990" t="s">
        <v>119</v>
      </c>
      <c r="D4990" t="s">
        <v>120</v>
      </c>
      <c r="E4990" t="s">
        <v>60</v>
      </c>
      <c r="F4990" t="s">
        <v>124</v>
      </c>
      <c r="G4990">
        <v>4</v>
      </c>
      <c r="H4990" t="s">
        <v>15</v>
      </c>
      <c r="I4990" t="s">
        <v>62</v>
      </c>
      <c r="J4990" t="s">
        <v>122</v>
      </c>
      <c r="K4990">
        <v>1</v>
      </c>
      <c r="L4990" s="84">
        <v>-1556</v>
      </c>
      <c r="M4990" s="84">
        <v>0</v>
      </c>
    </row>
    <row r="4991" spans="3:13" hidden="1" x14ac:dyDescent="0.25">
      <c r="C4991" t="s">
        <v>119</v>
      </c>
      <c r="D4991" t="s">
        <v>120</v>
      </c>
      <c r="E4991" t="s">
        <v>63</v>
      </c>
      <c r="F4991" t="s">
        <v>124</v>
      </c>
      <c r="G4991">
        <v>5</v>
      </c>
      <c r="H4991" t="s">
        <v>13</v>
      </c>
      <c r="I4991" t="s">
        <v>121</v>
      </c>
      <c r="J4991" t="s">
        <v>122</v>
      </c>
      <c r="K4991">
        <v>0</v>
      </c>
      <c r="L4991" s="84">
        <v>510217</v>
      </c>
      <c r="M4991" s="84">
        <v>2551085</v>
      </c>
    </row>
    <row r="4992" spans="3:13" hidden="1" x14ac:dyDescent="0.25">
      <c r="C4992" t="s">
        <v>64</v>
      </c>
      <c r="D4992" t="s">
        <v>125</v>
      </c>
      <c r="E4992" t="s">
        <v>60</v>
      </c>
      <c r="F4992" t="s">
        <v>24</v>
      </c>
      <c r="G4992">
        <v>37</v>
      </c>
      <c r="I4992" t="s">
        <v>121</v>
      </c>
      <c r="J4992" t="s">
        <v>122</v>
      </c>
      <c r="K4992">
        <v>0</v>
      </c>
      <c r="L4992" s="84">
        <v>-1442461</v>
      </c>
      <c r="M4992" s="84">
        <v>0</v>
      </c>
    </row>
    <row r="4993" spans="3:13" hidden="1" x14ac:dyDescent="0.25">
      <c r="C4993" t="s">
        <v>64</v>
      </c>
      <c r="D4993" t="s">
        <v>120</v>
      </c>
      <c r="E4993" t="s">
        <v>60</v>
      </c>
      <c r="F4993" t="s">
        <v>25</v>
      </c>
      <c r="G4993">
        <v>4</v>
      </c>
      <c r="H4993" t="s">
        <v>17</v>
      </c>
      <c r="I4993" t="s">
        <v>121</v>
      </c>
      <c r="J4993" t="s">
        <v>122</v>
      </c>
      <c r="K4993">
        <v>0</v>
      </c>
      <c r="L4993" s="84">
        <v>-6475</v>
      </c>
      <c r="M4993" s="84">
        <v>0</v>
      </c>
    </row>
    <row r="4994" spans="3:13" hidden="1" x14ac:dyDescent="0.25">
      <c r="C4994" t="s">
        <v>64</v>
      </c>
      <c r="D4994" t="s">
        <v>120</v>
      </c>
      <c r="E4994" t="s">
        <v>60</v>
      </c>
      <c r="F4994" t="s">
        <v>25</v>
      </c>
      <c r="G4994">
        <v>6</v>
      </c>
      <c r="H4994" t="s">
        <v>17</v>
      </c>
      <c r="I4994" t="s">
        <v>121</v>
      </c>
      <c r="J4994" t="s">
        <v>66</v>
      </c>
      <c r="K4994">
        <v>1</v>
      </c>
      <c r="L4994" s="84">
        <v>-1376</v>
      </c>
      <c r="M4994" s="84">
        <v>0</v>
      </c>
    </row>
    <row r="4995" spans="3:13" hidden="1" x14ac:dyDescent="0.25">
      <c r="C4995" t="s">
        <v>119</v>
      </c>
      <c r="D4995" t="s">
        <v>120</v>
      </c>
      <c r="E4995" t="s">
        <v>60</v>
      </c>
      <c r="F4995" t="s">
        <v>124</v>
      </c>
      <c r="G4995">
        <v>4</v>
      </c>
      <c r="H4995" t="s">
        <v>14</v>
      </c>
      <c r="I4995" t="s">
        <v>121</v>
      </c>
      <c r="J4995" t="s">
        <v>66</v>
      </c>
      <c r="K4995">
        <v>1</v>
      </c>
      <c r="L4995" s="84">
        <v>-67189</v>
      </c>
      <c r="M4995" s="84">
        <v>0</v>
      </c>
    </row>
    <row r="4996" spans="3:13" hidden="1" x14ac:dyDescent="0.25">
      <c r="C4996" t="s">
        <v>119</v>
      </c>
      <c r="D4996" t="s">
        <v>120</v>
      </c>
      <c r="E4996" t="s">
        <v>60</v>
      </c>
      <c r="F4996" t="s">
        <v>25</v>
      </c>
      <c r="G4996">
        <v>6</v>
      </c>
      <c r="H4996" t="s">
        <v>18</v>
      </c>
      <c r="I4996" t="s">
        <v>121</v>
      </c>
      <c r="J4996" t="s">
        <v>66</v>
      </c>
      <c r="K4996">
        <v>1</v>
      </c>
      <c r="L4996" s="84">
        <v>-7671</v>
      </c>
      <c r="M4996" s="84">
        <v>0</v>
      </c>
    </row>
    <row r="4997" spans="3:13" hidden="1" x14ac:dyDescent="0.25">
      <c r="C4997" t="s">
        <v>119</v>
      </c>
      <c r="D4997" t="s">
        <v>120</v>
      </c>
      <c r="E4997" t="s">
        <v>60</v>
      </c>
      <c r="F4997" t="s">
        <v>123</v>
      </c>
      <c r="G4997">
        <v>6</v>
      </c>
      <c r="H4997" t="s">
        <v>61</v>
      </c>
      <c r="I4997" t="s">
        <v>121</v>
      </c>
      <c r="J4997" t="s">
        <v>122</v>
      </c>
      <c r="K4997">
        <v>0</v>
      </c>
      <c r="L4997" s="84">
        <v>-1936</v>
      </c>
      <c r="M4997" s="84">
        <v>0</v>
      </c>
    </row>
    <row r="4998" spans="3:13" hidden="1" x14ac:dyDescent="0.25">
      <c r="C4998" t="s">
        <v>119</v>
      </c>
      <c r="D4998" t="s">
        <v>126</v>
      </c>
      <c r="E4998" t="s">
        <v>60</v>
      </c>
      <c r="F4998" t="s">
        <v>25</v>
      </c>
      <c r="G4998">
        <v>7</v>
      </c>
      <c r="H4998" t="s">
        <v>68</v>
      </c>
      <c r="I4998" t="s">
        <v>121</v>
      </c>
      <c r="J4998" t="s">
        <v>122</v>
      </c>
      <c r="K4998">
        <v>0</v>
      </c>
      <c r="L4998" s="84">
        <v>-1071</v>
      </c>
      <c r="M4998" s="84">
        <v>0</v>
      </c>
    </row>
    <row r="4999" spans="3:13" hidden="1" x14ac:dyDescent="0.25">
      <c r="C4999" t="s">
        <v>64</v>
      </c>
      <c r="D4999" t="s">
        <v>120</v>
      </c>
      <c r="E4999" t="s">
        <v>63</v>
      </c>
      <c r="F4999" t="s">
        <v>123</v>
      </c>
      <c r="G4999">
        <v>4</v>
      </c>
      <c r="H4999" t="s">
        <v>17</v>
      </c>
      <c r="I4999" t="s">
        <v>62</v>
      </c>
      <c r="J4999" t="s">
        <v>66</v>
      </c>
      <c r="K4999">
        <v>1</v>
      </c>
      <c r="L4999" s="84">
        <v>104506</v>
      </c>
      <c r="M4999" s="84">
        <v>418024</v>
      </c>
    </row>
    <row r="5000" spans="3:13" hidden="1" x14ac:dyDescent="0.25">
      <c r="C5000" t="s">
        <v>64</v>
      </c>
      <c r="D5000" t="s">
        <v>120</v>
      </c>
      <c r="E5000" t="s">
        <v>63</v>
      </c>
      <c r="F5000" t="s">
        <v>124</v>
      </c>
      <c r="G5000">
        <v>3</v>
      </c>
      <c r="H5000" t="s">
        <v>12</v>
      </c>
      <c r="I5000" t="s">
        <v>121</v>
      </c>
      <c r="J5000" t="s">
        <v>66</v>
      </c>
      <c r="K5000">
        <v>1</v>
      </c>
      <c r="L5000" s="84">
        <v>997390</v>
      </c>
      <c r="M5000" s="84">
        <v>2992170</v>
      </c>
    </row>
    <row r="5001" spans="3:13" hidden="1" x14ac:dyDescent="0.25">
      <c r="C5001" t="s">
        <v>119</v>
      </c>
      <c r="D5001" t="s">
        <v>120</v>
      </c>
      <c r="E5001" t="s">
        <v>60</v>
      </c>
      <c r="F5001" t="s">
        <v>123</v>
      </c>
      <c r="G5001">
        <v>5</v>
      </c>
      <c r="H5001" t="s">
        <v>17</v>
      </c>
      <c r="I5001" t="s">
        <v>121</v>
      </c>
      <c r="J5001" t="s">
        <v>122</v>
      </c>
      <c r="K5001">
        <v>0</v>
      </c>
      <c r="L5001" s="84">
        <v>-18050</v>
      </c>
      <c r="M5001" s="84">
        <v>0</v>
      </c>
    </row>
    <row r="5002" spans="3:13" hidden="1" x14ac:dyDescent="0.25">
      <c r="C5002" t="s">
        <v>64</v>
      </c>
      <c r="D5002" t="s">
        <v>120</v>
      </c>
      <c r="E5002" t="s">
        <v>60</v>
      </c>
      <c r="F5002" t="s">
        <v>25</v>
      </c>
      <c r="G5002">
        <v>-1</v>
      </c>
      <c r="H5002" t="s">
        <v>69</v>
      </c>
      <c r="I5002" t="s">
        <v>121</v>
      </c>
      <c r="J5002" t="s">
        <v>122</v>
      </c>
      <c r="K5002">
        <v>0</v>
      </c>
      <c r="L5002" s="84">
        <v>-3976</v>
      </c>
      <c r="M5002" s="84">
        <v>0</v>
      </c>
    </row>
    <row r="5003" spans="3:13" hidden="1" x14ac:dyDescent="0.25">
      <c r="C5003" t="s">
        <v>119</v>
      </c>
      <c r="D5003" t="s">
        <v>120</v>
      </c>
      <c r="E5003" t="s">
        <v>63</v>
      </c>
      <c r="F5003" t="s">
        <v>24</v>
      </c>
      <c r="G5003">
        <v>0</v>
      </c>
      <c r="H5003" t="s">
        <v>68</v>
      </c>
      <c r="I5003" t="s">
        <v>121</v>
      </c>
      <c r="J5003" t="s">
        <v>122</v>
      </c>
      <c r="K5003">
        <v>0</v>
      </c>
      <c r="L5003" s="84">
        <v>20111214</v>
      </c>
      <c r="M5003" s="84">
        <v>0</v>
      </c>
    </row>
    <row r="5004" spans="3:13" x14ac:dyDescent="0.25">
      <c r="C5004" t="s">
        <v>119</v>
      </c>
      <c r="D5004" t="s">
        <v>120</v>
      </c>
      <c r="E5004" t="s">
        <v>63</v>
      </c>
      <c r="F5004" t="s">
        <v>25</v>
      </c>
      <c r="G5004">
        <v>11</v>
      </c>
      <c r="H5004" t="s">
        <v>17</v>
      </c>
      <c r="I5004" t="s">
        <v>62</v>
      </c>
      <c r="J5004" t="s">
        <v>66</v>
      </c>
      <c r="K5004">
        <v>1</v>
      </c>
      <c r="L5004" s="84">
        <v>73734</v>
      </c>
      <c r="M5004" s="84">
        <v>811074</v>
      </c>
    </row>
    <row r="5005" spans="3:13" hidden="1" x14ac:dyDescent="0.25">
      <c r="C5005" t="s">
        <v>119</v>
      </c>
      <c r="D5005" t="s">
        <v>120</v>
      </c>
      <c r="E5005" t="s">
        <v>63</v>
      </c>
      <c r="F5005" t="s">
        <v>124</v>
      </c>
      <c r="G5005">
        <v>3</v>
      </c>
      <c r="H5005" t="s">
        <v>68</v>
      </c>
      <c r="I5005" t="s">
        <v>121</v>
      </c>
      <c r="J5005" t="s">
        <v>122</v>
      </c>
      <c r="K5005">
        <v>0</v>
      </c>
      <c r="L5005" s="84">
        <v>15413780</v>
      </c>
      <c r="M5005" s="84">
        <v>46241340</v>
      </c>
    </row>
    <row r="5006" spans="3:13" hidden="1" x14ac:dyDescent="0.25">
      <c r="C5006" t="s">
        <v>119</v>
      </c>
      <c r="D5006" t="s">
        <v>120</v>
      </c>
      <c r="E5006" t="s">
        <v>60</v>
      </c>
      <c r="F5006" t="s">
        <v>124</v>
      </c>
      <c r="G5006">
        <v>13</v>
      </c>
      <c r="H5006" t="s">
        <v>69</v>
      </c>
      <c r="I5006" t="s">
        <v>121</v>
      </c>
      <c r="J5006" t="s">
        <v>122</v>
      </c>
      <c r="K5006">
        <v>0</v>
      </c>
      <c r="L5006" s="84">
        <v>-1145</v>
      </c>
      <c r="M5006" s="84">
        <v>0</v>
      </c>
    </row>
    <row r="5007" spans="3:13" hidden="1" x14ac:dyDescent="0.25">
      <c r="C5007" t="s">
        <v>64</v>
      </c>
      <c r="D5007" t="s">
        <v>125</v>
      </c>
      <c r="E5007" t="s">
        <v>60</v>
      </c>
      <c r="F5007" t="s">
        <v>25</v>
      </c>
      <c r="G5007">
        <v>0</v>
      </c>
      <c r="I5007" t="s">
        <v>121</v>
      </c>
      <c r="J5007" t="s">
        <v>122</v>
      </c>
      <c r="K5007">
        <v>0</v>
      </c>
      <c r="L5007" s="84">
        <v>-642</v>
      </c>
      <c r="M5007" s="84">
        <v>0</v>
      </c>
    </row>
    <row r="5008" spans="3:13" hidden="1" x14ac:dyDescent="0.25">
      <c r="C5008" t="s">
        <v>64</v>
      </c>
      <c r="D5008" t="s">
        <v>120</v>
      </c>
      <c r="E5008" t="s">
        <v>60</v>
      </c>
      <c r="F5008" t="s">
        <v>124</v>
      </c>
      <c r="G5008">
        <v>2</v>
      </c>
      <c r="H5008" t="s">
        <v>17</v>
      </c>
      <c r="I5008" t="s">
        <v>121</v>
      </c>
      <c r="J5008" t="s">
        <v>122</v>
      </c>
      <c r="K5008">
        <v>0</v>
      </c>
      <c r="L5008" s="84">
        <v>-505898</v>
      </c>
      <c r="M5008" s="84">
        <v>0</v>
      </c>
    </row>
    <row r="5009" spans="3:13" hidden="1" x14ac:dyDescent="0.25">
      <c r="C5009" t="s">
        <v>64</v>
      </c>
      <c r="D5009" t="s">
        <v>120</v>
      </c>
      <c r="E5009" t="s">
        <v>60</v>
      </c>
      <c r="F5009" t="s">
        <v>24</v>
      </c>
      <c r="G5009">
        <v>1</v>
      </c>
      <c r="H5009" t="s">
        <v>14</v>
      </c>
      <c r="I5009" t="s">
        <v>121</v>
      </c>
      <c r="J5009" t="s">
        <v>122</v>
      </c>
      <c r="K5009">
        <v>0</v>
      </c>
      <c r="L5009" s="84">
        <v>-722</v>
      </c>
      <c r="M5009" s="84">
        <v>0</v>
      </c>
    </row>
    <row r="5010" spans="3:13" hidden="1" x14ac:dyDescent="0.25">
      <c r="C5010" t="s">
        <v>64</v>
      </c>
      <c r="D5010" t="s">
        <v>120</v>
      </c>
      <c r="E5010" t="s">
        <v>63</v>
      </c>
      <c r="F5010" t="s">
        <v>124</v>
      </c>
      <c r="G5010">
        <v>-1</v>
      </c>
      <c r="H5010" t="s">
        <v>14</v>
      </c>
      <c r="I5010" t="s">
        <v>121</v>
      </c>
      <c r="J5010" t="s">
        <v>66</v>
      </c>
      <c r="K5010">
        <v>1</v>
      </c>
      <c r="L5010" s="84">
        <v>13286306</v>
      </c>
      <c r="M5010" s="84">
        <v>0</v>
      </c>
    </row>
    <row r="5011" spans="3:13" hidden="1" x14ac:dyDescent="0.25">
      <c r="C5011" t="s">
        <v>119</v>
      </c>
      <c r="D5011" t="s">
        <v>120</v>
      </c>
      <c r="E5011" t="s">
        <v>63</v>
      </c>
      <c r="F5011" t="s">
        <v>124</v>
      </c>
      <c r="G5011">
        <v>0</v>
      </c>
      <c r="H5011" t="s">
        <v>18</v>
      </c>
      <c r="I5011" t="s">
        <v>121</v>
      </c>
      <c r="J5011" t="s">
        <v>122</v>
      </c>
      <c r="K5011">
        <v>0</v>
      </c>
      <c r="L5011" s="84">
        <v>527788314</v>
      </c>
      <c r="M5011" s="84">
        <v>0</v>
      </c>
    </row>
    <row r="5012" spans="3:13" hidden="1" x14ac:dyDescent="0.25">
      <c r="C5012" t="s">
        <v>119</v>
      </c>
      <c r="D5012" t="s">
        <v>120</v>
      </c>
      <c r="E5012" t="s">
        <v>63</v>
      </c>
      <c r="F5012" t="s">
        <v>24</v>
      </c>
      <c r="G5012">
        <v>5</v>
      </c>
      <c r="H5012" t="s">
        <v>14</v>
      </c>
      <c r="I5012" t="s">
        <v>121</v>
      </c>
      <c r="J5012" t="s">
        <v>122</v>
      </c>
      <c r="K5012">
        <v>0</v>
      </c>
      <c r="L5012" s="84">
        <v>176877</v>
      </c>
      <c r="M5012" s="84">
        <v>884385</v>
      </c>
    </row>
    <row r="5013" spans="3:13" hidden="1" x14ac:dyDescent="0.25">
      <c r="C5013" t="s">
        <v>119</v>
      </c>
      <c r="D5013" t="s">
        <v>120</v>
      </c>
      <c r="E5013" t="s">
        <v>60</v>
      </c>
      <c r="F5013" t="s">
        <v>25</v>
      </c>
      <c r="G5013">
        <v>11</v>
      </c>
      <c r="H5013" t="s">
        <v>72</v>
      </c>
      <c r="I5013" t="s">
        <v>121</v>
      </c>
      <c r="J5013" t="s">
        <v>122</v>
      </c>
      <c r="K5013">
        <v>0</v>
      </c>
      <c r="L5013" s="84">
        <v>-16884</v>
      </c>
      <c r="M5013" s="84">
        <v>0</v>
      </c>
    </row>
    <row r="5014" spans="3:13" hidden="1" x14ac:dyDescent="0.25">
      <c r="C5014" t="s">
        <v>119</v>
      </c>
      <c r="D5014" t="s">
        <v>125</v>
      </c>
      <c r="E5014" t="s">
        <v>63</v>
      </c>
      <c r="F5014" t="s">
        <v>25</v>
      </c>
      <c r="G5014">
        <v>22</v>
      </c>
      <c r="I5014" t="s">
        <v>121</v>
      </c>
      <c r="J5014" t="s">
        <v>122</v>
      </c>
      <c r="K5014">
        <v>0</v>
      </c>
      <c r="L5014" s="84">
        <v>206232</v>
      </c>
      <c r="M5014" s="84">
        <v>4537104</v>
      </c>
    </row>
    <row r="5015" spans="3:13" hidden="1" x14ac:dyDescent="0.25">
      <c r="C5015" t="s">
        <v>64</v>
      </c>
      <c r="D5015" t="s">
        <v>120</v>
      </c>
      <c r="E5015" t="s">
        <v>63</v>
      </c>
      <c r="F5015" t="s">
        <v>24</v>
      </c>
      <c r="G5015">
        <v>16</v>
      </c>
      <c r="H5015" t="s">
        <v>68</v>
      </c>
      <c r="I5015" t="s">
        <v>121</v>
      </c>
      <c r="J5015" t="s">
        <v>122</v>
      </c>
      <c r="K5015">
        <v>0</v>
      </c>
      <c r="L5015" s="84">
        <v>253933</v>
      </c>
      <c r="M5015" s="84">
        <v>4062928</v>
      </c>
    </row>
    <row r="5016" spans="3:13" hidden="1" x14ac:dyDescent="0.25">
      <c r="C5016" t="s">
        <v>65</v>
      </c>
      <c r="D5016" t="s">
        <v>125</v>
      </c>
      <c r="E5016" t="s">
        <v>60</v>
      </c>
      <c r="F5016" t="s">
        <v>25</v>
      </c>
      <c r="G5016">
        <v>15</v>
      </c>
      <c r="I5016" t="s">
        <v>121</v>
      </c>
      <c r="J5016" t="s">
        <v>122</v>
      </c>
      <c r="K5016">
        <v>0</v>
      </c>
      <c r="L5016" s="84">
        <v>-67097</v>
      </c>
      <c r="M5016" s="84">
        <v>0</v>
      </c>
    </row>
    <row r="5017" spans="3:13" hidden="1" x14ac:dyDescent="0.25">
      <c r="C5017" t="s">
        <v>64</v>
      </c>
      <c r="D5017" t="s">
        <v>120</v>
      </c>
      <c r="E5017" t="s">
        <v>63</v>
      </c>
      <c r="F5017" t="s">
        <v>123</v>
      </c>
      <c r="G5017">
        <v>2</v>
      </c>
      <c r="H5017" t="s">
        <v>69</v>
      </c>
      <c r="I5017" t="s">
        <v>121</v>
      </c>
      <c r="J5017" t="s">
        <v>122</v>
      </c>
      <c r="K5017">
        <v>0</v>
      </c>
      <c r="L5017" s="84">
        <v>250878</v>
      </c>
      <c r="M5017" s="84">
        <v>501756</v>
      </c>
    </row>
    <row r="5018" spans="3:13" hidden="1" x14ac:dyDescent="0.25">
      <c r="C5018" t="s">
        <v>64</v>
      </c>
      <c r="D5018" t="s">
        <v>120</v>
      </c>
      <c r="E5018" t="s">
        <v>60</v>
      </c>
      <c r="F5018" t="s">
        <v>25</v>
      </c>
      <c r="G5018">
        <v>11</v>
      </c>
      <c r="H5018" t="s">
        <v>71</v>
      </c>
      <c r="I5018" t="s">
        <v>121</v>
      </c>
      <c r="J5018" t="s">
        <v>122</v>
      </c>
      <c r="K5018">
        <v>0</v>
      </c>
      <c r="L5018" s="84">
        <v>-9493</v>
      </c>
      <c r="M5018" s="84">
        <v>0</v>
      </c>
    </row>
    <row r="5019" spans="3:13" hidden="1" x14ac:dyDescent="0.25">
      <c r="C5019" t="s">
        <v>64</v>
      </c>
      <c r="D5019" t="s">
        <v>120</v>
      </c>
      <c r="E5019" t="s">
        <v>60</v>
      </c>
      <c r="F5019" t="s">
        <v>123</v>
      </c>
      <c r="G5019">
        <v>5</v>
      </c>
      <c r="H5019" t="s">
        <v>17</v>
      </c>
      <c r="I5019" t="s">
        <v>121</v>
      </c>
      <c r="J5019" t="s">
        <v>122</v>
      </c>
      <c r="K5019">
        <v>0</v>
      </c>
      <c r="L5019" s="84">
        <v>-815</v>
      </c>
      <c r="M5019" s="84">
        <v>0</v>
      </c>
    </row>
    <row r="5020" spans="3:13" hidden="1" x14ac:dyDescent="0.25">
      <c r="C5020" t="s">
        <v>65</v>
      </c>
      <c r="D5020" t="s">
        <v>120</v>
      </c>
      <c r="E5020" t="s">
        <v>63</v>
      </c>
      <c r="F5020" t="s">
        <v>123</v>
      </c>
      <c r="G5020">
        <v>3</v>
      </c>
      <c r="H5020" t="s">
        <v>70</v>
      </c>
      <c r="I5020" t="s">
        <v>121</v>
      </c>
      <c r="J5020" t="s">
        <v>122</v>
      </c>
      <c r="K5020">
        <v>0</v>
      </c>
      <c r="L5020" s="84">
        <v>24348</v>
      </c>
      <c r="M5020" s="84">
        <v>73044</v>
      </c>
    </row>
    <row r="5021" spans="3:13" hidden="1" x14ac:dyDescent="0.25">
      <c r="C5021" t="s">
        <v>119</v>
      </c>
      <c r="D5021" t="s">
        <v>120</v>
      </c>
      <c r="E5021" t="s">
        <v>63</v>
      </c>
      <c r="F5021" t="s">
        <v>123</v>
      </c>
      <c r="G5021">
        <v>6</v>
      </c>
      <c r="H5021" t="s">
        <v>68</v>
      </c>
      <c r="I5021" t="s">
        <v>121</v>
      </c>
      <c r="J5021" t="s">
        <v>122</v>
      </c>
      <c r="K5021">
        <v>0</v>
      </c>
      <c r="L5021" s="84">
        <v>714404</v>
      </c>
      <c r="M5021" s="84">
        <v>4286424</v>
      </c>
    </row>
    <row r="5022" spans="3:13" hidden="1" x14ac:dyDescent="0.25">
      <c r="C5022" t="s">
        <v>64</v>
      </c>
      <c r="D5022" t="s">
        <v>125</v>
      </c>
      <c r="E5022" t="s">
        <v>63</v>
      </c>
      <c r="F5022" t="s">
        <v>24</v>
      </c>
      <c r="G5022">
        <v>49</v>
      </c>
      <c r="I5022" t="s">
        <v>121</v>
      </c>
      <c r="J5022" t="s">
        <v>122</v>
      </c>
      <c r="K5022">
        <v>0</v>
      </c>
      <c r="L5022" s="84">
        <v>58573</v>
      </c>
      <c r="M5022" s="84">
        <v>2870077</v>
      </c>
    </row>
    <row r="5023" spans="3:13" hidden="1" x14ac:dyDescent="0.25">
      <c r="C5023" t="s">
        <v>64</v>
      </c>
      <c r="D5023" t="s">
        <v>120</v>
      </c>
      <c r="E5023" t="s">
        <v>60</v>
      </c>
      <c r="F5023" t="s">
        <v>124</v>
      </c>
      <c r="G5023">
        <v>7</v>
      </c>
      <c r="H5023" t="s">
        <v>72</v>
      </c>
      <c r="I5023" t="s">
        <v>121</v>
      </c>
      <c r="J5023" t="s">
        <v>122</v>
      </c>
      <c r="K5023">
        <v>0</v>
      </c>
      <c r="L5023" s="84">
        <v>-139542</v>
      </c>
      <c r="M5023" s="84">
        <v>0</v>
      </c>
    </row>
    <row r="5024" spans="3:13" hidden="1" x14ac:dyDescent="0.25">
      <c r="C5024" t="s">
        <v>64</v>
      </c>
      <c r="D5024" t="s">
        <v>120</v>
      </c>
      <c r="E5024" t="s">
        <v>63</v>
      </c>
      <c r="F5024" t="s">
        <v>123</v>
      </c>
      <c r="G5024">
        <v>1</v>
      </c>
      <c r="H5024" t="s">
        <v>14</v>
      </c>
      <c r="I5024" t="s">
        <v>121</v>
      </c>
      <c r="J5024" t="s">
        <v>66</v>
      </c>
      <c r="K5024">
        <v>1</v>
      </c>
      <c r="L5024" s="84">
        <v>476850</v>
      </c>
      <c r="M5024" s="84">
        <v>476850</v>
      </c>
    </row>
    <row r="5025" spans="3:13" hidden="1" x14ac:dyDescent="0.25">
      <c r="C5025" t="s">
        <v>65</v>
      </c>
      <c r="D5025" t="s">
        <v>120</v>
      </c>
      <c r="E5025" t="s">
        <v>60</v>
      </c>
      <c r="F5025" t="s">
        <v>25</v>
      </c>
      <c r="G5025">
        <v>6</v>
      </c>
      <c r="H5025" t="s">
        <v>14</v>
      </c>
      <c r="I5025" t="s">
        <v>121</v>
      </c>
      <c r="J5025" t="s">
        <v>66</v>
      </c>
      <c r="K5025">
        <v>1</v>
      </c>
      <c r="L5025" s="84">
        <v>-69155</v>
      </c>
      <c r="M5025" s="84">
        <v>0</v>
      </c>
    </row>
    <row r="5026" spans="3:13" hidden="1" x14ac:dyDescent="0.25">
      <c r="C5026" t="s">
        <v>65</v>
      </c>
      <c r="D5026" t="s">
        <v>120</v>
      </c>
      <c r="E5026" t="s">
        <v>60</v>
      </c>
      <c r="F5026" t="s">
        <v>24</v>
      </c>
      <c r="G5026">
        <v>1</v>
      </c>
      <c r="H5026" t="s">
        <v>69</v>
      </c>
      <c r="I5026" t="s">
        <v>121</v>
      </c>
      <c r="J5026" t="s">
        <v>122</v>
      </c>
      <c r="K5026">
        <v>0</v>
      </c>
      <c r="L5026" s="84">
        <v>-130121</v>
      </c>
      <c r="M5026" s="84">
        <v>0</v>
      </c>
    </row>
    <row r="5027" spans="3:13" hidden="1" x14ac:dyDescent="0.25">
      <c r="C5027" t="s">
        <v>65</v>
      </c>
      <c r="D5027" t="s">
        <v>120</v>
      </c>
      <c r="E5027" t="s">
        <v>60</v>
      </c>
      <c r="F5027" t="s">
        <v>25</v>
      </c>
      <c r="G5027">
        <v>-4</v>
      </c>
      <c r="H5027" t="s">
        <v>72</v>
      </c>
      <c r="I5027" t="s">
        <v>121</v>
      </c>
      <c r="J5027" t="s">
        <v>122</v>
      </c>
      <c r="K5027">
        <v>0</v>
      </c>
      <c r="L5027" s="84">
        <v>-44282</v>
      </c>
      <c r="M5027" s="84">
        <v>0</v>
      </c>
    </row>
    <row r="5028" spans="3:13" hidden="1" x14ac:dyDescent="0.25">
      <c r="C5028" t="s">
        <v>64</v>
      </c>
      <c r="D5028" t="s">
        <v>120</v>
      </c>
      <c r="E5028" t="s">
        <v>60</v>
      </c>
      <c r="F5028" t="s">
        <v>124</v>
      </c>
      <c r="G5028">
        <v>1</v>
      </c>
      <c r="H5028" t="s">
        <v>70</v>
      </c>
      <c r="I5028" t="s">
        <v>121</v>
      </c>
      <c r="J5028" t="s">
        <v>122</v>
      </c>
      <c r="K5028">
        <v>0</v>
      </c>
      <c r="L5028" s="84">
        <v>-62062</v>
      </c>
      <c r="M5028" s="84">
        <v>0</v>
      </c>
    </row>
    <row r="5029" spans="3:13" hidden="1" x14ac:dyDescent="0.25">
      <c r="C5029" t="s">
        <v>64</v>
      </c>
      <c r="D5029" t="s">
        <v>120</v>
      </c>
      <c r="E5029" t="s">
        <v>63</v>
      </c>
      <c r="F5029" t="s">
        <v>24</v>
      </c>
      <c r="G5029">
        <v>0</v>
      </c>
      <c r="H5029" t="s">
        <v>70</v>
      </c>
      <c r="I5029" t="s">
        <v>121</v>
      </c>
      <c r="J5029" t="s">
        <v>122</v>
      </c>
      <c r="K5029">
        <v>0</v>
      </c>
      <c r="L5029" s="84">
        <v>4727</v>
      </c>
      <c r="M5029" s="84">
        <v>0</v>
      </c>
    </row>
    <row r="5030" spans="3:13" hidden="1" x14ac:dyDescent="0.25">
      <c r="C5030" t="s">
        <v>119</v>
      </c>
      <c r="D5030" t="s">
        <v>120</v>
      </c>
      <c r="E5030" t="s">
        <v>63</v>
      </c>
      <c r="F5030" t="s">
        <v>24</v>
      </c>
      <c r="G5030">
        <v>7</v>
      </c>
      <c r="H5030" t="s">
        <v>69</v>
      </c>
      <c r="I5030" t="s">
        <v>121</v>
      </c>
      <c r="J5030" t="s">
        <v>122</v>
      </c>
      <c r="K5030">
        <v>0</v>
      </c>
      <c r="L5030" s="84">
        <v>10605529</v>
      </c>
      <c r="M5030" s="84">
        <v>74238703</v>
      </c>
    </row>
    <row r="5031" spans="3:13" hidden="1" x14ac:dyDescent="0.25">
      <c r="C5031" t="s">
        <v>64</v>
      </c>
      <c r="D5031" t="s">
        <v>120</v>
      </c>
      <c r="E5031" t="s">
        <v>60</v>
      </c>
      <c r="F5031" t="s">
        <v>124</v>
      </c>
      <c r="G5031">
        <v>9</v>
      </c>
      <c r="H5031" t="s">
        <v>68</v>
      </c>
      <c r="I5031" t="s">
        <v>121</v>
      </c>
      <c r="J5031" t="s">
        <v>122</v>
      </c>
      <c r="K5031">
        <v>0</v>
      </c>
      <c r="L5031" s="84">
        <v>-27850</v>
      </c>
      <c r="M5031" s="84">
        <v>0</v>
      </c>
    </row>
    <row r="5032" spans="3:13" hidden="1" x14ac:dyDescent="0.25">
      <c r="C5032" t="s">
        <v>65</v>
      </c>
      <c r="D5032" t="s">
        <v>120</v>
      </c>
      <c r="E5032" t="s">
        <v>60</v>
      </c>
      <c r="F5032" t="s">
        <v>124</v>
      </c>
      <c r="G5032">
        <v>6</v>
      </c>
      <c r="H5032" t="s">
        <v>71</v>
      </c>
      <c r="I5032" t="s">
        <v>121</v>
      </c>
      <c r="J5032" t="s">
        <v>122</v>
      </c>
      <c r="K5032">
        <v>0</v>
      </c>
      <c r="L5032" s="84">
        <v>-10289</v>
      </c>
      <c r="M5032" s="84">
        <v>0</v>
      </c>
    </row>
    <row r="5033" spans="3:13" hidden="1" x14ac:dyDescent="0.25">
      <c r="C5033" t="s">
        <v>64</v>
      </c>
      <c r="D5033" t="s">
        <v>125</v>
      </c>
      <c r="E5033" t="s">
        <v>63</v>
      </c>
      <c r="F5033" t="s">
        <v>24</v>
      </c>
      <c r="G5033">
        <v>5</v>
      </c>
      <c r="I5033" t="s">
        <v>121</v>
      </c>
      <c r="J5033" t="s">
        <v>122</v>
      </c>
      <c r="K5033">
        <v>0</v>
      </c>
      <c r="L5033" s="84">
        <v>12827782</v>
      </c>
      <c r="M5033" s="84">
        <v>64138910</v>
      </c>
    </row>
    <row r="5034" spans="3:13" hidden="1" x14ac:dyDescent="0.25">
      <c r="C5034" t="s">
        <v>119</v>
      </c>
      <c r="D5034" t="s">
        <v>120</v>
      </c>
      <c r="E5034" t="s">
        <v>60</v>
      </c>
      <c r="F5034" t="s">
        <v>124</v>
      </c>
      <c r="G5034">
        <v>3</v>
      </c>
      <c r="H5034" t="s">
        <v>14</v>
      </c>
      <c r="I5034" t="s">
        <v>121</v>
      </c>
      <c r="J5034" t="s">
        <v>122</v>
      </c>
      <c r="K5034">
        <v>0</v>
      </c>
      <c r="L5034" s="84">
        <v>-191653</v>
      </c>
      <c r="M5034" s="84">
        <v>0</v>
      </c>
    </row>
    <row r="5035" spans="3:13" hidden="1" x14ac:dyDescent="0.25">
      <c r="C5035" t="s">
        <v>65</v>
      </c>
      <c r="D5035" t="s">
        <v>120</v>
      </c>
      <c r="E5035" t="s">
        <v>63</v>
      </c>
      <c r="F5035" t="s">
        <v>25</v>
      </c>
      <c r="G5035">
        <v>6</v>
      </c>
      <c r="H5035" t="s">
        <v>73</v>
      </c>
      <c r="I5035" t="s">
        <v>121</v>
      </c>
      <c r="J5035" t="s">
        <v>122</v>
      </c>
      <c r="K5035">
        <v>0</v>
      </c>
      <c r="L5035" s="84">
        <v>55481</v>
      </c>
      <c r="M5035" s="84">
        <v>332886</v>
      </c>
    </row>
    <row r="5036" spans="3:13" hidden="1" x14ac:dyDescent="0.25">
      <c r="C5036" t="s">
        <v>119</v>
      </c>
      <c r="D5036" t="s">
        <v>120</v>
      </c>
      <c r="E5036" t="s">
        <v>60</v>
      </c>
      <c r="F5036" t="s">
        <v>123</v>
      </c>
      <c r="G5036">
        <v>6</v>
      </c>
      <c r="H5036" t="s">
        <v>71</v>
      </c>
      <c r="I5036" t="s">
        <v>121</v>
      </c>
      <c r="J5036" t="s">
        <v>122</v>
      </c>
      <c r="K5036">
        <v>0</v>
      </c>
      <c r="L5036" s="84">
        <v>-288</v>
      </c>
      <c r="M5036" s="84">
        <v>0</v>
      </c>
    </row>
    <row r="5037" spans="3:13" hidden="1" x14ac:dyDescent="0.25">
      <c r="C5037" t="s">
        <v>119</v>
      </c>
      <c r="D5037" t="s">
        <v>120</v>
      </c>
      <c r="E5037" t="s">
        <v>63</v>
      </c>
      <c r="F5037" t="s">
        <v>124</v>
      </c>
      <c r="G5037">
        <v>6</v>
      </c>
      <c r="H5037" t="s">
        <v>69</v>
      </c>
      <c r="I5037" t="s">
        <v>121</v>
      </c>
      <c r="J5037" t="s">
        <v>122</v>
      </c>
      <c r="K5037">
        <v>0</v>
      </c>
      <c r="L5037" s="84">
        <v>7657012</v>
      </c>
      <c r="M5037" s="84">
        <v>45942072</v>
      </c>
    </row>
    <row r="5038" spans="3:13" hidden="1" x14ac:dyDescent="0.25">
      <c r="C5038" t="s">
        <v>65</v>
      </c>
      <c r="D5038" t="s">
        <v>125</v>
      </c>
      <c r="E5038" t="s">
        <v>60</v>
      </c>
      <c r="F5038" t="s">
        <v>24</v>
      </c>
      <c r="G5038">
        <v>1</v>
      </c>
      <c r="I5038" t="s">
        <v>121</v>
      </c>
      <c r="J5038" t="s">
        <v>122</v>
      </c>
      <c r="K5038">
        <v>0</v>
      </c>
      <c r="L5038" s="84">
        <v>-85305</v>
      </c>
      <c r="M5038" s="84">
        <v>0</v>
      </c>
    </row>
    <row r="5039" spans="3:13" hidden="1" x14ac:dyDescent="0.25">
      <c r="C5039" t="s">
        <v>65</v>
      </c>
      <c r="D5039" t="s">
        <v>125</v>
      </c>
      <c r="E5039" t="s">
        <v>60</v>
      </c>
      <c r="F5039" t="s">
        <v>24</v>
      </c>
      <c r="G5039">
        <v>33</v>
      </c>
      <c r="I5039" t="s">
        <v>121</v>
      </c>
      <c r="J5039" t="s">
        <v>122</v>
      </c>
      <c r="K5039">
        <v>0</v>
      </c>
      <c r="L5039" s="84">
        <v>-1354967</v>
      </c>
      <c r="M5039" s="84">
        <v>0</v>
      </c>
    </row>
    <row r="5040" spans="3:13" hidden="1" x14ac:dyDescent="0.25">
      <c r="C5040" t="s">
        <v>119</v>
      </c>
      <c r="D5040" t="s">
        <v>120</v>
      </c>
      <c r="E5040" t="s">
        <v>63</v>
      </c>
      <c r="F5040" t="s">
        <v>25</v>
      </c>
      <c r="G5040">
        <v>8</v>
      </c>
      <c r="H5040" t="s">
        <v>75</v>
      </c>
      <c r="I5040" t="s">
        <v>121</v>
      </c>
      <c r="J5040" t="s">
        <v>122</v>
      </c>
      <c r="K5040">
        <v>0</v>
      </c>
      <c r="L5040" s="84">
        <v>323003</v>
      </c>
      <c r="M5040" s="84">
        <v>2584024</v>
      </c>
    </row>
    <row r="5041" spans="3:13" hidden="1" x14ac:dyDescent="0.25">
      <c r="C5041" t="s">
        <v>64</v>
      </c>
      <c r="D5041" t="s">
        <v>120</v>
      </c>
      <c r="E5041" t="s">
        <v>63</v>
      </c>
      <c r="F5041" t="s">
        <v>124</v>
      </c>
      <c r="G5041">
        <v>1</v>
      </c>
      <c r="H5041" t="s">
        <v>13</v>
      </c>
      <c r="I5041" t="s">
        <v>121</v>
      </c>
      <c r="J5041" t="s">
        <v>122</v>
      </c>
      <c r="K5041">
        <v>0</v>
      </c>
      <c r="L5041" s="84">
        <v>98079</v>
      </c>
      <c r="M5041" s="84">
        <v>98079</v>
      </c>
    </row>
    <row r="5042" spans="3:13" hidden="1" x14ac:dyDescent="0.25">
      <c r="C5042" t="s">
        <v>119</v>
      </c>
      <c r="D5042" t="s">
        <v>120</v>
      </c>
      <c r="E5042" t="s">
        <v>63</v>
      </c>
      <c r="F5042" t="s">
        <v>124</v>
      </c>
      <c r="G5042">
        <v>-1</v>
      </c>
      <c r="H5042" t="s">
        <v>71</v>
      </c>
      <c r="I5042" t="s">
        <v>121</v>
      </c>
      <c r="J5042" t="s">
        <v>122</v>
      </c>
      <c r="K5042">
        <v>0</v>
      </c>
      <c r="L5042" s="84">
        <v>2114107</v>
      </c>
      <c r="M5042" s="84">
        <v>0</v>
      </c>
    </row>
    <row r="5043" spans="3:13" hidden="1" x14ac:dyDescent="0.25">
      <c r="C5043" t="s">
        <v>65</v>
      </c>
      <c r="D5043" t="s">
        <v>120</v>
      </c>
      <c r="E5043" t="s">
        <v>60</v>
      </c>
      <c r="F5043" t="s">
        <v>24</v>
      </c>
      <c r="G5043">
        <v>-4</v>
      </c>
      <c r="H5043" t="s">
        <v>72</v>
      </c>
      <c r="I5043" t="s">
        <v>121</v>
      </c>
      <c r="J5043" t="s">
        <v>122</v>
      </c>
      <c r="K5043">
        <v>0</v>
      </c>
      <c r="L5043" s="84">
        <v>-62</v>
      </c>
      <c r="M5043" s="84">
        <v>0</v>
      </c>
    </row>
    <row r="5044" spans="3:13" hidden="1" x14ac:dyDescent="0.25">
      <c r="C5044" t="s">
        <v>64</v>
      </c>
      <c r="D5044" t="s">
        <v>120</v>
      </c>
      <c r="E5044" t="s">
        <v>63</v>
      </c>
      <c r="F5044" t="s">
        <v>25</v>
      </c>
      <c r="G5044">
        <v>4</v>
      </c>
      <c r="H5044" t="s">
        <v>76</v>
      </c>
      <c r="I5044" t="s">
        <v>121</v>
      </c>
      <c r="J5044" t="s">
        <v>122</v>
      </c>
      <c r="K5044">
        <v>0</v>
      </c>
      <c r="L5044" s="84">
        <v>24548</v>
      </c>
      <c r="M5044" s="84">
        <v>98192</v>
      </c>
    </row>
    <row r="5045" spans="3:13" hidden="1" x14ac:dyDescent="0.25">
      <c r="C5045" t="s">
        <v>119</v>
      </c>
      <c r="D5045" t="s">
        <v>120</v>
      </c>
      <c r="E5045" t="s">
        <v>60</v>
      </c>
      <c r="F5045" t="s">
        <v>25</v>
      </c>
      <c r="G5045">
        <v>6</v>
      </c>
      <c r="H5045" t="s">
        <v>70</v>
      </c>
      <c r="I5045" t="s">
        <v>121</v>
      </c>
      <c r="J5045" t="s">
        <v>122</v>
      </c>
      <c r="K5045">
        <v>0</v>
      </c>
      <c r="L5045" s="84">
        <v>-1697</v>
      </c>
      <c r="M5045" s="84">
        <v>0</v>
      </c>
    </row>
    <row r="5046" spans="3:13" hidden="1" x14ac:dyDescent="0.25">
      <c r="C5046" t="s">
        <v>65</v>
      </c>
      <c r="D5046" t="s">
        <v>120</v>
      </c>
      <c r="E5046" t="s">
        <v>60</v>
      </c>
      <c r="F5046" t="s">
        <v>25</v>
      </c>
      <c r="G5046">
        <v>8</v>
      </c>
      <c r="H5046" t="s">
        <v>18</v>
      </c>
      <c r="I5046" t="s">
        <v>121</v>
      </c>
      <c r="J5046" t="s">
        <v>122</v>
      </c>
      <c r="K5046">
        <v>0</v>
      </c>
      <c r="L5046" s="84">
        <v>-43992</v>
      </c>
      <c r="M5046" s="84">
        <v>0</v>
      </c>
    </row>
    <row r="5047" spans="3:13" hidden="1" x14ac:dyDescent="0.25">
      <c r="C5047" t="s">
        <v>65</v>
      </c>
      <c r="D5047" t="s">
        <v>120</v>
      </c>
      <c r="E5047" t="s">
        <v>63</v>
      </c>
      <c r="F5047" t="s">
        <v>124</v>
      </c>
      <c r="G5047">
        <v>6</v>
      </c>
      <c r="H5047" t="s">
        <v>14</v>
      </c>
      <c r="I5047" t="s">
        <v>121</v>
      </c>
      <c r="J5047" t="s">
        <v>122</v>
      </c>
      <c r="K5047">
        <v>0</v>
      </c>
      <c r="L5047" s="84">
        <v>1593868</v>
      </c>
      <c r="M5047" s="84">
        <v>9563208</v>
      </c>
    </row>
    <row r="5048" spans="3:13" x14ac:dyDescent="0.25">
      <c r="C5048" t="s">
        <v>119</v>
      </c>
      <c r="D5048" t="s">
        <v>120</v>
      </c>
      <c r="E5048" t="s">
        <v>63</v>
      </c>
      <c r="F5048" t="s">
        <v>25</v>
      </c>
      <c r="G5048">
        <v>9</v>
      </c>
      <c r="H5048" t="s">
        <v>17</v>
      </c>
      <c r="I5048" t="s">
        <v>62</v>
      </c>
      <c r="J5048" t="s">
        <v>66</v>
      </c>
      <c r="K5048">
        <v>1</v>
      </c>
      <c r="L5048" s="84">
        <v>127526</v>
      </c>
      <c r="M5048" s="84">
        <v>1147734</v>
      </c>
    </row>
    <row r="5049" spans="3:13" hidden="1" x14ac:dyDescent="0.25">
      <c r="C5049" t="s">
        <v>119</v>
      </c>
      <c r="D5049" t="s">
        <v>120</v>
      </c>
      <c r="E5049" t="s">
        <v>63</v>
      </c>
      <c r="F5049" t="s">
        <v>124</v>
      </c>
      <c r="G5049">
        <v>7</v>
      </c>
      <c r="H5049" t="s">
        <v>70</v>
      </c>
      <c r="I5049" t="s">
        <v>121</v>
      </c>
      <c r="J5049" t="s">
        <v>122</v>
      </c>
      <c r="K5049">
        <v>0</v>
      </c>
      <c r="L5049" s="84">
        <v>11671776</v>
      </c>
      <c r="M5049" s="84">
        <v>81702432</v>
      </c>
    </row>
    <row r="5050" spans="3:13" hidden="1" x14ac:dyDescent="0.25">
      <c r="C5050" t="s">
        <v>119</v>
      </c>
      <c r="D5050" t="s">
        <v>125</v>
      </c>
      <c r="E5050" t="s">
        <v>63</v>
      </c>
      <c r="F5050" t="s">
        <v>24</v>
      </c>
      <c r="G5050">
        <v>8</v>
      </c>
      <c r="I5050" t="s">
        <v>121</v>
      </c>
      <c r="J5050" t="s">
        <v>122</v>
      </c>
      <c r="K5050">
        <v>0</v>
      </c>
      <c r="L5050" s="84">
        <v>168618156</v>
      </c>
      <c r="M5050" s="84">
        <v>1348945248</v>
      </c>
    </row>
    <row r="5051" spans="3:13" hidden="1" x14ac:dyDescent="0.25">
      <c r="C5051" t="s">
        <v>65</v>
      </c>
      <c r="D5051" t="s">
        <v>120</v>
      </c>
      <c r="E5051" t="s">
        <v>63</v>
      </c>
      <c r="F5051" t="s">
        <v>25</v>
      </c>
      <c r="G5051">
        <v>7</v>
      </c>
      <c r="H5051" t="s">
        <v>67</v>
      </c>
      <c r="I5051" t="s">
        <v>121</v>
      </c>
      <c r="J5051" t="s">
        <v>122</v>
      </c>
      <c r="K5051">
        <v>0</v>
      </c>
      <c r="L5051" s="84">
        <v>171895</v>
      </c>
      <c r="M5051" s="84">
        <v>1203265</v>
      </c>
    </row>
    <row r="5052" spans="3:13" hidden="1" x14ac:dyDescent="0.25">
      <c r="C5052" t="s">
        <v>64</v>
      </c>
      <c r="D5052" t="s">
        <v>120</v>
      </c>
      <c r="E5052" t="s">
        <v>63</v>
      </c>
      <c r="F5052" t="s">
        <v>25</v>
      </c>
      <c r="G5052">
        <v>12</v>
      </c>
      <c r="H5052" t="s">
        <v>72</v>
      </c>
      <c r="I5052" t="s">
        <v>121</v>
      </c>
      <c r="J5052" t="s">
        <v>122</v>
      </c>
      <c r="K5052">
        <v>0</v>
      </c>
      <c r="L5052" s="84">
        <v>736662</v>
      </c>
      <c r="M5052" s="84">
        <v>8839944</v>
      </c>
    </row>
    <row r="5053" spans="3:13" hidden="1" x14ac:dyDescent="0.25">
      <c r="C5053" t="s">
        <v>64</v>
      </c>
      <c r="D5053" t="s">
        <v>120</v>
      </c>
      <c r="E5053" t="s">
        <v>60</v>
      </c>
      <c r="F5053" t="s">
        <v>123</v>
      </c>
      <c r="G5053">
        <v>4</v>
      </c>
      <c r="H5053" t="s">
        <v>75</v>
      </c>
      <c r="I5053" t="s">
        <v>121</v>
      </c>
      <c r="J5053" t="s">
        <v>122</v>
      </c>
      <c r="K5053">
        <v>0</v>
      </c>
      <c r="L5053" s="84">
        <v>-189163</v>
      </c>
      <c r="M5053" s="84">
        <v>0</v>
      </c>
    </row>
    <row r="5054" spans="3:13" hidden="1" x14ac:dyDescent="0.25">
      <c r="C5054" t="s">
        <v>119</v>
      </c>
      <c r="D5054" t="s">
        <v>120</v>
      </c>
      <c r="E5054" t="s">
        <v>63</v>
      </c>
      <c r="F5054" t="s">
        <v>123</v>
      </c>
      <c r="G5054">
        <v>5</v>
      </c>
      <c r="H5054" t="s">
        <v>17</v>
      </c>
      <c r="I5054" t="s">
        <v>62</v>
      </c>
      <c r="J5054" t="s">
        <v>66</v>
      </c>
      <c r="K5054">
        <v>1</v>
      </c>
      <c r="L5054" s="84">
        <v>135871</v>
      </c>
      <c r="M5054" s="84">
        <v>679355</v>
      </c>
    </row>
    <row r="5055" spans="3:13" hidden="1" x14ac:dyDescent="0.25">
      <c r="C5055" t="s">
        <v>119</v>
      </c>
      <c r="D5055" t="s">
        <v>126</v>
      </c>
      <c r="E5055" t="s">
        <v>63</v>
      </c>
      <c r="F5055" t="s">
        <v>24</v>
      </c>
      <c r="G5055">
        <v>2</v>
      </c>
      <c r="H5055" t="s">
        <v>74</v>
      </c>
      <c r="I5055" t="s">
        <v>121</v>
      </c>
      <c r="J5055" t="s">
        <v>122</v>
      </c>
      <c r="K5055">
        <v>0</v>
      </c>
      <c r="L5055" s="84">
        <v>9696633</v>
      </c>
      <c r="M5055" s="84">
        <v>19393266</v>
      </c>
    </row>
    <row r="5056" spans="3:13" hidden="1" x14ac:dyDescent="0.25">
      <c r="C5056" t="s">
        <v>119</v>
      </c>
      <c r="D5056" t="s">
        <v>120</v>
      </c>
      <c r="E5056" t="s">
        <v>63</v>
      </c>
      <c r="F5056" t="s">
        <v>123</v>
      </c>
      <c r="G5056">
        <v>9</v>
      </c>
      <c r="H5056" t="s">
        <v>18</v>
      </c>
      <c r="I5056" t="s">
        <v>121</v>
      </c>
      <c r="J5056" t="s">
        <v>122</v>
      </c>
      <c r="K5056">
        <v>0</v>
      </c>
      <c r="L5056" s="84">
        <v>275099</v>
      </c>
      <c r="M5056" s="84">
        <v>2475891</v>
      </c>
    </row>
    <row r="5057" spans="3:13" hidden="1" x14ac:dyDescent="0.25">
      <c r="C5057" t="s">
        <v>119</v>
      </c>
      <c r="D5057" t="s">
        <v>120</v>
      </c>
      <c r="E5057" t="s">
        <v>60</v>
      </c>
      <c r="F5057" t="s">
        <v>123</v>
      </c>
      <c r="G5057">
        <v>2</v>
      </c>
      <c r="H5057" t="s">
        <v>61</v>
      </c>
      <c r="I5057" t="s">
        <v>121</v>
      </c>
      <c r="J5057" t="s">
        <v>122</v>
      </c>
      <c r="K5057">
        <v>0</v>
      </c>
      <c r="L5057" s="84">
        <v>-11237</v>
      </c>
      <c r="M5057" s="84">
        <v>0</v>
      </c>
    </row>
    <row r="5058" spans="3:13" hidden="1" x14ac:dyDescent="0.25">
      <c r="C5058" t="s">
        <v>119</v>
      </c>
      <c r="D5058" t="s">
        <v>126</v>
      </c>
      <c r="E5058" t="s">
        <v>63</v>
      </c>
      <c r="F5058" t="s">
        <v>25</v>
      </c>
      <c r="G5058">
        <v>0</v>
      </c>
      <c r="H5058" t="s">
        <v>74</v>
      </c>
      <c r="I5058" t="s">
        <v>121</v>
      </c>
      <c r="J5058" t="s">
        <v>122</v>
      </c>
      <c r="K5058">
        <v>0</v>
      </c>
      <c r="L5058" s="84">
        <v>21937</v>
      </c>
      <c r="M5058" s="84">
        <v>0</v>
      </c>
    </row>
    <row r="5059" spans="3:13" hidden="1" x14ac:dyDescent="0.25">
      <c r="C5059" t="s">
        <v>64</v>
      </c>
      <c r="D5059" t="s">
        <v>120</v>
      </c>
      <c r="E5059" t="s">
        <v>60</v>
      </c>
      <c r="F5059" t="s">
        <v>25</v>
      </c>
      <c r="G5059">
        <v>1</v>
      </c>
      <c r="H5059" t="s">
        <v>16</v>
      </c>
      <c r="I5059" t="s">
        <v>121</v>
      </c>
      <c r="J5059" t="s">
        <v>122</v>
      </c>
      <c r="K5059">
        <v>0</v>
      </c>
      <c r="L5059" s="84">
        <v>-53</v>
      </c>
      <c r="M5059" s="84">
        <v>0</v>
      </c>
    </row>
    <row r="5060" spans="3:13" hidden="1" x14ac:dyDescent="0.25">
      <c r="C5060" t="s">
        <v>64</v>
      </c>
      <c r="D5060" t="s">
        <v>120</v>
      </c>
      <c r="E5060" t="s">
        <v>63</v>
      </c>
      <c r="F5060" t="s">
        <v>25</v>
      </c>
      <c r="G5060">
        <v>5</v>
      </c>
      <c r="H5060" t="s">
        <v>68</v>
      </c>
      <c r="I5060" t="s">
        <v>121</v>
      </c>
      <c r="J5060" t="s">
        <v>122</v>
      </c>
      <c r="K5060">
        <v>0</v>
      </c>
      <c r="L5060" s="84">
        <v>1776485</v>
      </c>
      <c r="M5060" s="84">
        <v>8882425</v>
      </c>
    </row>
    <row r="5061" spans="3:13" hidden="1" x14ac:dyDescent="0.25">
      <c r="C5061" t="s">
        <v>119</v>
      </c>
      <c r="D5061" t="s">
        <v>120</v>
      </c>
      <c r="E5061" t="s">
        <v>63</v>
      </c>
      <c r="F5061" t="s">
        <v>124</v>
      </c>
      <c r="G5061">
        <v>3</v>
      </c>
      <c r="H5061" t="s">
        <v>76</v>
      </c>
      <c r="I5061" t="s">
        <v>121</v>
      </c>
      <c r="J5061" t="s">
        <v>122</v>
      </c>
      <c r="K5061">
        <v>0</v>
      </c>
      <c r="L5061" s="84">
        <v>2323313</v>
      </c>
      <c r="M5061" s="84">
        <v>6969939</v>
      </c>
    </row>
    <row r="5062" spans="3:13" hidden="1" x14ac:dyDescent="0.25">
      <c r="C5062" t="s">
        <v>119</v>
      </c>
      <c r="D5062" t="s">
        <v>120</v>
      </c>
      <c r="E5062" t="s">
        <v>60</v>
      </c>
      <c r="F5062" t="s">
        <v>124</v>
      </c>
      <c r="G5062">
        <v>12</v>
      </c>
      <c r="H5062" t="s">
        <v>69</v>
      </c>
      <c r="I5062" t="s">
        <v>121</v>
      </c>
      <c r="J5062" t="s">
        <v>122</v>
      </c>
      <c r="K5062">
        <v>0</v>
      </c>
      <c r="L5062" s="84">
        <v>-2344</v>
      </c>
      <c r="M5062" s="84">
        <v>0</v>
      </c>
    </row>
    <row r="5063" spans="3:13" hidden="1" x14ac:dyDescent="0.25">
      <c r="C5063" t="s">
        <v>65</v>
      </c>
      <c r="D5063" t="s">
        <v>125</v>
      </c>
      <c r="E5063" t="s">
        <v>63</v>
      </c>
      <c r="F5063" t="s">
        <v>24</v>
      </c>
      <c r="G5063">
        <v>26</v>
      </c>
      <c r="I5063" t="s">
        <v>121</v>
      </c>
      <c r="J5063" t="s">
        <v>122</v>
      </c>
      <c r="K5063">
        <v>0</v>
      </c>
      <c r="L5063" s="84">
        <v>7298231</v>
      </c>
      <c r="M5063" s="84">
        <v>189754006</v>
      </c>
    </row>
    <row r="5064" spans="3:13" hidden="1" x14ac:dyDescent="0.25">
      <c r="C5064" t="s">
        <v>65</v>
      </c>
      <c r="D5064" t="s">
        <v>120</v>
      </c>
      <c r="E5064" t="s">
        <v>63</v>
      </c>
      <c r="F5064" t="s">
        <v>124</v>
      </c>
      <c r="G5064">
        <v>0</v>
      </c>
      <c r="H5064" t="s">
        <v>73</v>
      </c>
      <c r="I5064" t="s">
        <v>121</v>
      </c>
      <c r="J5064" t="s">
        <v>122</v>
      </c>
      <c r="K5064">
        <v>0</v>
      </c>
      <c r="L5064" s="84">
        <v>85014</v>
      </c>
      <c r="M5064" s="84">
        <v>0</v>
      </c>
    </row>
    <row r="5065" spans="3:13" hidden="1" x14ac:dyDescent="0.25">
      <c r="C5065" t="s">
        <v>119</v>
      </c>
      <c r="D5065" t="s">
        <v>120</v>
      </c>
      <c r="E5065" t="s">
        <v>60</v>
      </c>
      <c r="F5065" t="s">
        <v>25</v>
      </c>
      <c r="G5065">
        <v>8</v>
      </c>
      <c r="H5065" t="s">
        <v>14</v>
      </c>
      <c r="I5065" t="s">
        <v>121</v>
      </c>
      <c r="J5065" t="s">
        <v>122</v>
      </c>
      <c r="K5065">
        <v>0</v>
      </c>
      <c r="L5065" s="84">
        <v>-7567</v>
      </c>
      <c r="M5065" s="84">
        <v>0</v>
      </c>
    </row>
    <row r="5066" spans="3:13" hidden="1" x14ac:dyDescent="0.25">
      <c r="C5066" t="s">
        <v>119</v>
      </c>
      <c r="D5066" t="s">
        <v>120</v>
      </c>
      <c r="E5066" t="s">
        <v>60</v>
      </c>
      <c r="F5066" t="s">
        <v>25</v>
      </c>
      <c r="G5066">
        <v>12</v>
      </c>
      <c r="H5066" t="s">
        <v>14</v>
      </c>
      <c r="I5066" t="s">
        <v>121</v>
      </c>
      <c r="J5066" t="s">
        <v>66</v>
      </c>
      <c r="K5066">
        <v>1</v>
      </c>
      <c r="L5066" s="84">
        <v>-890</v>
      </c>
      <c r="M5066" s="84">
        <v>0</v>
      </c>
    </row>
    <row r="5067" spans="3:13" hidden="1" x14ac:dyDescent="0.25">
      <c r="C5067" t="s">
        <v>64</v>
      </c>
      <c r="D5067" t="s">
        <v>120</v>
      </c>
      <c r="E5067" t="s">
        <v>63</v>
      </c>
      <c r="F5067" t="s">
        <v>123</v>
      </c>
      <c r="G5067">
        <v>-1</v>
      </c>
      <c r="H5067" t="s">
        <v>18</v>
      </c>
      <c r="I5067" t="s">
        <v>121</v>
      </c>
      <c r="J5067" t="s">
        <v>122</v>
      </c>
      <c r="K5067">
        <v>0</v>
      </c>
      <c r="L5067" s="84">
        <v>3120466</v>
      </c>
      <c r="M5067" s="84">
        <v>0</v>
      </c>
    </row>
    <row r="5068" spans="3:13" hidden="1" x14ac:dyDescent="0.25">
      <c r="C5068" t="s">
        <v>64</v>
      </c>
      <c r="D5068" t="s">
        <v>120</v>
      </c>
      <c r="E5068" t="s">
        <v>63</v>
      </c>
      <c r="F5068" t="s">
        <v>25</v>
      </c>
      <c r="G5068">
        <v>2</v>
      </c>
      <c r="H5068" t="s">
        <v>75</v>
      </c>
      <c r="I5068" t="s">
        <v>121</v>
      </c>
      <c r="J5068" t="s">
        <v>122</v>
      </c>
      <c r="K5068">
        <v>0</v>
      </c>
      <c r="L5068" s="84">
        <v>22775</v>
      </c>
      <c r="M5068" s="84">
        <v>45550</v>
      </c>
    </row>
    <row r="5069" spans="3:13" hidden="1" x14ac:dyDescent="0.25">
      <c r="C5069" t="s">
        <v>119</v>
      </c>
      <c r="D5069" t="s">
        <v>120</v>
      </c>
      <c r="E5069" t="s">
        <v>60</v>
      </c>
      <c r="F5069" t="s">
        <v>25</v>
      </c>
      <c r="G5069">
        <v>6</v>
      </c>
      <c r="H5069" t="s">
        <v>15</v>
      </c>
      <c r="I5069" t="s">
        <v>121</v>
      </c>
      <c r="J5069" t="s">
        <v>122</v>
      </c>
      <c r="K5069">
        <v>0</v>
      </c>
      <c r="L5069" s="84">
        <v>-68</v>
      </c>
      <c r="M5069" s="84">
        <v>0</v>
      </c>
    </row>
    <row r="5070" spans="3:13" hidden="1" x14ac:dyDescent="0.25">
      <c r="C5070" t="s">
        <v>119</v>
      </c>
      <c r="D5070" t="s">
        <v>126</v>
      </c>
      <c r="E5070" t="s">
        <v>63</v>
      </c>
      <c r="F5070" t="s">
        <v>25</v>
      </c>
      <c r="G5070">
        <v>12</v>
      </c>
      <c r="H5070" t="s">
        <v>74</v>
      </c>
      <c r="I5070" t="s">
        <v>121</v>
      </c>
      <c r="J5070" t="s">
        <v>122</v>
      </c>
      <c r="K5070">
        <v>0</v>
      </c>
      <c r="L5070" s="84">
        <v>9701035</v>
      </c>
      <c r="M5070" s="84">
        <v>116412420</v>
      </c>
    </row>
    <row r="5071" spans="3:13" hidden="1" x14ac:dyDescent="0.25">
      <c r="C5071" t="s">
        <v>64</v>
      </c>
      <c r="D5071" t="s">
        <v>120</v>
      </c>
      <c r="E5071" t="s">
        <v>63</v>
      </c>
      <c r="F5071" t="s">
        <v>124</v>
      </c>
      <c r="G5071">
        <v>-4</v>
      </c>
      <c r="H5071" t="s">
        <v>14</v>
      </c>
      <c r="I5071" t="s">
        <v>121</v>
      </c>
      <c r="J5071" t="s">
        <v>122</v>
      </c>
      <c r="K5071">
        <v>0</v>
      </c>
      <c r="L5071" s="84">
        <v>1107095</v>
      </c>
      <c r="M5071" s="84">
        <v>0</v>
      </c>
    </row>
    <row r="5072" spans="3:13" hidden="1" x14ac:dyDescent="0.25">
      <c r="C5072" t="s">
        <v>65</v>
      </c>
      <c r="D5072" t="s">
        <v>120</v>
      </c>
      <c r="E5072" t="s">
        <v>63</v>
      </c>
      <c r="F5072" t="s">
        <v>123</v>
      </c>
      <c r="G5072">
        <v>1</v>
      </c>
      <c r="H5072" t="s">
        <v>72</v>
      </c>
      <c r="I5072" t="s">
        <v>121</v>
      </c>
      <c r="J5072" t="s">
        <v>122</v>
      </c>
      <c r="K5072">
        <v>0</v>
      </c>
      <c r="L5072" s="84">
        <v>28415</v>
      </c>
      <c r="M5072" s="84">
        <v>28415</v>
      </c>
    </row>
    <row r="5073" spans="3:13" hidden="1" x14ac:dyDescent="0.25">
      <c r="C5073" t="s">
        <v>64</v>
      </c>
      <c r="D5073" t="s">
        <v>120</v>
      </c>
      <c r="E5073" t="s">
        <v>63</v>
      </c>
      <c r="F5073" t="s">
        <v>124</v>
      </c>
      <c r="G5073">
        <v>2</v>
      </c>
      <c r="H5073" t="s">
        <v>18</v>
      </c>
      <c r="I5073" t="s">
        <v>121</v>
      </c>
      <c r="J5073" t="s">
        <v>66</v>
      </c>
      <c r="K5073">
        <v>1</v>
      </c>
      <c r="L5073" s="84">
        <v>1133408</v>
      </c>
      <c r="M5073" s="84">
        <v>2266816</v>
      </c>
    </row>
    <row r="5074" spans="3:13" hidden="1" x14ac:dyDescent="0.25">
      <c r="C5074" t="s">
        <v>65</v>
      </c>
      <c r="D5074" t="s">
        <v>120</v>
      </c>
      <c r="E5074" t="s">
        <v>63</v>
      </c>
      <c r="F5074" t="s">
        <v>123</v>
      </c>
      <c r="G5074">
        <v>-4</v>
      </c>
      <c r="H5074" t="s">
        <v>76</v>
      </c>
      <c r="I5074" t="s">
        <v>121</v>
      </c>
      <c r="J5074" t="s">
        <v>122</v>
      </c>
      <c r="K5074">
        <v>0</v>
      </c>
      <c r="L5074" s="84">
        <v>33384</v>
      </c>
      <c r="M5074" s="84">
        <v>0</v>
      </c>
    </row>
    <row r="5075" spans="3:13" hidden="1" x14ac:dyDescent="0.25">
      <c r="C5075" t="s">
        <v>119</v>
      </c>
      <c r="D5075" t="s">
        <v>120</v>
      </c>
      <c r="E5075" t="s">
        <v>63</v>
      </c>
      <c r="F5075" t="s">
        <v>25</v>
      </c>
      <c r="G5075">
        <v>8</v>
      </c>
      <c r="H5075" t="s">
        <v>17</v>
      </c>
      <c r="I5075" t="s">
        <v>121</v>
      </c>
      <c r="J5075" t="s">
        <v>122</v>
      </c>
      <c r="K5075">
        <v>0</v>
      </c>
      <c r="L5075" s="84">
        <v>17227814</v>
      </c>
      <c r="M5075" s="84">
        <v>137822512</v>
      </c>
    </row>
    <row r="5076" spans="3:13" hidden="1" x14ac:dyDescent="0.25">
      <c r="C5076" t="s">
        <v>119</v>
      </c>
      <c r="D5076" t="s">
        <v>120</v>
      </c>
      <c r="E5076" t="s">
        <v>60</v>
      </c>
      <c r="F5076" t="s">
        <v>124</v>
      </c>
      <c r="G5076">
        <v>10</v>
      </c>
      <c r="H5076" t="s">
        <v>12</v>
      </c>
      <c r="I5076" t="s">
        <v>121</v>
      </c>
      <c r="J5076" t="s">
        <v>122</v>
      </c>
      <c r="K5076">
        <v>0</v>
      </c>
      <c r="L5076" s="84">
        <v>-2033</v>
      </c>
      <c r="M5076" s="84">
        <v>0</v>
      </c>
    </row>
    <row r="5077" spans="3:13" x14ac:dyDescent="0.25">
      <c r="C5077" t="s">
        <v>119</v>
      </c>
      <c r="D5077" t="s">
        <v>120</v>
      </c>
      <c r="E5077" t="s">
        <v>63</v>
      </c>
      <c r="F5077" t="s">
        <v>25</v>
      </c>
      <c r="G5077">
        <v>8</v>
      </c>
      <c r="H5077" t="s">
        <v>17</v>
      </c>
      <c r="I5077" t="s">
        <v>121</v>
      </c>
      <c r="J5077" t="s">
        <v>66</v>
      </c>
      <c r="K5077">
        <v>1</v>
      </c>
      <c r="L5077" s="84">
        <v>24374</v>
      </c>
      <c r="M5077" s="84">
        <v>194992</v>
      </c>
    </row>
    <row r="5078" spans="3:13" hidden="1" x14ac:dyDescent="0.25">
      <c r="C5078" t="s">
        <v>119</v>
      </c>
      <c r="D5078" t="s">
        <v>120</v>
      </c>
      <c r="E5078" t="s">
        <v>60</v>
      </c>
      <c r="F5078" t="s">
        <v>123</v>
      </c>
      <c r="G5078">
        <v>7</v>
      </c>
      <c r="H5078" t="s">
        <v>61</v>
      </c>
      <c r="I5078" t="s">
        <v>121</v>
      </c>
      <c r="J5078" t="s">
        <v>122</v>
      </c>
      <c r="K5078">
        <v>0</v>
      </c>
      <c r="L5078" s="84">
        <v>-2567</v>
      </c>
      <c r="M5078" s="84">
        <v>0</v>
      </c>
    </row>
    <row r="5079" spans="3:13" hidden="1" x14ac:dyDescent="0.25">
      <c r="C5079" t="s">
        <v>119</v>
      </c>
      <c r="D5079" t="s">
        <v>126</v>
      </c>
      <c r="E5079" t="s">
        <v>63</v>
      </c>
      <c r="F5079" t="s">
        <v>24</v>
      </c>
      <c r="G5079">
        <v>3</v>
      </c>
      <c r="H5079" t="s">
        <v>72</v>
      </c>
      <c r="I5079" t="s">
        <v>121</v>
      </c>
      <c r="J5079" t="s">
        <v>122</v>
      </c>
      <c r="K5079">
        <v>0</v>
      </c>
      <c r="L5079" s="84">
        <v>672760</v>
      </c>
      <c r="M5079" s="84">
        <v>2018280</v>
      </c>
    </row>
    <row r="5080" spans="3:13" hidden="1" x14ac:dyDescent="0.25">
      <c r="C5080" t="s">
        <v>65</v>
      </c>
      <c r="D5080" t="s">
        <v>120</v>
      </c>
      <c r="E5080" t="s">
        <v>63</v>
      </c>
      <c r="F5080" t="s">
        <v>124</v>
      </c>
      <c r="G5080">
        <v>-1</v>
      </c>
      <c r="H5080" t="s">
        <v>79</v>
      </c>
      <c r="I5080" t="s">
        <v>121</v>
      </c>
      <c r="J5080" t="s">
        <v>122</v>
      </c>
      <c r="K5080">
        <v>0</v>
      </c>
      <c r="L5080" s="84">
        <v>336</v>
      </c>
      <c r="M5080" s="84">
        <v>0</v>
      </c>
    </row>
    <row r="5081" spans="3:13" hidden="1" x14ac:dyDescent="0.25">
      <c r="C5081" t="s">
        <v>119</v>
      </c>
      <c r="D5081" t="s">
        <v>120</v>
      </c>
      <c r="E5081" t="s">
        <v>60</v>
      </c>
      <c r="F5081" t="s">
        <v>123</v>
      </c>
      <c r="G5081">
        <v>4</v>
      </c>
      <c r="H5081" t="s">
        <v>17</v>
      </c>
      <c r="I5081" t="s">
        <v>121</v>
      </c>
      <c r="J5081" t="s">
        <v>122</v>
      </c>
      <c r="K5081">
        <v>0</v>
      </c>
      <c r="L5081" s="84">
        <v>-18708</v>
      </c>
      <c r="M5081" s="84">
        <v>0</v>
      </c>
    </row>
    <row r="5082" spans="3:13" hidden="1" x14ac:dyDescent="0.25">
      <c r="C5082" t="s">
        <v>119</v>
      </c>
      <c r="D5082" t="s">
        <v>120</v>
      </c>
      <c r="E5082" t="s">
        <v>63</v>
      </c>
      <c r="F5082" t="s">
        <v>124</v>
      </c>
      <c r="G5082">
        <v>8</v>
      </c>
      <c r="H5082" t="s">
        <v>70</v>
      </c>
      <c r="I5082" t="s">
        <v>121</v>
      </c>
      <c r="J5082" t="s">
        <v>122</v>
      </c>
      <c r="K5082">
        <v>0</v>
      </c>
      <c r="L5082" s="84">
        <v>45624</v>
      </c>
      <c r="M5082" s="84">
        <v>364992</v>
      </c>
    </row>
    <row r="5083" spans="3:13" hidden="1" x14ac:dyDescent="0.25">
      <c r="C5083" t="s">
        <v>65</v>
      </c>
      <c r="D5083" t="s">
        <v>120</v>
      </c>
      <c r="E5083" t="s">
        <v>60</v>
      </c>
      <c r="F5083" t="s">
        <v>24</v>
      </c>
      <c r="G5083">
        <v>-4</v>
      </c>
      <c r="H5083" t="s">
        <v>17</v>
      </c>
      <c r="I5083" t="s">
        <v>62</v>
      </c>
      <c r="J5083" t="s">
        <v>66</v>
      </c>
      <c r="K5083">
        <v>1</v>
      </c>
      <c r="L5083" s="84">
        <v>-3285</v>
      </c>
      <c r="M5083" s="84">
        <v>0</v>
      </c>
    </row>
    <row r="5084" spans="3:13" hidden="1" x14ac:dyDescent="0.25">
      <c r="C5084" t="s">
        <v>119</v>
      </c>
      <c r="D5084" t="s">
        <v>120</v>
      </c>
      <c r="E5084" t="s">
        <v>63</v>
      </c>
      <c r="F5084" t="s">
        <v>123</v>
      </c>
      <c r="G5084">
        <v>1</v>
      </c>
      <c r="H5084" t="s">
        <v>15</v>
      </c>
      <c r="I5084" t="s">
        <v>121</v>
      </c>
      <c r="J5084" t="s">
        <v>122</v>
      </c>
      <c r="K5084">
        <v>0</v>
      </c>
      <c r="L5084" s="84">
        <v>12865</v>
      </c>
      <c r="M5084" s="84">
        <v>12865</v>
      </c>
    </row>
    <row r="5085" spans="3:13" hidden="1" x14ac:dyDescent="0.25">
      <c r="C5085" t="s">
        <v>119</v>
      </c>
      <c r="D5085" t="s">
        <v>120</v>
      </c>
      <c r="E5085" t="s">
        <v>63</v>
      </c>
      <c r="F5085" t="s">
        <v>24</v>
      </c>
      <c r="G5085">
        <v>7</v>
      </c>
      <c r="H5085" t="s">
        <v>18</v>
      </c>
      <c r="I5085" t="s">
        <v>121</v>
      </c>
      <c r="J5085" t="s">
        <v>122</v>
      </c>
      <c r="K5085">
        <v>0</v>
      </c>
      <c r="L5085" s="84">
        <v>1083379</v>
      </c>
      <c r="M5085" s="84">
        <v>7583653</v>
      </c>
    </row>
    <row r="5086" spans="3:13" hidden="1" x14ac:dyDescent="0.25">
      <c r="C5086" t="s">
        <v>119</v>
      </c>
      <c r="D5086" t="s">
        <v>120</v>
      </c>
      <c r="E5086" t="s">
        <v>63</v>
      </c>
      <c r="F5086" t="s">
        <v>123</v>
      </c>
      <c r="G5086">
        <v>3</v>
      </c>
      <c r="H5086" t="s">
        <v>77</v>
      </c>
      <c r="I5086" t="s">
        <v>121</v>
      </c>
      <c r="J5086" t="s">
        <v>122</v>
      </c>
      <c r="K5086">
        <v>0</v>
      </c>
      <c r="L5086" s="84">
        <v>115068</v>
      </c>
      <c r="M5086" s="84">
        <v>345204</v>
      </c>
    </row>
    <row r="5087" spans="3:13" hidden="1" x14ac:dyDescent="0.25">
      <c r="C5087" t="s">
        <v>119</v>
      </c>
      <c r="D5087" t="s">
        <v>120</v>
      </c>
      <c r="E5087" t="s">
        <v>63</v>
      </c>
      <c r="F5087" t="s">
        <v>123</v>
      </c>
      <c r="G5087">
        <v>0</v>
      </c>
      <c r="H5087" t="s">
        <v>61</v>
      </c>
      <c r="I5087" t="s">
        <v>121</v>
      </c>
      <c r="J5087" t="s">
        <v>122</v>
      </c>
      <c r="K5087">
        <v>0</v>
      </c>
      <c r="L5087" s="84">
        <v>23812118</v>
      </c>
      <c r="M5087" s="84">
        <v>0</v>
      </c>
    </row>
    <row r="5088" spans="3:13" hidden="1" x14ac:dyDescent="0.25">
      <c r="C5088" t="s">
        <v>64</v>
      </c>
      <c r="D5088" t="s">
        <v>120</v>
      </c>
      <c r="E5088" t="s">
        <v>63</v>
      </c>
      <c r="F5088" t="s">
        <v>25</v>
      </c>
      <c r="G5088">
        <v>2</v>
      </c>
      <c r="H5088" t="s">
        <v>17</v>
      </c>
      <c r="I5088" t="s">
        <v>121</v>
      </c>
      <c r="J5088" t="s">
        <v>122</v>
      </c>
      <c r="K5088">
        <v>0</v>
      </c>
      <c r="L5088" s="84">
        <v>130971</v>
      </c>
      <c r="M5088" s="84">
        <v>261942</v>
      </c>
    </row>
    <row r="5089" spans="3:13" hidden="1" x14ac:dyDescent="0.25">
      <c r="C5089" t="s">
        <v>65</v>
      </c>
      <c r="D5089" t="s">
        <v>125</v>
      </c>
      <c r="E5089" t="s">
        <v>63</v>
      </c>
      <c r="F5089" t="s">
        <v>25</v>
      </c>
      <c r="G5089">
        <v>11</v>
      </c>
      <c r="I5089" t="s">
        <v>121</v>
      </c>
      <c r="J5089" t="s">
        <v>122</v>
      </c>
      <c r="K5089">
        <v>0</v>
      </c>
      <c r="L5089" s="84">
        <v>23050</v>
      </c>
      <c r="M5089" s="84">
        <v>253550</v>
      </c>
    </row>
    <row r="5090" spans="3:13" hidden="1" x14ac:dyDescent="0.25">
      <c r="C5090" t="s">
        <v>64</v>
      </c>
      <c r="D5090" t="s">
        <v>120</v>
      </c>
      <c r="E5090" t="s">
        <v>60</v>
      </c>
      <c r="F5090" t="s">
        <v>25</v>
      </c>
      <c r="G5090">
        <v>8</v>
      </c>
      <c r="H5090" t="s">
        <v>68</v>
      </c>
      <c r="I5090" t="s">
        <v>121</v>
      </c>
      <c r="J5090" t="s">
        <v>122</v>
      </c>
      <c r="K5090">
        <v>0</v>
      </c>
      <c r="L5090" s="84">
        <v>-87772</v>
      </c>
      <c r="M5090" s="84">
        <v>0</v>
      </c>
    </row>
    <row r="5091" spans="3:13" hidden="1" x14ac:dyDescent="0.25">
      <c r="C5091" t="s">
        <v>64</v>
      </c>
      <c r="D5091" t="s">
        <v>120</v>
      </c>
      <c r="E5091" t="s">
        <v>63</v>
      </c>
      <c r="F5091" t="s">
        <v>123</v>
      </c>
      <c r="G5091">
        <v>4</v>
      </c>
      <c r="H5091" t="s">
        <v>70</v>
      </c>
      <c r="I5091" t="s">
        <v>121</v>
      </c>
      <c r="J5091" t="s">
        <v>122</v>
      </c>
      <c r="K5091">
        <v>0</v>
      </c>
      <c r="L5091" s="84">
        <v>111496</v>
      </c>
      <c r="M5091" s="84">
        <v>445984</v>
      </c>
    </row>
    <row r="5092" spans="3:13" hidden="1" x14ac:dyDescent="0.25">
      <c r="C5092" t="s">
        <v>119</v>
      </c>
      <c r="D5092" t="s">
        <v>120</v>
      </c>
      <c r="E5092" t="s">
        <v>60</v>
      </c>
      <c r="F5092" t="s">
        <v>25</v>
      </c>
      <c r="G5092">
        <v>1</v>
      </c>
      <c r="H5092" t="s">
        <v>70</v>
      </c>
      <c r="I5092" t="s">
        <v>121</v>
      </c>
      <c r="J5092" t="s">
        <v>122</v>
      </c>
      <c r="K5092">
        <v>0</v>
      </c>
      <c r="L5092" s="84">
        <v>-66</v>
      </c>
      <c r="M5092" s="84">
        <v>0</v>
      </c>
    </row>
    <row r="5093" spans="3:13" hidden="1" x14ac:dyDescent="0.25">
      <c r="C5093" t="s">
        <v>119</v>
      </c>
      <c r="D5093" t="s">
        <v>120</v>
      </c>
      <c r="E5093" t="s">
        <v>60</v>
      </c>
      <c r="F5093" t="s">
        <v>25</v>
      </c>
      <c r="G5093">
        <v>15</v>
      </c>
      <c r="H5093" t="s">
        <v>76</v>
      </c>
      <c r="I5093" t="s">
        <v>121</v>
      </c>
      <c r="J5093" t="s">
        <v>122</v>
      </c>
      <c r="K5093">
        <v>0</v>
      </c>
      <c r="L5093" s="84">
        <v>-780</v>
      </c>
      <c r="M5093" s="84">
        <v>0</v>
      </c>
    </row>
    <row r="5094" spans="3:13" hidden="1" x14ac:dyDescent="0.25">
      <c r="C5094" t="s">
        <v>119</v>
      </c>
      <c r="D5094" t="s">
        <v>120</v>
      </c>
      <c r="E5094" t="s">
        <v>60</v>
      </c>
      <c r="F5094" t="s">
        <v>123</v>
      </c>
      <c r="G5094">
        <v>-4</v>
      </c>
      <c r="H5094" t="s">
        <v>61</v>
      </c>
      <c r="I5094" t="s">
        <v>121</v>
      </c>
      <c r="J5094" t="s">
        <v>122</v>
      </c>
      <c r="K5094">
        <v>0</v>
      </c>
      <c r="L5094" s="84">
        <v>-2</v>
      </c>
      <c r="M5094" s="84">
        <v>0</v>
      </c>
    </row>
    <row r="5095" spans="3:13" hidden="1" x14ac:dyDescent="0.25">
      <c r="C5095" t="s">
        <v>64</v>
      </c>
      <c r="D5095" t="s">
        <v>120</v>
      </c>
      <c r="E5095" t="s">
        <v>63</v>
      </c>
      <c r="F5095" t="s">
        <v>123</v>
      </c>
      <c r="G5095">
        <v>5</v>
      </c>
      <c r="H5095" t="s">
        <v>14</v>
      </c>
      <c r="I5095" t="s">
        <v>121</v>
      </c>
      <c r="J5095" t="s">
        <v>66</v>
      </c>
      <c r="K5095">
        <v>1</v>
      </c>
      <c r="L5095" s="84">
        <v>113351</v>
      </c>
      <c r="M5095" s="84">
        <v>566755</v>
      </c>
    </row>
    <row r="5096" spans="3:13" hidden="1" x14ac:dyDescent="0.25">
      <c r="C5096" t="s">
        <v>65</v>
      </c>
      <c r="D5096" t="s">
        <v>120</v>
      </c>
      <c r="E5096" t="s">
        <v>63</v>
      </c>
      <c r="F5096" t="s">
        <v>124</v>
      </c>
      <c r="G5096">
        <v>11</v>
      </c>
      <c r="H5096" t="s">
        <v>18</v>
      </c>
      <c r="I5096" t="s">
        <v>121</v>
      </c>
      <c r="J5096" t="s">
        <v>122</v>
      </c>
      <c r="K5096">
        <v>0</v>
      </c>
      <c r="L5096" s="84">
        <v>36137</v>
      </c>
      <c r="M5096" s="84">
        <v>397507</v>
      </c>
    </row>
    <row r="5097" spans="3:13" hidden="1" x14ac:dyDescent="0.25">
      <c r="C5097" t="s">
        <v>119</v>
      </c>
      <c r="D5097" t="s">
        <v>120</v>
      </c>
      <c r="E5097" t="s">
        <v>60</v>
      </c>
      <c r="F5097" t="s">
        <v>24</v>
      </c>
      <c r="G5097">
        <v>2</v>
      </c>
      <c r="H5097" t="s">
        <v>71</v>
      </c>
      <c r="I5097" t="s">
        <v>121</v>
      </c>
      <c r="J5097" t="s">
        <v>122</v>
      </c>
      <c r="K5097">
        <v>0</v>
      </c>
      <c r="L5097" s="84">
        <v>-318</v>
      </c>
      <c r="M5097" s="84">
        <v>0</v>
      </c>
    </row>
    <row r="5098" spans="3:13" hidden="1" x14ac:dyDescent="0.25">
      <c r="C5098" t="s">
        <v>119</v>
      </c>
      <c r="D5098" t="s">
        <v>120</v>
      </c>
      <c r="E5098" t="s">
        <v>63</v>
      </c>
      <c r="F5098" t="s">
        <v>124</v>
      </c>
      <c r="G5098">
        <v>2</v>
      </c>
      <c r="H5098" t="s">
        <v>70</v>
      </c>
      <c r="I5098" t="s">
        <v>121</v>
      </c>
      <c r="J5098" t="s">
        <v>122</v>
      </c>
      <c r="K5098">
        <v>0</v>
      </c>
      <c r="L5098" s="84">
        <v>5592962</v>
      </c>
      <c r="M5098" s="84">
        <v>11185924</v>
      </c>
    </row>
    <row r="5099" spans="3:13" hidden="1" x14ac:dyDescent="0.25">
      <c r="C5099" t="s">
        <v>64</v>
      </c>
      <c r="D5099" t="s">
        <v>120</v>
      </c>
      <c r="E5099" t="s">
        <v>63</v>
      </c>
      <c r="F5099" t="s">
        <v>24</v>
      </c>
      <c r="G5099">
        <v>1</v>
      </c>
      <c r="H5099" t="s">
        <v>17</v>
      </c>
      <c r="I5099" t="s">
        <v>121</v>
      </c>
      <c r="J5099" t="s">
        <v>122</v>
      </c>
      <c r="K5099">
        <v>0</v>
      </c>
      <c r="L5099" s="84">
        <v>368922</v>
      </c>
      <c r="M5099" s="84">
        <v>368922</v>
      </c>
    </row>
    <row r="5100" spans="3:13" hidden="1" x14ac:dyDescent="0.25">
      <c r="C5100" t="s">
        <v>119</v>
      </c>
      <c r="D5100" t="s">
        <v>120</v>
      </c>
      <c r="E5100" t="s">
        <v>63</v>
      </c>
      <c r="F5100" t="s">
        <v>24</v>
      </c>
      <c r="G5100">
        <v>10</v>
      </c>
      <c r="H5100" t="s">
        <v>17</v>
      </c>
      <c r="I5100" t="s">
        <v>121</v>
      </c>
      <c r="J5100" t="s">
        <v>122</v>
      </c>
      <c r="K5100">
        <v>0</v>
      </c>
      <c r="L5100" s="84">
        <v>2940780</v>
      </c>
      <c r="M5100" s="84">
        <v>29407800</v>
      </c>
    </row>
    <row r="5101" spans="3:13" hidden="1" x14ac:dyDescent="0.25">
      <c r="C5101" t="s">
        <v>119</v>
      </c>
      <c r="D5101" t="s">
        <v>120</v>
      </c>
      <c r="E5101" t="s">
        <v>63</v>
      </c>
      <c r="F5101" t="s">
        <v>124</v>
      </c>
      <c r="G5101">
        <v>1</v>
      </c>
      <c r="H5101" t="s">
        <v>12</v>
      </c>
      <c r="I5101" t="s">
        <v>121</v>
      </c>
      <c r="J5101" t="s">
        <v>66</v>
      </c>
      <c r="K5101">
        <v>1</v>
      </c>
      <c r="L5101" s="84">
        <v>5521023</v>
      </c>
      <c r="M5101" s="84">
        <v>5521023</v>
      </c>
    </row>
    <row r="5102" spans="3:13" hidden="1" x14ac:dyDescent="0.25">
      <c r="C5102" t="s">
        <v>64</v>
      </c>
      <c r="D5102" t="s">
        <v>120</v>
      </c>
      <c r="E5102" t="s">
        <v>60</v>
      </c>
      <c r="F5102" t="s">
        <v>124</v>
      </c>
      <c r="G5102">
        <v>-4</v>
      </c>
      <c r="H5102" t="s">
        <v>67</v>
      </c>
      <c r="I5102" t="s">
        <v>121</v>
      </c>
      <c r="J5102" t="s">
        <v>122</v>
      </c>
      <c r="K5102">
        <v>0</v>
      </c>
      <c r="L5102" s="84">
        <v>-3327</v>
      </c>
      <c r="M5102" s="84">
        <v>0</v>
      </c>
    </row>
    <row r="5103" spans="3:13" hidden="1" x14ac:dyDescent="0.25">
      <c r="C5103" t="s">
        <v>119</v>
      </c>
      <c r="D5103" t="s">
        <v>120</v>
      </c>
      <c r="E5103" t="s">
        <v>63</v>
      </c>
      <c r="F5103" t="s">
        <v>24</v>
      </c>
      <c r="G5103">
        <v>5</v>
      </c>
      <c r="H5103" t="s">
        <v>73</v>
      </c>
      <c r="I5103" t="s">
        <v>121</v>
      </c>
      <c r="J5103" t="s">
        <v>122</v>
      </c>
      <c r="K5103">
        <v>0</v>
      </c>
      <c r="L5103" s="84">
        <v>74107</v>
      </c>
      <c r="M5103" s="84">
        <v>370535</v>
      </c>
    </row>
    <row r="5104" spans="3:13" hidden="1" x14ac:dyDescent="0.25">
      <c r="C5104" t="s">
        <v>64</v>
      </c>
      <c r="D5104" t="s">
        <v>120</v>
      </c>
      <c r="E5104" t="s">
        <v>60</v>
      </c>
      <c r="F5104" t="s">
        <v>124</v>
      </c>
      <c r="G5104">
        <v>-1</v>
      </c>
      <c r="H5104" t="s">
        <v>61</v>
      </c>
      <c r="I5104" t="s">
        <v>121</v>
      </c>
      <c r="J5104" t="s">
        <v>122</v>
      </c>
      <c r="K5104">
        <v>0</v>
      </c>
      <c r="L5104" s="84">
        <v>-445284</v>
      </c>
      <c r="M5104" s="84">
        <v>0</v>
      </c>
    </row>
    <row r="5105" spans="3:13" hidden="1" x14ac:dyDescent="0.25">
      <c r="C5105" t="s">
        <v>64</v>
      </c>
      <c r="D5105" t="s">
        <v>120</v>
      </c>
      <c r="E5105" t="s">
        <v>60</v>
      </c>
      <c r="F5105" t="s">
        <v>123</v>
      </c>
      <c r="G5105">
        <v>0</v>
      </c>
      <c r="H5105" t="s">
        <v>70</v>
      </c>
      <c r="I5105" t="s">
        <v>121</v>
      </c>
      <c r="J5105" t="s">
        <v>122</v>
      </c>
      <c r="K5105">
        <v>0</v>
      </c>
      <c r="L5105" s="84">
        <v>-241</v>
      </c>
      <c r="M5105" s="84">
        <v>0</v>
      </c>
    </row>
    <row r="5106" spans="3:13" hidden="1" x14ac:dyDescent="0.25">
      <c r="C5106" t="s">
        <v>65</v>
      </c>
      <c r="D5106" t="s">
        <v>120</v>
      </c>
      <c r="E5106" t="s">
        <v>63</v>
      </c>
      <c r="F5106" t="s">
        <v>25</v>
      </c>
      <c r="G5106">
        <v>6</v>
      </c>
      <c r="H5106" t="s">
        <v>14</v>
      </c>
      <c r="I5106" t="s">
        <v>121</v>
      </c>
      <c r="J5106" t="s">
        <v>122</v>
      </c>
      <c r="K5106">
        <v>0</v>
      </c>
      <c r="L5106" s="84">
        <v>332701</v>
      </c>
      <c r="M5106" s="84">
        <v>1996206</v>
      </c>
    </row>
    <row r="5107" spans="3:13" hidden="1" x14ac:dyDescent="0.25">
      <c r="C5107" t="s">
        <v>65</v>
      </c>
      <c r="D5107" t="s">
        <v>125</v>
      </c>
      <c r="E5107" t="s">
        <v>60</v>
      </c>
      <c r="F5107" t="s">
        <v>24</v>
      </c>
      <c r="G5107">
        <v>6</v>
      </c>
      <c r="I5107" t="s">
        <v>121</v>
      </c>
      <c r="J5107" t="s">
        <v>122</v>
      </c>
      <c r="K5107">
        <v>0</v>
      </c>
      <c r="L5107" s="84">
        <v>-553564</v>
      </c>
      <c r="M5107" s="84">
        <v>0</v>
      </c>
    </row>
    <row r="5108" spans="3:13" hidden="1" x14ac:dyDescent="0.25">
      <c r="C5108" t="s">
        <v>64</v>
      </c>
      <c r="D5108" t="s">
        <v>120</v>
      </c>
      <c r="E5108" t="s">
        <v>60</v>
      </c>
      <c r="F5108" t="s">
        <v>124</v>
      </c>
      <c r="G5108">
        <v>3</v>
      </c>
      <c r="H5108" t="s">
        <v>18</v>
      </c>
      <c r="I5108" t="s">
        <v>121</v>
      </c>
      <c r="J5108" t="s">
        <v>66</v>
      </c>
      <c r="K5108">
        <v>1</v>
      </c>
      <c r="L5108" s="84">
        <v>-65442</v>
      </c>
      <c r="M5108" s="84">
        <v>0</v>
      </c>
    </row>
    <row r="5109" spans="3:13" hidden="1" x14ac:dyDescent="0.25">
      <c r="C5109" t="s">
        <v>64</v>
      </c>
      <c r="D5109" t="s">
        <v>125</v>
      </c>
      <c r="E5109" t="s">
        <v>60</v>
      </c>
      <c r="F5109" t="s">
        <v>24</v>
      </c>
      <c r="G5109">
        <v>28</v>
      </c>
      <c r="I5109" t="s">
        <v>121</v>
      </c>
      <c r="J5109" t="s">
        <v>122</v>
      </c>
      <c r="K5109">
        <v>0</v>
      </c>
      <c r="L5109" s="84">
        <v>-1640532</v>
      </c>
      <c r="M5109" s="84">
        <v>0</v>
      </c>
    </row>
    <row r="5110" spans="3:13" hidden="1" x14ac:dyDescent="0.25">
      <c r="C5110" t="s">
        <v>119</v>
      </c>
      <c r="D5110" t="s">
        <v>120</v>
      </c>
      <c r="E5110" t="s">
        <v>63</v>
      </c>
      <c r="F5110" t="s">
        <v>24</v>
      </c>
      <c r="G5110">
        <v>14</v>
      </c>
      <c r="H5110" t="s">
        <v>68</v>
      </c>
      <c r="I5110" t="s">
        <v>121</v>
      </c>
      <c r="J5110" t="s">
        <v>122</v>
      </c>
      <c r="K5110">
        <v>0</v>
      </c>
      <c r="L5110" s="84">
        <v>25999431</v>
      </c>
      <c r="M5110" s="84">
        <v>363992034</v>
      </c>
    </row>
    <row r="5111" spans="3:13" hidden="1" x14ac:dyDescent="0.25">
      <c r="C5111" t="s">
        <v>119</v>
      </c>
      <c r="D5111" t="s">
        <v>120</v>
      </c>
      <c r="E5111" t="s">
        <v>60</v>
      </c>
      <c r="F5111" t="s">
        <v>25</v>
      </c>
      <c r="G5111">
        <v>4</v>
      </c>
      <c r="H5111" t="s">
        <v>69</v>
      </c>
      <c r="I5111" t="s">
        <v>121</v>
      </c>
      <c r="J5111" t="s">
        <v>122</v>
      </c>
      <c r="K5111">
        <v>0</v>
      </c>
      <c r="L5111" s="84">
        <v>-30022</v>
      </c>
      <c r="M5111" s="84">
        <v>0</v>
      </c>
    </row>
    <row r="5112" spans="3:13" hidden="1" x14ac:dyDescent="0.25">
      <c r="C5112" t="s">
        <v>119</v>
      </c>
      <c r="D5112" t="s">
        <v>120</v>
      </c>
      <c r="E5112" t="s">
        <v>60</v>
      </c>
      <c r="F5112" t="s">
        <v>123</v>
      </c>
      <c r="G5112">
        <v>7</v>
      </c>
      <c r="H5112" t="s">
        <v>71</v>
      </c>
      <c r="I5112" t="s">
        <v>121</v>
      </c>
      <c r="J5112" t="s">
        <v>122</v>
      </c>
      <c r="K5112">
        <v>0</v>
      </c>
      <c r="L5112" s="84">
        <v>-91</v>
      </c>
      <c r="M5112" s="84">
        <v>0</v>
      </c>
    </row>
    <row r="5113" spans="3:13" x14ac:dyDescent="0.25">
      <c r="C5113" t="s">
        <v>119</v>
      </c>
      <c r="D5113" t="s">
        <v>120</v>
      </c>
      <c r="E5113" t="s">
        <v>63</v>
      </c>
      <c r="F5113" t="s">
        <v>25</v>
      </c>
      <c r="G5113">
        <v>3</v>
      </c>
      <c r="H5113" t="s">
        <v>12</v>
      </c>
      <c r="I5113" t="s">
        <v>121</v>
      </c>
      <c r="J5113" t="s">
        <v>66</v>
      </c>
      <c r="K5113">
        <v>1</v>
      </c>
      <c r="L5113" s="84">
        <v>613991</v>
      </c>
      <c r="M5113" s="84">
        <v>1841973</v>
      </c>
    </row>
    <row r="5114" spans="3:13" hidden="1" x14ac:dyDescent="0.25">
      <c r="C5114" t="s">
        <v>64</v>
      </c>
      <c r="D5114" t="s">
        <v>120</v>
      </c>
      <c r="E5114" t="s">
        <v>60</v>
      </c>
      <c r="F5114" t="s">
        <v>123</v>
      </c>
      <c r="G5114">
        <v>3</v>
      </c>
      <c r="H5114" t="s">
        <v>17</v>
      </c>
      <c r="I5114" t="s">
        <v>121</v>
      </c>
      <c r="J5114" t="s">
        <v>122</v>
      </c>
      <c r="K5114">
        <v>0</v>
      </c>
      <c r="L5114" s="84">
        <v>-78173</v>
      </c>
      <c r="M5114" s="84">
        <v>0</v>
      </c>
    </row>
    <row r="5115" spans="3:13" hidden="1" x14ac:dyDescent="0.25">
      <c r="C5115" t="s">
        <v>119</v>
      </c>
      <c r="D5115" t="s">
        <v>120</v>
      </c>
      <c r="E5115" t="s">
        <v>63</v>
      </c>
      <c r="F5115" t="s">
        <v>25</v>
      </c>
      <c r="G5115">
        <v>7</v>
      </c>
      <c r="H5115" t="s">
        <v>16</v>
      </c>
      <c r="I5115" t="s">
        <v>121</v>
      </c>
      <c r="J5115" t="s">
        <v>122</v>
      </c>
      <c r="K5115">
        <v>0</v>
      </c>
      <c r="L5115" s="84">
        <v>133243</v>
      </c>
      <c r="M5115" s="84">
        <v>932701</v>
      </c>
    </row>
    <row r="5116" spans="3:13" hidden="1" x14ac:dyDescent="0.25">
      <c r="C5116" t="s">
        <v>64</v>
      </c>
      <c r="D5116" t="s">
        <v>120</v>
      </c>
      <c r="E5116" t="s">
        <v>60</v>
      </c>
      <c r="F5116" t="s">
        <v>24</v>
      </c>
      <c r="G5116">
        <v>2</v>
      </c>
      <c r="H5116" t="s">
        <v>68</v>
      </c>
      <c r="I5116" t="s">
        <v>121</v>
      </c>
      <c r="J5116" t="s">
        <v>122</v>
      </c>
      <c r="K5116">
        <v>0</v>
      </c>
      <c r="L5116" s="84">
        <v>-74214</v>
      </c>
      <c r="M5116" s="84">
        <v>0</v>
      </c>
    </row>
    <row r="5117" spans="3:13" hidden="1" x14ac:dyDescent="0.25">
      <c r="E5117" t="s">
        <v>60</v>
      </c>
      <c r="F5117" t="s">
        <v>23</v>
      </c>
      <c r="G5117">
        <v>-5</v>
      </c>
      <c r="I5117" t="s">
        <v>121</v>
      </c>
      <c r="J5117" t="s">
        <v>122</v>
      </c>
      <c r="K5117">
        <v>0</v>
      </c>
      <c r="L5117" s="84">
        <v>-20109005</v>
      </c>
      <c r="M5117" s="84">
        <v>0</v>
      </c>
    </row>
    <row r="5118" spans="3:13" hidden="1" x14ac:dyDescent="0.25">
      <c r="C5118" t="s">
        <v>65</v>
      </c>
      <c r="D5118" t="s">
        <v>120</v>
      </c>
      <c r="E5118" t="s">
        <v>60</v>
      </c>
      <c r="F5118" t="s">
        <v>24</v>
      </c>
      <c r="G5118">
        <v>-4</v>
      </c>
      <c r="H5118" t="s">
        <v>12</v>
      </c>
      <c r="I5118" t="s">
        <v>121</v>
      </c>
      <c r="J5118" t="s">
        <v>122</v>
      </c>
      <c r="K5118">
        <v>0</v>
      </c>
      <c r="L5118" s="84">
        <v>-31912</v>
      </c>
      <c r="M5118" s="84">
        <v>0</v>
      </c>
    </row>
    <row r="5119" spans="3:13" hidden="1" x14ac:dyDescent="0.25">
      <c r="C5119" t="s">
        <v>119</v>
      </c>
      <c r="D5119" t="s">
        <v>125</v>
      </c>
      <c r="E5119" t="s">
        <v>63</v>
      </c>
      <c r="F5119" t="s">
        <v>24</v>
      </c>
      <c r="G5119">
        <v>4</v>
      </c>
      <c r="I5119" t="s">
        <v>121</v>
      </c>
      <c r="J5119" t="s">
        <v>122</v>
      </c>
      <c r="K5119">
        <v>0</v>
      </c>
      <c r="L5119" s="84">
        <v>70724964</v>
      </c>
      <c r="M5119" s="84">
        <v>282899856</v>
      </c>
    </row>
    <row r="5120" spans="3:13" hidden="1" x14ac:dyDescent="0.25">
      <c r="C5120" t="s">
        <v>64</v>
      </c>
      <c r="D5120" t="s">
        <v>120</v>
      </c>
      <c r="E5120" t="s">
        <v>63</v>
      </c>
      <c r="F5120" t="s">
        <v>123</v>
      </c>
      <c r="G5120">
        <v>0</v>
      </c>
      <c r="H5120" t="s">
        <v>18</v>
      </c>
      <c r="I5120" t="s">
        <v>121</v>
      </c>
      <c r="J5120" t="s">
        <v>66</v>
      </c>
      <c r="K5120">
        <v>1</v>
      </c>
      <c r="L5120" s="84">
        <v>3312</v>
      </c>
      <c r="M5120" s="84">
        <v>0</v>
      </c>
    </row>
    <row r="5121" spans="3:13" hidden="1" x14ac:dyDescent="0.25">
      <c r="C5121" t="s">
        <v>119</v>
      </c>
      <c r="D5121" t="s">
        <v>120</v>
      </c>
      <c r="E5121" t="s">
        <v>60</v>
      </c>
      <c r="F5121" t="s">
        <v>24</v>
      </c>
      <c r="G5121">
        <v>11</v>
      </c>
      <c r="H5121" t="s">
        <v>17</v>
      </c>
      <c r="I5121" t="s">
        <v>121</v>
      </c>
      <c r="J5121" t="s">
        <v>122</v>
      </c>
      <c r="K5121">
        <v>0</v>
      </c>
      <c r="L5121" s="84">
        <v>-2668</v>
      </c>
      <c r="M5121" s="84">
        <v>0</v>
      </c>
    </row>
    <row r="5122" spans="3:13" hidden="1" x14ac:dyDescent="0.25">
      <c r="C5122" t="s">
        <v>119</v>
      </c>
      <c r="D5122" t="s">
        <v>120</v>
      </c>
      <c r="E5122" t="s">
        <v>60</v>
      </c>
      <c r="F5122" t="s">
        <v>24</v>
      </c>
      <c r="G5122">
        <v>9</v>
      </c>
      <c r="H5122" t="s">
        <v>61</v>
      </c>
      <c r="I5122" t="s">
        <v>121</v>
      </c>
      <c r="J5122" t="s">
        <v>122</v>
      </c>
      <c r="K5122">
        <v>0</v>
      </c>
      <c r="L5122" s="84">
        <v>-671</v>
      </c>
      <c r="M5122" s="84">
        <v>0</v>
      </c>
    </row>
    <row r="5123" spans="3:13" hidden="1" x14ac:dyDescent="0.25">
      <c r="C5123" t="s">
        <v>64</v>
      </c>
      <c r="D5123" t="s">
        <v>120</v>
      </c>
      <c r="E5123" t="s">
        <v>63</v>
      </c>
      <c r="F5123" t="s">
        <v>25</v>
      </c>
      <c r="G5123">
        <v>-4</v>
      </c>
      <c r="H5123" t="s">
        <v>14</v>
      </c>
      <c r="I5123" t="s">
        <v>121</v>
      </c>
      <c r="J5123" t="s">
        <v>122</v>
      </c>
      <c r="K5123">
        <v>0</v>
      </c>
      <c r="L5123" s="84">
        <v>87</v>
      </c>
      <c r="M5123" s="84">
        <v>0</v>
      </c>
    </row>
    <row r="5124" spans="3:13" hidden="1" x14ac:dyDescent="0.25">
      <c r="C5124" t="s">
        <v>64</v>
      </c>
      <c r="D5124" t="s">
        <v>120</v>
      </c>
      <c r="E5124" t="s">
        <v>60</v>
      </c>
      <c r="F5124" t="s">
        <v>24</v>
      </c>
      <c r="G5124">
        <v>3</v>
      </c>
      <c r="H5124" t="s">
        <v>17</v>
      </c>
      <c r="I5124" t="s">
        <v>121</v>
      </c>
      <c r="J5124" t="s">
        <v>122</v>
      </c>
      <c r="K5124">
        <v>0</v>
      </c>
      <c r="L5124" s="84">
        <v>-13246</v>
      </c>
      <c r="M5124" s="84">
        <v>0</v>
      </c>
    </row>
    <row r="5125" spans="3:13" hidden="1" x14ac:dyDescent="0.25">
      <c r="C5125" t="s">
        <v>64</v>
      </c>
      <c r="D5125" t="s">
        <v>120</v>
      </c>
      <c r="E5125" t="s">
        <v>63</v>
      </c>
      <c r="F5125" t="s">
        <v>24</v>
      </c>
      <c r="G5125">
        <v>13</v>
      </c>
      <c r="H5125" t="s">
        <v>68</v>
      </c>
      <c r="I5125" t="s">
        <v>121</v>
      </c>
      <c r="J5125" t="s">
        <v>122</v>
      </c>
      <c r="K5125">
        <v>0</v>
      </c>
      <c r="L5125" s="84">
        <v>328655</v>
      </c>
      <c r="M5125" s="84">
        <v>4272515</v>
      </c>
    </row>
    <row r="5126" spans="3:13" hidden="1" x14ac:dyDescent="0.25">
      <c r="C5126" t="s">
        <v>119</v>
      </c>
      <c r="D5126" t="s">
        <v>120</v>
      </c>
      <c r="E5126" t="s">
        <v>60</v>
      </c>
      <c r="F5126" t="s">
        <v>123</v>
      </c>
      <c r="G5126">
        <v>3</v>
      </c>
      <c r="H5126" t="s">
        <v>17</v>
      </c>
      <c r="I5126" t="s">
        <v>121</v>
      </c>
      <c r="J5126" t="s">
        <v>122</v>
      </c>
      <c r="K5126">
        <v>0</v>
      </c>
      <c r="L5126" s="84">
        <v>-26205</v>
      </c>
      <c r="M5126" s="84">
        <v>0</v>
      </c>
    </row>
    <row r="5127" spans="3:13" hidden="1" x14ac:dyDescent="0.25">
      <c r="C5127" t="s">
        <v>65</v>
      </c>
      <c r="D5127" t="s">
        <v>120</v>
      </c>
      <c r="E5127" t="s">
        <v>60</v>
      </c>
      <c r="F5127" t="s">
        <v>124</v>
      </c>
      <c r="G5127">
        <v>11</v>
      </c>
      <c r="H5127" t="s">
        <v>14</v>
      </c>
      <c r="I5127" t="s">
        <v>121</v>
      </c>
      <c r="J5127" t="s">
        <v>122</v>
      </c>
      <c r="K5127">
        <v>0</v>
      </c>
      <c r="L5127" s="84">
        <v>-1042880</v>
      </c>
      <c r="M5127" s="84">
        <v>0</v>
      </c>
    </row>
    <row r="5128" spans="3:13" hidden="1" x14ac:dyDescent="0.25">
      <c r="C5128" t="s">
        <v>64</v>
      </c>
      <c r="D5128" t="s">
        <v>125</v>
      </c>
      <c r="E5128" t="s">
        <v>60</v>
      </c>
      <c r="F5128" t="s">
        <v>24</v>
      </c>
      <c r="G5128">
        <v>6</v>
      </c>
      <c r="I5128" t="s">
        <v>121</v>
      </c>
      <c r="J5128" t="s">
        <v>122</v>
      </c>
      <c r="K5128">
        <v>0</v>
      </c>
      <c r="L5128" s="84">
        <v>-276423</v>
      </c>
      <c r="M5128" s="84">
        <v>0</v>
      </c>
    </row>
    <row r="5129" spans="3:13" hidden="1" x14ac:dyDescent="0.25">
      <c r="C5129" t="s">
        <v>119</v>
      </c>
      <c r="D5129" t="s">
        <v>120</v>
      </c>
      <c r="E5129" t="s">
        <v>60</v>
      </c>
      <c r="F5129" t="s">
        <v>24</v>
      </c>
      <c r="G5129">
        <v>15</v>
      </c>
      <c r="H5129" t="s">
        <v>68</v>
      </c>
      <c r="I5129" t="s">
        <v>121</v>
      </c>
      <c r="J5129" t="s">
        <v>122</v>
      </c>
      <c r="K5129">
        <v>0</v>
      </c>
      <c r="L5129" s="84">
        <v>-9596</v>
      </c>
      <c r="M5129" s="84">
        <v>0</v>
      </c>
    </row>
    <row r="5130" spans="3:13" hidden="1" x14ac:dyDescent="0.25">
      <c r="C5130" t="s">
        <v>119</v>
      </c>
      <c r="D5130" t="s">
        <v>120</v>
      </c>
      <c r="E5130" t="s">
        <v>63</v>
      </c>
      <c r="F5130" t="s">
        <v>24</v>
      </c>
      <c r="G5130">
        <v>5</v>
      </c>
      <c r="H5130" t="s">
        <v>67</v>
      </c>
      <c r="I5130" t="s">
        <v>121</v>
      </c>
      <c r="J5130" t="s">
        <v>122</v>
      </c>
      <c r="K5130">
        <v>0</v>
      </c>
      <c r="L5130" s="84">
        <v>1688973</v>
      </c>
      <c r="M5130" s="84">
        <v>8444865</v>
      </c>
    </row>
    <row r="5131" spans="3:13" hidden="1" x14ac:dyDescent="0.25">
      <c r="C5131" t="s">
        <v>65</v>
      </c>
      <c r="D5131" t="s">
        <v>120</v>
      </c>
      <c r="E5131" t="s">
        <v>60</v>
      </c>
      <c r="F5131" t="s">
        <v>124</v>
      </c>
      <c r="G5131">
        <v>5</v>
      </c>
      <c r="H5131" t="s">
        <v>17</v>
      </c>
      <c r="I5131" t="s">
        <v>121</v>
      </c>
      <c r="J5131" t="s">
        <v>122</v>
      </c>
      <c r="K5131">
        <v>0</v>
      </c>
      <c r="L5131" s="84">
        <v>-564438</v>
      </c>
      <c r="M5131" s="84">
        <v>0</v>
      </c>
    </row>
    <row r="5132" spans="3:13" hidden="1" x14ac:dyDescent="0.25">
      <c r="C5132" t="s">
        <v>64</v>
      </c>
      <c r="D5132" t="s">
        <v>120</v>
      </c>
      <c r="E5132" t="s">
        <v>60</v>
      </c>
      <c r="F5132" t="s">
        <v>124</v>
      </c>
      <c r="G5132">
        <v>-1</v>
      </c>
      <c r="H5132" t="s">
        <v>71</v>
      </c>
      <c r="I5132" t="s">
        <v>121</v>
      </c>
      <c r="J5132" t="s">
        <v>122</v>
      </c>
      <c r="K5132">
        <v>0</v>
      </c>
      <c r="L5132" s="84">
        <v>-86276</v>
      </c>
      <c r="M5132" s="84">
        <v>0</v>
      </c>
    </row>
    <row r="5133" spans="3:13" hidden="1" x14ac:dyDescent="0.25">
      <c r="C5133" t="s">
        <v>64</v>
      </c>
      <c r="D5133" t="s">
        <v>120</v>
      </c>
      <c r="E5133" t="s">
        <v>60</v>
      </c>
      <c r="F5133" t="s">
        <v>123</v>
      </c>
      <c r="G5133">
        <v>5</v>
      </c>
      <c r="H5133" t="s">
        <v>75</v>
      </c>
      <c r="I5133" t="s">
        <v>121</v>
      </c>
      <c r="J5133" t="s">
        <v>122</v>
      </c>
      <c r="K5133">
        <v>0</v>
      </c>
      <c r="L5133" s="84">
        <v>-59171</v>
      </c>
      <c r="M5133" s="84">
        <v>0</v>
      </c>
    </row>
    <row r="5134" spans="3:13" hidden="1" x14ac:dyDescent="0.25">
      <c r="C5134" t="s">
        <v>64</v>
      </c>
      <c r="D5134" t="s">
        <v>120</v>
      </c>
      <c r="E5134" t="s">
        <v>63</v>
      </c>
      <c r="F5134" t="s">
        <v>123</v>
      </c>
      <c r="G5134">
        <v>2</v>
      </c>
      <c r="H5134" t="s">
        <v>18</v>
      </c>
      <c r="I5134" t="s">
        <v>121</v>
      </c>
      <c r="J5134" t="s">
        <v>122</v>
      </c>
      <c r="K5134">
        <v>0</v>
      </c>
      <c r="L5134" s="84">
        <v>1914604</v>
      </c>
      <c r="M5134" s="84">
        <v>3829208</v>
      </c>
    </row>
    <row r="5135" spans="3:13" hidden="1" x14ac:dyDescent="0.25">
      <c r="C5135" t="s">
        <v>119</v>
      </c>
      <c r="D5135" t="s">
        <v>120</v>
      </c>
      <c r="E5135" t="s">
        <v>63</v>
      </c>
      <c r="F5135" t="s">
        <v>123</v>
      </c>
      <c r="G5135">
        <v>1</v>
      </c>
      <c r="H5135" t="s">
        <v>17</v>
      </c>
      <c r="I5135" t="s">
        <v>62</v>
      </c>
      <c r="J5135" t="s">
        <v>66</v>
      </c>
      <c r="K5135">
        <v>1</v>
      </c>
      <c r="L5135" s="84">
        <v>404660</v>
      </c>
      <c r="M5135" s="84">
        <v>404660</v>
      </c>
    </row>
    <row r="5136" spans="3:13" hidden="1" x14ac:dyDescent="0.25">
      <c r="C5136" t="s">
        <v>64</v>
      </c>
      <c r="D5136" t="s">
        <v>120</v>
      </c>
      <c r="E5136" t="s">
        <v>63</v>
      </c>
      <c r="F5136" t="s">
        <v>124</v>
      </c>
      <c r="G5136">
        <v>5</v>
      </c>
      <c r="H5136" t="s">
        <v>12</v>
      </c>
      <c r="I5136" t="s">
        <v>121</v>
      </c>
      <c r="J5136" t="s">
        <v>66</v>
      </c>
      <c r="K5136">
        <v>1</v>
      </c>
      <c r="L5136" s="84">
        <v>543039</v>
      </c>
      <c r="M5136" s="84">
        <v>2715195</v>
      </c>
    </row>
    <row r="5137" spans="3:13" hidden="1" x14ac:dyDescent="0.25">
      <c r="C5137" t="s">
        <v>64</v>
      </c>
      <c r="D5137" t="s">
        <v>125</v>
      </c>
      <c r="E5137" t="s">
        <v>63</v>
      </c>
      <c r="F5137" t="s">
        <v>24</v>
      </c>
      <c r="G5137">
        <v>10</v>
      </c>
      <c r="I5137" t="s">
        <v>121</v>
      </c>
      <c r="J5137" t="s">
        <v>122</v>
      </c>
      <c r="K5137">
        <v>0</v>
      </c>
      <c r="L5137" s="84">
        <v>16180366</v>
      </c>
      <c r="M5137" s="84">
        <v>161803660</v>
      </c>
    </row>
    <row r="5138" spans="3:13" x14ac:dyDescent="0.25">
      <c r="C5138" t="s">
        <v>119</v>
      </c>
      <c r="D5138" t="s">
        <v>120</v>
      </c>
      <c r="E5138" t="s">
        <v>63</v>
      </c>
      <c r="F5138" t="s">
        <v>25</v>
      </c>
      <c r="G5138">
        <v>10</v>
      </c>
      <c r="H5138" t="s">
        <v>17</v>
      </c>
      <c r="I5138" t="s">
        <v>121</v>
      </c>
      <c r="J5138" t="s">
        <v>66</v>
      </c>
      <c r="K5138">
        <v>1</v>
      </c>
      <c r="L5138" s="84">
        <v>41931</v>
      </c>
      <c r="M5138" s="84">
        <v>419310</v>
      </c>
    </row>
    <row r="5139" spans="3:13" hidden="1" x14ac:dyDescent="0.25">
      <c r="C5139" t="s">
        <v>119</v>
      </c>
      <c r="D5139" t="s">
        <v>120</v>
      </c>
      <c r="E5139" t="s">
        <v>63</v>
      </c>
      <c r="F5139" t="s">
        <v>123</v>
      </c>
      <c r="G5139">
        <v>0</v>
      </c>
      <c r="H5139" t="s">
        <v>71</v>
      </c>
      <c r="I5139" t="s">
        <v>121</v>
      </c>
      <c r="J5139" t="s">
        <v>122</v>
      </c>
      <c r="K5139">
        <v>0</v>
      </c>
      <c r="L5139" s="84">
        <v>15085</v>
      </c>
      <c r="M5139" s="84">
        <v>0</v>
      </c>
    </row>
    <row r="5140" spans="3:13" hidden="1" x14ac:dyDescent="0.25">
      <c r="C5140" t="s">
        <v>64</v>
      </c>
      <c r="D5140" t="s">
        <v>120</v>
      </c>
      <c r="E5140" t="s">
        <v>60</v>
      </c>
      <c r="F5140" t="s">
        <v>25</v>
      </c>
      <c r="G5140">
        <v>-1</v>
      </c>
      <c r="H5140" t="s">
        <v>18</v>
      </c>
      <c r="I5140" t="s">
        <v>121</v>
      </c>
      <c r="J5140" t="s">
        <v>122</v>
      </c>
      <c r="K5140">
        <v>0</v>
      </c>
      <c r="L5140" s="84">
        <v>-21947</v>
      </c>
      <c r="M5140" s="84">
        <v>0</v>
      </c>
    </row>
    <row r="5141" spans="3:13" hidden="1" x14ac:dyDescent="0.25">
      <c r="C5141" t="s">
        <v>65</v>
      </c>
      <c r="D5141" t="s">
        <v>120</v>
      </c>
      <c r="E5141" t="s">
        <v>60</v>
      </c>
      <c r="F5141" t="s">
        <v>124</v>
      </c>
      <c r="G5141">
        <v>3</v>
      </c>
      <c r="H5141" t="s">
        <v>72</v>
      </c>
      <c r="I5141" t="s">
        <v>121</v>
      </c>
      <c r="J5141" t="s">
        <v>122</v>
      </c>
      <c r="K5141">
        <v>0</v>
      </c>
      <c r="L5141" s="84">
        <v>-24876</v>
      </c>
      <c r="M5141" s="84">
        <v>0</v>
      </c>
    </row>
    <row r="5142" spans="3:13" hidden="1" x14ac:dyDescent="0.25">
      <c r="C5142" t="s">
        <v>64</v>
      </c>
      <c r="D5142" t="s">
        <v>120</v>
      </c>
      <c r="E5142" t="s">
        <v>63</v>
      </c>
      <c r="F5142" t="s">
        <v>25</v>
      </c>
      <c r="G5142">
        <v>12</v>
      </c>
      <c r="H5142" t="s">
        <v>14</v>
      </c>
      <c r="I5142" t="s">
        <v>121</v>
      </c>
      <c r="J5142" t="s">
        <v>122</v>
      </c>
      <c r="K5142">
        <v>0</v>
      </c>
      <c r="L5142" s="84">
        <v>72631</v>
      </c>
      <c r="M5142" s="84">
        <v>871572</v>
      </c>
    </row>
    <row r="5143" spans="3:13" x14ac:dyDescent="0.25">
      <c r="C5143" t="s">
        <v>64</v>
      </c>
      <c r="D5143" t="s">
        <v>120</v>
      </c>
      <c r="E5143" t="s">
        <v>63</v>
      </c>
      <c r="F5143" t="s">
        <v>25</v>
      </c>
      <c r="G5143">
        <v>12</v>
      </c>
      <c r="H5143" t="s">
        <v>14</v>
      </c>
      <c r="I5143" t="s">
        <v>121</v>
      </c>
      <c r="J5143" t="s">
        <v>66</v>
      </c>
      <c r="K5143">
        <v>1</v>
      </c>
      <c r="L5143" s="84">
        <v>197184</v>
      </c>
      <c r="M5143" s="84">
        <v>2366208</v>
      </c>
    </row>
    <row r="5144" spans="3:13" hidden="1" x14ac:dyDescent="0.25">
      <c r="C5144" t="s">
        <v>65</v>
      </c>
      <c r="D5144" t="s">
        <v>120</v>
      </c>
      <c r="E5144" t="s">
        <v>63</v>
      </c>
      <c r="F5144" t="s">
        <v>123</v>
      </c>
      <c r="G5144">
        <v>3</v>
      </c>
      <c r="H5144" t="s">
        <v>17</v>
      </c>
      <c r="I5144" t="s">
        <v>121</v>
      </c>
      <c r="J5144" t="s">
        <v>122</v>
      </c>
      <c r="K5144">
        <v>0</v>
      </c>
      <c r="L5144" s="84">
        <v>38917</v>
      </c>
      <c r="M5144" s="84">
        <v>116751</v>
      </c>
    </row>
    <row r="5145" spans="3:13" hidden="1" x14ac:dyDescent="0.25">
      <c r="C5145" t="s">
        <v>64</v>
      </c>
      <c r="D5145" t="s">
        <v>120</v>
      </c>
      <c r="E5145" t="s">
        <v>60</v>
      </c>
      <c r="F5145" t="s">
        <v>123</v>
      </c>
      <c r="G5145">
        <v>5</v>
      </c>
      <c r="H5145" t="s">
        <v>70</v>
      </c>
      <c r="I5145" t="s">
        <v>121</v>
      </c>
      <c r="J5145" t="s">
        <v>122</v>
      </c>
      <c r="K5145">
        <v>0</v>
      </c>
      <c r="L5145" s="84">
        <v>-1817</v>
      </c>
      <c r="M5145" s="84">
        <v>0</v>
      </c>
    </row>
    <row r="5146" spans="3:13" hidden="1" x14ac:dyDescent="0.25">
      <c r="C5146" t="s">
        <v>64</v>
      </c>
      <c r="D5146" t="s">
        <v>125</v>
      </c>
      <c r="E5146" t="s">
        <v>63</v>
      </c>
      <c r="F5146" t="s">
        <v>24</v>
      </c>
      <c r="G5146">
        <v>13</v>
      </c>
      <c r="I5146" t="s">
        <v>121</v>
      </c>
      <c r="J5146" t="s">
        <v>122</v>
      </c>
      <c r="K5146">
        <v>0</v>
      </c>
      <c r="L5146" s="84">
        <v>21581216</v>
      </c>
      <c r="M5146" s="84">
        <v>280555808</v>
      </c>
    </row>
    <row r="5147" spans="3:13" hidden="1" x14ac:dyDescent="0.25">
      <c r="C5147" t="s">
        <v>65</v>
      </c>
      <c r="D5147" t="s">
        <v>120</v>
      </c>
      <c r="E5147" t="s">
        <v>63</v>
      </c>
      <c r="F5147" t="s">
        <v>123</v>
      </c>
      <c r="G5147">
        <v>0</v>
      </c>
      <c r="H5147" t="s">
        <v>18</v>
      </c>
      <c r="I5147" t="s">
        <v>121</v>
      </c>
      <c r="J5147" t="s">
        <v>122</v>
      </c>
      <c r="K5147">
        <v>0</v>
      </c>
      <c r="L5147" s="84">
        <v>62419</v>
      </c>
      <c r="M5147" s="84">
        <v>0</v>
      </c>
    </row>
    <row r="5148" spans="3:13" hidden="1" x14ac:dyDescent="0.25">
      <c r="C5148" t="s">
        <v>119</v>
      </c>
      <c r="D5148" t="s">
        <v>120</v>
      </c>
      <c r="E5148" t="s">
        <v>60</v>
      </c>
      <c r="F5148" t="s">
        <v>124</v>
      </c>
      <c r="G5148">
        <v>-1</v>
      </c>
      <c r="H5148" t="s">
        <v>17</v>
      </c>
      <c r="I5148" t="s">
        <v>121</v>
      </c>
      <c r="J5148" t="s">
        <v>66</v>
      </c>
      <c r="K5148">
        <v>1</v>
      </c>
      <c r="L5148" s="84">
        <v>-40885</v>
      </c>
      <c r="M5148" s="84">
        <v>0</v>
      </c>
    </row>
    <row r="5149" spans="3:13" hidden="1" x14ac:dyDescent="0.25">
      <c r="C5149" t="s">
        <v>64</v>
      </c>
      <c r="D5149" t="s">
        <v>120</v>
      </c>
      <c r="E5149" t="s">
        <v>60</v>
      </c>
      <c r="F5149" t="s">
        <v>25</v>
      </c>
      <c r="G5149">
        <v>8</v>
      </c>
      <c r="H5149" t="s">
        <v>14</v>
      </c>
      <c r="I5149" t="s">
        <v>121</v>
      </c>
      <c r="J5149" t="s">
        <v>66</v>
      </c>
      <c r="K5149">
        <v>1</v>
      </c>
      <c r="L5149" s="84">
        <v>-140413</v>
      </c>
      <c r="M5149" s="84">
        <v>0</v>
      </c>
    </row>
    <row r="5150" spans="3:13" hidden="1" x14ac:dyDescent="0.25">
      <c r="C5150" t="s">
        <v>119</v>
      </c>
      <c r="D5150" t="s">
        <v>120</v>
      </c>
      <c r="E5150" t="s">
        <v>60</v>
      </c>
      <c r="F5150" t="s">
        <v>124</v>
      </c>
      <c r="G5150">
        <v>-1</v>
      </c>
      <c r="H5150" t="s">
        <v>12</v>
      </c>
      <c r="I5150" t="s">
        <v>62</v>
      </c>
      <c r="J5150" t="s">
        <v>122</v>
      </c>
      <c r="K5150">
        <v>1</v>
      </c>
      <c r="L5150" s="84">
        <v>-5</v>
      </c>
      <c r="M5150" s="84">
        <v>0</v>
      </c>
    </row>
    <row r="5151" spans="3:13" hidden="1" x14ac:dyDescent="0.25">
      <c r="C5151" t="s">
        <v>119</v>
      </c>
      <c r="D5151" t="s">
        <v>120</v>
      </c>
      <c r="E5151" t="s">
        <v>63</v>
      </c>
      <c r="F5151" t="s">
        <v>124</v>
      </c>
      <c r="G5151">
        <v>9</v>
      </c>
      <c r="H5151" t="s">
        <v>76</v>
      </c>
      <c r="I5151" t="s">
        <v>121</v>
      </c>
      <c r="J5151" t="s">
        <v>122</v>
      </c>
      <c r="K5151">
        <v>0</v>
      </c>
      <c r="L5151" s="84">
        <v>8189606</v>
      </c>
      <c r="M5151" s="84">
        <v>73706454</v>
      </c>
    </row>
    <row r="5152" spans="3:13" hidden="1" x14ac:dyDescent="0.25">
      <c r="C5152" t="s">
        <v>65</v>
      </c>
      <c r="D5152" t="s">
        <v>120</v>
      </c>
      <c r="E5152" t="s">
        <v>63</v>
      </c>
      <c r="F5152" t="s">
        <v>25</v>
      </c>
      <c r="G5152">
        <v>-1</v>
      </c>
      <c r="H5152" t="s">
        <v>18</v>
      </c>
      <c r="I5152" t="s">
        <v>121</v>
      </c>
      <c r="J5152" t="s">
        <v>122</v>
      </c>
      <c r="K5152">
        <v>0</v>
      </c>
      <c r="L5152" s="84">
        <v>45101</v>
      </c>
      <c r="M5152" s="84">
        <v>0</v>
      </c>
    </row>
    <row r="5153" spans="3:13" hidden="1" x14ac:dyDescent="0.25">
      <c r="C5153" t="s">
        <v>64</v>
      </c>
      <c r="D5153" t="s">
        <v>120</v>
      </c>
      <c r="E5153" t="s">
        <v>60</v>
      </c>
      <c r="F5153" t="s">
        <v>124</v>
      </c>
      <c r="G5153">
        <v>0</v>
      </c>
      <c r="H5153" t="s">
        <v>73</v>
      </c>
      <c r="I5153" t="s">
        <v>121</v>
      </c>
      <c r="J5153" t="s">
        <v>122</v>
      </c>
      <c r="K5153">
        <v>0</v>
      </c>
      <c r="L5153" s="84">
        <v>-26255</v>
      </c>
      <c r="M5153" s="84">
        <v>0</v>
      </c>
    </row>
    <row r="5154" spans="3:13" hidden="1" x14ac:dyDescent="0.25">
      <c r="C5154" t="s">
        <v>65</v>
      </c>
      <c r="D5154" t="s">
        <v>120</v>
      </c>
      <c r="E5154" t="s">
        <v>63</v>
      </c>
      <c r="F5154" t="s">
        <v>124</v>
      </c>
      <c r="G5154">
        <v>0</v>
      </c>
      <c r="H5154" t="s">
        <v>12</v>
      </c>
      <c r="I5154" t="s">
        <v>121</v>
      </c>
      <c r="J5154" t="s">
        <v>122</v>
      </c>
      <c r="K5154">
        <v>0</v>
      </c>
      <c r="L5154" s="84">
        <v>184479</v>
      </c>
      <c r="M5154" s="84">
        <v>0</v>
      </c>
    </row>
    <row r="5155" spans="3:13" hidden="1" x14ac:dyDescent="0.25">
      <c r="C5155" t="s">
        <v>65</v>
      </c>
      <c r="D5155" t="s">
        <v>120</v>
      </c>
      <c r="E5155" t="s">
        <v>63</v>
      </c>
      <c r="F5155" t="s">
        <v>124</v>
      </c>
      <c r="G5155">
        <v>6</v>
      </c>
      <c r="H5155" t="s">
        <v>17</v>
      </c>
      <c r="I5155" t="s">
        <v>62</v>
      </c>
      <c r="J5155" t="s">
        <v>66</v>
      </c>
      <c r="K5155">
        <v>1</v>
      </c>
      <c r="L5155" s="84">
        <v>11892</v>
      </c>
      <c r="M5155" s="84">
        <v>71352</v>
      </c>
    </row>
    <row r="5156" spans="3:13" hidden="1" x14ac:dyDescent="0.25">
      <c r="C5156" t="s">
        <v>119</v>
      </c>
      <c r="D5156" t="s">
        <v>120</v>
      </c>
      <c r="E5156" t="s">
        <v>63</v>
      </c>
      <c r="F5156" t="s">
        <v>25</v>
      </c>
      <c r="G5156">
        <v>10</v>
      </c>
      <c r="H5156" t="s">
        <v>14</v>
      </c>
      <c r="I5156" t="s">
        <v>62</v>
      </c>
      <c r="J5156" t="s">
        <v>122</v>
      </c>
      <c r="K5156">
        <v>1</v>
      </c>
      <c r="L5156" s="84">
        <v>1484729</v>
      </c>
      <c r="M5156" s="84">
        <v>14847290</v>
      </c>
    </row>
    <row r="5157" spans="3:13" hidden="1" x14ac:dyDescent="0.25">
      <c r="C5157" t="s">
        <v>119</v>
      </c>
      <c r="D5157" t="s">
        <v>125</v>
      </c>
      <c r="E5157" t="s">
        <v>60</v>
      </c>
      <c r="F5157" t="s">
        <v>24</v>
      </c>
      <c r="G5157">
        <v>6</v>
      </c>
      <c r="I5157" t="s">
        <v>121</v>
      </c>
      <c r="J5157" t="s">
        <v>122</v>
      </c>
      <c r="K5157">
        <v>0</v>
      </c>
      <c r="L5157" s="84">
        <v>-48533</v>
      </c>
      <c r="M5157" s="84">
        <v>0</v>
      </c>
    </row>
    <row r="5158" spans="3:13" hidden="1" x14ac:dyDescent="0.25">
      <c r="C5158" t="s">
        <v>64</v>
      </c>
      <c r="D5158" t="s">
        <v>120</v>
      </c>
      <c r="E5158" t="s">
        <v>60</v>
      </c>
      <c r="F5158" t="s">
        <v>124</v>
      </c>
      <c r="G5158">
        <v>2</v>
      </c>
      <c r="H5158" t="s">
        <v>70</v>
      </c>
      <c r="I5158" t="s">
        <v>121</v>
      </c>
      <c r="J5158" t="s">
        <v>122</v>
      </c>
      <c r="K5158">
        <v>0</v>
      </c>
      <c r="L5158" s="84">
        <v>-118605</v>
      </c>
      <c r="M5158" s="84">
        <v>0</v>
      </c>
    </row>
    <row r="5159" spans="3:13" hidden="1" x14ac:dyDescent="0.25">
      <c r="C5159" t="s">
        <v>64</v>
      </c>
      <c r="D5159" t="s">
        <v>125</v>
      </c>
      <c r="E5159" t="s">
        <v>63</v>
      </c>
      <c r="F5159" t="s">
        <v>25</v>
      </c>
      <c r="G5159">
        <v>3</v>
      </c>
      <c r="I5159" t="s">
        <v>121</v>
      </c>
      <c r="J5159" t="s">
        <v>122</v>
      </c>
      <c r="K5159">
        <v>0</v>
      </c>
      <c r="L5159" s="84">
        <v>329018</v>
      </c>
      <c r="M5159" s="84">
        <v>987054</v>
      </c>
    </row>
    <row r="5160" spans="3:13" hidden="1" x14ac:dyDescent="0.25">
      <c r="C5160" t="s">
        <v>64</v>
      </c>
      <c r="D5160" t="s">
        <v>120</v>
      </c>
      <c r="E5160" t="s">
        <v>63</v>
      </c>
      <c r="F5160" t="s">
        <v>124</v>
      </c>
      <c r="G5160">
        <v>5</v>
      </c>
      <c r="H5160" t="s">
        <v>14</v>
      </c>
      <c r="I5160" t="s">
        <v>121</v>
      </c>
      <c r="J5160" t="s">
        <v>66</v>
      </c>
      <c r="K5160">
        <v>1</v>
      </c>
      <c r="L5160" s="84">
        <v>1861776</v>
      </c>
      <c r="M5160" s="84">
        <v>9308880</v>
      </c>
    </row>
    <row r="5161" spans="3:13" hidden="1" x14ac:dyDescent="0.25">
      <c r="C5161" t="s">
        <v>64</v>
      </c>
      <c r="D5161" t="s">
        <v>126</v>
      </c>
      <c r="E5161" t="s">
        <v>60</v>
      </c>
      <c r="F5161" t="s">
        <v>25</v>
      </c>
      <c r="G5161">
        <v>0</v>
      </c>
      <c r="H5161" t="s">
        <v>74</v>
      </c>
      <c r="I5161" t="s">
        <v>121</v>
      </c>
      <c r="J5161" t="s">
        <v>122</v>
      </c>
      <c r="K5161">
        <v>0</v>
      </c>
      <c r="L5161" s="84">
        <v>-40</v>
      </c>
      <c r="M5161" s="84">
        <v>0</v>
      </c>
    </row>
    <row r="5162" spans="3:13" hidden="1" x14ac:dyDescent="0.25">
      <c r="C5162" t="s">
        <v>65</v>
      </c>
      <c r="D5162" t="s">
        <v>125</v>
      </c>
      <c r="E5162" t="s">
        <v>60</v>
      </c>
      <c r="F5162" t="s">
        <v>24</v>
      </c>
      <c r="G5162">
        <v>20</v>
      </c>
      <c r="I5162" t="s">
        <v>121</v>
      </c>
      <c r="J5162" t="s">
        <v>122</v>
      </c>
      <c r="K5162">
        <v>0</v>
      </c>
      <c r="L5162" s="84">
        <v>-2614007</v>
      </c>
      <c r="M5162" s="84">
        <v>0</v>
      </c>
    </row>
    <row r="5163" spans="3:13" hidden="1" x14ac:dyDescent="0.25">
      <c r="C5163" t="s">
        <v>64</v>
      </c>
      <c r="D5163" t="s">
        <v>120</v>
      </c>
      <c r="E5163" t="s">
        <v>63</v>
      </c>
      <c r="F5163" t="s">
        <v>25</v>
      </c>
      <c r="G5163">
        <v>11</v>
      </c>
      <c r="H5163" t="s">
        <v>69</v>
      </c>
      <c r="I5163" t="s">
        <v>121</v>
      </c>
      <c r="J5163" t="s">
        <v>122</v>
      </c>
      <c r="K5163">
        <v>0</v>
      </c>
      <c r="L5163" s="84">
        <v>7836378</v>
      </c>
      <c r="M5163" s="84">
        <v>86200158</v>
      </c>
    </row>
    <row r="5164" spans="3:13" hidden="1" x14ac:dyDescent="0.25">
      <c r="C5164" t="s">
        <v>64</v>
      </c>
      <c r="D5164" t="s">
        <v>125</v>
      </c>
      <c r="E5164" t="s">
        <v>60</v>
      </c>
      <c r="F5164" t="s">
        <v>24</v>
      </c>
      <c r="G5164">
        <v>4</v>
      </c>
      <c r="I5164" t="s">
        <v>121</v>
      </c>
      <c r="J5164" t="s">
        <v>122</v>
      </c>
      <c r="K5164">
        <v>0</v>
      </c>
      <c r="L5164" s="84">
        <v>-143517</v>
      </c>
      <c r="M5164" s="84">
        <v>0</v>
      </c>
    </row>
    <row r="5165" spans="3:13" hidden="1" x14ac:dyDescent="0.25">
      <c r="C5165" t="s">
        <v>119</v>
      </c>
      <c r="D5165" t="s">
        <v>120</v>
      </c>
      <c r="E5165" t="s">
        <v>63</v>
      </c>
      <c r="F5165" t="s">
        <v>123</v>
      </c>
      <c r="G5165">
        <v>0</v>
      </c>
      <c r="H5165" t="s">
        <v>76</v>
      </c>
      <c r="I5165" t="s">
        <v>121</v>
      </c>
      <c r="J5165" t="s">
        <v>122</v>
      </c>
      <c r="K5165">
        <v>0</v>
      </c>
      <c r="L5165" s="84">
        <v>5114</v>
      </c>
      <c r="M5165" s="84">
        <v>0</v>
      </c>
    </row>
    <row r="5166" spans="3:13" hidden="1" x14ac:dyDescent="0.25">
      <c r="C5166" t="s">
        <v>119</v>
      </c>
      <c r="D5166" t="s">
        <v>120</v>
      </c>
      <c r="E5166" t="s">
        <v>63</v>
      </c>
      <c r="F5166" t="s">
        <v>123</v>
      </c>
      <c r="G5166">
        <v>3</v>
      </c>
      <c r="H5166" t="s">
        <v>73</v>
      </c>
      <c r="I5166" t="s">
        <v>121</v>
      </c>
      <c r="J5166" t="s">
        <v>122</v>
      </c>
      <c r="K5166">
        <v>0</v>
      </c>
      <c r="L5166" s="84">
        <v>712773</v>
      </c>
      <c r="M5166" s="84">
        <v>2138319</v>
      </c>
    </row>
    <row r="5167" spans="3:13" hidden="1" x14ac:dyDescent="0.25">
      <c r="C5167" t="s">
        <v>119</v>
      </c>
      <c r="D5167" t="s">
        <v>120</v>
      </c>
      <c r="E5167" t="s">
        <v>63</v>
      </c>
      <c r="F5167" t="s">
        <v>25</v>
      </c>
      <c r="G5167">
        <v>3</v>
      </c>
      <c r="H5167" t="s">
        <v>15</v>
      </c>
      <c r="I5167" t="s">
        <v>62</v>
      </c>
      <c r="J5167" t="s">
        <v>122</v>
      </c>
      <c r="K5167">
        <v>1</v>
      </c>
      <c r="L5167" s="84">
        <v>212155</v>
      </c>
      <c r="M5167" s="84">
        <v>636465</v>
      </c>
    </row>
    <row r="5168" spans="3:13" x14ac:dyDescent="0.25">
      <c r="C5168" t="s">
        <v>119</v>
      </c>
      <c r="D5168" t="s">
        <v>120</v>
      </c>
      <c r="E5168" t="s">
        <v>63</v>
      </c>
      <c r="F5168" t="s">
        <v>25</v>
      </c>
      <c r="G5168">
        <v>7</v>
      </c>
      <c r="H5168" t="s">
        <v>18</v>
      </c>
      <c r="I5168" t="s">
        <v>121</v>
      </c>
      <c r="J5168" t="s">
        <v>66</v>
      </c>
      <c r="K5168">
        <v>1</v>
      </c>
      <c r="L5168" s="84">
        <v>609035</v>
      </c>
      <c r="M5168" s="84">
        <v>4263245</v>
      </c>
    </row>
    <row r="5169" spans="3:13" hidden="1" x14ac:dyDescent="0.25">
      <c r="C5169" t="s">
        <v>64</v>
      </c>
      <c r="D5169" t="s">
        <v>125</v>
      </c>
      <c r="E5169" t="s">
        <v>63</v>
      </c>
      <c r="F5169" t="s">
        <v>25</v>
      </c>
      <c r="G5169">
        <v>12</v>
      </c>
      <c r="I5169" t="s">
        <v>121</v>
      </c>
      <c r="J5169" t="s">
        <v>122</v>
      </c>
      <c r="K5169">
        <v>0</v>
      </c>
      <c r="L5169" s="84">
        <v>2187059</v>
      </c>
      <c r="M5169" s="84">
        <v>26244708</v>
      </c>
    </row>
    <row r="5170" spans="3:13" hidden="1" x14ac:dyDescent="0.25">
      <c r="C5170" t="s">
        <v>119</v>
      </c>
      <c r="D5170" t="s">
        <v>120</v>
      </c>
      <c r="E5170" t="s">
        <v>63</v>
      </c>
      <c r="F5170" t="s">
        <v>124</v>
      </c>
      <c r="G5170">
        <v>2</v>
      </c>
      <c r="H5170" t="s">
        <v>12</v>
      </c>
      <c r="I5170" t="s">
        <v>62</v>
      </c>
      <c r="J5170" t="s">
        <v>66</v>
      </c>
      <c r="K5170">
        <v>1</v>
      </c>
      <c r="L5170" s="84">
        <v>636214</v>
      </c>
      <c r="M5170" s="84">
        <v>1272428</v>
      </c>
    </row>
    <row r="5171" spans="3:13" hidden="1" x14ac:dyDescent="0.25">
      <c r="C5171" t="s">
        <v>119</v>
      </c>
      <c r="D5171" t="s">
        <v>120</v>
      </c>
      <c r="E5171" t="s">
        <v>63</v>
      </c>
      <c r="F5171" t="s">
        <v>25</v>
      </c>
      <c r="G5171">
        <v>7</v>
      </c>
      <c r="H5171" t="s">
        <v>18</v>
      </c>
      <c r="I5171" t="s">
        <v>121</v>
      </c>
      <c r="J5171" t="s">
        <v>122</v>
      </c>
      <c r="K5171">
        <v>0</v>
      </c>
      <c r="L5171" s="84">
        <v>6986333</v>
      </c>
      <c r="M5171" s="84">
        <v>48904331</v>
      </c>
    </row>
    <row r="5172" spans="3:13" x14ac:dyDescent="0.25">
      <c r="C5172" t="s">
        <v>65</v>
      </c>
      <c r="D5172" t="s">
        <v>120</v>
      </c>
      <c r="E5172" t="s">
        <v>63</v>
      </c>
      <c r="F5172" t="s">
        <v>25</v>
      </c>
      <c r="G5172">
        <v>6</v>
      </c>
      <c r="H5172" t="s">
        <v>12</v>
      </c>
      <c r="I5172" t="s">
        <v>121</v>
      </c>
      <c r="J5172" t="s">
        <v>66</v>
      </c>
      <c r="K5172">
        <v>1</v>
      </c>
      <c r="L5172" s="84">
        <v>223658</v>
      </c>
      <c r="M5172" s="84">
        <v>1341948</v>
      </c>
    </row>
    <row r="5173" spans="3:13" hidden="1" x14ac:dyDescent="0.25">
      <c r="C5173" t="s">
        <v>64</v>
      </c>
      <c r="D5173" t="s">
        <v>120</v>
      </c>
      <c r="E5173" t="s">
        <v>63</v>
      </c>
      <c r="F5173" t="s">
        <v>24</v>
      </c>
      <c r="G5173">
        <v>7</v>
      </c>
      <c r="H5173" t="s">
        <v>14</v>
      </c>
      <c r="I5173" t="s">
        <v>121</v>
      </c>
      <c r="J5173" t="s">
        <v>66</v>
      </c>
      <c r="K5173">
        <v>1</v>
      </c>
      <c r="L5173" s="84">
        <v>476767</v>
      </c>
      <c r="M5173" s="84">
        <v>3337369</v>
      </c>
    </row>
    <row r="5174" spans="3:13" hidden="1" x14ac:dyDescent="0.25">
      <c r="C5174" t="s">
        <v>119</v>
      </c>
      <c r="D5174" t="s">
        <v>120</v>
      </c>
      <c r="E5174" t="s">
        <v>60</v>
      </c>
      <c r="F5174" t="s">
        <v>123</v>
      </c>
      <c r="G5174">
        <v>7</v>
      </c>
      <c r="H5174" t="s">
        <v>76</v>
      </c>
      <c r="I5174" t="s">
        <v>121</v>
      </c>
      <c r="J5174" t="s">
        <v>122</v>
      </c>
      <c r="K5174">
        <v>0</v>
      </c>
      <c r="L5174" s="84">
        <v>-643</v>
      </c>
      <c r="M5174" s="84">
        <v>0</v>
      </c>
    </row>
    <row r="5175" spans="3:13" hidden="1" x14ac:dyDescent="0.25">
      <c r="C5175" t="s">
        <v>65</v>
      </c>
      <c r="D5175" t="s">
        <v>120</v>
      </c>
      <c r="E5175" t="s">
        <v>60</v>
      </c>
      <c r="F5175" t="s">
        <v>124</v>
      </c>
      <c r="G5175">
        <v>13</v>
      </c>
      <c r="H5175" t="s">
        <v>18</v>
      </c>
      <c r="I5175" t="s">
        <v>121</v>
      </c>
      <c r="J5175" t="s">
        <v>122</v>
      </c>
      <c r="K5175">
        <v>0</v>
      </c>
      <c r="L5175" s="84">
        <v>-163974</v>
      </c>
      <c r="M5175" s="84">
        <v>0</v>
      </c>
    </row>
    <row r="5176" spans="3:13" hidden="1" x14ac:dyDescent="0.25">
      <c r="C5176" t="s">
        <v>119</v>
      </c>
      <c r="D5176" t="s">
        <v>120</v>
      </c>
      <c r="E5176" t="s">
        <v>60</v>
      </c>
      <c r="F5176" t="s">
        <v>124</v>
      </c>
      <c r="G5176">
        <v>3</v>
      </c>
      <c r="H5176" t="s">
        <v>72</v>
      </c>
      <c r="I5176" t="s">
        <v>121</v>
      </c>
      <c r="J5176" t="s">
        <v>122</v>
      </c>
      <c r="K5176">
        <v>0</v>
      </c>
      <c r="L5176" s="84">
        <v>-36267</v>
      </c>
      <c r="M5176" s="84">
        <v>0</v>
      </c>
    </row>
    <row r="5177" spans="3:13" hidden="1" x14ac:dyDescent="0.25">
      <c r="C5177" t="s">
        <v>119</v>
      </c>
      <c r="D5177" t="s">
        <v>120</v>
      </c>
      <c r="E5177" t="s">
        <v>63</v>
      </c>
      <c r="F5177" t="s">
        <v>25</v>
      </c>
      <c r="G5177">
        <v>15</v>
      </c>
      <c r="H5177" t="s">
        <v>71</v>
      </c>
      <c r="I5177" t="s">
        <v>121</v>
      </c>
      <c r="J5177" t="s">
        <v>122</v>
      </c>
      <c r="K5177">
        <v>0</v>
      </c>
      <c r="L5177" s="84">
        <v>850237</v>
      </c>
      <c r="M5177" s="84">
        <v>12753555</v>
      </c>
    </row>
    <row r="5178" spans="3:13" hidden="1" x14ac:dyDescent="0.25">
      <c r="C5178" t="s">
        <v>119</v>
      </c>
      <c r="D5178" t="s">
        <v>120</v>
      </c>
      <c r="E5178" t="s">
        <v>63</v>
      </c>
      <c r="F5178" t="s">
        <v>24</v>
      </c>
      <c r="G5178">
        <v>14</v>
      </c>
      <c r="H5178" t="s">
        <v>61</v>
      </c>
      <c r="I5178" t="s">
        <v>121</v>
      </c>
      <c r="J5178" t="s">
        <v>122</v>
      </c>
      <c r="K5178">
        <v>0</v>
      </c>
      <c r="L5178" s="84">
        <v>781521</v>
      </c>
      <c r="M5178" s="84">
        <v>10941294</v>
      </c>
    </row>
    <row r="5179" spans="3:13" hidden="1" x14ac:dyDescent="0.25">
      <c r="C5179" t="s">
        <v>119</v>
      </c>
      <c r="D5179" t="s">
        <v>120</v>
      </c>
      <c r="E5179" t="s">
        <v>60</v>
      </c>
      <c r="F5179" t="s">
        <v>123</v>
      </c>
      <c r="G5179">
        <v>5</v>
      </c>
      <c r="H5179" t="s">
        <v>70</v>
      </c>
      <c r="I5179" t="s">
        <v>121</v>
      </c>
      <c r="J5179" t="s">
        <v>122</v>
      </c>
      <c r="K5179">
        <v>0</v>
      </c>
      <c r="L5179" s="84">
        <v>-5788</v>
      </c>
      <c r="M5179" s="84">
        <v>0</v>
      </c>
    </row>
    <row r="5180" spans="3:13" hidden="1" x14ac:dyDescent="0.25">
      <c r="C5180" t="s">
        <v>119</v>
      </c>
      <c r="D5180" t="s">
        <v>120</v>
      </c>
      <c r="E5180" t="s">
        <v>60</v>
      </c>
      <c r="F5180" t="s">
        <v>24</v>
      </c>
      <c r="G5180">
        <v>1</v>
      </c>
      <c r="H5180" t="s">
        <v>67</v>
      </c>
      <c r="I5180" t="s">
        <v>121</v>
      </c>
      <c r="J5180" t="s">
        <v>122</v>
      </c>
      <c r="K5180">
        <v>0</v>
      </c>
      <c r="L5180" s="84">
        <v>-16483</v>
      </c>
      <c r="M5180" s="84">
        <v>0</v>
      </c>
    </row>
    <row r="5181" spans="3:13" hidden="1" x14ac:dyDescent="0.25">
      <c r="C5181" t="s">
        <v>65</v>
      </c>
      <c r="D5181" t="s">
        <v>120</v>
      </c>
      <c r="E5181" t="s">
        <v>63</v>
      </c>
      <c r="F5181" t="s">
        <v>123</v>
      </c>
      <c r="G5181">
        <v>-4</v>
      </c>
      <c r="H5181" t="s">
        <v>61</v>
      </c>
      <c r="I5181" t="s">
        <v>121</v>
      </c>
      <c r="J5181" t="s">
        <v>122</v>
      </c>
      <c r="K5181">
        <v>0</v>
      </c>
      <c r="L5181" s="84">
        <v>813892</v>
      </c>
      <c r="M5181" s="84">
        <v>0</v>
      </c>
    </row>
    <row r="5182" spans="3:13" hidden="1" x14ac:dyDescent="0.25">
      <c r="C5182" t="s">
        <v>119</v>
      </c>
      <c r="D5182" t="s">
        <v>125</v>
      </c>
      <c r="E5182" t="s">
        <v>63</v>
      </c>
      <c r="F5182" t="s">
        <v>25</v>
      </c>
      <c r="G5182">
        <v>28</v>
      </c>
      <c r="I5182" t="s">
        <v>121</v>
      </c>
      <c r="J5182" t="s">
        <v>122</v>
      </c>
      <c r="K5182">
        <v>0</v>
      </c>
      <c r="L5182" s="84">
        <v>30714</v>
      </c>
      <c r="M5182" s="84">
        <v>859992</v>
      </c>
    </row>
    <row r="5183" spans="3:13" hidden="1" x14ac:dyDescent="0.25">
      <c r="C5183" t="s">
        <v>65</v>
      </c>
      <c r="D5183" t="s">
        <v>120</v>
      </c>
      <c r="E5183" t="s">
        <v>60</v>
      </c>
      <c r="F5183" t="s">
        <v>124</v>
      </c>
      <c r="G5183">
        <v>-4</v>
      </c>
      <c r="H5183" t="s">
        <v>18</v>
      </c>
      <c r="I5183" t="s">
        <v>121</v>
      </c>
      <c r="J5183" t="s">
        <v>66</v>
      </c>
      <c r="K5183">
        <v>1</v>
      </c>
      <c r="L5183" s="84">
        <v>-311770</v>
      </c>
      <c r="M5183" s="84">
        <v>0</v>
      </c>
    </row>
    <row r="5184" spans="3:13" hidden="1" x14ac:dyDescent="0.25">
      <c r="C5184" t="s">
        <v>64</v>
      </c>
      <c r="D5184" t="s">
        <v>120</v>
      </c>
      <c r="E5184" t="s">
        <v>60</v>
      </c>
      <c r="F5184" t="s">
        <v>24</v>
      </c>
      <c r="G5184">
        <v>15</v>
      </c>
      <c r="H5184" t="s">
        <v>68</v>
      </c>
      <c r="I5184" t="s">
        <v>121</v>
      </c>
      <c r="J5184" t="s">
        <v>122</v>
      </c>
      <c r="K5184">
        <v>0</v>
      </c>
      <c r="L5184" s="84">
        <v>-23112</v>
      </c>
      <c r="M5184" s="84">
        <v>0</v>
      </c>
    </row>
    <row r="5185" spans="3:13" hidden="1" x14ac:dyDescent="0.25">
      <c r="C5185" t="s">
        <v>64</v>
      </c>
      <c r="D5185" t="s">
        <v>125</v>
      </c>
      <c r="E5185" t="s">
        <v>63</v>
      </c>
      <c r="F5185" t="s">
        <v>24</v>
      </c>
      <c r="G5185">
        <v>39</v>
      </c>
      <c r="I5185" t="s">
        <v>121</v>
      </c>
      <c r="J5185" t="s">
        <v>122</v>
      </c>
      <c r="K5185">
        <v>0</v>
      </c>
      <c r="L5185" s="84">
        <v>31809881</v>
      </c>
      <c r="M5185" s="84">
        <v>1240585359</v>
      </c>
    </row>
    <row r="5186" spans="3:13" hidden="1" x14ac:dyDescent="0.25">
      <c r="C5186" t="s">
        <v>119</v>
      </c>
      <c r="D5186" t="s">
        <v>120</v>
      </c>
      <c r="E5186" t="s">
        <v>63</v>
      </c>
      <c r="F5186" t="s">
        <v>123</v>
      </c>
      <c r="G5186">
        <v>4</v>
      </c>
      <c r="H5186" t="s">
        <v>17</v>
      </c>
      <c r="I5186" t="s">
        <v>62</v>
      </c>
      <c r="J5186" t="s">
        <v>122</v>
      </c>
      <c r="K5186">
        <v>1</v>
      </c>
      <c r="L5186" s="84">
        <v>12371</v>
      </c>
      <c r="M5186" s="84">
        <v>49484</v>
      </c>
    </row>
    <row r="5187" spans="3:13" hidden="1" x14ac:dyDescent="0.25">
      <c r="C5187" t="s">
        <v>65</v>
      </c>
      <c r="D5187" t="s">
        <v>120</v>
      </c>
      <c r="E5187" t="s">
        <v>60</v>
      </c>
      <c r="F5187" t="s">
        <v>124</v>
      </c>
      <c r="G5187">
        <v>20</v>
      </c>
      <c r="H5187" t="s">
        <v>61</v>
      </c>
      <c r="I5187" t="s">
        <v>121</v>
      </c>
      <c r="J5187" t="s">
        <v>122</v>
      </c>
      <c r="K5187">
        <v>0</v>
      </c>
      <c r="L5187" s="84">
        <v>-4321420</v>
      </c>
      <c r="M5187" s="84">
        <v>0</v>
      </c>
    </row>
    <row r="5188" spans="3:13" hidden="1" x14ac:dyDescent="0.25">
      <c r="C5188" t="s">
        <v>65</v>
      </c>
      <c r="D5188" t="s">
        <v>125</v>
      </c>
      <c r="E5188" t="s">
        <v>60</v>
      </c>
      <c r="F5188" t="s">
        <v>24</v>
      </c>
      <c r="G5188">
        <v>4</v>
      </c>
      <c r="I5188" t="s">
        <v>121</v>
      </c>
      <c r="J5188" t="s">
        <v>122</v>
      </c>
      <c r="K5188">
        <v>0</v>
      </c>
      <c r="L5188" s="84">
        <v>-349640</v>
      </c>
      <c r="M5188" s="84">
        <v>0</v>
      </c>
    </row>
    <row r="5189" spans="3:13" hidden="1" x14ac:dyDescent="0.25">
      <c r="C5189" t="s">
        <v>65</v>
      </c>
      <c r="D5189" t="s">
        <v>120</v>
      </c>
      <c r="E5189" t="s">
        <v>63</v>
      </c>
      <c r="F5189" t="s">
        <v>124</v>
      </c>
      <c r="G5189">
        <v>6</v>
      </c>
      <c r="H5189" t="s">
        <v>72</v>
      </c>
      <c r="I5189" t="s">
        <v>121</v>
      </c>
      <c r="J5189" t="s">
        <v>122</v>
      </c>
      <c r="K5189">
        <v>0</v>
      </c>
      <c r="L5189" s="84">
        <v>266656</v>
      </c>
      <c r="M5189" s="84">
        <v>1599936</v>
      </c>
    </row>
    <row r="5190" spans="3:13" hidden="1" x14ac:dyDescent="0.25">
      <c r="C5190" t="s">
        <v>119</v>
      </c>
      <c r="D5190" t="s">
        <v>120</v>
      </c>
      <c r="E5190" t="s">
        <v>63</v>
      </c>
      <c r="F5190" t="s">
        <v>123</v>
      </c>
      <c r="G5190">
        <v>5</v>
      </c>
      <c r="H5190" t="s">
        <v>75</v>
      </c>
      <c r="I5190" t="s">
        <v>121</v>
      </c>
      <c r="J5190" t="s">
        <v>122</v>
      </c>
      <c r="K5190">
        <v>0</v>
      </c>
      <c r="L5190" s="84">
        <v>6755912</v>
      </c>
      <c r="M5190" s="84">
        <v>33779560</v>
      </c>
    </row>
    <row r="5191" spans="3:13" hidden="1" x14ac:dyDescent="0.25">
      <c r="C5191" t="s">
        <v>65</v>
      </c>
      <c r="D5191" t="s">
        <v>120</v>
      </c>
      <c r="E5191" t="s">
        <v>60</v>
      </c>
      <c r="F5191" t="s">
        <v>124</v>
      </c>
      <c r="G5191">
        <v>-1</v>
      </c>
      <c r="H5191" t="s">
        <v>15</v>
      </c>
      <c r="I5191" t="s">
        <v>121</v>
      </c>
      <c r="J5191" t="s">
        <v>66</v>
      </c>
      <c r="K5191">
        <v>1</v>
      </c>
      <c r="L5191" s="84">
        <v>-4067</v>
      </c>
      <c r="M5191" s="84">
        <v>0</v>
      </c>
    </row>
    <row r="5192" spans="3:13" hidden="1" x14ac:dyDescent="0.25">
      <c r="C5192" t="s">
        <v>65</v>
      </c>
      <c r="D5192" t="s">
        <v>120</v>
      </c>
      <c r="E5192" t="s">
        <v>63</v>
      </c>
      <c r="F5192" t="s">
        <v>123</v>
      </c>
      <c r="G5192">
        <v>1</v>
      </c>
      <c r="H5192" t="s">
        <v>67</v>
      </c>
      <c r="I5192" t="s">
        <v>121</v>
      </c>
      <c r="J5192" t="s">
        <v>122</v>
      </c>
      <c r="K5192">
        <v>0</v>
      </c>
      <c r="L5192" s="84">
        <v>32664</v>
      </c>
      <c r="M5192" s="84">
        <v>32664</v>
      </c>
    </row>
    <row r="5193" spans="3:13" hidden="1" x14ac:dyDescent="0.25">
      <c r="C5193" t="s">
        <v>64</v>
      </c>
      <c r="D5193" t="s">
        <v>120</v>
      </c>
      <c r="E5193" t="s">
        <v>60</v>
      </c>
      <c r="F5193" t="s">
        <v>123</v>
      </c>
      <c r="G5193">
        <v>-4</v>
      </c>
      <c r="H5193" t="s">
        <v>76</v>
      </c>
      <c r="I5193" t="s">
        <v>121</v>
      </c>
      <c r="J5193" t="s">
        <v>122</v>
      </c>
      <c r="K5193">
        <v>0</v>
      </c>
      <c r="L5193" s="84">
        <v>-32</v>
      </c>
      <c r="M5193" s="84">
        <v>0</v>
      </c>
    </row>
    <row r="5194" spans="3:13" hidden="1" x14ac:dyDescent="0.25">
      <c r="C5194" t="s">
        <v>64</v>
      </c>
      <c r="D5194" t="s">
        <v>120</v>
      </c>
      <c r="E5194" t="s">
        <v>60</v>
      </c>
      <c r="F5194" t="s">
        <v>25</v>
      </c>
      <c r="G5194">
        <v>1</v>
      </c>
      <c r="H5194" t="s">
        <v>69</v>
      </c>
      <c r="I5194" t="s">
        <v>121</v>
      </c>
      <c r="J5194" t="s">
        <v>122</v>
      </c>
      <c r="K5194">
        <v>0</v>
      </c>
      <c r="L5194" s="84">
        <v>-2057</v>
      </c>
      <c r="M5194" s="84">
        <v>0</v>
      </c>
    </row>
    <row r="5195" spans="3:13" hidden="1" x14ac:dyDescent="0.25">
      <c r="C5195" t="s">
        <v>64</v>
      </c>
      <c r="D5195" t="s">
        <v>120</v>
      </c>
      <c r="E5195" t="s">
        <v>60</v>
      </c>
      <c r="F5195" t="s">
        <v>124</v>
      </c>
      <c r="G5195">
        <v>0</v>
      </c>
      <c r="H5195" t="s">
        <v>67</v>
      </c>
      <c r="I5195" t="s">
        <v>121</v>
      </c>
      <c r="J5195" t="s">
        <v>122</v>
      </c>
      <c r="K5195">
        <v>0</v>
      </c>
      <c r="L5195" s="84">
        <v>-70665</v>
      </c>
      <c r="M5195" s="84">
        <v>0</v>
      </c>
    </row>
    <row r="5196" spans="3:13" hidden="1" x14ac:dyDescent="0.25">
      <c r="C5196" t="s">
        <v>119</v>
      </c>
      <c r="D5196" t="s">
        <v>120</v>
      </c>
      <c r="E5196" t="s">
        <v>63</v>
      </c>
      <c r="F5196" t="s">
        <v>124</v>
      </c>
      <c r="G5196">
        <v>9</v>
      </c>
      <c r="H5196" t="s">
        <v>68</v>
      </c>
      <c r="I5196" t="s">
        <v>121</v>
      </c>
      <c r="J5196" t="s">
        <v>122</v>
      </c>
      <c r="K5196">
        <v>0</v>
      </c>
      <c r="L5196" s="84">
        <v>1318281</v>
      </c>
      <c r="M5196" s="84">
        <v>11864529</v>
      </c>
    </row>
    <row r="5197" spans="3:13" hidden="1" x14ac:dyDescent="0.25">
      <c r="C5197" t="s">
        <v>119</v>
      </c>
      <c r="D5197" t="s">
        <v>120</v>
      </c>
      <c r="E5197" t="s">
        <v>60</v>
      </c>
      <c r="F5197" t="s">
        <v>25</v>
      </c>
      <c r="G5197">
        <v>1</v>
      </c>
      <c r="H5197" t="s">
        <v>75</v>
      </c>
      <c r="I5197" t="s">
        <v>121</v>
      </c>
      <c r="J5197" t="s">
        <v>122</v>
      </c>
      <c r="K5197">
        <v>0</v>
      </c>
      <c r="L5197" s="84">
        <v>-67</v>
      </c>
      <c r="M5197" s="84">
        <v>0</v>
      </c>
    </row>
    <row r="5198" spans="3:13" hidden="1" x14ac:dyDescent="0.25">
      <c r="C5198" t="s">
        <v>64</v>
      </c>
      <c r="D5198" t="s">
        <v>120</v>
      </c>
      <c r="E5198" t="s">
        <v>60</v>
      </c>
      <c r="F5198" t="s">
        <v>25</v>
      </c>
      <c r="G5198">
        <v>15</v>
      </c>
      <c r="H5198" t="s">
        <v>72</v>
      </c>
      <c r="I5198" t="s">
        <v>121</v>
      </c>
      <c r="J5198" t="s">
        <v>122</v>
      </c>
      <c r="K5198">
        <v>0</v>
      </c>
      <c r="L5198" s="84">
        <v>-4529</v>
      </c>
      <c r="M5198" s="84">
        <v>0</v>
      </c>
    </row>
    <row r="5199" spans="3:13" hidden="1" x14ac:dyDescent="0.25">
      <c r="C5199" t="s">
        <v>119</v>
      </c>
      <c r="D5199" t="s">
        <v>120</v>
      </c>
      <c r="E5199" t="s">
        <v>60</v>
      </c>
      <c r="F5199" t="s">
        <v>123</v>
      </c>
      <c r="G5199">
        <v>-4</v>
      </c>
      <c r="H5199" t="s">
        <v>68</v>
      </c>
      <c r="I5199" t="s">
        <v>121</v>
      </c>
      <c r="J5199" t="s">
        <v>122</v>
      </c>
      <c r="K5199">
        <v>0</v>
      </c>
      <c r="L5199" s="84">
        <v>-2</v>
      </c>
      <c r="M5199" s="84">
        <v>0</v>
      </c>
    </row>
    <row r="5200" spans="3:13" hidden="1" x14ac:dyDescent="0.25">
      <c r="C5200" t="s">
        <v>65</v>
      </c>
      <c r="D5200" t="s">
        <v>120</v>
      </c>
      <c r="E5200" t="s">
        <v>60</v>
      </c>
      <c r="F5200" t="s">
        <v>124</v>
      </c>
      <c r="G5200">
        <v>3</v>
      </c>
      <c r="H5200" t="s">
        <v>67</v>
      </c>
      <c r="I5200" t="s">
        <v>121</v>
      </c>
      <c r="J5200" t="s">
        <v>122</v>
      </c>
      <c r="K5200">
        <v>0</v>
      </c>
      <c r="L5200" s="84">
        <v>-388953</v>
      </c>
      <c r="M5200" s="84">
        <v>0</v>
      </c>
    </row>
    <row r="5201" spans="3:13" hidden="1" x14ac:dyDescent="0.25">
      <c r="C5201" t="s">
        <v>119</v>
      </c>
      <c r="D5201" t="s">
        <v>120</v>
      </c>
      <c r="E5201" t="s">
        <v>60</v>
      </c>
      <c r="F5201" t="s">
        <v>25</v>
      </c>
      <c r="G5201">
        <v>15</v>
      </c>
      <c r="H5201" t="s">
        <v>71</v>
      </c>
      <c r="I5201" t="s">
        <v>121</v>
      </c>
      <c r="J5201" t="s">
        <v>122</v>
      </c>
      <c r="K5201">
        <v>0</v>
      </c>
      <c r="L5201" s="84">
        <v>-983</v>
      </c>
      <c r="M5201" s="84">
        <v>0</v>
      </c>
    </row>
    <row r="5202" spans="3:13" hidden="1" x14ac:dyDescent="0.25">
      <c r="C5202" t="s">
        <v>65</v>
      </c>
      <c r="D5202" t="s">
        <v>120</v>
      </c>
      <c r="E5202" t="s">
        <v>60</v>
      </c>
      <c r="F5202" t="s">
        <v>24</v>
      </c>
      <c r="G5202">
        <v>3</v>
      </c>
      <c r="H5202" t="s">
        <v>71</v>
      </c>
      <c r="I5202" t="s">
        <v>121</v>
      </c>
      <c r="J5202" t="s">
        <v>122</v>
      </c>
      <c r="K5202">
        <v>0</v>
      </c>
      <c r="L5202" s="84">
        <v>-8441</v>
      </c>
      <c r="M5202" s="84">
        <v>0</v>
      </c>
    </row>
    <row r="5203" spans="3:13" hidden="1" x14ac:dyDescent="0.25">
      <c r="C5203" t="s">
        <v>119</v>
      </c>
      <c r="D5203" t="s">
        <v>120</v>
      </c>
      <c r="E5203" t="s">
        <v>63</v>
      </c>
      <c r="F5203" t="s">
        <v>24</v>
      </c>
      <c r="G5203">
        <v>3</v>
      </c>
      <c r="H5203" t="s">
        <v>18</v>
      </c>
      <c r="I5203" t="s">
        <v>121</v>
      </c>
      <c r="J5203" t="s">
        <v>122</v>
      </c>
      <c r="K5203">
        <v>0</v>
      </c>
      <c r="L5203" s="84">
        <v>1767487</v>
      </c>
      <c r="M5203" s="84">
        <v>5302461</v>
      </c>
    </row>
    <row r="5204" spans="3:13" hidden="1" x14ac:dyDescent="0.25">
      <c r="C5204" t="s">
        <v>119</v>
      </c>
      <c r="D5204" t="s">
        <v>120</v>
      </c>
      <c r="E5204" t="s">
        <v>63</v>
      </c>
      <c r="F5204" t="s">
        <v>123</v>
      </c>
      <c r="G5204">
        <v>0</v>
      </c>
      <c r="H5204" t="s">
        <v>68</v>
      </c>
      <c r="I5204" t="s">
        <v>121</v>
      </c>
      <c r="J5204" t="s">
        <v>122</v>
      </c>
      <c r="K5204">
        <v>0</v>
      </c>
      <c r="L5204" s="84">
        <v>3066593</v>
      </c>
      <c r="M5204" s="84">
        <v>0</v>
      </c>
    </row>
    <row r="5205" spans="3:13" hidden="1" x14ac:dyDescent="0.25">
      <c r="C5205" t="s">
        <v>64</v>
      </c>
      <c r="D5205" t="s">
        <v>120</v>
      </c>
      <c r="E5205" t="s">
        <v>60</v>
      </c>
      <c r="F5205" t="s">
        <v>24</v>
      </c>
      <c r="G5205">
        <v>1</v>
      </c>
      <c r="H5205" t="s">
        <v>72</v>
      </c>
      <c r="I5205" t="s">
        <v>121</v>
      </c>
      <c r="J5205" t="s">
        <v>122</v>
      </c>
      <c r="K5205">
        <v>0</v>
      </c>
      <c r="L5205" s="84">
        <v>-144</v>
      </c>
      <c r="M5205" s="84">
        <v>0</v>
      </c>
    </row>
    <row r="5206" spans="3:13" hidden="1" x14ac:dyDescent="0.25">
      <c r="C5206" t="s">
        <v>65</v>
      </c>
      <c r="D5206" t="s">
        <v>120</v>
      </c>
      <c r="E5206" t="s">
        <v>63</v>
      </c>
      <c r="F5206" t="s">
        <v>124</v>
      </c>
      <c r="G5206">
        <v>2</v>
      </c>
      <c r="H5206" t="s">
        <v>13</v>
      </c>
      <c r="I5206" t="s">
        <v>121</v>
      </c>
      <c r="J5206" t="s">
        <v>122</v>
      </c>
      <c r="K5206">
        <v>0</v>
      </c>
      <c r="L5206" s="84">
        <v>156176</v>
      </c>
      <c r="M5206" s="84">
        <v>312352</v>
      </c>
    </row>
    <row r="5207" spans="3:13" hidden="1" x14ac:dyDescent="0.25">
      <c r="C5207" t="s">
        <v>64</v>
      </c>
      <c r="D5207" t="s">
        <v>120</v>
      </c>
      <c r="E5207" t="s">
        <v>60</v>
      </c>
      <c r="F5207" t="s">
        <v>24</v>
      </c>
      <c r="G5207">
        <v>9</v>
      </c>
      <c r="H5207" t="s">
        <v>71</v>
      </c>
      <c r="I5207" t="s">
        <v>121</v>
      </c>
      <c r="J5207" t="s">
        <v>122</v>
      </c>
      <c r="K5207">
        <v>0</v>
      </c>
      <c r="L5207" s="84">
        <v>-1039</v>
      </c>
      <c r="M5207" s="84">
        <v>0</v>
      </c>
    </row>
    <row r="5208" spans="3:13" hidden="1" x14ac:dyDescent="0.25">
      <c r="C5208" t="s">
        <v>64</v>
      </c>
      <c r="D5208" t="s">
        <v>120</v>
      </c>
      <c r="E5208" t="s">
        <v>60</v>
      </c>
      <c r="F5208" t="s">
        <v>123</v>
      </c>
      <c r="G5208">
        <v>7</v>
      </c>
      <c r="H5208" t="s">
        <v>68</v>
      </c>
      <c r="I5208" t="s">
        <v>121</v>
      </c>
      <c r="J5208" t="s">
        <v>122</v>
      </c>
      <c r="K5208">
        <v>0</v>
      </c>
      <c r="L5208" s="84">
        <v>-29213</v>
      </c>
      <c r="M5208" s="84">
        <v>0</v>
      </c>
    </row>
    <row r="5209" spans="3:13" hidden="1" x14ac:dyDescent="0.25">
      <c r="C5209" t="s">
        <v>119</v>
      </c>
      <c r="D5209" t="s">
        <v>120</v>
      </c>
      <c r="E5209" t="s">
        <v>63</v>
      </c>
      <c r="F5209" t="s">
        <v>25</v>
      </c>
      <c r="G5209">
        <v>13</v>
      </c>
      <c r="H5209" t="s">
        <v>71</v>
      </c>
      <c r="I5209" t="s">
        <v>121</v>
      </c>
      <c r="J5209" t="s">
        <v>122</v>
      </c>
      <c r="K5209">
        <v>0</v>
      </c>
      <c r="L5209" s="84">
        <v>143361</v>
      </c>
      <c r="M5209" s="84">
        <v>1863693</v>
      </c>
    </row>
    <row r="5210" spans="3:13" hidden="1" x14ac:dyDescent="0.25">
      <c r="C5210" t="s">
        <v>64</v>
      </c>
      <c r="D5210" t="s">
        <v>120</v>
      </c>
      <c r="E5210" t="s">
        <v>60</v>
      </c>
      <c r="F5210" t="s">
        <v>123</v>
      </c>
      <c r="G5210">
        <v>4</v>
      </c>
      <c r="H5210" t="s">
        <v>15</v>
      </c>
      <c r="I5210" t="s">
        <v>121</v>
      </c>
      <c r="J5210" t="s">
        <v>122</v>
      </c>
      <c r="K5210">
        <v>0</v>
      </c>
      <c r="L5210" s="84">
        <v>-7378</v>
      </c>
      <c r="M5210" s="84">
        <v>0</v>
      </c>
    </row>
    <row r="5211" spans="3:13" hidden="1" x14ac:dyDescent="0.25">
      <c r="C5211" t="s">
        <v>64</v>
      </c>
      <c r="D5211" t="s">
        <v>120</v>
      </c>
      <c r="E5211" t="s">
        <v>60</v>
      </c>
      <c r="F5211" t="s">
        <v>124</v>
      </c>
      <c r="G5211">
        <v>15</v>
      </c>
      <c r="H5211" t="s">
        <v>17</v>
      </c>
      <c r="I5211" t="s">
        <v>121</v>
      </c>
      <c r="J5211" t="s">
        <v>122</v>
      </c>
      <c r="K5211">
        <v>0</v>
      </c>
      <c r="L5211" s="84">
        <v>-2731</v>
      </c>
      <c r="M5211" s="84">
        <v>0</v>
      </c>
    </row>
    <row r="5212" spans="3:13" hidden="1" x14ac:dyDescent="0.25">
      <c r="C5212" t="s">
        <v>119</v>
      </c>
      <c r="D5212" t="s">
        <v>120</v>
      </c>
      <c r="E5212" t="s">
        <v>63</v>
      </c>
      <c r="F5212" t="s">
        <v>124</v>
      </c>
      <c r="G5212">
        <v>2</v>
      </c>
      <c r="H5212" t="s">
        <v>75</v>
      </c>
      <c r="I5212" t="s">
        <v>121</v>
      </c>
      <c r="J5212" t="s">
        <v>122</v>
      </c>
      <c r="K5212">
        <v>0</v>
      </c>
      <c r="L5212" s="84">
        <v>17257153</v>
      </c>
      <c r="M5212" s="84">
        <v>34514306</v>
      </c>
    </row>
    <row r="5213" spans="3:13" x14ac:dyDescent="0.25">
      <c r="C5213" t="s">
        <v>119</v>
      </c>
      <c r="D5213" t="s">
        <v>120</v>
      </c>
      <c r="E5213" t="s">
        <v>63</v>
      </c>
      <c r="F5213" t="s">
        <v>25</v>
      </c>
      <c r="G5213">
        <v>6</v>
      </c>
      <c r="H5213" t="s">
        <v>18</v>
      </c>
      <c r="I5213" t="s">
        <v>121</v>
      </c>
      <c r="J5213" t="s">
        <v>66</v>
      </c>
      <c r="K5213">
        <v>1</v>
      </c>
      <c r="L5213" s="84">
        <v>598612</v>
      </c>
      <c r="M5213" s="84">
        <v>3591672</v>
      </c>
    </row>
    <row r="5214" spans="3:13" hidden="1" x14ac:dyDescent="0.25">
      <c r="C5214" t="s">
        <v>65</v>
      </c>
      <c r="D5214" t="s">
        <v>120</v>
      </c>
      <c r="E5214" t="s">
        <v>60</v>
      </c>
      <c r="F5214" t="s">
        <v>25</v>
      </c>
      <c r="G5214">
        <v>-4</v>
      </c>
      <c r="H5214" t="s">
        <v>14</v>
      </c>
      <c r="I5214" t="s">
        <v>121</v>
      </c>
      <c r="J5214" t="s">
        <v>122</v>
      </c>
      <c r="K5214">
        <v>0</v>
      </c>
      <c r="L5214" s="84">
        <v>-816919</v>
      </c>
      <c r="M5214" s="84">
        <v>0</v>
      </c>
    </row>
    <row r="5215" spans="3:13" hidden="1" x14ac:dyDescent="0.25">
      <c r="C5215" t="s">
        <v>119</v>
      </c>
      <c r="D5215" t="s">
        <v>120</v>
      </c>
      <c r="E5215" t="s">
        <v>63</v>
      </c>
      <c r="F5215" t="s">
        <v>124</v>
      </c>
      <c r="G5215">
        <v>1</v>
      </c>
      <c r="H5215" t="s">
        <v>14</v>
      </c>
      <c r="I5215" t="s">
        <v>121</v>
      </c>
      <c r="J5215" t="s">
        <v>66</v>
      </c>
      <c r="K5215">
        <v>1</v>
      </c>
      <c r="L5215" s="84">
        <v>25370082</v>
      </c>
      <c r="M5215" s="84">
        <v>25370082</v>
      </c>
    </row>
    <row r="5216" spans="3:13" hidden="1" x14ac:dyDescent="0.25">
      <c r="C5216" t="s">
        <v>119</v>
      </c>
      <c r="D5216" t="s">
        <v>120</v>
      </c>
      <c r="E5216" t="s">
        <v>63</v>
      </c>
      <c r="F5216" t="s">
        <v>25</v>
      </c>
      <c r="G5216">
        <v>6</v>
      </c>
      <c r="H5216" t="s">
        <v>18</v>
      </c>
      <c r="I5216" t="s">
        <v>121</v>
      </c>
      <c r="J5216" t="s">
        <v>122</v>
      </c>
      <c r="K5216">
        <v>0</v>
      </c>
      <c r="L5216" s="84">
        <v>7138930</v>
      </c>
      <c r="M5216" s="84">
        <v>42833580</v>
      </c>
    </row>
    <row r="5217" spans="3:13" hidden="1" x14ac:dyDescent="0.25">
      <c r="C5217" t="s">
        <v>64</v>
      </c>
      <c r="D5217" t="s">
        <v>125</v>
      </c>
      <c r="E5217" t="s">
        <v>60</v>
      </c>
      <c r="F5217" t="s">
        <v>24</v>
      </c>
      <c r="G5217">
        <v>22</v>
      </c>
      <c r="I5217" t="s">
        <v>121</v>
      </c>
      <c r="J5217" t="s">
        <v>122</v>
      </c>
      <c r="K5217">
        <v>0</v>
      </c>
      <c r="L5217" s="84">
        <v>-1272336</v>
      </c>
      <c r="M5217" s="84">
        <v>0</v>
      </c>
    </row>
    <row r="5218" spans="3:13" hidden="1" x14ac:dyDescent="0.25">
      <c r="C5218" t="s">
        <v>64</v>
      </c>
      <c r="D5218" t="s">
        <v>120</v>
      </c>
      <c r="E5218" t="s">
        <v>63</v>
      </c>
      <c r="F5218" t="s">
        <v>25</v>
      </c>
      <c r="G5218">
        <v>9</v>
      </c>
      <c r="H5218" t="s">
        <v>69</v>
      </c>
      <c r="I5218" t="s">
        <v>121</v>
      </c>
      <c r="J5218" t="s">
        <v>122</v>
      </c>
      <c r="K5218">
        <v>0</v>
      </c>
      <c r="L5218" s="84">
        <v>2715612</v>
      </c>
      <c r="M5218" s="84">
        <v>24440508</v>
      </c>
    </row>
    <row r="5219" spans="3:13" hidden="1" x14ac:dyDescent="0.25">
      <c r="C5219" t="s">
        <v>65</v>
      </c>
      <c r="D5219" t="s">
        <v>120</v>
      </c>
      <c r="E5219" t="s">
        <v>60</v>
      </c>
      <c r="F5219" t="s">
        <v>25</v>
      </c>
      <c r="G5219">
        <v>1</v>
      </c>
      <c r="H5219" t="s">
        <v>68</v>
      </c>
      <c r="I5219" t="s">
        <v>121</v>
      </c>
      <c r="J5219" t="s">
        <v>122</v>
      </c>
      <c r="K5219">
        <v>0</v>
      </c>
      <c r="L5219" s="84">
        <v>-106960</v>
      </c>
      <c r="M5219" s="84">
        <v>0</v>
      </c>
    </row>
    <row r="5220" spans="3:13" x14ac:dyDescent="0.25">
      <c r="C5220" t="s">
        <v>119</v>
      </c>
      <c r="D5220" t="s">
        <v>120</v>
      </c>
      <c r="E5220" t="s">
        <v>63</v>
      </c>
      <c r="F5220" t="s">
        <v>25</v>
      </c>
      <c r="G5220">
        <v>-1</v>
      </c>
      <c r="H5220" t="s">
        <v>12</v>
      </c>
      <c r="I5220" t="s">
        <v>121</v>
      </c>
      <c r="J5220" t="s">
        <v>66</v>
      </c>
      <c r="K5220">
        <v>1</v>
      </c>
      <c r="L5220" s="84">
        <v>60116</v>
      </c>
      <c r="M5220" s="84">
        <v>0</v>
      </c>
    </row>
    <row r="5221" spans="3:13" hidden="1" x14ac:dyDescent="0.25">
      <c r="C5221" t="s">
        <v>119</v>
      </c>
      <c r="D5221" t="s">
        <v>120</v>
      </c>
      <c r="E5221" t="s">
        <v>63</v>
      </c>
      <c r="F5221" t="s">
        <v>24</v>
      </c>
      <c r="G5221">
        <v>16</v>
      </c>
      <c r="H5221" t="s">
        <v>17</v>
      </c>
      <c r="I5221" t="s">
        <v>121</v>
      </c>
      <c r="J5221" t="s">
        <v>122</v>
      </c>
      <c r="K5221">
        <v>0</v>
      </c>
      <c r="L5221" s="84">
        <v>5387703</v>
      </c>
      <c r="M5221" s="84">
        <v>86203248</v>
      </c>
    </row>
    <row r="5222" spans="3:13" hidden="1" x14ac:dyDescent="0.25">
      <c r="C5222" t="s">
        <v>64</v>
      </c>
      <c r="D5222" t="s">
        <v>120</v>
      </c>
      <c r="E5222" t="s">
        <v>60</v>
      </c>
      <c r="F5222" t="s">
        <v>25</v>
      </c>
      <c r="G5222">
        <v>6</v>
      </c>
      <c r="H5222" t="s">
        <v>18</v>
      </c>
      <c r="I5222" t="s">
        <v>121</v>
      </c>
      <c r="J5222" t="s">
        <v>122</v>
      </c>
      <c r="K5222">
        <v>0</v>
      </c>
      <c r="L5222" s="84">
        <v>-130247</v>
      </c>
      <c r="M5222" s="84">
        <v>0</v>
      </c>
    </row>
    <row r="5223" spans="3:13" hidden="1" x14ac:dyDescent="0.25">
      <c r="C5223" t="s">
        <v>65</v>
      </c>
      <c r="D5223" t="s">
        <v>125</v>
      </c>
      <c r="E5223" t="s">
        <v>60</v>
      </c>
      <c r="F5223" t="s">
        <v>24</v>
      </c>
      <c r="G5223">
        <v>0</v>
      </c>
      <c r="I5223" t="s">
        <v>121</v>
      </c>
      <c r="J5223" t="s">
        <v>122</v>
      </c>
      <c r="K5223">
        <v>0</v>
      </c>
      <c r="L5223" s="84">
        <v>-106456</v>
      </c>
      <c r="M5223" s="84">
        <v>0</v>
      </c>
    </row>
    <row r="5224" spans="3:13" hidden="1" x14ac:dyDescent="0.25">
      <c r="C5224" t="s">
        <v>119</v>
      </c>
      <c r="D5224" t="s">
        <v>120</v>
      </c>
      <c r="E5224" t="s">
        <v>63</v>
      </c>
      <c r="F5224" t="s">
        <v>24</v>
      </c>
      <c r="G5224">
        <v>2</v>
      </c>
      <c r="H5224" t="s">
        <v>73</v>
      </c>
      <c r="I5224" t="s">
        <v>121</v>
      </c>
      <c r="J5224" t="s">
        <v>122</v>
      </c>
      <c r="K5224">
        <v>0</v>
      </c>
      <c r="L5224" s="84">
        <v>139747</v>
      </c>
      <c r="M5224" s="84">
        <v>279494</v>
      </c>
    </row>
    <row r="5225" spans="3:13" hidden="1" x14ac:dyDescent="0.25">
      <c r="C5225" t="s">
        <v>65</v>
      </c>
      <c r="D5225" t="s">
        <v>120</v>
      </c>
      <c r="E5225" t="s">
        <v>63</v>
      </c>
      <c r="F5225" t="s">
        <v>123</v>
      </c>
      <c r="G5225">
        <v>1</v>
      </c>
      <c r="H5225" t="s">
        <v>73</v>
      </c>
      <c r="I5225" t="s">
        <v>121</v>
      </c>
      <c r="J5225" t="s">
        <v>122</v>
      </c>
      <c r="K5225">
        <v>0</v>
      </c>
      <c r="L5225" s="84">
        <v>12050</v>
      </c>
      <c r="M5225" s="84">
        <v>12050</v>
      </c>
    </row>
    <row r="5226" spans="3:13" hidden="1" x14ac:dyDescent="0.25">
      <c r="C5226" t="s">
        <v>119</v>
      </c>
      <c r="D5226" t="s">
        <v>120</v>
      </c>
      <c r="E5226" t="s">
        <v>63</v>
      </c>
      <c r="F5226" t="s">
        <v>124</v>
      </c>
      <c r="G5226">
        <v>7</v>
      </c>
      <c r="H5226" t="s">
        <v>17</v>
      </c>
      <c r="I5226" t="s">
        <v>121</v>
      </c>
      <c r="J5226" t="s">
        <v>122</v>
      </c>
      <c r="K5226">
        <v>0</v>
      </c>
      <c r="L5226" s="84">
        <v>3892954</v>
      </c>
      <c r="M5226" s="84">
        <v>27250678</v>
      </c>
    </row>
    <row r="5227" spans="3:13" hidden="1" x14ac:dyDescent="0.25">
      <c r="C5227" t="s">
        <v>64</v>
      </c>
      <c r="D5227" t="s">
        <v>120</v>
      </c>
      <c r="E5227" t="s">
        <v>60</v>
      </c>
      <c r="F5227" t="s">
        <v>123</v>
      </c>
      <c r="G5227">
        <v>-4</v>
      </c>
      <c r="H5227" t="s">
        <v>68</v>
      </c>
      <c r="I5227" t="s">
        <v>121</v>
      </c>
      <c r="J5227" t="s">
        <v>122</v>
      </c>
      <c r="K5227">
        <v>0</v>
      </c>
      <c r="L5227" s="84">
        <v>-74</v>
      </c>
      <c r="M5227" s="84">
        <v>0</v>
      </c>
    </row>
    <row r="5228" spans="3:13" hidden="1" x14ac:dyDescent="0.25">
      <c r="C5228" t="s">
        <v>64</v>
      </c>
      <c r="D5228" t="s">
        <v>120</v>
      </c>
      <c r="E5228" t="s">
        <v>60</v>
      </c>
      <c r="F5228" t="s">
        <v>124</v>
      </c>
      <c r="G5228">
        <v>2</v>
      </c>
      <c r="H5228" t="s">
        <v>12</v>
      </c>
      <c r="I5228" t="s">
        <v>62</v>
      </c>
      <c r="J5228" t="s">
        <v>66</v>
      </c>
      <c r="K5228">
        <v>1</v>
      </c>
      <c r="L5228" s="84">
        <v>-11402</v>
      </c>
      <c r="M5228" s="84">
        <v>0</v>
      </c>
    </row>
    <row r="5229" spans="3:13" hidden="1" x14ac:dyDescent="0.25">
      <c r="C5229" t="s">
        <v>65</v>
      </c>
      <c r="D5229" t="s">
        <v>120</v>
      </c>
      <c r="E5229" t="s">
        <v>60</v>
      </c>
      <c r="F5229" t="s">
        <v>25</v>
      </c>
      <c r="G5229">
        <v>11</v>
      </c>
      <c r="H5229" t="s">
        <v>18</v>
      </c>
      <c r="I5229" t="s">
        <v>121</v>
      </c>
      <c r="J5229" t="s">
        <v>122</v>
      </c>
      <c r="K5229">
        <v>0</v>
      </c>
      <c r="L5229" s="84">
        <v>-24516</v>
      </c>
      <c r="M5229" s="84">
        <v>0</v>
      </c>
    </row>
    <row r="5230" spans="3:13" hidden="1" x14ac:dyDescent="0.25">
      <c r="C5230" t="s">
        <v>64</v>
      </c>
      <c r="D5230" t="s">
        <v>120</v>
      </c>
      <c r="E5230" t="s">
        <v>63</v>
      </c>
      <c r="F5230" t="s">
        <v>24</v>
      </c>
      <c r="G5230">
        <v>0</v>
      </c>
      <c r="H5230" t="s">
        <v>17</v>
      </c>
      <c r="I5230" t="s">
        <v>121</v>
      </c>
      <c r="J5230" t="s">
        <v>122</v>
      </c>
      <c r="K5230">
        <v>0</v>
      </c>
      <c r="L5230" s="84">
        <v>2381680</v>
      </c>
      <c r="M5230" s="84">
        <v>0</v>
      </c>
    </row>
    <row r="5231" spans="3:13" hidden="1" x14ac:dyDescent="0.25">
      <c r="C5231" t="s">
        <v>119</v>
      </c>
      <c r="D5231" t="s">
        <v>120</v>
      </c>
      <c r="E5231" t="s">
        <v>63</v>
      </c>
      <c r="F5231" t="s">
        <v>124</v>
      </c>
      <c r="G5231">
        <v>8</v>
      </c>
      <c r="H5231" t="s">
        <v>75</v>
      </c>
      <c r="I5231" t="s">
        <v>121</v>
      </c>
      <c r="J5231" t="s">
        <v>122</v>
      </c>
      <c r="K5231">
        <v>0</v>
      </c>
      <c r="L5231" s="84">
        <v>47263861</v>
      </c>
      <c r="M5231" s="84">
        <v>378110888</v>
      </c>
    </row>
    <row r="5232" spans="3:13" hidden="1" x14ac:dyDescent="0.25">
      <c r="C5232" t="s">
        <v>65</v>
      </c>
      <c r="D5232" t="s">
        <v>125</v>
      </c>
      <c r="E5232" t="s">
        <v>63</v>
      </c>
      <c r="F5232" t="s">
        <v>25</v>
      </c>
      <c r="G5232">
        <v>21</v>
      </c>
      <c r="I5232" t="s">
        <v>121</v>
      </c>
      <c r="J5232" t="s">
        <v>122</v>
      </c>
      <c r="K5232">
        <v>0</v>
      </c>
      <c r="L5232" s="84">
        <v>270872</v>
      </c>
      <c r="M5232" s="84">
        <v>5688312</v>
      </c>
    </row>
    <row r="5233" spans="3:13" hidden="1" x14ac:dyDescent="0.25">
      <c r="C5233" t="s">
        <v>64</v>
      </c>
      <c r="D5233" t="s">
        <v>120</v>
      </c>
      <c r="E5233" t="s">
        <v>60</v>
      </c>
      <c r="F5233" t="s">
        <v>124</v>
      </c>
      <c r="G5233">
        <v>1</v>
      </c>
      <c r="H5233" t="s">
        <v>17</v>
      </c>
      <c r="I5233" t="s">
        <v>121</v>
      </c>
      <c r="J5233" t="s">
        <v>122</v>
      </c>
      <c r="K5233">
        <v>0</v>
      </c>
      <c r="L5233" s="84">
        <v>-293625</v>
      </c>
      <c r="M5233" s="84">
        <v>0</v>
      </c>
    </row>
    <row r="5234" spans="3:13" hidden="1" x14ac:dyDescent="0.25">
      <c r="C5234" t="s">
        <v>64</v>
      </c>
      <c r="D5234" t="s">
        <v>120</v>
      </c>
      <c r="E5234" t="s">
        <v>60</v>
      </c>
      <c r="F5234" t="s">
        <v>123</v>
      </c>
      <c r="G5234">
        <v>2</v>
      </c>
      <c r="H5234" t="s">
        <v>13</v>
      </c>
      <c r="I5234" t="s">
        <v>121</v>
      </c>
      <c r="J5234" t="s">
        <v>122</v>
      </c>
      <c r="K5234">
        <v>0</v>
      </c>
      <c r="L5234" s="84">
        <v>-1783</v>
      </c>
      <c r="M5234" s="84">
        <v>0</v>
      </c>
    </row>
    <row r="5235" spans="3:13" hidden="1" x14ac:dyDescent="0.25">
      <c r="C5235" t="s">
        <v>119</v>
      </c>
      <c r="D5235" t="s">
        <v>120</v>
      </c>
      <c r="E5235" t="s">
        <v>63</v>
      </c>
      <c r="F5235" t="s">
        <v>123</v>
      </c>
      <c r="G5235">
        <v>1</v>
      </c>
      <c r="H5235" t="s">
        <v>17</v>
      </c>
      <c r="I5235" t="s">
        <v>121</v>
      </c>
      <c r="J5235" t="s">
        <v>122</v>
      </c>
      <c r="K5235">
        <v>0</v>
      </c>
      <c r="L5235" s="84">
        <v>3183834</v>
      </c>
      <c r="M5235" s="84">
        <v>3183834</v>
      </c>
    </row>
    <row r="5236" spans="3:13" hidden="1" x14ac:dyDescent="0.25">
      <c r="C5236" t="s">
        <v>64</v>
      </c>
      <c r="D5236" t="s">
        <v>120</v>
      </c>
      <c r="E5236" t="s">
        <v>63</v>
      </c>
      <c r="F5236" t="s">
        <v>25</v>
      </c>
      <c r="G5236">
        <v>14</v>
      </c>
      <c r="H5236" t="s">
        <v>14</v>
      </c>
      <c r="I5236" t="s">
        <v>121</v>
      </c>
      <c r="J5236" t="s">
        <v>122</v>
      </c>
      <c r="K5236">
        <v>0</v>
      </c>
      <c r="L5236" s="84">
        <v>137964</v>
      </c>
      <c r="M5236" s="84">
        <v>1931496</v>
      </c>
    </row>
    <row r="5237" spans="3:13" hidden="1" x14ac:dyDescent="0.25">
      <c r="C5237" t="s">
        <v>65</v>
      </c>
      <c r="D5237" t="s">
        <v>120</v>
      </c>
      <c r="E5237" t="s">
        <v>60</v>
      </c>
      <c r="F5237" t="s">
        <v>124</v>
      </c>
      <c r="G5237">
        <v>12</v>
      </c>
      <c r="H5237" t="s">
        <v>18</v>
      </c>
      <c r="I5237" t="s">
        <v>121</v>
      </c>
      <c r="J5237" t="s">
        <v>122</v>
      </c>
      <c r="K5237">
        <v>0</v>
      </c>
      <c r="L5237" s="84">
        <v>-21737</v>
      </c>
      <c r="M5237" s="84">
        <v>0</v>
      </c>
    </row>
    <row r="5238" spans="3:13" hidden="1" x14ac:dyDescent="0.25">
      <c r="C5238" t="s">
        <v>64</v>
      </c>
      <c r="D5238" t="s">
        <v>120</v>
      </c>
      <c r="E5238" t="s">
        <v>60</v>
      </c>
      <c r="F5238" t="s">
        <v>25</v>
      </c>
      <c r="G5238">
        <v>-4</v>
      </c>
      <c r="H5238" t="s">
        <v>17</v>
      </c>
      <c r="I5238" t="s">
        <v>121</v>
      </c>
      <c r="J5238" t="s">
        <v>122</v>
      </c>
      <c r="K5238">
        <v>0</v>
      </c>
      <c r="L5238" s="84">
        <v>-7</v>
      </c>
      <c r="M5238" s="84">
        <v>0</v>
      </c>
    </row>
    <row r="5239" spans="3:13" x14ac:dyDescent="0.25">
      <c r="C5239" t="s">
        <v>64</v>
      </c>
      <c r="D5239" t="s">
        <v>120</v>
      </c>
      <c r="E5239" t="s">
        <v>63</v>
      </c>
      <c r="F5239" t="s">
        <v>25</v>
      </c>
      <c r="G5239">
        <v>14</v>
      </c>
      <c r="H5239" t="s">
        <v>14</v>
      </c>
      <c r="I5239" t="s">
        <v>121</v>
      </c>
      <c r="J5239" t="s">
        <v>66</v>
      </c>
      <c r="K5239">
        <v>1</v>
      </c>
      <c r="L5239" s="84">
        <v>194241</v>
      </c>
      <c r="M5239" s="84">
        <v>2719374</v>
      </c>
    </row>
    <row r="5240" spans="3:13" hidden="1" x14ac:dyDescent="0.25">
      <c r="C5240" t="s">
        <v>119</v>
      </c>
      <c r="D5240" t="s">
        <v>120</v>
      </c>
      <c r="E5240" t="s">
        <v>63</v>
      </c>
      <c r="F5240" t="s">
        <v>25</v>
      </c>
      <c r="G5240">
        <v>15</v>
      </c>
      <c r="H5240" t="s">
        <v>61</v>
      </c>
      <c r="I5240" t="s">
        <v>121</v>
      </c>
      <c r="J5240" t="s">
        <v>122</v>
      </c>
      <c r="K5240">
        <v>0</v>
      </c>
      <c r="L5240" s="84">
        <v>302329</v>
      </c>
      <c r="M5240" s="84">
        <v>4534935</v>
      </c>
    </row>
    <row r="5241" spans="3:13" hidden="1" x14ac:dyDescent="0.25">
      <c r="C5241" t="s">
        <v>65</v>
      </c>
      <c r="D5241" t="s">
        <v>125</v>
      </c>
      <c r="E5241" t="s">
        <v>60</v>
      </c>
      <c r="F5241" t="s">
        <v>24</v>
      </c>
      <c r="G5241">
        <v>22</v>
      </c>
      <c r="I5241" t="s">
        <v>121</v>
      </c>
      <c r="J5241" t="s">
        <v>122</v>
      </c>
      <c r="K5241">
        <v>0</v>
      </c>
      <c r="L5241" s="84">
        <v>-2591645</v>
      </c>
      <c r="M5241" s="84">
        <v>0</v>
      </c>
    </row>
    <row r="5242" spans="3:13" hidden="1" x14ac:dyDescent="0.25">
      <c r="C5242" t="s">
        <v>119</v>
      </c>
      <c r="D5242" t="s">
        <v>120</v>
      </c>
      <c r="E5242" t="s">
        <v>60</v>
      </c>
      <c r="F5242" t="s">
        <v>25</v>
      </c>
      <c r="G5242">
        <v>-4</v>
      </c>
      <c r="H5242" t="s">
        <v>18</v>
      </c>
      <c r="I5242" t="s">
        <v>121</v>
      </c>
      <c r="J5242" t="s">
        <v>122</v>
      </c>
      <c r="K5242">
        <v>0</v>
      </c>
      <c r="L5242" s="84">
        <v>-166</v>
      </c>
      <c r="M5242" s="84">
        <v>0</v>
      </c>
    </row>
    <row r="5243" spans="3:13" hidden="1" x14ac:dyDescent="0.25">
      <c r="C5243" t="s">
        <v>119</v>
      </c>
      <c r="D5243" t="s">
        <v>120</v>
      </c>
      <c r="E5243" t="s">
        <v>60</v>
      </c>
      <c r="F5243" t="s">
        <v>123</v>
      </c>
      <c r="G5243">
        <v>0</v>
      </c>
      <c r="H5243" t="s">
        <v>75</v>
      </c>
      <c r="I5243" t="s">
        <v>121</v>
      </c>
      <c r="J5243" t="s">
        <v>122</v>
      </c>
      <c r="K5243">
        <v>0</v>
      </c>
      <c r="L5243" s="84">
        <v>-3488</v>
      </c>
      <c r="M5243" s="84">
        <v>0</v>
      </c>
    </row>
    <row r="5244" spans="3:13" hidden="1" x14ac:dyDescent="0.25">
      <c r="C5244" t="s">
        <v>64</v>
      </c>
      <c r="D5244" t="s">
        <v>120</v>
      </c>
      <c r="E5244" t="s">
        <v>60</v>
      </c>
      <c r="F5244" t="s">
        <v>124</v>
      </c>
      <c r="G5244">
        <v>7</v>
      </c>
      <c r="H5244" t="s">
        <v>67</v>
      </c>
      <c r="I5244" t="s">
        <v>121</v>
      </c>
      <c r="J5244" t="s">
        <v>122</v>
      </c>
      <c r="K5244">
        <v>0</v>
      </c>
      <c r="L5244" s="84">
        <v>-570021</v>
      </c>
      <c r="M5244" s="84">
        <v>0</v>
      </c>
    </row>
    <row r="5245" spans="3:13" hidden="1" x14ac:dyDescent="0.25">
      <c r="C5245" t="s">
        <v>119</v>
      </c>
      <c r="D5245" t="s">
        <v>120</v>
      </c>
      <c r="E5245" t="s">
        <v>63</v>
      </c>
      <c r="F5245" t="s">
        <v>123</v>
      </c>
      <c r="G5245">
        <v>6</v>
      </c>
      <c r="H5245" t="s">
        <v>71</v>
      </c>
      <c r="I5245" t="s">
        <v>121</v>
      </c>
      <c r="J5245" t="s">
        <v>122</v>
      </c>
      <c r="K5245">
        <v>0</v>
      </c>
      <c r="L5245" s="84">
        <v>153826</v>
      </c>
      <c r="M5245" s="84">
        <v>922956</v>
      </c>
    </row>
    <row r="5246" spans="3:13" hidden="1" x14ac:dyDescent="0.25">
      <c r="C5246" t="s">
        <v>119</v>
      </c>
      <c r="D5246" t="s">
        <v>120</v>
      </c>
      <c r="E5246" t="s">
        <v>63</v>
      </c>
      <c r="F5246" t="s">
        <v>124</v>
      </c>
      <c r="G5246">
        <v>2</v>
      </c>
      <c r="H5246" t="s">
        <v>17</v>
      </c>
      <c r="I5246" t="s">
        <v>121</v>
      </c>
      <c r="J5246" t="s">
        <v>122</v>
      </c>
      <c r="K5246">
        <v>0</v>
      </c>
      <c r="L5246" s="84">
        <v>30785710</v>
      </c>
      <c r="M5246" s="84">
        <v>61571420</v>
      </c>
    </row>
    <row r="5247" spans="3:13" hidden="1" x14ac:dyDescent="0.25">
      <c r="C5247" t="s">
        <v>64</v>
      </c>
      <c r="D5247" t="s">
        <v>120</v>
      </c>
      <c r="E5247" t="s">
        <v>60</v>
      </c>
      <c r="F5247" t="s">
        <v>25</v>
      </c>
      <c r="G5247">
        <v>12</v>
      </c>
      <c r="H5247" t="s">
        <v>73</v>
      </c>
      <c r="I5247" t="s">
        <v>121</v>
      </c>
      <c r="J5247" t="s">
        <v>122</v>
      </c>
      <c r="K5247">
        <v>0</v>
      </c>
      <c r="L5247" s="84">
        <v>-3226</v>
      </c>
      <c r="M5247" s="84">
        <v>0</v>
      </c>
    </row>
    <row r="5248" spans="3:13" hidden="1" x14ac:dyDescent="0.25">
      <c r="C5248" t="s">
        <v>64</v>
      </c>
      <c r="D5248" t="s">
        <v>120</v>
      </c>
      <c r="E5248" t="s">
        <v>60</v>
      </c>
      <c r="F5248" t="s">
        <v>124</v>
      </c>
      <c r="G5248">
        <v>-4</v>
      </c>
      <c r="H5248" t="s">
        <v>12</v>
      </c>
      <c r="I5248" t="s">
        <v>121</v>
      </c>
      <c r="J5248" t="s">
        <v>122</v>
      </c>
      <c r="K5248">
        <v>0</v>
      </c>
      <c r="L5248" s="84">
        <v>-1499</v>
      </c>
      <c r="M5248" s="84">
        <v>0</v>
      </c>
    </row>
    <row r="5249" spans="3:13" hidden="1" x14ac:dyDescent="0.25">
      <c r="C5249" t="s">
        <v>65</v>
      </c>
      <c r="D5249" t="s">
        <v>120</v>
      </c>
      <c r="E5249" t="s">
        <v>63</v>
      </c>
      <c r="F5249" t="s">
        <v>24</v>
      </c>
      <c r="G5249">
        <v>4</v>
      </c>
      <c r="H5249" t="s">
        <v>68</v>
      </c>
      <c r="I5249" t="s">
        <v>121</v>
      </c>
      <c r="J5249" t="s">
        <v>122</v>
      </c>
      <c r="K5249">
        <v>0</v>
      </c>
      <c r="L5249" s="84">
        <v>147650</v>
      </c>
      <c r="M5249" s="84">
        <v>590600</v>
      </c>
    </row>
    <row r="5250" spans="3:13" hidden="1" x14ac:dyDescent="0.25">
      <c r="C5250" t="s">
        <v>64</v>
      </c>
      <c r="D5250" t="s">
        <v>120</v>
      </c>
      <c r="E5250" t="s">
        <v>60</v>
      </c>
      <c r="F5250" t="s">
        <v>123</v>
      </c>
      <c r="G5250">
        <v>4</v>
      </c>
      <c r="H5250" t="s">
        <v>70</v>
      </c>
      <c r="I5250" t="s">
        <v>121</v>
      </c>
      <c r="J5250" t="s">
        <v>122</v>
      </c>
      <c r="K5250">
        <v>0</v>
      </c>
      <c r="L5250" s="84">
        <v>-6646</v>
      </c>
      <c r="M5250" s="84">
        <v>0</v>
      </c>
    </row>
    <row r="5251" spans="3:13" hidden="1" x14ac:dyDescent="0.25">
      <c r="C5251" t="s">
        <v>64</v>
      </c>
      <c r="D5251" t="s">
        <v>120</v>
      </c>
      <c r="E5251" t="s">
        <v>60</v>
      </c>
      <c r="F5251" t="s">
        <v>123</v>
      </c>
      <c r="G5251">
        <v>0</v>
      </c>
      <c r="H5251" t="s">
        <v>17</v>
      </c>
      <c r="I5251" t="s">
        <v>121</v>
      </c>
      <c r="J5251" t="s">
        <v>122</v>
      </c>
      <c r="K5251">
        <v>0</v>
      </c>
      <c r="L5251" s="84">
        <v>-2499</v>
      </c>
      <c r="M5251" s="84">
        <v>0</v>
      </c>
    </row>
    <row r="5252" spans="3:13" hidden="1" x14ac:dyDescent="0.25">
      <c r="C5252" t="s">
        <v>64</v>
      </c>
      <c r="D5252" t="s">
        <v>120</v>
      </c>
      <c r="E5252" t="s">
        <v>60</v>
      </c>
      <c r="F5252" t="s">
        <v>25</v>
      </c>
      <c r="G5252">
        <v>11</v>
      </c>
      <c r="H5252" t="s">
        <v>68</v>
      </c>
      <c r="I5252" t="s">
        <v>121</v>
      </c>
      <c r="J5252" t="s">
        <v>122</v>
      </c>
      <c r="K5252">
        <v>0</v>
      </c>
      <c r="L5252" s="84">
        <v>-64886</v>
      </c>
      <c r="M5252" s="84">
        <v>0</v>
      </c>
    </row>
    <row r="5253" spans="3:13" hidden="1" x14ac:dyDescent="0.25">
      <c r="C5253" t="s">
        <v>119</v>
      </c>
      <c r="D5253" t="s">
        <v>120</v>
      </c>
      <c r="E5253" t="s">
        <v>60</v>
      </c>
      <c r="F5253" t="s">
        <v>124</v>
      </c>
      <c r="G5253">
        <v>6</v>
      </c>
      <c r="H5253" t="s">
        <v>71</v>
      </c>
      <c r="I5253" t="s">
        <v>121</v>
      </c>
      <c r="J5253" t="s">
        <v>122</v>
      </c>
      <c r="K5253">
        <v>0</v>
      </c>
      <c r="L5253" s="84">
        <v>-409</v>
      </c>
      <c r="M5253" s="84">
        <v>0</v>
      </c>
    </row>
    <row r="5254" spans="3:13" hidden="1" x14ac:dyDescent="0.25">
      <c r="C5254" t="s">
        <v>119</v>
      </c>
      <c r="D5254" t="s">
        <v>120</v>
      </c>
      <c r="E5254" t="s">
        <v>63</v>
      </c>
      <c r="F5254" t="s">
        <v>24</v>
      </c>
      <c r="G5254">
        <v>3</v>
      </c>
      <c r="H5254" t="s">
        <v>69</v>
      </c>
      <c r="I5254" t="s">
        <v>121</v>
      </c>
      <c r="J5254" t="s">
        <v>122</v>
      </c>
      <c r="K5254">
        <v>0</v>
      </c>
      <c r="L5254" s="84">
        <v>1621126</v>
      </c>
      <c r="M5254" s="84">
        <v>4863378</v>
      </c>
    </row>
    <row r="5255" spans="3:13" hidden="1" x14ac:dyDescent="0.25">
      <c r="C5255" t="s">
        <v>119</v>
      </c>
      <c r="D5255" t="s">
        <v>120</v>
      </c>
      <c r="E5255" t="s">
        <v>63</v>
      </c>
      <c r="F5255" t="s">
        <v>24</v>
      </c>
      <c r="G5255">
        <v>9</v>
      </c>
      <c r="H5255" t="s">
        <v>76</v>
      </c>
      <c r="I5255" t="s">
        <v>121</v>
      </c>
      <c r="J5255" t="s">
        <v>122</v>
      </c>
      <c r="K5255">
        <v>0</v>
      </c>
      <c r="L5255" s="84">
        <v>319841</v>
      </c>
      <c r="M5255" s="84">
        <v>2878569</v>
      </c>
    </row>
    <row r="5256" spans="3:13" hidden="1" x14ac:dyDescent="0.25">
      <c r="C5256" t="s">
        <v>65</v>
      </c>
      <c r="D5256" t="s">
        <v>120</v>
      </c>
      <c r="E5256" t="s">
        <v>63</v>
      </c>
      <c r="F5256" t="s">
        <v>124</v>
      </c>
      <c r="G5256">
        <v>2</v>
      </c>
      <c r="H5256" t="s">
        <v>68</v>
      </c>
      <c r="I5256" t="s">
        <v>121</v>
      </c>
      <c r="J5256" t="s">
        <v>122</v>
      </c>
      <c r="K5256">
        <v>0</v>
      </c>
      <c r="L5256" s="84">
        <v>317615</v>
      </c>
      <c r="M5256" s="84">
        <v>635230</v>
      </c>
    </row>
    <row r="5257" spans="3:13" hidden="1" x14ac:dyDescent="0.25">
      <c r="C5257" t="s">
        <v>119</v>
      </c>
      <c r="D5257" t="s">
        <v>125</v>
      </c>
      <c r="E5257" t="s">
        <v>63</v>
      </c>
      <c r="F5257" t="s">
        <v>24</v>
      </c>
      <c r="G5257">
        <v>15</v>
      </c>
      <c r="I5257" t="s">
        <v>121</v>
      </c>
      <c r="J5257" t="s">
        <v>122</v>
      </c>
      <c r="K5257">
        <v>0</v>
      </c>
      <c r="L5257" s="84">
        <v>313739660</v>
      </c>
      <c r="M5257" s="84">
        <v>4706094900</v>
      </c>
    </row>
    <row r="5258" spans="3:13" hidden="1" x14ac:dyDescent="0.25">
      <c r="C5258" t="s">
        <v>119</v>
      </c>
      <c r="D5258" t="s">
        <v>125</v>
      </c>
      <c r="E5258" t="s">
        <v>60</v>
      </c>
      <c r="F5258" t="s">
        <v>24</v>
      </c>
      <c r="G5258">
        <v>1</v>
      </c>
      <c r="I5258" t="s">
        <v>121</v>
      </c>
      <c r="J5258" t="s">
        <v>122</v>
      </c>
      <c r="K5258">
        <v>0</v>
      </c>
      <c r="L5258" s="84">
        <v>-5297</v>
      </c>
      <c r="M5258" s="84">
        <v>0</v>
      </c>
    </row>
    <row r="5259" spans="3:13" hidden="1" x14ac:dyDescent="0.25">
      <c r="C5259" t="s">
        <v>119</v>
      </c>
      <c r="D5259" t="s">
        <v>120</v>
      </c>
      <c r="E5259" t="s">
        <v>60</v>
      </c>
      <c r="F5259" t="s">
        <v>25</v>
      </c>
      <c r="G5259">
        <v>12</v>
      </c>
      <c r="H5259" t="s">
        <v>12</v>
      </c>
      <c r="I5259" t="s">
        <v>121</v>
      </c>
      <c r="J5259" t="s">
        <v>66</v>
      </c>
      <c r="K5259">
        <v>1</v>
      </c>
      <c r="L5259" s="84">
        <v>-7395</v>
      </c>
      <c r="M5259" s="84">
        <v>0</v>
      </c>
    </row>
    <row r="5260" spans="3:13" hidden="1" x14ac:dyDescent="0.25">
      <c r="C5260" t="s">
        <v>64</v>
      </c>
      <c r="D5260" t="s">
        <v>120</v>
      </c>
      <c r="E5260" t="s">
        <v>60</v>
      </c>
      <c r="F5260" t="s">
        <v>123</v>
      </c>
      <c r="G5260">
        <v>4</v>
      </c>
      <c r="H5260" t="s">
        <v>12</v>
      </c>
      <c r="I5260" t="s">
        <v>62</v>
      </c>
      <c r="J5260" t="s">
        <v>66</v>
      </c>
      <c r="K5260">
        <v>1</v>
      </c>
      <c r="L5260" s="84">
        <v>-3290</v>
      </c>
      <c r="M5260" s="84">
        <v>0</v>
      </c>
    </row>
    <row r="5261" spans="3:13" hidden="1" x14ac:dyDescent="0.25">
      <c r="C5261" t="s">
        <v>119</v>
      </c>
      <c r="D5261" t="s">
        <v>120</v>
      </c>
      <c r="E5261" t="s">
        <v>60</v>
      </c>
      <c r="F5261" t="s">
        <v>25</v>
      </c>
      <c r="G5261">
        <v>1</v>
      </c>
      <c r="H5261" t="s">
        <v>17</v>
      </c>
      <c r="I5261" t="s">
        <v>121</v>
      </c>
      <c r="J5261" t="s">
        <v>122</v>
      </c>
      <c r="K5261">
        <v>0</v>
      </c>
      <c r="L5261" s="84">
        <v>-119962</v>
      </c>
      <c r="M5261" s="84">
        <v>0</v>
      </c>
    </row>
    <row r="5262" spans="3:13" hidden="1" x14ac:dyDescent="0.25">
      <c r="C5262" t="s">
        <v>65</v>
      </c>
      <c r="D5262" t="s">
        <v>120</v>
      </c>
      <c r="E5262" t="s">
        <v>63</v>
      </c>
      <c r="F5262" t="s">
        <v>25</v>
      </c>
      <c r="G5262">
        <v>8</v>
      </c>
      <c r="H5262" t="s">
        <v>76</v>
      </c>
      <c r="I5262" t="s">
        <v>121</v>
      </c>
      <c r="J5262" t="s">
        <v>122</v>
      </c>
      <c r="K5262">
        <v>0</v>
      </c>
      <c r="L5262" s="84">
        <v>1803085</v>
      </c>
      <c r="M5262" s="84">
        <v>14424680</v>
      </c>
    </row>
    <row r="5263" spans="3:13" hidden="1" x14ac:dyDescent="0.25">
      <c r="C5263" t="s">
        <v>65</v>
      </c>
      <c r="D5263" t="s">
        <v>120</v>
      </c>
      <c r="E5263" t="s">
        <v>63</v>
      </c>
      <c r="F5263" t="s">
        <v>124</v>
      </c>
      <c r="G5263">
        <v>0</v>
      </c>
      <c r="H5263" t="s">
        <v>72</v>
      </c>
      <c r="I5263" t="s">
        <v>121</v>
      </c>
      <c r="J5263" t="s">
        <v>122</v>
      </c>
      <c r="K5263">
        <v>0</v>
      </c>
      <c r="L5263" s="84">
        <v>38780</v>
      </c>
      <c r="M5263" s="84">
        <v>0</v>
      </c>
    </row>
    <row r="5264" spans="3:13" hidden="1" x14ac:dyDescent="0.25">
      <c r="C5264" t="s">
        <v>65</v>
      </c>
      <c r="D5264" t="s">
        <v>120</v>
      </c>
      <c r="E5264" t="s">
        <v>60</v>
      </c>
      <c r="F5264" t="s">
        <v>124</v>
      </c>
      <c r="G5264">
        <v>3</v>
      </c>
      <c r="H5264" t="s">
        <v>14</v>
      </c>
      <c r="I5264" t="s">
        <v>121</v>
      </c>
      <c r="J5264" t="s">
        <v>122</v>
      </c>
      <c r="K5264">
        <v>0</v>
      </c>
      <c r="L5264" s="84">
        <v>-741174</v>
      </c>
      <c r="M5264" s="84">
        <v>0</v>
      </c>
    </row>
    <row r="5265" spans="3:13" hidden="1" x14ac:dyDescent="0.25">
      <c r="C5265" t="s">
        <v>119</v>
      </c>
      <c r="D5265" t="s">
        <v>120</v>
      </c>
      <c r="E5265" t="s">
        <v>60</v>
      </c>
      <c r="F5265" t="s">
        <v>123</v>
      </c>
      <c r="G5265">
        <v>6</v>
      </c>
      <c r="H5265" t="s">
        <v>76</v>
      </c>
      <c r="I5265" t="s">
        <v>121</v>
      </c>
      <c r="J5265" t="s">
        <v>122</v>
      </c>
      <c r="K5265">
        <v>0</v>
      </c>
      <c r="L5265" s="84">
        <v>-1521</v>
      </c>
      <c r="M5265" s="84">
        <v>0</v>
      </c>
    </row>
    <row r="5266" spans="3:13" hidden="1" x14ac:dyDescent="0.25">
      <c r="C5266" t="s">
        <v>119</v>
      </c>
      <c r="D5266" t="s">
        <v>120</v>
      </c>
      <c r="E5266" t="s">
        <v>60</v>
      </c>
      <c r="F5266" t="s">
        <v>25</v>
      </c>
      <c r="G5266">
        <v>-4</v>
      </c>
      <c r="H5266" t="s">
        <v>69</v>
      </c>
      <c r="I5266" t="s">
        <v>121</v>
      </c>
      <c r="J5266" t="s">
        <v>122</v>
      </c>
      <c r="K5266">
        <v>0</v>
      </c>
      <c r="L5266" s="84">
        <v>0</v>
      </c>
      <c r="M5266" s="84">
        <v>0</v>
      </c>
    </row>
    <row r="5267" spans="3:13" hidden="1" x14ac:dyDescent="0.25">
      <c r="C5267" t="s">
        <v>65</v>
      </c>
      <c r="D5267" t="s">
        <v>120</v>
      </c>
      <c r="E5267" t="s">
        <v>63</v>
      </c>
      <c r="F5267" t="s">
        <v>24</v>
      </c>
      <c r="G5267">
        <v>-1</v>
      </c>
      <c r="H5267" t="s">
        <v>17</v>
      </c>
      <c r="I5267" t="s">
        <v>121</v>
      </c>
      <c r="J5267" t="s">
        <v>122</v>
      </c>
      <c r="K5267">
        <v>0</v>
      </c>
      <c r="L5267" s="84">
        <v>967</v>
      </c>
      <c r="M5267" s="84">
        <v>0</v>
      </c>
    </row>
    <row r="5268" spans="3:13" hidden="1" x14ac:dyDescent="0.25">
      <c r="C5268" t="s">
        <v>119</v>
      </c>
      <c r="D5268" t="s">
        <v>120</v>
      </c>
      <c r="E5268" t="s">
        <v>60</v>
      </c>
      <c r="F5268" t="s">
        <v>123</v>
      </c>
      <c r="G5268">
        <v>4</v>
      </c>
      <c r="H5268" t="s">
        <v>70</v>
      </c>
      <c r="I5268" t="s">
        <v>121</v>
      </c>
      <c r="J5268" t="s">
        <v>122</v>
      </c>
      <c r="K5268">
        <v>0</v>
      </c>
      <c r="L5268" s="84">
        <v>-3695</v>
      </c>
      <c r="M5268" s="84">
        <v>0</v>
      </c>
    </row>
    <row r="5269" spans="3:13" hidden="1" x14ac:dyDescent="0.25">
      <c r="C5269" t="s">
        <v>119</v>
      </c>
      <c r="D5269" t="s">
        <v>120</v>
      </c>
      <c r="E5269" t="s">
        <v>60</v>
      </c>
      <c r="F5269" t="s">
        <v>123</v>
      </c>
      <c r="G5269">
        <v>0</v>
      </c>
      <c r="H5269" t="s">
        <v>17</v>
      </c>
      <c r="I5269" t="s">
        <v>121</v>
      </c>
      <c r="J5269" t="s">
        <v>122</v>
      </c>
      <c r="K5269">
        <v>0</v>
      </c>
      <c r="L5269" s="84">
        <v>-917</v>
      </c>
      <c r="M5269" s="84">
        <v>0</v>
      </c>
    </row>
    <row r="5270" spans="3:13" hidden="1" x14ac:dyDescent="0.25">
      <c r="C5270" t="s">
        <v>65</v>
      </c>
      <c r="D5270" t="s">
        <v>120</v>
      </c>
      <c r="E5270" t="s">
        <v>60</v>
      </c>
      <c r="F5270" t="s">
        <v>25</v>
      </c>
      <c r="G5270">
        <v>11</v>
      </c>
      <c r="H5270" t="s">
        <v>69</v>
      </c>
      <c r="I5270" t="s">
        <v>121</v>
      </c>
      <c r="J5270" t="s">
        <v>122</v>
      </c>
      <c r="K5270">
        <v>0</v>
      </c>
      <c r="L5270" s="84">
        <v>-50376</v>
      </c>
      <c r="M5270" s="84">
        <v>0</v>
      </c>
    </row>
    <row r="5271" spans="3:13" hidden="1" x14ac:dyDescent="0.25">
      <c r="C5271" t="s">
        <v>64</v>
      </c>
      <c r="D5271" t="s">
        <v>120</v>
      </c>
      <c r="E5271" t="s">
        <v>60</v>
      </c>
      <c r="F5271" t="s">
        <v>124</v>
      </c>
      <c r="G5271">
        <v>1</v>
      </c>
      <c r="H5271" t="s">
        <v>75</v>
      </c>
      <c r="I5271" t="s">
        <v>121</v>
      </c>
      <c r="J5271" t="s">
        <v>122</v>
      </c>
      <c r="K5271">
        <v>0</v>
      </c>
      <c r="L5271" s="84">
        <v>-217304</v>
      </c>
      <c r="M5271" s="84">
        <v>0</v>
      </c>
    </row>
    <row r="5272" spans="3:13" hidden="1" x14ac:dyDescent="0.25">
      <c r="C5272" t="s">
        <v>65</v>
      </c>
      <c r="D5272" t="s">
        <v>125</v>
      </c>
      <c r="E5272" t="s">
        <v>60</v>
      </c>
      <c r="F5272" t="s">
        <v>24</v>
      </c>
      <c r="G5272">
        <v>49</v>
      </c>
      <c r="I5272" t="s">
        <v>121</v>
      </c>
      <c r="J5272" t="s">
        <v>122</v>
      </c>
      <c r="K5272">
        <v>0</v>
      </c>
      <c r="L5272" s="84">
        <v>-5801</v>
      </c>
      <c r="M5272" s="84">
        <v>0</v>
      </c>
    </row>
    <row r="5273" spans="3:13" hidden="1" x14ac:dyDescent="0.25">
      <c r="C5273" t="s">
        <v>64</v>
      </c>
      <c r="D5273" t="s">
        <v>120</v>
      </c>
      <c r="E5273" t="s">
        <v>63</v>
      </c>
      <c r="F5273" t="s">
        <v>123</v>
      </c>
      <c r="G5273">
        <v>6</v>
      </c>
      <c r="H5273" t="s">
        <v>18</v>
      </c>
      <c r="I5273" t="s">
        <v>121</v>
      </c>
      <c r="J5273" t="s">
        <v>66</v>
      </c>
      <c r="K5273">
        <v>1</v>
      </c>
      <c r="L5273" s="84">
        <v>67686</v>
      </c>
      <c r="M5273" s="84">
        <v>406116</v>
      </c>
    </row>
    <row r="5274" spans="3:13" hidden="1" x14ac:dyDescent="0.25">
      <c r="C5274" t="s">
        <v>119</v>
      </c>
      <c r="D5274" t="s">
        <v>120</v>
      </c>
      <c r="E5274" t="s">
        <v>60</v>
      </c>
      <c r="F5274" t="s">
        <v>124</v>
      </c>
      <c r="G5274">
        <v>8</v>
      </c>
      <c r="H5274" t="s">
        <v>15</v>
      </c>
      <c r="I5274" t="s">
        <v>121</v>
      </c>
      <c r="J5274" t="s">
        <v>66</v>
      </c>
      <c r="K5274">
        <v>1</v>
      </c>
      <c r="L5274" s="84">
        <v>-565</v>
      </c>
      <c r="M5274" s="84">
        <v>0</v>
      </c>
    </row>
    <row r="5275" spans="3:13" hidden="1" x14ac:dyDescent="0.25">
      <c r="C5275" t="s">
        <v>65</v>
      </c>
      <c r="D5275" t="s">
        <v>120</v>
      </c>
      <c r="E5275" t="s">
        <v>60</v>
      </c>
      <c r="F5275" t="s">
        <v>25</v>
      </c>
      <c r="G5275">
        <v>-1</v>
      </c>
      <c r="H5275" t="s">
        <v>14</v>
      </c>
      <c r="I5275" t="s">
        <v>121</v>
      </c>
      <c r="J5275" t="s">
        <v>66</v>
      </c>
      <c r="K5275">
        <v>1</v>
      </c>
      <c r="L5275" s="84">
        <v>0</v>
      </c>
      <c r="M5275" s="84">
        <v>0</v>
      </c>
    </row>
    <row r="5276" spans="3:13" hidden="1" x14ac:dyDescent="0.25">
      <c r="C5276" t="s">
        <v>119</v>
      </c>
      <c r="D5276" t="s">
        <v>120</v>
      </c>
      <c r="E5276" t="s">
        <v>63</v>
      </c>
      <c r="F5276" t="s">
        <v>123</v>
      </c>
      <c r="G5276">
        <v>1</v>
      </c>
      <c r="H5276" t="s">
        <v>75</v>
      </c>
      <c r="I5276" t="s">
        <v>121</v>
      </c>
      <c r="J5276" t="s">
        <v>122</v>
      </c>
      <c r="K5276">
        <v>0</v>
      </c>
      <c r="L5276" s="84">
        <v>5060155</v>
      </c>
      <c r="M5276" s="84">
        <v>5060155</v>
      </c>
    </row>
    <row r="5277" spans="3:13" hidden="1" x14ac:dyDescent="0.25">
      <c r="C5277" t="s">
        <v>64</v>
      </c>
      <c r="D5277" t="s">
        <v>120</v>
      </c>
      <c r="E5277" t="s">
        <v>63</v>
      </c>
      <c r="F5277" t="s">
        <v>25</v>
      </c>
      <c r="G5277">
        <v>4</v>
      </c>
      <c r="H5277" t="s">
        <v>71</v>
      </c>
      <c r="I5277" t="s">
        <v>121</v>
      </c>
      <c r="J5277" t="s">
        <v>122</v>
      </c>
      <c r="K5277">
        <v>0</v>
      </c>
      <c r="L5277" s="84">
        <v>259617</v>
      </c>
      <c r="M5277" s="84">
        <v>1038468</v>
      </c>
    </row>
    <row r="5278" spans="3:13" hidden="1" x14ac:dyDescent="0.25">
      <c r="C5278" t="s">
        <v>65</v>
      </c>
      <c r="D5278" t="s">
        <v>120</v>
      </c>
      <c r="E5278" t="s">
        <v>63</v>
      </c>
      <c r="F5278" t="s">
        <v>124</v>
      </c>
      <c r="G5278">
        <v>6</v>
      </c>
      <c r="H5278" t="s">
        <v>12</v>
      </c>
      <c r="I5278" t="s">
        <v>121</v>
      </c>
      <c r="J5278" t="s">
        <v>122</v>
      </c>
      <c r="K5278">
        <v>0</v>
      </c>
      <c r="L5278" s="84">
        <v>52434</v>
      </c>
      <c r="M5278" s="84">
        <v>314604</v>
      </c>
    </row>
    <row r="5279" spans="3:13" hidden="1" x14ac:dyDescent="0.25">
      <c r="C5279" t="s">
        <v>119</v>
      </c>
      <c r="D5279" t="s">
        <v>120</v>
      </c>
      <c r="E5279" t="s">
        <v>60</v>
      </c>
      <c r="F5279" t="s">
        <v>123</v>
      </c>
      <c r="G5279">
        <v>4</v>
      </c>
      <c r="H5279" t="s">
        <v>12</v>
      </c>
      <c r="I5279" t="s">
        <v>62</v>
      </c>
      <c r="J5279" t="s">
        <v>66</v>
      </c>
      <c r="K5279">
        <v>1</v>
      </c>
      <c r="L5279" s="84">
        <v>-90</v>
      </c>
      <c r="M5279" s="84">
        <v>0</v>
      </c>
    </row>
    <row r="5280" spans="3:13" hidden="1" x14ac:dyDescent="0.25">
      <c r="C5280" t="s">
        <v>119</v>
      </c>
      <c r="D5280" t="s">
        <v>120</v>
      </c>
      <c r="E5280" t="s">
        <v>60</v>
      </c>
      <c r="F5280" t="s">
        <v>25</v>
      </c>
      <c r="G5280">
        <v>6</v>
      </c>
      <c r="H5280" t="s">
        <v>75</v>
      </c>
      <c r="I5280" t="s">
        <v>121</v>
      </c>
      <c r="J5280" t="s">
        <v>122</v>
      </c>
      <c r="K5280">
        <v>0</v>
      </c>
      <c r="L5280" s="84">
        <v>-1289</v>
      </c>
      <c r="M5280" s="84">
        <v>0</v>
      </c>
    </row>
    <row r="5281" spans="3:13" hidden="1" x14ac:dyDescent="0.25">
      <c r="C5281" t="s">
        <v>119</v>
      </c>
      <c r="D5281" t="s">
        <v>120</v>
      </c>
      <c r="E5281" t="s">
        <v>63</v>
      </c>
      <c r="F5281" t="s">
        <v>25</v>
      </c>
      <c r="G5281">
        <v>1</v>
      </c>
      <c r="H5281" t="s">
        <v>61</v>
      </c>
      <c r="I5281" t="s">
        <v>121</v>
      </c>
      <c r="J5281" t="s">
        <v>122</v>
      </c>
      <c r="K5281">
        <v>0</v>
      </c>
      <c r="L5281" s="84">
        <v>54223</v>
      </c>
      <c r="M5281" s="84">
        <v>54223</v>
      </c>
    </row>
    <row r="5282" spans="3:13" hidden="1" x14ac:dyDescent="0.25">
      <c r="C5282" t="s">
        <v>65</v>
      </c>
      <c r="D5282" t="s">
        <v>120</v>
      </c>
      <c r="E5282" t="s">
        <v>60</v>
      </c>
      <c r="F5282" t="s">
        <v>24</v>
      </c>
      <c r="G5282">
        <v>-4</v>
      </c>
      <c r="H5282" t="s">
        <v>73</v>
      </c>
      <c r="I5282" t="s">
        <v>121</v>
      </c>
      <c r="J5282" t="s">
        <v>122</v>
      </c>
      <c r="K5282">
        <v>0</v>
      </c>
      <c r="L5282" s="84">
        <v>-252</v>
      </c>
      <c r="M5282" s="84">
        <v>0</v>
      </c>
    </row>
    <row r="5283" spans="3:13" hidden="1" x14ac:dyDescent="0.25">
      <c r="C5283" t="s">
        <v>64</v>
      </c>
      <c r="D5283" t="s">
        <v>120</v>
      </c>
      <c r="E5283" t="s">
        <v>60</v>
      </c>
      <c r="F5283" t="s">
        <v>25</v>
      </c>
      <c r="G5283">
        <v>6</v>
      </c>
      <c r="H5283" t="s">
        <v>69</v>
      </c>
      <c r="I5283" t="s">
        <v>121</v>
      </c>
      <c r="J5283" t="s">
        <v>122</v>
      </c>
      <c r="K5283">
        <v>0</v>
      </c>
      <c r="L5283" s="84">
        <v>-72944</v>
      </c>
      <c r="M5283" s="84">
        <v>0</v>
      </c>
    </row>
    <row r="5284" spans="3:13" hidden="1" x14ac:dyDescent="0.25">
      <c r="C5284" t="s">
        <v>65</v>
      </c>
      <c r="D5284" t="s">
        <v>120</v>
      </c>
      <c r="E5284" t="s">
        <v>63</v>
      </c>
      <c r="F5284" t="s">
        <v>25</v>
      </c>
      <c r="G5284">
        <v>10</v>
      </c>
      <c r="H5284" t="s">
        <v>68</v>
      </c>
      <c r="I5284" t="s">
        <v>121</v>
      </c>
      <c r="J5284" t="s">
        <v>122</v>
      </c>
      <c r="K5284">
        <v>0</v>
      </c>
      <c r="L5284" s="84">
        <v>1373913</v>
      </c>
      <c r="M5284" s="84">
        <v>13739130</v>
      </c>
    </row>
    <row r="5285" spans="3:13" hidden="1" x14ac:dyDescent="0.25">
      <c r="C5285" t="s">
        <v>119</v>
      </c>
      <c r="D5285" t="s">
        <v>120</v>
      </c>
      <c r="E5285" t="s">
        <v>63</v>
      </c>
      <c r="F5285" t="s">
        <v>24</v>
      </c>
      <c r="G5285">
        <v>13</v>
      </c>
      <c r="H5285" t="s">
        <v>17</v>
      </c>
      <c r="I5285" t="s">
        <v>121</v>
      </c>
      <c r="J5285" t="s">
        <v>122</v>
      </c>
      <c r="K5285">
        <v>0</v>
      </c>
      <c r="L5285" s="84">
        <v>32325</v>
      </c>
      <c r="M5285" s="84">
        <v>420225</v>
      </c>
    </row>
    <row r="5286" spans="3:13" hidden="1" x14ac:dyDescent="0.25">
      <c r="C5286" t="s">
        <v>64</v>
      </c>
      <c r="D5286" t="s">
        <v>120</v>
      </c>
      <c r="E5286" t="s">
        <v>63</v>
      </c>
      <c r="F5286" t="s">
        <v>25</v>
      </c>
      <c r="G5286">
        <v>9</v>
      </c>
      <c r="H5286" t="s">
        <v>18</v>
      </c>
      <c r="I5286" t="s">
        <v>121</v>
      </c>
      <c r="J5286" t="s">
        <v>122</v>
      </c>
      <c r="K5286">
        <v>0</v>
      </c>
      <c r="L5286" s="84">
        <v>2477077</v>
      </c>
      <c r="M5286" s="84">
        <v>22293693</v>
      </c>
    </row>
    <row r="5287" spans="3:13" hidden="1" x14ac:dyDescent="0.25">
      <c r="C5287" t="s">
        <v>119</v>
      </c>
      <c r="D5287" t="s">
        <v>120</v>
      </c>
      <c r="E5287" t="s">
        <v>60</v>
      </c>
      <c r="F5287" t="s">
        <v>124</v>
      </c>
      <c r="G5287">
        <v>10</v>
      </c>
      <c r="H5287" t="s">
        <v>67</v>
      </c>
      <c r="I5287" t="s">
        <v>121</v>
      </c>
      <c r="J5287" t="s">
        <v>122</v>
      </c>
      <c r="K5287">
        <v>0</v>
      </c>
      <c r="L5287" s="84">
        <v>-81956</v>
      </c>
      <c r="M5287" s="84">
        <v>0</v>
      </c>
    </row>
    <row r="5288" spans="3:13" hidden="1" x14ac:dyDescent="0.25">
      <c r="C5288" t="s">
        <v>119</v>
      </c>
      <c r="D5288" t="s">
        <v>120</v>
      </c>
      <c r="E5288" t="s">
        <v>63</v>
      </c>
      <c r="F5288" t="s">
        <v>25</v>
      </c>
      <c r="G5288">
        <v>8</v>
      </c>
      <c r="H5288" t="s">
        <v>70</v>
      </c>
      <c r="I5288" t="s">
        <v>121</v>
      </c>
      <c r="J5288" t="s">
        <v>122</v>
      </c>
      <c r="K5288">
        <v>0</v>
      </c>
      <c r="L5288" s="84">
        <v>474450</v>
      </c>
      <c r="M5288" s="84">
        <v>3795600</v>
      </c>
    </row>
    <row r="5289" spans="3:13" hidden="1" x14ac:dyDescent="0.25">
      <c r="C5289" t="s">
        <v>119</v>
      </c>
      <c r="D5289" t="s">
        <v>120</v>
      </c>
      <c r="E5289" t="s">
        <v>60</v>
      </c>
      <c r="F5289" t="s">
        <v>123</v>
      </c>
      <c r="G5289">
        <v>3</v>
      </c>
      <c r="H5289" t="s">
        <v>12</v>
      </c>
      <c r="I5289" t="s">
        <v>62</v>
      </c>
      <c r="J5289" t="s">
        <v>66</v>
      </c>
      <c r="K5289">
        <v>1</v>
      </c>
      <c r="L5289" s="84">
        <v>-762</v>
      </c>
      <c r="M5289" s="84">
        <v>0</v>
      </c>
    </row>
    <row r="5290" spans="3:13" hidden="1" x14ac:dyDescent="0.25">
      <c r="C5290" t="s">
        <v>64</v>
      </c>
      <c r="D5290" t="s">
        <v>120</v>
      </c>
      <c r="E5290" t="s">
        <v>63</v>
      </c>
      <c r="F5290" t="s">
        <v>25</v>
      </c>
      <c r="G5290">
        <v>11</v>
      </c>
      <c r="H5290" t="s">
        <v>18</v>
      </c>
      <c r="I5290" t="s">
        <v>121</v>
      </c>
      <c r="J5290" t="s">
        <v>122</v>
      </c>
      <c r="K5290">
        <v>0</v>
      </c>
      <c r="L5290" s="84">
        <v>2247410</v>
      </c>
      <c r="M5290" s="84">
        <v>24721510</v>
      </c>
    </row>
    <row r="5291" spans="3:13" hidden="1" x14ac:dyDescent="0.25">
      <c r="C5291" t="s">
        <v>65</v>
      </c>
      <c r="D5291" t="s">
        <v>120</v>
      </c>
      <c r="E5291" t="s">
        <v>63</v>
      </c>
      <c r="F5291" t="s">
        <v>124</v>
      </c>
      <c r="G5291">
        <v>2</v>
      </c>
      <c r="H5291" t="s">
        <v>76</v>
      </c>
      <c r="I5291" t="s">
        <v>121</v>
      </c>
      <c r="J5291" t="s">
        <v>122</v>
      </c>
      <c r="K5291">
        <v>0</v>
      </c>
      <c r="L5291" s="84">
        <v>117152</v>
      </c>
      <c r="M5291" s="84">
        <v>234304</v>
      </c>
    </row>
    <row r="5292" spans="3:13" hidden="1" x14ac:dyDescent="0.25">
      <c r="C5292" t="s">
        <v>119</v>
      </c>
      <c r="D5292" t="s">
        <v>126</v>
      </c>
      <c r="E5292" t="s">
        <v>60</v>
      </c>
      <c r="F5292" t="s">
        <v>25</v>
      </c>
      <c r="G5292">
        <v>9</v>
      </c>
      <c r="H5292" t="s">
        <v>74</v>
      </c>
      <c r="I5292" t="s">
        <v>121</v>
      </c>
      <c r="J5292" t="s">
        <v>122</v>
      </c>
      <c r="K5292">
        <v>0</v>
      </c>
      <c r="L5292" s="84">
        <v>-71</v>
      </c>
      <c r="M5292" s="84">
        <v>0</v>
      </c>
    </row>
    <row r="5293" spans="3:13" hidden="1" x14ac:dyDescent="0.25">
      <c r="C5293" t="s">
        <v>119</v>
      </c>
      <c r="D5293" t="s">
        <v>120</v>
      </c>
      <c r="E5293" t="s">
        <v>63</v>
      </c>
      <c r="F5293" t="s">
        <v>24</v>
      </c>
      <c r="G5293">
        <v>0</v>
      </c>
      <c r="H5293" t="s">
        <v>61</v>
      </c>
      <c r="I5293" t="s">
        <v>121</v>
      </c>
      <c r="J5293" t="s">
        <v>122</v>
      </c>
      <c r="K5293">
        <v>0</v>
      </c>
      <c r="L5293" s="84">
        <v>35654</v>
      </c>
      <c r="M5293" s="84">
        <v>0</v>
      </c>
    </row>
    <row r="5294" spans="3:13" hidden="1" x14ac:dyDescent="0.25">
      <c r="C5294" t="s">
        <v>119</v>
      </c>
      <c r="D5294" t="s">
        <v>125</v>
      </c>
      <c r="E5294" t="s">
        <v>60</v>
      </c>
      <c r="F5294" t="s">
        <v>25</v>
      </c>
      <c r="G5294">
        <v>3</v>
      </c>
      <c r="I5294" t="s">
        <v>121</v>
      </c>
      <c r="J5294" t="s">
        <v>122</v>
      </c>
      <c r="K5294">
        <v>0</v>
      </c>
      <c r="L5294" s="84">
        <v>-4248</v>
      </c>
      <c r="M5294" s="84">
        <v>0</v>
      </c>
    </row>
    <row r="5295" spans="3:13" hidden="1" x14ac:dyDescent="0.25">
      <c r="C5295" t="s">
        <v>65</v>
      </c>
      <c r="D5295" t="s">
        <v>120</v>
      </c>
      <c r="E5295" t="s">
        <v>63</v>
      </c>
      <c r="F5295" t="s">
        <v>25</v>
      </c>
      <c r="G5295">
        <v>8</v>
      </c>
      <c r="H5295" t="s">
        <v>68</v>
      </c>
      <c r="I5295" t="s">
        <v>121</v>
      </c>
      <c r="J5295" t="s">
        <v>122</v>
      </c>
      <c r="K5295">
        <v>0</v>
      </c>
      <c r="L5295" s="84">
        <v>28151</v>
      </c>
      <c r="M5295" s="84">
        <v>225208</v>
      </c>
    </row>
    <row r="5296" spans="3:13" hidden="1" x14ac:dyDescent="0.25">
      <c r="C5296" t="s">
        <v>65</v>
      </c>
      <c r="D5296" t="s">
        <v>120</v>
      </c>
      <c r="E5296" t="s">
        <v>60</v>
      </c>
      <c r="F5296" t="s">
        <v>124</v>
      </c>
      <c r="G5296">
        <v>4</v>
      </c>
      <c r="H5296" t="s">
        <v>14</v>
      </c>
      <c r="I5296" t="s">
        <v>121</v>
      </c>
      <c r="J5296" t="s">
        <v>66</v>
      </c>
      <c r="K5296">
        <v>1</v>
      </c>
      <c r="L5296" s="84">
        <v>-393449</v>
      </c>
      <c r="M5296" s="84">
        <v>0</v>
      </c>
    </row>
    <row r="5297" spans="3:13" hidden="1" x14ac:dyDescent="0.25">
      <c r="C5297" t="s">
        <v>64</v>
      </c>
      <c r="D5297" t="s">
        <v>125</v>
      </c>
      <c r="E5297" t="s">
        <v>63</v>
      </c>
      <c r="F5297" t="s">
        <v>24</v>
      </c>
      <c r="G5297">
        <v>45</v>
      </c>
      <c r="I5297" t="s">
        <v>121</v>
      </c>
      <c r="J5297" t="s">
        <v>122</v>
      </c>
      <c r="K5297">
        <v>0</v>
      </c>
      <c r="L5297" s="84">
        <v>157578</v>
      </c>
      <c r="M5297" s="84">
        <v>7091010</v>
      </c>
    </row>
    <row r="5298" spans="3:13" hidden="1" x14ac:dyDescent="0.25">
      <c r="C5298" t="s">
        <v>119</v>
      </c>
      <c r="D5298" t="s">
        <v>120</v>
      </c>
      <c r="E5298" t="s">
        <v>63</v>
      </c>
      <c r="F5298" t="s">
        <v>124</v>
      </c>
      <c r="G5298">
        <v>3</v>
      </c>
      <c r="H5298" t="s">
        <v>61</v>
      </c>
      <c r="I5298" t="s">
        <v>121</v>
      </c>
      <c r="J5298" t="s">
        <v>122</v>
      </c>
      <c r="K5298">
        <v>0</v>
      </c>
      <c r="L5298" s="84">
        <v>12201071</v>
      </c>
      <c r="M5298" s="84">
        <v>36603213</v>
      </c>
    </row>
    <row r="5299" spans="3:13" hidden="1" x14ac:dyDescent="0.25">
      <c r="C5299" t="s">
        <v>65</v>
      </c>
      <c r="D5299" t="s">
        <v>120</v>
      </c>
      <c r="E5299" t="s">
        <v>63</v>
      </c>
      <c r="F5299" t="s">
        <v>124</v>
      </c>
      <c r="G5299">
        <v>10</v>
      </c>
      <c r="H5299" t="s">
        <v>17</v>
      </c>
      <c r="I5299" t="s">
        <v>62</v>
      </c>
      <c r="J5299" t="s">
        <v>66</v>
      </c>
      <c r="K5299">
        <v>1</v>
      </c>
      <c r="L5299" s="84">
        <v>177361</v>
      </c>
      <c r="M5299" s="84">
        <v>1773610</v>
      </c>
    </row>
    <row r="5300" spans="3:13" hidden="1" x14ac:dyDescent="0.25">
      <c r="C5300" t="s">
        <v>119</v>
      </c>
      <c r="D5300" t="s">
        <v>120</v>
      </c>
      <c r="E5300" t="s">
        <v>63</v>
      </c>
      <c r="F5300" t="s">
        <v>123</v>
      </c>
      <c r="G5300">
        <v>6</v>
      </c>
      <c r="H5300" t="s">
        <v>61</v>
      </c>
      <c r="I5300" t="s">
        <v>121</v>
      </c>
      <c r="J5300" t="s">
        <v>122</v>
      </c>
      <c r="K5300">
        <v>0</v>
      </c>
      <c r="L5300" s="84">
        <v>2522230</v>
      </c>
      <c r="M5300" s="84">
        <v>15133380</v>
      </c>
    </row>
    <row r="5301" spans="3:13" hidden="1" x14ac:dyDescent="0.25">
      <c r="C5301" t="s">
        <v>64</v>
      </c>
      <c r="D5301" t="s">
        <v>120</v>
      </c>
      <c r="E5301" t="s">
        <v>60</v>
      </c>
      <c r="F5301" t="s">
        <v>124</v>
      </c>
      <c r="G5301">
        <v>7</v>
      </c>
      <c r="H5301" t="s">
        <v>73</v>
      </c>
      <c r="I5301" t="s">
        <v>121</v>
      </c>
      <c r="J5301" t="s">
        <v>122</v>
      </c>
      <c r="K5301">
        <v>0</v>
      </c>
      <c r="L5301" s="84">
        <v>-13626</v>
      </c>
      <c r="M5301" s="84">
        <v>0</v>
      </c>
    </row>
    <row r="5302" spans="3:13" hidden="1" x14ac:dyDescent="0.25">
      <c r="C5302" t="s">
        <v>119</v>
      </c>
      <c r="D5302" t="s">
        <v>120</v>
      </c>
      <c r="E5302" t="s">
        <v>63</v>
      </c>
      <c r="F5302" t="s">
        <v>123</v>
      </c>
      <c r="G5302">
        <v>8</v>
      </c>
      <c r="H5302" t="s">
        <v>17</v>
      </c>
      <c r="I5302" t="s">
        <v>121</v>
      </c>
      <c r="J5302" t="s">
        <v>122</v>
      </c>
      <c r="K5302">
        <v>0</v>
      </c>
      <c r="L5302" s="84">
        <v>347431</v>
      </c>
      <c r="M5302" s="84">
        <v>2779448</v>
      </c>
    </row>
    <row r="5303" spans="3:13" hidden="1" x14ac:dyDescent="0.25">
      <c r="C5303" t="s">
        <v>119</v>
      </c>
      <c r="D5303" t="s">
        <v>120</v>
      </c>
      <c r="E5303" t="s">
        <v>63</v>
      </c>
      <c r="F5303" t="s">
        <v>123</v>
      </c>
      <c r="G5303">
        <v>7</v>
      </c>
      <c r="H5303" t="s">
        <v>18</v>
      </c>
      <c r="I5303" t="s">
        <v>121</v>
      </c>
      <c r="J5303" t="s">
        <v>66</v>
      </c>
      <c r="K5303">
        <v>1</v>
      </c>
      <c r="L5303" s="84">
        <v>103322</v>
      </c>
      <c r="M5303" s="84">
        <v>723254</v>
      </c>
    </row>
    <row r="5304" spans="3:13" hidden="1" x14ac:dyDescent="0.25">
      <c r="C5304" t="s">
        <v>64</v>
      </c>
      <c r="D5304" t="s">
        <v>120</v>
      </c>
      <c r="E5304" t="s">
        <v>60</v>
      </c>
      <c r="F5304" t="s">
        <v>25</v>
      </c>
      <c r="G5304">
        <v>12</v>
      </c>
      <c r="H5304" t="s">
        <v>67</v>
      </c>
      <c r="I5304" t="s">
        <v>121</v>
      </c>
      <c r="J5304" t="s">
        <v>122</v>
      </c>
      <c r="K5304">
        <v>0</v>
      </c>
      <c r="L5304" s="84">
        <v>-22346</v>
      </c>
      <c r="M5304" s="84">
        <v>0</v>
      </c>
    </row>
    <row r="5305" spans="3:13" hidden="1" x14ac:dyDescent="0.25">
      <c r="C5305" t="s">
        <v>119</v>
      </c>
      <c r="D5305" t="s">
        <v>120</v>
      </c>
      <c r="E5305" t="s">
        <v>60</v>
      </c>
      <c r="F5305" t="s">
        <v>123</v>
      </c>
      <c r="G5305">
        <v>2</v>
      </c>
      <c r="H5305" t="s">
        <v>76</v>
      </c>
      <c r="I5305" t="s">
        <v>121</v>
      </c>
      <c r="J5305" t="s">
        <v>122</v>
      </c>
      <c r="K5305">
        <v>0</v>
      </c>
      <c r="L5305" s="84">
        <v>-678</v>
      </c>
      <c r="M5305" s="84">
        <v>0</v>
      </c>
    </row>
    <row r="5306" spans="3:13" hidden="1" x14ac:dyDescent="0.25">
      <c r="C5306" t="s">
        <v>65</v>
      </c>
      <c r="D5306" t="s">
        <v>120</v>
      </c>
      <c r="E5306" t="s">
        <v>60</v>
      </c>
      <c r="F5306" t="s">
        <v>25</v>
      </c>
      <c r="G5306">
        <v>6</v>
      </c>
      <c r="H5306" t="s">
        <v>12</v>
      </c>
      <c r="I5306" t="s">
        <v>121</v>
      </c>
      <c r="J5306" t="s">
        <v>66</v>
      </c>
      <c r="K5306">
        <v>1</v>
      </c>
      <c r="L5306" s="84">
        <v>-142713</v>
      </c>
      <c r="M5306" s="84">
        <v>0</v>
      </c>
    </row>
    <row r="5307" spans="3:13" hidden="1" x14ac:dyDescent="0.25">
      <c r="C5307" t="s">
        <v>119</v>
      </c>
      <c r="D5307" t="s">
        <v>126</v>
      </c>
      <c r="E5307" t="s">
        <v>63</v>
      </c>
      <c r="F5307" t="s">
        <v>24</v>
      </c>
      <c r="G5307">
        <v>13</v>
      </c>
      <c r="H5307" t="s">
        <v>68</v>
      </c>
      <c r="I5307" t="s">
        <v>121</v>
      </c>
      <c r="J5307" t="s">
        <v>122</v>
      </c>
      <c r="K5307">
        <v>0</v>
      </c>
      <c r="L5307" s="84">
        <v>1376496</v>
      </c>
      <c r="M5307" s="84">
        <v>17894448</v>
      </c>
    </row>
    <row r="5308" spans="3:13" hidden="1" x14ac:dyDescent="0.25">
      <c r="C5308" t="s">
        <v>119</v>
      </c>
      <c r="D5308" t="s">
        <v>120</v>
      </c>
      <c r="E5308" t="s">
        <v>63</v>
      </c>
      <c r="F5308" t="s">
        <v>124</v>
      </c>
      <c r="G5308">
        <v>0</v>
      </c>
      <c r="H5308" t="s">
        <v>16</v>
      </c>
      <c r="I5308" t="s">
        <v>121</v>
      </c>
      <c r="J5308" t="s">
        <v>122</v>
      </c>
      <c r="K5308">
        <v>0</v>
      </c>
      <c r="L5308" s="84">
        <v>57017332</v>
      </c>
      <c r="M5308" s="84">
        <v>0</v>
      </c>
    </row>
    <row r="5309" spans="3:13" hidden="1" x14ac:dyDescent="0.25">
      <c r="C5309" t="s">
        <v>119</v>
      </c>
      <c r="D5309" t="s">
        <v>120</v>
      </c>
      <c r="E5309" t="s">
        <v>60</v>
      </c>
      <c r="F5309" t="s">
        <v>25</v>
      </c>
      <c r="G5309">
        <v>11</v>
      </c>
      <c r="H5309" t="s">
        <v>73</v>
      </c>
      <c r="I5309" t="s">
        <v>121</v>
      </c>
      <c r="J5309" t="s">
        <v>122</v>
      </c>
      <c r="K5309">
        <v>0</v>
      </c>
      <c r="L5309" s="84">
        <v>-1228</v>
      </c>
      <c r="M5309" s="84">
        <v>0</v>
      </c>
    </row>
    <row r="5310" spans="3:13" hidden="1" x14ac:dyDescent="0.25">
      <c r="C5310" t="s">
        <v>119</v>
      </c>
      <c r="D5310" t="s">
        <v>120</v>
      </c>
      <c r="E5310" t="s">
        <v>63</v>
      </c>
      <c r="F5310" t="s">
        <v>123</v>
      </c>
      <c r="G5310">
        <v>5</v>
      </c>
      <c r="H5310" t="s">
        <v>17</v>
      </c>
      <c r="I5310" t="s">
        <v>121</v>
      </c>
      <c r="J5310" t="s">
        <v>122</v>
      </c>
      <c r="K5310">
        <v>0</v>
      </c>
      <c r="L5310" s="84">
        <v>4737585</v>
      </c>
      <c r="M5310" s="84">
        <v>23687925</v>
      </c>
    </row>
    <row r="5311" spans="3:13" hidden="1" x14ac:dyDescent="0.25">
      <c r="C5311" t="s">
        <v>119</v>
      </c>
      <c r="D5311" t="s">
        <v>120</v>
      </c>
      <c r="E5311" t="s">
        <v>63</v>
      </c>
      <c r="F5311" t="s">
        <v>24</v>
      </c>
      <c r="G5311">
        <v>1</v>
      </c>
      <c r="H5311" t="s">
        <v>68</v>
      </c>
      <c r="I5311" t="s">
        <v>121</v>
      </c>
      <c r="J5311" t="s">
        <v>122</v>
      </c>
      <c r="K5311">
        <v>0</v>
      </c>
      <c r="L5311" s="84">
        <v>38577945</v>
      </c>
      <c r="M5311" s="84">
        <v>38577945</v>
      </c>
    </row>
    <row r="5312" spans="3:13" hidden="1" x14ac:dyDescent="0.25">
      <c r="C5312" t="s">
        <v>65</v>
      </c>
      <c r="D5312" t="s">
        <v>120</v>
      </c>
      <c r="E5312" t="s">
        <v>63</v>
      </c>
      <c r="F5312" t="s">
        <v>124</v>
      </c>
      <c r="G5312">
        <v>14</v>
      </c>
      <c r="H5312" t="s">
        <v>18</v>
      </c>
      <c r="I5312" t="s">
        <v>121</v>
      </c>
      <c r="J5312" t="s">
        <v>122</v>
      </c>
      <c r="K5312">
        <v>0</v>
      </c>
      <c r="L5312" s="84">
        <v>73844</v>
      </c>
      <c r="M5312" s="84">
        <v>1033816</v>
      </c>
    </row>
    <row r="5313" spans="3:13" hidden="1" x14ac:dyDescent="0.25">
      <c r="C5313" t="s">
        <v>119</v>
      </c>
      <c r="D5313" t="s">
        <v>120</v>
      </c>
      <c r="E5313" t="s">
        <v>60</v>
      </c>
      <c r="F5313" t="s">
        <v>124</v>
      </c>
      <c r="G5313">
        <v>5</v>
      </c>
      <c r="H5313" t="s">
        <v>75</v>
      </c>
      <c r="I5313" t="s">
        <v>121</v>
      </c>
      <c r="J5313" t="s">
        <v>122</v>
      </c>
      <c r="K5313">
        <v>0</v>
      </c>
      <c r="L5313" s="84">
        <v>-49330</v>
      </c>
      <c r="M5313" s="84">
        <v>0</v>
      </c>
    </row>
    <row r="5314" spans="3:13" hidden="1" x14ac:dyDescent="0.25">
      <c r="C5314" t="s">
        <v>65</v>
      </c>
      <c r="D5314" t="s">
        <v>120</v>
      </c>
      <c r="E5314" t="s">
        <v>63</v>
      </c>
      <c r="F5314" t="s">
        <v>25</v>
      </c>
      <c r="G5314">
        <v>10</v>
      </c>
      <c r="H5314" t="s">
        <v>76</v>
      </c>
      <c r="I5314" t="s">
        <v>121</v>
      </c>
      <c r="J5314" t="s">
        <v>122</v>
      </c>
      <c r="K5314">
        <v>0</v>
      </c>
      <c r="L5314" s="84">
        <v>1789927</v>
      </c>
      <c r="M5314" s="84">
        <v>17899270</v>
      </c>
    </row>
    <row r="5315" spans="3:13" hidden="1" x14ac:dyDescent="0.25">
      <c r="C5315" t="s">
        <v>65</v>
      </c>
      <c r="D5315" t="s">
        <v>120</v>
      </c>
      <c r="E5315" t="s">
        <v>60</v>
      </c>
      <c r="F5315" t="s">
        <v>24</v>
      </c>
      <c r="G5315">
        <v>-4</v>
      </c>
      <c r="H5315" t="s">
        <v>67</v>
      </c>
      <c r="I5315" t="s">
        <v>121</v>
      </c>
      <c r="J5315" t="s">
        <v>122</v>
      </c>
      <c r="K5315">
        <v>0</v>
      </c>
      <c r="L5315" s="84">
        <v>-6909</v>
      </c>
      <c r="M5315" s="84">
        <v>0</v>
      </c>
    </row>
    <row r="5316" spans="3:13" hidden="1" x14ac:dyDescent="0.25">
      <c r="C5316" t="s">
        <v>119</v>
      </c>
      <c r="D5316" t="s">
        <v>120</v>
      </c>
      <c r="E5316" t="s">
        <v>63</v>
      </c>
      <c r="F5316" t="s">
        <v>24</v>
      </c>
      <c r="G5316">
        <v>2</v>
      </c>
      <c r="H5316" t="s">
        <v>14</v>
      </c>
      <c r="I5316" t="s">
        <v>121</v>
      </c>
      <c r="J5316" t="s">
        <v>122</v>
      </c>
      <c r="K5316">
        <v>0</v>
      </c>
      <c r="L5316" s="84">
        <v>149991</v>
      </c>
      <c r="M5316" s="84">
        <v>299982</v>
      </c>
    </row>
    <row r="5317" spans="3:13" hidden="1" x14ac:dyDescent="0.25">
      <c r="C5317" t="s">
        <v>64</v>
      </c>
      <c r="D5317" t="s">
        <v>125</v>
      </c>
      <c r="E5317" t="s">
        <v>60</v>
      </c>
      <c r="F5317" t="s">
        <v>25</v>
      </c>
      <c r="G5317">
        <v>31</v>
      </c>
      <c r="I5317" t="s">
        <v>121</v>
      </c>
      <c r="J5317" t="s">
        <v>122</v>
      </c>
      <c r="K5317">
        <v>0</v>
      </c>
      <c r="L5317" s="84">
        <v>-6784</v>
      </c>
      <c r="M5317" s="84">
        <v>0</v>
      </c>
    </row>
    <row r="5318" spans="3:13" hidden="1" x14ac:dyDescent="0.25">
      <c r="C5318" t="s">
        <v>64</v>
      </c>
      <c r="D5318" t="s">
        <v>120</v>
      </c>
      <c r="E5318" t="s">
        <v>63</v>
      </c>
      <c r="F5318" t="s">
        <v>24</v>
      </c>
      <c r="G5318">
        <v>10</v>
      </c>
      <c r="H5318" t="s">
        <v>68</v>
      </c>
      <c r="I5318" t="s">
        <v>121</v>
      </c>
      <c r="J5318" t="s">
        <v>122</v>
      </c>
      <c r="K5318">
        <v>0</v>
      </c>
      <c r="L5318" s="84">
        <v>742570</v>
      </c>
      <c r="M5318" s="84">
        <v>7425700</v>
      </c>
    </row>
    <row r="5319" spans="3:13" hidden="1" x14ac:dyDescent="0.25">
      <c r="C5319" t="s">
        <v>119</v>
      </c>
      <c r="D5319" t="s">
        <v>120</v>
      </c>
      <c r="E5319" t="s">
        <v>63</v>
      </c>
      <c r="F5319" t="s">
        <v>124</v>
      </c>
      <c r="G5319">
        <v>4</v>
      </c>
      <c r="H5319" t="s">
        <v>14</v>
      </c>
      <c r="I5319" t="s">
        <v>121</v>
      </c>
      <c r="J5319" t="s">
        <v>122</v>
      </c>
      <c r="K5319">
        <v>0</v>
      </c>
      <c r="L5319" s="84">
        <v>53918895</v>
      </c>
      <c r="M5319" s="84">
        <v>215675580</v>
      </c>
    </row>
    <row r="5320" spans="3:13" hidden="1" x14ac:dyDescent="0.25">
      <c r="C5320" t="s">
        <v>119</v>
      </c>
      <c r="D5320" t="s">
        <v>120</v>
      </c>
      <c r="E5320" t="s">
        <v>60</v>
      </c>
      <c r="F5320" t="s">
        <v>24</v>
      </c>
      <c r="G5320">
        <v>11</v>
      </c>
      <c r="H5320" t="s">
        <v>70</v>
      </c>
      <c r="I5320" t="s">
        <v>121</v>
      </c>
      <c r="J5320" t="s">
        <v>122</v>
      </c>
      <c r="K5320">
        <v>0</v>
      </c>
      <c r="L5320" s="84">
        <v>-1027</v>
      </c>
      <c r="M5320" s="84">
        <v>0</v>
      </c>
    </row>
    <row r="5321" spans="3:13" hidden="1" x14ac:dyDescent="0.25">
      <c r="C5321" t="s">
        <v>119</v>
      </c>
      <c r="D5321" t="s">
        <v>120</v>
      </c>
      <c r="E5321" t="s">
        <v>63</v>
      </c>
      <c r="F5321" t="s">
        <v>25</v>
      </c>
      <c r="G5321">
        <v>-1</v>
      </c>
      <c r="H5321" t="s">
        <v>72</v>
      </c>
      <c r="I5321" t="s">
        <v>121</v>
      </c>
      <c r="J5321" t="s">
        <v>122</v>
      </c>
      <c r="K5321">
        <v>0</v>
      </c>
      <c r="L5321" s="84">
        <v>106</v>
      </c>
      <c r="M5321" s="84">
        <v>0</v>
      </c>
    </row>
    <row r="5322" spans="3:13" hidden="1" x14ac:dyDescent="0.25">
      <c r="C5322" t="s">
        <v>65</v>
      </c>
      <c r="D5322" t="s">
        <v>120</v>
      </c>
      <c r="E5322" t="s">
        <v>63</v>
      </c>
      <c r="F5322" t="s">
        <v>124</v>
      </c>
      <c r="G5322">
        <v>5</v>
      </c>
      <c r="H5322" t="s">
        <v>70</v>
      </c>
      <c r="I5322" t="s">
        <v>121</v>
      </c>
      <c r="J5322" t="s">
        <v>122</v>
      </c>
      <c r="K5322">
        <v>0</v>
      </c>
      <c r="L5322" s="84">
        <v>16025</v>
      </c>
      <c r="M5322" s="84">
        <v>80125</v>
      </c>
    </row>
    <row r="5323" spans="3:13" hidden="1" x14ac:dyDescent="0.25">
      <c r="C5323" t="s">
        <v>119</v>
      </c>
      <c r="D5323" t="s">
        <v>120</v>
      </c>
      <c r="E5323" t="s">
        <v>60</v>
      </c>
      <c r="F5323" t="s">
        <v>124</v>
      </c>
      <c r="G5323">
        <v>4</v>
      </c>
      <c r="H5323" t="s">
        <v>12</v>
      </c>
      <c r="I5323" t="s">
        <v>121</v>
      </c>
      <c r="J5323" t="s">
        <v>66</v>
      </c>
      <c r="K5323">
        <v>1</v>
      </c>
      <c r="L5323" s="84">
        <v>-13271</v>
      </c>
      <c r="M5323" s="84">
        <v>0</v>
      </c>
    </row>
    <row r="5324" spans="3:13" hidden="1" x14ac:dyDescent="0.25">
      <c r="C5324" t="s">
        <v>119</v>
      </c>
      <c r="D5324" t="s">
        <v>120</v>
      </c>
      <c r="E5324" t="s">
        <v>60</v>
      </c>
      <c r="F5324" t="s">
        <v>123</v>
      </c>
      <c r="G5324">
        <v>6</v>
      </c>
      <c r="H5324" t="s">
        <v>68</v>
      </c>
      <c r="I5324" t="s">
        <v>121</v>
      </c>
      <c r="J5324" t="s">
        <v>122</v>
      </c>
      <c r="K5324">
        <v>0</v>
      </c>
      <c r="L5324" s="84">
        <v>-2836</v>
      </c>
      <c r="M5324" s="84">
        <v>0</v>
      </c>
    </row>
    <row r="5325" spans="3:13" hidden="1" x14ac:dyDescent="0.25">
      <c r="C5325" t="s">
        <v>119</v>
      </c>
      <c r="D5325" t="s">
        <v>120</v>
      </c>
      <c r="E5325" t="s">
        <v>63</v>
      </c>
      <c r="F5325" t="s">
        <v>25</v>
      </c>
      <c r="G5325">
        <v>3</v>
      </c>
      <c r="H5325" t="s">
        <v>67</v>
      </c>
      <c r="I5325" t="s">
        <v>121</v>
      </c>
      <c r="J5325" t="s">
        <v>122</v>
      </c>
      <c r="K5325">
        <v>0</v>
      </c>
      <c r="L5325" s="84">
        <v>2924252</v>
      </c>
      <c r="M5325" s="84">
        <v>8772756</v>
      </c>
    </row>
    <row r="5326" spans="3:13" hidden="1" x14ac:dyDescent="0.25">
      <c r="C5326" t="s">
        <v>119</v>
      </c>
      <c r="D5326" t="s">
        <v>120</v>
      </c>
      <c r="E5326" t="s">
        <v>63</v>
      </c>
      <c r="F5326" t="s">
        <v>124</v>
      </c>
      <c r="G5326">
        <v>14</v>
      </c>
      <c r="H5326" t="s">
        <v>67</v>
      </c>
      <c r="I5326" t="s">
        <v>121</v>
      </c>
      <c r="J5326" t="s">
        <v>122</v>
      </c>
      <c r="K5326">
        <v>0</v>
      </c>
      <c r="L5326" s="84">
        <v>9602073</v>
      </c>
      <c r="M5326" s="84">
        <v>134429022</v>
      </c>
    </row>
    <row r="5327" spans="3:13" hidden="1" x14ac:dyDescent="0.25">
      <c r="C5327" t="s">
        <v>119</v>
      </c>
      <c r="D5327" t="s">
        <v>120</v>
      </c>
      <c r="E5327" t="s">
        <v>60</v>
      </c>
      <c r="F5327" t="s">
        <v>24</v>
      </c>
      <c r="G5327">
        <v>8</v>
      </c>
      <c r="H5327" t="s">
        <v>12</v>
      </c>
      <c r="I5327" t="s">
        <v>121</v>
      </c>
      <c r="J5327" t="s">
        <v>66</v>
      </c>
      <c r="K5327">
        <v>1</v>
      </c>
      <c r="L5327" s="84">
        <v>-223</v>
      </c>
      <c r="M5327" s="84">
        <v>0</v>
      </c>
    </row>
    <row r="5328" spans="3:13" hidden="1" x14ac:dyDescent="0.25">
      <c r="C5328" t="s">
        <v>64</v>
      </c>
      <c r="D5328" t="s">
        <v>120</v>
      </c>
      <c r="E5328" t="s">
        <v>60</v>
      </c>
      <c r="F5328" t="s">
        <v>124</v>
      </c>
      <c r="G5328">
        <v>7</v>
      </c>
      <c r="H5328" t="s">
        <v>17</v>
      </c>
      <c r="I5328" t="s">
        <v>62</v>
      </c>
      <c r="J5328" t="s">
        <v>66</v>
      </c>
      <c r="K5328">
        <v>1</v>
      </c>
      <c r="L5328" s="84">
        <v>-2233</v>
      </c>
      <c r="M5328" s="84">
        <v>0</v>
      </c>
    </row>
    <row r="5329" spans="3:13" hidden="1" x14ac:dyDescent="0.25">
      <c r="C5329" t="s">
        <v>65</v>
      </c>
      <c r="D5329" t="s">
        <v>120</v>
      </c>
      <c r="E5329" t="s">
        <v>63</v>
      </c>
      <c r="F5329" t="s">
        <v>124</v>
      </c>
      <c r="G5329">
        <v>-1</v>
      </c>
      <c r="H5329" t="s">
        <v>17</v>
      </c>
      <c r="I5329" t="s">
        <v>121</v>
      </c>
      <c r="J5329" t="s">
        <v>122</v>
      </c>
      <c r="K5329">
        <v>0</v>
      </c>
      <c r="L5329" s="84">
        <v>6653841</v>
      </c>
      <c r="M5329" s="84">
        <v>0</v>
      </c>
    </row>
    <row r="5330" spans="3:13" hidden="1" x14ac:dyDescent="0.25">
      <c r="C5330" t="s">
        <v>119</v>
      </c>
      <c r="D5330" t="s">
        <v>120</v>
      </c>
      <c r="E5330" t="s">
        <v>63</v>
      </c>
      <c r="F5330" t="s">
        <v>123</v>
      </c>
      <c r="G5330">
        <v>3</v>
      </c>
      <c r="H5330" t="s">
        <v>12</v>
      </c>
      <c r="I5330" t="s">
        <v>62</v>
      </c>
      <c r="J5330" t="s">
        <v>66</v>
      </c>
      <c r="K5330">
        <v>1</v>
      </c>
      <c r="L5330" s="84">
        <v>34191</v>
      </c>
      <c r="M5330" s="84">
        <v>102573</v>
      </c>
    </row>
    <row r="5331" spans="3:13" hidden="1" x14ac:dyDescent="0.25">
      <c r="C5331" t="s">
        <v>65</v>
      </c>
      <c r="D5331" t="s">
        <v>120</v>
      </c>
      <c r="E5331" t="s">
        <v>63</v>
      </c>
      <c r="F5331" t="s">
        <v>124</v>
      </c>
      <c r="G5331">
        <v>4</v>
      </c>
      <c r="H5331" t="s">
        <v>69</v>
      </c>
      <c r="I5331" t="s">
        <v>121</v>
      </c>
      <c r="J5331" t="s">
        <v>122</v>
      </c>
      <c r="K5331">
        <v>0</v>
      </c>
      <c r="L5331" s="84">
        <v>601076</v>
      </c>
      <c r="M5331" s="84">
        <v>2404304</v>
      </c>
    </row>
    <row r="5332" spans="3:13" hidden="1" x14ac:dyDescent="0.25">
      <c r="C5332" t="s">
        <v>64</v>
      </c>
      <c r="D5332" t="s">
        <v>120</v>
      </c>
      <c r="E5332" t="s">
        <v>60</v>
      </c>
      <c r="F5332" t="s">
        <v>123</v>
      </c>
      <c r="G5332">
        <v>2</v>
      </c>
      <c r="H5332" t="s">
        <v>76</v>
      </c>
      <c r="I5332" t="s">
        <v>121</v>
      </c>
      <c r="J5332" t="s">
        <v>122</v>
      </c>
      <c r="K5332">
        <v>0</v>
      </c>
      <c r="L5332" s="84">
        <v>-4738</v>
      </c>
      <c r="M5332" s="84">
        <v>0</v>
      </c>
    </row>
    <row r="5333" spans="3:13" hidden="1" x14ac:dyDescent="0.25">
      <c r="C5333" t="s">
        <v>65</v>
      </c>
      <c r="D5333" t="s">
        <v>120</v>
      </c>
      <c r="E5333" t="s">
        <v>63</v>
      </c>
      <c r="F5333" t="s">
        <v>24</v>
      </c>
      <c r="G5333">
        <v>6</v>
      </c>
      <c r="H5333" t="s">
        <v>17</v>
      </c>
      <c r="I5333" t="s">
        <v>121</v>
      </c>
      <c r="J5333" t="s">
        <v>122</v>
      </c>
      <c r="K5333">
        <v>0</v>
      </c>
      <c r="L5333" s="84">
        <v>35190</v>
      </c>
      <c r="M5333" s="84">
        <v>211140</v>
      </c>
    </row>
    <row r="5334" spans="3:13" hidden="1" x14ac:dyDescent="0.25">
      <c r="C5334" t="s">
        <v>119</v>
      </c>
      <c r="D5334" t="s">
        <v>120</v>
      </c>
      <c r="E5334" t="s">
        <v>63</v>
      </c>
      <c r="F5334" t="s">
        <v>25</v>
      </c>
      <c r="G5334">
        <v>7</v>
      </c>
      <c r="H5334" t="s">
        <v>69</v>
      </c>
      <c r="I5334" t="s">
        <v>121</v>
      </c>
      <c r="J5334" t="s">
        <v>122</v>
      </c>
      <c r="K5334">
        <v>0</v>
      </c>
      <c r="L5334" s="84">
        <v>11815011</v>
      </c>
      <c r="M5334" s="84">
        <v>82705077</v>
      </c>
    </row>
    <row r="5335" spans="3:13" x14ac:dyDescent="0.25"/>
  </sheetData>
  <autoFilter ref="C6:M5334" xr:uid="{00000000-0001-0000-0200-000000000000}">
    <filterColumn colId="2">
      <filters>
        <filter val="valor bruto"/>
      </filters>
    </filterColumn>
    <filterColumn colId="3">
      <filters>
        <filter val="Garantia Comercial"/>
      </filters>
    </filterColumn>
    <filterColumn colId="7">
      <filters>
        <filter val="CHRO1"/>
      </filters>
    </filterColumn>
  </autoFilter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0" tint="-0.499984740745262"/>
  </sheetPr>
  <dimension ref="A1:S54"/>
  <sheetViews>
    <sheetView showGridLines="0" tabSelected="1" zoomScale="90" zoomScaleNormal="90" workbookViewId="0">
      <selection activeCell="J19" sqref="A19:XFD19"/>
    </sheetView>
  </sheetViews>
  <sheetFormatPr defaultColWidth="8.85546875" defaultRowHeight="12.75" x14ac:dyDescent="0.2"/>
  <cols>
    <col min="1" max="1" width="3.85546875" style="44" customWidth="1"/>
    <col min="2" max="2" width="3.42578125" style="44" customWidth="1"/>
    <col min="3" max="3" width="75.5703125" style="44" customWidth="1"/>
    <col min="4" max="4" width="17" style="44" customWidth="1"/>
    <col min="5" max="5" width="16.42578125" style="44" bestFit="1" customWidth="1"/>
    <col min="6" max="11" width="16" style="44" customWidth="1"/>
    <col min="12" max="12" width="17.5703125" style="44" customWidth="1"/>
    <col min="13" max="13" width="14.140625" style="44" bestFit="1" customWidth="1"/>
    <col min="14" max="14" width="14.85546875" style="44" customWidth="1"/>
    <col min="15" max="17" width="13.5703125" style="44" bestFit="1" customWidth="1"/>
    <col min="18" max="16384" width="8.85546875" style="44"/>
  </cols>
  <sheetData>
    <row r="1" spans="1:19" ht="15" x14ac:dyDescent="0.25">
      <c r="C1" s="2" t="s">
        <v>80</v>
      </c>
    </row>
    <row r="4" spans="1:19" x14ac:dyDescent="0.2">
      <c r="C4" s="45" t="s">
        <v>0</v>
      </c>
      <c r="D4" s="46" t="s">
        <v>1</v>
      </c>
      <c r="E4" s="46" t="s">
        <v>2</v>
      </c>
      <c r="F4" s="46" t="s">
        <v>3</v>
      </c>
      <c r="G4" s="46" t="s">
        <v>4</v>
      </c>
      <c r="H4" s="46" t="s">
        <v>5</v>
      </c>
      <c r="I4" s="46" t="s">
        <v>6</v>
      </c>
      <c r="J4" s="46" t="s">
        <v>7</v>
      </c>
      <c r="K4" s="46" t="s">
        <v>8</v>
      </c>
      <c r="L4" s="46" t="s">
        <v>9</v>
      </c>
      <c r="M4" s="46" t="s">
        <v>10</v>
      </c>
      <c r="N4" s="47" t="s">
        <v>11</v>
      </c>
      <c r="O4" s="47" t="s">
        <v>19</v>
      </c>
      <c r="P4" s="47" t="s">
        <v>20</v>
      </c>
      <c r="Q4" s="47" t="s">
        <v>81</v>
      </c>
    </row>
    <row r="5" spans="1:19" x14ac:dyDescent="0.2">
      <c r="C5" s="92" t="s">
        <v>82</v>
      </c>
      <c r="D5" s="95" t="s">
        <v>83</v>
      </c>
      <c r="E5" s="96"/>
      <c r="F5" s="96"/>
      <c r="G5" s="96"/>
      <c r="H5" s="96"/>
      <c r="I5" s="96"/>
      <c r="J5" s="96"/>
      <c r="K5" s="96"/>
      <c r="L5" s="96"/>
      <c r="M5" s="96"/>
      <c r="N5" s="96"/>
      <c r="O5" s="96"/>
      <c r="P5" s="96"/>
      <c r="Q5" s="97"/>
    </row>
    <row r="6" spans="1:19" ht="32.25" customHeight="1" x14ac:dyDescent="0.2">
      <c r="C6" s="93"/>
      <c r="D6" s="48"/>
      <c r="E6" s="98" t="s">
        <v>84</v>
      </c>
      <c r="F6" s="99"/>
      <c r="G6" s="99"/>
      <c r="H6" s="99"/>
      <c r="I6" s="99"/>
      <c r="J6" s="99"/>
      <c r="K6" s="99"/>
      <c r="L6" s="99"/>
      <c r="M6" s="99"/>
      <c r="N6" s="99"/>
      <c r="O6" s="99"/>
      <c r="P6" s="99"/>
      <c r="Q6" s="100"/>
    </row>
    <row r="7" spans="1:19" ht="52.5" customHeight="1" x14ac:dyDescent="0.2">
      <c r="C7" s="93"/>
      <c r="D7" s="48"/>
      <c r="E7" s="98" t="s">
        <v>85</v>
      </c>
      <c r="F7" s="99"/>
      <c r="G7" s="99"/>
      <c r="H7" s="99"/>
      <c r="I7" s="100"/>
      <c r="J7" s="101" t="s">
        <v>86</v>
      </c>
      <c r="K7" s="101" t="s">
        <v>87</v>
      </c>
      <c r="L7" s="103" t="s">
        <v>88</v>
      </c>
      <c r="M7" s="92" t="s">
        <v>89</v>
      </c>
      <c r="N7" s="92" t="s">
        <v>90</v>
      </c>
      <c r="O7" s="105" t="s">
        <v>91</v>
      </c>
      <c r="P7" s="106"/>
      <c r="Q7" s="107"/>
    </row>
    <row r="8" spans="1:19" ht="38.25" x14ac:dyDescent="0.2">
      <c r="A8" s="49"/>
      <c r="C8" s="94"/>
      <c r="D8" s="48"/>
      <c r="E8" s="50" t="s">
        <v>92</v>
      </c>
      <c r="F8" s="50" t="s">
        <v>93</v>
      </c>
      <c r="G8" s="50" t="s">
        <v>94</v>
      </c>
      <c r="H8" s="50" t="s">
        <v>95</v>
      </c>
      <c r="I8" s="3" t="s">
        <v>96</v>
      </c>
      <c r="J8" s="102"/>
      <c r="K8" s="102"/>
      <c r="L8" s="104"/>
      <c r="M8" s="94"/>
      <c r="N8" s="94"/>
      <c r="O8" s="51"/>
      <c r="P8" s="52" t="s">
        <v>97</v>
      </c>
      <c r="Q8" s="52" t="s">
        <v>90</v>
      </c>
      <c r="S8" s="53"/>
    </row>
    <row r="9" spans="1:19" x14ac:dyDescent="0.2">
      <c r="A9" s="54" t="s">
        <v>12</v>
      </c>
      <c r="B9" s="55">
        <v>1</v>
      </c>
      <c r="C9" s="56" t="s">
        <v>98</v>
      </c>
      <c r="D9" s="77">
        <f>(SUMIFS(Input!$L:$L,Input!$E:$E,'5.CC Physical risk'!$D$24,Input!$H:$H,'5.CC Physical risk'!$A9&amp;"*",Input!$D:$D,"outras empresas nao financeiras"))/1000000</f>
        <v>348.64756399999999</v>
      </c>
      <c r="E9" s="82">
        <f>(SUMIFS(Input!$L:$L,Input!$K:$K,"1",Input!$E:$E,'5.CC Physical risk'!$D$24,Input!$H:$H,'5.CC Physical risk'!$A9&amp;"*",Input!$D:$D,"outras empresas nao financeiras",Input!$G:$G,"&gt;=0",Input!$G:$G,"&lt;=5")
+ SUMIFS(Input!$L:$L,Input!$K:$K,"1",Input!$E:$E,'5.CC Physical risk'!$D$24,Input!$H:$H,'5.CC Physical risk'!$A9&amp;"*",Input!$D:$D,"outras empresas nao financeiras",Input!$G:$G,"-4")
+ SUMIFS(Input!$L:$L,Input!$K:$K,"1",Input!$E:$E,'5.CC Physical risk'!$D$24,Input!$H:$H,'5.CC Physical risk'!$A9&amp;"*",Input!$D:$D,"outras empresas nao financeiras",Input!$G:$G,"-1"))/1000000</f>
        <v>149.80666500000001</v>
      </c>
      <c r="F9" s="82">
        <f>(SUMIFS(Input!$L:$L,Input!$K:$K,"1",Input!$E:$E,'5.CC Physical risk'!$D$24,Input!$H:$H,'5.CC Physical risk'!$A9&amp;"*",Input!$D:$D,"outras empresas nao financeiras",Input!$G:$G,"&gt;5",Input!$G:$G,"&lt;=10"))/1000000</f>
        <v>58.179476999999999</v>
      </c>
      <c r="G9" s="82">
        <f>(SUMIFS(Input!$L:$L,Input!$K:$K,"1",Input!$E:$E,'5.CC Physical risk'!$D$24,Input!$H:$H,'5.CC Physical risk'!$A9&amp;"*",Input!$D:$D,"outras empresas nao financeiras",Input!$G:$G,"&gt;10",Input!$G:$G,"&lt;=20"))/1000000</f>
        <v>57.524262</v>
      </c>
      <c r="H9" s="82">
        <f>(SUMIFS(Input!$L:$L,Input!$K:$K,"1",Input!$E:$E,'5.CC Physical risk'!$D$24,Input!$H:$H,'5.CC Physical risk'!$A9&amp;"*",Input!$D:$D,"outras empresas nao financeiras",Input!$G:$G,"&gt;20")
+ SUMIFS(Input!$L:$L,Input!$K:$K,"1",Input!$E:$E,'5.CC Physical risk'!$D$24,Input!$H:$H,'5.CC Physical risk'!$A9&amp;"*",Input!$D:$D,"outras empresas nao financeiras",Input!$G:$G,"-2")
+ SUMIFS(Input!$L:$L,Input!$K:$K,"1",Input!$E:$E,'5.CC Physical risk'!$D$24,Input!$H:$H,'5.CC Physical risk'!$A9&amp;"*",Input!$D:$D,"outras empresas nao financeiras",Input!$G:$G,"-3")
+ SUMIFS(Input!$L:$L,Input!$K:$K,"1",Input!$E:$E,'5.CC Physical risk'!$D$24,Input!$H:$H,'5.CC Physical risk'!$A9&amp;"*",Input!$D:$D,"outras empresas nao financeiras",Input!$G:$G,"-5"))/1000000</f>
        <v>0</v>
      </c>
      <c r="I9" s="77">
        <f>IFERROR(ROUND(SUMIFS(Input!$M:$M,Input!$K:$K,"1",Input!$E:$E,'5.CC Physical risk'!$D$24,Input!$H:$H,'5.CC Physical risk'!$A9&amp;"*",Input!$D:$D,"outras empresas nao financeiras",Input!$G:$G,"&gt;0")
/
SUMIFS(Input!$L:$L,Input!$K:$K,"1",Input!$E:$E,'5.CC Physical risk'!$D$24,Input!$H:$H,'5.CC Physical risk'!$A9&amp;"*",Input!$D:$D,"outras empresas nao financeiras",Input!$G:$G,"&gt;0"),0),0)</f>
        <v>8</v>
      </c>
      <c r="J9" s="77">
        <f>(SUMIFS(Input!$L:$L,Input!$K:$K,"1",Input!$E:$E,'5.CC Physical risk'!$D$24,Input!$H:$H,'5.CC Physical risk'!$A9&amp;"*",Input!$D:$D,"outras empresas nao financeiras",Input!$I:$I,"&lt;&gt;"&amp;$K$24,Input!$J:$J,'5.CC Physical risk'!$J$24))/1000000</f>
        <v>258.786113</v>
      </c>
      <c r="K9" s="77">
        <f>(SUMIFS(Input!$L:$L,Input!$K:$K,"1",Input!$E:$E,'5.CC Physical risk'!$D$24,Input!$H:$H,'5.CC Physical risk'!$A9&amp;"*",Input!$D:$D,"outras empresas nao financeiras",Input!$J:$J,"&lt;&gt;"&amp;$J$24,Input!$I:$I,'5.CC Physical risk'!$K$24))/1000000</f>
        <v>9.2313000000000006E-2</v>
      </c>
      <c r="L9" s="77">
        <f>(SUMIFS(Input!$L:$L,
Input!$K:$K,"1",
Input!$E:$E,'5.CC Physical risk'!$D$24,
Input!$H:$H,'5.CC Physical risk'!$A9&amp;"*",
Input!$D:$D,"outras empresas nao financeiras",
Input!$J:$J,'5.CC Physical risk'!$J$24,
Input!$I:$I,'5.CC Physical risk'!$K$24))/1000000</f>
        <v>6.6319780000000002</v>
      </c>
      <c r="M9" s="77">
        <f>(SUMIFS(Input!$L:$L,
Input!$K:$K,"1",
Input!$E:$E,'5.CC Physical risk'!$D$24,
Input!$D:$D,"outras empresas nao financeiras",
Input!$H:$H,'5.CC Physical risk'!$A9&amp;"*",
Input!$C:$C,'5.CC Physical risk'!$M$24))/1000000</f>
        <v>33.917143000000003</v>
      </c>
      <c r="N9" s="77">
        <f>(SUMIFS(Input!$L:$L,
Input!$K:$K,"1",
Input!$E:$E,'5.CC Physical risk'!$D$24,
Input!$D:$D,"outras empresas nao financeiras",
Input!$H:$H,'5.CC Physical risk'!$A9&amp;"*",
Input!$C:$C,'5.CC Physical risk'!$N$24))/1000000</f>
        <v>23.318394000000001</v>
      </c>
      <c r="O9" s="77">
        <f>(SUMIFS(Input!$L:$L,
Input!$K:$K,"1",
Input!$E:$E,'5.CC Physical risk'!$O$24,
Input!$D:$D,"outras empresas nao financeiras",
Input!$H:$H,'5.CC Physical risk'!$A9&amp;"*"))/1000000</f>
        <v>-5.3457119999999998</v>
      </c>
      <c r="P9" s="77">
        <f>(SUMIFS(Input!$L:$L,
Input!$K:$K,"1",
Input!$E:$E,'5.CC Physical risk'!$O$24,
Input!$D:$D,"outras empresas nao financeiras",
Input!$H:$H,'5.CC Physical risk'!$A9&amp;"*",
Input!$C:$C,'5.CC Physical risk'!$M$24))/1000000</f>
        <v>-1.714154</v>
      </c>
      <c r="Q9" s="77">
        <f>(SUMIFS(Input!$L:$L,
Input!$K:$K,"1",
Input!$E:$E,'5.CC Physical risk'!$O$24,
Input!$D:$D,"outras empresas nao financeiras",
Input!$H:$H,'5.CC Physical risk'!$A9&amp;"*",
Input!$C:$C,'5.CC Physical risk'!$N$24))/1000000</f>
        <v>-3.216342</v>
      </c>
      <c r="S9" s="57"/>
    </row>
    <row r="10" spans="1:19" x14ac:dyDescent="0.2">
      <c r="A10" s="54" t="s">
        <v>13</v>
      </c>
      <c r="B10" s="55">
        <v>2</v>
      </c>
      <c r="C10" s="56" t="s">
        <v>99</v>
      </c>
      <c r="D10" s="77">
        <f>(SUMIFS(Input!$L:$L,Input!$E:$E,'5.CC Physical risk'!$D$24,Input!$H:$H,'5.CC Physical risk'!$A10&amp;"*",Input!$D:$D,"outras empresas nao financeiras"))/1000000</f>
        <v>14.118759000000001</v>
      </c>
      <c r="E10" s="77">
        <f>(SUMIFS(Input!$L:$L,Input!$K:$K,"1",Input!$E:$E,'5.CC Physical risk'!$D$24,Input!$H:$H,'5.CC Physical risk'!$A10&amp;"*",Input!$D:$D,"outras empresas nao financeiras",Input!$G:$G,"&gt;=0",Input!$G:$G,"&lt;=5")
+ SUMIFS(Input!$L:$L,Input!$K:$K,"1",Input!$E:$E,'5.CC Physical risk'!$D$24,Input!$H:$H,'5.CC Physical risk'!$A10&amp;"*",Input!$D:$D,"outras empresas nao financeiras",Input!$G:$G,"-4")
+ SUMIFS(Input!$L:$L,Input!$K:$K,"1",Input!$E:$E,'5.CC Physical risk'!$D$24,Input!$H:$H,'5.CC Physical risk'!$A10&amp;"*",Input!$D:$D,"outras empresas nao financeiras",Input!$G:$G,"-1"))/1000000</f>
        <v>0.101845</v>
      </c>
      <c r="F10" s="77">
        <f>(SUMIFS(Input!$L:$L,Input!$K:$K,"1",Input!$E:$E,'5.CC Physical risk'!$D$24,Input!$H:$H,'5.CC Physical risk'!$A10&amp;"*",Input!$D:$D,"outras empresas nao financeiras",Input!$G:$G,"&gt;5",Input!$G:$G,"&lt;=10"))/1000000</f>
        <v>0</v>
      </c>
      <c r="G10" s="77">
        <f>(SUMIFS(Input!$L:$L,Input!$K:$K,"1",Input!$E:$E,'5.CC Physical risk'!$D$24,Input!$H:$H,'5.CC Physical risk'!$A10&amp;"*",Input!$D:$D,"outras empresas nao financeiras",Input!$G:$G,"&gt;10",Input!$G:$G,"&lt;=20"))/1000000</f>
        <v>0</v>
      </c>
      <c r="H10" s="77">
        <f>(SUMIFS(Input!$L:$L,Input!$K:$K,"1",Input!$E:$E,'5.CC Physical risk'!$D$24,Input!$H:$H,'5.CC Physical risk'!$A10&amp;"*",Input!$D:$D,"outras empresas nao financeiras",Input!$G:$G,"&gt;20")
+ SUMIFS(Input!$L:$L,Input!$K:$K,"1",Input!$E:$E,'5.CC Physical risk'!$D$24,Input!$H:$H,'5.CC Physical risk'!$A10&amp;"*",Input!$D:$D,"outras empresas nao financeiras",Input!$G:$G,"-2")
+ SUMIFS(Input!$L:$L,Input!$K:$K,"1",Input!$E:$E,'5.CC Physical risk'!$D$24,Input!$H:$H,'5.CC Physical risk'!$A10&amp;"*",Input!$D:$D,"outras empresas nao financeiras",Input!$G:$G,"-3")
+ SUMIFS(Input!$L:$L,Input!$K:$K,"1",Input!$E:$E,'5.CC Physical risk'!$D$24,Input!$H:$H,'5.CC Physical risk'!$A10&amp;"*",Input!$D:$D,"outras empresas nao financeiras",Input!$G:$G,"-5"))/1000000</f>
        <v>0</v>
      </c>
      <c r="I10" s="77">
        <f>IFERROR(ROUND(SUMIFS(Input!$M:$M,Input!$K:$K,"1",Input!$E:$E,'5.CC Physical risk'!$D$24,Input!$H:$H,'5.CC Physical risk'!$A10&amp;"*",Input!$D:$D,"outras empresas nao financeiras",Input!$G:$G,"&gt;0")
/
SUMIFS(Input!$L:$L,Input!$K:$K,"1",Input!$E:$E,'5.CC Physical risk'!$D$24,Input!$H:$H,'5.CC Physical risk'!$A10&amp;"*",Input!$D:$D,"outras empresas nao financeiras",Input!$G:$G,"&gt;0"),0),0)</f>
        <v>0</v>
      </c>
      <c r="J10" s="77">
        <f>(SUMIFS(Input!$L:$L,Input!$K:$K,"1",Input!$E:$E,'5.CC Physical risk'!$D$24,Input!$H:$H,'5.CC Physical risk'!$A10&amp;"*",Input!$D:$D,"outras empresas nao financeiras",Input!$I:$I,"&lt;&gt;"&amp;$K$24,Input!$J:$J,'5.CC Physical risk'!$J$24))/1000000</f>
        <v>0.101845</v>
      </c>
      <c r="K10" s="77">
        <f>(SUMIFS(Input!$L:$L,Input!$K:$K,"1",Input!$E:$E,'5.CC Physical risk'!$D$24,Input!$H:$H,'5.CC Physical risk'!$A10&amp;"*",Input!$D:$D,"outras empresas nao financeiras",Input!$J:$J,"&lt;&gt;"&amp;$J$24,Input!$I:$I,'5.CC Physical risk'!$K$24))/1000000</f>
        <v>0</v>
      </c>
      <c r="L10" s="77">
        <f>(SUMIFS(Input!$L:$L,
Input!$K:$K,"1",
Input!$E:$E,'5.CC Physical risk'!$D$24,
Input!$H:$H,'5.CC Physical risk'!$A10&amp;"*",
Input!$D:$D,"outras empresas nao financeiras",
Input!$J:$J,'5.CC Physical risk'!$J$24,
Input!$I:$I,'5.CC Physical risk'!$K$24))/1000000</f>
        <v>0</v>
      </c>
      <c r="M10" s="77">
        <f>(SUMIFS(Input!$L:$L,
Input!$K:$K,"1",
Input!$E:$E,'5.CC Physical risk'!$D$24,
Input!$D:$D,"outras empresas nao financeiras",
Input!$H:$H,'5.CC Physical risk'!$A10&amp;"*",
Input!$C:$C,'5.CC Physical risk'!$M$24))/1000000</f>
        <v>0</v>
      </c>
      <c r="N10" s="77">
        <f>(SUMIFS(Input!$L:$L,
Input!$K:$K,"1",
Input!$E:$E,'5.CC Physical risk'!$D$24,
Input!$D:$D,"outras empresas nao financeiras",
Input!$H:$H,'5.CC Physical risk'!$A10&amp;"*",
Input!$C:$C,'5.CC Physical risk'!$N$24))/1000000</f>
        <v>0</v>
      </c>
      <c r="O10" s="77">
        <f>(SUMIFS(Input!$L:$L,
Input!$K:$K,"1",
Input!$E:$E,'5.CC Physical risk'!$O$24,
Input!$D:$D,"outras empresas nao financeiras",
Input!$H:$H,'5.CC Physical risk'!$A10&amp;"*"))/1000000</f>
        <v>-4.0000000000000003E-5</v>
      </c>
      <c r="P10" s="77">
        <f>(SUMIFS(Input!$L:$L,
Input!$K:$K,"1",
Input!$E:$E,'5.CC Physical risk'!$O$24,
Input!$D:$D,"outras empresas nao financeiras",
Input!$H:$H,'5.CC Physical risk'!$A10&amp;"*",
Input!$C:$C,'5.CC Physical risk'!$M$24))/1000000</f>
        <v>0</v>
      </c>
      <c r="Q10" s="77">
        <f>(SUMIFS(Input!$L:$L,
Input!$K:$K,"1",
Input!$E:$E,'5.CC Physical risk'!$O$24,
Input!$D:$D,"outras empresas nao financeiras",
Input!$H:$H,'5.CC Physical risk'!$A10&amp;"*",
Input!$C:$C,'5.CC Physical risk'!$N$24))/1000000</f>
        <v>0</v>
      </c>
      <c r="S10" s="57"/>
    </row>
    <row r="11" spans="1:19" x14ac:dyDescent="0.2">
      <c r="A11" s="54" t="s">
        <v>14</v>
      </c>
      <c r="B11" s="55">
        <v>3</v>
      </c>
      <c r="C11" s="56" t="s">
        <v>100</v>
      </c>
      <c r="D11" s="77">
        <f>(SUMIFS(Input!$L:$L,Input!$E:$E,'5.CC Physical risk'!$D$24,Input!$H:$H,'5.CC Physical risk'!$A11&amp;"*",Input!$D:$D,"outras empresas nao financeiras"))/1000000</f>
        <v>2311.6609579999999</v>
      </c>
      <c r="E11" s="77">
        <f>(SUMIFS(Input!$L:$L,Input!$K:$K,"1",Input!$E:$E,'5.CC Physical risk'!$D$24,Input!$H:$H,'5.CC Physical risk'!$A11&amp;"*",Input!$D:$D,"outras empresas nao financeiras",Input!$G:$G,"&gt;=0",Input!$G:$G,"&lt;=5")
+ SUMIFS(Input!$L:$L,Input!$K:$K,"1",Input!$E:$E,'5.CC Physical risk'!$D$24,Input!$H:$H,'5.CC Physical risk'!$A11&amp;"*",Input!$D:$D,"outras empresas nao financeiras",Input!$G:$G,"-4")
+ SUMIFS(Input!$L:$L,Input!$K:$K,"1",Input!$E:$E,'5.CC Physical risk'!$D$24,Input!$H:$H,'5.CC Physical risk'!$A11&amp;"*",Input!$D:$D,"outras empresas nao financeiras",Input!$G:$G,"-1"))/1000000</f>
        <v>539.94829100000004</v>
      </c>
      <c r="F11" s="77">
        <f>(SUMIFS(Input!$L:$L,Input!$K:$K,"1",Input!$E:$E,'5.CC Physical risk'!$D$24,Input!$H:$H,'5.CC Physical risk'!$A11&amp;"*",Input!$D:$D,"outras empresas nao financeiras",Input!$G:$G,"&gt;5",Input!$G:$G,"&lt;=10"))/1000000</f>
        <v>40.366383999999996</v>
      </c>
      <c r="G11" s="77">
        <f>(SUMIFS(Input!$L:$L,Input!$K:$K,"1",Input!$E:$E,'5.CC Physical risk'!$D$24,Input!$H:$H,'5.CC Physical risk'!$A11&amp;"*",Input!$D:$D,"outras empresas nao financeiras",Input!$G:$G,"&gt;10",Input!$G:$G,"&lt;=20"))/1000000</f>
        <v>9.8479460000000003</v>
      </c>
      <c r="H11" s="77">
        <f>(SUMIFS(Input!$L:$L,Input!$K:$K,"1",Input!$E:$E,'5.CC Physical risk'!$D$24,Input!$H:$H,'5.CC Physical risk'!$A11&amp;"*",Input!$D:$D,"outras empresas nao financeiras",Input!$G:$G,"&gt;20")
+ SUMIFS(Input!$L:$L,Input!$K:$K,"1",Input!$E:$E,'5.CC Physical risk'!$D$24,Input!$H:$H,'5.CC Physical risk'!$A11&amp;"*",Input!$D:$D,"outras empresas nao financeiras",Input!$G:$G,"-2")
+ SUMIFS(Input!$L:$L,Input!$K:$K,"1",Input!$E:$E,'5.CC Physical risk'!$D$24,Input!$H:$H,'5.CC Physical risk'!$A11&amp;"*",Input!$D:$D,"outras empresas nao financeiras",Input!$G:$G,"-3")
+ SUMIFS(Input!$L:$L,Input!$K:$K,"1",Input!$E:$E,'5.CC Physical risk'!$D$24,Input!$H:$H,'5.CC Physical risk'!$A11&amp;"*",Input!$D:$D,"outras empresas nao financeiras",Input!$G:$G,"-5"))/1000000</f>
        <v>0</v>
      </c>
      <c r="I11" s="77">
        <f>IFERROR(ROUND(SUMIFS(Input!$M:$M,Input!$K:$K,"1",Input!$E:$E,'5.CC Physical risk'!$D$24,Input!$H:$H,'5.CC Physical risk'!$A11&amp;"*",Input!$D:$D,"outras empresas nao financeiras",Input!$G:$G,"&gt;0")
/
SUMIFS(Input!$L:$L,Input!$K:$K,"1",Input!$E:$E,'5.CC Physical risk'!$D$24,Input!$H:$H,'5.CC Physical risk'!$A11&amp;"*",Input!$D:$D,"outras empresas nao financeiras",Input!$G:$G,"&gt;0"),0),0)</f>
        <v>4</v>
      </c>
      <c r="J11" s="77">
        <f>(SUMIFS(Input!$L:$L,Input!$K:$K,"1",Input!$E:$E,'5.CC Physical risk'!$D$24,Input!$H:$H,'5.CC Physical risk'!$A11&amp;"*",Input!$D:$D,"outras empresas nao financeiras",Input!$I:$I,"&lt;&gt;"&amp;$K$24,Input!$J:$J,'5.CC Physical risk'!$J$24))/1000000</f>
        <v>582.04170699999997</v>
      </c>
      <c r="K11" s="77">
        <f>(SUMIFS(Input!$L:$L,Input!$K:$K,"1",Input!$E:$E,'5.CC Physical risk'!$D$24,Input!$H:$H,'5.CC Physical risk'!$A11&amp;"*",Input!$D:$D,"outras empresas nao financeiras",Input!$J:$J,"&lt;&gt;"&amp;$J$24,Input!$I:$I,'5.CC Physical risk'!$K$24))/1000000</f>
        <v>3.4540289999999998</v>
      </c>
      <c r="L11" s="77">
        <f>(SUMIFS(Input!$L:$L,
Input!$K:$K,"1",
Input!$E:$E,'5.CC Physical risk'!$D$24,
Input!$H:$H,'5.CC Physical risk'!$A11&amp;"*",
Input!$D:$D,"outras empresas nao financeiras",
Input!$J:$J,'5.CC Physical risk'!$J$24,
Input!$I:$I,'5.CC Physical risk'!$K$24))/1000000</f>
        <v>4.6668849999999997</v>
      </c>
      <c r="M11" s="77">
        <f>(SUMIFS(Input!$L:$L,
Input!$K:$K,"1",
Input!$E:$E,'5.CC Physical risk'!$D$24,
Input!$D:$D,"outras empresas nao financeiras",
Input!$H:$H,'5.CC Physical risk'!$A11&amp;"*",
Input!$C:$C,'5.CC Physical risk'!$M$24))/1000000</f>
        <v>68.181223000000003</v>
      </c>
      <c r="N11" s="77">
        <f>(SUMIFS(Input!$L:$L,
Input!$K:$K,"1",
Input!$E:$E,'5.CC Physical risk'!$D$24,
Input!$D:$D,"outras empresas nao financeiras",
Input!$H:$H,'5.CC Physical risk'!$A11&amp;"*",
Input!$C:$C,'5.CC Physical risk'!$N$24))/1000000</f>
        <v>30.039556999999999</v>
      </c>
      <c r="O11" s="77">
        <f>(SUMIFS(Input!$L:$L,
Input!$K:$K,"1",
Input!$E:$E,'5.CC Physical risk'!$O$24,
Input!$D:$D,"outras empresas nao financeiras",
Input!$H:$H,'5.CC Physical risk'!$A11&amp;"*"))/1000000</f>
        <v>-26.440301000000002</v>
      </c>
      <c r="P11" s="77">
        <f>(SUMIFS(Input!$L:$L,
Input!$K:$K,"1",
Input!$E:$E,'5.CC Physical risk'!$O$24,
Input!$D:$D,"outras empresas nao financeiras",
Input!$H:$H,'5.CC Physical risk'!$A11&amp;"*",
Input!$C:$C,'5.CC Physical risk'!$M$24))/1000000</f>
        <v>-3.833148</v>
      </c>
      <c r="Q11" s="77">
        <f>(SUMIFS(Input!$L:$L,
Input!$K:$K,"1",
Input!$E:$E,'5.CC Physical risk'!$O$24,
Input!$D:$D,"outras empresas nao financeiras",
Input!$H:$H,'5.CC Physical risk'!$A11&amp;"*",
Input!$C:$C,'5.CC Physical risk'!$N$24))/1000000</f>
        <v>-21.186862000000001</v>
      </c>
      <c r="S11" s="57"/>
    </row>
    <row r="12" spans="1:19" x14ac:dyDescent="0.2">
      <c r="A12" s="54" t="s">
        <v>15</v>
      </c>
      <c r="B12" s="55">
        <v>4</v>
      </c>
      <c r="C12" s="56" t="s">
        <v>101</v>
      </c>
      <c r="D12" s="77">
        <f>(SUMIFS(Input!$L:$L,Input!$E:$E,'5.CC Physical risk'!$D$24,Input!$H:$H,'5.CC Physical risk'!$A12&amp;"*",Input!$D:$D,"outras empresas nao financeiras"))/1000000</f>
        <v>736.90288399999997</v>
      </c>
      <c r="E12" s="77">
        <f>(SUMIFS(Input!$L:$L,Input!$K:$K,"1",Input!$E:$E,'5.CC Physical risk'!$D$24,Input!$H:$H,'5.CC Physical risk'!$A12&amp;"*",Input!$D:$D,"outras empresas nao financeiras",Input!$G:$G,"&gt;=0",Input!$G:$G,"&lt;=5")
+ SUMIFS(Input!$L:$L,Input!$K:$K,"1",Input!$E:$E,'5.CC Physical risk'!$D$24,Input!$H:$H,'5.CC Physical risk'!$A12&amp;"*",Input!$D:$D,"outras empresas nao financeiras",Input!$G:$G,"-4")
+ SUMIFS(Input!$L:$L,Input!$K:$K,"1",Input!$E:$E,'5.CC Physical risk'!$D$24,Input!$H:$H,'5.CC Physical risk'!$A12&amp;"*",Input!$D:$D,"outras empresas nao financeiras",Input!$G:$G,"-1"))/1000000</f>
        <v>183.41411600000001</v>
      </c>
      <c r="F12" s="77">
        <f>(SUMIFS(Input!$L:$L,Input!$K:$K,"1",Input!$E:$E,'5.CC Physical risk'!$D$24,Input!$H:$H,'5.CC Physical risk'!$A12&amp;"*",Input!$D:$D,"outras empresas nao financeiras",Input!$G:$G,"&gt;5",Input!$G:$G,"&lt;=10"))/1000000</f>
        <v>144.06870000000001</v>
      </c>
      <c r="G12" s="77">
        <f>(SUMIFS(Input!$L:$L,Input!$K:$K,"1",Input!$E:$E,'5.CC Physical risk'!$D$24,Input!$H:$H,'5.CC Physical risk'!$A12&amp;"*",Input!$D:$D,"outras empresas nao financeiras",Input!$G:$G,"&gt;10",Input!$G:$G,"&lt;=20"))/1000000</f>
        <v>1.000556</v>
      </c>
      <c r="H12" s="77">
        <f>(SUMIFS(Input!$L:$L,Input!$K:$K,"1",Input!$E:$E,'5.CC Physical risk'!$D$24,Input!$H:$H,'5.CC Physical risk'!$A12&amp;"*",Input!$D:$D,"outras empresas nao financeiras",Input!$G:$G,"&gt;20")
+ SUMIFS(Input!$L:$L,Input!$K:$K,"1",Input!$E:$E,'5.CC Physical risk'!$D$24,Input!$H:$H,'5.CC Physical risk'!$A12&amp;"*",Input!$D:$D,"outras empresas nao financeiras",Input!$G:$G,"-2")
+ SUMIFS(Input!$L:$L,Input!$K:$K,"1",Input!$E:$E,'5.CC Physical risk'!$D$24,Input!$H:$H,'5.CC Physical risk'!$A12&amp;"*",Input!$D:$D,"outras empresas nao financeiras",Input!$G:$G,"-3")
+ SUMIFS(Input!$L:$L,Input!$K:$K,"1",Input!$E:$E,'5.CC Physical risk'!$D$24,Input!$H:$H,'5.CC Physical risk'!$A12&amp;"*",Input!$D:$D,"outras empresas nao financeiras",Input!$G:$G,"-5"))/1000000</f>
        <v>0</v>
      </c>
      <c r="I12" s="77">
        <f>IFERROR(ROUND(SUMIFS(Input!$M:$M,Input!$K:$K,"1",Input!$E:$E,'5.CC Physical risk'!$D$24,Input!$H:$H,'5.CC Physical risk'!$A12&amp;"*",Input!$D:$D,"outras empresas nao financeiras",Input!$G:$G,"&gt;0")
/
SUMIFS(Input!$L:$L,Input!$K:$K,"1",Input!$E:$E,'5.CC Physical risk'!$D$24,Input!$H:$H,'5.CC Physical risk'!$A12&amp;"*",Input!$D:$D,"outras empresas nao financeiras",Input!$G:$G,"&gt;0"),0),0)</f>
        <v>5</v>
      </c>
      <c r="J12" s="77">
        <f>(SUMIFS(Input!$L:$L,Input!$K:$K,"1",Input!$E:$E,'5.CC Physical risk'!$D$24,Input!$H:$H,'5.CC Physical risk'!$A12&amp;"*",Input!$D:$D,"outras empresas nao financeiras",Input!$I:$I,"&lt;&gt;"&amp;$K$24,Input!$J:$J,'5.CC Physical risk'!$J$24))/1000000</f>
        <v>283.19171999999998</v>
      </c>
      <c r="K12" s="77">
        <f>(SUMIFS(Input!$L:$L,Input!$K:$K,"1",Input!$E:$E,'5.CC Physical risk'!$D$24,Input!$H:$H,'5.CC Physical risk'!$A12&amp;"*",Input!$D:$D,"outras empresas nao financeiras",Input!$J:$J,"&lt;&gt;"&amp;$J$24,Input!$I:$I,'5.CC Physical risk'!$K$24))/1000000</f>
        <v>45.291648000000002</v>
      </c>
      <c r="L12" s="77">
        <f>(SUMIFS(Input!$L:$L,
Input!$K:$K,"1",
Input!$E:$E,'5.CC Physical risk'!$D$24,
Input!$H:$H,'5.CC Physical risk'!$A12&amp;"*",
Input!$D:$D,"outras empresas nao financeiras",
Input!$J:$J,'5.CC Physical risk'!$J$24,
Input!$I:$I,'5.CC Physical risk'!$K$24))/1000000</f>
        <v>3.9999999999999998E-6</v>
      </c>
      <c r="M12" s="77">
        <f>(SUMIFS(Input!$L:$L,
Input!$K:$K,"1",
Input!$E:$E,'5.CC Physical risk'!$D$24,
Input!$D:$D,"outras empresas nao financeiras",
Input!$H:$H,'5.CC Physical risk'!$A12&amp;"*",
Input!$C:$C,'5.CC Physical risk'!$M$24))/1000000</f>
        <v>0.249836</v>
      </c>
      <c r="N12" s="77">
        <f>(SUMIFS(Input!$L:$L,
Input!$K:$K,"1",
Input!$E:$E,'5.CC Physical risk'!$D$24,
Input!$D:$D,"outras empresas nao financeiras",
Input!$H:$H,'5.CC Physical risk'!$A12&amp;"*",
Input!$C:$C,'5.CC Physical risk'!$N$24))/1000000</f>
        <v>4.8650000000000004E-3</v>
      </c>
      <c r="O12" s="77">
        <f>(SUMIFS(Input!$L:$L,
Input!$K:$K,"1",
Input!$E:$E,'5.CC Physical risk'!$O$24,
Input!$D:$D,"outras empresas nao financeiras",
Input!$H:$H,'5.CC Physical risk'!$A12&amp;"*"))/1000000</f>
        <v>-0.22139900000000001</v>
      </c>
      <c r="P12" s="77">
        <f>(SUMIFS(Input!$L:$L,
Input!$K:$K,"1",
Input!$E:$E,'5.CC Physical risk'!$O$24,
Input!$D:$D,"outras empresas nao financeiras",
Input!$H:$H,'5.CC Physical risk'!$A12&amp;"*",
Input!$C:$C,'5.CC Physical risk'!$M$24))/1000000</f>
        <v>-3.6017E-2</v>
      </c>
      <c r="Q12" s="77">
        <f>(SUMIFS(Input!$L:$L,
Input!$K:$K,"1",
Input!$E:$E,'5.CC Physical risk'!$O$24,
Input!$D:$D,"outras empresas nao financeiras",
Input!$H:$H,'5.CC Physical risk'!$A12&amp;"*",
Input!$C:$C,'5.CC Physical risk'!$N$24))/1000000</f>
        <v>-4.0670000000000003E-3</v>
      </c>
      <c r="S12" s="57"/>
    </row>
    <row r="13" spans="1:19" x14ac:dyDescent="0.2">
      <c r="A13" s="54" t="s">
        <v>16</v>
      </c>
      <c r="B13" s="55">
        <v>5</v>
      </c>
      <c r="C13" s="56" t="s">
        <v>102</v>
      </c>
      <c r="D13" s="77">
        <f>(SUMIFS(Input!$L:$L,Input!$E:$E,'5.CC Physical risk'!$D$24,Input!$H:$H,'5.CC Physical risk'!$A13&amp;"*",Input!$D:$D,"outras empresas nao financeiras"))/1000000</f>
        <v>88.021192999999997</v>
      </c>
      <c r="E13" s="77">
        <f>(SUMIFS(Input!$L:$L,Input!$K:$K,"1",Input!$E:$E,'5.CC Physical risk'!$D$24,Input!$H:$H,'5.CC Physical risk'!$A13&amp;"*",Input!$D:$D,"outras empresas nao financeiras",Input!$G:$G,"&gt;=0",Input!$G:$G,"&lt;=5")
+ SUMIFS(Input!$L:$L,Input!$K:$K,"1",Input!$E:$E,'5.CC Physical risk'!$D$24,Input!$H:$H,'5.CC Physical risk'!$A13&amp;"*",Input!$D:$D,"outras empresas nao financeiras",Input!$G:$G,"-4")
+ SUMIFS(Input!$L:$L,Input!$K:$K,"1",Input!$E:$E,'5.CC Physical risk'!$D$24,Input!$H:$H,'5.CC Physical risk'!$A13&amp;"*",Input!$D:$D,"outras empresas nao financeiras",Input!$G:$G,"-1"))/1000000</f>
        <v>0</v>
      </c>
      <c r="F13" s="77">
        <f>(SUMIFS(Input!$L:$L,Input!$K:$K,"1",Input!$E:$E,'5.CC Physical risk'!$D$24,Input!$H:$H,'5.CC Physical risk'!$A13&amp;"*",Input!$D:$D,"outras empresas nao financeiras",Input!$G:$G,"&gt;5",Input!$G:$G,"&lt;=10"))/1000000</f>
        <v>0</v>
      </c>
      <c r="G13" s="77">
        <f>(SUMIFS(Input!$L:$L,Input!$K:$K,"1",Input!$E:$E,'5.CC Physical risk'!$D$24,Input!$H:$H,'5.CC Physical risk'!$A13&amp;"*",Input!$D:$D,"outras empresas nao financeiras",Input!$G:$G,"&gt;10",Input!$G:$G,"&lt;=20"))/1000000</f>
        <v>0</v>
      </c>
      <c r="H13" s="77">
        <f>(SUMIFS(Input!$L:$L,Input!$K:$K,"1",Input!$E:$E,'5.CC Physical risk'!$D$24,Input!$H:$H,'5.CC Physical risk'!$A13&amp;"*",Input!$D:$D,"outras empresas nao financeiras",Input!$G:$G,"&gt;20")
+ SUMIFS(Input!$L:$L,Input!$K:$K,"1",Input!$E:$E,'5.CC Physical risk'!$D$24,Input!$H:$H,'5.CC Physical risk'!$A13&amp;"*",Input!$D:$D,"outras empresas nao financeiras",Input!$G:$G,"-2")
+ SUMIFS(Input!$L:$L,Input!$K:$K,"1",Input!$E:$E,'5.CC Physical risk'!$D$24,Input!$H:$H,'5.CC Physical risk'!$A13&amp;"*",Input!$D:$D,"outras empresas nao financeiras",Input!$G:$G,"-3")
+ SUMIFS(Input!$L:$L,Input!$K:$K,"1",Input!$E:$E,'5.CC Physical risk'!$D$24,Input!$H:$H,'5.CC Physical risk'!$A13&amp;"*",Input!$D:$D,"outras empresas nao financeiras",Input!$G:$G,"-5"))/1000000</f>
        <v>0</v>
      </c>
      <c r="I13" s="77">
        <f>IFERROR(ROUND(SUMIFS(Input!$M:$M,Input!$K:$K,"1",Input!$E:$E,'5.CC Physical risk'!$D$24,Input!$H:$H,'5.CC Physical risk'!$A13&amp;"*",Input!$D:$D,"outras empresas nao financeiras",Input!$G:$G,"&gt;0")
/
SUMIFS(Input!$L:$L,Input!$K:$K,"1",Input!$E:$E,'5.CC Physical risk'!$D$24,Input!$H:$H,'5.CC Physical risk'!$A13&amp;"*",Input!$D:$D,"outras empresas nao financeiras",Input!$G:$G,"&gt;0"),0),0)</f>
        <v>0</v>
      </c>
      <c r="J13" s="77">
        <f>(SUMIFS(Input!$L:$L,Input!$K:$K,"1",Input!$E:$E,'5.CC Physical risk'!$D$24,Input!$H:$H,'5.CC Physical risk'!$A13&amp;"*",Input!$D:$D,"outras empresas nao financeiras",Input!$I:$I,"&lt;&gt;"&amp;$K$24,Input!$J:$J,'5.CC Physical risk'!$J$24))/1000000</f>
        <v>0</v>
      </c>
      <c r="K13" s="77">
        <f>(SUMIFS(Input!$L:$L,Input!$K:$K,"1",Input!$E:$E,'5.CC Physical risk'!$D$24,Input!$H:$H,'5.CC Physical risk'!$A13&amp;"*",Input!$D:$D,"outras empresas nao financeiras",Input!$J:$J,"&lt;&gt;"&amp;$J$24,Input!$I:$I,'5.CC Physical risk'!$K$24))/1000000</f>
        <v>0</v>
      </c>
      <c r="L13" s="77">
        <f>(SUMIFS(Input!$L:$L,
Input!$K:$K,"1",
Input!$E:$E,'5.CC Physical risk'!$D$24,
Input!$H:$H,'5.CC Physical risk'!$A13&amp;"*",
Input!$D:$D,"outras empresas nao financeiras",
Input!$J:$J,'5.CC Physical risk'!$J$24,
Input!$I:$I,'5.CC Physical risk'!$K$24))/1000000</f>
        <v>0</v>
      </c>
      <c r="M13" s="77">
        <f>(SUMIFS(Input!$L:$L,
Input!$K:$K,"1",
Input!$E:$E,'5.CC Physical risk'!$D$24,
Input!$D:$D,"outras empresas nao financeiras",
Input!$H:$H,'5.CC Physical risk'!$A13&amp;"*",
Input!$C:$C,'5.CC Physical risk'!$M$24))/1000000</f>
        <v>0</v>
      </c>
      <c r="N13" s="77">
        <f>(SUMIFS(Input!$L:$L,
Input!$K:$K,"1",
Input!$E:$E,'5.CC Physical risk'!$D$24,
Input!$D:$D,"outras empresas nao financeiras",
Input!$H:$H,'5.CC Physical risk'!$A13&amp;"*",
Input!$C:$C,'5.CC Physical risk'!$N$24))/1000000</f>
        <v>0</v>
      </c>
      <c r="O13" s="77">
        <f>(SUMIFS(Input!$L:$L,
Input!$K:$K,"1",
Input!$E:$E,'5.CC Physical risk'!$O$24,
Input!$D:$D,"outras empresas nao financeiras",
Input!$H:$H,'5.CC Physical risk'!$A13&amp;"*"))/1000000</f>
        <v>0</v>
      </c>
      <c r="P13" s="77">
        <f>(SUMIFS(Input!$L:$L,
Input!$K:$K,"1",
Input!$E:$E,'5.CC Physical risk'!$O$24,
Input!$D:$D,"outras empresas nao financeiras",
Input!$H:$H,'5.CC Physical risk'!$A13&amp;"*",
Input!$C:$C,'5.CC Physical risk'!$M$24))/1000000</f>
        <v>0</v>
      </c>
      <c r="Q13" s="77">
        <f>(SUMIFS(Input!$L:$L,
Input!$K:$K,"1",
Input!$E:$E,'5.CC Physical risk'!$O$24,
Input!$D:$D,"outras empresas nao financeiras",
Input!$H:$H,'5.CC Physical risk'!$A13&amp;"*",
Input!$C:$C,'5.CC Physical risk'!$N$24))/1000000</f>
        <v>0</v>
      </c>
      <c r="S13" s="57"/>
    </row>
    <row r="14" spans="1:19" x14ac:dyDescent="0.2">
      <c r="A14" s="54" t="s">
        <v>17</v>
      </c>
      <c r="B14" s="55">
        <v>6</v>
      </c>
      <c r="C14" s="56" t="s">
        <v>103</v>
      </c>
      <c r="D14" s="77">
        <f>(SUMIFS(Input!$L:$L,Input!$E:$E,'5.CC Physical risk'!$D$24,Input!$H:$H,'5.CC Physical risk'!$A14&amp;"*",Input!$D:$D,"outras empresas nao financeiras"))/1000000</f>
        <v>1052.8690079999999</v>
      </c>
      <c r="E14" s="77">
        <f>(SUMIFS(Input!$L:$L,Input!$K:$K,"1",Input!$E:$E,'5.CC Physical risk'!$D$24,Input!$H:$H,'5.CC Physical risk'!$A14&amp;"*",Input!$D:$D,"outras empresas nao financeiras",Input!$G:$G,"&gt;=0",Input!$G:$G,"&lt;=5")
+ SUMIFS(Input!$L:$L,Input!$K:$K,"1",Input!$E:$E,'5.CC Physical risk'!$D$24,Input!$H:$H,'5.CC Physical risk'!$A14&amp;"*",Input!$D:$D,"outras empresas nao financeiras",Input!$G:$G,"-4")
+ SUMIFS(Input!$L:$L,Input!$K:$K,"1",Input!$E:$E,'5.CC Physical risk'!$D$24,Input!$H:$H,'5.CC Physical risk'!$A14&amp;"*",Input!$D:$D,"outras empresas nao financeiras",Input!$G:$G,"-1"))/1000000</f>
        <v>93.844066999999995</v>
      </c>
      <c r="F14" s="77">
        <f>(SUMIFS(Input!$L:$L,Input!$K:$K,"1",Input!$E:$E,'5.CC Physical risk'!$D$24,Input!$H:$H,'5.CC Physical risk'!$A14&amp;"*",Input!$D:$D,"outras empresas nao financeiras",Input!$G:$G,"&gt;5",Input!$G:$G,"&lt;=10"))/1000000</f>
        <v>4.6544910000000002</v>
      </c>
      <c r="G14" s="77">
        <f>(SUMIFS(Input!$L:$L,Input!$K:$K,"1",Input!$E:$E,'5.CC Physical risk'!$D$24,Input!$H:$H,'5.CC Physical risk'!$A14&amp;"*",Input!$D:$D,"outras empresas nao financeiras",Input!$G:$G,"&gt;10",Input!$G:$G,"&lt;=20"))/1000000</f>
        <v>0.89126399999999995</v>
      </c>
      <c r="H14" s="77">
        <f>(SUMIFS(Input!$L:$L,Input!$K:$K,"1",Input!$E:$E,'5.CC Physical risk'!$D$24,Input!$H:$H,'5.CC Physical risk'!$A14&amp;"*",Input!$D:$D,"outras empresas nao financeiras",Input!$G:$G,"&gt;20")
+ SUMIFS(Input!$L:$L,Input!$K:$K,"1",Input!$E:$E,'5.CC Physical risk'!$D$24,Input!$H:$H,'5.CC Physical risk'!$A14&amp;"*",Input!$D:$D,"outras empresas nao financeiras",Input!$G:$G,"-2")
+ SUMIFS(Input!$L:$L,Input!$K:$K,"1",Input!$E:$E,'5.CC Physical risk'!$D$24,Input!$H:$H,'5.CC Physical risk'!$A14&amp;"*",Input!$D:$D,"outras empresas nao financeiras",Input!$G:$G,"-3")
+ SUMIFS(Input!$L:$L,Input!$K:$K,"1",Input!$E:$E,'5.CC Physical risk'!$D$24,Input!$H:$H,'5.CC Physical risk'!$A14&amp;"*",Input!$D:$D,"outras empresas nao financeiras",Input!$G:$G,"-5"))/1000000</f>
        <v>0</v>
      </c>
      <c r="I14" s="77">
        <f>IFERROR(ROUND(SUMIFS(Input!$M:$M,Input!$K:$K,"1",Input!$E:$E,'5.CC Physical risk'!$D$24,Input!$H:$H,'5.CC Physical risk'!$A14&amp;"*",Input!$D:$D,"outras empresas nao financeiras",Input!$G:$G,"&gt;0")
/
SUMIFS(Input!$L:$L,Input!$K:$K,"1",Input!$E:$E,'5.CC Physical risk'!$D$24,Input!$H:$H,'5.CC Physical risk'!$A14&amp;"*",Input!$D:$D,"outras empresas nao financeiras",Input!$G:$G,"&gt;0"),0),0)</f>
        <v>3</v>
      </c>
      <c r="J14" s="77">
        <f>(SUMIFS(Input!$L:$L,Input!$K:$K,"1",Input!$E:$E,'5.CC Physical risk'!$D$24,Input!$H:$H,'5.CC Physical risk'!$A14&amp;"*",Input!$D:$D,"outras empresas nao financeiras",Input!$I:$I,"&lt;&gt;"&amp;$K$24,Input!$J:$J,'5.CC Physical risk'!$J$24))/1000000</f>
        <v>79.540998000000002</v>
      </c>
      <c r="K14" s="77">
        <f>(SUMIFS(Input!$L:$L,Input!$K:$K,"1",Input!$E:$E,'5.CC Physical risk'!$D$24,Input!$H:$H,'5.CC Physical risk'!$A14&amp;"*",Input!$D:$D,"outras empresas nao financeiras",Input!$J:$J,"&lt;&gt;"&amp;$J$24,Input!$I:$I,'5.CC Physical risk'!$K$24))/1000000</f>
        <v>2.272932</v>
      </c>
      <c r="L14" s="77">
        <f>(SUMIFS(Input!$L:$L,
Input!$K:$K,"1",
Input!$E:$E,'5.CC Physical risk'!$D$24,
Input!$H:$H,'5.CC Physical risk'!$A14&amp;"*",
Input!$D:$D,"outras empresas nao financeiras",
Input!$J:$J,'5.CC Physical risk'!$J$24,
Input!$I:$I,'5.CC Physical risk'!$K$24))/1000000</f>
        <v>17.575892</v>
      </c>
      <c r="M14" s="77">
        <f>(SUMIFS(Input!$L:$L,
Input!$K:$K,"1",
Input!$E:$E,'5.CC Physical risk'!$D$24,
Input!$D:$D,"outras empresas nao financeiras",
Input!$H:$H,'5.CC Physical risk'!$A14&amp;"*",
Input!$C:$C,'5.CC Physical risk'!$M$24))/1000000</f>
        <v>8.2218389999999992</v>
      </c>
      <c r="N14" s="77">
        <f>(SUMIFS(Input!$L:$L,
Input!$K:$K,"1",
Input!$E:$E,'5.CC Physical risk'!$D$24,
Input!$D:$D,"outras empresas nao financeiras",
Input!$H:$H,'5.CC Physical risk'!$A14&amp;"*",
Input!$C:$C,'5.CC Physical risk'!$N$24))/1000000</f>
        <v>3.2904719999999998</v>
      </c>
      <c r="O14" s="77">
        <f>(SUMIFS(Input!$L:$L,
Input!$K:$K,"1",
Input!$E:$E,'5.CC Physical risk'!$O$24,
Input!$D:$D,"outras empresas nao financeiras",
Input!$H:$H,'5.CC Physical risk'!$A14&amp;"*"))/1000000</f>
        <v>-2.9700280000000001</v>
      </c>
      <c r="P14" s="77">
        <f>(SUMIFS(Input!$L:$L,
Input!$K:$K,"1",
Input!$E:$E,'5.CC Physical risk'!$O$24,
Input!$D:$D,"outras empresas nao financeiras",
Input!$H:$H,'5.CC Physical risk'!$A14&amp;"*",
Input!$C:$C,'5.CC Physical risk'!$M$24))/1000000</f>
        <v>-0.56925400000000004</v>
      </c>
      <c r="Q14" s="77">
        <f>(SUMIFS(Input!$L:$L,
Input!$K:$K,"1",
Input!$E:$E,'5.CC Physical risk'!$O$24,
Input!$D:$D,"outras empresas nao financeiras",
Input!$H:$H,'5.CC Physical risk'!$A14&amp;"*",
Input!$C:$C,'5.CC Physical risk'!$N$24))/1000000</f>
        <v>-2.1238350000000001</v>
      </c>
      <c r="S14" s="57"/>
    </row>
    <row r="15" spans="1:19" x14ac:dyDescent="0.2">
      <c r="A15" s="54" t="s">
        <v>18</v>
      </c>
      <c r="B15" s="55">
        <v>7</v>
      </c>
      <c r="C15" s="56" t="s">
        <v>104</v>
      </c>
      <c r="D15" s="77">
        <f>(SUMIFS(Input!$L:$L,Input!$E:$E,'5.CC Physical risk'!$D$24,Input!$H:$H,'5.CC Physical risk'!$A15&amp;"*",Input!$D:$D,"outras empresas nao financeiras"))/1000000</f>
        <v>1979.4220769999999</v>
      </c>
      <c r="E15" s="77">
        <f>(SUMIFS(Input!$L:$L,Input!$K:$K,"1",Input!$E:$E,'5.CC Physical risk'!$D$24,Input!$H:$H,'5.CC Physical risk'!$A15&amp;"*",Input!$D:$D,"outras empresas nao financeiras",Input!$G:$G,"&gt;=0",Input!$G:$G,"&lt;=5")
+ SUMIFS(Input!$L:$L,Input!$K:$K,"1",Input!$E:$E,'5.CC Physical risk'!$D$24,Input!$H:$H,'5.CC Physical risk'!$A15&amp;"*",Input!$D:$D,"outras empresas nao financeiras",Input!$G:$G,"-4")
+ SUMIFS(Input!$L:$L,Input!$K:$K,"1",Input!$E:$E,'5.CC Physical risk'!$D$24,Input!$H:$H,'5.CC Physical risk'!$A15&amp;"*",Input!$D:$D,"outras empresas nao financeiras",Input!$G:$G,"-1"))/1000000</f>
        <v>62.241401000000003</v>
      </c>
      <c r="F15" s="77">
        <f>(SUMIFS(Input!$L:$L,Input!$K:$K,"1",Input!$E:$E,'5.CC Physical risk'!$D$24,Input!$H:$H,'5.CC Physical risk'!$A15&amp;"*",Input!$D:$D,"outras empresas nao financeiras",Input!$G:$G,"&gt;5",Input!$G:$G,"&lt;=10"))/1000000</f>
        <v>10.681082999999999</v>
      </c>
      <c r="G15" s="77">
        <f>(SUMIFS(Input!$L:$L,Input!$K:$K,"1",Input!$E:$E,'5.CC Physical risk'!$D$24,Input!$H:$H,'5.CC Physical risk'!$A15&amp;"*",Input!$D:$D,"outras empresas nao financeiras",Input!$G:$G,"&gt;10",Input!$G:$G,"&lt;=20"))/1000000</f>
        <v>2.8326340000000001</v>
      </c>
      <c r="H15" s="77">
        <f>(SUMIFS(Input!$L:$L,Input!$K:$K,"1",Input!$E:$E,'5.CC Physical risk'!$D$24,Input!$H:$H,'5.CC Physical risk'!$A15&amp;"*",Input!$D:$D,"outras empresas nao financeiras",Input!$G:$G,"&gt;20")
+ SUMIFS(Input!$L:$L,Input!$K:$K,"1",Input!$E:$E,'5.CC Physical risk'!$D$24,Input!$H:$H,'5.CC Physical risk'!$A15&amp;"*",Input!$D:$D,"outras empresas nao financeiras",Input!$G:$G,"-2")
+ SUMIFS(Input!$L:$L,Input!$K:$K,"1",Input!$E:$E,'5.CC Physical risk'!$D$24,Input!$H:$H,'5.CC Physical risk'!$A15&amp;"*",Input!$D:$D,"outras empresas nao financeiras",Input!$G:$G,"-3")
+ SUMIFS(Input!$L:$L,Input!$K:$K,"1",Input!$E:$E,'5.CC Physical risk'!$D$24,Input!$H:$H,'5.CC Physical risk'!$A15&amp;"*",Input!$D:$D,"outras empresas nao financeiras",Input!$G:$G,"-5"))/1000000</f>
        <v>0</v>
      </c>
      <c r="I15" s="77">
        <f>IFERROR(ROUND(SUMIFS(Input!$M:$M,Input!$K:$K,"1",Input!$E:$E,'5.CC Physical risk'!$D$24,Input!$H:$H,'5.CC Physical risk'!$A15&amp;"*",Input!$D:$D,"outras empresas nao financeiras",Input!$G:$G,"&gt;0")
/
SUMIFS(Input!$L:$L,Input!$K:$K,"1",Input!$E:$E,'5.CC Physical risk'!$D$24,Input!$H:$H,'5.CC Physical risk'!$A15&amp;"*",Input!$D:$D,"outras empresas nao financeiras",Input!$G:$G,"&gt;0"),0),0)</f>
        <v>5</v>
      </c>
      <c r="J15" s="77">
        <f>(SUMIFS(Input!$L:$L,Input!$K:$K,"1",Input!$E:$E,'5.CC Physical risk'!$D$24,Input!$H:$H,'5.CC Physical risk'!$A15&amp;"*",Input!$D:$D,"outras empresas nao financeiras",Input!$I:$I,"&lt;&gt;"&amp;$K$24,Input!$J:$J,'5.CC Physical risk'!$J$24))/1000000</f>
        <v>75.755117999999996</v>
      </c>
      <c r="K15" s="77">
        <f>(SUMIFS(Input!$L:$L,Input!$K:$K,"1",Input!$E:$E,'5.CC Physical risk'!$D$24,Input!$H:$H,'5.CC Physical risk'!$A15&amp;"*",Input!$D:$D,"outras empresas nao financeiras",Input!$J:$J,"&lt;&gt;"&amp;$J$24,Input!$I:$I,'5.CC Physical risk'!$K$24))/1000000</f>
        <v>0</v>
      </c>
      <c r="L15" s="77">
        <f>(SUMIFS(Input!$L:$L,
Input!$K:$K,"1",
Input!$E:$E,'5.CC Physical risk'!$D$24,
Input!$H:$H,'5.CC Physical risk'!$A15&amp;"*",
Input!$D:$D,"outras empresas nao financeiras",
Input!$J:$J,'5.CC Physical risk'!$J$24,
Input!$I:$I,'5.CC Physical risk'!$K$24))/1000000</f>
        <v>0</v>
      </c>
      <c r="M15" s="77">
        <f>(SUMIFS(Input!$L:$L,
Input!$K:$K,"1",
Input!$E:$E,'5.CC Physical risk'!$D$24,
Input!$D:$D,"outras empresas nao financeiras",
Input!$H:$H,'5.CC Physical risk'!$A15&amp;"*",
Input!$C:$C,'5.CC Physical risk'!$M$24))/1000000</f>
        <v>14.954793</v>
      </c>
      <c r="N15" s="77">
        <f>(SUMIFS(Input!$L:$L,
Input!$K:$K,"1",
Input!$E:$E,'5.CC Physical risk'!$D$24,
Input!$D:$D,"outras empresas nao financeiras",
Input!$H:$H,'5.CC Physical risk'!$A15&amp;"*",
Input!$C:$C,'5.CC Physical risk'!$N$24))/1000000</f>
        <v>2.3284980000000002</v>
      </c>
      <c r="O15" s="77">
        <f>(SUMIFS(Input!$L:$L,
Input!$K:$K,"1",
Input!$E:$E,'5.CC Physical risk'!$O$24,
Input!$D:$D,"outras empresas nao financeiras",
Input!$H:$H,'5.CC Physical risk'!$A15&amp;"*"))/1000000</f>
        <v>-2.7044290000000002</v>
      </c>
      <c r="P15" s="77">
        <f>(SUMIFS(Input!$L:$L,
Input!$K:$K,"1",
Input!$E:$E,'5.CC Physical risk'!$O$24,
Input!$D:$D,"outras empresas nao financeiras",
Input!$H:$H,'5.CC Physical risk'!$A15&amp;"*",
Input!$C:$C,'5.CC Physical risk'!$M$24))/1000000</f>
        <v>-0.68344300000000002</v>
      </c>
      <c r="Q15" s="77">
        <f>(SUMIFS(Input!$L:$L,
Input!$K:$K,"1",
Input!$E:$E,'5.CC Physical risk'!$O$24,
Input!$D:$D,"outras empresas nao financeiras",
Input!$H:$H,'5.CC Physical risk'!$A15&amp;"*",
Input!$C:$C,'5.CC Physical risk'!$N$24))/1000000</f>
        <v>-1.768777</v>
      </c>
      <c r="S15" s="57"/>
    </row>
    <row r="16" spans="1:19" x14ac:dyDescent="0.2">
      <c r="A16" s="54" t="s">
        <v>75</v>
      </c>
      <c r="B16" s="55">
        <v>8</v>
      </c>
      <c r="C16" s="56" t="s">
        <v>105</v>
      </c>
      <c r="D16" s="77">
        <f>(SUMIFS(Input!$L:$L,Input!$E:$E,'5.CC Physical risk'!$D$24,Input!$H:$H,'5.CC Physical risk'!$A16&amp;"*",Input!$D:$D,"outras empresas nao financeiras"))/1000000</f>
        <v>781.08571700000005</v>
      </c>
      <c r="E16" s="77">
        <f>(SUMIFS(Input!$L:$L,Input!$K:$K,"1",Input!$E:$E,'5.CC Physical risk'!$D$24,Input!$H:$H,'5.CC Physical risk'!$A16&amp;"*",Input!$D:$D,"outras empresas nao financeiras",Input!$G:$G,"&gt;=0",Input!$G:$G,"&lt;=5")
+ SUMIFS(Input!$L:$L,Input!$K:$K,"1",Input!$E:$E,'5.CC Physical risk'!$D$24,Input!$H:$H,'5.CC Physical risk'!$A16&amp;"*",Input!$D:$D,"outras empresas nao financeiras",Input!$G:$G,"-4")
+ SUMIFS(Input!$L:$L,Input!$K:$K,"1",Input!$E:$E,'5.CC Physical risk'!$D$24,Input!$H:$H,'5.CC Physical risk'!$A16&amp;"*",Input!$D:$D,"outras empresas nao financeiras",Input!$G:$G,"-1"))/1000000</f>
        <v>0.220059</v>
      </c>
      <c r="F16" s="77">
        <f>(SUMIFS(Input!$L:$L,Input!$K:$K,"1",Input!$E:$E,'5.CC Physical risk'!$D$24,Input!$H:$H,'5.CC Physical risk'!$A16&amp;"*",Input!$D:$D,"outras empresas nao financeiras",Input!$G:$G,"&gt;5",Input!$G:$G,"&lt;=10"))/1000000</f>
        <v>1.0444999999999999E-2</v>
      </c>
      <c r="G16" s="77">
        <f>(SUMIFS(Input!$L:$L,Input!$K:$K,"1",Input!$E:$E,'5.CC Physical risk'!$D$24,Input!$H:$H,'5.CC Physical risk'!$A16&amp;"*",Input!$D:$D,"outras empresas nao financeiras",Input!$G:$G,"&gt;10",Input!$G:$G,"&lt;=20"))/1000000</f>
        <v>0</v>
      </c>
      <c r="H16" s="77">
        <f>(SUMIFS(Input!$L:$L,Input!$K:$K,"1",Input!$E:$E,'5.CC Physical risk'!$D$24,Input!$H:$H,'5.CC Physical risk'!$A16&amp;"*",Input!$D:$D,"outras empresas nao financeiras",Input!$G:$G,"&gt;20")
+ SUMIFS(Input!$L:$L,Input!$K:$K,"1",Input!$E:$E,'5.CC Physical risk'!$D$24,Input!$H:$H,'5.CC Physical risk'!$A16&amp;"*",Input!$D:$D,"outras empresas nao financeiras",Input!$G:$G,"-2")
+ SUMIFS(Input!$L:$L,Input!$K:$K,"1",Input!$E:$E,'5.CC Physical risk'!$D$24,Input!$H:$H,'5.CC Physical risk'!$A16&amp;"*",Input!$D:$D,"outras empresas nao financeiras",Input!$G:$G,"-3")
+ SUMIFS(Input!$L:$L,Input!$K:$K,"1",Input!$E:$E,'5.CC Physical risk'!$D$24,Input!$H:$H,'5.CC Physical risk'!$A16&amp;"*",Input!$D:$D,"outras empresas nao financeiras",Input!$G:$G,"-5"))/1000000</f>
        <v>0</v>
      </c>
      <c r="I16" s="77">
        <f>IFERROR(ROUND(SUMIFS(Input!$M:$M,Input!$K:$K,"1",Input!$E:$E,'5.CC Physical risk'!$D$24,Input!$H:$H,'5.CC Physical risk'!$A16&amp;"*",Input!$D:$D,"outras empresas nao financeiras",Input!$G:$G,"&gt;0")
/
SUMIFS(Input!$L:$L,Input!$K:$K,"1",Input!$E:$E,'5.CC Physical risk'!$D$24,Input!$H:$H,'5.CC Physical risk'!$A16&amp;"*",Input!$D:$D,"outras empresas nao financeiras",Input!$G:$G,"&gt;0"),0),0)</f>
        <v>3</v>
      </c>
      <c r="J16" s="77">
        <f>(SUMIFS(Input!$L:$L,Input!$K:$K,"1",Input!$E:$E,'5.CC Physical risk'!$D$24,Input!$H:$H,'5.CC Physical risk'!$A16&amp;"*",Input!$D:$D,"outras empresas nao financeiras",Input!$I:$I,"&lt;&gt;"&amp;$K$24,Input!$J:$J,'5.CC Physical risk'!$J$24))/1000000</f>
        <v>0</v>
      </c>
      <c r="K16" s="77">
        <f>(SUMIFS(Input!$L:$L,Input!$K:$K,"1",Input!$E:$E,'5.CC Physical risk'!$D$24,Input!$H:$H,'5.CC Physical risk'!$A16&amp;"*",Input!$D:$D,"outras empresas nao financeiras",Input!$J:$J,"&lt;&gt;"&amp;$J$24,Input!$I:$I,'5.CC Physical risk'!$K$24))/1000000</f>
        <v>0.23050399999999999</v>
      </c>
      <c r="L16" s="77">
        <f>(SUMIFS(Input!$L:$L,
Input!$K:$K,"1",
Input!$E:$E,'5.CC Physical risk'!$D$24,
Input!$H:$H,'5.CC Physical risk'!$A16&amp;"*",
Input!$D:$D,"outras empresas nao financeiras",
Input!$J:$J,'5.CC Physical risk'!$J$24,
Input!$I:$I,'5.CC Physical risk'!$K$24))/1000000</f>
        <v>0</v>
      </c>
      <c r="M16" s="77">
        <f>(SUMIFS(Input!$L:$L,
Input!$K:$K,"1",
Input!$E:$E,'5.CC Physical risk'!$D$24,
Input!$D:$D,"outras empresas nao financeiras",
Input!$H:$H,'5.CC Physical risk'!$A16&amp;"*",
Input!$C:$C,'5.CC Physical risk'!$M$24))/1000000</f>
        <v>2.1573999999999999E-2</v>
      </c>
      <c r="N16" s="77">
        <f>(SUMIFS(Input!$L:$L,
Input!$K:$K,"1",
Input!$E:$E,'5.CC Physical risk'!$D$24,
Input!$D:$D,"outras empresas nao financeiras",
Input!$H:$H,'5.CC Physical risk'!$A16&amp;"*",
Input!$C:$C,'5.CC Physical risk'!$N$24))/1000000</f>
        <v>0</v>
      </c>
      <c r="O16" s="77">
        <f>(SUMIFS(Input!$L:$L,
Input!$K:$K,"1",
Input!$E:$E,'5.CC Physical risk'!$O$24,
Input!$D:$D,"outras empresas nao financeiras",
Input!$H:$H,'5.CC Physical risk'!$A16&amp;"*"))/1000000</f>
        <v>-1.438E-3</v>
      </c>
      <c r="P16" s="77">
        <f>(SUMIFS(Input!$L:$L,
Input!$K:$K,"1",
Input!$E:$E,'5.CC Physical risk'!$O$24,
Input!$D:$D,"outras empresas nao financeiras",
Input!$H:$H,'5.CC Physical risk'!$A16&amp;"*",
Input!$C:$C,'5.CC Physical risk'!$M$24))/1000000</f>
        <v>-4.3000000000000002E-5</v>
      </c>
      <c r="Q16" s="77">
        <f>(SUMIFS(Input!$L:$L,
Input!$K:$K,"1",
Input!$E:$E,'5.CC Physical risk'!$O$24,
Input!$D:$D,"outras empresas nao financeiras",
Input!$H:$H,'5.CC Physical risk'!$A16&amp;"*",
Input!$C:$C,'5.CC Physical risk'!$N$24))/1000000</f>
        <v>0</v>
      </c>
      <c r="S16" s="57"/>
    </row>
    <row r="17" spans="1:19" x14ac:dyDescent="0.2">
      <c r="A17" s="54" t="s">
        <v>68</v>
      </c>
      <c r="B17" s="55">
        <v>9</v>
      </c>
      <c r="C17" s="56" t="s">
        <v>106</v>
      </c>
      <c r="D17" s="77">
        <f>(SUMIFS(Input!$L:$L,Input!$E:$E,'5.CC Physical risk'!$D$24,Input!$H:$H,'5.CC Physical risk'!$A17&amp;"*",Input!$D:$D,"outras empresas nao financeiras"))/1000000</f>
        <v>1171.2310930000001</v>
      </c>
      <c r="E17" s="77">
        <f>(SUMIFS(Input!$L:$L,Input!$K:$K,"1",Input!$E:$E,'5.CC Physical risk'!$D$24,Input!$H:$H,'5.CC Physical risk'!$A17&amp;"*",Input!$D:$D,"outras empresas nao financeiras",Input!$G:$G,"&gt;=0",Input!$G:$G,"&lt;=5")
+ SUMIFS(Input!$L:$L,Input!$K:$K,"1",Input!$E:$E,'5.CC Physical risk'!$D$24,Input!$H:$H,'5.CC Physical risk'!$A17&amp;"*",Input!$D:$D,"outras empresas nao financeiras",Input!$G:$G,"-4")
+ SUMIFS(Input!$L:$L,Input!$K:$K,"1",Input!$E:$E,'5.CC Physical risk'!$D$24,Input!$H:$H,'5.CC Physical risk'!$A17&amp;"*",Input!$D:$D,"outras empresas nao financeiras",Input!$G:$G,"-1"))/1000000</f>
        <v>0</v>
      </c>
      <c r="F17" s="77">
        <f>(SUMIFS(Input!$L:$L,Input!$K:$K,"1",Input!$E:$E,'5.CC Physical risk'!$D$24,Input!$H:$H,'5.CC Physical risk'!$A17&amp;"*",Input!$D:$D,"outras empresas nao financeiras",Input!$G:$G,"&gt;5",Input!$G:$G,"&lt;=10"))/1000000</f>
        <v>0</v>
      </c>
      <c r="G17" s="77">
        <f>(SUMIFS(Input!$L:$L,Input!$K:$K,"1",Input!$E:$E,'5.CC Physical risk'!$D$24,Input!$H:$H,'5.CC Physical risk'!$A17&amp;"*",Input!$D:$D,"outras empresas nao financeiras",Input!$G:$G,"&gt;10",Input!$G:$G,"&lt;=20"))/1000000</f>
        <v>0</v>
      </c>
      <c r="H17" s="77">
        <f>(SUMIFS(Input!$L:$L,Input!$K:$K,"1",Input!$E:$E,'5.CC Physical risk'!$D$24,Input!$H:$H,'5.CC Physical risk'!$A17&amp;"*",Input!$D:$D,"outras empresas nao financeiras",Input!$G:$G,"&gt;20")
+ SUMIFS(Input!$L:$L,Input!$K:$K,"1",Input!$E:$E,'5.CC Physical risk'!$D$24,Input!$H:$H,'5.CC Physical risk'!$A17&amp;"*",Input!$D:$D,"outras empresas nao financeiras",Input!$G:$G,"-2")
+ SUMIFS(Input!$L:$L,Input!$K:$K,"1",Input!$E:$E,'5.CC Physical risk'!$D$24,Input!$H:$H,'5.CC Physical risk'!$A17&amp;"*",Input!$D:$D,"outras empresas nao financeiras",Input!$G:$G,"-3")
+ SUMIFS(Input!$L:$L,Input!$K:$K,"1",Input!$E:$E,'5.CC Physical risk'!$D$24,Input!$H:$H,'5.CC Physical risk'!$A17&amp;"*",Input!$D:$D,"outras empresas nao financeiras",Input!$G:$G,"-5"))/1000000</f>
        <v>0</v>
      </c>
      <c r="I17" s="77">
        <f>IFERROR(ROUND(SUMIFS(Input!$M:$M,Input!$K:$K,"1",Input!$E:$E,'5.CC Physical risk'!$D$24,Input!$H:$H,'5.CC Physical risk'!$A17&amp;"*",Input!$D:$D,"outras empresas nao financeiras",Input!$G:$G,"&gt;0")
/
SUMIFS(Input!$L:$L,Input!$K:$K,"1",Input!$E:$E,'5.CC Physical risk'!$D$24,Input!$H:$H,'5.CC Physical risk'!$A17&amp;"*",Input!$D:$D,"outras empresas nao financeiras",Input!$G:$G,"&gt;0"),0),0)</f>
        <v>0</v>
      </c>
      <c r="J17" s="77">
        <f>(SUMIFS(Input!$L:$L,Input!$K:$K,"1",Input!$E:$E,'5.CC Physical risk'!$D$24,Input!$H:$H,'5.CC Physical risk'!$A17&amp;"*",Input!$D:$D,"outras empresas nao financeiras",Input!$I:$I,"&lt;&gt;"&amp;$K$24,Input!$J:$J,'5.CC Physical risk'!$J$24))/1000000</f>
        <v>0</v>
      </c>
      <c r="K17" s="77">
        <f>(SUMIFS(Input!$L:$L,Input!$K:$K,"1",Input!$E:$E,'5.CC Physical risk'!$D$24,Input!$H:$H,'5.CC Physical risk'!$A17&amp;"*",Input!$D:$D,"outras empresas nao financeiras",Input!$J:$J,"&lt;&gt;"&amp;$J$24,Input!$I:$I,'5.CC Physical risk'!$K$24))/1000000</f>
        <v>0</v>
      </c>
      <c r="L17" s="77">
        <f>(SUMIFS(Input!$L:$L,
Input!$K:$K,"1",
Input!$E:$E,'5.CC Physical risk'!$D$24,
Input!$H:$H,'5.CC Physical risk'!$A17&amp;"*",
Input!$D:$D,"outras empresas nao financeiras",
Input!$J:$J,'5.CC Physical risk'!$J$24,
Input!$I:$I,'5.CC Physical risk'!$K$24))/1000000</f>
        <v>0</v>
      </c>
      <c r="M17" s="77">
        <f>(SUMIFS(Input!$L:$L,
Input!$K:$K,"1",
Input!$E:$E,'5.CC Physical risk'!$D$24,
Input!$D:$D,"outras empresas nao financeiras",
Input!$H:$H,'5.CC Physical risk'!$A17&amp;"*",
Input!$C:$C,'5.CC Physical risk'!$M$24))/1000000</f>
        <v>0</v>
      </c>
      <c r="N17" s="77">
        <f>(SUMIFS(Input!$L:$L,
Input!$K:$K,"1",
Input!$E:$E,'5.CC Physical risk'!$D$24,
Input!$D:$D,"outras empresas nao financeiras",
Input!$H:$H,'5.CC Physical risk'!$A17&amp;"*",
Input!$C:$C,'5.CC Physical risk'!$N$24))/1000000</f>
        <v>0</v>
      </c>
      <c r="O17" s="77">
        <f>(SUMIFS(Input!$L:$L,
Input!$K:$K,"1",
Input!$E:$E,'5.CC Physical risk'!$O$24,
Input!$D:$D,"outras empresas nao financeiras",
Input!$H:$H,'5.CC Physical risk'!$A17&amp;"*"))/1000000</f>
        <v>0</v>
      </c>
      <c r="P17" s="77">
        <f>(SUMIFS(Input!$L:$L,
Input!$K:$K,"1",
Input!$E:$E,'5.CC Physical risk'!$O$24,
Input!$D:$D,"outras empresas nao financeiras",
Input!$H:$H,'5.CC Physical risk'!$A17&amp;"*",
Input!$C:$C,'5.CC Physical risk'!$M$24))/1000000</f>
        <v>0</v>
      </c>
      <c r="Q17" s="77">
        <f>(SUMIFS(Input!$L:$L,
Input!$K:$K,"1",
Input!$E:$E,'5.CC Physical risk'!$O$24,
Input!$D:$D,"outras empresas nao financeiras",
Input!$H:$H,'5.CC Physical risk'!$A17&amp;"*",
Input!$C:$C,'5.CC Physical risk'!$N$24))/1000000</f>
        <v>0</v>
      </c>
      <c r="S17" s="57"/>
    </row>
    <row r="18" spans="1:19" x14ac:dyDescent="0.2">
      <c r="A18" s="54" t="s">
        <v>24</v>
      </c>
      <c r="B18" s="55">
        <v>10</v>
      </c>
      <c r="C18" s="56" t="s">
        <v>107</v>
      </c>
      <c r="D18" s="80">
        <f>(SUMIFS(Input!$L:$L,
Input!$E:$E,'5.CC Physical risk'!$D$24,
Input!$F:$F,'5.CC Physical risk'!$A18&amp;"*"))/1000000</f>
        <v>25122.572410000001</v>
      </c>
      <c r="E18" s="82">
        <f>(SUMIFS(Input!$L:$L,Input!$K:$K,"1",Input!$E:$E,'5.CC Physical risk'!$D$24,Input!$F:$F,'5.CC Physical risk'!$A18,Input!$G:$G,"&gt;=0",Input!$G:$G,"&lt;=5")
+ SUMIFS(Input!$L:$L,Input!$K:$K,"1",Input!$E:$E,'5.CC Physical risk'!$D$24,Input!$F:$F,'5.CC Physical risk'!$A18,Input!$G:$G,"-4")
+ SUMIFS(Input!$L:$L,Input!$K:$K,"1",Input!$E:$E,'5.CC Physical risk'!$D$24,Input!$F:$F,'5.CC Physical risk'!$A18,Input!$G:$G,"-1"))/1000000</f>
        <v>6.8828170000000002</v>
      </c>
      <c r="F18" s="82">
        <f>(SUMIFS(Input!$L:$L,Input!$K:$K,"1",Input!$E:$E,'5.CC Physical risk'!$D$24,Input!$F:$F,'5.CC Physical risk'!$A18,Input!$G:$G,"&gt;5",Input!$G:$G,"&lt;=10"))/1000000</f>
        <v>3.943254</v>
      </c>
      <c r="G18" s="82">
        <f>(SUMIFS(Input!$L:$L,Input!$K:$K,"1",Input!$E:$E,'5.CC Physical risk'!$D$24,Input!$F:$F,'5.CC Physical risk'!$A18,Input!$G:$G,"&gt;10",Input!$G:$G,"&lt;=20"))/1000000</f>
        <v>0.610653</v>
      </c>
      <c r="H18" s="82">
        <f>(SUMIFS(Input!$L:$L,Input!$K:$K,"1",Input!$E:$E,'5.CC Physical risk'!$D$24,Input!$F:$F,'5.CC Physical risk'!$A18,Input!$G:$G,"&gt;20")
+ SUMIFS(Input!$L:$L,Input!$K:$K,"1",Input!$E:$E,'5.CC Physical risk'!$D$24,Input!$F:$F,'5.CC Physical risk'!$A18,Input!$G:$G,"-2")
+ SUMIFS(Input!$L:$L,Input!$K:$K,"1",Input!$E:$E,'5.CC Physical risk'!$D$24,Input!$F:$F,'5.CC Physical risk'!$A18,Input!$G:$G,"-3")
+ SUMIFS(Input!$L:$L,Input!$K:$K,"1",Input!$E:$E,'5.CC Physical risk'!$D$24,Input!$F:$F,'5.CC Physical risk'!$A18,Input!$G:$G,"-5"))/1000000</f>
        <v>0</v>
      </c>
      <c r="I18" s="77">
        <f>IFERROR(ROUND(SUMIFS(Input!$M:$M,Input!$K:$K,"1",Input!$E:$E,'5.CC Physical risk'!$D$24,Input!$F:$F,'5.CC Physical risk'!$A18,Input!$G:$G,"&gt;0")
/
SUMIFS(Input!$L:$L,Input!$K:$K,"1",Input!$E:$E,'5.CC Physical risk'!$D$24,Input!$F:$F,'5.CC Physical risk'!$A18,Input!$G:$G,"&gt;0"),0),0)</f>
        <v>5</v>
      </c>
      <c r="J18" s="77">
        <f>(SUMIFS(Input!$L:$L,Input!$K:$K,"1",Input!$E:$E,'5.CC Physical risk'!$D$24,Input!$F:$F,'5.CC Physical risk'!$A18&amp;"*",Input!$J:$J,"CHRO1",Input!$I:$I,"ACUT2"))/1000000</f>
        <v>9.6743299999999994</v>
      </c>
      <c r="K18" s="77">
        <f>(SUMIFS(Input!$L:$L,Input!$K:$K,"1",Input!$E:$E,'5.CC Physical risk'!$D$24,Input!$F:$F,'5.CC Physical risk'!$A18&amp;"*",Input!$J:$J,"CHRO2",Input!$I:$I,"ACUT1"))/1000000</f>
        <v>1.057528</v>
      </c>
      <c r="L18" s="77">
        <f>(SUMIFS(Input!$L:$L,Input!$K:$K,"1",Input!$E:$E,'5.CC Physical risk'!$D$24,Input!$F:$F,'5.CC Physical risk'!$A18&amp;"*",Input!$J:$J,"CHRO1",Input!$I:$I,"ACUT1"))/1000000</f>
        <v>0.70486599999999999</v>
      </c>
      <c r="M18" s="77">
        <f>SUM(SUMIFS(Input!$L:$L,
Input!$K:$K,"1",
Input!$E:$E,'5.CC Physical risk'!$D$24,
Input!$F:$F,'5.CC Physical risk'!$A18&amp;"*",
Input!$C:$C,'5.CC Physical risk'!$M$24))/1000000</f>
        <v>2.1955900000000002</v>
      </c>
      <c r="N18" s="77">
        <f>SUM(SUMIFS(Input!$L:$L,
Input!$K:$K,"1",
Input!$E:$E,'5.CC Physical risk'!$D$24,
Input!$F:$F,'5.CC Physical risk'!$A18&amp;"*",
Input!$C:$C,'5.CC Physical risk'!$N$24))/1000000</f>
        <v>1.036483</v>
      </c>
      <c r="O18" s="77">
        <f>SUM(SUMIFS(Input!$L:$L,
Input!$K:$K,"1",
Input!$E:$E,'5.CC Physical risk'!$O$24,
Input!$F:$F,'5.CC Physical risk'!$A18))/1000000</f>
        <v>-0.71815099999999998</v>
      </c>
      <c r="P18" s="77">
        <f>SUM(SUMIFS(Input!$L:$L,
Input!$K:$K,"1",
Input!$E:$E,'5.CC Physical risk'!$O$24,
Input!$F:$F,'5.CC Physical risk'!$A18&amp;"*",
Input!$C:$C,'5.CC Physical risk'!$M$24))/1000000</f>
        <v>-0.10735500000000001</v>
      </c>
      <c r="Q18" s="77">
        <f>SUM(SUMIFS(Input!$L:$L,
Input!$K:$K,"1",
Input!$E:$E,'5.CC Physical risk'!$O$24,
Input!$F:$F,'5.CC Physical risk'!$A18&amp;"*",
Input!$C:$C,'5.CC Physical risk'!$N$24))/1000000</f>
        <v>-0.59214299999999997</v>
      </c>
      <c r="S18" s="57"/>
    </row>
    <row r="19" spans="1:19" x14ac:dyDescent="0.2">
      <c r="A19" s="54" t="s">
        <v>25</v>
      </c>
      <c r="B19" s="55">
        <v>11</v>
      </c>
      <c r="C19" s="56" t="s">
        <v>108</v>
      </c>
      <c r="D19" s="77">
        <f>(SUMIFS(Input!$L:$L,Input!$E:$E,'5.CC Physical risk'!$D$24,Input!$F:$F,'5.CC Physical risk'!$A19&amp;"*"))/1000000</f>
        <v>2590.5608160000002</v>
      </c>
      <c r="E19" s="77">
        <f>(SUMIFS(Input!$L:$L,Input!$K:$K,"1",Input!$E:$E,'5.CC Physical risk'!$D$24,Input!$F:$F,'5.CC Physical risk'!$A19,Input!$G:$G,"&gt;=0",Input!$G:$G,"&lt;=5")
+ SUMIFS(Input!$L:$L,Input!$K:$K,"1",Input!$E:$E,'5.CC Physical risk'!$D$24,Input!$F:$F,'5.CC Physical risk'!$A19,Input!$G:$G,"-4")
+ SUMIFS(Input!$L:$L,Input!$K:$K,"1",Input!$E:$E,'5.CC Physical risk'!$D$24,Input!$F:$F,'5.CC Physical risk'!$A19,Input!$G:$G,"-1"))/1000000</f>
        <v>58.640861000000001</v>
      </c>
      <c r="F19" s="77">
        <f>(SUMIFS(Input!$L:$L,Input!$K:$K,"1",Input!$E:$E,'5.CC Physical risk'!$D$24,Input!$F:$F,'5.CC Physical risk'!$A19,Input!$G:$G,"&gt;5",Input!$G:$G,"&lt;=10"))/1000000</f>
        <v>57.274287000000001</v>
      </c>
      <c r="G19" s="77">
        <f>(SUMIFS(Input!$L:$L,Input!$K:$K,"1",Input!$E:$E,'5.CC Physical risk'!$D$24,Input!$F:$F,'5.CC Physical risk'!$A19,Input!$G:$G,"&gt;10",Input!$G:$G,"&lt;=20"))/1000000</f>
        <v>61.176572999999998</v>
      </c>
      <c r="H19" s="77">
        <f>(SUMIFS(Input!$L:$L,Input!$K:$K,"1",Input!$E:$E,'5.CC Physical risk'!$D$24,Input!$F:$F,'5.CC Physical risk'!$A19,Input!$G:$G,"&gt;20")
+SUMIFS(Input!$L:$L,Input!$K:$K,"1",Input!$E:$E,'5.CC Physical risk'!$D$24,Input!$F:$F,'5.CC Physical risk'!$A19,Input!$G:$G,"-2")
+SUMIFS(Input!$L:$L,Input!$K:$K,"1",Input!$E:$E,'5.CC Physical risk'!$D$24,Input!$F:$F,'5.CC Physical risk'!$A19,Input!$G:$G,"-3")
+SUMIFS(Input!$L:$L,Input!$K:$K,"1",Input!$E:$E,'5.CC Physical risk'!$D$24,Input!$F:$F,'5.CC Physical risk'!$A19,Input!$G:$G,"-5"))/1000000</f>
        <v>0</v>
      </c>
      <c r="I19" s="77">
        <f>IFERROR(ROUND(SUMIFS(Input!$M:$M,Input!$K:$K,"1",Input!$E:$E,'5.CC Physical risk'!$D$24,Input!$F:$F,'5.CC Physical risk'!$A19,Input!$G:$G,"&gt;0")
/
SUMIFS(Input!$L:$L,Input!$K:$K,"1",Input!$E:$E,'5.CC Physical risk'!$D$24,Input!$F:$F,'5.CC Physical risk'!$A19,Input!$G:$G,"&gt;0"),0),0)</f>
        <v>9</v>
      </c>
      <c r="J19" s="77">
        <f>(SUMIFS(Input!$L:$L,Input!$K:$K,"1",Input!$E:$E,'5.CC Physical risk'!$D$24,Input!$F:$F,'5.CC Physical risk'!$A19&amp;"*",Input!$J:$J,"CHRO1",Input!$I:$I,"ACUT2"))/1000000</f>
        <v>173.11117300000001</v>
      </c>
      <c r="K19" s="77">
        <f>(SUMIFS(Input!$L:$L,Input!$K:$K,"1",Input!$E:$E,'5.CC Physical risk'!$D$24,Input!$F:$F,'5.CC Physical risk'!$A19&amp;"*",Input!$J:$J,"CHRO2",Input!$I:$I,"ACUT1"))/1000000</f>
        <v>2.8324880000000001</v>
      </c>
      <c r="L19" s="77">
        <f>(SUMIFS(Input!$L:$L,Input!$K:$K,"1",Input!$E:$E,'5.CC Physical risk'!$D$24,Input!$F:$F,'5.CC Physical risk'!$A19&amp;"*",Input!$J:$J,"CHRO1",Input!$I:$I,"ACUT1"))/1000000</f>
        <v>1.1480600000000001</v>
      </c>
      <c r="M19" s="77">
        <f>(SUMIFS(Input!$L:$L,Input!$K:$K,"1",Input!$E:$E,'5.CC Physical risk'!$D$24,Input!$F:$F,'5.CC Physical risk'!$A19&amp;"*",Input!$C:$C,'5.CC Physical risk'!$M$24))/1000000</f>
        <v>22.56223</v>
      </c>
      <c r="N19" s="77">
        <f>(SUMIFS(Input!$L:$L,Input!$K:$K,"1",Input!$E:$E,'5.CC Physical risk'!$D$24,Input!$F:$F,'5.CC Physical risk'!$A19&amp;"*",Input!$C:$C,'5.CC Physical risk'!$N$24))/1000000</f>
        <v>21.680564</v>
      </c>
      <c r="O19" s="77">
        <f>(SUMIFS(Input!$L:$L,Input!$K:$K,"1",Input!$E:$E,'5.CC Physical risk'!$O$24,Input!$F:$F,'5.CC Physical risk'!$A19))/1000000</f>
        <v>-3.9250850000000002</v>
      </c>
      <c r="P19" s="77">
        <f>(SUMIFS(Input!$L:$L,Input!$K:$K,"1",Input!$E:$E,'5.CC Physical risk'!$O$24,Input!$F:$F,'5.CC Physical risk'!$A19&amp;"*",Input!$C:$C,'5.CC Physical risk'!$M$24))/1000000</f>
        <v>-1.315623</v>
      </c>
      <c r="Q19" s="77">
        <f>(SUMIFS(Input!$L:$L,Input!$K:$K,"1",Input!$E:$E,'5.CC Physical risk'!$O$24,Input!$F:$F,'5.CC Physical risk'!$A19&amp;"*",Input!$C:$C,'5.CC Physical risk'!$N$24))/1000000</f>
        <v>-2.4436149999999999</v>
      </c>
      <c r="S19" s="57"/>
    </row>
    <row r="20" spans="1:19" x14ac:dyDescent="0.2">
      <c r="A20" s="54" t="s">
        <v>23</v>
      </c>
      <c r="B20" s="55">
        <v>12</v>
      </c>
      <c r="C20" s="56" t="s">
        <v>109</v>
      </c>
      <c r="D20" s="77">
        <f>(SUMIFS(Input!$L:$L,Input!$E:$E,'5.CC Physical risk'!$D$24,Input!$F:$F,'5.CC Physical risk'!$A20&amp;"*"))/1000000</f>
        <v>43.742145000000001</v>
      </c>
      <c r="E20" s="77">
        <f>(SUMIFS(Input!$L:$L,Input!$K:$K,"1",Input!$E:$E,'5.CC Physical risk'!$D$24,Input!$F:$F,'5.CC Physical risk'!$A20&amp;"*",Input!$G:$G,"&gt;=0",Input!$G:$G,"&lt;=5"))/1000000</f>
        <v>0</v>
      </c>
      <c r="F20" s="77">
        <f>(SUMIFS(Input!$L:$L,Input!$K:$K,"1",Input!$E:$E,'5.CC Physical risk'!$D$24,Input!$F:$F,'5.CC Physical risk'!$A20&amp;"*",Input!$G:$G,"&gt;5",Input!$G:$G,"&lt;=10"))/1000000</f>
        <v>0</v>
      </c>
      <c r="G20" s="77">
        <f>(SUMIFS(Input!$L:$L,Input!$K:$K,"1",Input!$E:$E,'5.CC Physical risk'!$D$24,Input!$F:$F,'5.CC Physical risk'!$A20&amp;"*",Input!$G:$G,"&gt;10",Input!$G:$G,"&lt;=20"))/1000000</f>
        <v>0</v>
      </c>
      <c r="H20" s="77">
        <f>(SUMIFS(Input!$L:$L,Input!$K:$K,"1",Input!$E:$E,'5.CC Physical risk'!$D$24,Input!$F:$F,'5.CC Physical risk'!$A20,Input!$G:$G,"&gt;20")
+SUMIFS(Input!$L:$L,Input!$K:$K,"1",Input!$E:$E,'5.CC Physical risk'!$D$24,Input!$F:$F,'5.CC Physical risk'!$A20,Input!$G:$G,"-2")
+SUMIFS(Input!$L:$L,Input!$K:$K,"1",Input!$E:$E,'5.CC Physical risk'!$D$24,Input!$F:$F,'5.CC Physical risk'!$A20,Input!$G:$G,"-3")
+SUMIFS(Input!$L:$L,Input!$K:$K,"1",Input!$E:$E,'5.CC Physical risk'!$D$24,Input!$F:$F,'5.CC Physical risk'!$A20,Input!$G:$G,"-5"))/1000000</f>
        <v>0</v>
      </c>
      <c r="I20" s="77">
        <f>IFERROR(ROUND(SUMIFS(Input!$M:$M,Input!$K:$K,"1",Input!$E:$E,'5.CC Physical risk'!$D$24,Input!$F:$F,'5.CC Physical risk'!$A20,Input!$G:$G,"&gt;0")
/
SUMIFS(Input!$L:$L,Input!$K:$K,"1",Input!$E:$E,'5.CC Physical risk'!$D$24,Input!$F:$F,'5.CC Physical risk'!$A20,Input!$G:$G,"&gt;0"),0),0)</f>
        <v>0</v>
      </c>
      <c r="J20" s="77">
        <f>(SUMIFS(Input!$L:$L,Input!$K:$K,"1",Input!$E:$E,'5.CC Physical risk'!$D$24,Input!$F:$F,'5.CC Physical risk'!$A20&amp;"*",Input!$J:$J,"CHRO1",Input!$I:$I,"ACUT2"))/1000000</f>
        <v>0</v>
      </c>
      <c r="K20" s="77">
        <f>(SUMIFS(Input!$L:$L,Input!$K:$K,"1",Input!$E:$E,'5.CC Physical risk'!$D$24,Input!$F:$F,'5.CC Physical risk'!$A20&amp;"*",Input!$J:$J,"CHRO2",Input!$I:$I,"ACUT1"))/1000000</f>
        <v>0</v>
      </c>
      <c r="L20" s="77">
        <f>(SUMIFS(Input!$L:$L,Input!$K:$K,"1",Input!$E:$E,'5.CC Physical risk'!$D$24,Input!$F:$F,'5.CC Physical risk'!$A20&amp;"*",Input!$J:$J,"CHRO1",Input!$I:$I,"ACUT1"))/1000000</f>
        <v>0</v>
      </c>
      <c r="M20" s="77">
        <f>(SUMIFS(Input!$L:$L,Input!$E:$E,'5.CC Physical risk'!$D$24,Input!$K:$K,"1",Input!$F:$F,'5.CC Physical risk'!$A20,Input!$C:$C,'5.CC Physical risk'!$M$24))/1000000</f>
        <v>0</v>
      </c>
      <c r="N20" s="77">
        <f>(SUMIFS(Input!$L:$L,Input!$E:$E,'5.CC Physical risk'!$D$24,Input!$K:$K,"1",Input!$K:$K,'5.CC Physical risk'!$A20,Input!$C:$C,'5.CC Physical risk'!$N$24))/1000000</f>
        <v>0</v>
      </c>
      <c r="O20" s="77">
        <f>(SUMIFS(Input!$L:$L,Input!$K:$K,"1",Input!$E:$E,'5.CC Physical risk'!$O$24,Input!$F:$F,'5.CC Physical risk'!$A20))/1000000</f>
        <v>0</v>
      </c>
      <c r="P20" s="77">
        <f>(SUMIFS(Input!$L:$L,Input!$E:$E,'5.CC Physical risk'!$O$24,Input!$K:$K,"1",Input!$F:$F,'5.CC Physical risk'!$A20,Input!$C:$C,'5.CC Physical risk'!$M$24))/1000000</f>
        <v>0</v>
      </c>
      <c r="Q20" s="77">
        <f>(SUMIFS(Input!$L:$L,Input!$E:$E,'5.CC Physical risk'!$O$24,Input!$K:$K,"1",Input!$F:$F,'5.CC Physical risk'!$A20,Input!$C:$C,'5.CC Physical risk'!$N$24))/1000000</f>
        <v>0</v>
      </c>
      <c r="S20" s="57"/>
    </row>
    <row r="21" spans="1:19" x14ac:dyDescent="0.2">
      <c r="A21" s="54" t="s">
        <v>69</v>
      </c>
      <c r="B21" s="55">
        <v>13</v>
      </c>
      <c r="C21" s="58" t="s">
        <v>110</v>
      </c>
      <c r="D21" s="77">
        <f>(SUMIFS(Input!$L:$L,Input!$E:$E,'5.CC Physical risk'!$D$24,Input!$H:$H,'5.CC Physical risk'!$A21&amp;"*",Input!$D:$D,"outras empresas nao financeiras"))/1000000</f>
        <v>1063.28675</v>
      </c>
      <c r="E21" s="77">
        <f>(SUMIFS(Input!$L:$L,Input!$K:$K,"1",Input!$E:$E,'5.CC Physical risk'!$D$24,Input!$H:$H,'5.CC Physical risk'!$A21&amp;"*",Input!$D:$D,"outras empresas nao financeiras",Input!$G:$G,"&gt;=0",Input!$G:$G,"&lt;=5")
+ SUMIFS(Input!$L:$L,Input!$K:$K,"1",Input!$E:$E,'5.CC Physical risk'!$D$24,Input!$H:$H,'5.CC Physical risk'!$A21&amp;"*",Input!$D:$D,"outras empresas nao financeiras",Input!$G:$G,"-4")
+ SUMIFS(Input!$L:$L,Input!$K:$K,"1",Input!$E:$E,'5.CC Physical risk'!$D$24,Input!$H:$H,'5.CC Physical risk'!$A21&amp;"*",Input!$D:$D,"outras empresas nao financeiras",Input!$G:$G,"-1"))/1000000</f>
        <v>0</v>
      </c>
      <c r="F21" s="77">
        <f>(SUMIFS(Input!$L:$L,Input!$K:$K,"1",Input!$E:$E,'5.CC Physical risk'!$D$24,Input!$H:$H,'5.CC Physical risk'!$A21&amp;"*",Input!$D:$D,"outras empresas nao financeiras",Input!$G:$G,"&gt;5",Input!$G:$G,"&lt;=10"))/1000000</f>
        <v>0</v>
      </c>
      <c r="G21" s="77">
        <f>(SUMIFS(Input!$L:$L,Input!$K:$K,"1",Input!$E:$E,'5.CC Physical risk'!$D$24,Input!$H:$H,'5.CC Physical risk'!$A21&amp;"*",Input!$D:$D,"outras empresas nao financeiras",Input!$G:$G,"&gt;10",Input!$G:$G,"&lt;=20"))/1000000</f>
        <v>0</v>
      </c>
      <c r="H21" s="77">
        <f>(SUMIFS(Input!$L:$L,Input!$K:$K,"1",Input!$E:$E,'5.CC Physical risk'!$D$24,Input!$H:$H,'5.CC Physical risk'!$A21&amp;"*",Input!$D:$D,"outras empresas nao financeiras",Input!$G:$G,"&gt;20")
+ SUMIFS(Input!$L:$L,Input!$K:$K,"1",Input!$E:$E,'5.CC Physical risk'!$D$24,Input!$H:$H,'5.CC Physical risk'!$A21&amp;"*",Input!$D:$D,"outras empresas nao financeiras",Input!$G:$G,"-2")
+ SUMIFS(Input!$L:$L,Input!$K:$K,"1",Input!$E:$E,'5.CC Physical risk'!$D$24,Input!$H:$H,'5.CC Physical risk'!$A21&amp;"*",Input!$D:$D,"outras empresas nao financeiras",Input!$G:$G,"-3")
+ SUMIFS(Input!$L:$L,Input!$K:$K,"1",Input!$E:$E,'5.CC Physical risk'!$D$24,Input!$H:$H,'5.CC Physical risk'!$A21&amp;"*",Input!$D:$D,"outras empresas nao financeiras",Input!$G:$G,"-5"))/1000000</f>
        <v>0</v>
      </c>
      <c r="I21" s="77">
        <f>IFERROR(ROUND(SUMIFS(Input!$M:$M,Input!$K:$K,"1",Input!$E:$E,'5.CC Physical risk'!$D$24,Input!$H:$H,'5.CC Physical risk'!$A21&amp;"*",Input!$D:$D,"outras empresas nao financeiras",Input!$G:$G,"&gt;0")
/
SUMIFS(Input!$L:$L,Input!$K:$K,"1",Input!$E:$E,'5.CC Physical risk'!$D$24,Input!$H:$H,'5.CC Physical risk'!$A21&amp;"*",Input!$D:$D,"outras empresas nao financeiras",Input!$G:$G,"&gt;0"),0),0)</f>
        <v>0</v>
      </c>
      <c r="J21" s="77">
        <f>(SUMIFS(Input!$L:$L,Input!$K:$K,"1",Input!$E:$E,'5.CC Physical risk'!$D$24,Input!$H:$H,'5.CC Physical risk'!$A21&amp;"*",Input!$D:$D,"outras empresas nao financeiras",Input!$I:$I,"&lt;&gt;"&amp;$K$24,Input!$J:$J,'5.CC Physical risk'!$J$24))/1000000</f>
        <v>0</v>
      </c>
      <c r="K21" s="77">
        <f>(SUMIFS(Input!$L:$L,Input!$K:$K,"1",Input!$E:$E,'5.CC Physical risk'!$D$24,Input!$H:$H,'5.CC Physical risk'!$A21&amp;"*",Input!$D:$D,"outras empresas nao financeiras",Input!$J:$J,"&lt;&gt;"&amp;$J$24,Input!$I:$I,'5.CC Physical risk'!$K$24))/1000000</f>
        <v>0</v>
      </c>
      <c r="L21" s="77">
        <f>(SUMIFS(Input!$L:$L,Input!$K:$K,"1",Input!$E:$E,'5.CC Physical risk'!$D$24,Input!$H:$H,'5.CC Physical risk'!$A21&amp;"*",Input!$D:$D,"outras empresas nao financeiras",Input!$J:$J,'5.CC Physical risk'!$J$24,Input!$I:$I,'5.CC Physical risk'!$K$24))/1000000</f>
        <v>0</v>
      </c>
      <c r="M21" s="77">
        <f>(SUMIFS(Input!$L:$L,
Input!$K:$K,"1",
Input!$E:$E,'5.CC Physical risk'!$D$24,
Input!$D:$D,"outras empresas nao financeiras",
Input!$H:$H,'5.CC Physical risk'!$A21&amp;"*",
Input!$C:$C,'5.CC Physical risk'!$M$24))/1000000</f>
        <v>0</v>
      </c>
      <c r="N21" s="77">
        <f>(SUMIFS(Input!$L:$L,
Input!$K:$K,"1",
Input!$E:$E,'5.CC Physical risk'!$D$24,
Input!$D:$D,"outras empresas nao financeiras",
Input!$H:$H,'5.CC Physical risk'!$A21&amp;"*",
Input!$C:$C,'5.CC Physical risk'!$N$24))/1000000</f>
        <v>0</v>
      </c>
      <c r="O21" s="77">
        <f>(SUMIFS(Input!$L:$L,
Input!$K:$K,"1",
Input!$E:$E,'5.CC Physical risk'!$O$24,
Input!$D:$D,"outras empresas nao financeiras",
Input!$H:$H,'5.CC Physical risk'!$A21&amp;"*"))/1000000</f>
        <v>0</v>
      </c>
      <c r="P21" s="77">
        <f>(SUMIFS(Input!$L:$L,
Input!$K:$K,"1",
Input!$E:$E,'5.CC Physical risk'!$O$24,
Input!$D:$D,"outras empresas nao financeiras",
Input!$H:$H,'5.CC Physical risk'!$A21&amp;"*",
Input!$C:$C,'5.CC Physical risk'!$M$24))/1000000</f>
        <v>0</v>
      </c>
      <c r="Q21" s="77">
        <f>(SUMIFS(Input!$L:$L,
Input!$K:$K,"1",
Input!$E:$E,'5.CC Physical risk'!$O$24,
Input!$D:$D,"outras empresas nao financeiras",
Input!$H:$H,'5.CC Physical risk'!$A21&amp;"*",
Input!$C:$C,'5.CC Physical risk'!$N$24))/1000000</f>
        <v>0</v>
      </c>
      <c r="S21" s="57"/>
    </row>
    <row r="22" spans="1:19" x14ac:dyDescent="0.2">
      <c r="A22" s="54" t="s">
        <v>74</v>
      </c>
      <c r="B22" s="55">
        <v>13</v>
      </c>
      <c r="C22" s="56" t="s">
        <v>111</v>
      </c>
      <c r="D22" s="77">
        <f>(SUMIFS(Input!$L:$L,Input!$E:$E,'5.CC Physical risk'!$D$24,Input!$H:$H,'5.CC Physical risk'!$A22&amp;"*",Input!$D:$D,"outras empresas nao financeiras"))/1000000</f>
        <v>3.4606180000000002</v>
      </c>
      <c r="E22" s="77">
        <f>(SUMIFS(Input!$L:$L,Input!$K:$K,"1",Input!$E:$E,'5.CC Physical risk'!$D$24,Input!$H:$H,'5.CC Physical risk'!$A22&amp;"*",Input!$D:$D,"outras empresas nao financeiras",Input!$G:$G,"&gt;=0",Input!$G:$G,"&lt;=5")
+ SUMIFS(Input!$L:$L,Input!$K:$K,"1",Input!$E:$E,'5.CC Physical risk'!$D$24,Input!$H:$H,'5.CC Physical risk'!$A22&amp;"*",Input!$D:$D,"outras empresas nao financeiras",Input!$G:$G,"-4")
+ SUMIFS(Input!$L:$L,Input!$K:$K,"1",Input!$E:$E,'5.CC Physical risk'!$D$24,Input!$H:$H,'5.CC Physical risk'!$A22&amp;"*",Input!$D:$D,"outras empresas nao financeiras",Input!$G:$G,"-1"))/1000000</f>
        <v>0</v>
      </c>
      <c r="F22" s="77">
        <f>(SUMIFS(Input!$L:$L,Input!$K:$K,"1",Input!$E:$E,'5.CC Physical risk'!$D$24,Input!$H:$H,'5.CC Physical risk'!$A22&amp;"*",Input!$D:$D,"outras empresas nao financeiras",Input!$G:$G,"&gt;5",Input!$G:$G,"&lt;=10"))/1000000</f>
        <v>0</v>
      </c>
      <c r="G22" s="77">
        <f>(SUMIFS(Input!$L:$L,Input!$K:$K,"1",Input!$E:$E,'5.CC Physical risk'!$D$24,Input!$H:$H,'5.CC Physical risk'!$A22&amp;"*",Input!$D:$D,"outras empresas nao financeiras",Input!$G:$G,"&gt;10",Input!$G:$G,"&lt;=20"))/1000000</f>
        <v>0</v>
      </c>
      <c r="H22" s="77">
        <f>(SUMIFS(Input!$L:$L,Input!$K:$K,"1",Input!$E:$E,'5.CC Physical risk'!$D$24,Input!$H:$H,'5.CC Physical risk'!$A22&amp;"*",Input!$D:$D,"outras empresas nao financeiras",Input!$G:$G,"&gt;20")
+ SUMIFS(Input!$L:$L,Input!$K:$K,"1",Input!$E:$E,'5.CC Physical risk'!$D$24,Input!$H:$H,'5.CC Physical risk'!$A22&amp;"*",Input!$D:$D,"outras empresas nao financeiras",Input!$G:$G,"-2")
+ SUMIFS(Input!$L:$L,Input!$K:$K,"1",Input!$E:$E,'5.CC Physical risk'!$D$24,Input!$H:$H,'5.CC Physical risk'!$A22&amp;"*",Input!$D:$D,"outras empresas nao financeiras",Input!$G:$G,"-3")
+ SUMIFS(Input!$L:$L,Input!$K:$K,"1",Input!$E:$E,'5.CC Physical risk'!$D$24,Input!$H:$H,'5.CC Physical risk'!$A22&amp;"*",Input!$D:$D,"outras empresas nao financeiras",Input!$G:$G,"-5"))/1000000</f>
        <v>0</v>
      </c>
      <c r="I22" s="77">
        <f>IFERROR(ROUND(SUMIFS(Input!$M:$M,Input!$K:$K,"1",Input!$E:$E,'5.CC Physical risk'!$D$24,Input!$H:$H,'5.CC Physical risk'!$A22&amp;"*",Input!$D:$D,"outras empresas nao financeiras",Input!$G:$G,"&gt;0")
/
SUMIFS(Input!$L:$L,Input!$K:$K,"1",Input!$E:$E,'5.CC Physical risk'!$D$24,Input!$H:$H,'5.CC Physical risk'!$A22&amp;"*",Input!$D:$D,"outras empresas nao financeiras",Input!$G:$G,"&gt;0"),0),0)</f>
        <v>0</v>
      </c>
      <c r="J22" s="77">
        <f>(SUMIFS(Input!$L:$L,Input!$K:$K,"1",Input!$E:$E,'5.CC Physical risk'!$D$24,Input!$H:$H,'5.CC Physical risk'!$A22&amp;"*",Input!$D:$D,"outras empresas nao financeiras",Input!$I:$I,"&lt;&gt;"&amp;$K$24,Input!$J:$J,'5.CC Physical risk'!$J$24))/1000000</f>
        <v>0</v>
      </c>
      <c r="K22" s="77">
        <f>(SUMIFS(Input!$L:$L,Input!$K:$K,"1",Input!$E:$E,'5.CC Physical risk'!$D$24,Input!$H:$H,'5.CC Physical risk'!$A22&amp;"*",Input!$D:$D,"outras empresas nao financeiras",Input!$J:$J,"&lt;&gt;"&amp;$J$24,Input!$I:$I,'5.CC Physical risk'!$K$24))/1000000</f>
        <v>0</v>
      </c>
      <c r="L22" s="77">
        <f>(SUMIFS(Input!$L:$L,Input!$K:$K,"1",Input!$E:$E,'5.CC Physical risk'!$D$24,Input!$H:$H,'5.CC Physical risk'!$A22&amp;"*",Input!$D:$D,"outras empresas nao financeiras",Input!$J:$J,'5.CC Physical risk'!$J$24,Input!$I:$I,'5.CC Physical risk'!$K$24))/1000000</f>
        <v>0</v>
      </c>
      <c r="M22" s="77">
        <f>(SUMIFS(Input!$L:$L,
Input!$K:$K,"1",
Input!$E:$E,'5.CC Physical risk'!$D$24,
Input!$D:$D,"outras empresas nao financeiras",
Input!$H:$H,'5.CC Physical risk'!$A22&amp;"*",
Input!$C:$C,'5.CC Physical risk'!$M$24))/1000000</f>
        <v>0</v>
      </c>
      <c r="N22" s="77">
        <f>(SUMIFS(Input!$L:$L,
Input!$K:$K,"1",
Input!$E:$E,'5.CC Physical risk'!$D$24,
Input!$D:$D,"outras empresas nao financeiras",
Input!$H:$H,'5.CC Physical risk'!$A22&amp;"*",
Input!$C:$C,'5.CC Physical risk'!$N$24))/1000000</f>
        <v>0</v>
      </c>
      <c r="O22" s="77">
        <f>(SUMIFS(Input!$L:$L,
Input!$K:$K,"1",
Input!$E:$E,'5.CC Physical risk'!$O$24,
Input!$D:$D,"outras empresas nao financeiras",
Input!$H:$H,'5.CC Physical risk'!$A22&amp;"*"))/1000000</f>
        <v>0</v>
      </c>
      <c r="P22" s="77">
        <f>(SUMIFS(Input!$L:$L,
Input!$K:$K,"1",
Input!$E:$E,'5.CC Physical risk'!$O$24,
Input!$D:$D,"outras empresas nao financeiras",
Input!$H:$H,'5.CC Physical risk'!$A22&amp;"*",
Input!$C:$C,'5.CC Physical risk'!$M$24))/1000000</f>
        <v>0</v>
      </c>
      <c r="Q22" s="77">
        <f>(SUMIFS(Input!$L:$L,
Input!$K:$K,"1",
Input!$E:$E,'5.CC Physical risk'!$O$24,
Input!$D:$D,"outras empresas nao financeiras",
Input!$H:$H,'5.CC Physical risk'!$A22&amp;"*",
Input!$C:$C,'5.CC Physical risk'!$N$24))/1000000</f>
        <v>0</v>
      </c>
      <c r="S22" s="57"/>
    </row>
    <row r="23" spans="1:19" x14ac:dyDescent="0.2">
      <c r="A23" s="54" t="s">
        <v>112</v>
      </c>
      <c r="B23" s="55">
        <v>13</v>
      </c>
      <c r="C23" s="56" t="s">
        <v>113</v>
      </c>
      <c r="D23" s="77">
        <f>(SUMIFS(Input!$L:$L,Input!$E:$E,'5.CC Physical risk'!$D$24,Input!$H:$H,"J*",Input!$D:$D,"outras empresas nao financeiras")
+SUMIFS(Input!$L:$L,Input!$E:$E,'5.CC Physical risk'!$D$24,Input!$H:$H,"M*",Input!$D:$D,"outras empresas nao financeiras")+
SUMIFS(Input!$L:$L,Input!$E:$E,'5.CC Physical risk'!$D$24,Input!$H:$H,"N*",Input!$D:$D,"outras empresas nao financeiras")+
SUMIFS(Input!$L:$L,Input!$E:$E,'5.CC Physical risk'!$D$24,Input!$H:$H,"O*",Input!$D:$D,"outras empresas nao financeiras")+
SUMIFS(Input!$L:$L,Input!$E:$E,'5.CC Physical risk'!$D$24,Input!$H:$H,"P*",Input!$D:$D,"outras empresas nao financeiras")+
SUMIFS(Input!$L:$L,Input!$E:$E,'5.CC Physical risk'!$D$24,Input!$H:$H,"Q*",Input!$D:$D,"outras empresas nao financeiras")+
SUMIFS(Input!$L:$L,Input!$E:$E,'5.CC Physical risk'!$D$24,Input!$H:$H,"R*",Input!$D:$D,"outras empresas nao financeiras")+
SUMIFS(Input!$L:$L,Input!$E:$E,'5.CC Physical risk'!$D$24,Input!$H:$H,"S*",Input!$D:$D,"outras empresas nao financeiras")+
SUMIFS(Input!$L:$L,Input!$E:$E,'5.CC Physical risk'!$D$24,Input!$H:$H,"T*",Input!$D:$D,"outras empresas nao financeiras")+
SUMIFS(Input!$L:$L,Input!$E:$E,'5.CC Physical risk'!$D$24,Input!$H:$H,"U*",Input!$D:$D,"outras empresas nao financeiras"))/1000000</f>
        <v>2988.610181</v>
      </c>
      <c r="E23" s="77">
        <f>(SUMIFS(Input!$L:$L,Input!$D:$D,"outras empresas nao financeiras",Input!$K:$K,"1",Input!$E:$E,'5.CC Physical risk'!$D$24,Input!$H:$H,"J*",Input!$G:$G,"&gt;=0",Input!$G:$G,"&lt;=5")
+ SUMIFS(Input!$L:$L,Input!$D:$D,"outras empresas nao financeiras",Input!$K:$K,"1",Input!$E:$E,'5.CC Physical risk'!$D$24,Input!$H:$H,"J*",Input!$G:$G,"-4")
+ SUMIFS(Input!$L:$L,Input!$D:$D,"outras empresas nao financeiras",Input!$K:$K,"1",Input!$E:$E,'5.CC Physical risk'!$D$24,Input!$H:$H,"J*",Input!$G:$G,"-1")
+SUMIFS(Input!$L:$L,Input!$D:$D,"outras empresas nao financeiras",Input!$K:$K,"1",Input!$E:$E,'5.CC Physical risk'!$D$24,Input!$H:$H,"M*",Input!$G:$G,"&gt;=0",Input!$G:$G,"&lt;=5")
+ SUMIFS(Input!$L:$L,Input!$D:$D,"outras empresas nao financeiras",Input!$K:$K,"1",Input!$E:$E,'5.CC Physical risk'!$D$24,Input!$H:$H,"M*",Input!$G:$G,"-4")
+ SUMIFS(Input!$L:$L,Input!$D:$D,"outras empresas nao financeiras",Input!$K:$K,"1",Input!$E:$E,'5.CC Physical risk'!$D$24,Input!$H:$H,"M*",Input!$G:$G,"-1")
+SUMIFS(Input!$L:$L,Input!$D:$D,"outras empresas nao financeiras",Input!$K:$K,"1",Input!$E:$E,'5.CC Physical risk'!$D$24,Input!$H:$H,"N*",Input!$G:$G,"&gt;=0",Input!$G:$G,"&lt;=5")
+ SUMIFS(Input!$L:$L,Input!$D:$D,"outras empresas nao financeiras",Input!$K:$K,"1",Input!$E:$E,'5.CC Physical risk'!$D$24,Input!$H:$H,"N*",Input!$G:$G,"-4")
+ SUMIFS(Input!$L:$L,Input!$D:$D,"outras empresas nao financeiras",Input!$K:$K,"1",Input!$E:$E,'5.CC Physical risk'!$D$24,Input!$H:$H,"N*",Input!$G:$G,"-1")
+SUMIFS(Input!$L:$L,Input!$D:$D,"outras empresas nao financeiras",Input!$K:$K,"1",Input!$E:$E,'5.CC Physical risk'!$D$24,Input!$H:$H,"O*",Input!$G:$G,"&gt;=0",Input!$G:$G,"&lt;=5")
+ SUMIFS(Input!$L:$L,Input!$D:$D,"outras empresas nao financeiras",Input!$K:$K,"1",Input!$E:$E,'5.CC Physical risk'!$D$24,Input!$H:$H,"O*",Input!$G:$G,"-4")
+ SUMIFS(Input!$L:$L,Input!$D:$D,"outras empresas nao financeiras",Input!$K:$K,"1",Input!$E:$E,'5.CC Physical risk'!$D$24,Input!$H:$H,"O*",Input!$G:$G,"-1")
+SUMIFS(Input!$L:$L,Input!$D:$D,"outras empresas nao financeiras",Input!$K:$K,"1",Input!$E:$E,'5.CC Physical risk'!$D$24,Input!$H:$H,"P*",Input!$G:$G,"&gt;=0",Input!$G:$G,"&lt;=5")
+ SUMIFS(Input!$L:$L,Input!$D:$D,"outras empresas nao financeiras",Input!$K:$K,"1",Input!$E:$E,'5.CC Physical risk'!$D$24,Input!$H:$H,"P*",Input!$G:$G,"-4")
+ SUMIFS(Input!$L:$L,Input!$D:$D,"outras empresas nao financeiras",Input!$K:$K,"1",Input!$E:$E,'5.CC Physical risk'!$D$24,Input!$H:$H,"P*",Input!$G:$G,"-1")
+SUMIFS(Input!$L:$L,Input!$D:$D,"outras empresas nao financeiras",Input!$K:$K,"1",Input!$E:$E,'5.CC Physical risk'!$D$24,Input!$H:$H,"Q*",Input!$G:$G,"&gt;=0",Input!$G:$G,"&lt;=5")
+ SUMIFS(Input!$L:$L,Input!$D:$D,"outras empresas nao financeiras",Input!$K:$K,"1",Input!$E:$E,'5.CC Physical risk'!$D$24,Input!$H:$H,"Q*",Input!$G:$G,"-4")
+ SUMIFS(Input!$L:$L,Input!$D:$D,"outras empresas nao financeiras",Input!$K:$K,"1",Input!$E:$E,'5.CC Physical risk'!$D$24,Input!$H:$H,"Q*",Input!$G:$G,"-1")
+SUMIFS(Input!$L:$L,Input!$D:$D,"outras empresas nao financeiras",Input!$K:$K,"1",Input!$E:$E,'5.CC Physical risk'!$D$24,Input!$H:$H,"R*",Input!$G:$G,"&gt;=0",Input!$G:$G,"&lt;=5")
+ SUMIFS(Input!$L:$L,Input!$D:$D,"outras empresas nao financeiras",Input!$K:$K,"1",Input!$E:$E,'5.CC Physical risk'!$D$24,Input!$H:$H,"R*",Input!$G:$G,"-4")
+ SUMIFS(Input!$L:$L,Input!$D:$D,"outras empresas nao financeiras",Input!$K:$K,"1",Input!$E:$E,'5.CC Physical risk'!$D$24,Input!$H:$H,"R*",Input!$G:$G,"-1")
+SUMIFS(Input!$L:$L,Input!$D:$D,"outras empresas nao financeiras",Input!$K:$K,"1",Input!$E:$E,'5.CC Physical risk'!$D$24,Input!$H:$H,"S*",Input!$G:$G,"&gt;=0",Input!$G:$G,"&lt;=5")
+ SUMIFS(Input!$L:$L,Input!$D:$D,"outras empresas nao financeiras",Input!$K:$K,"1",Input!$E:$E,'5.CC Physical risk'!$D$24,Input!$H:$H,"S*",Input!$G:$G,"-4")
+ SUMIFS(Input!$L:$L,Input!$D:$D,"outras empresas nao financeiras",Input!$K:$K,"1",Input!$E:$E,'5.CC Physical risk'!$D$24,Input!$H:$H,"S*",Input!$G:$G,"-1")
+SUMIFS(Input!$L:$L,Input!$D:$D,"outras empresas nao financeiras",Input!$K:$K,"1",Input!$E:$E,'5.CC Physical risk'!$D$24,Input!$H:$H,"T*",Input!$G:$G,"&gt;=0",Input!$G:$G,"&lt;=5")
+ SUMIFS(Input!$L:$L,Input!$D:$D,"outras empresas nao financeiras",Input!$K:$K,"1",Input!$E:$E,'5.CC Physical risk'!$D$24,Input!$H:$H,"T*",Input!$G:$G,"-4")
+ SUMIFS(Input!$L:$L,Input!$D:$D,"outras empresas nao financeiras",Input!$K:$K,"1",Input!$E:$E,'5.CC Physical risk'!$D$24,Input!$H:$H,"T*",Input!$G:$G,"-1")
+SUMIFS(Input!$L:$L,Input!$D:$D,"outras empresas nao financeiras",Input!$K:$K,"1",Input!$E:$E,'5.CC Physical risk'!$D$24,Input!$H:$H,"U*",Input!$G:$G,"&gt;=0",Input!$G:$G,"&lt;=5")
+ SUMIFS(Input!$L:$L,Input!$D:$D,"outras empresas nao financeiras",Input!$K:$K,"1",Input!$E:$E,'5.CC Physical risk'!$D$24,Input!$H:$H,"U*",Input!$G:$G,"-4")
+ SUMIFS(Input!$L:$L,Input!$D:$D,"outras empresas nao financeiras",Input!$K:$K,"1",Input!$E:$E,'5.CC Physical risk'!$D$24,Input!$H:$H,"U*",Input!$G:$G,"-1"))/1000000</f>
        <v>0</v>
      </c>
      <c r="F23" s="77">
        <f>(SUMIFS(Input!$L:$L,Input!$K:$K,"1",Input!$E:$E,'5.CC Physical risk'!$D$24,Input!$H:$H,"J*",Input!$D:$D,"outras empresas nao financeiras",Input!$G:$G,"&gt;5",Input!$G:$G,"&lt;=10")
+SUMIFS(Input!$L:$L,Input!$K:$K,"1",Input!$E:$E,'5.CC Physical risk'!$D$24,Input!$H:$H,"M*",Input!$D:$D,"outras empresas nao financeiras",Input!$G:$G,"&gt;5",Input!$G:$G,"&lt;=10")
+SUMIFS(Input!$L:$L,Input!$K:$K,"1",Input!$E:$E,'5.CC Physical risk'!$D$24,Input!$H:$H,"N*",Input!$D:$D,"outras empresas nao financeiras",Input!$G:$G,"&gt;5",Input!$G:$G,"&lt;=10")
+SUMIFS(Input!$L:$L,Input!$K:$K,"1",Input!$E:$E,'5.CC Physical risk'!$D$24,Input!$H:$H,"O*",Input!$D:$D,"outras empresas nao financeiras",Input!$G:$G,"&gt;5",Input!$G:$G,"&lt;=10")
+SUMIFS(Input!$L:$L,Input!$K:$K,"1",Input!$E:$E,'5.CC Physical risk'!$D$24,Input!$H:$H,"P*",Input!$D:$D,"outras empresas nao financeiras",Input!$G:$G,"&gt;5",Input!$G:$G,"&lt;=10")
+SUMIFS(Input!$L:$L,Input!$K:$K,"1",Input!$E:$E,'5.CC Physical risk'!$D$24,Input!$H:$H,"Q*",Input!$D:$D,"outras empresas nao financeiras",Input!$G:$G,"&gt;5",Input!$G:$G,"&lt;=10")
+SUMIFS(Input!$L:$L,Input!$K:$K,"1",Input!$E:$E,'5.CC Physical risk'!$D$24,Input!$H:$H,"R*",Input!$D:$D,"outras empresas nao financeiras",Input!$G:$G,"&gt;5",Input!$G:$G,"&lt;=10")
+SUMIFS(Input!$L:$L,Input!$K:$K,"1",Input!$E:$E,'5.CC Physical risk'!$D$24,Input!$H:$H,"S*",Input!$D:$D,"outras empresas nao financeiras",Input!$G:$G,"&gt;5",Input!$G:$G,"&lt;=10")
+SUMIFS(Input!$L:$L,Input!$K:$K,"1",Input!$E:$E,'5.CC Physical risk'!$D$24,Input!$H:$H,"T*",Input!$D:$D,"outras empresas nao financeiras",Input!$G:$G,"&gt;5",Input!$G:$G,"&lt;=10")
+SUMIFS(Input!$L:$L,Input!$K:$K,"1",Input!$E:$E,'5.CC Physical risk'!$D$24,Input!$H:$H,"U*",Input!$D:$D,"outras empresas nao financeiras",Input!$G:$G,"&gt;5",Input!$G:$G,"&lt;=10"))/1000000</f>
        <v>0</v>
      </c>
      <c r="G23" s="77">
        <f>(SUMIFS(Input!$L:$L,Input!$K:$K,"1",Input!$E:$E,'5.CC Physical risk'!$D$24,Input!$H:$H,"J*",Input!$D:$D,"outras empresas nao financeiras",Input!$G:$G,"&gt;10",Input!$G:$G,"&lt;=20")
+SUMIFS(Input!$L:$L,Input!$K:$K,"1",Input!$E:$E,'5.CC Physical risk'!$D$24,Input!$H:$H,"M*",Input!$D:$D,"outras empresas nao financeiras",Input!$G:$G,"&gt;10",Input!$G:$G,"&lt;=20")
+SUMIFS(Input!$L:$L,Input!$K:$K,"1",Input!$E:$E,'5.CC Physical risk'!$D$24,Input!$H:$H,"N*",Input!$D:$D,"outras empresas nao financeiras",Input!$G:$G,"&gt;10",Input!$G:$G,"&lt;=20")
+SUMIFS(Input!$L:$L,Input!$K:$K,"1",Input!$E:$E,'5.CC Physical risk'!$D$24,Input!$H:$H,"O*",Input!$D:$D,"outras empresas nao financeiras",Input!$G:$G,"&gt;10",Input!$G:$G,"&lt;=20")
+SUMIFS(Input!$L:$L,Input!$K:$K,"1",Input!$E:$E,'5.CC Physical risk'!$D$24,Input!$H:$H,"P*",Input!$D:$D,"outras empresas nao financeiras",Input!$G:$G,"&gt;10",Input!$G:$G,"&lt;=20")
+SUMIFS(Input!$L:$L,Input!$K:$K,"1",Input!$E:$E,'5.CC Physical risk'!$D$24,Input!$H:$H,"Q*",Input!$D:$D,"outras empresas nao financeiras",Input!$G:$G,"&gt;10",Input!$G:$G,"&lt;=20")
+SUMIFS(Input!$L:$L,Input!$K:$K,"1",Input!$E:$E,'5.CC Physical risk'!$D$24,Input!$H:$H,"R*",Input!$D:$D,"outras empresas nao financeiras",Input!$G:$G,"&gt;10",Input!$G:$G,"&lt;=20")
+SUMIFS(Input!$L:$L,Input!$K:$K,"1",Input!$E:$E,'5.CC Physical risk'!$D$24,Input!$H:$H,"S*",Input!$D:$D,"outras empresas nao financeiras",Input!$G:$G,"&gt;10",Input!$G:$G,"&lt;=20")
+SUMIFS(Input!$L:$L,Input!$K:$K,"1",Input!$E:$E,'5.CC Physical risk'!$D$24,Input!$H:$H,"T*",Input!$D:$D,"outras empresas nao financeiras",Input!$G:$G,"&gt;10",Input!$G:$G,"&lt;=20")
+SUMIFS(Input!$L:$L,Input!$K:$K,"1",Input!$E:$E,'5.CC Physical risk'!$D$24,Input!$H:$H,"U*",Input!$D:$D,"outras empresas nao financeiras",Input!$G:$G,"&gt;10",Input!$G:$G,"&lt;=20"))/1000000</f>
        <v>0</v>
      </c>
      <c r="H23" s="77">
        <f>SUM(B26:B35)</f>
        <v>0</v>
      </c>
      <c r="I23" s="77">
        <f>IFERROR((SUMIFS(Input!$M:$M,Input!$K:$K,"1",Input!$E:$E,'5.CC Physical risk'!$D$24,Input!$D:$D,"outras empresas nao financeiras",Input!$H:$H,"J*",Input!$G:$G,"&gt;0")
+SUMIFS(Input!$M:$M,Input!$K:$K,"1",Input!$E:$E,'5.CC Physical risk'!$D$24,Input!$D:$D,"outras empresas nao financeiras",Input!$H:$H,"M*",Input!$G:$G,"&gt;0")
+SUMIFS(Input!$M:$M,Input!$K:$K,"1",Input!$E:$E,'5.CC Physical risk'!$D$24,Input!$D:$D,"outras empresas nao financeiras",Input!$H:$H,"N*",Input!$G:$G,"&gt;0")
+SUMIFS(Input!$M:$M,Input!$K:$K,"1",Input!$E:$E,'5.CC Physical risk'!$D$24,Input!$D:$D,"outras empresas nao financeiras",Input!$H:$H,"O*",Input!$G:$G,"&gt;0")
+SUMIFS(Input!$M:$M,Input!$K:$K,"1",Input!$E:$E,'5.CC Physical risk'!$D$24,Input!$D:$D,"outras empresas nao financeiras",Input!$H:$H,"P*",Input!$G:$G,"&gt;0")
+SUMIFS(Input!$M:$M,Input!$K:$K,"1",Input!$E:$E,'5.CC Physical risk'!$D$24,Input!$D:$D,"outras empresas nao financeiras",Input!$H:$H,"Q*",Input!$G:$G,"&gt;0")
+SUMIFS(Input!$M:$M,Input!$K:$K,"1",Input!$E:$E,'5.CC Physical risk'!$D$24,Input!$D:$D,"outras empresas nao financeiras",Input!$H:$H,"R*",Input!$G:$G,"&gt;0")
+SUMIFS(Input!$M:$M,Input!$K:$K,"1",Input!$E:$E,'5.CC Physical risk'!$D$24,Input!$D:$D,"outras empresas nao financeiras",Input!$H:$H,"S*",Input!$G:$G,"&gt;0")
+SUMIFS(Input!$M:$M,Input!$K:$K,"1",Input!$E:$E,'5.CC Physical risk'!$D$24,Input!$D:$D,"outras empresas nao financeiras",Input!$H:$H,"T*",Input!$G:$G,"&gt;0")
+SUMIFS(Input!$M:$M,Input!$K:$K,"1",Input!$E:$E,'5.CC Physical risk'!$D$24,Input!$D:$D,"outras empresas nao financeiras",Input!$H:$H,"U*",Input!$G:$G,"&gt;0"))
/
(SUMIFS(Input!$L:$L,Input!$K:$K,"1",Input!$E:$E,'5.CC Physical risk'!$D$24,Input!$D:$D,"outras empresas nao financeiras",Input!$H:$H,"J*",Input!$G:$G,"&gt;0")
+SUMIFS(Input!$L:$L,Input!$K:$K,"1",Input!$E:$E,'5.CC Physical risk'!$D$24,Input!$D:$D,"outras empresas nao financeiras",Input!$H:$H,"M*",Input!$G:$G,"&gt;0")
+SUMIFS(Input!$L:$L,Input!$K:$K,"1",Input!$E:$E,'5.CC Physical risk'!$D$24,Input!$D:$D,"outras empresas nao financeiras",Input!$H:$H,"N*",Input!$G:$G,"&gt;0")
+SUMIFS(Input!$L:$L,Input!$K:$K,"1",Input!$E:$E,'5.CC Physical risk'!$D$24,Input!$D:$D,"outras empresas nao financeiras",Input!$H:$H,"O*",Input!$G:$G,"&gt;0")
+SUMIFS(Input!$L:$L,Input!$K:$K,"1",Input!$E:$E,'5.CC Physical risk'!$D$24,Input!$D:$D,"outras empresas nao financeiras",Input!$H:$H,"P*",Input!$G:$G,"&gt;0")
+SUMIFS(Input!$L:$L,Input!$K:$K,"1",Input!$E:$E,'5.CC Physical risk'!$D$24,Input!$D:$D,"outras empresas nao financeiras",Input!$H:$H,"Q*",Input!$G:$G,"&gt;0")
+SUMIFS(Input!$L:$L,Input!$K:$K,"1",Input!$E:$E,'5.CC Physical risk'!$D$24,Input!$D:$D,"outras empresas nao financeiras",Input!$H:$H,"R*",Input!$G:$G,"&gt;0")
+SUMIFS(Input!$L:$L,Input!$K:$K,"1",Input!$E:$E,'5.CC Physical risk'!$D$24,Input!$D:$D,"outras empresas nao financeiras",Input!$H:$H,"S*",Input!$G:$G,"&gt;0")
+SUMIFS(Input!$L:$L,Input!$K:$K,"1",Input!$E:$E,'5.CC Physical risk'!$D$24,Input!$D:$D,"outras empresas nao financeiras",Input!$H:$H,"T*",Input!$G:$G,"&gt;0")
+SUMIFS(Input!$L:$L,Input!$K:$K,"1",Input!$E:$E,'5.CC Physical risk'!$D$24,Input!$D:$D,"outras empresas nao financeiras",Input!$H:$H,"U*",Input!$G:$G,"&gt;0")),0)</f>
        <v>0</v>
      </c>
      <c r="J23" s="77">
        <f>(SUMIFS(Input!$L:$L,Input!$K:$K,"1",Input!$E:$E,'5.CC Physical risk'!$D$24,Input!$H:$H,"J*",Input!$D:$D,"outras empresas nao financeiras",Input!$I:$I,"&lt;&gt;"&amp;$K$24,Input!$J:$J,'5.CC Physical risk'!$J$24)+
SUMIFS(Input!$L:$L,Input!$K:$K,"1",Input!$E:$E,'5.CC Physical risk'!$D$24,Input!$H:$H,"M*",Input!$D:$D,"outras empresas nao financeiras",Input!$I:$I,"&lt;&gt;"&amp;$K$24,Input!$J:$J,'5.CC Physical risk'!$J$24)+
SUMIFS(Input!$L:$L,Input!$K:$K,"1",Input!$E:$E,'5.CC Physical risk'!$D$24,Input!$H:$H,"N*",Input!$D:$D,"outras empresas nao financeiras",Input!$I:$I,"&lt;&gt;"&amp;$K$24,Input!$J:$J,'5.CC Physical risk'!$J$24)+
SUMIFS(Input!$L:$L,Input!$K:$K,"1",Input!$E:$E,'5.CC Physical risk'!$D$24,Input!$H:$H,"O*",Input!$D:$D,"outras empresas nao financeiras",Input!$I:$I,"&lt;&gt;"&amp;$K$24,Input!$J:$J,'5.CC Physical risk'!$J$24)+
SUMIFS(Input!$L:$L,Input!$K:$K,"1",Input!$E:$E,'5.CC Physical risk'!$D$24,Input!$H:$H,"P*",Input!$D:$D,"outras empresas nao financeiras",Input!$I:$I,"&lt;&gt;"&amp;$K$24,Input!$J:$J,'5.CC Physical risk'!$J$24)+
SUMIFS(Input!$L:$L,Input!$K:$K,"1",Input!$E:$E,'5.CC Physical risk'!$D$24,Input!$H:$H,"Q*",Input!$D:$D,"outras empresas nao financeiras",Input!$I:$I,"&lt;&gt;"&amp;$K$24,Input!$J:$J,'5.CC Physical risk'!$J$24)+
SUMIFS(Input!$L:$L,Input!$K:$K,"1",Input!$E:$E,'5.CC Physical risk'!$D$24,Input!$H:$H,"R*",Input!$D:$D,"outras empresas nao financeiras",Input!$I:$I,"&lt;&gt;"&amp;$K$24,Input!$J:$J,'5.CC Physical risk'!$J$24)+
SUMIFS(Input!$L:$L,Input!$K:$K,"1",Input!$E:$E,'5.CC Physical risk'!$D$24,Input!$H:$H,"S*",Input!$D:$D,"outras empresas nao financeiras",Input!$I:$I,"&lt;&gt;"&amp;$K$24,Input!$J:$J,'5.CC Physical risk'!$J$24)+
SUMIFS(Input!$L:$L,Input!$K:$K,"1",Input!$E:$E,'5.CC Physical risk'!$D$24,Input!$H:$H,"T*",Input!$D:$D,"outras empresas nao financeiras",Input!$I:$I,"&lt;&gt;"&amp;$K$24,Input!$J:$J,'5.CC Physical risk'!$J$24)+
SUMIFS(Input!$L:$L,Input!$K:$K,"1",Input!$E:$E,'5.CC Physical risk'!$D$24,Input!$H:$H,"U*",Input!$D:$D,"outras empresas nao financeiras",Input!$I:$I,"&lt;&gt;"&amp;$K$24,Input!$J:$J,'5.CC Physical risk'!$J$24))/1000000</f>
        <v>0</v>
      </c>
      <c r="K23" s="77">
        <f>(SUMIFS(Input!$L:$L,Input!$K:$K,"1",Input!$E:$E,'5.CC Physical risk'!$D$24,Input!$H:$H,"J*",Input!$D:$D,"outras empresas nao financeiras",Input!$J:$J,"&lt;&gt;"&amp;$J$24,Input!$I:$I,'5.CC Physical risk'!$K$24)+
SUMIFS(Input!$L:$L,Input!$K:$K,"1",Input!$E:$E,'5.CC Physical risk'!$D$24,Input!$H:$H,"M*",Input!$D:$D,"outras empresas nao financeiras",Input!$J:$J,"&lt;&gt;"&amp;$J$24,Input!$I:$I,'5.CC Physical risk'!$K$24)+
SUMIFS(Input!$L:$L,Input!$K:$K,"1",Input!$E:$E,'5.CC Physical risk'!$D$24,Input!$H:$H,"N*",Input!$D:$D,"outras empresas nao financeiras",Input!$J:$J,"&lt;&gt;"&amp;$J$24,Input!$I:$I,'5.CC Physical risk'!$K$24)+
SUMIFS(Input!$L:$L,Input!$K:$K,"1",Input!$E:$E,'5.CC Physical risk'!$D$24,Input!$H:$H,"O*",Input!$D:$D,"outras empresas nao financeiras",Input!$J:$J,"&lt;&gt;"&amp;$J$24,Input!$I:$I,'5.CC Physical risk'!$K$24)+
SUMIFS(Input!$L:$L,Input!$K:$K,"1",Input!$E:$E,'5.CC Physical risk'!$D$24,Input!$H:$H,"P*",Input!$D:$D,"outras empresas nao financeiras",Input!$J:$J,"&lt;&gt;"&amp;$J$24,Input!$I:$I,'5.CC Physical risk'!$K$24)+
SUMIFS(Input!$L:$L,Input!$K:$K,"1",Input!$E:$E,'5.CC Physical risk'!$D$24,Input!$H:$H,"Q*",Input!$D:$D,"outras empresas nao financeiras",Input!$J:$J,"&lt;&gt;"&amp;$J$24,Input!$I:$I,'5.CC Physical risk'!$K$24)+
SUMIFS(Input!$L:$L,Input!$K:$K,"1",Input!$E:$E,'5.CC Physical risk'!$D$24,Input!$H:$H,"R*",Input!$D:$D,"outras empresas nao financeiras",Input!$J:$J,"&lt;&gt;"&amp;$J$24,Input!$I:$I,'5.CC Physical risk'!$K$24)+
SUMIFS(Input!$L:$L,Input!$K:$K,"1",Input!$E:$E,'5.CC Physical risk'!$D$24,Input!$H:$H,"S*",Input!$D:$D,"outras empresas nao financeiras",Input!$J:$J,"&lt;&gt;"&amp;$J$24,Input!$I:$I,'5.CC Physical risk'!$K$24)+
SUMIFS(Input!$L:$L,Input!$K:$K,"1",Input!$E:$E,'5.CC Physical risk'!$D$24,Input!$H:$H,"T*",Input!$D:$D,"outras empresas nao financeiras",Input!$J:$J,"&lt;&gt;"&amp;$J$24,Input!$I:$I,'5.CC Physical risk'!$K$24)+
SUMIFS(Input!$L:$L,Input!$K:$K,"1",Input!$E:$E,'5.CC Physical risk'!$D$24,Input!$H:$H,"U*",Input!$D:$D,"outras empresas nao financeiras",Input!$J:$J,"&lt;&gt;"&amp;$J$24,Input!$I:$I,'5.CC Physical risk'!$K$24))/1000000</f>
        <v>0</v>
      </c>
      <c r="L23" s="77">
        <f>(SUMIFS(Input!$L:$L,Input!$K:$K,"1",Input!$E:$E,'5.CC Physical risk'!$D$24,Input!$H:$H,"J*",Input!$J:$J,'5.CC Physical risk'!$J$24,Input!$D:$D,"outras empresas nao financeiras",Input!$I:$I,'5.CC Physical risk'!$K$24)
+SUMIFS(Input!$L:$L,Input!$K:$K,"1",Input!$E:$E,'5.CC Physical risk'!$D$24,Input!$H:$H,"M*",Input!$J:$J,'5.CC Physical risk'!$J$24,Input!$D:$D,"outras empresas nao financeiras",Input!$I:$I,'5.CC Physical risk'!$K$24)
+SUMIFS(Input!$L:$L,Input!$K:$K,"1",Input!$E:$E,'5.CC Physical risk'!$D$24,Input!$H:$H,"N*",Input!$J:$J,'5.CC Physical risk'!$J$24,Input!$D:$D,"outras empresas nao financeiras",Input!$I:$I,'5.CC Physical risk'!$K$24)
+SUMIFS(Input!$L:$L,Input!$K:$K,"1",Input!$E:$E,'5.CC Physical risk'!$D$24,Input!$H:$H,"O*",Input!$J:$J,'5.CC Physical risk'!$J$24,Input!$D:$D,"outras empresas nao financeiras",Input!$I:$I,'5.CC Physical risk'!$K$24)
+SUMIFS(Input!$L:$L,Input!$K:$K,"1",Input!$E:$E,'5.CC Physical risk'!$D$24,Input!$H:$H,"P*",Input!$J:$J,'5.CC Physical risk'!$J$24,Input!$D:$D,"outras empresas nao financeiras",Input!$I:$I,'5.CC Physical risk'!$K$24)
+SUMIFS(Input!$L:$L,Input!$K:$K,"1",Input!$E:$E,'5.CC Physical risk'!$D$24,Input!$H:$H,"Q*",Input!$J:$J,'5.CC Physical risk'!$J$24,Input!$D:$D,"outras empresas nao financeiras",Input!$I:$I,'5.CC Physical risk'!$K$24)
+SUMIFS(Input!$L:$L,Input!$K:$K,"1",Input!$E:$E,'5.CC Physical risk'!$D$24,Input!$H:$H,"R*",Input!$J:$J,'5.CC Physical risk'!$J$24,Input!$D:$D,"outras empresas nao financeiras",Input!$I:$I,'5.CC Physical risk'!$K$24)
+SUMIFS(Input!$L:$L,Input!$K:$K,"1",Input!$E:$E,'5.CC Physical risk'!$D$24,Input!$H:$H,"S*",Input!$J:$J,'5.CC Physical risk'!$J$24,Input!$D:$D,"outras empresas nao financeiras",Input!$I:$I,'5.CC Physical risk'!$K$24)
+SUMIFS(Input!$L:$L,Input!$K:$K,"1",Input!$E:$E,'5.CC Physical risk'!$D$24,Input!$H:$H,"T*",Input!$J:$J,'5.CC Physical risk'!$J$24,Input!$D:$D,"outras empresas nao financeiras",Input!$I:$I,'5.CC Physical risk'!$K$24)
+SUMIFS(Input!$L:$L,Input!$K:$K,"1",Input!$E:$E,'5.CC Physical risk'!$D$24,Input!$H:$H,"U*",Input!$J:$J,'5.CC Physical risk'!$J$24,Input!$D:$D,"outras empresas nao financeiras",Input!$I:$I,'5.CC Physical risk'!$K$24))/1000000</f>
        <v>0</v>
      </c>
      <c r="M23" s="77">
        <f>(SUMIFS(Input!$L:$L,Input!$K:$K,"1",Input!$E:$E,'5.CC Physical risk'!$D$24,Input!$H:$H,"J*",Input!$D:$D,"outras empresas nao financeiras",Input!$C:$C,'5.CC Physical risk'!$M$24)
+SUMIFS(Input!$L:$L,Input!$K:$K,"1",Input!$E:$E,'5.CC Physical risk'!$D$24,Input!$H:$H,"M*",Input!$D:$D,"outras empresas nao financeiras",Input!$C:$C,'5.CC Physical risk'!$M$24)
+SUMIFS(Input!$L:$L,Input!$K:$K,"1",Input!$E:$E,'5.CC Physical risk'!$D$24,Input!$H:$H,"N*",Input!$D:$D,"outras empresas nao financeiras",Input!$C:$C,'5.CC Physical risk'!$M$24)
+SUMIFS(Input!$L:$L,Input!$K:$K,"1",Input!$E:$E,'5.CC Physical risk'!$D$24,Input!$H:$H,"O*",Input!$D:$D,"outras empresas nao financeiras",Input!$C:$C,'5.CC Physical risk'!$M$24)
+SUMIFS(Input!$L:$L,Input!$K:$K,"1",Input!$E:$E,'5.CC Physical risk'!$D$24,Input!$H:$H,"P*",Input!$D:$D,"outras empresas nao financeiras",Input!$C:$C,'5.CC Physical risk'!$M$24)
+SUMIFS(Input!$L:$L,Input!$K:$K,"1",Input!$E:$E,'5.CC Physical risk'!$D$24,Input!$H:$H,"Q*",Input!$D:$D,"outras empresas nao financeiras",Input!$C:$C,'5.CC Physical risk'!$M$24)
+SUMIFS(Input!$L:$L,Input!$K:$K,"1",Input!$E:$E,'5.CC Physical risk'!$D$24,Input!$H:$H,"R*",Input!$D:$D,"outras empresas nao financeiras",Input!$C:$C,'5.CC Physical risk'!$M$24)
+SUMIFS(Input!$L:$L,Input!$K:$K,"1",Input!$E:$E,'5.CC Physical risk'!$D$24,Input!$H:$H,"S*",Input!$D:$D,"outras empresas nao financeiras",Input!$C:$C,'5.CC Physical risk'!$M$24)
+SUMIFS(Input!$L:$L,Input!$K:$K,"1",Input!$E:$E,'5.CC Physical risk'!$D$24,Input!$H:$H,"T*",Input!$D:$D,"outras empresas nao financeiras",Input!$C:$C,'5.CC Physical risk'!$M$24)
+SUMIFS(Input!$L:$L,Input!$K:$K,"1",Input!$E:$E,'5.CC Physical risk'!$D$24,Input!$H:$H,"U*",Input!$D:$D,"outras empresas nao financeiras",Input!$C:$C,'5.CC Physical risk'!$M$24))/1000000</f>
        <v>0</v>
      </c>
      <c r="N23" s="77">
        <f>(SUMIFS(Input!$L:$L,Input!$K:$K,"1",Input!$E:$E,'5.CC Physical risk'!$D$24,Input!$D:$D,"outras empresas nao financeiras",Input!$H:$H,"J*",Input!$C:$C,'5.CC Physical risk'!$N$24)
+SUMIFS(Input!$L:$L,Input!$K:$K,"1",Input!$E:$E,'5.CC Physical risk'!$D$24,Input!$D:$D,"outras empresas nao financeiras",Input!$H:$H,"M*",Input!$C:$C,'5.CC Physical risk'!$N$24)
+SUMIFS(Input!$L:$L,Input!$K:$K,"1",Input!$E:$E,'5.CC Physical risk'!$D$24,Input!$D:$D,"outras empresas nao financeiras",Input!$H:$H,"N*",Input!$C:$C,'5.CC Physical risk'!$N$24)
+SUMIFS(Input!$L:$L,Input!$K:$K,"1",Input!$E:$E,'5.CC Physical risk'!$D$24,Input!$D:$D,"outras empresas nao financeiras",Input!$H:$H,"O*",Input!$C:$C,'5.CC Physical risk'!$N$24)
+SUMIFS(Input!$L:$L,Input!$K:$K,"1",Input!$E:$E,'5.CC Physical risk'!$D$24,Input!$D:$D,"outras empresas nao financeiras",Input!$H:$H,"P*",Input!$C:$C,'5.CC Physical risk'!$N$24)
+SUMIFS(Input!$L:$L,Input!$K:$K,"1",Input!$E:$E,'5.CC Physical risk'!$D$24,Input!$D:$D,"outras empresas nao financeiras",Input!$H:$H,"Q*",Input!$C:$C,'5.CC Physical risk'!$N$24)
+SUMIFS(Input!$L:$L,Input!$K:$K,"1",Input!$E:$E,'5.CC Physical risk'!$D$24,Input!$D:$D,"outras empresas nao financeiras",Input!$H:$H,"R*",Input!$C:$C,'5.CC Physical risk'!$N$24)
+SUMIFS(Input!$L:$L,Input!$K:$K,"1",Input!$E:$E,'5.CC Physical risk'!$D$24,Input!$D:$D,"outras empresas nao financeiras",Input!$H:$H,"S*",Input!$C:$C,'5.CC Physical risk'!$N$24)
+SUMIFS(Input!$L:$L,Input!$K:$K,"1",Input!$E:$E,'5.CC Physical risk'!$D$24,Input!$D:$D,"outras empresas nao financeiras",Input!$H:$H,"T*",Input!$C:$C,'5.CC Physical risk'!$N$24)
+SUMIFS(Input!$L:$L,Input!$K:$K,"1",Input!$E:$E,'5.CC Physical risk'!$D$24,Input!$D:$D,"outras empresas nao financeiras",Input!$H:$H,"U*",Input!$C:$C,'5.CC Physical risk'!$N$24))/1000000</f>
        <v>0</v>
      </c>
      <c r="O23" s="77">
        <f>(SUMIFS(Input!$L:$L,Input!$K:$K,"1",Input!$E:$E,'5.CC Physical risk'!$O$24,Input!$D:$D,"outras empresas nao financeiras",Input!$H:$H,"J*")
+SUMIFS(Input!$L:$L,Input!$K:$K,"1",Input!$E:$E,'5.CC Physical risk'!$O$24,Input!$D:$D,"outras empresas nao financeiras",Input!$H:$H,"M*")
+SUMIFS(Input!$L:$L,Input!$K:$K,"1",Input!$E:$E,'5.CC Physical risk'!$O$24,Input!$D:$D,"outras empresas nao financeiras",Input!$H:$H,"N*")
+SUMIFS(Input!$L:$L,Input!$K:$K,"1",Input!$E:$E,'5.CC Physical risk'!$O$24,Input!$D:$D,"outras empresas nao financeiras",Input!$H:$H,"O*")
+SUMIFS(Input!$L:$L,Input!$K:$K,"1",Input!$E:$E,'5.CC Physical risk'!$O$24,Input!$D:$D,"outras empresas nao financeiras",Input!$H:$H,"P*")
+SUMIFS(Input!$L:$L,Input!$K:$K,"1",Input!$E:$E,'5.CC Physical risk'!$O$24,Input!$D:$D,"outras empresas nao financeiras",Input!$H:$H,"Q*")
+SUMIFS(Input!$L:$L,Input!$K:$K,"1",Input!$E:$E,'5.CC Physical risk'!$O$24,Input!$D:$D,"outras empresas nao financeiras",Input!$H:$H,"R*")
+SUMIFS(Input!$L:$L,Input!$K:$K,"1",Input!$E:$E,'5.CC Physical risk'!$O$24,Input!$D:$D,"outras empresas nao financeiras",Input!$H:$H,"S*")
+SUMIFS(Input!$L:$L,Input!$K:$K,"1",Input!$E:$E,'5.CC Physical risk'!$O$24,Input!$D:$D,"outras empresas nao financeiras",Input!$H:$H,"T*")
+SUMIFS(Input!$L:$L,Input!$K:$K,"1",Input!$E:$E,'5.CC Physical risk'!$O$24,Input!$D:$D,"outras empresas nao financeiras",Input!$H:$H,"U*"))/1000000</f>
        <v>0</v>
      </c>
      <c r="P23" s="77">
        <f>(SUMIFS(Input!$L:$L,Input!$K:$K,"1",Input!$E:$E,'5.CC Physical risk'!$O$24,Input!$D:$D,"outras empresas nao financeiras",Input!$H:$H,"J*",Input!$C:$C,'5.CC Physical risk'!$M$24)
+SUMIFS(Input!$L:$L,Input!$K:$K,"1",Input!$E:$E,'5.CC Physical risk'!$O$24,Input!$D:$D,"outras empresas nao financeiras",Input!$H:$H,"M*",Input!$C:$C,'5.CC Physical risk'!$M$24)
+SUMIFS(Input!$L:$L,Input!$K:$K,"1",Input!$E:$E,'5.CC Physical risk'!$O$24,Input!$D:$D,"outras empresas nao financeiras",Input!$H:$H,"N*",Input!$C:$C,'5.CC Physical risk'!$M$24)
+SUMIFS(Input!$L:$L,Input!$K:$K,"1",Input!$E:$E,'5.CC Physical risk'!$O$24,Input!$D:$D,"outras empresas nao financeiras",Input!$H:$H,"O*",Input!$C:$C,'5.CC Physical risk'!$M$24)
+SUMIFS(Input!$L:$L,Input!$K:$K,"1",Input!$E:$E,'5.CC Physical risk'!$O$24,Input!$D:$D,"outras empresas nao financeiras",Input!$H:$H,"P*",Input!$C:$C,'5.CC Physical risk'!$M$24)
+SUMIFS(Input!$L:$L,Input!$K:$K,"1",Input!$E:$E,'5.CC Physical risk'!$O$24,Input!$D:$D,"outras empresas nao financeiras",Input!$H:$H,"Q*",Input!$C:$C,'5.CC Physical risk'!$M$24)
+SUMIFS(Input!$L:$L,Input!$K:$K,"1",Input!$E:$E,'5.CC Physical risk'!$O$24,Input!$D:$D,"outras empresas nao financeiras",Input!$H:$H,"R*",Input!$C:$C,'5.CC Physical risk'!$M$24)
+SUMIFS(Input!$L:$L,Input!$K:$K,"1",Input!$E:$E,'5.CC Physical risk'!$O$24,Input!$D:$D,"outras empresas nao financeiras",Input!$H:$H,"S*",Input!$C:$C,'5.CC Physical risk'!$M$24)
+SUMIFS(Input!$L:$L,Input!$K:$K,"1",Input!$E:$E,'5.CC Physical risk'!$O$24,Input!$D:$D,"outras empresas nao financeiras",Input!$H:$H,"T*",Input!$C:$C,'5.CC Physical risk'!$M$24)
+SUMIFS(Input!$L:$L,Input!$K:$K,"1",Input!$E:$E,'5.CC Physical risk'!$O$24,Input!$D:$D,"outras empresas nao financeiras",Input!$H:$H,"U*",Input!$C:$C,'5.CC Physical risk'!$M$24))/1000000</f>
        <v>0</v>
      </c>
      <c r="Q23" s="77">
        <f>(SUMIFS(Input!$L:$L,Input!$K:$K,"1",Input!$E:$E,'5.CC Physical risk'!$O$24,Input!$D:$D,"outras empresas nao financeiras",Input!$H:$H,"J*",Input!$C:$C,'5.CC Physical risk'!$N$24)
+SUMIFS(Input!$L:$L,Input!$K:$K,"1",Input!$E:$E,'5.CC Physical risk'!$O$24,Input!$D:$D,"outras empresas nao financeiras",Input!$H:$H,"M*",Input!$C:$C,'5.CC Physical risk'!$N$24)
+SUMIFS(Input!$L:$L,Input!$K:$K,"1",Input!$E:$E,'5.CC Physical risk'!$O$24,Input!$D:$D,"outras empresas nao financeiras",Input!$H:$H,"N*",Input!$C:$C,'5.CC Physical risk'!$N$24)
+SUMIFS(Input!$L:$L,Input!$K:$K,"1",Input!$E:$E,'5.CC Physical risk'!$O$24,Input!$D:$D,"outras empresas nao financeiras",Input!$H:$H,"O*",Input!$C:$C,'5.CC Physical risk'!$N$24)
+SUMIFS(Input!$L:$L,Input!$K:$K,"1",Input!$E:$E,'5.CC Physical risk'!$O$24,Input!$D:$D,"outras empresas nao financeiras",Input!$H:$H,"P*",Input!$C:$C,'5.CC Physical risk'!$N$24)
+SUMIFS(Input!$L:$L,Input!$K:$K,"1",Input!$E:$E,'5.CC Physical risk'!$O$24,Input!$D:$D,"outras empresas nao financeiras",Input!$H:$H,"Q*",Input!$C:$C,'5.CC Physical risk'!$N$24)
+SUMIFS(Input!$L:$L,Input!$K:$K,"1",Input!$E:$E,'5.CC Physical risk'!$O$24,Input!$D:$D,"outras empresas nao financeiras",Input!$H:$H,"R*",Input!$C:$C,'5.CC Physical risk'!$N$24)
+SUMIFS(Input!$L:$L,Input!$K:$K,"1",Input!$E:$E,'5.CC Physical risk'!$O$24,Input!$D:$D,"outras empresas nao financeiras",Input!$H:$H,"S*",Input!$C:$C,'5.CC Physical risk'!$N$24)
+SUMIFS(Input!$L:$L,Input!$K:$K,"1",Input!$E:$E,'5.CC Physical risk'!$O$24,Input!$D:$D,"outras empresas nao financeiras",Input!$H:$H,"T*",Input!$C:$C,'5.CC Physical risk'!$N$24)
+SUMIFS(Input!$L:$L,Input!$K:$K,"1",Input!$E:$E,'5.CC Physical risk'!$O$24,Input!$D:$D,"outras empresas nao financeiras",Input!$H:$H,"U*",Input!$C:$C,'5.CC Physical risk'!$N$24))/1000000</f>
        <v>0</v>
      </c>
      <c r="S23" s="57"/>
    </row>
    <row r="24" spans="1:19" s="61" customFormat="1" x14ac:dyDescent="0.2">
      <c r="A24" s="1"/>
      <c r="B24" s="44"/>
      <c r="C24" s="1"/>
      <c r="D24" s="54" t="s">
        <v>63</v>
      </c>
      <c r="E24" s="54">
        <v>1</v>
      </c>
      <c r="F24" s="54"/>
      <c r="G24" s="54"/>
      <c r="H24" s="59"/>
      <c r="I24" s="54"/>
      <c r="J24" s="54" t="s">
        <v>66</v>
      </c>
      <c r="K24" s="54" t="s">
        <v>62</v>
      </c>
      <c r="L24" s="54"/>
      <c r="M24" s="54" t="s">
        <v>64</v>
      </c>
      <c r="N24" s="54" t="s">
        <v>65</v>
      </c>
      <c r="O24" s="54" t="s">
        <v>60</v>
      </c>
      <c r="P24" s="60"/>
      <c r="Q24" s="60"/>
      <c r="S24" s="62"/>
    </row>
    <row r="25" spans="1:19" x14ac:dyDescent="0.2">
      <c r="C25" s="1"/>
      <c r="D25" s="79"/>
      <c r="E25" s="81"/>
      <c r="F25" s="63"/>
      <c r="G25" s="63"/>
      <c r="H25" s="63"/>
      <c r="I25" s="63"/>
      <c r="J25" s="78"/>
      <c r="K25" s="78"/>
      <c r="L25" s="78"/>
      <c r="M25" s="78"/>
      <c r="N25" s="78"/>
      <c r="O25" s="78"/>
      <c r="P25" s="83"/>
      <c r="Q25" s="78"/>
    </row>
    <row r="26" spans="1:19" x14ac:dyDescent="0.2">
      <c r="A26" s="65" t="s">
        <v>70</v>
      </c>
      <c r="B26" s="65">
        <f>SUMIFS(Input!$L:$L,Input!$K:$K,"1",Input!$E:$E,'5.CC Physical risk'!$D$24,Input!$H:$H,"J*",Input!$D:$D,"outras empresas nao financeiras",Input!$G:$G,"&gt;20")
+SUMIFS(Input!$L:$L,Input!$K:$K,"1",Input!$E:$E,'5.CC Physical risk'!$D$24,Input!$H:$H,"J*",Input!$D:$D,"outras empresas nao financeiras",Input!$G:$G,"-2")
+SUMIFS(Input!$L:$L,Input!$K:$K,"1",Input!$E:$E,'5.CC Physical risk'!$D$24,Input!$H:$H,"J*",Input!$D:$D,"outras empresas nao financeiras",Input!$G:$G,"-3")
+SUMIFS(Input!$L:$L,Input!$K:$K,"1",Input!$E:$E,'5.CC Physical risk'!$D$24,Input!$H:$H,"J*",Input!$D:$D,"outras empresas nao financeiras",Input!$G:$G,"-5")</f>
        <v>0</v>
      </c>
      <c r="C26" s="1"/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64"/>
      <c r="P26" s="64"/>
      <c r="Q26" s="64"/>
    </row>
    <row r="27" spans="1:19" x14ac:dyDescent="0.2">
      <c r="A27" s="65" t="s">
        <v>61</v>
      </c>
      <c r="B27" s="65">
        <f>SUMIFS(Input!$L:$L,Input!$K:$K,"1",Input!$E:$E,'5.CC Physical risk'!$D$24,Input!$H:$H,"N*",Input!$D:$D,"outras empresas nao financeiras",Input!$G:$G,"&gt;20")
+SUMIFS(Input!$L:$L,Input!$K:$K,"1",Input!$E:$E,'5.CC Physical risk'!$D$24,Input!$H:$H,"N*",Input!$D:$D,"outras empresas nao financeiras",Input!$G:$G,"-2")
+SUMIFS(Input!$L:$L,Input!$K:$K,"1",Input!$E:$E,'5.CC Physical risk'!$D$24,Input!$H:$H,"N*",Input!$D:$D,"outras empresas nao financeiras",Input!$G:$G,"-3")
+SUMIFS(Input!$L:$L,Input!$K:$K,"1",Input!$E:$E,'5.CC Physical risk'!$D$24,Input!$H:$H,"N*",Input!$D:$D,"outras empresas nao financeiras",Input!$G:$G,"-5")</f>
        <v>0</v>
      </c>
      <c r="C27" s="66"/>
      <c r="D27" s="67"/>
      <c r="E27" s="68"/>
      <c r="F27" s="68"/>
      <c r="G27" s="68"/>
      <c r="H27" s="67"/>
      <c r="I27" s="67"/>
      <c r="J27" s="68"/>
      <c r="K27" s="68"/>
      <c r="L27" s="68"/>
      <c r="M27" s="67"/>
      <c r="N27" s="68"/>
      <c r="O27" s="67"/>
      <c r="P27" s="69"/>
      <c r="Q27" s="69"/>
    </row>
    <row r="28" spans="1:19" x14ac:dyDescent="0.2">
      <c r="A28" s="65" t="s">
        <v>77</v>
      </c>
      <c r="B28" s="65">
        <f>SUMIFS(Input!$L:$L,Input!$K:$K,"1",Input!$E:$E,'5.CC Physical risk'!$D$24,Input!$H:$H,"O*",Input!$D:$D,"outras empresas nao financeiras",Input!$G:$G,"&gt;20")
+SUMIFS(Input!$L:$L,Input!$K:$K,"1",Input!$E:$E,'5.CC Physical risk'!$D$24,Input!$H:$H,"O*",Input!$D:$D,"outras empresas nao financeiras",Input!$G:$G,"-2")
+SUMIFS(Input!$L:$L,Input!$K:$K,"1",Input!$E:$E,'5.CC Physical risk'!$D$24,Input!$H:$H,"O*",Input!$D:$D,"outras empresas nao financeiras",Input!$G:$G,"-3")
+SUMIFS(Input!$L:$L,Input!$K:$K,"1",Input!$E:$E,'5.CC Physical risk'!$D$24,Input!$H:$H,"O*",Input!$D:$D,"outras empresas nao financeiras",Input!$G:$G,"-5")</f>
        <v>0</v>
      </c>
      <c r="C28" s="66"/>
      <c r="D28" s="1"/>
      <c r="E28" s="69"/>
      <c r="F28" s="69"/>
      <c r="G28" s="69"/>
      <c r="H28" s="69"/>
      <c r="I28" s="69"/>
      <c r="J28" s="69"/>
      <c r="K28" s="69"/>
      <c r="L28" s="69"/>
      <c r="M28" s="69"/>
      <c r="N28" s="69"/>
      <c r="O28" s="69"/>
      <c r="P28" s="69"/>
      <c r="Q28" s="69"/>
    </row>
    <row r="29" spans="1:19" x14ac:dyDescent="0.2">
      <c r="A29" s="65" t="s">
        <v>71</v>
      </c>
      <c r="B29" s="65">
        <f>SUMIFS(Input!$L:$L,Input!$K:$K,"1",Input!$E:$E,'5.CC Physical risk'!$D$24,Input!$H:$H,"P*",Input!$D:$D,"outras empresas nao financeiras",Input!$G:$G,"&gt;20")
+SUMIFS(Input!$L:$L,Input!$K:$K,"1",Input!$E:$E,'5.CC Physical risk'!$D$24,Input!$H:$H,"P*",Input!$D:$D,"outras empresas nao financeiras",Input!$G:$G,"-2")
+SUMIFS(Input!$L:$L,Input!$K:$K,"1",Input!$E:$E,'5.CC Physical risk'!$D$24,Input!$H:$H,"P*",Input!$D:$D,"outras empresas nao financeiras",Input!$G:$G,"-3")
+SUMIFS(Input!$L:$L,Input!$K:$K,"1",Input!$E:$E,'5.CC Physical risk'!$D$24,Input!$H:$H,"P*",Input!$D:$D,"outras empresas nao financeiras",Input!$G:$G,"-5")</f>
        <v>0</v>
      </c>
      <c r="C29" s="66"/>
      <c r="D29" s="69"/>
      <c r="E29" s="69"/>
      <c r="F29" s="69"/>
      <c r="G29" s="69"/>
      <c r="H29" s="69"/>
      <c r="I29" s="69"/>
      <c r="J29" s="70"/>
      <c r="K29" s="69"/>
      <c r="L29" s="69"/>
      <c r="M29" s="69"/>
      <c r="N29" s="69"/>
      <c r="O29" s="69"/>
      <c r="P29" s="69"/>
      <c r="Q29" s="69"/>
    </row>
    <row r="30" spans="1:19" x14ac:dyDescent="0.2">
      <c r="A30" s="65" t="s">
        <v>72</v>
      </c>
      <c r="B30" s="65">
        <f>SUMIFS(Input!$L:$L,Input!$K:$K,"1",Input!$E:$E,'5.CC Physical risk'!$D$24,Input!$H:$H,"Q*",Input!$D:$D,"outras empresas nao financeiras",Input!$G:$G,"&gt;20")
+SUMIFS(Input!$L:$L,Input!$K:$K,"1",Input!$E:$E,'5.CC Physical risk'!$D$24,Input!$H:$H,"Q*",Input!$D:$D,"outras empresas nao financeiras",Input!$G:$G,"-2")
+SUMIFS(Input!$L:$L,Input!$K:$K,"1",Input!$E:$E,'5.CC Physical risk'!$D$24,Input!$H:$H,"Q*",Input!$D:$D,"outras empresas nao financeiras",Input!$G:$G,"-3")
+SUMIFS(Input!$L:$L,Input!$K:$K,"1",Input!$E:$E,'5.CC Physical risk'!$D$24,Input!$H:$H,"Q*",Input!$D:$D,"outras empresas nao financeiras",Input!$G:$G,"-5")</f>
        <v>0</v>
      </c>
      <c r="C30" s="66"/>
      <c r="D30" s="69"/>
      <c r="E30" s="69"/>
      <c r="F30" s="69"/>
      <c r="G30" s="69"/>
      <c r="H30" s="69"/>
      <c r="I30" s="69"/>
      <c r="J30" s="69"/>
      <c r="K30" s="69"/>
      <c r="L30" s="69"/>
      <c r="M30" s="69"/>
      <c r="N30" s="69"/>
      <c r="O30" s="69"/>
      <c r="P30" s="69"/>
      <c r="Q30" s="69"/>
    </row>
    <row r="31" spans="1:19" x14ac:dyDescent="0.2">
      <c r="A31" s="65" t="s">
        <v>76</v>
      </c>
      <c r="B31" s="65">
        <f>SUMIFS(Input!$L:$L,Input!$K:$K,"1",Input!$E:$E,'5.CC Physical risk'!$D$24,Input!$H:$H,"R*",Input!$D:$D,"outras empresas nao financeiras",Input!$G:$G,"&gt;20")
+SUMIFS(Input!$L:$L,Input!$K:$K,"1",Input!$E:$E,'5.CC Physical risk'!$D$24,Input!$H:$H,"R*",Input!$D:$D,"outras empresas nao financeiras",Input!$G:$G,"-2")
+SUMIFS(Input!$L:$L,Input!$K:$K,"1",Input!$E:$E,'5.CC Physical risk'!$D$24,Input!$H:$H,"R*",Input!$D:$D,"outras empresas nao financeiras",Input!$G:$G,"-3")
+SUMIFS(Input!$L:$L,Input!$K:$K,"1",Input!$E:$E,'5.CC Physical risk'!$D$24,Input!$H:$H,"R*",Input!$D:$D,"outras empresas nao financeiras",Input!$G:$G,"-5")</f>
        <v>0</v>
      </c>
      <c r="C31" s="71"/>
      <c r="D31" s="72"/>
      <c r="E31" s="72"/>
      <c r="F31" s="72"/>
      <c r="G31" s="72"/>
      <c r="H31" s="73"/>
      <c r="I31" s="72"/>
      <c r="J31" s="72"/>
      <c r="K31" s="72"/>
      <c r="L31" s="72"/>
      <c r="M31" s="72"/>
      <c r="N31" s="72"/>
      <c r="O31" s="72"/>
      <c r="P31" s="72"/>
      <c r="Q31" s="72"/>
    </row>
    <row r="32" spans="1:19" x14ac:dyDescent="0.2">
      <c r="A32" s="65" t="s">
        <v>73</v>
      </c>
      <c r="B32" s="65">
        <f>SUMIFS(Input!$L:$L,Input!$K:$K,"1",Input!$E:$E,'5.CC Physical risk'!$D$24,Input!$H:$H,"S*",Input!$D:$D,"outras empresas nao financeiras",Input!$G:$G,"&gt;20")
+SUMIFS(Input!$L:$L,Input!$K:$K,"1",Input!$E:$E,'5.CC Physical risk'!$D$24,Input!$H:$H,"S*",Input!$D:$D,"outras empresas nao financeiras",Input!$G:$G,"-2")
+SUMIFS(Input!$L:$L,Input!$K:$K,"1",Input!$E:$E,'5.CC Physical risk'!$D$24,Input!$H:$H,"S*",Input!$D:$D,"outras empresas nao financeiras",Input!$G:$G,"-3")
+SUMIFS(Input!$L:$L,Input!$K:$K,"1",Input!$E:$E,'5.CC Physical risk'!$D$24,Input!$H:$H,"S*",Input!$D:$D,"outras empresas nao financeiras",Input!$G:$G,"-5")</f>
        <v>0</v>
      </c>
      <c r="D32" s="74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</row>
    <row r="33" spans="1:17" x14ac:dyDescent="0.2">
      <c r="A33" s="65" t="s">
        <v>79</v>
      </c>
      <c r="B33" s="65">
        <f>SUMIFS(Input!$L:$L,Input!$K:$K,"1",Input!$E:$E,'5.CC Physical risk'!$D$24,Input!$H:$H,"T*",Input!$D:$D,"outras empresas nao financeiras",Input!$G:$G,"&gt;20")
+SUMIFS(Input!$L:$L,Input!$K:$K,"1",Input!$E:$E,'5.CC Physical risk'!$D$24,Input!$H:$H,"T*",Input!$D:$D,"outras empresas nao financeiras",Input!$G:$G,"-2")
+SUMIFS(Input!$L:$L,Input!$K:$K,"1",Input!$E:$E,'5.CC Physical risk'!$D$24,Input!$H:$H,"T*",Input!$D:$D,"outras empresas nao financeiras",Input!$G:$G,"-3")
+SUMIFS(Input!$L:$L,Input!$K:$K,"1",Input!$E:$E,'5.CC Physical risk'!$D$24,Input!$H:$H,"T*",Input!$D:$D,"outras empresas nao financeiras",Input!$G:$G,"-5")</f>
        <v>0</v>
      </c>
      <c r="D33" s="72"/>
      <c r="E33" s="72"/>
      <c r="F33" s="72"/>
      <c r="G33" s="72"/>
      <c r="H33" s="75"/>
      <c r="I33" s="72"/>
      <c r="J33" s="72"/>
      <c r="K33" s="72"/>
      <c r="L33" s="72"/>
      <c r="M33" s="72"/>
      <c r="N33" s="72"/>
      <c r="O33" s="72"/>
      <c r="P33" s="72"/>
      <c r="Q33" s="72"/>
    </row>
    <row r="34" spans="1:17" x14ac:dyDescent="0.2">
      <c r="A34" s="65" t="s">
        <v>78</v>
      </c>
      <c r="B34" s="65">
        <f>SUMIFS(Input!$L:$L,Input!$K:$K,"1",Input!$E:$E,'5.CC Physical risk'!$D$24,Input!$H:$H,"U*",Input!$D:$D,"outras empresas nao financeiras",Input!$G:$G,"&gt;20")
+SUMIFS(Input!$L:$L,Input!$K:$K,"1",Input!$E:$E,'5.CC Physical risk'!$D$24,Input!$H:$H,"U*",Input!$D:$D,"outras empresas nao financeiras",Input!$G:$G,"-2")
+SUMIFS(Input!$L:$L,Input!$K:$K,"1",Input!$E:$E,'5.CC Physical risk'!$D$24,Input!$H:$H,"U*",Input!$D:$D,"outras empresas nao financeiras",Input!$G:$G,"-3")
+SUMIFS(Input!$L:$L,Input!$K:$K,"1",Input!$E:$E,'5.CC Physical risk'!$D$24,Input!$H:$H,"U*",Input!$D:$D,"outras empresas nao financeiras",Input!$G:$G,"-5")</f>
        <v>0</v>
      </c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</row>
    <row r="35" spans="1:17" x14ac:dyDescent="0.2">
      <c r="A35" s="65" t="s">
        <v>67</v>
      </c>
      <c r="B35" s="65">
        <f>SUMIFS(Input!$L:$L,Input!$K:$K,"1",Input!$E:$E,'5.CC Physical risk'!$D$24,Input!$H:$H,"M*",Input!$D:$D,"outras empresas nao financeiras",Input!$G:$G,"&gt;20")
+SUMIFS(Input!$L:$L,Input!$K:$K,"1",Input!$E:$E,'5.CC Physical risk'!$D$24,Input!$H:$H,"M*",Input!$D:$D,"outras empresas nao financeiras",Input!$G:$G,"-2")
+SUMIFS(Input!$L:$L,Input!$K:$K,"1",Input!$E:$E,'5.CC Physical risk'!$D$24,Input!$H:$H,"M*",Input!$D:$D,"outras empresas nao financeiras",Input!$G:$G,"-3")
+SUMIFS(Input!$L:$L,Input!$K:$K,"1",Input!$E:$E,'5.CC Physical risk'!$D$24,Input!$H:$H,"M*",Input!$D:$D,"outras empresas nao financeiras",Input!$G:$G,"-5")</f>
        <v>0</v>
      </c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</row>
    <row r="36" spans="1:17" x14ac:dyDescent="0.2">
      <c r="A36" s="54"/>
      <c r="B36" s="54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</row>
    <row r="37" spans="1:17" x14ac:dyDescent="0.2"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</row>
    <row r="38" spans="1:17" x14ac:dyDescent="0.2"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</row>
    <row r="39" spans="1:17" x14ac:dyDescent="0.2"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</row>
    <row r="40" spans="1:17" x14ac:dyDescent="0.2">
      <c r="D40" s="72"/>
      <c r="E40" s="72"/>
      <c r="F40" s="72"/>
      <c r="G40" s="76"/>
      <c r="H40" s="76"/>
      <c r="I40" s="76"/>
      <c r="J40" s="76"/>
      <c r="K40" s="76"/>
      <c r="M40" s="76"/>
      <c r="N40" s="76"/>
    </row>
    <row r="41" spans="1:17" x14ac:dyDescent="0.2">
      <c r="D41" s="72"/>
      <c r="E41" s="72"/>
      <c r="F41" s="72"/>
      <c r="G41" s="76"/>
      <c r="K41" s="76"/>
      <c r="M41" s="76"/>
      <c r="N41" s="76"/>
    </row>
    <row r="42" spans="1:17" x14ac:dyDescent="0.2">
      <c r="D42" s="72"/>
      <c r="E42" s="72"/>
      <c r="F42" s="72"/>
      <c r="G42" s="76"/>
      <c r="K42" s="76"/>
      <c r="M42" s="76"/>
      <c r="N42" s="76"/>
    </row>
    <row r="43" spans="1:17" x14ac:dyDescent="0.2">
      <c r="D43" s="72"/>
      <c r="E43" s="72"/>
      <c r="F43" s="72"/>
      <c r="G43" s="76"/>
      <c r="K43" s="76"/>
      <c r="M43" s="76"/>
      <c r="N43" s="76"/>
    </row>
    <row r="44" spans="1:17" x14ac:dyDescent="0.2">
      <c r="D44" s="72"/>
      <c r="E44" s="72"/>
      <c r="F44" s="72"/>
      <c r="G44" s="76"/>
      <c r="K44" s="76"/>
      <c r="M44" s="76"/>
      <c r="N44" s="76"/>
    </row>
    <row r="45" spans="1:17" x14ac:dyDescent="0.2">
      <c r="D45" s="72"/>
      <c r="E45" s="72"/>
      <c r="F45" s="72"/>
      <c r="G45" s="76"/>
      <c r="K45" s="76"/>
      <c r="M45" s="76"/>
      <c r="N45" s="76"/>
    </row>
    <row r="46" spans="1:17" x14ac:dyDescent="0.2">
      <c r="D46" s="72"/>
      <c r="E46" s="72"/>
      <c r="F46" s="72"/>
      <c r="G46" s="76"/>
      <c r="K46" s="76"/>
      <c r="M46" s="76"/>
      <c r="N46" s="76"/>
    </row>
    <row r="47" spans="1:17" x14ac:dyDescent="0.2">
      <c r="D47" s="72"/>
      <c r="E47" s="72"/>
      <c r="F47" s="72"/>
      <c r="G47" s="76"/>
      <c r="K47" s="76"/>
      <c r="M47" s="76"/>
      <c r="N47" s="76"/>
    </row>
    <row r="48" spans="1:17" x14ac:dyDescent="0.2">
      <c r="D48" s="72"/>
      <c r="E48" s="72"/>
      <c r="F48" s="72"/>
      <c r="G48" s="76"/>
      <c r="K48" s="76"/>
      <c r="M48" s="76"/>
      <c r="N48" s="76"/>
    </row>
    <row r="49" spans="4:14" x14ac:dyDescent="0.2">
      <c r="D49" s="72"/>
      <c r="E49" s="72"/>
      <c r="F49" s="72"/>
      <c r="G49" s="76"/>
      <c r="K49" s="76"/>
      <c r="M49" s="76"/>
      <c r="N49" s="76"/>
    </row>
    <row r="50" spans="4:14" x14ac:dyDescent="0.2">
      <c r="D50" s="72"/>
      <c r="E50" s="76"/>
      <c r="F50" s="76"/>
      <c r="G50" s="76"/>
      <c r="K50" s="76"/>
      <c r="M50" s="76"/>
      <c r="N50" s="76"/>
    </row>
    <row r="51" spans="4:14" x14ac:dyDescent="0.2">
      <c r="D51" s="76"/>
      <c r="E51" s="76"/>
      <c r="F51" s="76"/>
      <c r="G51" s="76"/>
      <c r="K51" s="76"/>
      <c r="M51" s="76"/>
      <c r="N51" s="76"/>
    </row>
    <row r="52" spans="4:14" x14ac:dyDescent="0.2">
      <c r="D52" s="76"/>
      <c r="E52" s="76"/>
      <c r="F52" s="76"/>
      <c r="G52" s="76"/>
      <c r="K52" s="76"/>
      <c r="M52" s="76"/>
      <c r="N52" s="76"/>
    </row>
    <row r="53" spans="4:14" x14ac:dyDescent="0.2">
      <c r="D53" s="76"/>
      <c r="E53" s="76"/>
      <c r="F53" s="76"/>
      <c r="G53" s="76"/>
      <c r="K53" s="76"/>
    </row>
    <row r="54" spans="4:14" x14ac:dyDescent="0.2">
      <c r="D54" s="76"/>
      <c r="E54" s="76"/>
      <c r="F54" s="76"/>
      <c r="G54" s="76"/>
      <c r="K54" s="76"/>
    </row>
  </sheetData>
  <mergeCells count="10">
    <mergeCell ref="C5:C8"/>
    <mergeCell ref="D5:Q5"/>
    <mergeCell ref="E6:Q6"/>
    <mergeCell ref="E7:I7"/>
    <mergeCell ref="J7:J8"/>
    <mergeCell ref="K7:K8"/>
    <mergeCell ref="L7:L8"/>
    <mergeCell ref="M7:M8"/>
    <mergeCell ref="N7:N8"/>
    <mergeCell ref="O7:Q7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3307D328052CE49BABEAF1D5BD19CE8" ma:contentTypeVersion="6" ma:contentTypeDescription="Criar um novo documento." ma:contentTypeScope="" ma:versionID="31c357d3320844a5f2610cbf3834eaa2">
  <xsd:schema xmlns:xsd="http://www.w3.org/2001/XMLSchema" xmlns:xs="http://www.w3.org/2001/XMLSchema" xmlns:p="http://schemas.microsoft.com/office/2006/metadata/properties" xmlns:ns1="http://schemas.microsoft.com/sharepoint/v3" xmlns:ns2="691f81de-e01a-4b25-b573-c3f90f157691" targetNamespace="http://schemas.microsoft.com/office/2006/metadata/properties" ma:root="true" ma:fieldsID="01488c391752b06d336738650b54da81" ns1:_="" ns2:_="">
    <xsd:import namespace="http://schemas.microsoft.com/sharepoint/v3"/>
    <xsd:import namespace="691f81de-e01a-4b25-b573-c3f90f157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Ação de IU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1f81de-e01a-4b25-b573-c3f90f1576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F563CE71-774E-4956-8127-8681385FA114}"/>
</file>

<file path=customXml/itemProps2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FAA08FF-BA12-4D0A-8953-9C151DD9864F}">
  <ds:schemaRefs>
    <ds:schemaRef ds:uri="http://www.w3.org/XML/1998/namespace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microsoft.com/sharepoint/v3"/>
    <ds:schemaRef ds:uri="http://schemas.openxmlformats.org/package/2006/metadata/core-properties"/>
    <ds:schemaRef ds:uri="d297a1aa-811d-49d5-a4de-68f130ff291c"/>
    <ds:schemaRef ds:uri="http://purl.org/dc/terms/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Menu</vt:lpstr>
      <vt:lpstr>Input</vt:lpstr>
      <vt:lpstr>5.CC Physical risk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Erbilgic</dc:creator>
  <cp:lastModifiedBy>Hélder Filipe Felicidade Fernandes</cp:lastModifiedBy>
  <dcterms:created xsi:type="dcterms:W3CDTF">2021-09-06T12:20:44Z</dcterms:created>
  <dcterms:modified xsi:type="dcterms:W3CDTF">2026-03-05T12:14:29Z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0x01010033307D328052CE49BABEAF1D5BD19CE8</vt:lpwstr>
  </property>
  <property fmtid="{D5CDD505-2E9C-101B-9397-08002B2CF9AE}" pid="17" name="SV_QUERY_LIST_4F35BF76-6C0D-4D9B-82B2-816C12CF3733">
    <vt:lpwstr>empty_477D106A-C0D6-4607-AEBD-E2C9D60EA279</vt:lpwstr>
  </property>
  <property fmtid="{D5CDD505-2E9C-101B-9397-08002B2CF9AE}" pid="18" name="SV_HIDDEN_GRID_QUERY_LIST_4F35BF76-6C0D-4D9B-82B2-816C12CF3733">
    <vt:lpwstr>empty_477D106A-C0D6-4607-AEBD-E2C9D60EA279</vt:lpwstr>
  </property>
</Properties>
</file>