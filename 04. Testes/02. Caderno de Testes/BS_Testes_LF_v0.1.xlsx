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4. Testes/02. Caderno de Testes/"/>
    </mc:Choice>
  </mc:AlternateContent>
  <xr:revisionPtr revIDLastSave="9" documentId="11_FF477C3873E342D7810F8DDA39CFD752F935F813" xr6:coauthVersionLast="47" xr6:coauthVersionMax="47" xr10:uidLastSave="{AF12C594-5689-4B4C-8A61-3896E8CA0849}"/>
  <bookViews>
    <workbookView xWindow="-28920" yWindow="1380" windowWidth="29040" windowHeight="15720" xr2:uid="{00000000-000D-0000-FFFF-FFFF00000000}"/>
  </bookViews>
  <sheets>
    <sheet name="0. Instruções" sheetId="5" r:id="rId1"/>
    <sheet name="1. Status" sheetId="7" r:id="rId2"/>
    <sheet name="2. Script " sheetId="4" r:id="rId3"/>
    <sheet name="3. Resultados &gt;&gt;" sheetId="11" r:id="rId4"/>
    <sheet name="ID1&amp;5" sheetId="8" r:id="rId5"/>
    <sheet name="ID6&amp;7" sheetId="10" r:id="rId6"/>
    <sheet name="4. Incidências &gt;&gt; " sheetId="13" r:id="rId7"/>
    <sheet name="ID1" sheetId="12" r:id="rId8"/>
  </sheets>
  <definedNames>
    <definedName name="_xlnm._FilterDatabase" localSheetId="1" hidden="1">'1. Status'!$A$10:$AS$107</definedName>
    <definedName name="_xlnm._FilterDatabase" localSheetId="2" hidden="1">'2. Script '!$B$8:$M$548</definedName>
    <definedName name="_xlnm._FilterDatabase" localSheetId="4" hidden="1">'ID1&amp;5'!$A$8:$L$213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4" i="8" l="1"/>
  <c r="B205" i="8"/>
  <c r="B206" i="8"/>
  <c r="B207" i="8"/>
  <c r="B208" i="8"/>
  <c r="B209" i="8"/>
  <c r="B210" i="8"/>
  <c r="B211" i="8"/>
  <c r="B212" i="8"/>
  <c r="B213" i="8"/>
  <c r="A204" i="8"/>
  <c r="A205" i="8"/>
  <c r="A206" i="8"/>
  <c r="A207" i="8"/>
  <c r="A208" i="8"/>
  <c r="A209" i="8"/>
  <c r="A210" i="8"/>
  <c r="A211" i="8"/>
  <c r="A212" i="8"/>
  <c r="A213" i="8"/>
  <c r="B189" i="8" l="1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33" i="10" l="1"/>
  <c r="B184" i="8"/>
  <c r="B185" i="8"/>
  <c r="B186" i="8"/>
  <c r="B187" i="8"/>
  <c r="B188" i="8"/>
  <c r="A184" i="8"/>
  <c r="A185" i="8"/>
  <c r="A186" i="8"/>
  <c r="A187" i="8"/>
  <c r="A18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B158" i="8"/>
  <c r="A158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1" i="10" l="1"/>
  <c r="B14" i="8" l="1"/>
  <c r="A14" i="8"/>
  <c r="D102" i="4" l="1"/>
  <c r="E102" i="4"/>
  <c r="J102" i="4" s="1"/>
  <c r="K102" i="4"/>
  <c r="D35" i="4"/>
  <c r="E35" i="4"/>
  <c r="J35" i="4" s="1"/>
  <c r="K35" i="4"/>
  <c r="A9" i="8" l="1"/>
  <c r="A100" i="10" l="1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0" i="10"/>
  <c r="A9" i="10"/>
  <c r="B140" i="8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E548" i="4"/>
  <c r="J548" i="4" s="1"/>
  <c r="D548" i="4"/>
  <c r="E547" i="4"/>
  <c r="J547" i="4" s="1"/>
  <c r="D547" i="4"/>
  <c r="E546" i="4"/>
  <c r="J546" i="4" s="1"/>
  <c r="D546" i="4"/>
  <c r="E545" i="4"/>
  <c r="J545" i="4" s="1"/>
  <c r="D545" i="4"/>
  <c r="E544" i="4"/>
  <c r="J544" i="4" s="1"/>
  <c r="D544" i="4"/>
  <c r="E543" i="4"/>
  <c r="J543" i="4" s="1"/>
  <c r="D543" i="4"/>
  <c r="E542" i="4"/>
  <c r="J542" i="4" s="1"/>
  <c r="D542" i="4"/>
  <c r="E541" i="4"/>
  <c r="J541" i="4" s="1"/>
  <c r="D541" i="4"/>
  <c r="E540" i="4"/>
  <c r="J540" i="4" s="1"/>
  <c r="D540" i="4"/>
  <c r="E539" i="4"/>
  <c r="J539" i="4" s="1"/>
  <c r="D539" i="4"/>
  <c r="E538" i="4"/>
  <c r="J538" i="4" s="1"/>
  <c r="D538" i="4"/>
  <c r="E537" i="4"/>
  <c r="J537" i="4" s="1"/>
  <c r="D537" i="4"/>
  <c r="E536" i="4"/>
  <c r="J536" i="4" s="1"/>
  <c r="D536" i="4"/>
  <c r="E535" i="4"/>
  <c r="J535" i="4" s="1"/>
  <c r="D535" i="4"/>
  <c r="E534" i="4"/>
  <c r="J534" i="4" s="1"/>
  <c r="D534" i="4"/>
  <c r="E533" i="4"/>
  <c r="J533" i="4" s="1"/>
  <c r="D533" i="4"/>
  <c r="E532" i="4"/>
  <c r="J532" i="4" s="1"/>
  <c r="D532" i="4"/>
  <c r="E531" i="4"/>
  <c r="J531" i="4" s="1"/>
  <c r="D531" i="4"/>
  <c r="E530" i="4"/>
  <c r="J530" i="4" s="1"/>
  <c r="D530" i="4"/>
  <c r="E529" i="4"/>
  <c r="J529" i="4" s="1"/>
  <c r="D529" i="4"/>
  <c r="E528" i="4"/>
  <c r="J528" i="4" s="1"/>
  <c r="D528" i="4"/>
  <c r="E527" i="4"/>
  <c r="J527" i="4" s="1"/>
  <c r="D527" i="4"/>
  <c r="E526" i="4"/>
  <c r="J526" i="4" s="1"/>
  <c r="D526" i="4"/>
  <c r="E525" i="4"/>
  <c r="J525" i="4" s="1"/>
  <c r="D525" i="4"/>
  <c r="E524" i="4"/>
  <c r="J524" i="4" s="1"/>
  <c r="D524" i="4"/>
  <c r="E523" i="4"/>
  <c r="J523" i="4" s="1"/>
  <c r="D523" i="4"/>
  <c r="E522" i="4"/>
  <c r="J522" i="4" s="1"/>
  <c r="D522" i="4"/>
  <c r="E521" i="4"/>
  <c r="J521" i="4" s="1"/>
  <c r="D521" i="4"/>
  <c r="E520" i="4"/>
  <c r="J520" i="4" s="1"/>
  <c r="D520" i="4"/>
  <c r="E519" i="4"/>
  <c r="J519" i="4" s="1"/>
  <c r="D519" i="4"/>
  <c r="E518" i="4"/>
  <c r="J518" i="4" s="1"/>
  <c r="D518" i="4"/>
  <c r="E517" i="4"/>
  <c r="J517" i="4" s="1"/>
  <c r="D517" i="4"/>
  <c r="E516" i="4"/>
  <c r="J516" i="4" s="1"/>
  <c r="D516" i="4"/>
  <c r="E515" i="4"/>
  <c r="J515" i="4" s="1"/>
  <c r="D515" i="4"/>
  <c r="E514" i="4"/>
  <c r="J514" i="4" s="1"/>
  <c r="D514" i="4"/>
  <c r="E513" i="4"/>
  <c r="J513" i="4" s="1"/>
  <c r="D513" i="4"/>
  <c r="E512" i="4"/>
  <c r="J512" i="4" s="1"/>
  <c r="D512" i="4"/>
  <c r="E511" i="4"/>
  <c r="J511" i="4" s="1"/>
  <c r="D511" i="4"/>
  <c r="E510" i="4"/>
  <c r="J510" i="4" s="1"/>
  <c r="D510" i="4"/>
  <c r="E509" i="4"/>
  <c r="J509" i="4" s="1"/>
  <c r="D509" i="4"/>
  <c r="E508" i="4"/>
  <c r="J508" i="4" s="1"/>
  <c r="D508" i="4"/>
  <c r="E507" i="4"/>
  <c r="J507" i="4" s="1"/>
  <c r="D507" i="4"/>
  <c r="E506" i="4"/>
  <c r="J506" i="4" s="1"/>
  <c r="D506" i="4"/>
  <c r="E505" i="4"/>
  <c r="J505" i="4" s="1"/>
  <c r="D505" i="4"/>
  <c r="E504" i="4"/>
  <c r="J504" i="4" s="1"/>
  <c r="D504" i="4"/>
  <c r="E503" i="4"/>
  <c r="J503" i="4" s="1"/>
  <c r="D503" i="4"/>
  <c r="E502" i="4"/>
  <c r="J502" i="4" s="1"/>
  <c r="D502" i="4"/>
  <c r="E501" i="4"/>
  <c r="J501" i="4" s="1"/>
  <c r="D501" i="4"/>
  <c r="E500" i="4"/>
  <c r="J500" i="4" s="1"/>
  <c r="D500" i="4"/>
  <c r="E499" i="4"/>
  <c r="J499" i="4" s="1"/>
  <c r="D499" i="4"/>
  <c r="E498" i="4"/>
  <c r="J498" i="4" s="1"/>
  <c r="D498" i="4"/>
  <c r="E497" i="4"/>
  <c r="J497" i="4" s="1"/>
  <c r="D497" i="4"/>
  <c r="E496" i="4"/>
  <c r="J496" i="4" s="1"/>
  <c r="D496" i="4"/>
  <c r="E495" i="4"/>
  <c r="J495" i="4" s="1"/>
  <c r="D495" i="4"/>
  <c r="E494" i="4"/>
  <c r="J494" i="4" s="1"/>
  <c r="D494" i="4"/>
  <c r="E493" i="4"/>
  <c r="J493" i="4" s="1"/>
  <c r="D493" i="4"/>
  <c r="E492" i="4"/>
  <c r="J492" i="4" s="1"/>
  <c r="D492" i="4"/>
  <c r="E491" i="4"/>
  <c r="J491" i="4" s="1"/>
  <c r="D491" i="4"/>
  <c r="E490" i="4"/>
  <c r="J490" i="4" s="1"/>
  <c r="D490" i="4"/>
  <c r="E489" i="4"/>
  <c r="J489" i="4" s="1"/>
  <c r="D489" i="4"/>
  <c r="E488" i="4"/>
  <c r="J488" i="4" s="1"/>
  <c r="D488" i="4"/>
  <c r="E487" i="4"/>
  <c r="J487" i="4" s="1"/>
  <c r="D487" i="4"/>
  <c r="E486" i="4"/>
  <c r="J486" i="4" s="1"/>
  <c r="D486" i="4"/>
  <c r="E485" i="4"/>
  <c r="J485" i="4" s="1"/>
  <c r="D485" i="4"/>
  <c r="E484" i="4"/>
  <c r="J484" i="4" s="1"/>
  <c r="D484" i="4"/>
  <c r="E483" i="4"/>
  <c r="J483" i="4" s="1"/>
  <c r="D483" i="4"/>
  <c r="E482" i="4"/>
  <c r="J482" i="4" s="1"/>
  <c r="D482" i="4"/>
  <c r="E481" i="4"/>
  <c r="J481" i="4" s="1"/>
  <c r="D481" i="4"/>
  <c r="E480" i="4"/>
  <c r="J480" i="4" s="1"/>
  <c r="D480" i="4"/>
  <c r="E479" i="4"/>
  <c r="J479" i="4" s="1"/>
  <c r="D479" i="4"/>
  <c r="E478" i="4"/>
  <c r="J478" i="4" s="1"/>
  <c r="D478" i="4"/>
  <c r="E477" i="4"/>
  <c r="J477" i="4" s="1"/>
  <c r="D477" i="4"/>
  <c r="E476" i="4"/>
  <c r="J476" i="4" s="1"/>
  <c r="D476" i="4"/>
  <c r="E475" i="4"/>
  <c r="J475" i="4" s="1"/>
  <c r="D475" i="4"/>
  <c r="E474" i="4"/>
  <c r="J474" i="4" s="1"/>
  <c r="D474" i="4"/>
  <c r="E473" i="4"/>
  <c r="J473" i="4" s="1"/>
  <c r="D473" i="4"/>
  <c r="E472" i="4"/>
  <c r="J472" i="4" s="1"/>
  <c r="D472" i="4"/>
  <c r="E471" i="4"/>
  <c r="J471" i="4" s="1"/>
  <c r="D471" i="4"/>
  <c r="E470" i="4"/>
  <c r="J470" i="4" s="1"/>
  <c r="D470" i="4"/>
  <c r="E469" i="4"/>
  <c r="J469" i="4" s="1"/>
  <c r="D469" i="4"/>
  <c r="E468" i="4"/>
  <c r="J468" i="4" s="1"/>
  <c r="D468" i="4"/>
  <c r="E467" i="4"/>
  <c r="J467" i="4" s="1"/>
  <c r="D467" i="4"/>
  <c r="E466" i="4"/>
  <c r="J466" i="4" s="1"/>
  <c r="D466" i="4"/>
  <c r="E465" i="4"/>
  <c r="J465" i="4" s="1"/>
  <c r="D465" i="4"/>
  <c r="E464" i="4"/>
  <c r="J464" i="4" s="1"/>
  <c r="D464" i="4"/>
  <c r="E463" i="4"/>
  <c r="J463" i="4" s="1"/>
  <c r="D463" i="4"/>
  <c r="E462" i="4"/>
  <c r="J462" i="4" s="1"/>
  <c r="D462" i="4"/>
  <c r="E461" i="4"/>
  <c r="J461" i="4" s="1"/>
  <c r="D461" i="4"/>
  <c r="E460" i="4"/>
  <c r="J460" i="4" s="1"/>
  <c r="D460" i="4"/>
  <c r="E459" i="4"/>
  <c r="J459" i="4" s="1"/>
  <c r="D459" i="4"/>
  <c r="E458" i="4"/>
  <c r="J458" i="4" s="1"/>
  <c r="D458" i="4"/>
  <c r="E457" i="4"/>
  <c r="J457" i="4" s="1"/>
  <c r="D457" i="4"/>
  <c r="E456" i="4"/>
  <c r="J456" i="4" s="1"/>
  <c r="D456" i="4"/>
  <c r="E455" i="4"/>
  <c r="J455" i="4" s="1"/>
  <c r="D455" i="4"/>
  <c r="E454" i="4"/>
  <c r="J454" i="4" s="1"/>
  <c r="D454" i="4"/>
  <c r="E453" i="4"/>
  <c r="J453" i="4" s="1"/>
  <c r="D453" i="4"/>
  <c r="E452" i="4"/>
  <c r="J452" i="4" s="1"/>
  <c r="D452" i="4"/>
  <c r="E451" i="4"/>
  <c r="J451" i="4" s="1"/>
  <c r="D451" i="4"/>
  <c r="E450" i="4"/>
  <c r="J450" i="4" s="1"/>
  <c r="D450" i="4"/>
  <c r="E449" i="4"/>
  <c r="J449" i="4" s="1"/>
  <c r="D449" i="4"/>
  <c r="E448" i="4"/>
  <c r="J448" i="4" s="1"/>
  <c r="D448" i="4"/>
  <c r="E447" i="4"/>
  <c r="J447" i="4" s="1"/>
  <c r="D447" i="4"/>
  <c r="E446" i="4"/>
  <c r="J446" i="4" s="1"/>
  <c r="D446" i="4"/>
  <c r="E445" i="4"/>
  <c r="J445" i="4" s="1"/>
  <c r="D445" i="4"/>
  <c r="E444" i="4"/>
  <c r="J444" i="4" s="1"/>
  <c r="D444" i="4"/>
  <c r="E443" i="4"/>
  <c r="J443" i="4" s="1"/>
  <c r="D443" i="4"/>
  <c r="E442" i="4"/>
  <c r="J442" i="4" s="1"/>
  <c r="D442" i="4"/>
  <c r="E441" i="4"/>
  <c r="J441" i="4" s="1"/>
  <c r="D441" i="4"/>
  <c r="E440" i="4"/>
  <c r="J440" i="4" s="1"/>
  <c r="D440" i="4"/>
  <c r="E439" i="4"/>
  <c r="J439" i="4" s="1"/>
  <c r="D439" i="4"/>
  <c r="E438" i="4"/>
  <c r="J438" i="4" s="1"/>
  <c r="D438" i="4"/>
  <c r="E437" i="4"/>
  <c r="J437" i="4" s="1"/>
  <c r="D437" i="4"/>
  <c r="E436" i="4"/>
  <c r="J436" i="4" s="1"/>
  <c r="D436" i="4"/>
  <c r="E435" i="4"/>
  <c r="J435" i="4" s="1"/>
  <c r="D435" i="4"/>
  <c r="E434" i="4"/>
  <c r="J434" i="4" s="1"/>
  <c r="D434" i="4"/>
  <c r="E433" i="4"/>
  <c r="J433" i="4" s="1"/>
  <c r="D433" i="4"/>
  <c r="E432" i="4"/>
  <c r="J432" i="4" s="1"/>
  <c r="D432" i="4"/>
  <c r="E431" i="4"/>
  <c r="J431" i="4" s="1"/>
  <c r="D431" i="4"/>
  <c r="E430" i="4"/>
  <c r="J430" i="4" s="1"/>
  <c r="D430" i="4"/>
  <c r="E429" i="4"/>
  <c r="J429" i="4" s="1"/>
  <c r="D429" i="4"/>
  <c r="E428" i="4"/>
  <c r="J428" i="4" s="1"/>
  <c r="D428" i="4"/>
  <c r="E427" i="4"/>
  <c r="J427" i="4" s="1"/>
  <c r="D427" i="4"/>
  <c r="E426" i="4"/>
  <c r="J426" i="4" s="1"/>
  <c r="D426" i="4"/>
  <c r="E425" i="4"/>
  <c r="J425" i="4" s="1"/>
  <c r="D425" i="4"/>
  <c r="E424" i="4"/>
  <c r="J424" i="4" s="1"/>
  <c r="D424" i="4"/>
  <c r="E423" i="4"/>
  <c r="J423" i="4" s="1"/>
  <c r="D423" i="4"/>
  <c r="E422" i="4"/>
  <c r="J422" i="4" s="1"/>
  <c r="D422" i="4"/>
  <c r="E421" i="4"/>
  <c r="J421" i="4" s="1"/>
  <c r="D421" i="4"/>
  <c r="E420" i="4"/>
  <c r="J420" i="4" s="1"/>
  <c r="D420" i="4"/>
  <c r="E419" i="4"/>
  <c r="J419" i="4" s="1"/>
  <c r="D419" i="4"/>
  <c r="E418" i="4"/>
  <c r="J418" i="4" s="1"/>
  <c r="D418" i="4"/>
  <c r="E417" i="4"/>
  <c r="J417" i="4" s="1"/>
  <c r="D417" i="4"/>
  <c r="E416" i="4"/>
  <c r="J416" i="4" s="1"/>
  <c r="D416" i="4"/>
  <c r="E415" i="4"/>
  <c r="J415" i="4" s="1"/>
  <c r="D415" i="4"/>
  <c r="E414" i="4"/>
  <c r="J414" i="4" s="1"/>
  <c r="D414" i="4"/>
  <c r="E413" i="4"/>
  <c r="J413" i="4" s="1"/>
  <c r="D413" i="4"/>
  <c r="E412" i="4"/>
  <c r="J412" i="4" s="1"/>
  <c r="D412" i="4"/>
  <c r="E411" i="4"/>
  <c r="J411" i="4" s="1"/>
  <c r="D411" i="4"/>
  <c r="E410" i="4"/>
  <c r="J410" i="4" s="1"/>
  <c r="D410" i="4"/>
  <c r="E409" i="4"/>
  <c r="J409" i="4" s="1"/>
  <c r="D409" i="4"/>
  <c r="E408" i="4"/>
  <c r="J408" i="4" s="1"/>
  <c r="D408" i="4"/>
  <c r="E407" i="4"/>
  <c r="J407" i="4" s="1"/>
  <c r="D407" i="4"/>
  <c r="E406" i="4"/>
  <c r="J406" i="4" s="1"/>
  <c r="D406" i="4"/>
  <c r="E405" i="4"/>
  <c r="J405" i="4" s="1"/>
  <c r="D405" i="4"/>
  <c r="E404" i="4"/>
  <c r="J404" i="4" s="1"/>
  <c r="D404" i="4"/>
  <c r="E403" i="4"/>
  <c r="J403" i="4" s="1"/>
  <c r="D403" i="4"/>
  <c r="E402" i="4"/>
  <c r="J402" i="4" s="1"/>
  <c r="D402" i="4"/>
  <c r="E401" i="4"/>
  <c r="J401" i="4" s="1"/>
  <c r="D401" i="4"/>
  <c r="E400" i="4"/>
  <c r="J400" i="4" s="1"/>
  <c r="D400" i="4"/>
  <c r="E399" i="4"/>
  <c r="J399" i="4" s="1"/>
  <c r="D399" i="4"/>
  <c r="E398" i="4"/>
  <c r="J398" i="4" s="1"/>
  <c r="D398" i="4"/>
  <c r="E397" i="4"/>
  <c r="J397" i="4" s="1"/>
  <c r="D397" i="4"/>
  <c r="E396" i="4"/>
  <c r="J396" i="4" s="1"/>
  <c r="D396" i="4"/>
  <c r="E395" i="4"/>
  <c r="J395" i="4" s="1"/>
  <c r="D395" i="4"/>
  <c r="E394" i="4"/>
  <c r="J394" i="4" s="1"/>
  <c r="D394" i="4"/>
  <c r="E393" i="4"/>
  <c r="J393" i="4" s="1"/>
  <c r="D393" i="4"/>
  <c r="E392" i="4"/>
  <c r="J392" i="4" s="1"/>
  <c r="D392" i="4"/>
  <c r="E391" i="4"/>
  <c r="J391" i="4" s="1"/>
  <c r="D391" i="4"/>
  <c r="E390" i="4"/>
  <c r="J390" i="4" s="1"/>
  <c r="D390" i="4"/>
  <c r="E389" i="4"/>
  <c r="J389" i="4" s="1"/>
  <c r="D389" i="4"/>
  <c r="E388" i="4"/>
  <c r="J388" i="4" s="1"/>
  <c r="D388" i="4"/>
  <c r="E387" i="4"/>
  <c r="J387" i="4" s="1"/>
  <c r="D387" i="4"/>
  <c r="E386" i="4"/>
  <c r="J386" i="4" s="1"/>
  <c r="D386" i="4"/>
  <c r="E385" i="4"/>
  <c r="J385" i="4" s="1"/>
  <c r="D385" i="4"/>
  <c r="E384" i="4"/>
  <c r="J384" i="4" s="1"/>
  <c r="D384" i="4"/>
  <c r="E383" i="4"/>
  <c r="J383" i="4" s="1"/>
  <c r="D383" i="4"/>
  <c r="E382" i="4"/>
  <c r="J382" i="4" s="1"/>
  <c r="D382" i="4"/>
  <c r="E381" i="4"/>
  <c r="J381" i="4" s="1"/>
  <c r="D381" i="4"/>
  <c r="E380" i="4"/>
  <c r="J380" i="4" s="1"/>
  <c r="D380" i="4"/>
  <c r="E379" i="4"/>
  <c r="J379" i="4" s="1"/>
  <c r="D379" i="4"/>
  <c r="E378" i="4"/>
  <c r="J378" i="4" s="1"/>
  <c r="D378" i="4"/>
  <c r="E377" i="4"/>
  <c r="J377" i="4" s="1"/>
  <c r="D377" i="4"/>
  <c r="E376" i="4"/>
  <c r="J376" i="4" s="1"/>
  <c r="D376" i="4"/>
  <c r="E375" i="4"/>
  <c r="J375" i="4" s="1"/>
  <c r="D375" i="4"/>
  <c r="E374" i="4"/>
  <c r="J374" i="4" s="1"/>
  <c r="D374" i="4"/>
  <c r="E373" i="4"/>
  <c r="J373" i="4" s="1"/>
  <c r="D373" i="4"/>
  <c r="E372" i="4"/>
  <c r="J372" i="4" s="1"/>
  <c r="D372" i="4"/>
  <c r="E371" i="4"/>
  <c r="J371" i="4" s="1"/>
  <c r="D371" i="4"/>
  <c r="E370" i="4"/>
  <c r="J370" i="4" s="1"/>
  <c r="D370" i="4"/>
  <c r="E369" i="4"/>
  <c r="J369" i="4" s="1"/>
  <c r="D369" i="4"/>
  <c r="E368" i="4"/>
  <c r="J368" i="4" s="1"/>
  <c r="D368" i="4"/>
  <c r="E367" i="4"/>
  <c r="J367" i="4" s="1"/>
  <c r="D367" i="4"/>
  <c r="E366" i="4"/>
  <c r="J366" i="4" s="1"/>
  <c r="D366" i="4"/>
  <c r="E365" i="4"/>
  <c r="J365" i="4" s="1"/>
  <c r="D365" i="4"/>
  <c r="E364" i="4"/>
  <c r="J364" i="4" s="1"/>
  <c r="D364" i="4"/>
  <c r="E363" i="4"/>
  <c r="J363" i="4" s="1"/>
  <c r="D363" i="4"/>
  <c r="E362" i="4"/>
  <c r="J362" i="4" s="1"/>
  <c r="D362" i="4"/>
  <c r="E361" i="4"/>
  <c r="J361" i="4" s="1"/>
  <c r="D361" i="4"/>
  <c r="E360" i="4"/>
  <c r="J360" i="4" s="1"/>
  <c r="D360" i="4"/>
  <c r="E359" i="4"/>
  <c r="J359" i="4" s="1"/>
  <c r="D359" i="4"/>
  <c r="E358" i="4"/>
  <c r="J358" i="4" s="1"/>
  <c r="D358" i="4"/>
  <c r="E357" i="4"/>
  <c r="J357" i="4" s="1"/>
  <c r="D357" i="4"/>
  <c r="E356" i="4"/>
  <c r="J356" i="4" s="1"/>
  <c r="D356" i="4"/>
  <c r="E355" i="4"/>
  <c r="J355" i="4" s="1"/>
  <c r="D355" i="4"/>
  <c r="E354" i="4"/>
  <c r="J354" i="4" s="1"/>
  <c r="D354" i="4"/>
  <c r="E353" i="4"/>
  <c r="J353" i="4" s="1"/>
  <c r="D353" i="4"/>
  <c r="E352" i="4"/>
  <c r="J352" i="4" s="1"/>
  <c r="D352" i="4"/>
  <c r="E351" i="4"/>
  <c r="J351" i="4" s="1"/>
  <c r="D351" i="4"/>
  <c r="E350" i="4"/>
  <c r="J350" i="4" s="1"/>
  <c r="D350" i="4"/>
  <c r="E349" i="4"/>
  <c r="J349" i="4" s="1"/>
  <c r="D349" i="4"/>
  <c r="E348" i="4"/>
  <c r="J348" i="4" s="1"/>
  <c r="D348" i="4"/>
  <c r="E347" i="4"/>
  <c r="J347" i="4" s="1"/>
  <c r="D347" i="4"/>
  <c r="E346" i="4"/>
  <c r="J346" i="4" s="1"/>
  <c r="D346" i="4"/>
  <c r="E345" i="4"/>
  <c r="J345" i="4" s="1"/>
  <c r="D345" i="4"/>
  <c r="E344" i="4"/>
  <c r="J344" i="4" s="1"/>
  <c r="D344" i="4"/>
  <c r="E343" i="4"/>
  <c r="J343" i="4" s="1"/>
  <c r="D343" i="4"/>
  <c r="E342" i="4"/>
  <c r="J342" i="4" s="1"/>
  <c r="D342" i="4"/>
  <c r="E341" i="4"/>
  <c r="J341" i="4" s="1"/>
  <c r="D341" i="4"/>
  <c r="E340" i="4"/>
  <c r="J340" i="4" s="1"/>
  <c r="D340" i="4"/>
  <c r="E339" i="4"/>
  <c r="J339" i="4" s="1"/>
  <c r="D339" i="4"/>
  <c r="E338" i="4"/>
  <c r="J338" i="4" s="1"/>
  <c r="D338" i="4"/>
  <c r="E337" i="4"/>
  <c r="J337" i="4" s="1"/>
  <c r="D337" i="4"/>
  <c r="E336" i="4"/>
  <c r="J336" i="4" s="1"/>
  <c r="D336" i="4"/>
  <c r="E335" i="4"/>
  <c r="J335" i="4" s="1"/>
  <c r="D335" i="4"/>
  <c r="E334" i="4"/>
  <c r="J334" i="4" s="1"/>
  <c r="D334" i="4"/>
  <c r="E333" i="4"/>
  <c r="J333" i="4" s="1"/>
  <c r="D333" i="4"/>
  <c r="E332" i="4"/>
  <c r="J332" i="4" s="1"/>
  <c r="D332" i="4"/>
  <c r="E331" i="4"/>
  <c r="J331" i="4" s="1"/>
  <c r="D331" i="4"/>
  <c r="E330" i="4"/>
  <c r="J330" i="4" s="1"/>
  <c r="D330" i="4"/>
  <c r="E329" i="4"/>
  <c r="J329" i="4" s="1"/>
  <c r="D329" i="4"/>
  <c r="E328" i="4"/>
  <c r="J328" i="4" s="1"/>
  <c r="D328" i="4"/>
  <c r="E327" i="4"/>
  <c r="J327" i="4" s="1"/>
  <c r="D327" i="4"/>
  <c r="E326" i="4"/>
  <c r="J326" i="4" s="1"/>
  <c r="D326" i="4"/>
  <c r="E325" i="4"/>
  <c r="J325" i="4" s="1"/>
  <c r="D325" i="4"/>
  <c r="E324" i="4"/>
  <c r="J324" i="4" s="1"/>
  <c r="D324" i="4"/>
  <c r="E323" i="4"/>
  <c r="J323" i="4" s="1"/>
  <c r="D323" i="4"/>
  <c r="E322" i="4"/>
  <c r="J322" i="4" s="1"/>
  <c r="D322" i="4"/>
  <c r="E321" i="4"/>
  <c r="J321" i="4" s="1"/>
  <c r="D321" i="4"/>
  <c r="E320" i="4"/>
  <c r="J320" i="4" s="1"/>
  <c r="D320" i="4"/>
  <c r="E319" i="4"/>
  <c r="J319" i="4" s="1"/>
  <c r="D319" i="4"/>
  <c r="E318" i="4"/>
  <c r="J318" i="4" s="1"/>
  <c r="D318" i="4"/>
  <c r="E317" i="4"/>
  <c r="J317" i="4" s="1"/>
  <c r="D317" i="4"/>
  <c r="E316" i="4"/>
  <c r="J316" i="4" s="1"/>
  <c r="D316" i="4"/>
  <c r="E315" i="4"/>
  <c r="J315" i="4" s="1"/>
  <c r="D315" i="4"/>
  <c r="E314" i="4"/>
  <c r="J314" i="4" s="1"/>
  <c r="D314" i="4"/>
  <c r="E313" i="4"/>
  <c r="J313" i="4" s="1"/>
  <c r="D313" i="4"/>
  <c r="E312" i="4"/>
  <c r="J312" i="4" s="1"/>
  <c r="D312" i="4"/>
  <c r="E311" i="4"/>
  <c r="J311" i="4" s="1"/>
  <c r="D311" i="4"/>
  <c r="E310" i="4"/>
  <c r="J310" i="4" s="1"/>
  <c r="D310" i="4"/>
  <c r="E309" i="4"/>
  <c r="J309" i="4" s="1"/>
  <c r="D309" i="4"/>
  <c r="E308" i="4"/>
  <c r="J308" i="4" s="1"/>
  <c r="D308" i="4"/>
  <c r="E307" i="4"/>
  <c r="J307" i="4" s="1"/>
  <c r="D307" i="4"/>
  <c r="E306" i="4"/>
  <c r="J306" i="4" s="1"/>
  <c r="D306" i="4"/>
  <c r="E305" i="4"/>
  <c r="J305" i="4" s="1"/>
  <c r="D305" i="4"/>
  <c r="E304" i="4"/>
  <c r="J304" i="4" s="1"/>
  <c r="D304" i="4"/>
  <c r="E303" i="4"/>
  <c r="J303" i="4" s="1"/>
  <c r="D303" i="4"/>
  <c r="E302" i="4"/>
  <c r="J302" i="4" s="1"/>
  <c r="D302" i="4"/>
  <c r="E301" i="4"/>
  <c r="J301" i="4" s="1"/>
  <c r="D301" i="4"/>
  <c r="E300" i="4"/>
  <c r="J300" i="4" s="1"/>
  <c r="D300" i="4"/>
  <c r="E299" i="4"/>
  <c r="J299" i="4" s="1"/>
  <c r="D299" i="4"/>
  <c r="E298" i="4"/>
  <c r="J298" i="4" s="1"/>
  <c r="D298" i="4"/>
  <c r="E297" i="4"/>
  <c r="J297" i="4" s="1"/>
  <c r="D297" i="4"/>
  <c r="E296" i="4"/>
  <c r="J296" i="4" s="1"/>
  <c r="D296" i="4"/>
  <c r="E295" i="4"/>
  <c r="J295" i="4" s="1"/>
  <c r="D295" i="4"/>
  <c r="E294" i="4"/>
  <c r="J294" i="4" s="1"/>
  <c r="D294" i="4"/>
  <c r="E293" i="4"/>
  <c r="J293" i="4" s="1"/>
  <c r="D293" i="4"/>
  <c r="E292" i="4"/>
  <c r="J292" i="4" s="1"/>
  <c r="D292" i="4"/>
  <c r="E291" i="4"/>
  <c r="J291" i="4" s="1"/>
  <c r="D291" i="4"/>
  <c r="E290" i="4"/>
  <c r="J290" i="4" s="1"/>
  <c r="D290" i="4"/>
  <c r="E289" i="4"/>
  <c r="J289" i="4" s="1"/>
  <c r="D289" i="4"/>
  <c r="E288" i="4"/>
  <c r="J288" i="4" s="1"/>
  <c r="D288" i="4"/>
  <c r="E287" i="4"/>
  <c r="J287" i="4" s="1"/>
  <c r="D287" i="4"/>
  <c r="E286" i="4"/>
  <c r="J286" i="4" s="1"/>
  <c r="D286" i="4"/>
  <c r="E285" i="4"/>
  <c r="J285" i="4" s="1"/>
  <c r="D285" i="4"/>
  <c r="E284" i="4"/>
  <c r="J284" i="4" s="1"/>
  <c r="D284" i="4"/>
  <c r="E283" i="4"/>
  <c r="J283" i="4" s="1"/>
  <c r="D283" i="4"/>
  <c r="E282" i="4"/>
  <c r="J282" i="4" s="1"/>
  <c r="D282" i="4"/>
  <c r="E281" i="4"/>
  <c r="J281" i="4" s="1"/>
  <c r="D281" i="4"/>
  <c r="E280" i="4"/>
  <c r="J280" i="4" s="1"/>
  <c r="D280" i="4"/>
  <c r="E279" i="4"/>
  <c r="J279" i="4" s="1"/>
  <c r="D279" i="4"/>
  <c r="E278" i="4"/>
  <c r="J278" i="4" s="1"/>
  <c r="D278" i="4"/>
  <c r="E277" i="4"/>
  <c r="J277" i="4" s="1"/>
  <c r="D277" i="4"/>
  <c r="E276" i="4"/>
  <c r="J276" i="4" s="1"/>
  <c r="D276" i="4"/>
  <c r="E275" i="4"/>
  <c r="J275" i="4" s="1"/>
  <c r="D275" i="4"/>
  <c r="E274" i="4"/>
  <c r="J274" i="4" s="1"/>
  <c r="D274" i="4"/>
  <c r="E273" i="4"/>
  <c r="J273" i="4" s="1"/>
  <c r="D273" i="4"/>
  <c r="E272" i="4"/>
  <c r="J272" i="4" s="1"/>
  <c r="D272" i="4"/>
  <c r="E271" i="4"/>
  <c r="J271" i="4" s="1"/>
  <c r="D271" i="4"/>
  <c r="E270" i="4"/>
  <c r="J270" i="4" s="1"/>
  <c r="D270" i="4"/>
  <c r="E269" i="4"/>
  <c r="J269" i="4" s="1"/>
  <c r="D269" i="4"/>
  <c r="E268" i="4"/>
  <c r="J268" i="4" s="1"/>
  <c r="D268" i="4"/>
  <c r="E267" i="4"/>
  <c r="J267" i="4" s="1"/>
  <c r="D267" i="4"/>
  <c r="E266" i="4"/>
  <c r="J266" i="4" s="1"/>
  <c r="D266" i="4"/>
  <c r="E265" i="4"/>
  <c r="J265" i="4" s="1"/>
  <c r="D265" i="4"/>
  <c r="E264" i="4"/>
  <c r="J264" i="4" s="1"/>
  <c r="D264" i="4"/>
  <c r="E263" i="4"/>
  <c r="J263" i="4" s="1"/>
  <c r="D263" i="4"/>
  <c r="E262" i="4"/>
  <c r="J262" i="4" s="1"/>
  <c r="D262" i="4"/>
  <c r="E261" i="4"/>
  <c r="J261" i="4" s="1"/>
  <c r="D261" i="4"/>
  <c r="E260" i="4"/>
  <c r="J260" i="4" s="1"/>
  <c r="D260" i="4"/>
  <c r="E259" i="4"/>
  <c r="J259" i="4" s="1"/>
  <c r="D259" i="4"/>
  <c r="E258" i="4"/>
  <c r="J258" i="4" s="1"/>
  <c r="D258" i="4"/>
  <c r="E257" i="4"/>
  <c r="J257" i="4" s="1"/>
  <c r="D257" i="4"/>
  <c r="E256" i="4"/>
  <c r="J256" i="4" s="1"/>
  <c r="D256" i="4"/>
  <c r="E255" i="4"/>
  <c r="J255" i="4" s="1"/>
  <c r="D255" i="4"/>
  <c r="E254" i="4"/>
  <c r="J254" i="4" s="1"/>
  <c r="D254" i="4"/>
  <c r="E253" i="4"/>
  <c r="J253" i="4" s="1"/>
  <c r="D253" i="4"/>
  <c r="E252" i="4"/>
  <c r="J252" i="4" s="1"/>
  <c r="D252" i="4"/>
  <c r="E251" i="4"/>
  <c r="J251" i="4" s="1"/>
  <c r="D251" i="4"/>
  <c r="E250" i="4"/>
  <c r="J250" i="4" s="1"/>
  <c r="D250" i="4"/>
  <c r="E249" i="4"/>
  <c r="J249" i="4" s="1"/>
  <c r="D249" i="4"/>
  <c r="E248" i="4"/>
  <c r="J248" i="4" s="1"/>
  <c r="D248" i="4"/>
  <c r="E247" i="4"/>
  <c r="J247" i="4" s="1"/>
  <c r="D247" i="4"/>
  <c r="E246" i="4"/>
  <c r="J246" i="4" s="1"/>
  <c r="D246" i="4"/>
  <c r="E245" i="4"/>
  <c r="J245" i="4" s="1"/>
  <c r="D245" i="4"/>
  <c r="E244" i="4"/>
  <c r="J244" i="4" s="1"/>
  <c r="D244" i="4"/>
  <c r="E243" i="4"/>
  <c r="J243" i="4" s="1"/>
  <c r="D243" i="4"/>
  <c r="E242" i="4"/>
  <c r="J242" i="4" s="1"/>
  <c r="D242" i="4"/>
  <c r="E241" i="4"/>
  <c r="J241" i="4" s="1"/>
  <c r="D241" i="4"/>
  <c r="E240" i="4"/>
  <c r="J240" i="4" s="1"/>
  <c r="D240" i="4"/>
  <c r="E239" i="4"/>
  <c r="J239" i="4" s="1"/>
  <c r="D239" i="4"/>
  <c r="E238" i="4"/>
  <c r="J238" i="4" s="1"/>
  <c r="D238" i="4"/>
  <c r="E237" i="4"/>
  <c r="J237" i="4" s="1"/>
  <c r="D237" i="4"/>
  <c r="E236" i="4"/>
  <c r="J236" i="4" s="1"/>
  <c r="D236" i="4"/>
  <c r="E235" i="4"/>
  <c r="J235" i="4" s="1"/>
  <c r="D235" i="4"/>
  <c r="E234" i="4"/>
  <c r="J234" i="4" s="1"/>
  <c r="D234" i="4"/>
  <c r="E233" i="4"/>
  <c r="J233" i="4" s="1"/>
  <c r="D233" i="4"/>
  <c r="E232" i="4"/>
  <c r="J232" i="4" s="1"/>
  <c r="D232" i="4"/>
  <c r="E231" i="4"/>
  <c r="J231" i="4" s="1"/>
  <c r="D231" i="4"/>
  <c r="E230" i="4"/>
  <c r="J230" i="4" s="1"/>
  <c r="D230" i="4"/>
  <c r="E229" i="4"/>
  <c r="J229" i="4" s="1"/>
  <c r="D229" i="4"/>
  <c r="E228" i="4"/>
  <c r="J228" i="4" s="1"/>
  <c r="D228" i="4"/>
  <c r="E227" i="4"/>
  <c r="J227" i="4" s="1"/>
  <c r="D227" i="4"/>
  <c r="E226" i="4"/>
  <c r="J226" i="4" s="1"/>
  <c r="D226" i="4"/>
  <c r="E225" i="4"/>
  <c r="J225" i="4" s="1"/>
  <c r="D225" i="4"/>
  <c r="E224" i="4"/>
  <c r="J224" i="4" s="1"/>
  <c r="D224" i="4"/>
  <c r="E223" i="4"/>
  <c r="J223" i="4" s="1"/>
  <c r="D223" i="4"/>
  <c r="E222" i="4"/>
  <c r="J222" i="4" s="1"/>
  <c r="D222" i="4"/>
  <c r="E221" i="4"/>
  <c r="J221" i="4" s="1"/>
  <c r="D221" i="4"/>
  <c r="E220" i="4"/>
  <c r="J220" i="4" s="1"/>
  <c r="D220" i="4"/>
  <c r="E219" i="4"/>
  <c r="J219" i="4" s="1"/>
  <c r="D219" i="4"/>
  <c r="E218" i="4"/>
  <c r="J218" i="4" s="1"/>
  <c r="D218" i="4"/>
  <c r="E217" i="4"/>
  <c r="J217" i="4" s="1"/>
  <c r="D217" i="4"/>
  <c r="E216" i="4"/>
  <c r="J216" i="4" s="1"/>
  <c r="D216" i="4"/>
  <c r="E215" i="4"/>
  <c r="J215" i="4" s="1"/>
  <c r="D215" i="4"/>
  <c r="E214" i="4"/>
  <c r="J214" i="4" s="1"/>
  <c r="D214" i="4"/>
  <c r="E213" i="4"/>
  <c r="J213" i="4" s="1"/>
  <c r="D213" i="4"/>
  <c r="E212" i="4"/>
  <c r="J212" i="4" s="1"/>
  <c r="D212" i="4"/>
  <c r="E211" i="4"/>
  <c r="J211" i="4" s="1"/>
  <c r="D211" i="4"/>
  <c r="E210" i="4"/>
  <c r="J210" i="4" s="1"/>
  <c r="D210" i="4"/>
  <c r="E209" i="4"/>
  <c r="J209" i="4" s="1"/>
  <c r="D209" i="4"/>
  <c r="E208" i="4"/>
  <c r="J208" i="4" s="1"/>
  <c r="D208" i="4"/>
  <c r="E207" i="4"/>
  <c r="J207" i="4" s="1"/>
  <c r="D207" i="4"/>
  <c r="E206" i="4"/>
  <c r="J206" i="4" s="1"/>
  <c r="D206" i="4"/>
  <c r="E205" i="4"/>
  <c r="J205" i="4" s="1"/>
  <c r="D205" i="4"/>
  <c r="E204" i="4"/>
  <c r="J204" i="4" s="1"/>
  <c r="D204" i="4"/>
  <c r="E203" i="4"/>
  <c r="J203" i="4" s="1"/>
  <c r="D203" i="4"/>
  <c r="E202" i="4"/>
  <c r="J202" i="4" s="1"/>
  <c r="D202" i="4"/>
  <c r="E201" i="4"/>
  <c r="J201" i="4" s="1"/>
  <c r="D201" i="4"/>
  <c r="E200" i="4"/>
  <c r="J200" i="4" s="1"/>
  <c r="D200" i="4"/>
  <c r="E199" i="4"/>
  <c r="J199" i="4" s="1"/>
  <c r="D199" i="4"/>
  <c r="E198" i="4"/>
  <c r="J198" i="4" s="1"/>
  <c r="D198" i="4"/>
  <c r="E197" i="4"/>
  <c r="J197" i="4" s="1"/>
  <c r="D197" i="4"/>
  <c r="E196" i="4"/>
  <c r="J196" i="4" s="1"/>
  <c r="D196" i="4"/>
  <c r="E195" i="4"/>
  <c r="J195" i="4" s="1"/>
  <c r="D195" i="4"/>
  <c r="E194" i="4"/>
  <c r="J194" i="4" s="1"/>
  <c r="D194" i="4"/>
  <c r="E193" i="4"/>
  <c r="J193" i="4" s="1"/>
  <c r="D193" i="4"/>
  <c r="E192" i="4"/>
  <c r="J192" i="4" s="1"/>
  <c r="D192" i="4"/>
  <c r="E191" i="4"/>
  <c r="J191" i="4" s="1"/>
  <c r="D191" i="4"/>
  <c r="E190" i="4"/>
  <c r="J190" i="4" s="1"/>
  <c r="D190" i="4"/>
  <c r="E189" i="4"/>
  <c r="J189" i="4" s="1"/>
  <c r="D189" i="4"/>
  <c r="E188" i="4"/>
  <c r="J188" i="4" s="1"/>
  <c r="D188" i="4"/>
  <c r="E187" i="4"/>
  <c r="J187" i="4" s="1"/>
  <c r="D187" i="4"/>
  <c r="E186" i="4"/>
  <c r="J186" i="4" s="1"/>
  <c r="D186" i="4"/>
  <c r="E185" i="4"/>
  <c r="J185" i="4" s="1"/>
  <c r="D185" i="4"/>
  <c r="E184" i="4"/>
  <c r="J184" i="4" s="1"/>
  <c r="D184" i="4"/>
  <c r="E183" i="4"/>
  <c r="J183" i="4" s="1"/>
  <c r="D183" i="4"/>
  <c r="E182" i="4"/>
  <c r="J182" i="4" s="1"/>
  <c r="D182" i="4"/>
  <c r="E181" i="4"/>
  <c r="J181" i="4" s="1"/>
  <c r="D181" i="4"/>
  <c r="E180" i="4"/>
  <c r="J180" i="4" s="1"/>
  <c r="D180" i="4"/>
  <c r="E179" i="4"/>
  <c r="J179" i="4" s="1"/>
  <c r="D179" i="4"/>
  <c r="E178" i="4"/>
  <c r="J178" i="4" s="1"/>
  <c r="D178" i="4"/>
  <c r="E177" i="4"/>
  <c r="J177" i="4" s="1"/>
  <c r="D177" i="4"/>
  <c r="E176" i="4"/>
  <c r="J176" i="4" s="1"/>
  <c r="D176" i="4"/>
  <c r="E175" i="4"/>
  <c r="J175" i="4" s="1"/>
  <c r="D175" i="4"/>
  <c r="E174" i="4"/>
  <c r="J174" i="4" s="1"/>
  <c r="D174" i="4"/>
  <c r="E173" i="4"/>
  <c r="J173" i="4" s="1"/>
  <c r="D173" i="4"/>
  <c r="E172" i="4"/>
  <c r="J172" i="4" s="1"/>
  <c r="D172" i="4"/>
  <c r="E171" i="4"/>
  <c r="J171" i="4" s="1"/>
  <c r="D171" i="4"/>
  <c r="E170" i="4"/>
  <c r="J170" i="4" s="1"/>
  <c r="D170" i="4"/>
  <c r="E169" i="4"/>
  <c r="J169" i="4" s="1"/>
  <c r="D169" i="4"/>
  <c r="E168" i="4"/>
  <c r="J168" i="4" s="1"/>
  <c r="D168" i="4"/>
  <c r="E167" i="4"/>
  <c r="J167" i="4" s="1"/>
  <c r="D167" i="4"/>
  <c r="E166" i="4"/>
  <c r="J166" i="4" s="1"/>
  <c r="D166" i="4"/>
  <c r="E165" i="4"/>
  <c r="J165" i="4" s="1"/>
  <c r="D165" i="4"/>
  <c r="E164" i="4"/>
  <c r="J164" i="4" s="1"/>
  <c r="D164" i="4"/>
  <c r="E163" i="4"/>
  <c r="J163" i="4" s="1"/>
  <c r="D163" i="4"/>
  <c r="E162" i="4"/>
  <c r="J162" i="4" s="1"/>
  <c r="D162" i="4"/>
  <c r="E161" i="4"/>
  <c r="J161" i="4" s="1"/>
  <c r="D161" i="4"/>
  <c r="E160" i="4"/>
  <c r="J160" i="4" s="1"/>
  <c r="D160" i="4"/>
  <c r="E159" i="4"/>
  <c r="J159" i="4" s="1"/>
  <c r="D159" i="4"/>
  <c r="E158" i="4"/>
  <c r="J158" i="4" s="1"/>
  <c r="D158" i="4"/>
  <c r="E157" i="4"/>
  <c r="J157" i="4" s="1"/>
  <c r="D157" i="4"/>
  <c r="E156" i="4"/>
  <c r="J156" i="4" s="1"/>
  <c r="D156" i="4"/>
  <c r="E155" i="4"/>
  <c r="J155" i="4" s="1"/>
  <c r="D155" i="4"/>
  <c r="E154" i="4"/>
  <c r="J154" i="4" s="1"/>
  <c r="D154" i="4"/>
  <c r="E153" i="4"/>
  <c r="J153" i="4" s="1"/>
  <c r="D153" i="4"/>
  <c r="E152" i="4"/>
  <c r="J152" i="4" s="1"/>
  <c r="D152" i="4"/>
  <c r="E151" i="4"/>
  <c r="J151" i="4" s="1"/>
  <c r="D151" i="4"/>
  <c r="E150" i="4"/>
  <c r="J150" i="4" s="1"/>
  <c r="D150" i="4"/>
  <c r="E149" i="4"/>
  <c r="J149" i="4" s="1"/>
  <c r="D149" i="4"/>
  <c r="E148" i="4"/>
  <c r="J148" i="4" s="1"/>
  <c r="D148" i="4"/>
  <c r="E147" i="4"/>
  <c r="J147" i="4" s="1"/>
  <c r="D147" i="4"/>
  <c r="E146" i="4"/>
  <c r="J146" i="4" s="1"/>
  <c r="D146" i="4"/>
  <c r="E145" i="4"/>
  <c r="J145" i="4" s="1"/>
  <c r="D145" i="4"/>
  <c r="E144" i="4"/>
  <c r="J144" i="4" s="1"/>
  <c r="D144" i="4"/>
  <c r="E143" i="4"/>
  <c r="J143" i="4" s="1"/>
  <c r="D143" i="4"/>
  <c r="E142" i="4"/>
  <c r="J142" i="4" s="1"/>
  <c r="D142" i="4"/>
  <c r="E141" i="4"/>
  <c r="J141" i="4" s="1"/>
  <c r="D141" i="4"/>
  <c r="E140" i="4"/>
  <c r="J140" i="4" s="1"/>
  <c r="D140" i="4"/>
  <c r="E139" i="4"/>
  <c r="J139" i="4" s="1"/>
  <c r="D139" i="4"/>
  <c r="E138" i="4"/>
  <c r="J138" i="4" s="1"/>
  <c r="D138" i="4"/>
  <c r="E137" i="4"/>
  <c r="J137" i="4" s="1"/>
  <c r="D137" i="4"/>
  <c r="E136" i="4"/>
  <c r="J136" i="4" s="1"/>
  <c r="D136" i="4"/>
  <c r="E135" i="4"/>
  <c r="J135" i="4" s="1"/>
  <c r="D135" i="4"/>
  <c r="E134" i="4"/>
  <c r="J134" i="4" s="1"/>
  <c r="D134" i="4"/>
  <c r="E133" i="4"/>
  <c r="J133" i="4" s="1"/>
  <c r="D133" i="4"/>
  <c r="E132" i="4"/>
  <c r="J132" i="4" s="1"/>
  <c r="D132" i="4"/>
  <c r="E131" i="4"/>
  <c r="J131" i="4" s="1"/>
  <c r="D131" i="4"/>
  <c r="E130" i="4"/>
  <c r="J130" i="4" s="1"/>
  <c r="D130" i="4"/>
  <c r="E129" i="4"/>
  <c r="J129" i="4" s="1"/>
  <c r="D129" i="4"/>
  <c r="E128" i="4"/>
  <c r="J128" i="4" s="1"/>
  <c r="D128" i="4"/>
  <c r="E127" i="4"/>
  <c r="J127" i="4" s="1"/>
  <c r="D127" i="4"/>
  <c r="E126" i="4"/>
  <c r="J126" i="4" s="1"/>
  <c r="D126" i="4"/>
  <c r="E125" i="4"/>
  <c r="J125" i="4" s="1"/>
  <c r="D125" i="4"/>
  <c r="E124" i="4"/>
  <c r="J124" i="4" s="1"/>
  <c r="D124" i="4"/>
  <c r="E123" i="4"/>
  <c r="J123" i="4" s="1"/>
  <c r="D123" i="4"/>
  <c r="E122" i="4"/>
  <c r="J122" i="4" s="1"/>
  <c r="D122" i="4"/>
  <c r="E121" i="4"/>
  <c r="J121" i="4" s="1"/>
  <c r="D121" i="4"/>
  <c r="E120" i="4"/>
  <c r="J120" i="4" s="1"/>
  <c r="D120" i="4"/>
  <c r="E119" i="4"/>
  <c r="J119" i="4" s="1"/>
  <c r="D119" i="4"/>
  <c r="E118" i="4"/>
  <c r="J118" i="4" s="1"/>
  <c r="D118" i="4"/>
  <c r="E117" i="4"/>
  <c r="J117" i="4" s="1"/>
  <c r="D117" i="4"/>
  <c r="E116" i="4"/>
  <c r="J116" i="4" s="1"/>
  <c r="D116" i="4"/>
  <c r="E115" i="4"/>
  <c r="J115" i="4" s="1"/>
  <c r="D115" i="4"/>
  <c r="E114" i="4"/>
  <c r="J114" i="4" s="1"/>
  <c r="D114" i="4"/>
  <c r="E113" i="4"/>
  <c r="J113" i="4" s="1"/>
  <c r="D113" i="4"/>
  <c r="E112" i="4"/>
  <c r="J112" i="4" s="1"/>
  <c r="D112" i="4"/>
  <c r="E111" i="4"/>
  <c r="J111" i="4" s="1"/>
  <c r="D111" i="4"/>
  <c r="E110" i="4"/>
  <c r="J110" i="4" s="1"/>
  <c r="D110" i="4"/>
  <c r="E109" i="4"/>
  <c r="J109" i="4" s="1"/>
  <c r="D109" i="4"/>
  <c r="E108" i="4"/>
  <c r="J108" i="4" s="1"/>
  <c r="D108" i="4"/>
  <c r="E107" i="4"/>
  <c r="J107" i="4" s="1"/>
  <c r="D107" i="4"/>
  <c r="E106" i="4"/>
  <c r="J106" i="4" s="1"/>
  <c r="D106" i="4"/>
  <c r="E105" i="4"/>
  <c r="J105" i="4" s="1"/>
  <c r="D105" i="4"/>
  <c r="E104" i="4"/>
  <c r="J104" i="4" s="1"/>
  <c r="D104" i="4"/>
  <c r="E103" i="4"/>
  <c r="J103" i="4" s="1"/>
  <c r="D103" i="4"/>
  <c r="E101" i="4"/>
  <c r="J101" i="4" s="1"/>
  <c r="D101" i="4"/>
  <c r="E100" i="4"/>
  <c r="J100" i="4" s="1"/>
  <c r="D100" i="4"/>
  <c r="E99" i="4"/>
  <c r="J99" i="4" s="1"/>
  <c r="D99" i="4"/>
  <c r="E98" i="4"/>
  <c r="J98" i="4" s="1"/>
  <c r="D98" i="4"/>
  <c r="E97" i="4"/>
  <c r="J97" i="4" s="1"/>
  <c r="D97" i="4"/>
  <c r="E96" i="4"/>
  <c r="J96" i="4" s="1"/>
  <c r="D96" i="4"/>
  <c r="E95" i="4"/>
  <c r="J95" i="4" s="1"/>
  <c r="D95" i="4"/>
  <c r="E94" i="4"/>
  <c r="J94" i="4" s="1"/>
  <c r="D94" i="4"/>
  <c r="E93" i="4"/>
  <c r="J93" i="4" s="1"/>
  <c r="D93" i="4"/>
  <c r="E92" i="4"/>
  <c r="J92" i="4" s="1"/>
  <c r="D92" i="4"/>
  <c r="E91" i="4"/>
  <c r="J91" i="4" s="1"/>
  <c r="D91" i="4"/>
  <c r="E90" i="4"/>
  <c r="J90" i="4" s="1"/>
  <c r="D90" i="4"/>
  <c r="E89" i="4"/>
  <c r="J89" i="4" s="1"/>
  <c r="D89" i="4"/>
  <c r="E88" i="4"/>
  <c r="J88" i="4" s="1"/>
  <c r="D88" i="4"/>
  <c r="E87" i="4"/>
  <c r="J87" i="4" s="1"/>
  <c r="D87" i="4"/>
  <c r="E86" i="4"/>
  <c r="J86" i="4" s="1"/>
  <c r="D86" i="4"/>
  <c r="E85" i="4"/>
  <c r="J85" i="4" s="1"/>
  <c r="D85" i="4"/>
  <c r="E84" i="4"/>
  <c r="J84" i="4" s="1"/>
  <c r="D84" i="4"/>
  <c r="E83" i="4"/>
  <c r="J83" i="4" s="1"/>
  <c r="D83" i="4"/>
  <c r="E82" i="4"/>
  <c r="J82" i="4" s="1"/>
  <c r="D82" i="4"/>
  <c r="E81" i="4"/>
  <c r="J81" i="4" s="1"/>
  <c r="D81" i="4"/>
  <c r="E80" i="4"/>
  <c r="J80" i="4" s="1"/>
  <c r="D80" i="4"/>
  <c r="E79" i="4"/>
  <c r="J79" i="4" s="1"/>
  <c r="D79" i="4"/>
  <c r="E78" i="4"/>
  <c r="J78" i="4" s="1"/>
  <c r="D78" i="4"/>
  <c r="E77" i="4"/>
  <c r="J77" i="4" s="1"/>
  <c r="D77" i="4"/>
  <c r="E76" i="4"/>
  <c r="J76" i="4" s="1"/>
  <c r="D76" i="4"/>
  <c r="E75" i="4"/>
  <c r="J75" i="4" s="1"/>
  <c r="D75" i="4"/>
  <c r="E74" i="4"/>
  <c r="J74" i="4" s="1"/>
  <c r="D74" i="4"/>
  <c r="E73" i="4"/>
  <c r="J73" i="4" s="1"/>
  <c r="D73" i="4"/>
  <c r="E72" i="4"/>
  <c r="J72" i="4" s="1"/>
  <c r="D72" i="4"/>
  <c r="E71" i="4"/>
  <c r="J71" i="4" s="1"/>
  <c r="D71" i="4"/>
  <c r="E70" i="4"/>
  <c r="J70" i="4" s="1"/>
  <c r="D70" i="4"/>
  <c r="E69" i="4"/>
  <c r="J69" i="4" s="1"/>
  <c r="D69" i="4"/>
  <c r="E68" i="4"/>
  <c r="J68" i="4" s="1"/>
  <c r="D68" i="4"/>
  <c r="E67" i="4"/>
  <c r="J67" i="4" s="1"/>
  <c r="D67" i="4"/>
  <c r="E66" i="4"/>
  <c r="J66" i="4" s="1"/>
  <c r="D66" i="4"/>
  <c r="E65" i="4"/>
  <c r="J65" i="4" s="1"/>
  <c r="D65" i="4"/>
  <c r="E64" i="4"/>
  <c r="J64" i="4" s="1"/>
  <c r="D64" i="4"/>
  <c r="E63" i="4"/>
  <c r="J63" i="4" s="1"/>
  <c r="D63" i="4"/>
  <c r="E62" i="4"/>
  <c r="J62" i="4" s="1"/>
  <c r="D62" i="4"/>
  <c r="E61" i="4"/>
  <c r="J61" i="4" s="1"/>
  <c r="D61" i="4"/>
  <c r="E60" i="4"/>
  <c r="J60" i="4" s="1"/>
  <c r="D60" i="4"/>
  <c r="E59" i="4"/>
  <c r="J59" i="4" s="1"/>
  <c r="D59" i="4"/>
  <c r="E58" i="4"/>
  <c r="J58" i="4" s="1"/>
  <c r="D58" i="4"/>
  <c r="E57" i="4"/>
  <c r="J57" i="4" s="1"/>
  <c r="D57" i="4"/>
  <c r="E56" i="4"/>
  <c r="J56" i="4" s="1"/>
  <c r="D56" i="4"/>
  <c r="E55" i="4"/>
  <c r="J55" i="4" s="1"/>
  <c r="D55" i="4"/>
  <c r="E54" i="4"/>
  <c r="J54" i="4" s="1"/>
  <c r="D54" i="4"/>
  <c r="E53" i="4"/>
  <c r="J53" i="4" s="1"/>
  <c r="D53" i="4"/>
  <c r="E52" i="4"/>
  <c r="J52" i="4" s="1"/>
  <c r="D52" i="4"/>
  <c r="E51" i="4"/>
  <c r="J51" i="4" s="1"/>
  <c r="D51" i="4"/>
  <c r="E50" i="4"/>
  <c r="J50" i="4" s="1"/>
  <c r="D50" i="4"/>
  <c r="E49" i="4"/>
  <c r="J49" i="4" s="1"/>
  <c r="D49" i="4"/>
  <c r="E48" i="4"/>
  <c r="J48" i="4" s="1"/>
  <c r="D48" i="4"/>
  <c r="E47" i="4"/>
  <c r="J47" i="4" s="1"/>
  <c r="D47" i="4"/>
  <c r="E46" i="4"/>
  <c r="J46" i="4" s="1"/>
  <c r="D46" i="4"/>
  <c r="E45" i="4"/>
  <c r="J45" i="4" s="1"/>
  <c r="D45" i="4"/>
  <c r="E44" i="4"/>
  <c r="J44" i="4" s="1"/>
  <c r="D44" i="4"/>
  <c r="E43" i="4"/>
  <c r="J43" i="4" s="1"/>
  <c r="D43" i="4"/>
  <c r="E42" i="4"/>
  <c r="J42" i="4" s="1"/>
  <c r="D42" i="4"/>
  <c r="E41" i="4"/>
  <c r="J41" i="4" s="1"/>
  <c r="D41" i="4"/>
  <c r="E40" i="4"/>
  <c r="J40" i="4" s="1"/>
  <c r="D40" i="4"/>
  <c r="E39" i="4"/>
  <c r="J39" i="4" s="1"/>
  <c r="D39" i="4"/>
  <c r="E38" i="4"/>
  <c r="J38" i="4" s="1"/>
  <c r="D38" i="4"/>
  <c r="E37" i="4"/>
  <c r="J37" i="4" s="1"/>
  <c r="D37" i="4"/>
  <c r="E36" i="4"/>
  <c r="J36" i="4" s="1"/>
  <c r="D36" i="4"/>
  <c r="E34" i="4"/>
  <c r="J34" i="4" s="1"/>
  <c r="D34" i="4"/>
  <c r="E33" i="4"/>
  <c r="J33" i="4" s="1"/>
  <c r="D33" i="4"/>
  <c r="E32" i="4"/>
  <c r="J32" i="4" s="1"/>
  <c r="D32" i="4"/>
  <c r="E31" i="4"/>
  <c r="J31" i="4" s="1"/>
  <c r="D31" i="4"/>
  <c r="E30" i="4"/>
  <c r="J30" i="4" s="1"/>
  <c r="D30" i="4"/>
  <c r="E29" i="4"/>
  <c r="J29" i="4" s="1"/>
  <c r="D29" i="4"/>
  <c r="E28" i="4"/>
  <c r="J28" i="4" s="1"/>
  <c r="D28" i="4"/>
  <c r="E27" i="4"/>
  <c r="J27" i="4" s="1"/>
  <c r="D27" i="4"/>
  <c r="E26" i="4"/>
  <c r="J26" i="4" s="1"/>
  <c r="D26" i="4"/>
  <c r="E25" i="4"/>
  <c r="J25" i="4" s="1"/>
  <c r="D25" i="4"/>
  <c r="E24" i="4"/>
  <c r="J24" i="4" s="1"/>
  <c r="D24" i="4"/>
  <c r="E23" i="4"/>
  <c r="J23" i="4" s="1"/>
  <c r="D23" i="4"/>
  <c r="E22" i="4"/>
  <c r="J22" i="4" s="1"/>
  <c r="D22" i="4"/>
  <c r="E21" i="4"/>
  <c r="J21" i="4" s="1"/>
  <c r="D21" i="4"/>
  <c r="E20" i="4"/>
  <c r="J20" i="4" s="1"/>
  <c r="D20" i="4"/>
  <c r="E19" i="4"/>
  <c r="J19" i="4" s="1"/>
  <c r="D19" i="4"/>
  <c r="E18" i="4"/>
  <c r="J18" i="4" s="1"/>
  <c r="D18" i="4"/>
  <c r="E17" i="4"/>
  <c r="J17" i="4" s="1"/>
  <c r="D17" i="4"/>
  <c r="E16" i="4"/>
  <c r="J16" i="4" s="1"/>
  <c r="D16" i="4"/>
  <c r="E15" i="4"/>
  <c r="J15" i="4" s="1"/>
  <c r="D15" i="4"/>
  <c r="E14" i="4"/>
  <c r="J14" i="4" s="1"/>
  <c r="D14" i="4"/>
  <c r="E13" i="4"/>
  <c r="J13" i="4" s="1"/>
  <c r="D13" i="4"/>
  <c r="E12" i="4"/>
  <c r="J12" i="4" s="1"/>
  <c r="D12" i="4"/>
  <c r="E11" i="4"/>
  <c r="J11" i="4" s="1"/>
  <c r="D11" i="4"/>
  <c r="E10" i="4"/>
  <c r="J10" i="4" s="1"/>
  <c r="D10" i="4"/>
  <c r="B19" i="8" l="1"/>
  <c r="A19" i="8"/>
  <c r="B18" i="8"/>
  <c r="A18" i="8"/>
  <c r="B17" i="8"/>
  <c r="A17" i="8"/>
  <c r="B16" i="8"/>
  <c r="A16" i="8"/>
  <c r="B15" i="8"/>
  <c r="A15" i="8"/>
  <c r="B13" i="8"/>
  <c r="A13" i="8"/>
  <c r="B12" i="8"/>
  <c r="A12" i="8"/>
  <c r="B11" i="8"/>
  <c r="A11" i="8"/>
  <c r="B10" i="8"/>
  <c r="A10" i="8"/>
  <c r="B9" i="8"/>
  <c r="J12" i="7" l="1"/>
  <c r="J107" i="7"/>
  <c r="Z107" i="7" s="1"/>
  <c r="J106" i="7"/>
  <c r="Z106" i="7" s="1"/>
  <c r="J105" i="7"/>
  <c r="Z105" i="7" s="1"/>
  <c r="J104" i="7"/>
  <c r="Z104" i="7" s="1"/>
  <c r="J103" i="7"/>
  <c r="J102" i="7"/>
  <c r="J101" i="7"/>
  <c r="J100" i="7"/>
  <c r="Z100" i="7" s="1"/>
  <c r="J99" i="7"/>
  <c r="Z99" i="7" s="1"/>
  <c r="J98" i="7"/>
  <c r="Z98" i="7" s="1"/>
  <c r="J97" i="7"/>
  <c r="Z97" i="7" s="1"/>
  <c r="J96" i="7"/>
  <c r="Z96" i="7" s="1"/>
  <c r="J95" i="7"/>
  <c r="Z95" i="7" s="1"/>
  <c r="J94" i="7"/>
  <c r="Z94" i="7" s="1"/>
  <c r="J93" i="7"/>
  <c r="Z93" i="7" s="1"/>
  <c r="J92" i="7"/>
  <c r="Z92" i="7" s="1"/>
  <c r="J91" i="7"/>
  <c r="Z91" i="7" s="1"/>
  <c r="J90" i="7"/>
  <c r="Z90" i="7" s="1"/>
  <c r="J89" i="7"/>
  <c r="Z89" i="7" s="1"/>
  <c r="J88" i="7"/>
  <c r="Z88" i="7" s="1"/>
  <c r="J87" i="7"/>
  <c r="Z87" i="7" s="1"/>
  <c r="J86" i="7"/>
  <c r="Z86" i="7" s="1"/>
  <c r="J85" i="7"/>
  <c r="Z85" i="7" s="1"/>
  <c r="J84" i="7"/>
  <c r="Z84" i="7" s="1"/>
  <c r="J83" i="7"/>
  <c r="Z83" i="7" s="1"/>
  <c r="J82" i="7"/>
  <c r="Z82" i="7" s="1"/>
  <c r="J81" i="7"/>
  <c r="Z81" i="7" s="1"/>
  <c r="J80" i="7"/>
  <c r="Z80" i="7" s="1"/>
  <c r="J79" i="7"/>
  <c r="Z79" i="7" s="1"/>
  <c r="J78" i="7"/>
  <c r="Z78" i="7" s="1"/>
  <c r="J77" i="7"/>
  <c r="Z77" i="7" s="1"/>
  <c r="J76" i="7"/>
  <c r="Z76" i="7" s="1"/>
  <c r="J75" i="7"/>
  <c r="Z75" i="7" s="1"/>
  <c r="J74" i="7"/>
  <c r="Z74" i="7" s="1"/>
  <c r="J73" i="7"/>
  <c r="Z73" i="7" s="1"/>
  <c r="J72" i="7"/>
  <c r="Z72" i="7" s="1"/>
  <c r="J71" i="7"/>
  <c r="Z71" i="7" s="1"/>
  <c r="J70" i="7"/>
  <c r="Z70" i="7" s="1"/>
  <c r="J69" i="7"/>
  <c r="Z69" i="7" s="1"/>
  <c r="J68" i="7"/>
  <c r="Z68" i="7" s="1"/>
  <c r="J67" i="7"/>
  <c r="Z67" i="7" s="1"/>
  <c r="J66" i="7"/>
  <c r="Z66" i="7" s="1"/>
  <c r="J65" i="7"/>
  <c r="Z65" i="7" s="1"/>
  <c r="J64" i="7"/>
  <c r="Z64" i="7" s="1"/>
  <c r="J63" i="7"/>
  <c r="J62" i="7"/>
  <c r="Z62" i="7" s="1"/>
  <c r="J61" i="7"/>
  <c r="Z61" i="7" s="1"/>
  <c r="J60" i="7"/>
  <c r="Z60" i="7" s="1"/>
  <c r="J59" i="7"/>
  <c r="Z59" i="7" s="1"/>
  <c r="J58" i="7"/>
  <c r="Z58" i="7" s="1"/>
  <c r="J57" i="7"/>
  <c r="Z57" i="7" s="1"/>
  <c r="J56" i="7"/>
  <c r="Z56" i="7" s="1"/>
  <c r="J55" i="7"/>
  <c r="J54" i="7"/>
  <c r="J53" i="7"/>
  <c r="J52" i="7"/>
  <c r="Z52" i="7" s="1"/>
  <c r="J51" i="7"/>
  <c r="Z51" i="7" s="1"/>
  <c r="J50" i="7"/>
  <c r="Z50" i="7" s="1"/>
  <c r="J49" i="7"/>
  <c r="Z49" i="7" s="1"/>
  <c r="J48" i="7"/>
  <c r="Z48" i="7" s="1"/>
  <c r="J47" i="7"/>
  <c r="Z47" i="7" s="1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1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W47" i="7" l="1"/>
  <c r="X47" i="7"/>
  <c r="X26" i="7"/>
  <c r="W26" i="7"/>
  <c r="W20" i="7"/>
  <c r="X20" i="7"/>
  <c r="W44" i="7"/>
  <c r="X44" i="7"/>
  <c r="W68" i="7"/>
  <c r="X68" i="7"/>
  <c r="W21" i="7"/>
  <c r="X21" i="7"/>
  <c r="W45" i="7"/>
  <c r="X45" i="7"/>
  <c r="W77" i="7"/>
  <c r="X77" i="7"/>
  <c r="X39" i="7"/>
  <c r="W39" i="7"/>
  <c r="W79" i="7"/>
  <c r="X79" i="7"/>
  <c r="W12" i="7"/>
  <c r="X12" i="7"/>
  <c r="W28" i="7"/>
  <c r="X28" i="7"/>
  <c r="X52" i="7"/>
  <c r="W52" i="7"/>
  <c r="W13" i="7"/>
  <c r="X13" i="7"/>
  <c r="W29" i="7"/>
  <c r="X29" i="7"/>
  <c r="X37" i="7"/>
  <c r="W37" i="7"/>
  <c r="W53" i="7"/>
  <c r="X53" i="7"/>
  <c r="W61" i="7"/>
  <c r="X61" i="7"/>
  <c r="W69" i="7"/>
  <c r="X69" i="7"/>
  <c r="X85" i="7"/>
  <c r="W85" i="7"/>
  <c r="W93" i="7"/>
  <c r="X93" i="7"/>
  <c r="W101" i="7"/>
  <c r="X101" i="7"/>
  <c r="W14" i="7"/>
  <c r="X14" i="7"/>
  <c r="W22" i="7"/>
  <c r="X22" i="7"/>
  <c r="X30" i="7"/>
  <c r="W30" i="7"/>
  <c r="W38" i="7"/>
  <c r="X38" i="7"/>
  <c r="X46" i="7"/>
  <c r="W46" i="7"/>
  <c r="X54" i="7"/>
  <c r="W54" i="7"/>
  <c r="W62" i="7"/>
  <c r="X62" i="7"/>
  <c r="W70" i="7"/>
  <c r="X70" i="7"/>
  <c r="X78" i="7"/>
  <c r="W78" i="7"/>
  <c r="X86" i="7"/>
  <c r="W86" i="7"/>
  <c r="W94" i="7"/>
  <c r="X94" i="7"/>
  <c r="W102" i="7"/>
  <c r="X102" i="7"/>
  <c r="W15" i="7"/>
  <c r="X15" i="7"/>
  <c r="W63" i="7"/>
  <c r="X63" i="7"/>
  <c r="X87" i="7"/>
  <c r="W87" i="7"/>
  <c r="W95" i="7"/>
  <c r="X95" i="7"/>
  <c r="X103" i="7"/>
  <c r="W103" i="7"/>
  <c r="X24" i="7"/>
  <c r="W24" i="7"/>
  <c r="X56" i="7"/>
  <c r="W56" i="7"/>
  <c r="W31" i="7"/>
  <c r="X31" i="7"/>
  <c r="W16" i="7"/>
  <c r="X16" i="7"/>
  <c r="X32" i="7"/>
  <c r="W32" i="7"/>
  <c r="X40" i="7"/>
  <c r="W40" i="7"/>
  <c r="W48" i="7"/>
  <c r="X48" i="7"/>
  <c r="W64" i="7"/>
  <c r="X64" i="7"/>
  <c r="W72" i="7"/>
  <c r="X72" i="7"/>
  <c r="X80" i="7"/>
  <c r="W80" i="7"/>
  <c r="X88" i="7"/>
  <c r="W88" i="7"/>
  <c r="W96" i="7"/>
  <c r="X96" i="7"/>
  <c r="X104" i="7"/>
  <c r="W104" i="7"/>
  <c r="X17" i="7"/>
  <c r="W17" i="7"/>
  <c r="X25" i="7"/>
  <c r="W25" i="7"/>
  <c r="X33" i="7"/>
  <c r="W33" i="7"/>
  <c r="X41" i="7"/>
  <c r="W41" i="7"/>
  <c r="X49" i="7"/>
  <c r="W49" i="7"/>
  <c r="X57" i="7"/>
  <c r="W57" i="7"/>
  <c r="X65" i="7"/>
  <c r="W65" i="7"/>
  <c r="X73" i="7"/>
  <c r="W73" i="7"/>
  <c r="X81" i="7"/>
  <c r="W81" i="7"/>
  <c r="X89" i="7"/>
  <c r="W89" i="7"/>
  <c r="X97" i="7"/>
  <c r="W97" i="7"/>
  <c r="X105" i="7"/>
  <c r="W105" i="7"/>
  <c r="X55" i="7"/>
  <c r="W55" i="7"/>
  <c r="W18" i="7"/>
  <c r="X18" i="7"/>
  <c r="X50" i="7"/>
  <c r="W50" i="7"/>
  <c r="W74" i="7"/>
  <c r="X74" i="7"/>
  <c r="W90" i="7"/>
  <c r="X90" i="7"/>
  <c r="W106" i="7"/>
  <c r="X106" i="7"/>
  <c r="X23" i="7"/>
  <c r="W23" i="7"/>
  <c r="X71" i="7"/>
  <c r="W71" i="7"/>
  <c r="W42" i="7"/>
  <c r="X42" i="7"/>
  <c r="X58" i="7"/>
  <c r="W58" i="7"/>
  <c r="X66" i="7"/>
  <c r="W66" i="7"/>
  <c r="X82" i="7"/>
  <c r="W82" i="7"/>
  <c r="W98" i="7"/>
  <c r="X98" i="7"/>
  <c r="X11" i="7"/>
  <c r="W11" i="7"/>
  <c r="X19" i="7"/>
  <c r="W19" i="7"/>
  <c r="X27" i="7"/>
  <c r="W27" i="7"/>
  <c r="X35" i="7"/>
  <c r="W35" i="7"/>
  <c r="X43" i="7"/>
  <c r="W43" i="7"/>
  <c r="X51" i="7"/>
  <c r="W51" i="7"/>
  <c r="X59" i="7"/>
  <c r="W59" i="7"/>
  <c r="X67" i="7"/>
  <c r="W67" i="7"/>
  <c r="X75" i="7"/>
  <c r="W75" i="7"/>
  <c r="X83" i="7"/>
  <c r="W83" i="7"/>
  <c r="X91" i="7"/>
  <c r="W91" i="7"/>
  <c r="X99" i="7"/>
  <c r="W99" i="7"/>
  <c r="X107" i="7"/>
  <c r="W107" i="7"/>
  <c r="W34" i="7"/>
  <c r="X34" i="7"/>
  <c r="X36" i="7"/>
  <c r="W36" i="7"/>
  <c r="W60" i="7"/>
  <c r="X60" i="7"/>
  <c r="W76" i="7"/>
  <c r="X76" i="7"/>
  <c r="X84" i="7"/>
  <c r="W84" i="7"/>
  <c r="W92" i="7"/>
  <c r="X92" i="7"/>
  <c r="W100" i="7"/>
  <c r="X100" i="7"/>
  <c r="F14" i="7" a="1"/>
  <c r="F14" i="7" s="1"/>
  <c r="E14" i="7" a="1"/>
  <c r="E14" i="7" s="1"/>
  <c r="D14" i="7" a="1"/>
  <c r="D14" i="7" s="1"/>
  <c r="C14" i="7" a="1"/>
  <c r="C14" i="7" s="1"/>
  <c r="B14" i="7" a="1"/>
  <c r="B14" i="7" s="1"/>
  <c r="E15" i="7" a="1"/>
  <c r="E15" i="7" s="1"/>
  <c r="D15" i="7" a="1"/>
  <c r="D15" i="7" s="1"/>
  <c r="F15" i="7" a="1"/>
  <c r="F15" i="7" s="1"/>
  <c r="C15" i="7" a="1"/>
  <c r="C15" i="7" s="1"/>
  <c r="B15" i="7" a="1"/>
  <c r="B15" i="7" s="1"/>
  <c r="E23" i="7" a="1"/>
  <c r="E23" i="7" s="1"/>
  <c r="D23" i="7" a="1"/>
  <c r="D23" i="7" s="1"/>
  <c r="F23" i="7" a="1"/>
  <c r="F23" i="7" s="1"/>
  <c r="C23" i="7" a="1"/>
  <c r="C23" i="7" s="1"/>
  <c r="B23" i="7" a="1"/>
  <c r="B23" i="7" s="1"/>
  <c r="D12" i="7" a="1"/>
  <c r="D12" i="7" s="1"/>
  <c r="F12" i="7" a="1"/>
  <c r="F12" i="7" s="1"/>
  <c r="E12" i="7" a="1"/>
  <c r="E12" i="7" s="1"/>
  <c r="C12" i="7" a="1"/>
  <c r="C12" i="7" s="1"/>
  <c r="B12" i="7" a="1"/>
  <c r="B12" i="7" s="1"/>
  <c r="D16" i="7" a="1"/>
  <c r="D16" i="7" s="1"/>
  <c r="F16" i="7" a="1"/>
  <c r="F16" i="7" s="1"/>
  <c r="E16" i="7" a="1"/>
  <c r="E16" i="7" s="1"/>
  <c r="C16" i="7" a="1"/>
  <c r="C16" i="7" s="1"/>
  <c r="B16" i="7" a="1"/>
  <c r="B16" i="7" s="1"/>
  <c r="D20" i="7" a="1"/>
  <c r="D20" i="7" s="1"/>
  <c r="F20" i="7" a="1"/>
  <c r="F20" i="7" s="1"/>
  <c r="E20" i="7" a="1"/>
  <c r="E20" i="7" s="1"/>
  <c r="C20" i="7" a="1"/>
  <c r="C20" i="7" s="1"/>
  <c r="B20" i="7" a="1"/>
  <c r="B20" i="7" s="1"/>
  <c r="D24" i="7" a="1"/>
  <c r="D24" i="7" s="1"/>
  <c r="F24" i="7" a="1"/>
  <c r="F24" i="7" s="1"/>
  <c r="E24" i="7" a="1"/>
  <c r="E24" i="7" s="1"/>
  <c r="C24" i="7" a="1"/>
  <c r="C24" i="7" s="1"/>
  <c r="B24" i="7" a="1"/>
  <c r="B24" i="7" s="1"/>
  <c r="D28" i="7" a="1"/>
  <c r="D28" i="7" s="1"/>
  <c r="F28" i="7" a="1"/>
  <c r="F28" i="7" s="1"/>
  <c r="E28" i="7" a="1"/>
  <c r="E28" i="7" s="1"/>
  <c r="C28" i="7" a="1"/>
  <c r="C28" i="7" s="1"/>
  <c r="B28" i="7" a="1"/>
  <c r="B28" i="7" s="1"/>
  <c r="D32" i="7" a="1"/>
  <c r="D32" i="7" s="1"/>
  <c r="F32" i="7" a="1"/>
  <c r="F32" i="7" s="1"/>
  <c r="E32" i="7" a="1"/>
  <c r="E32" i="7" s="1"/>
  <c r="C32" i="7" a="1"/>
  <c r="C32" i="7" s="1"/>
  <c r="B32" i="7" a="1"/>
  <c r="B32" i="7" s="1"/>
  <c r="D36" i="7" a="1"/>
  <c r="D36" i="7" s="1"/>
  <c r="F36" i="7" a="1"/>
  <c r="F36" i="7" s="1"/>
  <c r="E36" i="7" a="1"/>
  <c r="E36" i="7" s="1"/>
  <c r="C36" i="7" a="1"/>
  <c r="C36" i="7" s="1"/>
  <c r="B36" i="7" a="1"/>
  <c r="B36" i="7" s="1"/>
  <c r="D40" i="7" a="1"/>
  <c r="D40" i="7" s="1"/>
  <c r="F40" i="7" a="1"/>
  <c r="F40" i="7" s="1"/>
  <c r="E40" i="7" a="1"/>
  <c r="E40" i="7" s="1"/>
  <c r="C40" i="7" a="1"/>
  <c r="C40" i="7" s="1"/>
  <c r="B40" i="7" a="1"/>
  <c r="B40" i="7" s="1"/>
  <c r="D44" i="7" a="1"/>
  <c r="D44" i="7" s="1"/>
  <c r="F44" i="7" a="1"/>
  <c r="F44" i="7" s="1"/>
  <c r="E44" i="7" a="1"/>
  <c r="E44" i="7" s="1"/>
  <c r="C44" i="7" a="1"/>
  <c r="C44" i="7" s="1"/>
  <c r="B44" i="7" a="1"/>
  <c r="B44" i="7" s="1"/>
  <c r="D48" i="7" a="1"/>
  <c r="D48" i="7" s="1"/>
  <c r="F48" i="7" a="1"/>
  <c r="F48" i="7" s="1"/>
  <c r="E48" i="7" a="1"/>
  <c r="E48" i="7" s="1"/>
  <c r="C48" i="7" a="1"/>
  <c r="C48" i="7" s="1"/>
  <c r="B48" i="7" a="1"/>
  <c r="B48" i="7" s="1"/>
  <c r="D52" i="7" a="1"/>
  <c r="D52" i="7" s="1"/>
  <c r="F52" i="7" a="1"/>
  <c r="F52" i="7" s="1"/>
  <c r="E52" i="7" a="1"/>
  <c r="E52" i="7" s="1"/>
  <c r="C52" i="7" a="1"/>
  <c r="C52" i="7" s="1"/>
  <c r="B52" i="7" a="1"/>
  <c r="B52" i="7" s="1"/>
  <c r="D56" i="7" a="1"/>
  <c r="D56" i="7" s="1"/>
  <c r="F56" i="7" a="1"/>
  <c r="F56" i="7" s="1"/>
  <c r="E56" i="7" a="1"/>
  <c r="E56" i="7" s="1"/>
  <c r="C56" i="7" a="1"/>
  <c r="C56" i="7" s="1"/>
  <c r="B56" i="7" a="1"/>
  <c r="B56" i="7" s="1"/>
  <c r="D60" i="7" a="1"/>
  <c r="D60" i="7" s="1"/>
  <c r="F60" i="7" a="1"/>
  <c r="F60" i="7" s="1"/>
  <c r="E60" i="7" a="1"/>
  <c r="E60" i="7" s="1"/>
  <c r="C60" i="7" a="1"/>
  <c r="C60" i="7" s="1"/>
  <c r="B60" i="7" a="1"/>
  <c r="B60" i="7" s="1"/>
  <c r="D64" i="7" a="1"/>
  <c r="D64" i="7" s="1"/>
  <c r="F64" i="7" a="1"/>
  <c r="F64" i="7" s="1"/>
  <c r="E64" i="7" a="1"/>
  <c r="E64" i="7" s="1"/>
  <c r="C64" i="7" a="1"/>
  <c r="C64" i="7" s="1"/>
  <c r="B64" i="7" a="1"/>
  <c r="B64" i="7" s="1"/>
  <c r="D68" i="7" a="1"/>
  <c r="D68" i="7" s="1"/>
  <c r="F68" i="7" a="1"/>
  <c r="F68" i="7" s="1"/>
  <c r="E68" i="7" a="1"/>
  <c r="E68" i="7" s="1"/>
  <c r="C68" i="7" a="1"/>
  <c r="C68" i="7" s="1"/>
  <c r="B68" i="7" a="1"/>
  <c r="B68" i="7" s="1"/>
  <c r="D72" i="7" a="1"/>
  <c r="D72" i="7" s="1"/>
  <c r="F72" i="7" a="1"/>
  <c r="F72" i="7" s="1"/>
  <c r="E72" i="7" a="1"/>
  <c r="E72" i="7" s="1"/>
  <c r="C72" i="7" a="1"/>
  <c r="C72" i="7" s="1"/>
  <c r="B72" i="7" a="1"/>
  <c r="B72" i="7" s="1"/>
  <c r="D76" i="7" a="1"/>
  <c r="D76" i="7" s="1"/>
  <c r="F76" i="7" a="1"/>
  <c r="F76" i="7" s="1"/>
  <c r="E76" i="7" a="1"/>
  <c r="E76" i="7" s="1"/>
  <c r="C76" i="7" a="1"/>
  <c r="C76" i="7" s="1"/>
  <c r="B76" i="7" a="1"/>
  <c r="B76" i="7" s="1"/>
  <c r="D80" i="7" a="1"/>
  <c r="D80" i="7" s="1"/>
  <c r="F80" i="7" a="1"/>
  <c r="F80" i="7" s="1"/>
  <c r="E80" i="7" a="1"/>
  <c r="E80" i="7" s="1"/>
  <c r="C80" i="7" a="1"/>
  <c r="C80" i="7" s="1"/>
  <c r="B80" i="7" a="1"/>
  <c r="B80" i="7" s="1"/>
  <c r="D84" i="7" a="1"/>
  <c r="D84" i="7" s="1"/>
  <c r="F84" i="7" a="1"/>
  <c r="F84" i="7" s="1"/>
  <c r="E84" i="7" a="1"/>
  <c r="E84" i="7" s="1"/>
  <c r="C84" i="7" a="1"/>
  <c r="C84" i="7" s="1"/>
  <c r="B84" i="7" a="1"/>
  <c r="B84" i="7" s="1"/>
  <c r="D88" i="7" a="1"/>
  <c r="D88" i="7" s="1"/>
  <c r="F88" i="7" a="1"/>
  <c r="F88" i="7" s="1"/>
  <c r="E88" i="7" a="1"/>
  <c r="E88" i="7" s="1"/>
  <c r="C88" i="7" a="1"/>
  <c r="C88" i="7" s="1"/>
  <c r="B88" i="7" a="1"/>
  <c r="B88" i="7" s="1"/>
  <c r="D92" i="7" a="1"/>
  <c r="D92" i="7" s="1"/>
  <c r="F92" i="7" a="1"/>
  <c r="F92" i="7" s="1"/>
  <c r="E92" i="7" a="1"/>
  <c r="E92" i="7" s="1"/>
  <c r="C92" i="7" a="1"/>
  <c r="C92" i="7" s="1"/>
  <c r="B92" i="7" a="1"/>
  <c r="B92" i="7" s="1"/>
  <c r="D96" i="7" a="1"/>
  <c r="D96" i="7" s="1"/>
  <c r="C96" i="7" a="1"/>
  <c r="C96" i="7" s="1"/>
  <c r="F96" i="7" a="1"/>
  <c r="F96" i="7" s="1"/>
  <c r="E96" i="7" a="1"/>
  <c r="E96" i="7" s="1"/>
  <c r="B96" i="7" a="1"/>
  <c r="B96" i="7" s="1"/>
  <c r="D100" i="7" a="1"/>
  <c r="D100" i="7" s="1"/>
  <c r="C100" i="7" a="1"/>
  <c r="C100" i="7" s="1"/>
  <c r="F100" i="7" a="1"/>
  <c r="F100" i="7" s="1"/>
  <c r="E100" i="7" a="1"/>
  <c r="E100" i="7" s="1"/>
  <c r="B100" i="7" a="1"/>
  <c r="B100" i="7" s="1"/>
  <c r="D104" i="7" a="1"/>
  <c r="D104" i="7" s="1"/>
  <c r="C104" i="7" a="1"/>
  <c r="C104" i="7" s="1"/>
  <c r="F104" i="7" a="1"/>
  <c r="F104" i="7" s="1"/>
  <c r="E104" i="7" a="1"/>
  <c r="E104" i="7" s="1"/>
  <c r="B104" i="7" a="1"/>
  <c r="B104" i="7" s="1"/>
  <c r="F18" i="7" a="1"/>
  <c r="F18" i="7" s="1"/>
  <c r="E18" i="7" a="1"/>
  <c r="E18" i="7" s="1"/>
  <c r="D18" i="7" a="1"/>
  <c r="D18" i="7" s="1"/>
  <c r="C18" i="7" a="1"/>
  <c r="C18" i="7" s="1"/>
  <c r="B18" i="7" a="1"/>
  <c r="B18" i="7" s="1"/>
  <c r="E11" i="7" a="1"/>
  <c r="E11" i="7" s="1"/>
  <c r="S11" i="7" s="1"/>
  <c r="D11" i="7" a="1"/>
  <c r="D11" i="7" s="1"/>
  <c r="Q11" i="7" s="1"/>
  <c r="F11" i="7" a="1"/>
  <c r="F11" i="7" s="1"/>
  <c r="U11" i="7" s="1"/>
  <c r="B11" i="7" a="1"/>
  <c r="B11" i="7" s="1"/>
  <c r="L11" i="7" s="1"/>
  <c r="C11" i="7" a="1"/>
  <c r="C11" i="7" s="1"/>
  <c r="N11" i="7" s="1"/>
  <c r="E27" i="7" a="1"/>
  <c r="E27" i="7" s="1"/>
  <c r="D27" i="7" a="1"/>
  <c r="D27" i="7" s="1"/>
  <c r="F27" i="7" a="1"/>
  <c r="F27" i="7" s="1"/>
  <c r="B27" i="7" a="1"/>
  <c r="B27" i="7" s="1"/>
  <c r="C27" i="7" a="1"/>
  <c r="C27" i="7" s="1"/>
  <c r="F13" i="7" a="1"/>
  <c r="F13" i="7" s="1"/>
  <c r="E13" i="7" a="1"/>
  <c r="E13" i="7" s="1"/>
  <c r="D13" i="7" a="1"/>
  <c r="D13" i="7" s="1"/>
  <c r="B13" i="7" a="1"/>
  <c r="B13" i="7" s="1"/>
  <c r="C13" i="7" a="1"/>
  <c r="C13" i="7" s="1"/>
  <c r="F17" i="7" a="1"/>
  <c r="F17" i="7" s="1"/>
  <c r="E17" i="7" a="1"/>
  <c r="E17" i="7" s="1"/>
  <c r="D17" i="7" a="1"/>
  <c r="D17" i="7" s="1"/>
  <c r="C17" i="7" a="1"/>
  <c r="C17" i="7" s="1"/>
  <c r="B17" i="7" a="1"/>
  <c r="B17" i="7" s="1"/>
  <c r="F21" i="7" a="1"/>
  <c r="F21" i="7" s="1"/>
  <c r="E21" i="7" a="1"/>
  <c r="E21" i="7" s="1"/>
  <c r="D21" i="7" a="1"/>
  <c r="D21" i="7" s="1"/>
  <c r="C21" i="7" a="1"/>
  <c r="C21" i="7" s="1"/>
  <c r="B21" i="7" a="1"/>
  <c r="B21" i="7" s="1"/>
  <c r="F25" i="7" a="1"/>
  <c r="F25" i="7" s="1"/>
  <c r="E25" i="7" a="1"/>
  <c r="E25" i="7" s="1"/>
  <c r="D25" i="7" a="1"/>
  <c r="D25" i="7" s="1"/>
  <c r="C25" i="7" a="1"/>
  <c r="C25" i="7" s="1"/>
  <c r="B25" i="7" a="1"/>
  <c r="B25" i="7" s="1"/>
  <c r="F29" i="7" a="1"/>
  <c r="F29" i="7" s="1"/>
  <c r="E29" i="7" a="1"/>
  <c r="E29" i="7" s="1"/>
  <c r="D29" i="7" a="1"/>
  <c r="D29" i="7" s="1"/>
  <c r="C29" i="7" a="1"/>
  <c r="C29" i="7" s="1"/>
  <c r="B29" i="7" a="1"/>
  <c r="B29" i="7" s="1"/>
  <c r="F33" i="7" a="1"/>
  <c r="F33" i="7" s="1"/>
  <c r="E33" i="7" a="1"/>
  <c r="E33" i="7" s="1"/>
  <c r="D33" i="7" a="1"/>
  <c r="D33" i="7" s="1"/>
  <c r="C33" i="7" a="1"/>
  <c r="C33" i="7" s="1"/>
  <c r="B33" i="7" a="1"/>
  <c r="B33" i="7" s="1"/>
  <c r="F37" i="7" a="1"/>
  <c r="F37" i="7" s="1"/>
  <c r="E37" i="7" a="1"/>
  <c r="E37" i="7" s="1"/>
  <c r="D37" i="7" a="1"/>
  <c r="D37" i="7" s="1"/>
  <c r="C37" i="7" a="1"/>
  <c r="C37" i="7" s="1"/>
  <c r="B37" i="7" a="1"/>
  <c r="B37" i="7" s="1"/>
  <c r="F41" i="7" a="1"/>
  <c r="F41" i="7" s="1"/>
  <c r="E41" i="7" a="1"/>
  <c r="E41" i="7" s="1"/>
  <c r="D41" i="7" a="1"/>
  <c r="D41" i="7" s="1"/>
  <c r="C41" i="7" a="1"/>
  <c r="C41" i="7" s="1"/>
  <c r="B41" i="7" a="1"/>
  <c r="B41" i="7" s="1"/>
  <c r="F45" i="7" a="1"/>
  <c r="F45" i="7" s="1"/>
  <c r="E45" i="7" a="1"/>
  <c r="E45" i="7" s="1"/>
  <c r="D45" i="7" a="1"/>
  <c r="D45" i="7" s="1"/>
  <c r="C45" i="7" a="1"/>
  <c r="C45" i="7" s="1"/>
  <c r="B45" i="7" a="1"/>
  <c r="B45" i="7" s="1"/>
  <c r="F49" i="7" a="1"/>
  <c r="F49" i="7" s="1"/>
  <c r="E49" i="7" a="1"/>
  <c r="E49" i="7" s="1"/>
  <c r="D49" i="7" a="1"/>
  <c r="D49" i="7" s="1"/>
  <c r="C49" i="7" a="1"/>
  <c r="C49" i="7" s="1"/>
  <c r="B49" i="7" a="1"/>
  <c r="B49" i="7" s="1"/>
  <c r="F53" i="7" a="1"/>
  <c r="F53" i="7" s="1"/>
  <c r="E53" i="7" a="1"/>
  <c r="E53" i="7" s="1"/>
  <c r="D53" i="7" a="1"/>
  <c r="D53" i="7" s="1"/>
  <c r="C53" i="7" a="1"/>
  <c r="C53" i="7" s="1"/>
  <c r="B53" i="7" a="1"/>
  <c r="B53" i="7" s="1"/>
  <c r="F57" i="7" a="1"/>
  <c r="F57" i="7" s="1"/>
  <c r="E57" i="7" a="1"/>
  <c r="E57" i="7" s="1"/>
  <c r="D57" i="7" a="1"/>
  <c r="D57" i="7" s="1"/>
  <c r="C57" i="7" a="1"/>
  <c r="C57" i="7" s="1"/>
  <c r="B57" i="7" a="1"/>
  <c r="B57" i="7" s="1"/>
  <c r="F61" i="7" a="1"/>
  <c r="F61" i="7" s="1"/>
  <c r="E61" i="7" a="1"/>
  <c r="E61" i="7" s="1"/>
  <c r="D61" i="7" a="1"/>
  <c r="D61" i="7" s="1"/>
  <c r="C61" i="7" a="1"/>
  <c r="C61" i="7" s="1"/>
  <c r="B61" i="7" a="1"/>
  <c r="B61" i="7" s="1"/>
  <c r="F65" i="7" a="1"/>
  <c r="F65" i="7" s="1"/>
  <c r="E65" i="7" a="1"/>
  <c r="E65" i="7" s="1"/>
  <c r="D65" i="7" a="1"/>
  <c r="D65" i="7" s="1"/>
  <c r="C65" i="7" a="1"/>
  <c r="C65" i="7" s="1"/>
  <c r="B65" i="7" a="1"/>
  <c r="B65" i="7" s="1"/>
  <c r="F69" i="7" a="1"/>
  <c r="F69" i="7" s="1"/>
  <c r="E69" i="7" a="1"/>
  <c r="E69" i="7" s="1"/>
  <c r="D69" i="7" a="1"/>
  <c r="D69" i="7" s="1"/>
  <c r="B69" i="7" a="1"/>
  <c r="B69" i="7" s="1"/>
  <c r="C69" i="7" a="1"/>
  <c r="C69" i="7" s="1"/>
  <c r="F73" i="7" a="1"/>
  <c r="F73" i="7" s="1"/>
  <c r="E73" i="7" a="1"/>
  <c r="E73" i="7" s="1"/>
  <c r="D73" i="7" a="1"/>
  <c r="D73" i="7" s="1"/>
  <c r="C73" i="7" a="1"/>
  <c r="C73" i="7" s="1"/>
  <c r="B73" i="7" a="1"/>
  <c r="B73" i="7" s="1"/>
  <c r="F77" i="7" a="1"/>
  <c r="F77" i="7" s="1"/>
  <c r="E77" i="7" a="1"/>
  <c r="E77" i="7" s="1"/>
  <c r="D77" i="7" a="1"/>
  <c r="D77" i="7" s="1"/>
  <c r="C77" i="7" a="1"/>
  <c r="C77" i="7" s="1"/>
  <c r="B77" i="7" a="1"/>
  <c r="B77" i="7" s="1"/>
  <c r="F81" i="7" a="1"/>
  <c r="F81" i="7" s="1"/>
  <c r="E81" i="7" a="1"/>
  <c r="E81" i="7" s="1"/>
  <c r="D81" i="7" a="1"/>
  <c r="D81" i="7" s="1"/>
  <c r="C81" i="7" a="1"/>
  <c r="C81" i="7" s="1"/>
  <c r="B81" i="7" a="1"/>
  <c r="B81" i="7" s="1"/>
  <c r="F85" i="7" a="1"/>
  <c r="F85" i="7" s="1"/>
  <c r="E85" i="7" a="1"/>
  <c r="E85" i="7" s="1"/>
  <c r="D85" i="7" a="1"/>
  <c r="D85" i="7" s="1"/>
  <c r="B85" i="7" a="1"/>
  <c r="B85" i="7" s="1"/>
  <c r="C85" i="7" a="1"/>
  <c r="C85" i="7" s="1"/>
  <c r="F89" i="7" a="1"/>
  <c r="F89" i="7" s="1"/>
  <c r="E89" i="7" a="1"/>
  <c r="E89" i="7" s="1"/>
  <c r="D89" i="7" a="1"/>
  <c r="D89" i="7" s="1"/>
  <c r="C89" i="7" a="1"/>
  <c r="C89" i="7" s="1"/>
  <c r="B89" i="7" a="1"/>
  <c r="B89" i="7" s="1"/>
  <c r="F93" i="7" a="1"/>
  <c r="F93" i="7" s="1"/>
  <c r="E93" i="7" a="1"/>
  <c r="E93" i="7" s="1"/>
  <c r="D93" i="7" a="1"/>
  <c r="D93" i="7" s="1"/>
  <c r="C93" i="7" a="1"/>
  <c r="C93" i="7" s="1"/>
  <c r="B93" i="7" a="1"/>
  <c r="B93" i="7" s="1"/>
  <c r="C97" i="7" a="1"/>
  <c r="C97" i="7" s="1"/>
  <c r="F97" i="7" a="1"/>
  <c r="F97" i="7" s="1"/>
  <c r="E97" i="7" a="1"/>
  <c r="E97" i="7" s="1"/>
  <c r="D97" i="7" a="1"/>
  <c r="D97" i="7" s="1"/>
  <c r="B97" i="7" a="1"/>
  <c r="B97" i="7" s="1"/>
  <c r="C101" i="7" a="1"/>
  <c r="C101" i="7" s="1"/>
  <c r="F101" i="7" a="1"/>
  <c r="F101" i="7" s="1"/>
  <c r="E101" i="7" a="1"/>
  <c r="E101" i="7" s="1"/>
  <c r="D101" i="7" a="1"/>
  <c r="D101" i="7" s="1"/>
  <c r="B101" i="7" a="1"/>
  <c r="B101" i="7" s="1"/>
  <c r="C105" i="7" a="1"/>
  <c r="C105" i="7" s="1"/>
  <c r="F105" i="7" a="1"/>
  <c r="F105" i="7" s="1"/>
  <c r="E105" i="7" a="1"/>
  <c r="E105" i="7" s="1"/>
  <c r="D105" i="7" a="1"/>
  <c r="D105" i="7" s="1"/>
  <c r="B105" i="7" a="1"/>
  <c r="B105" i="7" s="1"/>
  <c r="F22" i="7" a="1"/>
  <c r="F22" i="7" s="1"/>
  <c r="E22" i="7" a="1"/>
  <c r="E22" i="7" s="1"/>
  <c r="D22" i="7" a="1"/>
  <c r="D22" i="7" s="1"/>
  <c r="C22" i="7" a="1"/>
  <c r="C22" i="7" s="1"/>
  <c r="B22" i="7" a="1"/>
  <c r="B22" i="7" s="1"/>
  <c r="F26" i="7" a="1"/>
  <c r="F26" i="7" s="1"/>
  <c r="E26" i="7" a="1"/>
  <c r="E26" i="7" s="1"/>
  <c r="D26" i="7" a="1"/>
  <c r="D26" i="7" s="1"/>
  <c r="C26" i="7" a="1"/>
  <c r="C26" i="7" s="1"/>
  <c r="B26" i="7" a="1"/>
  <c r="B26" i="7" s="1"/>
  <c r="F30" i="7" a="1"/>
  <c r="F30" i="7" s="1"/>
  <c r="E30" i="7" a="1"/>
  <c r="E30" i="7" s="1"/>
  <c r="D30" i="7" a="1"/>
  <c r="D30" i="7" s="1"/>
  <c r="C30" i="7" a="1"/>
  <c r="C30" i="7" s="1"/>
  <c r="B30" i="7" a="1"/>
  <c r="B30" i="7" s="1"/>
  <c r="F34" i="7" a="1"/>
  <c r="F34" i="7" s="1"/>
  <c r="E34" i="7" a="1"/>
  <c r="E34" i="7" s="1"/>
  <c r="D34" i="7" a="1"/>
  <c r="D34" i="7" s="1"/>
  <c r="C34" i="7" a="1"/>
  <c r="C34" i="7" s="1"/>
  <c r="B34" i="7" a="1"/>
  <c r="B34" i="7" s="1"/>
  <c r="F38" i="7" a="1"/>
  <c r="F38" i="7" s="1"/>
  <c r="E38" i="7" a="1"/>
  <c r="E38" i="7" s="1"/>
  <c r="D38" i="7" a="1"/>
  <c r="D38" i="7" s="1"/>
  <c r="C38" i="7" a="1"/>
  <c r="C38" i="7" s="1"/>
  <c r="B38" i="7" a="1"/>
  <c r="B38" i="7" s="1"/>
  <c r="F42" i="7" a="1"/>
  <c r="F42" i="7" s="1"/>
  <c r="E42" i="7" a="1"/>
  <c r="E42" i="7" s="1"/>
  <c r="D42" i="7" a="1"/>
  <c r="D42" i="7" s="1"/>
  <c r="C42" i="7" a="1"/>
  <c r="C42" i="7" s="1"/>
  <c r="B42" i="7" a="1"/>
  <c r="B42" i="7" s="1"/>
  <c r="F46" i="7" a="1"/>
  <c r="F46" i="7" s="1"/>
  <c r="E46" i="7" a="1"/>
  <c r="E46" i="7" s="1"/>
  <c r="D46" i="7" a="1"/>
  <c r="D46" i="7" s="1"/>
  <c r="C46" i="7" a="1"/>
  <c r="C46" i="7" s="1"/>
  <c r="B46" i="7" a="1"/>
  <c r="B46" i="7" s="1"/>
  <c r="F50" i="7" a="1"/>
  <c r="F50" i="7" s="1"/>
  <c r="E50" i="7" a="1"/>
  <c r="E50" i="7" s="1"/>
  <c r="D50" i="7" a="1"/>
  <c r="D50" i="7" s="1"/>
  <c r="C50" i="7" a="1"/>
  <c r="C50" i="7" s="1"/>
  <c r="B50" i="7" a="1"/>
  <c r="B50" i="7" s="1"/>
  <c r="F54" i="7" a="1"/>
  <c r="F54" i="7" s="1"/>
  <c r="E54" i="7" a="1"/>
  <c r="E54" i="7" s="1"/>
  <c r="D54" i="7" a="1"/>
  <c r="D54" i="7" s="1"/>
  <c r="C54" i="7" a="1"/>
  <c r="C54" i="7" s="1"/>
  <c r="B54" i="7" a="1"/>
  <c r="B54" i="7" s="1"/>
  <c r="F58" i="7" a="1"/>
  <c r="F58" i="7" s="1"/>
  <c r="E58" i="7" a="1"/>
  <c r="E58" i="7" s="1"/>
  <c r="D58" i="7" a="1"/>
  <c r="D58" i="7" s="1"/>
  <c r="C58" i="7" a="1"/>
  <c r="C58" i="7" s="1"/>
  <c r="B58" i="7" a="1"/>
  <c r="B58" i="7" s="1"/>
  <c r="F62" i="7" a="1"/>
  <c r="F62" i="7" s="1"/>
  <c r="E62" i="7" a="1"/>
  <c r="E62" i="7" s="1"/>
  <c r="D62" i="7" a="1"/>
  <c r="D62" i="7" s="1"/>
  <c r="C62" i="7" a="1"/>
  <c r="C62" i="7" s="1"/>
  <c r="B62" i="7" a="1"/>
  <c r="B62" i="7" s="1"/>
  <c r="F66" i="7" a="1"/>
  <c r="F66" i="7" s="1"/>
  <c r="E66" i="7" a="1"/>
  <c r="E66" i="7" s="1"/>
  <c r="D66" i="7" a="1"/>
  <c r="D66" i="7" s="1"/>
  <c r="C66" i="7" a="1"/>
  <c r="C66" i="7" s="1"/>
  <c r="B66" i="7" a="1"/>
  <c r="B66" i="7" s="1"/>
  <c r="F70" i="7" a="1"/>
  <c r="F70" i="7" s="1"/>
  <c r="E70" i="7" a="1"/>
  <c r="E70" i="7" s="1"/>
  <c r="D70" i="7" a="1"/>
  <c r="D70" i="7" s="1"/>
  <c r="B70" i="7" a="1"/>
  <c r="B70" i="7" s="1"/>
  <c r="C70" i="7" a="1"/>
  <c r="C70" i="7" s="1"/>
  <c r="F74" i="7" a="1"/>
  <c r="F74" i="7" s="1"/>
  <c r="E74" i="7" a="1"/>
  <c r="E74" i="7" s="1"/>
  <c r="D74" i="7" a="1"/>
  <c r="D74" i="7" s="1"/>
  <c r="B74" i="7" a="1"/>
  <c r="B74" i="7" s="1"/>
  <c r="C74" i="7" a="1"/>
  <c r="C74" i="7" s="1"/>
  <c r="F78" i="7" a="1"/>
  <c r="F78" i="7" s="1"/>
  <c r="E78" i="7" a="1"/>
  <c r="E78" i="7" s="1"/>
  <c r="D78" i="7" a="1"/>
  <c r="D78" i="7" s="1"/>
  <c r="C78" i="7" a="1"/>
  <c r="C78" i="7" s="1"/>
  <c r="B78" i="7" a="1"/>
  <c r="B78" i="7" s="1"/>
  <c r="F82" i="7" a="1"/>
  <c r="F82" i="7" s="1"/>
  <c r="E82" i="7" a="1"/>
  <c r="E82" i="7" s="1"/>
  <c r="D82" i="7" a="1"/>
  <c r="D82" i="7" s="1"/>
  <c r="C82" i="7" a="1"/>
  <c r="C82" i="7" s="1"/>
  <c r="B82" i="7" a="1"/>
  <c r="B82" i="7" s="1"/>
  <c r="F86" i="7" a="1"/>
  <c r="F86" i="7" s="1"/>
  <c r="E86" i="7" a="1"/>
  <c r="E86" i="7" s="1"/>
  <c r="D86" i="7" a="1"/>
  <c r="D86" i="7" s="1"/>
  <c r="B86" i="7" a="1"/>
  <c r="B86" i="7" s="1"/>
  <c r="C86" i="7" a="1"/>
  <c r="C86" i="7" s="1"/>
  <c r="F90" i="7" a="1"/>
  <c r="F90" i="7" s="1"/>
  <c r="E90" i="7" a="1"/>
  <c r="E90" i="7" s="1"/>
  <c r="D90" i="7" a="1"/>
  <c r="D90" i="7" s="1"/>
  <c r="B90" i="7" a="1"/>
  <c r="B90" i="7" s="1"/>
  <c r="C90" i="7" a="1"/>
  <c r="C90" i="7" s="1"/>
  <c r="F94" i="7" a="1"/>
  <c r="F94" i="7" s="1"/>
  <c r="E94" i="7" a="1"/>
  <c r="E94" i="7" s="1"/>
  <c r="D94" i="7" a="1"/>
  <c r="D94" i="7" s="1"/>
  <c r="C94" i="7" a="1"/>
  <c r="C94" i="7" s="1"/>
  <c r="B94" i="7" a="1"/>
  <c r="B94" i="7" s="1"/>
  <c r="F98" i="7" a="1"/>
  <c r="F98" i="7" s="1"/>
  <c r="E98" i="7" a="1"/>
  <c r="E98" i="7" s="1"/>
  <c r="D98" i="7" a="1"/>
  <c r="D98" i="7" s="1"/>
  <c r="B98" i="7" a="1"/>
  <c r="B98" i="7" s="1"/>
  <c r="C98" i="7" a="1"/>
  <c r="C98" i="7" s="1"/>
  <c r="F102" i="7" a="1"/>
  <c r="F102" i="7" s="1"/>
  <c r="E102" i="7" a="1"/>
  <c r="E102" i="7" s="1"/>
  <c r="D102" i="7" a="1"/>
  <c r="D102" i="7" s="1"/>
  <c r="C102" i="7" a="1"/>
  <c r="C102" i="7" s="1"/>
  <c r="B102" i="7" a="1"/>
  <c r="B102" i="7" s="1"/>
  <c r="F106" i="7" a="1"/>
  <c r="F106" i="7" s="1"/>
  <c r="E106" i="7" a="1"/>
  <c r="E106" i="7" s="1"/>
  <c r="D106" i="7" a="1"/>
  <c r="D106" i="7" s="1"/>
  <c r="C106" i="7" a="1"/>
  <c r="C106" i="7" s="1"/>
  <c r="B106" i="7" a="1"/>
  <c r="B106" i="7" s="1"/>
  <c r="E19" i="7" a="1"/>
  <c r="E19" i="7" s="1"/>
  <c r="D19" i="7" a="1"/>
  <c r="D19" i="7" s="1"/>
  <c r="F19" i="7" a="1"/>
  <c r="F19" i="7" s="1"/>
  <c r="B19" i="7" a="1"/>
  <c r="B19" i="7" s="1"/>
  <c r="C19" i="7" a="1"/>
  <c r="C19" i="7" s="1"/>
  <c r="E31" i="7" a="1"/>
  <c r="E31" i="7" s="1"/>
  <c r="D31" i="7" a="1"/>
  <c r="D31" i="7" s="1"/>
  <c r="F31" i="7" a="1"/>
  <c r="F31" i="7" s="1"/>
  <c r="C31" i="7" a="1"/>
  <c r="C31" i="7" s="1"/>
  <c r="B31" i="7" a="1"/>
  <c r="B31" i="7" s="1"/>
  <c r="E35" i="7" a="1"/>
  <c r="E35" i="7" s="1"/>
  <c r="D35" i="7" a="1"/>
  <c r="D35" i="7" s="1"/>
  <c r="F35" i="7" a="1"/>
  <c r="F35" i="7" s="1"/>
  <c r="B35" i="7" a="1"/>
  <c r="B35" i="7" s="1"/>
  <c r="C35" i="7" a="1"/>
  <c r="C35" i="7" s="1"/>
  <c r="E39" i="7" a="1"/>
  <c r="E39" i="7" s="1"/>
  <c r="D39" i="7" a="1"/>
  <c r="D39" i="7" s="1"/>
  <c r="F39" i="7" a="1"/>
  <c r="F39" i="7" s="1"/>
  <c r="B39" i="7" a="1"/>
  <c r="B39" i="7" s="1"/>
  <c r="C39" i="7" a="1"/>
  <c r="C39" i="7" s="1"/>
  <c r="E43" i="7" a="1"/>
  <c r="E43" i="7" s="1"/>
  <c r="D43" i="7" a="1"/>
  <c r="D43" i="7" s="1"/>
  <c r="F43" i="7" a="1"/>
  <c r="F43" i="7" s="1"/>
  <c r="B43" i="7" a="1"/>
  <c r="B43" i="7" s="1"/>
  <c r="C43" i="7" a="1"/>
  <c r="C43" i="7" s="1"/>
  <c r="E47" i="7" a="1"/>
  <c r="E47" i="7" s="1"/>
  <c r="D47" i="7" a="1"/>
  <c r="D47" i="7" s="1"/>
  <c r="F47" i="7" a="1"/>
  <c r="F47" i="7" s="1"/>
  <c r="B47" i="7" a="1"/>
  <c r="B47" i="7" s="1"/>
  <c r="C47" i="7" a="1"/>
  <c r="C47" i="7" s="1"/>
  <c r="E51" i="7" a="1"/>
  <c r="E51" i="7" s="1"/>
  <c r="D51" i="7" a="1"/>
  <c r="D51" i="7" s="1"/>
  <c r="F51" i="7" a="1"/>
  <c r="F51" i="7" s="1"/>
  <c r="B51" i="7" a="1"/>
  <c r="B51" i="7" s="1"/>
  <c r="C51" i="7" a="1"/>
  <c r="C51" i="7" s="1"/>
  <c r="E55" i="7" a="1"/>
  <c r="E55" i="7" s="1"/>
  <c r="D55" i="7" a="1"/>
  <c r="D55" i="7" s="1"/>
  <c r="F55" i="7" a="1"/>
  <c r="F55" i="7" s="1"/>
  <c r="B55" i="7" a="1"/>
  <c r="B55" i="7" s="1"/>
  <c r="C55" i="7" a="1"/>
  <c r="C55" i="7" s="1"/>
  <c r="E59" i="7" a="1"/>
  <c r="E59" i="7" s="1"/>
  <c r="D59" i="7" a="1"/>
  <c r="D59" i="7" s="1"/>
  <c r="F59" i="7" a="1"/>
  <c r="F59" i="7" s="1"/>
  <c r="B59" i="7" a="1"/>
  <c r="B59" i="7" s="1"/>
  <c r="C59" i="7" a="1"/>
  <c r="C59" i="7" s="1"/>
  <c r="E63" i="7" a="1"/>
  <c r="E63" i="7" s="1"/>
  <c r="D63" i="7" a="1"/>
  <c r="D63" i="7" s="1"/>
  <c r="C63" i="7" a="1"/>
  <c r="C63" i="7" s="1"/>
  <c r="F63" i="7" a="1"/>
  <c r="F63" i="7" s="1"/>
  <c r="B63" i="7" a="1"/>
  <c r="B63" i="7" s="1"/>
  <c r="E67" i="7" a="1"/>
  <c r="E67" i="7" s="1"/>
  <c r="D67" i="7" a="1"/>
  <c r="D67" i="7" s="1"/>
  <c r="C67" i="7" a="1"/>
  <c r="C67" i="7" s="1"/>
  <c r="F67" i="7" a="1"/>
  <c r="F67" i="7" s="1"/>
  <c r="B67" i="7" a="1"/>
  <c r="B67" i="7" s="1"/>
  <c r="E71" i="7" a="1"/>
  <c r="E71" i="7" s="1"/>
  <c r="D71" i="7" a="1"/>
  <c r="D71" i="7" s="1"/>
  <c r="C71" i="7" a="1"/>
  <c r="C71" i="7" s="1"/>
  <c r="F71" i="7" a="1"/>
  <c r="F71" i="7" s="1"/>
  <c r="B71" i="7" a="1"/>
  <c r="B71" i="7" s="1"/>
  <c r="E75" i="7" a="1"/>
  <c r="E75" i="7" s="1"/>
  <c r="D75" i="7" a="1"/>
  <c r="D75" i="7" s="1"/>
  <c r="C75" i="7" a="1"/>
  <c r="C75" i="7" s="1"/>
  <c r="F75" i="7" a="1"/>
  <c r="F75" i="7" s="1"/>
  <c r="B75" i="7" a="1"/>
  <c r="B75" i="7" s="1"/>
  <c r="E79" i="7" a="1"/>
  <c r="E79" i="7" s="1"/>
  <c r="D79" i="7" a="1"/>
  <c r="D79" i="7" s="1"/>
  <c r="C79" i="7" a="1"/>
  <c r="C79" i="7" s="1"/>
  <c r="F79" i="7" a="1"/>
  <c r="F79" i="7" s="1"/>
  <c r="B79" i="7" a="1"/>
  <c r="B79" i="7" s="1"/>
  <c r="E83" i="7" a="1"/>
  <c r="E83" i="7" s="1"/>
  <c r="D83" i="7" a="1"/>
  <c r="D83" i="7" s="1"/>
  <c r="C83" i="7" a="1"/>
  <c r="C83" i="7" s="1"/>
  <c r="F83" i="7" a="1"/>
  <c r="F83" i="7" s="1"/>
  <c r="B83" i="7" a="1"/>
  <c r="B83" i="7" s="1"/>
  <c r="E87" i="7" a="1"/>
  <c r="E87" i="7" s="1"/>
  <c r="D87" i="7" a="1"/>
  <c r="D87" i="7" s="1"/>
  <c r="C87" i="7" a="1"/>
  <c r="C87" i="7" s="1"/>
  <c r="F87" i="7" a="1"/>
  <c r="F87" i="7" s="1"/>
  <c r="B87" i="7" a="1"/>
  <c r="B87" i="7" s="1"/>
  <c r="E91" i="7" a="1"/>
  <c r="E91" i="7" s="1"/>
  <c r="D91" i="7" a="1"/>
  <c r="D91" i="7" s="1"/>
  <c r="C91" i="7" a="1"/>
  <c r="C91" i="7" s="1"/>
  <c r="F91" i="7" a="1"/>
  <c r="F91" i="7" s="1"/>
  <c r="B91" i="7" a="1"/>
  <c r="B91" i="7" s="1"/>
  <c r="E95" i="7" a="1"/>
  <c r="E95" i="7" s="1"/>
  <c r="D95" i="7" a="1"/>
  <c r="D95" i="7" s="1"/>
  <c r="C95" i="7" a="1"/>
  <c r="C95" i="7" s="1"/>
  <c r="F95" i="7" a="1"/>
  <c r="F95" i="7" s="1"/>
  <c r="B95" i="7" a="1"/>
  <c r="B95" i="7" s="1"/>
  <c r="E99" i="7" a="1"/>
  <c r="E99" i="7" s="1"/>
  <c r="D99" i="7" a="1"/>
  <c r="D99" i="7" s="1"/>
  <c r="C99" i="7" a="1"/>
  <c r="C99" i="7" s="1"/>
  <c r="F99" i="7" a="1"/>
  <c r="F99" i="7" s="1"/>
  <c r="B99" i="7" a="1"/>
  <c r="B99" i="7" s="1"/>
  <c r="E103" i="7" a="1"/>
  <c r="E103" i="7" s="1"/>
  <c r="D103" i="7" a="1"/>
  <c r="D103" i="7" s="1"/>
  <c r="C103" i="7" a="1"/>
  <c r="C103" i="7" s="1"/>
  <c r="F103" i="7" a="1"/>
  <c r="F103" i="7" s="1"/>
  <c r="B103" i="7" a="1"/>
  <c r="B103" i="7" s="1"/>
  <c r="E107" i="7" a="1"/>
  <c r="E107" i="7" s="1"/>
  <c r="D107" i="7" a="1"/>
  <c r="D107" i="7" s="1"/>
  <c r="C107" i="7" a="1"/>
  <c r="C107" i="7" s="1"/>
  <c r="F107" i="7" a="1"/>
  <c r="F107" i="7" s="1"/>
  <c r="B107" i="7" a="1"/>
  <c r="B107" i="7" s="1"/>
  <c r="M11" i="7" l="1"/>
  <c r="R11" i="7"/>
  <c r="K11" i="7"/>
  <c r="V11" i="7"/>
  <c r="T11" i="7"/>
  <c r="P11" i="7"/>
  <c r="V49" i="7"/>
  <c r="U49" i="7"/>
  <c r="T45" i="7"/>
  <c r="S45" i="7"/>
  <c r="V45" i="7"/>
  <c r="U45" i="7"/>
  <c r="N41" i="7"/>
  <c r="P41" i="7"/>
  <c r="O41" i="7"/>
  <c r="R41" i="7"/>
  <c r="Q41" i="7"/>
  <c r="T41" i="7"/>
  <c r="S41" i="7"/>
  <c r="V41" i="7"/>
  <c r="U41" i="7"/>
  <c r="K37" i="7"/>
  <c r="M37" i="7"/>
  <c r="L37" i="7"/>
  <c r="O37" i="7"/>
  <c r="N37" i="7"/>
  <c r="P37" i="7"/>
  <c r="R37" i="7"/>
  <c r="Q37" i="7"/>
  <c r="S37" i="7"/>
  <c r="T37" i="7"/>
  <c r="V37" i="7"/>
  <c r="U37" i="7"/>
  <c r="K33" i="7"/>
  <c r="M33" i="7"/>
  <c r="L33" i="7"/>
  <c r="O33" i="7"/>
  <c r="N33" i="7"/>
  <c r="P33" i="7"/>
  <c r="R33" i="7"/>
  <c r="Q33" i="7"/>
  <c r="S33" i="7"/>
  <c r="T33" i="7"/>
  <c r="V33" i="7"/>
  <c r="U33" i="7"/>
  <c r="K29" i="7"/>
  <c r="M29" i="7"/>
  <c r="L29" i="7"/>
  <c r="O29" i="7"/>
  <c r="N29" i="7"/>
  <c r="P29" i="7"/>
  <c r="R29" i="7"/>
  <c r="Q29" i="7"/>
  <c r="S29" i="7"/>
  <c r="T29" i="7"/>
  <c r="V29" i="7"/>
  <c r="U29" i="7"/>
  <c r="K25" i="7"/>
  <c r="M25" i="7"/>
  <c r="L25" i="7"/>
  <c r="O25" i="7"/>
  <c r="N25" i="7"/>
  <c r="P25" i="7"/>
  <c r="R25" i="7"/>
  <c r="Q25" i="7"/>
  <c r="S25" i="7"/>
  <c r="T25" i="7"/>
  <c r="V25" i="7"/>
  <c r="U25" i="7"/>
  <c r="M21" i="7"/>
  <c r="L21" i="7"/>
  <c r="K21" i="7"/>
  <c r="N21" i="7"/>
  <c r="P21" i="7"/>
  <c r="O21" i="7"/>
  <c r="R21" i="7"/>
  <c r="Q21" i="7"/>
  <c r="T21" i="7"/>
  <c r="S21" i="7"/>
  <c r="V21" i="7"/>
  <c r="U21" i="7"/>
  <c r="M17" i="7"/>
  <c r="L17" i="7"/>
  <c r="K17" i="7"/>
  <c r="N17" i="7"/>
  <c r="P17" i="7"/>
  <c r="O17" i="7"/>
  <c r="R17" i="7"/>
  <c r="Q17" i="7"/>
  <c r="T17" i="7"/>
  <c r="S17" i="7"/>
  <c r="V17" i="7"/>
  <c r="U17" i="7"/>
  <c r="N13" i="7"/>
  <c r="P13" i="7"/>
  <c r="O13" i="7"/>
  <c r="M13" i="7"/>
  <c r="L13" i="7"/>
  <c r="K13" i="7"/>
  <c r="R13" i="7"/>
  <c r="Q13" i="7"/>
  <c r="T13" i="7"/>
  <c r="S13" i="7"/>
  <c r="V13" i="7"/>
  <c r="U13" i="7"/>
  <c r="O27" i="7"/>
  <c r="N27" i="7"/>
  <c r="P27" i="7"/>
  <c r="K27" i="7"/>
  <c r="M27" i="7"/>
  <c r="L27" i="7"/>
  <c r="V27" i="7"/>
  <c r="U27" i="7"/>
  <c r="R27" i="7"/>
  <c r="Q27" i="7"/>
  <c r="S27" i="7"/>
  <c r="T27" i="7"/>
  <c r="L18" i="7"/>
  <c r="K18" i="7"/>
  <c r="M18" i="7"/>
  <c r="P18" i="7"/>
  <c r="O18" i="7"/>
  <c r="N18" i="7"/>
  <c r="R18" i="7"/>
  <c r="Q18" i="7"/>
  <c r="T18" i="7"/>
  <c r="S18" i="7"/>
  <c r="V18" i="7"/>
  <c r="U18" i="7"/>
  <c r="M104" i="7"/>
  <c r="L104" i="7"/>
  <c r="K104" i="7"/>
  <c r="T104" i="7"/>
  <c r="S104" i="7"/>
  <c r="V104" i="7"/>
  <c r="U104" i="7"/>
  <c r="N104" i="7"/>
  <c r="P104" i="7"/>
  <c r="O104" i="7"/>
  <c r="R104" i="7"/>
  <c r="Q104" i="7"/>
  <c r="M100" i="7"/>
  <c r="L100" i="7"/>
  <c r="K100" i="7"/>
  <c r="T100" i="7"/>
  <c r="S100" i="7"/>
  <c r="V100" i="7"/>
  <c r="U100" i="7"/>
  <c r="N100" i="7"/>
  <c r="P100" i="7"/>
  <c r="O100" i="7"/>
  <c r="R100" i="7"/>
  <c r="Q100" i="7"/>
  <c r="M96" i="7"/>
  <c r="L96" i="7"/>
  <c r="K96" i="7"/>
  <c r="T96" i="7"/>
  <c r="S96" i="7"/>
  <c r="V96" i="7"/>
  <c r="U96" i="7"/>
  <c r="N96" i="7"/>
  <c r="P96" i="7"/>
  <c r="O96" i="7"/>
  <c r="R96" i="7"/>
  <c r="Q96" i="7"/>
  <c r="M92" i="7"/>
  <c r="L92" i="7"/>
  <c r="K92" i="7"/>
  <c r="N92" i="7"/>
  <c r="P92" i="7"/>
  <c r="O92" i="7"/>
  <c r="T92" i="7"/>
  <c r="S92" i="7"/>
  <c r="V92" i="7"/>
  <c r="U92" i="7"/>
  <c r="R92" i="7"/>
  <c r="Q92" i="7"/>
  <c r="M88" i="7"/>
  <c r="L88" i="7"/>
  <c r="K88" i="7"/>
  <c r="N88" i="7"/>
  <c r="P88" i="7"/>
  <c r="O88" i="7"/>
  <c r="T88" i="7"/>
  <c r="S88" i="7"/>
  <c r="V88" i="7"/>
  <c r="U88" i="7"/>
  <c r="R88" i="7"/>
  <c r="Q88" i="7"/>
  <c r="M84" i="7"/>
  <c r="L84" i="7"/>
  <c r="K84" i="7"/>
  <c r="N84" i="7"/>
  <c r="P84" i="7"/>
  <c r="O84" i="7"/>
  <c r="T84" i="7"/>
  <c r="S84" i="7"/>
  <c r="V84" i="7"/>
  <c r="U84" i="7"/>
  <c r="R84" i="7"/>
  <c r="Q84" i="7"/>
  <c r="M80" i="7"/>
  <c r="L80" i="7"/>
  <c r="K80" i="7"/>
  <c r="N80" i="7"/>
  <c r="P80" i="7"/>
  <c r="O80" i="7"/>
  <c r="T80" i="7"/>
  <c r="S80" i="7"/>
  <c r="V80" i="7"/>
  <c r="U80" i="7"/>
  <c r="R80" i="7"/>
  <c r="Q80" i="7"/>
  <c r="M76" i="7"/>
  <c r="L76" i="7"/>
  <c r="K76" i="7"/>
  <c r="N76" i="7"/>
  <c r="P76" i="7"/>
  <c r="O76" i="7"/>
  <c r="T76" i="7"/>
  <c r="S76" i="7"/>
  <c r="V76" i="7"/>
  <c r="U76" i="7"/>
  <c r="R76" i="7"/>
  <c r="Q76" i="7"/>
  <c r="M72" i="7"/>
  <c r="L72" i="7"/>
  <c r="K72" i="7"/>
  <c r="N72" i="7"/>
  <c r="P72" i="7"/>
  <c r="O72" i="7"/>
  <c r="T72" i="7"/>
  <c r="S72" i="7"/>
  <c r="V72" i="7"/>
  <c r="U72" i="7"/>
  <c r="R72" i="7"/>
  <c r="Q72" i="7"/>
  <c r="M68" i="7"/>
  <c r="L68" i="7"/>
  <c r="K68" i="7"/>
  <c r="N68" i="7"/>
  <c r="P68" i="7"/>
  <c r="O68" i="7"/>
  <c r="T68" i="7"/>
  <c r="S68" i="7"/>
  <c r="V68" i="7"/>
  <c r="U68" i="7"/>
  <c r="R68" i="7"/>
  <c r="Q68" i="7"/>
  <c r="M64" i="7"/>
  <c r="L64" i="7"/>
  <c r="K64" i="7"/>
  <c r="N64" i="7"/>
  <c r="P64" i="7"/>
  <c r="O64" i="7"/>
  <c r="T64" i="7"/>
  <c r="S64" i="7"/>
  <c r="V64" i="7"/>
  <c r="U64" i="7"/>
  <c r="R64" i="7"/>
  <c r="Q64" i="7"/>
  <c r="M60" i="7"/>
  <c r="L60" i="7"/>
  <c r="K60" i="7"/>
  <c r="N60" i="7"/>
  <c r="P60" i="7"/>
  <c r="O60" i="7"/>
  <c r="T60" i="7"/>
  <c r="S60" i="7"/>
  <c r="V60" i="7"/>
  <c r="U60" i="7"/>
  <c r="R60" i="7"/>
  <c r="Q60" i="7"/>
  <c r="M56" i="7"/>
  <c r="L56" i="7"/>
  <c r="K56" i="7"/>
  <c r="N56" i="7"/>
  <c r="P56" i="7"/>
  <c r="O56" i="7"/>
  <c r="T56" i="7"/>
  <c r="S56" i="7"/>
  <c r="V56" i="7"/>
  <c r="U56" i="7"/>
  <c r="R56" i="7"/>
  <c r="Q56" i="7"/>
  <c r="M52" i="7"/>
  <c r="L52" i="7"/>
  <c r="K52" i="7"/>
  <c r="N52" i="7"/>
  <c r="P52" i="7"/>
  <c r="O52" i="7"/>
  <c r="T52" i="7"/>
  <c r="S52" i="7"/>
  <c r="V52" i="7"/>
  <c r="U52" i="7"/>
  <c r="R52" i="7"/>
  <c r="Q52" i="7"/>
  <c r="L48" i="7"/>
  <c r="K48" i="7"/>
  <c r="M48" i="7"/>
  <c r="P48" i="7"/>
  <c r="O48" i="7"/>
  <c r="N48" i="7"/>
  <c r="T48" i="7"/>
  <c r="S48" i="7"/>
  <c r="V48" i="7"/>
  <c r="U48" i="7"/>
  <c r="R48" i="7"/>
  <c r="Q48" i="7"/>
  <c r="L44" i="7"/>
  <c r="K44" i="7"/>
  <c r="M44" i="7"/>
  <c r="P44" i="7"/>
  <c r="O44" i="7"/>
  <c r="N44" i="7"/>
  <c r="T44" i="7"/>
  <c r="S44" i="7"/>
  <c r="V44" i="7"/>
  <c r="U44" i="7"/>
  <c r="R44" i="7"/>
  <c r="Q44" i="7"/>
  <c r="M40" i="7"/>
  <c r="L40" i="7"/>
  <c r="K40" i="7"/>
  <c r="P40" i="7"/>
  <c r="O40" i="7"/>
  <c r="N40" i="7"/>
  <c r="T40" i="7"/>
  <c r="S40" i="7"/>
  <c r="U40" i="7"/>
  <c r="V40" i="7"/>
  <c r="Q40" i="7"/>
  <c r="R40" i="7"/>
  <c r="M36" i="7"/>
  <c r="L36" i="7"/>
  <c r="K36" i="7"/>
  <c r="P36" i="7"/>
  <c r="O36" i="7"/>
  <c r="N36" i="7"/>
  <c r="T36" i="7"/>
  <c r="S36" i="7"/>
  <c r="U36" i="7"/>
  <c r="V36" i="7"/>
  <c r="Q36" i="7"/>
  <c r="R36" i="7"/>
  <c r="M32" i="7"/>
  <c r="L32" i="7"/>
  <c r="K32" i="7"/>
  <c r="P32" i="7"/>
  <c r="O32" i="7"/>
  <c r="N32" i="7"/>
  <c r="T32" i="7"/>
  <c r="S32" i="7"/>
  <c r="U32" i="7"/>
  <c r="V32" i="7"/>
  <c r="Q32" i="7"/>
  <c r="R32" i="7"/>
  <c r="M28" i="7"/>
  <c r="L28" i="7"/>
  <c r="K28" i="7"/>
  <c r="P28" i="7"/>
  <c r="O28" i="7"/>
  <c r="N28" i="7"/>
  <c r="T28" i="7"/>
  <c r="S28" i="7"/>
  <c r="U28" i="7"/>
  <c r="V28" i="7"/>
  <c r="Q28" i="7"/>
  <c r="R28" i="7"/>
  <c r="M24" i="7"/>
  <c r="L24" i="7"/>
  <c r="K24" i="7"/>
  <c r="P24" i="7"/>
  <c r="O24" i="7"/>
  <c r="N24" i="7"/>
  <c r="T24" i="7"/>
  <c r="S24" i="7"/>
  <c r="U24" i="7"/>
  <c r="V24" i="7"/>
  <c r="Q24" i="7"/>
  <c r="R24" i="7"/>
  <c r="L20" i="7"/>
  <c r="K20" i="7"/>
  <c r="M20" i="7"/>
  <c r="P20" i="7"/>
  <c r="O20" i="7"/>
  <c r="N20" i="7"/>
  <c r="T20" i="7"/>
  <c r="S20" i="7"/>
  <c r="V20" i="7"/>
  <c r="U20" i="7"/>
  <c r="R20" i="7"/>
  <c r="Q20" i="7"/>
  <c r="L16" i="7"/>
  <c r="K16" i="7"/>
  <c r="M16" i="7"/>
  <c r="P16" i="7"/>
  <c r="O16" i="7"/>
  <c r="N16" i="7"/>
  <c r="T16" i="7"/>
  <c r="S16" i="7"/>
  <c r="V16" i="7"/>
  <c r="U16" i="7"/>
  <c r="R16" i="7"/>
  <c r="Q16" i="7"/>
  <c r="L12" i="7"/>
  <c r="K12" i="7"/>
  <c r="M12" i="7"/>
  <c r="P12" i="7"/>
  <c r="O12" i="7"/>
  <c r="N12" i="7"/>
  <c r="T12" i="7"/>
  <c r="S12" i="7"/>
  <c r="V12" i="7"/>
  <c r="U12" i="7"/>
  <c r="R12" i="7"/>
  <c r="Q12" i="7"/>
  <c r="K23" i="7"/>
  <c r="M23" i="7"/>
  <c r="L23" i="7"/>
  <c r="O23" i="7"/>
  <c r="P23" i="7"/>
  <c r="N23" i="7"/>
  <c r="V23" i="7"/>
  <c r="U23" i="7"/>
  <c r="R23" i="7"/>
  <c r="Q23" i="7"/>
  <c r="S23" i="7"/>
  <c r="T23" i="7"/>
  <c r="M15" i="7"/>
  <c r="L15" i="7"/>
  <c r="K15" i="7"/>
  <c r="N15" i="7"/>
  <c r="P15" i="7"/>
  <c r="O15" i="7"/>
  <c r="V15" i="7"/>
  <c r="U15" i="7"/>
  <c r="R15" i="7"/>
  <c r="Q15" i="7"/>
  <c r="T15" i="7"/>
  <c r="S15" i="7"/>
  <c r="L14" i="7"/>
  <c r="K14" i="7"/>
  <c r="M14" i="7"/>
  <c r="P14" i="7"/>
  <c r="O14" i="7"/>
  <c r="N14" i="7"/>
  <c r="R14" i="7"/>
  <c r="Q14" i="7"/>
  <c r="T14" i="7"/>
  <c r="S14" i="7"/>
  <c r="V14" i="7"/>
  <c r="U14" i="7"/>
  <c r="R107" i="7"/>
  <c r="Q107" i="7"/>
  <c r="P103" i="7"/>
  <c r="O103" i="7"/>
  <c r="N103" i="7"/>
  <c r="V99" i="7"/>
  <c r="U99" i="7"/>
  <c r="L95" i="7"/>
  <c r="K95" i="7"/>
  <c r="M95" i="7"/>
  <c r="T95" i="7"/>
  <c r="S95" i="7"/>
  <c r="R91" i="7"/>
  <c r="Q91" i="7"/>
  <c r="P87" i="7"/>
  <c r="O87" i="7"/>
  <c r="N87" i="7"/>
  <c r="V83" i="7"/>
  <c r="U83" i="7"/>
  <c r="L79" i="7"/>
  <c r="K79" i="7"/>
  <c r="M79" i="7"/>
  <c r="T79" i="7"/>
  <c r="S79" i="7"/>
  <c r="R75" i="7"/>
  <c r="Q75" i="7"/>
  <c r="O71" i="7"/>
  <c r="N71" i="7"/>
  <c r="P71" i="7"/>
  <c r="V67" i="7"/>
  <c r="U67" i="7"/>
  <c r="M63" i="7"/>
  <c r="L63" i="7"/>
  <c r="K63" i="7"/>
  <c r="T63" i="7"/>
  <c r="S63" i="7"/>
  <c r="R59" i="7"/>
  <c r="Q59" i="7"/>
  <c r="V55" i="7"/>
  <c r="U55" i="7"/>
  <c r="M51" i="7"/>
  <c r="L51" i="7"/>
  <c r="K51" i="7"/>
  <c r="N47" i="7"/>
  <c r="P47" i="7"/>
  <c r="O47" i="7"/>
  <c r="T47" i="7"/>
  <c r="S47" i="7"/>
  <c r="Q43" i="7"/>
  <c r="R43" i="7"/>
  <c r="U39" i="7"/>
  <c r="V39" i="7"/>
  <c r="M35" i="7"/>
  <c r="L35" i="7"/>
  <c r="K35" i="7"/>
  <c r="M31" i="7"/>
  <c r="L31" i="7"/>
  <c r="K31" i="7"/>
  <c r="T31" i="7"/>
  <c r="S31" i="7"/>
  <c r="Q19" i="7"/>
  <c r="R19" i="7"/>
  <c r="R106" i="7"/>
  <c r="Q106" i="7"/>
  <c r="N102" i="7"/>
  <c r="P102" i="7"/>
  <c r="O102" i="7"/>
  <c r="N98" i="7"/>
  <c r="P98" i="7"/>
  <c r="O98" i="7"/>
  <c r="V98" i="7"/>
  <c r="U98" i="7"/>
  <c r="T94" i="7"/>
  <c r="S94" i="7"/>
  <c r="R90" i="7"/>
  <c r="Q90" i="7"/>
  <c r="M86" i="7"/>
  <c r="L86" i="7"/>
  <c r="K86" i="7"/>
  <c r="M82" i="7"/>
  <c r="L82" i="7"/>
  <c r="K82" i="7"/>
  <c r="V82" i="7"/>
  <c r="U82" i="7"/>
  <c r="T78" i="7"/>
  <c r="S78" i="7"/>
  <c r="R74" i="7"/>
  <c r="Q74" i="7"/>
  <c r="L70" i="7"/>
  <c r="K70" i="7"/>
  <c r="M70" i="7"/>
  <c r="L66" i="7"/>
  <c r="K66" i="7"/>
  <c r="M66" i="7"/>
  <c r="V66" i="7"/>
  <c r="U66" i="7"/>
  <c r="T62" i="7"/>
  <c r="S62" i="7"/>
  <c r="R58" i="7"/>
  <c r="Q58" i="7"/>
  <c r="P54" i="7"/>
  <c r="O54" i="7"/>
  <c r="N54" i="7"/>
  <c r="L50" i="7"/>
  <c r="K50" i="7"/>
  <c r="M50" i="7"/>
  <c r="V50" i="7"/>
  <c r="U50" i="7"/>
  <c r="T46" i="7"/>
  <c r="S46" i="7"/>
  <c r="R42" i="7"/>
  <c r="Q42" i="7"/>
  <c r="O38" i="7"/>
  <c r="N38" i="7"/>
  <c r="P38" i="7"/>
  <c r="K34" i="7"/>
  <c r="M34" i="7"/>
  <c r="L34" i="7"/>
  <c r="V34" i="7"/>
  <c r="U34" i="7"/>
  <c r="S30" i="7"/>
  <c r="T30" i="7"/>
  <c r="R26" i="7"/>
  <c r="Q26" i="7"/>
  <c r="O22" i="7"/>
  <c r="N22" i="7"/>
  <c r="P22" i="7"/>
  <c r="L105" i="7"/>
  <c r="K105" i="7"/>
  <c r="M105" i="7"/>
  <c r="P105" i="7"/>
  <c r="O105" i="7"/>
  <c r="N105" i="7"/>
  <c r="V101" i="7"/>
  <c r="U101" i="7"/>
  <c r="T97" i="7"/>
  <c r="S97" i="7"/>
  <c r="P93" i="7"/>
  <c r="O93" i="7"/>
  <c r="N93" i="7"/>
  <c r="L89" i="7"/>
  <c r="K89" i="7"/>
  <c r="M89" i="7"/>
  <c r="V89" i="7"/>
  <c r="U89" i="7"/>
  <c r="T85" i="7"/>
  <c r="S85" i="7"/>
  <c r="R81" i="7"/>
  <c r="Q81" i="7"/>
  <c r="P77" i="7"/>
  <c r="O77" i="7"/>
  <c r="N77" i="7"/>
  <c r="L73" i="7"/>
  <c r="K73" i="7"/>
  <c r="M73" i="7"/>
  <c r="V73" i="7"/>
  <c r="U73" i="7"/>
  <c r="T69" i="7"/>
  <c r="S69" i="7"/>
  <c r="R65" i="7"/>
  <c r="Q65" i="7"/>
  <c r="N61" i="7"/>
  <c r="P61" i="7"/>
  <c r="O61" i="7"/>
  <c r="M57" i="7"/>
  <c r="L57" i="7"/>
  <c r="K57" i="7"/>
  <c r="V57" i="7"/>
  <c r="U57" i="7"/>
  <c r="T53" i="7"/>
  <c r="S53" i="7"/>
  <c r="R49" i="7"/>
  <c r="Q49" i="7"/>
  <c r="N45" i="7"/>
  <c r="P45" i="7"/>
  <c r="O45" i="7"/>
  <c r="M41" i="7"/>
  <c r="L41" i="7"/>
  <c r="K41" i="7"/>
  <c r="P107" i="7"/>
  <c r="O107" i="7"/>
  <c r="N107" i="7"/>
  <c r="T107" i="7"/>
  <c r="S107" i="7"/>
  <c r="R103" i="7"/>
  <c r="Q103" i="7"/>
  <c r="P99" i="7"/>
  <c r="O99" i="7"/>
  <c r="N99" i="7"/>
  <c r="V95" i="7"/>
  <c r="U95" i="7"/>
  <c r="L91" i="7"/>
  <c r="K91" i="7"/>
  <c r="M91" i="7"/>
  <c r="T91" i="7"/>
  <c r="S91" i="7"/>
  <c r="R87" i="7"/>
  <c r="Q87" i="7"/>
  <c r="P83" i="7"/>
  <c r="O83" i="7"/>
  <c r="N83" i="7"/>
  <c r="V79" i="7"/>
  <c r="U79" i="7"/>
  <c r="L75" i="7"/>
  <c r="K75" i="7"/>
  <c r="M75" i="7"/>
  <c r="T75" i="7"/>
  <c r="S75" i="7"/>
  <c r="R71" i="7"/>
  <c r="Q71" i="7"/>
  <c r="N67" i="7"/>
  <c r="P67" i="7"/>
  <c r="O67" i="7"/>
  <c r="V63" i="7"/>
  <c r="U63" i="7"/>
  <c r="N59" i="7"/>
  <c r="P59" i="7"/>
  <c r="O59" i="7"/>
  <c r="T59" i="7"/>
  <c r="S59" i="7"/>
  <c r="R55" i="7"/>
  <c r="Q55" i="7"/>
  <c r="V51" i="7"/>
  <c r="U51" i="7"/>
  <c r="M47" i="7"/>
  <c r="L47" i="7"/>
  <c r="K47" i="7"/>
  <c r="O43" i="7"/>
  <c r="N43" i="7"/>
  <c r="P43" i="7"/>
  <c r="S43" i="7"/>
  <c r="T43" i="7"/>
  <c r="Q39" i="7"/>
  <c r="R39" i="7"/>
  <c r="U35" i="7"/>
  <c r="V35" i="7"/>
  <c r="P31" i="7"/>
  <c r="O31" i="7"/>
  <c r="N31" i="7"/>
  <c r="P19" i="7"/>
  <c r="O19" i="7"/>
  <c r="N19" i="7"/>
  <c r="T19" i="7"/>
  <c r="S19" i="7"/>
  <c r="T106" i="7"/>
  <c r="S106" i="7"/>
  <c r="R102" i="7"/>
  <c r="Q102" i="7"/>
  <c r="M98" i="7"/>
  <c r="L98" i="7"/>
  <c r="K98" i="7"/>
  <c r="M94" i="7"/>
  <c r="L94" i="7"/>
  <c r="K94" i="7"/>
  <c r="V94" i="7"/>
  <c r="U94" i="7"/>
  <c r="T90" i="7"/>
  <c r="S90" i="7"/>
  <c r="R86" i="7"/>
  <c r="Q86" i="7"/>
  <c r="N82" i="7"/>
  <c r="P82" i="7"/>
  <c r="O82" i="7"/>
  <c r="M78" i="7"/>
  <c r="L78" i="7"/>
  <c r="K78" i="7"/>
  <c r="V78" i="7"/>
  <c r="U78" i="7"/>
  <c r="T74" i="7"/>
  <c r="S74" i="7"/>
  <c r="R70" i="7"/>
  <c r="Q70" i="7"/>
  <c r="P66" i="7"/>
  <c r="O66" i="7"/>
  <c r="N66" i="7"/>
  <c r="L62" i="7"/>
  <c r="K62" i="7"/>
  <c r="M62" i="7"/>
  <c r="V62" i="7"/>
  <c r="U62" i="7"/>
  <c r="T58" i="7"/>
  <c r="S58" i="7"/>
  <c r="R54" i="7"/>
  <c r="Q54" i="7"/>
  <c r="P50" i="7"/>
  <c r="O50" i="7"/>
  <c r="N50" i="7"/>
  <c r="L46" i="7"/>
  <c r="K46" i="7"/>
  <c r="M46" i="7"/>
  <c r="V46" i="7"/>
  <c r="U46" i="7"/>
  <c r="S42" i="7"/>
  <c r="T42" i="7"/>
  <c r="R38" i="7"/>
  <c r="Q38" i="7"/>
  <c r="O34" i="7"/>
  <c r="N34" i="7"/>
  <c r="P34" i="7"/>
  <c r="K30" i="7"/>
  <c r="M30" i="7"/>
  <c r="L30" i="7"/>
  <c r="V30" i="7"/>
  <c r="U30" i="7"/>
  <c r="S26" i="7"/>
  <c r="T26" i="7"/>
  <c r="R22" i="7"/>
  <c r="Q22" i="7"/>
  <c r="R105" i="7"/>
  <c r="Q105" i="7"/>
  <c r="L101" i="7"/>
  <c r="K101" i="7"/>
  <c r="M101" i="7"/>
  <c r="P101" i="7"/>
  <c r="O101" i="7"/>
  <c r="N101" i="7"/>
  <c r="V97" i="7"/>
  <c r="U97" i="7"/>
  <c r="R93" i="7"/>
  <c r="Q93" i="7"/>
  <c r="P89" i="7"/>
  <c r="O89" i="7"/>
  <c r="N89" i="7"/>
  <c r="P85" i="7"/>
  <c r="O85" i="7"/>
  <c r="N85" i="7"/>
  <c r="V85" i="7"/>
  <c r="U85" i="7"/>
  <c r="T81" i="7"/>
  <c r="S81" i="7"/>
  <c r="R77" i="7"/>
  <c r="Q77" i="7"/>
  <c r="P73" i="7"/>
  <c r="O73" i="7"/>
  <c r="N73" i="7"/>
  <c r="N69" i="7"/>
  <c r="P69" i="7"/>
  <c r="O69" i="7"/>
  <c r="V69" i="7"/>
  <c r="U69" i="7"/>
  <c r="T65" i="7"/>
  <c r="S65" i="7"/>
  <c r="R61" i="7"/>
  <c r="Q61" i="7"/>
  <c r="N57" i="7"/>
  <c r="P57" i="7"/>
  <c r="O57" i="7"/>
  <c r="M53" i="7"/>
  <c r="L53" i="7"/>
  <c r="K53" i="7"/>
  <c r="V53" i="7"/>
  <c r="U53" i="7"/>
  <c r="T49" i="7"/>
  <c r="S49" i="7"/>
  <c r="R45" i="7"/>
  <c r="Q45" i="7"/>
  <c r="L107" i="7"/>
  <c r="K107" i="7"/>
  <c r="M107" i="7"/>
  <c r="V107" i="7"/>
  <c r="U107" i="7"/>
  <c r="L103" i="7"/>
  <c r="K103" i="7"/>
  <c r="M103" i="7"/>
  <c r="T103" i="7"/>
  <c r="S103" i="7"/>
  <c r="R99" i="7"/>
  <c r="Q99" i="7"/>
  <c r="P95" i="7"/>
  <c r="O95" i="7"/>
  <c r="N95" i="7"/>
  <c r="V91" i="7"/>
  <c r="U91" i="7"/>
  <c r="L87" i="7"/>
  <c r="K87" i="7"/>
  <c r="M87" i="7"/>
  <c r="T87" i="7"/>
  <c r="S87" i="7"/>
  <c r="R83" i="7"/>
  <c r="Q83" i="7"/>
  <c r="P79" i="7"/>
  <c r="O79" i="7"/>
  <c r="N79" i="7"/>
  <c r="V75" i="7"/>
  <c r="U75" i="7"/>
  <c r="K71" i="7"/>
  <c r="L71" i="7"/>
  <c r="M71" i="7"/>
  <c r="S71" i="7"/>
  <c r="T71" i="7"/>
  <c r="R67" i="7"/>
  <c r="Q67" i="7"/>
  <c r="N63" i="7"/>
  <c r="P63" i="7"/>
  <c r="O63" i="7"/>
  <c r="M59" i="7"/>
  <c r="L59" i="7"/>
  <c r="K59" i="7"/>
  <c r="N55" i="7"/>
  <c r="P55" i="7"/>
  <c r="O55" i="7"/>
  <c r="T55" i="7"/>
  <c r="S55" i="7"/>
  <c r="R51" i="7"/>
  <c r="Q51" i="7"/>
  <c r="V47" i="7"/>
  <c r="U47" i="7"/>
  <c r="M43" i="7"/>
  <c r="K43" i="7"/>
  <c r="L43" i="7"/>
  <c r="P39" i="7"/>
  <c r="O39" i="7"/>
  <c r="N39" i="7"/>
  <c r="T39" i="7"/>
  <c r="S39" i="7"/>
  <c r="Q35" i="7"/>
  <c r="R35" i="7"/>
  <c r="U31" i="7"/>
  <c r="V31" i="7"/>
  <c r="M19" i="7"/>
  <c r="L19" i="7"/>
  <c r="K19" i="7"/>
  <c r="M106" i="7"/>
  <c r="L106" i="7"/>
  <c r="K106" i="7"/>
  <c r="V106" i="7"/>
  <c r="U106" i="7"/>
  <c r="T102" i="7"/>
  <c r="S102" i="7"/>
  <c r="R98" i="7"/>
  <c r="Q98" i="7"/>
  <c r="N94" i="7"/>
  <c r="P94" i="7"/>
  <c r="O94" i="7"/>
  <c r="N90" i="7"/>
  <c r="P90" i="7"/>
  <c r="O90" i="7"/>
  <c r="V90" i="7"/>
  <c r="U90" i="7"/>
  <c r="T86" i="7"/>
  <c r="S86" i="7"/>
  <c r="R82" i="7"/>
  <c r="Q82" i="7"/>
  <c r="N78" i="7"/>
  <c r="P78" i="7"/>
  <c r="O78" i="7"/>
  <c r="N74" i="7"/>
  <c r="P74" i="7"/>
  <c r="O74" i="7"/>
  <c r="V74" i="7"/>
  <c r="U74" i="7"/>
  <c r="T70" i="7"/>
  <c r="S70" i="7"/>
  <c r="R66" i="7"/>
  <c r="Q66" i="7"/>
  <c r="P62" i="7"/>
  <c r="O62" i="7"/>
  <c r="N62" i="7"/>
  <c r="L58" i="7"/>
  <c r="K58" i="7"/>
  <c r="M58" i="7"/>
  <c r="V58" i="7"/>
  <c r="U58" i="7"/>
  <c r="T54" i="7"/>
  <c r="S54" i="7"/>
  <c r="R50" i="7"/>
  <c r="Q50" i="7"/>
  <c r="P46" i="7"/>
  <c r="O46" i="7"/>
  <c r="N46" i="7"/>
  <c r="K42" i="7"/>
  <c r="M42" i="7"/>
  <c r="L42" i="7"/>
  <c r="U42" i="7"/>
  <c r="V42" i="7"/>
  <c r="S38" i="7"/>
  <c r="T38" i="7"/>
  <c r="R34" i="7"/>
  <c r="Q34" i="7"/>
  <c r="O30" i="7"/>
  <c r="N30" i="7"/>
  <c r="P30" i="7"/>
  <c r="K26" i="7"/>
  <c r="M26" i="7"/>
  <c r="L26" i="7"/>
  <c r="V26" i="7"/>
  <c r="U26" i="7"/>
  <c r="S22" i="7"/>
  <c r="T22" i="7"/>
  <c r="T105" i="7"/>
  <c r="S105" i="7"/>
  <c r="R101" i="7"/>
  <c r="Q101" i="7"/>
  <c r="L97" i="7"/>
  <c r="K97" i="7"/>
  <c r="M97" i="7"/>
  <c r="P97" i="7"/>
  <c r="O97" i="7"/>
  <c r="N97" i="7"/>
  <c r="T93" i="7"/>
  <c r="S93" i="7"/>
  <c r="R89" i="7"/>
  <c r="Q89" i="7"/>
  <c r="L85" i="7"/>
  <c r="K85" i="7"/>
  <c r="M85" i="7"/>
  <c r="L81" i="7"/>
  <c r="K81" i="7"/>
  <c r="M81" i="7"/>
  <c r="V81" i="7"/>
  <c r="U81" i="7"/>
  <c r="T77" i="7"/>
  <c r="S77" i="7"/>
  <c r="R73" i="7"/>
  <c r="Q73" i="7"/>
  <c r="M69" i="7"/>
  <c r="L69" i="7"/>
  <c r="K69" i="7"/>
  <c r="M65" i="7"/>
  <c r="L65" i="7"/>
  <c r="K65" i="7"/>
  <c r="V65" i="7"/>
  <c r="U65" i="7"/>
  <c r="T61" i="7"/>
  <c r="S61" i="7"/>
  <c r="R57" i="7"/>
  <c r="Q57" i="7"/>
  <c r="N53" i="7"/>
  <c r="P53" i="7"/>
  <c r="O53" i="7"/>
  <c r="M49" i="7"/>
  <c r="L49" i="7"/>
  <c r="K49" i="7"/>
  <c r="V103" i="7"/>
  <c r="U103" i="7"/>
  <c r="L99" i="7"/>
  <c r="K99" i="7"/>
  <c r="M99" i="7"/>
  <c r="T99" i="7"/>
  <c r="S99" i="7"/>
  <c r="R95" i="7"/>
  <c r="Q95" i="7"/>
  <c r="P91" i="7"/>
  <c r="O91" i="7"/>
  <c r="N91" i="7"/>
  <c r="V87" i="7"/>
  <c r="U87" i="7"/>
  <c r="L83" i="7"/>
  <c r="K83" i="7"/>
  <c r="M83" i="7"/>
  <c r="T83" i="7"/>
  <c r="S83" i="7"/>
  <c r="R79" i="7"/>
  <c r="Q79" i="7"/>
  <c r="P75" i="7"/>
  <c r="O75" i="7"/>
  <c r="N75" i="7"/>
  <c r="V71" i="7"/>
  <c r="U71" i="7"/>
  <c r="M67" i="7"/>
  <c r="L67" i="7"/>
  <c r="K67" i="7"/>
  <c r="T67" i="7"/>
  <c r="S67" i="7"/>
  <c r="R63" i="7"/>
  <c r="Q63" i="7"/>
  <c r="V59" i="7"/>
  <c r="U59" i="7"/>
  <c r="M55" i="7"/>
  <c r="L55" i="7"/>
  <c r="K55" i="7"/>
  <c r="N51" i="7"/>
  <c r="P51" i="7"/>
  <c r="O51" i="7"/>
  <c r="T51" i="7"/>
  <c r="S51" i="7"/>
  <c r="R47" i="7"/>
  <c r="Q47" i="7"/>
  <c r="U43" i="7"/>
  <c r="V43" i="7"/>
  <c r="M39" i="7"/>
  <c r="L39" i="7"/>
  <c r="K39" i="7"/>
  <c r="P35" i="7"/>
  <c r="O35" i="7"/>
  <c r="N35" i="7"/>
  <c r="T35" i="7"/>
  <c r="S35" i="7"/>
  <c r="Q31" i="7"/>
  <c r="R31" i="7"/>
  <c r="U19" i="7"/>
  <c r="V19" i="7"/>
  <c r="N106" i="7"/>
  <c r="P106" i="7"/>
  <c r="O106" i="7"/>
  <c r="M102" i="7"/>
  <c r="L102" i="7"/>
  <c r="K102" i="7"/>
  <c r="V102" i="7"/>
  <c r="U102" i="7"/>
  <c r="T98" i="7"/>
  <c r="S98" i="7"/>
  <c r="R94" i="7"/>
  <c r="Q94" i="7"/>
  <c r="M90" i="7"/>
  <c r="L90" i="7"/>
  <c r="K90" i="7"/>
  <c r="N86" i="7"/>
  <c r="P86" i="7"/>
  <c r="O86" i="7"/>
  <c r="V86" i="7"/>
  <c r="U86" i="7"/>
  <c r="T82" i="7"/>
  <c r="S82" i="7"/>
  <c r="R78" i="7"/>
  <c r="Q78" i="7"/>
  <c r="M74" i="7"/>
  <c r="L74" i="7"/>
  <c r="K74" i="7"/>
  <c r="P70" i="7"/>
  <c r="O70" i="7"/>
  <c r="N70" i="7"/>
  <c r="U70" i="7"/>
  <c r="V70" i="7"/>
  <c r="T66" i="7"/>
  <c r="S66" i="7"/>
  <c r="R62" i="7"/>
  <c r="Q62" i="7"/>
  <c r="P58" i="7"/>
  <c r="O58" i="7"/>
  <c r="N58" i="7"/>
  <c r="L54" i="7"/>
  <c r="K54" i="7"/>
  <c r="M54" i="7"/>
  <c r="V54" i="7"/>
  <c r="U54" i="7"/>
  <c r="T50" i="7"/>
  <c r="S50" i="7"/>
  <c r="R46" i="7"/>
  <c r="Q46" i="7"/>
  <c r="O42" i="7"/>
  <c r="P42" i="7"/>
  <c r="N42" i="7"/>
  <c r="K38" i="7"/>
  <c r="M38" i="7"/>
  <c r="L38" i="7"/>
  <c r="V38" i="7"/>
  <c r="U38" i="7"/>
  <c r="S34" i="7"/>
  <c r="T34" i="7"/>
  <c r="R30" i="7"/>
  <c r="Q30" i="7"/>
  <c r="O26" i="7"/>
  <c r="N26" i="7"/>
  <c r="P26" i="7"/>
  <c r="K22" i="7"/>
  <c r="M22" i="7"/>
  <c r="L22" i="7"/>
  <c r="V22" i="7"/>
  <c r="U22" i="7"/>
  <c r="V105" i="7"/>
  <c r="U105" i="7"/>
  <c r="T101" i="7"/>
  <c r="S101" i="7"/>
  <c r="R97" i="7"/>
  <c r="Q97" i="7"/>
  <c r="L93" i="7"/>
  <c r="K93" i="7"/>
  <c r="M93" i="7"/>
  <c r="V93" i="7"/>
  <c r="U93" i="7"/>
  <c r="T89" i="7"/>
  <c r="S89" i="7"/>
  <c r="R85" i="7"/>
  <c r="Q85" i="7"/>
  <c r="P81" i="7"/>
  <c r="O81" i="7"/>
  <c r="N81" i="7"/>
  <c r="L77" i="7"/>
  <c r="K77" i="7"/>
  <c r="M77" i="7"/>
  <c r="V77" i="7"/>
  <c r="U77" i="7"/>
  <c r="T73" i="7"/>
  <c r="S73" i="7"/>
  <c r="R69" i="7"/>
  <c r="Q69" i="7"/>
  <c r="N65" i="7"/>
  <c r="P65" i="7"/>
  <c r="O65" i="7"/>
  <c r="M61" i="7"/>
  <c r="L61" i="7"/>
  <c r="K61" i="7"/>
  <c r="V61" i="7"/>
  <c r="U61" i="7"/>
  <c r="T57" i="7"/>
  <c r="S57" i="7"/>
  <c r="R53" i="7"/>
  <c r="Q53" i="7"/>
  <c r="N49" i="7"/>
  <c r="P49" i="7"/>
  <c r="O49" i="7"/>
  <c r="M45" i="7"/>
  <c r="L45" i="7"/>
  <c r="K45" i="7"/>
  <c r="O11" i="7"/>
  <c r="Z38" i="7" l="1"/>
  <c r="Z41" i="7"/>
  <c r="Z42" i="7"/>
  <c r="Z40" i="7"/>
  <c r="Z11" i="7"/>
  <c r="Z39" i="7"/>
  <c r="Z26" i="7"/>
  <c r="Z32" i="7"/>
  <c r="Z54" i="7"/>
  <c r="Z29" i="7"/>
  <c r="Z28" i="7"/>
  <c r="Z27" i="7"/>
  <c r="Z45" i="7"/>
  <c r="Z22" i="7"/>
  <c r="Z15" i="7"/>
  <c r="Z24" i="7"/>
  <c r="Z17" i="7"/>
  <c r="Z21" i="7"/>
  <c r="Z19" i="7"/>
  <c r="Z14" i="7"/>
  <c r="Z12" i="7"/>
  <c r="Z16" i="7"/>
  <c r="Z20" i="7"/>
  <c r="Z18" i="7"/>
  <c r="Z23" i="7"/>
  <c r="Z25" i="7"/>
  <c r="Z37" i="7"/>
  <c r="Z35" i="7"/>
  <c r="Z36" i="7"/>
  <c r="Z30" i="7"/>
  <c r="Z34" i="7"/>
  <c r="Z102" i="7"/>
  <c r="Z46" i="7"/>
  <c r="Z44" i="7"/>
  <c r="Z103" i="7"/>
  <c r="Z101" i="7"/>
  <c r="Z53" i="7"/>
  <c r="Z31" i="7"/>
  <c r="Z43" i="7"/>
  <c r="Z55" i="7"/>
  <c r="Z63" i="7"/>
  <c r="Z33" i="7"/>
  <c r="E9" i="4"/>
  <c r="D9" i="4"/>
  <c r="K9" i="4" l="1"/>
  <c r="J9" i="4"/>
  <c r="D40" i="5"/>
  <c r="I9" i="4" l="1"/>
  <c r="L9" i="4" s="1"/>
  <c r="I102" i="4"/>
  <c r="L102" i="4" s="1"/>
  <c r="M102" i="4" s="1"/>
  <c r="I35" i="4"/>
  <c r="L35" i="4" s="1"/>
  <c r="M35" i="4" s="1"/>
  <c r="I33" i="4"/>
  <c r="L33" i="4" s="1"/>
  <c r="I92" i="4"/>
  <c r="L92" i="4" s="1"/>
  <c r="I371" i="4"/>
  <c r="L371" i="4" s="1"/>
  <c r="I12" i="4"/>
  <c r="L12" i="4" s="1"/>
  <c r="I28" i="4"/>
  <c r="L28" i="4" s="1"/>
  <c r="I55" i="4"/>
  <c r="L55" i="4" s="1"/>
  <c r="I87" i="4"/>
  <c r="L87" i="4" s="1"/>
  <c r="I21" i="4"/>
  <c r="L21" i="4" s="1"/>
  <c r="I11" i="4"/>
  <c r="L11" i="4" s="1"/>
  <c r="I17" i="4"/>
  <c r="L17" i="4" s="1"/>
  <c r="I30" i="4"/>
  <c r="L30" i="4" s="1"/>
  <c r="I45" i="4"/>
  <c r="L45" i="4" s="1"/>
  <c r="I57" i="4"/>
  <c r="L57" i="4" s="1"/>
  <c r="I67" i="4"/>
  <c r="L67" i="4" s="1"/>
  <c r="I77" i="4"/>
  <c r="L77" i="4" s="1"/>
  <c r="I89" i="4"/>
  <c r="L89" i="4" s="1"/>
  <c r="I105" i="4"/>
  <c r="L105" i="4" s="1"/>
  <c r="I142" i="4"/>
  <c r="L142" i="4" s="1"/>
  <c r="I182" i="4"/>
  <c r="L182" i="4" s="1"/>
  <c r="I243" i="4"/>
  <c r="L243" i="4" s="1"/>
  <c r="I271" i="4"/>
  <c r="L271" i="4" s="1"/>
  <c r="I291" i="4"/>
  <c r="L291" i="4" s="1"/>
  <c r="I394" i="4"/>
  <c r="L394" i="4" s="1"/>
  <c r="I407" i="4"/>
  <c r="L407" i="4" s="1"/>
  <c r="I103" i="4"/>
  <c r="L103" i="4" s="1"/>
  <c r="I154" i="4"/>
  <c r="L154" i="4" s="1"/>
  <c r="I212" i="4"/>
  <c r="L212" i="4" s="1"/>
  <c r="I239" i="4"/>
  <c r="L239" i="4" s="1"/>
  <c r="I275" i="4"/>
  <c r="L275" i="4" s="1"/>
  <c r="I303" i="4"/>
  <c r="L303" i="4" s="1"/>
  <c r="I314" i="4"/>
  <c r="L314" i="4" s="1"/>
  <c r="I330" i="4"/>
  <c r="L330" i="4" s="1"/>
  <c r="I31" i="4"/>
  <c r="L31" i="4" s="1"/>
  <c r="I40" i="4"/>
  <c r="L40" i="4" s="1"/>
  <c r="I56" i="4"/>
  <c r="L56" i="4" s="1"/>
  <c r="I70" i="4"/>
  <c r="L70" i="4" s="1"/>
  <c r="I84" i="4"/>
  <c r="L84" i="4" s="1"/>
  <c r="I100" i="4"/>
  <c r="L100" i="4" s="1"/>
  <c r="I110" i="4"/>
  <c r="L110" i="4" s="1"/>
  <c r="I137" i="4"/>
  <c r="L137" i="4" s="1"/>
  <c r="I153" i="4"/>
  <c r="L153" i="4" s="1"/>
  <c r="I169" i="4"/>
  <c r="L169" i="4" s="1"/>
  <c r="I185" i="4"/>
  <c r="L185" i="4" s="1"/>
  <c r="I199" i="4"/>
  <c r="L199" i="4" s="1"/>
  <c r="I226" i="4"/>
  <c r="L226" i="4" s="1"/>
  <c r="I242" i="4"/>
  <c r="L242" i="4" s="1"/>
  <c r="I258" i="4"/>
  <c r="L258" i="4" s="1"/>
  <c r="I274" i="4"/>
  <c r="L274" i="4" s="1"/>
  <c r="I292" i="4"/>
  <c r="L292" i="4" s="1"/>
  <c r="I323" i="4"/>
  <c r="L323" i="4" s="1"/>
  <c r="I339" i="4"/>
  <c r="L339" i="4" s="1"/>
  <c r="I355" i="4"/>
  <c r="L355" i="4" s="1"/>
  <c r="I367" i="4"/>
  <c r="L367" i="4" s="1"/>
  <c r="I385" i="4"/>
  <c r="L385" i="4" s="1"/>
  <c r="I402" i="4"/>
  <c r="L402" i="4" s="1"/>
  <c r="I416" i="4"/>
  <c r="L416" i="4" s="1"/>
  <c r="I436" i="4"/>
  <c r="L436" i="4" s="1"/>
  <c r="I452" i="4"/>
  <c r="L452" i="4" s="1"/>
  <c r="I462" i="4"/>
  <c r="L462" i="4" s="1"/>
  <c r="I470" i="4"/>
  <c r="L470" i="4" s="1"/>
  <c r="I478" i="4"/>
  <c r="L478" i="4" s="1"/>
  <c r="I491" i="4"/>
  <c r="L491" i="4" s="1"/>
  <c r="I499" i="4"/>
  <c r="L499" i="4" s="1"/>
  <c r="I507" i="4"/>
  <c r="L507" i="4" s="1"/>
  <c r="I515" i="4"/>
  <c r="L515" i="4" s="1"/>
  <c r="I523" i="4"/>
  <c r="L523" i="4" s="1"/>
  <c r="I531" i="4"/>
  <c r="L531" i="4" s="1"/>
  <c r="I539" i="4"/>
  <c r="L539" i="4" s="1"/>
  <c r="I547" i="4"/>
  <c r="L547" i="4" s="1"/>
  <c r="I455" i="4"/>
  <c r="L455" i="4" s="1"/>
  <c r="I463" i="4"/>
  <c r="L463" i="4" s="1"/>
  <c r="I471" i="4"/>
  <c r="L471" i="4" s="1"/>
  <c r="I44" i="4"/>
  <c r="L44" i="4" s="1"/>
  <c r="I106" i="4"/>
  <c r="L106" i="4" s="1"/>
  <c r="I428" i="4"/>
  <c r="L428" i="4" s="1"/>
  <c r="I16" i="4"/>
  <c r="L16" i="4" s="1"/>
  <c r="I65" i="4"/>
  <c r="L65" i="4" s="1"/>
  <c r="I97" i="4"/>
  <c r="L97" i="4" s="1"/>
  <c r="I25" i="4"/>
  <c r="L25" i="4" s="1"/>
  <c r="I32" i="4"/>
  <c r="L32" i="4" s="1"/>
  <c r="I37" i="4"/>
  <c r="L37" i="4" s="1"/>
  <c r="I47" i="4"/>
  <c r="L47" i="4" s="1"/>
  <c r="I59" i="4"/>
  <c r="L59" i="4" s="1"/>
  <c r="I69" i="4"/>
  <c r="L69" i="4" s="1"/>
  <c r="I79" i="4"/>
  <c r="L79" i="4" s="1"/>
  <c r="I91" i="4"/>
  <c r="L91" i="4" s="1"/>
  <c r="I111" i="4"/>
  <c r="L111" i="4" s="1"/>
  <c r="I158" i="4"/>
  <c r="L158" i="4" s="1"/>
  <c r="I190" i="4"/>
  <c r="L190" i="4" s="1"/>
  <c r="I219" i="4"/>
  <c r="L219" i="4" s="1"/>
  <c r="I251" i="4"/>
  <c r="L251" i="4" s="1"/>
  <c r="I279" i="4"/>
  <c r="L279" i="4" s="1"/>
  <c r="I352" i="4"/>
  <c r="L352" i="4" s="1"/>
  <c r="I411" i="4"/>
  <c r="L411" i="4" s="1"/>
  <c r="I107" i="4"/>
  <c r="L107" i="4" s="1"/>
  <c r="I186" i="4"/>
  <c r="L186" i="4" s="1"/>
  <c r="I215" i="4"/>
  <c r="L215" i="4" s="1"/>
  <c r="I247" i="4"/>
  <c r="L247" i="4" s="1"/>
  <c r="I283" i="4"/>
  <c r="L283" i="4" s="1"/>
  <c r="I318" i="4"/>
  <c r="L318" i="4" s="1"/>
  <c r="I336" i="4"/>
  <c r="L336" i="4" s="1"/>
  <c r="I42" i="4"/>
  <c r="L42" i="4" s="1"/>
  <c r="I58" i="4"/>
  <c r="L58" i="4" s="1"/>
  <c r="I72" i="4"/>
  <c r="L72" i="4" s="1"/>
  <c r="I86" i="4"/>
  <c r="L86" i="4" s="1"/>
  <c r="I114" i="4"/>
  <c r="L114" i="4" s="1"/>
  <c r="I125" i="4"/>
  <c r="L125" i="4" s="1"/>
  <c r="I141" i="4"/>
  <c r="L141" i="4" s="1"/>
  <c r="I157" i="4"/>
  <c r="L157" i="4" s="1"/>
  <c r="I173" i="4"/>
  <c r="L173" i="4" s="1"/>
  <c r="I189" i="4"/>
  <c r="L189" i="4" s="1"/>
  <c r="I203" i="4"/>
  <c r="L203" i="4" s="1"/>
  <c r="I230" i="4"/>
  <c r="L230" i="4" s="1"/>
  <c r="I246" i="4"/>
  <c r="L246" i="4" s="1"/>
  <c r="I262" i="4"/>
  <c r="L262" i="4" s="1"/>
  <c r="I278" i="4"/>
  <c r="L278" i="4" s="1"/>
  <c r="I296" i="4"/>
  <c r="L296" i="4" s="1"/>
  <c r="I311" i="4"/>
  <c r="L311" i="4" s="1"/>
  <c r="I327" i="4"/>
  <c r="L327" i="4" s="1"/>
  <c r="I343" i="4"/>
  <c r="L343" i="4" s="1"/>
  <c r="I359" i="4"/>
  <c r="L359" i="4" s="1"/>
  <c r="I373" i="4"/>
  <c r="L373" i="4" s="1"/>
  <c r="I387" i="4"/>
  <c r="L387" i="4" s="1"/>
  <c r="I404" i="4"/>
  <c r="L404" i="4" s="1"/>
  <c r="I420" i="4"/>
  <c r="L420" i="4" s="1"/>
  <c r="I440" i="4"/>
  <c r="L440" i="4" s="1"/>
  <c r="I456" i="4"/>
  <c r="L456" i="4" s="1"/>
  <c r="I464" i="4"/>
  <c r="L464" i="4" s="1"/>
  <c r="I472" i="4"/>
  <c r="L472" i="4" s="1"/>
  <c r="I480" i="4"/>
  <c r="L480" i="4" s="1"/>
  <c r="I493" i="4"/>
  <c r="L493" i="4" s="1"/>
  <c r="I501" i="4"/>
  <c r="L501" i="4" s="1"/>
  <c r="I509" i="4"/>
  <c r="L509" i="4" s="1"/>
  <c r="I60" i="4"/>
  <c r="L60" i="4" s="1"/>
  <c r="I485" i="4"/>
  <c r="L485" i="4" s="1"/>
  <c r="I20" i="4"/>
  <c r="L20" i="4" s="1"/>
  <c r="I39" i="4"/>
  <c r="L39" i="4" s="1"/>
  <c r="I71" i="4"/>
  <c r="L71" i="4" s="1"/>
  <c r="I27" i="4"/>
  <c r="L27" i="4" s="1"/>
  <c r="I15" i="4"/>
  <c r="L15" i="4" s="1"/>
  <c r="I14" i="4"/>
  <c r="L14" i="4" s="1"/>
  <c r="I34" i="4"/>
  <c r="L34" i="4" s="1"/>
  <c r="I41" i="4"/>
  <c r="L41" i="4" s="1"/>
  <c r="I51" i="4"/>
  <c r="L51" i="4" s="1"/>
  <c r="I61" i="4"/>
  <c r="L61" i="4" s="1"/>
  <c r="I73" i="4"/>
  <c r="L73" i="4" s="1"/>
  <c r="I83" i="4"/>
  <c r="L83" i="4" s="1"/>
  <c r="I93" i="4"/>
  <c r="L93" i="4" s="1"/>
  <c r="I170" i="4"/>
  <c r="L170" i="4" s="1"/>
  <c r="I196" i="4"/>
  <c r="L196" i="4" s="1"/>
  <c r="I223" i="4"/>
  <c r="L223" i="4" s="1"/>
  <c r="I259" i="4"/>
  <c r="L259" i="4" s="1"/>
  <c r="I281" i="4"/>
  <c r="L281" i="4" s="1"/>
  <c r="I368" i="4"/>
  <c r="L368" i="4" s="1"/>
  <c r="I403" i="4"/>
  <c r="L403" i="4" s="1"/>
  <c r="I18" i="4"/>
  <c r="L18" i="4" s="1"/>
  <c r="I115" i="4"/>
  <c r="L115" i="4" s="1"/>
  <c r="I200" i="4"/>
  <c r="L200" i="4" s="1"/>
  <c r="I227" i="4"/>
  <c r="L227" i="4" s="1"/>
  <c r="I255" i="4"/>
  <c r="L255" i="4" s="1"/>
  <c r="I295" i="4"/>
  <c r="L295" i="4" s="1"/>
  <c r="I306" i="4"/>
  <c r="L306" i="4" s="1"/>
  <c r="I322" i="4"/>
  <c r="L322" i="4" s="1"/>
  <c r="I36" i="4"/>
  <c r="L36" i="4" s="1"/>
  <c r="I48" i="4"/>
  <c r="L48" i="4" s="1"/>
  <c r="I64" i="4"/>
  <c r="L64" i="4" s="1"/>
  <c r="I74" i="4"/>
  <c r="L74" i="4" s="1"/>
  <c r="I88" i="4"/>
  <c r="L88" i="4" s="1"/>
  <c r="I118" i="4"/>
  <c r="L118" i="4" s="1"/>
  <c r="I129" i="4"/>
  <c r="L129" i="4" s="1"/>
  <c r="I145" i="4"/>
  <c r="L145" i="4" s="1"/>
  <c r="I161" i="4"/>
  <c r="L161" i="4" s="1"/>
  <c r="I177" i="4"/>
  <c r="L177" i="4" s="1"/>
  <c r="I207" i="4"/>
  <c r="L207" i="4" s="1"/>
  <c r="I218" i="4"/>
  <c r="L218" i="4" s="1"/>
  <c r="I234" i="4"/>
  <c r="L234" i="4" s="1"/>
  <c r="I250" i="4"/>
  <c r="L250" i="4" s="1"/>
  <c r="I266" i="4"/>
  <c r="L266" i="4" s="1"/>
  <c r="I284" i="4"/>
  <c r="L284" i="4" s="1"/>
  <c r="I300" i="4"/>
  <c r="L300" i="4" s="1"/>
  <c r="I315" i="4"/>
  <c r="L315" i="4" s="1"/>
  <c r="I331" i="4"/>
  <c r="L331" i="4" s="1"/>
  <c r="I347" i="4"/>
  <c r="L347" i="4" s="1"/>
  <c r="I363" i="4"/>
  <c r="L363" i="4" s="1"/>
  <c r="I377" i="4"/>
  <c r="L377" i="4" s="1"/>
  <c r="I389" i="4"/>
  <c r="L389" i="4" s="1"/>
  <c r="I396" i="4"/>
  <c r="L396" i="4" s="1"/>
  <c r="I408" i="4"/>
  <c r="L408" i="4" s="1"/>
  <c r="I424" i="4"/>
  <c r="L424" i="4" s="1"/>
  <c r="I444" i="4"/>
  <c r="L444" i="4" s="1"/>
  <c r="I460" i="4"/>
  <c r="L460" i="4" s="1"/>
  <c r="I466" i="4"/>
  <c r="L466" i="4" s="1"/>
  <c r="I474" i="4"/>
  <c r="L474" i="4" s="1"/>
  <c r="I482" i="4"/>
  <c r="L482" i="4" s="1"/>
  <c r="I487" i="4"/>
  <c r="L487" i="4" s="1"/>
  <c r="I495" i="4"/>
  <c r="L495" i="4" s="1"/>
  <c r="I503" i="4"/>
  <c r="L503" i="4" s="1"/>
  <c r="I511" i="4"/>
  <c r="L511" i="4" s="1"/>
  <c r="I519" i="4"/>
  <c r="L519" i="4" s="1"/>
  <c r="I527" i="4"/>
  <c r="L527" i="4" s="1"/>
  <c r="I535" i="4"/>
  <c r="L535" i="4" s="1"/>
  <c r="I543" i="4"/>
  <c r="L543" i="4" s="1"/>
  <c r="I447" i="4"/>
  <c r="L447" i="4" s="1"/>
  <c r="I461" i="4"/>
  <c r="L461" i="4" s="1"/>
  <c r="I467" i="4"/>
  <c r="L467" i="4" s="1"/>
  <c r="I475" i="4"/>
  <c r="L475" i="4" s="1"/>
  <c r="I76" i="4"/>
  <c r="L76" i="4" s="1"/>
  <c r="I307" i="4"/>
  <c r="L307" i="4" s="1"/>
  <c r="I10" i="4"/>
  <c r="L10" i="4" s="1"/>
  <c r="I24" i="4"/>
  <c r="L24" i="4" s="1"/>
  <c r="I49" i="4"/>
  <c r="L49" i="4" s="1"/>
  <c r="I81" i="4"/>
  <c r="L81" i="4" s="1"/>
  <c r="I29" i="4"/>
  <c r="L29" i="4" s="1"/>
  <c r="I13" i="4"/>
  <c r="L13" i="4" s="1"/>
  <c r="I26" i="4"/>
  <c r="L26" i="4" s="1"/>
  <c r="I43" i="4"/>
  <c r="L43" i="4" s="1"/>
  <c r="I53" i="4"/>
  <c r="L53" i="4" s="1"/>
  <c r="I63" i="4"/>
  <c r="L63" i="4" s="1"/>
  <c r="I75" i="4"/>
  <c r="L75" i="4" s="1"/>
  <c r="I85" i="4"/>
  <c r="L85" i="4" s="1"/>
  <c r="I95" i="4"/>
  <c r="L95" i="4" s="1"/>
  <c r="I138" i="4"/>
  <c r="L138" i="4" s="1"/>
  <c r="I174" i="4"/>
  <c r="L174" i="4" s="1"/>
  <c r="I204" i="4"/>
  <c r="L204" i="4" s="1"/>
  <c r="I231" i="4"/>
  <c r="L231" i="4" s="1"/>
  <c r="I263" i="4"/>
  <c r="L263" i="4" s="1"/>
  <c r="I287" i="4"/>
  <c r="L287" i="4" s="1"/>
  <c r="I382" i="4"/>
  <c r="L382" i="4" s="1"/>
  <c r="I405" i="4"/>
  <c r="L405" i="4" s="1"/>
  <c r="I22" i="4"/>
  <c r="L22" i="4" s="1"/>
  <c r="I126" i="4"/>
  <c r="L126" i="4" s="1"/>
  <c r="I208" i="4"/>
  <c r="L208" i="4" s="1"/>
  <c r="I235" i="4"/>
  <c r="L235" i="4" s="1"/>
  <c r="I267" i="4"/>
  <c r="L267" i="4" s="1"/>
  <c r="I299" i="4"/>
  <c r="L299" i="4" s="1"/>
  <c r="I310" i="4"/>
  <c r="L310" i="4" s="1"/>
  <c r="I326" i="4"/>
  <c r="L326" i="4" s="1"/>
  <c r="I38" i="4"/>
  <c r="L38" i="4" s="1"/>
  <c r="I52" i="4"/>
  <c r="L52" i="4" s="1"/>
  <c r="I68" i="4"/>
  <c r="L68" i="4" s="1"/>
  <c r="I80" i="4"/>
  <c r="L80" i="4" s="1"/>
  <c r="I96" i="4"/>
  <c r="L96" i="4" s="1"/>
  <c r="I108" i="4"/>
  <c r="L108" i="4" s="1"/>
  <c r="I122" i="4"/>
  <c r="L122" i="4" s="1"/>
  <c r="I133" i="4"/>
  <c r="L133" i="4" s="1"/>
  <c r="I149" i="4"/>
  <c r="L149" i="4" s="1"/>
  <c r="I165" i="4"/>
  <c r="L165" i="4" s="1"/>
  <c r="I181" i="4"/>
  <c r="L181" i="4" s="1"/>
  <c r="I195" i="4"/>
  <c r="L195" i="4" s="1"/>
  <c r="I211" i="4"/>
  <c r="L211" i="4" s="1"/>
  <c r="I222" i="4"/>
  <c r="L222" i="4" s="1"/>
  <c r="I238" i="4"/>
  <c r="L238" i="4" s="1"/>
  <c r="I254" i="4"/>
  <c r="L254" i="4" s="1"/>
  <c r="I270" i="4"/>
  <c r="L270" i="4" s="1"/>
  <c r="I288" i="4"/>
  <c r="L288" i="4" s="1"/>
  <c r="I304" i="4"/>
  <c r="L304" i="4" s="1"/>
  <c r="I319" i="4"/>
  <c r="L319" i="4" s="1"/>
  <c r="I335" i="4"/>
  <c r="L335" i="4" s="1"/>
  <c r="I351" i="4"/>
  <c r="L351" i="4" s="1"/>
  <c r="I365" i="4"/>
  <c r="L365" i="4" s="1"/>
  <c r="I381" i="4"/>
  <c r="L381" i="4" s="1"/>
  <c r="I393" i="4"/>
  <c r="L393" i="4" s="1"/>
  <c r="I400" i="4"/>
  <c r="L400" i="4" s="1"/>
  <c r="I412" i="4"/>
  <c r="L412" i="4" s="1"/>
  <c r="I432" i="4"/>
  <c r="L432" i="4" s="1"/>
  <c r="I448" i="4"/>
  <c r="L448" i="4" s="1"/>
  <c r="I468" i="4"/>
  <c r="L468" i="4" s="1"/>
  <c r="I497" i="4"/>
  <c r="L497" i="4" s="1"/>
  <c r="I521" i="4"/>
  <c r="L521" i="4" s="1"/>
  <c r="I537" i="4"/>
  <c r="L537" i="4" s="1"/>
  <c r="I451" i="4"/>
  <c r="L451" i="4" s="1"/>
  <c r="I469" i="4"/>
  <c r="L469" i="4" s="1"/>
  <c r="I481" i="4"/>
  <c r="L481" i="4" s="1"/>
  <c r="I492" i="4"/>
  <c r="L492" i="4" s="1"/>
  <c r="I500" i="4"/>
  <c r="L500" i="4" s="1"/>
  <c r="I508" i="4"/>
  <c r="L508" i="4" s="1"/>
  <c r="I516" i="4"/>
  <c r="L516" i="4" s="1"/>
  <c r="I524" i="4"/>
  <c r="L524" i="4" s="1"/>
  <c r="I532" i="4"/>
  <c r="L532" i="4" s="1"/>
  <c r="I540" i="4"/>
  <c r="L540" i="4" s="1"/>
  <c r="I548" i="4"/>
  <c r="L548" i="4" s="1"/>
  <c r="I78" i="4"/>
  <c r="L78" i="4" s="1"/>
  <c r="I135" i="4"/>
  <c r="L135" i="4" s="1"/>
  <c r="I159" i="4"/>
  <c r="L159" i="4" s="1"/>
  <c r="I23" i="4"/>
  <c r="L23" i="4" s="1"/>
  <c r="I82" i="4"/>
  <c r="L82" i="4" s="1"/>
  <c r="I151" i="4"/>
  <c r="L151" i="4" s="1"/>
  <c r="I46" i="4"/>
  <c r="L46" i="4" s="1"/>
  <c r="I112" i="4"/>
  <c r="L112" i="4" s="1"/>
  <c r="I175" i="4"/>
  <c r="L175" i="4" s="1"/>
  <c r="I54" i="4"/>
  <c r="L54" i="4" s="1"/>
  <c r="I192" i="4"/>
  <c r="L192" i="4" s="1"/>
  <c r="I210" i="4"/>
  <c r="L210" i="4" s="1"/>
  <c r="I221" i="4"/>
  <c r="L221" i="4" s="1"/>
  <c r="I237" i="4"/>
  <c r="L237" i="4" s="1"/>
  <c r="I253" i="4"/>
  <c r="L253" i="4" s="1"/>
  <c r="I269" i="4"/>
  <c r="L269" i="4" s="1"/>
  <c r="I293" i="4"/>
  <c r="L293" i="4" s="1"/>
  <c r="I312" i="4"/>
  <c r="L312" i="4" s="1"/>
  <c r="I328" i="4"/>
  <c r="L328" i="4" s="1"/>
  <c r="I340" i="4"/>
  <c r="L340" i="4" s="1"/>
  <c r="I348" i="4"/>
  <c r="L348" i="4" s="1"/>
  <c r="I358" i="4"/>
  <c r="L358" i="4" s="1"/>
  <c r="I366" i="4"/>
  <c r="L366" i="4" s="1"/>
  <c r="I374" i="4"/>
  <c r="L374" i="4" s="1"/>
  <c r="I384" i="4"/>
  <c r="L384" i="4" s="1"/>
  <c r="I392" i="4"/>
  <c r="L392" i="4" s="1"/>
  <c r="I399" i="4"/>
  <c r="L399" i="4" s="1"/>
  <c r="I415" i="4"/>
  <c r="L415" i="4" s="1"/>
  <c r="I423" i="4"/>
  <c r="L423" i="4" s="1"/>
  <c r="I431" i="4"/>
  <c r="L431" i="4" s="1"/>
  <c r="I441" i="4"/>
  <c r="L441" i="4" s="1"/>
  <c r="I453" i="4"/>
  <c r="L453" i="4" s="1"/>
  <c r="I205" i="4"/>
  <c r="L205" i="4" s="1"/>
  <c r="I216" i="4"/>
  <c r="L216" i="4" s="1"/>
  <c r="I232" i="4"/>
  <c r="L232" i="4" s="1"/>
  <c r="I248" i="4"/>
  <c r="L248" i="4" s="1"/>
  <c r="I264" i="4"/>
  <c r="L264" i="4" s="1"/>
  <c r="I280" i="4"/>
  <c r="L280" i="4" s="1"/>
  <c r="I294" i="4"/>
  <c r="L294" i="4" s="1"/>
  <c r="I305" i="4"/>
  <c r="L305" i="4" s="1"/>
  <c r="I321" i="4"/>
  <c r="L321" i="4" s="1"/>
  <c r="I337" i="4"/>
  <c r="L337" i="4" s="1"/>
  <c r="I353" i="4"/>
  <c r="L353" i="4" s="1"/>
  <c r="I391" i="4"/>
  <c r="L391" i="4" s="1"/>
  <c r="I410" i="4"/>
  <c r="L410" i="4" s="1"/>
  <c r="I426" i="4"/>
  <c r="L426" i="4" s="1"/>
  <c r="I442" i="4"/>
  <c r="L442" i="4" s="1"/>
  <c r="I113" i="4"/>
  <c r="L113" i="4" s="1"/>
  <c r="I140" i="4"/>
  <c r="L140" i="4" s="1"/>
  <c r="I476" i="4"/>
  <c r="L476" i="4" s="1"/>
  <c r="I505" i="4"/>
  <c r="L505" i="4" s="1"/>
  <c r="I525" i="4"/>
  <c r="L525" i="4" s="1"/>
  <c r="I541" i="4"/>
  <c r="L541" i="4" s="1"/>
  <c r="I459" i="4"/>
  <c r="L459" i="4" s="1"/>
  <c r="I473" i="4"/>
  <c r="L473" i="4" s="1"/>
  <c r="I483" i="4"/>
  <c r="L483" i="4" s="1"/>
  <c r="I486" i="4"/>
  <c r="L486" i="4" s="1"/>
  <c r="I494" i="4"/>
  <c r="L494" i="4" s="1"/>
  <c r="I502" i="4"/>
  <c r="L502" i="4" s="1"/>
  <c r="I510" i="4"/>
  <c r="L510" i="4" s="1"/>
  <c r="I518" i="4"/>
  <c r="L518" i="4" s="1"/>
  <c r="I526" i="4"/>
  <c r="L526" i="4" s="1"/>
  <c r="I534" i="4"/>
  <c r="L534" i="4" s="1"/>
  <c r="I542" i="4"/>
  <c r="L542" i="4" s="1"/>
  <c r="I120" i="4"/>
  <c r="L120" i="4" s="1"/>
  <c r="I139" i="4"/>
  <c r="L139" i="4" s="1"/>
  <c r="I163" i="4"/>
  <c r="L163" i="4" s="1"/>
  <c r="I94" i="4"/>
  <c r="L94" i="4" s="1"/>
  <c r="I171" i="4"/>
  <c r="L171" i="4" s="1"/>
  <c r="I98" i="4"/>
  <c r="L98" i="4" s="1"/>
  <c r="I62" i="4"/>
  <c r="L62" i="4" s="1"/>
  <c r="I127" i="4"/>
  <c r="L127" i="4" s="1"/>
  <c r="I179" i="4"/>
  <c r="L179" i="4" s="1"/>
  <c r="I180" i="4"/>
  <c r="L180" i="4" s="1"/>
  <c r="I198" i="4"/>
  <c r="L198" i="4" s="1"/>
  <c r="I214" i="4"/>
  <c r="L214" i="4" s="1"/>
  <c r="I225" i="4"/>
  <c r="L225" i="4" s="1"/>
  <c r="I241" i="4"/>
  <c r="L241" i="4" s="1"/>
  <c r="I257" i="4"/>
  <c r="L257" i="4" s="1"/>
  <c r="I273" i="4"/>
  <c r="L273" i="4" s="1"/>
  <c r="I301" i="4"/>
  <c r="L301" i="4" s="1"/>
  <c r="I316" i="4"/>
  <c r="L316" i="4" s="1"/>
  <c r="I332" i="4"/>
  <c r="L332" i="4" s="1"/>
  <c r="I342" i="4"/>
  <c r="L342" i="4" s="1"/>
  <c r="I350" i="4"/>
  <c r="L350" i="4" s="1"/>
  <c r="I360" i="4"/>
  <c r="L360" i="4" s="1"/>
  <c r="I370" i="4"/>
  <c r="L370" i="4" s="1"/>
  <c r="I376" i="4"/>
  <c r="L376" i="4" s="1"/>
  <c r="I386" i="4"/>
  <c r="L386" i="4" s="1"/>
  <c r="I401" i="4"/>
  <c r="L401" i="4" s="1"/>
  <c r="I417" i="4"/>
  <c r="L417" i="4" s="1"/>
  <c r="I425" i="4"/>
  <c r="L425" i="4" s="1"/>
  <c r="I433" i="4"/>
  <c r="L433" i="4" s="1"/>
  <c r="I443" i="4"/>
  <c r="L443" i="4" s="1"/>
  <c r="I457" i="4"/>
  <c r="L457" i="4" s="1"/>
  <c r="I209" i="4"/>
  <c r="L209" i="4" s="1"/>
  <c r="I220" i="4"/>
  <c r="L220" i="4" s="1"/>
  <c r="I236" i="4"/>
  <c r="L236" i="4" s="1"/>
  <c r="I252" i="4"/>
  <c r="L252" i="4" s="1"/>
  <c r="I268" i="4"/>
  <c r="L268" i="4" s="1"/>
  <c r="I282" i="4"/>
  <c r="L282" i="4" s="1"/>
  <c r="I298" i="4"/>
  <c r="L298" i="4" s="1"/>
  <c r="I309" i="4"/>
  <c r="L309" i="4" s="1"/>
  <c r="I325" i="4"/>
  <c r="L325" i="4" s="1"/>
  <c r="I341" i="4"/>
  <c r="L341" i="4" s="1"/>
  <c r="I357" i="4"/>
  <c r="L357" i="4" s="1"/>
  <c r="I375" i="4"/>
  <c r="L375" i="4" s="1"/>
  <c r="I414" i="4"/>
  <c r="L414" i="4" s="1"/>
  <c r="I430" i="4"/>
  <c r="L430" i="4" s="1"/>
  <c r="I446" i="4"/>
  <c r="L446" i="4" s="1"/>
  <c r="I117" i="4"/>
  <c r="L117" i="4" s="1"/>
  <c r="I132" i="4"/>
  <c r="L132" i="4" s="1"/>
  <c r="I144" i="4"/>
  <c r="L144" i="4" s="1"/>
  <c r="I152" i="4"/>
  <c r="L152" i="4" s="1"/>
  <c r="I164" i="4"/>
  <c r="L164" i="4" s="1"/>
  <c r="I176" i="4"/>
  <c r="L176" i="4" s="1"/>
  <c r="I240" i="4"/>
  <c r="L240" i="4" s="1"/>
  <c r="I286" i="4"/>
  <c r="L286" i="4" s="1"/>
  <c r="I329" i="4"/>
  <c r="L329" i="4" s="1"/>
  <c r="I361" i="4"/>
  <c r="L361" i="4" s="1"/>
  <c r="I398" i="4"/>
  <c r="L398" i="4" s="1"/>
  <c r="I450" i="4"/>
  <c r="L450" i="4" s="1"/>
  <c r="I146" i="4"/>
  <c r="L146" i="4" s="1"/>
  <c r="I178" i="4"/>
  <c r="L178" i="4" s="1"/>
  <c r="I484" i="4"/>
  <c r="L484" i="4" s="1"/>
  <c r="I513" i="4"/>
  <c r="L513" i="4" s="1"/>
  <c r="I529" i="4"/>
  <c r="L529" i="4" s="1"/>
  <c r="I545" i="4"/>
  <c r="L545" i="4" s="1"/>
  <c r="I477" i="4"/>
  <c r="L477" i="4" s="1"/>
  <c r="I488" i="4"/>
  <c r="L488" i="4" s="1"/>
  <c r="I496" i="4"/>
  <c r="L496" i="4" s="1"/>
  <c r="I504" i="4"/>
  <c r="L504" i="4" s="1"/>
  <c r="I512" i="4"/>
  <c r="L512" i="4" s="1"/>
  <c r="I520" i="4"/>
  <c r="L520" i="4" s="1"/>
  <c r="I528" i="4"/>
  <c r="L528" i="4" s="1"/>
  <c r="I536" i="4"/>
  <c r="L536" i="4" s="1"/>
  <c r="I544" i="4"/>
  <c r="L544" i="4" s="1"/>
  <c r="I124" i="4"/>
  <c r="L124" i="4" s="1"/>
  <c r="I143" i="4"/>
  <c r="L143" i="4" s="1"/>
  <c r="I183" i="4"/>
  <c r="L183" i="4" s="1"/>
  <c r="I50" i="4"/>
  <c r="L50" i="4" s="1"/>
  <c r="I116" i="4"/>
  <c r="L116" i="4" s="1"/>
  <c r="I197" i="4"/>
  <c r="L197" i="4" s="1"/>
  <c r="I19" i="4"/>
  <c r="L19" i="4" s="1"/>
  <c r="I90" i="4"/>
  <c r="L90" i="4" s="1"/>
  <c r="I147" i="4"/>
  <c r="L147" i="4" s="1"/>
  <c r="I187" i="4"/>
  <c r="L187" i="4" s="1"/>
  <c r="I184" i="4"/>
  <c r="L184" i="4" s="1"/>
  <c r="I202" i="4"/>
  <c r="L202" i="4" s="1"/>
  <c r="I229" i="4"/>
  <c r="L229" i="4" s="1"/>
  <c r="I245" i="4"/>
  <c r="L245" i="4" s="1"/>
  <c r="I261" i="4"/>
  <c r="L261" i="4" s="1"/>
  <c r="I277" i="4"/>
  <c r="L277" i="4" s="1"/>
  <c r="I320" i="4"/>
  <c r="L320" i="4" s="1"/>
  <c r="I334" i="4"/>
  <c r="L334" i="4" s="1"/>
  <c r="I344" i="4"/>
  <c r="L344" i="4" s="1"/>
  <c r="I354" i="4"/>
  <c r="L354" i="4" s="1"/>
  <c r="I362" i="4"/>
  <c r="L362" i="4" s="1"/>
  <c r="I378" i="4"/>
  <c r="L378" i="4" s="1"/>
  <c r="I388" i="4"/>
  <c r="L388" i="4" s="1"/>
  <c r="I395" i="4"/>
  <c r="L395" i="4" s="1"/>
  <c r="I409" i="4"/>
  <c r="L409" i="4" s="1"/>
  <c r="I419" i="4"/>
  <c r="L419" i="4" s="1"/>
  <c r="I427" i="4"/>
  <c r="L427" i="4" s="1"/>
  <c r="I435" i="4"/>
  <c r="L435" i="4" s="1"/>
  <c r="I445" i="4"/>
  <c r="L445" i="4" s="1"/>
  <c r="I194" i="4"/>
  <c r="L194" i="4" s="1"/>
  <c r="I101" i="4"/>
  <c r="L101" i="4" s="1"/>
  <c r="I213" i="4"/>
  <c r="L213" i="4" s="1"/>
  <c r="I224" i="4"/>
  <c r="L224" i="4" s="1"/>
  <c r="I256" i="4"/>
  <c r="L256" i="4" s="1"/>
  <c r="I272" i="4"/>
  <c r="L272" i="4" s="1"/>
  <c r="I302" i="4"/>
  <c r="L302" i="4" s="1"/>
  <c r="I313" i="4"/>
  <c r="L313" i="4" s="1"/>
  <c r="I345" i="4"/>
  <c r="L345" i="4" s="1"/>
  <c r="I379" i="4"/>
  <c r="L379" i="4" s="1"/>
  <c r="I418" i="4"/>
  <c r="L418" i="4" s="1"/>
  <c r="I434" i="4"/>
  <c r="L434" i="4" s="1"/>
  <c r="I119" i="4"/>
  <c r="L119" i="4" s="1"/>
  <c r="I134" i="4"/>
  <c r="L134" i="4" s="1"/>
  <c r="I156" i="4"/>
  <c r="L156" i="4" s="1"/>
  <c r="I166" i="4"/>
  <c r="L166" i="4" s="1"/>
  <c r="I458" i="4"/>
  <c r="L458" i="4" s="1"/>
  <c r="I123" i="4"/>
  <c r="L123" i="4" s="1"/>
  <c r="I489" i="4"/>
  <c r="L489" i="4" s="1"/>
  <c r="I517" i="4"/>
  <c r="L517" i="4" s="1"/>
  <c r="I533" i="4"/>
  <c r="L533" i="4" s="1"/>
  <c r="I439" i="4"/>
  <c r="L439" i="4" s="1"/>
  <c r="I465" i="4"/>
  <c r="L465" i="4" s="1"/>
  <c r="I479" i="4"/>
  <c r="L479" i="4" s="1"/>
  <c r="I490" i="4"/>
  <c r="L490" i="4" s="1"/>
  <c r="I498" i="4"/>
  <c r="L498" i="4" s="1"/>
  <c r="I506" i="4"/>
  <c r="L506" i="4" s="1"/>
  <c r="I514" i="4"/>
  <c r="L514" i="4" s="1"/>
  <c r="I522" i="4"/>
  <c r="L522" i="4" s="1"/>
  <c r="I530" i="4"/>
  <c r="L530" i="4" s="1"/>
  <c r="I538" i="4"/>
  <c r="L538" i="4" s="1"/>
  <c r="I546" i="4"/>
  <c r="L546" i="4" s="1"/>
  <c r="I155" i="4"/>
  <c r="L155" i="4" s="1"/>
  <c r="I193" i="4"/>
  <c r="L193" i="4" s="1"/>
  <c r="I66" i="4"/>
  <c r="L66" i="4" s="1"/>
  <c r="I131" i="4"/>
  <c r="L131" i="4" s="1"/>
  <c r="I201" i="4"/>
  <c r="L201" i="4" s="1"/>
  <c r="I99" i="4"/>
  <c r="L99" i="4" s="1"/>
  <c r="I104" i="4"/>
  <c r="L104" i="4" s="1"/>
  <c r="I167" i="4"/>
  <c r="L167" i="4" s="1"/>
  <c r="I191" i="4"/>
  <c r="L191" i="4" s="1"/>
  <c r="I188" i="4"/>
  <c r="L188" i="4" s="1"/>
  <c r="I206" i="4"/>
  <c r="L206" i="4" s="1"/>
  <c r="I217" i="4"/>
  <c r="L217" i="4" s="1"/>
  <c r="I233" i="4"/>
  <c r="L233" i="4" s="1"/>
  <c r="I249" i="4"/>
  <c r="L249" i="4" s="1"/>
  <c r="I265" i="4"/>
  <c r="L265" i="4" s="1"/>
  <c r="I285" i="4"/>
  <c r="L285" i="4" s="1"/>
  <c r="I308" i="4"/>
  <c r="L308" i="4" s="1"/>
  <c r="I324" i="4"/>
  <c r="L324" i="4" s="1"/>
  <c r="I338" i="4"/>
  <c r="L338" i="4" s="1"/>
  <c r="I346" i="4"/>
  <c r="L346" i="4" s="1"/>
  <c r="I356" i="4"/>
  <c r="L356" i="4" s="1"/>
  <c r="I364" i="4"/>
  <c r="L364" i="4" s="1"/>
  <c r="I372" i="4"/>
  <c r="L372" i="4" s="1"/>
  <c r="I380" i="4"/>
  <c r="L380" i="4" s="1"/>
  <c r="I390" i="4"/>
  <c r="L390" i="4" s="1"/>
  <c r="I397" i="4"/>
  <c r="L397" i="4" s="1"/>
  <c r="I413" i="4"/>
  <c r="L413" i="4" s="1"/>
  <c r="I421" i="4"/>
  <c r="L421" i="4" s="1"/>
  <c r="I429" i="4"/>
  <c r="L429" i="4" s="1"/>
  <c r="I437" i="4"/>
  <c r="L437" i="4" s="1"/>
  <c r="I449" i="4"/>
  <c r="L449" i="4" s="1"/>
  <c r="I297" i="4"/>
  <c r="L297" i="4" s="1"/>
  <c r="I289" i="4"/>
  <c r="L289" i="4" s="1"/>
  <c r="I228" i="4"/>
  <c r="L228" i="4" s="1"/>
  <c r="I244" i="4"/>
  <c r="L244" i="4" s="1"/>
  <c r="I260" i="4"/>
  <c r="L260" i="4" s="1"/>
  <c r="I276" i="4"/>
  <c r="L276" i="4" s="1"/>
  <c r="I290" i="4"/>
  <c r="L290" i="4" s="1"/>
  <c r="I317" i="4"/>
  <c r="L317" i="4" s="1"/>
  <c r="I333" i="4"/>
  <c r="L333" i="4" s="1"/>
  <c r="I349" i="4"/>
  <c r="L349" i="4" s="1"/>
  <c r="I369" i="4"/>
  <c r="L369" i="4" s="1"/>
  <c r="I383" i="4"/>
  <c r="L383" i="4" s="1"/>
  <c r="I406" i="4"/>
  <c r="L406" i="4" s="1"/>
  <c r="I422" i="4"/>
  <c r="L422" i="4" s="1"/>
  <c r="I438" i="4"/>
  <c r="L438" i="4" s="1"/>
  <c r="I454" i="4"/>
  <c r="L454" i="4" s="1"/>
  <c r="I109" i="4"/>
  <c r="L109" i="4" s="1"/>
  <c r="I121" i="4"/>
  <c r="L121" i="4" s="1"/>
  <c r="I128" i="4"/>
  <c r="L128" i="4" s="1"/>
  <c r="I136" i="4"/>
  <c r="L136" i="4" s="1"/>
  <c r="I148" i="4"/>
  <c r="L148" i="4" s="1"/>
  <c r="I160" i="4"/>
  <c r="L160" i="4" s="1"/>
  <c r="I168" i="4"/>
  <c r="L168" i="4" s="1"/>
  <c r="I162" i="4"/>
  <c r="L162" i="4" s="1"/>
  <c r="I172" i="4"/>
  <c r="L172" i="4" s="1"/>
  <c r="I130" i="4"/>
  <c r="L130" i="4" s="1"/>
  <c r="I150" i="4"/>
  <c r="L150" i="4" s="1"/>
  <c r="M9" i="4"/>
  <c r="M121" i="4" l="1"/>
  <c r="M276" i="4"/>
  <c r="M356" i="4"/>
  <c r="M233" i="4"/>
  <c r="M201" i="4"/>
  <c r="M522" i="4"/>
  <c r="M458" i="4"/>
  <c r="M256" i="4"/>
  <c r="M378" i="4"/>
  <c r="M197" i="4"/>
  <c r="M496" i="4"/>
  <c r="M164" i="4"/>
  <c r="M309" i="4"/>
  <c r="M417" i="4"/>
  <c r="M62" i="4"/>
  <c r="M502" i="4"/>
  <c r="M442" i="4"/>
  <c r="M441" i="4"/>
  <c r="M366" i="4"/>
  <c r="M46" i="4"/>
  <c r="M540" i="4"/>
  <c r="M497" i="4"/>
  <c r="M238" i="4"/>
  <c r="M85" i="4"/>
  <c r="M12" i="4"/>
  <c r="M172" i="4"/>
  <c r="M148" i="4"/>
  <c r="M109" i="4"/>
  <c r="M406" i="4"/>
  <c r="M333" i="4"/>
  <c r="M260" i="4"/>
  <c r="M297" i="4"/>
  <c r="M421" i="4"/>
  <c r="M380" i="4"/>
  <c r="M346" i="4"/>
  <c r="M285" i="4"/>
  <c r="M217" i="4"/>
  <c r="M167" i="4"/>
  <c r="M131" i="4"/>
  <c r="M546" i="4"/>
  <c r="M514" i="4"/>
  <c r="M479" i="4"/>
  <c r="M517" i="4"/>
  <c r="M166" i="4"/>
  <c r="M434" i="4"/>
  <c r="M313" i="4"/>
  <c r="M224" i="4"/>
  <c r="M445" i="4"/>
  <c r="M409" i="4"/>
  <c r="M362" i="4"/>
  <c r="M320" i="4"/>
  <c r="M229" i="4"/>
  <c r="M147" i="4"/>
  <c r="M116" i="4"/>
  <c r="M124" i="4"/>
  <c r="M520" i="4"/>
  <c r="M488" i="4"/>
  <c r="M513" i="4"/>
  <c r="M450" i="4"/>
  <c r="M286" i="4"/>
  <c r="M152" i="4"/>
  <c r="M446" i="4"/>
  <c r="M357" i="4"/>
  <c r="M298" i="4"/>
  <c r="M236" i="4"/>
  <c r="M443" i="4"/>
  <c r="M401" i="4"/>
  <c r="M360" i="4"/>
  <c r="M316" i="4"/>
  <c r="M241" i="4"/>
  <c r="M180" i="4"/>
  <c r="M98" i="4"/>
  <c r="M139" i="4"/>
  <c r="M526" i="4"/>
  <c r="M494" i="4"/>
  <c r="M459" i="4"/>
  <c r="M476" i="4"/>
  <c r="M426" i="4"/>
  <c r="M337" i="4"/>
  <c r="M280" i="4"/>
  <c r="M216" i="4"/>
  <c r="M431" i="4"/>
  <c r="M392" i="4"/>
  <c r="M358" i="4"/>
  <c r="M312" i="4"/>
  <c r="M237" i="4"/>
  <c r="M54" i="4"/>
  <c r="M151" i="4"/>
  <c r="M135" i="4"/>
  <c r="M532" i="4"/>
  <c r="M500" i="4"/>
  <c r="M451" i="4"/>
  <c r="M468" i="4"/>
  <c r="M400" i="4"/>
  <c r="M351" i="4"/>
  <c r="M288" i="4"/>
  <c r="M222" i="4"/>
  <c r="M165" i="4"/>
  <c r="M108" i="4"/>
  <c r="M52" i="4"/>
  <c r="M299" i="4"/>
  <c r="M126" i="4"/>
  <c r="M287" i="4"/>
  <c r="M174" i="4"/>
  <c r="M75" i="4"/>
  <c r="M26" i="4"/>
  <c r="M49" i="4"/>
  <c r="M76" i="4"/>
  <c r="M447" i="4"/>
  <c r="M519" i="4"/>
  <c r="M487" i="4"/>
  <c r="M460" i="4"/>
  <c r="M396" i="4"/>
  <c r="M347" i="4"/>
  <c r="M284" i="4"/>
  <c r="M218" i="4"/>
  <c r="M145" i="4"/>
  <c r="M74" i="4"/>
  <c r="M322" i="4"/>
  <c r="M227" i="4"/>
  <c r="M403" i="4"/>
  <c r="M223" i="4"/>
  <c r="M83" i="4"/>
  <c r="M41" i="4"/>
  <c r="M27" i="4"/>
  <c r="M485" i="4"/>
  <c r="M493" i="4"/>
  <c r="M456" i="4"/>
  <c r="M387" i="4"/>
  <c r="M327" i="4"/>
  <c r="M262" i="4"/>
  <c r="M189" i="4"/>
  <c r="M125" i="4"/>
  <c r="M58" i="4"/>
  <c r="M283" i="4"/>
  <c r="M107" i="4"/>
  <c r="M251" i="4"/>
  <c r="M111" i="4"/>
  <c r="M59" i="4"/>
  <c r="M25" i="4"/>
  <c r="M428" i="4"/>
  <c r="M463" i="4"/>
  <c r="M531" i="4"/>
  <c r="M499" i="4"/>
  <c r="M462" i="4"/>
  <c r="M402" i="4"/>
  <c r="M339" i="4"/>
  <c r="M258" i="4"/>
  <c r="M185" i="4"/>
  <c r="M110" i="4"/>
  <c r="M56" i="4"/>
  <c r="M314" i="4"/>
  <c r="M212" i="4"/>
  <c r="M394" i="4"/>
  <c r="M182" i="4"/>
  <c r="M77" i="4"/>
  <c r="M30" i="4"/>
  <c r="M87" i="4"/>
  <c r="M371" i="4"/>
  <c r="M160" i="4"/>
  <c r="M349" i="4"/>
  <c r="M289" i="4"/>
  <c r="M390" i="4"/>
  <c r="M308" i="4"/>
  <c r="M191" i="4"/>
  <c r="M155" i="4"/>
  <c r="M490" i="4"/>
  <c r="M119" i="4"/>
  <c r="M194" i="4"/>
  <c r="M334" i="4"/>
  <c r="M187" i="4"/>
  <c r="M528" i="4"/>
  <c r="M146" i="4"/>
  <c r="M117" i="4"/>
  <c r="M457" i="4"/>
  <c r="M332" i="4"/>
  <c r="M257" i="4"/>
  <c r="M163" i="4"/>
  <c r="M473" i="4"/>
  <c r="M353" i="4"/>
  <c r="M232" i="4"/>
  <c r="M253" i="4"/>
  <c r="M365" i="4"/>
  <c r="M181" i="4"/>
  <c r="M68" i="4"/>
  <c r="M208" i="4"/>
  <c r="M204" i="4"/>
  <c r="M81" i="4"/>
  <c r="M461" i="4"/>
  <c r="M495" i="4"/>
  <c r="M408" i="4"/>
  <c r="M300" i="4"/>
  <c r="M161" i="4"/>
  <c r="M36" i="4"/>
  <c r="M18" i="4"/>
  <c r="M259" i="4"/>
  <c r="M93" i="4"/>
  <c r="M51" i="4"/>
  <c r="M15" i="4"/>
  <c r="M20" i="4"/>
  <c r="M464" i="4"/>
  <c r="M404" i="4"/>
  <c r="M343" i="4"/>
  <c r="M278" i="4"/>
  <c r="M203" i="4"/>
  <c r="M141" i="4"/>
  <c r="M72" i="4"/>
  <c r="M318" i="4"/>
  <c r="M186" i="4"/>
  <c r="M279" i="4"/>
  <c r="M158" i="4"/>
  <c r="M69" i="4"/>
  <c r="M32" i="4"/>
  <c r="M16" i="4"/>
  <c r="M471" i="4"/>
  <c r="M507" i="4"/>
  <c r="M416" i="4"/>
  <c r="M274" i="4"/>
  <c r="M137" i="4"/>
  <c r="M330" i="4"/>
  <c r="M407" i="4"/>
  <c r="M45" i="4"/>
  <c r="M454" i="4"/>
  <c r="M383" i="4"/>
  <c r="M317" i="4"/>
  <c r="M244" i="4"/>
  <c r="M449" i="4"/>
  <c r="M372" i="4"/>
  <c r="M338" i="4"/>
  <c r="M206" i="4"/>
  <c r="M66" i="4"/>
  <c r="M506" i="4"/>
  <c r="M489" i="4"/>
  <c r="M418" i="4"/>
  <c r="M213" i="4"/>
  <c r="M435" i="4"/>
  <c r="M395" i="4"/>
  <c r="M354" i="4"/>
  <c r="M277" i="4"/>
  <c r="M202" i="4"/>
  <c r="M90" i="4"/>
  <c r="M50" i="4"/>
  <c r="M544" i="4"/>
  <c r="M512" i="4"/>
  <c r="M477" i="4"/>
  <c r="M484" i="4"/>
  <c r="M398" i="4"/>
  <c r="M240" i="4"/>
  <c r="M144" i="4"/>
  <c r="M430" i="4"/>
  <c r="M341" i="4"/>
  <c r="M282" i="4"/>
  <c r="M220" i="4"/>
  <c r="M433" i="4"/>
  <c r="M386" i="4"/>
  <c r="M350" i="4"/>
  <c r="M301" i="4"/>
  <c r="M225" i="4"/>
  <c r="M179" i="4"/>
  <c r="M171" i="4"/>
  <c r="M120" i="4"/>
  <c r="M518" i="4"/>
  <c r="M486" i="4"/>
  <c r="M541" i="4"/>
  <c r="M140" i="4"/>
  <c r="M410" i="4"/>
  <c r="M321" i="4"/>
  <c r="M264" i="4"/>
  <c r="M205" i="4"/>
  <c r="M423" i="4"/>
  <c r="M384" i="4"/>
  <c r="M348" i="4"/>
  <c r="M293" i="4"/>
  <c r="M221" i="4"/>
  <c r="M175" i="4"/>
  <c r="M82" i="4"/>
  <c r="M78" i="4"/>
  <c r="M524" i="4"/>
  <c r="M492" i="4"/>
  <c r="M537" i="4"/>
  <c r="M448" i="4"/>
  <c r="M393" i="4"/>
  <c r="M335" i="4"/>
  <c r="M270" i="4"/>
  <c r="M211" i="4"/>
  <c r="M149" i="4"/>
  <c r="M96" i="4"/>
  <c r="M38" i="4"/>
  <c r="M267" i="4"/>
  <c r="M22" i="4"/>
  <c r="M263" i="4"/>
  <c r="M138" i="4"/>
  <c r="M63" i="4"/>
  <c r="M13" i="4"/>
  <c r="M24" i="4"/>
  <c r="M475" i="4"/>
  <c r="M543" i="4"/>
  <c r="M511" i="4"/>
  <c r="M482" i="4"/>
  <c r="M444" i="4"/>
  <c r="M389" i="4"/>
  <c r="M331" i="4"/>
  <c r="M266" i="4"/>
  <c r="M207" i="4"/>
  <c r="M129" i="4"/>
  <c r="M64" i="4"/>
  <c r="M306" i="4"/>
  <c r="M200" i="4"/>
  <c r="M368" i="4"/>
  <c r="M196" i="4"/>
  <c r="M73" i="4"/>
  <c r="M34" i="4"/>
  <c r="M71" i="4"/>
  <c r="M60" i="4"/>
  <c r="M480" i="4"/>
  <c r="M440" i="4"/>
  <c r="M373" i="4"/>
  <c r="M311" i="4"/>
  <c r="M246" i="4"/>
  <c r="M173" i="4"/>
  <c r="M114" i="4"/>
  <c r="M42" i="4"/>
  <c r="M247" i="4"/>
  <c r="M411" i="4"/>
  <c r="M219" i="4"/>
  <c r="M91" i="4"/>
  <c r="M47" i="4"/>
  <c r="M97" i="4"/>
  <c r="M106" i="4"/>
  <c r="M455" i="4"/>
  <c r="M523" i="4"/>
  <c r="M491" i="4"/>
  <c r="M452" i="4"/>
  <c r="M385" i="4"/>
  <c r="M323" i="4"/>
  <c r="M242" i="4"/>
  <c r="M169" i="4"/>
  <c r="M100" i="4"/>
  <c r="M40" i="4"/>
  <c r="M303" i="4"/>
  <c r="M154" i="4"/>
  <c r="M291" i="4"/>
  <c r="M142" i="4"/>
  <c r="M67" i="4"/>
  <c r="M17" i="4"/>
  <c r="M55" i="4"/>
  <c r="M92" i="4"/>
  <c r="M130" i="4"/>
  <c r="M422" i="4"/>
  <c r="M429" i="4"/>
  <c r="M533" i="4"/>
  <c r="M345" i="4"/>
  <c r="M419" i="4"/>
  <c r="M245" i="4"/>
  <c r="M143" i="4"/>
  <c r="M529" i="4"/>
  <c r="M329" i="4"/>
  <c r="M375" i="4"/>
  <c r="M252" i="4"/>
  <c r="M370" i="4"/>
  <c r="M198" i="4"/>
  <c r="M534" i="4"/>
  <c r="M505" i="4"/>
  <c r="M294" i="4"/>
  <c r="M399" i="4"/>
  <c r="M328" i="4"/>
  <c r="M192" i="4"/>
  <c r="M159" i="4"/>
  <c r="M508" i="4"/>
  <c r="M469" i="4"/>
  <c r="M412" i="4"/>
  <c r="M304" i="4"/>
  <c r="M122" i="4"/>
  <c r="M310" i="4"/>
  <c r="M382" i="4"/>
  <c r="M43" i="4"/>
  <c r="M307" i="4"/>
  <c r="M527" i="4"/>
  <c r="M466" i="4"/>
  <c r="M363" i="4"/>
  <c r="M234" i="4"/>
  <c r="M88" i="4"/>
  <c r="M255" i="4"/>
  <c r="M501" i="4"/>
  <c r="M539" i="4"/>
  <c r="M470" i="4"/>
  <c r="M355" i="4"/>
  <c r="M199" i="4"/>
  <c r="M70" i="4"/>
  <c r="M239" i="4"/>
  <c r="M243" i="4"/>
  <c r="M89" i="4"/>
  <c r="M21" i="4"/>
  <c r="M162" i="4"/>
  <c r="M136" i="4"/>
  <c r="M413" i="4"/>
  <c r="M265" i="4"/>
  <c r="M104" i="4"/>
  <c r="M538" i="4"/>
  <c r="M465" i="4"/>
  <c r="M156" i="4"/>
  <c r="M302" i="4"/>
  <c r="M150" i="4"/>
  <c r="M168" i="4"/>
  <c r="M128" i="4"/>
  <c r="M438" i="4"/>
  <c r="M369" i="4"/>
  <c r="M290" i="4"/>
  <c r="M228" i="4"/>
  <c r="M437" i="4"/>
  <c r="M397" i="4"/>
  <c r="M364" i="4"/>
  <c r="M324" i="4"/>
  <c r="M249" i="4"/>
  <c r="M188" i="4"/>
  <c r="M99" i="4"/>
  <c r="M193" i="4"/>
  <c r="M530" i="4"/>
  <c r="M498" i="4"/>
  <c r="M439" i="4"/>
  <c r="M123" i="4"/>
  <c r="M134" i="4"/>
  <c r="M379" i="4"/>
  <c r="M272" i="4"/>
  <c r="M101" i="4"/>
  <c r="M427" i="4"/>
  <c r="M388" i="4"/>
  <c r="M344" i="4"/>
  <c r="M261" i="4"/>
  <c r="M184" i="4"/>
  <c r="M19" i="4"/>
  <c r="M183" i="4"/>
  <c r="M536" i="4"/>
  <c r="M504" i="4"/>
  <c r="M545" i="4"/>
  <c r="M178" i="4"/>
  <c r="M361" i="4"/>
  <c r="M176" i="4"/>
  <c r="M132" i="4"/>
  <c r="M414" i="4"/>
  <c r="M325" i="4"/>
  <c r="M268" i="4"/>
  <c r="M209" i="4"/>
  <c r="M425" i="4"/>
  <c r="M376" i="4"/>
  <c r="M342" i="4"/>
  <c r="M273" i="4"/>
  <c r="M214" i="4"/>
  <c r="M127" i="4"/>
  <c r="M94" i="4"/>
  <c r="M542" i="4"/>
  <c r="M510" i="4"/>
  <c r="M483" i="4"/>
  <c r="M525" i="4"/>
  <c r="M113" i="4"/>
  <c r="M391" i="4"/>
  <c r="M305" i="4"/>
  <c r="M248" i="4"/>
  <c r="M453" i="4"/>
  <c r="M415" i="4"/>
  <c r="M374" i="4"/>
  <c r="M340" i="4"/>
  <c r="M269" i="4"/>
  <c r="M210" i="4"/>
  <c r="M112" i="4"/>
  <c r="M23" i="4"/>
  <c r="M548" i="4"/>
  <c r="M516" i="4"/>
  <c r="M481" i="4"/>
  <c r="M521" i="4"/>
  <c r="M432" i="4"/>
  <c r="M381" i="4"/>
  <c r="M319" i="4"/>
  <c r="M254" i="4"/>
  <c r="M195" i="4"/>
  <c r="M133" i="4"/>
  <c r="M80" i="4"/>
  <c r="M326" i="4"/>
  <c r="M235" i="4"/>
  <c r="M405" i="4"/>
  <c r="M231" i="4"/>
  <c r="M95" i="4"/>
  <c r="M53" i="4"/>
  <c r="M29" i="4"/>
  <c r="M10" i="4"/>
  <c r="M467" i="4"/>
  <c r="M535" i="4"/>
  <c r="M503" i="4"/>
  <c r="M474" i="4"/>
  <c r="M424" i="4"/>
  <c r="M377" i="4"/>
  <c r="M315" i="4"/>
  <c r="M250" i="4"/>
  <c r="M177" i="4"/>
  <c r="M118" i="4"/>
  <c r="M48" i="4"/>
  <c r="M295" i="4"/>
  <c r="M115" i="4"/>
  <c r="M281" i="4"/>
  <c r="M170" i="4"/>
  <c r="M61" i="4"/>
  <c r="M14" i="4"/>
  <c r="M39" i="4"/>
  <c r="M509" i="4"/>
  <c r="M472" i="4"/>
  <c r="M420" i="4"/>
  <c r="M359" i="4"/>
  <c r="M296" i="4"/>
  <c r="M230" i="4"/>
  <c r="M157" i="4"/>
  <c r="M86" i="4"/>
  <c r="M336" i="4"/>
  <c r="M215" i="4"/>
  <c r="M352" i="4"/>
  <c r="M190" i="4"/>
  <c r="M79" i="4"/>
  <c r="M37" i="4"/>
  <c r="M65" i="4"/>
  <c r="M44" i="4"/>
  <c r="M547" i="4"/>
  <c r="M515" i="4"/>
  <c r="M478" i="4"/>
  <c r="M436" i="4"/>
  <c r="M367" i="4"/>
  <c r="M292" i="4"/>
  <c r="M226" i="4"/>
  <c r="M153" i="4"/>
  <c r="M84" i="4"/>
  <c r="M31" i="4"/>
  <c r="M275" i="4"/>
  <c r="M103" i="4"/>
  <c r="M271" i="4"/>
  <c r="M105" i="4"/>
  <c r="M57" i="4"/>
  <c r="M11" i="4"/>
  <c r="M28" i="4"/>
  <c r="M33" i="4"/>
</calcChain>
</file>

<file path=xl/sharedStrings.xml><?xml version="1.0" encoding="utf-8"?>
<sst xmlns="http://schemas.openxmlformats.org/spreadsheetml/2006/main" count="4747" uniqueCount="345">
  <si>
    <t>0. Instruções</t>
  </si>
  <si>
    <t>Projeto</t>
  </si>
  <si>
    <t xml:space="preserve">Testes GD &amp; Pilar 3 </t>
  </si>
  <si>
    <t>Âmbito</t>
  </si>
  <si>
    <t>Análise dos campo da Loan Tape Pilar III</t>
  </si>
  <si>
    <r>
      <t xml:space="preserve">Para a validação dos </t>
    </r>
    <r>
      <rPr>
        <b/>
        <sz val="11"/>
        <color theme="1"/>
        <rFont val="Neo sans"/>
      </rPr>
      <t>campos da Loan Tape Pilar III</t>
    </r>
    <r>
      <rPr>
        <sz val="11"/>
        <color theme="1"/>
        <rFont val="Neo sans"/>
      </rPr>
      <t xml:space="preserve"> é necessário percorrer os seguintes </t>
    </r>
    <r>
      <rPr>
        <i/>
        <sz val="11"/>
        <color theme="1"/>
        <rFont val="Neo sans"/>
      </rPr>
      <t>steps</t>
    </r>
    <r>
      <rPr>
        <sz val="11"/>
        <color theme="1"/>
        <rFont val="Neo sans"/>
      </rPr>
      <t>:</t>
    </r>
  </si>
  <si>
    <r>
      <t xml:space="preserve">1. Atualizar 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 com o campo em análise.</t>
    </r>
  </si>
  <si>
    <t xml:space="preserve">1.1.  Verificar a especificação do campo em análise. Se aplicável, verificar se é necessário reportar valor para ajustes. </t>
  </si>
  <si>
    <t>1.2.  Montar a simulação do campo tendo atenção aos seguintes pormenores:</t>
  </si>
  <si>
    <t xml:space="preserve">a) Não vamos fazer JOIN com a tabela de parametrização (LT803). Em alternativa, montamos um CASE WHEN ou importamos a parametrização. </t>
  </si>
  <si>
    <t>b) Para operações de ajustes verificar se o campo deve reportar valor.</t>
  </si>
  <si>
    <t>c) Se for necessário aplicar algum filtro (ou tratamento) que não está na especificação deixar um comentário no código.</t>
  </si>
  <si>
    <t>d) Garantir que não existem duplicados e deixar no código o número de registos de cada LEFT JOIN.</t>
  </si>
  <si>
    <t/>
  </si>
  <si>
    <r>
      <t xml:space="preserve">2. Executar no HUE (em HIVE) o CREATE TABLE do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simulação.</t>
    </r>
  </si>
  <si>
    <r>
      <t xml:space="preserve">3. Executar no HUE o </t>
    </r>
    <r>
      <rPr>
        <b/>
        <i/>
        <sz val="11"/>
        <color theme="1"/>
        <rFont val="Neo sans"/>
      </rPr>
      <t xml:space="preserve">script </t>
    </r>
    <r>
      <rPr>
        <b/>
        <sz val="11"/>
        <color theme="1"/>
        <rFont val="Neo sans"/>
      </rPr>
      <t>de controlo de universo.</t>
    </r>
  </si>
  <si>
    <t xml:space="preserve">a) O número de registos em comum tem de ser igual ao número de registos do teste de coerência. Caso tenhamos registos que não são comuns é necessário ver exemplos para ver o que está a acontecer. </t>
  </si>
  <si>
    <r>
      <t xml:space="preserve">4. Verificar com IT o nome da tabela a testar e filtros. Caso seja necessário, atualizar as tabelas </t>
    </r>
    <r>
      <rPr>
        <b/>
        <i/>
        <sz val="11"/>
        <color theme="1"/>
        <rFont val="Neo sans"/>
      </rPr>
      <t>infra</t>
    </r>
    <r>
      <rPr>
        <b/>
        <sz val="11"/>
        <color theme="1"/>
        <rFont val="Neo sans"/>
      </rPr>
      <t>:</t>
    </r>
  </si>
  <si>
    <t>Nome da Tabela</t>
  </si>
  <si>
    <t>Tabela Loan Tape Pilar 3</t>
  </si>
  <si>
    <t>Tabela Simulada</t>
  </si>
  <si>
    <t>Chave 1</t>
  </si>
  <si>
    <t>Chave 2</t>
  </si>
  <si>
    <t>Entity</t>
  </si>
  <si>
    <t>lt003_entity</t>
  </si>
  <si>
    <t>LT003_ENTTY_P3_NOV24</t>
  </si>
  <si>
    <t>entty_id</t>
  </si>
  <si>
    <t>Instrument</t>
  </si>
  <si>
    <t>lt002_instrument</t>
  </si>
  <si>
    <t>LT002_INSTRUMENT_P3_NOV24</t>
  </si>
  <si>
    <t>instrmnt_id</t>
  </si>
  <si>
    <t>Protection</t>
  </si>
  <si>
    <t>lt004_protection</t>
  </si>
  <si>
    <t>LT004_PROTECTION_P3_NOV24</t>
  </si>
  <si>
    <t>prtctn_id</t>
  </si>
  <si>
    <t>Instr_Ent</t>
  </si>
  <si>
    <t>lt005_instr_ent</t>
  </si>
  <si>
    <t>Instr_Prot</t>
  </si>
  <si>
    <t>lt006_instr_prot</t>
  </si>
  <si>
    <r>
      <t xml:space="preserve">Schema </t>
    </r>
    <r>
      <rPr>
        <sz val="11"/>
        <color theme="1"/>
        <rFont val="Neo sans"/>
      </rPr>
      <t>Loan Tape Pilar 3</t>
    </r>
  </si>
  <si>
    <t>bu_loantape_work</t>
  </si>
  <si>
    <r>
      <t xml:space="preserve">Schema </t>
    </r>
    <r>
      <rPr>
        <sz val="11"/>
        <color theme="1"/>
        <rFont val="Neo sans"/>
      </rPr>
      <t>Simulada</t>
    </r>
  </si>
  <si>
    <t>nome_perimetro</t>
  </si>
  <si>
    <t>Individual Corporativo</t>
  </si>
  <si>
    <t>segmento</t>
  </si>
  <si>
    <t>ESTR</t>
  </si>
  <si>
    <t>ambito (Pilar 3)</t>
  </si>
  <si>
    <t>PILAR3</t>
  </si>
  <si>
    <t>ambito (PM)</t>
  </si>
  <si>
    <t>PM</t>
  </si>
  <si>
    <t>entidade</t>
  </si>
  <si>
    <t>00100</t>
  </si>
  <si>
    <t>Filtro Loan Tape Pilar 3</t>
  </si>
  <si>
    <t>5. Executar no HUE a bateria de testes da sheet 2. Script para o campo em análise</t>
  </si>
  <si>
    <t>a) Analisar resultados. Caso no teste de coerência conste diferenças é necessário ver exemplos. Deixo abaixo uma query de exemplo:</t>
  </si>
  <si>
    <t>SELECT *</t>
  </si>
  <si>
    <t>FROM</t>
  </si>
  <si>
    <t xml:space="preserve">  (SELECT instrmnt_id,</t>
  </si>
  <si>
    <t xml:space="preserve">          LNS_CLLTRLZD_CLSSFCTN</t>
  </si>
  <si>
    <t xml:space="preserve">   FROM BU_LOANTAPE_WORK.LT002_INSTRUMENT</t>
  </si>
  <si>
    <t xml:space="preserve">   WHERE ref_date='${ref_date}'</t>
  </si>
  <si>
    <t xml:space="preserve">     AND nome_perimetro='Individual Corporativo'</t>
  </si>
  <si>
    <t xml:space="preserve">     AND segmento='ESTR'</t>
  </si>
  <si>
    <t xml:space="preserve">     AND ambito='PILAR3')X</t>
  </si>
  <si>
    <t>INNER JOIN</t>
  </si>
  <si>
    <t xml:space="preserve">  (SELECT instrmnt_id AS instrmnt_id_SIMUL,</t>
  </si>
  <si>
    <t xml:space="preserve">          LNS_CLLTRLZD_CLSSFCTN AS LNS_CLLTRLZD_CLSSFCTN_SIMUL</t>
  </si>
  <si>
    <t xml:space="preserve">   FROM BU_LOANTAPE_WORK.LT002_INSTRUMENT_P3_JUN24)Y ON X.INSTRMNT_ID=Y.INSTRMNT_ID_SIMUL</t>
  </si>
  <si>
    <t>WHERE COALESCE(CAST(X.LNS_CLLTRLZD_CLSSFCTN AS STRING),'')&lt;&gt;COALESCE(CAST(Y.LNS_CLLTRLZD_CLSSFCTN_SIMUL AS STRING),'')</t>
  </si>
  <si>
    <t>6. XXX</t>
  </si>
  <si>
    <t>7. XXX</t>
  </si>
  <si>
    <r>
      <t>1.</t>
    </r>
    <r>
      <rPr>
        <b/>
        <i/>
        <sz val="11"/>
        <color rgb="FFFF0000"/>
        <rFont val="Arial"/>
        <family val="2"/>
      </rPr>
      <t xml:space="preserve"> Status</t>
    </r>
    <r>
      <rPr>
        <b/>
        <sz val="11"/>
        <color rgb="FFFF0000"/>
        <rFont val="Arial"/>
        <family val="2"/>
      </rPr>
      <t xml:space="preserve"> dos Testes</t>
    </r>
  </si>
  <si>
    <t>REF_DATE</t>
  </si>
  <si>
    <t>Auxiliar</t>
  </si>
  <si>
    <t>Coerência</t>
  </si>
  <si>
    <t>Validade</t>
  </si>
  <si>
    <t>Caracteres Especiais</t>
  </si>
  <si>
    <t>Missings</t>
  </si>
  <si>
    <t>Not applicable</t>
  </si>
  <si>
    <t>Tabela</t>
  </si>
  <si>
    <t>Campo</t>
  </si>
  <si>
    <t>Testes Corridos (#)</t>
  </si>
  <si>
    <t>Número de Registos ID1. (#)</t>
  </si>
  <si>
    <t>ID Exec. 1.</t>
  </si>
  <si>
    <t>1. Erros de Coerência (#)</t>
  </si>
  <si>
    <t>Número de Registos ID2&amp;9 (#)</t>
  </si>
  <si>
    <t>ID Exec. 2</t>
  </si>
  <si>
    <t>2. Erros de Valores Admitidos (#)</t>
  </si>
  <si>
    <t>ID Exec. 3.</t>
  </si>
  <si>
    <t>3. Erros de Caract. Especiais (#)</t>
  </si>
  <si>
    <t>ID Exec. 4.</t>
  </si>
  <si>
    <t>4. Registos com Missing (#)</t>
  </si>
  <si>
    <t>ID Exec. 5.</t>
  </si>
  <si>
    <t>5. Registos com N/A (#)</t>
  </si>
  <si>
    <t>6. Valor Mínimo</t>
  </si>
  <si>
    <t>7. Valor Máximo</t>
  </si>
  <si>
    <t>Comentário</t>
  </si>
  <si>
    <t>Status</t>
  </si>
  <si>
    <t>ENTITY</t>
  </si>
  <si>
    <t>NACE_ESG</t>
  </si>
  <si>
    <t>TXNMY_ELGBL_CAPEX_CCM</t>
  </si>
  <si>
    <t>TXNMY_ELGBL_TRNVR_CCM</t>
  </si>
  <si>
    <t>29/11: Estes 2 casos é devido ao arredondamento a 6º casa decimal (7400296972 e 8007799082)</t>
  </si>
  <si>
    <t>OK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</si>
  <si>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</si>
  <si>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</si>
  <si>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</si>
  <si>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</si>
  <si>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</si>
  <si>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</si>
  <si>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</si>
  <si>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</si>
  <si>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</si>
  <si>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</si>
  <si>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</si>
  <si>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</si>
  <si>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</si>
  <si>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</si>
  <si>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</si>
  <si>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</si>
  <si>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</si>
  <si>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</si>
  <si>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</si>
  <si>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</si>
  <si>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08/11 - Os testes foram corridos para a data de referência 30/09/2024.</t>
  </si>
  <si>
    <t>ESG_SBSCTR</t>
  </si>
  <si>
    <t>TTL_LBLTY</t>
  </si>
  <si>
    <t>ISIN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</si>
  <si>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</si>
  <si>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</si>
  <si>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</si>
  <si>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</si>
  <si>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</si>
  <si>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</si>
  <si>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</si>
  <si>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</si>
  <si>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</si>
  <si>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</si>
  <si>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</si>
  <si>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</si>
  <si>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</si>
  <si>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</si>
  <si>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</si>
  <si>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</si>
  <si>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</si>
  <si>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INSTRUMENT</t>
  </si>
  <si>
    <t>RSK_MTGTD_CCT</t>
  </si>
  <si>
    <t>28/11 - Os testes foram corridos para a data de referência 30/09/2024.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</si>
  <si>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</si>
  <si>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</si>
  <si>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</si>
  <si>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</si>
  <si>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</si>
  <si>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</si>
  <si>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</si>
  <si>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</si>
  <si>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DT_RFRNC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</si>
  <si>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</si>
  <si>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</si>
  <si>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</si>
  <si>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</si>
  <si>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</si>
  <si>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</si>
  <si>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</si>
  <si>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</si>
  <si>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</si>
  <si>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</si>
  <si>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</si>
  <si>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</si>
  <si>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</si>
  <si>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</si>
  <si>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</si>
  <si>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</si>
  <si>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</si>
  <si>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</si>
  <si>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</si>
  <si>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</si>
  <si>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</si>
  <si>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</si>
  <si>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</si>
  <si>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</si>
  <si>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</si>
  <si>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</si>
  <si>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</si>
  <si>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</si>
  <si>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</si>
  <si>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</si>
  <si>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</si>
  <si>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</si>
  <si>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</si>
  <si>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</si>
  <si>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</si>
  <si>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</si>
  <si>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</si>
  <si>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</si>
  <si>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</si>
  <si>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r>
      <t xml:space="preserve">2. </t>
    </r>
    <r>
      <rPr>
        <b/>
        <i/>
        <sz val="11"/>
        <color rgb="FFFF0000"/>
        <rFont val="Arial"/>
        <family val="2"/>
      </rPr>
      <t>Script</t>
    </r>
    <r>
      <rPr>
        <b/>
        <sz val="11"/>
        <color rgb="FFFF0000"/>
        <rFont val="Arial"/>
        <family val="2"/>
      </rPr>
      <t xml:space="preserve"> de Controlos</t>
    </r>
  </si>
  <si>
    <t>TABELA</t>
  </si>
  <si>
    <t>TIPOLOGIA_TESTE</t>
  </si>
  <si>
    <t>TABELA_LT_PILAR3</t>
  </si>
  <si>
    <t>TABELA_SIMUL</t>
  </si>
  <si>
    <t>CAMPO</t>
  </si>
  <si>
    <t>FORMATO CAMPO</t>
  </si>
  <si>
    <t>VALORES CODE LIST</t>
  </si>
  <si>
    <t>UNIVERSO_PILAR3</t>
  </si>
  <si>
    <t>UNIVERSO_SIMUL</t>
  </si>
  <si>
    <t>CRUZAMENTO</t>
  </si>
  <si>
    <t>QUERY 1</t>
  </si>
  <si>
    <t>UNION ALL</t>
  </si>
  <si>
    <t>Code List</t>
  </si>
  <si>
    <t>FLOAT 6 decimal places</t>
  </si>
  <si>
    <t>Y, N</t>
  </si>
  <si>
    <t>VARCHAR2(255)</t>
  </si>
  <si>
    <t>FLOAT 2 decimal places</t>
  </si>
  <si>
    <t>VARCHAR(12)</t>
  </si>
  <si>
    <t>IN ('FMC1','FMC2','FMC3','FMC4','MISS')</t>
  </si>
  <si>
    <t>IN ('MISS')</t>
  </si>
  <si>
    <t>IN ('MISS','N/A')</t>
  </si>
  <si>
    <t>IN ('')</t>
  </si>
  <si>
    <t>IN('A','1','1.1','1.11','1.12','1.13','1.14','1.15','1.16','1.19','1.2','1.21','1.22','1.23','1.24','1.25','1.26','1.27','1.28','1.29','1.3','1.3','1.4','1.41','1.42','1.43','1.44','1.45','1.46','1.47','1.49','1.5','1.5','1.6','1.61','1.62','1.63','1.64','1.7','1.7','2','2.1','2.1','2.2','2.2','2.3','2.3','2.4','2.4','3','3.1','3.11','3.12','3.2','3.21','3.22','B','5','5.1','5.1','5.2','5.2','6','6.1','6.1','6.2','6.2','7','7.1','7.1','7.2','7.21','7.29','8','8.1','8.11','8.12','8.9','8.91','8.92','8.93','8.99','9','9.1','9.1','9.9','9.9','C','10','10.1','10.11','10.12','10.13','10.2','10.2','10.3','10.31','10.32','10.39','10.4','10.41','10.42','10.5','10.51','10.52','10.6','10.61','10.62','10.7','10.71','10.72','10.73','10.8','10.81','10.82','10.83','10.84','10.85','10.86','10.89','10.9','10.91','10.92','11','11','11.01','11.02','11.03','11.04','11.05','11.06','11.07','12','12','12','13','13.1','13.1','13.2','13.2','13.3','13.3','13.9','13.91','13.92','13.93','13.94','13.95','13.96','13.99','14','14.1','14.11','14.12','14.13','14.14','14.19','14.2','14.2','14.3','14.31','14.39','15','15.1','15.11','15.12','15.2','15.2','16','16.1','16.1','16.2','16.21','16.22','16.23','16.24','16.29','17','17.1','17.11','17.12','17.2','17.21','17.22','17.23','17.24','17.29','18','18.1','18.11','18.12','18.13','18.14','18.2','18.2','19','19.1','19.1','19.2','19.2','20','20.1','20.11','20.12','20.13','20.14','20.15','20.16','20.17','20.2','20.2','20.3','20.3','20.4','20.41','20.42','20.5','20.51','20.52','20.53','20.59','20.6','20.6','21','21.1','21.1','21.2','21.2','22','22.1','22.11','22.19','22.2','22.21','22.22','22.23','22.29','23','23.1','23.11','23.12','23.13','23.14','23.19','23.2','23.2','23.3','23.31','23.32','23.4','23.41','23.42','23.43','23.44','23.49','23.5','23.51','23.52','23.6','23.61','23.62','23.63','23.64','23.65','23.69','23.7','23.7','23.9','23.91','23.99','24','24.1','24.1','24.2','24.2','24.3','24.31','24.32','24.33','24.34','24.4','24.41','24.42','24.43','24.44','24.45','24.46','24.5','24.51','24.52','24.53','24.54','25','25.1','25.11','25.12','25.2','25.21','25.29','25.3','25.3','25.4','25.4','25.5','25.5','25.6','25.61','25.62','25.7','25.71','25.72','25.73','25.9','25.91','25.92','25.93','25.94','25.99','26','26.1','26.11','26.12','26.2','26.2','26.3','26.3','26.4','26.4','26.5','26.51','26.52','26.6','26.6','26.7','26.7','26.8','26.8','27','27.1','27.11','27.12','27.2','27.2','27.3','27.31','27.32','27.33','27.4','27.4','27.5','27.51','27.52','27.9','27.9','28','28.1','28.11','28.12','28.13','28.14','28.15','28.2','28.21','28.22','28.23','28.24','28.25','28.29','28.3','28.3','28.4','28.41','28.49','28.9','28.91','28.92','28.93','28.94','28.95','28.96','28.99','29','29.1','29.1','29.2','29.2','29.3','29.31','29.32','30','30.1','30.11','30.12','30.2','30.2','30.3','30.3','30.4','30.4','30.9','30.91','30.92','30.99','31','31','31.01','31.02','31.03','31.09','32','32.1','32.11','32.12','32.13','32.2','32.2','32.3','32.3','32.4','32.4','32.5','32.5','32.9','32.91','32.99','33','33.1','33.11','33.12','33.13','33.14','33.15','33.16','33.17','33.19','33.2','33.2','D','35','35.1','35.11','35.12','35.13','35.14','35.2','35.21','35.22','35.23','35.3','35.3','E','36','36','36','37','37','37','38','38.1','38.11','38.12','38.2','38.21','38.22','38.3','38.31','38.32','39','39','39','F','41','41.1','41.1','41.2','41.2','42','42.1','42.11','42.12','42.13','42.2','42.21','42.22','42.9','42.91','42.99','43','43.1','43.11','43.12','43.13','43.2','43.21','43.22','43.29','43.3','43.31','43.32','43.33','43.34','43.39','43.9','43.91','43.99','G','45','45.1','45.11','45.19','45.2','45.2','45.3','45.31','45.32','45.4','45.4','46','46.1','46.11','46.12','46.13','46.14','46.15','46.16','46.17','46.18','46.19','46.2','46.21','46.22','46.23','46.24','46.3','46.31','46.32','46.33','46.34','46.35','46.36','46.37','46.38','46.39','46.4','46.41','46.42','46.43','46.44','46.45','46.46','46.47','46.48','46.49','46.5','46.51','46.52','46.6','46.61','46.62','46.63','46.64','46.65','46.66','46.69','46.7','46.71','46.72','46.73','46.74','46.75','46.76','46.77','46.9','46.9','47','47.1','47.11','47.19','47.2','47.21','47.22','47.23','47.24','47.25','47.26','47.29','47.3','47.3','47.4','47.41','47.42','47.43','47.5','47.51','47.52','47.53','47.54','47.59','47.6','47.61','47.62','47.63','47.64','47.65','47.7','47.71','47.72','47.73','47.74','47.75','47.76','47.77','47.78','47.79','47.8','47.81','47.82','47.89','47.9','47.91','47.99','H','49','49.1','49.1','49.2','49.2','49.3','49.31','49.32','49.39','49.4','49.41','49.42','49.5','49.5','50','50.1','50.1','50.2','50.2','50.3','50.3','50.4','50.4','51','51.1','51.1','51.2','51.21','51.22','52','52.1','52.1','52.2','52.21','52.22','52.23','52.24','52.29','53','53.1','53.1','53.2','53.2','I','55','55.1','55.1','55.2','55.2','55.3','55.3','55.9','55.9','56','56.1','56.1','56.2','56.21','56.29','56.3','56.3','J','58','58.1','58.11','58.12','58.13','58.14','58.19','58.2','58.21','58.29','59','59.1','59.11','59.12','59.13','59.14','59.2','59.2','60','60.1','60.1','60.2','60.2','61','61.1','61.1','61.2','61.2','61.3','61.3','61.9','61.9','62','62','62.01','62.02','62.03','62.09','63','63.1','63.11','63.12','63.9','63.91','63.99','K','64','64.1','64.11','64.19','64.2','64.2','64.3','64.3','64.9','64.91','64.92','64.99','65','65.1','65.11','65.12','65.2','65.2','65.3','65.3','66','66.1','66.11','66.12','66.19','66.2','66.21','66.22','66.29','66.3','66.3','L','68','68.1','68.1','68.2','68.2','68.3','68.31','68.32','M','69','69.1','69.1','69.2','69.2','70','70.1','70.1','70.2','70.21','70.22','71','71.1','71.11','71.12','71.2','71.2','72','72.1','72.11','72.19','72.2','72.2','73','73.1','73.11','73.12','73.2','73.2','74','74.1','74.1','74.2','74.2','74.3','74.3','74.9','74.9','75','75','75','N','77','77.1','77.11','77.12','77.2','77.21','77.22','77.29','77.3','77.31','77.32','77.33','77.34','77.35','77.39','77.4','77.4','78','78.1','78.1','78.2','78.2','78.3','78.3','79','79.1','79.11','79.12','79.9','79.9','80','80.1','80.1','80.2','80.2','80.3','80.3','81','81.1','81.1','81.2','81.21','81.22','81.29','81.3','81.3','82','82.1','82.11','82.19','82.2','82.2','82.3','82.3','82.9','82.91','82.92','82.99','O','84','84.1','84.11','84.12','84.13','84.2','84.21','84.22','84.23','84.24','84.25','84.3','84.3','P','85','85.1','85.1','85.2','85.2','85.3','85.31','85.32','85.4','85.41','85.42','85.5','85.51','85.52','85.53','85.59','85.6','85.6','Q','86','86.1','86.1','86.2','86.21','86.22','86.23','86.9','86.9','87','87.1','87.1','87.2','87.2','87.3','87.3','87.9','87.9','88','88.1','88.1','88.9','88.91','88.99','R','90','90','90.01','90.02','90.03','90.04','91','91','91.01','91.02','91.03','91.04','92','92','92','93','93.1','93.11','93.12','93.13','93.19','93.2','93.21','93.29','S','94','94.1','94.11','94.12','94.2','94.2','94.9','94.91','94.92','94.99','95','95.1','95.11','95.12','95.2','95.21','95.22','95.23','95.24','95.25','95.29','96','96','96.01','96.02','96.03','96.04','96.09','T','97','97','97','98','98.1','98.1','98.2','98.2','U','99','99','99','MISS','N/A')</t>
  </si>
  <si>
    <t>IN ('ESGS1','ESGS2','ESGS3','ESGS4','ESGS5','MISS','N/A')</t>
  </si>
  <si>
    <t>IN ('EPSD1','EPSD2','MISS','N/A')</t>
  </si>
  <si>
    <t>IN ('EPSC1','EPSC2','EPSC3','EPSC4','EPSC5','EPSC6','EPSC7','MISS','N/A')</t>
  </si>
  <si>
    <t>IN ('EPCD1','EPCD2','MISS','N/A')</t>
  </si>
  <si>
    <t>IN ('EPCL1','EPCL2','EPCL3','EPCL4','EPCL5','EPCL6','EPCL7','EPCL8','MISS','N/A')</t>
  </si>
  <si>
    <t>IN ('PM04','PM06','PM10','MISS','N/A')</t>
  </si>
  <si>
    <t>Valores extremos</t>
  </si>
  <si>
    <t>3. Resultados dos controlos 1 a 5</t>
  </si>
  <si>
    <t>TABELA_LT</t>
  </si>
  <si>
    <t>NUM_REG</t>
  </si>
  <si>
    <t>NUM_REG_DIF</t>
  </si>
  <si>
    <t>ID_EXEC</t>
  </si>
  <si>
    <t>HTIMEST</t>
  </si>
  <si>
    <t>COERÊNCIA</t>
  </si>
  <si>
    <t>BU_LOANTAPE_WORK.LT003_ENTITY</t>
  </si>
  <si>
    <t>BU_LOANTAPE_WORK.LT003_ENTTY_P3_SET24</t>
  </si>
  <si>
    <t>2024-11-08 12:06:55.054517000</t>
  </si>
  <si>
    <t>VALIDADE</t>
  </si>
  <si>
    <t>N/A</t>
  </si>
  <si>
    <t>CARACTERES ESPECIAIS</t>
  </si>
  <si>
    <t>MISSINGS</t>
  </si>
  <si>
    <t>NOT APPLICABLE</t>
  </si>
  <si>
    <t>BU_LOANTAPE_WORK.LT002_INSTRUMENT</t>
  </si>
  <si>
    <t>BU_LOANTAPE_WORK.LT002_INSTRUMENT_P3_OUT24</t>
  </si>
  <si>
    <t>2024-11-28 10:10:05.682076000</t>
  </si>
  <si>
    <t>2024-11-28 12:34:29.503069000</t>
  </si>
  <si>
    <t>BU_LOANTAPE_WORK.LT004_PROTECTION</t>
  </si>
  <si>
    <t>BU_LOANTAPE_WORK.LT004_PROTECTION_P3_OUT24</t>
  </si>
  <si>
    <t>2024-12-04 18:14:01.919760000</t>
  </si>
  <si>
    <t>2024-12-06 11:22:30.690504000</t>
  </si>
  <si>
    <t>2024-12-06 11:31:26.038593000</t>
  </si>
  <si>
    <t>2024-12-09 09:45:44.761004000</t>
  </si>
  <si>
    <t>2024-12-09 15:14:18.214148000</t>
  </si>
  <si>
    <t>BU_LOANTAPE_WORK.LT003_ENTTY_P3_OUT24</t>
  </si>
  <si>
    <t>2024-12-09 23:51:42.406642000</t>
  </si>
  <si>
    <t>2024-12-10 12:03:41.044650000</t>
  </si>
  <si>
    <t>2024-12-10 12:15:23.230637000</t>
  </si>
  <si>
    <t>BU_LOANTAPE_WORK.LT004_PROTECTION_P3_NOV24</t>
  </si>
  <si>
    <t>1</t>
  </si>
  <si>
    <t>2024-12-16 12:13:45.170830000</t>
  </si>
  <si>
    <t>10</t>
  </si>
  <si>
    <t>BU_LOANTAPE_WORK.LT003_ENTTY_P3_NOV24</t>
  </si>
  <si>
    <t>2024-12-17 16:29:58.485657000</t>
  </si>
  <si>
    <t>2024-12-17 16:34:04.112836000</t>
  </si>
  <si>
    <t>2024-12-17 17:13:51.805284000</t>
  </si>
  <si>
    <t>2024-12-17 17:58:04.092104000</t>
  </si>
  <si>
    <t>2024-12-17 17:59:29.247394000</t>
  </si>
  <si>
    <t>2024-12-17 18:01:32.421308000</t>
  </si>
  <si>
    <t>2024-12-17 18:05:38.056646000</t>
  </si>
  <si>
    <t>2024-12-17 18:07:01.360840000</t>
  </si>
  <si>
    <t>2024-12-17 18:09:44.321334000</t>
  </si>
  <si>
    <t>2024-12-17 18:11:08.634298000</t>
  </si>
  <si>
    <t>2024-12-17 18:13:13.691416000</t>
  </si>
  <si>
    <t>2024-12-17 18:26:53.379463000</t>
  </si>
  <si>
    <t>2024-12-18 15:58:52.895772000</t>
  </si>
  <si>
    <t>2024-12-18 16:00:41.169582000</t>
  </si>
  <si>
    <t>2024-12-19 11:02:17.783041000</t>
  </si>
  <si>
    <t>3. Resultados dos controlos 6 a 7</t>
  </si>
  <si>
    <t>VALOR_MIN</t>
  </si>
  <si>
    <t>VALOR_MAX</t>
  </si>
  <si>
    <t>VALORES EXTREMOS</t>
  </si>
  <si>
    <t>RMCT1</t>
  </si>
  <si>
    <t>2024-11-28 12:36:13.068086000</t>
  </si>
  <si>
    <t>EPSD2</t>
  </si>
  <si>
    <t>2024-12-04 18:21:49.076902000</t>
  </si>
  <si>
    <t>N</t>
  </si>
  <si>
    <t>2024-12-06 11:40:17.561929000</t>
  </si>
  <si>
    <t>2024-12-06 11:36:58.605465000</t>
  </si>
  <si>
    <t>0000-000</t>
  </si>
  <si>
    <t>9980060</t>
  </si>
  <si>
    <t>2024-12-09 10:03:31.275413000</t>
  </si>
  <si>
    <t>EPSC1</t>
  </si>
  <si>
    <t>EPSC7</t>
  </si>
  <si>
    <t>2024-12-09 11:51:08.953874000</t>
  </si>
  <si>
    <t>PT</t>
  </si>
  <si>
    <t>2024-12-09 15:17:04.543028000</t>
  </si>
  <si>
    <t>0.000000</t>
  </si>
  <si>
    <t>100.000000</t>
  </si>
  <si>
    <t>2024-12-10 12:28:50.628521000</t>
  </si>
  <si>
    <t>78.600000</t>
  </si>
  <si>
    <t>78.400000</t>
  </si>
  <si>
    <t>2.100000</t>
  </si>
  <si>
    <t>14.325843</t>
  </si>
  <si>
    <t>96.000000</t>
  </si>
  <si>
    <t>63.500000</t>
  </si>
  <si>
    <t>5.590234</t>
  </si>
  <si>
    <t>45.652640</t>
  </si>
  <si>
    <t>49.000000</t>
  </si>
  <si>
    <t>Y</t>
  </si>
  <si>
    <t>ESGS1</t>
  </si>
  <si>
    <t>ESGS5</t>
  </si>
  <si>
    <t>0.00</t>
  </si>
  <si>
    <t>58991300000.00</t>
  </si>
  <si>
    <t>EPCD1</t>
  </si>
  <si>
    <t>2024-12-16 12:19:44.434335000</t>
  </si>
  <si>
    <t>1.11</t>
  </si>
  <si>
    <t>99</t>
  </si>
  <si>
    <t>2024-12-17 18:32:21.560413000</t>
  </si>
  <si>
    <t>1201982797479.100000</t>
  </si>
  <si>
    <t>570931230929.800000</t>
  </si>
  <si>
    <t>5468042287916.000000</t>
  </si>
  <si>
    <t>-515729.53</t>
  </si>
  <si>
    <t>17182632000.00</t>
  </si>
  <si>
    <t xml:space="preserve">            </t>
  </si>
  <si>
    <t>US3640971053</t>
  </si>
  <si>
    <t>4728128011416.631416</t>
  </si>
  <si>
    <t>2024-12-18 16:07:34.860116000</t>
  </si>
  <si>
    <t>592466719144.137762</t>
  </si>
  <si>
    <t>7378639208908.476160</t>
  </si>
  <si>
    <t>2024-12-19 11:04:22.911255000</t>
  </si>
  <si>
    <t>17188604000.00</t>
  </si>
  <si>
    <t>4. Incidências pendentes</t>
  </si>
  <si>
    <t>STATUS</t>
  </si>
  <si>
    <t>chave_bem</t>
  </si>
  <si>
    <t>SIMUL</t>
  </si>
  <si>
    <t>IT</t>
  </si>
  <si>
    <t>Aberto</t>
  </si>
  <si>
    <t>27/11: Na tabela BU_LOANTAPE_WORK.LT002_INSTRUMENT, o campo RSK_MTGTD_CCT deveria estar aprovisionado a 'RMCT1', no entanto, encontra-se a 'MISS'.</t>
  </si>
  <si>
    <t>31000000000000000162304880068510</t>
  </si>
  <si>
    <t>MISS</t>
  </si>
  <si>
    <t>27/11: Na tabela BU_LOANTAPE_WORK.LT002_INSTRUMENT, o campo SSTNBL_CTGRY_TXNMY deveria estar aprovisionado a vazio(''), no entanto, encontra-se a 'MISS'</t>
  </si>
  <si>
    <t>'</t>
  </si>
  <si>
    <t>03/12: Na tabela BU_LOANTAPE_WORK.LT004_PROTECTION, o campo EPC_LBL deveria estar aprovisionado a 'EPCL8', no entanto, encontra-se a 'MISS'</t>
  </si>
  <si>
    <t>I_0030_19055650000_000000000000000</t>
  </si>
  <si>
    <t>EPCL8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</si>
</sst>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Neo sans"/>
    </font>
    <font>
      <b/>
      <sz val="11"/>
      <color theme="1"/>
      <name val="Neo sans"/>
    </font>
    <font>
      <i/>
      <sz val="11"/>
      <color theme="1"/>
      <name val="Neo sans"/>
    </font>
    <font>
      <b/>
      <sz val="11"/>
      <color theme="0"/>
      <name val="Neo sans"/>
    </font>
    <font>
      <sz val="11"/>
      <color rgb="FF00610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rgb="FF006100"/>
      <name val="Aptos Narrow"/>
      <family val="2"/>
      <scheme val="minor"/>
    </font>
    <font>
      <b/>
      <i/>
      <sz val="11"/>
      <color rgb="FFFF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Neo sans"/>
    </font>
    <font>
      <sz val="11"/>
      <color theme="0" tint="-0.249977111117893"/>
      <name val="Arial"/>
      <family val="2"/>
    </font>
    <font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color rgb="FF6F6C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DD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FF0000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</borders>
  <cellStyleXfs count="2">
    <xf numFmtId="0" fontId="0" fillId="0" borderId="0"/>
    <xf numFmtId="0" fontId="9" fillId="5" borderId="0" applyNumberFormat="0" applyBorder="0" applyAlignment="0" applyProtection="0"/>
  </cellStyleXfs>
  <cellXfs count="96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2" xfId="0" applyFont="1" applyFill="1" applyBorder="1"/>
    <xf numFmtId="0" fontId="5" fillId="4" borderId="13" xfId="0" applyFont="1" applyFill="1" applyBorder="1"/>
    <xf numFmtId="0" fontId="5" fillId="3" borderId="5" xfId="0" applyFont="1" applyFill="1" applyBorder="1"/>
    <xf numFmtId="0" fontId="5" fillId="3" borderId="8" xfId="0" applyFont="1" applyFill="1" applyBorder="1"/>
    <xf numFmtId="0" fontId="5" fillId="3" borderId="11" xfId="0" applyFont="1" applyFill="1" applyBorder="1"/>
    <xf numFmtId="0" fontId="7" fillId="3" borderId="15" xfId="0" applyFont="1" applyFill="1" applyBorder="1"/>
    <xf numFmtId="0" fontId="5" fillId="4" borderId="16" xfId="0" applyFont="1" applyFill="1" applyBorder="1"/>
    <xf numFmtId="0" fontId="5" fillId="4" borderId="17" xfId="0" applyFont="1" applyFill="1" applyBorder="1"/>
    <xf numFmtId="0" fontId="7" fillId="3" borderId="8" xfId="0" applyFont="1" applyFill="1" applyBorder="1"/>
    <xf numFmtId="0" fontId="4" fillId="0" borderId="0" xfId="0" quotePrefix="1" applyFont="1"/>
    <xf numFmtId="0" fontId="4" fillId="3" borderId="18" xfId="0" applyFont="1" applyFill="1" applyBorder="1"/>
    <xf numFmtId="0" fontId="10" fillId="6" borderId="18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 vertical="center" wrapText="1"/>
    </xf>
    <xf numFmtId="0" fontId="11" fillId="0" borderId="0" xfId="0" applyFont="1"/>
    <xf numFmtId="0" fontId="3" fillId="3" borderId="18" xfId="0" applyFont="1" applyFill="1" applyBorder="1"/>
    <xf numFmtId="0" fontId="12" fillId="2" borderId="18" xfId="0" applyFont="1" applyFill="1" applyBorder="1" applyAlignment="1">
      <alignment horizontal="center" vertical="center" wrapText="1"/>
    </xf>
    <xf numFmtId="14" fontId="4" fillId="3" borderId="18" xfId="0" applyNumberFormat="1" applyFont="1" applyFill="1" applyBorder="1"/>
    <xf numFmtId="14" fontId="1" fillId="0" borderId="14" xfId="0" applyNumberFormat="1" applyFont="1" applyBorder="1"/>
    <xf numFmtId="0" fontId="10" fillId="7" borderId="21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0" fontId="13" fillId="5" borderId="18" xfId="1" applyFont="1" applyBorder="1" applyAlignment="1">
      <alignment horizontal="center" vertical="center"/>
    </xf>
    <xf numFmtId="0" fontId="2" fillId="0" borderId="22" xfId="0" applyFont="1" applyBorder="1"/>
    <xf numFmtId="0" fontId="1" fillId="0" borderId="22" xfId="0" applyFont="1" applyBorder="1"/>
    <xf numFmtId="0" fontId="1" fillId="4" borderId="0" xfId="0" applyFont="1" applyFill="1"/>
    <xf numFmtId="0" fontId="2" fillId="4" borderId="22" xfId="0" applyFont="1" applyFill="1" applyBorder="1"/>
    <xf numFmtId="0" fontId="1" fillId="4" borderId="22" xfId="0" applyFont="1" applyFill="1" applyBorder="1"/>
    <xf numFmtId="0" fontId="10" fillId="2" borderId="20" xfId="0" applyFont="1" applyFill="1" applyBorder="1"/>
    <xf numFmtId="0" fontId="4" fillId="0" borderId="20" xfId="0" applyFont="1" applyBorder="1"/>
    <xf numFmtId="0" fontId="4" fillId="0" borderId="20" xfId="0" quotePrefix="1" applyFont="1" applyBorder="1"/>
    <xf numFmtId="0" fontId="1" fillId="0" borderId="20" xfId="0" applyFont="1" applyBorder="1"/>
    <xf numFmtId="0" fontId="10" fillId="7" borderId="20" xfId="0" applyFont="1" applyFill="1" applyBorder="1"/>
    <xf numFmtId="0" fontId="1" fillId="0" borderId="0" xfId="0" quotePrefix="1" applyFont="1"/>
    <xf numFmtId="0" fontId="5" fillId="3" borderId="23" xfId="0" applyFont="1" applyFill="1" applyBorder="1" applyAlignment="1">
      <alignment horizontal="left" indent="1"/>
    </xf>
    <xf numFmtId="0" fontId="5" fillId="3" borderId="24" xfId="0" applyFont="1" applyFill="1" applyBorder="1"/>
    <xf numFmtId="0" fontId="5" fillId="3" borderId="25" xfId="0" applyFont="1" applyFill="1" applyBorder="1"/>
    <xf numFmtId="0" fontId="5" fillId="3" borderId="26" xfId="0" applyFont="1" applyFill="1" applyBorder="1" applyAlignment="1">
      <alignment horizontal="left" indent="2"/>
    </xf>
    <xf numFmtId="0" fontId="5" fillId="3" borderId="27" xfId="0" applyFont="1" applyFill="1" applyBorder="1"/>
    <xf numFmtId="0" fontId="5" fillId="3" borderId="26" xfId="0" applyFont="1" applyFill="1" applyBorder="1" applyAlignment="1">
      <alignment horizontal="left" indent="6"/>
    </xf>
    <xf numFmtId="0" fontId="5" fillId="3" borderId="26" xfId="0" applyFont="1" applyFill="1" applyBorder="1" applyAlignment="1">
      <alignment horizontal="left" indent="1"/>
    </xf>
    <xf numFmtId="0" fontId="5" fillId="3" borderId="0" xfId="0" quotePrefix="1" applyFont="1" applyFill="1"/>
    <xf numFmtId="0" fontId="5" fillId="3" borderId="28" xfId="0" applyFont="1" applyFill="1" applyBorder="1" applyAlignment="1">
      <alignment horizontal="left" indent="1"/>
    </xf>
    <xf numFmtId="0" fontId="5" fillId="3" borderId="29" xfId="0" applyFont="1" applyFill="1" applyBorder="1"/>
    <xf numFmtId="0" fontId="5" fillId="3" borderId="30" xfId="0" applyFont="1" applyFill="1" applyBorder="1"/>
    <xf numFmtId="0" fontId="5" fillId="4" borderId="4" xfId="0" applyFont="1" applyFill="1" applyBorder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6" fillId="8" borderId="1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1" xfId="0" applyFont="1" applyFill="1" applyBorder="1"/>
    <xf numFmtId="0" fontId="6" fillId="3" borderId="26" xfId="0" applyFont="1" applyFill="1" applyBorder="1" applyAlignment="1">
      <alignment horizontal="left" indent="1"/>
    </xf>
    <xf numFmtId="0" fontId="8" fillId="2" borderId="21" xfId="0" applyFont="1" applyFill="1" applyBorder="1"/>
    <xf numFmtId="0" fontId="8" fillId="2" borderId="19" xfId="0" applyFont="1" applyFill="1" applyBorder="1"/>
    <xf numFmtId="0" fontId="8" fillId="2" borderId="31" xfId="0" applyFont="1" applyFill="1" applyBorder="1"/>
    <xf numFmtId="0" fontId="17" fillId="0" borderId="0" xfId="0" applyFont="1"/>
    <xf numFmtId="0" fontId="18" fillId="0" borderId="0" xfId="0" applyFont="1"/>
    <xf numFmtId="0" fontId="2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4" fillId="2" borderId="20" xfId="0" applyFont="1" applyFill="1" applyBorder="1"/>
    <xf numFmtId="0" fontId="15" fillId="10" borderId="20" xfId="0" applyFont="1" applyFill="1" applyBorder="1"/>
    <xf numFmtId="0" fontId="3" fillId="3" borderId="3" xfId="0" applyFont="1" applyFill="1" applyBorder="1"/>
    <xf numFmtId="0" fontId="17" fillId="0" borderId="32" xfId="0" applyFont="1" applyBorder="1"/>
    <xf numFmtId="0" fontId="17" fillId="0" borderId="33" xfId="0" applyFont="1" applyBorder="1"/>
    <xf numFmtId="0" fontId="17" fillId="0" borderId="34" xfId="0" applyFont="1" applyBorder="1"/>
    <xf numFmtId="0" fontId="17" fillId="0" borderId="35" xfId="0" applyFont="1" applyBorder="1"/>
    <xf numFmtId="0" fontId="17" fillId="0" borderId="36" xfId="0" applyFont="1" applyBorder="1"/>
    <xf numFmtId="0" fontId="19" fillId="3" borderId="40" xfId="0" applyFont="1" applyFill="1" applyBorder="1" applyAlignment="1">
      <alignment horizontal="left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5" fillId="3" borderId="27" xfId="0" quotePrefix="1" applyFont="1" applyFill="1" applyBorder="1"/>
    <xf numFmtId="0" fontId="5" fillId="3" borderId="0" xfId="0" applyFont="1" applyFill="1" applyAlignment="1">
      <alignment horizontal="left" indent="7"/>
    </xf>
    <xf numFmtId="49" fontId="10" fillId="2" borderId="18" xfId="0" applyNumberFormat="1" applyFont="1" applyFill="1" applyBorder="1" applyAlignment="1">
      <alignment horizontal="center"/>
    </xf>
    <xf numFmtId="49" fontId="10" fillId="6" borderId="18" xfId="0" applyNumberFormat="1" applyFont="1" applyFill="1" applyBorder="1" applyAlignment="1">
      <alignment horizontal="center"/>
    </xf>
    <xf numFmtId="49" fontId="4" fillId="3" borderId="18" xfId="0" applyNumberFormat="1" applyFont="1" applyFill="1" applyBorder="1"/>
    <xf numFmtId="0" fontId="20" fillId="11" borderId="18" xfId="1" applyFont="1" applyFill="1" applyBorder="1" applyAlignment="1">
      <alignment horizontal="center" vertical="center"/>
    </xf>
    <xf numFmtId="0" fontId="20" fillId="11" borderId="18" xfId="1" applyFont="1" applyFill="1" applyBorder="1" applyAlignment="1">
      <alignment horizontal="left" vertical="center"/>
    </xf>
    <xf numFmtId="49" fontId="4" fillId="3" borderId="18" xfId="0" quotePrefix="1" applyNumberFormat="1" applyFont="1" applyFill="1" applyBorder="1"/>
    <xf numFmtId="0" fontId="3" fillId="3" borderId="18" xfId="0" applyFont="1" applyFill="1" applyBorder="1" applyAlignment="1">
      <alignment horizontal="left" vertical="center"/>
    </xf>
    <xf numFmtId="14" fontId="3" fillId="3" borderId="18" xfId="0" applyNumberFormat="1" applyFont="1" applyFill="1" applyBorder="1" applyAlignment="1">
      <alignment horizontal="left" vertical="center"/>
    </xf>
    <xf numFmtId="3" fontId="3" fillId="3" borderId="18" xfId="0" applyNumberFormat="1" applyFont="1" applyFill="1" applyBorder="1" applyAlignment="1">
      <alignment horizontal="center" vertical="center"/>
    </xf>
    <xf numFmtId="0" fontId="19" fillId="9" borderId="37" xfId="0" applyFont="1" applyFill="1" applyBorder="1" applyAlignment="1">
      <alignment horizontal="center" wrapText="1"/>
    </xf>
    <xf numFmtId="0" fontId="19" fillId="9" borderId="38" xfId="0" applyFont="1" applyFill="1" applyBorder="1" applyAlignment="1">
      <alignment horizontal="center" wrapText="1"/>
    </xf>
    <xf numFmtId="0" fontId="19" fillId="9" borderId="39" xfId="0" applyFont="1" applyFill="1" applyBorder="1" applyAlignment="1">
      <alignment horizontal="center" wrapText="1"/>
    </xf>
  </cellXfs>
  <cellStyles count="2">
    <cellStyle name="Good" xfId="1" builtinId="26"/>
    <cellStyle name="Normal" xfId="0" builtinId="0"/>
  </cellStyles>
  <dxfs count="9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644C00"/>
      <color rgb="FFFFDD71"/>
      <color rgb="FFFFFFDD"/>
      <color rgb="FFFFFFB7"/>
      <color rgb="FFFFFAEB"/>
      <color rgb="FFFDFDFD"/>
      <color rgb="FFFFF1C5"/>
      <color rgb="FFFFE593"/>
      <color rgb="FF777400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7"/>
  <sheetViews>
    <sheetView showGridLines="0" tabSelected="1" zoomScale="90" zoomScaleNormal="90" workbookViewId="0">
      <selection activeCell="A24" sqref="A24"/>
    </sheetView>
  </sheetViews>
  <sheetFormatPr defaultColWidth="0" defaultRowHeight="14.25" zeroHeight="1"/>
  <cols>
    <col min="1" max="2" width="3.5703125" style="7" customWidth="1"/>
    <col min="3" max="3" width="26.7109375" style="7" bestFit="1" customWidth="1"/>
    <col min="4" max="4" width="26.5703125" style="7" bestFit="1" customWidth="1"/>
    <col min="5" max="5" width="17.7109375" style="7" bestFit="1" customWidth="1"/>
    <col min="6" max="6" width="11.140625" style="7" bestFit="1" customWidth="1"/>
    <col min="7" max="7" width="9.140625" style="7" bestFit="1" customWidth="1"/>
    <col min="8" max="13" width="9.140625" style="7" customWidth="1"/>
    <col min="14" max="14" width="3.5703125" style="7" customWidth="1"/>
    <col min="15" max="15" width="9.140625" style="7" hidden="1" customWidth="1"/>
    <col min="16" max="32" width="0" style="7" hidden="1" customWidth="1"/>
    <col min="33" max="16384" width="9.140625" style="7" hidden="1"/>
  </cols>
  <sheetData>
    <row r="1" spans="1:30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/>
    <row r="6" spans="1:30" ht="15.75" thickBot="1">
      <c r="B6" s="35" t="s">
        <v>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30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30" ht="15">
      <c r="B8" s="59" t="s">
        <v>1</v>
      </c>
      <c r="C8" s="60"/>
      <c r="D8" s="62" t="s">
        <v>2</v>
      </c>
      <c r="E8" s="60"/>
      <c r="F8" s="60"/>
      <c r="G8" s="60"/>
      <c r="H8" s="60"/>
      <c r="I8" s="60"/>
      <c r="J8" s="60"/>
      <c r="K8" s="60"/>
      <c r="L8" s="60"/>
      <c r="M8" s="61"/>
    </row>
    <row r="9" spans="1:30" ht="15">
      <c r="B9" s="59" t="s">
        <v>3</v>
      </c>
      <c r="C9" s="60"/>
      <c r="D9" s="62" t="s">
        <v>4</v>
      </c>
      <c r="E9" s="60"/>
      <c r="F9" s="60"/>
      <c r="G9" s="60"/>
      <c r="H9" s="60"/>
      <c r="I9" s="60"/>
      <c r="J9" s="60"/>
      <c r="K9" s="60"/>
      <c r="L9" s="60"/>
      <c r="M9" s="61"/>
    </row>
    <row r="10" spans="1:30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30" ht="15">
      <c r="B11" s="57" t="s">
        <v>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30" ht="3" customHeight="1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30" ht="3" customHeight="1"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8"/>
    </row>
    <row r="14" spans="1:30" ht="15">
      <c r="B14" s="63" t="s">
        <v>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50"/>
    </row>
    <row r="15" spans="1:30">
      <c r="B15" s="49" t="s">
        <v>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50"/>
    </row>
    <row r="16" spans="1:30">
      <c r="B16" s="49" t="s">
        <v>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50"/>
    </row>
    <row r="17" spans="2:13">
      <c r="B17" s="51" t="s">
        <v>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50"/>
    </row>
    <row r="18" spans="2:13">
      <c r="B18" s="51" t="s">
        <v>10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50"/>
    </row>
    <row r="19" spans="2:13">
      <c r="B19" s="51" t="s">
        <v>11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50"/>
    </row>
    <row r="20" spans="2:13">
      <c r="B20" s="51" t="s">
        <v>12</v>
      </c>
      <c r="C20" s="6"/>
      <c r="D20" s="6"/>
      <c r="E20" s="6"/>
      <c r="F20" s="6"/>
      <c r="G20" s="6"/>
      <c r="H20" s="6"/>
      <c r="I20" s="6"/>
      <c r="J20" s="53" t="s">
        <v>13</v>
      </c>
      <c r="K20" s="6"/>
      <c r="L20" s="6"/>
      <c r="M20" s="50"/>
    </row>
    <row r="21" spans="2:13" ht="15">
      <c r="B21" s="63" t="s">
        <v>14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50"/>
    </row>
    <row r="22" spans="2:13" ht="15">
      <c r="B22" s="63" t="s">
        <v>15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50"/>
    </row>
    <row r="23" spans="2:13">
      <c r="B23" s="51" t="s">
        <v>16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82" t="s">
        <v>13</v>
      </c>
    </row>
    <row r="24" spans="2:13" ht="15">
      <c r="B24" s="63" t="s">
        <v>17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50"/>
    </row>
    <row r="25" spans="2:13" ht="3" customHeight="1">
      <c r="B25" s="52"/>
      <c r="C25" s="6"/>
      <c r="D25" s="6"/>
      <c r="E25" s="6"/>
      <c r="F25" s="6"/>
      <c r="G25" s="6"/>
      <c r="H25" s="6"/>
      <c r="I25" s="6"/>
      <c r="J25" s="6"/>
      <c r="K25" s="6"/>
      <c r="L25" s="6"/>
      <c r="M25" s="50"/>
    </row>
    <row r="26" spans="2:13" ht="15">
      <c r="B26" s="52"/>
      <c r="C26" s="64" t="s">
        <v>18</v>
      </c>
      <c r="D26" s="65" t="s">
        <v>19</v>
      </c>
      <c r="E26" s="65" t="s">
        <v>20</v>
      </c>
      <c r="F26" s="65" t="s">
        <v>21</v>
      </c>
      <c r="G26" s="66" t="s">
        <v>22</v>
      </c>
      <c r="H26" s="6"/>
      <c r="I26" s="6"/>
      <c r="J26" s="6"/>
      <c r="K26" s="6"/>
      <c r="L26" s="6"/>
      <c r="M26" s="50"/>
    </row>
    <row r="27" spans="2:13">
      <c r="B27" s="52"/>
      <c r="C27" s="16" t="s">
        <v>23</v>
      </c>
      <c r="D27" s="10" t="s">
        <v>24</v>
      </c>
      <c r="E27" s="10" t="s">
        <v>25</v>
      </c>
      <c r="F27" s="10" t="s">
        <v>26</v>
      </c>
      <c r="G27" s="11"/>
      <c r="H27" s="6"/>
      <c r="I27" s="6"/>
      <c r="J27" s="6"/>
      <c r="K27" s="6"/>
      <c r="L27" s="6"/>
      <c r="M27" s="50"/>
    </row>
    <row r="28" spans="2:13">
      <c r="B28" s="52"/>
      <c r="C28" s="16" t="s">
        <v>27</v>
      </c>
      <c r="D28" s="10" t="s">
        <v>28</v>
      </c>
      <c r="E28" s="10" t="s">
        <v>29</v>
      </c>
      <c r="F28" s="10" t="s">
        <v>30</v>
      </c>
      <c r="G28" s="11"/>
      <c r="H28" s="6"/>
      <c r="I28" s="6"/>
      <c r="J28" s="6"/>
      <c r="K28" s="6"/>
      <c r="L28" s="6"/>
      <c r="M28" s="50"/>
    </row>
    <row r="29" spans="2:13">
      <c r="B29" s="52"/>
      <c r="C29" s="16" t="s">
        <v>31</v>
      </c>
      <c r="D29" s="10" t="s">
        <v>32</v>
      </c>
      <c r="E29" s="10" t="s">
        <v>33</v>
      </c>
      <c r="F29" s="10" t="s">
        <v>34</v>
      </c>
      <c r="G29" s="11"/>
      <c r="H29" s="6"/>
      <c r="I29" s="6"/>
      <c r="J29" s="6"/>
      <c r="K29" s="6"/>
      <c r="L29" s="6"/>
      <c r="M29" s="50"/>
    </row>
    <row r="30" spans="2:13">
      <c r="B30" s="52"/>
      <c r="C30" s="17" t="s">
        <v>35</v>
      </c>
      <c r="D30" s="12" t="s">
        <v>36</v>
      </c>
      <c r="E30" s="12"/>
      <c r="F30" s="12" t="s">
        <v>30</v>
      </c>
      <c r="G30" s="13" t="s">
        <v>26</v>
      </c>
      <c r="H30" s="6"/>
      <c r="I30" s="6"/>
      <c r="J30" s="6"/>
      <c r="K30" s="6"/>
      <c r="L30" s="6"/>
      <c r="M30" s="50"/>
    </row>
    <row r="31" spans="2:13">
      <c r="B31" s="52"/>
      <c r="C31" s="18" t="s">
        <v>37</v>
      </c>
      <c r="D31" s="14" t="s">
        <v>38</v>
      </c>
      <c r="E31" s="14"/>
      <c r="F31" s="14" t="s">
        <v>30</v>
      </c>
      <c r="G31" s="15" t="s">
        <v>34</v>
      </c>
      <c r="H31" s="6"/>
      <c r="I31" s="6"/>
      <c r="J31" s="6"/>
      <c r="K31" s="6"/>
      <c r="L31" s="6"/>
      <c r="M31" s="50"/>
    </row>
    <row r="32" spans="2:13" ht="3" customHeight="1">
      <c r="B32" s="52"/>
      <c r="C32" s="6"/>
      <c r="D32" s="6"/>
      <c r="E32" s="6"/>
      <c r="F32" s="6"/>
      <c r="G32" s="6"/>
      <c r="H32" s="6"/>
      <c r="I32" s="6"/>
      <c r="J32" s="6"/>
      <c r="K32" s="6"/>
      <c r="L32" s="6"/>
      <c r="M32" s="50"/>
    </row>
    <row r="33" spans="2:13">
      <c r="B33" s="52"/>
      <c r="C33" s="19" t="s">
        <v>39</v>
      </c>
      <c r="D33" s="20" t="s">
        <v>40</v>
      </c>
      <c r="E33" s="20"/>
      <c r="F33" s="20"/>
      <c r="G33" s="21"/>
      <c r="H33" s="6"/>
      <c r="I33" s="6"/>
      <c r="J33" s="6"/>
      <c r="K33" s="6"/>
      <c r="L33" s="6"/>
      <c r="M33" s="50"/>
    </row>
    <row r="34" spans="2:13">
      <c r="B34" s="52"/>
      <c r="C34" s="22" t="s">
        <v>41</v>
      </c>
      <c r="D34" s="12" t="s">
        <v>40</v>
      </c>
      <c r="E34" s="12"/>
      <c r="F34" s="12"/>
      <c r="G34" s="13"/>
      <c r="H34" s="6"/>
      <c r="I34" s="6"/>
      <c r="J34" s="6"/>
      <c r="K34" s="6"/>
      <c r="L34" s="6"/>
      <c r="M34" s="50"/>
    </row>
    <row r="35" spans="2:13">
      <c r="B35" s="52"/>
      <c r="C35" s="17" t="s">
        <v>42</v>
      </c>
      <c r="D35" s="12" t="s">
        <v>43</v>
      </c>
      <c r="E35" s="12"/>
      <c r="F35" s="12"/>
      <c r="G35" s="13"/>
      <c r="H35" s="6"/>
      <c r="I35" s="6"/>
      <c r="J35" s="6"/>
      <c r="K35" s="6"/>
      <c r="L35" s="6"/>
      <c r="M35" s="50"/>
    </row>
    <row r="36" spans="2:13">
      <c r="B36" s="52"/>
      <c r="C36" s="17" t="s">
        <v>44</v>
      </c>
      <c r="D36" s="12" t="s">
        <v>45</v>
      </c>
      <c r="E36" s="12"/>
      <c r="F36" s="12"/>
      <c r="G36" s="13"/>
      <c r="H36" s="6"/>
      <c r="I36" s="6"/>
      <c r="J36" s="6"/>
      <c r="K36" s="6"/>
      <c r="L36" s="6"/>
      <c r="M36" s="50"/>
    </row>
    <row r="37" spans="2:13">
      <c r="B37" s="52"/>
      <c r="C37" s="17" t="s">
        <v>46</v>
      </c>
      <c r="D37" s="12" t="s">
        <v>47</v>
      </c>
      <c r="E37" s="12"/>
      <c r="F37" s="12"/>
      <c r="G37" s="13"/>
      <c r="H37" s="6"/>
      <c r="I37" s="6"/>
      <c r="J37" s="6"/>
      <c r="K37" s="6"/>
      <c r="L37" s="6"/>
      <c r="M37" s="50"/>
    </row>
    <row r="38" spans="2:13">
      <c r="B38" s="52"/>
      <c r="C38" s="17" t="s">
        <v>48</v>
      </c>
      <c r="D38" s="12" t="s">
        <v>49</v>
      </c>
      <c r="E38" s="12"/>
      <c r="F38" s="12"/>
      <c r="G38" s="13"/>
      <c r="H38" s="6"/>
      <c r="I38" s="6"/>
      <c r="J38" s="6"/>
      <c r="K38" s="6"/>
      <c r="L38" s="6"/>
      <c r="M38" s="50"/>
    </row>
    <row r="39" spans="2:13">
      <c r="B39" s="52"/>
      <c r="C39" s="17" t="s">
        <v>50</v>
      </c>
      <c r="D39" s="12" t="s">
        <v>51</v>
      </c>
      <c r="E39" s="12"/>
      <c r="F39" s="12"/>
      <c r="G39" s="13"/>
      <c r="H39" s="6"/>
      <c r="I39" s="6"/>
      <c r="J39" s="6"/>
      <c r="K39" s="6"/>
      <c r="L39" s="6"/>
      <c r="M39" s="50"/>
    </row>
    <row r="40" spans="2:13">
      <c r="B40" s="52"/>
      <c r="C40" s="18" t="s">
        <v>52</v>
      </c>
      <c r="D40" s="14" t="str">
        <f>+"ref_date='${ref_date}'"&amp;" AND "&amp;C35&amp;"='"&amp;D35&amp;"' AND "&amp;C36&amp;"='"&amp;D36&amp;"' AND ambito='"&amp;D37&amp;"'"</f>
        <v>ref_date='${ref_date}' AND nome_perimetro='Individual Corporativo' AND segmento='ESTR' AND ambito='PILAR3'</v>
      </c>
      <c r="E40" s="14"/>
      <c r="F40" s="14"/>
      <c r="G40" s="15"/>
      <c r="H40" s="53" t="s">
        <v>13</v>
      </c>
      <c r="I40" s="6"/>
      <c r="J40" s="6"/>
      <c r="K40" s="6"/>
      <c r="L40" s="6"/>
      <c r="M40" s="50"/>
    </row>
    <row r="41" spans="2:13" ht="3" customHeight="1">
      <c r="B41" s="52"/>
      <c r="C41" s="6"/>
      <c r="D41" s="6"/>
      <c r="E41" s="6"/>
      <c r="F41" s="6"/>
      <c r="G41" s="6"/>
      <c r="H41" s="6"/>
      <c r="I41" s="6"/>
      <c r="J41" s="6"/>
      <c r="K41" s="6"/>
      <c r="L41" s="6"/>
      <c r="M41" s="50"/>
    </row>
    <row r="42" spans="2:13" ht="14.25" customHeight="1">
      <c r="B42" s="63" t="s">
        <v>53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50"/>
    </row>
    <row r="43" spans="2:13" ht="14.25" customHeight="1">
      <c r="B43" s="51" t="s">
        <v>54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50"/>
    </row>
    <row r="44" spans="2:13" ht="3" customHeight="1">
      <c r="B44" s="51"/>
      <c r="C44" s="6"/>
      <c r="D44" s="6"/>
      <c r="E44" s="6"/>
      <c r="F44" s="6"/>
      <c r="G44" s="6"/>
      <c r="H44" s="6"/>
      <c r="I44" s="6"/>
      <c r="J44" s="6"/>
      <c r="K44" s="6"/>
      <c r="L44" s="6"/>
      <c r="M44" s="50"/>
    </row>
    <row r="45" spans="2:13" ht="14.25" customHeight="1">
      <c r="B45" s="51"/>
      <c r="C45" s="83" t="s">
        <v>55</v>
      </c>
      <c r="D45" s="6"/>
      <c r="E45" s="6"/>
      <c r="F45" s="6"/>
      <c r="G45" s="6"/>
      <c r="H45" s="6"/>
      <c r="I45" s="6"/>
      <c r="J45" s="6"/>
      <c r="K45" s="6"/>
      <c r="L45" s="6"/>
      <c r="M45" s="50"/>
    </row>
    <row r="46" spans="2:13" ht="14.25" customHeight="1">
      <c r="B46" s="51"/>
      <c r="C46" s="83" t="s">
        <v>56</v>
      </c>
      <c r="D46" s="6"/>
      <c r="E46" s="6"/>
      <c r="F46" s="6"/>
      <c r="G46" s="6"/>
      <c r="H46" s="6"/>
      <c r="I46" s="6"/>
      <c r="J46" s="6"/>
      <c r="K46" s="6"/>
      <c r="L46" s="6"/>
      <c r="M46" s="50"/>
    </row>
    <row r="47" spans="2:13" ht="14.25" customHeight="1">
      <c r="B47" s="51"/>
      <c r="C47" s="83" t="s">
        <v>57</v>
      </c>
      <c r="D47" s="6"/>
      <c r="E47" s="6"/>
      <c r="F47" s="6"/>
      <c r="G47" s="6"/>
      <c r="H47" s="6"/>
      <c r="I47" s="6"/>
      <c r="J47" s="6"/>
      <c r="K47" s="6"/>
      <c r="L47" s="6"/>
      <c r="M47" s="50"/>
    </row>
    <row r="48" spans="2:13" ht="14.25" customHeight="1">
      <c r="B48" s="51"/>
      <c r="C48" s="83" t="s">
        <v>58</v>
      </c>
      <c r="D48" s="6"/>
      <c r="E48" s="6"/>
      <c r="F48" s="6"/>
      <c r="G48" s="6"/>
      <c r="H48" s="6"/>
      <c r="I48" s="6"/>
      <c r="J48" s="6"/>
      <c r="K48" s="6"/>
      <c r="L48" s="6"/>
      <c r="M48" s="50"/>
    </row>
    <row r="49" spans="2:13" ht="14.25" customHeight="1">
      <c r="B49" s="51"/>
      <c r="C49" s="83" t="s">
        <v>59</v>
      </c>
      <c r="D49" s="6"/>
      <c r="E49" s="6"/>
      <c r="F49" s="6"/>
      <c r="G49" s="6"/>
      <c r="H49" s="6"/>
      <c r="I49" s="6"/>
      <c r="J49" s="6"/>
      <c r="K49" s="6"/>
      <c r="L49" s="6"/>
      <c r="M49" s="50"/>
    </row>
    <row r="50" spans="2:13" ht="14.25" customHeight="1">
      <c r="B50" s="51"/>
      <c r="C50" s="83" t="s">
        <v>60</v>
      </c>
      <c r="D50" s="6"/>
      <c r="E50" s="6"/>
      <c r="F50" s="6"/>
      <c r="G50" s="6"/>
      <c r="H50" s="6"/>
      <c r="I50" s="6"/>
      <c r="J50" s="6"/>
      <c r="K50" s="6"/>
      <c r="L50" s="6"/>
      <c r="M50" s="50"/>
    </row>
    <row r="51" spans="2:13" ht="14.25" customHeight="1">
      <c r="B51" s="51"/>
      <c r="C51" s="83" t="s">
        <v>61</v>
      </c>
      <c r="D51" s="6"/>
      <c r="E51" s="6"/>
      <c r="F51" s="6"/>
      <c r="G51" s="6"/>
      <c r="H51" s="6"/>
      <c r="I51" s="6"/>
      <c r="J51" s="6"/>
      <c r="K51" s="6"/>
      <c r="L51" s="6"/>
      <c r="M51" s="50"/>
    </row>
    <row r="52" spans="2:13" ht="14.25" customHeight="1">
      <c r="B52" s="51"/>
      <c r="C52" s="83" t="s">
        <v>62</v>
      </c>
      <c r="D52" s="6"/>
      <c r="E52" s="6"/>
      <c r="F52" s="6"/>
      <c r="G52" s="6"/>
      <c r="H52" s="6"/>
      <c r="I52" s="6"/>
      <c r="J52" s="6"/>
      <c r="K52" s="6"/>
      <c r="L52" s="6"/>
      <c r="M52" s="50"/>
    </row>
    <row r="53" spans="2:13" ht="14.25" customHeight="1">
      <c r="B53" s="51"/>
      <c r="C53" s="83" t="s">
        <v>63</v>
      </c>
      <c r="D53" s="6"/>
      <c r="E53" s="6"/>
      <c r="F53" s="6"/>
      <c r="G53" s="6"/>
      <c r="H53" s="6"/>
      <c r="I53" s="6"/>
      <c r="J53" s="6"/>
      <c r="K53" s="6"/>
      <c r="L53" s="6"/>
      <c r="M53" s="50"/>
    </row>
    <row r="54" spans="2:13" ht="14.25" customHeight="1">
      <c r="B54" s="51"/>
      <c r="C54" s="83" t="s">
        <v>64</v>
      </c>
      <c r="D54" s="6"/>
      <c r="E54" s="6"/>
      <c r="F54" s="6"/>
      <c r="G54" s="6"/>
      <c r="H54" s="6"/>
      <c r="I54" s="6"/>
      <c r="J54" s="6"/>
      <c r="K54" s="6"/>
      <c r="L54" s="6"/>
      <c r="M54" s="50"/>
    </row>
    <row r="55" spans="2:13" ht="14.25" customHeight="1">
      <c r="B55" s="51"/>
      <c r="C55" s="83" t="s">
        <v>65</v>
      </c>
      <c r="D55" s="6"/>
      <c r="E55" s="6"/>
      <c r="F55" s="6"/>
      <c r="G55" s="6"/>
      <c r="H55" s="6"/>
      <c r="I55" s="6"/>
      <c r="J55" s="6"/>
      <c r="K55" s="6"/>
      <c r="L55" s="6"/>
      <c r="M55" s="50"/>
    </row>
    <row r="56" spans="2:13" ht="14.25" customHeight="1">
      <c r="B56" s="51"/>
      <c r="C56" s="83" t="s">
        <v>66</v>
      </c>
      <c r="D56" s="6"/>
      <c r="E56" s="6"/>
      <c r="F56" s="6"/>
      <c r="G56" s="6"/>
      <c r="H56" s="6"/>
      <c r="I56" s="6"/>
      <c r="J56" s="6"/>
      <c r="K56" s="6"/>
      <c r="L56" s="6"/>
      <c r="M56" s="50"/>
    </row>
    <row r="57" spans="2:13" ht="14.25" customHeight="1">
      <c r="B57" s="51"/>
      <c r="C57" s="83" t="s">
        <v>67</v>
      </c>
      <c r="D57" s="6"/>
      <c r="E57" s="6"/>
      <c r="F57" s="6"/>
      <c r="G57" s="6"/>
      <c r="H57" s="6"/>
      <c r="I57" s="6"/>
      <c r="J57" s="6"/>
      <c r="K57" s="6"/>
      <c r="L57" s="6"/>
      <c r="M57" s="50"/>
    </row>
    <row r="58" spans="2:13" ht="14.25" customHeight="1">
      <c r="B58" s="51"/>
      <c r="C58" s="83" t="s">
        <v>68</v>
      </c>
      <c r="D58" s="6"/>
      <c r="E58" s="6"/>
      <c r="F58" s="6"/>
      <c r="G58" s="6"/>
      <c r="H58" s="6"/>
      <c r="I58" s="6"/>
      <c r="J58" s="6"/>
      <c r="K58" s="6"/>
      <c r="L58" s="6"/>
      <c r="M58" s="50"/>
    </row>
    <row r="59" spans="2:13" ht="14.25" customHeight="1">
      <c r="B59" s="51"/>
      <c r="C59" s="6"/>
      <c r="D59" s="6"/>
      <c r="E59" s="6"/>
      <c r="F59" s="6"/>
      <c r="G59" s="6"/>
      <c r="H59" s="6"/>
      <c r="I59" s="6"/>
      <c r="J59" s="6"/>
      <c r="K59" s="6"/>
      <c r="L59" s="6"/>
      <c r="M59" s="50"/>
    </row>
    <row r="60" spans="2:13" ht="14.25" customHeight="1">
      <c r="B60" s="51"/>
      <c r="C60" s="6"/>
      <c r="D60" s="6"/>
      <c r="E60" s="6"/>
      <c r="F60" s="6"/>
      <c r="G60" s="6"/>
      <c r="H60" s="6"/>
      <c r="I60" s="6"/>
      <c r="J60" s="6"/>
      <c r="K60" s="6"/>
      <c r="L60" s="6"/>
      <c r="M60" s="50"/>
    </row>
    <row r="61" spans="2:13" ht="14.25" customHeight="1">
      <c r="B61" s="51"/>
      <c r="C61" s="6"/>
      <c r="D61" s="6"/>
      <c r="E61" s="6"/>
      <c r="F61" s="6"/>
      <c r="G61" s="6"/>
      <c r="H61" s="6"/>
      <c r="I61" s="6"/>
      <c r="J61" s="6"/>
      <c r="K61" s="6"/>
      <c r="L61" s="6"/>
      <c r="M61" s="50"/>
    </row>
    <row r="62" spans="2:13" ht="14.25" customHeight="1">
      <c r="B62" s="51"/>
      <c r="C62" s="6"/>
      <c r="D62" s="6"/>
      <c r="E62" s="6"/>
      <c r="F62" s="6"/>
      <c r="G62" s="6"/>
      <c r="H62" s="6"/>
      <c r="I62" s="6"/>
      <c r="J62" s="6"/>
      <c r="K62" s="6"/>
      <c r="L62" s="6"/>
      <c r="M62" s="50"/>
    </row>
    <row r="63" spans="2:13" ht="14.25" customHeight="1">
      <c r="B63" s="51"/>
      <c r="C63" s="6"/>
      <c r="D63" s="6"/>
      <c r="E63" s="6"/>
      <c r="F63" s="6"/>
      <c r="G63" s="6"/>
      <c r="H63" s="6"/>
      <c r="I63" s="6"/>
      <c r="J63" s="6"/>
      <c r="K63" s="6"/>
      <c r="L63" s="6"/>
      <c r="M63" s="50"/>
    </row>
    <row r="64" spans="2:13" ht="14.25" customHeight="1">
      <c r="B64" s="51"/>
      <c r="C64" s="6"/>
      <c r="D64" s="6"/>
      <c r="E64" s="6"/>
      <c r="F64" s="6"/>
      <c r="G64" s="6"/>
      <c r="H64" s="6"/>
      <c r="I64" s="6"/>
      <c r="J64" s="6"/>
      <c r="K64" s="6"/>
      <c r="L64" s="6"/>
      <c r="M64" s="50"/>
    </row>
    <row r="65" spans="2:13" ht="14.25" customHeight="1">
      <c r="B65" s="51"/>
      <c r="C65" s="6"/>
      <c r="D65" s="6"/>
      <c r="E65" s="6"/>
      <c r="F65" s="6"/>
      <c r="G65" s="6"/>
      <c r="H65" s="6"/>
      <c r="I65" s="6"/>
      <c r="J65" s="6"/>
      <c r="K65" s="6"/>
      <c r="L65" s="6"/>
      <c r="M65" s="50"/>
    </row>
    <row r="66" spans="2:13" ht="14.25" customHeight="1">
      <c r="B66" s="63" t="s">
        <v>69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50"/>
    </row>
    <row r="67" spans="2:13" ht="14.25" customHeight="1">
      <c r="B67" s="63" t="s">
        <v>70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50"/>
    </row>
    <row r="68" spans="2:13" ht="3" customHeight="1">
      <c r="B68" s="54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6"/>
    </row>
    <row r="69" spans="2:13">
      <c r="B69" s="5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2:13" hidden="1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2:13" hidden="1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2:13" hidden="1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2:13" hidden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2:13" hidden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2:13" hidden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2:13" hidden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2:13" hidden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8"/>
  <sheetViews>
    <sheetView showGridLines="0" zoomScale="85" zoomScaleNormal="85" workbookViewId="0"/>
  </sheetViews>
  <sheetFormatPr defaultColWidth="0" defaultRowHeight="14.25" zeroHeight="1"/>
  <cols>
    <col min="1" max="1" width="3.5703125" style="2" customWidth="1"/>
    <col min="2" max="6" width="8.5703125" style="2" hidden="1" customWidth="1"/>
    <col min="7" max="7" width="3.5703125" style="2" hidden="1" customWidth="1"/>
    <col min="8" max="9" width="17.5703125" style="2" customWidth="1"/>
    <col min="10" max="11" width="16.140625" style="2" customWidth="1"/>
    <col min="12" max="12" width="13.5703125" style="2" customWidth="1"/>
    <col min="13" max="14" width="16.140625" style="2" customWidth="1"/>
    <col min="15" max="15" width="13.5703125" style="2" customWidth="1"/>
    <col min="16" max="16" width="16.140625" style="2" customWidth="1"/>
    <col min="17" max="17" width="13.5703125" style="2" customWidth="1"/>
    <col min="18" max="18" width="16.140625" style="2" customWidth="1"/>
    <col min="19" max="19" width="13.5703125" style="2" customWidth="1"/>
    <col min="20" max="20" width="16.140625" style="2" customWidth="1"/>
    <col min="21" max="21" width="13.5703125" style="2" customWidth="1"/>
    <col min="22" max="26" width="16.140625" style="2" customWidth="1"/>
    <col min="27" max="27" width="3.5703125" style="2" customWidth="1"/>
    <col min="28" max="32" width="9.140625" style="2" hidden="1" customWidth="1"/>
    <col min="33" max="45" width="0" style="2" hidden="1" customWidth="1"/>
    <col min="46" max="16384" width="9.140625" style="2" hidden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/>
    <row r="6" spans="1:37" ht="15.75" thickBot="1">
      <c r="H6" s="35" t="s">
        <v>71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37"/>
    <row r="8" spans="1:37">
      <c r="H8" s="32" t="s">
        <v>72</v>
      </c>
      <c r="I8" s="31">
        <v>45596</v>
      </c>
    </row>
    <row r="9" spans="1:37" s="27" customFormat="1" ht="15">
      <c r="B9" s="93" t="s">
        <v>73</v>
      </c>
      <c r="C9" s="94"/>
      <c r="D9" s="94"/>
      <c r="E9" s="94"/>
      <c r="F9" s="95"/>
      <c r="G9" s="2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37" ht="39" customHeight="1">
      <c r="B10" s="79" t="s">
        <v>74</v>
      </c>
      <c r="C10" s="80" t="s">
        <v>75</v>
      </c>
      <c r="D10" s="80" t="s">
        <v>76</v>
      </c>
      <c r="E10" s="80" t="s">
        <v>77</v>
      </c>
      <c r="F10" s="81" t="s">
        <v>78</v>
      </c>
      <c r="G10" s="45" t="s">
        <v>13</v>
      </c>
      <c r="H10" s="70" t="s">
        <v>79</v>
      </c>
      <c r="I10" s="26" t="s">
        <v>80</v>
      </c>
      <c r="J10" s="26" t="s">
        <v>81</v>
      </c>
      <c r="K10" s="26" t="s">
        <v>82</v>
      </c>
      <c r="L10" s="26" t="s">
        <v>83</v>
      </c>
      <c r="M10" s="26" t="s">
        <v>84</v>
      </c>
      <c r="N10" s="26" t="s">
        <v>85</v>
      </c>
      <c r="O10" s="26" t="s">
        <v>86</v>
      </c>
      <c r="P10" s="26" t="s">
        <v>87</v>
      </c>
      <c r="Q10" s="26" t="s">
        <v>88</v>
      </c>
      <c r="R10" s="26" t="s">
        <v>89</v>
      </c>
      <c r="S10" s="26" t="s">
        <v>90</v>
      </c>
      <c r="T10" s="26" t="s">
        <v>91</v>
      </c>
      <c r="U10" s="26" t="s">
        <v>92</v>
      </c>
      <c r="V10" s="26" t="s">
        <v>93</v>
      </c>
      <c r="W10" s="26" t="s">
        <v>94</v>
      </c>
      <c r="X10" s="26" t="s">
        <v>95</v>
      </c>
      <c r="Y10" s="26" t="s">
        <v>96</v>
      </c>
      <c r="Z10" s="29" t="s">
        <v>97</v>
      </c>
    </row>
    <row r="11" spans="1:37">
      <c r="A11" s="27" t="str">
        <f t="shared" ref="A11:A74" si="0">+H11&amp;I11&amp;$I$8</f>
        <v>ENTITYNACE_ESG45596</v>
      </c>
      <c r="B11" s="74">
        <f t="array" ref="B11">+MAX(IF('ID1&amp;5'!A:A='1. Status'!A11&amp;'1. Status'!$B$10,'ID1&amp;5'!K:K))</f>
        <v>0</v>
      </c>
      <c r="C11" s="67">
        <f t="array" ref="C11">+MAX(IF('ID1&amp;5'!A:A='1. Status'!A11&amp;'1. Status'!$C$10,'ID1&amp;5'!K:K))</f>
        <v>0</v>
      </c>
      <c r="D11" s="67">
        <f t="array" ref="D11">+MAX(IF('ID1&amp;5'!A:A='1. Status'!A11&amp;'1. Status'!$D$10,'ID1&amp;5'!K:K))</f>
        <v>0</v>
      </c>
      <c r="E11" s="67">
        <f t="array" ref="E11">+MAX(IF('ID1&amp;5'!A:A='1. Status'!A11&amp;'1. Status'!$E$10,'ID1&amp;5'!K:K))</f>
        <v>0</v>
      </c>
      <c r="F11" s="75">
        <f t="array" ref="F11">+MAX(IF('ID1&amp;5'!A:A='1. Status'!A11&amp;'1. Status'!$F$10,'ID1&amp;5'!K:K))</f>
        <v>0</v>
      </c>
      <c r="H11" s="73" t="s">
        <v>98</v>
      </c>
      <c r="I11" s="28" t="s">
        <v>99</v>
      </c>
      <c r="J11" s="33">
        <f>+COUNTIF('ID1&amp;5'!G:G,'1. Status'!I11)</f>
        <v>5</v>
      </c>
      <c r="K11" s="92" t="str">
        <f>+IFERROR(VLOOKUP(CONCATENATE(A11,$B$10,B11),'ID1&amp;5'!B:J,8,FALSE),"-")</f>
        <v>-</v>
      </c>
      <c r="L11" s="91" t="str">
        <f>+IFERROR(VLOOKUP(B11,'ID1&amp;5'!K:L,2,FALSE),"-")</f>
        <v>-</v>
      </c>
      <c r="M11" s="92" t="str">
        <f>+IFERROR(VLOOKUP(CONCATENATE(A11,$B$10,B11),'ID1&amp;5'!B:J,9,FALSE),"-")</f>
        <v>-</v>
      </c>
      <c r="N11" s="92" t="str">
        <f>+IFERROR(VLOOKUP(CONCATENATE(A11,$C$10,C11),'ID1&amp;5'!B:J,8,FALSE),"-")</f>
        <v>-</v>
      </c>
      <c r="O11" s="91" t="str">
        <f>+IFERROR(VLOOKUP(C11,'ID1&amp;5'!K:L,2,FALSE),"-")</f>
        <v>-</v>
      </c>
      <c r="P11" s="92" t="str">
        <f>+IFERROR(VLOOKUP(CONCATENATE(A11,$C$10,C11),'ID1&amp;5'!B:J,9,FALSE),"-")</f>
        <v>-</v>
      </c>
      <c r="Q11" s="91" t="str">
        <f>+IFERROR(VLOOKUP(D11,'ID1&amp;5'!K:L,2,FALSE),"-")</f>
        <v>-</v>
      </c>
      <c r="R11" s="33" t="str">
        <f>+IFERROR(VLOOKUP(CONCATENATE(A11,$D$10,D11),'ID1&amp;5'!B:J,9,FALSE),"-")</f>
        <v>-</v>
      </c>
      <c r="S11" s="91" t="str">
        <f>+IFERROR(VLOOKUP(E11,'ID1&amp;5'!K:L,2,FALSE),"-")</f>
        <v>-</v>
      </c>
      <c r="T11" s="92" t="str">
        <f>+IFERROR(VLOOKUP(CONCATENATE(A11,$E$10,E11),'ID1&amp;5'!B:J,9,FALSE),"-")</f>
        <v>-</v>
      </c>
      <c r="U11" s="91" t="str">
        <f>+IFERROR(VLOOKUP(F11,'ID1&amp;5'!K:L,2,FALSE),"-")</f>
        <v>-</v>
      </c>
      <c r="V11" s="92" t="str">
        <f>+IFERROR(VLOOKUP(CONCATENATE(A11,$F$10,F11),'ID1&amp;5'!B:J,9,FALSE),"-")</f>
        <v>-</v>
      </c>
      <c r="W11" s="33" t="str">
        <f>+IFERROR(VLOOKUP(A11,'ID6&amp;7'!A:I,9,FALSE),"-")</f>
        <v>-</v>
      </c>
      <c r="X11" s="33" t="str">
        <f>+IFERROR(VLOOKUP(A11,'ID6&amp;7'!A:J,10,FALSE),"-")</f>
        <v>-</v>
      </c>
      <c r="Y11" s="33"/>
      <c r="Z11" s="34" t="str">
        <f>+IF(J11=0,"Por iniciar",IF(OR(K11="-",M11="-",P11="-",R11="-",T11="-",V11="-"),"Em testes",IF(AND(M11=0,P11=0,R11=0,T11&lt;&gt;K11,V11&lt;&gt;K11),"OK","NOK")))</f>
        <v>Em testes</v>
      </c>
    </row>
    <row r="12" spans="1:37">
      <c r="A12" s="27" t="str">
        <f t="shared" si="0"/>
        <v>ENTITYTXNMY_ELGBL_CAPEX_CCM45596</v>
      </c>
      <c r="B12" s="74">
        <f t="array" ref="B12">+MAX(IF('ID1&amp;5'!A:A='1. Status'!A12&amp;'1. Status'!$B$10,'ID1&amp;5'!K:K))</f>
        <v>9</v>
      </c>
      <c r="C12" s="67">
        <f t="array" ref="C12">+MAX(IF('ID1&amp;5'!A:A='1. Status'!A12&amp;'1. Status'!$C$10,'ID1&amp;5'!K:K))</f>
        <v>9</v>
      </c>
      <c r="D12" s="67">
        <f t="array" ref="D12">+MAX(IF('ID1&amp;5'!A:A='1. Status'!A12&amp;'1. Status'!$D$10,'ID1&amp;5'!K:K))</f>
        <v>9</v>
      </c>
      <c r="E12" s="67">
        <f t="array" ref="E12">+MAX(IF('ID1&amp;5'!A:A='1. Status'!A12&amp;'1. Status'!$E$10,'ID1&amp;5'!K:K))</f>
        <v>9</v>
      </c>
      <c r="F12" s="75">
        <f t="array" ref="F12">+MAX(IF('ID1&amp;5'!A:A='1. Status'!A12&amp;'1. Status'!$F$10,'ID1&amp;5'!K:K))</f>
        <v>9</v>
      </c>
      <c r="G12" s="67"/>
      <c r="H12" s="73" t="s">
        <v>98</v>
      </c>
      <c r="I12" s="28" t="s">
        <v>100</v>
      </c>
      <c r="J12" s="33">
        <f>+COUNTIF('ID1&amp;5'!G:G,'1. Status'!I12)</f>
        <v>5</v>
      </c>
      <c r="K12" s="92">
        <f>+IFERROR(VLOOKUP(CONCATENATE(A12,$B$10,B12),'ID1&amp;5'!B:J,8,FALSE),"-")</f>
        <v>1117455</v>
      </c>
      <c r="L12" s="91" t="str">
        <f>+IFERROR(VLOOKUP(B12,'ID1&amp;5'!K:L,2,FALSE),"-")</f>
        <v>2024-12-10 12:15:23.230637000</v>
      </c>
      <c r="M12" s="92">
        <f>+IFERROR(VLOOKUP(CONCATENATE(A12,$B$10,B12),'ID1&amp;5'!B:J,9,FALSE),"-")</f>
        <v>0</v>
      </c>
      <c r="N12" s="92">
        <f>+IFERROR(VLOOKUP(CONCATENATE(A12,$C$10,C12),'ID1&amp;5'!B:J,8,FALSE),"-")</f>
        <v>1117487</v>
      </c>
      <c r="O12" s="91" t="str">
        <f>+IFERROR(VLOOKUP(C12,'ID1&amp;5'!K:L,2,FALSE),"-")</f>
        <v>2024-12-10 12:15:23.230637000</v>
      </c>
      <c r="P12" s="92">
        <f>+IFERROR(VLOOKUP(CONCATENATE(A12,$C$10,C12),'ID1&amp;5'!B:J,9,FALSE),"-")</f>
        <v>0</v>
      </c>
      <c r="Q12" s="91" t="str">
        <f>+IFERROR(VLOOKUP(D12,'ID1&amp;5'!K:L,2,FALSE),"-")</f>
        <v>2024-12-10 12:15:23.230637000</v>
      </c>
      <c r="R12" s="33">
        <f>+IFERROR(VLOOKUP(CONCATENATE(A12,$D$10,D12),'ID1&amp;5'!B:J,9,FALSE),"-")</f>
        <v>0</v>
      </c>
      <c r="S12" s="91" t="str">
        <f>+IFERROR(VLOOKUP(E12,'ID1&amp;5'!K:L,2,FALSE),"-")</f>
        <v>2024-12-10 12:15:23.230637000</v>
      </c>
      <c r="T12" s="92">
        <f>+IFERROR(VLOOKUP(CONCATENATE(A12,$E$10,E12),'ID1&amp;5'!B:J,9,FALSE),"-")</f>
        <v>79452</v>
      </c>
      <c r="U12" s="91" t="str">
        <f>+IFERROR(VLOOKUP(F12,'ID1&amp;5'!K:L,2,FALSE),"-")</f>
        <v>2024-12-10 12:15:23.230637000</v>
      </c>
      <c r="V12" s="92">
        <f>+IFERROR(VLOOKUP(CONCATENATE(A12,$F$10,F12),'ID1&amp;5'!B:J,9,FALSE),"-")</f>
        <v>1037626</v>
      </c>
      <c r="W12" s="33" t="str">
        <f>+IFERROR(VLOOKUP(A12,'ID6&amp;7'!A:I,9,FALSE),"-")</f>
        <v>0.000000</v>
      </c>
      <c r="X12" s="33" t="str">
        <f>+IFERROR(VLOOKUP(A12,'ID6&amp;7'!A:J,10,FALSE),"-")</f>
        <v>100.000000</v>
      </c>
      <c r="Y12" s="33"/>
      <c r="Z12" s="34" t="str">
        <f t="shared" ref="Z12:Z75" si="1">+IF(J12=0,"Por iniciar",IF(OR(K12="-",M12="-",P12="-",R12="-",T12="-",V12="-"),"Em testes",IF(AND(M12=0,P12=0,R12=0,T12&lt;&gt;K12,V12&lt;&gt;K12),"OK","NOK")))</f>
        <v>OK</v>
      </c>
    </row>
    <row r="13" spans="1:37">
      <c r="A13" s="27" t="str">
        <f t="shared" si="0"/>
        <v>ENTITYTXNMY_ELGBL_TRNVR_CCM45596</v>
      </c>
      <c r="B13" s="74">
        <f t="array" ref="B13">+MAX(IF('ID1&amp;5'!A:A='1. Status'!A13&amp;'1. Status'!$B$10,'ID1&amp;5'!K:K))</f>
        <v>9</v>
      </c>
      <c r="C13" s="67">
        <f t="array" ref="C13">+MAX(IF('ID1&amp;5'!A:A='1. Status'!A13&amp;'1. Status'!$C$10,'ID1&amp;5'!K:K))</f>
        <v>9</v>
      </c>
      <c r="D13" s="67">
        <f t="array" ref="D13">+MAX(IF('ID1&amp;5'!A:A='1. Status'!A13&amp;'1. Status'!$D$10,'ID1&amp;5'!K:K))</f>
        <v>9</v>
      </c>
      <c r="E13" s="67">
        <f t="array" ref="E13">+MAX(IF('ID1&amp;5'!A:A='1. Status'!A13&amp;'1. Status'!$E$10,'ID1&amp;5'!K:K))</f>
        <v>9</v>
      </c>
      <c r="F13" s="75">
        <f t="array" ref="F13">+MAX(IF('ID1&amp;5'!A:A='1. Status'!A13&amp;'1. Status'!$F$10,'ID1&amp;5'!K:K))</f>
        <v>9</v>
      </c>
      <c r="G13" s="67"/>
      <c r="H13" s="73" t="s">
        <v>98</v>
      </c>
      <c r="I13" s="28" t="s">
        <v>101</v>
      </c>
      <c r="J13" s="33">
        <f>+COUNTIF('ID1&amp;5'!G:G,'1. Status'!I13)</f>
        <v>5</v>
      </c>
      <c r="K13" s="92">
        <f>+IFERROR(VLOOKUP(CONCATENATE(A13,$B$10,B13),'ID1&amp;5'!B:J,8,FALSE),"-")</f>
        <v>1117455</v>
      </c>
      <c r="L13" s="91" t="str">
        <f>+IFERROR(VLOOKUP(B13,'ID1&amp;5'!K:L,2,FALSE),"-")</f>
        <v>2024-12-10 12:15:23.230637000</v>
      </c>
      <c r="M13" s="92">
        <f>+IFERROR(VLOOKUP(CONCATENATE(A13,$B$10,B13),'ID1&amp;5'!B:J,9,FALSE),"-")</f>
        <v>2</v>
      </c>
      <c r="N13" s="92">
        <f>+IFERROR(VLOOKUP(CONCATENATE(A13,$C$10,C13),'ID1&amp;5'!B:J,8,FALSE),"-")</f>
        <v>1117487</v>
      </c>
      <c r="O13" s="91" t="str">
        <f>+IFERROR(VLOOKUP(C13,'ID1&amp;5'!K:L,2,FALSE),"-")</f>
        <v>2024-12-10 12:15:23.230637000</v>
      </c>
      <c r="P13" s="92">
        <f>+IFERROR(VLOOKUP(CONCATENATE(A13,$C$10,C13),'ID1&amp;5'!B:J,9,FALSE),"-")</f>
        <v>0</v>
      </c>
      <c r="Q13" s="91" t="str">
        <f>+IFERROR(VLOOKUP(D13,'ID1&amp;5'!K:L,2,FALSE),"-")</f>
        <v>2024-12-10 12:15:23.230637000</v>
      </c>
      <c r="R13" s="33">
        <f>+IFERROR(VLOOKUP(CONCATENATE(A13,$D$10,D13),'ID1&amp;5'!B:J,9,FALSE),"-")</f>
        <v>0</v>
      </c>
      <c r="S13" s="91" t="str">
        <f>+IFERROR(VLOOKUP(E13,'ID1&amp;5'!K:L,2,FALSE),"-")</f>
        <v>2024-12-10 12:15:23.230637000</v>
      </c>
      <c r="T13" s="92">
        <f>+IFERROR(VLOOKUP(CONCATENATE(A13,$E$10,E13),'ID1&amp;5'!B:J,9,FALSE),"-")</f>
        <v>79311</v>
      </c>
      <c r="U13" s="91" t="str">
        <f>+IFERROR(VLOOKUP(F13,'ID1&amp;5'!K:L,2,FALSE),"-")</f>
        <v>2024-12-10 12:15:23.230637000</v>
      </c>
      <c r="V13" s="92">
        <f>+IFERROR(VLOOKUP(CONCATENATE(A13,$F$10,F13),'ID1&amp;5'!B:J,9,FALSE),"-")</f>
        <v>1037626</v>
      </c>
      <c r="W13" s="33" t="str">
        <f>+IFERROR(VLOOKUP(A13,'ID6&amp;7'!A:I,9,FALSE),"-")</f>
        <v>0.000000</v>
      </c>
      <c r="X13" s="33" t="str">
        <f>+IFERROR(VLOOKUP(A13,'ID6&amp;7'!A:J,10,FALSE),"-")</f>
        <v>100.000000</v>
      </c>
      <c r="Y13" s="90" t="s">
        <v>102</v>
      </c>
      <c r="Z13" s="34" t="s">
        <v>103</v>
      </c>
    </row>
    <row r="14" spans="1:37">
      <c r="A14" s="27" t="str">
        <f t="shared" si="0"/>
        <v>ENTITYTXNMY_ELGBL_CAPEX_CCA45596</v>
      </c>
      <c r="B14" s="74">
        <f t="array" ref="B14">+MAX(IF('ID1&amp;5'!A:A='1. Status'!A14&amp;'1. Status'!$B$10,'ID1&amp;5'!K:K))</f>
        <v>9</v>
      </c>
      <c r="C14" s="67">
        <f t="array" ref="C14">+MAX(IF('ID1&amp;5'!A:A='1. Status'!A14&amp;'1. Status'!$C$10,'ID1&amp;5'!K:K))</f>
        <v>9</v>
      </c>
      <c r="D14" s="67">
        <f t="array" ref="D14">+MAX(IF('ID1&amp;5'!A:A='1. Status'!A14&amp;'1. Status'!$D$10,'ID1&amp;5'!K:K))</f>
        <v>9</v>
      </c>
      <c r="E14" s="67">
        <f t="array" ref="E14">+MAX(IF('ID1&amp;5'!A:A='1. Status'!A14&amp;'1. Status'!$E$10,'ID1&amp;5'!K:K))</f>
        <v>9</v>
      </c>
      <c r="F14" s="75">
        <f t="array" ref="F14">+MAX(IF('ID1&amp;5'!A:A='1. Status'!A14&amp;'1. Status'!$F$10,'ID1&amp;5'!K:K))</f>
        <v>9</v>
      </c>
      <c r="G14" s="67"/>
      <c r="H14" s="73" t="s">
        <v>98</v>
      </c>
      <c r="I14" s="28" t="s">
        <v>104</v>
      </c>
      <c r="J14" s="33">
        <f>+COUNTIF('ID1&amp;5'!G:G,'1. Status'!I14)</f>
        <v>5</v>
      </c>
      <c r="K14" s="92">
        <f>+IFERROR(VLOOKUP(CONCATENATE(A14,$B$10,B14),'ID1&amp;5'!B:J,8,FALSE),"-")</f>
        <v>1117455</v>
      </c>
      <c r="L14" s="91" t="str">
        <f>+IFERROR(VLOOKUP(B14,'ID1&amp;5'!K:L,2,FALSE),"-")</f>
        <v>2024-12-10 12:15:23.230637000</v>
      </c>
      <c r="M14" s="92">
        <f>+IFERROR(VLOOKUP(CONCATENATE(A14,$B$10,B14),'ID1&amp;5'!B:J,9,FALSE),"-")</f>
        <v>0</v>
      </c>
      <c r="N14" s="92">
        <f>+IFERROR(VLOOKUP(CONCATENATE(A14,$C$10,C14),'ID1&amp;5'!B:J,8,FALSE),"-")</f>
        <v>1117487</v>
      </c>
      <c r="O14" s="91" t="str">
        <f>+IFERROR(VLOOKUP(C14,'ID1&amp;5'!K:L,2,FALSE),"-")</f>
        <v>2024-12-10 12:15:23.230637000</v>
      </c>
      <c r="P14" s="92">
        <f>+IFERROR(VLOOKUP(CONCATENATE(A14,$C$10,C14),'ID1&amp;5'!B:J,9,FALSE),"-")</f>
        <v>0</v>
      </c>
      <c r="Q14" s="91" t="str">
        <f>+IFERROR(VLOOKUP(D14,'ID1&amp;5'!K:L,2,FALSE),"-")</f>
        <v>2024-12-10 12:15:23.230637000</v>
      </c>
      <c r="R14" s="33">
        <f>+IFERROR(VLOOKUP(CONCATENATE(A14,$D$10,D14),'ID1&amp;5'!B:J,9,FALSE),"-")</f>
        <v>0</v>
      </c>
      <c r="S14" s="91" t="str">
        <f>+IFERROR(VLOOKUP(E14,'ID1&amp;5'!K:L,2,FALSE),"-")</f>
        <v>2024-12-10 12:15:23.230637000</v>
      </c>
      <c r="T14" s="92">
        <f>+IFERROR(VLOOKUP(CONCATENATE(A14,$E$10,E14),'ID1&amp;5'!B:J,9,FALSE),"-")</f>
        <v>79452</v>
      </c>
      <c r="U14" s="91" t="str">
        <f>+IFERROR(VLOOKUP(F14,'ID1&amp;5'!K:L,2,FALSE),"-")</f>
        <v>2024-12-10 12:15:23.230637000</v>
      </c>
      <c r="V14" s="92">
        <f>+IFERROR(VLOOKUP(CONCATENATE(A14,$F$10,F14),'ID1&amp;5'!B:J,9,FALSE),"-")</f>
        <v>1037626</v>
      </c>
      <c r="W14" s="33" t="str">
        <f>+IFERROR(VLOOKUP(A14,'ID6&amp;7'!A:I,9,FALSE),"-")</f>
        <v>0.000000</v>
      </c>
      <c r="X14" s="33" t="str">
        <f>+IFERROR(VLOOKUP(A14,'ID6&amp;7'!A:J,10,FALSE),"-")</f>
        <v>78.600000</v>
      </c>
      <c r="Y14" s="33"/>
      <c r="Z14" s="34" t="str">
        <f t="shared" si="1"/>
        <v>OK</v>
      </c>
    </row>
    <row r="15" spans="1:37">
      <c r="A15" s="27" t="str">
        <f t="shared" si="0"/>
        <v>ENTITYTXNMY_ELGBL_TRNVR_CCA45596</v>
      </c>
      <c r="B15" s="74">
        <f t="array" ref="B15">+MAX(IF('ID1&amp;5'!A:A='1. Status'!A15&amp;'1. Status'!$B$10,'ID1&amp;5'!K:K))</f>
        <v>9</v>
      </c>
      <c r="C15" s="67">
        <f t="array" ref="C15">+MAX(IF('ID1&amp;5'!A:A='1. Status'!A15&amp;'1. Status'!$C$10,'ID1&amp;5'!K:K))</f>
        <v>9</v>
      </c>
      <c r="D15" s="67">
        <f t="array" ref="D15">+MAX(IF('ID1&amp;5'!A:A='1. Status'!A15&amp;'1. Status'!$D$10,'ID1&amp;5'!K:K))</f>
        <v>9</v>
      </c>
      <c r="E15" s="67">
        <f t="array" ref="E15">+MAX(IF('ID1&amp;5'!A:A='1. Status'!A15&amp;'1. Status'!$E$10,'ID1&amp;5'!K:K))</f>
        <v>9</v>
      </c>
      <c r="F15" s="75">
        <f t="array" ref="F15">+MAX(IF('ID1&amp;5'!A:A='1. Status'!A15&amp;'1. Status'!$F$10,'ID1&amp;5'!K:K))</f>
        <v>9</v>
      </c>
      <c r="G15" s="67"/>
      <c r="H15" s="73" t="s">
        <v>98</v>
      </c>
      <c r="I15" s="28" t="s">
        <v>105</v>
      </c>
      <c r="J15" s="33">
        <f>+COUNTIF('ID1&amp;5'!G:G,'1. Status'!I15)</f>
        <v>5</v>
      </c>
      <c r="K15" s="92">
        <f>+IFERROR(VLOOKUP(CONCATENATE(A15,$B$10,B15),'ID1&amp;5'!B:J,8,FALSE),"-")</f>
        <v>1117455</v>
      </c>
      <c r="L15" s="91" t="str">
        <f>+IFERROR(VLOOKUP(B15,'ID1&amp;5'!K:L,2,FALSE),"-")</f>
        <v>2024-12-10 12:15:23.230637000</v>
      </c>
      <c r="M15" s="92">
        <f>+IFERROR(VLOOKUP(CONCATENATE(A15,$B$10,B15),'ID1&amp;5'!B:J,9,FALSE),"-")</f>
        <v>0</v>
      </c>
      <c r="N15" s="92">
        <f>+IFERROR(VLOOKUP(CONCATENATE(A15,$C$10,C15),'ID1&amp;5'!B:J,8,FALSE),"-")</f>
        <v>1117487</v>
      </c>
      <c r="O15" s="91" t="str">
        <f>+IFERROR(VLOOKUP(C15,'ID1&amp;5'!K:L,2,FALSE),"-")</f>
        <v>2024-12-10 12:15:23.230637000</v>
      </c>
      <c r="P15" s="92">
        <f>+IFERROR(VLOOKUP(CONCATENATE(A15,$C$10,C15),'ID1&amp;5'!B:J,9,FALSE),"-")</f>
        <v>0</v>
      </c>
      <c r="Q15" s="91" t="str">
        <f>+IFERROR(VLOOKUP(D15,'ID1&amp;5'!K:L,2,FALSE),"-")</f>
        <v>2024-12-10 12:15:23.230637000</v>
      </c>
      <c r="R15" s="33">
        <f>+IFERROR(VLOOKUP(CONCATENATE(A15,$D$10,D15),'ID1&amp;5'!B:J,9,FALSE),"-")</f>
        <v>0</v>
      </c>
      <c r="S15" s="91" t="str">
        <f>+IFERROR(VLOOKUP(E15,'ID1&amp;5'!K:L,2,FALSE),"-")</f>
        <v>2024-12-10 12:15:23.230637000</v>
      </c>
      <c r="T15" s="92">
        <f>+IFERROR(VLOOKUP(CONCATENATE(A15,$E$10,E15),'ID1&amp;5'!B:J,9,FALSE),"-")</f>
        <v>79311</v>
      </c>
      <c r="U15" s="91" t="str">
        <f>+IFERROR(VLOOKUP(F15,'ID1&amp;5'!K:L,2,FALSE),"-")</f>
        <v>2024-12-10 12:15:23.230637000</v>
      </c>
      <c r="V15" s="92">
        <f>+IFERROR(VLOOKUP(CONCATENATE(A15,$F$10,F15),'ID1&amp;5'!B:J,9,FALSE),"-")</f>
        <v>1037626</v>
      </c>
      <c r="W15" s="33" t="str">
        <f>+IFERROR(VLOOKUP(A15,'ID6&amp;7'!A:I,9,FALSE),"-")</f>
        <v>0.000000</v>
      </c>
      <c r="X15" s="33" t="str">
        <f>+IFERROR(VLOOKUP(A15,'ID6&amp;7'!A:J,10,FALSE),"-")</f>
        <v>100.000000</v>
      </c>
      <c r="Y15" s="33"/>
      <c r="Z15" s="34" t="str">
        <f t="shared" si="1"/>
        <v>OK</v>
      </c>
    </row>
    <row r="16" spans="1:37">
      <c r="A16" s="27" t="str">
        <f t="shared" si="0"/>
        <v>ENTITYENBLNG_CAPEX_CCM45596</v>
      </c>
      <c r="B16" s="74">
        <f t="array" ref="B16">+MAX(IF('ID1&amp;5'!A:A='1. Status'!A16&amp;'1. Status'!$B$10,'ID1&amp;5'!K:K))</f>
        <v>9</v>
      </c>
      <c r="C16" s="67">
        <f t="array" ref="C16">+MAX(IF('ID1&amp;5'!A:A='1. Status'!A16&amp;'1. Status'!$C$10,'ID1&amp;5'!K:K))</f>
        <v>9</v>
      </c>
      <c r="D16" s="67">
        <f t="array" ref="D16">+MAX(IF('ID1&amp;5'!A:A='1. Status'!A16&amp;'1. Status'!$D$10,'ID1&amp;5'!K:K))</f>
        <v>9</v>
      </c>
      <c r="E16" s="67">
        <f t="array" ref="E16">+MAX(IF('ID1&amp;5'!A:A='1. Status'!A16&amp;'1. Status'!$E$10,'ID1&amp;5'!K:K))</f>
        <v>9</v>
      </c>
      <c r="F16" s="75">
        <f t="array" ref="F16">+MAX(IF('ID1&amp;5'!A:A='1. Status'!A16&amp;'1. Status'!$F$10,'ID1&amp;5'!K:K))</f>
        <v>9</v>
      </c>
      <c r="G16" s="67"/>
      <c r="H16" s="73" t="s">
        <v>98</v>
      </c>
      <c r="I16" s="28" t="s">
        <v>106</v>
      </c>
      <c r="J16" s="33">
        <f>+COUNTIF('ID1&amp;5'!G:G,'1. Status'!I16)</f>
        <v>5</v>
      </c>
      <c r="K16" s="92">
        <f>+IFERROR(VLOOKUP(CONCATENATE(A16,$B$10,B16),'ID1&amp;5'!B:J,8,FALSE),"-")</f>
        <v>1117455</v>
      </c>
      <c r="L16" s="91" t="str">
        <f>+IFERROR(VLOOKUP(B16,'ID1&amp;5'!K:L,2,FALSE),"-")</f>
        <v>2024-12-10 12:15:23.230637000</v>
      </c>
      <c r="M16" s="92">
        <f>+IFERROR(VLOOKUP(CONCATENATE(A16,$B$10,B16),'ID1&amp;5'!B:J,9,FALSE),"-")</f>
        <v>0</v>
      </c>
      <c r="N16" s="92">
        <f>+IFERROR(VLOOKUP(CONCATENATE(A16,$C$10,C16),'ID1&amp;5'!B:J,8,FALSE),"-")</f>
        <v>1117487</v>
      </c>
      <c r="O16" s="91" t="str">
        <f>+IFERROR(VLOOKUP(C16,'ID1&amp;5'!K:L,2,FALSE),"-")</f>
        <v>2024-12-10 12:15:23.230637000</v>
      </c>
      <c r="P16" s="92">
        <f>+IFERROR(VLOOKUP(CONCATENATE(A16,$C$10,C16),'ID1&amp;5'!B:J,9,FALSE),"-")</f>
        <v>0</v>
      </c>
      <c r="Q16" s="91" t="str">
        <f>+IFERROR(VLOOKUP(D16,'ID1&amp;5'!K:L,2,FALSE),"-")</f>
        <v>2024-12-10 12:15:23.230637000</v>
      </c>
      <c r="R16" s="33">
        <f>+IFERROR(VLOOKUP(CONCATENATE(A16,$D$10,D16),'ID1&amp;5'!B:J,9,FALSE),"-")</f>
        <v>0</v>
      </c>
      <c r="S16" s="91" t="str">
        <f>+IFERROR(VLOOKUP(E16,'ID1&amp;5'!K:L,2,FALSE),"-")</f>
        <v>2024-12-10 12:15:23.230637000</v>
      </c>
      <c r="T16" s="92">
        <f>+IFERROR(VLOOKUP(CONCATENATE(A16,$E$10,E16),'ID1&amp;5'!B:J,9,FALSE),"-")</f>
        <v>79452</v>
      </c>
      <c r="U16" s="91" t="str">
        <f>+IFERROR(VLOOKUP(F16,'ID1&amp;5'!K:L,2,FALSE),"-")</f>
        <v>2024-12-10 12:15:23.230637000</v>
      </c>
      <c r="V16" s="92">
        <f>+IFERROR(VLOOKUP(CONCATENATE(A16,$F$10,F16),'ID1&amp;5'!B:J,9,FALSE),"-")</f>
        <v>1037626</v>
      </c>
      <c r="W16" s="33" t="str">
        <f>+IFERROR(VLOOKUP(A16,'ID6&amp;7'!A:I,9,FALSE),"-")</f>
        <v>0.000000</v>
      </c>
      <c r="X16" s="33" t="str">
        <f>+IFERROR(VLOOKUP(A16,'ID6&amp;7'!A:J,10,FALSE),"-")</f>
        <v>78.400000</v>
      </c>
      <c r="Y16" s="33"/>
      <c r="Z16" s="34" t="str">
        <f t="shared" si="1"/>
        <v>OK</v>
      </c>
    </row>
    <row r="17" spans="1:26">
      <c r="A17" s="27" t="str">
        <f t="shared" si="0"/>
        <v>ENTITYENBLNG_CAPEX_CCA45596</v>
      </c>
      <c r="B17" s="74">
        <f t="array" ref="B17">+MAX(IF('ID1&amp;5'!A:A='1. Status'!A17&amp;'1. Status'!$B$10,'ID1&amp;5'!K:K))</f>
        <v>9</v>
      </c>
      <c r="C17" s="67">
        <f t="array" ref="C17">+MAX(IF('ID1&amp;5'!A:A='1. Status'!A17&amp;'1. Status'!$C$10,'ID1&amp;5'!K:K))</f>
        <v>9</v>
      </c>
      <c r="D17" s="67">
        <f t="array" ref="D17">+MAX(IF('ID1&amp;5'!A:A='1. Status'!A17&amp;'1. Status'!$D$10,'ID1&amp;5'!K:K))</f>
        <v>9</v>
      </c>
      <c r="E17" s="67">
        <f t="array" ref="E17">+MAX(IF('ID1&amp;5'!A:A='1. Status'!A17&amp;'1. Status'!$E$10,'ID1&amp;5'!K:K))</f>
        <v>9</v>
      </c>
      <c r="F17" s="75">
        <f t="array" ref="F17">+MAX(IF('ID1&amp;5'!A:A='1. Status'!A17&amp;'1. Status'!$F$10,'ID1&amp;5'!K:K))</f>
        <v>9</v>
      </c>
      <c r="G17" s="67"/>
      <c r="H17" s="73" t="s">
        <v>98</v>
      </c>
      <c r="I17" s="28" t="s">
        <v>107</v>
      </c>
      <c r="J17" s="33">
        <f>+COUNTIF('ID1&amp;5'!G:G,'1. Status'!I17)</f>
        <v>5</v>
      </c>
      <c r="K17" s="92">
        <f>+IFERROR(VLOOKUP(CONCATENATE(A17,$B$10,B17),'ID1&amp;5'!B:J,8,FALSE),"-")</f>
        <v>1117455</v>
      </c>
      <c r="L17" s="91" t="str">
        <f>+IFERROR(VLOOKUP(B17,'ID1&amp;5'!K:L,2,FALSE),"-")</f>
        <v>2024-12-10 12:15:23.230637000</v>
      </c>
      <c r="M17" s="92">
        <f>+IFERROR(VLOOKUP(CONCATENATE(A17,$B$10,B17),'ID1&amp;5'!B:J,9,FALSE),"-")</f>
        <v>0</v>
      </c>
      <c r="N17" s="92">
        <f>+IFERROR(VLOOKUP(CONCATENATE(A17,$C$10,C17),'ID1&amp;5'!B:J,8,FALSE),"-")</f>
        <v>1117487</v>
      </c>
      <c r="O17" s="91" t="str">
        <f>+IFERROR(VLOOKUP(C17,'ID1&amp;5'!K:L,2,FALSE),"-")</f>
        <v>2024-12-10 12:15:23.230637000</v>
      </c>
      <c r="P17" s="92">
        <f>+IFERROR(VLOOKUP(CONCATENATE(A17,$C$10,C17),'ID1&amp;5'!B:J,9,FALSE),"-")</f>
        <v>0</v>
      </c>
      <c r="Q17" s="91" t="str">
        <f>+IFERROR(VLOOKUP(D17,'ID1&amp;5'!K:L,2,FALSE),"-")</f>
        <v>2024-12-10 12:15:23.230637000</v>
      </c>
      <c r="R17" s="33">
        <f>+IFERROR(VLOOKUP(CONCATENATE(A17,$D$10,D17),'ID1&amp;5'!B:J,9,FALSE),"-")</f>
        <v>0</v>
      </c>
      <c r="S17" s="91" t="str">
        <f>+IFERROR(VLOOKUP(E17,'ID1&amp;5'!K:L,2,FALSE),"-")</f>
        <v>2024-12-10 12:15:23.230637000</v>
      </c>
      <c r="T17" s="92">
        <f>+IFERROR(VLOOKUP(CONCATENATE(A17,$E$10,E17),'ID1&amp;5'!B:J,9,FALSE),"-")</f>
        <v>79452</v>
      </c>
      <c r="U17" s="91" t="str">
        <f>+IFERROR(VLOOKUP(F17,'ID1&amp;5'!K:L,2,FALSE),"-")</f>
        <v>2024-12-10 12:15:23.230637000</v>
      </c>
      <c r="V17" s="92">
        <f>+IFERROR(VLOOKUP(CONCATENATE(A17,$F$10,F17),'ID1&amp;5'!B:J,9,FALSE),"-")</f>
        <v>1037626</v>
      </c>
      <c r="W17" s="33" t="str">
        <f>+IFERROR(VLOOKUP(A17,'ID6&amp;7'!A:I,9,FALSE),"-")</f>
        <v>0.000000</v>
      </c>
      <c r="X17" s="33" t="str">
        <f>+IFERROR(VLOOKUP(A17,'ID6&amp;7'!A:J,10,FALSE),"-")</f>
        <v>2.100000</v>
      </c>
      <c r="Y17" s="33"/>
      <c r="Z17" s="34" t="str">
        <f t="shared" si="1"/>
        <v>OK</v>
      </c>
    </row>
    <row r="18" spans="1:26">
      <c r="A18" s="27" t="str">
        <f t="shared" si="0"/>
        <v>ENTITYTRNSTNL_CAPEX45596</v>
      </c>
      <c r="B18" s="74">
        <f t="array" ref="B18">+MAX(IF('ID1&amp;5'!A:A='1. Status'!A18&amp;'1. Status'!$B$10,'ID1&amp;5'!K:K))</f>
        <v>9</v>
      </c>
      <c r="C18" s="67">
        <f t="array" ref="C18">+MAX(IF('ID1&amp;5'!A:A='1. Status'!A18&amp;'1. Status'!$C$10,'ID1&amp;5'!K:K))</f>
        <v>9</v>
      </c>
      <c r="D18" s="67">
        <f t="array" ref="D18">+MAX(IF('ID1&amp;5'!A:A='1. Status'!A18&amp;'1. Status'!$D$10,'ID1&amp;5'!K:K))</f>
        <v>9</v>
      </c>
      <c r="E18" s="67">
        <f t="array" ref="E18">+MAX(IF('ID1&amp;5'!A:A='1. Status'!A18&amp;'1. Status'!$E$10,'ID1&amp;5'!K:K))</f>
        <v>9</v>
      </c>
      <c r="F18" s="75">
        <f t="array" ref="F18">+MAX(IF('ID1&amp;5'!A:A='1. Status'!A18&amp;'1. Status'!$F$10,'ID1&amp;5'!K:K))</f>
        <v>9</v>
      </c>
      <c r="G18" s="67"/>
      <c r="H18" s="73" t="s">
        <v>98</v>
      </c>
      <c r="I18" s="28" t="s">
        <v>108</v>
      </c>
      <c r="J18" s="33">
        <f>+COUNTIF('ID1&amp;5'!G:G,'1. Status'!I18)</f>
        <v>5</v>
      </c>
      <c r="K18" s="92">
        <f>+IFERROR(VLOOKUP(CONCATENATE(A18,$B$10,B18),'ID1&amp;5'!B:J,8,FALSE),"-")</f>
        <v>1117455</v>
      </c>
      <c r="L18" s="91" t="str">
        <f>+IFERROR(VLOOKUP(B18,'ID1&amp;5'!K:L,2,FALSE),"-")</f>
        <v>2024-12-10 12:15:23.230637000</v>
      </c>
      <c r="M18" s="92">
        <f>+IFERROR(VLOOKUP(CONCATENATE(A18,$B$10,B18),'ID1&amp;5'!B:J,9,FALSE),"-")</f>
        <v>0</v>
      </c>
      <c r="N18" s="92">
        <f>+IFERROR(VLOOKUP(CONCATENATE(A18,$C$10,C18),'ID1&amp;5'!B:J,8,FALSE),"-")</f>
        <v>1117487</v>
      </c>
      <c r="O18" s="91" t="str">
        <f>+IFERROR(VLOOKUP(C18,'ID1&amp;5'!K:L,2,FALSE),"-")</f>
        <v>2024-12-10 12:15:23.230637000</v>
      </c>
      <c r="P18" s="92">
        <f>+IFERROR(VLOOKUP(CONCATENATE(A18,$C$10,C18),'ID1&amp;5'!B:J,9,FALSE),"-")</f>
        <v>0</v>
      </c>
      <c r="Q18" s="91" t="str">
        <f>+IFERROR(VLOOKUP(D18,'ID1&amp;5'!K:L,2,FALSE),"-")</f>
        <v>2024-12-10 12:15:23.230637000</v>
      </c>
      <c r="R18" s="33">
        <f>+IFERROR(VLOOKUP(CONCATENATE(A18,$D$10,D18),'ID1&amp;5'!B:J,9,FALSE),"-")</f>
        <v>0</v>
      </c>
      <c r="S18" s="91" t="str">
        <f>+IFERROR(VLOOKUP(E18,'ID1&amp;5'!K:L,2,FALSE),"-")</f>
        <v>2024-12-10 12:15:23.230637000</v>
      </c>
      <c r="T18" s="92">
        <f>+IFERROR(VLOOKUP(CONCATENATE(A18,$E$10,E18),'ID1&amp;5'!B:J,9,FALSE),"-")</f>
        <v>79452</v>
      </c>
      <c r="U18" s="91" t="str">
        <f>+IFERROR(VLOOKUP(F18,'ID1&amp;5'!K:L,2,FALSE),"-")</f>
        <v>2024-12-10 12:15:23.230637000</v>
      </c>
      <c r="V18" s="92">
        <f>+IFERROR(VLOOKUP(CONCATENATE(A18,$F$10,F18),'ID1&amp;5'!B:J,9,FALSE),"-")</f>
        <v>1037626</v>
      </c>
      <c r="W18" s="33" t="str">
        <f>+IFERROR(VLOOKUP(A18,'ID6&amp;7'!A:I,9,FALSE),"-")</f>
        <v>0.000000</v>
      </c>
      <c r="X18" s="33" t="str">
        <f>+IFERROR(VLOOKUP(A18,'ID6&amp;7'!A:J,10,FALSE),"-")</f>
        <v>14.325843</v>
      </c>
      <c r="Y18" s="33"/>
      <c r="Z18" s="34" t="str">
        <f t="shared" si="1"/>
        <v>OK</v>
      </c>
    </row>
    <row r="19" spans="1:26">
      <c r="A19" s="27" t="str">
        <f t="shared" si="0"/>
        <v>ENTITYPURE_CAPEX_CCM45596</v>
      </c>
      <c r="B19" s="74">
        <f t="array" ref="B19">+MAX(IF('ID1&amp;5'!A:A='1. Status'!A19&amp;'1. Status'!$B$10,'ID1&amp;5'!K:K))</f>
        <v>9</v>
      </c>
      <c r="C19" s="67">
        <f t="array" ref="C19">+MAX(IF('ID1&amp;5'!A:A='1. Status'!A19&amp;'1. Status'!$C$10,'ID1&amp;5'!K:K))</f>
        <v>9</v>
      </c>
      <c r="D19" s="67">
        <f t="array" ref="D19">+MAX(IF('ID1&amp;5'!A:A='1. Status'!A19&amp;'1. Status'!$D$10,'ID1&amp;5'!K:K))</f>
        <v>9</v>
      </c>
      <c r="E19" s="67">
        <f t="array" ref="E19">+MAX(IF('ID1&amp;5'!A:A='1. Status'!A19&amp;'1. Status'!$E$10,'ID1&amp;5'!K:K))</f>
        <v>9</v>
      </c>
      <c r="F19" s="75">
        <f t="array" ref="F19">+MAX(IF('ID1&amp;5'!A:A='1. Status'!A19&amp;'1. Status'!$F$10,'ID1&amp;5'!K:K))</f>
        <v>9</v>
      </c>
      <c r="G19" s="67"/>
      <c r="H19" s="73" t="s">
        <v>98</v>
      </c>
      <c r="I19" s="28" t="s">
        <v>109</v>
      </c>
      <c r="J19" s="33">
        <f>+COUNTIF('ID1&amp;5'!G:G,'1. Status'!I19)</f>
        <v>5</v>
      </c>
      <c r="K19" s="92">
        <f>+IFERROR(VLOOKUP(CONCATENATE(A19,$B$10,B19),'ID1&amp;5'!B:J,8,FALSE),"-")</f>
        <v>1117455</v>
      </c>
      <c r="L19" s="91" t="str">
        <f>+IFERROR(VLOOKUP(B19,'ID1&amp;5'!K:L,2,FALSE),"-")</f>
        <v>2024-12-10 12:15:23.230637000</v>
      </c>
      <c r="M19" s="92">
        <f>+IFERROR(VLOOKUP(CONCATENATE(A19,$B$10,B19),'ID1&amp;5'!B:J,9,FALSE),"-")</f>
        <v>0</v>
      </c>
      <c r="N19" s="92">
        <f>+IFERROR(VLOOKUP(CONCATENATE(A19,$C$10,C19),'ID1&amp;5'!B:J,8,FALSE),"-")</f>
        <v>1117487</v>
      </c>
      <c r="O19" s="91" t="str">
        <f>+IFERROR(VLOOKUP(C19,'ID1&amp;5'!K:L,2,FALSE),"-")</f>
        <v>2024-12-10 12:15:23.230637000</v>
      </c>
      <c r="P19" s="92">
        <f>+IFERROR(VLOOKUP(CONCATENATE(A19,$C$10,C19),'ID1&amp;5'!B:J,9,FALSE),"-")</f>
        <v>0</v>
      </c>
      <c r="Q19" s="91" t="str">
        <f>+IFERROR(VLOOKUP(D19,'ID1&amp;5'!K:L,2,FALSE),"-")</f>
        <v>2024-12-10 12:15:23.230637000</v>
      </c>
      <c r="R19" s="33">
        <f>+IFERROR(VLOOKUP(CONCATENATE(A19,$D$10,D19),'ID1&amp;5'!B:J,9,FALSE),"-")</f>
        <v>0</v>
      </c>
      <c r="S19" s="91" t="str">
        <f>+IFERROR(VLOOKUP(E19,'ID1&amp;5'!K:L,2,FALSE),"-")</f>
        <v>2024-12-10 12:15:23.230637000</v>
      </c>
      <c r="T19" s="92">
        <f>+IFERROR(VLOOKUP(CONCATENATE(A19,$E$10,E19),'ID1&amp;5'!B:J,9,FALSE),"-")</f>
        <v>79452</v>
      </c>
      <c r="U19" s="91" t="str">
        <f>+IFERROR(VLOOKUP(F19,'ID1&amp;5'!K:L,2,FALSE),"-")</f>
        <v>2024-12-10 12:15:23.230637000</v>
      </c>
      <c r="V19" s="92">
        <f>+IFERROR(VLOOKUP(CONCATENATE(A19,$F$10,F19),'ID1&amp;5'!B:J,9,FALSE),"-")</f>
        <v>1037626</v>
      </c>
      <c r="W19" s="33" t="str">
        <f>+IFERROR(VLOOKUP(A19,'ID6&amp;7'!A:I,9,FALSE),"-")</f>
        <v>0.000000</v>
      </c>
      <c r="X19" s="33" t="str">
        <f>+IFERROR(VLOOKUP(A19,'ID6&amp;7'!A:J,10,FALSE),"-")</f>
        <v>96.000000</v>
      </c>
      <c r="Y19" s="33"/>
      <c r="Z19" s="34" t="str">
        <f t="shared" si="1"/>
        <v>OK</v>
      </c>
    </row>
    <row r="20" spans="1:26">
      <c r="A20" s="27" t="str">
        <f t="shared" si="0"/>
        <v>ENTITYPURE_CAPEX_CCA45596</v>
      </c>
      <c r="B20" s="74">
        <f t="array" ref="B20">+MAX(IF('ID1&amp;5'!A:A='1. Status'!A20&amp;'1. Status'!$B$10,'ID1&amp;5'!K:K))</f>
        <v>9</v>
      </c>
      <c r="C20" s="67">
        <f t="array" ref="C20">+MAX(IF('ID1&amp;5'!A:A='1. Status'!A20&amp;'1. Status'!$C$10,'ID1&amp;5'!K:K))</f>
        <v>9</v>
      </c>
      <c r="D20" s="67">
        <f t="array" ref="D20">+MAX(IF('ID1&amp;5'!A:A='1. Status'!A20&amp;'1. Status'!$D$10,'ID1&amp;5'!K:K))</f>
        <v>9</v>
      </c>
      <c r="E20" s="67">
        <f t="array" ref="E20">+MAX(IF('ID1&amp;5'!A:A='1. Status'!A20&amp;'1. Status'!$E$10,'ID1&amp;5'!K:K))</f>
        <v>9</v>
      </c>
      <c r="F20" s="75">
        <f t="array" ref="F20">+MAX(IF('ID1&amp;5'!A:A='1. Status'!A20&amp;'1. Status'!$F$10,'ID1&amp;5'!K:K))</f>
        <v>9</v>
      </c>
      <c r="G20" s="67"/>
      <c r="H20" s="73" t="s">
        <v>98</v>
      </c>
      <c r="I20" s="28" t="s">
        <v>110</v>
      </c>
      <c r="J20" s="33">
        <f>+COUNTIF('ID1&amp;5'!G:G,'1. Status'!I20)</f>
        <v>5</v>
      </c>
      <c r="K20" s="92">
        <f>+IFERROR(VLOOKUP(CONCATENATE(A20,$B$10,B20),'ID1&amp;5'!B:J,8,FALSE),"-")</f>
        <v>1117455</v>
      </c>
      <c r="L20" s="91" t="str">
        <f>+IFERROR(VLOOKUP(B20,'ID1&amp;5'!K:L,2,FALSE),"-")</f>
        <v>2024-12-10 12:15:23.230637000</v>
      </c>
      <c r="M20" s="92">
        <f>+IFERROR(VLOOKUP(CONCATENATE(A20,$B$10,B20),'ID1&amp;5'!B:J,9,FALSE),"-")</f>
        <v>0</v>
      </c>
      <c r="N20" s="92">
        <f>+IFERROR(VLOOKUP(CONCATENATE(A20,$C$10,C20),'ID1&amp;5'!B:J,8,FALSE),"-")</f>
        <v>1117487</v>
      </c>
      <c r="O20" s="91" t="str">
        <f>+IFERROR(VLOOKUP(C20,'ID1&amp;5'!K:L,2,FALSE),"-")</f>
        <v>2024-12-10 12:15:23.230637000</v>
      </c>
      <c r="P20" s="92">
        <f>+IFERROR(VLOOKUP(CONCATENATE(A20,$C$10,C20),'ID1&amp;5'!B:J,9,FALSE),"-")</f>
        <v>0</v>
      </c>
      <c r="Q20" s="91" t="str">
        <f>+IFERROR(VLOOKUP(D20,'ID1&amp;5'!K:L,2,FALSE),"-")</f>
        <v>2024-12-10 12:15:23.230637000</v>
      </c>
      <c r="R20" s="33">
        <f>+IFERROR(VLOOKUP(CONCATENATE(A20,$D$10,D20),'ID1&amp;5'!B:J,9,FALSE),"-")</f>
        <v>0</v>
      </c>
      <c r="S20" s="91" t="str">
        <f>+IFERROR(VLOOKUP(E20,'ID1&amp;5'!K:L,2,FALSE),"-")</f>
        <v>2024-12-10 12:15:23.230637000</v>
      </c>
      <c r="T20" s="92">
        <f>+IFERROR(VLOOKUP(CONCATENATE(A20,$E$10,E20),'ID1&amp;5'!B:J,9,FALSE),"-")</f>
        <v>79452</v>
      </c>
      <c r="U20" s="91" t="str">
        <f>+IFERROR(VLOOKUP(F20,'ID1&amp;5'!K:L,2,FALSE),"-")</f>
        <v>2024-12-10 12:15:23.230637000</v>
      </c>
      <c r="V20" s="92">
        <f>+IFERROR(VLOOKUP(CONCATENATE(A20,$F$10,F20),'ID1&amp;5'!B:J,9,FALSE),"-")</f>
        <v>1037626</v>
      </c>
      <c r="W20" s="33" t="str">
        <f>+IFERROR(VLOOKUP(A20,'ID6&amp;7'!A:I,9,FALSE),"-")</f>
        <v>0.000000</v>
      </c>
      <c r="X20" s="33" t="str">
        <f>+IFERROR(VLOOKUP(A20,'ID6&amp;7'!A:J,10,FALSE),"-")</f>
        <v>0.000000</v>
      </c>
      <c r="Y20" s="33"/>
      <c r="Z20" s="34" t="str">
        <f t="shared" si="1"/>
        <v>OK</v>
      </c>
    </row>
    <row r="21" spans="1:26">
      <c r="A21" s="27" t="str">
        <f t="shared" si="0"/>
        <v>ENTITYENBLNG_TRNVR_CCM45596</v>
      </c>
      <c r="B21" s="74">
        <f t="array" ref="B21">+MAX(IF('ID1&amp;5'!A:A='1. Status'!A21&amp;'1. Status'!$B$10,'ID1&amp;5'!K:K))</f>
        <v>9</v>
      </c>
      <c r="C21" s="67">
        <f t="array" ref="C21">+MAX(IF('ID1&amp;5'!A:A='1. Status'!A21&amp;'1. Status'!$C$10,'ID1&amp;5'!K:K))</f>
        <v>9</v>
      </c>
      <c r="D21" s="67">
        <f t="array" ref="D21">+MAX(IF('ID1&amp;5'!A:A='1. Status'!A21&amp;'1. Status'!$D$10,'ID1&amp;5'!K:K))</f>
        <v>9</v>
      </c>
      <c r="E21" s="67">
        <f t="array" ref="E21">+MAX(IF('ID1&amp;5'!A:A='1. Status'!A21&amp;'1. Status'!$E$10,'ID1&amp;5'!K:K))</f>
        <v>9</v>
      </c>
      <c r="F21" s="75">
        <f t="array" ref="F21">+MAX(IF('ID1&amp;5'!A:A='1. Status'!A21&amp;'1. Status'!$F$10,'ID1&amp;5'!K:K))</f>
        <v>9</v>
      </c>
      <c r="G21" s="67"/>
      <c r="H21" s="73" t="s">
        <v>98</v>
      </c>
      <c r="I21" s="28" t="s">
        <v>111</v>
      </c>
      <c r="J21" s="33">
        <f>+COUNTIF('ID1&amp;5'!G:G,'1. Status'!I21)</f>
        <v>5</v>
      </c>
      <c r="K21" s="92">
        <f>+IFERROR(VLOOKUP(CONCATENATE(A21,$B$10,B21),'ID1&amp;5'!B:J,8,FALSE),"-")</f>
        <v>1117455</v>
      </c>
      <c r="L21" s="91" t="str">
        <f>+IFERROR(VLOOKUP(B21,'ID1&amp;5'!K:L,2,FALSE),"-")</f>
        <v>2024-12-10 12:15:23.230637000</v>
      </c>
      <c r="M21" s="92">
        <f>+IFERROR(VLOOKUP(CONCATENATE(A21,$B$10,B21),'ID1&amp;5'!B:J,9,FALSE),"-")</f>
        <v>0</v>
      </c>
      <c r="N21" s="92">
        <f>+IFERROR(VLOOKUP(CONCATENATE(A21,$C$10,C21),'ID1&amp;5'!B:J,8,FALSE),"-")</f>
        <v>1117487</v>
      </c>
      <c r="O21" s="91" t="str">
        <f>+IFERROR(VLOOKUP(C21,'ID1&amp;5'!K:L,2,FALSE),"-")</f>
        <v>2024-12-10 12:15:23.230637000</v>
      </c>
      <c r="P21" s="92">
        <f>+IFERROR(VLOOKUP(CONCATENATE(A21,$C$10,C21),'ID1&amp;5'!B:J,9,FALSE),"-")</f>
        <v>0</v>
      </c>
      <c r="Q21" s="91" t="str">
        <f>+IFERROR(VLOOKUP(D21,'ID1&amp;5'!K:L,2,FALSE),"-")</f>
        <v>2024-12-10 12:15:23.230637000</v>
      </c>
      <c r="R21" s="33">
        <f>+IFERROR(VLOOKUP(CONCATENATE(A21,$D$10,D21),'ID1&amp;5'!B:J,9,FALSE),"-")</f>
        <v>0</v>
      </c>
      <c r="S21" s="91" t="str">
        <f>+IFERROR(VLOOKUP(E21,'ID1&amp;5'!K:L,2,FALSE),"-")</f>
        <v>2024-12-10 12:15:23.230637000</v>
      </c>
      <c r="T21" s="92">
        <f>+IFERROR(VLOOKUP(CONCATENATE(A21,$E$10,E21),'ID1&amp;5'!B:J,9,FALSE),"-")</f>
        <v>79311</v>
      </c>
      <c r="U21" s="91" t="str">
        <f>+IFERROR(VLOOKUP(F21,'ID1&amp;5'!K:L,2,FALSE),"-")</f>
        <v>2024-12-10 12:15:23.230637000</v>
      </c>
      <c r="V21" s="92">
        <f>+IFERROR(VLOOKUP(CONCATENATE(A21,$F$10,F21),'ID1&amp;5'!B:J,9,FALSE),"-")</f>
        <v>1037626</v>
      </c>
      <c r="W21" s="33" t="str">
        <f>+IFERROR(VLOOKUP(A21,'ID6&amp;7'!A:I,9,FALSE),"-")</f>
        <v>0.000000</v>
      </c>
      <c r="X21" s="33" t="str">
        <f>+IFERROR(VLOOKUP(A21,'ID6&amp;7'!A:J,10,FALSE),"-")</f>
        <v>63.500000</v>
      </c>
      <c r="Y21" s="33"/>
      <c r="Z21" s="34" t="str">
        <f t="shared" si="1"/>
        <v>OK</v>
      </c>
    </row>
    <row r="22" spans="1:26">
      <c r="A22" s="27" t="str">
        <f t="shared" si="0"/>
        <v>ENTITYENBLNG_TRNVR_CCA45596</v>
      </c>
      <c r="B22" s="74">
        <f t="array" ref="B22">+MAX(IF('ID1&amp;5'!A:A='1. Status'!A22&amp;'1. Status'!$B$10,'ID1&amp;5'!K:K))</f>
        <v>9</v>
      </c>
      <c r="C22" s="67">
        <f t="array" ref="C22">+MAX(IF('ID1&amp;5'!A:A='1. Status'!A22&amp;'1. Status'!$C$10,'ID1&amp;5'!K:K))</f>
        <v>9</v>
      </c>
      <c r="D22" s="67">
        <f t="array" ref="D22">+MAX(IF('ID1&amp;5'!A:A='1. Status'!A22&amp;'1. Status'!$D$10,'ID1&amp;5'!K:K))</f>
        <v>9</v>
      </c>
      <c r="E22" s="67">
        <f t="array" ref="E22">+MAX(IF('ID1&amp;5'!A:A='1. Status'!A22&amp;'1. Status'!$E$10,'ID1&amp;5'!K:K))</f>
        <v>9</v>
      </c>
      <c r="F22" s="75">
        <f t="array" ref="F22">+MAX(IF('ID1&amp;5'!A:A='1. Status'!A22&amp;'1. Status'!$F$10,'ID1&amp;5'!K:K))</f>
        <v>9</v>
      </c>
      <c r="G22" s="67"/>
      <c r="H22" s="73" t="s">
        <v>98</v>
      </c>
      <c r="I22" s="28" t="s">
        <v>112</v>
      </c>
      <c r="J22" s="33">
        <f>+COUNTIF('ID1&amp;5'!G:G,'1. Status'!I22)</f>
        <v>5</v>
      </c>
      <c r="K22" s="92">
        <f>+IFERROR(VLOOKUP(CONCATENATE(A22,$B$10,B22),'ID1&amp;5'!B:J,8,FALSE),"-")</f>
        <v>1117455</v>
      </c>
      <c r="L22" s="91" t="str">
        <f>+IFERROR(VLOOKUP(B22,'ID1&amp;5'!K:L,2,FALSE),"-")</f>
        <v>2024-12-10 12:15:23.230637000</v>
      </c>
      <c r="M22" s="92">
        <f>+IFERROR(VLOOKUP(CONCATENATE(A22,$B$10,B22),'ID1&amp;5'!B:J,9,FALSE),"-")</f>
        <v>0</v>
      </c>
      <c r="N22" s="92">
        <f>+IFERROR(VLOOKUP(CONCATENATE(A22,$C$10,C22),'ID1&amp;5'!B:J,8,FALSE),"-")</f>
        <v>1117487</v>
      </c>
      <c r="O22" s="91" t="str">
        <f>+IFERROR(VLOOKUP(C22,'ID1&amp;5'!K:L,2,FALSE),"-")</f>
        <v>2024-12-10 12:15:23.230637000</v>
      </c>
      <c r="P22" s="92">
        <f>+IFERROR(VLOOKUP(CONCATENATE(A22,$C$10,C22),'ID1&amp;5'!B:J,9,FALSE),"-")</f>
        <v>0</v>
      </c>
      <c r="Q22" s="91" t="str">
        <f>+IFERROR(VLOOKUP(D22,'ID1&amp;5'!K:L,2,FALSE),"-")</f>
        <v>2024-12-10 12:15:23.230637000</v>
      </c>
      <c r="R22" s="33">
        <f>+IFERROR(VLOOKUP(CONCATENATE(A22,$D$10,D22),'ID1&amp;5'!B:J,9,FALSE),"-")</f>
        <v>0</v>
      </c>
      <c r="S22" s="91" t="str">
        <f>+IFERROR(VLOOKUP(E22,'ID1&amp;5'!K:L,2,FALSE),"-")</f>
        <v>2024-12-10 12:15:23.230637000</v>
      </c>
      <c r="T22" s="92">
        <f>+IFERROR(VLOOKUP(CONCATENATE(A22,$E$10,E22),'ID1&amp;5'!B:J,9,FALSE),"-")</f>
        <v>79311</v>
      </c>
      <c r="U22" s="91" t="str">
        <f>+IFERROR(VLOOKUP(F22,'ID1&amp;5'!K:L,2,FALSE),"-")</f>
        <v>2024-12-10 12:15:23.230637000</v>
      </c>
      <c r="V22" s="92">
        <f>+IFERROR(VLOOKUP(CONCATENATE(A22,$F$10,F22),'ID1&amp;5'!B:J,9,FALSE),"-")</f>
        <v>1037626</v>
      </c>
      <c r="W22" s="33" t="str">
        <f>+IFERROR(VLOOKUP(A22,'ID6&amp;7'!A:I,9,FALSE),"-")</f>
        <v>0.000000</v>
      </c>
      <c r="X22" s="33" t="str">
        <f>+IFERROR(VLOOKUP(A22,'ID6&amp;7'!A:J,10,FALSE),"-")</f>
        <v>5.590234</v>
      </c>
      <c r="Y22" s="33"/>
      <c r="Z22" s="34" t="str">
        <f t="shared" si="1"/>
        <v>OK</v>
      </c>
    </row>
    <row r="23" spans="1:26">
      <c r="A23" s="27" t="str">
        <f t="shared" si="0"/>
        <v>ENTITYTRNSTNL_TRNVR45596</v>
      </c>
      <c r="B23" s="74">
        <f t="array" ref="B23">+MAX(IF('ID1&amp;5'!A:A='1. Status'!A23&amp;'1. Status'!$B$10,'ID1&amp;5'!K:K))</f>
        <v>9</v>
      </c>
      <c r="C23" s="67">
        <f t="array" ref="C23">+MAX(IF('ID1&amp;5'!A:A='1. Status'!A23&amp;'1. Status'!$C$10,'ID1&amp;5'!K:K))</f>
        <v>9</v>
      </c>
      <c r="D23" s="67">
        <f t="array" ref="D23">+MAX(IF('ID1&amp;5'!A:A='1. Status'!A23&amp;'1. Status'!$D$10,'ID1&amp;5'!K:K))</f>
        <v>9</v>
      </c>
      <c r="E23" s="67">
        <f t="array" ref="E23">+MAX(IF('ID1&amp;5'!A:A='1. Status'!A23&amp;'1. Status'!$E$10,'ID1&amp;5'!K:K))</f>
        <v>9</v>
      </c>
      <c r="F23" s="75">
        <f t="array" ref="F23">+MAX(IF('ID1&amp;5'!A:A='1. Status'!A23&amp;'1. Status'!$F$10,'ID1&amp;5'!K:K))</f>
        <v>9</v>
      </c>
      <c r="G23" s="67"/>
      <c r="H23" s="73" t="s">
        <v>98</v>
      </c>
      <c r="I23" s="28" t="s">
        <v>113</v>
      </c>
      <c r="J23" s="33">
        <f>+COUNTIF('ID1&amp;5'!G:G,'1. Status'!I23)</f>
        <v>5</v>
      </c>
      <c r="K23" s="92">
        <f>+IFERROR(VLOOKUP(CONCATENATE(A23,$B$10,B23),'ID1&amp;5'!B:J,8,FALSE),"-")</f>
        <v>1117455</v>
      </c>
      <c r="L23" s="91" t="str">
        <f>+IFERROR(VLOOKUP(B23,'ID1&amp;5'!K:L,2,FALSE),"-")</f>
        <v>2024-12-10 12:15:23.230637000</v>
      </c>
      <c r="M23" s="92">
        <f>+IFERROR(VLOOKUP(CONCATENATE(A23,$B$10,B23),'ID1&amp;5'!B:J,9,FALSE),"-")</f>
        <v>0</v>
      </c>
      <c r="N23" s="92">
        <f>+IFERROR(VLOOKUP(CONCATENATE(A23,$C$10,C23),'ID1&amp;5'!B:J,8,FALSE),"-")</f>
        <v>1117487</v>
      </c>
      <c r="O23" s="91" t="str">
        <f>+IFERROR(VLOOKUP(C23,'ID1&amp;5'!K:L,2,FALSE),"-")</f>
        <v>2024-12-10 12:15:23.230637000</v>
      </c>
      <c r="P23" s="92">
        <f>+IFERROR(VLOOKUP(CONCATENATE(A23,$C$10,C23),'ID1&amp;5'!B:J,9,FALSE),"-")</f>
        <v>0</v>
      </c>
      <c r="Q23" s="91" t="str">
        <f>+IFERROR(VLOOKUP(D23,'ID1&amp;5'!K:L,2,FALSE),"-")</f>
        <v>2024-12-10 12:15:23.230637000</v>
      </c>
      <c r="R23" s="33">
        <f>+IFERROR(VLOOKUP(CONCATENATE(A23,$D$10,D23),'ID1&amp;5'!B:J,9,FALSE),"-")</f>
        <v>0</v>
      </c>
      <c r="S23" s="91" t="str">
        <f>+IFERROR(VLOOKUP(E23,'ID1&amp;5'!K:L,2,FALSE),"-")</f>
        <v>2024-12-10 12:15:23.230637000</v>
      </c>
      <c r="T23" s="92">
        <f>+IFERROR(VLOOKUP(CONCATENATE(A23,$E$10,E23),'ID1&amp;5'!B:J,9,FALSE),"-")</f>
        <v>79311</v>
      </c>
      <c r="U23" s="91" t="str">
        <f>+IFERROR(VLOOKUP(F23,'ID1&amp;5'!K:L,2,FALSE),"-")</f>
        <v>2024-12-10 12:15:23.230637000</v>
      </c>
      <c r="V23" s="92">
        <f>+IFERROR(VLOOKUP(CONCATENATE(A23,$F$10,F23),'ID1&amp;5'!B:J,9,FALSE),"-")</f>
        <v>1037626</v>
      </c>
      <c r="W23" s="33" t="str">
        <f>+IFERROR(VLOOKUP(A23,'ID6&amp;7'!A:I,9,FALSE),"-")</f>
        <v>0.000000</v>
      </c>
      <c r="X23" s="33" t="str">
        <f>+IFERROR(VLOOKUP(A23,'ID6&amp;7'!A:J,10,FALSE),"-")</f>
        <v>45.652640</v>
      </c>
      <c r="Y23" s="33"/>
      <c r="Z23" s="34" t="str">
        <f t="shared" si="1"/>
        <v>OK</v>
      </c>
    </row>
    <row r="24" spans="1:26">
      <c r="A24" s="27" t="str">
        <f t="shared" si="0"/>
        <v>ENTITYPURE_TRNVR_CCM45596</v>
      </c>
      <c r="B24" s="74">
        <f t="array" ref="B24">+MAX(IF('ID1&amp;5'!A:A='1. Status'!A24&amp;'1. Status'!$B$10,'ID1&amp;5'!K:K))</f>
        <v>9</v>
      </c>
      <c r="C24" s="67">
        <f t="array" ref="C24">+MAX(IF('ID1&amp;5'!A:A='1. Status'!A24&amp;'1. Status'!$C$10,'ID1&amp;5'!K:K))</f>
        <v>9</v>
      </c>
      <c r="D24" s="67">
        <f t="array" ref="D24">+MAX(IF('ID1&amp;5'!A:A='1. Status'!A24&amp;'1. Status'!$D$10,'ID1&amp;5'!K:K))</f>
        <v>9</v>
      </c>
      <c r="E24" s="67">
        <f t="array" ref="E24">+MAX(IF('ID1&amp;5'!A:A='1. Status'!A24&amp;'1. Status'!$E$10,'ID1&amp;5'!K:K))</f>
        <v>9</v>
      </c>
      <c r="F24" s="75">
        <f t="array" ref="F24">+MAX(IF('ID1&amp;5'!A:A='1. Status'!A24&amp;'1. Status'!$F$10,'ID1&amp;5'!K:K))</f>
        <v>9</v>
      </c>
      <c r="G24" s="67"/>
      <c r="H24" s="73" t="s">
        <v>98</v>
      </c>
      <c r="I24" s="28" t="s">
        <v>114</v>
      </c>
      <c r="J24" s="33">
        <f>+COUNTIF('ID1&amp;5'!G:G,'1. Status'!I24)</f>
        <v>5</v>
      </c>
      <c r="K24" s="92">
        <f>+IFERROR(VLOOKUP(CONCATENATE(A24,$B$10,B24),'ID1&amp;5'!B:J,8,FALSE),"-")</f>
        <v>1117455</v>
      </c>
      <c r="L24" s="91" t="str">
        <f>+IFERROR(VLOOKUP(B24,'ID1&amp;5'!K:L,2,FALSE),"-")</f>
        <v>2024-12-10 12:15:23.230637000</v>
      </c>
      <c r="M24" s="92">
        <f>+IFERROR(VLOOKUP(CONCATENATE(A24,$B$10,B24),'ID1&amp;5'!B:J,9,FALSE),"-")</f>
        <v>0</v>
      </c>
      <c r="N24" s="92">
        <f>+IFERROR(VLOOKUP(CONCATENATE(A24,$C$10,C24),'ID1&amp;5'!B:J,8,FALSE),"-")</f>
        <v>1117487</v>
      </c>
      <c r="O24" s="91" t="str">
        <f>+IFERROR(VLOOKUP(C24,'ID1&amp;5'!K:L,2,FALSE),"-")</f>
        <v>2024-12-10 12:15:23.230637000</v>
      </c>
      <c r="P24" s="92">
        <f>+IFERROR(VLOOKUP(CONCATENATE(A24,$C$10,C24),'ID1&amp;5'!B:J,9,FALSE),"-")</f>
        <v>0</v>
      </c>
      <c r="Q24" s="91" t="str">
        <f>+IFERROR(VLOOKUP(D24,'ID1&amp;5'!K:L,2,FALSE),"-")</f>
        <v>2024-12-10 12:15:23.230637000</v>
      </c>
      <c r="R24" s="33">
        <f>+IFERROR(VLOOKUP(CONCATENATE(A24,$D$10,D24),'ID1&amp;5'!B:J,9,FALSE),"-")</f>
        <v>0</v>
      </c>
      <c r="S24" s="91" t="str">
        <f>+IFERROR(VLOOKUP(E24,'ID1&amp;5'!K:L,2,FALSE),"-")</f>
        <v>2024-12-10 12:15:23.230637000</v>
      </c>
      <c r="T24" s="92">
        <f>+IFERROR(VLOOKUP(CONCATENATE(A24,$E$10,E24),'ID1&amp;5'!B:J,9,FALSE),"-")</f>
        <v>79311</v>
      </c>
      <c r="U24" s="91" t="str">
        <f>+IFERROR(VLOOKUP(F24,'ID1&amp;5'!K:L,2,FALSE),"-")</f>
        <v>2024-12-10 12:15:23.230637000</v>
      </c>
      <c r="V24" s="92">
        <f>+IFERROR(VLOOKUP(CONCATENATE(A24,$F$10,F24),'ID1&amp;5'!B:J,9,FALSE),"-")</f>
        <v>1037626</v>
      </c>
      <c r="W24" s="33" t="str">
        <f>+IFERROR(VLOOKUP(A24,'ID6&amp;7'!A:I,9,FALSE),"-")</f>
        <v>0.000000</v>
      </c>
      <c r="X24" s="33" t="str">
        <f>+IFERROR(VLOOKUP(A24,'ID6&amp;7'!A:J,10,FALSE),"-")</f>
        <v>49.000000</v>
      </c>
      <c r="Y24" s="33"/>
      <c r="Z24" s="34" t="str">
        <f t="shared" si="1"/>
        <v>OK</v>
      </c>
    </row>
    <row r="25" spans="1:26">
      <c r="A25" s="27" t="str">
        <f t="shared" si="0"/>
        <v>ENTITYPURE_TRNVR_CCA45596</v>
      </c>
      <c r="B25" s="74">
        <f t="array" ref="B25">+MAX(IF('ID1&amp;5'!A:A='1. Status'!A25&amp;'1. Status'!$B$10,'ID1&amp;5'!K:K))</f>
        <v>9</v>
      </c>
      <c r="C25" s="67">
        <f t="array" ref="C25">+MAX(IF('ID1&amp;5'!A:A='1. Status'!A25&amp;'1. Status'!$C$10,'ID1&amp;5'!K:K))</f>
        <v>9</v>
      </c>
      <c r="D25" s="67">
        <f t="array" ref="D25">+MAX(IF('ID1&amp;5'!A:A='1. Status'!A25&amp;'1. Status'!$D$10,'ID1&amp;5'!K:K))</f>
        <v>9</v>
      </c>
      <c r="E25" s="67">
        <f t="array" ref="E25">+MAX(IF('ID1&amp;5'!A:A='1. Status'!A25&amp;'1. Status'!$E$10,'ID1&amp;5'!K:K))</f>
        <v>9</v>
      </c>
      <c r="F25" s="75">
        <f t="array" ref="F25">+MAX(IF('ID1&amp;5'!A:A='1. Status'!A25&amp;'1. Status'!$F$10,'ID1&amp;5'!K:K))</f>
        <v>9</v>
      </c>
      <c r="G25" s="67"/>
      <c r="H25" s="73" t="s">
        <v>98</v>
      </c>
      <c r="I25" s="28" t="s">
        <v>115</v>
      </c>
      <c r="J25" s="33">
        <f>+COUNTIF('ID1&amp;5'!G:G,'1. Status'!I25)</f>
        <v>5</v>
      </c>
      <c r="K25" s="92">
        <f>+IFERROR(VLOOKUP(CONCATENATE(A25,$B$10,B25),'ID1&amp;5'!B:J,8,FALSE),"-")</f>
        <v>1117455</v>
      </c>
      <c r="L25" s="91" t="str">
        <f>+IFERROR(VLOOKUP(B25,'ID1&amp;5'!K:L,2,FALSE),"-")</f>
        <v>2024-12-10 12:15:23.230637000</v>
      </c>
      <c r="M25" s="92">
        <f>+IFERROR(VLOOKUP(CONCATENATE(A25,$B$10,B25),'ID1&amp;5'!B:J,9,FALSE),"-")</f>
        <v>0</v>
      </c>
      <c r="N25" s="92">
        <f>+IFERROR(VLOOKUP(CONCATENATE(A25,$C$10,C25),'ID1&amp;5'!B:J,8,FALSE),"-")</f>
        <v>1117487</v>
      </c>
      <c r="O25" s="91" t="str">
        <f>+IFERROR(VLOOKUP(C25,'ID1&amp;5'!K:L,2,FALSE),"-")</f>
        <v>2024-12-10 12:15:23.230637000</v>
      </c>
      <c r="P25" s="92">
        <f>+IFERROR(VLOOKUP(CONCATENATE(A25,$C$10,C25),'ID1&amp;5'!B:J,9,FALSE),"-")</f>
        <v>0</v>
      </c>
      <c r="Q25" s="91" t="str">
        <f>+IFERROR(VLOOKUP(D25,'ID1&amp;5'!K:L,2,FALSE),"-")</f>
        <v>2024-12-10 12:15:23.230637000</v>
      </c>
      <c r="R25" s="33">
        <f>+IFERROR(VLOOKUP(CONCATENATE(A25,$D$10,D25),'ID1&amp;5'!B:J,9,FALSE),"-")</f>
        <v>0</v>
      </c>
      <c r="S25" s="91" t="str">
        <f>+IFERROR(VLOOKUP(E25,'ID1&amp;5'!K:L,2,FALSE),"-")</f>
        <v>2024-12-10 12:15:23.230637000</v>
      </c>
      <c r="T25" s="92">
        <f>+IFERROR(VLOOKUP(CONCATENATE(A25,$E$10,E25),'ID1&amp;5'!B:J,9,FALSE),"-")</f>
        <v>79311</v>
      </c>
      <c r="U25" s="91" t="str">
        <f>+IFERROR(VLOOKUP(F25,'ID1&amp;5'!K:L,2,FALSE),"-")</f>
        <v>2024-12-10 12:15:23.230637000</v>
      </c>
      <c r="V25" s="92">
        <f>+IFERROR(VLOOKUP(CONCATENATE(A25,$F$10,F25),'ID1&amp;5'!B:J,9,FALSE),"-")</f>
        <v>1037626</v>
      </c>
      <c r="W25" s="33" t="str">
        <f>+IFERROR(VLOOKUP(A25,'ID6&amp;7'!A:I,9,FALSE),"-")</f>
        <v>0.000000</v>
      </c>
      <c r="X25" s="33" t="str">
        <f>+IFERROR(VLOOKUP(A25,'ID6&amp;7'!A:J,10,FALSE),"-")</f>
        <v>0.000000</v>
      </c>
      <c r="Y25" s="33"/>
      <c r="Z25" s="34" t="str">
        <f t="shared" si="1"/>
        <v>OK</v>
      </c>
    </row>
    <row r="26" spans="1:26">
      <c r="A26" s="27" t="str">
        <f t="shared" si="0"/>
        <v>ENTITYFLG_NFRD_APPLCBLTY45596</v>
      </c>
      <c r="B26" s="74">
        <f t="array" ref="B26">+MAX(IF('ID1&amp;5'!A:A='1. Status'!A26&amp;'1. Status'!$B$10,'ID1&amp;5'!K:K))</f>
        <v>0</v>
      </c>
      <c r="C26" s="67">
        <f t="array" ref="C26">+MAX(IF('ID1&amp;5'!A:A='1. Status'!A26&amp;'1. Status'!$C$10,'ID1&amp;5'!K:K))</f>
        <v>0</v>
      </c>
      <c r="D26" s="67">
        <f t="array" ref="D26">+MAX(IF('ID1&amp;5'!A:A='1. Status'!A26&amp;'1. Status'!$D$10,'ID1&amp;5'!K:K))</f>
        <v>0</v>
      </c>
      <c r="E26" s="67">
        <f t="array" ref="E26">+MAX(IF('ID1&amp;5'!A:A='1. Status'!A26&amp;'1. Status'!$E$10,'ID1&amp;5'!K:K))</f>
        <v>0</v>
      </c>
      <c r="F26" s="75">
        <f t="array" ref="F26">+MAX(IF('ID1&amp;5'!A:A='1. Status'!A26&amp;'1. Status'!$F$10,'ID1&amp;5'!K:K))</f>
        <v>0</v>
      </c>
      <c r="G26" s="67"/>
      <c r="H26" s="73" t="s">
        <v>98</v>
      </c>
      <c r="I26" s="28" t="s">
        <v>116</v>
      </c>
      <c r="J26" s="33">
        <f>+COUNTIF('ID1&amp;5'!G:G,'1. Status'!I26)</f>
        <v>5</v>
      </c>
      <c r="K26" s="92" t="str">
        <f>+IFERROR(VLOOKUP(CONCATENATE(A26,$B$10,B26),'ID1&amp;5'!B:J,8,FALSE),"-")</f>
        <v>-</v>
      </c>
      <c r="L26" s="91" t="str">
        <f>+IFERROR(VLOOKUP(B26,'ID1&amp;5'!K:L,2,FALSE),"-")</f>
        <v>-</v>
      </c>
      <c r="M26" s="92" t="str">
        <f>+IFERROR(VLOOKUP(CONCATENATE(A26,$B$10,B26),'ID1&amp;5'!B:J,9,FALSE),"-")</f>
        <v>-</v>
      </c>
      <c r="N26" s="92" t="str">
        <f>+IFERROR(VLOOKUP(CONCATENATE(A26,$C$10,C26),'ID1&amp;5'!B:J,8,FALSE),"-")</f>
        <v>-</v>
      </c>
      <c r="O26" s="91" t="str">
        <f>+IFERROR(VLOOKUP(C26,'ID1&amp;5'!K:L,2,FALSE),"-")</f>
        <v>-</v>
      </c>
      <c r="P26" s="92" t="str">
        <f>+IFERROR(VLOOKUP(CONCATENATE(A26,$C$10,C26),'ID1&amp;5'!B:J,9,FALSE),"-")</f>
        <v>-</v>
      </c>
      <c r="Q26" s="91" t="str">
        <f>+IFERROR(VLOOKUP(D26,'ID1&amp;5'!K:L,2,FALSE),"-")</f>
        <v>-</v>
      </c>
      <c r="R26" s="33" t="str">
        <f>+IFERROR(VLOOKUP(CONCATENATE(A26,$D$10,D26),'ID1&amp;5'!B:J,9,FALSE),"-")</f>
        <v>-</v>
      </c>
      <c r="S26" s="91" t="str">
        <f>+IFERROR(VLOOKUP(E26,'ID1&amp;5'!K:L,2,FALSE),"-")</f>
        <v>-</v>
      </c>
      <c r="T26" s="92" t="str">
        <f>+IFERROR(VLOOKUP(CONCATENATE(A26,$E$10,E26),'ID1&amp;5'!B:J,9,FALSE),"-")</f>
        <v>-</v>
      </c>
      <c r="U26" s="91" t="str">
        <f>+IFERROR(VLOOKUP(F26,'ID1&amp;5'!K:L,2,FALSE),"-")</f>
        <v>-</v>
      </c>
      <c r="V26" s="92" t="str">
        <f>+IFERROR(VLOOKUP(CONCATENATE(A26,$F$10,F26),'ID1&amp;5'!B:J,9,FALSE),"-")</f>
        <v>-</v>
      </c>
      <c r="W26" s="33" t="str">
        <f>+IFERROR(VLOOKUP(A26,'ID6&amp;7'!A:I,9,FALSE),"-")</f>
        <v>-</v>
      </c>
      <c r="X26" s="33" t="str">
        <f>+IFERROR(VLOOKUP(A26,'ID6&amp;7'!A:J,10,FALSE),"-")</f>
        <v>-</v>
      </c>
      <c r="Y26" s="33"/>
      <c r="Z26" s="34" t="str">
        <f t="shared" si="1"/>
        <v>Em testes</v>
      </c>
    </row>
    <row r="27" spans="1:26">
      <c r="A27" s="27" t="str">
        <f t="shared" si="0"/>
        <v>ENTITYCNTRPRTY_EMSSNS_SCP145596</v>
      </c>
      <c r="B27" s="74">
        <f t="array" ref="B27">+MAX(IF('ID1&amp;5'!A:A='1. Status'!A27&amp;'1. Status'!$B$10,'ID1&amp;5'!K:K))</f>
        <v>0</v>
      </c>
      <c r="C27" s="67">
        <f t="array" ref="C27">+MAX(IF('ID1&amp;5'!A:A='1. Status'!A27&amp;'1. Status'!$C$10,'ID1&amp;5'!K:K))</f>
        <v>0</v>
      </c>
      <c r="D27" s="67">
        <f t="array" ref="D27">+MAX(IF('ID1&amp;5'!A:A='1. Status'!A27&amp;'1. Status'!$D$10,'ID1&amp;5'!K:K))</f>
        <v>0</v>
      </c>
      <c r="E27" s="67">
        <f t="array" ref="E27">+MAX(IF('ID1&amp;5'!A:A='1. Status'!A27&amp;'1. Status'!$E$10,'ID1&amp;5'!K:K))</f>
        <v>0</v>
      </c>
      <c r="F27" s="75">
        <f t="array" ref="F27">+MAX(IF('ID1&amp;5'!A:A='1. Status'!A27&amp;'1. Status'!$F$10,'ID1&amp;5'!K:K))</f>
        <v>0</v>
      </c>
      <c r="G27" s="67"/>
      <c r="H27" s="73" t="s">
        <v>98</v>
      </c>
      <c r="I27" s="28" t="s">
        <v>117</v>
      </c>
      <c r="J27" s="33">
        <f>+COUNTIF('ID1&amp;5'!G:G,'1. Status'!I27)</f>
        <v>5</v>
      </c>
      <c r="K27" s="92" t="str">
        <f>+IFERROR(VLOOKUP(CONCATENATE(A27,$B$10,B27),'ID1&amp;5'!B:J,8,FALSE),"-")</f>
        <v>-</v>
      </c>
      <c r="L27" s="91" t="str">
        <f>+IFERROR(VLOOKUP(B27,'ID1&amp;5'!K:L,2,FALSE),"-")</f>
        <v>-</v>
      </c>
      <c r="M27" s="92" t="str">
        <f>+IFERROR(VLOOKUP(CONCATENATE(A27,$B$10,B27),'ID1&amp;5'!B:J,9,FALSE),"-")</f>
        <v>-</v>
      </c>
      <c r="N27" s="92" t="str">
        <f>+IFERROR(VLOOKUP(CONCATENATE(A27,$C$10,C27),'ID1&amp;5'!B:J,8,FALSE),"-")</f>
        <v>-</v>
      </c>
      <c r="O27" s="91" t="str">
        <f>+IFERROR(VLOOKUP(C27,'ID1&amp;5'!K:L,2,FALSE),"-")</f>
        <v>-</v>
      </c>
      <c r="P27" s="92" t="str">
        <f>+IFERROR(VLOOKUP(CONCATENATE(A27,$C$10,C27),'ID1&amp;5'!B:J,9,FALSE),"-")</f>
        <v>-</v>
      </c>
      <c r="Q27" s="91" t="str">
        <f>+IFERROR(VLOOKUP(D27,'ID1&amp;5'!K:L,2,FALSE),"-")</f>
        <v>-</v>
      </c>
      <c r="R27" s="33" t="str">
        <f>+IFERROR(VLOOKUP(CONCATENATE(A27,$D$10,D27),'ID1&amp;5'!B:J,9,FALSE),"-")</f>
        <v>-</v>
      </c>
      <c r="S27" s="91" t="str">
        <f>+IFERROR(VLOOKUP(E27,'ID1&amp;5'!K:L,2,FALSE),"-")</f>
        <v>-</v>
      </c>
      <c r="T27" s="92" t="str">
        <f>+IFERROR(VLOOKUP(CONCATENATE(A27,$E$10,E27),'ID1&amp;5'!B:J,9,FALSE),"-")</f>
        <v>-</v>
      </c>
      <c r="U27" s="91" t="str">
        <f>+IFERROR(VLOOKUP(F27,'ID1&amp;5'!K:L,2,FALSE),"-")</f>
        <v>-</v>
      </c>
      <c r="V27" s="92" t="str">
        <f>+IFERROR(VLOOKUP(CONCATENATE(A27,$F$10,F27),'ID1&amp;5'!B:J,9,FALSE),"-")</f>
        <v>-</v>
      </c>
      <c r="W27" s="33" t="str">
        <f>+IFERROR(VLOOKUP(A27,'ID6&amp;7'!A:I,9,FALSE),"-")</f>
        <v>-</v>
      </c>
      <c r="X27" s="33" t="str">
        <f>+IFERROR(VLOOKUP(A27,'ID6&amp;7'!A:J,10,FALSE),"-")</f>
        <v>-</v>
      </c>
      <c r="Y27" s="33"/>
      <c r="Z27" s="34" t="str">
        <f t="shared" si="1"/>
        <v>Em testes</v>
      </c>
    </row>
    <row r="28" spans="1:26">
      <c r="A28" s="27" t="str">
        <f t="shared" si="0"/>
        <v>ENTITYCNTRPRTY_EMSSNS_SCP245596</v>
      </c>
      <c r="B28" s="74">
        <f t="array" ref="B28">+MAX(IF('ID1&amp;5'!A:A='1. Status'!A28&amp;'1. Status'!$B$10,'ID1&amp;5'!K:K))</f>
        <v>0</v>
      </c>
      <c r="C28" s="67">
        <f t="array" ref="C28">+MAX(IF('ID1&amp;5'!A:A='1. Status'!A28&amp;'1. Status'!$C$10,'ID1&amp;5'!K:K))</f>
        <v>0</v>
      </c>
      <c r="D28" s="67">
        <f t="array" ref="D28">+MAX(IF('ID1&amp;5'!A:A='1. Status'!A28&amp;'1. Status'!$D$10,'ID1&amp;5'!K:K))</f>
        <v>0</v>
      </c>
      <c r="E28" s="67">
        <f t="array" ref="E28">+MAX(IF('ID1&amp;5'!A:A='1. Status'!A28&amp;'1. Status'!$E$10,'ID1&amp;5'!K:K))</f>
        <v>0</v>
      </c>
      <c r="F28" s="75">
        <f t="array" ref="F28">+MAX(IF('ID1&amp;5'!A:A='1. Status'!A28&amp;'1. Status'!$F$10,'ID1&amp;5'!K:K))</f>
        <v>0</v>
      </c>
      <c r="G28" s="67"/>
      <c r="H28" s="73" t="s">
        <v>98</v>
      </c>
      <c r="I28" s="28" t="s">
        <v>118</v>
      </c>
      <c r="J28" s="33">
        <f>+COUNTIF('ID1&amp;5'!G:G,'1. Status'!I28)</f>
        <v>5</v>
      </c>
      <c r="K28" s="92" t="str">
        <f>+IFERROR(VLOOKUP(CONCATENATE(A28,$B$10,B28),'ID1&amp;5'!B:J,8,FALSE),"-")</f>
        <v>-</v>
      </c>
      <c r="L28" s="91" t="str">
        <f>+IFERROR(VLOOKUP(B28,'ID1&amp;5'!K:L,2,FALSE),"-")</f>
        <v>-</v>
      </c>
      <c r="M28" s="92" t="str">
        <f>+IFERROR(VLOOKUP(CONCATENATE(A28,$B$10,B28),'ID1&amp;5'!B:J,9,FALSE),"-")</f>
        <v>-</v>
      </c>
      <c r="N28" s="92" t="str">
        <f>+IFERROR(VLOOKUP(CONCATENATE(A28,$C$10,C28),'ID1&amp;5'!B:J,8,FALSE),"-")</f>
        <v>-</v>
      </c>
      <c r="O28" s="91" t="str">
        <f>+IFERROR(VLOOKUP(C28,'ID1&amp;5'!K:L,2,FALSE),"-")</f>
        <v>-</v>
      </c>
      <c r="P28" s="92" t="str">
        <f>+IFERROR(VLOOKUP(CONCATENATE(A28,$C$10,C28),'ID1&amp;5'!B:J,9,FALSE),"-")</f>
        <v>-</v>
      </c>
      <c r="Q28" s="91" t="str">
        <f>+IFERROR(VLOOKUP(D28,'ID1&amp;5'!K:L,2,FALSE),"-")</f>
        <v>-</v>
      </c>
      <c r="R28" s="33" t="str">
        <f>+IFERROR(VLOOKUP(CONCATENATE(A28,$D$10,D28),'ID1&amp;5'!B:J,9,FALSE),"-")</f>
        <v>-</v>
      </c>
      <c r="S28" s="91" t="str">
        <f>+IFERROR(VLOOKUP(E28,'ID1&amp;5'!K:L,2,FALSE),"-")</f>
        <v>-</v>
      </c>
      <c r="T28" s="92" t="str">
        <f>+IFERROR(VLOOKUP(CONCATENATE(A28,$E$10,E28),'ID1&amp;5'!B:J,9,FALSE),"-")</f>
        <v>-</v>
      </c>
      <c r="U28" s="91" t="str">
        <f>+IFERROR(VLOOKUP(F28,'ID1&amp;5'!K:L,2,FALSE),"-")</f>
        <v>-</v>
      </c>
      <c r="V28" s="92" t="str">
        <f>+IFERROR(VLOOKUP(CONCATENATE(A28,$F$10,F28),'ID1&amp;5'!B:J,9,FALSE),"-")</f>
        <v>-</v>
      </c>
      <c r="W28" s="33" t="str">
        <f>+IFERROR(VLOOKUP(A28,'ID6&amp;7'!A:I,9,FALSE),"-")</f>
        <v>-</v>
      </c>
      <c r="X28" s="33" t="str">
        <f>+IFERROR(VLOOKUP(A28,'ID6&amp;7'!A:J,10,FALSE),"-")</f>
        <v>-</v>
      </c>
      <c r="Y28" s="33"/>
      <c r="Z28" s="34" t="str">
        <f t="shared" si="1"/>
        <v>Em testes</v>
      </c>
    </row>
    <row r="29" spans="1:26">
      <c r="A29" s="27" t="str">
        <f t="shared" si="0"/>
        <v>ENTITYCNTRPRTY_EMSSNS_SCP345596</v>
      </c>
      <c r="B29" s="74">
        <f t="array" ref="B29">+MAX(IF('ID1&amp;5'!A:A='1. Status'!A29&amp;'1. Status'!$B$10,'ID1&amp;5'!K:K))</f>
        <v>0</v>
      </c>
      <c r="C29" s="67">
        <f t="array" ref="C29">+MAX(IF('ID1&amp;5'!A:A='1. Status'!A29&amp;'1. Status'!$C$10,'ID1&amp;5'!K:K))</f>
        <v>0</v>
      </c>
      <c r="D29" s="67">
        <f t="array" ref="D29">+MAX(IF('ID1&amp;5'!A:A='1. Status'!A29&amp;'1. Status'!$D$10,'ID1&amp;5'!K:K))</f>
        <v>0</v>
      </c>
      <c r="E29" s="67">
        <f t="array" ref="E29">+MAX(IF('ID1&amp;5'!A:A='1. Status'!A29&amp;'1. Status'!$E$10,'ID1&amp;5'!K:K))</f>
        <v>0</v>
      </c>
      <c r="F29" s="75">
        <f t="array" ref="F29">+MAX(IF('ID1&amp;5'!A:A='1. Status'!A29&amp;'1. Status'!$F$10,'ID1&amp;5'!K:K))</f>
        <v>0</v>
      </c>
      <c r="G29" s="67"/>
      <c r="H29" s="73" t="s">
        <v>98</v>
      </c>
      <c r="I29" s="28" t="s">
        <v>119</v>
      </c>
      <c r="J29" s="33">
        <f>+COUNTIF('ID1&amp;5'!G:G,'1. Status'!I29)</f>
        <v>5</v>
      </c>
      <c r="K29" s="92" t="str">
        <f>+IFERROR(VLOOKUP(CONCATENATE(A29,$B$10,B29),'ID1&amp;5'!B:J,8,FALSE),"-")</f>
        <v>-</v>
      </c>
      <c r="L29" s="91" t="str">
        <f>+IFERROR(VLOOKUP(B29,'ID1&amp;5'!K:L,2,FALSE),"-")</f>
        <v>-</v>
      </c>
      <c r="M29" s="92" t="str">
        <f>+IFERROR(VLOOKUP(CONCATENATE(A29,$B$10,B29),'ID1&amp;5'!B:J,9,FALSE),"-")</f>
        <v>-</v>
      </c>
      <c r="N29" s="92" t="str">
        <f>+IFERROR(VLOOKUP(CONCATENATE(A29,$C$10,C29),'ID1&amp;5'!B:J,8,FALSE),"-")</f>
        <v>-</v>
      </c>
      <c r="O29" s="91" t="str">
        <f>+IFERROR(VLOOKUP(C29,'ID1&amp;5'!K:L,2,FALSE),"-")</f>
        <v>-</v>
      </c>
      <c r="P29" s="92" t="str">
        <f>+IFERROR(VLOOKUP(CONCATENATE(A29,$C$10,C29),'ID1&amp;5'!B:J,9,FALSE),"-")</f>
        <v>-</v>
      </c>
      <c r="Q29" s="91" t="str">
        <f>+IFERROR(VLOOKUP(D29,'ID1&amp;5'!K:L,2,FALSE),"-")</f>
        <v>-</v>
      </c>
      <c r="R29" s="33" t="str">
        <f>+IFERROR(VLOOKUP(CONCATENATE(A29,$D$10,D29),'ID1&amp;5'!B:J,9,FALSE),"-")</f>
        <v>-</v>
      </c>
      <c r="S29" s="91" t="str">
        <f>+IFERROR(VLOOKUP(E29,'ID1&amp;5'!K:L,2,FALSE),"-")</f>
        <v>-</v>
      </c>
      <c r="T29" s="92" t="str">
        <f>+IFERROR(VLOOKUP(CONCATENATE(A29,$E$10,E29),'ID1&amp;5'!B:J,9,FALSE),"-")</f>
        <v>-</v>
      </c>
      <c r="U29" s="91" t="str">
        <f>+IFERROR(VLOOKUP(F29,'ID1&amp;5'!K:L,2,FALSE),"-")</f>
        <v>-</v>
      </c>
      <c r="V29" s="92" t="str">
        <f>+IFERROR(VLOOKUP(CONCATENATE(A29,$F$10,F29),'ID1&amp;5'!B:J,9,FALSE),"-")</f>
        <v>-</v>
      </c>
      <c r="W29" s="33" t="str">
        <f>+IFERROR(VLOOKUP(A29,'ID6&amp;7'!A:I,9,FALSE),"-")</f>
        <v>-</v>
      </c>
      <c r="X29" s="33" t="str">
        <f>+IFERROR(VLOOKUP(A29,'ID6&amp;7'!A:J,10,FALSE),"-")</f>
        <v>-</v>
      </c>
      <c r="Y29" s="33"/>
      <c r="Z29" s="34" t="str">
        <f t="shared" si="1"/>
        <v>Em testes</v>
      </c>
    </row>
    <row r="30" spans="1:26">
      <c r="A30" s="27" t="str">
        <f t="shared" si="0"/>
        <v>ENTITYFLG_EXCLDD_EU_PRS_ALGND_BNCHMRK45596</v>
      </c>
      <c r="B30" s="74">
        <f t="array" ref="B30">+MAX(IF('ID1&amp;5'!A:A='1. Status'!A30&amp;'1. Status'!$B$10,'ID1&amp;5'!K:K))</f>
        <v>7</v>
      </c>
      <c r="C30" s="67">
        <f t="array" ref="C30">+MAX(IF('ID1&amp;5'!A:A='1. Status'!A30&amp;'1. Status'!$C$10,'ID1&amp;5'!K:K))</f>
        <v>0</v>
      </c>
      <c r="D30" s="67">
        <f t="array" ref="D30">+MAX(IF('ID1&amp;5'!A:A='1. Status'!A30&amp;'1. Status'!$D$10,'ID1&amp;5'!K:K))</f>
        <v>0</v>
      </c>
      <c r="E30" s="67">
        <f t="array" ref="E30">+MAX(IF('ID1&amp;5'!A:A='1. Status'!A30&amp;'1. Status'!$E$10,'ID1&amp;5'!K:K))</f>
        <v>0</v>
      </c>
      <c r="F30" s="75">
        <f t="array" ref="F30">+MAX(IF('ID1&amp;5'!A:A='1. Status'!A30&amp;'1. Status'!$F$10,'ID1&amp;5'!K:K))</f>
        <v>0</v>
      </c>
      <c r="G30" s="67"/>
      <c r="H30" s="73" t="s">
        <v>98</v>
      </c>
      <c r="I30" s="28" t="s">
        <v>120</v>
      </c>
      <c r="J30" s="33">
        <f>+COUNTIF('ID1&amp;5'!G:G,'1. Status'!I30)</f>
        <v>6</v>
      </c>
      <c r="K30" s="92">
        <f>+IFERROR(VLOOKUP(CONCATENATE(A30,$B$10,B30),'ID1&amp;5'!B:J,8,FALSE),"-")</f>
        <v>1117455</v>
      </c>
      <c r="L30" s="91" t="str">
        <f>+IFERROR(VLOOKUP(B30,'ID1&amp;5'!K:L,2,FALSE),"-")</f>
        <v>2024-12-09 23:51:42.406642000</v>
      </c>
      <c r="M30" s="92">
        <f>+IFERROR(VLOOKUP(CONCATENATE(A30,$B$10,B30),'ID1&amp;5'!B:J,9,FALSE),"-")</f>
        <v>14</v>
      </c>
      <c r="N30" s="92" t="str">
        <f>+IFERROR(VLOOKUP(CONCATENATE(A30,$C$10,C30),'ID1&amp;5'!B:J,8,FALSE),"-")</f>
        <v>-</v>
      </c>
      <c r="O30" s="91" t="str">
        <f>+IFERROR(VLOOKUP(C30,'ID1&amp;5'!K:L,2,FALSE),"-")</f>
        <v>-</v>
      </c>
      <c r="P30" s="92" t="str">
        <f>+IFERROR(VLOOKUP(CONCATENATE(A30,$C$10,C30),'ID1&amp;5'!B:J,9,FALSE),"-")</f>
        <v>-</v>
      </c>
      <c r="Q30" s="91" t="str">
        <f>+IFERROR(VLOOKUP(D30,'ID1&amp;5'!K:L,2,FALSE),"-")</f>
        <v>-</v>
      </c>
      <c r="R30" s="33" t="str">
        <f>+IFERROR(VLOOKUP(CONCATENATE(A30,$D$10,D30),'ID1&amp;5'!B:J,9,FALSE),"-")</f>
        <v>-</v>
      </c>
      <c r="S30" s="91" t="str">
        <f>+IFERROR(VLOOKUP(E30,'ID1&amp;5'!K:L,2,FALSE),"-")</f>
        <v>-</v>
      </c>
      <c r="T30" s="92" t="str">
        <f>+IFERROR(VLOOKUP(CONCATENATE(A30,$E$10,E30),'ID1&amp;5'!B:J,9,FALSE),"-")</f>
        <v>-</v>
      </c>
      <c r="U30" s="91" t="str">
        <f>+IFERROR(VLOOKUP(F30,'ID1&amp;5'!K:L,2,FALSE),"-")</f>
        <v>-</v>
      </c>
      <c r="V30" s="92" t="str">
        <f>+IFERROR(VLOOKUP(CONCATENATE(A30,$F$10,F30),'ID1&amp;5'!B:J,9,FALSE),"-")</f>
        <v>-</v>
      </c>
      <c r="W30" s="33" t="str">
        <f>+IFERROR(VLOOKUP(A30,'ID6&amp;7'!A:I,9,FALSE),"-")</f>
        <v>N</v>
      </c>
      <c r="X30" s="33" t="str">
        <f>+IFERROR(VLOOKUP(A30,'ID6&amp;7'!A:J,10,FALSE),"-")</f>
        <v>Y</v>
      </c>
      <c r="Y30" s="33"/>
      <c r="Z30" s="34" t="str">
        <f t="shared" si="1"/>
        <v>Em testes</v>
      </c>
    </row>
    <row r="31" spans="1:26">
      <c r="A31" s="27" t="str">
        <f t="shared" si="0"/>
        <v>ENTITYFLG_ACT_PHYSCL_RSK45596</v>
      </c>
      <c r="B31" s="74">
        <f t="array" ref="B31">+MAX(IF('ID1&amp;5'!A:A='1. Status'!A31&amp;'1. Status'!$B$10,'ID1&amp;5'!K:K))</f>
        <v>0</v>
      </c>
      <c r="C31" s="67">
        <f t="array" ref="C31">+MAX(IF('ID1&amp;5'!A:A='1. Status'!A31&amp;'1. Status'!$C$10,'ID1&amp;5'!K:K))</f>
        <v>0</v>
      </c>
      <c r="D31" s="67">
        <f t="array" ref="D31">+MAX(IF('ID1&amp;5'!A:A='1. Status'!A31&amp;'1. Status'!$D$10,'ID1&amp;5'!K:K))</f>
        <v>0</v>
      </c>
      <c r="E31" s="67">
        <f t="array" ref="E31">+MAX(IF('ID1&amp;5'!A:A='1. Status'!A31&amp;'1. Status'!$E$10,'ID1&amp;5'!K:K))</f>
        <v>0</v>
      </c>
      <c r="F31" s="75">
        <f t="array" ref="F31">+MAX(IF('ID1&amp;5'!A:A='1. Status'!A31&amp;'1. Status'!$F$10,'ID1&amp;5'!K:K))</f>
        <v>0</v>
      </c>
      <c r="G31" s="67"/>
      <c r="H31" s="73" t="s">
        <v>98</v>
      </c>
      <c r="I31" s="28" t="s">
        <v>121</v>
      </c>
      <c r="J31" s="33">
        <f>+COUNTIF('ID1&amp;5'!G:G,'1. Status'!I31)</f>
        <v>15</v>
      </c>
      <c r="K31" s="92" t="str">
        <f>+IFERROR(VLOOKUP(CONCATENATE(A31,$B$10,B31),'ID1&amp;5'!B:J,8,FALSE),"-")</f>
        <v>-</v>
      </c>
      <c r="L31" s="91" t="str">
        <f>+IFERROR(VLOOKUP(B31,'ID1&amp;5'!K:L,2,FALSE),"-")</f>
        <v>-</v>
      </c>
      <c r="M31" s="92" t="str">
        <f>+IFERROR(VLOOKUP(CONCATENATE(A31,$B$10,B31),'ID1&amp;5'!B:J,9,FALSE),"-")</f>
        <v>-</v>
      </c>
      <c r="N31" s="92" t="str">
        <f>+IFERROR(VLOOKUP(CONCATENATE(A31,$C$10,C31),'ID1&amp;5'!B:J,8,FALSE),"-")</f>
        <v>-</v>
      </c>
      <c r="O31" s="91" t="str">
        <f>+IFERROR(VLOOKUP(C31,'ID1&amp;5'!K:L,2,FALSE),"-")</f>
        <v>-</v>
      </c>
      <c r="P31" s="92" t="str">
        <f>+IFERROR(VLOOKUP(CONCATENATE(A31,$C$10,C31),'ID1&amp;5'!B:J,9,FALSE),"-")</f>
        <v>-</v>
      </c>
      <c r="Q31" s="91" t="str">
        <f>+IFERROR(VLOOKUP(D31,'ID1&amp;5'!K:L,2,FALSE),"-")</f>
        <v>-</v>
      </c>
      <c r="R31" s="33" t="str">
        <f>+IFERROR(VLOOKUP(CONCATENATE(A31,$D$10,D31),'ID1&amp;5'!B:J,9,FALSE),"-")</f>
        <v>-</v>
      </c>
      <c r="S31" s="91" t="str">
        <f>+IFERROR(VLOOKUP(E31,'ID1&amp;5'!K:L,2,FALSE),"-")</f>
        <v>-</v>
      </c>
      <c r="T31" s="92" t="str">
        <f>+IFERROR(VLOOKUP(CONCATENATE(A31,$E$10,E31),'ID1&amp;5'!B:J,9,FALSE),"-")</f>
        <v>-</v>
      </c>
      <c r="U31" s="91" t="str">
        <f>+IFERROR(VLOOKUP(F31,'ID1&amp;5'!K:L,2,FALSE),"-")</f>
        <v>-</v>
      </c>
      <c r="V31" s="92" t="str">
        <f>+IFERROR(VLOOKUP(CONCATENATE(A31,$F$10,F31),'ID1&amp;5'!B:J,9,FALSE),"-")</f>
        <v>-</v>
      </c>
      <c r="W31" s="33" t="str">
        <f>+IFERROR(VLOOKUP(A31,'ID6&amp;7'!A:I,9,FALSE),"-")</f>
        <v>-</v>
      </c>
      <c r="X31" s="33" t="str">
        <f>+IFERROR(VLOOKUP(A31,'ID6&amp;7'!A:J,10,FALSE),"-")</f>
        <v>-</v>
      </c>
      <c r="Y31" s="33"/>
      <c r="Z31" s="34" t="str">
        <f t="shared" si="1"/>
        <v>Em testes</v>
      </c>
    </row>
    <row r="32" spans="1:26">
      <c r="A32" s="27" t="str">
        <f t="shared" si="0"/>
        <v>ENTITYFLG_CHRNC_PHYSCL_RSK45596</v>
      </c>
      <c r="B32" s="74">
        <f t="array" ref="B32">+MAX(IF('ID1&amp;5'!A:A='1. Status'!A32&amp;'1. Status'!$B$10,'ID1&amp;5'!K:K))</f>
        <v>0</v>
      </c>
      <c r="C32" s="67">
        <f t="array" ref="C32">+MAX(IF('ID1&amp;5'!A:A='1. Status'!A32&amp;'1. Status'!$C$10,'ID1&amp;5'!K:K))</f>
        <v>0</v>
      </c>
      <c r="D32" s="67">
        <f t="array" ref="D32">+MAX(IF('ID1&amp;5'!A:A='1. Status'!A32&amp;'1. Status'!$D$10,'ID1&amp;5'!K:K))</f>
        <v>0</v>
      </c>
      <c r="E32" s="67">
        <f t="array" ref="E32">+MAX(IF('ID1&amp;5'!A:A='1. Status'!A32&amp;'1. Status'!$E$10,'ID1&amp;5'!K:K))</f>
        <v>0</v>
      </c>
      <c r="F32" s="75">
        <f t="array" ref="F32">+MAX(IF('ID1&amp;5'!A:A='1. Status'!A32&amp;'1. Status'!$F$10,'ID1&amp;5'!K:K))</f>
        <v>0</v>
      </c>
      <c r="G32" s="67"/>
      <c r="H32" s="73" t="s">
        <v>98</v>
      </c>
      <c r="I32" s="28" t="s">
        <v>122</v>
      </c>
      <c r="J32" s="33">
        <f>+COUNTIF('ID1&amp;5'!G:G,'1. Status'!I32)</f>
        <v>5</v>
      </c>
      <c r="K32" s="92" t="str">
        <f>+IFERROR(VLOOKUP(CONCATENATE(A32,$B$10,B32),'ID1&amp;5'!B:J,8,FALSE),"-")</f>
        <v>-</v>
      </c>
      <c r="L32" s="91" t="str">
        <f>+IFERROR(VLOOKUP(B32,'ID1&amp;5'!K:L,2,FALSE),"-")</f>
        <v>-</v>
      </c>
      <c r="M32" s="92" t="str">
        <f>+IFERROR(VLOOKUP(CONCATENATE(A32,$B$10,B32),'ID1&amp;5'!B:J,9,FALSE),"-")</f>
        <v>-</v>
      </c>
      <c r="N32" s="92" t="str">
        <f>+IFERROR(VLOOKUP(CONCATENATE(A32,$C$10,C32),'ID1&amp;5'!B:J,8,FALSE),"-")</f>
        <v>-</v>
      </c>
      <c r="O32" s="91" t="str">
        <f>+IFERROR(VLOOKUP(C32,'ID1&amp;5'!K:L,2,FALSE),"-")</f>
        <v>-</v>
      </c>
      <c r="P32" s="92" t="str">
        <f>+IFERROR(VLOOKUP(CONCATENATE(A32,$C$10,C32),'ID1&amp;5'!B:J,9,FALSE),"-")</f>
        <v>-</v>
      </c>
      <c r="Q32" s="91" t="str">
        <f>+IFERROR(VLOOKUP(D32,'ID1&amp;5'!K:L,2,FALSE),"-")</f>
        <v>-</v>
      </c>
      <c r="R32" s="33" t="str">
        <f>+IFERROR(VLOOKUP(CONCATENATE(A32,$D$10,D32),'ID1&amp;5'!B:J,9,FALSE),"-")</f>
        <v>-</v>
      </c>
      <c r="S32" s="91" t="str">
        <f>+IFERROR(VLOOKUP(E32,'ID1&amp;5'!K:L,2,FALSE),"-")</f>
        <v>-</v>
      </c>
      <c r="T32" s="92" t="str">
        <f>+IFERROR(VLOOKUP(CONCATENATE(A32,$E$10,E32),'ID1&amp;5'!B:J,9,FALSE),"-")</f>
        <v>-</v>
      </c>
      <c r="U32" s="91" t="str">
        <f>+IFERROR(VLOOKUP(F32,'ID1&amp;5'!K:L,2,FALSE),"-")</f>
        <v>-</v>
      </c>
      <c r="V32" s="92" t="str">
        <f>+IFERROR(VLOOKUP(CONCATENATE(A32,$F$10,F32),'ID1&amp;5'!B:J,9,FALSE),"-")</f>
        <v>-</v>
      </c>
      <c r="W32" s="33" t="str">
        <f>+IFERROR(VLOOKUP(A32,'ID6&amp;7'!A:I,9,FALSE),"-")</f>
        <v>-</v>
      </c>
      <c r="X32" s="33" t="str">
        <f>+IFERROR(VLOOKUP(A32,'ID6&amp;7'!A:J,10,FALSE),"-")</f>
        <v>-</v>
      </c>
      <c r="Y32" s="33"/>
      <c r="Z32" s="34" t="str">
        <f t="shared" si="1"/>
        <v>Em testes</v>
      </c>
    </row>
    <row r="33" spans="1:26">
      <c r="A33" s="27" t="str">
        <f t="shared" si="0"/>
        <v>ENTITYPST_CD45596</v>
      </c>
      <c r="B33" s="74">
        <f t="array" ref="B33">+MAX(IF('ID1&amp;5'!A:A='1. Status'!A33&amp;'1. Status'!$B$10,'ID1&amp;5'!K:K))</f>
        <v>1</v>
      </c>
      <c r="C33" s="67">
        <f t="array" ref="C33">+MAX(IF('ID1&amp;5'!A:A='1. Status'!A33&amp;'1. Status'!$C$10,'ID1&amp;5'!K:K))</f>
        <v>1</v>
      </c>
      <c r="D33" s="67">
        <f t="array" ref="D33">+MAX(IF('ID1&amp;5'!A:A='1. Status'!A33&amp;'1. Status'!$D$10,'ID1&amp;5'!K:K))</f>
        <v>1</v>
      </c>
      <c r="E33" s="67">
        <f t="array" ref="E33">+MAX(IF('ID1&amp;5'!A:A='1. Status'!A33&amp;'1. Status'!$E$10,'ID1&amp;5'!K:K))</f>
        <v>1</v>
      </c>
      <c r="F33" s="75">
        <f t="array" ref="F33">+MAX(IF('ID1&amp;5'!A:A='1. Status'!A33&amp;'1. Status'!$F$10,'ID1&amp;5'!K:K))</f>
        <v>1</v>
      </c>
      <c r="G33" s="67"/>
      <c r="H33" s="73" t="s">
        <v>98</v>
      </c>
      <c r="I33" s="28" t="s">
        <v>123</v>
      </c>
      <c r="J33" s="33">
        <f>+COUNTIF('ID1&amp;5'!G:G,'1. Status'!I33)</f>
        <v>5</v>
      </c>
      <c r="K33" s="92">
        <f>+IFERROR(VLOOKUP(CONCATENATE(A33,$B$10,B33),'ID1&amp;5'!B:J,8,FALSE),"-")</f>
        <v>1113839</v>
      </c>
      <c r="L33" s="91" t="str">
        <f>+IFERROR(VLOOKUP(B33,'ID1&amp;5'!K:L,2,FALSE),"-")</f>
        <v>2024-11-08 12:06:55.054517000</v>
      </c>
      <c r="M33" s="92">
        <f>+IFERROR(VLOOKUP(CONCATENATE(A33,$B$10,B33),'ID1&amp;5'!B:J,9,FALSE),"-")</f>
        <v>0</v>
      </c>
      <c r="N33" s="92">
        <f>+IFERROR(VLOOKUP(CONCATENATE(A33,$C$10,C33),'ID1&amp;5'!B:J,8,FALSE),"-")</f>
        <v>1113801</v>
      </c>
      <c r="O33" s="91" t="str">
        <f>+IFERROR(VLOOKUP(C33,'ID1&amp;5'!K:L,2,FALSE),"-")</f>
        <v>2024-11-08 12:06:55.054517000</v>
      </c>
      <c r="P33" s="92">
        <f>+IFERROR(VLOOKUP(CONCATENATE(A33,$C$10,C33),'ID1&amp;5'!B:J,9,FALSE),"-")</f>
        <v>0</v>
      </c>
      <c r="Q33" s="91" t="str">
        <f>+IFERROR(VLOOKUP(D33,'ID1&amp;5'!K:L,2,FALSE),"-")</f>
        <v>2024-11-08 12:06:55.054517000</v>
      </c>
      <c r="R33" s="33">
        <f>+IFERROR(VLOOKUP(CONCATENATE(A33,$D$10,D33),'ID1&amp;5'!B:J,9,FALSE),"-")</f>
        <v>0</v>
      </c>
      <c r="S33" s="91" t="str">
        <f>+IFERROR(VLOOKUP(E33,'ID1&amp;5'!K:L,2,FALSE),"-")</f>
        <v>2024-11-08 12:06:55.054517000</v>
      </c>
      <c r="T33" s="92">
        <f>+IFERROR(VLOOKUP(CONCATENATE(A33,$E$10,E33),'ID1&amp;5'!B:J,9,FALSE),"-")</f>
        <v>29</v>
      </c>
      <c r="U33" s="91" t="str">
        <f>+IFERROR(VLOOKUP(F33,'ID1&amp;5'!K:L,2,FALSE),"-")</f>
        <v>2024-11-08 12:06:55.054517000</v>
      </c>
      <c r="V33" s="92">
        <f>+IFERROR(VLOOKUP(CONCATENATE(A33,$F$10,F33),'ID1&amp;5'!B:J,9,FALSE),"-")</f>
        <v>0</v>
      </c>
      <c r="W33" s="33" t="str">
        <f>+IFERROR(VLOOKUP(A33,'ID6&amp;7'!A:I,9,FALSE),"-")</f>
        <v>-</v>
      </c>
      <c r="X33" s="33" t="str">
        <f>+IFERROR(VLOOKUP(A33,'ID6&amp;7'!A:J,10,FALSE),"-")</f>
        <v>-</v>
      </c>
      <c r="Y33" s="90" t="s">
        <v>124</v>
      </c>
      <c r="Z33" s="34" t="str">
        <f t="shared" si="1"/>
        <v>OK</v>
      </c>
    </row>
    <row r="34" spans="1:26">
      <c r="A34" s="27" t="str">
        <f t="shared" si="0"/>
        <v>ENTITYESG_SBSCTR45596</v>
      </c>
      <c r="B34" s="74">
        <f t="array" ref="B34">+MAX(IF('ID1&amp;5'!A:A='1. Status'!A34&amp;'1. Status'!$B$10,'ID1&amp;5'!K:K))</f>
        <v>7</v>
      </c>
      <c r="C34" s="67">
        <f t="array" ref="C34">+MAX(IF('ID1&amp;5'!A:A='1. Status'!A34&amp;'1. Status'!$C$10,'ID1&amp;5'!K:K))</f>
        <v>0</v>
      </c>
      <c r="D34" s="67">
        <f t="array" ref="D34">+MAX(IF('ID1&amp;5'!A:A='1. Status'!A34&amp;'1. Status'!$D$10,'ID1&amp;5'!K:K))</f>
        <v>0</v>
      </c>
      <c r="E34" s="67">
        <f t="array" ref="E34">+MAX(IF('ID1&amp;5'!A:A='1. Status'!A34&amp;'1. Status'!$E$10,'ID1&amp;5'!K:K))</f>
        <v>0</v>
      </c>
      <c r="F34" s="75">
        <f t="array" ref="F34">+MAX(IF('ID1&amp;5'!A:A='1. Status'!A34&amp;'1. Status'!$F$10,'ID1&amp;5'!K:K))</f>
        <v>0</v>
      </c>
      <c r="G34" s="67"/>
      <c r="H34" s="73" t="s">
        <v>98</v>
      </c>
      <c r="I34" s="28" t="s">
        <v>125</v>
      </c>
      <c r="J34" s="33">
        <f>+COUNTIF('ID1&amp;5'!G:G,'1. Status'!I34)</f>
        <v>6</v>
      </c>
      <c r="K34" s="92">
        <f>+IFERROR(VLOOKUP(CONCATENATE(A34,$B$10,B34),'ID1&amp;5'!B:J,8,FALSE),"-")</f>
        <v>1117455</v>
      </c>
      <c r="L34" s="91" t="str">
        <f>+IFERROR(VLOOKUP(B34,'ID1&amp;5'!K:L,2,FALSE),"-")</f>
        <v>2024-12-09 23:51:42.406642000</v>
      </c>
      <c r="M34" s="92">
        <f>+IFERROR(VLOOKUP(CONCATENATE(A34,$B$10,B34),'ID1&amp;5'!B:J,9,FALSE),"-")</f>
        <v>104</v>
      </c>
      <c r="N34" s="92" t="str">
        <f>+IFERROR(VLOOKUP(CONCATENATE(A34,$C$10,C34),'ID1&amp;5'!B:J,8,FALSE),"-")</f>
        <v>-</v>
      </c>
      <c r="O34" s="91" t="str">
        <f>+IFERROR(VLOOKUP(C34,'ID1&amp;5'!K:L,2,FALSE),"-")</f>
        <v>-</v>
      </c>
      <c r="P34" s="92" t="str">
        <f>+IFERROR(VLOOKUP(CONCATENATE(A34,$C$10,C34),'ID1&amp;5'!B:J,9,FALSE),"-")</f>
        <v>-</v>
      </c>
      <c r="Q34" s="91" t="str">
        <f>+IFERROR(VLOOKUP(D34,'ID1&amp;5'!K:L,2,FALSE),"-")</f>
        <v>-</v>
      </c>
      <c r="R34" s="33" t="str">
        <f>+IFERROR(VLOOKUP(CONCATENATE(A34,$D$10,D34),'ID1&amp;5'!B:J,9,FALSE),"-")</f>
        <v>-</v>
      </c>
      <c r="S34" s="91" t="str">
        <f>+IFERROR(VLOOKUP(E34,'ID1&amp;5'!K:L,2,FALSE),"-")</f>
        <v>-</v>
      </c>
      <c r="T34" s="92" t="str">
        <f>+IFERROR(VLOOKUP(CONCATENATE(A34,$E$10,E34),'ID1&amp;5'!B:J,9,FALSE),"-")</f>
        <v>-</v>
      </c>
      <c r="U34" s="91" t="str">
        <f>+IFERROR(VLOOKUP(F34,'ID1&amp;5'!K:L,2,FALSE),"-")</f>
        <v>-</v>
      </c>
      <c r="V34" s="92" t="str">
        <f>+IFERROR(VLOOKUP(CONCATENATE(A34,$F$10,F34),'ID1&amp;5'!B:J,9,FALSE),"-")</f>
        <v>-</v>
      </c>
      <c r="W34" s="33" t="str">
        <f>+IFERROR(VLOOKUP(A34,'ID6&amp;7'!A:I,9,FALSE),"-")</f>
        <v>ESGS1</v>
      </c>
      <c r="X34" s="33" t="str">
        <f>+IFERROR(VLOOKUP(A34,'ID6&amp;7'!A:J,10,FALSE),"-")</f>
        <v>ESGS5</v>
      </c>
      <c r="Y34" s="33"/>
      <c r="Z34" s="34" t="str">
        <f t="shared" si="1"/>
        <v>Em testes</v>
      </c>
    </row>
    <row r="35" spans="1:26">
      <c r="A35" s="27" t="str">
        <f t="shared" si="0"/>
        <v>ENTITYTTL_LBLTY45596</v>
      </c>
      <c r="B35" s="74">
        <f t="array" ref="B35">+MAX(IF('ID1&amp;5'!A:A='1. Status'!A35&amp;'1. Status'!$B$10,'ID1&amp;5'!K:K))</f>
        <v>7</v>
      </c>
      <c r="C35" s="67">
        <f t="array" ref="C35">+MAX(IF('ID1&amp;5'!A:A='1. Status'!A35&amp;'1. Status'!$C$10,'ID1&amp;5'!K:K))</f>
        <v>0</v>
      </c>
      <c r="D35" s="67">
        <f t="array" ref="D35">+MAX(IF('ID1&amp;5'!A:A='1. Status'!A35&amp;'1. Status'!$D$10,'ID1&amp;5'!K:K))</f>
        <v>0</v>
      </c>
      <c r="E35" s="67">
        <f t="array" ref="E35">+MAX(IF('ID1&amp;5'!A:A='1. Status'!A35&amp;'1. Status'!$E$10,'ID1&amp;5'!K:K))</f>
        <v>0</v>
      </c>
      <c r="F35" s="75">
        <f t="array" ref="F35">+MAX(IF('ID1&amp;5'!A:A='1. Status'!A35&amp;'1. Status'!$F$10,'ID1&amp;5'!K:K))</f>
        <v>0</v>
      </c>
      <c r="G35" s="67"/>
      <c r="H35" s="73" t="s">
        <v>98</v>
      </c>
      <c r="I35" s="28" t="s">
        <v>126</v>
      </c>
      <c r="J35" s="33">
        <f>+COUNTIF('ID1&amp;5'!G:G,'1. Status'!I35)</f>
        <v>6</v>
      </c>
      <c r="K35" s="92">
        <f>+IFERROR(VLOOKUP(CONCATENATE(A35,$B$10,B35),'ID1&amp;5'!B:J,8,FALSE),"-")</f>
        <v>1117455</v>
      </c>
      <c r="L35" s="91" t="str">
        <f>+IFERROR(VLOOKUP(B35,'ID1&amp;5'!K:L,2,FALSE),"-")</f>
        <v>2024-12-09 23:51:42.406642000</v>
      </c>
      <c r="M35" s="92">
        <f>+IFERROR(VLOOKUP(CONCATENATE(A35,$B$10,B35),'ID1&amp;5'!B:J,9,FALSE),"-")</f>
        <v>124</v>
      </c>
      <c r="N35" s="92" t="str">
        <f>+IFERROR(VLOOKUP(CONCATENATE(A35,$C$10,C35),'ID1&amp;5'!B:J,8,FALSE),"-")</f>
        <v>-</v>
      </c>
      <c r="O35" s="91" t="str">
        <f>+IFERROR(VLOOKUP(C35,'ID1&amp;5'!K:L,2,FALSE),"-")</f>
        <v>-</v>
      </c>
      <c r="P35" s="92" t="str">
        <f>+IFERROR(VLOOKUP(CONCATENATE(A35,$C$10,C35),'ID1&amp;5'!B:J,9,FALSE),"-")</f>
        <v>-</v>
      </c>
      <c r="Q35" s="91" t="str">
        <f>+IFERROR(VLOOKUP(D35,'ID1&amp;5'!K:L,2,FALSE),"-")</f>
        <v>-</v>
      </c>
      <c r="R35" s="33" t="str">
        <f>+IFERROR(VLOOKUP(CONCATENATE(A35,$D$10,D35),'ID1&amp;5'!B:J,9,FALSE),"-")</f>
        <v>-</v>
      </c>
      <c r="S35" s="91" t="str">
        <f>+IFERROR(VLOOKUP(E35,'ID1&amp;5'!K:L,2,FALSE),"-")</f>
        <v>-</v>
      </c>
      <c r="T35" s="92" t="str">
        <f>+IFERROR(VLOOKUP(CONCATENATE(A35,$E$10,E35),'ID1&amp;5'!B:J,9,FALSE),"-")</f>
        <v>-</v>
      </c>
      <c r="U35" s="91" t="str">
        <f>+IFERROR(VLOOKUP(F35,'ID1&amp;5'!K:L,2,FALSE),"-")</f>
        <v>-</v>
      </c>
      <c r="V35" s="92" t="str">
        <f>+IFERROR(VLOOKUP(CONCATENATE(A35,$F$10,F35),'ID1&amp;5'!B:J,9,FALSE),"-")</f>
        <v>-</v>
      </c>
      <c r="W35" s="33" t="str">
        <f>+IFERROR(VLOOKUP(A35,'ID6&amp;7'!A:I,9,FALSE),"-")</f>
        <v>-</v>
      </c>
      <c r="X35" s="33" t="str">
        <f>+IFERROR(VLOOKUP(A35,'ID6&amp;7'!A:J,10,FALSE),"-")</f>
        <v>-</v>
      </c>
      <c r="Y35" s="33"/>
      <c r="Z35" s="34" t="str">
        <f t="shared" si="1"/>
        <v>Em testes</v>
      </c>
    </row>
    <row r="36" spans="1:26">
      <c r="A36" s="27" t="str">
        <f t="shared" si="0"/>
        <v>ENTITYISIN45596</v>
      </c>
      <c r="B36" s="74">
        <f t="array" ref="B36">+MAX(IF('ID1&amp;5'!A:A='1. Status'!A36&amp;'1. Status'!$B$10,'ID1&amp;5'!K:K))</f>
        <v>7</v>
      </c>
      <c r="C36" s="67">
        <f t="array" ref="C36">+MAX(IF('ID1&amp;5'!A:A='1. Status'!A36&amp;'1. Status'!$C$10,'ID1&amp;5'!K:K))</f>
        <v>0</v>
      </c>
      <c r="D36" s="67">
        <f t="array" ref="D36">+MAX(IF('ID1&amp;5'!A:A='1. Status'!A36&amp;'1. Status'!$D$10,'ID1&amp;5'!K:K))</f>
        <v>0</v>
      </c>
      <c r="E36" s="67">
        <f t="array" ref="E36">+MAX(IF('ID1&amp;5'!A:A='1. Status'!A36&amp;'1. Status'!$E$10,'ID1&amp;5'!K:K))</f>
        <v>0</v>
      </c>
      <c r="F36" s="75">
        <f t="array" ref="F36">+MAX(IF('ID1&amp;5'!A:A='1. Status'!A36&amp;'1. Status'!$F$10,'ID1&amp;5'!K:K))</f>
        <v>0</v>
      </c>
      <c r="G36" s="67"/>
      <c r="H36" s="73" t="s">
        <v>98</v>
      </c>
      <c r="I36" s="28" t="s">
        <v>127</v>
      </c>
      <c r="J36" s="33">
        <f>+COUNTIF('ID1&amp;5'!G:G,'1. Status'!I36)</f>
        <v>6</v>
      </c>
      <c r="K36" s="92">
        <f>+IFERROR(VLOOKUP(CONCATENATE(A36,$B$10,B36),'ID1&amp;5'!B:J,8,FALSE),"-")</f>
        <v>1117455</v>
      </c>
      <c r="L36" s="91" t="str">
        <f>+IFERROR(VLOOKUP(B36,'ID1&amp;5'!K:L,2,FALSE),"-")</f>
        <v>2024-12-09 23:51:42.406642000</v>
      </c>
      <c r="M36" s="92">
        <f>+IFERROR(VLOOKUP(CONCATENATE(A36,$B$10,B36),'ID1&amp;5'!B:J,9,FALSE),"-")</f>
        <v>14</v>
      </c>
      <c r="N36" s="92" t="str">
        <f>+IFERROR(VLOOKUP(CONCATENATE(A36,$C$10,C36),'ID1&amp;5'!B:J,8,FALSE),"-")</f>
        <v>-</v>
      </c>
      <c r="O36" s="91" t="str">
        <f>+IFERROR(VLOOKUP(C36,'ID1&amp;5'!K:L,2,FALSE),"-")</f>
        <v>-</v>
      </c>
      <c r="P36" s="92" t="str">
        <f>+IFERROR(VLOOKUP(CONCATENATE(A36,$C$10,C36),'ID1&amp;5'!B:J,9,FALSE),"-")</f>
        <v>-</v>
      </c>
      <c r="Q36" s="91" t="str">
        <f>+IFERROR(VLOOKUP(D36,'ID1&amp;5'!K:L,2,FALSE),"-")</f>
        <v>-</v>
      </c>
      <c r="R36" s="33" t="str">
        <f>+IFERROR(VLOOKUP(CONCATENATE(A36,$D$10,D36),'ID1&amp;5'!B:J,9,FALSE),"-")</f>
        <v>-</v>
      </c>
      <c r="S36" s="91" t="str">
        <f>+IFERROR(VLOOKUP(E36,'ID1&amp;5'!K:L,2,FALSE),"-")</f>
        <v>-</v>
      </c>
      <c r="T36" s="92" t="str">
        <f>+IFERROR(VLOOKUP(CONCATENATE(A36,$E$10,E36),'ID1&amp;5'!B:J,9,FALSE),"-")</f>
        <v>-</v>
      </c>
      <c r="U36" s="91" t="str">
        <f>+IFERROR(VLOOKUP(F36,'ID1&amp;5'!K:L,2,FALSE),"-")</f>
        <v>-</v>
      </c>
      <c r="V36" s="92" t="str">
        <f>+IFERROR(VLOOKUP(CONCATENATE(A36,$F$10,F36),'ID1&amp;5'!B:J,9,FALSE),"-")</f>
        <v>-</v>
      </c>
      <c r="W36" s="33" t="str">
        <f>+IFERROR(VLOOKUP(A36,'ID6&amp;7'!A:I,9,FALSE),"-")</f>
        <v>-</v>
      </c>
      <c r="X36" s="33" t="str">
        <f>+IFERROR(VLOOKUP(A36,'ID6&amp;7'!A:J,10,FALSE),"-")</f>
        <v>-</v>
      </c>
      <c r="Y36" s="33"/>
      <c r="Z36" s="34" t="str">
        <f t="shared" si="1"/>
        <v>Em testes</v>
      </c>
    </row>
    <row r="37" spans="1:26">
      <c r="A37" s="27" t="str">
        <f t="shared" si="0"/>
        <v>ENTITYGRP_ANNL_TRNVR_LE45596</v>
      </c>
      <c r="B37" s="74">
        <f t="array" ref="B37">+MAX(IF('ID1&amp;5'!A:A='1. Status'!A37&amp;'1. Status'!$B$10,'ID1&amp;5'!K:K))</f>
        <v>8</v>
      </c>
      <c r="C37" s="67">
        <f t="array" ref="C37">+MAX(IF('ID1&amp;5'!A:A='1. Status'!A37&amp;'1. Status'!$C$10,'ID1&amp;5'!K:K))</f>
        <v>8</v>
      </c>
      <c r="D37" s="67">
        <f t="array" ref="D37">+MAX(IF('ID1&amp;5'!A:A='1. Status'!A37&amp;'1. Status'!$D$10,'ID1&amp;5'!K:K))</f>
        <v>8</v>
      </c>
      <c r="E37" s="67">
        <f t="array" ref="E37">+MAX(IF('ID1&amp;5'!A:A='1. Status'!A37&amp;'1. Status'!$E$10,'ID1&amp;5'!K:K))</f>
        <v>8</v>
      </c>
      <c r="F37" s="75">
        <f t="array" ref="F37">+MAX(IF('ID1&amp;5'!A:A='1. Status'!A37&amp;'1. Status'!$F$10,'ID1&amp;5'!K:K))</f>
        <v>8</v>
      </c>
      <c r="G37" s="67"/>
      <c r="H37" s="73" t="s">
        <v>98</v>
      </c>
      <c r="I37" s="28" t="s">
        <v>128</v>
      </c>
      <c r="J37" s="33">
        <f>+COUNTIF('ID1&amp;5'!G:G,'1. Status'!I37)</f>
        <v>10</v>
      </c>
      <c r="K37" s="92">
        <f>+IFERROR(VLOOKUP(CONCATENATE(A37,$B$10,B37),'ID1&amp;5'!B:J,8,FALSE),"-")</f>
        <v>1117455</v>
      </c>
      <c r="L37" s="91" t="str">
        <f>+IFERROR(VLOOKUP(B37,'ID1&amp;5'!K:L,2,FALSE),"-")</f>
        <v>2024-12-10 12:03:41.044650000</v>
      </c>
      <c r="M37" s="92">
        <f>+IFERROR(VLOOKUP(CONCATENATE(A37,$B$10,B37),'ID1&amp;5'!B:J,9,FALSE),"-")</f>
        <v>0</v>
      </c>
      <c r="N37" s="92">
        <f>+IFERROR(VLOOKUP(CONCATENATE(A37,$C$10,C37),'ID1&amp;5'!B:J,8,FALSE),"-")</f>
        <v>1117487</v>
      </c>
      <c r="O37" s="91" t="str">
        <f>+IFERROR(VLOOKUP(C37,'ID1&amp;5'!K:L,2,FALSE),"-")</f>
        <v>2024-12-10 12:03:41.044650000</v>
      </c>
      <c r="P37" s="92">
        <f>+IFERROR(VLOOKUP(CONCATENATE(A37,$C$10,C37),'ID1&amp;5'!B:J,9,FALSE),"-")</f>
        <v>0</v>
      </c>
      <c r="Q37" s="91" t="str">
        <f>+IFERROR(VLOOKUP(D37,'ID1&amp;5'!K:L,2,FALSE),"-")</f>
        <v>2024-12-10 12:03:41.044650000</v>
      </c>
      <c r="R37" s="33">
        <f>+IFERROR(VLOOKUP(CONCATENATE(A37,$D$10,D37),'ID1&amp;5'!B:J,9,FALSE),"-")</f>
        <v>0</v>
      </c>
      <c r="S37" s="91" t="str">
        <f>+IFERROR(VLOOKUP(E37,'ID1&amp;5'!K:L,2,FALSE),"-")</f>
        <v>2024-12-10 12:03:41.044650000</v>
      </c>
      <c r="T37" s="92">
        <f>+IFERROR(VLOOKUP(CONCATENATE(A37,$E$10,E37),'ID1&amp;5'!B:J,9,FALSE),"-")</f>
        <v>77252</v>
      </c>
      <c r="U37" s="91" t="str">
        <f>+IFERROR(VLOOKUP(F37,'ID1&amp;5'!K:L,2,FALSE),"-")</f>
        <v>2024-12-10 12:03:41.044650000</v>
      </c>
      <c r="V37" s="92">
        <f>+IFERROR(VLOOKUP(CONCATENATE(A37,$F$10,F37),'ID1&amp;5'!B:J,9,FALSE),"-")</f>
        <v>1037356</v>
      </c>
      <c r="W37" s="33" t="str">
        <f>+IFERROR(VLOOKUP(A37,'ID6&amp;7'!A:I,9,FALSE),"-")</f>
        <v>0.00</v>
      </c>
      <c r="X37" s="33" t="str">
        <f>+IFERROR(VLOOKUP(A37,'ID6&amp;7'!A:J,10,FALSE),"-")</f>
        <v>58991300000.00</v>
      </c>
      <c r="Y37" s="33"/>
      <c r="Z37" s="34" t="str">
        <f t="shared" si="1"/>
        <v>OK</v>
      </c>
    </row>
    <row r="38" spans="1:26">
      <c r="A38" s="27" t="str">
        <f t="shared" si="0"/>
        <v>ENTITYGRP_TTL_LBLTY45596</v>
      </c>
      <c r="B38" s="74">
        <f t="array" ref="B38">+MAX(IF('ID1&amp;5'!A:A='1. Status'!A38&amp;'1. Status'!$B$10,'ID1&amp;5'!K:K))</f>
        <v>0</v>
      </c>
      <c r="C38" s="67">
        <f t="array" ref="C38">+MAX(IF('ID1&amp;5'!A:A='1. Status'!A38&amp;'1. Status'!$C$10,'ID1&amp;5'!K:K))</f>
        <v>0</v>
      </c>
      <c r="D38" s="67">
        <f t="array" ref="D38">+MAX(IF('ID1&amp;5'!A:A='1. Status'!A38&amp;'1. Status'!$D$10,'ID1&amp;5'!K:K))</f>
        <v>0</v>
      </c>
      <c r="E38" s="67">
        <f t="array" ref="E38">+MAX(IF('ID1&amp;5'!A:A='1. Status'!A38&amp;'1. Status'!$E$10,'ID1&amp;5'!K:K))</f>
        <v>0</v>
      </c>
      <c r="F38" s="75">
        <f t="array" ref="F38">+MAX(IF('ID1&amp;5'!A:A='1. Status'!A38&amp;'1. Status'!$F$10,'ID1&amp;5'!K:K))</f>
        <v>0</v>
      </c>
      <c r="G38" s="67"/>
      <c r="H38" s="73" t="s">
        <v>98</v>
      </c>
      <c r="I38" s="28" t="s">
        <v>129</v>
      </c>
      <c r="J38" s="33">
        <f>+COUNTIF('ID1&amp;5'!G:G,'1. Status'!I38)</f>
        <v>5</v>
      </c>
      <c r="K38" s="92" t="str">
        <f>+IFERROR(VLOOKUP(CONCATENATE(A38,$B$10,B38),'ID1&amp;5'!B:J,8,FALSE),"-")</f>
        <v>-</v>
      </c>
      <c r="L38" s="91" t="str">
        <f>+IFERROR(VLOOKUP(B38,'ID1&amp;5'!K:L,2,FALSE),"-")</f>
        <v>-</v>
      </c>
      <c r="M38" s="92" t="str">
        <f>+IFERROR(VLOOKUP(CONCATENATE(A38,$B$10,B38),'ID1&amp;5'!B:J,9,FALSE),"-")</f>
        <v>-</v>
      </c>
      <c r="N38" s="92" t="str">
        <f>+IFERROR(VLOOKUP(CONCATENATE(A38,$C$10,C38),'ID1&amp;5'!B:J,8,FALSE),"-")</f>
        <v>-</v>
      </c>
      <c r="O38" s="91" t="str">
        <f>+IFERROR(VLOOKUP(C38,'ID1&amp;5'!K:L,2,FALSE),"-")</f>
        <v>-</v>
      </c>
      <c r="P38" s="92" t="str">
        <f>+IFERROR(VLOOKUP(CONCATENATE(A38,$C$10,C38),'ID1&amp;5'!B:J,9,FALSE),"-")</f>
        <v>-</v>
      </c>
      <c r="Q38" s="91" t="str">
        <f>+IFERROR(VLOOKUP(D38,'ID1&amp;5'!K:L,2,FALSE),"-")</f>
        <v>-</v>
      </c>
      <c r="R38" s="33" t="str">
        <f>+IFERROR(VLOOKUP(CONCATENATE(A38,$D$10,D38),'ID1&amp;5'!B:J,9,FALSE),"-")</f>
        <v>-</v>
      </c>
      <c r="S38" s="91" t="str">
        <f>+IFERROR(VLOOKUP(E38,'ID1&amp;5'!K:L,2,FALSE),"-")</f>
        <v>-</v>
      </c>
      <c r="T38" s="92" t="str">
        <f>+IFERROR(VLOOKUP(CONCATENATE(A38,$E$10,E38),'ID1&amp;5'!B:J,9,FALSE),"-")</f>
        <v>-</v>
      </c>
      <c r="U38" s="91" t="str">
        <f>+IFERROR(VLOOKUP(F38,'ID1&amp;5'!K:L,2,FALSE),"-")</f>
        <v>-</v>
      </c>
      <c r="V38" s="92" t="str">
        <f>+IFERROR(VLOOKUP(CONCATENATE(A38,$F$10,F38),'ID1&amp;5'!B:J,9,FALSE),"-")</f>
        <v>-</v>
      </c>
      <c r="W38" s="33" t="str">
        <f>+IFERROR(VLOOKUP(A38,'ID6&amp;7'!A:I,9,FALSE),"-")</f>
        <v>-</v>
      </c>
      <c r="X38" s="33" t="str">
        <f>+IFERROR(VLOOKUP(A38,'ID6&amp;7'!A:J,10,FALSE),"-")</f>
        <v>-</v>
      </c>
      <c r="Y38" s="33"/>
      <c r="Z38" s="34" t="str">
        <f t="shared" si="1"/>
        <v>Em testes</v>
      </c>
    </row>
    <row r="39" spans="1:26">
      <c r="A39" s="27" t="str">
        <f t="shared" si="0"/>
        <v>ENTITYFLG_GRP_NFRD_APPLCBLTY45596</v>
      </c>
      <c r="B39" s="74">
        <f t="array" ref="B39">+MAX(IF('ID1&amp;5'!A:A='1. Status'!A39&amp;'1. Status'!$B$10,'ID1&amp;5'!K:K))</f>
        <v>0</v>
      </c>
      <c r="C39" s="67">
        <f t="array" ref="C39">+MAX(IF('ID1&amp;5'!A:A='1. Status'!A39&amp;'1. Status'!$C$10,'ID1&amp;5'!K:K))</f>
        <v>0</v>
      </c>
      <c r="D39" s="67">
        <f t="array" ref="D39">+MAX(IF('ID1&amp;5'!A:A='1. Status'!A39&amp;'1. Status'!$D$10,'ID1&amp;5'!K:K))</f>
        <v>0</v>
      </c>
      <c r="E39" s="67">
        <f t="array" ref="E39">+MAX(IF('ID1&amp;5'!A:A='1. Status'!A39&amp;'1. Status'!$E$10,'ID1&amp;5'!K:K))</f>
        <v>0</v>
      </c>
      <c r="F39" s="75">
        <f t="array" ref="F39">+MAX(IF('ID1&amp;5'!A:A='1. Status'!A39&amp;'1. Status'!$F$10,'ID1&amp;5'!K:K))</f>
        <v>0</v>
      </c>
      <c r="G39" s="67"/>
      <c r="H39" s="73" t="s">
        <v>98</v>
      </c>
      <c r="I39" s="28" t="s">
        <v>130</v>
      </c>
      <c r="J39" s="33">
        <f>+COUNTIF('ID1&amp;5'!G:G,'1. Status'!I39)</f>
        <v>5</v>
      </c>
      <c r="K39" s="92" t="str">
        <f>+IFERROR(VLOOKUP(CONCATENATE(A39,$B$10,B39),'ID1&amp;5'!B:J,8,FALSE),"-")</f>
        <v>-</v>
      </c>
      <c r="L39" s="91" t="str">
        <f>+IFERROR(VLOOKUP(B39,'ID1&amp;5'!K:L,2,FALSE),"-")</f>
        <v>-</v>
      </c>
      <c r="M39" s="92" t="str">
        <f>+IFERROR(VLOOKUP(CONCATENATE(A39,$B$10,B39),'ID1&amp;5'!B:J,9,FALSE),"-")</f>
        <v>-</v>
      </c>
      <c r="N39" s="92" t="str">
        <f>+IFERROR(VLOOKUP(CONCATENATE(A39,$C$10,C39),'ID1&amp;5'!B:J,8,FALSE),"-")</f>
        <v>-</v>
      </c>
      <c r="O39" s="91" t="str">
        <f>+IFERROR(VLOOKUP(C39,'ID1&amp;5'!K:L,2,FALSE),"-")</f>
        <v>-</v>
      </c>
      <c r="P39" s="92" t="str">
        <f>+IFERROR(VLOOKUP(CONCATENATE(A39,$C$10,C39),'ID1&amp;5'!B:J,9,FALSE),"-")</f>
        <v>-</v>
      </c>
      <c r="Q39" s="91" t="str">
        <f>+IFERROR(VLOOKUP(D39,'ID1&amp;5'!K:L,2,FALSE),"-")</f>
        <v>-</v>
      </c>
      <c r="R39" s="33" t="str">
        <f>+IFERROR(VLOOKUP(CONCATENATE(A39,$D$10,D39),'ID1&amp;5'!B:J,9,FALSE),"-")</f>
        <v>-</v>
      </c>
      <c r="S39" s="91" t="str">
        <f>+IFERROR(VLOOKUP(E39,'ID1&amp;5'!K:L,2,FALSE),"-")</f>
        <v>-</v>
      </c>
      <c r="T39" s="92" t="str">
        <f>+IFERROR(VLOOKUP(CONCATENATE(A39,$E$10,E39),'ID1&amp;5'!B:J,9,FALSE),"-")</f>
        <v>-</v>
      </c>
      <c r="U39" s="91" t="str">
        <f>+IFERROR(VLOOKUP(F39,'ID1&amp;5'!K:L,2,FALSE),"-")</f>
        <v>-</v>
      </c>
      <c r="V39" s="92" t="str">
        <f>+IFERROR(VLOOKUP(CONCATENATE(A39,$F$10,F39),'ID1&amp;5'!B:J,9,FALSE),"-")</f>
        <v>-</v>
      </c>
      <c r="W39" s="33" t="str">
        <f>+IFERROR(VLOOKUP(A39,'ID6&amp;7'!A:I,9,FALSE),"-")</f>
        <v>-</v>
      </c>
      <c r="X39" s="33" t="str">
        <f>+IFERROR(VLOOKUP(A39,'ID6&amp;7'!A:J,10,FALSE),"-")</f>
        <v>-</v>
      </c>
      <c r="Y39" s="33"/>
      <c r="Z39" s="34" t="str">
        <f t="shared" si="1"/>
        <v>Em testes</v>
      </c>
    </row>
    <row r="40" spans="1:26">
      <c r="A40" s="27" t="str">
        <f t="shared" si="0"/>
        <v>ENTITYGRP_EMSSNS_SCP145596</v>
      </c>
      <c r="B40" s="74">
        <f t="array" ref="B40">+MAX(IF('ID1&amp;5'!A:A='1. Status'!A40&amp;'1. Status'!$B$10,'ID1&amp;5'!K:K))</f>
        <v>0</v>
      </c>
      <c r="C40" s="67">
        <f t="array" ref="C40">+MAX(IF('ID1&amp;5'!A:A='1. Status'!A40&amp;'1. Status'!$C$10,'ID1&amp;5'!K:K))</f>
        <v>0</v>
      </c>
      <c r="D40" s="67">
        <f t="array" ref="D40">+MAX(IF('ID1&amp;5'!A:A='1. Status'!A40&amp;'1. Status'!$D$10,'ID1&amp;5'!K:K))</f>
        <v>0</v>
      </c>
      <c r="E40" s="67">
        <f t="array" ref="E40">+MAX(IF('ID1&amp;5'!A:A='1. Status'!A40&amp;'1. Status'!$E$10,'ID1&amp;5'!K:K))</f>
        <v>0</v>
      </c>
      <c r="F40" s="75">
        <f t="array" ref="F40">+MAX(IF('ID1&amp;5'!A:A='1. Status'!A40&amp;'1. Status'!$F$10,'ID1&amp;5'!K:K))</f>
        <v>0</v>
      </c>
      <c r="G40" s="67"/>
      <c r="H40" s="73" t="s">
        <v>98</v>
      </c>
      <c r="I40" s="28" t="s">
        <v>131</v>
      </c>
      <c r="J40" s="33">
        <f>+COUNTIF('ID1&amp;5'!G:G,'1. Status'!I40)</f>
        <v>5</v>
      </c>
      <c r="K40" s="92" t="str">
        <f>+IFERROR(VLOOKUP(CONCATENATE(A40,$B$10,B40),'ID1&amp;5'!B:J,8,FALSE),"-")</f>
        <v>-</v>
      </c>
      <c r="L40" s="91" t="str">
        <f>+IFERROR(VLOOKUP(B40,'ID1&amp;5'!K:L,2,FALSE),"-")</f>
        <v>-</v>
      </c>
      <c r="M40" s="92" t="str">
        <f>+IFERROR(VLOOKUP(CONCATENATE(A40,$B$10,B40),'ID1&amp;5'!B:J,9,FALSE),"-")</f>
        <v>-</v>
      </c>
      <c r="N40" s="92" t="str">
        <f>+IFERROR(VLOOKUP(CONCATENATE(A40,$C$10,C40),'ID1&amp;5'!B:J,8,FALSE),"-")</f>
        <v>-</v>
      </c>
      <c r="O40" s="91" t="str">
        <f>+IFERROR(VLOOKUP(C40,'ID1&amp;5'!K:L,2,FALSE),"-")</f>
        <v>-</v>
      </c>
      <c r="P40" s="92" t="str">
        <f>+IFERROR(VLOOKUP(CONCATENATE(A40,$C$10,C40),'ID1&amp;5'!B:J,9,FALSE),"-")</f>
        <v>-</v>
      </c>
      <c r="Q40" s="91" t="str">
        <f>+IFERROR(VLOOKUP(D40,'ID1&amp;5'!K:L,2,FALSE),"-")</f>
        <v>-</v>
      </c>
      <c r="R40" s="33" t="str">
        <f>+IFERROR(VLOOKUP(CONCATENATE(A40,$D$10,D40),'ID1&amp;5'!B:J,9,FALSE),"-")</f>
        <v>-</v>
      </c>
      <c r="S40" s="91" t="str">
        <f>+IFERROR(VLOOKUP(E40,'ID1&amp;5'!K:L,2,FALSE),"-")</f>
        <v>-</v>
      </c>
      <c r="T40" s="92" t="str">
        <f>+IFERROR(VLOOKUP(CONCATENATE(A40,$E$10,E40),'ID1&amp;5'!B:J,9,FALSE),"-")</f>
        <v>-</v>
      </c>
      <c r="U40" s="91" t="str">
        <f>+IFERROR(VLOOKUP(F40,'ID1&amp;5'!K:L,2,FALSE),"-")</f>
        <v>-</v>
      </c>
      <c r="V40" s="92" t="str">
        <f>+IFERROR(VLOOKUP(CONCATENATE(A40,$F$10,F40),'ID1&amp;5'!B:J,9,FALSE),"-")</f>
        <v>-</v>
      </c>
      <c r="W40" s="33" t="str">
        <f>+IFERROR(VLOOKUP(A40,'ID6&amp;7'!A:I,9,FALSE),"-")</f>
        <v>-</v>
      </c>
      <c r="X40" s="33" t="str">
        <f>+IFERROR(VLOOKUP(A40,'ID6&amp;7'!A:J,10,FALSE),"-")</f>
        <v>-</v>
      </c>
      <c r="Y40" s="33"/>
      <c r="Z40" s="34" t="str">
        <f t="shared" si="1"/>
        <v>Em testes</v>
      </c>
    </row>
    <row r="41" spans="1:26">
      <c r="A41" s="27" t="str">
        <f t="shared" si="0"/>
        <v>ENTITYGRP_EMSSNS_SCP245596</v>
      </c>
      <c r="B41" s="74">
        <f t="array" ref="B41">+MAX(IF('ID1&amp;5'!A:A='1. Status'!A41&amp;'1. Status'!$B$10,'ID1&amp;5'!K:K))</f>
        <v>0</v>
      </c>
      <c r="C41" s="67">
        <f t="array" ref="C41">+MAX(IF('ID1&amp;5'!A:A='1. Status'!A41&amp;'1. Status'!$C$10,'ID1&amp;5'!K:K))</f>
        <v>0</v>
      </c>
      <c r="D41" s="67">
        <f t="array" ref="D41">+MAX(IF('ID1&amp;5'!A:A='1. Status'!A41&amp;'1. Status'!$D$10,'ID1&amp;5'!K:K))</f>
        <v>0</v>
      </c>
      <c r="E41" s="67">
        <f t="array" ref="E41">+MAX(IF('ID1&amp;5'!A:A='1. Status'!A41&amp;'1. Status'!$E$10,'ID1&amp;5'!K:K))</f>
        <v>0</v>
      </c>
      <c r="F41" s="75">
        <f t="array" ref="F41">+MAX(IF('ID1&amp;5'!A:A='1. Status'!A41&amp;'1. Status'!$F$10,'ID1&amp;5'!K:K))</f>
        <v>0</v>
      </c>
      <c r="G41" s="67"/>
      <c r="H41" s="73" t="s">
        <v>98</v>
      </c>
      <c r="I41" s="28" t="s">
        <v>132</v>
      </c>
      <c r="J41" s="33">
        <f>+COUNTIF('ID1&amp;5'!G:G,'1. Status'!I41)</f>
        <v>5</v>
      </c>
      <c r="K41" s="92" t="str">
        <f>+IFERROR(VLOOKUP(CONCATENATE(A41,$B$10,B41),'ID1&amp;5'!B:J,8,FALSE),"-")</f>
        <v>-</v>
      </c>
      <c r="L41" s="91" t="str">
        <f>+IFERROR(VLOOKUP(B41,'ID1&amp;5'!K:L,2,FALSE),"-")</f>
        <v>-</v>
      </c>
      <c r="M41" s="92" t="str">
        <f>+IFERROR(VLOOKUP(CONCATENATE(A41,$B$10,B41),'ID1&amp;5'!B:J,9,FALSE),"-")</f>
        <v>-</v>
      </c>
      <c r="N41" s="92" t="str">
        <f>+IFERROR(VLOOKUP(CONCATENATE(A41,$C$10,C41),'ID1&amp;5'!B:J,8,FALSE),"-")</f>
        <v>-</v>
      </c>
      <c r="O41" s="91" t="str">
        <f>+IFERROR(VLOOKUP(C41,'ID1&amp;5'!K:L,2,FALSE),"-")</f>
        <v>-</v>
      </c>
      <c r="P41" s="92" t="str">
        <f>+IFERROR(VLOOKUP(CONCATENATE(A41,$C$10,C41),'ID1&amp;5'!B:J,9,FALSE),"-")</f>
        <v>-</v>
      </c>
      <c r="Q41" s="91" t="str">
        <f>+IFERROR(VLOOKUP(D41,'ID1&amp;5'!K:L,2,FALSE),"-")</f>
        <v>-</v>
      </c>
      <c r="R41" s="33" t="str">
        <f>+IFERROR(VLOOKUP(CONCATENATE(A41,$D$10,D41),'ID1&amp;5'!B:J,9,FALSE),"-")</f>
        <v>-</v>
      </c>
      <c r="S41" s="91" t="str">
        <f>+IFERROR(VLOOKUP(E41,'ID1&amp;5'!K:L,2,FALSE),"-")</f>
        <v>-</v>
      </c>
      <c r="T41" s="92" t="str">
        <f>+IFERROR(VLOOKUP(CONCATENATE(A41,$E$10,E41),'ID1&amp;5'!B:J,9,FALSE),"-")</f>
        <v>-</v>
      </c>
      <c r="U41" s="91" t="str">
        <f>+IFERROR(VLOOKUP(F41,'ID1&amp;5'!K:L,2,FALSE),"-")</f>
        <v>-</v>
      </c>
      <c r="V41" s="92" t="str">
        <f>+IFERROR(VLOOKUP(CONCATENATE(A41,$F$10,F41),'ID1&amp;5'!B:J,9,FALSE),"-")</f>
        <v>-</v>
      </c>
      <c r="W41" s="33" t="str">
        <f>+IFERROR(VLOOKUP(A41,'ID6&amp;7'!A:I,9,FALSE),"-")</f>
        <v>-</v>
      </c>
      <c r="X41" s="33" t="str">
        <f>+IFERROR(VLOOKUP(A41,'ID6&amp;7'!A:J,10,FALSE),"-")</f>
        <v>-</v>
      </c>
      <c r="Y41" s="33"/>
      <c r="Z41" s="34" t="str">
        <f t="shared" si="1"/>
        <v>Em testes</v>
      </c>
    </row>
    <row r="42" spans="1:26">
      <c r="A42" s="27" t="str">
        <f t="shared" si="0"/>
        <v>ENTITYGRP_EMSSNS_SCP345596</v>
      </c>
      <c r="B42" s="74">
        <f t="array" ref="B42">+MAX(IF('ID1&amp;5'!A:A='1. Status'!A42&amp;'1. Status'!$B$10,'ID1&amp;5'!K:K))</f>
        <v>0</v>
      </c>
      <c r="C42" s="67">
        <f t="array" ref="C42">+MAX(IF('ID1&amp;5'!A:A='1. Status'!A42&amp;'1. Status'!$C$10,'ID1&amp;5'!K:K))</f>
        <v>0</v>
      </c>
      <c r="D42" s="67">
        <f t="array" ref="D42">+MAX(IF('ID1&amp;5'!A:A='1. Status'!A42&amp;'1. Status'!$D$10,'ID1&amp;5'!K:K))</f>
        <v>0</v>
      </c>
      <c r="E42" s="67">
        <f t="array" ref="E42">+MAX(IF('ID1&amp;5'!A:A='1. Status'!A42&amp;'1. Status'!$E$10,'ID1&amp;5'!K:K))</f>
        <v>0</v>
      </c>
      <c r="F42" s="75">
        <f t="array" ref="F42">+MAX(IF('ID1&amp;5'!A:A='1. Status'!A42&amp;'1. Status'!$F$10,'ID1&amp;5'!K:K))</f>
        <v>0</v>
      </c>
      <c r="G42" s="67"/>
      <c r="H42" s="73" t="s">
        <v>98</v>
      </c>
      <c r="I42" s="28" t="s">
        <v>133</v>
      </c>
      <c r="J42" s="33">
        <f>+COUNTIF('ID1&amp;5'!G:G,'1. Status'!I42)</f>
        <v>5</v>
      </c>
      <c r="K42" s="92" t="str">
        <f>+IFERROR(VLOOKUP(CONCATENATE(A42,$B$10,B42),'ID1&amp;5'!B:J,8,FALSE),"-")</f>
        <v>-</v>
      </c>
      <c r="L42" s="91" t="str">
        <f>+IFERROR(VLOOKUP(B42,'ID1&amp;5'!K:L,2,FALSE),"-")</f>
        <v>-</v>
      </c>
      <c r="M42" s="92" t="str">
        <f>+IFERROR(VLOOKUP(CONCATENATE(A42,$B$10,B42),'ID1&amp;5'!B:J,9,FALSE),"-")</f>
        <v>-</v>
      </c>
      <c r="N42" s="92" t="str">
        <f>+IFERROR(VLOOKUP(CONCATENATE(A42,$C$10,C42),'ID1&amp;5'!B:J,8,FALSE),"-")</f>
        <v>-</v>
      </c>
      <c r="O42" s="91" t="str">
        <f>+IFERROR(VLOOKUP(C42,'ID1&amp;5'!K:L,2,FALSE),"-")</f>
        <v>-</v>
      </c>
      <c r="P42" s="92" t="str">
        <f>+IFERROR(VLOOKUP(CONCATENATE(A42,$C$10,C42),'ID1&amp;5'!B:J,9,FALSE),"-")</f>
        <v>-</v>
      </c>
      <c r="Q42" s="91" t="str">
        <f>+IFERROR(VLOOKUP(D42,'ID1&amp;5'!K:L,2,FALSE),"-")</f>
        <v>-</v>
      </c>
      <c r="R42" s="33" t="str">
        <f>+IFERROR(VLOOKUP(CONCATENATE(A42,$D$10,D42),'ID1&amp;5'!B:J,9,FALSE),"-")</f>
        <v>-</v>
      </c>
      <c r="S42" s="91" t="str">
        <f>+IFERROR(VLOOKUP(E42,'ID1&amp;5'!K:L,2,FALSE),"-")</f>
        <v>-</v>
      </c>
      <c r="T42" s="92" t="str">
        <f>+IFERROR(VLOOKUP(CONCATENATE(A42,$E$10,E42),'ID1&amp;5'!B:J,9,FALSE),"-")</f>
        <v>-</v>
      </c>
      <c r="U42" s="91" t="str">
        <f>+IFERROR(VLOOKUP(F42,'ID1&amp;5'!K:L,2,FALSE),"-")</f>
        <v>-</v>
      </c>
      <c r="V42" s="92" t="str">
        <f>+IFERROR(VLOOKUP(CONCATENATE(A42,$F$10,F42),'ID1&amp;5'!B:J,9,FALSE),"-")</f>
        <v>-</v>
      </c>
      <c r="W42" s="33" t="str">
        <f>+IFERROR(VLOOKUP(A42,'ID6&amp;7'!A:I,9,FALSE),"-")</f>
        <v>-</v>
      </c>
      <c r="X42" s="33" t="str">
        <f>+IFERROR(VLOOKUP(A42,'ID6&amp;7'!A:J,10,FALSE),"-")</f>
        <v>-</v>
      </c>
      <c r="Y42" s="33"/>
      <c r="Z42" s="34" t="str">
        <f t="shared" si="1"/>
        <v>Em testes</v>
      </c>
    </row>
    <row r="43" spans="1:26">
      <c r="A43" s="27" t="str">
        <f t="shared" si="0"/>
        <v>PROTECTIONTYP_EP_SCR45596</v>
      </c>
      <c r="B43" s="74">
        <f t="array" ref="B43">+MAX(IF('ID1&amp;5'!A:A='1. Status'!A43&amp;'1. Status'!$B$10,'ID1&amp;5'!K:K))</f>
        <v>4</v>
      </c>
      <c r="C43" s="67">
        <f t="array" ref="C43">+MAX(IF('ID1&amp;5'!A:A='1. Status'!A43&amp;'1. Status'!$C$10,'ID1&amp;5'!K:K))</f>
        <v>4</v>
      </c>
      <c r="D43" s="67">
        <f t="array" ref="D43">+MAX(IF('ID1&amp;5'!A:A='1. Status'!A43&amp;'1. Status'!$D$10,'ID1&amp;5'!K:K))</f>
        <v>4</v>
      </c>
      <c r="E43" s="67">
        <f t="array" ref="E43">+MAX(IF('ID1&amp;5'!A:A='1. Status'!A43&amp;'1. Status'!$E$10,'ID1&amp;5'!K:K))</f>
        <v>4</v>
      </c>
      <c r="F43" s="75">
        <f t="array" ref="F43">+MAX(IF('ID1&amp;5'!A:A='1. Status'!A43&amp;'1. Status'!$F$10,'ID1&amp;5'!K:K))</f>
        <v>4</v>
      </c>
      <c r="G43" s="67"/>
      <c r="H43" s="73" t="s">
        <v>134</v>
      </c>
      <c r="I43" s="28" t="s">
        <v>135</v>
      </c>
      <c r="J43" s="33">
        <f>+COUNTIF('ID1&amp;5'!G:G,'1. Status'!I43)</f>
        <v>5</v>
      </c>
      <c r="K43" s="92">
        <f>+IFERROR(VLOOKUP(CONCATENATE(A43,$B$10,B43),'ID1&amp;5'!B:J,8,FALSE),"-")</f>
        <v>475803</v>
      </c>
      <c r="L43" s="91" t="str">
        <f>+IFERROR(VLOOKUP(B43,'ID1&amp;5'!K:L,2,FALSE),"-")</f>
        <v>2024-12-04 18:14:01.919760000</v>
      </c>
      <c r="M43" s="92">
        <f>+IFERROR(VLOOKUP(CONCATENATE(A43,$B$10,B43),'ID1&amp;5'!B:J,9,FALSE),"-")</f>
        <v>0</v>
      </c>
      <c r="N43" s="92">
        <f>+IFERROR(VLOOKUP(CONCATENATE(A43,$C$10,C43),'ID1&amp;5'!B:J,8,FALSE),"-")</f>
        <v>475803</v>
      </c>
      <c r="O43" s="91" t="str">
        <f>+IFERROR(VLOOKUP(C43,'ID1&amp;5'!K:L,2,FALSE),"-")</f>
        <v>2024-12-04 18:14:01.919760000</v>
      </c>
      <c r="P43" s="92">
        <f>+IFERROR(VLOOKUP(CONCATENATE(A43,$C$10,C43),'ID1&amp;5'!B:J,9,FALSE),"-")</f>
        <v>0</v>
      </c>
      <c r="Q43" s="91" t="str">
        <f>+IFERROR(VLOOKUP(D43,'ID1&amp;5'!K:L,2,FALSE),"-")</f>
        <v>2024-12-04 18:14:01.919760000</v>
      </c>
      <c r="R43" s="33">
        <f>+IFERROR(VLOOKUP(CONCATENATE(A43,$D$10,D43),'ID1&amp;5'!B:J,9,FALSE),"-")</f>
        <v>0</v>
      </c>
      <c r="S43" s="91" t="str">
        <f>+IFERROR(VLOOKUP(E43,'ID1&amp;5'!K:L,2,FALSE),"-")</f>
        <v>2024-12-04 18:14:01.919760000</v>
      </c>
      <c r="T43" s="92">
        <f>+IFERROR(VLOOKUP(CONCATENATE(A43,$E$10,E43),'ID1&amp;5'!B:J,9,FALSE),"-")</f>
        <v>0</v>
      </c>
      <c r="U43" s="91" t="str">
        <f>+IFERROR(VLOOKUP(F43,'ID1&amp;5'!K:L,2,FALSE),"-")</f>
        <v>2024-12-04 18:14:01.919760000</v>
      </c>
      <c r="V43" s="92">
        <f>+IFERROR(VLOOKUP(CONCATENATE(A43,$F$10,F43),'ID1&amp;5'!B:J,9,FALSE),"-")</f>
        <v>201682</v>
      </c>
      <c r="W43" s="33" t="str">
        <f>+IFERROR(VLOOKUP(A43,'ID6&amp;7'!A:I,9,FALSE),"-")</f>
        <v>EPSD2</v>
      </c>
      <c r="X43" s="33" t="str">
        <f>+IFERROR(VLOOKUP(A43,'ID6&amp;7'!A:J,10,FALSE),"-")</f>
        <v>EPSD2</v>
      </c>
      <c r="Y43" s="33"/>
      <c r="Z43" s="34" t="str">
        <f t="shared" si="1"/>
        <v>OK</v>
      </c>
    </row>
    <row r="44" spans="1:26">
      <c r="A44" s="27" t="str">
        <f t="shared" si="0"/>
        <v>PROTECTIONEP_SCR45596</v>
      </c>
      <c r="B44" s="74">
        <f t="array" ref="B44">+MAX(IF('ID1&amp;5'!A:A='1. Status'!A44&amp;'1. Status'!$B$10,'ID1&amp;5'!K:K))</f>
        <v>0</v>
      </c>
      <c r="C44" s="67">
        <f t="array" ref="C44">+MAX(IF('ID1&amp;5'!A:A='1. Status'!A44&amp;'1. Status'!$C$10,'ID1&amp;5'!K:K))</f>
        <v>0</v>
      </c>
      <c r="D44" s="67">
        <f t="array" ref="D44">+MAX(IF('ID1&amp;5'!A:A='1. Status'!A44&amp;'1. Status'!$D$10,'ID1&amp;5'!K:K))</f>
        <v>0</v>
      </c>
      <c r="E44" s="67">
        <f t="array" ref="E44">+MAX(IF('ID1&amp;5'!A:A='1. Status'!A44&amp;'1. Status'!$E$10,'ID1&amp;5'!K:K))</f>
        <v>0</v>
      </c>
      <c r="F44" s="75">
        <f t="array" ref="F44">+MAX(IF('ID1&amp;5'!A:A='1. Status'!A44&amp;'1. Status'!$F$10,'ID1&amp;5'!K:K))</f>
        <v>0</v>
      </c>
      <c r="G44" s="67"/>
      <c r="H44" s="73" t="s">
        <v>134</v>
      </c>
      <c r="I44" s="28" t="s">
        <v>136</v>
      </c>
      <c r="J44" s="33">
        <f>+COUNTIF('ID1&amp;5'!G:G,'1. Status'!I44)</f>
        <v>0</v>
      </c>
      <c r="K44" s="92" t="str">
        <f>+IFERROR(VLOOKUP(CONCATENATE(A44,$B$10,B44),'ID1&amp;5'!B:J,8,FALSE),"-")</f>
        <v>-</v>
      </c>
      <c r="L44" s="91" t="str">
        <f>+IFERROR(VLOOKUP(B44,'ID1&amp;5'!K:L,2,FALSE),"-")</f>
        <v>-</v>
      </c>
      <c r="M44" s="92" t="str">
        <f>+IFERROR(VLOOKUP(CONCATENATE(A44,$B$10,B44),'ID1&amp;5'!B:J,9,FALSE),"-")</f>
        <v>-</v>
      </c>
      <c r="N44" s="92" t="str">
        <f>+IFERROR(VLOOKUP(CONCATENATE(A44,$C$10,C44),'ID1&amp;5'!B:J,8,FALSE),"-")</f>
        <v>-</v>
      </c>
      <c r="O44" s="91" t="str">
        <f>+IFERROR(VLOOKUP(C44,'ID1&amp;5'!K:L,2,FALSE),"-")</f>
        <v>-</v>
      </c>
      <c r="P44" s="92" t="str">
        <f>+IFERROR(VLOOKUP(CONCATENATE(A44,$C$10,C44),'ID1&amp;5'!B:J,9,FALSE),"-")</f>
        <v>-</v>
      </c>
      <c r="Q44" s="91" t="str">
        <f>+IFERROR(VLOOKUP(D44,'ID1&amp;5'!K:L,2,FALSE),"-")</f>
        <v>-</v>
      </c>
      <c r="R44" s="33" t="str">
        <f>+IFERROR(VLOOKUP(CONCATENATE(A44,$D$10,D44),'ID1&amp;5'!B:J,9,FALSE),"-")</f>
        <v>-</v>
      </c>
      <c r="S44" s="91" t="str">
        <f>+IFERROR(VLOOKUP(E44,'ID1&amp;5'!K:L,2,FALSE),"-")</f>
        <v>-</v>
      </c>
      <c r="T44" s="92" t="str">
        <f>+IFERROR(VLOOKUP(CONCATENATE(A44,$E$10,E44),'ID1&amp;5'!B:J,9,FALSE),"-")</f>
        <v>-</v>
      </c>
      <c r="U44" s="91" t="str">
        <f>+IFERROR(VLOOKUP(F44,'ID1&amp;5'!K:L,2,FALSE),"-")</f>
        <v>-</v>
      </c>
      <c r="V44" s="92" t="str">
        <f>+IFERROR(VLOOKUP(CONCATENATE(A44,$F$10,F44),'ID1&amp;5'!B:J,9,FALSE),"-")</f>
        <v>-</v>
      </c>
      <c r="W44" s="33" t="str">
        <f>+IFERROR(VLOOKUP(A44,'ID6&amp;7'!A:I,9,FALSE),"-")</f>
        <v>EPSC1</v>
      </c>
      <c r="X44" s="33" t="str">
        <f>+IFERROR(VLOOKUP(A44,'ID6&amp;7'!A:J,10,FALSE),"-")</f>
        <v>EPSC7</v>
      </c>
      <c r="Y44" s="33"/>
      <c r="Z44" s="34" t="str">
        <f t="shared" si="1"/>
        <v>Por iniciar</v>
      </c>
    </row>
    <row r="45" spans="1:26">
      <c r="A45" s="27" t="str">
        <f t="shared" si="0"/>
        <v>PROTECTIONTYP_EPC_LBL45596</v>
      </c>
      <c r="B45" s="74">
        <f t="array" ref="B45">+MAX(IF('ID1&amp;5'!A:A='1. Status'!A45&amp;'1. Status'!$B$10,'ID1&amp;5'!K:K))</f>
        <v>0</v>
      </c>
      <c r="C45" s="67">
        <f t="array" ref="C45">+MAX(IF('ID1&amp;5'!A:A='1. Status'!A45&amp;'1. Status'!$C$10,'ID1&amp;5'!K:K))</f>
        <v>0</v>
      </c>
      <c r="D45" s="67">
        <f t="array" ref="D45">+MAX(IF('ID1&amp;5'!A:A='1. Status'!A45&amp;'1. Status'!$D$10,'ID1&amp;5'!K:K))</f>
        <v>0</v>
      </c>
      <c r="E45" s="67">
        <f t="array" ref="E45">+MAX(IF('ID1&amp;5'!A:A='1. Status'!A45&amp;'1. Status'!$E$10,'ID1&amp;5'!K:K))</f>
        <v>0</v>
      </c>
      <c r="F45" s="75">
        <f t="array" ref="F45">+MAX(IF('ID1&amp;5'!A:A='1. Status'!A45&amp;'1. Status'!$F$10,'ID1&amp;5'!K:K))</f>
        <v>0</v>
      </c>
      <c r="G45" s="67"/>
      <c r="H45" s="73" t="s">
        <v>134</v>
      </c>
      <c r="I45" s="28" t="s">
        <v>137</v>
      </c>
      <c r="J45" s="33">
        <f>+COUNTIF('ID1&amp;5'!G:G,'1. Status'!I45)</f>
        <v>5</v>
      </c>
      <c r="K45" s="92" t="str">
        <f>+IFERROR(VLOOKUP(CONCATENATE(A45,$B$10,B45),'ID1&amp;5'!B:J,8,FALSE),"-")</f>
        <v>-</v>
      </c>
      <c r="L45" s="91" t="str">
        <f>+IFERROR(VLOOKUP(B45,'ID1&amp;5'!K:L,2,FALSE),"-")</f>
        <v>-</v>
      </c>
      <c r="M45" s="92" t="str">
        <f>+IFERROR(VLOOKUP(CONCATENATE(A45,$B$10,B45),'ID1&amp;5'!B:J,9,FALSE),"-")</f>
        <v>-</v>
      </c>
      <c r="N45" s="92" t="str">
        <f>+IFERROR(VLOOKUP(CONCATENATE(A45,$C$10,C45),'ID1&amp;5'!B:J,8,FALSE),"-")</f>
        <v>-</v>
      </c>
      <c r="O45" s="91" t="str">
        <f>+IFERROR(VLOOKUP(C45,'ID1&amp;5'!K:L,2,FALSE),"-")</f>
        <v>-</v>
      </c>
      <c r="P45" s="92" t="str">
        <f>+IFERROR(VLOOKUP(CONCATENATE(A45,$C$10,C45),'ID1&amp;5'!B:J,9,FALSE),"-")</f>
        <v>-</v>
      </c>
      <c r="Q45" s="91" t="str">
        <f>+IFERROR(VLOOKUP(D45,'ID1&amp;5'!K:L,2,FALSE),"-")</f>
        <v>-</v>
      </c>
      <c r="R45" s="33" t="str">
        <f>+IFERROR(VLOOKUP(CONCATENATE(A45,$D$10,D45),'ID1&amp;5'!B:J,9,FALSE),"-")</f>
        <v>-</v>
      </c>
      <c r="S45" s="91" t="str">
        <f>+IFERROR(VLOOKUP(E45,'ID1&amp;5'!K:L,2,FALSE),"-")</f>
        <v>-</v>
      </c>
      <c r="T45" s="92" t="str">
        <f>+IFERROR(VLOOKUP(CONCATENATE(A45,$E$10,E45),'ID1&amp;5'!B:J,9,FALSE),"-")</f>
        <v>-</v>
      </c>
      <c r="U45" s="91" t="str">
        <f>+IFERROR(VLOOKUP(F45,'ID1&amp;5'!K:L,2,FALSE),"-")</f>
        <v>-</v>
      </c>
      <c r="V45" s="92" t="str">
        <f>+IFERROR(VLOOKUP(CONCATENATE(A45,$F$10,F45),'ID1&amp;5'!B:J,9,FALSE),"-")</f>
        <v>-</v>
      </c>
      <c r="W45" s="33" t="str">
        <f>+IFERROR(VLOOKUP(A45,'ID6&amp;7'!A:I,9,FALSE),"-")</f>
        <v>-</v>
      </c>
      <c r="X45" s="33" t="str">
        <f>+IFERROR(VLOOKUP(A45,'ID6&amp;7'!A:J,10,FALSE),"-")</f>
        <v>-</v>
      </c>
      <c r="Y45" s="33"/>
      <c r="Z45" s="34" t="str">
        <f t="shared" si="1"/>
        <v>Em testes</v>
      </c>
    </row>
    <row r="46" spans="1:26">
      <c r="A46" s="27" t="str">
        <f t="shared" si="0"/>
        <v>PROTECTIONEPC_LBL45596</v>
      </c>
      <c r="B46" s="74">
        <f t="array" ref="B46">+MAX(IF('ID1&amp;5'!A:A='1. Status'!A46&amp;'1. Status'!$B$10,'ID1&amp;5'!K:K))</f>
        <v>0</v>
      </c>
      <c r="C46" s="67">
        <f t="array" ref="C46">+MAX(IF('ID1&amp;5'!A:A='1. Status'!A46&amp;'1. Status'!$C$10,'ID1&amp;5'!K:K))</f>
        <v>0</v>
      </c>
      <c r="D46" s="67">
        <f t="array" ref="D46">+MAX(IF('ID1&amp;5'!A:A='1. Status'!A46&amp;'1. Status'!$D$10,'ID1&amp;5'!K:K))</f>
        <v>0</v>
      </c>
      <c r="E46" s="67">
        <f t="array" ref="E46">+MAX(IF('ID1&amp;5'!A:A='1. Status'!A46&amp;'1. Status'!$E$10,'ID1&amp;5'!K:K))</f>
        <v>0</v>
      </c>
      <c r="F46" s="75">
        <f t="array" ref="F46">+MAX(IF('ID1&amp;5'!A:A='1. Status'!A46&amp;'1. Status'!$F$10,'ID1&amp;5'!K:K))</f>
        <v>0</v>
      </c>
      <c r="G46" s="67"/>
      <c r="H46" s="73" t="s">
        <v>134</v>
      </c>
      <c r="I46" s="28" t="s">
        <v>138</v>
      </c>
      <c r="J46" s="33">
        <f>+COUNTIF('ID1&amp;5'!G:G,'1. Status'!I46)</f>
        <v>0</v>
      </c>
      <c r="K46" s="92" t="str">
        <f>+IFERROR(VLOOKUP(CONCATENATE(A46,$B$10,B46),'ID1&amp;5'!B:J,8,FALSE),"-")</f>
        <v>-</v>
      </c>
      <c r="L46" s="91" t="str">
        <f>+IFERROR(VLOOKUP(B46,'ID1&amp;5'!K:L,2,FALSE),"-")</f>
        <v>-</v>
      </c>
      <c r="M46" s="92" t="str">
        <f>+IFERROR(VLOOKUP(CONCATENATE(A46,$B$10,B46),'ID1&amp;5'!B:J,9,FALSE),"-")</f>
        <v>-</v>
      </c>
      <c r="N46" s="92" t="str">
        <f>+IFERROR(VLOOKUP(CONCATENATE(A46,$C$10,C46),'ID1&amp;5'!B:J,8,FALSE),"-")</f>
        <v>-</v>
      </c>
      <c r="O46" s="91" t="str">
        <f>+IFERROR(VLOOKUP(C46,'ID1&amp;5'!K:L,2,FALSE),"-")</f>
        <v>-</v>
      </c>
      <c r="P46" s="92" t="str">
        <f>+IFERROR(VLOOKUP(CONCATENATE(A46,$C$10,C46),'ID1&amp;5'!B:J,9,FALSE),"-")</f>
        <v>-</v>
      </c>
      <c r="Q46" s="91" t="str">
        <f>+IFERROR(VLOOKUP(D46,'ID1&amp;5'!K:L,2,FALSE),"-")</f>
        <v>-</v>
      </c>
      <c r="R46" s="33" t="str">
        <f>+IFERROR(VLOOKUP(CONCATENATE(A46,$D$10,D46),'ID1&amp;5'!B:J,9,FALSE),"-")</f>
        <v>-</v>
      </c>
      <c r="S46" s="91" t="str">
        <f>+IFERROR(VLOOKUP(E46,'ID1&amp;5'!K:L,2,FALSE),"-")</f>
        <v>-</v>
      </c>
      <c r="T46" s="92" t="str">
        <f>+IFERROR(VLOOKUP(CONCATENATE(A46,$E$10,E46),'ID1&amp;5'!B:J,9,FALSE),"-")</f>
        <v>-</v>
      </c>
      <c r="U46" s="91" t="str">
        <f>+IFERROR(VLOOKUP(F46,'ID1&amp;5'!K:L,2,FALSE),"-")</f>
        <v>-</v>
      </c>
      <c r="V46" s="92" t="str">
        <f>+IFERROR(VLOOKUP(CONCATENATE(A46,$F$10,F46),'ID1&amp;5'!B:J,9,FALSE),"-")</f>
        <v>-</v>
      </c>
      <c r="W46" s="33" t="str">
        <f>+IFERROR(VLOOKUP(A46,'ID6&amp;7'!A:I,9,FALSE),"-")</f>
        <v>-</v>
      </c>
      <c r="X46" s="33" t="str">
        <f>+IFERROR(VLOOKUP(A46,'ID6&amp;7'!A:J,10,FALSE),"-")</f>
        <v>-</v>
      </c>
      <c r="Y46" s="33"/>
      <c r="Z46" s="34" t="str">
        <f t="shared" si="1"/>
        <v>Por iniciar</v>
      </c>
    </row>
    <row r="47" spans="1:26">
      <c r="A47" s="27" t="str">
        <f t="shared" si="0"/>
        <v>PROTECTIONEMSSNS_SCP1_PRTCTN45596</v>
      </c>
      <c r="B47" s="74">
        <f t="array" ref="B47">+MAX(IF('ID1&amp;5'!A:A='1. Status'!A47&amp;'1. Status'!$B$10,'ID1&amp;5'!K:K))</f>
        <v>0</v>
      </c>
      <c r="C47" s="67">
        <f t="array" ref="C47">+MAX(IF('ID1&amp;5'!A:A='1. Status'!A47&amp;'1. Status'!$C$10,'ID1&amp;5'!K:K))</f>
        <v>0</v>
      </c>
      <c r="D47" s="67">
        <f t="array" ref="D47">+MAX(IF('ID1&amp;5'!A:A='1. Status'!A47&amp;'1. Status'!$D$10,'ID1&amp;5'!K:K))</f>
        <v>0</v>
      </c>
      <c r="E47" s="67">
        <f t="array" ref="E47">+MAX(IF('ID1&amp;5'!A:A='1. Status'!A47&amp;'1. Status'!$E$10,'ID1&amp;5'!K:K))</f>
        <v>0</v>
      </c>
      <c r="F47" s="75">
        <f t="array" ref="F47">+MAX(IF('ID1&amp;5'!A:A='1. Status'!A47&amp;'1. Status'!$F$10,'ID1&amp;5'!K:K))</f>
        <v>0</v>
      </c>
      <c r="G47" s="67"/>
      <c r="H47" s="73" t="s">
        <v>134</v>
      </c>
      <c r="I47" s="28" t="s">
        <v>139</v>
      </c>
      <c r="J47" s="33">
        <f>+COUNTIF('ID1&amp;5'!G:G,'1. Status'!I47)</f>
        <v>0</v>
      </c>
      <c r="K47" s="92" t="str">
        <f>+IFERROR(VLOOKUP(CONCATENATE(A47,$B$10,B47),'ID1&amp;5'!B:J,8,FALSE),"-")</f>
        <v>-</v>
      </c>
      <c r="L47" s="91" t="str">
        <f>+IFERROR(VLOOKUP(B47,'ID1&amp;5'!K:L,2,FALSE),"-")</f>
        <v>-</v>
      </c>
      <c r="M47" s="92" t="str">
        <f>+IFERROR(VLOOKUP(CONCATENATE(A47,$B$10,B47),'ID1&amp;5'!B:J,9,FALSE),"-")</f>
        <v>-</v>
      </c>
      <c r="N47" s="92" t="str">
        <f>+IFERROR(VLOOKUP(CONCATENATE(A47,$C$10,C47),'ID1&amp;5'!B:J,8,FALSE),"-")</f>
        <v>-</v>
      </c>
      <c r="O47" s="91" t="str">
        <f>+IFERROR(VLOOKUP(C47,'ID1&amp;5'!K:L,2,FALSE),"-")</f>
        <v>-</v>
      </c>
      <c r="P47" s="92" t="str">
        <f>+IFERROR(VLOOKUP(CONCATENATE(A47,$C$10,C47),'ID1&amp;5'!B:J,9,FALSE),"-")</f>
        <v>-</v>
      </c>
      <c r="Q47" s="91" t="str">
        <f>+IFERROR(VLOOKUP(D47,'ID1&amp;5'!K:L,2,FALSE),"-")</f>
        <v>-</v>
      </c>
      <c r="R47" s="33" t="str">
        <f>+IFERROR(VLOOKUP(CONCATENATE(A47,$D$10,D47),'ID1&amp;5'!B:J,9,FALSE),"-")</f>
        <v>-</v>
      </c>
      <c r="S47" s="91" t="str">
        <f>+IFERROR(VLOOKUP(E47,'ID1&amp;5'!K:L,2,FALSE),"-")</f>
        <v>-</v>
      </c>
      <c r="T47" s="92" t="str">
        <f>+IFERROR(VLOOKUP(CONCATENATE(A47,$E$10,E47),'ID1&amp;5'!B:J,9,FALSE),"-")</f>
        <v>-</v>
      </c>
      <c r="U47" s="91" t="str">
        <f>+IFERROR(VLOOKUP(F47,'ID1&amp;5'!K:L,2,FALSE),"-")</f>
        <v>-</v>
      </c>
      <c r="V47" s="92" t="str">
        <f>+IFERROR(VLOOKUP(CONCATENATE(A47,$F$10,F47),'ID1&amp;5'!B:J,9,FALSE),"-")</f>
        <v>-</v>
      </c>
      <c r="W47" s="33" t="str">
        <f>+IFERROR(VLOOKUP(A47,'ID6&amp;7'!A:I,9,FALSE),"-")</f>
        <v>-</v>
      </c>
      <c r="X47" s="33" t="str">
        <f>+IFERROR(VLOOKUP(A47,'ID6&amp;7'!A:J,10,FALSE),"-")</f>
        <v>-</v>
      </c>
      <c r="Y47" s="33"/>
      <c r="Z47" s="34" t="str">
        <f t="shared" si="1"/>
        <v>Por iniciar</v>
      </c>
    </row>
    <row r="48" spans="1:26">
      <c r="A48" s="27" t="str">
        <f t="shared" si="0"/>
        <v>PROTECTIONEMSSNS_SCP2_PRTCTN45596</v>
      </c>
      <c r="B48" s="74">
        <f t="array" ref="B48">+MAX(IF('ID1&amp;5'!A:A='1. Status'!A48&amp;'1. Status'!$B$10,'ID1&amp;5'!K:K))</f>
        <v>0</v>
      </c>
      <c r="C48" s="67">
        <f t="array" ref="C48">+MAX(IF('ID1&amp;5'!A:A='1. Status'!A48&amp;'1. Status'!$C$10,'ID1&amp;5'!K:K))</f>
        <v>0</v>
      </c>
      <c r="D48" s="67">
        <f t="array" ref="D48">+MAX(IF('ID1&amp;5'!A:A='1. Status'!A48&amp;'1. Status'!$D$10,'ID1&amp;5'!K:K))</f>
        <v>0</v>
      </c>
      <c r="E48" s="67">
        <f t="array" ref="E48">+MAX(IF('ID1&amp;5'!A:A='1. Status'!A48&amp;'1. Status'!$E$10,'ID1&amp;5'!K:K))</f>
        <v>0</v>
      </c>
      <c r="F48" s="75">
        <f t="array" ref="F48">+MAX(IF('ID1&amp;5'!A:A='1. Status'!A48&amp;'1. Status'!$F$10,'ID1&amp;5'!K:K))</f>
        <v>0</v>
      </c>
      <c r="G48" s="67"/>
      <c r="H48" s="73" t="s">
        <v>134</v>
      </c>
      <c r="I48" s="28" t="s">
        <v>140</v>
      </c>
      <c r="J48" s="33">
        <f>+COUNTIF('ID1&amp;5'!G:G,'1. Status'!I48)</f>
        <v>0</v>
      </c>
      <c r="K48" s="92" t="str">
        <f>+IFERROR(VLOOKUP(CONCATENATE(A48,$B$10,B48),'ID1&amp;5'!B:J,8,FALSE),"-")</f>
        <v>-</v>
      </c>
      <c r="L48" s="91" t="str">
        <f>+IFERROR(VLOOKUP(B48,'ID1&amp;5'!K:L,2,FALSE),"-")</f>
        <v>-</v>
      </c>
      <c r="M48" s="92" t="str">
        <f>+IFERROR(VLOOKUP(CONCATENATE(A48,$B$10,B48),'ID1&amp;5'!B:J,9,FALSE),"-")</f>
        <v>-</v>
      </c>
      <c r="N48" s="92" t="str">
        <f>+IFERROR(VLOOKUP(CONCATENATE(A48,$C$10,C48),'ID1&amp;5'!B:J,8,FALSE),"-")</f>
        <v>-</v>
      </c>
      <c r="O48" s="91" t="str">
        <f>+IFERROR(VLOOKUP(C48,'ID1&amp;5'!K:L,2,FALSE),"-")</f>
        <v>-</v>
      </c>
      <c r="P48" s="92" t="str">
        <f>+IFERROR(VLOOKUP(CONCATENATE(A48,$C$10,C48),'ID1&amp;5'!B:J,9,FALSE),"-")</f>
        <v>-</v>
      </c>
      <c r="Q48" s="91" t="str">
        <f>+IFERROR(VLOOKUP(D48,'ID1&amp;5'!K:L,2,FALSE),"-")</f>
        <v>-</v>
      </c>
      <c r="R48" s="33" t="str">
        <f>+IFERROR(VLOOKUP(CONCATENATE(A48,$D$10,D48),'ID1&amp;5'!B:J,9,FALSE),"-")</f>
        <v>-</v>
      </c>
      <c r="S48" s="91" t="str">
        <f>+IFERROR(VLOOKUP(E48,'ID1&amp;5'!K:L,2,FALSE),"-")</f>
        <v>-</v>
      </c>
      <c r="T48" s="92" t="str">
        <f>+IFERROR(VLOOKUP(CONCATENATE(A48,$E$10,E48),'ID1&amp;5'!B:J,9,FALSE),"-")</f>
        <v>-</v>
      </c>
      <c r="U48" s="91" t="str">
        <f>+IFERROR(VLOOKUP(F48,'ID1&amp;5'!K:L,2,FALSE),"-")</f>
        <v>-</v>
      </c>
      <c r="V48" s="92" t="str">
        <f>+IFERROR(VLOOKUP(CONCATENATE(A48,$F$10,F48),'ID1&amp;5'!B:J,9,FALSE),"-")</f>
        <v>-</v>
      </c>
      <c r="W48" s="33" t="str">
        <f>+IFERROR(VLOOKUP(A48,'ID6&amp;7'!A:I,9,FALSE),"-")</f>
        <v>-</v>
      </c>
      <c r="X48" s="33" t="str">
        <f>+IFERROR(VLOOKUP(A48,'ID6&amp;7'!A:J,10,FALSE),"-")</f>
        <v>-</v>
      </c>
      <c r="Y48" s="33"/>
      <c r="Z48" s="34" t="str">
        <f t="shared" si="1"/>
        <v>Por iniciar</v>
      </c>
    </row>
    <row r="49" spans="1:26">
      <c r="A49" s="27" t="str">
        <f t="shared" si="0"/>
        <v>PROTECTIONEMSSNS_SCP3_PRTCTN45596</v>
      </c>
      <c r="B49" s="74">
        <f t="array" ref="B49">+MAX(IF('ID1&amp;5'!A:A='1. Status'!A49&amp;'1. Status'!$B$10,'ID1&amp;5'!K:K))</f>
        <v>0</v>
      </c>
      <c r="C49" s="67">
        <f t="array" ref="C49">+MAX(IF('ID1&amp;5'!A:A='1. Status'!A49&amp;'1. Status'!$C$10,'ID1&amp;5'!K:K))</f>
        <v>0</v>
      </c>
      <c r="D49" s="67">
        <f t="array" ref="D49">+MAX(IF('ID1&amp;5'!A:A='1. Status'!A49&amp;'1. Status'!$D$10,'ID1&amp;5'!K:K))</f>
        <v>0</v>
      </c>
      <c r="E49" s="67">
        <f t="array" ref="E49">+MAX(IF('ID1&amp;5'!A:A='1. Status'!A49&amp;'1. Status'!$E$10,'ID1&amp;5'!K:K))</f>
        <v>0</v>
      </c>
      <c r="F49" s="75">
        <f t="array" ref="F49">+MAX(IF('ID1&amp;5'!A:A='1. Status'!A49&amp;'1. Status'!$F$10,'ID1&amp;5'!K:K))</f>
        <v>0</v>
      </c>
      <c r="G49" s="67"/>
      <c r="H49" s="73" t="s">
        <v>134</v>
      </c>
      <c r="I49" s="28" t="s">
        <v>141</v>
      </c>
      <c r="J49" s="33">
        <f>+COUNTIF('ID1&amp;5'!G:G,'1. Status'!I49)</f>
        <v>0</v>
      </c>
      <c r="K49" s="92" t="str">
        <f>+IFERROR(VLOOKUP(CONCATENATE(A49,$B$10,B49),'ID1&amp;5'!B:J,8,FALSE),"-")</f>
        <v>-</v>
      </c>
      <c r="L49" s="91" t="str">
        <f>+IFERROR(VLOOKUP(B49,'ID1&amp;5'!K:L,2,FALSE),"-")</f>
        <v>-</v>
      </c>
      <c r="M49" s="92" t="str">
        <f>+IFERROR(VLOOKUP(CONCATENATE(A49,$B$10,B49),'ID1&amp;5'!B:J,9,FALSE),"-")</f>
        <v>-</v>
      </c>
      <c r="N49" s="92" t="str">
        <f>+IFERROR(VLOOKUP(CONCATENATE(A49,$C$10,C49),'ID1&amp;5'!B:J,8,FALSE),"-")</f>
        <v>-</v>
      </c>
      <c r="O49" s="91" t="str">
        <f>+IFERROR(VLOOKUP(C49,'ID1&amp;5'!K:L,2,FALSE),"-")</f>
        <v>-</v>
      </c>
      <c r="P49" s="92" t="str">
        <f>+IFERROR(VLOOKUP(CONCATENATE(A49,$C$10,C49),'ID1&amp;5'!B:J,9,FALSE),"-")</f>
        <v>-</v>
      </c>
      <c r="Q49" s="91" t="str">
        <f>+IFERROR(VLOOKUP(D49,'ID1&amp;5'!K:L,2,FALSE),"-")</f>
        <v>-</v>
      </c>
      <c r="R49" s="33" t="str">
        <f>+IFERROR(VLOOKUP(CONCATENATE(A49,$D$10,D49),'ID1&amp;5'!B:J,9,FALSE),"-")</f>
        <v>-</v>
      </c>
      <c r="S49" s="91" t="str">
        <f>+IFERROR(VLOOKUP(E49,'ID1&amp;5'!K:L,2,FALSE),"-")</f>
        <v>-</v>
      </c>
      <c r="T49" s="92" t="str">
        <f>+IFERROR(VLOOKUP(CONCATENATE(A49,$E$10,E49),'ID1&amp;5'!B:J,9,FALSE),"-")</f>
        <v>-</v>
      </c>
      <c r="U49" s="91" t="str">
        <f>+IFERROR(VLOOKUP(F49,'ID1&amp;5'!K:L,2,FALSE),"-")</f>
        <v>-</v>
      </c>
      <c r="V49" s="92" t="str">
        <f>+IFERROR(VLOOKUP(CONCATENATE(A49,$F$10,F49),'ID1&amp;5'!B:J,9,FALSE),"-")</f>
        <v>-</v>
      </c>
      <c r="W49" s="33" t="str">
        <f>+IFERROR(VLOOKUP(A49,'ID6&amp;7'!A:I,9,FALSE),"-")</f>
        <v>-</v>
      </c>
      <c r="X49" s="33" t="str">
        <f>+IFERROR(VLOOKUP(A49,'ID6&amp;7'!A:J,10,FALSE),"-")</f>
        <v>-</v>
      </c>
      <c r="Y49" s="33"/>
      <c r="Z49" s="34" t="str">
        <f t="shared" si="1"/>
        <v>Por iniciar</v>
      </c>
    </row>
    <row r="50" spans="1:26">
      <c r="A50" s="27" t="str">
        <f t="shared" si="0"/>
        <v>PROTECTIONMTHD_USD_PRTCTN_SCP_145596</v>
      </c>
      <c r="B50" s="74">
        <f t="array" ref="B50">+MAX(IF('ID1&amp;5'!A:A='1. Status'!A50&amp;'1. Status'!$B$10,'ID1&amp;5'!K:K))</f>
        <v>0</v>
      </c>
      <c r="C50" s="67">
        <f t="array" ref="C50">+MAX(IF('ID1&amp;5'!A:A='1. Status'!A50&amp;'1. Status'!$C$10,'ID1&amp;5'!K:K))</f>
        <v>0</v>
      </c>
      <c r="D50" s="67">
        <f t="array" ref="D50">+MAX(IF('ID1&amp;5'!A:A='1. Status'!A50&amp;'1. Status'!$D$10,'ID1&amp;5'!K:K))</f>
        <v>0</v>
      </c>
      <c r="E50" s="67">
        <f t="array" ref="E50">+MAX(IF('ID1&amp;5'!A:A='1. Status'!A50&amp;'1. Status'!$E$10,'ID1&amp;5'!K:K))</f>
        <v>0</v>
      </c>
      <c r="F50" s="75">
        <f t="array" ref="F50">+MAX(IF('ID1&amp;5'!A:A='1. Status'!A50&amp;'1. Status'!$F$10,'ID1&amp;5'!K:K))</f>
        <v>0</v>
      </c>
      <c r="G50" s="67"/>
      <c r="H50" s="73" t="s">
        <v>134</v>
      </c>
      <c r="I50" s="28" t="s">
        <v>142</v>
      </c>
      <c r="J50" s="33">
        <f>+COUNTIF('ID1&amp;5'!G:G,'1. Status'!I50)</f>
        <v>0</v>
      </c>
      <c r="K50" s="92" t="str">
        <f>+IFERROR(VLOOKUP(CONCATENATE(A50,$B$10,B50),'ID1&amp;5'!B:J,8,FALSE),"-")</f>
        <v>-</v>
      </c>
      <c r="L50" s="91" t="str">
        <f>+IFERROR(VLOOKUP(B50,'ID1&amp;5'!K:L,2,FALSE),"-")</f>
        <v>-</v>
      </c>
      <c r="M50" s="92" t="str">
        <f>+IFERROR(VLOOKUP(CONCATENATE(A50,$B$10,B50),'ID1&amp;5'!B:J,9,FALSE),"-")</f>
        <v>-</v>
      </c>
      <c r="N50" s="92" t="str">
        <f>+IFERROR(VLOOKUP(CONCATENATE(A50,$C$10,C50),'ID1&amp;5'!B:J,8,FALSE),"-")</f>
        <v>-</v>
      </c>
      <c r="O50" s="91" t="str">
        <f>+IFERROR(VLOOKUP(C50,'ID1&amp;5'!K:L,2,FALSE),"-")</f>
        <v>-</v>
      </c>
      <c r="P50" s="92" t="str">
        <f>+IFERROR(VLOOKUP(CONCATENATE(A50,$C$10,C50),'ID1&amp;5'!B:J,9,FALSE),"-")</f>
        <v>-</v>
      </c>
      <c r="Q50" s="91" t="str">
        <f>+IFERROR(VLOOKUP(D50,'ID1&amp;5'!K:L,2,FALSE),"-")</f>
        <v>-</v>
      </c>
      <c r="R50" s="33" t="str">
        <f>+IFERROR(VLOOKUP(CONCATENATE(A50,$D$10,D50),'ID1&amp;5'!B:J,9,FALSE),"-")</f>
        <v>-</v>
      </c>
      <c r="S50" s="91" t="str">
        <f>+IFERROR(VLOOKUP(E50,'ID1&amp;5'!K:L,2,FALSE),"-")</f>
        <v>-</v>
      </c>
      <c r="T50" s="92" t="str">
        <f>+IFERROR(VLOOKUP(CONCATENATE(A50,$E$10,E50),'ID1&amp;5'!B:J,9,FALSE),"-")</f>
        <v>-</v>
      </c>
      <c r="U50" s="91" t="str">
        <f>+IFERROR(VLOOKUP(F50,'ID1&amp;5'!K:L,2,FALSE),"-")</f>
        <v>-</v>
      </c>
      <c r="V50" s="92" t="str">
        <f>+IFERROR(VLOOKUP(CONCATENATE(A50,$F$10,F50),'ID1&amp;5'!B:J,9,FALSE),"-")</f>
        <v>-</v>
      </c>
      <c r="W50" s="33" t="str">
        <f>+IFERROR(VLOOKUP(A50,'ID6&amp;7'!A:I,9,FALSE),"-")</f>
        <v>-</v>
      </c>
      <c r="X50" s="33" t="str">
        <f>+IFERROR(VLOOKUP(A50,'ID6&amp;7'!A:J,10,FALSE),"-")</f>
        <v>-</v>
      </c>
      <c r="Y50" s="33"/>
      <c r="Z50" s="34" t="str">
        <f t="shared" si="1"/>
        <v>Por iniciar</v>
      </c>
    </row>
    <row r="51" spans="1:26">
      <c r="A51" s="27" t="str">
        <f t="shared" si="0"/>
        <v>PROTECTIONMTHD_USD_PRTCTN_SCP_245596</v>
      </c>
      <c r="B51" s="74">
        <f t="array" ref="B51">+MAX(IF('ID1&amp;5'!A:A='1. Status'!A51&amp;'1. Status'!$B$10,'ID1&amp;5'!K:K))</f>
        <v>0</v>
      </c>
      <c r="C51" s="67">
        <f t="array" ref="C51">+MAX(IF('ID1&amp;5'!A:A='1. Status'!A51&amp;'1. Status'!$C$10,'ID1&amp;5'!K:K))</f>
        <v>0</v>
      </c>
      <c r="D51" s="67">
        <f t="array" ref="D51">+MAX(IF('ID1&amp;5'!A:A='1. Status'!A51&amp;'1. Status'!$D$10,'ID1&amp;5'!K:K))</f>
        <v>0</v>
      </c>
      <c r="E51" s="67">
        <f t="array" ref="E51">+MAX(IF('ID1&amp;5'!A:A='1. Status'!A51&amp;'1. Status'!$E$10,'ID1&amp;5'!K:K))</f>
        <v>0</v>
      </c>
      <c r="F51" s="75">
        <f t="array" ref="F51">+MAX(IF('ID1&amp;5'!A:A='1. Status'!A51&amp;'1. Status'!$F$10,'ID1&amp;5'!K:K))</f>
        <v>0</v>
      </c>
      <c r="G51" s="67"/>
      <c r="H51" s="73" t="s">
        <v>134</v>
      </c>
      <c r="I51" s="28" t="s">
        <v>143</v>
      </c>
      <c r="J51" s="33">
        <f>+COUNTIF('ID1&amp;5'!G:G,'1. Status'!I51)</f>
        <v>0</v>
      </c>
      <c r="K51" s="92" t="str">
        <f>+IFERROR(VLOOKUP(CONCATENATE(A51,$B$10,B51),'ID1&amp;5'!B:J,8,FALSE),"-")</f>
        <v>-</v>
      </c>
      <c r="L51" s="91" t="str">
        <f>+IFERROR(VLOOKUP(B51,'ID1&amp;5'!K:L,2,FALSE),"-")</f>
        <v>-</v>
      </c>
      <c r="M51" s="92" t="str">
        <f>+IFERROR(VLOOKUP(CONCATENATE(A51,$B$10,B51),'ID1&amp;5'!B:J,9,FALSE),"-")</f>
        <v>-</v>
      </c>
      <c r="N51" s="92" t="str">
        <f>+IFERROR(VLOOKUP(CONCATENATE(A51,$C$10,C51),'ID1&amp;5'!B:J,8,FALSE),"-")</f>
        <v>-</v>
      </c>
      <c r="O51" s="91" t="str">
        <f>+IFERROR(VLOOKUP(C51,'ID1&amp;5'!K:L,2,FALSE),"-")</f>
        <v>-</v>
      </c>
      <c r="P51" s="92" t="str">
        <f>+IFERROR(VLOOKUP(CONCATENATE(A51,$C$10,C51),'ID1&amp;5'!B:J,9,FALSE),"-")</f>
        <v>-</v>
      </c>
      <c r="Q51" s="91" t="str">
        <f>+IFERROR(VLOOKUP(D51,'ID1&amp;5'!K:L,2,FALSE),"-")</f>
        <v>-</v>
      </c>
      <c r="R51" s="33" t="str">
        <f>+IFERROR(VLOOKUP(CONCATENATE(A51,$D$10,D51),'ID1&amp;5'!B:J,9,FALSE),"-")</f>
        <v>-</v>
      </c>
      <c r="S51" s="91" t="str">
        <f>+IFERROR(VLOOKUP(E51,'ID1&amp;5'!K:L,2,FALSE),"-")</f>
        <v>-</v>
      </c>
      <c r="T51" s="92" t="str">
        <f>+IFERROR(VLOOKUP(CONCATENATE(A51,$E$10,E51),'ID1&amp;5'!B:J,9,FALSE),"-")</f>
        <v>-</v>
      </c>
      <c r="U51" s="91" t="str">
        <f>+IFERROR(VLOOKUP(F51,'ID1&amp;5'!K:L,2,FALSE),"-")</f>
        <v>-</v>
      </c>
      <c r="V51" s="92" t="str">
        <f>+IFERROR(VLOOKUP(CONCATENATE(A51,$F$10,F51),'ID1&amp;5'!B:J,9,FALSE),"-")</f>
        <v>-</v>
      </c>
      <c r="W51" s="33" t="str">
        <f>+IFERROR(VLOOKUP(A51,'ID6&amp;7'!A:I,9,FALSE),"-")</f>
        <v>-</v>
      </c>
      <c r="X51" s="33" t="str">
        <f>+IFERROR(VLOOKUP(A51,'ID6&amp;7'!A:J,10,FALSE),"-")</f>
        <v>-</v>
      </c>
      <c r="Y51" s="33"/>
      <c r="Z51" s="34" t="str">
        <f t="shared" si="1"/>
        <v>Por iniciar</v>
      </c>
    </row>
    <row r="52" spans="1:26">
      <c r="A52" s="27" t="str">
        <f t="shared" si="0"/>
        <v>PROTECTIONMTHD_USD_PRTCTN_SCP_345596</v>
      </c>
      <c r="B52" s="74">
        <f t="array" ref="B52">+MAX(IF('ID1&amp;5'!A:A='1. Status'!A52&amp;'1. Status'!$B$10,'ID1&amp;5'!K:K))</f>
        <v>0</v>
      </c>
      <c r="C52" s="67">
        <f t="array" ref="C52">+MAX(IF('ID1&amp;5'!A:A='1. Status'!A52&amp;'1. Status'!$C$10,'ID1&amp;5'!K:K))</f>
        <v>0</v>
      </c>
      <c r="D52" s="67">
        <f t="array" ref="D52">+MAX(IF('ID1&amp;5'!A:A='1. Status'!A52&amp;'1. Status'!$D$10,'ID1&amp;5'!K:K))</f>
        <v>0</v>
      </c>
      <c r="E52" s="67">
        <f t="array" ref="E52">+MAX(IF('ID1&amp;5'!A:A='1. Status'!A52&amp;'1. Status'!$E$10,'ID1&amp;5'!K:K))</f>
        <v>0</v>
      </c>
      <c r="F52" s="75">
        <f t="array" ref="F52">+MAX(IF('ID1&amp;5'!A:A='1. Status'!A52&amp;'1. Status'!$F$10,'ID1&amp;5'!K:K))</f>
        <v>0</v>
      </c>
      <c r="G52" s="67"/>
      <c r="H52" s="73" t="s">
        <v>134</v>
      </c>
      <c r="I52" s="28" t="s">
        <v>144</v>
      </c>
      <c r="J52" s="33">
        <f>+COUNTIF('ID1&amp;5'!G:G,'1. Status'!I52)</f>
        <v>0</v>
      </c>
      <c r="K52" s="92" t="str">
        <f>+IFERROR(VLOOKUP(CONCATENATE(A52,$B$10,B52),'ID1&amp;5'!B:J,8,FALSE),"-")</f>
        <v>-</v>
      </c>
      <c r="L52" s="91" t="str">
        <f>+IFERROR(VLOOKUP(B52,'ID1&amp;5'!K:L,2,FALSE),"-")</f>
        <v>-</v>
      </c>
      <c r="M52" s="92" t="str">
        <f>+IFERROR(VLOOKUP(CONCATENATE(A52,$B$10,B52),'ID1&amp;5'!B:J,9,FALSE),"-")</f>
        <v>-</v>
      </c>
      <c r="N52" s="92" t="str">
        <f>+IFERROR(VLOOKUP(CONCATENATE(A52,$C$10,C52),'ID1&amp;5'!B:J,8,FALSE),"-")</f>
        <v>-</v>
      </c>
      <c r="O52" s="91" t="str">
        <f>+IFERROR(VLOOKUP(C52,'ID1&amp;5'!K:L,2,FALSE),"-")</f>
        <v>-</v>
      </c>
      <c r="P52" s="92" t="str">
        <f>+IFERROR(VLOOKUP(CONCATENATE(A52,$C$10,C52),'ID1&amp;5'!B:J,9,FALSE),"-")</f>
        <v>-</v>
      </c>
      <c r="Q52" s="91" t="str">
        <f>+IFERROR(VLOOKUP(D52,'ID1&amp;5'!K:L,2,FALSE),"-")</f>
        <v>-</v>
      </c>
      <c r="R52" s="33" t="str">
        <f>+IFERROR(VLOOKUP(CONCATENATE(A52,$D$10,D52),'ID1&amp;5'!B:J,9,FALSE),"-")</f>
        <v>-</v>
      </c>
      <c r="S52" s="91" t="str">
        <f>+IFERROR(VLOOKUP(E52,'ID1&amp;5'!K:L,2,FALSE),"-")</f>
        <v>-</v>
      </c>
      <c r="T52" s="92" t="str">
        <f>+IFERROR(VLOOKUP(CONCATENATE(A52,$E$10,E52),'ID1&amp;5'!B:J,9,FALSE),"-")</f>
        <v>-</v>
      </c>
      <c r="U52" s="91" t="str">
        <f>+IFERROR(VLOOKUP(F52,'ID1&amp;5'!K:L,2,FALSE),"-")</f>
        <v>-</v>
      </c>
      <c r="V52" s="92" t="str">
        <f>+IFERROR(VLOOKUP(CONCATENATE(A52,$F$10,F52),'ID1&amp;5'!B:J,9,FALSE),"-")</f>
        <v>-</v>
      </c>
      <c r="W52" s="33" t="str">
        <f>+IFERROR(VLOOKUP(A52,'ID6&amp;7'!A:I,9,FALSE),"-")</f>
        <v>-</v>
      </c>
      <c r="X52" s="33" t="str">
        <f>+IFERROR(VLOOKUP(A52,'ID6&amp;7'!A:J,10,FALSE),"-")</f>
        <v>-</v>
      </c>
      <c r="Y52" s="33"/>
      <c r="Z52" s="34" t="str">
        <f t="shared" si="1"/>
        <v>Por iniciar</v>
      </c>
    </row>
    <row r="53" spans="1:26">
      <c r="A53" s="27" t="str">
        <f t="shared" si="0"/>
        <v>PROTECTIONFLG_ACT_PHYSCL_RSK45596</v>
      </c>
      <c r="B53" s="74">
        <f t="array" ref="B53">+MAX(IF('ID1&amp;5'!A:A='1. Status'!A53&amp;'1. Status'!$B$10,'ID1&amp;5'!K:K))</f>
        <v>5</v>
      </c>
      <c r="C53" s="67">
        <f t="array" ref="C53">+MAX(IF('ID1&amp;5'!A:A='1. Status'!A53&amp;'1. Status'!$C$10,'ID1&amp;5'!K:K))</f>
        <v>5</v>
      </c>
      <c r="D53" s="67">
        <f t="array" ref="D53">+MAX(IF('ID1&amp;5'!A:A='1. Status'!A53&amp;'1. Status'!$D$10,'ID1&amp;5'!K:K))</f>
        <v>5</v>
      </c>
      <c r="E53" s="67">
        <f t="array" ref="E53">+MAX(IF('ID1&amp;5'!A:A='1. Status'!A53&amp;'1. Status'!$E$10,'ID1&amp;5'!K:K))</f>
        <v>5</v>
      </c>
      <c r="F53" s="75">
        <f t="array" ref="F53">+MAX(IF('ID1&amp;5'!A:A='1. Status'!A53&amp;'1. Status'!$F$10,'ID1&amp;5'!K:K))</f>
        <v>5</v>
      </c>
      <c r="G53" s="67"/>
      <c r="H53" s="73" t="s">
        <v>134</v>
      </c>
      <c r="I53" s="28" t="s">
        <v>121</v>
      </c>
      <c r="J53" s="33">
        <f>+COUNTIF('ID1&amp;5'!G:G,'1. Status'!I53)</f>
        <v>15</v>
      </c>
      <c r="K53" s="92">
        <f>+IFERROR(VLOOKUP(CONCATENATE(A53,$B$10,B53),'ID1&amp;5'!B:J,8,FALSE),"-")</f>
        <v>475803</v>
      </c>
      <c r="L53" s="91" t="str">
        <f>+IFERROR(VLOOKUP(B53,'ID1&amp;5'!K:L,2,FALSE),"-")</f>
        <v>2024-12-06 11:22:30.690504000</v>
      </c>
      <c r="M53" s="92">
        <f>+IFERROR(VLOOKUP(CONCATENATE(A53,$B$10,B53),'ID1&amp;5'!B:J,9,FALSE),"-")</f>
        <v>0</v>
      </c>
      <c r="N53" s="92">
        <f>+IFERROR(VLOOKUP(CONCATENATE(A53,$C$10,C53),'ID1&amp;5'!B:J,8,FALSE),"-")</f>
        <v>475803</v>
      </c>
      <c r="O53" s="91" t="str">
        <f>+IFERROR(VLOOKUP(C53,'ID1&amp;5'!K:L,2,FALSE),"-")</f>
        <v>2024-12-06 11:22:30.690504000</v>
      </c>
      <c r="P53" s="92">
        <f>+IFERROR(VLOOKUP(CONCATENATE(A53,$C$10,C53),'ID1&amp;5'!B:J,9,FALSE),"-")</f>
        <v>0</v>
      </c>
      <c r="Q53" s="91" t="str">
        <f>+IFERROR(VLOOKUP(D53,'ID1&amp;5'!K:L,2,FALSE),"-")</f>
        <v>2024-12-06 11:22:30.690504000</v>
      </c>
      <c r="R53" s="33">
        <f>+IFERROR(VLOOKUP(CONCATENATE(A53,$D$10,D53),'ID1&amp;5'!B:J,9,FALSE),"-")</f>
        <v>0</v>
      </c>
      <c r="S53" s="91" t="str">
        <f>+IFERROR(VLOOKUP(E53,'ID1&amp;5'!K:L,2,FALSE),"-")</f>
        <v>2024-12-06 11:22:30.690504000</v>
      </c>
      <c r="T53" s="92">
        <f>+IFERROR(VLOOKUP(CONCATENATE(A53,$E$10,E53),'ID1&amp;5'!B:J,9,FALSE),"-")</f>
        <v>0</v>
      </c>
      <c r="U53" s="91" t="str">
        <f>+IFERROR(VLOOKUP(F53,'ID1&amp;5'!K:L,2,FALSE),"-")</f>
        <v>2024-12-06 11:22:30.690504000</v>
      </c>
      <c r="V53" s="92">
        <f>+IFERROR(VLOOKUP(CONCATENATE(A53,$F$10,F53),'ID1&amp;5'!B:J,9,FALSE),"-")</f>
        <v>0</v>
      </c>
      <c r="W53" s="33" t="str">
        <f>+IFERROR(VLOOKUP(A53,'ID6&amp;7'!A:I,9,FALSE),"-")</f>
        <v>N</v>
      </c>
      <c r="X53" s="33" t="str">
        <f>+IFERROR(VLOOKUP(A53,'ID6&amp;7'!A:J,10,FALSE),"-")</f>
        <v>N</v>
      </c>
      <c r="Y53" s="33"/>
      <c r="Z53" s="34" t="str">
        <f t="shared" si="1"/>
        <v>OK</v>
      </c>
    </row>
    <row r="54" spans="1:26">
      <c r="A54" s="27" t="str">
        <f t="shared" si="0"/>
        <v>PROTECTIONFLG_CHRNC_PHYSCL_RSK45596</v>
      </c>
      <c r="B54" s="74">
        <f t="array" ref="B54">+MAX(IF('ID1&amp;5'!A:A='1. Status'!A54&amp;'1. Status'!$B$10,'ID1&amp;5'!K:K))</f>
        <v>0</v>
      </c>
      <c r="C54" s="67">
        <f t="array" ref="C54">+MAX(IF('ID1&amp;5'!A:A='1. Status'!A54&amp;'1. Status'!$C$10,'ID1&amp;5'!K:K))</f>
        <v>0</v>
      </c>
      <c r="D54" s="67">
        <f t="array" ref="D54">+MAX(IF('ID1&amp;5'!A:A='1. Status'!A54&amp;'1. Status'!$D$10,'ID1&amp;5'!K:K))</f>
        <v>0</v>
      </c>
      <c r="E54" s="67">
        <f t="array" ref="E54">+MAX(IF('ID1&amp;5'!A:A='1. Status'!A54&amp;'1. Status'!$E$10,'ID1&amp;5'!K:K))</f>
        <v>0</v>
      </c>
      <c r="F54" s="75">
        <f t="array" ref="F54">+MAX(IF('ID1&amp;5'!A:A='1. Status'!A54&amp;'1. Status'!$F$10,'ID1&amp;5'!K:K))</f>
        <v>0</v>
      </c>
      <c r="G54" s="67"/>
      <c r="H54" s="73" t="s">
        <v>134</v>
      </c>
      <c r="I54" s="28" t="s">
        <v>122</v>
      </c>
      <c r="J54" s="33">
        <f>+COUNTIF('ID1&amp;5'!G:G,'1. Status'!I54)</f>
        <v>5</v>
      </c>
      <c r="K54" s="92" t="str">
        <f>+IFERROR(VLOOKUP(CONCATENATE(A54,$B$10,B54),'ID1&amp;5'!B:J,8,FALSE),"-")</f>
        <v>-</v>
      </c>
      <c r="L54" s="91" t="str">
        <f>+IFERROR(VLOOKUP(B54,'ID1&amp;5'!K:L,2,FALSE),"-")</f>
        <v>-</v>
      </c>
      <c r="M54" s="92" t="str">
        <f>+IFERROR(VLOOKUP(CONCATENATE(A54,$B$10,B54),'ID1&amp;5'!B:J,9,FALSE),"-")</f>
        <v>-</v>
      </c>
      <c r="N54" s="92" t="str">
        <f>+IFERROR(VLOOKUP(CONCATENATE(A54,$C$10,C54),'ID1&amp;5'!B:J,8,FALSE),"-")</f>
        <v>-</v>
      </c>
      <c r="O54" s="91" t="str">
        <f>+IFERROR(VLOOKUP(C54,'ID1&amp;5'!K:L,2,FALSE),"-")</f>
        <v>-</v>
      </c>
      <c r="P54" s="92" t="str">
        <f>+IFERROR(VLOOKUP(CONCATENATE(A54,$C$10,C54),'ID1&amp;5'!B:J,9,FALSE),"-")</f>
        <v>-</v>
      </c>
      <c r="Q54" s="91" t="str">
        <f>+IFERROR(VLOOKUP(D54,'ID1&amp;5'!K:L,2,FALSE),"-")</f>
        <v>-</v>
      </c>
      <c r="R54" s="33" t="str">
        <f>+IFERROR(VLOOKUP(CONCATENATE(A54,$D$10,D54),'ID1&amp;5'!B:J,9,FALSE),"-")</f>
        <v>-</v>
      </c>
      <c r="S54" s="91" t="str">
        <f>+IFERROR(VLOOKUP(E54,'ID1&amp;5'!K:L,2,FALSE),"-")</f>
        <v>-</v>
      </c>
      <c r="T54" s="92" t="str">
        <f>+IFERROR(VLOOKUP(CONCATENATE(A54,$E$10,E54),'ID1&amp;5'!B:J,9,FALSE),"-")</f>
        <v>-</v>
      </c>
      <c r="U54" s="91" t="str">
        <f>+IFERROR(VLOOKUP(F54,'ID1&amp;5'!K:L,2,FALSE),"-")</f>
        <v>-</v>
      </c>
      <c r="V54" s="92" t="str">
        <f>+IFERROR(VLOOKUP(CONCATENATE(A54,$F$10,F54),'ID1&amp;5'!B:J,9,FALSE),"-")</f>
        <v>-</v>
      </c>
      <c r="W54" s="33" t="str">
        <f>+IFERROR(VLOOKUP(A54,'ID6&amp;7'!A:I,9,FALSE),"-")</f>
        <v>N</v>
      </c>
      <c r="X54" s="33" t="str">
        <f>+IFERROR(VLOOKUP(A54,'ID6&amp;7'!A:J,10,FALSE),"-")</f>
        <v>N</v>
      </c>
      <c r="Y54" s="33"/>
      <c r="Z54" s="34" t="str">
        <f t="shared" si="1"/>
        <v>Em testes</v>
      </c>
    </row>
    <row r="55" spans="1:26">
      <c r="A55" s="27" t="str">
        <f t="shared" si="0"/>
        <v>INSTRUMENTRSK_MTGTD_CCT45596</v>
      </c>
      <c r="B55" s="74">
        <f t="array" ref="B55">+MAX(IF('ID1&amp;5'!A:A='1. Status'!A55&amp;'1. Status'!$B$10,'ID1&amp;5'!K:K))</f>
        <v>2</v>
      </c>
      <c r="C55" s="67">
        <f t="array" ref="C55">+MAX(IF('ID1&amp;5'!A:A='1. Status'!A55&amp;'1. Status'!$C$10,'ID1&amp;5'!K:K))</f>
        <v>2</v>
      </c>
      <c r="D55" s="67">
        <f t="array" ref="D55">+MAX(IF('ID1&amp;5'!A:A='1. Status'!A55&amp;'1. Status'!$D$10,'ID1&amp;5'!K:K))</f>
        <v>2</v>
      </c>
      <c r="E55" s="67">
        <f t="array" ref="E55">+MAX(IF('ID1&amp;5'!A:A='1. Status'!A55&amp;'1. Status'!$E$10,'ID1&amp;5'!K:K))</f>
        <v>2</v>
      </c>
      <c r="F55" s="75">
        <f t="array" ref="F55">+MAX(IF('ID1&amp;5'!A:A='1. Status'!A55&amp;'1. Status'!$F$10,'ID1&amp;5'!K:K))</f>
        <v>2</v>
      </c>
      <c r="G55" s="67"/>
      <c r="H55" s="73" t="s">
        <v>145</v>
      </c>
      <c r="I55" s="28" t="s">
        <v>146</v>
      </c>
      <c r="J55" s="33">
        <f>+COUNTIF('ID1&amp;5'!G:G,'1. Status'!I55)</f>
        <v>5</v>
      </c>
      <c r="K55" s="92">
        <f>+IFERROR(VLOOKUP(CONCATENATE(A55,$B$10,B55),'ID1&amp;5'!B:J,8,FALSE),"-")</f>
        <v>2066889</v>
      </c>
      <c r="L55" s="91" t="str">
        <f>+IFERROR(VLOOKUP(B55,'ID1&amp;5'!K:L,2,FALSE),"-")</f>
        <v>2024-11-28 10:10:05.682076000</v>
      </c>
      <c r="M55" s="92">
        <f>+IFERROR(VLOOKUP(CONCATENATE(A55,$B$10,B55),'ID1&amp;5'!B:J,9,FALSE),"-")</f>
        <v>332</v>
      </c>
      <c r="N55" s="92">
        <f>+IFERROR(VLOOKUP(CONCATENATE(A55,$C$10,C55),'ID1&amp;5'!B:J,8,FALSE),"-")</f>
        <v>2067327</v>
      </c>
      <c r="O55" s="91" t="str">
        <f>+IFERROR(VLOOKUP(C55,'ID1&amp;5'!K:L,2,FALSE),"-")</f>
        <v>2024-11-28 10:10:05.682076000</v>
      </c>
      <c r="P55" s="92">
        <f>+IFERROR(VLOOKUP(CONCATENATE(A55,$C$10,C55),'ID1&amp;5'!B:J,9,FALSE),"-")</f>
        <v>2067327</v>
      </c>
      <c r="Q55" s="91" t="str">
        <f>+IFERROR(VLOOKUP(D55,'ID1&amp;5'!K:L,2,FALSE),"-")</f>
        <v>2024-11-28 10:10:05.682076000</v>
      </c>
      <c r="R55" s="33">
        <f>+IFERROR(VLOOKUP(CONCATENATE(A55,$D$10,D55),'ID1&amp;5'!B:J,9,FALSE),"-")</f>
        <v>0</v>
      </c>
      <c r="S55" s="91" t="str">
        <f>+IFERROR(VLOOKUP(E55,'ID1&amp;5'!K:L,2,FALSE),"-")</f>
        <v>2024-11-28 10:10:05.682076000</v>
      </c>
      <c r="T55" s="92">
        <f>+IFERROR(VLOOKUP(CONCATENATE(A55,$E$10,E55),'ID1&amp;5'!B:J,9,FALSE),"-")</f>
        <v>0</v>
      </c>
      <c r="U55" s="91" t="str">
        <f>+IFERROR(VLOOKUP(F55,'ID1&amp;5'!K:L,2,FALSE),"-")</f>
        <v>2024-11-28 10:10:05.682076000</v>
      </c>
      <c r="V55" s="92">
        <f>+IFERROR(VLOOKUP(CONCATENATE(A55,$F$10,F55),'ID1&amp;5'!B:J,9,FALSE),"-")</f>
        <v>0</v>
      </c>
      <c r="W55" s="33" t="str">
        <f>+IFERROR(VLOOKUP(A55,'ID6&amp;7'!A:I,9,FALSE),"-")</f>
        <v>-</v>
      </c>
      <c r="X55" s="33" t="str">
        <f>+IFERROR(VLOOKUP(A55,'ID6&amp;7'!A:J,10,FALSE),"-")</f>
        <v>-</v>
      </c>
      <c r="Y55" s="90" t="s">
        <v>147</v>
      </c>
      <c r="Z55" s="34" t="str">
        <f t="shared" si="1"/>
        <v>NOK</v>
      </c>
    </row>
    <row r="56" spans="1:26">
      <c r="A56" s="27" t="str">
        <f t="shared" si="0"/>
        <v>INSTRUMENTRSK_MTGTD_CCP45596</v>
      </c>
      <c r="B56" s="74">
        <f t="array" ref="B56">+MAX(IF('ID1&amp;5'!A:A='1. Status'!A56&amp;'1. Status'!$B$10,'ID1&amp;5'!K:K))</f>
        <v>0</v>
      </c>
      <c r="C56" s="67">
        <f t="array" ref="C56">+MAX(IF('ID1&amp;5'!A:A='1. Status'!A56&amp;'1. Status'!$C$10,'ID1&amp;5'!K:K))</f>
        <v>0</v>
      </c>
      <c r="D56" s="67">
        <f t="array" ref="D56">+MAX(IF('ID1&amp;5'!A:A='1. Status'!A56&amp;'1. Status'!$D$10,'ID1&amp;5'!K:K))</f>
        <v>0</v>
      </c>
      <c r="E56" s="67">
        <f t="array" ref="E56">+MAX(IF('ID1&amp;5'!A:A='1. Status'!A56&amp;'1. Status'!$E$10,'ID1&amp;5'!K:K))</f>
        <v>0</v>
      </c>
      <c r="F56" s="75">
        <f t="array" ref="F56">+MAX(IF('ID1&amp;5'!A:A='1. Status'!A56&amp;'1. Status'!$F$10,'ID1&amp;5'!K:K))</f>
        <v>0</v>
      </c>
      <c r="G56" s="67"/>
      <c r="H56" s="73" t="s">
        <v>145</v>
      </c>
      <c r="I56" s="28" t="s">
        <v>148</v>
      </c>
      <c r="J56" s="33">
        <f>+COUNTIF('ID1&amp;5'!G:G,'1. Status'!I56)</f>
        <v>0</v>
      </c>
      <c r="K56" s="92" t="str">
        <f>+IFERROR(VLOOKUP(CONCATENATE(A56,$B$10,B56),'ID1&amp;5'!B:J,8,FALSE),"-")</f>
        <v>-</v>
      </c>
      <c r="L56" s="91" t="str">
        <f>+IFERROR(VLOOKUP(B56,'ID1&amp;5'!K:L,2,FALSE),"-")</f>
        <v>-</v>
      </c>
      <c r="M56" s="92" t="str">
        <f>+IFERROR(VLOOKUP(CONCATENATE(A56,$B$10,B56),'ID1&amp;5'!B:J,9,FALSE),"-")</f>
        <v>-</v>
      </c>
      <c r="N56" s="92" t="str">
        <f>+IFERROR(VLOOKUP(CONCATENATE(A56,$C$10,C56),'ID1&amp;5'!B:J,8,FALSE),"-")</f>
        <v>-</v>
      </c>
      <c r="O56" s="91" t="str">
        <f>+IFERROR(VLOOKUP(C56,'ID1&amp;5'!K:L,2,FALSE),"-")</f>
        <v>-</v>
      </c>
      <c r="P56" s="92" t="str">
        <f>+IFERROR(VLOOKUP(CONCATENATE(A56,$C$10,C56),'ID1&amp;5'!B:J,9,FALSE),"-")</f>
        <v>-</v>
      </c>
      <c r="Q56" s="91" t="str">
        <f>+IFERROR(VLOOKUP(D56,'ID1&amp;5'!K:L,2,FALSE),"-")</f>
        <v>-</v>
      </c>
      <c r="R56" s="33" t="str">
        <f>+IFERROR(VLOOKUP(CONCATENATE(A56,$D$10,D56),'ID1&amp;5'!B:J,9,FALSE),"-")</f>
        <v>-</v>
      </c>
      <c r="S56" s="91" t="str">
        <f>+IFERROR(VLOOKUP(E56,'ID1&amp;5'!K:L,2,FALSE),"-")</f>
        <v>-</v>
      </c>
      <c r="T56" s="92" t="str">
        <f>+IFERROR(VLOOKUP(CONCATENATE(A56,$E$10,E56),'ID1&amp;5'!B:J,9,FALSE),"-")</f>
        <v>-</v>
      </c>
      <c r="U56" s="91" t="str">
        <f>+IFERROR(VLOOKUP(F56,'ID1&amp;5'!K:L,2,FALSE),"-")</f>
        <v>-</v>
      </c>
      <c r="V56" s="92" t="str">
        <f>+IFERROR(VLOOKUP(CONCATENATE(A56,$F$10,F56),'ID1&amp;5'!B:J,9,FALSE),"-")</f>
        <v>-</v>
      </c>
      <c r="W56" s="33" t="str">
        <f>+IFERROR(VLOOKUP(A56,'ID6&amp;7'!A:I,9,FALSE),"-")</f>
        <v>-</v>
      </c>
      <c r="X56" s="33" t="str">
        <f>+IFERROR(VLOOKUP(A56,'ID6&amp;7'!A:J,10,FALSE),"-")</f>
        <v>-</v>
      </c>
      <c r="Y56" s="33"/>
      <c r="Z56" s="34" t="str">
        <f t="shared" si="1"/>
        <v>Por iniciar</v>
      </c>
    </row>
    <row r="57" spans="1:26">
      <c r="A57" s="27" t="str">
        <f t="shared" si="0"/>
        <v>INSTRUMENTENVRNMNTL_OBJCTV45596</v>
      </c>
      <c r="B57" s="74">
        <f t="array" ref="B57">+MAX(IF('ID1&amp;5'!A:A='1. Status'!A57&amp;'1. Status'!$B$10,'ID1&amp;5'!K:K))</f>
        <v>0</v>
      </c>
      <c r="C57" s="67">
        <f t="array" ref="C57">+MAX(IF('ID1&amp;5'!A:A='1. Status'!A57&amp;'1. Status'!$C$10,'ID1&amp;5'!K:K))</f>
        <v>0</v>
      </c>
      <c r="D57" s="67">
        <f t="array" ref="D57">+MAX(IF('ID1&amp;5'!A:A='1. Status'!A57&amp;'1. Status'!$D$10,'ID1&amp;5'!K:K))</f>
        <v>0</v>
      </c>
      <c r="E57" s="67">
        <f t="array" ref="E57">+MAX(IF('ID1&amp;5'!A:A='1. Status'!A57&amp;'1. Status'!$E$10,'ID1&amp;5'!K:K))</f>
        <v>0</v>
      </c>
      <c r="F57" s="75">
        <f t="array" ref="F57">+MAX(IF('ID1&amp;5'!A:A='1. Status'!A57&amp;'1. Status'!$F$10,'ID1&amp;5'!K:K))</f>
        <v>0</v>
      </c>
      <c r="G57" s="67"/>
      <c r="H57" s="73" t="s">
        <v>145</v>
      </c>
      <c r="I57" s="28" t="s">
        <v>149</v>
      </c>
      <c r="J57" s="33">
        <f>+COUNTIF('ID1&amp;5'!G:G,'1. Status'!I57)</f>
        <v>0</v>
      </c>
      <c r="K57" s="92" t="str">
        <f>+IFERROR(VLOOKUP(CONCATENATE(A57,$B$10,B57),'ID1&amp;5'!B:J,8,FALSE),"-")</f>
        <v>-</v>
      </c>
      <c r="L57" s="91" t="str">
        <f>+IFERROR(VLOOKUP(B57,'ID1&amp;5'!K:L,2,FALSE),"-")</f>
        <v>-</v>
      </c>
      <c r="M57" s="92" t="str">
        <f>+IFERROR(VLOOKUP(CONCATENATE(A57,$B$10,B57),'ID1&amp;5'!B:J,9,FALSE),"-")</f>
        <v>-</v>
      </c>
      <c r="N57" s="92" t="str">
        <f>+IFERROR(VLOOKUP(CONCATENATE(A57,$C$10,C57),'ID1&amp;5'!B:J,8,FALSE),"-")</f>
        <v>-</v>
      </c>
      <c r="O57" s="91" t="str">
        <f>+IFERROR(VLOOKUP(C57,'ID1&amp;5'!K:L,2,FALSE),"-")</f>
        <v>-</v>
      </c>
      <c r="P57" s="92" t="str">
        <f>+IFERROR(VLOOKUP(CONCATENATE(A57,$C$10,C57),'ID1&amp;5'!B:J,9,FALSE),"-")</f>
        <v>-</v>
      </c>
      <c r="Q57" s="91" t="str">
        <f>+IFERROR(VLOOKUP(D57,'ID1&amp;5'!K:L,2,FALSE),"-")</f>
        <v>-</v>
      </c>
      <c r="R57" s="33" t="str">
        <f>+IFERROR(VLOOKUP(CONCATENATE(A57,$D$10,D57),'ID1&amp;5'!B:J,9,FALSE),"-")</f>
        <v>-</v>
      </c>
      <c r="S57" s="91" t="str">
        <f>+IFERROR(VLOOKUP(E57,'ID1&amp;5'!K:L,2,FALSE),"-")</f>
        <v>-</v>
      </c>
      <c r="T57" s="92" t="str">
        <f>+IFERROR(VLOOKUP(CONCATENATE(A57,$E$10,E57),'ID1&amp;5'!B:J,9,FALSE),"-")</f>
        <v>-</v>
      </c>
      <c r="U57" s="91" t="str">
        <f>+IFERROR(VLOOKUP(F57,'ID1&amp;5'!K:L,2,FALSE),"-")</f>
        <v>-</v>
      </c>
      <c r="V57" s="92" t="str">
        <f>+IFERROR(VLOOKUP(CONCATENATE(A57,$F$10,F57),'ID1&amp;5'!B:J,9,FALSE),"-")</f>
        <v>-</v>
      </c>
      <c r="W57" s="33" t="str">
        <f>+IFERROR(VLOOKUP(A57,'ID6&amp;7'!A:I,9,FALSE),"-")</f>
        <v>-</v>
      </c>
      <c r="X57" s="33" t="str">
        <f>+IFERROR(VLOOKUP(A57,'ID6&amp;7'!A:J,10,FALSE),"-")</f>
        <v>-</v>
      </c>
      <c r="Y57" s="33"/>
      <c r="Z57" s="34" t="str">
        <f t="shared" si="1"/>
        <v>Por iniciar</v>
      </c>
    </row>
    <row r="58" spans="1:26">
      <c r="A58" s="27" t="str">
        <f t="shared" si="0"/>
        <v>INSTRUMENTTYP_ACTVTY45596</v>
      </c>
      <c r="B58" s="74">
        <f t="array" ref="B58">+MAX(IF('ID1&amp;5'!A:A='1. Status'!A58&amp;'1. Status'!$B$10,'ID1&amp;5'!K:K))</f>
        <v>0</v>
      </c>
      <c r="C58" s="67">
        <f t="array" ref="C58">+MAX(IF('ID1&amp;5'!A:A='1. Status'!A58&amp;'1. Status'!$C$10,'ID1&amp;5'!K:K))</f>
        <v>0</v>
      </c>
      <c r="D58" s="67">
        <f t="array" ref="D58">+MAX(IF('ID1&amp;5'!A:A='1. Status'!A58&amp;'1. Status'!$D$10,'ID1&amp;5'!K:K))</f>
        <v>0</v>
      </c>
      <c r="E58" s="67">
        <f t="array" ref="E58">+MAX(IF('ID1&amp;5'!A:A='1. Status'!A58&amp;'1. Status'!$E$10,'ID1&amp;5'!K:K))</f>
        <v>0</v>
      </c>
      <c r="F58" s="75">
        <f t="array" ref="F58">+MAX(IF('ID1&amp;5'!A:A='1. Status'!A58&amp;'1. Status'!$F$10,'ID1&amp;5'!K:K))</f>
        <v>0</v>
      </c>
      <c r="G58" s="67"/>
      <c r="H58" s="73" t="s">
        <v>145</v>
      </c>
      <c r="I58" s="28" t="s">
        <v>150</v>
      </c>
      <c r="J58" s="33">
        <f>+COUNTIF('ID1&amp;5'!G:G,'1. Status'!I58)</f>
        <v>0</v>
      </c>
      <c r="K58" s="92" t="str">
        <f>+IFERROR(VLOOKUP(CONCATENATE(A58,$B$10,B58),'ID1&amp;5'!B:J,8,FALSE),"-")</f>
        <v>-</v>
      </c>
      <c r="L58" s="91" t="str">
        <f>+IFERROR(VLOOKUP(B58,'ID1&amp;5'!K:L,2,FALSE),"-")</f>
        <v>-</v>
      </c>
      <c r="M58" s="92" t="str">
        <f>+IFERROR(VLOOKUP(CONCATENATE(A58,$B$10,B58),'ID1&amp;5'!B:J,9,FALSE),"-")</f>
        <v>-</v>
      </c>
      <c r="N58" s="92" t="str">
        <f>+IFERROR(VLOOKUP(CONCATENATE(A58,$C$10,C58),'ID1&amp;5'!B:J,8,FALSE),"-")</f>
        <v>-</v>
      </c>
      <c r="O58" s="91" t="str">
        <f>+IFERROR(VLOOKUP(C58,'ID1&amp;5'!K:L,2,FALSE),"-")</f>
        <v>-</v>
      </c>
      <c r="P58" s="92" t="str">
        <f>+IFERROR(VLOOKUP(CONCATENATE(A58,$C$10,C58),'ID1&amp;5'!B:J,9,FALSE),"-")</f>
        <v>-</v>
      </c>
      <c r="Q58" s="91" t="str">
        <f>+IFERROR(VLOOKUP(D58,'ID1&amp;5'!K:L,2,FALSE),"-")</f>
        <v>-</v>
      </c>
      <c r="R58" s="33" t="str">
        <f>+IFERROR(VLOOKUP(CONCATENATE(A58,$D$10,D58),'ID1&amp;5'!B:J,9,FALSE),"-")</f>
        <v>-</v>
      </c>
      <c r="S58" s="91" t="str">
        <f>+IFERROR(VLOOKUP(E58,'ID1&amp;5'!K:L,2,FALSE),"-")</f>
        <v>-</v>
      </c>
      <c r="T58" s="92" t="str">
        <f>+IFERROR(VLOOKUP(CONCATENATE(A58,$E$10,E58),'ID1&amp;5'!B:J,9,FALSE),"-")</f>
        <v>-</v>
      </c>
      <c r="U58" s="91" t="str">
        <f>+IFERROR(VLOOKUP(F58,'ID1&amp;5'!K:L,2,FALSE),"-")</f>
        <v>-</v>
      </c>
      <c r="V58" s="92" t="str">
        <f>+IFERROR(VLOOKUP(CONCATENATE(A58,$F$10,F58),'ID1&amp;5'!B:J,9,FALSE),"-")</f>
        <v>-</v>
      </c>
      <c r="W58" s="33" t="str">
        <f>+IFERROR(VLOOKUP(A58,'ID6&amp;7'!A:I,9,FALSE),"-")</f>
        <v>-</v>
      </c>
      <c r="X58" s="33" t="str">
        <f>+IFERROR(VLOOKUP(A58,'ID6&amp;7'!A:J,10,FALSE),"-")</f>
        <v>-</v>
      </c>
      <c r="Y58" s="33"/>
      <c r="Z58" s="34" t="str">
        <f t="shared" si="1"/>
        <v>Por iniciar</v>
      </c>
    </row>
    <row r="59" spans="1:26">
      <c r="A59" s="27" t="str">
        <f t="shared" si="0"/>
        <v>INSTRUMENTLNS_CLLTRLZD_CLSSFCTN45596</v>
      </c>
      <c r="B59" s="74">
        <f t="array" ref="B59">+MAX(IF('ID1&amp;5'!A:A='1. Status'!A59&amp;'1. Status'!$B$10,'ID1&amp;5'!K:K))</f>
        <v>0</v>
      </c>
      <c r="C59" s="67">
        <f t="array" ref="C59">+MAX(IF('ID1&amp;5'!A:A='1. Status'!A59&amp;'1. Status'!$C$10,'ID1&amp;5'!K:K))</f>
        <v>0</v>
      </c>
      <c r="D59" s="67">
        <f t="array" ref="D59">+MAX(IF('ID1&amp;5'!A:A='1. Status'!A59&amp;'1. Status'!$D$10,'ID1&amp;5'!K:K))</f>
        <v>0</v>
      </c>
      <c r="E59" s="67">
        <f t="array" ref="E59">+MAX(IF('ID1&amp;5'!A:A='1. Status'!A59&amp;'1. Status'!$E$10,'ID1&amp;5'!K:K))</f>
        <v>0</v>
      </c>
      <c r="F59" s="75">
        <f t="array" ref="F59">+MAX(IF('ID1&amp;5'!A:A='1. Status'!A59&amp;'1. Status'!$F$10,'ID1&amp;5'!K:K))</f>
        <v>0</v>
      </c>
      <c r="G59" s="67"/>
      <c r="H59" s="73" t="s">
        <v>145</v>
      </c>
      <c r="I59" s="28" t="s">
        <v>151</v>
      </c>
      <c r="J59" s="33">
        <f>+COUNTIF('ID1&amp;5'!G:G,'1. Status'!I59)</f>
        <v>0</v>
      </c>
      <c r="K59" s="92" t="str">
        <f>+IFERROR(VLOOKUP(CONCATENATE(A59,$B$10,B59),'ID1&amp;5'!B:J,8,FALSE),"-")</f>
        <v>-</v>
      </c>
      <c r="L59" s="91" t="str">
        <f>+IFERROR(VLOOKUP(B59,'ID1&amp;5'!K:L,2,FALSE),"-")</f>
        <v>-</v>
      </c>
      <c r="M59" s="92" t="str">
        <f>+IFERROR(VLOOKUP(CONCATENATE(A59,$B$10,B59),'ID1&amp;5'!B:J,9,FALSE),"-")</f>
        <v>-</v>
      </c>
      <c r="N59" s="92" t="str">
        <f>+IFERROR(VLOOKUP(CONCATENATE(A59,$C$10,C59),'ID1&amp;5'!B:J,8,FALSE),"-")</f>
        <v>-</v>
      </c>
      <c r="O59" s="91" t="str">
        <f>+IFERROR(VLOOKUP(C59,'ID1&amp;5'!K:L,2,FALSE),"-")</f>
        <v>-</v>
      </c>
      <c r="P59" s="92" t="str">
        <f>+IFERROR(VLOOKUP(CONCATENATE(A59,$C$10,C59),'ID1&amp;5'!B:J,9,FALSE),"-")</f>
        <v>-</v>
      </c>
      <c r="Q59" s="91" t="str">
        <f>+IFERROR(VLOOKUP(D59,'ID1&amp;5'!K:L,2,FALSE),"-")</f>
        <v>-</v>
      </c>
      <c r="R59" s="33" t="str">
        <f>+IFERROR(VLOOKUP(CONCATENATE(A59,$D$10,D59),'ID1&amp;5'!B:J,9,FALSE),"-")</f>
        <v>-</v>
      </c>
      <c r="S59" s="91" t="str">
        <f>+IFERROR(VLOOKUP(E59,'ID1&amp;5'!K:L,2,FALSE),"-")</f>
        <v>-</v>
      </c>
      <c r="T59" s="92" t="str">
        <f>+IFERROR(VLOOKUP(CONCATENATE(A59,$E$10,E59),'ID1&amp;5'!B:J,9,FALSE),"-")</f>
        <v>-</v>
      </c>
      <c r="U59" s="91" t="str">
        <f>+IFERROR(VLOOKUP(F59,'ID1&amp;5'!K:L,2,FALSE),"-")</f>
        <v>-</v>
      </c>
      <c r="V59" s="92" t="str">
        <f>+IFERROR(VLOOKUP(CONCATENATE(A59,$F$10,F59),'ID1&amp;5'!B:J,9,FALSE),"-")</f>
        <v>-</v>
      </c>
      <c r="W59" s="33" t="str">
        <f>+IFERROR(VLOOKUP(A59,'ID6&amp;7'!A:I,9,FALSE),"-")</f>
        <v>-</v>
      </c>
      <c r="X59" s="33" t="str">
        <f>+IFERROR(VLOOKUP(A59,'ID6&amp;7'!A:J,10,FALSE),"-")</f>
        <v>-</v>
      </c>
      <c r="Y59" s="33"/>
      <c r="Z59" s="34" t="str">
        <f t="shared" si="1"/>
        <v>Por iniciar</v>
      </c>
    </row>
    <row r="60" spans="1:26">
      <c r="A60" s="27" t="str">
        <f t="shared" si="0"/>
        <v>INSTRUMENTMTHD_USD_INSTRMNT_SCP_145596</v>
      </c>
      <c r="B60" s="74">
        <f t="array" ref="B60">+MAX(IF('ID1&amp;5'!A:A='1. Status'!A60&amp;'1. Status'!$B$10,'ID1&amp;5'!K:K))</f>
        <v>0</v>
      </c>
      <c r="C60" s="67">
        <f t="array" ref="C60">+MAX(IF('ID1&amp;5'!A:A='1. Status'!A60&amp;'1. Status'!$C$10,'ID1&amp;5'!K:K))</f>
        <v>0</v>
      </c>
      <c r="D60" s="67">
        <f t="array" ref="D60">+MAX(IF('ID1&amp;5'!A:A='1. Status'!A60&amp;'1. Status'!$D$10,'ID1&amp;5'!K:K))</f>
        <v>0</v>
      </c>
      <c r="E60" s="67">
        <f t="array" ref="E60">+MAX(IF('ID1&amp;5'!A:A='1. Status'!A60&amp;'1. Status'!$E$10,'ID1&amp;5'!K:K))</f>
        <v>0</v>
      </c>
      <c r="F60" s="75">
        <f t="array" ref="F60">+MAX(IF('ID1&amp;5'!A:A='1. Status'!A60&amp;'1. Status'!$F$10,'ID1&amp;5'!K:K))</f>
        <v>0</v>
      </c>
      <c r="G60" s="67"/>
      <c r="H60" s="73" t="s">
        <v>145</v>
      </c>
      <c r="I60" s="28" t="s">
        <v>152</v>
      </c>
      <c r="J60" s="33">
        <f>+COUNTIF('ID1&amp;5'!G:G,'1. Status'!I60)</f>
        <v>0</v>
      </c>
      <c r="K60" s="92" t="str">
        <f>+IFERROR(VLOOKUP(CONCATENATE(A60,$B$10,B60),'ID1&amp;5'!B:J,8,FALSE),"-")</f>
        <v>-</v>
      </c>
      <c r="L60" s="91" t="str">
        <f>+IFERROR(VLOOKUP(B60,'ID1&amp;5'!K:L,2,FALSE),"-")</f>
        <v>-</v>
      </c>
      <c r="M60" s="92" t="str">
        <f>+IFERROR(VLOOKUP(CONCATENATE(A60,$B$10,B60),'ID1&amp;5'!B:J,9,FALSE),"-")</f>
        <v>-</v>
      </c>
      <c r="N60" s="92" t="str">
        <f>+IFERROR(VLOOKUP(CONCATENATE(A60,$C$10,C60),'ID1&amp;5'!B:J,8,FALSE),"-")</f>
        <v>-</v>
      </c>
      <c r="O60" s="91" t="str">
        <f>+IFERROR(VLOOKUP(C60,'ID1&amp;5'!K:L,2,FALSE),"-")</f>
        <v>-</v>
      </c>
      <c r="P60" s="92" t="str">
        <f>+IFERROR(VLOOKUP(CONCATENATE(A60,$C$10,C60),'ID1&amp;5'!B:J,9,FALSE),"-")</f>
        <v>-</v>
      </c>
      <c r="Q60" s="91" t="str">
        <f>+IFERROR(VLOOKUP(D60,'ID1&amp;5'!K:L,2,FALSE),"-")</f>
        <v>-</v>
      </c>
      <c r="R60" s="33" t="str">
        <f>+IFERROR(VLOOKUP(CONCATENATE(A60,$D$10,D60),'ID1&amp;5'!B:J,9,FALSE),"-")</f>
        <v>-</v>
      </c>
      <c r="S60" s="91" t="str">
        <f>+IFERROR(VLOOKUP(E60,'ID1&amp;5'!K:L,2,FALSE),"-")</f>
        <v>-</v>
      </c>
      <c r="T60" s="92" t="str">
        <f>+IFERROR(VLOOKUP(CONCATENATE(A60,$E$10,E60),'ID1&amp;5'!B:J,9,FALSE),"-")</f>
        <v>-</v>
      </c>
      <c r="U60" s="91" t="str">
        <f>+IFERROR(VLOOKUP(F60,'ID1&amp;5'!K:L,2,FALSE),"-")</f>
        <v>-</v>
      </c>
      <c r="V60" s="92" t="str">
        <f>+IFERROR(VLOOKUP(CONCATENATE(A60,$F$10,F60),'ID1&amp;5'!B:J,9,FALSE),"-")</f>
        <v>-</v>
      </c>
      <c r="W60" s="33" t="str">
        <f>+IFERROR(VLOOKUP(A60,'ID6&amp;7'!A:I,9,FALSE),"-")</f>
        <v>-</v>
      </c>
      <c r="X60" s="33" t="str">
        <f>+IFERROR(VLOOKUP(A60,'ID6&amp;7'!A:J,10,FALSE),"-")</f>
        <v>-</v>
      </c>
      <c r="Y60" s="33"/>
      <c r="Z60" s="34" t="str">
        <f t="shared" si="1"/>
        <v>Por iniciar</v>
      </c>
    </row>
    <row r="61" spans="1:26">
      <c r="A61" s="27" t="str">
        <f t="shared" si="0"/>
        <v>INSTRUMENTMTHD_USD_INSTRMNT_SCP_245596</v>
      </c>
      <c r="B61" s="74">
        <f t="array" ref="B61">+MAX(IF('ID1&amp;5'!A:A='1. Status'!A61&amp;'1. Status'!$B$10,'ID1&amp;5'!K:K))</f>
        <v>0</v>
      </c>
      <c r="C61" s="67">
        <f t="array" ref="C61">+MAX(IF('ID1&amp;5'!A:A='1. Status'!A61&amp;'1. Status'!$C$10,'ID1&amp;5'!K:K))</f>
        <v>0</v>
      </c>
      <c r="D61" s="67">
        <f t="array" ref="D61">+MAX(IF('ID1&amp;5'!A:A='1. Status'!A61&amp;'1. Status'!$D$10,'ID1&amp;5'!K:K))</f>
        <v>0</v>
      </c>
      <c r="E61" s="67">
        <f t="array" ref="E61">+MAX(IF('ID1&amp;5'!A:A='1. Status'!A61&amp;'1. Status'!$E$10,'ID1&amp;5'!K:K))</f>
        <v>0</v>
      </c>
      <c r="F61" s="75">
        <f t="array" ref="F61">+MAX(IF('ID1&amp;5'!A:A='1. Status'!A61&amp;'1. Status'!$F$10,'ID1&amp;5'!K:K))</f>
        <v>0</v>
      </c>
      <c r="G61" s="67"/>
      <c r="H61" s="73" t="s">
        <v>145</v>
      </c>
      <c r="I61" s="28" t="s">
        <v>153</v>
      </c>
      <c r="J61" s="33">
        <f>+COUNTIF('ID1&amp;5'!G:G,'1. Status'!I61)</f>
        <v>0</v>
      </c>
      <c r="K61" s="92" t="str">
        <f>+IFERROR(VLOOKUP(CONCATENATE(A61,$B$10,B61),'ID1&amp;5'!B:J,8,FALSE),"-")</f>
        <v>-</v>
      </c>
      <c r="L61" s="91" t="str">
        <f>+IFERROR(VLOOKUP(B61,'ID1&amp;5'!K:L,2,FALSE),"-")</f>
        <v>-</v>
      </c>
      <c r="M61" s="92" t="str">
        <f>+IFERROR(VLOOKUP(CONCATENATE(A61,$B$10,B61),'ID1&amp;5'!B:J,9,FALSE),"-")</f>
        <v>-</v>
      </c>
      <c r="N61" s="92" t="str">
        <f>+IFERROR(VLOOKUP(CONCATENATE(A61,$C$10,C61),'ID1&amp;5'!B:J,8,FALSE),"-")</f>
        <v>-</v>
      </c>
      <c r="O61" s="91" t="str">
        <f>+IFERROR(VLOOKUP(C61,'ID1&amp;5'!K:L,2,FALSE),"-")</f>
        <v>-</v>
      </c>
      <c r="P61" s="92" t="str">
        <f>+IFERROR(VLOOKUP(CONCATENATE(A61,$C$10,C61),'ID1&amp;5'!B:J,9,FALSE),"-")</f>
        <v>-</v>
      </c>
      <c r="Q61" s="91" t="str">
        <f>+IFERROR(VLOOKUP(D61,'ID1&amp;5'!K:L,2,FALSE),"-")</f>
        <v>-</v>
      </c>
      <c r="R61" s="33" t="str">
        <f>+IFERROR(VLOOKUP(CONCATENATE(A61,$D$10,D61),'ID1&amp;5'!B:J,9,FALSE),"-")</f>
        <v>-</v>
      </c>
      <c r="S61" s="91" t="str">
        <f>+IFERROR(VLOOKUP(E61,'ID1&amp;5'!K:L,2,FALSE),"-")</f>
        <v>-</v>
      </c>
      <c r="T61" s="92" t="str">
        <f>+IFERROR(VLOOKUP(CONCATENATE(A61,$E$10,E61),'ID1&amp;5'!B:J,9,FALSE),"-")</f>
        <v>-</v>
      </c>
      <c r="U61" s="91" t="str">
        <f>+IFERROR(VLOOKUP(F61,'ID1&amp;5'!K:L,2,FALSE),"-")</f>
        <v>-</v>
      </c>
      <c r="V61" s="92" t="str">
        <f>+IFERROR(VLOOKUP(CONCATENATE(A61,$F$10,F61),'ID1&amp;5'!B:J,9,FALSE),"-")</f>
        <v>-</v>
      </c>
      <c r="W61" s="33" t="str">
        <f>+IFERROR(VLOOKUP(A61,'ID6&amp;7'!A:I,9,FALSE),"-")</f>
        <v>-</v>
      </c>
      <c r="X61" s="33" t="str">
        <f>+IFERROR(VLOOKUP(A61,'ID6&amp;7'!A:J,10,FALSE),"-")</f>
        <v>-</v>
      </c>
      <c r="Y61" s="33"/>
      <c r="Z61" s="34" t="str">
        <f t="shared" si="1"/>
        <v>Por iniciar</v>
      </c>
    </row>
    <row r="62" spans="1:26">
      <c r="A62" s="27" t="str">
        <f t="shared" si="0"/>
        <v>INSTRUMENTMTHD_USD_INSTRMNT_SCP_345596</v>
      </c>
      <c r="B62" s="74">
        <f t="array" ref="B62">+MAX(IF('ID1&amp;5'!A:A='1. Status'!A62&amp;'1. Status'!$B$10,'ID1&amp;5'!K:K))</f>
        <v>0</v>
      </c>
      <c r="C62" s="67">
        <f t="array" ref="C62">+MAX(IF('ID1&amp;5'!A:A='1. Status'!A62&amp;'1. Status'!$C$10,'ID1&amp;5'!K:K))</f>
        <v>0</v>
      </c>
      <c r="D62" s="67">
        <f t="array" ref="D62">+MAX(IF('ID1&amp;5'!A:A='1. Status'!A62&amp;'1. Status'!$D$10,'ID1&amp;5'!K:K))</f>
        <v>0</v>
      </c>
      <c r="E62" s="67">
        <f t="array" ref="E62">+MAX(IF('ID1&amp;5'!A:A='1. Status'!A62&amp;'1. Status'!$E$10,'ID1&amp;5'!K:K))</f>
        <v>0</v>
      </c>
      <c r="F62" s="75">
        <f t="array" ref="F62">+MAX(IF('ID1&amp;5'!A:A='1. Status'!A62&amp;'1. Status'!$F$10,'ID1&amp;5'!K:K))</f>
        <v>0</v>
      </c>
      <c r="G62" s="67"/>
      <c r="H62" s="73" t="s">
        <v>145</v>
      </c>
      <c r="I62" s="28" t="s">
        <v>154</v>
      </c>
      <c r="J62" s="33">
        <f>+COUNTIF('ID1&amp;5'!G:G,'1. Status'!I62)</f>
        <v>0</v>
      </c>
      <c r="K62" s="92" t="str">
        <f>+IFERROR(VLOOKUP(CONCATENATE(A62,$B$10,B62),'ID1&amp;5'!B:J,8,FALSE),"-")</f>
        <v>-</v>
      </c>
      <c r="L62" s="91" t="str">
        <f>+IFERROR(VLOOKUP(B62,'ID1&amp;5'!K:L,2,FALSE),"-")</f>
        <v>-</v>
      </c>
      <c r="M62" s="92" t="str">
        <f>+IFERROR(VLOOKUP(CONCATENATE(A62,$B$10,B62),'ID1&amp;5'!B:J,9,FALSE),"-")</f>
        <v>-</v>
      </c>
      <c r="N62" s="92" t="str">
        <f>+IFERROR(VLOOKUP(CONCATENATE(A62,$C$10,C62),'ID1&amp;5'!B:J,8,FALSE),"-")</f>
        <v>-</v>
      </c>
      <c r="O62" s="91" t="str">
        <f>+IFERROR(VLOOKUP(C62,'ID1&amp;5'!K:L,2,FALSE),"-")</f>
        <v>-</v>
      </c>
      <c r="P62" s="92" t="str">
        <f>+IFERROR(VLOOKUP(CONCATENATE(A62,$C$10,C62),'ID1&amp;5'!B:J,9,FALSE),"-")</f>
        <v>-</v>
      </c>
      <c r="Q62" s="91" t="str">
        <f>+IFERROR(VLOOKUP(D62,'ID1&amp;5'!K:L,2,FALSE),"-")</f>
        <v>-</v>
      </c>
      <c r="R62" s="33" t="str">
        <f>+IFERROR(VLOOKUP(CONCATENATE(A62,$D$10,D62),'ID1&amp;5'!B:J,9,FALSE),"-")</f>
        <v>-</v>
      </c>
      <c r="S62" s="91" t="str">
        <f>+IFERROR(VLOOKUP(E62,'ID1&amp;5'!K:L,2,FALSE),"-")</f>
        <v>-</v>
      </c>
      <c r="T62" s="92" t="str">
        <f>+IFERROR(VLOOKUP(CONCATENATE(A62,$E$10,E62),'ID1&amp;5'!B:J,9,FALSE),"-")</f>
        <v>-</v>
      </c>
      <c r="U62" s="91" t="str">
        <f>+IFERROR(VLOOKUP(F62,'ID1&amp;5'!K:L,2,FALSE),"-")</f>
        <v>-</v>
      </c>
      <c r="V62" s="92" t="str">
        <f>+IFERROR(VLOOKUP(CONCATENATE(A62,$F$10,F62),'ID1&amp;5'!B:J,9,FALSE),"-")</f>
        <v>-</v>
      </c>
      <c r="W62" s="33" t="str">
        <f>+IFERROR(VLOOKUP(A62,'ID6&amp;7'!A:I,9,FALSE),"-")</f>
        <v>-</v>
      </c>
      <c r="X62" s="33" t="str">
        <f>+IFERROR(VLOOKUP(A62,'ID6&amp;7'!A:J,10,FALSE),"-")</f>
        <v>-</v>
      </c>
      <c r="Y62" s="33"/>
      <c r="Z62" s="34" t="str">
        <f t="shared" si="1"/>
        <v>Por iniciar</v>
      </c>
    </row>
    <row r="63" spans="1:26">
      <c r="A63" s="27" t="str">
        <f t="shared" si="0"/>
        <v>INSTRUMENTSSTNBL_CTGRY_TXNMY45596</v>
      </c>
      <c r="B63" s="74">
        <f t="array" ref="B63">+MAX(IF('ID1&amp;5'!A:A='1. Status'!A63&amp;'1. Status'!$B$10,'ID1&amp;5'!K:K))</f>
        <v>3</v>
      </c>
      <c r="C63" s="67">
        <f t="array" ref="C63">+MAX(IF('ID1&amp;5'!A:A='1. Status'!A63&amp;'1. Status'!$C$10,'ID1&amp;5'!K:K))</f>
        <v>0</v>
      </c>
      <c r="D63" s="67">
        <f t="array" ref="D63">+MAX(IF('ID1&amp;5'!A:A='1. Status'!A63&amp;'1. Status'!$D$10,'ID1&amp;5'!K:K))</f>
        <v>0</v>
      </c>
      <c r="E63" s="67">
        <f t="array" ref="E63">+MAX(IF('ID1&amp;5'!A:A='1. Status'!A63&amp;'1. Status'!$E$10,'ID1&amp;5'!K:K))</f>
        <v>0</v>
      </c>
      <c r="F63" s="75">
        <f t="array" ref="F63">+MAX(IF('ID1&amp;5'!A:A='1. Status'!A63&amp;'1. Status'!$F$10,'ID1&amp;5'!K:K))</f>
        <v>0</v>
      </c>
      <c r="G63" s="67"/>
      <c r="H63" s="73" t="s">
        <v>145</v>
      </c>
      <c r="I63" s="28" t="s">
        <v>155</v>
      </c>
      <c r="J63" s="33">
        <f>+COUNTIF('ID1&amp;5'!G:G,'1. Status'!I63)</f>
        <v>1</v>
      </c>
      <c r="K63" s="92">
        <f>+IFERROR(VLOOKUP(CONCATENATE(A63,$B$10,B63),'ID1&amp;5'!B:J,8,FALSE),"-")</f>
        <v>2066889</v>
      </c>
      <c r="L63" s="91" t="str">
        <f>+IFERROR(VLOOKUP(B63,'ID1&amp;5'!K:L,2,FALSE),"-")</f>
        <v>2024-11-28 12:34:29.503069000</v>
      </c>
      <c r="M63" s="92">
        <f>+IFERROR(VLOOKUP(CONCATENATE(A63,$B$10,B63),'ID1&amp;5'!B:J,9,FALSE),"-")</f>
        <v>332</v>
      </c>
      <c r="N63" s="92" t="str">
        <f>+IFERROR(VLOOKUP(CONCATENATE(A63,$C$10,C63),'ID1&amp;5'!B:J,8,FALSE),"-")</f>
        <v>-</v>
      </c>
      <c r="O63" s="91" t="str">
        <f>+IFERROR(VLOOKUP(C63,'ID1&amp;5'!K:L,2,FALSE),"-")</f>
        <v>-</v>
      </c>
      <c r="P63" s="92" t="str">
        <f>+IFERROR(VLOOKUP(CONCATENATE(A63,$C$10,C63),'ID1&amp;5'!B:J,9,FALSE),"-")</f>
        <v>-</v>
      </c>
      <c r="Q63" s="91" t="str">
        <f>+IFERROR(VLOOKUP(D63,'ID1&amp;5'!K:L,2,FALSE),"-")</f>
        <v>-</v>
      </c>
      <c r="R63" s="33" t="str">
        <f>+IFERROR(VLOOKUP(CONCATENATE(A63,$D$10,D63),'ID1&amp;5'!B:J,9,FALSE),"-")</f>
        <v>-</v>
      </c>
      <c r="S63" s="91" t="str">
        <f>+IFERROR(VLOOKUP(E63,'ID1&amp;5'!K:L,2,FALSE),"-")</f>
        <v>-</v>
      </c>
      <c r="T63" s="92" t="str">
        <f>+IFERROR(VLOOKUP(CONCATENATE(A63,$E$10,E63),'ID1&amp;5'!B:J,9,FALSE),"-")</f>
        <v>-</v>
      </c>
      <c r="U63" s="91" t="str">
        <f>+IFERROR(VLOOKUP(F63,'ID1&amp;5'!K:L,2,FALSE),"-")</f>
        <v>-</v>
      </c>
      <c r="V63" s="92" t="str">
        <f>+IFERROR(VLOOKUP(CONCATENATE(A63,$F$10,F63),'ID1&amp;5'!B:J,9,FALSE),"-")</f>
        <v>-</v>
      </c>
      <c r="W63" s="33" t="str">
        <f>+IFERROR(VLOOKUP(A63,'ID6&amp;7'!A:I,9,FALSE),"-")</f>
        <v>-</v>
      </c>
      <c r="X63" s="33" t="str">
        <f>+IFERROR(VLOOKUP(A63,'ID6&amp;7'!A:J,10,FALSE),"-")</f>
        <v>-</v>
      </c>
      <c r="Y63" s="90" t="s">
        <v>147</v>
      </c>
      <c r="Z63" s="34" t="str">
        <f t="shared" si="1"/>
        <v>Em testes</v>
      </c>
    </row>
    <row r="64" spans="1:26">
      <c r="A64" s="27" t="str">
        <f t="shared" si="0"/>
        <v>INSTRUMENTDT_RFRNC45596</v>
      </c>
      <c r="B64" s="74">
        <f t="array" ref="B64">+MAX(IF('ID1&amp;5'!A:A='1. Status'!A64&amp;'1. Status'!$B$10,'ID1&amp;5'!K:K))</f>
        <v>0</v>
      </c>
      <c r="C64" s="67">
        <f t="array" ref="C64">+MAX(IF('ID1&amp;5'!A:A='1. Status'!A64&amp;'1. Status'!$C$10,'ID1&amp;5'!K:K))</f>
        <v>0</v>
      </c>
      <c r="D64" s="67">
        <f t="array" ref="D64">+MAX(IF('ID1&amp;5'!A:A='1. Status'!A64&amp;'1. Status'!$D$10,'ID1&amp;5'!K:K))</f>
        <v>0</v>
      </c>
      <c r="E64" s="67">
        <f t="array" ref="E64">+MAX(IF('ID1&amp;5'!A:A='1. Status'!A64&amp;'1. Status'!$E$10,'ID1&amp;5'!K:K))</f>
        <v>0</v>
      </c>
      <c r="F64" s="75">
        <f t="array" ref="F64">+MAX(IF('ID1&amp;5'!A:A='1. Status'!A64&amp;'1. Status'!$F$10,'ID1&amp;5'!K:K))</f>
        <v>0</v>
      </c>
      <c r="G64" s="67"/>
      <c r="H64" s="73" t="s">
        <v>145</v>
      </c>
      <c r="I64" s="28" t="s">
        <v>156</v>
      </c>
      <c r="J64" s="33">
        <f>+COUNTIF('ID1&amp;5'!G:G,'1. Status'!I64)</f>
        <v>0</v>
      </c>
      <c r="K64" s="92" t="str">
        <f>+IFERROR(VLOOKUP(CONCATENATE(A64,$B$10,B64),'ID1&amp;5'!B:J,8,FALSE),"-")</f>
        <v>-</v>
      </c>
      <c r="L64" s="91" t="str">
        <f>+IFERROR(VLOOKUP(B64,'ID1&amp;5'!K:L,2,FALSE),"-")</f>
        <v>-</v>
      </c>
      <c r="M64" s="92" t="str">
        <f>+IFERROR(VLOOKUP(CONCATENATE(A64,$B$10,B64),'ID1&amp;5'!B:J,9,FALSE),"-")</f>
        <v>-</v>
      </c>
      <c r="N64" s="92" t="str">
        <f>+IFERROR(VLOOKUP(CONCATENATE(A64,$C$10,C64),'ID1&amp;5'!B:J,8,FALSE),"-")</f>
        <v>-</v>
      </c>
      <c r="O64" s="91" t="str">
        <f>+IFERROR(VLOOKUP(C64,'ID1&amp;5'!K:L,2,FALSE),"-")</f>
        <v>-</v>
      </c>
      <c r="P64" s="92" t="str">
        <f>+IFERROR(VLOOKUP(CONCATENATE(A64,$C$10,C64),'ID1&amp;5'!B:J,9,FALSE),"-")</f>
        <v>-</v>
      </c>
      <c r="Q64" s="91" t="str">
        <f>+IFERROR(VLOOKUP(D64,'ID1&amp;5'!K:L,2,FALSE),"-")</f>
        <v>-</v>
      </c>
      <c r="R64" s="33" t="str">
        <f>+IFERROR(VLOOKUP(CONCATENATE(A64,$D$10,D64),'ID1&amp;5'!B:J,9,FALSE),"-")</f>
        <v>-</v>
      </c>
      <c r="S64" s="91" t="str">
        <f>+IFERROR(VLOOKUP(E64,'ID1&amp;5'!K:L,2,FALSE),"-")</f>
        <v>-</v>
      </c>
      <c r="T64" s="92" t="str">
        <f>+IFERROR(VLOOKUP(CONCATENATE(A64,$E$10,E64),'ID1&amp;5'!B:J,9,FALSE),"-")</f>
        <v>-</v>
      </c>
      <c r="U64" s="91" t="str">
        <f>+IFERROR(VLOOKUP(F64,'ID1&amp;5'!K:L,2,FALSE),"-")</f>
        <v>-</v>
      </c>
      <c r="V64" s="92" t="str">
        <f>+IFERROR(VLOOKUP(CONCATENATE(A64,$F$10,F64),'ID1&amp;5'!B:J,9,FALSE),"-")</f>
        <v>-</v>
      </c>
      <c r="W64" s="33" t="str">
        <f>+IFERROR(VLOOKUP(A64,'ID6&amp;7'!A:I,9,FALSE),"-")</f>
        <v>-</v>
      </c>
      <c r="X64" s="33" t="str">
        <f>+IFERROR(VLOOKUP(A64,'ID6&amp;7'!A:J,10,FALSE),"-")</f>
        <v>-</v>
      </c>
      <c r="Y64" s="33"/>
      <c r="Z64" s="34" t="str">
        <f t="shared" si="1"/>
        <v>Por iniciar</v>
      </c>
    </row>
    <row r="65" spans="1:26">
      <c r="A65" s="27" t="str">
        <f t="shared" si="0"/>
        <v>INSTRUMENTINSTRMNT_ID45596</v>
      </c>
      <c r="B65" s="74">
        <f t="array" ref="B65">+MAX(IF('ID1&amp;5'!A:A='1. Status'!A65&amp;'1. Status'!$B$10,'ID1&amp;5'!K:K))</f>
        <v>0</v>
      </c>
      <c r="C65" s="67">
        <f t="array" ref="C65">+MAX(IF('ID1&amp;5'!A:A='1. Status'!A65&amp;'1. Status'!$C$10,'ID1&amp;5'!K:K))</f>
        <v>0</v>
      </c>
      <c r="D65" s="67">
        <f t="array" ref="D65">+MAX(IF('ID1&amp;5'!A:A='1. Status'!A65&amp;'1. Status'!$D$10,'ID1&amp;5'!K:K))</f>
        <v>0</v>
      </c>
      <c r="E65" s="67">
        <f t="array" ref="E65">+MAX(IF('ID1&amp;5'!A:A='1. Status'!A65&amp;'1. Status'!$E$10,'ID1&amp;5'!K:K))</f>
        <v>0</v>
      </c>
      <c r="F65" s="75">
        <f t="array" ref="F65">+MAX(IF('ID1&amp;5'!A:A='1. Status'!A65&amp;'1. Status'!$F$10,'ID1&amp;5'!K:K))</f>
        <v>0</v>
      </c>
      <c r="G65" s="67"/>
      <c r="H65" s="73" t="s">
        <v>145</v>
      </c>
      <c r="I65" s="28" t="s">
        <v>157</v>
      </c>
      <c r="J65" s="33">
        <f>+COUNTIF('ID1&amp;5'!G:G,'1. Status'!I65)</f>
        <v>0</v>
      </c>
      <c r="K65" s="92" t="str">
        <f>+IFERROR(VLOOKUP(CONCATENATE(A65,$B$10,B65),'ID1&amp;5'!B:J,8,FALSE),"-")</f>
        <v>-</v>
      </c>
      <c r="L65" s="91" t="str">
        <f>+IFERROR(VLOOKUP(B65,'ID1&amp;5'!K:L,2,FALSE),"-")</f>
        <v>-</v>
      </c>
      <c r="M65" s="92" t="str">
        <f>+IFERROR(VLOOKUP(CONCATENATE(A65,$B$10,B65),'ID1&amp;5'!B:J,9,FALSE),"-")</f>
        <v>-</v>
      </c>
      <c r="N65" s="92" t="str">
        <f>+IFERROR(VLOOKUP(CONCATENATE(A65,$C$10,C65),'ID1&amp;5'!B:J,8,FALSE),"-")</f>
        <v>-</v>
      </c>
      <c r="O65" s="91" t="str">
        <f>+IFERROR(VLOOKUP(C65,'ID1&amp;5'!K:L,2,FALSE),"-")</f>
        <v>-</v>
      </c>
      <c r="P65" s="92" t="str">
        <f>+IFERROR(VLOOKUP(CONCATENATE(A65,$C$10,C65),'ID1&amp;5'!B:J,9,FALSE),"-")</f>
        <v>-</v>
      </c>
      <c r="Q65" s="91" t="str">
        <f>+IFERROR(VLOOKUP(D65,'ID1&amp;5'!K:L,2,FALSE),"-")</f>
        <v>-</v>
      </c>
      <c r="R65" s="33" t="str">
        <f>+IFERROR(VLOOKUP(CONCATENATE(A65,$D$10,D65),'ID1&amp;5'!B:J,9,FALSE),"-")</f>
        <v>-</v>
      </c>
      <c r="S65" s="91" t="str">
        <f>+IFERROR(VLOOKUP(E65,'ID1&amp;5'!K:L,2,FALSE),"-")</f>
        <v>-</v>
      </c>
      <c r="T65" s="92" t="str">
        <f>+IFERROR(VLOOKUP(CONCATENATE(A65,$E$10,E65),'ID1&amp;5'!B:J,9,FALSE),"-")</f>
        <v>-</v>
      </c>
      <c r="U65" s="91" t="str">
        <f>+IFERROR(VLOOKUP(F65,'ID1&amp;5'!K:L,2,FALSE),"-")</f>
        <v>-</v>
      </c>
      <c r="V65" s="92" t="str">
        <f>+IFERROR(VLOOKUP(CONCATENATE(A65,$F$10,F65),'ID1&amp;5'!B:J,9,FALSE),"-")</f>
        <v>-</v>
      </c>
      <c r="W65" s="33" t="str">
        <f>+IFERROR(VLOOKUP(A65,'ID6&amp;7'!A:I,9,FALSE),"-")</f>
        <v>-</v>
      </c>
      <c r="X65" s="33" t="str">
        <f>+IFERROR(VLOOKUP(A65,'ID6&amp;7'!A:J,10,FALSE),"-")</f>
        <v>-</v>
      </c>
      <c r="Y65" s="33"/>
      <c r="Z65" s="34" t="str">
        <f t="shared" si="1"/>
        <v>Por iniciar</v>
      </c>
    </row>
    <row r="66" spans="1:26">
      <c r="A66" s="27" t="str">
        <f t="shared" si="0"/>
        <v>INSTRUMENTDT_INCPTN45596</v>
      </c>
      <c r="B66" s="74">
        <f t="array" ref="B66">+MAX(IF('ID1&amp;5'!A:A='1. Status'!A66&amp;'1. Status'!$B$10,'ID1&amp;5'!K:K))</f>
        <v>0</v>
      </c>
      <c r="C66" s="67">
        <f t="array" ref="C66">+MAX(IF('ID1&amp;5'!A:A='1. Status'!A66&amp;'1. Status'!$C$10,'ID1&amp;5'!K:K))</f>
        <v>0</v>
      </c>
      <c r="D66" s="67">
        <f t="array" ref="D66">+MAX(IF('ID1&amp;5'!A:A='1. Status'!A66&amp;'1. Status'!$D$10,'ID1&amp;5'!K:K))</f>
        <v>0</v>
      </c>
      <c r="E66" s="67">
        <f t="array" ref="E66">+MAX(IF('ID1&amp;5'!A:A='1. Status'!A66&amp;'1. Status'!$E$10,'ID1&amp;5'!K:K))</f>
        <v>0</v>
      </c>
      <c r="F66" s="75">
        <f t="array" ref="F66">+MAX(IF('ID1&amp;5'!A:A='1. Status'!A66&amp;'1. Status'!$F$10,'ID1&amp;5'!K:K))</f>
        <v>0</v>
      </c>
      <c r="G66" s="67"/>
      <c r="H66" s="73" t="s">
        <v>145</v>
      </c>
      <c r="I66" s="28" t="s">
        <v>158</v>
      </c>
      <c r="J66" s="33">
        <f>+COUNTIF('ID1&amp;5'!G:G,'1. Status'!I66)</f>
        <v>0</v>
      </c>
      <c r="K66" s="92" t="str">
        <f>+IFERROR(VLOOKUP(CONCATENATE(A66,$B$10,B66),'ID1&amp;5'!B:J,8,FALSE),"-")</f>
        <v>-</v>
      </c>
      <c r="L66" s="91" t="str">
        <f>+IFERROR(VLOOKUP(B66,'ID1&amp;5'!K:L,2,FALSE),"-")</f>
        <v>-</v>
      </c>
      <c r="M66" s="92" t="str">
        <f>+IFERROR(VLOOKUP(CONCATENATE(A66,$B$10,B66),'ID1&amp;5'!B:J,9,FALSE),"-")</f>
        <v>-</v>
      </c>
      <c r="N66" s="92" t="str">
        <f>+IFERROR(VLOOKUP(CONCATENATE(A66,$C$10,C66),'ID1&amp;5'!B:J,8,FALSE),"-")</f>
        <v>-</v>
      </c>
      <c r="O66" s="91" t="str">
        <f>+IFERROR(VLOOKUP(C66,'ID1&amp;5'!K:L,2,FALSE),"-")</f>
        <v>-</v>
      </c>
      <c r="P66" s="92" t="str">
        <f>+IFERROR(VLOOKUP(CONCATENATE(A66,$C$10,C66),'ID1&amp;5'!B:J,9,FALSE),"-")</f>
        <v>-</v>
      </c>
      <c r="Q66" s="91" t="str">
        <f>+IFERROR(VLOOKUP(D66,'ID1&amp;5'!K:L,2,FALSE),"-")</f>
        <v>-</v>
      </c>
      <c r="R66" s="33" t="str">
        <f>+IFERROR(VLOOKUP(CONCATENATE(A66,$D$10,D66),'ID1&amp;5'!B:J,9,FALSE),"-")</f>
        <v>-</v>
      </c>
      <c r="S66" s="91" t="str">
        <f>+IFERROR(VLOOKUP(E66,'ID1&amp;5'!K:L,2,FALSE),"-")</f>
        <v>-</v>
      </c>
      <c r="T66" s="92" t="str">
        <f>+IFERROR(VLOOKUP(CONCATENATE(A66,$E$10,E66),'ID1&amp;5'!B:J,9,FALSE),"-")</f>
        <v>-</v>
      </c>
      <c r="U66" s="91" t="str">
        <f>+IFERROR(VLOOKUP(F66,'ID1&amp;5'!K:L,2,FALSE),"-")</f>
        <v>-</v>
      </c>
      <c r="V66" s="92" t="str">
        <f>+IFERROR(VLOOKUP(CONCATENATE(A66,$F$10,F66),'ID1&amp;5'!B:J,9,FALSE),"-")</f>
        <v>-</v>
      </c>
      <c r="W66" s="33" t="str">
        <f>+IFERROR(VLOOKUP(A66,'ID6&amp;7'!A:I,9,FALSE),"-")</f>
        <v>-</v>
      </c>
      <c r="X66" s="33" t="str">
        <f>+IFERROR(VLOOKUP(A66,'ID6&amp;7'!A:J,10,FALSE),"-")</f>
        <v>-</v>
      </c>
      <c r="Y66" s="33"/>
      <c r="Z66" s="34" t="str">
        <f t="shared" si="1"/>
        <v>Por iniciar</v>
      </c>
    </row>
    <row r="67" spans="1:26">
      <c r="A67" s="27" t="str">
        <f t="shared" si="0"/>
        <v>INSTRUMENTDFLT_STTS_INSTRMNT45596</v>
      </c>
      <c r="B67" s="74">
        <f t="array" ref="B67">+MAX(IF('ID1&amp;5'!A:A='1. Status'!A67&amp;'1. Status'!$B$10,'ID1&amp;5'!K:K))</f>
        <v>0</v>
      </c>
      <c r="C67" s="67">
        <f t="array" ref="C67">+MAX(IF('ID1&amp;5'!A:A='1. Status'!A67&amp;'1. Status'!$C$10,'ID1&amp;5'!K:K))</f>
        <v>0</v>
      </c>
      <c r="D67" s="67">
        <f t="array" ref="D67">+MAX(IF('ID1&amp;5'!A:A='1. Status'!A67&amp;'1. Status'!$D$10,'ID1&amp;5'!K:K))</f>
        <v>0</v>
      </c>
      <c r="E67" s="67">
        <f t="array" ref="E67">+MAX(IF('ID1&amp;5'!A:A='1. Status'!A67&amp;'1. Status'!$E$10,'ID1&amp;5'!K:K))</f>
        <v>0</v>
      </c>
      <c r="F67" s="75">
        <f t="array" ref="F67">+MAX(IF('ID1&amp;5'!A:A='1. Status'!A67&amp;'1. Status'!$F$10,'ID1&amp;5'!K:K))</f>
        <v>0</v>
      </c>
      <c r="G67" s="67"/>
      <c r="H67" s="73" t="s">
        <v>145</v>
      </c>
      <c r="I67" s="28" t="s">
        <v>159</v>
      </c>
      <c r="J67" s="33">
        <f>+COUNTIF('ID1&amp;5'!G:G,'1. Status'!I67)</f>
        <v>0</v>
      </c>
      <c r="K67" s="92" t="str">
        <f>+IFERROR(VLOOKUP(CONCATENATE(A67,$B$10,B67),'ID1&amp;5'!B:J,8,FALSE),"-")</f>
        <v>-</v>
      </c>
      <c r="L67" s="91" t="str">
        <f>+IFERROR(VLOOKUP(B67,'ID1&amp;5'!K:L,2,FALSE),"-")</f>
        <v>-</v>
      </c>
      <c r="M67" s="92" t="str">
        <f>+IFERROR(VLOOKUP(CONCATENATE(A67,$B$10,B67),'ID1&amp;5'!B:J,9,FALSE),"-")</f>
        <v>-</v>
      </c>
      <c r="N67" s="92" t="str">
        <f>+IFERROR(VLOOKUP(CONCATENATE(A67,$C$10,C67),'ID1&amp;5'!B:J,8,FALSE),"-")</f>
        <v>-</v>
      </c>
      <c r="O67" s="91" t="str">
        <f>+IFERROR(VLOOKUP(C67,'ID1&amp;5'!K:L,2,FALSE),"-")</f>
        <v>-</v>
      </c>
      <c r="P67" s="92" t="str">
        <f>+IFERROR(VLOOKUP(CONCATENATE(A67,$C$10,C67),'ID1&amp;5'!B:J,9,FALSE),"-")</f>
        <v>-</v>
      </c>
      <c r="Q67" s="91" t="str">
        <f>+IFERROR(VLOOKUP(D67,'ID1&amp;5'!K:L,2,FALSE),"-")</f>
        <v>-</v>
      </c>
      <c r="R67" s="33" t="str">
        <f>+IFERROR(VLOOKUP(CONCATENATE(A67,$D$10,D67),'ID1&amp;5'!B:J,9,FALSE),"-")</f>
        <v>-</v>
      </c>
      <c r="S67" s="91" t="str">
        <f>+IFERROR(VLOOKUP(E67,'ID1&amp;5'!K:L,2,FALSE),"-")</f>
        <v>-</v>
      </c>
      <c r="T67" s="92" t="str">
        <f>+IFERROR(VLOOKUP(CONCATENATE(A67,$E$10,E67),'ID1&amp;5'!B:J,9,FALSE),"-")</f>
        <v>-</v>
      </c>
      <c r="U67" s="91" t="str">
        <f>+IFERROR(VLOOKUP(F67,'ID1&amp;5'!K:L,2,FALSE),"-")</f>
        <v>-</v>
      </c>
      <c r="V67" s="92" t="str">
        <f>+IFERROR(VLOOKUP(CONCATENATE(A67,$F$10,F67),'ID1&amp;5'!B:J,9,FALSE),"-")</f>
        <v>-</v>
      </c>
      <c r="W67" s="33" t="str">
        <f>+IFERROR(VLOOKUP(A67,'ID6&amp;7'!A:I,9,FALSE),"-")</f>
        <v>-</v>
      </c>
      <c r="X67" s="33" t="str">
        <f>+IFERROR(VLOOKUP(A67,'ID6&amp;7'!A:J,10,FALSE),"-")</f>
        <v>-</v>
      </c>
      <c r="Y67" s="33"/>
      <c r="Z67" s="34" t="str">
        <f t="shared" si="1"/>
        <v>Por iniciar</v>
      </c>
    </row>
    <row r="68" spans="1:26">
      <c r="A68" s="27" t="str">
        <f t="shared" si="0"/>
        <v>INSTRUMENTIMPRMNT_STTS45596</v>
      </c>
      <c r="B68" s="74">
        <f t="array" ref="B68">+MAX(IF('ID1&amp;5'!A:A='1. Status'!A68&amp;'1. Status'!$B$10,'ID1&amp;5'!K:K))</f>
        <v>0</v>
      </c>
      <c r="C68" s="67">
        <f t="array" ref="C68">+MAX(IF('ID1&amp;5'!A:A='1. Status'!A68&amp;'1. Status'!$C$10,'ID1&amp;5'!K:K))</f>
        <v>0</v>
      </c>
      <c r="D68" s="67">
        <f t="array" ref="D68">+MAX(IF('ID1&amp;5'!A:A='1. Status'!A68&amp;'1. Status'!$D$10,'ID1&amp;5'!K:K))</f>
        <v>0</v>
      </c>
      <c r="E68" s="67">
        <f t="array" ref="E68">+MAX(IF('ID1&amp;5'!A:A='1. Status'!A68&amp;'1. Status'!$E$10,'ID1&amp;5'!K:K))</f>
        <v>0</v>
      </c>
      <c r="F68" s="75">
        <f t="array" ref="F68">+MAX(IF('ID1&amp;5'!A:A='1. Status'!A68&amp;'1. Status'!$F$10,'ID1&amp;5'!K:K))</f>
        <v>0</v>
      </c>
      <c r="G68" s="67"/>
      <c r="H68" s="73" t="s">
        <v>145</v>
      </c>
      <c r="I68" s="28" t="s">
        <v>160</v>
      </c>
      <c r="J68" s="33">
        <f>+COUNTIF('ID1&amp;5'!G:G,'1. Status'!I68)</f>
        <v>0</v>
      </c>
      <c r="K68" s="92" t="str">
        <f>+IFERROR(VLOOKUP(CONCATENATE(A68,$B$10,B68),'ID1&amp;5'!B:J,8,FALSE),"-")</f>
        <v>-</v>
      </c>
      <c r="L68" s="91" t="str">
        <f>+IFERROR(VLOOKUP(B68,'ID1&amp;5'!K:L,2,FALSE),"-")</f>
        <v>-</v>
      </c>
      <c r="M68" s="92" t="str">
        <f>+IFERROR(VLOOKUP(CONCATENATE(A68,$B$10,B68),'ID1&amp;5'!B:J,9,FALSE),"-")</f>
        <v>-</v>
      </c>
      <c r="N68" s="92" t="str">
        <f>+IFERROR(VLOOKUP(CONCATENATE(A68,$C$10,C68),'ID1&amp;5'!B:J,8,FALSE),"-")</f>
        <v>-</v>
      </c>
      <c r="O68" s="91" t="str">
        <f>+IFERROR(VLOOKUP(C68,'ID1&amp;5'!K:L,2,FALSE),"-")</f>
        <v>-</v>
      </c>
      <c r="P68" s="92" t="str">
        <f>+IFERROR(VLOOKUP(CONCATENATE(A68,$C$10,C68),'ID1&amp;5'!B:J,9,FALSE),"-")</f>
        <v>-</v>
      </c>
      <c r="Q68" s="91" t="str">
        <f>+IFERROR(VLOOKUP(D68,'ID1&amp;5'!K:L,2,FALSE),"-")</f>
        <v>-</v>
      </c>
      <c r="R68" s="33" t="str">
        <f>+IFERROR(VLOOKUP(CONCATENATE(A68,$D$10,D68),'ID1&amp;5'!B:J,9,FALSE),"-")</f>
        <v>-</v>
      </c>
      <c r="S68" s="91" t="str">
        <f>+IFERROR(VLOOKUP(E68,'ID1&amp;5'!K:L,2,FALSE),"-")</f>
        <v>-</v>
      </c>
      <c r="T68" s="92" t="str">
        <f>+IFERROR(VLOOKUP(CONCATENATE(A68,$E$10,E68),'ID1&amp;5'!B:J,9,FALSE),"-")</f>
        <v>-</v>
      </c>
      <c r="U68" s="91" t="str">
        <f>+IFERROR(VLOOKUP(F68,'ID1&amp;5'!K:L,2,FALSE),"-")</f>
        <v>-</v>
      </c>
      <c r="V68" s="92" t="str">
        <f>+IFERROR(VLOOKUP(CONCATENATE(A68,$F$10,F68),'ID1&amp;5'!B:J,9,FALSE),"-")</f>
        <v>-</v>
      </c>
      <c r="W68" s="33" t="str">
        <f>+IFERROR(VLOOKUP(A68,'ID6&amp;7'!A:I,9,FALSE),"-")</f>
        <v>-</v>
      </c>
      <c r="X68" s="33" t="str">
        <f>+IFERROR(VLOOKUP(A68,'ID6&amp;7'!A:J,10,FALSE),"-")</f>
        <v>-</v>
      </c>
      <c r="Y68" s="33"/>
      <c r="Z68" s="34" t="str">
        <f t="shared" si="1"/>
        <v>Por iniciar</v>
      </c>
    </row>
    <row r="69" spans="1:26">
      <c r="A69" s="27" t="str">
        <f t="shared" si="0"/>
        <v>INSTRUMENTPRFRMNG_STTS45596</v>
      </c>
      <c r="B69" s="74">
        <f t="array" ref="B69">+MAX(IF('ID1&amp;5'!A:A='1. Status'!A69&amp;'1. Status'!$B$10,'ID1&amp;5'!K:K))</f>
        <v>0</v>
      </c>
      <c r="C69" s="67">
        <f t="array" ref="C69">+MAX(IF('ID1&amp;5'!A:A='1. Status'!A69&amp;'1. Status'!$C$10,'ID1&amp;5'!K:K))</f>
        <v>0</v>
      </c>
      <c r="D69" s="67">
        <f t="array" ref="D69">+MAX(IF('ID1&amp;5'!A:A='1. Status'!A69&amp;'1. Status'!$D$10,'ID1&amp;5'!K:K))</f>
        <v>0</v>
      </c>
      <c r="E69" s="67">
        <f t="array" ref="E69">+MAX(IF('ID1&amp;5'!A:A='1. Status'!A69&amp;'1. Status'!$E$10,'ID1&amp;5'!K:K))</f>
        <v>0</v>
      </c>
      <c r="F69" s="75">
        <f t="array" ref="F69">+MAX(IF('ID1&amp;5'!A:A='1. Status'!A69&amp;'1. Status'!$F$10,'ID1&amp;5'!K:K))</f>
        <v>0</v>
      </c>
      <c r="G69" s="67"/>
      <c r="H69" s="73" t="s">
        <v>145</v>
      </c>
      <c r="I69" s="28" t="s">
        <v>161</v>
      </c>
      <c r="J69" s="33">
        <f>+COUNTIF('ID1&amp;5'!G:G,'1. Status'!I69)</f>
        <v>0</v>
      </c>
      <c r="K69" s="92" t="str">
        <f>+IFERROR(VLOOKUP(CONCATENATE(A69,$B$10,B69),'ID1&amp;5'!B:J,8,FALSE),"-")</f>
        <v>-</v>
      </c>
      <c r="L69" s="91" t="str">
        <f>+IFERROR(VLOOKUP(B69,'ID1&amp;5'!K:L,2,FALSE),"-")</f>
        <v>-</v>
      </c>
      <c r="M69" s="92" t="str">
        <f>+IFERROR(VLOOKUP(CONCATENATE(A69,$B$10,B69),'ID1&amp;5'!B:J,9,FALSE),"-")</f>
        <v>-</v>
      </c>
      <c r="N69" s="92" t="str">
        <f>+IFERROR(VLOOKUP(CONCATENATE(A69,$C$10,C69),'ID1&amp;5'!B:J,8,FALSE),"-")</f>
        <v>-</v>
      </c>
      <c r="O69" s="91" t="str">
        <f>+IFERROR(VLOOKUP(C69,'ID1&amp;5'!K:L,2,FALSE),"-")</f>
        <v>-</v>
      </c>
      <c r="P69" s="92" t="str">
        <f>+IFERROR(VLOOKUP(CONCATENATE(A69,$C$10,C69),'ID1&amp;5'!B:J,9,FALSE),"-")</f>
        <v>-</v>
      </c>
      <c r="Q69" s="91" t="str">
        <f>+IFERROR(VLOOKUP(D69,'ID1&amp;5'!K:L,2,FALSE),"-")</f>
        <v>-</v>
      </c>
      <c r="R69" s="33" t="str">
        <f>+IFERROR(VLOOKUP(CONCATENATE(A69,$D$10,D69),'ID1&amp;5'!B:J,9,FALSE),"-")</f>
        <v>-</v>
      </c>
      <c r="S69" s="91" t="str">
        <f>+IFERROR(VLOOKUP(E69,'ID1&amp;5'!K:L,2,FALSE),"-")</f>
        <v>-</v>
      </c>
      <c r="T69" s="92" t="str">
        <f>+IFERROR(VLOOKUP(CONCATENATE(A69,$E$10,E69),'ID1&amp;5'!B:J,9,FALSE),"-")</f>
        <v>-</v>
      </c>
      <c r="U69" s="91" t="str">
        <f>+IFERROR(VLOOKUP(F69,'ID1&amp;5'!K:L,2,FALSE),"-")</f>
        <v>-</v>
      </c>
      <c r="V69" s="92" t="str">
        <f>+IFERROR(VLOOKUP(CONCATENATE(A69,$F$10,F69),'ID1&amp;5'!B:J,9,FALSE),"-")</f>
        <v>-</v>
      </c>
      <c r="W69" s="33" t="str">
        <f>+IFERROR(VLOOKUP(A69,'ID6&amp;7'!A:I,9,FALSE),"-")</f>
        <v>-</v>
      </c>
      <c r="X69" s="33" t="str">
        <f>+IFERROR(VLOOKUP(A69,'ID6&amp;7'!A:J,10,FALSE),"-")</f>
        <v>-</v>
      </c>
      <c r="Y69" s="33"/>
      <c r="Z69" s="34" t="str">
        <f t="shared" si="1"/>
        <v>Por iniciar</v>
      </c>
    </row>
    <row r="70" spans="1:26">
      <c r="A70" s="27" t="str">
        <f t="shared" si="0"/>
        <v>INSTRUMENTPRJCT_FNNC_LN45596</v>
      </c>
      <c r="B70" s="74">
        <f t="array" ref="B70">+MAX(IF('ID1&amp;5'!A:A='1. Status'!A70&amp;'1. Status'!$B$10,'ID1&amp;5'!K:K))</f>
        <v>0</v>
      </c>
      <c r="C70" s="67">
        <f t="array" ref="C70">+MAX(IF('ID1&amp;5'!A:A='1. Status'!A70&amp;'1. Status'!$C$10,'ID1&amp;5'!K:K))</f>
        <v>0</v>
      </c>
      <c r="D70" s="67">
        <f t="array" ref="D70">+MAX(IF('ID1&amp;5'!A:A='1. Status'!A70&amp;'1. Status'!$D$10,'ID1&amp;5'!K:K))</f>
        <v>0</v>
      </c>
      <c r="E70" s="67">
        <f t="array" ref="E70">+MAX(IF('ID1&amp;5'!A:A='1. Status'!A70&amp;'1. Status'!$E$10,'ID1&amp;5'!K:K))</f>
        <v>0</v>
      </c>
      <c r="F70" s="75">
        <f t="array" ref="F70">+MAX(IF('ID1&amp;5'!A:A='1. Status'!A70&amp;'1. Status'!$F$10,'ID1&amp;5'!K:K))</f>
        <v>0</v>
      </c>
      <c r="G70" s="67"/>
      <c r="H70" s="73" t="s">
        <v>145</v>
      </c>
      <c r="I70" s="28" t="s">
        <v>162</v>
      </c>
      <c r="J70" s="33">
        <f>+COUNTIF('ID1&amp;5'!G:G,'1. Status'!I70)</f>
        <v>0</v>
      </c>
      <c r="K70" s="92" t="str">
        <f>+IFERROR(VLOOKUP(CONCATENATE(A70,$B$10,B70),'ID1&amp;5'!B:J,8,FALSE),"-")</f>
        <v>-</v>
      </c>
      <c r="L70" s="91" t="str">
        <f>+IFERROR(VLOOKUP(B70,'ID1&amp;5'!K:L,2,FALSE),"-")</f>
        <v>-</v>
      </c>
      <c r="M70" s="92" t="str">
        <f>+IFERROR(VLOOKUP(CONCATENATE(A70,$B$10,B70),'ID1&amp;5'!B:J,9,FALSE),"-")</f>
        <v>-</v>
      </c>
      <c r="N70" s="92" t="str">
        <f>+IFERROR(VLOOKUP(CONCATENATE(A70,$C$10,C70),'ID1&amp;5'!B:J,8,FALSE),"-")</f>
        <v>-</v>
      </c>
      <c r="O70" s="91" t="str">
        <f>+IFERROR(VLOOKUP(C70,'ID1&amp;5'!K:L,2,FALSE),"-")</f>
        <v>-</v>
      </c>
      <c r="P70" s="92" t="str">
        <f>+IFERROR(VLOOKUP(CONCATENATE(A70,$C$10,C70),'ID1&amp;5'!B:J,9,FALSE),"-")</f>
        <v>-</v>
      </c>
      <c r="Q70" s="91" t="str">
        <f>+IFERROR(VLOOKUP(D70,'ID1&amp;5'!K:L,2,FALSE),"-")</f>
        <v>-</v>
      </c>
      <c r="R70" s="33" t="str">
        <f>+IFERROR(VLOOKUP(CONCATENATE(A70,$D$10,D70),'ID1&amp;5'!B:J,9,FALSE),"-")</f>
        <v>-</v>
      </c>
      <c r="S70" s="91" t="str">
        <f>+IFERROR(VLOOKUP(E70,'ID1&amp;5'!K:L,2,FALSE),"-")</f>
        <v>-</v>
      </c>
      <c r="T70" s="92" t="str">
        <f>+IFERROR(VLOOKUP(CONCATENATE(A70,$E$10,E70),'ID1&amp;5'!B:J,9,FALSE),"-")</f>
        <v>-</v>
      </c>
      <c r="U70" s="91" t="str">
        <f>+IFERROR(VLOOKUP(F70,'ID1&amp;5'!K:L,2,FALSE),"-")</f>
        <v>-</v>
      </c>
      <c r="V70" s="92" t="str">
        <f>+IFERROR(VLOOKUP(CONCATENATE(A70,$F$10,F70),'ID1&amp;5'!B:J,9,FALSE),"-")</f>
        <v>-</v>
      </c>
      <c r="W70" s="33" t="str">
        <f>+IFERROR(VLOOKUP(A70,'ID6&amp;7'!A:I,9,FALSE),"-")</f>
        <v>-</v>
      </c>
      <c r="X70" s="33" t="str">
        <f>+IFERROR(VLOOKUP(A70,'ID6&amp;7'!A:J,10,FALSE),"-")</f>
        <v>-</v>
      </c>
      <c r="Y70" s="33"/>
      <c r="Z70" s="34" t="str">
        <f t="shared" si="1"/>
        <v>Por iniciar</v>
      </c>
    </row>
    <row r="71" spans="1:26">
      <c r="A71" s="27" t="str">
        <f t="shared" si="0"/>
        <v>INSTRUMENTTYP_INSTRMNT45596</v>
      </c>
      <c r="B71" s="74">
        <f t="array" ref="B71">+MAX(IF('ID1&amp;5'!A:A='1. Status'!A71&amp;'1. Status'!$B$10,'ID1&amp;5'!K:K))</f>
        <v>0</v>
      </c>
      <c r="C71" s="67">
        <f t="array" ref="C71">+MAX(IF('ID1&amp;5'!A:A='1. Status'!A71&amp;'1. Status'!$C$10,'ID1&amp;5'!K:K))</f>
        <v>0</v>
      </c>
      <c r="D71" s="67">
        <f t="array" ref="D71">+MAX(IF('ID1&amp;5'!A:A='1. Status'!A71&amp;'1. Status'!$D$10,'ID1&amp;5'!K:K))</f>
        <v>0</v>
      </c>
      <c r="E71" s="67">
        <f t="array" ref="E71">+MAX(IF('ID1&amp;5'!A:A='1. Status'!A71&amp;'1. Status'!$E$10,'ID1&amp;5'!K:K))</f>
        <v>0</v>
      </c>
      <c r="F71" s="75">
        <f t="array" ref="F71">+MAX(IF('ID1&amp;5'!A:A='1. Status'!A71&amp;'1. Status'!$F$10,'ID1&amp;5'!K:K))</f>
        <v>0</v>
      </c>
      <c r="G71" s="67"/>
      <c r="H71" s="73" t="s">
        <v>145</v>
      </c>
      <c r="I71" s="28" t="s">
        <v>163</v>
      </c>
      <c r="J71" s="33">
        <f>+COUNTIF('ID1&amp;5'!G:G,'1. Status'!I71)</f>
        <v>0</v>
      </c>
      <c r="K71" s="92" t="str">
        <f>+IFERROR(VLOOKUP(CONCATENATE(A71,$B$10,B71),'ID1&amp;5'!B:J,8,FALSE),"-")</f>
        <v>-</v>
      </c>
      <c r="L71" s="91" t="str">
        <f>+IFERROR(VLOOKUP(B71,'ID1&amp;5'!K:L,2,FALSE),"-")</f>
        <v>-</v>
      </c>
      <c r="M71" s="92" t="str">
        <f>+IFERROR(VLOOKUP(CONCATENATE(A71,$B$10,B71),'ID1&amp;5'!B:J,9,FALSE),"-")</f>
        <v>-</v>
      </c>
      <c r="N71" s="92" t="str">
        <f>+IFERROR(VLOOKUP(CONCATENATE(A71,$C$10,C71),'ID1&amp;5'!B:J,8,FALSE),"-")</f>
        <v>-</v>
      </c>
      <c r="O71" s="91" t="str">
        <f>+IFERROR(VLOOKUP(C71,'ID1&amp;5'!K:L,2,FALSE),"-")</f>
        <v>-</v>
      </c>
      <c r="P71" s="92" t="str">
        <f>+IFERROR(VLOOKUP(CONCATENATE(A71,$C$10,C71),'ID1&amp;5'!B:J,9,FALSE),"-")</f>
        <v>-</v>
      </c>
      <c r="Q71" s="91" t="str">
        <f>+IFERROR(VLOOKUP(D71,'ID1&amp;5'!K:L,2,FALSE),"-")</f>
        <v>-</v>
      </c>
      <c r="R71" s="33" t="str">
        <f>+IFERROR(VLOOKUP(CONCATENATE(A71,$D$10,D71),'ID1&amp;5'!B:J,9,FALSE),"-")</f>
        <v>-</v>
      </c>
      <c r="S71" s="91" t="str">
        <f>+IFERROR(VLOOKUP(E71,'ID1&amp;5'!K:L,2,FALSE),"-")</f>
        <v>-</v>
      </c>
      <c r="T71" s="92" t="str">
        <f>+IFERROR(VLOOKUP(CONCATENATE(A71,$E$10,E71),'ID1&amp;5'!B:J,9,FALSE),"-")</f>
        <v>-</v>
      </c>
      <c r="U71" s="91" t="str">
        <f>+IFERROR(VLOOKUP(F71,'ID1&amp;5'!K:L,2,FALSE),"-")</f>
        <v>-</v>
      </c>
      <c r="V71" s="92" t="str">
        <f>+IFERROR(VLOOKUP(CONCATENATE(A71,$F$10,F71),'ID1&amp;5'!B:J,9,FALSE),"-")</f>
        <v>-</v>
      </c>
      <c r="W71" s="33" t="str">
        <f>+IFERROR(VLOOKUP(A71,'ID6&amp;7'!A:I,9,FALSE),"-")</f>
        <v>-</v>
      </c>
      <c r="X71" s="33" t="str">
        <f>+IFERROR(VLOOKUP(A71,'ID6&amp;7'!A:J,10,FALSE),"-")</f>
        <v>-</v>
      </c>
      <c r="Y71" s="33"/>
      <c r="Z71" s="34" t="str">
        <f t="shared" si="1"/>
        <v>Por iniciar</v>
      </c>
    </row>
    <row r="72" spans="1:26">
      <c r="A72" s="27" t="str">
        <f t="shared" si="0"/>
        <v>INSTRUMENTGRSS_CRRYNG_AMNT_INSTRMNT45596</v>
      </c>
      <c r="B72" s="74">
        <f t="array" ref="B72">+MAX(IF('ID1&amp;5'!A:A='1. Status'!A72&amp;'1. Status'!$B$10,'ID1&amp;5'!K:K))</f>
        <v>0</v>
      </c>
      <c r="C72" s="67">
        <f t="array" ref="C72">+MAX(IF('ID1&amp;5'!A:A='1. Status'!A72&amp;'1. Status'!$C$10,'ID1&amp;5'!K:K))</f>
        <v>0</v>
      </c>
      <c r="D72" s="67">
        <f t="array" ref="D72">+MAX(IF('ID1&amp;5'!A:A='1. Status'!A72&amp;'1. Status'!$D$10,'ID1&amp;5'!K:K))</f>
        <v>0</v>
      </c>
      <c r="E72" s="67">
        <f t="array" ref="E72">+MAX(IF('ID1&amp;5'!A:A='1. Status'!A72&amp;'1. Status'!$E$10,'ID1&amp;5'!K:K))</f>
        <v>0</v>
      </c>
      <c r="F72" s="75">
        <f t="array" ref="F72">+MAX(IF('ID1&amp;5'!A:A='1. Status'!A72&amp;'1. Status'!$F$10,'ID1&amp;5'!K:K))</f>
        <v>0</v>
      </c>
      <c r="G72" s="67"/>
      <c r="H72" s="73" t="s">
        <v>145</v>
      </c>
      <c r="I72" s="28" t="s">
        <v>164</v>
      </c>
      <c r="J72" s="33">
        <f>+COUNTIF('ID1&amp;5'!G:G,'1. Status'!I72)</f>
        <v>0</v>
      </c>
      <c r="K72" s="92" t="str">
        <f>+IFERROR(VLOOKUP(CONCATENATE(A72,$B$10,B72),'ID1&amp;5'!B:J,8,FALSE),"-")</f>
        <v>-</v>
      </c>
      <c r="L72" s="91" t="str">
        <f>+IFERROR(VLOOKUP(B72,'ID1&amp;5'!K:L,2,FALSE),"-")</f>
        <v>-</v>
      </c>
      <c r="M72" s="92" t="str">
        <f>+IFERROR(VLOOKUP(CONCATENATE(A72,$B$10,B72),'ID1&amp;5'!B:J,9,FALSE),"-")</f>
        <v>-</v>
      </c>
      <c r="N72" s="92" t="str">
        <f>+IFERROR(VLOOKUP(CONCATENATE(A72,$C$10,C72),'ID1&amp;5'!B:J,8,FALSE),"-")</f>
        <v>-</v>
      </c>
      <c r="O72" s="91" t="str">
        <f>+IFERROR(VLOOKUP(C72,'ID1&amp;5'!K:L,2,FALSE),"-")</f>
        <v>-</v>
      </c>
      <c r="P72" s="92" t="str">
        <f>+IFERROR(VLOOKUP(CONCATENATE(A72,$C$10,C72),'ID1&amp;5'!B:J,9,FALSE),"-")</f>
        <v>-</v>
      </c>
      <c r="Q72" s="91" t="str">
        <f>+IFERROR(VLOOKUP(D72,'ID1&amp;5'!K:L,2,FALSE),"-")</f>
        <v>-</v>
      </c>
      <c r="R72" s="33" t="str">
        <f>+IFERROR(VLOOKUP(CONCATENATE(A72,$D$10,D72),'ID1&amp;5'!B:J,9,FALSE),"-")</f>
        <v>-</v>
      </c>
      <c r="S72" s="91" t="str">
        <f>+IFERROR(VLOOKUP(E72,'ID1&amp;5'!K:L,2,FALSE),"-")</f>
        <v>-</v>
      </c>
      <c r="T72" s="92" t="str">
        <f>+IFERROR(VLOOKUP(CONCATENATE(A72,$E$10,E72),'ID1&amp;5'!B:J,9,FALSE),"-")</f>
        <v>-</v>
      </c>
      <c r="U72" s="91" t="str">
        <f>+IFERROR(VLOOKUP(F72,'ID1&amp;5'!K:L,2,FALSE),"-")</f>
        <v>-</v>
      </c>
      <c r="V72" s="92" t="str">
        <f>+IFERROR(VLOOKUP(CONCATENATE(A72,$F$10,F72),'ID1&amp;5'!B:J,9,FALSE),"-")</f>
        <v>-</v>
      </c>
      <c r="W72" s="33" t="str">
        <f>+IFERROR(VLOOKUP(A72,'ID6&amp;7'!A:I,9,FALSE),"-")</f>
        <v>-</v>
      </c>
      <c r="X72" s="33" t="str">
        <f>+IFERROR(VLOOKUP(A72,'ID6&amp;7'!A:J,10,FALSE),"-")</f>
        <v>-</v>
      </c>
      <c r="Y72" s="33"/>
      <c r="Z72" s="34" t="str">
        <f t="shared" si="1"/>
        <v>Por iniciar</v>
      </c>
    </row>
    <row r="73" spans="1:26">
      <c r="A73" s="27" t="str">
        <f t="shared" si="0"/>
        <v>INSTRUMENTACCMLTD_CHNGS_FV_CR_INSTRMNT45596</v>
      </c>
      <c r="B73" s="74">
        <f t="array" ref="B73">+MAX(IF('ID1&amp;5'!A:A='1. Status'!A73&amp;'1. Status'!$B$10,'ID1&amp;5'!K:K))</f>
        <v>0</v>
      </c>
      <c r="C73" s="67">
        <f t="array" ref="C73">+MAX(IF('ID1&amp;5'!A:A='1. Status'!A73&amp;'1. Status'!$C$10,'ID1&amp;5'!K:K))</f>
        <v>0</v>
      </c>
      <c r="D73" s="67">
        <f t="array" ref="D73">+MAX(IF('ID1&amp;5'!A:A='1. Status'!A73&amp;'1. Status'!$D$10,'ID1&amp;5'!K:K))</f>
        <v>0</v>
      </c>
      <c r="E73" s="67">
        <f t="array" ref="E73">+MAX(IF('ID1&amp;5'!A:A='1. Status'!A73&amp;'1. Status'!$E$10,'ID1&amp;5'!K:K))</f>
        <v>0</v>
      </c>
      <c r="F73" s="75">
        <f t="array" ref="F73">+MAX(IF('ID1&amp;5'!A:A='1. Status'!A73&amp;'1. Status'!$F$10,'ID1&amp;5'!K:K))</f>
        <v>0</v>
      </c>
      <c r="G73" s="67"/>
      <c r="H73" s="73" t="s">
        <v>145</v>
      </c>
      <c r="I73" s="28" t="s">
        <v>165</v>
      </c>
      <c r="J73" s="33">
        <f>+COUNTIF('ID1&amp;5'!G:G,'1. Status'!I73)</f>
        <v>0</v>
      </c>
      <c r="K73" s="92" t="str">
        <f>+IFERROR(VLOOKUP(CONCATENATE(A73,$B$10,B73),'ID1&amp;5'!B:J,8,FALSE),"-")</f>
        <v>-</v>
      </c>
      <c r="L73" s="91" t="str">
        <f>+IFERROR(VLOOKUP(B73,'ID1&amp;5'!K:L,2,FALSE),"-")</f>
        <v>-</v>
      </c>
      <c r="M73" s="92" t="str">
        <f>+IFERROR(VLOOKUP(CONCATENATE(A73,$B$10,B73),'ID1&amp;5'!B:J,9,FALSE),"-")</f>
        <v>-</v>
      </c>
      <c r="N73" s="92" t="str">
        <f>+IFERROR(VLOOKUP(CONCATENATE(A73,$C$10,C73),'ID1&amp;5'!B:J,8,FALSE),"-")</f>
        <v>-</v>
      </c>
      <c r="O73" s="91" t="str">
        <f>+IFERROR(VLOOKUP(C73,'ID1&amp;5'!K:L,2,FALSE),"-")</f>
        <v>-</v>
      </c>
      <c r="P73" s="92" t="str">
        <f>+IFERROR(VLOOKUP(CONCATENATE(A73,$C$10,C73),'ID1&amp;5'!B:J,9,FALSE),"-")</f>
        <v>-</v>
      </c>
      <c r="Q73" s="91" t="str">
        <f>+IFERROR(VLOOKUP(D73,'ID1&amp;5'!K:L,2,FALSE),"-")</f>
        <v>-</v>
      </c>
      <c r="R73" s="33" t="str">
        <f>+IFERROR(VLOOKUP(CONCATENATE(A73,$D$10,D73),'ID1&amp;5'!B:J,9,FALSE),"-")</f>
        <v>-</v>
      </c>
      <c r="S73" s="91" t="str">
        <f>+IFERROR(VLOOKUP(E73,'ID1&amp;5'!K:L,2,FALSE),"-")</f>
        <v>-</v>
      </c>
      <c r="T73" s="92" t="str">
        <f>+IFERROR(VLOOKUP(CONCATENATE(A73,$E$10,E73),'ID1&amp;5'!B:J,9,FALSE),"-")</f>
        <v>-</v>
      </c>
      <c r="U73" s="91" t="str">
        <f>+IFERROR(VLOOKUP(F73,'ID1&amp;5'!K:L,2,FALSE),"-")</f>
        <v>-</v>
      </c>
      <c r="V73" s="92" t="str">
        <f>+IFERROR(VLOOKUP(CONCATENATE(A73,$F$10,F73),'ID1&amp;5'!B:J,9,FALSE),"-")</f>
        <v>-</v>
      </c>
      <c r="W73" s="33" t="str">
        <f>+IFERROR(VLOOKUP(A73,'ID6&amp;7'!A:I,9,FALSE),"-")</f>
        <v>-</v>
      </c>
      <c r="X73" s="33" t="str">
        <f>+IFERROR(VLOOKUP(A73,'ID6&amp;7'!A:J,10,FALSE),"-")</f>
        <v>-</v>
      </c>
      <c r="Y73" s="33"/>
      <c r="Z73" s="34" t="str">
        <f t="shared" si="1"/>
        <v>Por iniciar</v>
      </c>
    </row>
    <row r="74" spans="1:26">
      <c r="A74" s="27" t="str">
        <f t="shared" si="0"/>
        <v>INSTRUMENTACCNTNG_CLSSFCTN45596</v>
      </c>
      <c r="B74" s="74">
        <f t="array" ref="B74">+MAX(IF('ID1&amp;5'!A:A='1. Status'!A74&amp;'1. Status'!$B$10,'ID1&amp;5'!K:K))</f>
        <v>0</v>
      </c>
      <c r="C74" s="67">
        <f t="array" ref="C74">+MAX(IF('ID1&amp;5'!A:A='1. Status'!A74&amp;'1. Status'!$C$10,'ID1&amp;5'!K:K))</f>
        <v>0</v>
      </c>
      <c r="D74" s="67">
        <f t="array" ref="D74">+MAX(IF('ID1&amp;5'!A:A='1. Status'!A74&amp;'1. Status'!$D$10,'ID1&amp;5'!K:K))</f>
        <v>0</v>
      </c>
      <c r="E74" s="67">
        <f t="array" ref="E74">+MAX(IF('ID1&amp;5'!A:A='1. Status'!A74&amp;'1. Status'!$E$10,'ID1&amp;5'!K:K))</f>
        <v>0</v>
      </c>
      <c r="F74" s="75">
        <f t="array" ref="F74">+MAX(IF('ID1&amp;5'!A:A='1. Status'!A74&amp;'1. Status'!$F$10,'ID1&amp;5'!K:K))</f>
        <v>0</v>
      </c>
      <c r="G74" s="67"/>
      <c r="H74" s="73" t="s">
        <v>145</v>
      </c>
      <c r="I74" s="28" t="s">
        <v>166</v>
      </c>
      <c r="J74" s="33">
        <f>+COUNTIF('ID1&amp;5'!G:G,'1. Status'!I74)</f>
        <v>0</v>
      </c>
      <c r="K74" s="92" t="str">
        <f>+IFERROR(VLOOKUP(CONCATENATE(A74,$B$10,B74),'ID1&amp;5'!B:J,8,FALSE),"-")</f>
        <v>-</v>
      </c>
      <c r="L74" s="91" t="str">
        <f>+IFERROR(VLOOKUP(B74,'ID1&amp;5'!K:L,2,FALSE),"-")</f>
        <v>-</v>
      </c>
      <c r="M74" s="92" t="str">
        <f>+IFERROR(VLOOKUP(CONCATENATE(A74,$B$10,B74),'ID1&amp;5'!B:J,9,FALSE),"-")</f>
        <v>-</v>
      </c>
      <c r="N74" s="92" t="str">
        <f>+IFERROR(VLOOKUP(CONCATENATE(A74,$C$10,C74),'ID1&amp;5'!B:J,8,FALSE),"-")</f>
        <v>-</v>
      </c>
      <c r="O74" s="91" t="str">
        <f>+IFERROR(VLOOKUP(C74,'ID1&amp;5'!K:L,2,FALSE),"-")</f>
        <v>-</v>
      </c>
      <c r="P74" s="92" t="str">
        <f>+IFERROR(VLOOKUP(CONCATENATE(A74,$C$10,C74),'ID1&amp;5'!B:J,9,FALSE),"-")</f>
        <v>-</v>
      </c>
      <c r="Q74" s="91" t="str">
        <f>+IFERROR(VLOOKUP(D74,'ID1&amp;5'!K:L,2,FALSE),"-")</f>
        <v>-</v>
      </c>
      <c r="R74" s="33" t="str">
        <f>+IFERROR(VLOOKUP(CONCATENATE(A74,$D$10,D74),'ID1&amp;5'!B:J,9,FALSE),"-")</f>
        <v>-</v>
      </c>
      <c r="S74" s="91" t="str">
        <f>+IFERROR(VLOOKUP(E74,'ID1&amp;5'!K:L,2,FALSE),"-")</f>
        <v>-</v>
      </c>
      <c r="T74" s="92" t="str">
        <f>+IFERROR(VLOOKUP(CONCATENATE(A74,$E$10,E74),'ID1&amp;5'!B:J,9,FALSE),"-")</f>
        <v>-</v>
      </c>
      <c r="U74" s="91" t="str">
        <f>+IFERROR(VLOOKUP(F74,'ID1&amp;5'!K:L,2,FALSE),"-")</f>
        <v>-</v>
      </c>
      <c r="V74" s="92" t="str">
        <f>+IFERROR(VLOOKUP(CONCATENATE(A74,$F$10,F74),'ID1&amp;5'!B:J,9,FALSE),"-")</f>
        <v>-</v>
      </c>
      <c r="W74" s="33" t="str">
        <f>+IFERROR(VLOOKUP(A74,'ID6&amp;7'!A:I,9,FALSE),"-")</f>
        <v>-</v>
      </c>
      <c r="X74" s="33" t="str">
        <f>+IFERROR(VLOOKUP(A74,'ID6&amp;7'!A:J,10,FALSE),"-")</f>
        <v>-</v>
      </c>
      <c r="Y74" s="33"/>
      <c r="Z74" s="34" t="str">
        <f t="shared" si="1"/>
        <v>Por iniciar</v>
      </c>
    </row>
    <row r="75" spans="1:26">
      <c r="A75" s="27" t="str">
        <f t="shared" ref="A75:A107" si="2">+H75&amp;I75&amp;$I$8</f>
        <v>INSTRUMENTDT_LGL_FNL_MTRTY45596</v>
      </c>
      <c r="B75" s="74">
        <f t="array" ref="B75">+MAX(IF('ID1&amp;5'!A:A='1. Status'!A75&amp;'1. Status'!$B$10,'ID1&amp;5'!K:K))</f>
        <v>0</v>
      </c>
      <c r="C75" s="67">
        <f t="array" ref="C75">+MAX(IF('ID1&amp;5'!A:A='1. Status'!A75&amp;'1. Status'!$C$10,'ID1&amp;5'!K:K))</f>
        <v>0</v>
      </c>
      <c r="D75" s="67">
        <f t="array" ref="D75">+MAX(IF('ID1&amp;5'!A:A='1. Status'!A75&amp;'1. Status'!$D$10,'ID1&amp;5'!K:K))</f>
        <v>0</v>
      </c>
      <c r="E75" s="67">
        <f t="array" ref="E75">+MAX(IF('ID1&amp;5'!A:A='1. Status'!A75&amp;'1. Status'!$E$10,'ID1&amp;5'!K:K))</f>
        <v>0</v>
      </c>
      <c r="F75" s="75">
        <f t="array" ref="F75">+MAX(IF('ID1&amp;5'!A:A='1. Status'!A75&amp;'1. Status'!$F$10,'ID1&amp;5'!K:K))</f>
        <v>0</v>
      </c>
      <c r="G75" s="67"/>
      <c r="H75" s="73" t="s">
        <v>145</v>
      </c>
      <c r="I75" s="28" t="s">
        <v>167</v>
      </c>
      <c r="J75" s="33">
        <f>+COUNTIF('ID1&amp;5'!G:G,'1. Status'!I75)</f>
        <v>0</v>
      </c>
      <c r="K75" s="92" t="str">
        <f>+IFERROR(VLOOKUP(CONCATENATE(A75,$B$10,B75),'ID1&amp;5'!B:J,8,FALSE),"-")</f>
        <v>-</v>
      </c>
      <c r="L75" s="91" t="str">
        <f>+IFERROR(VLOOKUP(B75,'ID1&amp;5'!K:L,2,FALSE),"-")</f>
        <v>-</v>
      </c>
      <c r="M75" s="92" t="str">
        <f>+IFERROR(VLOOKUP(CONCATENATE(A75,$B$10,B75),'ID1&amp;5'!B:J,9,FALSE),"-")</f>
        <v>-</v>
      </c>
      <c r="N75" s="92" t="str">
        <f>+IFERROR(VLOOKUP(CONCATENATE(A75,$C$10,C75),'ID1&amp;5'!B:J,8,FALSE),"-")</f>
        <v>-</v>
      </c>
      <c r="O75" s="91" t="str">
        <f>+IFERROR(VLOOKUP(C75,'ID1&amp;5'!K:L,2,FALSE),"-")</f>
        <v>-</v>
      </c>
      <c r="P75" s="92" t="str">
        <f>+IFERROR(VLOOKUP(CONCATENATE(A75,$C$10,C75),'ID1&amp;5'!B:J,9,FALSE),"-")</f>
        <v>-</v>
      </c>
      <c r="Q75" s="91" t="str">
        <f>+IFERROR(VLOOKUP(D75,'ID1&amp;5'!K:L,2,FALSE),"-")</f>
        <v>-</v>
      </c>
      <c r="R75" s="33" t="str">
        <f>+IFERROR(VLOOKUP(CONCATENATE(A75,$D$10,D75),'ID1&amp;5'!B:J,9,FALSE),"-")</f>
        <v>-</v>
      </c>
      <c r="S75" s="91" t="str">
        <f>+IFERROR(VLOOKUP(E75,'ID1&amp;5'!K:L,2,FALSE),"-")</f>
        <v>-</v>
      </c>
      <c r="T75" s="92" t="str">
        <f>+IFERROR(VLOOKUP(CONCATENATE(A75,$E$10,E75),'ID1&amp;5'!B:J,9,FALSE),"-")</f>
        <v>-</v>
      </c>
      <c r="U75" s="91" t="str">
        <f>+IFERROR(VLOOKUP(F75,'ID1&amp;5'!K:L,2,FALSE),"-")</f>
        <v>-</v>
      </c>
      <c r="V75" s="92" t="str">
        <f>+IFERROR(VLOOKUP(CONCATENATE(A75,$F$10,F75),'ID1&amp;5'!B:J,9,FALSE),"-")</f>
        <v>-</v>
      </c>
      <c r="W75" s="33" t="str">
        <f>+IFERROR(VLOOKUP(A75,'ID6&amp;7'!A:I,9,FALSE),"-")</f>
        <v>-</v>
      </c>
      <c r="X75" s="33" t="str">
        <f>+IFERROR(VLOOKUP(A75,'ID6&amp;7'!A:J,10,FALSE),"-")</f>
        <v>-</v>
      </c>
      <c r="Y75" s="33"/>
      <c r="Z75" s="34" t="str">
        <f t="shared" si="1"/>
        <v>Por iniciar</v>
      </c>
    </row>
    <row r="76" spans="1:26">
      <c r="A76" s="27" t="str">
        <f t="shared" si="2"/>
        <v>INSTRUMENTACCMLTD_IMPRMNT_INSTRMNT45596</v>
      </c>
      <c r="B76" s="74">
        <f t="array" ref="B76">+MAX(IF('ID1&amp;5'!A:A='1. Status'!A76&amp;'1. Status'!$B$10,'ID1&amp;5'!K:K))</f>
        <v>0</v>
      </c>
      <c r="C76" s="67">
        <f t="array" ref="C76">+MAX(IF('ID1&amp;5'!A:A='1. Status'!A76&amp;'1. Status'!$C$10,'ID1&amp;5'!K:K))</f>
        <v>0</v>
      </c>
      <c r="D76" s="67">
        <f t="array" ref="D76">+MAX(IF('ID1&amp;5'!A:A='1. Status'!A76&amp;'1. Status'!$D$10,'ID1&amp;5'!K:K))</f>
        <v>0</v>
      </c>
      <c r="E76" s="67">
        <f t="array" ref="E76">+MAX(IF('ID1&amp;5'!A:A='1. Status'!A76&amp;'1. Status'!$E$10,'ID1&amp;5'!K:K))</f>
        <v>0</v>
      </c>
      <c r="F76" s="75">
        <f t="array" ref="F76">+MAX(IF('ID1&amp;5'!A:A='1. Status'!A76&amp;'1. Status'!$F$10,'ID1&amp;5'!K:K))</f>
        <v>0</v>
      </c>
      <c r="G76" s="67"/>
      <c r="H76" s="73" t="s">
        <v>145</v>
      </c>
      <c r="I76" s="28" t="s">
        <v>168</v>
      </c>
      <c r="J76" s="33">
        <f>+COUNTIF('ID1&amp;5'!G:G,'1. Status'!I76)</f>
        <v>0</v>
      </c>
      <c r="K76" s="92" t="str">
        <f>+IFERROR(VLOOKUP(CONCATENATE(A76,$B$10,B76),'ID1&amp;5'!B:J,8,FALSE),"-")</f>
        <v>-</v>
      </c>
      <c r="L76" s="91" t="str">
        <f>+IFERROR(VLOOKUP(B76,'ID1&amp;5'!K:L,2,FALSE),"-")</f>
        <v>-</v>
      </c>
      <c r="M76" s="92" t="str">
        <f>+IFERROR(VLOOKUP(CONCATENATE(A76,$B$10,B76),'ID1&amp;5'!B:J,9,FALSE),"-")</f>
        <v>-</v>
      </c>
      <c r="N76" s="92" t="str">
        <f>+IFERROR(VLOOKUP(CONCATENATE(A76,$C$10,C76),'ID1&amp;5'!B:J,8,FALSE),"-")</f>
        <v>-</v>
      </c>
      <c r="O76" s="91" t="str">
        <f>+IFERROR(VLOOKUP(C76,'ID1&amp;5'!K:L,2,FALSE),"-")</f>
        <v>-</v>
      </c>
      <c r="P76" s="92" t="str">
        <f>+IFERROR(VLOOKUP(CONCATENATE(A76,$C$10,C76),'ID1&amp;5'!B:J,9,FALSE),"-")</f>
        <v>-</v>
      </c>
      <c r="Q76" s="91" t="str">
        <f>+IFERROR(VLOOKUP(D76,'ID1&amp;5'!K:L,2,FALSE),"-")</f>
        <v>-</v>
      </c>
      <c r="R76" s="33" t="str">
        <f>+IFERROR(VLOOKUP(CONCATENATE(A76,$D$10,D76),'ID1&amp;5'!B:J,9,FALSE),"-")</f>
        <v>-</v>
      </c>
      <c r="S76" s="91" t="str">
        <f>+IFERROR(VLOOKUP(E76,'ID1&amp;5'!K:L,2,FALSE),"-")</f>
        <v>-</v>
      </c>
      <c r="T76" s="92" t="str">
        <f>+IFERROR(VLOOKUP(CONCATENATE(A76,$E$10,E76),'ID1&amp;5'!B:J,9,FALSE),"-")</f>
        <v>-</v>
      </c>
      <c r="U76" s="91" t="str">
        <f>+IFERROR(VLOOKUP(F76,'ID1&amp;5'!K:L,2,FALSE),"-")</f>
        <v>-</v>
      </c>
      <c r="V76" s="92" t="str">
        <f>+IFERROR(VLOOKUP(CONCATENATE(A76,$F$10,F76),'ID1&amp;5'!B:J,9,FALSE),"-")</f>
        <v>-</v>
      </c>
      <c r="W76" s="33" t="str">
        <f>+IFERROR(VLOOKUP(A76,'ID6&amp;7'!A:I,9,FALSE),"-")</f>
        <v>-</v>
      </c>
      <c r="X76" s="33" t="str">
        <f>+IFERROR(VLOOKUP(A76,'ID6&amp;7'!A:J,10,FALSE),"-")</f>
        <v>-</v>
      </c>
      <c r="Y76" s="33"/>
      <c r="Z76" s="34" t="str">
        <f t="shared" ref="Z76:Z107" si="3">+IF(J76=0,"Por iniciar",IF(OR(K76="-",M76="-",P76="-",R76="-",T76="-",V76="-"),"Em testes",IF(AND(M76=0,P76=0,R76=0,T76&lt;&gt;K76,V76&lt;&gt;K76),"OK","NOK")))</f>
        <v>Por iniciar</v>
      </c>
    </row>
    <row r="77" spans="1:26">
      <c r="A77" s="27" t="str">
        <f t="shared" si="2"/>
        <v>INSTRUMENTISSR_CNTRY45596</v>
      </c>
      <c r="B77" s="74">
        <f t="array" ref="B77">+MAX(IF('ID1&amp;5'!A:A='1. Status'!A77&amp;'1. Status'!$B$10,'ID1&amp;5'!K:K))</f>
        <v>0</v>
      </c>
      <c r="C77" s="67">
        <f t="array" ref="C77">+MAX(IF('ID1&amp;5'!A:A='1. Status'!A77&amp;'1. Status'!$C$10,'ID1&amp;5'!K:K))</f>
        <v>0</v>
      </c>
      <c r="D77" s="67">
        <f t="array" ref="D77">+MAX(IF('ID1&amp;5'!A:A='1. Status'!A77&amp;'1. Status'!$D$10,'ID1&amp;5'!K:K))</f>
        <v>0</v>
      </c>
      <c r="E77" s="67">
        <f t="array" ref="E77">+MAX(IF('ID1&amp;5'!A:A='1. Status'!A77&amp;'1. Status'!$E$10,'ID1&amp;5'!K:K))</f>
        <v>0</v>
      </c>
      <c r="F77" s="75">
        <f t="array" ref="F77">+MAX(IF('ID1&amp;5'!A:A='1. Status'!A77&amp;'1. Status'!$F$10,'ID1&amp;5'!K:K))</f>
        <v>0</v>
      </c>
      <c r="G77" s="67"/>
      <c r="H77" s="73" t="s">
        <v>145</v>
      </c>
      <c r="I77" s="28" t="s">
        <v>169</v>
      </c>
      <c r="J77" s="33">
        <f>+COUNTIF('ID1&amp;5'!G:G,'1. Status'!I77)</f>
        <v>0</v>
      </c>
      <c r="K77" s="92" t="str">
        <f>+IFERROR(VLOOKUP(CONCATENATE(A77,$B$10,B77),'ID1&amp;5'!B:J,8,FALSE),"-")</f>
        <v>-</v>
      </c>
      <c r="L77" s="91" t="str">
        <f>+IFERROR(VLOOKUP(B77,'ID1&amp;5'!K:L,2,FALSE),"-")</f>
        <v>-</v>
      </c>
      <c r="M77" s="92" t="str">
        <f>+IFERROR(VLOOKUP(CONCATENATE(A77,$B$10,B77),'ID1&amp;5'!B:J,9,FALSE),"-")</f>
        <v>-</v>
      </c>
      <c r="N77" s="92" t="str">
        <f>+IFERROR(VLOOKUP(CONCATENATE(A77,$C$10,C77),'ID1&amp;5'!B:J,8,FALSE),"-")</f>
        <v>-</v>
      </c>
      <c r="O77" s="91" t="str">
        <f>+IFERROR(VLOOKUP(C77,'ID1&amp;5'!K:L,2,FALSE),"-")</f>
        <v>-</v>
      </c>
      <c r="P77" s="92" t="str">
        <f>+IFERROR(VLOOKUP(CONCATENATE(A77,$C$10,C77),'ID1&amp;5'!B:J,9,FALSE),"-")</f>
        <v>-</v>
      </c>
      <c r="Q77" s="91" t="str">
        <f>+IFERROR(VLOOKUP(D77,'ID1&amp;5'!K:L,2,FALSE),"-")</f>
        <v>-</v>
      </c>
      <c r="R77" s="33" t="str">
        <f>+IFERROR(VLOOKUP(CONCATENATE(A77,$D$10,D77),'ID1&amp;5'!B:J,9,FALSE),"-")</f>
        <v>-</v>
      </c>
      <c r="S77" s="91" t="str">
        <f>+IFERROR(VLOOKUP(E77,'ID1&amp;5'!K:L,2,FALSE),"-")</f>
        <v>-</v>
      </c>
      <c r="T77" s="92" t="str">
        <f>+IFERROR(VLOOKUP(CONCATENATE(A77,$E$10,E77),'ID1&amp;5'!B:J,9,FALSE),"-")</f>
        <v>-</v>
      </c>
      <c r="U77" s="91" t="str">
        <f>+IFERROR(VLOOKUP(F77,'ID1&amp;5'!K:L,2,FALSE),"-")</f>
        <v>-</v>
      </c>
      <c r="V77" s="92" t="str">
        <f>+IFERROR(VLOOKUP(CONCATENATE(A77,$F$10,F77),'ID1&amp;5'!B:J,9,FALSE),"-")</f>
        <v>-</v>
      </c>
      <c r="W77" s="33" t="str">
        <f>+IFERROR(VLOOKUP(A77,'ID6&amp;7'!A:I,9,FALSE),"-")</f>
        <v>-</v>
      </c>
      <c r="X77" s="33" t="str">
        <f>+IFERROR(VLOOKUP(A77,'ID6&amp;7'!A:J,10,FALSE),"-")</f>
        <v>-</v>
      </c>
      <c r="Y77" s="33"/>
      <c r="Z77" s="34" t="str">
        <f t="shared" si="3"/>
        <v>Por iniciar</v>
      </c>
    </row>
    <row r="78" spans="1:26">
      <c r="A78" s="27" t="str">
        <f t="shared" si="2"/>
        <v>INSTRUMENTISSR_NACE_SCTR45596</v>
      </c>
      <c r="B78" s="74">
        <f t="array" ref="B78">+MAX(IF('ID1&amp;5'!A:A='1. Status'!A78&amp;'1. Status'!$B$10,'ID1&amp;5'!K:K))</f>
        <v>0</v>
      </c>
      <c r="C78" s="67">
        <f t="array" ref="C78">+MAX(IF('ID1&amp;5'!A:A='1. Status'!A78&amp;'1. Status'!$C$10,'ID1&amp;5'!K:K))</f>
        <v>0</v>
      </c>
      <c r="D78" s="67">
        <f t="array" ref="D78">+MAX(IF('ID1&amp;5'!A:A='1. Status'!A78&amp;'1. Status'!$D$10,'ID1&amp;5'!K:K))</f>
        <v>0</v>
      </c>
      <c r="E78" s="67">
        <f t="array" ref="E78">+MAX(IF('ID1&amp;5'!A:A='1. Status'!A78&amp;'1. Status'!$E$10,'ID1&amp;5'!K:K))</f>
        <v>0</v>
      </c>
      <c r="F78" s="75">
        <f t="array" ref="F78">+MAX(IF('ID1&amp;5'!A:A='1. Status'!A78&amp;'1. Status'!$F$10,'ID1&amp;5'!K:K))</f>
        <v>0</v>
      </c>
      <c r="G78" s="67"/>
      <c r="H78" s="73" t="s">
        <v>145</v>
      </c>
      <c r="I78" s="28" t="s">
        <v>170</v>
      </c>
      <c r="J78" s="33">
        <f>+COUNTIF('ID1&amp;5'!G:G,'1. Status'!I78)</f>
        <v>0</v>
      </c>
      <c r="K78" s="92" t="str">
        <f>+IFERROR(VLOOKUP(CONCATENATE(A78,$B$10,B78),'ID1&amp;5'!B:J,8,FALSE),"-")</f>
        <v>-</v>
      </c>
      <c r="L78" s="91" t="str">
        <f>+IFERROR(VLOOKUP(B78,'ID1&amp;5'!K:L,2,FALSE),"-")</f>
        <v>-</v>
      </c>
      <c r="M78" s="92" t="str">
        <f>+IFERROR(VLOOKUP(CONCATENATE(A78,$B$10,B78),'ID1&amp;5'!B:J,9,FALSE),"-")</f>
        <v>-</v>
      </c>
      <c r="N78" s="92" t="str">
        <f>+IFERROR(VLOOKUP(CONCATENATE(A78,$C$10,C78),'ID1&amp;5'!B:J,8,FALSE),"-")</f>
        <v>-</v>
      </c>
      <c r="O78" s="91" t="str">
        <f>+IFERROR(VLOOKUP(C78,'ID1&amp;5'!K:L,2,FALSE),"-")</f>
        <v>-</v>
      </c>
      <c r="P78" s="92" t="str">
        <f>+IFERROR(VLOOKUP(CONCATENATE(A78,$C$10,C78),'ID1&amp;5'!B:J,9,FALSE),"-")</f>
        <v>-</v>
      </c>
      <c r="Q78" s="91" t="str">
        <f>+IFERROR(VLOOKUP(D78,'ID1&amp;5'!K:L,2,FALSE),"-")</f>
        <v>-</v>
      </c>
      <c r="R78" s="33" t="str">
        <f>+IFERROR(VLOOKUP(CONCATENATE(A78,$D$10,D78),'ID1&amp;5'!B:J,9,FALSE),"-")</f>
        <v>-</v>
      </c>
      <c r="S78" s="91" t="str">
        <f>+IFERROR(VLOOKUP(E78,'ID1&amp;5'!K:L,2,FALSE),"-")</f>
        <v>-</v>
      </c>
      <c r="T78" s="92" t="str">
        <f>+IFERROR(VLOOKUP(CONCATENATE(A78,$E$10,E78),'ID1&amp;5'!B:J,9,FALSE),"-")</f>
        <v>-</v>
      </c>
      <c r="U78" s="91" t="str">
        <f>+IFERROR(VLOOKUP(F78,'ID1&amp;5'!K:L,2,FALSE),"-")</f>
        <v>-</v>
      </c>
      <c r="V78" s="92" t="str">
        <f>+IFERROR(VLOOKUP(CONCATENATE(A78,$F$10,F78),'ID1&amp;5'!B:J,9,FALSE),"-")</f>
        <v>-</v>
      </c>
      <c r="W78" s="33" t="str">
        <f>+IFERROR(VLOOKUP(A78,'ID6&amp;7'!A:I,9,FALSE),"-")</f>
        <v>-</v>
      </c>
      <c r="X78" s="33" t="str">
        <f>+IFERROR(VLOOKUP(A78,'ID6&amp;7'!A:J,10,FALSE),"-")</f>
        <v>-</v>
      </c>
      <c r="Y78" s="33"/>
      <c r="Z78" s="34" t="str">
        <f t="shared" si="3"/>
        <v>Por iniciar</v>
      </c>
    </row>
    <row r="79" spans="1:26">
      <c r="A79" s="27" t="str">
        <f t="shared" si="2"/>
        <v>INSTRUMENTPRMRY_ASST_CLSSF45596</v>
      </c>
      <c r="B79" s="74">
        <f t="array" ref="B79">+MAX(IF('ID1&amp;5'!A:A='1. Status'!A79&amp;'1. Status'!$B$10,'ID1&amp;5'!K:K))</f>
        <v>0</v>
      </c>
      <c r="C79" s="67">
        <f t="array" ref="C79">+MAX(IF('ID1&amp;5'!A:A='1. Status'!A79&amp;'1. Status'!$C$10,'ID1&amp;5'!K:K))</f>
        <v>0</v>
      </c>
      <c r="D79" s="67">
        <f t="array" ref="D79">+MAX(IF('ID1&amp;5'!A:A='1. Status'!A79&amp;'1. Status'!$D$10,'ID1&amp;5'!K:K))</f>
        <v>0</v>
      </c>
      <c r="E79" s="67">
        <f t="array" ref="E79">+MAX(IF('ID1&amp;5'!A:A='1. Status'!A79&amp;'1. Status'!$E$10,'ID1&amp;5'!K:K))</f>
        <v>0</v>
      </c>
      <c r="F79" s="75">
        <f t="array" ref="F79">+MAX(IF('ID1&amp;5'!A:A='1. Status'!A79&amp;'1. Status'!$F$10,'ID1&amp;5'!K:K))</f>
        <v>0</v>
      </c>
      <c r="G79" s="67"/>
      <c r="H79" s="73" t="s">
        <v>145</v>
      </c>
      <c r="I79" s="28" t="s">
        <v>171</v>
      </c>
      <c r="J79" s="33">
        <f>+COUNTIF('ID1&amp;5'!G:G,'1. Status'!I79)</f>
        <v>0</v>
      </c>
      <c r="K79" s="92" t="str">
        <f>+IFERROR(VLOOKUP(CONCATENATE(A79,$B$10,B79),'ID1&amp;5'!B:J,8,FALSE),"-")</f>
        <v>-</v>
      </c>
      <c r="L79" s="91" t="str">
        <f>+IFERROR(VLOOKUP(B79,'ID1&amp;5'!K:L,2,FALSE),"-")</f>
        <v>-</v>
      </c>
      <c r="M79" s="92" t="str">
        <f>+IFERROR(VLOOKUP(CONCATENATE(A79,$B$10,B79),'ID1&amp;5'!B:J,9,FALSE),"-")</f>
        <v>-</v>
      </c>
      <c r="N79" s="92" t="str">
        <f>+IFERROR(VLOOKUP(CONCATENATE(A79,$C$10,C79),'ID1&amp;5'!B:J,8,FALSE),"-")</f>
        <v>-</v>
      </c>
      <c r="O79" s="91" t="str">
        <f>+IFERROR(VLOOKUP(C79,'ID1&amp;5'!K:L,2,FALSE),"-")</f>
        <v>-</v>
      </c>
      <c r="P79" s="92" t="str">
        <f>+IFERROR(VLOOKUP(CONCATENATE(A79,$C$10,C79),'ID1&amp;5'!B:J,9,FALSE),"-")</f>
        <v>-</v>
      </c>
      <c r="Q79" s="91" t="str">
        <f>+IFERROR(VLOOKUP(D79,'ID1&amp;5'!K:L,2,FALSE),"-")</f>
        <v>-</v>
      </c>
      <c r="R79" s="33" t="str">
        <f>+IFERROR(VLOOKUP(CONCATENATE(A79,$D$10,D79),'ID1&amp;5'!B:J,9,FALSE),"-")</f>
        <v>-</v>
      </c>
      <c r="S79" s="91" t="str">
        <f>+IFERROR(VLOOKUP(E79,'ID1&amp;5'!K:L,2,FALSE),"-")</f>
        <v>-</v>
      </c>
      <c r="T79" s="92" t="str">
        <f>+IFERROR(VLOOKUP(CONCATENATE(A79,$E$10,E79),'ID1&amp;5'!B:J,9,FALSE),"-")</f>
        <v>-</v>
      </c>
      <c r="U79" s="91" t="str">
        <f>+IFERROR(VLOOKUP(F79,'ID1&amp;5'!K:L,2,FALSE),"-")</f>
        <v>-</v>
      </c>
      <c r="V79" s="92" t="str">
        <f>+IFERROR(VLOOKUP(CONCATENATE(A79,$F$10,F79),'ID1&amp;5'!B:J,9,FALSE),"-")</f>
        <v>-</v>
      </c>
      <c r="W79" s="33" t="str">
        <f>+IFERROR(VLOOKUP(A79,'ID6&amp;7'!A:I,9,FALSE),"-")</f>
        <v>-</v>
      </c>
      <c r="X79" s="33" t="str">
        <f>+IFERROR(VLOOKUP(A79,'ID6&amp;7'!A:J,10,FALSE),"-")</f>
        <v>-</v>
      </c>
      <c r="Y79" s="33"/>
      <c r="Z79" s="34" t="str">
        <f t="shared" si="3"/>
        <v>Por iniciar</v>
      </c>
    </row>
    <row r="80" spans="1:26">
      <c r="A80" s="27" t="str">
        <f t="shared" si="2"/>
        <v>INSTRUMENTSUBPORTFOLIO_ID45596</v>
      </c>
      <c r="B80" s="74">
        <f t="array" ref="B80">+MAX(IF('ID1&amp;5'!A:A='1. Status'!A80&amp;'1. Status'!$B$10,'ID1&amp;5'!K:K))</f>
        <v>0</v>
      </c>
      <c r="C80" s="67">
        <f t="array" ref="C80">+MAX(IF('ID1&amp;5'!A:A='1. Status'!A80&amp;'1. Status'!$C$10,'ID1&amp;5'!K:K))</f>
        <v>0</v>
      </c>
      <c r="D80" s="67">
        <f t="array" ref="D80">+MAX(IF('ID1&amp;5'!A:A='1. Status'!A80&amp;'1. Status'!$D$10,'ID1&amp;5'!K:K))</f>
        <v>0</v>
      </c>
      <c r="E80" s="67">
        <f t="array" ref="E80">+MAX(IF('ID1&amp;5'!A:A='1. Status'!A80&amp;'1. Status'!$E$10,'ID1&amp;5'!K:K))</f>
        <v>0</v>
      </c>
      <c r="F80" s="75">
        <f t="array" ref="F80">+MAX(IF('ID1&amp;5'!A:A='1. Status'!A80&amp;'1. Status'!$F$10,'ID1&amp;5'!K:K))</f>
        <v>0</v>
      </c>
      <c r="G80" s="67"/>
      <c r="H80" s="73" t="s">
        <v>145</v>
      </c>
      <c r="I80" s="28" t="s">
        <v>172</v>
      </c>
      <c r="J80" s="33">
        <f>+COUNTIF('ID1&amp;5'!G:G,'1. Status'!I80)</f>
        <v>0</v>
      </c>
      <c r="K80" s="92" t="str">
        <f>+IFERROR(VLOOKUP(CONCATENATE(A80,$B$10,B80),'ID1&amp;5'!B:J,8,FALSE),"-")</f>
        <v>-</v>
      </c>
      <c r="L80" s="91" t="str">
        <f>+IFERROR(VLOOKUP(B80,'ID1&amp;5'!K:L,2,FALSE),"-")</f>
        <v>-</v>
      </c>
      <c r="M80" s="92" t="str">
        <f>+IFERROR(VLOOKUP(CONCATENATE(A80,$B$10,B80),'ID1&amp;5'!B:J,9,FALSE),"-")</f>
        <v>-</v>
      </c>
      <c r="N80" s="92" t="str">
        <f>+IFERROR(VLOOKUP(CONCATENATE(A80,$C$10,C80),'ID1&amp;5'!B:J,8,FALSE),"-")</f>
        <v>-</v>
      </c>
      <c r="O80" s="91" t="str">
        <f>+IFERROR(VLOOKUP(C80,'ID1&amp;5'!K:L,2,FALSE),"-")</f>
        <v>-</v>
      </c>
      <c r="P80" s="92" t="str">
        <f>+IFERROR(VLOOKUP(CONCATENATE(A80,$C$10,C80),'ID1&amp;5'!B:J,9,FALSE),"-")</f>
        <v>-</v>
      </c>
      <c r="Q80" s="91" t="str">
        <f>+IFERROR(VLOOKUP(D80,'ID1&amp;5'!K:L,2,FALSE),"-")</f>
        <v>-</v>
      </c>
      <c r="R80" s="33" t="str">
        <f>+IFERROR(VLOOKUP(CONCATENATE(A80,$D$10,D80),'ID1&amp;5'!B:J,9,FALSE),"-")</f>
        <v>-</v>
      </c>
      <c r="S80" s="91" t="str">
        <f>+IFERROR(VLOOKUP(E80,'ID1&amp;5'!K:L,2,FALSE),"-")</f>
        <v>-</v>
      </c>
      <c r="T80" s="92" t="str">
        <f>+IFERROR(VLOOKUP(CONCATENATE(A80,$E$10,E80),'ID1&amp;5'!B:J,9,FALSE),"-")</f>
        <v>-</v>
      </c>
      <c r="U80" s="91" t="str">
        <f>+IFERROR(VLOOKUP(F80,'ID1&amp;5'!K:L,2,FALSE),"-")</f>
        <v>-</v>
      </c>
      <c r="V80" s="92" t="str">
        <f>+IFERROR(VLOOKUP(CONCATENATE(A80,$F$10,F80),'ID1&amp;5'!B:J,9,FALSE),"-")</f>
        <v>-</v>
      </c>
      <c r="W80" s="33" t="str">
        <f>+IFERROR(VLOOKUP(A80,'ID6&amp;7'!A:I,9,FALSE),"-")</f>
        <v>-</v>
      </c>
      <c r="X80" s="33" t="str">
        <f>+IFERROR(VLOOKUP(A80,'ID6&amp;7'!A:J,10,FALSE),"-")</f>
        <v>-</v>
      </c>
      <c r="Y80" s="33"/>
      <c r="Z80" s="34" t="str">
        <f t="shared" si="3"/>
        <v>Por iniciar</v>
      </c>
    </row>
    <row r="81" spans="1:26">
      <c r="A81" s="27" t="str">
        <f t="shared" si="2"/>
        <v>INSTRUMENTCOD_SOC45596</v>
      </c>
      <c r="B81" s="74">
        <f t="array" ref="B81">+MAX(IF('ID1&amp;5'!A:A='1. Status'!A81&amp;'1. Status'!$B$10,'ID1&amp;5'!K:K))</f>
        <v>0</v>
      </c>
      <c r="C81" s="67">
        <f t="array" ref="C81">+MAX(IF('ID1&amp;5'!A:A='1. Status'!A81&amp;'1. Status'!$C$10,'ID1&amp;5'!K:K))</f>
        <v>0</v>
      </c>
      <c r="D81" s="67">
        <f t="array" ref="D81">+MAX(IF('ID1&amp;5'!A:A='1. Status'!A81&amp;'1. Status'!$D$10,'ID1&amp;5'!K:K))</f>
        <v>0</v>
      </c>
      <c r="E81" s="67">
        <f t="array" ref="E81">+MAX(IF('ID1&amp;5'!A:A='1. Status'!A81&amp;'1. Status'!$E$10,'ID1&amp;5'!K:K))</f>
        <v>0</v>
      </c>
      <c r="F81" s="75">
        <f t="array" ref="F81">+MAX(IF('ID1&amp;5'!A:A='1. Status'!A81&amp;'1. Status'!$F$10,'ID1&amp;5'!K:K))</f>
        <v>0</v>
      </c>
      <c r="G81" s="67"/>
      <c r="H81" s="73" t="s">
        <v>145</v>
      </c>
      <c r="I81" s="28" t="s">
        <v>173</v>
      </c>
      <c r="J81" s="33">
        <f>+COUNTIF('ID1&amp;5'!G:G,'1. Status'!I81)</f>
        <v>0</v>
      </c>
      <c r="K81" s="92" t="str">
        <f>+IFERROR(VLOOKUP(CONCATENATE(A81,$B$10,B81),'ID1&amp;5'!B:J,8,FALSE),"-")</f>
        <v>-</v>
      </c>
      <c r="L81" s="91" t="str">
        <f>+IFERROR(VLOOKUP(B81,'ID1&amp;5'!K:L,2,FALSE),"-")</f>
        <v>-</v>
      </c>
      <c r="M81" s="92" t="str">
        <f>+IFERROR(VLOOKUP(CONCATENATE(A81,$B$10,B81),'ID1&amp;5'!B:J,9,FALSE),"-")</f>
        <v>-</v>
      </c>
      <c r="N81" s="92" t="str">
        <f>+IFERROR(VLOOKUP(CONCATENATE(A81,$C$10,C81),'ID1&amp;5'!B:J,8,FALSE),"-")</f>
        <v>-</v>
      </c>
      <c r="O81" s="91" t="str">
        <f>+IFERROR(VLOOKUP(C81,'ID1&amp;5'!K:L,2,FALSE),"-")</f>
        <v>-</v>
      </c>
      <c r="P81" s="92" t="str">
        <f>+IFERROR(VLOOKUP(CONCATENATE(A81,$C$10,C81),'ID1&amp;5'!B:J,9,FALSE),"-")</f>
        <v>-</v>
      </c>
      <c r="Q81" s="91" t="str">
        <f>+IFERROR(VLOOKUP(D81,'ID1&amp;5'!K:L,2,FALSE),"-")</f>
        <v>-</v>
      </c>
      <c r="R81" s="33" t="str">
        <f>+IFERROR(VLOOKUP(CONCATENATE(A81,$D$10,D81),'ID1&amp;5'!B:J,9,FALSE),"-")</f>
        <v>-</v>
      </c>
      <c r="S81" s="91" t="str">
        <f>+IFERROR(VLOOKUP(E81,'ID1&amp;5'!K:L,2,FALSE),"-")</f>
        <v>-</v>
      </c>
      <c r="T81" s="92" t="str">
        <f>+IFERROR(VLOOKUP(CONCATENATE(A81,$E$10,E81),'ID1&amp;5'!B:J,9,FALSE),"-")</f>
        <v>-</v>
      </c>
      <c r="U81" s="91" t="str">
        <f>+IFERROR(VLOOKUP(F81,'ID1&amp;5'!K:L,2,FALSE),"-")</f>
        <v>-</v>
      </c>
      <c r="V81" s="92" t="str">
        <f>+IFERROR(VLOOKUP(CONCATENATE(A81,$F$10,F81),'ID1&amp;5'!B:J,9,FALSE),"-")</f>
        <v>-</v>
      </c>
      <c r="W81" s="33" t="str">
        <f>+IFERROR(VLOOKUP(A81,'ID6&amp;7'!A:I,9,FALSE),"-")</f>
        <v>-</v>
      </c>
      <c r="X81" s="33" t="str">
        <f>+IFERROR(VLOOKUP(A81,'ID6&amp;7'!A:J,10,FALSE),"-")</f>
        <v>-</v>
      </c>
      <c r="Y81" s="33"/>
      <c r="Z81" s="34" t="str">
        <f t="shared" si="3"/>
        <v>Por iniciar</v>
      </c>
    </row>
    <row r="82" spans="1:26">
      <c r="A82" s="27" t="str">
        <f t="shared" si="2"/>
        <v>INSTRUMENTLCL_INSTMRNT_ID45596</v>
      </c>
      <c r="B82" s="74">
        <f t="array" ref="B82">+MAX(IF('ID1&amp;5'!A:A='1. Status'!A82&amp;'1. Status'!$B$10,'ID1&amp;5'!K:K))</f>
        <v>0</v>
      </c>
      <c r="C82" s="67">
        <f t="array" ref="C82">+MAX(IF('ID1&amp;5'!A:A='1. Status'!A82&amp;'1. Status'!$C$10,'ID1&amp;5'!K:K))</f>
        <v>0</v>
      </c>
      <c r="D82" s="67">
        <f t="array" ref="D82">+MAX(IF('ID1&amp;5'!A:A='1. Status'!A82&amp;'1. Status'!$D$10,'ID1&amp;5'!K:K))</f>
        <v>0</v>
      </c>
      <c r="E82" s="67">
        <f t="array" ref="E82">+MAX(IF('ID1&amp;5'!A:A='1. Status'!A82&amp;'1. Status'!$E$10,'ID1&amp;5'!K:K))</f>
        <v>0</v>
      </c>
      <c r="F82" s="75">
        <f t="array" ref="F82">+MAX(IF('ID1&amp;5'!A:A='1. Status'!A82&amp;'1. Status'!$F$10,'ID1&amp;5'!K:K))</f>
        <v>0</v>
      </c>
      <c r="G82" s="67"/>
      <c r="H82" s="73" t="s">
        <v>145</v>
      </c>
      <c r="I82" s="28" t="s">
        <v>174</v>
      </c>
      <c r="J82" s="33">
        <f>+COUNTIF('ID1&amp;5'!G:G,'1. Status'!I82)</f>
        <v>0</v>
      </c>
      <c r="K82" s="92" t="str">
        <f>+IFERROR(VLOOKUP(CONCATENATE(A82,$B$10,B82),'ID1&amp;5'!B:J,8,FALSE),"-")</f>
        <v>-</v>
      </c>
      <c r="L82" s="91" t="str">
        <f>+IFERROR(VLOOKUP(B82,'ID1&amp;5'!K:L,2,FALSE),"-")</f>
        <v>-</v>
      </c>
      <c r="M82" s="92" t="str">
        <f>+IFERROR(VLOOKUP(CONCATENATE(A82,$B$10,B82),'ID1&amp;5'!B:J,9,FALSE),"-")</f>
        <v>-</v>
      </c>
      <c r="N82" s="92" t="str">
        <f>+IFERROR(VLOOKUP(CONCATENATE(A82,$C$10,C82),'ID1&amp;5'!B:J,8,FALSE),"-")</f>
        <v>-</v>
      </c>
      <c r="O82" s="91" t="str">
        <f>+IFERROR(VLOOKUP(C82,'ID1&amp;5'!K:L,2,FALSE),"-")</f>
        <v>-</v>
      </c>
      <c r="P82" s="92" t="str">
        <f>+IFERROR(VLOOKUP(CONCATENATE(A82,$C$10,C82),'ID1&amp;5'!B:J,9,FALSE),"-")</f>
        <v>-</v>
      </c>
      <c r="Q82" s="91" t="str">
        <f>+IFERROR(VLOOKUP(D82,'ID1&amp;5'!K:L,2,FALSE),"-")</f>
        <v>-</v>
      </c>
      <c r="R82" s="33" t="str">
        <f>+IFERROR(VLOOKUP(CONCATENATE(A82,$D$10,D82),'ID1&amp;5'!B:J,9,FALSE),"-")</f>
        <v>-</v>
      </c>
      <c r="S82" s="91" t="str">
        <f>+IFERROR(VLOOKUP(E82,'ID1&amp;5'!K:L,2,FALSE),"-")</f>
        <v>-</v>
      </c>
      <c r="T82" s="92" t="str">
        <f>+IFERROR(VLOOKUP(CONCATENATE(A82,$E$10,E82),'ID1&amp;5'!B:J,9,FALSE),"-")</f>
        <v>-</v>
      </c>
      <c r="U82" s="91" t="str">
        <f>+IFERROR(VLOOKUP(F82,'ID1&amp;5'!K:L,2,FALSE),"-")</f>
        <v>-</v>
      </c>
      <c r="V82" s="92" t="str">
        <f>+IFERROR(VLOOKUP(CONCATENATE(A82,$F$10,F82),'ID1&amp;5'!B:J,9,FALSE),"-")</f>
        <v>-</v>
      </c>
      <c r="W82" s="33" t="str">
        <f>+IFERROR(VLOOKUP(A82,'ID6&amp;7'!A:I,9,FALSE),"-")</f>
        <v>-</v>
      </c>
      <c r="X82" s="33" t="str">
        <f>+IFERROR(VLOOKUP(A82,'ID6&amp;7'!A:J,10,FALSE),"-")</f>
        <v>-</v>
      </c>
      <c r="Y82" s="33"/>
      <c r="Z82" s="34" t="str">
        <f t="shared" si="3"/>
        <v>Por iniciar</v>
      </c>
    </row>
    <row r="83" spans="1:26">
      <c r="A83" s="27" t="str">
        <f t="shared" si="2"/>
        <v>INSTRUMENTSSTNBL_INDCTR45596</v>
      </c>
      <c r="B83" s="74">
        <f t="array" ref="B83">+MAX(IF('ID1&amp;5'!A:A='1. Status'!A83&amp;'1. Status'!$B$10,'ID1&amp;5'!K:K))</f>
        <v>0</v>
      </c>
      <c r="C83" s="67">
        <f t="array" ref="C83">+MAX(IF('ID1&amp;5'!A:A='1. Status'!A83&amp;'1. Status'!$C$10,'ID1&amp;5'!K:K))</f>
        <v>0</v>
      </c>
      <c r="D83" s="67">
        <f t="array" ref="D83">+MAX(IF('ID1&amp;5'!A:A='1. Status'!A83&amp;'1. Status'!$D$10,'ID1&amp;5'!K:K))</f>
        <v>0</v>
      </c>
      <c r="E83" s="67">
        <f t="array" ref="E83">+MAX(IF('ID1&amp;5'!A:A='1. Status'!A83&amp;'1. Status'!$E$10,'ID1&amp;5'!K:K))</f>
        <v>0</v>
      </c>
      <c r="F83" s="75">
        <f t="array" ref="F83">+MAX(IF('ID1&amp;5'!A:A='1. Status'!A83&amp;'1. Status'!$F$10,'ID1&amp;5'!K:K))</f>
        <v>0</v>
      </c>
      <c r="G83" s="67"/>
      <c r="H83" s="73" t="s">
        <v>145</v>
      </c>
      <c r="I83" s="28" t="s">
        <v>175</v>
      </c>
      <c r="J83" s="33">
        <f>+COUNTIF('ID1&amp;5'!G:G,'1. Status'!I83)</f>
        <v>0</v>
      </c>
      <c r="K83" s="92" t="str">
        <f>+IFERROR(VLOOKUP(CONCATENATE(A83,$B$10,B83),'ID1&amp;5'!B:J,8,FALSE),"-")</f>
        <v>-</v>
      </c>
      <c r="L83" s="91" t="str">
        <f>+IFERROR(VLOOKUP(B83,'ID1&amp;5'!K:L,2,FALSE),"-")</f>
        <v>-</v>
      </c>
      <c r="M83" s="92" t="str">
        <f>+IFERROR(VLOOKUP(CONCATENATE(A83,$B$10,B83),'ID1&amp;5'!B:J,9,FALSE),"-")</f>
        <v>-</v>
      </c>
      <c r="N83" s="92" t="str">
        <f>+IFERROR(VLOOKUP(CONCATENATE(A83,$C$10,C83),'ID1&amp;5'!B:J,8,FALSE),"-")</f>
        <v>-</v>
      </c>
      <c r="O83" s="91" t="str">
        <f>+IFERROR(VLOOKUP(C83,'ID1&amp;5'!K:L,2,FALSE),"-")</f>
        <v>-</v>
      </c>
      <c r="P83" s="92" t="str">
        <f>+IFERROR(VLOOKUP(CONCATENATE(A83,$C$10,C83),'ID1&amp;5'!B:J,9,FALSE),"-")</f>
        <v>-</v>
      </c>
      <c r="Q83" s="91" t="str">
        <f>+IFERROR(VLOOKUP(D83,'ID1&amp;5'!K:L,2,FALSE),"-")</f>
        <v>-</v>
      </c>
      <c r="R83" s="33" t="str">
        <f>+IFERROR(VLOOKUP(CONCATENATE(A83,$D$10,D83),'ID1&amp;5'!B:J,9,FALSE),"-")</f>
        <v>-</v>
      </c>
      <c r="S83" s="91" t="str">
        <f>+IFERROR(VLOOKUP(E83,'ID1&amp;5'!K:L,2,FALSE),"-")</f>
        <v>-</v>
      </c>
      <c r="T83" s="92" t="str">
        <f>+IFERROR(VLOOKUP(CONCATENATE(A83,$E$10,E83),'ID1&amp;5'!B:J,9,FALSE),"-")</f>
        <v>-</v>
      </c>
      <c r="U83" s="91" t="str">
        <f>+IFERROR(VLOOKUP(F83,'ID1&amp;5'!K:L,2,FALSE),"-")</f>
        <v>-</v>
      </c>
      <c r="V83" s="92" t="str">
        <f>+IFERROR(VLOOKUP(CONCATENATE(A83,$F$10,F83),'ID1&amp;5'!B:J,9,FALSE),"-")</f>
        <v>-</v>
      </c>
      <c r="W83" s="33" t="str">
        <f>+IFERROR(VLOOKUP(A83,'ID6&amp;7'!A:I,9,FALSE),"-")</f>
        <v>-</v>
      </c>
      <c r="X83" s="33" t="str">
        <f>+IFERROR(VLOOKUP(A83,'ID6&amp;7'!A:J,10,FALSE),"-")</f>
        <v>-</v>
      </c>
      <c r="Y83" s="33"/>
      <c r="Z83" s="34" t="str">
        <f t="shared" si="3"/>
        <v>Por iniciar</v>
      </c>
    </row>
    <row r="84" spans="1:26">
      <c r="A84" s="27" t="str">
        <f t="shared" si="2"/>
        <v>INSTRUMENTSSTNBL_CTGRY45596</v>
      </c>
      <c r="B84" s="74">
        <f t="array" ref="B84">+MAX(IF('ID1&amp;5'!A:A='1. Status'!A84&amp;'1. Status'!$B$10,'ID1&amp;5'!K:K))</f>
        <v>0</v>
      </c>
      <c r="C84" s="67">
        <f t="array" ref="C84">+MAX(IF('ID1&amp;5'!A:A='1. Status'!A84&amp;'1. Status'!$C$10,'ID1&amp;5'!K:K))</f>
        <v>0</v>
      </c>
      <c r="D84" s="67">
        <f t="array" ref="D84">+MAX(IF('ID1&amp;5'!A:A='1. Status'!A84&amp;'1. Status'!$D$10,'ID1&amp;5'!K:K))</f>
        <v>0</v>
      </c>
      <c r="E84" s="67">
        <f t="array" ref="E84">+MAX(IF('ID1&amp;5'!A:A='1. Status'!A84&amp;'1. Status'!$E$10,'ID1&amp;5'!K:K))</f>
        <v>0</v>
      </c>
      <c r="F84" s="75">
        <f t="array" ref="F84">+MAX(IF('ID1&amp;5'!A:A='1. Status'!A84&amp;'1. Status'!$F$10,'ID1&amp;5'!K:K))</f>
        <v>0</v>
      </c>
      <c r="G84" s="67"/>
      <c r="H84" s="73" t="s">
        <v>145</v>
      </c>
      <c r="I84" s="28" t="s">
        <v>176</v>
      </c>
      <c r="J84" s="33">
        <f>+COUNTIF('ID1&amp;5'!G:G,'1. Status'!I84)</f>
        <v>0</v>
      </c>
      <c r="K84" s="92" t="str">
        <f>+IFERROR(VLOOKUP(CONCATENATE(A84,$B$10,B84),'ID1&amp;5'!B:J,8,FALSE),"-")</f>
        <v>-</v>
      </c>
      <c r="L84" s="91" t="str">
        <f>+IFERROR(VLOOKUP(B84,'ID1&amp;5'!K:L,2,FALSE),"-")</f>
        <v>-</v>
      </c>
      <c r="M84" s="92" t="str">
        <f>+IFERROR(VLOOKUP(CONCATENATE(A84,$B$10,B84),'ID1&amp;5'!B:J,9,FALSE),"-")</f>
        <v>-</v>
      </c>
      <c r="N84" s="92" t="str">
        <f>+IFERROR(VLOOKUP(CONCATENATE(A84,$C$10,C84),'ID1&amp;5'!B:J,8,FALSE),"-")</f>
        <v>-</v>
      </c>
      <c r="O84" s="91" t="str">
        <f>+IFERROR(VLOOKUP(C84,'ID1&amp;5'!K:L,2,FALSE),"-")</f>
        <v>-</v>
      </c>
      <c r="P84" s="92" t="str">
        <f>+IFERROR(VLOOKUP(CONCATENATE(A84,$C$10,C84),'ID1&amp;5'!B:J,9,FALSE),"-")</f>
        <v>-</v>
      </c>
      <c r="Q84" s="91" t="str">
        <f>+IFERROR(VLOOKUP(D84,'ID1&amp;5'!K:L,2,FALSE),"-")</f>
        <v>-</v>
      </c>
      <c r="R84" s="33" t="str">
        <f>+IFERROR(VLOOKUP(CONCATENATE(A84,$D$10,D84),'ID1&amp;5'!B:J,9,FALSE),"-")</f>
        <v>-</v>
      </c>
      <c r="S84" s="91" t="str">
        <f>+IFERROR(VLOOKUP(E84,'ID1&amp;5'!K:L,2,FALSE),"-")</f>
        <v>-</v>
      </c>
      <c r="T84" s="92" t="str">
        <f>+IFERROR(VLOOKUP(CONCATENATE(A84,$E$10,E84),'ID1&amp;5'!B:J,9,FALSE),"-")</f>
        <v>-</v>
      </c>
      <c r="U84" s="91" t="str">
        <f>+IFERROR(VLOOKUP(F84,'ID1&amp;5'!K:L,2,FALSE),"-")</f>
        <v>-</v>
      </c>
      <c r="V84" s="92" t="str">
        <f>+IFERROR(VLOOKUP(CONCATENATE(A84,$F$10,F84),'ID1&amp;5'!B:J,9,FALSE),"-")</f>
        <v>-</v>
      </c>
      <c r="W84" s="33" t="str">
        <f>+IFERROR(VLOOKUP(A84,'ID6&amp;7'!A:I,9,FALSE),"-")</f>
        <v>-</v>
      </c>
      <c r="X84" s="33" t="str">
        <f>+IFERROR(VLOOKUP(A84,'ID6&amp;7'!A:J,10,FALSE),"-")</f>
        <v>-</v>
      </c>
      <c r="Y84" s="33"/>
      <c r="Z84" s="34" t="str">
        <f t="shared" si="3"/>
        <v>Por iniciar</v>
      </c>
    </row>
    <row r="85" spans="1:26">
      <c r="A85" s="27" t="str">
        <f t="shared" si="2"/>
        <v>INSTRUMENTGRSS_INTRST_INCM45596</v>
      </c>
      <c r="B85" s="74">
        <f t="array" ref="B85">+MAX(IF('ID1&amp;5'!A:A='1. Status'!A85&amp;'1. Status'!$B$10,'ID1&amp;5'!K:K))</f>
        <v>0</v>
      </c>
      <c r="C85" s="67">
        <f t="array" ref="C85">+MAX(IF('ID1&amp;5'!A:A='1. Status'!A85&amp;'1. Status'!$C$10,'ID1&amp;5'!K:K))</f>
        <v>0</v>
      </c>
      <c r="D85" s="67">
        <f t="array" ref="D85">+MAX(IF('ID1&amp;5'!A:A='1. Status'!A85&amp;'1. Status'!$D$10,'ID1&amp;5'!K:K))</f>
        <v>0</v>
      </c>
      <c r="E85" s="67">
        <f t="array" ref="E85">+MAX(IF('ID1&amp;5'!A:A='1. Status'!A85&amp;'1. Status'!$E$10,'ID1&amp;5'!K:K))</f>
        <v>0</v>
      </c>
      <c r="F85" s="75">
        <f t="array" ref="F85">+MAX(IF('ID1&amp;5'!A:A='1. Status'!A85&amp;'1. Status'!$F$10,'ID1&amp;5'!K:K))</f>
        <v>0</v>
      </c>
      <c r="G85" s="67"/>
      <c r="H85" s="73" t="s">
        <v>145</v>
      </c>
      <c r="I85" s="28" t="s">
        <v>177</v>
      </c>
      <c r="J85" s="33">
        <f>+COUNTIF('ID1&amp;5'!G:G,'1. Status'!I85)</f>
        <v>0</v>
      </c>
      <c r="K85" s="92" t="str">
        <f>+IFERROR(VLOOKUP(CONCATENATE(A85,$B$10,B85),'ID1&amp;5'!B:J,8,FALSE),"-")</f>
        <v>-</v>
      </c>
      <c r="L85" s="91" t="str">
        <f>+IFERROR(VLOOKUP(B85,'ID1&amp;5'!K:L,2,FALSE),"-")</f>
        <v>-</v>
      </c>
      <c r="M85" s="92" t="str">
        <f>+IFERROR(VLOOKUP(CONCATENATE(A85,$B$10,B85),'ID1&amp;5'!B:J,9,FALSE),"-")</f>
        <v>-</v>
      </c>
      <c r="N85" s="92" t="str">
        <f>+IFERROR(VLOOKUP(CONCATENATE(A85,$C$10,C85),'ID1&amp;5'!B:J,8,FALSE),"-")</f>
        <v>-</v>
      </c>
      <c r="O85" s="91" t="str">
        <f>+IFERROR(VLOOKUP(C85,'ID1&amp;5'!K:L,2,FALSE),"-")</f>
        <v>-</v>
      </c>
      <c r="P85" s="92" t="str">
        <f>+IFERROR(VLOOKUP(CONCATENATE(A85,$C$10,C85),'ID1&amp;5'!B:J,9,FALSE),"-")</f>
        <v>-</v>
      </c>
      <c r="Q85" s="91" t="str">
        <f>+IFERROR(VLOOKUP(D85,'ID1&amp;5'!K:L,2,FALSE),"-")</f>
        <v>-</v>
      </c>
      <c r="R85" s="33" t="str">
        <f>+IFERROR(VLOOKUP(CONCATENATE(A85,$D$10,D85),'ID1&amp;5'!B:J,9,FALSE),"-")</f>
        <v>-</v>
      </c>
      <c r="S85" s="91" t="str">
        <f>+IFERROR(VLOOKUP(E85,'ID1&amp;5'!K:L,2,FALSE),"-")</f>
        <v>-</v>
      </c>
      <c r="T85" s="92" t="str">
        <f>+IFERROR(VLOOKUP(CONCATENATE(A85,$E$10,E85),'ID1&amp;5'!B:J,9,FALSE),"-")</f>
        <v>-</v>
      </c>
      <c r="U85" s="91" t="str">
        <f>+IFERROR(VLOOKUP(F85,'ID1&amp;5'!K:L,2,FALSE),"-")</f>
        <v>-</v>
      </c>
      <c r="V85" s="92" t="str">
        <f>+IFERROR(VLOOKUP(CONCATENATE(A85,$F$10,F85),'ID1&amp;5'!B:J,9,FALSE),"-")</f>
        <v>-</v>
      </c>
      <c r="W85" s="33" t="str">
        <f>+IFERROR(VLOOKUP(A85,'ID6&amp;7'!A:I,9,FALSE),"-")</f>
        <v>-</v>
      </c>
      <c r="X85" s="33" t="str">
        <f>+IFERROR(VLOOKUP(A85,'ID6&amp;7'!A:J,10,FALSE),"-")</f>
        <v>-</v>
      </c>
      <c r="Y85" s="33"/>
      <c r="Z85" s="34" t="str">
        <f t="shared" si="3"/>
        <v>Por iniciar</v>
      </c>
    </row>
    <row r="86" spans="1:26">
      <c r="A86" s="27" t="str">
        <f t="shared" si="2"/>
        <v>INSTRUMENTGRSS_CMMSSN_INCM45596</v>
      </c>
      <c r="B86" s="74">
        <f t="array" ref="B86">+MAX(IF('ID1&amp;5'!A:A='1. Status'!A86&amp;'1. Status'!$B$10,'ID1&amp;5'!K:K))</f>
        <v>0</v>
      </c>
      <c r="C86" s="67">
        <f t="array" ref="C86">+MAX(IF('ID1&amp;5'!A:A='1. Status'!A86&amp;'1. Status'!$C$10,'ID1&amp;5'!K:K))</f>
        <v>0</v>
      </c>
      <c r="D86" s="67">
        <f t="array" ref="D86">+MAX(IF('ID1&amp;5'!A:A='1. Status'!A86&amp;'1. Status'!$D$10,'ID1&amp;5'!K:K))</f>
        <v>0</v>
      </c>
      <c r="E86" s="67">
        <f t="array" ref="E86">+MAX(IF('ID1&amp;5'!A:A='1. Status'!A86&amp;'1. Status'!$E$10,'ID1&amp;5'!K:K))</f>
        <v>0</v>
      </c>
      <c r="F86" s="75">
        <f t="array" ref="F86">+MAX(IF('ID1&amp;5'!A:A='1. Status'!A86&amp;'1. Status'!$F$10,'ID1&amp;5'!K:K))</f>
        <v>0</v>
      </c>
      <c r="G86" s="67"/>
      <c r="H86" s="73" t="s">
        <v>145</v>
      </c>
      <c r="I86" s="28" t="s">
        <v>178</v>
      </c>
      <c r="J86" s="33">
        <f>+COUNTIF('ID1&amp;5'!G:G,'1. Status'!I86)</f>
        <v>0</v>
      </c>
      <c r="K86" s="92" t="str">
        <f>+IFERROR(VLOOKUP(CONCATENATE(A86,$B$10,B86),'ID1&amp;5'!B:J,8,FALSE),"-")</f>
        <v>-</v>
      </c>
      <c r="L86" s="91" t="str">
        <f>+IFERROR(VLOOKUP(B86,'ID1&amp;5'!K:L,2,FALSE),"-")</f>
        <v>-</v>
      </c>
      <c r="M86" s="92" t="str">
        <f>+IFERROR(VLOOKUP(CONCATENATE(A86,$B$10,B86),'ID1&amp;5'!B:J,9,FALSE),"-")</f>
        <v>-</v>
      </c>
      <c r="N86" s="92" t="str">
        <f>+IFERROR(VLOOKUP(CONCATENATE(A86,$C$10,C86),'ID1&amp;5'!B:J,8,FALSE),"-")</f>
        <v>-</v>
      </c>
      <c r="O86" s="91" t="str">
        <f>+IFERROR(VLOOKUP(C86,'ID1&amp;5'!K:L,2,FALSE),"-")</f>
        <v>-</v>
      </c>
      <c r="P86" s="92" t="str">
        <f>+IFERROR(VLOOKUP(CONCATENATE(A86,$C$10,C86),'ID1&amp;5'!B:J,9,FALSE),"-")</f>
        <v>-</v>
      </c>
      <c r="Q86" s="91" t="str">
        <f>+IFERROR(VLOOKUP(D86,'ID1&amp;5'!K:L,2,FALSE),"-")</f>
        <v>-</v>
      </c>
      <c r="R86" s="33" t="str">
        <f>+IFERROR(VLOOKUP(CONCATENATE(A86,$D$10,D86),'ID1&amp;5'!B:J,9,FALSE),"-")</f>
        <v>-</v>
      </c>
      <c r="S86" s="91" t="str">
        <f>+IFERROR(VLOOKUP(E86,'ID1&amp;5'!K:L,2,FALSE),"-")</f>
        <v>-</v>
      </c>
      <c r="T86" s="92" t="str">
        <f>+IFERROR(VLOOKUP(CONCATENATE(A86,$E$10,E86),'ID1&amp;5'!B:J,9,FALSE),"-")</f>
        <v>-</v>
      </c>
      <c r="U86" s="91" t="str">
        <f>+IFERROR(VLOOKUP(F86,'ID1&amp;5'!K:L,2,FALSE),"-")</f>
        <v>-</v>
      </c>
      <c r="V86" s="92" t="str">
        <f>+IFERROR(VLOOKUP(CONCATENATE(A86,$F$10,F86),'ID1&amp;5'!B:J,9,FALSE),"-")</f>
        <v>-</v>
      </c>
      <c r="W86" s="33" t="str">
        <f>+IFERROR(VLOOKUP(A86,'ID6&amp;7'!A:I,9,FALSE),"-")</f>
        <v>-</v>
      </c>
      <c r="X86" s="33" t="str">
        <f>+IFERROR(VLOOKUP(A86,'ID6&amp;7'!A:J,10,FALSE),"-")</f>
        <v>-</v>
      </c>
      <c r="Y86" s="33"/>
      <c r="Z86" s="34" t="str">
        <f t="shared" si="3"/>
        <v>Por iniciar</v>
      </c>
    </row>
    <row r="87" spans="1:26">
      <c r="A87" s="27" t="str">
        <f t="shared" si="2"/>
        <v>INSTRUMENTGRSS_CMMSSN_INCM_OFF_BLNC45596</v>
      </c>
      <c r="B87" s="74">
        <f t="array" ref="B87">+MAX(IF('ID1&amp;5'!A:A='1. Status'!A87&amp;'1. Status'!$B$10,'ID1&amp;5'!K:K))</f>
        <v>0</v>
      </c>
      <c r="C87" s="67">
        <f t="array" ref="C87">+MAX(IF('ID1&amp;5'!A:A='1. Status'!A87&amp;'1. Status'!$C$10,'ID1&amp;5'!K:K))</f>
        <v>0</v>
      </c>
      <c r="D87" s="67">
        <f t="array" ref="D87">+MAX(IF('ID1&amp;5'!A:A='1. Status'!A87&amp;'1. Status'!$D$10,'ID1&amp;5'!K:K))</f>
        <v>0</v>
      </c>
      <c r="E87" s="67">
        <f t="array" ref="E87">+MAX(IF('ID1&amp;5'!A:A='1. Status'!A87&amp;'1. Status'!$E$10,'ID1&amp;5'!K:K))</f>
        <v>0</v>
      </c>
      <c r="F87" s="75">
        <f t="array" ref="F87">+MAX(IF('ID1&amp;5'!A:A='1. Status'!A87&amp;'1. Status'!$F$10,'ID1&amp;5'!K:K))</f>
        <v>0</v>
      </c>
      <c r="G87" s="67"/>
      <c r="H87" s="73" t="s">
        <v>145</v>
      </c>
      <c r="I87" s="28" t="s">
        <v>179</v>
      </c>
      <c r="J87" s="33">
        <f>+COUNTIF('ID1&amp;5'!G:G,'1. Status'!I87)</f>
        <v>0</v>
      </c>
      <c r="K87" s="92" t="str">
        <f>+IFERROR(VLOOKUP(CONCATENATE(A87,$B$10,B87),'ID1&amp;5'!B:J,8,FALSE),"-")</f>
        <v>-</v>
      </c>
      <c r="L87" s="91" t="str">
        <f>+IFERROR(VLOOKUP(B87,'ID1&amp;5'!K:L,2,FALSE),"-")</f>
        <v>-</v>
      </c>
      <c r="M87" s="92" t="str">
        <f>+IFERROR(VLOOKUP(CONCATENATE(A87,$B$10,B87),'ID1&amp;5'!B:J,9,FALSE),"-")</f>
        <v>-</v>
      </c>
      <c r="N87" s="92" t="str">
        <f>+IFERROR(VLOOKUP(CONCATENATE(A87,$C$10,C87),'ID1&amp;5'!B:J,8,FALSE),"-")</f>
        <v>-</v>
      </c>
      <c r="O87" s="91" t="str">
        <f>+IFERROR(VLOOKUP(C87,'ID1&amp;5'!K:L,2,FALSE),"-")</f>
        <v>-</v>
      </c>
      <c r="P87" s="92" t="str">
        <f>+IFERROR(VLOOKUP(CONCATENATE(A87,$C$10,C87),'ID1&amp;5'!B:J,9,FALSE),"-")</f>
        <v>-</v>
      </c>
      <c r="Q87" s="91" t="str">
        <f>+IFERROR(VLOOKUP(D87,'ID1&amp;5'!K:L,2,FALSE),"-")</f>
        <v>-</v>
      </c>
      <c r="R87" s="33" t="str">
        <f>+IFERROR(VLOOKUP(CONCATENATE(A87,$D$10,D87),'ID1&amp;5'!B:J,9,FALSE),"-")</f>
        <v>-</v>
      </c>
      <c r="S87" s="91" t="str">
        <f>+IFERROR(VLOOKUP(E87,'ID1&amp;5'!K:L,2,FALSE),"-")</f>
        <v>-</v>
      </c>
      <c r="T87" s="92" t="str">
        <f>+IFERROR(VLOOKUP(CONCATENATE(A87,$E$10,E87),'ID1&amp;5'!B:J,9,FALSE),"-")</f>
        <v>-</v>
      </c>
      <c r="U87" s="91" t="str">
        <f>+IFERROR(VLOOKUP(F87,'ID1&amp;5'!K:L,2,FALSE),"-")</f>
        <v>-</v>
      </c>
      <c r="V87" s="92" t="str">
        <f>+IFERROR(VLOOKUP(CONCATENATE(A87,$F$10,F87),'ID1&amp;5'!B:J,9,FALSE),"-")</f>
        <v>-</v>
      </c>
      <c r="W87" s="33" t="str">
        <f>+IFERROR(VLOOKUP(A87,'ID6&amp;7'!A:I,9,FALSE),"-")</f>
        <v>-</v>
      </c>
      <c r="X87" s="33" t="str">
        <f>+IFERROR(VLOOKUP(A87,'ID6&amp;7'!A:J,10,FALSE),"-")</f>
        <v>-</v>
      </c>
      <c r="Y87" s="33"/>
      <c r="Z87" s="34" t="str">
        <f t="shared" si="3"/>
        <v>Por iniciar</v>
      </c>
    </row>
    <row r="88" spans="1:26">
      <c r="A88" s="27" t="str">
        <f t="shared" si="2"/>
        <v>INSTRUMENTIDCMB45596</v>
      </c>
      <c r="B88" s="74">
        <f t="array" ref="B88">+MAX(IF('ID1&amp;5'!A:A='1. Status'!A88&amp;'1. Status'!$B$10,'ID1&amp;5'!K:K))</f>
        <v>0</v>
      </c>
      <c r="C88" s="67">
        <f t="array" ref="C88">+MAX(IF('ID1&amp;5'!A:A='1. Status'!A88&amp;'1. Status'!$C$10,'ID1&amp;5'!K:K))</f>
        <v>0</v>
      </c>
      <c r="D88" s="67">
        <f t="array" ref="D88">+MAX(IF('ID1&amp;5'!A:A='1. Status'!A88&amp;'1. Status'!$D$10,'ID1&amp;5'!K:K))</f>
        <v>0</v>
      </c>
      <c r="E88" s="67">
        <f t="array" ref="E88">+MAX(IF('ID1&amp;5'!A:A='1. Status'!A88&amp;'1. Status'!$E$10,'ID1&amp;5'!K:K))</f>
        <v>0</v>
      </c>
      <c r="F88" s="75">
        <f t="array" ref="F88">+MAX(IF('ID1&amp;5'!A:A='1. Status'!A88&amp;'1. Status'!$F$10,'ID1&amp;5'!K:K))</f>
        <v>0</v>
      </c>
      <c r="G88" s="67"/>
      <c r="H88" s="73" t="s">
        <v>145</v>
      </c>
      <c r="I88" s="28" t="s">
        <v>180</v>
      </c>
      <c r="J88" s="33">
        <f>+COUNTIF('ID1&amp;5'!G:G,'1. Status'!I88)</f>
        <v>0</v>
      </c>
      <c r="K88" s="92" t="str">
        <f>+IFERROR(VLOOKUP(CONCATENATE(A88,$B$10,B88),'ID1&amp;5'!B:J,8,FALSE),"-")</f>
        <v>-</v>
      </c>
      <c r="L88" s="91" t="str">
        <f>+IFERROR(VLOOKUP(B88,'ID1&amp;5'!K:L,2,FALSE),"-")</f>
        <v>-</v>
      </c>
      <c r="M88" s="92" t="str">
        <f>+IFERROR(VLOOKUP(CONCATENATE(A88,$B$10,B88),'ID1&amp;5'!B:J,9,FALSE),"-")</f>
        <v>-</v>
      </c>
      <c r="N88" s="92" t="str">
        <f>+IFERROR(VLOOKUP(CONCATENATE(A88,$C$10,C88),'ID1&amp;5'!B:J,8,FALSE),"-")</f>
        <v>-</v>
      </c>
      <c r="O88" s="91" t="str">
        <f>+IFERROR(VLOOKUP(C88,'ID1&amp;5'!K:L,2,FALSE),"-")</f>
        <v>-</v>
      </c>
      <c r="P88" s="92" t="str">
        <f>+IFERROR(VLOOKUP(CONCATENATE(A88,$C$10,C88),'ID1&amp;5'!B:J,9,FALSE),"-")</f>
        <v>-</v>
      </c>
      <c r="Q88" s="91" t="str">
        <f>+IFERROR(VLOOKUP(D88,'ID1&amp;5'!K:L,2,FALSE),"-")</f>
        <v>-</v>
      </c>
      <c r="R88" s="33" t="str">
        <f>+IFERROR(VLOOKUP(CONCATENATE(A88,$D$10,D88),'ID1&amp;5'!B:J,9,FALSE),"-")</f>
        <v>-</v>
      </c>
      <c r="S88" s="91" t="str">
        <f>+IFERROR(VLOOKUP(E88,'ID1&amp;5'!K:L,2,FALSE),"-")</f>
        <v>-</v>
      </c>
      <c r="T88" s="92" t="str">
        <f>+IFERROR(VLOOKUP(CONCATENATE(A88,$E$10,E88),'ID1&amp;5'!B:J,9,FALSE),"-")</f>
        <v>-</v>
      </c>
      <c r="U88" s="91" t="str">
        <f>+IFERROR(VLOOKUP(F88,'ID1&amp;5'!K:L,2,FALSE),"-")</f>
        <v>-</v>
      </c>
      <c r="V88" s="92" t="str">
        <f>+IFERROR(VLOOKUP(CONCATENATE(A88,$F$10,F88),'ID1&amp;5'!B:J,9,FALSE),"-")</f>
        <v>-</v>
      </c>
      <c r="W88" s="33" t="str">
        <f>+IFERROR(VLOOKUP(A88,'ID6&amp;7'!A:I,9,FALSE),"-")</f>
        <v>-</v>
      </c>
      <c r="X88" s="33" t="str">
        <f>+IFERROR(VLOOKUP(A88,'ID6&amp;7'!A:J,10,FALSE),"-")</f>
        <v>-</v>
      </c>
      <c r="Y88" s="33"/>
      <c r="Z88" s="34" t="str">
        <f t="shared" si="3"/>
        <v>Por iniciar</v>
      </c>
    </row>
    <row r="89" spans="1:26">
      <c r="A89" s="27" t="str">
        <f t="shared" si="2"/>
        <v>ENTITYCNTRY45596</v>
      </c>
      <c r="B89" s="74">
        <f t="array" ref="B89">+MAX(IF('ID1&amp;5'!A:A='1. Status'!A89&amp;'1. Status'!$B$10,'ID1&amp;5'!K:K))</f>
        <v>0</v>
      </c>
      <c r="C89" s="67">
        <f t="array" ref="C89">+MAX(IF('ID1&amp;5'!A:A='1. Status'!A89&amp;'1. Status'!$C$10,'ID1&amp;5'!K:K))</f>
        <v>0</v>
      </c>
      <c r="D89" s="67">
        <f t="array" ref="D89">+MAX(IF('ID1&amp;5'!A:A='1. Status'!A89&amp;'1. Status'!$D$10,'ID1&amp;5'!K:K))</f>
        <v>0</v>
      </c>
      <c r="E89" s="67">
        <f t="array" ref="E89">+MAX(IF('ID1&amp;5'!A:A='1. Status'!A89&amp;'1. Status'!$E$10,'ID1&amp;5'!K:K))</f>
        <v>0</v>
      </c>
      <c r="F89" s="75">
        <f t="array" ref="F89">+MAX(IF('ID1&amp;5'!A:A='1. Status'!A89&amp;'1. Status'!$F$10,'ID1&amp;5'!K:K))</f>
        <v>0</v>
      </c>
      <c r="G89" s="67"/>
      <c r="H89" s="73" t="s">
        <v>98</v>
      </c>
      <c r="I89" s="28" t="s">
        <v>181</v>
      </c>
      <c r="J89" s="33">
        <f>+COUNTIF('ID1&amp;5'!G:G,'1. Status'!I89)</f>
        <v>0</v>
      </c>
      <c r="K89" s="92" t="str">
        <f>+IFERROR(VLOOKUP(CONCATENATE(A89,$B$10,B89),'ID1&amp;5'!B:J,8,FALSE),"-")</f>
        <v>-</v>
      </c>
      <c r="L89" s="91" t="str">
        <f>+IFERROR(VLOOKUP(B89,'ID1&amp;5'!K:L,2,FALSE),"-")</f>
        <v>-</v>
      </c>
      <c r="M89" s="92" t="str">
        <f>+IFERROR(VLOOKUP(CONCATENATE(A89,$B$10,B89),'ID1&amp;5'!B:J,9,FALSE),"-")</f>
        <v>-</v>
      </c>
      <c r="N89" s="92" t="str">
        <f>+IFERROR(VLOOKUP(CONCATENATE(A89,$C$10,C89),'ID1&amp;5'!B:J,8,FALSE),"-")</f>
        <v>-</v>
      </c>
      <c r="O89" s="91" t="str">
        <f>+IFERROR(VLOOKUP(C89,'ID1&amp;5'!K:L,2,FALSE),"-")</f>
        <v>-</v>
      </c>
      <c r="P89" s="92" t="str">
        <f>+IFERROR(VLOOKUP(CONCATENATE(A89,$C$10,C89),'ID1&amp;5'!B:J,9,FALSE),"-")</f>
        <v>-</v>
      </c>
      <c r="Q89" s="91" t="str">
        <f>+IFERROR(VLOOKUP(D89,'ID1&amp;5'!K:L,2,FALSE),"-")</f>
        <v>-</v>
      </c>
      <c r="R89" s="33" t="str">
        <f>+IFERROR(VLOOKUP(CONCATENATE(A89,$D$10,D89),'ID1&amp;5'!B:J,9,FALSE),"-")</f>
        <v>-</v>
      </c>
      <c r="S89" s="91" t="str">
        <f>+IFERROR(VLOOKUP(E89,'ID1&amp;5'!K:L,2,FALSE),"-")</f>
        <v>-</v>
      </c>
      <c r="T89" s="92" t="str">
        <f>+IFERROR(VLOOKUP(CONCATENATE(A89,$E$10,E89),'ID1&amp;5'!B:J,9,FALSE),"-")</f>
        <v>-</v>
      </c>
      <c r="U89" s="91" t="str">
        <f>+IFERROR(VLOOKUP(F89,'ID1&amp;5'!K:L,2,FALSE),"-")</f>
        <v>-</v>
      </c>
      <c r="V89" s="92" t="str">
        <f>+IFERROR(VLOOKUP(CONCATENATE(A89,$F$10,F89),'ID1&amp;5'!B:J,9,FALSE),"-")</f>
        <v>-</v>
      </c>
      <c r="W89" s="33" t="str">
        <f>+IFERROR(VLOOKUP(A89,'ID6&amp;7'!A:I,9,FALSE),"-")</f>
        <v>-</v>
      </c>
      <c r="X89" s="33" t="str">
        <f>+IFERROR(VLOOKUP(A89,'ID6&amp;7'!A:J,10,FALSE),"-")</f>
        <v>-</v>
      </c>
      <c r="Y89" s="33"/>
      <c r="Z89" s="34" t="str">
        <f t="shared" si="3"/>
        <v>Por iniciar</v>
      </c>
    </row>
    <row r="90" spans="1:26">
      <c r="A90" s="27" t="str">
        <f t="shared" si="2"/>
        <v>ENTITYDT_RFRNC45596</v>
      </c>
      <c r="B90" s="74">
        <f t="array" ref="B90">+MAX(IF('ID1&amp;5'!A:A='1. Status'!A90&amp;'1. Status'!$B$10,'ID1&amp;5'!K:K))</f>
        <v>0</v>
      </c>
      <c r="C90" s="67">
        <f t="array" ref="C90">+MAX(IF('ID1&amp;5'!A:A='1. Status'!A90&amp;'1. Status'!$C$10,'ID1&amp;5'!K:K))</f>
        <v>0</v>
      </c>
      <c r="D90" s="67">
        <f t="array" ref="D90">+MAX(IF('ID1&amp;5'!A:A='1. Status'!A90&amp;'1. Status'!$D$10,'ID1&amp;5'!K:K))</f>
        <v>0</v>
      </c>
      <c r="E90" s="67">
        <f t="array" ref="E90">+MAX(IF('ID1&amp;5'!A:A='1. Status'!A90&amp;'1. Status'!$E$10,'ID1&amp;5'!K:K))</f>
        <v>0</v>
      </c>
      <c r="F90" s="75">
        <f t="array" ref="F90">+MAX(IF('ID1&amp;5'!A:A='1. Status'!A90&amp;'1. Status'!$F$10,'ID1&amp;5'!K:K))</f>
        <v>0</v>
      </c>
      <c r="G90" s="67"/>
      <c r="H90" s="73" t="s">
        <v>98</v>
      </c>
      <c r="I90" s="28" t="s">
        <v>156</v>
      </c>
      <c r="J90" s="33">
        <f>+COUNTIF('ID1&amp;5'!G:G,'1. Status'!I90)</f>
        <v>0</v>
      </c>
      <c r="K90" s="92" t="str">
        <f>+IFERROR(VLOOKUP(CONCATENATE(A90,$B$10,B90),'ID1&amp;5'!B:J,8,FALSE),"-")</f>
        <v>-</v>
      </c>
      <c r="L90" s="91" t="str">
        <f>+IFERROR(VLOOKUP(B90,'ID1&amp;5'!K:L,2,FALSE),"-")</f>
        <v>-</v>
      </c>
      <c r="M90" s="92" t="str">
        <f>+IFERROR(VLOOKUP(CONCATENATE(A90,$B$10,B90),'ID1&amp;5'!B:J,9,FALSE),"-")</f>
        <v>-</v>
      </c>
      <c r="N90" s="92" t="str">
        <f>+IFERROR(VLOOKUP(CONCATENATE(A90,$C$10,C90),'ID1&amp;5'!B:J,8,FALSE),"-")</f>
        <v>-</v>
      </c>
      <c r="O90" s="91" t="str">
        <f>+IFERROR(VLOOKUP(C90,'ID1&amp;5'!K:L,2,FALSE),"-")</f>
        <v>-</v>
      </c>
      <c r="P90" s="92" t="str">
        <f>+IFERROR(VLOOKUP(CONCATENATE(A90,$C$10,C90),'ID1&amp;5'!B:J,9,FALSE),"-")</f>
        <v>-</v>
      </c>
      <c r="Q90" s="91" t="str">
        <f>+IFERROR(VLOOKUP(D90,'ID1&amp;5'!K:L,2,FALSE),"-")</f>
        <v>-</v>
      </c>
      <c r="R90" s="33" t="str">
        <f>+IFERROR(VLOOKUP(CONCATENATE(A90,$D$10,D90),'ID1&amp;5'!B:J,9,FALSE),"-")</f>
        <v>-</v>
      </c>
      <c r="S90" s="91" t="str">
        <f>+IFERROR(VLOOKUP(E90,'ID1&amp;5'!K:L,2,FALSE),"-")</f>
        <v>-</v>
      </c>
      <c r="T90" s="92" t="str">
        <f>+IFERROR(VLOOKUP(CONCATENATE(A90,$E$10,E90),'ID1&amp;5'!B:J,9,FALSE),"-")</f>
        <v>-</v>
      </c>
      <c r="U90" s="91" t="str">
        <f>+IFERROR(VLOOKUP(F90,'ID1&amp;5'!K:L,2,FALSE),"-")</f>
        <v>-</v>
      </c>
      <c r="V90" s="92" t="str">
        <f>+IFERROR(VLOOKUP(CONCATENATE(A90,$F$10,F90),'ID1&amp;5'!B:J,9,FALSE),"-")</f>
        <v>-</v>
      </c>
      <c r="W90" s="33" t="str">
        <f>+IFERROR(VLOOKUP(A90,'ID6&amp;7'!A:I,9,FALSE),"-")</f>
        <v>-</v>
      </c>
      <c r="X90" s="33" t="str">
        <f>+IFERROR(VLOOKUP(A90,'ID6&amp;7'!A:J,10,FALSE),"-")</f>
        <v>-</v>
      </c>
      <c r="Y90" s="33"/>
      <c r="Z90" s="34" t="str">
        <f t="shared" si="3"/>
        <v>Por iniciar</v>
      </c>
    </row>
    <row r="91" spans="1:26">
      <c r="A91" s="27" t="str">
        <f t="shared" si="2"/>
        <v>ENTITYENTTY_ID45596</v>
      </c>
      <c r="B91" s="74">
        <f t="array" ref="B91">+MAX(IF('ID1&amp;5'!A:A='1. Status'!A91&amp;'1. Status'!$B$10,'ID1&amp;5'!K:K))</f>
        <v>0</v>
      </c>
      <c r="C91" s="67">
        <f t="array" ref="C91">+MAX(IF('ID1&amp;5'!A:A='1. Status'!A91&amp;'1. Status'!$C$10,'ID1&amp;5'!K:K))</f>
        <v>0</v>
      </c>
      <c r="D91" s="67">
        <f t="array" ref="D91">+MAX(IF('ID1&amp;5'!A:A='1. Status'!A91&amp;'1. Status'!$D$10,'ID1&amp;5'!K:K))</f>
        <v>0</v>
      </c>
      <c r="E91" s="67">
        <f t="array" ref="E91">+MAX(IF('ID1&amp;5'!A:A='1. Status'!A91&amp;'1. Status'!$E$10,'ID1&amp;5'!K:K))</f>
        <v>0</v>
      </c>
      <c r="F91" s="75">
        <f t="array" ref="F91">+MAX(IF('ID1&amp;5'!A:A='1. Status'!A91&amp;'1. Status'!$F$10,'ID1&amp;5'!K:K))</f>
        <v>0</v>
      </c>
      <c r="G91" s="67"/>
      <c r="H91" s="73" t="s">
        <v>98</v>
      </c>
      <c r="I91" s="28" t="s">
        <v>182</v>
      </c>
      <c r="J91" s="33">
        <f>+COUNTIF('ID1&amp;5'!G:G,'1. Status'!I91)</f>
        <v>0</v>
      </c>
      <c r="K91" s="92" t="str">
        <f>+IFERROR(VLOOKUP(CONCATENATE(A91,$B$10,B91),'ID1&amp;5'!B:J,8,FALSE),"-")</f>
        <v>-</v>
      </c>
      <c r="L91" s="91" t="str">
        <f>+IFERROR(VLOOKUP(B91,'ID1&amp;5'!K:L,2,FALSE),"-")</f>
        <v>-</v>
      </c>
      <c r="M91" s="92" t="str">
        <f>+IFERROR(VLOOKUP(CONCATENATE(A91,$B$10,B91),'ID1&amp;5'!B:J,9,FALSE),"-")</f>
        <v>-</v>
      </c>
      <c r="N91" s="92" t="str">
        <f>+IFERROR(VLOOKUP(CONCATENATE(A91,$C$10,C91),'ID1&amp;5'!B:J,8,FALSE),"-")</f>
        <v>-</v>
      </c>
      <c r="O91" s="91" t="str">
        <f>+IFERROR(VLOOKUP(C91,'ID1&amp;5'!K:L,2,FALSE),"-")</f>
        <v>-</v>
      </c>
      <c r="P91" s="92" t="str">
        <f>+IFERROR(VLOOKUP(CONCATENATE(A91,$C$10,C91),'ID1&amp;5'!B:J,9,FALSE),"-")</f>
        <v>-</v>
      </c>
      <c r="Q91" s="91" t="str">
        <f>+IFERROR(VLOOKUP(D91,'ID1&amp;5'!K:L,2,FALSE),"-")</f>
        <v>-</v>
      </c>
      <c r="R91" s="33" t="str">
        <f>+IFERROR(VLOOKUP(CONCATENATE(A91,$D$10,D91),'ID1&amp;5'!B:J,9,FALSE),"-")</f>
        <v>-</v>
      </c>
      <c r="S91" s="91" t="str">
        <f>+IFERROR(VLOOKUP(E91,'ID1&amp;5'!K:L,2,FALSE),"-")</f>
        <v>-</v>
      </c>
      <c r="T91" s="92" t="str">
        <f>+IFERROR(VLOOKUP(CONCATENATE(A91,$E$10,E91),'ID1&amp;5'!B:J,9,FALSE),"-")</f>
        <v>-</v>
      </c>
      <c r="U91" s="91" t="str">
        <f>+IFERROR(VLOOKUP(F91,'ID1&amp;5'!K:L,2,FALSE),"-")</f>
        <v>-</v>
      </c>
      <c r="V91" s="92" t="str">
        <f>+IFERROR(VLOOKUP(CONCATENATE(A91,$F$10,F91),'ID1&amp;5'!B:J,9,FALSE),"-")</f>
        <v>-</v>
      </c>
      <c r="W91" s="33" t="str">
        <f>+IFERROR(VLOOKUP(A91,'ID6&amp;7'!A:I,9,FALSE),"-")</f>
        <v>-</v>
      </c>
      <c r="X91" s="33" t="str">
        <f>+IFERROR(VLOOKUP(A91,'ID6&amp;7'!A:J,10,FALSE),"-")</f>
        <v>-</v>
      </c>
      <c r="Y91" s="33"/>
      <c r="Z91" s="34" t="str">
        <f t="shared" si="3"/>
        <v>Por iniciar</v>
      </c>
    </row>
    <row r="92" spans="1:26">
      <c r="A92" s="27" t="str">
        <f t="shared" si="2"/>
        <v>ENTITYLEI45596</v>
      </c>
      <c r="B92" s="74">
        <f t="array" ref="B92">+MAX(IF('ID1&amp;5'!A:A='1. Status'!A92&amp;'1. Status'!$B$10,'ID1&amp;5'!K:K))</f>
        <v>0</v>
      </c>
      <c r="C92" s="67">
        <f t="array" ref="C92">+MAX(IF('ID1&amp;5'!A:A='1. Status'!A92&amp;'1. Status'!$C$10,'ID1&amp;5'!K:K))</f>
        <v>0</v>
      </c>
      <c r="D92" s="67">
        <f t="array" ref="D92">+MAX(IF('ID1&amp;5'!A:A='1. Status'!A92&amp;'1. Status'!$D$10,'ID1&amp;5'!K:K))</f>
        <v>0</v>
      </c>
      <c r="E92" s="67">
        <f t="array" ref="E92">+MAX(IF('ID1&amp;5'!A:A='1. Status'!A92&amp;'1. Status'!$E$10,'ID1&amp;5'!K:K))</f>
        <v>0</v>
      </c>
      <c r="F92" s="75">
        <f t="array" ref="F92">+MAX(IF('ID1&amp;5'!A:A='1. Status'!A92&amp;'1. Status'!$F$10,'ID1&amp;5'!K:K))</f>
        <v>0</v>
      </c>
      <c r="G92" s="67"/>
      <c r="H92" s="73" t="s">
        <v>98</v>
      </c>
      <c r="I92" s="28" t="s">
        <v>183</v>
      </c>
      <c r="J92" s="33">
        <f>+COUNTIF('ID1&amp;5'!G:G,'1. Status'!I92)</f>
        <v>0</v>
      </c>
      <c r="K92" s="92" t="str">
        <f>+IFERROR(VLOOKUP(CONCATENATE(A92,$B$10,B92),'ID1&amp;5'!B:J,8,FALSE),"-")</f>
        <v>-</v>
      </c>
      <c r="L92" s="91" t="str">
        <f>+IFERROR(VLOOKUP(B92,'ID1&amp;5'!K:L,2,FALSE),"-")</f>
        <v>-</v>
      </c>
      <c r="M92" s="92" t="str">
        <f>+IFERROR(VLOOKUP(CONCATENATE(A92,$B$10,B92),'ID1&amp;5'!B:J,9,FALSE),"-")</f>
        <v>-</v>
      </c>
      <c r="N92" s="92" t="str">
        <f>+IFERROR(VLOOKUP(CONCATENATE(A92,$C$10,C92),'ID1&amp;5'!B:J,8,FALSE),"-")</f>
        <v>-</v>
      </c>
      <c r="O92" s="91" t="str">
        <f>+IFERROR(VLOOKUP(C92,'ID1&amp;5'!K:L,2,FALSE),"-")</f>
        <v>-</v>
      </c>
      <c r="P92" s="92" t="str">
        <f>+IFERROR(VLOOKUP(CONCATENATE(A92,$C$10,C92),'ID1&amp;5'!B:J,9,FALSE),"-")</f>
        <v>-</v>
      </c>
      <c r="Q92" s="91" t="str">
        <f>+IFERROR(VLOOKUP(D92,'ID1&amp;5'!K:L,2,FALSE),"-")</f>
        <v>-</v>
      </c>
      <c r="R92" s="33" t="str">
        <f>+IFERROR(VLOOKUP(CONCATENATE(A92,$D$10,D92),'ID1&amp;5'!B:J,9,FALSE),"-")</f>
        <v>-</v>
      </c>
      <c r="S92" s="91" t="str">
        <f>+IFERROR(VLOOKUP(E92,'ID1&amp;5'!K:L,2,FALSE),"-")</f>
        <v>-</v>
      </c>
      <c r="T92" s="92" t="str">
        <f>+IFERROR(VLOOKUP(CONCATENATE(A92,$E$10,E92),'ID1&amp;5'!B:J,9,FALSE),"-")</f>
        <v>-</v>
      </c>
      <c r="U92" s="91" t="str">
        <f>+IFERROR(VLOOKUP(F92,'ID1&amp;5'!K:L,2,FALSE),"-")</f>
        <v>-</v>
      </c>
      <c r="V92" s="92" t="str">
        <f>+IFERROR(VLOOKUP(CONCATENATE(A92,$F$10,F92),'ID1&amp;5'!B:J,9,FALSE),"-")</f>
        <v>-</v>
      </c>
      <c r="W92" s="33" t="str">
        <f>+IFERROR(VLOOKUP(A92,'ID6&amp;7'!A:I,9,FALSE),"-")</f>
        <v>-</v>
      </c>
      <c r="X92" s="33" t="str">
        <f>+IFERROR(VLOOKUP(A92,'ID6&amp;7'!A:J,10,FALSE),"-")</f>
        <v>-</v>
      </c>
      <c r="Y92" s="33"/>
      <c r="Z92" s="34" t="str">
        <f t="shared" si="3"/>
        <v>Por iniciar</v>
      </c>
    </row>
    <row r="93" spans="1:26">
      <c r="A93" s="27" t="str">
        <f t="shared" si="2"/>
        <v>ENTITYECNMC_ACTVTY45596</v>
      </c>
      <c r="B93" s="74">
        <f t="array" ref="B93">+MAX(IF('ID1&amp;5'!A:A='1. Status'!A93&amp;'1. Status'!$B$10,'ID1&amp;5'!K:K))</f>
        <v>0</v>
      </c>
      <c r="C93" s="67">
        <f t="array" ref="C93">+MAX(IF('ID1&amp;5'!A:A='1. Status'!A93&amp;'1. Status'!$C$10,'ID1&amp;5'!K:K))</f>
        <v>0</v>
      </c>
      <c r="D93" s="67">
        <f t="array" ref="D93">+MAX(IF('ID1&amp;5'!A:A='1. Status'!A93&amp;'1. Status'!$D$10,'ID1&amp;5'!K:K))</f>
        <v>0</v>
      </c>
      <c r="E93" s="67">
        <f t="array" ref="E93">+MAX(IF('ID1&amp;5'!A:A='1. Status'!A93&amp;'1. Status'!$E$10,'ID1&amp;5'!K:K))</f>
        <v>0</v>
      </c>
      <c r="F93" s="75">
        <f t="array" ref="F93">+MAX(IF('ID1&amp;5'!A:A='1. Status'!A93&amp;'1. Status'!$F$10,'ID1&amp;5'!K:K))</f>
        <v>0</v>
      </c>
      <c r="G93" s="67"/>
      <c r="H93" s="73" t="s">
        <v>98</v>
      </c>
      <c r="I93" s="28" t="s">
        <v>184</v>
      </c>
      <c r="J93" s="33">
        <f>+COUNTIF('ID1&amp;5'!G:G,'1. Status'!I93)</f>
        <v>0</v>
      </c>
      <c r="K93" s="92" t="str">
        <f>+IFERROR(VLOOKUP(CONCATENATE(A93,$B$10,B93),'ID1&amp;5'!B:J,8,FALSE),"-")</f>
        <v>-</v>
      </c>
      <c r="L93" s="91" t="str">
        <f>+IFERROR(VLOOKUP(B93,'ID1&amp;5'!K:L,2,FALSE),"-")</f>
        <v>-</v>
      </c>
      <c r="M93" s="92" t="str">
        <f>+IFERROR(VLOOKUP(CONCATENATE(A93,$B$10,B93),'ID1&amp;5'!B:J,9,FALSE),"-")</f>
        <v>-</v>
      </c>
      <c r="N93" s="92" t="str">
        <f>+IFERROR(VLOOKUP(CONCATENATE(A93,$C$10,C93),'ID1&amp;5'!B:J,8,FALSE),"-")</f>
        <v>-</v>
      </c>
      <c r="O93" s="91" t="str">
        <f>+IFERROR(VLOOKUP(C93,'ID1&amp;5'!K:L,2,FALSE),"-")</f>
        <v>-</v>
      </c>
      <c r="P93" s="92" t="str">
        <f>+IFERROR(VLOOKUP(CONCATENATE(A93,$C$10,C93),'ID1&amp;5'!B:J,9,FALSE),"-")</f>
        <v>-</v>
      </c>
      <c r="Q93" s="91" t="str">
        <f>+IFERROR(VLOOKUP(D93,'ID1&amp;5'!K:L,2,FALSE),"-")</f>
        <v>-</v>
      </c>
      <c r="R93" s="33" t="str">
        <f>+IFERROR(VLOOKUP(CONCATENATE(A93,$D$10,D93),'ID1&amp;5'!B:J,9,FALSE),"-")</f>
        <v>-</v>
      </c>
      <c r="S93" s="91" t="str">
        <f>+IFERROR(VLOOKUP(E93,'ID1&amp;5'!K:L,2,FALSE),"-")</f>
        <v>-</v>
      </c>
      <c r="T93" s="92" t="str">
        <f>+IFERROR(VLOOKUP(CONCATENATE(A93,$E$10,E93),'ID1&amp;5'!B:J,9,FALSE),"-")</f>
        <v>-</v>
      </c>
      <c r="U93" s="91" t="str">
        <f>+IFERROR(VLOOKUP(F93,'ID1&amp;5'!K:L,2,FALSE),"-")</f>
        <v>-</v>
      </c>
      <c r="V93" s="92" t="str">
        <f>+IFERROR(VLOOKUP(CONCATENATE(A93,$F$10,F93),'ID1&amp;5'!B:J,9,FALSE),"-")</f>
        <v>-</v>
      </c>
      <c r="W93" s="33" t="str">
        <f>+IFERROR(VLOOKUP(A93,'ID6&amp;7'!A:I,9,FALSE),"-")</f>
        <v>-</v>
      </c>
      <c r="X93" s="33" t="str">
        <f>+IFERROR(VLOOKUP(A93,'ID6&amp;7'!A:J,10,FALSE),"-")</f>
        <v>-</v>
      </c>
      <c r="Y93" s="33"/>
      <c r="Z93" s="34" t="str">
        <f t="shared" si="3"/>
        <v>Por iniciar</v>
      </c>
    </row>
    <row r="94" spans="1:26">
      <c r="A94" s="27" t="str">
        <f t="shared" si="2"/>
        <v>ENTITYGRP_EQTY45596</v>
      </c>
      <c r="B94" s="74">
        <f t="array" ref="B94">+MAX(IF('ID1&amp;5'!A:A='1. Status'!A94&amp;'1. Status'!$B$10,'ID1&amp;5'!K:K))</f>
        <v>0</v>
      </c>
      <c r="C94" s="67">
        <f t="array" ref="C94">+MAX(IF('ID1&amp;5'!A:A='1. Status'!A94&amp;'1. Status'!$C$10,'ID1&amp;5'!K:K))</f>
        <v>0</v>
      </c>
      <c r="D94" s="67">
        <f t="array" ref="D94">+MAX(IF('ID1&amp;5'!A:A='1. Status'!A94&amp;'1. Status'!$D$10,'ID1&amp;5'!K:K))</f>
        <v>0</v>
      </c>
      <c r="E94" s="67">
        <f t="array" ref="E94">+MAX(IF('ID1&amp;5'!A:A='1. Status'!A94&amp;'1. Status'!$E$10,'ID1&amp;5'!K:K))</f>
        <v>0</v>
      </c>
      <c r="F94" s="75">
        <f t="array" ref="F94">+MAX(IF('ID1&amp;5'!A:A='1. Status'!A94&amp;'1. Status'!$F$10,'ID1&amp;5'!K:K))</f>
        <v>0</v>
      </c>
      <c r="G94" s="67"/>
      <c r="H94" s="73" t="s">
        <v>98</v>
      </c>
      <c r="I94" s="28" t="s">
        <v>185</v>
      </c>
      <c r="J94" s="33">
        <f>+COUNTIF('ID1&amp;5'!G:G,'1. Status'!I94)</f>
        <v>0</v>
      </c>
      <c r="K94" s="92" t="str">
        <f>+IFERROR(VLOOKUP(CONCATENATE(A94,$B$10,B94),'ID1&amp;5'!B:J,8,FALSE),"-")</f>
        <v>-</v>
      </c>
      <c r="L94" s="91" t="str">
        <f>+IFERROR(VLOOKUP(B94,'ID1&amp;5'!K:L,2,FALSE),"-")</f>
        <v>-</v>
      </c>
      <c r="M94" s="92" t="str">
        <f>+IFERROR(VLOOKUP(CONCATENATE(A94,$B$10,B94),'ID1&amp;5'!B:J,9,FALSE),"-")</f>
        <v>-</v>
      </c>
      <c r="N94" s="92" t="str">
        <f>+IFERROR(VLOOKUP(CONCATENATE(A94,$C$10,C94),'ID1&amp;5'!B:J,8,FALSE),"-")</f>
        <v>-</v>
      </c>
      <c r="O94" s="91" t="str">
        <f>+IFERROR(VLOOKUP(C94,'ID1&amp;5'!K:L,2,FALSE),"-")</f>
        <v>-</v>
      </c>
      <c r="P94" s="92" t="str">
        <f>+IFERROR(VLOOKUP(CONCATENATE(A94,$C$10,C94),'ID1&amp;5'!B:J,9,FALSE),"-")</f>
        <v>-</v>
      </c>
      <c r="Q94" s="91" t="str">
        <f>+IFERROR(VLOOKUP(D94,'ID1&amp;5'!K:L,2,FALSE),"-")</f>
        <v>-</v>
      </c>
      <c r="R94" s="33" t="str">
        <f>+IFERROR(VLOOKUP(CONCATENATE(A94,$D$10,D94),'ID1&amp;5'!B:J,9,FALSE),"-")</f>
        <v>-</v>
      </c>
      <c r="S94" s="91" t="str">
        <f>+IFERROR(VLOOKUP(E94,'ID1&amp;5'!K:L,2,FALSE),"-")</f>
        <v>-</v>
      </c>
      <c r="T94" s="92" t="str">
        <f>+IFERROR(VLOOKUP(CONCATENATE(A94,$E$10,E94),'ID1&amp;5'!B:J,9,FALSE),"-")</f>
        <v>-</v>
      </c>
      <c r="U94" s="91" t="str">
        <f>+IFERROR(VLOOKUP(F94,'ID1&amp;5'!K:L,2,FALSE),"-")</f>
        <v>-</v>
      </c>
      <c r="V94" s="92" t="str">
        <f>+IFERROR(VLOOKUP(CONCATENATE(A94,$F$10,F94),'ID1&amp;5'!B:J,9,FALSE),"-")</f>
        <v>-</v>
      </c>
      <c r="W94" s="33" t="str">
        <f>+IFERROR(VLOOKUP(A94,'ID6&amp;7'!A:I,9,FALSE),"-")</f>
        <v>-</v>
      </c>
      <c r="X94" s="33" t="str">
        <f>+IFERROR(VLOOKUP(A94,'ID6&amp;7'!A:J,10,FALSE),"-")</f>
        <v>-</v>
      </c>
      <c r="Y94" s="33"/>
      <c r="Z94" s="34" t="str">
        <f t="shared" si="3"/>
        <v>Por iniciar</v>
      </c>
    </row>
    <row r="95" spans="1:26">
      <c r="A95" s="27" t="str">
        <f t="shared" si="2"/>
        <v>ENTITYANNL_TRNVR_LE45596</v>
      </c>
      <c r="B95" s="74">
        <f t="array" ref="B95">+MAX(IF('ID1&amp;5'!A:A='1. Status'!A95&amp;'1. Status'!$B$10,'ID1&amp;5'!K:K))</f>
        <v>0</v>
      </c>
      <c r="C95" s="67">
        <f t="array" ref="C95">+MAX(IF('ID1&amp;5'!A:A='1. Status'!A95&amp;'1. Status'!$C$10,'ID1&amp;5'!K:K))</f>
        <v>0</v>
      </c>
      <c r="D95" s="67">
        <f t="array" ref="D95">+MAX(IF('ID1&amp;5'!A:A='1. Status'!A95&amp;'1. Status'!$D$10,'ID1&amp;5'!K:K))</f>
        <v>0</v>
      </c>
      <c r="E95" s="67">
        <f t="array" ref="E95">+MAX(IF('ID1&amp;5'!A:A='1. Status'!A95&amp;'1. Status'!$E$10,'ID1&amp;5'!K:K))</f>
        <v>0</v>
      </c>
      <c r="F95" s="75">
        <f t="array" ref="F95">+MAX(IF('ID1&amp;5'!A:A='1. Status'!A95&amp;'1. Status'!$F$10,'ID1&amp;5'!K:K))</f>
        <v>0</v>
      </c>
      <c r="G95" s="67"/>
      <c r="H95" s="73" t="s">
        <v>98</v>
      </c>
      <c r="I95" s="28" t="s">
        <v>186</v>
      </c>
      <c r="J95" s="33">
        <f>+COUNTIF('ID1&amp;5'!G:G,'1. Status'!I95)</f>
        <v>0</v>
      </c>
      <c r="K95" s="92" t="str">
        <f>+IFERROR(VLOOKUP(CONCATENATE(A95,$B$10,B95),'ID1&amp;5'!B:J,8,FALSE),"-")</f>
        <v>-</v>
      </c>
      <c r="L95" s="91" t="str">
        <f>+IFERROR(VLOOKUP(B95,'ID1&amp;5'!K:L,2,FALSE),"-")</f>
        <v>-</v>
      </c>
      <c r="M95" s="92" t="str">
        <f>+IFERROR(VLOOKUP(CONCATENATE(A95,$B$10,B95),'ID1&amp;5'!B:J,9,FALSE),"-")</f>
        <v>-</v>
      </c>
      <c r="N95" s="92" t="str">
        <f>+IFERROR(VLOOKUP(CONCATENATE(A95,$C$10,C95),'ID1&amp;5'!B:J,8,FALSE),"-")</f>
        <v>-</v>
      </c>
      <c r="O95" s="91" t="str">
        <f>+IFERROR(VLOOKUP(C95,'ID1&amp;5'!K:L,2,FALSE),"-")</f>
        <v>-</v>
      </c>
      <c r="P95" s="92" t="str">
        <f>+IFERROR(VLOOKUP(CONCATENATE(A95,$C$10,C95),'ID1&amp;5'!B:J,9,FALSE),"-")</f>
        <v>-</v>
      </c>
      <c r="Q95" s="91" t="str">
        <f>+IFERROR(VLOOKUP(D95,'ID1&amp;5'!K:L,2,FALSE),"-")</f>
        <v>-</v>
      </c>
      <c r="R95" s="33" t="str">
        <f>+IFERROR(VLOOKUP(CONCATENATE(A95,$D$10,D95),'ID1&amp;5'!B:J,9,FALSE),"-")</f>
        <v>-</v>
      </c>
      <c r="S95" s="91" t="str">
        <f>+IFERROR(VLOOKUP(E95,'ID1&amp;5'!K:L,2,FALSE),"-")</f>
        <v>-</v>
      </c>
      <c r="T95" s="92" t="str">
        <f>+IFERROR(VLOOKUP(CONCATENATE(A95,$E$10,E95),'ID1&amp;5'!B:J,9,FALSE),"-")</f>
        <v>-</v>
      </c>
      <c r="U95" s="91" t="str">
        <f>+IFERROR(VLOOKUP(F95,'ID1&amp;5'!K:L,2,FALSE),"-")</f>
        <v>-</v>
      </c>
      <c r="V95" s="92" t="str">
        <f>+IFERROR(VLOOKUP(CONCATENATE(A95,$F$10,F95),'ID1&amp;5'!B:J,9,FALSE),"-")</f>
        <v>-</v>
      </c>
      <c r="W95" s="33" t="str">
        <f>+IFERROR(VLOOKUP(A95,'ID6&amp;7'!A:I,9,FALSE),"-")</f>
        <v>-</v>
      </c>
      <c r="X95" s="33" t="str">
        <f>+IFERROR(VLOOKUP(A95,'ID6&amp;7'!A:J,10,FALSE),"-")</f>
        <v>-</v>
      </c>
      <c r="Y95" s="33"/>
      <c r="Z95" s="34" t="str">
        <f t="shared" si="3"/>
        <v>Por iniciar</v>
      </c>
    </row>
    <row r="96" spans="1:26">
      <c r="A96" s="27" t="str">
        <f t="shared" si="2"/>
        <v>ENTITYEQTY45596</v>
      </c>
      <c r="B96" s="74">
        <f t="array" ref="B96">+MAX(IF('ID1&amp;5'!A:A='1. Status'!A96&amp;'1. Status'!$B$10,'ID1&amp;5'!K:K))</f>
        <v>0</v>
      </c>
      <c r="C96" s="67">
        <f t="array" ref="C96">+MAX(IF('ID1&amp;5'!A:A='1. Status'!A96&amp;'1. Status'!$C$10,'ID1&amp;5'!K:K))</f>
        <v>0</v>
      </c>
      <c r="D96" s="67">
        <f t="array" ref="D96">+MAX(IF('ID1&amp;5'!A:A='1. Status'!A96&amp;'1. Status'!$D$10,'ID1&amp;5'!K:K))</f>
        <v>0</v>
      </c>
      <c r="E96" s="67">
        <f t="array" ref="E96">+MAX(IF('ID1&amp;5'!A:A='1. Status'!A96&amp;'1. Status'!$E$10,'ID1&amp;5'!K:K))</f>
        <v>0</v>
      </c>
      <c r="F96" s="75">
        <f t="array" ref="F96">+MAX(IF('ID1&amp;5'!A:A='1. Status'!A96&amp;'1. Status'!$F$10,'ID1&amp;5'!K:K))</f>
        <v>0</v>
      </c>
      <c r="G96" s="67"/>
      <c r="H96" s="73" t="s">
        <v>98</v>
      </c>
      <c r="I96" s="28" t="s">
        <v>187</v>
      </c>
      <c r="J96" s="33">
        <f>+COUNTIF('ID1&amp;5'!G:G,'1. Status'!I96)</f>
        <v>0</v>
      </c>
      <c r="K96" s="92" t="str">
        <f>+IFERROR(VLOOKUP(CONCATENATE(A96,$B$10,B96),'ID1&amp;5'!B:J,8,FALSE),"-")</f>
        <v>-</v>
      </c>
      <c r="L96" s="91" t="str">
        <f>+IFERROR(VLOOKUP(B96,'ID1&amp;5'!K:L,2,FALSE),"-")</f>
        <v>-</v>
      </c>
      <c r="M96" s="92" t="str">
        <f>+IFERROR(VLOOKUP(CONCATENATE(A96,$B$10,B96),'ID1&amp;5'!B:J,9,FALSE),"-")</f>
        <v>-</v>
      </c>
      <c r="N96" s="92" t="str">
        <f>+IFERROR(VLOOKUP(CONCATENATE(A96,$C$10,C96),'ID1&amp;5'!B:J,8,FALSE),"-")</f>
        <v>-</v>
      </c>
      <c r="O96" s="91" t="str">
        <f>+IFERROR(VLOOKUP(C96,'ID1&amp;5'!K:L,2,FALSE),"-")</f>
        <v>-</v>
      </c>
      <c r="P96" s="92" t="str">
        <f>+IFERROR(VLOOKUP(CONCATENATE(A96,$C$10,C96),'ID1&amp;5'!B:J,9,FALSE),"-")</f>
        <v>-</v>
      </c>
      <c r="Q96" s="91" t="str">
        <f>+IFERROR(VLOOKUP(D96,'ID1&amp;5'!K:L,2,FALSE),"-")</f>
        <v>-</v>
      </c>
      <c r="R96" s="33" t="str">
        <f>+IFERROR(VLOOKUP(CONCATENATE(A96,$D$10,D96),'ID1&amp;5'!B:J,9,FALSE),"-")</f>
        <v>-</v>
      </c>
      <c r="S96" s="91" t="str">
        <f>+IFERROR(VLOOKUP(E96,'ID1&amp;5'!K:L,2,FALSE),"-")</f>
        <v>-</v>
      </c>
      <c r="T96" s="92" t="str">
        <f>+IFERROR(VLOOKUP(CONCATENATE(A96,$E$10,E96),'ID1&amp;5'!B:J,9,FALSE),"-")</f>
        <v>-</v>
      </c>
      <c r="U96" s="91" t="str">
        <f>+IFERROR(VLOOKUP(F96,'ID1&amp;5'!K:L,2,FALSE),"-")</f>
        <v>-</v>
      </c>
      <c r="V96" s="92" t="str">
        <f>+IFERROR(VLOOKUP(CONCATENATE(A96,$F$10,F96),'ID1&amp;5'!B:J,9,FALSE),"-")</f>
        <v>-</v>
      </c>
      <c r="W96" s="33" t="str">
        <f>+IFERROR(VLOOKUP(A96,'ID6&amp;7'!A:I,9,FALSE),"-")</f>
        <v>-</v>
      </c>
      <c r="X96" s="33" t="str">
        <f>+IFERROR(VLOOKUP(A96,'ID6&amp;7'!A:J,10,FALSE),"-")</f>
        <v>-</v>
      </c>
      <c r="Y96" s="33"/>
      <c r="Z96" s="34" t="str">
        <f t="shared" si="3"/>
        <v>Por iniciar</v>
      </c>
    </row>
    <row r="97" spans="1:26">
      <c r="A97" s="27" t="str">
        <f t="shared" si="2"/>
        <v>ENTITYGRP_TTL_DBT45596</v>
      </c>
      <c r="B97" s="74">
        <f t="array" ref="B97">+MAX(IF('ID1&amp;5'!A:A='1. Status'!A97&amp;'1. Status'!$B$10,'ID1&amp;5'!K:K))</f>
        <v>0</v>
      </c>
      <c r="C97" s="67">
        <f t="array" ref="C97">+MAX(IF('ID1&amp;5'!A:A='1. Status'!A97&amp;'1. Status'!$C$10,'ID1&amp;5'!K:K))</f>
        <v>0</v>
      </c>
      <c r="D97" s="67">
        <f t="array" ref="D97">+MAX(IF('ID1&amp;5'!A:A='1. Status'!A97&amp;'1. Status'!$D$10,'ID1&amp;5'!K:K))</f>
        <v>0</v>
      </c>
      <c r="E97" s="67">
        <f t="array" ref="E97">+MAX(IF('ID1&amp;5'!A:A='1. Status'!A97&amp;'1. Status'!$E$10,'ID1&amp;5'!K:K))</f>
        <v>0</v>
      </c>
      <c r="F97" s="75">
        <f t="array" ref="F97">+MAX(IF('ID1&amp;5'!A:A='1. Status'!A97&amp;'1. Status'!$F$10,'ID1&amp;5'!K:K))</f>
        <v>0</v>
      </c>
      <c r="G97" s="67"/>
      <c r="H97" s="73" t="s">
        <v>98</v>
      </c>
      <c r="I97" s="28" t="s">
        <v>188</v>
      </c>
      <c r="J97" s="33">
        <f>+COUNTIF('ID1&amp;5'!G:G,'1. Status'!I97)</f>
        <v>0</v>
      </c>
      <c r="K97" s="92" t="str">
        <f>+IFERROR(VLOOKUP(CONCATENATE(A97,$B$10,B97),'ID1&amp;5'!B:J,8,FALSE),"-")</f>
        <v>-</v>
      </c>
      <c r="L97" s="91" t="str">
        <f>+IFERROR(VLOOKUP(B97,'ID1&amp;5'!K:L,2,FALSE),"-")</f>
        <v>-</v>
      </c>
      <c r="M97" s="92" t="str">
        <f>+IFERROR(VLOOKUP(CONCATENATE(A97,$B$10,B97),'ID1&amp;5'!B:J,9,FALSE),"-")</f>
        <v>-</v>
      </c>
      <c r="N97" s="92" t="str">
        <f>+IFERROR(VLOOKUP(CONCATENATE(A97,$C$10,C97),'ID1&amp;5'!B:J,8,FALSE),"-")</f>
        <v>-</v>
      </c>
      <c r="O97" s="91" t="str">
        <f>+IFERROR(VLOOKUP(C97,'ID1&amp;5'!K:L,2,FALSE),"-")</f>
        <v>-</v>
      </c>
      <c r="P97" s="92" t="str">
        <f>+IFERROR(VLOOKUP(CONCATENATE(A97,$C$10,C97),'ID1&amp;5'!B:J,9,FALSE),"-")</f>
        <v>-</v>
      </c>
      <c r="Q97" s="91" t="str">
        <f>+IFERROR(VLOOKUP(D97,'ID1&amp;5'!K:L,2,FALSE),"-")</f>
        <v>-</v>
      </c>
      <c r="R97" s="33" t="str">
        <f>+IFERROR(VLOOKUP(CONCATENATE(A97,$D$10,D97),'ID1&amp;5'!B:J,9,FALSE),"-")</f>
        <v>-</v>
      </c>
      <c r="S97" s="91" t="str">
        <f>+IFERROR(VLOOKUP(E97,'ID1&amp;5'!K:L,2,FALSE),"-")</f>
        <v>-</v>
      </c>
      <c r="T97" s="92" t="str">
        <f>+IFERROR(VLOOKUP(CONCATENATE(A97,$E$10,E97),'ID1&amp;5'!B:J,9,FALSE),"-")</f>
        <v>-</v>
      </c>
      <c r="U97" s="91" t="str">
        <f>+IFERROR(VLOOKUP(F97,'ID1&amp;5'!K:L,2,FALSE),"-")</f>
        <v>-</v>
      </c>
      <c r="V97" s="92" t="str">
        <f>+IFERROR(VLOOKUP(CONCATENATE(A97,$F$10,F97),'ID1&amp;5'!B:J,9,FALSE),"-")</f>
        <v>-</v>
      </c>
      <c r="W97" s="33" t="str">
        <f>+IFERROR(VLOOKUP(A97,'ID6&amp;7'!A:I,9,FALSE),"-")</f>
        <v>-</v>
      </c>
      <c r="X97" s="33" t="str">
        <f>+IFERROR(VLOOKUP(A97,'ID6&amp;7'!A:J,10,FALSE),"-")</f>
        <v>-</v>
      </c>
      <c r="Y97" s="33"/>
      <c r="Z97" s="34" t="str">
        <f t="shared" si="3"/>
        <v>Por iniciar</v>
      </c>
    </row>
    <row r="98" spans="1:26">
      <c r="A98" s="27" t="str">
        <f t="shared" si="2"/>
        <v>ENTITYTTL_DBT45596</v>
      </c>
      <c r="B98" s="74">
        <f t="array" ref="B98">+MAX(IF('ID1&amp;5'!A:A='1. Status'!A98&amp;'1. Status'!$B$10,'ID1&amp;5'!K:K))</f>
        <v>0</v>
      </c>
      <c r="C98" s="67">
        <f t="array" ref="C98">+MAX(IF('ID1&amp;5'!A:A='1. Status'!A98&amp;'1. Status'!$C$10,'ID1&amp;5'!K:K))</f>
        <v>0</v>
      </c>
      <c r="D98" s="67">
        <f t="array" ref="D98">+MAX(IF('ID1&amp;5'!A:A='1. Status'!A98&amp;'1. Status'!$D$10,'ID1&amp;5'!K:K))</f>
        <v>0</v>
      </c>
      <c r="E98" s="67">
        <f t="array" ref="E98">+MAX(IF('ID1&amp;5'!A:A='1. Status'!A98&amp;'1. Status'!$E$10,'ID1&amp;5'!K:K))</f>
        <v>0</v>
      </c>
      <c r="F98" s="75">
        <f t="array" ref="F98">+MAX(IF('ID1&amp;5'!A:A='1. Status'!A98&amp;'1. Status'!$F$10,'ID1&amp;5'!K:K))</f>
        <v>0</v>
      </c>
      <c r="G98" s="67"/>
      <c r="H98" s="73" t="s">
        <v>98</v>
      </c>
      <c r="I98" s="28" t="s">
        <v>189</v>
      </c>
      <c r="J98" s="33">
        <f>+COUNTIF('ID1&amp;5'!G:G,'1. Status'!I98)</f>
        <v>0</v>
      </c>
      <c r="K98" s="92" t="str">
        <f>+IFERROR(VLOOKUP(CONCATENATE(A98,$B$10,B98),'ID1&amp;5'!B:J,8,FALSE),"-")</f>
        <v>-</v>
      </c>
      <c r="L98" s="91" t="str">
        <f>+IFERROR(VLOOKUP(B98,'ID1&amp;5'!K:L,2,FALSE),"-")</f>
        <v>-</v>
      </c>
      <c r="M98" s="92" t="str">
        <f>+IFERROR(VLOOKUP(CONCATENATE(A98,$B$10,B98),'ID1&amp;5'!B:J,9,FALSE),"-")</f>
        <v>-</v>
      </c>
      <c r="N98" s="92" t="str">
        <f>+IFERROR(VLOOKUP(CONCATENATE(A98,$C$10,C98),'ID1&amp;5'!B:J,8,FALSE),"-")</f>
        <v>-</v>
      </c>
      <c r="O98" s="91" t="str">
        <f>+IFERROR(VLOOKUP(C98,'ID1&amp;5'!K:L,2,FALSE),"-")</f>
        <v>-</v>
      </c>
      <c r="P98" s="92" t="str">
        <f>+IFERROR(VLOOKUP(CONCATENATE(A98,$C$10,C98),'ID1&amp;5'!B:J,9,FALSE),"-")</f>
        <v>-</v>
      </c>
      <c r="Q98" s="91" t="str">
        <f>+IFERROR(VLOOKUP(D98,'ID1&amp;5'!K:L,2,FALSE),"-")</f>
        <v>-</v>
      </c>
      <c r="R98" s="33" t="str">
        <f>+IFERROR(VLOOKUP(CONCATENATE(A98,$D$10,D98),'ID1&amp;5'!B:J,9,FALSE),"-")</f>
        <v>-</v>
      </c>
      <c r="S98" s="91" t="str">
        <f>+IFERROR(VLOOKUP(E98,'ID1&amp;5'!K:L,2,FALSE),"-")</f>
        <v>-</v>
      </c>
      <c r="T98" s="92" t="str">
        <f>+IFERROR(VLOOKUP(CONCATENATE(A98,$E$10,E98),'ID1&amp;5'!B:J,9,FALSE),"-")</f>
        <v>-</v>
      </c>
      <c r="U98" s="91" t="str">
        <f>+IFERROR(VLOOKUP(F98,'ID1&amp;5'!K:L,2,FALSE),"-")</f>
        <v>-</v>
      </c>
      <c r="V98" s="92" t="str">
        <f>+IFERROR(VLOOKUP(CONCATENATE(A98,$F$10,F98),'ID1&amp;5'!B:J,9,FALSE),"-")</f>
        <v>-</v>
      </c>
      <c r="W98" s="33" t="str">
        <f>+IFERROR(VLOOKUP(A98,'ID6&amp;7'!A:I,9,FALSE),"-")</f>
        <v>-</v>
      </c>
      <c r="X98" s="33" t="str">
        <f>+IFERROR(VLOOKUP(A98,'ID6&amp;7'!A:J,10,FALSE),"-")</f>
        <v>-</v>
      </c>
      <c r="Y98" s="33"/>
      <c r="Z98" s="34" t="str">
        <f t="shared" si="3"/>
        <v>Por iniciar</v>
      </c>
    </row>
    <row r="99" spans="1:26">
      <c r="A99" s="27" t="str">
        <f t="shared" si="2"/>
        <v>ENTITYCOD_SOC45596</v>
      </c>
      <c r="B99" s="74">
        <f t="array" ref="B99">+MAX(IF('ID1&amp;5'!A:A='1. Status'!A99&amp;'1. Status'!$B$10,'ID1&amp;5'!K:K))</f>
        <v>0</v>
      </c>
      <c r="C99" s="67">
        <f t="array" ref="C99">+MAX(IF('ID1&amp;5'!A:A='1. Status'!A99&amp;'1. Status'!$C$10,'ID1&amp;5'!K:K))</f>
        <v>0</v>
      </c>
      <c r="D99" s="67">
        <f t="array" ref="D99">+MAX(IF('ID1&amp;5'!A:A='1. Status'!A99&amp;'1. Status'!$D$10,'ID1&amp;5'!K:K))</f>
        <v>0</v>
      </c>
      <c r="E99" s="67">
        <f t="array" ref="E99">+MAX(IF('ID1&amp;5'!A:A='1. Status'!A99&amp;'1. Status'!$E$10,'ID1&amp;5'!K:K))</f>
        <v>0</v>
      </c>
      <c r="F99" s="75">
        <f t="array" ref="F99">+MAX(IF('ID1&amp;5'!A:A='1. Status'!A99&amp;'1. Status'!$F$10,'ID1&amp;5'!K:K))</f>
        <v>0</v>
      </c>
      <c r="G99" s="67"/>
      <c r="H99" s="73" t="s">
        <v>98</v>
      </c>
      <c r="I99" s="28" t="s">
        <v>173</v>
      </c>
      <c r="J99" s="33">
        <f>+COUNTIF('ID1&amp;5'!G:G,'1. Status'!I99)</f>
        <v>0</v>
      </c>
      <c r="K99" s="92" t="str">
        <f>+IFERROR(VLOOKUP(CONCATENATE(A99,$B$10,B99),'ID1&amp;5'!B:J,8,FALSE),"-")</f>
        <v>-</v>
      </c>
      <c r="L99" s="91" t="str">
        <f>+IFERROR(VLOOKUP(B99,'ID1&amp;5'!K:L,2,FALSE),"-")</f>
        <v>-</v>
      </c>
      <c r="M99" s="92" t="str">
        <f>+IFERROR(VLOOKUP(CONCATENATE(A99,$B$10,B99),'ID1&amp;5'!B:J,9,FALSE),"-")</f>
        <v>-</v>
      </c>
      <c r="N99" s="92" t="str">
        <f>+IFERROR(VLOOKUP(CONCATENATE(A99,$C$10,C99),'ID1&amp;5'!B:J,8,FALSE),"-")</f>
        <v>-</v>
      </c>
      <c r="O99" s="91" t="str">
        <f>+IFERROR(VLOOKUP(C99,'ID1&amp;5'!K:L,2,FALSE),"-")</f>
        <v>-</v>
      </c>
      <c r="P99" s="92" t="str">
        <f>+IFERROR(VLOOKUP(CONCATENATE(A99,$C$10,C99),'ID1&amp;5'!B:J,9,FALSE),"-")</f>
        <v>-</v>
      </c>
      <c r="Q99" s="91" t="str">
        <f>+IFERROR(VLOOKUP(D99,'ID1&amp;5'!K:L,2,FALSE),"-")</f>
        <v>-</v>
      </c>
      <c r="R99" s="33" t="str">
        <f>+IFERROR(VLOOKUP(CONCATENATE(A99,$D$10,D99),'ID1&amp;5'!B:J,9,FALSE),"-")</f>
        <v>-</v>
      </c>
      <c r="S99" s="91" t="str">
        <f>+IFERROR(VLOOKUP(E99,'ID1&amp;5'!K:L,2,FALSE),"-")</f>
        <v>-</v>
      </c>
      <c r="T99" s="92" t="str">
        <f>+IFERROR(VLOOKUP(CONCATENATE(A99,$E$10,E99),'ID1&amp;5'!B:J,9,FALSE),"-")</f>
        <v>-</v>
      </c>
      <c r="U99" s="91" t="str">
        <f>+IFERROR(VLOOKUP(F99,'ID1&amp;5'!K:L,2,FALSE),"-")</f>
        <v>-</v>
      </c>
      <c r="V99" s="92" t="str">
        <f>+IFERROR(VLOOKUP(CONCATENATE(A99,$F$10,F99),'ID1&amp;5'!B:J,9,FALSE),"-")</f>
        <v>-</v>
      </c>
      <c r="W99" s="33" t="str">
        <f>+IFERROR(VLOOKUP(A99,'ID6&amp;7'!A:I,9,FALSE),"-")</f>
        <v>-</v>
      </c>
      <c r="X99" s="33" t="str">
        <f>+IFERROR(VLOOKUP(A99,'ID6&amp;7'!A:J,10,FALSE),"-")</f>
        <v>-</v>
      </c>
      <c r="Y99" s="33"/>
      <c r="Z99" s="34" t="str">
        <f t="shared" si="3"/>
        <v>Por iniciar</v>
      </c>
    </row>
    <row r="100" spans="1:26">
      <c r="A100" s="27" t="str">
        <f t="shared" si="2"/>
        <v>PROTECTIONDT_RFRNC45596</v>
      </c>
      <c r="B100" s="74">
        <f t="array" ref="B100">+MAX(IF('ID1&amp;5'!A:A='1. Status'!A100&amp;'1. Status'!$B$10,'ID1&amp;5'!K:K))</f>
        <v>0</v>
      </c>
      <c r="C100" s="67">
        <f t="array" ref="C100">+MAX(IF('ID1&amp;5'!A:A='1. Status'!A100&amp;'1. Status'!$C$10,'ID1&amp;5'!K:K))</f>
        <v>0</v>
      </c>
      <c r="D100" s="67">
        <f t="array" ref="D100">+MAX(IF('ID1&amp;5'!A:A='1. Status'!A100&amp;'1. Status'!$D$10,'ID1&amp;5'!K:K))</f>
        <v>0</v>
      </c>
      <c r="E100" s="67">
        <f t="array" ref="E100">+MAX(IF('ID1&amp;5'!A:A='1. Status'!A100&amp;'1. Status'!$E$10,'ID1&amp;5'!K:K))</f>
        <v>0</v>
      </c>
      <c r="F100" s="75">
        <f t="array" ref="F100">+MAX(IF('ID1&amp;5'!A:A='1. Status'!A100&amp;'1. Status'!$F$10,'ID1&amp;5'!K:K))</f>
        <v>0</v>
      </c>
      <c r="G100" s="67"/>
      <c r="H100" s="73" t="s">
        <v>134</v>
      </c>
      <c r="I100" s="28" t="s">
        <v>156</v>
      </c>
      <c r="J100" s="33">
        <f>+COUNTIF('ID1&amp;5'!G:G,'1. Status'!I100)</f>
        <v>0</v>
      </c>
      <c r="K100" s="92" t="str">
        <f>+IFERROR(VLOOKUP(CONCATENATE(A100,$B$10,B100),'ID1&amp;5'!B:J,8,FALSE),"-")</f>
        <v>-</v>
      </c>
      <c r="L100" s="91" t="str">
        <f>+IFERROR(VLOOKUP(B100,'ID1&amp;5'!K:L,2,FALSE),"-")</f>
        <v>-</v>
      </c>
      <c r="M100" s="92" t="str">
        <f>+IFERROR(VLOOKUP(CONCATENATE(A100,$B$10,B100),'ID1&amp;5'!B:J,9,FALSE),"-")</f>
        <v>-</v>
      </c>
      <c r="N100" s="92" t="str">
        <f>+IFERROR(VLOOKUP(CONCATENATE(A100,$C$10,C100),'ID1&amp;5'!B:J,8,FALSE),"-")</f>
        <v>-</v>
      </c>
      <c r="O100" s="91" t="str">
        <f>+IFERROR(VLOOKUP(C100,'ID1&amp;5'!K:L,2,FALSE),"-")</f>
        <v>-</v>
      </c>
      <c r="P100" s="92" t="str">
        <f>+IFERROR(VLOOKUP(CONCATENATE(A100,$C$10,C100),'ID1&amp;5'!B:J,9,FALSE),"-")</f>
        <v>-</v>
      </c>
      <c r="Q100" s="91" t="str">
        <f>+IFERROR(VLOOKUP(D100,'ID1&amp;5'!K:L,2,FALSE),"-")</f>
        <v>-</v>
      </c>
      <c r="R100" s="33" t="str">
        <f>+IFERROR(VLOOKUP(CONCATENATE(A100,$D$10,D100),'ID1&amp;5'!B:J,9,FALSE),"-")</f>
        <v>-</v>
      </c>
      <c r="S100" s="91" t="str">
        <f>+IFERROR(VLOOKUP(E100,'ID1&amp;5'!K:L,2,FALSE),"-")</f>
        <v>-</v>
      </c>
      <c r="T100" s="92" t="str">
        <f>+IFERROR(VLOOKUP(CONCATENATE(A100,$E$10,E100),'ID1&amp;5'!B:J,9,FALSE),"-")</f>
        <v>-</v>
      </c>
      <c r="U100" s="91" t="str">
        <f>+IFERROR(VLOOKUP(F100,'ID1&amp;5'!K:L,2,FALSE),"-")</f>
        <v>-</v>
      </c>
      <c r="V100" s="92" t="str">
        <f>+IFERROR(VLOOKUP(CONCATENATE(A100,$F$10,F100),'ID1&amp;5'!B:J,9,FALSE),"-")</f>
        <v>-</v>
      </c>
      <c r="W100" s="33" t="str">
        <f>+IFERROR(VLOOKUP(A100,'ID6&amp;7'!A:I,9,FALSE),"-")</f>
        <v>-</v>
      </c>
      <c r="X100" s="33" t="str">
        <f>+IFERROR(VLOOKUP(A100,'ID6&amp;7'!A:J,10,FALSE),"-")</f>
        <v>-</v>
      </c>
      <c r="Y100" s="33"/>
      <c r="Z100" s="34" t="str">
        <f t="shared" si="3"/>
        <v>Por iniciar</v>
      </c>
    </row>
    <row r="101" spans="1:26">
      <c r="A101" s="27" t="str">
        <f t="shared" si="2"/>
        <v>PROTECTIONPRTCTN_ID45596</v>
      </c>
      <c r="B101" s="74">
        <f t="array" ref="B101">+MAX(IF('ID1&amp;5'!A:A='1. Status'!A101&amp;'1. Status'!$B$10,'ID1&amp;5'!K:K))</f>
        <v>0</v>
      </c>
      <c r="C101" s="67">
        <f t="array" ref="C101">+MAX(IF('ID1&amp;5'!A:A='1. Status'!A101&amp;'1. Status'!$C$10,'ID1&amp;5'!K:K))</f>
        <v>0</v>
      </c>
      <c r="D101" s="67">
        <f t="array" ref="D101">+MAX(IF('ID1&amp;5'!A:A='1. Status'!A101&amp;'1. Status'!$D$10,'ID1&amp;5'!K:K))</f>
        <v>0</v>
      </c>
      <c r="E101" s="67">
        <f t="array" ref="E101">+MAX(IF('ID1&amp;5'!A:A='1. Status'!A101&amp;'1. Status'!$E$10,'ID1&amp;5'!K:K))</f>
        <v>0</v>
      </c>
      <c r="F101" s="75">
        <f t="array" ref="F101">+MAX(IF('ID1&amp;5'!A:A='1. Status'!A101&amp;'1. Status'!$F$10,'ID1&amp;5'!K:K))</f>
        <v>0</v>
      </c>
      <c r="G101" s="67"/>
      <c r="H101" s="73" t="s">
        <v>134</v>
      </c>
      <c r="I101" s="28" t="s">
        <v>190</v>
      </c>
      <c r="J101" s="33">
        <f>+COUNTIF('ID1&amp;5'!G:G,'1. Status'!I101)</f>
        <v>0</v>
      </c>
      <c r="K101" s="92" t="str">
        <f>+IFERROR(VLOOKUP(CONCATENATE(A101,$B$10,B101),'ID1&amp;5'!B:J,8,FALSE),"-")</f>
        <v>-</v>
      </c>
      <c r="L101" s="91" t="str">
        <f>+IFERROR(VLOOKUP(B101,'ID1&amp;5'!K:L,2,FALSE),"-")</f>
        <v>-</v>
      </c>
      <c r="M101" s="92" t="str">
        <f>+IFERROR(VLOOKUP(CONCATENATE(A101,$B$10,B101),'ID1&amp;5'!B:J,9,FALSE),"-")</f>
        <v>-</v>
      </c>
      <c r="N101" s="92" t="str">
        <f>+IFERROR(VLOOKUP(CONCATENATE(A101,$C$10,C101),'ID1&amp;5'!B:J,8,FALSE),"-")</f>
        <v>-</v>
      </c>
      <c r="O101" s="91" t="str">
        <f>+IFERROR(VLOOKUP(C101,'ID1&amp;5'!K:L,2,FALSE),"-")</f>
        <v>-</v>
      </c>
      <c r="P101" s="92" t="str">
        <f>+IFERROR(VLOOKUP(CONCATENATE(A101,$C$10,C101),'ID1&amp;5'!B:J,9,FALSE),"-")</f>
        <v>-</v>
      </c>
      <c r="Q101" s="91" t="str">
        <f>+IFERROR(VLOOKUP(D101,'ID1&amp;5'!K:L,2,FALSE),"-")</f>
        <v>-</v>
      </c>
      <c r="R101" s="33" t="str">
        <f>+IFERROR(VLOOKUP(CONCATENATE(A101,$D$10,D101),'ID1&amp;5'!B:J,9,FALSE),"-")</f>
        <v>-</v>
      </c>
      <c r="S101" s="91" t="str">
        <f>+IFERROR(VLOOKUP(E101,'ID1&amp;5'!K:L,2,FALSE),"-")</f>
        <v>-</v>
      </c>
      <c r="T101" s="92" t="str">
        <f>+IFERROR(VLOOKUP(CONCATENATE(A101,$E$10,E101),'ID1&amp;5'!B:J,9,FALSE),"-")</f>
        <v>-</v>
      </c>
      <c r="U101" s="91" t="str">
        <f>+IFERROR(VLOOKUP(F101,'ID1&amp;5'!K:L,2,FALSE),"-")</f>
        <v>-</v>
      </c>
      <c r="V101" s="92" t="str">
        <f>+IFERROR(VLOOKUP(CONCATENATE(A101,$F$10,F101),'ID1&amp;5'!B:J,9,FALSE),"-")</f>
        <v>-</v>
      </c>
      <c r="W101" s="33" t="str">
        <f>+IFERROR(VLOOKUP(A101,'ID6&amp;7'!A:I,9,FALSE),"-")</f>
        <v>-</v>
      </c>
      <c r="X101" s="33" t="str">
        <f>+IFERROR(VLOOKUP(A101,'ID6&amp;7'!A:J,10,FALSE),"-")</f>
        <v>-</v>
      </c>
      <c r="Y101" s="33"/>
      <c r="Z101" s="34" t="str">
        <f t="shared" si="3"/>
        <v>Por iniciar</v>
      </c>
    </row>
    <row r="102" spans="1:26">
      <c r="A102" s="27" t="str">
        <f t="shared" si="2"/>
        <v>PROTECTIONRL_ESTT_CLLTRL_LCTN45596</v>
      </c>
      <c r="B102" s="74">
        <f t="array" ref="B102">+MAX(IF('ID1&amp;5'!A:A='1. Status'!A102&amp;'1. Status'!$B$10,'ID1&amp;5'!K:K))</f>
        <v>6</v>
      </c>
      <c r="C102" s="67">
        <f t="array" ref="C102">+MAX(IF('ID1&amp;5'!A:A='1. Status'!A102&amp;'1. Status'!$C$10,'ID1&amp;5'!K:K))</f>
        <v>6</v>
      </c>
      <c r="D102" s="67">
        <f t="array" ref="D102">+MAX(IF('ID1&amp;5'!A:A='1. Status'!A102&amp;'1. Status'!$D$10,'ID1&amp;5'!K:K))</f>
        <v>6</v>
      </c>
      <c r="E102" s="67">
        <f t="array" ref="E102">+MAX(IF('ID1&amp;5'!A:A='1. Status'!A102&amp;'1. Status'!$E$10,'ID1&amp;5'!K:K))</f>
        <v>6</v>
      </c>
      <c r="F102" s="75">
        <f t="array" ref="F102">+MAX(IF('ID1&amp;5'!A:A='1. Status'!A102&amp;'1. Status'!$F$10,'ID1&amp;5'!K:K))</f>
        <v>6</v>
      </c>
      <c r="G102" s="67"/>
      <c r="H102" s="73" t="s">
        <v>134</v>
      </c>
      <c r="I102" s="28" t="s">
        <v>191</v>
      </c>
      <c r="J102" s="33">
        <f>+COUNTIF('ID1&amp;5'!G:G,'1. Status'!I102)</f>
        <v>5</v>
      </c>
      <c r="K102" s="92">
        <f>+IFERROR(VLOOKUP(CONCATENATE(A102,$B$10,B102),'ID1&amp;5'!B:J,8,FALSE),"-")</f>
        <v>475722</v>
      </c>
      <c r="L102" s="91" t="str">
        <f>+IFERROR(VLOOKUP(B102,'ID1&amp;5'!K:L,2,FALSE),"-")</f>
        <v>2024-12-09 09:45:44.761004000</v>
      </c>
      <c r="M102" s="92">
        <f>+IFERROR(VLOOKUP(CONCATENATE(A102,$B$10,B102),'ID1&amp;5'!B:J,9,FALSE),"-")</f>
        <v>0</v>
      </c>
      <c r="N102" s="92">
        <f>+IFERROR(VLOOKUP(CONCATENATE(A102,$C$10,C102),'ID1&amp;5'!B:J,8,FALSE),"-")</f>
        <v>475803</v>
      </c>
      <c r="O102" s="91" t="str">
        <f>+IFERROR(VLOOKUP(C102,'ID1&amp;5'!K:L,2,FALSE),"-")</f>
        <v>2024-12-09 09:45:44.761004000</v>
      </c>
      <c r="P102" s="92">
        <f>+IFERROR(VLOOKUP(CONCATENATE(A102,$C$10,C102),'ID1&amp;5'!B:J,9,FALSE),"-")</f>
        <v>0</v>
      </c>
      <c r="Q102" s="91" t="str">
        <f>+IFERROR(VLOOKUP(D102,'ID1&amp;5'!K:L,2,FALSE),"-")</f>
        <v>2024-12-09 09:45:44.761004000</v>
      </c>
      <c r="R102" s="33">
        <f>+IFERROR(VLOOKUP(CONCATENATE(A102,$D$10,D102),'ID1&amp;5'!B:J,9,FALSE),"-")</f>
        <v>0</v>
      </c>
      <c r="S102" s="91" t="str">
        <f>+IFERROR(VLOOKUP(E102,'ID1&amp;5'!K:L,2,FALSE),"-")</f>
        <v>2024-12-09 09:45:44.761004000</v>
      </c>
      <c r="T102" s="92">
        <f>+IFERROR(VLOOKUP(CONCATENATE(A102,$E$10,E102),'ID1&amp;5'!B:J,9,FALSE),"-")</f>
        <v>0</v>
      </c>
      <c r="U102" s="91" t="str">
        <f>+IFERROR(VLOOKUP(F102,'ID1&amp;5'!K:L,2,FALSE),"-")</f>
        <v>2024-12-09 09:45:44.761004000</v>
      </c>
      <c r="V102" s="92">
        <f>+IFERROR(VLOOKUP(CONCATENATE(A102,$F$10,F102),'ID1&amp;5'!B:J,9,FALSE),"-")</f>
        <v>201682</v>
      </c>
      <c r="W102" s="33" t="str">
        <f>+IFERROR(VLOOKUP(A102,'ID6&amp;7'!A:I,9,FALSE),"-")</f>
        <v>PT</v>
      </c>
      <c r="X102" s="33" t="str">
        <f>+IFERROR(VLOOKUP(A102,'ID6&amp;7'!A:J,10,FALSE),"-")</f>
        <v>PT</v>
      </c>
      <c r="Y102" s="33"/>
      <c r="Z102" s="34" t="str">
        <f t="shared" si="3"/>
        <v>OK</v>
      </c>
    </row>
    <row r="103" spans="1:26">
      <c r="A103" s="27" t="str">
        <f t="shared" si="2"/>
        <v>PROTECTIONRL_ESTT_PST_CD45596</v>
      </c>
      <c r="B103" s="74">
        <f t="array" ref="B103">+MAX(IF('ID1&amp;5'!A:A='1. Status'!A103&amp;'1. Status'!$B$10,'ID1&amp;5'!K:K))</f>
        <v>6</v>
      </c>
      <c r="C103" s="67">
        <f t="array" ref="C103">+MAX(IF('ID1&amp;5'!A:A='1. Status'!A103&amp;'1. Status'!$C$10,'ID1&amp;5'!K:K))</f>
        <v>6</v>
      </c>
      <c r="D103" s="67">
        <f t="array" ref="D103">+MAX(IF('ID1&amp;5'!A:A='1. Status'!A103&amp;'1. Status'!$D$10,'ID1&amp;5'!K:K))</f>
        <v>6</v>
      </c>
      <c r="E103" s="67">
        <f t="array" ref="E103">+MAX(IF('ID1&amp;5'!A:A='1. Status'!A103&amp;'1. Status'!$E$10,'ID1&amp;5'!K:K))</f>
        <v>6</v>
      </c>
      <c r="F103" s="75">
        <f t="array" ref="F103">+MAX(IF('ID1&amp;5'!A:A='1. Status'!A103&amp;'1. Status'!$F$10,'ID1&amp;5'!K:K))</f>
        <v>6</v>
      </c>
      <c r="G103" s="67"/>
      <c r="H103" s="73" t="s">
        <v>134</v>
      </c>
      <c r="I103" s="28" t="s">
        <v>192</v>
      </c>
      <c r="J103" s="33">
        <f>+COUNTIF('ID1&amp;5'!G:G,'1. Status'!I103)</f>
        <v>5</v>
      </c>
      <c r="K103" s="92">
        <f>+IFERROR(VLOOKUP(CONCATENATE(A103,$B$10,B103),'ID1&amp;5'!B:J,8,FALSE),"-")</f>
        <v>475722</v>
      </c>
      <c r="L103" s="91" t="str">
        <f>+IFERROR(VLOOKUP(B103,'ID1&amp;5'!K:L,2,FALSE),"-")</f>
        <v>2024-12-09 09:45:44.761004000</v>
      </c>
      <c r="M103" s="92">
        <f>+IFERROR(VLOOKUP(CONCATENATE(A103,$B$10,B103),'ID1&amp;5'!B:J,9,FALSE),"-")</f>
        <v>0</v>
      </c>
      <c r="N103" s="92">
        <f>+IFERROR(VLOOKUP(CONCATENATE(A103,$C$10,C103),'ID1&amp;5'!B:J,8,FALSE),"-")</f>
        <v>475803</v>
      </c>
      <c r="O103" s="91" t="str">
        <f>+IFERROR(VLOOKUP(C103,'ID1&amp;5'!K:L,2,FALSE),"-")</f>
        <v>2024-12-09 09:45:44.761004000</v>
      </c>
      <c r="P103" s="92">
        <f>+IFERROR(VLOOKUP(CONCATENATE(A103,$C$10,C103),'ID1&amp;5'!B:J,9,FALSE),"-")</f>
        <v>0</v>
      </c>
      <c r="Q103" s="91" t="str">
        <f>+IFERROR(VLOOKUP(D103,'ID1&amp;5'!K:L,2,FALSE),"-")</f>
        <v>2024-12-09 09:45:44.761004000</v>
      </c>
      <c r="R103" s="33">
        <f>+IFERROR(VLOOKUP(CONCATENATE(A103,$D$10,D103),'ID1&amp;5'!B:J,9,FALSE),"-")</f>
        <v>0</v>
      </c>
      <c r="S103" s="91" t="str">
        <f>+IFERROR(VLOOKUP(E103,'ID1&amp;5'!K:L,2,FALSE),"-")</f>
        <v>2024-12-09 09:45:44.761004000</v>
      </c>
      <c r="T103" s="92">
        <f>+IFERROR(VLOOKUP(CONCATENATE(A103,$E$10,E103),'ID1&amp;5'!B:J,9,FALSE),"-")</f>
        <v>369</v>
      </c>
      <c r="U103" s="91" t="str">
        <f>+IFERROR(VLOOKUP(F103,'ID1&amp;5'!K:L,2,FALSE),"-")</f>
        <v>2024-12-09 09:45:44.761004000</v>
      </c>
      <c r="V103" s="92">
        <f>+IFERROR(VLOOKUP(CONCATENATE(A103,$F$10,F103),'ID1&amp;5'!B:J,9,FALSE),"-")</f>
        <v>201682</v>
      </c>
      <c r="W103" s="33" t="str">
        <f>+IFERROR(VLOOKUP(A103,'ID6&amp;7'!A:I,9,FALSE),"-")</f>
        <v>0000-000</v>
      </c>
      <c r="X103" s="33" t="str">
        <f>+IFERROR(VLOOKUP(A103,'ID6&amp;7'!A:J,10,FALSE),"-")</f>
        <v>9980060</v>
      </c>
      <c r="Y103" s="33"/>
      <c r="Z103" s="34" t="str">
        <f t="shared" si="3"/>
        <v>OK</v>
      </c>
    </row>
    <row r="104" spans="1:26">
      <c r="A104" s="27" t="str">
        <f t="shared" si="2"/>
        <v>PROTECTIONTYP_PRTCTN45596</v>
      </c>
      <c r="B104" s="74">
        <f t="array" ref="B104">+MAX(IF('ID1&amp;5'!A:A='1. Status'!A104&amp;'1. Status'!$B$10,'ID1&amp;5'!K:K))</f>
        <v>0</v>
      </c>
      <c r="C104" s="67">
        <f t="array" ref="C104">+MAX(IF('ID1&amp;5'!A:A='1. Status'!A104&amp;'1. Status'!$C$10,'ID1&amp;5'!K:K))</f>
        <v>0</v>
      </c>
      <c r="D104" s="67">
        <f t="array" ref="D104">+MAX(IF('ID1&amp;5'!A:A='1. Status'!A104&amp;'1. Status'!$D$10,'ID1&amp;5'!K:K))</f>
        <v>0</v>
      </c>
      <c r="E104" s="67">
        <f t="array" ref="E104">+MAX(IF('ID1&amp;5'!A:A='1. Status'!A104&amp;'1. Status'!$E$10,'ID1&amp;5'!K:K))</f>
        <v>0</v>
      </c>
      <c r="F104" s="75">
        <f t="array" ref="F104">+MAX(IF('ID1&amp;5'!A:A='1. Status'!A104&amp;'1. Status'!$F$10,'ID1&amp;5'!K:K))</f>
        <v>0</v>
      </c>
      <c r="G104" s="67"/>
      <c r="H104" s="73" t="s">
        <v>134</v>
      </c>
      <c r="I104" s="28" t="s">
        <v>193</v>
      </c>
      <c r="J104" s="33">
        <f>+COUNTIF('ID1&amp;5'!G:G,'1. Status'!I104)</f>
        <v>0</v>
      </c>
      <c r="K104" s="92" t="str">
        <f>+IFERROR(VLOOKUP(CONCATENATE(A104,$B$10,B104),'ID1&amp;5'!B:J,8,FALSE),"-")</f>
        <v>-</v>
      </c>
      <c r="L104" s="91" t="str">
        <f>+IFERROR(VLOOKUP(B104,'ID1&amp;5'!K:L,2,FALSE),"-")</f>
        <v>-</v>
      </c>
      <c r="M104" s="92" t="str">
        <f>+IFERROR(VLOOKUP(CONCATENATE(A104,$B$10,B104),'ID1&amp;5'!B:J,9,FALSE),"-")</f>
        <v>-</v>
      </c>
      <c r="N104" s="92" t="str">
        <f>+IFERROR(VLOOKUP(CONCATENATE(A104,$C$10,C104),'ID1&amp;5'!B:J,8,FALSE),"-")</f>
        <v>-</v>
      </c>
      <c r="O104" s="91" t="str">
        <f>+IFERROR(VLOOKUP(C104,'ID1&amp;5'!K:L,2,FALSE),"-")</f>
        <v>-</v>
      </c>
      <c r="P104" s="92" t="str">
        <f>+IFERROR(VLOOKUP(CONCATENATE(A104,$C$10,C104),'ID1&amp;5'!B:J,9,FALSE),"-")</f>
        <v>-</v>
      </c>
      <c r="Q104" s="91" t="str">
        <f>+IFERROR(VLOOKUP(D104,'ID1&amp;5'!K:L,2,FALSE),"-")</f>
        <v>-</v>
      </c>
      <c r="R104" s="33" t="str">
        <f>+IFERROR(VLOOKUP(CONCATENATE(A104,$D$10,D104),'ID1&amp;5'!B:J,9,FALSE),"-")</f>
        <v>-</v>
      </c>
      <c r="S104" s="91" t="str">
        <f>+IFERROR(VLOOKUP(E104,'ID1&amp;5'!K:L,2,FALSE),"-")</f>
        <v>-</v>
      </c>
      <c r="T104" s="92" t="str">
        <f>+IFERROR(VLOOKUP(CONCATENATE(A104,$E$10,E104),'ID1&amp;5'!B:J,9,FALSE),"-")</f>
        <v>-</v>
      </c>
      <c r="U104" s="91" t="str">
        <f>+IFERROR(VLOOKUP(F104,'ID1&amp;5'!K:L,2,FALSE),"-")</f>
        <v>-</v>
      </c>
      <c r="V104" s="92" t="str">
        <f>+IFERROR(VLOOKUP(CONCATENATE(A104,$F$10,F104),'ID1&amp;5'!B:J,9,FALSE),"-")</f>
        <v>-</v>
      </c>
      <c r="W104" s="33" t="str">
        <f>+IFERROR(VLOOKUP(A104,'ID6&amp;7'!A:I,9,FALSE),"-")</f>
        <v>-</v>
      </c>
      <c r="X104" s="33" t="str">
        <f>+IFERROR(VLOOKUP(A104,'ID6&amp;7'!A:J,10,FALSE),"-")</f>
        <v>-</v>
      </c>
      <c r="Y104" s="33"/>
      <c r="Z104" s="34" t="str">
        <f t="shared" si="3"/>
        <v>Por iniciar</v>
      </c>
    </row>
    <row r="105" spans="1:26">
      <c r="A105" s="27" t="str">
        <f t="shared" si="2"/>
        <v>PROTECTIONORGNL_PRTCTN_VL45596</v>
      </c>
      <c r="B105" s="74">
        <f t="array" ref="B105">+MAX(IF('ID1&amp;5'!A:A='1. Status'!A105&amp;'1. Status'!$B$10,'ID1&amp;5'!K:K))</f>
        <v>0</v>
      </c>
      <c r="C105" s="67">
        <f t="array" ref="C105">+MAX(IF('ID1&amp;5'!A:A='1. Status'!A105&amp;'1. Status'!$C$10,'ID1&amp;5'!K:K))</f>
        <v>0</v>
      </c>
      <c r="D105" s="67">
        <f t="array" ref="D105">+MAX(IF('ID1&amp;5'!A:A='1. Status'!A105&amp;'1. Status'!$D$10,'ID1&amp;5'!K:K))</f>
        <v>0</v>
      </c>
      <c r="E105" s="67">
        <f t="array" ref="E105">+MAX(IF('ID1&amp;5'!A:A='1. Status'!A105&amp;'1. Status'!$E$10,'ID1&amp;5'!K:K))</f>
        <v>0</v>
      </c>
      <c r="F105" s="75">
        <f t="array" ref="F105">+MAX(IF('ID1&amp;5'!A:A='1. Status'!A105&amp;'1. Status'!$F$10,'ID1&amp;5'!K:K))</f>
        <v>0</v>
      </c>
      <c r="G105" s="67"/>
      <c r="H105" s="73" t="s">
        <v>134</v>
      </c>
      <c r="I105" s="28" t="s">
        <v>194</v>
      </c>
      <c r="J105" s="33">
        <f>+COUNTIF('ID1&amp;5'!G:G,'1. Status'!I105)</f>
        <v>0</v>
      </c>
      <c r="K105" s="92" t="str">
        <f>+IFERROR(VLOOKUP(CONCATENATE(A105,$B$10,B105),'ID1&amp;5'!B:J,8,FALSE),"-")</f>
        <v>-</v>
      </c>
      <c r="L105" s="91" t="str">
        <f>+IFERROR(VLOOKUP(B105,'ID1&amp;5'!K:L,2,FALSE),"-")</f>
        <v>-</v>
      </c>
      <c r="M105" s="92" t="str">
        <f>+IFERROR(VLOOKUP(CONCATENATE(A105,$B$10,B105),'ID1&amp;5'!B:J,9,FALSE),"-")</f>
        <v>-</v>
      </c>
      <c r="N105" s="92" t="str">
        <f>+IFERROR(VLOOKUP(CONCATENATE(A105,$C$10,C105),'ID1&amp;5'!B:J,8,FALSE),"-")</f>
        <v>-</v>
      </c>
      <c r="O105" s="91" t="str">
        <f>+IFERROR(VLOOKUP(C105,'ID1&amp;5'!K:L,2,FALSE),"-")</f>
        <v>-</v>
      </c>
      <c r="P105" s="92" t="str">
        <f>+IFERROR(VLOOKUP(CONCATENATE(A105,$C$10,C105),'ID1&amp;5'!B:J,9,FALSE),"-")</f>
        <v>-</v>
      </c>
      <c r="Q105" s="91" t="str">
        <f>+IFERROR(VLOOKUP(D105,'ID1&amp;5'!K:L,2,FALSE),"-")</f>
        <v>-</v>
      </c>
      <c r="R105" s="33" t="str">
        <f>+IFERROR(VLOOKUP(CONCATENATE(A105,$D$10,D105),'ID1&amp;5'!B:J,9,FALSE),"-")</f>
        <v>-</v>
      </c>
      <c r="S105" s="91" t="str">
        <f>+IFERROR(VLOOKUP(E105,'ID1&amp;5'!K:L,2,FALSE),"-")</f>
        <v>-</v>
      </c>
      <c r="T105" s="92" t="str">
        <f>+IFERROR(VLOOKUP(CONCATENATE(A105,$E$10,E105),'ID1&amp;5'!B:J,9,FALSE),"-")</f>
        <v>-</v>
      </c>
      <c r="U105" s="91" t="str">
        <f>+IFERROR(VLOOKUP(F105,'ID1&amp;5'!K:L,2,FALSE),"-")</f>
        <v>-</v>
      </c>
      <c r="V105" s="92" t="str">
        <f>+IFERROR(VLOOKUP(CONCATENATE(A105,$F$10,F105),'ID1&amp;5'!B:J,9,FALSE),"-")</f>
        <v>-</v>
      </c>
      <c r="W105" s="33" t="str">
        <f>+IFERROR(VLOOKUP(A105,'ID6&amp;7'!A:I,9,FALSE),"-")</f>
        <v>-</v>
      </c>
      <c r="X105" s="33" t="str">
        <f>+IFERROR(VLOOKUP(A105,'ID6&amp;7'!A:J,10,FALSE),"-")</f>
        <v>-</v>
      </c>
      <c r="Y105" s="33"/>
      <c r="Z105" s="34" t="str">
        <f t="shared" si="3"/>
        <v>Por iniciar</v>
      </c>
    </row>
    <row r="106" spans="1:26">
      <c r="A106" s="27" t="str">
        <f t="shared" si="2"/>
        <v>PROTECTIONPRTCTN_VL45596</v>
      </c>
      <c r="B106" s="74">
        <f t="array" ref="B106">+MAX(IF('ID1&amp;5'!A:A='1. Status'!A106&amp;'1. Status'!$B$10,'ID1&amp;5'!K:K))</f>
        <v>0</v>
      </c>
      <c r="C106" s="67">
        <f t="array" ref="C106">+MAX(IF('ID1&amp;5'!A:A='1. Status'!A106&amp;'1. Status'!$C$10,'ID1&amp;5'!K:K))</f>
        <v>0</v>
      </c>
      <c r="D106" s="67">
        <f t="array" ref="D106">+MAX(IF('ID1&amp;5'!A:A='1. Status'!A106&amp;'1. Status'!$D$10,'ID1&amp;5'!K:K))</f>
        <v>0</v>
      </c>
      <c r="E106" s="67">
        <f t="array" ref="E106">+MAX(IF('ID1&amp;5'!A:A='1. Status'!A106&amp;'1. Status'!$E$10,'ID1&amp;5'!K:K))</f>
        <v>0</v>
      </c>
      <c r="F106" s="75">
        <f t="array" ref="F106">+MAX(IF('ID1&amp;5'!A:A='1. Status'!A106&amp;'1. Status'!$F$10,'ID1&amp;5'!K:K))</f>
        <v>0</v>
      </c>
      <c r="G106" s="67"/>
      <c r="H106" s="73" t="s">
        <v>134</v>
      </c>
      <c r="I106" s="28" t="s">
        <v>195</v>
      </c>
      <c r="J106" s="33">
        <f>+COUNTIF('ID1&amp;5'!G:G,'1. Status'!I106)</f>
        <v>0</v>
      </c>
      <c r="K106" s="92" t="str">
        <f>+IFERROR(VLOOKUP(CONCATENATE(A106,$B$10,B106),'ID1&amp;5'!B:J,8,FALSE),"-")</f>
        <v>-</v>
      </c>
      <c r="L106" s="91" t="str">
        <f>+IFERROR(VLOOKUP(B106,'ID1&amp;5'!K:L,2,FALSE),"-")</f>
        <v>-</v>
      </c>
      <c r="M106" s="92" t="str">
        <f>+IFERROR(VLOOKUP(CONCATENATE(A106,$B$10,B106),'ID1&amp;5'!B:J,9,FALSE),"-")</f>
        <v>-</v>
      </c>
      <c r="N106" s="92" t="str">
        <f>+IFERROR(VLOOKUP(CONCATENATE(A106,$C$10,C106),'ID1&amp;5'!B:J,8,FALSE),"-")</f>
        <v>-</v>
      </c>
      <c r="O106" s="91" t="str">
        <f>+IFERROR(VLOOKUP(C106,'ID1&amp;5'!K:L,2,FALSE),"-")</f>
        <v>-</v>
      </c>
      <c r="P106" s="92" t="str">
        <f>+IFERROR(VLOOKUP(CONCATENATE(A106,$C$10,C106),'ID1&amp;5'!B:J,9,FALSE),"-")</f>
        <v>-</v>
      </c>
      <c r="Q106" s="91" t="str">
        <f>+IFERROR(VLOOKUP(D106,'ID1&amp;5'!K:L,2,FALSE),"-")</f>
        <v>-</v>
      </c>
      <c r="R106" s="33" t="str">
        <f>+IFERROR(VLOOKUP(CONCATENATE(A106,$D$10,D106),'ID1&amp;5'!B:J,9,FALSE),"-")</f>
        <v>-</v>
      </c>
      <c r="S106" s="91" t="str">
        <f>+IFERROR(VLOOKUP(E106,'ID1&amp;5'!K:L,2,FALSE),"-")</f>
        <v>-</v>
      </c>
      <c r="T106" s="92" t="str">
        <f>+IFERROR(VLOOKUP(CONCATENATE(A106,$E$10,E106),'ID1&amp;5'!B:J,9,FALSE),"-")</f>
        <v>-</v>
      </c>
      <c r="U106" s="91" t="str">
        <f>+IFERROR(VLOOKUP(F106,'ID1&amp;5'!K:L,2,FALSE),"-")</f>
        <v>-</v>
      </c>
      <c r="V106" s="92" t="str">
        <f>+IFERROR(VLOOKUP(CONCATENATE(A106,$F$10,F106),'ID1&amp;5'!B:J,9,FALSE),"-")</f>
        <v>-</v>
      </c>
      <c r="W106" s="33" t="str">
        <f>+IFERROR(VLOOKUP(A106,'ID6&amp;7'!A:I,9,FALSE),"-")</f>
        <v>-</v>
      </c>
      <c r="X106" s="33" t="str">
        <f>+IFERROR(VLOOKUP(A106,'ID6&amp;7'!A:J,10,FALSE),"-")</f>
        <v>-</v>
      </c>
      <c r="Y106" s="33"/>
      <c r="Z106" s="34" t="str">
        <f t="shared" si="3"/>
        <v>Por iniciar</v>
      </c>
    </row>
    <row r="107" spans="1:26">
      <c r="A107" s="27" t="str">
        <f t="shared" si="2"/>
        <v>PROTECTIONCOD_SOC45596</v>
      </c>
      <c r="B107" s="76">
        <f t="array" ref="B107">+MAX(IF('ID1&amp;5'!A:A='1. Status'!A107&amp;'1. Status'!$B$10,'ID1&amp;5'!K:K))</f>
        <v>0</v>
      </c>
      <c r="C107" s="77">
        <f t="array" ref="C107">+MAX(IF('ID1&amp;5'!A:A='1. Status'!A107&amp;'1. Status'!$C$10,'ID1&amp;5'!K:K))</f>
        <v>0</v>
      </c>
      <c r="D107" s="77">
        <f t="array" ref="D107">+MAX(IF('ID1&amp;5'!A:A='1. Status'!A107&amp;'1. Status'!$D$10,'ID1&amp;5'!K:K))</f>
        <v>0</v>
      </c>
      <c r="E107" s="77">
        <f t="array" ref="E107">+MAX(IF('ID1&amp;5'!A:A='1. Status'!A107&amp;'1. Status'!$E$10,'ID1&amp;5'!K:K))</f>
        <v>0</v>
      </c>
      <c r="F107" s="78">
        <f t="array" ref="F107">+MAX(IF('ID1&amp;5'!A:A='1. Status'!A107&amp;'1. Status'!$F$10,'ID1&amp;5'!K:K))</f>
        <v>0</v>
      </c>
      <c r="G107" s="67"/>
      <c r="H107" s="73" t="s">
        <v>134</v>
      </c>
      <c r="I107" s="28" t="s">
        <v>173</v>
      </c>
      <c r="J107" s="33">
        <f>+COUNTIF('ID1&amp;5'!G:G,'1. Status'!I107)</f>
        <v>0</v>
      </c>
      <c r="K107" s="92" t="str">
        <f>+IFERROR(VLOOKUP(CONCATENATE(A107,$B$10,B107),'ID1&amp;5'!B:J,8,FALSE),"-")</f>
        <v>-</v>
      </c>
      <c r="L107" s="91" t="str">
        <f>+IFERROR(VLOOKUP(B107,'ID1&amp;5'!K:L,2,FALSE),"-")</f>
        <v>-</v>
      </c>
      <c r="M107" s="92" t="str">
        <f>+IFERROR(VLOOKUP(CONCATENATE(A107,$B$10,B107),'ID1&amp;5'!B:J,9,FALSE),"-")</f>
        <v>-</v>
      </c>
      <c r="N107" s="92" t="str">
        <f>+IFERROR(VLOOKUP(CONCATENATE(A107,$C$10,C107),'ID1&amp;5'!B:J,8,FALSE),"-")</f>
        <v>-</v>
      </c>
      <c r="O107" s="91" t="str">
        <f>+IFERROR(VLOOKUP(C107,'ID1&amp;5'!K:L,2,FALSE),"-")</f>
        <v>-</v>
      </c>
      <c r="P107" s="92" t="str">
        <f>+IFERROR(VLOOKUP(CONCATENATE(A107,$C$10,C107),'ID1&amp;5'!B:J,9,FALSE),"-")</f>
        <v>-</v>
      </c>
      <c r="Q107" s="91" t="str">
        <f>+IFERROR(VLOOKUP(D107,'ID1&amp;5'!K:L,2,FALSE),"-")</f>
        <v>-</v>
      </c>
      <c r="R107" s="33" t="str">
        <f>+IFERROR(VLOOKUP(CONCATENATE(A107,$D$10,D107),'ID1&amp;5'!B:J,9,FALSE),"-")</f>
        <v>-</v>
      </c>
      <c r="S107" s="91" t="str">
        <f>+IFERROR(VLOOKUP(E107,'ID1&amp;5'!K:L,2,FALSE),"-")</f>
        <v>-</v>
      </c>
      <c r="T107" s="92" t="str">
        <f>+IFERROR(VLOOKUP(CONCATENATE(A107,$E$10,E107),'ID1&amp;5'!B:J,9,FALSE),"-")</f>
        <v>-</v>
      </c>
      <c r="U107" s="91" t="str">
        <f>+IFERROR(VLOOKUP(F107,'ID1&amp;5'!K:L,2,FALSE),"-")</f>
        <v>-</v>
      </c>
      <c r="V107" s="92" t="str">
        <f>+IFERROR(VLOOKUP(CONCATENATE(A107,$F$10,F107),'ID1&amp;5'!B:J,9,FALSE),"-")</f>
        <v>-</v>
      </c>
      <c r="W107" s="33" t="str">
        <f>+IFERROR(VLOOKUP(A107,'ID6&amp;7'!A:I,9,FALSE),"-")</f>
        <v>-</v>
      </c>
      <c r="X107" s="33" t="str">
        <f>+IFERROR(VLOOKUP(A107,'ID6&amp;7'!A:J,10,FALSE),"-")</f>
        <v>-</v>
      </c>
      <c r="Y107" s="33"/>
      <c r="Z107" s="34" t="str">
        <f t="shared" si="3"/>
        <v>Por iniciar</v>
      </c>
    </row>
    <row r="108" spans="1:26"/>
  </sheetData>
  <mergeCells count="1">
    <mergeCell ref="B9:F9"/>
  </mergeCells>
  <conditionalFormatting sqref="Z11:Z107">
    <cfRule type="cellIs" dxfId="8" priority="1" operator="equal">
      <formula>"Por iniciar"</formula>
    </cfRule>
    <cfRule type="cellIs" dxfId="7" priority="2" operator="equal">
      <formula>"EM TESTES"</formula>
    </cfRule>
    <cfRule type="cellIs" dxfId="6" priority="3" operator="equal">
      <formula>"NOK"</formula>
    </cfRule>
    <cfRule type="cellIs" dxfId="5" priority="4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97"/>
  <sheetViews>
    <sheetView showGridLines="0" zoomScale="90" zoomScaleNormal="90" workbookViewId="0">
      <pane xSplit="3" ySplit="8" topLeftCell="D9" activePane="bottomRight" state="frozen"/>
      <selection pane="bottomRight"/>
      <selection pane="bottomLeft" activeCell="A9" sqref="A9"/>
      <selection pane="topRight" activeCell="D1" sqref="D1"/>
    </sheetView>
  </sheetViews>
  <sheetFormatPr defaultColWidth="0" defaultRowHeight="14.25" zeroHeight="1"/>
  <cols>
    <col min="1" max="1" width="3.5703125" style="2" customWidth="1"/>
    <col min="2" max="3" width="32.28515625" style="2" customWidth="1"/>
    <col min="4" max="4" width="42.28515625" style="2" bestFit="1" customWidth="1"/>
    <col min="5" max="13" width="24" style="2" customWidth="1"/>
    <col min="14" max="14" width="3.5703125" style="2" customWidth="1"/>
    <col min="15" max="29" width="0" style="2" hidden="1" customWidth="1"/>
    <col min="30" max="16384" width="9.140625" style="2" hidden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/>
    <row r="6" spans="1:28" ht="15.75" thickBot="1">
      <c r="B6" s="35" t="s">
        <v>196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</row>
    <row r="7" spans="1:28"/>
    <row r="8" spans="1:28" ht="15">
      <c r="B8" s="40" t="s">
        <v>197</v>
      </c>
      <c r="C8" s="40" t="s">
        <v>198</v>
      </c>
      <c r="D8" s="44" t="s">
        <v>199</v>
      </c>
      <c r="E8" s="44" t="s">
        <v>200</v>
      </c>
      <c r="F8" s="44" t="s">
        <v>201</v>
      </c>
      <c r="G8" s="44" t="s">
        <v>202</v>
      </c>
      <c r="H8" s="44" t="s">
        <v>203</v>
      </c>
      <c r="I8" s="44" t="s">
        <v>204</v>
      </c>
      <c r="J8" s="44" t="s">
        <v>205</v>
      </c>
      <c r="K8" s="44" t="s">
        <v>206</v>
      </c>
      <c r="L8" s="72" t="s">
        <v>207</v>
      </c>
      <c r="M8" s="72" t="s">
        <v>208</v>
      </c>
    </row>
    <row r="9" spans="1:28">
      <c r="B9" s="41" t="s">
        <v>27</v>
      </c>
      <c r="C9" s="41" t="s">
        <v>74</v>
      </c>
      <c r="D9" s="41" t="str">
        <f>+UPPER('0. Instruções'!$D$33&amp;"."&amp;VLOOKUP(B9,'0. Instruções'!$C$27:$D$31,2,FALSE))</f>
        <v>BU_LOANTAPE_WORK.LT002_INSTRUMENT</v>
      </c>
      <c r="E9" s="41" t="str">
        <f>+UPPER('0. Instruções'!$D$34&amp;"."&amp;VLOOKUP(B9,'0. Instruções'!$C$27:$E$31,3,FALSE))</f>
        <v>BU_LOANTAPE_WORK.LT002_INSTRUMENT_P3_NOV24</v>
      </c>
      <c r="F9" s="41" t="s">
        <v>151</v>
      </c>
      <c r="G9" s="41" t="s">
        <v>209</v>
      </c>
      <c r="H9" s="42"/>
      <c r="I9" s="41" t="str">
        <f>"(SELECT "&amp;VLOOKUP(B9,'0. Instruções'!$C$27:$G$31,4,FALSE)&amp;", "&amp;F9&amp;" FROM "&amp;D9&amp;" WHERE "&amp;'0. Instruções'!$D$40&amp;")X"</f>
        <v>(SELECT instrmnt_id, LNS_CLLTRLZD_CLSSFCTN FROM BU_LOANTAPE_WORK.LT002_INSTRUMENT WHERE ref_date='${ref_date}' AND nome_perimetro='Individual Corporativo' AND segmento='ESTR' AND ambito='PILAR3')X</v>
      </c>
      <c r="J9" s="41" t="str">
        <f>"(SELECT "&amp;VLOOKUP(B9,'0. Instruções'!$C$27:$G$31,4,FALSE)&amp;" AS "&amp;VLOOKUP(B9,'0. Instruções'!$C$27:$G$31,4,FALSE)&amp;"_SIMUL, "&amp;F9&amp;" AS "&amp;F9&amp;"_SIMUL FROM "&amp;E9&amp;")Y"</f>
        <v>(SELECT instrmnt_id AS instrmnt_id_SIMUL, LNS_CLLTRLZD_CLSSFCTN AS LNS_CLLTRLZD_CLSSFCTN_SIMUL FROM BU_LOANTAPE_WORK.LT002_INSTRUMENT_P3_NOV24)Y</v>
      </c>
      <c r="K9" s="42" t="str">
        <f>+UPPER("ON X."&amp;VLOOKUP(B9,'0. Instruções'!$C$27:$G$31,4,FALSE)&amp;"=Y."&amp;VLOOKUP(B9,'0. Instruções'!$C$27:$G$31,4,FALSE)&amp;"_SIMUL")</f>
        <v>ON X.INSTRMNT_ID=Y.INSTRMNT_ID_SIMUL</v>
      </c>
      <c r="L9" s="42" t="str">
        <f>+IF(C9="Coerência", +IF(LEFT(G9,5)="FLOAT","SELECT '"&amp;UPPER(B9)&amp;"' AS TABELA, '"&amp;UPPER(C9)&amp;"' AS TIPOLOGIA_TESTE,'"&amp;D9&amp;"' AS TABELA_LT,'"&amp;E9&amp;"' AS TABELA_SIMUL,'"&amp;F9&amp;"' AS CAMPO, "&amp;"'${ref_date}' AS REF_DATE, COUNT(*) AS NUM_REG, SUM(IF((ABS(COALESCE(X."&amp;F9&amp;",0)-COALESCE(Y."&amp;F9&amp;"_SIMUL,0))&gt;0.0000000001) OR (X."&amp;F9&amp;" IS NULL AND Y."&amp;F9&amp;"_SIMUL IS NOT NULL ) OR (X."&amp;F9&amp;" IS NOT NULL AND Y."&amp;F9&amp;"_SIMUL IS NULL),1,0)) AS NUM_REG_DIF,'"&amp;MAX('ID1&amp;5'!K:K)+1&amp;"' AS ID_EXEC, CURRENT_TIMESTAMP() AS TIME_EXEC FROM "&amp;I9&amp;" INNER JOIN "&amp;J9&amp;" "&amp;K9,"SELECT '"&amp;UPPER(B9)&amp;"' AS TABELA, '"&amp;UPPER(C9)&amp;"' AS TIPOLOGIA_TESTE,'"&amp;D9&amp;"' AS TABELA_LT,'"&amp;E9&amp;"' AS TABELA_SIMUL,'"&amp;F9&amp;"' AS CAMPO, "&amp;"'${ref_date}' AS REF_DATE, COUNT(*) AS NUM_REG, SUM(IF(COALESCE(CAST(X."&amp;F9&amp;" AS STRING),'')&lt;&gt;COALESCE(CAST(Y."&amp;F9&amp;"_SIMUL AS STRING),''),1,0)) AS NUM_REG_DIF,'"&amp;MAX('ID1&amp;5'!L:L)+1&amp;"' AS ID_EXEC, CURRENT_TIMESTAMP() AS TIME_EXEC FROM "&amp;I9&amp;" INNER JOIN "&amp;J9&amp;" "&amp;K9),
IF(C9="Validade",+IF(G9="Code List","SELECT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 OR CAST(X."&amp;F9&amp;" AS STRING) NOT "&amp;H9&amp;",1,0)) AS NUM_REG_DIF,'"&amp;MAX('ID1&amp;5'!K:K)+1&amp;"' AS ID_EXEC, CURRENT_TIMESTAMP() AS TIME_EXEC FROM "&amp;I9,"SELECT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NULL,1,0)) AS NUM_REG_DIF,'"&amp;MAX('ID1&amp;5'!K:K)+1&amp;"' AS ID_EXEC, CURRENT_TIMESTAMP() AS TIME_EXEC FROM "&amp;I9),
IF(C9="Caracteres Especiais",+"SELECT '"&amp;UPPER(B9)&amp;"' AS TABELA, '"&amp;UPPER(C9)&amp;"' AS TIPOLOGIA_TESTE,'"&amp;D9&amp;"' AS TABELA_LT,'N/A' AS TABELA_SIMUL,'"&amp;F9&amp;"' AS CAMPO, "&amp;"'${ref_date}' AS REF_DATE, COUNT(*) AS NUM_REG, SUM(IF(INSTR(CAST(X."&amp;F9&amp;" AS STRING),'#')&gt;0 OR INSTR(CAST(X."&amp;F9&amp;" AS STRING),'*')&gt;0 OR INSTR(CAST(X."&amp;F9&amp;" AS STRING),'`')&gt;0 OR INSTR(CAST(X."&amp;F9&amp;" AS STRING),'´')&gt;0 OR INSTR(CAST(X."&amp;F9&amp;" AS STRING),'{')&gt;0 OR INSTR(CAST(X."&amp;F9&amp;" AS STRING),'}')&gt;0 OR INSTR(CAST(X."&amp;F9&amp;" AS STRING),'[')&gt;0 OR INSTR(CAST(X."&amp;F9&amp;" AS STRING),'')&gt;0 OR INSTR(CAST(X."&amp;F9&amp;" AS STRING),']')&gt;0 OR INSTR(CAST(X."&amp;F9&amp;" AS STRING),'?')&gt;0 OR INSTR(CAST(X."&amp;F9&amp;" AS STRING),'!')&gt;0 OR INSTR(CAST(X."&amp;F9&amp;" AS STRING),'$')&gt;0 OR INSTR(CAST(X."&amp;F9&amp;" AS STRING),'%')&gt;0 OR INSTR(CAST(X."&amp;F9&amp;" AS STRING),'&amp;')&gt;0 OR INSTR(CAST(X."&amp;F9&amp;" AS STRING),'+')&gt;0,1,0)) AS NUM_REG_DIF,'"&amp;MAX('ID1&amp;5'!K:K)+1&amp;"' AS ID_EXEC, CURRENT_TIMESTAMP() AS TIME_EXEC FROM "&amp;I9,
IF(C9="Missings",+"SELECT '"&amp;UPPER(B9)&amp;"' AS TABELA, '"&amp;UPPER(C9)&amp;"' AS TIPOLOGIA_TESTE,'"&amp;D9&amp;"' AS TABELA_LT,'N/A' AS TABELA_SIMUL,'"&amp;F9&amp;"' AS CAMPO, "&amp;"'${ref_date}' AS REF_DATE, COUNT(*) AS NUM_REG, SUM(IF(TRIM(CAST(X."&amp;F9&amp;" AS STRING)) IN ('0000-00-00','0001-01-01','9999-12-31','MISS','00000','99999999999','99999999999.00','99999999999.000000'),1,0)) AS NUM_REG_DIF,'"&amp;MAX('ID1&amp;5'!K:K)+1&amp;"' AS ID_EXEC, CURRENT_TIMESTAMP() AS TIME_EXEC FROM "&amp;I9,
IF(C9="Not applicable",+"SELECT '"&amp;UPPER(B9)&amp;"' AS TABELA, '"&amp;UPPER(C9)&amp;"' AS TIPOLOGIA_TESTE,'"&amp;D9&amp;"' AS TABELA_LT,'N/A' AS TABELA_SIMUL,'"&amp;F9&amp;"' AS CAMPO, "&amp;"'${ref_date}' AS REF_DATE, COUNT(*) AS NUM_REG, SUM(IF(TRIM(CAST(X."&amp;F9&amp;" AS STRING)) IN ('N/A','11111111111','11111111111.00','11111111111.000000','1111-11-11'),1,0)) AS NUM_REG_DIF,'"&amp;MAX('ID1&amp;5'!K:K)+1&amp;"' AS ID_EXEC, CURRENT_TIMESTAMP() AS TIME_EXEC FROM "&amp;I9,
IF(C9="Valores extremos",+"SELECT '"&amp;UPPER(B9)&amp;"' AS TABELA, '"&amp;UPPER(C9)&amp;"' AS TIPOLOGIA_TESTE,'"&amp;D9&amp;"' AS TABELA_LT,'N/A' AS TABELA_SIMUL,'"&amp;F9&amp;"' AS CAMPO, "&amp;"'${ref_date}' AS REF_DATE, CAST(MIN("&amp;F9&amp;") AS STRING) AS VALOR_MIN, CAST(MAX("&amp;F9&amp;") AS STRING) AS VALOR_MAX,'"&amp;MAX('ID1&amp;5'!K:K)+1&amp;"' AS ID_EXEC, CURRENT_TIMESTAMP() AS TIME_EXEC FROM "&amp;MID(I9,1,LEN(I9)-2)&amp;" AND CAST("&amp;F9&amp;"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TABELA_SIMUL,'LNS_CLLTRLZD_CLSSFCTN' AS CAMPO, '${ref_date}' AS REF_DATE, COUNT(*) AS NUM_REG, SUM(IF(COALESCE(CAST(X.LNS_CLLTRLZD_CLSSFCTN AS STRING),'')&lt;&gt;COALESCE(CAST(Y.LNS_CLLTRLZD_CLSSFCTN_SIMUL AS STRING),''),1,0)) AS NUM_REG_DIF,'1' AS ID_EXEC, CURRENT_TIMESTAMP() AS TIME_EXEC FROM (SELECT instrmnt_id, LNS_CLLTRLZD_CLSSFCTN FROM BU_LOANTAPE_WORK.LT002_INSTRUMENT WHERE ref_date='${ref_date}' AND nome_perimetro='Individual Corporativo' AND segmento='ESTR' AND ambito='PILAR3')X INNER JOIN (SELECT instrmnt_id AS instrmnt_id_SIMUL, LNS_CLLTRLZD_CLSSFCTN AS LNS_CLLTRLZD_CLSSFCTN_SIMUL FROM BU_LOANTAPE_WORK.LT002_INSTRUMENT_P3_NOV24)Y ON X.INSTRMNT_ID=Y.INSTRMNT_ID_SIMUL</v>
      </c>
      <c r="M9" s="43" t="str">
        <f>+"UNION ALL "&amp;L9</f>
        <v>UNION ALL SELECT 'INSTRUMENT' AS TABELA, 'COERÊNCIA' AS TIPOLOGIA_TESTE,'BU_LOANTAPE_WORK.LT002_INSTRUMENT' AS TABELA_LT,'BU_LOANTAPE_WORK.LT002_INSTRUMENT_P3_NOV24' AS TABELA_SIMUL,'LNS_CLLTRLZD_CLSSFCTN' AS CAMPO, '${ref_date}' AS REF_DATE, COUNT(*) AS NUM_REG, SUM(IF(COALESCE(CAST(X.LNS_CLLTRLZD_CLSSFCTN AS STRING),'')&lt;&gt;COALESCE(CAST(Y.LNS_CLLTRLZD_CLSSFCTN_SIMUL AS STRING),''),1,0)) AS NUM_REG_DIF,'1' AS ID_EXEC, CURRENT_TIMESTAMP() AS TIME_EXEC FROM (SELECT instrmnt_id, LNS_CLLTRLZD_CLSSFCTN FROM BU_LOANTAPE_WORK.LT002_INSTRUMENT WHERE ref_date='${ref_date}' AND nome_perimetro='Individual Corporativo' AND segmento='ESTR' AND ambito='PILAR3')X INNER JOIN (SELECT instrmnt_id AS instrmnt_id_SIMUL, LNS_CLLTRLZD_CLSSFCTN AS LNS_CLLTRLZD_CLSSFCTN_SIMUL FROM BU_LOANTAPE_WORK.LT002_INSTRUMENT_P3_NOV24)Y ON X.INSTRMNT_ID=Y.INSTRMNT_ID_SIMUL</v>
      </c>
      <c r="N9" s="45" t="s">
        <v>13</v>
      </c>
    </row>
    <row r="10" spans="1:28">
      <c r="B10" s="41" t="s">
        <v>27</v>
      </c>
      <c r="C10" s="41" t="s">
        <v>74</v>
      </c>
      <c r="D10" s="41" t="str">
        <f>+UPPER('0. Instruções'!$D$33&amp;"."&amp;VLOOKUP(B10,'0. Instruções'!$C$27:$D$31,2,FALSE))</f>
        <v>BU_LOANTAPE_WORK.LT002_INSTRUMENT</v>
      </c>
      <c r="E10" s="41" t="str">
        <f>+UPPER('0. Instruções'!$D$34&amp;"."&amp;VLOOKUP(B10,'0. Instruções'!$C$27:$E$31,3,FALSE))</f>
        <v>BU_LOANTAPE_WORK.LT002_INSTRUMENT_P3_NOV24</v>
      </c>
      <c r="F10" s="41" t="s">
        <v>146</v>
      </c>
      <c r="G10" s="41" t="s">
        <v>209</v>
      </c>
      <c r="H10" s="41"/>
      <c r="I10" s="41" t="str">
        <f>"(SELECT "&amp;VLOOKUP(B10,'0. Instruções'!$C$27:$G$31,4,FALSE)&amp;", "&amp;F10&amp;" FROM "&amp;D10&amp;" WHERE "&amp;'0. Instruções'!$D$40&amp;")X"</f>
        <v>(SELECT instrmnt_id, RSK_MTGTD_CCT FROM BU_LOANTAPE_WORK.LT002_INSTRUMENT WHERE ref_date='${ref_date}' AND nome_perimetro='Individual Corporativo' AND segmento='ESTR' AND ambito='PILAR3')X</v>
      </c>
      <c r="J10" s="41" t="str">
        <f>"(SELECT "&amp;VLOOKUP(B10,'0. Instruções'!$C$27:$G$31,4,FALSE)&amp;" AS "&amp;VLOOKUP(B10,'0. Instruções'!$C$27:$G$31,4,FALSE)&amp;"_SIMUL, "&amp;F10&amp;" AS "&amp;F10&amp;"_SIMUL FROM "&amp;E10&amp;")Y"</f>
        <v>(SELECT instrmnt_id AS instrmnt_id_SIMUL, RSK_MTGTD_CCT AS RSK_MTGTD_CCT_SIMUL FROM BU_LOANTAPE_WORK.LT002_INSTRUMENT_P3_NOV24)Y</v>
      </c>
      <c r="K10" s="42" t="str">
        <f>+UPPER("ON X."&amp;VLOOKUP(B10,'0. Instruções'!$C$27:$G$31,4,FALSE)&amp;"=Y."&amp;VLOOKUP(B10,'0. Instruções'!$C$27:$G$31,4,FALSE)&amp;"_SIMUL")</f>
        <v>ON X.INSTRMNT_ID=Y.INSTRMNT_ID_SIMUL</v>
      </c>
      <c r="L10" s="42" t="str">
        <f>+IF(C10="Coerência", +IF(LEFT(G10,5)="FLOAT","SELECT '"&amp;UPPER(B10)&amp;"' AS TABELA, '"&amp;UPPER(C10)&amp;"' AS TIPOLOGIA_TESTE,'"&amp;D10&amp;"' AS TABELA_LT,'"&amp;E10&amp;"' AS TABELA_SIMUL,'"&amp;F10&amp;"' AS CAMPO, "&amp;"'${ref_date}' AS REF_DATE, COUNT(*) AS NUM_REG, SUM(IF((ABS(COALESCE(X."&amp;F10&amp;",0)-COALESCE(Y."&amp;F10&amp;"_SIMUL,0))&gt;0.0000000001) OR (X."&amp;F10&amp;" IS NULL AND Y."&amp;F10&amp;"_SIMUL IS NOT NULL ) OR (X."&amp;F10&amp;" IS NOT NULL AND Y."&amp;F10&amp;"_SIMUL IS NULL),1,0)) AS NUM_REG_DIF,'"&amp;MAX('ID1&amp;5'!K:K)+1&amp;"' AS ID_EXEC, CURRENT_TIMESTAMP() AS TIME_EXEC FROM "&amp;I10&amp;" INNER JOIN "&amp;J10&amp;" "&amp;K10,"SELECT '"&amp;UPPER(B10)&amp;"' AS TABELA, '"&amp;UPPER(C10)&amp;"' AS TIPOLOGIA_TESTE,'"&amp;D10&amp;"' AS TABELA_LT,'"&amp;E10&amp;"' AS TABELA_SIMUL,'"&amp;F10&amp;"' AS CAMPO, "&amp;"'${ref_date}' AS REF_DATE, COUNT(*) AS NUM_REG, SUM(IF(COALESCE(CAST(X."&amp;F10&amp;" AS STRING),'')&lt;&gt;COALESCE(CAST(Y."&amp;F10&amp;"_SIMUL AS STRING),''),1,0)) AS NUM_REG_DIF,'"&amp;MAX('ID1&amp;5'!L:L)+1&amp;"' AS ID_EXEC, CURRENT_TIMESTAMP() AS TIME_EXEC FROM "&amp;I10&amp;" INNER JOIN "&amp;J10&amp;" "&amp;K10),
IF(C10="Validade",+IF(G10="Code List","SELECT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 OR CAST(X."&amp;F10&amp;" AS STRING) NOT "&amp;H10&amp;",1,0)) AS NUM_REG_DIF,'"&amp;MAX('ID1&amp;5'!K:K)+1&amp;"' AS ID_EXEC, CURRENT_TIMESTAMP() AS TIME_EXEC FROM "&amp;I10,"SELECT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NULL,1,0)) AS NUM_REG_DIF,'"&amp;MAX('ID1&amp;5'!K:K)+1&amp;"' AS ID_EXEC, CURRENT_TIMESTAMP() AS TIME_EXEC FROM "&amp;I10),
IF(C10="Caracteres Especiais",+"SELECT '"&amp;UPPER(B10)&amp;"' AS TABELA, '"&amp;UPPER(C10)&amp;"' AS TIPOLOGIA_TESTE,'"&amp;D10&amp;"' AS TABELA_LT,'N/A' AS TABELA_SIMUL,'"&amp;F10&amp;"' AS CAMPO, "&amp;"'${ref_date}' AS REF_DATE, COUNT(*) AS NUM_REG, SUM(IF(INSTR(CAST(X."&amp;F10&amp;" AS STRING),'#')&gt;0 OR INSTR(CAST(X."&amp;F10&amp;" AS STRING),'*')&gt;0 OR INSTR(CAST(X."&amp;F10&amp;" AS STRING),'`')&gt;0 OR INSTR(CAST(X."&amp;F10&amp;" AS STRING),'´')&gt;0 OR INSTR(CAST(X."&amp;F10&amp;" AS STRING),'{')&gt;0 OR INSTR(CAST(X."&amp;F10&amp;" AS STRING),'}')&gt;0 OR INSTR(CAST(X."&amp;F10&amp;" AS STRING),'[')&gt;0 OR INSTR(CAST(X."&amp;F10&amp;" AS STRING),'')&gt;0 OR INSTR(CAST(X."&amp;F10&amp;" AS STRING),']')&gt;0 OR INSTR(CAST(X."&amp;F10&amp;" AS STRING),'?')&gt;0 OR INSTR(CAST(X."&amp;F10&amp;" AS STRING),'!')&gt;0 OR INSTR(CAST(X."&amp;F10&amp;" AS STRING),'$')&gt;0 OR INSTR(CAST(X."&amp;F10&amp;" AS STRING),'%')&gt;0 OR INSTR(CAST(X."&amp;F10&amp;" AS STRING),'&amp;')&gt;0 OR INSTR(CAST(X."&amp;F10&amp;" AS STRING),'+')&gt;0,1,0)) AS NUM_REG_DIF,'"&amp;MAX('ID1&amp;5'!K:K)+1&amp;"' AS ID_EXEC, CURRENT_TIMESTAMP() AS TIME_EXEC FROM "&amp;I10,
IF(C10="Missings",+"SELECT '"&amp;UPPER(B10)&amp;"' AS TABELA, '"&amp;UPPER(C10)&amp;"' AS TIPOLOGIA_TESTE,'"&amp;D10&amp;"' AS TABELA_LT,'N/A' AS TABELA_SIMUL,'"&amp;F10&amp;"' AS CAMPO, "&amp;"'${ref_date}' AS REF_DATE, COUNT(*) AS NUM_REG, SUM(IF(TRIM(CAST(X."&amp;F10&amp;" AS STRING)) IN ('0000-00-00','0001-01-01','9999-12-31','MISS','00000','99999999999','99999999999.00','99999999999.000000'),1,0)) AS NUM_REG_DIF,'"&amp;MAX('ID1&amp;5'!K:K)+1&amp;"' AS ID_EXEC, CURRENT_TIMESTAMP() AS TIME_EXEC FROM "&amp;I10,
IF(C10="Not applicable",+"SELECT '"&amp;UPPER(B10)&amp;"' AS TABELA, '"&amp;UPPER(C10)&amp;"' AS TIPOLOGIA_TESTE,'"&amp;D10&amp;"' AS TABELA_LT,'N/A' AS TABELA_SIMUL,'"&amp;F10&amp;"' AS CAMPO, "&amp;"'${ref_date}' AS REF_DATE, COUNT(*) AS NUM_REG, SUM(IF(TRIM(CAST(X."&amp;F10&amp;" AS STRING)) IN ('N/A','11111111111','11111111111.00','11111111111.000000','1111-11-11'),1,0)) AS NUM_REG_DIF,'"&amp;MAX('ID1&amp;5'!K:K)+1&amp;"' AS ID_EXEC, CURRENT_TIMESTAMP() AS TIME_EXEC FROM "&amp;I10,
IF(C10="Valores extremos",+"SELECT '"&amp;UPPER(B10)&amp;"' AS TABELA, '"&amp;UPPER(C10)&amp;"' AS TIPOLOGIA_TESTE,'"&amp;D10&amp;"' AS TABELA_LT,'N/A' AS TABELA_SIMUL,'"&amp;F10&amp;"' AS CAMPO, "&amp;"'${ref_date}' AS REF_DATE, CAST(MIN("&amp;F10&amp;") AS STRING) AS VALOR_MIN, CAST(MAX("&amp;F10&amp;") AS STRING) AS VALOR_MAX,'"&amp;MAX('ID1&amp;5'!K:K)+1&amp;"' AS ID_EXEC, CURRENT_TIMESTAMP() AS TIME_EXEC FROM "&amp;MID(I10,1,LEN(I10)-2)&amp;" AND CAST("&amp;F10&amp;"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TABELA_SIMUL,'RSK_MTGTD_CCT' AS CAMPO, '${ref_date}' AS REF_DATE, COUNT(*) AS NUM_REG, SUM(IF(COALESCE(CAST(X.RSK_MTGTD_CCT AS STRING),'')&lt;&gt;COALESCE(CAST(Y.RSK_MTGTD_CCT_SIMUL AS STRING),''),1,0)) AS NUM_REG_DIF,'1' AS ID_EXEC, CURRENT_TIMESTAMP() AS TIME_EXEC FROM (SELECT instrmnt_id, RSK_MTGTD_CCT FROM BU_LOANTAPE_WORK.LT002_INSTRUMENT WHERE ref_date='${ref_date}' AND nome_perimetro='Individual Corporativo' AND segmento='ESTR' AND ambito='PILAR3')X INNER JOIN (SELECT instrmnt_id AS instrmnt_id_SIMUL, RSK_MTGTD_CCT AS RSK_MTGTD_CCT_SIMUL FROM BU_LOANTAPE_WORK.LT002_INSTRUMENT_P3_NOV24)Y ON X.INSTRMNT_ID=Y.INSTRMNT_ID_SIMUL</v>
      </c>
      <c r="M10" s="43" t="str">
        <f t="shared" ref="M10:M66" si="0">+"UNION ALL "&amp;L10</f>
        <v>UNION ALL SELECT 'INSTRUMENT' AS TABELA, 'COERÊNCIA' AS TIPOLOGIA_TESTE,'BU_LOANTAPE_WORK.LT002_INSTRUMENT' AS TABELA_LT,'BU_LOANTAPE_WORK.LT002_INSTRUMENT_P3_NOV24' AS TABELA_SIMUL,'RSK_MTGTD_CCT' AS CAMPO, '${ref_date}' AS REF_DATE, COUNT(*) AS NUM_REG, SUM(IF(COALESCE(CAST(X.RSK_MTGTD_CCT AS STRING),'')&lt;&gt;COALESCE(CAST(Y.RSK_MTGTD_CCT_SIMUL AS STRING),''),1,0)) AS NUM_REG_DIF,'1' AS ID_EXEC, CURRENT_TIMESTAMP() AS TIME_EXEC FROM (SELECT instrmnt_id, RSK_MTGTD_CCT FROM BU_LOANTAPE_WORK.LT002_INSTRUMENT WHERE ref_date='${ref_date}' AND nome_perimetro='Individual Corporativo' AND segmento='ESTR' AND ambito='PILAR3')X INNER JOIN (SELECT instrmnt_id AS instrmnt_id_SIMUL, RSK_MTGTD_CCT AS RSK_MTGTD_CCT_SIMUL FROM BU_LOANTAPE_WORK.LT002_INSTRUMENT_P3_NOV24)Y ON X.INSTRMNT_ID=Y.INSTRMNT_ID_SIMUL</v>
      </c>
      <c r="N10" s="45" t="s">
        <v>13</v>
      </c>
    </row>
    <row r="11" spans="1:28">
      <c r="B11" s="41" t="s">
        <v>27</v>
      </c>
      <c r="C11" s="41" t="s">
        <v>74</v>
      </c>
      <c r="D11" s="41" t="str">
        <f>+UPPER('0. Instruções'!$D$33&amp;"."&amp;VLOOKUP(B11,'0. Instruções'!$C$27:$D$31,2,FALSE))</f>
        <v>BU_LOANTAPE_WORK.LT002_INSTRUMENT</v>
      </c>
      <c r="E11" s="41" t="str">
        <f>+UPPER('0. Instruções'!$D$34&amp;"."&amp;VLOOKUP(B11,'0. Instruções'!$C$27:$E$31,3,FALSE))</f>
        <v>BU_LOANTAPE_WORK.LT002_INSTRUMENT_P3_NOV24</v>
      </c>
      <c r="F11" s="41" t="s">
        <v>148</v>
      </c>
      <c r="G11" s="41" t="s">
        <v>209</v>
      </c>
      <c r="H11" s="41"/>
      <c r="I11" s="41" t="str">
        <f>"(SELECT "&amp;VLOOKUP(B11,'0. Instruções'!$C$27:$G$31,4,FALSE)&amp;", "&amp;F11&amp;" FROM "&amp;D11&amp;" WHERE "&amp;'0. Instruções'!$D$40&amp;")X"</f>
        <v>(SELECT instrmnt_id, RSK_MTGTD_CCP FROM BU_LOANTAPE_WORK.LT002_INSTRUMENT WHERE ref_date='${ref_date}' AND nome_perimetro='Individual Corporativo' AND segmento='ESTR' AND ambito='PILAR3')X</v>
      </c>
      <c r="J11" s="41" t="str">
        <f>"(SELECT "&amp;VLOOKUP(B11,'0. Instruções'!$C$27:$G$31,4,FALSE)&amp;" AS "&amp;VLOOKUP(B11,'0. Instruções'!$C$27:$G$31,4,FALSE)&amp;"_SIMUL, "&amp;F11&amp;" AS "&amp;F11&amp;"_SIMUL FROM "&amp;E11&amp;")Y"</f>
        <v>(SELECT instrmnt_id AS instrmnt_id_SIMUL, RSK_MTGTD_CCP AS RSK_MTGTD_CCP_SIMUL FROM BU_LOANTAPE_WORK.LT002_INSTRUMENT_P3_NOV24)Y</v>
      </c>
      <c r="K11" s="42" t="str">
        <f>+UPPER("ON X."&amp;VLOOKUP(B11,'0. Instruções'!$C$27:$G$31,4,FALSE)&amp;"=Y."&amp;VLOOKUP(B11,'0. Instruções'!$C$27:$G$31,4,FALSE)&amp;"_SIMUL")</f>
        <v>ON X.INSTRMNT_ID=Y.INSTRMNT_ID_SIMUL</v>
      </c>
      <c r="L11" s="42" t="str">
        <f>+IF(C11="Coerência", +IF(LEFT(G11,5)="FLOAT","SELECT '"&amp;UPPER(B11)&amp;"' AS TABELA, '"&amp;UPPER(C11)&amp;"' AS TIPOLOGIA_TESTE,'"&amp;D11&amp;"' AS TABELA_LT,'"&amp;E11&amp;"' AS TABELA_SIMUL,'"&amp;F11&amp;"' AS CAMPO, "&amp;"'${ref_date}' AS REF_DATE, COUNT(*) AS NUM_REG, SUM(IF((ABS(COALESCE(X."&amp;F11&amp;",0)-COALESCE(Y."&amp;F11&amp;"_SIMUL,0))&gt;0.0000000001) OR (X."&amp;F11&amp;" IS NULL AND Y."&amp;F11&amp;"_SIMUL IS NOT NULL ) OR (X."&amp;F11&amp;" IS NOT NULL AND Y."&amp;F11&amp;"_SIMUL IS NULL),1,0)) AS NUM_REG_DIF,'"&amp;MAX('ID1&amp;5'!K:K)+1&amp;"' AS ID_EXEC, CURRENT_TIMESTAMP() AS TIME_EXEC FROM "&amp;I11&amp;" INNER JOIN "&amp;J11&amp;" "&amp;K11,"SELECT '"&amp;UPPER(B11)&amp;"' AS TABELA, '"&amp;UPPER(C11)&amp;"' AS TIPOLOGIA_TESTE,'"&amp;D11&amp;"' AS TABELA_LT,'"&amp;E11&amp;"' AS TABELA_SIMUL,'"&amp;F11&amp;"' AS CAMPO, "&amp;"'${ref_date}' AS REF_DATE, COUNT(*) AS NUM_REG, SUM(IF(COALESCE(CAST(X."&amp;F11&amp;" AS STRING),'')&lt;&gt;COALESCE(CAST(Y."&amp;F11&amp;"_SIMUL AS STRING),''),1,0)) AS NUM_REG_DIF,'"&amp;MAX('ID1&amp;5'!L:L)+1&amp;"' AS ID_EXEC, CURRENT_TIMESTAMP() AS TIME_EXEC FROM "&amp;I11&amp;" INNER JOIN "&amp;J11&amp;" "&amp;K11),
IF(C11="Validade",+IF(G11="Code List","SELECT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 OR CAST(X."&amp;F11&amp;" AS STRING) NOT "&amp;H11&amp;",1,0)) AS NUM_REG_DIF,'"&amp;MAX('ID1&amp;5'!K:K)+1&amp;"' AS ID_EXEC, CURRENT_TIMESTAMP() AS TIME_EXEC FROM "&amp;I11,"SELECT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NULL,1,0)) AS NUM_REG_DIF,'"&amp;MAX('ID1&amp;5'!K:K)+1&amp;"' AS ID_EXEC, CURRENT_TIMESTAMP() AS TIME_EXEC FROM "&amp;I11),
IF(C11="Caracteres Especiais",+"SELECT '"&amp;UPPER(B11)&amp;"' AS TABELA, '"&amp;UPPER(C11)&amp;"' AS TIPOLOGIA_TESTE,'"&amp;D11&amp;"' AS TABELA_LT,'N/A' AS TABELA_SIMUL,'"&amp;F11&amp;"' AS CAMPO, "&amp;"'${ref_date}' AS REF_DATE, COUNT(*) AS NUM_REG, SUM(IF(INSTR(CAST(X."&amp;F11&amp;" AS STRING),'#')&gt;0 OR INSTR(CAST(X."&amp;F11&amp;" AS STRING),'*')&gt;0 OR INSTR(CAST(X."&amp;F11&amp;" AS STRING),'`')&gt;0 OR INSTR(CAST(X."&amp;F11&amp;" AS STRING),'´')&gt;0 OR INSTR(CAST(X."&amp;F11&amp;" AS STRING),'{')&gt;0 OR INSTR(CAST(X."&amp;F11&amp;" AS STRING),'}')&gt;0 OR INSTR(CAST(X."&amp;F11&amp;" AS STRING),'[')&gt;0 OR INSTR(CAST(X."&amp;F11&amp;" AS STRING),'')&gt;0 OR INSTR(CAST(X."&amp;F11&amp;" AS STRING),']')&gt;0 OR INSTR(CAST(X."&amp;F11&amp;" AS STRING),'?')&gt;0 OR INSTR(CAST(X."&amp;F11&amp;" AS STRING),'!')&gt;0 OR INSTR(CAST(X."&amp;F11&amp;" AS STRING),'$')&gt;0 OR INSTR(CAST(X."&amp;F11&amp;" AS STRING),'%')&gt;0 OR INSTR(CAST(X."&amp;F11&amp;" AS STRING),'&amp;')&gt;0 OR INSTR(CAST(X."&amp;F11&amp;" AS STRING),'+')&gt;0,1,0)) AS NUM_REG_DIF,'"&amp;MAX('ID1&amp;5'!K:K)+1&amp;"' AS ID_EXEC, CURRENT_TIMESTAMP() AS TIME_EXEC FROM "&amp;I11,
IF(C11="Missings",+"SELECT '"&amp;UPPER(B11)&amp;"' AS TABELA, '"&amp;UPPER(C11)&amp;"' AS TIPOLOGIA_TESTE,'"&amp;D11&amp;"' AS TABELA_LT,'N/A' AS TABELA_SIMUL,'"&amp;F11&amp;"' AS CAMPO, "&amp;"'${ref_date}' AS REF_DATE, COUNT(*) AS NUM_REG, SUM(IF(TRIM(CAST(X."&amp;F11&amp;" AS STRING)) IN ('0000-00-00','0001-01-01','9999-12-31','MISS','00000','99999999999','99999999999.00','99999999999.000000'),1,0)) AS NUM_REG_DIF,'"&amp;MAX('ID1&amp;5'!K:K)+1&amp;"' AS ID_EXEC, CURRENT_TIMESTAMP() AS TIME_EXEC FROM "&amp;I11,
IF(C11="Not applicable",+"SELECT '"&amp;UPPER(B11)&amp;"' AS TABELA, '"&amp;UPPER(C11)&amp;"' AS TIPOLOGIA_TESTE,'"&amp;D11&amp;"' AS TABELA_LT,'N/A' AS TABELA_SIMUL,'"&amp;F11&amp;"' AS CAMPO, "&amp;"'${ref_date}' AS REF_DATE, COUNT(*) AS NUM_REG, SUM(IF(TRIM(CAST(X."&amp;F11&amp;" AS STRING)) IN ('N/A','11111111111','11111111111.00','11111111111.000000','1111-11-11'),1,0)) AS NUM_REG_DIF,'"&amp;MAX('ID1&amp;5'!K:K)+1&amp;"' AS ID_EXEC, CURRENT_TIMESTAMP() AS TIME_EXEC FROM "&amp;I11,
IF(C11="Valores extremos",+"SELECT '"&amp;UPPER(B11)&amp;"' AS TABELA, '"&amp;UPPER(C11)&amp;"' AS TIPOLOGIA_TESTE,'"&amp;D11&amp;"' AS TABELA_LT,'N/A' AS TABELA_SIMUL,'"&amp;F11&amp;"' AS CAMPO, "&amp;"'${ref_date}' AS REF_DATE, CAST(MIN("&amp;F11&amp;") AS STRING) AS VALOR_MIN, CAST(MAX("&amp;F11&amp;") AS STRING) AS VALOR_MAX,'"&amp;MAX('ID1&amp;5'!K:K)+1&amp;"' AS ID_EXEC, CURRENT_TIMESTAMP() AS TIME_EXEC FROM "&amp;MID(I11,1,LEN(I11)-2)&amp;" AND CAST("&amp;F11&amp;"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TABELA_SIMUL,'RSK_MTGTD_CCP' AS CAMPO, '${ref_date}' AS REF_DATE, COUNT(*) AS NUM_REG, SUM(IF(COALESCE(CAST(X.RSK_MTGTD_CCP AS STRING),'')&lt;&gt;COALESCE(CAST(Y.RSK_MTGTD_CCP_SIMUL AS STRING),''),1,0)) AS NUM_REG_DIF,'1' AS ID_EXEC, CURRENT_TIMESTAMP() AS TIME_EXEC FROM (SELECT instrmnt_id, RSK_MTGTD_CCP FROM BU_LOANTAPE_WORK.LT002_INSTRUMENT WHERE ref_date='${ref_date}' AND nome_perimetro='Individual Corporativo' AND segmento='ESTR' AND ambito='PILAR3')X INNER JOIN (SELECT instrmnt_id AS instrmnt_id_SIMUL, RSK_MTGTD_CCP AS RSK_MTGTD_CCP_SIMUL FROM BU_LOANTAPE_WORK.LT002_INSTRUMENT_P3_NOV24)Y ON X.INSTRMNT_ID=Y.INSTRMNT_ID_SIMUL</v>
      </c>
      <c r="M11" s="43" t="str">
        <f t="shared" si="0"/>
        <v>UNION ALL SELECT 'INSTRUMENT' AS TABELA, 'COERÊNCIA' AS TIPOLOGIA_TESTE,'BU_LOANTAPE_WORK.LT002_INSTRUMENT' AS TABELA_LT,'BU_LOANTAPE_WORK.LT002_INSTRUMENT_P3_NOV24' AS TABELA_SIMUL,'RSK_MTGTD_CCP' AS CAMPO, '${ref_date}' AS REF_DATE, COUNT(*) AS NUM_REG, SUM(IF(COALESCE(CAST(X.RSK_MTGTD_CCP AS STRING),'')&lt;&gt;COALESCE(CAST(Y.RSK_MTGTD_CCP_SIMUL AS STRING),''),1,0)) AS NUM_REG_DIF,'1' AS ID_EXEC, CURRENT_TIMESTAMP() AS TIME_EXEC FROM (SELECT instrmnt_id, RSK_MTGTD_CCP FROM BU_LOANTAPE_WORK.LT002_INSTRUMENT WHERE ref_date='${ref_date}' AND nome_perimetro='Individual Corporativo' AND segmento='ESTR' AND ambito='PILAR3')X INNER JOIN (SELECT instrmnt_id AS instrmnt_id_SIMUL, RSK_MTGTD_CCP AS RSK_MTGTD_CCP_SIMUL FROM BU_LOANTAPE_WORK.LT002_INSTRUMENT_P3_NOV24)Y ON X.INSTRMNT_ID=Y.INSTRMNT_ID_SIMUL</v>
      </c>
      <c r="N11" s="45" t="s">
        <v>13</v>
      </c>
    </row>
    <row r="12" spans="1:28">
      <c r="B12" s="41" t="s">
        <v>27</v>
      </c>
      <c r="C12" s="41" t="s">
        <v>74</v>
      </c>
      <c r="D12" s="41" t="str">
        <f>+UPPER('0. Instruções'!$D$33&amp;"."&amp;VLOOKUP(B12,'0. Instruções'!$C$27:$D$31,2,FALSE))</f>
        <v>BU_LOANTAPE_WORK.LT002_INSTRUMENT</v>
      </c>
      <c r="E12" s="41" t="str">
        <f>+UPPER('0. Instruções'!$D$34&amp;"."&amp;VLOOKUP(B12,'0. Instruções'!$C$27:$E$31,3,FALSE))</f>
        <v>BU_LOANTAPE_WORK.LT002_INSTRUMENT_P3_NOV24</v>
      </c>
      <c r="F12" s="41" t="s">
        <v>152</v>
      </c>
      <c r="G12" s="41" t="s">
        <v>209</v>
      </c>
      <c r="H12" s="41"/>
      <c r="I12" s="41" t="str">
        <f>"(SELECT "&amp;VLOOKUP(B12,'0. Instruções'!$C$27:$G$31,4,FALSE)&amp;", "&amp;F12&amp;" FROM "&amp;D12&amp;" WHERE "&amp;'0. Instruções'!$D$40&amp;")X"</f>
        <v>(SELECT instrmnt_id, MTHD_USD_INSTRMNT_SCP_1 FROM BU_LOANTAPE_WORK.LT002_INSTRUMENT WHERE ref_date='${ref_date}' AND nome_perimetro='Individual Corporativo' AND segmento='ESTR' AND ambito='PILAR3')X</v>
      </c>
      <c r="J12" s="41" t="str">
        <f>"(SELECT "&amp;VLOOKUP(B12,'0. Instruções'!$C$27:$G$31,4,FALSE)&amp;" AS "&amp;VLOOKUP(B12,'0. Instruções'!$C$27:$G$31,4,FALSE)&amp;"_SIMUL, "&amp;F12&amp;" AS "&amp;F12&amp;"_SIMUL FROM "&amp;E12&amp;")Y"</f>
        <v>(SELECT instrmnt_id AS instrmnt_id_SIMUL, MTHD_USD_INSTRMNT_SCP_1 AS MTHD_USD_INSTRMNT_SCP_1_SIMUL FROM BU_LOANTAPE_WORK.LT002_INSTRUMENT_P3_NOV24)Y</v>
      </c>
      <c r="K12" s="42" t="str">
        <f>+UPPER("ON X."&amp;VLOOKUP(B12,'0. Instruções'!$C$27:$G$31,4,FALSE)&amp;"=Y."&amp;VLOOKUP(B12,'0. Instruções'!$C$27:$G$31,4,FALSE)&amp;"_SIMUL")</f>
        <v>ON X.INSTRMNT_ID=Y.INSTRMNT_ID_SIMUL</v>
      </c>
      <c r="L12" s="42" t="str">
        <f>+IF(C12="Coerência", +IF(LEFT(G12,5)="FLOAT","SELECT '"&amp;UPPER(B12)&amp;"' AS TABELA, '"&amp;UPPER(C12)&amp;"' AS TIPOLOGIA_TESTE,'"&amp;D12&amp;"' AS TABELA_LT,'"&amp;E12&amp;"' AS TABELA_SIMUL,'"&amp;F12&amp;"' AS CAMPO, "&amp;"'${ref_date}' AS REF_DATE, COUNT(*) AS NUM_REG, SUM(IF((ABS(COALESCE(X."&amp;F12&amp;",0)-COALESCE(Y."&amp;F12&amp;"_SIMUL,0))&gt;0.0000000001) OR (X."&amp;F12&amp;" IS NULL AND Y."&amp;F12&amp;"_SIMUL IS NOT NULL ) OR (X."&amp;F12&amp;" IS NOT NULL AND Y."&amp;F12&amp;"_SIMUL IS NULL),1,0)) AS NUM_REG_DIF,'"&amp;MAX('ID1&amp;5'!K:K)+1&amp;"' AS ID_EXEC, CURRENT_TIMESTAMP() AS TIME_EXEC FROM "&amp;I12&amp;" INNER JOIN "&amp;J12&amp;" "&amp;K12,"SELECT '"&amp;UPPER(B12)&amp;"' AS TABELA, '"&amp;UPPER(C12)&amp;"' AS TIPOLOGIA_TESTE,'"&amp;D12&amp;"' AS TABELA_LT,'"&amp;E12&amp;"' AS TABELA_SIMUL,'"&amp;F12&amp;"' AS CAMPO, "&amp;"'${ref_date}' AS REF_DATE, COUNT(*) AS NUM_REG, SUM(IF(COALESCE(CAST(X."&amp;F12&amp;" AS STRING),'')&lt;&gt;COALESCE(CAST(Y."&amp;F12&amp;"_SIMUL AS STRING),''),1,0)) AS NUM_REG_DIF,'"&amp;MAX('ID1&amp;5'!L:L)+1&amp;"' AS ID_EXEC, CURRENT_TIMESTAMP() AS TIME_EXEC FROM "&amp;I12&amp;" INNER JOIN "&amp;J12&amp;" "&amp;K12),
IF(C12="Validade",+IF(G12="Code List","SELECT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 OR CAST(X."&amp;F12&amp;" AS STRING) NOT "&amp;H12&amp;",1,0)) AS NUM_REG_DIF,'"&amp;MAX('ID1&amp;5'!K:K)+1&amp;"' AS ID_EXEC, CURRENT_TIMESTAMP() AS TIME_EXEC FROM "&amp;I12,"SELECT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NULL,1,0)) AS NUM_REG_DIF,'"&amp;MAX('ID1&amp;5'!K:K)+1&amp;"' AS ID_EXEC, CURRENT_TIMESTAMP() AS TIME_EXEC FROM "&amp;I12),
IF(C12="Caracteres Especiais",+"SELECT '"&amp;UPPER(B12)&amp;"' AS TABELA, '"&amp;UPPER(C12)&amp;"' AS TIPOLOGIA_TESTE,'"&amp;D12&amp;"' AS TABELA_LT,'N/A' AS TABELA_SIMUL,'"&amp;F12&amp;"' AS CAMPO, "&amp;"'${ref_date}' AS REF_DATE, COUNT(*) AS NUM_REG, SUM(IF(INSTR(CAST(X."&amp;F12&amp;" AS STRING),'#')&gt;0 OR INSTR(CAST(X."&amp;F12&amp;" AS STRING),'*')&gt;0 OR INSTR(CAST(X."&amp;F12&amp;" AS STRING),'`')&gt;0 OR INSTR(CAST(X."&amp;F12&amp;" AS STRING),'´')&gt;0 OR INSTR(CAST(X."&amp;F12&amp;" AS STRING),'{')&gt;0 OR INSTR(CAST(X."&amp;F12&amp;" AS STRING),'}')&gt;0 OR INSTR(CAST(X."&amp;F12&amp;" AS STRING),'[')&gt;0 OR INSTR(CAST(X."&amp;F12&amp;" AS STRING),'')&gt;0 OR INSTR(CAST(X."&amp;F12&amp;" AS STRING),']')&gt;0 OR INSTR(CAST(X."&amp;F12&amp;" AS STRING),'?')&gt;0 OR INSTR(CAST(X."&amp;F12&amp;" AS STRING),'!')&gt;0 OR INSTR(CAST(X."&amp;F12&amp;" AS STRING),'$')&gt;0 OR INSTR(CAST(X."&amp;F12&amp;" AS STRING),'%')&gt;0 OR INSTR(CAST(X."&amp;F12&amp;" AS STRING),'&amp;')&gt;0 OR INSTR(CAST(X."&amp;F12&amp;" AS STRING),'+')&gt;0,1,0)) AS NUM_REG_DIF,'"&amp;MAX('ID1&amp;5'!K:K)+1&amp;"' AS ID_EXEC, CURRENT_TIMESTAMP() AS TIME_EXEC FROM "&amp;I12,
IF(C12="Missings",+"SELECT '"&amp;UPPER(B12)&amp;"' AS TABELA, '"&amp;UPPER(C12)&amp;"' AS TIPOLOGIA_TESTE,'"&amp;D12&amp;"' AS TABELA_LT,'N/A' AS TABELA_SIMUL,'"&amp;F12&amp;"' AS CAMPO, "&amp;"'${ref_date}' AS REF_DATE, COUNT(*) AS NUM_REG, SUM(IF(TRIM(CAST(X."&amp;F12&amp;" AS STRING)) IN ('0000-00-00','0001-01-01','9999-12-31','MISS','00000','99999999999','99999999999.00','99999999999.000000'),1,0)) AS NUM_REG_DIF,'"&amp;MAX('ID1&amp;5'!K:K)+1&amp;"' AS ID_EXEC, CURRENT_TIMESTAMP() AS TIME_EXEC FROM "&amp;I12,
IF(C12="Not applicable",+"SELECT '"&amp;UPPER(B12)&amp;"' AS TABELA, '"&amp;UPPER(C12)&amp;"' AS TIPOLOGIA_TESTE,'"&amp;D12&amp;"' AS TABELA_LT,'N/A' AS TABELA_SIMUL,'"&amp;F12&amp;"' AS CAMPO, "&amp;"'${ref_date}' AS REF_DATE, COUNT(*) AS NUM_REG, SUM(IF(TRIM(CAST(X."&amp;F12&amp;" AS STRING)) IN ('N/A','11111111111','11111111111.00','11111111111.000000','1111-11-11'),1,0)) AS NUM_REG_DIF,'"&amp;MAX('ID1&amp;5'!K:K)+1&amp;"' AS ID_EXEC, CURRENT_TIMESTAMP() AS TIME_EXEC FROM "&amp;I12,
IF(C12="Valores extremos",+"SELECT '"&amp;UPPER(B12)&amp;"' AS TABELA, '"&amp;UPPER(C12)&amp;"' AS TIPOLOGIA_TESTE,'"&amp;D12&amp;"' AS TABELA_LT,'N/A' AS TABELA_SIMUL,'"&amp;F12&amp;"' AS CAMPO, "&amp;"'${ref_date}' AS REF_DATE, CAST(MIN("&amp;F12&amp;") AS STRING) AS VALOR_MIN, CAST(MAX("&amp;F12&amp;") AS STRING) AS VALOR_MAX,'"&amp;MAX('ID1&amp;5'!K:K)+1&amp;"' AS ID_EXEC, CURRENT_TIMESTAMP() AS TIME_EXEC FROM "&amp;MID(I12,1,LEN(I12)-2)&amp;" AND CAST("&amp;F12&amp;"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TABELA_SIMUL,'MTHD_USD_INSTRMNT_SCP_1' AS CAMPO, '${ref_date}' AS REF_DATE, COUNT(*) AS NUM_REG, SUM(IF(COALESCE(CAST(X.MTHD_USD_INSTRMNT_SCP_1 AS STRING),'')&lt;&gt;COALESCE(CAST(Y.MTHD_USD_INSTRMNT_SCP_1_SIMUL AS STRING),''),1,0)) AS NUM_REG_DIF,'1' AS ID_EXEC, CURRENT_TIMESTAMP() AS TIME_EXEC FROM (SELECT instrmnt_id, MTHD_USD_INSTRMNT_SCP_1 FROM BU_LOANTAPE_WORK.LT002_INSTRUMENT WHERE ref_date='${ref_date}' AND nome_perimetro='Individual Corporativo' AND segmento='ESTR' AND ambito='PILAR3')X INNER JOIN (SELECT instrmnt_id AS instrmnt_id_SIMUL, MTHD_USD_INSTRMNT_SCP_1 AS MTHD_USD_INSTRMNT_SCP_1_SIMUL FROM BU_LOANTAPE_WORK.LT002_INSTRUMENT_P3_NOV24)Y ON X.INSTRMNT_ID=Y.INSTRMNT_ID_SIMUL</v>
      </c>
      <c r="M12" s="43" t="str">
        <f t="shared" si="0"/>
        <v>UNION ALL SELECT 'INSTRUMENT' AS TABELA, 'COERÊNCIA' AS TIPOLOGIA_TESTE,'BU_LOANTAPE_WORK.LT002_INSTRUMENT' AS TABELA_LT,'BU_LOANTAPE_WORK.LT002_INSTRUMENT_P3_NOV24' AS TABELA_SIMUL,'MTHD_USD_INSTRMNT_SCP_1' AS CAMPO, '${ref_date}' AS REF_DATE, COUNT(*) AS NUM_REG, SUM(IF(COALESCE(CAST(X.MTHD_USD_INSTRMNT_SCP_1 AS STRING),'')&lt;&gt;COALESCE(CAST(Y.MTHD_USD_INSTRMNT_SCP_1_SIMUL AS STRING),''),1,0)) AS NUM_REG_DIF,'1' AS ID_EXEC, CURRENT_TIMESTAMP() AS TIME_EXEC FROM (SELECT instrmnt_id, MTHD_USD_INSTRMNT_SCP_1 FROM BU_LOANTAPE_WORK.LT002_INSTRUMENT WHERE ref_date='${ref_date}' AND nome_perimetro='Individual Corporativo' AND segmento='ESTR' AND ambito='PILAR3')X INNER JOIN (SELECT instrmnt_id AS instrmnt_id_SIMUL, MTHD_USD_INSTRMNT_SCP_1 AS MTHD_USD_INSTRMNT_SCP_1_SIMUL FROM BU_LOANTAPE_WORK.LT002_INSTRUMENT_P3_NOV24)Y ON X.INSTRMNT_ID=Y.INSTRMNT_ID_SIMUL</v>
      </c>
      <c r="N12" s="45" t="s">
        <v>13</v>
      </c>
    </row>
    <row r="13" spans="1:28">
      <c r="B13" s="41" t="s">
        <v>27</v>
      </c>
      <c r="C13" s="41" t="s">
        <v>74</v>
      </c>
      <c r="D13" s="41" t="str">
        <f>+UPPER('0. Instruções'!$D$33&amp;"."&amp;VLOOKUP(B13,'0. Instruções'!$C$27:$D$31,2,FALSE))</f>
        <v>BU_LOANTAPE_WORK.LT002_INSTRUMENT</v>
      </c>
      <c r="E13" s="41" t="str">
        <f>+UPPER('0. Instruções'!$D$34&amp;"."&amp;VLOOKUP(B13,'0. Instruções'!$C$27:$E$31,3,FALSE))</f>
        <v>BU_LOANTAPE_WORK.LT002_INSTRUMENT_P3_NOV24</v>
      </c>
      <c r="F13" s="41" t="s">
        <v>153</v>
      </c>
      <c r="G13" s="41" t="s">
        <v>209</v>
      </c>
      <c r="H13" s="41"/>
      <c r="I13" s="41" t="str">
        <f>"(SELECT "&amp;VLOOKUP(B13,'0. Instruções'!$C$27:$G$31,4,FALSE)&amp;", "&amp;F13&amp;" FROM "&amp;D13&amp;" WHERE "&amp;'0. Instruções'!$D$40&amp;")X"</f>
        <v>(SELECT instrmnt_id, MTHD_USD_INSTRMNT_SCP_2 FROM BU_LOANTAPE_WORK.LT002_INSTRUMENT WHERE ref_date='${ref_date}' AND nome_perimetro='Individual Corporativo' AND segmento='ESTR' AND ambito='PILAR3')X</v>
      </c>
      <c r="J13" s="41" t="str">
        <f>"(SELECT "&amp;VLOOKUP(B13,'0. Instruções'!$C$27:$G$31,4,FALSE)&amp;" AS "&amp;VLOOKUP(B13,'0. Instruções'!$C$27:$G$31,4,FALSE)&amp;"_SIMUL, "&amp;F13&amp;" AS "&amp;F13&amp;"_SIMUL FROM "&amp;E13&amp;")Y"</f>
        <v>(SELECT instrmnt_id AS instrmnt_id_SIMUL, MTHD_USD_INSTRMNT_SCP_2 AS MTHD_USD_INSTRMNT_SCP_2_SIMUL FROM BU_LOANTAPE_WORK.LT002_INSTRUMENT_P3_NOV24)Y</v>
      </c>
      <c r="K13" s="42" t="str">
        <f>+UPPER("ON X."&amp;VLOOKUP(B13,'0. Instruções'!$C$27:$G$31,4,FALSE)&amp;"=Y."&amp;VLOOKUP(B13,'0. Instruções'!$C$27:$G$31,4,FALSE)&amp;"_SIMUL")</f>
        <v>ON X.INSTRMNT_ID=Y.INSTRMNT_ID_SIMUL</v>
      </c>
      <c r="L13" s="42" t="str">
        <f>+IF(C13="Coerência", +IF(LEFT(G13,5)="FLOAT","SELECT '"&amp;UPPER(B13)&amp;"' AS TABELA, '"&amp;UPPER(C13)&amp;"' AS TIPOLOGIA_TESTE,'"&amp;D13&amp;"' AS TABELA_LT,'"&amp;E13&amp;"' AS TABELA_SIMUL,'"&amp;F13&amp;"' AS CAMPO, "&amp;"'${ref_date}' AS REF_DATE, COUNT(*) AS NUM_REG, SUM(IF((ABS(COALESCE(X."&amp;F13&amp;",0)-COALESCE(Y."&amp;F13&amp;"_SIMUL,0))&gt;0.0000000001) OR (X."&amp;F13&amp;" IS NULL AND Y."&amp;F13&amp;"_SIMUL IS NOT NULL ) OR (X."&amp;F13&amp;" IS NOT NULL AND Y."&amp;F13&amp;"_SIMUL IS NULL),1,0)) AS NUM_REG_DIF,'"&amp;MAX('ID1&amp;5'!K:K)+1&amp;"' AS ID_EXEC, CURRENT_TIMESTAMP() AS TIME_EXEC FROM "&amp;I13&amp;" INNER JOIN "&amp;J13&amp;" "&amp;K13,"SELECT '"&amp;UPPER(B13)&amp;"' AS TABELA, '"&amp;UPPER(C13)&amp;"' AS TIPOLOGIA_TESTE,'"&amp;D13&amp;"' AS TABELA_LT,'"&amp;E13&amp;"' AS TABELA_SIMUL,'"&amp;F13&amp;"' AS CAMPO, "&amp;"'${ref_date}' AS REF_DATE, COUNT(*) AS NUM_REG, SUM(IF(COALESCE(CAST(X."&amp;F13&amp;" AS STRING),'')&lt;&gt;COALESCE(CAST(Y."&amp;F13&amp;"_SIMUL AS STRING),''),1,0)) AS NUM_REG_DIF,'"&amp;MAX('ID1&amp;5'!L:L)+1&amp;"' AS ID_EXEC, CURRENT_TIMESTAMP() AS TIME_EXEC FROM "&amp;I13&amp;" INNER JOIN "&amp;J13&amp;" "&amp;K13),
IF(C13="Validade",+IF(G13="Code List","SELECT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 OR CAST(X."&amp;F13&amp;" AS STRING) NOT "&amp;H13&amp;",1,0)) AS NUM_REG_DIF,'"&amp;MAX('ID1&amp;5'!K:K)+1&amp;"' AS ID_EXEC, CURRENT_TIMESTAMP() AS TIME_EXEC FROM "&amp;I13,"SELECT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NULL,1,0)) AS NUM_REG_DIF,'"&amp;MAX('ID1&amp;5'!K:K)+1&amp;"' AS ID_EXEC, CURRENT_TIMESTAMP() AS TIME_EXEC FROM "&amp;I13),
IF(C13="Caracteres Especiais",+"SELECT '"&amp;UPPER(B13)&amp;"' AS TABELA, '"&amp;UPPER(C13)&amp;"' AS TIPOLOGIA_TESTE,'"&amp;D13&amp;"' AS TABELA_LT,'N/A' AS TABELA_SIMUL,'"&amp;F13&amp;"' AS CAMPO, "&amp;"'${ref_date}' AS REF_DATE, COUNT(*) AS NUM_REG, SUM(IF(INSTR(CAST(X."&amp;F13&amp;" AS STRING),'#')&gt;0 OR INSTR(CAST(X."&amp;F13&amp;" AS STRING),'*')&gt;0 OR INSTR(CAST(X."&amp;F13&amp;" AS STRING),'`')&gt;0 OR INSTR(CAST(X."&amp;F13&amp;" AS STRING),'´')&gt;0 OR INSTR(CAST(X."&amp;F13&amp;" AS STRING),'{')&gt;0 OR INSTR(CAST(X."&amp;F13&amp;" AS STRING),'}')&gt;0 OR INSTR(CAST(X."&amp;F13&amp;" AS STRING),'[')&gt;0 OR INSTR(CAST(X."&amp;F13&amp;" AS STRING),'')&gt;0 OR INSTR(CAST(X."&amp;F13&amp;" AS STRING),']')&gt;0 OR INSTR(CAST(X."&amp;F13&amp;" AS STRING),'?')&gt;0 OR INSTR(CAST(X."&amp;F13&amp;" AS STRING),'!')&gt;0 OR INSTR(CAST(X."&amp;F13&amp;" AS STRING),'$')&gt;0 OR INSTR(CAST(X."&amp;F13&amp;" AS STRING),'%')&gt;0 OR INSTR(CAST(X."&amp;F13&amp;" AS STRING),'&amp;')&gt;0 OR INSTR(CAST(X."&amp;F13&amp;" AS STRING),'+')&gt;0,1,0)) AS NUM_REG_DIF,'"&amp;MAX('ID1&amp;5'!K:K)+1&amp;"' AS ID_EXEC, CURRENT_TIMESTAMP() AS TIME_EXEC FROM "&amp;I13,
IF(C13="Missings",+"SELECT '"&amp;UPPER(B13)&amp;"' AS TABELA, '"&amp;UPPER(C13)&amp;"' AS TIPOLOGIA_TESTE,'"&amp;D13&amp;"' AS TABELA_LT,'N/A' AS TABELA_SIMUL,'"&amp;F13&amp;"' AS CAMPO, "&amp;"'${ref_date}' AS REF_DATE, COUNT(*) AS NUM_REG, SUM(IF(TRIM(CAST(X."&amp;F13&amp;" AS STRING)) IN ('0000-00-00','0001-01-01','9999-12-31','MISS','00000','99999999999','99999999999.00','99999999999.000000'),1,0)) AS NUM_REG_DIF,'"&amp;MAX('ID1&amp;5'!K:K)+1&amp;"' AS ID_EXEC, CURRENT_TIMESTAMP() AS TIME_EXEC FROM "&amp;I13,
IF(C13="Not applicable",+"SELECT '"&amp;UPPER(B13)&amp;"' AS TABELA, '"&amp;UPPER(C13)&amp;"' AS TIPOLOGIA_TESTE,'"&amp;D13&amp;"' AS TABELA_LT,'N/A' AS TABELA_SIMUL,'"&amp;F13&amp;"' AS CAMPO, "&amp;"'${ref_date}' AS REF_DATE, COUNT(*) AS NUM_REG, SUM(IF(TRIM(CAST(X."&amp;F13&amp;" AS STRING)) IN ('N/A','11111111111','11111111111.00','11111111111.000000','1111-11-11'),1,0)) AS NUM_REG_DIF,'"&amp;MAX('ID1&amp;5'!K:K)+1&amp;"' AS ID_EXEC, CURRENT_TIMESTAMP() AS TIME_EXEC FROM "&amp;I13,
IF(C13="Valores extremos",+"SELECT '"&amp;UPPER(B13)&amp;"' AS TABELA, '"&amp;UPPER(C13)&amp;"' AS TIPOLOGIA_TESTE,'"&amp;D13&amp;"' AS TABELA_LT,'N/A' AS TABELA_SIMUL,'"&amp;F13&amp;"' AS CAMPO, "&amp;"'${ref_date}' AS REF_DATE, CAST(MIN("&amp;F13&amp;") AS STRING) AS VALOR_MIN, CAST(MAX("&amp;F13&amp;") AS STRING) AS VALOR_MAX,'"&amp;MAX('ID1&amp;5'!K:K)+1&amp;"' AS ID_EXEC, CURRENT_TIMESTAMP() AS TIME_EXEC FROM "&amp;MID(I13,1,LEN(I13)-2)&amp;" AND CAST("&amp;F13&amp;"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TABELA_SIMUL,'MTHD_USD_INSTRMNT_SCP_2' AS CAMPO, '${ref_date}' AS REF_DATE, COUNT(*) AS NUM_REG, SUM(IF(COALESCE(CAST(X.MTHD_USD_INSTRMNT_SCP_2 AS STRING),'')&lt;&gt;COALESCE(CAST(Y.MTHD_USD_INSTRMNT_SCP_2_SIMUL AS STRING),''),1,0)) AS NUM_REG_DIF,'1' AS ID_EXEC, CURRENT_TIMESTAMP() AS TIME_EXEC FROM (SELECT instrmnt_id, MTHD_USD_INSTRMNT_SCP_2 FROM BU_LOANTAPE_WORK.LT002_INSTRUMENT WHERE ref_date='${ref_date}' AND nome_perimetro='Individual Corporativo' AND segmento='ESTR' AND ambito='PILAR3')X INNER JOIN (SELECT instrmnt_id AS instrmnt_id_SIMUL, MTHD_USD_INSTRMNT_SCP_2 AS MTHD_USD_INSTRMNT_SCP_2_SIMUL FROM BU_LOANTAPE_WORK.LT002_INSTRUMENT_P3_NOV24)Y ON X.INSTRMNT_ID=Y.INSTRMNT_ID_SIMUL</v>
      </c>
      <c r="M13" s="43" t="str">
        <f t="shared" si="0"/>
        <v>UNION ALL SELECT 'INSTRUMENT' AS TABELA, 'COERÊNCIA' AS TIPOLOGIA_TESTE,'BU_LOANTAPE_WORK.LT002_INSTRUMENT' AS TABELA_LT,'BU_LOANTAPE_WORK.LT002_INSTRUMENT_P3_NOV24' AS TABELA_SIMUL,'MTHD_USD_INSTRMNT_SCP_2' AS CAMPO, '${ref_date}' AS REF_DATE, COUNT(*) AS NUM_REG, SUM(IF(COALESCE(CAST(X.MTHD_USD_INSTRMNT_SCP_2 AS STRING),'')&lt;&gt;COALESCE(CAST(Y.MTHD_USD_INSTRMNT_SCP_2_SIMUL AS STRING),''),1,0)) AS NUM_REG_DIF,'1' AS ID_EXEC, CURRENT_TIMESTAMP() AS TIME_EXEC FROM (SELECT instrmnt_id, MTHD_USD_INSTRMNT_SCP_2 FROM BU_LOANTAPE_WORK.LT002_INSTRUMENT WHERE ref_date='${ref_date}' AND nome_perimetro='Individual Corporativo' AND segmento='ESTR' AND ambito='PILAR3')X INNER JOIN (SELECT instrmnt_id AS instrmnt_id_SIMUL, MTHD_USD_INSTRMNT_SCP_2 AS MTHD_USD_INSTRMNT_SCP_2_SIMUL FROM BU_LOANTAPE_WORK.LT002_INSTRUMENT_P3_NOV24)Y ON X.INSTRMNT_ID=Y.INSTRMNT_ID_SIMUL</v>
      </c>
      <c r="N13" s="45" t="s">
        <v>13</v>
      </c>
    </row>
    <row r="14" spans="1:28">
      <c r="B14" s="41" t="s">
        <v>27</v>
      </c>
      <c r="C14" s="41" t="s">
        <v>74</v>
      </c>
      <c r="D14" s="41" t="str">
        <f>+UPPER('0. Instruções'!$D$33&amp;"."&amp;VLOOKUP(B14,'0. Instruções'!$C$27:$D$31,2,FALSE))</f>
        <v>BU_LOANTAPE_WORK.LT002_INSTRUMENT</v>
      </c>
      <c r="E14" s="41" t="str">
        <f>+UPPER('0. Instruções'!$D$34&amp;"."&amp;VLOOKUP(B14,'0. Instruções'!$C$27:$E$31,3,FALSE))</f>
        <v>BU_LOANTAPE_WORK.LT002_INSTRUMENT_P3_NOV24</v>
      </c>
      <c r="F14" s="41" t="s">
        <v>154</v>
      </c>
      <c r="G14" s="41" t="s">
        <v>209</v>
      </c>
      <c r="H14" s="41"/>
      <c r="I14" s="41" t="str">
        <f>"(SELECT "&amp;VLOOKUP(B14,'0. Instruções'!$C$27:$G$31,4,FALSE)&amp;", "&amp;F14&amp;" FROM "&amp;D14&amp;" WHERE "&amp;'0. Instruções'!$D$40&amp;")X"</f>
        <v>(SELECT instrmnt_id, MTHD_USD_INSTRMNT_SCP_3 FROM BU_LOANTAPE_WORK.LT002_INSTRUMENT WHERE ref_date='${ref_date}' AND nome_perimetro='Individual Corporativo' AND segmento='ESTR' AND ambito='PILAR3')X</v>
      </c>
      <c r="J14" s="41" t="str">
        <f>"(SELECT "&amp;VLOOKUP(B14,'0. Instruções'!$C$27:$G$31,4,FALSE)&amp;" AS "&amp;VLOOKUP(B14,'0. Instruções'!$C$27:$G$31,4,FALSE)&amp;"_SIMUL, "&amp;F14&amp;" AS "&amp;F14&amp;"_SIMUL FROM "&amp;E14&amp;")Y"</f>
        <v>(SELECT instrmnt_id AS instrmnt_id_SIMUL, MTHD_USD_INSTRMNT_SCP_3 AS MTHD_USD_INSTRMNT_SCP_3_SIMUL FROM BU_LOANTAPE_WORK.LT002_INSTRUMENT_P3_NOV24)Y</v>
      </c>
      <c r="K14" s="42" t="str">
        <f>+UPPER("ON X."&amp;VLOOKUP(B14,'0. Instruções'!$C$27:$G$31,4,FALSE)&amp;"=Y."&amp;VLOOKUP(B14,'0. Instruções'!$C$27:$G$31,4,FALSE)&amp;"_SIMUL")</f>
        <v>ON X.INSTRMNT_ID=Y.INSTRMNT_ID_SIMUL</v>
      </c>
      <c r="L14" s="42" t="str">
        <f>+IF(C14="Coerência", +IF(LEFT(G14,5)="FLOAT","SELECT '"&amp;UPPER(B14)&amp;"' AS TABELA, '"&amp;UPPER(C14)&amp;"' AS TIPOLOGIA_TESTE,'"&amp;D14&amp;"' AS TABELA_LT,'"&amp;E14&amp;"' AS TABELA_SIMUL,'"&amp;F14&amp;"' AS CAMPO, "&amp;"'${ref_date}' AS REF_DATE, COUNT(*) AS NUM_REG, SUM(IF((ABS(COALESCE(X."&amp;F14&amp;",0)-COALESCE(Y."&amp;F14&amp;"_SIMUL,0))&gt;0.0000000001) OR (X."&amp;F14&amp;" IS NULL AND Y."&amp;F14&amp;"_SIMUL IS NOT NULL ) OR (X."&amp;F14&amp;" IS NOT NULL AND Y."&amp;F14&amp;"_SIMUL IS NULL),1,0)) AS NUM_REG_DIF,'"&amp;MAX('ID1&amp;5'!K:K)+1&amp;"' AS ID_EXEC, CURRENT_TIMESTAMP() AS TIME_EXEC FROM "&amp;I14&amp;" INNER JOIN "&amp;J14&amp;" "&amp;K14,"SELECT '"&amp;UPPER(B14)&amp;"' AS TABELA, '"&amp;UPPER(C14)&amp;"' AS TIPOLOGIA_TESTE,'"&amp;D14&amp;"' AS TABELA_LT,'"&amp;E14&amp;"' AS TABELA_SIMUL,'"&amp;F14&amp;"' AS CAMPO, "&amp;"'${ref_date}' AS REF_DATE, COUNT(*) AS NUM_REG, SUM(IF(COALESCE(CAST(X."&amp;F14&amp;" AS STRING),'')&lt;&gt;COALESCE(CAST(Y."&amp;F14&amp;"_SIMUL AS STRING),''),1,0)) AS NUM_REG_DIF,'"&amp;MAX('ID1&amp;5'!L:L)+1&amp;"' AS ID_EXEC, CURRENT_TIMESTAMP() AS TIME_EXEC FROM "&amp;I14&amp;" INNER JOIN "&amp;J14&amp;" "&amp;K14),
IF(C14="Validade",+IF(G14="Code List","SELECT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 OR CAST(X."&amp;F14&amp;" AS STRING) NOT "&amp;H14&amp;",1,0)) AS NUM_REG_DIF,'"&amp;MAX('ID1&amp;5'!K:K)+1&amp;"' AS ID_EXEC, CURRENT_TIMESTAMP() AS TIME_EXEC FROM "&amp;I14,"SELECT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NULL,1,0)) AS NUM_REG_DIF,'"&amp;MAX('ID1&amp;5'!K:K)+1&amp;"' AS ID_EXEC, CURRENT_TIMESTAMP() AS TIME_EXEC FROM "&amp;I14),
IF(C14="Caracteres Especiais",+"SELECT '"&amp;UPPER(B14)&amp;"' AS TABELA, '"&amp;UPPER(C14)&amp;"' AS TIPOLOGIA_TESTE,'"&amp;D14&amp;"' AS TABELA_LT,'N/A' AS TABELA_SIMUL,'"&amp;F14&amp;"' AS CAMPO, "&amp;"'${ref_date}' AS REF_DATE, COUNT(*) AS NUM_REG, SUM(IF(INSTR(CAST(X."&amp;F14&amp;" AS STRING),'#')&gt;0 OR INSTR(CAST(X."&amp;F14&amp;" AS STRING),'*')&gt;0 OR INSTR(CAST(X."&amp;F14&amp;" AS STRING),'`')&gt;0 OR INSTR(CAST(X."&amp;F14&amp;" AS STRING),'´')&gt;0 OR INSTR(CAST(X."&amp;F14&amp;" AS STRING),'{')&gt;0 OR INSTR(CAST(X."&amp;F14&amp;" AS STRING),'}')&gt;0 OR INSTR(CAST(X."&amp;F14&amp;" AS STRING),'[')&gt;0 OR INSTR(CAST(X."&amp;F14&amp;" AS STRING),'')&gt;0 OR INSTR(CAST(X."&amp;F14&amp;" AS STRING),']')&gt;0 OR INSTR(CAST(X."&amp;F14&amp;" AS STRING),'?')&gt;0 OR INSTR(CAST(X."&amp;F14&amp;" AS STRING),'!')&gt;0 OR INSTR(CAST(X."&amp;F14&amp;" AS STRING),'$')&gt;0 OR INSTR(CAST(X."&amp;F14&amp;" AS STRING),'%')&gt;0 OR INSTR(CAST(X."&amp;F14&amp;" AS STRING),'&amp;')&gt;0 OR INSTR(CAST(X."&amp;F14&amp;" AS STRING),'+')&gt;0,1,0)) AS NUM_REG_DIF,'"&amp;MAX('ID1&amp;5'!K:K)+1&amp;"' AS ID_EXEC, CURRENT_TIMESTAMP() AS TIME_EXEC FROM "&amp;I14,
IF(C14="Missings",+"SELECT '"&amp;UPPER(B14)&amp;"' AS TABELA, '"&amp;UPPER(C14)&amp;"' AS TIPOLOGIA_TESTE,'"&amp;D14&amp;"' AS TABELA_LT,'N/A' AS TABELA_SIMUL,'"&amp;F14&amp;"' AS CAMPO, "&amp;"'${ref_date}' AS REF_DATE, COUNT(*) AS NUM_REG, SUM(IF(TRIM(CAST(X."&amp;F14&amp;" AS STRING)) IN ('0000-00-00','0001-01-01','9999-12-31','MISS','00000','99999999999','99999999999.00','99999999999.000000'),1,0)) AS NUM_REG_DIF,'"&amp;MAX('ID1&amp;5'!K:K)+1&amp;"' AS ID_EXEC, CURRENT_TIMESTAMP() AS TIME_EXEC FROM "&amp;I14,
IF(C14="Not applicable",+"SELECT '"&amp;UPPER(B14)&amp;"' AS TABELA, '"&amp;UPPER(C14)&amp;"' AS TIPOLOGIA_TESTE,'"&amp;D14&amp;"' AS TABELA_LT,'N/A' AS TABELA_SIMUL,'"&amp;F14&amp;"' AS CAMPO, "&amp;"'${ref_date}' AS REF_DATE, COUNT(*) AS NUM_REG, SUM(IF(TRIM(CAST(X."&amp;F14&amp;" AS STRING)) IN ('N/A','11111111111','11111111111.00','11111111111.000000','1111-11-11'),1,0)) AS NUM_REG_DIF,'"&amp;MAX('ID1&amp;5'!K:K)+1&amp;"' AS ID_EXEC, CURRENT_TIMESTAMP() AS TIME_EXEC FROM "&amp;I14,
IF(C14="Valores extremos",+"SELECT '"&amp;UPPER(B14)&amp;"' AS TABELA, '"&amp;UPPER(C14)&amp;"' AS TIPOLOGIA_TESTE,'"&amp;D14&amp;"' AS TABELA_LT,'N/A' AS TABELA_SIMUL,'"&amp;F14&amp;"' AS CAMPO, "&amp;"'${ref_date}' AS REF_DATE, CAST(MIN("&amp;F14&amp;") AS STRING) AS VALOR_MIN, CAST(MAX("&amp;F14&amp;") AS STRING) AS VALOR_MAX,'"&amp;MAX('ID1&amp;5'!K:K)+1&amp;"' AS ID_EXEC, CURRENT_TIMESTAMP() AS TIME_EXEC FROM "&amp;MID(I14,1,LEN(I14)-2)&amp;" AND CAST("&amp;F14&amp;"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TABELA_SIMUL,'MTHD_USD_INSTRMNT_SCP_3' AS CAMPO, '${ref_date}' AS REF_DATE, COUNT(*) AS NUM_REG, SUM(IF(COALESCE(CAST(X.MTHD_USD_INSTRMNT_SCP_3 AS STRING),'')&lt;&gt;COALESCE(CAST(Y.MTHD_USD_INSTRMNT_SCP_3_SIMUL AS STRING),''),1,0)) AS NUM_REG_DIF,'1' AS ID_EXEC, CURRENT_TIMESTAMP() AS TIME_EXEC FROM (SELECT instrmnt_id, MTHD_USD_INSTRMNT_SCP_3 FROM BU_LOANTAPE_WORK.LT002_INSTRUMENT WHERE ref_date='${ref_date}' AND nome_perimetro='Individual Corporativo' AND segmento='ESTR' AND ambito='PILAR3')X INNER JOIN (SELECT instrmnt_id AS instrmnt_id_SIMUL, MTHD_USD_INSTRMNT_SCP_3 AS MTHD_USD_INSTRMNT_SCP_3_SIMUL FROM BU_LOANTAPE_WORK.LT002_INSTRUMENT_P3_NOV24)Y ON X.INSTRMNT_ID=Y.INSTRMNT_ID_SIMUL</v>
      </c>
      <c r="M14" s="43" t="str">
        <f t="shared" si="0"/>
        <v>UNION ALL SELECT 'INSTRUMENT' AS TABELA, 'COERÊNCIA' AS TIPOLOGIA_TESTE,'BU_LOANTAPE_WORK.LT002_INSTRUMENT' AS TABELA_LT,'BU_LOANTAPE_WORK.LT002_INSTRUMENT_P3_NOV24' AS TABELA_SIMUL,'MTHD_USD_INSTRMNT_SCP_3' AS CAMPO, '${ref_date}' AS REF_DATE, COUNT(*) AS NUM_REG, SUM(IF(COALESCE(CAST(X.MTHD_USD_INSTRMNT_SCP_3 AS STRING),'')&lt;&gt;COALESCE(CAST(Y.MTHD_USD_INSTRMNT_SCP_3_SIMUL AS STRING),''),1,0)) AS NUM_REG_DIF,'1' AS ID_EXEC, CURRENT_TIMESTAMP() AS TIME_EXEC FROM (SELECT instrmnt_id, MTHD_USD_INSTRMNT_SCP_3 FROM BU_LOANTAPE_WORK.LT002_INSTRUMENT WHERE ref_date='${ref_date}' AND nome_perimetro='Individual Corporativo' AND segmento='ESTR' AND ambito='PILAR3')X INNER JOIN (SELECT instrmnt_id AS instrmnt_id_SIMUL, MTHD_USD_INSTRMNT_SCP_3 AS MTHD_USD_INSTRMNT_SCP_3_SIMUL FROM BU_LOANTAPE_WORK.LT002_INSTRUMENT_P3_NOV24)Y ON X.INSTRMNT_ID=Y.INSTRMNT_ID_SIMUL</v>
      </c>
      <c r="N14" s="45" t="s">
        <v>13</v>
      </c>
    </row>
    <row r="15" spans="1:28">
      <c r="B15" s="41" t="s">
        <v>27</v>
      </c>
      <c r="C15" s="41" t="s">
        <v>74</v>
      </c>
      <c r="D15" s="41" t="str">
        <f>+UPPER('0. Instruções'!$D$33&amp;"."&amp;VLOOKUP(B15,'0. Instruções'!$C$27:$D$31,2,FALSE))</f>
        <v>BU_LOANTAPE_WORK.LT002_INSTRUMENT</v>
      </c>
      <c r="E15" s="41" t="str">
        <f>+UPPER('0. Instruções'!$D$34&amp;"."&amp;VLOOKUP(B15,'0. Instruções'!$C$27:$E$31,3,FALSE))</f>
        <v>BU_LOANTAPE_WORK.LT002_INSTRUMENT_P3_NOV24</v>
      </c>
      <c r="F15" s="41" t="s">
        <v>155</v>
      </c>
      <c r="G15" s="41" t="s">
        <v>209</v>
      </c>
      <c r="H15" s="41"/>
      <c r="I15" s="41" t="str">
        <f>"(SELECT "&amp;VLOOKUP(B15,'0. Instruções'!$C$27:$G$31,4,FALSE)&amp;", "&amp;F15&amp;" FROM "&amp;D15&amp;" WHERE "&amp;'0. Instruções'!$D$40&amp;")X"</f>
        <v>(SELECT instrmnt_id, SSTNBL_CTGRY_TXNMY FROM BU_LOANTAPE_WORK.LT002_INSTRUMENT WHERE ref_date='${ref_date}' AND nome_perimetro='Individual Corporativo' AND segmento='ESTR' AND ambito='PILAR3')X</v>
      </c>
      <c r="J15" s="41" t="str">
        <f>"(SELECT "&amp;VLOOKUP(B15,'0. Instruções'!$C$27:$G$31,4,FALSE)&amp;" AS "&amp;VLOOKUP(B15,'0. Instruções'!$C$27:$G$31,4,FALSE)&amp;"_SIMUL, "&amp;F15&amp;" AS "&amp;F15&amp;"_SIMUL FROM "&amp;E15&amp;")Y"</f>
        <v>(SELECT instrmnt_id AS instrmnt_id_SIMUL, SSTNBL_CTGRY_TXNMY AS SSTNBL_CTGRY_TXNMY_SIMUL FROM BU_LOANTAPE_WORK.LT002_INSTRUMENT_P3_NOV24)Y</v>
      </c>
      <c r="K15" s="42" t="str">
        <f>+UPPER("ON X."&amp;VLOOKUP(B15,'0. Instruções'!$C$27:$G$31,4,FALSE)&amp;"=Y."&amp;VLOOKUP(B15,'0. Instruções'!$C$27:$G$31,4,FALSE)&amp;"_SIMUL")</f>
        <v>ON X.INSTRMNT_ID=Y.INSTRMNT_ID_SIMUL</v>
      </c>
      <c r="L15" s="42" t="str">
        <f>+IF(C15="Coerência", +IF(LEFT(G15,5)="FLOAT","SELECT '"&amp;UPPER(B15)&amp;"' AS TABELA, '"&amp;UPPER(C15)&amp;"' AS TIPOLOGIA_TESTE,'"&amp;D15&amp;"' AS TABELA_LT,'"&amp;E15&amp;"' AS TABELA_SIMUL,'"&amp;F15&amp;"' AS CAMPO, "&amp;"'${ref_date}' AS REF_DATE, COUNT(*) AS NUM_REG, SUM(IF((ABS(COALESCE(X."&amp;F15&amp;",0)-COALESCE(Y."&amp;F15&amp;"_SIMUL,0))&gt;0.0000000001) OR (X."&amp;F15&amp;" IS NULL AND Y."&amp;F15&amp;"_SIMUL IS NOT NULL ) OR (X."&amp;F15&amp;" IS NOT NULL AND Y."&amp;F15&amp;"_SIMUL IS NULL),1,0)) AS NUM_REG_DIF,'"&amp;MAX('ID1&amp;5'!K:K)+1&amp;"' AS ID_EXEC, CURRENT_TIMESTAMP() AS TIME_EXEC FROM "&amp;I15&amp;" INNER JOIN "&amp;J15&amp;" "&amp;K15,"SELECT '"&amp;UPPER(B15)&amp;"' AS TABELA, '"&amp;UPPER(C15)&amp;"' AS TIPOLOGIA_TESTE,'"&amp;D15&amp;"' AS TABELA_LT,'"&amp;E15&amp;"' AS TABELA_SIMUL,'"&amp;F15&amp;"' AS CAMPO, "&amp;"'${ref_date}' AS REF_DATE, COUNT(*) AS NUM_REG, SUM(IF(COALESCE(CAST(X."&amp;F15&amp;" AS STRING),'')&lt;&gt;COALESCE(CAST(Y."&amp;F15&amp;"_SIMUL AS STRING),''),1,0)) AS NUM_REG_DIF,'"&amp;MAX('ID1&amp;5'!L:L)+1&amp;"' AS ID_EXEC, CURRENT_TIMESTAMP() AS TIME_EXEC FROM "&amp;I15&amp;" INNER JOIN "&amp;J15&amp;" "&amp;K15),
IF(C15="Validade",+IF(G15="Code List","SELECT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 OR CAST(X."&amp;F15&amp;" AS STRING) NOT "&amp;H15&amp;",1,0)) AS NUM_REG_DIF,'"&amp;MAX('ID1&amp;5'!K:K)+1&amp;"' AS ID_EXEC, CURRENT_TIMESTAMP() AS TIME_EXEC FROM "&amp;I15,"SELECT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NULL,1,0)) AS NUM_REG_DIF,'"&amp;MAX('ID1&amp;5'!K:K)+1&amp;"' AS ID_EXEC, CURRENT_TIMESTAMP() AS TIME_EXEC FROM "&amp;I15),
IF(C15="Caracteres Especiais",+"SELECT '"&amp;UPPER(B15)&amp;"' AS TABELA, '"&amp;UPPER(C15)&amp;"' AS TIPOLOGIA_TESTE,'"&amp;D15&amp;"' AS TABELA_LT,'N/A' AS TABELA_SIMUL,'"&amp;F15&amp;"' AS CAMPO, "&amp;"'${ref_date}' AS REF_DATE, COUNT(*) AS NUM_REG, SUM(IF(INSTR(CAST(X."&amp;F15&amp;" AS STRING),'#')&gt;0 OR INSTR(CAST(X."&amp;F15&amp;" AS STRING),'*')&gt;0 OR INSTR(CAST(X."&amp;F15&amp;" AS STRING),'`')&gt;0 OR INSTR(CAST(X."&amp;F15&amp;" AS STRING),'´')&gt;0 OR INSTR(CAST(X."&amp;F15&amp;" AS STRING),'{')&gt;0 OR INSTR(CAST(X."&amp;F15&amp;" AS STRING),'}')&gt;0 OR INSTR(CAST(X."&amp;F15&amp;" AS STRING),'[')&gt;0 OR INSTR(CAST(X."&amp;F15&amp;" AS STRING),'')&gt;0 OR INSTR(CAST(X."&amp;F15&amp;" AS STRING),']')&gt;0 OR INSTR(CAST(X."&amp;F15&amp;" AS STRING),'?')&gt;0 OR INSTR(CAST(X."&amp;F15&amp;" AS STRING),'!')&gt;0 OR INSTR(CAST(X."&amp;F15&amp;" AS STRING),'$')&gt;0 OR INSTR(CAST(X."&amp;F15&amp;" AS STRING),'%')&gt;0 OR INSTR(CAST(X."&amp;F15&amp;" AS STRING),'&amp;')&gt;0 OR INSTR(CAST(X."&amp;F15&amp;" AS STRING),'+')&gt;0,1,0)) AS NUM_REG_DIF,'"&amp;MAX('ID1&amp;5'!K:K)+1&amp;"' AS ID_EXEC, CURRENT_TIMESTAMP() AS TIME_EXEC FROM "&amp;I15,
IF(C15="Missings",+"SELECT '"&amp;UPPER(B15)&amp;"' AS TABELA, '"&amp;UPPER(C15)&amp;"' AS TIPOLOGIA_TESTE,'"&amp;D15&amp;"' AS TABELA_LT,'N/A' AS TABELA_SIMUL,'"&amp;F15&amp;"' AS CAMPO, "&amp;"'${ref_date}' AS REF_DATE, COUNT(*) AS NUM_REG, SUM(IF(TRIM(CAST(X."&amp;F15&amp;" AS STRING)) IN ('0000-00-00','0001-01-01','9999-12-31','MISS','00000','99999999999','99999999999.00','99999999999.000000'),1,0)) AS NUM_REG_DIF,'"&amp;MAX('ID1&amp;5'!K:K)+1&amp;"' AS ID_EXEC, CURRENT_TIMESTAMP() AS TIME_EXEC FROM "&amp;I15,
IF(C15="Not applicable",+"SELECT '"&amp;UPPER(B15)&amp;"' AS TABELA, '"&amp;UPPER(C15)&amp;"' AS TIPOLOGIA_TESTE,'"&amp;D15&amp;"' AS TABELA_LT,'N/A' AS TABELA_SIMUL,'"&amp;F15&amp;"' AS CAMPO, "&amp;"'${ref_date}' AS REF_DATE, COUNT(*) AS NUM_REG, SUM(IF(TRIM(CAST(X."&amp;F15&amp;" AS STRING)) IN ('N/A','11111111111','11111111111.00','11111111111.000000','1111-11-11'),1,0)) AS NUM_REG_DIF,'"&amp;MAX('ID1&amp;5'!K:K)+1&amp;"' AS ID_EXEC, CURRENT_TIMESTAMP() AS TIME_EXEC FROM "&amp;I15,
IF(C15="Valores extremos",+"SELECT '"&amp;UPPER(B15)&amp;"' AS TABELA, '"&amp;UPPER(C15)&amp;"' AS TIPOLOGIA_TESTE,'"&amp;D15&amp;"' AS TABELA_LT,'N/A' AS TABELA_SIMUL,'"&amp;F15&amp;"' AS CAMPO, "&amp;"'${ref_date}' AS REF_DATE, CAST(MIN("&amp;F15&amp;") AS STRING) AS VALOR_MIN, CAST(MAX("&amp;F15&amp;") AS STRING) AS VALOR_MAX,'"&amp;MAX('ID1&amp;5'!K:K)+1&amp;"' AS ID_EXEC, CURRENT_TIMESTAMP() AS TIME_EXEC FROM "&amp;MID(I15,1,LEN(I15)-2)&amp;" AND CAST("&amp;F15&amp;"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TABELA_SIMUL,'SSTNBL_CTGRY_TXNMY' AS CAMPO, '${ref_date}' AS REF_DATE, COUNT(*) AS NUM_REG, SUM(IF(COALESCE(CAST(X.SSTNBL_CTGRY_TXNMY AS STRING),'')&lt;&gt;COALESCE(CAST(Y.SSTNBL_CTGRY_TXNMY_SIMUL AS STRING),''),1,0)) AS NUM_REG_DIF,'1' AS ID_EXEC, CURRENT_TIMESTAMP() AS TIME_EXEC FROM (SELECT instrmnt_id, SSTNBL_CTGRY_TXNMY FROM BU_LOANTAPE_WORK.LT002_INSTRUMENT WHERE ref_date='${ref_date}' AND nome_perimetro='Individual Corporativo' AND segmento='ESTR' AND ambito='PILAR3')X INNER JOIN (SELECT instrmnt_id AS instrmnt_id_SIMUL, SSTNBL_CTGRY_TXNMY AS SSTNBL_CTGRY_TXNMY_SIMUL FROM BU_LOANTAPE_WORK.LT002_INSTRUMENT_P3_NOV24)Y ON X.INSTRMNT_ID=Y.INSTRMNT_ID_SIMUL</v>
      </c>
      <c r="M15" s="43" t="str">
        <f t="shared" si="0"/>
        <v>UNION ALL SELECT 'INSTRUMENT' AS TABELA, 'COERÊNCIA' AS TIPOLOGIA_TESTE,'BU_LOANTAPE_WORK.LT002_INSTRUMENT' AS TABELA_LT,'BU_LOANTAPE_WORK.LT002_INSTRUMENT_P3_NOV24' AS TABELA_SIMUL,'SSTNBL_CTGRY_TXNMY' AS CAMPO, '${ref_date}' AS REF_DATE, COUNT(*) AS NUM_REG, SUM(IF(COALESCE(CAST(X.SSTNBL_CTGRY_TXNMY AS STRING),'')&lt;&gt;COALESCE(CAST(Y.SSTNBL_CTGRY_TXNMY_SIMUL AS STRING),''),1,0)) AS NUM_REG_DIF,'1' AS ID_EXEC, CURRENT_TIMESTAMP() AS TIME_EXEC FROM (SELECT instrmnt_id, SSTNBL_CTGRY_TXNMY FROM BU_LOANTAPE_WORK.LT002_INSTRUMENT WHERE ref_date='${ref_date}' AND nome_perimetro='Individual Corporativo' AND segmento='ESTR' AND ambito='PILAR3')X INNER JOIN (SELECT instrmnt_id AS instrmnt_id_SIMUL, SSTNBL_CTGRY_TXNMY AS SSTNBL_CTGRY_TXNMY_SIMUL FROM BU_LOANTAPE_WORK.LT002_INSTRUMENT_P3_NOV24)Y ON X.INSTRMNT_ID=Y.INSTRMNT_ID_SIMUL</v>
      </c>
      <c r="N15" s="45" t="s">
        <v>13</v>
      </c>
    </row>
    <row r="16" spans="1:28">
      <c r="B16" s="41" t="s">
        <v>27</v>
      </c>
      <c r="C16" s="41" t="s">
        <v>74</v>
      </c>
      <c r="D16" s="41" t="str">
        <f>+UPPER('0. Instruções'!$D$33&amp;"."&amp;VLOOKUP(B16,'0. Instruções'!$C$27:$D$31,2,FALSE))</f>
        <v>BU_LOANTAPE_WORK.LT002_INSTRUMENT</v>
      </c>
      <c r="E16" s="41" t="str">
        <f>+UPPER('0. Instruções'!$D$34&amp;"."&amp;VLOOKUP(B16,'0. Instruções'!$C$27:$E$31,3,FALSE))</f>
        <v>BU_LOANTAPE_WORK.LT002_INSTRUMENT_P3_NOV24</v>
      </c>
      <c r="F16" s="41" t="s">
        <v>156</v>
      </c>
      <c r="G16" s="41" t="s">
        <v>13</v>
      </c>
      <c r="H16" s="41"/>
      <c r="I16" s="41" t="str">
        <f>"(SELECT "&amp;VLOOKUP(B16,'0. Instruções'!$C$27:$G$31,4,FALSE)&amp;", "&amp;F16&amp;" FROM "&amp;D16&amp;" WHERE "&amp;'0. Instruções'!$D$40&amp;")X"</f>
        <v>(SELECT instrmnt_id, DT_RFRNC FROM BU_LOANTAPE_WORK.LT002_INSTRUMENT WHERE ref_date='${ref_date}' AND nome_perimetro='Individual Corporativo' AND segmento='ESTR' AND ambito='PILAR3')X</v>
      </c>
      <c r="J16" s="41" t="str">
        <f>"(SELECT "&amp;VLOOKUP(B16,'0. Instruções'!$C$27:$G$31,4,FALSE)&amp;" AS "&amp;VLOOKUP(B16,'0. Instruções'!$C$27:$G$31,4,FALSE)&amp;"_SIMUL, "&amp;F16&amp;" AS "&amp;F16&amp;"_SIMUL FROM "&amp;E16&amp;")Y"</f>
        <v>(SELECT instrmnt_id AS instrmnt_id_SIMUL, DT_RFRNC AS DT_RFRNC_SIMUL FROM BU_LOANTAPE_WORK.LT002_INSTRUMENT_P3_NOV24)Y</v>
      </c>
      <c r="K16" s="42" t="str">
        <f>+UPPER("ON X."&amp;VLOOKUP(B16,'0. Instruções'!$C$27:$G$31,4,FALSE)&amp;"=Y."&amp;VLOOKUP(B16,'0. Instruções'!$C$27:$G$31,4,FALSE)&amp;"_SIMUL")</f>
        <v>ON X.INSTRMNT_ID=Y.INSTRMNT_ID_SIMUL</v>
      </c>
      <c r="L16" s="42" t="str">
        <f>+IF(C16="Coerência", +IF(LEFT(G16,5)="FLOAT","SELECT '"&amp;UPPER(B16)&amp;"' AS TABELA, '"&amp;UPPER(C16)&amp;"' AS TIPOLOGIA_TESTE,'"&amp;D16&amp;"' AS TABELA_LT,'"&amp;E16&amp;"' AS TABELA_SIMUL,'"&amp;F16&amp;"' AS CAMPO, "&amp;"'${ref_date}' AS REF_DATE, COUNT(*) AS NUM_REG, SUM(IF((ABS(COALESCE(X."&amp;F16&amp;",0)-COALESCE(Y."&amp;F16&amp;"_SIMUL,0))&gt;0.0000000001) OR (X."&amp;F16&amp;" IS NULL AND Y."&amp;F16&amp;"_SIMUL IS NOT NULL ) OR (X."&amp;F16&amp;" IS NOT NULL AND Y."&amp;F16&amp;"_SIMUL IS NULL),1,0)) AS NUM_REG_DIF,'"&amp;MAX('ID1&amp;5'!K:K)+1&amp;"' AS ID_EXEC, CURRENT_TIMESTAMP() AS TIME_EXEC FROM "&amp;I16&amp;" INNER JOIN "&amp;J16&amp;" "&amp;K16,"SELECT '"&amp;UPPER(B16)&amp;"' AS TABELA, '"&amp;UPPER(C16)&amp;"' AS TIPOLOGIA_TESTE,'"&amp;D16&amp;"' AS TABELA_LT,'"&amp;E16&amp;"' AS TABELA_SIMUL,'"&amp;F16&amp;"' AS CAMPO, "&amp;"'${ref_date}' AS REF_DATE, COUNT(*) AS NUM_REG, SUM(IF(COALESCE(CAST(X."&amp;F16&amp;" AS STRING),'')&lt;&gt;COALESCE(CAST(Y."&amp;F16&amp;"_SIMUL AS STRING),''),1,0)) AS NUM_REG_DIF,'"&amp;MAX('ID1&amp;5'!L:L)+1&amp;"' AS ID_EXEC, CURRENT_TIMESTAMP() AS TIME_EXEC FROM "&amp;I16&amp;" INNER JOIN "&amp;J16&amp;" "&amp;K16),
IF(C16="Validade",+IF(G16="Code List","SELECT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 OR CAST(X."&amp;F16&amp;" AS STRING) NOT "&amp;H16&amp;",1,0)) AS NUM_REG_DIF,'"&amp;MAX('ID1&amp;5'!K:K)+1&amp;"' AS ID_EXEC, CURRENT_TIMESTAMP() AS TIME_EXEC FROM "&amp;I16,"SELECT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NULL,1,0)) AS NUM_REG_DIF,'"&amp;MAX('ID1&amp;5'!K:K)+1&amp;"' AS ID_EXEC, CURRENT_TIMESTAMP() AS TIME_EXEC FROM "&amp;I16),
IF(C16="Caracteres Especiais",+"SELECT '"&amp;UPPER(B16)&amp;"' AS TABELA, '"&amp;UPPER(C16)&amp;"' AS TIPOLOGIA_TESTE,'"&amp;D16&amp;"' AS TABELA_LT,'N/A' AS TABELA_SIMUL,'"&amp;F16&amp;"' AS CAMPO, "&amp;"'${ref_date}' AS REF_DATE, COUNT(*) AS NUM_REG, SUM(IF(INSTR(CAST(X."&amp;F16&amp;" AS STRING),'#')&gt;0 OR INSTR(CAST(X."&amp;F16&amp;" AS STRING),'*')&gt;0 OR INSTR(CAST(X."&amp;F16&amp;" AS STRING),'`')&gt;0 OR INSTR(CAST(X."&amp;F16&amp;" AS STRING),'´')&gt;0 OR INSTR(CAST(X."&amp;F16&amp;" AS STRING),'{')&gt;0 OR INSTR(CAST(X."&amp;F16&amp;" AS STRING),'}')&gt;0 OR INSTR(CAST(X."&amp;F16&amp;" AS STRING),'[')&gt;0 OR INSTR(CAST(X."&amp;F16&amp;" AS STRING),'')&gt;0 OR INSTR(CAST(X."&amp;F16&amp;" AS STRING),']')&gt;0 OR INSTR(CAST(X."&amp;F16&amp;" AS STRING),'?')&gt;0 OR INSTR(CAST(X."&amp;F16&amp;" AS STRING),'!')&gt;0 OR INSTR(CAST(X."&amp;F16&amp;" AS STRING),'$')&gt;0 OR INSTR(CAST(X."&amp;F16&amp;" AS STRING),'%')&gt;0 OR INSTR(CAST(X."&amp;F16&amp;" AS STRING),'&amp;')&gt;0 OR INSTR(CAST(X."&amp;F16&amp;" AS STRING),'+')&gt;0,1,0)) AS NUM_REG_DIF,'"&amp;MAX('ID1&amp;5'!K:K)+1&amp;"' AS ID_EXEC, CURRENT_TIMESTAMP() AS TIME_EXEC FROM "&amp;I16,
IF(C16="Missings",+"SELECT '"&amp;UPPER(B16)&amp;"' AS TABELA, '"&amp;UPPER(C16)&amp;"' AS TIPOLOGIA_TESTE,'"&amp;D16&amp;"' AS TABELA_LT,'N/A' AS TABELA_SIMUL,'"&amp;F16&amp;"' AS CAMPO, "&amp;"'${ref_date}' AS REF_DATE, COUNT(*) AS NUM_REG, SUM(IF(TRIM(CAST(X."&amp;F16&amp;" AS STRING)) IN ('0000-00-00','0001-01-01','9999-12-31','MISS','00000','99999999999','99999999999.00','99999999999.000000'),1,0)) AS NUM_REG_DIF,'"&amp;MAX('ID1&amp;5'!K:K)+1&amp;"' AS ID_EXEC, CURRENT_TIMESTAMP() AS TIME_EXEC FROM "&amp;I16,
IF(C16="Not applicable",+"SELECT '"&amp;UPPER(B16)&amp;"' AS TABELA, '"&amp;UPPER(C16)&amp;"' AS TIPOLOGIA_TESTE,'"&amp;D16&amp;"' AS TABELA_LT,'N/A' AS TABELA_SIMUL,'"&amp;F16&amp;"' AS CAMPO, "&amp;"'${ref_date}' AS REF_DATE, COUNT(*) AS NUM_REG, SUM(IF(TRIM(CAST(X."&amp;F16&amp;" AS STRING)) IN ('N/A','11111111111','11111111111.00','11111111111.000000','1111-11-11'),1,0)) AS NUM_REG_DIF,'"&amp;MAX('ID1&amp;5'!K:K)+1&amp;"' AS ID_EXEC, CURRENT_TIMESTAMP() AS TIME_EXEC FROM "&amp;I16,
IF(C16="Valores extremos",+"SELECT '"&amp;UPPER(B16)&amp;"' AS TABELA, '"&amp;UPPER(C16)&amp;"' AS TIPOLOGIA_TESTE,'"&amp;D16&amp;"' AS TABELA_LT,'N/A' AS TABELA_SIMUL,'"&amp;F16&amp;"' AS CAMPO, "&amp;"'${ref_date}' AS REF_DATE, CAST(MIN("&amp;F16&amp;") AS STRING) AS VALOR_MIN, CAST(MAX("&amp;F16&amp;") AS STRING) AS VALOR_MAX,'"&amp;MAX('ID1&amp;5'!K:K)+1&amp;"' AS ID_EXEC, CURRENT_TIMESTAMP() AS TIME_EXEC FROM "&amp;MID(I16,1,LEN(I16)-2)&amp;" AND CAST("&amp;F16&amp;"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TABELA_SIMUL,'DT_RFRNC' AS CAMPO, '${ref_date}' AS REF_DATE, COUNT(*) AS NUM_REG, SUM(IF(COALESCE(CAST(X.DT_RFRNC AS STRING),'')&lt;&gt;COALESCE(CAST(Y.DT_RFRNC_SIMUL AS STRING),''),1,0)) AS NUM_REG_DIF,'1' AS ID_EXEC, CURRENT_TIMESTAMP() AS TIME_EXEC FROM (SELECT instrmnt_id, DT_RFRNC FROM BU_LOANTAPE_WORK.LT002_INSTRUMENT WHERE ref_date='${ref_date}' AND nome_perimetro='Individual Corporativo' AND segmento='ESTR' AND ambito='PILAR3')X INNER JOIN (SELECT instrmnt_id AS instrmnt_id_SIMUL, DT_RFRNC AS DT_RFRNC_SIMUL FROM BU_LOANTAPE_WORK.LT002_INSTRUMENT_P3_NOV24)Y ON X.INSTRMNT_ID=Y.INSTRMNT_ID_SIMUL</v>
      </c>
      <c r="M16" s="43" t="str">
        <f t="shared" si="0"/>
        <v>UNION ALL SELECT 'INSTRUMENT' AS TABELA, 'COERÊNCIA' AS TIPOLOGIA_TESTE,'BU_LOANTAPE_WORK.LT002_INSTRUMENT' AS TABELA_LT,'BU_LOANTAPE_WORK.LT002_INSTRUMENT_P3_NOV24' AS TABELA_SIMUL,'DT_RFRNC' AS CAMPO, '${ref_date}' AS REF_DATE, COUNT(*) AS NUM_REG, SUM(IF(COALESCE(CAST(X.DT_RFRNC AS STRING),'')&lt;&gt;COALESCE(CAST(Y.DT_RFRNC_SIMUL AS STRING),''),1,0)) AS NUM_REG_DIF,'1' AS ID_EXEC, CURRENT_TIMESTAMP() AS TIME_EXEC FROM (SELECT instrmnt_id, DT_RFRNC FROM BU_LOANTAPE_WORK.LT002_INSTRUMENT WHERE ref_date='${ref_date}' AND nome_perimetro='Individual Corporativo' AND segmento='ESTR' AND ambito='PILAR3')X INNER JOIN (SELECT instrmnt_id AS instrmnt_id_SIMUL, DT_RFRNC AS DT_RFRNC_SIMUL FROM BU_LOANTAPE_WORK.LT002_INSTRUMENT_P3_NOV24)Y ON X.INSTRMNT_ID=Y.INSTRMNT_ID_SIMUL</v>
      </c>
      <c r="N16" s="45" t="s">
        <v>13</v>
      </c>
    </row>
    <row r="17" spans="2:14">
      <c r="B17" s="41" t="s">
        <v>27</v>
      </c>
      <c r="C17" s="41" t="s">
        <v>74</v>
      </c>
      <c r="D17" s="41" t="str">
        <f>+UPPER('0. Instruções'!$D$33&amp;"."&amp;VLOOKUP(B17,'0. Instruções'!$C$27:$D$31,2,FALSE))</f>
        <v>BU_LOANTAPE_WORK.LT002_INSTRUMENT</v>
      </c>
      <c r="E17" s="41" t="str">
        <f>+UPPER('0. Instruções'!$D$34&amp;"."&amp;VLOOKUP(B17,'0. Instruções'!$C$27:$E$31,3,FALSE))</f>
        <v>BU_LOANTAPE_WORK.LT002_INSTRUMENT_P3_NOV24</v>
      </c>
      <c r="F17" s="41" t="s">
        <v>157</v>
      </c>
      <c r="G17" s="41" t="s">
        <v>13</v>
      </c>
      <c r="H17" s="41"/>
      <c r="I17" s="41" t="str">
        <f>"(SELECT "&amp;VLOOKUP(B17,'0. Instruções'!$C$27:$G$31,4,FALSE)&amp;", "&amp;F17&amp;" FROM "&amp;D17&amp;" WHERE "&amp;'0. Instruções'!$D$40&amp;")X"</f>
        <v>(SELECT instrmnt_id, INSTRMNT_ID FROM BU_LOANTAPE_WORK.LT002_INSTRUMENT WHERE ref_date='${ref_date}' AND nome_perimetro='Individual Corporativo' AND segmento='ESTR' AND ambito='PILAR3')X</v>
      </c>
      <c r="J17" s="41" t="str">
        <f>"(SELECT "&amp;VLOOKUP(B17,'0. Instruções'!$C$27:$G$31,4,FALSE)&amp;" AS "&amp;VLOOKUP(B17,'0. Instruções'!$C$27:$G$31,4,FALSE)&amp;"_SIMUL, "&amp;F17&amp;" AS "&amp;F17&amp;"_SIMUL FROM "&amp;E17&amp;")Y"</f>
        <v>(SELECT instrmnt_id AS instrmnt_id_SIMUL, INSTRMNT_ID AS INSTRMNT_ID_SIMUL FROM BU_LOANTAPE_WORK.LT002_INSTRUMENT_P3_NOV24)Y</v>
      </c>
      <c r="K17" s="42" t="str">
        <f>+UPPER("ON X."&amp;VLOOKUP(B17,'0. Instruções'!$C$27:$G$31,4,FALSE)&amp;"=Y."&amp;VLOOKUP(B17,'0. Instruções'!$C$27:$G$31,4,FALSE)&amp;"_SIMUL")</f>
        <v>ON X.INSTRMNT_ID=Y.INSTRMNT_ID_SIMUL</v>
      </c>
      <c r="L17" s="42" t="str">
        <f>+IF(C17="Coerência", +IF(LEFT(G17,5)="FLOAT","SELECT '"&amp;UPPER(B17)&amp;"' AS TABELA, '"&amp;UPPER(C17)&amp;"' AS TIPOLOGIA_TESTE,'"&amp;D17&amp;"' AS TABELA_LT,'"&amp;E17&amp;"' AS TABELA_SIMUL,'"&amp;F17&amp;"' AS CAMPO, "&amp;"'${ref_date}' AS REF_DATE, COUNT(*) AS NUM_REG, SUM(IF((ABS(COALESCE(X."&amp;F17&amp;",0)-COALESCE(Y."&amp;F17&amp;"_SIMUL,0))&gt;0.0000000001) OR (X."&amp;F17&amp;" IS NULL AND Y."&amp;F17&amp;"_SIMUL IS NOT NULL ) OR (X."&amp;F17&amp;" IS NOT NULL AND Y."&amp;F17&amp;"_SIMUL IS NULL),1,0)) AS NUM_REG_DIF,'"&amp;MAX('ID1&amp;5'!K:K)+1&amp;"' AS ID_EXEC, CURRENT_TIMESTAMP() AS TIME_EXEC FROM "&amp;I17&amp;" INNER JOIN "&amp;J17&amp;" "&amp;K17,"SELECT '"&amp;UPPER(B17)&amp;"' AS TABELA, '"&amp;UPPER(C17)&amp;"' AS TIPOLOGIA_TESTE,'"&amp;D17&amp;"' AS TABELA_LT,'"&amp;E17&amp;"' AS TABELA_SIMUL,'"&amp;F17&amp;"' AS CAMPO, "&amp;"'${ref_date}' AS REF_DATE, COUNT(*) AS NUM_REG, SUM(IF(COALESCE(CAST(X."&amp;F17&amp;" AS STRING),'')&lt;&gt;COALESCE(CAST(Y."&amp;F17&amp;"_SIMUL AS STRING),''),1,0)) AS NUM_REG_DIF,'"&amp;MAX('ID1&amp;5'!L:L)+1&amp;"' AS ID_EXEC, CURRENT_TIMESTAMP() AS TIME_EXEC FROM "&amp;I17&amp;" INNER JOIN "&amp;J17&amp;" "&amp;K17),
IF(C17="Validade",+IF(G17="Code List","SELECT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 OR CAST(X."&amp;F17&amp;" AS STRING) NOT "&amp;H17&amp;",1,0)) AS NUM_REG_DIF,'"&amp;MAX('ID1&amp;5'!K:K)+1&amp;"' AS ID_EXEC, CURRENT_TIMESTAMP() AS TIME_EXEC FROM "&amp;I17,"SELECT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NULL,1,0)) AS NUM_REG_DIF,'"&amp;MAX('ID1&amp;5'!K:K)+1&amp;"' AS ID_EXEC, CURRENT_TIMESTAMP() AS TIME_EXEC FROM "&amp;I17),
IF(C17="Caracteres Especiais",+"SELECT '"&amp;UPPER(B17)&amp;"' AS TABELA, '"&amp;UPPER(C17)&amp;"' AS TIPOLOGIA_TESTE,'"&amp;D17&amp;"' AS TABELA_LT,'N/A' AS TABELA_SIMUL,'"&amp;F17&amp;"' AS CAMPO, "&amp;"'${ref_date}' AS REF_DATE, COUNT(*) AS NUM_REG, SUM(IF(INSTR(CAST(X."&amp;F17&amp;" AS STRING),'#')&gt;0 OR INSTR(CAST(X."&amp;F17&amp;" AS STRING),'*')&gt;0 OR INSTR(CAST(X."&amp;F17&amp;" AS STRING),'`')&gt;0 OR INSTR(CAST(X."&amp;F17&amp;" AS STRING),'´')&gt;0 OR INSTR(CAST(X."&amp;F17&amp;" AS STRING),'{')&gt;0 OR INSTR(CAST(X."&amp;F17&amp;" AS STRING),'}')&gt;0 OR INSTR(CAST(X."&amp;F17&amp;" AS STRING),'[')&gt;0 OR INSTR(CAST(X."&amp;F17&amp;" AS STRING),'')&gt;0 OR INSTR(CAST(X."&amp;F17&amp;" AS STRING),']')&gt;0 OR INSTR(CAST(X."&amp;F17&amp;" AS STRING),'?')&gt;0 OR INSTR(CAST(X."&amp;F17&amp;" AS STRING),'!')&gt;0 OR INSTR(CAST(X."&amp;F17&amp;" AS STRING),'$')&gt;0 OR INSTR(CAST(X."&amp;F17&amp;" AS STRING),'%')&gt;0 OR INSTR(CAST(X."&amp;F17&amp;" AS STRING),'&amp;')&gt;0 OR INSTR(CAST(X."&amp;F17&amp;" AS STRING),'+')&gt;0,1,0)) AS NUM_REG_DIF,'"&amp;MAX('ID1&amp;5'!K:K)+1&amp;"' AS ID_EXEC, CURRENT_TIMESTAMP() AS TIME_EXEC FROM "&amp;I17,
IF(C17="Missings",+"SELECT '"&amp;UPPER(B17)&amp;"' AS TABELA, '"&amp;UPPER(C17)&amp;"' AS TIPOLOGIA_TESTE,'"&amp;D17&amp;"' AS TABELA_LT,'N/A' AS TABELA_SIMUL,'"&amp;F17&amp;"' AS CAMPO, "&amp;"'${ref_date}' AS REF_DATE, COUNT(*) AS NUM_REG, SUM(IF(TRIM(CAST(X."&amp;F17&amp;" AS STRING)) IN ('0000-00-00','0001-01-01','9999-12-31','MISS','00000','99999999999','99999999999.00','99999999999.000000'),1,0)) AS NUM_REG_DIF,'"&amp;MAX('ID1&amp;5'!K:K)+1&amp;"' AS ID_EXEC, CURRENT_TIMESTAMP() AS TIME_EXEC FROM "&amp;I17,
IF(C17="Not applicable",+"SELECT '"&amp;UPPER(B17)&amp;"' AS TABELA, '"&amp;UPPER(C17)&amp;"' AS TIPOLOGIA_TESTE,'"&amp;D17&amp;"' AS TABELA_LT,'N/A' AS TABELA_SIMUL,'"&amp;F17&amp;"' AS CAMPO, "&amp;"'${ref_date}' AS REF_DATE, COUNT(*) AS NUM_REG, SUM(IF(TRIM(CAST(X."&amp;F17&amp;" AS STRING)) IN ('N/A','11111111111','11111111111.00','11111111111.000000','1111-11-11'),1,0)) AS NUM_REG_DIF,'"&amp;MAX('ID1&amp;5'!K:K)+1&amp;"' AS ID_EXEC, CURRENT_TIMESTAMP() AS TIME_EXEC FROM "&amp;I17,
IF(C17="Valores extremos",+"SELECT '"&amp;UPPER(B17)&amp;"' AS TABELA, '"&amp;UPPER(C17)&amp;"' AS TIPOLOGIA_TESTE,'"&amp;D17&amp;"' AS TABELA_LT,'N/A' AS TABELA_SIMUL,'"&amp;F17&amp;"' AS CAMPO, "&amp;"'${ref_date}' AS REF_DATE, CAST(MIN("&amp;F17&amp;") AS STRING) AS VALOR_MIN, CAST(MAX("&amp;F17&amp;") AS STRING) AS VALOR_MAX,'"&amp;MAX('ID1&amp;5'!K:K)+1&amp;"' AS ID_EXEC, CURRENT_TIMESTAMP() AS TIME_EXEC FROM "&amp;MID(I17,1,LEN(I17)-2)&amp;" AND CAST("&amp;F17&amp;"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TABELA_SIMUL,'INSTRMNT_ID' AS CAMPO, '${ref_date}' AS REF_DATE, COUNT(*) AS NUM_REG, SUM(IF(COALESCE(CAST(X.INSTRMNT_ID AS STRING),'')&lt;&gt;COALESCE(CAST(Y.INSTRMNT_ID_SIMUL AS STRING),''),1,0)) AS NUM_REG_DIF,'1' AS ID_EXEC, CURRENT_TIMESTAMP() AS TIME_EXEC FROM (SELECT instrmnt_id, INSTRMNT_ID FROM BU_LOANTAPE_WORK.LT002_INSTRUMENT WHERE ref_date='${ref_date}' AND nome_perimetro='Individual Corporativo' AND segmento='ESTR' AND ambito='PILAR3')X INNER JOIN (SELECT instrmnt_id AS instrmnt_id_SIMUL, INSTRMNT_ID AS INSTRMNT_ID_SIMUL FROM BU_LOANTAPE_WORK.LT002_INSTRUMENT_P3_NOV24)Y ON X.INSTRMNT_ID=Y.INSTRMNT_ID_SIMUL</v>
      </c>
      <c r="M17" s="43" t="str">
        <f t="shared" si="0"/>
        <v>UNION ALL SELECT 'INSTRUMENT' AS TABELA, 'COERÊNCIA' AS TIPOLOGIA_TESTE,'BU_LOANTAPE_WORK.LT002_INSTRUMENT' AS TABELA_LT,'BU_LOANTAPE_WORK.LT002_INSTRUMENT_P3_NOV24' AS TABELA_SIMUL,'INSTRMNT_ID' AS CAMPO, '${ref_date}' AS REF_DATE, COUNT(*) AS NUM_REG, SUM(IF(COALESCE(CAST(X.INSTRMNT_ID AS STRING),'')&lt;&gt;COALESCE(CAST(Y.INSTRMNT_ID_SIMUL AS STRING),''),1,0)) AS NUM_REG_DIF,'1' AS ID_EXEC, CURRENT_TIMESTAMP() AS TIME_EXEC FROM (SELECT instrmnt_id, INSTRMNT_ID FROM BU_LOANTAPE_WORK.LT002_INSTRUMENT WHERE ref_date='${ref_date}' AND nome_perimetro='Individual Corporativo' AND segmento='ESTR' AND ambito='PILAR3')X INNER JOIN (SELECT instrmnt_id AS instrmnt_id_SIMUL, INSTRMNT_ID AS INSTRMNT_ID_SIMUL FROM BU_LOANTAPE_WORK.LT002_INSTRUMENT_P3_NOV24)Y ON X.INSTRMNT_ID=Y.INSTRMNT_ID_SIMUL</v>
      </c>
      <c r="N17" s="45" t="s">
        <v>13</v>
      </c>
    </row>
    <row r="18" spans="2:14">
      <c r="B18" s="41" t="s">
        <v>27</v>
      </c>
      <c r="C18" s="41" t="s">
        <v>74</v>
      </c>
      <c r="D18" s="41" t="str">
        <f>+UPPER('0. Instruções'!$D$33&amp;"."&amp;VLOOKUP(B18,'0. Instruções'!$C$27:$D$31,2,FALSE))</f>
        <v>BU_LOANTAPE_WORK.LT002_INSTRUMENT</v>
      </c>
      <c r="E18" s="41" t="str">
        <f>+UPPER('0. Instruções'!$D$34&amp;"."&amp;VLOOKUP(B18,'0. Instruções'!$C$27:$E$31,3,FALSE))</f>
        <v>BU_LOANTAPE_WORK.LT002_INSTRUMENT_P3_NOV24</v>
      </c>
      <c r="F18" s="41" t="s">
        <v>158</v>
      </c>
      <c r="G18" s="41" t="s">
        <v>13</v>
      </c>
      <c r="H18" s="41"/>
      <c r="I18" s="41" t="str">
        <f>"(SELECT "&amp;VLOOKUP(B18,'0. Instruções'!$C$27:$G$31,4,FALSE)&amp;", "&amp;F18&amp;" FROM "&amp;D18&amp;" WHERE "&amp;'0. Instruções'!$D$40&amp;")X"</f>
        <v>(SELECT instrmnt_id, DT_INCPTN FROM BU_LOANTAPE_WORK.LT002_INSTRUMENT WHERE ref_date='${ref_date}' AND nome_perimetro='Individual Corporativo' AND segmento='ESTR' AND ambito='PILAR3')X</v>
      </c>
      <c r="J18" s="41" t="str">
        <f>"(SELECT "&amp;VLOOKUP(B18,'0. Instruções'!$C$27:$G$31,4,FALSE)&amp;" AS "&amp;VLOOKUP(B18,'0. Instruções'!$C$27:$G$31,4,FALSE)&amp;"_SIMUL, "&amp;F18&amp;" AS "&amp;F18&amp;"_SIMUL FROM "&amp;E18&amp;")Y"</f>
        <v>(SELECT instrmnt_id AS instrmnt_id_SIMUL, DT_INCPTN AS DT_INCPTN_SIMUL FROM BU_LOANTAPE_WORK.LT002_INSTRUMENT_P3_NOV24)Y</v>
      </c>
      <c r="K18" s="42" t="str">
        <f>+UPPER("ON X."&amp;VLOOKUP(B18,'0. Instruções'!$C$27:$G$31,4,FALSE)&amp;"=Y."&amp;VLOOKUP(B18,'0. Instruções'!$C$27:$G$31,4,FALSE)&amp;"_SIMUL")</f>
        <v>ON X.INSTRMNT_ID=Y.INSTRMNT_ID_SIMUL</v>
      </c>
      <c r="L18" s="42" t="str">
        <f>+IF(C18="Coerência", +IF(LEFT(G18,5)="FLOAT","SELECT '"&amp;UPPER(B18)&amp;"' AS TABELA, '"&amp;UPPER(C18)&amp;"' AS TIPOLOGIA_TESTE,'"&amp;D18&amp;"' AS TABELA_LT,'"&amp;E18&amp;"' AS TABELA_SIMUL,'"&amp;F18&amp;"' AS CAMPO, "&amp;"'${ref_date}' AS REF_DATE, COUNT(*) AS NUM_REG, SUM(IF((ABS(COALESCE(X."&amp;F18&amp;",0)-COALESCE(Y."&amp;F18&amp;"_SIMUL,0))&gt;0.0000000001) OR (X."&amp;F18&amp;" IS NULL AND Y."&amp;F18&amp;"_SIMUL IS NOT NULL ) OR (X."&amp;F18&amp;" IS NOT NULL AND Y."&amp;F18&amp;"_SIMUL IS NULL),1,0)) AS NUM_REG_DIF,'"&amp;MAX('ID1&amp;5'!K:K)+1&amp;"' AS ID_EXEC, CURRENT_TIMESTAMP() AS TIME_EXEC FROM "&amp;I18&amp;" INNER JOIN "&amp;J18&amp;" "&amp;K18,"SELECT '"&amp;UPPER(B18)&amp;"' AS TABELA, '"&amp;UPPER(C18)&amp;"' AS TIPOLOGIA_TESTE,'"&amp;D18&amp;"' AS TABELA_LT,'"&amp;E18&amp;"' AS TABELA_SIMUL,'"&amp;F18&amp;"' AS CAMPO, "&amp;"'${ref_date}' AS REF_DATE, COUNT(*) AS NUM_REG, SUM(IF(COALESCE(CAST(X."&amp;F18&amp;" AS STRING),'')&lt;&gt;COALESCE(CAST(Y."&amp;F18&amp;"_SIMUL AS STRING),''),1,0)) AS NUM_REG_DIF,'"&amp;MAX('ID1&amp;5'!L:L)+1&amp;"' AS ID_EXEC, CURRENT_TIMESTAMP() AS TIME_EXEC FROM "&amp;I18&amp;" INNER JOIN "&amp;J18&amp;" "&amp;K18),
IF(C18="Validade",+IF(G18="Code List","SELECT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 OR CAST(X."&amp;F18&amp;" AS STRING) NOT "&amp;H18&amp;",1,0)) AS NUM_REG_DIF,'"&amp;MAX('ID1&amp;5'!K:K)+1&amp;"' AS ID_EXEC, CURRENT_TIMESTAMP() AS TIME_EXEC FROM "&amp;I18,"SELECT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NULL,1,0)) AS NUM_REG_DIF,'"&amp;MAX('ID1&amp;5'!K:K)+1&amp;"' AS ID_EXEC, CURRENT_TIMESTAMP() AS TIME_EXEC FROM "&amp;I18),
IF(C18="Caracteres Especiais",+"SELECT '"&amp;UPPER(B18)&amp;"' AS TABELA, '"&amp;UPPER(C18)&amp;"' AS TIPOLOGIA_TESTE,'"&amp;D18&amp;"' AS TABELA_LT,'N/A' AS TABELA_SIMUL,'"&amp;F18&amp;"' AS CAMPO, "&amp;"'${ref_date}' AS REF_DATE, COUNT(*) AS NUM_REG, SUM(IF(INSTR(CAST(X."&amp;F18&amp;" AS STRING),'#')&gt;0 OR INSTR(CAST(X."&amp;F18&amp;" AS STRING),'*')&gt;0 OR INSTR(CAST(X."&amp;F18&amp;" AS STRING),'`')&gt;0 OR INSTR(CAST(X."&amp;F18&amp;" AS STRING),'´')&gt;0 OR INSTR(CAST(X."&amp;F18&amp;" AS STRING),'{')&gt;0 OR INSTR(CAST(X."&amp;F18&amp;" AS STRING),'}')&gt;0 OR INSTR(CAST(X."&amp;F18&amp;" AS STRING),'[')&gt;0 OR INSTR(CAST(X."&amp;F18&amp;" AS STRING),'')&gt;0 OR INSTR(CAST(X."&amp;F18&amp;" AS STRING),']')&gt;0 OR INSTR(CAST(X."&amp;F18&amp;" AS STRING),'?')&gt;0 OR INSTR(CAST(X."&amp;F18&amp;" AS STRING),'!')&gt;0 OR INSTR(CAST(X."&amp;F18&amp;" AS STRING),'$')&gt;0 OR INSTR(CAST(X."&amp;F18&amp;" AS STRING),'%')&gt;0 OR INSTR(CAST(X."&amp;F18&amp;" AS STRING),'&amp;')&gt;0 OR INSTR(CAST(X."&amp;F18&amp;" AS STRING),'+')&gt;0,1,0)) AS NUM_REG_DIF,'"&amp;MAX('ID1&amp;5'!K:K)+1&amp;"' AS ID_EXEC, CURRENT_TIMESTAMP() AS TIME_EXEC FROM "&amp;I18,
IF(C18="Missings",+"SELECT '"&amp;UPPER(B18)&amp;"' AS TABELA, '"&amp;UPPER(C18)&amp;"' AS TIPOLOGIA_TESTE,'"&amp;D18&amp;"' AS TABELA_LT,'N/A' AS TABELA_SIMUL,'"&amp;F18&amp;"' AS CAMPO, "&amp;"'${ref_date}' AS REF_DATE, COUNT(*) AS NUM_REG, SUM(IF(TRIM(CAST(X."&amp;F18&amp;" AS STRING)) IN ('0000-00-00','0001-01-01','9999-12-31','MISS','00000','99999999999','99999999999.00','99999999999.000000'),1,0)) AS NUM_REG_DIF,'"&amp;MAX('ID1&amp;5'!K:K)+1&amp;"' AS ID_EXEC, CURRENT_TIMESTAMP() AS TIME_EXEC FROM "&amp;I18,
IF(C18="Not applicable",+"SELECT '"&amp;UPPER(B18)&amp;"' AS TABELA, '"&amp;UPPER(C18)&amp;"' AS TIPOLOGIA_TESTE,'"&amp;D18&amp;"' AS TABELA_LT,'N/A' AS TABELA_SIMUL,'"&amp;F18&amp;"' AS CAMPO, "&amp;"'${ref_date}' AS REF_DATE, COUNT(*) AS NUM_REG, SUM(IF(TRIM(CAST(X."&amp;F18&amp;" AS STRING)) IN ('N/A','11111111111','11111111111.00','11111111111.000000','1111-11-11'),1,0)) AS NUM_REG_DIF,'"&amp;MAX('ID1&amp;5'!K:K)+1&amp;"' AS ID_EXEC, CURRENT_TIMESTAMP() AS TIME_EXEC FROM "&amp;I18,
IF(C18="Valores extremos",+"SELECT '"&amp;UPPER(B18)&amp;"' AS TABELA, '"&amp;UPPER(C18)&amp;"' AS TIPOLOGIA_TESTE,'"&amp;D18&amp;"' AS TABELA_LT,'N/A' AS TABELA_SIMUL,'"&amp;F18&amp;"' AS CAMPO, "&amp;"'${ref_date}' AS REF_DATE, CAST(MIN("&amp;F18&amp;") AS STRING) AS VALOR_MIN, CAST(MAX("&amp;F18&amp;") AS STRING) AS VALOR_MAX,'"&amp;MAX('ID1&amp;5'!K:K)+1&amp;"' AS ID_EXEC, CURRENT_TIMESTAMP() AS TIME_EXEC FROM "&amp;MID(I18,1,LEN(I18)-2)&amp;" AND CAST("&amp;F18&amp;"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TABELA_SIMUL,'DT_INCPTN' AS CAMPO, '${ref_date}' AS REF_DATE, COUNT(*) AS NUM_REG, SUM(IF(COALESCE(CAST(X.DT_INCPTN AS STRING),'')&lt;&gt;COALESCE(CAST(Y.DT_INCPTN_SIMUL AS STRING),''),1,0)) AS NUM_REG_DIF,'1' AS ID_EXEC, CURRENT_TIMESTAMP() AS TIME_EXEC FROM (SELECT instrmnt_id, DT_INCPTN FROM BU_LOANTAPE_WORK.LT002_INSTRUMENT WHERE ref_date='${ref_date}' AND nome_perimetro='Individual Corporativo' AND segmento='ESTR' AND ambito='PILAR3')X INNER JOIN (SELECT instrmnt_id AS instrmnt_id_SIMUL, DT_INCPTN AS DT_INCPTN_SIMUL FROM BU_LOANTAPE_WORK.LT002_INSTRUMENT_P3_NOV24)Y ON X.INSTRMNT_ID=Y.INSTRMNT_ID_SIMUL</v>
      </c>
      <c r="M18" s="43" t="str">
        <f t="shared" si="0"/>
        <v>UNION ALL SELECT 'INSTRUMENT' AS TABELA, 'COERÊNCIA' AS TIPOLOGIA_TESTE,'BU_LOANTAPE_WORK.LT002_INSTRUMENT' AS TABELA_LT,'BU_LOANTAPE_WORK.LT002_INSTRUMENT_P3_NOV24' AS TABELA_SIMUL,'DT_INCPTN' AS CAMPO, '${ref_date}' AS REF_DATE, COUNT(*) AS NUM_REG, SUM(IF(COALESCE(CAST(X.DT_INCPTN AS STRING),'')&lt;&gt;COALESCE(CAST(Y.DT_INCPTN_SIMUL AS STRING),''),1,0)) AS NUM_REG_DIF,'1' AS ID_EXEC, CURRENT_TIMESTAMP() AS TIME_EXEC FROM (SELECT instrmnt_id, DT_INCPTN FROM BU_LOANTAPE_WORK.LT002_INSTRUMENT WHERE ref_date='${ref_date}' AND nome_perimetro='Individual Corporativo' AND segmento='ESTR' AND ambito='PILAR3')X INNER JOIN (SELECT instrmnt_id AS instrmnt_id_SIMUL, DT_INCPTN AS DT_INCPTN_SIMUL FROM BU_LOANTAPE_WORK.LT002_INSTRUMENT_P3_NOV24)Y ON X.INSTRMNT_ID=Y.INSTRMNT_ID_SIMUL</v>
      </c>
      <c r="N18" s="45" t="s">
        <v>13</v>
      </c>
    </row>
    <row r="19" spans="2:14">
      <c r="B19" s="41" t="s">
        <v>27</v>
      </c>
      <c r="C19" s="41" t="s">
        <v>74</v>
      </c>
      <c r="D19" s="41" t="str">
        <f>+UPPER('0. Instruções'!$D$33&amp;"."&amp;VLOOKUP(B19,'0. Instruções'!$C$27:$D$31,2,FALSE))</f>
        <v>BU_LOANTAPE_WORK.LT002_INSTRUMENT</v>
      </c>
      <c r="E19" s="41" t="str">
        <f>+UPPER('0. Instruções'!$D$34&amp;"."&amp;VLOOKUP(B19,'0. Instruções'!$C$27:$E$31,3,FALSE))</f>
        <v>BU_LOANTAPE_WORK.LT002_INSTRUMENT_P3_NOV24</v>
      </c>
      <c r="F19" s="41" t="s">
        <v>159</v>
      </c>
      <c r="G19" s="41" t="s">
        <v>13</v>
      </c>
      <c r="H19" s="41"/>
      <c r="I19" s="41" t="str">
        <f>"(SELECT "&amp;VLOOKUP(B19,'0. Instruções'!$C$27:$G$31,4,FALSE)&amp;", "&amp;F19&amp;" FROM "&amp;D19&amp;" WHERE "&amp;'0. Instruções'!$D$40&amp;")X"</f>
        <v>(SELECT instrmnt_id, DFLT_STTS_INSTRMNT FROM BU_LOANTAPE_WORK.LT002_INSTRUMENT WHERE ref_date='${ref_date}' AND nome_perimetro='Individual Corporativo' AND segmento='ESTR' AND ambito='PILAR3')X</v>
      </c>
      <c r="J19" s="41" t="str">
        <f>"(SELECT "&amp;VLOOKUP(B19,'0. Instruções'!$C$27:$G$31,4,FALSE)&amp;" AS "&amp;VLOOKUP(B19,'0. Instruções'!$C$27:$G$31,4,FALSE)&amp;"_SIMUL, "&amp;F19&amp;" AS "&amp;F19&amp;"_SIMUL FROM "&amp;E19&amp;")Y"</f>
        <v>(SELECT instrmnt_id AS instrmnt_id_SIMUL, DFLT_STTS_INSTRMNT AS DFLT_STTS_INSTRMNT_SIMUL FROM BU_LOANTAPE_WORK.LT002_INSTRUMENT_P3_NOV24)Y</v>
      </c>
      <c r="K19" s="42" t="str">
        <f>+UPPER("ON X."&amp;VLOOKUP(B19,'0. Instruções'!$C$27:$G$31,4,FALSE)&amp;"=Y."&amp;VLOOKUP(B19,'0. Instruções'!$C$27:$G$31,4,FALSE)&amp;"_SIMUL")</f>
        <v>ON X.INSTRMNT_ID=Y.INSTRMNT_ID_SIMUL</v>
      </c>
      <c r="L19" s="42" t="str">
        <f>+IF(C19="Coerência", +IF(LEFT(G19,5)="FLOAT","SELECT '"&amp;UPPER(B19)&amp;"' AS TABELA, '"&amp;UPPER(C19)&amp;"' AS TIPOLOGIA_TESTE,'"&amp;D19&amp;"' AS TABELA_LT,'"&amp;E19&amp;"' AS TABELA_SIMUL,'"&amp;F19&amp;"' AS CAMPO, "&amp;"'${ref_date}' AS REF_DATE, COUNT(*) AS NUM_REG, SUM(IF((ABS(COALESCE(X."&amp;F19&amp;",0)-COALESCE(Y."&amp;F19&amp;"_SIMUL,0))&gt;0.0000000001) OR (X."&amp;F19&amp;" IS NULL AND Y."&amp;F19&amp;"_SIMUL IS NOT NULL ) OR (X."&amp;F19&amp;" IS NOT NULL AND Y."&amp;F19&amp;"_SIMUL IS NULL),1,0)) AS NUM_REG_DIF,'"&amp;MAX('ID1&amp;5'!K:K)+1&amp;"' AS ID_EXEC, CURRENT_TIMESTAMP() AS TIME_EXEC FROM "&amp;I19&amp;" INNER JOIN "&amp;J19&amp;" "&amp;K19,"SELECT '"&amp;UPPER(B19)&amp;"' AS TABELA, '"&amp;UPPER(C19)&amp;"' AS TIPOLOGIA_TESTE,'"&amp;D19&amp;"' AS TABELA_LT,'"&amp;E19&amp;"' AS TABELA_SIMUL,'"&amp;F19&amp;"' AS CAMPO, "&amp;"'${ref_date}' AS REF_DATE, COUNT(*) AS NUM_REG, SUM(IF(COALESCE(CAST(X."&amp;F19&amp;" AS STRING),'')&lt;&gt;COALESCE(CAST(Y."&amp;F19&amp;"_SIMUL AS STRING),''),1,0)) AS NUM_REG_DIF,'"&amp;MAX('ID1&amp;5'!L:L)+1&amp;"' AS ID_EXEC, CURRENT_TIMESTAMP() AS TIME_EXEC FROM "&amp;I19&amp;" INNER JOIN "&amp;J19&amp;" "&amp;K19),
IF(C19="Validade",+IF(G19="Code List","SELECT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 OR CAST(X."&amp;F19&amp;" AS STRING) NOT "&amp;H19&amp;",1,0)) AS NUM_REG_DIF,'"&amp;MAX('ID1&amp;5'!K:K)+1&amp;"' AS ID_EXEC, CURRENT_TIMESTAMP() AS TIME_EXEC FROM "&amp;I19,"SELECT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NULL,1,0)) AS NUM_REG_DIF,'"&amp;MAX('ID1&amp;5'!K:K)+1&amp;"' AS ID_EXEC, CURRENT_TIMESTAMP() AS TIME_EXEC FROM "&amp;I19),
IF(C19="Caracteres Especiais",+"SELECT '"&amp;UPPER(B19)&amp;"' AS TABELA, '"&amp;UPPER(C19)&amp;"' AS TIPOLOGIA_TESTE,'"&amp;D19&amp;"' AS TABELA_LT,'N/A' AS TABELA_SIMUL,'"&amp;F19&amp;"' AS CAMPO, "&amp;"'${ref_date}' AS REF_DATE, COUNT(*) AS NUM_REG, SUM(IF(INSTR(CAST(X."&amp;F19&amp;" AS STRING),'#')&gt;0 OR INSTR(CAST(X."&amp;F19&amp;" AS STRING),'*')&gt;0 OR INSTR(CAST(X."&amp;F19&amp;" AS STRING),'`')&gt;0 OR INSTR(CAST(X."&amp;F19&amp;" AS STRING),'´')&gt;0 OR INSTR(CAST(X."&amp;F19&amp;" AS STRING),'{')&gt;0 OR INSTR(CAST(X."&amp;F19&amp;" AS STRING),'}')&gt;0 OR INSTR(CAST(X."&amp;F19&amp;" AS STRING),'[')&gt;0 OR INSTR(CAST(X."&amp;F19&amp;" AS STRING),'')&gt;0 OR INSTR(CAST(X."&amp;F19&amp;" AS STRING),']')&gt;0 OR INSTR(CAST(X."&amp;F19&amp;" AS STRING),'?')&gt;0 OR INSTR(CAST(X."&amp;F19&amp;" AS STRING),'!')&gt;0 OR INSTR(CAST(X."&amp;F19&amp;" AS STRING),'$')&gt;0 OR INSTR(CAST(X."&amp;F19&amp;" AS STRING),'%')&gt;0 OR INSTR(CAST(X."&amp;F19&amp;" AS STRING),'&amp;')&gt;0 OR INSTR(CAST(X."&amp;F19&amp;" AS STRING),'+')&gt;0,1,0)) AS NUM_REG_DIF,'"&amp;MAX('ID1&amp;5'!K:K)+1&amp;"' AS ID_EXEC, CURRENT_TIMESTAMP() AS TIME_EXEC FROM "&amp;I19,
IF(C19="Missings",+"SELECT '"&amp;UPPER(B19)&amp;"' AS TABELA, '"&amp;UPPER(C19)&amp;"' AS TIPOLOGIA_TESTE,'"&amp;D19&amp;"' AS TABELA_LT,'N/A' AS TABELA_SIMUL,'"&amp;F19&amp;"' AS CAMPO, "&amp;"'${ref_date}' AS REF_DATE, COUNT(*) AS NUM_REG, SUM(IF(TRIM(CAST(X."&amp;F19&amp;" AS STRING)) IN ('0000-00-00','0001-01-01','9999-12-31','MISS','00000','99999999999','99999999999.00','99999999999.000000'),1,0)) AS NUM_REG_DIF,'"&amp;MAX('ID1&amp;5'!K:K)+1&amp;"' AS ID_EXEC, CURRENT_TIMESTAMP() AS TIME_EXEC FROM "&amp;I19,
IF(C19="Not applicable",+"SELECT '"&amp;UPPER(B19)&amp;"' AS TABELA, '"&amp;UPPER(C19)&amp;"' AS TIPOLOGIA_TESTE,'"&amp;D19&amp;"' AS TABELA_LT,'N/A' AS TABELA_SIMUL,'"&amp;F19&amp;"' AS CAMPO, "&amp;"'${ref_date}' AS REF_DATE, COUNT(*) AS NUM_REG, SUM(IF(TRIM(CAST(X."&amp;F19&amp;" AS STRING)) IN ('N/A','11111111111','11111111111.00','11111111111.000000','1111-11-11'),1,0)) AS NUM_REG_DIF,'"&amp;MAX('ID1&amp;5'!K:K)+1&amp;"' AS ID_EXEC, CURRENT_TIMESTAMP() AS TIME_EXEC FROM "&amp;I19,
IF(C19="Valores extremos",+"SELECT '"&amp;UPPER(B19)&amp;"' AS TABELA, '"&amp;UPPER(C19)&amp;"' AS TIPOLOGIA_TESTE,'"&amp;D19&amp;"' AS TABELA_LT,'N/A' AS TABELA_SIMUL,'"&amp;F19&amp;"' AS CAMPO, "&amp;"'${ref_date}' AS REF_DATE, CAST(MIN("&amp;F19&amp;") AS STRING) AS VALOR_MIN, CAST(MAX("&amp;F19&amp;") AS STRING) AS VALOR_MAX,'"&amp;MAX('ID1&amp;5'!K:K)+1&amp;"' AS ID_EXEC, CURRENT_TIMESTAMP() AS TIME_EXEC FROM "&amp;MID(I19,1,LEN(I19)-2)&amp;" AND CAST("&amp;F19&amp;"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TABELA_SIMUL,'DFLT_STTS_INSTRMNT' AS CAMPO, '${ref_date}' AS REF_DATE, COUNT(*) AS NUM_REG, SUM(IF(COALESCE(CAST(X.DFLT_STTS_INSTRMNT AS STRING),'')&lt;&gt;COALESCE(CAST(Y.DFLT_STTS_INSTRMNT_SIMUL AS STRING),''),1,0)) AS NUM_REG_DIF,'1' AS ID_EXEC, CURRENT_TIMESTAMP() AS TIME_EXEC FROM (SELECT instrmnt_id, DFLT_STTS_INSTRMNT FROM BU_LOANTAPE_WORK.LT002_INSTRUMENT WHERE ref_date='${ref_date}' AND nome_perimetro='Individual Corporativo' AND segmento='ESTR' AND ambito='PILAR3')X INNER JOIN (SELECT instrmnt_id AS instrmnt_id_SIMUL, DFLT_STTS_INSTRMNT AS DFLT_STTS_INSTRMNT_SIMUL FROM BU_LOANTAPE_WORK.LT002_INSTRUMENT_P3_NOV24)Y ON X.INSTRMNT_ID=Y.INSTRMNT_ID_SIMUL</v>
      </c>
      <c r="M19" s="43" t="str">
        <f t="shared" si="0"/>
        <v>UNION ALL SELECT 'INSTRUMENT' AS TABELA, 'COERÊNCIA' AS TIPOLOGIA_TESTE,'BU_LOANTAPE_WORK.LT002_INSTRUMENT' AS TABELA_LT,'BU_LOANTAPE_WORK.LT002_INSTRUMENT_P3_NOV24' AS TABELA_SIMUL,'DFLT_STTS_INSTRMNT' AS CAMPO, '${ref_date}' AS REF_DATE, COUNT(*) AS NUM_REG, SUM(IF(COALESCE(CAST(X.DFLT_STTS_INSTRMNT AS STRING),'')&lt;&gt;COALESCE(CAST(Y.DFLT_STTS_INSTRMNT_SIMUL AS STRING),''),1,0)) AS NUM_REG_DIF,'1' AS ID_EXEC, CURRENT_TIMESTAMP() AS TIME_EXEC FROM (SELECT instrmnt_id, DFLT_STTS_INSTRMNT FROM BU_LOANTAPE_WORK.LT002_INSTRUMENT WHERE ref_date='${ref_date}' AND nome_perimetro='Individual Corporativo' AND segmento='ESTR' AND ambito='PILAR3')X INNER JOIN (SELECT instrmnt_id AS instrmnt_id_SIMUL, DFLT_STTS_INSTRMNT AS DFLT_STTS_INSTRMNT_SIMUL FROM BU_LOANTAPE_WORK.LT002_INSTRUMENT_P3_NOV24)Y ON X.INSTRMNT_ID=Y.INSTRMNT_ID_SIMUL</v>
      </c>
      <c r="N19" s="45" t="s">
        <v>13</v>
      </c>
    </row>
    <row r="20" spans="2:14">
      <c r="B20" s="41" t="s">
        <v>27</v>
      </c>
      <c r="C20" s="41" t="s">
        <v>74</v>
      </c>
      <c r="D20" s="41" t="str">
        <f>+UPPER('0. Instruções'!$D$33&amp;"."&amp;VLOOKUP(B20,'0. Instruções'!$C$27:$D$31,2,FALSE))</f>
        <v>BU_LOANTAPE_WORK.LT002_INSTRUMENT</v>
      </c>
      <c r="E20" s="41" t="str">
        <f>+UPPER('0. Instruções'!$D$34&amp;"."&amp;VLOOKUP(B20,'0. Instruções'!$C$27:$E$31,3,FALSE))</f>
        <v>BU_LOANTAPE_WORK.LT002_INSTRUMENT_P3_NOV24</v>
      </c>
      <c r="F20" s="41" t="s">
        <v>160</v>
      </c>
      <c r="G20" s="41" t="s">
        <v>13</v>
      </c>
      <c r="H20" s="41"/>
      <c r="I20" s="41" t="str">
        <f>"(SELECT "&amp;VLOOKUP(B20,'0. Instruções'!$C$27:$G$31,4,FALSE)&amp;", "&amp;F20&amp;" FROM "&amp;D20&amp;" WHERE "&amp;'0. Instruções'!$D$40&amp;")X"</f>
        <v>(SELECT instrmnt_id, IMPRMNT_STTS FROM BU_LOANTAPE_WORK.LT002_INSTRUMENT WHERE ref_date='${ref_date}' AND nome_perimetro='Individual Corporativo' AND segmento='ESTR' AND ambito='PILAR3')X</v>
      </c>
      <c r="J20" s="41" t="str">
        <f>"(SELECT "&amp;VLOOKUP(B20,'0. Instruções'!$C$27:$G$31,4,FALSE)&amp;" AS "&amp;VLOOKUP(B20,'0. Instruções'!$C$27:$G$31,4,FALSE)&amp;"_SIMUL, "&amp;F20&amp;" AS "&amp;F20&amp;"_SIMUL FROM "&amp;E20&amp;")Y"</f>
        <v>(SELECT instrmnt_id AS instrmnt_id_SIMUL, IMPRMNT_STTS AS IMPRMNT_STTS_SIMUL FROM BU_LOANTAPE_WORK.LT002_INSTRUMENT_P3_NOV24)Y</v>
      </c>
      <c r="K20" s="42" t="str">
        <f>+UPPER("ON X."&amp;VLOOKUP(B20,'0. Instruções'!$C$27:$G$31,4,FALSE)&amp;"=Y."&amp;VLOOKUP(B20,'0. Instruções'!$C$27:$G$31,4,FALSE)&amp;"_SIMUL")</f>
        <v>ON X.INSTRMNT_ID=Y.INSTRMNT_ID_SIMUL</v>
      </c>
      <c r="L20" s="42" t="str">
        <f>+IF(C20="Coerência", +IF(LEFT(G20,5)="FLOAT","SELECT '"&amp;UPPER(B20)&amp;"' AS TABELA, '"&amp;UPPER(C20)&amp;"' AS TIPOLOGIA_TESTE,'"&amp;D20&amp;"' AS TABELA_LT,'"&amp;E20&amp;"' AS TABELA_SIMUL,'"&amp;F20&amp;"' AS CAMPO, "&amp;"'${ref_date}' AS REF_DATE, COUNT(*) AS NUM_REG, SUM(IF((ABS(COALESCE(X."&amp;F20&amp;",0)-COALESCE(Y."&amp;F20&amp;"_SIMUL,0))&gt;0.0000000001) OR (X."&amp;F20&amp;" IS NULL AND Y."&amp;F20&amp;"_SIMUL IS NOT NULL ) OR (X."&amp;F20&amp;" IS NOT NULL AND Y."&amp;F20&amp;"_SIMUL IS NULL),1,0)) AS NUM_REG_DIF,'"&amp;MAX('ID1&amp;5'!K:K)+1&amp;"' AS ID_EXEC, CURRENT_TIMESTAMP() AS TIME_EXEC FROM "&amp;I20&amp;" INNER JOIN "&amp;J20&amp;" "&amp;K20,"SELECT '"&amp;UPPER(B20)&amp;"' AS TABELA, '"&amp;UPPER(C20)&amp;"' AS TIPOLOGIA_TESTE,'"&amp;D20&amp;"' AS TABELA_LT,'"&amp;E20&amp;"' AS TABELA_SIMUL,'"&amp;F20&amp;"' AS CAMPO, "&amp;"'${ref_date}' AS REF_DATE, COUNT(*) AS NUM_REG, SUM(IF(COALESCE(CAST(X."&amp;F20&amp;" AS STRING),'')&lt;&gt;COALESCE(CAST(Y."&amp;F20&amp;"_SIMUL AS STRING),''),1,0)) AS NUM_REG_DIF,'"&amp;MAX('ID1&amp;5'!L:L)+1&amp;"' AS ID_EXEC, CURRENT_TIMESTAMP() AS TIME_EXEC FROM "&amp;I20&amp;" INNER JOIN "&amp;J20&amp;" "&amp;K20),
IF(C20="Validade",+IF(G20="Code List","SELECT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 OR CAST(X."&amp;F20&amp;" AS STRING) NOT "&amp;H20&amp;",1,0)) AS NUM_REG_DIF,'"&amp;MAX('ID1&amp;5'!K:K)+1&amp;"' AS ID_EXEC, CURRENT_TIMESTAMP() AS TIME_EXEC FROM "&amp;I20,"SELECT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NULL,1,0)) AS NUM_REG_DIF,'"&amp;MAX('ID1&amp;5'!K:K)+1&amp;"' AS ID_EXEC, CURRENT_TIMESTAMP() AS TIME_EXEC FROM "&amp;I20),
IF(C20="Caracteres Especiais",+"SELECT '"&amp;UPPER(B20)&amp;"' AS TABELA, '"&amp;UPPER(C20)&amp;"' AS TIPOLOGIA_TESTE,'"&amp;D20&amp;"' AS TABELA_LT,'N/A' AS TABELA_SIMUL,'"&amp;F20&amp;"' AS CAMPO, "&amp;"'${ref_date}' AS REF_DATE, COUNT(*) AS NUM_REG, SUM(IF(INSTR(CAST(X."&amp;F20&amp;" AS STRING),'#')&gt;0 OR INSTR(CAST(X."&amp;F20&amp;" AS STRING),'*')&gt;0 OR INSTR(CAST(X."&amp;F20&amp;" AS STRING),'`')&gt;0 OR INSTR(CAST(X."&amp;F20&amp;" AS STRING),'´')&gt;0 OR INSTR(CAST(X."&amp;F20&amp;" AS STRING),'{')&gt;0 OR INSTR(CAST(X."&amp;F20&amp;" AS STRING),'}')&gt;0 OR INSTR(CAST(X."&amp;F20&amp;" AS STRING),'[')&gt;0 OR INSTR(CAST(X."&amp;F20&amp;" AS STRING),'')&gt;0 OR INSTR(CAST(X."&amp;F20&amp;" AS STRING),']')&gt;0 OR INSTR(CAST(X."&amp;F20&amp;" AS STRING),'?')&gt;0 OR INSTR(CAST(X."&amp;F20&amp;" AS STRING),'!')&gt;0 OR INSTR(CAST(X."&amp;F20&amp;" AS STRING),'$')&gt;0 OR INSTR(CAST(X."&amp;F20&amp;" AS STRING),'%')&gt;0 OR INSTR(CAST(X."&amp;F20&amp;" AS STRING),'&amp;')&gt;0 OR INSTR(CAST(X."&amp;F20&amp;" AS STRING),'+')&gt;0,1,0)) AS NUM_REG_DIF,'"&amp;MAX('ID1&amp;5'!K:K)+1&amp;"' AS ID_EXEC, CURRENT_TIMESTAMP() AS TIME_EXEC FROM "&amp;I20,
IF(C20="Missings",+"SELECT '"&amp;UPPER(B20)&amp;"' AS TABELA, '"&amp;UPPER(C20)&amp;"' AS TIPOLOGIA_TESTE,'"&amp;D20&amp;"' AS TABELA_LT,'N/A' AS TABELA_SIMUL,'"&amp;F20&amp;"' AS CAMPO, "&amp;"'${ref_date}' AS REF_DATE, COUNT(*) AS NUM_REG, SUM(IF(TRIM(CAST(X."&amp;F20&amp;" AS STRING)) IN ('0000-00-00','0001-01-01','9999-12-31','MISS','00000','99999999999','99999999999.00','99999999999.000000'),1,0)) AS NUM_REG_DIF,'"&amp;MAX('ID1&amp;5'!K:K)+1&amp;"' AS ID_EXEC, CURRENT_TIMESTAMP() AS TIME_EXEC FROM "&amp;I20,
IF(C20="Not applicable",+"SELECT '"&amp;UPPER(B20)&amp;"' AS TABELA, '"&amp;UPPER(C20)&amp;"' AS TIPOLOGIA_TESTE,'"&amp;D20&amp;"' AS TABELA_LT,'N/A' AS TABELA_SIMUL,'"&amp;F20&amp;"' AS CAMPO, "&amp;"'${ref_date}' AS REF_DATE, COUNT(*) AS NUM_REG, SUM(IF(TRIM(CAST(X."&amp;F20&amp;" AS STRING)) IN ('N/A','11111111111','11111111111.00','11111111111.000000','1111-11-11'),1,0)) AS NUM_REG_DIF,'"&amp;MAX('ID1&amp;5'!K:K)+1&amp;"' AS ID_EXEC, CURRENT_TIMESTAMP() AS TIME_EXEC FROM "&amp;I20,
IF(C20="Valores extremos",+"SELECT '"&amp;UPPER(B20)&amp;"' AS TABELA, '"&amp;UPPER(C20)&amp;"' AS TIPOLOGIA_TESTE,'"&amp;D20&amp;"' AS TABELA_LT,'N/A' AS TABELA_SIMUL,'"&amp;F20&amp;"' AS CAMPO, "&amp;"'${ref_date}' AS REF_DATE, CAST(MIN("&amp;F20&amp;") AS STRING) AS VALOR_MIN, CAST(MAX("&amp;F20&amp;") AS STRING) AS VALOR_MAX,'"&amp;MAX('ID1&amp;5'!K:K)+1&amp;"' AS ID_EXEC, CURRENT_TIMESTAMP() AS TIME_EXEC FROM "&amp;MID(I20,1,LEN(I20)-2)&amp;" AND CAST("&amp;F20&amp;"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TABELA_SIMUL,'IMPRMNT_STTS' AS CAMPO, '${ref_date}' AS REF_DATE, COUNT(*) AS NUM_REG, SUM(IF(COALESCE(CAST(X.IMPRMNT_STTS AS STRING),'')&lt;&gt;COALESCE(CAST(Y.IMPRMNT_STTS_SIMUL AS STRING),''),1,0)) AS NUM_REG_DIF,'1' AS ID_EXEC, CURRENT_TIMESTAMP() AS TIME_EXEC FROM (SELECT instrmnt_id, IMPRMNT_STTS FROM BU_LOANTAPE_WORK.LT002_INSTRUMENT WHERE ref_date='${ref_date}' AND nome_perimetro='Individual Corporativo' AND segmento='ESTR' AND ambito='PILAR3')X INNER JOIN (SELECT instrmnt_id AS instrmnt_id_SIMUL, IMPRMNT_STTS AS IMPRMNT_STTS_SIMUL FROM BU_LOANTAPE_WORK.LT002_INSTRUMENT_P3_NOV24)Y ON X.INSTRMNT_ID=Y.INSTRMNT_ID_SIMUL</v>
      </c>
      <c r="M20" s="43" t="str">
        <f t="shared" si="0"/>
        <v>UNION ALL SELECT 'INSTRUMENT' AS TABELA, 'COERÊNCIA' AS TIPOLOGIA_TESTE,'BU_LOANTAPE_WORK.LT002_INSTRUMENT' AS TABELA_LT,'BU_LOANTAPE_WORK.LT002_INSTRUMENT_P3_NOV24' AS TABELA_SIMUL,'IMPRMNT_STTS' AS CAMPO, '${ref_date}' AS REF_DATE, COUNT(*) AS NUM_REG, SUM(IF(COALESCE(CAST(X.IMPRMNT_STTS AS STRING),'')&lt;&gt;COALESCE(CAST(Y.IMPRMNT_STTS_SIMUL AS STRING),''),1,0)) AS NUM_REG_DIF,'1' AS ID_EXEC, CURRENT_TIMESTAMP() AS TIME_EXEC FROM (SELECT instrmnt_id, IMPRMNT_STTS FROM BU_LOANTAPE_WORK.LT002_INSTRUMENT WHERE ref_date='${ref_date}' AND nome_perimetro='Individual Corporativo' AND segmento='ESTR' AND ambito='PILAR3')X INNER JOIN (SELECT instrmnt_id AS instrmnt_id_SIMUL, IMPRMNT_STTS AS IMPRMNT_STTS_SIMUL FROM BU_LOANTAPE_WORK.LT002_INSTRUMENT_P3_NOV24)Y ON X.INSTRMNT_ID=Y.INSTRMNT_ID_SIMUL</v>
      </c>
      <c r="N20" s="45" t="s">
        <v>13</v>
      </c>
    </row>
    <row r="21" spans="2:14">
      <c r="B21" s="41" t="s">
        <v>27</v>
      </c>
      <c r="C21" s="41" t="s">
        <v>74</v>
      </c>
      <c r="D21" s="41" t="str">
        <f>+UPPER('0. Instruções'!$D$33&amp;"."&amp;VLOOKUP(B21,'0. Instruções'!$C$27:$D$31,2,FALSE))</f>
        <v>BU_LOANTAPE_WORK.LT002_INSTRUMENT</v>
      </c>
      <c r="E21" s="41" t="str">
        <f>+UPPER('0. Instruções'!$D$34&amp;"."&amp;VLOOKUP(B21,'0. Instruções'!$C$27:$E$31,3,FALSE))</f>
        <v>BU_LOANTAPE_WORK.LT002_INSTRUMENT_P3_NOV24</v>
      </c>
      <c r="F21" s="41" t="s">
        <v>161</v>
      </c>
      <c r="G21" s="41" t="s">
        <v>13</v>
      </c>
      <c r="H21" s="41"/>
      <c r="I21" s="41" t="str">
        <f>"(SELECT "&amp;VLOOKUP(B21,'0. Instruções'!$C$27:$G$31,4,FALSE)&amp;", "&amp;F21&amp;" FROM "&amp;D21&amp;" WHERE "&amp;'0. Instruções'!$D$40&amp;")X"</f>
        <v>(SELECT instrmnt_id, PRFRMNG_STTS FROM BU_LOANTAPE_WORK.LT002_INSTRUMENT WHERE ref_date='${ref_date}' AND nome_perimetro='Individual Corporativo' AND segmento='ESTR' AND ambito='PILAR3')X</v>
      </c>
      <c r="J21" s="41" t="str">
        <f>"(SELECT "&amp;VLOOKUP(B21,'0. Instruções'!$C$27:$G$31,4,FALSE)&amp;" AS "&amp;VLOOKUP(B21,'0. Instruções'!$C$27:$G$31,4,FALSE)&amp;"_SIMUL, "&amp;F21&amp;" AS "&amp;F21&amp;"_SIMUL FROM "&amp;E21&amp;")Y"</f>
        <v>(SELECT instrmnt_id AS instrmnt_id_SIMUL, PRFRMNG_STTS AS PRFRMNG_STTS_SIMUL FROM BU_LOANTAPE_WORK.LT002_INSTRUMENT_P3_NOV24)Y</v>
      </c>
      <c r="K21" s="42" t="str">
        <f>+UPPER("ON X."&amp;VLOOKUP(B21,'0. Instruções'!$C$27:$G$31,4,FALSE)&amp;"=Y."&amp;VLOOKUP(B21,'0. Instruções'!$C$27:$G$31,4,FALSE)&amp;"_SIMUL")</f>
        <v>ON X.INSTRMNT_ID=Y.INSTRMNT_ID_SIMUL</v>
      </c>
      <c r="L21" s="42" t="str">
        <f>+IF(C21="Coerência", +IF(LEFT(G21,5)="FLOAT","SELECT '"&amp;UPPER(B21)&amp;"' AS TABELA, '"&amp;UPPER(C21)&amp;"' AS TIPOLOGIA_TESTE,'"&amp;D21&amp;"' AS TABELA_LT,'"&amp;E21&amp;"' AS TABELA_SIMUL,'"&amp;F21&amp;"' AS CAMPO, "&amp;"'${ref_date}' AS REF_DATE, COUNT(*) AS NUM_REG, SUM(IF((ABS(COALESCE(X."&amp;F21&amp;",0)-COALESCE(Y."&amp;F21&amp;"_SIMUL,0))&gt;0.0000000001) OR (X."&amp;F21&amp;" IS NULL AND Y."&amp;F21&amp;"_SIMUL IS NOT NULL ) OR (X."&amp;F21&amp;" IS NOT NULL AND Y."&amp;F21&amp;"_SIMUL IS NULL),1,0)) AS NUM_REG_DIF,'"&amp;MAX('ID1&amp;5'!K:K)+1&amp;"' AS ID_EXEC, CURRENT_TIMESTAMP() AS TIME_EXEC FROM "&amp;I21&amp;" INNER JOIN "&amp;J21&amp;" "&amp;K21,"SELECT '"&amp;UPPER(B21)&amp;"' AS TABELA, '"&amp;UPPER(C21)&amp;"' AS TIPOLOGIA_TESTE,'"&amp;D21&amp;"' AS TABELA_LT,'"&amp;E21&amp;"' AS TABELA_SIMUL,'"&amp;F21&amp;"' AS CAMPO, "&amp;"'${ref_date}' AS REF_DATE, COUNT(*) AS NUM_REG, SUM(IF(COALESCE(CAST(X."&amp;F21&amp;" AS STRING),'')&lt;&gt;COALESCE(CAST(Y."&amp;F21&amp;"_SIMUL AS STRING),''),1,0)) AS NUM_REG_DIF,'"&amp;MAX('ID1&amp;5'!L:L)+1&amp;"' AS ID_EXEC, CURRENT_TIMESTAMP() AS TIME_EXEC FROM "&amp;I21&amp;" INNER JOIN "&amp;J21&amp;" "&amp;K21),
IF(C21="Validade",+IF(G21="Code List","SELECT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 OR CAST(X."&amp;F21&amp;" AS STRING) NOT "&amp;H21&amp;",1,0)) AS NUM_REG_DIF,'"&amp;MAX('ID1&amp;5'!K:K)+1&amp;"' AS ID_EXEC, CURRENT_TIMESTAMP() AS TIME_EXEC FROM "&amp;I21,"SELECT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NULL,1,0)) AS NUM_REG_DIF,'"&amp;MAX('ID1&amp;5'!K:K)+1&amp;"' AS ID_EXEC, CURRENT_TIMESTAMP() AS TIME_EXEC FROM "&amp;I21),
IF(C21="Caracteres Especiais",+"SELECT '"&amp;UPPER(B21)&amp;"' AS TABELA, '"&amp;UPPER(C21)&amp;"' AS TIPOLOGIA_TESTE,'"&amp;D21&amp;"' AS TABELA_LT,'N/A' AS TABELA_SIMUL,'"&amp;F21&amp;"' AS CAMPO, "&amp;"'${ref_date}' AS REF_DATE, COUNT(*) AS NUM_REG, SUM(IF(INSTR(CAST(X."&amp;F21&amp;" AS STRING),'#')&gt;0 OR INSTR(CAST(X."&amp;F21&amp;" AS STRING),'*')&gt;0 OR INSTR(CAST(X."&amp;F21&amp;" AS STRING),'`')&gt;0 OR INSTR(CAST(X."&amp;F21&amp;" AS STRING),'´')&gt;0 OR INSTR(CAST(X."&amp;F21&amp;" AS STRING),'{')&gt;0 OR INSTR(CAST(X."&amp;F21&amp;" AS STRING),'}')&gt;0 OR INSTR(CAST(X."&amp;F21&amp;" AS STRING),'[')&gt;0 OR INSTR(CAST(X."&amp;F21&amp;" AS STRING),'')&gt;0 OR INSTR(CAST(X."&amp;F21&amp;" AS STRING),']')&gt;0 OR INSTR(CAST(X."&amp;F21&amp;" AS STRING),'?')&gt;0 OR INSTR(CAST(X."&amp;F21&amp;" AS STRING),'!')&gt;0 OR INSTR(CAST(X."&amp;F21&amp;" AS STRING),'$')&gt;0 OR INSTR(CAST(X."&amp;F21&amp;" AS STRING),'%')&gt;0 OR INSTR(CAST(X."&amp;F21&amp;" AS STRING),'&amp;')&gt;0 OR INSTR(CAST(X."&amp;F21&amp;" AS STRING),'+')&gt;0,1,0)) AS NUM_REG_DIF,'"&amp;MAX('ID1&amp;5'!K:K)+1&amp;"' AS ID_EXEC, CURRENT_TIMESTAMP() AS TIME_EXEC FROM "&amp;I21,
IF(C21="Missings",+"SELECT '"&amp;UPPER(B21)&amp;"' AS TABELA, '"&amp;UPPER(C21)&amp;"' AS TIPOLOGIA_TESTE,'"&amp;D21&amp;"' AS TABELA_LT,'N/A' AS TABELA_SIMUL,'"&amp;F21&amp;"' AS CAMPO, "&amp;"'${ref_date}' AS REF_DATE, COUNT(*) AS NUM_REG, SUM(IF(TRIM(CAST(X."&amp;F21&amp;" AS STRING)) IN ('0000-00-00','0001-01-01','9999-12-31','MISS','00000','99999999999','99999999999.00','99999999999.000000'),1,0)) AS NUM_REG_DIF,'"&amp;MAX('ID1&amp;5'!K:K)+1&amp;"' AS ID_EXEC, CURRENT_TIMESTAMP() AS TIME_EXEC FROM "&amp;I21,
IF(C21="Not applicable",+"SELECT '"&amp;UPPER(B21)&amp;"' AS TABELA, '"&amp;UPPER(C21)&amp;"' AS TIPOLOGIA_TESTE,'"&amp;D21&amp;"' AS TABELA_LT,'N/A' AS TABELA_SIMUL,'"&amp;F21&amp;"' AS CAMPO, "&amp;"'${ref_date}' AS REF_DATE, COUNT(*) AS NUM_REG, SUM(IF(TRIM(CAST(X."&amp;F21&amp;" AS STRING)) IN ('N/A','11111111111','11111111111.00','11111111111.000000','1111-11-11'),1,0)) AS NUM_REG_DIF,'"&amp;MAX('ID1&amp;5'!K:K)+1&amp;"' AS ID_EXEC, CURRENT_TIMESTAMP() AS TIME_EXEC FROM "&amp;I21,
IF(C21="Valores extremos",+"SELECT '"&amp;UPPER(B21)&amp;"' AS TABELA, '"&amp;UPPER(C21)&amp;"' AS TIPOLOGIA_TESTE,'"&amp;D21&amp;"' AS TABELA_LT,'N/A' AS TABELA_SIMUL,'"&amp;F21&amp;"' AS CAMPO, "&amp;"'${ref_date}' AS REF_DATE, CAST(MIN("&amp;F21&amp;") AS STRING) AS VALOR_MIN, CAST(MAX("&amp;F21&amp;") AS STRING) AS VALOR_MAX,'"&amp;MAX('ID1&amp;5'!K:K)+1&amp;"' AS ID_EXEC, CURRENT_TIMESTAMP() AS TIME_EXEC FROM "&amp;MID(I21,1,LEN(I21)-2)&amp;" AND CAST("&amp;F21&amp;"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TABELA_SIMUL,'PRFRMNG_STTS' AS CAMPO, '${ref_date}' AS REF_DATE, COUNT(*) AS NUM_REG, SUM(IF(COALESCE(CAST(X.PRFRMNG_STTS AS STRING),'')&lt;&gt;COALESCE(CAST(Y.PRFRMNG_STTS_SIMUL AS STRING),''),1,0)) AS NUM_REG_DIF,'1' AS ID_EXEC, CURRENT_TIMESTAMP() AS TIME_EXEC FROM (SELECT instrmnt_id, PRFRMNG_STTS FROM BU_LOANTAPE_WORK.LT002_INSTRUMENT WHERE ref_date='${ref_date}' AND nome_perimetro='Individual Corporativo' AND segmento='ESTR' AND ambito='PILAR3')X INNER JOIN (SELECT instrmnt_id AS instrmnt_id_SIMUL, PRFRMNG_STTS AS PRFRMNG_STTS_SIMUL FROM BU_LOANTAPE_WORK.LT002_INSTRUMENT_P3_NOV24)Y ON X.INSTRMNT_ID=Y.INSTRMNT_ID_SIMUL</v>
      </c>
      <c r="M21" s="43" t="str">
        <f t="shared" si="0"/>
        <v>UNION ALL SELECT 'INSTRUMENT' AS TABELA, 'COERÊNCIA' AS TIPOLOGIA_TESTE,'BU_LOANTAPE_WORK.LT002_INSTRUMENT' AS TABELA_LT,'BU_LOANTAPE_WORK.LT002_INSTRUMENT_P3_NOV24' AS TABELA_SIMUL,'PRFRMNG_STTS' AS CAMPO, '${ref_date}' AS REF_DATE, COUNT(*) AS NUM_REG, SUM(IF(COALESCE(CAST(X.PRFRMNG_STTS AS STRING),'')&lt;&gt;COALESCE(CAST(Y.PRFRMNG_STTS_SIMUL AS STRING),''),1,0)) AS NUM_REG_DIF,'1' AS ID_EXEC, CURRENT_TIMESTAMP() AS TIME_EXEC FROM (SELECT instrmnt_id, PRFRMNG_STTS FROM BU_LOANTAPE_WORK.LT002_INSTRUMENT WHERE ref_date='${ref_date}' AND nome_perimetro='Individual Corporativo' AND segmento='ESTR' AND ambito='PILAR3')X INNER JOIN (SELECT instrmnt_id AS instrmnt_id_SIMUL, PRFRMNG_STTS AS PRFRMNG_STTS_SIMUL FROM BU_LOANTAPE_WORK.LT002_INSTRUMENT_P3_NOV24)Y ON X.INSTRMNT_ID=Y.INSTRMNT_ID_SIMUL</v>
      </c>
      <c r="N21" s="45" t="s">
        <v>13</v>
      </c>
    </row>
    <row r="22" spans="2:14">
      <c r="B22" s="41" t="s">
        <v>27</v>
      </c>
      <c r="C22" s="41" t="s">
        <v>74</v>
      </c>
      <c r="D22" s="41" t="str">
        <f>+UPPER('0. Instruções'!$D$33&amp;"."&amp;VLOOKUP(B22,'0. Instruções'!$C$27:$D$31,2,FALSE))</f>
        <v>BU_LOANTAPE_WORK.LT002_INSTRUMENT</v>
      </c>
      <c r="E22" s="41" t="str">
        <f>+UPPER('0. Instruções'!$D$34&amp;"."&amp;VLOOKUP(B22,'0. Instruções'!$C$27:$E$31,3,FALSE))</f>
        <v>BU_LOANTAPE_WORK.LT002_INSTRUMENT_P3_NOV24</v>
      </c>
      <c r="F22" s="41" t="s">
        <v>162</v>
      </c>
      <c r="G22" s="41" t="s">
        <v>13</v>
      </c>
      <c r="H22" s="41"/>
      <c r="I22" s="41" t="str">
        <f>"(SELECT "&amp;VLOOKUP(B22,'0. Instruções'!$C$27:$G$31,4,FALSE)&amp;", "&amp;F22&amp;" FROM "&amp;D22&amp;" WHERE "&amp;'0. Instruções'!$D$40&amp;")X"</f>
        <v>(SELECT instrmnt_id, PRJCT_FNNC_LN FROM BU_LOANTAPE_WORK.LT002_INSTRUMENT WHERE ref_date='${ref_date}' AND nome_perimetro='Individual Corporativo' AND segmento='ESTR' AND ambito='PILAR3')X</v>
      </c>
      <c r="J22" s="41" t="str">
        <f>"(SELECT "&amp;VLOOKUP(B22,'0. Instruções'!$C$27:$G$31,4,FALSE)&amp;" AS "&amp;VLOOKUP(B22,'0. Instruções'!$C$27:$G$31,4,FALSE)&amp;"_SIMUL, "&amp;F22&amp;" AS "&amp;F22&amp;"_SIMUL FROM "&amp;E22&amp;")Y"</f>
        <v>(SELECT instrmnt_id AS instrmnt_id_SIMUL, PRJCT_FNNC_LN AS PRJCT_FNNC_LN_SIMUL FROM BU_LOANTAPE_WORK.LT002_INSTRUMENT_P3_NOV24)Y</v>
      </c>
      <c r="K22" s="42" t="str">
        <f>+UPPER("ON X."&amp;VLOOKUP(B22,'0. Instruções'!$C$27:$G$31,4,FALSE)&amp;"=Y."&amp;VLOOKUP(B22,'0. Instruções'!$C$27:$G$31,4,FALSE)&amp;"_SIMUL")</f>
        <v>ON X.INSTRMNT_ID=Y.INSTRMNT_ID_SIMUL</v>
      </c>
      <c r="L22" s="42" t="str">
        <f>+IF(C22="Coerência", +IF(LEFT(G22,5)="FLOAT","SELECT '"&amp;UPPER(B22)&amp;"' AS TABELA, '"&amp;UPPER(C22)&amp;"' AS TIPOLOGIA_TESTE,'"&amp;D22&amp;"' AS TABELA_LT,'"&amp;E22&amp;"' AS TABELA_SIMUL,'"&amp;F22&amp;"' AS CAMPO, "&amp;"'${ref_date}' AS REF_DATE, COUNT(*) AS NUM_REG, SUM(IF((ABS(COALESCE(X."&amp;F22&amp;",0)-COALESCE(Y."&amp;F22&amp;"_SIMUL,0))&gt;0.0000000001) OR (X."&amp;F22&amp;" IS NULL AND Y."&amp;F22&amp;"_SIMUL IS NOT NULL ) OR (X."&amp;F22&amp;" IS NOT NULL AND Y."&amp;F22&amp;"_SIMUL IS NULL),1,0)) AS NUM_REG_DIF,'"&amp;MAX('ID1&amp;5'!K:K)+1&amp;"' AS ID_EXEC, CURRENT_TIMESTAMP() AS TIME_EXEC FROM "&amp;I22&amp;" INNER JOIN "&amp;J22&amp;" "&amp;K22,"SELECT '"&amp;UPPER(B22)&amp;"' AS TABELA, '"&amp;UPPER(C22)&amp;"' AS TIPOLOGIA_TESTE,'"&amp;D22&amp;"' AS TABELA_LT,'"&amp;E22&amp;"' AS TABELA_SIMUL,'"&amp;F22&amp;"' AS CAMPO, "&amp;"'${ref_date}' AS REF_DATE, COUNT(*) AS NUM_REG, SUM(IF(COALESCE(CAST(X."&amp;F22&amp;" AS STRING),'')&lt;&gt;COALESCE(CAST(Y."&amp;F22&amp;"_SIMUL AS STRING),''),1,0)) AS NUM_REG_DIF,'"&amp;MAX('ID1&amp;5'!L:L)+1&amp;"' AS ID_EXEC, CURRENT_TIMESTAMP() AS TIME_EXEC FROM "&amp;I22&amp;" INNER JOIN "&amp;J22&amp;" "&amp;K22),
IF(C22="Validade",+IF(G22="Code List","SELECT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 OR CAST(X."&amp;F22&amp;" AS STRING) NOT "&amp;H22&amp;",1,0)) AS NUM_REG_DIF,'"&amp;MAX('ID1&amp;5'!K:K)+1&amp;"' AS ID_EXEC, CURRENT_TIMESTAMP() AS TIME_EXEC FROM "&amp;I22,"SELECT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NULL,1,0)) AS NUM_REG_DIF,'"&amp;MAX('ID1&amp;5'!K:K)+1&amp;"' AS ID_EXEC, CURRENT_TIMESTAMP() AS TIME_EXEC FROM "&amp;I22),
IF(C22="Caracteres Especiais",+"SELECT '"&amp;UPPER(B22)&amp;"' AS TABELA, '"&amp;UPPER(C22)&amp;"' AS TIPOLOGIA_TESTE,'"&amp;D22&amp;"' AS TABELA_LT,'N/A' AS TABELA_SIMUL,'"&amp;F22&amp;"' AS CAMPO, "&amp;"'${ref_date}' AS REF_DATE, COUNT(*) AS NUM_REG, SUM(IF(INSTR(CAST(X."&amp;F22&amp;" AS STRING),'#')&gt;0 OR INSTR(CAST(X."&amp;F22&amp;" AS STRING),'*')&gt;0 OR INSTR(CAST(X."&amp;F22&amp;" AS STRING),'`')&gt;0 OR INSTR(CAST(X."&amp;F22&amp;" AS STRING),'´')&gt;0 OR INSTR(CAST(X."&amp;F22&amp;" AS STRING),'{')&gt;0 OR INSTR(CAST(X."&amp;F22&amp;" AS STRING),'}')&gt;0 OR INSTR(CAST(X."&amp;F22&amp;" AS STRING),'[')&gt;0 OR INSTR(CAST(X."&amp;F22&amp;" AS STRING),'')&gt;0 OR INSTR(CAST(X."&amp;F22&amp;" AS STRING),']')&gt;0 OR INSTR(CAST(X."&amp;F22&amp;" AS STRING),'?')&gt;0 OR INSTR(CAST(X."&amp;F22&amp;" AS STRING),'!')&gt;0 OR INSTR(CAST(X."&amp;F22&amp;" AS STRING),'$')&gt;0 OR INSTR(CAST(X."&amp;F22&amp;" AS STRING),'%')&gt;0 OR INSTR(CAST(X."&amp;F22&amp;" AS STRING),'&amp;')&gt;0 OR INSTR(CAST(X."&amp;F22&amp;" AS STRING),'+')&gt;0,1,0)) AS NUM_REG_DIF,'"&amp;MAX('ID1&amp;5'!K:K)+1&amp;"' AS ID_EXEC, CURRENT_TIMESTAMP() AS TIME_EXEC FROM "&amp;I22,
IF(C22="Missings",+"SELECT '"&amp;UPPER(B22)&amp;"' AS TABELA, '"&amp;UPPER(C22)&amp;"' AS TIPOLOGIA_TESTE,'"&amp;D22&amp;"' AS TABELA_LT,'N/A' AS TABELA_SIMUL,'"&amp;F22&amp;"' AS CAMPO, "&amp;"'${ref_date}' AS REF_DATE, COUNT(*) AS NUM_REG, SUM(IF(TRIM(CAST(X."&amp;F22&amp;" AS STRING)) IN ('0000-00-00','0001-01-01','9999-12-31','MISS','00000','99999999999','99999999999.00','99999999999.000000'),1,0)) AS NUM_REG_DIF,'"&amp;MAX('ID1&amp;5'!K:K)+1&amp;"' AS ID_EXEC, CURRENT_TIMESTAMP() AS TIME_EXEC FROM "&amp;I22,
IF(C22="Not applicable",+"SELECT '"&amp;UPPER(B22)&amp;"' AS TABELA, '"&amp;UPPER(C22)&amp;"' AS TIPOLOGIA_TESTE,'"&amp;D22&amp;"' AS TABELA_LT,'N/A' AS TABELA_SIMUL,'"&amp;F22&amp;"' AS CAMPO, "&amp;"'${ref_date}' AS REF_DATE, COUNT(*) AS NUM_REG, SUM(IF(TRIM(CAST(X."&amp;F22&amp;" AS STRING)) IN ('N/A','11111111111','11111111111.00','11111111111.000000','1111-11-11'),1,0)) AS NUM_REG_DIF,'"&amp;MAX('ID1&amp;5'!K:K)+1&amp;"' AS ID_EXEC, CURRENT_TIMESTAMP() AS TIME_EXEC FROM "&amp;I22,
IF(C22="Valores extremos",+"SELECT '"&amp;UPPER(B22)&amp;"' AS TABELA, '"&amp;UPPER(C22)&amp;"' AS TIPOLOGIA_TESTE,'"&amp;D22&amp;"' AS TABELA_LT,'N/A' AS TABELA_SIMUL,'"&amp;F22&amp;"' AS CAMPO, "&amp;"'${ref_date}' AS REF_DATE, CAST(MIN("&amp;F22&amp;") AS STRING) AS VALOR_MIN, CAST(MAX("&amp;F22&amp;") AS STRING) AS VALOR_MAX,'"&amp;MAX('ID1&amp;5'!K:K)+1&amp;"' AS ID_EXEC, CURRENT_TIMESTAMP() AS TIME_EXEC FROM "&amp;MID(I22,1,LEN(I22)-2)&amp;" AND CAST("&amp;F22&amp;"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TABELA_SIMUL,'PRJCT_FNNC_LN' AS CAMPO, '${ref_date}' AS REF_DATE, COUNT(*) AS NUM_REG, SUM(IF(COALESCE(CAST(X.PRJCT_FNNC_LN AS STRING),'')&lt;&gt;COALESCE(CAST(Y.PRJCT_FNNC_LN_SIMUL AS STRING),''),1,0)) AS NUM_REG_DIF,'1' AS ID_EXEC, CURRENT_TIMESTAMP() AS TIME_EXEC FROM (SELECT instrmnt_id, PRJCT_FNNC_LN FROM BU_LOANTAPE_WORK.LT002_INSTRUMENT WHERE ref_date='${ref_date}' AND nome_perimetro='Individual Corporativo' AND segmento='ESTR' AND ambito='PILAR3')X INNER JOIN (SELECT instrmnt_id AS instrmnt_id_SIMUL, PRJCT_FNNC_LN AS PRJCT_FNNC_LN_SIMUL FROM BU_LOANTAPE_WORK.LT002_INSTRUMENT_P3_NOV24)Y ON X.INSTRMNT_ID=Y.INSTRMNT_ID_SIMUL</v>
      </c>
      <c r="M22" s="43" t="str">
        <f t="shared" si="0"/>
        <v>UNION ALL SELECT 'INSTRUMENT' AS TABELA, 'COERÊNCIA' AS TIPOLOGIA_TESTE,'BU_LOANTAPE_WORK.LT002_INSTRUMENT' AS TABELA_LT,'BU_LOANTAPE_WORK.LT002_INSTRUMENT_P3_NOV24' AS TABELA_SIMUL,'PRJCT_FNNC_LN' AS CAMPO, '${ref_date}' AS REF_DATE, COUNT(*) AS NUM_REG, SUM(IF(COALESCE(CAST(X.PRJCT_FNNC_LN AS STRING),'')&lt;&gt;COALESCE(CAST(Y.PRJCT_FNNC_LN_SIMUL AS STRING),''),1,0)) AS NUM_REG_DIF,'1' AS ID_EXEC, CURRENT_TIMESTAMP() AS TIME_EXEC FROM (SELECT instrmnt_id, PRJCT_FNNC_LN FROM BU_LOANTAPE_WORK.LT002_INSTRUMENT WHERE ref_date='${ref_date}' AND nome_perimetro='Individual Corporativo' AND segmento='ESTR' AND ambito='PILAR3')X INNER JOIN (SELECT instrmnt_id AS instrmnt_id_SIMUL, PRJCT_FNNC_LN AS PRJCT_FNNC_LN_SIMUL FROM BU_LOANTAPE_WORK.LT002_INSTRUMENT_P3_NOV24)Y ON X.INSTRMNT_ID=Y.INSTRMNT_ID_SIMUL</v>
      </c>
      <c r="N22" s="45" t="s">
        <v>13</v>
      </c>
    </row>
    <row r="23" spans="2:14">
      <c r="B23" s="41" t="s">
        <v>27</v>
      </c>
      <c r="C23" s="41" t="s">
        <v>74</v>
      </c>
      <c r="D23" s="41" t="str">
        <f>+UPPER('0. Instruções'!$D$33&amp;"."&amp;VLOOKUP(B23,'0. Instruções'!$C$27:$D$31,2,FALSE))</f>
        <v>BU_LOANTAPE_WORK.LT002_INSTRUMENT</v>
      </c>
      <c r="E23" s="41" t="str">
        <f>+UPPER('0. Instruções'!$D$34&amp;"."&amp;VLOOKUP(B23,'0. Instruções'!$C$27:$E$31,3,FALSE))</f>
        <v>BU_LOANTAPE_WORK.LT002_INSTRUMENT_P3_NOV24</v>
      </c>
      <c r="F23" s="41" t="s">
        <v>163</v>
      </c>
      <c r="G23" s="41" t="s">
        <v>13</v>
      </c>
      <c r="H23" s="41"/>
      <c r="I23" s="41" t="str">
        <f>"(SELECT "&amp;VLOOKUP(B23,'0. Instruções'!$C$27:$G$31,4,FALSE)&amp;", "&amp;F23&amp;" FROM "&amp;D23&amp;" WHERE "&amp;'0. Instruções'!$D$40&amp;")X"</f>
        <v>(SELECT instrmnt_id, TYP_INSTRMNT FROM BU_LOANTAPE_WORK.LT002_INSTRUMENT WHERE ref_date='${ref_date}' AND nome_perimetro='Individual Corporativo' AND segmento='ESTR' AND ambito='PILAR3')X</v>
      </c>
      <c r="J23" s="41" t="str">
        <f>"(SELECT "&amp;VLOOKUP(B23,'0. Instruções'!$C$27:$G$31,4,FALSE)&amp;" AS "&amp;VLOOKUP(B23,'0. Instruções'!$C$27:$G$31,4,FALSE)&amp;"_SIMUL, "&amp;F23&amp;" AS "&amp;F23&amp;"_SIMUL FROM "&amp;E23&amp;")Y"</f>
        <v>(SELECT instrmnt_id AS instrmnt_id_SIMUL, TYP_INSTRMNT AS TYP_INSTRMNT_SIMUL FROM BU_LOANTAPE_WORK.LT002_INSTRUMENT_P3_NOV24)Y</v>
      </c>
      <c r="K23" s="42" t="str">
        <f>+UPPER("ON X."&amp;VLOOKUP(B23,'0. Instruções'!$C$27:$G$31,4,FALSE)&amp;"=Y."&amp;VLOOKUP(B23,'0. Instruções'!$C$27:$G$31,4,FALSE)&amp;"_SIMUL")</f>
        <v>ON X.INSTRMNT_ID=Y.INSTRMNT_ID_SIMUL</v>
      </c>
      <c r="L23" s="42" t="str">
        <f>+IF(C23="Coerência", +IF(LEFT(G23,5)="FLOAT","SELECT '"&amp;UPPER(B23)&amp;"' AS TABELA, '"&amp;UPPER(C23)&amp;"' AS TIPOLOGIA_TESTE,'"&amp;D23&amp;"' AS TABELA_LT,'"&amp;E23&amp;"' AS TABELA_SIMUL,'"&amp;F23&amp;"' AS CAMPO, "&amp;"'${ref_date}' AS REF_DATE, COUNT(*) AS NUM_REG, SUM(IF((ABS(COALESCE(X."&amp;F23&amp;",0)-COALESCE(Y."&amp;F23&amp;"_SIMUL,0))&gt;0.0000000001) OR (X."&amp;F23&amp;" IS NULL AND Y."&amp;F23&amp;"_SIMUL IS NOT NULL ) OR (X."&amp;F23&amp;" IS NOT NULL AND Y."&amp;F23&amp;"_SIMUL IS NULL),1,0)) AS NUM_REG_DIF,'"&amp;MAX('ID1&amp;5'!K:K)+1&amp;"' AS ID_EXEC, CURRENT_TIMESTAMP() AS TIME_EXEC FROM "&amp;I23&amp;" INNER JOIN "&amp;J23&amp;" "&amp;K23,"SELECT '"&amp;UPPER(B23)&amp;"' AS TABELA, '"&amp;UPPER(C23)&amp;"' AS TIPOLOGIA_TESTE,'"&amp;D23&amp;"' AS TABELA_LT,'"&amp;E23&amp;"' AS TABELA_SIMUL,'"&amp;F23&amp;"' AS CAMPO, "&amp;"'${ref_date}' AS REF_DATE, COUNT(*) AS NUM_REG, SUM(IF(COALESCE(CAST(X."&amp;F23&amp;" AS STRING),'')&lt;&gt;COALESCE(CAST(Y."&amp;F23&amp;"_SIMUL AS STRING),''),1,0)) AS NUM_REG_DIF,'"&amp;MAX('ID1&amp;5'!L:L)+1&amp;"' AS ID_EXEC, CURRENT_TIMESTAMP() AS TIME_EXEC FROM "&amp;I23&amp;" INNER JOIN "&amp;J23&amp;" "&amp;K23),
IF(C23="Validade",+IF(G23="Code List","SELECT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 OR CAST(X."&amp;F23&amp;" AS STRING) NOT "&amp;H23&amp;",1,0)) AS NUM_REG_DIF,'"&amp;MAX('ID1&amp;5'!K:K)+1&amp;"' AS ID_EXEC, CURRENT_TIMESTAMP() AS TIME_EXEC FROM "&amp;I23,"SELECT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NULL,1,0)) AS NUM_REG_DIF,'"&amp;MAX('ID1&amp;5'!K:K)+1&amp;"' AS ID_EXEC, CURRENT_TIMESTAMP() AS TIME_EXEC FROM "&amp;I23),
IF(C23="Caracteres Especiais",+"SELECT '"&amp;UPPER(B23)&amp;"' AS TABELA, '"&amp;UPPER(C23)&amp;"' AS TIPOLOGIA_TESTE,'"&amp;D23&amp;"' AS TABELA_LT,'N/A' AS TABELA_SIMUL,'"&amp;F23&amp;"' AS CAMPO, "&amp;"'${ref_date}' AS REF_DATE, COUNT(*) AS NUM_REG, SUM(IF(INSTR(CAST(X."&amp;F23&amp;" AS STRING),'#')&gt;0 OR INSTR(CAST(X."&amp;F23&amp;" AS STRING),'*')&gt;0 OR INSTR(CAST(X."&amp;F23&amp;" AS STRING),'`')&gt;0 OR INSTR(CAST(X."&amp;F23&amp;" AS STRING),'´')&gt;0 OR INSTR(CAST(X."&amp;F23&amp;" AS STRING),'{')&gt;0 OR INSTR(CAST(X."&amp;F23&amp;" AS STRING),'}')&gt;0 OR INSTR(CAST(X."&amp;F23&amp;" AS STRING),'[')&gt;0 OR INSTR(CAST(X."&amp;F23&amp;" AS STRING),'')&gt;0 OR INSTR(CAST(X."&amp;F23&amp;" AS STRING),']')&gt;0 OR INSTR(CAST(X."&amp;F23&amp;" AS STRING),'?')&gt;0 OR INSTR(CAST(X."&amp;F23&amp;" AS STRING),'!')&gt;0 OR INSTR(CAST(X."&amp;F23&amp;" AS STRING),'$')&gt;0 OR INSTR(CAST(X."&amp;F23&amp;" AS STRING),'%')&gt;0 OR INSTR(CAST(X."&amp;F23&amp;" AS STRING),'&amp;')&gt;0 OR INSTR(CAST(X."&amp;F23&amp;" AS STRING),'+')&gt;0,1,0)) AS NUM_REG_DIF,'"&amp;MAX('ID1&amp;5'!K:K)+1&amp;"' AS ID_EXEC, CURRENT_TIMESTAMP() AS TIME_EXEC FROM "&amp;I23,
IF(C23="Missings",+"SELECT '"&amp;UPPER(B23)&amp;"' AS TABELA, '"&amp;UPPER(C23)&amp;"' AS TIPOLOGIA_TESTE,'"&amp;D23&amp;"' AS TABELA_LT,'N/A' AS TABELA_SIMUL,'"&amp;F23&amp;"' AS CAMPO, "&amp;"'${ref_date}' AS REF_DATE, COUNT(*) AS NUM_REG, SUM(IF(TRIM(CAST(X."&amp;F23&amp;" AS STRING)) IN ('0000-00-00','0001-01-01','9999-12-31','MISS','00000','99999999999','99999999999.00','99999999999.000000'),1,0)) AS NUM_REG_DIF,'"&amp;MAX('ID1&amp;5'!K:K)+1&amp;"' AS ID_EXEC, CURRENT_TIMESTAMP() AS TIME_EXEC FROM "&amp;I23,
IF(C23="Not applicable",+"SELECT '"&amp;UPPER(B23)&amp;"' AS TABELA, '"&amp;UPPER(C23)&amp;"' AS TIPOLOGIA_TESTE,'"&amp;D23&amp;"' AS TABELA_LT,'N/A' AS TABELA_SIMUL,'"&amp;F23&amp;"' AS CAMPO, "&amp;"'${ref_date}' AS REF_DATE, COUNT(*) AS NUM_REG, SUM(IF(TRIM(CAST(X."&amp;F23&amp;" AS STRING)) IN ('N/A','11111111111','11111111111.00','11111111111.000000','1111-11-11'),1,0)) AS NUM_REG_DIF,'"&amp;MAX('ID1&amp;5'!K:K)+1&amp;"' AS ID_EXEC, CURRENT_TIMESTAMP() AS TIME_EXEC FROM "&amp;I23,
IF(C23="Valores extremos",+"SELECT '"&amp;UPPER(B23)&amp;"' AS TABELA, '"&amp;UPPER(C23)&amp;"' AS TIPOLOGIA_TESTE,'"&amp;D23&amp;"' AS TABELA_LT,'N/A' AS TABELA_SIMUL,'"&amp;F23&amp;"' AS CAMPO, "&amp;"'${ref_date}' AS REF_DATE, CAST(MIN("&amp;F23&amp;") AS STRING) AS VALOR_MIN, CAST(MAX("&amp;F23&amp;") AS STRING) AS VALOR_MAX,'"&amp;MAX('ID1&amp;5'!K:K)+1&amp;"' AS ID_EXEC, CURRENT_TIMESTAMP() AS TIME_EXEC FROM "&amp;MID(I23,1,LEN(I23)-2)&amp;" AND CAST("&amp;F23&amp;"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TABELA_SIMUL,'TYP_INSTRMNT' AS CAMPO, '${ref_date}' AS REF_DATE, COUNT(*) AS NUM_REG, SUM(IF(COALESCE(CAST(X.TYP_INSTRMNT AS STRING),'')&lt;&gt;COALESCE(CAST(Y.TYP_INSTRMNT_SIMUL AS STRING),''),1,0)) AS NUM_REG_DIF,'1' AS ID_EXEC, CURRENT_TIMESTAMP() AS TIME_EXEC FROM (SELECT instrmnt_id, TYP_INSTRMNT FROM BU_LOANTAPE_WORK.LT002_INSTRUMENT WHERE ref_date='${ref_date}' AND nome_perimetro='Individual Corporativo' AND segmento='ESTR' AND ambito='PILAR3')X INNER JOIN (SELECT instrmnt_id AS instrmnt_id_SIMUL, TYP_INSTRMNT AS TYP_INSTRMNT_SIMUL FROM BU_LOANTAPE_WORK.LT002_INSTRUMENT_P3_NOV24)Y ON X.INSTRMNT_ID=Y.INSTRMNT_ID_SIMUL</v>
      </c>
      <c r="M23" s="43" t="str">
        <f t="shared" si="0"/>
        <v>UNION ALL SELECT 'INSTRUMENT' AS TABELA, 'COERÊNCIA' AS TIPOLOGIA_TESTE,'BU_LOANTAPE_WORK.LT002_INSTRUMENT' AS TABELA_LT,'BU_LOANTAPE_WORK.LT002_INSTRUMENT_P3_NOV24' AS TABELA_SIMUL,'TYP_INSTRMNT' AS CAMPO, '${ref_date}' AS REF_DATE, COUNT(*) AS NUM_REG, SUM(IF(COALESCE(CAST(X.TYP_INSTRMNT AS STRING),'')&lt;&gt;COALESCE(CAST(Y.TYP_INSTRMNT_SIMUL AS STRING),''),1,0)) AS NUM_REG_DIF,'1' AS ID_EXEC, CURRENT_TIMESTAMP() AS TIME_EXEC FROM (SELECT instrmnt_id, TYP_INSTRMNT FROM BU_LOANTAPE_WORK.LT002_INSTRUMENT WHERE ref_date='${ref_date}' AND nome_perimetro='Individual Corporativo' AND segmento='ESTR' AND ambito='PILAR3')X INNER JOIN (SELECT instrmnt_id AS instrmnt_id_SIMUL, TYP_INSTRMNT AS TYP_INSTRMNT_SIMUL FROM BU_LOANTAPE_WORK.LT002_INSTRUMENT_P3_NOV24)Y ON X.INSTRMNT_ID=Y.INSTRMNT_ID_SIMUL</v>
      </c>
      <c r="N23" s="45" t="s">
        <v>13</v>
      </c>
    </row>
    <row r="24" spans="2:14">
      <c r="B24" s="41" t="s">
        <v>27</v>
      </c>
      <c r="C24" s="41" t="s">
        <v>74</v>
      </c>
      <c r="D24" s="41" t="str">
        <f>+UPPER('0. Instruções'!$D$33&amp;"."&amp;VLOOKUP(B24,'0. Instruções'!$C$27:$D$31,2,FALSE))</f>
        <v>BU_LOANTAPE_WORK.LT002_INSTRUMENT</v>
      </c>
      <c r="E24" s="41" t="str">
        <f>+UPPER('0. Instruções'!$D$34&amp;"."&amp;VLOOKUP(B24,'0. Instruções'!$C$27:$E$31,3,FALSE))</f>
        <v>BU_LOANTAPE_WORK.LT002_INSTRUMENT_P3_NOV24</v>
      </c>
      <c r="F24" s="41" t="s">
        <v>164</v>
      </c>
      <c r="G24" s="41" t="s">
        <v>13</v>
      </c>
      <c r="H24" s="41"/>
      <c r="I24" s="41" t="str">
        <f>"(SELECT "&amp;VLOOKUP(B24,'0. Instruções'!$C$27:$G$31,4,FALSE)&amp;", "&amp;F24&amp;" FROM "&amp;D24&amp;" WHERE "&amp;'0. Instruções'!$D$40&amp;")X"</f>
        <v>(SELECT instrmnt_id, GRSS_CRRYNG_AMNT_INSTRMNT FROM BU_LOANTAPE_WORK.LT002_INSTRUMENT WHERE ref_date='${ref_date}' AND nome_perimetro='Individual Corporativo' AND segmento='ESTR' AND ambito='PILAR3')X</v>
      </c>
      <c r="J24" s="41" t="str">
        <f>"(SELECT "&amp;VLOOKUP(B24,'0. Instruções'!$C$27:$G$31,4,FALSE)&amp;" AS "&amp;VLOOKUP(B24,'0. Instruções'!$C$27:$G$31,4,FALSE)&amp;"_SIMUL, "&amp;F24&amp;" AS "&amp;F24&amp;"_SIMUL FROM "&amp;E24&amp;")Y"</f>
        <v>(SELECT instrmnt_id AS instrmnt_id_SIMUL, GRSS_CRRYNG_AMNT_INSTRMNT AS GRSS_CRRYNG_AMNT_INSTRMNT_SIMUL FROM BU_LOANTAPE_WORK.LT002_INSTRUMENT_P3_NOV24)Y</v>
      </c>
      <c r="K24" s="42" t="str">
        <f>+UPPER("ON X."&amp;VLOOKUP(B24,'0. Instruções'!$C$27:$G$31,4,FALSE)&amp;"=Y."&amp;VLOOKUP(B24,'0. Instruções'!$C$27:$G$31,4,FALSE)&amp;"_SIMUL")</f>
        <v>ON X.INSTRMNT_ID=Y.INSTRMNT_ID_SIMUL</v>
      </c>
      <c r="L24" s="42" t="str">
        <f>+IF(C24="Coerência", +IF(LEFT(G24,5)="FLOAT","SELECT '"&amp;UPPER(B24)&amp;"' AS TABELA, '"&amp;UPPER(C24)&amp;"' AS TIPOLOGIA_TESTE,'"&amp;D24&amp;"' AS TABELA_LT,'"&amp;E24&amp;"' AS TABELA_SIMUL,'"&amp;F24&amp;"' AS CAMPO, "&amp;"'${ref_date}' AS REF_DATE, COUNT(*) AS NUM_REG, SUM(IF((ABS(COALESCE(X."&amp;F24&amp;",0)-COALESCE(Y."&amp;F24&amp;"_SIMUL,0))&gt;0.0000000001) OR (X."&amp;F24&amp;" IS NULL AND Y."&amp;F24&amp;"_SIMUL IS NOT NULL ) OR (X."&amp;F24&amp;" IS NOT NULL AND Y."&amp;F24&amp;"_SIMUL IS NULL),1,0)) AS NUM_REG_DIF,'"&amp;MAX('ID1&amp;5'!K:K)+1&amp;"' AS ID_EXEC, CURRENT_TIMESTAMP() AS TIME_EXEC FROM "&amp;I24&amp;" INNER JOIN "&amp;J24&amp;" "&amp;K24,"SELECT '"&amp;UPPER(B24)&amp;"' AS TABELA, '"&amp;UPPER(C24)&amp;"' AS TIPOLOGIA_TESTE,'"&amp;D24&amp;"' AS TABELA_LT,'"&amp;E24&amp;"' AS TABELA_SIMUL,'"&amp;F24&amp;"' AS CAMPO, "&amp;"'${ref_date}' AS REF_DATE, COUNT(*) AS NUM_REG, SUM(IF(COALESCE(CAST(X."&amp;F24&amp;" AS STRING),'')&lt;&gt;COALESCE(CAST(Y."&amp;F24&amp;"_SIMUL AS STRING),''),1,0)) AS NUM_REG_DIF,'"&amp;MAX('ID1&amp;5'!L:L)+1&amp;"' AS ID_EXEC, CURRENT_TIMESTAMP() AS TIME_EXEC FROM "&amp;I24&amp;" INNER JOIN "&amp;J24&amp;" "&amp;K24),
IF(C24="Validade",+IF(G24="Code List","SELECT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 OR CAST(X."&amp;F24&amp;" AS STRING) NOT "&amp;H24&amp;",1,0)) AS NUM_REG_DIF,'"&amp;MAX('ID1&amp;5'!K:K)+1&amp;"' AS ID_EXEC, CURRENT_TIMESTAMP() AS TIME_EXEC FROM "&amp;I24,"SELECT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NULL,1,0)) AS NUM_REG_DIF,'"&amp;MAX('ID1&amp;5'!K:K)+1&amp;"' AS ID_EXEC, CURRENT_TIMESTAMP() AS TIME_EXEC FROM "&amp;I24),
IF(C24="Caracteres Especiais",+"SELECT '"&amp;UPPER(B24)&amp;"' AS TABELA, '"&amp;UPPER(C24)&amp;"' AS TIPOLOGIA_TESTE,'"&amp;D24&amp;"' AS TABELA_LT,'N/A' AS TABELA_SIMUL,'"&amp;F24&amp;"' AS CAMPO, "&amp;"'${ref_date}' AS REF_DATE, COUNT(*) AS NUM_REG, SUM(IF(INSTR(CAST(X."&amp;F24&amp;" AS STRING),'#')&gt;0 OR INSTR(CAST(X."&amp;F24&amp;" AS STRING),'*')&gt;0 OR INSTR(CAST(X."&amp;F24&amp;" AS STRING),'`')&gt;0 OR INSTR(CAST(X."&amp;F24&amp;" AS STRING),'´')&gt;0 OR INSTR(CAST(X."&amp;F24&amp;" AS STRING),'{')&gt;0 OR INSTR(CAST(X."&amp;F24&amp;" AS STRING),'}')&gt;0 OR INSTR(CAST(X."&amp;F24&amp;" AS STRING),'[')&gt;0 OR INSTR(CAST(X."&amp;F24&amp;" AS STRING),'')&gt;0 OR INSTR(CAST(X."&amp;F24&amp;" AS STRING),']')&gt;0 OR INSTR(CAST(X."&amp;F24&amp;" AS STRING),'?')&gt;0 OR INSTR(CAST(X."&amp;F24&amp;" AS STRING),'!')&gt;0 OR INSTR(CAST(X."&amp;F24&amp;" AS STRING),'$')&gt;0 OR INSTR(CAST(X."&amp;F24&amp;" AS STRING),'%')&gt;0 OR INSTR(CAST(X."&amp;F24&amp;" AS STRING),'&amp;')&gt;0 OR INSTR(CAST(X."&amp;F24&amp;" AS STRING),'+')&gt;0,1,0)) AS NUM_REG_DIF,'"&amp;MAX('ID1&amp;5'!K:K)+1&amp;"' AS ID_EXEC, CURRENT_TIMESTAMP() AS TIME_EXEC FROM "&amp;I24,
IF(C24="Missings",+"SELECT '"&amp;UPPER(B24)&amp;"' AS TABELA, '"&amp;UPPER(C24)&amp;"' AS TIPOLOGIA_TESTE,'"&amp;D24&amp;"' AS TABELA_LT,'N/A' AS TABELA_SIMUL,'"&amp;F24&amp;"' AS CAMPO, "&amp;"'${ref_date}' AS REF_DATE, COUNT(*) AS NUM_REG, SUM(IF(TRIM(CAST(X."&amp;F24&amp;" AS STRING)) IN ('0000-00-00','0001-01-01','9999-12-31','MISS','00000','99999999999','99999999999.00','99999999999.000000'),1,0)) AS NUM_REG_DIF,'"&amp;MAX('ID1&amp;5'!K:K)+1&amp;"' AS ID_EXEC, CURRENT_TIMESTAMP() AS TIME_EXEC FROM "&amp;I24,
IF(C24="Not applicable",+"SELECT '"&amp;UPPER(B24)&amp;"' AS TABELA, '"&amp;UPPER(C24)&amp;"' AS TIPOLOGIA_TESTE,'"&amp;D24&amp;"' AS TABELA_LT,'N/A' AS TABELA_SIMUL,'"&amp;F24&amp;"' AS CAMPO, "&amp;"'${ref_date}' AS REF_DATE, COUNT(*) AS NUM_REG, SUM(IF(TRIM(CAST(X."&amp;F24&amp;" AS STRING)) IN ('N/A','11111111111','11111111111.00','11111111111.000000','1111-11-11'),1,0)) AS NUM_REG_DIF,'"&amp;MAX('ID1&amp;5'!K:K)+1&amp;"' AS ID_EXEC, CURRENT_TIMESTAMP() AS TIME_EXEC FROM "&amp;I24,
IF(C24="Valores extremos",+"SELECT '"&amp;UPPER(B24)&amp;"' AS TABELA, '"&amp;UPPER(C24)&amp;"' AS TIPOLOGIA_TESTE,'"&amp;D24&amp;"' AS TABELA_LT,'N/A' AS TABELA_SIMUL,'"&amp;F24&amp;"' AS CAMPO, "&amp;"'${ref_date}' AS REF_DATE, CAST(MIN("&amp;F24&amp;") AS STRING) AS VALOR_MIN, CAST(MAX("&amp;F24&amp;") AS STRING) AS VALOR_MAX,'"&amp;MAX('ID1&amp;5'!K:K)+1&amp;"' AS ID_EXEC, CURRENT_TIMESTAMP() AS TIME_EXEC FROM "&amp;MID(I24,1,LEN(I24)-2)&amp;" AND CAST("&amp;F24&amp;"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TABELA_SIMUL,'GRSS_CRRYNG_AMNT_INSTRMNT' AS CAMPO, '${ref_date}' AS REF_DATE, COUNT(*) AS NUM_REG, SUM(IF(COALESCE(CAST(X.GRSS_CRRYNG_AMNT_INSTRMNT AS STRING),'')&lt;&gt;COALESCE(CAST(Y.GRSS_CRRYNG_AMNT_INSTRMNT_SIMUL AS STRING),''),1,0)) AS NUM_REG_DIF,'1' AS ID_EXEC, CURRENT_TIMESTAMP() AS TIME_EXEC FROM (SELECT instrmnt_id, GRSS_CRRYNG_AMNT_INSTRMNT FROM BU_LOANTAPE_WORK.LT002_INSTRUMENT WHERE ref_date='${ref_date}' AND nome_perimetro='Individual Corporativo' AND segmento='ESTR' AND ambito='PILAR3')X INNER JOIN (SELECT instrmnt_id AS instrmnt_id_SIMUL, GRSS_CRRYNG_AMNT_INSTRMNT AS GRSS_CRRYNG_AMNT_INSTRMNT_SIMUL FROM BU_LOANTAPE_WORK.LT002_INSTRUMENT_P3_NOV24)Y ON X.INSTRMNT_ID=Y.INSTRMNT_ID_SIMUL</v>
      </c>
      <c r="M24" s="43" t="str">
        <f t="shared" si="0"/>
        <v>UNION ALL SELECT 'INSTRUMENT' AS TABELA, 'COERÊNCIA' AS TIPOLOGIA_TESTE,'BU_LOANTAPE_WORK.LT002_INSTRUMENT' AS TABELA_LT,'BU_LOANTAPE_WORK.LT002_INSTRUMENT_P3_NOV24' AS TABELA_SIMUL,'GRSS_CRRYNG_AMNT_INSTRMNT' AS CAMPO, '${ref_date}' AS REF_DATE, COUNT(*) AS NUM_REG, SUM(IF(COALESCE(CAST(X.GRSS_CRRYNG_AMNT_INSTRMNT AS STRING),'')&lt;&gt;COALESCE(CAST(Y.GRSS_CRRYNG_AMNT_INSTRMNT_SIMUL AS STRING),''),1,0)) AS NUM_REG_DIF,'1' AS ID_EXEC, CURRENT_TIMESTAMP() AS TIME_EXEC FROM (SELECT instrmnt_id, GRSS_CRRYNG_AMNT_INSTRMNT FROM BU_LOANTAPE_WORK.LT002_INSTRUMENT WHERE ref_date='${ref_date}' AND nome_perimetro='Individual Corporativo' AND segmento='ESTR' AND ambito='PILAR3')X INNER JOIN (SELECT instrmnt_id AS instrmnt_id_SIMUL, GRSS_CRRYNG_AMNT_INSTRMNT AS GRSS_CRRYNG_AMNT_INSTRMNT_SIMUL FROM BU_LOANTAPE_WORK.LT002_INSTRUMENT_P3_NOV24)Y ON X.INSTRMNT_ID=Y.INSTRMNT_ID_SIMUL</v>
      </c>
      <c r="N24" s="45" t="s">
        <v>13</v>
      </c>
    </row>
    <row r="25" spans="2:14">
      <c r="B25" s="41" t="s">
        <v>27</v>
      </c>
      <c r="C25" s="41" t="s">
        <v>74</v>
      </c>
      <c r="D25" s="41" t="str">
        <f>+UPPER('0. Instruções'!$D$33&amp;"."&amp;VLOOKUP(B25,'0. Instruções'!$C$27:$D$31,2,FALSE))</f>
        <v>BU_LOANTAPE_WORK.LT002_INSTRUMENT</v>
      </c>
      <c r="E25" s="41" t="str">
        <f>+UPPER('0. Instruções'!$D$34&amp;"."&amp;VLOOKUP(B25,'0. Instruções'!$C$27:$E$31,3,FALSE))</f>
        <v>BU_LOANTAPE_WORK.LT002_INSTRUMENT_P3_NOV24</v>
      </c>
      <c r="F25" s="41" t="s">
        <v>165</v>
      </c>
      <c r="G25" s="41" t="s">
        <v>13</v>
      </c>
      <c r="H25" s="41"/>
      <c r="I25" s="41" t="str">
        <f>"(SELECT "&amp;VLOOKUP(B25,'0. Instruções'!$C$27:$G$31,4,FALSE)&amp;", "&amp;F25&amp;" FROM "&amp;D25&amp;" WHERE "&amp;'0. Instruções'!$D$40&amp;")X"</f>
        <v>(SELECT instrmnt_id, ACCMLTD_CHNGS_FV_CR_INSTRMNT FROM BU_LOANTAPE_WORK.LT002_INSTRUMENT WHERE ref_date='${ref_date}' AND nome_perimetro='Individual Corporativo' AND segmento='ESTR' AND ambito='PILAR3')X</v>
      </c>
      <c r="J25" s="41" t="str">
        <f>"(SELECT "&amp;VLOOKUP(B25,'0. Instruções'!$C$27:$G$31,4,FALSE)&amp;" AS "&amp;VLOOKUP(B25,'0. Instruções'!$C$27:$G$31,4,FALSE)&amp;"_SIMUL, "&amp;F25&amp;" AS "&amp;F25&amp;"_SIMUL FROM "&amp;E25&amp;")Y"</f>
        <v>(SELECT instrmnt_id AS instrmnt_id_SIMUL, ACCMLTD_CHNGS_FV_CR_INSTRMNT AS ACCMLTD_CHNGS_FV_CR_INSTRMNT_SIMUL FROM BU_LOANTAPE_WORK.LT002_INSTRUMENT_P3_NOV24)Y</v>
      </c>
      <c r="K25" s="42" t="str">
        <f>+UPPER("ON X."&amp;VLOOKUP(B25,'0. Instruções'!$C$27:$G$31,4,FALSE)&amp;"=Y."&amp;VLOOKUP(B25,'0. Instruções'!$C$27:$G$31,4,FALSE)&amp;"_SIMUL")</f>
        <v>ON X.INSTRMNT_ID=Y.INSTRMNT_ID_SIMUL</v>
      </c>
      <c r="L25" s="42" t="str">
        <f>+IF(C25="Coerência", +IF(LEFT(G25,5)="FLOAT","SELECT '"&amp;UPPER(B25)&amp;"' AS TABELA, '"&amp;UPPER(C25)&amp;"' AS TIPOLOGIA_TESTE,'"&amp;D25&amp;"' AS TABELA_LT,'"&amp;E25&amp;"' AS TABELA_SIMUL,'"&amp;F25&amp;"' AS CAMPO, "&amp;"'${ref_date}' AS REF_DATE, COUNT(*) AS NUM_REG, SUM(IF((ABS(COALESCE(X."&amp;F25&amp;",0)-COALESCE(Y."&amp;F25&amp;"_SIMUL,0))&gt;0.0000000001) OR (X."&amp;F25&amp;" IS NULL AND Y."&amp;F25&amp;"_SIMUL IS NOT NULL ) OR (X."&amp;F25&amp;" IS NOT NULL AND Y."&amp;F25&amp;"_SIMUL IS NULL),1,0)) AS NUM_REG_DIF,'"&amp;MAX('ID1&amp;5'!K:K)+1&amp;"' AS ID_EXEC, CURRENT_TIMESTAMP() AS TIME_EXEC FROM "&amp;I25&amp;" INNER JOIN "&amp;J25&amp;" "&amp;K25,"SELECT '"&amp;UPPER(B25)&amp;"' AS TABELA, '"&amp;UPPER(C25)&amp;"' AS TIPOLOGIA_TESTE,'"&amp;D25&amp;"' AS TABELA_LT,'"&amp;E25&amp;"' AS TABELA_SIMUL,'"&amp;F25&amp;"' AS CAMPO, "&amp;"'${ref_date}' AS REF_DATE, COUNT(*) AS NUM_REG, SUM(IF(COALESCE(CAST(X."&amp;F25&amp;" AS STRING),'')&lt;&gt;COALESCE(CAST(Y."&amp;F25&amp;"_SIMUL AS STRING),''),1,0)) AS NUM_REG_DIF,'"&amp;MAX('ID1&amp;5'!L:L)+1&amp;"' AS ID_EXEC, CURRENT_TIMESTAMP() AS TIME_EXEC FROM "&amp;I25&amp;" INNER JOIN "&amp;J25&amp;" "&amp;K25),
IF(C25="Validade",+IF(G25="Code List","SELECT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 OR CAST(X."&amp;F25&amp;" AS STRING) NOT "&amp;H25&amp;",1,0)) AS NUM_REG_DIF,'"&amp;MAX('ID1&amp;5'!K:K)+1&amp;"' AS ID_EXEC, CURRENT_TIMESTAMP() AS TIME_EXEC FROM "&amp;I25,"SELECT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NULL,1,0)) AS NUM_REG_DIF,'"&amp;MAX('ID1&amp;5'!K:K)+1&amp;"' AS ID_EXEC, CURRENT_TIMESTAMP() AS TIME_EXEC FROM "&amp;I25),
IF(C25="Caracteres Especiais",+"SELECT '"&amp;UPPER(B25)&amp;"' AS TABELA, '"&amp;UPPER(C25)&amp;"' AS TIPOLOGIA_TESTE,'"&amp;D25&amp;"' AS TABELA_LT,'N/A' AS TABELA_SIMUL,'"&amp;F25&amp;"' AS CAMPO, "&amp;"'${ref_date}' AS REF_DATE, COUNT(*) AS NUM_REG, SUM(IF(INSTR(CAST(X."&amp;F25&amp;" AS STRING),'#')&gt;0 OR INSTR(CAST(X."&amp;F25&amp;" AS STRING),'*')&gt;0 OR INSTR(CAST(X."&amp;F25&amp;" AS STRING),'`')&gt;0 OR INSTR(CAST(X."&amp;F25&amp;" AS STRING),'´')&gt;0 OR INSTR(CAST(X."&amp;F25&amp;" AS STRING),'{')&gt;0 OR INSTR(CAST(X."&amp;F25&amp;" AS STRING),'}')&gt;0 OR INSTR(CAST(X."&amp;F25&amp;" AS STRING),'[')&gt;0 OR INSTR(CAST(X."&amp;F25&amp;" AS STRING),'')&gt;0 OR INSTR(CAST(X."&amp;F25&amp;" AS STRING),']')&gt;0 OR INSTR(CAST(X."&amp;F25&amp;" AS STRING),'?')&gt;0 OR INSTR(CAST(X."&amp;F25&amp;" AS STRING),'!')&gt;0 OR INSTR(CAST(X."&amp;F25&amp;" AS STRING),'$')&gt;0 OR INSTR(CAST(X."&amp;F25&amp;" AS STRING),'%')&gt;0 OR INSTR(CAST(X."&amp;F25&amp;" AS STRING),'&amp;')&gt;0 OR INSTR(CAST(X."&amp;F25&amp;" AS STRING),'+')&gt;0,1,0)) AS NUM_REG_DIF,'"&amp;MAX('ID1&amp;5'!K:K)+1&amp;"' AS ID_EXEC, CURRENT_TIMESTAMP() AS TIME_EXEC FROM "&amp;I25,
IF(C25="Missings",+"SELECT '"&amp;UPPER(B25)&amp;"' AS TABELA, '"&amp;UPPER(C25)&amp;"' AS TIPOLOGIA_TESTE,'"&amp;D25&amp;"' AS TABELA_LT,'N/A' AS TABELA_SIMUL,'"&amp;F25&amp;"' AS CAMPO, "&amp;"'${ref_date}' AS REF_DATE, COUNT(*) AS NUM_REG, SUM(IF(TRIM(CAST(X."&amp;F25&amp;" AS STRING)) IN ('0000-00-00','0001-01-01','9999-12-31','MISS','00000','99999999999','99999999999.00','99999999999.000000'),1,0)) AS NUM_REG_DIF,'"&amp;MAX('ID1&amp;5'!K:K)+1&amp;"' AS ID_EXEC, CURRENT_TIMESTAMP() AS TIME_EXEC FROM "&amp;I25,
IF(C25="Not applicable",+"SELECT '"&amp;UPPER(B25)&amp;"' AS TABELA, '"&amp;UPPER(C25)&amp;"' AS TIPOLOGIA_TESTE,'"&amp;D25&amp;"' AS TABELA_LT,'N/A' AS TABELA_SIMUL,'"&amp;F25&amp;"' AS CAMPO, "&amp;"'${ref_date}' AS REF_DATE, COUNT(*) AS NUM_REG, SUM(IF(TRIM(CAST(X."&amp;F25&amp;" AS STRING)) IN ('N/A','11111111111','11111111111.00','11111111111.000000','1111-11-11'),1,0)) AS NUM_REG_DIF,'"&amp;MAX('ID1&amp;5'!K:K)+1&amp;"' AS ID_EXEC, CURRENT_TIMESTAMP() AS TIME_EXEC FROM "&amp;I25,
IF(C25="Valores extremos",+"SELECT '"&amp;UPPER(B25)&amp;"' AS TABELA, '"&amp;UPPER(C25)&amp;"' AS TIPOLOGIA_TESTE,'"&amp;D25&amp;"' AS TABELA_LT,'N/A' AS TABELA_SIMUL,'"&amp;F25&amp;"' AS CAMPO, "&amp;"'${ref_date}' AS REF_DATE, CAST(MIN("&amp;F25&amp;") AS STRING) AS VALOR_MIN, CAST(MAX("&amp;F25&amp;") AS STRING) AS VALOR_MAX,'"&amp;MAX('ID1&amp;5'!K:K)+1&amp;"' AS ID_EXEC, CURRENT_TIMESTAMP() AS TIME_EXEC FROM "&amp;MID(I25,1,LEN(I25)-2)&amp;" AND CAST("&amp;F25&amp;"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TABELA_SIMUL,'ACCMLTD_CHNGS_FV_CR_INSTRMNT' AS CAMPO, '${ref_date}' AS REF_DATE, COUNT(*) AS NUM_REG, SUM(IF(COALESCE(CAST(X.ACCMLTD_CHNGS_FV_CR_INSTRMNT AS STRING),'')&lt;&gt;COALESCE(CAST(Y.ACCMLTD_CHNGS_FV_CR_INSTRMNT_SIMUL AS STRING),''),1,0)) AS NUM_REG_DIF,'1' AS ID_EXEC, CURRENT_TIMESTAMP() AS TIME_EXEC FROM (SELECT instrmnt_id, ACCMLTD_CHNGS_FV_CR_INSTRMNT FROM BU_LOANTAPE_WORK.LT002_INSTRUMENT WHERE ref_date='${ref_date}' AND nome_perimetro='Individual Corporativo' AND segmento='ESTR' AND ambito='PILAR3')X INNER JOIN (SELECT instrmnt_id AS instrmnt_id_SIMUL, ACCMLTD_CHNGS_FV_CR_INSTRMNT AS ACCMLTD_CHNGS_FV_CR_INSTRMNT_SIMUL FROM BU_LOANTAPE_WORK.LT002_INSTRUMENT_P3_NOV24)Y ON X.INSTRMNT_ID=Y.INSTRMNT_ID_SIMUL</v>
      </c>
      <c r="M25" s="43" t="str">
        <f t="shared" si="0"/>
        <v>UNION ALL SELECT 'INSTRUMENT' AS TABELA, 'COERÊNCIA' AS TIPOLOGIA_TESTE,'BU_LOANTAPE_WORK.LT002_INSTRUMENT' AS TABELA_LT,'BU_LOANTAPE_WORK.LT002_INSTRUMENT_P3_NOV24' AS TABELA_SIMUL,'ACCMLTD_CHNGS_FV_CR_INSTRMNT' AS CAMPO, '${ref_date}' AS REF_DATE, COUNT(*) AS NUM_REG, SUM(IF(COALESCE(CAST(X.ACCMLTD_CHNGS_FV_CR_INSTRMNT AS STRING),'')&lt;&gt;COALESCE(CAST(Y.ACCMLTD_CHNGS_FV_CR_INSTRMNT_SIMUL AS STRING),''),1,0)) AS NUM_REG_DIF,'1' AS ID_EXEC, CURRENT_TIMESTAMP() AS TIME_EXEC FROM (SELECT instrmnt_id, ACCMLTD_CHNGS_FV_CR_INSTRMNT FROM BU_LOANTAPE_WORK.LT002_INSTRUMENT WHERE ref_date='${ref_date}' AND nome_perimetro='Individual Corporativo' AND segmento='ESTR' AND ambito='PILAR3')X INNER JOIN (SELECT instrmnt_id AS instrmnt_id_SIMUL, ACCMLTD_CHNGS_FV_CR_INSTRMNT AS ACCMLTD_CHNGS_FV_CR_INSTRMNT_SIMUL FROM BU_LOANTAPE_WORK.LT002_INSTRUMENT_P3_NOV24)Y ON X.INSTRMNT_ID=Y.INSTRMNT_ID_SIMUL</v>
      </c>
      <c r="N25" s="45" t="s">
        <v>13</v>
      </c>
    </row>
    <row r="26" spans="2:14">
      <c r="B26" s="41" t="s">
        <v>27</v>
      </c>
      <c r="C26" s="41" t="s">
        <v>74</v>
      </c>
      <c r="D26" s="41" t="str">
        <f>+UPPER('0. Instruções'!$D$33&amp;"."&amp;VLOOKUP(B26,'0. Instruções'!$C$27:$D$31,2,FALSE))</f>
        <v>BU_LOANTAPE_WORK.LT002_INSTRUMENT</v>
      </c>
      <c r="E26" s="41" t="str">
        <f>+UPPER('0. Instruções'!$D$34&amp;"."&amp;VLOOKUP(B26,'0. Instruções'!$C$27:$E$31,3,FALSE))</f>
        <v>BU_LOANTAPE_WORK.LT002_INSTRUMENT_P3_NOV24</v>
      </c>
      <c r="F26" s="41" t="s">
        <v>166</v>
      </c>
      <c r="G26" s="41" t="s">
        <v>13</v>
      </c>
      <c r="H26" s="41"/>
      <c r="I26" s="41" t="str">
        <f>"(SELECT "&amp;VLOOKUP(B26,'0. Instruções'!$C$27:$G$31,4,FALSE)&amp;", "&amp;F26&amp;" FROM "&amp;D26&amp;" WHERE "&amp;'0. Instruções'!$D$40&amp;")X"</f>
        <v>(SELECT instrmnt_id, ACCNTNG_CLSSFCTN FROM BU_LOANTAPE_WORK.LT002_INSTRUMENT WHERE ref_date='${ref_date}' AND nome_perimetro='Individual Corporativo' AND segmento='ESTR' AND ambito='PILAR3')X</v>
      </c>
      <c r="J26" s="41" t="str">
        <f>"(SELECT "&amp;VLOOKUP(B26,'0. Instruções'!$C$27:$G$31,4,FALSE)&amp;" AS "&amp;VLOOKUP(B26,'0. Instruções'!$C$27:$G$31,4,FALSE)&amp;"_SIMUL, "&amp;F26&amp;" AS "&amp;F26&amp;"_SIMUL FROM "&amp;E26&amp;")Y"</f>
        <v>(SELECT instrmnt_id AS instrmnt_id_SIMUL, ACCNTNG_CLSSFCTN AS ACCNTNG_CLSSFCTN_SIMUL FROM BU_LOANTAPE_WORK.LT002_INSTRUMENT_P3_NOV24)Y</v>
      </c>
      <c r="K26" s="42" t="str">
        <f>+UPPER("ON X."&amp;VLOOKUP(B26,'0. Instruções'!$C$27:$G$31,4,FALSE)&amp;"=Y."&amp;VLOOKUP(B26,'0. Instruções'!$C$27:$G$31,4,FALSE)&amp;"_SIMUL")</f>
        <v>ON X.INSTRMNT_ID=Y.INSTRMNT_ID_SIMUL</v>
      </c>
      <c r="L26" s="42" t="str">
        <f>+IF(C26="Coerência", +IF(LEFT(G26,5)="FLOAT","SELECT '"&amp;UPPER(B26)&amp;"' AS TABELA, '"&amp;UPPER(C26)&amp;"' AS TIPOLOGIA_TESTE,'"&amp;D26&amp;"' AS TABELA_LT,'"&amp;E26&amp;"' AS TABELA_SIMUL,'"&amp;F26&amp;"' AS CAMPO, "&amp;"'${ref_date}' AS REF_DATE, COUNT(*) AS NUM_REG, SUM(IF((ABS(COALESCE(X."&amp;F26&amp;",0)-COALESCE(Y."&amp;F26&amp;"_SIMUL,0))&gt;0.0000000001) OR (X."&amp;F26&amp;" IS NULL AND Y."&amp;F26&amp;"_SIMUL IS NOT NULL ) OR (X."&amp;F26&amp;" IS NOT NULL AND Y."&amp;F26&amp;"_SIMUL IS NULL),1,0)) AS NUM_REG_DIF,'"&amp;MAX('ID1&amp;5'!K:K)+1&amp;"' AS ID_EXEC, CURRENT_TIMESTAMP() AS TIME_EXEC FROM "&amp;I26&amp;" INNER JOIN "&amp;J26&amp;" "&amp;K26,"SELECT '"&amp;UPPER(B26)&amp;"' AS TABELA, '"&amp;UPPER(C26)&amp;"' AS TIPOLOGIA_TESTE,'"&amp;D26&amp;"' AS TABELA_LT,'"&amp;E26&amp;"' AS TABELA_SIMUL,'"&amp;F26&amp;"' AS CAMPO, "&amp;"'${ref_date}' AS REF_DATE, COUNT(*) AS NUM_REG, SUM(IF(COALESCE(CAST(X."&amp;F26&amp;" AS STRING),'')&lt;&gt;COALESCE(CAST(Y."&amp;F26&amp;"_SIMUL AS STRING),''),1,0)) AS NUM_REG_DIF,'"&amp;MAX('ID1&amp;5'!L:L)+1&amp;"' AS ID_EXEC, CURRENT_TIMESTAMP() AS TIME_EXEC FROM "&amp;I26&amp;" INNER JOIN "&amp;J26&amp;" "&amp;K26),
IF(C26="Validade",+IF(G26="Code List","SELECT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 OR CAST(X."&amp;F26&amp;" AS STRING) NOT "&amp;H26&amp;",1,0)) AS NUM_REG_DIF,'"&amp;MAX('ID1&amp;5'!K:K)+1&amp;"' AS ID_EXEC, CURRENT_TIMESTAMP() AS TIME_EXEC FROM "&amp;I26,"SELECT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NULL,1,0)) AS NUM_REG_DIF,'"&amp;MAX('ID1&amp;5'!K:K)+1&amp;"' AS ID_EXEC, CURRENT_TIMESTAMP() AS TIME_EXEC FROM "&amp;I26),
IF(C26="Caracteres Especiais",+"SELECT '"&amp;UPPER(B26)&amp;"' AS TABELA, '"&amp;UPPER(C26)&amp;"' AS TIPOLOGIA_TESTE,'"&amp;D26&amp;"' AS TABELA_LT,'N/A' AS TABELA_SIMUL,'"&amp;F26&amp;"' AS CAMPO, "&amp;"'${ref_date}' AS REF_DATE, COUNT(*) AS NUM_REG, SUM(IF(INSTR(CAST(X."&amp;F26&amp;" AS STRING),'#')&gt;0 OR INSTR(CAST(X."&amp;F26&amp;" AS STRING),'*')&gt;0 OR INSTR(CAST(X."&amp;F26&amp;" AS STRING),'`')&gt;0 OR INSTR(CAST(X."&amp;F26&amp;" AS STRING),'´')&gt;0 OR INSTR(CAST(X."&amp;F26&amp;" AS STRING),'{')&gt;0 OR INSTR(CAST(X."&amp;F26&amp;" AS STRING),'}')&gt;0 OR INSTR(CAST(X."&amp;F26&amp;" AS STRING),'[')&gt;0 OR INSTR(CAST(X."&amp;F26&amp;" AS STRING),'')&gt;0 OR INSTR(CAST(X."&amp;F26&amp;" AS STRING),']')&gt;0 OR INSTR(CAST(X."&amp;F26&amp;" AS STRING),'?')&gt;0 OR INSTR(CAST(X."&amp;F26&amp;" AS STRING),'!')&gt;0 OR INSTR(CAST(X."&amp;F26&amp;" AS STRING),'$')&gt;0 OR INSTR(CAST(X."&amp;F26&amp;" AS STRING),'%')&gt;0 OR INSTR(CAST(X."&amp;F26&amp;" AS STRING),'&amp;')&gt;0 OR INSTR(CAST(X."&amp;F26&amp;" AS STRING),'+')&gt;0,1,0)) AS NUM_REG_DIF,'"&amp;MAX('ID1&amp;5'!K:K)+1&amp;"' AS ID_EXEC, CURRENT_TIMESTAMP() AS TIME_EXEC FROM "&amp;I26,
IF(C26="Missings",+"SELECT '"&amp;UPPER(B26)&amp;"' AS TABELA, '"&amp;UPPER(C26)&amp;"' AS TIPOLOGIA_TESTE,'"&amp;D26&amp;"' AS TABELA_LT,'N/A' AS TABELA_SIMUL,'"&amp;F26&amp;"' AS CAMPO, "&amp;"'${ref_date}' AS REF_DATE, COUNT(*) AS NUM_REG, SUM(IF(TRIM(CAST(X."&amp;F26&amp;" AS STRING)) IN ('0000-00-00','0001-01-01','9999-12-31','MISS','00000','99999999999','99999999999.00','99999999999.000000'),1,0)) AS NUM_REG_DIF,'"&amp;MAX('ID1&amp;5'!K:K)+1&amp;"' AS ID_EXEC, CURRENT_TIMESTAMP() AS TIME_EXEC FROM "&amp;I26,
IF(C26="Not applicable",+"SELECT '"&amp;UPPER(B26)&amp;"' AS TABELA, '"&amp;UPPER(C26)&amp;"' AS TIPOLOGIA_TESTE,'"&amp;D26&amp;"' AS TABELA_LT,'N/A' AS TABELA_SIMUL,'"&amp;F26&amp;"' AS CAMPO, "&amp;"'${ref_date}' AS REF_DATE, COUNT(*) AS NUM_REG, SUM(IF(TRIM(CAST(X."&amp;F26&amp;" AS STRING)) IN ('N/A','11111111111','11111111111.00','11111111111.000000','1111-11-11'),1,0)) AS NUM_REG_DIF,'"&amp;MAX('ID1&amp;5'!K:K)+1&amp;"' AS ID_EXEC, CURRENT_TIMESTAMP() AS TIME_EXEC FROM "&amp;I26,
IF(C26="Valores extremos",+"SELECT '"&amp;UPPER(B26)&amp;"' AS TABELA, '"&amp;UPPER(C26)&amp;"' AS TIPOLOGIA_TESTE,'"&amp;D26&amp;"' AS TABELA_LT,'N/A' AS TABELA_SIMUL,'"&amp;F26&amp;"' AS CAMPO, "&amp;"'${ref_date}' AS REF_DATE, CAST(MIN("&amp;F26&amp;") AS STRING) AS VALOR_MIN, CAST(MAX("&amp;F26&amp;") AS STRING) AS VALOR_MAX,'"&amp;MAX('ID1&amp;5'!K:K)+1&amp;"' AS ID_EXEC, CURRENT_TIMESTAMP() AS TIME_EXEC FROM "&amp;MID(I26,1,LEN(I26)-2)&amp;" AND CAST("&amp;F26&amp;"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TABELA_SIMUL,'ACCNTNG_CLSSFCTN' AS CAMPO, '${ref_date}' AS REF_DATE, COUNT(*) AS NUM_REG, SUM(IF(COALESCE(CAST(X.ACCNTNG_CLSSFCTN AS STRING),'')&lt;&gt;COALESCE(CAST(Y.ACCNTNG_CLSSFCTN_SIMUL AS STRING),''),1,0)) AS NUM_REG_DIF,'1' AS ID_EXEC, CURRENT_TIMESTAMP() AS TIME_EXEC FROM (SELECT instrmnt_id, ACCNTNG_CLSSFCTN FROM BU_LOANTAPE_WORK.LT002_INSTRUMENT WHERE ref_date='${ref_date}' AND nome_perimetro='Individual Corporativo' AND segmento='ESTR' AND ambito='PILAR3')X INNER JOIN (SELECT instrmnt_id AS instrmnt_id_SIMUL, ACCNTNG_CLSSFCTN AS ACCNTNG_CLSSFCTN_SIMUL FROM BU_LOANTAPE_WORK.LT002_INSTRUMENT_P3_NOV24)Y ON X.INSTRMNT_ID=Y.INSTRMNT_ID_SIMUL</v>
      </c>
      <c r="M26" s="43" t="str">
        <f t="shared" si="0"/>
        <v>UNION ALL SELECT 'INSTRUMENT' AS TABELA, 'COERÊNCIA' AS TIPOLOGIA_TESTE,'BU_LOANTAPE_WORK.LT002_INSTRUMENT' AS TABELA_LT,'BU_LOANTAPE_WORK.LT002_INSTRUMENT_P3_NOV24' AS TABELA_SIMUL,'ACCNTNG_CLSSFCTN' AS CAMPO, '${ref_date}' AS REF_DATE, COUNT(*) AS NUM_REG, SUM(IF(COALESCE(CAST(X.ACCNTNG_CLSSFCTN AS STRING),'')&lt;&gt;COALESCE(CAST(Y.ACCNTNG_CLSSFCTN_SIMUL AS STRING),''),1,0)) AS NUM_REG_DIF,'1' AS ID_EXEC, CURRENT_TIMESTAMP() AS TIME_EXEC FROM (SELECT instrmnt_id, ACCNTNG_CLSSFCTN FROM BU_LOANTAPE_WORK.LT002_INSTRUMENT WHERE ref_date='${ref_date}' AND nome_perimetro='Individual Corporativo' AND segmento='ESTR' AND ambito='PILAR3')X INNER JOIN (SELECT instrmnt_id AS instrmnt_id_SIMUL, ACCNTNG_CLSSFCTN AS ACCNTNG_CLSSFCTN_SIMUL FROM BU_LOANTAPE_WORK.LT002_INSTRUMENT_P3_NOV24)Y ON X.INSTRMNT_ID=Y.INSTRMNT_ID_SIMUL</v>
      </c>
      <c r="N26" s="45" t="s">
        <v>13</v>
      </c>
    </row>
    <row r="27" spans="2:14">
      <c r="B27" s="41" t="s">
        <v>27</v>
      </c>
      <c r="C27" s="41" t="s">
        <v>74</v>
      </c>
      <c r="D27" s="41" t="str">
        <f>+UPPER('0. Instruções'!$D$33&amp;"."&amp;VLOOKUP(B27,'0. Instruções'!$C$27:$D$31,2,FALSE))</f>
        <v>BU_LOANTAPE_WORK.LT002_INSTRUMENT</v>
      </c>
      <c r="E27" s="41" t="str">
        <f>+UPPER('0. Instruções'!$D$34&amp;"."&amp;VLOOKUP(B27,'0. Instruções'!$C$27:$E$31,3,FALSE))</f>
        <v>BU_LOANTAPE_WORK.LT002_INSTRUMENT_P3_NOV24</v>
      </c>
      <c r="F27" s="41" t="s">
        <v>167</v>
      </c>
      <c r="G27" s="41" t="s">
        <v>13</v>
      </c>
      <c r="H27" s="41"/>
      <c r="I27" s="41" t="str">
        <f>"(SELECT "&amp;VLOOKUP(B27,'0. Instruções'!$C$27:$G$31,4,FALSE)&amp;", "&amp;F27&amp;" FROM "&amp;D27&amp;" WHERE "&amp;'0. Instruções'!$D$40&amp;")X"</f>
        <v>(SELECT instrmnt_id, DT_LGL_FNL_MTRTY FROM BU_LOANTAPE_WORK.LT002_INSTRUMENT WHERE ref_date='${ref_date}' AND nome_perimetro='Individual Corporativo' AND segmento='ESTR' AND ambito='PILAR3')X</v>
      </c>
      <c r="J27" s="41" t="str">
        <f>"(SELECT "&amp;VLOOKUP(B27,'0. Instruções'!$C$27:$G$31,4,FALSE)&amp;" AS "&amp;VLOOKUP(B27,'0. Instruções'!$C$27:$G$31,4,FALSE)&amp;"_SIMUL, "&amp;F27&amp;" AS "&amp;F27&amp;"_SIMUL FROM "&amp;E27&amp;")Y"</f>
        <v>(SELECT instrmnt_id AS instrmnt_id_SIMUL, DT_LGL_FNL_MTRTY AS DT_LGL_FNL_MTRTY_SIMUL FROM BU_LOANTAPE_WORK.LT002_INSTRUMENT_P3_NOV24)Y</v>
      </c>
      <c r="K27" s="42" t="str">
        <f>+UPPER("ON X."&amp;VLOOKUP(B27,'0. Instruções'!$C$27:$G$31,4,FALSE)&amp;"=Y."&amp;VLOOKUP(B27,'0. Instruções'!$C$27:$G$31,4,FALSE)&amp;"_SIMUL")</f>
        <v>ON X.INSTRMNT_ID=Y.INSTRMNT_ID_SIMUL</v>
      </c>
      <c r="L27" s="42" t="str">
        <f>+IF(C27="Coerência", +IF(LEFT(G27,5)="FLOAT","SELECT '"&amp;UPPER(B27)&amp;"' AS TABELA, '"&amp;UPPER(C27)&amp;"' AS TIPOLOGIA_TESTE,'"&amp;D27&amp;"' AS TABELA_LT,'"&amp;E27&amp;"' AS TABELA_SIMUL,'"&amp;F27&amp;"' AS CAMPO, "&amp;"'${ref_date}' AS REF_DATE, COUNT(*) AS NUM_REG, SUM(IF((ABS(COALESCE(X."&amp;F27&amp;",0)-COALESCE(Y."&amp;F27&amp;"_SIMUL,0))&gt;0.0000000001) OR (X."&amp;F27&amp;" IS NULL AND Y."&amp;F27&amp;"_SIMUL IS NOT NULL ) OR (X."&amp;F27&amp;" IS NOT NULL AND Y."&amp;F27&amp;"_SIMUL IS NULL),1,0)) AS NUM_REG_DIF,'"&amp;MAX('ID1&amp;5'!K:K)+1&amp;"' AS ID_EXEC, CURRENT_TIMESTAMP() AS TIME_EXEC FROM "&amp;I27&amp;" INNER JOIN "&amp;J27&amp;" "&amp;K27,"SELECT '"&amp;UPPER(B27)&amp;"' AS TABELA, '"&amp;UPPER(C27)&amp;"' AS TIPOLOGIA_TESTE,'"&amp;D27&amp;"' AS TABELA_LT,'"&amp;E27&amp;"' AS TABELA_SIMUL,'"&amp;F27&amp;"' AS CAMPO, "&amp;"'${ref_date}' AS REF_DATE, COUNT(*) AS NUM_REG, SUM(IF(COALESCE(CAST(X."&amp;F27&amp;" AS STRING),'')&lt;&gt;COALESCE(CAST(Y."&amp;F27&amp;"_SIMUL AS STRING),''),1,0)) AS NUM_REG_DIF,'"&amp;MAX('ID1&amp;5'!L:L)+1&amp;"' AS ID_EXEC, CURRENT_TIMESTAMP() AS TIME_EXEC FROM "&amp;I27&amp;" INNER JOIN "&amp;J27&amp;" "&amp;K27),
IF(C27="Validade",+IF(G27="Code List","SELECT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 OR CAST(X."&amp;F27&amp;" AS STRING) NOT "&amp;H27&amp;",1,0)) AS NUM_REG_DIF,'"&amp;MAX('ID1&amp;5'!K:K)+1&amp;"' AS ID_EXEC, CURRENT_TIMESTAMP() AS TIME_EXEC FROM "&amp;I27,"SELECT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NULL,1,0)) AS NUM_REG_DIF,'"&amp;MAX('ID1&amp;5'!K:K)+1&amp;"' AS ID_EXEC, CURRENT_TIMESTAMP() AS TIME_EXEC FROM "&amp;I27),
IF(C27="Caracteres Especiais",+"SELECT '"&amp;UPPER(B27)&amp;"' AS TABELA, '"&amp;UPPER(C27)&amp;"' AS TIPOLOGIA_TESTE,'"&amp;D27&amp;"' AS TABELA_LT,'N/A' AS TABELA_SIMUL,'"&amp;F27&amp;"' AS CAMPO, "&amp;"'${ref_date}' AS REF_DATE, COUNT(*) AS NUM_REG, SUM(IF(INSTR(CAST(X."&amp;F27&amp;" AS STRING),'#')&gt;0 OR INSTR(CAST(X."&amp;F27&amp;" AS STRING),'*')&gt;0 OR INSTR(CAST(X."&amp;F27&amp;" AS STRING),'`')&gt;0 OR INSTR(CAST(X."&amp;F27&amp;" AS STRING),'´')&gt;0 OR INSTR(CAST(X."&amp;F27&amp;" AS STRING),'{')&gt;0 OR INSTR(CAST(X."&amp;F27&amp;" AS STRING),'}')&gt;0 OR INSTR(CAST(X."&amp;F27&amp;" AS STRING),'[')&gt;0 OR INSTR(CAST(X."&amp;F27&amp;" AS STRING),'')&gt;0 OR INSTR(CAST(X."&amp;F27&amp;" AS STRING),']')&gt;0 OR INSTR(CAST(X."&amp;F27&amp;" AS STRING),'?')&gt;0 OR INSTR(CAST(X."&amp;F27&amp;" AS STRING),'!')&gt;0 OR INSTR(CAST(X."&amp;F27&amp;" AS STRING),'$')&gt;0 OR INSTR(CAST(X."&amp;F27&amp;" AS STRING),'%')&gt;0 OR INSTR(CAST(X."&amp;F27&amp;" AS STRING),'&amp;')&gt;0 OR INSTR(CAST(X."&amp;F27&amp;" AS STRING),'+')&gt;0,1,0)) AS NUM_REG_DIF,'"&amp;MAX('ID1&amp;5'!K:K)+1&amp;"' AS ID_EXEC, CURRENT_TIMESTAMP() AS TIME_EXEC FROM "&amp;I27,
IF(C27="Missings",+"SELECT '"&amp;UPPER(B27)&amp;"' AS TABELA, '"&amp;UPPER(C27)&amp;"' AS TIPOLOGIA_TESTE,'"&amp;D27&amp;"' AS TABELA_LT,'N/A' AS TABELA_SIMUL,'"&amp;F27&amp;"' AS CAMPO, "&amp;"'${ref_date}' AS REF_DATE, COUNT(*) AS NUM_REG, SUM(IF(TRIM(CAST(X."&amp;F27&amp;" AS STRING)) IN ('0000-00-00','0001-01-01','9999-12-31','MISS','00000','99999999999','99999999999.00','99999999999.000000'),1,0)) AS NUM_REG_DIF,'"&amp;MAX('ID1&amp;5'!K:K)+1&amp;"' AS ID_EXEC, CURRENT_TIMESTAMP() AS TIME_EXEC FROM "&amp;I27,
IF(C27="Not applicable",+"SELECT '"&amp;UPPER(B27)&amp;"' AS TABELA, '"&amp;UPPER(C27)&amp;"' AS TIPOLOGIA_TESTE,'"&amp;D27&amp;"' AS TABELA_LT,'N/A' AS TABELA_SIMUL,'"&amp;F27&amp;"' AS CAMPO, "&amp;"'${ref_date}' AS REF_DATE, COUNT(*) AS NUM_REG, SUM(IF(TRIM(CAST(X."&amp;F27&amp;" AS STRING)) IN ('N/A','11111111111','11111111111.00','11111111111.000000','1111-11-11'),1,0)) AS NUM_REG_DIF,'"&amp;MAX('ID1&amp;5'!K:K)+1&amp;"' AS ID_EXEC, CURRENT_TIMESTAMP() AS TIME_EXEC FROM "&amp;I27,
IF(C27="Valores extremos",+"SELECT '"&amp;UPPER(B27)&amp;"' AS TABELA, '"&amp;UPPER(C27)&amp;"' AS TIPOLOGIA_TESTE,'"&amp;D27&amp;"' AS TABELA_LT,'N/A' AS TABELA_SIMUL,'"&amp;F27&amp;"' AS CAMPO, "&amp;"'${ref_date}' AS REF_DATE, CAST(MIN("&amp;F27&amp;") AS STRING) AS VALOR_MIN, CAST(MAX("&amp;F27&amp;") AS STRING) AS VALOR_MAX,'"&amp;MAX('ID1&amp;5'!K:K)+1&amp;"' AS ID_EXEC, CURRENT_TIMESTAMP() AS TIME_EXEC FROM "&amp;MID(I27,1,LEN(I27)-2)&amp;" AND CAST("&amp;F27&amp;"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TABELA_SIMUL,'DT_LGL_FNL_MTRTY' AS CAMPO, '${ref_date}' AS REF_DATE, COUNT(*) AS NUM_REG, SUM(IF(COALESCE(CAST(X.DT_LGL_FNL_MTRTY AS STRING),'')&lt;&gt;COALESCE(CAST(Y.DT_LGL_FNL_MTRTY_SIMUL AS STRING),''),1,0)) AS NUM_REG_DIF,'1' AS ID_EXEC, CURRENT_TIMESTAMP() AS TIME_EXEC FROM (SELECT instrmnt_id, DT_LGL_FNL_MTRTY FROM BU_LOANTAPE_WORK.LT002_INSTRUMENT WHERE ref_date='${ref_date}' AND nome_perimetro='Individual Corporativo' AND segmento='ESTR' AND ambito='PILAR3')X INNER JOIN (SELECT instrmnt_id AS instrmnt_id_SIMUL, DT_LGL_FNL_MTRTY AS DT_LGL_FNL_MTRTY_SIMUL FROM BU_LOANTAPE_WORK.LT002_INSTRUMENT_P3_NOV24)Y ON X.INSTRMNT_ID=Y.INSTRMNT_ID_SIMUL</v>
      </c>
      <c r="M27" s="43" t="str">
        <f t="shared" si="0"/>
        <v>UNION ALL SELECT 'INSTRUMENT' AS TABELA, 'COERÊNCIA' AS TIPOLOGIA_TESTE,'BU_LOANTAPE_WORK.LT002_INSTRUMENT' AS TABELA_LT,'BU_LOANTAPE_WORK.LT002_INSTRUMENT_P3_NOV24' AS TABELA_SIMUL,'DT_LGL_FNL_MTRTY' AS CAMPO, '${ref_date}' AS REF_DATE, COUNT(*) AS NUM_REG, SUM(IF(COALESCE(CAST(X.DT_LGL_FNL_MTRTY AS STRING),'')&lt;&gt;COALESCE(CAST(Y.DT_LGL_FNL_MTRTY_SIMUL AS STRING),''),1,0)) AS NUM_REG_DIF,'1' AS ID_EXEC, CURRENT_TIMESTAMP() AS TIME_EXEC FROM (SELECT instrmnt_id, DT_LGL_FNL_MTRTY FROM BU_LOANTAPE_WORK.LT002_INSTRUMENT WHERE ref_date='${ref_date}' AND nome_perimetro='Individual Corporativo' AND segmento='ESTR' AND ambito='PILAR3')X INNER JOIN (SELECT instrmnt_id AS instrmnt_id_SIMUL, DT_LGL_FNL_MTRTY AS DT_LGL_FNL_MTRTY_SIMUL FROM BU_LOANTAPE_WORK.LT002_INSTRUMENT_P3_NOV24)Y ON X.INSTRMNT_ID=Y.INSTRMNT_ID_SIMUL</v>
      </c>
      <c r="N27" s="45" t="s">
        <v>13</v>
      </c>
    </row>
    <row r="28" spans="2:14">
      <c r="B28" s="41" t="s">
        <v>27</v>
      </c>
      <c r="C28" s="41" t="s">
        <v>74</v>
      </c>
      <c r="D28" s="41" t="str">
        <f>+UPPER('0. Instruções'!$D$33&amp;"."&amp;VLOOKUP(B28,'0. Instruções'!$C$27:$D$31,2,FALSE))</f>
        <v>BU_LOANTAPE_WORK.LT002_INSTRUMENT</v>
      </c>
      <c r="E28" s="41" t="str">
        <f>+UPPER('0. Instruções'!$D$34&amp;"."&amp;VLOOKUP(B28,'0. Instruções'!$C$27:$E$31,3,FALSE))</f>
        <v>BU_LOANTAPE_WORK.LT002_INSTRUMENT_P3_NOV24</v>
      </c>
      <c r="F28" s="41" t="s">
        <v>168</v>
      </c>
      <c r="G28" s="41" t="s">
        <v>13</v>
      </c>
      <c r="H28" s="41"/>
      <c r="I28" s="41" t="str">
        <f>"(SELECT "&amp;VLOOKUP(B28,'0. Instruções'!$C$27:$G$31,4,FALSE)&amp;", "&amp;F28&amp;" FROM "&amp;D28&amp;" WHERE "&amp;'0. Instruções'!$D$40&amp;")X"</f>
        <v>(SELECT instrmnt_id, ACCMLTD_IMPRMNT_INSTRMNT FROM BU_LOANTAPE_WORK.LT002_INSTRUMENT WHERE ref_date='${ref_date}' AND nome_perimetro='Individual Corporativo' AND segmento='ESTR' AND ambito='PILAR3')X</v>
      </c>
      <c r="J28" s="41" t="str">
        <f>"(SELECT "&amp;VLOOKUP(B28,'0. Instruções'!$C$27:$G$31,4,FALSE)&amp;" AS "&amp;VLOOKUP(B28,'0. Instruções'!$C$27:$G$31,4,FALSE)&amp;"_SIMUL, "&amp;F28&amp;" AS "&amp;F28&amp;"_SIMUL FROM "&amp;E28&amp;")Y"</f>
        <v>(SELECT instrmnt_id AS instrmnt_id_SIMUL, ACCMLTD_IMPRMNT_INSTRMNT AS ACCMLTD_IMPRMNT_INSTRMNT_SIMUL FROM BU_LOANTAPE_WORK.LT002_INSTRUMENT_P3_NOV24)Y</v>
      </c>
      <c r="K28" s="42" t="str">
        <f>+UPPER("ON X."&amp;VLOOKUP(B28,'0. Instruções'!$C$27:$G$31,4,FALSE)&amp;"=Y."&amp;VLOOKUP(B28,'0. Instruções'!$C$27:$G$31,4,FALSE)&amp;"_SIMUL")</f>
        <v>ON X.INSTRMNT_ID=Y.INSTRMNT_ID_SIMUL</v>
      </c>
      <c r="L28" s="42" t="str">
        <f>+IF(C28="Coerência", +IF(LEFT(G28,5)="FLOAT","SELECT '"&amp;UPPER(B28)&amp;"' AS TABELA, '"&amp;UPPER(C28)&amp;"' AS TIPOLOGIA_TESTE,'"&amp;D28&amp;"' AS TABELA_LT,'"&amp;E28&amp;"' AS TABELA_SIMUL,'"&amp;F28&amp;"' AS CAMPO, "&amp;"'${ref_date}' AS REF_DATE, COUNT(*) AS NUM_REG, SUM(IF((ABS(COALESCE(X."&amp;F28&amp;",0)-COALESCE(Y."&amp;F28&amp;"_SIMUL,0))&gt;0.0000000001) OR (X."&amp;F28&amp;" IS NULL AND Y."&amp;F28&amp;"_SIMUL IS NOT NULL ) OR (X."&amp;F28&amp;" IS NOT NULL AND Y."&amp;F28&amp;"_SIMUL IS NULL),1,0)) AS NUM_REG_DIF,'"&amp;MAX('ID1&amp;5'!K:K)+1&amp;"' AS ID_EXEC, CURRENT_TIMESTAMP() AS TIME_EXEC FROM "&amp;I28&amp;" INNER JOIN "&amp;J28&amp;" "&amp;K28,"SELECT '"&amp;UPPER(B28)&amp;"' AS TABELA, '"&amp;UPPER(C28)&amp;"' AS TIPOLOGIA_TESTE,'"&amp;D28&amp;"' AS TABELA_LT,'"&amp;E28&amp;"' AS TABELA_SIMUL,'"&amp;F28&amp;"' AS CAMPO, "&amp;"'${ref_date}' AS REF_DATE, COUNT(*) AS NUM_REG, SUM(IF(COALESCE(CAST(X."&amp;F28&amp;" AS STRING),'')&lt;&gt;COALESCE(CAST(Y."&amp;F28&amp;"_SIMUL AS STRING),''),1,0)) AS NUM_REG_DIF,'"&amp;MAX('ID1&amp;5'!L:L)+1&amp;"' AS ID_EXEC, CURRENT_TIMESTAMP() AS TIME_EXEC FROM "&amp;I28&amp;" INNER JOIN "&amp;J28&amp;" "&amp;K28),
IF(C28="Validade",+IF(G28="Code List","SELECT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 OR CAST(X."&amp;F28&amp;" AS STRING) NOT "&amp;H28&amp;",1,0)) AS NUM_REG_DIF,'"&amp;MAX('ID1&amp;5'!K:K)+1&amp;"' AS ID_EXEC, CURRENT_TIMESTAMP() AS TIME_EXEC FROM "&amp;I28,"SELECT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NULL,1,0)) AS NUM_REG_DIF,'"&amp;MAX('ID1&amp;5'!K:K)+1&amp;"' AS ID_EXEC, CURRENT_TIMESTAMP() AS TIME_EXEC FROM "&amp;I28),
IF(C28="Caracteres Especiais",+"SELECT '"&amp;UPPER(B28)&amp;"' AS TABELA, '"&amp;UPPER(C28)&amp;"' AS TIPOLOGIA_TESTE,'"&amp;D28&amp;"' AS TABELA_LT,'N/A' AS TABELA_SIMUL,'"&amp;F28&amp;"' AS CAMPO, "&amp;"'${ref_date}' AS REF_DATE, COUNT(*) AS NUM_REG, SUM(IF(INSTR(CAST(X."&amp;F28&amp;" AS STRING),'#')&gt;0 OR INSTR(CAST(X."&amp;F28&amp;" AS STRING),'*')&gt;0 OR INSTR(CAST(X."&amp;F28&amp;" AS STRING),'`')&gt;0 OR INSTR(CAST(X."&amp;F28&amp;" AS STRING),'´')&gt;0 OR INSTR(CAST(X."&amp;F28&amp;" AS STRING),'{')&gt;0 OR INSTR(CAST(X."&amp;F28&amp;" AS STRING),'}')&gt;0 OR INSTR(CAST(X."&amp;F28&amp;" AS STRING),'[')&gt;0 OR INSTR(CAST(X."&amp;F28&amp;" AS STRING),'')&gt;0 OR INSTR(CAST(X."&amp;F28&amp;" AS STRING),']')&gt;0 OR INSTR(CAST(X."&amp;F28&amp;" AS STRING),'?')&gt;0 OR INSTR(CAST(X."&amp;F28&amp;" AS STRING),'!')&gt;0 OR INSTR(CAST(X."&amp;F28&amp;" AS STRING),'$')&gt;0 OR INSTR(CAST(X."&amp;F28&amp;" AS STRING),'%')&gt;0 OR INSTR(CAST(X."&amp;F28&amp;" AS STRING),'&amp;')&gt;0 OR INSTR(CAST(X."&amp;F28&amp;" AS STRING),'+')&gt;0,1,0)) AS NUM_REG_DIF,'"&amp;MAX('ID1&amp;5'!K:K)+1&amp;"' AS ID_EXEC, CURRENT_TIMESTAMP() AS TIME_EXEC FROM "&amp;I28,
IF(C28="Missings",+"SELECT '"&amp;UPPER(B28)&amp;"' AS TABELA, '"&amp;UPPER(C28)&amp;"' AS TIPOLOGIA_TESTE,'"&amp;D28&amp;"' AS TABELA_LT,'N/A' AS TABELA_SIMUL,'"&amp;F28&amp;"' AS CAMPO, "&amp;"'${ref_date}' AS REF_DATE, COUNT(*) AS NUM_REG, SUM(IF(TRIM(CAST(X."&amp;F28&amp;" AS STRING)) IN ('0000-00-00','0001-01-01','9999-12-31','MISS','00000','99999999999','99999999999.00','99999999999.000000'),1,0)) AS NUM_REG_DIF,'"&amp;MAX('ID1&amp;5'!K:K)+1&amp;"' AS ID_EXEC, CURRENT_TIMESTAMP() AS TIME_EXEC FROM "&amp;I28,
IF(C28="Not applicable",+"SELECT '"&amp;UPPER(B28)&amp;"' AS TABELA, '"&amp;UPPER(C28)&amp;"' AS TIPOLOGIA_TESTE,'"&amp;D28&amp;"' AS TABELA_LT,'N/A' AS TABELA_SIMUL,'"&amp;F28&amp;"' AS CAMPO, "&amp;"'${ref_date}' AS REF_DATE, COUNT(*) AS NUM_REG, SUM(IF(TRIM(CAST(X."&amp;F28&amp;" AS STRING)) IN ('N/A','11111111111','11111111111.00','11111111111.000000','1111-11-11'),1,0)) AS NUM_REG_DIF,'"&amp;MAX('ID1&amp;5'!K:K)+1&amp;"' AS ID_EXEC, CURRENT_TIMESTAMP() AS TIME_EXEC FROM "&amp;I28,
IF(C28="Valores extremos",+"SELECT '"&amp;UPPER(B28)&amp;"' AS TABELA, '"&amp;UPPER(C28)&amp;"' AS TIPOLOGIA_TESTE,'"&amp;D28&amp;"' AS TABELA_LT,'N/A' AS TABELA_SIMUL,'"&amp;F28&amp;"' AS CAMPO, "&amp;"'${ref_date}' AS REF_DATE, CAST(MIN("&amp;F28&amp;") AS STRING) AS VALOR_MIN, CAST(MAX("&amp;F28&amp;") AS STRING) AS VALOR_MAX,'"&amp;MAX('ID1&amp;5'!K:K)+1&amp;"' AS ID_EXEC, CURRENT_TIMESTAMP() AS TIME_EXEC FROM "&amp;MID(I28,1,LEN(I28)-2)&amp;" AND CAST("&amp;F28&amp;"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TABELA_SIMUL,'ACCMLTD_IMPRMNT_INSTRMNT' AS CAMPO, '${ref_date}' AS REF_DATE, COUNT(*) AS NUM_REG, SUM(IF(COALESCE(CAST(X.ACCMLTD_IMPRMNT_INSTRMNT AS STRING),'')&lt;&gt;COALESCE(CAST(Y.ACCMLTD_IMPRMNT_INSTRMNT_SIMUL AS STRING),''),1,0)) AS NUM_REG_DIF,'1' AS ID_EXEC, CURRENT_TIMESTAMP() AS TIME_EXEC FROM (SELECT instrmnt_id, ACCMLTD_IMPRMNT_INSTRMNT FROM BU_LOANTAPE_WORK.LT002_INSTRUMENT WHERE ref_date='${ref_date}' AND nome_perimetro='Individual Corporativo' AND segmento='ESTR' AND ambito='PILAR3')X INNER JOIN (SELECT instrmnt_id AS instrmnt_id_SIMUL, ACCMLTD_IMPRMNT_INSTRMNT AS ACCMLTD_IMPRMNT_INSTRMNT_SIMUL FROM BU_LOANTAPE_WORK.LT002_INSTRUMENT_P3_NOV24)Y ON X.INSTRMNT_ID=Y.INSTRMNT_ID_SIMUL</v>
      </c>
      <c r="M28" s="43" t="str">
        <f t="shared" si="0"/>
        <v>UNION ALL SELECT 'INSTRUMENT' AS TABELA, 'COERÊNCIA' AS TIPOLOGIA_TESTE,'BU_LOANTAPE_WORK.LT002_INSTRUMENT' AS TABELA_LT,'BU_LOANTAPE_WORK.LT002_INSTRUMENT_P3_NOV24' AS TABELA_SIMUL,'ACCMLTD_IMPRMNT_INSTRMNT' AS CAMPO, '${ref_date}' AS REF_DATE, COUNT(*) AS NUM_REG, SUM(IF(COALESCE(CAST(X.ACCMLTD_IMPRMNT_INSTRMNT AS STRING),'')&lt;&gt;COALESCE(CAST(Y.ACCMLTD_IMPRMNT_INSTRMNT_SIMUL AS STRING),''),1,0)) AS NUM_REG_DIF,'1' AS ID_EXEC, CURRENT_TIMESTAMP() AS TIME_EXEC FROM (SELECT instrmnt_id, ACCMLTD_IMPRMNT_INSTRMNT FROM BU_LOANTAPE_WORK.LT002_INSTRUMENT WHERE ref_date='${ref_date}' AND nome_perimetro='Individual Corporativo' AND segmento='ESTR' AND ambito='PILAR3')X INNER JOIN (SELECT instrmnt_id AS instrmnt_id_SIMUL, ACCMLTD_IMPRMNT_INSTRMNT AS ACCMLTD_IMPRMNT_INSTRMNT_SIMUL FROM BU_LOANTAPE_WORK.LT002_INSTRUMENT_P3_NOV24)Y ON X.INSTRMNT_ID=Y.INSTRMNT_ID_SIMUL</v>
      </c>
      <c r="N28" s="45" t="s">
        <v>13</v>
      </c>
    </row>
    <row r="29" spans="2:14">
      <c r="B29" s="41" t="s">
        <v>27</v>
      </c>
      <c r="C29" s="41" t="s">
        <v>74</v>
      </c>
      <c r="D29" s="41" t="str">
        <f>+UPPER('0. Instruções'!$D$33&amp;"."&amp;VLOOKUP(B29,'0. Instruções'!$C$27:$D$31,2,FALSE))</f>
        <v>BU_LOANTAPE_WORK.LT002_INSTRUMENT</v>
      </c>
      <c r="E29" s="41" t="str">
        <f>+UPPER('0. Instruções'!$D$34&amp;"."&amp;VLOOKUP(B29,'0. Instruções'!$C$27:$E$31,3,FALSE))</f>
        <v>BU_LOANTAPE_WORK.LT002_INSTRUMENT_P3_NOV24</v>
      </c>
      <c r="F29" s="41" t="s">
        <v>169</v>
      </c>
      <c r="G29" s="41" t="s">
        <v>13</v>
      </c>
      <c r="H29" s="41"/>
      <c r="I29" s="41" t="str">
        <f>"(SELECT "&amp;VLOOKUP(B29,'0. Instruções'!$C$27:$G$31,4,FALSE)&amp;", "&amp;F29&amp;" FROM "&amp;D29&amp;" WHERE "&amp;'0. Instruções'!$D$40&amp;")X"</f>
        <v>(SELECT instrmnt_id, ISSR_CNTRY FROM BU_LOANTAPE_WORK.LT002_INSTRUMENT WHERE ref_date='${ref_date}' AND nome_perimetro='Individual Corporativo' AND segmento='ESTR' AND ambito='PILAR3')X</v>
      </c>
      <c r="J29" s="41" t="str">
        <f>"(SELECT "&amp;VLOOKUP(B29,'0. Instruções'!$C$27:$G$31,4,FALSE)&amp;" AS "&amp;VLOOKUP(B29,'0. Instruções'!$C$27:$G$31,4,FALSE)&amp;"_SIMUL, "&amp;F29&amp;" AS "&amp;F29&amp;"_SIMUL FROM "&amp;E29&amp;")Y"</f>
        <v>(SELECT instrmnt_id AS instrmnt_id_SIMUL, ISSR_CNTRY AS ISSR_CNTRY_SIMUL FROM BU_LOANTAPE_WORK.LT002_INSTRUMENT_P3_NOV24)Y</v>
      </c>
      <c r="K29" s="42" t="str">
        <f>+UPPER("ON X."&amp;VLOOKUP(B29,'0. Instruções'!$C$27:$G$31,4,FALSE)&amp;"=Y."&amp;VLOOKUP(B29,'0. Instruções'!$C$27:$G$31,4,FALSE)&amp;"_SIMUL")</f>
        <v>ON X.INSTRMNT_ID=Y.INSTRMNT_ID_SIMUL</v>
      </c>
      <c r="L29" s="42" t="str">
        <f>+IF(C29="Coerência", +IF(LEFT(G29,5)="FLOAT","SELECT '"&amp;UPPER(B29)&amp;"' AS TABELA, '"&amp;UPPER(C29)&amp;"' AS TIPOLOGIA_TESTE,'"&amp;D29&amp;"' AS TABELA_LT,'"&amp;E29&amp;"' AS TABELA_SIMUL,'"&amp;F29&amp;"' AS CAMPO, "&amp;"'${ref_date}' AS REF_DATE, COUNT(*) AS NUM_REG, SUM(IF((ABS(COALESCE(X."&amp;F29&amp;",0)-COALESCE(Y."&amp;F29&amp;"_SIMUL,0))&gt;0.0000000001) OR (X."&amp;F29&amp;" IS NULL AND Y."&amp;F29&amp;"_SIMUL IS NOT NULL ) OR (X."&amp;F29&amp;" IS NOT NULL AND Y."&amp;F29&amp;"_SIMUL IS NULL),1,0)) AS NUM_REG_DIF,'"&amp;MAX('ID1&amp;5'!K:K)+1&amp;"' AS ID_EXEC, CURRENT_TIMESTAMP() AS TIME_EXEC FROM "&amp;I29&amp;" INNER JOIN "&amp;J29&amp;" "&amp;K29,"SELECT '"&amp;UPPER(B29)&amp;"' AS TABELA, '"&amp;UPPER(C29)&amp;"' AS TIPOLOGIA_TESTE,'"&amp;D29&amp;"' AS TABELA_LT,'"&amp;E29&amp;"' AS TABELA_SIMUL,'"&amp;F29&amp;"' AS CAMPO, "&amp;"'${ref_date}' AS REF_DATE, COUNT(*) AS NUM_REG, SUM(IF(COALESCE(CAST(X."&amp;F29&amp;" AS STRING),'')&lt;&gt;COALESCE(CAST(Y."&amp;F29&amp;"_SIMUL AS STRING),''),1,0)) AS NUM_REG_DIF,'"&amp;MAX('ID1&amp;5'!L:L)+1&amp;"' AS ID_EXEC, CURRENT_TIMESTAMP() AS TIME_EXEC FROM "&amp;I29&amp;" INNER JOIN "&amp;J29&amp;" "&amp;K29),
IF(C29="Validade",+IF(G29="Code List","SELECT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 OR CAST(X."&amp;F29&amp;" AS STRING) NOT "&amp;H29&amp;",1,0)) AS NUM_REG_DIF,'"&amp;MAX('ID1&amp;5'!K:K)+1&amp;"' AS ID_EXEC, CURRENT_TIMESTAMP() AS TIME_EXEC FROM "&amp;I29,"SELECT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NULL,1,0)) AS NUM_REG_DIF,'"&amp;MAX('ID1&amp;5'!K:K)+1&amp;"' AS ID_EXEC, CURRENT_TIMESTAMP() AS TIME_EXEC FROM "&amp;I29),
IF(C29="Caracteres Especiais",+"SELECT '"&amp;UPPER(B29)&amp;"' AS TABELA, '"&amp;UPPER(C29)&amp;"' AS TIPOLOGIA_TESTE,'"&amp;D29&amp;"' AS TABELA_LT,'N/A' AS TABELA_SIMUL,'"&amp;F29&amp;"' AS CAMPO, "&amp;"'${ref_date}' AS REF_DATE, COUNT(*) AS NUM_REG, SUM(IF(INSTR(CAST(X."&amp;F29&amp;" AS STRING),'#')&gt;0 OR INSTR(CAST(X."&amp;F29&amp;" AS STRING),'*')&gt;0 OR INSTR(CAST(X."&amp;F29&amp;" AS STRING),'`')&gt;0 OR INSTR(CAST(X."&amp;F29&amp;" AS STRING),'´')&gt;0 OR INSTR(CAST(X."&amp;F29&amp;" AS STRING),'{')&gt;0 OR INSTR(CAST(X."&amp;F29&amp;" AS STRING),'}')&gt;0 OR INSTR(CAST(X."&amp;F29&amp;" AS STRING),'[')&gt;0 OR INSTR(CAST(X."&amp;F29&amp;" AS STRING),'')&gt;0 OR INSTR(CAST(X."&amp;F29&amp;" AS STRING),']')&gt;0 OR INSTR(CAST(X."&amp;F29&amp;" AS STRING),'?')&gt;0 OR INSTR(CAST(X."&amp;F29&amp;" AS STRING),'!')&gt;0 OR INSTR(CAST(X."&amp;F29&amp;" AS STRING),'$')&gt;0 OR INSTR(CAST(X."&amp;F29&amp;" AS STRING),'%')&gt;0 OR INSTR(CAST(X."&amp;F29&amp;" AS STRING),'&amp;')&gt;0 OR INSTR(CAST(X."&amp;F29&amp;" AS STRING),'+')&gt;0,1,0)) AS NUM_REG_DIF,'"&amp;MAX('ID1&amp;5'!K:K)+1&amp;"' AS ID_EXEC, CURRENT_TIMESTAMP() AS TIME_EXEC FROM "&amp;I29,
IF(C29="Missings",+"SELECT '"&amp;UPPER(B29)&amp;"' AS TABELA, '"&amp;UPPER(C29)&amp;"' AS TIPOLOGIA_TESTE,'"&amp;D29&amp;"' AS TABELA_LT,'N/A' AS TABELA_SIMUL,'"&amp;F29&amp;"' AS CAMPO, "&amp;"'${ref_date}' AS REF_DATE, COUNT(*) AS NUM_REG, SUM(IF(TRIM(CAST(X."&amp;F29&amp;" AS STRING)) IN ('0000-00-00','0001-01-01','9999-12-31','MISS','00000','99999999999','99999999999.00','99999999999.000000'),1,0)) AS NUM_REG_DIF,'"&amp;MAX('ID1&amp;5'!K:K)+1&amp;"' AS ID_EXEC, CURRENT_TIMESTAMP() AS TIME_EXEC FROM "&amp;I29,
IF(C29="Not applicable",+"SELECT '"&amp;UPPER(B29)&amp;"' AS TABELA, '"&amp;UPPER(C29)&amp;"' AS TIPOLOGIA_TESTE,'"&amp;D29&amp;"' AS TABELA_LT,'N/A' AS TABELA_SIMUL,'"&amp;F29&amp;"' AS CAMPO, "&amp;"'${ref_date}' AS REF_DATE, COUNT(*) AS NUM_REG, SUM(IF(TRIM(CAST(X."&amp;F29&amp;" AS STRING)) IN ('N/A','11111111111','11111111111.00','11111111111.000000','1111-11-11'),1,0)) AS NUM_REG_DIF,'"&amp;MAX('ID1&amp;5'!K:K)+1&amp;"' AS ID_EXEC, CURRENT_TIMESTAMP() AS TIME_EXEC FROM "&amp;I29,
IF(C29="Valores extremos",+"SELECT '"&amp;UPPER(B29)&amp;"' AS TABELA, '"&amp;UPPER(C29)&amp;"' AS TIPOLOGIA_TESTE,'"&amp;D29&amp;"' AS TABELA_LT,'N/A' AS TABELA_SIMUL,'"&amp;F29&amp;"' AS CAMPO, "&amp;"'${ref_date}' AS REF_DATE, CAST(MIN("&amp;F29&amp;") AS STRING) AS VALOR_MIN, CAST(MAX("&amp;F29&amp;") AS STRING) AS VALOR_MAX,'"&amp;MAX('ID1&amp;5'!K:K)+1&amp;"' AS ID_EXEC, CURRENT_TIMESTAMP() AS TIME_EXEC FROM "&amp;MID(I29,1,LEN(I29)-2)&amp;" AND CAST("&amp;F29&amp;"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TABELA_SIMUL,'ISSR_CNTRY' AS CAMPO, '${ref_date}' AS REF_DATE, COUNT(*) AS NUM_REG, SUM(IF(COALESCE(CAST(X.ISSR_CNTRY AS STRING),'')&lt;&gt;COALESCE(CAST(Y.ISSR_CNTRY_SIMUL AS STRING),''),1,0)) AS NUM_REG_DIF,'1' AS ID_EXEC, CURRENT_TIMESTAMP() AS TIME_EXEC FROM (SELECT instrmnt_id, ISSR_CNTRY FROM BU_LOANTAPE_WORK.LT002_INSTRUMENT WHERE ref_date='${ref_date}' AND nome_perimetro='Individual Corporativo' AND segmento='ESTR' AND ambito='PILAR3')X INNER JOIN (SELECT instrmnt_id AS instrmnt_id_SIMUL, ISSR_CNTRY AS ISSR_CNTRY_SIMUL FROM BU_LOANTAPE_WORK.LT002_INSTRUMENT_P3_NOV24)Y ON X.INSTRMNT_ID=Y.INSTRMNT_ID_SIMUL</v>
      </c>
      <c r="M29" s="43" t="str">
        <f t="shared" si="0"/>
        <v>UNION ALL SELECT 'INSTRUMENT' AS TABELA, 'COERÊNCIA' AS TIPOLOGIA_TESTE,'BU_LOANTAPE_WORK.LT002_INSTRUMENT' AS TABELA_LT,'BU_LOANTAPE_WORK.LT002_INSTRUMENT_P3_NOV24' AS TABELA_SIMUL,'ISSR_CNTRY' AS CAMPO, '${ref_date}' AS REF_DATE, COUNT(*) AS NUM_REG, SUM(IF(COALESCE(CAST(X.ISSR_CNTRY AS STRING),'')&lt;&gt;COALESCE(CAST(Y.ISSR_CNTRY_SIMUL AS STRING),''),1,0)) AS NUM_REG_DIF,'1' AS ID_EXEC, CURRENT_TIMESTAMP() AS TIME_EXEC FROM (SELECT instrmnt_id, ISSR_CNTRY FROM BU_LOANTAPE_WORK.LT002_INSTRUMENT WHERE ref_date='${ref_date}' AND nome_perimetro='Individual Corporativo' AND segmento='ESTR' AND ambito='PILAR3')X INNER JOIN (SELECT instrmnt_id AS instrmnt_id_SIMUL, ISSR_CNTRY AS ISSR_CNTRY_SIMUL FROM BU_LOANTAPE_WORK.LT002_INSTRUMENT_P3_NOV24)Y ON X.INSTRMNT_ID=Y.INSTRMNT_ID_SIMUL</v>
      </c>
      <c r="N29" s="45" t="s">
        <v>13</v>
      </c>
    </row>
    <row r="30" spans="2:14">
      <c r="B30" s="41" t="s">
        <v>27</v>
      </c>
      <c r="C30" s="41" t="s">
        <v>74</v>
      </c>
      <c r="D30" s="41" t="str">
        <f>+UPPER('0. Instruções'!$D$33&amp;"."&amp;VLOOKUP(B30,'0. Instruções'!$C$27:$D$31,2,FALSE))</f>
        <v>BU_LOANTAPE_WORK.LT002_INSTRUMENT</v>
      </c>
      <c r="E30" s="41" t="str">
        <f>+UPPER('0. Instruções'!$D$34&amp;"."&amp;VLOOKUP(B30,'0. Instruções'!$C$27:$E$31,3,FALSE))</f>
        <v>BU_LOANTAPE_WORK.LT002_INSTRUMENT_P3_NOV24</v>
      </c>
      <c r="F30" s="41" t="s">
        <v>170</v>
      </c>
      <c r="G30" s="41" t="s">
        <v>13</v>
      </c>
      <c r="H30" s="41"/>
      <c r="I30" s="41" t="str">
        <f>"(SELECT "&amp;VLOOKUP(B30,'0. Instruções'!$C$27:$G$31,4,FALSE)&amp;", "&amp;F30&amp;" FROM "&amp;D30&amp;" WHERE "&amp;'0. Instruções'!$D$40&amp;")X"</f>
        <v>(SELECT instrmnt_id, ISSR_NACE_SCTR FROM BU_LOANTAPE_WORK.LT002_INSTRUMENT WHERE ref_date='${ref_date}' AND nome_perimetro='Individual Corporativo' AND segmento='ESTR' AND ambito='PILAR3')X</v>
      </c>
      <c r="J30" s="41" t="str">
        <f>"(SELECT "&amp;VLOOKUP(B30,'0. Instruções'!$C$27:$G$31,4,FALSE)&amp;" AS "&amp;VLOOKUP(B30,'0. Instruções'!$C$27:$G$31,4,FALSE)&amp;"_SIMUL, "&amp;F30&amp;" AS "&amp;F30&amp;"_SIMUL FROM "&amp;E30&amp;")Y"</f>
        <v>(SELECT instrmnt_id AS instrmnt_id_SIMUL, ISSR_NACE_SCTR AS ISSR_NACE_SCTR_SIMUL FROM BU_LOANTAPE_WORK.LT002_INSTRUMENT_P3_NOV24)Y</v>
      </c>
      <c r="K30" s="42" t="str">
        <f>+UPPER("ON X."&amp;VLOOKUP(B30,'0. Instruções'!$C$27:$G$31,4,FALSE)&amp;"=Y."&amp;VLOOKUP(B30,'0. Instruções'!$C$27:$G$31,4,FALSE)&amp;"_SIMUL")</f>
        <v>ON X.INSTRMNT_ID=Y.INSTRMNT_ID_SIMUL</v>
      </c>
      <c r="L30" s="42" t="str">
        <f>+IF(C30="Coerência", +IF(LEFT(G30,5)="FLOAT","SELECT '"&amp;UPPER(B30)&amp;"' AS TABELA, '"&amp;UPPER(C30)&amp;"' AS TIPOLOGIA_TESTE,'"&amp;D30&amp;"' AS TABELA_LT,'"&amp;E30&amp;"' AS TABELA_SIMUL,'"&amp;F30&amp;"' AS CAMPO, "&amp;"'${ref_date}' AS REF_DATE, COUNT(*) AS NUM_REG, SUM(IF((ABS(COALESCE(X."&amp;F30&amp;",0)-COALESCE(Y."&amp;F30&amp;"_SIMUL,0))&gt;0.0000000001) OR (X."&amp;F30&amp;" IS NULL AND Y."&amp;F30&amp;"_SIMUL IS NOT NULL ) OR (X."&amp;F30&amp;" IS NOT NULL AND Y."&amp;F30&amp;"_SIMUL IS NULL),1,0)) AS NUM_REG_DIF,'"&amp;MAX('ID1&amp;5'!K:K)+1&amp;"' AS ID_EXEC, CURRENT_TIMESTAMP() AS TIME_EXEC FROM "&amp;I30&amp;" INNER JOIN "&amp;J30&amp;" "&amp;K30,"SELECT '"&amp;UPPER(B30)&amp;"' AS TABELA, '"&amp;UPPER(C30)&amp;"' AS TIPOLOGIA_TESTE,'"&amp;D30&amp;"' AS TABELA_LT,'"&amp;E30&amp;"' AS TABELA_SIMUL,'"&amp;F30&amp;"' AS CAMPO, "&amp;"'${ref_date}' AS REF_DATE, COUNT(*) AS NUM_REG, SUM(IF(COALESCE(CAST(X."&amp;F30&amp;" AS STRING),'')&lt;&gt;COALESCE(CAST(Y."&amp;F30&amp;"_SIMUL AS STRING),''),1,0)) AS NUM_REG_DIF,'"&amp;MAX('ID1&amp;5'!L:L)+1&amp;"' AS ID_EXEC, CURRENT_TIMESTAMP() AS TIME_EXEC FROM "&amp;I30&amp;" INNER JOIN "&amp;J30&amp;" "&amp;K30),
IF(C30="Validade",+IF(G30="Code List","SELECT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 OR CAST(X."&amp;F30&amp;" AS STRING) NOT "&amp;H30&amp;",1,0)) AS NUM_REG_DIF,'"&amp;MAX('ID1&amp;5'!K:K)+1&amp;"' AS ID_EXEC, CURRENT_TIMESTAMP() AS TIME_EXEC FROM "&amp;I30,"SELECT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NULL,1,0)) AS NUM_REG_DIF,'"&amp;MAX('ID1&amp;5'!K:K)+1&amp;"' AS ID_EXEC, CURRENT_TIMESTAMP() AS TIME_EXEC FROM "&amp;I30),
IF(C30="Caracteres Especiais",+"SELECT '"&amp;UPPER(B30)&amp;"' AS TABELA, '"&amp;UPPER(C30)&amp;"' AS TIPOLOGIA_TESTE,'"&amp;D30&amp;"' AS TABELA_LT,'N/A' AS TABELA_SIMUL,'"&amp;F30&amp;"' AS CAMPO, "&amp;"'${ref_date}' AS REF_DATE, COUNT(*) AS NUM_REG, SUM(IF(INSTR(CAST(X."&amp;F30&amp;" AS STRING),'#')&gt;0 OR INSTR(CAST(X."&amp;F30&amp;" AS STRING),'*')&gt;0 OR INSTR(CAST(X."&amp;F30&amp;" AS STRING),'`')&gt;0 OR INSTR(CAST(X."&amp;F30&amp;" AS STRING),'´')&gt;0 OR INSTR(CAST(X."&amp;F30&amp;" AS STRING),'{')&gt;0 OR INSTR(CAST(X."&amp;F30&amp;" AS STRING),'}')&gt;0 OR INSTR(CAST(X."&amp;F30&amp;" AS STRING),'[')&gt;0 OR INSTR(CAST(X."&amp;F30&amp;" AS STRING),'')&gt;0 OR INSTR(CAST(X."&amp;F30&amp;" AS STRING),']')&gt;0 OR INSTR(CAST(X."&amp;F30&amp;" AS STRING),'?')&gt;0 OR INSTR(CAST(X."&amp;F30&amp;" AS STRING),'!')&gt;0 OR INSTR(CAST(X."&amp;F30&amp;" AS STRING),'$')&gt;0 OR INSTR(CAST(X."&amp;F30&amp;" AS STRING),'%')&gt;0 OR INSTR(CAST(X."&amp;F30&amp;" AS STRING),'&amp;')&gt;0 OR INSTR(CAST(X."&amp;F30&amp;" AS STRING),'+')&gt;0,1,0)) AS NUM_REG_DIF,'"&amp;MAX('ID1&amp;5'!K:K)+1&amp;"' AS ID_EXEC, CURRENT_TIMESTAMP() AS TIME_EXEC FROM "&amp;I30,
IF(C30="Missings",+"SELECT '"&amp;UPPER(B30)&amp;"' AS TABELA, '"&amp;UPPER(C30)&amp;"' AS TIPOLOGIA_TESTE,'"&amp;D30&amp;"' AS TABELA_LT,'N/A' AS TABELA_SIMUL,'"&amp;F30&amp;"' AS CAMPO, "&amp;"'${ref_date}' AS REF_DATE, COUNT(*) AS NUM_REG, SUM(IF(TRIM(CAST(X."&amp;F30&amp;" AS STRING)) IN ('0000-00-00','0001-01-01','9999-12-31','MISS','00000','99999999999','99999999999.00','99999999999.000000'),1,0)) AS NUM_REG_DIF,'"&amp;MAX('ID1&amp;5'!K:K)+1&amp;"' AS ID_EXEC, CURRENT_TIMESTAMP() AS TIME_EXEC FROM "&amp;I30,
IF(C30="Not applicable",+"SELECT '"&amp;UPPER(B30)&amp;"' AS TABELA, '"&amp;UPPER(C30)&amp;"' AS TIPOLOGIA_TESTE,'"&amp;D30&amp;"' AS TABELA_LT,'N/A' AS TABELA_SIMUL,'"&amp;F30&amp;"' AS CAMPO, "&amp;"'${ref_date}' AS REF_DATE, COUNT(*) AS NUM_REG, SUM(IF(TRIM(CAST(X."&amp;F30&amp;" AS STRING)) IN ('N/A','11111111111','11111111111.00','11111111111.000000','1111-11-11'),1,0)) AS NUM_REG_DIF,'"&amp;MAX('ID1&amp;5'!K:K)+1&amp;"' AS ID_EXEC, CURRENT_TIMESTAMP() AS TIME_EXEC FROM "&amp;I30,
IF(C30="Valores extremos",+"SELECT '"&amp;UPPER(B30)&amp;"' AS TABELA, '"&amp;UPPER(C30)&amp;"' AS TIPOLOGIA_TESTE,'"&amp;D30&amp;"' AS TABELA_LT,'N/A' AS TABELA_SIMUL,'"&amp;F30&amp;"' AS CAMPO, "&amp;"'${ref_date}' AS REF_DATE, CAST(MIN("&amp;F30&amp;") AS STRING) AS VALOR_MIN, CAST(MAX("&amp;F30&amp;") AS STRING) AS VALOR_MAX,'"&amp;MAX('ID1&amp;5'!K:K)+1&amp;"' AS ID_EXEC, CURRENT_TIMESTAMP() AS TIME_EXEC FROM "&amp;MID(I30,1,LEN(I30)-2)&amp;" AND CAST("&amp;F30&amp;"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TABELA_SIMUL,'ISSR_NACE_SCTR' AS CAMPO, '${ref_date}' AS REF_DATE, COUNT(*) AS NUM_REG, SUM(IF(COALESCE(CAST(X.ISSR_NACE_SCTR AS STRING),'')&lt;&gt;COALESCE(CAST(Y.ISSR_NACE_SCTR_SIMUL AS STRING),''),1,0)) AS NUM_REG_DIF,'1' AS ID_EXEC, CURRENT_TIMESTAMP() AS TIME_EXEC FROM (SELECT instrmnt_id, ISSR_NACE_SCTR FROM BU_LOANTAPE_WORK.LT002_INSTRUMENT WHERE ref_date='${ref_date}' AND nome_perimetro='Individual Corporativo' AND segmento='ESTR' AND ambito='PILAR3')X INNER JOIN (SELECT instrmnt_id AS instrmnt_id_SIMUL, ISSR_NACE_SCTR AS ISSR_NACE_SCTR_SIMUL FROM BU_LOANTAPE_WORK.LT002_INSTRUMENT_P3_NOV24)Y ON X.INSTRMNT_ID=Y.INSTRMNT_ID_SIMUL</v>
      </c>
      <c r="M30" s="43" t="str">
        <f t="shared" si="0"/>
        <v>UNION ALL SELECT 'INSTRUMENT' AS TABELA, 'COERÊNCIA' AS TIPOLOGIA_TESTE,'BU_LOANTAPE_WORK.LT002_INSTRUMENT' AS TABELA_LT,'BU_LOANTAPE_WORK.LT002_INSTRUMENT_P3_NOV24' AS TABELA_SIMUL,'ISSR_NACE_SCTR' AS CAMPO, '${ref_date}' AS REF_DATE, COUNT(*) AS NUM_REG, SUM(IF(COALESCE(CAST(X.ISSR_NACE_SCTR AS STRING),'')&lt;&gt;COALESCE(CAST(Y.ISSR_NACE_SCTR_SIMUL AS STRING),''),1,0)) AS NUM_REG_DIF,'1' AS ID_EXEC, CURRENT_TIMESTAMP() AS TIME_EXEC FROM (SELECT instrmnt_id, ISSR_NACE_SCTR FROM BU_LOANTAPE_WORK.LT002_INSTRUMENT WHERE ref_date='${ref_date}' AND nome_perimetro='Individual Corporativo' AND segmento='ESTR' AND ambito='PILAR3')X INNER JOIN (SELECT instrmnt_id AS instrmnt_id_SIMUL, ISSR_NACE_SCTR AS ISSR_NACE_SCTR_SIMUL FROM BU_LOANTAPE_WORK.LT002_INSTRUMENT_P3_NOV24)Y ON X.INSTRMNT_ID=Y.INSTRMNT_ID_SIMUL</v>
      </c>
      <c r="N30" s="45" t="s">
        <v>13</v>
      </c>
    </row>
    <row r="31" spans="2:14">
      <c r="B31" s="41" t="s">
        <v>27</v>
      </c>
      <c r="C31" s="41" t="s">
        <v>74</v>
      </c>
      <c r="D31" s="41" t="str">
        <f>+UPPER('0. Instruções'!$D$33&amp;"."&amp;VLOOKUP(B31,'0. Instruções'!$C$27:$D$31,2,FALSE))</f>
        <v>BU_LOANTAPE_WORK.LT002_INSTRUMENT</v>
      </c>
      <c r="E31" s="41" t="str">
        <f>+UPPER('0. Instruções'!$D$34&amp;"."&amp;VLOOKUP(B31,'0. Instruções'!$C$27:$E$31,3,FALSE))</f>
        <v>BU_LOANTAPE_WORK.LT002_INSTRUMENT_P3_NOV24</v>
      </c>
      <c r="F31" s="41" t="s">
        <v>171</v>
      </c>
      <c r="G31" s="41" t="s">
        <v>13</v>
      </c>
      <c r="H31" s="41"/>
      <c r="I31" s="41" t="str">
        <f>"(SELECT "&amp;VLOOKUP(B31,'0. Instruções'!$C$27:$G$31,4,FALSE)&amp;", "&amp;F31&amp;" FROM "&amp;D31&amp;" WHERE "&amp;'0. Instruções'!$D$40&amp;")X"</f>
        <v>(SELECT instrmnt_id, PRMRY_ASST_CLSSF FROM BU_LOANTAPE_WORK.LT002_INSTRUMENT WHERE ref_date='${ref_date}' AND nome_perimetro='Individual Corporativo' AND segmento='ESTR' AND ambito='PILAR3')X</v>
      </c>
      <c r="J31" s="41" t="str">
        <f>"(SELECT "&amp;VLOOKUP(B31,'0. Instruções'!$C$27:$G$31,4,FALSE)&amp;" AS "&amp;VLOOKUP(B31,'0. Instruções'!$C$27:$G$31,4,FALSE)&amp;"_SIMUL, "&amp;F31&amp;" AS "&amp;F31&amp;"_SIMUL FROM "&amp;E31&amp;")Y"</f>
        <v>(SELECT instrmnt_id AS instrmnt_id_SIMUL, PRMRY_ASST_CLSSF AS PRMRY_ASST_CLSSF_SIMUL FROM BU_LOANTAPE_WORK.LT002_INSTRUMENT_P3_NOV24)Y</v>
      </c>
      <c r="K31" s="42" t="str">
        <f>+UPPER("ON X."&amp;VLOOKUP(B31,'0. Instruções'!$C$27:$G$31,4,FALSE)&amp;"=Y."&amp;VLOOKUP(B31,'0. Instruções'!$C$27:$G$31,4,FALSE)&amp;"_SIMUL")</f>
        <v>ON X.INSTRMNT_ID=Y.INSTRMNT_ID_SIMUL</v>
      </c>
      <c r="L31" s="42" t="str">
        <f>+IF(C31="Coerência", +IF(LEFT(G31,5)="FLOAT","SELECT '"&amp;UPPER(B31)&amp;"' AS TABELA, '"&amp;UPPER(C31)&amp;"' AS TIPOLOGIA_TESTE,'"&amp;D31&amp;"' AS TABELA_LT,'"&amp;E31&amp;"' AS TABELA_SIMUL,'"&amp;F31&amp;"' AS CAMPO, "&amp;"'${ref_date}' AS REF_DATE, COUNT(*) AS NUM_REG, SUM(IF((ABS(COALESCE(X."&amp;F31&amp;",0)-COALESCE(Y."&amp;F31&amp;"_SIMUL,0))&gt;0.0000000001) OR (X."&amp;F31&amp;" IS NULL AND Y."&amp;F31&amp;"_SIMUL IS NOT NULL ) OR (X."&amp;F31&amp;" IS NOT NULL AND Y."&amp;F31&amp;"_SIMUL IS NULL),1,0)) AS NUM_REG_DIF,'"&amp;MAX('ID1&amp;5'!K:K)+1&amp;"' AS ID_EXEC, CURRENT_TIMESTAMP() AS TIME_EXEC FROM "&amp;I31&amp;" INNER JOIN "&amp;J31&amp;" "&amp;K31,"SELECT '"&amp;UPPER(B31)&amp;"' AS TABELA, '"&amp;UPPER(C31)&amp;"' AS TIPOLOGIA_TESTE,'"&amp;D31&amp;"' AS TABELA_LT,'"&amp;E31&amp;"' AS TABELA_SIMUL,'"&amp;F31&amp;"' AS CAMPO, "&amp;"'${ref_date}' AS REF_DATE, COUNT(*) AS NUM_REG, SUM(IF(COALESCE(CAST(X."&amp;F31&amp;" AS STRING),'')&lt;&gt;COALESCE(CAST(Y."&amp;F31&amp;"_SIMUL AS STRING),''),1,0)) AS NUM_REG_DIF,'"&amp;MAX('ID1&amp;5'!L:L)+1&amp;"' AS ID_EXEC, CURRENT_TIMESTAMP() AS TIME_EXEC FROM "&amp;I31&amp;" INNER JOIN "&amp;J31&amp;" "&amp;K31),
IF(C31="Validade",+IF(G31="Code List","SELECT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 OR CAST(X."&amp;F31&amp;" AS STRING) NOT "&amp;H31&amp;",1,0)) AS NUM_REG_DIF,'"&amp;MAX('ID1&amp;5'!K:K)+1&amp;"' AS ID_EXEC, CURRENT_TIMESTAMP() AS TIME_EXEC FROM "&amp;I31,"SELECT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NULL,1,0)) AS NUM_REG_DIF,'"&amp;MAX('ID1&amp;5'!K:K)+1&amp;"' AS ID_EXEC, CURRENT_TIMESTAMP() AS TIME_EXEC FROM "&amp;I31),
IF(C31="Caracteres Especiais",+"SELECT '"&amp;UPPER(B31)&amp;"' AS TABELA, '"&amp;UPPER(C31)&amp;"' AS TIPOLOGIA_TESTE,'"&amp;D31&amp;"' AS TABELA_LT,'N/A' AS TABELA_SIMUL,'"&amp;F31&amp;"' AS CAMPO, "&amp;"'${ref_date}' AS REF_DATE, COUNT(*) AS NUM_REG, SUM(IF(INSTR(CAST(X."&amp;F31&amp;" AS STRING),'#')&gt;0 OR INSTR(CAST(X."&amp;F31&amp;" AS STRING),'*')&gt;0 OR INSTR(CAST(X."&amp;F31&amp;" AS STRING),'`')&gt;0 OR INSTR(CAST(X."&amp;F31&amp;" AS STRING),'´')&gt;0 OR INSTR(CAST(X."&amp;F31&amp;" AS STRING),'{')&gt;0 OR INSTR(CAST(X."&amp;F31&amp;" AS STRING),'}')&gt;0 OR INSTR(CAST(X."&amp;F31&amp;" AS STRING),'[')&gt;0 OR INSTR(CAST(X."&amp;F31&amp;" AS STRING),'')&gt;0 OR INSTR(CAST(X."&amp;F31&amp;" AS STRING),']')&gt;0 OR INSTR(CAST(X."&amp;F31&amp;" AS STRING),'?')&gt;0 OR INSTR(CAST(X."&amp;F31&amp;" AS STRING),'!')&gt;0 OR INSTR(CAST(X."&amp;F31&amp;" AS STRING),'$')&gt;0 OR INSTR(CAST(X."&amp;F31&amp;" AS STRING),'%')&gt;0 OR INSTR(CAST(X."&amp;F31&amp;" AS STRING),'&amp;')&gt;0 OR INSTR(CAST(X."&amp;F31&amp;" AS STRING),'+')&gt;0,1,0)) AS NUM_REG_DIF,'"&amp;MAX('ID1&amp;5'!K:K)+1&amp;"' AS ID_EXEC, CURRENT_TIMESTAMP() AS TIME_EXEC FROM "&amp;I31,
IF(C31="Missings",+"SELECT '"&amp;UPPER(B31)&amp;"' AS TABELA, '"&amp;UPPER(C31)&amp;"' AS TIPOLOGIA_TESTE,'"&amp;D31&amp;"' AS TABELA_LT,'N/A' AS TABELA_SIMUL,'"&amp;F31&amp;"' AS CAMPO, "&amp;"'${ref_date}' AS REF_DATE, COUNT(*) AS NUM_REG, SUM(IF(TRIM(CAST(X."&amp;F31&amp;" AS STRING)) IN ('0000-00-00','0001-01-01','9999-12-31','MISS','00000','99999999999','99999999999.00','99999999999.000000'),1,0)) AS NUM_REG_DIF,'"&amp;MAX('ID1&amp;5'!K:K)+1&amp;"' AS ID_EXEC, CURRENT_TIMESTAMP() AS TIME_EXEC FROM "&amp;I31,
IF(C31="Not applicable",+"SELECT '"&amp;UPPER(B31)&amp;"' AS TABELA, '"&amp;UPPER(C31)&amp;"' AS TIPOLOGIA_TESTE,'"&amp;D31&amp;"' AS TABELA_LT,'N/A' AS TABELA_SIMUL,'"&amp;F31&amp;"' AS CAMPO, "&amp;"'${ref_date}' AS REF_DATE, COUNT(*) AS NUM_REG, SUM(IF(TRIM(CAST(X."&amp;F31&amp;" AS STRING)) IN ('N/A','11111111111','11111111111.00','11111111111.000000','1111-11-11'),1,0)) AS NUM_REG_DIF,'"&amp;MAX('ID1&amp;5'!K:K)+1&amp;"' AS ID_EXEC, CURRENT_TIMESTAMP() AS TIME_EXEC FROM "&amp;I31,
IF(C31="Valores extremos",+"SELECT '"&amp;UPPER(B31)&amp;"' AS TABELA, '"&amp;UPPER(C31)&amp;"' AS TIPOLOGIA_TESTE,'"&amp;D31&amp;"' AS TABELA_LT,'N/A' AS TABELA_SIMUL,'"&amp;F31&amp;"' AS CAMPO, "&amp;"'${ref_date}' AS REF_DATE, CAST(MIN("&amp;F31&amp;") AS STRING) AS VALOR_MIN, CAST(MAX("&amp;F31&amp;") AS STRING) AS VALOR_MAX,'"&amp;MAX('ID1&amp;5'!K:K)+1&amp;"' AS ID_EXEC, CURRENT_TIMESTAMP() AS TIME_EXEC FROM "&amp;MID(I31,1,LEN(I31)-2)&amp;" AND CAST("&amp;F31&amp;"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TABELA_SIMUL,'PRMRY_ASST_CLSSF' AS CAMPO, '${ref_date}' AS REF_DATE, COUNT(*) AS NUM_REG, SUM(IF(COALESCE(CAST(X.PRMRY_ASST_CLSSF AS STRING),'')&lt;&gt;COALESCE(CAST(Y.PRMRY_ASST_CLSSF_SIMUL AS STRING),''),1,0)) AS NUM_REG_DIF,'1' AS ID_EXEC, CURRENT_TIMESTAMP() AS TIME_EXEC FROM (SELECT instrmnt_id, PRMRY_ASST_CLSSF FROM BU_LOANTAPE_WORK.LT002_INSTRUMENT WHERE ref_date='${ref_date}' AND nome_perimetro='Individual Corporativo' AND segmento='ESTR' AND ambito='PILAR3')X INNER JOIN (SELECT instrmnt_id AS instrmnt_id_SIMUL, PRMRY_ASST_CLSSF AS PRMRY_ASST_CLSSF_SIMUL FROM BU_LOANTAPE_WORK.LT002_INSTRUMENT_P3_NOV24)Y ON X.INSTRMNT_ID=Y.INSTRMNT_ID_SIMUL</v>
      </c>
      <c r="M31" s="43" t="str">
        <f t="shared" si="0"/>
        <v>UNION ALL SELECT 'INSTRUMENT' AS TABELA, 'COERÊNCIA' AS TIPOLOGIA_TESTE,'BU_LOANTAPE_WORK.LT002_INSTRUMENT' AS TABELA_LT,'BU_LOANTAPE_WORK.LT002_INSTRUMENT_P3_NOV24' AS TABELA_SIMUL,'PRMRY_ASST_CLSSF' AS CAMPO, '${ref_date}' AS REF_DATE, COUNT(*) AS NUM_REG, SUM(IF(COALESCE(CAST(X.PRMRY_ASST_CLSSF AS STRING),'')&lt;&gt;COALESCE(CAST(Y.PRMRY_ASST_CLSSF_SIMUL AS STRING),''),1,0)) AS NUM_REG_DIF,'1' AS ID_EXEC, CURRENT_TIMESTAMP() AS TIME_EXEC FROM (SELECT instrmnt_id, PRMRY_ASST_CLSSF FROM BU_LOANTAPE_WORK.LT002_INSTRUMENT WHERE ref_date='${ref_date}' AND nome_perimetro='Individual Corporativo' AND segmento='ESTR' AND ambito='PILAR3')X INNER JOIN (SELECT instrmnt_id AS instrmnt_id_SIMUL, PRMRY_ASST_CLSSF AS PRMRY_ASST_CLSSF_SIMUL FROM BU_LOANTAPE_WORK.LT002_INSTRUMENT_P3_NOV24)Y ON X.INSTRMNT_ID=Y.INSTRMNT_ID_SIMUL</v>
      </c>
      <c r="N31" s="45" t="s">
        <v>13</v>
      </c>
    </row>
    <row r="32" spans="2:14">
      <c r="B32" s="41" t="s">
        <v>27</v>
      </c>
      <c r="C32" s="41" t="s">
        <v>74</v>
      </c>
      <c r="D32" s="41" t="str">
        <f>+UPPER('0. Instruções'!$D$33&amp;"."&amp;VLOOKUP(B32,'0. Instruções'!$C$27:$D$31,2,FALSE))</f>
        <v>BU_LOANTAPE_WORK.LT002_INSTRUMENT</v>
      </c>
      <c r="E32" s="41" t="str">
        <f>+UPPER('0. Instruções'!$D$34&amp;"."&amp;VLOOKUP(B32,'0. Instruções'!$C$27:$E$31,3,FALSE))</f>
        <v>BU_LOANTAPE_WORK.LT002_INSTRUMENT_P3_NOV24</v>
      </c>
      <c r="F32" s="41" t="s">
        <v>172</v>
      </c>
      <c r="G32" s="41" t="s">
        <v>13</v>
      </c>
      <c r="H32" s="41"/>
      <c r="I32" s="41" t="str">
        <f>"(SELECT "&amp;VLOOKUP(B32,'0. Instruções'!$C$27:$G$31,4,FALSE)&amp;", "&amp;F32&amp;" FROM "&amp;D32&amp;" WHERE "&amp;'0. Instruções'!$D$40&amp;")X"</f>
        <v>(SELECT instrmnt_id, SUBPORTFOLIO_ID FROM BU_LOANTAPE_WORK.LT002_INSTRUMENT WHERE ref_date='${ref_date}' AND nome_perimetro='Individual Corporativo' AND segmento='ESTR' AND ambito='PILAR3')X</v>
      </c>
      <c r="J32" s="41" t="str">
        <f>"(SELECT "&amp;VLOOKUP(B32,'0. Instruções'!$C$27:$G$31,4,FALSE)&amp;" AS "&amp;VLOOKUP(B32,'0. Instruções'!$C$27:$G$31,4,FALSE)&amp;"_SIMUL, "&amp;F32&amp;" AS "&amp;F32&amp;"_SIMUL FROM "&amp;E32&amp;")Y"</f>
        <v>(SELECT instrmnt_id AS instrmnt_id_SIMUL, SUBPORTFOLIO_ID AS SUBPORTFOLIO_ID_SIMUL FROM BU_LOANTAPE_WORK.LT002_INSTRUMENT_P3_NOV24)Y</v>
      </c>
      <c r="K32" s="42" t="str">
        <f>+UPPER("ON X."&amp;VLOOKUP(B32,'0. Instruções'!$C$27:$G$31,4,FALSE)&amp;"=Y."&amp;VLOOKUP(B32,'0. Instruções'!$C$27:$G$31,4,FALSE)&amp;"_SIMUL")</f>
        <v>ON X.INSTRMNT_ID=Y.INSTRMNT_ID_SIMUL</v>
      </c>
      <c r="L32" s="42" t="str">
        <f>+IF(C32="Coerência", +IF(LEFT(G32,5)="FLOAT","SELECT '"&amp;UPPER(B32)&amp;"' AS TABELA, '"&amp;UPPER(C32)&amp;"' AS TIPOLOGIA_TESTE,'"&amp;D32&amp;"' AS TABELA_LT,'"&amp;E32&amp;"' AS TABELA_SIMUL,'"&amp;F32&amp;"' AS CAMPO, "&amp;"'${ref_date}' AS REF_DATE, COUNT(*) AS NUM_REG, SUM(IF((ABS(COALESCE(X."&amp;F32&amp;",0)-COALESCE(Y."&amp;F32&amp;"_SIMUL,0))&gt;0.0000000001) OR (X."&amp;F32&amp;" IS NULL AND Y."&amp;F32&amp;"_SIMUL IS NOT NULL ) OR (X."&amp;F32&amp;" IS NOT NULL AND Y."&amp;F32&amp;"_SIMUL IS NULL),1,0)) AS NUM_REG_DIF,'"&amp;MAX('ID1&amp;5'!K:K)+1&amp;"' AS ID_EXEC, CURRENT_TIMESTAMP() AS TIME_EXEC FROM "&amp;I32&amp;" INNER JOIN "&amp;J32&amp;" "&amp;K32,"SELECT '"&amp;UPPER(B32)&amp;"' AS TABELA, '"&amp;UPPER(C32)&amp;"' AS TIPOLOGIA_TESTE,'"&amp;D32&amp;"' AS TABELA_LT,'"&amp;E32&amp;"' AS TABELA_SIMUL,'"&amp;F32&amp;"' AS CAMPO, "&amp;"'${ref_date}' AS REF_DATE, COUNT(*) AS NUM_REG, SUM(IF(COALESCE(CAST(X."&amp;F32&amp;" AS STRING),'')&lt;&gt;COALESCE(CAST(Y."&amp;F32&amp;"_SIMUL AS STRING),''),1,0)) AS NUM_REG_DIF,'"&amp;MAX('ID1&amp;5'!L:L)+1&amp;"' AS ID_EXEC, CURRENT_TIMESTAMP() AS TIME_EXEC FROM "&amp;I32&amp;" INNER JOIN "&amp;J32&amp;" "&amp;K32),
IF(C32="Validade",+IF(G32="Code List","SELECT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 OR CAST(X."&amp;F32&amp;" AS STRING) NOT "&amp;H32&amp;",1,0)) AS NUM_REG_DIF,'"&amp;MAX('ID1&amp;5'!K:K)+1&amp;"' AS ID_EXEC, CURRENT_TIMESTAMP() AS TIME_EXEC FROM "&amp;I32,"SELECT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NULL,1,0)) AS NUM_REG_DIF,'"&amp;MAX('ID1&amp;5'!K:K)+1&amp;"' AS ID_EXEC, CURRENT_TIMESTAMP() AS TIME_EXEC FROM "&amp;I32),
IF(C32="Caracteres Especiais",+"SELECT '"&amp;UPPER(B32)&amp;"' AS TABELA, '"&amp;UPPER(C32)&amp;"' AS TIPOLOGIA_TESTE,'"&amp;D32&amp;"' AS TABELA_LT,'N/A' AS TABELA_SIMUL,'"&amp;F32&amp;"' AS CAMPO, "&amp;"'${ref_date}' AS REF_DATE, COUNT(*) AS NUM_REG, SUM(IF(INSTR(CAST(X."&amp;F32&amp;" AS STRING),'#')&gt;0 OR INSTR(CAST(X."&amp;F32&amp;" AS STRING),'*')&gt;0 OR INSTR(CAST(X."&amp;F32&amp;" AS STRING),'`')&gt;0 OR INSTR(CAST(X."&amp;F32&amp;" AS STRING),'´')&gt;0 OR INSTR(CAST(X."&amp;F32&amp;" AS STRING),'{')&gt;0 OR INSTR(CAST(X."&amp;F32&amp;" AS STRING),'}')&gt;0 OR INSTR(CAST(X."&amp;F32&amp;" AS STRING),'[')&gt;0 OR INSTR(CAST(X."&amp;F32&amp;" AS STRING),'')&gt;0 OR INSTR(CAST(X."&amp;F32&amp;" AS STRING),']')&gt;0 OR INSTR(CAST(X."&amp;F32&amp;" AS STRING),'?')&gt;0 OR INSTR(CAST(X."&amp;F32&amp;" AS STRING),'!')&gt;0 OR INSTR(CAST(X."&amp;F32&amp;" AS STRING),'$')&gt;0 OR INSTR(CAST(X."&amp;F32&amp;" AS STRING),'%')&gt;0 OR INSTR(CAST(X."&amp;F32&amp;" AS STRING),'&amp;')&gt;0 OR INSTR(CAST(X."&amp;F32&amp;" AS STRING),'+')&gt;0,1,0)) AS NUM_REG_DIF,'"&amp;MAX('ID1&amp;5'!K:K)+1&amp;"' AS ID_EXEC, CURRENT_TIMESTAMP() AS TIME_EXEC FROM "&amp;I32,
IF(C32="Missings",+"SELECT '"&amp;UPPER(B32)&amp;"' AS TABELA, '"&amp;UPPER(C32)&amp;"' AS TIPOLOGIA_TESTE,'"&amp;D32&amp;"' AS TABELA_LT,'N/A' AS TABELA_SIMUL,'"&amp;F32&amp;"' AS CAMPO, "&amp;"'${ref_date}' AS REF_DATE, COUNT(*) AS NUM_REG, SUM(IF(TRIM(CAST(X."&amp;F32&amp;" AS STRING)) IN ('0000-00-00','0001-01-01','9999-12-31','MISS','00000','99999999999','99999999999.00','99999999999.000000'),1,0)) AS NUM_REG_DIF,'"&amp;MAX('ID1&amp;5'!K:K)+1&amp;"' AS ID_EXEC, CURRENT_TIMESTAMP() AS TIME_EXEC FROM "&amp;I32,
IF(C32="Not applicable",+"SELECT '"&amp;UPPER(B32)&amp;"' AS TABELA, '"&amp;UPPER(C32)&amp;"' AS TIPOLOGIA_TESTE,'"&amp;D32&amp;"' AS TABELA_LT,'N/A' AS TABELA_SIMUL,'"&amp;F32&amp;"' AS CAMPO, "&amp;"'${ref_date}' AS REF_DATE, COUNT(*) AS NUM_REG, SUM(IF(TRIM(CAST(X."&amp;F32&amp;" AS STRING)) IN ('N/A','11111111111','11111111111.00','11111111111.000000','1111-11-11'),1,0)) AS NUM_REG_DIF,'"&amp;MAX('ID1&amp;5'!K:K)+1&amp;"' AS ID_EXEC, CURRENT_TIMESTAMP() AS TIME_EXEC FROM "&amp;I32,
IF(C32="Valores extremos",+"SELECT '"&amp;UPPER(B32)&amp;"' AS TABELA, '"&amp;UPPER(C32)&amp;"' AS TIPOLOGIA_TESTE,'"&amp;D32&amp;"' AS TABELA_LT,'N/A' AS TABELA_SIMUL,'"&amp;F32&amp;"' AS CAMPO, "&amp;"'${ref_date}' AS REF_DATE, CAST(MIN("&amp;F32&amp;") AS STRING) AS VALOR_MIN, CAST(MAX("&amp;F32&amp;") AS STRING) AS VALOR_MAX,'"&amp;MAX('ID1&amp;5'!K:K)+1&amp;"' AS ID_EXEC, CURRENT_TIMESTAMP() AS TIME_EXEC FROM "&amp;MID(I32,1,LEN(I32)-2)&amp;" AND CAST("&amp;F32&amp;"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TABELA_SIMUL,'SUBPORTFOLIO_ID' AS CAMPO, '${ref_date}' AS REF_DATE, COUNT(*) AS NUM_REG, SUM(IF(COALESCE(CAST(X.SUBPORTFOLIO_ID AS STRING),'')&lt;&gt;COALESCE(CAST(Y.SUBPORTFOLIO_ID_SIMUL AS STRING),''),1,0)) AS NUM_REG_DIF,'1' AS ID_EXEC, CURRENT_TIMESTAMP() AS TIME_EXEC FROM (SELECT instrmnt_id, SUBPORTFOLIO_ID FROM BU_LOANTAPE_WORK.LT002_INSTRUMENT WHERE ref_date='${ref_date}' AND nome_perimetro='Individual Corporativo' AND segmento='ESTR' AND ambito='PILAR3')X INNER JOIN (SELECT instrmnt_id AS instrmnt_id_SIMUL, SUBPORTFOLIO_ID AS SUBPORTFOLIO_ID_SIMUL FROM BU_LOANTAPE_WORK.LT002_INSTRUMENT_P3_NOV24)Y ON X.INSTRMNT_ID=Y.INSTRMNT_ID_SIMUL</v>
      </c>
      <c r="M32" s="43" t="str">
        <f t="shared" si="0"/>
        <v>UNION ALL SELECT 'INSTRUMENT' AS TABELA, 'COERÊNCIA' AS TIPOLOGIA_TESTE,'BU_LOANTAPE_WORK.LT002_INSTRUMENT' AS TABELA_LT,'BU_LOANTAPE_WORK.LT002_INSTRUMENT_P3_NOV24' AS TABELA_SIMUL,'SUBPORTFOLIO_ID' AS CAMPO, '${ref_date}' AS REF_DATE, COUNT(*) AS NUM_REG, SUM(IF(COALESCE(CAST(X.SUBPORTFOLIO_ID AS STRING),'')&lt;&gt;COALESCE(CAST(Y.SUBPORTFOLIO_ID_SIMUL AS STRING),''),1,0)) AS NUM_REG_DIF,'1' AS ID_EXEC, CURRENT_TIMESTAMP() AS TIME_EXEC FROM (SELECT instrmnt_id, SUBPORTFOLIO_ID FROM BU_LOANTAPE_WORK.LT002_INSTRUMENT WHERE ref_date='${ref_date}' AND nome_perimetro='Individual Corporativo' AND segmento='ESTR' AND ambito='PILAR3')X INNER JOIN (SELECT instrmnt_id AS instrmnt_id_SIMUL, SUBPORTFOLIO_ID AS SUBPORTFOLIO_ID_SIMUL FROM BU_LOANTAPE_WORK.LT002_INSTRUMENT_P3_NOV24)Y ON X.INSTRMNT_ID=Y.INSTRMNT_ID_SIMUL</v>
      </c>
      <c r="N32" s="45" t="s">
        <v>13</v>
      </c>
    </row>
    <row r="33" spans="2:14">
      <c r="B33" s="41" t="s">
        <v>27</v>
      </c>
      <c r="C33" s="41" t="s">
        <v>74</v>
      </c>
      <c r="D33" s="41" t="str">
        <f>+UPPER('0. Instruções'!$D$33&amp;"."&amp;VLOOKUP(B33,'0. Instruções'!$C$27:$D$31,2,FALSE))</f>
        <v>BU_LOANTAPE_WORK.LT002_INSTRUMENT</v>
      </c>
      <c r="E33" s="41" t="str">
        <f>+UPPER('0. Instruções'!$D$34&amp;"."&amp;VLOOKUP(B33,'0. Instruções'!$C$27:$E$31,3,FALSE))</f>
        <v>BU_LOANTAPE_WORK.LT002_INSTRUMENT_P3_NOV24</v>
      </c>
      <c r="F33" s="41" t="s">
        <v>173</v>
      </c>
      <c r="G33" s="41" t="s">
        <v>13</v>
      </c>
      <c r="H33" s="41"/>
      <c r="I33" s="41" t="str">
        <f>"(SELECT "&amp;VLOOKUP(B33,'0. Instruções'!$C$27:$G$31,4,FALSE)&amp;", "&amp;F33&amp;" FROM "&amp;D33&amp;" WHERE "&amp;'0. Instruções'!$D$40&amp;")X"</f>
        <v>(SELECT instrmnt_id, COD_SOC FROM BU_LOANTAPE_WORK.LT002_INSTRUMENT WHERE ref_date='${ref_date}' AND nome_perimetro='Individual Corporativo' AND segmento='ESTR' AND ambito='PILAR3')X</v>
      </c>
      <c r="J33" s="41" t="str">
        <f>"(SELECT "&amp;VLOOKUP(B33,'0. Instruções'!$C$27:$G$31,4,FALSE)&amp;" AS "&amp;VLOOKUP(B33,'0. Instruções'!$C$27:$G$31,4,FALSE)&amp;"_SIMUL, "&amp;F33&amp;" AS "&amp;F33&amp;"_SIMUL FROM "&amp;E33&amp;")Y"</f>
        <v>(SELECT instrmnt_id AS instrmnt_id_SIMUL, COD_SOC AS COD_SOC_SIMUL FROM BU_LOANTAPE_WORK.LT002_INSTRUMENT_P3_NOV24)Y</v>
      </c>
      <c r="K33" s="42" t="str">
        <f>+UPPER("ON X."&amp;VLOOKUP(B33,'0. Instruções'!$C$27:$G$31,4,FALSE)&amp;"=Y."&amp;VLOOKUP(B33,'0. Instruções'!$C$27:$G$31,4,FALSE)&amp;"_SIMUL")</f>
        <v>ON X.INSTRMNT_ID=Y.INSTRMNT_ID_SIMUL</v>
      </c>
      <c r="L33" s="42" t="str">
        <f>+IF(C33="Coerência", +IF(LEFT(G33,5)="FLOAT","SELECT '"&amp;UPPER(B33)&amp;"' AS TABELA, '"&amp;UPPER(C33)&amp;"' AS TIPOLOGIA_TESTE,'"&amp;D33&amp;"' AS TABELA_LT,'"&amp;E33&amp;"' AS TABELA_SIMUL,'"&amp;F33&amp;"' AS CAMPO, "&amp;"'${ref_date}' AS REF_DATE, COUNT(*) AS NUM_REG, SUM(IF((ABS(COALESCE(X."&amp;F33&amp;",0)-COALESCE(Y."&amp;F33&amp;"_SIMUL,0))&gt;0.0000000001) OR (X."&amp;F33&amp;" IS NULL AND Y."&amp;F33&amp;"_SIMUL IS NOT NULL ) OR (X."&amp;F33&amp;" IS NOT NULL AND Y."&amp;F33&amp;"_SIMUL IS NULL),1,0)) AS NUM_REG_DIF,'"&amp;MAX('ID1&amp;5'!K:K)+1&amp;"' AS ID_EXEC, CURRENT_TIMESTAMP() AS TIME_EXEC FROM "&amp;I33&amp;" INNER JOIN "&amp;J33&amp;" "&amp;K33,"SELECT '"&amp;UPPER(B33)&amp;"' AS TABELA, '"&amp;UPPER(C33)&amp;"' AS TIPOLOGIA_TESTE,'"&amp;D33&amp;"' AS TABELA_LT,'"&amp;E33&amp;"' AS TABELA_SIMUL,'"&amp;F33&amp;"' AS CAMPO, "&amp;"'${ref_date}' AS REF_DATE, COUNT(*) AS NUM_REG, SUM(IF(COALESCE(CAST(X."&amp;F33&amp;" AS STRING),'')&lt;&gt;COALESCE(CAST(Y."&amp;F33&amp;"_SIMUL AS STRING),''),1,0)) AS NUM_REG_DIF,'"&amp;MAX('ID1&amp;5'!L:L)+1&amp;"' AS ID_EXEC, CURRENT_TIMESTAMP() AS TIME_EXEC FROM "&amp;I33&amp;" INNER JOIN "&amp;J33&amp;" "&amp;K33),
IF(C33="Validade",+IF(G33="Code List","SELECT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 OR CAST(X."&amp;F33&amp;" AS STRING) NOT "&amp;H33&amp;",1,0)) AS NUM_REG_DIF,'"&amp;MAX('ID1&amp;5'!K:K)+1&amp;"' AS ID_EXEC, CURRENT_TIMESTAMP() AS TIME_EXEC FROM "&amp;I33,"SELECT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NULL,1,0)) AS NUM_REG_DIF,'"&amp;MAX('ID1&amp;5'!K:K)+1&amp;"' AS ID_EXEC, CURRENT_TIMESTAMP() AS TIME_EXEC FROM "&amp;I33),
IF(C33="Caracteres Especiais",+"SELECT '"&amp;UPPER(B33)&amp;"' AS TABELA, '"&amp;UPPER(C33)&amp;"' AS TIPOLOGIA_TESTE,'"&amp;D33&amp;"' AS TABELA_LT,'N/A' AS TABELA_SIMUL,'"&amp;F33&amp;"' AS CAMPO, "&amp;"'${ref_date}' AS REF_DATE, COUNT(*) AS NUM_REG, SUM(IF(INSTR(CAST(X."&amp;F33&amp;" AS STRING),'#')&gt;0 OR INSTR(CAST(X."&amp;F33&amp;" AS STRING),'*')&gt;0 OR INSTR(CAST(X."&amp;F33&amp;" AS STRING),'`')&gt;0 OR INSTR(CAST(X."&amp;F33&amp;" AS STRING),'´')&gt;0 OR INSTR(CAST(X."&amp;F33&amp;" AS STRING),'{')&gt;0 OR INSTR(CAST(X."&amp;F33&amp;" AS STRING),'}')&gt;0 OR INSTR(CAST(X."&amp;F33&amp;" AS STRING),'[')&gt;0 OR INSTR(CAST(X."&amp;F33&amp;" AS STRING),'')&gt;0 OR INSTR(CAST(X."&amp;F33&amp;" AS STRING),']')&gt;0 OR INSTR(CAST(X."&amp;F33&amp;" AS STRING),'?')&gt;0 OR INSTR(CAST(X."&amp;F33&amp;" AS STRING),'!')&gt;0 OR INSTR(CAST(X."&amp;F33&amp;" AS STRING),'$')&gt;0 OR INSTR(CAST(X."&amp;F33&amp;" AS STRING),'%')&gt;0 OR INSTR(CAST(X."&amp;F33&amp;" AS STRING),'&amp;')&gt;0 OR INSTR(CAST(X."&amp;F33&amp;" AS STRING),'+')&gt;0,1,0)) AS NUM_REG_DIF,'"&amp;MAX('ID1&amp;5'!K:K)+1&amp;"' AS ID_EXEC, CURRENT_TIMESTAMP() AS TIME_EXEC FROM "&amp;I33,
IF(C33="Missings",+"SELECT '"&amp;UPPER(B33)&amp;"' AS TABELA, '"&amp;UPPER(C33)&amp;"' AS TIPOLOGIA_TESTE,'"&amp;D33&amp;"' AS TABELA_LT,'N/A' AS TABELA_SIMUL,'"&amp;F33&amp;"' AS CAMPO, "&amp;"'${ref_date}' AS REF_DATE, COUNT(*) AS NUM_REG, SUM(IF(TRIM(CAST(X."&amp;F33&amp;" AS STRING)) IN ('0000-00-00','0001-01-01','9999-12-31','MISS','00000','99999999999','99999999999.00','99999999999.000000'),1,0)) AS NUM_REG_DIF,'"&amp;MAX('ID1&amp;5'!K:K)+1&amp;"' AS ID_EXEC, CURRENT_TIMESTAMP() AS TIME_EXEC FROM "&amp;I33,
IF(C33="Not applicable",+"SELECT '"&amp;UPPER(B33)&amp;"' AS TABELA, '"&amp;UPPER(C33)&amp;"' AS TIPOLOGIA_TESTE,'"&amp;D33&amp;"' AS TABELA_LT,'N/A' AS TABELA_SIMUL,'"&amp;F33&amp;"' AS CAMPO, "&amp;"'${ref_date}' AS REF_DATE, COUNT(*) AS NUM_REG, SUM(IF(TRIM(CAST(X."&amp;F33&amp;" AS STRING)) IN ('N/A','11111111111','11111111111.00','11111111111.000000','1111-11-11'),1,0)) AS NUM_REG_DIF,'"&amp;MAX('ID1&amp;5'!K:K)+1&amp;"' AS ID_EXEC, CURRENT_TIMESTAMP() AS TIME_EXEC FROM "&amp;I33,
IF(C33="Valores extremos",+"SELECT '"&amp;UPPER(B33)&amp;"' AS TABELA, '"&amp;UPPER(C33)&amp;"' AS TIPOLOGIA_TESTE,'"&amp;D33&amp;"' AS TABELA_LT,'N/A' AS TABELA_SIMUL,'"&amp;F33&amp;"' AS CAMPO, "&amp;"'${ref_date}' AS REF_DATE, CAST(MIN("&amp;F33&amp;") AS STRING) AS VALOR_MIN, CAST(MAX("&amp;F33&amp;") AS STRING) AS VALOR_MAX,'"&amp;MAX('ID1&amp;5'!K:K)+1&amp;"' AS ID_EXEC, CURRENT_TIMESTAMP() AS TIME_EXEC FROM "&amp;MID(I33,1,LEN(I33)-2)&amp;" AND CAST("&amp;F33&amp;"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TABELA_SIMUL,'COD_SOC' AS CAMPO, '${ref_date}' AS REF_DATE, COUNT(*) AS NUM_REG, SUM(IF(COALESCE(CAST(X.COD_SOC AS STRING),'')&lt;&gt;COALESCE(CAST(Y.COD_SOC_SIMUL AS STRING),''),1,0)) AS NUM_REG_DIF,'1' AS ID_EXEC, CURRENT_TIMESTAMP() AS TIME_EXEC FROM (SELECT instrmnt_id, COD_SOC FROM BU_LOANTAPE_WORK.LT002_INSTRUMENT WHERE ref_date='${ref_date}' AND nome_perimetro='Individual Corporativo' AND segmento='ESTR' AND ambito='PILAR3')X INNER JOIN (SELECT instrmnt_id AS instrmnt_id_SIMUL, COD_SOC AS COD_SOC_SIMUL FROM BU_LOANTAPE_WORK.LT002_INSTRUMENT_P3_NOV24)Y ON X.INSTRMNT_ID=Y.INSTRMNT_ID_SIMUL</v>
      </c>
      <c r="M33" s="43" t="str">
        <f t="shared" si="0"/>
        <v>UNION ALL SELECT 'INSTRUMENT' AS TABELA, 'COERÊNCIA' AS TIPOLOGIA_TESTE,'BU_LOANTAPE_WORK.LT002_INSTRUMENT' AS TABELA_LT,'BU_LOANTAPE_WORK.LT002_INSTRUMENT_P3_NOV24' AS TABELA_SIMUL,'COD_SOC' AS CAMPO, '${ref_date}' AS REF_DATE, COUNT(*) AS NUM_REG, SUM(IF(COALESCE(CAST(X.COD_SOC AS STRING),'')&lt;&gt;COALESCE(CAST(Y.COD_SOC_SIMUL AS STRING),''),1,0)) AS NUM_REG_DIF,'1' AS ID_EXEC, CURRENT_TIMESTAMP() AS TIME_EXEC FROM (SELECT instrmnt_id, COD_SOC FROM BU_LOANTAPE_WORK.LT002_INSTRUMENT WHERE ref_date='${ref_date}' AND nome_perimetro='Individual Corporativo' AND segmento='ESTR' AND ambito='PILAR3')X INNER JOIN (SELECT instrmnt_id AS instrmnt_id_SIMUL, COD_SOC AS COD_SOC_SIMUL FROM BU_LOANTAPE_WORK.LT002_INSTRUMENT_P3_NOV24)Y ON X.INSTRMNT_ID=Y.INSTRMNT_ID_SIMUL</v>
      </c>
      <c r="N33" s="45" t="s">
        <v>13</v>
      </c>
    </row>
    <row r="34" spans="2:14">
      <c r="B34" s="41" t="s">
        <v>27</v>
      </c>
      <c r="C34" s="41" t="s">
        <v>74</v>
      </c>
      <c r="D34" s="41" t="str">
        <f>+UPPER('0. Instruções'!$D$33&amp;"."&amp;VLOOKUP(B34,'0. Instruções'!$C$27:$D$31,2,FALSE))</f>
        <v>BU_LOANTAPE_WORK.LT002_INSTRUMENT</v>
      </c>
      <c r="E34" s="41" t="str">
        <f>+UPPER('0. Instruções'!$D$34&amp;"."&amp;VLOOKUP(B34,'0. Instruções'!$C$27:$E$31,3,FALSE))</f>
        <v>BU_LOANTAPE_WORK.LT002_INSTRUMENT_P3_NOV24</v>
      </c>
      <c r="F34" s="41" t="s">
        <v>174</v>
      </c>
      <c r="G34" s="41" t="s">
        <v>13</v>
      </c>
      <c r="H34" s="41"/>
      <c r="I34" s="41" t="str">
        <f>"(SELECT "&amp;VLOOKUP(B34,'0. Instruções'!$C$27:$G$31,4,FALSE)&amp;", "&amp;F34&amp;" FROM "&amp;D34&amp;" WHERE "&amp;'0. Instruções'!$D$40&amp;")X"</f>
        <v>(SELECT instrmnt_id, LCL_INSTMRNT_ID FROM BU_LOANTAPE_WORK.LT002_INSTRUMENT WHERE ref_date='${ref_date}' AND nome_perimetro='Individual Corporativo' AND segmento='ESTR' AND ambito='PILAR3')X</v>
      </c>
      <c r="J34" s="41" t="str">
        <f>"(SELECT "&amp;VLOOKUP(B34,'0. Instruções'!$C$27:$G$31,4,FALSE)&amp;" AS "&amp;VLOOKUP(B34,'0. Instruções'!$C$27:$G$31,4,FALSE)&amp;"_SIMUL, "&amp;F34&amp;" AS "&amp;F34&amp;"_SIMUL FROM "&amp;E34&amp;")Y"</f>
        <v>(SELECT instrmnt_id AS instrmnt_id_SIMUL, LCL_INSTMRNT_ID AS LCL_INSTMRNT_ID_SIMUL FROM BU_LOANTAPE_WORK.LT002_INSTRUMENT_P3_NOV24)Y</v>
      </c>
      <c r="K34" s="42" t="str">
        <f>+UPPER("ON X."&amp;VLOOKUP(B34,'0. Instruções'!$C$27:$G$31,4,FALSE)&amp;"=Y."&amp;VLOOKUP(B34,'0. Instruções'!$C$27:$G$31,4,FALSE)&amp;"_SIMUL")</f>
        <v>ON X.INSTRMNT_ID=Y.INSTRMNT_ID_SIMUL</v>
      </c>
      <c r="L34" s="42" t="str">
        <f>+IF(C34="Coerência", +IF(LEFT(G34,5)="FLOAT","SELECT '"&amp;UPPER(B34)&amp;"' AS TABELA, '"&amp;UPPER(C34)&amp;"' AS TIPOLOGIA_TESTE,'"&amp;D34&amp;"' AS TABELA_LT,'"&amp;E34&amp;"' AS TABELA_SIMUL,'"&amp;F34&amp;"' AS CAMPO, "&amp;"'${ref_date}' AS REF_DATE, COUNT(*) AS NUM_REG, SUM(IF((ABS(COALESCE(X."&amp;F34&amp;",0)-COALESCE(Y."&amp;F34&amp;"_SIMUL,0))&gt;0.0000000001) OR (X."&amp;F34&amp;" IS NULL AND Y."&amp;F34&amp;"_SIMUL IS NOT NULL ) OR (X."&amp;F34&amp;" IS NOT NULL AND Y."&amp;F34&amp;"_SIMUL IS NULL),1,0)) AS NUM_REG_DIF,'"&amp;MAX('ID1&amp;5'!K:K)+1&amp;"' AS ID_EXEC, CURRENT_TIMESTAMP() AS TIME_EXEC FROM "&amp;I34&amp;" INNER JOIN "&amp;J34&amp;" "&amp;K34,"SELECT '"&amp;UPPER(B34)&amp;"' AS TABELA, '"&amp;UPPER(C34)&amp;"' AS TIPOLOGIA_TESTE,'"&amp;D34&amp;"' AS TABELA_LT,'"&amp;E34&amp;"' AS TABELA_SIMUL,'"&amp;F34&amp;"' AS CAMPO, "&amp;"'${ref_date}' AS REF_DATE, COUNT(*) AS NUM_REG, SUM(IF(COALESCE(CAST(X."&amp;F34&amp;" AS STRING),'')&lt;&gt;COALESCE(CAST(Y."&amp;F34&amp;"_SIMUL AS STRING),''),1,0)) AS NUM_REG_DIF,'"&amp;MAX('ID1&amp;5'!L:L)+1&amp;"' AS ID_EXEC, CURRENT_TIMESTAMP() AS TIME_EXEC FROM "&amp;I34&amp;" INNER JOIN "&amp;J34&amp;" "&amp;K34),
IF(C34="Validade",+IF(G34="Code List","SELECT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 OR CAST(X."&amp;F34&amp;" AS STRING) NOT "&amp;H34&amp;",1,0)) AS NUM_REG_DIF,'"&amp;MAX('ID1&amp;5'!K:K)+1&amp;"' AS ID_EXEC, CURRENT_TIMESTAMP() AS TIME_EXEC FROM "&amp;I34,"SELECT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NULL,1,0)) AS NUM_REG_DIF,'"&amp;MAX('ID1&amp;5'!K:K)+1&amp;"' AS ID_EXEC, CURRENT_TIMESTAMP() AS TIME_EXEC FROM "&amp;I34),
IF(C34="Caracteres Especiais",+"SELECT '"&amp;UPPER(B34)&amp;"' AS TABELA, '"&amp;UPPER(C34)&amp;"' AS TIPOLOGIA_TESTE,'"&amp;D34&amp;"' AS TABELA_LT,'N/A' AS TABELA_SIMUL,'"&amp;F34&amp;"' AS CAMPO, "&amp;"'${ref_date}' AS REF_DATE, COUNT(*) AS NUM_REG, SUM(IF(INSTR(CAST(X."&amp;F34&amp;" AS STRING),'#')&gt;0 OR INSTR(CAST(X."&amp;F34&amp;" AS STRING),'*')&gt;0 OR INSTR(CAST(X."&amp;F34&amp;" AS STRING),'`')&gt;0 OR INSTR(CAST(X."&amp;F34&amp;" AS STRING),'´')&gt;0 OR INSTR(CAST(X."&amp;F34&amp;" AS STRING),'{')&gt;0 OR INSTR(CAST(X."&amp;F34&amp;" AS STRING),'}')&gt;0 OR INSTR(CAST(X."&amp;F34&amp;" AS STRING),'[')&gt;0 OR INSTR(CAST(X."&amp;F34&amp;" AS STRING),'')&gt;0 OR INSTR(CAST(X."&amp;F34&amp;" AS STRING),']')&gt;0 OR INSTR(CAST(X."&amp;F34&amp;" AS STRING),'?')&gt;0 OR INSTR(CAST(X."&amp;F34&amp;" AS STRING),'!')&gt;0 OR INSTR(CAST(X."&amp;F34&amp;" AS STRING),'$')&gt;0 OR INSTR(CAST(X."&amp;F34&amp;" AS STRING),'%')&gt;0 OR INSTR(CAST(X."&amp;F34&amp;" AS STRING),'&amp;')&gt;0 OR INSTR(CAST(X."&amp;F34&amp;" AS STRING),'+')&gt;0,1,0)) AS NUM_REG_DIF,'"&amp;MAX('ID1&amp;5'!K:K)+1&amp;"' AS ID_EXEC, CURRENT_TIMESTAMP() AS TIME_EXEC FROM "&amp;I34,
IF(C34="Missings",+"SELECT '"&amp;UPPER(B34)&amp;"' AS TABELA, '"&amp;UPPER(C34)&amp;"' AS TIPOLOGIA_TESTE,'"&amp;D34&amp;"' AS TABELA_LT,'N/A' AS TABELA_SIMUL,'"&amp;F34&amp;"' AS CAMPO, "&amp;"'${ref_date}' AS REF_DATE, COUNT(*) AS NUM_REG, SUM(IF(TRIM(CAST(X."&amp;F34&amp;" AS STRING)) IN ('0000-00-00','0001-01-01','9999-12-31','MISS','00000','99999999999','99999999999.00','99999999999.000000'),1,0)) AS NUM_REG_DIF,'"&amp;MAX('ID1&amp;5'!K:K)+1&amp;"' AS ID_EXEC, CURRENT_TIMESTAMP() AS TIME_EXEC FROM "&amp;I34,
IF(C34="Not applicable",+"SELECT '"&amp;UPPER(B34)&amp;"' AS TABELA, '"&amp;UPPER(C34)&amp;"' AS TIPOLOGIA_TESTE,'"&amp;D34&amp;"' AS TABELA_LT,'N/A' AS TABELA_SIMUL,'"&amp;F34&amp;"' AS CAMPO, "&amp;"'${ref_date}' AS REF_DATE, COUNT(*) AS NUM_REG, SUM(IF(TRIM(CAST(X."&amp;F34&amp;" AS STRING)) IN ('N/A','11111111111','11111111111.00','11111111111.000000','1111-11-11'),1,0)) AS NUM_REG_DIF,'"&amp;MAX('ID1&amp;5'!K:K)+1&amp;"' AS ID_EXEC, CURRENT_TIMESTAMP() AS TIME_EXEC FROM "&amp;I34,
IF(C34="Valores extremos",+"SELECT '"&amp;UPPER(B34)&amp;"' AS TABELA, '"&amp;UPPER(C34)&amp;"' AS TIPOLOGIA_TESTE,'"&amp;D34&amp;"' AS TABELA_LT,'N/A' AS TABELA_SIMUL,'"&amp;F34&amp;"' AS CAMPO, "&amp;"'${ref_date}' AS REF_DATE, CAST(MIN("&amp;F34&amp;") AS STRING) AS VALOR_MIN, CAST(MAX("&amp;F34&amp;") AS STRING) AS VALOR_MAX,'"&amp;MAX('ID1&amp;5'!K:K)+1&amp;"' AS ID_EXEC, CURRENT_TIMESTAMP() AS TIME_EXEC FROM "&amp;MID(I34,1,LEN(I34)-2)&amp;" AND CAST("&amp;F34&amp;"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TABELA_SIMUL,'LCL_INSTMRNT_ID' AS CAMPO, '${ref_date}' AS REF_DATE, COUNT(*) AS NUM_REG, SUM(IF(COALESCE(CAST(X.LCL_INSTMRNT_ID AS STRING),'')&lt;&gt;COALESCE(CAST(Y.LCL_INSTMRNT_ID_SIMUL AS STRING),''),1,0)) AS NUM_REG_DIF,'1' AS ID_EXEC, CURRENT_TIMESTAMP() AS TIME_EXEC FROM (SELECT instrmnt_id, LCL_INSTMRNT_ID FROM BU_LOANTAPE_WORK.LT002_INSTRUMENT WHERE ref_date='${ref_date}' AND nome_perimetro='Individual Corporativo' AND segmento='ESTR' AND ambito='PILAR3')X INNER JOIN (SELECT instrmnt_id AS instrmnt_id_SIMUL, LCL_INSTMRNT_ID AS LCL_INSTMRNT_ID_SIMUL FROM BU_LOANTAPE_WORK.LT002_INSTRUMENT_P3_NOV24)Y ON X.INSTRMNT_ID=Y.INSTRMNT_ID_SIMUL</v>
      </c>
      <c r="M34" s="43" t="str">
        <f t="shared" si="0"/>
        <v>UNION ALL SELECT 'INSTRUMENT' AS TABELA, 'COERÊNCIA' AS TIPOLOGIA_TESTE,'BU_LOANTAPE_WORK.LT002_INSTRUMENT' AS TABELA_LT,'BU_LOANTAPE_WORK.LT002_INSTRUMENT_P3_NOV24' AS TABELA_SIMUL,'LCL_INSTMRNT_ID' AS CAMPO, '${ref_date}' AS REF_DATE, COUNT(*) AS NUM_REG, SUM(IF(COALESCE(CAST(X.LCL_INSTMRNT_ID AS STRING),'')&lt;&gt;COALESCE(CAST(Y.LCL_INSTMRNT_ID_SIMUL AS STRING),''),1,0)) AS NUM_REG_DIF,'1' AS ID_EXEC, CURRENT_TIMESTAMP() AS TIME_EXEC FROM (SELECT instrmnt_id, LCL_INSTMRNT_ID FROM BU_LOANTAPE_WORK.LT002_INSTRUMENT WHERE ref_date='${ref_date}' AND nome_perimetro='Individual Corporativo' AND segmento='ESTR' AND ambito='PILAR3')X INNER JOIN (SELECT instrmnt_id AS instrmnt_id_SIMUL, LCL_INSTMRNT_ID AS LCL_INSTMRNT_ID_SIMUL FROM BU_LOANTAPE_WORK.LT002_INSTRUMENT_P3_NOV24)Y ON X.INSTRMNT_ID=Y.INSTRMNT_ID_SIMUL</v>
      </c>
      <c r="N34" s="45" t="s">
        <v>13</v>
      </c>
    </row>
    <row r="35" spans="2:14">
      <c r="B35" s="41" t="s">
        <v>27</v>
      </c>
      <c r="C35" s="41" t="s">
        <v>74</v>
      </c>
      <c r="D35" s="41" t="str">
        <f>+UPPER('0. Instruções'!$D$33&amp;"."&amp;VLOOKUP(B35,'0. Instruções'!$C$27:$D$31,2,FALSE))</f>
        <v>BU_LOANTAPE_WORK.LT002_INSTRUMENT</v>
      </c>
      <c r="E35" s="41" t="str">
        <f>+UPPER('0. Instruções'!$D$34&amp;"."&amp;VLOOKUP(B35,'0. Instruções'!$C$27:$E$31,3,FALSE))</f>
        <v>BU_LOANTAPE_WORK.LT002_INSTRUMENT_P3_NOV24</v>
      </c>
      <c r="F35" s="41" t="s">
        <v>180</v>
      </c>
      <c r="G35" s="41" t="s">
        <v>13</v>
      </c>
      <c r="H35" s="41"/>
      <c r="I35" s="41" t="str">
        <f>"(SELECT "&amp;VLOOKUP(B35,'0. Instruções'!$C$27:$G$31,4,FALSE)&amp;", "&amp;F35&amp;" FROM "&amp;D35&amp;" WHERE "&amp;'0. Instruções'!$D$40&amp;")X"</f>
        <v>(SELECT instrmnt_id, IDCMB FROM BU_LOANTAPE_WORK.LT002_INSTRUMENT WHERE ref_date='${ref_date}' AND nome_perimetro='Individual Corporativo' AND segmento='ESTR' AND ambito='PILAR3')X</v>
      </c>
      <c r="J35" s="41" t="str">
        <f>"(SELECT "&amp;VLOOKUP(B35,'0. Instruções'!$C$27:$G$31,4,FALSE)&amp;" AS "&amp;VLOOKUP(B35,'0. Instruções'!$C$27:$G$31,4,FALSE)&amp;"_SIMUL, "&amp;F35&amp;" AS "&amp;F35&amp;"_SIMUL FROM "&amp;E35&amp;")Y"</f>
        <v>(SELECT instrmnt_id AS instrmnt_id_SIMUL, IDCMB AS IDCMB_SIMUL FROM BU_LOANTAPE_WORK.LT002_INSTRUMENT_P3_NOV24)Y</v>
      </c>
      <c r="K35" s="42" t="str">
        <f>+UPPER("ON X."&amp;VLOOKUP(B35,'0. Instruções'!$C$27:$G$31,4,FALSE)&amp;"=Y."&amp;VLOOKUP(B35,'0. Instruções'!$C$27:$G$31,4,FALSE)&amp;"_SIMUL")</f>
        <v>ON X.INSTRMNT_ID=Y.INSTRMNT_ID_SIMUL</v>
      </c>
      <c r="L35" s="42" t="str">
        <f>+IF(C35="Coerência", +IF(LEFT(G35,5)="FLOAT","SELECT '"&amp;UPPER(B35)&amp;"' AS TABELA, '"&amp;UPPER(C35)&amp;"' AS TIPOLOGIA_TESTE,'"&amp;D35&amp;"' AS TABELA_LT,'"&amp;E35&amp;"' AS TABELA_SIMUL,'"&amp;F35&amp;"' AS CAMPO, "&amp;"'${ref_date}' AS REF_DATE, COUNT(*) AS NUM_REG, SUM(IF((ABS(COALESCE(X."&amp;F35&amp;",0)-COALESCE(Y."&amp;F35&amp;"_SIMUL,0))&gt;0.0000000001) OR (X."&amp;F35&amp;" IS NULL AND Y."&amp;F35&amp;"_SIMUL IS NOT NULL ) OR (X."&amp;F35&amp;" IS NOT NULL AND Y."&amp;F35&amp;"_SIMUL IS NULL),1,0)) AS NUM_REG_DIF,'"&amp;MAX('ID1&amp;5'!K:K)+1&amp;"' AS ID_EXEC, CURRENT_TIMESTAMP() AS TIME_EXEC FROM "&amp;I35&amp;" INNER JOIN "&amp;J35&amp;" "&amp;K35,"SELECT '"&amp;UPPER(B35)&amp;"' AS TABELA, '"&amp;UPPER(C35)&amp;"' AS TIPOLOGIA_TESTE,'"&amp;D35&amp;"' AS TABELA_LT,'"&amp;E35&amp;"' AS TABELA_SIMUL,'"&amp;F35&amp;"' AS CAMPO, "&amp;"'${ref_date}' AS REF_DATE, COUNT(*) AS NUM_REG, SUM(IF(COALESCE(CAST(X."&amp;F35&amp;" AS STRING),'')&lt;&gt;COALESCE(CAST(Y."&amp;F35&amp;"_SIMUL AS STRING),''),1,0)) AS NUM_REG_DIF,'"&amp;MAX('ID1&amp;5'!L:L)+1&amp;"' AS ID_EXEC, CURRENT_TIMESTAMP() AS TIME_EXEC FROM "&amp;I35&amp;" INNER JOIN "&amp;J35&amp;" "&amp;K35),
IF(C35="Validade",+IF(G35="Code List","SELECT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 OR CAST(X."&amp;F35&amp;" AS STRING) NOT "&amp;H35&amp;",1,0)) AS NUM_REG_DIF,'"&amp;MAX('ID1&amp;5'!K:K)+1&amp;"' AS ID_EXEC, CURRENT_TIMESTAMP() AS TIME_EXEC FROM "&amp;I35,"SELECT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NULL,1,0)) AS NUM_REG_DIF,'"&amp;MAX('ID1&amp;5'!K:K)+1&amp;"' AS ID_EXEC, CURRENT_TIMESTAMP() AS TIME_EXEC FROM "&amp;I35),
IF(C35="Caracteres Especiais",+"SELECT '"&amp;UPPER(B35)&amp;"' AS TABELA, '"&amp;UPPER(C35)&amp;"' AS TIPOLOGIA_TESTE,'"&amp;D35&amp;"' AS TABELA_LT,'N/A' AS TABELA_SIMUL,'"&amp;F35&amp;"' AS CAMPO, "&amp;"'${ref_date}' AS REF_DATE, COUNT(*) AS NUM_REG, SUM(IF(INSTR(CAST(X."&amp;F35&amp;" AS STRING),'#')&gt;0 OR INSTR(CAST(X."&amp;F35&amp;" AS STRING),'*')&gt;0 OR INSTR(CAST(X."&amp;F35&amp;" AS STRING),'`')&gt;0 OR INSTR(CAST(X."&amp;F35&amp;" AS STRING),'´')&gt;0 OR INSTR(CAST(X."&amp;F35&amp;" AS STRING),'{')&gt;0 OR INSTR(CAST(X."&amp;F35&amp;" AS STRING),'}')&gt;0 OR INSTR(CAST(X."&amp;F35&amp;" AS STRING),'[')&gt;0 OR INSTR(CAST(X."&amp;F35&amp;" AS STRING),'')&gt;0 OR INSTR(CAST(X."&amp;F35&amp;" AS STRING),']')&gt;0 OR INSTR(CAST(X."&amp;F35&amp;" AS STRING),'?')&gt;0 OR INSTR(CAST(X."&amp;F35&amp;" AS STRING),'!')&gt;0 OR INSTR(CAST(X."&amp;F35&amp;" AS STRING),'$')&gt;0 OR INSTR(CAST(X."&amp;F35&amp;" AS STRING),'%')&gt;0 OR INSTR(CAST(X."&amp;F35&amp;" AS STRING),'&amp;')&gt;0 OR INSTR(CAST(X."&amp;F35&amp;" AS STRING),'+')&gt;0,1,0)) AS NUM_REG_DIF,'"&amp;MAX('ID1&amp;5'!K:K)+1&amp;"' AS ID_EXEC, CURRENT_TIMESTAMP() AS TIME_EXEC FROM "&amp;I35,
IF(C35="Missings",+"SELECT '"&amp;UPPER(B35)&amp;"' AS TABELA, '"&amp;UPPER(C35)&amp;"' AS TIPOLOGIA_TESTE,'"&amp;D35&amp;"' AS TABELA_LT,'N/A' AS TABELA_SIMUL,'"&amp;F35&amp;"' AS CAMPO, "&amp;"'${ref_date}' AS REF_DATE, COUNT(*) AS NUM_REG, SUM(IF(TRIM(CAST(X."&amp;F35&amp;" AS STRING)) IN ('0000-00-00','0001-01-01','9999-12-31','MISS','00000','99999999999','99999999999.00','99999999999.000000'),1,0)) AS NUM_REG_DIF,'"&amp;MAX('ID1&amp;5'!K:K)+1&amp;"' AS ID_EXEC, CURRENT_TIMESTAMP() AS TIME_EXEC FROM "&amp;I35,
IF(C35="Not applicable",+"SELECT '"&amp;UPPER(B35)&amp;"' AS TABELA, '"&amp;UPPER(C35)&amp;"' AS TIPOLOGIA_TESTE,'"&amp;D35&amp;"' AS TABELA_LT,'N/A' AS TABELA_SIMUL,'"&amp;F35&amp;"' AS CAMPO, "&amp;"'${ref_date}' AS REF_DATE, COUNT(*) AS NUM_REG, SUM(IF(TRIM(CAST(X."&amp;F35&amp;" AS STRING)) IN ('N/A','11111111111','11111111111.00','11111111111.000000','1111-11-11'),1,0)) AS NUM_REG_DIF,'"&amp;MAX('ID1&amp;5'!K:K)+1&amp;"' AS ID_EXEC, CURRENT_TIMESTAMP() AS TIME_EXEC FROM "&amp;I35,
IF(C35="Valores extremos",+"SELECT '"&amp;UPPER(B35)&amp;"' AS TABELA, '"&amp;UPPER(C35)&amp;"' AS TIPOLOGIA_TESTE,'"&amp;D35&amp;"' AS TABELA_LT,'N/A' AS TABELA_SIMUL,'"&amp;F35&amp;"' AS CAMPO, "&amp;"'${ref_date}' AS REF_DATE, CAST(MIN("&amp;F35&amp;") AS STRING) AS VALOR_MIN, CAST(MAX("&amp;F35&amp;") AS STRING) AS VALOR_MAX,'"&amp;MAX('ID1&amp;5'!K:K)+1&amp;"' AS ID_EXEC, CURRENT_TIMESTAMP() AS TIME_EXEC FROM "&amp;MID(I35,1,LEN(I35)-2)&amp;" AND CAST("&amp;F35&amp;"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TIPOLOGIA_TESTE,'BU_LOANTAPE_WORK.LT002_INSTRUMENT' AS TABELA_LT,'BU_LOANTAPE_WORK.LT002_INSTRUMENT_P3_NOV24' AS TABELA_SIMUL,'IDCMB' AS CAMPO, '${ref_date}' AS REF_DATE, COUNT(*) AS NUM_REG, SUM(IF(COALESCE(CAST(X.IDCMB AS STRING),'')&lt;&gt;COALESCE(CAST(Y.IDCMB_SIMUL AS STRING),''),1,0)) AS NUM_REG_DIF,'1' AS ID_EXEC, CURRENT_TIMESTAMP() AS TIME_EXEC FROM (SELECT instrmnt_id, IDCMB FROM BU_LOANTAPE_WORK.LT002_INSTRUMENT WHERE ref_date='${ref_date}' AND nome_perimetro='Individual Corporativo' AND segmento='ESTR' AND ambito='PILAR3')X INNER JOIN (SELECT instrmnt_id AS instrmnt_id_SIMUL, IDCMB AS IDCMB_SIMUL FROM BU_LOANTAPE_WORK.LT002_INSTRUMENT_P3_NOV24)Y ON X.INSTRMNT_ID=Y.INSTRMNT_ID_SIMUL</v>
      </c>
      <c r="M35" s="43" t="str">
        <f t="shared" si="0"/>
        <v>UNION ALL SELECT 'INSTRUMENT' AS TABELA, 'COERÊNCIA' AS TIPOLOGIA_TESTE,'BU_LOANTAPE_WORK.LT002_INSTRUMENT' AS TABELA_LT,'BU_LOANTAPE_WORK.LT002_INSTRUMENT_P3_NOV24' AS TABELA_SIMUL,'IDCMB' AS CAMPO, '${ref_date}' AS REF_DATE, COUNT(*) AS NUM_REG, SUM(IF(COALESCE(CAST(X.IDCMB AS STRING),'')&lt;&gt;COALESCE(CAST(Y.IDCMB_SIMUL AS STRING),''),1,0)) AS NUM_REG_DIF,'1' AS ID_EXEC, CURRENT_TIMESTAMP() AS TIME_EXEC FROM (SELECT instrmnt_id, IDCMB FROM BU_LOANTAPE_WORK.LT002_INSTRUMENT WHERE ref_date='${ref_date}' AND nome_perimetro='Individual Corporativo' AND segmento='ESTR' AND ambito='PILAR3')X INNER JOIN (SELECT instrmnt_id AS instrmnt_id_SIMUL, IDCMB AS IDCMB_SIMUL FROM BU_LOANTAPE_WORK.LT002_INSTRUMENT_P3_NOV24)Y ON X.INSTRMNT_ID=Y.INSTRMNT_ID_SIMUL</v>
      </c>
      <c r="N35" s="45" t="s">
        <v>13</v>
      </c>
    </row>
    <row r="36" spans="2:14">
      <c r="B36" s="41" t="s">
        <v>23</v>
      </c>
      <c r="C36" s="41" t="s">
        <v>74</v>
      </c>
      <c r="D36" s="41" t="str">
        <f>+UPPER('0. Instruções'!$D$33&amp;"."&amp;VLOOKUP(B36,'0. Instruções'!$C$27:$D$31,2,FALSE))</f>
        <v>BU_LOANTAPE_WORK.LT003_ENTITY</v>
      </c>
      <c r="E36" s="41" t="str">
        <f>+UPPER('0. Instruções'!$D$34&amp;"."&amp;VLOOKUP(B36,'0. Instruções'!$C$27:$E$31,3,FALSE))</f>
        <v>BU_LOANTAPE_WORK.LT003_ENTTY_P3_NOV24</v>
      </c>
      <c r="F36" s="41" t="s">
        <v>99</v>
      </c>
      <c r="G36" s="41" t="s">
        <v>209</v>
      </c>
      <c r="H36" s="41"/>
      <c r="I36" s="41" t="str">
        <f>"(SELECT "&amp;VLOOKUP(B36,'0. Instruções'!$C$27:$G$31,4,FALSE)&amp;", "&amp;F36&amp;" FROM "&amp;D36&amp;" WHERE "&amp;'0. Instruções'!$D$40&amp;")X"</f>
        <v>(SELECT entty_id, NACE_ESG FROM BU_LOANTAPE_WORK.LT003_ENTITY WHERE ref_date='${ref_date}' AND nome_perimetro='Individual Corporativo' AND segmento='ESTR' AND ambito='PILAR3')X</v>
      </c>
      <c r="J36" s="41" t="str">
        <f>"(SELECT "&amp;VLOOKUP(B36,'0. Instruções'!$C$27:$G$31,4,FALSE)&amp;" AS "&amp;VLOOKUP(B36,'0. Instruções'!$C$27:$G$31,4,FALSE)&amp;"_SIMUL, "&amp;F36&amp;" AS "&amp;F36&amp;"_SIMUL FROM "&amp;E36&amp;")Y"</f>
        <v>(SELECT entty_id AS entty_id_SIMUL, NACE_ESG AS NACE_ESG_SIMUL FROM BU_LOANTAPE_WORK.LT003_ENTTY_P3_NOV24)Y</v>
      </c>
      <c r="K36" s="42" t="str">
        <f>+UPPER("ON X."&amp;VLOOKUP(B36,'0. Instruções'!$C$27:$G$31,4,FALSE)&amp;"=Y."&amp;VLOOKUP(B36,'0. Instruções'!$C$27:$G$31,4,FALSE)&amp;"_SIMUL")</f>
        <v>ON X.ENTTY_ID=Y.ENTTY_ID_SIMUL</v>
      </c>
      <c r="L36" s="42" t="str">
        <f>+IF(C36="Coerência", +IF(LEFT(G36,5)="FLOAT","SELECT '"&amp;UPPER(B36)&amp;"' AS TABELA, '"&amp;UPPER(C36)&amp;"' AS TIPOLOGIA_TESTE,'"&amp;D36&amp;"' AS TABELA_LT,'"&amp;E36&amp;"' AS TABELA_SIMUL,'"&amp;F36&amp;"' AS CAMPO, "&amp;"'${ref_date}' AS REF_DATE, COUNT(*) AS NUM_REG, SUM(IF((ABS(COALESCE(X."&amp;F36&amp;",0)-COALESCE(Y."&amp;F36&amp;"_SIMUL,0))&gt;0.0000000001) OR (X."&amp;F36&amp;" IS NULL AND Y."&amp;F36&amp;"_SIMUL IS NOT NULL ) OR (X."&amp;F36&amp;" IS NOT NULL AND Y."&amp;F36&amp;"_SIMUL IS NULL),1,0)) AS NUM_REG_DIF,'"&amp;MAX('ID1&amp;5'!K:K)+1&amp;"' AS ID_EXEC, CURRENT_TIMESTAMP() AS TIME_EXEC FROM "&amp;I36&amp;" INNER JOIN "&amp;J36&amp;" "&amp;K36,"SELECT '"&amp;UPPER(B36)&amp;"' AS TABELA, '"&amp;UPPER(C36)&amp;"' AS TIPOLOGIA_TESTE,'"&amp;D36&amp;"' AS TABELA_LT,'"&amp;E36&amp;"' AS TABELA_SIMUL,'"&amp;F36&amp;"' AS CAMPO, "&amp;"'${ref_date}' AS REF_DATE, COUNT(*) AS NUM_REG, SUM(IF(COALESCE(CAST(X."&amp;F36&amp;" AS STRING),'')&lt;&gt;COALESCE(CAST(Y."&amp;F36&amp;"_SIMUL AS STRING),''),1,0)) AS NUM_REG_DIF,'"&amp;MAX('ID1&amp;5'!L:L)+1&amp;"' AS ID_EXEC, CURRENT_TIMESTAMP() AS TIME_EXEC FROM "&amp;I36&amp;" INNER JOIN "&amp;J36&amp;" "&amp;K36),
IF(C36="Validade",+IF(G36="Code List","SELECT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 OR CAST(X."&amp;F36&amp;" AS STRING) NOT "&amp;H36&amp;",1,0)) AS NUM_REG_DIF,'"&amp;MAX('ID1&amp;5'!K:K)+1&amp;"' AS ID_EXEC, CURRENT_TIMESTAMP() AS TIME_EXEC FROM "&amp;I36,"SELECT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NULL,1,0)) AS NUM_REG_DIF,'"&amp;MAX('ID1&amp;5'!K:K)+1&amp;"' AS ID_EXEC, CURRENT_TIMESTAMP() AS TIME_EXEC FROM "&amp;I36),
IF(C36="Caracteres Especiais",+"SELECT '"&amp;UPPER(B36)&amp;"' AS TABELA, '"&amp;UPPER(C36)&amp;"' AS TIPOLOGIA_TESTE,'"&amp;D36&amp;"' AS TABELA_LT,'N/A' AS TABELA_SIMUL,'"&amp;F36&amp;"' AS CAMPO, "&amp;"'${ref_date}' AS REF_DATE, COUNT(*) AS NUM_REG, SUM(IF(INSTR(CAST(X."&amp;F36&amp;" AS STRING),'#')&gt;0 OR INSTR(CAST(X."&amp;F36&amp;" AS STRING),'*')&gt;0 OR INSTR(CAST(X."&amp;F36&amp;" AS STRING),'`')&gt;0 OR INSTR(CAST(X."&amp;F36&amp;" AS STRING),'´')&gt;0 OR INSTR(CAST(X."&amp;F36&amp;" AS STRING),'{')&gt;0 OR INSTR(CAST(X."&amp;F36&amp;" AS STRING),'}')&gt;0 OR INSTR(CAST(X."&amp;F36&amp;" AS STRING),'[')&gt;0 OR INSTR(CAST(X."&amp;F36&amp;" AS STRING),'')&gt;0 OR INSTR(CAST(X."&amp;F36&amp;" AS STRING),']')&gt;0 OR INSTR(CAST(X."&amp;F36&amp;" AS STRING),'?')&gt;0 OR INSTR(CAST(X."&amp;F36&amp;" AS STRING),'!')&gt;0 OR INSTR(CAST(X."&amp;F36&amp;" AS STRING),'$')&gt;0 OR INSTR(CAST(X."&amp;F36&amp;" AS STRING),'%')&gt;0 OR INSTR(CAST(X."&amp;F36&amp;" AS STRING),'&amp;')&gt;0 OR INSTR(CAST(X."&amp;F36&amp;" AS STRING),'+')&gt;0,1,0)) AS NUM_REG_DIF,'"&amp;MAX('ID1&amp;5'!K:K)+1&amp;"' AS ID_EXEC, CURRENT_TIMESTAMP() AS TIME_EXEC FROM "&amp;I36,
IF(C36="Missings",+"SELECT '"&amp;UPPER(B36)&amp;"' AS TABELA, '"&amp;UPPER(C36)&amp;"' AS TIPOLOGIA_TESTE,'"&amp;D36&amp;"' AS TABELA_LT,'N/A' AS TABELA_SIMUL,'"&amp;F36&amp;"' AS CAMPO, "&amp;"'${ref_date}' AS REF_DATE, COUNT(*) AS NUM_REG, SUM(IF(TRIM(CAST(X."&amp;F36&amp;" AS STRING)) IN ('0000-00-00','0001-01-01','9999-12-31','MISS','00000','99999999999','99999999999.00','99999999999.000000'),1,0)) AS NUM_REG_DIF,'"&amp;MAX('ID1&amp;5'!K:K)+1&amp;"' AS ID_EXEC, CURRENT_TIMESTAMP() AS TIME_EXEC FROM "&amp;I36,
IF(C36="Not applicable",+"SELECT '"&amp;UPPER(B36)&amp;"' AS TABELA, '"&amp;UPPER(C36)&amp;"' AS TIPOLOGIA_TESTE,'"&amp;D36&amp;"' AS TABELA_LT,'N/A' AS TABELA_SIMUL,'"&amp;F36&amp;"' AS CAMPO, "&amp;"'${ref_date}' AS REF_DATE, COUNT(*) AS NUM_REG, SUM(IF(TRIM(CAST(X."&amp;F36&amp;" AS STRING)) IN ('N/A','11111111111','11111111111.00','11111111111.000000','1111-11-11'),1,0)) AS NUM_REG_DIF,'"&amp;MAX('ID1&amp;5'!K:K)+1&amp;"' AS ID_EXEC, CURRENT_TIMESTAMP() AS TIME_EXEC FROM "&amp;I36,
IF(C36="Valores extremos",+"SELECT '"&amp;UPPER(B36)&amp;"' AS TABELA, '"&amp;UPPER(C36)&amp;"' AS TIPOLOGIA_TESTE,'"&amp;D36&amp;"' AS TABELA_LT,'N/A' AS TABELA_SIMUL,'"&amp;F36&amp;"' AS CAMPO, "&amp;"'${ref_date}' AS REF_DATE, CAST(MIN("&amp;F36&amp;") AS STRING) AS VALOR_MIN, CAST(MAX("&amp;F36&amp;") AS STRING) AS VALOR_MAX,'"&amp;MAX('ID1&amp;5'!K:K)+1&amp;"' AS ID_EXEC, CURRENT_TIMESTAMP() AS TIME_EXEC FROM "&amp;MID(I36,1,LEN(I36)-2)&amp;" AND CAST("&amp;F36&amp;"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TABELA_SIMUL,'NACE_ESG' AS CAMPO, '${ref_date}' AS REF_DATE, COUNT(*) AS NUM_REG, SUM(IF(COALESCE(CAST(X.NACE_ESG AS STRING),'')&lt;&gt;COALESCE(CAST(Y.NACE_ESG_SIMUL AS STRING),''),1,0)) AS NUM_REG_DIF,'1' AS ID_EXEC, CURRENT_TIMESTAMP() AS TIME_EXEC FROM (SELECT entty_id, NACE_ESG FROM BU_LOANTAPE_WORK.LT003_ENTITY WHERE ref_date='${ref_date}' AND nome_perimetro='Individual Corporativo' AND segmento='ESTR' AND ambito='PILAR3')X INNER JOIN (SELECT entty_id AS entty_id_SIMUL, NACE_ESG AS NACE_ESG_SIMUL FROM BU_LOANTAPE_WORK.LT003_ENTTY_P3_NOV24)Y ON X.ENTTY_ID=Y.ENTTY_ID_SIMUL</v>
      </c>
      <c r="M36" s="43" t="str">
        <f t="shared" si="0"/>
        <v>UNION ALL SELECT 'ENTITY' AS TABELA, 'COERÊNCIA' AS TIPOLOGIA_TESTE,'BU_LOANTAPE_WORK.LT003_ENTITY' AS TABELA_LT,'BU_LOANTAPE_WORK.LT003_ENTTY_P3_NOV24' AS TABELA_SIMUL,'NACE_ESG' AS CAMPO, '${ref_date}' AS REF_DATE, COUNT(*) AS NUM_REG, SUM(IF(COALESCE(CAST(X.NACE_ESG AS STRING),'')&lt;&gt;COALESCE(CAST(Y.NACE_ESG_SIMUL AS STRING),''),1,0)) AS NUM_REG_DIF,'1' AS ID_EXEC, CURRENT_TIMESTAMP() AS TIME_EXEC FROM (SELECT entty_id, NACE_ESG FROM BU_LOANTAPE_WORK.LT003_ENTITY WHERE ref_date='${ref_date}' AND nome_perimetro='Individual Corporativo' AND segmento='ESTR' AND ambito='PILAR3')X INNER JOIN (SELECT entty_id AS entty_id_SIMUL, NACE_ESG AS NACE_ESG_SIMUL FROM BU_LOANTAPE_WORK.LT003_ENTTY_P3_NOV24)Y ON X.ENTTY_ID=Y.ENTTY_ID_SIMUL</v>
      </c>
      <c r="N36" s="45" t="s">
        <v>13</v>
      </c>
    </row>
    <row r="37" spans="2:14">
      <c r="B37" s="41" t="s">
        <v>23</v>
      </c>
      <c r="C37" s="41" t="s">
        <v>74</v>
      </c>
      <c r="D37" s="41" t="str">
        <f>+UPPER('0. Instruções'!$D$33&amp;"."&amp;VLOOKUP(B37,'0. Instruções'!$C$27:$D$31,2,FALSE))</f>
        <v>BU_LOANTAPE_WORK.LT003_ENTITY</v>
      </c>
      <c r="E37" s="41" t="str">
        <f>+UPPER('0. Instruções'!$D$34&amp;"."&amp;VLOOKUP(B37,'0. Instruções'!$C$27:$E$31,3,FALSE))</f>
        <v>BU_LOANTAPE_WORK.LT003_ENTTY_P3_NOV24</v>
      </c>
      <c r="F37" s="41" t="s">
        <v>100</v>
      </c>
      <c r="G37" s="41" t="s">
        <v>210</v>
      </c>
      <c r="H37" s="41"/>
      <c r="I37" s="41" t="str">
        <f>"(SELECT "&amp;VLOOKUP(B37,'0. Instruções'!$C$27:$G$31,4,FALSE)&amp;", "&amp;F37&amp;" FROM "&amp;D37&amp;" WHERE "&amp;'0. Instruções'!$D$40&amp;")X"</f>
        <v>(SELECT entty_id, TXNMY_ELGBL_CAPEX_CCM FROM BU_LOANTAPE_WORK.LT003_ENTITY WHERE ref_date='${ref_date}' AND nome_perimetro='Individual Corporativo' AND segmento='ESTR' AND ambito='PILAR3')X</v>
      </c>
      <c r="J37" s="41" t="str">
        <f>"(SELECT "&amp;VLOOKUP(B37,'0. Instruções'!$C$27:$G$31,4,FALSE)&amp;" AS "&amp;VLOOKUP(B37,'0. Instruções'!$C$27:$G$31,4,FALSE)&amp;"_SIMUL, "&amp;F37&amp;" AS "&amp;F37&amp;"_SIMUL FROM "&amp;E37&amp;")Y"</f>
        <v>(SELECT entty_id AS entty_id_SIMUL, TXNMY_ELGBL_CAPEX_CCM AS TXNMY_ELGBL_CAPEX_CCM_SIMUL FROM BU_LOANTAPE_WORK.LT003_ENTTY_P3_NOV24)Y</v>
      </c>
      <c r="K37" s="42" t="str">
        <f>+UPPER("ON X."&amp;VLOOKUP(B37,'0. Instruções'!$C$27:$G$31,4,FALSE)&amp;"=Y."&amp;VLOOKUP(B37,'0. Instruções'!$C$27:$G$31,4,FALSE)&amp;"_SIMUL")</f>
        <v>ON X.ENTTY_ID=Y.ENTTY_ID_SIMUL</v>
      </c>
      <c r="L37" s="42" t="str">
        <f>+IF(C37="Coerência", +IF(LEFT(G37,5)="FLOAT","SELECT '"&amp;UPPER(B37)&amp;"' AS TABELA, '"&amp;UPPER(C37)&amp;"' AS TIPOLOGIA_TESTE,'"&amp;D37&amp;"' AS TABELA_LT,'"&amp;E37&amp;"' AS TABELA_SIMUL,'"&amp;F37&amp;"' AS CAMPO, "&amp;"'${ref_date}' AS REF_DATE, COUNT(*) AS NUM_REG, SUM(IF((ABS(COALESCE(X."&amp;F37&amp;",0)-COALESCE(Y."&amp;F37&amp;"_SIMUL,0))&gt;0.0000000001) OR (X."&amp;F37&amp;" IS NULL AND Y."&amp;F37&amp;"_SIMUL IS NOT NULL ) OR (X."&amp;F37&amp;" IS NOT NULL AND Y."&amp;F37&amp;"_SIMUL IS NULL),1,0)) AS NUM_REG_DIF,'"&amp;MAX('ID1&amp;5'!K:K)+1&amp;"' AS ID_EXEC, CURRENT_TIMESTAMP() AS TIME_EXEC FROM "&amp;I37&amp;" INNER JOIN "&amp;J37&amp;" "&amp;K37,"SELECT '"&amp;UPPER(B37)&amp;"' AS TABELA, '"&amp;UPPER(C37)&amp;"' AS TIPOLOGIA_TESTE,'"&amp;D37&amp;"' AS TABELA_LT,'"&amp;E37&amp;"' AS TABELA_SIMUL,'"&amp;F37&amp;"' AS CAMPO, "&amp;"'${ref_date}' AS REF_DATE, COUNT(*) AS NUM_REG, SUM(IF(COALESCE(CAST(X."&amp;F37&amp;" AS STRING),'')&lt;&gt;COALESCE(CAST(Y."&amp;F37&amp;"_SIMUL AS STRING),''),1,0)) AS NUM_REG_DIF,'"&amp;MAX('ID1&amp;5'!L:L)+1&amp;"' AS ID_EXEC, CURRENT_TIMESTAMP() AS TIME_EXEC FROM "&amp;I37&amp;" INNER JOIN "&amp;J37&amp;" "&amp;K37),
IF(C37="Validade",+IF(G37="Code List","SELECT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 OR CAST(X."&amp;F37&amp;" AS STRING) NOT "&amp;H37&amp;",1,0)) AS NUM_REG_DIF,'"&amp;MAX('ID1&amp;5'!K:K)+1&amp;"' AS ID_EXEC, CURRENT_TIMESTAMP() AS TIME_EXEC FROM "&amp;I37,"SELECT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NULL,1,0)) AS NUM_REG_DIF,'"&amp;MAX('ID1&amp;5'!K:K)+1&amp;"' AS ID_EXEC, CURRENT_TIMESTAMP() AS TIME_EXEC FROM "&amp;I37),
IF(C37="Caracteres Especiais",+"SELECT '"&amp;UPPER(B37)&amp;"' AS TABELA, '"&amp;UPPER(C37)&amp;"' AS TIPOLOGIA_TESTE,'"&amp;D37&amp;"' AS TABELA_LT,'N/A' AS TABELA_SIMUL,'"&amp;F37&amp;"' AS CAMPO, "&amp;"'${ref_date}' AS REF_DATE, COUNT(*) AS NUM_REG, SUM(IF(INSTR(CAST(X."&amp;F37&amp;" AS STRING),'#')&gt;0 OR INSTR(CAST(X."&amp;F37&amp;" AS STRING),'*')&gt;0 OR INSTR(CAST(X."&amp;F37&amp;" AS STRING),'`')&gt;0 OR INSTR(CAST(X."&amp;F37&amp;" AS STRING),'´')&gt;0 OR INSTR(CAST(X."&amp;F37&amp;" AS STRING),'{')&gt;0 OR INSTR(CAST(X."&amp;F37&amp;" AS STRING),'}')&gt;0 OR INSTR(CAST(X."&amp;F37&amp;" AS STRING),'[')&gt;0 OR INSTR(CAST(X."&amp;F37&amp;" AS STRING),'')&gt;0 OR INSTR(CAST(X."&amp;F37&amp;" AS STRING),']')&gt;0 OR INSTR(CAST(X."&amp;F37&amp;" AS STRING),'?')&gt;0 OR INSTR(CAST(X."&amp;F37&amp;" AS STRING),'!')&gt;0 OR INSTR(CAST(X."&amp;F37&amp;" AS STRING),'$')&gt;0 OR INSTR(CAST(X."&amp;F37&amp;" AS STRING),'%')&gt;0 OR INSTR(CAST(X."&amp;F37&amp;" AS STRING),'&amp;')&gt;0 OR INSTR(CAST(X."&amp;F37&amp;" AS STRING),'+')&gt;0,1,0)) AS NUM_REG_DIF,'"&amp;MAX('ID1&amp;5'!K:K)+1&amp;"' AS ID_EXEC, CURRENT_TIMESTAMP() AS TIME_EXEC FROM "&amp;I37,
IF(C37="Missings",+"SELECT '"&amp;UPPER(B37)&amp;"' AS TABELA, '"&amp;UPPER(C37)&amp;"' AS TIPOLOGIA_TESTE,'"&amp;D37&amp;"' AS TABELA_LT,'N/A' AS TABELA_SIMUL,'"&amp;F37&amp;"' AS CAMPO, "&amp;"'${ref_date}' AS REF_DATE, COUNT(*) AS NUM_REG, SUM(IF(TRIM(CAST(X."&amp;F37&amp;" AS STRING)) IN ('0000-00-00','0001-01-01','9999-12-31','MISS','00000','99999999999','99999999999.00','99999999999.000000'),1,0)) AS NUM_REG_DIF,'"&amp;MAX('ID1&amp;5'!K:K)+1&amp;"' AS ID_EXEC, CURRENT_TIMESTAMP() AS TIME_EXEC FROM "&amp;I37,
IF(C37="Not applicable",+"SELECT '"&amp;UPPER(B37)&amp;"' AS TABELA, '"&amp;UPPER(C37)&amp;"' AS TIPOLOGIA_TESTE,'"&amp;D37&amp;"' AS TABELA_LT,'N/A' AS TABELA_SIMUL,'"&amp;F37&amp;"' AS CAMPO, "&amp;"'${ref_date}' AS REF_DATE, COUNT(*) AS NUM_REG, SUM(IF(TRIM(CAST(X."&amp;F37&amp;" AS STRING)) IN ('N/A','11111111111','11111111111.00','11111111111.000000','1111-11-11'),1,0)) AS NUM_REG_DIF,'"&amp;MAX('ID1&amp;5'!K:K)+1&amp;"' AS ID_EXEC, CURRENT_TIMESTAMP() AS TIME_EXEC FROM "&amp;I37,
IF(C37="Valores extremos",+"SELECT '"&amp;UPPER(B37)&amp;"' AS TABELA, '"&amp;UPPER(C37)&amp;"' AS TIPOLOGIA_TESTE,'"&amp;D37&amp;"' AS TABELA_LT,'N/A' AS TABELA_SIMUL,'"&amp;F37&amp;"' AS CAMPO, "&amp;"'${ref_date}' AS REF_DATE, CAST(MIN("&amp;F37&amp;") AS STRING) AS VALOR_MIN, CAST(MAX("&amp;F37&amp;") AS STRING) AS VALOR_MAX,'"&amp;MAX('ID1&amp;5'!K:K)+1&amp;"' AS ID_EXEC, CURRENT_TIMESTAMP() AS TIME_EXEC FROM "&amp;MID(I37,1,LEN(I37)-2)&amp;" AND CAST("&amp;F37&amp;"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TABELA_SIMUL,'TXNMY_ELGBL_CAPEX_CCM' AS CAMPO, '${ref_date}' AS REF_DATE, COUNT(*) AS NUM_REG, SUM(IF((ABS(COALESCE(X.TXNMY_ELGBL_CAPEX_CCM,0)-COALESCE(Y.TXNMY_ELGBL_CAPEX_CCM_SIMUL,0))&gt;0.0000000001) OR (X.TXNMY_ELGBL_CAPEX_CCM IS NULL AND Y.TXNMY_ELGBL_CAPEX_CCM_SIMUL IS NOT NULL ) OR (X.TXNMY_ELGBL_CAPEX_CCM IS NOT NULL AND Y.TXNMY_ELGBL_CAPEX_CCM_SIMUL IS NULL),1,0)) AS NUM_REG_DIF,'10' AS ID_EXEC, CURRENT_TIMESTAMP() AS TIME_EXEC FROM (SELECT entty_id, TXNMY_ELGBL_CAPEX_CCM FROM BU_LOANTAPE_WORK.LT003_ENTITY WHERE ref_date='${ref_date}' AND nome_perimetro='Individual Corporativo' AND segmento='ESTR' AND ambito='PILAR3')X INNER JOIN (SELECT entty_id AS entty_id_SIMUL, TXNMY_ELGBL_CAPEX_CCM AS TXNMY_ELGBL_CAPEX_CCM_SIMUL FROM BU_LOANTAPE_WORK.LT003_ENTTY_P3_NOV24)Y ON X.ENTTY_ID=Y.ENTTY_ID_SIMUL</v>
      </c>
      <c r="M37" s="43" t="str">
        <f t="shared" si="0"/>
        <v>UNION ALL SELECT 'ENTITY' AS TABELA, 'COERÊNCIA' AS TIPOLOGIA_TESTE,'BU_LOANTAPE_WORK.LT003_ENTITY' AS TABELA_LT,'BU_LOANTAPE_WORK.LT003_ENTTY_P3_NOV24' AS TABELA_SIMUL,'TXNMY_ELGBL_CAPEX_CCM' AS CAMPO, '${ref_date}' AS REF_DATE, COUNT(*) AS NUM_REG, SUM(IF((ABS(COALESCE(X.TXNMY_ELGBL_CAPEX_CCM,0)-COALESCE(Y.TXNMY_ELGBL_CAPEX_CCM_SIMUL,0))&gt;0.0000000001) OR (X.TXNMY_ELGBL_CAPEX_CCM IS NULL AND Y.TXNMY_ELGBL_CAPEX_CCM_SIMUL IS NOT NULL ) OR (X.TXNMY_ELGBL_CAPEX_CCM IS NOT NULL AND Y.TXNMY_ELGBL_CAPEX_CCM_SIMUL IS NULL),1,0)) AS NUM_REG_DIF,'10' AS ID_EXEC, CURRENT_TIMESTAMP() AS TIME_EXEC FROM (SELECT entty_id, TXNMY_ELGBL_CAPEX_CCM FROM BU_LOANTAPE_WORK.LT003_ENTITY WHERE ref_date='${ref_date}' AND nome_perimetro='Individual Corporativo' AND segmento='ESTR' AND ambito='PILAR3')X INNER JOIN (SELECT entty_id AS entty_id_SIMUL, TXNMY_ELGBL_CAPEX_CCM AS TXNMY_ELGBL_CAPEX_CCM_SIMUL FROM BU_LOANTAPE_WORK.LT003_ENTTY_P3_NOV24)Y ON X.ENTTY_ID=Y.ENTTY_ID_SIMUL</v>
      </c>
      <c r="N37" s="45" t="s">
        <v>13</v>
      </c>
    </row>
    <row r="38" spans="2:14">
      <c r="B38" s="41" t="s">
        <v>23</v>
      </c>
      <c r="C38" s="41" t="s">
        <v>74</v>
      </c>
      <c r="D38" s="41" t="str">
        <f>+UPPER('0. Instruções'!$D$33&amp;"."&amp;VLOOKUP(B38,'0. Instruções'!$C$27:$D$31,2,FALSE))</f>
        <v>BU_LOANTAPE_WORK.LT003_ENTITY</v>
      </c>
      <c r="E38" s="41" t="str">
        <f>+UPPER('0. Instruções'!$D$34&amp;"."&amp;VLOOKUP(B38,'0. Instruções'!$C$27:$E$31,3,FALSE))</f>
        <v>BU_LOANTAPE_WORK.LT003_ENTTY_P3_NOV24</v>
      </c>
      <c r="F38" s="41" t="s">
        <v>101</v>
      </c>
      <c r="G38" s="41" t="s">
        <v>210</v>
      </c>
      <c r="H38" s="41"/>
      <c r="I38" s="41" t="str">
        <f>"(SELECT "&amp;VLOOKUP(B38,'0. Instruções'!$C$27:$G$31,4,FALSE)&amp;", "&amp;F38&amp;" FROM "&amp;D38&amp;" WHERE "&amp;'0. Instruções'!$D$40&amp;")X"</f>
        <v>(SELECT entty_id, TXNMY_ELGBL_TRNVR_CCM FROM BU_LOANTAPE_WORK.LT003_ENTITY WHERE ref_date='${ref_date}' AND nome_perimetro='Individual Corporativo' AND segmento='ESTR' AND ambito='PILAR3')X</v>
      </c>
      <c r="J38" s="41" t="str">
        <f>"(SELECT "&amp;VLOOKUP(B38,'0. Instruções'!$C$27:$G$31,4,FALSE)&amp;" AS "&amp;VLOOKUP(B38,'0. Instruções'!$C$27:$G$31,4,FALSE)&amp;"_SIMUL, "&amp;F38&amp;" AS "&amp;F38&amp;"_SIMUL FROM "&amp;E38&amp;")Y"</f>
        <v>(SELECT entty_id AS entty_id_SIMUL, TXNMY_ELGBL_TRNVR_CCM AS TXNMY_ELGBL_TRNVR_CCM_SIMUL FROM BU_LOANTAPE_WORK.LT003_ENTTY_P3_NOV24)Y</v>
      </c>
      <c r="K38" s="42" t="str">
        <f>+UPPER("ON X."&amp;VLOOKUP(B38,'0. Instruções'!$C$27:$G$31,4,FALSE)&amp;"=Y."&amp;VLOOKUP(B38,'0. Instruções'!$C$27:$G$31,4,FALSE)&amp;"_SIMUL")</f>
        <v>ON X.ENTTY_ID=Y.ENTTY_ID_SIMUL</v>
      </c>
      <c r="L38" s="42" t="str">
        <f>+IF(C38="Coerência", +IF(LEFT(G38,5)="FLOAT","SELECT '"&amp;UPPER(B38)&amp;"' AS TABELA, '"&amp;UPPER(C38)&amp;"' AS TIPOLOGIA_TESTE,'"&amp;D38&amp;"' AS TABELA_LT,'"&amp;E38&amp;"' AS TABELA_SIMUL,'"&amp;F38&amp;"' AS CAMPO, "&amp;"'${ref_date}' AS REF_DATE, COUNT(*) AS NUM_REG, SUM(IF((ABS(COALESCE(X."&amp;F38&amp;",0)-COALESCE(Y."&amp;F38&amp;"_SIMUL,0))&gt;0.0000000001) OR (X."&amp;F38&amp;" IS NULL AND Y."&amp;F38&amp;"_SIMUL IS NOT NULL ) OR (X."&amp;F38&amp;" IS NOT NULL AND Y."&amp;F38&amp;"_SIMUL IS NULL),1,0)) AS NUM_REG_DIF,'"&amp;MAX('ID1&amp;5'!K:K)+1&amp;"' AS ID_EXEC, CURRENT_TIMESTAMP() AS TIME_EXEC FROM "&amp;I38&amp;" INNER JOIN "&amp;J38&amp;" "&amp;K38,"SELECT '"&amp;UPPER(B38)&amp;"' AS TABELA, '"&amp;UPPER(C38)&amp;"' AS TIPOLOGIA_TESTE,'"&amp;D38&amp;"' AS TABELA_LT,'"&amp;E38&amp;"' AS TABELA_SIMUL,'"&amp;F38&amp;"' AS CAMPO, "&amp;"'${ref_date}' AS REF_DATE, COUNT(*) AS NUM_REG, SUM(IF(COALESCE(CAST(X."&amp;F38&amp;" AS STRING),'')&lt;&gt;COALESCE(CAST(Y."&amp;F38&amp;"_SIMUL AS STRING),''),1,0)) AS NUM_REG_DIF,'"&amp;MAX('ID1&amp;5'!L:L)+1&amp;"' AS ID_EXEC, CURRENT_TIMESTAMP() AS TIME_EXEC FROM "&amp;I38&amp;" INNER JOIN "&amp;J38&amp;" "&amp;K38),
IF(C38="Validade",+IF(G38="Code List","SELECT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 OR CAST(X."&amp;F38&amp;" AS STRING) NOT "&amp;H38&amp;",1,0)) AS NUM_REG_DIF,'"&amp;MAX('ID1&amp;5'!K:K)+1&amp;"' AS ID_EXEC, CURRENT_TIMESTAMP() AS TIME_EXEC FROM "&amp;I38,"SELECT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NULL,1,0)) AS NUM_REG_DIF,'"&amp;MAX('ID1&amp;5'!K:K)+1&amp;"' AS ID_EXEC, CURRENT_TIMESTAMP() AS TIME_EXEC FROM "&amp;I38),
IF(C38="Caracteres Especiais",+"SELECT '"&amp;UPPER(B38)&amp;"' AS TABELA, '"&amp;UPPER(C38)&amp;"' AS TIPOLOGIA_TESTE,'"&amp;D38&amp;"' AS TABELA_LT,'N/A' AS TABELA_SIMUL,'"&amp;F38&amp;"' AS CAMPO, "&amp;"'${ref_date}' AS REF_DATE, COUNT(*) AS NUM_REG, SUM(IF(INSTR(CAST(X."&amp;F38&amp;" AS STRING),'#')&gt;0 OR INSTR(CAST(X."&amp;F38&amp;" AS STRING),'*')&gt;0 OR INSTR(CAST(X."&amp;F38&amp;" AS STRING),'`')&gt;0 OR INSTR(CAST(X."&amp;F38&amp;" AS STRING),'´')&gt;0 OR INSTR(CAST(X."&amp;F38&amp;" AS STRING),'{')&gt;0 OR INSTR(CAST(X."&amp;F38&amp;" AS STRING),'}')&gt;0 OR INSTR(CAST(X."&amp;F38&amp;" AS STRING),'[')&gt;0 OR INSTR(CAST(X."&amp;F38&amp;" AS STRING),'')&gt;0 OR INSTR(CAST(X."&amp;F38&amp;" AS STRING),']')&gt;0 OR INSTR(CAST(X."&amp;F38&amp;" AS STRING),'?')&gt;0 OR INSTR(CAST(X."&amp;F38&amp;" AS STRING),'!')&gt;0 OR INSTR(CAST(X."&amp;F38&amp;" AS STRING),'$')&gt;0 OR INSTR(CAST(X."&amp;F38&amp;" AS STRING),'%')&gt;0 OR INSTR(CAST(X."&amp;F38&amp;" AS STRING),'&amp;')&gt;0 OR INSTR(CAST(X."&amp;F38&amp;" AS STRING),'+')&gt;0,1,0)) AS NUM_REG_DIF,'"&amp;MAX('ID1&amp;5'!K:K)+1&amp;"' AS ID_EXEC, CURRENT_TIMESTAMP() AS TIME_EXEC FROM "&amp;I38,
IF(C38="Missings",+"SELECT '"&amp;UPPER(B38)&amp;"' AS TABELA, '"&amp;UPPER(C38)&amp;"' AS TIPOLOGIA_TESTE,'"&amp;D38&amp;"' AS TABELA_LT,'N/A' AS TABELA_SIMUL,'"&amp;F38&amp;"' AS CAMPO, "&amp;"'${ref_date}' AS REF_DATE, COUNT(*) AS NUM_REG, SUM(IF(TRIM(CAST(X."&amp;F38&amp;" AS STRING)) IN ('0000-00-00','0001-01-01','9999-12-31','MISS','00000','99999999999','99999999999.00','99999999999.000000'),1,0)) AS NUM_REG_DIF,'"&amp;MAX('ID1&amp;5'!K:K)+1&amp;"' AS ID_EXEC, CURRENT_TIMESTAMP() AS TIME_EXEC FROM "&amp;I38,
IF(C38="Not applicable",+"SELECT '"&amp;UPPER(B38)&amp;"' AS TABELA, '"&amp;UPPER(C38)&amp;"' AS TIPOLOGIA_TESTE,'"&amp;D38&amp;"' AS TABELA_LT,'N/A' AS TABELA_SIMUL,'"&amp;F38&amp;"' AS CAMPO, "&amp;"'${ref_date}' AS REF_DATE, COUNT(*) AS NUM_REG, SUM(IF(TRIM(CAST(X."&amp;F38&amp;" AS STRING)) IN ('N/A','11111111111','11111111111.00','11111111111.000000','1111-11-11'),1,0)) AS NUM_REG_DIF,'"&amp;MAX('ID1&amp;5'!K:K)+1&amp;"' AS ID_EXEC, CURRENT_TIMESTAMP() AS TIME_EXEC FROM "&amp;I38,
IF(C38="Valores extremos",+"SELECT '"&amp;UPPER(B38)&amp;"' AS TABELA, '"&amp;UPPER(C38)&amp;"' AS TIPOLOGIA_TESTE,'"&amp;D38&amp;"' AS TABELA_LT,'N/A' AS TABELA_SIMUL,'"&amp;F38&amp;"' AS CAMPO, "&amp;"'${ref_date}' AS REF_DATE, CAST(MIN("&amp;F38&amp;") AS STRING) AS VALOR_MIN, CAST(MAX("&amp;F38&amp;") AS STRING) AS VALOR_MAX,'"&amp;MAX('ID1&amp;5'!K:K)+1&amp;"' AS ID_EXEC, CURRENT_TIMESTAMP() AS TIME_EXEC FROM "&amp;MID(I38,1,LEN(I38)-2)&amp;" AND CAST("&amp;F38&amp;"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TABELA_SIMUL,'TXNMY_ELGBL_TRNVR_CCM' AS CAMPO, '${ref_date}' AS REF_DATE, COUNT(*) AS NUM_REG, SUM(IF((ABS(COALESCE(X.TXNMY_ELGBL_TRNVR_CCM,0)-COALESCE(Y.TXNMY_ELGBL_TRNVR_CCM_SIMUL,0))&gt;0.0000000001) OR (X.TXNMY_ELGBL_TRNVR_CCM IS NULL AND Y.TXNMY_ELGBL_TRNVR_CCM_SIMUL IS NOT NULL ) OR (X.TXNMY_ELGBL_TRNVR_CCM IS NOT NULL AND Y.TXNMY_ELGBL_TRNVR_CCM_SIMUL IS NULL),1,0)) AS NUM_REG_DIF,'10' AS ID_EXEC, CURRENT_TIMESTAMP() AS TIME_EXEC FROM (SELECT entty_id, TXNMY_ELGBL_TRNVR_CCM FROM BU_LOANTAPE_WORK.LT003_ENTITY WHERE ref_date='${ref_date}' AND nome_perimetro='Individual Corporativo' AND segmento='ESTR' AND ambito='PILAR3')X INNER JOIN (SELECT entty_id AS entty_id_SIMUL, TXNMY_ELGBL_TRNVR_CCM AS TXNMY_ELGBL_TRNVR_CCM_SIMUL FROM BU_LOANTAPE_WORK.LT003_ENTTY_P3_NOV24)Y ON X.ENTTY_ID=Y.ENTTY_ID_SIMUL</v>
      </c>
      <c r="M38" s="43" t="str">
        <f t="shared" si="0"/>
        <v>UNION ALL SELECT 'ENTITY' AS TABELA, 'COERÊNCIA' AS TIPOLOGIA_TESTE,'BU_LOANTAPE_WORK.LT003_ENTITY' AS TABELA_LT,'BU_LOANTAPE_WORK.LT003_ENTTY_P3_NOV24' AS TABELA_SIMUL,'TXNMY_ELGBL_TRNVR_CCM' AS CAMPO, '${ref_date}' AS REF_DATE, COUNT(*) AS NUM_REG, SUM(IF((ABS(COALESCE(X.TXNMY_ELGBL_TRNVR_CCM,0)-COALESCE(Y.TXNMY_ELGBL_TRNVR_CCM_SIMUL,0))&gt;0.0000000001) OR (X.TXNMY_ELGBL_TRNVR_CCM IS NULL AND Y.TXNMY_ELGBL_TRNVR_CCM_SIMUL IS NOT NULL ) OR (X.TXNMY_ELGBL_TRNVR_CCM IS NOT NULL AND Y.TXNMY_ELGBL_TRNVR_CCM_SIMUL IS NULL),1,0)) AS NUM_REG_DIF,'10' AS ID_EXEC, CURRENT_TIMESTAMP() AS TIME_EXEC FROM (SELECT entty_id, TXNMY_ELGBL_TRNVR_CCM FROM BU_LOANTAPE_WORK.LT003_ENTITY WHERE ref_date='${ref_date}' AND nome_perimetro='Individual Corporativo' AND segmento='ESTR' AND ambito='PILAR3')X INNER JOIN (SELECT entty_id AS entty_id_SIMUL, TXNMY_ELGBL_TRNVR_CCM AS TXNMY_ELGBL_TRNVR_CCM_SIMUL FROM BU_LOANTAPE_WORK.LT003_ENTTY_P3_NOV24)Y ON X.ENTTY_ID=Y.ENTTY_ID_SIMUL</v>
      </c>
      <c r="N38" s="45" t="s">
        <v>13</v>
      </c>
    </row>
    <row r="39" spans="2:14">
      <c r="B39" s="41" t="s">
        <v>23</v>
      </c>
      <c r="C39" s="41" t="s">
        <v>74</v>
      </c>
      <c r="D39" s="41" t="str">
        <f>+UPPER('0. Instruções'!$D$33&amp;"."&amp;VLOOKUP(B39,'0. Instruções'!$C$27:$D$31,2,FALSE))</f>
        <v>BU_LOANTAPE_WORK.LT003_ENTITY</v>
      </c>
      <c r="E39" s="41" t="str">
        <f>+UPPER('0. Instruções'!$D$34&amp;"."&amp;VLOOKUP(B39,'0. Instruções'!$C$27:$E$31,3,FALSE))</f>
        <v>BU_LOANTAPE_WORK.LT003_ENTTY_P3_NOV24</v>
      </c>
      <c r="F39" s="41" t="s">
        <v>104</v>
      </c>
      <c r="G39" s="41" t="s">
        <v>210</v>
      </c>
      <c r="H39" s="41"/>
      <c r="I39" s="41" t="str">
        <f>"(SELECT "&amp;VLOOKUP(B39,'0. Instruções'!$C$27:$G$31,4,FALSE)&amp;", "&amp;F39&amp;" FROM "&amp;D39&amp;" WHERE "&amp;'0. Instruções'!$D$40&amp;")X"</f>
        <v>(SELECT entty_id, TXNMY_ELGBL_CAPEX_CCA FROM BU_LOANTAPE_WORK.LT003_ENTITY WHERE ref_date='${ref_date}' AND nome_perimetro='Individual Corporativo' AND segmento='ESTR' AND ambito='PILAR3')X</v>
      </c>
      <c r="J39" s="41" t="str">
        <f>"(SELECT "&amp;VLOOKUP(B39,'0. Instruções'!$C$27:$G$31,4,FALSE)&amp;" AS "&amp;VLOOKUP(B39,'0. Instruções'!$C$27:$G$31,4,FALSE)&amp;"_SIMUL, "&amp;F39&amp;" AS "&amp;F39&amp;"_SIMUL FROM "&amp;E39&amp;")Y"</f>
        <v>(SELECT entty_id AS entty_id_SIMUL, TXNMY_ELGBL_CAPEX_CCA AS TXNMY_ELGBL_CAPEX_CCA_SIMUL FROM BU_LOANTAPE_WORK.LT003_ENTTY_P3_NOV24)Y</v>
      </c>
      <c r="K39" s="42" t="str">
        <f>+UPPER("ON X."&amp;VLOOKUP(B39,'0. Instruções'!$C$27:$G$31,4,FALSE)&amp;"=Y."&amp;VLOOKUP(B39,'0. Instruções'!$C$27:$G$31,4,FALSE)&amp;"_SIMUL")</f>
        <v>ON X.ENTTY_ID=Y.ENTTY_ID_SIMUL</v>
      </c>
      <c r="L39" s="42" t="str">
        <f>+IF(C39="Coerência", +IF(LEFT(G39,5)="FLOAT","SELECT '"&amp;UPPER(B39)&amp;"' AS TABELA, '"&amp;UPPER(C39)&amp;"' AS TIPOLOGIA_TESTE,'"&amp;D39&amp;"' AS TABELA_LT,'"&amp;E39&amp;"' AS TABELA_SIMUL,'"&amp;F39&amp;"' AS CAMPO, "&amp;"'${ref_date}' AS REF_DATE, COUNT(*) AS NUM_REG, SUM(IF((ABS(COALESCE(X."&amp;F39&amp;",0)-COALESCE(Y."&amp;F39&amp;"_SIMUL,0))&gt;0.0000000001) OR (X."&amp;F39&amp;" IS NULL AND Y."&amp;F39&amp;"_SIMUL IS NOT NULL ) OR (X."&amp;F39&amp;" IS NOT NULL AND Y."&amp;F39&amp;"_SIMUL IS NULL),1,0)) AS NUM_REG_DIF,'"&amp;MAX('ID1&amp;5'!K:K)+1&amp;"' AS ID_EXEC, CURRENT_TIMESTAMP() AS TIME_EXEC FROM "&amp;I39&amp;" INNER JOIN "&amp;J39&amp;" "&amp;K39,"SELECT '"&amp;UPPER(B39)&amp;"' AS TABELA, '"&amp;UPPER(C39)&amp;"' AS TIPOLOGIA_TESTE,'"&amp;D39&amp;"' AS TABELA_LT,'"&amp;E39&amp;"' AS TABELA_SIMUL,'"&amp;F39&amp;"' AS CAMPO, "&amp;"'${ref_date}' AS REF_DATE, COUNT(*) AS NUM_REG, SUM(IF(COALESCE(CAST(X."&amp;F39&amp;" AS STRING),'')&lt;&gt;COALESCE(CAST(Y."&amp;F39&amp;"_SIMUL AS STRING),''),1,0)) AS NUM_REG_DIF,'"&amp;MAX('ID1&amp;5'!L:L)+1&amp;"' AS ID_EXEC, CURRENT_TIMESTAMP() AS TIME_EXEC FROM "&amp;I39&amp;" INNER JOIN "&amp;J39&amp;" "&amp;K39),
IF(C39="Validade",+IF(G39="Code List","SELECT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 OR CAST(X."&amp;F39&amp;" AS STRING) NOT "&amp;H39&amp;",1,0)) AS NUM_REG_DIF,'"&amp;MAX('ID1&amp;5'!K:K)+1&amp;"' AS ID_EXEC, CURRENT_TIMESTAMP() AS TIME_EXEC FROM "&amp;I39,"SELECT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NULL,1,0)) AS NUM_REG_DIF,'"&amp;MAX('ID1&amp;5'!K:K)+1&amp;"' AS ID_EXEC, CURRENT_TIMESTAMP() AS TIME_EXEC FROM "&amp;I39),
IF(C39="Caracteres Especiais",+"SELECT '"&amp;UPPER(B39)&amp;"' AS TABELA, '"&amp;UPPER(C39)&amp;"' AS TIPOLOGIA_TESTE,'"&amp;D39&amp;"' AS TABELA_LT,'N/A' AS TABELA_SIMUL,'"&amp;F39&amp;"' AS CAMPO, "&amp;"'${ref_date}' AS REF_DATE, COUNT(*) AS NUM_REG, SUM(IF(INSTR(CAST(X."&amp;F39&amp;" AS STRING),'#')&gt;0 OR INSTR(CAST(X."&amp;F39&amp;" AS STRING),'*')&gt;0 OR INSTR(CAST(X."&amp;F39&amp;" AS STRING),'`')&gt;0 OR INSTR(CAST(X."&amp;F39&amp;" AS STRING),'´')&gt;0 OR INSTR(CAST(X."&amp;F39&amp;" AS STRING),'{')&gt;0 OR INSTR(CAST(X."&amp;F39&amp;" AS STRING),'}')&gt;0 OR INSTR(CAST(X."&amp;F39&amp;" AS STRING),'[')&gt;0 OR INSTR(CAST(X."&amp;F39&amp;" AS STRING),'')&gt;0 OR INSTR(CAST(X."&amp;F39&amp;" AS STRING),']')&gt;0 OR INSTR(CAST(X."&amp;F39&amp;" AS STRING),'?')&gt;0 OR INSTR(CAST(X."&amp;F39&amp;" AS STRING),'!')&gt;0 OR INSTR(CAST(X."&amp;F39&amp;" AS STRING),'$')&gt;0 OR INSTR(CAST(X."&amp;F39&amp;" AS STRING),'%')&gt;0 OR INSTR(CAST(X."&amp;F39&amp;" AS STRING),'&amp;')&gt;0 OR INSTR(CAST(X."&amp;F39&amp;" AS STRING),'+')&gt;0,1,0)) AS NUM_REG_DIF,'"&amp;MAX('ID1&amp;5'!K:K)+1&amp;"' AS ID_EXEC, CURRENT_TIMESTAMP() AS TIME_EXEC FROM "&amp;I39,
IF(C39="Missings",+"SELECT '"&amp;UPPER(B39)&amp;"' AS TABELA, '"&amp;UPPER(C39)&amp;"' AS TIPOLOGIA_TESTE,'"&amp;D39&amp;"' AS TABELA_LT,'N/A' AS TABELA_SIMUL,'"&amp;F39&amp;"' AS CAMPO, "&amp;"'${ref_date}' AS REF_DATE, COUNT(*) AS NUM_REG, SUM(IF(TRIM(CAST(X."&amp;F39&amp;" AS STRING)) IN ('0000-00-00','0001-01-01','9999-12-31','MISS','00000','99999999999','99999999999.00','99999999999.000000'),1,0)) AS NUM_REG_DIF,'"&amp;MAX('ID1&amp;5'!K:K)+1&amp;"' AS ID_EXEC, CURRENT_TIMESTAMP() AS TIME_EXEC FROM "&amp;I39,
IF(C39="Not applicable",+"SELECT '"&amp;UPPER(B39)&amp;"' AS TABELA, '"&amp;UPPER(C39)&amp;"' AS TIPOLOGIA_TESTE,'"&amp;D39&amp;"' AS TABELA_LT,'N/A' AS TABELA_SIMUL,'"&amp;F39&amp;"' AS CAMPO, "&amp;"'${ref_date}' AS REF_DATE, COUNT(*) AS NUM_REG, SUM(IF(TRIM(CAST(X."&amp;F39&amp;" AS STRING)) IN ('N/A','11111111111','11111111111.00','11111111111.000000','1111-11-11'),1,0)) AS NUM_REG_DIF,'"&amp;MAX('ID1&amp;5'!K:K)+1&amp;"' AS ID_EXEC, CURRENT_TIMESTAMP() AS TIME_EXEC FROM "&amp;I39,
IF(C39="Valores extremos",+"SELECT '"&amp;UPPER(B39)&amp;"' AS TABELA, '"&amp;UPPER(C39)&amp;"' AS TIPOLOGIA_TESTE,'"&amp;D39&amp;"' AS TABELA_LT,'N/A' AS TABELA_SIMUL,'"&amp;F39&amp;"' AS CAMPO, "&amp;"'${ref_date}' AS REF_DATE, CAST(MIN("&amp;F39&amp;") AS STRING) AS VALOR_MIN, CAST(MAX("&amp;F39&amp;") AS STRING) AS VALOR_MAX,'"&amp;MAX('ID1&amp;5'!K:K)+1&amp;"' AS ID_EXEC, CURRENT_TIMESTAMP() AS TIME_EXEC FROM "&amp;MID(I39,1,LEN(I39)-2)&amp;" AND CAST("&amp;F39&amp;"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TABELA_SIMUL,'TXNMY_ELGBL_CAPEX_CCA' AS CAMPO, '${ref_date}' AS REF_DATE, COUNT(*) AS NUM_REG, SUM(IF((ABS(COALESCE(X.TXNMY_ELGBL_CAPEX_CCA,0)-COALESCE(Y.TXNMY_ELGBL_CAPEX_CCA_SIMUL,0))&gt;0.0000000001) OR (X.TXNMY_ELGBL_CAPEX_CCA IS NULL AND Y.TXNMY_ELGBL_CAPEX_CCA_SIMUL IS NOT NULL ) OR (X.TXNMY_ELGBL_CAPEX_CCA IS NOT NULL AND Y.TXNMY_ELGBL_CAPEX_CCA_SIMUL IS NULL),1,0)) AS NUM_REG_DIF,'10' AS ID_EXEC, CURRENT_TIMESTAMP() AS TIME_EXEC FROM (SELECT entty_id, TXNMY_ELGBL_CAPEX_CCA FROM BU_LOANTAPE_WORK.LT003_ENTITY WHERE ref_date='${ref_date}' AND nome_perimetro='Individual Corporativo' AND segmento='ESTR' AND ambito='PILAR3')X INNER JOIN (SELECT entty_id AS entty_id_SIMUL, TXNMY_ELGBL_CAPEX_CCA AS TXNMY_ELGBL_CAPEX_CCA_SIMUL FROM BU_LOANTAPE_WORK.LT003_ENTTY_P3_NOV24)Y ON X.ENTTY_ID=Y.ENTTY_ID_SIMUL</v>
      </c>
      <c r="M39" s="43" t="str">
        <f t="shared" si="0"/>
        <v>UNION ALL SELECT 'ENTITY' AS TABELA, 'COERÊNCIA' AS TIPOLOGIA_TESTE,'BU_LOANTAPE_WORK.LT003_ENTITY' AS TABELA_LT,'BU_LOANTAPE_WORK.LT003_ENTTY_P3_NOV24' AS TABELA_SIMUL,'TXNMY_ELGBL_CAPEX_CCA' AS CAMPO, '${ref_date}' AS REF_DATE, COUNT(*) AS NUM_REG, SUM(IF((ABS(COALESCE(X.TXNMY_ELGBL_CAPEX_CCA,0)-COALESCE(Y.TXNMY_ELGBL_CAPEX_CCA_SIMUL,0))&gt;0.0000000001) OR (X.TXNMY_ELGBL_CAPEX_CCA IS NULL AND Y.TXNMY_ELGBL_CAPEX_CCA_SIMUL IS NOT NULL ) OR (X.TXNMY_ELGBL_CAPEX_CCA IS NOT NULL AND Y.TXNMY_ELGBL_CAPEX_CCA_SIMUL IS NULL),1,0)) AS NUM_REG_DIF,'10' AS ID_EXEC, CURRENT_TIMESTAMP() AS TIME_EXEC FROM (SELECT entty_id, TXNMY_ELGBL_CAPEX_CCA FROM BU_LOANTAPE_WORK.LT003_ENTITY WHERE ref_date='${ref_date}' AND nome_perimetro='Individual Corporativo' AND segmento='ESTR' AND ambito='PILAR3')X INNER JOIN (SELECT entty_id AS entty_id_SIMUL, TXNMY_ELGBL_CAPEX_CCA AS TXNMY_ELGBL_CAPEX_CCA_SIMUL FROM BU_LOANTAPE_WORK.LT003_ENTTY_P3_NOV24)Y ON X.ENTTY_ID=Y.ENTTY_ID_SIMUL</v>
      </c>
      <c r="N39" s="45" t="s">
        <v>13</v>
      </c>
    </row>
    <row r="40" spans="2:14">
      <c r="B40" s="41" t="s">
        <v>23</v>
      </c>
      <c r="C40" s="41" t="s">
        <v>74</v>
      </c>
      <c r="D40" s="41" t="str">
        <f>+UPPER('0. Instruções'!$D$33&amp;"."&amp;VLOOKUP(B40,'0. Instruções'!$C$27:$D$31,2,FALSE))</f>
        <v>BU_LOANTAPE_WORK.LT003_ENTITY</v>
      </c>
      <c r="E40" s="41" t="str">
        <f>+UPPER('0. Instruções'!$D$34&amp;"."&amp;VLOOKUP(B40,'0. Instruções'!$C$27:$E$31,3,FALSE))</f>
        <v>BU_LOANTAPE_WORK.LT003_ENTTY_P3_NOV24</v>
      </c>
      <c r="F40" s="41" t="s">
        <v>105</v>
      </c>
      <c r="G40" s="41" t="s">
        <v>210</v>
      </c>
      <c r="H40" s="41"/>
      <c r="I40" s="41" t="str">
        <f>"(SELECT "&amp;VLOOKUP(B40,'0. Instruções'!$C$27:$G$31,4,FALSE)&amp;", "&amp;F40&amp;" FROM "&amp;D40&amp;" WHERE "&amp;'0. Instruções'!$D$40&amp;")X"</f>
        <v>(SELECT entty_id, TXNMY_ELGBL_TRNVR_CCA FROM BU_LOANTAPE_WORK.LT003_ENTITY WHERE ref_date='${ref_date}' AND nome_perimetro='Individual Corporativo' AND segmento='ESTR' AND ambito='PILAR3')X</v>
      </c>
      <c r="J40" s="41" t="str">
        <f>"(SELECT "&amp;VLOOKUP(B40,'0. Instruções'!$C$27:$G$31,4,FALSE)&amp;" AS "&amp;VLOOKUP(B40,'0. Instruções'!$C$27:$G$31,4,FALSE)&amp;"_SIMUL, "&amp;F40&amp;" AS "&amp;F40&amp;"_SIMUL FROM "&amp;E40&amp;")Y"</f>
        <v>(SELECT entty_id AS entty_id_SIMUL, TXNMY_ELGBL_TRNVR_CCA AS TXNMY_ELGBL_TRNVR_CCA_SIMUL FROM BU_LOANTAPE_WORK.LT003_ENTTY_P3_NOV24)Y</v>
      </c>
      <c r="K40" s="42" t="str">
        <f>+UPPER("ON X."&amp;VLOOKUP(B40,'0. Instruções'!$C$27:$G$31,4,FALSE)&amp;"=Y."&amp;VLOOKUP(B40,'0. Instruções'!$C$27:$G$31,4,FALSE)&amp;"_SIMUL")</f>
        <v>ON X.ENTTY_ID=Y.ENTTY_ID_SIMUL</v>
      </c>
      <c r="L40" s="42" t="str">
        <f>+IF(C40="Coerência", +IF(LEFT(G40,5)="FLOAT","SELECT '"&amp;UPPER(B40)&amp;"' AS TABELA, '"&amp;UPPER(C40)&amp;"' AS TIPOLOGIA_TESTE,'"&amp;D40&amp;"' AS TABELA_LT,'"&amp;E40&amp;"' AS TABELA_SIMUL,'"&amp;F40&amp;"' AS CAMPO, "&amp;"'${ref_date}' AS REF_DATE, COUNT(*) AS NUM_REG, SUM(IF((ABS(COALESCE(X."&amp;F40&amp;",0)-COALESCE(Y."&amp;F40&amp;"_SIMUL,0))&gt;0.0000000001) OR (X."&amp;F40&amp;" IS NULL AND Y."&amp;F40&amp;"_SIMUL IS NOT NULL ) OR (X."&amp;F40&amp;" IS NOT NULL AND Y."&amp;F40&amp;"_SIMUL IS NULL),1,0)) AS NUM_REG_DIF,'"&amp;MAX('ID1&amp;5'!K:K)+1&amp;"' AS ID_EXEC, CURRENT_TIMESTAMP() AS TIME_EXEC FROM "&amp;I40&amp;" INNER JOIN "&amp;J40&amp;" "&amp;K40,"SELECT '"&amp;UPPER(B40)&amp;"' AS TABELA, '"&amp;UPPER(C40)&amp;"' AS TIPOLOGIA_TESTE,'"&amp;D40&amp;"' AS TABELA_LT,'"&amp;E40&amp;"' AS TABELA_SIMUL,'"&amp;F40&amp;"' AS CAMPO, "&amp;"'${ref_date}' AS REF_DATE, COUNT(*) AS NUM_REG, SUM(IF(COALESCE(CAST(X."&amp;F40&amp;" AS STRING),'')&lt;&gt;COALESCE(CAST(Y."&amp;F40&amp;"_SIMUL AS STRING),''),1,0)) AS NUM_REG_DIF,'"&amp;MAX('ID1&amp;5'!L:L)+1&amp;"' AS ID_EXEC, CURRENT_TIMESTAMP() AS TIME_EXEC FROM "&amp;I40&amp;" INNER JOIN "&amp;J40&amp;" "&amp;K40),
IF(C40="Validade",+IF(G40="Code List","SELECT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 OR CAST(X."&amp;F40&amp;" AS STRING) NOT "&amp;H40&amp;",1,0)) AS NUM_REG_DIF,'"&amp;MAX('ID1&amp;5'!K:K)+1&amp;"' AS ID_EXEC, CURRENT_TIMESTAMP() AS TIME_EXEC FROM "&amp;I40,"SELECT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NULL,1,0)) AS NUM_REG_DIF,'"&amp;MAX('ID1&amp;5'!K:K)+1&amp;"' AS ID_EXEC, CURRENT_TIMESTAMP() AS TIME_EXEC FROM "&amp;I40),
IF(C40="Caracteres Especiais",+"SELECT '"&amp;UPPER(B40)&amp;"' AS TABELA, '"&amp;UPPER(C40)&amp;"' AS TIPOLOGIA_TESTE,'"&amp;D40&amp;"' AS TABELA_LT,'N/A' AS TABELA_SIMUL,'"&amp;F40&amp;"' AS CAMPO, "&amp;"'${ref_date}' AS REF_DATE, COUNT(*) AS NUM_REG, SUM(IF(INSTR(CAST(X."&amp;F40&amp;" AS STRING),'#')&gt;0 OR INSTR(CAST(X."&amp;F40&amp;" AS STRING),'*')&gt;0 OR INSTR(CAST(X."&amp;F40&amp;" AS STRING),'`')&gt;0 OR INSTR(CAST(X."&amp;F40&amp;" AS STRING),'´')&gt;0 OR INSTR(CAST(X."&amp;F40&amp;" AS STRING),'{')&gt;0 OR INSTR(CAST(X."&amp;F40&amp;" AS STRING),'}')&gt;0 OR INSTR(CAST(X."&amp;F40&amp;" AS STRING),'[')&gt;0 OR INSTR(CAST(X."&amp;F40&amp;" AS STRING),'')&gt;0 OR INSTR(CAST(X."&amp;F40&amp;" AS STRING),']')&gt;0 OR INSTR(CAST(X."&amp;F40&amp;" AS STRING),'?')&gt;0 OR INSTR(CAST(X."&amp;F40&amp;" AS STRING),'!')&gt;0 OR INSTR(CAST(X."&amp;F40&amp;" AS STRING),'$')&gt;0 OR INSTR(CAST(X."&amp;F40&amp;" AS STRING),'%')&gt;0 OR INSTR(CAST(X."&amp;F40&amp;" AS STRING),'&amp;')&gt;0 OR INSTR(CAST(X."&amp;F40&amp;" AS STRING),'+')&gt;0,1,0)) AS NUM_REG_DIF,'"&amp;MAX('ID1&amp;5'!K:K)+1&amp;"' AS ID_EXEC, CURRENT_TIMESTAMP() AS TIME_EXEC FROM "&amp;I40,
IF(C40="Missings",+"SELECT '"&amp;UPPER(B40)&amp;"' AS TABELA, '"&amp;UPPER(C40)&amp;"' AS TIPOLOGIA_TESTE,'"&amp;D40&amp;"' AS TABELA_LT,'N/A' AS TABELA_SIMUL,'"&amp;F40&amp;"' AS CAMPO, "&amp;"'${ref_date}' AS REF_DATE, COUNT(*) AS NUM_REG, SUM(IF(TRIM(CAST(X."&amp;F40&amp;" AS STRING)) IN ('0000-00-00','0001-01-01','9999-12-31','MISS','00000','99999999999','99999999999.00','99999999999.000000'),1,0)) AS NUM_REG_DIF,'"&amp;MAX('ID1&amp;5'!K:K)+1&amp;"' AS ID_EXEC, CURRENT_TIMESTAMP() AS TIME_EXEC FROM "&amp;I40,
IF(C40="Not applicable",+"SELECT '"&amp;UPPER(B40)&amp;"' AS TABELA, '"&amp;UPPER(C40)&amp;"' AS TIPOLOGIA_TESTE,'"&amp;D40&amp;"' AS TABELA_LT,'N/A' AS TABELA_SIMUL,'"&amp;F40&amp;"' AS CAMPO, "&amp;"'${ref_date}' AS REF_DATE, COUNT(*) AS NUM_REG, SUM(IF(TRIM(CAST(X."&amp;F40&amp;" AS STRING)) IN ('N/A','11111111111','11111111111.00','11111111111.000000','1111-11-11'),1,0)) AS NUM_REG_DIF,'"&amp;MAX('ID1&amp;5'!K:K)+1&amp;"' AS ID_EXEC, CURRENT_TIMESTAMP() AS TIME_EXEC FROM "&amp;I40,
IF(C40="Valores extremos",+"SELECT '"&amp;UPPER(B40)&amp;"' AS TABELA, '"&amp;UPPER(C40)&amp;"' AS TIPOLOGIA_TESTE,'"&amp;D40&amp;"' AS TABELA_LT,'N/A' AS TABELA_SIMUL,'"&amp;F40&amp;"' AS CAMPO, "&amp;"'${ref_date}' AS REF_DATE, CAST(MIN("&amp;F40&amp;") AS STRING) AS VALOR_MIN, CAST(MAX("&amp;F40&amp;") AS STRING) AS VALOR_MAX,'"&amp;MAX('ID1&amp;5'!K:K)+1&amp;"' AS ID_EXEC, CURRENT_TIMESTAMP() AS TIME_EXEC FROM "&amp;MID(I40,1,LEN(I40)-2)&amp;" AND CAST("&amp;F40&amp;"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TABELA_SIMUL,'TXNMY_ELGBL_TRNVR_CCA' AS CAMPO, '${ref_date}' AS REF_DATE, COUNT(*) AS NUM_REG, SUM(IF((ABS(COALESCE(X.TXNMY_ELGBL_TRNVR_CCA,0)-COALESCE(Y.TXNMY_ELGBL_TRNVR_CCA_SIMUL,0))&gt;0.0000000001) OR (X.TXNMY_ELGBL_TRNVR_CCA IS NULL AND Y.TXNMY_ELGBL_TRNVR_CCA_SIMUL IS NOT NULL ) OR (X.TXNMY_ELGBL_TRNVR_CCA IS NOT NULL AND Y.TXNMY_ELGBL_TRNVR_CCA_SIMUL IS NULL),1,0)) AS NUM_REG_DIF,'10' AS ID_EXEC, CURRENT_TIMESTAMP() AS TIME_EXEC FROM (SELECT entty_id, TXNMY_ELGBL_TRNVR_CCA FROM BU_LOANTAPE_WORK.LT003_ENTITY WHERE ref_date='${ref_date}' AND nome_perimetro='Individual Corporativo' AND segmento='ESTR' AND ambito='PILAR3')X INNER JOIN (SELECT entty_id AS entty_id_SIMUL, TXNMY_ELGBL_TRNVR_CCA AS TXNMY_ELGBL_TRNVR_CCA_SIMUL FROM BU_LOANTAPE_WORK.LT003_ENTTY_P3_NOV24)Y ON X.ENTTY_ID=Y.ENTTY_ID_SIMUL</v>
      </c>
      <c r="M40" s="43" t="str">
        <f t="shared" si="0"/>
        <v>UNION ALL SELECT 'ENTITY' AS TABELA, 'COERÊNCIA' AS TIPOLOGIA_TESTE,'BU_LOANTAPE_WORK.LT003_ENTITY' AS TABELA_LT,'BU_LOANTAPE_WORK.LT003_ENTTY_P3_NOV24' AS TABELA_SIMUL,'TXNMY_ELGBL_TRNVR_CCA' AS CAMPO, '${ref_date}' AS REF_DATE, COUNT(*) AS NUM_REG, SUM(IF((ABS(COALESCE(X.TXNMY_ELGBL_TRNVR_CCA,0)-COALESCE(Y.TXNMY_ELGBL_TRNVR_CCA_SIMUL,0))&gt;0.0000000001) OR (X.TXNMY_ELGBL_TRNVR_CCA IS NULL AND Y.TXNMY_ELGBL_TRNVR_CCA_SIMUL IS NOT NULL ) OR (X.TXNMY_ELGBL_TRNVR_CCA IS NOT NULL AND Y.TXNMY_ELGBL_TRNVR_CCA_SIMUL IS NULL),1,0)) AS NUM_REG_DIF,'10' AS ID_EXEC, CURRENT_TIMESTAMP() AS TIME_EXEC FROM (SELECT entty_id, TXNMY_ELGBL_TRNVR_CCA FROM BU_LOANTAPE_WORK.LT003_ENTITY WHERE ref_date='${ref_date}' AND nome_perimetro='Individual Corporativo' AND segmento='ESTR' AND ambito='PILAR3')X INNER JOIN (SELECT entty_id AS entty_id_SIMUL, TXNMY_ELGBL_TRNVR_CCA AS TXNMY_ELGBL_TRNVR_CCA_SIMUL FROM BU_LOANTAPE_WORK.LT003_ENTTY_P3_NOV24)Y ON X.ENTTY_ID=Y.ENTTY_ID_SIMUL</v>
      </c>
      <c r="N40" s="45" t="s">
        <v>13</v>
      </c>
    </row>
    <row r="41" spans="2:14">
      <c r="B41" s="41" t="s">
        <v>23</v>
      </c>
      <c r="C41" s="41" t="s">
        <v>74</v>
      </c>
      <c r="D41" s="41" t="str">
        <f>+UPPER('0. Instruções'!$D$33&amp;"."&amp;VLOOKUP(B41,'0. Instruções'!$C$27:$D$31,2,FALSE))</f>
        <v>BU_LOANTAPE_WORK.LT003_ENTITY</v>
      </c>
      <c r="E41" s="41" t="str">
        <f>+UPPER('0. Instruções'!$D$34&amp;"."&amp;VLOOKUP(B41,'0. Instruções'!$C$27:$E$31,3,FALSE))</f>
        <v>BU_LOANTAPE_WORK.LT003_ENTTY_P3_NOV24</v>
      </c>
      <c r="F41" s="41" t="s">
        <v>106</v>
      </c>
      <c r="G41" s="41" t="s">
        <v>210</v>
      </c>
      <c r="H41" s="41"/>
      <c r="I41" s="41" t="str">
        <f>"(SELECT "&amp;VLOOKUP(B41,'0. Instruções'!$C$27:$G$31,4,FALSE)&amp;", "&amp;F41&amp;" FROM "&amp;D41&amp;" WHERE "&amp;'0. Instruções'!$D$40&amp;")X"</f>
        <v>(SELECT entty_id, ENBLNG_CAPEX_CCM FROM BU_LOANTAPE_WORK.LT003_ENTITY WHERE ref_date='${ref_date}' AND nome_perimetro='Individual Corporativo' AND segmento='ESTR' AND ambito='PILAR3')X</v>
      </c>
      <c r="J41" s="41" t="str">
        <f>"(SELECT "&amp;VLOOKUP(B41,'0. Instruções'!$C$27:$G$31,4,FALSE)&amp;" AS "&amp;VLOOKUP(B41,'0. Instruções'!$C$27:$G$31,4,FALSE)&amp;"_SIMUL, "&amp;F41&amp;" AS "&amp;F41&amp;"_SIMUL FROM "&amp;E41&amp;")Y"</f>
        <v>(SELECT entty_id AS entty_id_SIMUL, ENBLNG_CAPEX_CCM AS ENBLNG_CAPEX_CCM_SIMUL FROM BU_LOANTAPE_WORK.LT003_ENTTY_P3_NOV24)Y</v>
      </c>
      <c r="K41" s="42" t="str">
        <f>+UPPER("ON X."&amp;VLOOKUP(B41,'0. Instruções'!$C$27:$G$31,4,FALSE)&amp;"=Y."&amp;VLOOKUP(B41,'0. Instruções'!$C$27:$G$31,4,FALSE)&amp;"_SIMUL")</f>
        <v>ON X.ENTTY_ID=Y.ENTTY_ID_SIMUL</v>
      </c>
      <c r="L41" s="42" t="str">
        <f>+IF(C41="Coerência", +IF(LEFT(G41,5)="FLOAT","SELECT '"&amp;UPPER(B41)&amp;"' AS TABELA, '"&amp;UPPER(C41)&amp;"' AS TIPOLOGIA_TESTE,'"&amp;D41&amp;"' AS TABELA_LT,'"&amp;E41&amp;"' AS TABELA_SIMUL,'"&amp;F41&amp;"' AS CAMPO, "&amp;"'${ref_date}' AS REF_DATE, COUNT(*) AS NUM_REG, SUM(IF((ABS(COALESCE(X."&amp;F41&amp;",0)-COALESCE(Y."&amp;F41&amp;"_SIMUL,0))&gt;0.0000000001) OR (X."&amp;F41&amp;" IS NULL AND Y."&amp;F41&amp;"_SIMUL IS NOT NULL ) OR (X."&amp;F41&amp;" IS NOT NULL AND Y."&amp;F41&amp;"_SIMUL IS NULL),1,0)) AS NUM_REG_DIF,'"&amp;MAX('ID1&amp;5'!K:K)+1&amp;"' AS ID_EXEC, CURRENT_TIMESTAMP() AS TIME_EXEC FROM "&amp;I41&amp;" INNER JOIN "&amp;J41&amp;" "&amp;K41,"SELECT '"&amp;UPPER(B41)&amp;"' AS TABELA, '"&amp;UPPER(C41)&amp;"' AS TIPOLOGIA_TESTE,'"&amp;D41&amp;"' AS TABELA_LT,'"&amp;E41&amp;"' AS TABELA_SIMUL,'"&amp;F41&amp;"' AS CAMPO, "&amp;"'${ref_date}' AS REF_DATE, COUNT(*) AS NUM_REG, SUM(IF(COALESCE(CAST(X."&amp;F41&amp;" AS STRING),'')&lt;&gt;COALESCE(CAST(Y."&amp;F41&amp;"_SIMUL AS STRING),''),1,0)) AS NUM_REG_DIF,'"&amp;MAX('ID1&amp;5'!L:L)+1&amp;"' AS ID_EXEC, CURRENT_TIMESTAMP() AS TIME_EXEC FROM "&amp;I41&amp;" INNER JOIN "&amp;J41&amp;" "&amp;K41),
IF(C41="Validade",+IF(G41="Code List","SELECT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 OR CAST(X."&amp;F41&amp;" AS STRING) NOT "&amp;H41&amp;",1,0)) AS NUM_REG_DIF,'"&amp;MAX('ID1&amp;5'!K:K)+1&amp;"' AS ID_EXEC, CURRENT_TIMESTAMP() AS TIME_EXEC FROM "&amp;I41,"SELECT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NULL,1,0)) AS NUM_REG_DIF,'"&amp;MAX('ID1&amp;5'!K:K)+1&amp;"' AS ID_EXEC, CURRENT_TIMESTAMP() AS TIME_EXEC FROM "&amp;I41),
IF(C41="Caracteres Especiais",+"SELECT '"&amp;UPPER(B41)&amp;"' AS TABELA, '"&amp;UPPER(C41)&amp;"' AS TIPOLOGIA_TESTE,'"&amp;D41&amp;"' AS TABELA_LT,'N/A' AS TABELA_SIMUL,'"&amp;F41&amp;"' AS CAMPO, "&amp;"'${ref_date}' AS REF_DATE, COUNT(*) AS NUM_REG, SUM(IF(INSTR(CAST(X."&amp;F41&amp;" AS STRING),'#')&gt;0 OR INSTR(CAST(X."&amp;F41&amp;" AS STRING),'*')&gt;0 OR INSTR(CAST(X."&amp;F41&amp;" AS STRING),'`')&gt;0 OR INSTR(CAST(X."&amp;F41&amp;" AS STRING),'´')&gt;0 OR INSTR(CAST(X."&amp;F41&amp;" AS STRING),'{')&gt;0 OR INSTR(CAST(X."&amp;F41&amp;" AS STRING),'}')&gt;0 OR INSTR(CAST(X."&amp;F41&amp;" AS STRING),'[')&gt;0 OR INSTR(CAST(X."&amp;F41&amp;" AS STRING),'')&gt;0 OR INSTR(CAST(X."&amp;F41&amp;" AS STRING),']')&gt;0 OR INSTR(CAST(X."&amp;F41&amp;" AS STRING),'?')&gt;0 OR INSTR(CAST(X."&amp;F41&amp;" AS STRING),'!')&gt;0 OR INSTR(CAST(X."&amp;F41&amp;" AS STRING),'$')&gt;0 OR INSTR(CAST(X."&amp;F41&amp;" AS STRING),'%')&gt;0 OR INSTR(CAST(X."&amp;F41&amp;" AS STRING),'&amp;')&gt;0 OR INSTR(CAST(X."&amp;F41&amp;" AS STRING),'+')&gt;0,1,0)) AS NUM_REG_DIF,'"&amp;MAX('ID1&amp;5'!K:K)+1&amp;"' AS ID_EXEC, CURRENT_TIMESTAMP() AS TIME_EXEC FROM "&amp;I41,
IF(C41="Missings",+"SELECT '"&amp;UPPER(B41)&amp;"' AS TABELA, '"&amp;UPPER(C41)&amp;"' AS TIPOLOGIA_TESTE,'"&amp;D41&amp;"' AS TABELA_LT,'N/A' AS TABELA_SIMUL,'"&amp;F41&amp;"' AS CAMPO, "&amp;"'${ref_date}' AS REF_DATE, COUNT(*) AS NUM_REG, SUM(IF(TRIM(CAST(X."&amp;F41&amp;" AS STRING)) IN ('0000-00-00','0001-01-01','9999-12-31','MISS','00000','99999999999','99999999999.00','99999999999.000000'),1,0)) AS NUM_REG_DIF,'"&amp;MAX('ID1&amp;5'!K:K)+1&amp;"' AS ID_EXEC, CURRENT_TIMESTAMP() AS TIME_EXEC FROM "&amp;I41,
IF(C41="Not applicable",+"SELECT '"&amp;UPPER(B41)&amp;"' AS TABELA, '"&amp;UPPER(C41)&amp;"' AS TIPOLOGIA_TESTE,'"&amp;D41&amp;"' AS TABELA_LT,'N/A' AS TABELA_SIMUL,'"&amp;F41&amp;"' AS CAMPO, "&amp;"'${ref_date}' AS REF_DATE, COUNT(*) AS NUM_REG, SUM(IF(TRIM(CAST(X."&amp;F41&amp;" AS STRING)) IN ('N/A','11111111111','11111111111.00','11111111111.000000','1111-11-11'),1,0)) AS NUM_REG_DIF,'"&amp;MAX('ID1&amp;5'!K:K)+1&amp;"' AS ID_EXEC, CURRENT_TIMESTAMP() AS TIME_EXEC FROM "&amp;I41,
IF(C41="Valores extremos",+"SELECT '"&amp;UPPER(B41)&amp;"' AS TABELA, '"&amp;UPPER(C41)&amp;"' AS TIPOLOGIA_TESTE,'"&amp;D41&amp;"' AS TABELA_LT,'N/A' AS TABELA_SIMUL,'"&amp;F41&amp;"' AS CAMPO, "&amp;"'${ref_date}' AS REF_DATE, CAST(MIN("&amp;F41&amp;") AS STRING) AS VALOR_MIN, CAST(MAX("&amp;F41&amp;") AS STRING) AS VALOR_MAX,'"&amp;MAX('ID1&amp;5'!K:K)+1&amp;"' AS ID_EXEC, CURRENT_TIMESTAMP() AS TIME_EXEC FROM "&amp;MID(I41,1,LEN(I41)-2)&amp;" AND CAST("&amp;F41&amp;"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TABELA_SIMUL,'ENBLNG_CAPEX_CCM' AS CAMPO, '${ref_date}' AS REF_DATE, COUNT(*) AS NUM_REG, SUM(IF((ABS(COALESCE(X.ENBLNG_CAPEX_CCM,0)-COALESCE(Y.ENBLNG_CAPEX_CCM_SIMUL,0))&gt;0.0000000001) OR (X.ENBLNG_CAPEX_CCM IS NULL AND Y.ENBLNG_CAPEX_CCM_SIMUL IS NOT NULL ) OR (X.ENBLNG_CAPEX_CCM IS NOT NULL AND Y.ENBLNG_CAPEX_CCM_SIMUL IS NULL),1,0)) AS NUM_REG_DIF,'10' AS ID_EXEC, CURRENT_TIMESTAMP() AS TIME_EXEC FROM (SELECT entty_id, ENBLNG_CAPEX_CCM FROM BU_LOANTAPE_WORK.LT003_ENTITY WHERE ref_date='${ref_date}' AND nome_perimetro='Individual Corporativo' AND segmento='ESTR' AND ambito='PILAR3')X INNER JOIN (SELECT entty_id AS entty_id_SIMUL, ENBLNG_CAPEX_CCM AS ENBLNG_CAPEX_CCM_SIMUL FROM BU_LOANTAPE_WORK.LT003_ENTTY_P3_NOV24)Y ON X.ENTTY_ID=Y.ENTTY_ID_SIMUL</v>
      </c>
      <c r="M41" s="43" t="str">
        <f t="shared" si="0"/>
        <v>UNION ALL SELECT 'ENTITY' AS TABELA, 'COERÊNCIA' AS TIPOLOGIA_TESTE,'BU_LOANTAPE_WORK.LT003_ENTITY' AS TABELA_LT,'BU_LOANTAPE_WORK.LT003_ENTTY_P3_NOV24' AS TABELA_SIMUL,'ENBLNG_CAPEX_CCM' AS CAMPO, '${ref_date}' AS REF_DATE, COUNT(*) AS NUM_REG, SUM(IF((ABS(COALESCE(X.ENBLNG_CAPEX_CCM,0)-COALESCE(Y.ENBLNG_CAPEX_CCM_SIMUL,0))&gt;0.0000000001) OR (X.ENBLNG_CAPEX_CCM IS NULL AND Y.ENBLNG_CAPEX_CCM_SIMUL IS NOT NULL ) OR (X.ENBLNG_CAPEX_CCM IS NOT NULL AND Y.ENBLNG_CAPEX_CCM_SIMUL IS NULL),1,0)) AS NUM_REG_DIF,'10' AS ID_EXEC, CURRENT_TIMESTAMP() AS TIME_EXEC FROM (SELECT entty_id, ENBLNG_CAPEX_CCM FROM BU_LOANTAPE_WORK.LT003_ENTITY WHERE ref_date='${ref_date}' AND nome_perimetro='Individual Corporativo' AND segmento='ESTR' AND ambito='PILAR3')X INNER JOIN (SELECT entty_id AS entty_id_SIMUL, ENBLNG_CAPEX_CCM AS ENBLNG_CAPEX_CCM_SIMUL FROM BU_LOANTAPE_WORK.LT003_ENTTY_P3_NOV24)Y ON X.ENTTY_ID=Y.ENTTY_ID_SIMUL</v>
      </c>
      <c r="N41" s="45" t="s">
        <v>13</v>
      </c>
    </row>
    <row r="42" spans="2:14">
      <c r="B42" s="41" t="s">
        <v>23</v>
      </c>
      <c r="C42" s="41" t="s">
        <v>74</v>
      </c>
      <c r="D42" s="41" t="str">
        <f>+UPPER('0. Instruções'!$D$33&amp;"."&amp;VLOOKUP(B42,'0. Instruções'!$C$27:$D$31,2,FALSE))</f>
        <v>BU_LOANTAPE_WORK.LT003_ENTITY</v>
      </c>
      <c r="E42" s="41" t="str">
        <f>+UPPER('0. Instruções'!$D$34&amp;"."&amp;VLOOKUP(B42,'0. Instruções'!$C$27:$E$31,3,FALSE))</f>
        <v>BU_LOANTAPE_WORK.LT003_ENTTY_P3_NOV24</v>
      </c>
      <c r="F42" s="41" t="s">
        <v>107</v>
      </c>
      <c r="G42" s="41" t="s">
        <v>210</v>
      </c>
      <c r="H42" s="41"/>
      <c r="I42" s="41" t="str">
        <f>"(SELECT "&amp;VLOOKUP(B42,'0. Instruções'!$C$27:$G$31,4,FALSE)&amp;", "&amp;F42&amp;" FROM "&amp;D42&amp;" WHERE "&amp;'0. Instruções'!$D$40&amp;")X"</f>
        <v>(SELECT entty_id, ENBLNG_CAPEX_CCA FROM BU_LOANTAPE_WORK.LT003_ENTITY WHERE ref_date='${ref_date}' AND nome_perimetro='Individual Corporativo' AND segmento='ESTR' AND ambito='PILAR3')X</v>
      </c>
      <c r="J42" s="41" t="str">
        <f>"(SELECT "&amp;VLOOKUP(B42,'0. Instruções'!$C$27:$G$31,4,FALSE)&amp;" AS "&amp;VLOOKUP(B42,'0. Instruções'!$C$27:$G$31,4,FALSE)&amp;"_SIMUL, "&amp;F42&amp;" AS "&amp;F42&amp;"_SIMUL FROM "&amp;E42&amp;")Y"</f>
        <v>(SELECT entty_id AS entty_id_SIMUL, ENBLNG_CAPEX_CCA AS ENBLNG_CAPEX_CCA_SIMUL FROM BU_LOANTAPE_WORK.LT003_ENTTY_P3_NOV24)Y</v>
      </c>
      <c r="K42" s="42" t="str">
        <f>+UPPER("ON X."&amp;VLOOKUP(B42,'0. Instruções'!$C$27:$G$31,4,FALSE)&amp;"=Y."&amp;VLOOKUP(B42,'0. Instruções'!$C$27:$G$31,4,FALSE)&amp;"_SIMUL")</f>
        <v>ON X.ENTTY_ID=Y.ENTTY_ID_SIMUL</v>
      </c>
      <c r="L42" s="42" t="str">
        <f>+IF(C42="Coerência", +IF(LEFT(G42,5)="FLOAT","SELECT '"&amp;UPPER(B42)&amp;"' AS TABELA, '"&amp;UPPER(C42)&amp;"' AS TIPOLOGIA_TESTE,'"&amp;D42&amp;"' AS TABELA_LT,'"&amp;E42&amp;"' AS TABELA_SIMUL,'"&amp;F42&amp;"' AS CAMPO, "&amp;"'${ref_date}' AS REF_DATE, COUNT(*) AS NUM_REG, SUM(IF((ABS(COALESCE(X."&amp;F42&amp;",0)-COALESCE(Y."&amp;F42&amp;"_SIMUL,0))&gt;0.0000000001) OR (X."&amp;F42&amp;" IS NULL AND Y."&amp;F42&amp;"_SIMUL IS NOT NULL ) OR (X."&amp;F42&amp;" IS NOT NULL AND Y."&amp;F42&amp;"_SIMUL IS NULL),1,0)) AS NUM_REG_DIF,'"&amp;MAX('ID1&amp;5'!K:K)+1&amp;"' AS ID_EXEC, CURRENT_TIMESTAMP() AS TIME_EXEC FROM "&amp;I42&amp;" INNER JOIN "&amp;J42&amp;" "&amp;K42,"SELECT '"&amp;UPPER(B42)&amp;"' AS TABELA, '"&amp;UPPER(C42)&amp;"' AS TIPOLOGIA_TESTE,'"&amp;D42&amp;"' AS TABELA_LT,'"&amp;E42&amp;"' AS TABELA_SIMUL,'"&amp;F42&amp;"' AS CAMPO, "&amp;"'${ref_date}' AS REF_DATE, COUNT(*) AS NUM_REG, SUM(IF(COALESCE(CAST(X."&amp;F42&amp;" AS STRING),'')&lt;&gt;COALESCE(CAST(Y."&amp;F42&amp;"_SIMUL AS STRING),''),1,0)) AS NUM_REG_DIF,'"&amp;MAX('ID1&amp;5'!L:L)+1&amp;"' AS ID_EXEC, CURRENT_TIMESTAMP() AS TIME_EXEC FROM "&amp;I42&amp;" INNER JOIN "&amp;J42&amp;" "&amp;K42),
IF(C42="Validade",+IF(G42="Code List","SELECT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 OR CAST(X."&amp;F42&amp;" AS STRING) NOT "&amp;H42&amp;",1,0)) AS NUM_REG_DIF,'"&amp;MAX('ID1&amp;5'!K:K)+1&amp;"' AS ID_EXEC, CURRENT_TIMESTAMP() AS TIME_EXEC FROM "&amp;I42,"SELECT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NULL,1,0)) AS NUM_REG_DIF,'"&amp;MAX('ID1&amp;5'!K:K)+1&amp;"' AS ID_EXEC, CURRENT_TIMESTAMP() AS TIME_EXEC FROM "&amp;I42),
IF(C42="Caracteres Especiais",+"SELECT '"&amp;UPPER(B42)&amp;"' AS TABELA, '"&amp;UPPER(C42)&amp;"' AS TIPOLOGIA_TESTE,'"&amp;D42&amp;"' AS TABELA_LT,'N/A' AS TABELA_SIMUL,'"&amp;F42&amp;"' AS CAMPO, "&amp;"'${ref_date}' AS REF_DATE, COUNT(*) AS NUM_REG, SUM(IF(INSTR(CAST(X."&amp;F42&amp;" AS STRING),'#')&gt;0 OR INSTR(CAST(X."&amp;F42&amp;" AS STRING),'*')&gt;0 OR INSTR(CAST(X."&amp;F42&amp;" AS STRING),'`')&gt;0 OR INSTR(CAST(X."&amp;F42&amp;" AS STRING),'´')&gt;0 OR INSTR(CAST(X."&amp;F42&amp;" AS STRING),'{')&gt;0 OR INSTR(CAST(X."&amp;F42&amp;" AS STRING),'}')&gt;0 OR INSTR(CAST(X."&amp;F42&amp;" AS STRING),'[')&gt;0 OR INSTR(CAST(X."&amp;F42&amp;" AS STRING),'')&gt;0 OR INSTR(CAST(X."&amp;F42&amp;" AS STRING),']')&gt;0 OR INSTR(CAST(X."&amp;F42&amp;" AS STRING),'?')&gt;0 OR INSTR(CAST(X."&amp;F42&amp;" AS STRING),'!')&gt;0 OR INSTR(CAST(X."&amp;F42&amp;" AS STRING),'$')&gt;0 OR INSTR(CAST(X."&amp;F42&amp;" AS STRING),'%')&gt;0 OR INSTR(CAST(X."&amp;F42&amp;" AS STRING),'&amp;')&gt;0 OR INSTR(CAST(X."&amp;F42&amp;" AS STRING),'+')&gt;0,1,0)) AS NUM_REG_DIF,'"&amp;MAX('ID1&amp;5'!K:K)+1&amp;"' AS ID_EXEC, CURRENT_TIMESTAMP() AS TIME_EXEC FROM "&amp;I42,
IF(C42="Missings",+"SELECT '"&amp;UPPER(B42)&amp;"' AS TABELA, '"&amp;UPPER(C42)&amp;"' AS TIPOLOGIA_TESTE,'"&amp;D42&amp;"' AS TABELA_LT,'N/A' AS TABELA_SIMUL,'"&amp;F42&amp;"' AS CAMPO, "&amp;"'${ref_date}' AS REF_DATE, COUNT(*) AS NUM_REG, SUM(IF(TRIM(CAST(X."&amp;F42&amp;" AS STRING)) IN ('0000-00-00','0001-01-01','9999-12-31','MISS','00000','99999999999','99999999999.00','99999999999.000000'),1,0)) AS NUM_REG_DIF,'"&amp;MAX('ID1&amp;5'!K:K)+1&amp;"' AS ID_EXEC, CURRENT_TIMESTAMP() AS TIME_EXEC FROM "&amp;I42,
IF(C42="Not applicable",+"SELECT '"&amp;UPPER(B42)&amp;"' AS TABELA, '"&amp;UPPER(C42)&amp;"' AS TIPOLOGIA_TESTE,'"&amp;D42&amp;"' AS TABELA_LT,'N/A' AS TABELA_SIMUL,'"&amp;F42&amp;"' AS CAMPO, "&amp;"'${ref_date}' AS REF_DATE, COUNT(*) AS NUM_REG, SUM(IF(TRIM(CAST(X."&amp;F42&amp;" AS STRING)) IN ('N/A','11111111111','11111111111.00','11111111111.000000','1111-11-11'),1,0)) AS NUM_REG_DIF,'"&amp;MAX('ID1&amp;5'!K:K)+1&amp;"' AS ID_EXEC, CURRENT_TIMESTAMP() AS TIME_EXEC FROM "&amp;I42,
IF(C42="Valores extremos",+"SELECT '"&amp;UPPER(B42)&amp;"' AS TABELA, '"&amp;UPPER(C42)&amp;"' AS TIPOLOGIA_TESTE,'"&amp;D42&amp;"' AS TABELA_LT,'N/A' AS TABELA_SIMUL,'"&amp;F42&amp;"' AS CAMPO, "&amp;"'${ref_date}' AS REF_DATE, CAST(MIN("&amp;F42&amp;") AS STRING) AS VALOR_MIN, CAST(MAX("&amp;F42&amp;") AS STRING) AS VALOR_MAX,'"&amp;MAX('ID1&amp;5'!K:K)+1&amp;"' AS ID_EXEC, CURRENT_TIMESTAMP() AS TIME_EXEC FROM "&amp;MID(I42,1,LEN(I42)-2)&amp;" AND CAST("&amp;F42&amp;"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TABELA_SIMUL,'ENBLNG_CAPEX_CCA' AS CAMPO, '${ref_date}' AS REF_DATE, COUNT(*) AS NUM_REG, SUM(IF((ABS(COALESCE(X.ENBLNG_CAPEX_CCA,0)-COALESCE(Y.ENBLNG_CAPEX_CCA_SIMUL,0))&gt;0.0000000001) OR (X.ENBLNG_CAPEX_CCA IS NULL AND Y.ENBLNG_CAPEX_CCA_SIMUL IS NOT NULL ) OR (X.ENBLNG_CAPEX_CCA IS NOT NULL AND Y.ENBLNG_CAPEX_CCA_SIMUL IS NULL),1,0)) AS NUM_REG_DIF,'10' AS ID_EXEC, CURRENT_TIMESTAMP() AS TIME_EXEC FROM (SELECT entty_id, ENBLNG_CAPEX_CCA FROM BU_LOANTAPE_WORK.LT003_ENTITY WHERE ref_date='${ref_date}' AND nome_perimetro='Individual Corporativo' AND segmento='ESTR' AND ambito='PILAR3')X INNER JOIN (SELECT entty_id AS entty_id_SIMUL, ENBLNG_CAPEX_CCA AS ENBLNG_CAPEX_CCA_SIMUL FROM BU_LOANTAPE_WORK.LT003_ENTTY_P3_NOV24)Y ON X.ENTTY_ID=Y.ENTTY_ID_SIMUL</v>
      </c>
      <c r="M42" s="43" t="str">
        <f t="shared" si="0"/>
        <v>UNION ALL SELECT 'ENTITY' AS TABELA, 'COERÊNCIA' AS TIPOLOGIA_TESTE,'BU_LOANTAPE_WORK.LT003_ENTITY' AS TABELA_LT,'BU_LOANTAPE_WORK.LT003_ENTTY_P3_NOV24' AS TABELA_SIMUL,'ENBLNG_CAPEX_CCA' AS CAMPO, '${ref_date}' AS REF_DATE, COUNT(*) AS NUM_REG, SUM(IF((ABS(COALESCE(X.ENBLNG_CAPEX_CCA,0)-COALESCE(Y.ENBLNG_CAPEX_CCA_SIMUL,0))&gt;0.0000000001) OR (X.ENBLNG_CAPEX_CCA IS NULL AND Y.ENBLNG_CAPEX_CCA_SIMUL IS NOT NULL ) OR (X.ENBLNG_CAPEX_CCA IS NOT NULL AND Y.ENBLNG_CAPEX_CCA_SIMUL IS NULL),1,0)) AS NUM_REG_DIF,'10' AS ID_EXEC, CURRENT_TIMESTAMP() AS TIME_EXEC FROM (SELECT entty_id, ENBLNG_CAPEX_CCA FROM BU_LOANTAPE_WORK.LT003_ENTITY WHERE ref_date='${ref_date}' AND nome_perimetro='Individual Corporativo' AND segmento='ESTR' AND ambito='PILAR3')X INNER JOIN (SELECT entty_id AS entty_id_SIMUL, ENBLNG_CAPEX_CCA AS ENBLNG_CAPEX_CCA_SIMUL FROM BU_LOANTAPE_WORK.LT003_ENTTY_P3_NOV24)Y ON X.ENTTY_ID=Y.ENTTY_ID_SIMUL</v>
      </c>
      <c r="N42" s="45" t="s">
        <v>13</v>
      </c>
    </row>
    <row r="43" spans="2:14">
      <c r="B43" s="41" t="s">
        <v>23</v>
      </c>
      <c r="C43" s="41" t="s">
        <v>74</v>
      </c>
      <c r="D43" s="41" t="str">
        <f>+UPPER('0. Instruções'!$D$33&amp;"."&amp;VLOOKUP(B43,'0. Instruções'!$C$27:$D$31,2,FALSE))</f>
        <v>BU_LOANTAPE_WORK.LT003_ENTITY</v>
      </c>
      <c r="E43" s="41" t="str">
        <f>+UPPER('0. Instruções'!$D$34&amp;"."&amp;VLOOKUP(B43,'0. Instruções'!$C$27:$E$31,3,FALSE))</f>
        <v>BU_LOANTAPE_WORK.LT003_ENTTY_P3_NOV24</v>
      </c>
      <c r="F43" s="41" t="s">
        <v>108</v>
      </c>
      <c r="G43" s="41" t="s">
        <v>210</v>
      </c>
      <c r="H43" s="41"/>
      <c r="I43" s="41" t="str">
        <f>"(SELECT "&amp;VLOOKUP(B43,'0. Instruções'!$C$27:$G$31,4,FALSE)&amp;", "&amp;F43&amp;" FROM "&amp;D43&amp;" WHERE "&amp;'0. Instruções'!$D$40&amp;")X"</f>
        <v>(SELECT entty_id, TRNSTNL_CAPEX FROM BU_LOANTAPE_WORK.LT003_ENTITY WHERE ref_date='${ref_date}' AND nome_perimetro='Individual Corporativo' AND segmento='ESTR' AND ambito='PILAR3')X</v>
      </c>
      <c r="J43" s="41" t="str">
        <f>"(SELECT "&amp;VLOOKUP(B43,'0. Instruções'!$C$27:$G$31,4,FALSE)&amp;" AS "&amp;VLOOKUP(B43,'0. Instruções'!$C$27:$G$31,4,FALSE)&amp;"_SIMUL, "&amp;F43&amp;" AS "&amp;F43&amp;"_SIMUL FROM "&amp;E43&amp;")Y"</f>
        <v>(SELECT entty_id AS entty_id_SIMUL, TRNSTNL_CAPEX AS TRNSTNL_CAPEX_SIMUL FROM BU_LOANTAPE_WORK.LT003_ENTTY_P3_NOV24)Y</v>
      </c>
      <c r="K43" s="42" t="str">
        <f>+UPPER("ON X."&amp;VLOOKUP(B43,'0. Instruções'!$C$27:$G$31,4,FALSE)&amp;"=Y."&amp;VLOOKUP(B43,'0. Instruções'!$C$27:$G$31,4,FALSE)&amp;"_SIMUL")</f>
        <v>ON X.ENTTY_ID=Y.ENTTY_ID_SIMUL</v>
      </c>
      <c r="L43" s="42" t="str">
        <f>+IF(C43="Coerência", +IF(LEFT(G43,5)="FLOAT","SELECT '"&amp;UPPER(B43)&amp;"' AS TABELA, '"&amp;UPPER(C43)&amp;"' AS TIPOLOGIA_TESTE,'"&amp;D43&amp;"' AS TABELA_LT,'"&amp;E43&amp;"' AS TABELA_SIMUL,'"&amp;F43&amp;"' AS CAMPO, "&amp;"'${ref_date}' AS REF_DATE, COUNT(*) AS NUM_REG, SUM(IF((ABS(COALESCE(X."&amp;F43&amp;",0)-COALESCE(Y."&amp;F43&amp;"_SIMUL,0))&gt;0.0000000001) OR (X."&amp;F43&amp;" IS NULL AND Y."&amp;F43&amp;"_SIMUL IS NOT NULL ) OR (X."&amp;F43&amp;" IS NOT NULL AND Y."&amp;F43&amp;"_SIMUL IS NULL),1,0)) AS NUM_REG_DIF,'"&amp;MAX('ID1&amp;5'!K:K)+1&amp;"' AS ID_EXEC, CURRENT_TIMESTAMP() AS TIME_EXEC FROM "&amp;I43&amp;" INNER JOIN "&amp;J43&amp;" "&amp;K43,"SELECT '"&amp;UPPER(B43)&amp;"' AS TABELA, '"&amp;UPPER(C43)&amp;"' AS TIPOLOGIA_TESTE,'"&amp;D43&amp;"' AS TABELA_LT,'"&amp;E43&amp;"' AS TABELA_SIMUL,'"&amp;F43&amp;"' AS CAMPO, "&amp;"'${ref_date}' AS REF_DATE, COUNT(*) AS NUM_REG, SUM(IF(COALESCE(CAST(X."&amp;F43&amp;" AS STRING),'')&lt;&gt;COALESCE(CAST(Y."&amp;F43&amp;"_SIMUL AS STRING),''),1,0)) AS NUM_REG_DIF,'"&amp;MAX('ID1&amp;5'!L:L)+1&amp;"' AS ID_EXEC, CURRENT_TIMESTAMP() AS TIME_EXEC FROM "&amp;I43&amp;" INNER JOIN "&amp;J43&amp;" "&amp;K43),
IF(C43="Validade",+IF(G43="Code List","SELECT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 OR CAST(X."&amp;F43&amp;" AS STRING) NOT "&amp;H43&amp;",1,0)) AS NUM_REG_DIF,'"&amp;MAX('ID1&amp;5'!K:K)+1&amp;"' AS ID_EXEC, CURRENT_TIMESTAMP() AS TIME_EXEC FROM "&amp;I43,"SELECT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NULL,1,0)) AS NUM_REG_DIF,'"&amp;MAX('ID1&amp;5'!K:K)+1&amp;"' AS ID_EXEC, CURRENT_TIMESTAMP() AS TIME_EXEC FROM "&amp;I43),
IF(C43="Caracteres Especiais",+"SELECT '"&amp;UPPER(B43)&amp;"' AS TABELA, '"&amp;UPPER(C43)&amp;"' AS TIPOLOGIA_TESTE,'"&amp;D43&amp;"' AS TABELA_LT,'N/A' AS TABELA_SIMUL,'"&amp;F43&amp;"' AS CAMPO, "&amp;"'${ref_date}' AS REF_DATE, COUNT(*) AS NUM_REG, SUM(IF(INSTR(CAST(X."&amp;F43&amp;" AS STRING),'#')&gt;0 OR INSTR(CAST(X."&amp;F43&amp;" AS STRING),'*')&gt;0 OR INSTR(CAST(X."&amp;F43&amp;" AS STRING),'`')&gt;0 OR INSTR(CAST(X."&amp;F43&amp;" AS STRING),'´')&gt;0 OR INSTR(CAST(X."&amp;F43&amp;" AS STRING),'{')&gt;0 OR INSTR(CAST(X."&amp;F43&amp;" AS STRING),'}')&gt;0 OR INSTR(CAST(X."&amp;F43&amp;" AS STRING),'[')&gt;0 OR INSTR(CAST(X."&amp;F43&amp;" AS STRING),'')&gt;0 OR INSTR(CAST(X."&amp;F43&amp;" AS STRING),']')&gt;0 OR INSTR(CAST(X."&amp;F43&amp;" AS STRING),'?')&gt;0 OR INSTR(CAST(X."&amp;F43&amp;" AS STRING),'!')&gt;0 OR INSTR(CAST(X."&amp;F43&amp;" AS STRING),'$')&gt;0 OR INSTR(CAST(X."&amp;F43&amp;" AS STRING),'%')&gt;0 OR INSTR(CAST(X."&amp;F43&amp;" AS STRING),'&amp;')&gt;0 OR INSTR(CAST(X."&amp;F43&amp;" AS STRING),'+')&gt;0,1,0)) AS NUM_REG_DIF,'"&amp;MAX('ID1&amp;5'!K:K)+1&amp;"' AS ID_EXEC, CURRENT_TIMESTAMP() AS TIME_EXEC FROM "&amp;I43,
IF(C43="Missings",+"SELECT '"&amp;UPPER(B43)&amp;"' AS TABELA, '"&amp;UPPER(C43)&amp;"' AS TIPOLOGIA_TESTE,'"&amp;D43&amp;"' AS TABELA_LT,'N/A' AS TABELA_SIMUL,'"&amp;F43&amp;"' AS CAMPO, "&amp;"'${ref_date}' AS REF_DATE, COUNT(*) AS NUM_REG, SUM(IF(TRIM(CAST(X."&amp;F43&amp;" AS STRING)) IN ('0000-00-00','0001-01-01','9999-12-31','MISS','00000','99999999999','99999999999.00','99999999999.000000'),1,0)) AS NUM_REG_DIF,'"&amp;MAX('ID1&amp;5'!K:K)+1&amp;"' AS ID_EXEC, CURRENT_TIMESTAMP() AS TIME_EXEC FROM "&amp;I43,
IF(C43="Not applicable",+"SELECT '"&amp;UPPER(B43)&amp;"' AS TABELA, '"&amp;UPPER(C43)&amp;"' AS TIPOLOGIA_TESTE,'"&amp;D43&amp;"' AS TABELA_LT,'N/A' AS TABELA_SIMUL,'"&amp;F43&amp;"' AS CAMPO, "&amp;"'${ref_date}' AS REF_DATE, COUNT(*) AS NUM_REG, SUM(IF(TRIM(CAST(X."&amp;F43&amp;" AS STRING)) IN ('N/A','11111111111','11111111111.00','11111111111.000000','1111-11-11'),1,0)) AS NUM_REG_DIF,'"&amp;MAX('ID1&amp;5'!K:K)+1&amp;"' AS ID_EXEC, CURRENT_TIMESTAMP() AS TIME_EXEC FROM "&amp;I43,
IF(C43="Valores extremos",+"SELECT '"&amp;UPPER(B43)&amp;"' AS TABELA, '"&amp;UPPER(C43)&amp;"' AS TIPOLOGIA_TESTE,'"&amp;D43&amp;"' AS TABELA_LT,'N/A' AS TABELA_SIMUL,'"&amp;F43&amp;"' AS CAMPO, "&amp;"'${ref_date}' AS REF_DATE, CAST(MIN("&amp;F43&amp;") AS STRING) AS VALOR_MIN, CAST(MAX("&amp;F43&amp;") AS STRING) AS VALOR_MAX,'"&amp;MAX('ID1&amp;5'!K:K)+1&amp;"' AS ID_EXEC, CURRENT_TIMESTAMP() AS TIME_EXEC FROM "&amp;MID(I43,1,LEN(I43)-2)&amp;" AND CAST("&amp;F43&amp;"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TABELA_SIMUL,'TRNSTNL_CAPEX' AS CAMPO, '${ref_date}' AS REF_DATE, COUNT(*) AS NUM_REG, SUM(IF((ABS(COALESCE(X.TRNSTNL_CAPEX,0)-COALESCE(Y.TRNSTNL_CAPEX_SIMUL,0))&gt;0.0000000001) OR (X.TRNSTNL_CAPEX IS NULL AND Y.TRNSTNL_CAPEX_SIMUL IS NOT NULL ) OR (X.TRNSTNL_CAPEX IS NOT NULL AND Y.TRNSTNL_CAPEX_SIMUL IS NULL),1,0)) AS NUM_REG_DIF,'10' AS ID_EXEC, CURRENT_TIMESTAMP() AS TIME_EXEC FROM (SELECT entty_id, TRNSTNL_CAPEX FROM BU_LOANTAPE_WORK.LT003_ENTITY WHERE ref_date='${ref_date}' AND nome_perimetro='Individual Corporativo' AND segmento='ESTR' AND ambito='PILAR3')X INNER JOIN (SELECT entty_id AS entty_id_SIMUL, TRNSTNL_CAPEX AS TRNSTNL_CAPEX_SIMUL FROM BU_LOANTAPE_WORK.LT003_ENTTY_P3_NOV24)Y ON X.ENTTY_ID=Y.ENTTY_ID_SIMUL</v>
      </c>
      <c r="M43" s="43" t="str">
        <f t="shared" si="0"/>
        <v>UNION ALL SELECT 'ENTITY' AS TABELA, 'COERÊNCIA' AS TIPOLOGIA_TESTE,'BU_LOANTAPE_WORK.LT003_ENTITY' AS TABELA_LT,'BU_LOANTAPE_WORK.LT003_ENTTY_P3_NOV24' AS TABELA_SIMUL,'TRNSTNL_CAPEX' AS CAMPO, '${ref_date}' AS REF_DATE, COUNT(*) AS NUM_REG, SUM(IF((ABS(COALESCE(X.TRNSTNL_CAPEX,0)-COALESCE(Y.TRNSTNL_CAPEX_SIMUL,0))&gt;0.0000000001) OR (X.TRNSTNL_CAPEX IS NULL AND Y.TRNSTNL_CAPEX_SIMUL IS NOT NULL ) OR (X.TRNSTNL_CAPEX IS NOT NULL AND Y.TRNSTNL_CAPEX_SIMUL IS NULL),1,0)) AS NUM_REG_DIF,'10' AS ID_EXEC, CURRENT_TIMESTAMP() AS TIME_EXEC FROM (SELECT entty_id, TRNSTNL_CAPEX FROM BU_LOANTAPE_WORK.LT003_ENTITY WHERE ref_date='${ref_date}' AND nome_perimetro='Individual Corporativo' AND segmento='ESTR' AND ambito='PILAR3')X INNER JOIN (SELECT entty_id AS entty_id_SIMUL, TRNSTNL_CAPEX AS TRNSTNL_CAPEX_SIMUL FROM BU_LOANTAPE_WORK.LT003_ENTTY_P3_NOV24)Y ON X.ENTTY_ID=Y.ENTTY_ID_SIMUL</v>
      </c>
      <c r="N43" s="45" t="s">
        <v>13</v>
      </c>
    </row>
    <row r="44" spans="2:14">
      <c r="B44" s="41" t="s">
        <v>23</v>
      </c>
      <c r="C44" s="41" t="s">
        <v>74</v>
      </c>
      <c r="D44" s="41" t="str">
        <f>+UPPER('0. Instruções'!$D$33&amp;"."&amp;VLOOKUP(B44,'0. Instruções'!$C$27:$D$31,2,FALSE))</f>
        <v>BU_LOANTAPE_WORK.LT003_ENTITY</v>
      </c>
      <c r="E44" s="41" t="str">
        <f>+UPPER('0. Instruções'!$D$34&amp;"."&amp;VLOOKUP(B44,'0. Instruções'!$C$27:$E$31,3,FALSE))</f>
        <v>BU_LOANTAPE_WORK.LT003_ENTTY_P3_NOV24</v>
      </c>
      <c r="F44" s="41" t="s">
        <v>109</v>
      </c>
      <c r="G44" s="41" t="s">
        <v>210</v>
      </c>
      <c r="H44" s="41"/>
      <c r="I44" s="41" t="str">
        <f>"(SELECT "&amp;VLOOKUP(B44,'0. Instruções'!$C$27:$G$31,4,FALSE)&amp;", "&amp;F44&amp;" FROM "&amp;D44&amp;" WHERE "&amp;'0. Instruções'!$D$40&amp;")X"</f>
        <v>(SELECT entty_id, PURE_CAPEX_CCM FROM BU_LOANTAPE_WORK.LT003_ENTITY WHERE ref_date='${ref_date}' AND nome_perimetro='Individual Corporativo' AND segmento='ESTR' AND ambito='PILAR3')X</v>
      </c>
      <c r="J44" s="41" t="str">
        <f>"(SELECT "&amp;VLOOKUP(B44,'0. Instruções'!$C$27:$G$31,4,FALSE)&amp;" AS "&amp;VLOOKUP(B44,'0. Instruções'!$C$27:$G$31,4,FALSE)&amp;"_SIMUL, "&amp;F44&amp;" AS "&amp;F44&amp;"_SIMUL FROM "&amp;E44&amp;")Y"</f>
        <v>(SELECT entty_id AS entty_id_SIMUL, PURE_CAPEX_CCM AS PURE_CAPEX_CCM_SIMUL FROM BU_LOANTAPE_WORK.LT003_ENTTY_P3_NOV24)Y</v>
      </c>
      <c r="K44" s="42" t="str">
        <f>+UPPER("ON X."&amp;VLOOKUP(B44,'0. Instruções'!$C$27:$G$31,4,FALSE)&amp;"=Y."&amp;VLOOKUP(B44,'0. Instruções'!$C$27:$G$31,4,FALSE)&amp;"_SIMUL")</f>
        <v>ON X.ENTTY_ID=Y.ENTTY_ID_SIMUL</v>
      </c>
      <c r="L44" s="42" t="str">
        <f>+IF(C44="Coerência", +IF(LEFT(G44,5)="FLOAT","SELECT '"&amp;UPPER(B44)&amp;"' AS TABELA, '"&amp;UPPER(C44)&amp;"' AS TIPOLOGIA_TESTE,'"&amp;D44&amp;"' AS TABELA_LT,'"&amp;E44&amp;"' AS TABELA_SIMUL,'"&amp;F44&amp;"' AS CAMPO, "&amp;"'${ref_date}' AS REF_DATE, COUNT(*) AS NUM_REG, SUM(IF((ABS(COALESCE(X."&amp;F44&amp;",0)-COALESCE(Y."&amp;F44&amp;"_SIMUL,0))&gt;0.0000000001) OR (X."&amp;F44&amp;" IS NULL AND Y."&amp;F44&amp;"_SIMUL IS NOT NULL ) OR (X."&amp;F44&amp;" IS NOT NULL AND Y."&amp;F44&amp;"_SIMUL IS NULL),1,0)) AS NUM_REG_DIF,'"&amp;MAX('ID1&amp;5'!K:K)+1&amp;"' AS ID_EXEC, CURRENT_TIMESTAMP() AS TIME_EXEC FROM "&amp;I44&amp;" INNER JOIN "&amp;J44&amp;" "&amp;K44,"SELECT '"&amp;UPPER(B44)&amp;"' AS TABELA, '"&amp;UPPER(C44)&amp;"' AS TIPOLOGIA_TESTE,'"&amp;D44&amp;"' AS TABELA_LT,'"&amp;E44&amp;"' AS TABELA_SIMUL,'"&amp;F44&amp;"' AS CAMPO, "&amp;"'${ref_date}' AS REF_DATE, COUNT(*) AS NUM_REG, SUM(IF(COALESCE(CAST(X."&amp;F44&amp;" AS STRING),'')&lt;&gt;COALESCE(CAST(Y."&amp;F44&amp;"_SIMUL AS STRING),''),1,0)) AS NUM_REG_DIF,'"&amp;MAX('ID1&amp;5'!L:L)+1&amp;"' AS ID_EXEC, CURRENT_TIMESTAMP() AS TIME_EXEC FROM "&amp;I44&amp;" INNER JOIN "&amp;J44&amp;" "&amp;K44),
IF(C44="Validade",+IF(G44="Code List","SELECT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 OR CAST(X."&amp;F44&amp;" AS STRING) NOT "&amp;H44&amp;",1,0)) AS NUM_REG_DIF,'"&amp;MAX('ID1&amp;5'!K:K)+1&amp;"' AS ID_EXEC, CURRENT_TIMESTAMP() AS TIME_EXEC FROM "&amp;I44,"SELECT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NULL,1,0)) AS NUM_REG_DIF,'"&amp;MAX('ID1&amp;5'!K:K)+1&amp;"' AS ID_EXEC, CURRENT_TIMESTAMP() AS TIME_EXEC FROM "&amp;I44),
IF(C44="Caracteres Especiais",+"SELECT '"&amp;UPPER(B44)&amp;"' AS TABELA, '"&amp;UPPER(C44)&amp;"' AS TIPOLOGIA_TESTE,'"&amp;D44&amp;"' AS TABELA_LT,'N/A' AS TABELA_SIMUL,'"&amp;F44&amp;"' AS CAMPO, "&amp;"'${ref_date}' AS REF_DATE, COUNT(*) AS NUM_REG, SUM(IF(INSTR(CAST(X."&amp;F44&amp;" AS STRING),'#')&gt;0 OR INSTR(CAST(X."&amp;F44&amp;" AS STRING),'*')&gt;0 OR INSTR(CAST(X."&amp;F44&amp;" AS STRING),'`')&gt;0 OR INSTR(CAST(X."&amp;F44&amp;" AS STRING),'´')&gt;0 OR INSTR(CAST(X."&amp;F44&amp;" AS STRING),'{')&gt;0 OR INSTR(CAST(X."&amp;F44&amp;" AS STRING),'}')&gt;0 OR INSTR(CAST(X."&amp;F44&amp;" AS STRING),'[')&gt;0 OR INSTR(CAST(X."&amp;F44&amp;" AS STRING),'')&gt;0 OR INSTR(CAST(X."&amp;F44&amp;" AS STRING),']')&gt;0 OR INSTR(CAST(X."&amp;F44&amp;" AS STRING),'?')&gt;0 OR INSTR(CAST(X."&amp;F44&amp;" AS STRING),'!')&gt;0 OR INSTR(CAST(X."&amp;F44&amp;" AS STRING),'$')&gt;0 OR INSTR(CAST(X."&amp;F44&amp;" AS STRING),'%')&gt;0 OR INSTR(CAST(X."&amp;F44&amp;" AS STRING),'&amp;')&gt;0 OR INSTR(CAST(X."&amp;F44&amp;" AS STRING),'+')&gt;0,1,0)) AS NUM_REG_DIF,'"&amp;MAX('ID1&amp;5'!K:K)+1&amp;"' AS ID_EXEC, CURRENT_TIMESTAMP() AS TIME_EXEC FROM "&amp;I44,
IF(C44="Missings",+"SELECT '"&amp;UPPER(B44)&amp;"' AS TABELA, '"&amp;UPPER(C44)&amp;"' AS TIPOLOGIA_TESTE,'"&amp;D44&amp;"' AS TABELA_LT,'N/A' AS TABELA_SIMUL,'"&amp;F44&amp;"' AS CAMPO, "&amp;"'${ref_date}' AS REF_DATE, COUNT(*) AS NUM_REG, SUM(IF(TRIM(CAST(X."&amp;F44&amp;" AS STRING)) IN ('0000-00-00','0001-01-01','9999-12-31','MISS','00000','99999999999','99999999999.00','99999999999.000000'),1,0)) AS NUM_REG_DIF,'"&amp;MAX('ID1&amp;5'!K:K)+1&amp;"' AS ID_EXEC, CURRENT_TIMESTAMP() AS TIME_EXEC FROM "&amp;I44,
IF(C44="Not applicable",+"SELECT '"&amp;UPPER(B44)&amp;"' AS TABELA, '"&amp;UPPER(C44)&amp;"' AS TIPOLOGIA_TESTE,'"&amp;D44&amp;"' AS TABELA_LT,'N/A' AS TABELA_SIMUL,'"&amp;F44&amp;"' AS CAMPO, "&amp;"'${ref_date}' AS REF_DATE, COUNT(*) AS NUM_REG, SUM(IF(TRIM(CAST(X."&amp;F44&amp;" AS STRING)) IN ('N/A','11111111111','11111111111.00','11111111111.000000','1111-11-11'),1,0)) AS NUM_REG_DIF,'"&amp;MAX('ID1&amp;5'!K:K)+1&amp;"' AS ID_EXEC, CURRENT_TIMESTAMP() AS TIME_EXEC FROM "&amp;I44,
IF(C44="Valores extremos",+"SELECT '"&amp;UPPER(B44)&amp;"' AS TABELA, '"&amp;UPPER(C44)&amp;"' AS TIPOLOGIA_TESTE,'"&amp;D44&amp;"' AS TABELA_LT,'N/A' AS TABELA_SIMUL,'"&amp;F44&amp;"' AS CAMPO, "&amp;"'${ref_date}' AS REF_DATE, CAST(MIN("&amp;F44&amp;") AS STRING) AS VALOR_MIN, CAST(MAX("&amp;F44&amp;") AS STRING) AS VALOR_MAX,'"&amp;MAX('ID1&amp;5'!K:K)+1&amp;"' AS ID_EXEC, CURRENT_TIMESTAMP() AS TIME_EXEC FROM "&amp;MID(I44,1,LEN(I44)-2)&amp;" AND CAST("&amp;F44&amp;"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TABELA_SIMUL,'PURE_CAPEX_CCM' AS CAMPO, '${ref_date}' AS REF_DATE, COUNT(*) AS NUM_REG, SUM(IF((ABS(COALESCE(X.PURE_CAPEX_CCM,0)-COALESCE(Y.PURE_CAPEX_CCM_SIMUL,0))&gt;0.0000000001) OR (X.PURE_CAPEX_CCM IS NULL AND Y.PURE_CAPEX_CCM_SIMUL IS NOT NULL ) OR (X.PURE_CAPEX_CCM IS NOT NULL AND Y.PURE_CAPEX_CCM_SIMUL IS NULL),1,0)) AS NUM_REG_DIF,'10' AS ID_EXEC, CURRENT_TIMESTAMP() AS TIME_EXEC FROM (SELECT entty_id, PURE_CAPEX_CCM FROM BU_LOANTAPE_WORK.LT003_ENTITY WHERE ref_date='${ref_date}' AND nome_perimetro='Individual Corporativo' AND segmento='ESTR' AND ambito='PILAR3')X INNER JOIN (SELECT entty_id AS entty_id_SIMUL, PURE_CAPEX_CCM AS PURE_CAPEX_CCM_SIMUL FROM BU_LOANTAPE_WORK.LT003_ENTTY_P3_NOV24)Y ON X.ENTTY_ID=Y.ENTTY_ID_SIMUL</v>
      </c>
      <c r="M44" s="43" t="str">
        <f t="shared" si="0"/>
        <v>UNION ALL SELECT 'ENTITY' AS TABELA, 'COERÊNCIA' AS TIPOLOGIA_TESTE,'BU_LOANTAPE_WORK.LT003_ENTITY' AS TABELA_LT,'BU_LOANTAPE_WORK.LT003_ENTTY_P3_NOV24' AS TABELA_SIMUL,'PURE_CAPEX_CCM' AS CAMPO, '${ref_date}' AS REF_DATE, COUNT(*) AS NUM_REG, SUM(IF((ABS(COALESCE(X.PURE_CAPEX_CCM,0)-COALESCE(Y.PURE_CAPEX_CCM_SIMUL,0))&gt;0.0000000001) OR (X.PURE_CAPEX_CCM IS NULL AND Y.PURE_CAPEX_CCM_SIMUL IS NOT NULL ) OR (X.PURE_CAPEX_CCM IS NOT NULL AND Y.PURE_CAPEX_CCM_SIMUL IS NULL),1,0)) AS NUM_REG_DIF,'10' AS ID_EXEC, CURRENT_TIMESTAMP() AS TIME_EXEC FROM (SELECT entty_id, PURE_CAPEX_CCM FROM BU_LOANTAPE_WORK.LT003_ENTITY WHERE ref_date='${ref_date}' AND nome_perimetro='Individual Corporativo' AND segmento='ESTR' AND ambito='PILAR3')X INNER JOIN (SELECT entty_id AS entty_id_SIMUL, PURE_CAPEX_CCM AS PURE_CAPEX_CCM_SIMUL FROM BU_LOANTAPE_WORK.LT003_ENTTY_P3_NOV24)Y ON X.ENTTY_ID=Y.ENTTY_ID_SIMUL</v>
      </c>
      <c r="N44" s="45" t="s">
        <v>13</v>
      </c>
    </row>
    <row r="45" spans="2:14">
      <c r="B45" s="41" t="s">
        <v>23</v>
      </c>
      <c r="C45" s="41" t="s">
        <v>74</v>
      </c>
      <c r="D45" s="41" t="str">
        <f>+UPPER('0. Instruções'!$D$33&amp;"."&amp;VLOOKUP(B45,'0. Instruções'!$C$27:$D$31,2,FALSE))</f>
        <v>BU_LOANTAPE_WORK.LT003_ENTITY</v>
      </c>
      <c r="E45" s="41" t="str">
        <f>+UPPER('0. Instruções'!$D$34&amp;"."&amp;VLOOKUP(B45,'0. Instruções'!$C$27:$E$31,3,FALSE))</f>
        <v>BU_LOANTAPE_WORK.LT003_ENTTY_P3_NOV24</v>
      </c>
      <c r="F45" s="41" t="s">
        <v>110</v>
      </c>
      <c r="G45" s="41" t="s">
        <v>210</v>
      </c>
      <c r="H45" s="41"/>
      <c r="I45" s="41" t="str">
        <f>"(SELECT "&amp;VLOOKUP(B45,'0. Instruções'!$C$27:$G$31,4,FALSE)&amp;", "&amp;F45&amp;" FROM "&amp;D45&amp;" WHERE "&amp;'0. Instruções'!$D$40&amp;")X"</f>
        <v>(SELECT entty_id, PURE_CAPEX_CCA FROM BU_LOANTAPE_WORK.LT003_ENTITY WHERE ref_date='${ref_date}' AND nome_perimetro='Individual Corporativo' AND segmento='ESTR' AND ambito='PILAR3')X</v>
      </c>
      <c r="J45" s="41" t="str">
        <f>"(SELECT "&amp;VLOOKUP(B45,'0. Instruções'!$C$27:$G$31,4,FALSE)&amp;" AS "&amp;VLOOKUP(B45,'0. Instruções'!$C$27:$G$31,4,FALSE)&amp;"_SIMUL, "&amp;F45&amp;" AS "&amp;F45&amp;"_SIMUL FROM "&amp;E45&amp;")Y"</f>
        <v>(SELECT entty_id AS entty_id_SIMUL, PURE_CAPEX_CCA AS PURE_CAPEX_CCA_SIMUL FROM BU_LOANTAPE_WORK.LT003_ENTTY_P3_NOV24)Y</v>
      </c>
      <c r="K45" s="42" t="str">
        <f>+UPPER("ON X."&amp;VLOOKUP(B45,'0. Instruções'!$C$27:$G$31,4,FALSE)&amp;"=Y."&amp;VLOOKUP(B45,'0. Instruções'!$C$27:$G$31,4,FALSE)&amp;"_SIMUL")</f>
        <v>ON X.ENTTY_ID=Y.ENTTY_ID_SIMUL</v>
      </c>
      <c r="L45" s="42" t="str">
        <f>+IF(C45="Coerência", +IF(LEFT(G45,5)="FLOAT","SELECT '"&amp;UPPER(B45)&amp;"' AS TABELA, '"&amp;UPPER(C45)&amp;"' AS TIPOLOGIA_TESTE,'"&amp;D45&amp;"' AS TABELA_LT,'"&amp;E45&amp;"' AS TABELA_SIMUL,'"&amp;F45&amp;"' AS CAMPO, "&amp;"'${ref_date}' AS REF_DATE, COUNT(*) AS NUM_REG, SUM(IF((ABS(COALESCE(X."&amp;F45&amp;",0)-COALESCE(Y."&amp;F45&amp;"_SIMUL,0))&gt;0.0000000001) OR (X."&amp;F45&amp;" IS NULL AND Y."&amp;F45&amp;"_SIMUL IS NOT NULL ) OR (X."&amp;F45&amp;" IS NOT NULL AND Y."&amp;F45&amp;"_SIMUL IS NULL),1,0)) AS NUM_REG_DIF,'"&amp;MAX('ID1&amp;5'!K:K)+1&amp;"' AS ID_EXEC, CURRENT_TIMESTAMP() AS TIME_EXEC FROM "&amp;I45&amp;" INNER JOIN "&amp;J45&amp;" "&amp;K45,"SELECT '"&amp;UPPER(B45)&amp;"' AS TABELA, '"&amp;UPPER(C45)&amp;"' AS TIPOLOGIA_TESTE,'"&amp;D45&amp;"' AS TABELA_LT,'"&amp;E45&amp;"' AS TABELA_SIMUL,'"&amp;F45&amp;"' AS CAMPO, "&amp;"'${ref_date}' AS REF_DATE, COUNT(*) AS NUM_REG, SUM(IF(COALESCE(CAST(X."&amp;F45&amp;" AS STRING),'')&lt;&gt;COALESCE(CAST(Y."&amp;F45&amp;"_SIMUL AS STRING),''),1,0)) AS NUM_REG_DIF,'"&amp;MAX('ID1&amp;5'!L:L)+1&amp;"' AS ID_EXEC, CURRENT_TIMESTAMP() AS TIME_EXEC FROM "&amp;I45&amp;" INNER JOIN "&amp;J45&amp;" "&amp;K45),
IF(C45="Validade",+IF(G45="Code List","SELECT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 OR CAST(X."&amp;F45&amp;" AS STRING) NOT "&amp;H45&amp;",1,0)) AS NUM_REG_DIF,'"&amp;MAX('ID1&amp;5'!K:K)+1&amp;"' AS ID_EXEC, CURRENT_TIMESTAMP() AS TIME_EXEC FROM "&amp;I45,"SELECT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NULL,1,0)) AS NUM_REG_DIF,'"&amp;MAX('ID1&amp;5'!K:K)+1&amp;"' AS ID_EXEC, CURRENT_TIMESTAMP() AS TIME_EXEC FROM "&amp;I45),
IF(C45="Caracteres Especiais",+"SELECT '"&amp;UPPER(B45)&amp;"' AS TABELA, '"&amp;UPPER(C45)&amp;"' AS TIPOLOGIA_TESTE,'"&amp;D45&amp;"' AS TABELA_LT,'N/A' AS TABELA_SIMUL,'"&amp;F45&amp;"' AS CAMPO, "&amp;"'${ref_date}' AS REF_DATE, COUNT(*) AS NUM_REG, SUM(IF(INSTR(CAST(X."&amp;F45&amp;" AS STRING),'#')&gt;0 OR INSTR(CAST(X."&amp;F45&amp;" AS STRING),'*')&gt;0 OR INSTR(CAST(X."&amp;F45&amp;" AS STRING),'`')&gt;0 OR INSTR(CAST(X."&amp;F45&amp;" AS STRING),'´')&gt;0 OR INSTR(CAST(X."&amp;F45&amp;" AS STRING),'{')&gt;0 OR INSTR(CAST(X."&amp;F45&amp;" AS STRING),'}')&gt;0 OR INSTR(CAST(X."&amp;F45&amp;" AS STRING),'[')&gt;0 OR INSTR(CAST(X."&amp;F45&amp;" AS STRING),'')&gt;0 OR INSTR(CAST(X."&amp;F45&amp;" AS STRING),']')&gt;0 OR INSTR(CAST(X."&amp;F45&amp;" AS STRING),'?')&gt;0 OR INSTR(CAST(X."&amp;F45&amp;" AS STRING),'!')&gt;0 OR INSTR(CAST(X."&amp;F45&amp;" AS STRING),'$')&gt;0 OR INSTR(CAST(X."&amp;F45&amp;" AS STRING),'%')&gt;0 OR INSTR(CAST(X."&amp;F45&amp;" AS STRING),'&amp;')&gt;0 OR INSTR(CAST(X."&amp;F45&amp;" AS STRING),'+')&gt;0,1,0)) AS NUM_REG_DIF,'"&amp;MAX('ID1&amp;5'!K:K)+1&amp;"' AS ID_EXEC, CURRENT_TIMESTAMP() AS TIME_EXEC FROM "&amp;I45,
IF(C45="Missings",+"SELECT '"&amp;UPPER(B45)&amp;"' AS TABELA, '"&amp;UPPER(C45)&amp;"' AS TIPOLOGIA_TESTE,'"&amp;D45&amp;"' AS TABELA_LT,'N/A' AS TABELA_SIMUL,'"&amp;F45&amp;"' AS CAMPO, "&amp;"'${ref_date}' AS REF_DATE, COUNT(*) AS NUM_REG, SUM(IF(TRIM(CAST(X."&amp;F45&amp;" AS STRING)) IN ('0000-00-00','0001-01-01','9999-12-31','MISS','00000','99999999999','99999999999.00','99999999999.000000'),1,0)) AS NUM_REG_DIF,'"&amp;MAX('ID1&amp;5'!K:K)+1&amp;"' AS ID_EXEC, CURRENT_TIMESTAMP() AS TIME_EXEC FROM "&amp;I45,
IF(C45="Not applicable",+"SELECT '"&amp;UPPER(B45)&amp;"' AS TABELA, '"&amp;UPPER(C45)&amp;"' AS TIPOLOGIA_TESTE,'"&amp;D45&amp;"' AS TABELA_LT,'N/A' AS TABELA_SIMUL,'"&amp;F45&amp;"' AS CAMPO, "&amp;"'${ref_date}' AS REF_DATE, COUNT(*) AS NUM_REG, SUM(IF(TRIM(CAST(X."&amp;F45&amp;" AS STRING)) IN ('N/A','11111111111','11111111111.00','11111111111.000000','1111-11-11'),1,0)) AS NUM_REG_DIF,'"&amp;MAX('ID1&amp;5'!K:K)+1&amp;"' AS ID_EXEC, CURRENT_TIMESTAMP() AS TIME_EXEC FROM "&amp;I45,
IF(C45="Valores extremos",+"SELECT '"&amp;UPPER(B45)&amp;"' AS TABELA, '"&amp;UPPER(C45)&amp;"' AS TIPOLOGIA_TESTE,'"&amp;D45&amp;"' AS TABELA_LT,'N/A' AS TABELA_SIMUL,'"&amp;F45&amp;"' AS CAMPO, "&amp;"'${ref_date}' AS REF_DATE, CAST(MIN("&amp;F45&amp;") AS STRING) AS VALOR_MIN, CAST(MAX("&amp;F45&amp;") AS STRING) AS VALOR_MAX,'"&amp;MAX('ID1&amp;5'!K:K)+1&amp;"' AS ID_EXEC, CURRENT_TIMESTAMP() AS TIME_EXEC FROM "&amp;MID(I45,1,LEN(I45)-2)&amp;" AND CAST("&amp;F45&amp;"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TABELA_SIMUL,'PURE_CAPEX_CCA' AS CAMPO, '${ref_date}' AS REF_DATE, COUNT(*) AS NUM_REG, SUM(IF((ABS(COALESCE(X.PURE_CAPEX_CCA,0)-COALESCE(Y.PURE_CAPEX_CCA_SIMUL,0))&gt;0.0000000001) OR (X.PURE_CAPEX_CCA IS NULL AND Y.PURE_CAPEX_CCA_SIMUL IS NOT NULL ) OR (X.PURE_CAPEX_CCA IS NOT NULL AND Y.PURE_CAPEX_CCA_SIMUL IS NULL),1,0)) AS NUM_REG_DIF,'10' AS ID_EXEC, CURRENT_TIMESTAMP() AS TIME_EXEC FROM (SELECT entty_id, PURE_CAPEX_CCA FROM BU_LOANTAPE_WORK.LT003_ENTITY WHERE ref_date='${ref_date}' AND nome_perimetro='Individual Corporativo' AND segmento='ESTR' AND ambito='PILAR3')X INNER JOIN (SELECT entty_id AS entty_id_SIMUL, PURE_CAPEX_CCA AS PURE_CAPEX_CCA_SIMUL FROM BU_LOANTAPE_WORK.LT003_ENTTY_P3_NOV24)Y ON X.ENTTY_ID=Y.ENTTY_ID_SIMUL</v>
      </c>
      <c r="M45" s="43" t="str">
        <f t="shared" si="0"/>
        <v>UNION ALL SELECT 'ENTITY' AS TABELA, 'COERÊNCIA' AS TIPOLOGIA_TESTE,'BU_LOANTAPE_WORK.LT003_ENTITY' AS TABELA_LT,'BU_LOANTAPE_WORK.LT003_ENTTY_P3_NOV24' AS TABELA_SIMUL,'PURE_CAPEX_CCA' AS CAMPO, '${ref_date}' AS REF_DATE, COUNT(*) AS NUM_REG, SUM(IF((ABS(COALESCE(X.PURE_CAPEX_CCA,0)-COALESCE(Y.PURE_CAPEX_CCA_SIMUL,0))&gt;0.0000000001) OR (X.PURE_CAPEX_CCA IS NULL AND Y.PURE_CAPEX_CCA_SIMUL IS NOT NULL ) OR (X.PURE_CAPEX_CCA IS NOT NULL AND Y.PURE_CAPEX_CCA_SIMUL IS NULL),1,0)) AS NUM_REG_DIF,'10' AS ID_EXEC, CURRENT_TIMESTAMP() AS TIME_EXEC FROM (SELECT entty_id, PURE_CAPEX_CCA FROM BU_LOANTAPE_WORK.LT003_ENTITY WHERE ref_date='${ref_date}' AND nome_perimetro='Individual Corporativo' AND segmento='ESTR' AND ambito='PILAR3')X INNER JOIN (SELECT entty_id AS entty_id_SIMUL, PURE_CAPEX_CCA AS PURE_CAPEX_CCA_SIMUL FROM BU_LOANTAPE_WORK.LT003_ENTTY_P3_NOV24)Y ON X.ENTTY_ID=Y.ENTTY_ID_SIMUL</v>
      </c>
      <c r="N45" s="45" t="s">
        <v>13</v>
      </c>
    </row>
    <row r="46" spans="2:14">
      <c r="B46" s="41" t="s">
        <v>23</v>
      </c>
      <c r="C46" s="41" t="s">
        <v>74</v>
      </c>
      <c r="D46" s="41" t="str">
        <f>+UPPER('0. Instruções'!$D$33&amp;"."&amp;VLOOKUP(B46,'0. Instruções'!$C$27:$D$31,2,FALSE))</f>
        <v>BU_LOANTAPE_WORK.LT003_ENTITY</v>
      </c>
      <c r="E46" s="41" t="str">
        <f>+UPPER('0. Instruções'!$D$34&amp;"."&amp;VLOOKUP(B46,'0. Instruções'!$C$27:$E$31,3,FALSE))</f>
        <v>BU_LOANTAPE_WORK.LT003_ENTTY_P3_NOV24</v>
      </c>
      <c r="F46" s="41" t="s">
        <v>111</v>
      </c>
      <c r="G46" s="41" t="s">
        <v>210</v>
      </c>
      <c r="H46" s="41"/>
      <c r="I46" s="41" t="str">
        <f>"(SELECT "&amp;VLOOKUP(B46,'0. Instruções'!$C$27:$G$31,4,FALSE)&amp;", "&amp;F46&amp;" FROM "&amp;D46&amp;" WHERE "&amp;'0. Instruções'!$D$40&amp;")X"</f>
        <v>(SELECT entty_id, ENBLNG_TRNVR_CCM FROM BU_LOANTAPE_WORK.LT003_ENTITY WHERE ref_date='${ref_date}' AND nome_perimetro='Individual Corporativo' AND segmento='ESTR' AND ambito='PILAR3')X</v>
      </c>
      <c r="J46" s="41" t="str">
        <f>"(SELECT "&amp;VLOOKUP(B46,'0. Instruções'!$C$27:$G$31,4,FALSE)&amp;" AS "&amp;VLOOKUP(B46,'0. Instruções'!$C$27:$G$31,4,FALSE)&amp;"_SIMUL, "&amp;F46&amp;" AS "&amp;F46&amp;"_SIMUL FROM "&amp;E46&amp;")Y"</f>
        <v>(SELECT entty_id AS entty_id_SIMUL, ENBLNG_TRNVR_CCM AS ENBLNG_TRNVR_CCM_SIMUL FROM BU_LOANTAPE_WORK.LT003_ENTTY_P3_NOV24)Y</v>
      </c>
      <c r="K46" s="42" t="str">
        <f>+UPPER("ON X."&amp;VLOOKUP(B46,'0. Instruções'!$C$27:$G$31,4,FALSE)&amp;"=Y."&amp;VLOOKUP(B46,'0. Instruções'!$C$27:$G$31,4,FALSE)&amp;"_SIMUL")</f>
        <v>ON X.ENTTY_ID=Y.ENTTY_ID_SIMUL</v>
      </c>
      <c r="L46" s="42" t="str">
        <f>+IF(C46="Coerência", +IF(LEFT(G46,5)="FLOAT","SELECT '"&amp;UPPER(B46)&amp;"' AS TABELA, '"&amp;UPPER(C46)&amp;"' AS TIPOLOGIA_TESTE,'"&amp;D46&amp;"' AS TABELA_LT,'"&amp;E46&amp;"' AS TABELA_SIMUL,'"&amp;F46&amp;"' AS CAMPO, "&amp;"'${ref_date}' AS REF_DATE, COUNT(*) AS NUM_REG, SUM(IF((ABS(COALESCE(X."&amp;F46&amp;",0)-COALESCE(Y."&amp;F46&amp;"_SIMUL,0))&gt;0.0000000001) OR (X."&amp;F46&amp;" IS NULL AND Y."&amp;F46&amp;"_SIMUL IS NOT NULL ) OR (X."&amp;F46&amp;" IS NOT NULL AND Y."&amp;F46&amp;"_SIMUL IS NULL),1,0)) AS NUM_REG_DIF,'"&amp;MAX('ID1&amp;5'!K:K)+1&amp;"' AS ID_EXEC, CURRENT_TIMESTAMP() AS TIME_EXEC FROM "&amp;I46&amp;" INNER JOIN "&amp;J46&amp;" "&amp;K46,"SELECT '"&amp;UPPER(B46)&amp;"' AS TABELA, '"&amp;UPPER(C46)&amp;"' AS TIPOLOGIA_TESTE,'"&amp;D46&amp;"' AS TABELA_LT,'"&amp;E46&amp;"' AS TABELA_SIMUL,'"&amp;F46&amp;"' AS CAMPO, "&amp;"'${ref_date}' AS REF_DATE, COUNT(*) AS NUM_REG, SUM(IF(COALESCE(CAST(X."&amp;F46&amp;" AS STRING),'')&lt;&gt;COALESCE(CAST(Y."&amp;F46&amp;"_SIMUL AS STRING),''),1,0)) AS NUM_REG_DIF,'"&amp;MAX('ID1&amp;5'!L:L)+1&amp;"' AS ID_EXEC, CURRENT_TIMESTAMP() AS TIME_EXEC FROM "&amp;I46&amp;" INNER JOIN "&amp;J46&amp;" "&amp;K46),
IF(C46="Validade",+IF(G46="Code List","SELECT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 OR CAST(X."&amp;F46&amp;" AS STRING) NOT "&amp;H46&amp;",1,0)) AS NUM_REG_DIF,'"&amp;MAX('ID1&amp;5'!K:K)+1&amp;"' AS ID_EXEC, CURRENT_TIMESTAMP() AS TIME_EXEC FROM "&amp;I46,"SELECT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NULL,1,0)) AS NUM_REG_DIF,'"&amp;MAX('ID1&amp;5'!K:K)+1&amp;"' AS ID_EXEC, CURRENT_TIMESTAMP() AS TIME_EXEC FROM "&amp;I46),
IF(C46="Caracteres Especiais",+"SELECT '"&amp;UPPER(B46)&amp;"' AS TABELA, '"&amp;UPPER(C46)&amp;"' AS TIPOLOGIA_TESTE,'"&amp;D46&amp;"' AS TABELA_LT,'N/A' AS TABELA_SIMUL,'"&amp;F46&amp;"' AS CAMPO, "&amp;"'${ref_date}' AS REF_DATE, COUNT(*) AS NUM_REG, SUM(IF(INSTR(CAST(X."&amp;F46&amp;" AS STRING),'#')&gt;0 OR INSTR(CAST(X."&amp;F46&amp;" AS STRING),'*')&gt;0 OR INSTR(CAST(X."&amp;F46&amp;" AS STRING),'`')&gt;0 OR INSTR(CAST(X."&amp;F46&amp;" AS STRING),'´')&gt;0 OR INSTR(CAST(X."&amp;F46&amp;" AS STRING),'{')&gt;0 OR INSTR(CAST(X."&amp;F46&amp;" AS STRING),'}')&gt;0 OR INSTR(CAST(X."&amp;F46&amp;" AS STRING),'[')&gt;0 OR INSTR(CAST(X."&amp;F46&amp;" AS STRING),'')&gt;0 OR INSTR(CAST(X."&amp;F46&amp;" AS STRING),']')&gt;0 OR INSTR(CAST(X."&amp;F46&amp;" AS STRING),'?')&gt;0 OR INSTR(CAST(X."&amp;F46&amp;" AS STRING),'!')&gt;0 OR INSTR(CAST(X."&amp;F46&amp;" AS STRING),'$')&gt;0 OR INSTR(CAST(X."&amp;F46&amp;" AS STRING),'%')&gt;0 OR INSTR(CAST(X."&amp;F46&amp;" AS STRING),'&amp;')&gt;0 OR INSTR(CAST(X."&amp;F46&amp;" AS STRING),'+')&gt;0,1,0)) AS NUM_REG_DIF,'"&amp;MAX('ID1&amp;5'!K:K)+1&amp;"' AS ID_EXEC, CURRENT_TIMESTAMP() AS TIME_EXEC FROM "&amp;I46,
IF(C46="Missings",+"SELECT '"&amp;UPPER(B46)&amp;"' AS TABELA, '"&amp;UPPER(C46)&amp;"' AS TIPOLOGIA_TESTE,'"&amp;D46&amp;"' AS TABELA_LT,'N/A' AS TABELA_SIMUL,'"&amp;F46&amp;"' AS CAMPO, "&amp;"'${ref_date}' AS REF_DATE, COUNT(*) AS NUM_REG, SUM(IF(TRIM(CAST(X."&amp;F46&amp;" AS STRING)) IN ('0000-00-00','0001-01-01','9999-12-31','MISS','00000','99999999999','99999999999.00','99999999999.000000'),1,0)) AS NUM_REG_DIF,'"&amp;MAX('ID1&amp;5'!K:K)+1&amp;"' AS ID_EXEC, CURRENT_TIMESTAMP() AS TIME_EXEC FROM "&amp;I46,
IF(C46="Not applicable",+"SELECT '"&amp;UPPER(B46)&amp;"' AS TABELA, '"&amp;UPPER(C46)&amp;"' AS TIPOLOGIA_TESTE,'"&amp;D46&amp;"' AS TABELA_LT,'N/A' AS TABELA_SIMUL,'"&amp;F46&amp;"' AS CAMPO, "&amp;"'${ref_date}' AS REF_DATE, COUNT(*) AS NUM_REG, SUM(IF(TRIM(CAST(X."&amp;F46&amp;" AS STRING)) IN ('N/A','11111111111','11111111111.00','11111111111.000000','1111-11-11'),1,0)) AS NUM_REG_DIF,'"&amp;MAX('ID1&amp;5'!K:K)+1&amp;"' AS ID_EXEC, CURRENT_TIMESTAMP() AS TIME_EXEC FROM "&amp;I46,
IF(C46="Valores extremos",+"SELECT '"&amp;UPPER(B46)&amp;"' AS TABELA, '"&amp;UPPER(C46)&amp;"' AS TIPOLOGIA_TESTE,'"&amp;D46&amp;"' AS TABELA_LT,'N/A' AS TABELA_SIMUL,'"&amp;F46&amp;"' AS CAMPO, "&amp;"'${ref_date}' AS REF_DATE, CAST(MIN("&amp;F46&amp;") AS STRING) AS VALOR_MIN, CAST(MAX("&amp;F46&amp;") AS STRING) AS VALOR_MAX,'"&amp;MAX('ID1&amp;5'!K:K)+1&amp;"' AS ID_EXEC, CURRENT_TIMESTAMP() AS TIME_EXEC FROM "&amp;MID(I46,1,LEN(I46)-2)&amp;" AND CAST("&amp;F46&amp;"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TABELA_SIMUL,'ENBLNG_TRNVR_CCM' AS CAMPO, '${ref_date}' AS REF_DATE, COUNT(*) AS NUM_REG, SUM(IF((ABS(COALESCE(X.ENBLNG_TRNVR_CCM,0)-COALESCE(Y.ENBLNG_TRNVR_CCM_SIMUL,0))&gt;0.0000000001) OR (X.ENBLNG_TRNVR_CCM IS NULL AND Y.ENBLNG_TRNVR_CCM_SIMUL IS NOT NULL ) OR (X.ENBLNG_TRNVR_CCM IS NOT NULL AND Y.ENBLNG_TRNVR_CCM_SIMUL IS NULL),1,0)) AS NUM_REG_DIF,'10' AS ID_EXEC, CURRENT_TIMESTAMP() AS TIME_EXEC FROM (SELECT entty_id, ENBLNG_TRNVR_CCM FROM BU_LOANTAPE_WORK.LT003_ENTITY WHERE ref_date='${ref_date}' AND nome_perimetro='Individual Corporativo' AND segmento='ESTR' AND ambito='PILAR3')X INNER JOIN (SELECT entty_id AS entty_id_SIMUL, ENBLNG_TRNVR_CCM AS ENBLNG_TRNVR_CCM_SIMUL FROM BU_LOANTAPE_WORK.LT003_ENTTY_P3_NOV24)Y ON X.ENTTY_ID=Y.ENTTY_ID_SIMUL</v>
      </c>
      <c r="M46" s="43" t="str">
        <f t="shared" si="0"/>
        <v>UNION ALL SELECT 'ENTITY' AS TABELA, 'COERÊNCIA' AS TIPOLOGIA_TESTE,'BU_LOANTAPE_WORK.LT003_ENTITY' AS TABELA_LT,'BU_LOANTAPE_WORK.LT003_ENTTY_P3_NOV24' AS TABELA_SIMUL,'ENBLNG_TRNVR_CCM' AS CAMPO, '${ref_date}' AS REF_DATE, COUNT(*) AS NUM_REG, SUM(IF((ABS(COALESCE(X.ENBLNG_TRNVR_CCM,0)-COALESCE(Y.ENBLNG_TRNVR_CCM_SIMUL,0))&gt;0.0000000001) OR (X.ENBLNG_TRNVR_CCM IS NULL AND Y.ENBLNG_TRNVR_CCM_SIMUL IS NOT NULL ) OR (X.ENBLNG_TRNVR_CCM IS NOT NULL AND Y.ENBLNG_TRNVR_CCM_SIMUL IS NULL),1,0)) AS NUM_REG_DIF,'10' AS ID_EXEC, CURRENT_TIMESTAMP() AS TIME_EXEC FROM (SELECT entty_id, ENBLNG_TRNVR_CCM FROM BU_LOANTAPE_WORK.LT003_ENTITY WHERE ref_date='${ref_date}' AND nome_perimetro='Individual Corporativo' AND segmento='ESTR' AND ambito='PILAR3')X INNER JOIN (SELECT entty_id AS entty_id_SIMUL, ENBLNG_TRNVR_CCM AS ENBLNG_TRNVR_CCM_SIMUL FROM BU_LOANTAPE_WORK.LT003_ENTTY_P3_NOV24)Y ON X.ENTTY_ID=Y.ENTTY_ID_SIMUL</v>
      </c>
      <c r="N46" s="45" t="s">
        <v>13</v>
      </c>
    </row>
    <row r="47" spans="2:14">
      <c r="B47" s="41" t="s">
        <v>23</v>
      </c>
      <c r="C47" s="41" t="s">
        <v>74</v>
      </c>
      <c r="D47" s="41" t="str">
        <f>+UPPER('0. Instruções'!$D$33&amp;"."&amp;VLOOKUP(B47,'0. Instruções'!$C$27:$D$31,2,FALSE))</f>
        <v>BU_LOANTAPE_WORK.LT003_ENTITY</v>
      </c>
      <c r="E47" s="41" t="str">
        <f>+UPPER('0. Instruções'!$D$34&amp;"."&amp;VLOOKUP(B47,'0. Instruções'!$C$27:$E$31,3,FALSE))</f>
        <v>BU_LOANTAPE_WORK.LT003_ENTTY_P3_NOV24</v>
      </c>
      <c r="F47" s="41" t="s">
        <v>112</v>
      </c>
      <c r="G47" s="41" t="s">
        <v>210</v>
      </c>
      <c r="H47" s="41"/>
      <c r="I47" s="41" t="str">
        <f>"(SELECT "&amp;VLOOKUP(B47,'0. Instruções'!$C$27:$G$31,4,FALSE)&amp;", "&amp;F47&amp;" FROM "&amp;D47&amp;" WHERE "&amp;'0. Instruções'!$D$40&amp;")X"</f>
        <v>(SELECT entty_id, ENBLNG_TRNVR_CCA FROM BU_LOANTAPE_WORK.LT003_ENTITY WHERE ref_date='${ref_date}' AND nome_perimetro='Individual Corporativo' AND segmento='ESTR' AND ambito='PILAR3')X</v>
      </c>
      <c r="J47" s="41" t="str">
        <f>"(SELECT "&amp;VLOOKUP(B47,'0. Instruções'!$C$27:$G$31,4,FALSE)&amp;" AS "&amp;VLOOKUP(B47,'0. Instruções'!$C$27:$G$31,4,FALSE)&amp;"_SIMUL, "&amp;F47&amp;" AS "&amp;F47&amp;"_SIMUL FROM "&amp;E47&amp;")Y"</f>
        <v>(SELECT entty_id AS entty_id_SIMUL, ENBLNG_TRNVR_CCA AS ENBLNG_TRNVR_CCA_SIMUL FROM BU_LOANTAPE_WORK.LT003_ENTTY_P3_NOV24)Y</v>
      </c>
      <c r="K47" s="42" t="str">
        <f>+UPPER("ON X."&amp;VLOOKUP(B47,'0. Instruções'!$C$27:$G$31,4,FALSE)&amp;"=Y."&amp;VLOOKUP(B47,'0. Instruções'!$C$27:$G$31,4,FALSE)&amp;"_SIMUL")</f>
        <v>ON X.ENTTY_ID=Y.ENTTY_ID_SIMUL</v>
      </c>
      <c r="L47" s="42" t="str">
        <f>+IF(C47="Coerência", +IF(LEFT(G47,5)="FLOAT","SELECT '"&amp;UPPER(B47)&amp;"' AS TABELA, '"&amp;UPPER(C47)&amp;"' AS TIPOLOGIA_TESTE,'"&amp;D47&amp;"' AS TABELA_LT,'"&amp;E47&amp;"' AS TABELA_SIMUL,'"&amp;F47&amp;"' AS CAMPO, "&amp;"'${ref_date}' AS REF_DATE, COUNT(*) AS NUM_REG, SUM(IF((ABS(COALESCE(X."&amp;F47&amp;",0)-COALESCE(Y."&amp;F47&amp;"_SIMUL,0))&gt;0.0000000001) OR (X."&amp;F47&amp;" IS NULL AND Y."&amp;F47&amp;"_SIMUL IS NOT NULL ) OR (X."&amp;F47&amp;" IS NOT NULL AND Y."&amp;F47&amp;"_SIMUL IS NULL),1,0)) AS NUM_REG_DIF,'"&amp;MAX('ID1&amp;5'!K:K)+1&amp;"' AS ID_EXEC, CURRENT_TIMESTAMP() AS TIME_EXEC FROM "&amp;I47&amp;" INNER JOIN "&amp;J47&amp;" "&amp;K47,"SELECT '"&amp;UPPER(B47)&amp;"' AS TABELA, '"&amp;UPPER(C47)&amp;"' AS TIPOLOGIA_TESTE,'"&amp;D47&amp;"' AS TABELA_LT,'"&amp;E47&amp;"' AS TABELA_SIMUL,'"&amp;F47&amp;"' AS CAMPO, "&amp;"'${ref_date}' AS REF_DATE, COUNT(*) AS NUM_REG, SUM(IF(COALESCE(CAST(X."&amp;F47&amp;" AS STRING),'')&lt;&gt;COALESCE(CAST(Y."&amp;F47&amp;"_SIMUL AS STRING),''),1,0)) AS NUM_REG_DIF,'"&amp;MAX('ID1&amp;5'!L:L)+1&amp;"' AS ID_EXEC, CURRENT_TIMESTAMP() AS TIME_EXEC FROM "&amp;I47&amp;" INNER JOIN "&amp;J47&amp;" "&amp;K47),
IF(C47="Validade",+IF(G47="Code List","SELECT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 OR CAST(X."&amp;F47&amp;" AS STRING) NOT "&amp;H47&amp;",1,0)) AS NUM_REG_DIF,'"&amp;MAX('ID1&amp;5'!K:K)+1&amp;"' AS ID_EXEC, CURRENT_TIMESTAMP() AS TIME_EXEC FROM "&amp;I47,"SELECT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NULL,1,0)) AS NUM_REG_DIF,'"&amp;MAX('ID1&amp;5'!K:K)+1&amp;"' AS ID_EXEC, CURRENT_TIMESTAMP() AS TIME_EXEC FROM "&amp;I47),
IF(C47="Caracteres Especiais",+"SELECT '"&amp;UPPER(B47)&amp;"' AS TABELA, '"&amp;UPPER(C47)&amp;"' AS TIPOLOGIA_TESTE,'"&amp;D47&amp;"' AS TABELA_LT,'N/A' AS TABELA_SIMUL,'"&amp;F47&amp;"' AS CAMPO, "&amp;"'${ref_date}' AS REF_DATE, COUNT(*) AS NUM_REG, SUM(IF(INSTR(CAST(X."&amp;F47&amp;" AS STRING),'#')&gt;0 OR INSTR(CAST(X."&amp;F47&amp;" AS STRING),'*')&gt;0 OR INSTR(CAST(X."&amp;F47&amp;" AS STRING),'`')&gt;0 OR INSTR(CAST(X."&amp;F47&amp;" AS STRING),'´')&gt;0 OR INSTR(CAST(X."&amp;F47&amp;" AS STRING),'{')&gt;0 OR INSTR(CAST(X."&amp;F47&amp;" AS STRING),'}')&gt;0 OR INSTR(CAST(X."&amp;F47&amp;" AS STRING),'[')&gt;0 OR INSTR(CAST(X."&amp;F47&amp;" AS STRING),'')&gt;0 OR INSTR(CAST(X."&amp;F47&amp;" AS STRING),']')&gt;0 OR INSTR(CAST(X."&amp;F47&amp;" AS STRING),'?')&gt;0 OR INSTR(CAST(X."&amp;F47&amp;" AS STRING),'!')&gt;0 OR INSTR(CAST(X."&amp;F47&amp;" AS STRING),'$')&gt;0 OR INSTR(CAST(X."&amp;F47&amp;" AS STRING),'%')&gt;0 OR INSTR(CAST(X."&amp;F47&amp;" AS STRING),'&amp;')&gt;0 OR INSTR(CAST(X."&amp;F47&amp;" AS STRING),'+')&gt;0,1,0)) AS NUM_REG_DIF,'"&amp;MAX('ID1&amp;5'!K:K)+1&amp;"' AS ID_EXEC, CURRENT_TIMESTAMP() AS TIME_EXEC FROM "&amp;I47,
IF(C47="Missings",+"SELECT '"&amp;UPPER(B47)&amp;"' AS TABELA, '"&amp;UPPER(C47)&amp;"' AS TIPOLOGIA_TESTE,'"&amp;D47&amp;"' AS TABELA_LT,'N/A' AS TABELA_SIMUL,'"&amp;F47&amp;"' AS CAMPO, "&amp;"'${ref_date}' AS REF_DATE, COUNT(*) AS NUM_REG, SUM(IF(TRIM(CAST(X."&amp;F47&amp;" AS STRING)) IN ('0000-00-00','0001-01-01','9999-12-31','MISS','00000','99999999999','99999999999.00','99999999999.000000'),1,0)) AS NUM_REG_DIF,'"&amp;MAX('ID1&amp;5'!K:K)+1&amp;"' AS ID_EXEC, CURRENT_TIMESTAMP() AS TIME_EXEC FROM "&amp;I47,
IF(C47="Not applicable",+"SELECT '"&amp;UPPER(B47)&amp;"' AS TABELA, '"&amp;UPPER(C47)&amp;"' AS TIPOLOGIA_TESTE,'"&amp;D47&amp;"' AS TABELA_LT,'N/A' AS TABELA_SIMUL,'"&amp;F47&amp;"' AS CAMPO, "&amp;"'${ref_date}' AS REF_DATE, COUNT(*) AS NUM_REG, SUM(IF(TRIM(CAST(X."&amp;F47&amp;" AS STRING)) IN ('N/A','11111111111','11111111111.00','11111111111.000000','1111-11-11'),1,0)) AS NUM_REG_DIF,'"&amp;MAX('ID1&amp;5'!K:K)+1&amp;"' AS ID_EXEC, CURRENT_TIMESTAMP() AS TIME_EXEC FROM "&amp;I47,
IF(C47="Valores extremos",+"SELECT '"&amp;UPPER(B47)&amp;"' AS TABELA, '"&amp;UPPER(C47)&amp;"' AS TIPOLOGIA_TESTE,'"&amp;D47&amp;"' AS TABELA_LT,'N/A' AS TABELA_SIMUL,'"&amp;F47&amp;"' AS CAMPO, "&amp;"'${ref_date}' AS REF_DATE, CAST(MIN("&amp;F47&amp;") AS STRING) AS VALOR_MIN, CAST(MAX("&amp;F47&amp;") AS STRING) AS VALOR_MAX,'"&amp;MAX('ID1&amp;5'!K:K)+1&amp;"' AS ID_EXEC, CURRENT_TIMESTAMP() AS TIME_EXEC FROM "&amp;MID(I47,1,LEN(I47)-2)&amp;" AND CAST("&amp;F47&amp;"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TABELA_SIMUL,'ENBLNG_TRNVR_CCA' AS CAMPO, '${ref_date}' AS REF_DATE, COUNT(*) AS NUM_REG, SUM(IF((ABS(COALESCE(X.ENBLNG_TRNVR_CCA,0)-COALESCE(Y.ENBLNG_TRNVR_CCA_SIMUL,0))&gt;0.0000000001) OR (X.ENBLNG_TRNVR_CCA IS NULL AND Y.ENBLNG_TRNVR_CCA_SIMUL IS NOT NULL ) OR (X.ENBLNG_TRNVR_CCA IS NOT NULL AND Y.ENBLNG_TRNVR_CCA_SIMUL IS NULL),1,0)) AS NUM_REG_DIF,'10' AS ID_EXEC, CURRENT_TIMESTAMP() AS TIME_EXEC FROM (SELECT entty_id, ENBLNG_TRNVR_CCA FROM BU_LOANTAPE_WORK.LT003_ENTITY WHERE ref_date='${ref_date}' AND nome_perimetro='Individual Corporativo' AND segmento='ESTR' AND ambito='PILAR3')X INNER JOIN (SELECT entty_id AS entty_id_SIMUL, ENBLNG_TRNVR_CCA AS ENBLNG_TRNVR_CCA_SIMUL FROM BU_LOANTAPE_WORK.LT003_ENTTY_P3_NOV24)Y ON X.ENTTY_ID=Y.ENTTY_ID_SIMUL</v>
      </c>
      <c r="M47" s="43" t="str">
        <f t="shared" si="0"/>
        <v>UNION ALL SELECT 'ENTITY' AS TABELA, 'COERÊNCIA' AS TIPOLOGIA_TESTE,'BU_LOANTAPE_WORK.LT003_ENTITY' AS TABELA_LT,'BU_LOANTAPE_WORK.LT003_ENTTY_P3_NOV24' AS TABELA_SIMUL,'ENBLNG_TRNVR_CCA' AS CAMPO, '${ref_date}' AS REF_DATE, COUNT(*) AS NUM_REG, SUM(IF((ABS(COALESCE(X.ENBLNG_TRNVR_CCA,0)-COALESCE(Y.ENBLNG_TRNVR_CCA_SIMUL,0))&gt;0.0000000001) OR (X.ENBLNG_TRNVR_CCA IS NULL AND Y.ENBLNG_TRNVR_CCA_SIMUL IS NOT NULL ) OR (X.ENBLNG_TRNVR_CCA IS NOT NULL AND Y.ENBLNG_TRNVR_CCA_SIMUL IS NULL),1,0)) AS NUM_REG_DIF,'10' AS ID_EXEC, CURRENT_TIMESTAMP() AS TIME_EXEC FROM (SELECT entty_id, ENBLNG_TRNVR_CCA FROM BU_LOANTAPE_WORK.LT003_ENTITY WHERE ref_date='${ref_date}' AND nome_perimetro='Individual Corporativo' AND segmento='ESTR' AND ambito='PILAR3')X INNER JOIN (SELECT entty_id AS entty_id_SIMUL, ENBLNG_TRNVR_CCA AS ENBLNG_TRNVR_CCA_SIMUL FROM BU_LOANTAPE_WORK.LT003_ENTTY_P3_NOV24)Y ON X.ENTTY_ID=Y.ENTTY_ID_SIMUL</v>
      </c>
      <c r="N47" s="45" t="s">
        <v>13</v>
      </c>
    </row>
    <row r="48" spans="2:14">
      <c r="B48" s="41" t="s">
        <v>23</v>
      </c>
      <c r="C48" s="41" t="s">
        <v>74</v>
      </c>
      <c r="D48" s="41" t="str">
        <f>+UPPER('0. Instruções'!$D$33&amp;"."&amp;VLOOKUP(B48,'0. Instruções'!$C$27:$D$31,2,FALSE))</f>
        <v>BU_LOANTAPE_WORK.LT003_ENTITY</v>
      </c>
      <c r="E48" s="41" t="str">
        <f>+UPPER('0. Instruções'!$D$34&amp;"."&amp;VLOOKUP(B48,'0. Instruções'!$C$27:$E$31,3,FALSE))</f>
        <v>BU_LOANTAPE_WORK.LT003_ENTTY_P3_NOV24</v>
      </c>
      <c r="F48" s="41" t="s">
        <v>113</v>
      </c>
      <c r="G48" s="41" t="s">
        <v>210</v>
      </c>
      <c r="H48" s="41"/>
      <c r="I48" s="41" t="str">
        <f>"(SELECT "&amp;VLOOKUP(B48,'0. Instruções'!$C$27:$G$31,4,FALSE)&amp;", "&amp;F48&amp;" FROM "&amp;D48&amp;" WHERE "&amp;'0. Instruções'!$D$40&amp;")X"</f>
        <v>(SELECT entty_id, TRNSTNL_TRNVR FROM BU_LOANTAPE_WORK.LT003_ENTITY WHERE ref_date='${ref_date}' AND nome_perimetro='Individual Corporativo' AND segmento='ESTR' AND ambito='PILAR3')X</v>
      </c>
      <c r="J48" s="41" t="str">
        <f>"(SELECT "&amp;VLOOKUP(B48,'0. Instruções'!$C$27:$G$31,4,FALSE)&amp;" AS "&amp;VLOOKUP(B48,'0. Instruções'!$C$27:$G$31,4,FALSE)&amp;"_SIMUL, "&amp;F48&amp;" AS "&amp;F48&amp;"_SIMUL FROM "&amp;E48&amp;")Y"</f>
        <v>(SELECT entty_id AS entty_id_SIMUL, TRNSTNL_TRNVR AS TRNSTNL_TRNVR_SIMUL FROM BU_LOANTAPE_WORK.LT003_ENTTY_P3_NOV24)Y</v>
      </c>
      <c r="K48" s="42" t="str">
        <f>+UPPER("ON X."&amp;VLOOKUP(B48,'0. Instruções'!$C$27:$G$31,4,FALSE)&amp;"=Y."&amp;VLOOKUP(B48,'0. Instruções'!$C$27:$G$31,4,FALSE)&amp;"_SIMUL")</f>
        <v>ON X.ENTTY_ID=Y.ENTTY_ID_SIMUL</v>
      </c>
      <c r="L48" s="42" t="str">
        <f>+IF(C48="Coerência", +IF(LEFT(G48,5)="FLOAT","SELECT '"&amp;UPPER(B48)&amp;"' AS TABELA, '"&amp;UPPER(C48)&amp;"' AS TIPOLOGIA_TESTE,'"&amp;D48&amp;"' AS TABELA_LT,'"&amp;E48&amp;"' AS TABELA_SIMUL,'"&amp;F48&amp;"' AS CAMPO, "&amp;"'${ref_date}' AS REF_DATE, COUNT(*) AS NUM_REG, SUM(IF((ABS(COALESCE(X."&amp;F48&amp;",0)-COALESCE(Y."&amp;F48&amp;"_SIMUL,0))&gt;0.0000000001) OR (X."&amp;F48&amp;" IS NULL AND Y."&amp;F48&amp;"_SIMUL IS NOT NULL ) OR (X."&amp;F48&amp;" IS NOT NULL AND Y."&amp;F48&amp;"_SIMUL IS NULL),1,0)) AS NUM_REG_DIF,'"&amp;MAX('ID1&amp;5'!K:K)+1&amp;"' AS ID_EXEC, CURRENT_TIMESTAMP() AS TIME_EXEC FROM "&amp;I48&amp;" INNER JOIN "&amp;J48&amp;" "&amp;K48,"SELECT '"&amp;UPPER(B48)&amp;"' AS TABELA, '"&amp;UPPER(C48)&amp;"' AS TIPOLOGIA_TESTE,'"&amp;D48&amp;"' AS TABELA_LT,'"&amp;E48&amp;"' AS TABELA_SIMUL,'"&amp;F48&amp;"' AS CAMPO, "&amp;"'${ref_date}' AS REF_DATE, COUNT(*) AS NUM_REG, SUM(IF(COALESCE(CAST(X."&amp;F48&amp;" AS STRING),'')&lt;&gt;COALESCE(CAST(Y."&amp;F48&amp;"_SIMUL AS STRING),''),1,0)) AS NUM_REG_DIF,'"&amp;MAX('ID1&amp;5'!L:L)+1&amp;"' AS ID_EXEC, CURRENT_TIMESTAMP() AS TIME_EXEC FROM "&amp;I48&amp;" INNER JOIN "&amp;J48&amp;" "&amp;K48),
IF(C48="Validade",+IF(G48="Code List","SELECT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 OR CAST(X."&amp;F48&amp;" AS STRING) NOT "&amp;H48&amp;",1,0)) AS NUM_REG_DIF,'"&amp;MAX('ID1&amp;5'!K:K)+1&amp;"' AS ID_EXEC, CURRENT_TIMESTAMP() AS TIME_EXEC FROM "&amp;I48,"SELECT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NULL,1,0)) AS NUM_REG_DIF,'"&amp;MAX('ID1&amp;5'!K:K)+1&amp;"' AS ID_EXEC, CURRENT_TIMESTAMP() AS TIME_EXEC FROM "&amp;I48),
IF(C48="Caracteres Especiais",+"SELECT '"&amp;UPPER(B48)&amp;"' AS TABELA, '"&amp;UPPER(C48)&amp;"' AS TIPOLOGIA_TESTE,'"&amp;D48&amp;"' AS TABELA_LT,'N/A' AS TABELA_SIMUL,'"&amp;F48&amp;"' AS CAMPO, "&amp;"'${ref_date}' AS REF_DATE, COUNT(*) AS NUM_REG, SUM(IF(INSTR(CAST(X."&amp;F48&amp;" AS STRING),'#')&gt;0 OR INSTR(CAST(X."&amp;F48&amp;" AS STRING),'*')&gt;0 OR INSTR(CAST(X."&amp;F48&amp;" AS STRING),'`')&gt;0 OR INSTR(CAST(X."&amp;F48&amp;" AS STRING),'´')&gt;0 OR INSTR(CAST(X."&amp;F48&amp;" AS STRING),'{')&gt;0 OR INSTR(CAST(X."&amp;F48&amp;" AS STRING),'}')&gt;0 OR INSTR(CAST(X."&amp;F48&amp;" AS STRING),'[')&gt;0 OR INSTR(CAST(X."&amp;F48&amp;" AS STRING),'')&gt;0 OR INSTR(CAST(X."&amp;F48&amp;" AS STRING),']')&gt;0 OR INSTR(CAST(X."&amp;F48&amp;" AS STRING),'?')&gt;0 OR INSTR(CAST(X."&amp;F48&amp;" AS STRING),'!')&gt;0 OR INSTR(CAST(X."&amp;F48&amp;" AS STRING),'$')&gt;0 OR INSTR(CAST(X."&amp;F48&amp;" AS STRING),'%')&gt;0 OR INSTR(CAST(X."&amp;F48&amp;" AS STRING),'&amp;')&gt;0 OR INSTR(CAST(X."&amp;F48&amp;" AS STRING),'+')&gt;0,1,0)) AS NUM_REG_DIF,'"&amp;MAX('ID1&amp;5'!K:K)+1&amp;"' AS ID_EXEC, CURRENT_TIMESTAMP() AS TIME_EXEC FROM "&amp;I48,
IF(C48="Missings",+"SELECT '"&amp;UPPER(B48)&amp;"' AS TABELA, '"&amp;UPPER(C48)&amp;"' AS TIPOLOGIA_TESTE,'"&amp;D48&amp;"' AS TABELA_LT,'N/A' AS TABELA_SIMUL,'"&amp;F48&amp;"' AS CAMPO, "&amp;"'${ref_date}' AS REF_DATE, COUNT(*) AS NUM_REG, SUM(IF(TRIM(CAST(X."&amp;F48&amp;" AS STRING)) IN ('0000-00-00','0001-01-01','9999-12-31','MISS','00000','99999999999','99999999999.00','99999999999.000000'),1,0)) AS NUM_REG_DIF,'"&amp;MAX('ID1&amp;5'!K:K)+1&amp;"' AS ID_EXEC, CURRENT_TIMESTAMP() AS TIME_EXEC FROM "&amp;I48,
IF(C48="Not applicable",+"SELECT '"&amp;UPPER(B48)&amp;"' AS TABELA, '"&amp;UPPER(C48)&amp;"' AS TIPOLOGIA_TESTE,'"&amp;D48&amp;"' AS TABELA_LT,'N/A' AS TABELA_SIMUL,'"&amp;F48&amp;"' AS CAMPO, "&amp;"'${ref_date}' AS REF_DATE, COUNT(*) AS NUM_REG, SUM(IF(TRIM(CAST(X."&amp;F48&amp;" AS STRING)) IN ('N/A','11111111111','11111111111.00','11111111111.000000','1111-11-11'),1,0)) AS NUM_REG_DIF,'"&amp;MAX('ID1&amp;5'!K:K)+1&amp;"' AS ID_EXEC, CURRENT_TIMESTAMP() AS TIME_EXEC FROM "&amp;I48,
IF(C48="Valores extremos",+"SELECT '"&amp;UPPER(B48)&amp;"' AS TABELA, '"&amp;UPPER(C48)&amp;"' AS TIPOLOGIA_TESTE,'"&amp;D48&amp;"' AS TABELA_LT,'N/A' AS TABELA_SIMUL,'"&amp;F48&amp;"' AS CAMPO, "&amp;"'${ref_date}' AS REF_DATE, CAST(MIN("&amp;F48&amp;") AS STRING) AS VALOR_MIN, CAST(MAX("&amp;F48&amp;") AS STRING) AS VALOR_MAX,'"&amp;MAX('ID1&amp;5'!K:K)+1&amp;"' AS ID_EXEC, CURRENT_TIMESTAMP() AS TIME_EXEC FROM "&amp;MID(I48,1,LEN(I48)-2)&amp;" AND CAST("&amp;F48&amp;"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TABELA_SIMUL,'TRNSTNL_TRNVR' AS CAMPO, '${ref_date}' AS REF_DATE, COUNT(*) AS NUM_REG, SUM(IF((ABS(COALESCE(X.TRNSTNL_TRNVR,0)-COALESCE(Y.TRNSTNL_TRNVR_SIMUL,0))&gt;0.0000000001) OR (X.TRNSTNL_TRNVR IS NULL AND Y.TRNSTNL_TRNVR_SIMUL IS NOT NULL ) OR (X.TRNSTNL_TRNVR IS NOT NULL AND Y.TRNSTNL_TRNVR_SIMUL IS NULL),1,0)) AS NUM_REG_DIF,'10' AS ID_EXEC, CURRENT_TIMESTAMP() AS TIME_EXEC FROM (SELECT entty_id, TRNSTNL_TRNVR FROM BU_LOANTAPE_WORK.LT003_ENTITY WHERE ref_date='${ref_date}' AND nome_perimetro='Individual Corporativo' AND segmento='ESTR' AND ambito='PILAR3')X INNER JOIN (SELECT entty_id AS entty_id_SIMUL, TRNSTNL_TRNVR AS TRNSTNL_TRNVR_SIMUL FROM BU_LOANTAPE_WORK.LT003_ENTTY_P3_NOV24)Y ON X.ENTTY_ID=Y.ENTTY_ID_SIMUL</v>
      </c>
      <c r="M48" s="43" t="str">
        <f t="shared" si="0"/>
        <v>UNION ALL SELECT 'ENTITY' AS TABELA, 'COERÊNCIA' AS TIPOLOGIA_TESTE,'BU_LOANTAPE_WORK.LT003_ENTITY' AS TABELA_LT,'BU_LOANTAPE_WORK.LT003_ENTTY_P3_NOV24' AS TABELA_SIMUL,'TRNSTNL_TRNVR' AS CAMPO, '${ref_date}' AS REF_DATE, COUNT(*) AS NUM_REG, SUM(IF((ABS(COALESCE(X.TRNSTNL_TRNVR,0)-COALESCE(Y.TRNSTNL_TRNVR_SIMUL,0))&gt;0.0000000001) OR (X.TRNSTNL_TRNVR IS NULL AND Y.TRNSTNL_TRNVR_SIMUL IS NOT NULL ) OR (X.TRNSTNL_TRNVR IS NOT NULL AND Y.TRNSTNL_TRNVR_SIMUL IS NULL),1,0)) AS NUM_REG_DIF,'10' AS ID_EXEC, CURRENT_TIMESTAMP() AS TIME_EXEC FROM (SELECT entty_id, TRNSTNL_TRNVR FROM BU_LOANTAPE_WORK.LT003_ENTITY WHERE ref_date='${ref_date}' AND nome_perimetro='Individual Corporativo' AND segmento='ESTR' AND ambito='PILAR3')X INNER JOIN (SELECT entty_id AS entty_id_SIMUL, TRNSTNL_TRNVR AS TRNSTNL_TRNVR_SIMUL FROM BU_LOANTAPE_WORK.LT003_ENTTY_P3_NOV24)Y ON X.ENTTY_ID=Y.ENTTY_ID_SIMUL</v>
      </c>
      <c r="N48" s="45" t="s">
        <v>13</v>
      </c>
    </row>
    <row r="49" spans="2:14">
      <c r="B49" s="41" t="s">
        <v>23</v>
      </c>
      <c r="C49" s="41" t="s">
        <v>74</v>
      </c>
      <c r="D49" s="41" t="str">
        <f>+UPPER('0. Instruções'!$D$33&amp;"."&amp;VLOOKUP(B49,'0. Instruções'!$C$27:$D$31,2,FALSE))</f>
        <v>BU_LOANTAPE_WORK.LT003_ENTITY</v>
      </c>
      <c r="E49" s="41" t="str">
        <f>+UPPER('0. Instruções'!$D$34&amp;"."&amp;VLOOKUP(B49,'0. Instruções'!$C$27:$E$31,3,FALSE))</f>
        <v>BU_LOANTAPE_WORK.LT003_ENTTY_P3_NOV24</v>
      </c>
      <c r="F49" s="41" t="s">
        <v>114</v>
      </c>
      <c r="G49" s="41" t="s">
        <v>210</v>
      </c>
      <c r="H49" s="41"/>
      <c r="I49" s="41" t="str">
        <f>"(SELECT "&amp;VLOOKUP(B49,'0. Instruções'!$C$27:$G$31,4,FALSE)&amp;", "&amp;F49&amp;" FROM "&amp;D49&amp;" WHERE "&amp;'0. Instruções'!$D$40&amp;")X"</f>
        <v>(SELECT entty_id, PURE_TRNVR_CCM FROM BU_LOANTAPE_WORK.LT003_ENTITY WHERE ref_date='${ref_date}' AND nome_perimetro='Individual Corporativo' AND segmento='ESTR' AND ambito='PILAR3')X</v>
      </c>
      <c r="J49" s="41" t="str">
        <f>"(SELECT "&amp;VLOOKUP(B49,'0. Instruções'!$C$27:$G$31,4,FALSE)&amp;" AS "&amp;VLOOKUP(B49,'0. Instruções'!$C$27:$G$31,4,FALSE)&amp;"_SIMUL, "&amp;F49&amp;" AS "&amp;F49&amp;"_SIMUL FROM "&amp;E49&amp;")Y"</f>
        <v>(SELECT entty_id AS entty_id_SIMUL, PURE_TRNVR_CCM AS PURE_TRNVR_CCM_SIMUL FROM BU_LOANTAPE_WORK.LT003_ENTTY_P3_NOV24)Y</v>
      </c>
      <c r="K49" s="42" t="str">
        <f>+UPPER("ON X."&amp;VLOOKUP(B49,'0. Instruções'!$C$27:$G$31,4,FALSE)&amp;"=Y."&amp;VLOOKUP(B49,'0. Instruções'!$C$27:$G$31,4,FALSE)&amp;"_SIMUL")</f>
        <v>ON X.ENTTY_ID=Y.ENTTY_ID_SIMUL</v>
      </c>
      <c r="L49" s="42" t="str">
        <f>+IF(C49="Coerência", +IF(LEFT(G49,5)="FLOAT","SELECT '"&amp;UPPER(B49)&amp;"' AS TABELA, '"&amp;UPPER(C49)&amp;"' AS TIPOLOGIA_TESTE,'"&amp;D49&amp;"' AS TABELA_LT,'"&amp;E49&amp;"' AS TABELA_SIMUL,'"&amp;F49&amp;"' AS CAMPO, "&amp;"'${ref_date}' AS REF_DATE, COUNT(*) AS NUM_REG, SUM(IF((ABS(COALESCE(X."&amp;F49&amp;",0)-COALESCE(Y."&amp;F49&amp;"_SIMUL,0))&gt;0.0000000001) OR (X."&amp;F49&amp;" IS NULL AND Y."&amp;F49&amp;"_SIMUL IS NOT NULL ) OR (X."&amp;F49&amp;" IS NOT NULL AND Y."&amp;F49&amp;"_SIMUL IS NULL),1,0)) AS NUM_REG_DIF,'"&amp;MAX('ID1&amp;5'!K:K)+1&amp;"' AS ID_EXEC, CURRENT_TIMESTAMP() AS TIME_EXEC FROM "&amp;I49&amp;" INNER JOIN "&amp;J49&amp;" "&amp;K49,"SELECT '"&amp;UPPER(B49)&amp;"' AS TABELA, '"&amp;UPPER(C49)&amp;"' AS TIPOLOGIA_TESTE,'"&amp;D49&amp;"' AS TABELA_LT,'"&amp;E49&amp;"' AS TABELA_SIMUL,'"&amp;F49&amp;"' AS CAMPO, "&amp;"'${ref_date}' AS REF_DATE, COUNT(*) AS NUM_REG, SUM(IF(COALESCE(CAST(X."&amp;F49&amp;" AS STRING),'')&lt;&gt;COALESCE(CAST(Y."&amp;F49&amp;"_SIMUL AS STRING),''),1,0)) AS NUM_REG_DIF,'"&amp;MAX('ID1&amp;5'!L:L)+1&amp;"' AS ID_EXEC, CURRENT_TIMESTAMP() AS TIME_EXEC FROM "&amp;I49&amp;" INNER JOIN "&amp;J49&amp;" "&amp;K49),
IF(C49="Validade",+IF(G49="Code List","SELECT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 OR CAST(X."&amp;F49&amp;" AS STRING) NOT "&amp;H49&amp;",1,0)) AS NUM_REG_DIF,'"&amp;MAX('ID1&amp;5'!K:K)+1&amp;"' AS ID_EXEC, CURRENT_TIMESTAMP() AS TIME_EXEC FROM "&amp;I49,"SELECT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NULL,1,0)) AS NUM_REG_DIF,'"&amp;MAX('ID1&amp;5'!K:K)+1&amp;"' AS ID_EXEC, CURRENT_TIMESTAMP() AS TIME_EXEC FROM "&amp;I49),
IF(C49="Caracteres Especiais",+"SELECT '"&amp;UPPER(B49)&amp;"' AS TABELA, '"&amp;UPPER(C49)&amp;"' AS TIPOLOGIA_TESTE,'"&amp;D49&amp;"' AS TABELA_LT,'N/A' AS TABELA_SIMUL,'"&amp;F49&amp;"' AS CAMPO, "&amp;"'${ref_date}' AS REF_DATE, COUNT(*) AS NUM_REG, SUM(IF(INSTR(CAST(X."&amp;F49&amp;" AS STRING),'#')&gt;0 OR INSTR(CAST(X."&amp;F49&amp;" AS STRING),'*')&gt;0 OR INSTR(CAST(X."&amp;F49&amp;" AS STRING),'`')&gt;0 OR INSTR(CAST(X."&amp;F49&amp;" AS STRING),'´')&gt;0 OR INSTR(CAST(X."&amp;F49&amp;" AS STRING),'{')&gt;0 OR INSTR(CAST(X."&amp;F49&amp;" AS STRING),'}')&gt;0 OR INSTR(CAST(X."&amp;F49&amp;" AS STRING),'[')&gt;0 OR INSTR(CAST(X."&amp;F49&amp;" AS STRING),'')&gt;0 OR INSTR(CAST(X."&amp;F49&amp;" AS STRING),']')&gt;0 OR INSTR(CAST(X."&amp;F49&amp;" AS STRING),'?')&gt;0 OR INSTR(CAST(X."&amp;F49&amp;" AS STRING),'!')&gt;0 OR INSTR(CAST(X."&amp;F49&amp;" AS STRING),'$')&gt;0 OR INSTR(CAST(X."&amp;F49&amp;" AS STRING),'%')&gt;0 OR INSTR(CAST(X."&amp;F49&amp;" AS STRING),'&amp;')&gt;0 OR INSTR(CAST(X."&amp;F49&amp;" AS STRING),'+')&gt;0,1,0)) AS NUM_REG_DIF,'"&amp;MAX('ID1&amp;5'!K:K)+1&amp;"' AS ID_EXEC, CURRENT_TIMESTAMP() AS TIME_EXEC FROM "&amp;I49,
IF(C49="Missings",+"SELECT '"&amp;UPPER(B49)&amp;"' AS TABELA, '"&amp;UPPER(C49)&amp;"' AS TIPOLOGIA_TESTE,'"&amp;D49&amp;"' AS TABELA_LT,'N/A' AS TABELA_SIMUL,'"&amp;F49&amp;"' AS CAMPO, "&amp;"'${ref_date}' AS REF_DATE, COUNT(*) AS NUM_REG, SUM(IF(TRIM(CAST(X."&amp;F49&amp;" AS STRING)) IN ('0000-00-00','0001-01-01','9999-12-31','MISS','00000','99999999999','99999999999.00','99999999999.000000'),1,0)) AS NUM_REG_DIF,'"&amp;MAX('ID1&amp;5'!K:K)+1&amp;"' AS ID_EXEC, CURRENT_TIMESTAMP() AS TIME_EXEC FROM "&amp;I49,
IF(C49="Not applicable",+"SELECT '"&amp;UPPER(B49)&amp;"' AS TABELA, '"&amp;UPPER(C49)&amp;"' AS TIPOLOGIA_TESTE,'"&amp;D49&amp;"' AS TABELA_LT,'N/A' AS TABELA_SIMUL,'"&amp;F49&amp;"' AS CAMPO, "&amp;"'${ref_date}' AS REF_DATE, COUNT(*) AS NUM_REG, SUM(IF(TRIM(CAST(X."&amp;F49&amp;" AS STRING)) IN ('N/A','11111111111','11111111111.00','11111111111.000000','1111-11-11'),1,0)) AS NUM_REG_DIF,'"&amp;MAX('ID1&amp;5'!K:K)+1&amp;"' AS ID_EXEC, CURRENT_TIMESTAMP() AS TIME_EXEC FROM "&amp;I49,
IF(C49="Valores extremos",+"SELECT '"&amp;UPPER(B49)&amp;"' AS TABELA, '"&amp;UPPER(C49)&amp;"' AS TIPOLOGIA_TESTE,'"&amp;D49&amp;"' AS TABELA_LT,'N/A' AS TABELA_SIMUL,'"&amp;F49&amp;"' AS CAMPO, "&amp;"'${ref_date}' AS REF_DATE, CAST(MIN("&amp;F49&amp;") AS STRING) AS VALOR_MIN, CAST(MAX("&amp;F49&amp;") AS STRING) AS VALOR_MAX,'"&amp;MAX('ID1&amp;5'!K:K)+1&amp;"' AS ID_EXEC, CURRENT_TIMESTAMP() AS TIME_EXEC FROM "&amp;MID(I49,1,LEN(I49)-2)&amp;" AND CAST("&amp;F49&amp;"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TABELA_SIMUL,'PURE_TRNVR_CCM' AS CAMPO, '${ref_date}' AS REF_DATE, COUNT(*) AS NUM_REG, SUM(IF((ABS(COALESCE(X.PURE_TRNVR_CCM,0)-COALESCE(Y.PURE_TRNVR_CCM_SIMUL,0))&gt;0.0000000001) OR (X.PURE_TRNVR_CCM IS NULL AND Y.PURE_TRNVR_CCM_SIMUL IS NOT NULL ) OR (X.PURE_TRNVR_CCM IS NOT NULL AND Y.PURE_TRNVR_CCM_SIMUL IS NULL),1,0)) AS NUM_REG_DIF,'10' AS ID_EXEC, CURRENT_TIMESTAMP() AS TIME_EXEC FROM (SELECT entty_id, PURE_TRNVR_CCM FROM BU_LOANTAPE_WORK.LT003_ENTITY WHERE ref_date='${ref_date}' AND nome_perimetro='Individual Corporativo' AND segmento='ESTR' AND ambito='PILAR3')X INNER JOIN (SELECT entty_id AS entty_id_SIMUL, PURE_TRNVR_CCM AS PURE_TRNVR_CCM_SIMUL FROM BU_LOANTAPE_WORK.LT003_ENTTY_P3_NOV24)Y ON X.ENTTY_ID=Y.ENTTY_ID_SIMUL</v>
      </c>
      <c r="M49" s="43" t="str">
        <f t="shared" si="0"/>
        <v>UNION ALL SELECT 'ENTITY' AS TABELA, 'COERÊNCIA' AS TIPOLOGIA_TESTE,'BU_LOANTAPE_WORK.LT003_ENTITY' AS TABELA_LT,'BU_LOANTAPE_WORK.LT003_ENTTY_P3_NOV24' AS TABELA_SIMUL,'PURE_TRNVR_CCM' AS CAMPO, '${ref_date}' AS REF_DATE, COUNT(*) AS NUM_REG, SUM(IF((ABS(COALESCE(X.PURE_TRNVR_CCM,0)-COALESCE(Y.PURE_TRNVR_CCM_SIMUL,0))&gt;0.0000000001) OR (X.PURE_TRNVR_CCM IS NULL AND Y.PURE_TRNVR_CCM_SIMUL IS NOT NULL ) OR (X.PURE_TRNVR_CCM IS NOT NULL AND Y.PURE_TRNVR_CCM_SIMUL IS NULL),1,0)) AS NUM_REG_DIF,'10' AS ID_EXEC, CURRENT_TIMESTAMP() AS TIME_EXEC FROM (SELECT entty_id, PURE_TRNVR_CCM FROM BU_LOANTAPE_WORK.LT003_ENTITY WHERE ref_date='${ref_date}' AND nome_perimetro='Individual Corporativo' AND segmento='ESTR' AND ambito='PILAR3')X INNER JOIN (SELECT entty_id AS entty_id_SIMUL, PURE_TRNVR_CCM AS PURE_TRNVR_CCM_SIMUL FROM BU_LOANTAPE_WORK.LT003_ENTTY_P3_NOV24)Y ON X.ENTTY_ID=Y.ENTTY_ID_SIMUL</v>
      </c>
      <c r="N49" s="45" t="s">
        <v>13</v>
      </c>
    </row>
    <row r="50" spans="2:14">
      <c r="B50" s="41" t="s">
        <v>23</v>
      </c>
      <c r="C50" s="41" t="s">
        <v>74</v>
      </c>
      <c r="D50" s="41" t="str">
        <f>+UPPER('0. Instruções'!$D$33&amp;"."&amp;VLOOKUP(B50,'0. Instruções'!$C$27:$D$31,2,FALSE))</f>
        <v>BU_LOANTAPE_WORK.LT003_ENTITY</v>
      </c>
      <c r="E50" s="41" t="str">
        <f>+UPPER('0. Instruções'!$D$34&amp;"."&amp;VLOOKUP(B50,'0. Instruções'!$C$27:$E$31,3,FALSE))</f>
        <v>BU_LOANTAPE_WORK.LT003_ENTTY_P3_NOV24</v>
      </c>
      <c r="F50" s="41" t="s">
        <v>115</v>
      </c>
      <c r="G50" s="41" t="s">
        <v>210</v>
      </c>
      <c r="H50" s="41"/>
      <c r="I50" s="41" t="str">
        <f>"(SELECT "&amp;VLOOKUP(B50,'0. Instruções'!$C$27:$G$31,4,FALSE)&amp;", "&amp;F50&amp;" FROM "&amp;D50&amp;" WHERE "&amp;'0. Instruções'!$D$40&amp;")X"</f>
        <v>(SELECT entty_id, PURE_TRNVR_CCA FROM BU_LOANTAPE_WORK.LT003_ENTITY WHERE ref_date='${ref_date}' AND nome_perimetro='Individual Corporativo' AND segmento='ESTR' AND ambito='PILAR3')X</v>
      </c>
      <c r="J50" s="41" t="str">
        <f>"(SELECT "&amp;VLOOKUP(B50,'0. Instruções'!$C$27:$G$31,4,FALSE)&amp;" AS "&amp;VLOOKUP(B50,'0. Instruções'!$C$27:$G$31,4,FALSE)&amp;"_SIMUL, "&amp;F50&amp;" AS "&amp;F50&amp;"_SIMUL FROM "&amp;E50&amp;")Y"</f>
        <v>(SELECT entty_id AS entty_id_SIMUL, PURE_TRNVR_CCA AS PURE_TRNVR_CCA_SIMUL FROM BU_LOANTAPE_WORK.LT003_ENTTY_P3_NOV24)Y</v>
      </c>
      <c r="K50" s="42" t="str">
        <f>+UPPER("ON X."&amp;VLOOKUP(B50,'0. Instruções'!$C$27:$G$31,4,FALSE)&amp;"=Y."&amp;VLOOKUP(B50,'0. Instruções'!$C$27:$G$31,4,FALSE)&amp;"_SIMUL")</f>
        <v>ON X.ENTTY_ID=Y.ENTTY_ID_SIMUL</v>
      </c>
      <c r="L50" s="42" t="str">
        <f>+IF(C50="Coerência", +IF(LEFT(G50,5)="FLOAT","SELECT '"&amp;UPPER(B50)&amp;"' AS TABELA, '"&amp;UPPER(C50)&amp;"' AS TIPOLOGIA_TESTE,'"&amp;D50&amp;"' AS TABELA_LT,'"&amp;E50&amp;"' AS TABELA_SIMUL,'"&amp;F50&amp;"' AS CAMPO, "&amp;"'${ref_date}' AS REF_DATE, COUNT(*) AS NUM_REG, SUM(IF((ABS(COALESCE(X."&amp;F50&amp;",0)-COALESCE(Y."&amp;F50&amp;"_SIMUL,0))&gt;0.0000000001) OR (X."&amp;F50&amp;" IS NULL AND Y."&amp;F50&amp;"_SIMUL IS NOT NULL ) OR (X."&amp;F50&amp;" IS NOT NULL AND Y."&amp;F50&amp;"_SIMUL IS NULL),1,0)) AS NUM_REG_DIF,'"&amp;MAX('ID1&amp;5'!K:K)+1&amp;"' AS ID_EXEC, CURRENT_TIMESTAMP() AS TIME_EXEC FROM "&amp;I50&amp;" INNER JOIN "&amp;J50&amp;" "&amp;K50,"SELECT '"&amp;UPPER(B50)&amp;"' AS TABELA, '"&amp;UPPER(C50)&amp;"' AS TIPOLOGIA_TESTE,'"&amp;D50&amp;"' AS TABELA_LT,'"&amp;E50&amp;"' AS TABELA_SIMUL,'"&amp;F50&amp;"' AS CAMPO, "&amp;"'${ref_date}' AS REF_DATE, COUNT(*) AS NUM_REG, SUM(IF(COALESCE(CAST(X."&amp;F50&amp;" AS STRING),'')&lt;&gt;COALESCE(CAST(Y."&amp;F50&amp;"_SIMUL AS STRING),''),1,0)) AS NUM_REG_DIF,'"&amp;MAX('ID1&amp;5'!L:L)+1&amp;"' AS ID_EXEC, CURRENT_TIMESTAMP() AS TIME_EXEC FROM "&amp;I50&amp;" INNER JOIN "&amp;J50&amp;" "&amp;K50),
IF(C50="Validade",+IF(G50="Code List","SELECT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 OR CAST(X."&amp;F50&amp;" AS STRING) NOT "&amp;H50&amp;",1,0)) AS NUM_REG_DIF,'"&amp;MAX('ID1&amp;5'!K:K)+1&amp;"' AS ID_EXEC, CURRENT_TIMESTAMP() AS TIME_EXEC FROM "&amp;I50,"SELECT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NULL,1,0)) AS NUM_REG_DIF,'"&amp;MAX('ID1&amp;5'!K:K)+1&amp;"' AS ID_EXEC, CURRENT_TIMESTAMP() AS TIME_EXEC FROM "&amp;I50),
IF(C50="Caracteres Especiais",+"SELECT '"&amp;UPPER(B50)&amp;"' AS TABELA, '"&amp;UPPER(C50)&amp;"' AS TIPOLOGIA_TESTE,'"&amp;D50&amp;"' AS TABELA_LT,'N/A' AS TABELA_SIMUL,'"&amp;F50&amp;"' AS CAMPO, "&amp;"'${ref_date}' AS REF_DATE, COUNT(*) AS NUM_REG, SUM(IF(INSTR(CAST(X."&amp;F50&amp;" AS STRING),'#')&gt;0 OR INSTR(CAST(X."&amp;F50&amp;" AS STRING),'*')&gt;0 OR INSTR(CAST(X."&amp;F50&amp;" AS STRING),'`')&gt;0 OR INSTR(CAST(X."&amp;F50&amp;" AS STRING),'´')&gt;0 OR INSTR(CAST(X."&amp;F50&amp;" AS STRING),'{')&gt;0 OR INSTR(CAST(X."&amp;F50&amp;" AS STRING),'}')&gt;0 OR INSTR(CAST(X."&amp;F50&amp;" AS STRING),'[')&gt;0 OR INSTR(CAST(X."&amp;F50&amp;" AS STRING),'')&gt;0 OR INSTR(CAST(X."&amp;F50&amp;" AS STRING),']')&gt;0 OR INSTR(CAST(X."&amp;F50&amp;" AS STRING),'?')&gt;0 OR INSTR(CAST(X."&amp;F50&amp;" AS STRING),'!')&gt;0 OR INSTR(CAST(X."&amp;F50&amp;" AS STRING),'$')&gt;0 OR INSTR(CAST(X."&amp;F50&amp;" AS STRING),'%')&gt;0 OR INSTR(CAST(X."&amp;F50&amp;" AS STRING),'&amp;')&gt;0 OR INSTR(CAST(X."&amp;F50&amp;" AS STRING),'+')&gt;0,1,0)) AS NUM_REG_DIF,'"&amp;MAX('ID1&amp;5'!K:K)+1&amp;"' AS ID_EXEC, CURRENT_TIMESTAMP() AS TIME_EXEC FROM "&amp;I50,
IF(C50="Missings",+"SELECT '"&amp;UPPER(B50)&amp;"' AS TABELA, '"&amp;UPPER(C50)&amp;"' AS TIPOLOGIA_TESTE,'"&amp;D50&amp;"' AS TABELA_LT,'N/A' AS TABELA_SIMUL,'"&amp;F50&amp;"' AS CAMPO, "&amp;"'${ref_date}' AS REF_DATE, COUNT(*) AS NUM_REG, SUM(IF(TRIM(CAST(X."&amp;F50&amp;" AS STRING)) IN ('0000-00-00','0001-01-01','9999-12-31','MISS','00000','99999999999','99999999999.00','99999999999.000000'),1,0)) AS NUM_REG_DIF,'"&amp;MAX('ID1&amp;5'!K:K)+1&amp;"' AS ID_EXEC, CURRENT_TIMESTAMP() AS TIME_EXEC FROM "&amp;I50,
IF(C50="Not applicable",+"SELECT '"&amp;UPPER(B50)&amp;"' AS TABELA, '"&amp;UPPER(C50)&amp;"' AS TIPOLOGIA_TESTE,'"&amp;D50&amp;"' AS TABELA_LT,'N/A' AS TABELA_SIMUL,'"&amp;F50&amp;"' AS CAMPO, "&amp;"'${ref_date}' AS REF_DATE, COUNT(*) AS NUM_REG, SUM(IF(TRIM(CAST(X."&amp;F50&amp;" AS STRING)) IN ('N/A','11111111111','11111111111.00','11111111111.000000','1111-11-11'),1,0)) AS NUM_REG_DIF,'"&amp;MAX('ID1&amp;5'!K:K)+1&amp;"' AS ID_EXEC, CURRENT_TIMESTAMP() AS TIME_EXEC FROM "&amp;I50,
IF(C50="Valores extremos",+"SELECT '"&amp;UPPER(B50)&amp;"' AS TABELA, '"&amp;UPPER(C50)&amp;"' AS TIPOLOGIA_TESTE,'"&amp;D50&amp;"' AS TABELA_LT,'N/A' AS TABELA_SIMUL,'"&amp;F50&amp;"' AS CAMPO, "&amp;"'${ref_date}' AS REF_DATE, CAST(MIN("&amp;F50&amp;") AS STRING) AS VALOR_MIN, CAST(MAX("&amp;F50&amp;") AS STRING) AS VALOR_MAX,'"&amp;MAX('ID1&amp;5'!K:K)+1&amp;"' AS ID_EXEC, CURRENT_TIMESTAMP() AS TIME_EXEC FROM "&amp;MID(I50,1,LEN(I50)-2)&amp;" AND CAST("&amp;F50&amp;"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TABELA_SIMUL,'PURE_TRNVR_CCA' AS CAMPO, '${ref_date}' AS REF_DATE, COUNT(*) AS NUM_REG, SUM(IF((ABS(COALESCE(X.PURE_TRNVR_CCA,0)-COALESCE(Y.PURE_TRNVR_CCA_SIMUL,0))&gt;0.0000000001) OR (X.PURE_TRNVR_CCA IS NULL AND Y.PURE_TRNVR_CCA_SIMUL IS NOT NULL ) OR (X.PURE_TRNVR_CCA IS NOT NULL AND Y.PURE_TRNVR_CCA_SIMUL IS NULL),1,0)) AS NUM_REG_DIF,'10' AS ID_EXEC, CURRENT_TIMESTAMP() AS TIME_EXEC FROM (SELECT entty_id, PURE_TRNVR_CCA FROM BU_LOANTAPE_WORK.LT003_ENTITY WHERE ref_date='${ref_date}' AND nome_perimetro='Individual Corporativo' AND segmento='ESTR' AND ambito='PILAR3')X INNER JOIN (SELECT entty_id AS entty_id_SIMUL, PURE_TRNVR_CCA AS PURE_TRNVR_CCA_SIMUL FROM BU_LOANTAPE_WORK.LT003_ENTTY_P3_NOV24)Y ON X.ENTTY_ID=Y.ENTTY_ID_SIMUL</v>
      </c>
      <c r="M50" s="43" t="str">
        <f t="shared" si="0"/>
        <v>UNION ALL SELECT 'ENTITY' AS TABELA, 'COERÊNCIA' AS TIPOLOGIA_TESTE,'BU_LOANTAPE_WORK.LT003_ENTITY' AS TABELA_LT,'BU_LOANTAPE_WORK.LT003_ENTTY_P3_NOV24' AS TABELA_SIMUL,'PURE_TRNVR_CCA' AS CAMPO, '${ref_date}' AS REF_DATE, COUNT(*) AS NUM_REG, SUM(IF((ABS(COALESCE(X.PURE_TRNVR_CCA,0)-COALESCE(Y.PURE_TRNVR_CCA_SIMUL,0))&gt;0.0000000001) OR (X.PURE_TRNVR_CCA IS NULL AND Y.PURE_TRNVR_CCA_SIMUL IS NOT NULL ) OR (X.PURE_TRNVR_CCA IS NOT NULL AND Y.PURE_TRNVR_CCA_SIMUL IS NULL),1,0)) AS NUM_REG_DIF,'10' AS ID_EXEC, CURRENT_TIMESTAMP() AS TIME_EXEC FROM (SELECT entty_id, PURE_TRNVR_CCA FROM BU_LOANTAPE_WORK.LT003_ENTITY WHERE ref_date='${ref_date}' AND nome_perimetro='Individual Corporativo' AND segmento='ESTR' AND ambito='PILAR3')X INNER JOIN (SELECT entty_id AS entty_id_SIMUL, PURE_TRNVR_CCA AS PURE_TRNVR_CCA_SIMUL FROM BU_LOANTAPE_WORK.LT003_ENTTY_P3_NOV24)Y ON X.ENTTY_ID=Y.ENTTY_ID_SIMUL</v>
      </c>
      <c r="N50" s="45" t="s">
        <v>13</v>
      </c>
    </row>
    <row r="51" spans="2:14">
      <c r="B51" s="41" t="s">
        <v>23</v>
      </c>
      <c r="C51" s="41" t="s">
        <v>74</v>
      </c>
      <c r="D51" s="41" t="str">
        <f>+UPPER('0. Instruções'!$D$33&amp;"."&amp;VLOOKUP(B51,'0. Instruções'!$C$27:$D$31,2,FALSE))</f>
        <v>BU_LOANTAPE_WORK.LT003_ENTITY</v>
      </c>
      <c r="E51" s="41" t="str">
        <f>+UPPER('0. Instruções'!$D$34&amp;"."&amp;VLOOKUP(B51,'0. Instruções'!$C$27:$E$31,3,FALSE))</f>
        <v>BU_LOANTAPE_WORK.LT003_ENTTY_P3_NOV24</v>
      </c>
      <c r="F51" s="41" t="s">
        <v>116</v>
      </c>
      <c r="G51" s="41" t="s">
        <v>211</v>
      </c>
      <c r="H51" s="41"/>
      <c r="I51" s="41" t="str">
        <f>"(SELECT "&amp;VLOOKUP(B51,'0. Instruções'!$C$27:$G$31,4,FALSE)&amp;", "&amp;F51&amp;" FROM "&amp;D51&amp;" WHERE "&amp;'0. Instruções'!$D$40&amp;")X"</f>
        <v>(SELECT entty_id, FLG_NFRD_APPLCBLTY FROM BU_LOANTAPE_WORK.LT003_ENTITY WHERE ref_date='${ref_date}' AND nome_perimetro='Individual Corporativo' AND segmento='ESTR' AND ambito='PILAR3')X</v>
      </c>
      <c r="J51" s="41" t="str">
        <f>"(SELECT "&amp;VLOOKUP(B51,'0. Instruções'!$C$27:$G$31,4,FALSE)&amp;" AS "&amp;VLOOKUP(B51,'0. Instruções'!$C$27:$G$31,4,FALSE)&amp;"_SIMUL, "&amp;F51&amp;" AS "&amp;F51&amp;"_SIMUL FROM "&amp;E51&amp;")Y"</f>
        <v>(SELECT entty_id AS entty_id_SIMUL, FLG_NFRD_APPLCBLTY AS FLG_NFRD_APPLCBLTY_SIMUL FROM BU_LOANTAPE_WORK.LT003_ENTTY_P3_NOV24)Y</v>
      </c>
      <c r="K51" s="42" t="str">
        <f>+UPPER("ON X."&amp;VLOOKUP(B51,'0. Instruções'!$C$27:$G$31,4,FALSE)&amp;"=Y."&amp;VLOOKUP(B51,'0. Instruções'!$C$27:$G$31,4,FALSE)&amp;"_SIMUL")</f>
        <v>ON X.ENTTY_ID=Y.ENTTY_ID_SIMUL</v>
      </c>
      <c r="L51" s="42" t="str">
        <f>+IF(C51="Coerência", +IF(LEFT(G51,5)="FLOAT","SELECT '"&amp;UPPER(B51)&amp;"' AS TABELA, '"&amp;UPPER(C51)&amp;"' AS TIPOLOGIA_TESTE,'"&amp;D51&amp;"' AS TABELA_LT,'"&amp;E51&amp;"' AS TABELA_SIMUL,'"&amp;F51&amp;"' AS CAMPO, "&amp;"'${ref_date}' AS REF_DATE, COUNT(*) AS NUM_REG, SUM(IF((ABS(COALESCE(X."&amp;F51&amp;",0)-COALESCE(Y."&amp;F51&amp;"_SIMUL,0))&gt;0.0000000001) OR (X."&amp;F51&amp;" IS NULL AND Y."&amp;F51&amp;"_SIMUL IS NOT NULL ) OR (X."&amp;F51&amp;" IS NOT NULL AND Y."&amp;F51&amp;"_SIMUL IS NULL),1,0)) AS NUM_REG_DIF,'"&amp;MAX('ID1&amp;5'!K:K)+1&amp;"' AS ID_EXEC, CURRENT_TIMESTAMP() AS TIME_EXEC FROM "&amp;I51&amp;" INNER JOIN "&amp;J51&amp;" "&amp;K51,"SELECT '"&amp;UPPER(B51)&amp;"' AS TABELA, '"&amp;UPPER(C51)&amp;"' AS TIPOLOGIA_TESTE,'"&amp;D51&amp;"' AS TABELA_LT,'"&amp;E51&amp;"' AS TABELA_SIMUL,'"&amp;F51&amp;"' AS CAMPO, "&amp;"'${ref_date}' AS REF_DATE, COUNT(*) AS NUM_REG, SUM(IF(COALESCE(CAST(X."&amp;F51&amp;" AS STRING),'')&lt;&gt;COALESCE(CAST(Y."&amp;F51&amp;"_SIMUL AS STRING),''),1,0)) AS NUM_REG_DIF,'"&amp;MAX('ID1&amp;5'!L:L)+1&amp;"' AS ID_EXEC, CURRENT_TIMESTAMP() AS TIME_EXEC FROM "&amp;I51&amp;" INNER JOIN "&amp;J51&amp;" "&amp;K51),
IF(C51="Validade",+IF(G51="Code List","SELECT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 OR CAST(X."&amp;F51&amp;" AS STRING) NOT "&amp;H51&amp;",1,0)) AS NUM_REG_DIF,'"&amp;MAX('ID1&amp;5'!K:K)+1&amp;"' AS ID_EXEC, CURRENT_TIMESTAMP() AS TIME_EXEC FROM "&amp;I51,"SELECT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NULL,1,0)) AS NUM_REG_DIF,'"&amp;MAX('ID1&amp;5'!K:K)+1&amp;"' AS ID_EXEC, CURRENT_TIMESTAMP() AS TIME_EXEC FROM "&amp;I51),
IF(C51="Caracteres Especiais",+"SELECT '"&amp;UPPER(B51)&amp;"' AS TABELA, '"&amp;UPPER(C51)&amp;"' AS TIPOLOGIA_TESTE,'"&amp;D51&amp;"' AS TABELA_LT,'N/A' AS TABELA_SIMUL,'"&amp;F51&amp;"' AS CAMPO, "&amp;"'${ref_date}' AS REF_DATE, COUNT(*) AS NUM_REG, SUM(IF(INSTR(CAST(X."&amp;F51&amp;" AS STRING),'#')&gt;0 OR INSTR(CAST(X."&amp;F51&amp;" AS STRING),'*')&gt;0 OR INSTR(CAST(X."&amp;F51&amp;" AS STRING),'`')&gt;0 OR INSTR(CAST(X."&amp;F51&amp;" AS STRING),'´')&gt;0 OR INSTR(CAST(X."&amp;F51&amp;" AS STRING),'{')&gt;0 OR INSTR(CAST(X."&amp;F51&amp;" AS STRING),'}')&gt;0 OR INSTR(CAST(X."&amp;F51&amp;" AS STRING),'[')&gt;0 OR INSTR(CAST(X."&amp;F51&amp;" AS STRING),'')&gt;0 OR INSTR(CAST(X."&amp;F51&amp;" AS STRING),']')&gt;0 OR INSTR(CAST(X."&amp;F51&amp;" AS STRING),'?')&gt;0 OR INSTR(CAST(X."&amp;F51&amp;" AS STRING),'!')&gt;0 OR INSTR(CAST(X."&amp;F51&amp;" AS STRING),'$')&gt;0 OR INSTR(CAST(X."&amp;F51&amp;" AS STRING),'%')&gt;0 OR INSTR(CAST(X."&amp;F51&amp;" AS STRING),'&amp;')&gt;0 OR INSTR(CAST(X."&amp;F51&amp;" AS STRING),'+')&gt;0,1,0)) AS NUM_REG_DIF,'"&amp;MAX('ID1&amp;5'!K:K)+1&amp;"' AS ID_EXEC, CURRENT_TIMESTAMP() AS TIME_EXEC FROM "&amp;I51,
IF(C51="Missings",+"SELECT '"&amp;UPPER(B51)&amp;"' AS TABELA, '"&amp;UPPER(C51)&amp;"' AS TIPOLOGIA_TESTE,'"&amp;D51&amp;"' AS TABELA_LT,'N/A' AS TABELA_SIMUL,'"&amp;F51&amp;"' AS CAMPO, "&amp;"'${ref_date}' AS REF_DATE, COUNT(*) AS NUM_REG, SUM(IF(TRIM(CAST(X."&amp;F51&amp;" AS STRING)) IN ('0000-00-00','0001-01-01','9999-12-31','MISS','00000','99999999999','99999999999.00','99999999999.000000'),1,0)) AS NUM_REG_DIF,'"&amp;MAX('ID1&amp;5'!K:K)+1&amp;"' AS ID_EXEC, CURRENT_TIMESTAMP() AS TIME_EXEC FROM "&amp;I51,
IF(C51="Not applicable",+"SELECT '"&amp;UPPER(B51)&amp;"' AS TABELA, '"&amp;UPPER(C51)&amp;"' AS TIPOLOGIA_TESTE,'"&amp;D51&amp;"' AS TABELA_LT,'N/A' AS TABELA_SIMUL,'"&amp;F51&amp;"' AS CAMPO, "&amp;"'${ref_date}' AS REF_DATE, COUNT(*) AS NUM_REG, SUM(IF(TRIM(CAST(X."&amp;F51&amp;" AS STRING)) IN ('N/A','11111111111','11111111111.00','11111111111.000000','1111-11-11'),1,0)) AS NUM_REG_DIF,'"&amp;MAX('ID1&amp;5'!K:K)+1&amp;"' AS ID_EXEC, CURRENT_TIMESTAMP() AS TIME_EXEC FROM "&amp;I51,
IF(C51="Valores extremos",+"SELECT '"&amp;UPPER(B51)&amp;"' AS TABELA, '"&amp;UPPER(C51)&amp;"' AS TIPOLOGIA_TESTE,'"&amp;D51&amp;"' AS TABELA_LT,'N/A' AS TABELA_SIMUL,'"&amp;F51&amp;"' AS CAMPO, "&amp;"'${ref_date}' AS REF_DATE, CAST(MIN("&amp;F51&amp;") AS STRING) AS VALOR_MIN, CAST(MAX("&amp;F51&amp;") AS STRING) AS VALOR_MAX,'"&amp;MAX('ID1&amp;5'!K:K)+1&amp;"' AS ID_EXEC, CURRENT_TIMESTAMP() AS TIME_EXEC FROM "&amp;MID(I51,1,LEN(I51)-2)&amp;" AND CAST("&amp;F51&amp;"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TABELA_SIMUL,'FLG_NFRD_APPLCBLTY' AS CAMPO, '${ref_date}' AS REF_DATE, COUNT(*) AS NUM_REG, SUM(IF(COALESCE(CAST(X.FLG_NFRD_APPLCBLTY AS STRING),'')&lt;&gt;COALESCE(CAST(Y.FLG_NFRD_APPLCBLTY_SIMUL AS STRING),''),1,0)) AS NUM_REG_DIF,'1' AS ID_EXEC, CURRENT_TIMESTAMP() AS TIME_EXEC FROM (SELECT entty_id, FLG_NFRD_APPLCBLTY FROM BU_LOANTAPE_WORK.LT003_ENTITY WHERE ref_date='${ref_date}' AND nome_perimetro='Individual Corporativo' AND segmento='ESTR' AND ambito='PILAR3')X INNER JOIN (SELECT entty_id AS entty_id_SIMUL, FLG_NFRD_APPLCBLTY AS FLG_NFRD_APPLCBLTY_SIMUL FROM BU_LOANTAPE_WORK.LT003_ENTTY_P3_NOV24)Y ON X.ENTTY_ID=Y.ENTTY_ID_SIMUL</v>
      </c>
      <c r="M51" s="43" t="str">
        <f t="shared" si="0"/>
        <v>UNION ALL SELECT 'ENTITY' AS TABELA, 'COERÊNCIA' AS TIPOLOGIA_TESTE,'BU_LOANTAPE_WORK.LT003_ENTITY' AS TABELA_LT,'BU_LOANTAPE_WORK.LT003_ENTTY_P3_NOV24' AS TABELA_SIMUL,'FLG_NFRD_APPLCBLTY' AS CAMPO, '${ref_date}' AS REF_DATE, COUNT(*) AS NUM_REG, SUM(IF(COALESCE(CAST(X.FLG_NFRD_APPLCBLTY AS STRING),'')&lt;&gt;COALESCE(CAST(Y.FLG_NFRD_APPLCBLTY_SIMUL AS STRING),''),1,0)) AS NUM_REG_DIF,'1' AS ID_EXEC, CURRENT_TIMESTAMP() AS TIME_EXEC FROM (SELECT entty_id, FLG_NFRD_APPLCBLTY FROM BU_LOANTAPE_WORK.LT003_ENTITY WHERE ref_date='${ref_date}' AND nome_perimetro='Individual Corporativo' AND segmento='ESTR' AND ambito='PILAR3')X INNER JOIN (SELECT entty_id AS entty_id_SIMUL, FLG_NFRD_APPLCBLTY AS FLG_NFRD_APPLCBLTY_SIMUL FROM BU_LOANTAPE_WORK.LT003_ENTTY_P3_NOV24)Y ON X.ENTTY_ID=Y.ENTTY_ID_SIMUL</v>
      </c>
      <c r="N51" s="45" t="s">
        <v>13</v>
      </c>
    </row>
    <row r="52" spans="2:14">
      <c r="B52" s="41" t="s">
        <v>23</v>
      </c>
      <c r="C52" s="41" t="s">
        <v>74</v>
      </c>
      <c r="D52" s="41" t="str">
        <f>+UPPER('0. Instruções'!$D$33&amp;"."&amp;VLOOKUP(B52,'0. Instruções'!$C$27:$D$31,2,FALSE))</f>
        <v>BU_LOANTAPE_WORK.LT003_ENTITY</v>
      </c>
      <c r="E52" s="41" t="str">
        <f>+UPPER('0. Instruções'!$D$34&amp;"."&amp;VLOOKUP(B52,'0. Instruções'!$C$27:$E$31,3,FALSE))</f>
        <v>BU_LOANTAPE_WORK.LT003_ENTTY_P3_NOV24</v>
      </c>
      <c r="F52" s="41" t="s">
        <v>117</v>
      </c>
      <c r="G52" s="41" t="s">
        <v>210</v>
      </c>
      <c r="H52" s="41"/>
      <c r="I52" s="41" t="str">
        <f>"(SELECT "&amp;VLOOKUP(B52,'0. Instruções'!$C$27:$G$31,4,FALSE)&amp;", "&amp;F52&amp;" FROM "&amp;D52&amp;" WHERE "&amp;'0. Instruções'!$D$40&amp;")X"</f>
        <v>(SELECT entty_id, CNTRPRTY_EMSSNS_SCP1 FROM BU_LOANTAPE_WORK.LT003_ENTITY WHERE ref_date='${ref_date}' AND nome_perimetro='Individual Corporativo' AND segmento='ESTR' AND ambito='PILAR3')X</v>
      </c>
      <c r="J52" s="41" t="str">
        <f>"(SELECT "&amp;VLOOKUP(B52,'0. Instruções'!$C$27:$G$31,4,FALSE)&amp;" AS "&amp;VLOOKUP(B52,'0. Instruções'!$C$27:$G$31,4,FALSE)&amp;"_SIMUL, "&amp;F52&amp;" AS "&amp;F52&amp;"_SIMUL FROM "&amp;E52&amp;")Y"</f>
        <v>(SELECT entty_id AS entty_id_SIMUL, CNTRPRTY_EMSSNS_SCP1 AS CNTRPRTY_EMSSNS_SCP1_SIMUL FROM BU_LOANTAPE_WORK.LT003_ENTTY_P3_NOV24)Y</v>
      </c>
      <c r="K52" s="42" t="str">
        <f>+UPPER("ON X."&amp;VLOOKUP(B52,'0. Instruções'!$C$27:$G$31,4,FALSE)&amp;"=Y."&amp;VLOOKUP(B52,'0. Instruções'!$C$27:$G$31,4,FALSE)&amp;"_SIMUL")</f>
        <v>ON X.ENTTY_ID=Y.ENTTY_ID_SIMUL</v>
      </c>
      <c r="L52" s="42" t="str">
        <f>+IF(C52="Coerência", +IF(LEFT(G52,5)="FLOAT","SELECT '"&amp;UPPER(B52)&amp;"' AS TABELA, '"&amp;UPPER(C52)&amp;"' AS TIPOLOGIA_TESTE,'"&amp;D52&amp;"' AS TABELA_LT,'"&amp;E52&amp;"' AS TABELA_SIMUL,'"&amp;F52&amp;"' AS CAMPO, "&amp;"'${ref_date}' AS REF_DATE, COUNT(*) AS NUM_REG, SUM(IF((ABS(COALESCE(X."&amp;F52&amp;",0)-COALESCE(Y."&amp;F52&amp;"_SIMUL,0))&gt;0.0000000001) OR (X."&amp;F52&amp;" IS NULL AND Y."&amp;F52&amp;"_SIMUL IS NOT NULL ) OR (X."&amp;F52&amp;" IS NOT NULL AND Y."&amp;F52&amp;"_SIMUL IS NULL),1,0)) AS NUM_REG_DIF,'"&amp;MAX('ID1&amp;5'!K:K)+1&amp;"' AS ID_EXEC, CURRENT_TIMESTAMP() AS TIME_EXEC FROM "&amp;I52&amp;" INNER JOIN "&amp;J52&amp;" "&amp;K52,"SELECT '"&amp;UPPER(B52)&amp;"' AS TABELA, '"&amp;UPPER(C52)&amp;"' AS TIPOLOGIA_TESTE,'"&amp;D52&amp;"' AS TABELA_LT,'"&amp;E52&amp;"' AS TABELA_SIMUL,'"&amp;F52&amp;"' AS CAMPO, "&amp;"'${ref_date}' AS REF_DATE, COUNT(*) AS NUM_REG, SUM(IF(COALESCE(CAST(X."&amp;F52&amp;" AS STRING),'')&lt;&gt;COALESCE(CAST(Y."&amp;F52&amp;"_SIMUL AS STRING),''),1,0)) AS NUM_REG_DIF,'"&amp;MAX('ID1&amp;5'!L:L)+1&amp;"' AS ID_EXEC, CURRENT_TIMESTAMP() AS TIME_EXEC FROM "&amp;I52&amp;" INNER JOIN "&amp;J52&amp;" "&amp;K52),
IF(C52="Validade",+IF(G52="Code List","SELECT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 OR CAST(X."&amp;F52&amp;" AS STRING) NOT "&amp;H52&amp;",1,0)) AS NUM_REG_DIF,'"&amp;MAX('ID1&amp;5'!K:K)+1&amp;"' AS ID_EXEC, CURRENT_TIMESTAMP() AS TIME_EXEC FROM "&amp;I52,"SELECT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NULL,1,0)) AS NUM_REG_DIF,'"&amp;MAX('ID1&amp;5'!K:K)+1&amp;"' AS ID_EXEC, CURRENT_TIMESTAMP() AS TIME_EXEC FROM "&amp;I52),
IF(C52="Caracteres Especiais",+"SELECT '"&amp;UPPER(B52)&amp;"' AS TABELA, '"&amp;UPPER(C52)&amp;"' AS TIPOLOGIA_TESTE,'"&amp;D52&amp;"' AS TABELA_LT,'N/A' AS TABELA_SIMUL,'"&amp;F52&amp;"' AS CAMPO, "&amp;"'${ref_date}' AS REF_DATE, COUNT(*) AS NUM_REG, SUM(IF(INSTR(CAST(X."&amp;F52&amp;" AS STRING),'#')&gt;0 OR INSTR(CAST(X."&amp;F52&amp;" AS STRING),'*')&gt;0 OR INSTR(CAST(X."&amp;F52&amp;" AS STRING),'`')&gt;0 OR INSTR(CAST(X."&amp;F52&amp;" AS STRING),'´')&gt;0 OR INSTR(CAST(X."&amp;F52&amp;" AS STRING),'{')&gt;0 OR INSTR(CAST(X."&amp;F52&amp;" AS STRING),'}')&gt;0 OR INSTR(CAST(X."&amp;F52&amp;" AS STRING),'[')&gt;0 OR INSTR(CAST(X."&amp;F52&amp;" AS STRING),'')&gt;0 OR INSTR(CAST(X."&amp;F52&amp;" AS STRING),']')&gt;0 OR INSTR(CAST(X."&amp;F52&amp;" AS STRING),'?')&gt;0 OR INSTR(CAST(X."&amp;F52&amp;" AS STRING),'!')&gt;0 OR INSTR(CAST(X."&amp;F52&amp;" AS STRING),'$')&gt;0 OR INSTR(CAST(X."&amp;F52&amp;" AS STRING),'%')&gt;0 OR INSTR(CAST(X."&amp;F52&amp;" AS STRING),'&amp;')&gt;0 OR INSTR(CAST(X."&amp;F52&amp;" AS STRING),'+')&gt;0,1,0)) AS NUM_REG_DIF,'"&amp;MAX('ID1&amp;5'!K:K)+1&amp;"' AS ID_EXEC, CURRENT_TIMESTAMP() AS TIME_EXEC FROM "&amp;I52,
IF(C52="Missings",+"SELECT '"&amp;UPPER(B52)&amp;"' AS TABELA, '"&amp;UPPER(C52)&amp;"' AS TIPOLOGIA_TESTE,'"&amp;D52&amp;"' AS TABELA_LT,'N/A' AS TABELA_SIMUL,'"&amp;F52&amp;"' AS CAMPO, "&amp;"'${ref_date}' AS REF_DATE, COUNT(*) AS NUM_REG, SUM(IF(TRIM(CAST(X."&amp;F52&amp;" AS STRING)) IN ('0000-00-00','0001-01-01','9999-12-31','MISS','00000','99999999999','99999999999.00','99999999999.000000'),1,0)) AS NUM_REG_DIF,'"&amp;MAX('ID1&amp;5'!K:K)+1&amp;"' AS ID_EXEC, CURRENT_TIMESTAMP() AS TIME_EXEC FROM "&amp;I52,
IF(C52="Not applicable",+"SELECT '"&amp;UPPER(B52)&amp;"' AS TABELA, '"&amp;UPPER(C52)&amp;"' AS TIPOLOGIA_TESTE,'"&amp;D52&amp;"' AS TABELA_LT,'N/A' AS TABELA_SIMUL,'"&amp;F52&amp;"' AS CAMPO, "&amp;"'${ref_date}' AS REF_DATE, COUNT(*) AS NUM_REG, SUM(IF(TRIM(CAST(X."&amp;F52&amp;" AS STRING)) IN ('N/A','11111111111','11111111111.00','11111111111.000000','1111-11-11'),1,0)) AS NUM_REG_DIF,'"&amp;MAX('ID1&amp;5'!K:K)+1&amp;"' AS ID_EXEC, CURRENT_TIMESTAMP() AS TIME_EXEC FROM "&amp;I52,
IF(C52="Valores extremos",+"SELECT '"&amp;UPPER(B52)&amp;"' AS TABELA, '"&amp;UPPER(C52)&amp;"' AS TIPOLOGIA_TESTE,'"&amp;D52&amp;"' AS TABELA_LT,'N/A' AS TABELA_SIMUL,'"&amp;F52&amp;"' AS CAMPO, "&amp;"'${ref_date}' AS REF_DATE, CAST(MIN("&amp;F52&amp;") AS STRING) AS VALOR_MIN, CAST(MAX("&amp;F52&amp;") AS STRING) AS VALOR_MAX,'"&amp;MAX('ID1&amp;5'!K:K)+1&amp;"' AS ID_EXEC, CURRENT_TIMESTAMP() AS TIME_EXEC FROM "&amp;MID(I52,1,LEN(I52)-2)&amp;" AND CAST("&amp;F52&amp;"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TABELA_SIMUL,'CNTRPRTY_EMSSNS_SCP1' AS CAMPO, '${ref_date}' AS REF_DATE, COUNT(*) AS NUM_REG, SUM(IF((ABS(COALESCE(X.CNTRPRTY_EMSSNS_SCP1,0)-COALESCE(Y.CNTRPRTY_EMSSNS_SCP1_SIMUL,0))&gt;0.0000000001) OR (X.CNTRPRTY_EMSSNS_SCP1 IS NULL AND Y.CNTRPRTY_EMSSNS_SCP1_SIMUL IS NOT NULL ) OR (X.CNTRPRTY_EMSSNS_SCP1 IS NOT NULL AND Y.CNTRPRTY_EMSSNS_SCP1_SIMUL IS NULL),1,0)) AS NUM_REG_DIF,'10' AS ID_EXEC, CURRENT_TIMESTAMP() AS TIME_EXEC FROM (SELECT entty_id, CNTRPRTY_EMSSNS_SCP1 FROM BU_LOANTAPE_WORK.LT003_ENTITY WHERE ref_date='${ref_date}' AND nome_perimetro='Individual Corporativo' AND segmento='ESTR' AND ambito='PILAR3')X INNER JOIN (SELECT entty_id AS entty_id_SIMUL, CNTRPRTY_EMSSNS_SCP1 AS CNTRPRTY_EMSSNS_SCP1_SIMUL FROM BU_LOANTAPE_WORK.LT003_ENTTY_P3_NOV24)Y ON X.ENTTY_ID=Y.ENTTY_ID_SIMUL</v>
      </c>
      <c r="M52" s="43" t="str">
        <f t="shared" si="0"/>
        <v>UNION ALL SELECT 'ENTITY' AS TABELA, 'COERÊNCIA' AS TIPOLOGIA_TESTE,'BU_LOANTAPE_WORK.LT003_ENTITY' AS TABELA_LT,'BU_LOANTAPE_WORK.LT003_ENTTY_P3_NOV24' AS TABELA_SIMUL,'CNTRPRTY_EMSSNS_SCP1' AS CAMPO, '${ref_date}' AS REF_DATE, COUNT(*) AS NUM_REG, SUM(IF((ABS(COALESCE(X.CNTRPRTY_EMSSNS_SCP1,0)-COALESCE(Y.CNTRPRTY_EMSSNS_SCP1_SIMUL,0))&gt;0.0000000001) OR (X.CNTRPRTY_EMSSNS_SCP1 IS NULL AND Y.CNTRPRTY_EMSSNS_SCP1_SIMUL IS NOT NULL ) OR (X.CNTRPRTY_EMSSNS_SCP1 IS NOT NULL AND Y.CNTRPRTY_EMSSNS_SCP1_SIMUL IS NULL),1,0)) AS NUM_REG_DIF,'10' AS ID_EXEC, CURRENT_TIMESTAMP() AS TIME_EXEC FROM (SELECT entty_id, CNTRPRTY_EMSSNS_SCP1 FROM BU_LOANTAPE_WORK.LT003_ENTITY WHERE ref_date='${ref_date}' AND nome_perimetro='Individual Corporativo' AND segmento='ESTR' AND ambito='PILAR3')X INNER JOIN (SELECT entty_id AS entty_id_SIMUL, CNTRPRTY_EMSSNS_SCP1 AS CNTRPRTY_EMSSNS_SCP1_SIMUL FROM BU_LOANTAPE_WORK.LT003_ENTTY_P3_NOV24)Y ON X.ENTTY_ID=Y.ENTTY_ID_SIMUL</v>
      </c>
      <c r="N52" s="45" t="s">
        <v>13</v>
      </c>
    </row>
    <row r="53" spans="2:14">
      <c r="B53" s="41" t="s">
        <v>23</v>
      </c>
      <c r="C53" s="41" t="s">
        <v>74</v>
      </c>
      <c r="D53" s="41" t="str">
        <f>+UPPER('0. Instruções'!$D$33&amp;"."&amp;VLOOKUP(B53,'0. Instruções'!$C$27:$D$31,2,FALSE))</f>
        <v>BU_LOANTAPE_WORK.LT003_ENTITY</v>
      </c>
      <c r="E53" s="41" t="str">
        <f>+UPPER('0. Instruções'!$D$34&amp;"."&amp;VLOOKUP(B53,'0. Instruções'!$C$27:$E$31,3,FALSE))</f>
        <v>BU_LOANTAPE_WORK.LT003_ENTTY_P3_NOV24</v>
      </c>
      <c r="F53" s="41" t="s">
        <v>118</v>
      </c>
      <c r="G53" s="41" t="s">
        <v>210</v>
      </c>
      <c r="H53" s="41"/>
      <c r="I53" s="41" t="str">
        <f>"(SELECT "&amp;VLOOKUP(B53,'0. Instruções'!$C$27:$G$31,4,FALSE)&amp;", "&amp;F53&amp;" FROM "&amp;D53&amp;" WHERE "&amp;'0. Instruções'!$D$40&amp;")X"</f>
        <v>(SELECT entty_id, CNTRPRTY_EMSSNS_SCP2 FROM BU_LOANTAPE_WORK.LT003_ENTITY WHERE ref_date='${ref_date}' AND nome_perimetro='Individual Corporativo' AND segmento='ESTR' AND ambito='PILAR3')X</v>
      </c>
      <c r="J53" s="41" t="str">
        <f>"(SELECT "&amp;VLOOKUP(B53,'0. Instruções'!$C$27:$G$31,4,FALSE)&amp;" AS "&amp;VLOOKUP(B53,'0. Instruções'!$C$27:$G$31,4,FALSE)&amp;"_SIMUL, "&amp;F53&amp;" AS "&amp;F53&amp;"_SIMUL FROM "&amp;E53&amp;")Y"</f>
        <v>(SELECT entty_id AS entty_id_SIMUL, CNTRPRTY_EMSSNS_SCP2 AS CNTRPRTY_EMSSNS_SCP2_SIMUL FROM BU_LOANTAPE_WORK.LT003_ENTTY_P3_NOV24)Y</v>
      </c>
      <c r="K53" s="42" t="str">
        <f>+UPPER("ON X."&amp;VLOOKUP(B53,'0. Instruções'!$C$27:$G$31,4,FALSE)&amp;"=Y."&amp;VLOOKUP(B53,'0. Instruções'!$C$27:$G$31,4,FALSE)&amp;"_SIMUL")</f>
        <v>ON X.ENTTY_ID=Y.ENTTY_ID_SIMUL</v>
      </c>
      <c r="L53" s="42" t="str">
        <f>+IF(C53="Coerência", +IF(LEFT(G53,5)="FLOAT","SELECT '"&amp;UPPER(B53)&amp;"' AS TABELA, '"&amp;UPPER(C53)&amp;"' AS TIPOLOGIA_TESTE,'"&amp;D53&amp;"' AS TABELA_LT,'"&amp;E53&amp;"' AS TABELA_SIMUL,'"&amp;F53&amp;"' AS CAMPO, "&amp;"'${ref_date}' AS REF_DATE, COUNT(*) AS NUM_REG, SUM(IF((ABS(COALESCE(X."&amp;F53&amp;",0)-COALESCE(Y."&amp;F53&amp;"_SIMUL,0))&gt;0.0000000001) OR (X."&amp;F53&amp;" IS NULL AND Y."&amp;F53&amp;"_SIMUL IS NOT NULL ) OR (X."&amp;F53&amp;" IS NOT NULL AND Y."&amp;F53&amp;"_SIMUL IS NULL),1,0)) AS NUM_REG_DIF,'"&amp;MAX('ID1&amp;5'!K:K)+1&amp;"' AS ID_EXEC, CURRENT_TIMESTAMP() AS TIME_EXEC FROM "&amp;I53&amp;" INNER JOIN "&amp;J53&amp;" "&amp;K53,"SELECT '"&amp;UPPER(B53)&amp;"' AS TABELA, '"&amp;UPPER(C53)&amp;"' AS TIPOLOGIA_TESTE,'"&amp;D53&amp;"' AS TABELA_LT,'"&amp;E53&amp;"' AS TABELA_SIMUL,'"&amp;F53&amp;"' AS CAMPO, "&amp;"'${ref_date}' AS REF_DATE, COUNT(*) AS NUM_REG, SUM(IF(COALESCE(CAST(X."&amp;F53&amp;" AS STRING),'')&lt;&gt;COALESCE(CAST(Y."&amp;F53&amp;"_SIMUL AS STRING),''),1,0)) AS NUM_REG_DIF,'"&amp;MAX('ID1&amp;5'!L:L)+1&amp;"' AS ID_EXEC, CURRENT_TIMESTAMP() AS TIME_EXEC FROM "&amp;I53&amp;" INNER JOIN "&amp;J53&amp;" "&amp;K53),
IF(C53="Validade",+IF(G53="Code List","SELECT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 OR CAST(X."&amp;F53&amp;" AS STRING) NOT "&amp;H53&amp;",1,0)) AS NUM_REG_DIF,'"&amp;MAX('ID1&amp;5'!K:K)+1&amp;"' AS ID_EXEC, CURRENT_TIMESTAMP() AS TIME_EXEC FROM "&amp;I53,"SELECT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NULL,1,0)) AS NUM_REG_DIF,'"&amp;MAX('ID1&amp;5'!K:K)+1&amp;"' AS ID_EXEC, CURRENT_TIMESTAMP() AS TIME_EXEC FROM "&amp;I53),
IF(C53="Caracteres Especiais",+"SELECT '"&amp;UPPER(B53)&amp;"' AS TABELA, '"&amp;UPPER(C53)&amp;"' AS TIPOLOGIA_TESTE,'"&amp;D53&amp;"' AS TABELA_LT,'N/A' AS TABELA_SIMUL,'"&amp;F53&amp;"' AS CAMPO, "&amp;"'${ref_date}' AS REF_DATE, COUNT(*) AS NUM_REG, SUM(IF(INSTR(CAST(X."&amp;F53&amp;" AS STRING),'#')&gt;0 OR INSTR(CAST(X."&amp;F53&amp;" AS STRING),'*')&gt;0 OR INSTR(CAST(X."&amp;F53&amp;" AS STRING),'`')&gt;0 OR INSTR(CAST(X."&amp;F53&amp;" AS STRING),'´')&gt;0 OR INSTR(CAST(X."&amp;F53&amp;" AS STRING),'{')&gt;0 OR INSTR(CAST(X."&amp;F53&amp;" AS STRING),'}')&gt;0 OR INSTR(CAST(X."&amp;F53&amp;" AS STRING),'[')&gt;0 OR INSTR(CAST(X."&amp;F53&amp;" AS STRING),'')&gt;0 OR INSTR(CAST(X."&amp;F53&amp;" AS STRING),']')&gt;0 OR INSTR(CAST(X."&amp;F53&amp;" AS STRING),'?')&gt;0 OR INSTR(CAST(X."&amp;F53&amp;" AS STRING),'!')&gt;0 OR INSTR(CAST(X."&amp;F53&amp;" AS STRING),'$')&gt;0 OR INSTR(CAST(X."&amp;F53&amp;" AS STRING),'%')&gt;0 OR INSTR(CAST(X."&amp;F53&amp;" AS STRING),'&amp;')&gt;0 OR INSTR(CAST(X."&amp;F53&amp;" AS STRING),'+')&gt;0,1,0)) AS NUM_REG_DIF,'"&amp;MAX('ID1&amp;5'!K:K)+1&amp;"' AS ID_EXEC, CURRENT_TIMESTAMP() AS TIME_EXEC FROM "&amp;I53,
IF(C53="Missings",+"SELECT '"&amp;UPPER(B53)&amp;"' AS TABELA, '"&amp;UPPER(C53)&amp;"' AS TIPOLOGIA_TESTE,'"&amp;D53&amp;"' AS TABELA_LT,'N/A' AS TABELA_SIMUL,'"&amp;F53&amp;"' AS CAMPO, "&amp;"'${ref_date}' AS REF_DATE, COUNT(*) AS NUM_REG, SUM(IF(TRIM(CAST(X."&amp;F53&amp;" AS STRING)) IN ('0000-00-00','0001-01-01','9999-12-31','MISS','00000','99999999999','99999999999.00','99999999999.000000'),1,0)) AS NUM_REG_DIF,'"&amp;MAX('ID1&amp;5'!K:K)+1&amp;"' AS ID_EXEC, CURRENT_TIMESTAMP() AS TIME_EXEC FROM "&amp;I53,
IF(C53="Not applicable",+"SELECT '"&amp;UPPER(B53)&amp;"' AS TABELA, '"&amp;UPPER(C53)&amp;"' AS TIPOLOGIA_TESTE,'"&amp;D53&amp;"' AS TABELA_LT,'N/A' AS TABELA_SIMUL,'"&amp;F53&amp;"' AS CAMPO, "&amp;"'${ref_date}' AS REF_DATE, COUNT(*) AS NUM_REG, SUM(IF(TRIM(CAST(X."&amp;F53&amp;" AS STRING)) IN ('N/A','11111111111','11111111111.00','11111111111.000000','1111-11-11'),1,0)) AS NUM_REG_DIF,'"&amp;MAX('ID1&amp;5'!K:K)+1&amp;"' AS ID_EXEC, CURRENT_TIMESTAMP() AS TIME_EXEC FROM "&amp;I53,
IF(C53="Valores extremos",+"SELECT '"&amp;UPPER(B53)&amp;"' AS TABELA, '"&amp;UPPER(C53)&amp;"' AS TIPOLOGIA_TESTE,'"&amp;D53&amp;"' AS TABELA_LT,'N/A' AS TABELA_SIMUL,'"&amp;F53&amp;"' AS CAMPO, "&amp;"'${ref_date}' AS REF_DATE, CAST(MIN("&amp;F53&amp;") AS STRING) AS VALOR_MIN, CAST(MAX("&amp;F53&amp;") AS STRING) AS VALOR_MAX,'"&amp;MAX('ID1&amp;5'!K:K)+1&amp;"' AS ID_EXEC, CURRENT_TIMESTAMP() AS TIME_EXEC FROM "&amp;MID(I53,1,LEN(I53)-2)&amp;" AND CAST("&amp;F53&amp;"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TABELA_SIMUL,'CNTRPRTY_EMSSNS_SCP2' AS CAMPO, '${ref_date}' AS REF_DATE, COUNT(*) AS NUM_REG, SUM(IF((ABS(COALESCE(X.CNTRPRTY_EMSSNS_SCP2,0)-COALESCE(Y.CNTRPRTY_EMSSNS_SCP2_SIMUL,0))&gt;0.0000000001) OR (X.CNTRPRTY_EMSSNS_SCP2 IS NULL AND Y.CNTRPRTY_EMSSNS_SCP2_SIMUL IS NOT NULL ) OR (X.CNTRPRTY_EMSSNS_SCP2 IS NOT NULL AND Y.CNTRPRTY_EMSSNS_SCP2_SIMUL IS NULL),1,0)) AS NUM_REG_DIF,'10' AS ID_EXEC, CURRENT_TIMESTAMP() AS TIME_EXEC FROM (SELECT entty_id, CNTRPRTY_EMSSNS_SCP2 FROM BU_LOANTAPE_WORK.LT003_ENTITY WHERE ref_date='${ref_date}' AND nome_perimetro='Individual Corporativo' AND segmento='ESTR' AND ambito='PILAR3')X INNER JOIN (SELECT entty_id AS entty_id_SIMUL, CNTRPRTY_EMSSNS_SCP2 AS CNTRPRTY_EMSSNS_SCP2_SIMUL FROM BU_LOANTAPE_WORK.LT003_ENTTY_P3_NOV24)Y ON X.ENTTY_ID=Y.ENTTY_ID_SIMUL</v>
      </c>
      <c r="M53" s="43" t="str">
        <f t="shared" si="0"/>
        <v>UNION ALL SELECT 'ENTITY' AS TABELA, 'COERÊNCIA' AS TIPOLOGIA_TESTE,'BU_LOANTAPE_WORK.LT003_ENTITY' AS TABELA_LT,'BU_LOANTAPE_WORK.LT003_ENTTY_P3_NOV24' AS TABELA_SIMUL,'CNTRPRTY_EMSSNS_SCP2' AS CAMPO, '${ref_date}' AS REF_DATE, COUNT(*) AS NUM_REG, SUM(IF((ABS(COALESCE(X.CNTRPRTY_EMSSNS_SCP2,0)-COALESCE(Y.CNTRPRTY_EMSSNS_SCP2_SIMUL,0))&gt;0.0000000001) OR (X.CNTRPRTY_EMSSNS_SCP2 IS NULL AND Y.CNTRPRTY_EMSSNS_SCP2_SIMUL IS NOT NULL ) OR (X.CNTRPRTY_EMSSNS_SCP2 IS NOT NULL AND Y.CNTRPRTY_EMSSNS_SCP2_SIMUL IS NULL),1,0)) AS NUM_REG_DIF,'10' AS ID_EXEC, CURRENT_TIMESTAMP() AS TIME_EXEC FROM (SELECT entty_id, CNTRPRTY_EMSSNS_SCP2 FROM BU_LOANTAPE_WORK.LT003_ENTITY WHERE ref_date='${ref_date}' AND nome_perimetro='Individual Corporativo' AND segmento='ESTR' AND ambito='PILAR3')X INNER JOIN (SELECT entty_id AS entty_id_SIMUL, CNTRPRTY_EMSSNS_SCP2 AS CNTRPRTY_EMSSNS_SCP2_SIMUL FROM BU_LOANTAPE_WORK.LT003_ENTTY_P3_NOV24)Y ON X.ENTTY_ID=Y.ENTTY_ID_SIMUL</v>
      </c>
      <c r="N53" s="45" t="s">
        <v>13</v>
      </c>
    </row>
    <row r="54" spans="2:14">
      <c r="B54" s="41" t="s">
        <v>23</v>
      </c>
      <c r="C54" s="41" t="s">
        <v>74</v>
      </c>
      <c r="D54" s="41" t="str">
        <f>+UPPER('0. Instruções'!$D$33&amp;"."&amp;VLOOKUP(B54,'0. Instruções'!$C$27:$D$31,2,FALSE))</f>
        <v>BU_LOANTAPE_WORK.LT003_ENTITY</v>
      </c>
      <c r="E54" s="41" t="str">
        <f>+UPPER('0. Instruções'!$D$34&amp;"."&amp;VLOOKUP(B54,'0. Instruções'!$C$27:$E$31,3,FALSE))</f>
        <v>BU_LOANTAPE_WORK.LT003_ENTTY_P3_NOV24</v>
      </c>
      <c r="F54" s="41" t="s">
        <v>119</v>
      </c>
      <c r="G54" s="41" t="s">
        <v>210</v>
      </c>
      <c r="H54" s="41"/>
      <c r="I54" s="41" t="str">
        <f>"(SELECT "&amp;VLOOKUP(B54,'0. Instruções'!$C$27:$G$31,4,FALSE)&amp;", "&amp;F54&amp;" FROM "&amp;D54&amp;" WHERE "&amp;'0. Instruções'!$D$40&amp;")X"</f>
        <v>(SELECT entty_id, CNTRPRTY_EMSSNS_SCP3 FROM BU_LOANTAPE_WORK.LT003_ENTITY WHERE ref_date='${ref_date}' AND nome_perimetro='Individual Corporativo' AND segmento='ESTR' AND ambito='PILAR3')X</v>
      </c>
      <c r="J54" s="41" t="str">
        <f>"(SELECT "&amp;VLOOKUP(B54,'0. Instruções'!$C$27:$G$31,4,FALSE)&amp;" AS "&amp;VLOOKUP(B54,'0. Instruções'!$C$27:$G$31,4,FALSE)&amp;"_SIMUL, "&amp;F54&amp;" AS "&amp;F54&amp;"_SIMUL FROM "&amp;E54&amp;")Y"</f>
        <v>(SELECT entty_id AS entty_id_SIMUL, CNTRPRTY_EMSSNS_SCP3 AS CNTRPRTY_EMSSNS_SCP3_SIMUL FROM BU_LOANTAPE_WORK.LT003_ENTTY_P3_NOV24)Y</v>
      </c>
      <c r="K54" s="42" t="str">
        <f>+UPPER("ON X."&amp;VLOOKUP(B54,'0. Instruções'!$C$27:$G$31,4,FALSE)&amp;"=Y."&amp;VLOOKUP(B54,'0. Instruções'!$C$27:$G$31,4,FALSE)&amp;"_SIMUL")</f>
        <v>ON X.ENTTY_ID=Y.ENTTY_ID_SIMUL</v>
      </c>
      <c r="L54" s="42" t="str">
        <f>+IF(C54="Coerência", +IF(LEFT(G54,5)="FLOAT","SELECT '"&amp;UPPER(B54)&amp;"' AS TABELA, '"&amp;UPPER(C54)&amp;"' AS TIPOLOGIA_TESTE,'"&amp;D54&amp;"' AS TABELA_LT,'"&amp;E54&amp;"' AS TABELA_SIMUL,'"&amp;F54&amp;"' AS CAMPO, "&amp;"'${ref_date}' AS REF_DATE, COUNT(*) AS NUM_REG, SUM(IF((ABS(COALESCE(X."&amp;F54&amp;",0)-COALESCE(Y."&amp;F54&amp;"_SIMUL,0))&gt;0.0000000001) OR (X."&amp;F54&amp;" IS NULL AND Y."&amp;F54&amp;"_SIMUL IS NOT NULL ) OR (X."&amp;F54&amp;" IS NOT NULL AND Y."&amp;F54&amp;"_SIMUL IS NULL),1,0)) AS NUM_REG_DIF,'"&amp;MAX('ID1&amp;5'!K:K)+1&amp;"' AS ID_EXEC, CURRENT_TIMESTAMP() AS TIME_EXEC FROM "&amp;I54&amp;" INNER JOIN "&amp;J54&amp;" "&amp;K54,"SELECT '"&amp;UPPER(B54)&amp;"' AS TABELA, '"&amp;UPPER(C54)&amp;"' AS TIPOLOGIA_TESTE,'"&amp;D54&amp;"' AS TABELA_LT,'"&amp;E54&amp;"' AS TABELA_SIMUL,'"&amp;F54&amp;"' AS CAMPO, "&amp;"'${ref_date}' AS REF_DATE, COUNT(*) AS NUM_REG, SUM(IF(COALESCE(CAST(X."&amp;F54&amp;" AS STRING),'')&lt;&gt;COALESCE(CAST(Y."&amp;F54&amp;"_SIMUL AS STRING),''),1,0)) AS NUM_REG_DIF,'"&amp;MAX('ID1&amp;5'!L:L)+1&amp;"' AS ID_EXEC, CURRENT_TIMESTAMP() AS TIME_EXEC FROM "&amp;I54&amp;" INNER JOIN "&amp;J54&amp;" "&amp;K54),
IF(C54="Validade",+IF(G54="Code List","SELECT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 OR CAST(X."&amp;F54&amp;" AS STRING) NOT "&amp;H54&amp;",1,0)) AS NUM_REG_DIF,'"&amp;MAX('ID1&amp;5'!K:K)+1&amp;"' AS ID_EXEC, CURRENT_TIMESTAMP() AS TIME_EXEC FROM "&amp;I54,"SELECT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NULL,1,0)) AS NUM_REG_DIF,'"&amp;MAX('ID1&amp;5'!K:K)+1&amp;"' AS ID_EXEC, CURRENT_TIMESTAMP() AS TIME_EXEC FROM "&amp;I54),
IF(C54="Caracteres Especiais",+"SELECT '"&amp;UPPER(B54)&amp;"' AS TABELA, '"&amp;UPPER(C54)&amp;"' AS TIPOLOGIA_TESTE,'"&amp;D54&amp;"' AS TABELA_LT,'N/A' AS TABELA_SIMUL,'"&amp;F54&amp;"' AS CAMPO, "&amp;"'${ref_date}' AS REF_DATE, COUNT(*) AS NUM_REG, SUM(IF(INSTR(CAST(X."&amp;F54&amp;" AS STRING),'#')&gt;0 OR INSTR(CAST(X."&amp;F54&amp;" AS STRING),'*')&gt;0 OR INSTR(CAST(X."&amp;F54&amp;" AS STRING),'`')&gt;0 OR INSTR(CAST(X."&amp;F54&amp;" AS STRING),'´')&gt;0 OR INSTR(CAST(X."&amp;F54&amp;" AS STRING),'{')&gt;0 OR INSTR(CAST(X."&amp;F54&amp;" AS STRING),'}')&gt;0 OR INSTR(CAST(X."&amp;F54&amp;" AS STRING),'[')&gt;0 OR INSTR(CAST(X."&amp;F54&amp;" AS STRING),'')&gt;0 OR INSTR(CAST(X."&amp;F54&amp;" AS STRING),']')&gt;0 OR INSTR(CAST(X."&amp;F54&amp;" AS STRING),'?')&gt;0 OR INSTR(CAST(X."&amp;F54&amp;" AS STRING),'!')&gt;0 OR INSTR(CAST(X."&amp;F54&amp;" AS STRING),'$')&gt;0 OR INSTR(CAST(X."&amp;F54&amp;" AS STRING),'%')&gt;0 OR INSTR(CAST(X."&amp;F54&amp;" AS STRING),'&amp;')&gt;0 OR INSTR(CAST(X."&amp;F54&amp;" AS STRING),'+')&gt;0,1,0)) AS NUM_REG_DIF,'"&amp;MAX('ID1&amp;5'!K:K)+1&amp;"' AS ID_EXEC, CURRENT_TIMESTAMP() AS TIME_EXEC FROM "&amp;I54,
IF(C54="Missings",+"SELECT '"&amp;UPPER(B54)&amp;"' AS TABELA, '"&amp;UPPER(C54)&amp;"' AS TIPOLOGIA_TESTE,'"&amp;D54&amp;"' AS TABELA_LT,'N/A' AS TABELA_SIMUL,'"&amp;F54&amp;"' AS CAMPO, "&amp;"'${ref_date}' AS REF_DATE, COUNT(*) AS NUM_REG, SUM(IF(TRIM(CAST(X."&amp;F54&amp;" AS STRING)) IN ('0000-00-00','0001-01-01','9999-12-31','MISS','00000','99999999999','99999999999.00','99999999999.000000'),1,0)) AS NUM_REG_DIF,'"&amp;MAX('ID1&amp;5'!K:K)+1&amp;"' AS ID_EXEC, CURRENT_TIMESTAMP() AS TIME_EXEC FROM "&amp;I54,
IF(C54="Not applicable",+"SELECT '"&amp;UPPER(B54)&amp;"' AS TABELA, '"&amp;UPPER(C54)&amp;"' AS TIPOLOGIA_TESTE,'"&amp;D54&amp;"' AS TABELA_LT,'N/A' AS TABELA_SIMUL,'"&amp;F54&amp;"' AS CAMPO, "&amp;"'${ref_date}' AS REF_DATE, COUNT(*) AS NUM_REG, SUM(IF(TRIM(CAST(X."&amp;F54&amp;" AS STRING)) IN ('N/A','11111111111','11111111111.00','11111111111.000000','1111-11-11'),1,0)) AS NUM_REG_DIF,'"&amp;MAX('ID1&amp;5'!K:K)+1&amp;"' AS ID_EXEC, CURRENT_TIMESTAMP() AS TIME_EXEC FROM "&amp;I54,
IF(C54="Valores extremos",+"SELECT '"&amp;UPPER(B54)&amp;"' AS TABELA, '"&amp;UPPER(C54)&amp;"' AS TIPOLOGIA_TESTE,'"&amp;D54&amp;"' AS TABELA_LT,'N/A' AS TABELA_SIMUL,'"&amp;F54&amp;"' AS CAMPO, "&amp;"'${ref_date}' AS REF_DATE, CAST(MIN("&amp;F54&amp;") AS STRING) AS VALOR_MIN, CAST(MAX("&amp;F54&amp;") AS STRING) AS VALOR_MAX,'"&amp;MAX('ID1&amp;5'!K:K)+1&amp;"' AS ID_EXEC, CURRENT_TIMESTAMP() AS TIME_EXEC FROM "&amp;MID(I54,1,LEN(I54)-2)&amp;" AND CAST("&amp;F54&amp;"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TABELA_SIMUL,'CNTRPRTY_EMSSNS_SCP3' AS CAMPO, '${ref_date}' AS REF_DATE, COUNT(*) AS NUM_REG, SUM(IF((ABS(COALESCE(X.CNTRPRTY_EMSSNS_SCP3,0)-COALESCE(Y.CNTRPRTY_EMSSNS_SCP3_SIMUL,0))&gt;0.0000000001) OR (X.CNTRPRTY_EMSSNS_SCP3 IS NULL AND Y.CNTRPRTY_EMSSNS_SCP3_SIMUL IS NOT NULL ) OR (X.CNTRPRTY_EMSSNS_SCP3 IS NOT NULL AND Y.CNTRPRTY_EMSSNS_SCP3_SIMUL IS NULL),1,0)) AS NUM_REG_DIF,'10' AS ID_EXEC, CURRENT_TIMESTAMP() AS TIME_EXEC FROM (SELECT entty_id, CNTRPRTY_EMSSNS_SCP3 FROM BU_LOANTAPE_WORK.LT003_ENTITY WHERE ref_date='${ref_date}' AND nome_perimetro='Individual Corporativo' AND segmento='ESTR' AND ambito='PILAR3')X INNER JOIN (SELECT entty_id AS entty_id_SIMUL, CNTRPRTY_EMSSNS_SCP3 AS CNTRPRTY_EMSSNS_SCP3_SIMUL FROM BU_LOANTAPE_WORK.LT003_ENTTY_P3_NOV24)Y ON X.ENTTY_ID=Y.ENTTY_ID_SIMUL</v>
      </c>
      <c r="M54" s="43" t="str">
        <f t="shared" si="0"/>
        <v>UNION ALL SELECT 'ENTITY' AS TABELA, 'COERÊNCIA' AS TIPOLOGIA_TESTE,'BU_LOANTAPE_WORK.LT003_ENTITY' AS TABELA_LT,'BU_LOANTAPE_WORK.LT003_ENTTY_P3_NOV24' AS TABELA_SIMUL,'CNTRPRTY_EMSSNS_SCP3' AS CAMPO, '${ref_date}' AS REF_DATE, COUNT(*) AS NUM_REG, SUM(IF((ABS(COALESCE(X.CNTRPRTY_EMSSNS_SCP3,0)-COALESCE(Y.CNTRPRTY_EMSSNS_SCP3_SIMUL,0))&gt;0.0000000001) OR (X.CNTRPRTY_EMSSNS_SCP3 IS NULL AND Y.CNTRPRTY_EMSSNS_SCP3_SIMUL IS NOT NULL ) OR (X.CNTRPRTY_EMSSNS_SCP3 IS NOT NULL AND Y.CNTRPRTY_EMSSNS_SCP3_SIMUL IS NULL),1,0)) AS NUM_REG_DIF,'10' AS ID_EXEC, CURRENT_TIMESTAMP() AS TIME_EXEC FROM (SELECT entty_id, CNTRPRTY_EMSSNS_SCP3 FROM BU_LOANTAPE_WORK.LT003_ENTITY WHERE ref_date='${ref_date}' AND nome_perimetro='Individual Corporativo' AND segmento='ESTR' AND ambito='PILAR3')X INNER JOIN (SELECT entty_id AS entty_id_SIMUL, CNTRPRTY_EMSSNS_SCP3 AS CNTRPRTY_EMSSNS_SCP3_SIMUL FROM BU_LOANTAPE_WORK.LT003_ENTTY_P3_NOV24)Y ON X.ENTTY_ID=Y.ENTTY_ID_SIMUL</v>
      </c>
      <c r="N54" s="45" t="s">
        <v>13</v>
      </c>
    </row>
    <row r="55" spans="2:14">
      <c r="B55" s="41" t="s">
        <v>23</v>
      </c>
      <c r="C55" s="41" t="s">
        <v>74</v>
      </c>
      <c r="D55" s="41" t="str">
        <f>+UPPER('0. Instruções'!$D$33&amp;"."&amp;VLOOKUP(B55,'0. Instruções'!$C$27:$D$31,2,FALSE))</f>
        <v>BU_LOANTAPE_WORK.LT003_ENTITY</v>
      </c>
      <c r="E55" s="41" t="str">
        <f>+UPPER('0. Instruções'!$D$34&amp;"."&amp;VLOOKUP(B55,'0. Instruções'!$C$27:$E$31,3,FALSE))</f>
        <v>BU_LOANTAPE_WORK.LT003_ENTTY_P3_NOV24</v>
      </c>
      <c r="F55" s="41" t="s">
        <v>120</v>
      </c>
      <c r="G55" s="41" t="s">
        <v>211</v>
      </c>
      <c r="H55" s="41"/>
      <c r="I55" s="41" t="str">
        <f>"(SELECT "&amp;VLOOKUP(B55,'0. Instruções'!$C$27:$G$31,4,FALSE)&amp;", "&amp;F55&amp;" FROM "&amp;D55&amp;" WHERE "&amp;'0. Instruções'!$D$40&amp;")X"</f>
        <v>(SELECT entty_id, FLG_EXCLDD_EU_PRS_ALGND_BNCHMRK FROM BU_LOANTAPE_WORK.LT003_ENTITY WHERE ref_date='${ref_date}' AND nome_perimetro='Individual Corporativo' AND segmento='ESTR' AND ambito='PILAR3')X</v>
      </c>
      <c r="J55" s="41" t="str">
        <f>"(SELECT "&amp;VLOOKUP(B55,'0. Instruções'!$C$27:$G$31,4,FALSE)&amp;" AS "&amp;VLOOKUP(B55,'0. Instruções'!$C$27:$G$31,4,FALSE)&amp;"_SIMUL, "&amp;F55&amp;" AS "&amp;F55&amp;"_SIMUL FROM "&amp;E55&amp;")Y"</f>
        <v>(SELECT entty_id AS entty_id_SIMUL, FLG_EXCLDD_EU_PRS_ALGND_BNCHMRK AS FLG_EXCLDD_EU_PRS_ALGND_BNCHMRK_SIMUL FROM BU_LOANTAPE_WORK.LT003_ENTTY_P3_NOV24)Y</v>
      </c>
      <c r="K55" s="42" t="str">
        <f>+UPPER("ON X."&amp;VLOOKUP(B55,'0. Instruções'!$C$27:$G$31,4,FALSE)&amp;"=Y."&amp;VLOOKUP(B55,'0. Instruções'!$C$27:$G$31,4,FALSE)&amp;"_SIMUL")</f>
        <v>ON X.ENTTY_ID=Y.ENTTY_ID_SIMUL</v>
      </c>
      <c r="L55" s="42" t="str">
        <f>+IF(C55="Coerência", +IF(LEFT(G55,5)="FLOAT","SELECT '"&amp;UPPER(B55)&amp;"' AS TABELA, '"&amp;UPPER(C55)&amp;"' AS TIPOLOGIA_TESTE,'"&amp;D55&amp;"' AS TABELA_LT,'"&amp;E55&amp;"' AS TABELA_SIMUL,'"&amp;F55&amp;"' AS CAMPO, "&amp;"'${ref_date}' AS REF_DATE, COUNT(*) AS NUM_REG, SUM(IF((ABS(COALESCE(X."&amp;F55&amp;",0)-COALESCE(Y."&amp;F55&amp;"_SIMUL,0))&gt;0.0000000001) OR (X."&amp;F55&amp;" IS NULL AND Y."&amp;F55&amp;"_SIMUL IS NOT NULL ) OR (X."&amp;F55&amp;" IS NOT NULL AND Y."&amp;F55&amp;"_SIMUL IS NULL),1,0)) AS NUM_REG_DIF,'"&amp;MAX('ID1&amp;5'!K:K)+1&amp;"' AS ID_EXEC, CURRENT_TIMESTAMP() AS TIME_EXEC FROM "&amp;I55&amp;" INNER JOIN "&amp;J55&amp;" "&amp;K55,"SELECT '"&amp;UPPER(B55)&amp;"' AS TABELA, '"&amp;UPPER(C55)&amp;"' AS TIPOLOGIA_TESTE,'"&amp;D55&amp;"' AS TABELA_LT,'"&amp;E55&amp;"' AS TABELA_SIMUL,'"&amp;F55&amp;"' AS CAMPO, "&amp;"'${ref_date}' AS REF_DATE, COUNT(*) AS NUM_REG, SUM(IF(COALESCE(CAST(X."&amp;F55&amp;" AS STRING),'')&lt;&gt;COALESCE(CAST(Y."&amp;F55&amp;"_SIMUL AS STRING),''),1,0)) AS NUM_REG_DIF,'"&amp;MAX('ID1&amp;5'!L:L)+1&amp;"' AS ID_EXEC, CURRENT_TIMESTAMP() AS TIME_EXEC FROM "&amp;I55&amp;" INNER JOIN "&amp;J55&amp;" "&amp;K55),
IF(C55="Validade",+IF(G55="Code List","SELECT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 OR CAST(X."&amp;F55&amp;" AS STRING) NOT "&amp;H55&amp;",1,0)) AS NUM_REG_DIF,'"&amp;MAX('ID1&amp;5'!K:K)+1&amp;"' AS ID_EXEC, CURRENT_TIMESTAMP() AS TIME_EXEC FROM "&amp;I55,"SELECT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NULL,1,0)) AS NUM_REG_DIF,'"&amp;MAX('ID1&amp;5'!K:K)+1&amp;"' AS ID_EXEC, CURRENT_TIMESTAMP() AS TIME_EXEC FROM "&amp;I55),
IF(C55="Caracteres Especiais",+"SELECT '"&amp;UPPER(B55)&amp;"' AS TABELA, '"&amp;UPPER(C55)&amp;"' AS TIPOLOGIA_TESTE,'"&amp;D55&amp;"' AS TABELA_LT,'N/A' AS TABELA_SIMUL,'"&amp;F55&amp;"' AS CAMPO, "&amp;"'${ref_date}' AS REF_DATE, COUNT(*) AS NUM_REG, SUM(IF(INSTR(CAST(X."&amp;F55&amp;" AS STRING),'#')&gt;0 OR INSTR(CAST(X."&amp;F55&amp;" AS STRING),'*')&gt;0 OR INSTR(CAST(X."&amp;F55&amp;" AS STRING),'`')&gt;0 OR INSTR(CAST(X."&amp;F55&amp;" AS STRING),'´')&gt;0 OR INSTR(CAST(X."&amp;F55&amp;" AS STRING),'{')&gt;0 OR INSTR(CAST(X."&amp;F55&amp;" AS STRING),'}')&gt;0 OR INSTR(CAST(X."&amp;F55&amp;" AS STRING),'[')&gt;0 OR INSTR(CAST(X."&amp;F55&amp;" AS STRING),'')&gt;0 OR INSTR(CAST(X."&amp;F55&amp;" AS STRING),']')&gt;0 OR INSTR(CAST(X."&amp;F55&amp;" AS STRING),'?')&gt;0 OR INSTR(CAST(X."&amp;F55&amp;" AS STRING),'!')&gt;0 OR INSTR(CAST(X."&amp;F55&amp;" AS STRING),'$')&gt;0 OR INSTR(CAST(X."&amp;F55&amp;" AS STRING),'%')&gt;0 OR INSTR(CAST(X."&amp;F55&amp;" AS STRING),'&amp;')&gt;0 OR INSTR(CAST(X."&amp;F55&amp;" AS STRING),'+')&gt;0,1,0)) AS NUM_REG_DIF,'"&amp;MAX('ID1&amp;5'!K:K)+1&amp;"' AS ID_EXEC, CURRENT_TIMESTAMP() AS TIME_EXEC FROM "&amp;I55,
IF(C55="Missings",+"SELECT '"&amp;UPPER(B55)&amp;"' AS TABELA, '"&amp;UPPER(C55)&amp;"' AS TIPOLOGIA_TESTE,'"&amp;D55&amp;"' AS TABELA_LT,'N/A' AS TABELA_SIMUL,'"&amp;F55&amp;"' AS CAMPO, "&amp;"'${ref_date}' AS REF_DATE, COUNT(*) AS NUM_REG, SUM(IF(TRIM(CAST(X."&amp;F55&amp;" AS STRING)) IN ('0000-00-00','0001-01-01','9999-12-31','MISS','00000','99999999999','99999999999.00','99999999999.000000'),1,0)) AS NUM_REG_DIF,'"&amp;MAX('ID1&amp;5'!K:K)+1&amp;"' AS ID_EXEC, CURRENT_TIMESTAMP() AS TIME_EXEC FROM "&amp;I55,
IF(C55="Not applicable",+"SELECT '"&amp;UPPER(B55)&amp;"' AS TABELA, '"&amp;UPPER(C55)&amp;"' AS TIPOLOGIA_TESTE,'"&amp;D55&amp;"' AS TABELA_LT,'N/A' AS TABELA_SIMUL,'"&amp;F55&amp;"' AS CAMPO, "&amp;"'${ref_date}' AS REF_DATE, COUNT(*) AS NUM_REG, SUM(IF(TRIM(CAST(X."&amp;F55&amp;" AS STRING)) IN ('N/A','11111111111','11111111111.00','11111111111.000000','1111-11-11'),1,0)) AS NUM_REG_DIF,'"&amp;MAX('ID1&amp;5'!K:K)+1&amp;"' AS ID_EXEC, CURRENT_TIMESTAMP() AS TIME_EXEC FROM "&amp;I55,
IF(C55="Valores extremos",+"SELECT '"&amp;UPPER(B55)&amp;"' AS TABELA, '"&amp;UPPER(C55)&amp;"' AS TIPOLOGIA_TESTE,'"&amp;D55&amp;"' AS TABELA_LT,'N/A' AS TABELA_SIMUL,'"&amp;F55&amp;"' AS CAMPO, "&amp;"'${ref_date}' AS REF_DATE, CAST(MIN("&amp;F55&amp;") AS STRING) AS VALOR_MIN, CAST(MAX("&amp;F55&amp;") AS STRING) AS VALOR_MAX,'"&amp;MAX('ID1&amp;5'!K:K)+1&amp;"' AS ID_EXEC, CURRENT_TIMESTAMP() AS TIME_EXEC FROM "&amp;MID(I55,1,LEN(I55)-2)&amp;" AND CAST("&amp;F55&amp;"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TABELA_SIMUL,'FLG_EXCLDD_EU_PRS_ALGND_BNCHMRK' AS CAMPO, '${ref_date}' AS REF_DATE, COUNT(*) AS NUM_REG, SUM(IF(COALESCE(CAST(X.FLG_EXCLDD_EU_PRS_ALGND_BNCHMRK AS STRING),'')&lt;&gt;COALESCE(CAST(Y.FLG_EXCLDD_EU_PRS_ALGND_BNCHMRK_SIMUL AS STRING),''),1,0)) AS NUM_REG_DIF,'1' AS ID_EXEC, CURRENT_TIMESTAMP() AS TIME_EXEC FROM (SELECT entty_id, FLG_EXCLDD_EU_PRS_ALGND_BNCHMRK FROM BU_LOANTAPE_WORK.LT003_ENTITY WHERE ref_date='${ref_date}' AND nome_perimetro='Individual Corporativo' AND segmento='ESTR' AND ambito='PILAR3')X INNER JOIN (SELECT entty_id AS entty_id_SIMUL, FLG_EXCLDD_EU_PRS_ALGND_BNCHMRK AS FLG_EXCLDD_EU_PRS_ALGND_BNCHMRK_SIMUL FROM BU_LOANTAPE_WORK.LT003_ENTTY_P3_NOV24)Y ON X.ENTTY_ID=Y.ENTTY_ID_SIMUL</v>
      </c>
      <c r="M55" s="43" t="str">
        <f t="shared" si="0"/>
        <v>UNION ALL SELECT 'ENTITY' AS TABELA, 'COERÊNCIA' AS TIPOLOGIA_TESTE,'BU_LOANTAPE_WORK.LT003_ENTITY' AS TABELA_LT,'BU_LOANTAPE_WORK.LT003_ENTTY_P3_NOV24' AS TABELA_SIMUL,'FLG_EXCLDD_EU_PRS_ALGND_BNCHMRK' AS CAMPO, '${ref_date}' AS REF_DATE, COUNT(*) AS NUM_REG, SUM(IF(COALESCE(CAST(X.FLG_EXCLDD_EU_PRS_ALGND_BNCHMRK AS STRING),'')&lt;&gt;COALESCE(CAST(Y.FLG_EXCLDD_EU_PRS_ALGND_BNCHMRK_SIMUL AS STRING),''),1,0)) AS NUM_REG_DIF,'1' AS ID_EXEC, CURRENT_TIMESTAMP() AS TIME_EXEC FROM (SELECT entty_id, FLG_EXCLDD_EU_PRS_ALGND_BNCHMRK FROM BU_LOANTAPE_WORK.LT003_ENTITY WHERE ref_date='${ref_date}' AND nome_perimetro='Individual Corporativo' AND segmento='ESTR' AND ambito='PILAR3')X INNER JOIN (SELECT entty_id AS entty_id_SIMUL, FLG_EXCLDD_EU_PRS_ALGND_BNCHMRK AS FLG_EXCLDD_EU_PRS_ALGND_BNCHMRK_SIMUL FROM BU_LOANTAPE_WORK.LT003_ENTTY_P3_NOV24)Y ON X.ENTTY_ID=Y.ENTTY_ID_SIMUL</v>
      </c>
      <c r="N55" s="45" t="s">
        <v>13</v>
      </c>
    </row>
    <row r="56" spans="2:14">
      <c r="B56" s="41" t="s">
        <v>23</v>
      </c>
      <c r="C56" s="41" t="s">
        <v>74</v>
      </c>
      <c r="D56" s="41" t="str">
        <f>+UPPER('0. Instruções'!$D$33&amp;"."&amp;VLOOKUP(B56,'0. Instruções'!$C$27:$D$31,2,FALSE))</f>
        <v>BU_LOANTAPE_WORK.LT003_ENTITY</v>
      </c>
      <c r="E56" s="41" t="str">
        <f>+UPPER('0. Instruções'!$D$34&amp;"."&amp;VLOOKUP(B56,'0. Instruções'!$C$27:$E$31,3,FALSE))</f>
        <v>BU_LOANTAPE_WORK.LT003_ENTTY_P3_NOV24</v>
      </c>
      <c r="F56" s="41" t="s">
        <v>121</v>
      </c>
      <c r="G56" s="41" t="s">
        <v>211</v>
      </c>
      <c r="H56" s="41"/>
      <c r="I56" s="41" t="str">
        <f>"(SELECT "&amp;VLOOKUP(B56,'0. Instruções'!$C$27:$G$31,4,FALSE)&amp;", "&amp;F56&amp;" FROM "&amp;D56&amp;" WHERE "&amp;'0. Instruções'!$D$40&amp;")X"</f>
        <v>(SELECT entty_id, FLG_ACT_PHYSCL_RSK FROM BU_LOANTAPE_WORK.LT003_ENTITY WHERE ref_date='${ref_date}' AND nome_perimetro='Individual Corporativo' AND segmento='ESTR' AND ambito='PILAR3')X</v>
      </c>
      <c r="J56" s="41" t="str">
        <f>"(SELECT "&amp;VLOOKUP(B56,'0. Instruções'!$C$27:$G$31,4,FALSE)&amp;" AS "&amp;VLOOKUP(B56,'0. Instruções'!$C$27:$G$31,4,FALSE)&amp;"_SIMUL, "&amp;F56&amp;" AS "&amp;F56&amp;"_SIMUL FROM "&amp;E56&amp;")Y"</f>
        <v>(SELECT entty_id AS entty_id_SIMUL, FLG_ACT_PHYSCL_RSK AS FLG_ACT_PHYSCL_RSK_SIMUL FROM BU_LOANTAPE_WORK.LT003_ENTTY_P3_NOV24)Y</v>
      </c>
      <c r="K56" s="42" t="str">
        <f>+UPPER("ON X."&amp;VLOOKUP(B56,'0. Instruções'!$C$27:$G$31,4,FALSE)&amp;"=Y."&amp;VLOOKUP(B56,'0. Instruções'!$C$27:$G$31,4,FALSE)&amp;"_SIMUL")</f>
        <v>ON X.ENTTY_ID=Y.ENTTY_ID_SIMUL</v>
      </c>
      <c r="L56" s="42" t="str">
        <f>+IF(C56="Coerência", +IF(LEFT(G56,5)="FLOAT","SELECT '"&amp;UPPER(B56)&amp;"' AS TABELA, '"&amp;UPPER(C56)&amp;"' AS TIPOLOGIA_TESTE,'"&amp;D56&amp;"' AS TABELA_LT,'"&amp;E56&amp;"' AS TABELA_SIMUL,'"&amp;F56&amp;"' AS CAMPO, "&amp;"'${ref_date}' AS REF_DATE, COUNT(*) AS NUM_REG, SUM(IF((ABS(COALESCE(X."&amp;F56&amp;",0)-COALESCE(Y."&amp;F56&amp;"_SIMUL,0))&gt;0.0000000001) OR (X."&amp;F56&amp;" IS NULL AND Y."&amp;F56&amp;"_SIMUL IS NOT NULL ) OR (X."&amp;F56&amp;" IS NOT NULL AND Y."&amp;F56&amp;"_SIMUL IS NULL),1,0)) AS NUM_REG_DIF,'"&amp;MAX('ID1&amp;5'!K:K)+1&amp;"' AS ID_EXEC, CURRENT_TIMESTAMP() AS TIME_EXEC FROM "&amp;I56&amp;" INNER JOIN "&amp;J56&amp;" "&amp;K56,"SELECT '"&amp;UPPER(B56)&amp;"' AS TABELA, '"&amp;UPPER(C56)&amp;"' AS TIPOLOGIA_TESTE,'"&amp;D56&amp;"' AS TABELA_LT,'"&amp;E56&amp;"' AS TABELA_SIMUL,'"&amp;F56&amp;"' AS CAMPO, "&amp;"'${ref_date}' AS REF_DATE, COUNT(*) AS NUM_REG, SUM(IF(COALESCE(CAST(X."&amp;F56&amp;" AS STRING),'')&lt;&gt;COALESCE(CAST(Y."&amp;F56&amp;"_SIMUL AS STRING),''),1,0)) AS NUM_REG_DIF,'"&amp;MAX('ID1&amp;5'!L:L)+1&amp;"' AS ID_EXEC, CURRENT_TIMESTAMP() AS TIME_EXEC FROM "&amp;I56&amp;" INNER JOIN "&amp;J56&amp;" "&amp;K56),
IF(C56="Validade",+IF(G56="Code List","SELECT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 OR CAST(X."&amp;F56&amp;" AS STRING) NOT "&amp;H56&amp;",1,0)) AS NUM_REG_DIF,'"&amp;MAX('ID1&amp;5'!K:K)+1&amp;"' AS ID_EXEC, CURRENT_TIMESTAMP() AS TIME_EXEC FROM "&amp;I56,"SELECT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NULL,1,0)) AS NUM_REG_DIF,'"&amp;MAX('ID1&amp;5'!K:K)+1&amp;"' AS ID_EXEC, CURRENT_TIMESTAMP() AS TIME_EXEC FROM "&amp;I56),
IF(C56="Caracteres Especiais",+"SELECT '"&amp;UPPER(B56)&amp;"' AS TABELA, '"&amp;UPPER(C56)&amp;"' AS TIPOLOGIA_TESTE,'"&amp;D56&amp;"' AS TABELA_LT,'N/A' AS TABELA_SIMUL,'"&amp;F56&amp;"' AS CAMPO, "&amp;"'${ref_date}' AS REF_DATE, COUNT(*) AS NUM_REG, SUM(IF(INSTR(CAST(X."&amp;F56&amp;" AS STRING),'#')&gt;0 OR INSTR(CAST(X."&amp;F56&amp;" AS STRING),'*')&gt;0 OR INSTR(CAST(X."&amp;F56&amp;" AS STRING),'`')&gt;0 OR INSTR(CAST(X."&amp;F56&amp;" AS STRING),'´')&gt;0 OR INSTR(CAST(X."&amp;F56&amp;" AS STRING),'{')&gt;0 OR INSTR(CAST(X."&amp;F56&amp;" AS STRING),'}')&gt;0 OR INSTR(CAST(X."&amp;F56&amp;" AS STRING),'[')&gt;0 OR INSTR(CAST(X."&amp;F56&amp;" AS STRING),'')&gt;0 OR INSTR(CAST(X."&amp;F56&amp;" AS STRING),']')&gt;0 OR INSTR(CAST(X."&amp;F56&amp;" AS STRING),'?')&gt;0 OR INSTR(CAST(X."&amp;F56&amp;" AS STRING),'!')&gt;0 OR INSTR(CAST(X."&amp;F56&amp;" AS STRING),'$')&gt;0 OR INSTR(CAST(X."&amp;F56&amp;" AS STRING),'%')&gt;0 OR INSTR(CAST(X."&amp;F56&amp;" AS STRING),'&amp;')&gt;0 OR INSTR(CAST(X."&amp;F56&amp;" AS STRING),'+')&gt;0,1,0)) AS NUM_REG_DIF,'"&amp;MAX('ID1&amp;5'!K:K)+1&amp;"' AS ID_EXEC, CURRENT_TIMESTAMP() AS TIME_EXEC FROM "&amp;I56,
IF(C56="Missings",+"SELECT '"&amp;UPPER(B56)&amp;"' AS TABELA, '"&amp;UPPER(C56)&amp;"' AS TIPOLOGIA_TESTE,'"&amp;D56&amp;"' AS TABELA_LT,'N/A' AS TABELA_SIMUL,'"&amp;F56&amp;"' AS CAMPO, "&amp;"'${ref_date}' AS REF_DATE, COUNT(*) AS NUM_REG, SUM(IF(TRIM(CAST(X."&amp;F56&amp;" AS STRING)) IN ('0000-00-00','0001-01-01','9999-12-31','MISS','00000','99999999999','99999999999.00','99999999999.000000'),1,0)) AS NUM_REG_DIF,'"&amp;MAX('ID1&amp;5'!K:K)+1&amp;"' AS ID_EXEC, CURRENT_TIMESTAMP() AS TIME_EXEC FROM "&amp;I56,
IF(C56="Not applicable",+"SELECT '"&amp;UPPER(B56)&amp;"' AS TABELA, '"&amp;UPPER(C56)&amp;"' AS TIPOLOGIA_TESTE,'"&amp;D56&amp;"' AS TABELA_LT,'N/A' AS TABELA_SIMUL,'"&amp;F56&amp;"' AS CAMPO, "&amp;"'${ref_date}' AS REF_DATE, COUNT(*) AS NUM_REG, SUM(IF(TRIM(CAST(X."&amp;F56&amp;" AS STRING)) IN ('N/A','11111111111','11111111111.00','11111111111.000000','1111-11-11'),1,0)) AS NUM_REG_DIF,'"&amp;MAX('ID1&amp;5'!K:K)+1&amp;"' AS ID_EXEC, CURRENT_TIMESTAMP() AS TIME_EXEC FROM "&amp;I56,
IF(C56="Valores extremos",+"SELECT '"&amp;UPPER(B56)&amp;"' AS TABELA, '"&amp;UPPER(C56)&amp;"' AS TIPOLOGIA_TESTE,'"&amp;D56&amp;"' AS TABELA_LT,'N/A' AS TABELA_SIMUL,'"&amp;F56&amp;"' AS CAMPO, "&amp;"'${ref_date}' AS REF_DATE, CAST(MIN("&amp;F56&amp;") AS STRING) AS VALOR_MIN, CAST(MAX("&amp;F56&amp;") AS STRING) AS VALOR_MAX,'"&amp;MAX('ID1&amp;5'!K:K)+1&amp;"' AS ID_EXEC, CURRENT_TIMESTAMP() AS TIME_EXEC FROM "&amp;MID(I56,1,LEN(I56)-2)&amp;" AND CAST("&amp;F56&amp;"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TABELA_SIMUL,'FLG_ACT_PHYSCL_RSK' AS CAMPO, '${ref_date}' AS REF_DATE, COUNT(*) AS NUM_REG, SUM(IF(COALESCE(CAST(X.FLG_ACT_PHYSCL_RSK AS STRING),'')&lt;&gt;COALESCE(CAST(Y.FLG_ACT_PHYSCL_RSK_SIMUL AS STRING),''),1,0)) AS NUM_REG_DIF,'1' AS ID_EXEC, CURRENT_TIMESTAMP() AS TIME_EXEC FROM (SELECT entty_id, FLG_ACT_PHYSCL_RSK FROM BU_LOANTAPE_WORK.LT003_ENTITY WHERE ref_date='${ref_date}' AND nome_perimetro='Individual Corporativo' AND segmento='ESTR' AND ambito='PILAR3')X INNER JOIN (SELECT entty_id AS entty_id_SIMUL, FLG_ACT_PHYSCL_RSK AS FLG_ACT_PHYSCL_RSK_SIMUL FROM BU_LOANTAPE_WORK.LT003_ENTTY_P3_NOV24)Y ON X.ENTTY_ID=Y.ENTTY_ID_SIMUL</v>
      </c>
      <c r="M56" s="43" t="str">
        <f t="shared" si="0"/>
        <v>UNION ALL SELECT 'ENTITY' AS TABELA, 'COERÊNCIA' AS TIPOLOGIA_TESTE,'BU_LOANTAPE_WORK.LT003_ENTITY' AS TABELA_LT,'BU_LOANTAPE_WORK.LT003_ENTTY_P3_NOV24' AS TABELA_SIMUL,'FLG_ACT_PHYSCL_RSK' AS CAMPO, '${ref_date}' AS REF_DATE, COUNT(*) AS NUM_REG, SUM(IF(COALESCE(CAST(X.FLG_ACT_PHYSCL_RSK AS STRING),'')&lt;&gt;COALESCE(CAST(Y.FLG_ACT_PHYSCL_RSK_SIMUL AS STRING),''),1,0)) AS NUM_REG_DIF,'1' AS ID_EXEC, CURRENT_TIMESTAMP() AS TIME_EXEC FROM (SELECT entty_id, FLG_ACT_PHYSCL_RSK FROM BU_LOANTAPE_WORK.LT003_ENTITY WHERE ref_date='${ref_date}' AND nome_perimetro='Individual Corporativo' AND segmento='ESTR' AND ambito='PILAR3')X INNER JOIN (SELECT entty_id AS entty_id_SIMUL, FLG_ACT_PHYSCL_RSK AS FLG_ACT_PHYSCL_RSK_SIMUL FROM BU_LOANTAPE_WORK.LT003_ENTTY_P3_NOV24)Y ON X.ENTTY_ID=Y.ENTTY_ID_SIMUL</v>
      </c>
      <c r="N56" s="45" t="s">
        <v>13</v>
      </c>
    </row>
    <row r="57" spans="2:14">
      <c r="B57" s="41" t="s">
        <v>23</v>
      </c>
      <c r="C57" s="41" t="s">
        <v>74</v>
      </c>
      <c r="D57" s="41" t="str">
        <f>+UPPER('0. Instruções'!$D$33&amp;"."&amp;VLOOKUP(B57,'0. Instruções'!$C$27:$D$31,2,FALSE))</f>
        <v>BU_LOANTAPE_WORK.LT003_ENTITY</v>
      </c>
      <c r="E57" s="41" t="str">
        <f>+UPPER('0. Instruções'!$D$34&amp;"."&amp;VLOOKUP(B57,'0. Instruções'!$C$27:$E$31,3,FALSE))</f>
        <v>BU_LOANTAPE_WORK.LT003_ENTTY_P3_NOV24</v>
      </c>
      <c r="F57" s="41" t="s">
        <v>122</v>
      </c>
      <c r="G57" s="41" t="s">
        <v>211</v>
      </c>
      <c r="H57" s="41"/>
      <c r="I57" s="41" t="str">
        <f>"(SELECT "&amp;VLOOKUP(B57,'0. Instruções'!$C$27:$G$31,4,FALSE)&amp;", "&amp;F57&amp;" FROM "&amp;D57&amp;" WHERE "&amp;'0. Instruções'!$D$40&amp;")X"</f>
        <v>(SELECT entty_id, FLG_CHRNC_PHYSCL_RSK FROM BU_LOANTAPE_WORK.LT003_ENTITY WHERE ref_date='${ref_date}' AND nome_perimetro='Individual Corporativo' AND segmento='ESTR' AND ambito='PILAR3')X</v>
      </c>
      <c r="J57" s="41" t="str">
        <f>"(SELECT "&amp;VLOOKUP(B57,'0. Instruções'!$C$27:$G$31,4,FALSE)&amp;" AS "&amp;VLOOKUP(B57,'0. Instruções'!$C$27:$G$31,4,FALSE)&amp;"_SIMUL, "&amp;F57&amp;" AS "&amp;F57&amp;"_SIMUL FROM "&amp;E57&amp;")Y"</f>
        <v>(SELECT entty_id AS entty_id_SIMUL, FLG_CHRNC_PHYSCL_RSK AS FLG_CHRNC_PHYSCL_RSK_SIMUL FROM BU_LOANTAPE_WORK.LT003_ENTTY_P3_NOV24)Y</v>
      </c>
      <c r="K57" s="42" t="str">
        <f>+UPPER("ON X."&amp;VLOOKUP(B57,'0. Instruções'!$C$27:$G$31,4,FALSE)&amp;"=Y."&amp;VLOOKUP(B57,'0. Instruções'!$C$27:$G$31,4,FALSE)&amp;"_SIMUL")</f>
        <v>ON X.ENTTY_ID=Y.ENTTY_ID_SIMUL</v>
      </c>
      <c r="L57" s="42" t="str">
        <f>+IF(C57="Coerência", +IF(LEFT(G57,5)="FLOAT","SELECT '"&amp;UPPER(B57)&amp;"' AS TABELA, '"&amp;UPPER(C57)&amp;"' AS TIPOLOGIA_TESTE,'"&amp;D57&amp;"' AS TABELA_LT,'"&amp;E57&amp;"' AS TABELA_SIMUL,'"&amp;F57&amp;"' AS CAMPO, "&amp;"'${ref_date}' AS REF_DATE, COUNT(*) AS NUM_REG, SUM(IF((ABS(COALESCE(X."&amp;F57&amp;",0)-COALESCE(Y."&amp;F57&amp;"_SIMUL,0))&gt;0.0000000001) OR (X."&amp;F57&amp;" IS NULL AND Y."&amp;F57&amp;"_SIMUL IS NOT NULL ) OR (X."&amp;F57&amp;" IS NOT NULL AND Y."&amp;F57&amp;"_SIMUL IS NULL),1,0)) AS NUM_REG_DIF,'"&amp;MAX('ID1&amp;5'!K:K)+1&amp;"' AS ID_EXEC, CURRENT_TIMESTAMP() AS TIME_EXEC FROM "&amp;I57&amp;" INNER JOIN "&amp;J57&amp;" "&amp;K57,"SELECT '"&amp;UPPER(B57)&amp;"' AS TABELA, '"&amp;UPPER(C57)&amp;"' AS TIPOLOGIA_TESTE,'"&amp;D57&amp;"' AS TABELA_LT,'"&amp;E57&amp;"' AS TABELA_SIMUL,'"&amp;F57&amp;"' AS CAMPO, "&amp;"'${ref_date}' AS REF_DATE, COUNT(*) AS NUM_REG, SUM(IF(COALESCE(CAST(X."&amp;F57&amp;" AS STRING),'')&lt;&gt;COALESCE(CAST(Y."&amp;F57&amp;"_SIMUL AS STRING),''),1,0)) AS NUM_REG_DIF,'"&amp;MAX('ID1&amp;5'!L:L)+1&amp;"' AS ID_EXEC, CURRENT_TIMESTAMP() AS TIME_EXEC FROM "&amp;I57&amp;" INNER JOIN "&amp;J57&amp;" "&amp;K57),
IF(C57="Validade",+IF(G57="Code List","SELECT '"&amp;UPPER(B57)&amp;"' AS TABELA, '"&amp;UPPER(C57)&amp;"' AS TIPOLOGIA_TESTE,'"&amp;D57&amp;"' AS TABELA_LT,'N/A' AS TABELA_SIMUL,'"&amp;F57&amp;"' AS CAMPO, "&amp;"'${ref_date}' AS REF_DATE, COUNT(*) AS NUM_REG, SUM(IF(TRIM(CAST(X."&amp;F57&amp;" AS STRING))='' OR TRIM(CAST(X."&amp;F57&amp;" AS STRING)) IS NULL OR CAST(X."&amp;F57&amp;" AS STRING) NOT "&amp;H57&amp;",1,0)) AS NUM_REG_DIF,'"&amp;MAX('ID1&amp;5'!K:K)+1&amp;"' AS ID_EXEC, CURRENT_TIMESTAMP() AS TIME_EXEC FROM "&amp;I57,"SELECT '"&amp;UPPER(B57)&amp;"' AS TABELA, '"&amp;UPPER(C57)&amp;"' AS TIPOLOGIA_TESTE,'"&amp;D57&amp;"' AS TABELA_LT,'N/A' AS TABELA_SIMUL,'"&amp;F57&amp;"' AS CAMPO, "&amp;"'${ref_date}' AS REF_DATE, COUNT(*) AS NUM_REG, SUM(IF(TRIM(CAST(X."&amp;F57&amp;" AS STRING))='' OR TRIM(CAST(X."&amp;F57&amp;" AS STRING)) IS NULL,1,0)) AS NUM_REG_DIF,'"&amp;MAX('ID1&amp;5'!K:K)+1&amp;"' AS ID_EXEC, CURRENT_TIMESTAMP() AS TIME_EXEC FROM "&amp;I57),
IF(C57="Caracteres Especiais",+"SELECT '"&amp;UPPER(B57)&amp;"' AS TABELA, '"&amp;UPPER(C57)&amp;"' AS TIPOLOGIA_TESTE,'"&amp;D57&amp;"' AS TABELA_LT,'N/A' AS TABELA_SIMUL,'"&amp;F57&amp;"' AS CAMPO, "&amp;"'${ref_date}' AS REF_DATE, COUNT(*) AS NUM_REG, SUM(IF(INSTR(CAST(X."&amp;F57&amp;" AS STRING),'#')&gt;0 OR INSTR(CAST(X."&amp;F57&amp;" AS STRING),'*')&gt;0 OR INSTR(CAST(X."&amp;F57&amp;" AS STRING),'`')&gt;0 OR INSTR(CAST(X."&amp;F57&amp;" AS STRING),'´')&gt;0 OR INSTR(CAST(X."&amp;F57&amp;" AS STRING),'{')&gt;0 OR INSTR(CAST(X."&amp;F57&amp;" AS STRING),'}')&gt;0 OR INSTR(CAST(X."&amp;F57&amp;" AS STRING),'[')&gt;0 OR INSTR(CAST(X."&amp;F57&amp;" AS STRING),'')&gt;0 OR INSTR(CAST(X."&amp;F57&amp;" AS STRING),']')&gt;0 OR INSTR(CAST(X."&amp;F57&amp;" AS STRING),'?')&gt;0 OR INSTR(CAST(X."&amp;F57&amp;" AS STRING),'!')&gt;0 OR INSTR(CAST(X."&amp;F57&amp;" AS STRING),'$')&gt;0 OR INSTR(CAST(X."&amp;F57&amp;" AS STRING),'%')&gt;0 OR INSTR(CAST(X."&amp;F57&amp;" AS STRING),'&amp;')&gt;0 OR INSTR(CAST(X."&amp;F57&amp;" AS STRING),'+')&gt;0,1,0)) AS NUM_REG_DIF,'"&amp;MAX('ID1&amp;5'!K:K)+1&amp;"' AS ID_EXEC, CURRENT_TIMESTAMP() AS TIME_EXEC FROM "&amp;I57,
IF(C57="Missings",+"SELECT '"&amp;UPPER(B57)&amp;"' AS TABELA, '"&amp;UPPER(C57)&amp;"' AS TIPOLOGIA_TESTE,'"&amp;D57&amp;"' AS TABELA_LT,'N/A' AS TABELA_SIMUL,'"&amp;F57&amp;"' AS CAMPO, "&amp;"'${ref_date}' AS REF_DATE, COUNT(*) AS NUM_REG, SUM(IF(TRIM(CAST(X."&amp;F57&amp;" AS STRING)) IN ('0000-00-00','0001-01-01','9999-12-31','MISS','00000','99999999999','99999999999.00','99999999999.000000'),1,0)) AS NUM_REG_DIF,'"&amp;MAX('ID1&amp;5'!K:K)+1&amp;"' AS ID_EXEC, CURRENT_TIMESTAMP() AS TIME_EXEC FROM "&amp;I57,
IF(C57="Not applicable",+"SELECT '"&amp;UPPER(B57)&amp;"' AS TABELA, '"&amp;UPPER(C57)&amp;"' AS TIPOLOGIA_TESTE,'"&amp;D57&amp;"' AS TABELA_LT,'N/A' AS TABELA_SIMUL,'"&amp;F57&amp;"' AS CAMPO, "&amp;"'${ref_date}' AS REF_DATE, COUNT(*) AS NUM_REG, SUM(IF(TRIM(CAST(X."&amp;F57&amp;" AS STRING)) IN ('N/A','11111111111','11111111111.00','11111111111.000000','1111-11-11'),1,0)) AS NUM_REG_DIF,'"&amp;MAX('ID1&amp;5'!K:K)+1&amp;"' AS ID_EXEC, CURRENT_TIMESTAMP() AS TIME_EXEC FROM "&amp;I57,
IF(C57="Valores extremos",+"SELECT '"&amp;UPPER(B57)&amp;"' AS TABELA, '"&amp;UPPER(C57)&amp;"' AS TIPOLOGIA_TESTE,'"&amp;D57&amp;"' AS TABELA_LT,'N/A' AS TABELA_SIMUL,'"&amp;F57&amp;"' AS CAMPO, "&amp;"'${ref_date}' AS REF_DATE, CAST(MIN("&amp;F57&amp;") AS STRING) AS VALOR_MIN, CAST(MAX("&amp;F57&amp;") AS STRING) AS VALOR_MAX,'"&amp;MAX('ID1&amp;5'!K:K)+1&amp;"' AS ID_EXEC, CURRENT_TIMESTAMP() AS TIME_EXEC FROM "&amp;MID(I57,1,LEN(I57)-2)&amp;" AND CAST("&amp;F57&amp;"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TABELA_SIMUL,'FLG_CHRNC_PHYSCL_RSK' AS CAMPO, '${ref_date}' AS REF_DATE, COUNT(*) AS NUM_REG, SUM(IF(COALESCE(CAST(X.FLG_CHRNC_PHYSCL_RSK AS STRING),'')&lt;&gt;COALESCE(CAST(Y.FLG_CHRNC_PHYSCL_RSK_SIMUL AS STRING),''),1,0)) AS NUM_REG_DIF,'1' AS ID_EXEC, CURRENT_TIMESTAMP() AS TIME_EXEC FROM (SELECT entty_id, FLG_CHRNC_PHYSCL_RSK FROM BU_LOANTAPE_WORK.LT003_ENTITY WHERE ref_date='${ref_date}' AND nome_perimetro='Individual Corporativo' AND segmento='ESTR' AND ambito='PILAR3')X INNER JOIN (SELECT entty_id AS entty_id_SIMUL, FLG_CHRNC_PHYSCL_RSK AS FLG_CHRNC_PHYSCL_RSK_SIMUL FROM BU_LOANTAPE_WORK.LT003_ENTTY_P3_NOV24)Y ON X.ENTTY_ID=Y.ENTTY_ID_SIMUL</v>
      </c>
      <c r="M57" s="43" t="str">
        <f t="shared" si="0"/>
        <v>UNION ALL SELECT 'ENTITY' AS TABELA, 'COERÊNCIA' AS TIPOLOGIA_TESTE,'BU_LOANTAPE_WORK.LT003_ENTITY' AS TABELA_LT,'BU_LOANTAPE_WORK.LT003_ENTTY_P3_NOV24' AS TABELA_SIMUL,'FLG_CHRNC_PHYSCL_RSK' AS CAMPO, '${ref_date}' AS REF_DATE, COUNT(*) AS NUM_REG, SUM(IF(COALESCE(CAST(X.FLG_CHRNC_PHYSCL_RSK AS STRING),'')&lt;&gt;COALESCE(CAST(Y.FLG_CHRNC_PHYSCL_RSK_SIMUL AS STRING),''),1,0)) AS NUM_REG_DIF,'1' AS ID_EXEC, CURRENT_TIMESTAMP() AS TIME_EXEC FROM (SELECT entty_id, FLG_CHRNC_PHYSCL_RSK FROM BU_LOANTAPE_WORK.LT003_ENTITY WHERE ref_date='${ref_date}' AND nome_perimetro='Individual Corporativo' AND segmento='ESTR' AND ambito='PILAR3')X INNER JOIN (SELECT entty_id AS entty_id_SIMUL, FLG_CHRNC_PHYSCL_RSK AS FLG_CHRNC_PHYSCL_RSK_SIMUL FROM BU_LOANTAPE_WORK.LT003_ENTTY_P3_NOV24)Y ON X.ENTTY_ID=Y.ENTTY_ID_SIMUL</v>
      </c>
      <c r="N57" s="45" t="s">
        <v>13</v>
      </c>
    </row>
    <row r="58" spans="2:14">
      <c r="B58" s="41" t="s">
        <v>23</v>
      </c>
      <c r="C58" s="41" t="s">
        <v>74</v>
      </c>
      <c r="D58" s="41" t="str">
        <f>+UPPER('0. Instruções'!$D$33&amp;"."&amp;VLOOKUP(B58,'0. Instruções'!$C$27:$D$31,2,FALSE))</f>
        <v>BU_LOANTAPE_WORK.LT003_ENTITY</v>
      </c>
      <c r="E58" s="41" t="str">
        <f>+UPPER('0. Instruções'!$D$34&amp;"."&amp;VLOOKUP(B58,'0. Instruções'!$C$27:$E$31,3,FALSE))</f>
        <v>BU_LOANTAPE_WORK.LT003_ENTTY_P3_NOV24</v>
      </c>
      <c r="F58" s="41" t="s">
        <v>123</v>
      </c>
      <c r="G58" s="41" t="s">
        <v>212</v>
      </c>
      <c r="H58" s="41"/>
      <c r="I58" s="41" t="str">
        <f>"(SELECT "&amp;VLOOKUP(B58,'0. Instruções'!$C$27:$G$31,4,FALSE)&amp;", "&amp;F58&amp;" FROM "&amp;D58&amp;" WHERE "&amp;'0. Instruções'!$D$40&amp;")X"</f>
        <v>(SELECT entty_id, PST_CD FROM BU_LOANTAPE_WORK.LT003_ENTITY WHERE ref_date='${ref_date}' AND nome_perimetro='Individual Corporativo' AND segmento='ESTR' AND ambito='PILAR3')X</v>
      </c>
      <c r="J58" s="41" t="str">
        <f>"(SELECT "&amp;VLOOKUP(B58,'0. Instruções'!$C$27:$G$31,4,FALSE)&amp;" AS "&amp;VLOOKUP(B58,'0. Instruções'!$C$27:$G$31,4,FALSE)&amp;"_SIMUL, "&amp;F58&amp;" AS "&amp;F58&amp;"_SIMUL FROM "&amp;E58&amp;")Y"</f>
        <v>(SELECT entty_id AS entty_id_SIMUL, PST_CD AS PST_CD_SIMUL FROM BU_LOANTAPE_WORK.LT003_ENTTY_P3_NOV24)Y</v>
      </c>
      <c r="K58" s="42" t="str">
        <f>+UPPER("ON X."&amp;VLOOKUP(B58,'0. Instruções'!$C$27:$G$31,4,FALSE)&amp;"=Y."&amp;VLOOKUP(B58,'0. Instruções'!$C$27:$G$31,4,FALSE)&amp;"_SIMUL")</f>
        <v>ON X.ENTTY_ID=Y.ENTTY_ID_SIMUL</v>
      </c>
      <c r="L58" s="42" t="str">
        <f>+IF(C58="Coerência", +IF(LEFT(G58,5)="FLOAT","SELECT '"&amp;UPPER(B58)&amp;"' AS TABELA, '"&amp;UPPER(C58)&amp;"' AS TIPOLOGIA_TESTE,'"&amp;D58&amp;"' AS TABELA_LT,'"&amp;E58&amp;"' AS TABELA_SIMUL,'"&amp;F58&amp;"' AS CAMPO, "&amp;"'${ref_date}' AS REF_DATE, COUNT(*) AS NUM_REG, SUM(IF((ABS(COALESCE(X."&amp;F58&amp;",0)-COALESCE(Y."&amp;F58&amp;"_SIMUL,0))&gt;0.0000000001) OR (X."&amp;F58&amp;" IS NULL AND Y."&amp;F58&amp;"_SIMUL IS NOT NULL ) OR (X."&amp;F58&amp;" IS NOT NULL AND Y."&amp;F58&amp;"_SIMUL IS NULL),1,0)) AS NUM_REG_DIF,'"&amp;MAX('ID1&amp;5'!K:K)+1&amp;"' AS ID_EXEC, CURRENT_TIMESTAMP() AS TIME_EXEC FROM "&amp;I58&amp;" INNER JOIN "&amp;J58&amp;" "&amp;K58,"SELECT '"&amp;UPPER(B58)&amp;"' AS TABELA, '"&amp;UPPER(C58)&amp;"' AS TIPOLOGIA_TESTE,'"&amp;D58&amp;"' AS TABELA_LT,'"&amp;E58&amp;"' AS TABELA_SIMUL,'"&amp;F58&amp;"' AS CAMPO, "&amp;"'${ref_date}' AS REF_DATE, COUNT(*) AS NUM_REG, SUM(IF(COALESCE(CAST(X."&amp;F58&amp;" AS STRING),'')&lt;&gt;COALESCE(CAST(Y."&amp;F58&amp;"_SIMUL AS STRING),''),1,0)) AS NUM_REG_DIF,'"&amp;MAX('ID1&amp;5'!L:L)+1&amp;"' AS ID_EXEC, CURRENT_TIMESTAMP() AS TIME_EXEC FROM "&amp;I58&amp;" INNER JOIN "&amp;J58&amp;" "&amp;K58),
IF(C58="Validade",+IF(G58="Code List","SELECT '"&amp;UPPER(B58)&amp;"' AS TABELA, '"&amp;UPPER(C58)&amp;"' AS TIPOLOGIA_TESTE,'"&amp;D58&amp;"' AS TABELA_LT,'N/A' AS TABELA_SIMUL,'"&amp;F58&amp;"' AS CAMPO, "&amp;"'${ref_date}' AS REF_DATE, COUNT(*) AS NUM_REG, SUM(IF(TRIM(CAST(X."&amp;F58&amp;" AS STRING))='' OR TRIM(CAST(X."&amp;F58&amp;" AS STRING)) IS NULL OR CAST(X."&amp;F58&amp;" AS STRING) NOT "&amp;H58&amp;",1,0)) AS NUM_REG_DIF,'"&amp;MAX('ID1&amp;5'!K:K)+1&amp;"' AS ID_EXEC, CURRENT_TIMESTAMP() AS TIME_EXEC FROM "&amp;I58,"SELECT '"&amp;UPPER(B58)&amp;"' AS TABELA, '"&amp;UPPER(C58)&amp;"' AS TIPOLOGIA_TESTE,'"&amp;D58&amp;"' AS TABELA_LT,'N/A' AS TABELA_SIMUL,'"&amp;F58&amp;"' AS CAMPO, "&amp;"'${ref_date}' AS REF_DATE, COUNT(*) AS NUM_REG, SUM(IF(TRIM(CAST(X."&amp;F58&amp;" AS STRING))='' OR TRIM(CAST(X."&amp;F58&amp;" AS STRING)) IS NULL,1,0)) AS NUM_REG_DIF,'"&amp;MAX('ID1&amp;5'!K:K)+1&amp;"' AS ID_EXEC, CURRENT_TIMESTAMP() AS TIME_EXEC FROM "&amp;I58),
IF(C58="Caracteres Especiais",+"SELECT '"&amp;UPPER(B58)&amp;"' AS TABELA, '"&amp;UPPER(C58)&amp;"' AS TIPOLOGIA_TESTE,'"&amp;D58&amp;"' AS TABELA_LT,'N/A' AS TABELA_SIMUL,'"&amp;F58&amp;"' AS CAMPO, "&amp;"'${ref_date}' AS REF_DATE, COUNT(*) AS NUM_REG, SUM(IF(INSTR(CAST(X."&amp;F58&amp;" AS STRING),'#')&gt;0 OR INSTR(CAST(X."&amp;F58&amp;" AS STRING),'*')&gt;0 OR INSTR(CAST(X."&amp;F58&amp;" AS STRING),'`')&gt;0 OR INSTR(CAST(X."&amp;F58&amp;" AS STRING),'´')&gt;0 OR INSTR(CAST(X."&amp;F58&amp;" AS STRING),'{')&gt;0 OR INSTR(CAST(X."&amp;F58&amp;" AS STRING),'}')&gt;0 OR INSTR(CAST(X."&amp;F58&amp;" AS STRING),'[')&gt;0 OR INSTR(CAST(X."&amp;F58&amp;" AS STRING),'')&gt;0 OR INSTR(CAST(X."&amp;F58&amp;" AS STRING),']')&gt;0 OR INSTR(CAST(X."&amp;F58&amp;" AS STRING),'?')&gt;0 OR INSTR(CAST(X."&amp;F58&amp;" AS STRING),'!')&gt;0 OR INSTR(CAST(X."&amp;F58&amp;" AS STRING),'$')&gt;0 OR INSTR(CAST(X."&amp;F58&amp;" AS STRING),'%')&gt;0 OR INSTR(CAST(X."&amp;F58&amp;" AS STRING),'&amp;')&gt;0 OR INSTR(CAST(X."&amp;F58&amp;" AS STRING),'+')&gt;0,1,0)) AS NUM_REG_DIF,'"&amp;MAX('ID1&amp;5'!K:K)+1&amp;"' AS ID_EXEC, CURRENT_TIMESTAMP() AS TIME_EXEC FROM "&amp;I58,
IF(C58="Missings",+"SELECT '"&amp;UPPER(B58)&amp;"' AS TABELA, '"&amp;UPPER(C58)&amp;"' AS TIPOLOGIA_TESTE,'"&amp;D58&amp;"' AS TABELA_LT,'N/A' AS TABELA_SIMUL,'"&amp;F58&amp;"' AS CAMPO, "&amp;"'${ref_date}' AS REF_DATE, COUNT(*) AS NUM_REG, SUM(IF(TRIM(CAST(X."&amp;F58&amp;" AS STRING)) IN ('0000-00-00','0001-01-01','9999-12-31','MISS','00000','99999999999','99999999999.00','99999999999.000000'),1,0)) AS NUM_REG_DIF,'"&amp;MAX('ID1&amp;5'!K:K)+1&amp;"' AS ID_EXEC, CURRENT_TIMESTAMP() AS TIME_EXEC FROM "&amp;I58,
IF(C58="Not applicable",+"SELECT '"&amp;UPPER(B58)&amp;"' AS TABELA, '"&amp;UPPER(C58)&amp;"' AS TIPOLOGIA_TESTE,'"&amp;D58&amp;"' AS TABELA_LT,'N/A' AS TABELA_SIMUL,'"&amp;F58&amp;"' AS CAMPO, "&amp;"'${ref_date}' AS REF_DATE, COUNT(*) AS NUM_REG, SUM(IF(TRIM(CAST(X."&amp;F58&amp;" AS STRING)) IN ('N/A','11111111111','11111111111.00','11111111111.000000','1111-11-11'),1,0)) AS NUM_REG_DIF,'"&amp;MAX('ID1&amp;5'!K:K)+1&amp;"' AS ID_EXEC, CURRENT_TIMESTAMP() AS TIME_EXEC FROM "&amp;I58,
IF(C58="Valores extremos",+"SELECT '"&amp;UPPER(B58)&amp;"' AS TABELA, '"&amp;UPPER(C58)&amp;"' AS TIPOLOGIA_TESTE,'"&amp;D58&amp;"' AS TABELA_LT,'N/A' AS TABELA_SIMUL,'"&amp;F58&amp;"' AS CAMPO, "&amp;"'${ref_date}' AS REF_DATE, CAST(MIN("&amp;F58&amp;") AS STRING) AS VALOR_MIN, CAST(MAX("&amp;F58&amp;") AS STRING) AS VALOR_MAX,'"&amp;MAX('ID1&amp;5'!K:K)+1&amp;"' AS ID_EXEC, CURRENT_TIMESTAMP() AS TIME_EXEC FROM "&amp;MID(I58,1,LEN(I58)-2)&amp;" AND CAST("&amp;F58&amp;"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TABELA_SIMUL,'PST_CD' AS CAMPO, '${ref_date}' AS REF_DATE, COUNT(*) AS NUM_REG, SUM(IF(COALESCE(CAST(X.PST_CD AS STRING),'')&lt;&gt;COALESCE(CAST(Y.PST_CD_SIMUL AS STRING),''),1,0)) AS NUM_REG_DIF,'1' AS ID_EXEC, CURRENT_TIMESTAMP() AS TIME_EXEC FROM (SELECT entty_id, PST_CD FROM BU_LOANTAPE_WORK.LT003_ENTITY WHERE ref_date='${ref_date}' AND nome_perimetro='Individual Corporativo' AND segmento='ESTR' AND ambito='PILAR3')X INNER JOIN (SELECT entty_id AS entty_id_SIMUL, PST_CD AS PST_CD_SIMUL FROM BU_LOANTAPE_WORK.LT003_ENTTY_P3_NOV24)Y ON X.ENTTY_ID=Y.ENTTY_ID_SIMUL</v>
      </c>
      <c r="M58" s="43" t="str">
        <f t="shared" si="0"/>
        <v>UNION ALL SELECT 'ENTITY' AS TABELA, 'COERÊNCIA' AS TIPOLOGIA_TESTE,'BU_LOANTAPE_WORK.LT003_ENTITY' AS TABELA_LT,'BU_LOANTAPE_WORK.LT003_ENTTY_P3_NOV24' AS TABELA_SIMUL,'PST_CD' AS CAMPO, '${ref_date}' AS REF_DATE, COUNT(*) AS NUM_REG, SUM(IF(COALESCE(CAST(X.PST_CD AS STRING),'')&lt;&gt;COALESCE(CAST(Y.PST_CD_SIMUL AS STRING),''),1,0)) AS NUM_REG_DIF,'1' AS ID_EXEC, CURRENT_TIMESTAMP() AS TIME_EXEC FROM (SELECT entty_id, PST_CD FROM BU_LOANTAPE_WORK.LT003_ENTITY WHERE ref_date='${ref_date}' AND nome_perimetro='Individual Corporativo' AND segmento='ESTR' AND ambito='PILAR3')X INNER JOIN (SELECT entty_id AS entty_id_SIMUL, PST_CD AS PST_CD_SIMUL FROM BU_LOANTAPE_WORK.LT003_ENTTY_P3_NOV24)Y ON X.ENTTY_ID=Y.ENTTY_ID_SIMUL</v>
      </c>
      <c r="N58" s="45" t="s">
        <v>13</v>
      </c>
    </row>
    <row r="59" spans="2:14">
      <c r="B59" s="41" t="s">
        <v>23</v>
      </c>
      <c r="C59" s="41" t="s">
        <v>74</v>
      </c>
      <c r="D59" s="41" t="str">
        <f>+UPPER('0. Instruções'!$D$33&amp;"."&amp;VLOOKUP(B59,'0. Instruções'!$C$27:$D$31,2,FALSE))</f>
        <v>BU_LOANTAPE_WORK.LT003_ENTITY</v>
      </c>
      <c r="E59" s="41" t="str">
        <f>+UPPER('0. Instruções'!$D$34&amp;"."&amp;VLOOKUP(B59,'0. Instruções'!$C$27:$E$31,3,FALSE))</f>
        <v>BU_LOANTAPE_WORK.LT003_ENTTY_P3_NOV24</v>
      </c>
      <c r="F59" s="41" t="s">
        <v>125</v>
      </c>
      <c r="G59" s="41" t="s">
        <v>209</v>
      </c>
      <c r="H59" s="41"/>
      <c r="I59" s="41" t="str">
        <f>"(SELECT "&amp;VLOOKUP(B59,'0. Instruções'!$C$27:$G$31,4,FALSE)&amp;", "&amp;F59&amp;" FROM "&amp;D59&amp;" WHERE "&amp;'0. Instruções'!$D$40&amp;")X"</f>
        <v>(SELECT entty_id, ESG_SBSCTR FROM BU_LOANTAPE_WORK.LT003_ENTITY WHERE ref_date='${ref_date}' AND nome_perimetro='Individual Corporativo' AND segmento='ESTR' AND ambito='PILAR3')X</v>
      </c>
      <c r="J59" s="41" t="str">
        <f>"(SELECT "&amp;VLOOKUP(B59,'0. Instruções'!$C$27:$G$31,4,FALSE)&amp;" AS "&amp;VLOOKUP(B59,'0. Instruções'!$C$27:$G$31,4,FALSE)&amp;"_SIMUL, "&amp;F59&amp;" AS "&amp;F59&amp;"_SIMUL FROM "&amp;E59&amp;")Y"</f>
        <v>(SELECT entty_id AS entty_id_SIMUL, ESG_SBSCTR AS ESG_SBSCTR_SIMUL FROM BU_LOANTAPE_WORK.LT003_ENTTY_P3_NOV24)Y</v>
      </c>
      <c r="K59" s="42" t="str">
        <f>+UPPER("ON X."&amp;VLOOKUP(B59,'0. Instruções'!$C$27:$G$31,4,FALSE)&amp;"=Y."&amp;VLOOKUP(B59,'0. Instruções'!$C$27:$G$31,4,FALSE)&amp;"_SIMUL")</f>
        <v>ON X.ENTTY_ID=Y.ENTTY_ID_SIMUL</v>
      </c>
      <c r="L59" s="42" t="str">
        <f>+IF(C59="Coerência", +IF(LEFT(G59,5)="FLOAT","SELECT '"&amp;UPPER(B59)&amp;"' AS TABELA, '"&amp;UPPER(C59)&amp;"' AS TIPOLOGIA_TESTE,'"&amp;D59&amp;"' AS TABELA_LT,'"&amp;E59&amp;"' AS TABELA_SIMUL,'"&amp;F59&amp;"' AS CAMPO, "&amp;"'${ref_date}' AS REF_DATE, COUNT(*) AS NUM_REG, SUM(IF((ABS(COALESCE(X."&amp;F59&amp;",0)-COALESCE(Y."&amp;F59&amp;"_SIMUL,0))&gt;0.0000000001) OR (X."&amp;F59&amp;" IS NULL AND Y."&amp;F59&amp;"_SIMUL IS NOT NULL ) OR (X."&amp;F59&amp;" IS NOT NULL AND Y."&amp;F59&amp;"_SIMUL IS NULL),1,0)) AS NUM_REG_DIF,'"&amp;MAX('ID1&amp;5'!K:K)+1&amp;"' AS ID_EXEC, CURRENT_TIMESTAMP() AS TIME_EXEC FROM "&amp;I59&amp;" INNER JOIN "&amp;J59&amp;" "&amp;K59,"SELECT '"&amp;UPPER(B59)&amp;"' AS TABELA, '"&amp;UPPER(C59)&amp;"' AS TIPOLOGIA_TESTE,'"&amp;D59&amp;"' AS TABELA_LT,'"&amp;E59&amp;"' AS TABELA_SIMUL,'"&amp;F59&amp;"' AS CAMPO, "&amp;"'${ref_date}' AS REF_DATE, COUNT(*) AS NUM_REG, SUM(IF(COALESCE(CAST(X."&amp;F59&amp;" AS STRING),'')&lt;&gt;COALESCE(CAST(Y."&amp;F59&amp;"_SIMUL AS STRING),''),1,0)) AS NUM_REG_DIF,'"&amp;MAX('ID1&amp;5'!L:L)+1&amp;"' AS ID_EXEC, CURRENT_TIMESTAMP() AS TIME_EXEC FROM "&amp;I59&amp;" INNER JOIN "&amp;J59&amp;" "&amp;K59),
IF(C59="Validade",+IF(G59="Code List","SELECT '"&amp;UPPER(B59)&amp;"' AS TABELA, '"&amp;UPPER(C59)&amp;"' AS TIPOLOGIA_TESTE,'"&amp;D59&amp;"' AS TABELA_LT,'N/A' AS TABELA_SIMUL,'"&amp;F59&amp;"' AS CAMPO, "&amp;"'${ref_date}' AS REF_DATE, COUNT(*) AS NUM_REG, SUM(IF(TRIM(CAST(X."&amp;F59&amp;" AS STRING))='' OR TRIM(CAST(X."&amp;F59&amp;" AS STRING)) IS NULL OR CAST(X."&amp;F59&amp;" AS STRING) NOT "&amp;H59&amp;",1,0)) AS NUM_REG_DIF,'"&amp;MAX('ID1&amp;5'!K:K)+1&amp;"' AS ID_EXEC, CURRENT_TIMESTAMP() AS TIME_EXEC FROM "&amp;I59,"SELECT '"&amp;UPPER(B59)&amp;"' AS TABELA, '"&amp;UPPER(C59)&amp;"' AS TIPOLOGIA_TESTE,'"&amp;D59&amp;"' AS TABELA_LT,'N/A' AS TABELA_SIMUL,'"&amp;F59&amp;"' AS CAMPO, "&amp;"'${ref_date}' AS REF_DATE, COUNT(*) AS NUM_REG, SUM(IF(TRIM(CAST(X."&amp;F59&amp;" AS STRING))='' OR TRIM(CAST(X."&amp;F59&amp;" AS STRING)) IS NULL,1,0)) AS NUM_REG_DIF,'"&amp;MAX('ID1&amp;5'!K:K)+1&amp;"' AS ID_EXEC, CURRENT_TIMESTAMP() AS TIME_EXEC FROM "&amp;I59),
IF(C59="Caracteres Especiais",+"SELECT '"&amp;UPPER(B59)&amp;"' AS TABELA, '"&amp;UPPER(C59)&amp;"' AS TIPOLOGIA_TESTE,'"&amp;D59&amp;"' AS TABELA_LT,'N/A' AS TABELA_SIMUL,'"&amp;F59&amp;"' AS CAMPO, "&amp;"'${ref_date}' AS REF_DATE, COUNT(*) AS NUM_REG, SUM(IF(INSTR(CAST(X."&amp;F59&amp;" AS STRING),'#')&gt;0 OR INSTR(CAST(X."&amp;F59&amp;" AS STRING),'*')&gt;0 OR INSTR(CAST(X."&amp;F59&amp;" AS STRING),'`')&gt;0 OR INSTR(CAST(X."&amp;F59&amp;" AS STRING),'´')&gt;0 OR INSTR(CAST(X."&amp;F59&amp;" AS STRING),'{')&gt;0 OR INSTR(CAST(X."&amp;F59&amp;" AS STRING),'}')&gt;0 OR INSTR(CAST(X."&amp;F59&amp;" AS STRING),'[')&gt;0 OR INSTR(CAST(X."&amp;F59&amp;" AS STRING),'')&gt;0 OR INSTR(CAST(X."&amp;F59&amp;" AS STRING),']')&gt;0 OR INSTR(CAST(X."&amp;F59&amp;" AS STRING),'?')&gt;0 OR INSTR(CAST(X."&amp;F59&amp;" AS STRING),'!')&gt;0 OR INSTR(CAST(X."&amp;F59&amp;" AS STRING),'$')&gt;0 OR INSTR(CAST(X."&amp;F59&amp;" AS STRING),'%')&gt;0 OR INSTR(CAST(X."&amp;F59&amp;" AS STRING),'&amp;')&gt;0 OR INSTR(CAST(X."&amp;F59&amp;" AS STRING),'+')&gt;0,1,0)) AS NUM_REG_DIF,'"&amp;MAX('ID1&amp;5'!K:K)+1&amp;"' AS ID_EXEC, CURRENT_TIMESTAMP() AS TIME_EXEC FROM "&amp;I59,
IF(C59="Missings",+"SELECT '"&amp;UPPER(B59)&amp;"' AS TABELA, '"&amp;UPPER(C59)&amp;"' AS TIPOLOGIA_TESTE,'"&amp;D59&amp;"' AS TABELA_LT,'N/A' AS TABELA_SIMUL,'"&amp;F59&amp;"' AS CAMPO, "&amp;"'${ref_date}' AS REF_DATE, COUNT(*) AS NUM_REG, SUM(IF(TRIM(CAST(X."&amp;F59&amp;" AS STRING)) IN ('0000-00-00','0001-01-01','9999-12-31','MISS','00000','99999999999','99999999999.00','99999999999.000000'),1,0)) AS NUM_REG_DIF,'"&amp;MAX('ID1&amp;5'!K:K)+1&amp;"' AS ID_EXEC, CURRENT_TIMESTAMP() AS TIME_EXEC FROM "&amp;I59,
IF(C59="Not applicable",+"SELECT '"&amp;UPPER(B59)&amp;"' AS TABELA, '"&amp;UPPER(C59)&amp;"' AS TIPOLOGIA_TESTE,'"&amp;D59&amp;"' AS TABELA_LT,'N/A' AS TABELA_SIMUL,'"&amp;F59&amp;"' AS CAMPO, "&amp;"'${ref_date}' AS REF_DATE, COUNT(*) AS NUM_REG, SUM(IF(TRIM(CAST(X."&amp;F59&amp;" AS STRING)) IN ('N/A','11111111111','11111111111.00','11111111111.000000','1111-11-11'),1,0)) AS NUM_REG_DIF,'"&amp;MAX('ID1&amp;5'!K:K)+1&amp;"' AS ID_EXEC, CURRENT_TIMESTAMP() AS TIME_EXEC FROM "&amp;I59,
IF(C59="Valores extremos",+"SELECT '"&amp;UPPER(B59)&amp;"' AS TABELA, '"&amp;UPPER(C59)&amp;"' AS TIPOLOGIA_TESTE,'"&amp;D59&amp;"' AS TABELA_LT,'N/A' AS TABELA_SIMUL,'"&amp;F59&amp;"' AS CAMPO, "&amp;"'${ref_date}' AS REF_DATE, CAST(MIN("&amp;F59&amp;") AS STRING) AS VALOR_MIN, CAST(MAX("&amp;F59&amp;") AS STRING) AS VALOR_MAX,'"&amp;MAX('ID1&amp;5'!K:K)+1&amp;"' AS ID_EXEC, CURRENT_TIMESTAMP() AS TIME_EXEC FROM "&amp;MID(I59,1,LEN(I59)-2)&amp;" AND CAST("&amp;F59&amp;"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TABELA_SIMUL,'ESG_SBSCTR' AS CAMPO, '${ref_date}' AS REF_DATE, COUNT(*) AS NUM_REG, SUM(IF(COALESCE(CAST(X.ESG_SBSCTR AS STRING),'')&lt;&gt;COALESCE(CAST(Y.ESG_SBSCTR_SIMUL AS STRING),''),1,0)) AS NUM_REG_DIF,'1' AS ID_EXEC, CURRENT_TIMESTAMP() AS TIME_EXEC FROM (SELECT entty_id, ESG_SBSCTR FROM BU_LOANTAPE_WORK.LT003_ENTITY WHERE ref_date='${ref_date}' AND nome_perimetro='Individual Corporativo' AND segmento='ESTR' AND ambito='PILAR3')X INNER JOIN (SELECT entty_id AS entty_id_SIMUL, ESG_SBSCTR AS ESG_SBSCTR_SIMUL FROM BU_LOANTAPE_WORK.LT003_ENTTY_P3_NOV24)Y ON X.ENTTY_ID=Y.ENTTY_ID_SIMUL</v>
      </c>
      <c r="M59" s="43" t="str">
        <f t="shared" si="0"/>
        <v>UNION ALL SELECT 'ENTITY' AS TABELA, 'COERÊNCIA' AS TIPOLOGIA_TESTE,'BU_LOANTAPE_WORK.LT003_ENTITY' AS TABELA_LT,'BU_LOANTAPE_WORK.LT003_ENTTY_P3_NOV24' AS TABELA_SIMUL,'ESG_SBSCTR' AS CAMPO, '${ref_date}' AS REF_DATE, COUNT(*) AS NUM_REG, SUM(IF(COALESCE(CAST(X.ESG_SBSCTR AS STRING),'')&lt;&gt;COALESCE(CAST(Y.ESG_SBSCTR_SIMUL AS STRING),''),1,0)) AS NUM_REG_DIF,'1' AS ID_EXEC, CURRENT_TIMESTAMP() AS TIME_EXEC FROM (SELECT entty_id, ESG_SBSCTR FROM BU_LOANTAPE_WORK.LT003_ENTITY WHERE ref_date='${ref_date}' AND nome_perimetro='Individual Corporativo' AND segmento='ESTR' AND ambito='PILAR3')X INNER JOIN (SELECT entty_id AS entty_id_SIMUL, ESG_SBSCTR AS ESG_SBSCTR_SIMUL FROM BU_LOANTAPE_WORK.LT003_ENTTY_P3_NOV24)Y ON X.ENTTY_ID=Y.ENTTY_ID_SIMUL</v>
      </c>
      <c r="N59" s="45" t="s">
        <v>13</v>
      </c>
    </row>
    <row r="60" spans="2:14">
      <c r="B60" s="41" t="s">
        <v>23</v>
      </c>
      <c r="C60" s="41" t="s">
        <v>74</v>
      </c>
      <c r="D60" s="41" t="str">
        <f>+UPPER('0. Instruções'!$D$33&amp;"."&amp;VLOOKUP(B60,'0. Instruções'!$C$27:$D$31,2,FALSE))</f>
        <v>BU_LOANTAPE_WORK.LT003_ENTITY</v>
      </c>
      <c r="E60" s="41" t="str">
        <f>+UPPER('0. Instruções'!$D$34&amp;"."&amp;VLOOKUP(B60,'0. Instruções'!$C$27:$E$31,3,FALSE))</f>
        <v>BU_LOANTAPE_WORK.LT003_ENTTY_P3_NOV24</v>
      </c>
      <c r="F60" s="41" t="s">
        <v>126</v>
      </c>
      <c r="G60" s="41" t="s">
        <v>213</v>
      </c>
      <c r="H60" s="41"/>
      <c r="I60" s="41" t="str">
        <f>"(SELECT "&amp;VLOOKUP(B60,'0. Instruções'!$C$27:$G$31,4,FALSE)&amp;", "&amp;F60&amp;" FROM "&amp;D60&amp;" WHERE "&amp;'0. Instruções'!$D$40&amp;")X"</f>
        <v>(SELECT entty_id, TTL_LBLTY FROM BU_LOANTAPE_WORK.LT003_ENTITY WHERE ref_date='${ref_date}' AND nome_perimetro='Individual Corporativo' AND segmento='ESTR' AND ambito='PILAR3')X</v>
      </c>
      <c r="J60" s="41" t="str">
        <f>"(SELECT "&amp;VLOOKUP(B60,'0. Instruções'!$C$27:$G$31,4,FALSE)&amp;" AS "&amp;VLOOKUP(B60,'0. Instruções'!$C$27:$G$31,4,FALSE)&amp;"_SIMUL, "&amp;F60&amp;" AS "&amp;F60&amp;"_SIMUL FROM "&amp;E60&amp;")Y"</f>
        <v>(SELECT entty_id AS entty_id_SIMUL, TTL_LBLTY AS TTL_LBLTY_SIMUL FROM BU_LOANTAPE_WORK.LT003_ENTTY_P3_NOV24)Y</v>
      </c>
      <c r="K60" s="42" t="str">
        <f>+UPPER("ON X."&amp;VLOOKUP(B60,'0. Instruções'!$C$27:$G$31,4,FALSE)&amp;"=Y."&amp;VLOOKUP(B60,'0. Instruções'!$C$27:$G$31,4,FALSE)&amp;"_SIMUL")</f>
        <v>ON X.ENTTY_ID=Y.ENTTY_ID_SIMUL</v>
      </c>
      <c r="L60" s="42" t="str">
        <f>+IF(C60="Coerência", +IF(LEFT(G60,5)="FLOAT","SELECT '"&amp;UPPER(B60)&amp;"' AS TABELA, '"&amp;UPPER(C60)&amp;"' AS TIPOLOGIA_TESTE,'"&amp;D60&amp;"' AS TABELA_LT,'"&amp;E60&amp;"' AS TABELA_SIMUL,'"&amp;F60&amp;"' AS CAMPO, "&amp;"'${ref_date}' AS REF_DATE, COUNT(*) AS NUM_REG, SUM(IF((ABS(COALESCE(X."&amp;F60&amp;",0)-COALESCE(Y."&amp;F60&amp;"_SIMUL,0))&gt;0.0000000001) OR (X."&amp;F60&amp;" IS NULL AND Y."&amp;F60&amp;"_SIMUL IS NOT NULL ) OR (X."&amp;F60&amp;" IS NOT NULL AND Y."&amp;F60&amp;"_SIMUL IS NULL),1,0)) AS NUM_REG_DIF,'"&amp;MAX('ID1&amp;5'!K:K)+1&amp;"' AS ID_EXEC, CURRENT_TIMESTAMP() AS TIME_EXEC FROM "&amp;I60&amp;" INNER JOIN "&amp;J60&amp;" "&amp;K60,"SELECT '"&amp;UPPER(B60)&amp;"' AS TABELA, '"&amp;UPPER(C60)&amp;"' AS TIPOLOGIA_TESTE,'"&amp;D60&amp;"' AS TABELA_LT,'"&amp;E60&amp;"' AS TABELA_SIMUL,'"&amp;F60&amp;"' AS CAMPO, "&amp;"'${ref_date}' AS REF_DATE, COUNT(*) AS NUM_REG, SUM(IF(COALESCE(CAST(X."&amp;F60&amp;" AS STRING),'')&lt;&gt;COALESCE(CAST(Y."&amp;F60&amp;"_SIMUL AS STRING),''),1,0)) AS NUM_REG_DIF,'"&amp;MAX('ID1&amp;5'!L:L)+1&amp;"' AS ID_EXEC, CURRENT_TIMESTAMP() AS TIME_EXEC FROM "&amp;I60&amp;" INNER JOIN "&amp;J60&amp;" "&amp;K60),
IF(C60="Validade",+IF(G60="Code List","SELECT '"&amp;UPPER(B60)&amp;"' AS TABELA, '"&amp;UPPER(C60)&amp;"' AS TIPOLOGIA_TESTE,'"&amp;D60&amp;"' AS TABELA_LT,'N/A' AS TABELA_SIMUL,'"&amp;F60&amp;"' AS CAMPO, "&amp;"'${ref_date}' AS REF_DATE, COUNT(*) AS NUM_REG, SUM(IF(TRIM(CAST(X."&amp;F60&amp;" AS STRING))='' OR TRIM(CAST(X."&amp;F60&amp;" AS STRING)) IS NULL OR CAST(X."&amp;F60&amp;" AS STRING) NOT "&amp;H60&amp;",1,0)) AS NUM_REG_DIF,'"&amp;MAX('ID1&amp;5'!K:K)+1&amp;"' AS ID_EXEC, CURRENT_TIMESTAMP() AS TIME_EXEC FROM "&amp;I60,"SELECT '"&amp;UPPER(B60)&amp;"' AS TABELA, '"&amp;UPPER(C60)&amp;"' AS TIPOLOGIA_TESTE,'"&amp;D60&amp;"' AS TABELA_LT,'N/A' AS TABELA_SIMUL,'"&amp;F60&amp;"' AS CAMPO, "&amp;"'${ref_date}' AS REF_DATE, COUNT(*) AS NUM_REG, SUM(IF(TRIM(CAST(X."&amp;F60&amp;" AS STRING))='' OR TRIM(CAST(X."&amp;F60&amp;" AS STRING)) IS NULL,1,0)) AS NUM_REG_DIF,'"&amp;MAX('ID1&amp;5'!K:K)+1&amp;"' AS ID_EXEC, CURRENT_TIMESTAMP() AS TIME_EXEC FROM "&amp;I60),
IF(C60="Caracteres Especiais",+"SELECT '"&amp;UPPER(B60)&amp;"' AS TABELA, '"&amp;UPPER(C60)&amp;"' AS TIPOLOGIA_TESTE,'"&amp;D60&amp;"' AS TABELA_LT,'N/A' AS TABELA_SIMUL,'"&amp;F60&amp;"' AS CAMPO, "&amp;"'${ref_date}' AS REF_DATE, COUNT(*) AS NUM_REG, SUM(IF(INSTR(CAST(X."&amp;F60&amp;" AS STRING),'#')&gt;0 OR INSTR(CAST(X."&amp;F60&amp;" AS STRING),'*')&gt;0 OR INSTR(CAST(X."&amp;F60&amp;" AS STRING),'`')&gt;0 OR INSTR(CAST(X."&amp;F60&amp;" AS STRING),'´')&gt;0 OR INSTR(CAST(X."&amp;F60&amp;" AS STRING),'{')&gt;0 OR INSTR(CAST(X."&amp;F60&amp;" AS STRING),'}')&gt;0 OR INSTR(CAST(X."&amp;F60&amp;" AS STRING),'[')&gt;0 OR INSTR(CAST(X."&amp;F60&amp;" AS STRING),'')&gt;0 OR INSTR(CAST(X."&amp;F60&amp;" AS STRING),']')&gt;0 OR INSTR(CAST(X."&amp;F60&amp;" AS STRING),'?')&gt;0 OR INSTR(CAST(X."&amp;F60&amp;" AS STRING),'!')&gt;0 OR INSTR(CAST(X."&amp;F60&amp;" AS STRING),'$')&gt;0 OR INSTR(CAST(X."&amp;F60&amp;" AS STRING),'%')&gt;0 OR INSTR(CAST(X."&amp;F60&amp;" AS STRING),'&amp;')&gt;0 OR INSTR(CAST(X."&amp;F60&amp;" AS STRING),'+')&gt;0,1,0)) AS NUM_REG_DIF,'"&amp;MAX('ID1&amp;5'!K:K)+1&amp;"' AS ID_EXEC, CURRENT_TIMESTAMP() AS TIME_EXEC FROM "&amp;I60,
IF(C60="Missings",+"SELECT '"&amp;UPPER(B60)&amp;"' AS TABELA, '"&amp;UPPER(C60)&amp;"' AS TIPOLOGIA_TESTE,'"&amp;D60&amp;"' AS TABELA_LT,'N/A' AS TABELA_SIMUL,'"&amp;F60&amp;"' AS CAMPO, "&amp;"'${ref_date}' AS REF_DATE, COUNT(*) AS NUM_REG, SUM(IF(TRIM(CAST(X."&amp;F60&amp;" AS STRING)) IN ('0000-00-00','0001-01-01','9999-12-31','MISS','00000','99999999999','99999999999.00','99999999999.000000'),1,0)) AS NUM_REG_DIF,'"&amp;MAX('ID1&amp;5'!K:K)+1&amp;"' AS ID_EXEC, CURRENT_TIMESTAMP() AS TIME_EXEC FROM "&amp;I60,
IF(C60="Not applicable",+"SELECT '"&amp;UPPER(B60)&amp;"' AS TABELA, '"&amp;UPPER(C60)&amp;"' AS TIPOLOGIA_TESTE,'"&amp;D60&amp;"' AS TABELA_LT,'N/A' AS TABELA_SIMUL,'"&amp;F60&amp;"' AS CAMPO, "&amp;"'${ref_date}' AS REF_DATE, COUNT(*) AS NUM_REG, SUM(IF(TRIM(CAST(X."&amp;F60&amp;" AS STRING)) IN ('N/A','11111111111','11111111111.00','11111111111.000000','1111-11-11'),1,0)) AS NUM_REG_DIF,'"&amp;MAX('ID1&amp;5'!K:K)+1&amp;"' AS ID_EXEC, CURRENT_TIMESTAMP() AS TIME_EXEC FROM "&amp;I60,
IF(C60="Valores extremos",+"SELECT '"&amp;UPPER(B60)&amp;"' AS TABELA, '"&amp;UPPER(C60)&amp;"' AS TIPOLOGIA_TESTE,'"&amp;D60&amp;"' AS TABELA_LT,'N/A' AS TABELA_SIMUL,'"&amp;F60&amp;"' AS CAMPO, "&amp;"'${ref_date}' AS REF_DATE, CAST(MIN("&amp;F60&amp;") AS STRING) AS VALOR_MIN, CAST(MAX("&amp;F60&amp;") AS STRING) AS VALOR_MAX,'"&amp;MAX('ID1&amp;5'!K:K)+1&amp;"' AS ID_EXEC, CURRENT_TIMESTAMP() AS TIME_EXEC FROM "&amp;MID(I60,1,LEN(I60)-2)&amp;" AND CAST("&amp;F60&amp;"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TABELA_SIMUL,'TTL_LBLTY' AS CAMPO, '${ref_date}' AS REF_DATE, COUNT(*) AS NUM_REG, SUM(IF((ABS(COALESCE(X.TTL_LBLTY,0)-COALESCE(Y.TTL_LBLTY_SIMUL,0))&gt;0.0000000001) OR (X.TTL_LBLTY IS NULL AND Y.TTL_LBLTY_SIMUL IS NOT NULL ) OR (X.TTL_LBLTY IS NOT NULL AND Y.TTL_LBLTY_SIMUL IS NULL),1,0)) AS NUM_REG_DIF,'10' AS ID_EXEC, CURRENT_TIMESTAMP() AS TIME_EXEC FROM (SELECT entty_id, TTL_LBLTY FROM BU_LOANTAPE_WORK.LT003_ENTITY WHERE ref_date='${ref_date}' AND nome_perimetro='Individual Corporativo' AND segmento='ESTR' AND ambito='PILAR3')X INNER JOIN (SELECT entty_id AS entty_id_SIMUL, TTL_LBLTY AS TTL_LBLTY_SIMUL FROM BU_LOANTAPE_WORK.LT003_ENTTY_P3_NOV24)Y ON X.ENTTY_ID=Y.ENTTY_ID_SIMUL</v>
      </c>
      <c r="M60" s="43" t="str">
        <f t="shared" si="0"/>
        <v>UNION ALL SELECT 'ENTITY' AS TABELA, 'COERÊNCIA' AS TIPOLOGIA_TESTE,'BU_LOANTAPE_WORK.LT003_ENTITY' AS TABELA_LT,'BU_LOANTAPE_WORK.LT003_ENTTY_P3_NOV24' AS TABELA_SIMUL,'TTL_LBLTY' AS CAMPO, '${ref_date}' AS REF_DATE, COUNT(*) AS NUM_REG, SUM(IF((ABS(COALESCE(X.TTL_LBLTY,0)-COALESCE(Y.TTL_LBLTY_SIMUL,0))&gt;0.0000000001) OR (X.TTL_LBLTY IS NULL AND Y.TTL_LBLTY_SIMUL IS NOT NULL ) OR (X.TTL_LBLTY IS NOT NULL AND Y.TTL_LBLTY_SIMUL IS NULL),1,0)) AS NUM_REG_DIF,'10' AS ID_EXEC, CURRENT_TIMESTAMP() AS TIME_EXEC FROM (SELECT entty_id, TTL_LBLTY FROM BU_LOANTAPE_WORK.LT003_ENTITY WHERE ref_date='${ref_date}' AND nome_perimetro='Individual Corporativo' AND segmento='ESTR' AND ambito='PILAR3')X INNER JOIN (SELECT entty_id AS entty_id_SIMUL, TTL_LBLTY AS TTL_LBLTY_SIMUL FROM BU_LOANTAPE_WORK.LT003_ENTTY_P3_NOV24)Y ON X.ENTTY_ID=Y.ENTTY_ID_SIMUL</v>
      </c>
      <c r="N60" s="45" t="s">
        <v>13</v>
      </c>
    </row>
    <row r="61" spans="2:14">
      <c r="B61" s="41" t="s">
        <v>23</v>
      </c>
      <c r="C61" s="41" t="s">
        <v>74</v>
      </c>
      <c r="D61" s="41" t="str">
        <f>+UPPER('0. Instruções'!$D$33&amp;"."&amp;VLOOKUP(B61,'0. Instruções'!$C$27:$D$31,2,FALSE))</f>
        <v>BU_LOANTAPE_WORK.LT003_ENTITY</v>
      </c>
      <c r="E61" s="41" t="str">
        <f>+UPPER('0. Instruções'!$D$34&amp;"."&amp;VLOOKUP(B61,'0. Instruções'!$C$27:$E$31,3,FALSE))</f>
        <v>BU_LOANTAPE_WORK.LT003_ENTTY_P3_NOV24</v>
      </c>
      <c r="F61" s="41" t="s">
        <v>127</v>
      </c>
      <c r="G61" s="41" t="s">
        <v>214</v>
      </c>
      <c r="H61" s="41"/>
      <c r="I61" s="41" t="str">
        <f>"(SELECT "&amp;VLOOKUP(B61,'0. Instruções'!$C$27:$G$31,4,FALSE)&amp;", "&amp;F61&amp;" FROM "&amp;D61&amp;" WHERE "&amp;'0. Instruções'!$D$40&amp;")X"</f>
        <v>(SELECT entty_id, ISIN FROM BU_LOANTAPE_WORK.LT003_ENTITY WHERE ref_date='${ref_date}' AND nome_perimetro='Individual Corporativo' AND segmento='ESTR' AND ambito='PILAR3')X</v>
      </c>
      <c r="J61" s="41" t="str">
        <f>"(SELECT "&amp;VLOOKUP(B61,'0. Instruções'!$C$27:$G$31,4,FALSE)&amp;" AS "&amp;VLOOKUP(B61,'0. Instruções'!$C$27:$G$31,4,FALSE)&amp;"_SIMUL, "&amp;F61&amp;" AS "&amp;F61&amp;"_SIMUL FROM "&amp;E61&amp;")Y"</f>
        <v>(SELECT entty_id AS entty_id_SIMUL, ISIN AS ISIN_SIMUL FROM BU_LOANTAPE_WORK.LT003_ENTTY_P3_NOV24)Y</v>
      </c>
      <c r="K61" s="42" t="str">
        <f>+UPPER("ON X."&amp;VLOOKUP(B61,'0. Instruções'!$C$27:$G$31,4,FALSE)&amp;"=Y."&amp;VLOOKUP(B61,'0. Instruções'!$C$27:$G$31,4,FALSE)&amp;"_SIMUL")</f>
        <v>ON X.ENTTY_ID=Y.ENTTY_ID_SIMUL</v>
      </c>
      <c r="L61" s="42" t="str">
        <f>+IF(C61="Coerência", +IF(LEFT(G61,5)="FLOAT","SELECT '"&amp;UPPER(B61)&amp;"' AS TABELA, '"&amp;UPPER(C61)&amp;"' AS TIPOLOGIA_TESTE,'"&amp;D61&amp;"' AS TABELA_LT,'"&amp;E61&amp;"' AS TABELA_SIMUL,'"&amp;F61&amp;"' AS CAMPO, "&amp;"'${ref_date}' AS REF_DATE, COUNT(*) AS NUM_REG, SUM(IF((ABS(COALESCE(X."&amp;F61&amp;",0)-COALESCE(Y."&amp;F61&amp;"_SIMUL,0))&gt;0.0000000001) OR (X."&amp;F61&amp;" IS NULL AND Y."&amp;F61&amp;"_SIMUL IS NOT NULL ) OR (X."&amp;F61&amp;" IS NOT NULL AND Y."&amp;F61&amp;"_SIMUL IS NULL),1,0)) AS NUM_REG_DIF,'"&amp;MAX('ID1&amp;5'!K:K)+1&amp;"' AS ID_EXEC, CURRENT_TIMESTAMP() AS TIME_EXEC FROM "&amp;I61&amp;" INNER JOIN "&amp;J61&amp;" "&amp;K61,"SELECT '"&amp;UPPER(B61)&amp;"' AS TABELA, '"&amp;UPPER(C61)&amp;"' AS TIPOLOGIA_TESTE,'"&amp;D61&amp;"' AS TABELA_LT,'"&amp;E61&amp;"' AS TABELA_SIMUL,'"&amp;F61&amp;"' AS CAMPO, "&amp;"'${ref_date}' AS REF_DATE, COUNT(*) AS NUM_REG, SUM(IF(COALESCE(CAST(X."&amp;F61&amp;" AS STRING),'')&lt;&gt;COALESCE(CAST(Y."&amp;F61&amp;"_SIMUL AS STRING),''),1,0)) AS NUM_REG_DIF,'"&amp;MAX('ID1&amp;5'!L:L)+1&amp;"' AS ID_EXEC, CURRENT_TIMESTAMP() AS TIME_EXEC FROM "&amp;I61&amp;" INNER JOIN "&amp;J61&amp;" "&amp;K61),
IF(C61="Validade",+IF(G61="Code List","SELECT '"&amp;UPPER(B61)&amp;"' AS TABELA, '"&amp;UPPER(C61)&amp;"' AS TIPOLOGIA_TESTE,'"&amp;D61&amp;"' AS TABELA_LT,'N/A' AS TABELA_SIMUL,'"&amp;F61&amp;"' AS CAMPO, "&amp;"'${ref_date}' AS REF_DATE, COUNT(*) AS NUM_REG, SUM(IF(TRIM(CAST(X."&amp;F61&amp;" AS STRING))='' OR TRIM(CAST(X."&amp;F61&amp;" AS STRING)) IS NULL OR CAST(X."&amp;F61&amp;" AS STRING) NOT "&amp;H61&amp;",1,0)) AS NUM_REG_DIF,'"&amp;MAX('ID1&amp;5'!K:K)+1&amp;"' AS ID_EXEC, CURRENT_TIMESTAMP() AS TIME_EXEC FROM "&amp;I61,"SELECT '"&amp;UPPER(B61)&amp;"' AS TABELA, '"&amp;UPPER(C61)&amp;"' AS TIPOLOGIA_TESTE,'"&amp;D61&amp;"' AS TABELA_LT,'N/A' AS TABELA_SIMUL,'"&amp;F61&amp;"' AS CAMPO, "&amp;"'${ref_date}' AS REF_DATE, COUNT(*) AS NUM_REG, SUM(IF(TRIM(CAST(X."&amp;F61&amp;" AS STRING))='' OR TRIM(CAST(X."&amp;F61&amp;" AS STRING)) IS NULL,1,0)) AS NUM_REG_DIF,'"&amp;MAX('ID1&amp;5'!K:K)+1&amp;"' AS ID_EXEC, CURRENT_TIMESTAMP() AS TIME_EXEC FROM "&amp;I61),
IF(C61="Caracteres Especiais",+"SELECT '"&amp;UPPER(B61)&amp;"' AS TABELA, '"&amp;UPPER(C61)&amp;"' AS TIPOLOGIA_TESTE,'"&amp;D61&amp;"' AS TABELA_LT,'N/A' AS TABELA_SIMUL,'"&amp;F61&amp;"' AS CAMPO, "&amp;"'${ref_date}' AS REF_DATE, COUNT(*) AS NUM_REG, SUM(IF(INSTR(CAST(X."&amp;F61&amp;" AS STRING),'#')&gt;0 OR INSTR(CAST(X."&amp;F61&amp;" AS STRING),'*')&gt;0 OR INSTR(CAST(X."&amp;F61&amp;" AS STRING),'`')&gt;0 OR INSTR(CAST(X."&amp;F61&amp;" AS STRING),'´')&gt;0 OR INSTR(CAST(X."&amp;F61&amp;" AS STRING),'{')&gt;0 OR INSTR(CAST(X."&amp;F61&amp;" AS STRING),'}')&gt;0 OR INSTR(CAST(X."&amp;F61&amp;" AS STRING),'[')&gt;0 OR INSTR(CAST(X."&amp;F61&amp;" AS STRING),'')&gt;0 OR INSTR(CAST(X."&amp;F61&amp;" AS STRING),']')&gt;0 OR INSTR(CAST(X."&amp;F61&amp;" AS STRING),'?')&gt;0 OR INSTR(CAST(X."&amp;F61&amp;" AS STRING),'!')&gt;0 OR INSTR(CAST(X."&amp;F61&amp;" AS STRING),'$')&gt;0 OR INSTR(CAST(X."&amp;F61&amp;" AS STRING),'%')&gt;0 OR INSTR(CAST(X."&amp;F61&amp;" AS STRING),'&amp;')&gt;0 OR INSTR(CAST(X."&amp;F61&amp;" AS STRING),'+')&gt;0,1,0)) AS NUM_REG_DIF,'"&amp;MAX('ID1&amp;5'!K:K)+1&amp;"' AS ID_EXEC, CURRENT_TIMESTAMP() AS TIME_EXEC FROM "&amp;I61,
IF(C61="Missings",+"SELECT '"&amp;UPPER(B61)&amp;"' AS TABELA, '"&amp;UPPER(C61)&amp;"' AS TIPOLOGIA_TESTE,'"&amp;D61&amp;"' AS TABELA_LT,'N/A' AS TABELA_SIMUL,'"&amp;F61&amp;"' AS CAMPO, "&amp;"'${ref_date}' AS REF_DATE, COUNT(*) AS NUM_REG, SUM(IF(TRIM(CAST(X."&amp;F61&amp;" AS STRING)) IN ('0000-00-00','0001-01-01','9999-12-31','MISS','00000','99999999999','99999999999.00','99999999999.000000'),1,0)) AS NUM_REG_DIF,'"&amp;MAX('ID1&amp;5'!K:K)+1&amp;"' AS ID_EXEC, CURRENT_TIMESTAMP() AS TIME_EXEC FROM "&amp;I61,
IF(C61="Not applicable",+"SELECT '"&amp;UPPER(B61)&amp;"' AS TABELA, '"&amp;UPPER(C61)&amp;"' AS TIPOLOGIA_TESTE,'"&amp;D61&amp;"' AS TABELA_LT,'N/A' AS TABELA_SIMUL,'"&amp;F61&amp;"' AS CAMPO, "&amp;"'${ref_date}' AS REF_DATE, COUNT(*) AS NUM_REG, SUM(IF(TRIM(CAST(X."&amp;F61&amp;" AS STRING)) IN ('N/A','11111111111','11111111111.00','11111111111.000000','1111-11-11'),1,0)) AS NUM_REG_DIF,'"&amp;MAX('ID1&amp;5'!K:K)+1&amp;"' AS ID_EXEC, CURRENT_TIMESTAMP() AS TIME_EXEC FROM "&amp;I61,
IF(C61="Valores extremos",+"SELECT '"&amp;UPPER(B61)&amp;"' AS TABELA, '"&amp;UPPER(C61)&amp;"' AS TIPOLOGIA_TESTE,'"&amp;D61&amp;"' AS TABELA_LT,'N/A' AS TABELA_SIMUL,'"&amp;F61&amp;"' AS CAMPO, "&amp;"'${ref_date}' AS REF_DATE, CAST(MIN("&amp;F61&amp;") AS STRING) AS VALOR_MIN, CAST(MAX("&amp;F61&amp;") AS STRING) AS VALOR_MAX,'"&amp;MAX('ID1&amp;5'!K:K)+1&amp;"' AS ID_EXEC, CURRENT_TIMESTAMP() AS TIME_EXEC FROM "&amp;MID(I61,1,LEN(I61)-2)&amp;" AND CAST("&amp;F61&amp;"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TABELA_SIMUL,'ISIN' AS CAMPO, '${ref_date}' AS REF_DATE, COUNT(*) AS NUM_REG, SUM(IF(COALESCE(CAST(X.ISIN AS STRING),'')&lt;&gt;COALESCE(CAST(Y.ISIN_SIMUL AS STRING),''),1,0)) AS NUM_REG_DIF,'1' AS ID_EXEC, CURRENT_TIMESTAMP() AS TIME_EXEC FROM (SELECT entty_id, ISIN FROM BU_LOANTAPE_WORK.LT003_ENTITY WHERE ref_date='${ref_date}' AND nome_perimetro='Individual Corporativo' AND segmento='ESTR' AND ambito='PILAR3')X INNER JOIN (SELECT entty_id AS entty_id_SIMUL, ISIN AS ISIN_SIMUL FROM BU_LOANTAPE_WORK.LT003_ENTTY_P3_NOV24)Y ON X.ENTTY_ID=Y.ENTTY_ID_SIMUL</v>
      </c>
      <c r="M61" s="43" t="str">
        <f t="shared" si="0"/>
        <v>UNION ALL SELECT 'ENTITY' AS TABELA, 'COERÊNCIA' AS TIPOLOGIA_TESTE,'BU_LOANTAPE_WORK.LT003_ENTITY' AS TABELA_LT,'BU_LOANTAPE_WORK.LT003_ENTTY_P3_NOV24' AS TABELA_SIMUL,'ISIN' AS CAMPO, '${ref_date}' AS REF_DATE, COUNT(*) AS NUM_REG, SUM(IF(COALESCE(CAST(X.ISIN AS STRING),'')&lt;&gt;COALESCE(CAST(Y.ISIN_SIMUL AS STRING),''),1,0)) AS NUM_REG_DIF,'1' AS ID_EXEC, CURRENT_TIMESTAMP() AS TIME_EXEC FROM (SELECT entty_id, ISIN FROM BU_LOANTAPE_WORK.LT003_ENTITY WHERE ref_date='${ref_date}' AND nome_perimetro='Individual Corporativo' AND segmento='ESTR' AND ambito='PILAR3')X INNER JOIN (SELECT entty_id AS entty_id_SIMUL, ISIN AS ISIN_SIMUL FROM BU_LOANTAPE_WORK.LT003_ENTTY_P3_NOV24)Y ON X.ENTTY_ID=Y.ENTTY_ID_SIMUL</v>
      </c>
      <c r="N61" s="45" t="s">
        <v>13</v>
      </c>
    </row>
    <row r="62" spans="2:14">
      <c r="B62" s="41" t="s">
        <v>23</v>
      </c>
      <c r="C62" s="41" t="s">
        <v>74</v>
      </c>
      <c r="D62" s="41" t="str">
        <f>+UPPER('0. Instruções'!$D$33&amp;"."&amp;VLOOKUP(B62,'0. Instruções'!$C$27:$D$31,2,FALSE))</f>
        <v>BU_LOANTAPE_WORK.LT003_ENTITY</v>
      </c>
      <c r="E62" s="41" t="str">
        <f>+UPPER('0. Instruções'!$D$34&amp;"."&amp;VLOOKUP(B62,'0. Instruções'!$C$27:$E$31,3,FALSE))</f>
        <v>BU_LOANTAPE_WORK.LT003_ENTTY_P3_NOV24</v>
      </c>
      <c r="F62" s="41" t="s">
        <v>128</v>
      </c>
      <c r="G62" s="41" t="s">
        <v>213</v>
      </c>
      <c r="H62" s="41"/>
      <c r="I62" s="41" t="str">
        <f>"(SELECT "&amp;VLOOKUP(B62,'0. Instruções'!$C$27:$G$31,4,FALSE)&amp;", "&amp;F62&amp;" FROM "&amp;D62&amp;" WHERE "&amp;'0. Instruções'!$D$40&amp;")X"</f>
        <v>(SELECT entty_id, GRP_ANNL_TRNVR_LE FROM BU_LOANTAPE_WORK.LT003_ENTITY WHERE ref_date='${ref_date}' AND nome_perimetro='Individual Corporativo' AND segmento='ESTR' AND ambito='PILAR3')X</v>
      </c>
      <c r="J62" s="41" t="str">
        <f>"(SELECT "&amp;VLOOKUP(B62,'0. Instruções'!$C$27:$G$31,4,FALSE)&amp;" AS "&amp;VLOOKUP(B62,'0. Instruções'!$C$27:$G$31,4,FALSE)&amp;"_SIMUL, "&amp;F62&amp;" AS "&amp;F62&amp;"_SIMUL FROM "&amp;E62&amp;")Y"</f>
        <v>(SELECT entty_id AS entty_id_SIMUL, GRP_ANNL_TRNVR_LE AS GRP_ANNL_TRNVR_LE_SIMUL FROM BU_LOANTAPE_WORK.LT003_ENTTY_P3_NOV24)Y</v>
      </c>
      <c r="K62" s="42" t="str">
        <f>+UPPER("ON X."&amp;VLOOKUP(B62,'0. Instruções'!$C$27:$G$31,4,FALSE)&amp;"=Y."&amp;VLOOKUP(B62,'0. Instruções'!$C$27:$G$31,4,FALSE)&amp;"_SIMUL")</f>
        <v>ON X.ENTTY_ID=Y.ENTTY_ID_SIMUL</v>
      </c>
      <c r="L62" s="42" t="str">
        <f>+IF(C62="Coerência", +IF(LEFT(G62,5)="FLOAT","SELECT '"&amp;UPPER(B62)&amp;"' AS TABELA, '"&amp;UPPER(C62)&amp;"' AS TIPOLOGIA_TESTE,'"&amp;D62&amp;"' AS TABELA_LT,'"&amp;E62&amp;"' AS TABELA_SIMUL,'"&amp;F62&amp;"' AS CAMPO, "&amp;"'${ref_date}' AS REF_DATE, COUNT(*) AS NUM_REG, SUM(IF((ABS(COALESCE(X."&amp;F62&amp;",0)-COALESCE(Y."&amp;F62&amp;"_SIMUL,0))&gt;0.0000000001) OR (X."&amp;F62&amp;" IS NULL AND Y."&amp;F62&amp;"_SIMUL IS NOT NULL ) OR (X."&amp;F62&amp;" IS NOT NULL AND Y."&amp;F62&amp;"_SIMUL IS NULL),1,0)) AS NUM_REG_DIF,'"&amp;MAX('ID1&amp;5'!K:K)+1&amp;"' AS ID_EXEC, CURRENT_TIMESTAMP() AS TIME_EXEC FROM "&amp;I62&amp;" INNER JOIN "&amp;J62&amp;" "&amp;K62,"SELECT '"&amp;UPPER(B62)&amp;"' AS TABELA, '"&amp;UPPER(C62)&amp;"' AS TIPOLOGIA_TESTE,'"&amp;D62&amp;"' AS TABELA_LT,'"&amp;E62&amp;"' AS TABELA_SIMUL,'"&amp;F62&amp;"' AS CAMPO, "&amp;"'${ref_date}' AS REF_DATE, COUNT(*) AS NUM_REG, SUM(IF(COALESCE(CAST(X."&amp;F62&amp;" AS STRING),'')&lt;&gt;COALESCE(CAST(Y."&amp;F62&amp;"_SIMUL AS STRING),''),1,0)) AS NUM_REG_DIF,'"&amp;MAX('ID1&amp;5'!L:L)+1&amp;"' AS ID_EXEC, CURRENT_TIMESTAMP() AS TIME_EXEC FROM "&amp;I62&amp;" INNER JOIN "&amp;J62&amp;" "&amp;K62),
IF(C62="Validade",+IF(G62="Code List","SELECT '"&amp;UPPER(B62)&amp;"' AS TABELA, '"&amp;UPPER(C62)&amp;"' AS TIPOLOGIA_TESTE,'"&amp;D62&amp;"' AS TABELA_LT,'N/A' AS TABELA_SIMUL,'"&amp;F62&amp;"' AS CAMPO, "&amp;"'${ref_date}' AS REF_DATE, COUNT(*) AS NUM_REG, SUM(IF(TRIM(CAST(X."&amp;F62&amp;" AS STRING))='' OR TRIM(CAST(X."&amp;F62&amp;" AS STRING)) IS NULL OR CAST(X."&amp;F62&amp;" AS STRING) NOT "&amp;H62&amp;",1,0)) AS NUM_REG_DIF,'"&amp;MAX('ID1&amp;5'!K:K)+1&amp;"' AS ID_EXEC, CURRENT_TIMESTAMP() AS TIME_EXEC FROM "&amp;I62,"SELECT '"&amp;UPPER(B62)&amp;"' AS TABELA, '"&amp;UPPER(C62)&amp;"' AS TIPOLOGIA_TESTE,'"&amp;D62&amp;"' AS TABELA_LT,'N/A' AS TABELA_SIMUL,'"&amp;F62&amp;"' AS CAMPO, "&amp;"'${ref_date}' AS REF_DATE, COUNT(*) AS NUM_REG, SUM(IF(TRIM(CAST(X."&amp;F62&amp;" AS STRING))='' OR TRIM(CAST(X."&amp;F62&amp;" AS STRING)) IS NULL,1,0)) AS NUM_REG_DIF,'"&amp;MAX('ID1&amp;5'!K:K)+1&amp;"' AS ID_EXEC, CURRENT_TIMESTAMP() AS TIME_EXEC FROM "&amp;I62),
IF(C62="Caracteres Especiais",+"SELECT '"&amp;UPPER(B62)&amp;"' AS TABELA, '"&amp;UPPER(C62)&amp;"' AS TIPOLOGIA_TESTE,'"&amp;D62&amp;"' AS TABELA_LT,'N/A' AS TABELA_SIMUL,'"&amp;F62&amp;"' AS CAMPO, "&amp;"'${ref_date}' AS REF_DATE, COUNT(*) AS NUM_REG, SUM(IF(INSTR(CAST(X."&amp;F62&amp;" AS STRING),'#')&gt;0 OR INSTR(CAST(X."&amp;F62&amp;" AS STRING),'*')&gt;0 OR INSTR(CAST(X."&amp;F62&amp;" AS STRING),'`')&gt;0 OR INSTR(CAST(X."&amp;F62&amp;" AS STRING),'´')&gt;0 OR INSTR(CAST(X."&amp;F62&amp;" AS STRING),'{')&gt;0 OR INSTR(CAST(X."&amp;F62&amp;" AS STRING),'}')&gt;0 OR INSTR(CAST(X."&amp;F62&amp;" AS STRING),'[')&gt;0 OR INSTR(CAST(X."&amp;F62&amp;" AS STRING),'')&gt;0 OR INSTR(CAST(X."&amp;F62&amp;" AS STRING),']')&gt;0 OR INSTR(CAST(X."&amp;F62&amp;" AS STRING),'?')&gt;0 OR INSTR(CAST(X."&amp;F62&amp;" AS STRING),'!')&gt;0 OR INSTR(CAST(X."&amp;F62&amp;" AS STRING),'$')&gt;0 OR INSTR(CAST(X."&amp;F62&amp;" AS STRING),'%')&gt;0 OR INSTR(CAST(X."&amp;F62&amp;" AS STRING),'&amp;')&gt;0 OR INSTR(CAST(X."&amp;F62&amp;" AS STRING),'+')&gt;0,1,0)) AS NUM_REG_DIF,'"&amp;MAX('ID1&amp;5'!K:K)+1&amp;"' AS ID_EXEC, CURRENT_TIMESTAMP() AS TIME_EXEC FROM "&amp;I62,
IF(C62="Missings",+"SELECT '"&amp;UPPER(B62)&amp;"' AS TABELA, '"&amp;UPPER(C62)&amp;"' AS TIPOLOGIA_TESTE,'"&amp;D62&amp;"' AS TABELA_LT,'N/A' AS TABELA_SIMUL,'"&amp;F62&amp;"' AS CAMPO, "&amp;"'${ref_date}' AS REF_DATE, COUNT(*) AS NUM_REG, SUM(IF(TRIM(CAST(X."&amp;F62&amp;" AS STRING)) IN ('0000-00-00','0001-01-01','9999-12-31','MISS','00000','99999999999','99999999999.00','99999999999.000000'),1,0)) AS NUM_REG_DIF,'"&amp;MAX('ID1&amp;5'!K:K)+1&amp;"' AS ID_EXEC, CURRENT_TIMESTAMP() AS TIME_EXEC FROM "&amp;I62,
IF(C62="Not applicable",+"SELECT '"&amp;UPPER(B62)&amp;"' AS TABELA, '"&amp;UPPER(C62)&amp;"' AS TIPOLOGIA_TESTE,'"&amp;D62&amp;"' AS TABELA_LT,'N/A' AS TABELA_SIMUL,'"&amp;F62&amp;"' AS CAMPO, "&amp;"'${ref_date}' AS REF_DATE, COUNT(*) AS NUM_REG, SUM(IF(TRIM(CAST(X."&amp;F62&amp;" AS STRING)) IN ('N/A','11111111111','11111111111.00','11111111111.000000','1111-11-11'),1,0)) AS NUM_REG_DIF,'"&amp;MAX('ID1&amp;5'!K:K)+1&amp;"' AS ID_EXEC, CURRENT_TIMESTAMP() AS TIME_EXEC FROM "&amp;I62,
IF(C62="Valores extremos",+"SELECT '"&amp;UPPER(B62)&amp;"' AS TABELA, '"&amp;UPPER(C62)&amp;"' AS TIPOLOGIA_TESTE,'"&amp;D62&amp;"' AS TABELA_LT,'N/A' AS TABELA_SIMUL,'"&amp;F62&amp;"' AS CAMPO, "&amp;"'${ref_date}' AS REF_DATE, CAST(MIN("&amp;F62&amp;") AS STRING) AS VALOR_MIN, CAST(MAX("&amp;F62&amp;") AS STRING) AS VALOR_MAX,'"&amp;MAX('ID1&amp;5'!K:K)+1&amp;"' AS ID_EXEC, CURRENT_TIMESTAMP() AS TIME_EXEC FROM "&amp;MID(I62,1,LEN(I62)-2)&amp;" AND CAST("&amp;F62&amp;"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TABELA_SIMUL,'GRP_ANNL_TRNVR_LE' AS CAMPO, '${ref_date}' AS REF_DATE, COUNT(*) AS NUM_REG, SUM(IF((ABS(COALESCE(X.GRP_ANNL_TRNVR_LE,0)-COALESCE(Y.GRP_ANNL_TRNVR_LE_SIMUL,0))&gt;0.0000000001) OR (X.GRP_ANNL_TRNVR_LE IS NULL AND Y.GRP_ANNL_TRNVR_LE_SIMUL IS NOT NULL ) OR (X.GRP_ANNL_TRNVR_LE IS NOT NULL AND Y.GRP_ANNL_TRNVR_LE_SIMUL IS NULL),1,0)) AS NUM_REG_DIF,'10' AS ID_EXEC, CURRENT_TIMESTAMP() AS TIME_EXEC FROM (SELECT entty_id, GRP_ANNL_TRNVR_LE FROM BU_LOANTAPE_WORK.LT003_ENTITY WHERE ref_date='${ref_date}' AND nome_perimetro='Individual Corporativo' AND segmento='ESTR' AND ambito='PILAR3')X INNER JOIN (SELECT entty_id AS entty_id_SIMUL, GRP_ANNL_TRNVR_LE AS GRP_ANNL_TRNVR_LE_SIMUL FROM BU_LOANTAPE_WORK.LT003_ENTTY_P3_NOV24)Y ON X.ENTTY_ID=Y.ENTTY_ID_SIMUL</v>
      </c>
      <c r="M62" s="43" t="str">
        <f t="shared" si="0"/>
        <v>UNION ALL SELECT 'ENTITY' AS TABELA, 'COERÊNCIA' AS TIPOLOGIA_TESTE,'BU_LOANTAPE_WORK.LT003_ENTITY' AS TABELA_LT,'BU_LOANTAPE_WORK.LT003_ENTTY_P3_NOV24' AS TABELA_SIMUL,'GRP_ANNL_TRNVR_LE' AS CAMPO, '${ref_date}' AS REF_DATE, COUNT(*) AS NUM_REG, SUM(IF((ABS(COALESCE(X.GRP_ANNL_TRNVR_LE,0)-COALESCE(Y.GRP_ANNL_TRNVR_LE_SIMUL,0))&gt;0.0000000001) OR (X.GRP_ANNL_TRNVR_LE IS NULL AND Y.GRP_ANNL_TRNVR_LE_SIMUL IS NOT NULL ) OR (X.GRP_ANNL_TRNVR_LE IS NOT NULL AND Y.GRP_ANNL_TRNVR_LE_SIMUL IS NULL),1,0)) AS NUM_REG_DIF,'10' AS ID_EXEC, CURRENT_TIMESTAMP() AS TIME_EXEC FROM (SELECT entty_id, GRP_ANNL_TRNVR_LE FROM BU_LOANTAPE_WORK.LT003_ENTITY WHERE ref_date='${ref_date}' AND nome_perimetro='Individual Corporativo' AND segmento='ESTR' AND ambito='PILAR3')X INNER JOIN (SELECT entty_id AS entty_id_SIMUL, GRP_ANNL_TRNVR_LE AS GRP_ANNL_TRNVR_LE_SIMUL FROM BU_LOANTAPE_WORK.LT003_ENTTY_P3_NOV24)Y ON X.ENTTY_ID=Y.ENTTY_ID_SIMUL</v>
      </c>
      <c r="N62" s="45" t="s">
        <v>13</v>
      </c>
    </row>
    <row r="63" spans="2:14">
      <c r="B63" s="41" t="s">
        <v>23</v>
      </c>
      <c r="C63" s="41" t="s">
        <v>74</v>
      </c>
      <c r="D63" s="41" t="str">
        <f>+UPPER('0. Instruções'!$D$33&amp;"."&amp;VLOOKUP(B63,'0. Instruções'!$C$27:$D$31,2,FALSE))</f>
        <v>BU_LOANTAPE_WORK.LT003_ENTITY</v>
      </c>
      <c r="E63" s="41" t="str">
        <f>+UPPER('0. Instruções'!$D$34&amp;"."&amp;VLOOKUP(B63,'0. Instruções'!$C$27:$E$31,3,FALSE))</f>
        <v>BU_LOANTAPE_WORK.LT003_ENTTY_P3_NOV24</v>
      </c>
      <c r="F63" s="41" t="s">
        <v>129</v>
      </c>
      <c r="G63" s="41" t="s">
        <v>213</v>
      </c>
      <c r="H63" s="41"/>
      <c r="I63" s="41" t="str">
        <f>"(SELECT "&amp;VLOOKUP(B63,'0. Instruções'!$C$27:$G$31,4,FALSE)&amp;", "&amp;F63&amp;" FROM "&amp;D63&amp;" WHERE "&amp;'0. Instruções'!$D$40&amp;")X"</f>
        <v>(SELECT entty_id, GRP_TTL_LBLTY FROM BU_LOANTAPE_WORK.LT003_ENTITY WHERE ref_date='${ref_date}' AND nome_perimetro='Individual Corporativo' AND segmento='ESTR' AND ambito='PILAR3')X</v>
      </c>
      <c r="J63" s="41" t="str">
        <f>"(SELECT "&amp;VLOOKUP(B63,'0. Instruções'!$C$27:$G$31,4,FALSE)&amp;" AS "&amp;VLOOKUP(B63,'0. Instruções'!$C$27:$G$31,4,FALSE)&amp;"_SIMUL, "&amp;F63&amp;" AS "&amp;F63&amp;"_SIMUL FROM "&amp;E63&amp;")Y"</f>
        <v>(SELECT entty_id AS entty_id_SIMUL, GRP_TTL_LBLTY AS GRP_TTL_LBLTY_SIMUL FROM BU_LOANTAPE_WORK.LT003_ENTTY_P3_NOV24)Y</v>
      </c>
      <c r="K63" s="42" t="str">
        <f>+UPPER("ON X."&amp;VLOOKUP(B63,'0. Instruções'!$C$27:$G$31,4,FALSE)&amp;"=Y."&amp;VLOOKUP(B63,'0. Instruções'!$C$27:$G$31,4,FALSE)&amp;"_SIMUL")</f>
        <v>ON X.ENTTY_ID=Y.ENTTY_ID_SIMUL</v>
      </c>
      <c r="L63" s="42" t="str">
        <f>+IF(C63="Coerência", +IF(LEFT(G63,5)="FLOAT","SELECT '"&amp;UPPER(B63)&amp;"' AS TABELA, '"&amp;UPPER(C63)&amp;"' AS TIPOLOGIA_TESTE,'"&amp;D63&amp;"' AS TABELA_LT,'"&amp;E63&amp;"' AS TABELA_SIMUL,'"&amp;F63&amp;"' AS CAMPO, "&amp;"'${ref_date}' AS REF_DATE, COUNT(*) AS NUM_REG, SUM(IF((ABS(COALESCE(X."&amp;F63&amp;",0)-COALESCE(Y."&amp;F63&amp;"_SIMUL,0))&gt;0.0000000001) OR (X."&amp;F63&amp;" IS NULL AND Y."&amp;F63&amp;"_SIMUL IS NOT NULL ) OR (X."&amp;F63&amp;" IS NOT NULL AND Y."&amp;F63&amp;"_SIMUL IS NULL),1,0)) AS NUM_REG_DIF,'"&amp;MAX('ID1&amp;5'!K:K)+1&amp;"' AS ID_EXEC, CURRENT_TIMESTAMP() AS TIME_EXEC FROM "&amp;I63&amp;" INNER JOIN "&amp;J63&amp;" "&amp;K63,"SELECT '"&amp;UPPER(B63)&amp;"' AS TABELA, '"&amp;UPPER(C63)&amp;"' AS TIPOLOGIA_TESTE,'"&amp;D63&amp;"' AS TABELA_LT,'"&amp;E63&amp;"' AS TABELA_SIMUL,'"&amp;F63&amp;"' AS CAMPO, "&amp;"'${ref_date}' AS REF_DATE, COUNT(*) AS NUM_REG, SUM(IF(COALESCE(CAST(X."&amp;F63&amp;" AS STRING),'')&lt;&gt;COALESCE(CAST(Y."&amp;F63&amp;"_SIMUL AS STRING),''),1,0)) AS NUM_REG_DIF,'"&amp;MAX('ID1&amp;5'!L:L)+1&amp;"' AS ID_EXEC, CURRENT_TIMESTAMP() AS TIME_EXEC FROM "&amp;I63&amp;" INNER JOIN "&amp;J63&amp;" "&amp;K63),
IF(C63="Validade",+IF(G63="Code List","SELECT '"&amp;UPPER(B63)&amp;"' AS TABELA, '"&amp;UPPER(C63)&amp;"' AS TIPOLOGIA_TESTE,'"&amp;D63&amp;"' AS TABELA_LT,'N/A' AS TABELA_SIMUL,'"&amp;F63&amp;"' AS CAMPO, "&amp;"'${ref_date}' AS REF_DATE, COUNT(*) AS NUM_REG, SUM(IF(TRIM(CAST(X."&amp;F63&amp;" AS STRING))='' OR TRIM(CAST(X."&amp;F63&amp;" AS STRING)) IS NULL OR CAST(X."&amp;F63&amp;" AS STRING) NOT "&amp;H63&amp;",1,0)) AS NUM_REG_DIF,'"&amp;MAX('ID1&amp;5'!K:K)+1&amp;"' AS ID_EXEC, CURRENT_TIMESTAMP() AS TIME_EXEC FROM "&amp;I63,"SELECT '"&amp;UPPER(B63)&amp;"' AS TABELA, '"&amp;UPPER(C63)&amp;"' AS TIPOLOGIA_TESTE,'"&amp;D63&amp;"' AS TABELA_LT,'N/A' AS TABELA_SIMUL,'"&amp;F63&amp;"' AS CAMPO, "&amp;"'${ref_date}' AS REF_DATE, COUNT(*) AS NUM_REG, SUM(IF(TRIM(CAST(X."&amp;F63&amp;" AS STRING))='' OR TRIM(CAST(X."&amp;F63&amp;" AS STRING)) IS NULL,1,0)) AS NUM_REG_DIF,'"&amp;MAX('ID1&amp;5'!K:K)+1&amp;"' AS ID_EXEC, CURRENT_TIMESTAMP() AS TIME_EXEC FROM "&amp;I63),
IF(C63="Caracteres Especiais",+"SELECT '"&amp;UPPER(B63)&amp;"' AS TABELA, '"&amp;UPPER(C63)&amp;"' AS TIPOLOGIA_TESTE,'"&amp;D63&amp;"' AS TABELA_LT,'N/A' AS TABELA_SIMUL,'"&amp;F63&amp;"' AS CAMPO, "&amp;"'${ref_date}' AS REF_DATE, COUNT(*) AS NUM_REG, SUM(IF(INSTR(CAST(X."&amp;F63&amp;" AS STRING),'#')&gt;0 OR INSTR(CAST(X."&amp;F63&amp;" AS STRING),'*')&gt;0 OR INSTR(CAST(X."&amp;F63&amp;" AS STRING),'`')&gt;0 OR INSTR(CAST(X."&amp;F63&amp;" AS STRING),'´')&gt;0 OR INSTR(CAST(X."&amp;F63&amp;" AS STRING),'{')&gt;0 OR INSTR(CAST(X."&amp;F63&amp;" AS STRING),'}')&gt;0 OR INSTR(CAST(X."&amp;F63&amp;" AS STRING),'[')&gt;0 OR INSTR(CAST(X."&amp;F63&amp;" AS STRING),'')&gt;0 OR INSTR(CAST(X."&amp;F63&amp;" AS STRING),']')&gt;0 OR INSTR(CAST(X."&amp;F63&amp;" AS STRING),'?')&gt;0 OR INSTR(CAST(X."&amp;F63&amp;" AS STRING),'!')&gt;0 OR INSTR(CAST(X."&amp;F63&amp;" AS STRING),'$')&gt;0 OR INSTR(CAST(X."&amp;F63&amp;" AS STRING),'%')&gt;0 OR INSTR(CAST(X."&amp;F63&amp;" AS STRING),'&amp;')&gt;0 OR INSTR(CAST(X."&amp;F63&amp;" AS STRING),'+')&gt;0,1,0)) AS NUM_REG_DIF,'"&amp;MAX('ID1&amp;5'!K:K)+1&amp;"' AS ID_EXEC, CURRENT_TIMESTAMP() AS TIME_EXEC FROM "&amp;I63,
IF(C63="Missings",+"SELECT '"&amp;UPPER(B63)&amp;"' AS TABELA, '"&amp;UPPER(C63)&amp;"' AS TIPOLOGIA_TESTE,'"&amp;D63&amp;"' AS TABELA_LT,'N/A' AS TABELA_SIMUL,'"&amp;F63&amp;"' AS CAMPO, "&amp;"'${ref_date}' AS REF_DATE, COUNT(*) AS NUM_REG, SUM(IF(TRIM(CAST(X."&amp;F63&amp;" AS STRING)) IN ('0000-00-00','0001-01-01','9999-12-31','MISS','00000','99999999999','99999999999.00','99999999999.000000'),1,0)) AS NUM_REG_DIF,'"&amp;MAX('ID1&amp;5'!K:K)+1&amp;"' AS ID_EXEC, CURRENT_TIMESTAMP() AS TIME_EXEC FROM "&amp;I63,
IF(C63="Not applicable",+"SELECT '"&amp;UPPER(B63)&amp;"' AS TABELA, '"&amp;UPPER(C63)&amp;"' AS TIPOLOGIA_TESTE,'"&amp;D63&amp;"' AS TABELA_LT,'N/A' AS TABELA_SIMUL,'"&amp;F63&amp;"' AS CAMPO, "&amp;"'${ref_date}' AS REF_DATE, COUNT(*) AS NUM_REG, SUM(IF(TRIM(CAST(X."&amp;F63&amp;" AS STRING)) IN ('N/A','11111111111','11111111111.00','11111111111.000000','1111-11-11'),1,0)) AS NUM_REG_DIF,'"&amp;MAX('ID1&amp;5'!K:K)+1&amp;"' AS ID_EXEC, CURRENT_TIMESTAMP() AS TIME_EXEC FROM "&amp;I63,
IF(C63="Valores extremos",+"SELECT '"&amp;UPPER(B63)&amp;"' AS TABELA, '"&amp;UPPER(C63)&amp;"' AS TIPOLOGIA_TESTE,'"&amp;D63&amp;"' AS TABELA_LT,'N/A' AS TABELA_SIMUL,'"&amp;F63&amp;"' AS CAMPO, "&amp;"'${ref_date}' AS REF_DATE, CAST(MIN("&amp;F63&amp;") AS STRING) AS VALOR_MIN, CAST(MAX("&amp;F63&amp;") AS STRING) AS VALOR_MAX,'"&amp;MAX('ID1&amp;5'!K:K)+1&amp;"' AS ID_EXEC, CURRENT_TIMESTAMP() AS TIME_EXEC FROM "&amp;MID(I63,1,LEN(I63)-2)&amp;" AND CAST("&amp;F63&amp;"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TABELA_SIMUL,'GRP_TTL_LBLTY' AS CAMPO, '${ref_date}' AS REF_DATE, COUNT(*) AS NUM_REG, SUM(IF((ABS(COALESCE(X.GRP_TTL_LBLTY,0)-COALESCE(Y.GRP_TTL_LBLTY_SIMUL,0))&gt;0.0000000001) OR (X.GRP_TTL_LBLTY IS NULL AND Y.GRP_TTL_LBLTY_SIMUL IS NOT NULL ) OR (X.GRP_TTL_LBLTY IS NOT NULL AND Y.GRP_TTL_LBLTY_SIMUL IS NULL),1,0)) AS NUM_REG_DIF,'10' AS ID_EXEC, CURRENT_TIMESTAMP() AS TIME_EXEC FROM (SELECT entty_id, GRP_TTL_LBLTY FROM BU_LOANTAPE_WORK.LT003_ENTITY WHERE ref_date='${ref_date}' AND nome_perimetro='Individual Corporativo' AND segmento='ESTR' AND ambito='PILAR3')X INNER JOIN (SELECT entty_id AS entty_id_SIMUL, GRP_TTL_LBLTY AS GRP_TTL_LBLTY_SIMUL FROM BU_LOANTAPE_WORK.LT003_ENTTY_P3_NOV24)Y ON X.ENTTY_ID=Y.ENTTY_ID_SIMUL</v>
      </c>
      <c r="M63" s="43" t="str">
        <f t="shared" si="0"/>
        <v>UNION ALL SELECT 'ENTITY' AS TABELA, 'COERÊNCIA' AS TIPOLOGIA_TESTE,'BU_LOANTAPE_WORK.LT003_ENTITY' AS TABELA_LT,'BU_LOANTAPE_WORK.LT003_ENTTY_P3_NOV24' AS TABELA_SIMUL,'GRP_TTL_LBLTY' AS CAMPO, '${ref_date}' AS REF_DATE, COUNT(*) AS NUM_REG, SUM(IF((ABS(COALESCE(X.GRP_TTL_LBLTY,0)-COALESCE(Y.GRP_TTL_LBLTY_SIMUL,0))&gt;0.0000000001) OR (X.GRP_TTL_LBLTY IS NULL AND Y.GRP_TTL_LBLTY_SIMUL IS NOT NULL ) OR (X.GRP_TTL_LBLTY IS NOT NULL AND Y.GRP_TTL_LBLTY_SIMUL IS NULL),1,0)) AS NUM_REG_DIF,'10' AS ID_EXEC, CURRENT_TIMESTAMP() AS TIME_EXEC FROM (SELECT entty_id, GRP_TTL_LBLTY FROM BU_LOANTAPE_WORK.LT003_ENTITY WHERE ref_date='${ref_date}' AND nome_perimetro='Individual Corporativo' AND segmento='ESTR' AND ambito='PILAR3')X INNER JOIN (SELECT entty_id AS entty_id_SIMUL, GRP_TTL_LBLTY AS GRP_TTL_LBLTY_SIMUL FROM BU_LOANTAPE_WORK.LT003_ENTTY_P3_NOV24)Y ON X.ENTTY_ID=Y.ENTTY_ID_SIMUL</v>
      </c>
      <c r="N63" s="45" t="s">
        <v>13</v>
      </c>
    </row>
    <row r="64" spans="2:14">
      <c r="B64" s="41" t="s">
        <v>23</v>
      </c>
      <c r="C64" s="41" t="s">
        <v>74</v>
      </c>
      <c r="D64" s="41" t="str">
        <f>+UPPER('0. Instruções'!$D$33&amp;"."&amp;VLOOKUP(B64,'0. Instruções'!$C$27:$D$31,2,FALSE))</f>
        <v>BU_LOANTAPE_WORK.LT003_ENTITY</v>
      </c>
      <c r="E64" s="41" t="str">
        <f>+UPPER('0. Instruções'!$D$34&amp;"."&amp;VLOOKUP(B64,'0. Instruções'!$C$27:$E$31,3,FALSE))</f>
        <v>BU_LOANTAPE_WORK.LT003_ENTTY_P3_NOV24</v>
      </c>
      <c r="F64" s="41" t="s">
        <v>130</v>
      </c>
      <c r="G64" s="41" t="s">
        <v>211</v>
      </c>
      <c r="H64" s="41"/>
      <c r="I64" s="41" t="str">
        <f>"(SELECT "&amp;VLOOKUP(B64,'0. Instruções'!$C$27:$G$31,4,FALSE)&amp;", "&amp;F64&amp;" FROM "&amp;D64&amp;" WHERE "&amp;'0. Instruções'!$D$40&amp;")X"</f>
        <v>(SELECT entty_id, FLG_GRP_NFRD_APPLCBLTY FROM BU_LOANTAPE_WORK.LT003_ENTITY WHERE ref_date='${ref_date}' AND nome_perimetro='Individual Corporativo' AND segmento='ESTR' AND ambito='PILAR3')X</v>
      </c>
      <c r="J64" s="41" t="str">
        <f>"(SELECT "&amp;VLOOKUP(B64,'0. Instruções'!$C$27:$G$31,4,FALSE)&amp;" AS "&amp;VLOOKUP(B64,'0. Instruções'!$C$27:$G$31,4,FALSE)&amp;"_SIMUL, "&amp;F64&amp;" AS "&amp;F64&amp;"_SIMUL FROM "&amp;E64&amp;")Y"</f>
        <v>(SELECT entty_id AS entty_id_SIMUL, FLG_GRP_NFRD_APPLCBLTY AS FLG_GRP_NFRD_APPLCBLTY_SIMUL FROM BU_LOANTAPE_WORK.LT003_ENTTY_P3_NOV24)Y</v>
      </c>
      <c r="K64" s="42" t="str">
        <f>+UPPER("ON X."&amp;VLOOKUP(B64,'0. Instruções'!$C$27:$G$31,4,FALSE)&amp;"=Y."&amp;VLOOKUP(B64,'0. Instruções'!$C$27:$G$31,4,FALSE)&amp;"_SIMUL")</f>
        <v>ON X.ENTTY_ID=Y.ENTTY_ID_SIMUL</v>
      </c>
      <c r="L64" s="42" t="str">
        <f>+IF(C64="Coerência", +IF(LEFT(G64,5)="FLOAT","SELECT '"&amp;UPPER(B64)&amp;"' AS TABELA, '"&amp;UPPER(C64)&amp;"' AS TIPOLOGIA_TESTE,'"&amp;D64&amp;"' AS TABELA_LT,'"&amp;E64&amp;"' AS TABELA_SIMUL,'"&amp;F64&amp;"' AS CAMPO, "&amp;"'${ref_date}' AS REF_DATE, COUNT(*) AS NUM_REG, SUM(IF((ABS(COALESCE(X."&amp;F64&amp;",0)-COALESCE(Y."&amp;F64&amp;"_SIMUL,0))&gt;0.0000000001) OR (X."&amp;F64&amp;" IS NULL AND Y."&amp;F64&amp;"_SIMUL IS NOT NULL ) OR (X."&amp;F64&amp;" IS NOT NULL AND Y."&amp;F64&amp;"_SIMUL IS NULL),1,0)) AS NUM_REG_DIF,'"&amp;MAX('ID1&amp;5'!K:K)+1&amp;"' AS ID_EXEC, CURRENT_TIMESTAMP() AS TIME_EXEC FROM "&amp;I64&amp;" INNER JOIN "&amp;J64&amp;" "&amp;K64,"SELECT '"&amp;UPPER(B64)&amp;"' AS TABELA, '"&amp;UPPER(C64)&amp;"' AS TIPOLOGIA_TESTE,'"&amp;D64&amp;"' AS TABELA_LT,'"&amp;E64&amp;"' AS TABELA_SIMUL,'"&amp;F64&amp;"' AS CAMPO, "&amp;"'${ref_date}' AS REF_DATE, COUNT(*) AS NUM_REG, SUM(IF(COALESCE(CAST(X."&amp;F64&amp;" AS STRING),'')&lt;&gt;COALESCE(CAST(Y."&amp;F64&amp;"_SIMUL AS STRING),''),1,0)) AS NUM_REG_DIF,'"&amp;MAX('ID1&amp;5'!L:L)+1&amp;"' AS ID_EXEC, CURRENT_TIMESTAMP() AS TIME_EXEC FROM "&amp;I64&amp;" INNER JOIN "&amp;J64&amp;" "&amp;K64),
IF(C64="Validade",+IF(G64="Code List","SELECT '"&amp;UPPER(B64)&amp;"' AS TABELA, '"&amp;UPPER(C64)&amp;"' AS TIPOLOGIA_TESTE,'"&amp;D64&amp;"' AS TABELA_LT,'N/A' AS TABELA_SIMUL,'"&amp;F64&amp;"' AS CAMPO, "&amp;"'${ref_date}' AS REF_DATE, COUNT(*) AS NUM_REG, SUM(IF(TRIM(CAST(X."&amp;F64&amp;" AS STRING))='' OR TRIM(CAST(X."&amp;F64&amp;" AS STRING)) IS NULL OR CAST(X."&amp;F64&amp;" AS STRING) NOT "&amp;H64&amp;",1,0)) AS NUM_REG_DIF,'"&amp;MAX('ID1&amp;5'!K:K)+1&amp;"' AS ID_EXEC, CURRENT_TIMESTAMP() AS TIME_EXEC FROM "&amp;I64,"SELECT '"&amp;UPPER(B64)&amp;"' AS TABELA, '"&amp;UPPER(C64)&amp;"' AS TIPOLOGIA_TESTE,'"&amp;D64&amp;"' AS TABELA_LT,'N/A' AS TABELA_SIMUL,'"&amp;F64&amp;"' AS CAMPO, "&amp;"'${ref_date}' AS REF_DATE, COUNT(*) AS NUM_REG, SUM(IF(TRIM(CAST(X."&amp;F64&amp;" AS STRING))='' OR TRIM(CAST(X."&amp;F64&amp;" AS STRING)) IS NULL,1,0)) AS NUM_REG_DIF,'"&amp;MAX('ID1&amp;5'!K:K)+1&amp;"' AS ID_EXEC, CURRENT_TIMESTAMP() AS TIME_EXEC FROM "&amp;I64),
IF(C64="Caracteres Especiais",+"SELECT '"&amp;UPPER(B64)&amp;"' AS TABELA, '"&amp;UPPER(C64)&amp;"' AS TIPOLOGIA_TESTE,'"&amp;D64&amp;"' AS TABELA_LT,'N/A' AS TABELA_SIMUL,'"&amp;F64&amp;"' AS CAMPO, "&amp;"'${ref_date}' AS REF_DATE, COUNT(*) AS NUM_REG, SUM(IF(INSTR(CAST(X."&amp;F64&amp;" AS STRING),'#')&gt;0 OR INSTR(CAST(X."&amp;F64&amp;" AS STRING),'*')&gt;0 OR INSTR(CAST(X."&amp;F64&amp;" AS STRING),'`')&gt;0 OR INSTR(CAST(X."&amp;F64&amp;" AS STRING),'´')&gt;0 OR INSTR(CAST(X."&amp;F64&amp;" AS STRING),'{')&gt;0 OR INSTR(CAST(X."&amp;F64&amp;" AS STRING),'}')&gt;0 OR INSTR(CAST(X."&amp;F64&amp;" AS STRING),'[')&gt;0 OR INSTR(CAST(X."&amp;F64&amp;" AS STRING),'')&gt;0 OR INSTR(CAST(X."&amp;F64&amp;" AS STRING),']')&gt;0 OR INSTR(CAST(X."&amp;F64&amp;" AS STRING),'?')&gt;0 OR INSTR(CAST(X."&amp;F64&amp;" AS STRING),'!')&gt;0 OR INSTR(CAST(X."&amp;F64&amp;" AS STRING),'$')&gt;0 OR INSTR(CAST(X."&amp;F64&amp;" AS STRING),'%')&gt;0 OR INSTR(CAST(X."&amp;F64&amp;" AS STRING),'&amp;')&gt;0 OR INSTR(CAST(X."&amp;F64&amp;" AS STRING),'+')&gt;0,1,0)) AS NUM_REG_DIF,'"&amp;MAX('ID1&amp;5'!K:K)+1&amp;"' AS ID_EXEC, CURRENT_TIMESTAMP() AS TIME_EXEC FROM "&amp;I64,
IF(C64="Missings",+"SELECT '"&amp;UPPER(B64)&amp;"' AS TABELA, '"&amp;UPPER(C64)&amp;"' AS TIPOLOGIA_TESTE,'"&amp;D64&amp;"' AS TABELA_LT,'N/A' AS TABELA_SIMUL,'"&amp;F64&amp;"' AS CAMPO, "&amp;"'${ref_date}' AS REF_DATE, COUNT(*) AS NUM_REG, SUM(IF(TRIM(CAST(X."&amp;F64&amp;" AS STRING)) IN ('0000-00-00','0001-01-01','9999-12-31','MISS','00000','99999999999','99999999999.00','99999999999.000000'),1,0)) AS NUM_REG_DIF,'"&amp;MAX('ID1&amp;5'!K:K)+1&amp;"' AS ID_EXEC, CURRENT_TIMESTAMP() AS TIME_EXEC FROM "&amp;I64,
IF(C64="Not applicable",+"SELECT '"&amp;UPPER(B64)&amp;"' AS TABELA, '"&amp;UPPER(C64)&amp;"' AS TIPOLOGIA_TESTE,'"&amp;D64&amp;"' AS TABELA_LT,'N/A' AS TABELA_SIMUL,'"&amp;F64&amp;"' AS CAMPO, "&amp;"'${ref_date}' AS REF_DATE, COUNT(*) AS NUM_REG, SUM(IF(TRIM(CAST(X."&amp;F64&amp;" AS STRING)) IN ('N/A','11111111111','11111111111.00','11111111111.000000','1111-11-11'),1,0)) AS NUM_REG_DIF,'"&amp;MAX('ID1&amp;5'!K:K)+1&amp;"' AS ID_EXEC, CURRENT_TIMESTAMP() AS TIME_EXEC FROM "&amp;I64,
IF(C64="Valores extremos",+"SELECT '"&amp;UPPER(B64)&amp;"' AS TABELA, '"&amp;UPPER(C64)&amp;"' AS TIPOLOGIA_TESTE,'"&amp;D64&amp;"' AS TABELA_LT,'N/A' AS TABELA_SIMUL,'"&amp;F64&amp;"' AS CAMPO, "&amp;"'${ref_date}' AS REF_DATE, CAST(MIN("&amp;F64&amp;") AS STRING) AS VALOR_MIN, CAST(MAX("&amp;F64&amp;") AS STRING) AS VALOR_MAX,'"&amp;MAX('ID1&amp;5'!K:K)+1&amp;"' AS ID_EXEC, CURRENT_TIMESTAMP() AS TIME_EXEC FROM "&amp;MID(I64,1,LEN(I64)-2)&amp;" AND CAST("&amp;F64&amp;"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TABELA_SIMUL,'FLG_GRP_NFRD_APPLCBLTY' AS CAMPO, '${ref_date}' AS REF_DATE, COUNT(*) AS NUM_REG, SUM(IF(COALESCE(CAST(X.FLG_GRP_NFRD_APPLCBLTY AS STRING),'')&lt;&gt;COALESCE(CAST(Y.FLG_GRP_NFRD_APPLCBLTY_SIMUL AS STRING),''),1,0)) AS NUM_REG_DIF,'1' AS ID_EXEC, CURRENT_TIMESTAMP() AS TIME_EXEC FROM (SELECT entty_id, FLG_GRP_NFRD_APPLCBLTY FROM BU_LOANTAPE_WORK.LT003_ENTITY WHERE ref_date='${ref_date}' AND nome_perimetro='Individual Corporativo' AND segmento='ESTR' AND ambito='PILAR3')X INNER JOIN (SELECT entty_id AS entty_id_SIMUL, FLG_GRP_NFRD_APPLCBLTY AS FLG_GRP_NFRD_APPLCBLTY_SIMUL FROM BU_LOANTAPE_WORK.LT003_ENTTY_P3_NOV24)Y ON X.ENTTY_ID=Y.ENTTY_ID_SIMUL</v>
      </c>
      <c r="M64" s="43" t="str">
        <f t="shared" si="0"/>
        <v>UNION ALL SELECT 'ENTITY' AS TABELA, 'COERÊNCIA' AS TIPOLOGIA_TESTE,'BU_LOANTAPE_WORK.LT003_ENTITY' AS TABELA_LT,'BU_LOANTAPE_WORK.LT003_ENTTY_P3_NOV24' AS TABELA_SIMUL,'FLG_GRP_NFRD_APPLCBLTY' AS CAMPO, '${ref_date}' AS REF_DATE, COUNT(*) AS NUM_REG, SUM(IF(COALESCE(CAST(X.FLG_GRP_NFRD_APPLCBLTY AS STRING),'')&lt;&gt;COALESCE(CAST(Y.FLG_GRP_NFRD_APPLCBLTY_SIMUL AS STRING),''),1,0)) AS NUM_REG_DIF,'1' AS ID_EXEC, CURRENT_TIMESTAMP() AS TIME_EXEC FROM (SELECT entty_id, FLG_GRP_NFRD_APPLCBLTY FROM BU_LOANTAPE_WORK.LT003_ENTITY WHERE ref_date='${ref_date}' AND nome_perimetro='Individual Corporativo' AND segmento='ESTR' AND ambito='PILAR3')X INNER JOIN (SELECT entty_id AS entty_id_SIMUL, FLG_GRP_NFRD_APPLCBLTY AS FLG_GRP_NFRD_APPLCBLTY_SIMUL FROM BU_LOANTAPE_WORK.LT003_ENTTY_P3_NOV24)Y ON X.ENTTY_ID=Y.ENTTY_ID_SIMUL</v>
      </c>
      <c r="N64" s="45" t="s">
        <v>13</v>
      </c>
    </row>
    <row r="65" spans="2:14">
      <c r="B65" s="41" t="s">
        <v>23</v>
      </c>
      <c r="C65" s="41" t="s">
        <v>74</v>
      </c>
      <c r="D65" s="41" t="str">
        <f>+UPPER('0. Instruções'!$D$33&amp;"."&amp;VLOOKUP(B65,'0. Instruções'!$C$27:$D$31,2,FALSE))</f>
        <v>BU_LOANTAPE_WORK.LT003_ENTITY</v>
      </c>
      <c r="E65" s="41" t="str">
        <f>+UPPER('0. Instruções'!$D$34&amp;"."&amp;VLOOKUP(B65,'0. Instruções'!$C$27:$E$31,3,FALSE))</f>
        <v>BU_LOANTAPE_WORK.LT003_ENTTY_P3_NOV24</v>
      </c>
      <c r="F65" s="41" t="s">
        <v>131</v>
      </c>
      <c r="G65" s="41" t="s">
        <v>210</v>
      </c>
      <c r="H65" s="41"/>
      <c r="I65" s="41" t="str">
        <f>"(SELECT "&amp;VLOOKUP(B65,'0. Instruções'!$C$27:$G$31,4,FALSE)&amp;", "&amp;F65&amp;" FROM "&amp;D65&amp;" WHERE "&amp;'0. Instruções'!$D$40&amp;")X"</f>
        <v>(SELECT entty_id, GRP_EMSSNS_SCP1 FROM BU_LOANTAPE_WORK.LT003_ENTITY WHERE ref_date='${ref_date}' AND nome_perimetro='Individual Corporativo' AND segmento='ESTR' AND ambito='PILAR3')X</v>
      </c>
      <c r="J65" s="41" t="str">
        <f>"(SELECT "&amp;VLOOKUP(B65,'0. Instruções'!$C$27:$G$31,4,FALSE)&amp;" AS "&amp;VLOOKUP(B65,'0. Instruções'!$C$27:$G$31,4,FALSE)&amp;"_SIMUL, "&amp;F65&amp;" AS "&amp;F65&amp;"_SIMUL FROM "&amp;E65&amp;")Y"</f>
        <v>(SELECT entty_id AS entty_id_SIMUL, GRP_EMSSNS_SCP1 AS GRP_EMSSNS_SCP1_SIMUL FROM BU_LOANTAPE_WORK.LT003_ENTTY_P3_NOV24)Y</v>
      </c>
      <c r="K65" s="42" t="str">
        <f>+UPPER("ON X."&amp;VLOOKUP(B65,'0. Instruções'!$C$27:$G$31,4,FALSE)&amp;"=Y."&amp;VLOOKUP(B65,'0. Instruções'!$C$27:$G$31,4,FALSE)&amp;"_SIMUL")</f>
        <v>ON X.ENTTY_ID=Y.ENTTY_ID_SIMUL</v>
      </c>
      <c r="L65" s="42" t="str">
        <f>+IF(C65="Coerência", +IF(LEFT(G65,5)="FLOAT","SELECT '"&amp;UPPER(B65)&amp;"' AS TABELA, '"&amp;UPPER(C65)&amp;"' AS TIPOLOGIA_TESTE,'"&amp;D65&amp;"' AS TABELA_LT,'"&amp;E65&amp;"' AS TABELA_SIMUL,'"&amp;F65&amp;"' AS CAMPO, "&amp;"'${ref_date}' AS REF_DATE, COUNT(*) AS NUM_REG, SUM(IF((ABS(COALESCE(X."&amp;F65&amp;",0)-COALESCE(Y."&amp;F65&amp;"_SIMUL,0))&gt;0.0000000001) OR (X."&amp;F65&amp;" IS NULL AND Y."&amp;F65&amp;"_SIMUL IS NOT NULL ) OR (X."&amp;F65&amp;" IS NOT NULL AND Y."&amp;F65&amp;"_SIMUL IS NULL),1,0)) AS NUM_REG_DIF,'"&amp;MAX('ID1&amp;5'!K:K)+1&amp;"' AS ID_EXEC, CURRENT_TIMESTAMP() AS TIME_EXEC FROM "&amp;I65&amp;" INNER JOIN "&amp;J65&amp;" "&amp;K65,"SELECT '"&amp;UPPER(B65)&amp;"' AS TABELA, '"&amp;UPPER(C65)&amp;"' AS TIPOLOGIA_TESTE,'"&amp;D65&amp;"' AS TABELA_LT,'"&amp;E65&amp;"' AS TABELA_SIMUL,'"&amp;F65&amp;"' AS CAMPO, "&amp;"'${ref_date}' AS REF_DATE, COUNT(*) AS NUM_REG, SUM(IF(COALESCE(CAST(X."&amp;F65&amp;" AS STRING),'')&lt;&gt;COALESCE(CAST(Y."&amp;F65&amp;"_SIMUL AS STRING),''),1,0)) AS NUM_REG_DIF,'"&amp;MAX('ID1&amp;5'!L:L)+1&amp;"' AS ID_EXEC, CURRENT_TIMESTAMP() AS TIME_EXEC FROM "&amp;I65&amp;" INNER JOIN "&amp;J65&amp;" "&amp;K65),
IF(C65="Validade",+IF(G65="Code List","SELECT '"&amp;UPPER(B65)&amp;"' AS TABELA, '"&amp;UPPER(C65)&amp;"' AS TIPOLOGIA_TESTE,'"&amp;D65&amp;"' AS TABELA_LT,'N/A' AS TABELA_SIMUL,'"&amp;F65&amp;"' AS CAMPO, "&amp;"'${ref_date}' AS REF_DATE, COUNT(*) AS NUM_REG, SUM(IF(TRIM(CAST(X."&amp;F65&amp;" AS STRING))='' OR TRIM(CAST(X."&amp;F65&amp;" AS STRING)) IS NULL OR CAST(X."&amp;F65&amp;" AS STRING) NOT "&amp;H65&amp;",1,0)) AS NUM_REG_DIF,'"&amp;MAX('ID1&amp;5'!K:K)+1&amp;"' AS ID_EXEC, CURRENT_TIMESTAMP() AS TIME_EXEC FROM "&amp;I65,"SELECT '"&amp;UPPER(B65)&amp;"' AS TABELA, '"&amp;UPPER(C65)&amp;"' AS TIPOLOGIA_TESTE,'"&amp;D65&amp;"' AS TABELA_LT,'N/A' AS TABELA_SIMUL,'"&amp;F65&amp;"' AS CAMPO, "&amp;"'${ref_date}' AS REF_DATE, COUNT(*) AS NUM_REG, SUM(IF(TRIM(CAST(X."&amp;F65&amp;" AS STRING))='' OR TRIM(CAST(X."&amp;F65&amp;" AS STRING)) IS NULL,1,0)) AS NUM_REG_DIF,'"&amp;MAX('ID1&amp;5'!K:K)+1&amp;"' AS ID_EXEC, CURRENT_TIMESTAMP() AS TIME_EXEC FROM "&amp;I65),
IF(C65="Caracteres Especiais",+"SELECT '"&amp;UPPER(B65)&amp;"' AS TABELA, '"&amp;UPPER(C65)&amp;"' AS TIPOLOGIA_TESTE,'"&amp;D65&amp;"' AS TABELA_LT,'N/A' AS TABELA_SIMUL,'"&amp;F65&amp;"' AS CAMPO, "&amp;"'${ref_date}' AS REF_DATE, COUNT(*) AS NUM_REG, SUM(IF(INSTR(CAST(X."&amp;F65&amp;" AS STRING),'#')&gt;0 OR INSTR(CAST(X."&amp;F65&amp;" AS STRING),'*')&gt;0 OR INSTR(CAST(X."&amp;F65&amp;" AS STRING),'`')&gt;0 OR INSTR(CAST(X."&amp;F65&amp;" AS STRING),'´')&gt;0 OR INSTR(CAST(X."&amp;F65&amp;" AS STRING),'{')&gt;0 OR INSTR(CAST(X."&amp;F65&amp;" AS STRING),'}')&gt;0 OR INSTR(CAST(X."&amp;F65&amp;" AS STRING),'[')&gt;0 OR INSTR(CAST(X."&amp;F65&amp;" AS STRING),'')&gt;0 OR INSTR(CAST(X."&amp;F65&amp;" AS STRING),']')&gt;0 OR INSTR(CAST(X."&amp;F65&amp;" AS STRING),'?')&gt;0 OR INSTR(CAST(X."&amp;F65&amp;" AS STRING),'!')&gt;0 OR INSTR(CAST(X."&amp;F65&amp;" AS STRING),'$')&gt;0 OR INSTR(CAST(X."&amp;F65&amp;" AS STRING),'%')&gt;0 OR INSTR(CAST(X."&amp;F65&amp;" AS STRING),'&amp;')&gt;0 OR INSTR(CAST(X."&amp;F65&amp;" AS STRING),'+')&gt;0,1,0)) AS NUM_REG_DIF,'"&amp;MAX('ID1&amp;5'!K:K)+1&amp;"' AS ID_EXEC, CURRENT_TIMESTAMP() AS TIME_EXEC FROM "&amp;I65,
IF(C65="Missings",+"SELECT '"&amp;UPPER(B65)&amp;"' AS TABELA, '"&amp;UPPER(C65)&amp;"' AS TIPOLOGIA_TESTE,'"&amp;D65&amp;"' AS TABELA_LT,'N/A' AS TABELA_SIMUL,'"&amp;F65&amp;"' AS CAMPO, "&amp;"'${ref_date}' AS REF_DATE, COUNT(*) AS NUM_REG, SUM(IF(TRIM(CAST(X."&amp;F65&amp;" AS STRING)) IN ('0000-00-00','0001-01-01','9999-12-31','MISS','00000','99999999999','99999999999.00','99999999999.000000'),1,0)) AS NUM_REG_DIF,'"&amp;MAX('ID1&amp;5'!K:K)+1&amp;"' AS ID_EXEC, CURRENT_TIMESTAMP() AS TIME_EXEC FROM "&amp;I65,
IF(C65="Not applicable",+"SELECT '"&amp;UPPER(B65)&amp;"' AS TABELA, '"&amp;UPPER(C65)&amp;"' AS TIPOLOGIA_TESTE,'"&amp;D65&amp;"' AS TABELA_LT,'N/A' AS TABELA_SIMUL,'"&amp;F65&amp;"' AS CAMPO, "&amp;"'${ref_date}' AS REF_DATE, COUNT(*) AS NUM_REG, SUM(IF(TRIM(CAST(X."&amp;F65&amp;" AS STRING)) IN ('N/A','11111111111','11111111111.00','11111111111.000000','1111-11-11'),1,0)) AS NUM_REG_DIF,'"&amp;MAX('ID1&amp;5'!K:K)+1&amp;"' AS ID_EXEC, CURRENT_TIMESTAMP() AS TIME_EXEC FROM "&amp;I65,
IF(C65="Valores extremos",+"SELECT '"&amp;UPPER(B65)&amp;"' AS TABELA, '"&amp;UPPER(C65)&amp;"' AS TIPOLOGIA_TESTE,'"&amp;D65&amp;"' AS TABELA_LT,'N/A' AS TABELA_SIMUL,'"&amp;F65&amp;"' AS CAMPO, "&amp;"'${ref_date}' AS REF_DATE, CAST(MIN("&amp;F65&amp;") AS STRING) AS VALOR_MIN, CAST(MAX("&amp;F65&amp;") AS STRING) AS VALOR_MAX,'"&amp;MAX('ID1&amp;5'!K:K)+1&amp;"' AS ID_EXEC, CURRENT_TIMESTAMP() AS TIME_EXEC FROM "&amp;MID(I65,1,LEN(I65)-2)&amp;" AND CAST("&amp;F65&amp;"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TABELA_SIMUL,'GRP_EMSSNS_SCP1' AS CAMPO, '${ref_date}' AS REF_DATE, COUNT(*) AS NUM_REG, SUM(IF((ABS(COALESCE(X.GRP_EMSSNS_SCP1,0)-COALESCE(Y.GRP_EMSSNS_SCP1_SIMUL,0))&gt;0.0000000001) OR (X.GRP_EMSSNS_SCP1 IS NULL AND Y.GRP_EMSSNS_SCP1_SIMUL IS NOT NULL ) OR (X.GRP_EMSSNS_SCP1 IS NOT NULL AND Y.GRP_EMSSNS_SCP1_SIMUL IS NULL),1,0)) AS NUM_REG_DIF,'10' AS ID_EXEC, CURRENT_TIMESTAMP() AS TIME_EXEC FROM (SELECT entty_id, GRP_EMSSNS_SCP1 FROM BU_LOANTAPE_WORK.LT003_ENTITY WHERE ref_date='${ref_date}' AND nome_perimetro='Individual Corporativo' AND segmento='ESTR' AND ambito='PILAR3')X INNER JOIN (SELECT entty_id AS entty_id_SIMUL, GRP_EMSSNS_SCP1 AS GRP_EMSSNS_SCP1_SIMUL FROM BU_LOANTAPE_WORK.LT003_ENTTY_P3_NOV24)Y ON X.ENTTY_ID=Y.ENTTY_ID_SIMUL</v>
      </c>
      <c r="M65" s="43" t="str">
        <f t="shared" si="0"/>
        <v>UNION ALL SELECT 'ENTITY' AS TABELA, 'COERÊNCIA' AS TIPOLOGIA_TESTE,'BU_LOANTAPE_WORK.LT003_ENTITY' AS TABELA_LT,'BU_LOANTAPE_WORK.LT003_ENTTY_P3_NOV24' AS TABELA_SIMUL,'GRP_EMSSNS_SCP1' AS CAMPO, '${ref_date}' AS REF_DATE, COUNT(*) AS NUM_REG, SUM(IF((ABS(COALESCE(X.GRP_EMSSNS_SCP1,0)-COALESCE(Y.GRP_EMSSNS_SCP1_SIMUL,0))&gt;0.0000000001) OR (X.GRP_EMSSNS_SCP1 IS NULL AND Y.GRP_EMSSNS_SCP1_SIMUL IS NOT NULL ) OR (X.GRP_EMSSNS_SCP1 IS NOT NULL AND Y.GRP_EMSSNS_SCP1_SIMUL IS NULL),1,0)) AS NUM_REG_DIF,'10' AS ID_EXEC, CURRENT_TIMESTAMP() AS TIME_EXEC FROM (SELECT entty_id, GRP_EMSSNS_SCP1 FROM BU_LOANTAPE_WORK.LT003_ENTITY WHERE ref_date='${ref_date}' AND nome_perimetro='Individual Corporativo' AND segmento='ESTR' AND ambito='PILAR3')X INNER JOIN (SELECT entty_id AS entty_id_SIMUL, GRP_EMSSNS_SCP1 AS GRP_EMSSNS_SCP1_SIMUL FROM BU_LOANTAPE_WORK.LT003_ENTTY_P3_NOV24)Y ON X.ENTTY_ID=Y.ENTTY_ID_SIMUL</v>
      </c>
      <c r="N65" s="45" t="s">
        <v>13</v>
      </c>
    </row>
    <row r="66" spans="2:14">
      <c r="B66" s="41" t="s">
        <v>23</v>
      </c>
      <c r="C66" s="41" t="s">
        <v>74</v>
      </c>
      <c r="D66" s="41" t="str">
        <f>+UPPER('0. Instruções'!$D$33&amp;"."&amp;VLOOKUP(B66,'0. Instruções'!$C$27:$D$31,2,FALSE))</f>
        <v>BU_LOANTAPE_WORK.LT003_ENTITY</v>
      </c>
      <c r="E66" s="41" t="str">
        <f>+UPPER('0. Instruções'!$D$34&amp;"."&amp;VLOOKUP(B66,'0. Instruções'!$C$27:$E$31,3,FALSE))</f>
        <v>BU_LOANTAPE_WORK.LT003_ENTTY_P3_NOV24</v>
      </c>
      <c r="F66" s="41" t="s">
        <v>132</v>
      </c>
      <c r="G66" s="41" t="s">
        <v>210</v>
      </c>
      <c r="H66" s="41"/>
      <c r="I66" s="41" t="str">
        <f>"(SELECT "&amp;VLOOKUP(B66,'0. Instruções'!$C$27:$G$31,4,FALSE)&amp;", "&amp;F66&amp;" FROM "&amp;D66&amp;" WHERE "&amp;'0. Instruções'!$D$40&amp;")X"</f>
        <v>(SELECT entty_id, GRP_EMSSNS_SCP2 FROM BU_LOANTAPE_WORK.LT003_ENTITY WHERE ref_date='${ref_date}' AND nome_perimetro='Individual Corporativo' AND segmento='ESTR' AND ambito='PILAR3')X</v>
      </c>
      <c r="J66" s="41" t="str">
        <f>"(SELECT "&amp;VLOOKUP(B66,'0. Instruções'!$C$27:$G$31,4,FALSE)&amp;" AS "&amp;VLOOKUP(B66,'0. Instruções'!$C$27:$G$31,4,FALSE)&amp;"_SIMUL, "&amp;F66&amp;" AS "&amp;F66&amp;"_SIMUL FROM "&amp;E66&amp;")Y"</f>
        <v>(SELECT entty_id AS entty_id_SIMUL, GRP_EMSSNS_SCP2 AS GRP_EMSSNS_SCP2_SIMUL FROM BU_LOANTAPE_WORK.LT003_ENTTY_P3_NOV24)Y</v>
      </c>
      <c r="K66" s="42" t="str">
        <f>+UPPER("ON X."&amp;VLOOKUP(B66,'0. Instruções'!$C$27:$G$31,4,FALSE)&amp;"=Y."&amp;VLOOKUP(B66,'0. Instruções'!$C$27:$G$31,4,FALSE)&amp;"_SIMUL")</f>
        <v>ON X.ENTTY_ID=Y.ENTTY_ID_SIMUL</v>
      </c>
      <c r="L66" s="42" t="str">
        <f>+IF(C66="Coerência", +IF(LEFT(G66,5)="FLOAT","SELECT '"&amp;UPPER(B66)&amp;"' AS TABELA, '"&amp;UPPER(C66)&amp;"' AS TIPOLOGIA_TESTE,'"&amp;D66&amp;"' AS TABELA_LT,'"&amp;E66&amp;"' AS TABELA_SIMUL,'"&amp;F66&amp;"' AS CAMPO, "&amp;"'${ref_date}' AS REF_DATE, COUNT(*) AS NUM_REG, SUM(IF((ABS(COALESCE(X."&amp;F66&amp;",0)-COALESCE(Y."&amp;F66&amp;"_SIMUL,0))&gt;0.0000000001) OR (X."&amp;F66&amp;" IS NULL AND Y."&amp;F66&amp;"_SIMUL IS NOT NULL ) OR (X."&amp;F66&amp;" IS NOT NULL AND Y."&amp;F66&amp;"_SIMUL IS NULL),1,0)) AS NUM_REG_DIF,'"&amp;MAX('ID1&amp;5'!K:K)+1&amp;"' AS ID_EXEC, CURRENT_TIMESTAMP() AS TIME_EXEC FROM "&amp;I66&amp;" INNER JOIN "&amp;J66&amp;" "&amp;K66,"SELECT '"&amp;UPPER(B66)&amp;"' AS TABELA, '"&amp;UPPER(C66)&amp;"' AS TIPOLOGIA_TESTE,'"&amp;D66&amp;"' AS TABELA_LT,'"&amp;E66&amp;"' AS TABELA_SIMUL,'"&amp;F66&amp;"' AS CAMPO, "&amp;"'${ref_date}' AS REF_DATE, COUNT(*) AS NUM_REG, SUM(IF(COALESCE(CAST(X."&amp;F66&amp;" AS STRING),'')&lt;&gt;COALESCE(CAST(Y."&amp;F66&amp;"_SIMUL AS STRING),''),1,0)) AS NUM_REG_DIF,'"&amp;MAX('ID1&amp;5'!L:L)+1&amp;"' AS ID_EXEC, CURRENT_TIMESTAMP() AS TIME_EXEC FROM "&amp;I66&amp;" INNER JOIN "&amp;J66&amp;" "&amp;K66),
IF(C66="Validade",+IF(G66="Code List","SELECT '"&amp;UPPER(B66)&amp;"' AS TABELA, '"&amp;UPPER(C66)&amp;"' AS TIPOLOGIA_TESTE,'"&amp;D66&amp;"' AS TABELA_LT,'N/A' AS TABELA_SIMUL,'"&amp;F66&amp;"' AS CAMPO, "&amp;"'${ref_date}' AS REF_DATE, COUNT(*) AS NUM_REG, SUM(IF(TRIM(CAST(X."&amp;F66&amp;" AS STRING))='' OR TRIM(CAST(X."&amp;F66&amp;" AS STRING)) IS NULL OR CAST(X."&amp;F66&amp;" AS STRING) NOT "&amp;H66&amp;",1,0)) AS NUM_REG_DIF,'"&amp;MAX('ID1&amp;5'!K:K)+1&amp;"' AS ID_EXEC, CURRENT_TIMESTAMP() AS TIME_EXEC FROM "&amp;I66,"SELECT '"&amp;UPPER(B66)&amp;"' AS TABELA, '"&amp;UPPER(C66)&amp;"' AS TIPOLOGIA_TESTE,'"&amp;D66&amp;"' AS TABELA_LT,'N/A' AS TABELA_SIMUL,'"&amp;F66&amp;"' AS CAMPO, "&amp;"'${ref_date}' AS REF_DATE, COUNT(*) AS NUM_REG, SUM(IF(TRIM(CAST(X."&amp;F66&amp;" AS STRING))='' OR TRIM(CAST(X."&amp;F66&amp;" AS STRING)) IS NULL,1,0)) AS NUM_REG_DIF,'"&amp;MAX('ID1&amp;5'!K:K)+1&amp;"' AS ID_EXEC, CURRENT_TIMESTAMP() AS TIME_EXEC FROM "&amp;I66),
IF(C66="Caracteres Especiais",+"SELECT '"&amp;UPPER(B66)&amp;"' AS TABELA, '"&amp;UPPER(C66)&amp;"' AS TIPOLOGIA_TESTE,'"&amp;D66&amp;"' AS TABELA_LT,'N/A' AS TABELA_SIMUL,'"&amp;F66&amp;"' AS CAMPO, "&amp;"'${ref_date}' AS REF_DATE, COUNT(*) AS NUM_REG, SUM(IF(INSTR(CAST(X."&amp;F66&amp;" AS STRING),'#')&gt;0 OR INSTR(CAST(X."&amp;F66&amp;" AS STRING),'*')&gt;0 OR INSTR(CAST(X."&amp;F66&amp;" AS STRING),'`')&gt;0 OR INSTR(CAST(X."&amp;F66&amp;" AS STRING),'´')&gt;0 OR INSTR(CAST(X."&amp;F66&amp;" AS STRING),'{')&gt;0 OR INSTR(CAST(X."&amp;F66&amp;" AS STRING),'}')&gt;0 OR INSTR(CAST(X."&amp;F66&amp;" AS STRING),'[')&gt;0 OR INSTR(CAST(X."&amp;F66&amp;" AS STRING),'')&gt;0 OR INSTR(CAST(X."&amp;F66&amp;" AS STRING),']')&gt;0 OR INSTR(CAST(X."&amp;F66&amp;" AS STRING),'?')&gt;0 OR INSTR(CAST(X."&amp;F66&amp;" AS STRING),'!')&gt;0 OR INSTR(CAST(X."&amp;F66&amp;" AS STRING),'$')&gt;0 OR INSTR(CAST(X."&amp;F66&amp;" AS STRING),'%')&gt;0 OR INSTR(CAST(X."&amp;F66&amp;" AS STRING),'&amp;')&gt;0 OR INSTR(CAST(X."&amp;F66&amp;" AS STRING),'+')&gt;0,1,0)) AS NUM_REG_DIF,'"&amp;MAX('ID1&amp;5'!K:K)+1&amp;"' AS ID_EXEC, CURRENT_TIMESTAMP() AS TIME_EXEC FROM "&amp;I66,
IF(C66="Missings",+"SELECT '"&amp;UPPER(B66)&amp;"' AS TABELA, '"&amp;UPPER(C66)&amp;"' AS TIPOLOGIA_TESTE,'"&amp;D66&amp;"' AS TABELA_LT,'N/A' AS TABELA_SIMUL,'"&amp;F66&amp;"' AS CAMPO, "&amp;"'${ref_date}' AS REF_DATE, COUNT(*) AS NUM_REG, SUM(IF(TRIM(CAST(X."&amp;F66&amp;" AS STRING)) IN ('0000-00-00','0001-01-01','9999-12-31','MISS','00000','99999999999','99999999999.00','99999999999.000000'),1,0)) AS NUM_REG_DIF,'"&amp;MAX('ID1&amp;5'!K:K)+1&amp;"' AS ID_EXEC, CURRENT_TIMESTAMP() AS TIME_EXEC FROM "&amp;I66,
IF(C66="Not applicable",+"SELECT '"&amp;UPPER(B66)&amp;"' AS TABELA, '"&amp;UPPER(C66)&amp;"' AS TIPOLOGIA_TESTE,'"&amp;D66&amp;"' AS TABELA_LT,'N/A' AS TABELA_SIMUL,'"&amp;F66&amp;"' AS CAMPO, "&amp;"'${ref_date}' AS REF_DATE, COUNT(*) AS NUM_REG, SUM(IF(TRIM(CAST(X."&amp;F66&amp;" AS STRING)) IN ('N/A','11111111111','11111111111.00','11111111111.000000','1111-11-11'),1,0)) AS NUM_REG_DIF,'"&amp;MAX('ID1&amp;5'!K:K)+1&amp;"' AS ID_EXEC, CURRENT_TIMESTAMP() AS TIME_EXEC FROM "&amp;I66,
IF(C66="Valores extremos",+"SELECT '"&amp;UPPER(B66)&amp;"' AS TABELA, '"&amp;UPPER(C66)&amp;"' AS TIPOLOGIA_TESTE,'"&amp;D66&amp;"' AS TABELA_LT,'N/A' AS TABELA_SIMUL,'"&amp;F66&amp;"' AS CAMPO, "&amp;"'${ref_date}' AS REF_DATE, CAST(MIN("&amp;F66&amp;") AS STRING) AS VALOR_MIN, CAST(MAX("&amp;F66&amp;") AS STRING) AS VALOR_MAX,'"&amp;MAX('ID1&amp;5'!K:K)+1&amp;"' AS ID_EXEC, CURRENT_TIMESTAMP() AS TIME_EXEC FROM "&amp;MID(I66,1,LEN(I66)-2)&amp;" AND CAST("&amp;F66&amp;"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TABELA_SIMUL,'GRP_EMSSNS_SCP2' AS CAMPO, '${ref_date}' AS REF_DATE, COUNT(*) AS NUM_REG, SUM(IF((ABS(COALESCE(X.GRP_EMSSNS_SCP2,0)-COALESCE(Y.GRP_EMSSNS_SCP2_SIMUL,0))&gt;0.0000000001) OR (X.GRP_EMSSNS_SCP2 IS NULL AND Y.GRP_EMSSNS_SCP2_SIMUL IS NOT NULL ) OR (X.GRP_EMSSNS_SCP2 IS NOT NULL AND Y.GRP_EMSSNS_SCP2_SIMUL IS NULL),1,0)) AS NUM_REG_DIF,'10' AS ID_EXEC, CURRENT_TIMESTAMP() AS TIME_EXEC FROM (SELECT entty_id, GRP_EMSSNS_SCP2 FROM BU_LOANTAPE_WORK.LT003_ENTITY WHERE ref_date='${ref_date}' AND nome_perimetro='Individual Corporativo' AND segmento='ESTR' AND ambito='PILAR3')X INNER JOIN (SELECT entty_id AS entty_id_SIMUL, GRP_EMSSNS_SCP2 AS GRP_EMSSNS_SCP2_SIMUL FROM BU_LOANTAPE_WORK.LT003_ENTTY_P3_NOV24)Y ON X.ENTTY_ID=Y.ENTTY_ID_SIMUL</v>
      </c>
      <c r="M66" s="43" t="str">
        <f t="shared" si="0"/>
        <v>UNION ALL SELECT 'ENTITY' AS TABELA, 'COERÊNCIA' AS TIPOLOGIA_TESTE,'BU_LOANTAPE_WORK.LT003_ENTITY' AS TABELA_LT,'BU_LOANTAPE_WORK.LT003_ENTTY_P3_NOV24' AS TABELA_SIMUL,'GRP_EMSSNS_SCP2' AS CAMPO, '${ref_date}' AS REF_DATE, COUNT(*) AS NUM_REG, SUM(IF((ABS(COALESCE(X.GRP_EMSSNS_SCP2,0)-COALESCE(Y.GRP_EMSSNS_SCP2_SIMUL,0))&gt;0.0000000001) OR (X.GRP_EMSSNS_SCP2 IS NULL AND Y.GRP_EMSSNS_SCP2_SIMUL IS NOT NULL ) OR (X.GRP_EMSSNS_SCP2 IS NOT NULL AND Y.GRP_EMSSNS_SCP2_SIMUL IS NULL),1,0)) AS NUM_REG_DIF,'10' AS ID_EXEC, CURRENT_TIMESTAMP() AS TIME_EXEC FROM (SELECT entty_id, GRP_EMSSNS_SCP2 FROM BU_LOANTAPE_WORK.LT003_ENTITY WHERE ref_date='${ref_date}' AND nome_perimetro='Individual Corporativo' AND segmento='ESTR' AND ambito='PILAR3')X INNER JOIN (SELECT entty_id AS entty_id_SIMUL, GRP_EMSSNS_SCP2 AS GRP_EMSSNS_SCP2_SIMUL FROM BU_LOANTAPE_WORK.LT003_ENTTY_P3_NOV24)Y ON X.ENTTY_ID=Y.ENTTY_ID_SIMUL</v>
      </c>
      <c r="N66" s="45" t="s">
        <v>13</v>
      </c>
    </row>
    <row r="67" spans="2:14">
      <c r="B67" s="41" t="s">
        <v>23</v>
      </c>
      <c r="C67" s="41" t="s">
        <v>74</v>
      </c>
      <c r="D67" s="41" t="str">
        <f>+UPPER('0. Instruções'!$D$33&amp;"."&amp;VLOOKUP(B67,'0. Instruções'!$C$27:$D$31,2,FALSE))</f>
        <v>BU_LOANTAPE_WORK.LT003_ENTITY</v>
      </c>
      <c r="E67" s="41" t="str">
        <f>+UPPER('0. Instruções'!$D$34&amp;"."&amp;VLOOKUP(B67,'0. Instruções'!$C$27:$E$31,3,FALSE))</f>
        <v>BU_LOANTAPE_WORK.LT003_ENTTY_P3_NOV24</v>
      </c>
      <c r="F67" s="41" t="s">
        <v>133</v>
      </c>
      <c r="G67" s="41" t="s">
        <v>210</v>
      </c>
      <c r="H67" s="41"/>
      <c r="I67" s="41" t="str">
        <f>"(SELECT "&amp;VLOOKUP(B67,'0. Instruções'!$C$27:$G$31,4,FALSE)&amp;", "&amp;F67&amp;" FROM "&amp;D67&amp;" WHERE "&amp;'0. Instruções'!$D$40&amp;")X"</f>
        <v>(SELECT entty_id, GRP_EMSSNS_SCP3 FROM BU_LOANTAPE_WORK.LT003_ENTITY WHERE ref_date='${ref_date}' AND nome_perimetro='Individual Corporativo' AND segmento='ESTR' AND ambito='PILAR3')X</v>
      </c>
      <c r="J67" s="41" t="str">
        <f>"(SELECT "&amp;VLOOKUP(B67,'0. Instruções'!$C$27:$G$31,4,FALSE)&amp;" AS "&amp;VLOOKUP(B67,'0. Instruções'!$C$27:$G$31,4,FALSE)&amp;"_SIMUL, "&amp;F67&amp;" AS "&amp;F67&amp;"_SIMUL FROM "&amp;E67&amp;")Y"</f>
        <v>(SELECT entty_id AS entty_id_SIMUL, GRP_EMSSNS_SCP3 AS GRP_EMSSNS_SCP3_SIMUL FROM BU_LOANTAPE_WORK.LT003_ENTTY_P3_NOV24)Y</v>
      </c>
      <c r="K67" s="42" t="str">
        <f>+UPPER("ON X."&amp;VLOOKUP(B67,'0. Instruções'!$C$27:$G$31,4,FALSE)&amp;"=Y."&amp;VLOOKUP(B67,'0. Instruções'!$C$27:$G$31,4,FALSE)&amp;"_SIMUL")</f>
        <v>ON X.ENTTY_ID=Y.ENTTY_ID_SIMUL</v>
      </c>
      <c r="L67" s="42" t="str">
        <f>+IF(C67="Coerência", +IF(LEFT(G67,5)="FLOAT","SELECT '"&amp;UPPER(B67)&amp;"' AS TABELA, '"&amp;UPPER(C67)&amp;"' AS TIPOLOGIA_TESTE,'"&amp;D67&amp;"' AS TABELA_LT,'"&amp;E67&amp;"' AS TABELA_SIMUL,'"&amp;F67&amp;"' AS CAMPO, "&amp;"'${ref_date}' AS REF_DATE, COUNT(*) AS NUM_REG, SUM(IF((ABS(COALESCE(X."&amp;F67&amp;",0)-COALESCE(Y."&amp;F67&amp;"_SIMUL,0))&gt;0.0000000001) OR (X."&amp;F67&amp;" IS NULL AND Y."&amp;F67&amp;"_SIMUL IS NOT NULL ) OR (X."&amp;F67&amp;" IS NOT NULL AND Y."&amp;F67&amp;"_SIMUL IS NULL),1,0)) AS NUM_REG_DIF,'"&amp;MAX('ID1&amp;5'!K:K)+1&amp;"' AS ID_EXEC, CURRENT_TIMESTAMP() AS TIME_EXEC FROM "&amp;I67&amp;" INNER JOIN "&amp;J67&amp;" "&amp;K67,"SELECT '"&amp;UPPER(B67)&amp;"' AS TABELA, '"&amp;UPPER(C67)&amp;"' AS TIPOLOGIA_TESTE,'"&amp;D67&amp;"' AS TABELA_LT,'"&amp;E67&amp;"' AS TABELA_SIMUL,'"&amp;F67&amp;"' AS CAMPO, "&amp;"'${ref_date}' AS REF_DATE, COUNT(*) AS NUM_REG, SUM(IF(COALESCE(CAST(X."&amp;F67&amp;" AS STRING),'')&lt;&gt;COALESCE(CAST(Y."&amp;F67&amp;"_SIMUL AS STRING),''),1,0)) AS NUM_REG_DIF,'"&amp;MAX('ID1&amp;5'!L:L)+1&amp;"' AS ID_EXEC, CURRENT_TIMESTAMP() AS TIME_EXEC FROM "&amp;I67&amp;" INNER JOIN "&amp;J67&amp;" "&amp;K67),
IF(C67="Validade",+IF(G67="Code List","SELECT '"&amp;UPPER(B67)&amp;"' AS TABELA, '"&amp;UPPER(C67)&amp;"' AS TIPOLOGIA_TESTE,'"&amp;D67&amp;"' AS TABELA_LT,'N/A' AS TABELA_SIMUL,'"&amp;F67&amp;"' AS CAMPO, "&amp;"'${ref_date}' AS REF_DATE, COUNT(*) AS NUM_REG, SUM(IF(TRIM(CAST(X."&amp;F67&amp;" AS STRING))='' OR TRIM(CAST(X."&amp;F67&amp;" AS STRING)) IS NULL OR CAST(X."&amp;F67&amp;" AS STRING) NOT "&amp;H67&amp;",1,0)) AS NUM_REG_DIF,'"&amp;MAX('ID1&amp;5'!K:K)+1&amp;"' AS ID_EXEC, CURRENT_TIMESTAMP() AS TIME_EXEC FROM "&amp;I67,"SELECT '"&amp;UPPER(B67)&amp;"' AS TABELA, '"&amp;UPPER(C67)&amp;"' AS TIPOLOGIA_TESTE,'"&amp;D67&amp;"' AS TABELA_LT,'N/A' AS TABELA_SIMUL,'"&amp;F67&amp;"' AS CAMPO, "&amp;"'${ref_date}' AS REF_DATE, COUNT(*) AS NUM_REG, SUM(IF(TRIM(CAST(X."&amp;F67&amp;" AS STRING))='' OR TRIM(CAST(X."&amp;F67&amp;" AS STRING)) IS NULL,1,0)) AS NUM_REG_DIF,'"&amp;MAX('ID1&amp;5'!K:K)+1&amp;"' AS ID_EXEC, CURRENT_TIMESTAMP() AS TIME_EXEC FROM "&amp;I67),
IF(C67="Caracteres Especiais",+"SELECT '"&amp;UPPER(B67)&amp;"' AS TABELA, '"&amp;UPPER(C67)&amp;"' AS TIPOLOGIA_TESTE,'"&amp;D67&amp;"' AS TABELA_LT,'N/A' AS TABELA_SIMUL,'"&amp;F67&amp;"' AS CAMPO, "&amp;"'${ref_date}' AS REF_DATE, COUNT(*) AS NUM_REG, SUM(IF(INSTR(CAST(X."&amp;F67&amp;" AS STRING),'#')&gt;0 OR INSTR(CAST(X."&amp;F67&amp;" AS STRING),'*')&gt;0 OR INSTR(CAST(X."&amp;F67&amp;" AS STRING),'`')&gt;0 OR INSTR(CAST(X."&amp;F67&amp;" AS STRING),'´')&gt;0 OR INSTR(CAST(X."&amp;F67&amp;" AS STRING),'{')&gt;0 OR INSTR(CAST(X."&amp;F67&amp;" AS STRING),'}')&gt;0 OR INSTR(CAST(X."&amp;F67&amp;" AS STRING),'[')&gt;0 OR INSTR(CAST(X."&amp;F67&amp;" AS STRING),'')&gt;0 OR INSTR(CAST(X."&amp;F67&amp;" AS STRING),']')&gt;0 OR INSTR(CAST(X."&amp;F67&amp;" AS STRING),'?')&gt;0 OR INSTR(CAST(X."&amp;F67&amp;" AS STRING),'!')&gt;0 OR INSTR(CAST(X."&amp;F67&amp;" AS STRING),'$')&gt;0 OR INSTR(CAST(X."&amp;F67&amp;" AS STRING),'%')&gt;0 OR INSTR(CAST(X."&amp;F67&amp;" AS STRING),'&amp;')&gt;0 OR INSTR(CAST(X."&amp;F67&amp;" AS STRING),'+')&gt;0,1,0)) AS NUM_REG_DIF,'"&amp;MAX('ID1&amp;5'!K:K)+1&amp;"' AS ID_EXEC, CURRENT_TIMESTAMP() AS TIME_EXEC FROM "&amp;I67,
IF(C67="Missings",+"SELECT '"&amp;UPPER(B67)&amp;"' AS TABELA, '"&amp;UPPER(C67)&amp;"' AS TIPOLOGIA_TESTE,'"&amp;D67&amp;"' AS TABELA_LT,'N/A' AS TABELA_SIMUL,'"&amp;F67&amp;"' AS CAMPO, "&amp;"'${ref_date}' AS REF_DATE, COUNT(*) AS NUM_REG, SUM(IF(TRIM(CAST(X."&amp;F67&amp;" AS STRING)) IN ('0000-00-00','0001-01-01','9999-12-31','MISS','00000','99999999999','99999999999.00','99999999999.000000'),1,0)) AS NUM_REG_DIF,'"&amp;MAX('ID1&amp;5'!K:K)+1&amp;"' AS ID_EXEC, CURRENT_TIMESTAMP() AS TIME_EXEC FROM "&amp;I67,
IF(C67="Not applicable",+"SELECT '"&amp;UPPER(B67)&amp;"' AS TABELA, '"&amp;UPPER(C67)&amp;"' AS TIPOLOGIA_TESTE,'"&amp;D67&amp;"' AS TABELA_LT,'N/A' AS TABELA_SIMUL,'"&amp;F67&amp;"' AS CAMPO, "&amp;"'${ref_date}' AS REF_DATE, COUNT(*) AS NUM_REG, SUM(IF(TRIM(CAST(X."&amp;F67&amp;" AS STRING)) IN ('N/A','11111111111','11111111111.00','11111111111.000000','1111-11-11'),1,0)) AS NUM_REG_DIF,'"&amp;MAX('ID1&amp;5'!K:K)+1&amp;"' AS ID_EXEC, CURRENT_TIMESTAMP() AS TIME_EXEC FROM "&amp;I67,
IF(C67="Valores extremos",+"SELECT '"&amp;UPPER(B67)&amp;"' AS TABELA, '"&amp;UPPER(C67)&amp;"' AS TIPOLOGIA_TESTE,'"&amp;D67&amp;"' AS TABELA_LT,'N/A' AS TABELA_SIMUL,'"&amp;F67&amp;"' AS CAMPO, "&amp;"'${ref_date}' AS REF_DATE, CAST(MIN("&amp;F67&amp;") AS STRING) AS VALOR_MIN, CAST(MAX("&amp;F67&amp;") AS STRING) AS VALOR_MAX,'"&amp;MAX('ID1&amp;5'!K:K)+1&amp;"' AS ID_EXEC, CURRENT_TIMESTAMP() AS TIME_EXEC FROM "&amp;MID(I67,1,LEN(I67)-2)&amp;" AND CAST("&amp;F67&amp;"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TABELA_SIMUL,'GRP_EMSSNS_SCP3' AS CAMPO, '${ref_date}' AS REF_DATE, COUNT(*) AS NUM_REG, SUM(IF((ABS(COALESCE(X.GRP_EMSSNS_SCP3,0)-COALESCE(Y.GRP_EMSSNS_SCP3_SIMUL,0))&gt;0.0000000001) OR (X.GRP_EMSSNS_SCP3 IS NULL AND Y.GRP_EMSSNS_SCP3_SIMUL IS NOT NULL ) OR (X.GRP_EMSSNS_SCP3 IS NOT NULL AND Y.GRP_EMSSNS_SCP3_SIMUL IS NULL),1,0)) AS NUM_REG_DIF,'10' AS ID_EXEC, CURRENT_TIMESTAMP() AS TIME_EXEC FROM (SELECT entty_id, GRP_EMSSNS_SCP3 FROM BU_LOANTAPE_WORK.LT003_ENTITY WHERE ref_date='${ref_date}' AND nome_perimetro='Individual Corporativo' AND segmento='ESTR' AND ambito='PILAR3')X INNER JOIN (SELECT entty_id AS entty_id_SIMUL, GRP_EMSSNS_SCP3 AS GRP_EMSSNS_SCP3_SIMUL FROM BU_LOANTAPE_WORK.LT003_ENTTY_P3_NOV24)Y ON X.ENTTY_ID=Y.ENTTY_ID_SIMUL</v>
      </c>
      <c r="M67" s="43" t="str">
        <f t="shared" ref="M67:M124" si="1">+"UNION ALL "&amp;L67</f>
        <v>UNION ALL SELECT 'ENTITY' AS TABELA, 'COERÊNCIA' AS TIPOLOGIA_TESTE,'BU_LOANTAPE_WORK.LT003_ENTITY' AS TABELA_LT,'BU_LOANTAPE_WORK.LT003_ENTTY_P3_NOV24' AS TABELA_SIMUL,'GRP_EMSSNS_SCP3' AS CAMPO, '${ref_date}' AS REF_DATE, COUNT(*) AS NUM_REG, SUM(IF((ABS(COALESCE(X.GRP_EMSSNS_SCP3,0)-COALESCE(Y.GRP_EMSSNS_SCP3_SIMUL,0))&gt;0.0000000001) OR (X.GRP_EMSSNS_SCP3 IS NULL AND Y.GRP_EMSSNS_SCP3_SIMUL IS NOT NULL ) OR (X.GRP_EMSSNS_SCP3 IS NOT NULL AND Y.GRP_EMSSNS_SCP3_SIMUL IS NULL),1,0)) AS NUM_REG_DIF,'10' AS ID_EXEC, CURRENT_TIMESTAMP() AS TIME_EXEC FROM (SELECT entty_id, GRP_EMSSNS_SCP3 FROM BU_LOANTAPE_WORK.LT003_ENTITY WHERE ref_date='${ref_date}' AND nome_perimetro='Individual Corporativo' AND segmento='ESTR' AND ambito='PILAR3')X INNER JOIN (SELECT entty_id AS entty_id_SIMUL, GRP_EMSSNS_SCP3 AS GRP_EMSSNS_SCP3_SIMUL FROM BU_LOANTAPE_WORK.LT003_ENTTY_P3_NOV24)Y ON X.ENTTY_ID=Y.ENTTY_ID_SIMUL</v>
      </c>
      <c r="N67" s="45" t="s">
        <v>13</v>
      </c>
    </row>
    <row r="68" spans="2:14">
      <c r="B68" s="41" t="s">
        <v>23</v>
      </c>
      <c r="C68" s="41" t="s">
        <v>74</v>
      </c>
      <c r="D68" s="41" t="str">
        <f>+UPPER('0. Instruções'!$D$33&amp;"."&amp;VLOOKUP(B68,'0. Instruções'!$C$27:$D$31,2,FALSE))</f>
        <v>BU_LOANTAPE_WORK.LT003_ENTITY</v>
      </c>
      <c r="E68" s="41" t="str">
        <f>+UPPER('0. Instruções'!$D$34&amp;"."&amp;VLOOKUP(B68,'0. Instruções'!$C$27:$E$31,3,FALSE))</f>
        <v>BU_LOANTAPE_WORK.LT003_ENTTY_P3_NOV24</v>
      </c>
      <c r="F68" s="41" t="s">
        <v>181</v>
      </c>
      <c r="G68" s="41" t="s">
        <v>13</v>
      </c>
      <c r="H68" s="41"/>
      <c r="I68" s="41" t="str">
        <f>"(SELECT "&amp;VLOOKUP(B68,'0. Instruções'!$C$27:$G$31,4,FALSE)&amp;", "&amp;F68&amp;" FROM "&amp;D68&amp;" WHERE "&amp;'0. Instruções'!$D$40&amp;")X"</f>
        <v>(SELECT entty_id, CNTRY FROM BU_LOANTAPE_WORK.LT003_ENTITY WHERE ref_date='${ref_date}' AND nome_perimetro='Individual Corporativo' AND segmento='ESTR' AND ambito='PILAR3')X</v>
      </c>
      <c r="J68" s="41" t="str">
        <f>"(SELECT "&amp;VLOOKUP(B68,'0. Instruções'!$C$27:$G$31,4,FALSE)&amp;" AS "&amp;VLOOKUP(B68,'0. Instruções'!$C$27:$G$31,4,FALSE)&amp;"_SIMUL, "&amp;F68&amp;" AS "&amp;F68&amp;"_SIMUL FROM "&amp;E68&amp;")Y"</f>
        <v>(SELECT entty_id AS entty_id_SIMUL, CNTRY AS CNTRY_SIMUL FROM BU_LOANTAPE_WORK.LT003_ENTTY_P3_NOV24)Y</v>
      </c>
      <c r="K68" s="42" t="str">
        <f>+UPPER("ON X."&amp;VLOOKUP(B68,'0. Instruções'!$C$27:$G$31,4,FALSE)&amp;"=Y."&amp;VLOOKUP(B68,'0. Instruções'!$C$27:$G$31,4,FALSE)&amp;"_SIMUL")</f>
        <v>ON X.ENTTY_ID=Y.ENTTY_ID_SIMUL</v>
      </c>
      <c r="L68" s="42" t="str">
        <f>+IF(C68="Coerência", +IF(LEFT(G68,5)="FLOAT","SELECT '"&amp;UPPER(B68)&amp;"' AS TABELA, '"&amp;UPPER(C68)&amp;"' AS TIPOLOGIA_TESTE,'"&amp;D68&amp;"' AS TABELA_LT,'"&amp;E68&amp;"' AS TABELA_SIMUL,'"&amp;F68&amp;"' AS CAMPO, "&amp;"'${ref_date}' AS REF_DATE, COUNT(*) AS NUM_REG, SUM(IF((ABS(COALESCE(X."&amp;F68&amp;",0)-COALESCE(Y."&amp;F68&amp;"_SIMUL,0))&gt;0.0000000001) OR (X."&amp;F68&amp;" IS NULL AND Y."&amp;F68&amp;"_SIMUL IS NOT NULL ) OR (X."&amp;F68&amp;" IS NOT NULL AND Y."&amp;F68&amp;"_SIMUL IS NULL),1,0)) AS NUM_REG_DIF,'"&amp;MAX('ID1&amp;5'!K:K)+1&amp;"' AS ID_EXEC, CURRENT_TIMESTAMP() AS TIME_EXEC FROM "&amp;I68&amp;" INNER JOIN "&amp;J68&amp;" "&amp;K68,"SELECT '"&amp;UPPER(B68)&amp;"' AS TABELA, '"&amp;UPPER(C68)&amp;"' AS TIPOLOGIA_TESTE,'"&amp;D68&amp;"' AS TABELA_LT,'"&amp;E68&amp;"' AS TABELA_SIMUL,'"&amp;F68&amp;"' AS CAMPO, "&amp;"'${ref_date}' AS REF_DATE, COUNT(*) AS NUM_REG, SUM(IF(COALESCE(CAST(X."&amp;F68&amp;" AS STRING),'')&lt;&gt;COALESCE(CAST(Y."&amp;F68&amp;"_SIMUL AS STRING),''),1,0)) AS NUM_REG_DIF,'"&amp;MAX('ID1&amp;5'!L:L)+1&amp;"' AS ID_EXEC, CURRENT_TIMESTAMP() AS TIME_EXEC FROM "&amp;I68&amp;" INNER JOIN "&amp;J68&amp;" "&amp;K68),
IF(C68="Validade",+IF(G68="Code List","SELECT '"&amp;UPPER(B68)&amp;"' AS TABELA, '"&amp;UPPER(C68)&amp;"' AS TIPOLOGIA_TESTE,'"&amp;D68&amp;"' AS TABELA_LT,'N/A' AS TABELA_SIMUL,'"&amp;F68&amp;"' AS CAMPO, "&amp;"'${ref_date}' AS REF_DATE, COUNT(*) AS NUM_REG, SUM(IF(TRIM(CAST(X."&amp;F68&amp;" AS STRING))='' OR TRIM(CAST(X."&amp;F68&amp;" AS STRING)) IS NULL OR CAST(X."&amp;F68&amp;" AS STRING) NOT "&amp;H68&amp;",1,0)) AS NUM_REG_DIF,'"&amp;MAX('ID1&amp;5'!K:K)+1&amp;"' AS ID_EXEC, CURRENT_TIMESTAMP() AS TIME_EXEC FROM "&amp;I68,"SELECT '"&amp;UPPER(B68)&amp;"' AS TABELA, '"&amp;UPPER(C68)&amp;"' AS TIPOLOGIA_TESTE,'"&amp;D68&amp;"' AS TABELA_LT,'N/A' AS TABELA_SIMUL,'"&amp;F68&amp;"' AS CAMPO, "&amp;"'${ref_date}' AS REF_DATE, COUNT(*) AS NUM_REG, SUM(IF(TRIM(CAST(X."&amp;F68&amp;" AS STRING))='' OR TRIM(CAST(X."&amp;F68&amp;" AS STRING)) IS NULL,1,0)) AS NUM_REG_DIF,'"&amp;MAX('ID1&amp;5'!K:K)+1&amp;"' AS ID_EXEC, CURRENT_TIMESTAMP() AS TIME_EXEC FROM "&amp;I68),
IF(C68="Caracteres Especiais",+"SELECT '"&amp;UPPER(B68)&amp;"' AS TABELA, '"&amp;UPPER(C68)&amp;"' AS TIPOLOGIA_TESTE,'"&amp;D68&amp;"' AS TABELA_LT,'N/A' AS TABELA_SIMUL,'"&amp;F68&amp;"' AS CAMPO, "&amp;"'${ref_date}' AS REF_DATE, COUNT(*) AS NUM_REG, SUM(IF(INSTR(CAST(X."&amp;F68&amp;" AS STRING),'#')&gt;0 OR INSTR(CAST(X."&amp;F68&amp;" AS STRING),'*')&gt;0 OR INSTR(CAST(X."&amp;F68&amp;" AS STRING),'`')&gt;0 OR INSTR(CAST(X."&amp;F68&amp;" AS STRING),'´')&gt;0 OR INSTR(CAST(X."&amp;F68&amp;" AS STRING),'{')&gt;0 OR INSTR(CAST(X."&amp;F68&amp;" AS STRING),'}')&gt;0 OR INSTR(CAST(X."&amp;F68&amp;" AS STRING),'[')&gt;0 OR INSTR(CAST(X."&amp;F68&amp;" AS STRING),'')&gt;0 OR INSTR(CAST(X."&amp;F68&amp;" AS STRING),']')&gt;0 OR INSTR(CAST(X."&amp;F68&amp;" AS STRING),'?')&gt;0 OR INSTR(CAST(X."&amp;F68&amp;" AS STRING),'!')&gt;0 OR INSTR(CAST(X."&amp;F68&amp;" AS STRING),'$')&gt;0 OR INSTR(CAST(X."&amp;F68&amp;" AS STRING),'%')&gt;0 OR INSTR(CAST(X."&amp;F68&amp;" AS STRING),'&amp;')&gt;0 OR INSTR(CAST(X."&amp;F68&amp;" AS STRING),'+')&gt;0,1,0)) AS NUM_REG_DIF,'"&amp;MAX('ID1&amp;5'!K:K)+1&amp;"' AS ID_EXEC, CURRENT_TIMESTAMP() AS TIME_EXEC FROM "&amp;I68,
IF(C68="Missings",+"SELECT '"&amp;UPPER(B68)&amp;"' AS TABELA, '"&amp;UPPER(C68)&amp;"' AS TIPOLOGIA_TESTE,'"&amp;D68&amp;"' AS TABELA_LT,'N/A' AS TABELA_SIMUL,'"&amp;F68&amp;"' AS CAMPO, "&amp;"'${ref_date}' AS REF_DATE, COUNT(*) AS NUM_REG, SUM(IF(TRIM(CAST(X."&amp;F68&amp;" AS STRING)) IN ('0000-00-00','0001-01-01','9999-12-31','MISS','00000','99999999999','99999999999.00','99999999999.000000'),1,0)) AS NUM_REG_DIF,'"&amp;MAX('ID1&amp;5'!K:K)+1&amp;"' AS ID_EXEC, CURRENT_TIMESTAMP() AS TIME_EXEC FROM "&amp;I68,
IF(C68="Not applicable",+"SELECT '"&amp;UPPER(B68)&amp;"' AS TABELA, '"&amp;UPPER(C68)&amp;"' AS TIPOLOGIA_TESTE,'"&amp;D68&amp;"' AS TABELA_LT,'N/A' AS TABELA_SIMUL,'"&amp;F68&amp;"' AS CAMPO, "&amp;"'${ref_date}' AS REF_DATE, COUNT(*) AS NUM_REG, SUM(IF(TRIM(CAST(X."&amp;F68&amp;" AS STRING)) IN ('N/A','11111111111','11111111111.00','11111111111.000000','1111-11-11'),1,0)) AS NUM_REG_DIF,'"&amp;MAX('ID1&amp;5'!K:K)+1&amp;"' AS ID_EXEC, CURRENT_TIMESTAMP() AS TIME_EXEC FROM "&amp;I68,
IF(C68="Valores extremos",+"SELECT '"&amp;UPPER(B68)&amp;"' AS TABELA, '"&amp;UPPER(C68)&amp;"' AS TIPOLOGIA_TESTE,'"&amp;D68&amp;"' AS TABELA_LT,'N/A' AS TABELA_SIMUL,'"&amp;F68&amp;"' AS CAMPO, "&amp;"'${ref_date}' AS REF_DATE, CAST(MIN("&amp;F68&amp;") AS STRING) AS VALOR_MIN, CAST(MAX("&amp;F68&amp;") AS STRING) AS VALOR_MAX,'"&amp;MAX('ID1&amp;5'!K:K)+1&amp;"' AS ID_EXEC, CURRENT_TIMESTAMP() AS TIME_EXEC FROM "&amp;MID(I68,1,LEN(I68)-2)&amp;" AND CAST("&amp;F68&amp;"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TABELA_SIMUL,'CNTRY' AS CAMPO, '${ref_date}' AS REF_DATE, COUNT(*) AS NUM_REG, SUM(IF(COALESCE(CAST(X.CNTRY AS STRING),'')&lt;&gt;COALESCE(CAST(Y.CNTRY_SIMUL AS STRING),''),1,0)) AS NUM_REG_DIF,'1' AS ID_EXEC, CURRENT_TIMESTAMP() AS TIME_EXEC FROM (SELECT entty_id, CNTRY FROM BU_LOANTAPE_WORK.LT003_ENTITY WHERE ref_date='${ref_date}' AND nome_perimetro='Individual Corporativo' AND segmento='ESTR' AND ambito='PILAR3')X INNER JOIN (SELECT entty_id AS entty_id_SIMUL, CNTRY AS CNTRY_SIMUL FROM BU_LOANTAPE_WORK.LT003_ENTTY_P3_NOV24)Y ON X.ENTTY_ID=Y.ENTTY_ID_SIMUL</v>
      </c>
      <c r="M68" s="43" t="str">
        <f t="shared" si="1"/>
        <v>UNION ALL SELECT 'ENTITY' AS TABELA, 'COERÊNCIA' AS TIPOLOGIA_TESTE,'BU_LOANTAPE_WORK.LT003_ENTITY' AS TABELA_LT,'BU_LOANTAPE_WORK.LT003_ENTTY_P3_NOV24' AS TABELA_SIMUL,'CNTRY' AS CAMPO, '${ref_date}' AS REF_DATE, COUNT(*) AS NUM_REG, SUM(IF(COALESCE(CAST(X.CNTRY AS STRING),'')&lt;&gt;COALESCE(CAST(Y.CNTRY_SIMUL AS STRING),''),1,0)) AS NUM_REG_DIF,'1' AS ID_EXEC, CURRENT_TIMESTAMP() AS TIME_EXEC FROM (SELECT entty_id, CNTRY FROM BU_LOANTAPE_WORK.LT003_ENTITY WHERE ref_date='${ref_date}' AND nome_perimetro='Individual Corporativo' AND segmento='ESTR' AND ambito='PILAR3')X INNER JOIN (SELECT entty_id AS entty_id_SIMUL, CNTRY AS CNTRY_SIMUL FROM BU_LOANTAPE_WORK.LT003_ENTTY_P3_NOV24)Y ON X.ENTTY_ID=Y.ENTTY_ID_SIMUL</v>
      </c>
      <c r="N68" s="45" t="s">
        <v>13</v>
      </c>
    </row>
    <row r="69" spans="2:14">
      <c r="B69" s="41" t="s">
        <v>23</v>
      </c>
      <c r="C69" s="41" t="s">
        <v>74</v>
      </c>
      <c r="D69" s="41" t="str">
        <f>+UPPER('0. Instruções'!$D$33&amp;"."&amp;VLOOKUP(B69,'0. Instruções'!$C$27:$D$31,2,FALSE))</f>
        <v>BU_LOANTAPE_WORK.LT003_ENTITY</v>
      </c>
      <c r="E69" s="41" t="str">
        <f>+UPPER('0. Instruções'!$D$34&amp;"."&amp;VLOOKUP(B69,'0. Instruções'!$C$27:$E$31,3,FALSE))</f>
        <v>BU_LOANTAPE_WORK.LT003_ENTTY_P3_NOV24</v>
      </c>
      <c r="F69" s="41" t="s">
        <v>156</v>
      </c>
      <c r="G69" s="41" t="s">
        <v>13</v>
      </c>
      <c r="H69" s="41"/>
      <c r="I69" s="41" t="str">
        <f>"(SELECT "&amp;VLOOKUP(B69,'0. Instruções'!$C$27:$G$31,4,FALSE)&amp;", "&amp;F69&amp;" FROM "&amp;D69&amp;" WHERE "&amp;'0. Instruções'!$D$40&amp;")X"</f>
        <v>(SELECT entty_id, DT_RFRNC FROM BU_LOANTAPE_WORK.LT003_ENTITY WHERE ref_date='${ref_date}' AND nome_perimetro='Individual Corporativo' AND segmento='ESTR' AND ambito='PILAR3')X</v>
      </c>
      <c r="J69" s="41" t="str">
        <f>"(SELECT "&amp;VLOOKUP(B69,'0. Instruções'!$C$27:$G$31,4,FALSE)&amp;" AS "&amp;VLOOKUP(B69,'0. Instruções'!$C$27:$G$31,4,FALSE)&amp;"_SIMUL, "&amp;F69&amp;" AS "&amp;F69&amp;"_SIMUL FROM "&amp;E69&amp;")Y"</f>
        <v>(SELECT entty_id AS entty_id_SIMUL, DT_RFRNC AS DT_RFRNC_SIMUL FROM BU_LOANTAPE_WORK.LT003_ENTTY_P3_NOV24)Y</v>
      </c>
      <c r="K69" s="42" t="str">
        <f>+UPPER("ON X."&amp;VLOOKUP(B69,'0. Instruções'!$C$27:$G$31,4,FALSE)&amp;"=Y."&amp;VLOOKUP(B69,'0. Instruções'!$C$27:$G$31,4,FALSE)&amp;"_SIMUL")</f>
        <v>ON X.ENTTY_ID=Y.ENTTY_ID_SIMUL</v>
      </c>
      <c r="L69" s="42" t="str">
        <f>+IF(C69="Coerência", +IF(LEFT(G69,5)="FLOAT","SELECT '"&amp;UPPER(B69)&amp;"' AS TABELA, '"&amp;UPPER(C69)&amp;"' AS TIPOLOGIA_TESTE,'"&amp;D69&amp;"' AS TABELA_LT,'"&amp;E69&amp;"' AS TABELA_SIMUL,'"&amp;F69&amp;"' AS CAMPO, "&amp;"'${ref_date}' AS REF_DATE, COUNT(*) AS NUM_REG, SUM(IF((ABS(COALESCE(X."&amp;F69&amp;",0)-COALESCE(Y."&amp;F69&amp;"_SIMUL,0))&gt;0.0000000001) OR (X."&amp;F69&amp;" IS NULL AND Y."&amp;F69&amp;"_SIMUL IS NOT NULL ) OR (X."&amp;F69&amp;" IS NOT NULL AND Y."&amp;F69&amp;"_SIMUL IS NULL),1,0)) AS NUM_REG_DIF,'"&amp;MAX('ID1&amp;5'!K:K)+1&amp;"' AS ID_EXEC, CURRENT_TIMESTAMP() AS TIME_EXEC FROM "&amp;I69&amp;" INNER JOIN "&amp;J69&amp;" "&amp;K69,"SELECT '"&amp;UPPER(B69)&amp;"' AS TABELA, '"&amp;UPPER(C69)&amp;"' AS TIPOLOGIA_TESTE,'"&amp;D69&amp;"' AS TABELA_LT,'"&amp;E69&amp;"' AS TABELA_SIMUL,'"&amp;F69&amp;"' AS CAMPO, "&amp;"'${ref_date}' AS REF_DATE, COUNT(*) AS NUM_REG, SUM(IF(COALESCE(CAST(X."&amp;F69&amp;" AS STRING),'')&lt;&gt;COALESCE(CAST(Y."&amp;F69&amp;"_SIMUL AS STRING),''),1,0)) AS NUM_REG_DIF,'"&amp;MAX('ID1&amp;5'!L:L)+1&amp;"' AS ID_EXEC, CURRENT_TIMESTAMP() AS TIME_EXEC FROM "&amp;I69&amp;" INNER JOIN "&amp;J69&amp;" "&amp;K69),
IF(C69="Validade",+IF(G69="Code List","SELECT '"&amp;UPPER(B69)&amp;"' AS TABELA, '"&amp;UPPER(C69)&amp;"' AS TIPOLOGIA_TESTE,'"&amp;D69&amp;"' AS TABELA_LT,'N/A' AS TABELA_SIMUL,'"&amp;F69&amp;"' AS CAMPO, "&amp;"'${ref_date}' AS REF_DATE, COUNT(*) AS NUM_REG, SUM(IF(TRIM(CAST(X."&amp;F69&amp;" AS STRING))='' OR TRIM(CAST(X."&amp;F69&amp;" AS STRING)) IS NULL OR CAST(X."&amp;F69&amp;" AS STRING) NOT "&amp;H69&amp;",1,0)) AS NUM_REG_DIF,'"&amp;MAX('ID1&amp;5'!K:K)+1&amp;"' AS ID_EXEC, CURRENT_TIMESTAMP() AS TIME_EXEC FROM "&amp;I69,"SELECT '"&amp;UPPER(B69)&amp;"' AS TABELA, '"&amp;UPPER(C69)&amp;"' AS TIPOLOGIA_TESTE,'"&amp;D69&amp;"' AS TABELA_LT,'N/A' AS TABELA_SIMUL,'"&amp;F69&amp;"' AS CAMPO, "&amp;"'${ref_date}' AS REF_DATE, COUNT(*) AS NUM_REG, SUM(IF(TRIM(CAST(X."&amp;F69&amp;" AS STRING))='' OR TRIM(CAST(X."&amp;F69&amp;" AS STRING)) IS NULL,1,0)) AS NUM_REG_DIF,'"&amp;MAX('ID1&amp;5'!K:K)+1&amp;"' AS ID_EXEC, CURRENT_TIMESTAMP() AS TIME_EXEC FROM "&amp;I69),
IF(C69="Caracteres Especiais",+"SELECT '"&amp;UPPER(B69)&amp;"' AS TABELA, '"&amp;UPPER(C69)&amp;"' AS TIPOLOGIA_TESTE,'"&amp;D69&amp;"' AS TABELA_LT,'N/A' AS TABELA_SIMUL,'"&amp;F69&amp;"' AS CAMPO, "&amp;"'${ref_date}' AS REF_DATE, COUNT(*) AS NUM_REG, SUM(IF(INSTR(CAST(X."&amp;F69&amp;" AS STRING),'#')&gt;0 OR INSTR(CAST(X."&amp;F69&amp;" AS STRING),'*')&gt;0 OR INSTR(CAST(X."&amp;F69&amp;" AS STRING),'`')&gt;0 OR INSTR(CAST(X."&amp;F69&amp;" AS STRING),'´')&gt;0 OR INSTR(CAST(X."&amp;F69&amp;" AS STRING),'{')&gt;0 OR INSTR(CAST(X."&amp;F69&amp;" AS STRING),'}')&gt;0 OR INSTR(CAST(X."&amp;F69&amp;" AS STRING),'[')&gt;0 OR INSTR(CAST(X."&amp;F69&amp;" AS STRING),'')&gt;0 OR INSTR(CAST(X."&amp;F69&amp;" AS STRING),']')&gt;0 OR INSTR(CAST(X."&amp;F69&amp;" AS STRING),'?')&gt;0 OR INSTR(CAST(X."&amp;F69&amp;" AS STRING),'!')&gt;0 OR INSTR(CAST(X."&amp;F69&amp;" AS STRING),'$')&gt;0 OR INSTR(CAST(X."&amp;F69&amp;" AS STRING),'%')&gt;0 OR INSTR(CAST(X."&amp;F69&amp;" AS STRING),'&amp;')&gt;0 OR INSTR(CAST(X."&amp;F69&amp;" AS STRING),'+')&gt;0,1,0)) AS NUM_REG_DIF,'"&amp;MAX('ID1&amp;5'!K:K)+1&amp;"' AS ID_EXEC, CURRENT_TIMESTAMP() AS TIME_EXEC FROM "&amp;I69,
IF(C69="Missings",+"SELECT '"&amp;UPPER(B69)&amp;"' AS TABELA, '"&amp;UPPER(C69)&amp;"' AS TIPOLOGIA_TESTE,'"&amp;D69&amp;"' AS TABELA_LT,'N/A' AS TABELA_SIMUL,'"&amp;F69&amp;"' AS CAMPO, "&amp;"'${ref_date}' AS REF_DATE, COUNT(*) AS NUM_REG, SUM(IF(TRIM(CAST(X."&amp;F69&amp;" AS STRING)) IN ('0000-00-00','0001-01-01','9999-12-31','MISS','00000','99999999999','99999999999.00','99999999999.000000'),1,0)) AS NUM_REG_DIF,'"&amp;MAX('ID1&amp;5'!K:K)+1&amp;"' AS ID_EXEC, CURRENT_TIMESTAMP() AS TIME_EXEC FROM "&amp;I69,
IF(C69="Not applicable",+"SELECT '"&amp;UPPER(B69)&amp;"' AS TABELA, '"&amp;UPPER(C69)&amp;"' AS TIPOLOGIA_TESTE,'"&amp;D69&amp;"' AS TABELA_LT,'N/A' AS TABELA_SIMUL,'"&amp;F69&amp;"' AS CAMPO, "&amp;"'${ref_date}' AS REF_DATE, COUNT(*) AS NUM_REG, SUM(IF(TRIM(CAST(X."&amp;F69&amp;" AS STRING)) IN ('N/A','11111111111','11111111111.00','11111111111.000000','1111-11-11'),1,0)) AS NUM_REG_DIF,'"&amp;MAX('ID1&amp;5'!K:K)+1&amp;"' AS ID_EXEC, CURRENT_TIMESTAMP() AS TIME_EXEC FROM "&amp;I69,
IF(C69="Valores extremos",+"SELECT '"&amp;UPPER(B69)&amp;"' AS TABELA, '"&amp;UPPER(C69)&amp;"' AS TIPOLOGIA_TESTE,'"&amp;D69&amp;"' AS TABELA_LT,'N/A' AS TABELA_SIMUL,'"&amp;F69&amp;"' AS CAMPO, "&amp;"'${ref_date}' AS REF_DATE, CAST(MIN("&amp;F69&amp;") AS STRING) AS VALOR_MIN, CAST(MAX("&amp;F69&amp;") AS STRING) AS VALOR_MAX,'"&amp;MAX('ID1&amp;5'!K:K)+1&amp;"' AS ID_EXEC, CURRENT_TIMESTAMP() AS TIME_EXEC FROM "&amp;MID(I69,1,LEN(I69)-2)&amp;" AND CAST("&amp;F69&amp;"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TABELA_SIMUL,'DT_RFRNC' AS CAMPO, '${ref_date}' AS REF_DATE, COUNT(*) AS NUM_REG, SUM(IF(COALESCE(CAST(X.DT_RFRNC AS STRING),'')&lt;&gt;COALESCE(CAST(Y.DT_RFRNC_SIMUL AS STRING),''),1,0)) AS NUM_REG_DIF,'1' AS ID_EXEC, CURRENT_TIMESTAMP() AS TIME_EXEC FROM (SELECT entty_id, DT_RFRNC FROM BU_LOANTAPE_WORK.LT003_ENTITY WHERE ref_date='${ref_date}' AND nome_perimetro='Individual Corporativo' AND segmento='ESTR' AND ambito='PILAR3')X INNER JOIN (SELECT entty_id AS entty_id_SIMUL, DT_RFRNC AS DT_RFRNC_SIMUL FROM BU_LOANTAPE_WORK.LT003_ENTTY_P3_NOV24)Y ON X.ENTTY_ID=Y.ENTTY_ID_SIMUL</v>
      </c>
      <c r="M69" s="43" t="str">
        <f t="shared" si="1"/>
        <v>UNION ALL SELECT 'ENTITY' AS TABELA, 'COERÊNCIA' AS TIPOLOGIA_TESTE,'BU_LOANTAPE_WORK.LT003_ENTITY' AS TABELA_LT,'BU_LOANTAPE_WORK.LT003_ENTTY_P3_NOV24' AS TABELA_SIMUL,'DT_RFRNC' AS CAMPO, '${ref_date}' AS REF_DATE, COUNT(*) AS NUM_REG, SUM(IF(COALESCE(CAST(X.DT_RFRNC AS STRING),'')&lt;&gt;COALESCE(CAST(Y.DT_RFRNC_SIMUL AS STRING),''),1,0)) AS NUM_REG_DIF,'1' AS ID_EXEC, CURRENT_TIMESTAMP() AS TIME_EXEC FROM (SELECT entty_id, DT_RFRNC FROM BU_LOANTAPE_WORK.LT003_ENTITY WHERE ref_date='${ref_date}' AND nome_perimetro='Individual Corporativo' AND segmento='ESTR' AND ambito='PILAR3')X INNER JOIN (SELECT entty_id AS entty_id_SIMUL, DT_RFRNC AS DT_RFRNC_SIMUL FROM BU_LOANTAPE_WORK.LT003_ENTTY_P3_NOV24)Y ON X.ENTTY_ID=Y.ENTTY_ID_SIMUL</v>
      </c>
      <c r="N69" s="45" t="s">
        <v>13</v>
      </c>
    </row>
    <row r="70" spans="2:14">
      <c r="B70" s="41" t="s">
        <v>23</v>
      </c>
      <c r="C70" s="41" t="s">
        <v>74</v>
      </c>
      <c r="D70" s="41" t="str">
        <f>+UPPER('0. Instruções'!$D$33&amp;"."&amp;VLOOKUP(B70,'0. Instruções'!$C$27:$D$31,2,FALSE))</f>
        <v>BU_LOANTAPE_WORK.LT003_ENTITY</v>
      </c>
      <c r="E70" s="41" t="str">
        <f>+UPPER('0. Instruções'!$D$34&amp;"."&amp;VLOOKUP(B70,'0. Instruções'!$C$27:$E$31,3,FALSE))</f>
        <v>BU_LOANTAPE_WORK.LT003_ENTTY_P3_NOV24</v>
      </c>
      <c r="F70" s="41" t="s">
        <v>182</v>
      </c>
      <c r="G70" s="41" t="s">
        <v>13</v>
      </c>
      <c r="H70" s="41"/>
      <c r="I70" s="41" t="str">
        <f>"(SELECT "&amp;VLOOKUP(B70,'0. Instruções'!$C$27:$G$31,4,FALSE)&amp;", "&amp;F70&amp;" FROM "&amp;D70&amp;" WHERE "&amp;'0. Instruções'!$D$40&amp;")X"</f>
        <v>(SELECT entty_id, ENTTY_ID FROM BU_LOANTAPE_WORK.LT003_ENTITY WHERE ref_date='${ref_date}' AND nome_perimetro='Individual Corporativo' AND segmento='ESTR' AND ambito='PILAR3')X</v>
      </c>
      <c r="J70" s="41" t="str">
        <f>"(SELECT "&amp;VLOOKUP(B70,'0. Instruções'!$C$27:$G$31,4,FALSE)&amp;" AS "&amp;VLOOKUP(B70,'0. Instruções'!$C$27:$G$31,4,FALSE)&amp;"_SIMUL, "&amp;F70&amp;" AS "&amp;F70&amp;"_SIMUL FROM "&amp;E70&amp;")Y"</f>
        <v>(SELECT entty_id AS entty_id_SIMUL, ENTTY_ID AS ENTTY_ID_SIMUL FROM BU_LOANTAPE_WORK.LT003_ENTTY_P3_NOV24)Y</v>
      </c>
      <c r="K70" s="42" t="str">
        <f>+UPPER("ON X."&amp;VLOOKUP(B70,'0. Instruções'!$C$27:$G$31,4,FALSE)&amp;"=Y."&amp;VLOOKUP(B70,'0. Instruções'!$C$27:$G$31,4,FALSE)&amp;"_SIMUL")</f>
        <v>ON X.ENTTY_ID=Y.ENTTY_ID_SIMUL</v>
      </c>
      <c r="L70" s="42" t="str">
        <f>+IF(C70="Coerência", +IF(LEFT(G70,5)="FLOAT","SELECT '"&amp;UPPER(B70)&amp;"' AS TABELA, '"&amp;UPPER(C70)&amp;"' AS TIPOLOGIA_TESTE,'"&amp;D70&amp;"' AS TABELA_LT,'"&amp;E70&amp;"' AS TABELA_SIMUL,'"&amp;F70&amp;"' AS CAMPO, "&amp;"'${ref_date}' AS REF_DATE, COUNT(*) AS NUM_REG, SUM(IF((ABS(COALESCE(X."&amp;F70&amp;",0)-COALESCE(Y."&amp;F70&amp;"_SIMUL,0))&gt;0.0000000001) OR (X."&amp;F70&amp;" IS NULL AND Y."&amp;F70&amp;"_SIMUL IS NOT NULL ) OR (X."&amp;F70&amp;" IS NOT NULL AND Y."&amp;F70&amp;"_SIMUL IS NULL),1,0)) AS NUM_REG_DIF,'"&amp;MAX('ID1&amp;5'!K:K)+1&amp;"' AS ID_EXEC, CURRENT_TIMESTAMP() AS TIME_EXEC FROM "&amp;I70&amp;" INNER JOIN "&amp;J70&amp;" "&amp;K70,"SELECT '"&amp;UPPER(B70)&amp;"' AS TABELA, '"&amp;UPPER(C70)&amp;"' AS TIPOLOGIA_TESTE,'"&amp;D70&amp;"' AS TABELA_LT,'"&amp;E70&amp;"' AS TABELA_SIMUL,'"&amp;F70&amp;"' AS CAMPO, "&amp;"'${ref_date}' AS REF_DATE, COUNT(*) AS NUM_REG, SUM(IF(COALESCE(CAST(X."&amp;F70&amp;" AS STRING),'')&lt;&gt;COALESCE(CAST(Y."&amp;F70&amp;"_SIMUL AS STRING),''),1,0)) AS NUM_REG_DIF,'"&amp;MAX('ID1&amp;5'!L:L)+1&amp;"' AS ID_EXEC, CURRENT_TIMESTAMP() AS TIME_EXEC FROM "&amp;I70&amp;" INNER JOIN "&amp;J70&amp;" "&amp;K70),
IF(C70="Validade",+IF(G70="Code List","SELECT '"&amp;UPPER(B70)&amp;"' AS TABELA, '"&amp;UPPER(C70)&amp;"' AS TIPOLOGIA_TESTE,'"&amp;D70&amp;"' AS TABELA_LT,'N/A' AS TABELA_SIMUL,'"&amp;F70&amp;"' AS CAMPO, "&amp;"'${ref_date}' AS REF_DATE, COUNT(*) AS NUM_REG, SUM(IF(TRIM(CAST(X."&amp;F70&amp;" AS STRING))='' OR TRIM(CAST(X."&amp;F70&amp;" AS STRING)) IS NULL OR CAST(X."&amp;F70&amp;" AS STRING) NOT "&amp;H70&amp;",1,0)) AS NUM_REG_DIF,'"&amp;MAX('ID1&amp;5'!K:K)+1&amp;"' AS ID_EXEC, CURRENT_TIMESTAMP() AS TIME_EXEC FROM "&amp;I70,"SELECT '"&amp;UPPER(B70)&amp;"' AS TABELA, '"&amp;UPPER(C70)&amp;"' AS TIPOLOGIA_TESTE,'"&amp;D70&amp;"' AS TABELA_LT,'N/A' AS TABELA_SIMUL,'"&amp;F70&amp;"' AS CAMPO, "&amp;"'${ref_date}' AS REF_DATE, COUNT(*) AS NUM_REG, SUM(IF(TRIM(CAST(X."&amp;F70&amp;" AS STRING))='' OR TRIM(CAST(X."&amp;F70&amp;" AS STRING)) IS NULL,1,0)) AS NUM_REG_DIF,'"&amp;MAX('ID1&amp;5'!K:K)+1&amp;"' AS ID_EXEC, CURRENT_TIMESTAMP() AS TIME_EXEC FROM "&amp;I70),
IF(C70="Caracteres Especiais",+"SELECT '"&amp;UPPER(B70)&amp;"' AS TABELA, '"&amp;UPPER(C70)&amp;"' AS TIPOLOGIA_TESTE,'"&amp;D70&amp;"' AS TABELA_LT,'N/A' AS TABELA_SIMUL,'"&amp;F70&amp;"' AS CAMPO, "&amp;"'${ref_date}' AS REF_DATE, COUNT(*) AS NUM_REG, SUM(IF(INSTR(CAST(X."&amp;F70&amp;" AS STRING),'#')&gt;0 OR INSTR(CAST(X."&amp;F70&amp;" AS STRING),'*')&gt;0 OR INSTR(CAST(X."&amp;F70&amp;" AS STRING),'`')&gt;0 OR INSTR(CAST(X."&amp;F70&amp;" AS STRING),'´')&gt;0 OR INSTR(CAST(X."&amp;F70&amp;" AS STRING),'{')&gt;0 OR INSTR(CAST(X."&amp;F70&amp;" AS STRING),'}')&gt;0 OR INSTR(CAST(X."&amp;F70&amp;" AS STRING),'[')&gt;0 OR INSTR(CAST(X."&amp;F70&amp;" AS STRING),'')&gt;0 OR INSTR(CAST(X."&amp;F70&amp;" AS STRING),']')&gt;0 OR INSTR(CAST(X."&amp;F70&amp;" AS STRING),'?')&gt;0 OR INSTR(CAST(X."&amp;F70&amp;" AS STRING),'!')&gt;0 OR INSTR(CAST(X."&amp;F70&amp;" AS STRING),'$')&gt;0 OR INSTR(CAST(X."&amp;F70&amp;" AS STRING),'%')&gt;0 OR INSTR(CAST(X."&amp;F70&amp;" AS STRING),'&amp;')&gt;0 OR INSTR(CAST(X."&amp;F70&amp;" AS STRING),'+')&gt;0,1,0)) AS NUM_REG_DIF,'"&amp;MAX('ID1&amp;5'!K:K)+1&amp;"' AS ID_EXEC, CURRENT_TIMESTAMP() AS TIME_EXEC FROM "&amp;I70,
IF(C70="Missings",+"SELECT '"&amp;UPPER(B70)&amp;"' AS TABELA, '"&amp;UPPER(C70)&amp;"' AS TIPOLOGIA_TESTE,'"&amp;D70&amp;"' AS TABELA_LT,'N/A' AS TABELA_SIMUL,'"&amp;F70&amp;"' AS CAMPO, "&amp;"'${ref_date}' AS REF_DATE, COUNT(*) AS NUM_REG, SUM(IF(TRIM(CAST(X."&amp;F70&amp;" AS STRING)) IN ('0000-00-00','0001-01-01','9999-12-31','MISS','00000','99999999999','99999999999.00','99999999999.000000'),1,0)) AS NUM_REG_DIF,'"&amp;MAX('ID1&amp;5'!K:K)+1&amp;"' AS ID_EXEC, CURRENT_TIMESTAMP() AS TIME_EXEC FROM "&amp;I70,
IF(C70="Not applicable",+"SELECT '"&amp;UPPER(B70)&amp;"' AS TABELA, '"&amp;UPPER(C70)&amp;"' AS TIPOLOGIA_TESTE,'"&amp;D70&amp;"' AS TABELA_LT,'N/A' AS TABELA_SIMUL,'"&amp;F70&amp;"' AS CAMPO, "&amp;"'${ref_date}' AS REF_DATE, COUNT(*) AS NUM_REG, SUM(IF(TRIM(CAST(X."&amp;F70&amp;" AS STRING)) IN ('N/A','11111111111','11111111111.00','11111111111.000000','1111-11-11'),1,0)) AS NUM_REG_DIF,'"&amp;MAX('ID1&amp;5'!K:K)+1&amp;"' AS ID_EXEC, CURRENT_TIMESTAMP() AS TIME_EXEC FROM "&amp;I70,
IF(C70="Valores extremos",+"SELECT '"&amp;UPPER(B70)&amp;"' AS TABELA, '"&amp;UPPER(C70)&amp;"' AS TIPOLOGIA_TESTE,'"&amp;D70&amp;"' AS TABELA_LT,'N/A' AS TABELA_SIMUL,'"&amp;F70&amp;"' AS CAMPO, "&amp;"'${ref_date}' AS REF_DATE, CAST(MIN("&amp;F70&amp;") AS STRING) AS VALOR_MIN, CAST(MAX("&amp;F70&amp;") AS STRING) AS VALOR_MAX,'"&amp;MAX('ID1&amp;5'!K:K)+1&amp;"' AS ID_EXEC, CURRENT_TIMESTAMP() AS TIME_EXEC FROM "&amp;MID(I70,1,LEN(I70)-2)&amp;" AND CAST("&amp;F70&amp;"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TABELA_SIMUL,'ENTTY_ID' AS CAMPO, '${ref_date}' AS REF_DATE, COUNT(*) AS NUM_REG, SUM(IF(COALESCE(CAST(X.ENTTY_ID AS STRING),'')&lt;&gt;COALESCE(CAST(Y.ENTTY_ID_SIMUL AS STRING),''),1,0)) AS NUM_REG_DIF,'1' AS ID_EXEC, CURRENT_TIMESTAMP() AS TIME_EXEC FROM (SELECT entty_id, ENTTY_ID FROM BU_LOANTAPE_WORK.LT003_ENTITY WHERE ref_date='${ref_date}' AND nome_perimetro='Individual Corporativo' AND segmento='ESTR' AND ambito='PILAR3')X INNER JOIN (SELECT entty_id AS entty_id_SIMUL, ENTTY_ID AS ENTTY_ID_SIMUL FROM BU_LOANTAPE_WORK.LT003_ENTTY_P3_NOV24)Y ON X.ENTTY_ID=Y.ENTTY_ID_SIMUL</v>
      </c>
      <c r="M70" s="43" t="str">
        <f t="shared" si="1"/>
        <v>UNION ALL SELECT 'ENTITY' AS TABELA, 'COERÊNCIA' AS TIPOLOGIA_TESTE,'BU_LOANTAPE_WORK.LT003_ENTITY' AS TABELA_LT,'BU_LOANTAPE_WORK.LT003_ENTTY_P3_NOV24' AS TABELA_SIMUL,'ENTTY_ID' AS CAMPO, '${ref_date}' AS REF_DATE, COUNT(*) AS NUM_REG, SUM(IF(COALESCE(CAST(X.ENTTY_ID AS STRING),'')&lt;&gt;COALESCE(CAST(Y.ENTTY_ID_SIMUL AS STRING),''),1,0)) AS NUM_REG_DIF,'1' AS ID_EXEC, CURRENT_TIMESTAMP() AS TIME_EXEC FROM (SELECT entty_id, ENTTY_ID FROM BU_LOANTAPE_WORK.LT003_ENTITY WHERE ref_date='${ref_date}' AND nome_perimetro='Individual Corporativo' AND segmento='ESTR' AND ambito='PILAR3')X INNER JOIN (SELECT entty_id AS entty_id_SIMUL, ENTTY_ID AS ENTTY_ID_SIMUL FROM BU_LOANTAPE_WORK.LT003_ENTTY_P3_NOV24)Y ON X.ENTTY_ID=Y.ENTTY_ID_SIMUL</v>
      </c>
      <c r="N70" s="45" t="s">
        <v>13</v>
      </c>
    </row>
    <row r="71" spans="2:14">
      <c r="B71" s="41" t="s">
        <v>23</v>
      </c>
      <c r="C71" s="41" t="s">
        <v>74</v>
      </c>
      <c r="D71" s="41" t="str">
        <f>+UPPER('0. Instruções'!$D$33&amp;"."&amp;VLOOKUP(B71,'0. Instruções'!$C$27:$D$31,2,FALSE))</f>
        <v>BU_LOANTAPE_WORK.LT003_ENTITY</v>
      </c>
      <c r="E71" s="41" t="str">
        <f>+UPPER('0. Instruções'!$D$34&amp;"."&amp;VLOOKUP(B71,'0. Instruções'!$C$27:$E$31,3,FALSE))</f>
        <v>BU_LOANTAPE_WORK.LT003_ENTTY_P3_NOV24</v>
      </c>
      <c r="F71" s="41" t="s">
        <v>183</v>
      </c>
      <c r="G71" s="41" t="s">
        <v>13</v>
      </c>
      <c r="H71" s="41"/>
      <c r="I71" s="41" t="str">
        <f>"(SELECT "&amp;VLOOKUP(B71,'0. Instruções'!$C$27:$G$31,4,FALSE)&amp;", "&amp;F71&amp;" FROM "&amp;D71&amp;" WHERE "&amp;'0. Instruções'!$D$40&amp;")X"</f>
        <v>(SELECT entty_id, LEI FROM BU_LOANTAPE_WORK.LT003_ENTITY WHERE ref_date='${ref_date}' AND nome_perimetro='Individual Corporativo' AND segmento='ESTR' AND ambito='PILAR3')X</v>
      </c>
      <c r="J71" s="41" t="str">
        <f>"(SELECT "&amp;VLOOKUP(B71,'0. Instruções'!$C$27:$G$31,4,FALSE)&amp;" AS "&amp;VLOOKUP(B71,'0. Instruções'!$C$27:$G$31,4,FALSE)&amp;"_SIMUL, "&amp;F71&amp;" AS "&amp;F71&amp;"_SIMUL FROM "&amp;E71&amp;")Y"</f>
        <v>(SELECT entty_id AS entty_id_SIMUL, LEI AS LEI_SIMUL FROM BU_LOANTAPE_WORK.LT003_ENTTY_P3_NOV24)Y</v>
      </c>
      <c r="K71" s="42" t="str">
        <f>+UPPER("ON X."&amp;VLOOKUP(B71,'0. Instruções'!$C$27:$G$31,4,FALSE)&amp;"=Y."&amp;VLOOKUP(B71,'0. Instruções'!$C$27:$G$31,4,FALSE)&amp;"_SIMUL")</f>
        <v>ON X.ENTTY_ID=Y.ENTTY_ID_SIMUL</v>
      </c>
      <c r="L71" s="42" t="str">
        <f>+IF(C71="Coerência", +IF(LEFT(G71,5)="FLOAT","SELECT '"&amp;UPPER(B71)&amp;"' AS TABELA, '"&amp;UPPER(C71)&amp;"' AS TIPOLOGIA_TESTE,'"&amp;D71&amp;"' AS TABELA_LT,'"&amp;E71&amp;"' AS TABELA_SIMUL,'"&amp;F71&amp;"' AS CAMPO, "&amp;"'${ref_date}' AS REF_DATE, COUNT(*) AS NUM_REG, SUM(IF((ABS(COALESCE(X."&amp;F71&amp;",0)-COALESCE(Y."&amp;F71&amp;"_SIMUL,0))&gt;0.0000000001) OR (X."&amp;F71&amp;" IS NULL AND Y."&amp;F71&amp;"_SIMUL IS NOT NULL ) OR (X."&amp;F71&amp;" IS NOT NULL AND Y."&amp;F71&amp;"_SIMUL IS NULL),1,0)) AS NUM_REG_DIF,'"&amp;MAX('ID1&amp;5'!K:K)+1&amp;"' AS ID_EXEC, CURRENT_TIMESTAMP() AS TIME_EXEC FROM "&amp;I71&amp;" INNER JOIN "&amp;J71&amp;" "&amp;K71,"SELECT '"&amp;UPPER(B71)&amp;"' AS TABELA, '"&amp;UPPER(C71)&amp;"' AS TIPOLOGIA_TESTE,'"&amp;D71&amp;"' AS TABELA_LT,'"&amp;E71&amp;"' AS TABELA_SIMUL,'"&amp;F71&amp;"' AS CAMPO, "&amp;"'${ref_date}' AS REF_DATE, COUNT(*) AS NUM_REG, SUM(IF(COALESCE(CAST(X."&amp;F71&amp;" AS STRING),'')&lt;&gt;COALESCE(CAST(Y."&amp;F71&amp;"_SIMUL AS STRING),''),1,0)) AS NUM_REG_DIF,'"&amp;MAX('ID1&amp;5'!L:L)+1&amp;"' AS ID_EXEC, CURRENT_TIMESTAMP() AS TIME_EXEC FROM "&amp;I71&amp;" INNER JOIN "&amp;J71&amp;" "&amp;K71),
IF(C71="Validade",+IF(G71="Code List","SELECT '"&amp;UPPER(B71)&amp;"' AS TABELA, '"&amp;UPPER(C71)&amp;"' AS TIPOLOGIA_TESTE,'"&amp;D71&amp;"' AS TABELA_LT,'N/A' AS TABELA_SIMUL,'"&amp;F71&amp;"' AS CAMPO, "&amp;"'${ref_date}' AS REF_DATE, COUNT(*) AS NUM_REG, SUM(IF(TRIM(CAST(X."&amp;F71&amp;" AS STRING))='' OR TRIM(CAST(X."&amp;F71&amp;" AS STRING)) IS NULL OR CAST(X."&amp;F71&amp;" AS STRING) NOT "&amp;H71&amp;",1,0)) AS NUM_REG_DIF,'"&amp;MAX('ID1&amp;5'!K:K)+1&amp;"' AS ID_EXEC, CURRENT_TIMESTAMP() AS TIME_EXEC FROM "&amp;I71,"SELECT '"&amp;UPPER(B71)&amp;"' AS TABELA, '"&amp;UPPER(C71)&amp;"' AS TIPOLOGIA_TESTE,'"&amp;D71&amp;"' AS TABELA_LT,'N/A' AS TABELA_SIMUL,'"&amp;F71&amp;"' AS CAMPO, "&amp;"'${ref_date}' AS REF_DATE, COUNT(*) AS NUM_REG, SUM(IF(TRIM(CAST(X."&amp;F71&amp;" AS STRING))='' OR TRIM(CAST(X."&amp;F71&amp;" AS STRING)) IS NULL,1,0)) AS NUM_REG_DIF,'"&amp;MAX('ID1&amp;5'!K:K)+1&amp;"' AS ID_EXEC, CURRENT_TIMESTAMP() AS TIME_EXEC FROM "&amp;I71),
IF(C71="Caracteres Especiais",+"SELECT '"&amp;UPPER(B71)&amp;"' AS TABELA, '"&amp;UPPER(C71)&amp;"' AS TIPOLOGIA_TESTE,'"&amp;D71&amp;"' AS TABELA_LT,'N/A' AS TABELA_SIMUL,'"&amp;F71&amp;"' AS CAMPO, "&amp;"'${ref_date}' AS REF_DATE, COUNT(*) AS NUM_REG, SUM(IF(INSTR(CAST(X."&amp;F71&amp;" AS STRING),'#')&gt;0 OR INSTR(CAST(X."&amp;F71&amp;" AS STRING),'*')&gt;0 OR INSTR(CAST(X."&amp;F71&amp;" AS STRING),'`')&gt;0 OR INSTR(CAST(X."&amp;F71&amp;" AS STRING),'´')&gt;0 OR INSTR(CAST(X."&amp;F71&amp;" AS STRING),'{')&gt;0 OR INSTR(CAST(X."&amp;F71&amp;" AS STRING),'}')&gt;0 OR INSTR(CAST(X."&amp;F71&amp;" AS STRING),'[')&gt;0 OR INSTR(CAST(X."&amp;F71&amp;" AS STRING),'')&gt;0 OR INSTR(CAST(X."&amp;F71&amp;" AS STRING),']')&gt;0 OR INSTR(CAST(X."&amp;F71&amp;" AS STRING),'?')&gt;0 OR INSTR(CAST(X."&amp;F71&amp;" AS STRING),'!')&gt;0 OR INSTR(CAST(X."&amp;F71&amp;" AS STRING),'$')&gt;0 OR INSTR(CAST(X."&amp;F71&amp;" AS STRING),'%')&gt;0 OR INSTR(CAST(X."&amp;F71&amp;" AS STRING),'&amp;')&gt;0 OR INSTR(CAST(X."&amp;F71&amp;" AS STRING),'+')&gt;0,1,0)) AS NUM_REG_DIF,'"&amp;MAX('ID1&amp;5'!K:K)+1&amp;"' AS ID_EXEC, CURRENT_TIMESTAMP() AS TIME_EXEC FROM "&amp;I71,
IF(C71="Missings",+"SELECT '"&amp;UPPER(B71)&amp;"' AS TABELA, '"&amp;UPPER(C71)&amp;"' AS TIPOLOGIA_TESTE,'"&amp;D71&amp;"' AS TABELA_LT,'N/A' AS TABELA_SIMUL,'"&amp;F71&amp;"' AS CAMPO, "&amp;"'${ref_date}' AS REF_DATE, COUNT(*) AS NUM_REG, SUM(IF(TRIM(CAST(X."&amp;F71&amp;" AS STRING)) IN ('0000-00-00','0001-01-01','9999-12-31','MISS','00000','99999999999','99999999999.00','99999999999.000000'),1,0)) AS NUM_REG_DIF,'"&amp;MAX('ID1&amp;5'!K:K)+1&amp;"' AS ID_EXEC, CURRENT_TIMESTAMP() AS TIME_EXEC FROM "&amp;I71,
IF(C71="Not applicable",+"SELECT '"&amp;UPPER(B71)&amp;"' AS TABELA, '"&amp;UPPER(C71)&amp;"' AS TIPOLOGIA_TESTE,'"&amp;D71&amp;"' AS TABELA_LT,'N/A' AS TABELA_SIMUL,'"&amp;F71&amp;"' AS CAMPO, "&amp;"'${ref_date}' AS REF_DATE, COUNT(*) AS NUM_REG, SUM(IF(TRIM(CAST(X."&amp;F71&amp;" AS STRING)) IN ('N/A','11111111111','11111111111.00','11111111111.000000','1111-11-11'),1,0)) AS NUM_REG_DIF,'"&amp;MAX('ID1&amp;5'!K:K)+1&amp;"' AS ID_EXEC, CURRENT_TIMESTAMP() AS TIME_EXEC FROM "&amp;I71,
IF(C71="Valores extremos",+"SELECT '"&amp;UPPER(B71)&amp;"' AS TABELA, '"&amp;UPPER(C71)&amp;"' AS TIPOLOGIA_TESTE,'"&amp;D71&amp;"' AS TABELA_LT,'N/A' AS TABELA_SIMUL,'"&amp;F71&amp;"' AS CAMPO, "&amp;"'${ref_date}' AS REF_DATE, CAST(MIN("&amp;F71&amp;") AS STRING) AS VALOR_MIN, CAST(MAX("&amp;F71&amp;") AS STRING) AS VALOR_MAX,'"&amp;MAX('ID1&amp;5'!K:K)+1&amp;"' AS ID_EXEC, CURRENT_TIMESTAMP() AS TIME_EXEC FROM "&amp;MID(I71,1,LEN(I71)-2)&amp;" AND CAST("&amp;F71&amp;"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TABELA_SIMUL,'LEI' AS CAMPO, '${ref_date}' AS REF_DATE, COUNT(*) AS NUM_REG, SUM(IF(COALESCE(CAST(X.LEI AS STRING),'')&lt;&gt;COALESCE(CAST(Y.LEI_SIMUL AS STRING),''),1,0)) AS NUM_REG_DIF,'1' AS ID_EXEC, CURRENT_TIMESTAMP() AS TIME_EXEC FROM (SELECT entty_id, LEI FROM BU_LOANTAPE_WORK.LT003_ENTITY WHERE ref_date='${ref_date}' AND nome_perimetro='Individual Corporativo' AND segmento='ESTR' AND ambito='PILAR3')X INNER JOIN (SELECT entty_id AS entty_id_SIMUL, LEI AS LEI_SIMUL FROM BU_LOANTAPE_WORK.LT003_ENTTY_P3_NOV24)Y ON X.ENTTY_ID=Y.ENTTY_ID_SIMUL</v>
      </c>
      <c r="M71" s="43" t="str">
        <f t="shared" si="1"/>
        <v>UNION ALL SELECT 'ENTITY' AS TABELA, 'COERÊNCIA' AS TIPOLOGIA_TESTE,'BU_LOANTAPE_WORK.LT003_ENTITY' AS TABELA_LT,'BU_LOANTAPE_WORK.LT003_ENTTY_P3_NOV24' AS TABELA_SIMUL,'LEI' AS CAMPO, '${ref_date}' AS REF_DATE, COUNT(*) AS NUM_REG, SUM(IF(COALESCE(CAST(X.LEI AS STRING),'')&lt;&gt;COALESCE(CAST(Y.LEI_SIMUL AS STRING),''),1,0)) AS NUM_REG_DIF,'1' AS ID_EXEC, CURRENT_TIMESTAMP() AS TIME_EXEC FROM (SELECT entty_id, LEI FROM BU_LOANTAPE_WORK.LT003_ENTITY WHERE ref_date='${ref_date}' AND nome_perimetro='Individual Corporativo' AND segmento='ESTR' AND ambito='PILAR3')X INNER JOIN (SELECT entty_id AS entty_id_SIMUL, LEI AS LEI_SIMUL FROM BU_LOANTAPE_WORK.LT003_ENTTY_P3_NOV24)Y ON X.ENTTY_ID=Y.ENTTY_ID_SIMUL</v>
      </c>
      <c r="N71" s="45" t="s">
        <v>13</v>
      </c>
    </row>
    <row r="72" spans="2:14">
      <c r="B72" s="41" t="s">
        <v>23</v>
      </c>
      <c r="C72" s="41" t="s">
        <v>74</v>
      </c>
      <c r="D72" s="41" t="str">
        <f>+UPPER('0. Instruções'!$D$33&amp;"."&amp;VLOOKUP(B72,'0. Instruções'!$C$27:$D$31,2,FALSE))</f>
        <v>BU_LOANTAPE_WORK.LT003_ENTITY</v>
      </c>
      <c r="E72" s="41" t="str">
        <f>+UPPER('0. Instruções'!$D$34&amp;"."&amp;VLOOKUP(B72,'0. Instruções'!$C$27:$E$31,3,FALSE))</f>
        <v>BU_LOANTAPE_WORK.LT003_ENTTY_P3_NOV24</v>
      </c>
      <c r="F72" s="41" t="s">
        <v>184</v>
      </c>
      <c r="G72" s="41" t="s">
        <v>13</v>
      </c>
      <c r="H72" s="41"/>
      <c r="I72" s="41" t="str">
        <f>"(SELECT "&amp;VLOOKUP(B72,'0. Instruções'!$C$27:$G$31,4,FALSE)&amp;", "&amp;F72&amp;" FROM "&amp;D72&amp;" WHERE "&amp;'0. Instruções'!$D$40&amp;")X"</f>
        <v>(SELECT entty_id, ECNMC_ACTVTY FROM BU_LOANTAPE_WORK.LT003_ENTITY WHERE ref_date='${ref_date}' AND nome_perimetro='Individual Corporativo' AND segmento='ESTR' AND ambito='PILAR3')X</v>
      </c>
      <c r="J72" s="41" t="str">
        <f>"(SELECT "&amp;VLOOKUP(B72,'0. Instruções'!$C$27:$G$31,4,FALSE)&amp;" AS "&amp;VLOOKUP(B72,'0. Instruções'!$C$27:$G$31,4,FALSE)&amp;"_SIMUL, "&amp;F72&amp;" AS "&amp;F72&amp;"_SIMUL FROM "&amp;E72&amp;")Y"</f>
        <v>(SELECT entty_id AS entty_id_SIMUL, ECNMC_ACTVTY AS ECNMC_ACTVTY_SIMUL FROM BU_LOANTAPE_WORK.LT003_ENTTY_P3_NOV24)Y</v>
      </c>
      <c r="K72" s="42" t="str">
        <f>+UPPER("ON X."&amp;VLOOKUP(B72,'0. Instruções'!$C$27:$G$31,4,FALSE)&amp;"=Y."&amp;VLOOKUP(B72,'0. Instruções'!$C$27:$G$31,4,FALSE)&amp;"_SIMUL")</f>
        <v>ON X.ENTTY_ID=Y.ENTTY_ID_SIMUL</v>
      </c>
      <c r="L72" s="42" t="str">
        <f>+IF(C72="Coerência", +IF(LEFT(G72,5)="FLOAT","SELECT '"&amp;UPPER(B72)&amp;"' AS TABELA, '"&amp;UPPER(C72)&amp;"' AS TIPOLOGIA_TESTE,'"&amp;D72&amp;"' AS TABELA_LT,'"&amp;E72&amp;"' AS TABELA_SIMUL,'"&amp;F72&amp;"' AS CAMPO, "&amp;"'${ref_date}' AS REF_DATE, COUNT(*) AS NUM_REG, SUM(IF((ABS(COALESCE(X."&amp;F72&amp;",0)-COALESCE(Y."&amp;F72&amp;"_SIMUL,0))&gt;0.0000000001) OR (X."&amp;F72&amp;" IS NULL AND Y."&amp;F72&amp;"_SIMUL IS NOT NULL ) OR (X."&amp;F72&amp;" IS NOT NULL AND Y."&amp;F72&amp;"_SIMUL IS NULL),1,0)) AS NUM_REG_DIF,'"&amp;MAX('ID1&amp;5'!K:K)+1&amp;"' AS ID_EXEC, CURRENT_TIMESTAMP() AS TIME_EXEC FROM "&amp;I72&amp;" INNER JOIN "&amp;J72&amp;" "&amp;K72,"SELECT '"&amp;UPPER(B72)&amp;"' AS TABELA, '"&amp;UPPER(C72)&amp;"' AS TIPOLOGIA_TESTE,'"&amp;D72&amp;"' AS TABELA_LT,'"&amp;E72&amp;"' AS TABELA_SIMUL,'"&amp;F72&amp;"' AS CAMPO, "&amp;"'${ref_date}' AS REF_DATE, COUNT(*) AS NUM_REG, SUM(IF(COALESCE(CAST(X."&amp;F72&amp;" AS STRING),'')&lt;&gt;COALESCE(CAST(Y."&amp;F72&amp;"_SIMUL AS STRING),''),1,0)) AS NUM_REG_DIF,'"&amp;MAX('ID1&amp;5'!L:L)+1&amp;"' AS ID_EXEC, CURRENT_TIMESTAMP() AS TIME_EXEC FROM "&amp;I72&amp;" INNER JOIN "&amp;J72&amp;" "&amp;K72),
IF(C72="Validade",+IF(G72="Code List","SELECT '"&amp;UPPER(B72)&amp;"' AS TABELA, '"&amp;UPPER(C72)&amp;"' AS TIPOLOGIA_TESTE,'"&amp;D72&amp;"' AS TABELA_LT,'N/A' AS TABELA_SIMUL,'"&amp;F72&amp;"' AS CAMPO, "&amp;"'${ref_date}' AS REF_DATE, COUNT(*) AS NUM_REG, SUM(IF(TRIM(CAST(X."&amp;F72&amp;" AS STRING))='' OR TRIM(CAST(X."&amp;F72&amp;" AS STRING)) IS NULL OR CAST(X."&amp;F72&amp;" AS STRING) NOT "&amp;H72&amp;",1,0)) AS NUM_REG_DIF,'"&amp;MAX('ID1&amp;5'!K:K)+1&amp;"' AS ID_EXEC, CURRENT_TIMESTAMP() AS TIME_EXEC FROM "&amp;I72,"SELECT '"&amp;UPPER(B72)&amp;"' AS TABELA, '"&amp;UPPER(C72)&amp;"' AS TIPOLOGIA_TESTE,'"&amp;D72&amp;"' AS TABELA_LT,'N/A' AS TABELA_SIMUL,'"&amp;F72&amp;"' AS CAMPO, "&amp;"'${ref_date}' AS REF_DATE, COUNT(*) AS NUM_REG, SUM(IF(TRIM(CAST(X."&amp;F72&amp;" AS STRING))='' OR TRIM(CAST(X."&amp;F72&amp;" AS STRING)) IS NULL,1,0)) AS NUM_REG_DIF,'"&amp;MAX('ID1&amp;5'!K:K)+1&amp;"' AS ID_EXEC, CURRENT_TIMESTAMP() AS TIME_EXEC FROM "&amp;I72),
IF(C72="Caracteres Especiais",+"SELECT '"&amp;UPPER(B72)&amp;"' AS TABELA, '"&amp;UPPER(C72)&amp;"' AS TIPOLOGIA_TESTE,'"&amp;D72&amp;"' AS TABELA_LT,'N/A' AS TABELA_SIMUL,'"&amp;F72&amp;"' AS CAMPO, "&amp;"'${ref_date}' AS REF_DATE, COUNT(*) AS NUM_REG, SUM(IF(INSTR(CAST(X."&amp;F72&amp;" AS STRING),'#')&gt;0 OR INSTR(CAST(X."&amp;F72&amp;" AS STRING),'*')&gt;0 OR INSTR(CAST(X."&amp;F72&amp;" AS STRING),'`')&gt;0 OR INSTR(CAST(X."&amp;F72&amp;" AS STRING),'´')&gt;0 OR INSTR(CAST(X."&amp;F72&amp;" AS STRING),'{')&gt;0 OR INSTR(CAST(X."&amp;F72&amp;" AS STRING),'}')&gt;0 OR INSTR(CAST(X."&amp;F72&amp;" AS STRING),'[')&gt;0 OR INSTR(CAST(X."&amp;F72&amp;" AS STRING),'')&gt;0 OR INSTR(CAST(X."&amp;F72&amp;" AS STRING),']')&gt;0 OR INSTR(CAST(X."&amp;F72&amp;" AS STRING),'?')&gt;0 OR INSTR(CAST(X."&amp;F72&amp;" AS STRING),'!')&gt;0 OR INSTR(CAST(X."&amp;F72&amp;" AS STRING),'$')&gt;0 OR INSTR(CAST(X."&amp;F72&amp;" AS STRING),'%')&gt;0 OR INSTR(CAST(X."&amp;F72&amp;" AS STRING),'&amp;')&gt;0 OR INSTR(CAST(X."&amp;F72&amp;" AS STRING),'+')&gt;0,1,0)) AS NUM_REG_DIF,'"&amp;MAX('ID1&amp;5'!K:K)+1&amp;"' AS ID_EXEC, CURRENT_TIMESTAMP() AS TIME_EXEC FROM "&amp;I72,
IF(C72="Missings",+"SELECT '"&amp;UPPER(B72)&amp;"' AS TABELA, '"&amp;UPPER(C72)&amp;"' AS TIPOLOGIA_TESTE,'"&amp;D72&amp;"' AS TABELA_LT,'N/A' AS TABELA_SIMUL,'"&amp;F72&amp;"' AS CAMPO, "&amp;"'${ref_date}' AS REF_DATE, COUNT(*) AS NUM_REG, SUM(IF(TRIM(CAST(X."&amp;F72&amp;" AS STRING)) IN ('0000-00-00','0001-01-01','9999-12-31','MISS','00000','99999999999','99999999999.00','99999999999.000000'),1,0)) AS NUM_REG_DIF,'"&amp;MAX('ID1&amp;5'!K:K)+1&amp;"' AS ID_EXEC, CURRENT_TIMESTAMP() AS TIME_EXEC FROM "&amp;I72,
IF(C72="Not applicable",+"SELECT '"&amp;UPPER(B72)&amp;"' AS TABELA, '"&amp;UPPER(C72)&amp;"' AS TIPOLOGIA_TESTE,'"&amp;D72&amp;"' AS TABELA_LT,'N/A' AS TABELA_SIMUL,'"&amp;F72&amp;"' AS CAMPO, "&amp;"'${ref_date}' AS REF_DATE, COUNT(*) AS NUM_REG, SUM(IF(TRIM(CAST(X."&amp;F72&amp;" AS STRING)) IN ('N/A','11111111111','11111111111.00','11111111111.000000','1111-11-11'),1,0)) AS NUM_REG_DIF,'"&amp;MAX('ID1&amp;5'!K:K)+1&amp;"' AS ID_EXEC, CURRENT_TIMESTAMP() AS TIME_EXEC FROM "&amp;I72,
IF(C72="Valores extremos",+"SELECT '"&amp;UPPER(B72)&amp;"' AS TABELA, '"&amp;UPPER(C72)&amp;"' AS TIPOLOGIA_TESTE,'"&amp;D72&amp;"' AS TABELA_LT,'N/A' AS TABELA_SIMUL,'"&amp;F72&amp;"' AS CAMPO, "&amp;"'${ref_date}' AS REF_DATE, CAST(MIN("&amp;F72&amp;") AS STRING) AS VALOR_MIN, CAST(MAX("&amp;F72&amp;") AS STRING) AS VALOR_MAX,'"&amp;MAX('ID1&amp;5'!K:K)+1&amp;"' AS ID_EXEC, CURRENT_TIMESTAMP() AS TIME_EXEC FROM "&amp;MID(I72,1,LEN(I72)-2)&amp;" AND CAST("&amp;F72&amp;"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TABELA_SIMUL,'ECNMC_ACTVTY' AS CAMPO, '${ref_date}' AS REF_DATE, COUNT(*) AS NUM_REG, SUM(IF(COALESCE(CAST(X.ECNMC_ACTVTY AS STRING),'')&lt;&gt;COALESCE(CAST(Y.ECNMC_ACTVTY_SIMUL AS STRING),''),1,0)) AS NUM_REG_DIF,'1' AS ID_EXEC, CURRENT_TIMESTAMP() AS TIME_EXEC FROM (SELECT entty_id, ECNMC_ACTVTY FROM BU_LOANTAPE_WORK.LT003_ENTITY WHERE ref_date='${ref_date}' AND nome_perimetro='Individual Corporativo' AND segmento='ESTR' AND ambito='PILAR3')X INNER JOIN (SELECT entty_id AS entty_id_SIMUL, ECNMC_ACTVTY AS ECNMC_ACTVTY_SIMUL FROM BU_LOANTAPE_WORK.LT003_ENTTY_P3_NOV24)Y ON X.ENTTY_ID=Y.ENTTY_ID_SIMUL</v>
      </c>
      <c r="M72" s="43" t="str">
        <f t="shared" si="1"/>
        <v>UNION ALL SELECT 'ENTITY' AS TABELA, 'COERÊNCIA' AS TIPOLOGIA_TESTE,'BU_LOANTAPE_WORK.LT003_ENTITY' AS TABELA_LT,'BU_LOANTAPE_WORK.LT003_ENTTY_P3_NOV24' AS TABELA_SIMUL,'ECNMC_ACTVTY' AS CAMPO, '${ref_date}' AS REF_DATE, COUNT(*) AS NUM_REG, SUM(IF(COALESCE(CAST(X.ECNMC_ACTVTY AS STRING),'')&lt;&gt;COALESCE(CAST(Y.ECNMC_ACTVTY_SIMUL AS STRING),''),1,0)) AS NUM_REG_DIF,'1' AS ID_EXEC, CURRENT_TIMESTAMP() AS TIME_EXEC FROM (SELECT entty_id, ECNMC_ACTVTY FROM BU_LOANTAPE_WORK.LT003_ENTITY WHERE ref_date='${ref_date}' AND nome_perimetro='Individual Corporativo' AND segmento='ESTR' AND ambito='PILAR3')X INNER JOIN (SELECT entty_id AS entty_id_SIMUL, ECNMC_ACTVTY AS ECNMC_ACTVTY_SIMUL FROM BU_LOANTAPE_WORK.LT003_ENTTY_P3_NOV24)Y ON X.ENTTY_ID=Y.ENTTY_ID_SIMUL</v>
      </c>
      <c r="N72" s="45" t="s">
        <v>13</v>
      </c>
    </row>
    <row r="73" spans="2:14">
      <c r="B73" s="41" t="s">
        <v>23</v>
      </c>
      <c r="C73" s="41" t="s">
        <v>74</v>
      </c>
      <c r="D73" s="41" t="str">
        <f>+UPPER('0. Instruções'!$D$33&amp;"."&amp;VLOOKUP(B73,'0. Instruções'!$C$27:$D$31,2,FALSE))</f>
        <v>BU_LOANTAPE_WORK.LT003_ENTITY</v>
      </c>
      <c r="E73" s="41" t="str">
        <f>+UPPER('0. Instruções'!$D$34&amp;"."&amp;VLOOKUP(B73,'0. Instruções'!$C$27:$E$31,3,FALSE))</f>
        <v>BU_LOANTAPE_WORK.LT003_ENTTY_P3_NOV24</v>
      </c>
      <c r="F73" s="41" t="s">
        <v>185</v>
      </c>
      <c r="G73" s="41" t="s">
        <v>13</v>
      </c>
      <c r="H73" s="41"/>
      <c r="I73" s="41" t="str">
        <f>"(SELECT "&amp;VLOOKUP(B73,'0. Instruções'!$C$27:$G$31,4,FALSE)&amp;", "&amp;F73&amp;" FROM "&amp;D73&amp;" WHERE "&amp;'0. Instruções'!$D$40&amp;")X"</f>
        <v>(SELECT entty_id, GRP_EQTY FROM BU_LOANTAPE_WORK.LT003_ENTITY WHERE ref_date='${ref_date}' AND nome_perimetro='Individual Corporativo' AND segmento='ESTR' AND ambito='PILAR3')X</v>
      </c>
      <c r="J73" s="41" t="str">
        <f>"(SELECT "&amp;VLOOKUP(B73,'0. Instruções'!$C$27:$G$31,4,FALSE)&amp;" AS "&amp;VLOOKUP(B73,'0. Instruções'!$C$27:$G$31,4,FALSE)&amp;"_SIMUL, "&amp;F73&amp;" AS "&amp;F73&amp;"_SIMUL FROM "&amp;E73&amp;")Y"</f>
        <v>(SELECT entty_id AS entty_id_SIMUL, GRP_EQTY AS GRP_EQTY_SIMUL FROM BU_LOANTAPE_WORK.LT003_ENTTY_P3_NOV24)Y</v>
      </c>
      <c r="K73" s="42" t="str">
        <f>+UPPER("ON X."&amp;VLOOKUP(B73,'0. Instruções'!$C$27:$G$31,4,FALSE)&amp;"=Y."&amp;VLOOKUP(B73,'0. Instruções'!$C$27:$G$31,4,FALSE)&amp;"_SIMUL")</f>
        <v>ON X.ENTTY_ID=Y.ENTTY_ID_SIMUL</v>
      </c>
      <c r="L73" s="42" t="str">
        <f>+IF(C73="Coerência", +IF(LEFT(G73,5)="FLOAT","SELECT '"&amp;UPPER(B73)&amp;"' AS TABELA, '"&amp;UPPER(C73)&amp;"' AS TIPOLOGIA_TESTE,'"&amp;D73&amp;"' AS TABELA_LT,'"&amp;E73&amp;"' AS TABELA_SIMUL,'"&amp;F73&amp;"' AS CAMPO, "&amp;"'${ref_date}' AS REF_DATE, COUNT(*) AS NUM_REG, SUM(IF((ABS(COALESCE(X."&amp;F73&amp;",0)-COALESCE(Y."&amp;F73&amp;"_SIMUL,0))&gt;0.0000000001) OR (X."&amp;F73&amp;" IS NULL AND Y."&amp;F73&amp;"_SIMUL IS NOT NULL ) OR (X."&amp;F73&amp;" IS NOT NULL AND Y."&amp;F73&amp;"_SIMUL IS NULL),1,0)) AS NUM_REG_DIF,'"&amp;MAX('ID1&amp;5'!K:K)+1&amp;"' AS ID_EXEC, CURRENT_TIMESTAMP() AS TIME_EXEC FROM "&amp;I73&amp;" INNER JOIN "&amp;J73&amp;" "&amp;K73,"SELECT '"&amp;UPPER(B73)&amp;"' AS TABELA, '"&amp;UPPER(C73)&amp;"' AS TIPOLOGIA_TESTE,'"&amp;D73&amp;"' AS TABELA_LT,'"&amp;E73&amp;"' AS TABELA_SIMUL,'"&amp;F73&amp;"' AS CAMPO, "&amp;"'${ref_date}' AS REF_DATE, COUNT(*) AS NUM_REG, SUM(IF(COALESCE(CAST(X."&amp;F73&amp;" AS STRING),'')&lt;&gt;COALESCE(CAST(Y."&amp;F73&amp;"_SIMUL AS STRING),''),1,0)) AS NUM_REG_DIF,'"&amp;MAX('ID1&amp;5'!L:L)+1&amp;"' AS ID_EXEC, CURRENT_TIMESTAMP() AS TIME_EXEC FROM "&amp;I73&amp;" INNER JOIN "&amp;J73&amp;" "&amp;K73),
IF(C73="Validade",+IF(G73="Code List","SELECT '"&amp;UPPER(B73)&amp;"' AS TABELA, '"&amp;UPPER(C73)&amp;"' AS TIPOLOGIA_TESTE,'"&amp;D73&amp;"' AS TABELA_LT,'N/A' AS TABELA_SIMUL,'"&amp;F73&amp;"' AS CAMPO, "&amp;"'${ref_date}' AS REF_DATE, COUNT(*) AS NUM_REG, SUM(IF(TRIM(CAST(X."&amp;F73&amp;" AS STRING))='' OR TRIM(CAST(X."&amp;F73&amp;" AS STRING)) IS NULL OR CAST(X."&amp;F73&amp;" AS STRING) NOT "&amp;H73&amp;",1,0)) AS NUM_REG_DIF,'"&amp;MAX('ID1&amp;5'!K:K)+1&amp;"' AS ID_EXEC, CURRENT_TIMESTAMP() AS TIME_EXEC FROM "&amp;I73,"SELECT '"&amp;UPPER(B73)&amp;"' AS TABELA, '"&amp;UPPER(C73)&amp;"' AS TIPOLOGIA_TESTE,'"&amp;D73&amp;"' AS TABELA_LT,'N/A' AS TABELA_SIMUL,'"&amp;F73&amp;"' AS CAMPO, "&amp;"'${ref_date}' AS REF_DATE, COUNT(*) AS NUM_REG, SUM(IF(TRIM(CAST(X."&amp;F73&amp;" AS STRING))='' OR TRIM(CAST(X."&amp;F73&amp;" AS STRING)) IS NULL,1,0)) AS NUM_REG_DIF,'"&amp;MAX('ID1&amp;5'!K:K)+1&amp;"' AS ID_EXEC, CURRENT_TIMESTAMP() AS TIME_EXEC FROM "&amp;I73),
IF(C73="Caracteres Especiais",+"SELECT '"&amp;UPPER(B73)&amp;"' AS TABELA, '"&amp;UPPER(C73)&amp;"' AS TIPOLOGIA_TESTE,'"&amp;D73&amp;"' AS TABELA_LT,'N/A' AS TABELA_SIMUL,'"&amp;F73&amp;"' AS CAMPO, "&amp;"'${ref_date}' AS REF_DATE, COUNT(*) AS NUM_REG, SUM(IF(INSTR(CAST(X."&amp;F73&amp;" AS STRING),'#')&gt;0 OR INSTR(CAST(X."&amp;F73&amp;" AS STRING),'*')&gt;0 OR INSTR(CAST(X."&amp;F73&amp;" AS STRING),'`')&gt;0 OR INSTR(CAST(X."&amp;F73&amp;" AS STRING),'´')&gt;0 OR INSTR(CAST(X."&amp;F73&amp;" AS STRING),'{')&gt;0 OR INSTR(CAST(X."&amp;F73&amp;" AS STRING),'}')&gt;0 OR INSTR(CAST(X."&amp;F73&amp;" AS STRING),'[')&gt;0 OR INSTR(CAST(X."&amp;F73&amp;" AS STRING),'')&gt;0 OR INSTR(CAST(X."&amp;F73&amp;" AS STRING),']')&gt;0 OR INSTR(CAST(X."&amp;F73&amp;" AS STRING),'?')&gt;0 OR INSTR(CAST(X."&amp;F73&amp;" AS STRING),'!')&gt;0 OR INSTR(CAST(X."&amp;F73&amp;" AS STRING),'$')&gt;0 OR INSTR(CAST(X."&amp;F73&amp;" AS STRING),'%')&gt;0 OR INSTR(CAST(X."&amp;F73&amp;" AS STRING),'&amp;')&gt;0 OR INSTR(CAST(X."&amp;F73&amp;" AS STRING),'+')&gt;0,1,0)) AS NUM_REG_DIF,'"&amp;MAX('ID1&amp;5'!K:K)+1&amp;"' AS ID_EXEC, CURRENT_TIMESTAMP() AS TIME_EXEC FROM "&amp;I73,
IF(C73="Missings",+"SELECT '"&amp;UPPER(B73)&amp;"' AS TABELA, '"&amp;UPPER(C73)&amp;"' AS TIPOLOGIA_TESTE,'"&amp;D73&amp;"' AS TABELA_LT,'N/A' AS TABELA_SIMUL,'"&amp;F73&amp;"' AS CAMPO, "&amp;"'${ref_date}' AS REF_DATE, COUNT(*) AS NUM_REG, SUM(IF(TRIM(CAST(X."&amp;F73&amp;" AS STRING)) IN ('0000-00-00','0001-01-01','9999-12-31','MISS','00000','99999999999','99999999999.00','99999999999.000000'),1,0)) AS NUM_REG_DIF,'"&amp;MAX('ID1&amp;5'!K:K)+1&amp;"' AS ID_EXEC, CURRENT_TIMESTAMP() AS TIME_EXEC FROM "&amp;I73,
IF(C73="Not applicable",+"SELECT '"&amp;UPPER(B73)&amp;"' AS TABELA, '"&amp;UPPER(C73)&amp;"' AS TIPOLOGIA_TESTE,'"&amp;D73&amp;"' AS TABELA_LT,'N/A' AS TABELA_SIMUL,'"&amp;F73&amp;"' AS CAMPO, "&amp;"'${ref_date}' AS REF_DATE, COUNT(*) AS NUM_REG, SUM(IF(TRIM(CAST(X."&amp;F73&amp;" AS STRING)) IN ('N/A','11111111111','11111111111.00','11111111111.000000','1111-11-11'),1,0)) AS NUM_REG_DIF,'"&amp;MAX('ID1&amp;5'!K:K)+1&amp;"' AS ID_EXEC, CURRENT_TIMESTAMP() AS TIME_EXEC FROM "&amp;I73,
IF(C73="Valores extremos",+"SELECT '"&amp;UPPER(B73)&amp;"' AS TABELA, '"&amp;UPPER(C73)&amp;"' AS TIPOLOGIA_TESTE,'"&amp;D73&amp;"' AS TABELA_LT,'N/A' AS TABELA_SIMUL,'"&amp;F73&amp;"' AS CAMPO, "&amp;"'${ref_date}' AS REF_DATE, CAST(MIN("&amp;F73&amp;") AS STRING) AS VALOR_MIN, CAST(MAX("&amp;F73&amp;") AS STRING) AS VALOR_MAX,'"&amp;MAX('ID1&amp;5'!K:K)+1&amp;"' AS ID_EXEC, CURRENT_TIMESTAMP() AS TIME_EXEC FROM "&amp;MID(I73,1,LEN(I73)-2)&amp;" AND CAST("&amp;F73&amp;"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TABELA_SIMUL,'GRP_EQTY' AS CAMPO, '${ref_date}' AS REF_DATE, COUNT(*) AS NUM_REG, SUM(IF(COALESCE(CAST(X.GRP_EQTY AS STRING),'')&lt;&gt;COALESCE(CAST(Y.GRP_EQTY_SIMUL AS STRING),''),1,0)) AS NUM_REG_DIF,'1' AS ID_EXEC, CURRENT_TIMESTAMP() AS TIME_EXEC FROM (SELECT entty_id, GRP_EQTY FROM BU_LOANTAPE_WORK.LT003_ENTITY WHERE ref_date='${ref_date}' AND nome_perimetro='Individual Corporativo' AND segmento='ESTR' AND ambito='PILAR3')X INNER JOIN (SELECT entty_id AS entty_id_SIMUL, GRP_EQTY AS GRP_EQTY_SIMUL FROM BU_LOANTAPE_WORK.LT003_ENTTY_P3_NOV24)Y ON X.ENTTY_ID=Y.ENTTY_ID_SIMUL</v>
      </c>
      <c r="M73" s="43" t="str">
        <f t="shared" si="1"/>
        <v>UNION ALL SELECT 'ENTITY' AS TABELA, 'COERÊNCIA' AS TIPOLOGIA_TESTE,'BU_LOANTAPE_WORK.LT003_ENTITY' AS TABELA_LT,'BU_LOANTAPE_WORK.LT003_ENTTY_P3_NOV24' AS TABELA_SIMUL,'GRP_EQTY' AS CAMPO, '${ref_date}' AS REF_DATE, COUNT(*) AS NUM_REG, SUM(IF(COALESCE(CAST(X.GRP_EQTY AS STRING),'')&lt;&gt;COALESCE(CAST(Y.GRP_EQTY_SIMUL AS STRING),''),1,0)) AS NUM_REG_DIF,'1' AS ID_EXEC, CURRENT_TIMESTAMP() AS TIME_EXEC FROM (SELECT entty_id, GRP_EQTY FROM BU_LOANTAPE_WORK.LT003_ENTITY WHERE ref_date='${ref_date}' AND nome_perimetro='Individual Corporativo' AND segmento='ESTR' AND ambito='PILAR3')X INNER JOIN (SELECT entty_id AS entty_id_SIMUL, GRP_EQTY AS GRP_EQTY_SIMUL FROM BU_LOANTAPE_WORK.LT003_ENTTY_P3_NOV24)Y ON X.ENTTY_ID=Y.ENTTY_ID_SIMUL</v>
      </c>
      <c r="N73" s="45" t="s">
        <v>13</v>
      </c>
    </row>
    <row r="74" spans="2:14">
      <c r="B74" s="41" t="s">
        <v>23</v>
      </c>
      <c r="C74" s="41" t="s">
        <v>74</v>
      </c>
      <c r="D74" s="41" t="str">
        <f>+UPPER('0. Instruções'!$D$33&amp;"."&amp;VLOOKUP(B74,'0. Instruções'!$C$27:$D$31,2,FALSE))</f>
        <v>BU_LOANTAPE_WORK.LT003_ENTITY</v>
      </c>
      <c r="E74" s="41" t="str">
        <f>+UPPER('0. Instruções'!$D$34&amp;"."&amp;VLOOKUP(B74,'0. Instruções'!$C$27:$E$31,3,FALSE))</f>
        <v>BU_LOANTAPE_WORK.LT003_ENTTY_P3_NOV24</v>
      </c>
      <c r="F74" s="41" t="s">
        <v>186</v>
      </c>
      <c r="G74" s="41" t="s">
        <v>13</v>
      </c>
      <c r="H74" s="41"/>
      <c r="I74" s="41" t="str">
        <f>"(SELECT "&amp;VLOOKUP(B74,'0. Instruções'!$C$27:$G$31,4,FALSE)&amp;", "&amp;F74&amp;" FROM "&amp;D74&amp;" WHERE "&amp;'0. Instruções'!$D$40&amp;")X"</f>
        <v>(SELECT entty_id, ANNL_TRNVR_LE FROM BU_LOANTAPE_WORK.LT003_ENTITY WHERE ref_date='${ref_date}' AND nome_perimetro='Individual Corporativo' AND segmento='ESTR' AND ambito='PILAR3')X</v>
      </c>
      <c r="J74" s="41" t="str">
        <f>"(SELECT "&amp;VLOOKUP(B74,'0. Instruções'!$C$27:$G$31,4,FALSE)&amp;" AS "&amp;VLOOKUP(B74,'0. Instruções'!$C$27:$G$31,4,FALSE)&amp;"_SIMUL, "&amp;F74&amp;" AS "&amp;F74&amp;"_SIMUL FROM "&amp;E74&amp;")Y"</f>
        <v>(SELECT entty_id AS entty_id_SIMUL, ANNL_TRNVR_LE AS ANNL_TRNVR_LE_SIMUL FROM BU_LOANTAPE_WORK.LT003_ENTTY_P3_NOV24)Y</v>
      </c>
      <c r="K74" s="42" t="str">
        <f>+UPPER("ON X."&amp;VLOOKUP(B74,'0. Instruções'!$C$27:$G$31,4,FALSE)&amp;"=Y."&amp;VLOOKUP(B74,'0. Instruções'!$C$27:$G$31,4,FALSE)&amp;"_SIMUL")</f>
        <v>ON X.ENTTY_ID=Y.ENTTY_ID_SIMUL</v>
      </c>
      <c r="L74" s="42" t="str">
        <f>+IF(C74="Coerência", +IF(LEFT(G74,5)="FLOAT","SELECT '"&amp;UPPER(B74)&amp;"' AS TABELA, '"&amp;UPPER(C74)&amp;"' AS TIPOLOGIA_TESTE,'"&amp;D74&amp;"' AS TABELA_LT,'"&amp;E74&amp;"' AS TABELA_SIMUL,'"&amp;F74&amp;"' AS CAMPO, "&amp;"'${ref_date}' AS REF_DATE, COUNT(*) AS NUM_REG, SUM(IF((ABS(COALESCE(X."&amp;F74&amp;",0)-COALESCE(Y."&amp;F74&amp;"_SIMUL,0))&gt;0.0000000001) OR (X."&amp;F74&amp;" IS NULL AND Y."&amp;F74&amp;"_SIMUL IS NOT NULL ) OR (X."&amp;F74&amp;" IS NOT NULL AND Y."&amp;F74&amp;"_SIMUL IS NULL),1,0)) AS NUM_REG_DIF,'"&amp;MAX('ID1&amp;5'!K:K)+1&amp;"' AS ID_EXEC, CURRENT_TIMESTAMP() AS TIME_EXEC FROM "&amp;I74&amp;" INNER JOIN "&amp;J74&amp;" "&amp;K74,"SELECT '"&amp;UPPER(B74)&amp;"' AS TABELA, '"&amp;UPPER(C74)&amp;"' AS TIPOLOGIA_TESTE,'"&amp;D74&amp;"' AS TABELA_LT,'"&amp;E74&amp;"' AS TABELA_SIMUL,'"&amp;F74&amp;"' AS CAMPO, "&amp;"'${ref_date}' AS REF_DATE, COUNT(*) AS NUM_REG, SUM(IF(COALESCE(CAST(X."&amp;F74&amp;" AS STRING),'')&lt;&gt;COALESCE(CAST(Y."&amp;F74&amp;"_SIMUL AS STRING),''),1,0)) AS NUM_REG_DIF,'"&amp;MAX('ID1&amp;5'!L:L)+1&amp;"' AS ID_EXEC, CURRENT_TIMESTAMP() AS TIME_EXEC FROM "&amp;I74&amp;" INNER JOIN "&amp;J74&amp;" "&amp;K74),
IF(C74="Validade",+IF(G74="Code List","SELECT '"&amp;UPPER(B74)&amp;"' AS TABELA, '"&amp;UPPER(C74)&amp;"' AS TIPOLOGIA_TESTE,'"&amp;D74&amp;"' AS TABELA_LT,'N/A' AS TABELA_SIMUL,'"&amp;F74&amp;"' AS CAMPO, "&amp;"'${ref_date}' AS REF_DATE, COUNT(*) AS NUM_REG, SUM(IF(TRIM(CAST(X."&amp;F74&amp;" AS STRING))='' OR TRIM(CAST(X."&amp;F74&amp;" AS STRING)) IS NULL OR CAST(X."&amp;F74&amp;" AS STRING) NOT "&amp;H74&amp;",1,0)) AS NUM_REG_DIF,'"&amp;MAX('ID1&amp;5'!K:K)+1&amp;"' AS ID_EXEC, CURRENT_TIMESTAMP() AS TIME_EXEC FROM "&amp;I74,"SELECT '"&amp;UPPER(B74)&amp;"' AS TABELA, '"&amp;UPPER(C74)&amp;"' AS TIPOLOGIA_TESTE,'"&amp;D74&amp;"' AS TABELA_LT,'N/A' AS TABELA_SIMUL,'"&amp;F74&amp;"' AS CAMPO, "&amp;"'${ref_date}' AS REF_DATE, COUNT(*) AS NUM_REG, SUM(IF(TRIM(CAST(X."&amp;F74&amp;" AS STRING))='' OR TRIM(CAST(X."&amp;F74&amp;" AS STRING)) IS NULL,1,0)) AS NUM_REG_DIF,'"&amp;MAX('ID1&amp;5'!K:K)+1&amp;"' AS ID_EXEC, CURRENT_TIMESTAMP() AS TIME_EXEC FROM "&amp;I74),
IF(C74="Caracteres Especiais",+"SELECT '"&amp;UPPER(B74)&amp;"' AS TABELA, '"&amp;UPPER(C74)&amp;"' AS TIPOLOGIA_TESTE,'"&amp;D74&amp;"' AS TABELA_LT,'N/A' AS TABELA_SIMUL,'"&amp;F74&amp;"' AS CAMPO, "&amp;"'${ref_date}' AS REF_DATE, COUNT(*) AS NUM_REG, SUM(IF(INSTR(CAST(X."&amp;F74&amp;" AS STRING),'#')&gt;0 OR INSTR(CAST(X."&amp;F74&amp;" AS STRING),'*')&gt;0 OR INSTR(CAST(X."&amp;F74&amp;" AS STRING),'`')&gt;0 OR INSTR(CAST(X."&amp;F74&amp;" AS STRING),'´')&gt;0 OR INSTR(CAST(X."&amp;F74&amp;" AS STRING),'{')&gt;0 OR INSTR(CAST(X."&amp;F74&amp;" AS STRING),'}')&gt;0 OR INSTR(CAST(X."&amp;F74&amp;" AS STRING),'[')&gt;0 OR INSTR(CAST(X."&amp;F74&amp;" AS STRING),'')&gt;0 OR INSTR(CAST(X."&amp;F74&amp;" AS STRING),']')&gt;0 OR INSTR(CAST(X."&amp;F74&amp;" AS STRING),'?')&gt;0 OR INSTR(CAST(X."&amp;F74&amp;" AS STRING),'!')&gt;0 OR INSTR(CAST(X."&amp;F74&amp;" AS STRING),'$')&gt;0 OR INSTR(CAST(X."&amp;F74&amp;" AS STRING),'%')&gt;0 OR INSTR(CAST(X."&amp;F74&amp;" AS STRING),'&amp;')&gt;0 OR INSTR(CAST(X."&amp;F74&amp;" AS STRING),'+')&gt;0,1,0)) AS NUM_REG_DIF,'"&amp;MAX('ID1&amp;5'!K:K)+1&amp;"' AS ID_EXEC, CURRENT_TIMESTAMP() AS TIME_EXEC FROM "&amp;I74,
IF(C74="Missings",+"SELECT '"&amp;UPPER(B74)&amp;"' AS TABELA, '"&amp;UPPER(C74)&amp;"' AS TIPOLOGIA_TESTE,'"&amp;D74&amp;"' AS TABELA_LT,'N/A' AS TABELA_SIMUL,'"&amp;F74&amp;"' AS CAMPO, "&amp;"'${ref_date}' AS REF_DATE, COUNT(*) AS NUM_REG, SUM(IF(TRIM(CAST(X."&amp;F74&amp;" AS STRING)) IN ('0000-00-00','0001-01-01','9999-12-31','MISS','00000','99999999999','99999999999.00','99999999999.000000'),1,0)) AS NUM_REG_DIF,'"&amp;MAX('ID1&amp;5'!K:K)+1&amp;"' AS ID_EXEC, CURRENT_TIMESTAMP() AS TIME_EXEC FROM "&amp;I74,
IF(C74="Not applicable",+"SELECT '"&amp;UPPER(B74)&amp;"' AS TABELA, '"&amp;UPPER(C74)&amp;"' AS TIPOLOGIA_TESTE,'"&amp;D74&amp;"' AS TABELA_LT,'N/A' AS TABELA_SIMUL,'"&amp;F74&amp;"' AS CAMPO, "&amp;"'${ref_date}' AS REF_DATE, COUNT(*) AS NUM_REG, SUM(IF(TRIM(CAST(X."&amp;F74&amp;" AS STRING)) IN ('N/A','11111111111','11111111111.00','11111111111.000000','1111-11-11'),1,0)) AS NUM_REG_DIF,'"&amp;MAX('ID1&amp;5'!K:K)+1&amp;"' AS ID_EXEC, CURRENT_TIMESTAMP() AS TIME_EXEC FROM "&amp;I74,
IF(C74="Valores extremos",+"SELECT '"&amp;UPPER(B74)&amp;"' AS TABELA, '"&amp;UPPER(C74)&amp;"' AS TIPOLOGIA_TESTE,'"&amp;D74&amp;"' AS TABELA_LT,'N/A' AS TABELA_SIMUL,'"&amp;F74&amp;"' AS CAMPO, "&amp;"'${ref_date}' AS REF_DATE, CAST(MIN("&amp;F74&amp;") AS STRING) AS VALOR_MIN, CAST(MAX("&amp;F74&amp;") AS STRING) AS VALOR_MAX,'"&amp;MAX('ID1&amp;5'!K:K)+1&amp;"' AS ID_EXEC, CURRENT_TIMESTAMP() AS TIME_EXEC FROM "&amp;MID(I74,1,LEN(I74)-2)&amp;" AND CAST("&amp;F74&amp;"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TABELA_SIMUL,'ANNL_TRNVR_LE' AS CAMPO, '${ref_date}' AS REF_DATE, COUNT(*) AS NUM_REG, SUM(IF(COALESCE(CAST(X.ANNL_TRNVR_LE AS STRING),'')&lt;&gt;COALESCE(CAST(Y.ANNL_TRNVR_LE_SIMUL AS STRING),''),1,0)) AS NUM_REG_DIF,'1' AS ID_EXEC, CURRENT_TIMESTAMP() AS TIME_EXEC FROM (SELECT entty_id, ANNL_TRNVR_LE FROM BU_LOANTAPE_WORK.LT003_ENTITY WHERE ref_date='${ref_date}' AND nome_perimetro='Individual Corporativo' AND segmento='ESTR' AND ambito='PILAR3')X INNER JOIN (SELECT entty_id AS entty_id_SIMUL, ANNL_TRNVR_LE AS ANNL_TRNVR_LE_SIMUL FROM BU_LOANTAPE_WORK.LT003_ENTTY_P3_NOV24)Y ON X.ENTTY_ID=Y.ENTTY_ID_SIMUL</v>
      </c>
      <c r="M74" s="43" t="str">
        <f t="shared" si="1"/>
        <v>UNION ALL SELECT 'ENTITY' AS TABELA, 'COERÊNCIA' AS TIPOLOGIA_TESTE,'BU_LOANTAPE_WORK.LT003_ENTITY' AS TABELA_LT,'BU_LOANTAPE_WORK.LT003_ENTTY_P3_NOV24' AS TABELA_SIMUL,'ANNL_TRNVR_LE' AS CAMPO, '${ref_date}' AS REF_DATE, COUNT(*) AS NUM_REG, SUM(IF(COALESCE(CAST(X.ANNL_TRNVR_LE AS STRING),'')&lt;&gt;COALESCE(CAST(Y.ANNL_TRNVR_LE_SIMUL AS STRING),''),1,0)) AS NUM_REG_DIF,'1' AS ID_EXEC, CURRENT_TIMESTAMP() AS TIME_EXEC FROM (SELECT entty_id, ANNL_TRNVR_LE FROM BU_LOANTAPE_WORK.LT003_ENTITY WHERE ref_date='${ref_date}' AND nome_perimetro='Individual Corporativo' AND segmento='ESTR' AND ambito='PILAR3')X INNER JOIN (SELECT entty_id AS entty_id_SIMUL, ANNL_TRNVR_LE AS ANNL_TRNVR_LE_SIMUL FROM BU_LOANTAPE_WORK.LT003_ENTTY_P3_NOV24)Y ON X.ENTTY_ID=Y.ENTTY_ID_SIMUL</v>
      </c>
      <c r="N74" s="45" t="s">
        <v>13</v>
      </c>
    </row>
    <row r="75" spans="2:14">
      <c r="B75" s="41" t="s">
        <v>23</v>
      </c>
      <c r="C75" s="41" t="s">
        <v>74</v>
      </c>
      <c r="D75" s="41" t="str">
        <f>+UPPER('0. Instruções'!$D$33&amp;"."&amp;VLOOKUP(B75,'0. Instruções'!$C$27:$D$31,2,FALSE))</f>
        <v>BU_LOANTAPE_WORK.LT003_ENTITY</v>
      </c>
      <c r="E75" s="41" t="str">
        <f>+UPPER('0. Instruções'!$D$34&amp;"."&amp;VLOOKUP(B75,'0. Instruções'!$C$27:$E$31,3,FALSE))</f>
        <v>BU_LOANTAPE_WORK.LT003_ENTTY_P3_NOV24</v>
      </c>
      <c r="F75" s="41" t="s">
        <v>187</v>
      </c>
      <c r="G75" s="41" t="s">
        <v>13</v>
      </c>
      <c r="H75" s="41"/>
      <c r="I75" s="41" t="str">
        <f>"(SELECT "&amp;VLOOKUP(B75,'0. Instruções'!$C$27:$G$31,4,FALSE)&amp;", "&amp;F75&amp;" FROM "&amp;D75&amp;" WHERE "&amp;'0. Instruções'!$D$40&amp;")X"</f>
        <v>(SELECT entty_id, EQTY FROM BU_LOANTAPE_WORK.LT003_ENTITY WHERE ref_date='${ref_date}' AND nome_perimetro='Individual Corporativo' AND segmento='ESTR' AND ambito='PILAR3')X</v>
      </c>
      <c r="J75" s="41" t="str">
        <f>"(SELECT "&amp;VLOOKUP(B75,'0. Instruções'!$C$27:$G$31,4,FALSE)&amp;" AS "&amp;VLOOKUP(B75,'0. Instruções'!$C$27:$G$31,4,FALSE)&amp;"_SIMUL, "&amp;F75&amp;" AS "&amp;F75&amp;"_SIMUL FROM "&amp;E75&amp;")Y"</f>
        <v>(SELECT entty_id AS entty_id_SIMUL, EQTY AS EQTY_SIMUL FROM BU_LOANTAPE_WORK.LT003_ENTTY_P3_NOV24)Y</v>
      </c>
      <c r="K75" s="42" t="str">
        <f>+UPPER("ON X."&amp;VLOOKUP(B75,'0. Instruções'!$C$27:$G$31,4,FALSE)&amp;"=Y."&amp;VLOOKUP(B75,'0. Instruções'!$C$27:$G$31,4,FALSE)&amp;"_SIMUL")</f>
        <v>ON X.ENTTY_ID=Y.ENTTY_ID_SIMUL</v>
      </c>
      <c r="L75" s="42" t="str">
        <f>+IF(C75="Coerência", +IF(LEFT(G75,5)="FLOAT","SELECT '"&amp;UPPER(B75)&amp;"' AS TABELA, '"&amp;UPPER(C75)&amp;"' AS TIPOLOGIA_TESTE,'"&amp;D75&amp;"' AS TABELA_LT,'"&amp;E75&amp;"' AS TABELA_SIMUL,'"&amp;F75&amp;"' AS CAMPO, "&amp;"'${ref_date}' AS REF_DATE, COUNT(*) AS NUM_REG, SUM(IF((ABS(COALESCE(X."&amp;F75&amp;",0)-COALESCE(Y."&amp;F75&amp;"_SIMUL,0))&gt;0.0000000001) OR (X."&amp;F75&amp;" IS NULL AND Y."&amp;F75&amp;"_SIMUL IS NOT NULL ) OR (X."&amp;F75&amp;" IS NOT NULL AND Y."&amp;F75&amp;"_SIMUL IS NULL),1,0)) AS NUM_REG_DIF,'"&amp;MAX('ID1&amp;5'!K:K)+1&amp;"' AS ID_EXEC, CURRENT_TIMESTAMP() AS TIME_EXEC FROM "&amp;I75&amp;" INNER JOIN "&amp;J75&amp;" "&amp;K75,"SELECT '"&amp;UPPER(B75)&amp;"' AS TABELA, '"&amp;UPPER(C75)&amp;"' AS TIPOLOGIA_TESTE,'"&amp;D75&amp;"' AS TABELA_LT,'"&amp;E75&amp;"' AS TABELA_SIMUL,'"&amp;F75&amp;"' AS CAMPO, "&amp;"'${ref_date}' AS REF_DATE, COUNT(*) AS NUM_REG, SUM(IF(COALESCE(CAST(X."&amp;F75&amp;" AS STRING),'')&lt;&gt;COALESCE(CAST(Y."&amp;F75&amp;"_SIMUL AS STRING),''),1,0)) AS NUM_REG_DIF,'"&amp;MAX('ID1&amp;5'!L:L)+1&amp;"' AS ID_EXEC, CURRENT_TIMESTAMP() AS TIME_EXEC FROM "&amp;I75&amp;" INNER JOIN "&amp;J75&amp;" "&amp;K75),
IF(C75="Validade",+IF(G75="Code List","SELECT '"&amp;UPPER(B75)&amp;"' AS TABELA, '"&amp;UPPER(C75)&amp;"' AS TIPOLOGIA_TESTE,'"&amp;D75&amp;"' AS TABELA_LT,'N/A' AS TABELA_SIMUL,'"&amp;F75&amp;"' AS CAMPO, "&amp;"'${ref_date}' AS REF_DATE, COUNT(*) AS NUM_REG, SUM(IF(TRIM(CAST(X."&amp;F75&amp;" AS STRING))='' OR TRIM(CAST(X."&amp;F75&amp;" AS STRING)) IS NULL OR CAST(X."&amp;F75&amp;" AS STRING) NOT "&amp;H75&amp;",1,0)) AS NUM_REG_DIF,'"&amp;MAX('ID1&amp;5'!K:K)+1&amp;"' AS ID_EXEC, CURRENT_TIMESTAMP() AS TIME_EXEC FROM "&amp;I75,"SELECT '"&amp;UPPER(B75)&amp;"' AS TABELA, '"&amp;UPPER(C75)&amp;"' AS TIPOLOGIA_TESTE,'"&amp;D75&amp;"' AS TABELA_LT,'N/A' AS TABELA_SIMUL,'"&amp;F75&amp;"' AS CAMPO, "&amp;"'${ref_date}' AS REF_DATE, COUNT(*) AS NUM_REG, SUM(IF(TRIM(CAST(X."&amp;F75&amp;" AS STRING))='' OR TRIM(CAST(X."&amp;F75&amp;" AS STRING)) IS NULL,1,0)) AS NUM_REG_DIF,'"&amp;MAX('ID1&amp;5'!K:K)+1&amp;"' AS ID_EXEC, CURRENT_TIMESTAMP() AS TIME_EXEC FROM "&amp;I75),
IF(C75="Caracteres Especiais",+"SELECT '"&amp;UPPER(B75)&amp;"' AS TABELA, '"&amp;UPPER(C75)&amp;"' AS TIPOLOGIA_TESTE,'"&amp;D75&amp;"' AS TABELA_LT,'N/A' AS TABELA_SIMUL,'"&amp;F75&amp;"' AS CAMPO, "&amp;"'${ref_date}' AS REF_DATE, COUNT(*) AS NUM_REG, SUM(IF(INSTR(CAST(X."&amp;F75&amp;" AS STRING),'#')&gt;0 OR INSTR(CAST(X."&amp;F75&amp;" AS STRING),'*')&gt;0 OR INSTR(CAST(X."&amp;F75&amp;" AS STRING),'`')&gt;0 OR INSTR(CAST(X."&amp;F75&amp;" AS STRING),'´')&gt;0 OR INSTR(CAST(X."&amp;F75&amp;" AS STRING),'{')&gt;0 OR INSTR(CAST(X."&amp;F75&amp;" AS STRING),'}')&gt;0 OR INSTR(CAST(X."&amp;F75&amp;" AS STRING),'[')&gt;0 OR INSTR(CAST(X."&amp;F75&amp;" AS STRING),'')&gt;0 OR INSTR(CAST(X."&amp;F75&amp;" AS STRING),']')&gt;0 OR INSTR(CAST(X."&amp;F75&amp;" AS STRING),'?')&gt;0 OR INSTR(CAST(X."&amp;F75&amp;" AS STRING),'!')&gt;0 OR INSTR(CAST(X."&amp;F75&amp;" AS STRING),'$')&gt;0 OR INSTR(CAST(X."&amp;F75&amp;" AS STRING),'%')&gt;0 OR INSTR(CAST(X."&amp;F75&amp;" AS STRING),'&amp;')&gt;0 OR INSTR(CAST(X."&amp;F75&amp;" AS STRING),'+')&gt;0,1,0)) AS NUM_REG_DIF,'"&amp;MAX('ID1&amp;5'!K:K)+1&amp;"' AS ID_EXEC, CURRENT_TIMESTAMP() AS TIME_EXEC FROM "&amp;I75,
IF(C75="Missings",+"SELECT '"&amp;UPPER(B75)&amp;"' AS TABELA, '"&amp;UPPER(C75)&amp;"' AS TIPOLOGIA_TESTE,'"&amp;D75&amp;"' AS TABELA_LT,'N/A' AS TABELA_SIMUL,'"&amp;F75&amp;"' AS CAMPO, "&amp;"'${ref_date}' AS REF_DATE, COUNT(*) AS NUM_REG, SUM(IF(TRIM(CAST(X."&amp;F75&amp;" AS STRING)) IN ('0000-00-00','0001-01-01','9999-12-31','MISS','00000','99999999999','99999999999.00','99999999999.000000'),1,0)) AS NUM_REG_DIF,'"&amp;MAX('ID1&amp;5'!K:K)+1&amp;"' AS ID_EXEC, CURRENT_TIMESTAMP() AS TIME_EXEC FROM "&amp;I75,
IF(C75="Not applicable",+"SELECT '"&amp;UPPER(B75)&amp;"' AS TABELA, '"&amp;UPPER(C75)&amp;"' AS TIPOLOGIA_TESTE,'"&amp;D75&amp;"' AS TABELA_LT,'N/A' AS TABELA_SIMUL,'"&amp;F75&amp;"' AS CAMPO, "&amp;"'${ref_date}' AS REF_DATE, COUNT(*) AS NUM_REG, SUM(IF(TRIM(CAST(X."&amp;F75&amp;" AS STRING)) IN ('N/A','11111111111','11111111111.00','11111111111.000000','1111-11-11'),1,0)) AS NUM_REG_DIF,'"&amp;MAX('ID1&amp;5'!K:K)+1&amp;"' AS ID_EXEC, CURRENT_TIMESTAMP() AS TIME_EXEC FROM "&amp;I75,
IF(C75="Valores extremos",+"SELECT '"&amp;UPPER(B75)&amp;"' AS TABELA, '"&amp;UPPER(C75)&amp;"' AS TIPOLOGIA_TESTE,'"&amp;D75&amp;"' AS TABELA_LT,'N/A' AS TABELA_SIMUL,'"&amp;F75&amp;"' AS CAMPO, "&amp;"'${ref_date}' AS REF_DATE, CAST(MIN("&amp;F75&amp;") AS STRING) AS VALOR_MIN, CAST(MAX("&amp;F75&amp;") AS STRING) AS VALOR_MAX,'"&amp;MAX('ID1&amp;5'!K:K)+1&amp;"' AS ID_EXEC, CURRENT_TIMESTAMP() AS TIME_EXEC FROM "&amp;MID(I75,1,LEN(I75)-2)&amp;" AND CAST("&amp;F75&amp;"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TABELA_SIMUL,'EQTY' AS CAMPO, '${ref_date}' AS REF_DATE, COUNT(*) AS NUM_REG, SUM(IF(COALESCE(CAST(X.EQTY AS STRING),'')&lt;&gt;COALESCE(CAST(Y.EQTY_SIMUL AS STRING),''),1,0)) AS NUM_REG_DIF,'1' AS ID_EXEC, CURRENT_TIMESTAMP() AS TIME_EXEC FROM (SELECT entty_id, EQTY FROM BU_LOANTAPE_WORK.LT003_ENTITY WHERE ref_date='${ref_date}' AND nome_perimetro='Individual Corporativo' AND segmento='ESTR' AND ambito='PILAR3')X INNER JOIN (SELECT entty_id AS entty_id_SIMUL, EQTY AS EQTY_SIMUL FROM BU_LOANTAPE_WORK.LT003_ENTTY_P3_NOV24)Y ON X.ENTTY_ID=Y.ENTTY_ID_SIMUL</v>
      </c>
      <c r="M75" s="43" t="str">
        <f t="shared" si="1"/>
        <v>UNION ALL SELECT 'ENTITY' AS TABELA, 'COERÊNCIA' AS TIPOLOGIA_TESTE,'BU_LOANTAPE_WORK.LT003_ENTITY' AS TABELA_LT,'BU_LOANTAPE_WORK.LT003_ENTTY_P3_NOV24' AS TABELA_SIMUL,'EQTY' AS CAMPO, '${ref_date}' AS REF_DATE, COUNT(*) AS NUM_REG, SUM(IF(COALESCE(CAST(X.EQTY AS STRING),'')&lt;&gt;COALESCE(CAST(Y.EQTY_SIMUL AS STRING),''),1,0)) AS NUM_REG_DIF,'1' AS ID_EXEC, CURRENT_TIMESTAMP() AS TIME_EXEC FROM (SELECT entty_id, EQTY FROM BU_LOANTAPE_WORK.LT003_ENTITY WHERE ref_date='${ref_date}' AND nome_perimetro='Individual Corporativo' AND segmento='ESTR' AND ambito='PILAR3')X INNER JOIN (SELECT entty_id AS entty_id_SIMUL, EQTY AS EQTY_SIMUL FROM BU_LOANTAPE_WORK.LT003_ENTTY_P3_NOV24)Y ON X.ENTTY_ID=Y.ENTTY_ID_SIMUL</v>
      </c>
      <c r="N75" s="45" t="s">
        <v>13</v>
      </c>
    </row>
    <row r="76" spans="2:14">
      <c r="B76" s="41" t="s">
        <v>23</v>
      </c>
      <c r="C76" s="41" t="s">
        <v>74</v>
      </c>
      <c r="D76" s="41" t="str">
        <f>+UPPER('0. Instruções'!$D$33&amp;"."&amp;VLOOKUP(B76,'0. Instruções'!$C$27:$D$31,2,FALSE))</f>
        <v>BU_LOANTAPE_WORK.LT003_ENTITY</v>
      </c>
      <c r="E76" s="41" t="str">
        <f>+UPPER('0. Instruções'!$D$34&amp;"."&amp;VLOOKUP(B76,'0. Instruções'!$C$27:$E$31,3,FALSE))</f>
        <v>BU_LOANTAPE_WORK.LT003_ENTTY_P3_NOV24</v>
      </c>
      <c r="F76" s="41" t="s">
        <v>188</v>
      </c>
      <c r="G76" s="41" t="s">
        <v>13</v>
      </c>
      <c r="H76" s="41"/>
      <c r="I76" s="41" t="str">
        <f>"(SELECT "&amp;VLOOKUP(B76,'0. Instruções'!$C$27:$G$31,4,FALSE)&amp;", "&amp;F76&amp;" FROM "&amp;D76&amp;" WHERE "&amp;'0. Instruções'!$D$40&amp;")X"</f>
        <v>(SELECT entty_id, GRP_TTL_DBT FROM BU_LOANTAPE_WORK.LT003_ENTITY WHERE ref_date='${ref_date}' AND nome_perimetro='Individual Corporativo' AND segmento='ESTR' AND ambito='PILAR3')X</v>
      </c>
      <c r="J76" s="41" t="str">
        <f>"(SELECT "&amp;VLOOKUP(B76,'0. Instruções'!$C$27:$G$31,4,FALSE)&amp;" AS "&amp;VLOOKUP(B76,'0. Instruções'!$C$27:$G$31,4,FALSE)&amp;"_SIMUL, "&amp;F76&amp;" AS "&amp;F76&amp;"_SIMUL FROM "&amp;E76&amp;")Y"</f>
        <v>(SELECT entty_id AS entty_id_SIMUL, GRP_TTL_DBT AS GRP_TTL_DBT_SIMUL FROM BU_LOANTAPE_WORK.LT003_ENTTY_P3_NOV24)Y</v>
      </c>
      <c r="K76" s="42" t="str">
        <f>+UPPER("ON X."&amp;VLOOKUP(B76,'0. Instruções'!$C$27:$G$31,4,FALSE)&amp;"=Y."&amp;VLOOKUP(B76,'0. Instruções'!$C$27:$G$31,4,FALSE)&amp;"_SIMUL")</f>
        <v>ON X.ENTTY_ID=Y.ENTTY_ID_SIMUL</v>
      </c>
      <c r="L76" s="42" t="str">
        <f>+IF(C76="Coerência", +IF(LEFT(G76,5)="FLOAT","SELECT '"&amp;UPPER(B76)&amp;"' AS TABELA, '"&amp;UPPER(C76)&amp;"' AS TIPOLOGIA_TESTE,'"&amp;D76&amp;"' AS TABELA_LT,'"&amp;E76&amp;"' AS TABELA_SIMUL,'"&amp;F76&amp;"' AS CAMPO, "&amp;"'${ref_date}' AS REF_DATE, COUNT(*) AS NUM_REG, SUM(IF((ABS(COALESCE(X."&amp;F76&amp;",0)-COALESCE(Y."&amp;F76&amp;"_SIMUL,0))&gt;0.0000000001) OR (X."&amp;F76&amp;" IS NULL AND Y."&amp;F76&amp;"_SIMUL IS NOT NULL ) OR (X."&amp;F76&amp;" IS NOT NULL AND Y."&amp;F76&amp;"_SIMUL IS NULL),1,0)) AS NUM_REG_DIF,'"&amp;MAX('ID1&amp;5'!K:K)+1&amp;"' AS ID_EXEC, CURRENT_TIMESTAMP() AS TIME_EXEC FROM "&amp;I76&amp;" INNER JOIN "&amp;J76&amp;" "&amp;K76,"SELECT '"&amp;UPPER(B76)&amp;"' AS TABELA, '"&amp;UPPER(C76)&amp;"' AS TIPOLOGIA_TESTE,'"&amp;D76&amp;"' AS TABELA_LT,'"&amp;E76&amp;"' AS TABELA_SIMUL,'"&amp;F76&amp;"' AS CAMPO, "&amp;"'${ref_date}' AS REF_DATE, COUNT(*) AS NUM_REG, SUM(IF(COALESCE(CAST(X."&amp;F76&amp;" AS STRING),'')&lt;&gt;COALESCE(CAST(Y."&amp;F76&amp;"_SIMUL AS STRING),''),1,0)) AS NUM_REG_DIF,'"&amp;MAX('ID1&amp;5'!L:L)+1&amp;"' AS ID_EXEC, CURRENT_TIMESTAMP() AS TIME_EXEC FROM "&amp;I76&amp;" INNER JOIN "&amp;J76&amp;" "&amp;K76),
IF(C76="Validade",+IF(G76="Code List","SELECT '"&amp;UPPER(B76)&amp;"' AS TABELA, '"&amp;UPPER(C76)&amp;"' AS TIPOLOGIA_TESTE,'"&amp;D76&amp;"' AS TABELA_LT,'N/A' AS TABELA_SIMUL,'"&amp;F76&amp;"' AS CAMPO, "&amp;"'${ref_date}' AS REF_DATE, COUNT(*) AS NUM_REG, SUM(IF(TRIM(CAST(X."&amp;F76&amp;" AS STRING))='' OR TRIM(CAST(X."&amp;F76&amp;" AS STRING)) IS NULL OR CAST(X."&amp;F76&amp;" AS STRING) NOT "&amp;H76&amp;",1,0)) AS NUM_REG_DIF,'"&amp;MAX('ID1&amp;5'!K:K)+1&amp;"' AS ID_EXEC, CURRENT_TIMESTAMP() AS TIME_EXEC FROM "&amp;I76,"SELECT '"&amp;UPPER(B76)&amp;"' AS TABELA, '"&amp;UPPER(C76)&amp;"' AS TIPOLOGIA_TESTE,'"&amp;D76&amp;"' AS TABELA_LT,'N/A' AS TABELA_SIMUL,'"&amp;F76&amp;"' AS CAMPO, "&amp;"'${ref_date}' AS REF_DATE, COUNT(*) AS NUM_REG, SUM(IF(TRIM(CAST(X."&amp;F76&amp;" AS STRING))='' OR TRIM(CAST(X."&amp;F76&amp;" AS STRING)) IS NULL,1,0)) AS NUM_REG_DIF,'"&amp;MAX('ID1&amp;5'!K:K)+1&amp;"' AS ID_EXEC, CURRENT_TIMESTAMP() AS TIME_EXEC FROM "&amp;I76),
IF(C76="Caracteres Especiais",+"SELECT '"&amp;UPPER(B76)&amp;"' AS TABELA, '"&amp;UPPER(C76)&amp;"' AS TIPOLOGIA_TESTE,'"&amp;D76&amp;"' AS TABELA_LT,'N/A' AS TABELA_SIMUL,'"&amp;F76&amp;"' AS CAMPO, "&amp;"'${ref_date}' AS REF_DATE, COUNT(*) AS NUM_REG, SUM(IF(INSTR(CAST(X."&amp;F76&amp;" AS STRING),'#')&gt;0 OR INSTR(CAST(X."&amp;F76&amp;" AS STRING),'*')&gt;0 OR INSTR(CAST(X."&amp;F76&amp;" AS STRING),'`')&gt;0 OR INSTR(CAST(X."&amp;F76&amp;" AS STRING),'´')&gt;0 OR INSTR(CAST(X."&amp;F76&amp;" AS STRING),'{')&gt;0 OR INSTR(CAST(X."&amp;F76&amp;" AS STRING),'}')&gt;0 OR INSTR(CAST(X."&amp;F76&amp;" AS STRING),'[')&gt;0 OR INSTR(CAST(X."&amp;F76&amp;" AS STRING),'')&gt;0 OR INSTR(CAST(X."&amp;F76&amp;" AS STRING),']')&gt;0 OR INSTR(CAST(X."&amp;F76&amp;" AS STRING),'?')&gt;0 OR INSTR(CAST(X."&amp;F76&amp;" AS STRING),'!')&gt;0 OR INSTR(CAST(X."&amp;F76&amp;" AS STRING),'$')&gt;0 OR INSTR(CAST(X."&amp;F76&amp;" AS STRING),'%')&gt;0 OR INSTR(CAST(X."&amp;F76&amp;" AS STRING),'&amp;')&gt;0 OR INSTR(CAST(X."&amp;F76&amp;" AS STRING),'+')&gt;0,1,0)) AS NUM_REG_DIF,'"&amp;MAX('ID1&amp;5'!K:K)+1&amp;"' AS ID_EXEC, CURRENT_TIMESTAMP() AS TIME_EXEC FROM "&amp;I76,
IF(C76="Missings",+"SELECT '"&amp;UPPER(B76)&amp;"' AS TABELA, '"&amp;UPPER(C76)&amp;"' AS TIPOLOGIA_TESTE,'"&amp;D76&amp;"' AS TABELA_LT,'N/A' AS TABELA_SIMUL,'"&amp;F76&amp;"' AS CAMPO, "&amp;"'${ref_date}' AS REF_DATE, COUNT(*) AS NUM_REG, SUM(IF(TRIM(CAST(X."&amp;F76&amp;" AS STRING)) IN ('0000-00-00','0001-01-01','9999-12-31','MISS','00000','99999999999','99999999999.00','99999999999.000000'),1,0)) AS NUM_REG_DIF,'"&amp;MAX('ID1&amp;5'!K:K)+1&amp;"' AS ID_EXEC, CURRENT_TIMESTAMP() AS TIME_EXEC FROM "&amp;I76,
IF(C76="Not applicable",+"SELECT '"&amp;UPPER(B76)&amp;"' AS TABELA, '"&amp;UPPER(C76)&amp;"' AS TIPOLOGIA_TESTE,'"&amp;D76&amp;"' AS TABELA_LT,'N/A' AS TABELA_SIMUL,'"&amp;F76&amp;"' AS CAMPO, "&amp;"'${ref_date}' AS REF_DATE, COUNT(*) AS NUM_REG, SUM(IF(TRIM(CAST(X."&amp;F76&amp;" AS STRING)) IN ('N/A','11111111111','11111111111.00','11111111111.000000','1111-11-11'),1,0)) AS NUM_REG_DIF,'"&amp;MAX('ID1&amp;5'!K:K)+1&amp;"' AS ID_EXEC, CURRENT_TIMESTAMP() AS TIME_EXEC FROM "&amp;I76,
IF(C76="Valores extremos",+"SELECT '"&amp;UPPER(B76)&amp;"' AS TABELA, '"&amp;UPPER(C76)&amp;"' AS TIPOLOGIA_TESTE,'"&amp;D76&amp;"' AS TABELA_LT,'N/A' AS TABELA_SIMUL,'"&amp;F76&amp;"' AS CAMPO, "&amp;"'${ref_date}' AS REF_DATE, CAST(MIN("&amp;F76&amp;") AS STRING) AS VALOR_MIN, CAST(MAX("&amp;F76&amp;") AS STRING) AS VALOR_MAX,'"&amp;MAX('ID1&amp;5'!K:K)+1&amp;"' AS ID_EXEC, CURRENT_TIMESTAMP() AS TIME_EXEC FROM "&amp;MID(I76,1,LEN(I76)-2)&amp;" AND CAST("&amp;F76&amp;"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TABELA_SIMUL,'GRP_TTL_DBT' AS CAMPO, '${ref_date}' AS REF_DATE, COUNT(*) AS NUM_REG, SUM(IF(COALESCE(CAST(X.GRP_TTL_DBT AS STRING),'')&lt;&gt;COALESCE(CAST(Y.GRP_TTL_DBT_SIMUL AS STRING),''),1,0)) AS NUM_REG_DIF,'1' AS ID_EXEC, CURRENT_TIMESTAMP() AS TIME_EXEC FROM (SELECT entty_id, GRP_TTL_DBT FROM BU_LOANTAPE_WORK.LT003_ENTITY WHERE ref_date='${ref_date}' AND nome_perimetro='Individual Corporativo' AND segmento='ESTR' AND ambito='PILAR3')X INNER JOIN (SELECT entty_id AS entty_id_SIMUL, GRP_TTL_DBT AS GRP_TTL_DBT_SIMUL FROM BU_LOANTAPE_WORK.LT003_ENTTY_P3_NOV24)Y ON X.ENTTY_ID=Y.ENTTY_ID_SIMUL</v>
      </c>
      <c r="M76" s="43" t="str">
        <f t="shared" si="1"/>
        <v>UNION ALL SELECT 'ENTITY' AS TABELA, 'COERÊNCIA' AS TIPOLOGIA_TESTE,'BU_LOANTAPE_WORK.LT003_ENTITY' AS TABELA_LT,'BU_LOANTAPE_WORK.LT003_ENTTY_P3_NOV24' AS TABELA_SIMUL,'GRP_TTL_DBT' AS CAMPO, '${ref_date}' AS REF_DATE, COUNT(*) AS NUM_REG, SUM(IF(COALESCE(CAST(X.GRP_TTL_DBT AS STRING),'')&lt;&gt;COALESCE(CAST(Y.GRP_TTL_DBT_SIMUL AS STRING),''),1,0)) AS NUM_REG_DIF,'1' AS ID_EXEC, CURRENT_TIMESTAMP() AS TIME_EXEC FROM (SELECT entty_id, GRP_TTL_DBT FROM BU_LOANTAPE_WORK.LT003_ENTITY WHERE ref_date='${ref_date}' AND nome_perimetro='Individual Corporativo' AND segmento='ESTR' AND ambito='PILAR3')X INNER JOIN (SELECT entty_id AS entty_id_SIMUL, GRP_TTL_DBT AS GRP_TTL_DBT_SIMUL FROM BU_LOANTAPE_WORK.LT003_ENTTY_P3_NOV24)Y ON X.ENTTY_ID=Y.ENTTY_ID_SIMUL</v>
      </c>
      <c r="N76" s="45" t="s">
        <v>13</v>
      </c>
    </row>
    <row r="77" spans="2:14">
      <c r="B77" s="41" t="s">
        <v>23</v>
      </c>
      <c r="C77" s="41" t="s">
        <v>74</v>
      </c>
      <c r="D77" s="41" t="str">
        <f>+UPPER('0. Instruções'!$D$33&amp;"."&amp;VLOOKUP(B77,'0. Instruções'!$C$27:$D$31,2,FALSE))</f>
        <v>BU_LOANTAPE_WORK.LT003_ENTITY</v>
      </c>
      <c r="E77" s="41" t="str">
        <f>+UPPER('0. Instruções'!$D$34&amp;"."&amp;VLOOKUP(B77,'0. Instruções'!$C$27:$E$31,3,FALSE))</f>
        <v>BU_LOANTAPE_WORK.LT003_ENTTY_P3_NOV24</v>
      </c>
      <c r="F77" s="41" t="s">
        <v>189</v>
      </c>
      <c r="G77" s="41" t="s">
        <v>13</v>
      </c>
      <c r="H77" s="41"/>
      <c r="I77" s="41" t="str">
        <f>"(SELECT "&amp;VLOOKUP(B77,'0. Instruções'!$C$27:$G$31,4,FALSE)&amp;", "&amp;F77&amp;" FROM "&amp;D77&amp;" WHERE "&amp;'0. Instruções'!$D$40&amp;")X"</f>
        <v>(SELECT entty_id, TTL_DBT FROM BU_LOANTAPE_WORK.LT003_ENTITY WHERE ref_date='${ref_date}' AND nome_perimetro='Individual Corporativo' AND segmento='ESTR' AND ambito='PILAR3')X</v>
      </c>
      <c r="J77" s="41" t="str">
        <f>"(SELECT "&amp;VLOOKUP(B77,'0. Instruções'!$C$27:$G$31,4,FALSE)&amp;" AS "&amp;VLOOKUP(B77,'0. Instruções'!$C$27:$G$31,4,FALSE)&amp;"_SIMUL, "&amp;F77&amp;" AS "&amp;F77&amp;"_SIMUL FROM "&amp;E77&amp;")Y"</f>
        <v>(SELECT entty_id AS entty_id_SIMUL, TTL_DBT AS TTL_DBT_SIMUL FROM BU_LOANTAPE_WORK.LT003_ENTTY_P3_NOV24)Y</v>
      </c>
      <c r="K77" s="42" t="str">
        <f>+UPPER("ON X."&amp;VLOOKUP(B77,'0. Instruções'!$C$27:$G$31,4,FALSE)&amp;"=Y."&amp;VLOOKUP(B77,'0. Instruções'!$C$27:$G$31,4,FALSE)&amp;"_SIMUL")</f>
        <v>ON X.ENTTY_ID=Y.ENTTY_ID_SIMUL</v>
      </c>
      <c r="L77" s="42" t="str">
        <f>+IF(C77="Coerência", +IF(LEFT(G77,5)="FLOAT","SELECT '"&amp;UPPER(B77)&amp;"' AS TABELA, '"&amp;UPPER(C77)&amp;"' AS TIPOLOGIA_TESTE,'"&amp;D77&amp;"' AS TABELA_LT,'"&amp;E77&amp;"' AS TABELA_SIMUL,'"&amp;F77&amp;"' AS CAMPO, "&amp;"'${ref_date}' AS REF_DATE, COUNT(*) AS NUM_REG, SUM(IF((ABS(COALESCE(X."&amp;F77&amp;",0)-COALESCE(Y."&amp;F77&amp;"_SIMUL,0))&gt;0.0000000001) OR (X."&amp;F77&amp;" IS NULL AND Y."&amp;F77&amp;"_SIMUL IS NOT NULL ) OR (X."&amp;F77&amp;" IS NOT NULL AND Y."&amp;F77&amp;"_SIMUL IS NULL),1,0)) AS NUM_REG_DIF,'"&amp;MAX('ID1&amp;5'!K:K)+1&amp;"' AS ID_EXEC, CURRENT_TIMESTAMP() AS TIME_EXEC FROM "&amp;I77&amp;" INNER JOIN "&amp;J77&amp;" "&amp;K77,"SELECT '"&amp;UPPER(B77)&amp;"' AS TABELA, '"&amp;UPPER(C77)&amp;"' AS TIPOLOGIA_TESTE,'"&amp;D77&amp;"' AS TABELA_LT,'"&amp;E77&amp;"' AS TABELA_SIMUL,'"&amp;F77&amp;"' AS CAMPO, "&amp;"'${ref_date}' AS REF_DATE, COUNT(*) AS NUM_REG, SUM(IF(COALESCE(CAST(X."&amp;F77&amp;" AS STRING),'')&lt;&gt;COALESCE(CAST(Y."&amp;F77&amp;"_SIMUL AS STRING),''),1,0)) AS NUM_REG_DIF,'"&amp;MAX('ID1&amp;5'!L:L)+1&amp;"' AS ID_EXEC, CURRENT_TIMESTAMP() AS TIME_EXEC FROM "&amp;I77&amp;" INNER JOIN "&amp;J77&amp;" "&amp;K77),
IF(C77="Validade",+IF(G77="Code List","SELECT '"&amp;UPPER(B77)&amp;"' AS TABELA, '"&amp;UPPER(C77)&amp;"' AS TIPOLOGIA_TESTE,'"&amp;D77&amp;"' AS TABELA_LT,'N/A' AS TABELA_SIMUL,'"&amp;F77&amp;"' AS CAMPO, "&amp;"'${ref_date}' AS REF_DATE, COUNT(*) AS NUM_REG, SUM(IF(TRIM(CAST(X."&amp;F77&amp;" AS STRING))='' OR TRIM(CAST(X."&amp;F77&amp;" AS STRING)) IS NULL OR CAST(X."&amp;F77&amp;" AS STRING) NOT "&amp;H77&amp;",1,0)) AS NUM_REG_DIF,'"&amp;MAX('ID1&amp;5'!K:K)+1&amp;"' AS ID_EXEC, CURRENT_TIMESTAMP() AS TIME_EXEC FROM "&amp;I77,"SELECT '"&amp;UPPER(B77)&amp;"' AS TABELA, '"&amp;UPPER(C77)&amp;"' AS TIPOLOGIA_TESTE,'"&amp;D77&amp;"' AS TABELA_LT,'N/A' AS TABELA_SIMUL,'"&amp;F77&amp;"' AS CAMPO, "&amp;"'${ref_date}' AS REF_DATE, COUNT(*) AS NUM_REG, SUM(IF(TRIM(CAST(X."&amp;F77&amp;" AS STRING))='' OR TRIM(CAST(X."&amp;F77&amp;" AS STRING)) IS NULL,1,0)) AS NUM_REG_DIF,'"&amp;MAX('ID1&amp;5'!K:K)+1&amp;"' AS ID_EXEC, CURRENT_TIMESTAMP() AS TIME_EXEC FROM "&amp;I77),
IF(C77="Caracteres Especiais",+"SELECT '"&amp;UPPER(B77)&amp;"' AS TABELA, '"&amp;UPPER(C77)&amp;"' AS TIPOLOGIA_TESTE,'"&amp;D77&amp;"' AS TABELA_LT,'N/A' AS TABELA_SIMUL,'"&amp;F77&amp;"' AS CAMPO, "&amp;"'${ref_date}' AS REF_DATE, COUNT(*) AS NUM_REG, SUM(IF(INSTR(CAST(X."&amp;F77&amp;" AS STRING),'#')&gt;0 OR INSTR(CAST(X."&amp;F77&amp;" AS STRING),'*')&gt;0 OR INSTR(CAST(X."&amp;F77&amp;" AS STRING),'`')&gt;0 OR INSTR(CAST(X."&amp;F77&amp;" AS STRING),'´')&gt;0 OR INSTR(CAST(X."&amp;F77&amp;" AS STRING),'{')&gt;0 OR INSTR(CAST(X."&amp;F77&amp;" AS STRING),'}')&gt;0 OR INSTR(CAST(X."&amp;F77&amp;" AS STRING),'[')&gt;0 OR INSTR(CAST(X."&amp;F77&amp;" AS STRING),'')&gt;0 OR INSTR(CAST(X."&amp;F77&amp;" AS STRING),']')&gt;0 OR INSTR(CAST(X."&amp;F77&amp;" AS STRING),'?')&gt;0 OR INSTR(CAST(X."&amp;F77&amp;" AS STRING),'!')&gt;0 OR INSTR(CAST(X."&amp;F77&amp;" AS STRING),'$')&gt;0 OR INSTR(CAST(X."&amp;F77&amp;" AS STRING),'%')&gt;0 OR INSTR(CAST(X."&amp;F77&amp;" AS STRING),'&amp;')&gt;0 OR INSTR(CAST(X."&amp;F77&amp;" AS STRING),'+')&gt;0,1,0)) AS NUM_REG_DIF,'"&amp;MAX('ID1&amp;5'!K:K)+1&amp;"' AS ID_EXEC, CURRENT_TIMESTAMP() AS TIME_EXEC FROM "&amp;I77,
IF(C77="Missings",+"SELECT '"&amp;UPPER(B77)&amp;"' AS TABELA, '"&amp;UPPER(C77)&amp;"' AS TIPOLOGIA_TESTE,'"&amp;D77&amp;"' AS TABELA_LT,'N/A' AS TABELA_SIMUL,'"&amp;F77&amp;"' AS CAMPO, "&amp;"'${ref_date}' AS REF_DATE, COUNT(*) AS NUM_REG, SUM(IF(TRIM(CAST(X."&amp;F77&amp;" AS STRING)) IN ('0000-00-00','0001-01-01','9999-12-31','MISS','00000','99999999999','99999999999.00','99999999999.000000'),1,0)) AS NUM_REG_DIF,'"&amp;MAX('ID1&amp;5'!K:K)+1&amp;"' AS ID_EXEC, CURRENT_TIMESTAMP() AS TIME_EXEC FROM "&amp;I77,
IF(C77="Not applicable",+"SELECT '"&amp;UPPER(B77)&amp;"' AS TABELA, '"&amp;UPPER(C77)&amp;"' AS TIPOLOGIA_TESTE,'"&amp;D77&amp;"' AS TABELA_LT,'N/A' AS TABELA_SIMUL,'"&amp;F77&amp;"' AS CAMPO, "&amp;"'${ref_date}' AS REF_DATE, COUNT(*) AS NUM_REG, SUM(IF(TRIM(CAST(X."&amp;F77&amp;" AS STRING)) IN ('N/A','11111111111','11111111111.00','11111111111.000000','1111-11-11'),1,0)) AS NUM_REG_DIF,'"&amp;MAX('ID1&amp;5'!K:K)+1&amp;"' AS ID_EXEC, CURRENT_TIMESTAMP() AS TIME_EXEC FROM "&amp;I77,
IF(C77="Valores extremos",+"SELECT '"&amp;UPPER(B77)&amp;"' AS TABELA, '"&amp;UPPER(C77)&amp;"' AS TIPOLOGIA_TESTE,'"&amp;D77&amp;"' AS TABELA_LT,'N/A' AS TABELA_SIMUL,'"&amp;F77&amp;"' AS CAMPO, "&amp;"'${ref_date}' AS REF_DATE, CAST(MIN("&amp;F77&amp;") AS STRING) AS VALOR_MIN, CAST(MAX("&amp;F77&amp;") AS STRING) AS VALOR_MAX,'"&amp;MAX('ID1&amp;5'!K:K)+1&amp;"' AS ID_EXEC, CURRENT_TIMESTAMP() AS TIME_EXEC FROM "&amp;MID(I77,1,LEN(I77)-2)&amp;" AND CAST("&amp;F77&amp;"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TABELA_SIMUL,'TTL_DBT' AS CAMPO, '${ref_date}' AS REF_DATE, COUNT(*) AS NUM_REG, SUM(IF(COALESCE(CAST(X.TTL_DBT AS STRING),'')&lt;&gt;COALESCE(CAST(Y.TTL_DBT_SIMUL AS STRING),''),1,0)) AS NUM_REG_DIF,'1' AS ID_EXEC, CURRENT_TIMESTAMP() AS TIME_EXEC FROM (SELECT entty_id, TTL_DBT FROM BU_LOANTAPE_WORK.LT003_ENTITY WHERE ref_date='${ref_date}' AND nome_perimetro='Individual Corporativo' AND segmento='ESTR' AND ambito='PILAR3')X INNER JOIN (SELECT entty_id AS entty_id_SIMUL, TTL_DBT AS TTL_DBT_SIMUL FROM BU_LOANTAPE_WORK.LT003_ENTTY_P3_NOV24)Y ON X.ENTTY_ID=Y.ENTTY_ID_SIMUL</v>
      </c>
      <c r="M77" s="43" t="str">
        <f t="shared" si="1"/>
        <v>UNION ALL SELECT 'ENTITY' AS TABELA, 'COERÊNCIA' AS TIPOLOGIA_TESTE,'BU_LOANTAPE_WORK.LT003_ENTITY' AS TABELA_LT,'BU_LOANTAPE_WORK.LT003_ENTTY_P3_NOV24' AS TABELA_SIMUL,'TTL_DBT' AS CAMPO, '${ref_date}' AS REF_DATE, COUNT(*) AS NUM_REG, SUM(IF(COALESCE(CAST(X.TTL_DBT AS STRING),'')&lt;&gt;COALESCE(CAST(Y.TTL_DBT_SIMUL AS STRING),''),1,0)) AS NUM_REG_DIF,'1' AS ID_EXEC, CURRENT_TIMESTAMP() AS TIME_EXEC FROM (SELECT entty_id, TTL_DBT FROM BU_LOANTAPE_WORK.LT003_ENTITY WHERE ref_date='${ref_date}' AND nome_perimetro='Individual Corporativo' AND segmento='ESTR' AND ambito='PILAR3')X INNER JOIN (SELECT entty_id AS entty_id_SIMUL, TTL_DBT AS TTL_DBT_SIMUL FROM BU_LOANTAPE_WORK.LT003_ENTTY_P3_NOV24)Y ON X.ENTTY_ID=Y.ENTTY_ID_SIMUL</v>
      </c>
      <c r="N77" s="45" t="s">
        <v>13</v>
      </c>
    </row>
    <row r="78" spans="2:14">
      <c r="B78" s="41" t="s">
        <v>23</v>
      </c>
      <c r="C78" s="41" t="s">
        <v>74</v>
      </c>
      <c r="D78" s="41" t="str">
        <f>+UPPER('0. Instruções'!$D$33&amp;"."&amp;VLOOKUP(B78,'0. Instruções'!$C$27:$D$31,2,FALSE))</f>
        <v>BU_LOANTAPE_WORK.LT003_ENTITY</v>
      </c>
      <c r="E78" s="41" t="str">
        <f>+UPPER('0. Instruções'!$D$34&amp;"."&amp;VLOOKUP(B78,'0. Instruções'!$C$27:$E$31,3,FALSE))</f>
        <v>BU_LOANTAPE_WORK.LT003_ENTTY_P3_NOV24</v>
      </c>
      <c r="F78" s="41" t="s">
        <v>173</v>
      </c>
      <c r="G78" s="41" t="s">
        <v>13</v>
      </c>
      <c r="H78" s="41"/>
      <c r="I78" s="41" t="str">
        <f>"(SELECT "&amp;VLOOKUP(B78,'0. Instruções'!$C$27:$G$31,4,FALSE)&amp;", "&amp;F78&amp;" FROM "&amp;D78&amp;" WHERE "&amp;'0. Instruções'!$D$40&amp;")X"</f>
        <v>(SELECT entty_id, COD_SOC FROM BU_LOANTAPE_WORK.LT003_ENTITY WHERE ref_date='${ref_date}' AND nome_perimetro='Individual Corporativo' AND segmento='ESTR' AND ambito='PILAR3')X</v>
      </c>
      <c r="J78" s="41" t="str">
        <f>"(SELECT "&amp;VLOOKUP(B78,'0. Instruções'!$C$27:$G$31,4,FALSE)&amp;" AS "&amp;VLOOKUP(B78,'0. Instruções'!$C$27:$G$31,4,FALSE)&amp;"_SIMUL, "&amp;F78&amp;" AS "&amp;F78&amp;"_SIMUL FROM "&amp;E78&amp;")Y"</f>
        <v>(SELECT entty_id AS entty_id_SIMUL, COD_SOC AS COD_SOC_SIMUL FROM BU_LOANTAPE_WORK.LT003_ENTTY_P3_NOV24)Y</v>
      </c>
      <c r="K78" s="42" t="str">
        <f>+UPPER("ON X."&amp;VLOOKUP(B78,'0. Instruções'!$C$27:$G$31,4,FALSE)&amp;"=Y."&amp;VLOOKUP(B78,'0. Instruções'!$C$27:$G$31,4,FALSE)&amp;"_SIMUL")</f>
        <v>ON X.ENTTY_ID=Y.ENTTY_ID_SIMUL</v>
      </c>
      <c r="L78" s="42" t="str">
        <f>+IF(C78="Coerência", +IF(LEFT(G78,5)="FLOAT","SELECT '"&amp;UPPER(B78)&amp;"' AS TABELA, '"&amp;UPPER(C78)&amp;"' AS TIPOLOGIA_TESTE,'"&amp;D78&amp;"' AS TABELA_LT,'"&amp;E78&amp;"' AS TABELA_SIMUL,'"&amp;F78&amp;"' AS CAMPO, "&amp;"'${ref_date}' AS REF_DATE, COUNT(*) AS NUM_REG, SUM(IF((ABS(COALESCE(X."&amp;F78&amp;",0)-COALESCE(Y."&amp;F78&amp;"_SIMUL,0))&gt;0.0000000001) OR (X."&amp;F78&amp;" IS NULL AND Y."&amp;F78&amp;"_SIMUL IS NOT NULL ) OR (X."&amp;F78&amp;" IS NOT NULL AND Y."&amp;F78&amp;"_SIMUL IS NULL),1,0)) AS NUM_REG_DIF,'"&amp;MAX('ID1&amp;5'!K:K)+1&amp;"' AS ID_EXEC, CURRENT_TIMESTAMP() AS TIME_EXEC FROM "&amp;I78&amp;" INNER JOIN "&amp;J78&amp;" "&amp;K78,"SELECT '"&amp;UPPER(B78)&amp;"' AS TABELA, '"&amp;UPPER(C78)&amp;"' AS TIPOLOGIA_TESTE,'"&amp;D78&amp;"' AS TABELA_LT,'"&amp;E78&amp;"' AS TABELA_SIMUL,'"&amp;F78&amp;"' AS CAMPO, "&amp;"'${ref_date}' AS REF_DATE, COUNT(*) AS NUM_REG, SUM(IF(COALESCE(CAST(X."&amp;F78&amp;" AS STRING),'')&lt;&gt;COALESCE(CAST(Y."&amp;F78&amp;"_SIMUL AS STRING),''),1,0)) AS NUM_REG_DIF,'"&amp;MAX('ID1&amp;5'!L:L)+1&amp;"' AS ID_EXEC, CURRENT_TIMESTAMP() AS TIME_EXEC FROM "&amp;I78&amp;" INNER JOIN "&amp;J78&amp;" "&amp;K78),
IF(C78="Validade",+IF(G78="Code List","SELECT '"&amp;UPPER(B78)&amp;"' AS TABELA, '"&amp;UPPER(C78)&amp;"' AS TIPOLOGIA_TESTE,'"&amp;D78&amp;"' AS TABELA_LT,'N/A' AS TABELA_SIMUL,'"&amp;F78&amp;"' AS CAMPO, "&amp;"'${ref_date}' AS REF_DATE, COUNT(*) AS NUM_REG, SUM(IF(TRIM(CAST(X."&amp;F78&amp;" AS STRING))='' OR TRIM(CAST(X."&amp;F78&amp;" AS STRING)) IS NULL OR CAST(X."&amp;F78&amp;" AS STRING) NOT "&amp;H78&amp;",1,0)) AS NUM_REG_DIF,'"&amp;MAX('ID1&amp;5'!K:K)+1&amp;"' AS ID_EXEC, CURRENT_TIMESTAMP() AS TIME_EXEC FROM "&amp;I78,"SELECT '"&amp;UPPER(B78)&amp;"' AS TABELA, '"&amp;UPPER(C78)&amp;"' AS TIPOLOGIA_TESTE,'"&amp;D78&amp;"' AS TABELA_LT,'N/A' AS TABELA_SIMUL,'"&amp;F78&amp;"' AS CAMPO, "&amp;"'${ref_date}' AS REF_DATE, COUNT(*) AS NUM_REG, SUM(IF(TRIM(CAST(X."&amp;F78&amp;" AS STRING))='' OR TRIM(CAST(X."&amp;F78&amp;" AS STRING)) IS NULL,1,0)) AS NUM_REG_DIF,'"&amp;MAX('ID1&amp;5'!K:K)+1&amp;"' AS ID_EXEC, CURRENT_TIMESTAMP() AS TIME_EXEC FROM "&amp;I78),
IF(C78="Caracteres Especiais",+"SELECT '"&amp;UPPER(B78)&amp;"' AS TABELA, '"&amp;UPPER(C78)&amp;"' AS TIPOLOGIA_TESTE,'"&amp;D78&amp;"' AS TABELA_LT,'N/A' AS TABELA_SIMUL,'"&amp;F78&amp;"' AS CAMPO, "&amp;"'${ref_date}' AS REF_DATE, COUNT(*) AS NUM_REG, SUM(IF(INSTR(CAST(X."&amp;F78&amp;" AS STRING),'#')&gt;0 OR INSTR(CAST(X."&amp;F78&amp;" AS STRING),'*')&gt;0 OR INSTR(CAST(X."&amp;F78&amp;" AS STRING),'`')&gt;0 OR INSTR(CAST(X."&amp;F78&amp;" AS STRING),'´')&gt;0 OR INSTR(CAST(X."&amp;F78&amp;" AS STRING),'{')&gt;0 OR INSTR(CAST(X."&amp;F78&amp;" AS STRING),'}')&gt;0 OR INSTR(CAST(X."&amp;F78&amp;" AS STRING),'[')&gt;0 OR INSTR(CAST(X."&amp;F78&amp;" AS STRING),'')&gt;0 OR INSTR(CAST(X."&amp;F78&amp;" AS STRING),']')&gt;0 OR INSTR(CAST(X."&amp;F78&amp;" AS STRING),'?')&gt;0 OR INSTR(CAST(X."&amp;F78&amp;" AS STRING),'!')&gt;0 OR INSTR(CAST(X."&amp;F78&amp;" AS STRING),'$')&gt;0 OR INSTR(CAST(X."&amp;F78&amp;" AS STRING),'%')&gt;0 OR INSTR(CAST(X."&amp;F78&amp;" AS STRING),'&amp;')&gt;0 OR INSTR(CAST(X."&amp;F78&amp;" AS STRING),'+')&gt;0,1,0)) AS NUM_REG_DIF,'"&amp;MAX('ID1&amp;5'!K:K)+1&amp;"' AS ID_EXEC, CURRENT_TIMESTAMP() AS TIME_EXEC FROM "&amp;I78,
IF(C78="Missings",+"SELECT '"&amp;UPPER(B78)&amp;"' AS TABELA, '"&amp;UPPER(C78)&amp;"' AS TIPOLOGIA_TESTE,'"&amp;D78&amp;"' AS TABELA_LT,'N/A' AS TABELA_SIMUL,'"&amp;F78&amp;"' AS CAMPO, "&amp;"'${ref_date}' AS REF_DATE, COUNT(*) AS NUM_REG, SUM(IF(TRIM(CAST(X."&amp;F78&amp;" AS STRING)) IN ('0000-00-00','0001-01-01','9999-12-31','MISS','00000','99999999999','99999999999.00','99999999999.000000'),1,0)) AS NUM_REG_DIF,'"&amp;MAX('ID1&amp;5'!K:K)+1&amp;"' AS ID_EXEC, CURRENT_TIMESTAMP() AS TIME_EXEC FROM "&amp;I78,
IF(C78="Not applicable",+"SELECT '"&amp;UPPER(B78)&amp;"' AS TABELA, '"&amp;UPPER(C78)&amp;"' AS TIPOLOGIA_TESTE,'"&amp;D78&amp;"' AS TABELA_LT,'N/A' AS TABELA_SIMUL,'"&amp;F78&amp;"' AS CAMPO, "&amp;"'${ref_date}' AS REF_DATE, COUNT(*) AS NUM_REG, SUM(IF(TRIM(CAST(X."&amp;F78&amp;" AS STRING)) IN ('N/A','11111111111','11111111111.00','11111111111.000000','1111-11-11'),1,0)) AS NUM_REG_DIF,'"&amp;MAX('ID1&amp;5'!K:K)+1&amp;"' AS ID_EXEC, CURRENT_TIMESTAMP() AS TIME_EXEC FROM "&amp;I78,
IF(C78="Valores extremos",+"SELECT '"&amp;UPPER(B78)&amp;"' AS TABELA, '"&amp;UPPER(C78)&amp;"' AS TIPOLOGIA_TESTE,'"&amp;D78&amp;"' AS TABELA_LT,'N/A' AS TABELA_SIMUL,'"&amp;F78&amp;"' AS CAMPO, "&amp;"'${ref_date}' AS REF_DATE, CAST(MIN("&amp;F78&amp;") AS STRING) AS VALOR_MIN, CAST(MAX("&amp;F78&amp;") AS STRING) AS VALOR_MAX,'"&amp;MAX('ID1&amp;5'!K:K)+1&amp;"' AS ID_EXEC, CURRENT_TIMESTAMP() AS TIME_EXEC FROM "&amp;MID(I78,1,LEN(I78)-2)&amp;" AND CAST("&amp;F78&amp;"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TIPOLOGIA_TESTE,'BU_LOANTAPE_WORK.LT003_ENTITY' AS TABELA_LT,'BU_LOANTAPE_WORK.LT003_ENTTY_P3_NOV24' AS TABELA_SIMUL,'COD_SOC' AS CAMPO, '${ref_date}' AS REF_DATE, COUNT(*) AS NUM_REG, SUM(IF(COALESCE(CAST(X.COD_SOC AS STRING),'')&lt;&gt;COALESCE(CAST(Y.COD_SOC_SIMUL AS STRING),''),1,0)) AS NUM_REG_DIF,'1' AS ID_EXEC, CURRENT_TIMESTAMP() AS TIME_EXEC FROM (SELECT entty_id, COD_SOC FROM BU_LOANTAPE_WORK.LT003_ENTITY WHERE ref_date='${ref_date}' AND nome_perimetro='Individual Corporativo' AND segmento='ESTR' AND ambito='PILAR3')X INNER JOIN (SELECT entty_id AS entty_id_SIMUL, COD_SOC AS COD_SOC_SIMUL FROM BU_LOANTAPE_WORK.LT003_ENTTY_P3_NOV24)Y ON X.ENTTY_ID=Y.ENTTY_ID_SIMUL</v>
      </c>
      <c r="M78" s="43" t="str">
        <f t="shared" si="1"/>
        <v>UNION ALL SELECT 'ENTITY' AS TABELA, 'COERÊNCIA' AS TIPOLOGIA_TESTE,'BU_LOANTAPE_WORK.LT003_ENTITY' AS TABELA_LT,'BU_LOANTAPE_WORK.LT003_ENTTY_P3_NOV24' AS TABELA_SIMUL,'COD_SOC' AS CAMPO, '${ref_date}' AS REF_DATE, COUNT(*) AS NUM_REG, SUM(IF(COALESCE(CAST(X.COD_SOC AS STRING),'')&lt;&gt;COALESCE(CAST(Y.COD_SOC_SIMUL AS STRING),''),1,0)) AS NUM_REG_DIF,'1' AS ID_EXEC, CURRENT_TIMESTAMP() AS TIME_EXEC FROM (SELECT entty_id, COD_SOC FROM BU_LOANTAPE_WORK.LT003_ENTITY WHERE ref_date='${ref_date}' AND nome_perimetro='Individual Corporativo' AND segmento='ESTR' AND ambito='PILAR3')X INNER JOIN (SELECT entty_id AS entty_id_SIMUL, COD_SOC AS COD_SOC_SIMUL FROM BU_LOANTAPE_WORK.LT003_ENTTY_P3_NOV24)Y ON X.ENTTY_ID=Y.ENTTY_ID_SIMUL</v>
      </c>
      <c r="N78" s="45" t="s">
        <v>13</v>
      </c>
    </row>
    <row r="79" spans="2:14">
      <c r="B79" s="41" t="s">
        <v>31</v>
      </c>
      <c r="C79" s="41" t="s">
        <v>74</v>
      </c>
      <c r="D79" s="41" t="str">
        <f>+UPPER('0. Instruções'!$D$33&amp;"."&amp;VLOOKUP(B79,'0. Instruções'!$C$27:$D$31,2,FALSE))</f>
        <v>BU_LOANTAPE_WORK.LT004_PROTECTION</v>
      </c>
      <c r="E79" s="41" t="str">
        <f>+UPPER('0. Instruções'!$D$34&amp;"."&amp;VLOOKUP(B79,'0. Instruções'!$C$27:$E$31,3,FALSE))</f>
        <v>BU_LOANTAPE_WORK.LT004_PROTECTION_P3_NOV24</v>
      </c>
      <c r="F79" s="41" t="s">
        <v>135</v>
      </c>
      <c r="G79" s="41" t="s">
        <v>209</v>
      </c>
      <c r="H79" s="41"/>
      <c r="I79" s="41" t="str">
        <f>"(SELECT "&amp;VLOOKUP(B79,'0. Instruções'!$C$27:$G$31,4,FALSE)&amp;", "&amp;F79&amp;" FROM "&amp;D79&amp;" WHERE "&amp;'0. Instruções'!$D$40&amp;")X"</f>
        <v>(SELECT prtctn_id, TYP_EP_SCR FROM BU_LOANTAPE_WORK.LT004_PROTECTION WHERE ref_date='${ref_date}' AND nome_perimetro='Individual Corporativo' AND segmento='ESTR' AND ambito='PILAR3')X</v>
      </c>
      <c r="J79" s="41" t="str">
        <f>"(SELECT "&amp;VLOOKUP(B79,'0. Instruções'!$C$27:$G$31,4,FALSE)&amp;" AS "&amp;VLOOKUP(B79,'0. Instruções'!$C$27:$G$31,4,FALSE)&amp;"_SIMUL, "&amp;F79&amp;" AS "&amp;F79&amp;"_SIMUL FROM "&amp;E79&amp;")Y"</f>
        <v>(SELECT prtctn_id AS prtctn_id_SIMUL, TYP_EP_SCR AS TYP_EP_SCR_SIMUL FROM BU_LOANTAPE_WORK.LT004_PROTECTION_P3_NOV24)Y</v>
      </c>
      <c r="K79" s="42" t="str">
        <f>+UPPER("ON X."&amp;VLOOKUP(B79,'0. Instruções'!$C$27:$G$31,4,FALSE)&amp;"=Y."&amp;VLOOKUP(B79,'0. Instruções'!$C$27:$G$31,4,FALSE)&amp;"_SIMUL")</f>
        <v>ON X.PRTCTN_ID=Y.PRTCTN_ID_SIMUL</v>
      </c>
      <c r="L79" s="42" t="str">
        <f>+IF(C79="Coerência", +IF(LEFT(G79,5)="FLOAT","SELECT '"&amp;UPPER(B79)&amp;"' AS TABELA, '"&amp;UPPER(C79)&amp;"' AS TIPOLOGIA_TESTE,'"&amp;D79&amp;"' AS TABELA_LT,'"&amp;E79&amp;"' AS TABELA_SIMUL,'"&amp;F79&amp;"' AS CAMPO, "&amp;"'${ref_date}' AS REF_DATE, COUNT(*) AS NUM_REG, SUM(IF((ABS(COALESCE(X."&amp;F79&amp;",0)-COALESCE(Y."&amp;F79&amp;"_SIMUL,0))&gt;0.0000000001) OR (X."&amp;F79&amp;" IS NULL AND Y."&amp;F79&amp;"_SIMUL IS NOT NULL ) OR (X."&amp;F79&amp;" IS NOT NULL AND Y."&amp;F79&amp;"_SIMUL IS NULL),1,0)) AS NUM_REG_DIF,'"&amp;MAX('ID1&amp;5'!K:K)+1&amp;"' AS ID_EXEC, CURRENT_TIMESTAMP() AS TIME_EXEC FROM "&amp;I79&amp;" INNER JOIN "&amp;J79&amp;" "&amp;K79,"SELECT '"&amp;UPPER(B79)&amp;"' AS TABELA, '"&amp;UPPER(C79)&amp;"' AS TIPOLOGIA_TESTE,'"&amp;D79&amp;"' AS TABELA_LT,'"&amp;E79&amp;"' AS TABELA_SIMUL,'"&amp;F79&amp;"' AS CAMPO, "&amp;"'${ref_date}' AS REF_DATE, COUNT(*) AS NUM_REG, SUM(IF(COALESCE(CAST(X."&amp;F79&amp;" AS STRING),'')&lt;&gt;COALESCE(CAST(Y."&amp;F79&amp;"_SIMUL AS STRING),''),1,0)) AS NUM_REG_DIF,'"&amp;MAX('ID1&amp;5'!L:L)+1&amp;"' AS ID_EXEC, CURRENT_TIMESTAMP() AS TIME_EXEC FROM "&amp;I79&amp;" INNER JOIN "&amp;J79&amp;" "&amp;K79),
IF(C79="Validade",+IF(G79="Code List","SELECT '"&amp;UPPER(B79)&amp;"' AS TABELA, '"&amp;UPPER(C79)&amp;"' AS TIPOLOGIA_TESTE,'"&amp;D79&amp;"' AS TABELA_LT,'N/A' AS TABELA_SIMUL,'"&amp;F79&amp;"' AS CAMPO, "&amp;"'${ref_date}' AS REF_DATE, COUNT(*) AS NUM_REG, SUM(IF(TRIM(CAST(X."&amp;F79&amp;" AS STRING))='' OR TRIM(CAST(X."&amp;F79&amp;" AS STRING)) IS NULL OR CAST(X."&amp;F79&amp;" AS STRING) NOT "&amp;H79&amp;",1,0)) AS NUM_REG_DIF,'"&amp;MAX('ID1&amp;5'!K:K)+1&amp;"' AS ID_EXEC, CURRENT_TIMESTAMP() AS TIME_EXEC FROM "&amp;I79,"SELECT '"&amp;UPPER(B79)&amp;"' AS TABELA, '"&amp;UPPER(C79)&amp;"' AS TIPOLOGIA_TESTE,'"&amp;D79&amp;"' AS TABELA_LT,'N/A' AS TABELA_SIMUL,'"&amp;F79&amp;"' AS CAMPO, "&amp;"'${ref_date}' AS REF_DATE, COUNT(*) AS NUM_REG, SUM(IF(TRIM(CAST(X."&amp;F79&amp;" AS STRING))='' OR TRIM(CAST(X."&amp;F79&amp;" AS STRING)) IS NULL,1,0)) AS NUM_REG_DIF,'"&amp;MAX('ID1&amp;5'!K:K)+1&amp;"' AS ID_EXEC, CURRENT_TIMESTAMP() AS TIME_EXEC FROM "&amp;I79),
IF(C79="Caracteres Especiais",+"SELECT '"&amp;UPPER(B79)&amp;"' AS TABELA, '"&amp;UPPER(C79)&amp;"' AS TIPOLOGIA_TESTE,'"&amp;D79&amp;"' AS TABELA_LT,'N/A' AS TABELA_SIMUL,'"&amp;F79&amp;"' AS CAMPO, "&amp;"'${ref_date}' AS REF_DATE, COUNT(*) AS NUM_REG, SUM(IF(INSTR(CAST(X."&amp;F79&amp;" AS STRING),'#')&gt;0 OR INSTR(CAST(X."&amp;F79&amp;" AS STRING),'*')&gt;0 OR INSTR(CAST(X."&amp;F79&amp;" AS STRING),'`')&gt;0 OR INSTR(CAST(X."&amp;F79&amp;" AS STRING),'´')&gt;0 OR INSTR(CAST(X."&amp;F79&amp;" AS STRING),'{')&gt;0 OR INSTR(CAST(X."&amp;F79&amp;" AS STRING),'}')&gt;0 OR INSTR(CAST(X."&amp;F79&amp;" AS STRING),'[')&gt;0 OR INSTR(CAST(X."&amp;F79&amp;" AS STRING),'')&gt;0 OR INSTR(CAST(X."&amp;F79&amp;" AS STRING),']')&gt;0 OR INSTR(CAST(X."&amp;F79&amp;" AS STRING),'?')&gt;0 OR INSTR(CAST(X."&amp;F79&amp;" AS STRING),'!')&gt;0 OR INSTR(CAST(X."&amp;F79&amp;" AS STRING),'$')&gt;0 OR INSTR(CAST(X."&amp;F79&amp;" AS STRING),'%')&gt;0 OR INSTR(CAST(X."&amp;F79&amp;" AS STRING),'&amp;')&gt;0 OR INSTR(CAST(X."&amp;F79&amp;" AS STRING),'+')&gt;0,1,0)) AS NUM_REG_DIF,'"&amp;MAX('ID1&amp;5'!K:K)+1&amp;"' AS ID_EXEC, CURRENT_TIMESTAMP() AS TIME_EXEC FROM "&amp;I79,
IF(C79="Missings",+"SELECT '"&amp;UPPER(B79)&amp;"' AS TABELA, '"&amp;UPPER(C79)&amp;"' AS TIPOLOGIA_TESTE,'"&amp;D79&amp;"' AS TABELA_LT,'N/A' AS TABELA_SIMUL,'"&amp;F79&amp;"' AS CAMPO, "&amp;"'${ref_date}' AS REF_DATE, COUNT(*) AS NUM_REG, SUM(IF(TRIM(CAST(X."&amp;F79&amp;" AS STRING)) IN ('0000-00-00','0001-01-01','9999-12-31','MISS','00000','99999999999','99999999999.00','99999999999.000000'),1,0)) AS NUM_REG_DIF,'"&amp;MAX('ID1&amp;5'!K:K)+1&amp;"' AS ID_EXEC, CURRENT_TIMESTAMP() AS TIME_EXEC FROM "&amp;I79,
IF(C79="Not applicable",+"SELECT '"&amp;UPPER(B79)&amp;"' AS TABELA, '"&amp;UPPER(C79)&amp;"' AS TIPOLOGIA_TESTE,'"&amp;D79&amp;"' AS TABELA_LT,'N/A' AS TABELA_SIMUL,'"&amp;F79&amp;"' AS CAMPO, "&amp;"'${ref_date}' AS REF_DATE, COUNT(*) AS NUM_REG, SUM(IF(TRIM(CAST(X."&amp;F79&amp;" AS STRING)) IN ('N/A','11111111111','11111111111.00','11111111111.000000','1111-11-11'),1,0)) AS NUM_REG_DIF,'"&amp;MAX('ID1&amp;5'!K:K)+1&amp;"' AS ID_EXEC, CURRENT_TIMESTAMP() AS TIME_EXEC FROM "&amp;I79,
IF(C79="Valores extremos",+"SELECT '"&amp;UPPER(B79)&amp;"' AS TABELA, '"&amp;UPPER(C79)&amp;"' AS TIPOLOGIA_TESTE,'"&amp;D79&amp;"' AS TABELA_LT,'N/A' AS TABELA_SIMUL,'"&amp;F79&amp;"' AS CAMPO, "&amp;"'${ref_date}' AS REF_DATE, CAST(MIN("&amp;F79&amp;") AS STRING) AS VALOR_MIN, CAST(MAX("&amp;F79&amp;") AS STRING) AS VALOR_MAX,'"&amp;MAX('ID1&amp;5'!K:K)+1&amp;"' AS ID_EXEC, CURRENT_TIMESTAMP() AS TIME_EXEC FROM "&amp;MID(I79,1,LEN(I79)-2)&amp;" AND CAST("&amp;F79&amp;"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TABELA_SIMUL,'TYP_EP_SCR' AS CAMPO, '${ref_date}' AS REF_DATE, COUNT(*) AS NUM_REG, SUM(IF(COALESCE(CAST(X.TYP_EP_SCR AS STRING),'')&lt;&gt;COALESCE(CAST(Y.TYP_EP_SCR_SIMUL AS STRING),''),1,0)) AS NUM_REG_DIF,'1' AS ID_EXEC, CURRENT_TIMESTAMP() AS TIME_EXEC FROM (SELECT prtctn_id, TYP_EP_SCR FROM BU_LOANTAPE_WORK.LT004_PROTECTION WHERE ref_date='${ref_date}' AND nome_perimetro='Individual Corporativo' AND segmento='ESTR' AND ambito='PILAR3')X INNER JOIN (SELECT prtctn_id AS prtctn_id_SIMUL, TYP_EP_SCR AS TYP_EP_SCR_SIMUL FROM BU_LOANTAPE_WORK.LT004_PROTECTION_P3_NOV24)Y ON X.PRTCTN_ID=Y.PRTCTN_ID_SIMUL</v>
      </c>
      <c r="M79" s="43" t="str">
        <f t="shared" si="1"/>
        <v>UNION ALL SELECT 'PROTECTION' AS TABELA, 'COERÊNCIA' AS TIPOLOGIA_TESTE,'BU_LOANTAPE_WORK.LT004_PROTECTION' AS TABELA_LT,'BU_LOANTAPE_WORK.LT004_PROTECTION_P3_NOV24' AS TABELA_SIMUL,'TYP_EP_SCR' AS CAMPO, '${ref_date}' AS REF_DATE, COUNT(*) AS NUM_REG, SUM(IF(COALESCE(CAST(X.TYP_EP_SCR AS STRING),'')&lt;&gt;COALESCE(CAST(Y.TYP_EP_SCR_SIMUL AS STRING),''),1,0)) AS NUM_REG_DIF,'1' AS ID_EXEC, CURRENT_TIMESTAMP() AS TIME_EXEC FROM (SELECT prtctn_id, TYP_EP_SCR FROM BU_LOANTAPE_WORK.LT004_PROTECTION WHERE ref_date='${ref_date}' AND nome_perimetro='Individual Corporativo' AND segmento='ESTR' AND ambito='PILAR3')X INNER JOIN (SELECT prtctn_id AS prtctn_id_SIMUL, TYP_EP_SCR AS TYP_EP_SCR_SIMUL FROM BU_LOANTAPE_WORK.LT004_PROTECTION_P3_NOV24)Y ON X.PRTCTN_ID=Y.PRTCTN_ID_SIMUL</v>
      </c>
      <c r="N79" s="45" t="s">
        <v>13</v>
      </c>
    </row>
    <row r="80" spans="2:14">
      <c r="B80" s="41" t="s">
        <v>31</v>
      </c>
      <c r="C80" s="41" t="s">
        <v>74</v>
      </c>
      <c r="D80" s="41" t="str">
        <f>+UPPER('0. Instruções'!$D$33&amp;"."&amp;VLOOKUP(B80,'0. Instruções'!$C$27:$D$31,2,FALSE))</f>
        <v>BU_LOANTAPE_WORK.LT004_PROTECTION</v>
      </c>
      <c r="E80" s="41" t="str">
        <f>+UPPER('0. Instruções'!$D$34&amp;"."&amp;VLOOKUP(B80,'0. Instruções'!$C$27:$E$31,3,FALSE))</f>
        <v>BU_LOANTAPE_WORK.LT004_PROTECTION_P3_NOV24</v>
      </c>
      <c r="F80" s="41" t="s">
        <v>136</v>
      </c>
      <c r="G80" s="41" t="s">
        <v>209</v>
      </c>
      <c r="H80" s="41"/>
      <c r="I80" s="41" t="str">
        <f>"(SELECT "&amp;VLOOKUP(B80,'0. Instruções'!$C$27:$G$31,4,FALSE)&amp;", "&amp;F80&amp;" FROM "&amp;D80&amp;" WHERE "&amp;'0. Instruções'!$D$40&amp;")X"</f>
        <v>(SELECT prtctn_id, EP_SCR FROM BU_LOANTAPE_WORK.LT004_PROTECTION WHERE ref_date='${ref_date}' AND nome_perimetro='Individual Corporativo' AND segmento='ESTR' AND ambito='PILAR3')X</v>
      </c>
      <c r="J80" s="41" t="str">
        <f>"(SELECT "&amp;VLOOKUP(B80,'0. Instruções'!$C$27:$G$31,4,FALSE)&amp;" AS "&amp;VLOOKUP(B80,'0. Instruções'!$C$27:$G$31,4,FALSE)&amp;"_SIMUL, "&amp;F80&amp;" AS "&amp;F80&amp;"_SIMUL FROM "&amp;E80&amp;")Y"</f>
        <v>(SELECT prtctn_id AS prtctn_id_SIMUL, EP_SCR AS EP_SCR_SIMUL FROM BU_LOANTAPE_WORK.LT004_PROTECTION_P3_NOV24)Y</v>
      </c>
      <c r="K80" s="42" t="str">
        <f>+UPPER("ON X."&amp;VLOOKUP(B80,'0. Instruções'!$C$27:$G$31,4,FALSE)&amp;"=Y."&amp;VLOOKUP(B80,'0. Instruções'!$C$27:$G$31,4,FALSE)&amp;"_SIMUL")</f>
        <v>ON X.PRTCTN_ID=Y.PRTCTN_ID_SIMUL</v>
      </c>
      <c r="L80" s="42" t="str">
        <f>+IF(C80="Coerência", +IF(LEFT(G80,5)="FLOAT","SELECT '"&amp;UPPER(B80)&amp;"' AS TABELA, '"&amp;UPPER(C80)&amp;"' AS TIPOLOGIA_TESTE,'"&amp;D80&amp;"' AS TABELA_LT,'"&amp;E80&amp;"' AS TABELA_SIMUL,'"&amp;F80&amp;"' AS CAMPO, "&amp;"'${ref_date}' AS REF_DATE, COUNT(*) AS NUM_REG, SUM(IF((ABS(COALESCE(X."&amp;F80&amp;",0)-COALESCE(Y."&amp;F80&amp;"_SIMUL,0))&gt;0.0000000001) OR (X."&amp;F80&amp;" IS NULL AND Y."&amp;F80&amp;"_SIMUL IS NOT NULL ) OR (X."&amp;F80&amp;" IS NOT NULL AND Y."&amp;F80&amp;"_SIMUL IS NULL),1,0)) AS NUM_REG_DIF,'"&amp;MAX('ID1&amp;5'!K:K)+1&amp;"' AS ID_EXEC, CURRENT_TIMESTAMP() AS TIME_EXEC FROM "&amp;I80&amp;" INNER JOIN "&amp;J80&amp;" "&amp;K80,"SELECT '"&amp;UPPER(B80)&amp;"' AS TABELA, '"&amp;UPPER(C80)&amp;"' AS TIPOLOGIA_TESTE,'"&amp;D80&amp;"' AS TABELA_LT,'"&amp;E80&amp;"' AS TABELA_SIMUL,'"&amp;F80&amp;"' AS CAMPO, "&amp;"'${ref_date}' AS REF_DATE, COUNT(*) AS NUM_REG, SUM(IF(COALESCE(CAST(X."&amp;F80&amp;" AS STRING),'')&lt;&gt;COALESCE(CAST(Y."&amp;F80&amp;"_SIMUL AS STRING),''),1,0)) AS NUM_REG_DIF,'"&amp;MAX('ID1&amp;5'!L:L)+1&amp;"' AS ID_EXEC, CURRENT_TIMESTAMP() AS TIME_EXEC FROM "&amp;I80&amp;" INNER JOIN "&amp;J80&amp;" "&amp;K80),
IF(C80="Validade",+IF(G80="Code List","SELECT '"&amp;UPPER(B80)&amp;"' AS TABELA, '"&amp;UPPER(C80)&amp;"' AS TIPOLOGIA_TESTE,'"&amp;D80&amp;"' AS TABELA_LT,'N/A' AS TABELA_SIMUL,'"&amp;F80&amp;"' AS CAMPO, "&amp;"'${ref_date}' AS REF_DATE, COUNT(*) AS NUM_REG, SUM(IF(TRIM(CAST(X."&amp;F80&amp;" AS STRING))='' OR TRIM(CAST(X."&amp;F80&amp;" AS STRING)) IS NULL OR CAST(X."&amp;F80&amp;" AS STRING) NOT "&amp;H80&amp;",1,0)) AS NUM_REG_DIF,'"&amp;MAX('ID1&amp;5'!K:K)+1&amp;"' AS ID_EXEC, CURRENT_TIMESTAMP() AS TIME_EXEC FROM "&amp;I80,"SELECT '"&amp;UPPER(B80)&amp;"' AS TABELA, '"&amp;UPPER(C80)&amp;"' AS TIPOLOGIA_TESTE,'"&amp;D80&amp;"' AS TABELA_LT,'N/A' AS TABELA_SIMUL,'"&amp;F80&amp;"' AS CAMPO, "&amp;"'${ref_date}' AS REF_DATE, COUNT(*) AS NUM_REG, SUM(IF(TRIM(CAST(X."&amp;F80&amp;" AS STRING))='' OR TRIM(CAST(X."&amp;F80&amp;" AS STRING)) IS NULL,1,0)) AS NUM_REG_DIF,'"&amp;MAX('ID1&amp;5'!K:K)+1&amp;"' AS ID_EXEC, CURRENT_TIMESTAMP() AS TIME_EXEC FROM "&amp;I80),
IF(C80="Caracteres Especiais",+"SELECT '"&amp;UPPER(B80)&amp;"' AS TABELA, '"&amp;UPPER(C80)&amp;"' AS TIPOLOGIA_TESTE,'"&amp;D80&amp;"' AS TABELA_LT,'N/A' AS TABELA_SIMUL,'"&amp;F80&amp;"' AS CAMPO, "&amp;"'${ref_date}' AS REF_DATE, COUNT(*) AS NUM_REG, SUM(IF(INSTR(CAST(X."&amp;F80&amp;" AS STRING),'#')&gt;0 OR INSTR(CAST(X."&amp;F80&amp;" AS STRING),'*')&gt;0 OR INSTR(CAST(X."&amp;F80&amp;" AS STRING),'`')&gt;0 OR INSTR(CAST(X."&amp;F80&amp;" AS STRING),'´')&gt;0 OR INSTR(CAST(X."&amp;F80&amp;" AS STRING),'{')&gt;0 OR INSTR(CAST(X."&amp;F80&amp;" AS STRING),'}')&gt;0 OR INSTR(CAST(X."&amp;F80&amp;" AS STRING),'[')&gt;0 OR INSTR(CAST(X."&amp;F80&amp;" AS STRING),'')&gt;0 OR INSTR(CAST(X."&amp;F80&amp;" AS STRING),']')&gt;0 OR INSTR(CAST(X."&amp;F80&amp;" AS STRING),'?')&gt;0 OR INSTR(CAST(X."&amp;F80&amp;" AS STRING),'!')&gt;0 OR INSTR(CAST(X."&amp;F80&amp;" AS STRING),'$')&gt;0 OR INSTR(CAST(X."&amp;F80&amp;" AS STRING),'%')&gt;0 OR INSTR(CAST(X."&amp;F80&amp;" AS STRING),'&amp;')&gt;0 OR INSTR(CAST(X."&amp;F80&amp;" AS STRING),'+')&gt;0,1,0)) AS NUM_REG_DIF,'"&amp;MAX('ID1&amp;5'!K:K)+1&amp;"' AS ID_EXEC, CURRENT_TIMESTAMP() AS TIME_EXEC FROM "&amp;I80,
IF(C80="Missings",+"SELECT '"&amp;UPPER(B80)&amp;"' AS TABELA, '"&amp;UPPER(C80)&amp;"' AS TIPOLOGIA_TESTE,'"&amp;D80&amp;"' AS TABELA_LT,'N/A' AS TABELA_SIMUL,'"&amp;F80&amp;"' AS CAMPO, "&amp;"'${ref_date}' AS REF_DATE, COUNT(*) AS NUM_REG, SUM(IF(TRIM(CAST(X."&amp;F80&amp;" AS STRING)) IN ('0000-00-00','0001-01-01','9999-12-31','MISS','00000','99999999999','99999999999.00','99999999999.000000'),1,0)) AS NUM_REG_DIF,'"&amp;MAX('ID1&amp;5'!K:K)+1&amp;"' AS ID_EXEC, CURRENT_TIMESTAMP() AS TIME_EXEC FROM "&amp;I80,
IF(C80="Not applicable",+"SELECT '"&amp;UPPER(B80)&amp;"' AS TABELA, '"&amp;UPPER(C80)&amp;"' AS TIPOLOGIA_TESTE,'"&amp;D80&amp;"' AS TABELA_LT,'N/A' AS TABELA_SIMUL,'"&amp;F80&amp;"' AS CAMPO, "&amp;"'${ref_date}' AS REF_DATE, COUNT(*) AS NUM_REG, SUM(IF(TRIM(CAST(X."&amp;F80&amp;" AS STRING)) IN ('N/A','11111111111','11111111111.00','11111111111.000000','1111-11-11'),1,0)) AS NUM_REG_DIF,'"&amp;MAX('ID1&amp;5'!K:K)+1&amp;"' AS ID_EXEC, CURRENT_TIMESTAMP() AS TIME_EXEC FROM "&amp;I80,
IF(C80="Valores extremos",+"SELECT '"&amp;UPPER(B80)&amp;"' AS TABELA, '"&amp;UPPER(C80)&amp;"' AS TIPOLOGIA_TESTE,'"&amp;D80&amp;"' AS TABELA_LT,'N/A' AS TABELA_SIMUL,'"&amp;F80&amp;"' AS CAMPO, "&amp;"'${ref_date}' AS REF_DATE, CAST(MIN("&amp;F80&amp;") AS STRING) AS VALOR_MIN, CAST(MAX("&amp;F80&amp;") AS STRING) AS VALOR_MAX,'"&amp;MAX('ID1&amp;5'!K:K)+1&amp;"' AS ID_EXEC, CURRENT_TIMESTAMP() AS TIME_EXEC FROM "&amp;MID(I80,1,LEN(I80)-2)&amp;" AND CAST("&amp;F80&amp;"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TABELA_SIMUL,'EP_SCR' AS CAMPO, '${ref_date}' AS REF_DATE, COUNT(*) AS NUM_REG, SUM(IF(COALESCE(CAST(X.EP_SCR AS STRING),'')&lt;&gt;COALESCE(CAST(Y.EP_SCR_SIMUL AS STRING),''),1,0)) AS NUM_REG_DIF,'1' AS ID_EXEC, CURRENT_TIMESTAMP() AS TIME_EXEC FROM (SELECT prtctn_id, EP_SCR FROM BU_LOANTAPE_WORK.LT004_PROTECTION WHERE ref_date='${ref_date}' AND nome_perimetro='Individual Corporativo' AND segmento='ESTR' AND ambito='PILAR3')X INNER JOIN (SELECT prtctn_id AS prtctn_id_SIMUL, EP_SCR AS EP_SCR_SIMUL FROM BU_LOANTAPE_WORK.LT004_PROTECTION_P3_NOV24)Y ON X.PRTCTN_ID=Y.PRTCTN_ID_SIMUL</v>
      </c>
      <c r="M80" s="43" t="str">
        <f t="shared" si="1"/>
        <v>UNION ALL SELECT 'PROTECTION' AS TABELA, 'COERÊNCIA' AS TIPOLOGIA_TESTE,'BU_LOANTAPE_WORK.LT004_PROTECTION' AS TABELA_LT,'BU_LOANTAPE_WORK.LT004_PROTECTION_P3_NOV24' AS TABELA_SIMUL,'EP_SCR' AS CAMPO, '${ref_date}' AS REF_DATE, COUNT(*) AS NUM_REG, SUM(IF(COALESCE(CAST(X.EP_SCR AS STRING),'')&lt;&gt;COALESCE(CAST(Y.EP_SCR_SIMUL AS STRING),''),1,0)) AS NUM_REG_DIF,'1' AS ID_EXEC, CURRENT_TIMESTAMP() AS TIME_EXEC FROM (SELECT prtctn_id, EP_SCR FROM BU_LOANTAPE_WORK.LT004_PROTECTION WHERE ref_date='${ref_date}' AND nome_perimetro='Individual Corporativo' AND segmento='ESTR' AND ambito='PILAR3')X INNER JOIN (SELECT prtctn_id AS prtctn_id_SIMUL, EP_SCR AS EP_SCR_SIMUL FROM BU_LOANTAPE_WORK.LT004_PROTECTION_P3_NOV24)Y ON X.PRTCTN_ID=Y.PRTCTN_ID_SIMUL</v>
      </c>
      <c r="N80" s="45" t="s">
        <v>13</v>
      </c>
    </row>
    <row r="81" spans="2:14">
      <c r="B81" s="41" t="s">
        <v>31</v>
      </c>
      <c r="C81" s="41" t="s">
        <v>74</v>
      </c>
      <c r="D81" s="41" t="str">
        <f>+UPPER('0. Instruções'!$D$33&amp;"."&amp;VLOOKUP(B81,'0. Instruções'!$C$27:$D$31,2,FALSE))</f>
        <v>BU_LOANTAPE_WORK.LT004_PROTECTION</v>
      </c>
      <c r="E81" s="41" t="str">
        <f>+UPPER('0. Instruções'!$D$34&amp;"."&amp;VLOOKUP(B81,'0. Instruções'!$C$27:$E$31,3,FALSE))</f>
        <v>BU_LOANTAPE_WORK.LT004_PROTECTION_P3_NOV24</v>
      </c>
      <c r="F81" s="41" t="s">
        <v>137</v>
      </c>
      <c r="G81" s="41" t="s">
        <v>209</v>
      </c>
      <c r="H81" s="41"/>
      <c r="I81" s="41" t="str">
        <f>"(SELECT "&amp;VLOOKUP(B81,'0. Instruções'!$C$27:$G$31,4,FALSE)&amp;", "&amp;F81&amp;" FROM "&amp;D81&amp;" WHERE "&amp;'0. Instruções'!$D$40&amp;")X"</f>
        <v>(SELECT prtctn_id, TYP_EPC_LBL FROM BU_LOANTAPE_WORK.LT004_PROTECTION WHERE ref_date='${ref_date}' AND nome_perimetro='Individual Corporativo' AND segmento='ESTR' AND ambito='PILAR3')X</v>
      </c>
      <c r="J81" s="41" t="str">
        <f>"(SELECT "&amp;VLOOKUP(B81,'0. Instruções'!$C$27:$G$31,4,FALSE)&amp;" AS "&amp;VLOOKUP(B81,'0. Instruções'!$C$27:$G$31,4,FALSE)&amp;"_SIMUL, "&amp;F81&amp;" AS "&amp;F81&amp;"_SIMUL FROM "&amp;E81&amp;")Y"</f>
        <v>(SELECT prtctn_id AS prtctn_id_SIMUL, TYP_EPC_LBL AS TYP_EPC_LBL_SIMUL FROM BU_LOANTAPE_WORK.LT004_PROTECTION_P3_NOV24)Y</v>
      </c>
      <c r="K81" s="42" t="str">
        <f>+UPPER("ON X."&amp;VLOOKUP(B81,'0. Instruções'!$C$27:$G$31,4,FALSE)&amp;"=Y."&amp;VLOOKUP(B81,'0. Instruções'!$C$27:$G$31,4,FALSE)&amp;"_SIMUL")</f>
        <v>ON X.PRTCTN_ID=Y.PRTCTN_ID_SIMUL</v>
      </c>
      <c r="L81" s="42" t="str">
        <f>+IF(C81="Coerência", +IF(LEFT(G81,5)="FLOAT","SELECT '"&amp;UPPER(B81)&amp;"' AS TABELA, '"&amp;UPPER(C81)&amp;"' AS TIPOLOGIA_TESTE,'"&amp;D81&amp;"' AS TABELA_LT,'"&amp;E81&amp;"' AS TABELA_SIMUL,'"&amp;F81&amp;"' AS CAMPO, "&amp;"'${ref_date}' AS REF_DATE, COUNT(*) AS NUM_REG, SUM(IF((ABS(COALESCE(X."&amp;F81&amp;",0)-COALESCE(Y."&amp;F81&amp;"_SIMUL,0))&gt;0.0000000001) OR (X."&amp;F81&amp;" IS NULL AND Y."&amp;F81&amp;"_SIMUL IS NOT NULL ) OR (X."&amp;F81&amp;" IS NOT NULL AND Y."&amp;F81&amp;"_SIMUL IS NULL),1,0)) AS NUM_REG_DIF,'"&amp;MAX('ID1&amp;5'!K:K)+1&amp;"' AS ID_EXEC, CURRENT_TIMESTAMP() AS TIME_EXEC FROM "&amp;I81&amp;" INNER JOIN "&amp;J81&amp;" "&amp;K81,"SELECT '"&amp;UPPER(B81)&amp;"' AS TABELA, '"&amp;UPPER(C81)&amp;"' AS TIPOLOGIA_TESTE,'"&amp;D81&amp;"' AS TABELA_LT,'"&amp;E81&amp;"' AS TABELA_SIMUL,'"&amp;F81&amp;"' AS CAMPO, "&amp;"'${ref_date}' AS REF_DATE, COUNT(*) AS NUM_REG, SUM(IF(COALESCE(CAST(X."&amp;F81&amp;" AS STRING),'')&lt;&gt;COALESCE(CAST(Y."&amp;F81&amp;"_SIMUL AS STRING),''),1,0)) AS NUM_REG_DIF,'"&amp;MAX('ID1&amp;5'!L:L)+1&amp;"' AS ID_EXEC, CURRENT_TIMESTAMP() AS TIME_EXEC FROM "&amp;I81&amp;" INNER JOIN "&amp;J81&amp;" "&amp;K81),
IF(C81="Validade",+IF(G81="Code List","SELECT '"&amp;UPPER(B81)&amp;"' AS TABELA, '"&amp;UPPER(C81)&amp;"' AS TIPOLOGIA_TESTE,'"&amp;D81&amp;"' AS TABELA_LT,'N/A' AS TABELA_SIMUL,'"&amp;F81&amp;"' AS CAMPO, "&amp;"'${ref_date}' AS REF_DATE, COUNT(*) AS NUM_REG, SUM(IF(TRIM(CAST(X."&amp;F81&amp;" AS STRING))='' OR TRIM(CAST(X."&amp;F81&amp;" AS STRING)) IS NULL OR CAST(X."&amp;F81&amp;" AS STRING) NOT "&amp;H81&amp;",1,0)) AS NUM_REG_DIF,'"&amp;MAX('ID1&amp;5'!K:K)+1&amp;"' AS ID_EXEC, CURRENT_TIMESTAMP() AS TIME_EXEC FROM "&amp;I81,"SELECT '"&amp;UPPER(B81)&amp;"' AS TABELA, '"&amp;UPPER(C81)&amp;"' AS TIPOLOGIA_TESTE,'"&amp;D81&amp;"' AS TABELA_LT,'N/A' AS TABELA_SIMUL,'"&amp;F81&amp;"' AS CAMPO, "&amp;"'${ref_date}' AS REF_DATE, COUNT(*) AS NUM_REG, SUM(IF(TRIM(CAST(X."&amp;F81&amp;" AS STRING))='' OR TRIM(CAST(X."&amp;F81&amp;" AS STRING)) IS NULL,1,0)) AS NUM_REG_DIF,'"&amp;MAX('ID1&amp;5'!K:K)+1&amp;"' AS ID_EXEC, CURRENT_TIMESTAMP() AS TIME_EXEC FROM "&amp;I81),
IF(C81="Caracteres Especiais",+"SELECT '"&amp;UPPER(B81)&amp;"' AS TABELA, '"&amp;UPPER(C81)&amp;"' AS TIPOLOGIA_TESTE,'"&amp;D81&amp;"' AS TABELA_LT,'N/A' AS TABELA_SIMUL,'"&amp;F81&amp;"' AS CAMPO, "&amp;"'${ref_date}' AS REF_DATE, COUNT(*) AS NUM_REG, SUM(IF(INSTR(CAST(X."&amp;F81&amp;" AS STRING),'#')&gt;0 OR INSTR(CAST(X."&amp;F81&amp;" AS STRING),'*')&gt;0 OR INSTR(CAST(X."&amp;F81&amp;" AS STRING),'`')&gt;0 OR INSTR(CAST(X."&amp;F81&amp;" AS STRING),'´')&gt;0 OR INSTR(CAST(X."&amp;F81&amp;" AS STRING),'{')&gt;0 OR INSTR(CAST(X."&amp;F81&amp;" AS STRING),'}')&gt;0 OR INSTR(CAST(X."&amp;F81&amp;" AS STRING),'[')&gt;0 OR INSTR(CAST(X."&amp;F81&amp;" AS STRING),'')&gt;0 OR INSTR(CAST(X."&amp;F81&amp;" AS STRING),']')&gt;0 OR INSTR(CAST(X."&amp;F81&amp;" AS STRING),'?')&gt;0 OR INSTR(CAST(X."&amp;F81&amp;" AS STRING),'!')&gt;0 OR INSTR(CAST(X."&amp;F81&amp;" AS STRING),'$')&gt;0 OR INSTR(CAST(X."&amp;F81&amp;" AS STRING),'%')&gt;0 OR INSTR(CAST(X."&amp;F81&amp;" AS STRING),'&amp;')&gt;0 OR INSTR(CAST(X."&amp;F81&amp;" AS STRING),'+')&gt;0,1,0)) AS NUM_REG_DIF,'"&amp;MAX('ID1&amp;5'!K:K)+1&amp;"' AS ID_EXEC, CURRENT_TIMESTAMP() AS TIME_EXEC FROM "&amp;I81,
IF(C81="Missings",+"SELECT '"&amp;UPPER(B81)&amp;"' AS TABELA, '"&amp;UPPER(C81)&amp;"' AS TIPOLOGIA_TESTE,'"&amp;D81&amp;"' AS TABELA_LT,'N/A' AS TABELA_SIMUL,'"&amp;F81&amp;"' AS CAMPO, "&amp;"'${ref_date}' AS REF_DATE, COUNT(*) AS NUM_REG, SUM(IF(TRIM(CAST(X."&amp;F81&amp;" AS STRING)) IN ('0000-00-00','0001-01-01','9999-12-31','MISS','00000','99999999999','99999999999.00','99999999999.000000'),1,0)) AS NUM_REG_DIF,'"&amp;MAX('ID1&amp;5'!K:K)+1&amp;"' AS ID_EXEC, CURRENT_TIMESTAMP() AS TIME_EXEC FROM "&amp;I81,
IF(C81="Not applicable",+"SELECT '"&amp;UPPER(B81)&amp;"' AS TABELA, '"&amp;UPPER(C81)&amp;"' AS TIPOLOGIA_TESTE,'"&amp;D81&amp;"' AS TABELA_LT,'N/A' AS TABELA_SIMUL,'"&amp;F81&amp;"' AS CAMPO, "&amp;"'${ref_date}' AS REF_DATE, COUNT(*) AS NUM_REG, SUM(IF(TRIM(CAST(X."&amp;F81&amp;" AS STRING)) IN ('N/A','11111111111','11111111111.00','11111111111.000000','1111-11-11'),1,0)) AS NUM_REG_DIF,'"&amp;MAX('ID1&amp;5'!K:K)+1&amp;"' AS ID_EXEC, CURRENT_TIMESTAMP() AS TIME_EXEC FROM "&amp;I81,
IF(C81="Valores extremos",+"SELECT '"&amp;UPPER(B81)&amp;"' AS TABELA, '"&amp;UPPER(C81)&amp;"' AS TIPOLOGIA_TESTE,'"&amp;D81&amp;"' AS TABELA_LT,'N/A' AS TABELA_SIMUL,'"&amp;F81&amp;"' AS CAMPO, "&amp;"'${ref_date}' AS REF_DATE, CAST(MIN("&amp;F81&amp;") AS STRING) AS VALOR_MIN, CAST(MAX("&amp;F81&amp;") AS STRING) AS VALOR_MAX,'"&amp;MAX('ID1&amp;5'!K:K)+1&amp;"' AS ID_EXEC, CURRENT_TIMESTAMP() AS TIME_EXEC FROM "&amp;MID(I81,1,LEN(I81)-2)&amp;" AND CAST("&amp;F81&amp;"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TABELA_SIMUL,'TYP_EPC_LBL' AS CAMPO, '${ref_date}' AS REF_DATE, COUNT(*) AS NUM_REG, SUM(IF(COALESCE(CAST(X.TYP_EPC_LBL AS STRING),'')&lt;&gt;COALESCE(CAST(Y.TYP_EPC_LBL_SIMUL AS STRING),''),1,0)) AS NUM_REG_DIF,'1' AS ID_EXEC, CURRENT_TIMESTAMP() AS TIME_EXEC FROM (SELECT prtctn_id, TYP_EPC_LBL FROM BU_LOANTAPE_WORK.LT004_PROTECTION WHERE ref_date='${ref_date}' AND nome_perimetro='Individual Corporativo' AND segmento='ESTR' AND ambito='PILAR3')X INNER JOIN (SELECT prtctn_id AS prtctn_id_SIMUL, TYP_EPC_LBL AS TYP_EPC_LBL_SIMUL FROM BU_LOANTAPE_WORK.LT004_PROTECTION_P3_NOV24)Y ON X.PRTCTN_ID=Y.PRTCTN_ID_SIMUL</v>
      </c>
      <c r="M81" s="43" t="str">
        <f t="shared" si="1"/>
        <v>UNION ALL SELECT 'PROTECTION' AS TABELA, 'COERÊNCIA' AS TIPOLOGIA_TESTE,'BU_LOANTAPE_WORK.LT004_PROTECTION' AS TABELA_LT,'BU_LOANTAPE_WORK.LT004_PROTECTION_P3_NOV24' AS TABELA_SIMUL,'TYP_EPC_LBL' AS CAMPO, '${ref_date}' AS REF_DATE, COUNT(*) AS NUM_REG, SUM(IF(COALESCE(CAST(X.TYP_EPC_LBL AS STRING),'')&lt;&gt;COALESCE(CAST(Y.TYP_EPC_LBL_SIMUL AS STRING),''),1,0)) AS NUM_REG_DIF,'1' AS ID_EXEC, CURRENT_TIMESTAMP() AS TIME_EXEC FROM (SELECT prtctn_id, TYP_EPC_LBL FROM BU_LOANTAPE_WORK.LT004_PROTECTION WHERE ref_date='${ref_date}' AND nome_perimetro='Individual Corporativo' AND segmento='ESTR' AND ambito='PILAR3')X INNER JOIN (SELECT prtctn_id AS prtctn_id_SIMUL, TYP_EPC_LBL AS TYP_EPC_LBL_SIMUL FROM BU_LOANTAPE_WORK.LT004_PROTECTION_P3_NOV24)Y ON X.PRTCTN_ID=Y.PRTCTN_ID_SIMUL</v>
      </c>
      <c r="N81" s="45" t="s">
        <v>13</v>
      </c>
    </row>
    <row r="82" spans="2:14">
      <c r="B82" s="41" t="s">
        <v>31</v>
      </c>
      <c r="C82" s="41" t="s">
        <v>74</v>
      </c>
      <c r="D82" s="41" t="str">
        <f>+UPPER('0. Instruções'!$D$33&amp;"."&amp;VLOOKUP(B82,'0. Instruções'!$C$27:$D$31,2,FALSE))</f>
        <v>BU_LOANTAPE_WORK.LT004_PROTECTION</v>
      </c>
      <c r="E82" s="41" t="str">
        <f>+UPPER('0. Instruções'!$D$34&amp;"."&amp;VLOOKUP(B82,'0. Instruções'!$C$27:$E$31,3,FALSE))</f>
        <v>BU_LOANTAPE_WORK.LT004_PROTECTION_P3_NOV24</v>
      </c>
      <c r="F82" s="41" t="s">
        <v>138</v>
      </c>
      <c r="G82" s="41" t="s">
        <v>209</v>
      </c>
      <c r="H82" s="41"/>
      <c r="I82" s="41" t="str">
        <f>"(SELECT "&amp;VLOOKUP(B82,'0. Instruções'!$C$27:$G$31,4,FALSE)&amp;", "&amp;F82&amp;" FROM "&amp;D82&amp;" WHERE "&amp;'0. Instruções'!$D$40&amp;")X"</f>
        <v>(SELECT prtctn_id, EPC_LBL FROM BU_LOANTAPE_WORK.LT004_PROTECTION WHERE ref_date='${ref_date}' AND nome_perimetro='Individual Corporativo' AND segmento='ESTR' AND ambito='PILAR3')X</v>
      </c>
      <c r="J82" s="41" t="str">
        <f>"(SELECT "&amp;VLOOKUP(B82,'0. Instruções'!$C$27:$G$31,4,FALSE)&amp;" AS "&amp;VLOOKUP(B82,'0. Instruções'!$C$27:$G$31,4,FALSE)&amp;"_SIMUL, "&amp;F82&amp;" AS "&amp;F82&amp;"_SIMUL FROM "&amp;E82&amp;")Y"</f>
        <v>(SELECT prtctn_id AS prtctn_id_SIMUL, EPC_LBL AS EPC_LBL_SIMUL FROM BU_LOANTAPE_WORK.LT004_PROTECTION_P3_NOV24)Y</v>
      </c>
      <c r="K82" s="42" t="str">
        <f>+UPPER("ON X."&amp;VLOOKUP(B82,'0. Instruções'!$C$27:$G$31,4,FALSE)&amp;"=Y."&amp;VLOOKUP(B82,'0. Instruções'!$C$27:$G$31,4,FALSE)&amp;"_SIMUL")</f>
        <v>ON X.PRTCTN_ID=Y.PRTCTN_ID_SIMUL</v>
      </c>
      <c r="L82" s="42" t="str">
        <f>+IF(C82="Coerência", +IF(LEFT(G82,5)="FLOAT","SELECT '"&amp;UPPER(B82)&amp;"' AS TABELA, '"&amp;UPPER(C82)&amp;"' AS TIPOLOGIA_TESTE,'"&amp;D82&amp;"' AS TABELA_LT,'"&amp;E82&amp;"' AS TABELA_SIMUL,'"&amp;F82&amp;"' AS CAMPO, "&amp;"'${ref_date}' AS REF_DATE, COUNT(*) AS NUM_REG, SUM(IF((ABS(COALESCE(X."&amp;F82&amp;",0)-COALESCE(Y."&amp;F82&amp;"_SIMUL,0))&gt;0.0000000001) OR (X."&amp;F82&amp;" IS NULL AND Y."&amp;F82&amp;"_SIMUL IS NOT NULL ) OR (X."&amp;F82&amp;" IS NOT NULL AND Y."&amp;F82&amp;"_SIMUL IS NULL),1,0)) AS NUM_REG_DIF,'"&amp;MAX('ID1&amp;5'!K:K)+1&amp;"' AS ID_EXEC, CURRENT_TIMESTAMP() AS TIME_EXEC FROM "&amp;I82&amp;" INNER JOIN "&amp;J82&amp;" "&amp;K82,"SELECT '"&amp;UPPER(B82)&amp;"' AS TABELA, '"&amp;UPPER(C82)&amp;"' AS TIPOLOGIA_TESTE,'"&amp;D82&amp;"' AS TABELA_LT,'"&amp;E82&amp;"' AS TABELA_SIMUL,'"&amp;F82&amp;"' AS CAMPO, "&amp;"'${ref_date}' AS REF_DATE, COUNT(*) AS NUM_REG, SUM(IF(COALESCE(CAST(X."&amp;F82&amp;" AS STRING),'')&lt;&gt;COALESCE(CAST(Y."&amp;F82&amp;"_SIMUL AS STRING),''),1,0)) AS NUM_REG_DIF,'"&amp;MAX('ID1&amp;5'!L:L)+1&amp;"' AS ID_EXEC, CURRENT_TIMESTAMP() AS TIME_EXEC FROM "&amp;I82&amp;" INNER JOIN "&amp;J82&amp;" "&amp;K82),
IF(C82="Validade",+IF(G82="Code List","SELECT '"&amp;UPPER(B82)&amp;"' AS TABELA, '"&amp;UPPER(C82)&amp;"' AS TIPOLOGIA_TESTE,'"&amp;D82&amp;"' AS TABELA_LT,'N/A' AS TABELA_SIMUL,'"&amp;F82&amp;"' AS CAMPO, "&amp;"'${ref_date}' AS REF_DATE, COUNT(*) AS NUM_REG, SUM(IF(TRIM(CAST(X."&amp;F82&amp;" AS STRING))='' OR TRIM(CAST(X."&amp;F82&amp;" AS STRING)) IS NULL OR CAST(X."&amp;F82&amp;" AS STRING) NOT "&amp;H82&amp;",1,0)) AS NUM_REG_DIF,'"&amp;MAX('ID1&amp;5'!K:K)+1&amp;"' AS ID_EXEC, CURRENT_TIMESTAMP() AS TIME_EXEC FROM "&amp;I82,"SELECT '"&amp;UPPER(B82)&amp;"' AS TABELA, '"&amp;UPPER(C82)&amp;"' AS TIPOLOGIA_TESTE,'"&amp;D82&amp;"' AS TABELA_LT,'N/A' AS TABELA_SIMUL,'"&amp;F82&amp;"' AS CAMPO, "&amp;"'${ref_date}' AS REF_DATE, COUNT(*) AS NUM_REG, SUM(IF(TRIM(CAST(X."&amp;F82&amp;" AS STRING))='' OR TRIM(CAST(X."&amp;F82&amp;" AS STRING)) IS NULL,1,0)) AS NUM_REG_DIF,'"&amp;MAX('ID1&amp;5'!K:K)+1&amp;"' AS ID_EXEC, CURRENT_TIMESTAMP() AS TIME_EXEC FROM "&amp;I82),
IF(C82="Caracteres Especiais",+"SELECT '"&amp;UPPER(B82)&amp;"' AS TABELA, '"&amp;UPPER(C82)&amp;"' AS TIPOLOGIA_TESTE,'"&amp;D82&amp;"' AS TABELA_LT,'N/A' AS TABELA_SIMUL,'"&amp;F82&amp;"' AS CAMPO, "&amp;"'${ref_date}' AS REF_DATE, COUNT(*) AS NUM_REG, SUM(IF(INSTR(CAST(X."&amp;F82&amp;" AS STRING),'#')&gt;0 OR INSTR(CAST(X."&amp;F82&amp;" AS STRING),'*')&gt;0 OR INSTR(CAST(X."&amp;F82&amp;" AS STRING),'`')&gt;0 OR INSTR(CAST(X."&amp;F82&amp;" AS STRING),'´')&gt;0 OR INSTR(CAST(X."&amp;F82&amp;" AS STRING),'{')&gt;0 OR INSTR(CAST(X."&amp;F82&amp;" AS STRING),'}')&gt;0 OR INSTR(CAST(X."&amp;F82&amp;" AS STRING),'[')&gt;0 OR INSTR(CAST(X."&amp;F82&amp;" AS STRING),'')&gt;0 OR INSTR(CAST(X."&amp;F82&amp;" AS STRING),']')&gt;0 OR INSTR(CAST(X."&amp;F82&amp;" AS STRING),'?')&gt;0 OR INSTR(CAST(X."&amp;F82&amp;" AS STRING),'!')&gt;0 OR INSTR(CAST(X."&amp;F82&amp;" AS STRING),'$')&gt;0 OR INSTR(CAST(X."&amp;F82&amp;" AS STRING),'%')&gt;0 OR INSTR(CAST(X."&amp;F82&amp;" AS STRING),'&amp;')&gt;0 OR INSTR(CAST(X."&amp;F82&amp;" AS STRING),'+')&gt;0,1,0)) AS NUM_REG_DIF,'"&amp;MAX('ID1&amp;5'!K:K)+1&amp;"' AS ID_EXEC, CURRENT_TIMESTAMP() AS TIME_EXEC FROM "&amp;I82,
IF(C82="Missings",+"SELECT '"&amp;UPPER(B82)&amp;"' AS TABELA, '"&amp;UPPER(C82)&amp;"' AS TIPOLOGIA_TESTE,'"&amp;D82&amp;"' AS TABELA_LT,'N/A' AS TABELA_SIMUL,'"&amp;F82&amp;"' AS CAMPO, "&amp;"'${ref_date}' AS REF_DATE, COUNT(*) AS NUM_REG, SUM(IF(TRIM(CAST(X."&amp;F82&amp;" AS STRING)) IN ('0000-00-00','0001-01-01','9999-12-31','MISS','00000','99999999999','99999999999.00','99999999999.000000'),1,0)) AS NUM_REG_DIF,'"&amp;MAX('ID1&amp;5'!K:K)+1&amp;"' AS ID_EXEC, CURRENT_TIMESTAMP() AS TIME_EXEC FROM "&amp;I82,
IF(C82="Not applicable",+"SELECT '"&amp;UPPER(B82)&amp;"' AS TABELA, '"&amp;UPPER(C82)&amp;"' AS TIPOLOGIA_TESTE,'"&amp;D82&amp;"' AS TABELA_LT,'N/A' AS TABELA_SIMUL,'"&amp;F82&amp;"' AS CAMPO, "&amp;"'${ref_date}' AS REF_DATE, COUNT(*) AS NUM_REG, SUM(IF(TRIM(CAST(X."&amp;F82&amp;" AS STRING)) IN ('N/A','11111111111','11111111111.00','11111111111.000000','1111-11-11'),1,0)) AS NUM_REG_DIF,'"&amp;MAX('ID1&amp;5'!K:K)+1&amp;"' AS ID_EXEC, CURRENT_TIMESTAMP() AS TIME_EXEC FROM "&amp;I82,
IF(C82="Valores extremos",+"SELECT '"&amp;UPPER(B82)&amp;"' AS TABELA, '"&amp;UPPER(C82)&amp;"' AS TIPOLOGIA_TESTE,'"&amp;D82&amp;"' AS TABELA_LT,'N/A' AS TABELA_SIMUL,'"&amp;F82&amp;"' AS CAMPO, "&amp;"'${ref_date}' AS REF_DATE, CAST(MIN("&amp;F82&amp;") AS STRING) AS VALOR_MIN, CAST(MAX("&amp;F82&amp;") AS STRING) AS VALOR_MAX,'"&amp;MAX('ID1&amp;5'!K:K)+1&amp;"' AS ID_EXEC, CURRENT_TIMESTAMP() AS TIME_EXEC FROM "&amp;MID(I82,1,LEN(I82)-2)&amp;" AND CAST("&amp;F82&amp;"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TABELA_SIMUL,'EPC_LBL' AS CAMPO, '${ref_date}' AS REF_DATE, COUNT(*) AS NUM_REG, SUM(IF(COALESCE(CAST(X.EPC_LBL AS STRING),'')&lt;&gt;COALESCE(CAST(Y.EPC_LBL_SIMUL AS STRING),''),1,0)) AS NUM_REG_DIF,'1' AS ID_EXEC, CURRENT_TIMESTAMP() AS TIME_EXEC FROM (SELECT prtctn_id, EPC_LBL FROM BU_LOANTAPE_WORK.LT004_PROTECTION WHERE ref_date='${ref_date}' AND nome_perimetro='Individual Corporativo' AND segmento='ESTR' AND ambito='PILAR3')X INNER JOIN (SELECT prtctn_id AS prtctn_id_SIMUL, EPC_LBL AS EPC_LBL_SIMUL FROM BU_LOANTAPE_WORK.LT004_PROTECTION_P3_NOV24)Y ON X.PRTCTN_ID=Y.PRTCTN_ID_SIMUL</v>
      </c>
      <c r="M82" s="43" t="str">
        <f t="shared" si="1"/>
        <v>UNION ALL SELECT 'PROTECTION' AS TABELA, 'COERÊNCIA' AS TIPOLOGIA_TESTE,'BU_LOANTAPE_WORK.LT004_PROTECTION' AS TABELA_LT,'BU_LOANTAPE_WORK.LT004_PROTECTION_P3_NOV24' AS TABELA_SIMUL,'EPC_LBL' AS CAMPO, '${ref_date}' AS REF_DATE, COUNT(*) AS NUM_REG, SUM(IF(COALESCE(CAST(X.EPC_LBL AS STRING),'')&lt;&gt;COALESCE(CAST(Y.EPC_LBL_SIMUL AS STRING),''),1,0)) AS NUM_REG_DIF,'1' AS ID_EXEC, CURRENT_TIMESTAMP() AS TIME_EXEC FROM (SELECT prtctn_id, EPC_LBL FROM BU_LOANTAPE_WORK.LT004_PROTECTION WHERE ref_date='${ref_date}' AND nome_perimetro='Individual Corporativo' AND segmento='ESTR' AND ambito='PILAR3')X INNER JOIN (SELECT prtctn_id AS prtctn_id_SIMUL, EPC_LBL AS EPC_LBL_SIMUL FROM BU_LOANTAPE_WORK.LT004_PROTECTION_P3_NOV24)Y ON X.PRTCTN_ID=Y.PRTCTN_ID_SIMUL</v>
      </c>
      <c r="N82" s="45" t="s">
        <v>13</v>
      </c>
    </row>
    <row r="83" spans="2:14">
      <c r="B83" s="41" t="s">
        <v>31</v>
      </c>
      <c r="C83" s="41" t="s">
        <v>74</v>
      </c>
      <c r="D83" s="41" t="str">
        <f>+UPPER('0. Instruções'!$D$33&amp;"."&amp;VLOOKUP(B83,'0. Instruções'!$C$27:$D$31,2,FALSE))</f>
        <v>BU_LOANTAPE_WORK.LT004_PROTECTION</v>
      </c>
      <c r="E83" s="41" t="str">
        <f>+UPPER('0. Instruções'!$D$34&amp;"."&amp;VLOOKUP(B83,'0. Instruções'!$C$27:$E$31,3,FALSE))</f>
        <v>BU_LOANTAPE_WORK.LT004_PROTECTION_P3_NOV24</v>
      </c>
      <c r="F83" s="41" t="s">
        <v>139</v>
      </c>
      <c r="G83" s="41" t="s">
        <v>210</v>
      </c>
      <c r="H83" s="41"/>
      <c r="I83" s="41" t="str">
        <f>"(SELECT "&amp;VLOOKUP(B83,'0. Instruções'!$C$27:$G$31,4,FALSE)&amp;", "&amp;F83&amp;" FROM "&amp;D83&amp;" WHERE "&amp;'0. Instruções'!$D$40&amp;")X"</f>
        <v>(SELECT prtctn_id, EMSSNS_SCP1_PRTCTN FROM BU_LOANTAPE_WORK.LT004_PROTECTION WHERE ref_date='${ref_date}' AND nome_perimetro='Individual Corporativo' AND segmento='ESTR' AND ambito='PILAR3')X</v>
      </c>
      <c r="J83" s="41" t="str">
        <f>"(SELECT "&amp;VLOOKUP(B83,'0. Instruções'!$C$27:$G$31,4,FALSE)&amp;" AS "&amp;VLOOKUP(B83,'0. Instruções'!$C$27:$G$31,4,FALSE)&amp;"_SIMUL, "&amp;F83&amp;" AS "&amp;F83&amp;"_SIMUL FROM "&amp;E83&amp;")Y"</f>
        <v>(SELECT prtctn_id AS prtctn_id_SIMUL, EMSSNS_SCP1_PRTCTN AS EMSSNS_SCP1_PRTCTN_SIMUL FROM BU_LOANTAPE_WORK.LT004_PROTECTION_P3_NOV24)Y</v>
      </c>
      <c r="K83" s="42" t="str">
        <f>+UPPER("ON X."&amp;VLOOKUP(B83,'0. Instruções'!$C$27:$G$31,4,FALSE)&amp;"=Y."&amp;VLOOKUP(B83,'0. Instruções'!$C$27:$G$31,4,FALSE)&amp;"_SIMUL")</f>
        <v>ON X.PRTCTN_ID=Y.PRTCTN_ID_SIMUL</v>
      </c>
      <c r="L83" s="42" t="str">
        <f>+IF(C83="Coerência", +IF(LEFT(G83,5)="FLOAT","SELECT '"&amp;UPPER(B83)&amp;"' AS TABELA, '"&amp;UPPER(C83)&amp;"' AS TIPOLOGIA_TESTE,'"&amp;D83&amp;"' AS TABELA_LT,'"&amp;E83&amp;"' AS TABELA_SIMUL,'"&amp;F83&amp;"' AS CAMPO, "&amp;"'${ref_date}' AS REF_DATE, COUNT(*) AS NUM_REG, SUM(IF((ABS(COALESCE(X."&amp;F83&amp;",0)-COALESCE(Y."&amp;F83&amp;"_SIMUL,0))&gt;0.0000000001) OR (X."&amp;F83&amp;" IS NULL AND Y."&amp;F83&amp;"_SIMUL IS NOT NULL ) OR (X."&amp;F83&amp;" IS NOT NULL AND Y."&amp;F83&amp;"_SIMUL IS NULL),1,0)) AS NUM_REG_DIF,'"&amp;MAX('ID1&amp;5'!K:K)+1&amp;"' AS ID_EXEC, CURRENT_TIMESTAMP() AS TIME_EXEC FROM "&amp;I83&amp;" INNER JOIN "&amp;J83&amp;" "&amp;K83,"SELECT '"&amp;UPPER(B83)&amp;"' AS TABELA, '"&amp;UPPER(C83)&amp;"' AS TIPOLOGIA_TESTE,'"&amp;D83&amp;"' AS TABELA_LT,'"&amp;E83&amp;"' AS TABELA_SIMUL,'"&amp;F83&amp;"' AS CAMPO, "&amp;"'${ref_date}' AS REF_DATE, COUNT(*) AS NUM_REG, SUM(IF(COALESCE(CAST(X."&amp;F83&amp;" AS STRING),'')&lt;&gt;COALESCE(CAST(Y."&amp;F83&amp;"_SIMUL AS STRING),''),1,0)) AS NUM_REG_DIF,'"&amp;MAX('ID1&amp;5'!L:L)+1&amp;"' AS ID_EXEC, CURRENT_TIMESTAMP() AS TIME_EXEC FROM "&amp;I83&amp;" INNER JOIN "&amp;J83&amp;" "&amp;K83),
IF(C83="Validade",+IF(G83="Code List","SELECT '"&amp;UPPER(B83)&amp;"' AS TABELA, '"&amp;UPPER(C83)&amp;"' AS TIPOLOGIA_TESTE,'"&amp;D83&amp;"' AS TABELA_LT,'N/A' AS TABELA_SIMUL,'"&amp;F83&amp;"' AS CAMPO, "&amp;"'${ref_date}' AS REF_DATE, COUNT(*) AS NUM_REG, SUM(IF(TRIM(CAST(X."&amp;F83&amp;" AS STRING))='' OR TRIM(CAST(X."&amp;F83&amp;" AS STRING)) IS NULL OR CAST(X."&amp;F83&amp;" AS STRING) NOT "&amp;H83&amp;",1,0)) AS NUM_REG_DIF,'"&amp;MAX('ID1&amp;5'!K:K)+1&amp;"' AS ID_EXEC, CURRENT_TIMESTAMP() AS TIME_EXEC FROM "&amp;I83,"SELECT '"&amp;UPPER(B83)&amp;"' AS TABELA, '"&amp;UPPER(C83)&amp;"' AS TIPOLOGIA_TESTE,'"&amp;D83&amp;"' AS TABELA_LT,'N/A' AS TABELA_SIMUL,'"&amp;F83&amp;"' AS CAMPO, "&amp;"'${ref_date}' AS REF_DATE, COUNT(*) AS NUM_REG, SUM(IF(TRIM(CAST(X."&amp;F83&amp;" AS STRING))='' OR TRIM(CAST(X."&amp;F83&amp;" AS STRING)) IS NULL,1,0)) AS NUM_REG_DIF,'"&amp;MAX('ID1&amp;5'!K:K)+1&amp;"' AS ID_EXEC, CURRENT_TIMESTAMP() AS TIME_EXEC FROM "&amp;I83),
IF(C83="Caracteres Especiais",+"SELECT '"&amp;UPPER(B83)&amp;"' AS TABELA, '"&amp;UPPER(C83)&amp;"' AS TIPOLOGIA_TESTE,'"&amp;D83&amp;"' AS TABELA_LT,'N/A' AS TABELA_SIMUL,'"&amp;F83&amp;"' AS CAMPO, "&amp;"'${ref_date}' AS REF_DATE, COUNT(*) AS NUM_REG, SUM(IF(INSTR(CAST(X."&amp;F83&amp;" AS STRING),'#')&gt;0 OR INSTR(CAST(X."&amp;F83&amp;" AS STRING),'*')&gt;0 OR INSTR(CAST(X."&amp;F83&amp;" AS STRING),'`')&gt;0 OR INSTR(CAST(X."&amp;F83&amp;" AS STRING),'´')&gt;0 OR INSTR(CAST(X."&amp;F83&amp;" AS STRING),'{')&gt;0 OR INSTR(CAST(X."&amp;F83&amp;" AS STRING),'}')&gt;0 OR INSTR(CAST(X."&amp;F83&amp;" AS STRING),'[')&gt;0 OR INSTR(CAST(X."&amp;F83&amp;" AS STRING),'')&gt;0 OR INSTR(CAST(X."&amp;F83&amp;" AS STRING),']')&gt;0 OR INSTR(CAST(X."&amp;F83&amp;" AS STRING),'?')&gt;0 OR INSTR(CAST(X."&amp;F83&amp;" AS STRING),'!')&gt;0 OR INSTR(CAST(X."&amp;F83&amp;" AS STRING),'$')&gt;0 OR INSTR(CAST(X."&amp;F83&amp;" AS STRING),'%')&gt;0 OR INSTR(CAST(X."&amp;F83&amp;" AS STRING),'&amp;')&gt;0 OR INSTR(CAST(X."&amp;F83&amp;" AS STRING),'+')&gt;0,1,0)) AS NUM_REG_DIF,'"&amp;MAX('ID1&amp;5'!K:K)+1&amp;"' AS ID_EXEC, CURRENT_TIMESTAMP() AS TIME_EXEC FROM "&amp;I83,
IF(C83="Missings",+"SELECT '"&amp;UPPER(B83)&amp;"' AS TABELA, '"&amp;UPPER(C83)&amp;"' AS TIPOLOGIA_TESTE,'"&amp;D83&amp;"' AS TABELA_LT,'N/A' AS TABELA_SIMUL,'"&amp;F83&amp;"' AS CAMPO, "&amp;"'${ref_date}' AS REF_DATE, COUNT(*) AS NUM_REG, SUM(IF(TRIM(CAST(X."&amp;F83&amp;" AS STRING)) IN ('0000-00-00','0001-01-01','9999-12-31','MISS','00000','99999999999','99999999999.00','99999999999.000000'),1,0)) AS NUM_REG_DIF,'"&amp;MAX('ID1&amp;5'!K:K)+1&amp;"' AS ID_EXEC, CURRENT_TIMESTAMP() AS TIME_EXEC FROM "&amp;I83,
IF(C83="Not applicable",+"SELECT '"&amp;UPPER(B83)&amp;"' AS TABELA, '"&amp;UPPER(C83)&amp;"' AS TIPOLOGIA_TESTE,'"&amp;D83&amp;"' AS TABELA_LT,'N/A' AS TABELA_SIMUL,'"&amp;F83&amp;"' AS CAMPO, "&amp;"'${ref_date}' AS REF_DATE, COUNT(*) AS NUM_REG, SUM(IF(TRIM(CAST(X."&amp;F83&amp;" AS STRING)) IN ('N/A','11111111111','11111111111.00','11111111111.000000','1111-11-11'),1,0)) AS NUM_REG_DIF,'"&amp;MAX('ID1&amp;5'!K:K)+1&amp;"' AS ID_EXEC, CURRENT_TIMESTAMP() AS TIME_EXEC FROM "&amp;I83,
IF(C83="Valores extremos",+"SELECT '"&amp;UPPER(B83)&amp;"' AS TABELA, '"&amp;UPPER(C83)&amp;"' AS TIPOLOGIA_TESTE,'"&amp;D83&amp;"' AS TABELA_LT,'N/A' AS TABELA_SIMUL,'"&amp;F83&amp;"' AS CAMPO, "&amp;"'${ref_date}' AS REF_DATE, CAST(MIN("&amp;F83&amp;") AS STRING) AS VALOR_MIN, CAST(MAX("&amp;F83&amp;") AS STRING) AS VALOR_MAX,'"&amp;MAX('ID1&amp;5'!K:K)+1&amp;"' AS ID_EXEC, CURRENT_TIMESTAMP() AS TIME_EXEC FROM "&amp;MID(I83,1,LEN(I83)-2)&amp;" AND CAST("&amp;F83&amp;"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TABELA_SIMUL,'EMSSNS_SCP1_PRTCTN' AS CAMPO, '${ref_date}' AS REF_DATE, COUNT(*) AS NUM_REG, SUM(IF((ABS(COALESCE(X.EMSSNS_SCP1_PRTCTN,0)-COALESCE(Y.EMSSNS_SCP1_PRTCTN_SIMUL,0))&gt;0.0000000001) OR (X.EMSSNS_SCP1_PRTCTN IS NULL AND Y.EMSSNS_SCP1_PRTCTN_SIMUL IS NOT NULL ) OR (X.EMSSNS_SCP1_PRTCTN IS NOT NULL AND Y.EMSSNS_SCP1_PRTCTN_SIMUL IS NULL),1,0)) AS NUM_REG_DIF,'10' AS ID_EXEC, CURRENT_TIMESTAMP() AS TIME_EXEC FROM (SELECT prtctn_id, EMSSNS_SCP1_PRTCTN FROM BU_LOANTAPE_WORK.LT004_PROTECTION WHERE ref_date='${ref_date}' AND nome_perimetro='Individual Corporativo' AND segmento='ESTR' AND ambito='PILAR3')X INNER JOIN (SELECT prtctn_id AS prtctn_id_SIMUL, EMSSNS_SCP1_PRTCTN AS EMSSNS_SCP1_PRTCTN_SIMUL FROM BU_LOANTAPE_WORK.LT004_PROTECTION_P3_NOV24)Y ON X.PRTCTN_ID=Y.PRTCTN_ID_SIMUL</v>
      </c>
      <c r="M83" s="43" t="str">
        <f t="shared" si="1"/>
        <v>UNION ALL SELECT 'PROTECTION' AS TABELA, 'COERÊNCIA' AS TIPOLOGIA_TESTE,'BU_LOANTAPE_WORK.LT004_PROTECTION' AS TABELA_LT,'BU_LOANTAPE_WORK.LT004_PROTECTION_P3_NOV24' AS TABELA_SIMUL,'EMSSNS_SCP1_PRTCTN' AS CAMPO, '${ref_date}' AS REF_DATE, COUNT(*) AS NUM_REG, SUM(IF((ABS(COALESCE(X.EMSSNS_SCP1_PRTCTN,0)-COALESCE(Y.EMSSNS_SCP1_PRTCTN_SIMUL,0))&gt;0.0000000001) OR (X.EMSSNS_SCP1_PRTCTN IS NULL AND Y.EMSSNS_SCP1_PRTCTN_SIMUL IS NOT NULL ) OR (X.EMSSNS_SCP1_PRTCTN IS NOT NULL AND Y.EMSSNS_SCP1_PRTCTN_SIMUL IS NULL),1,0)) AS NUM_REG_DIF,'10' AS ID_EXEC, CURRENT_TIMESTAMP() AS TIME_EXEC FROM (SELECT prtctn_id, EMSSNS_SCP1_PRTCTN FROM BU_LOANTAPE_WORK.LT004_PROTECTION WHERE ref_date='${ref_date}' AND nome_perimetro='Individual Corporativo' AND segmento='ESTR' AND ambito='PILAR3')X INNER JOIN (SELECT prtctn_id AS prtctn_id_SIMUL, EMSSNS_SCP1_PRTCTN AS EMSSNS_SCP1_PRTCTN_SIMUL FROM BU_LOANTAPE_WORK.LT004_PROTECTION_P3_NOV24)Y ON X.PRTCTN_ID=Y.PRTCTN_ID_SIMUL</v>
      </c>
      <c r="N83" s="45" t="s">
        <v>13</v>
      </c>
    </row>
    <row r="84" spans="2:14">
      <c r="B84" s="41" t="s">
        <v>31</v>
      </c>
      <c r="C84" s="41" t="s">
        <v>74</v>
      </c>
      <c r="D84" s="41" t="str">
        <f>+UPPER('0. Instruções'!$D$33&amp;"."&amp;VLOOKUP(B84,'0. Instruções'!$C$27:$D$31,2,FALSE))</f>
        <v>BU_LOANTAPE_WORK.LT004_PROTECTION</v>
      </c>
      <c r="E84" s="41" t="str">
        <f>+UPPER('0. Instruções'!$D$34&amp;"."&amp;VLOOKUP(B84,'0. Instruções'!$C$27:$E$31,3,FALSE))</f>
        <v>BU_LOANTAPE_WORK.LT004_PROTECTION_P3_NOV24</v>
      </c>
      <c r="F84" s="41" t="s">
        <v>140</v>
      </c>
      <c r="G84" s="41" t="s">
        <v>210</v>
      </c>
      <c r="H84" s="41"/>
      <c r="I84" s="41" t="str">
        <f>"(SELECT "&amp;VLOOKUP(B84,'0. Instruções'!$C$27:$G$31,4,FALSE)&amp;", "&amp;F84&amp;" FROM "&amp;D84&amp;" WHERE "&amp;'0. Instruções'!$D$40&amp;")X"</f>
        <v>(SELECT prtctn_id, EMSSNS_SCP2_PRTCTN FROM BU_LOANTAPE_WORK.LT004_PROTECTION WHERE ref_date='${ref_date}' AND nome_perimetro='Individual Corporativo' AND segmento='ESTR' AND ambito='PILAR3')X</v>
      </c>
      <c r="J84" s="41" t="str">
        <f>"(SELECT "&amp;VLOOKUP(B84,'0. Instruções'!$C$27:$G$31,4,FALSE)&amp;" AS "&amp;VLOOKUP(B84,'0. Instruções'!$C$27:$G$31,4,FALSE)&amp;"_SIMUL, "&amp;F84&amp;" AS "&amp;F84&amp;"_SIMUL FROM "&amp;E84&amp;")Y"</f>
        <v>(SELECT prtctn_id AS prtctn_id_SIMUL, EMSSNS_SCP2_PRTCTN AS EMSSNS_SCP2_PRTCTN_SIMUL FROM BU_LOANTAPE_WORK.LT004_PROTECTION_P3_NOV24)Y</v>
      </c>
      <c r="K84" s="42" t="str">
        <f>+UPPER("ON X."&amp;VLOOKUP(B84,'0. Instruções'!$C$27:$G$31,4,FALSE)&amp;"=Y."&amp;VLOOKUP(B84,'0. Instruções'!$C$27:$G$31,4,FALSE)&amp;"_SIMUL")</f>
        <v>ON X.PRTCTN_ID=Y.PRTCTN_ID_SIMUL</v>
      </c>
      <c r="L84" s="42" t="str">
        <f>+IF(C84="Coerência", +IF(LEFT(G84,5)="FLOAT","SELECT '"&amp;UPPER(B84)&amp;"' AS TABELA, '"&amp;UPPER(C84)&amp;"' AS TIPOLOGIA_TESTE,'"&amp;D84&amp;"' AS TABELA_LT,'"&amp;E84&amp;"' AS TABELA_SIMUL,'"&amp;F84&amp;"' AS CAMPO, "&amp;"'${ref_date}' AS REF_DATE, COUNT(*) AS NUM_REG, SUM(IF((ABS(COALESCE(X."&amp;F84&amp;",0)-COALESCE(Y."&amp;F84&amp;"_SIMUL,0))&gt;0.0000000001) OR (X."&amp;F84&amp;" IS NULL AND Y."&amp;F84&amp;"_SIMUL IS NOT NULL ) OR (X."&amp;F84&amp;" IS NOT NULL AND Y."&amp;F84&amp;"_SIMUL IS NULL),1,0)) AS NUM_REG_DIF,'"&amp;MAX('ID1&amp;5'!K:K)+1&amp;"' AS ID_EXEC, CURRENT_TIMESTAMP() AS TIME_EXEC FROM "&amp;I84&amp;" INNER JOIN "&amp;J84&amp;" "&amp;K84,"SELECT '"&amp;UPPER(B84)&amp;"' AS TABELA, '"&amp;UPPER(C84)&amp;"' AS TIPOLOGIA_TESTE,'"&amp;D84&amp;"' AS TABELA_LT,'"&amp;E84&amp;"' AS TABELA_SIMUL,'"&amp;F84&amp;"' AS CAMPO, "&amp;"'${ref_date}' AS REF_DATE, COUNT(*) AS NUM_REG, SUM(IF(COALESCE(CAST(X."&amp;F84&amp;" AS STRING),'')&lt;&gt;COALESCE(CAST(Y."&amp;F84&amp;"_SIMUL AS STRING),''),1,0)) AS NUM_REG_DIF,'"&amp;MAX('ID1&amp;5'!L:L)+1&amp;"' AS ID_EXEC, CURRENT_TIMESTAMP() AS TIME_EXEC FROM "&amp;I84&amp;" INNER JOIN "&amp;J84&amp;" "&amp;K84),
IF(C84="Validade",+IF(G84="Code List","SELECT '"&amp;UPPER(B84)&amp;"' AS TABELA, '"&amp;UPPER(C84)&amp;"' AS TIPOLOGIA_TESTE,'"&amp;D84&amp;"' AS TABELA_LT,'N/A' AS TABELA_SIMUL,'"&amp;F84&amp;"' AS CAMPO, "&amp;"'${ref_date}' AS REF_DATE, COUNT(*) AS NUM_REG, SUM(IF(TRIM(CAST(X."&amp;F84&amp;" AS STRING))='' OR TRIM(CAST(X."&amp;F84&amp;" AS STRING)) IS NULL OR CAST(X."&amp;F84&amp;" AS STRING) NOT "&amp;H84&amp;",1,0)) AS NUM_REG_DIF,'"&amp;MAX('ID1&amp;5'!K:K)+1&amp;"' AS ID_EXEC, CURRENT_TIMESTAMP() AS TIME_EXEC FROM "&amp;I84,"SELECT '"&amp;UPPER(B84)&amp;"' AS TABELA, '"&amp;UPPER(C84)&amp;"' AS TIPOLOGIA_TESTE,'"&amp;D84&amp;"' AS TABELA_LT,'N/A' AS TABELA_SIMUL,'"&amp;F84&amp;"' AS CAMPO, "&amp;"'${ref_date}' AS REF_DATE, COUNT(*) AS NUM_REG, SUM(IF(TRIM(CAST(X."&amp;F84&amp;" AS STRING))='' OR TRIM(CAST(X."&amp;F84&amp;" AS STRING)) IS NULL,1,0)) AS NUM_REG_DIF,'"&amp;MAX('ID1&amp;5'!K:K)+1&amp;"' AS ID_EXEC, CURRENT_TIMESTAMP() AS TIME_EXEC FROM "&amp;I84),
IF(C84="Caracteres Especiais",+"SELECT '"&amp;UPPER(B84)&amp;"' AS TABELA, '"&amp;UPPER(C84)&amp;"' AS TIPOLOGIA_TESTE,'"&amp;D84&amp;"' AS TABELA_LT,'N/A' AS TABELA_SIMUL,'"&amp;F84&amp;"' AS CAMPO, "&amp;"'${ref_date}' AS REF_DATE, COUNT(*) AS NUM_REG, SUM(IF(INSTR(CAST(X."&amp;F84&amp;" AS STRING),'#')&gt;0 OR INSTR(CAST(X."&amp;F84&amp;" AS STRING),'*')&gt;0 OR INSTR(CAST(X."&amp;F84&amp;" AS STRING),'`')&gt;0 OR INSTR(CAST(X."&amp;F84&amp;" AS STRING),'´')&gt;0 OR INSTR(CAST(X."&amp;F84&amp;" AS STRING),'{')&gt;0 OR INSTR(CAST(X."&amp;F84&amp;" AS STRING),'}')&gt;0 OR INSTR(CAST(X."&amp;F84&amp;" AS STRING),'[')&gt;0 OR INSTR(CAST(X."&amp;F84&amp;" AS STRING),'')&gt;0 OR INSTR(CAST(X."&amp;F84&amp;" AS STRING),']')&gt;0 OR INSTR(CAST(X."&amp;F84&amp;" AS STRING),'?')&gt;0 OR INSTR(CAST(X."&amp;F84&amp;" AS STRING),'!')&gt;0 OR INSTR(CAST(X."&amp;F84&amp;" AS STRING),'$')&gt;0 OR INSTR(CAST(X."&amp;F84&amp;" AS STRING),'%')&gt;0 OR INSTR(CAST(X."&amp;F84&amp;" AS STRING),'&amp;')&gt;0 OR INSTR(CAST(X."&amp;F84&amp;" AS STRING),'+')&gt;0,1,0)) AS NUM_REG_DIF,'"&amp;MAX('ID1&amp;5'!K:K)+1&amp;"' AS ID_EXEC, CURRENT_TIMESTAMP() AS TIME_EXEC FROM "&amp;I84,
IF(C84="Missings",+"SELECT '"&amp;UPPER(B84)&amp;"' AS TABELA, '"&amp;UPPER(C84)&amp;"' AS TIPOLOGIA_TESTE,'"&amp;D84&amp;"' AS TABELA_LT,'N/A' AS TABELA_SIMUL,'"&amp;F84&amp;"' AS CAMPO, "&amp;"'${ref_date}' AS REF_DATE, COUNT(*) AS NUM_REG, SUM(IF(TRIM(CAST(X."&amp;F84&amp;" AS STRING)) IN ('0000-00-00','0001-01-01','9999-12-31','MISS','00000','99999999999','99999999999.00','99999999999.000000'),1,0)) AS NUM_REG_DIF,'"&amp;MAX('ID1&amp;5'!K:K)+1&amp;"' AS ID_EXEC, CURRENT_TIMESTAMP() AS TIME_EXEC FROM "&amp;I84,
IF(C84="Not applicable",+"SELECT '"&amp;UPPER(B84)&amp;"' AS TABELA, '"&amp;UPPER(C84)&amp;"' AS TIPOLOGIA_TESTE,'"&amp;D84&amp;"' AS TABELA_LT,'N/A' AS TABELA_SIMUL,'"&amp;F84&amp;"' AS CAMPO, "&amp;"'${ref_date}' AS REF_DATE, COUNT(*) AS NUM_REG, SUM(IF(TRIM(CAST(X."&amp;F84&amp;" AS STRING)) IN ('N/A','11111111111','11111111111.00','11111111111.000000','1111-11-11'),1,0)) AS NUM_REG_DIF,'"&amp;MAX('ID1&amp;5'!K:K)+1&amp;"' AS ID_EXEC, CURRENT_TIMESTAMP() AS TIME_EXEC FROM "&amp;I84,
IF(C84="Valores extremos",+"SELECT '"&amp;UPPER(B84)&amp;"' AS TABELA, '"&amp;UPPER(C84)&amp;"' AS TIPOLOGIA_TESTE,'"&amp;D84&amp;"' AS TABELA_LT,'N/A' AS TABELA_SIMUL,'"&amp;F84&amp;"' AS CAMPO, "&amp;"'${ref_date}' AS REF_DATE, CAST(MIN("&amp;F84&amp;") AS STRING) AS VALOR_MIN, CAST(MAX("&amp;F84&amp;") AS STRING) AS VALOR_MAX,'"&amp;MAX('ID1&amp;5'!K:K)+1&amp;"' AS ID_EXEC, CURRENT_TIMESTAMP() AS TIME_EXEC FROM "&amp;MID(I84,1,LEN(I84)-2)&amp;" AND CAST("&amp;F84&amp;"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TABELA_SIMUL,'EMSSNS_SCP2_PRTCTN' AS CAMPO, '${ref_date}' AS REF_DATE, COUNT(*) AS NUM_REG, SUM(IF((ABS(COALESCE(X.EMSSNS_SCP2_PRTCTN,0)-COALESCE(Y.EMSSNS_SCP2_PRTCTN_SIMUL,0))&gt;0.0000000001) OR (X.EMSSNS_SCP2_PRTCTN IS NULL AND Y.EMSSNS_SCP2_PRTCTN_SIMUL IS NOT NULL ) OR (X.EMSSNS_SCP2_PRTCTN IS NOT NULL AND Y.EMSSNS_SCP2_PRTCTN_SIMUL IS NULL),1,0)) AS NUM_REG_DIF,'10' AS ID_EXEC, CURRENT_TIMESTAMP() AS TIME_EXEC FROM (SELECT prtctn_id, EMSSNS_SCP2_PRTCTN FROM BU_LOANTAPE_WORK.LT004_PROTECTION WHERE ref_date='${ref_date}' AND nome_perimetro='Individual Corporativo' AND segmento='ESTR' AND ambito='PILAR3')X INNER JOIN (SELECT prtctn_id AS prtctn_id_SIMUL, EMSSNS_SCP2_PRTCTN AS EMSSNS_SCP2_PRTCTN_SIMUL FROM BU_LOANTAPE_WORK.LT004_PROTECTION_P3_NOV24)Y ON X.PRTCTN_ID=Y.PRTCTN_ID_SIMUL</v>
      </c>
      <c r="M84" s="43" t="str">
        <f t="shared" si="1"/>
        <v>UNION ALL SELECT 'PROTECTION' AS TABELA, 'COERÊNCIA' AS TIPOLOGIA_TESTE,'BU_LOANTAPE_WORK.LT004_PROTECTION' AS TABELA_LT,'BU_LOANTAPE_WORK.LT004_PROTECTION_P3_NOV24' AS TABELA_SIMUL,'EMSSNS_SCP2_PRTCTN' AS CAMPO, '${ref_date}' AS REF_DATE, COUNT(*) AS NUM_REG, SUM(IF((ABS(COALESCE(X.EMSSNS_SCP2_PRTCTN,0)-COALESCE(Y.EMSSNS_SCP2_PRTCTN_SIMUL,0))&gt;0.0000000001) OR (X.EMSSNS_SCP2_PRTCTN IS NULL AND Y.EMSSNS_SCP2_PRTCTN_SIMUL IS NOT NULL ) OR (X.EMSSNS_SCP2_PRTCTN IS NOT NULL AND Y.EMSSNS_SCP2_PRTCTN_SIMUL IS NULL),1,0)) AS NUM_REG_DIF,'10' AS ID_EXEC, CURRENT_TIMESTAMP() AS TIME_EXEC FROM (SELECT prtctn_id, EMSSNS_SCP2_PRTCTN FROM BU_LOANTAPE_WORK.LT004_PROTECTION WHERE ref_date='${ref_date}' AND nome_perimetro='Individual Corporativo' AND segmento='ESTR' AND ambito='PILAR3')X INNER JOIN (SELECT prtctn_id AS prtctn_id_SIMUL, EMSSNS_SCP2_PRTCTN AS EMSSNS_SCP2_PRTCTN_SIMUL FROM BU_LOANTAPE_WORK.LT004_PROTECTION_P3_NOV24)Y ON X.PRTCTN_ID=Y.PRTCTN_ID_SIMUL</v>
      </c>
      <c r="N84" s="45" t="s">
        <v>13</v>
      </c>
    </row>
    <row r="85" spans="2:14">
      <c r="B85" s="41" t="s">
        <v>31</v>
      </c>
      <c r="C85" s="41" t="s">
        <v>74</v>
      </c>
      <c r="D85" s="41" t="str">
        <f>+UPPER('0. Instruções'!$D$33&amp;"."&amp;VLOOKUP(B85,'0. Instruções'!$C$27:$D$31,2,FALSE))</f>
        <v>BU_LOANTAPE_WORK.LT004_PROTECTION</v>
      </c>
      <c r="E85" s="41" t="str">
        <f>+UPPER('0. Instruções'!$D$34&amp;"."&amp;VLOOKUP(B85,'0. Instruções'!$C$27:$E$31,3,FALSE))</f>
        <v>BU_LOANTAPE_WORK.LT004_PROTECTION_P3_NOV24</v>
      </c>
      <c r="F85" s="41" t="s">
        <v>141</v>
      </c>
      <c r="G85" s="41" t="s">
        <v>210</v>
      </c>
      <c r="H85" s="41"/>
      <c r="I85" s="41" t="str">
        <f>"(SELECT "&amp;VLOOKUP(B85,'0. Instruções'!$C$27:$G$31,4,FALSE)&amp;", "&amp;F85&amp;" FROM "&amp;D85&amp;" WHERE "&amp;'0. Instruções'!$D$40&amp;")X"</f>
        <v>(SELECT prtctn_id, EMSSNS_SCP3_PRTCTN FROM BU_LOANTAPE_WORK.LT004_PROTECTION WHERE ref_date='${ref_date}' AND nome_perimetro='Individual Corporativo' AND segmento='ESTR' AND ambito='PILAR3')X</v>
      </c>
      <c r="J85" s="41" t="str">
        <f>"(SELECT "&amp;VLOOKUP(B85,'0. Instruções'!$C$27:$G$31,4,FALSE)&amp;" AS "&amp;VLOOKUP(B85,'0. Instruções'!$C$27:$G$31,4,FALSE)&amp;"_SIMUL, "&amp;F85&amp;" AS "&amp;F85&amp;"_SIMUL FROM "&amp;E85&amp;")Y"</f>
        <v>(SELECT prtctn_id AS prtctn_id_SIMUL, EMSSNS_SCP3_PRTCTN AS EMSSNS_SCP3_PRTCTN_SIMUL FROM BU_LOANTAPE_WORK.LT004_PROTECTION_P3_NOV24)Y</v>
      </c>
      <c r="K85" s="42" t="str">
        <f>+UPPER("ON X."&amp;VLOOKUP(B85,'0. Instruções'!$C$27:$G$31,4,FALSE)&amp;"=Y."&amp;VLOOKUP(B85,'0. Instruções'!$C$27:$G$31,4,FALSE)&amp;"_SIMUL")</f>
        <v>ON X.PRTCTN_ID=Y.PRTCTN_ID_SIMUL</v>
      </c>
      <c r="L85" s="42" t="str">
        <f>+IF(C85="Coerência", +IF(LEFT(G85,5)="FLOAT","SELECT '"&amp;UPPER(B85)&amp;"' AS TABELA, '"&amp;UPPER(C85)&amp;"' AS TIPOLOGIA_TESTE,'"&amp;D85&amp;"' AS TABELA_LT,'"&amp;E85&amp;"' AS TABELA_SIMUL,'"&amp;F85&amp;"' AS CAMPO, "&amp;"'${ref_date}' AS REF_DATE, COUNT(*) AS NUM_REG, SUM(IF((ABS(COALESCE(X."&amp;F85&amp;",0)-COALESCE(Y."&amp;F85&amp;"_SIMUL,0))&gt;0.0000000001) OR (X."&amp;F85&amp;" IS NULL AND Y."&amp;F85&amp;"_SIMUL IS NOT NULL ) OR (X."&amp;F85&amp;" IS NOT NULL AND Y."&amp;F85&amp;"_SIMUL IS NULL),1,0)) AS NUM_REG_DIF,'"&amp;MAX('ID1&amp;5'!K:K)+1&amp;"' AS ID_EXEC, CURRENT_TIMESTAMP() AS TIME_EXEC FROM "&amp;I85&amp;" INNER JOIN "&amp;J85&amp;" "&amp;K85,"SELECT '"&amp;UPPER(B85)&amp;"' AS TABELA, '"&amp;UPPER(C85)&amp;"' AS TIPOLOGIA_TESTE,'"&amp;D85&amp;"' AS TABELA_LT,'"&amp;E85&amp;"' AS TABELA_SIMUL,'"&amp;F85&amp;"' AS CAMPO, "&amp;"'${ref_date}' AS REF_DATE, COUNT(*) AS NUM_REG, SUM(IF(COALESCE(CAST(X."&amp;F85&amp;" AS STRING),'')&lt;&gt;COALESCE(CAST(Y."&amp;F85&amp;"_SIMUL AS STRING),''),1,0)) AS NUM_REG_DIF,'"&amp;MAX('ID1&amp;5'!L:L)+1&amp;"' AS ID_EXEC, CURRENT_TIMESTAMP() AS TIME_EXEC FROM "&amp;I85&amp;" INNER JOIN "&amp;J85&amp;" "&amp;K85),
IF(C85="Validade",+IF(G85="Code List","SELECT '"&amp;UPPER(B85)&amp;"' AS TABELA, '"&amp;UPPER(C85)&amp;"' AS TIPOLOGIA_TESTE,'"&amp;D85&amp;"' AS TABELA_LT,'N/A' AS TABELA_SIMUL,'"&amp;F85&amp;"' AS CAMPO, "&amp;"'${ref_date}' AS REF_DATE, COUNT(*) AS NUM_REG, SUM(IF(TRIM(CAST(X."&amp;F85&amp;" AS STRING))='' OR TRIM(CAST(X."&amp;F85&amp;" AS STRING)) IS NULL OR CAST(X."&amp;F85&amp;" AS STRING) NOT "&amp;H85&amp;",1,0)) AS NUM_REG_DIF,'"&amp;MAX('ID1&amp;5'!K:K)+1&amp;"' AS ID_EXEC, CURRENT_TIMESTAMP() AS TIME_EXEC FROM "&amp;I85,"SELECT '"&amp;UPPER(B85)&amp;"' AS TABELA, '"&amp;UPPER(C85)&amp;"' AS TIPOLOGIA_TESTE,'"&amp;D85&amp;"' AS TABELA_LT,'N/A' AS TABELA_SIMUL,'"&amp;F85&amp;"' AS CAMPO, "&amp;"'${ref_date}' AS REF_DATE, COUNT(*) AS NUM_REG, SUM(IF(TRIM(CAST(X."&amp;F85&amp;" AS STRING))='' OR TRIM(CAST(X."&amp;F85&amp;" AS STRING)) IS NULL,1,0)) AS NUM_REG_DIF,'"&amp;MAX('ID1&amp;5'!K:K)+1&amp;"' AS ID_EXEC, CURRENT_TIMESTAMP() AS TIME_EXEC FROM "&amp;I85),
IF(C85="Caracteres Especiais",+"SELECT '"&amp;UPPER(B85)&amp;"' AS TABELA, '"&amp;UPPER(C85)&amp;"' AS TIPOLOGIA_TESTE,'"&amp;D85&amp;"' AS TABELA_LT,'N/A' AS TABELA_SIMUL,'"&amp;F85&amp;"' AS CAMPO, "&amp;"'${ref_date}' AS REF_DATE, COUNT(*) AS NUM_REG, SUM(IF(INSTR(CAST(X."&amp;F85&amp;" AS STRING),'#')&gt;0 OR INSTR(CAST(X."&amp;F85&amp;" AS STRING),'*')&gt;0 OR INSTR(CAST(X."&amp;F85&amp;" AS STRING),'`')&gt;0 OR INSTR(CAST(X."&amp;F85&amp;" AS STRING),'´')&gt;0 OR INSTR(CAST(X."&amp;F85&amp;" AS STRING),'{')&gt;0 OR INSTR(CAST(X."&amp;F85&amp;" AS STRING),'}')&gt;0 OR INSTR(CAST(X."&amp;F85&amp;" AS STRING),'[')&gt;0 OR INSTR(CAST(X."&amp;F85&amp;" AS STRING),'')&gt;0 OR INSTR(CAST(X."&amp;F85&amp;" AS STRING),']')&gt;0 OR INSTR(CAST(X."&amp;F85&amp;" AS STRING),'?')&gt;0 OR INSTR(CAST(X."&amp;F85&amp;" AS STRING),'!')&gt;0 OR INSTR(CAST(X."&amp;F85&amp;" AS STRING),'$')&gt;0 OR INSTR(CAST(X."&amp;F85&amp;" AS STRING),'%')&gt;0 OR INSTR(CAST(X."&amp;F85&amp;" AS STRING),'&amp;')&gt;0 OR INSTR(CAST(X."&amp;F85&amp;" AS STRING),'+')&gt;0,1,0)) AS NUM_REG_DIF,'"&amp;MAX('ID1&amp;5'!K:K)+1&amp;"' AS ID_EXEC, CURRENT_TIMESTAMP() AS TIME_EXEC FROM "&amp;I85,
IF(C85="Missings",+"SELECT '"&amp;UPPER(B85)&amp;"' AS TABELA, '"&amp;UPPER(C85)&amp;"' AS TIPOLOGIA_TESTE,'"&amp;D85&amp;"' AS TABELA_LT,'N/A' AS TABELA_SIMUL,'"&amp;F85&amp;"' AS CAMPO, "&amp;"'${ref_date}' AS REF_DATE, COUNT(*) AS NUM_REG, SUM(IF(TRIM(CAST(X."&amp;F85&amp;" AS STRING)) IN ('0000-00-00','0001-01-01','9999-12-31','MISS','00000','99999999999','99999999999.00','99999999999.000000'),1,0)) AS NUM_REG_DIF,'"&amp;MAX('ID1&amp;5'!K:K)+1&amp;"' AS ID_EXEC, CURRENT_TIMESTAMP() AS TIME_EXEC FROM "&amp;I85,
IF(C85="Not applicable",+"SELECT '"&amp;UPPER(B85)&amp;"' AS TABELA, '"&amp;UPPER(C85)&amp;"' AS TIPOLOGIA_TESTE,'"&amp;D85&amp;"' AS TABELA_LT,'N/A' AS TABELA_SIMUL,'"&amp;F85&amp;"' AS CAMPO, "&amp;"'${ref_date}' AS REF_DATE, COUNT(*) AS NUM_REG, SUM(IF(TRIM(CAST(X."&amp;F85&amp;" AS STRING)) IN ('N/A','11111111111','11111111111.00','11111111111.000000','1111-11-11'),1,0)) AS NUM_REG_DIF,'"&amp;MAX('ID1&amp;5'!K:K)+1&amp;"' AS ID_EXEC, CURRENT_TIMESTAMP() AS TIME_EXEC FROM "&amp;I85,
IF(C85="Valores extremos",+"SELECT '"&amp;UPPER(B85)&amp;"' AS TABELA, '"&amp;UPPER(C85)&amp;"' AS TIPOLOGIA_TESTE,'"&amp;D85&amp;"' AS TABELA_LT,'N/A' AS TABELA_SIMUL,'"&amp;F85&amp;"' AS CAMPO, "&amp;"'${ref_date}' AS REF_DATE, CAST(MIN("&amp;F85&amp;") AS STRING) AS VALOR_MIN, CAST(MAX("&amp;F85&amp;") AS STRING) AS VALOR_MAX,'"&amp;MAX('ID1&amp;5'!K:K)+1&amp;"' AS ID_EXEC, CURRENT_TIMESTAMP() AS TIME_EXEC FROM "&amp;MID(I85,1,LEN(I85)-2)&amp;" AND CAST("&amp;F85&amp;"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TABELA_SIMUL,'EMSSNS_SCP3_PRTCTN' AS CAMPO, '${ref_date}' AS REF_DATE, COUNT(*) AS NUM_REG, SUM(IF((ABS(COALESCE(X.EMSSNS_SCP3_PRTCTN,0)-COALESCE(Y.EMSSNS_SCP3_PRTCTN_SIMUL,0))&gt;0.0000000001) OR (X.EMSSNS_SCP3_PRTCTN IS NULL AND Y.EMSSNS_SCP3_PRTCTN_SIMUL IS NOT NULL ) OR (X.EMSSNS_SCP3_PRTCTN IS NOT NULL AND Y.EMSSNS_SCP3_PRTCTN_SIMUL IS NULL),1,0)) AS NUM_REG_DIF,'10' AS ID_EXEC, CURRENT_TIMESTAMP() AS TIME_EXEC FROM (SELECT prtctn_id, EMSSNS_SCP3_PRTCTN FROM BU_LOANTAPE_WORK.LT004_PROTECTION WHERE ref_date='${ref_date}' AND nome_perimetro='Individual Corporativo' AND segmento='ESTR' AND ambito='PILAR3')X INNER JOIN (SELECT prtctn_id AS prtctn_id_SIMUL, EMSSNS_SCP3_PRTCTN AS EMSSNS_SCP3_PRTCTN_SIMUL FROM BU_LOANTAPE_WORK.LT004_PROTECTION_P3_NOV24)Y ON X.PRTCTN_ID=Y.PRTCTN_ID_SIMUL</v>
      </c>
      <c r="M85" s="43" t="str">
        <f t="shared" si="1"/>
        <v>UNION ALL SELECT 'PROTECTION' AS TABELA, 'COERÊNCIA' AS TIPOLOGIA_TESTE,'BU_LOANTAPE_WORK.LT004_PROTECTION' AS TABELA_LT,'BU_LOANTAPE_WORK.LT004_PROTECTION_P3_NOV24' AS TABELA_SIMUL,'EMSSNS_SCP3_PRTCTN' AS CAMPO, '${ref_date}' AS REF_DATE, COUNT(*) AS NUM_REG, SUM(IF((ABS(COALESCE(X.EMSSNS_SCP3_PRTCTN,0)-COALESCE(Y.EMSSNS_SCP3_PRTCTN_SIMUL,0))&gt;0.0000000001) OR (X.EMSSNS_SCP3_PRTCTN IS NULL AND Y.EMSSNS_SCP3_PRTCTN_SIMUL IS NOT NULL ) OR (X.EMSSNS_SCP3_PRTCTN IS NOT NULL AND Y.EMSSNS_SCP3_PRTCTN_SIMUL IS NULL),1,0)) AS NUM_REG_DIF,'10' AS ID_EXEC, CURRENT_TIMESTAMP() AS TIME_EXEC FROM (SELECT prtctn_id, EMSSNS_SCP3_PRTCTN FROM BU_LOANTAPE_WORK.LT004_PROTECTION WHERE ref_date='${ref_date}' AND nome_perimetro='Individual Corporativo' AND segmento='ESTR' AND ambito='PILAR3')X INNER JOIN (SELECT prtctn_id AS prtctn_id_SIMUL, EMSSNS_SCP3_PRTCTN AS EMSSNS_SCP3_PRTCTN_SIMUL FROM BU_LOANTAPE_WORK.LT004_PROTECTION_P3_NOV24)Y ON X.PRTCTN_ID=Y.PRTCTN_ID_SIMUL</v>
      </c>
      <c r="N85" s="45" t="s">
        <v>13</v>
      </c>
    </row>
    <row r="86" spans="2:14">
      <c r="B86" s="41" t="s">
        <v>31</v>
      </c>
      <c r="C86" s="41" t="s">
        <v>74</v>
      </c>
      <c r="D86" s="41" t="str">
        <f>+UPPER('0. Instruções'!$D$33&amp;"."&amp;VLOOKUP(B86,'0. Instruções'!$C$27:$D$31,2,FALSE))</f>
        <v>BU_LOANTAPE_WORK.LT004_PROTECTION</v>
      </c>
      <c r="E86" s="41" t="str">
        <f>+UPPER('0. Instruções'!$D$34&amp;"."&amp;VLOOKUP(B86,'0. Instruções'!$C$27:$E$31,3,FALSE))</f>
        <v>BU_LOANTAPE_WORK.LT004_PROTECTION_P3_NOV24</v>
      </c>
      <c r="F86" s="41" t="s">
        <v>142</v>
      </c>
      <c r="G86" s="41" t="s">
        <v>209</v>
      </c>
      <c r="H86" s="41"/>
      <c r="I86" s="41" t="str">
        <f>"(SELECT "&amp;VLOOKUP(B86,'0. Instruções'!$C$27:$G$31,4,FALSE)&amp;", "&amp;F86&amp;" FROM "&amp;D86&amp;" WHERE "&amp;'0. Instruções'!$D$40&amp;")X"</f>
        <v>(SELECT prtctn_id, MTHD_USD_PRTCTN_SCP_1 FROM BU_LOANTAPE_WORK.LT004_PROTECTION WHERE ref_date='${ref_date}' AND nome_perimetro='Individual Corporativo' AND segmento='ESTR' AND ambito='PILAR3')X</v>
      </c>
      <c r="J86" s="41" t="str">
        <f>"(SELECT "&amp;VLOOKUP(B86,'0. Instruções'!$C$27:$G$31,4,FALSE)&amp;" AS "&amp;VLOOKUP(B86,'0. Instruções'!$C$27:$G$31,4,FALSE)&amp;"_SIMUL, "&amp;F86&amp;" AS "&amp;F86&amp;"_SIMUL FROM "&amp;E86&amp;")Y"</f>
        <v>(SELECT prtctn_id AS prtctn_id_SIMUL, MTHD_USD_PRTCTN_SCP_1 AS MTHD_USD_PRTCTN_SCP_1_SIMUL FROM BU_LOANTAPE_WORK.LT004_PROTECTION_P3_NOV24)Y</v>
      </c>
      <c r="K86" s="42" t="str">
        <f>+UPPER("ON X."&amp;VLOOKUP(B86,'0. Instruções'!$C$27:$G$31,4,FALSE)&amp;"=Y."&amp;VLOOKUP(B86,'0. Instruções'!$C$27:$G$31,4,FALSE)&amp;"_SIMUL")</f>
        <v>ON X.PRTCTN_ID=Y.PRTCTN_ID_SIMUL</v>
      </c>
      <c r="L86" s="42" t="str">
        <f>+IF(C86="Coerência", +IF(LEFT(G86,5)="FLOAT","SELECT '"&amp;UPPER(B86)&amp;"' AS TABELA, '"&amp;UPPER(C86)&amp;"' AS TIPOLOGIA_TESTE,'"&amp;D86&amp;"' AS TABELA_LT,'"&amp;E86&amp;"' AS TABELA_SIMUL,'"&amp;F86&amp;"' AS CAMPO, "&amp;"'${ref_date}' AS REF_DATE, COUNT(*) AS NUM_REG, SUM(IF((ABS(COALESCE(X."&amp;F86&amp;",0)-COALESCE(Y."&amp;F86&amp;"_SIMUL,0))&gt;0.0000000001) OR (X."&amp;F86&amp;" IS NULL AND Y."&amp;F86&amp;"_SIMUL IS NOT NULL ) OR (X."&amp;F86&amp;" IS NOT NULL AND Y."&amp;F86&amp;"_SIMUL IS NULL),1,0)) AS NUM_REG_DIF,'"&amp;MAX('ID1&amp;5'!K:K)+1&amp;"' AS ID_EXEC, CURRENT_TIMESTAMP() AS TIME_EXEC FROM "&amp;I86&amp;" INNER JOIN "&amp;J86&amp;" "&amp;K86,"SELECT '"&amp;UPPER(B86)&amp;"' AS TABELA, '"&amp;UPPER(C86)&amp;"' AS TIPOLOGIA_TESTE,'"&amp;D86&amp;"' AS TABELA_LT,'"&amp;E86&amp;"' AS TABELA_SIMUL,'"&amp;F86&amp;"' AS CAMPO, "&amp;"'${ref_date}' AS REF_DATE, COUNT(*) AS NUM_REG, SUM(IF(COALESCE(CAST(X."&amp;F86&amp;" AS STRING),'')&lt;&gt;COALESCE(CAST(Y."&amp;F86&amp;"_SIMUL AS STRING),''),1,0)) AS NUM_REG_DIF,'"&amp;MAX('ID1&amp;5'!L:L)+1&amp;"' AS ID_EXEC, CURRENT_TIMESTAMP() AS TIME_EXEC FROM "&amp;I86&amp;" INNER JOIN "&amp;J86&amp;" "&amp;K86),
IF(C86="Validade",+IF(G86="Code List","SELECT '"&amp;UPPER(B86)&amp;"' AS TABELA, '"&amp;UPPER(C86)&amp;"' AS TIPOLOGIA_TESTE,'"&amp;D86&amp;"' AS TABELA_LT,'N/A' AS TABELA_SIMUL,'"&amp;F86&amp;"' AS CAMPO, "&amp;"'${ref_date}' AS REF_DATE, COUNT(*) AS NUM_REG, SUM(IF(TRIM(CAST(X."&amp;F86&amp;" AS STRING))='' OR TRIM(CAST(X."&amp;F86&amp;" AS STRING)) IS NULL OR CAST(X."&amp;F86&amp;" AS STRING) NOT "&amp;H86&amp;",1,0)) AS NUM_REG_DIF,'"&amp;MAX('ID1&amp;5'!K:K)+1&amp;"' AS ID_EXEC, CURRENT_TIMESTAMP() AS TIME_EXEC FROM "&amp;I86,"SELECT '"&amp;UPPER(B86)&amp;"' AS TABELA, '"&amp;UPPER(C86)&amp;"' AS TIPOLOGIA_TESTE,'"&amp;D86&amp;"' AS TABELA_LT,'N/A' AS TABELA_SIMUL,'"&amp;F86&amp;"' AS CAMPO, "&amp;"'${ref_date}' AS REF_DATE, COUNT(*) AS NUM_REG, SUM(IF(TRIM(CAST(X."&amp;F86&amp;" AS STRING))='' OR TRIM(CAST(X."&amp;F86&amp;" AS STRING)) IS NULL,1,0)) AS NUM_REG_DIF,'"&amp;MAX('ID1&amp;5'!K:K)+1&amp;"' AS ID_EXEC, CURRENT_TIMESTAMP() AS TIME_EXEC FROM "&amp;I86),
IF(C86="Caracteres Especiais",+"SELECT '"&amp;UPPER(B86)&amp;"' AS TABELA, '"&amp;UPPER(C86)&amp;"' AS TIPOLOGIA_TESTE,'"&amp;D86&amp;"' AS TABELA_LT,'N/A' AS TABELA_SIMUL,'"&amp;F86&amp;"' AS CAMPO, "&amp;"'${ref_date}' AS REF_DATE, COUNT(*) AS NUM_REG, SUM(IF(INSTR(CAST(X."&amp;F86&amp;" AS STRING),'#')&gt;0 OR INSTR(CAST(X."&amp;F86&amp;" AS STRING),'*')&gt;0 OR INSTR(CAST(X."&amp;F86&amp;" AS STRING),'`')&gt;0 OR INSTR(CAST(X."&amp;F86&amp;" AS STRING),'´')&gt;0 OR INSTR(CAST(X."&amp;F86&amp;" AS STRING),'{')&gt;0 OR INSTR(CAST(X."&amp;F86&amp;" AS STRING),'}')&gt;0 OR INSTR(CAST(X."&amp;F86&amp;" AS STRING),'[')&gt;0 OR INSTR(CAST(X."&amp;F86&amp;" AS STRING),'')&gt;0 OR INSTR(CAST(X."&amp;F86&amp;" AS STRING),']')&gt;0 OR INSTR(CAST(X."&amp;F86&amp;" AS STRING),'?')&gt;0 OR INSTR(CAST(X."&amp;F86&amp;" AS STRING),'!')&gt;0 OR INSTR(CAST(X."&amp;F86&amp;" AS STRING),'$')&gt;0 OR INSTR(CAST(X."&amp;F86&amp;" AS STRING),'%')&gt;0 OR INSTR(CAST(X."&amp;F86&amp;" AS STRING),'&amp;')&gt;0 OR INSTR(CAST(X."&amp;F86&amp;" AS STRING),'+')&gt;0,1,0)) AS NUM_REG_DIF,'"&amp;MAX('ID1&amp;5'!K:K)+1&amp;"' AS ID_EXEC, CURRENT_TIMESTAMP() AS TIME_EXEC FROM "&amp;I86,
IF(C86="Missings",+"SELECT '"&amp;UPPER(B86)&amp;"' AS TABELA, '"&amp;UPPER(C86)&amp;"' AS TIPOLOGIA_TESTE,'"&amp;D86&amp;"' AS TABELA_LT,'N/A' AS TABELA_SIMUL,'"&amp;F86&amp;"' AS CAMPO, "&amp;"'${ref_date}' AS REF_DATE, COUNT(*) AS NUM_REG, SUM(IF(TRIM(CAST(X."&amp;F86&amp;" AS STRING)) IN ('0000-00-00','0001-01-01','9999-12-31','MISS','00000','99999999999','99999999999.00','99999999999.000000'),1,0)) AS NUM_REG_DIF,'"&amp;MAX('ID1&amp;5'!K:K)+1&amp;"' AS ID_EXEC, CURRENT_TIMESTAMP() AS TIME_EXEC FROM "&amp;I86,
IF(C86="Not applicable",+"SELECT '"&amp;UPPER(B86)&amp;"' AS TABELA, '"&amp;UPPER(C86)&amp;"' AS TIPOLOGIA_TESTE,'"&amp;D86&amp;"' AS TABELA_LT,'N/A' AS TABELA_SIMUL,'"&amp;F86&amp;"' AS CAMPO, "&amp;"'${ref_date}' AS REF_DATE, COUNT(*) AS NUM_REG, SUM(IF(TRIM(CAST(X."&amp;F86&amp;" AS STRING)) IN ('N/A','11111111111','11111111111.00','11111111111.000000','1111-11-11'),1,0)) AS NUM_REG_DIF,'"&amp;MAX('ID1&amp;5'!K:K)+1&amp;"' AS ID_EXEC, CURRENT_TIMESTAMP() AS TIME_EXEC FROM "&amp;I86,
IF(C86="Valores extremos",+"SELECT '"&amp;UPPER(B86)&amp;"' AS TABELA, '"&amp;UPPER(C86)&amp;"' AS TIPOLOGIA_TESTE,'"&amp;D86&amp;"' AS TABELA_LT,'N/A' AS TABELA_SIMUL,'"&amp;F86&amp;"' AS CAMPO, "&amp;"'${ref_date}' AS REF_DATE, CAST(MIN("&amp;F86&amp;") AS STRING) AS VALOR_MIN, CAST(MAX("&amp;F86&amp;") AS STRING) AS VALOR_MAX,'"&amp;MAX('ID1&amp;5'!K:K)+1&amp;"' AS ID_EXEC, CURRENT_TIMESTAMP() AS TIME_EXEC FROM "&amp;MID(I86,1,LEN(I86)-2)&amp;" AND CAST("&amp;F86&amp;"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TABELA_SIMUL,'MTHD_USD_PRTCTN_SCP_1' AS CAMPO, '${ref_date}' AS REF_DATE, COUNT(*) AS NUM_REG, SUM(IF(COALESCE(CAST(X.MTHD_USD_PRTCTN_SCP_1 AS STRING),'')&lt;&gt;COALESCE(CAST(Y.MTHD_USD_PRTCTN_SCP_1_SIMUL AS STRING),''),1,0)) AS NUM_REG_DIF,'1' AS ID_EXEC, CURRENT_TIMESTAMP() AS TIME_EXEC FROM (SELECT prtctn_id, MTHD_USD_PRTCTN_SCP_1 FROM BU_LOANTAPE_WORK.LT004_PROTECTION WHERE ref_date='${ref_date}' AND nome_perimetro='Individual Corporativo' AND segmento='ESTR' AND ambito='PILAR3')X INNER JOIN (SELECT prtctn_id AS prtctn_id_SIMUL, MTHD_USD_PRTCTN_SCP_1 AS MTHD_USD_PRTCTN_SCP_1_SIMUL FROM BU_LOANTAPE_WORK.LT004_PROTECTION_P3_NOV24)Y ON X.PRTCTN_ID=Y.PRTCTN_ID_SIMUL</v>
      </c>
      <c r="M86" s="43" t="str">
        <f t="shared" si="1"/>
        <v>UNION ALL SELECT 'PROTECTION' AS TABELA, 'COERÊNCIA' AS TIPOLOGIA_TESTE,'BU_LOANTAPE_WORK.LT004_PROTECTION' AS TABELA_LT,'BU_LOANTAPE_WORK.LT004_PROTECTION_P3_NOV24' AS TABELA_SIMUL,'MTHD_USD_PRTCTN_SCP_1' AS CAMPO, '${ref_date}' AS REF_DATE, COUNT(*) AS NUM_REG, SUM(IF(COALESCE(CAST(X.MTHD_USD_PRTCTN_SCP_1 AS STRING),'')&lt;&gt;COALESCE(CAST(Y.MTHD_USD_PRTCTN_SCP_1_SIMUL AS STRING),''),1,0)) AS NUM_REG_DIF,'1' AS ID_EXEC, CURRENT_TIMESTAMP() AS TIME_EXEC FROM (SELECT prtctn_id, MTHD_USD_PRTCTN_SCP_1 FROM BU_LOANTAPE_WORK.LT004_PROTECTION WHERE ref_date='${ref_date}' AND nome_perimetro='Individual Corporativo' AND segmento='ESTR' AND ambito='PILAR3')X INNER JOIN (SELECT prtctn_id AS prtctn_id_SIMUL, MTHD_USD_PRTCTN_SCP_1 AS MTHD_USD_PRTCTN_SCP_1_SIMUL FROM BU_LOANTAPE_WORK.LT004_PROTECTION_P3_NOV24)Y ON X.PRTCTN_ID=Y.PRTCTN_ID_SIMUL</v>
      </c>
      <c r="N86" s="45" t="s">
        <v>13</v>
      </c>
    </row>
    <row r="87" spans="2:14">
      <c r="B87" s="41" t="s">
        <v>31</v>
      </c>
      <c r="C87" s="41" t="s">
        <v>74</v>
      </c>
      <c r="D87" s="41" t="str">
        <f>+UPPER('0. Instruções'!$D$33&amp;"."&amp;VLOOKUP(B87,'0. Instruções'!$C$27:$D$31,2,FALSE))</f>
        <v>BU_LOANTAPE_WORK.LT004_PROTECTION</v>
      </c>
      <c r="E87" s="41" t="str">
        <f>+UPPER('0. Instruções'!$D$34&amp;"."&amp;VLOOKUP(B87,'0. Instruções'!$C$27:$E$31,3,FALSE))</f>
        <v>BU_LOANTAPE_WORK.LT004_PROTECTION_P3_NOV24</v>
      </c>
      <c r="F87" s="41" t="s">
        <v>143</v>
      </c>
      <c r="G87" s="41" t="s">
        <v>209</v>
      </c>
      <c r="H87" s="41"/>
      <c r="I87" s="41" t="str">
        <f>"(SELECT "&amp;VLOOKUP(B87,'0. Instruções'!$C$27:$G$31,4,FALSE)&amp;", "&amp;F87&amp;" FROM "&amp;D87&amp;" WHERE "&amp;'0. Instruções'!$D$40&amp;")X"</f>
        <v>(SELECT prtctn_id, MTHD_USD_PRTCTN_SCP_2 FROM BU_LOANTAPE_WORK.LT004_PROTECTION WHERE ref_date='${ref_date}' AND nome_perimetro='Individual Corporativo' AND segmento='ESTR' AND ambito='PILAR3')X</v>
      </c>
      <c r="J87" s="41" t="str">
        <f>"(SELECT "&amp;VLOOKUP(B87,'0. Instruções'!$C$27:$G$31,4,FALSE)&amp;" AS "&amp;VLOOKUP(B87,'0. Instruções'!$C$27:$G$31,4,FALSE)&amp;"_SIMUL, "&amp;F87&amp;" AS "&amp;F87&amp;"_SIMUL FROM "&amp;E87&amp;")Y"</f>
        <v>(SELECT prtctn_id AS prtctn_id_SIMUL, MTHD_USD_PRTCTN_SCP_2 AS MTHD_USD_PRTCTN_SCP_2_SIMUL FROM BU_LOANTAPE_WORK.LT004_PROTECTION_P3_NOV24)Y</v>
      </c>
      <c r="K87" s="42" t="str">
        <f>+UPPER("ON X."&amp;VLOOKUP(B87,'0. Instruções'!$C$27:$G$31,4,FALSE)&amp;"=Y."&amp;VLOOKUP(B87,'0. Instruções'!$C$27:$G$31,4,FALSE)&amp;"_SIMUL")</f>
        <v>ON X.PRTCTN_ID=Y.PRTCTN_ID_SIMUL</v>
      </c>
      <c r="L87" s="42" t="str">
        <f>+IF(C87="Coerência", +IF(LEFT(G87,5)="FLOAT","SELECT '"&amp;UPPER(B87)&amp;"' AS TABELA, '"&amp;UPPER(C87)&amp;"' AS TIPOLOGIA_TESTE,'"&amp;D87&amp;"' AS TABELA_LT,'"&amp;E87&amp;"' AS TABELA_SIMUL,'"&amp;F87&amp;"' AS CAMPO, "&amp;"'${ref_date}' AS REF_DATE, COUNT(*) AS NUM_REG, SUM(IF((ABS(COALESCE(X."&amp;F87&amp;",0)-COALESCE(Y."&amp;F87&amp;"_SIMUL,0))&gt;0.0000000001) OR (X."&amp;F87&amp;" IS NULL AND Y."&amp;F87&amp;"_SIMUL IS NOT NULL ) OR (X."&amp;F87&amp;" IS NOT NULL AND Y."&amp;F87&amp;"_SIMUL IS NULL),1,0)) AS NUM_REG_DIF,'"&amp;MAX('ID1&amp;5'!K:K)+1&amp;"' AS ID_EXEC, CURRENT_TIMESTAMP() AS TIME_EXEC FROM "&amp;I87&amp;" INNER JOIN "&amp;J87&amp;" "&amp;K87,"SELECT '"&amp;UPPER(B87)&amp;"' AS TABELA, '"&amp;UPPER(C87)&amp;"' AS TIPOLOGIA_TESTE,'"&amp;D87&amp;"' AS TABELA_LT,'"&amp;E87&amp;"' AS TABELA_SIMUL,'"&amp;F87&amp;"' AS CAMPO, "&amp;"'${ref_date}' AS REF_DATE, COUNT(*) AS NUM_REG, SUM(IF(COALESCE(CAST(X."&amp;F87&amp;" AS STRING),'')&lt;&gt;COALESCE(CAST(Y."&amp;F87&amp;"_SIMUL AS STRING),''),1,0)) AS NUM_REG_DIF,'"&amp;MAX('ID1&amp;5'!L:L)+1&amp;"' AS ID_EXEC, CURRENT_TIMESTAMP() AS TIME_EXEC FROM "&amp;I87&amp;" INNER JOIN "&amp;J87&amp;" "&amp;K87),
IF(C87="Validade",+IF(G87="Code List","SELECT '"&amp;UPPER(B87)&amp;"' AS TABELA, '"&amp;UPPER(C87)&amp;"' AS TIPOLOGIA_TESTE,'"&amp;D87&amp;"' AS TABELA_LT,'N/A' AS TABELA_SIMUL,'"&amp;F87&amp;"' AS CAMPO, "&amp;"'${ref_date}' AS REF_DATE, COUNT(*) AS NUM_REG, SUM(IF(TRIM(CAST(X."&amp;F87&amp;" AS STRING))='' OR TRIM(CAST(X."&amp;F87&amp;" AS STRING)) IS NULL OR CAST(X."&amp;F87&amp;" AS STRING) NOT "&amp;H87&amp;",1,0)) AS NUM_REG_DIF,'"&amp;MAX('ID1&amp;5'!K:K)+1&amp;"' AS ID_EXEC, CURRENT_TIMESTAMP() AS TIME_EXEC FROM "&amp;I87,"SELECT '"&amp;UPPER(B87)&amp;"' AS TABELA, '"&amp;UPPER(C87)&amp;"' AS TIPOLOGIA_TESTE,'"&amp;D87&amp;"' AS TABELA_LT,'N/A' AS TABELA_SIMUL,'"&amp;F87&amp;"' AS CAMPO, "&amp;"'${ref_date}' AS REF_DATE, COUNT(*) AS NUM_REG, SUM(IF(TRIM(CAST(X."&amp;F87&amp;" AS STRING))='' OR TRIM(CAST(X."&amp;F87&amp;" AS STRING)) IS NULL,1,0)) AS NUM_REG_DIF,'"&amp;MAX('ID1&amp;5'!K:K)+1&amp;"' AS ID_EXEC, CURRENT_TIMESTAMP() AS TIME_EXEC FROM "&amp;I87),
IF(C87="Caracteres Especiais",+"SELECT '"&amp;UPPER(B87)&amp;"' AS TABELA, '"&amp;UPPER(C87)&amp;"' AS TIPOLOGIA_TESTE,'"&amp;D87&amp;"' AS TABELA_LT,'N/A' AS TABELA_SIMUL,'"&amp;F87&amp;"' AS CAMPO, "&amp;"'${ref_date}' AS REF_DATE, COUNT(*) AS NUM_REG, SUM(IF(INSTR(CAST(X."&amp;F87&amp;" AS STRING),'#')&gt;0 OR INSTR(CAST(X."&amp;F87&amp;" AS STRING),'*')&gt;0 OR INSTR(CAST(X."&amp;F87&amp;" AS STRING),'`')&gt;0 OR INSTR(CAST(X."&amp;F87&amp;" AS STRING),'´')&gt;0 OR INSTR(CAST(X."&amp;F87&amp;" AS STRING),'{')&gt;0 OR INSTR(CAST(X."&amp;F87&amp;" AS STRING),'}')&gt;0 OR INSTR(CAST(X."&amp;F87&amp;" AS STRING),'[')&gt;0 OR INSTR(CAST(X."&amp;F87&amp;" AS STRING),'')&gt;0 OR INSTR(CAST(X."&amp;F87&amp;" AS STRING),']')&gt;0 OR INSTR(CAST(X."&amp;F87&amp;" AS STRING),'?')&gt;0 OR INSTR(CAST(X."&amp;F87&amp;" AS STRING),'!')&gt;0 OR INSTR(CAST(X."&amp;F87&amp;" AS STRING),'$')&gt;0 OR INSTR(CAST(X."&amp;F87&amp;" AS STRING),'%')&gt;0 OR INSTR(CAST(X."&amp;F87&amp;" AS STRING),'&amp;')&gt;0 OR INSTR(CAST(X."&amp;F87&amp;" AS STRING),'+')&gt;0,1,0)) AS NUM_REG_DIF,'"&amp;MAX('ID1&amp;5'!K:K)+1&amp;"' AS ID_EXEC, CURRENT_TIMESTAMP() AS TIME_EXEC FROM "&amp;I87,
IF(C87="Missings",+"SELECT '"&amp;UPPER(B87)&amp;"' AS TABELA, '"&amp;UPPER(C87)&amp;"' AS TIPOLOGIA_TESTE,'"&amp;D87&amp;"' AS TABELA_LT,'N/A' AS TABELA_SIMUL,'"&amp;F87&amp;"' AS CAMPO, "&amp;"'${ref_date}' AS REF_DATE, COUNT(*) AS NUM_REG, SUM(IF(TRIM(CAST(X."&amp;F87&amp;" AS STRING)) IN ('0000-00-00','0001-01-01','9999-12-31','MISS','00000','99999999999','99999999999.00','99999999999.000000'),1,0)) AS NUM_REG_DIF,'"&amp;MAX('ID1&amp;5'!K:K)+1&amp;"' AS ID_EXEC, CURRENT_TIMESTAMP() AS TIME_EXEC FROM "&amp;I87,
IF(C87="Not applicable",+"SELECT '"&amp;UPPER(B87)&amp;"' AS TABELA, '"&amp;UPPER(C87)&amp;"' AS TIPOLOGIA_TESTE,'"&amp;D87&amp;"' AS TABELA_LT,'N/A' AS TABELA_SIMUL,'"&amp;F87&amp;"' AS CAMPO, "&amp;"'${ref_date}' AS REF_DATE, COUNT(*) AS NUM_REG, SUM(IF(TRIM(CAST(X."&amp;F87&amp;" AS STRING)) IN ('N/A','11111111111','11111111111.00','11111111111.000000','1111-11-11'),1,0)) AS NUM_REG_DIF,'"&amp;MAX('ID1&amp;5'!K:K)+1&amp;"' AS ID_EXEC, CURRENT_TIMESTAMP() AS TIME_EXEC FROM "&amp;I87,
IF(C87="Valores extremos",+"SELECT '"&amp;UPPER(B87)&amp;"' AS TABELA, '"&amp;UPPER(C87)&amp;"' AS TIPOLOGIA_TESTE,'"&amp;D87&amp;"' AS TABELA_LT,'N/A' AS TABELA_SIMUL,'"&amp;F87&amp;"' AS CAMPO, "&amp;"'${ref_date}' AS REF_DATE, CAST(MIN("&amp;F87&amp;") AS STRING) AS VALOR_MIN, CAST(MAX("&amp;F87&amp;") AS STRING) AS VALOR_MAX,'"&amp;MAX('ID1&amp;5'!K:K)+1&amp;"' AS ID_EXEC, CURRENT_TIMESTAMP() AS TIME_EXEC FROM "&amp;MID(I87,1,LEN(I87)-2)&amp;" AND CAST("&amp;F87&amp;"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TABELA_SIMUL,'MTHD_USD_PRTCTN_SCP_2' AS CAMPO, '${ref_date}' AS REF_DATE, COUNT(*) AS NUM_REG, SUM(IF(COALESCE(CAST(X.MTHD_USD_PRTCTN_SCP_2 AS STRING),'')&lt;&gt;COALESCE(CAST(Y.MTHD_USD_PRTCTN_SCP_2_SIMUL AS STRING),''),1,0)) AS NUM_REG_DIF,'1' AS ID_EXEC, CURRENT_TIMESTAMP() AS TIME_EXEC FROM (SELECT prtctn_id, MTHD_USD_PRTCTN_SCP_2 FROM BU_LOANTAPE_WORK.LT004_PROTECTION WHERE ref_date='${ref_date}' AND nome_perimetro='Individual Corporativo' AND segmento='ESTR' AND ambito='PILAR3')X INNER JOIN (SELECT prtctn_id AS prtctn_id_SIMUL, MTHD_USD_PRTCTN_SCP_2 AS MTHD_USD_PRTCTN_SCP_2_SIMUL FROM BU_LOANTAPE_WORK.LT004_PROTECTION_P3_NOV24)Y ON X.PRTCTN_ID=Y.PRTCTN_ID_SIMUL</v>
      </c>
      <c r="M87" s="43" t="str">
        <f t="shared" si="1"/>
        <v>UNION ALL SELECT 'PROTECTION' AS TABELA, 'COERÊNCIA' AS TIPOLOGIA_TESTE,'BU_LOANTAPE_WORK.LT004_PROTECTION' AS TABELA_LT,'BU_LOANTAPE_WORK.LT004_PROTECTION_P3_NOV24' AS TABELA_SIMUL,'MTHD_USD_PRTCTN_SCP_2' AS CAMPO, '${ref_date}' AS REF_DATE, COUNT(*) AS NUM_REG, SUM(IF(COALESCE(CAST(X.MTHD_USD_PRTCTN_SCP_2 AS STRING),'')&lt;&gt;COALESCE(CAST(Y.MTHD_USD_PRTCTN_SCP_2_SIMUL AS STRING),''),1,0)) AS NUM_REG_DIF,'1' AS ID_EXEC, CURRENT_TIMESTAMP() AS TIME_EXEC FROM (SELECT prtctn_id, MTHD_USD_PRTCTN_SCP_2 FROM BU_LOANTAPE_WORK.LT004_PROTECTION WHERE ref_date='${ref_date}' AND nome_perimetro='Individual Corporativo' AND segmento='ESTR' AND ambito='PILAR3')X INNER JOIN (SELECT prtctn_id AS prtctn_id_SIMUL, MTHD_USD_PRTCTN_SCP_2 AS MTHD_USD_PRTCTN_SCP_2_SIMUL FROM BU_LOANTAPE_WORK.LT004_PROTECTION_P3_NOV24)Y ON X.PRTCTN_ID=Y.PRTCTN_ID_SIMUL</v>
      </c>
      <c r="N87" s="45" t="s">
        <v>13</v>
      </c>
    </row>
    <row r="88" spans="2:14">
      <c r="B88" s="41" t="s">
        <v>31</v>
      </c>
      <c r="C88" s="41" t="s">
        <v>74</v>
      </c>
      <c r="D88" s="41" t="str">
        <f>+UPPER('0. Instruções'!$D$33&amp;"."&amp;VLOOKUP(B88,'0. Instruções'!$C$27:$D$31,2,FALSE))</f>
        <v>BU_LOANTAPE_WORK.LT004_PROTECTION</v>
      </c>
      <c r="E88" s="41" t="str">
        <f>+UPPER('0. Instruções'!$D$34&amp;"."&amp;VLOOKUP(B88,'0. Instruções'!$C$27:$E$31,3,FALSE))</f>
        <v>BU_LOANTAPE_WORK.LT004_PROTECTION_P3_NOV24</v>
      </c>
      <c r="F88" s="41" t="s">
        <v>144</v>
      </c>
      <c r="G88" s="41" t="s">
        <v>209</v>
      </c>
      <c r="H88" s="41"/>
      <c r="I88" s="41" t="str">
        <f>"(SELECT "&amp;VLOOKUP(B88,'0. Instruções'!$C$27:$G$31,4,FALSE)&amp;", "&amp;F88&amp;" FROM "&amp;D88&amp;" WHERE "&amp;'0. Instruções'!$D$40&amp;")X"</f>
        <v>(SELECT prtctn_id, MTHD_USD_PRTCTN_SCP_3 FROM BU_LOANTAPE_WORK.LT004_PROTECTION WHERE ref_date='${ref_date}' AND nome_perimetro='Individual Corporativo' AND segmento='ESTR' AND ambito='PILAR3')X</v>
      </c>
      <c r="J88" s="41" t="str">
        <f>"(SELECT "&amp;VLOOKUP(B88,'0. Instruções'!$C$27:$G$31,4,FALSE)&amp;" AS "&amp;VLOOKUP(B88,'0. Instruções'!$C$27:$G$31,4,FALSE)&amp;"_SIMUL, "&amp;F88&amp;" AS "&amp;F88&amp;"_SIMUL FROM "&amp;E88&amp;")Y"</f>
        <v>(SELECT prtctn_id AS prtctn_id_SIMUL, MTHD_USD_PRTCTN_SCP_3 AS MTHD_USD_PRTCTN_SCP_3_SIMUL FROM BU_LOANTAPE_WORK.LT004_PROTECTION_P3_NOV24)Y</v>
      </c>
      <c r="K88" s="42" t="str">
        <f>+UPPER("ON X."&amp;VLOOKUP(B88,'0. Instruções'!$C$27:$G$31,4,FALSE)&amp;"=Y."&amp;VLOOKUP(B88,'0. Instruções'!$C$27:$G$31,4,FALSE)&amp;"_SIMUL")</f>
        <v>ON X.PRTCTN_ID=Y.PRTCTN_ID_SIMUL</v>
      </c>
      <c r="L88" s="42" t="str">
        <f>+IF(C88="Coerência", +IF(LEFT(G88,5)="FLOAT","SELECT '"&amp;UPPER(B88)&amp;"' AS TABELA, '"&amp;UPPER(C88)&amp;"' AS TIPOLOGIA_TESTE,'"&amp;D88&amp;"' AS TABELA_LT,'"&amp;E88&amp;"' AS TABELA_SIMUL,'"&amp;F88&amp;"' AS CAMPO, "&amp;"'${ref_date}' AS REF_DATE, COUNT(*) AS NUM_REG, SUM(IF((ABS(COALESCE(X."&amp;F88&amp;",0)-COALESCE(Y."&amp;F88&amp;"_SIMUL,0))&gt;0.0000000001) OR (X."&amp;F88&amp;" IS NULL AND Y."&amp;F88&amp;"_SIMUL IS NOT NULL ) OR (X."&amp;F88&amp;" IS NOT NULL AND Y."&amp;F88&amp;"_SIMUL IS NULL),1,0)) AS NUM_REG_DIF,'"&amp;MAX('ID1&amp;5'!K:K)+1&amp;"' AS ID_EXEC, CURRENT_TIMESTAMP() AS TIME_EXEC FROM "&amp;I88&amp;" INNER JOIN "&amp;J88&amp;" "&amp;K88,"SELECT '"&amp;UPPER(B88)&amp;"' AS TABELA, '"&amp;UPPER(C88)&amp;"' AS TIPOLOGIA_TESTE,'"&amp;D88&amp;"' AS TABELA_LT,'"&amp;E88&amp;"' AS TABELA_SIMUL,'"&amp;F88&amp;"' AS CAMPO, "&amp;"'${ref_date}' AS REF_DATE, COUNT(*) AS NUM_REG, SUM(IF(COALESCE(CAST(X."&amp;F88&amp;" AS STRING),'')&lt;&gt;COALESCE(CAST(Y."&amp;F88&amp;"_SIMUL AS STRING),''),1,0)) AS NUM_REG_DIF,'"&amp;MAX('ID1&amp;5'!L:L)+1&amp;"' AS ID_EXEC, CURRENT_TIMESTAMP() AS TIME_EXEC FROM "&amp;I88&amp;" INNER JOIN "&amp;J88&amp;" "&amp;K88),
IF(C88="Validade",+IF(G88="Code List","SELECT '"&amp;UPPER(B88)&amp;"' AS TABELA, '"&amp;UPPER(C88)&amp;"' AS TIPOLOGIA_TESTE,'"&amp;D88&amp;"' AS TABELA_LT,'N/A' AS TABELA_SIMUL,'"&amp;F88&amp;"' AS CAMPO, "&amp;"'${ref_date}' AS REF_DATE, COUNT(*) AS NUM_REG, SUM(IF(TRIM(CAST(X."&amp;F88&amp;" AS STRING))='' OR TRIM(CAST(X."&amp;F88&amp;" AS STRING)) IS NULL OR CAST(X."&amp;F88&amp;" AS STRING) NOT "&amp;H88&amp;",1,0)) AS NUM_REG_DIF,'"&amp;MAX('ID1&amp;5'!K:K)+1&amp;"' AS ID_EXEC, CURRENT_TIMESTAMP() AS TIME_EXEC FROM "&amp;I88,"SELECT '"&amp;UPPER(B88)&amp;"' AS TABELA, '"&amp;UPPER(C88)&amp;"' AS TIPOLOGIA_TESTE,'"&amp;D88&amp;"' AS TABELA_LT,'N/A' AS TABELA_SIMUL,'"&amp;F88&amp;"' AS CAMPO, "&amp;"'${ref_date}' AS REF_DATE, COUNT(*) AS NUM_REG, SUM(IF(TRIM(CAST(X."&amp;F88&amp;" AS STRING))='' OR TRIM(CAST(X."&amp;F88&amp;" AS STRING)) IS NULL,1,0)) AS NUM_REG_DIF,'"&amp;MAX('ID1&amp;5'!K:K)+1&amp;"' AS ID_EXEC, CURRENT_TIMESTAMP() AS TIME_EXEC FROM "&amp;I88),
IF(C88="Caracteres Especiais",+"SELECT '"&amp;UPPER(B88)&amp;"' AS TABELA, '"&amp;UPPER(C88)&amp;"' AS TIPOLOGIA_TESTE,'"&amp;D88&amp;"' AS TABELA_LT,'N/A' AS TABELA_SIMUL,'"&amp;F88&amp;"' AS CAMPO, "&amp;"'${ref_date}' AS REF_DATE, COUNT(*) AS NUM_REG, SUM(IF(INSTR(CAST(X."&amp;F88&amp;" AS STRING),'#')&gt;0 OR INSTR(CAST(X."&amp;F88&amp;" AS STRING),'*')&gt;0 OR INSTR(CAST(X."&amp;F88&amp;" AS STRING),'`')&gt;0 OR INSTR(CAST(X."&amp;F88&amp;" AS STRING),'´')&gt;0 OR INSTR(CAST(X."&amp;F88&amp;" AS STRING),'{')&gt;0 OR INSTR(CAST(X."&amp;F88&amp;" AS STRING),'}')&gt;0 OR INSTR(CAST(X."&amp;F88&amp;" AS STRING),'[')&gt;0 OR INSTR(CAST(X."&amp;F88&amp;" AS STRING),'')&gt;0 OR INSTR(CAST(X."&amp;F88&amp;" AS STRING),']')&gt;0 OR INSTR(CAST(X."&amp;F88&amp;" AS STRING),'?')&gt;0 OR INSTR(CAST(X."&amp;F88&amp;" AS STRING),'!')&gt;0 OR INSTR(CAST(X."&amp;F88&amp;" AS STRING),'$')&gt;0 OR INSTR(CAST(X."&amp;F88&amp;" AS STRING),'%')&gt;0 OR INSTR(CAST(X."&amp;F88&amp;" AS STRING),'&amp;')&gt;0 OR INSTR(CAST(X."&amp;F88&amp;" AS STRING),'+')&gt;0,1,0)) AS NUM_REG_DIF,'"&amp;MAX('ID1&amp;5'!K:K)+1&amp;"' AS ID_EXEC, CURRENT_TIMESTAMP() AS TIME_EXEC FROM "&amp;I88,
IF(C88="Missings",+"SELECT '"&amp;UPPER(B88)&amp;"' AS TABELA, '"&amp;UPPER(C88)&amp;"' AS TIPOLOGIA_TESTE,'"&amp;D88&amp;"' AS TABELA_LT,'N/A' AS TABELA_SIMUL,'"&amp;F88&amp;"' AS CAMPO, "&amp;"'${ref_date}' AS REF_DATE, COUNT(*) AS NUM_REG, SUM(IF(TRIM(CAST(X."&amp;F88&amp;" AS STRING)) IN ('0000-00-00','0001-01-01','9999-12-31','MISS','00000','99999999999','99999999999.00','99999999999.000000'),1,0)) AS NUM_REG_DIF,'"&amp;MAX('ID1&amp;5'!K:K)+1&amp;"' AS ID_EXEC, CURRENT_TIMESTAMP() AS TIME_EXEC FROM "&amp;I88,
IF(C88="Not applicable",+"SELECT '"&amp;UPPER(B88)&amp;"' AS TABELA, '"&amp;UPPER(C88)&amp;"' AS TIPOLOGIA_TESTE,'"&amp;D88&amp;"' AS TABELA_LT,'N/A' AS TABELA_SIMUL,'"&amp;F88&amp;"' AS CAMPO, "&amp;"'${ref_date}' AS REF_DATE, COUNT(*) AS NUM_REG, SUM(IF(TRIM(CAST(X."&amp;F88&amp;" AS STRING)) IN ('N/A','11111111111','11111111111.00','11111111111.000000','1111-11-11'),1,0)) AS NUM_REG_DIF,'"&amp;MAX('ID1&amp;5'!K:K)+1&amp;"' AS ID_EXEC, CURRENT_TIMESTAMP() AS TIME_EXEC FROM "&amp;I88,
IF(C88="Valores extremos",+"SELECT '"&amp;UPPER(B88)&amp;"' AS TABELA, '"&amp;UPPER(C88)&amp;"' AS TIPOLOGIA_TESTE,'"&amp;D88&amp;"' AS TABELA_LT,'N/A' AS TABELA_SIMUL,'"&amp;F88&amp;"' AS CAMPO, "&amp;"'${ref_date}' AS REF_DATE, CAST(MIN("&amp;F88&amp;") AS STRING) AS VALOR_MIN, CAST(MAX("&amp;F88&amp;") AS STRING) AS VALOR_MAX,'"&amp;MAX('ID1&amp;5'!K:K)+1&amp;"' AS ID_EXEC, CURRENT_TIMESTAMP() AS TIME_EXEC FROM "&amp;MID(I88,1,LEN(I88)-2)&amp;" AND CAST("&amp;F88&amp;"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TABELA_SIMUL,'MTHD_USD_PRTCTN_SCP_3' AS CAMPO, '${ref_date}' AS REF_DATE, COUNT(*) AS NUM_REG, SUM(IF(COALESCE(CAST(X.MTHD_USD_PRTCTN_SCP_3 AS STRING),'')&lt;&gt;COALESCE(CAST(Y.MTHD_USD_PRTCTN_SCP_3_SIMUL AS STRING),''),1,0)) AS NUM_REG_DIF,'1' AS ID_EXEC, CURRENT_TIMESTAMP() AS TIME_EXEC FROM (SELECT prtctn_id, MTHD_USD_PRTCTN_SCP_3 FROM BU_LOANTAPE_WORK.LT004_PROTECTION WHERE ref_date='${ref_date}' AND nome_perimetro='Individual Corporativo' AND segmento='ESTR' AND ambito='PILAR3')X INNER JOIN (SELECT prtctn_id AS prtctn_id_SIMUL, MTHD_USD_PRTCTN_SCP_3 AS MTHD_USD_PRTCTN_SCP_3_SIMUL FROM BU_LOANTAPE_WORK.LT004_PROTECTION_P3_NOV24)Y ON X.PRTCTN_ID=Y.PRTCTN_ID_SIMUL</v>
      </c>
      <c r="M88" s="43" t="str">
        <f t="shared" si="1"/>
        <v>UNION ALL SELECT 'PROTECTION' AS TABELA, 'COERÊNCIA' AS TIPOLOGIA_TESTE,'BU_LOANTAPE_WORK.LT004_PROTECTION' AS TABELA_LT,'BU_LOANTAPE_WORK.LT004_PROTECTION_P3_NOV24' AS TABELA_SIMUL,'MTHD_USD_PRTCTN_SCP_3' AS CAMPO, '${ref_date}' AS REF_DATE, COUNT(*) AS NUM_REG, SUM(IF(COALESCE(CAST(X.MTHD_USD_PRTCTN_SCP_3 AS STRING),'')&lt;&gt;COALESCE(CAST(Y.MTHD_USD_PRTCTN_SCP_3_SIMUL AS STRING),''),1,0)) AS NUM_REG_DIF,'1' AS ID_EXEC, CURRENT_TIMESTAMP() AS TIME_EXEC FROM (SELECT prtctn_id, MTHD_USD_PRTCTN_SCP_3 FROM BU_LOANTAPE_WORK.LT004_PROTECTION WHERE ref_date='${ref_date}' AND nome_perimetro='Individual Corporativo' AND segmento='ESTR' AND ambito='PILAR3')X INNER JOIN (SELECT prtctn_id AS prtctn_id_SIMUL, MTHD_USD_PRTCTN_SCP_3 AS MTHD_USD_PRTCTN_SCP_3_SIMUL FROM BU_LOANTAPE_WORK.LT004_PROTECTION_P3_NOV24)Y ON X.PRTCTN_ID=Y.PRTCTN_ID_SIMUL</v>
      </c>
      <c r="N88" s="45" t="s">
        <v>13</v>
      </c>
    </row>
    <row r="89" spans="2:14">
      <c r="B89" s="41" t="s">
        <v>31</v>
      </c>
      <c r="C89" s="41" t="s">
        <v>74</v>
      </c>
      <c r="D89" s="41" t="str">
        <f>+UPPER('0. Instruções'!$D$33&amp;"."&amp;VLOOKUP(B89,'0. Instruções'!$C$27:$D$31,2,FALSE))</f>
        <v>BU_LOANTAPE_WORK.LT004_PROTECTION</v>
      </c>
      <c r="E89" s="41" t="str">
        <f>+UPPER('0. Instruções'!$D$34&amp;"."&amp;VLOOKUP(B89,'0. Instruções'!$C$27:$E$31,3,FALSE))</f>
        <v>BU_LOANTAPE_WORK.LT004_PROTECTION_P3_NOV24</v>
      </c>
      <c r="F89" s="41" t="s">
        <v>121</v>
      </c>
      <c r="G89" s="41" t="s">
        <v>211</v>
      </c>
      <c r="H89" s="41"/>
      <c r="I89" s="41" t="str">
        <f>"(SELECT "&amp;VLOOKUP(B89,'0. Instruções'!$C$27:$G$31,4,FALSE)&amp;", "&amp;F89&amp;" FROM "&amp;D89&amp;" WHERE "&amp;'0. Instruções'!$D$40&amp;")X"</f>
        <v>(SELECT prtctn_id, FLG_ACT_PHYSCL_RSK FROM BU_LOANTAPE_WORK.LT004_PROTECTION WHERE ref_date='${ref_date}' AND nome_perimetro='Individual Corporativo' AND segmento='ESTR' AND ambito='PILAR3')X</v>
      </c>
      <c r="J89" s="41" t="str">
        <f>"(SELECT "&amp;VLOOKUP(B89,'0. Instruções'!$C$27:$G$31,4,FALSE)&amp;" AS "&amp;VLOOKUP(B89,'0. Instruções'!$C$27:$G$31,4,FALSE)&amp;"_SIMUL, "&amp;F89&amp;" AS "&amp;F89&amp;"_SIMUL FROM "&amp;E89&amp;")Y"</f>
        <v>(SELECT prtctn_id AS prtctn_id_SIMUL, FLG_ACT_PHYSCL_RSK AS FLG_ACT_PHYSCL_RSK_SIMUL FROM BU_LOANTAPE_WORK.LT004_PROTECTION_P3_NOV24)Y</v>
      </c>
      <c r="K89" s="42" t="str">
        <f>+UPPER("ON X."&amp;VLOOKUP(B89,'0. Instruções'!$C$27:$G$31,4,FALSE)&amp;"=Y."&amp;VLOOKUP(B89,'0. Instruções'!$C$27:$G$31,4,FALSE)&amp;"_SIMUL")</f>
        <v>ON X.PRTCTN_ID=Y.PRTCTN_ID_SIMUL</v>
      </c>
      <c r="L89" s="42" t="str">
        <f>+IF(C89="Coerência", +IF(LEFT(G89,5)="FLOAT","SELECT '"&amp;UPPER(B89)&amp;"' AS TABELA, '"&amp;UPPER(C89)&amp;"' AS TIPOLOGIA_TESTE,'"&amp;D89&amp;"' AS TABELA_LT,'"&amp;E89&amp;"' AS TABELA_SIMUL,'"&amp;F89&amp;"' AS CAMPO, "&amp;"'${ref_date}' AS REF_DATE, COUNT(*) AS NUM_REG, SUM(IF((ABS(COALESCE(X."&amp;F89&amp;",0)-COALESCE(Y."&amp;F89&amp;"_SIMUL,0))&gt;0.0000000001) OR (X."&amp;F89&amp;" IS NULL AND Y."&amp;F89&amp;"_SIMUL IS NOT NULL ) OR (X."&amp;F89&amp;" IS NOT NULL AND Y."&amp;F89&amp;"_SIMUL IS NULL),1,0)) AS NUM_REG_DIF,'"&amp;MAX('ID1&amp;5'!K:K)+1&amp;"' AS ID_EXEC, CURRENT_TIMESTAMP() AS TIME_EXEC FROM "&amp;I89&amp;" INNER JOIN "&amp;J89&amp;" "&amp;K89,"SELECT '"&amp;UPPER(B89)&amp;"' AS TABELA, '"&amp;UPPER(C89)&amp;"' AS TIPOLOGIA_TESTE,'"&amp;D89&amp;"' AS TABELA_LT,'"&amp;E89&amp;"' AS TABELA_SIMUL,'"&amp;F89&amp;"' AS CAMPO, "&amp;"'${ref_date}' AS REF_DATE, COUNT(*) AS NUM_REG, SUM(IF(COALESCE(CAST(X."&amp;F89&amp;" AS STRING),'')&lt;&gt;COALESCE(CAST(Y."&amp;F89&amp;"_SIMUL AS STRING),''),1,0)) AS NUM_REG_DIF,'"&amp;MAX('ID1&amp;5'!L:L)+1&amp;"' AS ID_EXEC, CURRENT_TIMESTAMP() AS TIME_EXEC FROM "&amp;I89&amp;" INNER JOIN "&amp;J89&amp;" "&amp;K89),
IF(C89="Validade",+IF(G89="Code List","SELECT '"&amp;UPPER(B89)&amp;"' AS TABELA, '"&amp;UPPER(C89)&amp;"' AS TIPOLOGIA_TESTE,'"&amp;D89&amp;"' AS TABELA_LT,'N/A' AS TABELA_SIMUL,'"&amp;F89&amp;"' AS CAMPO, "&amp;"'${ref_date}' AS REF_DATE, COUNT(*) AS NUM_REG, SUM(IF(TRIM(CAST(X."&amp;F89&amp;" AS STRING))='' OR TRIM(CAST(X."&amp;F89&amp;" AS STRING)) IS NULL OR CAST(X."&amp;F89&amp;" AS STRING) NOT "&amp;H89&amp;",1,0)) AS NUM_REG_DIF,'"&amp;MAX('ID1&amp;5'!K:K)+1&amp;"' AS ID_EXEC, CURRENT_TIMESTAMP() AS TIME_EXEC FROM "&amp;I89,"SELECT '"&amp;UPPER(B89)&amp;"' AS TABELA, '"&amp;UPPER(C89)&amp;"' AS TIPOLOGIA_TESTE,'"&amp;D89&amp;"' AS TABELA_LT,'N/A' AS TABELA_SIMUL,'"&amp;F89&amp;"' AS CAMPO, "&amp;"'${ref_date}' AS REF_DATE, COUNT(*) AS NUM_REG, SUM(IF(TRIM(CAST(X."&amp;F89&amp;" AS STRING))='' OR TRIM(CAST(X."&amp;F89&amp;" AS STRING)) IS NULL,1,0)) AS NUM_REG_DIF,'"&amp;MAX('ID1&amp;5'!K:K)+1&amp;"' AS ID_EXEC, CURRENT_TIMESTAMP() AS TIME_EXEC FROM "&amp;I89),
IF(C89="Caracteres Especiais",+"SELECT '"&amp;UPPER(B89)&amp;"' AS TABELA, '"&amp;UPPER(C89)&amp;"' AS TIPOLOGIA_TESTE,'"&amp;D89&amp;"' AS TABELA_LT,'N/A' AS TABELA_SIMUL,'"&amp;F89&amp;"' AS CAMPO, "&amp;"'${ref_date}' AS REF_DATE, COUNT(*) AS NUM_REG, SUM(IF(INSTR(CAST(X."&amp;F89&amp;" AS STRING),'#')&gt;0 OR INSTR(CAST(X."&amp;F89&amp;" AS STRING),'*')&gt;0 OR INSTR(CAST(X."&amp;F89&amp;" AS STRING),'`')&gt;0 OR INSTR(CAST(X."&amp;F89&amp;" AS STRING),'´')&gt;0 OR INSTR(CAST(X."&amp;F89&amp;" AS STRING),'{')&gt;0 OR INSTR(CAST(X."&amp;F89&amp;" AS STRING),'}')&gt;0 OR INSTR(CAST(X."&amp;F89&amp;" AS STRING),'[')&gt;0 OR INSTR(CAST(X."&amp;F89&amp;" AS STRING),'')&gt;0 OR INSTR(CAST(X."&amp;F89&amp;" AS STRING),']')&gt;0 OR INSTR(CAST(X."&amp;F89&amp;" AS STRING),'?')&gt;0 OR INSTR(CAST(X."&amp;F89&amp;" AS STRING),'!')&gt;0 OR INSTR(CAST(X."&amp;F89&amp;" AS STRING),'$')&gt;0 OR INSTR(CAST(X."&amp;F89&amp;" AS STRING),'%')&gt;0 OR INSTR(CAST(X."&amp;F89&amp;" AS STRING),'&amp;')&gt;0 OR INSTR(CAST(X."&amp;F89&amp;" AS STRING),'+')&gt;0,1,0)) AS NUM_REG_DIF,'"&amp;MAX('ID1&amp;5'!K:K)+1&amp;"' AS ID_EXEC, CURRENT_TIMESTAMP() AS TIME_EXEC FROM "&amp;I89,
IF(C89="Missings",+"SELECT '"&amp;UPPER(B89)&amp;"' AS TABELA, '"&amp;UPPER(C89)&amp;"' AS TIPOLOGIA_TESTE,'"&amp;D89&amp;"' AS TABELA_LT,'N/A' AS TABELA_SIMUL,'"&amp;F89&amp;"' AS CAMPO, "&amp;"'${ref_date}' AS REF_DATE, COUNT(*) AS NUM_REG, SUM(IF(TRIM(CAST(X."&amp;F89&amp;" AS STRING)) IN ('0000-00-00','0001-01-01','9999-12-31','MISS','00000','99999999999','99999999999.00','99999999999.000000'),1,0)) AS NUM_REG_DIF,'"&amp;MAX('ID1&amp;5'!K:K)+1&amp;"' AS ID_EXEC, CURRENT_TIMESTAMP() AS TIME_EXEC FROM "&amp;I89,
IF(C89="Not applicable",+"SELECT '"&amp;UPPER(B89)&amp;"' AS TABELA, '"&amp;UPPER(C89)&amp;"' AS TIPOLOGIA_TESTE,'"&amp;D89&amp;"' AS TABELA_LT,'N/A' AS TABELA_SIMUL,'"&amp;F89&amp;"' AS CAMPO, "&amp;"'${ref_date}' AS REF_DATE, COUNT(*) AS NUM_REG, SUM(IF(TRIM(CAST(X."&amp;F89&amp;" AS STRING)) IN ('N/A','11111111111','11111111111.00','11111111111.000000','1111-11-11'),1,0)) AS NUM_REG_DIF,'"&amp;MAX('ID1&amp;5'!K:K)+1&amp;"' AS ID_EXEC, CURRENT_TIMESTAMP() AS TIME_EXEC FROM "&amp;I89,
IF(C89="Valores extremos",+"SELECT '"&amp;UPPER(B89)&amp;"' AS TABELA, '"&amp;UPPER(C89)&amp;"' AS TIPOLOGIA_TESTE,'"&amp;D89&amp;"' AS TABELA_LT,'N/A' AS TABELA_SIMUL,'"&amp;F89&amp;"' AS CAMPO, "&amp;"'${ref_date}' AS REF_DATE, CAST(MIN("&amp;F89&amp;") AS STRING) AS VALOR_MIN, CAST(MAX("&amp;F89&amp;") AS STRING) AS VALOR_MAX,'"&amp;MAX('ID1&amp;5'!K:K)+1&amp;"' AS ID_EXEC, CURRENT_TIMESTAMP() AS TIME_EXEC FROM "&amp;MID(I89,1,LEN(I89)-2)&amp;" AND CAST("&amp;F89&amp;"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TABELA_SIMUL,'FLG_ACT_PHYSCL_RSK' AS CAMPO, '${ref_date}' AS REF_DATE, COUNT(*) AS NUM_REG, SUM(IF(COALESCE(CAST(X.FLG_ACT_PHYSCL_RSK AS STRING),'')&lt;&gt;COALESCE(CAST(Y.FLG_ACT_PHYSCL_RSK_SIMUL AS STRING),''),1,0)) AS NUM_REG_DIF,'1' AS ID_EXEC, CURRENT_TIMESTAMP() AS TIME_EXEC FROM (SELECT prtctn_id, FLG_ACT_PHYSCL_RSK FROM BU_LOANTAPE_WORK.LT004_PROTECTION WHERE ref_date='${ref_date}' AND nome_perimetro='Individual Corporativo' AND segmento='ESTR' AND ambito='PILAR3')X INNER JOIN (SELECT prtctn_id AS prtctn_id_SIMUL, FLG_ACT_PHYSCL_RSK AS FLG_ACT_PHYSCL_RSK_SIMUL FROM BU_LOANTAPE_WORK.LT004_PROTECTION_P3_NOV24)Y ON X.PRTCTN_ID=Y.PRTCTN_ID_SIMUL</v>
      </c>
      <c r="M89" s="43" t="str">
        <f t="shared" si="1"/>
        <v>UNION ALL SELECT 'PROTECTION' AS TABELA, 'COERÊNCIA' AS TIPOLOGIA_TESTE,'BU_LOANTAPE_WORK.LT004_PROTECTION' AS TABELA_LT,'BU_LOANTAPE_WORK.LT004_PROTECTION_P3_NOV24' AS TABELA_SIMUL,'FLG_ACT_PHYSCL_RSK' AS CAMPO, '${ref_date}' AS REF_DATE, COUNT(*) AS NUM_REG, SUM(IF(COALESCE(CAST(X.FLG_ACT_PHYSCL_RSK AS STRING),'')&lt;&gt;COALESCE(CAST(Y.FLG_ACT_PHYSCL_RSK_SIMUL AS STRING),''),1,0)) AS NUM_REG_DIF,'1' AS ID_EXEC, CURRENT_TIMESTAMP() AS TIME_EXEC FROM (SELECT prtctn_id, FLG_ACT_PHYSCL_RSK FROM BU_LOANTAPE_WORK.LT004_PROTECTION WHERE ref_date='${ref_date}' AND nome_perimetro='Individual Corporativo' AND segmento='ESTR' AND ambito='PILAR3')X INNER JOIN (SELECT prtctn_id AS prtctn_id_SIMUL, FLG_ACT_PHYSCL_RSK AS FLG_ACT_PHYSCL_RSK_SIMUL FROM BU_LOANTAPE_WORK.LT004_PROTECTION_P3_NOV24)Y ON X.PRTCTN_ID=Y.PRTCTN_ID_SIMUL</v>
      </c>
      <c r="N89" s="45" t="s">
        <v>13</v>
      </c>
    </row>
    <row r="90" spans="2:14">
      <c r="B90" s="41" t="s">
        <v>31</v>
      </c>
      <c r="C90" s="41" t="s">
        <v>74</v>
      </c>
      <c r="D90" s="41" t="str">
        <f>+UPPER('0. Instruções'!$D$33&amp;"."&amp;VLOOKUP(B90,'0. Instruções'!$C$27:$D$31,2,FALSE))</f>
        <v>BU_LOANTAPE_WORK.LT004_PROTECTION</v>
      </c>
      <c r="E90" s="41" t="str">
        <f>+UPPER('0. Instruções'!$D$34&amp;"."&amp;VLOOKUP(B90,'0. Instruções'!$C$27:$E$31,3,FALSE))</f>
        <v>BU_LOANTAPE_WORK.LT004_PROTECTION_P3_NOV24</v>
      </c>
      <c r="F90" s="41" t="s">
        <v>122</v>
      </c>
      <c r="G90" s="41" t="s">
        <v>211</v>
      </c>
      <c r="H90" s="41"/>
      <c r="I90" s="41" t="str">
        <f>"(SELECT "&amp;VLOOKUP(B90,'0. Instruções'!$C$27:$G$31,4,FALSE)&amp;", "&amp;F90&amp;" FROM "&amp;D90&amp;" WHERE "&amp;'0. Instruções'!$D$40&amp;")X"</f>
        <v>(SELECT prtctn_id, FLG_CHRNC_PHYSCL_RSK FROM BU_LOANTAPE_WORK.LT004_PROTECTION WHERE ref_date='${ref_date}' AND nome_perimetro='Individual Corporativo' AND segmento='ESTR' AND ambito='PILAR3')X</v>
      </c>
      <c r="J90" s="41" t="str">
        <f>"(SELECT "&amp;VLOOKUP(B90,'0. Instruções'!$C$27:$G$31,4,FALSE)&amp;" AS "&amp;VLOOKUP(B90,'0. Instruções'!$C$27:$G$31,4,FALSE)&amp;"_SIMUL, "&amp;F90&amp;" AS "&amp;F90&amp;"_SIMUL FROM "&amp;E90&amp;")Y"</f>
        <v>(SELECT prtctn_id AS prtctn_id_SIMUL, FLG_CHRNC_PHYSCL_RSK AS FLG_CHRNC_PHYSCL_RSK_SIMUL FROM BU_LOANTAPE_WORK.LT004_PROTECTION_P3_NOV24)Y</v>
      </c>
      <c r="K90" s="42" t="str">
        <f>+UPPER("ON X."&amp;VLOOKUP(B90,'0. Instruções'!$C$27:$G$31,4,FALSE)&amp;"=Y."&amp;VLOOKUP(B90,'0. Instruções'!$C$27:$G$31,4,FALSE)&amp;"_SIMUL")</f>
        <v>ON X.PRTCTN_ID=Y.PRTCTN_ID_SIMUL</v>
      </c>
      <c r="L90" s="42" t="str">
        <f>+IF(C90="Coerência", +IF(LEFT(G90,5)="FLOAT","SELECT '"&amp;UPPER(B90)&amp;"' AS TABELA, '"&amp;UPPER(C90)&amp;"' AS TIPOLOGIA_TESTE,'"&amp;D90&amp;"' AS TABELA_LT,'"&amp;E90&amp;"' AS TABELA_SIMUL,'"&amp;F90&amp;"' AS CAMPO, "&amp;"'${ref_date}' AS REF_DATE, COUNT(*) AS NUM_REG, SUM(IF((ABS(COALESCE(X."&amp;F90&amp;",0)-COALESCE(Y."&amp;F90&amp;"_SIMUL,0))&gt;0.0000000001) OR (X."&amp;F90&amp;" IS NULL AND Y."&amp;F90&amp;"_SIMUL IS NOT NULL ) OR (X."&amp;F90&amp;" IS NOT NULL AND Y."&amp;F90&amp;"_SIMUL IS NULL),1,0)) AS NUM_REG_DIF,'"&amp;MAX('ID1&amp;5'!K:K)+1&amp;"' AS ID_EXEC, CURRENT_TIMESTAMP() AS TIME_EXEC FROM "&amp;I90&amp;" INNER JOIN "&amp;J90&amp;" "&amp;K90,"SELECT '"&amp;UPPER(B90)&amp;"' AS TABELA, '"&amp;UPPER(C90)&amp;"' AS TIPOLOGIA_TESTE,'"&amp;D90&amp;"' AS TABELA_LT,'"&amp;E90&amp;"' AS TABELA_SIMUL,'"&amp;F90&amp;"' AS CAMPO, "&amp;"'${ref_date}' AS REF_DATE, COUNT(*) AS NUM_REG, SUM(IF(COALESCE(CAST(X."&amp;F90&amp;" AS STRING),'')&lt;&gt;COALESCE(CAST(Y."&amp;F90&amp;"_SIMUL AS STRING),''),1,0)) AS NUM_REG_DIF,'"&amp;MAX('ID1&amp;5'!L:L)+1&amp;"' AS ID_EXEC, CURRENT_TIMESTAMP() AS TIME_EXEC FROM "&amp;I90&amp;" INNER JOIN "&amp;J90&amp;" "&amp;K90),
IF(C90="Validade",+IF(G90="Code List","SELECT '"&amp;UPPER(B90)&amp;"' AS TABELA, '"&amp;UPPER(C90)&amp;"' AS TIPOLOGIA_TESTE,'"&amp;D90&amp;"' AS TABELA_LT,'N/A' AS TABELA_SIMUL,'"&amp;F90&amp;"' AS CAMPO, "&amp;"'${ref_date}' AS REF_DATE, COUNT(*) AS NUM_REG, SUM(IF(TRIM(CAST(X."&amp;F90&amp;" AS STRING))='' OR TRIM(CAST(X."&amp;F90&amp;" AS STRING)) IS NULL OR CAST(X."&amp;F90&amp;" AS STRING) NOT "&amp;H90&amp;",1,0)) AS NUM_REG_DIF,'"&amp;MAX('ID1&amp;5'!K:K)+1&amp;"' AS ID_EXEC, CURRENT_TIMESTAMP() AS TIME_EXEC FROM "&amp;I90,"SELECT '"&amp;UPPER(B90)&amp;"' AS TABELA, '"&amp;UPPER(C90)&amp;"' AS TIPOLOGIA_TESTE,'"&amp;D90&amp;"' AS TABELA_LT,'N/A' AS TABELA_SIMUL,'"&amp;F90&amp;"' AS CAMPO, "&amp;"'${ref_date}' AS REF_DATE, COUNT(*) AS NUM_REG, SUM(IF(TRIM(CAST(X."&amp;F90&amp;" AS STRING))='' OR TRIM(CAST(X."&amp;F90&amp;" AS STRING)) IS NULL,1,0)) AS NUM_REG_DIF,'"&amp;MAX('ID1&amp;5'!K:K)+1&amp;"' AS ID_EXEC, CURRENT_TIMESTAMP() AS TIME_EXEC FROM "&amp;I90),
IF(C90="Caracteres Especiais",+"SELECT '"&amp;UPPER(B90)&amp;"' AS TABELA, '"&amp;UPPER(C90)&amp;"' AS TIPOLOGIA_TESTE,'"&amp;D90&amp;"' AS TABELA_LT,'N/A' AS TABELA_SIMUL,'"&amp;F90&amp;"' AS CAMPO, "&amp;"'${ref_date}' AS REF_DATE, COUNT(*) AS NUM_REG, SUM(IF(INSTR(CAST(X."&amp;F90&amp;" AS STRING),'#')&gt;0 OR INSTR(CAST(X."&amp;F90&amp;" AS STRING),'*')&gt;0 OR INSTR(CAST(X."&amp;F90&amp;" AS STRING),'`')&gt;0 OR INSTR(CAST(X."&amp;F90&amp;" AS STRING),'´')&gt;0 OR INSTR(CAST(X."&amp;F90&amp;" AS STRING),'{')&gt;0 OR INSTR(CAST(X."&amp;F90&amp;" AS STRING),'}')&gt;0 OR INSTR(CAST(X."&amp;F90&amp;" AS STRING),'[')&gt;0 OR INSTR(CAST(X."&amp;F90&amp;" AS STRING),'')&gt;0 OR INSTR(CAST(X."&amp;F90&amp;" AS STRING),']')&gt;0 OR INSTR(CAST(X."&amp;F90&amp;" AS STRING),'?')&gt;0 OR INSTR(CAST(X."&amp;F90&amp;" AS STRING),'!')&gt;0 OR INSTR(CAST(X."&amp;F90&amp;" AS STRING),'$')&gt;0 OR INSTR(CAST(X."&amp;F90&amp;" AS STRING),'%')&gt;0 OR INSTR(CAST(X."&amp;F90&amp;" AS STRING),'&amp;')&gt;0 OR INSTR(CAST(X."&amp;F90&amp;" AS STRING),'+')&gt;0,1,0)) AS NUM_REG_DIF,'"&amp;MAX('ID1&amp;5'!K:K)+1&amp;"' AS ID_EXEC, CURRENT_TIMESTAMP() AS TIME_EXEC FROM "&amp;I90,
IF(C90="Missings",+"SELECT '"&amp;UPPER(B90)&amp;"' AS TABELA, '"&amp;UPPER(C90)&amp;"' AS TIPOLOGIA_TESTE,'"&amp;D90&amp;"' AS TABELA_LT,'N/A' AS TABELA_SIMUL,'"&amp;F90&amp;"' AS CAMPO, "&amp;"'${ref_date}' AS REF_DATE, COUNT(*) AS NUM_REG, SUM(IF(TRIM(CAST(X."&amp;F90&amp;" AS STRING)) IN ('0000-00-00','0001-01-01','9999-12-31','MISS','00000','99999999999','99999999999.00','99999999999.000000'),1,0)) AS NUM_REG_DIF,'"&amp;MAX('ID1&amp;5'!K:K)+1&amp;"' AS ID_EXEC, CURRENT_TIMESTAMP() AS TIME_EXEC FROM "&amp;I90,
IF(C90="Not applicable",+"SELECT '"&amp;UPPER(B90)&amp;"' AS TABELA, '"&amp;UPPER(C90)&amp;"' AS TIPOLOGIA_TESTE,'"&amp;D90&amp;"' AS TABELA_LT,'N/A' AS TABELA_SIMUL,'"&amp;F90&amp;"' AS CAMPO, "&amp;"'${ref_date}' AS REF_DATE, COUNT(*) AS NUM_REG, SUM(IF(TRIM(CAST(X."&amp;F90&amp;" AS STRING)) IN ('N/A','11111111111','11111111111.00','11111111111.000000','1111-11-11'),1,0)) AS NUM_REG_DIF,'"&amp;MAX('ID1&amp;5'!K:K)+1&amp;"' AS ID_EXEC, CURRENT_TIMESTAMP() AS TIME_EXEC FROM "&amp;I90,
IF(C90="Valores extremos",+"SELECT '"&amp;UPPER(B90)&amp;"' AS TABELA, '"&amp;UPPER(C90)&amp;"' AS TIPOLOGIA_TESTE,'"&amp;D90&amp;"' AS TABELA_LT,'N/A' AS TABELA_SIMUL,'"&amp;F90&amp;"' AS CAMPO, "&amp;"'${ref_date}' AS REF_DATE, CAST(MIN("&amp;F90&amp;") AS STRING) AS VALOR_MIN, CAST(MAX("&amp;F90&amp;") AS STRING) AS VALOR_MAX,'"&amp;MAX('ID1&amp;5'!K:K)+1&amp;"' AS ID_EXEC, CURRENT_TIMESTAMP() AS TIME_EXEC FROM "&amp;MID(I90,1,LEN(I90)-2)&amp;" AND CAST("&amp;F90&amp;"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TABELA_SIMUL,'FLG_CHRNC_PHYSCL_RSK' AS CAMPO, '${ref_date}' AS REF_DATE, COUNT(*) AS NUM_REG, SUM(IF(COALESCE(CAST(X.FLG_CHRNC_PHYSCL_RSK AS STRING),'')&lt;&gt;COALESCE(CAST(Y.FLG_CHRNC_PHYSCL_RSK_SIMUL AS STRING),''),1,0)) AS NUM_REG_DIF,'1' AS ID_EXEC, CURRENT_TIMESTAMP() AS TIME_EXEC FROM (SELECT prtctn_id, FLG_CHRNC_PHYSCL_RSK FROM BU_LOANTAPE_WORK.LT004_PROTECTION WHERE ref_date='${ref_date}' AND nome_perimetro='Individual Corporativo' AND segmento='ESTR' AND ambito='PILAR3')X INNER JOIN (SELECT prtctn_id AS prtctn_id_SIMUL, FLG_CHRNC_PHYSCL_RSK AS FLG_CHRNC_PHYSCL_RSK_SIMUL FROM BU_LOANTAPE_WORK.LT004_PROTECTION_P3_NOV24)Y ON X.PRTCTN_ID=Y.PRTCTN_ID_SIMUL</v>
      </c>
      <c r="M90" s="43" t="str">
        <f t="shared" si="1"/>
        <v>UNION ALL SELECT 'PROTECTION' AS TABELA, 'COERÊNCIA' AS TIPOLOGIA_TESTE,'BU_LOANTAPE_WORK.LT004_PROTECTION' AS TABELA_LT,'BU_LOANTAPE_WORK.LT004_PROTECTION_P3_NOV24' AS TABELA_SIMUL,'FLG_CHRNC_PHYSCL_RSK' AS CAMPO, '${ref_date}' AS REF_DATE, COUNT(*) AS NUM_REG, SUM(IF(COALESCE(CAST(X.FLG_CHRNC_PHYSCL_RSK AS STRING),'')&lt;&gt;COALESCE(CAST(Y.FLG_CHRNC_PHYSCL_RSK_SIMUL AS STRING),''),1,0)) AS NUM_REG_DIF,'1' AS ID_EXEC, CURRENT_TIMESTAMP() AS TIME_EXEC FROM (SELECT prtctn_id, FLG_CHRNC_PHYSCL_RSK FROM BU_LOANTAPE_WORK.LT004_PROTECTION WHERE ref_date='${ref_date}' AND nome_perimetro='Individual Corporativo' AND segmento='ESTR' AND ambito='PILAR3')X INNER JOIN (SELECT prtctn_id AS prtctn_id_SIMUL, FLG_CHRNC_PHYSCL_RSK AS FLG_CHRNC_PHYSCL_RSK_SIMUL FROM BU_LOANTAPE_WORK.LT004_PROTECTION_P3_NOV24)Y ON X.PRTCTN_ID=Y.PRTCTN_ID_SIMUL</v>
      </c>
      <c r="N90" s="45" t="s">
        <v>13</v>
      </c>
    </row>
    <row r="91" spans="2:14">
      <c r="B91" s="41" t="s">
        <v>31</v>
      </c>
      <c r="C91" s="41" t="s">
        <v>74</v>
      </c>
      <c r="D91" s="41" t="str">
        <f>+UPPER('0. Instruções'!$D$33&amp;"."&amp;VLOOKUP(B91,'0. Instruções'!$C$27:$D$31,2,FALSE))</f>
        <v>BU_LOANTAPE_WORK.LT004_PROTECTION</v>
      </c>
      <c r="E91" s="41" t="str">
        <f>+UPPER('0. Instruções'!$D$34&amp;"."&amp;VLOOKUP(B91,'0. Instruções'!$C$27:$E$31,3,FALSE))</f>
        <v>BU_LOANTAPE_WORK.LT004_PROTECTION_P3_NOV24</v>
      </c>
      <c r="F91" s="41" t="s">
        <v>156</v>
      </c>
      <c r="G91" s="41" t="s">
        <v>13</v>
      </c>
      <c r="H91" s="41"/>
      <c r="I91" s="41" t="str">
        <f>"(SELECT "&amp;VLOOKUP(B91,'0. Instruções'!$C$27:$G$31,4,FALSE)&amp;", "&amp;F91&amp;" FROM "&amp;D91&amp;" WHERE "&amp;'0. Instruções'!$D$40&amp;")X"</f>
        <v>(SELECT prtctn_id, DT_RFRNC FROM BU_LOANTAPE_WORK.LT004_PROTECTION WHERE ref_date='${ref_date}' AND nome_perimetro='Individual Corporativo' AND segmento='ESTR' AND ambito='PILAR3')X</v>
      </c>
      <c r="J91" s="41" t="str">
        <f>"(SELECT "&amp;VLOOKUP(B91,'0. Instruções'!$C$27:$G$31,4,FALSE)&amp;" AS "&amp;VLOOKUP(B91,'0. Instruções'!$C$27:$G$31,4,FALSE)&amp;"_SIMUL, "&amp;F91&amp;" AS "&amp;F91&amp;"_SIMUL FROM "&amp;E91&amp;")Y"</f>
        <v>(SELECT prtctn_id AS prtctn_id_SIMUL, DT_RFRNC AS DT_RFRNC_SIMUL FROM BU_LOANTAPE_WORK.LT004_PROTECTION_P3_NOV24)Y</v>
      </c>
      <c r="K91" s="42" t="str">
        <f>+UPPER("ON X."&amp;VLOOKUP(B91,'0. Instruções'!$C$27:$G$31,4,FALSE)&amp;"=Y."&amp;VLOOKUP(B91,'0. Instruções'!$C$27:$G$31,4,FALSE)&amp;"_SIMUL")</f>
        <v>ON X.PRTCTN_ID=Y.PRTCTN_ID_SIMUL</v>
      </c>
      <c r="L91" s="42" t="str">
        <f>+IF(C91="Coerência", +IF(LEFT(G91,5)="FLOAT","SELECT '"&amp;UPPER(B91)&amp;"' AS TABELA, '"&amp;UPPER(C91)&amp;"' AS TIPOLOGIA_TESTE,'"&amp;D91&amp;"' AS TABELA_LT,'"&amp;E91&amp;"' AS TABELA_SIMUL,'"&amp;F91&amp;"' AS CAMPO, "&amp;"'${ref_date}' AS REF_DATE, COUNT(*) AS NUM_REG, SUM(IF((ABS(COALESCE(X."&amp;F91&amp;",0)-COALESCE(Y."&amp;F91&amp;"_SIMUL,0))&gt;0.0000000001) OR (X."&amp;F91&amp;" IS NULL AND Y."&amp;F91&amp;"_SIMUL IS NOT NULL ) OR (X."&amp;F91&amp;" IS NOT NULL AND Y."&amp;F91&amp;"_SIMUL IS NULL),1,0)) AS NUM_REG_DIF,'"&amp;MAX('ID1&amp;5'!K:K)+1&amp;"' AS ID_EXEC, CURRENT_TIMESTAMP() AS TIME_EXEC FROM "&amp;I91&amp;" INNER JOIN "&amp;J91&amp;" "&amp;K91,"SELECT '"&amp;UPPER(B91)&amp;"' AS TABELA, '"&amp;UPPER(C91)&amp;"' AS TIPOLOGIA_TESTE,'"&amp;D91&amp;"' AS TABELA_LT,'"&amp;E91&amp;"' AS TABELA_SIMUL,'"&amp;F91&amp;"' AS CAMPO, "&amp;"'${ref_date}' AS REF_DATE, COUNT(*) AS NUM_REG, SUM(IF(COALESCE(CAST(X."&amp;F91&amp;" AS STRING),'')&lt;&gt;COALESCE(CAST(Y."&amp;F91&amp;"_SIMUL AS STRING),''),1,0)) AS NUM_REG_DIF,'"&amp;MAX('ID1&amp;5'!L:L)+1&amp;"' AS ID_EXEC, CURRENT_TIMESTAMP() AS TIME_EXEC FROM "&amp;I91&amp;" INNER JOIN "&amp;J91&amp;" "&amp;K91),
IF(C91="Validade",+IF(G91="Code List","SELECT '"&amp;UPPER(B91)&amp;"' AS TABELA, '"&amp;UPPER(C91)&amp;"' AS TIPOLOGIA_TESTE,'"&amp;D91&amp;"' AS TABELA_LT,'N/A' AS TABELA_SIMUL,'"&amp;F91&amp;"' AS CAMPO, "&amp;"'${ref_date}' AS REF_DATE, COUNT(*) AS NUM_REG, SUM(IF(TRIM(CAST(X."&amp;F91&amp;" AS STRING))='' OR TRIM(CAST(X."&amp;F91&amp;" AS STRING)) IS NULL OR CAST(X."&amp;F91&amp;" AS STRING) NOT "&amp;H91&amp;",1,0)) AS NUM_REG_DIF,'"&amp;MAX('ID1&amp;5'!K:K)+1&amp;"' AS ID_EXEC, CURRENT_TIMESTAMP() AS TIME_EXEC FROM "&amp;I91,"SELECT '"&amp;UPPER(B91)&amp;"' AS TABELA, '"&amp;UPPER(C91)&amp;"' AS TIPOLOGIA_TESTE,'"&amp;D91&amp;"' AS TABELA_LT,'N/A' AS TABELA_SIMUL,'"&amp;F91&amp;"' AS CAMPO, "&amp;"'${ref_date}' AS REF_DATE, COUNT(*) AS NUM_REG, SUM(IF(TRIM(CAST(X."&amp;F91&amp;" AS STRING))='' OR TRIM(CAST(X."&amp;F91&amp;" AS STRING)) IS NULL,1,0)) AS NUM_REG_DIF,'"&amp;MAX('ID1&amp;5'!K:K)+1&amp;"' AS ID_EXEC, CURRENT_TIMESTAMP() AS TIME_EXEC FROM "&amp;I91),
IF(C91="Caracteres Especiais",+"SELECT '"&amp;UPPER(B91)&amp;"' AS TABELA, '"&amp;UPPER(C91)&amp;"' AS TIPOLOGIA_TESTE,'"&amp;D91&amp;"' AS TABELA_LT,'N/A' AS TABELA_SIMUL,'"&amp;F91&amp;"' AS CAMPO, "&amp;"'${ref_date}' AS REF_DATE, COUNT(*) AS NUM_REG, SUM(IF(INSTR(CAST(X."&amp;F91&amp;" AS STRING),'#')&gt;0 OR INSTR(CAST(X."&amp;F91&amp;" AS STRING),'*')&gt;0 OR INSTR(CAST(X."&amp;F91&amp;" AS STRING),'`')&gt;0 OR INSTR(CAST(X."&amp;F91&amp;" AS STRING),'´')&gt;0 OR INSTR(CAST(X."&amp;F91&amp;" AS STRING),'{')&gt;0 OR INSTR(CAST(X."&amp;F91&amp;" AS STRING),'}')&gt;0 OR INSTR(CAST(X."&amp;F91&amp;" AS STRING),'[')&gt;0 OR INSTR(CAST(X."&amp;F91&amp;" AS STRING),'')&gt;0 OR INSTR(CAST(X."&amp;F91&amp;" AS STRING),']')&gt;0 OR INSTR(CAST(X."&amp;F91&amp;" AS STRING),'?')&gt;0 OR INSTR(CAST(X."&amp;F91&amp;" AS STRING),'!')&gt;0 OR INSTR(CAST(X."&amp;F91&amp;" AS STRING),'$')&gt;0 OR INSTR(CAST(X."&amp;F91&amp;" AS STRING),'%')&gt;0 OR INSTR(CAST(X."&amp;F91&amp;" AS STRING),'&amp;')&gt;0 OR INSTR(CAST(X."&amp;F91&amp;" AS STRING),'+')&gt;0,1,0)) AS NUM_REG_DIF,'"&amp;MAX('ID1&amp;5'!K:K)+1&amp;"' AS ID_EXEC, CURRENT_TIMESTAMP() AS TIME_EXEC FROM "&amp;I91,
IF(C91="Missings",+"SELECT '"&amp;UPPER(B91)&amp;"' AS TABELA, '"&amp;UPPER(C91)&amp;"' AS TIPOLOGIA_TESTE,'"&amp;D91&amp;"' AS TABELA_LT,'N/A' AS TABELA_SIMUL,'"&amp;F91&amp;"' AS CAMPO, "&amp;"'${ref_date}' AS REF_DATE, COUNT(*) AS NUM_REG, SUM(IF(TRIM(CAST(X."&amp;F91&amp;" AS STRING)) IN ('0000-00-00','0001-01-01','9999-12-31','MISS','00000','99999999999','99999999999.00','99999999999.000000'),1,0)) AS NUM_REG_DIF,'"&amp;MAX('ID1&amp;5'!K:K)+1&amp;"' AS ID_EXEC, CURRENT_TIMESTAMP() AS TIME_EXEC FROM "&amp;I91,
IF(C91="Not applicable",+"SELECT '"&amp;UPPER(B91)&amp;"' AS TABELA, '"&amp;UPPER(C91)&amp;"' AS TIPOLOGIA_TESTE,'"&amp;D91&amp;"' AS TABELA_LT,'N/A' AS TABELA_SIMUL,'"&amp;F91&amp;"' AS CAMPO, "&amp;"'${ref_date}' AS REF_DATE, COUNT(*) AS NUM_REG, SUM(IF(TRIM(CAST(X."&amp;F91&amp;" AS STRING)) IN ('N/A','11111111111','11111111111.00','11111111111.000000','1111-11-11'),1,0)) AS NUM_REG_DIF,'"&amp;MAX('ID1&amp;5'!K:K)+1&amp;"' AS ID_EXEC, CURRENT_TIMESTAMP() AS TIME_EXEC FROM "&amp;I91,
IF(C91="Valores extremos",+"SELECT '"&amp;UPPER(B91)&amp;"' AS TABELA, '"&amp;UPPER(C91)&amp;"' AS TIPOLOGIA_TESTE,'"&amp;D91&amp;"' AS TABELA_LT,'N/A' AS TABELA_SIMUL,'"&amp;F91&amp;"' AS CAMPO, "&amp;"'${ref_date}' AS REF_DATE, CAST(MIN("&amp;F91&amp;") AS STRING) AS VALOR_MIN, CAST(MAX("&amp;F91&amp;") AS STRING) AS VALOR_MAX,'"&amp;MAX('ID1&amp;5'!K:K)+1&amp;"' AS ID_EXEC, CURRENT_TIMESTAMP() AS TIME_EXEC FROM "&amp;MID(I91,1,LEN(I91)-2)&amp;" AND CAST("&amp;F91&amp;"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TABELA_SIMUL,'DT_RFRNC' AS CAMPO, '${ref_date}' AS REF_DATE, COUNT(*) AS NUM_REG, SUM(IF(COALESCE(CAST(X.DT_RFRNC AS STRING),'')&lt;&gt;COALESCE(CAST(Y.DT_RFRNC_SIMUL AS STRING),''),1,0)) AS NUM_REG_DIF,'1' AS ID_EXEC, CURRENT_TIMESTAMP() AS TIME_EXEC FROM (SELECT prtctn_id, DT_RFRNC FROM BU_LOANTAPE_WORK.LT004_PROTECTION WHERE ref_date='${ref_date}' AND nome_perimetro='Individual Corporativo' AND segmento='ESTR' AND ambito='PILAR3')X INNER JOIN (SELECT prtctn_id AS prtctn_id_SIMUL, DT_RFRNC AS DT_RFRNC_SIMUL FROM BU_LOANTAPE_WORK.LT004_PROTECTION_P3_NOV24)Y ON X.PRTCTN_ID=Y.PRTCTN_ID_SIMUL</v>
      </c>
      <c r="M91" s="43" t="str">
        <f t="shared" si="1"/>
        <v>UNION ALL SELECT 'PROTECTION' AS TABELA, 'COERÊNCIA' AS TIPOLOGIA_TESTE,'BU_LOANTAPE_WORK.LT004_PROTECTION' AS TABELA_LT,'BU_LOANTAPE_WORK.LT004_PROTECTION_P3_NOV24' AS TABELA_SIMUL,'DT_RFRNC' AS CAMPO, '${ref_date}' AS REF_DATE, COUNT(*) AS NUM_REG, SUM(IF(COALESCE(CAST(X.DT_RFRNC AS STRING),'')&lt;&gt;COALESCE(CAST(Y.DT_RFRNC_SIMUL AS STRING),''),1,0)) AS NUM_REG_DIF,'1' AS ID_EXEC, CURRENT_TIMESTAMP() AS TIME_EXEC FROM (SELECT prtctn_id, DT_RFRNC FROM BU_LOANTAPE_WORK.LT004_PROTECTION WHERE ref_date='${ref_date}' AND nome_perimetro='Individual Corporativo' AND segmento='ESTR' AND ambito='PILAR3')X INNER JOIN (SELECT prtctn_id AS prtctn_id_SIMUL, DT_RFRNC AS DT_RFRNC_SIMUL FROM BU_LOANTAPE_WORK.LT004_PROTECTION_P3_NOV24)Y ON X.PRTCTN_ID=Y.PRTCTN_ID_SIMUL</v>
      </c>
      <c r="N91" s="45" t="s">
        <v>13</v>
      </c>
    </row>
    <row r="92" spans="2:14">
      <c r="B92" s="41" t="s">
        <v>31</v>
      </c>
      <c r="C92" s="41" t="s">
        <v>74</v>
      </c>
      <c r="D92" s="41" t="str">
        <f>+UPPER('0. Instruções'!$D$33&amp;"."&amp;VLOOKUP(B92,'0. Instruções'!$C$27:$D$31,2,FALSE))</f>
        <v>BU_LOANTAPE_WORK.LT004_PROTECTION</v>
      </c>
      <c r="E92" s="41" t="str">
        <f>+UPPER('0. Instruções'!$D$34&amp;"."&amp;VLOOKUP(B92,'0. Instruções'!$C$27:$E$31,3,FALSE))</f>
        <v>BU_LOANTAPE_WORK.LT004_PROTECTION_P3_NOV24</v>
      </c>
      <c r="F92" s="41" t="s">
        <v>190</v>
      </c>
      <c r="G92" s="41" t="s">
        <v>13</v>
      </c>
      <c r="H92" s="41"/>
      <c r="I92" s="41" t="str">
        <f>"(SELECT "&amp;VLOOKUP(B92,'0. Instruções'!$C$27:$G$31,4,FALSE)&amp;", "&amp;F92&amp;" FROM "&amp;D92&amp;" WHERE "&amp;'0. Instruções'!$D$40&amp;")X"</f>
        <v>(SELECT prtctn_id, PRTCTN_ID FROM BU_LOANTAPE_WORK.LT004_PROTECTION WHERE ref_date='${ref_date}' AND nome_perimetro='Individual Corporativo' AND segmento='ESTR' AND ambito='PILAR3')X</v>
      </c>
      <c r="J92" s="41" t="str">
        <f>"(SELECT "&amp;VLOOKUP(B92,'0. Instruções'!$C$27:$G$31,4,FALSE)&amp;" AS "&amp;VLOOKUP(B92,'0. Instruções'!$C$27:$G$31,4,FALSE)&amp;"_SIMUL, "&amp;F92&amp;" AS "&amp;F92&amp;"_SIMUL FROM "&amp;E92&amp;")Y"</f>
        <v>(SELECT prtctn_id AS prtctn_id_SIMUL, PRTCTN_ID AS PRTCTN_ID_SIMUL FROM BU_LOANTAPE_WORK.LT004_PROTECTION_P3_NOV24)Y</v>
      </c>
      <c r="K92" s="42" t="str">
        <f>+UPPER("ON X."&amp;VLOOKUP(B92,'0. Instruções'!$C$27:$G$31,4,FALSE)&amp;"=Y."&amp;VLOOKUP(B92,'0. Instruções'!$C$27:$G$31,4,FALSE)&amp;"_SIMUL")</f>
        <v>ON X.PRTCTN_ID=Y.PRTCTN_ID_SIMUL</v>
      </c>
      <c r="L92" s="42" t="str">
        <f>+IF(C92="Coerência", +IF(LEFT(G92,5)="FLOAT","SELECT '"&amp;UPPER(B92)&amp;"' AS TABELA, '"&amp;UPPER(C92)&amp;"' AS TIPOLOGIA_TESTE,'"&amp;D92&amp;"' AS TABELA_LT,'"&amp;E92&amp;"' AS TABELA_SIMUL,'"&amp;F92&amp;"' AS CAMPO, "&amp;"'${ref_date}' AS REF_DATE, COUNT(*) AS NUM_REG, SUM(IF((ABS(COALESCE(X."&amp;F92&amp;",0)-COALESCE(Y."&amp;F92&amp;"_SIMUL,0))&gt;0.0000000001) OR (X."&amp;F92&amp;" IS NULL AND Y."&amp;F92&amp;"_SIMUL IS NOT NULL ) OR (X."&amp;F92&amp;" IS NOT NULL AND Y."&amp;F92&amp;"_SIMUL IS NULL),1,0)) AS NUM_REG_DIF,'"&amp;MAX('ID1&amp;5'!K:K)+1&amp;"' AS ID_EXEC, CURRENT_TIMESTAMP() AS TIME_EXEC FROM "&amp;I92&amp;" INNER JOIN "&amp;J92&amp;" "&amp;K92,"SELECT '"&amp;UPPER(B92)&amp;"' AS TABELA, '"&amp;UPPER(C92)&amp;"' AS TIPOLOGIA_TESTE,'"&amp;D92&amp;"' AS TABELA_LT,'"&amp;E92&amp;"' AS TABELA_SIMUL,'"&amp;F92&amp;"' AS CAMPO, "&amp;"'${ref_date}' AS REF_DATE, COUNT(*) AS NUM_REG, SUM(IF(COALESCE(CAST(X."&amp;F92&amp;" AS STRING),'')&lt;&gt;COALESCE(CAST(Y."&amp;F92&amp;"_SIMUL AS STRING),''),1,0)) AS NUM_REG_DIF,'"&amp;MAX('ID1&amp;5'!L:L)+1&amp;"' AS ID_EXEC, CURRENT_TIMESTAMP() AS TIME_EXEC FROM "&amp;I92&amp;" INNER JOIN "&amp;J92&amp;" "&amp;K92),
IF(C92="Validade",+IF(G92="Code List","SELECT '"&amp;UPPER(B92)&amp;"' AS TABELA, '"&amp;UPPER(C92)&amp;"' AS TIPOLOGIA_TESTE,'"&amp;D92&amp;"' AS TABELA_LT,'N/A' AS TABELA_SIMUL,'"&amp;F92&amp;"' AS CAMPO, "&amp;"'${ref_date}' AS REF_DATE, COUNT(*) AS NUM_REG, SUM(IF(TRIM(CAST(X."&amp;F92&amp;" AS STRING))='' OR TRIM(CAST(X."&amp;F92&amp;" AS STRING)) IS NULL OR CAST(X."&amp;F92&amp;" AS STRING) NOT "&amp;H92&amp;",1,0)) AS NUM_REG_DIF,'"&amp;MAX('ID1&amp;5'!K:K)+1&amp;"' AS ID_EXEC, CURRENT_TIMESTAMP() AS TIME_EXEC FROM "&amp;I92,"SELECT '"&amp;UPPER(B92)&amp;"' AS TABELA, '"&amp;UPPER(C92)&amp;"' AS TIPOLOGIA_TESTE,'"&amp;D92&amp;"' AS TABELA_LT,'N/A' AS TABELA_SIMUL,'"&amp;F92&amp;"' AS CAMPO, "&amp;"'${ref_date}' AS REF_DATE, COUNT(*) AS NUM_REG, SUM(IF(TRIM(CAST(X."&amp;F92&amp;" AS STRING))='' OR TRIM(CAST(X."&amp;F92&amp;" AS STRING)) IS NULL,1,0)) AS NUM_REG_DIF,'"&amp;MAX('ID1&amp;5'!K:K)+1&amp;"' AS ID_EXEC, CURRENT_TIMESTAMP() AS TIME_EXEC FROM "&amp;I92),
IF(C92="Caracteres Especiais",+"SELECT '"&amp;UPPER(B92)&amp;"' AS TABELA, '"&amp;UPPER(C92)&amp;"' AS TIPOLOGIA_TESTE,'"&amp;D92&amp;"' AS TABELA_LT,'N/A' AS TABELA_SIMUL,'"&amp;F92&amp;"' AS CAMPO, "&amp;"'${ref_date}' AS REF_DATE, COUNT(*) AS NUM_REG, SUM(IF(INSTR(CAST(X."&amp;F92&amp;" AS STRING),'#')&gt;0 OR INSTR(CAST(X."&amp;F92&amp;" AS STRING),'*')&gt;0 OR INSTR(CAST(X."&amp;F92&amp;" AS STRING),'`')&gt;0 OR INSTR(CAST(X."&amp;F92&amp;" AS STRING),'´')&gt;0 OR INSTR(CAST(X."&amp;F92&amp;" AS STRING),'{')&gt;0 OR INSTR(CAST(X."&amp;F92&amp;" AS STRING),'}')&gt;0 OR INSTR(CAST(X."&amp;F92&amp;" AS STRING),'[')&gt;0 OR INSTR(CAST(X."&amp;F92&amp;" AS STRING),'')&gt;0 OR INSTR(CAST(X."&amp;F92&amp;" AS STRING),']')&gt;0 OR INSTR(CAST(X."&amp;F92&amp;" AS STRING),'?')&gt;0 OR INSTR(CAST(X."&amp;F92&amp;" AS STRING),'!')&gt;0 OR INSTR(CAST(X."&amp;F92&amp;" AS STRING),'$')&gt;0 OR INSTR(CAST(X."&amp;F92&amp;" AS STRING),'%')&gt;0 OR INSTR(CAST(X."&amp;F92&amp;" AS STRING),'&amp;')&gt;0 OR INSTR(CAST(X."&amp;F92&amp;" AS STRING),'+')&gt;0,1,0)) AS NUM_REG_DIF,'"&amp;MAX('ID1&amp;5'!K:K)+1&amp;"' AS ID_EXEC, CURRENT_TIMESTAMP() AS TIME_EXEC FROM "&amp;I92,
IF(C92="Missings",+"SELECT '"&amp;UPPER(B92)&amp;"' AS TABELA, '"&amp;UPPER(C92)&amp;"' AS TIPOLOGIA_TESTE,'"&amp;D92&amp;"' AS TABELA_LT,'N/A' AS TABELA_SIMUL,'"&amp;F92&amp;"' AS CAMPO, "&amp;"'${ref_date}' AS REF_DATE, COUNT(*) AS NUM_REG, SUM(IF(TRIM(CAST(X."&amp;F92&amp;" AS STRING)) IN ('0000-00-00','0001-01-01','9999-12-31','MISS','00000','99999999999','99999999999.00','99999999999.000000'),1,0)) AS NUM_REG_DIF,'"&amp;MAX('ID1&amp;5'!K:K)+1&amp;"' AS ID_EXEC, CURRENT_TIMESTAMP() AS TIME_EXEC FROM "&amp;I92,
IF(C92="Not applicable",+"SELECT '"&amp;UPPER(B92)&amp;"' AS TABELA, '"&amp;UPPER(C92)&amp;"' AS TIPOLOGIA_TESTE,'"&amp;D92&amp;"' AS TABELA_LT,'N/A' AS TABELA_SIMUL,'"&amp;F92&amp;"' AS CAMPO, "&amp;"'${ref_date}' AS REF_DATE, COUNT(*) AS NUM_REG, SUM(IF(TRIM(CAST(X."&amp;F92&amp;" AS STRING)) IN ('N/A','11111111111','11111111111.00','11111111111.000000','1111-11-11'),1,0)) AS NUM_REG_DIF,'"&amp;MAX('ID1&amp;5'!K:K)+1&amp;"' AS ID_EXEC, CURRENT_TIMESTAMP() AS TIME_EXEC FROM "&amp;I92,
IF(C92="Valores extremos",+"SELECT '"&amp;UPPER(B92)&amp;"' AS TABELA, '"&amp;UPPER(C92)&amp;"' AS TIPOLOGIA_TESTE,'"&amp;D92&amp;"' AS TABELA_LT,'N/A' AS TABELA_SIMUL,'"&amp;F92&amp;"' AS CAMPO, "&amp;"'${ref_date}' AS REF_DATE, CAST(MIN("&amp;F92&amp;") AS STRING) AS VALOR_MIN, CAST(MAX("&amp;F92&amp;") AS STRING) AS VALOR_MAX,'"&amp;MAX('ID1&amp;5'!K:K)+1&amp;"' AS ID_EXEC, CURRENT_TIMESTAMP() AS TIME_EXEC FROM "&amp;MID(I92,1,LEN(I92)-2)&amp;" AND CAST("&amp;F92&amp;"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TABELA_SIMUL,'PRTCTN_ID' AS CAMPO, '${ref_date}' AS REF_DATE, COUNT(*) AS NUM_REG, SUM(IF(COALESCE(CAST(X.PRTCTN_ID AS STRING),'')&lt;&gt;COALESCE(CAST(Y.PRTCTN_ID_SIMUL AS STRING),''),1,0)) AS NUM_REG_DIF,'1' AS ID_EXEC, CURRENT_TIMESTAMP() AS TIME_EXEC FROM (SELECT prtctn_id, PRTCTN_ID FROM BU_LOANTAPE_WORK.LT004_PROTECTION WHERE ref_date='${ref_date}' AND nome_perimetro='Individual Corporativo' AND segmento='ESTR' AND ambito='PILAR3')X INNER JOIN (SELECT prtctn_id AS prtctn_id_SIMUL, PRTCTN_ID AS PRTCTN_ID_SIMUL FROM BU_LOANTAPE_WORK.LT004_PROTECTION_P3_NOV24)Y ON X.PRTCTN_ID=Y.PRTCTN_ID_SIMUL</v>
      </c>
      <c r="M92" s="43" t="str">
        <f t="shared" si="1"/>
        <v>UNION ALL SELECT 'PROTECTION' AS TABELA, 'COERÊNCIA' AS TIPOLOGIA_TESTE,'BU_LOANTAPE_WORK.LT004_PROTECTION' AS TABELA_LT,'BU_LOANTAPE_WORK.LT004_PROTECTION_P3_NOV24' AS TABELA_SIMUL,'PRTCTN_ID' AS CAMPO, '${ref_date}' AS REF_DATE, COUNT(*) AS NUM_REG, SUM(IF(COALESCE(CAST(X.PRTCTN_ID AS STRING),'')&lt;&gt;COALESCE(CAST(Y.PRTCTN_ID_SIMUL AS STRING),''),1,0)) AS NUM_REG_DIF,'1' AS ID_EXEC, CURRENT_TIMESTAMP() AS TIME_EXEC FROM (SELECT prtctn_id, PRTCTN_ID FROM BU_LOANTAPE_WORK.LT004_PROTECTION WHERE ref_date='${ref_date}' AND nome_perimetro='Individual Corporativo' AND segmento='ESTR' AND ambito='PILAR3')X INNER JOIN (SELECT prtctn_id AS prtctn_id_SIMUL, PRTCTN_ID AS PRTCTN_ID_SIMUL FROM BU_LOANTAPE_WORK.LT004_PROTECTION_P3_NOV24)Y ON X.PRTCTN_ID=Y.PRTCTN_ID_SIMUL</v>
      </c>
      <c r="N92" s="45" t="s">
        <v>13</v>
      </c>
    </row>
    <row r="93" spans="2:14">
      <c r="B93" s="41" t="s">
        <v>31</v>
      </c>
      <c r="C93" s="41" t="s">
        <v>74</v>
      </c>
      <c r="D93" s="41" t="str">
        <f>+UPPER('0. Instruções'!$D$33&amp;"."&amp;VLOOKUP(B93,'0. Instruções'!$C$27:$D$31,2,FALSE))</f>
        <v>BU_LOANTAPE_WORK.LT004_PROTECTION</v>
      </c>
      <c r="E93" s="41" t="str">
        <f>+UPPER('0. Instruções'!$D$34&amp;"."&amp;VLOOKUP(B93,'0. Instruções'!$C$27:$E$31,3,FALSE))</f>
        <v>BU_LOANTAPE_WORK.LT004_PROTECTION_P3_NOV24</v>
      </c>
      <c r="F93" s="41" t="s">
        <v>191</v>
      </c>
      <c r="G93" s="41" t="s">
        <v>13</v>
      </c>
      <c r="H93" s="41"/>
      <c r="I93" s="41" t="str">
        <f>"(SELECT "&amp;VLOOKUP(B93,'0. Instruções'!$C$27:$G$31,4,FALSE)&amp;", "&amp;F93&amp;" FROM "&amp;D93&amp;" WHERE "&amp;'0. Instruções'!$D$40&amp;")X"</f>
        <v>(SELECT prtctn_id, RL_ESTT_CLLTRL_LCTN FROM BU_LOANTAPE_WORK.LT004_PROTECTION WHERE ref_date='${ref_date}' AND nome_perimetro='Individual Corporativo' AND segmento='ESTR' AND ambito='PILAR3')X</v>
      </c>
      <c r="J93" s="41" t="str">
        <f>"(SELECT "&amp;VLOOKUP(B93,'0. Instruções'!$C$27:$G$31,4,FALSE)&amp;" AS "&amp;VLOOKUP(B93,'0. Instruções'!$C$27:$G$31,4,FALSE)&amp;"_SIMUL, "&amp;F93&amp;" AS "&amp;F93&amp;"_SIMUL FROM "&amp;E93&amp;")Y"</f>
        <v>(SELECT prtctn_id AS prtctn_id_SIMUL, RL_ESTT_CLLTRL_LCTN AS RL_ESTT_CLLTRL_LCTN_SIMUL FROM BU_LOANTAPE_WORK.LT004_PROTECTION_P3_NOV24)Y</v>
      </c>
      <c r="K93" s="42" t="str">
        <f>+UPPER("ON X."&amp;VLOOKUP(B93,'0. Instruções'!$C$27:$G$31,4,FALSE)&amp;"=Y."&amp;VLOOKUP(B93,'0. Instruções'!$C$27:$G$31,4,FALSE)&amp;"_SIMUL")</f>
        <v>ON X.PRTCTN_ID=Y.PRTCTN_ID_SIMUL</v>
      </c>
      <c r="L93" s="42" t="str">
        <f>+IF(C93="Coerência", +IF(LEFT(G93,5)="FLOAT","SELECT '"&amp;UPPER(B93)&amp;"' AS TABELA, '"&amp;UPPER(C93)&amp;"' AS TIPOLOGIA_TESTE,'"&amp;D93&amp;"' AS TABELA_LT,'"&amp;E93&amp;"' AS TABELA_SIMUL,'"&amp;F93&amp;"' AS CAMPO, "&amp;"'${ref_date}' AS REF_DATE, COUNT(*) AS NUM_REG, SUM(IF((ABS(COALESCE(X."&amp;F93&amp;",0)-COALESCE(Y."&amp;F93&amp;"_SIMUL,0))&gt;0.0000000001) OR (X."&amp;F93&amp;" IS NULL AND Y."&amp;F93&amp;"_SIMUL IS NOT NULL ) OR (X."&amp;F93&amp;" IS NOT NULL AND Y."&amp;F93&amp;"_SIMUL IS NULL),1,0)) AS NUM_REG_DIF,'"&amp;MAX('ID1&amp;5'!K:K)+1&amp;"' AS ID_EXEC, CURRENT_TIMESTAMP() AS TIME_EXEC FROM "&amp;I93&amp;" INNER JOIN "&amp;J93&amp;" "&amp;K93,"SELECT '"&amp;UPPER(B93)&amp;"' AS TABELA, '"&amp;UPPER(C93)&amp;"' AS TIPOLOGIA_TESTE,'"&amp;D93&amp;"' AS TABELA_LT,'"&amp;E93&amp;"' AS TABELA_SIMUL,'"&amp;F93&amp;"' AS CAMPO, "&amp;"'${ref_date}' AS REF_DATE, COUNT(*) AS NUM_REG, SUM(IF(COALESCE(CAST(X."&amp;F93&amp;" AS STRING),'')&lt;&gt;COALESCE(CAST(Y."&amp;F93&amp;"_SIMUL AS STRING),''),1,0)) AS NUM_REG_DIF,'"&amp;MAX('ID1&amp;5'!L:L)+1&amp;"' AS ID_EXEC, CURRENT_TIMESTAMP() AS TIME_EXEC FROM "&amp;I93&amp;" INNER JOIN "&amp;J93&amp;" "&amp;K93),
IF(C93="Validade",+IF(G93="Code List","SELECT '"&amp;UPPER(B93)&amp;"' AS TABELA, '"&amp;UPPER(C93)&amp;"' AS TIPOLOGIA_TESTE,'"&amp;D93&amp;"' AS TABELA_LT,'N/A' AS TABELA_SIMUL,'"&amp;F93&amp;"' AS CAMPO, "&amp;"'${ref_date}' AS REF_DATE, COUNT(*) AS NUM_REG, SUM(IF(TRIM(CAST(X."&amp;F93&amp;" AS STRING))='' OR TRIM(CAST(X."&amp;F93&amp;" AS STRING)) IS NULL OR CAST(X."&amp;F93&amp;" AS STRING) NOT "&amp;H93&amp;",1,0)) AS NUM_REG_DIF,'"&amp;MAX('ID1&amp;5'!K:K)+1&amp;"' AS ID_EXEC, CURRENT_TIMESTAMP() AS TIME_EXEC FROM "&amp;I93,"SELECT '"&amp;UPPER(B93)&amp;"' AS TABELA, '"&amp;UPPER(C93)&amp;"' AS TIPOLOGIA_TESTE,'"&amp;D93&amp;"' AS TABELA_LT,'N/A' AS TABELA_SIMUL,'"&amp;F93&amp;"' AS CAMPO, "&amp;"'${ref_date}' AS REF_DATE, COUNT(*) AS NUM_REG, SUM(IF(TRIM(CAST(X."&amp;F93&amp;" AS STRING))='' OR TRIM(CAST(X."&amp;F93&amp;" AS STRING)) IS NULL,1,0)) AS NUM_REG_DIF,'"&amp;MAX('ID1&amp;5'!K:K)+1&amp;"' AS ID_EXEC, CURRENT_TIMESTAMP() AS TIME_EXEC FROM "&amp;I93),
IF(C93="Caracteres Especiais",+"SELECT '"&amp;UPPER(B93)&amp;"' AS TABELA, '"&amp;UPPER(C93)&amp;"' AS TIPOLOGIA_TESTE,'"&amp;D93&amp;"' AS TABELA_LT,'N/A' AS TABELA_SIMUL,'"&amp;F93&amp;"' AS CAMPO, "&amp;"'${ref_date}' AS REF_DATE, COUNT(*) AS NUM_REG, SUM(IF(INSTR(CAST(X."&amp;F93&amp;" AS STRING),'#')&gt;0 OR INSTR(CAST(X."&amp;F93&amp;" AS STRING),'*')&gt;0 OR INSTR(CAST(X."&amp;F93&amp;" AS STRING),'`')&gt;0 OR INSTR(CAST(X."&amp;F93&amp;" AS STRING),'´')&gt;0 OR INSTR(CAST(X."&amp;F93&amp;" AS STRING),'{')&gt;0 OR INSTR(CAST(X."&amp;F93&amp;" AS STRING),'}')&gt;0 OR INSTR(CAST(X."&amp;F93&amp;" AS STRING),'[')&gt;0 OR INSTR(CAST(X."&amp;F93&amp;" AS STRING),'')&gt;0 OR INSTR(CAST(X."&amp;F93&amp;" AS STRING),']')&gt;0 OR INSTR(CAST(X."&amp;F93&amp;" AS STRING),'?')&gt;0 OR INSTR(CAST(X."&amp;F93&amp;" AS STRING),'!')&gt;0 OR INSTR(CAST(X."&amp;F93&amp;" AS STRING),'$')&gt;0 OR INSTR(CAST(X."&amp;F93&amp;" AS STRING),'%')&gt;0 OR INSTR(CAST(X."&amp;F93&amp;" AS STRING),'&amp;')&gt;0 OR INSTR(CAST(X."&amp;F93&amp;" AS STRING),'+')&gt;0,1,0)) AS NUM_REG_DIF,'"&amp;MAX('ID1&amp;5'!K:K)+1&amp;"' AS ID_EXEC, CURRENT_TIMESTAMP() AS TIME_EXEC FROM "&amp;I93,
IF(C93="Missings",+"SELECT '"&amp;UPPER(B93)&amp;"' AS TABELA, '"&amp;UPPER(C93)&amp;"' AS TIPOLOGIA_TESTE,'"&amp;D93&amp;"' AS TABELA_LT,'N/A' AS TABELA_SIMUL,'"&amp;F93&amp;"' AS CAMPO, "&amp;"'${ref_date}' AS REF_DATE, COUNT(*) AS NUM_REG, SUM(IF(TRIM(CAST(X."&amp;F93&amp;" AS STRING)) IN ('0000-00-00','0001-01-01','9999-12-31','MISS','00000','99999999999','99999999999.00','99999999999.000000'),1,0)) AS NUM_REG_DIF,'"&amp;MAX('ID1&amp;5'!K:K)+1&amp;"' AS ID_EXEC, CURRENT_TIMESTAMP() AS TIME_EXEC FROM "&amp;I93,
IF(C93="Not applicable",+"SELECT '"&amp;UPPER(B93)&amp;"' AS TABELA, '"&amp;UPPER(C93)&amp;"' AS TIPOLOGIA_TESTE,'"&amp;D93&amp;"' AS TABELA_LT,'N/A' AS TABELA_SIMUL,'"&amp;F93&amp;"' AS CAMPO, "&amp;"'${ref_date}' AS REF_DATE, COUNT(*) AS NUM_REG, SUM(IF(TRIM(CAST(X."&amp;F93&amp;" AS STRING)) IN ('N/A','11111111111','11111111111.00','11111111111.000000','1111-11-11'),1,0)) AS NUM_REG_DIF,'"&amp;MAX('ID1&amp;5'!K:K)+1&amp;"' AS ID_EXEC, CURRENT_TIMESTAMP() AS TIME_EXEC FROM "&amp;I93,
IF(C93="Valores extremos",+"SELECT '"&amp;UPPER(B93)&amp;"' AS TABELA, '"&amp;UPPER(C93)&amp;"' AS TIPOLOGIA_TESTE,'"&amp;D93&amp;"' AS TABELA_LT,'N/A' AS TABELA_SIMUL,'"&amp;F93&amp;"' AS CAMPO, "&amp;"'${ref_date}' AS REF_DATE, CAST(MIN("&amp;F93&amp;") AS STRING) AS VALOR_MIN, CAST(MAX("&amp;F93&amp;") AS STRING) AS VALOR_MAX,'"&amp;MAX('ID1&amp;5'!K:K)+1&amp;"' AS ID_EXEC, CURRENT_TIMESTAMP() AS TIME_EXEC FROM "&amp;MID(I93,1,LEN(I93)-2)&amp;" AND CAST("&amp;F93&amp;"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TABELA_SIMUL,'RL_ESTT_CLLTRL_LCTN' AS CAMPO, '${ref_date}' AS REF_DATE, COUNT(*) AS NUM_REG, SUM(IF(COALESCE(CAST(X.RL_ESTT_CLLTRL_LCTN AS STRING),'')&lt;&gt;COALESCE(CAST(Y.RL_ESTT_CLLTRL_LCTN_SIMUL AS STRING),''),1,0)) AS NUM_REG_DIF,'1' AS ID_EXEC, CURRENT_TIMESTAMP() AS TIME_EXEC FROM (SELECT prtctn_id, RL_ESTT_CLLTRL_LCTN FROM BU_LOANTAPE_WORK.LT004_PROTECTION WHERE ref_date='${ref_date}' AND nome_perimetro='Individual Corporativo' AND segmento='ESTR' AND ambito='PILAR3')X INNER JOIN (SELECT prtctn_id AS prtctn_id_SIMUL, RL_ESTT_CLLTRL_LCTN AS RL_ESTT_CLLTRL_LCTN_SIMUL FROM BU_LOANTAPE_WORK.LT004_PROTECTION_P3_NOV24)Y ON X.PRTCTN_ID=Y.PRTCTN_ID_SIMUL</v>
      </c>
      <c r="M93" s="43" t="str">
        <f t="shared" si="1"/>
        <v>UNION ALL SELECT 'PROTECTION' AS TABELA, 'COERÊNCIA' AS TIPOLOGIA_TESTE,'BU_LOANTAPE_WORK.LT004_PROTECTION' AS TABELA_LT,'BU_LOANTAPE_WORK.LT004_PROTECTION_P3_NOV24' AS TABELA_SIMUL,'RL_ESTT_CLLTRL_LCTN' AS CAMPO, '${ref_date}' AS REF_DATE, COUNT(*) AS NUM_REG, SUM(IF(COALESCE(CAST(X.RL_ESTT_CLLTRL_LCTN AS STRING),'')&lt;&gt;COALESCE(CAST(Y.RL_ESTT_CLLTRL_LCTN_SIMUL AS STRING),''),1,0)) AS NUM_REG_DIF,'1' AS ID_EXEC, CURRENT_TIMESTAMP() AS TIME_EXEC FROM (SELECT prtctn_id, RL_ESTT_CLLTRL_LCTN FROM BU_LOANTAPE_WORK.LT004_PROTECTION WHERE ref_date='${ref_date}' AND nome_perimetro='Individual Corporativo' AND segmento='ESTR' AND ambito='PILAR3')X INNER JOIN (SELECT prtctn_id AS prtctn_id_SIMUL, RL_ESTT_CLLTRL_LCTN AS RL_ESTT_CLLTRL_LCTN_SIMUL FROM BU_LOANTAPE_WORK.LT004_PROTECTION_P3_NOV24)Y ON X.PRTCTN_ID=Y.PRTCTN_ID_SIMUL</v>
      </c>
      <c r="N93" s="45" t="s">
        <v>13</v>
      </c>
    </row>
    <row r="94" spans="2:14">
      <c r="B94" s="41" t="s">
        <v>31</v>
      </c>
      <c r="C94" s="41" t="s">
        <v>74</v>
      </c>
      <c r="D94" s="41" t="str">
        <f>+UPPER('0. Instruções'!$D$33&amp;"."&amp;VLOOKUP(B94,'0. Instruções'!$C$27:$D$31,2,FALSE))</f>
        <v>BU_LOANTAPE_WORK.LT004_PROTECTION</v>
      </c>
      <c r="E94" s="41" t="str">
        <f>+UPPER('0. Instruções'!$D$34&amp;"."&amp;VLOOKUP(B94,'0. Instruções'!$C$27:$E$31,3,FALSE))</f>
        <v>BU_LOANTAPE_WORK.LT004_PROTECTION_P3_NOV24</v>
      </c>
      <c r="F94" s="41" t="s">
        <v>192</v>
      </c>
      <c r="G94" s="41" t="s">
        <v>13</v>
      </c>
      <c r="H94" s="41"/>
      <c r="I94" s="41" t="str">
        <f>"(SELECT "&amp;VLOOKUP(B94,'0. Instruções'!$C$27:$G$31,4,FALSE)&amp;", "&amp;F94&amp;" FROM "&amp;D94&amp;" WHERE "&amp;'0. Instruções'!$D$40&amp;")X"</f>
        <v>(SELECT prtctn_id, RL_ESTT_PST_CD FROM BU_LOANTAPE_WORK.LT004_PROTECTION WHERE ref_date='${ref_date}' AND nome_perimetro='Individual Corporativo' AND segmento='ESTR' AND ambito='PILAR3')X</v>
      </c>
      <c r="J94" s="41" t="str">
        <f>"(SELECT "&amp;VLOOKUP(B94,'0. Instruções'!$C$27:$G$31,4,FALSE)&amp;" AS "&amp;VLOOKUP(B94,'0. Instruções'!$C$27:$G$31,4,FALSE)&amp;"_SIMUL, "&amp;F94&amp;" AS "&amp;F94&amp;"_SIMUL FROM "&amp;E94&amp;")Y"</f>
        <v>(SELECT prtctn_id AS prtctn_id_SIMUL, RL_ESTT_PST_CD AS RL_ESTT_PST_CD_SIMUL FROM BU_LOANTAPE_WORK.LT004_PROTECTION_P3_NOV24)Y</v>
      </c>
      <c r="K94" s="42" t="str">
        <f>+UPPER("ON X."&amp;VLOOKUP(B94,'0. Instruções'!$C$27:$G$31,4,FALSE)&amp;"=Y."&amp;VLOOKUP(B94,'0. Instruções'!$C$27:$G$31,4,FALSE)&amp;"_SIMUL")</f>
        <v>ON X.PRTCTN_ID=Y.PRTCTN_ID_SIMUL</v>
      </c>
      <c r="L94" s="42" t="str">
        <f>+IF(C94="Coerência", +IF(LEFT(G94,5)="FLOAT","SELECT '"&amp;UPPER(B94)&amp;"' AS TABELA, '"&amp;UPPER(C94)&amp;"' AS TIPOLOGIA_TESTE,'"&amp;D94&amp;"' AS TABELA_LT,'"&amp;E94&amp;"' AS TABELA_SIMUL,'"&amp;F94&amp;"' AS CAMPO, "&amp;"'${ref_date}' AS REF_DATE, COUNT(*) AS NUM_REG, SUM(IF((ABS(COALESCE(X."&amp;F94&amp;",0)-COALESCE(Y."&amp;F94&amp;"_SIMUL,0))&gt;0.0000000001) OR (X."&amp;F94&amp;" IS NULL AND Y."&amp;F94&amp;"_SIMUL IS NOT NULL ) OR (X."&amp;F94&amp;" IS NOT NULL AND Y."&amp;F94&amp;"_SIMUL IS NULL),1,0)) AS NUM_REG_DIF,'"&amp;MAX('ID1&amp;5'!K:K)+1&amp;"' AS ID_EXEC, CURRENT_TIMESTAMP() AS TIME_EXEC FROM "&amp;I94&amp;" INNER JOIN "&amp;J94&amp;" "&amp;K94,"SELECT '"&amp;UPPER(B94)&amp;"' AS TABELA, '"&amp;UPPER(C94)&amp;"' AS TIPOLOGIA_TESTE,'"&amp;D94&amp;"' AS TABELA_LT,'"&amp;E94&amp;"' AS TABELA_SIMUL,'"&amp;F94&amp;"' AS CAMPO, "&amp;"'${ref_date}' AS REF_DATE, COUNT(*) AS NUM_REG, SUM(IF(COALESCE(CAST(X."&amp;F94&amp;" AS STRING),'')&lt;&gt;COALESCE(CAST(Y."&amp;F94&amp;"_SIMUL AS STRING),''),1,0)) AS NUM_REG_DIF,'"&amp;MAX('ID1&amp;5'!L:L)+1&amp;"' AS ID_EXEC, CURRENT_TIMESTAMP() AS TIME_EXEC FROM "&amp;I94&amp;" INNER JOIN "&amp;J94&amp;" "&amp;K94),
IF(C94="Validade",+IF(G94="Code List","SELECT '"&amp;UPPER(B94)&amp;"' AS TABELA, '"&amp;UPPER(C94)&amp;"' AS TIPOLOGIA_TESTE,'"&amp;D94&amp;"' AS TABELA_LT,'N/A' AS TABELA_SIMUL,'"&amp;F94&amp;"' AS CAMPO, "&amp;"'${ref_date}' AS REF_DATE, COUNT(*) AS NUM_REG, SUM(IF(TRIM(CAST(X."&amp;F94&amp;" AS STRING))='' OR TRIM(CAST(X."&amp;F94&amp;" AS STRING)) IS NULL OR CAST(X."&amp;F94&amp;" AS STRING) NOT "&amp;H94&amp;",1,0)) AS NUM_REG_DIF,'"&amp;MAX('ID1&amp;5'!K:K)+1&amp;"' AS ID_EXEC, CURRENT_TIMESTAMP() AS TIME_EXEC FROM "&amp;I94,"SELECT '"&amp;UPPER(B94)&amp;"' AS TABELA, '"&amp;UPPER(C94)&amp;"' AS TIPOLOGIA_TESTE,'"&amp;D94&amp;"' AS TABELA_LT,'N/A' AS TABELA_SIMUL,'"&amp;F94&amp;"' AS CAMPO, "&amp;"'${ref_date}' AS REF_DATE, COUNT(*) AS NUM_REG, SUM(IF(TRIM(CAST(X."&amp;F94&amp;" AS STRING))='' OR TRIM(CAST(X."&amp;F94&amp;" AS STRING)) IS NULL,1,0)) AS NUM_REG_DIF,'"&amp;MAX('ID1&amp;5'!K:K)+1&amp;"' AS ID_EXEC, CURRENT_TIMESTAMP() AS TIME_EXEC FROM "&amp;I94),
IF(C94="Caracteres Especiais",+"SELECT '"&amp;UPPER(B94)&amp;"' AS TABELA, '"&amp;UPPER(C94)&amp;"' AS TIPOLOGIA_TESTE,'"&amp;D94&amp;"' AS TABELA_LT,'N/A' AS TABELA_SIMUL,'"&amp;F94&amp;"' AS CAMPO, "&amp;"'${ref_date}' AS REF_DATE, COUNT(*) AS NUM_REG, SUM(IF(INSTR(CAST(X."&amp;F94&amp;" AS STRING),'#')&gt;0 OR INSTR(CAST(X."&amp;F94&amp;" AS STRING),'*')&gt;0 OR INSTR(CAST(X."&amp;F94&amp;" AS STRING),'`')&gt;0 OR INSTR(CAST(X."&amp;F94&amp;" AS STRING),'´')&gt;0 OR INSTR(CAST(X."&amp;F94&amp;" AS STRING),'{')&gt;0 OR INSTR(CAST(X."&amp;F94&amp;" AS STRING),'}')&gt;0 OR INSTR(CAST(X."&amp;F94&amp;" AS STRING),'[')&gt;0 OR INSTR(CAST(X."&amp;F94&amp;" AS STRING),'')&gt;0 OR INSTR(CAST(X."&amp;F94&amp;" AS STRING),']')&gt;0 OR INSTR(CAST(X."&amp;F94&amp;" AS STRING),'?')&gt;0 OR INSTR(CAST(X."&amp;F94&amp;" AS STRING),'!')&gt;0 OR INSTR(CAST(X."&amp;F94&amp;" AS STRING),'$')&gt;0 OR INSTR(CAST(X."&amp;F94&amp;" AS STRING),'%')&gt;0 OR INSTR(CAST(X."&amp;F94&amp;" AS STRING),'&amp;')&gt;0 OR INSTR(CAST(X."&amp;F94&amp;" AS STRING),'+')&gt;0,1,0)) AS NUM_REG_DIF,'"&amp;MAX('ID1&amp;5'!K:K)+1&amp;"' AS ID_EXEC, CURRENT_TIMESTAMP() AS TIME_EXEC FROM "&amp;I94,
IF(C94="Missings",+"SELECT '"&amp;UPPER(B94)&amp;"' AS TABELA, '"&amp;UPPER(C94)&amp;"' AS TIPOLOGIA_TESTE,'"&amp;D94&amp;"' AS TABELA_LT,'N/A' AS TABELA_SIMUL,'"&amp;F94&amp;"' AS CAMPO, "&amp;"'${ref_date}' AS REF_DATE, COUNT(*) AS NUM_REG, SUM(IF(TRIM(CAST(X."&amp;F94&amp;" AS STRING)) IN ('0000-00-00','0001-01-01','9999-12-31','MISS','00000','99999999999','99999999999.00','99999999999.000000'),1,0)) AS NUM_REG_DIF,'"&amp;MAX('ID1&amp;5'!K:K)+1&amp;"' AS ID_EXEC, CURRENT_TIMESTAMP() AS TIME_EXEC FROM "&amp;I94,
IF(C94="Not applicable",+"SELECT '"&amp;UPPER(B94)&amp;"' AS TABELA, '"&amp;UPPER(C94)&amp;"' AS TIPOLOGIA_TESTE,'"&amp;D94&amp;"' AS TABELA_LT,'N/A' AS TABELA_SIMUL,'"&amp;F94&amp;"' AS CAMPO, "&amp;"'${ref_date}' AS REF_DATE, COUNT(*) AS NUM_REG, SUM(IF(TRIM(CAST(X."&amp;F94&amp;" AS STRING)) IN ('N/A','11111111111','11111111111.00','11111111111.000000','1111-11-11'),1,0)) AS NUM_REG_DIF,'"&amp;MAX('ID1&amp;5'!K:K)+1&amp;"' AS ID_EXEC, CURRENT_TIMESTAMP() AS TIME_EXEC FROM "&amp;I94,
IF(C94="Valores extremos",+"SELECT '"&amp;UPPER(B94)&amp;"' AS TABELA, '"&amp;UPPER(C94)&amp;"' AS TIPOLOGIA_TESTE,'"&amp;D94&amp;"' AS TABELA_LT,'N/A' AS TABELA_SIMUL,'"&amp;F94&amp;"' AS CAMPO, "&amp;"'${ref_date}' AS REF_DATE, CAST(MIN("&amp;F94&amp;") AS STRING) AS VALOR_MIN, CAST(MAX("&amp;F94&amp;") AS STRING) AS VALOR_MAX,'"&amp;MAX('ID1&amp;5'!K:K)+1&amp;"' AS ID_EXEC, CURRENT_TIMESTAMP() AS TIME_EXEC FROM "&amp;MID(I94,1,LEN(I94)-2)&amp;" AND CAST("&amp;F94&amp;"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TABELA_SIMUL,'RL_ESTT_PST_CD' AS CAMPO, '${ref_date}' AS REF_DATE, COUNT(*) AS NUM_REG, SUM(IF(COALESCE(CAST(X.RL_ESTT_PST_CD AS STRING),'')&lt;&gt;COALESCE(CAST(Y.RL_ESTT_PST_CD_SIMUL AS STRING),''),1,0)) AS NUM_REG_DIF,'1' AS ID_EXEC, CURRENT_TIMESTAMP() AS TIME_EXEC FROM (SELECT prtctn_id, RL_ESTT_PST_CD FROM BU_LOANTAPE_WORK.LT004_PROTECTION WHERE ref_date='${ref_date}' AND nome_perimetro='Individual Corporativo' AND segmento='ESTR' AND ambito='PILAR3')X INNER JOIN (SELECT prtctn_id AS prtctn_id_SIMUL, RL_ESTT_PST_CD AS RL_ESTT_PST_CD_SIMUL FROM BU_LOANTAPE_WORK.LT004_PROTECTION_P3_NOV24)Y ON X.PRTCTN_ID=Y.PRTCTN_ID_SIMUL</v>
      </c>
      <c r="M94" s="43" t="str">
        <f t="shared" si="1"/>
        <v>UNION ALL SELECT 'PROTECTION' AS TABELA, 'COERÊNCIA' AS TIPOLOGIA_TESTE,'BU_LOANTAPE_WORK.LT004_PROTECTION' AS TABELA_LT,'BU_LOANTAPE_WORK.LT004_PROTECTION_P3_NOV24' AS TABELA_SIMUL,'RL_ESTT_PST_CD' AS CAMPO, '${ref_date}' AS REF_DATE, COUNT(*) AS NUM_REG, SUM(IF(COALESCE(CAST(X.RL_ESTT_PST_CD AS STRING),'')&lt;&gt;COALESCE(CAST(Y.RL_ESTT_PST_CD_SIMUL AS STRING),''),1,0)) AS NUM_REG_DIF,'1' AS ID_EXEC, CURRENT_TIMESTAMP() AS TIME_EXEC FROM (SELECT prtctn_id, RL_ESTT_PST_CD FROM BU_LOANTAPE_WORK.LT004_PROTECTION WHERE ref_date='${ref_date}' AND nome_perimetro='Individual Corporativo' AND segmento='ESTR' AND ambito='PILAR3')X INNER JOIN (SELECT prtctn_id AS prtctn_id_SIMUL, RL_ESTT_PST_CD AS RL_ESTT_PST_CD_SIMUL FROM BU_LOANTAPE_WORK.LT004_PROTECTION_P3_NOV24)Y ON X.PRTCTN_ID=Y.PRTCTN_ID_SIMUL</v>
      </c>
      <c r="N94" s="45" t="s">
        <v>13</v>
      </c>
    </row>
    <row r="95" spans="2:14">
      <c r="B95" s="41" t="s">
        <v>31</v>
      </c>
      <c r="C95" s="41" t="s">
        <v>74</v>
      </c>
      <c r="D95" s="41" t="str">
        <f>+UPPER('0. Instruções'!$D$33&amp;"."&amp;VLOOKUP(B95,'0. Instruções'!$C$27:$D$31,2,FALSE))</f>
        <v>BU_LOANTAPE_WORK.LT004_PROTECTION</v>
      </c>
      <c r="E95" s="41" t="str">
        <f>+UPPER('0. Instruções'!$D$34&amp;"."&amp;VLOOKUP(B95,'0. Instruções'!$C$27:$E$31,3,FALSE))</f>
        <v>BU_LOANTAPE_WORK.LT004_PROTECTION_P3_NOV24</v>
      </c>
      <c r="F95" s="41" t="s">
        <v>193</v>
      </c>
      <c r="G95" s="41" t="s">
        <v>13</v>
      </c>
      <c r="H95" s="41"/>
      <c r="I95" s="41" t="str">
        <f>"(SELECT "&amp;VLOOKUP(B95,'0. Instruções'!$C$27:$G$31,4,FALSE)&amp;", "&amp;F95&amp;" FROM "&amp;D95&amp;" WHERE "&amp;'0. Instruções'!$D$40&amp;")X"</f>
        <v>(SELECT prtctn_id, TYP_PRTCTN FROM BU_LOANTAPE_WORK.LT004_PROTECTION WHERE ref_date='${ref_date}' AND nome_perimetro='Individual Corporativo' AND segmento='ESTR' AND ambito='PILAR3')X</v>
      </c>
      <c r="J95" s="41" t="str">
        <f>"(SELECT "&amp;VLOOKUP(B95,'0. Instruções'!$C$27:$G$31,4,FALSE)&amp;" AS "&amp;VLOOKUP(B95,'0. Instruções'!$C$27:$G$31,4,FALSE)&amp;"_SIMUL, "&amp;F95&amp;" AS "&amp;F95&amp;"_SIMUL FROM "&amp;E95&amp;")Y"</f>
        <v>(SELECT prtctn_id AS prtctn_id_SIMUL, TYP_PRTCTN AS TYP_PRTCTN_SIMUL FROM BU_LOANTAPE_WORK.LT004_PROTECTION_P3_NOV24)Y</v>
      </c>
      <c r="K95" s="42" t="str">
        <f>+UPPER("ON X."&amp;VLOOKUP(B95,'0. Instruções'!$C$27:$G$31,4,FALSE)&amp;"=Y."&amp;VLOOKUP(B95,'0. Instruções'!$C$27:$G$31,4,FALSE)&amp;"_SIMUL")</f>
        <v>ON X.PRTCTN_ID=Y.PRTCTN_ID_SIMUL</v>
      </c>
      <c r="L95" s="42" t="str">
        <f>+IF(C95="Coerência", +IF(LEFT(G95,5)="FLOAT","SELECT '"&amp;UPPER(B95)&amp;"' AS TABELA, '"&amp;UPPER(C95)&amp;"' AS TIPOLOGIA_TESTE,'"&amp;D95&amp;"' AS TABELA_LT,'"&amp;E95&amp;"' AS TABELA_SIMUL,'"&amp;F95&amp;"' AS CAMPO, "&amp;"'${ref_date}' AS REF_DATE, COUNT(*) AS NUM_REG, SUM(IF((ABS(COALESCE(X."&amp;F95&amp;",0)-COALESCE(Y."&amp;F95&amp;"_SIMUL,0))&gt;0.0000000001) OR (X."&amp;F95&amp;" IS NULL AND Y."&amp;F95&amp;"_SIMUL IS NOT NULL ) OR (X."&amp;F95&amp;" IS NOT NULL AND Y."&amp;F95&amp;"_SIMUL IS NULL),1,0)) AS NUM_REG_DIF,'"&amp;MAX('ID1&amp;5'!K:K)+1&amp;"' AS ID_EXEC, CURRENT_TIMESTAMP() AS TIME_EXEC FROM "&amp;I95&amp;" INNER JOIN "&amp;J95&amp;" "&amp;K95,"SELECT '"&amp;UPPER(B95)&amp;"' AS TABELA, '"&amp;UPPER(C95)&amp;"' AS TIPOLOGIA_TESTE,'"&amp;D95&amp;"' AS TABELA_LT,'"&amp;E95&amp;"' AS TABELA_SIMUL,'"&amp;F95&amp;"' AS CAMPO, "&amp;"'${ref_date}' AS REF_DATE, COUNT(*) AS NUM_REG, SUM(IF(COALESCE(CAST(X."&amp;F95&amp;" AS STRING),'')&lt;&gt;COALESCE(CAST(Y."&amp;F95&amp;"_SIMUL AS STRING),''),1,0)) AS NUM_REG_DIF,'"&amp;MAX('ID1&amp;5'!L:L)+1&amp;"' AS ID_EXEC, CURRENT_TIMESTAMP() AS TIME_EXEC FROM "&amp;I95&amp;" INNER JOIN "&amp;J95&amp;" "&amp;K95),
IF(C95="Validade",+IF(G95="Code List","SELECT '"&amp;UPPER(B95)&amp;"' AS TABELA, '"&amp;UPPER(C95)&amp;"' AS TIPOLOGIA_TESTE,'"&amp;D95&amp;"' AS TABELA_LT,'N/A' AS TABELA_SIMUL,'"&amp;F95&amp;"' AS CAMPO, "&amp;"'${ref_date}' AS REF_DATE, COUNT(*) AS NUM_REG, SUM(IF(TRIM(CAST(X."&amp;F95&amp;" AS STRING))='' OR TRIM(CAST(X."&amp;F95&amp;" AS STRING)) IS NULL OR CAST(X."&amp;F95&amp;" AS STRING) NOT "&amp;H95&amp;",1,0)) AS NUM_REG_DIF,'"&amp;MAX('ID1&amp;5'!K:K)+1&amp;"' AS ID_EXEC, CURRENT_TIMESTAMP() AS TIME_EXEC FROM "&amp;I95,"SELECT '"&amp;UPPER(B95)&amp;"' AS TABELA, '"&amp;UPPER(C95)&amp;"' AS TIPOLOGIA_TESTE,'"&amp;D95&amp;"' AS TABELA_LT,'N/A' AS TABELA_SIMUL,'"&amp;F95&amp;"' AS CAMPO, "&amp;"'${ref_date}' AS REF_DATE, COUNT(*) AS NUM_REG, SUM(IF(TRIM(CAST(X."&amp;F95&amp;" AS STRING))='' OR TRIM(CAST(X."&amp;F95&amp;" AS STRING)) IS NULL,1,0)) AS NUM_REG_DIF,'"&amp;MAX('ID1&amp;5'!K:K)+1&amp;"' AS ID_EXEC, CURRENT_TIMESTAMP() AS TIME_EXEC FROM "&amp;I95),
IF(C95="Caracteres Especiais",+"SELECT '"&amp;UPPER(B95)&amp;"' AS TABELA, '"&amp;UPPER(C95)&amp;"' AS TIPOLOGIA_TESTE,'"&amp;D95&amp;"' AS TABELA_LT,'N/A' AS TABELA_SIMUL,'"&amp;F95&amp;"' AS CAMPO, "&amp;"'${ref_date}' AS REF_DATE, COUNT(*) AS NUM_REG, SUM(IF(INSTR(CAST(X."&amp;F95&amp;" AS STRING),'#')&gt;0 OR INSTR(CAST(X."&amp;F95&amp;" AS STRING),'*')&gt;0 OR INSTR(CAST(X."&amp;F95&amp;" AS STRING),'`')&gt;0 OR INSTR(CAST(X."&amp;F95&amp;" AS STRING),'´')&gt;0 OR INSTR(CAST(X."&amp;F95&amp;" AS STRING),'{')&gt;0 OR INSTR(CAST(X."&amp;F95&amp;" AS STRING),'}')&gt;0 OR INSTR(CAST(X."&amp;F95&amp;" AS STRING),'[')&gt;0 OR INSTR(CAST(X."&amp;F95&amp;" AS STRING),'')&gt;0 OR INSTR(CAST(X."&amp;F95&amp;" AS STRING),']')&gt;0 OR INSTR(CAST(X."&amp;F95&amp;" AS STRING),'?')&gt;0 OR INSTR(CAST(X."&amp;F95&amp;" AS STRING),'!')&gt;0 OR INSTR(CAST(X."&amp;F95&amp;" AS STRING),'$')&gt;0 OR INSTR(CAST(X."&amp;F95&amp;" AS STRING),'%')&gt;0 OR INSTR(CAST(X."&amp;F95&amp;" AS STRING),'&amp;')&gt;0 OR INSTR(CAST(X."&amp;F95&amp;" AS STRING),'+')&gt;0,1,0)) AS NUM_REG_DIF,'"&amp;MAX('ID1&amp;5'!K:K)+1&amp;"' AS ID_EXEC, CURRENT_TIMESTAMP() AS TIME_EXEC FROM "&amp;I95,
IF(C95="Missings",+"SELECT '"&amp;UPPER(B95)&amp;"' AS TABELA, '"&amp;UPPER(C95)&amp;"' AS TIPOLOGIA_TESTE,'"&amp;D95&amp;"' AS TABELA_LT,'N/A' AS TABELA_SIMUL,'"&amp;F95&amp;"' AS CAMPO, "&amp;"'${ref_date}' AS REF_DATE, COUNT(*) AS NUM_REG, SUM(IF(TRIM(CAST(X."&amp;F95&amp;" AS STRING)) IN ('0000-00-00','0001-01-01','9999-12-31','MISS','00000','99999999999','99999999999.00','99999999999.000000'),1,0)) AS NUM_REG_DIF,'"&amp;MAX('ID1&amp;5'!K:K)+1&amp;"' AS ID_EXEC, CURRENT_TIMESTAMP() AS TIME_EXEC FROM "&amp;I95,
IF(C95="Not applicable",+"SELECT '"&amp;UPPER(B95)&amp;"' AS TABELA, '"&amp;UPPER(C95)&amp;"' AS TIPOLOGIA_TESTE,'"&amp;D95&amp;"' AS TABELA_LT,'N/A' AS TABELA_SIMUL,'"&amp;F95&amp;"' AS CAMPO, "&amp;"'${ref_date}' AS REF_DATE, COUNT(*) AS NUM_REG, SUM(IF(TRIM(CAST(X."&amp;F95&amp;" AS STRING)) IN ('N/A','11111111111','11111111111.00','11111111111.000000','1111-11-11'),1,0)) AS NUM_REG_DIF,'"&amp;MAX('ID1&amp;5'!K:K)+1&amp;"' AS ID_EXEC, CURRENT_TIMESTAMP() AS TIME_EXEC FROM "&amp;I95,
IF(C95="Valores extremos",+"SELECT '"&amp;UPPER(B95)&amp;"' AS TABELA, '"&amp;UPPER(C95)&amp;"' AS TIPOLOGIA_TESTE,'"&amp;D95&amp;"' AS TABELA_LT,'N/A' AS TABELA_SIMUL,'"&amp;F95&amp;"' AS CAMPO, "&amp;"'${ref_date}' AS REF_DATE, CAST(MIN("&amp;F95&amp;") AS STRING) AS VALOR_MIN, CAST(MAX("&amp;F95&amp;") AS STRING) AS VALOR_MAX,'"&amp;MAX('ID1&amp;5'!K:K)+1&amp;"' AS ID_EXEC, CURRENT_TIMESTAMP() AS TIME_EXEC FROM "&amp;MID(I95,1,LEN(I95)-2)&amp;" AND CAST("&amp;F95&amp;"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TABELA_SIMUL,'TYP_PRTCTN' AS CAMPO, '${ref_date}' AS REF_DATE, COUNT(*) AS NUM_REG, SUM(IF(COALESCE(CAST(X.TYP_PRTCTN AS STRING),'')&lt;&gt;COALESCE(CAST(Y.TYP_PRTCTN_SIMUL AS STRING),''),1,0)) AS NUM_REG_DIF,'1' AS ID_EXEC, CURRENT_TIMESTAMP() AS TIME_EXEC FROM (SELECT prtctn_id, TYP_PRTCTN FROM BU_LOANTAPE_WORK.LT004_PROTECTION WHERE ref_date='${ref_date}' AND nome_perimetro='Individual Corporativo' AND segmento='ESTR' AND ambito='PILAR3')X INNER JOIN (SELECT prtctn_id AS prtctn_id_SIMUL, TYP_PRTCTN AS TYP_PRTCTN_SIMUL FROM BU_LOANTAPE_WORK.LT004_PROTECTION_P3_NOV24)Y ON X.PRTCTN_ID=Y.PRTCTN_ID_SIMUL</v>
      </c>
      <c r="M95" s="43" t="str">
        <f t="shared" si="1"/>
        <v>UNION ALL SELECT 'PROTECTION' AS TABELA, 'COERÊNCIA' AS TIPOLOGIA_TESTE,'BU_LOANTAPE_WORK.LT004_PROTECTION' AS TABELA_LT,'BU_LOANTAPE_WORK.LT004_PROTECTION_P3_NOV24' AS TABELA_SIMUL,'TYP_PRTCTN' AS CAMPO, '${ref_date}' AS REF_DATE, COUNT(*) AS NUM_REG, SUM(IF(COALESCE(CAST(X.TYP_PRTCTN AS STRING),'')&lt;&gt;COALESCE(CAST(Y.TYP_PRTCTN_SIMUL AS STRING),''),1,0)) AS NUM_REG_DIF,'1' AS ID_EXEC, CURRENT_TIMESTAMP() AS TIME_EXEC FROM (SELECT prtctn_id, TYP_PRTCTN FROM BU_LOANTAPE_WORK.LT004_PROTECTION WHERE ref_date='${ref_date}' AND nome_perimetro='Individual Corporativo' AND segmento='ESTR' AND ambito='PILAR3')X INNER JOIN (SELECT prtctn_id AS prtctn_id_SIMUL, TYP_PRTCTN AS TYP_PRTCTN_SIMUL FROM BU_LOANTAPE_WORK.LT004_PROTECTION_P3_NOV24)Y ON X.PRTCTN_ID=Y.PRTCTN_ID_SIMUL</v>
      </c>
      <c r="N95" s="45" t="s">
        <v>13</v>
      </c>
    </row>
    <row r="96" spans="2:14">
      <c r="B96" s="41" t="s">
        <v>31</v>
      </c>
      <c r="C96" s="41" t="s">
        <v>74</v>
      </c>
      <c r="D96" s="41" t="str">
        <f>+UPPER('0. Instruções'!$D$33&amp;"."&amp;VLOOKUP(B96,'0. Instruções'!$C$27:$D$31,2,FALSE))</f>
        <v>BU_LOANTAPE_WORK.LT004_PROTECTION</v>
      </c>
      <c r="E96" s="41" t="str">
        <f>+UPPER('0. Instruções'!$D$34&amp;"."&amp;VLOOKUP(B96,'0. Instruções'!$C$27:$E$31,3,FALSE))</f>
        <v>BU_LOANTAPE_WORK.LT004_PROTECTION_P3_NOV24</v>
      </c>
      <c r="F96" s="41" t="s">
        <v>194</v>
      </c>
      <c r="G96" s="41" t="s">
        <v>13</v>
      </c>
      <c r="H96" s="41"/>
      <c r="I96" s="41" t="str">
        <f>"(SELECT "&amp;VLOOKUP(B96,'0. Instruções'!$C$27:$G$31,4,FALSE)&amp;", "&amp;F96&amp;" FROM "&amp;D96&amp;" WHERE "&amp;'0. Instruções'!$D$40&amp;")X"</f>
        <v>(SELECT prtctn_id, ORGNL_PRTCTN_VL FROM BU_LOANTAPE_WORK.LT004_PROTECTION WHERE ref_date='${ref_date}' AND nome_perimetro='Individual Corporativo' AND segmento='ESTR' AND ambito='PILAR3')X</v>
      </c>
      <c r="J96" s="41" t="str">
        <f>"(SELECT "&amp;VLOOKUP(B96,'0. Instruções'!$C$27:$G$31,4,FALSE)&amp;" AS "&amp;VLOOKUP(B96,'0. Instruções'!$C$27:$G$31,4,FALSE)&amp;"_SIMUL, "&amp;F96&amp;" AS "&amp;F96&amp;"_SIMUL FROM "&amp;E96&amp;")Y"</f>
        <v>(SELECT prtctn_id AS prtctn_id_SIMUL, ORGNL_PRTCTN_VL AS ORGNL_PRTCTN_VL_SIMUL FROM BU_LOANTAPE_WORK.LT004_PROTECTION_P3_NOV24)Y</v>
      </c>
      <c r="K96" s="42" t="str">
        <f>+UPPER("ON X."&amp;VLOOKUP(B96,'0. Instruções'!$C$27:$G$31,4,FALSE)&amp;"=Y."&amp;VLOOKUP(B96,'0. Instruções'!$C$27:$G$31,4,FALSE)&amp;"_SIMUL")</f>
        <v>ON X.PRTCTN_ID=Y.PRTCTN_ID_SIMUL</v>
      </c>
      <c r="L96" s="42" t="str">
        <f>+IF(C96="Coerência", +IF(LEFT(G96,5)="FLOAT","SELECT '"&amp;UPPER(B96)&amp;"' AS TABELA, '"&amp;UPPER(C96)&amp;"' AS TIPOLOGIA_TESTE,'"&amp;D96&amp;"' AS TABELA_LT,'"&amp;E96&amp;"' AS TABELA_SIMUL,'"&amp;F96&amp;"' AS CAMPO, "&amp;"'${ref_date}' AS REF_DATE, COUNT(*) AS NUM_REG, SUM(IF((ABS(COALESCE(X."&amp;F96&amp;",0)-COALESCE(Y."&amp;F96&amp;"_SIMUL,0))&gt;0.0000000001) OR (X."&amp;F96&amp;" IS NULL AND Y."&amp;F96&amp;"_SIMUL IS NOT NULL ) OR (X."&amp;F96&amp;" IS NOT NULL AND Y."&amp;F96&amp;"_SIMUL IS NULL),1,0)) AS NUM_REG_DIF,'"&amp;MAX('ID1&amp;5'!K:K)+1&amp;"' AS ID_EXEC, CURRENT_TIMESTAMP() AS TIME_EXEC FROM "&amp;I96&amp;" INNER JOIN "&amp;J96&amp;" "&amp;K96,"SELECT '"&amp;UPPER(B96)&amp;"' AS TABELA, '"&amp;UPPER(C96)&amp;"' AS TIPOLOGIA_TESTE,'"&amp;D96&amp;"' AS TABELA_LT,'"&amp;E96&amp;"' AS TABELA_SIMUL,'"&amp;F96&amp;"' AS CAMPO, "&amp;"'${ref_date}' AS REF_DATE, COUNT(*) AS NUM_REG, SUM(IF(COALESCE(CAST(X."&amp;F96&amp;" AS STRING),'')&lt;&gt;COALESCE(CAST(Y."&amp;F96&amp;"_SIMUL AS STRING),''),1,0)) AS NUM_REG_DIF,'"&amp;MAX('ID1&amp;5'!L:L)+1&amp;"' AS ID_EXEC, CURRENT_TIMESTAMP() AS TIME_EXEC FROM "&amp;I96&amp;" INNER JOIN "&amp;J96&amp;" "&amp;K96),
IF(C96="Validade",+IF(G96="Code List","SELECT '"&amp;UPPER(B96)&amp;"' AS TABELA, '"&amp;UPPER(C96)&amp;"' AS TIPOLOGIA_TESTE,'"&amp;D96&amp;"' AS TABELA_LT,'N/A' AS TABELA_SIMUL,'"&amp;F96&amp;"' AS CAMPO, "&amp;"'${ref_date}' AS REF_DATE, COUNT(*) AS NUM_REG, SUM(IF(TRIM(CAST(X."&amp;F96&amp;" AS STRING))='' OR TRIM(CAST(X."&amp;F96&amp;" AS STRING)) IS NULL OR CAST(X."&amp;F96&amp;" AS STRING) NOT "&amp;H96&amp;",1,0)) AS NUM_REG_DIF,'"&amp;MAX('ID1&amp;5'!K:K)+1&amp;"' AS ID_EXEC, CURRENT_TIMESTAMP() AS TIME_EXEC FROM "&amp;I96,"SELECT '"&amp;UPPER(B96)&amp;"' AS TABELA, '"&amp;UPPER(C96)&amp;"' AS TIPOLOGIA_TESTE,'"&amp;D96&amp;"' AS TABELA_LT,'N/A' AS TABELA_SIMUL,'"&amp;F96&amp;"' AS CAMPO, "&amp;"'${ref_date}' AS REF_DATE, COUNT(*) AS NUM_REG, SUM(IF(TRIM(CAST(X."&amp;F96&amp;" AS STRING))='' OR TRIM(CAST(X."&amp;F96&amp;" AS STRING)) IS NULL,1,0)) AS NUM_REG_DIF,'"&amp;MAX('ID1&amp;5'!K:K)+1&amp;"' AS ID_EXEC, CURRENT_TIMESTAMP() AS TIME_EXEC FROM "&amp;I96),
IF(C96="Caracteres Especiais",+"SELECT '"&amp;UPPER(B96)&amp;"' AS TABELA, '"&amp;UPPER(C96)&amp;"' AS TIPOLOGIA_TESTE,'"&amp;D96&amp;"' AS TABELA_LT,'N/A' AS TABELA_SIMUL,'"&amp;F96&amp;"' AS CAMPO, "&amp;"'${ref_date}' AS REF_DATE, COUNT(*) AS NUM_REG, SUM(IF(INSTR(CAST(X."&amp;F96&amp;" AS STRING),'#')&gt;0 OR INSTR(CAST(X."&amp;F96&amp;" AS STRING),'*')&gt;0 OR INSTR(CAST(X."&amp;F96&amp;" AS STRING),'`')&gt;0 OR INSTR(CAST(X."&amp;F96&amp;" AS STRING),'´')&gt;0 OR INSTR(CAST(X."&amp;F96&amp;" AS STRING),'{')&gt;0 OR INSTR(CAST(X."&amp;F96&amp;" AS STRING),'}')&gt;0 OR INSTR(CAST(X."&amp;F96&amp;" AS STRING),'[')&gt;0 OR INSTR(CAST(X."&amp;F96&amp;" AS STRING),'')&gt;0 OR INSTR(CAST(X."&amp;F96&amp;" AS STRING),']')&gt;0 OR INSTR(CAST(X."&amp;F96&amp;" AS STRING),'?')&gt;0 OR INSTR(CAST(X."&amp;F96&amp;" AS STRING),'!')&gt;0 OR INSTR(CAST(X."&amp;F96&amp;" AS STRING),'$')&gt;0 OR INSTR(CAST(X."&amp;F96&amp;" AS STRING),'%')&gt;0 OR INSTR(CAST(X."&amp;F96&amp;" AS STRING),'&amp;')&gt;0 OR INSTR(CAST(X."&amp;F96&amp;" AS STRING),'+')&gt;0,1,0)) AS NUM_REG_DIF,'"&amp;MAX('ID1&amp;5'!K:K)+1&amp;"' AS ID_EXEC, CURRENT_TIMESTAMP() AS TIME_EXEC FROM "&amp;I96,
IF(C96="Missings",+"SELECT '"&amp;UPPER(B96)&amp;"' AS TABELA, '"&amp;UPPER(C96)&amp;"' AS TIPOLOGIA_TESTE,'"&amp;D96&amp;"' AS TABELA_LT,'N/A' AS TABELA_SIMUL,'"&amp;F96&amp;"' AS CAMPO, "&amp;"'${ref_date}' AS REF_DATE, COUNT(*) AS NUM_REG, SUM(IF(TRIM(CAST(X."&amp;F96&amp;" AS STRING)) IN ('0000-00-00','0001-01-01','9999-12-31','MISS','00000','99999999999','99999999999.00','99999999999.000000'),1,0)) AS NUM_REG_DIF,'"&amp;MAX('ID1&amp;5'!K:K)+1&amp;"' AS ID_EXEC, CURRENT_TIMESTAMP() AS TIME_EXEC FROM "&amp;I96,
IF(C96="Not applicable",+"SELECT '"&amp;UPPER(B96)&amp;"' AS TABELA, '"&amp;UPPER(C96)&amp;"' AS TIPOLOGIA_TESTE,'"&amp;D96&amp;"' AS TABELA_LT,'N/A' AS TABELA_SIMUL,'"&amp;F96&amp;"' AS CAMPO, "&amp;"'${ref_date}' AS REF_DATE, COUNT(*) AS NUM_REG, SUM(IF(TRIM(CAST(X."&amp;F96&amp;" AS STRING)) IN ('N/A','11111111111','11111111111.00','11111111111.000000','1111-11-11'),1,0)) AS NUM_REG_DIF,'"&amp;MAX('ID1&amp;5'!K:K)+1&amp;"' AS ID_EXEC, CURRENT_TIMESTAMP() AS TIME_EXEC FROM "&amp;I96,
IF(C96="Valores extremos",+"SELECT '"&amp;UPPER(B96)&amp;"' AS TABELA, '"&amp;UPPER(C96)&amp;"' AS TIPOLOGIA_TESTE,'"&amp;D96&amp;"' AS TABELA_LT,'N/A' AS TABELA_SIMUL,'"&amp;F96&amp;"' AS CAMPO, "&amp;"'${ref_date}' AS REF_DATE, CAST(MIN("&amp;F96&amp;") AS STRING) AS VALOR_MIN, CAST(MAX("&amp;F96&amp;") AS STRING) AS VALOR_MAX,'"&amp;MAX('ID1&amp;5'!K:K)+1&amp;"' AS ID_EXEC, CURRENT_TIMESTAMP() AS TIME_EXEC FROM "&amp;MID(I96,1,LEN(I96)-2)&amp;" AND CAST("&amp;F96&amp;"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TABELA_SIMUL,'ORGNL_PRTCTN_VL' AS CAMPO, '${ref_date}' AS REF_DATE, COUNT(*) AS NUM_REG, SUM(IF(COALESCE(CAST(X.ORGNL_PRTCTN_VL AS STRING),'')&lt;&gt;COALESCE(CAST(Y.ORGNL_PRTCTN_VL_SIMUL AS STRING),''),1,0)) AS NUM_REG_DIF,'1' AS ID_EXEC, CURRENT_TIMESTAMP() AS TIME_EXEC FROM (SELECT prtctn_id, ORGNL_PRTCTN_VL FROM BU_LOANTAPE_WORK.LT004_PROTECTION WHERE ref_date='${ref_date}' AND nome_perimetro='Individual Corporativo' AND segmento='ESTR' AND ambito='PILAR3')X INNER JOIN (SELECT prtctn_id AS prtctn_id_SIMUL, ORGNL_PRTCTN_VL AS ORGNL_PRTCTN_VL_SIMUL FROM BU_LOANTAPE_WORK.LT004_PROTECTION_P3_NOV24)Y ON X.PRTCTN_ID=Y.PRTCTN_ID_SIMUL</v>
      </c>
      <c r="M96" s="43" t="str">
        <f t="shared" si="1"/>
        <v>UNION ALL SELECT 'PROTECTION' AS TABELA, 'COERÊNCIA' AS TIPOLOGIA_TESTE,'BU_LOANTAPE_WORK.LT004_PROTECTION' AS TABELA_LT,'BU_LOANTAPE_WORK.LT004_PROTECTION_P3_NOV24' AS TABELA_SIMUL,'ORGNL_PRTCTN_VL' AS CAMPO, '${ref_date}' AS REF_DATE, COUNT(*) AS NUM_REG, SUM(IF(COALESCE(CAST(X.ORGNL_PRTCTN_VL AS STRING),'')&lt;&gt;COALESCE(CAST(Y.ORGNL_PRTCTN_VL_SIMUL AS STRING),''),1,0)) AS NUM_REG_DIF,'1' AS ID_EXEC, CURRENT_TIMESTAMP() AS TIME_EXEC FROM (SELECT prtctn_id, ORGNL_PRTCTN_VL FROM BU_LOANTAPE_WORK.LT004_PROTECTION WHERE ref_date='${ref_date}' AND nome_perimetro='Individual Corporativo' AND segmento='ESTR' AND ambito='PILAR3')X INNER JOIN (SELECT prtctn_id AS prtctn_id_SIMUL, ORGNL_PRTCTN_VL AS ORGNL_PRTCTN_VL_SIMUL FROM BU_LOANTAPE_WORK.LT004_PROTECTION_P3_NOV24)Y ON X.PRTCTN_ID=Y.PRTCTN_ID_SIMUL</v>
      </c>
      <c r="N96" s="45" t="s">
        <v>13</v>
      </c>
    </row>
    <row r="97" spans="2:14">
      <c r="B97" s="41" t="s">
        <v>31</v>
      </c>
      <c r="C97" s="41" t="s">
        <v>74</v>
      </c>
      <c r="D97" s="41" t="str">
        <f>+UPPER('0. Instruções'!$D$33&amp;"."&amp;VLOOKUP(B97,'0. Instruções'!$C$27:$D$31,2,FALSE))</f>
        <v>BU_LOANTAPE_WORK.LT004_PROTECTION</v>
      </c>
      <c r="E97" s="41" t="str">
        <f>+UPPER('0. Instruções'!$D$34&amp;"."&amp;VLOOKUP(B97,'0. Instruções'!$C$27:$E$31,3,FALSE))</f>
        <v>BU_LOANTAPE_WORK.LT004_PROTECTION_P3_NOV24</v>
      </c>
      <c r="F97" s="41" t="s">
        <v>195</v>
      </c>
      <c r="G97" s="41" t="s">
        <v>13</v>
      </c>
      <c r="H97" s="41"/>
      <c r="I97" s="41" t="str">
        <f>"(SELECT "&amp;VLOOKUP(B97,'0. Instruções'!$C$27:$G$31,4,FALSE)&amp;", "&amp;F97&amp;" FROM "&amp;D97&amp;" WHERE "&amp;'0. Instruções'!$D$40&amp;")X"</f>
        <v>(SELECT prtctn_id, PRTCTN_VL FROM BU_LOANTAPE_WORK.LT004_PROTECTION WHERE ref_date='${ref_date}' AND nome_perimetro='Individual Corporativo' AND segmento='ESTR' AND ambito='PILAR3')X</v>
      </c>
      <c r="J97" s="41" t="str">
        <f>"(SELECT "&amp;VLOOKUP(B97,'0. Instruções'!$C$27:$G$31,4,FALSE)&amp;" AS "&amp;VLOOKUP(B97,'0. Instruções'!$C$27:$G$31,4,FALSE)&amp;"_SIMUL, "&amp;F97&amp;" AS "&amp;F97&amp;"_SIMUL FROM "&amp;E97&amp;")Y"</f>
        <v>(SELECT prtctn_id AS prtctn_id_SIMUL, PRTCTN_VL AS PRTCTN_VL_SIMUL FROM BU_LOANTAPE_WORK.LT004_PROTECTION_P3_NOV24)Y</v>
      </c>
      <c r="K97" s="42" t="str">
        <f>+UPPER("ON X."&amp;VLOOKUP(B97,'0. Instruções'!$C$27:$G$31,4,FALSE)&amp;"=Y."&amp;VLOOKUP(B97,'0. Instruções'!$C$27:$G$31,4,FALSE)&amp;"_SIMUL")</f>
        <v>ON X.PRTCTN_ID=Y.PRTCTN_ID_SIMUL</v>
      </c>
      <c r="L97" s="42" t="str">
        <f>+IF(C97="Coerência", +IF(LEFT(G97,5)="FLOAT","SELECT '"&amp;UPPER(B97)&amp;"' AS TABELA, '"&amp;UPPER(C97)&amp;"' AS TIPOLOGIA_TESTE,'"&amp;D97&amp;"' AS TABELA_LT,'"&amp;E97&amp;"' AS TABELA_SIMUL,'"&amp;F97&amp;"' AS CAMPO, "&amp;"'${ref_date}' AS REF_DATE, COUNT(*) AS NUM_REG, SUM(IF((ABS(COALESCE(X."&amp;F97&amp;",0)-COALESCE(Y."&amp;F97&amp;"_SIMUL,0))&gt;0.0000000001) OR (X."&amp;F97&amp;" IS NULL AND Y."&amp;F97&amp;"_SIMUL IS NOT NULL ) OR (X."&amp;F97&amp;" IS NOT NULL AND Y."&amp;F97&amp;"_SIMUL IS NULL),1,0)) AS NUM_REG_DIF,'"&amp;MAX('ID1&amp;5'!K:K)+1&amp;"' AS ID_EXEC, CURRENT_TIMESTAMP() AS TIME_EXEC FROM "&amp;I97&amp;" INNER JOIN "&amp;J97&amp;" "&amp;K97,"SELECT '"&amp;UPPER(B97)&amp;"' AS TABELA, '"&amp;UPPER(C97)&amp;"' AS TIPOLOGIA_TESTE,'"&amp;D97&amp;"' AS TABELA_LT,'"&amp;E97&amp;"' AS TABELA_SIMUL,'"&amp;F97&amp;"' AS CAMPO, "&amp;"'${ref_date}' AS REF_DATE, COUNT(*) AS NUM_REG, SUM(IF(COALESCE(CAST(X."&amp;F97&amp;" AS STRING),'')&lt;&gt;COALESCE(CAST(Y."&amp;F97&amp;"_SIMUL AS STRING),''),1,0)) AS NUM_REG_DIF,'"&amp;MAX('ID1&amp;5'!L:L)+1&amp;"' AS ID_EXEC, CURRENT_TIMESTAMP() AS TIME_EXEC FROM "&amp;I97&amp;" INNER JOIN "&amp;J97&amp;" "&amp;K97),
IF(C97="Validade",+IF(G97="Code List","SELECT '"&amp;UPPER(B97)&amp;"' AS TABELA, '"&amp;UPPER(C97)&amp;"' AS TIPOLOGIA_TESTE,'"&amp;D97&amp;"' AS TABELA_LT,'N/A' AS TABELA_SIMUL,'"&amp;F97&amp;"' AS CAMPO, "&amp;"'${ref_date}' AS REF_DATE, COUNT(*) AS NUM_REG, SUM(IF(TRIM(CAST(X."&amp;F97&amp;" AS STRING))='' OR TRIM(CAST(X."&amp;F97&amp;" AS STRING)) IS NULL OR CAST(X."&amp;F97&amp;" AS STRING) NOT "&amp;H97&amp;",1,0)) AS NUM_REG_DIF,'"&amp;MAX('ID1&amp;5'!K:K)+1&amp;"' AS ID_EXEC, CURRENT_TIMESTAMP() AS TIME_EXEC FROM "&amp;I97,"SELECT '"&amp;UPPER(B97)&amp;"' AS TABELA, '"&amp;UPPER(C97)&amp;"' AS TIPOLOGIA_TESTE,'"&amp;D97&amp;"' AS TABELA_LT,'N/A' AS TABELA_SIMUL,'"&amp;F97&amp;"' AS CAMPO, "&amp;"'${ref_date}' AS REF_DATE, COUNT(*) AS NUM_REG, SUM(IF(TRIM(CAST(X."&amp;F97&amp;" AS STRING))='' OR TRIM(CAST(X."&amp;F97&amp;" AS STRING)) IS NULL,1,0)) AS NUM_REG_DIF,'"&amp;MAX('ID1&amp;5'!K:K)+1&amp;"' AS ID_EXEC, CURRENT_TIMESTAMP() AS TIME_EXEC FROM "&amp;I97),
IF(C97="Caracteres Especiais",+"SELECT '"&amp;UPPER(B97)&amp;"' AS TABELA, '"&amp;UPPER(C97)&amp;"' AS TIPOLOGIA_TESTE,'"&amp;D97&amp;"' AS TABELA_LT,'N/A' AS TABELA_SIMUL,'"&amp;F97&amp;"' AS CAMPO, "&amp;"'${ref_date}' AS REF_DATE, COUNT(*) AS NUM_REG, SUM(IF(INSTR(CAST(X."&amp;F97&amp;" AS STRING),'#')&gt;0 OR INSTR(CAST(X."&amp;F97&amp;" AS STRING),'*')&gt;0 OR INSTR(CAST(X."&amp;F97&amp;" AS STRING),'`')&gt;0 OR INSTR(CAST(X."&amp;F97&amp;" AS STRING),'´')&gt;0 OR INSTR(CAST(X."&amp;F97&amp;" AS STRING),'{')&gt;0 OR INSTR(CAST(X."&amp;F97&amp;" AS STRING),'}')&gt;0 OR INSTR(CAST(X."&amp;F97&amp;" AS STRING),'[')&gt;0 OR INSTR(CAST(X."&amp;F97&amp;" AS STRING),'')&gt;0 OR INSTR(CAST(X."&amp;F97&amp;" AS STRING),']')&gt;0 OR INSTR(CAST(X."&amp;F97&amp;" AS STRING),'?')&gt;0 OR INSTR(CAST(X."&amp;F97&amp;" AS STRING),'!')&gt;0 OR INSTR(CAST(X."&amp;F97&amp;" AS STRING),'$')&gt;0 OR INSTR(CAST(X."&amp;F97&amp;" AS STRING),'%')&gt;0 OR INSTR(CAST(X."&amp;F97&amp;" AS STRING),'&amp;')&gt;0 OR INSTR(CAST(X."&amp;F97&amp;" AS STRING),'+')&gt;0,1,0)) AS NUM_REG_DIF,'"&amp;MAX('ID1&amp;5'!K:K)+1&amp;"' AS ID_EXEC, CURRENT_TIMESTAMP() AS TIME_EXEC FROM "&amp;I97,
IF(C97="Missings",+"SELECT '"&amp;UPPER(B97)&amp;"' AS TABELA, '"&amp;UPPER(C97)&amp;"' AS TIPOLOGIA_TESTE,'"&amp;D97&amp;"' AS TABELA_LT,'N/A' AS TABELA_SIMUL,'"&amp;F97&amp;"' AS CAMPO, "&amp;"'${ref_date}' AS REF_DATE, COUNT(*) AS NUM_REG, SUM(IF(TRIM(CAST(X."&amp;F97&amp;" AS STRING)) IN ('0000-00-00','0001-01-01','9999-12-31','MISS','00000','99999999999','99999999999.00','99999999999.000000'),1,0)) AS NUM_REG_DIF,'"&amp;MAX('ID1&amp;5'!K:K)+1&amp;"' AS ID_EXEC, CURRENT_TIMESTAMP() AS TIME_EXEC FROM "&amp;I97,
IF(C97="Not applicable",+"SELECT '"&amp;UPPER(B97)&amp;"' AS TABELA, '"&amp;UPPER(C97)&amp;"' AS TIPOLOGIA_TESTE,'"&amp;D97&amp;"' AS TABELA_LT,'N/A' AS TABELA_SIMUL,'"&amp;F97&amp;"' AS CAMPO, "&amp;"'${ref_date}' AS REF_DATE, COUNT(*) AS NUM_REG, SUM(IF(TRIM(CAST(X."&amp;F97&amp;" AS STRING)) IN ('N/A','11111111111','11111111111.00','11111111111.000000','1111-11-11'),1,0)) AS NUM_REG_DIF,'"&amp;MAX('ID1&amp;5'!K:K)+1&amp;"' AS ID_EXEC, CURRENT_TIMESTAMP() AS TIME_EXEC FROM "&amp;I97,
IF(C97="Valores extremos",+"SELECT '"&amp;UPPER(B97)&amp;"' AS TABELA, '"&amp;UPPER(C97)&amp;"' AS TIPOLOGIA_TESTE,'"&amp;D97&amp;"' AS TABELA_LT,'N/A' AS TABELA_SIMUL,'"&amp;F97&amp;"' AS CAMPO, "&amp;"'${ref_date}' AS REF_DATE, CAST(MIN("&amp;F97&amp;") AS STRING) AS VALOR_MIN, CAST(MAX("&amp;F97&amp;") AS STRING) AS VALOR_MAX,'"&amp;MAX('ID1&amp;5'!K:K)+1&amp;"' AS ID_EXEC, CURRENT_TIMESTAMP() AS TIME_EXEC FROM "&amp;MID(I97,1,LEN(I97)-2)&amp;" AND CAST("&amp;F97&amp;"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TABELA_SIMUL,'PRTCTN_VL' AS CAMPO, '${ref_date}' AS REF_DATE, COUNT(*) AS NUM_REG, SUM(IF(COALESCE(CAST(X.PRTCTN_VL AS STRING),'')&lt;&gt;COALESCE(CAST(Y.PRTCTN_VL_SIMUL AS STRING),''),1,0)) AS NUM_REG_DIF,'1' AS ID_EXEC, CURRENT_TIMESTAMP() AS TIME_EXEC FROM (SELECT prtctn_id, PRTCTN_VL FROM BU_LOANTAPE_WORK.LT004_PROTECTION WHERE ref_date='${ref_date}' AND nome_perimetro='Individual Corporativo' AND segmento='ESTR' AND ambito='PILAR3')X INNER JOIN (SELECT prtctn_id AS prtctn_id_SIMUL, PRTCTN_VL AS PRTCTN_VL_SIMUL FROM BU_LOANTAPE_WORK.LT004_PROTECTION_P3_NOV24)Y ON X.PRTCTN_ID=Y.PRTCTN_ID_SIMUL</v>
      </c>
      <c r="M97" s="43" t="str">
        <f t="shared" si="1"/>
        <v>UNION ALL SELECT 'PROTECTION' AS TABELA, 'COERÊNCIA' AS TIPOLOGIA_TESTE,'BU_LOANTAPE_WORK.LT004_PROTECTION' AS TABELA_LT,'BU_LOANTAPE_WORK.LT004_PROTECTION_P3_NOV24' AS TABELA_SIMUL,'PRTCTN_VL' AS CAMPO, '${ref_date}' AS REF_DATE, COUNT(*) AS NUM_REG, SUM(IF(COALESCE(CAST(X.PRTCTN_VL AS STRING),'')&lt;&gt;COALESCE(CAST(Y.PRTCTN_VL_SIMUL AS STRING),''),1,0)) AS NUM_REG_DIF,'1' AS ID_EXEC, CURRENT_TIMESTAMP() AS TIME_EXEC FROM (SELECT prtctn_id, PRTCTN_VL FROM BU_LOANTAPE_WORK.LT004_PROTECTION WHERE ref_date='${ref_date}' AND nome_perimetro='Individual Corporativo' AND segmento='ESTR' AND ambito='PILAR3')X INNER JOIN (SELECT prtctn_id AS prtctn_id_SIMUL, PRTCTN_VL AS PRTCTN_VL_SIMUL FROM BU_LOANTAPE_WORK.LT004_PROTECTION_P3_NOV24)Y ON X.PRTCTN_ID=Y.PRTCTN_ID_SIMUL</v>
      </c>
      <c r="N97" s="45" t="s">
        <v>13</v>
      </c>
    </row>
    <row r="98" spans="2:14">
      <c r="B98" s="41" t="s">
        <v>31</v>
      </c>
      <c r="C98" s="41" t="s">
        <v>74</v>
      </c>
      <c r="D98" s="41" t="str">
        <f>+UPPER('0. Instruções'!$D$33&amp;"."&amp;VLOOKUP(B98,'0. Instruções'!$C$27:$D$31,2,FALSE))</f>
        <v>BU_LOANTAPE_WORK.LT004_PROTECTION</v>
      </c>
      <c r="E98" s="41" t="str">
        <f>+UPPER('0. Instruções'!$D$34&amp;"."&amp;VLOOKUP(B98,'0. Instruções'!$C$27:$E$31,3,FALSE))</f>
        <v>BU_LOANTAPE_WORK.LT004_PROTECTION_P3_NOV24</v>
      </c>
      <c r="F98" s="41" t="s">
        <v>173</v>
      </c>
      <c r="G98" s="41" t="s">
        <v>13</v>
      </c>
      <c r="H98" s="41"/>
      <c r="I98" s="41" t="str">
        <f>"(SELECT "&amp;VLOOKUP(B98,'0. Instruções'!$C$27:$G$31,4,FALSE)&amp;", "&amp;F98&amp;" FROM "&amp;D98&amp;" WHERE "&amp;'0. Instruções'!$D$40&amp;")X"</f>
        <v>(SELECT prtctn_id, COD_SOC FROM BU_LOANTAPE_WORK.LT004_PROTECTION WHERE ref_date='${ref_date}' AND nome_perimetro='Individual Corporativo' AND segmento='ESTR' AND ambito='PILAR3')X</v>
      </c>
      <c r="J98" s="41" t="str">
        <f>"(SELECT "&amp;VLOOKUP(B98,'0. Instruções'!$C$27:$G$31,4,FALSE)&amp;" AS "&amp;VLOOKUP(B98,'0. Instruções'!$C$27:$G$31,4,FALSE)&amp;"_SIMUL, "&amp;F98&amp;" AS "&amp;F98&amp;"_SIMUL FROM "&amp;E98&amp;")Y"</f>
        <v>(SELECT prtctn_id AS prtctn_id_SIMUL, COD_SOC AS COD_SOC_SIMUL FROM BU_LOANTAPE_WORK.LT004_PROTECTION_P3_NOV24)Y</v>
      </c>
      <c r="K98" s="42" t="str">
        <f>+UPPER("ON X."&amp;VLOOKUP(B98,'0. Instruções'!$C$27:$G$31,4,FALSE)&amp;"=Y."&amp;VLOOKUP(B98,'0. Instruções'!$C$27:$G$31,4,FALSE)&amp;"_SIMUL")</f>
        <v>ON X.PRTCTN_ID=Y.PRTCTN_ID_SIMUL</v>
      </c>
      <c r="L98" s="42" t="str">
        <f>+IF(C98="Coerência", +IF(LEFT(G98,5)="FLOAT","SELECT '"&amp;UPPER(B98)&amp;"' AS TABELA, '"&amp;UPPER(C98)&amp;"' AS TIPOLOGIA_TESTE,'"&amp;D98&amp;"' AS TABELA_LT,'"&amp;E98&amp;"' AS TABELA_SIMUL,'"&amp;F98&amp;"' AS CAMPO, "&amp;"'${ref_date}' AS REF_DATE, COUNT(*) AS NUM_REG, SUM(IF((ABS(COALESCE(X."&amp;F98&amp;",0)-COALESCE(Y."&amp;F98&amp;"_SIMUL,0))&gt;0.0000000001) OR (X."&amp;F98&amp;" IS NULL AND Y."&amp;F98&amp;"_SIMUL IS NOT NULL ) OR (X."&amp;F98&amp;" IS NOT NULL AND Y."&amp;F98&amp;"_SIMUL IS NULL),1,0)) AS NUM_REG_DIF,'"&amp;MAX('ID1&amp;5'!K:K)+1&amp;"' AS ID_EXEC, CURRENT_TIMESTAMP() AS TIME_EXEC FROM "&amp;I98&amp;" INNER JOIN "&amp;J98&amp;" "&amp;K98,"SELECT '"&amp;UPPER(B98)&amp;"' AS TABELA, '"&amp;UPPER(C98)&amp;"' AS TIPOLOGIA_TESTE,'"&amp;D98&amp;"' AS TABELA_LT,'"&amp;E98&amp;"' AS TABELA_SIMUL,'"&amp;F98&amp;"' AS CAMPO, "&amp;"'${ref_date}' AS REF_DATE, COUNT(*) AS NUM_REG, SUM(IF(COALESCE(CAST(X."&amp;F98&amp;" AS STRING),'')&lt;&gt;COALESCE(CAST(Y."&amp;F98&amp;"_SIMUL AS STRING),''),1,0)) AS NUM_REG_DIF,'"&amp;MAX('ID1&amp;5'!L:L)+1&amp;"' AS ID_EXEC, CURRENT_TIMESTAMP() AS TIME_EXEC FROM "&amp;I98&amp;" INNER JOIN "&amp;J98&amp;" "&amp;K98),
IF(C98="Validade",+IF(G98="Code List","SELECT '"&amp;UPPER(B98)&amp;"' AS TABELA, '"&amp;UPPER(C98)&amp;"' AS TIPOLOGIA_TESTE,'"&amp;D98&amp;"' AS TABELA_LT,'N/A' AS TABELA_SIMUL,'"&amp;F98&amp;"' AS CAMPO, "&amp;"'${ref_date}' AS REF_DATE, COUNT(*) AS NUM_REG, SUM(IF(TRIM(CAST(X."&amp;F98&amp;" AS STRING))='' OR TRIM(CAST(X."&amp;F98&amp;" AS STRING)) IS NULL OR CAST(X."&amp;F98&amp;" AS STRING) NOT "&amp;H98&amp;",1,0)) AS NUM_REG_DIF,'"&amp;MAX('ID1&amp;5'!K:K)+1&amp;"' AS ID_EXEC, CURRENT_TIMESTAMP() AS TIME_EXEC FROM "&amp;I98,"SELECT '"&amp;UPPER(B98)&amp;"' AS TABELA, '"&amp;UPPER(C98)&amp;"' AS TIPOLOGIA_TESTE,'"&amp;D98&amp;"' AS TABELA_LT,'N/A' AS TABELA_SIMUL,'"&amp;F98&amp;"' AS CAMPO, "&amp;"'${ref_date}' AS REF_DATE, COUNT(*) AS NUM_REG, SUM(IF(TRIM(CAST(X."&amp;F98&amp;" AS STRING))='' OR TRIM(CAST(X."&amp;F98&amp;" AS STRING)) IS NULL,1,0)) AS NUM_REG_DIF,'"&amp;MAX('ID1&amp;5'!K:K)+1&amp;"' AS ID_EXEC, CURRENT_TIMESTAMP() AS TIME_EXEC FROM "&amp;I98),
IF(C98="Caracteres Especiais",+"SELECT '"&amp;UPPER(B98)&amp;"' AS TABELA, '"&amp;UPPER(C98)&amp;"' AS TIPOLOGIA_TESTE,'"&amp;D98&amp;"' AS TABELA_LT,'N/A' AS TABELA_SIMUL,'"&amp;F98&amp;"' AS CAMPO, "&amp;"'${ref_date}' AS REF_DATE, COUNT(*) AS NUM_REG, SUM(IF(INSTR(CAST(X."&amp;F98&amp;" AS STRING),'#')&gt;0 OR INSTR(CAST(X."&amp;F98&amp;" AS STRING),'*')&gt;0 OR INSTR(CAST(X."&amp;F98&amp;" AS STRING),'`')&gt;0 OR INSTR(CAST(X."&amp;F98&amp;" AS STRING),'´')&gt;0 OR INSTR(CAST(X."&amp;F98&amp;" AS STRING),'{')&gt;0 OR INSTR(CAST(X."&amp;F98&amp;" AS STRING),'}')&gt;0 OR INSTR(CAST(X."&amp;F98&amp;" AS STRING),'[')&gt;0 OR INSTR(CAST(X."&amp;F98&amp;" AS STRING),'')&gt;0 OR INSTR(CAST(X."&amp;F98&amp;" AS STRING),']')&gt;0 OR INSTR(CAST(X."&amp;F98&amp;" AS STRING),'?')&gt;0 OR INSTR(CAST(X."&amp;F98&amp;" AS STRING),'!')&gt;0 OR INSTR(CAST(X."&amp;F98&amp;" AS STRING),'$')&gt;0 OR INSTR(CAST(X."&amp;F98&amp;" AS STRING),'%')&gt;0 OR INSTR(CAST(X."&amp;F98&amp;" AS STRING),'&amp;')&gt;0 OR INSTR(CAST(X."&amp;F98&amp;" AS STRING),'+')&gt;0,1,0)) AS NUM_REG_DIF,'"&amp;MAX('ID1&amp;5'!K:K)+1&amp;"' AS ID_EXEC, CURRENT_TIMESTAMP() AS TIME_EXEC FROM "&amp;I98,
IF(C98="Missings",+"SELECT '"&amp;UPPER(B98)&amp;"' AS TABELA, '"&amp;UPPER(C98)&amp;"' AS TIPOLOGIA_TESTE,'"&amp;D98&amp;"' AS TABELA_LT,'N/A' AS TABELA_SIMUL,'"&amp;F98&amp;"' AS CAMPO, "&amp;"'${ref_date}' AS REF_DATE, COUNT(*) AS NUM_REG, SUM(IF(TRIM(CAST(X."&amp;F98&amp;" AS STRING)) IN ('0000-00-00','0001-01-01','9999-12-31','MISS','00000','99999999999','99999999999.00','99999999999.000000'),1,0)) AS NUM_REG_DIF,'"&amp;MAX('ID1&amp;5'!K:K)+1&amp;"' AS ID_EXEC, CURRENT_TIMESTAMP() AS TIME_EXEC FROM "&amp;I98,
IF(C98="Not applicable",+"SELECT '"&amp;UPPER(B98)&amp;"' AS TABELA, '"&amp;UPPER(C98)&amp;"' AS TIPOLOGIA_TESTE,'"&amp;D98&amp;"' AS TABELA_LT,'N/A' AS TABELA_SIMUL,'"&amp;F98&amp;"' AS CAMPO, "&amp;"'${ref_date}' AS REF_DATE, COUNT(*) AS NUM_REG, SUM(IF(TRIM(CAST(X."&amp;F98&amp;" AS STRING)) IN ('N/A','11111111111','11111111111.00','11111111111.000000','1111-11-11'),1,0)) AS NUM_REG_DIF,'"&amp;MAX('ID1&amp;5'!K:K)+1&amp;"' AS ID_EXEC, CURRENT_TIMESTAMP() AS TIME_EXEC FROM "&amp;I98,
IF(C98="Valores extremos",+"SELECT '"&amp;UPPER(B98)&amp;"' AS TABELA, '"&amp;UPPER(C98)&amp;"' AS TIPOLOGIA_TESTE,'"&amp;D98&amp;"' AS TABELA_LT,'N/A' AS TABELA_SIMUL,'"&amp;F98&amp;"' AS CAMPO, "&amp;"'${ref_date}' AS REF_DATE, CAST(MIN("&amp;F98&amp;") AS STRING) AS VALOR_MIN, CAST(MAX("&amp;F98&amp;") AS STRING) AS VALOR_MAX,'"&amp;MAX('ID1&amp;5'!K:K)+1&amp;"' AS ID_EXEC, CURRENT_TIMESTAMP() AS TIME_EXEC FROM "&amp;MID(I98,1,LEN(I98)-2)&amp;" AND CAST("&amp;F98&amp;"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TIPOLOGIA_TESTE,'BU_LOANTAPE_WORK.LT004_PROTECTION' AS TABELA_LT,'BU_LOANTAPE_WORK.LT004_PROTECTION_P3_NOV24' AS TABELA_SIMUL,'COD_SOC' AS CAMPO, '${ref_date}' AS REF_DATE, COUNT(*) AS NUM_REG, SUM(IF(COALESCE(CAST(X.COD_SOC AS STRING),'')&lt;&gt;COALESCE(CAST(Y.COD_SOC_SIMUL AS STRING),''),1,0)) AS NUM_REG_DIF,'1' AS ID_EXEC, CURRENT_TIMESTAMP() AS TIME_EXEC FROM (SELECT prtctn_id, COD_SOC FROM BU_LOANTAPE_WORK.LT004_PROTECTION WHERE ref_date='${ref_date}' AND nome_perimetro='Individual Corporativo' AND segmento='ESTR' AND ambito='PILAR3')X INNER JOIN (SELECT prtctn_id AS prtctn_id_SIMUL, COD_SOC AS COD_SOC_SIMUL FROM BU_LOANTAPE_WORK.LT004_PROTECTION_P3_NOV24)Y ON X.PRTCTN_ID=Y.PRTCTN_ID_SIMUL</v>
      </c>
      <c r="M98" s="43" t="str">
        <f t="shared" si="1"/>
        <v>UNION ALL SELECT 'PROTECTION' AS TABELA, 'COERÊNCIA' AS TIPOLOGIA_TESTE,'BU_LOANTAPE_WORK.LT004_PROTECTION' AS TABELA_LT,'BU_LOANTAPE_WORK.LT004_PROTECTION_P3_NOV24' AS TABELA_SIMUL,'COD_SOC' AS CAMPO, '${ref_date}' AS REF_DATE, COUNT(*) AS NUM_REG, SUM(IF(COALESCE(CAST(X.COD_SOC AS STRING),'')&lt;&gt;COALESCE(CAST(Y.COD_SOC_SIMUL AS STRING),''),1,0)) AS NUM_REG_DIF,'1' AS ID_EXEC, CURRENT_TIMESTAMP() AS TIME_EXEC FROM (SELECT prtctn_id, COD_SOC FROM BU_LOANTAPE_WORK.LT004_PROTECTION WHERE ref_date='${ref_date}' AND nome_perimetro='Individual Corporativo' AND segmento='ESTR' AND ambito='PILAR3')X INNER JOIN (SELECT prtctn_id AS prtctn_id_SIMUL, COD_SOC AS COD_SOC_SIMUL FROM BU_LOANTAPE_WORK.LT004_PROTECTION_P3_NOV24)Y ON X.PRTCTN_ID=Y.PRTCTN_ID_SIMUL</v>
      </c>
      <c r="N98" s="45" t="s">
        <v>13</v>
      </c>
    </row>
    <row r="99" spans="2:14">
      <c r="B99" s="41" t="s">
        <v>27</v>
      </c>
      <c r="C99" s="41" t="s">
        <v>75</v>
      </c>
      <c r="D99" s="41" t="str">
        <f>+UPPER('0. Instruções'!$D$33&amp;"."&amp;VLOOKUP(B99,'0. Instruções'!$C$27:$D$31,2,FALSE))</f>
        <v>BU_LOANTAPE_WORK.LT002_INSTRUMENT</v>
      </c>
      <c r="E99" s="41" t="str">
        <f>+UPPER('0. Instruções'!$D$34&amp;"."&amp;VLOOKUP(B99,'0. Instruções'!$C$27:$E$31,3,FALSE))</f>
        <v>BU_LOANTAPE_WORK.LT002_INSTRUMENT_P3_NOV24</v>
      </c>
      <c r="F99" s="41" t="s">
        <v>151</v>
      </c>
      <c r="G99" s="41" t="s">
        <v>209</v>
      </c>
      <c r="H99" s="42" t="s">
        <v>215</v>
      </c>
      <c r="I99" s="41" t="str">
        <f>"(SELECT "&amp;VLOOKUP(B99,'0. Instruções'!$C$27:$G$31,4,FALSE)&amp;", "&amp;F99&amp;" FROM "&amp;D99&amp;" WHERE "&amp;'0. Instruções'!$D$40&amp;")X"</f>
        <v>(SELECT instrmnt_id, LNS_CLLTRLZD_CLSSFCTN FROM BU_LOANTAPE_WORK.LT002_INSTRUMENT WHERE ref_date='${ref_date}' AND nome_perimetro='Individual Corporativo' AND segmento='ESTR' AND ambito='PILAR3')X</v>
      </c>
      <c r="J99" s="41" t="str">
        <f>"(SELECT "&amp;VLOOKUP(B99,'0. Instruções'!$C$27:$G$31,4,FALSE)&amp;" AS "&amp;VLOOKUP(B99,'0. Instruções'!$C$27:$G$31,4,FALSE)&amp;"_SIMUL, "&amp;F99&amp;" AS "&amp;F99&amp;"_SIMUL FROM "&amp;E99&amp;")Y"</f>
        <v>(SELECT instrmnt_id AS instrmnt_id_SIMUL, LNS_CLLTRLZD_CLSSFCTN AS LNS_CLLTRLZD_CLSSFCTN_SIMUL FROM BU_LOANTAPE_WORK.LT002_INSTRUMENT_P3_NOV24)Y</v>
      </c>
      <c r="K99" s="42" t="str">
        <f>+UPPER("ON X."&amp;VLOOKUP(B99,'0. Instruções'!$C$27:$G$31,4,FALSE)&amp;"=Y."&amp;VLOOKUP(B99,'0. Instruções'!$C$27:$G$31,4,FALSE)&amp;"_SIMUL")</f>
        <v>ON X.INSTRMNT_ID=Y.INSTRMNT_ID_SIMUL</v>
      </c>
      <c r="L99" s="42" t="str">
        <f>+IF(C99="Coerência", +IF(LEFT(G99,5)="FLOAT","SELECT '"&amp;UPPER(B99)&amp;"' AS TABELA, '"&amp;UPPER(C99)&amp;"' AS TIPOLOGIA_TESTE,'"&amp;D99&amp;"' AS TABELA_LT,'"&amp;E99&amp;"' AS TABELA_SIMUL,'"&amp;F99&amp;"' AS CAMPO, "&amp;"'${ref_date}' AS REF_DATE, COUNT(*) AS NUM_REG, SUM(IF((ABS(COALESCE(X."&amp;F99&amp;",0)-COALESCE(Y."&amp;F99&amp;"_SIMUL,0))&gt;0.0000000001) OR (X."&amp;F99&amp;" IS NULL AND Y."&amp;F99&amp;"_SIMUL IS NOT NULL ) OR (X."&amp;F99&amp;" IS NOT NULL AND Y."&amp;F99&amp;"_SIMUL IS NULL),1,0)) AS NUM_REG_DIF,'"&amp;MAX('ID1&amp;5'!K:K)+1&amp;"' AS ID_EXEC, CURRENT_TIMESTAMP() AS TIME_EXEC FROM "&amp;I99&amp;" INNER JOIN "&amp;J99&amp;" "&amp;K99,"SELECT '"&amp;UPPER(B99)&amp;"' AS TABELA, '"&amp;UPPER(C99)&amp;"' AS TIPOLOGIA_TESTE,'"&amp;D99&amp;"' AS TABELA_LT,'"&amp;E99&amp;"' AS TABELA_SIMUL,'"&amp;F99&amp;"' AS CAMPO, "&amp;"'${ref_date}' AS REF_DATE, COUNT(*) AS NUM_REG, SUM(IF(COALESCE(CAST(X."&amp;F99&amp;" AS STRING),'')&lt;&gt;COALESCE(CAST(Y."&amp;F99&amp;"_SIMUL AS STRING),''),1,0)) AS NUM_REG_DIF,'"&amp;MAX('ID1&amp;5'!L:L)+1&amp;"' AS ID_EXEC, CURRENT_TIMESTAMP() AS TIME_EXEC FROM "&amp;I99&amp;" INNER JOIN "&amp;J99&amp;" "&amp;K99),
IF(C99="Validade",+IF(G99="Code List","SELECT '"&amp;UPPER(B99)&amp;"' AS TABELA, '"&amp;UPPER(C99)&amp;"' AS TIPOLOGIA_TESTE,'"&amp;D99&amp;"' AS TABELA_LT,'N/A' AS TABELA_SIMUL,'"&amp;F99&amp;"' AS CAMPO, "&amp;"'${ref_date}' AS REF_DATE, COUNT(*) AS NUM_REG, SUM(IF(TRIM(CAST(X."&amp;F99&amp;" AS STRING))='' OR TRIM(CAST(X."&amp;F99&amp;" AS STRING)) IS NULL OR CAST(X."&amp;F99&amp;" AS STRING) NOT "&amp;H99&amp;",1,0)) AS NUM_REG_DIF,'"&amp;MAX('ID1&amp;5'!K:K)+1&amp;"' AS ID_EXEC, CURRENT_TIMESTAMP() AS TIME_EXEC FROM "&amp;I99,"SELECT '"&amp;UPPER(B99)&amp;"' AS TABELA, '"&amp;UPPER(C99)&amp;"' AS TIPOLOGIA_TESTE,'"&amp;D99&amp;"' AS TABELA_LT,'N/A' AS TABELA_SIMUL,'"&amp;F99&amp;"' AS CAMPO, "&amp;"'${ref_date}' AS REF_DATE, COUNT(*) AS NUM_REG, SUM(IF(TRIM(CAST(X."&amp;F99&amp;" AS STRING))='' OR TRIM(CAST(X."&amp;F99&amp;" AS STRING)) IS NULL,1,0)) AS NUM_REG_DIF,'"&amp;MAX('ID1&amp;5'!K:K)+1&amp;"' AS ID_EXEC, CURRENT_TIMESTAMP() AS TIME_EXEC FROM "&amp;I99),
IF(C99="Caracteres Especiais",+"SELECT '"&amp;UPPER(B99)&amp;"' AS TABELA, '"&amp;UPPER(C99)&amp;"' AS TIPOLOGIA_TESTE,'"&amp;D99&amp;"' AS TABELA_LT,'N/A' AS TABELA_SIMUL,'"&amp;F99&amp;"' AS CAMPO, "&amp;"'${ref_date}' AS REF_DATE, COUNT(*) AS NUM_REG, SUM(IF(INSTR(CAST(X."&amp;F99&amp;" AS STRING),'#')&gt;0 OR INSTR(CAST(X."&amp;F99&amp;" AS STRING),'*')&gt;0 OR INSTR(CAST(X."&amp;F99&amp;" AS STRING),'`')&gt;0 OR INSTR(CAST(X."&amp;F99&amp;" AS STRING),'´')&gt;0 OR INSTR(CAST(X."&amp;F99&amp;" AS STRING),'{')&gt;0 OR INSTR(CAST(X."&amp;F99&amp;" AS STRING),'}')&gt;0 OR INSTR(CAST(X."&amp;F99&amp;" AS STRING),'[')&gt;0 OR INSTR(CAST(X."&amp;F99&amp;" AS STRING),'')&gt;0 OR INSTR(CAST(X."&amp;F99&amp;" AS STRING),']')&gt;0 OR INSTR(CAST(X."&amp;F99&amp;" AS STRING),'?')&gt;0 OR INSTR(CAST(X."&amp;F99&amp;" AS STRING),'!')&gt;0 OR INSTR(CAST(X."&amp;F99&amp;" AS STRING),'$')&gt;0 OR INSTR(CAST(X."&amp;F99&amp;" AS STRING),'%')&gt;0 OR INSTR(CAST(X."&amp;F99&amp;" AS STRING),'&amp;')&gt;0 OR INSTR(CAST(X."&amp;F99&amp;" AS STRING),'+')&gt;0,1,0)) AS NUM_REG_DIF,'"&amp;MAX('ID1&amp;5'!K:K)+1&amp;"' AS ID_EXEC, CURRENT_TIMESTAMP() AS TIME_EXEC FROM "&amp;I99,
IF(C99="Missings",+"SELECT '"&amp;UPPER(B99)&amp;"' AS TABELA, '"&amp;UPPER(C99)&amp;"' AS TIPOLOGIA_TESTE,'"&amp;D99&amp;"' AS TABELA_LT,'N/A' AS TABELA_SIMUL,'"&amp;F99&amp;"' AS CAMPO, "&amp;"'${ref_date}' AS REF_DATE, COUNT(*) AS NUM_REG, SUM(IF(TRIM(CAST(X."&amp;F99&amp;" AS STRING)) IN ('0000-00-00','0001-01-01','9999-12-31','MISS','00000','99999999999','99999999999.00','99999999999.000000'),1,0)) AS NUM_REG_DIF,'"&amp;MAX('ID1&amp;5'!K:K)+1&amp;"' AS ID_EXEC, CURRENT_TIMESTAMP() AS TIME_EXEC FROM "&amp;I99,
IF(C99="Not applicable",+"SELECT '"&amp;UPPER(B99)&amp;"' AS TABELA, '"&amp;UPPER(C99)&amp;"' AS TIPOLOGIA_TESTE,'"&amp;D99&amp;"' AS TABELA_LT,'N/A' AS TABELA_SIMUL,'"&amp;F99&amp;"' AS CAMPO, "&amp;"'${ref_date}' AS REF_DATE, COUNT(*) AS NUM_REG, SUM(IF(TRIM(CAST(X."&amp;F99&amp;" AS STRING)) IN ('N/A','11111111111','11111111111.00','11111111111.000000','1111-11-11'),1,0)) AS NUM_REG_DIF,'"&amp;MAX('ID1&amp;5'!K:K)+1&amp;"' AS ID_EXEC, CURRENT_TIMESTAMP() AS TIME_EXEC FROM "&amp;I99,
IF(C99="Valores extremos",+"SELECT '"&amp;UPPER(B99)&amp;"' AS TABELA, '"&amp;UPPER(C99)&amp;"' AS TIPOLOGIA_TESTE,'"&amp;D99&amp;"' AS TABELA_LT,'N/A' AS TABELA_SIMUL,'"&amp;F99&amp;"' AS CAMPO, "&amp;"'${ref_date}' AS REF_DATE, CAST(MIN("&amp;F99&amp;") AS STRING) AS VALOR_MIN, CAST(MAX("&amp;F99&amp;") AS STRING) AS VALOR_MAX,'"&amp;MAX('ID1&amp;5'!K:K)+1&amp;"' AS ID_EXEC, CURRENT_TIMESTAMP() AS TIME_EXEC FROM "&amp;MID(I99,1,LEN(I99)-2)&amp;" AND CAST("&amp;F99&amp;"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TABELA_SIMUL,'LNS_CLLTRLZD_CLSSFCTN' AS CAMPO, '${ref_date}' AS REF_DATE, COUNT(*) AS NUM_REG, SUM(IF(TRIM(CAST(X.LNS_CLLTRLZD_CLSSFCTN AS STRING))='' OR TRIM(CAST(X.LNS_CLLTRLZD_CLSSFCTN AS STRING)) IS NULL OR CAST(X.LNS_CLLTRLZD_CLSSFCTN AS STRING) NOT IN ('FMC1','FMC2','FMC3','FMC4','MISS'),1,0)) AS NUM_REG_DIF,'10' AS ID_EXEC, CURRENT_TIMESTAMP() AS TIME_EXEC FROM (SELECT instrmnt_id, LNS_CLLTRLZD_CLSSFCTN FROM BU_LOANTAPE_WORK.LT002_INSTRUMENT WHERE ref_date='${ref_date}' AND nome_perimetro='Individual Corporativo' AND segmento='ESTR' AND ambito='PILAR3')X</v>
      </c>
      <c r="M99" s="43" t="str">
        <f t="shared" si="1"/>
        <v>UNION ALL SELECT 'INSTRUMENT' AS TABELA, 'VALIDADE' AS TIPOLOGIA_TESTE,'BU_LOANTAPE_WORK.LT002_INSTRUMENT' AS TABELA_LT,'N/A' AS TABELA_SIMUL,'LNS_CLLTRLZD_CLSSFCTN' AS CAMPO, '${ref_date}' AS REF_DATE, COUNT(*) AS NUM_REG, SUM(IF(TRIM(CAST(X.LNS_CLLTRLZD_CLSSFCTN AS STRING))='' OR TRIM(CAST(X.LNS_CLLTRLZD_CLSSFCTN AS STRING)) IS NULL OR CAST(X.LNS_CLLTRLZD_CLSSFCTN AS STRING) NOT IN ('FMC1','FMC2','FMC3','FMC4','MISS'),1,0)) AS NUM_REG_DIF,'10' AS ID_EXEC, CURRENT_TIMESTAMP() AS TIME_EXEC FROM (SELECT instrmnt_id, LNS_CLLTRLZD_CLSSFCTN FROM BU_LOANTAPE_WORK.LT002_INSTRUMENT WHERE ref_date='${ref_date}' AND nome_perimetro='Individual Corporativo' AND segmento='ESTR' AND ambito='PILAR3')X</v>
      </c>
      <c r="N99" s="45" t="s">
        <v>13</v>
      </c>
    </row>
    <row r="100" spans="2:14">
      <c r="B100" s="41" t="s">
        <v>27</v>
      </c>
      <c r="C100" s="41" t="s">
        <v>75</v>
      </c>
      <c r="D100" s="41" t="str">
        <f>+UPPER('0. Instruções'!$D$33&amp;"."&amp;VLOOKUP(B100,'0. Instruções'!$C$27:$D$31,2,FALSE))</f>
        <v>BU_LOANTAPE_WORK.LT002_INSTRUMENT</v>
      </c>
      <c r="E100" s="41" t="str">
        <f>+UPPER('0. Instruções'!$D$34&amp;"."&amp;VLOOKUP(B100,'0. Instruções'!$C$27:$E$31,3,FALSE))</f>
        <v>BU_LOANTAPE_WORK.LT002_INSTRUMENT_P3_NOV24</v>
      </c>
      <c r="F100" s="41" t="s">
        <v>146</v>
      </c>
      <c r="G100" s="41" t="s">
        <v>209</v>
      </c>
      <c r="H100" s="42" t="s">
        <v>216</v>
      </c>
      <c r="I100" s="41" t="str">
        <f>"(SELECT "&amp;VLOOKUP(B100,'0. Instruções'!$C$27:$G$31,4,FALSE)&amp;", "&amp;F100&amp;" FROM "&amp;D100&amp;" WHERE "&amp;'0. Instruções'!$D$40&amp;")X"</f>
        <v>(SELECT instrmnt_id, RSK_MTGTD_CCT FROM BU_LOANTAPE_WORK.LT002_INSTRUMENT WHERE ref_date='${ref_date}' AND nome_perimetro='Individual Corporativo' AND segmento='ESTR' AND ambito='PILAR3')X</v>
      </c>
      <c r="J100" s="41" t="str">
        <f>"(SELECT "&amp;VLOOKUP(B100,'0. Instruções'!$C$27:$G$31,4,FALSE)&amp;" AS "&amp;VLOOKUP(B100,'0. Instruções'!$C$27:$G$31,4,FALSE)&amp;"_SIMUL, "&amp;F100&amp;" AS "&amp;F100&amp;"_SIMUL FROM "&amp;E100&amp;")Y"</f>
        <v>(SELECT instrmnt_id AS instrmnt_id_SIMUL, RSK_MTGTD_CCT AS RSK_MTGTD_CCT_SIMUL FROM BU_LOANTAPE_WORK.LT002_INSTRUMENT_P3_NOV24)Y</v>
      </c>
      <c r="K100" s="42" t="str">
        <f>+UPPER("ON X."&amp;VLOOKUP(B100,'0. Instruções'!$C$27:$G$31,4,FALSE)&amp;"=Y."&amp;VLOOKUP(B100,'0. Instruções'!$C$27:$G$31,4,FALSE)&amp;"_SIMUL")</f>
        <v>ON X.INSTRMNT_ID=Y.INSTRMNT_ID_SIMUL</v>
      </c>
      <c r="L100" s="42" t="str">
        <f>+IF(C100="Coerência", +IF(LEFT(G100,5)="FLOAT","SELECT '"&amp;UPPER(B100)&amp;"' AS TABELA, '"&amp;UPPER(C100)&amp;"' AS TIPOLOGIA_TESTE,'"&amp;D100&amp;"' AS TABELA_LT,'"&amp;E100&amp;"' AS TABELA_SIMUL,'"&amp;F100&amp;"' AS CAMPO, "&amp;"'${ref_date}' AS REF_DATE, COUNT(*) AS NUM_REG, SUM(IF((ABS(COALESCE(X."&amp;F100&amp;",0)-COALESCE(Y."&amp;F100&amp;"_SIMUL,0))&gt;0.0000000001) OR (X."&amp;F100&amp;" IS NULL AND Y."&amp;F100&amp;"_SIMUL IS NOT NULL ) OR (X."&amp;F100&amp;" IS NOT NULL AND Y."&amp;F100&amp;"_SIMUL IS NULL),1,0)) AS NUM_REG_DIF,'"&amp;MAX('ID1&amp;5'!K:K)+1&amp;"' AS ID_EXEC, CURRENT_TIMESTAMP() AS TIME_EXEC FROM "&amp;I100&amp;" INNER JOIN "&amp;J100&amp;" "&amp;K100,"SELECT '"&amp;UPPER(B100)&amp;"' AS TABELA, '"&amp;UPPER(C100)&amp;"' AS TIPOLOGIA_TESTE,'"&amp;D100&amp;"' AS TABELA_LT,'"&amp;E100&amp;"' AS TABELA_SIMUL,'"&amp;F100&amp;"' AS CAMPO, "&amp;"'${ref_date}' AS REF_DATE, COUNT(*) AS NUM_REG, SUM(IF(COALESCE(CAST(X."&amp;F100&amp;" AS STRING),'')&lt;&gt;COALESCE(CAST(Y."&amp;F100&amp;"_SIMUL AS STRING),''),1,0)) AS NUM_REG_DIF,'"&amp;MAX('ID1&amp;5'!L:L)+1&amp;"' AS ID_EXEC, CURRENT_TIMESTAMP() AS TIME_EXEC FROM "&amp;I100&amp;" INNER JOIN "&amp;J100&amp;" "&amp;K100),
IF(C100="Validade",+IF(G100="Code List","SELECT '"&amp;UPPER(B100)&amp;"' AS TABELA, '"&amp;UPPER(C100)&amp;"' AS TIPOLOGIA_TESTE,'"&amp;D100&amp;"' AS TABELA_LT,'N/A' AS TABELA_SIMUL,'"&amp;F100&amp;"' AS CAMPO, "&amp;"'${ref_date}' AS REF_DATE, COUNT(*) AS NUM_REG, SUM(IF(TRIM(CAST(X."&amp;F100&amp;" AS STRING))='' OR TRIM(CAST(X."&amp;F100&amp;" AS STRING)) IS NULL OR CAST(X."&amp;F100&amp;" AS STRING) NOT "&amp;H100&amp;",1,0)) AS NUM_REG_DIF,'"&amp;MAX('ID1&amp;5'!K:K)+1&amp;"' AS ID_EXEC, CURRENT_TIMESTAMP() AS TIME_EXEC FROM "&amp;I100,"SELECT '"&amp;UPPER(B100)&amp;"' AS TABELA, '"&amp;UPPER(C100)&amp;"' AS TIPOLOGIA_TESTE,'"&amp;D100&amp;"' AS TABELA_LT,'N/A' AS TABELA_SIMUL,'"&amp;F100&amp;"' AS CAMPO, "&amp;"'${ref_date}' AS REF_DATE, COUNT(*) AS NUM_REG, SUM(IF(TRIM(CAST(X."&amp;F100&amp;" AS STRING))='' OR TRIM(CAST(X."&amp;F100&amp;" AS STRING)) IS NULL,1,0)) AS NUM_REG_DIF,'"&amp;MAX('ID1&amp;5'!K:K)+1&amp;"' AS ID_EXEC, CURRENT_TIMESTAMP() AS TIME_EXEC FROM "&amp;I100),
IF(C100="Caracteres Especiais",+"SELECT '"&amp;UPPER(B100)&amp;"' AS TABELA, '"&amp;UPPER(C100)&amp;"' AS TIPOLOGIA_TESTE,'"&amp;D100&amp;"' AS TABELA_LT,'N/A' AS TABELA_SIMUL,'"&amp;F100&amp;"' AS CAMPO, "&amp;"'${ref_date}' AS REF_DATE, COUNT(*) AS NUM_REG, SUM(IF(INSTR(CAST(X."&amp;F100&amp;" AS STRING),'#')&gt;0 OR INSTR(CAST(X."&amp;F100&amp;" AS STRING),'*')&gt;0 OR INSTR(CAST(X."&amp;F100&amp;" AS STRING),'`')&gt;0 OR INSTR(CAST(X."&amp;F100&amp;" AS STRING),'´')&gt;0 OR INSTR(CAST(X."&amp;F100&amp;" AS STRING),'{')&gt;0 OR INSTR(CAST(X."&amp;F100&amp;" AS STRING),'}')&gt;0 OR INSTR(CAST(X."&amp;F100&amp;" AS STRING),'[')&gt;0 OR INSTR(CAST(X."&amp;F100&amp;" AS STRING),'')&gt;0 OR INSTR(CAST(X."&amp;F100&amp;" AS STRING),']')&gt;0 OR INSTR(CAST(X."&amp;F100&amp;" AS STRING),'?')&gt;0 OR INSTR(CAST(X."&amp;F100&amp;" AS STRING),'!')&gt;0 OR INSTR(CAST(X."&amp;F100&amp;" AS STRING),'$')&gt;0 OR INSTR(CAST(X."&amp;F100&amp;" AS STRING),'%')&gt;0 OR INSTR(CAST(X."&amp;F100&amp;" AS STRING),'&amp;')&gt;0 OR INSTR(CAST(X."&amp;F100&amp;" AS STRING),'+')&gt;0,1,0)) AS NUM_REG_DIF,'"&amp;MAX('ID1&amp;5'!K:K)+1&amp;"' AS ID_EXEC, CURRENT_TIMESTAMP() AS TIME_EXEC FROM "&amp;I100,
IF(C100="Missings",+"SELECT '"&amp;UPPER(B100)&amp;"' AS TABELA, '"&amp;UPPER(C100)&amp;"' AS TIPOLOGIA_TESTE,'"&amp;D100&amp;"' AS TABELA_LT,'N/A' AS TABELA_SIMUL,'"&amp;F100&amp;"' AS CAMPO, "&amp;"'${ref_date}' AS REF_DATE, COUNT(*) AS NUM_REG, SUM(IF(TRIM(CAST(X."&amp;F100&amp;" AS STRING)) IN ('0000-00-00','0001-01-01','9999-12-31','MISS','00000','99999999999','99999999999.00','99999999999.000000'),1,0)) AS NUM_REG_DIF,'"&amp;MAX('ID1&amp;5'!K:K)+1&amp;"' AS ID_EXEC, CURRENT_TIMESTAMP() AS TIME_EXEC FROM "&amp;I100,
IF(C100="Not applicable",+"SELECT '"&amp;UPPER(B100)&amp;"' AS TABELA, '"&amp;UPPER(C100)&amp;"' AS TIPOLOGIA_TESTE,'"&amp;D100&amp;"' AS TABELA_LT,'N/A' AS TABELA_SIMUL,'"&amp;F100&amp;"' AS CAMPO, "&amp;"'${ref_date}' AS REF_DATE, COUNT(*) AS NUM_REG, SUM(IF(TRIM(CAST(X."&amp;F100&amp;" AS STRING)) IN ('N/A','11111111111','11111111111.00','11111111111.000000','1111-11-11'),1,0)) AS NUM_REG_DIF,'"&amp;MAX('ID1&amp;5'!K:K)+1&amp;"' AS ID_EXEC, CURRENT_TIMESTAMP() AS TIME_EXEC FROM "&amp;I100,
IF(C100="Valores extremos",+"SELECT '"&amp;UPPER(B100)&amp;"' AS TABELA, '"&amp;UPPER(C100)&amp;"' AS TIPOLOGIA_TESTE,'"&amp;D100&amp;"' AS TABELA_LT,'N/A' AS TABELA_SIMUL,'"&amp;F100&amp;"' AS CAMPO, "&amp;"'${ref_date}' AS REF_DATE, CAST(MIN("&amp;F100&amp;") AS STRING) AS VALOR_MIN, CAST(MAX("&amp;F100&amp;") AS STRING) AS VALOR_MAX,'"&amp;MAX('ID1&amp;5'!K:K)+1&amp;"' AS ID_EXEC, CURRENT_TIMESTAMP() AS TIME_EXEC FROM "&amp;MID(I100,1,LEN(I100)-2)&amp;" AND CAST("&amp;F100&amp;"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TABELA_SIMUL,'RSK_MTGTD_CCT' AS CAMPO, '${ref_date}' AS REF_DATE, COUNT(*) AS NUM_REG, SUM(IF(TRIM(CAST(X.RSK_MTGTD_CCT AS STRING))='' OR TRIM(CAST(X.RSK_MTGTD_CCT AS STRING)) IS NULL OR CAST(X.RSK_MTGTD_CCT AS STRING) NOT IN ('MISS'),1,0)) AS NUM_REG_DIF,'10' AS ID_EXEC, CURRENT_TIMESTAMP() AS TIME_EXEC FROM (SELECT instrmnt_id, RSK_MTGTD_CCT FROM BU_LOANTAPE_WORK.LT002_INSTRUMENT WHERE ref_date='${ref_date}' AND nome_perimetro='Individual Corporativo' AND segmento='ESTR' AND ambito='PILAR3')X</v>
      </c>
      <c r="M100" s="43" t="str">
        <f t="shared" si="1"/>
        <v>UNION ALL SELECT 'INSTRUMENT' AS TABELA, 'VALIDADE' AS TIPOLOGIA_TESTE,'BU_LOANTAPE_WORK.LT002_INSTRUMENT' AS TABELA_LT,'N/A' AS TABELA_SIMUL,'RSK_MTGTD_CCT' AS CAMPO, '${ref_date}' AS REF_DATE, COUNT(*) AS NUM_REG, SUM(IF(TRIM(CAST(X.RSK_MTGTD_CCT AS STRING))='' OR TRIM(CAST(X.RSK_MTGTD_CCT AS STRING)) IS NULL OR CAST(X.RSK_MTGTD_CCT AS STRING) NOT IN ('MISS'),1,0)) AS NUM_REG_DIF,'10' AS ID_EXEC, CURRENT_TIMESTAMP() AS TIME_EXEC FROM (SELECT instrmnt_id, RSK_MTGTD_CCT FROM BU_LOANTAPE_WORK.LT002_INSTRUMENT WHERE ref_date='${ref_date}' AND nome_perimetro='Individual Corporativo' AND segmento='ESTR' AND ambito='PILAR3')X</v>
      </c>
      <c r="N100" s="45" t="s">
        <v>13</v>
      </c>
    </row>
    <row r="101" spans="2:14">
      <c r="B101" s="41" t="s">
        <v>27</v>
      </c>
      <c r="C101" s="41" t="s">
        <v>75</v>
      </c>
      <c r="D101" s="41" t="str">
        <f>+UPPER('0. Instruções'!$D$33&amp;"."&amp;VLOOKUP(B101,'0. Instruções'!$C$27:$D$31,2,FALSE))</f>
        <v>BU_LOANTAPE_WORK.LT002_INSTRUMENT</v>
      </c>
      <c r="E101" s="41" t="str">
        <f>+UPPER('0. Instruções'!$D$34&amp;"."&amp;VLOOKUP(B101,'0. Instruções'!$C$27:$E$31,3,FALSE))</f>
        <v>BU_LOANTAPE_WORK.LT002_INSTRUMENT_P3_NOV24</v>
      </c>
      <c r="F101" s="41" t="s">
        <v>148</v>
      </c>
      <c r="G101" s="41" t="s">
        <v>209</v>
      </c>
      <c r="H101" s="42" t="s">
        <v>216</v>
      </c>
      <c r="I101" s="41" t="str">
        <f>"(SELECT "&amp;VLOOKUP(B101,'0. Instruções'!$C$27:$G$31,4,FALSE)&amp;", "&amp;F101&amp;" FROM "&amp;D101&amp;" WHERE "&amp;'0. Instruções'!$D$40&amp;")X"</f>
        <v>(SELECT instrmnt_id, RSK_MTGTD_CCP FROM BU_LOANTAPE_WORK.LT002_INSTRUMENT WHERE ref_date='${ref_date}' AND nome_perimetro='Individual Corporativo' AND segmento='ESTR' AND ambito='PILAR3')X</v>
      </c>
      <c r="J101" s="41" t="str">
        <f>"(SELECT "&amp;VLOOKUP(B101,'0. Instruções'!$C$27:$G$31,4,FALSE)&amp;" AS "&amp;VLOOKUP(B101,'0. Instruções'!$C$27:$G$31,4,FALSE)&amp;"_SIMUL, "&amp;F101&amp;" AS "&amp;F101&amp;"_SIMUL FROM "&amp;E101&amp;")Y"</f>
        <v>(SELECT instrmnt_id AS instrmnt_id_SIMUL, RSK_MTGTD_CCP AS RSK_MTGTD_CCP_SIMUL FROM BU_LOANTAPE_WORK.LT002_INSTRUMENT_P3_NOV24)Y</v>
      </c>
      <c r="K101" s="42" t="str">
        <f>+UPPER("ON X."&amp;VLOOKUP(B101,'0. Instruções'!$C$27:$G$31,4,FALSE)&amp;"=Y."&amp;VLOOKUP(B101,'0. Instruções'!$C$27:$G$31,4,FALSE)&amp;"_SIMUL")</f>
        <v>ON X.INSTRMNT_ID=Y.INSTRMNT_ID_SIMUL</v>
      </c>
      <c r="L101" s="42" t="str">
        <f>+IF(C101="Coerência", +IF(LEFT(G101,5)="FLOAT","SELECT '"&amp;UPPER(B101)&amp;"' AS TABELA, '"&amp;UPPER(C101)&amp;"' AS TIPOLOGIA_TESTE,'"&amp;D101&amp;"' AS TABELA_LT,'"&amp;E101&amp;"' AS TABELA_SIMUL,'"&amp;F101&amp;"' AS CAMPO, "&amp;"'${ref_date}' AS REF_DATE, COUNT(*) AS NUM_REG, SUM(IF((ABS(COALESCE(X."&amp;F101&amp;",0)-COALESCE(Y."&amp;F101&amp;"_SIMUL,0))&gt;0.0000000001) OR (X."&amp;F101&amp;" IS NULL AND Y."&amp;F101&amp;"_SIMUL IS NOT NULL ) OR (X."&amp;F101&amp;" IS NOT NULL AND Y."&amp;F101&amp;"_SIMUL IS NULL),1,0)) AS NUM_REG_DIF,'"&amp;MAX('ID1&amp;5'!K:K)+1&amp;"' AS ID_EXEC, CURRENT_TIMESTAMP() AS TIME_EXEC FROM "&amp;I101&amp;" INNER JOIN "&amp;J101&amp;" "&amp;K101,"SELECT '"&amp;UPPER(B101)&amp;"' AS TABELA, '"&amp;UPPER(C101)&amp;"' AS TIPOLOGIA_TESTE,'"&amp;D101&amp;"' AS TABELA_LT,'"&amp;E101&amp;"' AS TABELA_SIMUL,'"&amp;F101&amp;"' AS CAMPO, "&amp;"'${ref_date}' AS REF_DATE, COUNT(*) AS NUM_REG, SUM(IF(COALESCE(CAST(X."&amp;F101&amp;" AS STRING),'')&lt;&gt;COALESCE(CAST(Y."&amp;F101&amp;"_SIMUL AS STRING),''),1,0)) AS NUM_REG_DIF,'"&amp;MAX('ID1&amp;5'!L:L)+1&amp;"' AS ID_EXEC, CURRENT_TIMESTAMP() AS TIME_EXEC FROM "&amp;I101&amp;" INNER JOIN "&amp;J101&amp;" "&amp;K101),
IF(C101="Validade",+IF(G101="Code List","SELECT '"&amp;UPPER(B101)&amp;"' AS TABELA, '"&amp;UPPER(C101)&amp;"' AS TIPOLOGIA_TESTE,'"&amp;D101&amp;"' AS TABELA_LT,'N/A' AS TABELA_SIMUL,'"&amp;F101&amp;"' AS CAMPO, "&amp;"'${ref_date}' AS REF_DATE, COUNT(*) AS NUM_REG, SUM(IF(TRIM(CAST(X."&amp;F101&amp;" AS STRING))='' OR TRIM(CAST(X."&amp;F101&amp;" AS STRING)) IS NULL OR CAST(X."&amp;F101&amp;" AS STRING) NOT "&amp;H101&amp;",1,0)) AS NUM_REG_DIF,'"&amp;MAX('ID1&amp;5'!K:K)+1&amp;"' AS ID_EXEC, CURRENT_TIMESTAMP() AS TIME_EXEC FROM "&amp;I101,"SELECT '"&amp;UPPER(B101)&amp;"' AS TABELA, '"&amp;UPPER(C101)&amp;"' AS TIPOLOGIA_TESTE,'"&amp;D101&amp;"' AS TABELA_LT,'N/A' AS TABELA_SIMUL,'"&amp;F101&amp;"' AS CAMPO, "&amp;"'${ref_date}' AS REF_DATE, COUNT(*) AS NUM_REG, SUM(IF(TRIM(CAST(X."&amp;F101&amp;" AS STRING))='' OR TRIM(CAST(X."&amp;F101&amp;" AS STRING)) IS NULL,1,0)) AS NUM_REG_DIF,'"&amp;MAX('ID1&amp;5'!K:K)+1&amp;"' AS ID_EXEC, CURRENT_TIMESTAMP() AS TIME_EXEC FROM "&amp;I101),
IF(C101="Caracteres Especiais",+"SELECT '"&amp;UPPER(B101)&amp;"' AS TABELA, '"&amp;UPPER(C101)&amp;"' AS TIPOLOGIA_TESTE,'"&amp;D101&amp;"' AS TABELA_LT,'N/A' AS TABELA_SIMUL,'"&amp;F101&amp;"' AS CAMPO, "&amp;"'${ref_date}' AS REF_DATE, COUNT(*) AS NUM_REG, SUM(IF(INSTR(CAST(X."&amp;F101&amp;" AS STRING),'#')&gt;0 OR INSTR(CAST(X."&amp;F101&amp;" AS STRING),'*')&gt;0 OR INSTR(CAST(X."&amp;F101&amp;" AS STRING),'`')&gt;0 OR INSTR(CAST(X."&amp;F101&amp;" AS STRING),'´')&gt;0 OR INSTR(CAST(X."&amp;F101&amp;" AS STRING),'{')&gt;0 OR INSTR(CAST(X."&amp;F101&amp;" AS STRING),'}')&gt;0 OR INSTR(CAST(X."&amp;F101&amp;" AS STRING),'[')&gt;0 OR INSTR(CAST(X."&amp;F101&amp;" AS STRING),'')&gt;0 OR INSTR(CAST(X."&amp;F101&amp;" AS STRING),']')&gt;0 OR INSTR(CAST(X."&amp;F101&amp;" AS STRING),'?')&gt;0 OR INSTR(CAST(X."&amp;F101&amp;" AS STRING),'!')&gt;0 OR INSTR(CAST(X."&amp;F101&amp;" AS STRING),'$')&gt;0 OR INSTR(CAST(X."&amp;F101&amp;" AS STRING),'%')&gt;0 OR INSTR(CAST(X."&amp;F101&amp;" AS STRING),'&amp;')&gt;0 OR INSTR(CAST(X."&amp;F101&amp;" AS STRING),'+')&gt;0,1,0)) AS NUM_REG_DIF,'"&amp;MAX('ID1&amp;5'!K:K)+1&amp;"' AS ID_EXEC, CURRENT_TIMESTAMP() AS TIME_EXEC FROM "&amp;I101,
IF(C101="Missings",+"SELECT '"&amp;UPPER(B101)&amp;"' AS TABELA, '"&amp;UPPER(C101)&amp;"' AS TIPOLOGIA_TESTE,'"&amp;D101&amp;"' AS TABELA_LT,'N/A' AS TABELA_SIMUL,'"&amp;F101&amp;"' AS CAMPO, "&amp;"'${ref_date}' AS REF_DATE, COUNT(*) AS NUM_REG, SUM(IF(TRIM(CAST(X."&amp;F101&amp;" AS STRING)) IN ('0000-00-00','0001-01-01','9999-12-31','MISS','00000','99999999999','99999999999.00','99999999999.000000'),1,0)) AS NUM_REG_DIF,'"&amp;MAX('ID1&amp;5'!K:K)+1&amp;"' AS ID_EXEC, CURRENT_TIMESTAMP() AS TIME_EXEC FROM "&amp;I101,
IF(C101="Not applicable",+"SELECT '"&amp;UPPER(B101)&amp;"' AS TABELA, '"&amp;UPPER(C101)&amp;"' AS TIPOLOGIA_TESTE,'"&amp;D101&amp;"' AS TABELA_LT,'N/A' AS TABELA_SIMUL,'"&amp;F101&amp;"' AS CAMPO, "&amp;"'${ref_date}' AS REF_DATE, COUNT(*) AS NUM_REG, SUM(IF(TRIM(CAST(X."&amp;F101&amp;" AS STRING)) IN ('N/A','11111111111','11111111111.00','11111111111.000000','1111-11-11'),1,0)) AS NUM_REG_DIF,'"&amp;MAX('ID1&amp;5'!K:K)+1&amp;"' AS ID_EXEC, CURRENT_TIMESTAMP() AS TIME_EXEC FROM "&amp;I101,
IF(C101="Valores extremos",+"SELECT '"&amp;UPPER(B101)&amp;"' AS TABELA, '"&amp;UPPER(C101)&amp;"' AS TIPOLOGIA_TESTE,'"&amp;D101&amp;"' AS TABELA_LT,'N/A' AS TABELA_SIMUL,'"&amp;F101&amp;"' AS CAMPO, "&amp;"'${ref_date}' AS REF_DATE, CAST(MIN("&amp;F101&amp;") AS STRING) AS VALOR_MIN, CAST(MAX("&amp;F101&amp;") AS STRING) AS VALOR_MAX,'"&amp;MAX('ID1&amp;5'!K:K)+1&amp;"' AS ID_EXEC, CURRENT_TIMESTAMP() AS TIME_EXEC FROM "&amp;MID(I101,1,LEN(I101)-2)&amp;" AND CAST("&amp;F101&amp;"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TABELA_SIMUL,'RSK_MTGTD_CCP' AS CAMPO, '${ref_date}' AS REF_DATE, COUNT(*) AS NUM_REG, SUM(IF(TRIM(CAST(X.RSK_MTGTD_CCP AS STRING))='' OR TRIM(CAST(X.RSK_MTGTD_CCP AS STRING)) IS NULL OR CAST(X.RSK_MTGTD_CCP AS STRING) NOT IN ('MISS'),1,0)) AS NUM_REG_DIF,'10' AS ID_EXEC, CURRENT_TIMESTAMP() AS TIME_EXEC FROM (SELECT instrmnt_id, RSK_MTGTD_CCP FROM BU_LOANTAPE_WORK.LT002_INSTRUMENT WHERE ref_date='${ref_date}' AND nome_perimetro='Individual Corporativo' AND segmento='ESTR' AND ambito='PILAR3')X</v>
      </c>
      <c r="M101" s="43" t="str">
        <f t="shared" si="1"/>
        <v>UNION ALL SELECT 'INSTRUMENT' AS TABELA, 'VALIDADE' AS TIPOLOGIA_TESTE,'BU_LOANTAPE_WORK.LT002_INSTRUMENT' AS TABELA_LT,'N/A' AS TABELA_SIMUL,'RSK_MTGTD_CCP' AS CAMPO, '${ref_date}' AS REF_DATE, COUNT(*) AS NUM_REG, SUM(IF(TRIM(CAST(X.RSK_MTGTD_CCP AS STRING))='' OR TRIM(CAST(X.RSK_MTGTD_CCP AS STRING)) IS NULL OR CAST(X.RSK_MTGTD_CCP AS STRING) NOT IN ('MISS'),1,0)) AS NUM_REG_DIF,'10' AS ID_EXEC, CURRENT_TIMESTAMP() AS TIME_EXEC FROM (SELECT instrmnt_id, RSK_MTGTD_CCP FROM BU_LOANTAPE_WORK.LT002_INSTRUMENT WHERE ref_date='${ref_date}' AND nome_perimetro='Individual Corporativo' AND segmento='ESTR' AND ambito='PILAR3')X</v>
      </c>
      <c r="N101" s="45" t="s">
        <v>13</v>
      </c>
    </row>
    <row r="102" spans="2:14">
      <c r="B102" s="41" t="s">
        <v>27</v>
      </c>
      <c r="C102" s="41" t="s">
        <v>75</v>
      </c>
      <c r="D102" s="41" t="str">
        <f>+UPPER('0. Instruções'!$D$33&amp;"."&amp;VLOOKUP(B102,'0. Instruções'!$C$27:$D$31,2,FALSE))</f>
        <v>BU_LOANTAPE_WORK.LT002_INSTRUMENT</v>
      </c>
      <c r="E102" s="41" t="str">
        <f>+UPPER('0. Instruções'!$D$34&amp;"."&amp;VLOOKUP(B102,'0. Instruções'!$C$27:$E$31,3,FALSE))</f>
        <v>BU_LOANTAPE_WORK.LT002_INSTRUMENT_P3_NOV24</v>
      </c>
      <c r="F102" s="41" t="s">
        <v>152</v>
      </c>
      <c r="G102" s="41" t="s">
        <v>209</v>
      </c>
      <c r="H102" s="42" t="s">
        <v>217</v>
      </c>
      <c r="I102" s="41" t="str">
        <f>"(SELECT "&amp;VLOOKUP(B102,'0. Instruções'!$C$27:$G$31,4,FALSE)&amp;", "&amp;F102&amp;" FROM "&amp;D102&amp;" WHERE "&amp;'0. Instruções'!$D$40&amp;")X"</f>
        <v>(SELECT instrmnt_id, MTHD_USD_INSTRMNT_SCP_1 FROM BU_LOANTAPE_WORK.LT002_INSTRUMENT WHERE ref_date='${ref_date}' AND nome_perimetro='Individual Corporativo' AND segmento='ESTR' AND ambito='PILAR3')X</v>
      </c>
      <c r="J102" s="41" t="str">
        <f>"(SELECT "&amp;VLOOKUP(B102,'0. Instruções'!$C$27:$G$31,4,FALSE)&amp;" AS "&amp;VLOOKUP(B102,'0. Instruções'!$C$27:$G$31,4,FALSE)&amp;"_SIMUL, "&amp;F102&amp;" AS "&amp;F102&amp;"_SIMUL FROM "&amp;E102&amp;")Y"</f>
        <v>(SELECT instrmnt_id AS instrmnt_id_SIMUL, MTHD_USD_INSTRMNT_SCP_1 AS MTHD_USD_INSTRMNT_SCP_1_SIMUL FROM BU_LOANTAPE_WORK.LT002_INSTRUMENT_P3_NOV24)Y</v>
      </c>
      <c r="K102" s="42" t="str">
        <f>+UPPER("ON X."&amp;VLOOKUP(B102,'0. Instruções'!$C$27:$G$31,4,FALSE)&amp;"=Y."&amp;VLOOKUP(B102,'0. Instruções'!$C$27:$G$31,4,FALSE)&amp;"_SIMUL")</f>
        <v>ON X.INSTRMNT_ID=Y.INSTRMNT_ID_SIMUL</v>
      </c>
      <c r="L102" s="42" t="str">
        <f>+IF(C102="Coerência", +IF(LEFT(G102,5)="FLOAT","SELECT '"&amp;UPPER(B102)&amp;"' AS TABELA, '"&amp;UPPER(C102)&amp;"' AS TIPOLOGIA_TESTE,'"&amp;D102&amp;"' AS TABELA_LT,'"&amp;E102&amp;"' AS TABELA_SIMUL,'"&amp;F102&amp;"' AS CAMPO, "&amp;"'${ref_date}' AS REF_DATE, COUNT(*) AS NUM_REG, SUM(IF((ABS(COALESCE(X."&amp;F102&amp;",0)-COALESCE(Y."&amp;F102&amp;"_SIMUL,0))&gt;0.0000000001) OR (X."&amp;F102&amp;" IS NULL AND Y."&amp;F102&amp;"_SIMUL IS NOT NULL ) OR (X."&amp;F102&amp;" IS NOT NULL AND Y."&amp;F102&amp;"_SIMUL IS NULL),1,0)) AS NUM_REG_DIF,'"&amp;MAX('ID1&amp;5'!K:K)+1&amp;"' AS ID_EXEC, CURRENT_TIMESTAMP() AS TIME_EXEC FROM "&amp;I102&amp;" INNER JOIN "&amp;J102&amp;" "&amp;K102,"SELECT '"&amp;UPPER(B102)&amp;"' AS TABELA, '"&amp;UPPER(C102)&amp;"' AS TIPOLOGIA_TESTE,'"&amp;D102&amp;"' AS TABELA_LT,'"&amp;E102&amp;"' AS TABELA_SIMUL,'"&amp;F102&amp;"' AS CAMPO, "&amp;"'${ref_date}' AS REF_DATE, COUNT(*) AS NUM_REG, SUM(IF(COALESCE(CAST(X."&amp;F102&amp;" AS STRING),'')&lt;&gt;COALESCE(CAST(Y."&amp;F102&amp;"_SIMUL AS STRING),''),1,0)) AS NUM_REG_DIF,'"&amp;MAX('ID1&amp;5'!L:L)+1&amp;"' AS ID_EXEC, CURRENT_TIMESTAMP() AS TIME_EXEC FROM "&amp;I102&amp;" INNER JOIN "&amp;J102&amp;" "&amp;K102),
IF(C102="Validade",+IF(G102="Code List","SELECT '"&amp;UPPER(B102)&amp;"' AS TABELA, '"&amp;UPPER(C102)&amp;"' AS TIPOLOGIA_TESTE,'"&amp;D102&amp;"' AS TABELA_LT,'N/A' AS TABELA_SIMUL,'"&amp;F102&amp;"' AS CAMPO, "&amp;"'${ref_date}' AS REF_DATE, COUNT(*) AS NUM_REG, SUM(IF(TRIM(CAST(X."&amp;F102&amp;" AS STRING))='' OR TRIM(CAST(X."&amp;F102&amp;" AS STRING)) IS NULL OR CAST(X."&amp;F102&amp;" AS STRING) NOT "&amp;H102&amp;",1,0)) AS NUM_REG_DIF,'"&amp;MAX('ID1&amp;5'!K:K)+1&amp;"' AS ID_EXEC, CURRENT_TIMESTAMP() AS TIME_EXEC FROM "&amp;I102,"SELECT '"&amp;UPPER(B102)&amp;"' AS TABELA, '"&amp;UPPER(C102)&amp;"' AS TIPOLOGIA_TESTE,'"&amp;D102&amp;"' AS TABELA_LT,'N/A' AS TABELA_SIMUL,'"&amp;F102&amp;"' AS CAMPO, "&amp;"'${ref_date}' AS REF_DATE, COUNT(*) AS NUM_REG, SUM(IF(TRIM(CAST(X."&amp;F102&amp;" AS STRING))='' OR TRIM(CAST(X."&amp;F102&amp;" AS STRING)) IS NULL,1,0)) AS NUM_REG_DIF,'"&amp;MAX('ID1&amp;5'!K:K)+1&amp;"' AS ID_EXEC, CURRENT_TIMESTAMP() AS TIME_EXEC FROM "&amp;I102),
IF(C102="Caracteres Especiais",+"SELECT '"&amp;UPPER(B102)&amp;"' AS TABELA, '"&amp;UPPER(C102)&amp;"' AS TIPOLOGIA_TESTE,'"&amp;D102&amp;"' AS TABELA_LT,'N/A' AS TABELA_SIMUL,'"&amp;F102&amp;"' AS CAMPO, "&amp;"'${ref_date}' AS REF_DATE, COUNT(*) AS NUM_REG, SUM(IF(INSTR(CAST(X."&amp;F102&amp;" AS STRING),'#')&gt;0 OR INSTR(CAST(X."&amp;F102&amp;" AS STRING),'*')&gt;0 OR INSTR(CAST(X."&amp;F102&amp;" AS STRING),'`')&gt;0 OR INSTR(CAST(X."&amp;F102&amp;" AS STRING),'´')&gt;0 OR INSTR(CAST(X."&amp;F102&amp;" AS STRING),'{')&gt;0 OR INSTR(CAST(X."&amp;F102&amp;" AS STRING),'}')&gt;0 OR INSTR(CAST(X."&amp;F102&amp;" AS STRING),'[')&gt;0 OR INSTR(CAST(X."&amp;F102&amp;" AS STRING),'')&gt;0 OR INSTR(CAST(X."&amp;F102&amp;" AS STRING),']')&gt;0 OR INSTR(CAST(X."&amp;F102&amp;" AS STRING),'?')&gt;0 OR INSTR(CAST(X."&amp;F102&amp;" AS STRING),'!')&gt;0 OR INSTR(CAST(X."&amp;F102&amp;" AS STRING),'$')&gt;0 OR INSTR(CAST(X."&amp;F102&amp;" AS STRING),'%')&gt;0 OR INSTR(CAST(X."&amp;F102&amp;" AS STRING),'&amp;')&gt;0 OR INSTR(CAST(X."&amp;F102&amp;" AS STRING),'+')&gt;0,1,0)) AS NUM_REG_DIF,'"&amp;MAX('ID1&amp;5'!K:K)+1&amp;"' AS ID_EXEC, CURRENT_TIMESTAMP() AS TIME_EXEC FROM "&amp;I102,
IF(C102="Missings",+"SELECT '"&amp;UPPER(B102)&amp;"' AS TABELA, '"&amp;UPPER(C102)&amp;"' AS TIPOLOGIA_TESTE,'"&amp;D102&amp;"' AS TABELA_LT,'N/A' AS TABELA_SIMUL,'"&amp;F102&amp;"' AS CAMPO, "&amp;"'${ref_date}' AS REF_DATE, COUNT(*) AS NUM_REG, SUM(IF(TRIM(CAST(X."&amp;F102&amp;" AS STRING)) IN ('0000-00-00','0001-01-01','9999-12-31','MISS','00000','99999999999','99999999999.00','99999999999.000000'),1,0)) AS NUM_REG_DIF,'"&amp;MAX('ID1&amp;5'!K:K)+1&amp;"' AS ID_EXEC, CURRENT_TIMESTAMP() AS TIME_EXEC FROM "&amp;I102,
IF(C102="Not applicable",+"SELECT '"&amp;UPPER(B102)&amp;"' AS TABELA, '"&amp;UPPER(C102)&amp;"' AS TIPOLOGIA_TESTE,'"&amp;D102&amp;"' AS TABELA_LT,'N/A' AS TABELA_SIMUL,'"&amp;F102&amp;"' AS CAMPO, "&amp;"'${ref_date}' AS REF_DATE, COUNT(*) AS NUM_REG, SUM(IF(TRIM(CAST(X."&amp;F102&amp;" AS STRING)) IN ('N/A','11111111111','11111111111.00','11111111111.000000','1111-11-11'),1,0)) AS NUM_REG_DIF,'"&amp;MAX('ID1&amp;5'!K:K)+1&amp;"' AS ID_EXEC, CURRENT_TIMESTAMP() AS TIME_EXEC FROM "&amp;I102,
IF(C102="Valores extremos",+"SELECT '"&amp;UPPER(B102)&amp;"' AS TABELA, '"&amp;UPPER(C102)&amp;"' AS TIPOLOGIA_TESTE,'"&amp;D102&amp;"' AS TABELA_LT,'N/A' AS TABELA_SIMUL,'"&amp;F102&amp;"' AS CAMPO, "&amp;"'${ref_date}' AS REF_DATE, CAST(MIN("&amp;F102&amp;") AS STRING) AS VALOR_MIN, CAST(MAX("&amp;F102&amp;") AS STRING) AS VALOR_MAX,'"&amp;MAX('ID1&amp;5'!K:K)+1&amp;"' AS ID_EXEC, CURRENT_TIMESTAMP() AS TIME_EXEC FROM "&amp;MID(I102,1,LEN(I102)-2)&amp;" AND CAST("&amp;F102&amp;"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TABELA_SIMUL,'MTHD_USD_INSTRMNT_SCP_1' AS CAMPO, '${ref_date}' AS REF_DATE, COUNT(*) AS NUM_REG, SUM(IF(TRIM(CAST(X.MTHD_USD_INSTRMNT_SCP_1 AS STRING))='' OR TRIM(CAST(X.MTHD_USD_INSTRMNT_SCP_1 AS STRING)) IS NULL OR CAST(X.MTHD_USD_INSTRMNT_SCP_1 AS STRING) NOT IN ('MISS','N/A'),1,0)) AS NUM_REG_DIF,'10' AS ID_EXEC, CURRENT_TIMESTAMP() AS TIME_EXEC FROM (SELECT instrmnt_id, MTHD_USD_INSTRMNT_SCP_1 FROM BU_LOANTAPE_WORK.LT002_INSTRUMENT WHERE ref_date='${ref_date}' AND nome_perimetro='Individual Corporativo' AND segmento='ESTR' AND ambito='PILAR3')X</v>
      </c>
      <c r="M102" s="43" t="str">
        <f t="shared" si="1"/>
        <v>UNION ALL SELECT 'INSTRUMENT' AS TABELA, 'VALIDADE' AS TIPOLOGIA_TESTE,'BU_LOANTAPE_WORK.LT002_INSTRUMENT' AS TABELA_LT,'N/A' AS TABELA_SIMUL,'MTHD_USD_INSTRMNT_SCP_1' AS CAMPO, '${ref_date}' AS REF_DATE, COUNT(*) AS NUM_REG, SUM(IF(TRIM(CAST(X.MTHD_USD_INSTRMNT_SCP_1 AS STRING))='' OR TRIM(CAST(X.MTHD_USD_INSTRMNT_SCP_1 AS STRING)) IS NULL OR CAST(X.MTHD_USD_INSTRMNT_SCP_1 AS STRING) NOT IN ('MISS','N/A'),1,0)) AS NUM_REG_DIF,'10' AS ID_EXEC, CURRENT_TIMESTAMP() AS TIME_EXEC FROM (SELECT instrmnt_id, MTHD_USD_INSTRMNT_SCP_1 FROM BU_LOANTAPE_WORK.LT002_INSTRUMENT WHERE ref_date='${ref_date}' AND nome_perimetro='Individual Corporativo' AND segmento='ESTR' AND ambito='PILAR3')X</v>
      </c>
      <c r="N102" s="45" t="s">
        <v>13</v>
      </c>
    </row>
    <row r="103" spans="2:14">
      <c r="B103" s="41" t="s">
        <v>27</v>
      </c>
      <c r="C103" s="41" t="s">
        <v>75</v>
      </c>
      <c r="D103" s="41" t="str">
        <f>+UPPER('0. Instruções'!$D$33&amp;"."&amp;VLOOKUP(B103,'0. Instruções'!$C$27:$D$31,2,FALSE))</f>
        <v>BU_LOANTAPE_WORK.LT002_INSTRUMENT</v>
      </c>
      <c r="E103" s="41" t="str">
        <f>+UPPER('0. Instruções'!$D$34&amp;"."&amp;VLOOKUP(B103,'0. Instruções'!$C$27:$E$31,3,FALSE))</f>
        <v>BU_LOANTAPE_WORK.LT002_INSTRUMENT_P3_NOV24</v>
      </c>
      <c r="F103" s="41" t="s">
        <v>153</v>
      </c>
      <c r="G103" s="41" t="s">
        <v>209</v>
      </c>
      <c r="H103" s="42" t="s">
        <v>217</v>
      </c>
      <c r="I103" s="41" t="str">
        <f>"(SELECT "&amp;VLOOKUP(B103,'0. Instruções'!$C$27:$G$31,4,FALSE)&amp;", "&amp;F103&amp;" FROM "&amp;D103&amp;" WHERE "&amp;'0. Instruções'!$D$40&amp;")X"</f>
        <v>(SELECT instrmnt_id, MTHD_USD_INSTRMNT_SCP_2 FROM BU_LOANTAPE_WORK.LT002_INSTRUMENT WHERE ref_date='${ref_date}' AND nome_perimetro='Individual Corporativo' AND segmento='ESTR' AND ambito='PILAR3')X</v>
      </c>
      <c r="J103" s="41" t="str">
        <f>"(SELECT "&amp;VLOOKUP(B103,'0. Instruções'!$C$27:$G$31,4,FALSE)&amp;" AS "&amp;VLOOKUP(B103,'0. Instruções'!$C$27:$G$31,4,FALSE)&amp;"_SIMUL, "&amp;F103&amp;" AS "&amp;F103&amp;"_SIMUL FROM "&amp;E103&amp;")Y"</f>
        <v>(SELECT instrmnt_id AS instrmnt_id_SIMUL, MTHD_USD_INSTRMNT_SCP_2 AS MTHD_USD_INSTRMNT_SCP_2_SIMUL FROM BU_LOANTAPE_WORK.LT002_INSTRUMENT_P3_NOV24)Y</v>
      </c>
      <c r="K103" s="42" t="str">
        <f>+UPPER("ON X."&amp;VLOOKUP(B103,'0. Instruções'!$C$27:$G$31,4,FALSE)&amp;"=Y."&amp;VLOOKUP(B103,'0. Instruções'!$C$27:$G$31,4,FALSE)&amp;"_SIMUL")</f>
        <v>ON X.INSTRMNT_ID=Y.INSTRMNT_ID_SIMUL</v>
      </c>
      <c r="L103" s="42" t="str">
        <f>+IF(C103="Coerência", +IF(LEFT(G103,5)="FLOAT","SELECT '"&amp;UPPER(B103)&amp;"' AS TABELA, '"&amp;UPPER(C103)&amp;"' AS TIPOLOGIA_TESTE,'"&amp;D103&amp;"' AS TABELA_LT,'"&amp;E103&amp;"' AS TABELA_SIMUL,'"&amp;F103&amp;"' AS CAMPO, "&amp;"'${ref_date}' AS REF_DATE, COUNT(*) AS NUM_REG, SUM(IF((ABS(COALESCE(X."&amp;F103&amp;",0)-COALESCE(Y."&amp;F103&amp;"_SIMUL,0))&gt;0.0000000001) OR (X."&amp;F103&amp;" IS NULL AND Y."&amp;F103&amp;"_SIMUL IS NOT NULL ) OR (X."&amp;F103&amp;" IS NOT NULL AND Y."&amp;F103&amp;"_SIMUL IS NULL),1,0)) AS NUM_REG_DIF,'"&amp;MAX('ID1&amp;5'!K:K)+1&amp;"' AS ID_EXEC, CURRENT_TIMESTAMP() AS TIME_EXEC FROM "&amp;I103&amp;" INNER JOIN "&amp;J103&amp;" "&amp;K103,"SELECT '"&amp;UPPER(B103)&amp;"' AS TABELA, '"&amp;UPPER(C103)&amp;"' AS TIPOLOGIA_TESTE,'"&amp;D103&amp;"' AS TABELA_LT,'"&amp;E103&amp;"' AS TABELA_SIMUL,'"&amp;F103&amp;"' AS CAMPO, "&amp;"'${ref_date}' AS REF_DATE, COUNT(*) AS NUM_REG, SUM(IF(COALESCE(CAST(X."&amp;F103&amp;" AS STRING),'')&lt;&gt;COALESCE(CAST(Y."&amp;F103&amp;"_SIMUL AS STRING),''),1,0)) AS NUM_REG_DIF,'"&amp;MAX('ID1&amp;5'!L:L)+1&amp;"' AS ID_EXEC, CURRENT_TIMESTAMP() AS TIME_EXEC FROM "&amp;I103&amp;" INNER JOIN "&amp;J103&amp;" "&amp;K103),
IF(C103="Validade",+IF(G103="Code List","SELECT '"&amp;UPPER(B103)&amp;"' AS TABELA, '"&amp;UPPER(C103)&amp;"' AS TIPOLOGIA_TESTE,'"&amp;D103&amp;"' AS TABELA_LT,'N/A' AS TABELA_SIMUL,'"&amp;F103&amp;"' AS CAMPO, "&amp;"'${ref_date}' AS REF_DATE, COUNT(*) AS NUM_REG, SUM(IF(TRIM(CAST(X."&amp;F103&amp;" AS STRING))='' OR TRIM(CAST(X."&amp;F103&amp;" AS STRING)) IS NULL OR CAST(X."&amp;F103&amp;" AS STRING) NOT "&amp;H103&amp;",1,0)) AS NUM_REG_DIF,'"&amp;MAX('ID1&amp;5'!K:K)+1&amp;"' AS ID_EXEC, CURRENT_TIMESTAMP() AS TIME_EXEC FROM "&amp;I103,"SELECT '"&amp;UPPER(B103)&amp;"' AS TABELA, '"&amp;UPPER(C103)&amp;"' AS TIPOLOGIA_TESTE,'"&amp;D103&amp;"' AS TABELA_LT,'N/A' AS TABELA_SIMUL,'"&amp;F103&amp;"' AS CAMPO, "&amp;"'${ref_date}' AS REF_DATE, COUNT(*) AS NUM_REG, SUM(IF(TRIM(CAST(X."&amp;F103&amp;" AS STRING))='' OR TRIM(CAST(X."&amp;F103&amp;" AS STRING)) IS NULL,1,0)) AS NUM_REG_DIF,'"&amp;MAX('ID1&amp;5'!K:K)+1&amp;"' AS ID_EXEC, CURRENT_TIMESTAMP() AS TIME_EXEC FROM "&amp;I103),
IF(C103="Caracteres Especiais",+"SELECT '"&amp;UPPER(B103)&amp;"' AS TABELA, '"&amp;UPPER(C103)&amp;"' AS TIPOLOGIA_TESTE,'"&amp;D103&amp;"' AS TABELA_LT,'N/A' AS TABELA_SIMUL,'"&amp;F103&amp;"' AS CAMPO, "&amp;"'${ref_date}' AS REF_DATE, COUNT(*) AS NUM_REG, SUM(IF(INSTR(CAST(X."&amp;F103&amp;" AS STRING),'#')&gt;0 OR INSTR(CAST(X."&amp;F103&amp;" AS STRING),'*')&gt;0 OR INSTR(CAST(X."&amp;F103&amp;" AS STRING),'`')&gt;0 OR INSTR(CAST(X."&amp;F103&amp;" AS STRING),'´')&gt;0 OR INSTR(CAST(X."&amp;F103&amp;" AS STRING),'{')&gt;0 OR INSTR(CAST(X."&amp;F103&amp;" AS STRING),'}')&gt;0 OR INSTR(CAST(X."&amp;F103&amp;" AS STRING),'[')&gt;0 OR INSTR(CAST(X."&amp;F103&amp;" AS STRING),'')&gt;0 OR INSTR(CAST(X."&amp;F103&amp;" AS STRING),']')&gt;0 OR INSTR(CAST(X."&amp;F103&amp;" AS STRING),'?')&gt;0 OR INSTR(CAST(X."&amp;F103&amp;" AS STRING),'!')&gt;0 OR INSTR(CAST(X."&amp;F103&amp;" AS STRING),'$')&gt;0 OR INSTR(CAST(X."&amp;F103&amp;" AS STRING),'%')&gt;0 OR INSTR(CAST(X."&amp;F103&amp;" AS STRING),'&amp;')&gt;0 OR INSTR(CAST(X."&amp;F103&amp;" AS STRING),'+')&gt;0,1,0)) AS NUM_REG_DIF,'"&amp;MAX('ID1&amp;5'!K:K)+1&amp;"' AS ID_EXEC, CURRENT_TIMESTAMP() AS TIME_EXEC FROM "&amp;I103,
IF(C103="Missings",+"SELECT '"&amp;UPPER(B103)&amp;"' AS TABELA, '"&amp;UPPER(C103)&amp;"' AS TIPOLOGIA_TESTE,'"&amp;D103&amp;"' AS TABELA_LT,'N/A' AS TABELA_SIMUL,'"&amp;F103&amp;"' AS CAMPO, "&amp;"'${ref_date}' AS REF_DATE, COUNT(*) AS NUM_REG, SUM(IF(TRIM(CAST(X."&amp;F103&amp;" AS STRING)) IN ('0000-00-00','0001-01-01','9999-12-31','MISS','00000','99999999999','99999999999.00','99999999999.000000'),1,0)) AS NUM_REG_DIF,'"&amp;MAX('ID1&amp;5'!K:K)+1&amp;"' AS ID_EXEC, CURRENT_TIMESTAMP() AS TIME_EXEC FROM "&amp;I103,
IF(C103="Not applicable",+"SELECT '"&amp;UPPER(B103)&amp;"' AS TABELA, '"&amp;UPPER(C103)&amp;"' AS TIPOLOGIA_TESTE,'"&amp;D103&amp;"' AS TABELA_LT,'N/A' AS TABELA_SIMUL,'"&amp;F103&amp;"' AS CAMPO, "&amp;"'${ref_date}' AS REF_DATE, COUNT(*) AS NUM_REG, SUM(IF(TRIM(CAST(X."&amp;F103&amp;" AS STRING)) IN ('N/A','11111111111','11111111111.00','11111111111.000000','1111-11-11'),1,0)) AS NUM_REG_DIF,'"&amp;MAX('ID1&amp;5'!K:K)+1&amp;"' AS ID_EXEC, CURRENT_TIMESTAMP() AS TIME_EXEC FROM "&amp;I103,
IF(C103="Valores extremos",+"SELECT '"&amp;UPPER(B103)&amp;"' AS TABELA, '"&amp;UPPER(C103)&amp;"' AS TIPOLOGIA_TESTE,'"&amp;D103&amp;"' AS TABELA_LT,'N/A' AS TABELA_SIMUL,'"&amp;F103&amp;"' AS CAMPO, "&amp;"'${ref_date}' AS REF_DATE, CAST(MIN("&amp;F103&amp;") AS STRING) AS VALOR_MIN, CAST(MAX("&amp;F103&amp;") AS STRING) AS VALOR_MAX,'"&amp;MAX('ID1&amp;5'!K:K)+1&amp;"' AS ID_EXEC, CURRENT_TIMESTAMP() AS TIME_EXEC FROM "&amp;MID(I103,1,LEN(I103)-2)&amp;" AND CAST("&amp;F103&amp;"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TABELA_SIMUL,'MTHD_USD_INSTRMNT_SCP_2' AS CAMPO, '${ref_date}' AS REF_DATE, COUNT(*) AS NUM_REG, SUM(IF(TRIM(CAST(X.MTHD_USD_INSTRMNT_SCP_2 AS STRING))='' OR TRIM(CAST(X.MTHD_USD_INSTRMNT_SCP_2 AS STRING)) IS NULL OR CAST(X.MTHD_USD_INSTRMNT_SCP_2 AS STRING) NOT IN ('MISS','N/A'),1,0)) AS NUM_REG_DIF,'10' AS ID_EXEC, CURRENT_TIMESTAMP() AS TIME_EXEC FROM (SELECT instrmnt_id, MTHD_USD_INSTRMNT_SCP_2 FROM BU_LOANTAPE_WORK.LT002_INSTRUMENT WHERE ref_date='${ref_date}' AND nome_perimetro='Individual Corporativo' AND segmento='ESTR' AND ambito='PILAR3')X</v>
      </c>
      <c r="M103" s="43" t="str">
        <f t="shared" si="1"/>
        <v>UNION ALL SELECT 'INSTRUMENT' AS TABELA, 'VALIDADE' AS TIPOLOGIA_TESTE,'BU_LOANTAPE_WORK.LT002_INSTRUMENT' AS TABELA_LT,'N/A' AS TABELA_SIMUL,'MTHD_USD_INSTRMNT_SCP_2' AS CAMPO, '${ref_date}' AS REF_DATE, COUNT(*) AS NUM_REG, SUM(IF(TRIM(CAST(X.MTHD_USD_INSTRMNT_SCP_2 AS STRING))='' OR TRIM(CAST(X.MTHD_USD_INSTRMNT_SCP_2 AS STRING)) IS NULL OR CAST(X.MTHD_USD_INSTRMNT_SCP_2 AS STRING) NOT IN ('MISS','N/A'),1,0)) AS NUM_REG_DIF,'10' AS ID_EXEC, CURRENT_TIMESTAMP() AS TIME_EXEC FROM (SELECT instrmnt_id, MTHD_USD_INSTRMNT_SCP_2 FROM BU_LOANTAPE_WORK.LT002_INSTRUMENT WHERE ref_date='${ref_date}' AND nome_perimetro='Individual Corporativo' AND segmento='ESTR' AND ambito='PILAR3')X</v>
      </c>
      <c r="N103" s="45" t="s">
        <v>13</v>
      </c>
    </row>
    <row r="104" spans="2:14">
      <c r="B104" s="41" t="s">
        <v>27</v>
      </c>
      <c r="C104" s="41" t="s">
        <v>75</v>
      </c>
      <c r="D104" s="41" t="str">
        <f>+UPPER('0. Instruções'!$D$33&amp;"."&amp;VLOOKUP(B104,'0. Instruções'!$C$27:$D$31,2,FALSE))</f>
        <v>BU_LOANTAPE_WORK.LT002_INSTRUMENT</v>
      </c>
      <c r="E104" s="41" t="str">
        <f>+UPPER('0. Instruções'!$D$34&amp;"."&amp;VLOOKUP(B104,'0. Instruções'!$C$27:$E$31,3,FALSE))</f>
        <v>BU_LOANTAPE_WORK.LT002_INSTRUMENT_P3_NOV24</v>
      </c>
      <c r="F104" s="41" t="s">
        <v>154</v>
      </c>
      <c r="G104" s="41" t="s">
        <v>209</v>
      </c>
      <c r="H104" s="42" t="s">
        <v>217</v>
      </c>
      <c r="I104" s="41" t="str">
        <f>"(SELECT "&amp;VLOOKUP(B104,'0. Instruções'!$C$27:$G$31,4,FALSE)&amp;", "&amp;F104&amp;" FROM "&amp;D104&amp;" WHERE "&amp;'0. Instruções'!$D$40&amp;")X"</f>
        <v>(SELECT instrmnt_id, MTHD_USD_INSTRMNT_SCP_3 FROM BU_LOANTAPE_WORK.LT002_INSTRUMENT WHERE ref_date='${ref_date}' AND nome_perimetro='Individual Corporativo' AND segmento='ESTR' AND ambito='PILAR3')X</v>
      </c>
      <c r="J104" s="41" t="str">
        <f>"(SELECT "&amp;VLOOKUP(B104,'0. Instruções'!$C$27:$G$31,4,FALSE)&amp;" AS "&amp;VLOOKUP(B104,'0. Instruções'!$C$27:$G$31,4,FALSE)&amp;"_SIMUL, "&amp;F104&amp;" AS "&amp;F104&amp;"_SIMUL FROM "&amp;E104&amp;")Y"</f>
        <v>(SELECT instrmnt_id AS instrmnt_id_SIMUL, MTHD_USD_INSTRMNT_SCP_3 AS MTHD_USD_INSTRMNT_SCP_3_SIMUL FROM BU_LOANTAPE_WORK.LT002_INSTRUMENT_P3_NOV24)Y</v>
      </c>
      <c r="K104" s="42" t="str">
        <f>+UPPER("ON X."&amp;VLOOKUP(B104,'0. Instruções'!$C$27:$G$31,4,FALSE)&amp;"=Y."&amp;VLOOKUP(B104,'0. Instruções'!$C$27:$G$31,4,FALSE)&amp;"_SIMUL")</f>
        <v>ON X.INSTRMNT_ID=Y.INSTRMNT_ID_SIMUL</v>
      </c>
      <c r="L104" s="42" t="str">
        <f>+IF(C104="Coerência", +IF(LEFT(G104,5)="FLOAT","SELECT '"&amp;UPPER(B104)&amp;"' AS TABELA, '"&amp;UPPER(C104)&amp;"' AS TIPOLOGIA_TESTE,'"&amp;D104&amp;"' AS TABELA_LT,'"&amp;E104&amp;"' AS TABELA_SIMUL,'"&amp;F104&amp;"' AS CAMPO, "&amp;"'${ref_date}' AS REF_DATE, COUNT(*) AS NUM_REG, SUM(IF((ABS(COALESCE(X."&amp;F104&amp;",0)-COALESCE(Y."&amp;F104&amp;"_SIMUL,0))&gt;0.0000000001) OR (X."&amp;F104&amp;" IS NULL AND Y."&amp;F104&amp;"_SIMUL IS NOT NULL ) OR (X."&amp;F104&amp;" IS NOT NULL AND Y."&amp;F104&amp;"_SIMUL IS NULL),1,0)) AS NUM_REG_DIF,'"&amp;MAX('ID1&amp;5'!K:K)+1&amp;"' AS ID_EXEC, CURRENT_TIMESTAMP() AS TIME_EXEC FROM "&amp;I104&amp;" INNER JOIN "&amp;J104&amp;" "&amp;K104,"SELECT '"&amp;UPPER(B104)&amp;"' AS TABELA, '"&amp;UPPER(C104)&amp;"' AS TIPOLOGIA_TESTE,'"&amp;D104&amp;"' AS TABELA_LT,'"&amp;E104&amp;"' AS TABELA_SIMUL,'"&amp;F104&amp;"' AS CAMPO, "&amp;"'${ref_date}' AS REF_DATE, COUNT(*) AS NUM_REG, SUM(IF(COALESCE(CAST(X."&amp;F104&amp;" AS STRING),'')&lt;&gt;COALESCE(CAST(Y."&amp;F104&amp;"_SIMUL AS STRING),''),1,0)) AS NUM_REG_DIF,'"&amp;MAX('ID1&amp;5'!L:L)+1&amp;"' AS ID_EXEC, CURRENT_TIMESTAMP() AS TIME_EXEC FROM "&amp;I104&amp;" INNER JOIN "&amp;J104&amp;" "&amp;K104),
IF(C104="Validade",+IF(G104="Code List","SELECT '"&amp;UPPER(B104)&amp;"' AS TABELA, '"&amp;UPPER(C104)&amp;"' AS TIPOLOGIA_TESTE,'"&amp;D104&amp;"' AS TABELA_LT,'N/A' AS TABELA_SIMUL,'"&amp;F104&amp;"' AS CAMPO, "&amp;"'${ref_date}' AS REF_DATE, COUNT(*) AS NUM_REG, SUM(IF(TRIM(CAST(X."&amp;F104&amp;" AS STRING))='' OR TRIM(CAST(X."&amp;F104&amp;" AS STRING)) IS NULL OR CAST(X."&amp;F104&amp;" AS STRING) NOT "&amp;H104&amp;",1,0)) AS NUM_REG_DIF,'"&amp;MAX('ID1&amp;5'!K:K)+1&amp;"' AS ID_EXEC, CURRENT_TIMESTAMP() AS TIME_EXEC FROM "&amp;I104,"SELECT '"&amp;UPPER(B104)&amp;"' AS TABELA, '"&amp;UPPER(C104)&amp;"' AS TIPOLOGIA_TESTE,'"&amp;D104&amp;"' AS TABELA_LT,'N/A' AS TABELA_SIMUL,'"&amp;F104&amp;"' AS CAMPO, "&amp;"'${ref_date}' AS REF_DATE, COUNT(*) AS NUM_REG, SUM(IF(TRIM(CAST(X."&amp;F104&amp;" AS STRING))='' OR TRIM(CAST(X."&amp;F104&amp;" AS STRING)) IS NULL,1,0)) AS NUM_REG_DIF,'"&amp;MAX('ID1&amp;5'!K:K)+1&amp;"' AS ID_EXEC, CURRENT_TIMESTAMP() AS TIME_EXEC FROM "&amp;I104),
IF(C104="Caracteres Especiais",+"SELECT '"&amp;UPPER(B104)&amp;"' AS TABELA, '"&amp;UPPER(C104)&amp;"' AS TIPOLOGIA_TESTE,'"&amp;D104&amp;"' AS TABELA_LT,'N/A' AS TABELA_SIMUL,'"&amp;F104&amp;"' AS CAMPO, "&amp;"'${ref_date}' AS REF_DATE, COUNT(*) AS NUM_REG, SUM(IF(INSTR(CAST(X."&amp;F104&amp;" AS STRING),'#')&gt;0 OR INSTR(CAST(X."&amp;F104&amp;" AS STRING),'*')&gt;0 OR INSTR(CAST(X."&amp;F104&amp;" AS STRING),'`')&gt;0 OR INSTR(CAST(X."&amp;F104&amp;" AS STRING),'´')&gt;0 OR INSTR(CAST(X."&amp;F104&amp;" AS STRING),'{')&gt;0 OR INSTR(CAST(X."&amp;F104&amp;" AS STRING),'}')&gt;0 OR INSTR(CAST(X."&amp;F104&amp;" AS STRING),'[')&gt;0 OR INSTR(CAST(X."&amp;F104&amp;" AS STRING),'')&gt;0 OR INSTR(CAST(X."&amp;F104&amp;" AS STRING),']')&gt;0 OR INSTR(CAST(X."&amp;F104&amp;" AS STRING),'?')&gt;0 OR INSTR(CAST(X."&amp;F104&amp;" AS STRING),'!')&gt;0 OR INSTR(CAST(X."&amp;F104&amp;" AS STRING),'$')&gt;0 OR INSTR(CAST(X."&amp;F104&amp;" AS STRING),'%')&gt;0 OR INSTR(CAST(X."&amp;F104&amp;" AS STRING),'&amp;')&gt;0 OR INSTR(CAST(X."&amp;F104&amp;" AS STRING),'+')&gt;0,1,0)) AS NUM_REG_DIF,'"&amp;MAX('ID1&amp;5'!K:K)+1&amp;"' AS ID_EXEC, CURRENT_TIMESTAMP() AS TIME_EXEC FROM "&amp;I104,
IF(C104="Missings",+"SELECT '"&amp;UPPER(B104)&amp;"' AS TABELA, '"&amp;UPPER(C104)&amp;"' AS TIPOLOGIA_TESTE,'"&amp;D104&amp;"' AS TABELA_LT,'N/A' AS TABELA_SIMUL,'"&amp;F104&amp;"' AS CAMPO, "&amp;"'${ref_date}' AS REF_DATE, COUNT(*) AS NUM_REG, SUM(IF(TRIM(CAST(X."&amp;F104&amp;" AS STRING)) IN ('0000-00-00','0001-01-01','9999-12-31','MISS','00000','99999999999','99999999999.00','99999999999.000000'),1,0)) AS NUM_REG_DIF,'"&amp;MAX('ID1&amp;5'!K:K)+1&amp;"' AS ID_EXEC, CURRENT_TIMESTAMP() AS TIME_EXEC FROM "&amp;I104,
IF(C104="Not applicable",+"SELECT '"&amp;UPPER(B104)&amp;"' AS TABELA, '"&amp;UPPER(C104)&amp;"' AS TIPOLOGIA_TESTE,'"&amp;D104&amp;"' AS TABELA_LT,'N/A' AS TABELA_SIMUL,'"&amp;F104&amp;"' AS CAMPO, "&amp;"'${ref_date}' AS REF_DATE, COUNT(*) AS NUM_REG, SUM(IF(TRIM(CAST(X."&amp;F104&amp;" AS STRING)) IN ('N/A','11111111111','11111111111.00','11111111111.000000','1111-11-11'),1,0)) AS NUM_REG_DIF,'"&amp;MAX('ID1&amp;5'!K:K)+1&amp;"' AS ID_EXEC, CURRENT_TIMESTAMP() AS TIME_EXEC FROM "&amp;I104,
IF(C104="Valores extremos",+"SELECT '"&amp;UPPER(B104)&amp;"' AS TABELA, '"&amp;UPPER(C104)&amp;"' AS TIPOLOGIA_TESTE,'"&amp;D104&amp;"' AS TABELA_LT,'N/A' AS TABELA_SIMUL,'"&amp;F104&amp;"' AS CAMPO, "&amp;"'${ref_date}' AS REF_DATE, CAST(MIN("&amp;F104&amp;") AS STRING) AS VALOR_MIN, CAST(MAX("&amp;F104&amp;") AS STRING) AS VALOR_MAX,'"&amp;MAX('ID1&amp;5'!K:K)+1&amp;"' AS ID_EXEC, CURRENT_TIMESTAMP() AS TIME_EXEC FROM "&amp;MID(I104,1,LEN(I104)-2)&amp;" AND CAST("&amp;F104&amp;"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TABELA_SIMUL,'MTHD_USD_INSTRMNT_SCP_3' AS CAMPO, '${ref_date}' AS REF_DATE, COUNT(*) AS NUM_REG, SUM(IF(TRIM(CAST(X.MTHD_USD_INSTRMNT_SCP_3 AS STRING))='' OR TRIM(CAST(X.MTHD_USD_INSTRMNT_SCP_3 AS STRING)) IS NULL OR CAST(X.MTHD_USD_INSTRMNT_SCP_3 AS STRING) NOT IN ('MISS','N/A'),1,0)) AS NUM_REG_DIF,'10' AS ID_EXEC, CURRENT_TIMESTAMP() AS TIME_EXEC FROM (SELECT instrmnt_id, MTHD_USD_INSTRMNT_SCP_3 FROM BU_LOANTAPE_WORK.LT002_INSTRUMENT WHERE ref_date='${ref_date}' AND nome_perimetro='Individual Corporativo' AND segmento='ESTR' AND ambito='PILAR3')X</v>
      </c>
      <c r="M104" s="43" t="str">
        <f t="shared" si="1"/>
        <v>UNION ALL SELECT 'INSTRUMENT' AS TABELA, 'VALIDADE' AS TIPOLOGIA_TESTE,'BU_LOANTAPE_WORK.LT002_INSTRUMENT' AS TABELA_LT,'N/A' AS TABELA_SIMUL,'MTHD_USD_INSTRMNT_SCP_3' AS CAMPO, '${ref_date}' AS REF_DATE, COUNT(*) AS NUM_REG, SUM(IF(TRIM(CAST(X.MTHD_USD_INSTRMNT_SCP_3 AS STRING))='' OR TRIM(CAST(X.MTHD_USD_INSTRMNT_SCP_3 AS STRING)) IS NULL OR CAST(X.MTHD_USD_INSTRMNT_SCP_3 AS STRING) NOT IN ('MISS','N/A'),1,0)) AS NUM_REG_DIF,'10' AS ID_EXEC, CURRENT_TIMESTAMP() AS TIME_EXEC FROM (SELECT instrmnt_id, MTHD_USD_INSTRMNT_SCP_3 FROM BU_LOANTAPE_WORK.LT002_INSTRUMENT WHERE ref_date='${ref_date}' AND nome_perimetro='Individual Corporativo' AND segmento='ESTR' AND ambito='PILAR3')X</v>
      </c>
      <c r="N104" s="45" t="s">
        <v>13</v>
      </c>
    </row>
    <row r="105" spans="2:14">
      <c r="B105" s="41" t="s">
        <v>27</v>
      </c>
      <c r="C105" s="41" t="s">
        <v>75</v>
      </c>
      <c r="D105" s="41" t="str">
        <f>+UPPER('0. Instruções'!$D$33&amp;"."&amp;VLOOKUP(B105,'0. Instruções'!$C$27:$D$31,2,FALSE))</f>
        <v>BU_LOANTAPE_WORK.LT002_INSTRUMENT</v>
      </c>
      <c r="E105" s="41" t="str">
        <f>+UPPER('0. Instruções'!$D$34&amp;"."&amp;VLOOKUP(B105,'0. Instruções'!$C$27:$E$31,3,FALSE))</f>
        <v>BU_LOANTAPE_WORK.LT002_INSTRUMENT_P3_NOV24</v>
      </c>
      <c r="F105" s="41" t="s">
        <v>155</v>
      </c>
      <c r="G105" s="41" t="s">
        <v>209</v>
      </c>
      <c r="H105" s="71" t="s">
        <v>218</v>
      </c>
      <c r="I105" s="41" t="str">
        <f>"(SELECT "&amp;VLOOKUP(B105,'0. Instruções'!$C$27:$G$31,4,FALSE)&amp;", "&amp;F105&amp;" FROM "&amp;D105&amp;" WHERE "&amp;'0. Instruções'!$D$40&amp;")X"</f>
        <v>(SELECT instrmnt_id, SSTNBL_CTGRY_TXNMY FROM BU_LOANTAPE_WORK.LT002_INSTRUMENT WHERE ref_date='${ref_date}' AND nome_perimetro='Individual Corporativo' AND segmento='ESTR' AND ambito='PILAR3')X</v>
      </c>
      <c r="J105" s="41" t="str">
        <f>"(SELECT "&amp;VLOOKUP(B105,'0. Instruções'!$C$27:$G$31,4,FALSE)&amp;" AS "&amp;VLOOKUP(B105,'0. Instruções'!$C$27:$G$31,4,FALSE)&amp;"_SIMUL, "&amp;F105&amp;" AS "&amp;F105&amp;"_SIMUL FROM "&amp;E105&amp;")Y"</f>
        <v>(SELECT instrmnt_id AS instrmnt_id_SIMUL, SSTNBL_CTGRY_TXNMY AS SSTNBL_CTGRY_TXNMY_SIMUL FROM BU_LOANTAPE_WORK.LT002_INSTRUMENT_P3_NOV24)Y</v>
      </c>
      <c r="K105" s="42" t="str">
        <f>+UPPER("ON X."&amp;VLOOKUP(B105,'0. Instruções'!$C$27:$G$31,4,FALSE)&amp;"=Y."&amp;VLOOKUP(B105,'0. Instruções'!$C$27:$G$31,4,FALSE)&amp;"_SIMUL")</f>
        <v>ON X.INSTRMNT_ID=Y.INSTRMNT_ID_SIMUL</v>
      </c>
      <c r="L105" s="42" t="str">
        <f>+IF(C105="Coerência", +IF(LEFT(G105,5)="FLOAT","SELECT '"&amp;UPPER(B105)&amp;"' AS TABELA, '"&amp;UPPER(C105)&amp;"' AS TIPOLOGIA_TESTE,'"&amp;D105&amp;"' AS TABELA_LT,'"&amp;E105&amp;"' AS TABELA_SIMUL,'"&amp;F105&amp;"' AS CAMPO, "&amp;"'${ref_date}' AS REF_DATE, COUNT(*) AS NUM_REG, SUM(IF((ABS(COALESCE(X."&amp;F105&amp;",0)-COALESCE(Y."&amp;F105&amp;"_SIMUL,0))&gt;0.0000000001) OR (X."&amp;F105&amp;" IS NULL AND Y."&amp;F105&amp;"_SIMUL IS NOT NULL ) OR (X."&amp;F105&amp;" IS NOT NULL AND Y."&amp;F105&amp;"_SIMUL IS NULL),1,0)) AS NUM_REG_DIF,'"&amp;MAX('ID1&amp;5'!K:K)+1&amp;"' AS ID_EXEC, CURRENT_TIMESTAMP() AS TIME_EXEC FROM "&amp;I105&amp;" INNER JOIN "&amp;J105&amp;" "&amp;K105,"SELECT '"&amp;UPPER(B105)&amp;"' AS TABELA, '"&amp;UPPER(C105)&amp;"' AS TIPOLOGIA_TESTE,'"&amp;D105&amp;"' AS TABELA_LT,'"&amp;E105&amp;"' AS TABELA_SIMUL,'"&amp;F105&amp;"' AS CAMPO, "&amp;"'${ref_date}' AS REF_DATE, COUNT(*) AS NUM_REG, SUM(IF(COALESCE(CAST(X."&amp;F105&amp;" AS STRING),'')&lt;&gt;COALESCE(CAST(Y."&amp;F105&amp;"_SIMUL AS STRING),''),1,0)) AS NUM_REG_DIF,'"&amp;MAX('ID1&amp;5'!L:L)+1&amp;"' AS ID_EXEC, CURRENT_TIMESTAMP() AS TIME_EXEC FROM "&amp;I105&amp;" INNER JOIN "&amp;J105&amp;" "&amp;K105),
IF(C105="Validade",+IF(G105="Code List","SELECT '"&amp;UPPER(B105)&amp;"' AS TABELA, '"&amp;UPPER(C105)&amp;"' AS TIPOLOGIA_TESTE,'"&amp;D105&amp;"' AS TABELA_LT,'N/A' AS TABELA_SIMUL,'"&amp;F105&amp;"' AS CAMPO, "&amp;"'${ref_date}' AS REF_DATE, COUNT(*) AS NUM_REG, SUM(IF(TRIM(CAST(X."&amp;F105&amp;" AS STRING))='' OR TRIM(CAST(X."&amp;F105&amp;" AS STRING)) IS NULL OR CAST(X."&amp;F105&amp;" AS STRING) NOT "&amp;H105&amp;",1,0)) AS NUM_REG_DIF,'"&amp;MAX('ID1&amp;5'!K:K)+1&amp;"' AS ID_EXEC, CURRENT_TIMESTAMP() AS TIME_EXEC FROM "&amp;I105,"SELECT '"&amp;UPPER(B105)&amp;"' AS TABELA, '"&amp;UPPER(C105)&amp;"' AS TIPOLOGIA_TESTE,'"&amp;D105&amp;"' AS TABELA_LT,'N/A' AS TABELA_SIMUL,'"&amp;F105&amp;"' AS CAMPO, "&amp;"'${ref_date}' AS REF_DATE, COUNT(*) AS NUM_REG, SUM(IF(TRIM(CAST(X."&amp;F105&amp;" AS STRING))='' OR TRIM(CAST(X."&amp;F105&amp;" AS STRING)) IS NULL,1,0)) AS NUM_REG_DIF,'"&amp;MAX('ID1&amp;5'!K:K)+1&amp;"' AS ID_EXEC, CURRENT_TIMESTAMP() AS TIME_EXEC FROM "&amp;I105),
IF(C105="Caracteres Especiais",+"SELECT '"&amp;UPPER(B105)&amp;"' AS TABELA, '"&amp;UPPER(C105)&amp;"' AS TIPOLOGIA_TESTE,'"&amp;D105&amp;"' AS TABELA_LT,'N/A' AS TABELA_SIMUL,'"&amp;F105&amp;"' AS CAMPO, "&amp;"'${ref_date}' AS REF_DATE, COUNT(*) AS NUM_REG, SUM(IF(INSTR(CAST(X."&amp;F105&amp;" AS STRING),'#')&gt;0 OR INSTR(CAST(X."&amp;F105&amp;" AS STRING),'*')&gt;0 OR INSTR(CAST(X."&amp;F105&amp;" AS STRING),'`')&gt;0 OR INSTR(CAST(X."&amp;F105&amp;" AS STRING),'´')&gt;0 OR INSTR(CAST(X."&amp;F105&amp;" AS STRING),'{')&gt;0 OR INSTR(CAST(X."&amp;F105&amp;" AS STRING),'}')&gt;0 OR INSTR(CAST(X."&amp;F105&amp;" AS STRING),'[')&gt;0 OR INSTR(CAST(X."&amp;F105&amp;" AS STRING),'')&gt;0 OR INSTR(CAST(X."&amp;F105&amp;" AS STRING),']')&gt;0 OR INSTR(CAST(X."&amp;F105&amp;" AS STRING),'?')&gt;0 OR INSTR(CAST(X."&amp;F105&amp;" AS STRING),'!')&gt;0 OR INSTR(CAST(X."&amp;F105&amp;" AS STRING),'$')&gt;0 OR INSTR(CAST(X."&amp;F105&amp;" AS STRING),'%')&gt;0 OR INSTR(CAST(X."&amp;F105&amp;" AS STRING),'&amp;')&gt;0 OR INSTR(CAST(X."&amp;F105&amp;" AS STRING),'+')&gt;0,1,0)) AS NUM_REG_DIF,'"&amp;MAX('ID1&amp;5'!K:K)+1&amp;"' AS ID_EXEC, CURRENT_TIMESTAMP() AS TIME_EXEC FROM "&amp;I105,
IF(C105="Missings",+"SELECT '"&amp;UPPER(B105)&amp;"' AS TABELA, '"&amp;UPPER(C105)&amp;"' AS TIPOLOGIA_TESTE,'"&amp;D105&amp;"' AS TABELA_LT,'N/A' AS TABELA_SIMUL,'"&amp;F105&amp;"' AS CAMPO, "&amp;"'${ref_date}' AS REF_DATE, COUNT(*) AS NUM_REG, SUM(IF(TRIM(CAST(X."&amp;F105&amp;" AS STRING)) IN ('0000-00-00','0001-01-01','9999-12-31','MISS','00000','99999999999','99999999999.00','99999999999.000000'),1,0)) AS NUM_REG_DIF,'"&amp;MAX('ID1&amp;5'!K:K)+1&amp;"' AS ID_EXEC, CURRENT_TIMESTAMP() AS TIME_EXEC FROM "&amp;I105,
IF(C105="Not applicable",+"SELECT '"&amp;UPPER(B105)&amp;"' AS TABELA, '"&amp;UPPER(C105)&amp;"' AS TIPOLOGIA_TESTE,'"&amp;D105&amp;"' AS TABELA_LT,'N/A' AS TABELA_SIMUL,'"&amp;F105&amp;"' AS CAMPO, "&amp;"'${ref_date}' AS REF_DATE, COUNT(*) AS NUM_REG, SUM(IF(TRIM(CAST(X."&amp;F105&amp;" AS STRING)) IN ('N/A','11111111111','11111111111.00','11111111111.000000','1111-11-11'),1,0)) AS NUM_REG_DIF,'"&amp;MAX('ID1&amp;5'!K:K)+1&amp;"' AS ID_EXEC, CURRENT_TIMESTAMP() AS TIME_EXEC FROM "&amp;I105,
IF(C105="Valores extremos",+"SELECT '"&amp;UPPER(B105)&amp;"' AS TABELA, '"&amp;UPPER(C105)&amp;"' AS TIPOLOGIA_TESTE,'"&amp;D105&amp;"' AS TABELA_LT,'N/A' AS TABELA_SIMUL,'"&amp;F105&amp;"' AS CAMPO, "&amp;"'${ref_date}' AS REF_DATE, CAST(MIN("&amp;F105&amp;") AS STRING) AS VALOR_MIN, CAST(MAX("&amp;F105&amp;") AS STRING) AS VALOR_MAX,'"&amp;MAX('ID1&amp;5'!K:K)+1&amp;"' AS ID_EXEC, CURRENT_TIMESTAMP() AS TIME_EXEC FROM "&amp;MID(I105,1,LEN(I105)-2)&amp;" AND CAST("&amp;F105&amp;"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TABELA_SIMUL,'SSTNBL_CTGRY_TXNMY' AS CAMPO, '${ref_date}' AS REF_DATE, COUNT(*) AS NUM_REG, SUM(IF(TRIM(CAST(X.SSTNBL_CTGRY_TXNMY AS STRING))='' OR TRIM(CAST(X.SSTNBL_CTGRY_TXNMY AS STRING)) IS NULL OR CAST(X.SSTNBL_CTGRY_TXNMY AS STRING) NOT IN (''),1,0)) AS NUM_REG_DIF,'10' AS ID_EXEC, CURRENT_TIMESTAMP() AS TIME_EXEC FROM (SELECT instrmnt_id, SSTNBL_CTGRY_TXNMY FROM BU_LOANTAPE_WORK.LT002_INSTRUMENT WHERE ref_date='${ref_date}' AND nome_perimetro='Individual Corporativo' AND segmento='ESTR' AND ambito='PILAR3')X</v>
      </c>
      <c r="M105" s="43" t="str">
        <f t="shared" si="1"/>
        <v>UNION ALL SELECT 'INSTRUMENT' AS TABELA, 'VALIDADE' AS TIPOLOGIA_TESTE,'BU_LOANTAPE_WORK.LT002_INSTRUMENT' AS TABELA_LT,'N/A' AS TABELA_SIMUL,'SSTNBL_CTGRY_TXNMY' AS CAMPO, '${ref_date}' AS REF_DATE, COUNT(*) AS NUM_REG, SUM(IF(TRIM(CAST(X.SSTNBL_CTGRY_TXNMY AS STRING))='' OR TRIM(CAST(X.SSTNBL_CTGRY_TXNMY AS STRING)) IS NULL OR CAST(X.SSTNBL_CTGRY_TXNMY AS STRING) NOT IN (''),1,0)) AS NUM_REG_DIF,'10' AS ID_EXEC, CURRENT_TIMESTAMP() AS TIME_EXEC FROM (SELECT instrmnt_id, SSTNBL_CTGRY_TXNMY FROM BU_LOANTAPE_WORK.LT002_INSTRUMENT WHERE ref_date='${ref_date}' AND nome_perimetro='Individual Corporativo' AND segmento='ESTR' AND ambito='PILAR3')X</v>
      </c>
      <c r="N105" s="45" t="s">
        <v>13</v>
      </c>
    </row>
    <row r="106" spans="2:14">
      <c r="B106" s="41" t="s">
        <v>27</v>
      </c>
      <c r="C106" s="41" t="s">
        <v>75</v>
      </c>
      <c r="D106" s="41" t="str">
        <f>+UPPER('0. Instruções'!$D$33&amp;"."&amp;VLOOKUP(B106,'0. Instruções'!$C$27:$D$31,2,FALSE))</f>
        <v>BU_LOANTAPE_WORK.LT002_INSTRUMENT</v>
      </c>
      <c r="E106" s="41" t="str">
        <f>+UPPER('0. Instruções'!$D$34&amp;"."&amp;VLOOKUP(B106,'0. Instruções'!$C$27:$E$31,3,FALSE))</f>
        <v>BU_LOANTAPE_WORK.LT002_INSTRUMENT_P3_NOV24</v>
      </c>
      <c r="F106" s="41" t="s">
        <v>156</v>
      </c>
      <c r="G106" s="41" t="s">
        <v>13</v>
      </c>
      <c r="H106" s="41"/>
      <c r="I106" s="41" t="str">
        <f>"(SELECT "&amp;VLOOKUP(B106,'0. Instruções'!$C$27:$G$31,4,FALSE)&amp;", "&amp;F106&amp;" FROM "&amp;D106&amp;" WHERE "&amp;'0. Instruções'!$D$40&amp;")X"</f>
        <v>(SELECT instrmnt_id, DT_RFRNC FROM BU_LOANTAPE_WORK.LT002_INSTRUMENT WHERE ref_date='${ref_date}' AND nome_perimetro='Individual Corporativo' AND segmento='ESTR' AND ambito='PILAR3')X</v>
      </c>
      <c r="J106" s="41" t="str">
        <f>"(SELECT "&amp;VLOOKUP(B106,'0. Instruções'!$C$27:$G$31,4,FALSE)&amp;" AS "&amp;VLOOKUP(B106,'0. Instruções'!$C$27:$G$31,4,FALSE)&amp;"_SIMUL, "&amp;F106&amp;" AS "&amp;F106&amp;"_SIMUL FROM "&amp;E106&amp;")Y"</f>
        <v>(SELECT instrmnt_id AS instrmnt_id_SIMUL, DT_RFRNC AS DT_RFRNC_SIMUL FROM BU_LOANTAPE_WORK.LT002_INSTRUMENT_P3_NOV24)Y</v>
      </c>
      <c r="K106" s="42" t="str">
        <f>+UPPER("ON X."&amp;VLOOKUP(B106,'0. Instruções'!$C$27:$G$31,4,FALSE)&amp;"=Y."&amp;VLOOKUP(B106,'0. Instruções'!$C$27:$G$31,4,FALSE)&amp;"_SIMUL")</f>
        <v>ON X.INSTRMNT_ID=Y.INSTRMNT_ID_SIMUL</v>
      </c>
      <c r="L106" s="42" t="str">
        <f>+IF(C106="Coerência", +IF(LEFT(G106,5)="FLOAT","SELECT '"&amp;UPPER(B106)&amp;"' AS TABELA, '"&amp;UPPER(C106)&amp;"' AS TIPOLOGIA_TESTE,'"&amp;D106&amp;"' AS TABELA_LT,'"&amp;E106&amp;"' AS TABELA_SIMUL,'"&amp;F106&amp;"' AS CAMPO, "&amp;"'${ref_date}' AS REF_DATE, COUNT(*) AS NUM_REG, SUM(IF((ABS(COALESCE(X."&amp;F106&amp;",0)-COALESCE(Y."&amp;F106&amp;"_SIMUL,0))&gt;0.0000000001) OR (X."&amp;F106&amp;" IS NULL AND Y."&amp;F106&amp;"_SIMUL IS NOT NULL ) OR (X."&amp;F106&amp;" IS NOT NULL AND Y."&amp;F106&amp;"_SIMUL IS NULL),1,0)) AS NUM_REG_DIF,'"&amp;MAX('ID1&amp;5'!K:K)+1&amp;"' AS ID_EXEC, CURRENT_TIMESTAMP() AS TIME_EXEC FROM "&amp;I106&amp;" INNER JOIN "&amp;J106&amp;" "&amp;K106,"SELECT '"&amp;UPPER(B106)&amp;"' AS TABELA, '"&amp;UPPER(C106)&amp;"' AS TIPOLOGIA_TESTE,'"&amp;D106&amp;"' AS TABELA_LT,'"&amp;E106&amp;"' AS TABELA_SIMUL,'"&amp;F106&amp;"' AS CAMPO, "&amp;"'${ref_date}' AS REF_DATE, COUNT(*) AS NUM_REG, SUM(IF(COALESCE(CAST(X."&amp;F106&amp;" AS STRING),'')&lt;&gt;COALESCE(CAST(Y."&amp;F106&amp;"_SIMUL AS STRING),''),1,0)) AS NUM_REG_DIF,'"&amp;MAX('ID1&amp;5'!L:L)+1&amp;"' AS ID_EXEC, CURRENT_TIMESTAMP() AS TIME_EXEC FROM "&amp;I106&amp;" INNER JOIN "&amp;J106&amp;" "&amp;K106),
IF(C106="Validade",+IF(G106="Code List","SELECT '"&amp;UPPER(B106)&amp;"' AS TABELA, '"&amp;UPPER(C106)&amp;"' AS TIPOLOGIA_TESTE,'"&amp;D106&amp;"' AS TABELA_LT,'N/A' AS TABELA_SIMUL,'"&amp;F106&amp;"' AS CAMPO, "&amp;"'${ref_date}' AS REF_DATE, COUNT(*) AS NUM_REG, SUM(IF(TRIM(CAST(X."&amp;F106&amp;" AS STRING))='' OR TRIM(CAST(X."&amp;F106&amp;" AS STRING)) IS NULL OR CAST(X."&amp;F106&amp;" AS STRING) NOT "&amp;H106&amp;",1,0)) AS NUM_REG_DIF,'"&amp;MAX('ID1&amp;5'!K:K)+1&amp;"' AS ID_EXEC, CURRENT_TIMESTAMP() AS TIME_EXEC FROM "&amp;I106,"SELECT '"&amp;UPPER(B106)&amp;"' AS TABELA, '"&amp;UPPER(C106)&amp;"' AS TIPOLOGIA_TESTE,'"&amp;D106&amp;"' AS TABELA_LT,'N/A' AS TABELA_SIMUL,'"&amp;F106&amp;"' AS CAMPO, "&amp;"'${ref_date}' AS REF_DATE, COUNT(*) AS NUM_REG, SUM(IF(TRIM(CAST(X."&amp;F106&amp;" AS STRING))='' OR TRIM(CAST(X."&amp;F106&amp;" AS STRING)) IS NULL,1,0)) AS NUM_REG_DIF,'"&amp;MAX('ID1&amp;5'!K:K)+1&amp;"' AS ID_EXEC, CURRENT_TIMESTAMP() AS TIME_EXEC FROM "&amp;I106),
IF(C106="Caracteres Especiais",+"SELECT '"&amp;UPPER(B106)&amp;"' AS TABELA, '"&amp;UPPER(C106)&amp;"' AS TIPOLOGIA_TESTE,'"&amp;D106&amp;"' AS TABELA_LT,'N/A' AS TABELA_SIMUL,'"&amp;F106&amp;"' AS CAMPO, "&amp;"'${ref_date}' AS REF_DATE, COUNT(*) AS NUM_REG, SUM(IF(INSTR(CAST(X."&amp;F106&amp;" AS STRING),'#')&gt;0 OR INSTR(CAST(X."&amp;F106&amp;" AS STRING),'*')&gt;0 OR INSTR(CAST(X."&amp;F106&amp;" AS STRING),'`')&gt;0 OR INSTR(CAST(X."&amp;F106&amp;" AS STRING),'´')&gt;0 OR INSTR(CAST(X."&amp;F106&amp;" AS STRING),'{')&gt;0 OR INSTR(CAST(X."&amp;F106&amp;" AS STRING),'}')&gt;0 OR INSTR(CAST(X."&amp;F106&amp;" AS STRING),'[')&gt;0 OR INSTR(CAST(X."&amp;F106&amp;" AS STRING),'')&gt;0 OR INSTR(CAST(X."&amp;F106&amp;" AS STRING),']')&gt;0 OR INSTR(CAST(X."&amp;F106&amp;" AS STRING),'?')&gt;0 OR INSTR(CAST(X."&amp;F106&amp;" AS STRING),'!')&gt;0 OR INSTR(CAST(X."&amp;F106&amp;" AS STRING),'$')&gt;0 OR INSTR(CAST(X."&amp;F106&amp;" AS STRING),'%')&gt;0 OR INSTR(CAST(X."&amp;F106&amp;" AS STRING),'&amp;')&gt;0 OR INSTR(CAST(X."&amp;F106&amp;" AS STRING),'+')&gt;0,1,0)) AS NUM_REG_DIF,'"&amp;MAX('ID1&amp;5'!K:K)+1&amp;"' AS ID_EXEC, CURRENT_TIMESTAMP() AS TIME_EXEC FROM "&amp;I106,
IF(C106="Missings",+"SELECT '"&amp;UPPER(B106)&amp;"' AS TABELA, '"&amp;UPPER(C106)&amp;"' AS TIPOLOGIA_TESTE,'"&amp;D106&amp;"' AS TABELA_LT,'N/A' AS TABELA_SIMUL,'"&amp;F106&amp;"' AS CAMPO, "&amp;"'${ref_date}' AS REF_DATE, COUNT(*) AS NUM_REG, SUM(IF(TRIM(CAST(X."&amp;F106&amp;" AS STRING)) IN ('0000-00-00','0001-01-01','9999-12-31','MISS','00000','99999999999','99999999999.00','99999999999.000000'),1,0)) AS NUM_REG_DIF,'"&amp;MAX('ID1&amp;5'!K:K)+1&amp;"' AS ID_EXEC, CURRENT_TIMESTAMP() AS TIME_EXEC FROM "&amp;I106,
IF(C106="Not applicable",+"SELECT '"&amp;UPPER(B106)&amp;"' AS TABELA, '"&amp;UPPER(C106)&amp;"' AS TIPOLOGIA_TESTE,'"&amp;D106&amp;"' AS TABELA_LT,'N/A' AS TABELA_SIMUL,'"&amp;F106&amp;"' AS CAMPO, "&amp;"'${ref_date}' AS REF_DATE, COUNT(*) AS NUM_REG, SUM(IF(TRIM(CAST(X."&amp;F106&amp;" AS STRING)) IN ('N/A','11111111111','11111111111.00','11111111111.000000','1111-11-11'),1,0)) AS NUM_REG_DIF,'"&amp;MAX('ID1&amp;5'!K:K)+1&amp;"' AS ID_EXEC, CURRENT_TIMESTAMP() AS TIME_EXEC FROM "&amp;I106,
IF(C106="Valores extremos",+"SELECT '"&amp;UPPER(B106)&amp;"' AS TABELA, '"&amp;UPPER(C106)&amp;"' AS TIPOLOGIA_TESTE,'"&amp;D106&amp;"' AS TABELA_LT,'N/A' AS TABELA_SIMUL,'"&amp;F106&amp;"' AS CAMPO, "&amp;"'${ref_date}' AS REF_DATE, CAST(MIN("&amp;F106&amp;") AS STRING) AS VALOR_MIN, CAST(MAX("&amp;F106&amp;") AS STRING) AS VALOR_MAX,'"&amp;MAX('ID1&amp;5'!K:K)+1&amp;"' AS ID_EXEC, CURRENT_TIMESTAMP() AS TIME_EXEC FROM "&amp;MID(I106,1,LEN(I106)-2)&amp;" AND CAST("&amp;F106&amp;"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TABELA_SIMUL,'DT_RFRNC' AS CAMPO, '${ref_date}' AS REF_DATE, COUNT(*) AS NUM_REG, SUM(IF(TRIM(CAST(X.DT_RFRNC AS STRING))='' OR TRIM(CAST(X.DT_RFRNC AS STRING)) IS NULL,1,0)) AS NUM_REG_DIF,'10' AS ID_EXEC, CURRENT_TIMESTAMP() AS TIME_EXEC FROM (SELECT instrmnt_id, DT_RFRNC FROM BU_LOANTAPE_WORK.LT002_INSTRUMENT WHERE ref_date='${ref_date}' AND nome_perimetro='Individual Corporativo' AND segmento='ESTR' AND ambito='PILAR3')X</v>
      </c>
      <c r="M106" s="43" t="str">
        <f t="shared" si="1"/>
        <v>UNION ALL SELECT 'INSTRUMENT' AS TABELA, 'VALIDADE' AS TIPOLOGIA_TESTE,'BU_LOANTAPE_WORK.LT002_INSTRUMENT' AS TABELA_LT,'N/A' AS TABELA_SIMUL,'DT_RFRNC' AS CAMPO, '${ref_date}' AS REF_DATE, COUNT(*) AS NUM_REG, SUM(IF(TRIM(CAST(X.DT_RFRNC AS STRING))='' OR TRIM(CAST(X.DT_RFRNC AS STRING)) IS NULL,1,0)) AS NUM_REG_DIF,'10' AS ID_EXEC, CURRENT_TIMESTAMP() AS TIME_EXEC FROM (SELECT instrmnt_id, DT_RFRNC FROM BU_LOANTAPE_WORK.LT002_INSTRUMENT WHERE ref_date='${ref_date}' AND nome_perimetro='Individual Corporativo' AND segmento='ESTR' AND ambito='PILAR3')X</v>
      </c>
      <c r="N106" s="45" t="s">
        <v>13</v>
      </c>
    </row>
    <row r="107" spans="2:14">
      <c r="B107" s="41" t="s">
        <v>27</v>
      </c>
      <c r="C107" s="41" t="s">
        <v>75</v>
      </c>
      <c r="D107" s="41" t="str">
        <f>+UPPER('0. Instruções'!$D$33&amp;"."&amp;VLOOKUP(B107,'0. Instruções'!$C$27:$D$31,2,FALSE))</f>
        <v>BU_LOANTAPE_WORK.LT002_INSTRUMENT</v>
      </c>
      <c r="E107" s="41" t="str">
        <f>+UPPER('0. Instruções'!$D$34&amp;"."&amp;VLOOKUP(B107,'0. Instruções'!$C$27:$E$31,3,FALSE))</f>
        <v>BU_LOANTAPE_WORK.LT002_INSTRUMENT_P3_NOV24</v>
      </c>
      <c r="F107" s="41" t="s">
        <v>157</v>
      </c>
      <c r="G107" s="41" t="s">
        <v>13</v>
      </c>
      <c r="H107" s="41"/>
      <c r="I107" s="41" t="str">
        <f>"(SELECT "&amp;VLOOKUP(B107,'0. Instruções'!$C$27:$G$31,4,FALSE)&amp;", "&amp;F107&amp;" FROM "&amp;D107&amp;" WHERE "&amp;'0. Instruções'!$D$40&amp;")X"</f>
        <v>(SELECT instrmnt_id, INSTRMNT_ID FROM BU_LOANTAPE_WORK.LT002_INSTRUMENT WHERE ref_date='${ref_date}' AND nome_perimetro='Individual Corporativo' AND segmento='ESTR' AND ambito='PILAR3')X</v>
      </c>
      <c r="J107" s="41" t="str">
        <f>"(SELECT "&amp;VLOOKUP(B107,'0. Instruções'!$C$27:$G$31,4,FALSE)&amp;" AS "&amp;VLOOKUP(B107,'0. Instruções'!$C$27:$G$31,4,FALSE)&amp;"_SIMUL, "&amp;F107&amp;" AS "&amp;F107&amp;"_SIMUL FROM "&amp;E107&amp;")Y"</f>
        <v>(SELECT instrmnt_id AS instrmnt_id_SIMUL, INSTRMNT_ID AS INSTRMNT_ID_SIMUL FROM BU_LOANTAPE_WORK.LT002_INSTRUMENT_P3_NOV24)Y</v>
      </c>
      <c r="K107" s="42" t="str">
        <f>+UPPER("ON X."&amp;VLOOKUP(B107,'0. Instruções'!$C$27:$G$31,4,FALSE)&amp;"=Y."&amp;VLOOKUP(B107,'0. Instruções'!$C$27:$G$31,4,FALSE)&amp;"_SIMUL")</f>
        <v>ON X.INSTRMNT_ID=Y.INSTRMNT_ID_SIMUL</v>
      </c>
      <c r="L107" s="42" t="str">
        <f>+IF(C107="Coerência", +IF(LEFT(G107,5)="FLOAT","SELECT '"&amp;UPPER(B107)&amp;"' AS TABELA, '"&amp;UPPER(C107)&amp;"' AS TIPOLOGIA_TESTE,'"&amp;D107&amp;"' AS TABELA_LT,'"&amp;E107&amp;"' AS TABELA_SIMUL,'"&amp;F107&amp;"' AS CAMPO, "&amp;"'${ref_date}' AS REF_DATE, COUNT(*) AS NUM_REG, SUM(IF((ABS(COALESCE(X."&amp;F107&amp;",0)-COALESCE(Y."&amp;F107&amp;"_SIMUL,0))&gt;0.0000000001) OR (X."&amp;F107&amp;" IS NULL AND Y."&amp;F107&amp;"_SIMUL IS NOT NULL ) OR (X."&amp;F107&amp;" IS NOT NULL AND Y."&amp;F107&amp;"_SIMUL IS NULL),1,0)) AS NUM_REG_DIF,'"&amp;MAX('ID1&amp;5'!K:K)+1&amp;"' AS ID_EXEC, CURRENT_TIMESTAMP() AS TIME_EXEC FROM "&amp;I107&amp;" INNER JOIN "&amp;J107&amp;" "&amp;K107,"SELECT '"&amp;UPPER(B107)&amp;"' AS TABELA, '"&amp;UPPER(C107)&amp;"' AS TIPOLOGIA_TESTE,'"&amp;D107&amp;"' AS TABELA_LT,'"&amp;E107&amp;"' AS TABELA_SIMUL,'"&amp;F107&amp;"' AS CAMPO, "&amp;"'${ref_date}' AS REF_DATE, COUNT(*) AS NUM_REG, SUM(IF(COALESCE(CAST(X."&amp;F107&amp;" AS STRING),'')&lt;&gt;COALESCE(CAST(Y."&amp;F107&amp;"_SIMUL AS STRING),''),1,0)) AS NUM_REG_DIF,'"&amp;MAX('ID1&amp;5'!L:L)+1&amp;"' AS ID_EXEC, CURRENT_TIMESTAMP() AS TIME_EXEC FROM "&amp;I107&amp;" INNER JOIN "&amp;J107&amp;" "&amp;K107),
IF(C107="Validade",+IF(G107="Code List","SELECT '"&amp;UPPER(B107)&amp;"' AS TABELA, '"&amp;UPPER(C107)&amp;"' AS TIPOLOGIA_TESTE,'"&amp;D107&amp;"' AS TABELA_LT,'N/A' AS TABELA_SIMUL,'"&amp;F107&amp;"' AS CAMPO, "&amp;"'${ref_date}' AS REF_DATE, COUNT(*) AS NUM_REG, SUM(IF(TRIM(CAST(X."&amp;F107&amp;" AS STRING))='' OR TRIM(CAST(X."&amp;F107&amp;" AS STRING)) IS NULL OR CAST(X."&amp;F107&amp;" AS STRING) NOT "&amp;H107&amp;",1,0)) AS NUM_REG_DIF,'"&amp;MAX('ID1&amp;5'!K:K)+1&amp;"' AS ID_EXEC, CURRENT_TIMESTAMP() AS TIME_EXEC FROM "&amp;I107,"SELECT '"&amp;UPPER(B107)&amp;"' AS TABELA, '"&amp;UPPER(C107)&amp;"' AS TIPOLOGIA_TESTE,'"&amp;D107&amp;"' AS TABELA_LT,'N/A' AS TABELA_SIMUL,'"&amp;F107&amp;"' AS CAMPO, "&amp;"'${ref_date}' AS REF_DATE, COUNT(*) AS NUM_REG, SUM(IF(TRIM(CAST(X."&amp;F107&amp;" AS STRING))='' OR TRIM(CAST(X."&amp;F107&amp;" AS STRING)) IS NULL,1,0)) AS NUM_REG_DIF,'"&amp;MAX('ID1&amp;5'!K:K)+1&amp;"' AS ID_EXEC, CURRENT_TIMESTAMP() AS TIME_EXEC FROM "&amp;I107),
IF(C107="Caracteres Especiais",+"SELECT '"&amp;UPPER(B107)&amp;"' AS TABELA, '"&amp;UPPER(C107)&amp;"' AS TIPOLOGIA_TESTE,'"&amp;D107&amp;"' AS TABELA_LT,'N/A' AS TABELA_SIMUL,'"&amp;F107&amp;"' AS CAMPO, "&amp;"'${ref_date}' AS REF_DATE, COUNT(*) AS NUM_REG, SUM(IF(INSTR(CAST(X."&amp;F107&amp;" AS STRING),'#')&gt;0 OR INSTR(CAST(X."&amp;F107&amp;" AS STRING),'*')&gt;0 OR INSTR(CAST(X."&amp;F107&amp;" AS STRING),'`')&gt;0 OR INSTR(CAST(X."&amp;F107&amp;" AS STRING),'´')&gt;0 OR INSTR(CAST(X."&amp;F107&amp;" AS STRING),'{')&gt;0 OR INSTR(CAST(X."&amp;F107&amp;" AS STRING),'}')&gt;0 OR INSTR(CAST(X."&amp;F107&amp;" AS STRING),'[')&gt;0 OR INSTR(CAST(X."&amp;F107&amp;" AS STRING),'')&gt;0 OR INSTR(CAST(X."&amp;F107&amp;" AS STRING),']')&gt;0 OR INSTR(CAST(X."&amp;F107&amp;" AS STRING),'?')&gt;0 OR INSTR(CAST(X."&amp;F107&amp;" AS STRING),'!')&gt;0 OR INSTR(CAST(X."&amp;F107&amp;" AS STRING),'$')&gt;0 OR INSTR(CAST(X."&amp;F107&amp;" AS STRING),'%')&gt;0 OR INSTR(CAST(X."&amp;F107&amp;" AS STRING),'&amp;')&gt;0 OR INSTR(CAST(X."&amp;F107&amp;" AS STRING),'+')&gt;0,1,0)) AS NUM_REG_DIF,'"&amp;MAX('ID1&amp;5'!K:K)+1&amp;"' AS ID_EXEC, CURRENT_TIMESTAMP() AS TIME_EXEC FROM "&amp;I107,
IF(C107="Missings",+"SELECT '"&amp;UPPER(B107)&amp;"' AS TABELA, '"&amp;UPPER(C107)&amp;"' AS TIPOLOGIA_TESTE,'"&amp;D107&amp;"' AS TABELA_LT,'N/A' AS TABELA_SIMUL,'"&amp;F107&amp;"' AS CAMPO, "&amp;"'${ref_date}' AS REF_DATE, COUNT(*) AS NUM_REG, SUM(IF(TRIM(CAST(X."&amp;F107&amp;" AS STRING)) IN ('0000-00-00','0001-01-01','9999-12-31','MISS','00000','99999999999','99999999999.00','99999999999.000000'),1,0)) AS NUM_REG_DIF,'"&amp;MAX('ID1&amp;5'!K:K)+1&amp;"' AS ID_EXEC, CURRENT_TIMESTAMP() AS TIME_EXEC FROM "&amp;I107,
IF(C107="Not applicable",+"SELECT '"&amp;UPPER(B107)&amp;"' AS TABELA, '"&amp;UPPER(C107)&amp;"' AS TIPOLOGIA_TESTE,'"&amp;D107&amp;"' AS TABELA_LT,'N/A' AS TABELA_SIMUL,'"&amp;F107&amp;"' AS CAMPO, "&amp;"'${ref_date}' AS REF_DATE, COUNT(*) AS NUM_REG, SUM(IF(TRIM(CAST(X."&amp;F107&amp;" AS STRING)) IN ('N/A','11111111111','11111111111.00','11111111111.000000','1111-11-11'),1,0)) AS NUM_REG_DIF,'"&amp;MAX('ID1&amp;5'!K:K)+1&amp;"' AS ID_EXEC, CURRENT_TIMESTAMP() AS TIME_EXEC FROM "&amp;I107,
IF(C107="Valores extremos",+"SELECT '"&amp;UPPER(B107)&amp;"' AS TABELA, '"&amp;UPPER(C107)&amp;"' AS TIPOLOGIA_TESTE,'"&amp;D107&amp;"' AS TABELA_LT,'N/A' AS TABELA_SIMUL,'"&amp;F107&amp;"' AS CAMPO, "&amp;"'${ref_date}' AS REF_DATE, CAST(MIN("&amp;F107&amp;") AS STRING) AS VALOR_MIN, CAST(MAX("&amp;F107&amp;") AS STRING) AS VALOR_MAX,'"&amp;MAX('ID1&amp;5'!K:K)+1&amp;"' AS ID_EXEC, CURRENT_TIMESTAMP() AS TIME_EXEC FROM "&amp;MID(I107,1,LEN(I107)-2)&amp;" AND CAST("&amp;F107&amp;"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TABELA_SIMUL,'INSTRMNT_ID' AS CAMPO, '${ref_date}' AS REF_DATE, COUNT(*) AS NUM_REG, SUM(IF(TRIM(CAST(X.INSTRMNT_ID AS STRING))='' OR TRIM(CAST(X.INSTRMNT_ID AS STRING)) IS NULL,1,0)) AS NUM_REG_DIF,'10' AS ID_EXEC, CURRENT_TIMESTAMP() AS TIME_EXEC FROM (SELECT instrmnt_id, INSTRMNT_ID FROM BU_LOANTAPE_WORK.LT002_INSTRUMENT WHERE ref_date='${ref_date}' AND nome_perimetro='Individual Corporativo' AND segmento='ESTR' AND ambito='PILAR3')X</v>
      </c>
      <c r="M107" s="43" t="str">
        <f t="shared" si="1"/>
        <v>UNION ALL SELECT 'INSTRUMENT' AS TABELA, 'VALIDADE' AS TIPOLOGIA_TESTE,'BU_LOANTAPE_WORK.LT002_INSTRUMENT' AS TABELA_LT,'N/A' AS TABELA_SIMUL,'INSTRMNT_ID' AS CAMPO, '${ref_date}' AS REF_DATE, COUNT(*) AS NUM_REG, SUM(IF(TRIM(CAST(X.INSTRMNT_ID AS STRING))='' OR TRIM(CAST(X.INSTRMNT_ID AS STRING)) IS NULL,1,0)) AS NUM_REG_DIF,'10' AS ID_EXEC, CURRENT_TIMESTAMP() AS TIME_EXEC FROM (SELECT instrmnt_id, INSTRMNT_ID FROM BU_LOANTAPE_WORK.LT002_INSTRUMENT WHERE ref_date='${ref_date}' AND nome_perimetro='Individual Corporativo' AND segmento='ESTR' AND ambito='PILAR3')X</v>
      </c>
      <c r="N107" s="45" t="s">
        <v>13</v>
      </c>
    </row>
    <row r="108" spans="2:14">
      <c r="B108" s="41" t="s">
        <v>27</v>
      </c>
      <c r="C108" s="41" t="s">
        <v>75</v>
      </c>
      <c r="D108" s="41" t="str">
        <f>+UPPER('0. Instruções'!$D$33&amp;"."&amp;VLOOKUP(B108,'0. Instruções'!$C$27:$D$31,2,FALSE))</f>
        <v>BU_LOANTAPE_WORK.LT002_INSTRUMENT</v>
      </c>
      <c r="E108" s="41" t="str">
        <f>+UPPER('0. Instruções'!$D$34&amp;"."&amp;VLOOKUP(B108,'0. Instruções'!$C$27:$E$31,3,FALSE))</f>
        <v>BU_LOANTAPE_WORK.LT002_INSTRUMENT_P3_NOV24</v>
      </c>
      <c r="F108" s="41" t="s">
        <v>158</v>
      </c>
      <c r="G108" s="41" t="s">
        <v>13</v>
      </c>
      <c r="H108" s="41"/>
      <c r="I108" s="41" t="str">
        <f>"(SELECT "&amp;VLOOKUP(B108,'0. Instruções'!$C$27:$G$31,4,FALSE)&amp;", "&amp;F108&amp;" FROM "&amp;D108&amp;" WHERE "&amp;'0. Instruções'!$D$40&amp;")X"</f>
        <v>(SELECT instrmnt_id, DT_INCPTN FROM BU_LOANTAPE_WORK.LT002_INSTRUMENT WHERE ref_date='${ref_date}' AND nome_perimetro='Individual Corporativo' AND segmento='ESTR' AND ambito='PILAR3')X</v>
      </c>
      <c r="J108" s="41" t="str">
        <f>"(SELECT "&amp;VLOOKUP(B108,'0. Instruções'!$C$27:$G$31,4,FALSE)&amp;" AS "&amp;VLOOKUP(B108,'0. Instruções'!$C$27:$G$31,4,FALSE)&amp;"_SIMUL, "&amp;F108&amp;" AS "&amp;F108&amp;"_SIMUL FROM "&amp;E108&amp;")Y"</f>
        <v>(SELECT instrmnt_id AS instrmnt_id_SIMUL, DT_INCPTN AS DT_INCPTN_SIMUL FROM BU_LOANTAPE_WORK.LT002_INSTRUMENT_P3_NOV24)Y</v>
      </c>
      <c r="K108" s="42" t="str">
        <f>+UPPER("ON X."&amp;VLOOKUP(B108,'0. Instruções'!$C$27:$G$31,4,FALSE)&amp;"=Y."&amp;VLOOKUP(B108,'0. Instruções'!$C$27:$G$31,4,FALSE)&amp;"_SIMUL")</f>
        <v>ON X.INSTRMNT_ID=Y.INSTRMNT_ID_SIMUL</v>
      </c>
      <c r="L108" s="42" t="str">
        <f>+IF(C108="Coerência", +IF(LEFT(G108,5)="FLOAT","SELECT '"&amp;UPPER(B108)&amp;"' AS TABELA, '"&amp;UPPER(C108)&amp;"' AS TIPOLOGIA_TESTE,'"&amp;D108&amp;"' AS TABELA_LT,'"&amp;E108&amp;"' AS TABELA_SIMUL,'"&amp;F108&amp;"' AS CAMPO, "&amp;"'${ref_date}' AS REF_DATE, COUNT(*) AS NUM_REG, SUM(IF((ABS(COALESCE(X."&amp;F108&amp;",0)-COALESCE(Y."&amp;F108&amp;"_SIMUL,0))&gt;0.0000000001) OR (X."&amp;F108&amp;" IS NULL AND Y."&amp;F108&amp;"_SIMUL IS NOT NULL ) OR (X."&amp;F108&amp;" IS NOT NULL AND Y."&amp;F108&amp;"_SIMUL IS NULL),1,0)) AS NUM_REG_DIF,'"&amp;MAX('ID1&amp;5'!K:K)+1&amp;"' AS ID_EXEC, CURRENT_TIMESTAMP() AS TIME_EXEC FROM "&amp;I108&amp;" INNER JOIN "&amp;J108&amp;" "&amp;K108,"SELECT '"&amp;UPPER(B108)&amp;"' AS TABELA, '"&amp;UPPER(C108)&amp;"' AS TIPOLOGIA_TESTE,'"&amp;D108&amp;"' AS TABELA_LT,'"&amp;E108&amp;"' AS TABELA_SIMUL,'"&amp;F108&amp;"' AS CAMPO, "&amp;"'${ref_date}' AS REF_DATE, COUNT(*) AS NUM_REG, SUM(IF(COALESCE(CAST(X."&amp;F108&amp;" AS STRING),'')&lt;&gt;COALESCE(CAST(Y."&amp;F108&amp;"_SIMUL AS STRING),''),1,0)) AS NUM_REG_DIF,'"&amp;MAX('ID1&amp;5'!L:L)+1&amp;"' AS ID_EXEC, CURRENT_TIMESTAMP() AS TIME_EXEC FROM "&amp;I108&amp;" INNER JOIN "&amp;J108&amp;" "&amp;K108),
IF(C108="Validade",+IF(G108="Code List","SELECT '"&amp;UPPER(B108)&amp;"' AS TABELA, '"&amp;UPPER(C108)&amp;"' AS TIPOLOGIA_TESTE,'"&amp;D108&amp;"' AS TABELA_LT,'N/A' AS TABELA_SIMUL,'"&amp;F108&amp;"' AS CAMPO, "&amp;"'${ref_date}' AS REF_DATE, COUNT(*) AS NUM_REG, SUM(IF(TRIM(CAST(X."&amp;F108&amp;" AS STRING))='' OR TRIM(CAST(X."&amp;F108&amp;" AS STRING)) IS NULL OR CAST(X."&amp;F108&amp;" AS STRING) NOT "&amp;H108&amp;",1,0)) AS NUM_REG_DIF,'"&amp;MAX('ID1&amp;5'!K:K)+1&amp;"' AS ID_EXEC, CURRENT_TIMESTAMP() AS TIME_EXEC FROM "&amp;I108,"SELECT '"&amp;UPPER(B108)&amp;"' AS TABELA, '"&amp;UPPER(C108)&amp;"' AS TIPOLOGIA_TESTE,'"&amp;D108&amp;"' AS TABELA_LT,'N/A' AS TABELA_SIMUL,'"&amp;F108&amp;"' AS CAMPO, "&amp;"'${ref_date}' AS REF_DATE, COUNT(*) AS NUM_REG, SUM(IF(TRIM(CAST(X."&amp;F108&amp;" AS STRING))='' OR TRIM(CAST(X."&amp;F108&amp;" AS STRING)) IS NULL,1,0)) AS NUM_REG_DIF,'"&amp;MAX('ID1&amp;5'!K:K)+1&amp;"' AS ID_EXEC, CURRENT_TIMESTAMP() AS TIME_EXEC FROM "&amp;I108),
IF(C108="Caracteres Especiais",+"SELECT '"&amp;UPPER(B108)&amp;"' AS TABELA, '"&amp;UPPER(C108)&amp;"' AS TIPOLOGIA_TESTE,'"&amp;D108&amp;"' AS TABELA_LT,'N/A' AS TABELA_SIMUL,'"&amp;F108&amp;"' AS CAMPO, "&amp;"'${ref_date}' AS REF_DATE, COUNT(*) AS NUM_REG, SUM(IF(INSTR(CAST(X."&amp;F108&amp;" AS STRING),'#')&gt;0 OR INSTR(CAST(X."&amp;F108&amp;" AS STRING),'*')&gt;0 OR INSTR(CAST(X."&amp;F108&amp;" AS STRING),'`')&gt;0 OR INSTR(CAST(X."&amp;F108&amp;" AS STRING),'´')&gt;0 OR INSTR(CAST(X."&amp;F108&amp;" AS STRING),'{')&gt;0 OR INSTR(CAST(X."&amp;F108&amp;" AS STRING),'}')&gt;0 OR INSTR(CAST(X."&amp;F108&amp;" AS STRING),'[')&gt;0 OR INSTR(CAST(X."&amp;F108&amp;" AS STRING),'')&gt;0 OR INSTR(CAST(X."&amp;F108&amp;" AS STRING),']')&gt;0 OR INSTR(CAST(X."&amp;F108&amp;" AS STRING),'?')&gt;0 OR INSTR(CAST(X."&amp;F108&amp;" AS STRING),'!')&gt;0 OR INSTR(CAST(X."&amp;F108&amp;" AS STRING),'$')&gt;0 OR INSTR(CAST(X."&amp;F108&amp;" AS STRING),'%')&gt;0 OR INSTR(CAST(X."&amp;F108&amp;" AS STRING),'&amp;')&gt;0 OR INSTR(CAST(X."&amp;F108&amp;" AS STRING),'+')&gt;0,1,0)) AS NUM_REG_DIF,'"&amp;MAX('ID1&amp;5'!K:K)+1&amp;"' AS ID_EXEC, CURRENT_TIMESTAMP() AS TIME_EXEC FROM "&amp;I108,
IF(C108="Missings",+"SELECT '"&amp;UPPER(B108)&amp;"' AS TABELA, '"&amp;UPPER(C108)&amp;"' AS TIPOLOGIA_TESTE,'"&amp;D108&amp;"' AS TABELA_LT,'N/A' AS TABELA_SIMUL,'"&amp;F108&amp;"' AS CAMPO, "&amp;"'${ref_date}' AS REF_DATE, COUNT(*) AS NUM_REG, SUM(IF(TRIM(CAST(X."&amp;F108&amp;" AS STRING)) IN ('0000-00-00','0001-01-01','9999-12-31','MISS','00000','99999999999','99999999999.00','99999999999.000000'),1,0)) AS NUM_REG_DIF,'"&amp;MAX('ID1&amp;5'!K:K)+1&amp;"' AS ID_EXEC, CURRENT_TIMESTAMP() AS TIME_EXEC FROM "&amp;I108,
IF(C108="Not applicable",+"SELECT '"&amp;UPPER(B108)&amp;"' AS TABELA, '"&amp;UPPER(C108)&amp;"' AS TIPOLOGIA_TESTE,'"&amp;D108&amp;"' AS TABELA_LT,'N/A' AS TABELA_SIMUL,'"&amp;F108&amp;"' AS CAMPO, "&amp;"'${ref_date}' AS REF_DATE, COUNT(*) AS NUM_REG, SUM(IF(TRIM(CAST(X."&amp;F108&amp;" AS STRING)) IN ('N/A','11111111111','11111111111.00','11111111111.000000','1111-11-11'),1,0)) AS NUM_REG_DIF,'"&amp;MAX('ID1&amp;5'!K:K)+1&amp;"' AS ID_EXEC, CURRENT_TIMESTAMP() AS TIME_EXEC FROM "&amp;I108,
IF(C108="Valores extremos",+"SELECT '"&amp;UPPER(B108)&amp;"' AS TABELA, '"&amp;UPPER(C108)&amp;"' AS TIPOLOGIA_TESTE,'"&amp;D108&amp;"' AS TABELA_LT,'N/A' AS TABELA_SIMUL,'"&amp;F108&amp;"' AS CAMPO, "&amp;"'${ref_date}' AS REF_DATE, CAST(MIN("&amp;F108&amp;") AS STRING) AS VALOR_MIN, CAST(MAX("&amp;F108&amp;") AS STRING) AS VALOR_MAX,'"&amp;MAX('ID1&amp;5'!K:K)+1&amp;"' AS ID_EXEC, CURRENT_TIMESTAMP() AS TIME_EXEC FROM "&amp;MID(I108,1,LEN(I108)-2)&amp;" AND CAST("&amp;F108&amp;"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TABELA_SIMUL,'DT_INCPTN' AS CAMPO, '${ref_date}' AS REF_DATE, COUNT(*) AS NUM_REG, SUM(IF(TRIM(CAST(X.DT_INCPTN AS STRING))='' OR TRIM(CAST(X.DT_INCPTN AS STRING)) IS NULL,1,0)) AS NUM_REG_DIF,'10' AS ID_EXEC, CURRENT_TIMESTAMP() AS TIME_EXEC FROM (SELECT instrmnt_id, DT_INCPTN FROM BU_LOANTAPE_WORK.LT002_INSTRUMENT WHERE ref_date='${ref_date}' AND nome_perimetro='Individual Corporativo' AND segmento='ESTR' AND ambito='PILAR3')X</v>
      </c>
      <c r="M108" s="43" t="str">
        <f t="shared" si="1"/>
        <v>UNION ALL SELECT 'INSTRUMENT' AS TABELA, 'VALIDADE' AS TIPOLOGIA_TESTE,'BU_LOANTAPE_WORK.LT002_INSTRUMENT' AS TABELA_LT,'N/A' AS TABELA_SIMUL,'DT_INCPTN' AS CAMPO, '${ref_date}' AS REF_DATE, COUNT(*) AS NUM_REG, SUM(IF(TRIM(CAST(X.DT_INCPTN AS STRING))='' OR TRIM(CAST(X.DT_INCPTN AS STRING)) IS NULL,1,0)) AS NUM_REG_DIF,'10' AS ID_EXEC, CURRENT_TIMESTAMP() AS TIME_EXEC FROM (SELECT instrmnt_id, DT_INCPTN FROM BU_LOANTAPE_WORK.LT002_INSTRUMENT WHERE ref_date='${ref_date}' AND nome_perimetro='Individual Corporativo' AND segmento='ESTR' AND ambito='PILAR3')X</v>
      </c>
      <c r="N108" s="45" t="s">
        <v>13</v>
      </c>
    </row>
    <row r="109" spans="2:14">
      <c r="B109" s="41" t="s">
        <v>27</v>
      </c>
      <c r="C109" s="41" t="s">
        <v>75</v>
      </c>
      <c r="D109" s="41" t="str">
        <f>+UPPER('0. Instruções'!$D$33&amp;"."&amp;VLOOKUP(B109,'0. Instruções'!$C$27:$D$31,2,FALSE))</f>
        <v>BU_LOANTAPE_WORK.LT002_INSTRUMENT</v>
      </c>
      <c r="E109" s="41" t="str">
        <f>+UPPER('0. Instruções'!$D$34&amp;"."&amp;VLOOKUP(B109,'0. Instruções'!$C$27:$E$31,3,FALSE))</f>
        <v>BU_LOANTAPE_WORK.LT002_INSTRUMENT_P3_NOV24</v>
      </c>
      <c r="F109" s="41" t="s">
        <v>159</v>
      </c>
      <c r="G109" s="41" t="s">
        <v>13</v>
      </c>
      <c r="H109" s="41"/>
      <c r="I109" s="41" t="str">
        <f>"(SELECT "&amp;VLOOKUP(B109,'0. Instruções'!$C$27:$G$31,4,FALSE)&amp;", "&amp;F109&amp;" FROM "&amp;D109&amp;" WHERE "&amp;'0. Instruções'!$D$40&amp;")X"</f>
        <v>(SELECT instrmnt_id, DFLT_STTS_INSTRMNT FROM BU_LOANTAPE_WORK.LT002_INSTRUMENT WHERE ref_date='${ref_date}' AND nome_perimetro='Individual Corporativo' AND segmento='ESTR' AND ambito='PILAR3')X</v>
      </c>
      <c r="J109" s="41" t="str">
        <f>"(SELECT "&amp;VLOOKUP(B109,'0. Instruções'!$C$27:$G$31,4,FALSE)&amp;" AS "&amp;VLOOKUP(B109,'0. Instruções'!$C$27:$G$31,4,FALSE)&amp;"_SIMUL, "&amp;F109&amp;" AS "&amp;F109&amp;"_SIMUL FROM "&amp;E109&amp;")Y"</f>
        <v>(SELECT instrmnt_id AS instrmnt_id_SIMUL, DFLT_STTS_INSTRMNT AS DFLT_STTS_INSTRMNT_SIMUL FROM BU_LOANTAPE_WORK.LT002_INSTRUMENT_P3_NOV24)Y</v>
      </c>
      <c r="K109" s="42" t="str">
        <f>+UPPER("ON X."&amp;VLOOKUP(B109,'0. Instruções'!$C$27:$G$31,4,FALSE)&amp;"=Y."&amp;VLOOKUP(B109,'0. Instruções'!$C$27:$G$31,4,FALSE)&amp;"_SIMUL")</f>
        <v>ON X.INSTRMNT_ID=Y.INSTRMNT_ID_SIMUL</v>
      </c>
      <c r="L109" s="42" t="str">
        <f>+IF(C109="Coerência", +IF(LEFT(G109,5)="FLOAT","SELECT '"&amp;UPPER(B109)&amp;"' AS TABELA, '"&amp;UPPER(C109)&amp;"' AS TIPOLOGIA_TESTE,'"&amp;D109&amp;"' AS TABELA_LT,'"&amp;E109&amp;"' AS TABELA_SIMUL,'"&amp;F109&amp;"' AS CAMPO, "&amp;"'${ref_date}' AS REF_DATE, COUNT(*) AS NUM_REG, SUM(IF((ABS(COALESCE(X."&amp;F109&amp;",0)-COALESCE(Y."&amp;F109&amp;"_SIMUL,0))&gt;0.0000000001) OR (X."&amp;F109&amp;" IS NULL AND Y."&amp;F109&amp;"_SIMUL IS NOT NULL ) OR (X."&amp;F109&amp;" IS NOT NULL AND Y."&amp;F109&amp;"_SIMUL IS NULL),1,0)) AS NUM_REG_DIF,'"&amp;MAX('ID1&amp;5'!K:K)+1&amp;"' AS ID_EXEC, CURRENT_TIMESTAMP() AS TIME_EXEC FROM "&amp;I109&amp;" INNER JOIN "&amp;J109&amp;" "&amp;K109,"SELECT '"&amp;UPPER(B109)&amp;"' AS TABELA, '"&amp;UPPER(C109)&amp;"' AS TIPOLOGIA_TESTE,'"&amp;D109&amp;"' AS TABELA_LT,'"&amp;E109&amp;"' AS TABELA_SIMUL,'"&amp;F109&amp;"' AS CAMPO, "&amp;"'${ref_date}' AS REF_DATE, COUNT(*) AS NUM_REG, SUM(IF(COALESCE(CAST(X."&amp;F109&amp;" AS STRING),'')&lt;&gt;COALESCE(CAST(Y."&amp;F109&amp;"_SIMUL AS STRING),''),1,0)) AS NUM_REG_DIF,'"&amp;MAX('ID1&amp;5'!L:L)+1&amp;"' AS ID_EXEC, CURRENT_TIMESTAMP() AS TIME_EXEC FROM "&amp;I109&amp;" INNER JOIN "&amp;J109&amp;" "&amp;K109),
IF(C109="Validade",+IF(G109="Code List","SELECT '"&amp;UPPER(B109)&amp;"' AS TABELA, '"&amp;UPPER(C109)&amp;"' AS TIPOLOGIA_TESTE,'"&amp;D109&amp;"' AS TABELA_LT,'N/A' AS TABELA_SIMUL,'"&amp;F109&amp;"' AS CAMPO, "&amp;"'${ref_date}' AS REF_DATE, COUNT(*) AS NUM_REG, SUM(IF(TRIM(CAST(X."&amp;F109&amp;" AS STRING))='' OR TRIM(CAST(X."&amp;F109&amp;" AS STRING)) IS NULL OR CAST(X."&amp;F109&amp;" AS STRING) NOT "&amp;H109&amp;",1,0)) AS NUM_REG_DIF,'"&amp;MAX('ID1&amp;5'!K:K)+1&amp;"' AS ID_EXEC, CURRENT_TIMESTAMP() AS TIME_EXEC FROM "&amp;I109,"SELECT '"&amp;UPPER(B109)&amp;"' AS TABELA, '"&amp;UPPER(C109)&amp;"' AS TIPOLOGIA_TESTE,'"&amp;D109&amp;"' AS TABELA_LT,'N/A' AS TABELA_SIMUL,'"&amp;F109&amp;"' AS CAMPO, "&amp;"'${ref_date}' AS REF_DATE, COUNT(*) AS NUM_REG, SUM(IF(TRIM(CAST(X."&amp;F109&amp;" AS STRING))='' OR TRIM(CAST(X."&amp;F109&amp;" AS STRING)) IS NULL,1,0)) AS NUM_REG_DIF,'"&amp;MAX('ID1&amp;5'!K:K)+1&amp;"' AS ID_EXEC, CURRENT_TIMESTAMP() AS TIME_EXEC FROM "&amp;I109),
IF(C109="Caracteres Especiais",+"SELECT '"&amp;UPPER(B109)&amp;"' AS TABELA, '"&amp;UPPER(C109)&amp;"' AS TIPOLOGIA_TESTE,'"&amp;D109&amp;"' AS TABELA_LT,'N/A' AS TABELA_SIMUL,'"&amp;F109&amp;"' AS CAMPO, "&amp;"'${ref_date}' AS REF_DATE, COUNT(*) AS NUM_REG, SUM(IF(INSTR(CAST(X."&amp;F109&amp;" AS STRING),'#')&gt;0 OR INSTR(CAST(X."&amp;F109&amp;" AS STRING),'*')&gt;0 OR INSTR(CAST(X."&amp;F109&amp;" AS STRING),'`')&gt;0 OR INSTR(CAST(X."&amp;F109&amp;" AS STRING),'´')&gt;0 OR INSTR(CAST(X."&amp;F109&amp;" AS STRING),'{')&gt;0 OR INSTR(CAST(X."&amp;F109&amp;" AS STRING),'}')&gt;0 OR INSTR(CAST(X."&amp;F109&amp;" AS STRING),'[')&gt;0 OR INSTR(CAST(X."&amp;F109&amp;" AS STRING),'')&gt;0 OR INSTR(CAST(X."&amp;F109&amp;" AS STRING),']')&gt;0 OR INSTR(CAST(X."&amp;F109&amp;" AS STRING),'?')&gt;0 OR INSTR(CAST(X."&amp;F109&amp;" AS STRING),'!')&gt;0 OR INSTR(CAST(X."&amp;F109&amp;" AS STRING),'$')&gt;0 OR INSTR(CAST(X."&amp;F109&amp;" AS STRING),'%')&gt;0 OR INSTR(CAST(X."&amp;F109&amp;" AS STRING),'&amp;')&gt;0 OR INSTR(CAST(X."&amp;F109&amp;" AS STRING),'+')&gt;0,1,0)) AS NUM_REG_DIF,'"&amp;MAX('ID1&amp;5'!K:K)+1&amp;"' AS ID_EXEC, CURRENT_TIMESTAMP() AS TIME_EXEC FROM "&amp;I109,
IF(C109="Missings",+"SELECT '"&amp;UPPER(B109)&amp;"' AS TABELA, '"&amp;UPPER(C109)&amp;"' AS TIPOLOGIA_TESTE,'"&amp;D109&amp;"' AS TABELA_LT,'N/A' AS TABELA_SIMUL,'"&amp;F109&amp;"' AS CAMPO, "&amp;"'${ref_date}' AS REF_DATE, COUNT(*) AS NUM_REG, SUM(IF(TRIM(CAST(X."&amp;F109&amp;" AS STRING)) IN ('0000-00-00','0001-01-01','9999-12-31','MISS','00000','99999999999','99999999999.00','99999999999.000000'),1,0)) AS NUM_REG_DIF,'"&amp;MAX('ID1&amp;5'!K:K)+1&amp;"' AS ID_EXEC, CURRENT_TIMESTAMP() AS TIME_EXEC FROM "&amp;I109,
IF(C109="Not applicable",+"SELECT '"&amp;UPPER(B109)&amp;"' AS TABELA, '"&amp;UPPER(C109)&amp;"' AS TIPOLOGIA_TESTE,'"&amp;D109&amp;"' AS TABELA_LT,'N/A' AS TABELA_SIMUL,'"&amp;F109&amp;"' AS CAMPO, "&amp;"'${ref_date}' AS REF_DATE, COUNT(*) AS NUM_REG, SUM(IF(TRIM(CAST(X."&amp;F109&amp;" AS STRING)) IN ('N/A','11111111111','11111111111.00','11111111111.000000','1111-11-11'),1,0)) AS NUM_REG_DIF,'"&amp;MAX('ID1&amp;5'!K:K)+1&amp;"' AS ID_EXEC, CURRENT_TIMESTAMP() AS TIME_EXEC FROM "&amp;I109,
IF(C109="Valores extremos",+"SELECT '"&amp;UPPER(B109)&amp;"' AS TABELA, '"&amp;UPPER(C109)&amp;"' AS TIPOLOGIA_TESTE,'"&amp;D109&amp;"' AS TABELA_LT,'N/A' AS TABELA_SIMUL,'"&amp;F109&amp;"' AS CAMPO, "&amp;"'${ref_date}' AS REF_DATE, CAST(MIN("&amp;F109&amp;") AS STRING) AS VALOR_MIN, CAST(MAX("&amp;F109&amp;") AS STRING) AS VALOR_MAX,'"&amp;MAX('ID1&amp;5'!K:K)+1&amp;"' AS ID_EXEC, CURRENT_TIMESTAMP() AS TIME_EXEC FROM "&amp;MID(I109,1,LEN(I109)-2)&amp;" AND CAST("&amp;F109&amp;"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TABELA_SIMUL,'DFLT_STTS_INSTRMNT' AS CAMPO, '${ref_date}' AS REF_DATE, COUNT(*) AS NUM_REG, SUM(IF(TRIM(CAST(X.DFLT_STTS_INSTRMNT AS STRING))='' OR TRIM(CAST(X.DFLT_STTS_INSTRMNT AS STRING)) IS NULL,1,0)) AS NUM_REG_DIF,'10' AS ID_EXEC, CURRENT_TIMESTAMP() AS TIME_EXEC FROM (SELECT instrmnt_id, DFLT_STTS_INSTRMNT FROM BU_LOANTAPE_WORK.LT002_INSTRUMENT WHERE ref_date='${ref_date}' AND nome_perimetro='Individual Corporativo' AND segmento='ESTR' AND ambito='PILAR3')X</v>
      </c>
      <c r="M109" s="43" t="str">
        <f t="shared" si="1"/>
        <v>UNION ALL SELECT 'INSTRUMENT' AS TABELA, 'VALIDADE' AS TIPOLOGIA_TESTE,'BU_LOANTAPE_WORK.LT002_INSTRUMENT' AS TABELA_LT,'N/A' AS TABELA_SIMUL,'DFLT_STTS_INSTRMNT' AS CAMPO, '${ref_date}' AS REF_DATE, COUNT(*) AS NUM_REG, SUM(IF(TRIM(CAST(X.DFLT_STTS_INSTRMNT AS STRING))='' OR TRIM(CAST(X.DFLT_STTS_INSTRMNT AS STRING)) IS NULL,1,0)) AS NUM_REG_DIF,'10' AS ID_EXEC, CURRENT_TIMESTAMP() AS TIME_EXEC FROM (SELECT instrmnt_id, DFLT_STTS_INSTRMNT FROM BU_LOANTAPE_WORK.LT002_INSTRUMENT WHERE ref_date='${ref_date}' AND nome_perimetro='Individual Corporativo' AND segmento='ESTR' AND ambito='PILAR3')X</v>
      </c>
      <c r="N109" s="45" t="s">
        <v>13</v>
      </c>
    </row>
    <row r="110" spans="2:14">
      <c r="B110" s="41" t="s">
        <v>27</v>
      </c>
      <c r="C110" s="41" t="s">
        <v>75</v>
      </c>
      <c r="D110" s="41" t="str">
        <f>+UPPER('0. Instruções'!$D$33&amp;"."&amp;VLOOKUP(B110,'0. Instruções'!$C$27:$D$31,2,FALSE))</f>
        <v>BU_LOANTAPE_WORK.LT002_INSTRUMENT</v>
      </c>
      <c r="E110" s="41" t="str">
        <f>+UPPER('0. Instruções'!$D$34&amp;"."&amp;VLOOKUP(B110,'0. Instruções'!$C$27:$E$31,3,FALSE))</f>
        <v>BU_LOANTAPE_WORK.LT002_INSTRUMENT_P3_NOV24</v>
      </c>
      <c r="F110" s="41" t="s">
        <v>160</v>
      </c>
      <c r="G110" s="41" t="s">
        <v>13</v>
      </c>
      <c r="H110" s="41"/>
      <c r="I110" s="41" t="str">
        <f>"(SELECT "&amp;VLOOKUP(B110,'0. Instruções'!$C$27:$G$31,4,FALSE)&amp;", "&amp;F110&amp;" FROM "&amp;D110&amp;" WHERE "&amp;'0. Instruções'!$D$40&amp;")X"</f>
        <v>(SELECT instrmnt_id, IMPRMNT_STTS FROM BU_LOANTAPE_WORK.LT002_INSTRUMENT WHERE ref_date='${ref_date}' AND nome_perimetro='Individual Corporativo' AND segmento='ESTR' AND ambito='PILAR3')X</v>
      </c>
      <c r="J110" s="41" t="str">
        <f>"(SELECT "&amp;VLOOKUP(B110,'0. Instruções'!$C$27:$G$31,4,FALSE)&amp;" AS "&amp;VLOOKUP(B110,'0. Instruções'!$C$27:$G$31,4,FALSE)&amp;"_SIMUL, "&amp;F110&amp;" AS "&amp;F110&amp;"_SIMUL FROM "&amp;E110&amp;")Y"</f>
        <v>(SELECT instrmnt_id AS instrmnt_id_SIMUL, IMPRMNT_STTS AS IMPRMNT_STTS_SIMUL FROM BU_LOANTAPE_WORK.LT002_INSTRUMENT_P3_NOV24)Y</v>
      </c>
      <c r="K110" s="42" t="str">
        <f>+UPPER("ON X."&amp;VLOOKUP(B110,'0. Instruções'!$C$27:$G$31,4,FALSE)&amp;"=Y."&amp;VLOOKUP(B110,'0. Instruções'!$C$27:$G$31,4,FALSE)&amp;"_SIMUL")</f>
        <v>ON X.INSTRMNT_ID=Y.INSTRMNT_ID_SIMUL</v>
      </c>
      <c r="L110" s="42" t="str">
        <f>+IF(C110="Coerência", +IF(LEFT(G110,5)="FLOAT","SELECT '"&amp;UPPER(B110)&amp;"' AS TABELA, '"&amp;UPPER(C110)&amp;"' AS TIPOLOGIA_TESTE,'"&amp;D110&amp;"' AS TABELA_LT,'"&amp;E110&amp;"' AS TABELA_SIMUL,'"&amp;F110&amp;"' AS CAMPO, "&amp;"'${ref_date}' AS REF_DATE, COUNT(*) AS NUM_REG, SUM(IF((ABS(COALESCE(X."&amp;F110&amp;",0)-COALESCE(Y."&amp;F110&amp;"_SIMUL,0))&gt;0.0000000001) OR (X."&amp;F110&amp;" IS NULL AND Y."&amp;F110&amp;"_SIMUL IS NOT NULL ) OR (X."&amp;F110&amp;" IS NOT NULL AND Y."&amp;F110&amp;"_SIMUL IS NULL),1,0)) AS NUM_REG_DIF,'"&amp;MAX('ID1&amp;5'!K:K)+1&amp;"' AS ID_EXEC, CURRENT_TIMESTAMP() AS TIME_EXEC FROM "&amp;I110&amp;" INNER JOIN "&amp;J110&amp;" "&amp;K110,"SELECT '"&amp;UPPER(B110)&amp;"' AS TABELA, '"&amp;UPPER(C110)&amp;"' AS TIPOLOGIA_TESTE,'"&amp;D110&amp;"' AS TABELA_LT,'"&amp;E110&amp;"' AS TABELA_SIMUL,'"&amp;F110&amp;"' AS CAMPO, "&amp;"'${ref_date}' AS REF_DATE, COUNT(*) AS NUM_REG, SUM(IF(COALESCE(CAST(X."&amp;F110&amp;" AS STRING),'')&lt;&gt;COALESCE(CAST(Y."&amp;F110&amp;"_SIMUL AS STRING),''),1,0)) AS NUM_REG_DIF,'"&amp;MAX('ID1&amp;5'!L:L)+1&amp;"' AS ID_EXEC, CURRENT_TIMESTAMP() AS TIME_EXEC FROM "&amp;I110&amp;" INNER JOIN "&amp;J110&amp;" "&amp;K110),
IF(C110="Validade",+IF(G110="Code List","SELECT '"&amp;UPPER(B110)&amp;"' AS TABELA, '"&amp;UPPER(C110)&amp;"' AS TIPOLOGIA_TESTE,'"&amp;D110&amp;"' AS TABELA_LT,'N/A' AS TABELA_SIMUL,'"&amp;F110&amp;"' AS CAMPO, "&amp;"'${ref_date}' AS REF_DATE, COUNT(*) AS NUM_REG, SUM(IF(TRIM(CAST(X."&amp;F110&amp;" AS STRING))='' OR TRIM(CAST(X."&amp;F110&amp;" AS STRING)) IS NULL OR CAST(X."&amp;F110&amp;" AS STRING) NOT "&amp;H110&amp;",1,0)) AS NUM_REG_DIF,'"&amp;MAX('ID1&amp;5'!K:K)+1&amp;"' AS ID_EXEC, CURRENT_TIMESTAMP() AS TIME_EXEC FROM "&amp;I110,"SELECT '"&amp;UPPER(B110)&amp;"' AS TABELA, '"&amp;UPPER(C110)&amp;"' AS TIPOLOGIA_TESTE,'"&amp;D110&amp;"' AS TABELA_LT,'N/A' AS TABELA_SIMUL,'"&amp;F110&amp;"' AS CAMPO, "&amp;"'${ref_date}' AS REF_DATE, COUNT(*) AS NUM_REG, SUM(IF(TRIM(CAST(X."&amp;F110&amp;" AS STRING))='' OR TRIM(CAST(X."&amp;F110&amp;" AS STRING)) IS NULL,1,0)) AS NUM_REG_DIF,'"&amp;MAX('ID1&amp;5'!K:K)+1&amp;"' AS ID_EXEC, CURRENT_TIMESTAMP() AS TIME_EXEC FROM "&amp;I110),
IF(C110="Caracteres Especiais",+"SELECT '"&amp;UPPER(B110)&amp;"' AS TABELA, '"&amp;UPPER(C110)&amp;"' AS TIPOLOGIA_TESTE,'"&amp;D110&amp;"' AS TABELA_LT,'N/A' AS TABELA_SIMUL,'"&amp;F110&amp;"' AS CAMPO, "&amp;"'${ref_date}' AS REF_DATE, COUNT(*) AS NUM_REG, SUM(IF(INSTR(CAST(X."&amp;F110&amp;" AS STRING),'#')&gt;0 OR INSTR(CAST(X."&amp;F110&amp;" AS STRING),'*')&gt;0 OR INSTR(CAST(X."&amp;F110&amp;" AS STRING),'`')&gt;0 OR INSTR(CAST(X."&amp;F110&amp;" AS STRING),'´')&gt;0 OR INSTR(CAST(X."&amp;F110&amp;" AS STRING),'{')&gt;0 OR INSTR(CAST(X."&amp;F110&amp;" AS STRING),'}')&gt;0 OR INSTR(CAST(X."&amp;F110&amp;" AS STRING),'[')&gt;0 OR INSTR(CAST(X."&amp;F110&amp;" AS STRING),'')&gt;0 OR INSTR(CAST(X."&amp;F110&amp;" AS STRING),']')&gt;0 OR INSTR(CAST(X."&amp;F110&amp;" AS STRING),'?')&gt;0 OR INSTR(CAST(X."&amp;F110&amp;" AS STRING),'!')&gt;0 OR INSTR(CAST(X."&amp;F110&amp;" AS STRING),'$')&gt;0 OR INSTR(CAST(X."&amp;F110&amp;" AS STRING),'%')&gt;0 OR INSTR(CAST(X."&amp;F110&amp;" AS STRING),'&amp;')&gt;0 OR INSTR(CAST(X."&amp;F110&amp;" AS STRING),'+')&gt;0,1,0)) AS NUM_REG_DIF,'"&amp;MAX('ID1&amp;5'!K:K)+1&amp;"' AS ID_EXEC, CURRENT_TIMESTAMP() AS TIME_EXEC FROM "&amp;I110,
IF(C110="Missings",+"SELECT '"&amp;UPPER(B110)&amp;"' AS TABELA, '"&amp;UPPER(C110)&amp;"' AS TIPOLOGIA_TESTE,'"&amp;D110&amp;"' AS TABELA_LT,'N/A' AS TABELA_SIMUL,'"&amp;F110&amp;"' AS CAMPO, "&amp;"'${ref_date}' AS REF_DATE, COUNT(*) AS NUM_REG, SUM(IF(TRIM(CAST(X."&amp;F110&amp;" AS STRING)) IN ('0000-00-00','0001-01-01','9999-12-31','MISS','00000','99999999999','99999999999.00','99999999999.000000'),1,0)) AS NUM_REG_DIF,'"&amp;MAX('ID1&amp;5'!K:K)+1&amp;"' AS ID_EXEC, CURRENT_TIMESTAMP() AS TIME_EXEC FROM "&amp;I110,
IF(C110="Not applicable",+"SELECT '"&amp;UPPER(B110)&amp;"' AS TABELA, '"&amp;UPPER(C110)&amp;"' AS TIPOLOGIA_TESTE,'"&amp;D110&amp;"' AS TABELA_LT,'N/A' AS TABELA_SIMUL,'"&amp;F110&amp;"' AS CAMPO, "&amp;"'${ref_date}' AS REF_DATE, COUNT(*) AS NUM_REG, SUM(IF(TRIM(CAST(X."&amp;F110&amp;" AS STRING)) IN ('N/A','11111111111','11111111111.00','11111111111.000000','1111-11-11'),1,0)) AS NUM_REG_DIF,'"&amp;MAX('ID1&amp;5'!K:K)+1&amp;"' AS ID_EXEC, CURRENT_TIMESTAMP() AS TIME_EXEC FROM "&amp;I110,
IF(C110="Valores extremos",+"SELECT '"&amp;UPPER(B110)&amp;"' AS TABELA, '"&amp;UPPER(C110)&amp;"' AS TIPOLOGIA_TESTE,'"&amp;D110&amp;"' AS TABELA_LT,'N/A' AS TABELA_SIMUL,'"&amp;F110&amp;"' AS CAMPO, "&amp;"'${ref_date}' AS REF_DATE, CAST(MIN("&amp;F110&amp;") AS STRING) AS VALOR_MIN, CAST(MAX("&amp;F110&amp;") AS STRING) AS VALOR_MAX,'"&amp;MAX('ID1&amp;5'!K:K)+1&amp;"' AS ID_EXEC, CURRENT_TIMESTAMP() AS TIME_EXEC FROM "&amp;MID(I110,1,LEN(I110)-2)&amp;" AND CAST("&amp;F110&amp;"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TABELA_SIMUL,'IMPRMNT_STTS' AS CAMPO, '${ref_date}' AS REF_DATE, COUNT(*) AS NUM_REG, SUM(IF(TRIM(CAST(X.IMPRMNT_STTS AS STRING))='' OR TRIM(CAST(X.IMPRMNT_STTS AS STRING)) IS NULL,1,0)) AS NUM_REG_DIF,'10' AS ID_EXEC, CURRENT_TIMESTAMP() AS TIME_EXEC FROM (SELECT instrmnt_id, IMPRMNT_STTS FROM BU_LOANTAPE_WORK.LT002_INSTRUMENT WHERE ref_date='${ref_date}' AND nome_perimetro='Individual Corporativo' AND segmento='ESTR' AND ambito='PILAR3')X</v>
      </c>
      <c r="M110" s="43" t="str">
        <f t="shared" si="1"/>
        <v>UNION ALL SELECT 'INSTRUMENT' AS TABELA, 'VALIDADE' AS TIPOLOGIA_TESTE,'BU_LOANTAPE_WORK.LT002_INSTRUMENT' AS TABELA_LT,'N/A' AS TABELA_SIMUL,'IMPRMNT_STTS' AS CAMPO, '${ref_date}' AS REF_DATE, COUNT(*) AS NUM_REG, SUM(IF(TRIM(CAST(X.IMPRMNT_STTS AS STRING))='' OR TRIM(CAST(X.IMPRMNT_STTS AS STRING)) IS NULL,1,0)) AS NUM_REG_DIF,'10' AS ID_EXEC, CURRENT_TIMESTAMP() AS TIME_EXEC FROM (SELECT instrmnt_id, IMPRMNT_STTS FROM BU_LOANTAPE_WORK.LT002_INSTRUMENT WHERE ref_date='${ref_date}' AND nome_perimetro='Individual Corporativo' AND segmento='ESTR' AND ambito='PILAR3')X</v>
      </c>
      <c r="N110" s="45" t="s">
        <v>13</v>
      </c>
    </row>
    <row r="111" spans="2:14">
      <c r="B111" s="41" t="s">
        <v>27</v>
      </c>
      <c r="C111" s="41" t="s">
        <v>75</v>
      </c>
      <c r="D111" s="41" t="str">
        <f>+UPPER('0. Instruções'!$D$33&amp;"."&amp;VLOOKUP(B111,'0. Instruções'!$C$27:$D$31,2,FALSE))</f>
        <v>BU_LOANTAPE_WORK.LT002_INSTRUMENT</v>
      </c>
      <c r="E111" s="41" t="str">
        <f>+UPPER('0. Instruções'!$D$34&amp;"."&amp;VLOOKUP(B111,'0. Instruções'!$C$27:$E$31,3,FALSE))</f>
        <v>BU_LOANTAPE_WORK.LT002_INSTRUMENT_P3_NOV24</v>
      </c>
      <c r="F111" s="41" t="s">
        <v>161</v>
      </c>
      <c r="G111" s="41" t="s">
        <v>13</v>
      </c>
      <c r="H111" s="41"/>
      <c r="I111" s="41" t="str">
        <f>"(SELECT "&amp;VLOOKUP(B111,'0. Instruções'!$C$27:$G$31,4,FALSE)&amp;", "&amp;F111&amp;" FROM "&amp;D111&amp;" WHERE "&amp;'0. Instruções'!$D$40&amp;")X"</f>
        <v>(SELECT instrmnt_id, PRFRMNG_STTS FROM BU_LOANTAPE_WORK.LT002_INSTRUMENT WHERE ref_date='${ref_date}' AND nome_perimetro='Individual Corporativo' AND segmento='ESTR' AND ambito='PILAR3')X</v>
      </c>
      <c r="J111" s="41" t="str">
        <f>"(SELECT "&amp;VLOOKUP(B111,'0. Instruções'!$C$27:$G$31,4,FALSE)&amp;" AS "&amp;VLOOKUP(B111,'0. Instruções'!$C$27:$G$31,4,FALSE)&amp;"_SIMUL, "&amp;F111&amp;" AS "&amp;F111&amp;"_SIMUL FROM "&amp;E111&amp;")Y"</f>
        <v>(SELECT instrmnt_id AS instrmnt_id_SIMUL, PRFRMNG_STTS AS PRFRMNG_STTS_SIMUL FROM BU_LOANTAPE_WORK.LT002_INSTRUMENT_P3_NOV24)Y</v>
      </c>
      <c r="K111" s="42" t="str">
        <f>+UPPER("ON X."&amp;VLOOKUP(B111,'0. Instruções'!$C$27:$G$31,4,FALSE)&amp;"=Y."&amp;VLOOKUP(B111,'0. Instruções'!$C$27:$G$31,4,FALSE)&amp;"_SIMUL")</f>
        <v>ON X.INSTRMNT_ID=Y.INSTRMNT_ID_SIMUL</v>
      </c>
      <c r="L111" s="42" t="str">
        <f>+IF(C111="Coerência", +IF(LEFT(G111,5)="FLOAT","SELECT '"&amp;UPPER(B111)&amp;"' AS TABELA, '"&amp;UPPER(C111)&amp;"' AS TIPOLOGIA_TESTE,'"&amp;D111&amp;"' AS TABELA_LT,'"&amp;E111&amp;"' AS TABELA_SIMUL,'"&amp;F111&amp;"' AS CAMPO, "&amp;"'${ref_date}' AS REF_DATE, COUNT(*) AS NUM_REG, SUM(IF((ABS(COALESCE(X."&amp;F111&amp;",0)-COALESCE(Y."&amp;F111&amp;"_SIMUL,0))&gt;0.0000000001) OR (X."&amp;F111&amp;" IS NULL AND Y."&amp;F111&amp;"_SIMUL IS NOT NULL ) OR (X."&amp;F111&amp;" IS NOT NULL AND Y."&amp;F111&amp;"_SIMUL IS NULL),1,0)) AS NUM_REG_DIF,'"&amp;MAX('ID1&amp;5'!K:K)+1&amp;"' AS ID_EXEC, CURRENT_TIMESTAMP() AS TIME_EXEC FROM "&amp;I111&amp;" INNER JOIN "&amp;J111&amp;" "&amp;K111,"SELECT '"&amp;UPPER(B111)&amp;"' AS TABELA, '"&amp;UPPER(C111)&amp;"' AS TIPOLOGIA_TESTE,'"&amp;D111&amp;"' AS TABELA_LT,'"&amp;E111&amp;"' AS TABELA_SIMUL,'"&amp;F111&amp;"' AS CAMPO, "&amp;"'${ref_date}' AS REF_DATE, COUNT(*) AS NUM_REG, SUM(IF(COALESCE(CAST(X."&amp;F111&amp;" AS STRING),'')&lt;&gt;COALESCE(CAST(Y."&amp;F111&amp;"_SIMUL AS STRING),''),1,0)) AS NUM_REG_DIF,'"&amp;MAX('ID1&amp;5'!L:L)+1&amp;"' AS ID_EXEC, CURRENT_TIMESTAMP() AS TIME_EXEC FROM "&amp;I111&amp;" INNER JOIN "&amp;J111&amp;" "&amp;K111),
IF(C111="Validade",+IF(G111="Code List","SELECT '"&amp;UPPER(B111)&amp;"' AS TABELA, '"&amp;UPPER(C111)&amp;"' AS TIPOLOGIA_TESTE,'"&amp;D111&amp;"' AS TABELA_LT,'N/A' AS TABELA_SIMUL,'"&amp;F111&amp;"' AS CAMPO, "&amp;"'${ref_date}' AS REF_DATE, COUNT(*) AS NUM_REG, SUM(IF(TRIM(CAST(X."&amp;F111&amp;" AS STRING))='' OR TRIM(CAST(X."&amp;F111&amp;" AS STRING)) IS NULL OR CAST(X."&amp;F111&amp;" AS STRING) NOT "&amp;H111&amp;",1,0)) AS NUM_REG_DIF,'"&amp;MAX('ID1&amp;5'!K:K)+1&amp;"' AS ID_EXEC, CURRENT_TIMESTAMP() AS TIME_EXEC FROM "&amp;I111,"SELECT '"&amp;UPPER(B111)&amp;"' AS TABELA, '"&amp;UPPER(C111)&amp;"' AS TIPOLOGIA_TESTE,'"&amp;D111&amp;"' AS TABELA_LT,'N/A' AS TABELA_SIMUL,'"&amp;F111&amp;"' AS CAMPO, "&amp;"'${ref_date}' AS REF_DATE, COUNT(*) AS NUM_REG, SUM(IF(TRIM(CAST(X."&amp;F111&amp;" AS STRING))='' OR TRIM(CAST(X."&amp;F111&amp;" AS STRING)) IS NULL,1,0)) AS NUM_REG_DIF,'"&amp;MAX('ID1&amp;5'!K:K)+1&amp;"' AS ID_EXEC, CURRENT_TIMESTAMP() AS TIME_EXEC FROM "&amp;I111),
IF(C111="Caracteres Especiais",+"SELECT '"&amp;UPPER(B111)&amp;"' AS TABELA, '"&amp;UPPER(C111)&amp;"' AS TIPOLOGIA_TESTE,'"&amp;D111&amp;"' AS TABELA_LT,'N/A' AS TABELA_SIMUL,'"&amp;F111&amp;"' AS CAMPO, "&amp;"'${ref_date}' AS REF_DATE, COUNT(*) AS NUM_REG, SUM(IF(INSTR(CAST(X."&amp;F111&amp;" AS STRING),'#')&gt;0 OR INSTR(CAST(X."&amp;F111&amp;" AS STRING),'*')&gt;0 OR INSTR(CAST(X."&amp;F111&amp;" AS STRING),'`')&gt;0 OR INSTR(CAST(X."&amp;F111&amp;" AS STRING),'´')&gt;0 OR INSTR(CAST(X."&amp;F111&amp;" AS STRING),'{')&gt;0 OR INSTR(CAST(X."&amp;F111&amp;" AS STRING),'}')&gt;0 OR INSTR(CAST(X."&amp;F111&amp;" AS STRING),'[')&gt;0 OR INSTR(CAST(X."&amp;F111&amp;" AS STRING),'')&gt;0 OR INSTR(CAST(X."&amp;F111&amp;" AS STRING),']')&gt;0 OR INSTR(CAST(X."&amp;F111&amp;" AS STRING),'?')&gt;0 OR INSTR(CAST(X."&amp;F111&amp;" AS STRING),'!')&gt;0 OR INSTR(CAST(X."&amp;F111&amp;" AS STRING),'$')&gt;0 OR INSTR(CAST(X."&amp;F111&amp;" AS STRING),'%')&gt;0 OR INSTR(CAST(X."&amp;F111&amp;" AS STRING),'&amp;')&gt;0 OR INSTR(CAST(X."&amp;F111&amp;" AS STRING),'+')&gt;0,1,0)) AS NUM_REG_DIF,'"&amp;MAX('ID1&amp;5'!K:K)+1&amp;"' AS ID_EXEC, CURRENT_TIMESTAMP() AS TIME_EXEC FROM "&amp;I111,
IF(C111="Missings",+"SELECT '"&amp;UPPER(B111)&amp;"' AS TABELA, '"&amp;UPPER(C111)&amp;"' AS TIPOLOGIA_TESTE,'"&amp;D111&amp;"' AS TABELA_LT,'N/A' AS TABELA_SIMUL,'"&amp;F111&amp;"' AS CAMPO, "&amp;"'${ref_date}' AS REF_DATE, COUNT(*) AS NUM_REG, SUM(IF(TRIM(CAST(X."&amp;F111&amp;" AS STRING)) IN ('0000-00-00','0001-01-01','9999-12-31','MISS','00000','99999999999','99999999999.00','99999999999.000000'),1,0)) AS NUM_REG_DIF,'"&amp;MAX('ID1&amp;5'!K:K)+1&amp;"' AS ID_EXEC, CURRENT_TIMESTAMP() AS TIME_EXEC FROM "&amp;I111,
IF(C111="Not applicable",+"SELECT '"&amp;UPPER(B111)&amp;"' AS TABELA, '"&amp;UPPER(C111)&amp;"' AS TIPOLOGIA_TESTE,'"&amp;D111&amp;"' AS TABELA_LT,'N/A' AS TABELA_SIMUL,'"&amp;F111&amp;"' AS CAMPO, "&amp;"'${ref_date}' AS REF_DATE, COUNT(*) AS NUM_REG, SUM(IF(TRIM(CAST(X."&amp;F111&amp;" AS STRING)) IN ('N/A','11111111111','11111111111.00','11111111111.000000','1111-11-11'),1,0)) AS NUM_REG_DIF,'"&amp;MAX('ID1&amp;5'!K:K)+1&amp;"' AS ID_EXEC, CURRENT_TIMESTAMP() AS TIME_EXEC FROM "&amp;I111,
IF(C111="Valores extremos",+"SELECT '"&amp;UPPER(B111)&amp;"' AS TABELA, '"&amp;UPPER(C111)&amp;"' AS TIPOLOGIA_TESTE,'"&amp;D111&amp;"' AS TABELA_LT,'N/A' AS TABELA_SIMUL,'"&amp;F111&amp;"' AS CAMPO, "&amp;"'${ref_date}' AS REF_DATE, CAST(MIN("&amp;F111&amp;") AS STRING) AS VALOR_MIN, CAST(MAX("&amp;F111&amp;") AS STRING) AS VALOR_MAX,'"&amp;MAX('ID1&amp;5'!K:K)+1&amp;"' AS ID_EXEC, CURRENT_TIMESTAMP() AS TIME_EXEC FROM "&amp;MID(I111,1,LEN(I111)-2)&amp;" AND CAST("&amp;F111&amp;"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TABELA_SIMUL,'PRFRMNG_STTS' AS CAMPO, '${ref_date}' AS REF_DATE, COUNT(*) AS NUM_REG, SUM(IF(TRIM(CAST(X.PRFRMNG_STTS AS STRING))='' OR TRIM(CAST(X.PRFRMNG_STTS AS STRING)) IS NULL,1,0)) AS NUM_REG_DIF,'10' AS ID_EXEC, CURRENT_TIMESTAMP() AS TIME_EXEC FROM (SELECT instrmnt_id, PRFRMNG_STTS FROM BU_LOANTAPE_WORK.LT002_INSTRUMENT WHERE ref_date='${ref_date}' AND nome_perimetro='Individual Corporativo' AND segmento='ESTR' AND ambito='PILAR3')X</v>
      </c>
      <c r="M111" s="43" t="str">
        <f t="shared" si="1"/>
        <v>UNION ALL SELECT 'INSTRUMENT' AS TABELA, 'VALIDADE' AS TIPOLOGIA_TESTE,'BU_LOANTAPE_WORK.LT002_INSTRUMENT' AS TABELA_LT,'N/A' AS TABELA_SIMUL,'PRFRMNG_STTS' AS CAMPO, '${ref_date}' AS REF_DATE, COUNT(*) AS NUM_REG, SUM(IF(TRIM(CAST(X.PRFRMNG_STTS AS STRING))='' OR TRIM(CAST(X.PRFRMNG_STTS AS STRING)) IS NULL,1,0)) AS NUM_REG_DIF,'10' AS ID_EXEC, CURRENT_TIMESTAMP() AS TIME_EXEC FROM (SELECT instrmnt_id, PRFRMNG_STTS FROM BU_LOANTAPE_WORK.LT002_INSTRUMENT WHERE ref_date='${ref_date}' AND nome_perimetro='Individual Corporativo' AND segmento='ESTR' AND ambito='PILAR3')X</v>
      </c>
      <c r="N111" s="45" t="s">
        <v>13</v>
      </c>
    </row>
    <row r="112" spans="2:14">
      <c r="B112" s="41" t="s">
        <v>27</v>
      </c>
      <c r="C112" s="41" t="s">
        <v>75</v>
      </c>
      <c r="D112" s="41" t="str">
        <f>+UPPER('0. Instruções'!$D$33&amp;"."&amp;VLOOKUP(B112,'0. Instruções'!$C$27:$D$31,2,FALSE))</f>
        <v>BU_LOANTAPE_WORK.LT002_INSTRUMENT</v>
      </c>
      <c r="E112" s="41" t="str">
        <f>+UPPER('0. Instruções'!$D$34&amp;"."&amp;VLOOKUP(B112,'0. Instruções'!$C$27:$E$31,3,FALSE))</f>
        <v>BU_LOANTAPE_WORK.LT002_INSTRUMENT_P3_NOV24</v>
      </c>
      <c r="F112" s="41" t="s">
        <v>162</v>
      </c>
      <c r="G112" s="41" t="s">
        <v>13</v>
      </c>
      <c r="H112" s="41"/>
      <c r="I112" s="41" t="str">
        <f>"(SELECT "&amp;VLOOKUP(B112,'0. Instruções'!$C$27:$G$31,4,FALSE)&amp;", "&amp;F112&amp;" FROM "&amp;D112&amp;" WHERE "&amp;'0. Instruções'!$D$40&amp;")X"</f>
        <v>(SELECT instrmnt_id, PRJCT_FNNC_LN FROM BU_LOANTAPE_WORK.LT002_INSTRUMENT WHERE ref_date='${ref_date}' AND nome_perimetro='Individual Corporativo' AND segmento='ESTR' AND ambito='PILAR3')X</v>
      </c>
      <c r="J112" s="41" t="str">
        <f>"(SELECT "&amp;VLOOKUP(B112,'0. Instruções'!$C$27:$G$31,4,FALSE)&amp;" AS "&amp;VLOOKUP(B112,'0. Instruções'!$C$27:$G$31,4,FALSE)&amp;"_SIMUL, "&amp;F112&amp;" AS "&amp;F112&amp;"_SIMUL FROM "&amp;E112&amp;")Y"</f>
        <v>(SELECT instrmnt_id AS instrmnt_id_SIMUL, PRJCT_FNNC_LN AS PRJCT_FNNC_LN_SIMUL FROM BU_LOANTAPE_WORK.LT002_INSTRUMENT_P3_NOV24)Y</v>
      </c>
      <c r="K112" s="42" t="str">
        <f>+UPPER("ON X."&amp;VLOOKUP(B112,'0. Instruções'!$C$27:$G$31,4,FALSE)&amp;"=Y."&amp;VLOOKUP(B112,'0. Instruções'!$C$27:$G$31,4,FALSE)&amp;"_SIMUL")</f>
        <v>ON X.INSTRMNT_ID=Y.INSTRMNT_ID_SIMUL</v>
      </c>
      <c r="L112" s="42" t="str">
        <f>+IF(C112="Coerência", +IF(LEFT(G112,5)="FLOAT","SELECT '"&amp;UPPER(B112)&amp;"' AS TABELA, '"&amp;UPPER(C112)&amp;"' AS TIPOLOGIA_TESTE,'"&amp;D112&amp;"' AS TABELA_LT,'"&amp;E112&amp;"' AS TABELA_SIMUL,'"&amp;F112&amp;"' AS CAMPO, "&amp;"'${ref_date}' AS REF_DATE, COUNT(*) AS NUM_REG, SUM(IF((ABS(COALESCE(X."&amp;F112&amp;",0)-COALESCE(Y."&amp;F112&amp;"_SIMUL,0))&gt;0.0000000001) OR (X."&amp;F112&amp;" IS NULL AND Y."&amp;F112&amp;"_SIMUL IS NOT NULL ) OR (X."&amp;F112&amp;" IS NOT NULL AND Y."&amp;F112&amp;"_SIMUL IS NULL),1,0)) AS NUM_REG_DIF,'"&amp;MAX('ID1&amp;5'!K:K)+1&amp;"' AS ID_EXEC, CURRENT_TIMESTAMP() AS TIME_EXEC FROM "&amp;I112&amp;" INNER JOIN "&amp;J112&amp;" "&amp;K112,"SELECT '"&amp;UPPER(B112)&amp;"' AS TABELA, '"&amp;UPPER(C112)&amp;"' AS TIPOLOGIA_TESTE,'"&amp;D112&amp;"' AS TABELA_LT,'"&amp;E112&amp;"' AS TABELA_SIMUL,'"&amp;F112&amp;"' AS CAMPO, "&amp;"'${ref_date}' AS REF_DATE, COUNT(*) AS NUM_REG, SUM(IF(COALESCE(CAST(X."&amp;F112&amp;" AS STRING),'')&lt;&gt;COALESCE(CAST(Y."&amp;F112&amp;"_SIMUL AS STRING),''),1,0)) AS NUM_REG_DIF,'"&amp;MAX('ID1&amp;5'!L:L)+1&amp;"' AS ID_EXEC, CURRENT_TIMESTAMP() AS TIME_EXEC FROM "&amp;I112&amp;" INNER JOIN "&amp;J112&amp;" "&amp;K112),
IF(C112="Validade",+IF(G112="Code List","SELECT '"&amp;UPPER(B112)&amp;"' AS TABELA, '"&amp;UPPER(C112)&amp;"' AS TIPOLOGIA_TESTE,'"&amp;D112&amp;"' AS TABELA_LT,'N/A' AS TABELA_SIMUL,'"&amp;F112&amp;"' AS CAMPO, "&amp;"'${ref_date}' AS REF_DATE, COUNT(*) AS NUM_REG, SUM(IF(TRIM(CAST(X."&amp;F112&amp;" AS STRING))='' OR TRIM(CAST(X."&amp;F112&amp;" AS STRING)) IS NULL OR CAST(X."&amp;F112&amp;" AS STRING) NOT "&amp;H112&amp;",1,0)) AS NUM_REG_DIF,'"&amp;MAX('ID1&amp;5'!K:K)+1&amp;"' AS ID_EXEC, CURRENT_TIMESTAMP() AS TIME_EXEC FROM "&amp;I112,"SELECT '"&amp;UPPER(B112)&amp;"' AS TABELA, '"&amp;UPPER(C112)&amp;"' AS TIPOLOGIA_TESTE,'"&amp;D112&amp;"' AS TABELA_LT,'N/A' AS TABELA_SIMUL,'"&amp;F112&amp;"' AS CAMPO, "&amp;"'${ref_date}' AS REF_DATE, COUNT(*) AS NUM_REG, SUM(IF(TRIM(CAST(X."&amp;F112&amp;" AS STRING))='' OR TRIM(CAST(X."&amp;F112&amp;" AS STRING)) IS NULL,1,0)) AS NUM_REG_DIF,'"&amp;MAX('ID1&amp;5'!K:K)+1&amp;"' AS ID_EXEC, CURRENT_TIMESTAMP() AS TIME_EXEC FROM "&amp;I112),
IF(C112="Caracteres Especiais",+"SELECT '"&amp;UPPER(B112)&amp;"' AS TABELA, '"&amp;UPPER(C112)&amp;"' AS TIPOLOGIA_TESTE,'"&amp;D112&amp;"' AS TABELA_LT,'N/A' AS TABELA_SIMUL,'"&amp;F112&amp;"' AS CAMPO, "&amp;"'${ref_date}' AS REF_DATE, COUNT(*) AS NUM_REG, SUM(IF(INSTR(CAST(X."&amp;F112&amp;" AS STRING),'#')&gt;0 OR INSTR(CAST(X."&amp;F112&amp;" AS STRING),'*')&gt;0 OR INSTR(CAST(X."&amp;F112&amp;" AS STRING),'`')&gt;0 OR INSTR(CAST(X."&amp;F112&amp;" AS STRING),'´')&gt;0 OR INSTR(CAST(X."&amp;F112&amp;" AS STRING),'{')&gt;0 OR INSTR(CAST(X."&amp;F112&amp;" AS STRING),'}')&gt;0 OR INSTR(CAST(X."&amp;F112&amp;" AS STRING),'[')&gt;0 OR INSTR(CAST(X."&amp;F112&amp;" AS STRING),'')&gt;0 OR INSTR(CAST(X."&amp;F112&amp;" AS STRING),']')&gt;0 OR INSTR(CAST(X."&amp;F112&amp;" AS STRING),'?')&gt;0 OR INSTR(CAST(X."&amp;F112&amp;" AS STRING),'!')&gt;0 OR INSTR(CAST(X."&amp;F112&amp;" AS STRING),'$')&gt;0 OR INSTR(CAST(X."&amp;F112&amp;" AS STRING),'%')&gt;0 OR INSTR(CAST(X."&amp;F112&amp;" AS STRING),'&amp;')&gt;0 OR INSTR(CAST(X."&amp;F112&amp;" AS STRING),'+')&gt;0,1,0)) AS NUM_REG_DIF,'"&amp;MAX('ID1&amp;5'!K:K)+1&amp;"' AS ID_EXEC, CURRENT_TIMESTAMP() AS TIME_EXEC FROM "&amp;I112,
IF(C112="Missings",+"SELECT '"&amp;UPPER(B112)&amp;"' AS TABELA, '"&amp;UPPER(C112)&amp;"' AS TIPOLOGIA_TESTE,'"&amp;D112&amp;"' AS TABELA_LT,'N/A' AS TABELA_SIMUL,'"&amp;F112&amp;"' AS CAMPO, "&amp;"'${ref_date}' AS REF_DATE, COUNT(*) AS NUM_REG, SUM(IF(TRIM(CAST(X."&amp;F112&amp;" AS STRING)) IN ('0000-00-00','0001-01-01','9999-12-31','MISS','00000','99999999999','99999999999.00','99999999999.000000'),1,0)) AS NUM_REG_DIF,'"&amp;MAX('ID1&amp;5'!K:K)+1&amp;"' AS ID_EXEC, CURRENT_TIMESTAMP() AS TIME_EXEC FROM "&amp;I112,
IF(C112="Not applicable",+"SELECT '"&amp;UPPER(B112)&amp;"' AS TABELA, '"&amp;UPPER(C112)&amp;"' AS TIPOLOGIA_TESTE,'"&amp;D112&amp;"' AS TABELA_LT,'N/A' AS TABELA_SIMUL,'"&amp;F112&amp;"' AS CAMPO, "&amp;"'${ref_date}' AS REF_DATE, COUNT(*) AS NUM_REG, SUM(IF(TRIM(CAST(X."&amp;F112&amp;" AS STRING)) IN ('N/A','11111111111','11111111111.00','11111111111.000000','1111-11-11'),1,0)) AS NUM_REG_DIF,'"&amp;MAX('ID1&amp;5'!K:K)+1&amp;"' AS ID_EXEC, CURRENT_TIMESTAMP() AS TIME_EXEC FROM "&amp;I112,
IF(C112="Valores extremos",+"SELECT '"&amp;UPPER(B112)&amp;"' AS TABELA, '"&amp;UPPER(C112)&amp;"' AS TIPOLOGIA_TESTE,'"&amp;D112&amp;"' AS TABELA_LT,'N/A' AS TABELA_SIMUL,'"&amp;F112&amp;"' AS CAMPO, "&amp;"'${ref_date}' AS REF_DATE, CAST(MIN("&amp;F112&amp;") AS STRING) AS VALOR_MIN, CAST(MAX("&amp;F112&amp;") AS STRING) AS VALOR_MAX,'"&amp;MAX('ID1&amp;5'!K:K)+1&amp;"' AS ID_EXEC, CURRENT_TIMESTAMP() AS TIME_EXEC FROM "&amp;MID(I112,1,LEN(I112)-2)&amp;" AND CAST("&amp;F112&amp;"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TABELA_SIMUL,'PRJCT_FNNC_LN' AS CAMPO, '${ref_date}' AS REF_DATE, COUNT(*) AS NUM_REG, SUM(IF(TRIM(CAST(X.PRJCT_FNNC_LN AS STRING))='' OR TRIM(CAST(X.PRJCT_FNNC_LN AS STRING)) IS NULL,1,0)) AS NUM_REG_DIF,'10' AS ID_EXEC, CURRENT_TIMESTAMP() AS TIME_EXEC FROM (SELECT instrmnt_id, PRJCT_FNNC_LN FROM BU_LOANTAPE_WORK.LT002_INSTRUMENT WHERE ref_date='${ref_date}' AND nome_perimetro='Individual Corporativo' AND segmento='ESTR' AND ambito='PILAR3')X</v>
      </c>
      <c r="M112" s="43" t="str">
        <f t="shared" si="1"/>
        <v>UNION ALL SELECT 'INSTRUMENT' AS TABELA, 'VALIDADE' AS TIPOLOGIA_TESTE,'BU_LOANTAPE_WORK.LT002_INSTRUMENT' AS TABELA_LT,'N/A' AS TABELA_SIMUL,'PRJCT_FNNC_LN' AS CAMPO, '${ref_date}' AS REF_DATE, COUNT(*) AS NUM_REG, SUM(IF(TRIM(CAST(X.PRJCT_FNNC_LN AS STRING))='' OR TRIM(CAST(X.PRJCT_FNNC_LN AS STRING)) IS NULL,1,0)) AS NUM_REG_DIF,'10' AS ID_EXEC, CURRENT_TIMESTAMP() AS TIME_EXEC FROM (SELECT instrmnt_id, PRJCT_FNNC_LN FROM BU_LOANTAPE_WORK.LT002_INSTRUMENT WHERE ref_date='${ref_date}' AND nome_perimetro='Individual Corporativo' AND segmento='ESTR' AND ambito='PILAR3')X</v>
      </c>
      <c r="N112" s="45" t="s">
        <v>13</v>
      </c>
    </row>
    <row r="113" spans="2:14">
      <c r="B113" s="41" t="s">
        <v>27</v>
      </c>
      <c r="C113" s="41" t="s">
        <v>75</v>
      </c>
      <c r="D113" s="41" t="str">
        <f>+UPPER('0. Instruções'!$D$33&amp;"."&amp;VLOOKUP(B113,'0. Instruções'!$C$27:$D$31,2,FALSE))</f>
        <v>BU_LOANTAPE_WORK.LT002_INSTRUMENT</v>
      </c>
      <c r="E113" s="41" t="str">
        <f>+UPPER('0. Instruções'!$D$34&amp;"."&amp;VLOOKUP(B113,'0. Instruções'!$C$27:$E$31,3,FALSE))</f>
        <v>BU_LOANTAPE_WORK.LT002_INSTRUMENT_P3_NOV24</v>
      </c>
      <c r="F113" s="41" t="s">
        <v>163</v>
      </c>
      <c r="G113" s="41" t="s">
        <v>13</v>
      </c>
      <c r="H113" s="41"/>
      <c r="I113" s="41" t="str">
        <f>"(SELECT "&amp;VLOOKUP(B113,'0. Instruções'!$C$27:$G$31,4,FALSE)&amp;", "&amp;F113&amp;" FROM "&amp;D113&amp;" WHERE "&amp;'0. Instruções'!$D$40&amp;")X"</f>
        <v>(SELECT instrmnt_id, TYP_INSTRMNT FROM BU_LOANTAPE_WORK.LT002_INSTRUMENT WHERE ref_date='${ref_date}' AND nome_perimetro='Individual Corporativo' AND segmento='ESTR' AND ambito='PILAR3')X</v>
      </c>
      <c r="J113" s="41" t="str">
        <f>"(SELECT "&amp;VLOOKUP(B113,'0. Instruções'!$C$27:$G$31,4,FALSE)&amp;" AS "&amp;VLOOKUP(B113,'0. Instruções'!$C$27:$G$31,4,FALSE)&amp;"_SIMUL, "&amp;F113&amp;" AS "&amp;F113&amp;"_SIMUL FROM "&amp;E113&amp;")Y"</f>
        <v>(SELECT instrmnt_id AS instrmnt_id_SIMUL, TYP_INSTRMNT AS TYP_INSTRMNT_SIMUL FROM BU_LOANTAPE_WORK.LT002_INSTRUMENT_P3_NOV24)Y</v>
      </c>
      <c r="K113" s="42" t="str">
        <f>+UPPER("ON X."&amp;VLOOKUP(B113,'0. Instruções'!$C$27:$G$31,4,FALSE)&amp;"=Y."&amp;VLOOKUP(B113,'0. Instruções'!$C$27:$G$31,4,FALSE)&amp;"_SIMUL")</f>
        <v>ON X.INSTRMNT_ID=Y.INSTRMNT_ID_SIMUL</v>
      </c>
      <c r="L113" s="42" t="str">
        <f>+IF(C113="Coerência", +IF(LEFT(G113,5)="FLOAT","SELECT '"&amp;UPPER(B113)&amp;"' AS TABELA, '"&amp;UPPER(C113)&amp;"' AS TIPOLOGIA_TESTE,'"&amp;D113&amp;"' AS TABELA_LT,'"&amp;E113&amp;"' AS TABELA_SIMUL,'"&amp;F113&amp;"' AS CAMPO, "&amp;"'${ref_date}' AS REF_DATE, COUNT(*) AS NUM_REG, SUM(IF((ABS(COALESCE(X."&amp;F113&amp;",0)-COALESCE(Y."&amp;F113&amp;"_SIMUL,0))&gt;0.0000000001) OR (X."&amp;F113&amp;" IS NULL AND Y."&amp;F113&amp;"_SIMUL IS NOT NULL ) OR (X."&amp;F113&amp;" IS NOT NULL AND Y."&amp;F113&amp;"_SIMUL IS NULL),1,0)) AS NUM_REG_DIF,'"&amp;MAX('ID1&amp;5'!K:K)+1&amp;"' AS ID_EXEC, CURRENT_TIMESTAMP() AS TIME_EXEC FROM "&amp;I113&amp;" INNER JOIN "&amp;J113&amp;" "&amp;K113,"SELECT '"&amp;UPPER(B113)&amp;"' AS TABELA, '"&amp;UPPER(C113)&amp;"' AS TIPOLOGIA_TESTE,'"&amp;D113&amp;"' AS TABELA_LT,'"&amp;E113&amp;"' AS TABELA_SIMUL,'"&amp;F113&amp;"' AS CAMPO, "&amp;"'${ref_date}' AS REF_DATE, COUNT(*) AS NUM_REG, SUM(IF(COALESCE(CAST(X."&amp;F113&amp;" AS STRING),'')&lt;&gt;COALESCE(CAST(Y."&amp;F113&amp;"_SIMUL AS STRING),''),1,0)) AS NUM_REG_DIF,'"&amp;MAX('ID1&amp;5'!L:L)+1&amp;"' AS ID_EXEC, CURRENT_TIMESTAMP() AS TIME_EXEC FROM "&amp;I113&amp;" INNER JOIN "&amp;J113&amp;" "&amp;K113),
IF(C113="Validade",+IF(G113="Code List","SELECT '"&amp;UPPER(B113)&amp;"' AS TABELA, '"&amp;UPPER(C113)&amp;"' AS TIPOLOGIA_TESTE,'"&amp;D113&amp;"' AS TABELA_LT,'N/A' AS TABELA_SIMUL,'"&amp;F113&amp;"' AS CAMPO, "&amp;"'${ref_date}' AS REF_DATE, COUNT(*) AS NUM_REG, SUM(IF(TRIM(CAST(X."&amp;F113&amp;" AS STRING))='' OR TRIM(CAST(X."&amp;F113&amp;" AS STRING)) IS NULL OR CAST(X."&amp;F113&amp;" AS STRING) NOT "&amp;H113&amp;",1,0)) AS NUM_REG_DIF,'"&amp;MAX('ID1&amp;5'!K:K)+1&amp;"' AS ID_EXEC, CURRENT_TIMESTAMP() AS TIME_EXEC FROM "&amp;I113,"SELECT '"&amp;UPPER(B113)&amp;"' AS TABELA, '"&amp;UPPER(C113)&amp;"' AS TIPOLOGIA_TESTE,'"&amp;D113&amp;"' AS TABELA_LT,'N/A' AS TABELA_SIMUL,'"&amp;F113&amp;"' AS CAMPO, "&amp;"'${ref_date}' AS REF_DATE, COUNT(*) AS NUM_REG, SUM(IF(TRIM(CAST(X."&amp;F113&amp;" AS STRING))='' OR TRIM(CAST(X."&amp;F113&amp;" AS STRING)) IS NULL,1,0)) AS NUM_REG_DIF,'"&amp;MAX('ID1&amp;5'!K:K)+1&amp;"' AS ID_EXEC, CURRENT_TIMESTAMP() AS TIME_EXEC FROM "&amp;I113),
IF(C113="Caracteres Especiais",+"SELECT '"&amp;UPPER(B113)&amp;"' AS TABELA, '"&amp;UPPER(C113)&amp;"' AS TIPOLOGIA_TESTE,'"&amp;D113&amp;"' AS TABELA_LT,'N/A' AS TABELA_SIMUL,'"&amp;F113&amp;"' AS CAMPO, "&amp;"'${ref_date}' AS REF_DATE, COUNT(*) AS NUM_REG, SUM(IF(INSTR(CAST(X."&amp;F113&amp;" AS STRING),'#')&gt;0 OR INSTR(CAST(X."&amp;F113&amp;" AS STRING),'*')&gt;0 OR INSTR(CAST(X."&amp;F113&amp;" AS STRING),'`')&gt;0 OR INSTR(CAST(X."&amp;F113&amp;" AS STRING),'´')&gt;0 OR INSTR(CAST(X."&amp;F113&amp;" AS STRING),'{')&gt;0 OR INSTR(CAST(X."&amp;F113&amp;" AS STRING),'}')&gt;0 OR INSTR(CAST(X."&amp;F113&amp;" AS STRING),'[')&gt;0 OR INSTR(CAST(X."&amp;F113&amp;" AS STRING),'')&gt;0 OR INSTR(CAST(X."&amp;F113&amp;" AS STRING),']')&gt;0 OR INSTR(CAST(X."&amp;F113&amp;" AS STRING),'?')&gt;0 OR INSTR(CAST(X."&amp;F113&amp;" AS STRING),'!')&gt;0 OR INSTR(CAST(X."&amp;F113&amp;" AS STRING),'$')&gt;0 OR INSTR(CAST(X."&amp;F113&amp;" AS STRING),'%')&gt;0 OR INSTR(CAST(X."&amp;F113&amp;" AS STRING),'&amp;')&gt;0 OR INSTR(CAST(X."&amp;F113&amp;" AS STRING),'+')&gt;0,1,0)) AS NUM_REG_DIF,'"&amp;MAX('ID1&amp;5'!K:K)+1&amp;"' AS ID_EXEC, CURRENT_TIMESTAMP() AS TIME_EXEC FROM "&amp;I113,
IF(C113="Missings",+"SELECT '"&amp;UPPER(B113)&amp;"' AS TABELA, '"&amp;UPPER(C113)&amp;"' AS TIPOLOGIA_TESTE,'"&amp;D113&amp;"' AS TABELA_LT,'N/A' AS TABELA_SIMUL,'"&amp;F113&amp;"' AS CAMPO, "&amp;"'${ref_date}' AS REF_DATE, COUNT(*) AS NUM_REG, SUM(IF(TRIM(CAST(X."&amp;F113&amp;" AS STRING)) IN ('0000-00-00','0001-01-01','9999-12-31','MISS','00000','99999999999','99999999999.00','99999999999.000000'),1,0)) AS NUM_REG_DIF,'"&amp;MAX('ID1&amp;5'!K:K)+1&amp;"' AS ID_EXEC, CURRENT_TIMESTAMP() AS TIME_EXEC FROM "&amp;I113,
IF(C113="Not applicable",+"SELECT '"&amp;UPPER(B113)&amp;"' AS TABELA, '"&amp;UPPER(C113)&amp;"' AS TIPOLOGIA_TESTE,'"&amp;D113&amp;"' AS TABELA_LT,'N/A' AS TABELA_SIMUL,'"&amp;F113&amp;"' AS CAMPO, "&amp;"'${ref_date}' AS REF_DATE, COUNT(*) AS NUM_REG, SUM(IF(TRIM(CAST(X."&amp;F113&amp;" AS STRING)) IN ('N/A','11111111111','11111111111.00','11111111111.000000','1111-11-11'),1,0)) AS NUM_REG_DIF,'"&amp;MAX('ID1&amp;5'!K:K)+1&amp;"' AS ID_EXEC, CURRENT_TIMESTAMP() AS TIME_EXEC FROM "&amp;I113,
IF(C113="Valores extremos",+"SELECT '"&amp;UPPER(B113)&amp;"' AS TABELA, '"&amp;UPPER(C113)&amp;"' AS TIPOLOGIA_TESTE,'"&amp;D113&amp;"' AS TABELA_LT,'N/A' AS TABELA_SIMUL,'"&amp;F113&amp;"' AS CAMPO, "&amp;"'${ref_date}' AS REF_DATE, CAST(MIN("&amp;F113&amp;") AS STRING) AS VALOR_MIN, CAST(MAX("&amp;F113&amp;") AS STRING) AS VALOR_MAX,'"&amp;MAX('ID1&amp;5'!K:K)+1&amp;"' AS ID_EXEC, CURRENT_TIMESTAMP() AS TIME_EXEC FROM "&amp;MID(I113,1,LEN(I113)-2)&amp;" AND CAST("&amp;F113&amp;"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TABELA_SIMUL,'TYP_INSTRMNT' AS CAMPO, '${ref_date}' AS REF_DATE, COUNT(*) AS NUM_REG, SUM(IF(TRIM(CAST(X.TYP_INSTRMNT AS STRING))='' OR TRIM(CAST(X.TYP_INSTRMNT AS STRING)) IS NULL,1,0)) AS NUM_REG_DIF,'10' AS ID_EXEC, CURRENT_TIMESTAMP() AS TIME_EXEC FROM (SELECT instrmnt_id, TYP_INSTRMNT FROM BU_LOANTAPE_WORK.LT002_INSTRUMENT WHERE ref_date='${ref_date}' AND nome_perimetro='Individual Corporativo' AND segmento='ESTR' AND ambito='PILAR3')X</v>
      </c>
      <c r="M113" s="43" t="str">
        <f t="shared" si="1"/>
        <v>UNION ALL SELECT 'INSTRUMENT' AS TABELA, 'VALIDADE' AS TIPOLOGIA_TESTE,'BU_LOANTAPE_WORK.LT002_INSTRUMENT' AS TABELA_LT,'N/A' AS TABELA_SIMUL,'TYP_INSTRMNT' AS CAMPO, '${ref_date}' AS REF_DATE, COUNT(*) AS NUM_REG, SUM(IF(TRIM(CAST(X.TYP_INSTRMNT AS STRING))='' OR TRIM(CAST(X.TYP_INSTRMNT AS STRING)) IS NULL,1,0)) AS NUM_REG_DIF,'10' AS ID_EXEC, CURRENT_TIMESTAMP() AS TIME_EXEC FROM (SELECT instrmnt_id, TYP_INSTRMNT FROM BU_LOANTAPE_WORK.LT002_INSTRUMENT WHERE ref_date='${ref_date}' AND nome_perimetro='Individual Corporativo' AND segmento='ESTR' AND ambito='PILAR3')X</v>
      </c>
      <c r="N113" s="45" t="s">
        <v>13</v>
      </c>
    </row>
    <row r="114" spans="2:14">
      <c r="B114" s="41" t="s">
        <v>27</v>
      </c>
      <c r="C114" s="41" t="s">
        <v>75</v>
      </c>
      <c r="D114" s="41" t="str">
        <f>+UPPER('0. Instruções'!$D$33&amp;"."&amp;VLOOKUP(B114,'0. Instruções'!$C$27:$D$31,2,FALSE))</f>
        <v>BU_LOANTAPE_WORK.LT002_INSTRUMENT</v>
      </c>
      <c r="E114" s="41" t="str">
        <f>+UPPER('0. Instruções'!$D$34&amp;"."&amp;VLOOKUP(B114,'0. Instruções'!$C$27:$E$31,3,FALSE))</f>
        <v>BU_LOANTAPE_WORK.LT002_INSTRUMENT_P3_NOV24</v>
      </c>
      <c r="F114" s="41" t="s">
        <v>164</v>
      </c>
      <c r="G114" s="41" t="s">
        <v>13</v>
      </c>
      <c r="H114" s="41"/>
      <c r="I114" s="41" t="str">
        <f>"(SELECT "&amp;VLOOKUP(B114,'0. Instruções'!$C$27:$G$31,4,FALSE)&amp;", "&amp;F114&amp;" FROM "&amp;D114&amp;" WHERE "&amp;'0. Instruções'!$D$40&amp;")X"</f>
        <v>(SELECT instrmnt_id, GRSS_CRRYNG_AMNT_INSTRMNT FROM BU_LOANTAPE_WORK.LT002_INSTRUMENT WHERE ref_date='${ref_date}' AND nome_perimetro='Individual Corporativo' AND segmento='ESTR' AND ambito='PILAR3')X</v>
      </c>
      <c r="J114" s="41" t="str">
        <f>"(SELECT "&amp;VLOOKUP(B114,'0. Instruções'!$C$27:$G$31,4,FALSE)&amp;" AS "&amp;VLOOKUP(B114,'0. Instruções'!$C$27:$G$31,4,FALSE)&amp;"_SIMUL, "&amp;F114&amp;" AS "&amp;F114&amp;"_SIMUL FROM "&amp;E114&amp;")Y"</f>
        <v>(SELECT instrmnt_id AS instrmnt_id_SIMUL, GRSS_CRRYNG_AMNT_INSTRMNT AS GRSS_CRRYNG_AMNT_INSTRMNT_SIMUL FROM BU_LOANTAPE_WORK.LT002_INSTRUMENT_P3_NOV24)Y</v>
      </c>
      <c r="K114" s="42" t="str">
        <f>+UPPER("ON X."&amp;VLOOKUP(B114,'0. Instruções'!$C$27:$G$31,4,FALSE)&amp;"=Y."&amp;VLOOKUP(B114,'0. Instruções'!$C$27:$G$31,4,FALSE)&amp;"_SIMUL")</f>
        <v>ON X.INSTRMNT_ID=Y.INSTRMNT_ID_SIMUL</v>
      </c>
      <c r="L114" s="42" t="str">
        <f>+IF(C114="Coerência", +IF(LEFT(G114,5)="FLOAT","SELECT '"&amp;UPPER(B114)&amp;"' AS TABELA, '"&amp;UPPER(C114)&amp;"' AS TIPOLOGIA_TESTE,'"&amp;D114&amp;"' AS TABELA_LT,'"&amp;E114&amp;"' AS TABELA_SIMUL,'"&amp;F114&amp;"' AS CAMPO, "&amp;"'${ref_date}' AS REF_DATE, COUNT(*) AS NUM_REG, SUM(IF((ABS(COALESCE(X."&amp;F114&amp;",0)-COALESCE(Y."&amp;F114&amp;"_SIMUL,0))&gt;0.0000000001) OR (X."&amp;F114&amp;" IS NULL AND Y."&amp;F114&amp;"_SIMUL IS NOT NULL ) OR (X."&amp;F114&amp;" IS NOT NULL AND Y."&amp;F114&amp;"_SIMUL IS NULL),1,0)) AS NUM_REG_DIF,'"&amp;MAX('ID1&amp;5'!K:K)+1&amp;"' AS ID_EXEC, CURRENT_TIMESTAMP() AS TIME_EXEC FROM "&amp;I114&amp;" INNER JOIN "&amp;J114&amp;" "&amp;K114,"SELECT '"&amp;UPPER(B114)&amp;"' AS TABELA, '"&amp;UPPER(C114)&amp;"' AS TIPOLOGIA_TESTE,'"&amp;D114&amp;"' AS TABELA_LT,'"&amp;E114&amp;"' AS TABELA_SIMUL,'"&amp;F114&amp;"' AS CAMPO, "&amp;"'${ref_date}' AS REF_DATE, COUNT(*) AS NUM_REG, SUM(IF(COALESCE(CAST(X."&amp;F114&amp;" AS STRING),'')&lt;&gt;COALESCE(CAST(Y."&amp;F114&amp;"_SIMUL AS STRING),''),1,0)) AS NUM_REG_DIF,'"&amp;MAX('ID1&amp;5'!L:L)+1&amp;"' AS ID_EXEC, CURRENT_TIMESTAMP() AS TIME_EXEC FROM "&amp;I114&amp;" INNER JOIN "&amp;J114&amp;" "&amp;K114),
IF(C114="Validade",+IF(G114="Code List","SELECT '"&amp;UPPER(B114)&amp;"' AS TABELA, '"&amp;UPPER(C114)&amp;"' AS TIPOLOGIA_TESTE,'"&amp;D114&amp;"' AS TABELA_LT,'N/A' AS TABELA_SIMUL,'"&amp;F114&amp;"' AS CAMPO, "&amp;"'${ref_date}' AS REF_DATE, COUNT(*) AS NUM_REG, SUM(IF(TRIM(CAST(X."&amp;F114&amp;" AS STRING))='' OR TRIM(CAST(X."&amp;F114&amp;" AS STRING)) IS NULL OR CAST(X."&amp;F114&amp;" AS STRING) NOT "&amp;H114&amp;",1,0)) AS NUM_REG_DIF,'"&amp;MAX('ID1&amp;5'!K:K)+1&amp;"' AS ID_EXEC, CURRENT_TIMESTAMP() AS TIME_EXEC FROM "&amp;I114,"SELECT '"&amp;UPPER(B114)&amp;"' AS TABELA, '"&amp;UPPER(C114)&amp;"' AS TIPOLOGIA_TESTE,'"&amp;D114&amp;"' AS TABELA_LT,'N/A' AS TABELA_SIMUL,'"&amp;F114&amp;"' AS CAMPO, "&amp;"'${ref_date}' AS REF_DATE, COUNT(*) AS NUM_REG, SUM(IF(TRIM(CAST(X."&amp;F114&amp;" AS STRING))='' OR TRIM(CAST(X."&amp;F114&amp;" AS STRING)) IS NULL,1,0)) AS NUM_REG_DIF,'"&amp;MAX('ID1&amp;5'!K:K)+1&amp;"' AS ID_EXEC, CURRENT_TIMESTAMP() AS TIME_EXEC FROM "&amp;I114),
IF(C114="Caracteres Especiais",+"SELECT '"&amp;UPPER(B114)&amp;"' AS TABELA, '"&amp;UPPER(C114)&amp;"' AS TIPOLOGIA_TESTE,'"&amp;D114&amp;"' AS TABELA_LT,'N/A' AS TABELA_SIMUL,'"&amp;F114&amp;"' AS CAMPO, "&amp;"'${ref_date}' AS REF_DATE, COUNT(*) AS NUM_REG, SUM(IF(INSTR(CAST(X."&amp;F114&amp;" AS STRING),'#')&gt;0 OR INSTR(CAST(X."&amp;F114&amp;" AS STRING),'*')&gt;0 OR INSTR(CAST(X."&amp;F114&amp;" AS STRING),'`')&gt;0 OR INSTR(CAST(X."&amp;F114&amp;" AS STRING),'´')&gt;0 OR INSTR(CAST(X."&amp;F114&amp;" AS STRING),'{')&gt;0 OR INSTR(CAST(X."&amp;F114&amp;" AS STRING),'}')&gt;0 OR INSTR(CAST(X."&amp;F114&amp;" AS STRING),'[')&gt;0 OR INSTR(CAST(X."&amp;F114&amp;" AS STRING),'')&gt;0 OR INSTR(CAST(X."&amp;F114&amp;" AS STRING),']')&gt;0 OR INSTR(CAST(X."&amp;F114&amp;" AS STRING),'?')&gt;0 OR INSTR(CAST(X."&amp;F114&amp;" AS STRING),'!')&gt;0 OR INSTR(CAST(X."&amp;F114&amp;" AS STRING),'$')&gt;0 OR INSTR(CAST(X."&amp;F114&amp;" AS STRING),'%')&gt;0 OR INSTR(CAST(X."&amp;F114&amp;" AS STRING),'&amp;')&gt;0 OR INSTR(CAST(X."&amp;F114&amp;" AS STRING),'+')&gt;0,1,0)) AS NUM_REG_DIF,'"&amp;MAX('ID1&amp;5'!K:K)+1&amp;"' AS ID_EXEC, CURRENT_TIMESTAMP() AS TIME_EXEC FROM "&amp;I114,
IF(C114="Missings",+"SELECT '"&amp;UPPER(B114)&amp;"' AS TABELA, '"&amp;UPPER(C114)&amp;"' AS TIPOLOGIA_TESTE,'"&amp;D114&amp;"' AS TABELA_LT,'N/A' AS TABELA_SIMUL,'"&amp;F114&amp;"' AS CAMPO, "&amp;"'${ref_date}' AS REF_DATE, COUNT(*) AS NUM_REG, SUM(IF(TRIM(CAST(X."&amp;F114&amp;" AS STRING)) IN ('0000-00-00','0001-01-01','9999-12-31','MISS','00000','99999999999','99999999999.00','99999999999.000000'),1,0)) AS NUM_REG_DIF,'"&amp;MAX('ID1&amp;5'!K:K)+1&amp;"' AS ID_EXEC, CURRENT_TIMESTAMP() AS TIME_EXEC FROM "&amp;I114,
IF(C114="Not applicable",+"SELECT '"&amp;UPPER(B114)&amp;"' AS TABELA, '"&amp;UPPER(C114)&amp;"' AS TIPOLOGIA_TESTE,'"&amp;D114&amp;"' AS TABELA_LT,'N/A' AS TABELA_SIMUL,'"&amp;F114&amp;"' AS CAMPO, "&amp;"'${ref_date}' AS REF_DATE, COUNT(*) AS NUM_REG, SUM(IF(TRIM(CAST(X."&amp;F114&amp;" AS STRING)) IN ('N/A','11111111111','11111111111.00','11111111111.000000','1111-11-11'),1,0)) AS NUM_REG_DIF,'"&amp;MAX('ID1&amp;5'!K:K)+1&amp;"' AS ID_EXEC, CURRENT_TIMESTAMP() AS TIME_EXEC FROM "&amp;I114,
IF(C114="Valores extremos",+"SELECT '"&amp;UPPER(B114)&amp;"' AS TABELA, '"&amp;UPPER(C114)&amp;"' AS TIPOLOGIA_TESTE,'"&amp;D114&amp;"' AS TABELA_LT,'N/A' AS TABELA_SIMUL,'"&amp;F114&amp;"' AS CAMPO, "&amp;"'${ref_date}' AS REF_DATE, CAST(MIN("&amp;F114&amp;") AS STRING) AS VALOR_MIN, CAST(MAX("&amp;F114&amp;") AS STRING) AS VALOR_MAX,'"&amp;MAX('ID1&amp;5'!K:K)+1&amp;"' AS ID_EXEC, CURRENT_TIMESTAMP() AS TIME_EXEC FROM "&amp;MID(I114,1,LEN(I114)-2)&amp;" AND CAST("&amp;F114&amp;"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TABELA_SIMUL,'GRSS_CRRYNG_AMNT_INSTRMNT' AS CAMPO, '${ref_date}' AS REF_DATE, COUNT(*) AS NUM_REG, SUM(IF(TRIM(CAST(X.GRSS_CRRYNG_AMNT_INSTRMNT AS STRING))='' OR TRIM(CAST(X.GRSS_CRRYNG_AMNT_INSTRMNT AS STRING)) IS NULL,1,0)) AS NUM_REG_DIF,'10' AS ID_EXEC, CURRENT_TIMESTAMP() AS TIME_EXEC FROM (SELECT instrmnt_id, GRSS_CRRYNG_AMNT_INSTRMNT FROM BU_LOANTAPE_WORK.LT002_INSTRUMENT WHERE ref_date='${ref_date}' AND nome_perimetro='Individual Corporativo' AND segmento='ESTR' AND ambito='PILAR3')X</v>
      </c>
      <c r="M114" s="43" t="str">
        <f t="shared" si="1"/>
        <v>UNION ALL SELECT 'INSTRUMENT' AS TABELA, 'VALIDADE' AS TIPOLOGIA_TESTE,'BU_LOANTAPE_WORK.LT002_INSTRUMENT' AS TABELA_LT,'N/A' AS TABELA_SIMUL,'GRSS_CRRYNG_AMNT_INSTRMNT' AS CAMPO, '${ref_date}' AS REF_DATE, COUNT(*) AS NUM_REG, SUM(IF(TRIM(CAST(X.GRSS_CRRYNG_AMNT_INSTRMNT AS STRING))='' OR TRIM(CAST(X.GRSS_CRRYNG_AMNT_INSTRMNT AS STRING)) IS NULL,1,0)) AS NUM_REG_DIF,'10' AS ID_EXEC, CURRENT_TIMESTAMP() AS TIME_EXEC FROM (SELECT instrmnt_id, GRSS_CRRYNG_AMNT_INSTRMNT FROM BU_LOANTAPE_WORK.LT002_INSTRUMENT WHERE ref_date='${ref_date}' AND nome_perimetro='Individual Corporativo' AND segmento='ESTR' AND ambito='PILAR3')X</v>
      </c>
      <c r="N114" s="45" t="s">
        <v>13</v>
      </c>
    </row>
    <row r="115" spans="2:14">
      <c r="B115" s="41" t="s">
        <v>27</v>
      </c>
      <c r="C115" s="41" t="s">
        <v>75</v>
      </c>
      <c r="D115" s="41" t="str">
        <f>+UPPER('0. Instruções'!$D$33&amp;"."&amp;VLOOKUP(B115,'0. Instruções'!$C$27:$D$31,2,FALSE))</f>
        <v>BU_LOANTAPE_WORK.LT002_INSTRUMENT</v>
      </c>
      <c r="E115" s="41" t="str">
        <f>+UPPER('0. Instruções'!$D$34&amp;"."&amp;VLOOKUP(B115,'0. Instruções'!$C$27:$E$31,3,FALSE))</f>
        <v>BU_LOANTAPE_WORK.LT002_INSTRUMENT_P3_NOV24</v>
      </c>
      <c r="F115" s="41" t="s">
        <v>165</v>
      </c>
      <c r="G115" s="41" t="s">
        <v>13</v>
      </c>
      <c r="H115" s="41"/>
      <c r="I115" s="41" t="str">
        <f>"(SELECT "&amp;VLOOKUP(B115,'0. Instruções'!$C$27:$G$31,4,FALSE)&amp;", "&amp;F115&amp;" FROM "&amp;D115&amp;" WHERE "&amp;'0. Instruções'!$D$40&amp;")X"</f>
        <v>(SELECT instrmnt_id, ACCMLTD_CHNGS_FV_CR_INSTRMNT FROM BU_LOANTAPE_WORK.LT002_INSTRUMENT WHERE ref_date='${ref_date}' AND nome_perimetro='Individual Corporativo' AND segmento='ESTR' AND ambito='PILAR3')X</v>
      </c>
      <c r="J115" s="41" t="str">
        <f>"(SELECT "&amp;VLOOKUP(B115,'0. Instruções'!$C$27:$G$31,4,FALSE)&amp;" AS "&amp;VLOOKUP(B115,'0. Instruções'!$C$27:$G$31,4,FALSE)&amp;"_SIMUL, "&amp;F115&amp;" AS "&amp;F115&amp;"_SIMUL FROM "&amp;E115&amp;")Y"</f>
        <v>(SELECT instrmnt_id AS instrmnt_id_SIMUL, ACCMLTD_CHNGS_FV_CR_INSTRMNT AS ACCMLTD_CHNGS_FV_CR_INSTRMNT_SIMUL FROM BU_LOANTAPE_WORK.LT002_INSTRUMENT_P3_NOV24)Y</v>
      </c>
      <c r="K115" s="42" t="str">
        <f>+UPPER("ON X."&amp;VLOOKUP(B115,'0. Instruções'!$C$27:$G$31,4,FALSE)&amp;"=Y."&amp;VLOOKUP(B115,'0. Instruções'!$C$27:$G$31,4,FALSE)&amp;"_SIMUL")</f>
        <v>ON X.INSTRMNT_ID=Y.INSTRMNT_ID_SIMUL</v>
      </c>
      <c r="L115" s="42" t="str">
        <f>+IF(C115="Coerência", +IF(LEFT(G115,5)="FLOAT","SELECT '"&amp;UPPER(B115)&amp;"' AS TABELA, '"&amp;UPPER(C115)&amp;"' AS TIPOLOGIA_TESTE,'"&amp;D115&amp;"' AS TABELA_LT,'"&amp;E115&amp;"' AS TABELA_SIMUL,'"&amp;F115&amp;"' AS CAMPO, "&amp;"'${ref_date}' AS REF_DATE, COUNT(*) AS NUM_REG, SUM(IF((ABS(COALESCE(X."&amp;F115&amp;",0)-COALESCE(Y."&amp;F115&amp;"_SIMUL,0))&gt;0.0000000001) OR (X."&amp;F115&amp;" IS NULL AND Y."&amp;F115&amp;"_SIMUL IS NOT NULL ) OR (X."&amp;F115&amp;" IS NOT NULL AND Y."&amp;F115&amp;"_SIMUL IS NULL),1,0)) AS NUM_REG_DIF,'"&amp;MAX('ID1&amp;5'!K:K)+1&amp;"' AS ID_EXEC, CURRENT_TIMESTAMP() AS TIME_EXEC FROM "&amp;I115&amp;" INNER JOIN "&amp;J115&amp;" "&amp;K115,"SELECT '"&amp;UPPER(B115)&amp;"' AS TABELA, '"&amp;UPPER(C115)&amp;"' AS TIPOLOGIA_TESTE,'"&amp;D115&amp;"' AS TABELA_LT,'"&amp;E115&amp;"' AS TABELA_SIMUL,'"&amp;F115&amp;"' AS CAMPO, "&amp;"'${ref_date}' AS REF_DATE, COUNT(*) AS NUM_REG, SUM(IF(COALESCE(CAST(X."&amp;F115&amp;" AS STRING),'')&lt;&gt;COALESCE(CAST(Y."&amp;F115&amp;"_SIMUL AS STRING),''),1,0)) AS NUM_REG_DIF,'"&amp;MAX('ID1&amp;5'!L:L)+1&amp;"' AS ID_EXEC, CURRENT_TIMESTAMP() AS TIME_EXEC FROM "&amp;I115&amp;" INNER JOIN "&amp;J115&amp;" "&amp;K115),
IF(C115="Validade",+IF(G115="Code List","SELECT '"&amp;UPPER(B115)&amp;"' AS TABELA, '"&amp;UPPER(C115)&amp;"' AS TIPOLOGIA_TESTE,'"&amp;D115&amp;"' AS TABELA_LT,'N/A' AS TABELA_SIMUL,'"&amp;F115&amp;"' AS CAMPO, "&amp;"'${ref_date}' AS REF_DATE, COUNT(*) AS NUM_REG, SUM(IF(TRIM(CAST(X."&amp;F115&amp;" AS STRING))='' OR TRIM(CAST(X."&amp;F115&amp;" AS STRING)) IS NULL OR CAST(X."&amp;F115&amp;" AS STRING) NOT "&amp;H115&amp;",1,0)) AS NUM_REG_DIF,'"&amp;MAX('ID1&amp;5'!K:K)+1&amp;"' AS ID_EXEC, CURRENT_TIMESTAMP() AS TIME_EXEC FROM "&amp;I115,"SELECT '"&amp;UPPER(B115)&amp;"' AS TABELA, '"&amp;UPPER(C115)&amp;"' AS TIPOLOGIA_TESTE,'"&amp;D115&amp;"' AS TABELA_LT,'N/A' AS TABELA_SIMUL,'"&amp;F115&amp;"' AS CAMPO, "&amp;"'${ref_date}' AS REF_DATE, COUNT(*) AS NUM_REG, SUM(IF(TRIM(CAST(X."&amp;F115&amp;" AS STRING))='' OR TRIM(CAST(X."&amp;F115&amp;" AS STRING)) IS NULL,1,0)) AS NUM_REG_DIF,'"&amp;MAX('ID1&amp;5'!K:K)+1&amp;"' AS ID_EXEC, CURRENT_TIMESTAMP() AS TIME_EXEC FROM "&amp;I115),
IF(C115="Caracteres Especiais",+"SELECT '"&amp;UPPER(B115)&amp;"' AS TABELA, '"&amp;UPPER(C115)&amp;"' AS TIPOLOGIA_TESTE,'"&amp;D115&amp;"' AS TABELA_LT,'N/A' AS TABELA_SIMUL,'"&amp;F115&amp;"' AS CAMPO, "&amp;"'${ref_date}' AS REF_DATE, COUNT(*) AS NUM_REG, SUM(IF(INSTR(CAST(X."&amp;F115&amp;" AS STRING),'#')&gt;0 OR INSTR(CAST(X."&amp;F115&amp;" AS STRING),'*')&gt;0 OR INSTR(CAST(X."&amp;F115&amp;" AS STRING),'`')&gt;0 OR INSTR(CAST(X."&amp;F115&amp;" AS STRING),'´')&gt;0 OR INSTR(CAST(X."&amp;F115&amp;" AS STRING),'{')&gt;0 OR INSTR(CAST(X."&amp;F115&amp;" AS STRING),'}')&gt;0 OR INSTR(CAST(X."&amp;F115&amp;" AS STRING),'[')&gt;0 OR INSTR(CAST(X."&amp;F115&amp;" AS STRING),'')&gt;0 OR INSTR(CAST(X."&amp;F115&amp;" AS STRING),']')&gt;0 OR INSTR(CAST(X."&amp;F115&amp;" AS STRING),'?')&gt;0 OR INSTR(CAST(X."&amp;F115&amp;" AS STRING),'!')&gt;0 OR INSTR(CAST(X."&amp;F115&amp;" AS STRING),'$')&gt;0 OR INSTR(CAST(X."&amp;F115&amp;" AS STRING),'%')&gt;0 OR INSTR(CAST(X."&amp;F115&amp;" AS STRING),'&amp;')&gt;0 OR INSTR(CAST(X."&amp;F115&amp;" AS STRING),'+')&gt;0,1,0)) AS NUM_REG_DIF,'"&amp;MAX('ID1&amp;5'!K:K)+1&amp;"' AS ID_EXEC, CURRENT_TIMESTAMP() AS TIME_EXEC FROM "&amp;I115,
IF(C115="Missings",+"SELECT '"&amp;UPPER(B115)&amp;"' AS TABELA, '"&amp;UPPER(C115)&amp;"' AS TIPOLOGIA_TESTE,'"&amp;D115&amp;"' AS TABELA_LT,'N/A' AS TABELA_SIMUL,'"&amp;F115&amp;"' AS CAMPO, "&amp;"'${ref_date}' AS REF_DATE, COUNT(*) AS NUM_REG, SUM(IF(TRIM(CAST(X."&amp;F115&amp;" AS STRING)) IN ('0000-00-00','0001-01-01','9999-12-31','MISS','00000','99999999999','99999999999.00','99999999999.000000'),1,0)) AS NUM_REG_DIF,'"&amp;MAX('ID1&amp;5'!K:K)+1&amp;"' AS ID_EXEC, CURRENT_TIMESTAMP() AS TIME_EXEC FROM "&amp;I115,
IF(C115="Not applicable",+"SELECT '"&amp;UPPER(B115)&amp;"' AS TABELA, '"&amp;UPPER(C115)&amp;"' AS TIPOLOGIA_TESTE,'"&amp;D115&amp;"' AS TABELA_LT,'N/A' AS TABELA_SIMUL,'"&amp;F115&amp;"' AS CAMPO, "&amp;"'${ref_date}' AS REF_DATE, COUNT(*) AS NUM_REG, SUM(IF(TRIM(CAST(X."&amp;F115&amp;" AS STRING)) IN ('N/A','11111111111','11111111111.00','11111111111.000000','1111-11-11'),1,0)) AS NUM_REG_DIF,'"&amp;MAX('ID1&amp;5'!K:K)+1&amp;"' AS ID_EXEC, CURRENT_TIMESTAMP() AS TIME_EXEC FROM "&amp;I115,
IF(C115="Valores extremos",+"SELECT '"&amp;UPPER(B115)&amp;"' AS TABELA, '"&amp;UPPER(C115)&amp;"' AS TIPOLOGIA_TESTE,'"&amp;D115&amp;"' AS TABELA_LT,'N/A' AS TABELA_SIMUL,'"&amp;F115&amp;"' AS CAMPO, "&amp;"'${ref_date}' AS REF_DATE, CAST(MIN("&amp;F115&amp;") AS STRING) AS VALOR_MIN, CAST(MAX("&amp;F115&amp;") AS STRING) AS VALOR_MAX,'"&amp;MAX('ID1&amp;5'!K:K)+1&amp;"' AS ID_EXEC, CURRENT_TIMESTAMP() AS TIME_EXEC FROM "&amp;MID(I115,1,LEN(I115)-2)&amp;" AND CAST("&amp;F115&amp;"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TABELA_SIMUL,'ACCMLTD_CHNGS_FV_CR_INSTRMNT' AS CAMPO, '${ref_date}' AS REF_DATE, COUNT(*) AS NUM_REG, SUM(IF(TRIM(CAST(X.ACCMLTD_CHNGS_FV_CR_INSTRMNT AS STRING))='' OR TRIM(CAST(X.ACCMLTD_CHNGS_FV_CR_INSTRMNT AS STRING)) IS NULL,1,0)) AS NUM_REG_DIF,'10' AS ID_EXEC, CURRENT_TIMESTAMP() AS TIME_EXEC FROM (SELECT instrmnt_id, ACCMLTD_CHNGS_FV_CR_INSTRMNT FROM BU_LOANTAPE_WORK.LT002_INSTRUMENT WHERE ref_date='${ref_date}' AND nome_perimetro='Individual Corporativo' AND segmento='ESTR' AND ambito='PILAR3')X</v>
      </c>
      <c r="M115" s="43" t="str">
        <f t="shared" si="1"/>
        <v>UNION ALL SELECT 'INSTRUMENT' AS TABELA, 'VALIDADE' AS TIPOLOGIA_TESTE,'BU_LOANTAPE_WORK.LT002_INSTRUMENT' AS TABELA_LT,'N/A' AS TABELA_SIMUL,'ACCMLTD_CHNGS_FV_CR_INSTRMNT' AS CAMPO, '${ref_date}' AS REF_DATE, COUNT(*) AS NUM_REG, SUM(IF(TRIM(CAST(X.ACCMLTD_CHNGS_FV_CR_INSTRMNT AS STRING))='' OR TRIM(CAST(X.ACCMLTD_CHNGS_FV_CR_INSTRMNT AS STRING)) IS NULL,1,0)) AS NUM_REG_DIF,'10' AS ID_EXEC, CURRENT_TIMESTAMP() AS TIME_EXEC FROM (SELECT instrmnt_id, ACCMLTD_CHNGS_FV_CR_INSTRMNT FROM BU_LOANTAPE_WORK.LT002_INSTRUMENT WHERE ref_date='${ref_date}' AND nome_perimetro='Individual Corporativo' AND segmento='ESTR' AND ambito='PILAR3')X</v>
      </c>
      <c r="N115" s="45" t="s">
        <v>13</v>
      </c>
    </row>
    <row r="116" spans="2:14">
      <c r="B116" s="41" t="s">
        <v>27</v>
      </c>
      <c r="C116" s="41" t="s">
        <v>75</v>
      </c>
      <c r="D116" s="41" t="str">
        <f>+UPPER('0. Instruções'!$D$33&amp;"."&amp;VLOOKUP(B116,'0. Instruções'!$C$27:$D$31,2,FALSE))</f>
        <v>BU_LOANTAPE_WORK.LT002_INSTRUMENT</v>
      </c>
      <c r="E116" s="41" t="str">
        <f>+UPPER('0. Instruções'!$D$34&amp;"."&amp;VLOOKUP(B116,'0. Instruções'!$C$27:$E$31,3,FALSE))</f>
        <v>BU_LOANTAPE_WORK.LT002_INSTRUMENT_P3_NOV24</v>
      </c>
      <c r="F116" s="41" t="s">
        <v>166</v>
      </c>
      <c r="G116" s="41" t="s">
        <v>13</v>
      </c>
      <c r="H116" s="41"/>
      <c r="I116" s="41" t="str">
        <f>"(SELECT "&amp;VLOOKUP(B116,'0. Instruções'!$C$27:$G$31,4,FALSE)&amp;", "&amp;F116&amp;" FROM "&amp;D116&amp;" WHERE "&amp;'0. Instruções'!$D$40&amp;")X"</f>
        <v>(SELECT instrmnt_id, ACCNTNG_CLSSFCTN FROM BU_LOANTAPE_WORK.LT002_INSTRUMENT WHERE ref_date='${ref_date}' AND nome_perimetro='Individual Corporativo' AND segmento='ESTR' AND ambito='PILAR3')X</v>
      </c>
      <c r="J116" s="41" t="str">
        <f>"(SELECT "&amp;VLOOKUP(B116,'0. Instruções'!$C$27:$G$31,4,FALSE)&amp;" AS "&amp;VLOOKUP(B116,'0. Instruções'!$C$27:$G$31,4,FALSE)&amp;"_SIMUL, "&amp;F116&amp;" AS "&amp;F116&amp;"_SIMUL FROM "&amp;E116&amp;")Y"</f>
        <v>(SELECT instrmnt_id AS instrmnt_id_SIMUL, ACCNTNG_CLSSFCTN AS ACCNTNG_CLSSFCTN_SIMUL FROM BU_LOANTAPE_WORK.LT002_INSTRUMENT_P3_NOV24)Y</v>
      </c>
      <c r="K116" s="42" t="str">
        <f>+UPPER("ON X."&amp;VLOOKUP(B116,'0. Instruções'!$C$27:$G$31,4,FALSE)&amp;"=Y."&amp;VLOOKUP(B116,'0. Instruções'!$C$27:$G$31,4,FALSE)&amp;"_SIMUL")</f>
        <v>ON X.INSTRMNT_ID=Y.INSTRMNT_ID_SIMUL</v>
      </c>
      <c r="L116" s="42" t="str">
        <f>+IF(C116="Coerência", +IF(LEFT(G116,5)="FLOAT","SELECT '"&amp;UPPER(B116)&amp;"' AS TABELA, '"&amp;UPPER(C116)&amp;"' AS TIPOLOGIA_TESTE,'"&amp;D116&amp;"' AS TABELA_LT,'"&amp;E116&amp;"' AS TABELA_SIMUL,'"&amp;F116&amp;"' AS CAMPO, "&amp;"'${ref_date}' AS REF_DATE, COUNT(*) AS NUM_REG, SUM(IF((ABS(COALESCE(X."&amp;F116&amp;",0)-COALESCE(Y."&amp;F116&amp;"_SIMUL,0))&gt;0.0000000001) OR (X."&amp;F116&amp;" IS NULL AND Y."&amp;F116&amp;"_SIMUL IS NOT NULL ) OR (X."&amp;F116&amp;" IS NOT NULL AND Y."&amp;F116&amp;"_SIMUL IS NULL),1,0)) AS NUM_REG_DIF,'"&amp;MAX('ID1&amp;5'!K:K)+1&amp;"' AS ID_EXEC, CURRENT_TIMESTAMP() AS TIME_EXEC FROM "&amp;I116&amp;" INNER JOIN "&amp;J116&amp;" "&amp;K116,"SELECT '"&amp;UPPER(B116)&amp;"' AS TABELA, '"&amp;UPPER(C116)&amp;"' AS TIPOLOGIA_TESTE,'"&amp;D116&amp;"' AS TABELA_LT,'"&amp;E116&amp;"' AS TABELA_SIMUL,'"&amp;F116&amp;"' AS CAMPO, "&amp;"'${ref_date}' AS REF_DATE, COUNT(*) AS NUM_REG, SUM(IF(COALESCE(CAST(X."&amp;F116&amp;" AS STRING),'')&lt;&gt;COALESCE(CAST(Y."&amp;F116&amp;"_SIMUL AS STRING),''),1,0)) AS NUM_REG_DIF,'"&amp;MAX('ID1&amp;5'!L:L)+1&amp;"' AS ID_EXEC, CURRENT_TIMESTAMP() AS TIME_EXEC FROM "&amp;I116&amp;" INNER JOIN "&amp;J116&amp;" "&amp;K116),
IF(C116="Validade",+IF(G116="Code List","SELECT '"&amp;UPPER(B116)&amp;"' AS TABELA, '"&amp;UPPER(C116)&amp;"' AS TIPOLOGIA_TESTE,'"&amp;D116&amp;"' AS TABELA_LT,'N/A' AS TABELA_SIMUL,'"&amp;F116&amp;"' AS CAMPO, "&amp;"'${ref_date}' AS REF_DATE, COUNT(*) AS NUM_REG, SUM(IF(TRIM(CAST(X."&amp;F116&amp;" AS STRING))='' OR TRIM(CAST(X."&amp;F116&amp;" AS STRING)) IS NULL OR CAST(X."&amp;F116&amp;" AS STRING) NOT "&amp;H116&amp;",1,0)) AS NUM_REG_DIF,'"&amp;MAX('ID1&amp;5'!K:K)+1&amp;"' AS ID_EXEC, CURRENT_TIMESTAMP() AS TIME_EXEC FROM "&amp;I116,"SELECT '"&amp;UPPER(B116)&amp;"' AS TABELA, '"&amp;UPPER(C116)&amp;"' AS TIPOLOGIA_TESTE,'"&amp;D116&amp;"' AS TABELA_LT,'N/A' AS TABELA_SIMUL,'"&amp;F116&amp;"' AS CAMPO, "&amp;"'${ref_date}' AS REF_DATE, COUNT(*) AS NUM_REG, SUM(IF(TRIM(CAST(X."&amp;F116&amp;" AS STRING))='' OR TRIM(CAST(X."&amp;F116&amp;" AS STRING)) IS NULL,1,0)) AS NUM_REG_DIF,'"&amp;MAX('ID1&amp;5'!K:K)+1&amp;"' AS ID_EXEC, CURRENT_TIMESTAMP() AS TIME_EXEC FROM "&amp;I116),
IF(C116="Caracteres Especiais",+"SELECT '"&amp;UPPER(B116)&amp;"' AS TABELA, '"&amp;UPPER(C116)&amp;"' AS TIPOLOGIA_TESTE,'"&amp;D116&amp;"' AS TABELA_LT,'N/A' AS TABELA_SIMUL,'"&amp;F116&amp;"' AS CAMPO, "&amp;"'${ref_date}' AS REF_DATE, COUNT(*) AS NUM_REG, SUM(IF(INSTR(CAST(X."&amp;F116&amp;" AS STRING),'#')&gt;0 OR INSTR(CAST(X."&amp;F116&amp;" AS STRING),'*')&gt;0 OR INSTR(CAST(X."&amp;F116&amp;" AS STRING),'`')&gt;0 OR INSTR(CAST(X."&amp;F116&amp;" AS STRING),'´')&gt;0 OR INSTR(CAST(X."&amp;F116&amp;" AS STRING),'{')&gt;0 OR INSTR(CAST(X."&amp;F116&amp;" AS STRING),'}')&gt;0 OR INSTR(CAST(X."&amp;F116&amp;" AS STRING),'[')&gt;0 OR INSTR(CAST(X."&amp;F116&amp;" AS STRING),'')&gt;0 OR INSTR(CAST(X."&amp;F116&amp;" AS STRING),']')&gt;0 OR INSTR(CAST(X."&amp;F116&amp;" AS STRING),'?')&gt;0 OR INSTR(CAST(X."&amp;F116&amp;" AS STRING),'!')&gt;0 OR INSTR(CAST(X."&amp;F116&amp;" AS STRING),'$')&gt;0 OR INSTR(CAST(X."&amp;F116&amp;" AS STRING),'%')&gt;0 OR INSTR(CAST(X."&amp;F116&amp;" AS STRING),'&amp;')&gt;0 OR INSTR(CAST(X."&amp;F116&amp;" AS STRING),'+')&gt;0,1,0)) AS NUM_REG_DIF,'"&amp;MAX('ID1&amp;5'!K:K)+1&amp;"' AS ID_EXEC, CURRENT_TIMESTAMP() AS TIME_EXEC FROM "&amp;I116,
IF(C116="Missings",+"SELECT '"&amp;UPPER(B116)&amp;"' AS TABELA, '"&amp;UPPER(C116)&amp;"' AS TIPOLOGIA_TESTE,'"&amp;D116&amp;"' AS TABELA_LT,'N/A' AS TABELA_SIMUL,'"&amp;F116&amp;"' AS CAMPO, "&amp;"'${ref_date}' AS REF_DATE, COUNT(*) AS NUM_REG, SUM(IF(TRIM(CAST(X."&amp;F116&amp;" AS STRING)) IN ('0000-00-00','0001-01-01','9999-12-31','MISS','00000','99999999999','99999999999.00','99999999999.000000'),1,0)) AS NUM_REG_DIF,'"&amp;MAX('ID1&amp;5'!K:K)+1&amp;"' AS ID_EXEC, CURRENT_TIMESTAMP() AS TIME_EXEC FROM "&amp;I116,
IF(C116="Not applicable",+"SELECT '"&amp;UPPER(B116)&amp;"' AS TABELA, '"&amp;UPPER(C116)&amp;"' AS TIPOLOGIA_TESTE,'"&amp;D116&amp;"' AS TABELA_LT,'N/A' AS TABELA_SIMUL,'"&amp;F116&amp;"' AS CAMPO, "&amp;"'${ref_date}' AS REF_DATE, COUNT(*) AS NUM_REG, SUM(IF(TRIM(CAST(X."&amp;F116&amp;" AS STRING)) IN ('N/A','11111111111','11111111111.00','11111111111.000000','1111-11-11'),1,0)) AS NUM_REG_DIF,'"&amp;MAX('ID1&amp;5'!K:K)+1&amp;"' AS ID_EXEC, CURRENT_TIMESTAMP() AS TIME_EXEC FROM "&amp;I116,
IF(C116="Valores extremos",+"SELECT '"&amp;UPPER(B116)&amp;"' AS TABELA, '"&amp;UPPER(C116)&amp;"' AS TIPOLOGIA_TESTE,'"&amp;D116&amp;"' AS TABELA_LT,'N/A' AS TABELA_SIMUL,'"&amp;F116&amp;"' AS CAMPO, "&amp;"'${ref_date}' AS REF_DATE, CAST(MIN("&amp;F116&amp;") AS STRING) AS VALOR_MIN, CAST(MAX("&amp;F116&amp;") AS STRING) AS VALOR_MAX,'"&amp;MAX('ID1&amp;5'!K:K)+1&amp;"' AS ID_EXEC, CURRENT_TIMESTAMP() AS TIME_EXEC FROM "&amp;MID(I116,1,LEN(I116)-2)&amp;" AND CAST("&amp;F116&amp;"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TABELA_SIMUL,'ACCNTNG_CLSSFCTN' AS CAMPO, '${ref_date}' AS REF_DATE, COUNT(*) AS NUM_REG, SUM(IF(TRIM(CAST(X.ACCNTNG_CLSSFCTN AS STRING))='' OR TRIM(CAST(X.ACCNTNG_CLSSFCTN AS STRING)) IS NULL,1,0)) AS NUM_REG_DIF,'10' AS ID_EXEC, CURRENT_TIMESTAMP() AS TIME_EXEC FROM (SELECT instrmnt_id, ACCNTNG_CLSSFCTN FROM BU_LOANTAPE_WORK.LT002_INSTRUMENT WHERE ref_date='${ref_date}' AND nome_perimetro='Individual Corporativo' AND segmento='ESTR' AND ambito='PILAR3')X</v>
      </c>
      <c r="M116" s="43" t="str">
        <f t="shared" si="1"/>
        <v>UNION ALL SELECT 'INSTRUMENT' AS TABELA, 'VALIDADE' AS TIPOLOGIA_TESTE,'BU_LOANTAPE_WORK.LT002_INSTRUMENT' AS TABELA_LT,'N/A' AS TABELA_SIMUL,'ACCNTNG_CLSSFCTN' AS CAMPO, '${ref_date}' AS REF_DATE, COUNT(*) AS NUM_REG, SUM(IF(TRIM(CAST(X.ACCNTNG_CLSSFCTN AS STRING))='' OR TRIM(CAST(X.ACCNTNG_CLSSFCTN AS STRING)) IS NULL,1,0)) AS NUM_REG_DIF,'10' AS ID_EXEC, CURRENT_TIMESTAMP() AS TIME_EXEC FROM (SELECT instrmnt_id, ACCNTNG_CLSSFCTN FROM BU_LOANTAPE_WORK.LT002_INSTRUMENT WHERE ref_date='${ref_date}' AND nome_perimetro='Individual Corporativo' AND segmento='ESTR' AND ambito='PILAR3')X</v>
      </c>
      <c r="N116" s="45" t="s">
        <v>13</v>
      </c>
    </row>
    <row r="117" spans="2:14">
      <c r="B117" s="41" t="s">
        <v>27</v>
      </c>
      <c r="C117" s="41" t="s">
        <v>75</v>
      </c>
      <c r="D117" s="41" t="str">
        <f>+UPPER('0. Instruções'!$D$33&amp;"."&amp;VLOOKUP(B117,'0. Instruções'!$C$27:$D$31,2,FALSE))</f>
        <v>BU_LOANTAPE_WORK.LT002_INSTRUMENT</v>
      </c>
      <c r="E117" s="41" t="str">
        <f>+UPPER('0. Instruções'!$D$34&amp;"."&amp;VLOOKUP(B117,'0. Instruções'!$C$27:$E$31,3,FALSE))</f>
        <v>BU_LOANTAPE_WORK.LT002_INSTRUMENT_P3_NOV24</v>
      </c>
      <c r="F117" s="41" t="s">
        <v>167</v>
      </c>
      <c r="G117" s="41" t="s">
        <v>13</v>
      </c>
      <c r="H117" s="41"/>
      <c r="I117" s="41" t="str">
        <f>"(SELECT "&amp;VLOOKUP(B117,'0. Instruções'!$C$27:$G$31,4,FALSE)&amp;", "&amp;F117&amp;" FROM "&amp;D117&amp;" WHERE "&amp;'0. Instruções'!$D$40&amp;")X"</f>
        <v>(SELECT instrmnt_id, DT_LGL_FNL_MTRTY FROM BU_LOANTAPE_WORK.LT002_INSTRUMENT WHERE ref_date='${ref_date}' AND nome_perimetro='Individual Corporativo' AND segmento='ESTR' AND ambito='PILAR3')X</v>
      </c>
      <c r="J117" s="41" t="str">
        <f>"(SELECT "&amp;VLOOKUP(B117,'0. Instruções'!$C$27:$G$31,4,FALSE)&amp;" AS "&amp;VLOOKUP(B117,'0. Instruções'!$C$27:$G$31,4,FALSE)&amp;"_SIMUL, "&amp;F117&amp;" AS "&amp;F117&amp;"_SIMUL FROM "&amp;E117&amp;")Y"</f>
        <v>(SELECT instrmnt_id AS instrmnt_id_SIMUL, DT_LGL_FNL_MTRTY AS DT_LGL_FNL_MTRTY_SIMUL FROM BU_LOANTAPE_WORK.LT002_INSTRUMENT_P3_NOV24)Y</v>
      </c>
      <c r="K117" s="42" t="str">
        <f>+UPPER("ON X."&amp;VLOOKUP(B117,'0. Instruções'!$C$27:$G$31,4,FALSE)&amp;"=Y."&amp;VLOOKUP(B117,'0. Instruções'!$C$27:$G$31,4,FALSE)&amp;"_SIMUL")</f>
        <v>ON X.INSTRMNT_ID=Y.INSTRMNT_ID_SIMUL</v>
      </c>
      <c r="L117" s="42" t="str">
        <f>+IF(C117="Coerência", +IF(LEFT(G117,5)="FLOAT","SELECT '"&amp;UPPER(B117)&amp;"' AS TABELA, '"&amp;UPPER(C117)&amp;"' AS TIPOLOGIA_TESTE,'"&amp;D117&amp;"' AS TABELA_LT,'"&amp;E117&amp;"' AS TABELA_SIMUL,'"&amp;F117&amp;"' AS CAMPO, "&amp;"'${ref_date}' AS REF_DATE, COUNT(*) AS NUM_REG, SUM(IF((ABS(COALESCE(X."&amp;F117&amp;",0)-COALESCE(Y."&amp;F117&amp;"_SIMUL,0))&gt;0.0000000001) OR (X."&amp;F117&amp;" IS NULL AND Y."&amp;F117&amp;"_SIMUL IS NOT NULL ) OR (X."&amp;F117&amp;" IS NOT NULL AND Y."&amp;F117&amp;"_SIMUL IS NULL),1,0)) AS NUM_REG_DIF,'"&amp;MAX('ID1&amp;5'!K:K)+1&amp;"' AS ID_EXEC, CURRENT_TIMESTAMP() AS TIME_EXEC FROM "&amp;I117&amp;" INNER JOIN "&amp;J117&amp;" "&amp;K117,"SELECT '"&amp;UPPER(B117)&amp;"' AS TABELA, '"&amp;UPPER(C117)&amp;"' AS TIPOLOGIA_TESTE,'"&amp;D117&amp;"' AS TABELA_LT,'"&amp;E117&amp;"' AS TABELA_SIMUL,'"&amp;F117&amp;"' AS CAMPO, "&amp;"'${ref_date}' AS REF_DATE, COUNT(*) AS NUM_REG, SUM(IF(COALESCE(CAST(X."&amp;F117&amp;" AS STRING),'')&lt;&gt;COALESCE(CAST(Y."&amp;F117&amp;"_SIMUL AS STRING),''),1,0)) AS NUM_REG_DIF,'"&amp;MAX('ID1&amp;5'!L:L)+1&amp;"' AS ID_EXEC, CURRENT_TIMESTAMP() AS TIME_EXEC FROM "&amp;I117&amp;" INNER JOIN "&amp;J117&amp;" "&amp;K117),
IF(C117="Validade",+IF(G117="Code List","SELECT '"&amp;UPPER(B117)&amp;"' AS TABELA, '"&amp;UPPER(C117)&amp;"' AS TIPOLOGIA_TESTE,'"&amp;D117&amp;"' AS TABELA_LT,'N/A' AS TABELA_SIMUL,'"&amp;F117&amp;"' AS CAMPO, "&amp;"'${ref_date}' AS REF_DATE, COUNT(*) AS NUM_REG, SUM(IF(TRIM(CAST(X."&amp;F117&amp;" AS STRING))='' OR TRIM(CAST(X."&amp;F117&amp;" AS STRING)) IS NULL OR CAST(X."&amp;F117&amp;" AS STRING) NOT "&amp;H117&amp;",1,0)) AS NUM_REG_DIF,'"&amp;MAX('ID1&amp;5'!K:K)+1&amp;"' AS ID_EXEC, CURRENT_TIMESTAMP() AS TIME_EXEC FROM "&amp;I117,"SELECT '"&amp;UPPER(B117)&amp;"' AS TABELA, '"&amp;UPPER(C117)&amp;"' AS TIPOLOGIA_TESTE,'"&amp;D117&amp;"' AS TABELA_LT,'N/A' AS TABELA_SIMUL,'"&amp;F117&amp;"' AS CAMPO, "&amp;"'${ref_date}' AS REF_DATE, COUNT(*) AS NUM_REG, SUM(IF(TRIM(CAST(X."&amp;F117&amp;" AS STRING))='' OR TRIM(CAST(X."&amp;F117&amp;" AS STRING)) IS NULL,1,0)) AS NUM_REG_DIF,'"&amp;MAX('ID1&amp;5'!K:K)+1&amp;"' AS ID_EXEC, CURRENT_TIMESTAMP() AS TIME_EXEC FROM "&amp;I117),
IF(C117="Caracteres Especiais",+"SELECT '"&amp;UPPER(B117)&amp;"' AS TABELA, '"&amp;UPPER(C117)&amp;"' AS TIPOLOGIA_TESTE,'"&amp;D117&amp;"' AS TABELA_LT,'N/A' AS TABELA_SIMUL,'"&amp;F117&amp;"' AS CAMPO, "&amp;"'${ref_date}' AS REF_DATE, COUNT(*) AS NUM_REG, SUM(IF(INSTR(CAST(X."&amp;F117&amp;" AS STRING),'#')&gt;0 OR INSTR(CAST(X."&amp;F117&amp;" AS STRING),'*')&gt;0 OR INSTR(CAST(X."&amp;F117&amp;" AS STRING),'`')&gt;0 OR INSTR(CAST(X."&amp;F117&amp;" AS STRING),'´')&gt;0 OR INSTR(CAST(X."&amp;F117&amp;" AS STRING),'{')&gt;0 OR INSTR(CAST(X."&amp;F117&amp;" AS STRING),'}')&gt;0 OR INSTR(CAST(X."&amp;F117&amp;" AS STRING),'[')&gt;0 OR INSTR(CAST(X."&amp;F117&amp;" AS STRING),'')&gt;0 OR INSTR(CAST(X."&amp;F117&amp;" AS STRING),']')&gt;0 OR INSTR(CAST(X."&amp;F117&amp;" AS STRING),'?')&gt;0 OR INSTR(CAST(X."&amp;F117&amp;" AS STRING),'!')&gt;0 OR INSTR(CAST(X."&amp;F117&amp;" AS STRING),'$')&gt;0 OR INSTR(CAST(X."&amp;F117&amp;" AS STRING),'%')&gt;0 OR INSTR(CAST(X."&amp;F117&amp;" AS STRING),'&amp;')&gt;0 OR INSTR(CAST(X."&amp;F117&amp;" AS STRING),'+')&gt;0,1,0)) AS NUM_REG_DIF,'"&amp;MAX('ID1&amp;5'!K:K)+1&amp;"' AS ID_EXEC, CURRENT_TIMESTAMP() AS TIME_EXEC FROM "&amp;I117,
IF(C117="Missings",+"SELECT '"&amp;UPPER(B117)&amp;"' AS TABELA, '"&amp;UPPER(C117)&amp;"' AS TIPOLOGIA_TESTE,'"&amp;D117&amp;"' AS TABELA_LT,'N/A' AS TABELA_SIMUL,'"&amp;F117&amp;"' AS CAMPO, "&amp;"'${ref_date}' AS REF_DATE, COUNT(*) AS NUM_REG, SUM(IF(TRIM(CAST(X."&amp;F117&amp;" AS STRING)) IN ('0000-00-00','0001-01-01','9999-12-31','MISS','00000','99999999999','99999999999.00','99999999999.000000'),1,0)) AS NUM_REG_DIF,'"&amp;MAX('ID1&amp;5'!K:K)+1&amp;"' AS ID_EXEC, CURRENT_TIMESTAMP() AS TIME_EXEC FROM "&amp;I117,
IF(C117="Not applicable",+"SELECT '"&amp;UPPER(B117)&amp;"' AS TABELA, '"&amp;UPPER(C117)&amp;"' AS TIPOLOGIA_TESTE,'"&amp;D117&amp;"' AS TABELA_LT,'N/A' AS TABELA_SIMUL,'"&amp;F117&amp;"' AS CAMPO, "&amp;"'${ref_date}' AS REF_DATE, COUNT(*) AS NUM_REG, SUM(IF(TRIM(CAST(X."&amp;F117&amp;" AS STRING)) IN ('N/A','11111111111','11111111111.00','11111111111.000000','1111-11-11'),1,0)) AS NUM_REG_DIF,'"&amp;MAX('ID1&amp;5'!K:K)+1&amp;"' AS ID_EXEC, CURRENT_TIMESTAMP() AS TIME_EXEC FROM "&amp;I117,
IF(C117="Valores extremos",+"SELECT '"&amp;UPPER(B117)&amp;"' AS TABELA, '"&amp;UPPER(C117)&amp;"' AS TIPOLOGIA_TESTE,'"&amp;D117&amp;"' AS TABELA_LT,'N/A' AS TABELA_SIMUL,'"&amp;F117&amp;"' AS CAMPO, "&amp;"'${ref_date}' AS REF_DATE, CAST(MIN("&amp;F117&amp;") AS STRING) AS VALOR_MIN, CAST(MAX("&amp;F117&amp;") AS STRING) AS VALOR_MAX,'"&amp;MAX('ID1&amp;5'!K:K)+1&amp;"' AS ID_EXEC, CURRENT_TIMESTAMP() AS TIME_EXEC FROM "&amp;MID(I117,1,LEN(I117)-2)&amp;" AND CAST("&amp;F117&amp;"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TABELA_SIMUL,'DT_LGL_FNL_MTRTY' AS CAMPO, '${ref_date}' AS REF_DATE, COUNT(*) AS NUM_REG, SUM(IF(TRIM(CAST(X.DT_LGL_FNL_MTRTY AS STRING))='' OR TRIM(CAST(X.DT_LGL_FNL_MTRTY AS STRING)) IS NULL,1,0)) AS NUM_REG_DIF,'10' AS ID_EXEC, CURRENT_TIMESTAMP() AS TIME_EXEC FROM (SELECT instrmnt_id, DT_LGL_FNL_MTRTY FROM BU_LOANTAPE_WORK.LT002_INSTRUMENT WHERE ref_date='${ref_date}' AND nome_perimetro='Individual Corporativo' AND segmento='ESTR' AND ambito='PILAR3')X</v>
      </c>
      <c r="M117" s="43" t="str">
        <f t="shared" si="1"/>
        <v>UNION ALL SELECT 'INSTRUMENT' AS TABELA, 'VALIDADE' AS TIPOLOGIA_TESTE,'BU_LOANTAPE_WORK.LT002_INSTRUMENT' AS TABELA_LT,'N/A' AS TABELA_SIMUL,'DT_LGL_FNL_MTRTY' AS CAMPO, '${ref_date}' AS REF_DATE, COUNT(*) AS NUM_REG, SUM(IF(TRIM(CAST(X.DT_LGL_FNL_MTRTY AS STRING))='' OR TRIM(CAST(X.DT_LGL_FNL_MTRTY AS STRING)) IS NULL,1,0)) AS NUM_REG_DIF,'10' AS ID_EXEC, CURRENT_TIMESTAMP() AS TIME_EXEC FROM (SELECT instrmnt_id, DT_LGL_FNL_MTRTY FROM BU_LOANTAPE_WORK.LT002_INSTRUMENT WHERE ref_date='${ref_date}' AND nome_perimetro='Individual Corporativo' AND segmento='ESTR' AND ambito='PILAR3')X</v>
      </c>
      <c r="N117" s="45" t="s">
        <v>13</v>
      </c>
    </row>
    <row r="118" spans="2:14">
      <c r="B118" s="41" t="s">
        <v>27</v>
      </c>
      <c r="C118" s="41" t="s">
        <v>75</v>
      </c>
      <c r="D118" s="41" t="str">
        <f>+UPPER('0. Instruções'!$D$33&amp;"."&amp;VLOOKUP(B118,'0. Instruções'!$C$27:$D$31,2,FALSE))</f>
        <v>BU_LOANTAPE_WORK.LT002_INSTRUMENT</v>
      </c>
      <c r="E118" s="41" t="str">
        <f>+UPPER('0. Instruções'!$D$34&amp;"."&amp;VLOOKUP(B118,'0. Instruções'!$C$27:$E$31,3,FALSE))</f>
        <v>BU_LOANTAPE_WORK.LT002_INSTRUMENT_P3_NOV24</v>
      </c>
      <c r="F118" s="41" t="s">
        <v>168</v>
      </c>
      <c r="G118" s="41" t="s">
        <v>13</v>
      </c>
      <c r="H118" s="41"/>
      <c r="I118" s="41" t="str">
        <f>"(SELECT "&amp;VLOOKUP(B118,'0. Instruções'!$C$27:$G$31,4,FALSE)&amp;", "&amp;F118&amp;" FROM "&amp;D118&amp;" WHERE "&amp;'0. Instruções'!$D$40&amp;")X"</f>
        <v>(SELECT instrmnt_id, ACCMLTD_IMPRMNT_INSTRMNT FROM BU_LOANTAPE_WORK.LT002_INSTRUMENT WHERE ref_date='${ref_date}' AND nome_perimetro='Individual Corporativo' AND segmento='ESTR' AND ambito='PILAR3')X</v>
      </c>
      <c r="J118" s="41" t="str">
        <f>"(SELECT "&amp;VLOOKUP(B118,'0. Instruções'!$C$27:$G$31,4,FALSE)&amp;" AS "&amp;VLOOKUP(B118,'0. Instruções'!$C$27:$G$31,4,FALSE)&amp;"_SIMUL, "&amp;F118&amp;" AS "&amp;F118&amp;"_SIMUL FROM "&amp;E118&amp;")Y"</f>
        <v>(SELECT instrmnt_id AS instrmnt_id_SIMUL, ACCMLTD_IMPRMNT_INSTRMNT AS ACCMLTD_IMPRMNT_INSTRMNT_SIMUL FROM BU_LOANTAPE_WORK.LT002_INSTRUMENT_P3_NOV24)Y</v>
      </c>
      <c r="K118" s="42" t="str">
        <f>+UPPER("ON X."&amp;VLOOKUP(B118,'0. Instruções'!$C$27:$G$31,4,FALSE)&amp;"=Y."&amp;VLOOKUP(B118,'0. Instruções'!$C$27:$G$31,4,FALSE)&amp;"_SIMUL")</f>
        <v>ON X.INSTRMNT_ID=Y.INSTRMNT_ID_SIMUL</v>
      </c>
      <c r="L118" s="42" t="str">
        <f>+IF(C118="Coerência", +IF(LEFT(G118,5)="FLOAT","SELECT '"&amp;UPPER(B118)&amp;"' AS TABELA, '"&amp;UPPER(C118)&amp;"' AS TIPOLOGIA_TESTE,'"&amp;D118&amp;"' AS TABELA_LT,'"&amp;E118&amp;"' AS TABELA_SIMUL,'"&amp;F118&amp;"' AS CAMPO, "&amp;"'${ref_date}' AS REF_DATE, COUNT(*) AS NUM_REG, SUM(IF((ABS(COALESCE(X."&amp;F118&amp;",0)-COALESCE(Y."&amp;F118&amp;"_SIMUL,0))&gt;0.0000000001) OR (X."&amp;F118&amp;" IS NULL AND Y."&amp;F118&amp;"_SIMUL IS NOT NULL ) OR (X."&amp;F118&amp;" IS NOT NULL AND Y."&amp;F118&amp;"_SIMUL IS NULL),1,0)) AS NUM_REG_DIF,'"&amp;MAX('ID1&amp;5'!K:K)+1&amp;"' AS ID_EXEC, CURRENT_TIMESTAMP() AS TIME_EXEC FROM "&amp;I118&amp;" INNER JOIN "&amp;J118&amp;" "&amp;K118,"SELECT '"&amp;UPPER(B118)&amp;"' AS TABELA, '"&amp;UPPER(C118)&amp;"' AS TIPOLOGIA_TESTE,'"&amp;D118&amp;"' AS TABELA_LT,'"&amp;E118&amp;"' AS TABELA_SIMUL,'"&amp;F118&amp;"' AS CAMPO, "&amp;"'${ref_date}' AS REF_DATE, COUNT(*) AS NUM_REG, SUM(IF(COALESCE(CAST(X."&amp;F118&amp;" AS STRING),'')&lt;&gt;COALESCE(CAST(Y."&amp;F118&amp;"_SIMUL AS STRING),''),1,0)) AS NUM_REG_DIF,'"&amp;MAX('ID1&amp;5'!L:L)+1&amp;"' AS ID_EXEC, CURRENT_TIMESTAMP() AS TIME_EXEC FROM "&amp;I118&amp;" INNER JOIN "&amp;J118&amp;" "&amp;K118),
IF(C118="Validade",+IF(G118="Code List","SELECT '"&amp;UPPER(B118)&amp;"' AS TABELA, '"&amp;UPPER(C118)&amp;"' AS TIPOLOGIA_TESTE,'"&amp;D118&amp;"' AS TABELA_LT,'N/A' AS TABELA_SIMUL,'"&amp;F118&amp;"' AS CAMPO, "&amp;"'${ref_date}' AS REF_DATE, COUNT(*) AS NUM_REG, SUM(IF(TRIM(CAST(X."&amp;F118&amp;" AS STRING))='' OR TRIM(CAST(X."&amp;F118&amp;" AS STRING)) IS NULL OR CAST(X."&amp;F118&amp;" AS STRING) NOT "&amp;H118&amp;",1,0)) AS NUM_REG_DIF,'"&amp;MAX('ID1&amp;5'!K:K)+1&amp;"' AS ID_EXEC, CURRENT_TIMESTAMP() AS TIME_EXEC FROM "&amp;I118,"SELECT '"&amp;UPPER(B118)&amp;"' AS TABELA, '"&amp;UPPER(C118)&amp;"' AS TIPOLOGIA_TESTE,'"&amp;D118&amp;"' AS TABELA_LT,'N/A' AS TABELA_SIMUL,'"&amp;F118&amp;"' AS CAMPO, "&amp;"'${ref_date}' AS REF_DATE, COUNT(*) AS NUM_REG, SUM(IF(TRIM(CAST(X."&amp;F118&amp;" AS STRING))='' OR TRIM(CAST(X."&amp;F118&amp;" AS STRING)) IS NULL,1,0)) AS NUM_REG_DIF,'"&amp;MAX('ID1&amp;5'!K:K)+1&amp;"' AS ID_EXEC, CURRENT_TIMESTAMP() AS TIME_EXEC FROM "&amp;I118),
IF(C118="Caracteres Especiais",+"SELECT '"&amp;UPPER(B118)&amp;"' AS TABELA, '"&amp;UPPER(C118)&amp;"' AS TIPOLOGIA_TESTE,'"&amp;D118&amp;"' AS TABELA_LT,'N/A' AS TABELA_SIMUL,'"&amp;F118&amp;"' AS CAMPO, "&amp;"'${ref_date}' AS REF_DATE, COUNT(*) AS NUM_REG, SUM(IF(INSTR(CAST(X."&amp;F118&amp;" AS STRING),'#')&gt;0 OR INSTR(CAST(X."&amp;F118&amp;" AS STRING),'*')&gt;0 OR INSTR(CAST(X."&amp;F118&amp;" AS STRING),'`')&gt;0 OR INSTR(CAST(X."&amp;F118&amp;" AS STRING),'´')&gt;0 OR INSTR(CAST(X."&amp;F118&amp;" AS STRING),'{')&gt;0 OR INSTR(CAST(X."&amp;F118&amp;" AS STRING),'}')&gt;0 OR INSTR(CAST(X."&amp;F118&amp;" AS STRING),'[')&gt;0 OR INSTR(CAST(X."&amp;F118&amp;" AS STRING),'')&gt;0 OR INSTR(CAST(X."&amp;F118&amp;" AS STRING),']')&gt;0 OR INSTR(CAST(X."&amp;F118&amp;" AS STRING),'?')&gt;0 OR INSTR(CAST(X."&amp;F118&amp;" AS STRING),'!')&gt;0 OR INSTR(CAST(X."&amp;F118&amp;" AS STRING),'$')&gt;0 OR INSTR(CAST(X."&amp;F118&amp;" AS STRING),'%')&gt;0 OR INSTR(CAST(X."&amp;F118&amp;" AS STRING),'&amp;')&gt;0 OR INSTR(CAST(X."&amp;F118&amp;" AS STRING),'+')&gt;0,1,0)) AS NUM_REG_DIF,'"&amp;MAX('ID1&amp;5'!K:K)+1&amp;"' AS ID_EXEC, CURRENT_TIMESTAMP() AS TIME_EXEC FROM "&amp;I118,
IF(C118="Missings",+"SELECT '"&amp;UPPER(B118)&amp;"' AS TABELA, '"&amp;UPPER(C118)&amp;"' AS TIPOLOGIA_TESTE,'"&amp;D118&amp;"' AS TABELA_LT,'N/A' AS TABELA_SIMUL,'"&amp;F118&amp;"' AS CAMPO, "&amp;"'${ref_date}' AS REF_DATE, COUNT(*) AS NUM_REG, SUM(IF(TRIM(CAST(X."&amp;F118&amp;" AS STRING)) IN ('0000-00-00','0001-01-01','9999-12-31','MISS','00000','99999999999','99999999999.00','99999999999.000000'),1,0)) AS NUM_REG_DIF,'"&amp;MAX('ID1&amp;5'!K:K)+1&amp;"' AS ID_EXEC, CURRENT_TIMESTAMP() AS TIME_EXEC FROM "&amp;I118,
IF(C118="Not applicable",+"SELECT '"&amp;UPPER(B118)&amp;"' AS TABELA, '"&amp;UPPER(C118)&amp;"' AS TIPOLOGIA_TESTE,'"&amp;D118&amp;"' AS TABELA_LT,'N/A' AS TABELA_SIMUL,'"&amp;F118&amp;"' AS CAMPO, "&amp;"'${ref_date}' AS REF_DATE, COUNT(*) AS NUM_REG, SUM(IF(TRIM(CAST(X."&amp;F118&amp;" AS STRING)) IN ('N/A','11111111111','11111111111.00','11111111111.000000','1111-11-11'),1,0)) AS NUM_REG_DIF,'"&amp;MAX('ID1&amp;5'!K:K)+1&amp;"' AS ID_EXEC, CURRENT_TIMESTAMP() AS TIME_EXEC FROM "&amp;I118,
IF(C118="Valores extremos",+"SELECT '"&amp;UPPER(B118)&amp;"' AS TABELA, '"&amp;UPPER(C118)&amp;"' AS TIPOLOGIA_TESTE,'"&amp;D118&amp;"' AS TABELA_LT,'N/A' AS TABELA_SIMUL,'"&amp;F118&amp;"' AS CAMPO, "&amp;"'${ref_date}' AS REF_DATE, CAST(MIN("&amp;F118&amp;") AS STRING) AS VALOR_MIN, CAST(MAX("&amp;F118&amp;") AS STRING) AS VALOR_MAX,'"&amp;MAX('ID1&amp;5'!K:K)+1&amp;"' AS ID_EXEC, CURRENT_TIMESTAMP() AS TIME_EXEC FROM "&amp;MID(I118,1,LEN(I118)-2)&amp;" AND CAST("&amp;F118&amp;"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TABELA_SIMUL,'ACCMLTD_IMPRMNT_INSTRMNT' AS CAMPO, '${ref_date}' AS REF_DATE, COUNT(*) AS NUM_REG, SUM(IF(TRIM(CAST(X.ACCMLTD_IMPRMNT_INSTRMNT AS STRING))='' OR TRIM(CAST(X.ACCMLTD_IMPRMNT_INSTRMNT AS STRING)) IS NULL,1,0)) AS NUM_REG_DIF,'10' AS ID_EXEC, CURRENT_TIMESTAMP() AS TIME_EXEC FROM (SELECT instrmnt_id, ACCMLTD_IMPRMNT_INSTRMNT FROM BU_LOANTAPE_WORK.LT002_INSTRUMENT WHERE ref_date='${ref_date}' AND nome_perimetro='Individual Corporativo' AND segmento='ESTR' AND ambito='PILAR3')X</v>
      </c>
      <c r="M118" s="43" t="str">
        <f t="shared" si="1"/>
        <v>UNION ALL SELECT 'INSTRUMENT' AS TABELA, 'VALIDADE' AS TIPOLOGIA_TESTE,'BU_LOANTAPE_WORK.LT002_INSTRUMENT' AS TABELA_LT,'N/A' AS TABELA_SIMUL,'ACCMLTD_IMPRMNT_INSTRMNT' AS CAMPO, '${ref_date}' AS REF_DATE, COUNT(*) AS NUM_REG, SUM(IF(TRIM(CAST(X.ACCMLTD_IMPRMNT_INSTRMNT AS STRING))='' OR TRIM(CAST(X.ACCMLTD_IMPRMNT_INSTRMNT AS STRING)) IS NULL,1,0)) AS NUM_REG_DIF,'10' AS ID_EXEC, CURRENT_TIMESTAMP() AS TIME_EXEC FROM (SELECT instrmnt_id, ACCMLTD_IMPRMNT_INSTRMNT FROM BU_LOANTAPE_WORK.LT002_INSTRUMENT WHERE ref_date='${ref_date}' AND nome_perimetro='Individual Corporativo' AND segmento='ESTR' AND ambito='PILAR3')X</v>
      </c>
      <c r="N118" s="45" t="s">
        <v>13</v>
      </c>
    </row>
    <row r="119" spans="2:14">
      <c r="B119" s="41" t="s">
        <v>27</v>
      </c>
      <c r="C119" s="41" t="s">
        <v>75</v>
      </c>
      <c r="D119" s="41" t="str">
        <f>+UPPER('0. Instruções'!$D$33&amp;"."&amp;VLOOKUP(B119,'0. Instruções'!$C$27:$D$31,2,FALSE))</f>
        <v>BU_LOANTAPE_WORK.LT002_INSTRUMENT</v>
      </c>
      <c r="E119" s="41" t="str">
        <f>+UPPER('0. Instruções'!$D$34&amp;"."&amp;VLOOKUP(B119,'0. Instruções'!$C$27:$E$31,3,FALSE))</f>
        <v>BU_LOANTAPE_WORK.LT002_INSTRUMENT_P3_NOV24</v>
      </c>
      <c r="F119" s="41" t="s">
        <v>169</v>
      </c>
      <c r="G119" s="41" t="s">
        <v>13</v>
      </c>
      <c r="H119" s="41"/>
      <c r="I119" s="41" t="str">
        <f>"(SELECT "&amp;VLOOKUP(B119,'0. Instruções'!$C$27:$G$31,4,FALSE)&amp;", "&amp;F119&amp;" FROM "&amp;D119&amp;" WHERE "&amp;'0. Instruções'!$D$40&amp;")X"</f>
        <v>(SELECT instrmnt_id, ISSR_CNTRY FROM BU_LOANTAPE_WORK.LT002_INSTRUMENT WHERE ref_date='${ref_date}' AND nome_perimetro='Individual Corporativo' AND segmento='ESTR' AND ambito='PILAR3')X</v>
      </c>
      <c r="J119" s="41" t="str">
        <f>"(SELECT "&amp;VLOOKUP(B119,'0. Instruções'!$C$27:$G$31,4,FALSE)&amp;" AS "&amp;VLOOKUP(B119,'0. Instruções'!$C$27:$G$31,4,FALSE)&amp;"_SIMUL, "&amp;F119&amp;" AS "&amp;F119&amp;"_SIMUL FROM "&amp;E119&amp;")Y"</f>
        <v>(SELECT instrmnt_id AS instrmnt_id_SIMUL, ISSR_CNTRY AS ISSR_CNTRY_SIMUL FROM BU_LOANTAPE_WORK.LT002_INSTRUMENT_P3_NOV24)Y</v>
      </c>
      <c r="K119" s="42" t="str">
        <f>+UPPER("ON X."&amp;VLOOKUP(B119,'0. Instruções'!$C$27:$G$31,4,FALSE)&amp;"=Y."&amp;VLOOKUP(B119,'0. Instruções'!$C$27:$G$31,4,FALSE)&amp;"_SIMUL")</f>
        <v>ON X.INSTRMNT_ID=Y.INSTRMNT_ID_SIMUL</v>
      </c>
      <c r="L119" s="42" t="str">
        <f>+IF(C119="Coerência", +IF(LEFT(G119,5)="FLOAT","SELECT '"&amp;UPPER(B119)&amp;"' AS TABELA, '"&amp;UPPER(C119)&amp;"' AS TIPOLOGIA_TESTE,'"&amp;D119&amp;"' AS TABELA_LT,'"&amp;E119&amp;"' AS TABELA_SIMUL,'"&amp;F119&amp;"' AS CAMPO, "&amp;"'${ref_date}' AS REF_DATE, COUNT(*) AS NUM_REG, SUM(IF((ABS(COALESCE(X."&amp;F119&amp;",0)-COALESCE(Y."&amp;F119&amp;"_SIMUL,0))&gt;0.0000000001) OR (X."&amp;F119&amp;" IS NULL AND Y."&amp;F119&amp;"_SIMUL IS NOT NULL ) OR (X."&amp;F119&amp;" IS NOT NULL AND Y."&amp;F119&amp;"_SIMUL IS NULL),1,0)) AS NUM_REG_DIF,'"&amp;MAX('ID1&amp;5'!K:K)+1&amp;"' AS ID_EXEC, CURRENT_TIMESTAMP() AS TIME_EXEC FROM "&amp;I119&amp;" INNER JOIN "&amp;J119&amp;" "&amp;K119,"SELECT '"&amp;UPPER(B119)&amp;"' AS TABELA, '"&amp;UPPER(C119)&amp;"' AS TIPOLOGIA_TESTE,'"&amp;D119&amp;"' AS TABELA_LT,'"&amp;E119&amp;"' AS TABELA_SIMUL,'"&amp;F119&amp;"' AS CAMPO, "&amp;"'${ref_date}' AS REF_DATE, COUNT(*) AS NUM_REG, SUM(IF(COALESCE(CAST(X."&amp;F119&amp;" AS STRING),'')&lt;&gt;COALESCE(CAST(Y."&amp;F119&amp;"_SIMUL AS STRING),''),1,0)) AS NUM_REG_DIF,'"&amp;MAX('ID1&amp;5'!L:L)+1&amp;"' AS ID_EXEC, CURRENT_TIMESTAMP() AS TIME_EXEC FROM "&amp;I119&amp;" INNER JOIN "&amp;J119&amp;" "&amp;K119),
IF(C119="Validade",+IF(G119="Code List","SELECT '"&amp;UPPER(B119)&amp;"' AS TABELA, '"&amp;UPPER(C119)&amp;"' AS TIPOLOGIA_TESTE,'"&amp;D119&amp;"' AS TABELA_LT,'N/A' AS TABELA_SIMUL,'"&amp;F119&amp;"' AS CAMPO, "&amp;"'${ref_date}' AS REF_DATE, COUNT(*) AS NUM_REG, SUM(IF(TRIM(CAST(X."&amp;F119&amp;" AS STRING))='' OR TRIM(CAST(X."&amp;F119&amp;" AS STRING)) IS NULL OR CAST(X."&amp;F119&amp;" AS STRING) NOT "&amp;H119&amp;",1,0)) AS NUM_REG_DIF,'"&amp;MAX('ID1&amp;5'!K:K)+1&amp;"' AS ID_EXEC, CURRENT_TIMESTAMP() AS TIME_EXEC FROM "&amp;I119,"SELECT '"&amp;UPPER(B119)&amp;"' AS TABELA, '"&amp;UPPER(C119)&amp;"' AS TIPOLOGIA_TESTE,'"&amp;D119&amp;"' AS TABELA_LT,'N/A' AS TABELA_SIMUL,'"&amp;F119&amp;"' AS CAMPO, "&amp;"'${ref_date}' AS REF_DATE, COUNT(*) AS NUM_REG, SUM(IF(TRIM(CAST(X."&amp;F119&amp;" AS STRING))='' OR TRIM(CAST(X."&amp;F119&amp;" AS STRING)) IS NULL,1,0)) AS NUM_REG_DIF,'"&amp;MAX('ID1&amp;5'!K:K)+1&amp;"' AS ID_EXEC, CURRENT_TIMESTAMP() AS TIME_EXEC FROM "&amp;I119),
IF(C119="Caracteres Especiais",+"SELECT '"&amp;UPPER(B119)&amp;"' AS TABELA, '"&amp;UPPER(C119)&amp;"' AS TIPOLOGIA_TESTE,'"&amp;D119&amp;"' AS TABELA_LT,'N/A' AS TABELA_SIMUL,'"&amp;F119&amp;"' AS CAMPO, "&amp;"'${ref_date}' AS REF_DATE, COUNT(*) AS NUM_REG, SUM(IF(INSTR(CAST(X."&amp;F119&amp;" AS STRING),'#')&gt;0 OR INSTR(CAST(X."&amp;F119&amp;" AS STRING),'*')&gt;0 OR INSTR(CAST(X."&amp;F119&amp;" AS STRING),'`')&gt;0 OR INSTR(CAST(X."&amp;F119&amp;" AS STRING),'´')&gt;0 OR INSTR(CAST(X."&amp;F119&amp;" AS STRING),'{')&gt;0 OR INSTR(CAST(X."&amp;F119&amp;" AS STRING),'}')&gt;0 OR INSTR(CAST(X."&amp;F119&amp;" AS STRING),'[')&gt;0 OR INSTR(CAST(X."&amp;F119&amp;" AS STRING),'')&gt;0 OR INSTR(CAST(X."&amp;F119&amp;" AS STRING),']')&gt;0 OR INSTR(CAST(X."&amp;F119&amp;" AS STRING),'?')&gt;0 OR INSTR(CAST(X."&amp;F119&amp;" AS STRING),'!')&gt;0 OR INSTR(CAST(X."&amp;F119&amp;" AS STRING),'$')&gt;0 OR INSTR(CAST(X."&amp;F119&amp;" AS STRING),'%')&gt;0 OR INSTR(CAST(X."&amp;F119&amp;" AS STRING),'&amp;')&gt;0 OR INSTR(CAST(X."&amp;F119&amp;" AS STRING),'+')&gt;0,1,0)) AS NUM_REG_DIF,'"&amp;MAX('ID1&amp;5'!K:K)+1&amp;"' AS ID_EXEC, CURRENT_TIMESTAMP() AS TIME_EXEC FROM "&amp;I119,
IF(C119="Missings",+"SELECT '"&amp;UPPER(B119)&amp;"' AS TABELA, '"&amp;UPPER(C119)&amp;"' AS TIPOLOGIA_TESTE,'"&amp;D119&amp;"' AS TABELA_LT,'N/A' AS TABELA_SIMUL,'"&amp;F119&amp;"' AS CAMPO, "&amp;"'${ref_date}' AS REF_DATE, COUNT(*) AS NUM_REG, SUM(IF(TRIM(CAST(X."&amp;F119&amp;" AS STRING)) IN ('0000-00-00','0001-01-01','9999-12-31','MISS','00000','99999999999','99999999999.00','99999999999.000000'),1,0)) AS NUM_REG_DIF,'"&amp;MAX('ID1&amp;5'!K:K)+1&amp;"' AS ID_EXEC, CURRENT_TIMESTAMP() AS TIME_EXEC FROM "&amp;I119,
IF(C119="Not applicable",+"SELECT '"&amp;UPPER(B119)&amp;"' AS TABELA, '"&amp;UPPER(C119)&amp;"' AS TIPOLOGIA_TESTE,'"&amp;D119&amp;"' AS TABELA_LT,'N/A' AS TABELA_SIMUL,'"&amp;F119&amp;"' AS CAMPO, "&amp;"'${ref_date}' AS REF_DATE, COUNT(*) AS NUM_REG, SUM(IF(TRIM(CAST(X."&amp;F119&amp;" AS STRING)) IN ('N/A','11111111111','11111111111.00','11111111111.000000','1111-11-11'),1,0)) AS NUM_REG_DIF,'"&amp;MAX('ID1&amp;5'!K:K)+1&amp;"' AS ID_EXEC, CURRENT_TIMESTAMP() AS TIME_EXEC FROM "&amp;I119,
IF(C119="Valores extremos",+"SELECT '"&amp;UPPER(B119)&amp;"' AS TABELA, '"&amp;UPPER(C119)&amp;"' AS TIPOLOGIA_TESTE,'"&amp;D119&amp;"' AS TABELA_LT,'N/A' AS TABELA_SIMUL,'"&amp;F119&amp;"' AS CAMPO, "&amp;"'${ref_date}' AS REF_DATE, CAST(MIN("&amp;F119&amp;") AS STRING) AS VALOR_MIN, CAST(MAX("&amp;F119&amp;") AS STRING) AS VALOR_MAX,'"&amp;MAX('ID1&amp;5'!K:K)+1&amp;"' AS ID_EXEC, CURRENT_TIMESTAMP() AS TIME_EXEC FROM "&amp;MID(I119,1,LEN(I119)-2)&amp;" AND CAST("&amp;F119&amp;"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TABELA_SIMUL,'ISSR_CNTRY' AS CAMPO, '${ref_date}' AS REF_DATE, COUNT(*) AS NUM_REG, SUM(IF(TRIM(CAST(X.ISSR_CNTRY AS STRING))='' OR TRIM(CAST(X.ISSR_CNTRY AS STRING)) IS NULL,1,0)) AS NUM_REG_DIF,'10' AS ID_EXEC, CURRENT_TIMESTAMP() AS TIME_EXEC FROM (SELECT instrmnt_id, ISSR_CNTRY FROM BU_LOANTAPE_WORK.LT002_INSTRUMENT WHERE ref_date='${ref_date}' AND nome_perimetro='Individual Corporativo' AND segmento='ESTR' AND ambito='PILAR3')X</v>
      </c>
      <c r="M119" s="43" t="str">
        <f t="shared" si="1"/>
        <v>UNION ALL SELECT 'INSTRUMENT' AS TABELA, 'VALIDADE' AS TIPOLOGIA_TESTE,'BU_LOANTAPE_WORK.LT002_INSTRUMENT' AS TABELA_LT,'N/A' AS TABELA_SIMUL,'ISSR_CNTRY' AS CAMPO, '${ref_date}' AS REF_DATE, COUNT(*) AS NUM_REG, SUM(IF(TRIM(CAST(X.ISSR_CNTRY AS STRING))='' OR TRIM(CAST(X.ISSR_CNTRY AS STRING)) IS NULL,1,0)) AS NUM_REG_DIF,'10' AS ID_EXEC, CURRENT_TIMESTAMP() AS TIME_EXEC FROM (SELECT instrmnt_id, ISSR_CNTRY FROM BU_LOANTAPE_WORK.LT002_INSTRUMENT WHERE ref_date='${ref_date}' AND nome_perimetro='Individual Corporativo' AND segmento='ESTR' AND ambito='PILAR3')X</v>
      </c>
      <c r="N119" s="45" t="s">
        <v>13</v>
      </c>
    </row>
    <row r="120" spans="2:14">
      <c r="B120" s="41" t="s">
        <v>27</v>
      </c>
      <c r="C120" s="41" t="s">
        <v>75</v>
      </c>
      <c r="D120" s="41" t="str">
        <f>+UPPER('0. Instruções'!$D$33&amp;"."&amp;VLOOKUP(B120,'0. Instruções'!$C$27:$D$31,2,FALSE))</f>
        <v>BU_LOANTAPE_WORK.LT002_INSTRUMENT</v>
      </c>
      <c r="E120" s="41" t="str">
        <f>+UPPER('0. Instruções'!$D$34&amp;"."&amp;VLOOKUP(B120,'0. Instruções'!$C$27:$E$31,3,FALSE))</f>
        <v>BU_LOANTAPE_WORK.LT002_INSTRUMENT_P3_NOV24</v>
      </c>
      <c r="F120" s="41" t="s">
        <v>170</v>
      </c>
      <c r="G120" s="41" t="s">
        <v>13</v>
      </c>
      <c r="H120" s="41"/>
      <c r="I120" s="41" t="str">
        <f>"(SELECT "&amp;VLOOKUP(B120,'0. Instruções'!$C$27:$G$31,4,FALSE)&amp;", "&amp;F120&amp;" FROM "&amp;D120&amp;" WHERE "&amp;'0. Instruções'!$D$40&amp;")X"</f>
        <v>(SELECT instrmnt_id, ISSR_NACE_SCTR FROM BU_LOANTAPE_WORK.LT002_INSTRUMENT WHERE ref_date='${ref_date}' AND nome_perimetro='Individual Corporativo' AND segmento='ESTR' AND ambito='PILAR3')X</v>
      </c>
      <c r="J120" s="41" t="str">
        <f>"(SELECT "&amp;VLOOKUP(B120,'0. Instruções'!$C$27:$G$31,4,FALSE)&amp;" AS "&amp;VLOOKUP(B120,'0. Instruções'!$C$27:$G$31,4,FALSE)&amp;"_SIMUL, "&amp;F120&amp;" AS "&amp;F120&amp;"_SIMUL FROM "&amp;E120&amp;")Y"</f>
        <v>(SELECT instrmnt_id AS instrmnt_id_SIMUL, ISSR_NACE_SCTR AS ISSR_NACE_SCTR_SIMUL FROM BU_LOANTAPE_WORK.LT002_INSTRUMENT_P3_NOV24)Y</v>
      </c>
      <c r="K120" s="42" t="str">
        <f>+UPPER("ON X."&amp;VLOOKUP(B120,'0. Instruções'!$C$27:$G$31,4,FALSE)&amp;"=Y."&amp;VLOOKUP(B120,'0. Instruções'!$C$27:$G$31,4,FALSE)&amp;"_SIMUL")</f>
        <v>ON X.INSTRMNT_ID=Y.INSTRMNT_ID_SIMUL</v>
      </c>
      <c r="L120" s="42" t="str">
        <f>+IF(C120="Coerência", +IF(LEFT(G120,5)="FLOAT","SELECT '"&amp;UPPER(B120)&amp;"' AS TABELA, '"&amp;UPPER(C120)&amp;"' AS TIPOLOGIA_TESTE,'"&amp;D120&amp;"' AS TABELA_LT,'"&amp;E120&amp;"' AS TABELA_SIMUL,'"&amp;F120&amp;"' AS CAMPO, "&amp;"'${ref_date}' AS REF_DATE, COUNT(*) AS NUM_REG, SUM(IF((ABS(COALESCE(X."&amp;F120&amp;",0)-COALESCE(Y."&amp;F120&amp;"_SIMUL,0))&gt;0.0000000001) OR (X."&amp;F120&amp;" IS NULL AND Y."&amp;F120&amp;"_SIMUL IS NOT NULL ) OR (X."&amp;F120&amp;" IS NOT NULL AND Y."&amp;F120&amp;"_SIMUL IS NULL),1,0)) AS NUM_REG_DIF,'"&amp;MAX('ID1&amp;5'!K:K)+1&amp;"' AS ID_EXEC, CURRENT_TIMESTAMP() AS TIME_EXEC FROM "&amp;I120&amp;" INNER JOIN "&amp;J120&amp;" "&amp;K120,"SELECT '"&amp;UPPER(B120)&amp;"' AS TABELA, '"&amp;UPPER(C120)&amp;"' AS TIPOLOGIA_TESTE,'"&amp;D120&amp;"' AS TABELA_LT,'"&amp;E120&amp;"' AS TABELA_SIMUL,'"&amp;F120&amp;"' AS CAMPO, "&amp;"'${ref_date}' AS REF_DATE, COUNT(*) AS NUM_REG, SUM(IF(COALESCE(CAST(X."&amp;F120&amp;" AS STRING),'')&lt;&gt;COALESCE(CAST(Y."&amp;F120&amp;"_SIMUL AS STRING),''),1,0)) AS NUM_REG_DIF,'"&amp;MAX('ID1&amp;5'!L:L)+1&amp;"' AS ID_EXEC, CURRENT_TIMESTAMP() AS TIME_EXEC FROM "&amp;I120&amp;" INNER JOIN "&amp;J120&amp;" "&amp;K120),
IF(C120="Validade",+IF(G120="Code List","SELECT '"&amp;UPPER(B120)&amp;"' AS TABELA, '"&amp;UPPER(C120)&amp;"' AS TIPOLOGIA_TESTE,'"&amp;D120&amp;"' AS TABELA_LT,'N/A' AS TABELA_SIMUL,'"&amp;F120&amp;"' AS CAMPO, "&amp;"'${ref_date}' AS REF_DATE, COUNT(*) AS NUM_REG, SUM(IF(TRIM(CAST(X."&amp;F120&amp;" AS STRING))='' OR TRIM(CAST(X."&amp;F120&amp;" AS STRING)) IS NULL OR CAST(X."&amp;F120&amp;" AS STRING) NOT "&amp;H120&amp;",1,0)) AS NUM_REG_DIF,'"&amp;MAX('ID1&amp;5'!K:K)+1&amp;"' AS ID_EXEC, CURRENT_TIMESTAMP() AS TIME_EXEC FROM "&amp;I120,"SELECT '"&amp;UPPER(B120)&amp;"' AS TABELA, '"&amp;UPPER(C120)&amp;"' AS TIPOLOGIA_TESTE,'"&amp;D120&amp;"' AS TABELA_LT,'N/A' AS TABELA_SIMUL,'"&amp;F120&amp;"' AS CAMPO, "&amp;"'${ref_date}' AS REF_DATE, COUNT(*) AS NUM_REG, SUM(IF(TRIM(CAST(X."&amp;F120&amp;" AS STRING))='' OR TRIM(CAST(X."&amp;F120&amp;" AS STRING)) IS NULL,1,0)) AS NUM_REG_DIF,'"&amp;MAX('ID1&amp;5'!K:K)+1&amp;"' AS ID_EXEC, CURRENT_TIMESTAMP() AS TIME_EXEC FROM "&amp;I120),
IF(C120="Caracteres Especiais",+"SELECT '"&amp;UPPER(B120)&amp;"' AS TABELA, '"&amp;UPPER(C120)&amp;"' AS TIPOLOGIA_TESTE,'"&amp;D120&amp;"' AS TABELA_LT,'N/A' AS TABELA_SIMUL,'"&amp;F120&amp;"' AS CAMPO, "&amp;"'${ref_date}' AS REF_DATE, COUNT(*) AS NUM_REG, SUM(IF(INSTR(CAST(X."&amp;F120&amp;" AS STRING),'#')&gt;0 OR INSTR(CAST(X."&amp;F120&amp;" AS STRING),'*')&gt;0 OR INSTR(CAST(X."&amp;F120&amp;" AS STRING),'`')&gt;0 OR INSTR(CAST(X."&amp;F120&amp;" AS STRING),'´')&gt;0 OR INSTR(CAST(X."&amp;F120&amp;" AS STRING),'{')&gt;0 OR INSTR(CAST(X."&amp;F120&amp;" AS STRING),'}')&gt;0 OR INSTR(CAST(X."&amp;F120&amp;" AS STRING),'[')&gt;0 OR INSTR(CAST(X."&amp;F120&amp;" AS STRING),'')&gt;0 OR INSTR(CAST(X."&amp;F120&amp;" AS STRING),']')&gt;0 OR INSTR(CAST(X."&amp;F120&amp;" AS STRING),'?')&gt;0 OR INSTR(CAST(X."&amp;F120&amp;" AS STRING),'!')&gt;0 OR INSTR(CAST(X."&amp;F120&amp;" AS STRING),'$')&gt;0 OR INSTR(CAST(X."&amp;F120&amp;" AS STRING),'%')&gt;0 OR INSTR(CAST(X."&amp;F120&amp;" AS STRING),'&amp;')&gt;0 OR INSTR(CAST(X."&amp;F120&amp;" AS STRING),'+')&gt;0,1,0)) AS NUM_REG_DIF,'"&amp;MAX('ID1&amp;5'!K:K)+1&amp;"' AS ID_EXEC, CURRENT_TIMESTAMP() AS TIME_EXEC FROM "&amp;I120,
IF(C120="Missings",+"SELECT '"&amp;UPPER(B120)&amp;"' AS TABELA, '"&amp;UPPER(C120)&amp;"' AS TIPOLOGIA_TESTE,'"&amp;D120&amp;"' AS TABELA_LT,'N/A' AS TABELA_SIMUL,'"&amp;F120&amp;"' AS CAMPO, "&amp;"'${ref_date}' AS REF_DATE, COUNT(*) AS NUM_REG, SUM(IF(TRIM(CAST(X."&amp;F120&amp;" AS STRING)) IN ('0000-00-00','0001-01-01','9999-12-31','MISS','00000','99999999999','99999999999.00','99999999999.000000'),1,0)) AS NUM_REG_DIF,'"&amp;MAX('ID1&amp;5'!K:K)+1&amp;"' AS ID_EXEC, CURRENT_TIMESTAMP() AS TIME_EXEC FROM "&amp;I120,
IF(C120="Not applicable",+"SELECT '"&amp;UPPER(B120)&amp;"' AS TABELA, '"&amp;UPPER(C120)&amp;"' AS TIPOLOGIA_TESTE,'"&amp;D120&amp;"' AS TABELA_LT,'N/A' AS TABELA_SIMUL,'"&amp;F120&amp;"' AS CAMPO, "&amp;"'${ref_date}' AS REF_DATE, COUNT(*) AS NUM_REG, SUM(IF(TRIM(CAST(X."&amp;F120&amp;" AS STRING)) IN ('N/A','11111111111','11111111111.00','11111111111.000000','1111-11-11'),1,0)) AS NUM_REG_DIF,'"&amp;MAX('ID1&amp;5'!K:K)+1&amp;"' AS ID_EXEC, CURRENT_TIMESTAMP() AS TIME_EXEC FROM "&amp;I120,
IF(C120="Valores extremos",+"SELECT '"&amp;UPPER(B120)&amp;"' AS TABELA, '"&amp;UPPER(C120)&amp;"' AS TIPOLOGIA_TESTE,'"&amp;D120&amp;"' AS TABELA_LT,'N/A' AS TABELA_SIMUL,'"&amp;F120&amp;"' AS CAMPO, "&amp;"'${ref_date}' AS REF_DATE, CAST(MIN("&amp;F120&amp;") AS STRING) AS VALOR_MIN, CAST(MAX("&amp;F120&amp;") AS STRING) AS VALOR_MAX,'"&amp;MAX('ID1&amp;5'!K:K)+1&amp;"' AS ID_EXEC, CURRENT_TIMESTAMP() AS TIME_EXEC FROM "&amp;MID(I120,1,LEN(I120)-2)&amp;" AND CAST("&amp;F120&amp;"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TABELA_SIMUL,'ISSR_NACE_SCTR' AS CAMPO, '${ref_date}' AS REF_DATE, COUNT(*) AS NUM_REG, SUM(IF(TRIM(CAST(X.ISSR_NACE_SCTR AS STRING))='' OR TRIM(CAST(X.ISSR_NACE_SCTR AS STRING)) IS NULL,1,0)) AS NUM_REG_DIF,'10' AS ID_EXEC, CURRENT_TIMESTAMP() AS TIME_EXEC FROM (SELECT instrmnt_id, ISSR_NACE_SCTR FROM BU_LOANTAPE_WORK.LT002_INSTRUMENT WHERE ref_date='${ref_date}' AND nome_perimetro='Individual Corporativo' AND segmento='ESTR' AND ambito='PILAR3')X</v>
      </c>
      <c r="M120" s="43" t="str">
        <f t="shared" si="1"/>
        <v>UNION ALL SELECT 'INSTRUMENT' AS TABELA, 'VALIDADE' AS TIPOLOGIA_TESTE,'BU_LOANTAPE_WORK.LT002_INSTRUMENT' AS TABELA_LT,'N/A' AS TABELA_SIMUL,'ISSR_NACE_SCTR' AS CAMPO, '${ref_date}' AS REF_DATE, COUNT(*) AS NUM_REG, SUM(IF(TRIM(CAST(X.ISSR_NACE_SCTR AS STRING))='' OR TRIM(CAST(X.ISSR_NACE_SCTR AS STRING)) IS NULL,1,0)) AS NUM_REG_DIF,'10' AS ID_EXEC, CURRENT_TIMESTAMP() AS TIME_EXEC FROM (SELECT instrmnt_id, ISSR_NACE_SCTR FROM BU_LOANTAPE_WORK.LT002_INSTRUMENT WHERE ref_date='${ref_date}' AND nome_perimetro='Individual Corporativo' AND segmento='ESTR' AND ambito='PILAR3')X</v>
      </c>
      <c r="N120" s="45" t="s">
        <v>13</v>
      </c>
    </row>
    <row r="121" spans="2:14">
      <c r="B121" s="41" t="s">
        <v>27</v>
      </c>
      <c r="C121" s="41" t="s">
        <v>75</v>
      </c>
      <c r="D121" s="41" t="str">
        <f>+UPPER('0. Instruções'!$D$33&amp;"."&amp;VLOOKUP(B121,'0. Instruções'!$C$27:$D$31,2,FALSE))</f>
        <v>BU_LOANTAPE_WORK.LT002_INSTRUMENT</v>
      </c>
      <c r="E121" s="41" t="str">
        <f>+UPPER('0. Instruções'!$D$34&amp;"."&amp;VLOOKUP(B121,'0. Instruções'!$C$27:$E$31,3,FALSE))</f>
        <v>BU_LOANTAPE_WORK.LT002_INSTRUMENT_P3_NOV24</v>
      </c>
      <c r="F121" s="41" t="s">
        <v>171</v>
      </c>
      <c r="G121" s="41" t="s">
        <v>13</v>
      </c>
      <c r="H121" s="41"/>
      <c r="I121" s="41" t="str">
        <f>"(SELECT "&amp;VLOOKUP(B121,'0. Instruções'!$C$27:$G$31,4,FALSE)&amp;", "&amp;F121&amp;" FROM "&amp;D121&amp;" WHERE "&amp;'0. Instruções'!$D$40&amp;")X"</f>
        <v>(SELECT instrmnt_id, PRMRY_ASST_CLSSF FROM BU_LOANTAPE_WORK.LT002_INSTRUMENT WHERE ref_date='${ref_date}' AND nome_perimetro='Individual Corporativo' AND segmento='ESTR' AND ambito='PILAR3')X</v>
      </c>
      <c r="J121" s="41" t="str">
        <f>"(SELECT "&amp;VLOOKUP(B121,'0. Instruções'!$C$27:$G$31,4,FALSE)&amp;" AS "&amp;VLOOKUP(B121,'0. Instruções'!$C$27:$G$31,4,FALSE)&amp;"_SIMUL, "&amp;F121&amp;" AS "&amp;F121&amp;"_SIMUL FROM "&amp;E121&amp;")Y"</f>
        <v>(SELECT instrmnt_id AS instrmnt_id_SIMUL, PRMRY_ASST_CLSSF AS PRMRY_ASST_CLSSF_SIMUL FROM BU_LOANTAPE_WORK.LT002_INSTRUMENT_P3_NOV24)Y</v>
      </c>
      <c r="K121" s="42" t="str">
        <f>+UPPER("ON X."&amp;VLOOKUP(B121,'0. Instruções'!$C$27:$G$31,4,FALSE)&amp;"=Y."&amp;VLOOKUP(B121,'0. Instruções'!$C$27:$G$31,4,FALSE)&amp;"_SIMUL")</f>
        <v>ON X.INSTRMNT_ID=Y.INSTRMNT_ID_SIMUL</v>
      </c>
      <c r="L121" s="42" t="str">
        <f>+IF(C121="Coerência", +IF(LEFT(G121,5)="FLOAT","SELECT '"&amp;UPPER(B121)&amp;"' AS TABELA, '"&amp;UPPER(C121)&amp;"' AS TIPOLOGIA_TESTE,'"&amp;D121&amp;"' AS TABELA_LT,'"&amp;E121&amp;"' AS TABELA_SIMUL,'"&amp;F121&amp;"' AS CAMPO, "&amp;"'${ref_date}' AS REF_DATE, COUNT(*) AS NUM_REG, SUM(IF((ABS(COALESCE(X."&amp;F121&amp;",0)-COALESCE(Y."&amp;F121&amp;"_SIMUL,0))&gt;0.0000000001) OR (X."&amp;F121&amp;" IS NULL AND Y."&amp;F121&amp;"_SIMUL IS NOT NULL ) OR (X."&amp;F121&amp;" IS NOT NULL AND Y."&amp;F121&amp;"_SIMUL IS NULL),1,0)) AS NUM_REG_DIF,'"&amp;MAX('ID1&amp;5'!K:K)+1&amp;"' AS ID_EXEC, CURRENT_TIMESTAMP() AS TIME_EXEC FROM "&amp;I121&amp;" INNER JOIN "&amp;J121&amp;" "&amp;K121,"SELECT '"&amp;UPPER(B121)&amp;"' AS TABELA, '"&amp;UPPER(C121)&amp;"' AS TIPOLOGIA_TESTE,'"&amp;D121&amp;"' AS TABELA_LT,'"&amp;E121&amp;"' AS TABELA_SIMUL,'"&amp;F121&amp;"' AS CAMPO, "&amp;"'${ref_date}' AS REF_DATE, COUNT(*) AS NUM_REG, SUM(IF(COALESCE(CAST(X."&amp;F121&amp;" AS STRING),'')&lt;&gt;COALESCE(CAST(Y."&amp;F121&amp;"_SIMUL AS STRING),''),1,0)) AS NUM_REG_DIF,'"&amp;MAX('ID1&amp;5'!L:L)+1&amp;"' AS ID_EXEC, CURRENT_TIMESTAMP() AS TIME_EXEC FROM "&amp;I121&amp;" INNER JOIN "&amp;J121&amp;" "&amp;K121),
IF(C121="Validade",+IF(G121="Code List","SELECT '"&amp;UPPER(B121)&amp;"' AS TABELA, '"&amp;UPPER(C121)&amp;"' AS TIPOLOGIA_TESTE,'"&amp;D121&amp;"' AS TABELA_LT,'N/A' AS TABELA_SIMUL,'"&amp;F121&amp;"' AS CAMPO, "&amp;"'${ref_date}' AS REF_DATE, COUNT(*) AS NUM_REG, SUM(IF(TRIM(CAST(X."&amp;F121&amp;" AS STRING))='' OR TRIM(CAST(X."&amp;F121&amp;" AS STRING)) IS NULL OR CAST(X."&amp;F121&amp;" AS STRING) NOT "&amp;H121&amp;",1,0)) AS NUM_REG_DIF,'"&amp;MAX('ID1&amp;5'!K:K)+1&amp;"' AS ID_EXEC, CURRENT_TIMESTAMP() AS TIME_EXEC FROM "&amp;I121,"SELECT '"&amp;UPPER(B121)&amp;"' AS TABELA, '"&amp;UPPER(C121)&amp;"' AS TIPOLOGIA_TESTE,'"&amp;D121&amp;"' AS TABELA_LT,'N/A' AS TABELA_SIMUL,'"&amp;F121&amp;"' AS CAMPO, "&amp;"'${ref_date}' AS REF_DATE, COUNT(*) AS NUM_REG, SUM(IF(TRIM(CAST(X."&amp;F121&amp;" AS STRING))='' OR TRIM(CAST(X."&amp;F121&amp;" AS STRING)) IS NULL,1,0)) AS NUM_REG_DIF,'"&amp;MAX('ID1&amp;5'!K:K)+1&amp;"' AS ID_EXEC, CURRENT_TIMESTAMP() AS TIME_EXEC FROM "&amp;I121),
IF(C121="Caracteres Especiais",+"SELECT '"&amp;UPPER(B121)&amp;"' AS TABELA, '"&amp;UPPER(C121)&amp;"' AS TIPOLOGIA_TESTE,'"&amp;D121&amp;"' AS TABELA_LT,'N/A' AS TABELA_SIMUL,'"&amp;F121&amp;"' AS CAMPO, "&amp;"'${ref_date}' AS REF_DATE, COUNT(*) AS NUM_REG, SUM(IF(INSTR(CAST(X."&amp;F121&amp;" AS STRING),'#')&gt;0 OR INSTR(CAST(X."&amp;F121&amp;" AS STRING),'*')&gt;0 OR INSTR(CAST(X."&amp;F121&amp;" AS STRING),'`')&gt;0 OR INSTR(CAST(X."&amp;F121&amp;" AS STRING),'´')&gt;0 OR INSTR(CAST(X."&amp;F121&amp;" AS STRING),'{')&gt;0 OR INSTR(CAST(X."&amp;F121&amp;" AS STRING),'}')&gt;0 OR INSTR(CAST(X."&amp;F121&amp;" AS STRING),'[')&gt;0 OR INSTR(CAST(X."&amp;F121&amp;" AS STRING),'')&gt;0 OR INSTR(CAST(X."&amp;F121&amp;" AS STRING),']')&gt;0 OR INSTR(CAST(X."&amp;F121&amp;" AS STRING),'?')&gt;0 OR INSTR(CAST(X."&amp;F121&amp;" AS STRING),'!')&gt;0 OR INSTR(CAST(X."&amp;F121&amp;" AS STRING),'$')&gt;0 OR INSTR(CAST(X."&amp;F121&amp;" AS STRING),'%')&gt;0 OR INSTR(CAST(X."&amp;F121&amp;" AS STRING),'&amp;')&gt;0 OR INSTR(CAST(X."&amp;F121&amp;" AS STRING),'+')&gt;0,1,0)) AS NUM_REG_DIF,'"&amp;MAX('ID1&amp;5'!K:K)+1&amp;"' AS ID_EXEC, CURRENT_TIMESTAMP() AS TIME_EXEC FROM "&amp;I121,
IF(C121="Missings",+"SELECT '"&amp;UPPER(B121)&amp;"' AS TABELA, '"&amp;UPPER(C121)&amp;"' AS TIPOLOGIA_TESTE,'"&amp;D121&amp;"' AS TABELA_LT,'N/A' AS TABELA_SIMUL,'"&amp;F121&amp;"' AS CAMPO, "&amp;"'${ref_date}' AS REF_DATE, COUNT(*) AS NUM_REG, SUM(IF(TRIM(CAST(X."&amp;F121&amp;" AS STRING)) IN ('0000-00-00','0001-01-01','9999-12-31','MISS','00000','99999999999','99999999999.00','99999999999.000000'),1,0)) AS NUM_REG_DIF,'"&amp;MAX('ID1&amp;5'!K:K)+1&amp;"' AS ID_EXEC, CURRENT_TIMESTAMP() AS TIME_EXEC FROM "&amp;I121,
IF(C121="Not applicable",+"SELECT '"&amp;UPPER(B121)&amp;"' AS TABELA, '"&amp;UPPER(C121)&amp;"' AS TIPOLOGIA_TESTE,'"&amp;D121&amp;"' AS TABELA_LT,'N/A' AS TABELA_SIMUL,'"&amp;F121&amp;"' AS CAMPO, "&amp;"'${ref_date}' AS REF_DATE, COUNT(*) AS NUM_REG, SUM(IF(TRIM(CAST(X."&amp;F121&amp;" AS STRING)) IN ('N/A','11111111111','11111111111.00','11111111111.000000','1111-11-11'),1,0)) AS NUM_REG_DIF,'"&amp;MAX('ID1&amp;5'!K:K)+1&amp;"' AS ID_EXEC, CURRENT_TIMESTAMP() AS TIME_EXEC FROM "&amp;I121,
IF(C121="Valores extremos",+"SELECT '"&amp;UPPER(B121)&amp;"' AS TABELA, '"&amp;UPPER(C121)&amp;"' AS TIPOLOGIA_TESTE,'"&amp;D121&amp;"' AS TABELA_LT,'N/A' AS TABELA_SIMUL,'"&amp;F121&amp;"' AS CAMPO, "&amp;"'${ref_date}' AS REF_DATE, CAST(MIN("&amp;F121&amp;") AS STRING) AS VALOR_MIN, CAST(MAX("&amp;F121&amp;") AS STRING) AS VALOR_MAX,'"&amp;MAX('ID1&amp;5'!K:K)+1&amp;"' AS ID_EXEC, CURRENT_TIMESTAMP() AS TIME_EXEC FROM "&amp;MID(I121,1,LEN(I121)-2)&amp;" AND CAST("&amp;F121&amp;"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TABELA_SIMUL,'PRMRY_ASST_CLSSF' AS CAMPO, '${ref_date}' AS REF_DATE, COUNT(*) AS NUM_REG, SUM(IF(TRIM(CAST(X.PRMRY_ASST_CLSSF AS STRING))='' OR TRIM(CAST(X.PRMRY_ASST_CLSSF AS STRING)) IS NULL,1,0)) AS NUM_REG_DIF,'10' AS ID_EXEC, CURRENT_TIMESTAMP() AS TIME_EXEC FROM (SELECT instrmnt_id, PRMRY_ASST_CLSSF FROM BU_LOANTAPE_WORK.LT002_INSTRUMENT WHERE ref_date='${ref_date}' AND nome_perimetro='Individual Corporativo' AND segmento='ESTR' AND ambito='PILAR3')X</v>
      </c>
      <c r="M121" s="43" t="str">
        <f t="shared" si="1"/>
        <v>UNION ALL SELECT 'INSTRUMENT' AS TABELA, 'VALIDADE' AS TIPOLOGIA_TESTE,'BU_LOANTAPE_WORK.LT002_INSTRUMENT' AS TABELA_LT,'N/A' AS TABELA_SIMUL,'PRMRY_ASST_CLSSF' AS CAMPO, '${ref_date}' AS REF_DATE, COUNT(*) AS NUM_REG, SUM(IF(TRIM(CAST(X.PRMRY_ASST_CLSSF AS STRING))='' OR TRIM(CAST(X.PRMRY_ASST_CLSSF AS STRING)) IS NULL,1,0)) AS NUM_REG_DIF,'10' AS ID_EXEC, CURRENT_TIMESTAMP() AS TIME_EXEC FROM (SELECT instrmnt_id, PRMRY_ASST_CLSSF FROM BU_LOANTAPE_WORK.LT002_INSTRUMENT WHERE ref_date='${ref_date}' AND nome_perimetro='Individual Corporativo' AND segmento='ESTR' AND ambito='PILAR3')X</v>
      </c>
      <c r="N121" s="45" t="s">
        <v>13</v>
      </c>
    </row>
    <row r="122" spans="2:14">
      <c r="B122" s="41" t="s">
        <v>27</v>
      </c>
      <c r="C122" s="41" t="s">
        <v>75</v>
      </c>
      <c r="D122" s="41" t="str">
        <f>+UPPER('0. Instruções'!$D$33&amp;"."&amp;VLOOKUP(B122,'0. Instruções'!$C$27:$D$31,2,FALSE))</f>
        <v>BU_LOANTAPE_WORK.LT002_INSTRUMENT</v>
      </c>
      <c r="E122" s="41" t="str">
        <f>+UPPER('0. Instruções'!$D$34&amp;"."&amp;VLOOKUP(B122,'0. Instruções'!$C$27:$E$31,3,FALSE))</f>
        <v>BU_LOANTAPE_WORK.LT002_INSTRUMENT_P3_NOV24</v>
      </c>
      <c r="F122" s="41" t="s">
        <v>172</v>
      </c>
      <c r="G122" s="41" t="s">
        <v>13</v>
      </c>
      <c r="H122" s="41"/>
      <c r="I122" s="41" t="str">
        <f>"(SELECT "&amp;VLOOKUP(B122,'0. Instruções'!$C$27:$G$31,4,FALSE)&amp;", "&amp;F122&amp;" FROM "&amp;D122&amp;" WHERE "&amp;'0. Instruções'!$D$40&amp;")X"</f>
        <v>(SELECT instrmnt_id, SUBPORTFOLIO_ID FROM BU_LOANTAPE_WORK.LT002_INSTRUMENT WHERE ref_date='${ref_date}' AND nome_perimetro='Individual Corporativo' AND segmento='ESTR' AND ambito='PILAR3')X</v>
      </c>
      <c r="J122" s="41" t="str">
        <f>"(SELECT "&amp;VLOOKUP(B122,'0. Instruções'!$C$27:$G$31,4,FALSE)&amp;" AS "&amp;VLOOKUP(B122,'0. Instruções'!$C$27:$G$31,4,FALSE)&amp;"_SIMUL, "&amp;F122&amp;" AS "&amp;F122&amp;"_SIMUL FROM "&amp;E122&amp;")Y"</f>
        <v>(SELECT instrmnt_id AS instrmnt_id_SIMUL, SUBPORTFOLIO_ID AS SUBPORTFOLIO_ID_SIMUL FROM BU_LOANTAPE_WORK.LT002_INSTRUMENT_P3_NOV24)Y</v>
      </c>
      <c r="K122" s="42" t="str">
        <f>+UPPER("ON X."&amp;VLOOKUP(B122,'0. Instruções'!$C$27:$G$31,4,FALSE)&amp;"=Y."&amp;VLOOKUP(B122,'0. Instruções'!$C$27:$G$31,4,FALSE)&amp;"_SIMUL")</f>
        <v>ON X.INSTRMNT_ID=Y.INSTRMNT_ID_SIMUL</v>
      </c>
      <c r="L122" s="42" t="str">
        <f>+IF(C122="Coerência", +IF(LEFT(G122,5)="FLOAT","SELECT '"&amp;UPPER(B122)&amp;"' AS TABELA, '"&amp;UPPER(C122)&amp;"' AS TIPOLOGIA_TESTE,'"&amp;D122&amp;"' AS TABELA_LT,'"&amp;E122&amp;"' AS TABELA_SIMUL,'"&amp;F122&amp;"' AS CAMPO, "&amp;"'${ref_date}' AS REF_DATE, COUNT(*) AS NUM_REG, SUM(IF((ABS(COALESCE(X."&amp;F122&amp;",0)-COALESCE(Y."&amp;F122&amp;"_SIMUL,0))&gt;0.0000000001) OR (X."&amp;F122&amp;" IS NULL AND Y."&amp;F122&amp;"_SIMUL IS NOT NULL ) OR (X."&amp;F122&amp;" IS NOT NULL AND Y."&amp;F122&amp;"_SIMUL IS NULL),1,0)) AS NUM_REG_DIF,'"&amp;MAX('ID1&amp;5'!K:K)+1&amp;"' AS ID_EXEC, CURRENT_TIMESTAMP() AS TIME_EXEC FROM "&amp;I122&amp;" INNER JOIN "&amp;J122&amp;" "&amp;K122,"SELECT '"&amp;UPPER(B122)&amp;"' AS TABELA, '"&amp;UPPER(C122)&amp;"' AS TIPOLOGIA_TESTE,'"&amp;D122&amp;"' AS TABELA_LT,'"&amp;E122&amp;"' AS TABELA_SIMUL,'"&amp;F122&amp;"' AS CAMPO, "&amp;"'${ref_date}' AS REF_DATE, COUNT(*) AS NUM_REG, SUM(IF(COALESCE(CAST(X."&amp;F122&amp;" AS STRING),'')&lt;&gt;COALESCE(CAST(Y."&amp;F122&amp;"_SIMUL AS STRING),''),1,0)) AS NUM_REG_DIF,'"&amp;MAX('ID1&amp;5'!L:L)+1&amp;"' AS ID_EXEC, CURRENT_TIMESTAMP() AS TIME_EXEC FROM "&amp;I122&amp;" INNER JOIN "&amp;J122&amp;" "&amp;K122),
IF(C122="Validade",+IF(G122="Code List","SELECT '"&amp;UPPER(B122)&amp;"' AS TABELA, '"&amp;UPPER(C122)&amp;"' AS TIPOLOGIA_TESTE,'"&amp;D122&amp;"' AS TABELA_LT,'N/A' AS TABELA_SIMUL,'"&amp;F122&amp;"' AS CAMPO, "&amp;"'${ref_date}' AS REF_DATE, COUNT(*) AS NUM_REG, SUM(IF(TRIM(CAST(X."&amp;F122&amp;" AS STRING))='' OR TRIM(CAST(X."&amp;F122&amp;" AS STRING)) IS NULL OR CAST(X."&amp;F122&amp;" AS STRING) NOT "&amp;H122&amp;",1,0)) AS NUM_REG_DIF,'"&amp;MAX('ID1&amp;5'!K:K)+1&amp;"' AS ID_EXEC, CURRENT_TIMESTAMP() AS TIME_EXEC FROM "&amp;I122,"SELECT '"&amp;UPPER(B122)&amp;"' AS TABELA, '"&amp;UPPER(C122)&amp;"' AS TIPOLOGIA_TESTE,'"&amp;D122&amp;"' AS TABELA_LT,'N/A' AS TABELA_SIMUL,'"&amp;F122&amp;"' AS CAMPO, "&amp;"'${ref_date}' AS REF_DATE, COUNT(*) AS NUM_REG, SUM(IF(TRIM(CAST(X."&amp;F122&amp;" AS STRING))='' OR TRIM(CAST(X."&amp;F122&amp;" AS STRING)) IS NULL,1,0)) AS NUM_REG_DIF,'"&amp;MAX('ID1&amp;5'!K:K)+1&amp;"' AS ID_EXEC, CURRENT_TIMESTAMP() AS TIME_EXEC FROM "&amp;I122),
IF(C122="Caracteres Especiais",+"SELECT '"&amp;UPPER(B122)&amp;"' AS TABELA, '"&amp;UPPER(C122)&amp;"' AS TIPOLOGIA_TESTE,'"&amp;D122&amp;"' AS TABELA_LT,'N/A' AS TABELA_SIMUL,'"&amp;F122&amp;"' AS CAMPO, "&amp;"'${ref_date}' AS REF_DATE, COUNT(*) AS NUM_REG, SUM(IF(INSTR(CAST(X."&amp;F122&amp;" AS STRING),'#')&gt;0 OR INSTR(CAST(X."&amp;F122&amp;" AS STRING),'*')&gt;0 OR INSTR(CAST(X."&amp;F122&amp;" AS STRING),'`')&gt;0 OR INSTR(CAST(X."&amp;F122&amp;" AS STRING),'´')&gt;0 OR INSTR(CAST(X."&amp;F122&amp;" AS STRING),'{')&gt;0 OR INSTR(CAST(X."&amp;F122&amp;" AS STRING),'}')&gt;0 OR INSTR(CAST(X."&amp;F122&amp;" AS STRING),'[')&gt;0 OR INSTR(CAST(X."&amp;F122&amp;" AS STRING),'')&gt;0 OR INSTR(CAST(X."&amp;F122&amp;" AS STRING),']')&gt;0 OR INSTR(CAST(X."&amp;F122&amp;" AS STRING),'?')&gt;0 OR INSTR(CAST(X."&amp;F122&amp;" AS STRING),'!')&gt;0 OR INSTR(CAST(X."&amp;F122&amp;" AS STRING),'$')&gt;0 OR INSTR(CAST(X."&amp;F122&amp;" AS STRING),'%')&gt;0 OR INSTR(CAST(X."&amp;F122&amp;" AS STRING),'&amp;')&gt;0 OR INSTR(CAST(X."&amp;F122&amp;" AS STRING),'+')&gt;0,1,0)) AS NUM_REG_DIF,'"&amp;MAX('ID1&amp;5'!K:K)+1&amp;"' AS ID_EXEC, CURRENT_TIMESTAMP() AS TIME_EXEC FROM "&amp;I122,
IF(C122="Missings",+"SELECT '"&amp;UPPER(B122)&amp;"' AS TABELA, '"&amp;UPPER(C122)&amp;"' AS TIPOLOGIA_TESTE,'"&amp;D122&amp;"' AS TABELA_LT,'N/A' AS TABELA_SIMUL,'"&amp;F122&amp;"' AS CAMPO, "&amp;"'${ref_date}' AS REF_DATE, COUNT(*) AS NUM_REG, SUM(IF(TRIM(CAST(X."&amp;F122&amp;" AS STRING)) IN ('0000-00-00','0001-01-01','9999-12-31','MISS','00000','99999999999','99999999999.00','99999999999.000000'),1,0)) AS NUM_REG_DIF,'"&amp;MAX('ID1&amp;5'!K:K)+1&amp;"' AS ID_EXEC, CURRENT_TIMESTAMP() AS TIME_EXEC FROM "&amp;I122,
IF(C122="Not applicable",+"SELECT '"&amp;UPPER(B122)&amp;"' AS TABELA, '"&amp;UPPER(C122)&amp;"' AS TIPOLOGIA_TESTE,'"&amp;D122&amp;"' AS TABELA_LT,'N/A' AS TABELA_SIMUL,'"&amp;F122&amp;"' AS CAMPO, "&amp;"'${ref_date}' AS REF_DATE, COUNT(*) AS NUM_REG, SUM(IF(TRIM(CAST(X."&amp;F122&amp;" AS STRING)) IN ('N/A','11111111111','11111111111.00','11111111111.000000','1111-11-11'),1,0)) AS NUM_REG_DIF,'"&amp;MAX('ID1&amp;5'!K:K)+1&amp;"' AS ID_EXEC, CURRENT_TIMESTAMP() AS TIME_EXEC FROM "&amp;I122,
IF(C122="Valores extremos",+"SELECT '"&amp;UPPER(B122)&amp;"' AS TABELA, '"&amp;UPPER(C122)&amp;"' AS TIPOLOGIA_TESTE,'"&amp;D122&amp;"' AS TABELA_LT,'N/A' AS TABELA_SIMUL,'"&amp;F122&amp;"' AS CAMPO, "&amp;"'${ref_date}' AS REF_DATE, CAST(MIN("&amp;F122&amp;") AS STRING) AS VALOR_MIN, CAST(MAX("&amp;F122&amp;") AS STRING) AS VALOR_MAX,'"&amp;MAX('ID1&amp;5'!K:K)+1&amp;"' AS ID_EXEC, CURRENT_TIMESTAMP() AS TIME_EXEC FROM "&amp;MID(I122,1,LEN(I122)-2)&amp;" AND CAST("&amp;F122&amp;"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TABELA_SIMUL,'SUBPORTFOLIO_ID' AS CAMPO, '${ref_date}' AS REF_DATE, COUNT(*) AS NUM_REG, SUM(IF(TRIM(CAST(X.SUBPORTFOLIO_ID AS STRING))='' OR TRIM(CAST(X.SUBPORTFOLIO_ID AS STRING)) IS NULL,1,0)) AS NUM_REG_DIF,'10' AS ID_EXEC, CURRENT_TIMESTAMP() AS TIME_EXEC FROM (SELECT instrmnt_id, SUBPORTFOLIO_ID FROM BU_LOANTAPE_WORK.LT002_INSTRUMENT WHERE ref_date='${ref_date}' AND nome_perimetro='Individual Corporativo' AND segmento='ESTR' AND ambito='PILAR3')X</v>
      </c>
      <c r="M122" s="43" t="str">
        <f t="shared" si="1"/>
        <v>UNION ALL SELECT 'INSTRUMENT' AS TABELA, 'VALIDADE' AS TIPOLOGIA_TESTE,'BU_LOANTAPE_WORK.LT002_INSTRUMENT' AS TABELA_LT,'N/A' AS TABELA_SIMUL,'SUBPORTFOLIO_ID' AS CAMPO, '${ref_date}' AS REF_DATE, COUNT(*) AS NUM_REG, SUM(IF(TRIM(CAST(X.SUBPORTFOLIO_ID AS STRING))='' OR TRIM(CAST(X.SUBPORTFOLIO_ID AS STRING)) IS NULL,1,0)) AS NUM_REG_DIF,'10' AS ID_EXEC, CURRENT_TIMESTAMP() AS TIME_EXEC FROM (SELECT instrmnt_id, SUBPORTFOLIO_ID FROM BU_LOANTAPE_WORK.LT002_INSTRUMENT WHERE ref_date='${ref_date}' AND nome_perimetro='Individual Corporativo' AND segmento='ESTR' AND ambito='PILAR3')X</v>
      </c>
      <c r="N122" s="45" t="s">
        <v>13</v>
      </c>
    </row>
    <row r="123" spans="2:14">
      <c r="B123" s="41" t="s">
        <v>27</v>
      </c>
      <c r="C123" s="41" t="s">
        <v>75</v>
      </c>
      <c r="D123" s="41" t="str">
        <f>+UPPER('0. Instruções'!$D$33&amp;"."&amp;VLOOKUP(B123,'0. Instruções'!$C$27:$D$31,2,FALSE))</f>
        <v>BU_LOANTAPE_WORK.LT002_INSTRUMENT</v>
      </c>
      <c r="E123" s="41" t="str">
        <f>+UPPER('0. Instruções'!$D$34&amp;"."&amp;VLOOKUP(B123,'0. Instruções'!$C$27:$E$31,3,FALSE))</f>
        <v>BU_LOANTAPE_WORK.LT002_INSTRUMENT_P3_NOV24</v>
      </c>
      <c r="F123" s="41" t="s">
        <v>173</v>
      </c>
      <c r="G123" s="41" t="s">
        <v>13</v>
      </c>
      <c r="H123" s="41"/>
      <c r="I123" s="41" t="str">
        <f>"(SELECT "&amp;VLOOKUP(B123,'0. Instruções'!$C$27:$G$31,4,FALSE)&amp;", "&amp;F123&amp;" FROM "&amp;D123&amp;" WHERE "&amp;'0. Instruções'!$D$40&amp;")X"</f>
        <v>(SELECT instrmnt_id, COD_SOC FROM BU_LOANTAPE_WORK.LT002_INSTRUMENT WHERE ref_date='${ref_date}' AND nome_perimetro='Individual Corporativo' AND segmento='ESTR' AND ambito='PILAR3')X</v>
      </c>
      <c r="J123" s="41" t="str">
        <f>"(SELECT "&amp;VLOOKUP(B123,'0. Instruções'!$C$27:$G$31,4,FALSE)&amp;" AS "&amp;VLOOKUP(B123,'0. Instruções'!$C$27:$G$31,4,FALSE)&amp;"_SIMUL, "&amp;F123&amp;" AS "&amp;F123&amp;"_SIMUL FROM "&amp;E123&amp;")Y"</f>
        <v>(SELECT instrmnt_id AS instrmnt_id_SIMUL, COD_SOC AS COD_SOC_SIMUL FROM BU_LOANTAPE_WORK.LT002_INSTRUMENT_P3_NOV24)Y</v>
      </c>
      <c r="K123" s="42" t="str">
        <f>+UPPER("ON X."&amp;VLOOKUP(B123,'0. Instruções'!$C$27:$G$31,4,FALSE)&amp;"=Y."&amp;VLOOKUP(B123,'0. Instruções'!$C$27:$G$31,4,FALSE)&amp;"_SIMUL")</f>
        <v>ON X.INSTRMNT_ID=Y.INSTRMNT_ID_SIMUL</v>
      </c>
      <c r="L123" s="42" t="str">
        <f>+IF(C123="Coerência", +IF(LEFT(G123,5)="FLOAT","SELECT '"&amp;UPPER(B123)&amp;"' AS TABELA, '"&amp;UPPER(C123)&amp;"' AS TIPOLOGIA_TESTE,'"&amp;D123&amp;"' AS TABELA_LT,'"&amp;E123&amp;"' AS TABELA_SIMUL,'"&amp;F123&amp;"' AS CAMPO, "&amp;"'${ref_date}' AS REF_DATE, COUNT(*) AS NUM_REG, SUM(IF((ABS(COALESCE(X."&amp;F123&amp;",0)-COALESCE(Y."&amp;F123&amp;"_SIMUL,0))&gt;0.0000000001) OR (X."&amp;F123&amp;" IS NULL AND Y."&amp;F123&amp;"_SIMUL IS NOT NULL ) OR (X."&amp;F123&amp;" IS NOT NULL AND Y."&amp;F123&amp;"_SIMUL IS NULL),1,0)) AS NUM_REG_DIF,'"&amp;MAX('ID1&amp;5'!K:K)+1&amp;"' AS ID_EXEC, CURRENT_TIMESTAMP() AS TIME_EXEC FROM "&amp;I123&amp;" INNER JOIN "&amp;J123&amp;" "&amp;K123,"SELECT '"&amp;UPPER(B123)&amp;"' AS TABELA, '"&amp;UPPER(C123)&amp;"' AS TIPOLOGIA_TESTE,'"&amp;D123&amp;"' AS TABELA_LT,'"&amp;E123&amp;"' AS TABELA_SIMUL,'"&amp;F123&amp;"' AS CAMPO, "&amp;"'${ref_date}' AS REF_DATE, COUNT(*) AS NUM_REG, SUM(IF(COALESCE(CAST(X."&amp;F123&amp;" AS STRING),'')&lt;&gt;COALESCE(CAST(Y."&amp;F123&amp;"_SIMUL AS STRING),''),1,0)) AS NUM_REG_DIF,'"&amp;MAX('ID1&amp;5'!L:L)+1&amp;"' AS ID_EXEC, CURRENT_TIMESTAMP() AS TIME_EXEC FROM "&amp;I123&amp;" INNER JOIN "&amp;J123&amp;" "&amp;K123),
IF(C123="Validade",+IF(G123="Code List","SELECT '"&amp;UPPER(B123)&amp;"' AS TABELA, '"&amp;UPPER(C123)&amp;"' AS TIPOLOGIA_TESTE,'"&amp;D123&amp;"' AS TABELA_LT,'N/A' AS TABELA_SIMUL,'"&amp;F123&amp;"' AS CAMPO, "&amp;"'${ref_date}' AS REF_DATE, COUNT(*) AS NUM_REG, SUM(IF(TRIM(CAST(X."&amp;F123&amp;" AS STRING))='' OR TRIM(CAST(X."&amp;F123&amp;" AS STRING)) IS NULL OR CAST(X."&amp;F123&amp;" AS STRING) NOT "&amp;H123&amp;",1,0)) AS NUM_REG_DIF,'"&amp;MAX('ID1&amp;5'!K:K)+1&amp;"' AS ID_EXEC, CURRENT_TIMESTAMP() AS TIME_EXEC FROM "&amp;I123,"SELECT '"&amp;UPPER(B123)&amp;"' AS TABELA, '"&amp;UPPER(C123)&amp;"' AS TIPOLOGIA_TESTE,'"&amp;D123&amp;"' AS TABELA_LT,'N/A' AS TABELA_SIMUL,'"&amp;F123&amp;"' AS CAMPO, "&amp;"'${ref_date}' AS REF_DATE, COUNT(*) AS NUM_REG, SUM(IF(TRIM(CAST(X."&amp;F123&amp;" AS STRING))='' OR TRIM(CAST(X."&amp;F123&amp;" AS STRING)) IS NULL,1,0)) AS NUM_REG_DIF,'"&amp;MAX('ID1&amp;5'!K:K)+1&amp;"' AS ID_EXEC, CURRENT_TIMESTAMP() AS TIME_EXEC FROM "&amp;I123),
IF(C123="Caracteres Especiais",+"SELECT '"&amp;UPPER(B123)&amp;"' AS TABELA, '"&amp;UPPER(C123)&amp;"' AS TIPOLOGIA_TESTE,'"&amp;D123&amp;"' AS TABELA_LT,'N/A' AS TABELA_SIMUL,'"&amp;F123&amp;"' AS CAMPO, "&amp;"'${ref_date}' AS REF_DATE, COUNT(*) AS NUM_REG, SUM(IF(INSTR(CAST(X."&amp;F123&amp;" AS STRING),'#')&gt;0 OR INSTR(CAST(X."&amp;F123&amp;" AS STRING),'*')&gt;0 OR INSTR(CAST(X."&amp;F123&amp;" AS STRING),'`')&gt;0 OR INSTR(CAST(X."&amp;F123&amp;" AS STRING),'´')&gt;0 OR INSTR(CAST(X."&amp;F123&amp;" AS STRING),'{')&gt;0 OR INSTR(CAST(X."&amp;F123&amp;" AS STRING),'}')&gt;0 OR INSTR(CAST(X."&amp;F123&amp;" AS STRING),'[')&gt;0 OR INSTR(CAST(X."&amp;F123&amp;" AS STRING),'')&gt;0 OR INSTR(CAST(X."&amp;F123&amp;" AS STRING),']')&gt;0 OR INSTR(CAST(X."&amp;F123&amp;" AS STRING),'?')&gt;0 OR INSTR(CAST(X."&amp;F123&amp;" AS STRING),'!')&gt;0 OR INSTR(CAST(X."&amp;F123&amp;" AS STRING),'$')&gt;0 OR INSTR(CAST(X."&amp;F123&amp;" AS STRING),'%')&gt;0 OR INSTR(CAST(X."&amp;F123&amp;" AS STRING),'&amp;')&gt;0 OR INSTR(CAST(X."&amp;F123&amp;" AS STRING),'+')&gt;0,1,0)) AS NUM_REG_DIF,'"&amp;MAX('ID1&amp;5'!K:K)+1&amp;"' AS ID_EXEC, CURRENT_TIMESTAMP() AS TIME_EXEC FROM "&amp;I123,
IF(C123="Missings",+"SELECT '"&amp;UPPER(B123)&amp;"' AS TABELA, '"&amp;UPPER(C123)&amp;"' AS TIPOLOGIA_TESTE,'"&amp;D123&amp;"' AS TABELA_LT,'N/A' AS TABELA_SIMUL,'"&amp;F123&amp;"' AS CAMPO, "&amp;"'${ref_date}' AS REF_DATE, COUNT(*) AS NUM_REG, SUM(IF(TRIM(CAST(X."&amp;F123&amp;" AS STRING)) IN ('0000-00-00','0001-01-01','9999-12-31','MISS','00000','99999999999','99999999999.00','99999999999.000000'),1,0)) AS NUM_REG_DIF,'"&amp;MAX('ID1&amp;5'!K:K)+1&amp;"' AS ID_EXEC, CURRENT_TIMESTAMP() AS TIME_EXEC FROM "&amp;I123,
IF(C123="Not applicable",+"SELECT '"&amp;UPPER(B123)&amp;"' AS TABELA, '"&amp;UPPER(C123)&amp;"' AS TIPOLOGIA_TESTE,'"&amp;D123&amp;"' AS TABELA_LT,'N/A' AS TABELA_SIMUL,'"&amp;F123&amp;"' AS CAMPO, "&amp;"'${ref_date}' AS REF_DATE, COUNT(*) AS NUM_REG, SUM(IF(TRIM(CAST(X."&amp;F123&amp;" AS STRING)) IN ('N/A','11111111111','11111111111.00','11111111111.000000','1111-11-11'),1,0)) AS NUM_REG_DIF,'"&amp;MAX('ID1&amp;5'!K:K)+1&amp;"' AS ID_EXEC, CURRENT_TIMESTAMP() AS TIME_EXEC FROM "&amp;I123,
IF(C123="Valores extremos",+"SELECT '"&amp;UPPER(B123)&amp;"' AS TABELA, '"&amp;UPPER(C123)&amp;"' AS TIPOLOGIA_TESTE,'"&amp;D123&amp;"' AS TABELA_LT,'N/A' AS TABELA_SIMUL,'"&amp;F123&amp;"' AS CAMPO, "&amp;"'${ref_date}' AS REF_DATE, CAST(MIN("&amp;F123&amp;") AS STRING) AS VALOR_MIN, CAST(MAX("&amp;F123&amp;") AS STRING) AS VALOR_MAX,'"&amp;MAX('ID1&amp;5'!K:K)+1&amp;"' AS ID_EXEC, CURRENT_TIMESTAMP() AS TIME_EXEC FROM "&amp;MID(I123,1,LEN(I123)-2)&amp;" AND CAST("&amp;F123&amp;"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TABELA_SIMUL,'COD_SOC' AS CAMPO, '${ref_date}' AS REF_DATE, COUNT(*) AS NUM_REG, SUM(IF(TRIM(CAST(X.COD_SOC AS STRING))='' OR TRIM(CAST(X.COD_SOC AS STRING)) IS NULL,1,0)) AS NUM_REG_DIF,'10' AS ID_EXEC, CURRENT_TIMESTAMP() AS TIME_EXEC FROM (SELECT instrmnt_id, COD_SOC FROM BU_LOANTAPE_WORK.LT002_INSTRUMENT WHERE ref_date='${ref_date}' AND nome_perimetro='Individual Corporativo' AND segmento='ESTR' AND ambito='PILAR3')X</v>
      </c>
      <c r="M123" s="43" t="str">
        <f t="shared" si="1"/>
        <v>UNION ALL SELECT 'INSTRUMENT' AS TABELA, 'VALIDADE' AS TIPOLOGIA_TESTE,'BU_LOANTAPE_WORK.LT002_INSTRUMENT' AS TABELA_LT,'N/A' AS TABELA_SIMUL,'COD_SOC' AS CAMPO, '${ref_date}' AS REF_DATE, COUNT(*) AS NUM_REG, SUM(IF(TRIM(CAST(X.COD_SOC AS STRING))='' OR TRIM(CAST(X.COD_SOC AS STRING)) IS NULL,1,0)) AS NUM_REG_DIF,'10' AS ID_EXEC, CURRENT_TIMESTAMP() AS TIME_EXEC FROM (SELECT instrmnt_id, COD_SOC FROM BU_LOANTAPE_WORK.LT002_INSTRUMENT WHERE ref_date='${ref_date}' AND nome_perimetro='Individual Corporativo' AND segmento='ESTR' AND ambito='PILAR3')X</v>
      </c>
      <c r="N123" s="45" t="s">
        <v>13</v>
      </c>
    </row>
    <row r="124" spans="2:14">
      <c r="B124" s="41" t="s">
        <v>27</v>
      </c>
      <c r="C124" s="41" t="s">
        <v>75</v>
      </c>
      <c r="D124" s="41" t="str">
        <f>+UPPER('0. Instruções'!$D$33&amp;"."&amp;VLOOKUP(B124,'0. Instruções'!$C$27:$D$31,2,FALSE))</f>
        <v>BU_LOANTAPE_WORK.LT002_INSTRUMENT</v>
      </c>
      <c r="E124" s="41" t="str">
        <f>+UPPER('0. Instruções'!$D$34&amp;"."&amp;VLOOKUP(B124,'0. Instruções'!$C$27:$E$31,3,FALSE))</f>
        <v>BU_LOANTAPE_WORK.LT002_INSTRUMENT_P3_NOV24</v>
      </c>
      <c r="F124" s="41" t="s">
        <v>174</v>
      </c>
      <c r="G124" s="41" t="s">
        <v>13</v>
      </c>
      <c r="H124" s="41"/>
      <c r="I124" s="41" t="str">
        <f>"(SELECT "&amp;VLOOKUP(B124,'0. Instruções'!$C$27:$G$31,4,FALSE)&amp;", "&amp;F124&amp;" FROM "&amp;D124&amp;" WHERE "&amp;'0. Instruções'!$D$40&amp;")X"</f>
        <v>(SELECT instrmnt_id, LCL_INSTMRNT_ID FROM BU_LOANTAPE_WORK.LT002_INSTRUMENT WHERE ref_date='${ref_date}' AND nome_perimetro='Individual Corporativo' AND segmento='ESTR' AND ambito='PILAR3')X</v>
      </c>
      <c r="J124" s="41" t="str">
        <f>"(SELECT "&amp;VLOOKUP(B124,'0. Instruções'!$C$27:$G$31,4,FALSE)&amp;" AS "&amp;VLOOKUP(B124,'0. Instruções'!$C$27:$G$31,4,FALSE)&amp;"_SIMUL, "&amp;F124&amp;" AS "&amp;F124&amp;"_SIMUL FROM "&amp;E124&amp;")Y"</f>
        <v>(SELECT instrmnt_id AS instrmnt_id_SIMUL, LCL_INSTMRNT_ID AS LCL_INSTMRNT_ID_SIMUL FROM BU_LOANTAPE_WORK.LT002_INSTRUMENT_P3_NOV24)Y</v>
      </c>
      <c r="K124" s="42" t="str">
        <f>+UPPER("ON X."&amp;VLOOKUP(B124,'0. Instruções'!$C$27:$G$31,4,FALSE)&amp;"=Y."&amp;VLOOKUP(B124,'0. Instruções'!$C$27:$G$31,4,FALSE)&amp;"_SIMUL")</f>
        <v>ON X.INSTRMNT_ID=Y.INSTRMNT_ID_SIMUL</v>
      </c>
      <c r="L124" s="42" t="str">
        <f>+IF(C124="Coerência", +IF(LEFT(G124,5)="FLOAT","SELECT '"&amp;UPPER(B124)&amp;"' AS TABELA, '"&amp;UPPER(C124)&amp;"' AS TIPOLOGIA_TESTE,'"&amp;D124&amp;"' AS TABELA_LT,'"&amp;E124&amp;"' AS TABELA_SIMUL,'"&amp;F124&amp;"' AS CAMPO, "&amp;"'${ref_date}' AS REF_DATE, COUNT(*) AS NUM_REG, SUM(IF((ABS(COALESCE(X."&amp;F124&amp;",0)-COALESCE(Y."&amp;F124&amp;"_SIMUL,0))&gt;0.0000000001) OR (X."&amp;F124&amp;" IS NULL AND Y."&amp;F124&amp;"_SIMUL IS NOT NULL ) OR (X."&amp;F124&amp;" IS NOT NULL AND Y."&amp;F124&amp;"_SIMUL IS NULL),1,0)) AS NUM_REG_DIF,'"&amp;MAX('ID1&amp;5'!K:K)+1&amp;"' AS ID_EXEC, CURRENT_TIMESTAMP() AS TIME_EXEC FROM "&amp;I124&amp;" INNER JOIN "&amp;J124&amp;" "&amp;K124,"SELECT '"&amp;UPPER(B124)&amp;"' AS TABELA, '"&amp;UPPER(C124)&amp;"' AS TIPOLOGIA_TESTE,'"&amp;D124&amp;"' AS TABELA_LT,'"&amp;E124&amp;"' AS TABELA_SIMUL,'"&amp;F124&amp;"' AS CAMPO, "&amp;"'${ref_date}' AS REF_DATE, COUNT(*) AS NUM_REG, SUM(IF(COALESCE(CAST(X."&amp;F124&amp;" AS STRING),'')&lt;&gt;COALESCE(CAST(Y."&amp;F124&amp;"_SIMUL AS STRING),''),1,0)) AS NUM_REG_DIF,'"&amp;MAX('ID1&amp;5'!L:L)+1&amp;"' AS ID_EXEC, CURRENT_TIMESTAMP() AS TIME_EXEC FROM "&amp;I124&amp;" INNER JOIN "&amp;J124&amp;" "&amp;K124),
IF(C124="Validade",+IF(G124="Code List","SELECT '"&amp;UPPER(B124)&amp;"' AS TABELA, '"&amp;UPPER(C124)&amp;"' AS TIPOLOGIA_TESTE,'"&amp;D124&amp;"' AS TABELA_LT,'N/A' AS TABELA_SIMUL,'"&amp;F124&amp;"' AS CAMPO, "&amp;"'${ref_date}' AS REF_DATE, COUNT(*) AS NUM_REG, SUM(IF(TRIM(CAST(X."&amp;F124&amp;" AS STRING))='' OR TRIM(CAST(X."&amp;F124&amp;" AS STRING)) IS NULL OR CAST(X."&amp;F124&amp;" AS STRING) NOT "&amp;H124&amp;",1,0)) AS NUM_REG_DIF,'"&amp;MAX('ID1&amp;5'!K:K)+1&amp;"' AS ID_EXEC, CURRENT_TIMESTAMP() AS TIME_EXEC FROM "&amp;I124,"SELECT '"&amp;UPPER(B124)&amp;"' AS TABELA, '"&amp;UPPER(C124)&amp;"' AS TIPOLOGIA_TESTE,'"&amp;D124&amp;"' AS TABELA_LT,'N/A' AS TABELA_SIMUL,'"&amp;F124&amp;"' AS CAMPO, "&amp;"'${ref_date}' AS REF_DATE, COUNT(*) AS NUM_REG, SUM(IF(TRIM(CAST(X."&amp;F124&amp;" AS STRING))='' OR TRIM(CAST(X."&amp;F124&amp;" AS STRING)) IS NULL,1,0)) AS NUM_REG_DIF,'"&amp;MAX('ID1&amp;5'!K:K)+1&amp;"' AS ID_EXEC, CURRENT_TIMESTAMP() AS TIME_EXEC FROM "&amp;I124),
IF(C124="Caracteres Especiais",+"SELECT '"&amp;UPPER(B124)&amp;"' AS TABELA, '"&amp;UPPER(C124)&amp;"' AS TIPOLOGIA_TESTE,'"&amp;D124&amp;"' AS TABELA_LT,'N/A' AS TABELA_SIMUL,'"&amp;F124&amp;"' AS CAMPO, "&amp;"'${ref_date}' AS REF_DATE, COUNT(*) AS NUM_REG, SUM(IF(INSTR(CAST(X."&amp;F124&amp;" AS STRING),'#')&gt;0 OR INSTR(CAST(X."&amp;F124&amp;" AS STRING),'*')&gt;0 OR INSTR(CAST(X."&amp;F124&amp;" AS STRING),'`')&gt;0 OR INSTR(CAST(X."&amp;F124&amp;" AS STRING),'´')&gt;0 OR INSTR(CAST(X."&amp;F124&amp;" AS STRING),'{')&gt;0 OR INSTR(CAST(X."&amp;F124&amp;" AS STRING),'}')&gt;0 OR INSTR(CAST(X."&amp;F124&amp;" AS STRING),'[')&gt;0 OR INSTR(CAST(X."&amp;F124&amp;" AS STRING),'')&gt;0 OR INSTR(CAST(X."&amp;F124&amp;" AS STRING),']')&gt;0 OR INSTR(CAST(X."&amp;F124&amp;" AS STRING),'?')&gt;0 OR INSTR(CAST(X."&amp;F124&amp;" AS STRING),'!')&gt;0 OR INSTR(CAST(X."&amp;F124&amp;" AS STRING),'$')&gt;0 OR INSTR(CAST(X."&amp;F124&amp;" AS STRING),'%')&gt;0 OR INSTR(CAST(X."&amp;F124&amp;" AS STRING),'&amp;')&gt;0 OR INSTR(CAST(X."&amp;F124&amp;" AS STRING),'+')&gt;0,1,0)) AS NUM_REG_DIF,'"&amp;MAX('ID1&amp;5'!K:K)+1&amp;"' AS ID_EXEC, CURRENT_TIMESTAMP() AS TIME_EXEC FROM "&amp;I124,
IF(C124="Missings",+"SELECT '"&amp;UPPER(B124)&amp;"' AS TABELA, '"&amp;UPPER(C124)&amp;"' AS TIPOLOGIA_TESTE,'"&amp;D124&amp;"' AS TABELA_LT,'N/A' AS TABELA_SIMUL,'"&amp;F124&amp;"' AS CAMPO, "&amp;"'${ref_date}' AS REF_DATE, COUNT(*) AS NUM_REG, SUM(IF(TRIM(CAST(X."&amp;F124&amp;" AS STRING)) IN ('0000-00-00','0001-01-01','9999-12-31','MISS','00000','99999999999','99999999999.00','99999999999.000000'),1,0)) AS NUM_REG_DIF,'"&amp;MAX('ID1&amp;5'!K:K)+1&amp;"' AS ID_EXEC, CURRENT_TIMESTAMP() AS TIME_EXEC FROM "&amp;I124,
IF(C124="Not applicable",+"SELECT '"&amp;UPPER(B124)&amp;"' AS TABELA, '"&amp;UPPER(C124)&amp;"' AS TIPOLOGIA_TESTE,'"&amp;D124&amp;"' AS TABELA_LT,'N/A' AS TABELA_SIMUL,'"&amp;F124&amp;"' AS CAMPO, "&amp;"'${ref_date}' AS REF_DATE, COUNT(*) AS NUM_REG, SUM(IF(TRIM(CAST(X."&amp;F124&amp;" AS STRING)) IN ('N/A','11111111111','11111111111.00','11111111111.000000','1111-11-11'),1,0)) AS NUM_REG_DIF,'"&amp;MAX('ID1&amp;5'!K:K)+1&amp;"' AS ID_EXEC, CURRENT_TIMESTAMP() AS TIME_EXEC FROM "&amp;I124,
IF(C124="Valores extremos",+"SELECT '"&amp;UPPER(B124)&amp;"' AS TABELA, '"&amp;UPPER(C124)&amp;"' AS TIPOLOGIA_TESTE,'"&amp;D124&amp;"' AS TABELA_LT,'N/A' AS TABELA_SIMUL,'"&amp;F124&amp;"' AS CAMPO, "&amp;"'${ref_date}' AS REF_DATE, CAST(MIN("&amp;F124&amp;") AS STRING) AS VALOR_MIN, CAST(MAX("&amp;F124&amp;") AS STRING) AS VALOR_MAX,'"&amp;MAX('ID1&amp;5'!K:K)+1&amp;"' AS ID_EXEC, CURRENT_TIMESTAMP() AS TIME_EXEC FROM "&amp;MID(I124,1,LEN(I124)-2)&amp;" AND CAST("&amp;F124&amp;"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TABELA_SIMUL,'LCL_INSTMRNT_ID' AS CAMPO, '${ref_date}' AS REF_DATE, COUNT(*) AS NUM_REG, SUM(IF(TRIM(CAST(X.LCL_INSTMRNT_ID AS STRING))='' OR TRIM(CAST(X.LCL_INSTMRNT_ID AS STRING)) IS NULL,1,0)) AS NUM_REG_DIF,'10' AS ID_EXEC, CURRENT_TIMESTAMP() AS TIME_EXEC FROM (SELECT instrmnt_id, LCL_INSTMRNT_ID FROM BU_LOANTAPE_WORK.LT002_INSTRUMENT WHERE ref_date='${ref_date}' AND nome_perimetro='Individual Corporativo' AND segmento='ESTR' AND ambito='PILAR3')X</v>
      </c>
      <c r="M124" s="43" t="str">
        <f t="shared" si="1"/>
        <v>UNION ALL SELECT 'INSTRUMENT' AS TABELA, 'VALIDADE' AS TIPOLOGIA_TESTE,'BU_LOANTAPE_WORK.LT002_INSTRUMENT' AS TABELA_LT,'N/A' AS TABELA_SIMUL,'LCL_INSTMRNT_ID' AS CAMPO, '${ref_date}' AS REF_DATE, COUNT(*) AS NUM_REG, SUM(IF(TRIM(CAST(X.LCL_INSTMRNT_ID AS STRING))='' OR TRIM(CAST(X.LCL_INSTMRNT_ID AS STRING)) IS NULL,1,0)) AS NUM_REG_DIF,'10' AS ID_EXEC, CURRENT_TIMESTAMP() AS TIME_EXEC FROM (SELECT instrmnt_id, LCL_INSTMRNT_ID FROM BU_LOANTAPE_WORK.LT002_INSTRUMENT WHERE ref_date='${ref_date}' AND nome_perimetro='Individual Corporativo' AND segmento='ESTR' AND ambito='PILAR3')X</v>
      </c>
      <c r="N124" s="45" t="s">
        <v>13</v>
      </c>
    </row>
    <row r="125" spans="2:14">
      <c r="B125" s="41" t="s">
        <v>27</v>
      </c>
      <c r="C125" s="41" t="s">
        <v>75</v>
      </c>
      <c r="D125" s="41" t="str">
        <f>+UPPER('0. Instruções'!$D$33&amp;"."&amp;VLOOKUP(B125,'0. Instruções'!$C$27:$D$31,2,FALSE))</f>
        <v>BU_LOANTAPE_WORK.LT002_INSTRUMENT</v>
      </c>
      <c r="E125" s="41" t="str">
        <f>+UPPER('0. Instruções'!$D$34&amp;"."&amp;VLOOKUP(B125,'0. Instruções'!$C$27:$E$31,3,FALSE))</f>
        <v>BU_LOANTAPE_WORK.LT002_INSTRUMENT_P3_NOV24</v>
      </c>
      <c r="F125" s="41" t="s">
        <v>180</v>
      </c>
      <c r="G125" s="41" t="s">
        <v>13</v>
      </c>
      <c r="H125" s="41"/>
      <c r="I125" s="41" t="str">
        <f>"(SELECT "&amp;VLOOKUP(B125,'0. Instruções'!$C$27:$G$31,4,FALSE)&amp;", "&amp;F125&amp;" FROM "&amp;D125&amp;" WHERE "&amp;'0. Instruções'!$D$40&amp;")X"</f>
        <v>(SELECT instrmnt_id, IDCMB FROM BU_LOANTAPE_WORK.LT002_INSTRUMENT WHERE ref_date='${ref_date}' AND nome_perimetro='Individual Corporativo' AND segmento='ESTR' AND ambito='PILAR3')X</v>
      </c>
      <c r="J125" s="41" t="str">
        <f>"(SELECT "&amp;VLOOKUP(B125,'0. Instruções'!$C$27:$G$31,4,FALSE)&amp;" AS "&amp;VLOOKUP(B125,'0. Instruções'!$C$27:$G$31,4,FALSE)&amp;"_SIMUL, "&amp;F125&amp;" AS "&amp;F125&amp;"_SIMUL FROM "&amp;E125&amp;")Y"</f>
        <v>(SELECT instrmnt_id AS instrmnt_id_SIMUL, IDCMB AS IDCMB_SIMUL FROM BU_LOANTAPE_WORK.LT002_INSTRUMENT_P3_NOV24)Y</v>
      </c>
      <c r="K125" s="42" t="str">
        <f>+UPPER("ON X."&amp;VLOOKUP(B125,'0. Instruções'!$C$27:$G$31,4,FALSE)&amp;"=Y."&amp;VLOOKUP(B125,'0. Instruções'!$C$27:$G$31,4,FALSE)&amp;"_SIMUL")</f>
        <v>ON X.INSTRMNT_ID=Y.INSTRMNT_ID_SIMUL</v>
      </c>
      <c r="L125" s="42" t="str">
        <f>+IF(C125="Coerência", +IF(LEFT(G125,5)="FLOAT","SELECT '"&amp;UPPER(B125)&amp;"' AS TABELA, '"&amp;UPPER(C125)&amp;"' AS TIPOLOGIA_TESTE,'"&amp;D125&amp;"' AS TABELA_LT,'"&amp;E125&amp;"' AS TABELA_SIMUL,'"&amp;F125&amp;"' AS CAMPO, "&amp;"'${ref_date}' AS REF_DATE, COUNT(*) AS NUM_REG, SUM(IF((ABS(COALESCE(X."&amp;F125&amp;",0)-COALESCE(Y."&amp;F125&amp;"_SIMUL,0))&gt;0.0000000001) OR (X."&amp;F125&amp;" IS NULL AND Y."&amp;F125&amp;"_SIMUL IS NOT NULL ) OR (X."&amp;F125&amp;" IS NOT NULL AND Y."&amp;F125&amp;"_SIMUL IS NULL),1,0)) AS NUM_REG_DIF,'"&amp;MAX('ID1&amp;5'!K:K)+1&amp;"' AS ID_EXEC, CURRENT_TIMESTAMP() AS TIME_EXEC FROM "&amp;I125&amp;" INNER JOIN "&amp;J125&amp;" "&amp;K125,"SELECT '"&amp;UPPER(B125)&amp;"' AS TABELA, '"&amp;UPPER(C125)&amp;"' AS TIPOLOGIA_TESTE,'"&amp;D125&amp;"' AS TABELA_LT,'"&amp;E125&amp;"' AS TABELA_SIMUL,'"&amp;F125&amp;"' AS CAMPO, "&amp;"'${ref_date}' AS REF_DATE, COUNT(*) AS NUM_REG, SUM(IF(COALESCE(CAST(X."&amp;F125&amp;" AS STRING),'')&lt;&gt;COALESCE(CAST(Y."&amp;F125&amp;"_SIMUL AS STRING),''),1,0)) AS NUM_REG_DIF,'"&amp;MAX('ID1&amp;5'!L:L)+1&amp;"' AS ID_EXEC, CURRENT_TIMESTAMP() AS TIME_EXEC FROM "&amp;I125&amp;" INNER JOIN "&amp;J125&amp;" "&amp;K125),
IF(C125="Validade",+IF(G125="Code List","SELECT '"&amp;UPPER(B125)&amp;"' AS TABELA, '"&amp;UPPER(C125)&amp;"' AS TIPOLOGIA_TESTE,'"&amp;D125&amp;"' AS TABELA_LT,'N/A' AS TABELA_SIMUL,'"&amp;F125&amp;"' AS CAMPO, "&amp;"'${ref_date}' AS REF_DATE, COUNT(*) AS NUM_REG, SUM(IF(TRIM(CAST(X."&amp;F125&amp;" AS STRING))='' OR TRIM(CAST(X."&amp;F125&amp;" AS STRING)) IS NULL OR CAST(X."&amp;F125&amp;" AS STRING) NOT "&amp;H125&amp;",1,0)) AS NUM_REG_DIF,'"&amp;MAX('ID1&amp;5'!K:K)+1&amp;"' AS ID_EXEC, CURRENT_TIMESTAMP() AS TIME_EXEC FROM "&amp;I125,"SELECT '"&amp;UPPER(B125)&amp;"' AS TABELA, '"&amp;UPPER(C125)&amp;"' AS TIPOLOGIA_TESTE,'"&amp;D125&amp;"' AS TABELA_LT,'N/A' AS TABELA_SIMUL,'"&amp;F125&amp;"' AS CAMPO, "&amp;"'${ref_date}' AS REF_DATE, COUNT(*) AS NUM_REG, SUM(IF(TRIM(CAST(X."&amp;F125&amp;" AS STRING))='' OR TRIM(CAST(X."&amp;F125&amp;" AS STRING)) IS NULL,1,0)) AS NUM_REG_DIF,'"&amp;MAX('ID1&amp;5'!K:K)+1&amp;"' AS ID_EXEC, CURRENT_TIMESTAMP() AS TIME_EXEC FROM "&amp;I125),
IF(C125="Caracteres Especiais",+"SELECT '"&amp;UPPER(B125)&amp;"' AS TABELA, '"&amp;UPPER(C125)&amp;"' AS TIPOLOGIA_TESTE,'"&amp;D125&amp;"' AS TABELA_LT,'N/A' AS TABELA_SIMUL,'"&amp;F125&amp;"' AS CAMPO, "&amp;"'${ref_date}' AS REF_DATE, COUNT(*) AS NUM_REG, SUM(IF(INSTR(CAST(X."&amp;F125&amp;" AS STRING),'#')&gt;0 OR INSTR(CAST(X."&amp;F125&amp;" AS STRING),'*')&gt;0 OR INSTR(CAST(X."&amp;F125&amp;" AS STRING),'`')&gt;0 OR INSTR(CAST(X."&amp;F125&amp;" AS STRING),'´')&gt;0 OR INSTR(CAST(X."&amp;F125&amp;" AS STRING),'{')&gt;0 OR INSTR(CAST(X."&amp;F125&amp;" AS STRING),'}')&gt;0 OR INSTR(CAST(X."&amp;F125&amp;" AS STRING),'[')&gt;0 OR INSTR(CAST(X."&amp;F125&amp;" AS STRING),'')&gt;0 OR INSTR(CAST(X."&amp;F125&amp;" AS STRING),']')&gt;0 OR INSTR(CAST(X."&amp;F125&amp;" AS STRING),'?')&gt;0 OR INSTR(CAST(X."&amp;F125&amp;" AS STRING),'!')&gt;0 OR INSTR(CAST(X."&amp;F125&amp;" AS STRING),'$')&gt;0 OR INSTR(CAST(X."&amp;F125&amp;" AS STRING),'%')&gt;0 OR INSTR(CAST(X."&amp;F125&amp;" AS STRING),'&amp;')&gt;0 OR INSTR(CAST(X."&amp;F125&amp;" AS STRING),'+')&gt;0,1,0)) AS NUM_REG_DIF,'"&amp;MAX('ID1&amp;5'!K:K)+1&amp;"' AS ID_EXEC, CURRENT_TIMESTAMP() AS TIME_EXEC FROM "&amp;I125,
IF(C125="Missings",+"SELECT '"&amp;UPPER(B125)&amp;"' AS TABELA, '"&amp;UPPER(C125)&amp;"' AS TIPOLOGIA_TESTE,'"&amp;D125&amp;"' AS TABELA_LT,'N/A' AS TABELA_SIMUL,'"&amp;F125&amp;"' AS CAMPO, "&amp;"'${ref_date}' AS REF_DATE, COUNT(*) AS NUM_REG, SUM(IF(TRIM(CAST(X."&amp;F125&amp;" AS STRING)) IN ('0000-00-00','0001-01-01','9999-12-31','MISS','00000','99999999999','99999999999.00','99999999999.000000'),1,0)) AS NUM_REG_DIF,'"&amp;MAX('ID1&amp;5'!K:K)+1&amp;"' AS ID_EXEC, CURRENT_TIMESTAMP() AS TIME_EXEC FROM "&amp;I125,
IF(C125="Not applicable",+"SELECT '"&amp;UPPER(B125)&amp;"' AS TABELA, '"&amp;UPPER(C125)&amp;"' AS TIPOLOGIA_TESTE,'"&amp;D125&amp;"' AS TABELA_LT,'N/A' AS TABELA_SIMUL,'"&amp;F125&amp;"' AS CAMPO, "&amp;"'${ref_date}' AS REF_DATE, COUNT(*) AS NUM_REG, SUM(IF(TRIM(CAST(X."&amp;F125&amp;" AS STRING)) IN ('N/A','11111111111','11111111111.00','11111111111.000000','1111-11-11'),1,0)) AS NUM_REG_DIF,'"&amp;MAX('ID1&amp;5'!K:K)+1&amp;"' AS ID_EXEC, CURRENT_TIMESTAMP() AS TIME_EXEC FROM "&amp;I125,
IF(C125="Valores extremos",+"SELECT '"&amp;UPPER(B125)&amp;"' AS TABELA, '"&amp;UPPER(C125)&amp;"' AS TIPOLOGIA_TESTE,'"&amp;D125&amp;"' AS TABELA_LT,'N/A' AS TABELA_SIMUL,'"&amp;F125&amp;"' AS CAMPO, "&amp;"'${ref_date}' AS REF_DATE, CAST(MIN("&amp;F125&amp;") AS STRING) AS VALOR_MIN, CAST(MAX("&amp;F125&amp;") AS STRING) AS VALOR_MAX,'"&amp;MAX('ID1&amp;5'!K:K)+1&amp;"' AS ID_EXEC, CURRENT_TIMESTAMP() AS TIME_EXEC FROM "&amp;MID(I125,1,LEN(I125)-2)&amp;" AND CAST("&amp;F125&amp;" AS STRING) NOT IN ('0000-00-00','0001-01-01','9999-12-31','MISS','00000','99999999999','99999999999.00','99999999999.000000','N/A','11111111111','11111111111.00','11111111111.000000','1111-11-11'))X"))))))</f>
        <v>SELECT 'INSTRUMENT' AS TABELA, 'VALIDADE' AS TIPOLOGIA_TESTE,'BU_LOANTAPE_WORK.LT002_INSTRUMENT' AS TABELA_LT,'N/A' AS TABELA_SIMUL,'IDCMB' AS CAMPO, '${ref_date}' AS REF_DATE, COUNT(*) AS NUM_REG, SUM(IF(TRIM(CAST(X.IDCMB AS STRING))='' OR TRIM(CAST(X.IDCMB AS STRING)) IS NULL,1,0)) AS NUM_REG_DIF,'10' AS ID_EXEC, CURRENT_TIMESTAMP() AS TIME_EXEC FROM (SELECT instrmnt_id, IDCMB FROM BU_LOANTAPE_WORK.LT002_INSTRUMENT WHERE ref_date='${ref_date}' AND nome_perimetro='Individual Corporativo' AND segmento='ESTR' AND ambito='PILAR3')X</v>
      </c>
      <c r="M125" s="43" t="str">
        <f t="shared" ref="M125:M187" si="2">+"UNION ALL "&amp;L125</f>
        <v>UNION ALL SELECT 'INSTRUMENT' AS TABELA, 'VALIDADE' AS TIPOLOGIA_TESTE,'BU_LOANTAPE_WORK.LT002_INSTRUMENT' AS TABELA_LT,'N/A' AS TABELA_SIMUL,'IDCMB' AS CAMPO, '${ref_date}' AS REF_DATE, COUNT(*) AS NUM_REG, SUM(IF(TRIM(CAST(X.IDCMB AS STRING))='' OR TRIM(CAST(X.IDCMB AS STRING)) IS NULL,1,0)) AS NUM_REG_DIF,'10' AS ID_EXEC, CURRENT_TIMESTAMP() AS TIME_EXEC FROM (SELECT instrmnt_id, IDCMB FROM BU_LOANTAPE_WORK.LT002_INSTRUMENT WHERE ref_date='${ref_date}' AND nome_perimetro='Individual Corporativo' AND segmento='ESTR' AND ambito='PILAR3')X</v>
      </c>
      <c r="N125" s="45" t="s">
        <v>13</v>
      </c>
    </row>
    <row r="126" spans="2:14">
      <c r="B126" s="41" t="s">
        <v>23</v>
      </c>
      <c r="C126" s="41" t="s">
        <v>75</v>
      </c>
      <c r="D126" s="41" t="str">
        <f>+UPPER('0. Instruções'!$D$33&amp;"."&amp;VLOOKUP(B126,'0. Instruções'!$C$27:$D$31,2,FALSE))</f>
        <v>BU_LOANTAPE_WORK.LT003_ENTITY</v>
      </c>
      <c r="E126" s="41" t="str">
        <f>+UPPER('0. Instruções'!$D$34&amp;"."&amp;VLOOKUP(B126,'0. Instruções'!$C$27:$E$31,3,FALSE))</f>
        <v>BU_LOANTAPE_WORK.LT003_ENTTY_P3_NOV24</v>
      </c>
      <c r="F126" s="41" t="s">
        <v>99</v>
      </c>
      <c r="G126" s="41" t="s">
        <v>209</v>
      </c>
      <c r="H126" s="71" t="s">
        <v>219</v>
      </c>
      <c r="I126" s="41" t="str">
        <f>"(SELECT "&amp;VLOOKUP(B126,'0. Instruções'!$C$27:$G$31,4,FALSE)&amp;", "&amp;F126&amp;" FROM "&amp;D126&amp;" WHERE "&amp;'0. Instruções'!$D$40&amp;")X"</f>
        <v>(SELECT entty_id, NACE_ESG FROM BU_LOANTAPE_WORK.LT003_ENTITY WHERE ref_date='${ref_date}' AND nome_perimetro='Individual Corporativo' AND segmento='ESTR' AND ambito='PILAR3')X</v>
      </c>
      <c r="J126" s="41" t="str">
        <f>"(SELECT "&amp;VLOOKUP(B126,'0. Instruções'!$C$27:$G$31,4,FALSE)&amp;" AS "&amp;VLOOKUP(B126,'0. Instruções'!$C$27:$G$31,4,FALSE)&amp;"_SIMUL, "&amp;F126&amp;" AS "&amp;F126&amp;"_SIMUL FROM "&amp;E126&amp;")Y"</f>
        <v>(SELECT entty_id AS entty_id_SIMUL, NACE_ESG AS NACE_ESG_SIMUL FROM BU_LOANTAPE_WORK.LT003_ENTTY_P3_NOV24)Y</v>
      </c>
      <c r="K126" s="42" t="str">
        <f>+UPPER("ON X."&amp;VLOOKUP(B126,'0. Instruções'!$C$27:$G$31,4,FALSE)&amp;"=Y."&amp;VLOOKUP(B126,'0. Instruções'!$C$27:$G$31,4,FALSE)&amp;"_SIMUL")</f>
        <v>ON X.ENTTY_ID=Y.ENTTY_ID_SIMUL</v>
      </c>
      <c r="L126" s="42" t="str">
        <f>+IF(C126="Coerência", +IF(LEFT(G126,5)="FLOAT","SELECT '"&amp;UPPER(B126)&amp;"' AS TABELA, '"&amp;UPPER(C126)&amp;"' AS TIPOLOGIA_TESTE,'"&amp;D126&amp;"' AS TABELA_LT,'"&amp;E126&amp;"' AS TABELA_SIMUL,'"&amp;F126&amp;"' AS CAMPO, "&amp;"'${ref_date}' AS REF_DATE, COUNT(*) AS NUM_REG, SUM(IF((ABS(COALESCE(X."&amp;F126&amp;",0)-COALESCE(Y."&amp;F126&amp;"_SIMUL,0))&gt;0.0000000001) OR (X."&amp;F126&amp;" IS NULL AND Y."&amp;F126&amp;"_SIMUL IS NOT NULL ) OR (X."&amp;F126&amp;" IS NOT NULL AND Y."&amp;F126&amp;"_SIMUL IS NULL),1,0)) AS NUM_REG_DIF,'"&amp;MAX('ID1&amp;5'!K:K)+1&amp;"' AS ID_EXEC, CURRENT_TIMESTAMP() AS TIME_EXEC FROM "&amp;I126&amp;" INNER JOIN "&amp;J126&amp;" "&amp;K126,"SELECT '"&amp;UPPER(B126)&amp;"' AS TABELA, '"&amp;UPPER(C126)&amp;"' AS TIPOLOGIA_TESTE,'"&amp;D126&amp;"' AS TABELA_LT,'"&amp;E126&amp;"' AS TABELA_SIMUL,'"&amp;F126&amp;"' AS CAMPO, "&amp;"'${ref_date}' AS REF_DATE, COUNT(*) AS NUM_REG, SUM(IF(COALESCE(CAST(X."&amp;F126&amp;" AS STRING),'')&lt;&gt;COALESCE(CAST(Y."&amp;F126&amp;"_SIMUL AS STRING),''),1,0)) AS NUM_REG_DIF,'"&amp;MAX('ID1&amp;5'!L:L)+1&amp;"' AS ID_EXEC, CURRENT_TIMESTAMP() AS TIME_EXEC FROM "&amp;I126&amp;" INNER JOIN "&amp;J126&amp;" "&amp;K126),
IF(C126="Validade",+IF(G126="Code List","SELECT '"&amp;UPPER(B126)&amp;"' AS TABELA, '"&amp;UPPER(C126)&amp;"' AS TIPOLOGIA_TESTE,'"&amp;D126&amp;"' AS TABELA_LT,'N/A' AS TABELA_SIMUL,'"&amp;F126&amp;"' AS CAMPO, "&amp;"'${ref_date}' AS REF_DATE, COUNT(*) AS NUM_REG, SUM(IF(TRIM(CAST(X."&amp;F126&amp;" AS STRING))='' OR TRIM(CAST(X."&amp;F126&amp;" AS STRING)) IS NULL OR CAST(X."&amp;F126&amp;" AS STRING) NOT "&amp;H126&amp;",1,0)) AS NUM_REG_DIF,'"&amp;MAX('ID1&amp;5'!K:K)+1&amp;"' AS ID_EXEC, CURRENT_TIMESTAMP() AS TIME_EXEC FROM "&amp;I126,"SELECT '"&amp;UPPER(B126)&amp;"' AS TABELA, '"&amp;UPPER(C126)&amp;"' AS TIPOLOGIA_TESTE,'"&amp;D126&amp;"' AS TABELA_LT,'N/A' AS TABELA_SIMUL,'"&amp;F126&amp;"' AS CAMPO, "&amp;"'${ref_date}' AS REF_DATE, COUNT(*) AS NUM_REG, SUM(IF(TRIM(CAST(X."&amp;F126&amp;" AS STRING))='' OR TRIM(CAST(X."&amp;F126&amp;" AS STRING)) IS NULL,1,0)) AS NUM_REG_DIF,'"&amp;MAX('ID1&amp;5'!K:K)+1&amp;"' AS ID_EXEC, CURRENT_TIMESTAMP() AS TIME_EXEC FROM "&amp;I126),
IF(C126="Caracteres Especiais",+"SELECT '"&amp;UPPER(B126)&amp;"' AS TABELA, '"&amp;UPPER(C126)&amp;"' AS TIPOLOGIA_TESTE,'"&amp;D126&amp;"' AS TABELA_LT,'N/A' AS TABELA_SIMUL,'"&amp;F126&amp;"' AS CAMPO, "&amp;"'${ref_date}' AS REF_DATE, COUNT(*) AS NUM_REG, SUM(IF(INSTR(CAST(X."&amp;F126&amp;" AS STRING),'#')&gt;0 OR INSTR(CAST(X."&amp;F126&amp;" AS STRING),'*')&gt;0 OR INSTR(CAST(X."&amp;F126&amp;" AS STRING),'`')&gt;0 OR INSTR(CAST(X."&amp;F126&amp;" AS STRING),'´')&gt;0 OR INSTR(CAST(X."&amp;F126&amp;" AS STRING),'{')&gt;0 OR INSTR(CAST(X."&amp;F126&amp;" AS STRING),'}')&gt;0 OR INSTR(CAST(X."&amp;F126&amp;" AS STRING),'[')&gt;0 OR INSTR(CAST(X."&amp;F126&amp;" AS STRING),'')&gt;0 OR INSTR(CAST(X."&amp;F126&amp;" AS STRING),']')&gt;0 OR INSTR(CAST(X."&amp;F126&amp;" AS STRING),'?')&gt;0 OR INSTR(CAST(X."&amp;F126&amp;" AS STRING),'!')&gt;0 OR INSTR(CAST(X."&amp;F126&amp;" AS STRING),'$')&gt;0 OR INSTR(CAST(X."&amp;F126&amp;" AS STRING),'%')&gt;0 OR INSTR(CAST(X."&amp;F126&amp;" AS STRING),'&amp;')&gt;0 OR INSTR(CAST(X."&amp;F126&amp;" AS STRING),'+')&gt;0,1,0)) AS NUM_REG_DIF,'"&amp;MAX('ID1&amp;5'!K:K)+1&amp;"' AS ID_EXEC, CURRENT_TIMESTAMP() AS TIME_EXEC FROM "&amp;I126,
IF(C126="Missings",+"SELECT '"&amp;UPPER(B126)&amp;"' AS TABELA, '"&amp;UPPER(C126)&amp;"' AS TIPOLOGIA_TESTE,'"&amp;D126&amp;"' AS TABELA_LT,'N/A' AS TABELA_SIMUL,'"&amp;F126&amp;"' AS CAMPO, "&amp;"'${ref_date}' AS REF_DATE, COUNT(*) AS NUM_REG, SUM(IF(TRIM(CAST(X."&amp;F126&amp;" AS STRING)) IN ('0000-00-00','0001-01-01','9999-12-31','MISS','00000','99999999999','99999999999.00','99999999999.000000'),1,0)) AS NUM_REG_DIF,'"&amp;MAX('ID1&amp;5'!K:K)+1&amp;"' AS ID_EXEC, CURRENT_TIMESTAMP() AS TIME_EXEC FROM "&amp;I126,
IF(C126="Not applicable",+"SELECT '"&amp;UPPER(B126)&amp;"' AS TABELA, '"&amp;UPPER(C126)&amp;"' AS TIPOLOGIA_TESTE,'"&amp;D126&amp;"' AS TABELA_LT,'N/A' AS TABELA_SIMUL,'"&amp;F126&amp;"' AS CAMPO, "&amp;"'${ref_date}' AS REF_DATE, COUNT(*) AS NUM_REG, SUM(IF(TRIM(CAST(X."&amp;F126&amp;" AS STRING)) IN ('N/A','11111111111','11111111111.00','11111111111.000000','1111-11-11'),1,0)) AS NUM_REG_DIF,'"&amp;MAX('ID1&amp;5'!K:K)+1&amp;"' AS ID_EXEC, CURRENT_TIMESTAMP() AS TIME_EXEC FROM "&amp;I126,
IF(C126="Valores extremos",+"SELECT '"&amp;UPPER(B126)&amp;"' AS TABELA, '"&amp;UPPER(C126)&amp;"' AS TIPOLOGIA_TESTE,'"&amp;D126&amp;"' AS TABELA_LT,'N/A' AS TABELA_SIMUL,'"&amp;F126&amp;"' AS CAMPO, "&amp;"'${ref_date}' AS REF_DATE, CAST(MIN("&amp;F126&amp;") AS STRING) AS VALOR_MIN, CAST(MAX("&amp;F126&amp;") AS STRING) AS VALOR_MAX,'"&amp;MAX('ID1&amp;5'!K:K)+1&amp;"' AS ID_EXEC, CURRENT_TIMESTAMP() AS TIME_EXEC FROM "&amp;MID(I126,1,LEN(I126)-2)&amp;" AND CAST("&amp;F126&amp;"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TABELA_SIMUL,'NACE_ESG' AS CAMPO, '${ref_date}' AS REF_DATE, COUNT(*) AS NUM_REG, SUM(IF(TRIM(CAST(X.NACE_ESG AS STRING))='' OR TRIM(CAST(X.NACE_ESG AS STRING)) IS NULL OR CAST(X.NACE_ESG AS STRING) NOT IN('A','1','1.1','1.11','1.12','1.13','1.14','1.15','1.16','1.19','1.2','1.21','1.22','1.23','1.24','1.25','1.26','1.27','1.28','1.29','1.3','1.3','1.4','1.41','1.42','1.43','1.44','1.45','1.46','1.47','1.49','1.5','1.5','1.6','1.61','1.62','1.63','1.64','1.7','1.7','2','2.1','2.1','2.2','2.2','2.3','2.3','2.4','2.4','3','3.1','3.11','3.12','3.2','3.21','3.22','B','5','5.1','5.1','5.2','5.2','6','6.1','6.1','6.2','6.2','7','7.1','7.1','7.2','7.21','7.29','8','8.1','8.11','8.12','8.9','8.91','8.92','8.93','8.99','9','9.1','9.1','9.9','9.9','C','10','10.1','10.11','10.12','10.13','10.2','10.2','10.3','10.31','10.32','10.39','10.4','10.41','10.42','10.5','10.51','10.52','10.6','10.61','10.62','10.7','10.71','10.72','10.73','10.8','10.81','10.82','10.83','10.84','10.85','10.86','10.89','10.9','10.91','10.92','11','11','11.01','11.02','11.03','11.04','11.05','11.06','11.07','12','12','12','13','13.1','13.1','13.2','13.2','13.3','13.3','13.9','13.91','13.92','13.93','13.94','13.95','13.96','13.99','14','14.1','14.11','14.12','14.13','14.14','14.19','14.2','14.2','14.3','14.31','14.39','15','15.1','15.11','15.12','15.2','15.2','16','16.1','16.1','16.2','16.21','16.22','16.23','16.24','16.29','17','17.1','17.11','17.12','17.2','17.21','17.22','17.23','17.24','17.29','18','18.1','18.11','18.12','18.13','18.14','18.2','18.2','19','19.1','19.1','19.2','19.2','20','20.1','20.11','20.12','20.13','20.14','20.15','20.16','20.17','20.2','20.2','20.3','20.3','20.4','20.41','20.42','20.5','20.51','20.52','20.53','20.59','20.6','20.6','21','21.1','21.1','21.2','21.2','22','22.1','22.11','22.19','22.2','22.21','22.22','22.23','22.29','23','23.1','23.11','23.12','23.13','23.14','23.19','23.2','23.2','23.3','23.31','23.32','23.4','23.41','23.42','23.43','23.44','23.49','23.5','23.51','23.52','23.6','23.61','23.62','23.63','23.64','23.65','23.69','23.7','23.7','23.9','23.91','23.99','24','24.1','24.1','24.2','24.2','24.3','24.31','24.32','24.33','24.34','24.4','24.41','24.42','24.43','24.44','24.45','24.46','24.5','24.51','24.52','24.53','24.54','25','25.1','25.11','25.12','25.2','25.21','25.29','25.3','25.3','25.4','25.4','25.5','25.5','25.6','25.61','25.62','25.7','25.71','25.72','25.73','25.9','25.91','25.92','25.93','25.94','25.99','26','26.1','26.11','26.12','26.2','26.2','26.3','26.3','26.4','26.4','26.5','26.51','26.52','26.6','26.6','26.7','26.7','26.8','26.8','27','27.1','27.11','27.12','27.2','27.2','27.3','27.31','27.32','27.33','27.4','27.4','27.5','27.51','27.52','27.9','27.9','28','28.1','28.11','28.12','28.13','28.14','28.15','28.2','28.21','28.22','28.23','28.24','28.25','28.29','28.3','28.3','28.4','28.41','28.49','28.9','28.91','28.92','28.93','28.94','28.95','28.96','28.99','29','29.1','29.1','29.2','29.2','29.3','29.31','29.32','30','30.1','30.11','30.12','30.2','30.2','30.3','30.3','30.4','30.4','30.9','30.91','30.92','30.99','31','31','31.01','31.02','31.03','31.09','32','32.1','32.11','32.12','32.13','32.2','32.2','32.3','32.3','32.4','32.4','32.5','32.5','32.9','32.91','32.99','33','33.1','33.11','33.12','33.13','33.14','33.15','33.16','33.17','33.19','33.2','33.2','D','35','35.1','35.11','35.12','35.13','35.14','35.2','35.21','35.22','35.23','35.3','35.3','E','36','36','36','37','37','37','38','38.1','38.11','38.12','38.2','38.21','38.22','38.3','38.31','38.32','39','39','39','F','41','41.1','41.1','41.2','41.2','42','42.1','42.11','42.12','42.13','42.2','42.21','42.22','42.9','42.91','42.99','43','43.1','43.11','43.12','43.13','43.2','43.21','43.22','43.29','43.3','43.31','43.32','43.33','43.34','43.39','43.9','43.91','43.99','G','45','45.1','45.11','45.19','45.2','45.2','45.3','45.31','45.32','45.4','45.4','46','46.1','46.11','46.12','46.13','46.14','46.15','46.16','46.17','46.18','46.19','46.2','46.21','46.22','46.23','46.24','46.3','46.31','46.32','46.33','46.34','46.35','46.36','46.37','46.38','46.39','46.4','46.41','46.42','46.43','46.44','46.45','46.46','46.47','46.48','46.49','46.5','46.51','46.52','46.6','46.61','46.62','46.63','46.64','46.65','46.66','46.69','46.7','46.71','46.72','46.73','46.74','46.75','46.76','46.77','46.9','46.9','47','47.1','47.11','47.19','47.2','47.21','47.22','47.23','47.24','47.25','47.26','47.29','47.3','47.3','47.4','47.41','47.42','47.43','47.5','47.51','47.52','47.53','47.54','47.59','47.6','47.61','47.62','47.63','47.64','47.65','47.7','47.71','47.72','47.73','47.74','47.75','47.76','47.77','47.78','47.79','47.8','47.81','47.82','47.89','47.9','47.91','47.99','H','49','49.1','49.1','49.2','49.2','49.3','49.31','49.32','49.39','49.4','49.41','49.42','49.5','49.5','50','50.1','50.1','50.2','50.2','50.3','50.3','50.4','50.4','51','51.1','51.1','51.2','51.21','51.22','52','52.1','52.1','52.2','52.21','52.22','52.23','52.24','52.29','53','53.1','53.1','53.2','53.2','I','55','55.1','55.1','55.2','55.2','55.3','55.3','55.9','55.9','56','56.1','56.1','56.2','56.21','56.29','56.3','56.3','J','58','58.1','58.11','58.12','58.13','58.14','58.19','58.2','58.21','58.29','59','59.1','59.11','59.12','59.13','59.14','59.2','59.2','60','60.1','60.1','60.2','60.2','61','61.1','61.1','61.2','61.2','61.3','61.3','61.9','61.9','62','62','62.01','62.02','62.03','62.09','63','63.1','63.11','63.12','63.9','63.91','63.99','K','64','64.1','64.11','64.19','64.2','64.2','64.3','64.3','64.9','64.91','64.92','64.99','65','65.1','65.11','65.12','65.2','65.2','65.3','65.3','66','66.1','66.11','66.12','66.19','66.2','66.21','66.22','66.29','66.3','66.3','L','68','68.1','68.1','68.2','68.2','68.3','68.31','68.32','M','69','69.1','69.1','69.2','69.2','70','70.1','70.1','70.2','70.21','70.22','71','71.1','71.11','71.12','71.2','71.2','72','72.1','72.11','72.19','72.2','72.2','73','73.1','73.11','73.12','73.2','73.2','74','74.1','74.1','74.2','74.2','74.3','74.3','74.9','74.9','75','75','75','N','77','77.1','77.11','77.12','77.2','77.21','77.22','77.29','77.3','77.31','77.32','77.33','77.34','77.35','77.39','77.4','77.4','78','78.1','78.1','78.2','78.2','78.3','78.3','79','79.1','79.11','79.12','79.9','79.9','80','80.1','80.1','80.2','80.2','80.3','80.3','81','81.1','81.1','81.2','81.21','81.22','81.29','81.3','81.3','82','82.1','82.11','82.19','82.2','82.2','82.3','82.3','82.9','82.91','82.92','82.99','O','84','84.1','84.11','84.12','84.13','84.2','84.21','84.22','84.23','84.24','84.25','84.3','84.3','P','85','85.1','85.1','85.2','85.2','85.3','85.31','85.32','85.4','85.41','85.42','85.5','85.51','85.52','85.53','85.59','85.6','85.6','Q','86','86.1','86.1','86.2','86.21','86.22','86.23','86.9','86.9','87','87.1','87.1','87.2','87.2','87.3','87.3','87.9','87.9','88','88.1','88.1','88.9','88.91','88.99','R','90','90','90.01','90.02','90.03','90.04','91','91','91.01','91.02','91.03','91.04','92','92','92','93','93.1','93.11','93.12','93.13','93.19','93.2','93.21','93.29','S','94','94.1','94.11','94.12','94.2','94.2','94.9','94.91','94.92','94.99','95','95.1','95.11','95.12','95.2','95.21','95.22','95.23','95.24','95.25','95.29','96','96','96.01','96.02','96.03','96.04','96.09','T','97','97','97','98','98.1','98.1','98.2','98.2','U','99','99','99','MISS','N/A'),1,0)) AS NUM_REG_DIF,'10' AS ID_EXEC, CURRENT_TIMESTAMP() AS TIME_EXEC FROM (SELECT entty_id, NACE_ESG FROM BU_LOANTAPE_WORK.LT003_ENTITY WHERE ref_date='${ref_date}' AND nome_perimetro='Individual Corporativo' AND segmento='ESTR' AND ambito='PILAR3')X</v>
      </c>
      <c r="M126" s="43" t="str">
        <f t="shared" si="2"/>
        <v>UNION ALL SELECT 'ENTITY' AS TABELA, 'VALIDADE' AS TIPOLOGIA_TESTE,'BU_LOANTAPE_WORK.LT003_ENTITY' AS TABELA_LT,'N/A' AS TABELA_SIMUL,'NACE_ESG' AS CAMPO, '${ref_date}' AS REF_DATE, COUNT(*) AS NUM_REG, SUM(IF(TRIM(CAST(X.NACE_ESG AS STRING))='' OR TRIM(CAST(X.NACE_ESG AS STRING)) IS NULL OR CAST(X.NACE_ESG AS STRING) NOT IN('A','1','1.1','1.11','1.12','1.13','1.14','1.15','1.16','1.19','1.2','1.21','1.22','1.23','1.24','1.25','1.26','1.27','1.28','1.29','1.3','1.3','1.4','1.41','1.42','1.43','1.44','1.45','1.46','1.47','1.49','1.5','1.5','1.6','1.61','1.62','1.63','1.64','1.7','1.7','2','2.1','2.1','2.2','2.2','2.3','2.3','2.4','2.4','3','3.1','3.11','3.12','3.2','3.21','3.22','B','5','5.1','5.1','5.2','5.2','6','6.1','6.1','6.2','6.2','7','7.1','7.1','7.2','7.21','7.29','8','8.1','8.11','8.12','8.9','8.91','8.92','8.93','8.99','9','9.1','9.1','9.9','9.9','C','10','10.1','10.11','10.12','10.13','10.2','10.2','10.3','10.31','10.32','10.39','10.4','10.41','10.42','10.5','10.51','10.52','10.6','10.61','10.62','10.7','10.71','10.72','10.73','10.8','10.81','10.82','10.83','10.84','10.85','10.86','10.89','10.9','10.91','10.92','11','11','11.01','11.02','11.03','11.04','11.05','11.06','11.07','12','12','12','13','13.1','13.1','13.2','13.2','13.3','13.3','13.9','13.91','13.92','13.93','13.94','13.95','13.96','13.99','14','14.1','14.11','14.12','14.13','14.14','14.19','14.2','14.2','14.3','14.31','14.39','15','15.1','15.11','15.12','15.2','15.2','16','16.1','16.1','16.2','16.21','16.22','16.23','16.24','16.29','17','17.1','17.11','17.12','17.2','17.21','17.22','17.23','17.24','17.29','18','18.1','18.11','18.12','18.13','18.14','18.2','18.2','19','19.1','19.1','19.2','19.2','20','20.1','20.11','20.12','20.13','20.14','20.15','20.16','20.17','20.2','20.2','20.3','20.3','20.4','20.41','20.42','20.5','20.51','20.52','20.53','20.59','20.6','20.6','21','21.1','21.1','21.2','21.2','22','22.1','22.11','22.19','22.2','22.21','22.22','22.23','22.29','23','23.1','23.11','23.12','23.13','23.14','23.19','23.2','23.2','23.3','23.31','23.32','23.4','23.41','23.42','23.43','23.44','23.49','23.5','23.51','23.52','23.6','23.61','23.62','23.63','23.64','23.65','23.69','23.7','23.7','23.9','23.91','23.99','24','24.1','24.1','24.2','24.2','24.3','24.31','24.32','24.33','24.34','24.4','24.41','24.42','24.43','24.44','24.45','24.46','24.5','24.51','24.52','24.53','24.54','25','25.1','25.11','25.12','25.2','25.21','25.29','25.3','25.3','25.4','25.4','25.5','25.5','25.6','25.61','25.62','25.7','25.71','25.72','25.73','25.9','25.91','25.92','25.93','25.94','25.99','26','26.1','26.11','26.12','26.2','26.2','26.3','26.3','26.4','26.4','26.5','26.51','26.52','26.6','26.6','26.7','26.7','26.8','26.8','27','27.1','27.11','27.12','27.2','27.2','27.3','27.31','27.32','27.33','27.4','27.4','27.5','27.51','27.52','27.9','27.9','28','28.1','28.11','28.12','28.13','28.14','28.15','28.2','28.21','28.22','28.23','28.24','28.25','28.29','28.3','28.3','28.4','28.41','28.49','28.9','28.91','28.92','28.93','28.94','28.95','28.96','28.99','29','29.1','29.1','29.2','29.2','29.3','29.31','29.32','30','30.1','30.11','30.12','30.2','30.2','30.3','30.3','30.4','30.4','30.9','30.91','30.92','30.99','31','31','31.01','31.02','31.03','31.09','32','32.1','32.11','32.12','32.13','32.2','32.2','32.3','32.3','32.4','32.4','32.5','32.5','32.9','32.91','32.99','33','33.1','33.11','33.12','33.13','33.14','33.15','33.16','33.17','33.19','33.2','33.2','D','35','35.1','35.11','35.12','35.13','35.14','35.2','35.21','35.22','35.23','35.3','35.3','E','36','36','36','37','37','37','38','38.1','38.11','38.12','38.2','38.21','38.22','38.3','38.31','38.32','39','39','39','F','41','41.1','41.1','41.2','41.2','42','42.1','42.11','42.12','42.13','42.2','42.21','42.22','42.9','42.91','42.99','43','43.1','43.11','43.12','43.13','43.2','43.21','43.22','43.29','43.3','43.31','43.32','43.33','43.34','43.39','43.9','43.91','43.99','G','45','45.1','45.11','45.19','45.2','45.2','45.3','45.31','45.32','45.4','45.4','46','46.1','46.11','46.12','46.13','46.14','46.15','46.16','46.17','46.18','46.19','46.2','46.21','46.22','46.23','46.24','46.3','46.31','46.32','46.33','46.34','46.35','46.36','46.37','46.38','46.39','46.4','46.41','46.42','46.43','46.44','46.45','46.46','46.47','46.48','46.49','46.5','46.51','46.52','46.6','46.61','46.62','46.63','46.64','46.65','46.66','46.69','46.7','46.71','46.72','46.73','46.74','46.75','46.76','46.77','46.9','46.9','47','47.1','47.11','47.19','47.2','47.21','47.22','47.23','47.24','47.25','47.26','47.29','47.3','47.3','47.4','47.41','47.42','47.43','47.5','47.51','47.52','47.53','47.54','47.59','47.6','47.61','47.62','47.63','47.64','47.65','47.7','47.71','47.72','47.73','47.74','47.75','47.76','47.77','47.78','47.79','47.8','47.81','47.82','47.89','47.9','47.91','47.99','H','49','49.1','49.1','49.2','49.2','49.3','49.31','49.32','49.39','49.4','49.41','49.42','49.5','49.5','50','50.1','50.1','50.2','50.2','50.3','50.3','50.4','50.4','51','51.1','51.1','51.2','51.21','51.22','52','52.1','52.1','52.2','52.21','52.22','52.23','52.24','52.29','53','53.1','53.1','53.2','53.2','I','55','55.1','55.1','55.2','55.2','55.3','55.3','55.9','55.9','56','56.1','56.1','56.2','56.21','56.29','56.3','56.3','J','58','58.1','58.11','58.12','58.13','58.14','58.19','58.2','58.21','58.29','59','59.1','59.11','59.12','59.13','59.14','59.2','59.2','60','60.1','60.1','60.2','60.2','61','61.1','61.1','61.2','61.2','61.3','61.3','61.9','61.9','62','62','62.01','62.02','62.03','62.09','63','63.1','63.11','63.12','63.9','63.91','63.99','K','64','64.1','64.11','64.19','64.2','64.2','64.3','64.3','64.9','64.91','64.92','64.99','65','65.1','65.11','65.12','65.2','65.2','65.3','65.3','66','66.1','66.11','66.12','66.19','66.2','66.21','66.22','66.29','66.3','66.3','L','68','68.1','68.1','68.2','68.2','68.3','68.31','68.32','M','69','69.1','69.1','69.2','69.2','70','70.1','70.1','70.2','70.21','70.22','71','71.1','71.11','71.12','71.2','71.2','72','72.1','72.11','72.19','72.2','72.2','73','73.1','73.11','73.12','73.2','73.2','74','74.1','74.1','74.2','74.2','74.3','74.3','74.9','74.9','75','75','75','N','77','77.1','77.11','77.12','77.2','77.21','77.22','77.29','77.3','77.31','77.32','77.33','77.34','77.35','77.39','77.4','77.4','78','78.1','78.1','78.2','78.2','78.3','78.3','79','79.1','79.11','79.12','79.9','79.9','80','80.1','80.1','80.2','80.2','80.3','80.3','81','81.1','81.1','81.2','81.21','81.22','81.29','81.3','81.3','82','82.1','82.11','82.19','82.2','82.2','82.3','82.3','82.9','82.91','82.92','82.99','O','84','84.1','84.11','84.12','84.13','84.2','84.21','84.22','84.23','84.24','84.25','84.3','84.3','P','85','85.1','85.1','85.2','85.2','85.3','85.31','85.32','85.4','85.41','85.42','85.5','85.51','85.52','85.53','85.59','85.6','85.6','Q','86','86.1','86.1','86.2','86.21','86.22','86.23','86.9','86.9','87','87.1','87.1','87.2','87.2','87.3','87.3','87.9','87.9','88','88.1','88.1','88.9','88.91','88.99','R','90','90','90.01','90.02','90.03','90.04','91','91','91.01','91.02','91.03','91.04','92','92','92','93','93.1','93.11','93.12','93.13','93.19','93.2','93.21','93.29','S','94','94.1','94.11','94.12','94.2','94.2','94.9','94.91','94.92','94.99','95','95.1','95.11','95.12','95.2','95.21','95.22','95.23','95.24','95.25','95.29','96','96','96.01','96.02','96.03','96.04','96.09','T','97','97','97','98','98.1','98.1','98.2','98.2','U','99','99','99','MISS','N/A'),1,0)) AS NUM_REG_DIF,'10' AS ID_EXEC, CURRENT_TIMESTAMP() AS TIME_EXEC FROM (SELECT entty_id, NACE_ESG FROM BU_LOANTAPE_WORK.LT003_ENTITY WHERE ref_date='${ref_date}' AND nome_perimetro='Individual Corporativo' AND segmento='ESTR' AND ambito='PILAR3')X</v>
      </c>
      <c r="N126" s="45" t="s">
        <v>13</v>
      </c>
    </row>
    <row r="127" spans="2:14">
      <c r="B127" s="41" t="s">
        <v>23</v>
      </c>
      <c r="C127" s="41" t="s">
        <v>75</v>
      </c>
      <c r="D127" s="41" t="str">
        <f>+UPPER('0. Instruções'!$D$33&amp;"."&amp;VLOOKUP(B127,'0. Instruções'!$C$27:$D$31,2,FALSE))</f>
        <v>BU_LOANTAPE_WORK.LT003_ENTITY</v>
      </c>
      <c r="E127" s="41" t="str">
        <f>+UPPER('0. Instruções'!$D$34&amp;"."&amp;VLOOKUP(B127,'0. Instruções'!$C$27:$E$31,3,FALSE))</f>
        <v>BU_LOANTAPE_WORK.LT003_ENTTY_P3_NOV24</v>
      </c>
      <c r="F127" s="41" t="s">
        <v>100</v>
      </c>
      <c r="G127" s="41" t="s">
        <v>210</v>
      </c>
      <c r="H127" s="41"/>
      <c r="I127" s="41" t="str">
        <f>"(SELECT "&amp;VLOOKUP(B127,'0. Instruções'!$C$27:$G$31,4,FALSE)&amp;", "&amp;F127&amp;" FROM "&amp;D127&amp;" WHERE "&amp;'0. Instruções'!$D$40&amp;")X"</f>
        <v>(SELECT entty_id, TXNMY_ELGBL_CAPEX_CCM FROM BU_LOANTAPE_WORK.LT003_ENTITY WHERE ref_date='${ref_date}' AND nome_perimetro='Individual Corporativo' AND segmento='ESTR' AND ambito='PILAR3')X</v>
      </c>
      <c r="J127" s="41" t="str">
        <f>"(SELECT "&amp;VLOOKUP(B127,'0. Instruções'!$C$27:$G$31,4,FALSE)&amp;" AS "&amp;VLOOKUP(B127,'0. Instruções'!$C$27:$G$31,4,FALSE)&amp;"_SIMUL, "&amp;F127&amp;" AS "&amp;F127&amp;"_SIMUL FROM "&amp;E127&amp;")Y"</f>
        <v>(SELECT entty_id AS entty_id_SIMUL, TXNMY_ELGBL_CAPEX_CCM AS TXNMY_ELGBL_CAPEX_CCM_SIMUL FROM BU_LOANTAPE_WORK.LT003_ENTTY_P3_NOV24)Y</v>
      </c>
      <c r="K127" s="42" t="str">
        <f>+UPPER("ON X."&amp;VLOOKUP(B127,'0. Instruções'!$C$27:$G$31,4,FALSE)&amp;"=Y."&amp;VLOOKUP(B127,'0. Instruções'!$C$27:$G$31,4,FALSE)&amp;"_SIMUL")</f>
        <v>ON X.ENTTY_ID=Y.ENTTY_ID_SIMUL</v>
      </c>
      <c r="L127" s="42" t="str">
        <f>+IF(C127="Coerência", +IF(LEFT(G127,5)="FLOAT","SELECT '"&amp;UPPER(B127)&amp;"' AS TABELA, '"&amp;UPPER(C127)&amp;"' AS TIPOLOGIA_TESTE,'"&amp;D127&amp;"' AS TABELA_LT,'"&amp;E127&amp;"' AS TABELA_SIMUL,'"&amp;F127&amp;"' AS CAMPO, "&amp;"'${ref_date}' AS REF_DATE, COUNT(*) AS NUM_REG, SUM(IF((ABS(COALESCE(X."&amp;F127&amp;",0)-COALESCE(Y."&amp;F127&amp;"_SIMUL,0))&gt;0.0000000001) OR (X."&amp;F127&amp;" IS NULL AND Y."&amp;F127&amp;"_SIMUL IS NOT NULL ) OR (X."&amp;F127&amp;" IS NOT NULL AND Y."&amp;F127&amp;"_SIMUL IS NULL),1,0)) AS NUM_REG_DIF,'"&amp;MAX('ID1&amp;5'!K:K)+1&amp;"' AS ID_EXEC, CURRENT_TIMESTAMP() AS TIME_EXEC FROM "&amp;I127&amp;" INNER JOIN "&amp;J127&amp;" "&amp;K127,"SELECT '"&amp;UPPER(B127)&amp;"' AS TABELA, '"&amp;UPPER(C127)&amp;"' AS TIPOLOGIA_TESTE,'"&amp;D127&amp;"' AS TABELA_LT,'"&amp;E127&amp;"' AS TABELA_SIMUL,'"&amp;F127&amp;"' AS CAMPO, "&amp;"'${ref_date}' AS REF_DATE, COUNT(*) AS NUM_REG, SUM(IF(COALESCE(CAST(X."&amp;F127&amp;" AS STRING),'')&lt;&gt;COALESCE(CAST(Y."&amp;F127&amp;"_SIMUL AS STRING),''),1,0)) AS NUM_REG_DIF,'"&amp;MAX('ID1&amp;5'!L:L)+1&amp;"' AS ID_EXEC, CURRENT_TIMESTAMP() AS TIME_EXEC FROM "&amp;I127&amp;" INNER JOIN "&amp;J127&amp;" "&amp;K127),
IF(C127="Validade",+IF(G127="Code List","SELECT '"&amp;UPPER(B127)&amp;"' AS TABELA, '"&amp;UPPER(C127)&amp;"' AS TIPOLOGIA_TESTE,'"&amp;D127&amp;"' AS TABELA_LT,'N/A' AS TABELA_SIMUL,'"&amp;F127&amp;"' AS CAMPO, "&amp;"'${ref_date}' AS REF_DATE, COUNT(*) AS NUM_REG, SUM(IF(TRIM(CAST(X."&amp;F127&amp;" AS STRING))='' OR TRIM(CAST(X."&amp;F127&amp;" AS STRING)) IS NULL OR CAST(X."&amp;F127&amp;" AS STRING) NOT "&amp;H127&amp;",1,0)) AS NUM_REG_DIF,'"&amp;MAX('ID1&amp;5'!K:K)+1&amp;"' AS ID_EXEC, CURRENT_TIMESTAMP() AS TIME_EXEC FROM "&amp;I127,"SELECT '"&amp;UPPER(B127)&amp;"' AS TABELA, '"&amp;UPPER(C127)&amp;"' AS TIPOLOGIA_TESTE,'"&amp;D127&amp;"' AS TABELA_LT,'N/A' AS TABELA_SIMUL,'"&amp;F127&amp;"' AS CAMPO, "&amp;"'${ref_date}' AS REF_DATE, COUNT(*) AS NUM_REG, SUM(IF(TRIM(CAST(X."&amp;F127&amp;" AS STRING))='' OR TRIM(CAST(X."&amp;F127&amp;" AS STRING)) IS NULL,1,0)) AS NUM_REG_DIF,'"&amp;MAX('ID1&amp;5'!K:K)+1&amp;"' AS ID_EXEC, CURRENT_TIMESTAMP() AS TIME_EXEC FROM "&amp;I127),
IF(C127="Caracteres Especiais",+"SELECT '"&amp;UPPER(B127)&amp;"' AS TABELA, '"&amp;UPPER(C127)&amp;"' AS TIPOLOGIA_TESTE,'"&amp;D127&amp;"' AS TABELA_LT,'N/A' AS TABELA_SIMUL,'"&amp;F127&amp;"' AS CAMPO, "&amp;"'${ref_date}' AS REF_DATE, COUNT(*) AS NUM_REG, SUM(IF(INSTR(CAST(X."&amp;F127&amp;" AS STRING),'#')&gt;0 OR INSTR(CAST(X."&amp;F127&amp;" AS STRING),'*')&gt;0 OR INSTR(CAST(X."&amp;F127&amp;" AS STRING),'`')&gt;0 OR INSTR(CAST(X."&amp;F127&amp;" AS STRING),'´')&gt;0 OR INSTR(CAST(X."&amp;F127&amp;" AS STRING),'{')&gt;0 OR INSTR(CAST(X."&amp;F127&amp;" AS STRING),'}')&gt;0 OR INSTR(CAST(X."&amp;F127&amp;" AS STRING),'[')&gt;0 OR INSTR(CAST(X."&amp;F127&amp;" AS STRING),'')&gt;0 OR INSTR(CAST(X."&amp;F127&amp;" AS STRING),']')&gt;0 OR INSTR(CAST(X."&amp;F127&amp;" AS STRING),'?')&gt;0 OR INSTR(CAST(X."&amp;F127&amp;" AS STRING),'!')&gt;0 OR INSTR(CAST(X."&amp;F127&amp;" AS STRING),'$')&gt;0 OR INSTR(CAST(X."&amp;F127&amp;" AS STRING),'%')&gt;0 OR INSTR(CAST(X."&amp;F127&amp;" AS STRING),'&amp;')&gt;0 OR INSTR(CAST(X."&amp;F127&amp;" AS STRING),'+')&gt;0,1,0)) AS NUM_REG_DIF,'"&amp;MAX('ID1&amp;5'!K:K)+1&amp;"' AS ID_EXEC, CURRENT_TIMESTAMP() AS TIME_EXEC FROM "&amp;I127,
IF(C127="Missings",+"SELECT '"&amp;UPPER(B127)&amp;"' AS TABELA, '"&amp;UPPER(C127)&amp;"' AS TIPOLOGIA_TESTE,'"&amp;D127&amp;"' AS TABELA_LT,'N/A' AS TABELA_SIMUL,'"&amp;F127&amp;"' AS CAMPO, "&amp;"'${ref_date}' AS REF_DATE, COUNT(*) AS NUM_REG, SUM(IF(TRIM(CAST(X."&amp;F127&amp;" AS STRING)) IN ('0000-00-00','0001-01-01','9999-12-31','MISS','00000','99999999999','99999999999.00','99999999999.000000'),1,0)) AS NUM_REG_DIF,'"&amp;MAX('ID1&amp;5'!K:K)+1&amp;"' AS ID_EXEC, CURRENT_TIMESTAMP() AS TIME_EXEC FROM "&amp;I127,
IF(C127="Not applicable",+"SELECT '"&amp;UPPER(B127)&amp;"' AS TABELA, '"&amp;UPPER(C127)&amp;"' AS TIPOLOGIA_TESTE,'"&amp;D127&amp;"' AS TABELA_LT,'N/A' AS TABELA_SIMUL,'"&amp;F127&amp;"' AS CAMPO, "&amp;"'${ref_date}' AS REF_DATE, COUNT(*) AS NUM_REG, SUM(IF(TRIM(CAST(X."&amp;F127&amp;" AS STRING)) IN ('N/A','11111111111','11111111111.00','11111111111.000000','1111-11-11'),1,0)) AS NUM_REG_DIF,'"&amp;MAX('ID1&amp;5'!K:K)+1&amp;"' AS ID_EXEC, CURRENT_TIMESTAMP() AS TIME_EXEC FROM "&amp;I127,
IF(C127="Valores extremos",+"SELECT '"&amp;UPPER(B127)&amp;"' AS TABELA, '"&amp;UPPER(C127)&amp;"' AS TIPOLOGIA_TESTE,'"&amp;D127&amp;"' AS TABELA_LT,'N/A' AS TABELA_SIMUL,'"&amp;F127&amp;"' AS CAMPO, "&amp;"'${ref_date}' AS REF_DATE, CAST(MIN("&amp;F127&amp;") AS STRING) AS VALOR_MIN, CAST(MAX("&amp;F127&amp;") AS STRING) AS VALOR_MAX,'"&amp;MAX('ID1&amp;5'!K:K)+1&amp;"' AS ID_EXEC, CURRENT_TIMESTAMP() AS TIME_EXEC FROM "&amp;MID(I127,1,LEN(I127)-2)&amp;" AND CAST("&amp;F127&amp;"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TABELA_SIMUL,'TXNMY_ELGBL_CAPEX_CCM' AS CAMPO, '${ref_date}' AS REF_DATE, COUNT(*) AS NUM_REG, SUM(IF(TRIM(CAST(X.TXNMY_ELGBL_CAPEX_CCM AS STRING))='' OR TRIM(CAST(X.TXNMY_ELGBL_CAPEX_CCM AS STRING)) IS NULL,1,0)) AS NUM_REG_DIF,'10' AS ID_EXEC, CURRENT_TIMESTAMP() AS TIME_EXEC FROM (SELECT entty_id, TXNMY_ELGBL_CAPEX_CCM FROM BU_LOANTAPE_WORK.LT003_ENTITY WHERE ref_date='${ref_date}' AND nome_perimetro='Individual Corporativo' AND segmento='ESTR' AND ambito='PILAR3')X</v>
      </c>
      <c r="M127" s="43" t="str">
        <f t="shared" si="2"/>
        <v>UNION ALL SELECT 'ENTITY' AS TABELA, 'VALIDADE' AS TIPOLOGIA_TESTE,'BU_LOANTAPE_WORK.LT003_ENTITY' AS TABELA_LT,'N/A' AS TABELA_SIMUL,'TXNMY_ELGBL_CAPEX_CCM' AS CAMPO, '${ref_date}' AS REF_DATE, COUNT(*) AS NUM_REG, SUM(IF(TRIM(CAST(X.TXNMY_ELGBL_CAPEX_CCM AS STRING))='' OR TRIM(CAST(X.TXNMY_ELGBL_CAPEX_CCM AS STRING)) IS NULL,1,0)) AS NUM_REG_DIF,'10' AS ID_EXEC, CURRENT_TIMESTAMP() AS TIME_EXEC FROM (SELECT entty_id, TXNMY_ELGBL_CAPEX_CCM FROM BU_LOANTAPE_WORK.LT003_ENTITY WHERE ref_date='${ref_date}' AND nome_perimetro='Individual Corporativo' AND segmento='ESTR' AND ambito='PILAR3')X</v>
      </c>
      <c r="N127" s="45" t="s">
        <v>13</v>
      </c>
    </row>
    <row r="128" spans="2:14">
      <c r="B128" s="41" t="s">
        <v>23</v>
      </c>
      <c r="C128" s="41" t="s">
        <v>75</v>
      </c>
      <c r="D128" s="41" t="str">
        <f>+UPPER('0. Instruções'!$D$33&amp;"."&amp;VLOOKUP(B128,'0. Instruções'!$C$27:$D$31,2,FALSE))</f>
        <v>BU_LOANTAPE_WORK.LT003_ENTITY</v>
      </c>
      <c r="E128" s="41" t="str">
        <f>+UPPER('0. Instruções'!$D$34&amp;"."&amp;VLOOKUP(B128,'0. Instruções'!$C$27:$E$31,3,FALSE))</f>
        <v>BU_LOANTAPE_WORK.LT003_ENTTY_P3_NOV24</v>
      </c>
      <c r="F128" s="41" t="s">
        <v>101</v>
      </c>
      <c r="G128" s="41" t="s">
        <v>210</v>
      </c>
      <c r="H128" s="41"/>
      <c r="I128" s="41" t="str">
        <f>"(SELECT "&amp;VLOOKUP(B128,'0. Instruções'!$C$27:$G$31,4,FALSE)&amp;", "&amp;F128&amp;" FROM "&amp;D128&amp;" WHERE "&amp;'0. Instruções'!$D$40&amp;")X"</f>
        <v>(SELECT entty_id, TXNMY_ELGBL_TRNVR_CCM FROM BU_LOANTAPE_WORK.LT003_ENTITY WHERE ref_date='${ref_date}' AND nome_perimetro='Individual Corporativo' AND segmento='ESTR' AND ambito='PILAR3')X</v>
      </c>
      <c r="J128" s="41" t="str">
        <f>"(SELECT "&amp;VLOOKUP(B128,'0. Instruções'!$C$27:$G$31,4,FALSE)&amp;" AS "&amp;VLOOKUP(B128,'0. Instruções'!$C$27:$G$31,4,FALSE)&amp;"_SIMUL, "&amp;F128&amp;" AS "&amp;F128&amp;"_SIMUL FROM "&amp;E128&amp;")Y"</f>
        <v>(SELECT entty_id AS entty_id_SIMUL, TXNMY_ELGBL_TRNVR_CCM AS TXNMY_ELGBL_TRNVR_CCM_SIMUL FROM BU_LOANTAPE_WORK.LT003_ENTTY_P3_NOV24)Y</v>
      </c>
      <c r="K128" s="42" t="str">
        <f>+UPPER("ON X."&amp;VLOOKUP(B128,'0. Instruções'!$C$27:$G$31,4,FALSE)&amp;"=Y."&amp;VLOOKUP(B128,'0. Instruções'!$C$27:$G$31,4,FALSE)&amp;"_SIMUL")</f>
        <v>ON X.ENTTY_ID=Y.ENTTY_ID_SIMUL</v>
      </c>
      <c r="L128" s="42" t="str">
        <f>+IF(C128="Coerência", +IF(LEFT(G128,5)="FLOAT","SELECT '"&amp;UPPER(B128)&amp;"' AS TABELA, '"&amp;UPPER(C128)&amp;"' AS TIPOLOGIA_TESTE,'"&amp;D128&amp;"' AS TABELA_LT,'"&amp;E128&amp;"' AS TABELA_SIMUL,'"&amp;F128&amp;"' AS CAMPO, "&amp;"'${ref_date}' AS REF_DATE, COUNT(*) AS NUM_REG, SUM(IF((ABS(COALESCE(X."&amp;F128&amp;",0)-COALESCE(Y."&amp;F128&amp;"_SIMUL,0))&gt;0.0000000001) OR (X."&amp;F128&amp;" IS NULL AND Y."&amp;F128&amp;"_SIMUL IS NOT NULL ) OR (X."&amp;F128&amp;" IS NOT NULL AND Y."&amp;F128&amp;"_SIMUL IS NULL),1,0)) AS NUM_REG_DIF,'"&amp;MAX('ID1&amp;5'!K:K)+1&amp;"' AS ID_EXEC, CURRENT_TIMESTAMP() AS TIME_EXEC FROM "&amp;I128&amp;" INNER JOIN "&amp;J128&amp;" "&amp;K128,"SELECT '"&amp;UPPER(B128)&amp;"' AS TABELA, '"&amp;UPPER(C128)&amp;"' AS TIPOLOGIA_TESTE,'"&amp;D128&amp;"' AS TABELA_LT,'"&amp;E128&amp;"' AS TABELA_SIMUL,'"&amp;F128&amp;"' AS CAMPO, "&amp;"'${ref_date}' AS REF_DATE, COUNT(*) AS NUM_REG, SUM(IF(COALESCE(CAST(X."&amp;F128&amp;" AS STRING),'')&lt;&gt;COALESCE(CAST(Y."&amp;F128&amp;"_SIMUL AS STRING),''),1,0)) AS NUM_REG_DIF,'"&amp;MAX('ID1&amp;5'!L:L)+1&amp;"' AS ID_EXEC, CURRENT_TIMESTAMP() AS TIME_EXEC FROM "&amp;I128&amp;" INNER JOIN "&amp;J128&amp;" "&amp;K128),
IF(C128="Validade",+IF(G128="Code List","SELECT '"&amp;UPPER(B128)&amp;"' AS TABELA, '"&amp;UPPER(C128)&amp;"' AS TIPOLOGIA_TESTE,'"&amp;D128&amp;"' AS TABELA_LT,'N/A' AS TABELA_SIMUL,'"&amp;F128&amp;"' AS CAMPO, "&amp;"'${ref_date}' AS REF_DATE, COUNT(*) AS NUM_REG, SUM(IF(TRIM(CAST(X."&amp;F128&amp;" AS STRING))='' OR TRIM(CAST(X."&amp;F128&amp;" AS STRING)) IS NULL OR CAST(X."&amp;F128&amp;" AS STRING) NOT "&amp;H128&amp;",1,0)) AS NUM_REG_DIF,'"&amp;MAX('ID1&amp;5'!K:K)+1&amp;"' AS ID_EXEC, CURRENT_TIMESTAMP() AS TIME_EXEC FROM "&amp;I128,"SELECT '"&amp;UPPER(B128)&amp;"' AS TABELA, '"&amp;UPPER(C128)&amp;"' AS TIPOLOGIA_TESTE,'"&amp;D128&amp;"' AS TABELA_LT,'N/A' AS TABELA_SIMUL,'"&amp;F128&amp;"' AS CAMPO, "&amp;"'${ref_date}' AS REF_DATE, COUNT(*) AS NUM_REG, SUM(IF(TRIM(CAST(X."&amp;F128&amp;" AS STRING))='' OR TRIM(CAST(X."&amp;F128&amp;" AS STRING)) IS NULL,1,0)) AS NUM_REG_DIF,'"&amp;MAX('ID1&amp;5'!K:K)+1&amp;"' AS ID_EXEC, CURRENT_TIMESTAMP() AS TIME_EXEC FROM "&amp;I128),
IF(C128="Caracteres Especiais",+"SELECT '"&amp;UPPER(B128)&amp;"' AS TABELA, '"&amp;UPPER(C128)&amp;"' AS TIPOLOGIA_TESTE,'"&amp;D128&amp;"' AS TABELA_LT,'N/A' AS TABELA_SIMUL,'"&amp;F128&amp;"' AS CAMPO, "&amp;"'${ref_date}' AS REF_DATE, COUNT(*) AS NUM_REG, SUM(IF(INSTR(CAST(X."&amp;F128&amp;" AS STRING),'#')&gt;0 OR INSTR(CAST(X."&amp;F128&amp;" AS STRING),'*')&gt;0 OR INSTR(CAST(X."&amp;F128&amp;" AS STRING),'`')&gt;0 OR INSTR(CAST(X."&amp;F128&amp;" AS STRING),'´')&gt;0 OR INSTR(CAST(X."&amp;F128&amp;" AS STRING),'{')&gt;0 OR INSTR(CAST(X."&amp;F128&amp;" AS STRING),'}')&gt;0 OR INSTR(CAST(X."&amp;F128&amp;" AS STRING),'[')&gt;0 OR INSTR(CAST(X."&amp;F128&amp;" AS STRING),'')&gt;0 OR INSTR(CAST(X."&amp;F128&amp;" AS STRING),']')&gt;0 OR INSTR(CAST(X."&amp;F128&amp;" AS STRING),'?')&gt;0 OR INSTR(CAST(X."&amp;F128&amp;" AS STRING),'!')&gt;0 OR INSTR(CAST(X."&amp;F128&amp;" AS STRING),'$')&gt;0 OR INSTR(CAST(X."&amp;F128&amp;" AS STRING),'%')&gt;0 OR INSTR(CAST(X."&amp;F128&amp;" AS STRING),'&amp;')&gt;0 OR INSTR(CAST(X."&amp;F128&amp;" AS STRING),'+')&gt;0,1,0)) AS NUM_REG_DIF,'"&amp;MAX('ID1&amp;5'!K:K)+1&amp;"' AS ID_EXEC, CURRENT_TIMESTAMP() AS TIME_EXEC FROM "&amp;I128,
IF(C128="Missings",+"SELECT '"&amp;UPPER(B128)&amp;"' AS TABELA, '"&amp;UPPER(C128)&amp;"' AS TIPOLOGIA_TESTE,'"&amp;D128&amp;"' AS TABELA_LT,'N/A' AS TABELA_SIMUL,'"&amp;F128&amp;"' AS CAMPO, "&amp;"'${ref_date}' AS REF_DATE, COUNT(*) AS NUM_REG, SUM(IF(TRIM(CAST(X."&amp;F128&amp;" AS STRING)) IN ('0000-00-00','0001-01-01','9999-12-31','MISS','00000','99999999999','99999999999.00','99999999999.000000'),1,0)) AS NUM_REG_DIF,'"&amp;MAX('ID1&amp;5'!K:K)+1&amp;"' AS ID_EXEC, CURRENT_TIMESTAMP() AS TIME_EXEC FROM "&amp;I128,
IF(C128="Not applicable",+"SELECT '"&amp;UPPER(B128)&amp;"' AS TABELA, '"&amp;UPPER(C128)&amp;"' AS TIPOLOGIA_TESTE,'"&amp;D128&amp;"' AS TABELA_LT,'N/A' AS TABELA_SIMUL,'"&amp;F128&amp;"' AS CAMPO, "&amp;"'${ref_date}' AS REF_DATE, COUNT(*) AS NUM_REG, SUM(IF(TRIM(CAST(X."&amp;F128&amp;" AS STRING)) IN ('N/A','11111111111','11111111111.00','11111111111.000000','1111-11-11'),1,0)) AS NUM_REG_DIF,'"&amp;MAX('ID1&amp;5'!K:K)+1&amp;"' AS ID_EXEC, CURRENT_TIMESTAMP() AS TIME_EXEC FROM "&amp;I128,
IF(C128="Valores extremos",+"SELECT '"&amp;UPPER(B128)&amp;"' AS TABELA, '"&amp;UPPER(C128)&amp;"' AS TIPOLOGIA_TESTE,'"&amp;D128&amp;"' AS TABELA_LT,'N/A' AS TABELA_SIMUL,'"&amp;F128&amp;"' AS CAMPO, "&amp;"'${ref_date}' AS REF_DATE, CAST(MIN("&amp;F128&amp;") AS STRING) AS VALOR_MIN, CAST(MAX("&amp;F128&amp;") AS STRING) AS VALOR_MAX,'"&amp;MAX('ID1&amp;5'!K:K)+1&amp;"' AS ID_EXEC, CURRENT_TIMESTAMP() AS TIME_EXEC FROM "&amp;MID(I128,1,LEN(I128)-2)&amp;" AND CAST("&amp;F128&amp;"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TABELA_SIMUL,'TXNMY_ELGBL_TRNVR_CCM' AS CAMPO, '${ref_date}' AS REF_DATE, COUNT(*) AS NUM_REG, SUM(IF(TRIM(CAST(X.TXNMY_ELGBL_TRNVR_CCM AS STRING))='' OR TRIM(CAST(X.TXNMY_ELGBL_TRNVR_CCM AS STRING)) IS NULL,1,0)) AS NUM_REG_DIF,'10' AS ID_EXEC, CURRENT_TIMESTAMP() AS TIME_EXEC FROM (SELECT entty_id, TXNMY_ELGBL_TRNVR_CCM FROM BU_LOANTAPE_WORK.LT003_ENTITY WHERE ref_date='${ref_date}' AND nome_perimetro='Individual Corporativo' AND segmento='ESTR' AND ambito='PILAR3')X</v>
      </c>
      <c r="M128" s="43" t="str">
        <f t="shared" si="2"/>
        <v>UNION ALL SELECT 'ENTITY' AS TABELA, 'VALIDADE' AS TIPOLOGIA_TESTE,'BU_LOANTAPE_WORK.LT003_ENTITY' AS TABELA_LT,'N/A' AS TABELA_SIMUL,'TXNMY_ELGBL_TRNVR_CCM' AS CAMPO, '${ref_date}' AS REF_DATE, COUNT(*) AS NUM_REG, SUM(IF(TRIM(CAST(X.TXNMY_ELGBL_TRNVR_CCM AS STRING))='' OR TRIM(CAST(X.TXNMY_ELGBL_TRNVR_CCM AS STRING)) IS NULL,1,0)) AS NUM_REG_DIF,'10' AS ID_EXEC, CURRENT_TIMESTAMP() AS TIME_EXEC FROM (SELECT entty_id, TXNMY_ELGBL_TRNVR_CCM FROM BU_LOANTAPE_WORK.LT003_ENTITY WHERE ref_date='${ref_date}' AND nome_perimetro='Individual Corporativo' AND segmento='ESTR' AND ambito='PILAR3')X</v>
      </c>
      <c r="N128" s="45" t="s">
        <v>13</v>
      </c>
    </row>
    <row r="129" spans="2:14">
      <c r="B129" s="41" t="s">
        <v>23</v>
      </c>
      <c r="C129" s="41" t="s">
        <v>75</v>
      </c>
      <c r="D129" s="41" t="str">
        <f>+UPPER('0. Instruções'!$D$33&amp;"."&amp;VLOOKUP(B129,'0. Instruções'!$C$27:$D$31,2,FALSE))</f>
        <v>BU_LOANTAPE_WORK.LT003_ENTITY</v>
      </c>
      <c r="E129" s="41" t="str">
        <f>+UPPER('0. Instruções'!$D$34&amp;"."&amp;VLOOKUP(B129,'0. Instruções'!$C$27:$E$31,3,FALSE))</f>
        <v>BU_LOANTAPE_WORK.LT003_ENTTY_P3_NOV24</v>
      </c>
      <c r="F129" s="41" t="s">
        <v>104</v>
      </c>
      <c r="G129" s="41" t="s">
        <v>210</v>
      </c>
      <c r="H129" s="41"/>
      <c r="I129" s="41" t="str">
        <f>"(SELECT "&amp;VLOOKUP(B129,'0. Instruções'!$C$27:$G$31,4,FALSE)&amp;", "&amp;F129&amp;" FROM "&amp;D129&amp;" WHERE "&amp;'0. Instruções'!$D$40&amp;")X"</f>
        <v>(SELECT entty_id, TXNMY_ELGBL_CAPEX_CCA FROM BU_LOANTAPE_WORK.LT003_ENTITY WHERE ref_date='${ref_date}' AND nome_perimetro='Individual Corporativo' AND segmento='ESTR' AND ambito='PILAR3')X</v>
      </c>
      <c r="J129" s="41" t="str">
        <f>"(SELECT "&amp;VLOOKUP(B129,'0. Instruções'!$C$27:$G$31,4,FALSE)&amp;" AS "&amp;VLOOKUP(B129,'0. Instruções'!$C$27:$G$31,4,FALSE)&amp;"_SIMUL, "&amp;F129&amp;" AS "&amp;F129&amp;"_SIMUL FROM "&amp;E129&amp;")Y"</f>
        <v>(SELECT entty_id AS entty_id_SIMUL, TXNMY_ELGBL_CAPEX_CCA AS TXNMY_ELGBL_CAPEX_CCA_SIMUL FROM BU_LOANTAPE_WORK.LT003_ENTTY_P3_NOV24)Y</v>
      </c>
      <c r="K129" s="42" t="str">
        <f>+UPPER("ON X."&amp;VLOOKUP(B129,'0. Instruções'!$C$27:$G$31,4,FALSE)&amp;"=Y."&amp;VLOOKUP(B129,'0. Instruções'!$C$27:$G$31,4,FALSE)&amp;"_SIMUL")</f>
        <v>ON X.ENTTY_ID=Y.ENTTY_ID_SIMUL</v>
      </c>
      <c r="L129" s="42" t="str">
        <f>+IF(C129="Coerência", +IF(LEFT(G129,5)="FLOAT","SELECT '"&amp;UPPER(B129)&amp;"' AS TABELA, '"&amp;UPPER(C129)&amp;"' AS TIPOLOGIA_TESTE,'"&amp;D129&amp;"' AS TABELA_LT,'"&amp;E129&amp;"' AS TABELA_SIMUL,'"&amp;F129&amp;"' AS CAMPO, "&amp;"'${ref_date}' AS REF_DATE, COUNT(*) AS NUM_REG, SUM(IF((ABS(COALESCE(X."&amp;F129&amp;",0)-COALESCE(Y."&amp;F129&amp;"_SIMUL,0))&gt;0.0000000001) OR (X."&amp;F129&amp;" IS NULL AND Y."&amp;F129&amp;"_SIMUL IS NOT NULL ) OR (X."&amp;F129&amp;" IS NOT NULL AND Y."&amp;F129&amp;"_SIMUL IS NULL),1,0)) AS NUM_REG_DIF,'"&amp;MAX('ID1&amp;5'!K:K)+1&amp;"' AS ID_EXEC, CURRENT_TIMESTAMP() AS TIME_EXEC FROM "&amp;I129&amp;" INNER JOIN "&amp;J129&amp;" "&amp;K129,"SELECT '"&amp;UPPER(B129)&amp;"' AS TABELA, '"&amp;UPPER(C129)&amp;"' AS TIPOLOGIA_TESTE,'"&amp;D129&amp;"' AS TABELA_LT,'"&amp;E129&amp;"' AS TABELA_SIMUL,'"&amp;F129&amp;"' AS CAMPO, "&amp;"'${ref_date}' AS REF_DATE, COUNT(*) AS NUM_REG, SUM(IF(COALESCE(CAST(X."&amp;F129&amp;" AS STRING),'')&lt;&gt;COALESCE(CAST(Y."&amp;F129&amp;"_SIMUL AS STRING),''),1,0)) AS NUM_REG_DIF,'"&amp;MAX('ID1&amp;5'!L:L)+1&amp;"' AS ID_EXEC, CURRENT_TIMESTAMP() AS TIME_EXEC FROM "&amp;I129&amp;" INNER JOIN "&amp;J129&amp;" "&amp;K129),
IF(C129="Validade",+IF(G129="Code List","SELECT '"&amp;UPPER(B129)&amp;"' AS TABELA, '"&amp;UPPER(C129)&amp;"' AS TIPOLOGIA_TESTE,'"&amp;D129&amp;"' AS TABELA_LT,'N/A' AS TABELA_SIMUL,'"&amp;F129&amp;"' AS CAMPO, "&amp;"'${ref_date}' AS REF_DATE, COUNT(*) AS NUM_REG, SUM(IF(TRIM(CAST(X."&amp;F129&amp;" AS STRING))='' OR TRIM(CAST(X."&amp;F129&amp;" AS STRING)) IS NULL OR CAST(X."&amp;F129&amp;" AS STRING) NOT "&amp;H129&amp;",1,0)) AS NUM_REG_DIF,'"&amp;MAX('ID1&amp;5'!K:K)+1&amp;"' AS ID_EXEC, CURRENT_TIMESTAMP() AS TIME_EXEC FROM "&amp;I129,"SELECT '"&amp;UPPER(B129)&amp;"' AS TABELA, '"&amp;UPPER(C129)&amp;"' AS TIPOLOGIA_TESTE,'"&amp;D129&amp;"' AS TABELA_LT,'N/A' AS TABELA_SIMUL,'"&amp;F129&amp;"' AS CAMPO, "&amp;"'${ref_date}' AS REF_DATE, COUNT(*) AS NUM_REG, SUM(IF(TRIM(CAST(X."&amp;F129&amp;" AS STRING))='' OR TRIM(CAST(X."&amp;F129&amp;" AS STRING)) IS NULL,1,0)) AS NUM_REG_DIF,'"&amp;MAX('ID1&amp;5'!K:K)+1&amp;"' AS ID_EXEC, CURRENT_TIMESTAMP() AS TIME_EXEC FROM "&amp;I129),
IF(C129="Caracteres Especiais",+"SELECT '"&amp;UPPER(B129)&amp;"' AS TABELA, '"&amp;UPPER(C129)&amp;"' AS TIPOLOGIA_TESTE,'"&amp;D129&amp;"' AS TABELA_LT,'N/A' AS TABELA_SIMUL,'"&amp;F129&amp;"' AS CAMPO, "&amp;"'${ref_date}' AS REF_DATE, COUNT(*) AS NUM_REG, SUM(IF(INSTR(CAST(X."&amp;F129&amp;" AS STRING),'#')&gt;0 OR INSTR(CAST(X."&amp;F129&amp;" AS STRING),'*')&gt;0 OR INSTR(CAST(X."&amp;F129&amp;" AS STRING),'`')&gt;0 OR INSTR(CAST(X."&amp;F129&amp;" AS STRING),'´')&gt;0 OR INSTR(CAST(X."&amp;F129&amp;" AS STRING),'{')&gt;0 OR INSTR(CAST(X."&amp;F129&amp;" AS STRING),'}')&gt;0 OR INSTR(CAST(X."&amp;F129&amp;" AS STRING),'[')&gt;0 OR INSTR(CAST(X."&amp;F129&amp;" AS STRING),'')&gt;0 OR INSTR(CAST(X."&amp;F129&amp;" AS STRING),']')&gt;0 OR INSTR(CAST(X."&amp;F129&amp;" AS STRING),'?')&gt;0 OR INSTR(CAST(X."&amp;F129&amp;" AS STRING),'!')&gt;0 OR INSTR(CAST(X."&amp;F129&amp;" AS STRING),'$')&gt;0 OR INSTR(CAST(X."&amp;F129&amp;" AS STRING),'%')&gt;0 OR INSTR(CAST(X."&amp;F129&amp;" AS STRING),'&amp;')&gt;0 OR INSTR(CAST(X."&amp;F129&amp;" AS STRING),'+')&gt;0,1,0)) AS NUM_REG_DIF,'"&amp;MAX('ID1&amp;5'!K:K)+1&amp;"' AS ID_EXEC, CURRENT_TIMESTAMP() AS TIME_EXEC FROM "&amp;I129,
IF(C129="Missings",+"SELECT '"&amp;UPPER(B129)&amp;"' AS TABELA, '"&amp;UPPER(C129)&amp;"' AS TIPOLOGIA_TESTE,'"&amp;D129&amp;"' AS TABELA_LT,'N/A' AS TABELA_SIMUL,'"&amp;F129&amp;"' AS CAMPO, "&amp;"'${ref_date}' AS REF_DATE, COUNT(*) AS NUM_REG, SUM(IF(TRIM(CAST(X."&amp;F129&amp;" AS STRING)) IN ('0000-00-00','0001-01-01','9999-12-31','MISS','00000','99999999999','99999999999.00','99999999999.000000'),1,0)) AS NUM_REG_DIF,'"&amp;MAX('ID1&amp;5'!K:K)+1&amp;"' AS ID_EXEC, CURRENT_TIMESTAMP() AS TIME_EXEC FROM "&amp;I129,
IF(C129="Not applicable",+"SELECT '"&amp;UPPER(B129)&amp;"' AS TABELA, '"&amp;UPPER(C129)&amp;"' AS TIPOLOGIA_TESTE,'"&amp;D129&amp;"' AS TABELA_LT,'N/A' AS TABELA_SIMUL,'"&amp;F129&amp;"' AS CAMPO, "&amp;"'${ref_date}' AS REF_DATE, COUNT(*) AS NUM_REG, SUM(IF(TRIM(CAST(X."&amp;F129&amp;" AS STRING)) IN ('N/A','11111111111','11111111111.00','11111111111.000000','1111-11-11'),1,0)) AS NUM_REG_DIF,'"&amp;MAX('ID1&amp;5'!K:K)+1&amp;"' AS ID_EXEC, CURRENT_TIMESTAMP() AS TIME_EXEC FROM "&amp;I129,
IF(C129="Valores extremos",+"SELECT '"&amp;UPPER(B129)&amp;"' AS TABELA, '"&amp;UPPER(C129)&amp;"' AS TIPOLOGIA_TESTE,'"&amp;D129&amp;"' AS TABELA_LT,'N/A' AS TABELA_SIMUL,'"&amp;F129&amp;"' AS CAMPO, "&amp;"'${ref_date}' AS REF_DATE, CAST(MIN("&amp;F129&amp;") AS STRING) AS VALOR_MIN, CAST(MAX("&amp;F129&amp;") AS STRING) AS VALOR_MAX,'"&amp;MAX('ID1&amp;5'!K:K)+1&amp;"' AS ID_EXEC, CURRENT_TIMESTAMP() AS TIME_EXEC FROM "&amp;MID(I129,1,LEN(I129)-2)&amp;" AND CAST("&amp;F129&amp;"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TABELA_SIMUL,'TXNMY_ELGBL_CAPEX_CCA' AS CAMPO, '${ref_date}' AS REF_DATE, COUNT(*) AS NUM_REG, SUM(IF(TRIM(CAST(X.TXNMY_ELGBL_CAPEX_CCA AS STRING))='' OR TRIM(CAST(X.TXNMY_ELGBL_CAPEX_CCA AS STRING)) IS NULL,1,0)) AS NUM_REG_DIF,'10' AS ID_EXEC, CURRENT_TIMESTAMP() AS TIME_EXEC FROM (SELECT entty_id, TXNMY_ELGBL_CAPEX_CCA FROM BU_LOANTAPE_WORK.LT003_ENTITY WHERE ref_date='${ref_date}' AND nome_perimetro='Individual Corporativo' AND segmento='ESTR' AND ambito='PILAR3')X</v>
      </c>
      <c r="M129" s="43" t="str">
        <f t="shared" si="2"/>
        <v>UNION ALL SELECT 'ENTITY' AS TABELA, 'VALIDADE' AS TIPOLOGIA_TESTE,'BU_LOANTAPE_WORK.LT003_ENTITY' AS TABELA_LT,'N/A' AS TABELA_SIMUL,'TXNMY_ELGBL_CAPEX_CCA' AS CAMPO, '${ref_date}' AS REF_DATE, COUNT(*) AS NUM_REG, SUM(IF(TRIM(CAST(X.TXNMY_ELGBL_CAPEX_CCA AS STRING))='' OR TRIM(CAST(X.TXNMY_ELGBL_CAPEX_CCA AS STRING)) IS NULL,1,0)) AS NUM_REG_DIF,'10' AS ID_EXEC, CURRENT_TIMESTAMP() AS TIME_EXEC FROM (SELECT entty_id, TXNMY_ELGBL_CAPEX_CCA FROM BU_LOANTAPE_WORK.LT003_ENTITY WHERE ref_date='${ref_date}' AND nome_perimetro='Individual Corporativo' AND segmento='ESTR' AND ambito='PILAR3')X</v>
      </c>
      <c r="N129" s="45" t="s">
        <v>13</v>
      </c>
    </row>
    <row r="130" spans="2:14">
      <c r="B130" s="41" t="s">
        <v>23</v>
      </c>
      <c r="C130" s="41" t="s">
        <v>75</v>
      </c>
      <c r="D130" s="41" t="str">
        <f>+UPPER('0. Instruções'!$D$33&amp;"."&amp;VLOOKUP(B130,'0. Instruções'!$C$27:$D$31,2,FALSE))</f>
        <v>BU_LOANTAPE_WORK.LT003_ENTITY</v>
      </c>
      <c r="E130" s="41" t="str">
        <f>+UPPER('0. Instruções'!$D$34&amp;"."&amp;VLOOKUP(B130,'0. Instruções'!$C$27:$E$31,3,FALSE))</f>
        <v>BU_LOANTAPE_WORK.LT003_ENTTY_P3_NOV24</v>
      </c>
      <c r="F130" s="41" t="s">
        <v>105</v>
      </c>
      <c r="G130" s="41" t="s">
        <v>210</v>
      </c>
      <c r="H130" s="41"/>
      <c r="I130" s="41" t="str">
        <f>"(SELECT "&amp;VLOOKUP(B130,'0. Instruções'!$C$27:$G$31,4,FALSE)&amp;", "&amp;F130&amp;" FROM "&amp;D130&amp;" WHERE "&amp;'0. Instruções'!$D$40&amp;")X"</f>
        <v>(SELECT entty_id, TXNMY_ELGBL_TRNVR_CCA FROM BU_LOANTAPE_WORK.LT003_ENTITY WHERE ref_date='${ref_date}' AND nome_perimetro='Individual Corporativo' AND segmento='ESTR' AND ambito='PILAR3')X</v>
      </c>
      <c r="J130" s="41" t="str">
        <f>"(SELECT "&amp;VLOOKUP(B130,'0. Instruções'!$C$27:$G$31,4,FALSE)&amp;" AS "&amp;VLOOKUP(B130,'0. Instruções'!$C$27:$G$31,4,FALSE)&amp;"_SIMUL, "&amp;F130&amp;" AS "&amp;F130&amp;"_SIMUL FROM "&amp;E130&amp;")Y"</f>
        <v>(SELECT entty_id AS entty_id_SIMUL, TXNMY_ELGBL_TRNVR_CCA AS TXNMY_ELGBL_TRNVR_CCA_SIMUL FROM BU_LOANTAPE_WORK.LT003_ENTTY_P3_NOV24)Y</v>
      </c>
      <c r="K130" s="42" t="str">
        <f>+UPPER("ON X."&amp;VLOOKUP(B130,'0. Instruções'!$C$27:$G$31,4,FALSE)&amp;"=Y."&amp;VLOOKUP(B130,'0. Instruções'!$C$27:$G$31,4,FALSE)&amp;"_SIMUL")</f>
        <v>ON X.ENTTY_ID=Y.ENTTY_ID_SIMUL</v>
      </c>
      <c r="L130" s="42" t="str">
        <f>+IF(C130="Coerência", +IF(LEFT(G130,5)="FLOAT","SELECT '"&amp;UPPER(B130)&amp;"' AS TABELA, '"&amp;UPPER(C130)&amp;"' AS TIPOLOGIA_TESTE,'"&amp;D130&amp;"' AS TABELA_LT,'"&amp;E130&amp;"' AS TABELA_SIMUL,'"&amp;F130&amp;"' AS CAMPO, "&amp;"'${ref_date}' AS REF_DATE, COUNT(*) AS NUM_REG, SUM(IF((ABS(COALESCE(X."&amp;F130&amp;",0)-COALESCE(Y."&amp;F130&amp;"_SIMUL,0))&gt;0.0000000001) OR (X."&amp;F130&amp;" IS NULL AND Y."&amp;F130&amp;"_SIMUL IS NOT NULL ) OR (X."&amp;F130&amp;" IS NOT NULL AND Y."&amp;F130&amp;"_SIMUL IS NULL),1,0)) AS NUM_REG_DIF,'"&amp;MAX('ID1&amp;5'!K:K)+1&amp;"' AS ID_EXEC, CURRENT_TIMESTAMP() AS TIME_EXEC FROM "&amp;I130&amp;" INNER JOIN "&amp;J130&amp;" "&amp;K130,"SELECT '"&amp;UPPER(B130)&amp;"' AS TABELA, '"&amp;UPPER(C130)&amp;"' AS TIPOLOGIA_TESTE,'"&amp;D130&amp;"' AS TABELA_LT,'"&amp;E130&amp;"' AS TABELA_SIMUL,'"&amp;F130&amp;"' AS CAMPO, "&amp;"'${ref_date}' AS REF_DATE, COUNT(*) AS NUM_REG, SUM(IF(COALESCE(CAST(X."&amp;F130&amp;" AS STRING),'')&lt;&gt;COALESCE(CAST(Y."&amp;F130&amp;"_SIMUL AS STRING),''),1,0)) AS NUM_REG_DIF,'"&amp;MAX('ID1&amp;5'!L:L)+1&amp;"' AS ID_EXEC, CURRENT_TIMESTAMP() AS TIME_EXEC FROM "&amp;I130&amp;" INNER JOIN "&amp;J130&amp;" "&amp;K130),
IF(C130="Validade",+IF(G130="Code List","SELECT '"&amp;UPPER(B130)&amp;"' AS TABELA, '"&amp;UPPER(C130)&amp;"' AS TIPOLOGIA_TESTE,'"&amp;D130&amp;"' AS TABELA_LT,'N/A' AS TABELA_SIMUL,'"&amp;F130&amp;"' AS CAMPO, "&amp;"'${ref_date}' AS REF_DATE, COUNT(*) AS NUM_REG, SUM(IF(TRIM(CAST(X."&amp;F130&amp;" AS STRING))='' OR TRIM(CAST(X."&amp;F130&amp;" AS STRING)) IS NULL OR CAST(X."&amp;F130&amp;" AS STRING) NOT "&amp;H130&amp;",1,0)) AS NUM_REG_DIF,'"&amp;MAX('ID1&amp;5'!K:K)+1&amp;"' AS ID_EXEC, CURRENT_TIMESTAMP() AS TIME_EXEC FROM "&amp;I130,"SELECT '"&amp;UPPER(B130)&amp;"' AS TABELA, '"&amp;UPPER(C130)&amp;"' AS TIPOLOGIA_TESTE,'"&amp;D130&amp;"' AS TABELA_LT,'N/A' AS TABELA_SIMUL,'"&amp;F130&amp;"' AS CAMPO, "&amp;"'${ref_date}' AS REF_DATE, COUNT(*) AS NUM_REG, SUM(IF(TRIM(CAST(X."&amp;F130&amp;" AS STRING))='' OR TRIM(CAST(X."&amp;F130&amp;" AS STRING)) IS NULL,1,0)) AS NUM_REG_DIF,'"&amp;MAX('ID1&amp;5'!K:K)+1&amp;"' AS ID_EXEC, CURRENT_TIMESTAMP() AS TIME_EXEC FROM "&amp;I130),
IF(C130="Caracteres Especiais",+"SELECT '"&amp;UPPER(B130)&amp;"' AS TABELA, '"&amp;UPPER(C130)&amp;"' AS TIPOLOGIA_TESTE,'"&amp;D130&amp;"' AS TABELA_LT,'N/A' AS TABELA_SIMUL,'"&amp;F130&amp;"' AS CAMPO, "&amp;"'${ref_date}' AS REF_DATE, COUNT(*) AS NUM_REG, SUM(IF(INSTR(CAST(X."&amp;F130&amp;" AS STRING),'#')&gt;0 OR INSTR(CAST(X."&amp;F130&amp;" AS STRING),'*')&gt;0 OR INSTR(CAST(X."&amp;F130&amp;" AS STRING),'`')&gt;0 OR INSTR(CAST(X."&amp;F130&amp;" AS STRING),'´')&gt;0 OR INSTR(CAST(X."&amp;F130&amp;" AS STRING),'{')&gt;0 OR INSTR(CAST(X."&amp;F130&amp;" AS STRING),'}')&gt;0 OR INSTR(CAST(X."&amp;F130&amp;" AS STRING),'[')&gt;0 OR INSTR(CAST(X."&amp;F130&amp;" AS STRING),'')&gt;0 OR INSTR(CAST(X."&amp;F130&amp;" AS STRING),']')&gt;0 OR INSTR(CAST(X."&amp;F130&amp;" AS STRING),'?')&gt;0 OR INSTR(CAST(X."&amp;F130&amp;" AS STRING),'!')&gt;0 OR INSTR(CAST(X."&amp;F130&amp;" AS STRING),'$')&gt;0 OR INSTR(CAST(X."&amp;F130&amp;" AS STRING),'%')&gt;0 OR INSTR(CAST(X."&amp;F130&amp;" AS STRING),'&amp;')&gt;0 OR INSTR(CAST(X."&amp;F130&amp;" AS STRING),'+')&gt;0,1,0)) AS NUM_REG_DIF,'"&amp;MAX('ID1&amp;5'!K:K)+1&amp;"' AS ID_EXEC, CURRENT_TIMESTAMP() AS TIME_EXEC FROM "&amp;I130,
IF(C130="Missings",+"SELECT '"&amp;UPPER(B130)&amp;"' AS TABELA, '"&amp;UPPER(C130)&amp;"' AS TIPOLOGIA_TESTE,'"&amp;D130&amp;"' AS TABELA_LT,'N/A' AS TABELA_SIMUL,'"&amp;F130&amp;"' AS CAMPO, "&amp;"'${ref_date}' AS REF_DATE, COUNT(*) AS NUM_REG, SUM(IF(TRIM(CAST(X."&amp;F130&amp;" AS STRING)) IN ('0000-00-00','0001-01-01','9999-12-31','MISS','00000','99999999999','99999999999.00','99999999999.000000'),1,0)) AS NUM_REG_DIF,'"&amp;MAX('ID1&amp;5'!K:K)+1&amp;"' AS ID_EXEC, CURRENT_TIMESTAMP() AS TIME_EXEC FROM "&amp;I130,
IF(C130="Not applicable",+"SELECT '"&amp;UPPER(B130)&amp;"' AS TABELA, '"&amp;UPPER(C130)&amp;"' AS TIPOLOGIA_TESTE,'"&amp;D130&amp;"' AS TABELA_LT,'N/A' AS TABELA_SIMUL,'"&amp;F130&amp;"' AS CAMPO, "&amp;"'${ref_date}' AS REF_DATE, COUNT(*) AS NUM_REG, SUM(IF(TRIM(CAST(X."&amp;F130&amp;" AS STRING)) IN ('N/A','11111111111','11111111111.00','11111111111.000000','1111-11-11'),1,0)) AS NUM_REG_DIF,'"&amp;MAX('ID1&amp;5'!K:K)+1&amp;"' AS ID_EXEC, CURRENT_TIMESTAMP() AS TIME_EXEC FROM "&amp;I130,
IF(C130="Valores extremos",+"SELECT '"&amp;UPPER(B130)&amp;"' AS TABELA, '"&amp;UPPER(C130)&amp;"' AS TIPOLOGIA_TESTE,'"&amp;D130&amp;"' AS TABELA_LT,'N/A' AS TABELA_SIMUL,'"&amp;F130&amp;"' AS CAMPO, "&amp;"'${ref_date}' AS REF_DATE, CAST(MIN("&amp;F130&amp;") AS STRING) AS VALOR_MIN, CAST(MAX("&amp;F130&amp;") AS STRING) AS VALOR_MAX,'"&amp;MAX('ID1&amp;5'!K:K)+1&amp;"' AS ID_EXEC, CURRENT_TIMESTAMP() AS TIME_EXEC FROM "&amp;MID(I130,1,LEN(I130)-2)&amp;" AND CAST("&amp;F130&amp;"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TABELA_SIMUL,'TXNMY_ELGBL_TRNVR_CCA' AS CAMPO, '${ref_date}' AS REF_DATE, COUNT(*) AS NUM_REG, SUM(IF(TRIM(CAST(X.TXNMY_ELGBL_TRNVR_CCA AS STRING))='' OR TRIM(CAST(X.TXNMY_ELGBL_TRNVR_CCA AS STRING)) IS NULL,1,0)) AS NUM_REG_DIF,'10' AS ID_EXEC, CURRENT_TIMESTAMP() AS TIME_EXEC FROM (SELECT entty_id, TXNMY_ELGBL_TRNVR_CCA FROM BU_LOANTAPE_WORK.LT003_ENTITY WHERE ref_date='${ref_date}' AND nome_perimetro='Individual Corporativo' AND segmento='ESTR' AND ambito='PILAR3')X</v>
      </c>
      <c r="M130" s="43" t="str">
        <f t="shared" si="2"/>
        <v>UNION ALL SELECT 'ENTITY' AS TABELA, 'VALIDADE' AS TIPOLOGIA_TESTE,'BU_LOANTAPE_WORK.LT003_ENTITY' AS TABELA_LT,'N/A' AS TABELA_SIMUL,'TXNMY_ELGBL_TRNVR_CCA' AS CAMPO, '${ref_date}' AS REF_DATE, COUNT(*) AS NUM_REG, SUM(IF(TRIM(CAST(X.TXNMY_ELGBL_TRNVR_CCA AS STRING))='' OR TRIM(CAST(X.TXNMY_ELGBL_TRNVR_CCA AS STRING)) IS NULL,1,0)) AS NUM_REG_DIF,'10' AS ID_EXEC, CURRENT_TIMESTAMP() AS TIME_EXEC FROM (SELECT entty_id, TXNMY_ELGBL_TRNVR_CCA FROM BU_LOANTAPE_WORK.LT003_ENTITY WHERE ref_date='${ref_date}' AND nome_perimetro='Individual Corporativo' AND segmento='ESTR' AND ambito='PILAR3')X</v>
      </c>
      <c r="N130" s="45" t="s">
        <v>13</v>
      </c>
    </row>
    <row r="131" spans="2:14">
      <c r="B131" s="41" t="s">
        <v>23</v>
      </c>
      <c r="C131" s="41" t="s">
        <v>75</v>
      </c>
      <c r="D131" s="41" t="str">
        <f>+UPPER('0. Instruções'!$D$33&amp;"."&amp;VLOOKUP(B131,'0. Instruções'!$C$27:$D$31,2,FALSE))</f>
        <v>BU_LOANTAPE_WORK.LT003_ENTITY</v>
      </c>
      <c r="E131" s="41" t="str">
        <f>+UPPER('0. Instruções'!$D$34&amp;"."&amp;VLOOKUP(B131,'0. Instruções'!$C$27:$E$31,3,FALSE))</f>
        <v>BU_LOANTAPE_WORK.LT003_ENTTY_P3_NOV24</v>
      </c>
      <c r="F131" s="41" t="s">
        <v>106</v>
      </c>
      <c r="G131" s="41" t="s">
        <v>210</v>
      </c>
      <c r="H131" s="41"/>
      <c r="I131" s="41" t="str">
        <f>"(SELECT "&amp;VLOOKUP(B131,'0. Instruções'!$C$27:$G$31,4,FALSE)&amp;", "&amp;F131&amp;" FROM "&amp;D131&amp;" WHERE "&amp;'0. Instruções'!$D$40&amp;")X"</f>
        <v>(SELECT entty_id, ENBLNG_CAPEX_CCM FROM BU_LOANTAPE_WORK.LT003_ENTITY WHERE ref_date='${ref_date}' AND nome_perimetro='Individual Corporativo' AND segmento='ESTR' AND ambito='PILAR3')X</v>
      </c>
      <c r="J131" s="41" t="str">
        <f>"(SELECT "&amp;VLOOKUP(B131,'0. Instruções'!$C$27:$G$31,4,FALSE)&amp;" AS "&amp;VLOOKUP(B131,'0. Instruções'!$C$27:$G$31,4,FALSE)&amp;"_SIMUL, "&amp;F131&amp;" AS "&amp;F131&amp;"_SIMUL FROM "&amp;E131&amp;")Y"</f>
        <v>(SELECT entty_id AS entty_id_SIMUL, ENBLNG_CAPEX_CCM AS ENBLNG_CAPEX_CCM_SIMUL FROM BU_LOANTAPE_WORK.LT003_ENTTY_P3_NOV24)Y</v>
      </c>
      <c r="K131" s="42" t="str">
        <f>+UPPER("ON X."&amp;VLOOKUP(B131,'0. Instruções'!$C$27:$G$31,4,FALSE)&amp;"=Y."&amp;VLOOKUP(B131,'0. Instruções'!$C$27:$G$31,4,FALSE)&amp;"_SIMUL")</f>
        <v>ON X.ENTTY_ID=Y.ENTTY_ID_SIMUL</v>
      </c>
      <c r="L131" s="42" t="str">
        <f>+IF(C131="Coerência", +IF(LEFT(G131,5)="FLOAT","SELECT '"&amp;UPPER(B131)&amp;"' AS TABELA, '"&amp;UPPER(C131)&amp;"' AS TIPOLOGIA_TESTE,'"&amp;D131&amp;"' AS TABELA_LT,'"&amp;E131&amp;"' AS TABELA_SIMUL,'"&amp;F131&amp;"' AS CAMPO, "&amp;"'${ref_date}' AS REF_DATE, COUNT(*) AS NUM_REG, SUM(IF((ABS(COALESCE(X."&amp;F131&amp;",0)-COALESCE(Y."&amp;F131&amp;"_SIMUL,0))&gt;0.0000000001) OR (X."&amp;F131&amp;" IS NULL AND Y."&amp;F131&amp;"_SIMUL IS NOT NULL ) OR (X."&amp;F131&amp;" IS NOT NULL AND Y."&amp;F131&amp;"_SIMUL IS NULL),1,0)) AS NUM_REG_DIF,'"&amp;MAX('ID1&amp;5'!K:K)+1&amp;"' AS ID_EXEC, CURRENT_TIMESTAMP() AS TIME_EXEC FROM "&amp;I131&amp;" INNER JOIN "&amp;J131&amp;" "&amp;K131,"SELECT '"&amp;UPPER(B131)&amp;"' AS TABELA, '"&amp;UPPER(C131)&amp;"' AS TIPOLOGIA_TESTE,'"&amp;D131&amp;"' AS TABELA_LT,'"&amp;E131&amp;"' AS TABELA_SIMUL,'"&amp;F131&amp;"' AS CAMPO, "&amp;"'${ref_date}' AS REF_DATE, COUNT(*) AS NUM_REG, SUM(IF(COALESCE(CAST(X."&amp;F131&amp;" AS STRING),'')&lt;&gt;COALESCE(CAST(Y."&amp;F131&amp;"_SIMUL AS STRING),''),1,0)) AS NUM_REG_DIF,'"&amp;MAX('ID1&amp;5'!L:L)+1&amp;"' AS ID_EXEC, CURRENT_TIMESTAMP() AS TIME_EXEC FROM "&amp;I131&amp;" INNER JOIN "&amp;J131&amp;" "&amp;K131),
IF(C131="Validade",+IF(G131="Code List","SELECT '"&amp;UPPER(B131)&amp;"' AS TABELA, '"&amp;UPPER(C131)&amp;"' AS TIPOLOGIA_TESTE,'"&amp;D131&amp;"' AS TABELA_LT,'N/A' AS TABELA_SIMUL,'"&amp;F131&amp;"' AS CAMPO, "&amp;"'${ref_date}' AS REF_DATE, COUNT(*) AS NUM_REG, SUM(IF(TRIM(CAST(X."&amp;F131&amp;" AS STRING))='' OR TRIM(CAST(X."&amp;F131&amp;" AS STRING)) IS NULL OR CAST(X."&amp;F131&amp;" AS STRING) NOT "&amp;H131&amp;",1,0)) AS NUM_REG_DIF,'"&amp;MAX('ID1&amp;5'!K:K)+1&amp;"' AS ID_EXEC, CURRENT_TIMESTAMP() AS TIME_EXEC FROM "&amp;I131,"SELECT '"&amp;UPPER(B131)&amp;"' AS TABELA, '"&amp;UPPER(C131)&amp;"' AS TIPOLOGIA_TESTE,'"&amp;D131&amp;"' AS TABELA_LT,'N/A' AS TABELA_SIMUL,'"&amp;F131&amp;"' AS CAMPO, "&amp;"'${ref_date}' AS REF_DATE, COUNT(*) AS NUM_REG, SUM(IF(TRIM(CAST(X."&amp;F131&amp;" AS STRING))='' OR TRIM(CAST(X."&amp;F131&amp;" AS STRING)) IS NULL,1,0)) AS NUM_REG_DIF,'"&amp;MAX('ID1&amp;5'!K:K)+1&amp;"' AS ID_EXEC, CURRENT_TIMESTAMP() AS TIME_EXEC FROM "&amp;I131),
IF(C131="Caracteres Especiais",+"SELECT '"&amp;UPPER(B131)&amp;"' AS TABELA, '"&amp;UPPER(C131)&amp;"' AS TIPOLOGIA_TESTE,'"&amp;D131&amp;"' AS TABELA_LT,'N/A' AS TABELA_SIMUL,'"&amp;F131&amp;"' AS CAMPO, "&amp;"'${ref_date}' AS REF_DATE, COUNT(*) AS NUM_REG, SUM(IF(INSTR(CAST(X."&amp;F131&amp;" AS STRING),'#')&gt;0 OR INSTR(CAST(X."&amp;F131&amp;" AS STRING),'*')&gt;0 OR INSTR(CAST(X."&amp;F131&amp;" AS STRING),'`')&gt;0 OR INSTR(CAST(X."&amp;F131&amp;" AS STRING),'´')&gt;0 OR INSTR(CAST(X."&amp;F131&amp;" AS STRING),'{')&gt;0 OR INSTR(CAST(X."&amp;F131&amp;" AS STRING),'}')&gt;0 OR INSTR(CAST(X."&amp;F131&amp;" AS STRING),'[')&gt;0 OR INSTR(CAST(X."&amp;F131&amp;" AS STRING),'')&gt;0 OR INSTR(CAST(X."&amp;F131&amp;" AS STRING),']')&gt;0 OR INSTR(CAST(X."&amp;F131&amp;" AS STRING),'?')&gt;0 OR INSTR(CAST(X."&amp;F131&amp;" AS STRING),'!')&gt;0 OR INSTR(CAST(X."&amp;F131&amp;" AS STRING),'$')&gt;0 OR INSTR(CAST(X."&amp;F131&amp;" AS STRING),'%')&gt;0 OR INSTR(CAST(X."&amp;F131&amp;" AS STRING),'&amp;')&gt;0 OR INSTR(CAST(X."&amp;F131&amp;" AS STRING),'+')&gt;0,1,0)) AS NUM_REG_DIF,'"&amp;MAX('ID1&amp;5'!K:K)+1&amp;"' AS ID_EXEC, CURRENT_TIMESTAMP() AS TIME_EXEC FROM "&amp;I131,
IF(C131="Missings",+"SELECT '"&amp;UPPER(B131)&amp;"' AS TABELA, '"&amp;UPPER(C131)&amp;"' AS TIPOLOGIA_TESTE,'"&amp;D131&amp;"' AS TABELA_LT,'N/A' AS TABELA_SIMUL,'"&amp;F131&amp;"' AS CAMPO, "&amp;"'${ref_date}' AS REF_DATE, COUNT(*) AS NUM_REG, SUM(IF(TRIM(CAST(X."&amp;F131&amp;" AS STRING)) IN ('0000-00-00','0001-01-01','9999-12-31','MISS','00000','99999999999','99999999999.00','99999999999.000000'),1,0)) AS NUM_REG_DIF,'"&amp;MAX('ID1&amp;5'!K:K)+1&amp;"' AS ID_EXEC, CURRENT_TIMESTAMP() AS TIME_EXEC FROM "&amp;I131,
IF(C131="Not applicable",+"SELECT '"&amp;UPPER(B131)&amp;"' AS TABELA, '"&amp;UPPER(C131)&amp;"' AS TIPOLOGIA_TESTE,'"&amp;D131&amp;"' AS TABELA_LT,'N/A' AS TABELA_SIMUL,'"&amp;F131&amp;"' AS CAMPO, "&amp;"'${ref_date}' AS REF_DATE, COUNT(*) AS NUM_REG, SUM(IF(TRIM(CAST(X."&amp;F131&amp;" AS STRING)) IN ('N/A','11111111111','11111111111.00','11111111111.000000','1111-11-11'),1,0)) AS NUM_REG_DIF,'"&amp;MAX('ID1&amp;5'!K:K)+1&amp;"' AS ID_EXEC, CURRENT_TIMESTAMP() AS TIME_EXEC FROM "&amp;I131,
IF(C131="Valores extremos",+"SELECT '"&amp;UPPER(B131)&amp;"' AS TABELA, '"&amp;UPPER(C131)&amp;"' AS TIPOLOGIA_TESTE,'"&amp;D131&amp;"' AS TABELA_LT,'N/A' AS TABELA_SIMUL,'"&amp;F131&amp;"' AS CAMPO, "&amp;"'${ref_date}' AS REF_DATE, CAST(MIN("&amp;F131&amp;") AS STRING) AS VALOR_MIN, CAST(MAX("&amp;F131&amp;") AS STRING) AS VALOR_MAX,'"&amp;MAX('ID1&amp;5'!K:K)+1&amp;"' AS ID_EXEC, CURRENT_TIMESTAMP() AS TIME_EXEC FROM "&amp;MID(I131,1,LEN(I131)-2)&amp;" AND CAST("&amp;F131&amp;"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TABELA_SIMUL,'ENBLNG_CAPEX_CCM' AS CAMPO, '${ref_date}' AS REF_DATE, COUNT(*) AS NUM_REG, SUM(IF(TRIM(CAST(X.ENBLNG_CAPEX_CCM AS STRING))='' OR TRIM(CAST(X.ENBLNG_CAPEX_CCM AS STRING)) IS NULL,1,0)) AS NUM_REG_DIF,'10' AS ID_EXEC, CURRENT_TIMESTAMP() AS TIME_EXEC FROM (SELECT entty_id, ENBLNG_CAPEX_CCM FROM BU_LOANTAPE_WORK.LT003_ENTITY WHERE ref_date='${ref_date}' AND nome_perimetro='Individual Corporativo' AND segmento='ESTR' AND ambito='PILAR3')X</v>
      </c>
      <c r="M131" s="43" t="str">
        <f t="shared" si="2"/>
        <v>UNION ALL SELECT 'ENTITY' AS TABELA, 'VALIDADE' AS TIPOLOGIA_TESTE,'BU_LOANTAPE_WORK.LT003_ENTITY' AS TABELA_LT,'N/A' AS TABELA_SIMUL,'ENBLNG_CAPEX_CCM' AS CAMPO, '${ref_date}' AS REF_DATE, COUNT(*) AS NUM_REG, SUM(IF(TRIM(CAST(X.ENBLNG_CAPEX_CCM AS STRING))='' OR TRIM(CAST(X.ENBLNG_CAPEX_CCM AS STRING)) IS NULL,1,0)) AS NUM_REG_DIF,'10' AS ID_EXEC, CURRENT_TIMESTAMP() AS TIME_EXEC FROM (SELECT entty_id, ENBLNG_CAPEX_CCM FROM BU_LOANTAPE_WORK.LT003_ENTITY WHERE ref_date='${ref_date}' AND nome_perimetro='Individual Corporativo' AND segmento='ESTR' AND ambito='PILAR3')X</v>
      </c>
      <c r="N131" s="45" t="s">
        <v>13</v>
      </c>
    </row>
    <row r="132" spans="2:14">
      <c r="B132" s="41" t="s">
        <v>23</v>
      </c>
      <c r="C132" s="41" t="s">
        <v>75</v>
      </c>
      <c r="D132" s="41" t="str">
        <f>+UPPER('0. Instruções'!$D$33&amp;"."&amp;VLOOKUP(B132,'0. Instruções'!$C$27:$D$31,2,FALSE))</f>
        <v>BU_LOANTAPE_WORK.LT003_ENTITY</v>
      </c>
      <c r="E132" s="41" t="str">
        <f>+UPPER('0. Instruções'!$D$34&amp;"."&amp;VLOOKUP(B132,'0. Instruções'!$C$27:$E$31,3,FALSE))</f>
        <v>BU_LOANTAPE_WORK.LT003_ENTTY_P3_NOV24</v>
      </c>
      <c r="F132" s="41" t="s">
        <v>107</v>
      </c>
      <c r="G132" s="41" t="s">
        <v>210</v>
      </c>
      <c r="H132" s="41"/>
      <c r="I132" s="41" t="str">
        <f>"(SELECT "&amp;VLOOKUP(B132,'0. Instruções'!$C$27:$G$31,4,FALSE)&amp;", "&amp;F132&amp;" FROM "&amp;D132&amp;" WHERE "&amp;'0. Instruções'!$D$40&amp;")X"</f>
        <v>(SELECT entty_id, ENBLNG_CAPEX_CCA FROM BU_LOANTAPE_WORK.LT003_ENTITY WHERE ref_date='${ref_date}' AND nome_perimetro='Individual Corporativo' AND segmento='ESTR' AND ambito='PILAR3')X</v>
      </c>
      <c r="J132" s="41" t="str">
        <f>"(SELECT "&amp;VLOOKUP(B132,'0. Instruções'!$C$27:$G$31,4,FALSE)&amp;" AS "&amp;VLOOKUP(B132,'0. Instruções'!$C$27:$G$31,4,FALSE)&amp;"_SIMUL, "&amp;F132&amp;" AS "&amp;F132&amp;"_SIMUL FROM "&amp;E132&amp;")Y"</f>
        <v>(SELECT entty_id AS entty_id_SIMUL, ENBLNG_CAPEX_CCA AS ENBLNG_CAPEX_CCA_SIMUL FROM BU_LOANTAPE_WORK.LT003_ENTTY_P3_NOV24)Y</v>
      </c>
      <c r="K132" s="42" t="str">
        <f>+UPPER("ON X."&amp;VLOOKUP(B132,'0. Instruções'!$C$27:$G$31,4,FALSE)&amp;"=Y."&amp;VLOOKUP(B132,'0. Instruções'!$C$27:$G$31,4,FALSE)&amp;"_SIMUL")</f>
        <v>ON X.ENTTY_ID=Y.ENTTY_ID_SIMUL</v>
      </c>
      <c r="L132" s="42" t="str">
        <f>+IF(C132="Coerência", +IF(LEFT(G132,5)="FLOAT","SELECT '"&amp;UPPER(B132)&amp;"' AS TABELA, '"&amp;UPPER(C132)&amp;"' AS TIPOLOGIA_TESTE,'"&amp;D132&amp;"' AS TABELA_LT,'"&amp;E132&amp;"' AS TABELA_SIMUL,'"&amp;F132&amp;"' AS CAMPO, "&amp;"'${ref_date}' AS REF_DATE, COUNT(*) AS NUM_REG, SUM(IF((ABS(COALESCE(X."&amp;F132&amp;",0)-COALESCE(Y."&amp;F132&amp;"_SIMUL,0))&gt;0.0000000001) OR (X."&amp;F132&amp;" IS NULL AND Y."&amp;F132&amp;"_SIMUL IS NOT NULL ) OR (X."&amp;F132&amp;" IS NOT NULL AND Y."&amp;F132&amp;"_SIMUL IS NULL),1,0)) AS NUM_REG_DIF,'"&amp;MAX('ID1&amp;5'!K:K)+1&amp;"' AS ID_EXEC, CURRENT_TIMESTAMP() AS TIME_EXEC FROM "&amp;I132&amp;" INNER JOIN "&amp;J132&amp;" "&amp;K132,"SELECT '"&amp;UPPER(B132)&amp;"' AS TABELA, '"&amp;UPPER(C132)&amp;"' AS TIPOLOGIA_TESTE,'"&amp;D132&amp;"' AS TABELA_LT,'"&amp;E132&amp;"' AS TABELA_SIMUL,'"&amp;F132&amp;"' AS CAMPO, "&amp;"'${ref_date}' AS REF_DATE, COUNT(*) AS NUM_REG, SUM(IF(COALESCE(CAST(X."&amp;F132&amp;" AS STRING),'')&lt;&gt;COALESCE(CAST(Y."&amp;F132&amp;"_SIMUL AS STRING),''),1,0)) AS NUM_REG_DIF,'"&amp;MAX('ID1&amp;5'!L:L)+1&amp;"' AS ID_EXEC, CURRENT_TIMESTAMP() AS TIME_EXEC FROM "&amp;I132&amp;" INNER JOIN "&amp;J132&amp;" "&amp;K132),
IF(C132="Validade",+IF(G132="Code List","SELECT '"&amp;UPPER(B132)&amp;"' AS TABELA, '"&amp;UPPER(C132)&amp;"' AS TIPOLOGIA_TESTE,'"&amp;D132&amp;"' AS TABELA_LT,'N/A' AS TABELA_SIMUL,'"&amp;F132&amp;"' AS CAMPO, "&amp;"'${ref_date}' AS REF_DATE, COUNT(*) AS NUM_REG, SUM(IF(TRIM(CAST(X."&amp;F132&amp;" AS STRING))='' OR TRIM(CAST(X."&amp;F132&amp;" AS STRING)) IS NULL OR CAST(X."&amp;F132&amp;" AS STRING) NOT "&amp;H132&amp;",1,0)) AS NUM_REG_DIF,'"&amp;MAX('ID1&amp;5'!K:K)+1&amp;"' AS ID_EXEC, CURRENT_TIMESTAMP() AS TIME_EXEC FROM "&amp;I132,"SELECT '"&amp;UPPER(B132)&amp;"' AS TABELA, '"&amp;UPPER(C132)&amp;"' AS TIPOLOGIA_TESTE,'"&amp;D132&amp;"' AS TABELA_LT,'N/A' AS TABELA_SIMUL,'"&amp;F132&amp;"' AS CAMPO, "&amp;"'${ref_date}' AS REF_DATE, COUNT(*) AS NUM_REG, SUM(IF(TRIM(CAST(X."&amp;F132&amp;" AS STRING))='' OR TRIM(CAST(X."&amp;F132&amp;" AS STRING)) IS NULL,1,0)) AS NUM_REG_DIF,'"&amp;MAX('ID1&amp;5'!K:K)+1&amp;"' AS ID_EXEC, CURRENT_TIMESTAMP() AS TIME_EXEC FROM "&amp;I132),
IF(C132="Caracteres Especiais",+"SELECT '"&amp;UPPER(B132)&amp;"' AS TABELA, '"&amp;UPPER(C132)&amp;"' AS TIPOLOGIA_TESTE,'"&amp;D132&amp;"' AS TABELA_LT,'N/A' AS TABELA_SIMUL,'"&amp;F132&amp;"' AS CAMPO, "&amp;"'${ref_date}' AS REF_DATE, COUNT(*) AS NUM_REG, SUM(IF(INSTR(CAST(X."&amp;F132&amp;" AS STRING),'#')&gt;0 OR INSTR(CAST(X."&amp;F132&amp;" AS STRING),'*')&gt;0 OR INSTR(CAST(X."&amp;F132&amp;" AS STRING),'`')&gt;0 OR INSTR(CAST(X."&amp;F132&amp;" AS STRING),'´')&gt;0 OR INSTR(CAST(X."&amp;F132&amp;" AS STRING),'{')&gt;0 OR INSTR(CAST(X."&amp;F132&amp;" AS STRING),'}')&gt;0 OR INSTR(CAST(X."&amp;F132&amp;" AS STRING),'[')&gt;0 OR INSTR(CAST(X."&amp;F132&amp;" AS STRING),'')&gt;0 OR INSTR(CAST(X."&amp;F132&amp;" AS STRING),']')&gt;0 OR INSTR(CAST(X."&amp;F132&amp;" AS STRING),'?')&gt;0 OR INSTR(CAST(X."&amp;F132&amp;" AS STRING),'!')&gt;0 OR INSTR(CAST(X."&amp;F132&amp;" AS STRING),'$')&gt;0 OR INSTR(CAST(X."&amp;F132&amp;" AS STRING),'%')&gt;0 OR INSTR(CAST(X."&amp;F132&amp;" AS STRING),'&amp;')&gt;0 OR INSTR(CAST(X."&amp;F132&amp;" AS STRING),'+')&gt;0,1,0)) AS NUM_REG_DIF,'"&amp;MAX('ID1&amp;5'!K:K)+1&amp;"' AS ID_EXEC, CURRENT_TIMESTAMP() AS TIME_EXEC FROM "&amp;I132,
IF(C132="Missings",+"SELECT '"&amp;UPPER(B132)&amp;"' AS TABELA, '"&amp;UPPER(C132)&amp;"' AS TIPOLOGIA_TESTE,'"&amp;D132&amp;"' AS TABELA_LT,'N/A' AS TABELA_SIMUL,'"&amp;F132&amp;"' AS CAMPO, "&amp;"'${ref_date}' AS REF_DATE, COUNT(*) AS NUM_REG, SUM(IF(TRIM(CAST(X."&amp;F132&amp;" AS STRING)) IN ('0000-00-00','0001-01-01','9999-12-31','MISS','00000','99999999999','99999999999.00','99999999999.000000'),1,0)) AS NUM_REG_DIF,'"&amp;MAX('ID1&amp;5'!K:K)+1&amp;"' AS ID_EXEC, CURRENT_TIMESTAMP() AS TIME_EXEC FROM "&amp;I132,
IF(C132="Not applicable",+"SELECT '"&amp;UPPER(B132)&amp;"' AS TABELA, '"&amp;UPPER(C132)&amp;"' AS TIPOLOGIA_TESTE,'"&amp;D132&amp;"' AS TABELA_LT,'N/A' AS TABELA_SIMUL,'"&amp;F132&amp;"' AS CAMPO, "&amp;"'${ref_date}' AS REF_DATE, COUNT(*) AS NUM_REG, SUM(IF(TRIM(CAST(X."&amp;F132&amp;" AS STRING)) IN ('N/A','11111111111','11111111111.00','11111111111.000000','1111-11-11'),1,0)) AS NUM_REG_DIF,'"&amp;MAX('ID1&amp;5'!K:K)+1&amp;"' AS ID_EXEC, CURRENT_TIMESTAMP() AS TIME_EXEC FROM "&amp;I132,
IF(C132="Valores extremos",+"SELECT '"&amp;UPPER(B132)&amp;"' AS TABELA, '"&amp;UPPER(C132)&amp;"' AS TIPOLOGIA_TESTE,'"&amp;D132&amp;"' AS TABELA_LT,'N/A' AS TABELA_SIMUL,'"&amp;F132&amp;"' AS CAMPO, "&amp;"'${ref_date}' AS REF_DATE, CAST(MIN("&amp;F132&amp;") AS STRING) AS VALOR_MIN, CAST(MAX("&amp;F132&amp;") AS STRING) AS VALOR_MAX,'"&amp;MAX('ID1&amp;5'!K:K)+1&amp;"' AS ID_EXEC, CURRENT_TIMESTAMP() AS TIME_EXEC FROM "&amp;MID(I132,1,LEN(I132)-2)&amp;" AND CAST("&amp;F132&amp;"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TABELA_SIMUL,'ENBLNG_CAPEX_CCA' AS CAMPO, '${ref_date}' AS REF_DATE, COUNT(*) AS NUM_REG, SUM(IF(TRIM(CAST(X.ENBLNG_CAPEX_CCA AS STRING))='' OR TRIM(CAST(X.ENBLNG_CAPEX_CCA AS STRING)) IS NULL,1,0)) AS NUM_REG_DIF,'10' AS ID_EXEC, CURRENT_TIMESTAMP() AS TIME_EXEC FROM (SELECT entty_id, ENBLNG_CAPEX_CCA FROM BU_LOANTAPE_WORK.LT003_ENTITY WHERE ref_date='${ref_date}' AND nome_perimetro='Individual Corporativo' AND segmento='ESTR' AND ambito='PILAR3')X</v>
      </c>
      <c r="M132" s="43" t="str">
        <f t="shared" si="2"/>
        <v>UNION ALL SELECT 'ENTITY' AS TABELA, 'VALIDADE' AS TIPOLOGIA_TESTE,'BU_LOANTAPE_WORK.LT003_ENTITY' AS TABELA_LT,'N/A' AS TABELA_SIMUL,'ENBLNG_CAPEX_CCA' AS CAMPO, '${ref_date}' AS REF_DATE, COUNT(*) AS NUM_REG, SUM(IF(TRIM(CAST(X.ENBLNG_CAPEX_CCA AS STRING))='' OR TRIM(CAST(X.ENBLNG_CAPEX_CCA AS STRING)) IS NULL,1,0)) AS NUM_REG_DIF,'10' AS ID_EXEC, CURRENT_TIMESTAMP() AS TIME_EXEC FROM (SELECT entty_id, ENBLNG_CAPEX_CCA FROM BU_LOANTAPE_WORK.LT003_ENTITY WHERE ref_date='${ref_date}' AND nome_perimetro='Individual Corporativo' AND segmento='ESTR' AND ambito='PILAR3')X</v>
      </c>
      <c r="N132" s="45" t="s">
        <v>13</v>
      </c>
    </row>
    <row r="133" spans="2:14">
      <c r="B133" s="41" t="s">
        <v>23</v>
      </c>
      <c r="C133" s="41" t="s">
        <v>75</v>
      </c>
      <c r="D133" s="41" t="str">
        <f>+UPPER('0. Instruções'!$D$33&amp;"."&amp;VLOOKUP(B133,'0. Instruções'!$C$27:$D$31,2,FALSE))</f>
        <v>BU_LOANTAPE_WORK.LT003_ENTITY</v>
      </c>
      <c r="E133" s="41" t="str">
        <f>+UPPER('0. Instruções'!$D$34&amp;"."&amp;VLOOKUP(B133,'0. Instruções'!$C$27:$E$31,3,FALSE))</f>
        <v>BU_LOANTAPE_WORK.LT003_ENTTY_P3_NOV24</v>
      </c>
      <c r="F133" s="41" t="s">
        <v>108</v>
      </c>
      <c r="G133" s="41" t="s">
        <v>210</v>
      </c>
      <c r="H133" s="41"/>
      <c r="I133" s="41" t="str">
        <f>"(SELECT "&amp;VLOOKUP(B133,'0. Instruções'!$C$27:$G$31,4,FALSE)&amp;", "&amp;F133&amp;" FROM "&amp;D133&amp;" WHERE "&amp;'0. Instruções'!$D$40&amp;")X"</f>
        <v>(SELECT entty_id, TRNSTNL_CAPEX FROM BU_LOANTAPE_WORK.LT003_ENTITY WHERE ref_date='${ref_date}' AND nome_perimetro='Individual Corporativo' AND segmento='ESTR' AND ambito='PILAR3')X</v>
      </c>
      <c r="J133" s="41" t="str">
        <f>"(SELECT "&amp;VLOOKUP(B133,'0. Instruções'!$C$27:$G$31,4,FALSE)&amp;" AS "&amp;VLOOKUP(B133,'0. Instruções'!$C$27:$G$31,4,FALSE)&amp;"_SIMUL, "&amp;F133&amp;" AS "&amp;F133&amp;"_SIMUL FROM "&amp;E133&amp;")Y"</f>
        <v>(SELECT entty_id AS entty_id_SIMUL, TRNSTNL_CAPEX AS TRNSTNL_CAPEX_SIMUL FROM BU_LOANTAPE_WORK.LT003_ENTTY_P3_NOV24)Y</v>
      </c>
      <c r="K133" s="42" t="str">
        <f>+UPPER("ON X."&amp;VLOOKUP(B133,'0. Instruções'!$C$27:$G$31,4,FALSE)&amp;"=Y."&amp;VLOOKUP(B133,'0. Instruções'!$C$27:$G$31,4,FALSE)&amp;"_SIMUL")</f>
        <v>ON X.ENTTY_ID=Y.ENTTY_ID_SIMUL</v>
      </c>
      <c r="L133" s="42" t="str">
        <f>+IF(C133="Coerência", +IF(LEFT(G133,5)="FLOAT","SELECT '"&amp;UPPER(B133)&amp;"' AS TABELA, '"&amp;UPPER(C133)&amp;"' AS TIPOLOGIA_TESTE,'"&amp;D133&amp;"' AS TABELA_LT,'"&amp;E133&amp;"' AS TABELA_SIMUL,'"&amp;F133&amp;"' AS CAMPO, "&amp;"'${ref_date}' AS REF_DATE, COUNT(*) AS NUM_REG, SUM(IF((ABS(COALESCE(X."&amp;F133&amp;",0)-COALESCE(Y."&amp;F133&amp;"_SIMUL,0))&gt;0.0000000001) OR (X."&amp;F133&amp;" IS NULL AND Y."&amp;F133&amp;"_SIMUL IS NOT NULL ) OR (X."&amp;F133&amp;" IS NOT NULL AND Y."&amp;F133&amp;"_SIMUL IS NULL),1,0)) AS NUM_REG_DIF,'"&amp;MAX('ID1&amp;5'!K:K)+1&amp;"' AS ID_EXEC, CURRENT_TIMESTAMP() AS TIME_EXEC FROM "&amp;I133&amp;" INNER JOIN "&amp;J133&amp;" "&amp;K133,"SELECT '"&amp;UPPER(B133)&amp;"' AS TABELA, '"&amp;UPPER(C133)&amp;"' AS TIPOLOGIA_TESTE,'"&amp;D133&amp;"' AS TABELA_LT,'"&amp;E133&amp;"' AS TABELA_SIMUL,'"&amp;F133&amp;"' AS CAMPO, "&amp;"'${ref_date}' AS REF_DATE, COUNT(*) AS NUM_REG, SUM(IF(COALESCE(CAST(X."&amp;F133&amp;" AS STRING),'')&lt;&gt;COALESCE(CAST(Y."&amp;F133&amp;"_SIMUL AS STRING),''),1,0)) AS NUM_REG_DIF,'"&amp;MAX('ID1&amp;5'!L:L)+1&amp;"' AS ID_EXEC, CURRENT_TIMESTAMP() AS TIME_EXEC FROM "&amp;I133&amp;" INNER JOIN "&amp;J133&amp;" "&amp;K133),
IF(C133="Validade",+IF(G133="Code List","SELECT '"&amp;UPPER(B133)&amp;"' AS TABELA, '"&amp;UPPER(C133)&amp;"' AS TIPOLOGIA_TESTE,'"&amp;D133&amp;"' AS TABELA_LT,'N/A' AS TABELA_SIMUL,'"&amp;F133&amp;"' AS CAMPO, "&amp;"'${ref_date}' AS REF_DATE, COUNT(*) AS NUM_REG, SUM(IF(TRIM(CAST(X."&amp;F133&amp;" AS STRING))='' OR TRIM(CAST(X."&amp;F133&amp;" AS STRING)) IS NULL OR CAST(X."&amp;F133&amp;" AS STRING) NOT "&amp;H133&amp;",1,0)) AS NUM_REG_DIF,'"&amp;MAX('ID1&amp;5'!K:K)+1&amp;"' AS ID_EXEC, CURRENT_TIMESTAMP() AS TIME_EXEC FROM "&amp;I133,"SELECT '"&amp;UPPER(B133)&amp;"' AS TABELA, '"&amp;UPPER(C133)&amp;"' AS TIPOLOGIA_TESTE,'"&amp;D133&amp;"' AS TABELA_LT,'N/A' AS TABELA_SIMUL,'"&amp;F133&amp;"' AS CAMPO, "&amp;"'${ref_date}' AS REF_DATE, COUNT(*) AS NUM_REG, SUM(IF(TRIM(CAST(X."&amp;F133&amp;" AS STRING))='' OR TRIM(CAST(X."&amp;F133&amp;" AS STRING)) IS NULL,1,0)) AS NUM_REG_DIF,'"&amp;MAX('ID1&amp;5'!K:K)+1&amp;"' AS ID_EXEC, CURRENT_TIMESTAMP() AS TIME_EXEC FROM "&amp;I133),
IF(C133="Caracteres Especiais",+"SELECT '"&amp;UPPER(B133)&amp;"' AS TABELA, '"&amp;UPPER(C133)&amp;"' AS TIPOLOGIA_TESTE,'"&amp;D133&amp;"' AS TABELA_LT,'N/A' AS TABELA_SIMUL,'"&amp;F133&amp;"' AS CAMPO, "&amp;"'${ref_date}' AS REF_DATE, COUNT(*) AS NUM_REG, SUM(IF(INSTR(CAST(X."&amp;F133&amp;" AS STRING),'#')&gt;0 OR INSTR(CAST(X."&amp;F133&amp;" AS STRING),'*')&gt;0 OR INSTR(CAST(X."&amp;F133&amp;" AS STRING),'`')&gt;0 OR INSTR(CAST(X."&amp;F133&amp;" AS STRING),'´')&gt;0 OR INSTR(CAST(X."&amp;F133&amp;" AS STRING),'{')&gt;0 OR INSTR(CAST(X."&amp;F133&amp;" AS STRING),'}')&gt;0 OR INSTR(CAST(X."&amp;F133&amp;" AS STRING),'[')&gt;0 OR INSTR(CAST(X."&amp;F133&amp;" AS STRING),'')&gt;0 OR INSTR(CAST(X."&amp;F133&amp;" AS STRING),']')&gt;0 OR INSTR(CAST(X."&amp;F133&amp;" AS STRING),'?')&gt;0 OR INSTR(CAST(X."&amp;F133&amp;" AS STRING),'!')&gt;0 OR INSTR(CAST(X."&amp;F133&amp;" AS STRING),'$')&gt;0 OR INSTR(CAST(X."&amp;F133&amp;" AS STRING),'%')&gt;0 OR INSTR(CAST(X."&amp;F133&amp;" AS STRING),'&amp;')&gt;0 OR INSTR(CAST(X."&amp;F133&amp;" AS STRING),'+')&gt;0,1,0)) AS NUM_REG_DIF,'"&amp;MAX('ID1&amp;5'!K:K)+1&amp;"' AS ID_EXEC, CURRENT_TIMESTAMP() AS TIME_EXEC FROM "&amp;I133,
IF(C133="Missings",+"SELECT '"&amp;UPPER(B133)&amp;"' AS TABELA, '"&amp;UPPER(C133)&amp;"' AS TIPOLOGIA_TESTE,'"&amp;D133&amp;"' AS TABELA_LT,'N/A' AS TABELA_SIMUL,'"&amp;F133&amp;"' AS CAMPO, "&amp;"'${ref_date}' AS REF_DATE, COUNT(*) AS NUM_REG, SUM(IF(TRIM(CAST(X."&amp;F133&amp;" AS STRING)) IN ('0000-00-00','0001-01-01','9999-12-31','MISS','00000','99999999999','99999999999.00','99999999999.000000'),1,0)) AS NUM_REG_DIF,'"&amp;MAX('ID1&amp;5'!K:K)+1&amp;"' AS ID_EXEC, CURRENT_TIMESTAMP() AS TIME_EXEC FROM "&amp;I133,
IF(C133="Not applicable",+"SELECT '"&amp;UPPER(B133)&amp;"' AS TABELA, '"&amp;UPPER(C133)&amp;"' AS TIPOLOGIA_TESTE,'"&amp;D133&amp;"' AS TABELA_LT,'N/A' AS TABELA_SIMUL,'"&amp;F133&amp;"' AS CAMPO, "&amp;"'${ref_date}' AS REF_DATE, COUNT(*) AS NUM_REG, SUM(IF(TRIM(CAST(X."&amp;F133&amp;" AS STRING)) IN ('N/A','11111111111','11111111111.00','11111111111.000000','1111-11-11'),1,0)) AS NUM_REG_DIF,'"&amp;MAX('ID1&amp;5'!K:K)+1&amp;"' AS ID_EXEC, CURRENT_TIMESTAMP() AS TIME_EXEC FROM "&amp;I133,
IF(C133="Valores extremos",+"SELECT '"&amp;UPPER(B133)&amp;"' AS TABELA, '"&amp;UPPER(C133)&amp;"' AS TIPOLOGIA_TESTE,'"&amp;D133&amp;"' AS TABELA_LT,'N/A' AS TABELA_SIMUL,'"&amp;F133&amp;"' AS CAMPO, "&amp;"'${ref_date}' AS REF_DATE, CAST(MIN("&amp;F133&amp;") AS STRING) AS VALOR_MIN, CAST(MAX("&amp;F133&amp;") AS STRING) AS VALOR_MAX,'"&amp;MAX('ID1&amp;5'!K:K)+1&amp;"' AS ID_EXEC, CURRENT_TIMESTAMP() AS TIME_EXEC FROM "&amp;MID(I133,1,LEN(I133)-2)&amp;" AND CAST("&amp;F133&amp;"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TABELA_SIMUL,'TRNSTNL_CAPEX' AS CAMPO, '${ref_date}' AS REF_DATE, COUNT(*) AS NUM_REG, SUM(IF(TRIM(CAST(X.TRNSTNL_CAPEX AS STRING))='' OR TRIM(CAST(X.TRNSTNL_CAPEX AS STRING)) IS NULL,1,0)) AS NUM_REG_DIF,'10' AS ID_EXEC, CURRENT_TIMESTAMP() AS TIME_EXEC FROM (SELECT entty_id, TRNSTNL_CAPEX FROM BU_LOANTAPE_WORK.LT003_ENTITY WHERE ref_date='${ref_date}' AND nome_perimetro='Individual Corporativo' AND segmento='ESTR' AND ambito='PILAR3')X</v>
      </c>
      <c r="M133" s="43" t="str">
        <f t="shared" si="2"/>
        <v>UNION ALL SELECT 'ENTITY' AS TABELA, 'VALIDADE' AS TIPOLOGIA_TESTE,'BU_LOANTAPE_WORK.LT003_ENTITY' AS TABELA_LT,'N/A' AS TABELA_SIMUL,'TRNSTNL_CAPEX' AS CAMPO, '${ref_date}' AS REF_DATE, COUNT(*) AS NUM_REG, SUM(IF(TRIM(CAST(X.TRNSTNL_CAPEX AS STRING))='' OR TRIM(CAST(X.TRNSTNL_CAPEX AS STRING)) IS NULL,1,0)) AS NUM_REG_DIF,'10' AS ID_EXEC, CURRENT_TIMESTAMP() AS TIME_EXEC FROM (SELECT entty_id, TRNSTNL_CAPEX FROM BU_LOANTAPE_WORK.LT003_ENTITY WHERE ref_date='${ref_date}' AND nome_perimetro='Individual Corporativo' AND segmento='ESTR' AND ambito='PILAR3')X</v>
      </c>
      <c r="N133" s="45" t="s">
        <v>13</v>
      </c>
    </row>
    <row r="134" spans="2:14">
      <c r="B134" s="41" t="s">
        <v>23</v>
      </c>
      <c r="C134" s="41" t="s">
        <v>75</v>
      </c>
      <c r="D134" s="41" t="str">
        <f>+UPPER('0. Instruções'!$D$33&amp;"."&amp;VLOOKUP(B134,'0. Instruções'!$C$27:$D$31,2,FALSE))</f>
        <v>BU_LOANTAPE_WORK.LT003_ENTITY</v>
      </c>
      <c r="E134" s="41" t="str">
        <f>+UPPER('0. Instruções'!$D$34&amp;"."&amp;VLOOKUP(B134,'0. Instruções'!$C$27:$E$31,3,FALSE))</f>
        <v>BU_LOANTAPE_WORK.LT003_ENTTY_P3_NOV24</v>
      </c>
      <c r="F134" s="41" t="s">
        <v>109</v>
      </c>
      <c r="G134" s="41" t="s">
        <v>210</v>
      </c>
      <c r="H134" s="41"/>
      <c r="I134" s="41" t="str">
        <f>"(SELECT "&amp;VLOOKUP(B134,'0. Instruções'!$C$27:$G$31,4,FALSE)&amp;", "&amp;F134&amp;" FROM "&amp;D134&amp;" WHERE "&amp;'0. Instruções'!$D$40&amp;")X"</f>
        <v>(SELECT entty_id, PURE_CAPEX_CCM FROM BU_LOANTAPE_WORK.LT003_ENTITY WHERE ref_date='${ref_date}' AND nome_perimetro='Individual Corporativo' AND segmento='ESTR' AND ambito='PILAR3')X</v>
      </c>
      <c r="J134" s="41" t="str">
        <f>"(SELECT "&amp;VLOOKUP(B134,'0. Instruções'!$C$27:$G$31,4,FALSE)&amp;" AS "&amp;VLOOKUP(B134,'0. Instruções'!$C$27:$G$31,4,FALSE)&amp;"_SIMUL, "&amp;F134&amp;" AS "&amp;F134&amp;"_SIMUL FROM "&amp;E134&amp;")Y"</f>
        <v>(SELECT entty_id AS entty_id_SIMUL, PURE_CAPEX_CCM AS PURE_CAPEX_CCM_SIMUL FROM BU_LOANTAPE_WORK.LT003_ENTTY_P3_NOV24)Y</v>
      </c>
      <c r="K134" s="42" t="str">
        <f>+UPPER("ON X."&amp;VLOOKUP(B134,'0. Instruções'!$C$27:$G$31,4,FALSE)&amp;"=Y."&amp;VLOOKUP(B134,'0. Instruções'!$C$27:$G$31,4,FALSE)&amp;"_SIMUL")</f>
        <v>ON X.ENTTY_ID=Y.ENTTY_ID_SIMUL</v>
      </c>
      <c r="L134" s="42" t="str">
        <f>+IF(C134="Coerência", +IF(LEFT(G134,5)="FLOAT","SELECT '"&amp;UPPER(B134)&amp;"' AS TABELA, '"&amp;UPPER(C134)&amp;"' AS TIPOLOGIA_TESTE,'"&amp;D134&amp;"' AS TABELA_LT,'"&amp;E134&amp;"' AS TABELA_SIMUL,'"&amp;F134&amp;"' AS CAMPO, "&amp;"'${ref_date}' AS REF_DATE, COUNT(*) AS NUM_REG, SUM(IF((ABS(COALESCE(X."&amp;F134&amp;",0)-COALESCE(Y."&amp;F134&amp;"_SIMUL,0))&gt;0.0000000001) OR (X."&amp;F134&amp;" IS NULL AND Y."&amp;F134&amp;"_SIMUL IS NOT NULL ) OR (X."&amp;F134&amp;" IS NOT NULL AND Y."&amp;F134&amp;"_SIMUL IS NULL),1,0)) AS NUM_REG_DIF,'"&amp;MAX('ID1&amp;5'!K:K)+1&amp;"' AS ID_EXEC, CURRENT_TIMESTAMP() AS TIME_EXEC FROM "&amp;I134&amp;" INNER JOIN "&amp;J134&amp;" "&amp;K134,"SELECT '"&amp;UPPER(B134)&amp;"' AS TABELA, '"&amp;UPPER(C134)&amp;"' AS TIPOLOGIA_TESTE,'"&amp;D134&amp;"' AS TABELA_LT,'"&amp;E134&amp;"' AS TABELA_SIMUL,'"&amp;F134&amp;"' AS CAMPO, "&amp;"'${ref_date}' AS REF_DATE, COUNT(*) AS NUM_REG, SUM(IF(COALESCE(CAST(X."&amp;F134&amp;" AS STRING),'')&lt;&gt;COALESCE(CAST(Y."&amp;F134&amp;"_SIMUL AS STRING),''),1,0)) AS NUM_REG_DIF,'"&amp;MAX('ID1&amp;5'!L:L)+1&amp;"' AS ID_EXEC, CURRENT_TIMESTAMP() AS TIME_EXEC FROM "&amp;I134&amp;" INNER JOIN "&amp;J134&amp;" "&amp;K134),
IF(C134="Validade",+IF(G134="Code List","SELECT '"&amp;UPPER(B134)&amp;"' AS TABELA, '"&amp;UPPER(C134)&amp;"' AS TIPOLOGIA_TESTE,'"&amp;D134&amp;"' AS TABELA_LT,'N/A' AS TABELA_SIMUL,'"&amp;F134&amp;"' AS CAMPO, "&amp;"'${ref_date}' AS REF_DATE, COUNT(*) AS NUM_REG, SUM(IF(TRIM(CAST(X."&amp;F134&amp;" AS STRING))='' OR TRIM(CAST(X."&amp;F134&amp;" AS STRING)) IS NULL OR CAST(X."&amp;F134&amp;" AS STRING) NOT "&amp;H134&amp;",1,0)) AS NUM_REG_DIF,'"&amp;MAX('ID1&amp;5'!K:K)+1&amp;"' AS ID_EXEC, CURRENT_TIMESTAMP() AS TIME_EXEC FROM "&amp;I134,"SELECT '"&amp;UPPER(B134)&amp;"' AS TABELA, '"&amp;UPPER(C134)&amp;"' AS TIPOLOGIA_TESTE,'"&amp;D134&amp;"' AS TABELA_LT,'N/A' AS TABELA_SIMUL,'"&amp;F134&amp;"' AS CAMPO, "&amp;"'${ref_date}' AS REF_DATE, COUNT(*) AS NUM_REG, SUM(IF(TRIM(CAST(X."&amp;F134&amp;" AS STRING))='' OR TRIM(CAST(X."&amp;F134&amp;" AS STRING)) IS NULL,1,0)) AS NUM_REG_DIF,'"&amp;MAX('ID1&amp;5'!K:K)+1&amp;"' AS ID_EXEC, CURRENT_TIMESTAMP() AS TIME_EXEC FROM "&amp;I134),
IF(C134="Caracteres Especiais",+"SELECT '"&amp;UPPER(B134)&amp;"' AS TABELA, '"&amp;UPPER(C134)&amp;"' AS TIPOLOGIA_TESTE,'"&amp;D134&amp;"' AS TABELA_LT,'N/A' AS TABELA_SIMUL,'"&amp;F134&amp;"' AS CAMPO, "&amp;"'${ref_date}' AS REF_DATE, COUNT(*) AS NUM_REG, SUM(IF(INSTR(CAST(X."&amp;F134&amp;" AS STRING),'#')&gt;0 OR INSTR(CAST(X."&amp;F134&amp;" AS STRING),'*')&gt;0 OR INSTR(CAST(X."&amp;F134&amp;" AS STRING),'`')&gt;0 OR INSTR(CAST(X."&amp;F134&amp;" AS STRING),'´')&gt;0 OR INSTR(CAST(X."&amp;F134&amp;" AS STRING),'{')&gt;0 OR INSTR(CAST(X."&amp;F134&amp;" AS STRING),'}')&gt;0 OR INSTR(CAST(X."&amp;F134&amp;" AS STRING),'[')&gt;0 OR INSTR(CAST(X."&amp;F134&amp;" AS STRING),'')&gt;0 OR INSTR(CAST(X."&amp;F134&amp;" AS STRING),']')&gt;0 OR INSTR(CAST(X."&amp;F134&amp;" AS STRING),'?')&gt;0 OR INSTR(CAST(X."&amp;F134&amp;" AS STRING),'!')&gt;0 OR INSTR(CAST(X."&amp;F134&amp;" AS STRING),'$')&gt;0 OR INSTR(CAST(X."&amp;F134&amp;" AS STRING),'%')&gt;0 OR INSTR(CAST(X."&amp;F134&amp;" AS STRING),'&amp;')&gt;0 OR INSTR(CAST(X."&amp;F134&amp;" AS STRING),'+')&gt;0,1,0)) AS NUM_REG_DIF,'"&amp;MAX('ID1&amp;5'!K:K)+1&amp;"' AS ID_EXEC, CURRENT_TIMESTAMP() AS TIME_EXEC FROM "&amp;I134,
IF(C134="Missings",+"SELECT '"&amp;UPPER(B134)&amp;"' AS TABELA, '"&amp;UPPER(C134)&amp;"' AS TIPOLOGIA_TESTE,'"&amp;D134&amp;"' AS TABELA_LT,'N/A' AS TABELA_SIMUL,'"&amp;F134&amp;"' AS CAMPO, "&amp;"'${ref_date}' AS REF_DATE, COUNT(*) AS NUM_REG, SUM(IF(TRIM(CAST(X."&amp;F134&amp;" AS STRING)) IN ('0000-00-00','0001-01-01','9999-12-31','MISS','00000','99999999999','99999999999.00','99999999999.000000'),1,0)) AS NUM_REG_DIF,'"&amp;MAX('ID1&amp;5'!K:K)+1&amp;"' AS ID_EXEC, CURRENT_TIMESTAMP() AS TIME_EXEC FROM "&amp;I134,
IF(C134="Not applicable",+"SELECT '"&amp;UPPER(B134)&amp;"' AS TABELA, '"&amp;UPPER(C134)&amp;"' AS TIPOLOGIA_TESTE,'"&amp;D134&amp;"' AS TABELA_LT,'N/A' AS TABELA_SIMUL,'"&amp;F134&amp;"' AS CAMPO, "&amp;"'${ref_date}' AS REF_DATE, COUNT(*) AS NUM_REG, SUM(IF(TRIM(CAST(X."&amp;F134&amp;" AS STRING)) IN ('N/A','11111111111','11111111111.00','11111111111.000000','1111-11-11'),1,0)) AS NUM_REG_DIF,'"&amp;MAX('ID1&amp;5'!K:K)+1&amp;"' AS ID_EXEC, CURRENT_TIMESTAMP() AS TIME_EXEC FROM "&amp;I134,
IF(C134="Valores extremos",+"SELECT '"&amp;UPPER(B134)&amp;"' AS TABELA, '"&amp;UPPER(C134)&amp;"' AS TIPOLOGIA_TESTE,'"&amp;D134&amp;"' AS TABELA_LT,'N/A' AS TABELA_SIMUL,'"&amp;F134&amp;"' AS CAMPO, "&amp;"'${ref_date}' AS REF_DATE, CAST(MIN("&amp;F134&amp;") AS STRING) AS VALOR_MIN, CAST(MAX("&amp;F134&amp;") AS STRING) AS VALOR_MAX,'"&amp;MAX('ID1&amp;5'!K:K)+1&amp;"' AS ID_EXEC, CURRENT_TIMESTAMP() AS TIME_EXEC FROM "&amp;MID(I134,1,LEN(I134)-2)&amp;" AND CAST("&amp;F134&amp;"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TABELA_SIMUL,'PURE_CAPEX_CCM' AS CAMPO, '${ref_date}' AS REF_DATE, COUNT(*) AS NUM_REG, SUM(IF(TRIM(CAST(X.PURE_CAPEX_CCM AS STRING))='' OR TRIM(CAST(X.PURE_CAPEX_CCM AS STRING)) IS NULL,1,0)) AS NUM_REG_DIF,'10' AS ID_EXEC, CURRENT_TIMESTAMP() AS TIME_EXEC FROM (SELECT entty_id, PURE_CAPEX_CCM FROM BU_LOANTAPE_WORK.LT003_ENTITY WHERE ref_date='${ref_date}' AND nome_perimetro='Individual Corporativo' AND segmento='ESTR' AND ambito='PILAR3')X</v>
      </c>
      <c r="M134" s="43" t="str">
        <f t="shared" si="2"/>
        <v>UNION ALL SELECT 'ENTITY' AS TABELA, 'VALIDADE' AS TIPOLOGIA_TESTE,'BU_LOANTAPE_WORK.LT003_ENTITY' AS TABELA_LT,'N/A' AS TABELA_SIMUL,'PURE_CAPEX_CCM' AS CAMPO, '${ref_date}' AS REF_DATE, COUNT(*) AS NUM_REG, SUM(IF(TRIM(CAST(X.PURE_CAPEX_CCM AS STRING))='' OR TRIM(CAST(X.PURE_CAPEX_CCM AS STRING)) IS NULL,1,0)) AS NUM_REG_DIF,'10' AS ID_EXEC, CURRENT_TIMESTAMP() AS TIME_EXEC FROM (SELECT entty_id, PURE_CAPEX_CCM FROM BU_LOANTAPE_WORK.LT003_ENTITY WHERE ref_date='${ref_date}' AND nome_perimetro='Individual Corporativo' AND segmento='ESTR' AND ambito='PILAR3')X</v>
      </c>
      <c r="N134" s="45" t="s">
        <v>13</v>
      </c>
    </row>
    <row r="135" spans="2:14">
      <c r="B135" s="41" t="s">
        <v>23</v>
      </c>
      <c r="C135" s="41" t="s">
        <v>75</v>
      </c>
      <c r="D135" s="41" t="str">
        <f>+UPPER('0. Instruções'!$D$33&amp;"."&amp;VLOOKUP(B135,'0. Instruções'!$C$27:$D$31,2,FALSE))</f>
        <v>BU_LOANTAPE_WORK.LT003_ENTITY</v>
      </c>
      <c r="E135" s="41" t="str">
        <f>+UPPER('0. Instruções'!$D$34&amp;"."&amp;VLOOKUP(B135,'0. Instruções'!$C$27:$E$31,3,FALSE))</f>
        <v>BU_LOANTAPE_WORK.LT003_ENTTY_P3_NOV24</v>
      </c>
      <c r="F135" s="41" t="s">
        <v>110</v>
      </c>
      <c r="G135" s="41" t="s">
        <v>210</v>
      </c>
      <c r="H135" s="41"/>
      <c r="I135" s="41" t="str">
        <f>"(SELECT "&amp;VLOOKUP(B135,'0. Instruções'!$C$27:$G$31,4,FALSE)&amp;", "&amp;F135&amp;" FROM "&amp;D135&amp;" WHERE "&amp;'0. Instruções'!$D$40&amp;")X"</f>
        <v>(SELECT entty_id, PURE_CAPEX_CCA FROM BU_LOANTAPE_WORK.LT003_ENTITY WHERE ref_date='${ref_date}' AND nome_perimetro='Individual Corporativo' AND segmento='ESTR' AND ambito='PILAR3')X</v>
      </c>
      <c r="J135" s="41" t="str">
        <f>"(SELECT "&amp;VLOOKUP(B135,'0. Instruções'!$C$27:$G$31,4,FALSE)&amp;" AS "&amp;VLOOKUP(B135,'0. Instruções'!$C$27:$G$31,4,FALSE)&amp;"_SIMUL, "&amp;F135&amp;" AS "&amp;F135&amp;"_SIMUL FROM "&amp;E135&amp;")Y"</f>
        <v>(SELECT entty_id AS entty_id_SIMUL, PURE_CAPEX_CCA AS PURE_CAPEX_CCA_SIMUL FROM BU_LOANTAPE_WORK.LT003_ENTTY_P3_NOV24)Y</v>
      </c>
      <c r="K135" s="42" t="str">
        <f>+UPPER("ON X."&amp;VLOOKUP(B135,'0. Instruções'!$C$27:$G$31,4,FALSE)&amp;"=Y."&amp;VLOOKUP(B135,'0. Instruções'!$C$27:$G$31,4,FALSE)&amp;"_SIMUL")</f>
        <v>ON X.ENTTY_ID=Y.ENTTY_ID_SIMUL</v>
      </c>
      <c r="L135" s="42" t="str">
        <f>+IF(C135="Coerência", +IF(LEFT(G135,5)="FLOAT","SELECT '"&amp;UPPER(B135)&amp;"' AS TABELA, '"&amp;UPPER(C135)&amp;"' AS TIPOLOGIA_TESTE,'"&amp;D135&amp;"' AS TABELA_LT,'"&amp;E135&amp;"' AS TABELA_SIMUL,'"&amp;F135&amp;"' AS CAMPO, "&amp;"'${ref_date}' AS REF_DATE, COUNT(*) AS NUM_REG, SUM(IF((ABS(COALESCE(X."&amp;F135&amp;",0)-COALESCE(Y."&amp;F135&amp;"_SIMUL,0))&gt;0.0000000001) OR (X."&amp;F135&amp;" IS NULL AND Y."&amp;F135&amp;"_SIMUL IS NOT NULL ) OR (X."&amp;F135&amp;" IS NOT NULL AND Y."&amp;F135&amp;"_SIMUL IS NULL),1,0)) AS NUM_REG_DIF,'"&amp;MAX('ID1&amp;5'!K:K)+1&amp;"' AS ID_EXEC, CURRENT_TIMESTAMP() AS TIME_EXEC FROM "&amp;I135&amp;" INNER JOIN "&amp;J135&amp;" "&amp;K135,"SELECT '"&amp;UPPER(B135)&amp;"' AS TABELA, '"&amp;UPPER(C135)&amp;"' AS TIPOLOGIA_TESTE,'"&amp;D135&amp;"' AS TABELA_LT,'"&amp;E135&amp;"' AS TABELA_SIMUL,'"&amp;F135&amp;"' AS CAMPO, "&amp;"'${ref_date}' AS REF_DATE, COUNT(*) AS NUM_REG, SUM(IF(COALESCE(CAST(X."&amp;F135&amp;" AS STRING),'')&lt;&gt;COALESCE(CAST(Y."&amp;F135&amp;"_SIMUL AS STRING),''),1,0)) AS NUM_REG_DIF,'"&amp;MAX('ID1&amp;5'!L:L)+1&amp;"' AS ID_EXEC, CURRENT_TIMESTAMP() AS TIME_EXEC FROM "&amp;I135&amp;" INNER JOIN "&amp;J135&amp;" "&amp;K135),
IF(C135="Validade",+IF(G135="Code List","SELECT '"&amp;UPPER(B135)&amp;"' AS TABELA, '"&amp;UPPER(C135)&amp;"' AS TIPOLOGIA_TESTE,'"&amp;D135&amp;"' AS TABELA_LT,'N/A' AS TABELA_SIMUL,'"&amp;F135&amp;"' AS CAMPO, "&amp;"'${ref_date}' AS REF_DATE, COUNT(*) AS NUM_REG, SUM(IF(TRIM(CAST(X."&amp;F135&amp;" AS STRING))='' OR TRIM(CAST(X."&amp;F135&amp;" AS STRING)) IS NULL OR CAST(X."&amp;F135&amp;" AS STRING) NOT "&amp;H135&amp;",1,0)) AS NUM_REG_DIF,'"&amp;MAX('ID1&amp;5'!K:K)+1&amp;"' AS ID_EXEC, CURRENT_TIMESTAMP() AS TIME_EXEC FROM "&amp;I135,"SELECT '"&amp;UPPER(B135)&amp;"' AS TABELA, '"&amp;UPPER(C135)&amp;"' AS TIPOLOGIA_TESTE,'"&amp;D135&amp;"' AS TABELA_LT,'N/A' AS TABELA_SIMUL,'"&amp;F135&amp;"' AS CAMPO, "&amp;"'${ref_date}' AS REF_DATE, COUNT(*) AS NUM_REG, SUM(IF(TRIM(CAST(X."&amp;F135&amp;" AS STRING))='' OR TRIM(CAST(X."&amp;F135&amp;" AS STRING)) IS NULL,1,0)) AS NUM_REG_DIF,'"&amp;MAX('ID1&amp;5'!K:K)+1&amp;"' AS ID_EXEC, CURRENT_TIMESTAMP() AS TIME_EXEC FROM "&amp;I135),
IF(C135="Caracteres Especiais",+"SELECT '"&amp;UPPER(B135)&amp;"' AS TABELA, '"&amp;UPPER(C135)&amp;"' AS TIPOLOGIA_TESTE,'"&amp;D135&amp;"' AS TABELA_LT,'N/A' AS TABELA_SIMUL,'"&amp;F135&amp;"' AS CAMPO, "&amp;"'${ref_date}' AS REF_DATE, COUNT(*) AS NUM_REG, SUM(IF(INSTR(CAST(X."&amp;F135&amp;" AS STRING),'#')&gt;0 OR INSTR(CAST(X."&amp;F135&amp;" AS STRING),'*')&gt;0 OR INSTR(CAST(X."&amp;F135&amp;" AS STRING),'`')&gt;0 OR INSTR(CAST(X."&amp;F135&amp;" AS STRING),'´')&gt;0 OR INSTR(CAST(X."&amp;F135&amp;" AS STRING),'{')&gt;0 OR INSTR(CAST(X."&amp;F135&amp;" AS STRING),'}')&gt;0 OR INSTR(CAST(X."&amp;F135&amp;" AS STRING),'[')&gt;0 OR INSTR(CAST(X."&amp;F135&amp;" AS STRING),'')&gt;0 OR INSTR(CAST(X."&amp;F135&amp;" AS STRING),']')&gt;0 OR INSTR(CAST(X."&amp;F135&amp;" AS STRING),'?')&gt;0 OR INSTR(CAST(X."&amp;F135&amp;" AS STRING),'!')&gt;0 OR INSTR(CAST(X."&amp;F135&amp;" AS STRING),'$')&gt;0 OR INSTR(CAST(X."&amp;F135&amp;" AS STRING),'%')&gt;0 OR INSTR(CAST(X."&amp;F135&amp;" AS STRING),'&amp;')&gt;0 OR INSTR(CAST(X."&amp;F135&amp;" AS STRING),'+')&gt;0,1,0)) AS NUM_REG_DIF,'"&amp;MAX('ID1&amp;5'!K:K)+1&amp;"' AS ID_EXEC, CURRENT_TIMESTAMP() AS TIME_EXEC FROM "&amp;I135,
IF(C135="Missings",+"SELECT '"&amp;UPPER(B135)&amp;"' AS TABELA, '"&amp;UPPER(C135)&amp;"' AS TIPOLOGIA_TESTE,'"&amp;D135&amp;"' AS TABELA_LT,'N/A' AS TABELA_SIMUL,'"&amp;F135&amp;"' AS CAMPO, "&amp;"'${ref_date}' AS REF_DATE, COUNT(*) AS NUM_REG, SUM(IF(TRIM(CAST(X."&amp;F135&amp;" AS STRING)) IN ('0000-00-00','0001-01-01','9999-12-31','MISS','00000','99999999999','99999999999.00','99999999999.000000'),1,0)) AS NUM_REG_DIF,'"&amp;MAX('ID1&amp;5'!K:K)+1&amp;"' AS ID_EXEC, CURRENT_TIMESTAMP() AS TIME_EXEC FROM "&amp;I135,
IF(C135="Not applicable",+"SELECT '"&amp;UPPER(B135)&amp;"' AS TABELA, '"&amp;UPPER(C135)&amp;"' AS TIPOLOGIA_TESTE,'"&amp;D135&amp;"' AS TABELA_LT,'N/A' AS TABELA_SIMUL,'"&amp;F135&amp;"' AS CAMPO, "&amp;"'${ref_date}' AS REF_DATE, COUNT(*) AS NUM_REG, SUM(IF(TRIM(CAST(X."&amp;F135&amp;" AS STRING)) IN ('N/A','11111111111','11111111111.00','11111111111.000000','1111-11-11'),1,0)) AS NUM_REG_DIF,'"&amp;MAX('ID1&amp;5'!K:K)+1&amp;"' AS ID_EXEC, CURRENT_TIMESTAMP() AS TIME_EXEC FROM "&amp;I135,
IF(C135="Valores extremos",+"SELECT '"&amp;UPPER(B135)&amp;"' AS TABELA, '"&amp;UPPER(C135)&amp;"' AS TIPOLOGIA_TESTE,'"&amp;D135&amp;"' AS TABELA_LT,'N/A' AS TABELA_SIMUL,'"&amp;F135&amp;"' AS CAMPO, "&amp;"'${ref_date}' AS REF_DATE, CAST(MIN("&amp;F135&amp;") AS STRING) AS VALOR_MIN, CAST(MAX("&amp;F135&amp;") AS STRING) AS VALOR_MAX,'"&amp;MAX('ID1&amp;5'!K:K)+1&amp;"' AS ID_EXEC, CURRENT_TIMESTAMP() AS TIME_EXEC FROM "&amp;MID(I135,1,LEN(I135)-2)&amp;" AND CAST("&amp;F135&amp;"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TABELA_SIMUL,'PURE_CAPEX_CCA' AS CAMPO, '${ref_date}' AS REF_DATE, COUNT(*) AS NUM_REG, SUM(IF(TRIM(CAST(X.PURE_CAPEX_CCA AS STRING))='' OR TRIM(CAST(X.PURE_CAPEX_CCA AS STRING)) IS NULL,1,0)) AS NUM_REG_DIF,'10' AS ID_EXEC, CURRENT_TIMESTAMP() AS TIME_EXEC FROM (SELECT entty_id, PURE_CAPEX_CCA FROM BU_LOANTAPE_WORK.LT003_ENTITY WHERE ref_date='${ref_date}' AND nome_perimetro='Individual Corporativo' AND segmento='ESTR' AND ambito='PILAR3')X</v>
      </c>
      <c r="M135" s="43" t="str">
        <f t="shared" si="2"/>
        <v>UNION ALL SELECT 'ENTITY' AS TABELA, 'VALIDADE' AS TIPOLOGIA_TESTE,'BU_LOANTAPE_WORK.LT003_ENTITY' AS TABELA_LT,'N/A' AS TABELA_SIMUL,'PURE_CAPEX_CCA' AS CAMPO, '${ref_date}' AS REF_DATE, COUNT(*) AS NUM_REG, SUM(IF(TRIM(CAST(X.PURE_CAPEX_CCA AS STRING))='' OR TRIM(CAST(X.PURE_CAPEX_CCA AS STRING)) IS NULL,1,0)) AS NUM_REG_DIF,'10' AS ID_EXEC, CURRENT_TIMESTAMP() AS TIME_EXEC FROM (SELECT entty_id, PURE_CAPEX_CCA FROM BU_LOANTAPE_WORK.LT003_ENTITY WHERE ref_date='${ref_date}' AND nome_perimetro='Individual Corporativo' AND segmento='ESTR' AND ambito='PILAR3')X</v>
      </c>
      <c r="N135" s="45" t="s">
        <v>13</v>
      </c>
    </row>
    <row r="136" spans="2:14">
      <c r="B136" s="41" t="s">
        <v>23</v>
      </c>
      <c r="C136" s="41" t="s">
        <v>75</v>
      </c>
      <c r="D136" s="41" t="str">
        <f>+UPPER('0. Instruções'!$D$33&amp;"."&amp;VLOOKUP(B136,'0. Instruções'!$C$27:$D$31,2,FALSE))</f>
        <v>BU_LOANTAPE_WORK.LT003_ENTITY</v>
      </c>
      <c r="E136" s="41" t="str">
        <f>+UPPER('0. Instruções'!$D$34&amp;"."&amp;VLOOKUP(B136,'0. Instruções'!$C$27:$E$31,3,FALSE))</f>
        <v>BU_LOANTAPE_WORK.LT003_ENTTY_P3_NOV24</v>
      </c>
      <c r="F136" s="41" t="s">
        <v>111</v>
      </c>
      <c r="G136" s="41" t="s">
        <v>210</v>
      </c>
      <c r="H136" s="41"/>
      <c r="I136" s="41" t="str">
        <f>"(SELECT "&amp;VLOOKUP(B136,'0. Instruções'!$C$27:$G$31,4,FALSE)&amp;", "&amp;F136&amp;" FROM "&amp;D136&amp;" WHERE "&amp;'0. Instruções'!$D$40&amp;")X"</f>
        <v>(SELECT entty_id, ENBLNG_TRNVR_CCM FROM BU_LOANTAPE_WORK.LT003_ENTITY WHERE ref_date='${ref_date}' AND nome_perimetro='Individual Corporativo' AND segmento='ESTR' AND ambito='PILAR3')X</v>
      </c>
      <c r="J136" s="41" t="str">
        <f>"(SELECT "&amp;VLOOKUP(B136,'0. Instruções'!$C$27:$G$31,4,FALSE)&amp;" AS "&amp;VLOOKUP(B136,'0. Instruções'!$C$27:$G$31,4,FALSE)&amp;"_SIMUL, "&amp;F136&amp;" AS "&amp;F136&amp;"_SIMUL FROM "&amp;E136&amp;")Y"</f>
        <v>(SELECT entty_id AS entty_id_SIMUL, ENBLNG_TRNVR_CCM AS ENBLNG_TRNVR_CCM_SIMUL FROM BU_LOANTAPE_WORK.LT003_ENTTY_P3_NOV24)Y</v>
      </c>
      <c r="K136" s="42" t="str">
        <f>+UPPER("ON X."&amp;VLOOKUP(B136,'0. Instruções'!$C$27:$G$31,4,FALSE)&amp;"=Y."&amp;VLOOKUP(B136,'0. Instruções'!$C$27:$G$31,4,FALSE)&amp;"_SIMUL")</f>
        <v>ON X.ENTTY_ID=Y.ENTTY_ID_SIMUL</v>
      </c>
      <c r="L136" s="42" t="str">
        <f>+IF(C136="Coerência", +IF(LEFT(G136,5)="FLOAT","SELECT '"&amp;UPPER(B136)&amp;"' AS TABELA, '"&amp;UPPER(C136)&amp;"' AS TIPOLOGIA_TESTE,'"&amp;D136&amp;"' AS TABELA_LT,'"&amp;E136&amp;"' AS TABELA_SIMUL,'"&amp;F136&amp;"' AS CAMPO, "&amp;"'${ref_date}' AS REF_DATE, COUNT(*) AS NUM_REG, SUM(IF((ABS(COALESCE(X."&amp;F136&amp;",0)-COALESCE(Y."&amp;F136&amp;"_SIMUL,0))&gt;0.0000000001) OR (X."&amp;F136&amp;" IS NULL AND Y."&amp;F136&amp;"_SIMUL IS NOT NULL ) OR (X."&amp;F136&amp;" IS NOT NULL AND Y."&amp;F136&amp;"_SIMUL IS NULL),1,0)) AS NUM_REG_DIF,'"&amp;MAX('ID1&amp;5'!K:K)+1&amp;"' AS ID_EXEC, CURRENT_TIMESTAMP() AS TIME_EXEC FROM "&amp;I136&amp;" INNER JOIN "&amp;J136&amp;" "&amp;K136,"SELECT '"&amp;UPPER(B136)&amp;"' AS TABELA, '"&amp;UPPER(C136)&amp;"' AS TIPOLOGIA_TESTE,'"&amp;D136&amp;"' AS TABELA_LT,'"&amp;E136&amp;"' AS TABELA_SIMUL,'"&amp;F136&amp;"' AS CAMPO, "&amp;"'${ref_date}' AS REF_DATE, COUNT(*) AS NUM_REG, SUM(IF(COALESCE(CAST(X."&amp;F136&amp;" AS STRING),'')&lt;&gt;COALESCE(CAST(Y."&amp;F136&amp;"_SIMUL AS STRING),''),1,0)) AS NUM_REG_DIF,'"&amp;MAX('ID1&amp;5'!L:L)+1&amp;"' AS ID_EXEC, CURRENT_TIMESTAMP() AS TIME_EXEC FROM "&amp;I136&amp;" INNER JOIN "&amp;J136&amp;" "&amp;K136),
IF(C136="Validade",+IF(G136="Code List","SELECT '"&amp;UPPER(B136)&amp;"' AS TABELA, '"&amp;UPPER(C136)&amp;"' AS TIPOLOGIA_TESTE,'"&amp;D136&amp;"' AS TABELA_LT,'N/A' AS TABELA_SIMUL,'"&amp;F136&amp;"' AS CAMPO, "&amp;"'${ref_date}' AS REF_DATE, COUNT(*) AS NUM_REG, SUM(IF(TRIM(CAST(X."&amp;F136&amp;" AS STRING))='' OR TRIM(CAST(X."&amp;F136&amp;" AS STRING)) IS NULL OR CAST(X."&amp;F136&amp;" AS STRING) NOT "&amp;H136&amp;",1,0)) AS NUM_REG_DIF,'"&amp;MAX('ID1&amp;5'!K:K)+1&amp;"' AS ID_EXEC, CURRENT_TIMESTAMP() AS TIME_EXEC FROM "&amp;I136,"SELECT '"&amp;UPPER(B136)&amp;"' AS TABELA, '"&amp;UPPER(C136)&amp;"' AS TIPOLOGIA_TESTE,'"&amp;D136&amp;"' AS TABELA_LT,'N/A' AS TABELA_SIMUL,'"&amp;F136&amp;"' AS CAMPO, "&amp;"'${ref_date}' AS REF_DATE, COUNT(*) AS NUM_REG, SUM(IF(TRIM(CAST(X."&amp;F136&amp;" AS STRING))='' OR TRIM(CAST(X."&amp;F136&amp;" AS STRING)) IS NULL,1,0)) AS NUM_REG_DIF,'"&amp;MAX('ID1&amp;5'!K:K)+1&amp;"' AS ID_EXEC, CURRENT_TIMESTAMP() AS TIME_EXEC FROM "&amp;I136),
IF(C136="Caracteres Especiais",+"SELECT '"&amp;UPPER(B136)&amp;"' AS TABELA, '"&amp;UPPER(C136)&amp;"' AS TIPOLOGIA_TESTE,'"&amp;D136&amp;"' AS TABELA_LT,'N/A' AS TABELA_SIMUL,'"&amp;F136&amp;"' AS CAMPO, "&amp;"'${ref_date}' AS REF_DATE, COUNT(*) AS NUM_REG, SUM(IF(INSTR(CAST(X."&amp;F136&amp;" AS STRING),'#')&gt;0 OR INSTR(CAST(X."&amp;F136&amp;" AS STRING),'*')&gt;0 OR INSTR(CAST(X."&amp;F136&amp;" AS STRING),'`')&gt;0 OR INSTR(CAST(X."&amp;F136&amp;" AS STRING),'´')&gt;0 OR INSTR(CAST(X."&amp;F136&amp;" AS STRING),'{')&gt;0 OR INSTR(CAST(X."&amp;F136&amp;" AS STRING),'}')&gt;0 OR INSTR(CAST(X."&amp;F136&amp;" AS STRING),'[')&gt;0 OR INSTR(CAST(X."&amp;F136&amp;" AS STRING),'')&gt;0 OR INSTR(CAST(X."&amp;F136&amp;" AS STRING),']')&gt;0 OR INSTR(CAST(X."&amp;F136&amp;" AS STRING),'?')&gt;0 OR INSTR(CAST(X."&amp;F136&amp;" AS STRING),'!')&gt;0 OR INSTR(CAST(X."&amp;F136&amp;" AS STRING),'$')&gt;0 OR INSTR(CAST(X."&amp;F136&amp;" AS STRING),'%')&gt;0 OR INSTR(CAST(X."&amp;F136&amp;" AS STRING),'&amp;')&gt;0 OR INSTR(CAST(X."&amp;F136&amp;" AS STRING),'+')&gt;0,1,0)) AS NUM_REG_DIF,'"&amp;MAX('ID1&amp;5'!K:K)+1&amp;"' AS ID_EXEC, CURRENT_TIMESTAMP() AS TIME_EXEC FROM "&amp;I136,
IF(C136="Missings",+"SELECT '"&amp;UPPER(B136)&amp;"' AS TABELA, '"&amp;UPPER(C136)&amp;"' AS TIPOLOGIA_TESTE,'"&amp;D136&amp;"' AS TABELA_LT,'N/A' AS TABELA_SIMUL,'"&amp;F136&amp;"' AS CAMPO, "&amp;"'${ref_date}' AS REF_DATE, COUNT(*) AS NUM_REG, SUM(IF(TRIM(CAST(X."&amp;F136&amp;" AS STRING)) IN ('0000-00-00','0001-01-01','9999-12-31','MISS','00000','99999999999','99999999999.00','99999999999.000000'),1,0)) AS NUM_REG_DIF,'"&amp;MAX('ID1&amp;5'!K:K)+1&amp;"' AS ID_EXEC, CURRENT_TIMESTAMP() AS TIME_EXEC FROM "&amp;I136,
IF(C136="Not applicable",+"SELECT '"&amp;UPPER(B136)&amp;"' AS TABELA, '"&amp;UPPER(C136)&amp;"' AS TIPOLOGIA_TESTE,'"&amp;D136&amp;"' AS TABELA_LT,'N/A' AS TABELA_SIMUL,'"&amp;F136&amp;"' AS CAMPO, "&amp;"'${ref_date}' AS REF_DATE, COUNT(*) AS NUM_REG, SUM(IF(TRIM(CAST(X."&amp;F136&amp;" AS STRING)) IN ('N/A','11111111111','11111111111.00','11111111111.000000','1111-11-11'),1,0)) AS NUM_REG_DIF,'"&amp;MAX('ID1&amp;5'!K:K)+1&amp;"' AS ID_EXEC, CURRENT_TIMESTAMP() AS TIME_EXEC FROM "&amp;I136,
IF(C136="Valores extremos",+"SELECT '"&amp;UPPER(B136)&amp;"' AS TABELA, '"&amp;UPPER(C136)&amp;"' AS TIPOLOGIA_TESTE,'"&amp;D136&amp;"' AS TABELA_LT,'N/A' AS TABELA_SIMUL,'"&amp;F136&amp;"' AS CAMPO, "&amp;"'${ref_date}' AS REF_DATE, CAST(MIN("&amp;F136&amp;") AS STRING) AS VALOR_MIN, CAST(MAX("&amp;F136&amp;") AS STRING) AS VALOR_MAX,'"&amp;MAX('ID1&amp;5'!K:K)+1&amp;"' AS ID_EXEC, CURRENT_TIMESTAMP() AS TIME_EXEC FROM "&amp;MID(I136,1,LEN(I136)-2)&amp;" AND CAST("&amp;F136&amp;"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TABELA_SIMUL,'ENBLNG_TRNVR_CCM' AS CAMPO, '${ref_date}' AS REF_DATE, COUNT(*) AS NUM_REG, SUM(IF(TRIM(CAST(X.ENBLNG_TRNVR_CCM AS STRING))='' OR TRIM(CAST(X.ENBLNG_TRNVR_CCM AS STRING)) IS NULL,1,0)) AS NUM_REG_DIF,'10' AS ID_EXEC, CURRENT_TIMESTAMP() AS TIME_EXEC FROM (SELECT entty_id, ENBLNG_TRNVR_CCM FROM BU_LOANTAPE_WORK.LT003_ENTITY WHERE ref_date='${ref_date}' AND nome_perimetro='Individual Corporativo' AND segmento='ESTR' AND ambito='PILAR3')X</v>
      </c>
      <c r="M136" s="43" t="str">
        <f t="shared" si="2"/>
        <v>UNION ALL SELECT 'ENTITY' AS TABELA, 'VALIDADE' AS TIPOLOGIA_TESTE,'BU_LOANTAPE_WORK.LT003_ENTITY' AS TABELA_LT,'N/A' AS TABELA_SIMUL,'ENBLNG_TRNVR_CCM' AS CAMPO, '${ref_date}' AS REF_DATE, COUNT(*) AS NUM_REG, SUM(IF(TRIM(CAST(X.ENBLNG_TRNVR_CCM AS STRING))='' OR TRIM(CAST(X.ENBLNG_TRNVR_CCM AS STRING)) IS NULL,1,0)) AS NUM_REG_DIF,'10' AS ID_EXEC, CURRENT_TIMESTAMP() AS TIME_EXEC FROM (SELECT entty_id, ENBLNG_TRNVR_CCM FROM BU_LOANTAPE_WORK.LT003_ENTITY WHERE ref_date='${ref_date}' AND nome_perimetro='Individual Corporativo' AND segmento='ESTR' AND ambito='PILAR3')X</v>
      </c>
      <c r="N136" s="45" t="s">
        <v>13</v>
      </c>
    </row>
    <row r="137" spans="2:14">
      <c r="B137" s="41" t="s">
        <v>23</v>
      </c>
      <c r="C137" s="41" t="s">
        <v>75</v>
      </c>
      <c r="D137" s="41" t="str">
        <f>+UPPER('0. Instruções'!$D$33&amp;"."&amp;VLOOKUP(B137,'0. Instruções'!$C$27:$D$31,2,FALSE))</f>
        <v>BU_LOANTAPE_WORK.LT003_ENTITY</v>
      </c>
      <c r="E137" s="41" t="str">
        <f>+UPPER('0. Instruções'!$D$34&amp;"."&amp;VLOOKUP(B137,'0. Instruções'!$C$27:$E$31,3,FALSE))</f>
        <v>BU_LOANTAPE_WORK.LT003_ENTTY_P3_NOV24</v>
      </c>
      <c r="F137" s="41" t="s">
        <v>112</v>
      </c>
      <c r="G137" s="41" t="s">
        <v>210</v>
      </c>
      <c r="H137" s="41"/>
      <c r="I137" s="41" t="str">
        <f>"(SELECT "&amp;VLOOKUP(B137,'0. Instruções'!$C$27:$G$31,4,FALSE)&amp;", "&amp;F137&amp;" FROM "&amp;D137&amp;" WHERE "&amp;'0. Instruções'!$D$40&amp;")X"</f>
        <v>(SELECT entty_id, ENBLNG_TRNVR_CCA FROM BU_LOANTAPE_WORK.LT003_ENTITY WHERE ref_date='${ref_date}' AND nome_perimetro='Individual Corporativo' AND segmento='ESTR' AND ambito='PILAR3')X</v>
      </c>
      <c r="J137" s="41" t="str">
        <f>"(SELECT "&amp;VLOOKUP(B137,'0. Instruções'!$C$27:$G$31,4,FALSE)&amp;" AS "&amp;VLOOKUP(B137,'0. Instruções'!$C$27:$G$31,4,FALSE)&amp;"_SIMUL, "&amp;F137&amp;" AS "&amp;F137&amp;"_SIMUL FROM "&amp;E137&amp;")Y"</f>
        <v>(SELECT entty_id AS entty_id_SIMUL, ENBLNG_TRNVR_CCA AS ENBLNG_TRNVR_CCA_SIMUL FROM BU_LOANTAPE_WORK.LT003_ENTTY_P3_NOV24)Y</v>
      </c>
      <c r="K137" s="42" t="str">
        <f>+UPPER("ON X."&amp;VLOOKUP(B137,'0. Instruções'!$C$27:$G$31,4,FALSE)&amp;"=Y."&amp;VLOOKUP(B137,'0. Instruções'!$C$27:$G$31,4,FALSE)&amp;"_SIMUL")</f>
        <v>ON X.ENTTY_ID=Y.ENTTY_ID_SIMUL</v>
      </c>
      <c r="L137" s="42" t="str">
        <f>+IF(C137="Coerência", +IF(LEFT(G137,5)="FLOAT","SELECT '"&amp;UPPER(B137)&amp;"' AS TABELA, '"&amp;UPPER(C137)&amp;"' AS TIPOLOGIA_TESTE,'"&amp;D137&amp;"' AS TABELA_LT,'"&amp;E137&amp;"' AS TABELA_SIMUL,'"&amp;F137&amp;"' AS CAMPO, "&amp;"'${ref_date}' AS REF_DATE, COUNT(*) AS NUM_REG, SUM(IF((ABS(COALESCE(X."&amp;F137&amp;",0)-COALESCE(Y."&amp;F137&amp;"_SIMUL,0))&gt;0.0000000001) OR (X."&amp;F137&amp;" IS NULL AND Y."&amp;F137&amp;"_SIMUL IS NOT NULL ) OR (X."&amp;F137&amp;" IS NOT NULL AND Y."&amp;F137&amp;"_SIMUL IS NULL),1,0)) AS NUM_REG_DIF,'"&amp;MAX('ID1&amp;5'!K:K)+1&amp;"' AS ID_EXEC, CURRENT_TIMESTAMP() AS TIME_EXEC FROM "&amp;I137&amp;" INNER JOIN "&amp;J137&amp;" "&amp;K137,"SELECT '"&amp;UPPER(B137)&amp;"' AS TABELA, '"&amp;UPPER(C137)&amp;"' AS TIPOLOGIA_TESTE,'"&amp;D137&amp;"' AS TABELA_LT,'"&amp;E137&amp;"' AS TABELA_SIMUL,'"&amp;F137&amp;"' AS CAMPO, "&amp;"'${ref_date}' AS REF_DATE, COUNT(*) AS NUM_REG, SUM(IF(COALESCE(CAST(X."&amp;F137&amp;" AS STRING),'')&lt;&gt;COALESCE(CAST(Y."&amp;F137&amp;"_SIMUL AS STRING),''),1,0)) AS NUM_REG_DIF,'"&amp;MAX('ID1&amp;5'!L:L)+1&amp;"' AS ID_EXEC, CURRENT_TIMESTAMP() AS TIME_EXEC FROM "&amp;I137&amp;" INNER JOIN "&amp;J137&amp;" "&amp;K137),
IF(C137="Validade",+IF(G137="Code List","SELECT '"&amp;UPPER(B137)&amp;"' AS TABELA, '"&amp;UPPER(C137)&amp;"' AS TIPOLOGIA_TESTE,'"&amp;D137&amp;"' AS TABELA_LT,'N/A' AS TABELA_SIMUL,'"&amp;F137&amp;"' AS CAMPO, "&amp;"'${ref_date}' AS REF_DATE, COUNT(*) AS NUM_REG, SUM(IF(TRIM(CAST(X."&amp;F137&amp;" AS STRING))='' OR TRIM(CAST(X."&amp;F137&amp;" AS STRING)) IS NULL OR CAST(X."&amp;F137&amp;" AS STRING) NOT "&amp;H137&amp;",1,0)) AS NUM_REG_DIF,'"&amp;MAX('ID1&amp;5'!K:K)+1&amp;"' AS ID_EXEC, CURRENT_TIMESTAMP() AS TIME_EXEC FROM "&amp;I137,"SELECT '"&amp;UPPER(B137)&amp;"' AS TABELA, '"&amp;UPPER(C137)&amp;"' AS TIPOLOGIA_TESTE,'"&amp;D137&amp;"' AS TABELA_LT,'N/A' AS TABELA_SIMUL,'"&amp;F137&amp;"' AS CAMPO, "&amp;"'${ref_date}' AS REF_DATE, COUNT(*) AS NUM_REG, SUM(IF(TRIM(CAST(X."&amp;F137&amp;" AS STRING))='' OR TRIM(CAST(X."&amp;F137&amp;" AS STRING)) IS NULL,1,0)) AS NUM_REG_DIF,'"&amp;MAX('ID1&amp;5'!K:K)+1&amp;"' AS ID_EXEC, CURRENT_TIMESTAMP() AS TIME_EXEC FROM "&amp;I137),
IF(C137="Caracteres Especiais",+"SELECT '"&amp;UPPER(B137)&amp;"' AS TABELA, '"&amp;UPPER(C137)&amp;"' AS TIPOLOGIA_TESTE,'"&amp;D137&amp;"' AS TABELA_LT,'N/A' AS TABELA_SIMUL,'"&amp;F137&amp;"' AS CAMPO, "&amp;"'${ref_date}' AS REF_DATE, COUNT(*) AS NUM_REG, SUM(IF(INSTR(CAST(X."&amp;F137&amp;" AS STRING),'#')&gt;0 OR INSTR(CAST(X."&amp;F137&amp;" AS STRING),'*')&gt;0 OR INSTR(CAST(X."&amp;F137&amp;" AS STRING),'`')&gt;0 OR INSTR(CAST(X."&amp;F137&amp;" AS STRING),'´')&gt;0 OR INSTR(CAST(X."&amp;F137&amp;" AS STRING),'{')&gt;0 OR INSTR(CAST(X."&amp;F137&amp;" AS STRING),'}')&gt;0 OR INSTR(CAST(X."&amp;F137&amp;" AS STRING),'[')&gt;0 OR INSTR(CAST(X."&amp;F137&amp;" AS STRING),'')&gt;0 OR INSTR(CAST(X."&amp;F137&amp;" AS STRING),']')&gt;0 OR INSTR(CAST(X."&amp;F137&amp;" AS STRING),'?')&gt;0 OR INSTR(CAST(X."&amp;F137&amp;" AS STRING),'!')&gt;0 OR INSTR(CAST(X."&amp;F137&amp;" AS STRING),'$')&gt;0 OR INSTR(CAST(X."&amp;F137&amp;" AS STRING),'%')&gt;0 OR INSTR(CAST(X."&amp;F137&amp;" AS STRING),'&amp;')&gt;0 OR INSTR(CAST(X."&amp;F137&amp;" AS STRING),'+')&gt;0,1,0)) AS NUM_REG_DIF,'"&amp;MAX('ID1&amp;5'!K:K)+1&amp;"' AS ID_EXEC, CURRENT_TIMESTAMP() AS TIME_EXEC FROM "&amp;I137,
IF(C137="Missings",+"SELECT '"&amp;UPPER(B137)&amp;"' AS TABELA, '"&amp;UPPER(C137)&amp;"' AS TIPOLOGIA_TESTE,'"&amp;D137&amp;"' AS TABELA_LT,'N/A' AS TABELA_SIMUL,'"&amp;F137&amp;"' AS CAMPO, "&amp;"'${ref_date}' AS REF_DATE, COUNT(*) AS NUM_REG, SUM(IF(TRIM(CAST(X."&amp;F137&amp;" AS STRING)) IN ('0000-00-00','0001-01-01','9999-12-31','MISS','00000','99999999999','99999999999.00','99999999999.000000'),1,0)) AS NUM_REG_DIF,'"&amp;MAX('ID1&amp;5'!K:K)+1&amp;"' AS ID_EXEC, CURRENT_TIMESTAMP() AS TIME_EXEC FROM "&amp;I137,
IF(C137="Not applicable",+"SELECT '"&amp;UPPER(B137)&amp;"' AS TABELA, '"&amp;UPPER(C137)&amp;"' AS TIPOLOGIA_TESTE,'"&amp;D137&amp;"' AS TABELA_LT,'N/A' AS TABELA_SIMUL,'"&amp;F137&amp;"' AS CAMPO, "&amp;"'${ref_date}' AS REF_DATE, COUNT(*) AS NUM_REG, SUM(IF(TRIM(CAST(X."&amp;F137&amp;" AS STRING)) IN ('N/A','11111111111','11111111111.00','11111111111.000000','1111-11-11'),1,0)) AS NUM_REG_DIF,'"&amp;MAX('ID1&amp;5'!K:K)+1&amp;"' AS ID_EXEC, CURRENT_TIMESTAMP() AS TIME_EXEC FROM "&amp;I137,
IF(C137="Valores extremos",+"SELECT '"&amp;UPPER(B137)&amp;"' AS TABELA, '"&amp;UPPER(C137)&amp;"' AS TIPOLOGIA_TESTE,'"&amp;D137&amp;"' AS TABELA_LT,'N/A' AS TABELA_SIMUL,'"&amp;F137&amp;"' AS CAMPO, "&amp;"'${ref_date}' AS REF_DATE, CAST(MIN("&amp;F137&amp;") AS STRING) AS VALOR_MIN, CAST(MAX("&amp;F137&amp;") AS STRING) AS VALOR_MAX,'"&amp;MAX('ID1&amp;5'!K:K)+1&amp;"' AS ID_EXEC, CURRENT_TIMESTAMP() AS TIME_EXEC FROM "&amp;MID(I137,1,LEN(I137)-2)&amp;" AND CAST("&amp;F137&amp;"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TABELA_SIMUL,'ENBLNG_TRNVR_CCA' AS CAMPO, '${ref_date}' AS REF_DATE, COUNT(*) AS NUM_REG, SUM(IF(TRIM(CAST(X.ENBLNG_TRNVR_CCA AS STRING))='' OR TRIM(CAST(X.ENBLNG_TRNVR_CCA AS STRING)) IS NULL,1,0)) AS NUM_REG_DIF,'10' AS ID_EXEC, CURRENT_TIMESTAMP() AS TIME_EXEC FROM (SELECT entty_id, ENBLNG_TRNVR_CCA FROM BU_LOANTAPE_WORK.LT003_ENTITY WHERE ref_date='${ref_date}' AND nome_perimetro='Individual Corporativo' AND segmento='ESTR' AND ambito='PILAR3')X</v>
      </c>
      <c r="M137" s="43" t="str">
        <f t="shared" si="2"/>
        <v>UNION ALL SELECT 'ENTITY' AS TABELA, 'VALIDADE' AS TIPOLOGIA_TESTE,'BU_LOANTAPE_WORK.LT003_ENTITY' AS TABELA_LT,'N/A' AS TABELA_SIMUL,'ENBLNG_TRNVR_CCA' AS CAMPO, '${ref_date}' AS REF_DATE, COUNT(*) AS NUM_REG, SUM(IF(TRIM(CAST(X.ENBLNG_TRNVR_CCA AS STRING))='' OR TRIM(CAST(X.ENBLNG_TRNVR_CCA AS STRING)) IS NULL,1,0)) AS NUM_REG_DIF,'10' AS ID_EXEC, CURRENT_TIMESTAMP() AS TIME_EXEC FROM (SELECT entty_id, ENBLNG_TRNVR_CCA FROM BU_LOANTAPE_WORK.LT003_ENTITY WHERE ref_date='${ref_date}' AND nome_perimetro='Individual Corporativo' AND segmento='ESTR' AND ambito='PILAR3')X</v>
      </c>
      <c r="N137" s="45" t="s">
        <v>13</v>
      </c>
    </row>
    <row r="138" spans="2:14">
      <c r="B138" s="41" t="s">
        <v>23</v>
      </c>
      <c r="C138" s="41" t="s">
        <v>75</v>
      </c>
      <c r="D138" s="41" t="str">
        <f>+UPPER('0. Instruções'!$D$33&amp;"."&amp;VLOOKUP(B138,'0. Instruções'!$C$27:$D$31,2,FALSE))</f>
        <v>BU_LOANTAPE_WORK.LT003_ENTITY</v>
      </c>
      <c r="E138" s="41" t="str">
        <f>+UPPER('0. Instruções'!$D$34&amp;"."&amp;VLOOKUP(B138,'0. Instruções'!$C$27:$E$31,3,FALSE))</f>
        <v>BU_LOANTAPE_WORK.LT003_ENTTY_P3_NOV24</v>
      </c>
      <c r="F138" s="41" t="s">
        <v>113</v>
      </c>
      <c r="G138" s="41" t="s">
        <v>210</v>
      </c>
      <c r="H138" s="41"/>
      <c r="I138" s="41" t="str">
        <f>"(SELECT "&amp;VLOOKUP(B138,'0. Instruções'!$C$27:$G$31,4,FALSE)&amp;", "&amp;F138&amp;" FROM "&amp;D138&amp;" WHERE "&amp;'0. Instruções'!$D$40&amp;")X"</f>
        <v>(SELECT entty_id, TRNSTNL_TRNVR FROM BU_LOANTAPE_WORK.LT003_ENTITY WHERE ref_date='${ref_date}' AND nome_perimetro='Individual Corporativo' AND segmento='ESTR' AND ambito='PILAR3')X</v>
      </c>
      <c r="J138" s="41" t="str">
        <f>"(SELECT "&amp;VLOOKUP(B138,'0. Instruções'!$C$27:$G$31,4,FALSE)&amp;" AS "&amp;VLOOKUP(B138,'0. Instruções'!$C$27:$G$31,4,FALSE)&amp;"_SIMUL, "&amp;F138&amp;" AS "&amp;F138&amp;"_SIMUL FROM "&amp;E138&amp;")Y"</f>
        <v>(SELECT entty_id AS entty_id_SIMUL, TRNSTNL_TRNVR AS TRNSTNL_TRNVR_SIMUL FROM BU_LOANTAPE_WORK.LT003_ENTTY_P3_NOV24)Y</v>
      </c>
      <c r="K138" s="42" t="str">
        <f>+UPPER("ON X."&amp;VLOOKUP(B138,'0. Instruções'!$C$27:$G$31,4,FALSE)&amp;"=Y."&amp;VLOOKUP(B138,'0. Instruções'!$C$27:$G$31,4,FALSE)&amp;"_SIMUL")</f>
        <v>ON X.ENTTY_ID=Y.ENTTY_ID_SIMUL</v>
      </c>
      <c r="L138" s="42" t="str">
        <f>+IF(C138="Coerência", +IF(LEFT(G138,5)="FLOAT","SELECT '"&amp;UPPER(B138)&amp;"' AS TABELA, '"&amp;UPPER(C138)&amp;"' AS TIPOLOGIA_TESTE,'"&amp;D138&amp;"' AS TABELA_LT,'"&amp;E138&amp;"' AS TABELA_SIMUL,'"&amp;F138&amp;"' AS CAMPO, "&amp;"'${ref_date}' AS REF_DATE, COUNT(*) AS NUM_REG, SUM(IF((ABS(COALESCE(X."&amp;F138&amp;",0)-COALESCE(Y."&amp;F138&amp;"_SIMUL,0))&gt;0.0000000001) OR (X."&amp;F138&amp;" IS NULL AND Y."&amp;F138&amp;"_SIMUL IS NOT NULL ) OR (X."&amp;F138&amp;" IS NOT NULL AND Y."&amp;F138&amp;"_SIMUL IS NULL),1,0)) AS NUM_REG_DIF,'"&amp;MAX('ID1&amp;5'!K:K)+1&amp;"' AS ID_EXEC, CURRENT_TIMESTAMP() AS TIME_EXEC FROM "&amp;I138&amp;" INNER JOIN "&amp;J138&amp;" "&amp;K138,"SELECT '"&amp;UPPER(B138)&amp;"' AS TABELA, '"&amp;UPPER(C138)&amp;"' AS TIPOLOGIA_TESTE,'"&amp;D138&amp;"' AS TABELA_LT,'"&amp;E138&amp;"' AS TABELA_SIMUL,'"&amp;F138&amp;"' AS CAMPO, "&amp;"'${ref_date}' AS REF_DATE, COUNT(*) AS NUM_REG, SUM(IF(COALESCE(CAST(X."&amp;F138&amp;" AS STRING),'')&lt;&gt;COALESCE(CAST(Y."&amp;F138&amp;"_SIMUL AS STRING),''),1,0)) AS NUM_REG_DIF,'"&amp;MAX('ID1&amp;5'!L:L)+1&amp;"' AS ID_EXEC, CURRENT_TIMESTAMP() AS TIME_EXEC FROM "&amp;I138&amp;" INNER JOIN "&amp;J138&amp;" "&amp;K138),
IF(C138="Validade",+IF(G138="Code List","SELECT '"&amp;UPPER(B138)&amp;"' AS TABELA, '"&amp;UPPER(C138)&amp;"' AS TIPOLOGIA_TESTE,'"&amp;D138&amp;"' AS TABELA_LT,'N/A' AS TABELA_SIMUL,'"&amp;F138&amp;"' AS CAMPO, "&amp;"'${ref_date}' AS REF_DATE, COUNT(*) AS NUM_REG, SUM(IF(TRIM(CAST(X."&amp;F138&amp;" AS STRING))='' OR TRIM(CAST(X."&amp;F138&amp;" AS STRING)) IS NULL OR CAST(X."&amp;F138&amp;" AS STRING) NOT "&amp;H138&amp;",1,0)) AS NUM_REG_DIF,'"&amp;MAX('ID1&amp;5'!K:K)+1&amp;"' AS ID_EXEC, CURRENT_TIMESTAMP() AS TIME_EXEC FROM "&amp;I138,"SELECT '"&amp;UPPER(B138)&amp;"' AS TABELA, '"&amp;UPPER(C138)&amp;"' AS TIPOLOGIA_TESTE,'"&amp;D138&amp;"' AS TABELA_LT,'N/A' AS TABELA_SIMUL,'"&amp;F138&amp;"' AS CAMPO, "&amp;"'${ref_date}' AS REF_DATE, COUNT(*) AS NUM_REG, SUM(IF(TRIM(CAST(X."&amp;F138&amp;" AS STRING))='' OR TRIM(CAST(X."&amp;F138&amp;" AS STRING)) IS NULL,1,0)) AS NUM_REG_DIF,'"&amp;MAX('ID1&amp;5'!K:K)+1&amp;"' AS ID_EXEC, CURRENT_TIMESTAMP() AS TIME_EXEC FROM "&amp;I138),
IF(C138="Caracteres Especiais",+"SELECT '"&amp;UPPER(B138)&amp;"' AS TABELA, '"&amp;UPPER(C138)&amp;"' AS TIPOLOGIA_TESTE,'"&amp;D138&amp;"' AS TABELA_LT,'N/A' AS TABELA_SIMUL,'"&amp;F138&amp;"' AS CAMPO, "&amp;"'${ref_date}' AS REF_DATE, COUNT(*) AS NUM_REG, SUM(IF(INSTR(CAST(X."&amp;F138&amp;" AS STRING),'#')&gt;0 OR INSTR(CAST(X."&amp;F138&amp;" AS STRING),'*')&gt;0 OR INSTR(CAST(X."&amp;F138&amp;" AS STRING),'`')&gt;0 OR INSTR(CAST(X."&amp;F138&amp;" AS STRING),'´')&gt;0 OR INSTR(CAST(X."&amp;F138&amp;" AS STRING),'{')&gt;0 OR INSTR(CAST(X."&amp;F138&amp;" AS STRING),'}')&gt;0 OR INSTR(CAST(X."&amp;F138&amp;" AS STRING),'[')&gt;0 OR INSTR(CAST(X."&amp;F138&amp;" AS STRING),'')&gt;0 OR INSTR(CAST(X."&amp;F138&amp;" AS STRING),']')&gt;0 OR INSTR(CAST(X."&amp;F138&amp;" AS STRING),'?')&gt;0 OR INSTR(CAST(X."&amp;F138&amp;" AS STRING),'!')&gt;0 OR INSTR(CAST(X."&amp;F138&amp;" AS STRING),'$')&gt;0 OR INSTR(CAST(X."&amp;F138&amp;" AS STRING),'%')&gt;0 OR INSTR(CAST(X."&amp;F138&amp;" AS STRING),'&amp;')&gt;0 OR INSTR(CAST(X."&amp;F138&amp;" AS STRING),'+')&gt;0,1,0)) AS NUM_REG_DIF,'"&amp;MAX('ID1&amp;5'!K:K)+1&amp;"' AS ID_EXEC, CURRENT_TIMESTAMP() AS TIME_EXEC FROM "&amp;I138,
IF(C138="Missings",+"SELECT '"&amp;UPPER(B138)&amp;"' AS TABELA, '"&amp;UPPER(C138)&amp;"' AS TIPOLOGIA_TESTE,'"&amp;D138&amp;"' AS TABELA_LT,'N/A' AS TABELA_SIMUL,'"&amp;F138&amp;"' AS CAMPO, "&amp;"'${ref_date}' AS REF_DATE, COUNT(*) AS NUM_REG, SUM(IF(TRIM(CAST(X."&amp;F138&amp;" AS STRING)) IN ('0000-00-00','0001-01-01','9999-12-31','MISS','00000','99999999999','99999999999.00','99999999999.000000'),1,0)) AS NUM_REG_DIF,'"&amp;MAX('ID1&amp;5'!K:K)+1&amp;"' AS ID_EXEC, CURRENT_TIMESTAMP() AS TIME_EXEC FROM "&amp;I138,
IF(C138="Not applicable",+"SELECT '"&amp;UPPER(B138)&amp;"' AS TABELA, '"&amp;UPPER(C138)&amp;"' AS TIPOLOGIA_TESTE,'"&amp;D138&amp;"' AS TABELA_LT,'N/A' AS TABELA_SIMUL,'"&amp;F138&amp;"' AS CAMPO, "&amp;"'${ref_date}' AS REF_DATE, COUNT(*) AS NUM_REG, SUM(IF(TRIM(CAST(X."&amp;F138&amp;" AS STRING)) IN ('N/A','11111111111','11111111111.00','11111111111.000000','1111-11-11'),1,0)) AS NUM_REG_DIF,'"&amp;MAX('ID1&amp;5'!K:K)+1&amp;"' AS ID_EXEC, CURRENT_TIMESTAMP() AS TIME_EXEC FROM "&amp;I138,
IF(C138="Valores extremos",+"SELECT '"&amp;UPPER(B138)&amp;"' AS TABELA, '"&amp;UPPER(C138)&amp;"' AS TIPOLOGIA_TESTE,'"&amp;D138&amp;"' AS TABELA_LT,'N/A' AS TABELA_SIMUL,'"&amp;F138&amp;"' AS CAMPO, "&amp;"'${ref_date}' AS REF_DATE, CAST(MIN("&amp;F138&amp;") AS STRING) AS VALOR_MIN, CAST(MAX("&amp;F138&amp;") AS STRING) AS VALOR_MAX,'"&amp;MAX('ID1&amp;5'!K:K)+1&amp;"' AS ID_EXEC, CURRENT_TIMESTAMP() AS TIME_EXEC FROM "&amp;MID(I138,1,LEN(I138)-2)&amp;" AND CAST("&amp;F138&amp;"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TABELA_SIMUL,'TRNSTNL_TRNVR' AS CAMPO, '${ref_date}' AS REF_DATE, COUNT(*) AS NUM_REG, SUM(IF(TRIM(CAST(X.TRNSTNL_TRNVR AS STRING))='' OR TRIM(CAST(X.TRNSTNL_TRNVR AS STRING)) IS NULL,1,0)) AS NUM_REG_DIF,'10' AS ID_EXEC, CURRENT_TIMESTAMP() AS TIME_EXEC FROM (SELECT entty_id, TRNSTNL_TRNVR FROM BU_LOANTAPE_WORK.LT003_ENTITY WHERE ref_date='${ref_date}' AND nome_perimetro='Individual Corporativo' AND segmento='ESTR' AND ambito='PILAR3')X</v>
      </c>
      <c r="M138" s="43" t="str">
        <f t="shared" si="2"/>
        <v>UNION ALL SELECT 'ENTITY' AS TABELA, 'VALIDADE' AS TIPOLOGIA_TESTE,'BU_LOANTAPE_WORK.LT003_ENTITY' AS TABELA_LT,'N/A' AS TABELA_SIMUL,'TRNSTNL_TRNVR' AS CAMPO, '${ref_date}' AS REF_DATE, COUNT(*) AS NUM_REG, SUM(IF(TRIM(CAST(X.TRNSTNL_TRNVR AS STRING))='' OR TRIM(CAST(X.TRNSTNL_TRNVR AS STRING)) IS NULL,1,0)) AS NUM_REG_DIF,'10' AS ID_EXEC, CURRENT_TIMESTAMP() AS TIME_EXEC FROM (SELECT entty_id, TRNSTNL_TRNVR FROM BU_LOANTAPE_WORK.LT003_ENTITY WHERE ref_date='${ref_date}' AND nome_perimetro='Individual Corporativo' AND segmento='ESTR' AND ambito='PILAR3')X</v>
      </c>
      <c r="N138" s="45" t="s">
        <v>13</v>
      </c>
    </row>
    <row r="139" spans="2:14">
      <c r="B139" s="41" t="s">
        <v>23</v>
      </c>
      <c r="C139" s="41" t="s">
        <v>75</v>
      </c>
      <c r="D139" s="41" t="str">
        <f>+UPPER('0. Instruções'!$D$33&amp;"."&amp;VLOOKUP(B139,'0. Instruções'!$C$27:$D$31,2,FALSE))</f>
        <v>BU_LOANTAPE_WORK.LT003_ENTITY</v>
      </c>
      <c r="E139" s="41" t="str">
        <f>+UPPER('0. Instruções'!$D$34&amp;"."&amp;VLOOKUP(B139,'0. Instruções'!$C$27:$E$31,3,FALSE))</f>
        <v>BU_LOANTAPE_WORK.LT003_ENTTY_P3_NOV24</v>
      </c>
      <c r="F139" s="41" t="s">
        <v>114</v>
      </c>
      <c r="G139" s="41" t="s">
        <v>210</v>
      </c>
      <c r="H139" s="41"/>
      <c r="I139" s="41" t="str">
        <f>"(SELECT "&amp;VLOOKUP(B139,'0. Instruções'!$C$27:$G$31,4,FALSE)&amp;", "&amp;F139&amp;" FROM "&amp;D139&amp;" WHERE "&amp;'0. Instruções'!$D$40&amp;")X"</f>
        <v>(SELECT entty_id, PURE_TRNVR_CCM FROM BU_LOANTAPE_WORK.LT003_ENTITY WHERE ref_date='${ref_date}' AND nome_perimetro='Individual Corporativo' AND segmento='ESTR' AND ambito='PILAR3')X</v>
      </c>
      <c r="J139" s="41" t="str">
        <f>"(SELECT "&amp;VLOOKUP(B139,'0. Instruções'!$C$27:$G$31,4,FALSE)&amp;" AS "&amp;VLOOKUP(B139,'0. Instruções'!$C$27:$G$31,4,FALSE)&amp;"_SIMUL, "&amp;F139&amp;" AS "&amp;F139&amp;"_SIMUL FROM "&amp;E139&amp;")Y"</f>
        <v>(SELECT entty_id AS entty_id_SIMUL, PURE_TRNVR_CCM AS PURE_TRNVR_CCM_SIMUL FROM BU_LOANTAPE_WORK.LT003_ENTTY_P3_NOV24)Y</v>
      </c>
      <c r="K139" s="42" t="str">
        <f>+UPPER("ON X."&amp;VLOOKUP(B139,'0. Instruções'!$C$27:$G$31,4,FALSE)&amp;"=Y."&amp;VLOOKUP(B139,'0. Instruções'!$C$27:$G$31,4,FALSE)&amp;"_SIMUL")</f>
        <v>ON X.ENTTY_ID=Y.ENTTY_ID_SIMUL</v>
      </c>
      <c r="L139" s="42" t="str">
        <f>+IF(C139="Coerência", +IF(LEFT(G139,5)="FLOAT","SELECT '"&amp;UPPER(B139)&amp;"' AS TABELA, '"&amp;UPPER(C139)&amp;"' AS TIPOLOGIA_TESTE,'"&amp;D139&amp;"' AS TABELA_LT,'"&amp;E139&amp;"' AS TABELA_SIMUL,'"&amp;F139&amp;"' AS CAMPO, "&amp;"'${ref_date}' AS REF_DATE, COUNT(*) AS NUM_REG, SUM(IF((ABS(COALESCE(X."&amp;F139&amp;",0)-COALESCE(Y."&amp;F139&amp;"_SIMUL,0))&gt;0.0000000001) OR (X."&amp;F139&amp;" IS NULL AND Y."&amp;F139&amp;"_SIMUL IS NOT NULL ) OR (X."&amp;F139&amp;" IS NOT NULL AND Y."&amp;F139&amp;"_SIMUL IS NULL),1,0)) AS NUM_REG_DIF,'"&amp;MAX('ID1&amp;5'!K:K)+1&amp;"' AS ID_EXEC, CURRENT_TIMESTAMP() AS TIME_EXEC FROM "&amp;I139&amp;" INNER JOIN "&amp;J139&amp;" "&amp;K139,"SELECT '"&amp;UPPER(B139)&amp;"' AS TABELA, '"&amp;UPPER(C139)&amp;"' AS TIPOLOGIA_TESTE,'"&amp;D139&amp;"' AS TABELA_LT,'"&amp;E139&amp;"' AS TABELA_SIMUL,'"&amp;F139&amp;"' AS CAMPO, "&amp;"'${ref_date}' AS REF_DATE, COUNT(*) AS NUM_REG, SUM(IF(COALESCE(CAST(X."&amp;F139&amp;" AS STRING),'')&lt;&gt;COALESCE(CAST(Y."&amp;F139&amp;"_SIMUL AS STRING),''),1,0)) AS NUM_REG_DIF,'"&amp;MAX('ID1&amp;5'!L:L)+1&amp;"' AS ID_EXEC, CURRENT_TIMESTAMP() AS TIME_EXEC FROM "&amp;I139&amp;" INNER JOIN "&amp;J139&amp;" "&amp;K139),
IF(C139="Validade",+IF(G139="Code List","SELECT '"&amp;UPPER(B139)&amp;"' AS TABELA, '"&amp;UPPER(C139)&amp;"' AS TIPOLOGIA_TESTE,'"&amp;D139&amp;"' AS TABELA_LT,'N/A' AS TABELA_SIMUL,'"&amp;F139&amp;"' AS CAMPO, "&amp;"'${ref_date}' AS REF_DATE, COUNT(*) AS NUM_REG, SUM(IF(TRIM(CAST(X."&amp;F139&amp;" AS STRING))='' OR TRIM(CAST(X."&amp;F139&amp;" AS STRING)) IS NULL OR CAST(X."&amp;F139&amp;" AS STRING) NOT "&amp;H139&amp;",1,0)) AS NUM_REG_DIF,'"&amp;MAX('ID1&amp;5'!K:K)+1&amp;"' AS ID_EXEC, CURRENT_TIMESTAMP() AS TIME_EXEC FROM "&amp;I139,"SELECT '"&amp;UPPER(B139)&amp;"' AS TABELA, '"&amp;UPPER(C139)&amp;"' AS TIPOLOGIA_TESTE,'"&amp;D139&amp;"' AS TABELA_LT,'N/A' AS TABELA_SIMUL,'"&amp;F139&amp;"' AS CAMPO, "&amp;"'${ref_date}' AS REF_DATE, COUNT(*) AS NUM_REG, SUM(IF(TRIM(CAST(X."&amp;F139&amp;" AS STRING))='' OR TRIM(CAST(X."&amp;F139&amp;" AS STRING)) IS NULL,1,0)) AS NUM_REG_DIF,'"&amp;MAX('ID1&amp;5'!K:K)+1&amp;"' AS ID_EXEC, CURRENT_TIMESTAMP() AS TIME_EXEC FROM "&amp;I139),
IF(C139="Caracteres Especiais",+"SELECT '"&amp;UPPER(B139)&amp;"' AS TABELA, '"&amp;UPPER(C139)&amp;"' AS TIPOLOGIA_TESTE,'"&amp;D139&amp;"' AS TABELA_LT,'N/A' AS TABELA_SIMUL,'"&amp;F139&amp;"' AS CAMPO, "&amp;"'${ref_date}' AS REF_DATE, COUNT(*) AS NUM_REG, SUM(IF(INSTR(CAST(X."&amp;F139&amp;" AS STRING),'#')&gt;0 OR INSTR(CAST(X."&amp;F139&amp;" AS STRING),'*')&gt;0 OR INSTR(CAST(X."&amp;F139&amp;" AS STRING),'`')&gt;0 OR INSTR(CAST(X."&amp;F139&amp;" AS STRING),'´')&gt;0 OR INSTR(CAST(X."&amp;F139&amp;" AS STRING),'{')&gt;0 OR INSTR(CAST(X."&amp;F139&amp;" AS STRING),'}')&gt;0 OR INSTR(CAST(X."&amp;F139&amp;" AS STRING),'[')&gt;0 OR INSTR(CAST(X."&amp;F139&amp;" AS STRING),'')&gt;0 OR INSTR(CAST(X."&amp;F139&amp;" AS STRING),']')&gt;0 OR INSTR(CAST(X."&amp;F139&amp;" AS STRING),'?')&gt;0 OR INSTR(CAST(X."&amp;F139&amp;" AS STRING),'!')&gt;0 OR INSTR(CAST(X."&amp;F139&amp;" AS STRING),'$')&gt;0 OR INSTR(CAST(X."&amp;F139&amp;" AS STRING),'%')&gt;0 OR INSTR(CAST(X."&amp;F139&amp;" AS STRING),'&amp;')&gt;0 OR INSTR(CAST(X."&amp;F139&amp;" AS STRING),'+')&gt;0,1,0)) AS NUM_REG_DIF,'"&amp;MAX('ID1&amp;5'!K:K)+1&amp;"' AS ID_EXEC, CURRENT_TIMESTAMP() AS TIME_EXEC FROM "&amp;I139,
IF(C139="Missings",+"SELECT '"&amp;UPPER(B139)&amp;"' AS TABELA, '"&amp;UPPER(C139)&amp;"' AS TIPOLOGIA_TESTE,'"&amp;D139&amp;"' AS TABELA_LT,'N/A' AS TABELA_SIMUL,'"&amp;F139&amp;"' AS CAMPO, "&amp;"'${ref_date}' AS REF_DATE, COUNT(*) AS NUM_REG, SUM(IF(TRIM(CAST(X."&amp;F139&amp;" AS STRING)) IN ('0000-00-00','0001-01-01','9999-12-31','MISS','00000','99999999999','99999999999.00','99999999999.000000'),1,0)) AS NUM_REG_DIF,'"&amp;MAX('ID1&amp;5'!K:K)+1&amp;"' AS ID_EXEC, CURRENT_TIMESTAMP() AS TIME_EXEC FROM "&amp;I139,
IF(C139="Not applicable",+"SELECT '"&amp;UPPER(B139)&amp;"' AS TABELA, '"&amp;UPPER(C139)&amp;"' AS TIPOLOGIA_TESTE,'"&amp;D139&amp;"' AS TABELA_LT,'N/A' AS TABELA_SIMUL,'"&amp;F139&amp;"' AS CAMPO, "&amp;"'${ref_date}' AS REF_DATE, COUNT(*) AS NUM_REG, SUM(IF(TRIM(CAST(X."&amp;F139&amp;" AS STRING)) IN ('N/A','11111111111','11111111111.00','11111111111.000000','1111-11-11'),1,0)) AS NUM_REG_DIF,'"&amp;MAX('ID1&amp;5'!K:K)+1&amp;"' AS ID_EXEC, CURRENT_TIMESTAMP() AS TIME_EXEC FROM "&amp;I139,
IF(C139="Valores extremos",+"SELECT '"&amp;UPPER(B139)&amp;"' AS TABELA, '"&amp;UPPER(C139)&amp;"' AS TIPOLOGIA_TESTE,'"&amp;D139&amp;"' AS TABELA_LT,'N/A' AS TABELA_SIMUL,'"&amp;F139&amp;"' AS CAMPO, "&amp;"'${ref_date}' AS REF_DATE, CAST(MIN("&amp;F139&amp;") AS STRING) AS VALOR_MIN, CAST(MAX("&amp;F139&amp;") AS STRING) AS VALOR_MAX,'"&amp;MAX('ID1&amp;5'!K:K)+1&amp;"' AS ID_EXEC, CURRENT_TIMESTAMP() AS TIME_EXEC FROM "&amp;MID(I139,1,LEN(I139)-2)&amp;" AND CAST("&amp;F139&amp;"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TABELA_SIMUL,'PURE_TRNVR_CCM' AS CAMPO, '${ref_date}' AS REF_DATE, COUNT(*) AS NUM_REG, SUM(IF(TRIM(CAST(X.PURE_TRNVR_CCM AS STRING))='' OR TRIM(CAST(X.PURE_TRNVR_CCM AS STRING)) IS NULL,1,0)) AS NUM_REG_DIF,'10' AS ID_EXEC, CURRENT_TIMESTAMP() AS TIME_EXEC FROM (SELECT entty_id, PURE_TRNVR_CCM FROM BU_LOANTAPE_WORK.LT003_ENTITY WHERE ref_date='${ref_date}' AND nome_perimetro='Individual Corporativo' AND segmento='ESTR' AND ambito='PILAR3')X</v>
      </c>
      <c r="M139" s="43" t="str">
        <f t="shared" si="2"/>
        <v>UNION ALL SELECT 'ENTITY' AS TABELA, 'VALIDADE' AS TIPOLOGIA_TESTE,'BU_LOANTAPE_WORK.LT003_ENTITY' AS TABELA_LT,'N/A' AS TABELA_SIMUL,'PURE_TRNVR_CCM' AS CAMPO, '${ref_date}' AS REF_DATE, COUNT(*) AS NUM_REG, SUM(IF(TRIM(CAST(X.PURE_TRNVR_CCM AS STRING))='' OR TRIM(CAST(X.PURE_TRNVR_CCM AS STRING)) IS NULL,1,0)) AS NUM_REG_DIF,'10' AS ID_EXEC, CURRENT_TIMESTAMP() AS TIME_EXEC FROM (SELECT entty_id, PURE_TRNVR_CCM FROM BU_LOANTAPE_WORK.LT003_ENTITY WHERE ref_date='${ref_date}' AND nome_perimetro='Individual Corporativo' AND segmento='ESTR' AND ambito='PILAR3')X</v>
      </c>
      <c r="N139" s="45" t="s">
        <v>13</v>
      </c>
    </row>
    <row r="140" spans="2:14">
      <c r="B140" s="41" t="s">
        <v>23</v>
      </c>
      <c r="C140" s="41" t="s">
        <v>75</v>
      </c>
      <c r="D140" s="41" t="str">
        <f>+UPPER('0. Instruções'!$D$33&amp;"."&amp;VLOOKUP(B140,'0. Instruções'!$C$27:$D$31,2,FALSE))</f>
        <v>BU_LOANTAPE_WORK.LT003_ENTITY</v>
      </c>
      <c r="E140" s="41" t="str">
        <f>+UPPER('0. Instruções'!$D$34&amp;"."&amp;VLOOKUP(B140,'0. Instruções'!$C$27:$E$31,3,FALSE))</f>
        <v>BU_LOANTAPE_WORK.LT003_ENTTY_P3_NOV24</v>
      </c>
      <c r="F140" s="41" t="s">
        <v>115</v>
      </c>
      <c r="G140" s="41" t="s">
        <v>210</v>
      </c>
      <c r="H140" s="41"/>
      <c r="I140" s="41" t="str">
        <f>"(SELECT "&amp;VLOOKUP(B140,'0. Instruções'!$C$27:$G$31,4,FALSE)&amp;", "&amp;F140&amp;" FROM "&amp;D140&amp;" WHERE "&amp;'0. Instruções'!$D$40&amp;")X"</f>
        <v>(SELECT entty_id, PURE_TRNVR_CCA FROM BU_LOANTAPE_WORK.LT003_ENTITY WHERE ref_date='${ref_date}' AND nome_perimetro='Individual Corporativo' AND segmento='ESTR' AND ambito='PILAR3')X</v>
      </c>
      <c r="J140" s="41" t="str">
        <f>"(SELECT "&amp;VLOOKUP(B140,'0. Instruções'!$C$27:$G$31,4,FALSE)&amp;" AS "&amp;VLOOKUP(B140,'0. Instruções'!$C$27:$G$31,4,FALSE)&amp;"_SIMUL, "&amp;F140&amp;" AS "&amp;F140&amp;"_SIMUL FROM "&amp;E140&amp;")Y"</f>
        <v>(SELECT entty_id AS entty_id_SIMUL, PURE_TRNVR_CCA AS PURE_TRNVR_CCA_SIMUL FROM BU_LOANTAPE_WORK.LT003_ENTTY_P3_NOV24)Y</v>
      </c>
      <c r="K140" s="42" t="str">
        <f>+UPPER("ON X."&amp;VLOOKUP(B140,'0. Instruções'!$C$27:$G$31,4,FALSE)&amp;"=Y."&amp;VLOOKUP(B140,'0. Instruções'!$C$27:$G$31,4,FALSE)&amp;"_SIMUL")</f>
        <v>ON X.ENTTY_ID=Y.ENTTY_ID_SIMUL</v>
      </c>
      <c r="L140" s="42" t="str">
        <f>+IF(C140="Coerência", +IF(LEFT(G140,5)="FLOAT","SELECT '"&amp;UPPER(B140)&amp;"' AS TABELA, '"&amp;UPPER(C140)&amp;"' AS TIPOLOGIA_TESTE,'"&amp;D140&amp;"' AS TABELA_LT,'"&amp;E140&amp;"' AS TABELA_SIMUL,'"&amp;F140&amp;"' AS CAMPO, "&amp;"'${ref_date}' AS REF_DATE, COUNT(*) AS NUM_REG, SUM(IF((ABS(COALESCE(X."&amp;F140&amp;",0)-COALESCE(Y."&amp;F140&amp;"_SIMUL,0))&gt;0.0000000001) OR (X."&amp;F140&amp;" IS NULL AND Y."&amp;F140&amp;"_SIMUL IS NOT NULL ) OR (X."&amp;F140&amp;" IS NOT NULL AND Y."&amp;F140&amp;"_SIMUL IS NULL),1,0)) AS NUM_REG_DIF,'"&amp;MAX('ID1&amp;5'!K:K)+1&amp;"' AS ID_EXEC, CURRENT_TIMESTAMP() AS TIME_EXEC FROM "&amp;I140&amp;" INNER JOIN "&amp;J140&amp;" "&amp;K140,"SELECT '"&amp;UPPER(B140)&amp;"' AS TABELA, '"&amp;UPPER(C140)&amp;"' AS TIPOLOGIA_TESTE,'"&amp;D140&amp;"' AS TABELA_LT,'"&amp;E140&amp;"' AS TABELA_SIMUL,'"&amp;F140&amp;"' AS CAMPO, "&amp;"'${ref_date}' AS REF_DATE, COUNT(*) AS NUM_REG, SUM(IF(COALESCE(CAST(X."&amp;F140&amp;" AS STRING),'')&lt;&gt;COALESCE(CAST(Y."&amp;F140&amp;"_SIMUL AS STRING),''),1,0)) AS NUM_REG_DIF,'"&amp;MAX('ID1&amp;5'!L:L)+1&amp;"' AS ID_EXEC, CURRENT_TIMESTAMP() AS TIME_EXEC FROM "&amp;I140&amp;" INNER JOIN "&amp;J140&amp;" "&amp;K140),
IF(C140="Validade",+IF(G140="Code List","SELECT '"&amp;UPPER(B140)&amp;"' AS TABELA, '"&amp;UPPER(C140)&amp;"' AS TIPOLOGIA_TESTE,'"&amp;D140&amp;"' AS TABELA_LT,'N/A' AS TABELA_SIMUL,'"&amp;F140&amp;"' AS CAMPO, "&amp;"'${ref_date}' AS REF_DATE, COUNT(*) AS NUM_REG, SUM(IF(TRIM(CAST(X."&amp;F140&amp;" AS STRING))='' OR TRIM(CAST(X."&amp;F140&amp;" AS STRING)) IS NULL OR CAST(X."&amp;F140&amp;" AS STRING) NOT "&amp;H140&amp;",1,0)) AS NUM_REG_DIF,'"&amp;MAX('ID1&amp;5'!K:K)+1&amp;"' AS ID_EXEC, CURRENT_TIMESTAMP() AS TIME_EXEC FROM "&amp;I140,"SELECT '"&amp;UPPER(B140)&amp;"' AS TABELA, '"&amp;UPPER(C140)&amp;"' AS TIPOLOGIA_TESTE,'"&amp;D140&amp;"' AS TABELA_LT,'N/A' AS TABELA_SIMUL,'"&amp;F140&amp;"' AS CAMPO, "&amp;"'${ref_date}' AS REF_DATE, COUNT(*) AS NUM_REG, SUM(IF(TRIM(CAST(X."&amp;F140&amp;" AS STRING))='' OR TRIM(CAST(X."&amp;F140&amp;" AS STRING)) IS NULL,1,0)) AS NUM_REG_DIF,'"&amp;MAX('ID1&amp;5'!K:K)+1&amp;"' AS ID_EXEC, CURRENT_TIMESTAMP() AS TIME_EXEC FROM "&amp;I140),
IF(C140="Caracteres Especiais",+"SELECT '"&amp;UPPER(B140)&amp;"' AS TABELA, '"&amp;UPPER(C140)&amp;"' AS TIPOLOGIA_TESTE,'"&amp;D140&amp;"' AS TABELA_LT,'N/A' AS TABELA_SIMUL,'"&amp;F140&amp;"' AS CAMPO, "&amp;"'${ref_date}' AS REF_DATE, COUNT(*) AS NUM_REG, SUM(IF(INSTR(CAST(X."&amp;F140&amp;" AS STRING),'#')&gt;0 OR INSTR(CAST(X."&amp;F140&amp;" AS STRING),'*')&gt;0 OR INSTR(CAST(X."&amp;F140&amp;" AS STRING),'`')&gt;0 OR INSTR(CAST(X."&amp;F140&amp;" AS STRING),'´')&gt;0 OR INSTR(CAST(X."&amp;F140&amp;" AS STRING),'{')&gt;0 OR INSTR(CAST(X."&amp;F140&amp;" AS STRING),'}')&gt;0 OR INSTR(CAST(X."&amp;F140&amp;" AS STRING),'[')&gt;0 OR INSTR(CAST(X."&amp;F140&amp;" AS STRING),'')&gt;0 OR INSTR(CAST(X."&amp;F140&amp;" AS STRING),']')&gt;0 OR INSTR(CAST(X."&amp;F140&amp;" AS STRING),'?')&gt;0 OR INSTR(CAST(X."&amp;F140&amp;" AS STRING),'!')&gt;0 OR INSTR(CAST(X."&amp;F140&amp;" AS STRING),'$')&gt;0 OR INSTR(CAST(X."&amp;F140&amp;" AS STRING),'%')&gt;0 OR INSTR(CAST(X."&amp;F140&amp;" AS STRING),'&amp;')&gt;0 OR INSTR(CAST(X."&amp;F140&amp;" AS STRING),'+')&gt;0,1,0)) AS NUM_REG_DIF,'"&amp;MAX('ID1&amp;5'!K:K)+1&amp;"' AS ID_EXEC, CURRENT_TIMESTAMP() AS TIME_EXEC FROM "&amp;I140,
IF(C140="Missings",+"SELECT '"&amp;UPPER(B140)&amp;"' AS TABELA, '"&amp;UPPER(C140)&amp;"' AS TIPOLOGIA_TESTE,'"&amp;D140&amp;"' AS TABELA_LT,'N/A' AS TABELA_SIMUL,'"&amp;F140&amp;"' AS CAMPO, "&amp;"'${ref_date}' AS REF_DATE, COUNT(*) AS NUM_REG, SUM(IF(TRIM(CAST(X."&amp;F140&amp;" AS STRING)) IN ('0000-00-00','0001-01-01','9999-12-31','MISS','00000','99999999999','99999999999.00','99999999999.000000'),1,0)) AS NUM_REG_DIF,'"&amp;MAX('ID1&amp;5'!K:K)+1&amp;"' AS ID_EXEC, CURRENT_TIMESTAMP() AS TIME_EXEC FROM "&amp;I140,
IF(C140="Not applicable",+"SELECT '"&amp;UPPER(B140)&amp;"' AS TABELA, '"&amp;UPPER(C140)&amp;"' AS TIPOLOGIA_TESTE,'"&amp;D140&amp;"' AS TABELA_LT,'N/A' AS TABELA_SIMUL,'"&amp;F140&amp;"' AS CAMPO, "&amp;"'${ref_date}' AS REF_DATE, COUNT(*) AS NUM_REG, SUM(IF(TRIM(CAST(X."&amp;F140&amp;" AS STRING)) IN ('N/A','11111111111','11111111111.00','11111111111.000000','1111-11-11'),1,0)) AS NUM_REG_DIF,'"&amp;MAX('ID1&amp;5'!K:K)+1&amp;"' AS ID_EXEC, CURRENT_TIMESTAMP() AS TIME_EXEC FROM "&amp;I140,
IF(C140="Valores extremos",+"SELECT '"&amp;UPPER(B140)&amp;"' AS TABELA, '"&amp;UPPER(C140)&amp;"' AS TIPOLOGIA_TESTE,'"&amp;D140&amp;"' AS TABELA_LT,'N/A' AS TABELA_SIMUL,'"&amp;F140&amp;"' AS CAMPO, "&amp;"'${ref_date}' AS REF_DATE, CAST(MIN("&amp;F140&amp;") AS STRING) AS VALOR_MIN, CAST(MAX("&amp;F140&amp;") AS STRING) AS VALOR_MAX,'"&amp;MAX('ID1&amp;5'!K:K)+1&amp;"' AS ID_EXEC, CURRENT_TIMESTAMP() AS TIME_EXEC FROM "&amp;MID(I140,1,LEN(I140)-2)&amp;" AND CAST("&amp;F140&amp;"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TABELA_SIMUL,'PURE_TRNVR_CCA' AS CAMPO, '${ref_date}' AS REF_DATE, COUNT(*) AS NUM_REG, SUM(IF(TRIM(CAST(X.PURE_TRNVR_CCA AS STRING))='' OR TRIM(CAST(X.PURE_TRNVR_CCA AS STRING)) IS NULL,1,0)) AS NUM_REG_DIF,'10' AS ID_EXEC, CURRENT_TIMESTAMP() AS TIME_EXEC FROM (SELECT entty_id, PURE_TRNVR_CCA FROM BU_LOANTAPE_WORK.LT003_ENTITY WHERE ref_date='${ref_date}' AND nome_perimetro='Individual Corporativo' AND segmento='ESTR' AND ambito='PILAR3')X</v>
      </c>
      <c r="M140" s="43" t="str">
        <f t="shared" si="2"/>
        <v>UNION ALL SELECT 'ENTITY' AS TABELA, 'VALIDADE' AS TIPOLOGIA_TESTE,'BU_LOANTAPE_WORK.LT003_ENTITY' AS TABELA_LT,'N/A' AS TABELA_SIMUL,'PURE_TRNVR_CCA' AS CAMPO, '${ref_date}' AS REF_DATE, COUNT(*) AS NUM_REG, SUM(IF(TRIM(CAST(X.PURE_TRNVR_CCA AS STRING))='' OR TRIM(CAST(X.PURE_TRNVR_CCA AS STRING)) IS NULL,1,0)) AS NUM_REG_DIF,'10' AS ID_EXEC, CURRENT_TIMESTAMP() AS TIME_EXEC FROM (SELECT entty_id, PURE_TRNVR_CCA FROM BU_LOANTAPE_WORK.LT003_ENTITY WHERE ref_date='${ref_date}' AND nome_perimetro='Individual Corporativo' AND segmento='ESTR' AND ambito='PILAR3')X</v>
      </c>
      <c r="N140" s="45" t="s">
        <v>13</v>
      </c>
    </row>
    <row r="141" spans="2:14">
      <c r="B141" s="41" t="s">
        <v>23</v>
      </c>
      <c r="C141" s="41" t="s">
        <v>75</v>
      </c>
      <c r="D141" s="41" t="str">
        <f>+UPPER('0. Instruções'!$D$33&amp;"."&amp;VLOOKUP(B141,'0. Instruções'!$C$27:$D$31,2,FALSE))</f>
        <v>BU_LOANTAPE_WORK.LT003_ENTITY</v>
      </c>
      <c r="E141" s="41" t="str">
        <f>+UPPER('0. Instruções'!$D$34&amp;"."&amp;VLOOKUP(B141,'0. Instruções'!$C$27:$E$31,3,FALSE))</f>
        <v>BU_LOANTAPE_WORK.LT003_ENTTY_P3_NOV24</v>
      </c>
      <c r="F141" s="41" t="s">
        <v>116</v>
      </c>
      <c r="G141" s="41" t="s">
        <v>211</v>
      </c>
      <c r="H141" s="41"/>
      <c r="I141" s="41" t="str">
        <f>"(SELECT "&amp;VLOOKUP(B141,'0. Instruções'!$C$27:$G$31,4,FALSE)&amp;", "&amp;F141&amp;" FROM "&amp;D141&amp;" WHERE "&amp;'0. Instruções'!$D$40&amp;")X"</f>
        <v>(SELECT entty_id, FLG_NFRD_APPLCBLTY FROM BU_LOANTAPE_WORK.LT003_ENTITY WHERE ref_date='${ref_date}' AND nome_perimetro='Individual Corporativo' AND segmento='ESTR' AND ambito='PILAR3')X</v>
      </c>
      <c r="J141" s="41" t="str">
        <f>"(SELECT "&amp;VLOOKUP(B141,'0. Instruções'!$C$27:$G$31,4,FALSE)&amp;" AS "&amp;VLOOKUP(B141,'0. Instruções'!$C$27:$G$31,4,FALSE)&amp;"_SIMUL, "&amp;F141&amp;" AS "&amp;F141&amp;"_SIMUL FROM "&amp;E141&amp;")Y"</f>
        <v>(SELECT entty_id AS entty_id_SIMUL, FLG_NFRD_APPLCBLTY AS FLG_NFRD_APPLCBLTY_SIMUL FROM BU_LOANTAPE_WORK.LT003_ENTTY_P3_NOV24)Y</v>
      </c>
      <c r="K141" s="42" t="str">
        <f>+UPPER("ON X."&amp;VLOOKUP(B141,'0. Instruções'!$C$27:$G$31,4,FALSE)&amp;"=Y."&amp;VLOOKUP(B141,'0. Instruções'!$C$27:$G$31,4,FALSE)&amp;"_SIMUL")</f>
        <v>ON X.ENTTY_ID=Y.ENTTY_ID_SIMUL</v>
      </c>
      <c r="L141" s="42" t="str">
        <f>+IF(C141="Coerência", +IF(LEFT(G141,5)="FLOAT","SELECT '"&amp;UPPER(B141)&amp;"' AS TABELA, '"&amp;UPPER(C141)&amp;"' AS TIPOLOGIA_TESTE,'"&amp;D141&amp;"' AS TABELA_LT,'"&amp;E141&amp;"' AS TABELA_SIMUL,'"&amp;F141&amp;"' AS CAMPO, "&amp;"'${ref_date}' AS REF_DATE, COUNT(*) AS NUM_REG, SUM(IF((ABS(COALESCE(X."&amp;F141&amp;",0)-COALESCE(Y."&amp;F141&amp;"_SIMUL,0))&gt;0.0000000001) OR (X."&amp;F141&amp;" IS NULL AND Y."&amp;F141&amp;"_SIMUL IS NOT NULL ) OR (X."&amp;F141&amp;" IS NOT NULL AND Y."&amp;F141&amp;"_SIMUL IS NULL),1,0)) AS NUM_REG_DIF,'"&amp;MAX('ID1&amp;5'!K:K)+1&amp;"' AS ID_EXEC, CURRENT_TIMESTAMP() AS TIME_EXEC FROM "&amp;I141&amp;" INNER JOIN "&amp;J141&amp;" "&amp;K141,"SELECT '"&amp;UPPER(B141)&amp;"' AS TABELA, '"&amp;UPPER(C141)&amp;"' AS TIPOLOGIA_TESTE,'"&amp;D141&amp;"' AS TABELA_LT,'"&amp;E141&amp;"' AS TABELA_SIMUL,'"&amp;F141&amp;"' AS CAMPO, "&amp;"'${ref_date}' AS REF_DATE, COUNT(*) AS NUM_REG, SUM(IF(COALESCE(CAST(X."&amp;F141&amp;" AS STRING),'')&lt;&gt;COALESCE(CAST(Y."&amp;F141&amp;"_SIMUL AS STRING),''),1,0)) AS NUM_REG_DIF,'"&amp;MAX('ID1&amp;5'!L:L)+1&amp;"' AS ID_EXEC, CURRENT_TIMESTAMP() AS TIME_EXEC FROM "&amp;I141&amp;" INNER JOIN "&amp;J141&amp;" "&amp;K141),
IF(C141="Validade",+IF(G141="Code List","SELECT '"&amp;UPPER(B141)&amp;"' AS TABELA, '"&amp;UPPER(C141)&amp;"' AS TIPOLOGIA_TESTE,'"&amp;D141&amp;"' AS TABELA_LT,'N/A' AS TABELA_SIMUL,'"&amp;F141&amp;"' AS CAMPO, "&amp;"'${ref_date}' AS REF_DATE, COUNT(*) AS NUM_REG, SUM(IF(TRIM(CAST(X."&amp;F141&amp;" AS STRING))='' OR TRIM(CAST(X."&amp;F141&amp;" AS STRING)) IS NULL OR CAST(X."&amp;F141&amp;" AS STRING) NOT "&amp;H141&amp;",1,0)) AS NUM_REG_DIF,'"&amp;MAX('ID1&amp;5'!K:K)+1&amp;"' AS ID_EXEC, CURRENT_TIMESTAMP() AS TIME_EXEC FROM "&amp;I141,"SELECT '"&amp;UPPER(B141)&amp;"' AS TABELA, '"&amp;UPPER(C141)&amp;"' AS TIPOLOGIA_TESTE,'"&amp;D141&amp;"' AS TABELA_LT,'N/A' AS TABELA_SIMUL,'"&amp;F141&amp;"' AS CAMPO, "&amp;"'${ref_date}' AS REF_DATE, COUNT(*) AS NUM_REG, SUM(IF(TRIM(CAST(X."&amp;F141&amp;" AS STRING))='' OR TRIM(CAST(X."&amp;F141&amp;" AS STRING)) IS NULL,1,0)) AS NUM_REG_DIF,'"&amp;MAX('ID1&amp;5'!K:K)+1&amp;"' AS ID_EXEC, CURRENT_TIMESTAMP() AS TIME_EXEC FROM "&amp;I141),
IF(C141="Caracteres Especiais",+"SELECT '"&amp;UPPER(B141)&amp;"' AS TABELA, '"&amp;UPPER(C141)&amp;"' AS TIPOLOGIA_TESTE,'"&amp;D141&amp;"' AS TABELA_LT,'N/A' AS TABELA_SIMUL,'"&amp;F141&amp;"' AS CAMPO, "&amp;"'${ref_date}' AS REF_DATE, COUNT(*) AS NUM_REG, SUM(IF(INSTR(CAST(X."&amp;F141&amp;" AS STRING),'#')&gt;0 OR INSTR(CAST(X."&amp;F141&amp;" AS STRING),'*')&gt;0 OR INSTR(CAST(X."&amp;F141&amp;" AS STRING),'`')&gt;0 OR INSTR(CAST(X."&amp;F141&amp;" AS STRING),'´')&gt;0 OR INSTR(CAST(X."&amp;F141&amp;" AS STRING),'{')&gt;0 OR INSTR(CAST(X."&amp;F141&amp;" AS STRING),'}')&gt;0 OR INSTR(CAST(X."&amp;F141&amp;" AS STRING),'[')&gt;0 OR INSTR(CAST(X."&amp;F141&amp;" AS STRING),'')&gt;0 OR INSTR(CAST(X."&amp;F141&amp;" AS STRING),']')&gt;0 OR INSTR(CAST(X."&amp;F141&amp;" AS STRING),'?')&gt;0 OR INSTR(CAST(X."&amp;F141&amp;" AS STRING),'!')&gt;0 OR INSTR(CAST(X."&amp;F141&amp;" AS STRING),'$')&gt;0 OR INSTR(CAST(X."&amp;F141&amp;" AS STRING),'%')&gt;0 OR INSTR(CAST(X."&amp;F141&amp;" AS STRING),'&amp;')&gt;0 OR INSTR(CAST(X."&amp;F141&amp;" AS STRING),'+')&gt;0,1,0)) AS NUM_REG_DIF,'"&amp;MAX('ID1&amp;5'!K:K)+1&amp;"' AS ID_EXEC, CURRENT_TIMESTAMP() AS TIME_EXEC FROM "&amp;I141,
IF(C141="Missings",+"SELECT '"&amp;UPPER(B141)&amp;"' AS TABELA, '"&amp;UPPER(C141)&amp;"' AS TIPOLOGIA_TESTE,'"&amp;D141&amp;"' AS TABELA_LT,'N/A' AS TABELA_SIMUL,'"&amp;F141&amp;"' AS CAMPO, "&amp;"'${ref_date}' AS REF_DATE, COUNT(*) AS NUM_REG, SUM(IF(TRIM(CAST(X."&amp;F141&amp;" AS STRING)) IN ('0000-00-00','0001-01-01','9999-12-31','MISS','00000','99999999999','99999999999.00','99999999999.000000'),1,0)) AS NUM_REG_DIF,'"&amp;MAX('ID1&amp;5'!K:K)+1&amp;"' AS ID_EXEC, CURRENT_TIMESTAMP() AS TIME_EXEC FROM "&amp;I141,
IF(C141="Not applicable",+"SELECT '"&amp;UPPER(B141)&amp;"' AS TABELA, '"&amp;UPPER(C141)&amp;"' AS TIPOLOGIA_TESTE,'"&amp;D141&amp;"' AS TABELA_LT,'N/A' AS TABELA_SIMUL,'"&amp;F141&amp;"' AS CAMPO, "&amp;"'${ref_date}' AS REF_DATE, COUNT(*) AS NUM_REG, SUM(IF(TRIM(CAST(X."&amp;F141&amp;" AS STRING)) IN ('N/A','11111111111','11111111111.00','11111111111.000000','1111-11-11'),1,0)) AS NUM_REG_DIF,'"&amp;MAX('ID1&amp;5'!K:K)+1&amp;"' AS ID_EXEC, CURRENT_TIMESTAMP() AS TIME_EXEC FROM "&amp;I141,
IF(C141="Valores extremos",+"SELECT '"&amp;UPPER(B141)&amp;"' AS TABELA, '"&amp;UPPER(C141)&amp;"' AS TIPOLOGIA_TESTE,'"&amp;D141&amp;"' AS TABELA_LT,'N/A' AS TABELA_SIMUL,'"&amp;F141&amp;"' AS CAMPO, "&amp;"'${ref_date}' AS REF_DATE, CAST(MIN("&amp;F141&amp;") AS STRING) AS VALOR_MIN, CAST(MAX("&amp;F141&amp;") AS STRING) AS VALOR_MAX,'"&amp;MAX('ID1&amp;5'!K:K)+1&amp;"' AS ID_EXEC, CURRENT_TIMESTAMP() AS TIME_EXEC FROM "&amp;MID(I141,1,LEN(I141)-2)&amp;" AND CAST("&amp;F141&amp;"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TABELA_SIMUL,'FLG_NFRD_APPLCBLTY' AS CAMPO, '${ref_date}' AS REF_DATE, COUNT(*) AS NUM_REG, SUM(IF(TRIM(CAST(X.FLG_NFRD_APPLCBLTY AS STRING))='' OR TRIM(CAST(X.FLG_NFRD_APPLCBLTY AS STRING)) IS NULL,1,0)) AS NUM_REG_DIF,'10' AS ID_EXEC, CURRENT_TIMESTAMP() AS TIME_EXEC FROM (SELECT entty_id, FLG_NFRD_APPLCBLTY FROM BU_LOANTAPE_WORK.LT003_ENTITY WHERE ref_date='${ref_date}' AND nome_perimetro='Individual Corporativo' AND segmento='ESTR' AND ambito='PILAR3')X</v>
      </c>
      <c r="M141" s="43" t="str">
        <f t="shared" si="2"/>
        <v>UNION ALL SELECT 'ENTITY' AS TABELA, 'VALIDADE' AS TIPOLOGIA_TESTE,'BU_LOANTAPE_WORK.LT003_ENTITY' AS TABELA_LT,'N/A' AS TABELA_SIMUL,'FLG_NFRD_APPLCBLTY' AS CAMPO, '${ref_date}' AS REF_DATE, COUNT(*) AS NUM_REG, SUM(IF(TRIM(CAST(X.FLG_NFRD_APPLCBLTY AS STRING))='' OR TRIM(CAST(X.FLG_NFRD_APPLCBLTY AS STRING)) IS NULL,1,0)) AS NUM_REG_DIF,'10' AS ID_EXEC, CURRENT_TIMESTAMP() AS TIME_EXEC FROM (SELECT entty_id, FLG_NFRD_APPLCBLTY FROM BU_LOANTAPE_WORK.LT003_ENTITY WHERE ref_date='${ref_date}' AND nome_perimetro='Individual Corporativo' AND segmento='ESTR' AND ambito='PILAR3')X</v>
      </c>
      <c r="N141" s="45" t="s">
        <v>13</v>
      </c>
    </row>
    <row r="142" spans="2:14">
      <c r="B142" s="41" t="s">
        <v>23</v>
      </c>
      <c r="C142" s="41" t="s">
        <v>75</v>
      </c>
      <c r="D142" s="41" t="str">
        <f>+UPPER('0. Instruções'!$D$33&amp;"."&amp;VLOOKUP(B142,'0. Instruções'!$C$27:$D$31,2,FALSE))</f>
        <v>BU_LOANTAPE_WORK.LT003_ENTITY</v>
      </c>
      <c r="E142" s="41" t="str">
        <f>+UPPER('0. Instruções'!$D$34&amp;"."&amp;VLOOKUP(B142,'0. Instruções'!$C$27:$E$31,3,FALSE))</f>
        <v>BU_LOANTAPE_WORK.LT003_ENTTY_P3_NOV24</v>
      </c>
      <c r="F142" s="41" t="s">
        <v>117</v>
      </c>
      <c r="G142" s="41" t="s">
        <v>210</v>
      </c>
      <c r="H142" s="41"/>
      <c r="I142" s="41" t="str">
        <f>"(SELECT "&amp;VLOOKUP(B142,'0. Instruções'!$C$27:$G$31,4,FALSE)&amp;", "&amp;F142&amp;" FROM "&amp;D142&amp;" WHERE "&amp;'0. Instruções'!$D$40&amp;")X"</f>
        <v>(SELECT entty_id, CNTRPRTY_EMSSNS_SCP1 FROM BU_LOANTAPE_WORK.LT003_ENTITY WHERE ref_date='${ref_date}' AND nome_perimetro='Individual Corporativo' AND segmento='ESTR' AND ambito='PILAR3')X</v>
      </c>
      <c r="J142" s="41" t="str">
        <f>"(SELECT "&amp;VLOOKUP(B142,'0. Instruções'!$C$27:$G$31,4,FALSE)&amp;" AS "&amp;VLOOKUP(B142,'0. Instruções'!$C$27:$G$31,4,FALSE)&amp;"_SIMUL, "&amp;F142&amp;" AS "&amp;F142&amp;"_SIMUL FROM "&amp;E142&amp;")Y"</f>
        <v>(SELECT entty_id AS entty_id_SIMUL, CNTRPRTY_EMSSNS_SCP1 AS CNTRPRTY_EMSSNS_SCP1_SIMUL FROM BU_LOANTAPE_WORK.LT003_ENTTY_P3_NOV24)Y</v>
      </c>
      <c r="K142" s="42" t="str">
        <f>+UPPER("ON X."&amp;VLOOKUP(B142,'0. Instruções'!$C$27:$G$31,4,FALSE)&amp;"=Y."&amp;VLOOKUP(B142,'0. Instruções'!$C$27:$G$31,4,FALSE)&amp;"_SIMUL")</f>
        <v>ON X.ENTTY_ID=Y.ENTTY_ID_SIMUL</v>
      </c>
      <c r="L142" s="42" t="str">
        <f>+IF(C142="Coerência", +IF(LEFT(G142,5)="FLOAT","SELECT '"&amp;UPPER(B142)&amp;"' AS TABELA, '"&amp;UPPER(C142)&amp;"' AS TIPOLOGIA_TESTE,'"&amp;D142&amp;"' AS TABELA_LT,'"&amp;E142&amp;"' AS TABELA_SIMUL,'"&amp;F142&amp;"' AS CAMPO, "&amp;"'${ref_date}' AS REF_DATE, COUNT(*) AS NUM_REG, SUM(IF((ABS(COALESCE(X."&amp;F142&amp;",0)-COALESCE(Y."&amp;F142&amp;"_SIMUL,0))&gt;0.0000000001) OR (X."&amp;F142&amp;" IS NULL AND Y."&amp;F142&amp;"_SIMUL IS NOT NULL ) OR (X."&amp;F142&amp;" IS NOT NULL AND Y."&amp;F142&amp;"_SIMUL IS NULL),1,0)) AS NUM_REG_DIF,'"&amp;MAX('ID1&amp;5'!K:K)+1&amp;"' AS ID_EXEC, CURRENT_TIMESTAMP() AS TIME_EXEC FROM "&amp;I142&amp;" INNER JOIN "&amp;J142&amp;" "&amp;K142,"SELECT '"&amp;UPPER(B142)&amp;"' AS TABELA, '"&amp;UPPER(C142)&amp;"' AS TIPOLOGIA_TESTE,'"&amp;D142&amp;"' AS TABELA_LT,'"&amp;E142&amp;"' AS TABELA_SIMUL,'"&amp;F142&amp;"' AS CAMPO, "&amp;"'${ref_date}' AS REF_DATE, COUNT(*) AS NUM_REG, SUM(IF(COALESCE(CAST(X."&amp;F142&amp;" AS STRING),'')&lt;&gt;COALESCE(CAST(Y."&amp;F142&amp;"_SIMUL AS STRING),''),1,0)) AS NUM_REG_DIF,'"&amp;MAX('ID1&amp;5'!L:L)+1&amp;"' AS ID_EXEC, CURRENT_TIMESTAMP() AS TIME_EXEC FROM "&amp;I142&amp;" INNER JOIN "&amp;J142&amp;" "&amp;K142),
IF(C142="Validade",+IF(G142="Code List","SELECT '"&amp;UPPER(B142)&amp;"' AS TABELA, '"&amp;UPPER(C142)&amp;"' AS TIPOLOGIA_TESTE,'"&amp;D142&amp;"' AS TABELA_LT,'N/A' AS TABELA_SIMUL,'"&amp;F142&amp;"' AS CAMPO, "&amp;"'${ref_date}' AS REF_DATE, COUNT(*) AS NUM_REG, SUM(IF(TRIM(CAST(X."&amp;F142&amp;" AS STRING))='' OR TRIM(CAST(X."&amp;F142&amp;" AS STRING)) IS NULL OR CAST(X."&amp;F142&amp;" AS STRING) NOT "&amp;H142&amp;",1,0)) AS NUM_REG_DIF,'"&amp;MAX('ID1&amp;5'!K:K)+1&amp;"' AS ID_EXEC, CURRENT_TIMESTAMP() AS TIME_EXEC FROM "&amp;I142,"SELECT '"&amp;UPPER(B142)&amp;"' AS TABELA, '"&amp;UPPER(C142)&amp;"' AS TIPOLOGIA_TESTE,'"&amp;D142&amp;"' AS TABELA_LT,'N/A' AS TABELA_SIMUL,'"&amp;F142&amp;"' AS CAMPO, "&amp;"'${ref_date}' AS REF_DATE, COUNT(*) AS NUM_REG, SUM(IF(TRIM(CAST(X."&amp;F142&amp;" AS STRING))='' OR TRIM(CAST(X."&amp;F142&amp;" AS STRING)) IS NULL,1,0)) AS NUM_REG_DIF,'"&amp;MAX('ID1&amp;5'!K:K)+1&amp;"' AS ID_EXEC, CURRENT_TIMESTAMP() AS TIME_EXEC FROM "&amp;I142),
IF(C142="Caracteres Especiais",+"SELECT '"&amp;UPPER(B142)&amp;"' AS TABELA, '"&amp;UPPER(C142)&amp;"' AS TIPOLOGIA_TESTE,'"&amp;D142&amp;"' AS TABELA_LT,'N/A' AS TABELA_SIMUL,'"&amp;F142&amp;"' AS CAMPO, "&amp;"'${ref_date}' AS REF_DATE, COUNT(*) AS NUM_REG, SUM(IF(INSTR(CAST(X."&amp;F142&amp;" AS STRING),'#')&gt;0 OR INSTR(CAST(X."&amp;F142&amp;" AS STRING),'*')&gt;0 OR INSTR(CAST(X."&amp;F142&amp;" AS STRING),'`')&gt;0 OR INSTR(CAST(X."&amp;F142&amp;" AS STRING),'´')&gt;0 OR INSTR(CAST(X."&amp;F142&amp;" AS STRING),'{')&gt;0 OR INSTR(CAST(X."&amp;F142&amp;" AS STRING),'}')&gt;0 OR INSTR(CAST(X."&amp;F142&amp;" AS STRING),'[')&gt;0 OR INSTR(CAST(X."&amp;F142&amp;" AS STRING),'')&gt;0 OR INSTR(CAST(X."&amp;F142&amp;" AS STRING),']')&gt;0 OR INSTR(CAST(X."&amp;F142&amp;" AS STRING),'?')&gt;0 OR INSTR(CAST(X."&amp;F142&amp;" AS STRING),'!')&gt;0 OR INSTR(CAST(X."&amp;F142&amp;" AS STRING),'$')&gt;0 OR INSTR(CAST(X."&amp;F142&amp;" AS STRING),'%')&gt;0 OR INSTR(CAST(X."&amp;F142&amp;" AS STRING),'&amp;')&gt;0 OR INSTR(CAST(X."&amp;F142&amp;" AS STRING),'+')&gt;0,1,0)) AS NUM_REG_DIF,'"&amp;MAX('ID1&amp;5'!K:K)+1&amp;"' AS ID_EXEC, CURRENT_TIMESTAMP() AS TIME_EXEC FROM "&amp;I142,
IF(C142="Missings",+"SELECT '"&amp;UPPER(B142)&amp;"' AS TABELA, '"&amp;UPPER(C142)&amp;"' AS TIPOLOGIA_TESTE,'"&amp;D142&amp;"' AS TABELA_LT,'N/A' AS TABELA_SIMUL,'"&amp;F142&amp;"' AS CAMPO, "&amp;"'${ref_date}' AS REF_DATE, COUNT(*) AS NUM_REG, SUM(IF(TRIM(CAST(X."&amp;F142&amp;" AS STRING)) IN ('0000-00-00','0001-01-01','9999-12-31','MISS','00000','99999999999','99999999999.00','99999999999.000000'),1,0)) AS NUM_REG_DIF,'"&amp;MAX('ID1&amp;5'!K:K)+1&amp;"' AS ID_EXEC, CURRENT_TIMESTAMP() AS TIME_EXEC FROM "&amp;I142,
IF(C142="Not applicable",+"SELECT '"&amp;UPPER(B142)&amp;"' AS TABELA, '"&amp;UPPER(C142)&amp;"' AS TIPOLOGIA_TESTE,'"&amp;D142&amp;"' AS TABELA_LT,'N/A' AS TABELA_SIMUL,'"&amp;F142&amp;"' AS CAMPO, "&amp;"'${ref_date}' AS REF_DATE, COUNT(*) AS NUM_REG, SUM(IF(TRIM(CAST(X."&amp;F142&amp;" AS STRING)) IN ('N/A','11111111111','11111111111.00','11111111111.000000','1111-11-11'),1,0)) AS NUM_REG_DIF,'"&amp;MAX('ID1&amp;5'!K:K)+1&amp;"' AS ID_EXEC, CURRENT_TIMESTAMP() AS TIME_EXEC FROM "&amp;I142,
IF(C142="Valores extremos",+"SELECT '"&amp;UPPER(B142)&amp;"' AS TABELA, '"&amp;UPPER(C142)&amp;"' AS TIPOLOGIA_TESTE,'"&amp;D142&amp;"' AS TABELA_LT,'N/A' AS TABELA_SIMUL,'"&amp;F142&amp;"' AS CAMPO, "&amp;"'${ref_date}' AS REF_DATE, CAST(MIN("&amp;F142&amp;") AS STRING) AS VALOR_MIN, CAST(MAX("&amp;F142&amp;") AS STRING) AS VALOR_MAX,'"&amp;MAX('ID1&amp;5'!K:K)+1&amp;"' AS ID_EXEC, CURRENT_TIMESTAMP() AS TIME_EXEC FROM "&amp;MID(I142,1,LEN(I142)-2)&amp;" AND CAST("&amp;F142&amp;"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TABELA_SIMUL,'CNTRPRTY_EMSSNS_SCP1' AS CAMPO, '${ref_date}' AS REF_DATE, COUNT(*) AS NUM_REG, SUM(IF(TRIM(CAST(X.CNTRPRTY_EMSSNS_SCP1 AS STRING))='' OR TRIM(CAST(X.CNTRPRTY_EMSSNS_SCP1 AS STRING)) IS NULL,1,0)) AS NUM_REG_DIF,'10' AS ID_EXEC, CURRENT_TIMESTAMP() AS TIME_EXEC FROM (SELECT entty_id, CNTRPRTY_EMSSNS_SCP1 FROM BU_LOANTAPE_WORK.LT003_ENTITY WHERE ref_date='${ref_date}' AND nome_perimetro='Individual Corporativo' AND segmento='ESTR' AND ambito='PILAR3')X</v>
      </c>
      <c r="M142" s="43" t="str">
        <f t="shared" si="2"/>
        <v>UNION ALL SELECT 'ENTITY' AS TABELA, 'VALIDADE' AS TIPOLOGIA_TESTE,'BU_LOANTAPE_WORK.LT003_ENTITY' AS TABELA_LT,'N/A' AS TABELA_SIMUL,'CNTRPRTY_EMSSNS_SCP1' AS CAMPO, '${ref_date}' AS REF_DATE, COUNT(*) AS NUM_REG, SUM(IF(TRIM(CAST(X.CNTRPRTY_EMSSNS_SCP1 AS STRING))='' OR TRIM(CAST(X.CNTRPRTY_EMSSNS_SCP1 AS STRING)) IS NULL,1,0)) AS NUM_REG_DIF,'10' AS ID_EXEC, CURRENT_TIMESTAMP() AS TIME_EXEC FROM (SELECT entty_id, CNTRPRTY_EMSSNS_SCP1 FROM BU_LOANTAPE_WORK.LT003_ENTITY WHERE ref_date='${ref_date}' AND nome_perimetro='Individual Corporativo' AND segmento='ESTR' AND ambito='PILAR3')X</v>
      </c>
      <c r="N142" s="45" t="s">
        <v>13</v>
      </c>
    </row>
    <row r="143" spans="2:14">
      <c r="B143" s="41" t="s">
        <v>23</v>
      </c>
      <c r="C143" s="41" t="s">
        <v>75</v>
      </c>
      <c r="D143" s="41" t="str">
        <f>+UPPER('0. Instruções'!$D$33&amp;"."&amp;VLOOKUP(B143,'0. Instruções'!$C$27:$D$31,2,FALSE))</f>
        <v>BU_LOANTAPE_WORK.LT003_ENTITY</v>
      </c>
      <c r="E143" s="41" t="str">
        <f>+UPPER('0. Instruções'!$D$34&amp;"."&amp;VLOOKUP(B143,'0. Instruções'!$C$27:$E$31,3,FALSE))</f>
        <v>BU_LOANTAPE_WORK.LT003_ENTTY_P3_NOV24</v>
      </c>
      <c r="F143" s="41" t="s">
        <v>118</v>
      </c>
      <c r="G143" s="41" t="s">
        <v>210</v>
      </c>
      <c r="H143" s="41"/>
      <c r="I143" s="41" t="str">
        <f>"(SELECT "&amp;VLOOKUP(B143,'0. Instruções'!$C$27:$G$31,4,FALSE)&amp;", "&amp;F143&amp;" FROM "&amp;D143&amp;" WHERE "&amp;'0. Instruções'!$D$40&amp;")X"</f>
        <v>(SELECT entty_id, CNTRPRTY_EMSSNS_SCP2 FROM BU_LOANTAPE_WORK.LT003_ENTITY WHERE ref_date='${ref_date}' AND nome_perimetro='Individual Corporativo' AND segmento='ESTR' AND ambito='PILAR3')X</v>
      </c>
      <c r="J143" s="41" t="str">
        <f>"(SELECT "&amp;VLOOKUP(B143,'0. Instruções'!$C$27:$G$31,4,FALSE)&amp;" AS "&amp;VLOOKUP(B143,'0. Instruções'!$C$27:$G$31,4,FALSE)&amp;"_SIMUL, "&amp;F143&amp;" AS "&amp;F143&amp;"_SIMUL FROM "&amp;E143&amp;")Y"</f>
        <v>(SELECT entty_id AS entty_id_SIMUL, CNTRPRTY_EMSSNS_SCP2 AS CNTRPRTY_EMSSNS_SCP2_SIMUL FROM BU_LOANTAPE_WORK.LT003_ENTTY_P3_NOV24)Y</v>
      </c>
      <c r="K143" s="42" t="str">
        <f>+UPPER("ON X."&amp;VLOOKUP(B143,'0. Instruções'!$C$27:$G$31,4,FALSE)&amp;"=Y."&amp;VLOOKUP(B143,'0. Instruções'!$C$27:$G$31,4,FALSE)&amp;"_SIMUL")</f>
        <v>ON X.ENTTY_ID=Y.ENTTY_ID_SIMUL</v>
      </c>
      <c r="L143" s="42" t="str">
        <f>+IF(C143="Coerência", +IF(LEFT(G143,5)="FLOAT","SELECT '"&amp;UPPER(B143)&amp;"' AS TABELA, '"&amp;UPPER(C143)&amp;"' AS TIPOLOGIA_TESTE,'"&amp;D143&amp;"' AS TABELA_LT,'"&amp;E143&amp;"' AS TABELA_SIMUL,'"&amp;F143&amp;"' AS CAMPO, "&amp;"'${ref_date}' AS REF_DATE, COUNT(*) AS NUM_REG, SUM(IF((ABS(COALESCE(X."&amp;F143&amp;",0)-COALESCE(Y."&amp;F143&amp;"_SIMUL,0))&gt;0.0000000001) OR (X."&amp;F143&amp;" IS NULL AND Y."&amp;F143&amp;"_SIMUL IS NOT NULL ) OR (X."&amp;F143&amp;" IS NOT NULL AND Y."&amp;F143&amp;"_SIMUL IS NULL),1,0)) AS NUM_REG_DIF,'"&amp;MAX('ID1&amp;5'!K:K)+1&amp;"' AS ID_EXEC, CURRENT_TIMESTAMP() AS TIME_EXEC FROM "&amp;I143&amp;" INNER JOIN "&amp;J143&amp;" "&amp;K143,"SELECT '"&amp;UPPER(B143)&amp;"' AS TABELA, '"&amp;UPPER(C143)&amp;"' AS TIPOLOGIA_TESTE,'"&amp;D143&amp;"' AS TABELA_LT,'"&amp;E143&amp;"' AS TABELA_SIMUL,'"&amp;F143&amp;"' AS CAMPO, "&amp;"'${ref_date}' AS REF_DATE, COUNT(*) AS NUM_REG, SUM(IF(COALESCE(CAST(X."&amp;F143&amp;" AS STRING),'')&lt;&gt;COALESCE(CAST(Y."&amp;F143&amp;"_SIMUL AS STRING),''),1,0)) AS NUM_REG_DIF,'"&amp;MAX('ID1&amp;5'!L:L)+1&amp;"' AS ID_EXEC, CURRENT_TIMESTAMP() AS TIME_EXEC FROM "&amp;I143&amp;" INNER JOIN "&amp;J143&amp;" "&amp;K143),
IF(C143="Validade",+IF(G143="Code List","SELECT '"&amp;UPPER(B143)&amp;"' AS TABELA, '"&amp;UPPER(C143)&amp;"' AS TIPOLOGIA_TESTE,'"&amp;D143&amp;"' AS TABELA_LT,'N/A' AS TABELA_SIMUL,'"&amp;F143&amp;"' AS CAMPO, "&amp;"'${ref_date}' AS REF_DATE, COUNT(*) AS NUM_REG, SUM(IF(TRIM(CAST(X."&amp;F143&amp;" AS STRING))='' OR TRIM(CAST(X."&amp;F143&amp;" AS STRING)) IS NULL OR CAST(X."&amp;F143&amp;" AS STRING) NOT "&amp;H143&amp;",1,0)) AS NUM_REG_DIF,'"&amp;MAX('ID1&amp;5'!K:K)+1&amp;"' AS ID_EXEC, CURRENT_TIMESTAMP() AS TIME_EXEC FROM "&amp;I143,"SELECT '"&amp;UPPER(B143)&amp;"' AS TABELA, '"&amp;UPPER(C143)&amp;"' AS TIPOLOGIA_TESTE,'"&amp;D143&amp;"' AS TABELA_LT,'N/A' AS TABELA_SIMUL,'"&amp;F143&amp;"' AS CAMPO, "&amp;"'${ref_date}' AS REF_DATE, COUNT(*) AS NUM_REG, SUM(IF(TRIM(CAST(X."&amp;F143&amp;" AS STRING))='' OR TRIM(CAST(X."&amp;F143&amp;" AS STRING)) IS NULL,1,0)) AS NUM_REG_DIF,'"&amp;MAX('ID1&amp;5'!K:K)+1&amp;"' AS ID_EXEC, CURRENT_TIMESTAMP() AS TIME_EXEC FROM "&amp;I143),
IF(C143="Caracteres Especiais",+"SELECT '"&amp;UPPER(B143)&amp;"' AS TABELA, '"&amp;UPPER(C143)&amp;"' AS TIPOLOGIA_TESTE,'"&amp;D143&amp;"' AS TABELA_LT,'N/A' AS TABELA_SIMUL,'"&amp;F143&amp;"' AS CAMPO, "&amp;"'${ref_date}' AS REF_DATE, COUNT(*) AS NUM_REG, SUM(IF(INSTR(CAST(X."&amp;F143&amp;" AS STRING),'#')&gt;0 OR INSTR(CAST(X."&amp;F143&amp;" AS STRING),'*')&gt;0 OR INSTR(CAST(X."&amp;F143&amp;" AS STRING),'`')&gt;0 OR INSTR(CAST(X."&amp;F143&amp;" AS STRING),'´')&gt;0 OR INSTR(CAST(X."&amp;F143&amp;" AS STRING),'{')&gt;0 OR INSTR(CAST(X."&amp;F143&amp;" AS STRING),'}')&gt;0 OR INSTR(CAST(X."&amp;F143&amp;" AS STRING),'[')&gt;0 OR INSTR(CAST(X."&amp;F143&amp;" AS STRING),'')&gt;0 OR INSTR(CAST(X."&amp;F143&amp;" AS STRING),']')&gt;0 OR INSTR(CAST(X."&amp;F143&amp;" AS STRING),'?')&gt;0 OR INSTR(CAST(X."&amp;F143&amp;" AS STRING),'!')&gt;0 OR INSTR(CAST(X."&amp;F143&amp;" AS STRING),'$')&gt;0 OR INSTR(CAST(X."&amp;F143&amp;" AS STRING),'%')&gt;0 OR INSTR(CAST(X."&amp;F143&amp;" AS STRING),'&amp;')&gt;0 OR INSTR(CAST(X."&amp;F143&amp;" AS STRING),'+')&gt;0,1,0)) AS NUM_REG_DIF,'"&amp;MAX('ID1&amp;5'!K:K)+1&amp;"' AS ID_EXEC, CURRENT_TIMESTAMP() AS TIME_EXEC FROM "&amp;I143,
IF(C143="Missings",+"SELECT '"&amp;UPPER(B143)&amp;"' AS TABELA, '"&amp;UPPER(C143)&amp;"' AS TIPOLOGIA_TESTE,'"&amp;D143&amp;"' AS TABELA_LT,'N/A' AS TABELA_SIMUL,'"&amp;F143&amp;"' AS CAMPO, "&amp;"'${ref_date}' AS REF_DATE, COUNT(*) AS NUM_REG, SUM(IF(TRIM(CAST(X."&amp;F143&amp;" AS STRING)) IN ('0000-00-00','0001-01-01','9999-12-31','MISS','00000','99999999999','99999999999.00','99999999999.000000'),1,0)) AS NUM_REG_DIF,'"&amp;MAX('ID1&amp;5'!K:K)+1&amp;"' AS ID_EXEC, CURRENT_TIMESTAMP() AS TIME_EXEC FROM "&amp;I143,
IF(C143="Not applicable",+"SELECT '"&amp;UPPER(B143)&amp;"' AS TABELA, '"&amp;UPPER(C143)&amp;"' AS TIPOLOGIA_TESTE,'"&amp;D143&amp;"' AS TABELA_LT,'N/A' AS TABELA_SIMUL,'"&amp;F143&amp;"' AS CAMPO, "&amp;"'${ref_date}' AS REF_DATE, COUNT(*) AS NUM_REG, SUM(IF(TRIM(CAST(X."&amp;F143&amp;" AS STRING)) IN ('N/A','11111111111','11111111111.00','11111111111.000000','1111-11-11'),1,0)) AS NUM_REG_DIF,'"&amp;MAX('ID1&amp;5'!K:K)+1&amp;"' AS ID_EXEC, CURRENT_TIMESTAMP() AS TIME_EXEC FROM "&amp;I143,
IF(C143="Valores extremos",+"SELECT '"&amp;UPPER(B143)&amp;"' AS TABELA, '"&amp;UPPER(C143)&amp;"' AS TIPOLOGIA_TESTE,'"&amp;D143&amp;"' AS TABELA_LT,'N/A' AS TABELA_SIMUL,'"&amp;F143&amp;"' AS CAMPO, "&amp;"'${ref_date}' AS REF_DATE, CAST(MIN("&amp;F143&amp;") AS STRING) AS VALOR_MIN, CAST(MAX("&amp;F143&amp;") AS STRING) AS VALOR_MAX,'"&amp;MAX('ID1&amp;5'!K:K)+1&amp;"' AS ID_EXEC, CURRENT_TIMESTAMP() AS TIME_EXEC FROM "&amp;MID(I143,1,LEN(I143)-2)&amp;" AND CAST("&amp;F143&amp;"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TABELA_SIMUL,'CNTRPRTY_EMSSNS_SCP2' AS CAMPO, '${ref_date}' AS REF_DATE, COUNT(*) AS NUM_REG, SUM(IF(TRIM(CAST(X.CNTRPRTY_EMSSNS_SCP2 AS STRING))='' OR TRIM(CAST(X.CNTRPRTY_EMSSNS_SCP2 AS STRING)) IS NULL,1,0)) AS NUM_REG_DIF,'10' AS ID_EXEC, CURRENT_TIMESTAMP() AS TIME_EXEC FROM (SELECT entty_id, CNTRPRTY_EMSSNS_SCP2 FROM BU_LOANTAPE_WORK.LT003_ENTITY WHERE ref_date='${ref_date}' AND nome_perimetro='Individual Corporativo' AND segmento='ESTR' AND ambito='PILAR3')X</v>
      </c>
      <c r="M143" s="43" t="str">
        <f t="shared" si="2"/>
        <v>UNION ALL SELECT 'ENTITY' AS TABELA, 'VALIDADE' AS TIPOLOGIA_TESTE,'BU_LOANTAPE_WORK.LT003_ENTITY' AS TABELA_LT,'N/A' AS TABELA_SIMUL,'CNTRPRTY_EMSSNS_SCP2' AS CAMPO, '${ref_date}' AS REF_DATE, COUNT(*) AS NUM_REG, SUM(IF(TRIM(CAST(X.CNTRPRTY_EMSSNS_SCP2 AS STRING))='' OR TRIM(CAST(X.CNTRPRTY_EMSSNS_SCP2 AS STRING)) IS NULL,1,0)) AS NUM_REG_DIF,'10' AS ID_EXEC, CURRENT_TIMESTAMP() AS TIME_EXEC FROM (SELECT entty_id, CNTRPRTY_EMSSNS_SCP2 FROM BU_LOANTAPE_WORK.LT003_ENTITY WHERE ref_date='${ref_date}' AND nome_perimetro='Individual Corporativo' AND segmento='ESTR' AND ambito='PILAR3')X</v>
      </c>
      <c r="N143" s="45" t="s">
        <v>13</v>
      </c>
    </row>
    <row r="144" spans="2:14">
      <c r="B144" s="41" t="s">
        <v>23</v>
      </c>
      <c r="C144" s="41" t="s">
        <v>75</v>
      </c>
      <c r="D144" s="41" t="str">
        <f>+UPPER('0. Instruções'!$D$33&amp;"."&amp;VLOOKUP(B144,'0. Instruções'!$C$27:$D$31,2,FALSE))</f>
        <v>BU_LOANTAPE_WORK.LT003_ENTITY</v>
      </c>
      <c r="E144" s="41" t="str">
        <f>+UPPER('0. Instruções'!$D$34&amp;"."&amp;VLOOKUP(B144,'0. Instruções'!$C$27:$E$31,3,FALSE))</f>
        <v>BU_LOANTAPE_WORK.LT003_ENTTY_P3_NOV24</v>
      </c>
      <c r="F144" s="41" t="s">
        <v>119</v>
      </c>
      <c r="G144" s="41" t="s">
        <v>210</v>
      </c>
      <c r="H144" s="41"/>
      <c r="I144" s="41" t="str">
        <f>"(SELECT "&amp;VLOOKUP(B144,'0. Instruções'!$C$27:$G$31,4,FALSE)&amp;", "&amp;F144&amp;" FROM "&amp;D144&amp;" WHERE "&amp;'0. Instruções'!$D$40&amp;")X"</f>
        <v>(SELECT entty_id, CNTRPRTY_EMSSNS_SCP3 FROM BU_LOANTAPE_WORK.LT003_ENTITY WHERE ref_date='${ref_date}' AND nome_perimetro='Individual Corporativo' AND segmento='ESTR' AND ambito='PILAR3')X</v>
      </c>
      <c r="J144" s="41" t="str">
        <f>"(SELECT "&amp;VLOOKUP(B144,'0. Instruções'!$C$27:$G$31,4,FALSE)&amp;" AS "&amp;VLOOKUP(B144,'0. Instruções'!$C$27:$G$31,4,FALSE)&amp;"_SIMUL, "&amp;F144&amp;" AS "&amp;F144&amp;"_SIMUL FROM "&amp;E144&amp;")Y"</f>
        <v>(SELECT entty_id AS entty_id_SIMUL, CNTRPRTY_EMSSNS_SCP3 AS CNTRPRTY_EMSSNS_SCP3_SIMUL FROM BU_LOANTAPE_WORK.LT003_ENTTY_P3_NOV24)Y</v>
      </c>
      <c r="K144" s="42" t="str">
        <f>+UPPER("ON X."&amp;VLOOKUP(B144,'0. Instruções'!$C$27:$G$31,4,FALSE)&amp;"=Y."&amp;VLOOKUP(B144,'0. Instruções'!$C$27:$G$31,4,FALSE)&amp;"_SIMUL")</f>
        <v>ON X.ENTTY_ID=Y.ENTTY_ID_SIMUL</v>
      </c>
      <c r="L144" s="42" t="str">
        <f>+IF(C144="Coerência", +IF(LEFT(G144,5)="FLOAT","SELECT '"&amp;UPPER(B144)&amp;"' AS TABELA, '"&amp;UPPER(C144)&amp;"' AS TIPOLOGIA_TESTE,'"&amp;D144&amp;"' AS TABELA_LT,'"&amp;E144&amp;"' AS TABELA_SIMUL,'"&amp;F144&amp;"' AS CAMPO, "&amp;"'${ref_date}' AS REF_DATE, COUNT(*) AS NUM_REG, SUM(IF((ABS(COALESCE(X."&amp;F144&amp;",0)-COALESCE(Y."&amp;F144&amp;"_SIMUL,0))&gt;0.0000000001) OR (X."&amp;F144&amp;" IS NULL AND Y."&amp;F144&amp;"_SIMUL IS NOT NULL ) OR (X."&amp;F144&amp;" IS NOT NULL AND Y."&amp;F144&amp;"_SIMUL IS NULL),1,0)) AS NUM_REG_DIF,'"&amp;MAX('ID1&amp;5'!K:K)+1&amp;"' AS ID_EXEC, CURRENT_TIMESTAMP() AS TIME_EXEC FROM "&amp;I144&amp;" INNER JOIN "&amp;J144&amp;" "&amp;K144,"SELECT '"&amp;UPPER(B144)&amp;"' AS TABELA, '"&amp;UPPER(C144)&amp;"' AS TIPOLOGIA_TESTE,'"&amp;D144&amp;"' AS TABELA_LT,'"&amp;E144&amp;"' AS TABELA_SIMUL,'"&amp;F144&amp;"' AS CAMPO, "&amp;"'${ref_date}' AS REF_DATE, COUNT(*) AS NUM_REG, SUM(IF(COALESCE(CAST(X."&amp;F144&amp;" AS STRING),'')&lt;&gt;COALESCE(CAST(Y."&amp;F144&amp;"_SIMUL AS STRING),''),1,0)) AS NUM_REG_DIF,'"&amp;MAX('ID1&amp;5'!L:L)+1&amp;"' AS ID_EXEC, CURRENT_TIMESTAMP() AS TIME_EXEC FROM "&amp;I144&amp;" INNER JOIN "&amp;J144&amp;" "&amp;K144),
IF(C144="Validade",+IF(G144="Code List","SELECT '"&amp;UPPER(B144)&amp;"' AS TABELA, '"&amp;UPPER(C144)&amp;"' AS TIPOLOGIA_TESTE,'"&amp;D144&amp;"' AS TABELA_LT,'N/A' AS TABELA_SIMUL,'"&amp;F144&amp;"' AS CAMPO, "&amp;"'${ref_date}' AS REF_DATE, COUNT(*) AS NUM_REG, SUM(IF(TRIM(CAST(X."&amp;F144&amp;" AS STRING))='' OR TRIM(CAST(X."&amp;F144&amp;" AS STRING)) IS NULL OR CAST(X."&amp;F144&amp;" AS STRING) NOT "&amp;H144&amp;",1,0)) AS NUM_REG_DIF,'"&amp;MAX('ID1&amp;5'!K:K)+1&amp;"' AS ID_EXEC, CURRENT_TIMESTAMP() AS TIME_EXEC FROM "&amp;I144,"SELECT '"&amp;UPPER(B144)&amp;"' AS TABELA, '"&amp;UPPER(C144)&amp;"' AS TIPOLOGIA_TESTE,'"&amp;D144&amp;"' AS TABELA_LT,'N/A' AS TABELA_SIMUL,'"&amp;F144&amp;"' AS CAMPO, "&amp;"'${ref_date}' AS REF_DATE, COUNT(*) AS NUM_REG, SUM(IF(TRIM(CAST(X."&amp;F144&amp;" AS STRING))='' OR TRIM(CAST(X."&amp;F144&amp;" AS STRING)) IS NULL,1,0)) AS NUM_REG_DIF,'"&amp;MAX('ID1&amp;5'!K:K)+1&amp;"' AS ID_EXEC, CURRENT_TIMESTAMP() AS TIME_EXEC FROM "&amp;I144),
IF(C144="Caracteres Especiais",+"SELECT '"&amp;UPPER(B144)&amp;"' AS TABELA, '"&amp;UPPER(C144)&amp;"' AS TIPOLOGIA_TESTE,'"&amp;D144&amp;"' AS TABELA_LT,'N/A' AS TABELA_SIMUL,'"&amp;F144&amp;"' AS CAMPO, "&amp;"'${ref_date}' AS REF_DATE, COUNT(*) AS NUM_REG, SUM(IF(INSTR(CAST(X."&amp;F144&amp;" AS STRING),'#')&gt;0 OR INSTR(CAST(X."&amp;F144&amp;" AS STRING),'*')&gt;0 OR INSTR(CAST(X."&amp;F144&amp;" AS STRING),'`')&gt;0 OR INSTR(CAST(X."&amp;F144&amp;" AS STRING),'´')&gt;0 OR INSTR(CAST(X."&amp;F144&amp;" AS STRING),'{')&gt;0 OR INSTR(CAST(X."&amp;F144&amp;" AS STRING),'}')&gt;0 OR INSTR(CAST(X."&amp;F144&amp;" AS STRING),'[')&gt;0 OR INSTR(CAST(X."&amp;F144&amp;" AS STRING),'')&gt;0 OR INSTR(CAST(X."&amp;F144&amp;" AS STRING),']')&gt;0 OR INSTR(CAST(X."&amp;F144&amp;" AS STRING),'?')&gt;0 OR INSTR(CAST(X."&amp;F144&amp;" AS STRING),'!')&gt;0 OR INSTR(CAST(X."&amp;F144&amp;" AS STRING),'$')&gt;0 OR INSTR(CAST(X."&amp;F144&amp;" AS STRING),'%')&gt;0 OR INSTR(CAST(X."&amp;F144&amp;" AS STRING),'&amp;')&gt;0 OR INSTR(CAST(X."&amp;F144&amp;" AS STRING),'+')&gt;0,1,0)) AS NUM_REG_DIF,'"&amp;MAX('ID1&amp;5'!K:K)+1&amp;"' AS ID_EXEC, CURRENT_TIMESTAMP() AS TIME_EXEC FROM "&amp;I144,
IF(C144="Missings",+"SELECT '"&amp;UPPER(B144)&amp;"' AS TABELA, '"&amp;UPPER(C144)&amp;"' AS TIPOLOGIA_TESTE,'"&amp;D144&amp;"' AS TABELA_LT,'N/A' AS TABELA_SIMUL,'"&amp;F144&amp;"' AS CAMPO, "&amp;"'${ref_date}' AS REF_DATE, COUNT(*) AS NUM_REG, SUM(IF(TRIM(CAST(X."&amp;F144&amp;" AS STRING)) IN ('0000-00-00','0001-01-01','9999-12-31','MISS','00000','99999999999','99999999999.00','99999999999.000000'),1,0)) AS NUM_REG_DIF,'"&amp;MAX('ID1&amp;5'!K:K)+1&amp;"' AS ID_EXEC, CURRENT_TIMESTAMP() AS TIME_EXEC FROM "&amp;I144,
IF(C144="Not applicable",+"SELECT '"&amp;UPPER(B144)&amp;"' AS TABELA, '"&amp;UPPER(C144)&amp;"' AS TIPOLOGIA_TESTE,'"&amp;D144&amp;"' AS TABELA_LT,'N/A' AS TABELA_SIMUL,'"&amp;F144&amp;"' AS CAMPO, "&amp;"'${ref_date}' AS REF_DATE, COUNT(*) AS NUM_REG, SUM(IF(TRIM(CAST(X."&amp;F144&amp;" AS STRING)) IN ('N/A','11111111111','11111111111.00','11111111111.000000','1111-11-11'),1,0)) AS NUM_REG_DIF,'"&amp;MAX('ID1&amp;5'!K:K)+1&amp;"' AS ID_EXEC, CURRENT_TIMESTAMP() AS TIME_EXEC FROM "&amp;I144,
IF(C144="Valores extremos",+"SELECT '"&amp;UPPER(B144)&amp;"' AS TABELA, '"&amp;UPPER(C144)&amp;"' AS TIPOLOGIA_TESTE,'"&amp;D144&amp;"' AS TABELA_LT,'N/A' AS TABELA_SIMUL,'"&amp;F144&amp;"' AS CAMPO, "&amp;"'${ref_date}' AS REF_DATE, CAST(MIN("&amp;F144&amp;") AS STRING) AS VALOR_MIN, CAST(MAX("&amp;F144&amp;") AS STRING) AS VALOR_MAX,'"&amp;MAX('ID1&amp;5'!K:K)+1&amp;"' AS ID_EXEC, CURRENT_TIMESTAMP() AS TIME_EXEC FROM "&amp;MID(I144,1,LEN(I144)-2)&amp;" AND CAST("&amp;F144&amp;"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TABELA_SIMUL,'CNTRPRTY_EMSSNS_SCP3' AS CAMPO, '${ref_date}' AS REF_DATE, COUNT(*) AS NUM_REG, SUM(IF(TRIM(CAST(X.CNTRPRTY_EMSSNS_SCP3 AS STRING))='' OR TRIM(CAST(X.CNTRPRTY_EMSSNS_SCP3 AS STRING)) IS NULL,1,0)) AS NUM_REG_DIF,'10' AS ID_EXEC, CURRENT_TIMESTAMP() AS TIME_EXEC FROM (SELECT entty_id, CNTRPRTY_EMSSNS_SCP3 FROM BU_LOANTAPE_WORK.LT003_ENTITY WHERE ref_date='${ref_date}' AND nome_perimetro='Individual Corporativo' AND segmento='ESTR' AND ambito='PILAR3')X</v>
      </c>
      <c r="M144" s="43" t="str">
        <f t="shared" si="2"/>
        <v>UNION ALL SELECT 'ENTITY' AS TABELA, 'VALIDADE' AS TIPOLOGIA_TESTE,'BU_LOANTAPE_WORK.LT003_ENTITY' AS TABELA_LT,'N/A' AS TABELA_SIMUL,'CNTRPRTY_EMSSNS_SCP3' AS CAMPO, '${ref_date}' AS REF_DATE, COUNT(*) AS NUM_REG, SUM(IF(TRIM(CAST(X.CNTRPRTY_EMSSNS_SCP3 AS STRING))='' OR TRIM(CAST(X.CNTRPRTY_EMSSNS_SCP3 AS STRING)) IS NULL,1,0)) AS NUM_REG_DIF,'10' AS ID_EXEC, CURRENT_TIMESTAMP() AS TIME_EXEC FROM (SELECT entty_id, CNTRPRTY_EMSSNS_SCP3 FROM BU_LOANTAPE_WORK.LT003_ENTITY WHERE ref_date='${ref_date}' AND nome_perimetro='Individual Corporativo' AND segmento='ESTR' AND ambito='PILAR3')X</v>
      </c>
      <c r="N144" s="45" t="s">
        <v>13</v>
      </c>
    </row>
    <row r="145" spans="2:14">
      <c r="B145" s="41" t="s">
        <v>23</v>
      </c>
      <c r="C145" s="41" t="s">
        <v>75</v>
      </c>
      <c r="D145" s="41" t="str">
        <f>+UPPER('0. Instruções'!$D$33&amp;"."&amp;VLOOKUP(B145,'0. Instruções'!$C$27:$D$31,2,FALSE))</f>
        <v>BU_LOANTAPE_WORK.LT003_ENTITY</v>
      </c>
      <c r="E145" s="41" t="str">
        <f>+UPPER('0. Instruções'!$D$34&amp;"."&amp;VLOOKUP(B145,'0. Instruções'!$C$27:$E$31,3,FALSE))</f>
        <v>BU_LOANTAPE_WORK.LT003_ENTTY_P3_NOV24</v>
      </c>
      <c r="F145" s="41" t="s">
        <v>120</v>
      </c>
      <c r="G145" s="41" t="s">
        <v>211</v>
      </c>
      <c r="H145" s="41"/>
      <c r="I145" s="41" t="str">
        <f>"(SELECT "&amp;VLOOKUP(B145,'0. Instruções'!$C$27:$G$31,4,FALSE)&amp;", "&amp;F145&amp;" FROM "&amp;D145&amp;" WHERE "&amp;'0. Instruções'!$D$40&amp;")X"</f>
        <v>(SELECT entty_id, FLG_EXCLDD_EU_PRS_ALGND_BNCHMRK FROM BU_LOANTAPE_WORK.LT003_ENTITY WHERE ref_date='${ref_date}' AND nome_perimetro='Individual Corporativo' AND segmento='ESTR' AND ambito='PILAR3')X</v>
      </c>
      <c r="J145" s="41" t="str">
        <f>"(SELECT "&amp;VLOOKUP(B145,'0. Instruções'!$C$27:$G$31,4,FALSE)&amp;" AS "&amp;VLOOKUP(B145,'0. Instruções'!$C$27:$G$31,4,FALSE)&amp;"_SIMUL, "&amp;F145&amp;" AS "&amp;F145&amp;"_SIMUL FROM "&amp;E145&amp;")Y"</f>
        <v>(SELECT entty_id AS entty_id_SIMUL, FLG_EXCLDD_EU_PRS_ALGND_BNCHMRK AS FLG_EXCLDD_EU_PRS_ALGND_BNCHMRK_SIMUL FROM BU_LOANTAPE_WORK.LT003_ENTTY_P3_NOV24)Y</v>
      </c>
      <c r="K145" s="42" t="str">
        <f>+UPPER("ON X."&amp;VLOOKUP(B145,'0. Instruções'!$C$27:$G$31,4,FALSE)&amp;"=Y."&amp;VLOOKUP(B145,'0. Instruções'!$C$27:$G$31,4,FALSE)&amp;"_SIMUL")</f>
        <v>ON X.ENTTY_ID=Y.ENTTY_ID_SIMUL</v>
      </c>
      <c r="L145" s="42" t="str">
        <f>+IF(C145="Coerência", +IF(LEFT(G145,5)="FLOAT","SELECT '"&amp;UPPER(B145)&amp;"' AS TABELA, '"&amp;UPPER(C145)&amp;"' AS TIPOLOGIA_TESTE,'"&amp;D145&amp;"' AS TABELA_LT,'"&amp;E145&amp;"' AS TABELA_SIMUL,'"&amp;F145&amp;"' AS CAMPO, "&amp;"'${ref_date}' AS REF_DATE, COUNT(*) AS NUM_REG, SUM(IF((ABS(COALESCE(X."&amp;F145&amp;",0)-COALESCE(Y."&amp;F145&amp;"_SIMUL,0))&gt;0.0000000001) OR (X."&amp;F145&amp;" IS NULL AND Y."&amp;F145&amp;"_SIMUL IS NOT NULL ) OR (X."&amp;F145&amp;" IS NOT NULL AND Y."&amp;F145&amp;"_SIMUL IS NULL),1,0)) AS NUM_REG_DIF,'"&amp;MAX('ID1&amp;5'!K:K)+1&amp;"' AS ID_EXEC, CURRENT_TIMESTAMP() AS TIME_EXEC FROM "&amp;I145&amp;" INNER JOIN "&amp;J145&amp;" "&amp;K145,"SELECT '"&amp;UPPER(B145)&amp;"' AS TABELA, '"&amp;UPPER(C145)&amp;"' AS TIPOLOGIA_TESTE,'"&amp;D145&amp;"' AS TABELA_LT,'"&amp;E145&amp;"' AS TABELA_SIMUL,'"&amp;F145&amp;"' AS CAMPO, "&amp;"'${ref_date}' AS REF_DATE, COUNT(*) AS NUM_REG, SUM(IF(COALESCE(CAST(X."&amp;F145&amp;" AS STRING),'')&lt;&gt;COALESCE(CAST(Y."&amp;F145&amp;"_SIMUL AS STRING),''),1,0)) AS NUM_REG_DIF,'"&amp;MAX('ID1&amp;5'!L:L)+1&amp;"' AS ID_EXEC, CURRENT_TIMESTAMP() AS TIME_EXEC FROM "&amp;I145&amp;" INNER JOIN "&amp;J145&amp;" "&amp;K145),
IF(C145="Validade",+IF(G145="Code List","SELECT '"&amp;UPPER(B145)&amp;"' AS TABELA, '"&amp;UPPER(C145)&amp;"' AS TIPOLOGIA_TESTE,'"&amp;D145&amp;"' AS TABELA_LT,'N/A' AS TABELA_SIMUL,'"&amp;F145&amp;"' AS CAMPO, "&amp;"'${ref_date}' AS REF_DATE, COUNT(*) AS NUM_REG, SUM(IF(TRIM(CAST(X."&amp;F145&amp;" AS STRING))='' OR TRIM(CAST(X."&amp;F145&amp;" AS STRING)) IS NULL OR CAST(X."&amp;F145&amp;" AS STRING) NOT "&amp;H145&amp;",1,0)) AS NUM_REG_DIF,'"&amp;MAX('ID1&amp;5'!K:K)+1&amp;"' AS ID_EXEC, CURRENT_TIMESTAMP() AS TIME_EXEC FROM "&amp;I145,"SELECT '"&amp;UPPER(B145)&amp;"' AS TABELA, '"&amp;UPPER(C145)&amp;"' AS TIPOLOGIA_TESTE,'"&amp;D145&amp;"' AS TABELA_LT,'N/A' AS TABELA_SIMUL,'"&amp;F145&amp;"' AS CAMPO, "&amp;"'${ref_date}' AS REF_DATE, COUNT(*) AS NUM_REG, SUM(IF(TRIM(CAST(X."&amp;F145&amp;" AS STRING))='' OR TRIM(CAST(X."&amp;F145&amp;" AS STRING)) IS NULL,1,0)) AS NUM_REG_DIF,'"&amp;MAX('ID1&amp;5'!K:K)+1&amp;"' AS ID_EXEC, CURRENT_TIMESTAMP() AS TIME_EXEC FROM "&amp;I145),
IF(C145="Caracteres Especiais",+"SELECT '"&amp;UPPER(B145)&amp;"' AS TABELA, '"&amp;UPPER(C145)&amp;"' AS TIPOLOGIA_TESTE,'"&amp;D145&amp;"' AS TABELA_LT,'N/A' AS TABELA_SIMUL,'"&amp;F145&amp;"' AS CAMPO, "&amp;"'${ref_date}' AS REF_DATE, COUNT(*) AS NUM_REG, SUM(IF(INSTR(CAST(X."&amp;F145&amp;" AS STRING),'#')&gt;0 OR INSTR(CAST(X."&amp;F145&amp;" AS STRING),'*')&gt;0 OR INSTR(CAST(X."&amp;F145&amp;" AS STRING),'`')&gt;0 OR INSTR(CAST(X."&amp;F145&amp;" AS STRING),'´')&gt;0 OR INSTR(CAST(X."&amp;F145&amp;" AS STRING),'{')&gt;0 OR INSTR(CAST(X."&amp;F145&amp;" AS STRING),'}')&gt;0 OR INSTR(CAST(X."&amp;F145&amp;" AS STRING),'[')&gt;0 OR INSTR(CAST(X."&amp;F145&amp;" AS STRING),'')&gt;0 OR INSTR(CAST(X."&amp;F145&amp;" AS STRING),']')&gt;0 OR INSTR(CAST(X."&amp;F145&amp;" AS STRING),'?')&gt;0 OR INSTR(CAST(X."&amp;F145&amp;" AS STRING),'!')&gt;0 OR INSTR(CAST(X."&amp;F145&amp;" AS STRING),'$')&gt;0 OR INSTR(CAST(X."&amp;F145&amp;" AS STRING),'%')&gt;0 OR INSTR(CAST(X."&amp;F145&amp;" AS STRING),'&amp;')&gt;0 OR INSTR(CAST(X."&amp;F145&amp;" AS STRING),'+')&gt;0,1,0)) AS NUM_REG_DIF,'"&amp;MAX('ID1&amp;5'!K:K)+1&amp;"' AS ID_EXEC, CURRENT_TIMESTAMP() AS TIME_EXEC FROM "&amp;I145,
IF(C145="Missings",+"SELECT '"&amp;UPPER(B145)&amp;"' AS TABELA, '"&amp;UPPER(C145)&amp;"' AS TIPOLOGIA_TESTE,'"&amp;D145&amp;"' AS TABELA_LT,'N/A' AS TABELA_SIMUL,'"&amp;F145&amp;"' AS CAMPO, "&amp;"'${ref_date}' AS REF_DATE, COUNT(*) AS NUM_REG, SUM(IF(TRIM(CAST(X."&amp;F145&amp;" AS STRING)) IN ('0000-00-00','0001-01-01','9999-12-31','MISS','00000','99999999999','99999999999.00','99999999999.000000'),1,0)) AS NUM_REG_DIF,'"&amp;MAX('ID1&amp;5'!K:K)+1&amp;"' AS ID_EXEC, CURRENT_TIMESTAMP() AS TIME_EXEC FROM "&amp;I145,
IF(C145="Not applicable",+"SELECT '"&amp;UPPER(B145)&amp;"' AS TABELA, '"&amp;UPPER(C145)&amp;"' AS TIPOLOGIA_TESTE,'"&amp;D145&amp;"' AS TABELA_LT,'N/A' AS TABELA_SIMUL,'"&amp;F145&amp;"' AS CAMPO, "&amp;"'${ref_date}' AS REF_DATE, COUNT(*) AS NUM_REG, SUM(IF(TRIM(CAST(X."&amp;F145&amp;" AS STRING)) IN ('N/A','11111111111','11111111111.00','11111111111.000000','1111-11-11'),1,0)) AS NUM_REG_DIF,'"&amp;MAX('ID1&amp;5'!K:K)+1&amp;"' AS ID_EXEC, CURRENT_TIMESTAMP() AS TIME_EXEC FROM "&amp;I145,
IF(C145="Valores extremos",+"SELECT '"&amp;UPPER(B145)&amp;"' AS TABELA, '"&amp;UPPER(C145)&amp;"' AS TIPOLOGIA_TESTE,'"&amp;D145&amp;"' AS TABELA_LT,'N/A' AS TABELA_SIMUL,'"&amp;F145&amp;"' AS CAMPO, "&amp;"'${ref_date}' AS REF_DATE, CAST(MIN("&amp;F145&amp;") AS STRING) AS VALOR_MIN, CAST(MAX("&amp;F145&amp;") AS STRING) AS VALOR_MAX,'"&amp;MAX('ID1&amp;5'!K:K)+1&amp;"' AS ID_EXEC, CURRENT_TIMESTAMP() AS TIME_EXEC FROM "&amp;MID(I145,1,LEN(I145)-2)&amp;" AND CAST("&amp;F145&amp;"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TABELA_SIMUL,'FLG_EXCLDD_EU_PRS_ALGND_BNCHMRK' AS CAMPO, '${ref_date}' AS REF_DATE, COUNT(*) AS NUM_REG, SUM(IF(TRIM(CAST(X.FLG_EXCLDD_EU_PRS_ALGND_BNCHMRK AS STRING))='' OR TRIM(CAST(X.FLG_EXCLDD_EU_PRS_ALGND_BNCHMRK AS STRING)) IS NULL,1,0)) AS NUM_REG_DIF,'10' AS ID_EXEC, CURRENT_TIMESTAMP() AS TIME_EXEC FROM (SELECT entty_id, FLG_EXCLDD_EU_PRS_ALGND_BNCHMRK FROM BU_LOANTAPE_WORK.LT003_ENTITY WHERE ref_date='${ref_date}' AND nome_perimetro='Individual Corporativo' AND segmento='ESTR' AND ambito='PILAR3')X</v>
      </c>
      <c r="M145" s="43" t="str">
        <f t="shared" si="2"/>
        <v>UNION ALL SELECT 'ENTITY' AS TABELA, 'VALIDADE' AS TIPOLOGIA_TESTE,'BU_LOANTAPE_WORK.LT003_ENTITY' AS TABELA_LT,'N/A' AS TABELA_SIMUL,'FLG_EXCLDD_EU_PRS_ALGND_BNCHMRK' AS CAMPO, '${ref_date}' AS REF_DATE, COUNT(*) AS NUM_REG, SUM(IF(TRIM(CAST(X.FLG_EXCLDD_EU_PRS_ALGND_BNCHMRK AS STRING))='' OR TRIM(CAST(X.FLG_EXCLDD_EU_PRS_ALGND_BNCHMRK AS STRING)) IS NULL,1,0)) AS NUM_REG_DIF,'10' AS ID_EXEC, CURRENT_TIMESTAMP() AS TIME_EXEC FROM (SELECT entty_id, FLG_EXCLDD_EU_PRS_ALGND_BNCHMRK FROM BU_LOANTAPE_WORK.LT003_ENTITY WHERE ref_date='${ref_date}' AND nome_perimetro='Individual Corporativo' AND segmento='ESTR' AND ambito='PILAR3')X</v>
      </c>
      <c r="N145" s="45" t="s">
        <v>13</v>
      </c>
    </row>
    <row r="146" spans="2:14">
      <c r="B146" s="41" t="s">
        <v>23</v>
      </c>
      <c r="C146" s="41" t="s">
        <v>75</v>
      </c>
      <c r="D146" s="41" t="str">
        <f>+UPPER('0. Instruções'!$D$33&amp;"."&amp;VLOOKUP(B146,'0. Instruções'!$C$27:$D$31,2,FALSE))</f>
        <v>BU_LOANTAPE_WORK.LT003_ENTITY</v>
      </c>
      <c r="E146" s="41" t="str">
        <f>+UPPER('0. Instruções'!$D$34&amp;"."&amp;VLOOKUP(B146,'0. Instruções'!$C$27:$E$31,3,FALSE))</f>
        <v>BU_LOANTAPE_WORK.LT003_ENTTY_P3_NOV24</v>
      </c>
      <c r="F146" s="41" t="s">
        <v>121</v>
      </c>
      <c r="G146" s="41" t="s">
        <v>211</v>
      </c>
      <c r="H146" s="41"/>
      <c r="I146" s="41" t="str">
        <f>"(SELECT "&amp;VLOOKUP(B146,'0. Instruções'!$C$27:$G$31,4,FALSE)&amp;", "&amp;F146&amp;" FROM "&amp;D146&amp;" WHERE "&amp;'0. Instruções'!$D$40&amp;")X"</f>
        <v>(SELECT entty_id, FLG_ACT_PHYSCL_RSK FROM BU_LOANTAPE_WORK.LT003_ENTITY WHERE ref_date='${ref_date}' AND nome_perimetro='Individual Corporativo' AND segmento='ESTR' AND ambito='PILAR3')X</v>
      </c>
      <c r="J146" s="41" t="str">
        <f>"(SELECT "&amp;VLOOKUP(B146,'0. Instruções'!$C$27:$G$31,4,FALSE)&amp;" AS "&amp;VLOOKUP(B146,'0. Instruções'!$C$27:$G$31,4,FALSE)&amp;"_SIMUL, "&amp;F146&amp;" AS "&amp;F146&amp;"_SIMUL FROM "&amp;E146&amp;")Y"</f>
        <v>(SELECT entty_id AS entty_id_SIMUL, FLG_ACT_PHYSCL_RSK AS FLG_ACT_PHYSCL_RSK_SIMUL FROM BU_LOANTAPE_WORK.LT003_ENTTY_P3_NOV24)Y</v>
      </c>
      <c r="K146" s="42" t="str">
        <f>+UPPER("ON X."&amp;VLOOKUP(B146,'0. Instruções'!$C$27:$G$31,4,FALSE)&amp;"=Y."&amp;VLOOKUP(B146,'0. Instruções'!$C$27:$G$31,4,FALSE)&amp;"_SIMUL")</f>
        <v>ON X.ENTTY_ID=Y.ENTTY_ID_SIMUL</v>
      </c>
      <c r="L146" s="42" t="str">
        <f>+IF(C146="Coerência", +IF(LEFT(G146,5)="FLOAT","SELECT '"&amp;UPPER(B146)&amp;"' AS TABELA, '"&amp;UPPER(C146)&amp;"' AS TIPOLOGIA_TESTE,'"&amp;D146&amp;"' AS TABELA_LT,'"&amp;E146&amp;"' AS TABELA_SIMUL,'"&amp;F146&amp;"' AS CAMPO, "&amp;"'${ref_date}' AS REF_DATE, COUNT(*) AS NUM_REG, SUM(IF((ABS(COALESCE(X."&amp;F146&amp;",0)-COALESCE(Y."&amp;F146&amp;"_SIMUL,0))&gt;0.0000000001) OR (X."&amp;F146&amp;" IS NULL AND Y."&amp;F146&amp;"_SIMUL IS NOT NULL ) OR (X."&amp;F146&amp;" IS NOT NULL AND Y."&amp;F146&amp;"_SIMUL IS NULL),1,0)) AS NUM_REG_DIF,'"&amp;MAX('ID1&amp;5'!K:K)+1&amp;"' AS ID_EXEC, CURRENT_TIMESTAMP() AS TIME_EXEC FROM "&amp;I146&amp;" INNER JOIN "&amp;J146&amp;" "&amp;K146,"SELECT '"&amp;UPPER(B146)&amp;"' AS TABELA, '"&amp;UPPER(C146)&amp;"' AS TIPOLOGIA_TESTE,'"&amp;D146&amp;"' AS TABELA_LT,'"&amp;E146&amp;"' AS TABELA_SIMUL,'"&amp;F146&amp;"' AS CAMPO, "&amp;"'${ref_date}' AS REF_DATE, COUNT(*) AS NUM_REG, SUM(IF(COALESCE(CAST(X."&amp;F146&amp;" AS STRING),'')&lt;&gt;COALESCE(CAST(Y."&amp;F146&amp;"_SIMUL AS STRING),''),1,0)) AS NUM_REG_DIF,'"&amp;MAX('ID1&amp;5'!L:L)+1&amp;"' AS ID_EXEC, CURRENT_TIMESTAMP() AS TIME_EXEC FROM "&amp;I146&amp;" INNER JOIN "&amp;J146&amp;" "&amp;K146),
IF(C146="Validade",+IF(G146="Code List","SELECT '"&amp;UPPER(B146)&amp;"' AS TABELA, '"&amp;UPPER(C146)&amp;"' AS TIPOLOGIA_TESTE,'"&amp;D146&amp;"' AS TABELA_LT,'N/A' AS TABELA_SIMUL,'"&amp;F146&amp;"' AS CAMPO, "&amp;"'${ref_date}' AS REF_DATE, COUNT(*) AS NUM_REG, SUM(IF(TRIM(CAST(X."&amp;F146&amp;" AS STRING))='' OR TRIM(CAST(X."&amp;F146&amp;" AS STRING)) IS NULL OR CAST(X."&amp;F146&amp;" AS STRING) NOT "&amp;H146&amp;",1,0)) AS NUM_REG_DIF,'"&amp;MAX('ID1&amp;5'!K:K)+1&amp;"' AS ID_EXEC, CURRENT_TIMESTAMP() AS TIME_EXEC FROM "&amp;I146,"SELECT '"&amp;UPPER(B146)&amp;"' AS TABELA, '"&amp;UPPER(C146)&amp;"' AS TIPOLOGIA_TESTE,'"&amp;D146&amp;"' AS TABELA_LT,'N/A' AS TABELA_SIMUL,'"&amp;F146&amp;"' AS CAMPO, "&amp;"'${ref_date}' AS REF_DATE, COUNT(*) AS NUM_REG, SUM(IF(TRIM(CAST(X."&amp;F146&amp;" AS STRING))='' OR TRIM(CAST(X."&amp;F146&amp;" AS STRING)) IS NULL,1,0)) AS NUM_REG_DIF,'"&amp;MAX('ID1&amp;5'!K:K)+1&amp;"' AS ID_EXEC, CURRENT_TIMESTAMP() AS TIME_EXEC FROM "&amp;I146),
IF(C146="Caracteres Especiais",+"SELECT '"&amp;UPPER(B146)&amp;"' AS TABELA, '"&amp;UPPER(C146)&amp;"' AS TIPOLOGIA_TESTE,'"&amp;D146&amp;"' AS TABELA_LT,'N/A' AS TABELA_SIMUL,'"&amp;F146&amp;"' AS CAMPO, "&amp;"'${ref_date}' AS REF_DATE, COUNT(*) AS NUM_REG, SUM(IF(INSTR(CAST(X."&amp;F146&amp;" AS STRING),'#')&gt;0 OR INSTR(CAST(X."&amp;F146&amp;" AS STRING),'*')&gt;0 OR INSTR(CAST(X."&amp;F146&amp;" AS STRING),'`')&gt;0 OR INSTR(CAST(X."&amp;F146&amp;" AS STRING),'´')&gt;0 OR INSTR(CAST(X."&amp;F146&amp;" AS STRING),'{')&gt;0 OR INSTR(CAST(X."&amp;F146&amp;" AS STRING),'}')&gt;0 OR INSTR(CAST(X."&amp;F146&amp;" AS STRING),'[')&gt;0 OR INSTR(CAST(X."&amp;F146&amp;" AS STRING),'')&gt;0 OR INSTR(CAST(X."&amp;F146&amp;" AS STRING),']')&gt;0 OR INSTR(CAST(X."&amp;F146&amp;" AS STRING),'?')&gt;0 OR INSTR(CAST(X."&amp;F146&amp;" AS STRING),'!')&gt;0 OR INSTR(CAST(X."&amp;F146&amp;" AS STRING),'$')&gt;0 OR INSTR(CAST(X."&amp;F146&amp;" AS STRING),'%')&gt;0 OR INSTR(CAST(X."&amp;F146&amp;" AS STRING),'&amp;')&gt;0 OR INSTR(CAST(X."&amp;F146&amp;" AS STRING),'+')&gt;0,1,0)) AS NUM_REG_DIF,'"&amp;MAX('ID1&amp;5'!K:K)+1&amp;"' AS ID_EXEC, CURRENT_TIMESTAMP() AS TIME_EXEC FROM "&amp;I146,
IF(C146="Missings",+"SELECT '"&amp;UPPER(B146)&amp;"' AS TABELA, '"&amp;UPPER(C146)&amp;"' AS TIPOLOGIA_TESTE,'"&amp;D146&amp;"' AS TABELA_LT,'N/A' AS TABELA_SIMUL,'"&amp;F146&amp;"' AS CAMPO, "&amp;"'${ref_date}' AS REF_DATE, COUNT(*) AS NUM_REG, SUM(IF(TRIM(CAST(X."&amp;F146&amp;" AS STRING)) IN ('0000-00-00','0001-01-01','9999-12-31','MISS','00000','99999999999','99999999999.00','99999999999.000000'),1,0)) AS NUM_REG_DIF,'"&amp;MAX('ID1&amp;5'!K:K)+1&amp;"' AS ID_EXEC, CURRENT_TIMESTAMP() AS TIME_EXEC FROM "&amp;I146,
IF(C146="Not applicable",+"SELECT '"&amp;UPPER(B146)&amp;"' AS TABELA, '"&amp;UPPER(C146)&amp;"' AS TIPOLOGIA_TESTE,'"&amp;D146&amp;"' AS TABELA_LT,'N/A' AS TABELA_SIMUL,'"&amp;F146&amp;"' AS CAMPO, "&amp;"'${ref_date}' AS REF_DATE, COUNT(*) AS NUM_REG, SUM(IF(TRIM(CAST(X."&amp;F146&amp;" AS STRING)) IN ('N/A','11111111111','11111111111.00','11111111111.000000','1111-11-11'),1,0)) AS NUM_REG_DIF,'"&amp;MAX('ID1&amp;5'!K:K)+1&amp;"' AS ID_EXEC, CURRENT_TIMESTAMP() AS TIME_EXEC FROM "&amp;I146,
IF(C146="Valores extremos",+"SELECT '"&amp;UPPER(B146)&amp;"' AS TABELA, '"&amp;UPPER(C146)&amp;"' AS TIPOLOGIA_TESTE,'"&amp;D146&amp;"' AS TABELA_LT,'N/A' AS TABELA_SIMUL,'"&amp;F146&amp;"' AS CAMPO, "&amp;"'${ref_date}' AS REF_DATE, CAST(MIN("&amp;F146&amp;") AS STRING) AS VALOR_MIN, CAST(MAX("&amp;F146&amp;") AS STRING) AS VALOR_MAX,'"&amp;MAX('ID1&amp;5'!K:K)+1&amp;"' AS ID_EXEC, CURRENT_TIMESTAMP() AS TIME_EXEC FROM "&amp;MID(I146,1,LEN(I146)-2)&amp;" AND CAST("&amp;F146&amp;"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TABELA_SIMUL,'FLG_ACT_PHYSCL_RSK' AS CAMPO, '${ref_date}' AS REF_DATE, COUNT(*) AS NUM_REG, SUM(IF(TRIM(CAST(X.FLG_ACT_PHYSCL_RSK AS STRING))='' OR TRIM(CAST(X.FLG_ACT_PHYSCL_RSK AS STRING)) IS NULL,1,0)) AS NUM_REG_DIF,'10' AS ID_EXEC, CURRENT_TIMESTAMP() AS TIME_EXEC FROM (SELECT entty_id, FLG_ACT_PHYSCL_RSK FROM BU_LOANTAPE_WORK.LT003_ENTITY WHERE ref_date='${ref_date}' AND nome_perimetro='Individual Corporativo' AND segmento='ESTR' AND ambito='PILAR3')X</v>
      </c>
      <c r="M146" s="43" t="str">
        <f t="shared" si="2"/>
        <v>UNION ALL SELECT 'ENTITY' AS TABELA, 'VALIDADE' AS TIPOLOGIA_TESTE,'BU_LOANTAPE_WORK.LT003_ENTITY' AS TABELA_LT,'N/A' AS TABELA_SIMUL,'FLG_ACT_PHYSCL_RSK' AS CAMPO, '${ref_date}' AS REF_DATE, COUNT(*) AS NUM_REG, SUM(IF(TRIM(CAST(X.FLG_ACT_PHYSCL_RSK AS STRING))='' OR TRIM(CAST(X.FLG_ACT_PHYSCL_RSK AS STRING)) IS NULL,1,0)) AS NUM_REG_DIF,'10' AS ID_EXEC, CURRENT_TIMESTAMP() AS TIME_EXEC FROM (SELECT entty_id, FLG_ACT_PHYSCL_RSK FROM BU_LOANTAPE_WORK.LT003_ENTITY WHERE ref_date='${ref_date}' AND nome_perimetro='Individual Corporativo' AND segmento='ESTR' AND ambito='PILAR3')X</v>
      </c>
      <c r="N146" s="45" t="s">
        <v>13</v>
      </c>
    </row>
    <row r="147" spans="2:14">
      <c r="B147" s="41" t="s">
        <v>23</v>
      </c>
      <c r="C147" s="41" t="s">
        <v>75</v>
      </c>
      <c r="D147" s="41" t="str">
        <f>+UPPER('0. Instruções'!$D$33&amp;"."&amp;VLOOKUP(B147,'0. Instruções'!$C$27:$D$31,2,FALSE))</f>
        <v>BU_LOANTAPE_WORK.LT003_ENTITY</v>
      </c>
      <c r="E147" s="41" t="str">
        <f>+UPPER('0. Instruções'!$D$34&amp;"."&amp;VLOOKUP(B147,'0. Instruções'!$C$27:$E$31,3,FALSE))</f>
        <v>BU_LOANTAPE_WORK.LT003_ENTTY_P3_NOV24</v>
      </c>
      <c r="F147" s="41" t="s">
        <v>122</v>
      </c>
      <c r="G147" s="41" t="s">
        <v>211</v>
      </c>
      <c r="H147" s="41"/>
      <c r="I147" s="41" t="str">
        <f>"(SELECT "&amp;VLOOKUP(B147,'0. Instruções'!$C$27:$G$31,4,FALSE)&amp;", "&amp;F147&amp;" FROM "&amp;D147&amp;" WHERE "&amp;'0. Instruções'!$D$40&amp;")X"</f>
        <v>(SELECT entty_id, FLG_CHRNC_PHYSCL_RSK FROM BU_LOANTAPE_WORK.LT003_ENTITY WHERE ref_date='${ref_date}' AND nome_perimetro='Individual Corporativo' AND segmento='ESTR' AND ambito='PILAR3')X</v>
      </c>
      <c r="J147" s="41" t="str">
        <f>"(SELECT "&amp;VLOOKUP(B147,'0. Instruções'!$C$27:$G$31,4,FALSE)&amp;" AS "&amp;VLOOKUP(B147,'0. Instruções'!$C$27:$G$31,4,FALSE)&amp;"_SIMUL, "&amp;F147&amp;" AS "&amp;F147&amp;"_SIMUL FROM "&amp;E147&amp;")Y"</f>
        <v>(SELECT entty_id AS entty_id_SIMUL, FLG_CHRNC_PHYSCL_RSK AS FLG_CHRNC_PHYSCL_RSK_SIMUL FROM BU_LOANTAPE_WORK.LT003_ENTTY_P3_NOV24)Y</v>
      </c>
      <c r="K147" s="42" t="str">
        <f>+UPPER("ON X."&amp;VLOOKUP(B147,'0. Instruções'!$C$27:$G$31,4,FALSE)&amp;"=Y."&amp;VLOOKUP(B147,'0. Instruções'!$C$27:$G$31,4,FALSE)&amp;"_SIMUL")</f>
        <v>ON X.ENTTY_ID=Y.ENTTY_ID_SIMUL</v>
      </c>
      <c r="L147" s="42" t="str">
        <f>+IF(C147="Coerência", +IF(LEFT(G147,5)="FLOAT","SELECT '"&amp;UPPER(B147)&amp;"' AS TABELA, '"&amp;UPPER(C147)&amp;"' AS TIPOLOGIA_TESTE,'"&amp;D147&amp;"' AS TABELA_LT,'"&amp;E147&amp;"' AS TABELA_SIMUL,'"&amp;F147&amp;"' AS CAMPO, "&amp;"'${ref_date}' AS REF_DATE, COUNT(*) AS NUM_REG, SUM(IF((ABS(COALESCE(X."&amp;F147&amp;",0)-COALESCE(Y."&amp;F147&amp;"_SIMUL,0))&gt;0.0000000001) OR (X."&amp;F147&amp;" IS NULL AND Y."&amp;F147&amp;"_SIMUL IS NOT NULL ) OR (X."&amp;F147&amp;" IS NOT NULL AND Y."&amp;F147&amp;"_SIMUL IS NULL),1,0)) AS NUM_REG_DIF,'"&amp;MAX('ID1&amp;5'!K:K)+1&amp;"' AS ID_EXEC, CURRENT_TIMESTAMP() AS TIME_EXEC FROM "&amp;I147&amp;" INNER JOIN "&amp;J147&amp;" "&amp;K147,"SELECT '"&amp;UPPER(B147)&amp;"' AS TABELA, '"&amp;UPPER(C147)&amp;"' AS TIPOLOGIA_TESTE,'"&amp;D147&amp;"' AS TABELA_LT,'"&amp;E147&amp;"' AS TABELA_SIMUL,'"&amp;F147&amp;"' AS CAMPO, "&amp;"'${ref_date}' AS REF_DATE, COUNT(*) AS NUM_REG, SUM(IF(COALESCE(CAST(X."&amp;F147&amp;" AS STRING),'')&lt;&gt;COALESCE(CAST(Y."&amp;F147&amp;"_SIMUL AS STRING),''),1,0)) AS NUM_REG_DIF,'"&amp;MAX('ID1&amp;5'!L:L)+1&amp;"' AS ID_EXEC, CURRENT_TIMESTAMP() AS TIME_EXEC FROM "&amp;I147&amp;" INNER JOIN "&amp;J147&amp;" "&amp;K147),
IF(C147="Validade",+IF(G147="Code List","SELECT '"&amp;UPPER(B147)&amp;"' AS TABELA, '"&amp;UPPER(C147)&amp;"' AS TIPOLOGIA_TESTE,'"&amp;D147&amp;"' AS TABELA_LT,'N/A' AS TABELA_SIMUL,'"&amp;F147&amp;"' AS CAMPO, "&amp;"'${ref_date}' AS REF_DATE, COUNT(*) AS NUM_REG, SUM(IF(TRIM(CAST(X."&amp;F147&amp;" AS STRING))='' OR TRIM(CAST(X."&amp;F147&amp;" AS STRING)) IS NULL OR CAST(X."&amp;F147&amp;" AS STRING) NOT "&amp;H147&amp;",1,0)) AS NUM_REG_DIF,'"&amp;MAX('ID1&amp;5'!K:K)+1&amp;"' AS ID_EXEC, CURRENT_TIMESTAMP() AS TIME_EXEC FROM "&amp;I147,"SELECT '"&amp;UPPER(B147)&amp;"' AS TABELA, '"&amp;UPPER(C147)&amp;"' AS TIPOLOGIA_TESTE,'"&amp;D147&amp;"' AS TABELA_LT,'N/A' AS TABELA_SIMUL,'"&amp;F147&amp;"' AS CAMPO, "&amp;"'${ref_date}' AS REF_DATE, COUNT(*) AS NUM_REG, SUM(IF(TRIM(CAST(X."&amp;F147&amp;" AS STRING))='' OR TRIM(CAST(X."&amp;F147&amp;" AS STRING)) IS NULL,1,0)) AS NUM_REG_DIF,'"&amp;MAX('ID1&amp;5'!K:K)+1&amp;"' AS ID_EXEC, CURRENT_TIMESTAMP() AS TIME_EXEC FROM "&amp;I147),
IF(C147="Caracteres Especiais",+"SELECT '"&amp;UPPER(B147)&amp;"' AS TABELA, '"&amp;UPPER(C147)&amp;"' AS TIPOLOGIA_TESTE,'"&amp;D147&amp;"' AS TABELA_LT,'N/A' AS TABELA_SIMUL,'"&amp;F147&amp;"' AS CAMPO, "&amp;"'${ref_date}' AS REF_DATE, COUNT(*) AS NUM_REG, SUM(IF(INSTR(CAST(X."&amp;F147&amp;" AS STRING),'#')&gt;0 OR INSTR(CAST(X."&amp;F147&amp;" AS STRING),'*')&gt;0 OR INSTR(CAST(X."&amp;F147&amp;" AS STRING),'`')&gt;0 OR INSTR(CAST(X."&amp;F147&amp;" AS STRING),'´')&gt;0 OR INSTR(CAST(X."&amp;F147&amp;" AS STRING),'{')&gt;0 OR INSTR(CAST(X."&amp;F147&amp;" AS STRING),'}')&gt;0 OR INSTR(CAST(X."&amp;F147&amp;" AS STRING),'[')&gt;0 OR INSTR(CAST(X."&amp;F147&amp;" AS STRING),'')&gt;0 OR INSTR(CAST(X."&amp;F147&amp;" AS STRING),']')&gt;0 OR INSTR(CAST(X."&amp;F147&amp;" AS STRING),'?')&gt;0 OR INSTR(CAST(X."&amp;F147&amp;" AS STRING),'!')&gt;0 OR INSTR(CAST(X."&amp;F147&amp;" AS STRING),'$')&gt;0 OR INSTR(CAST(X."&amp;F147&amp;" AS STRING),'%')&gt;0 OR INSTR(CAST(X."&amp;F147&amp;" AS STRING),'&amp;')&gt;0 OR INSTR(CAST(X."&amp;F147&amp;" AS STRING),'+')&gt;0,1,0)) AS NUM_REG_DIF,'"&amp;MAX('ID1&amp;5'!K:K)+1&amp;"' AS ID_EXEC, CURRENT_TIMESTAMP() AS TIME_EXEC FROM "&amp;I147,
IF(C147="Missings",+"SELECT '"&amp;UPPER(B147)&amp;"' AS TABELA, '"&amp;UPPER(C147)&amp;"' AS TIPOLOGIA_TESTE,'"&amp;D147&amp;"' AS TABELA_LT,'N/A' AS TABELA_SIMUL,'"&amp;F147&amp;"' AS CAMPO, "&amp;"'${ref_date}' AS REF_DATE, COUNT(*) AS NUM_REG, SUM(IF(TRIM(CAST(X."&amp;F147&amp;" AS STRING)) IN ('0000-00-00','0001-01-01','9999-12-31','MISS','00000','99999999999','99999999999.00','99999999999.000000'),1,0)) AS NUM_REG_DIF,'"&amp;MAX('ID1&amp;5'!K:K)+1&amp;"' AS ID_EXEC, CURRENT_TIMESTAMP() AS TIME_EXEC FROM "&amp;I147,
IF(C147="Not applicable",+"SELECT '"&amp;UPPER(B147)&amp;"' AS TABELA, '"&amp;UPPER(C147)&amp;"' AS TIPOLOGIA_TESTE,'"&amp;D147&amp;"' AS TABELA_LT,'N/A' AS TABELA_SIMUL,'"&amp;F147&amp;"' AS CAMPO, "&amp;"'${ref_date}' AS REF_DATE, COUNT(*) AS NUM_REG, SUM(IF(TRIM(CAST(X."&amp;F147&amp;" AS STRING)) IN ('N/A','11111111111','11111111111.00','11111111111.000000','1111-11-11'),1,0)) AS NUM_REG_DIF,'"&amp;MAX('ID1&amp;5'!K:K)+1&amp;"' AS ID_EXEC, CURRENT_TIMESTAMP() AS TIME_EXEC FROM "&amp;I147,
IF(C147="Valores extremos",+"SELECT '"&amp;UPPER(B147)&amp;"' AS TABELA, '"&amp;UPPER(C147)&amp;"' AS TIPOLOGIA_TESTE,'"&amp;D147&amp;"' AS TABELA_LT,'N/A' AS TABELA_SIMUL,'"&amp;F147&amp;"' AS CAMPO, "&amp;"'${ref_date}' AS REF_DATE, CAST(MIN("&amp;F147&amp;") AS STRING) AS VALOR_MIN, CAST(MAX("&amp;F147&amp;") AS STRING) AS VALOR_MAX,'"&amp;MAX('ID1&amp;5'!K:K)+1&amp;"' AS ID_EXEC, CURRENT_TIMESTAMP() AS TIME_EXEC FROM "&amp;MID(I147,1,LEN(I147)-2)&amp;" AND CAST("&amp;F147&amp;"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TABELA_SIMUL,'FLG_CHRNC_PHYSCL_RSK' AS CAMPO, '${ref_date}' AS REF_DATE, COUNT(*) AS NUM_REG, SUM(IF(TRIM(CAST(X.FLG_CHRNC_PHYSCL_RSK AS STRING))='' OR TRIM(CAST(X.FLG_CHRNC_PHYSCL_RSK AS STRING)) IS NULL,1,0)) AS NUM_REG_DIF,'10' AS ID_EXEC, CURRENT_TIMESTAMP() AS TIME_EXEC FROM (SELECT entty_id, FLG_CHRNC_PHYSCL_RSK FROM BU_LOANTAPE_WORK.LT003_ENTITY WHERE ref_date='${ref_date}' AND nome_perimetro='Individual Corporativo' AND segmento='ESTR' AND ambito='PILAR3')X</v>
      </c>
      <c r="M147" s="43" t="str">
        <f t="shared" si="2"/>
        <v>UNION ALL SELECT 'ENTITY' AS TABELA, 'VALIDADE' AS TIPOLOGIA_TESTE,'BU_LOANTAPE_WORK.LT003_ENTITY' AS TABELA_LT,'N/A' AS TABELA_SIMUL,'FLG_CHRNC_PHYSCL_RSK' AS CAMPO, '${ref_date}' AS REF_DATE, COUNT(*) AS NUM_REG, SUM(IF(TRIM(CAST(X.FLG_CHRNC_PHYSCL_RSK AS STRING))='' OR TRIM(CAST(X.FLG_CHRNC_PHYSCL_RSK AS STRING)) IS NULL,1,0)) AS NUM_REG_DIF,'10' AS ID_EXEC, CURRENT_TIMESTAMP() AS TIME_EXEC FROM (SELECT entty_id, FLG_CHRNC_PHYSCL_RSK FROM BU_LOANTAPE_WORK.LT003_ENTITY WHERE ref_date='${ref_date}' AND nome_perimetro='Individual Corporativo' AND segmento='ESTR' AND ambito='PILAR3')X</v>
      </c>
      <c r="N147" s="45" t="s">
        <v>13</v>
      </c>
    </row>
    <row r="148" spans="2:14">
      <c r="B148" s="41" t="s">
        <v>23</v>
      </c>
      <c r="C148" s="41" t="s">
        <v>75</v>
      </c>
      <c r="D148" s="41" t="str">
        <f>+UPPER('0. Instruções'!$D$33&amp;"."&amp;VLOOKUP(B148,'0. Instruções'!$C$27:$D$31,2,FALSE))</f>
        <v>BU_LOANTAPE_WORK.LT003_ENTITY</v>
      </c>
      <c r="E148" s="41" t="str">
        <f>+UPPER('0. Instruções'!$D$34&amp;"."&amp;VLOOKUP(B148,'0. Instruções'!$C$27:$E$31,3,FALSE))</f>
        <v>BU_LOANTAPE_WORK.LT003_ENTTY_P3_NOV24</v>
      </c>
      <c r="F148" s="41" t="s">
        <v>123</v>
      </c>
      <c r="G148" s="41" t="s">
        <v>212</v>
      </c>
      <c r="H148" s="41"/>
      <c r="I148" s="41" t="str">
        <f>"(SELECT "&amp;VLOOKUP(B148,'0. Instruções'!$C$27:$G$31,4,FALSE)&amp;", "&amp;F148&amp;" FROM "&amp;D148&amp;" WHERE "&amp;'0. Instruções'!$D$40&amp;")X"</f>
        <v>(SELECT entty_id, PST_CD FROM BU_LOANTAPE_WORK.LT003_ENTITY WHERE ref_date='${ref_date}' AND nome_perimetro='Individual Corporativo' AND segmento='ESTR' AND ambito='PILAR3')X</v>
      </c>
      <c r="J148" s="41" t="str">
        <f>"(SELECT "&amp;VLOOKUP(B148,'0. Instruções'!$C$27:$G$31,4,FALSE)&amp;" AS "&amp;VLOOKUP(B148,'0. Instruções'!$C$27:$G$31,4,FALSE)&amp;"_SIMUL, "&amp;F148&amp;" AS "&amp;F148&amp;"_SIMUL FROM "&amp;E148&amp;")Y"</f>
        <v>(SELECT entty_id AS entty_id_SIMUL, PST_CD AS PST_CD_SIMUL FROM BU_LOANTAPE_WORK.LT003_ENTTY_P3_NOV24)Y</v>
      </c>
      <c r="K148" s="42" t="str">
        <f>+UPPER("ON X."&amp;VLOOKUP(B148,'0. Instruções'!$C$27:$G$31,4,FALSE)&amp;"=Y."&amp;VLOOKUP(B148,'0. Instruções'!$C$27:$G$31,4,FALSE)&amp;"_SIMUL")</f>
        <v>ON X.ENTTY_ID=Y.ENTTY_ID_SIMUL</v>
      </c>
      <c r="L148" s="42" t="str">
        <f>+IF(C148="Coerência", +IF(LEFT(G148,5)="FLOAT","SELECT '"&amp;UPPER(B148)&amp;"' AS TABELA, '"&amp;UPPER(C148)&amp;"' AS TIPOLOGIA_TESTE,'"&amp;D148&amp;"' AS TABELA_LT,'"&amp;E148&amp;"' AS TABELA_SIMUL,'"&amp;F148&amp;"' AS CAMPO, "&amp;"'${ref_date}' AS REF_DATE, COUNT(*) AS NUM_REG, SUM(IF((ABS(COALESCE(X."&amp;F148&amp;",0)-COALESCE(Y."&amp;F148&amp;"_SIMUL,0))&gt;0.0000000001) OR (X."&amp;F148&amp;" IS NULL AND Y."&amp;F148&amp;"_SIMUL IS NOT NULL ) OR (X."&amp;F148&amp;" IS NOT NULL AND Y."&amp;F148&amp;"_SIMUL IS NULL),1,0)) AS NUM_REG_DIF,'"&amp;MAX('ID1&amp;5'!K:K)+1&amp;"' AS ID_EXEC, CURRENT_TIMESTAMP() AS TIME_EXEC FROM "&amp;I148&amp;" INNER JOIN "&amp;J148&amp;" "&amp;K148,"SELECT '"&amp;UPPER(B148)&amp;"' AS TABELA, '"&amp;UPPER(C148)&amp;"' AS TIPOLOGIA_TESTE,'"&amp;D148&amp;"' AS TABELA_LT,'"&amp;E148&amp;"' AS TABELA_SIMUL,'"&amp;F148&amp;"' AS CAMPO, "&amp;"'${ref_date}' AS REF_DATE, COUNT(*) AS NUM_REG, SUM(IF(COALESCE(CAST(X."&amp;F148&amp;" AS STRING),'')&lt;&gt;COALESCE(CAST(Y."&amp;F148&amp;"_SIMUL AS STRING),''),1,0)) AS NUM_REG_DIF,'"&amp;MAX('ID1&amp;5'!L:L)+1&amp;"' AS ID_EXEC, CURRENT_TIMESTAMP() AS TIME_EXEC FROM "&amp;I148&amp;" INNER JOIN "&amp;J148&amp;" "&amp;K148),
IF(C148="Validade",+IF(G148="Code List","SELECT '"&amp;UPPER(B148)&amp;"' AS TABELA, '"&amp;UPPER(C148)&amp;"' AS TIPOLOGIA_TESTE,'"&amp;D148&amp;"' AS TABELA_LT,'N/A' AS TABELA_SIMUL,'"&amp;F148&amp;"' AS CAMPO, "&amp;"'${ref_date}' AS REF_DATE, COUNT(*) AS NUM_REG, SUM(IF(TRIM(CAST(X."&amp;F148&amp;" AS STRING))='' OR TRIM(CAST(X."&amp;F148&amp;" AS STRING)) IS NULL OR CAST(X."&amp;F148&amp;" AS STRING) NOT "&amp;H148&amp;",1,0)) AS NUM_REG_DIF,'"&amp;MAX('ID1&amp;5'!K:K)+1&amp;"' AS ID_EXEC, CURRENT_TIMESTAMP() AS TIME_EXEC FROM "&amp;I148,"SELECT '"&amp;UPPER(B148)&amp;"' AS TABELA, '"&amp;UPPER(C148)&amp;"' AS TIPOLOGIA_TESTE,'"&amp;D148&amp;"' AS TABELA_LT,'N/A' AS TABELA_SIMUL,'"&amp;F148&amp;"' AS CAMPO, "&amp;"'${ref_date}' AS REF_DATE, COUNT(*) AS NUM_REG, SUM(IF(TRIM(CAST(X."&amp;F148&amp;" AS STRING))='' OR TRIM(CAST(X."&amp;F148&amp;" AS STRING)) IS NULL,1,0)) AS NUM_REG_DIF,'"&amp;MAX('ID1&amp;5'!K:K)+1&amp;"' AS ID_EXEC, CURRENT_TIMESTAMP() AS TIME_EXEC FROM "&amp;I148),
IF(C148="Caracteres Especiais",+"SELECT '"&amp;UPPER(B148)&amp;"' AS TABELA, '"&amp;UPPER(C148)&amp;"' AS TIPOLOGIA_TESTE,'"&amp;D148&amp;"' AS TABELA_LT,'N/A' AS TABELA_SIMUL,'"&amp;F148&amp;"' AS CAMPO, "&amp;"'${ref_date}' AS REF_DATE, COUNT(*) AS NUM_REG, SUM(IF(INSTR(CAST(X."&amp;F148&amp;" AS STRING),'#')&gt;0 OR INSTR(CAST(X."&amp;F148&amp;" AS STRING),'*')&gt;0 OR INSTR(CAST(X."&amp;F148&amp;" AS STRING),'`')&gt;0 OR INSTR(CAST(X."&amp;F148&amp;" AS STRING),'´')&gt;0 OR INSTR(CAST(X."&amp;F148&amp;" AS STRING),'{')&gt;0 OR INSTR(CAST(X."&amp;F148&amp;" AS STRING),'}')&gt;0 OR INSTR(CAST(X."&amp;F148&amp;" AS STRING),'[')&gt;0 OR INSTR(CAST(X."&amp;F148&amp;" AS STRING),'')&gt;0 OR INSTR(CAST(X."&amp;F148&amp;" AS STRING),']')&gt;0 OR INSTR(CAST(X."&amp;F148&amp;" AS STRING),'?')&gt;0 OR INSTR(CAST(X."&amp;F148&amp;" AS STRING),'!')&gt;0 OR INSTR(CAST(X."&amp;F148&amp;" AS STRING),'$')&gt;0 OR INSTR(CAST(X."&amp;F148&amp;" AS STRING),'%')&gt;0 OR INSTR(CAST(X."&amp;F148&amp;" AS STRING),'&amp;')&gt;0 OR INSTR(CAST(X."&amp;F148&amp;" AS STRING),'+')&gt;0,1,0)) AS NUM_REG_DIF,'"&amp;MAX('ID1&amp;5'!K:K)+1&amp;"' AS ID_EXEC, CURRENT_TIMESTAMP() AS TIME_EXEC FROM "&amp;I148,
IF(C148="Missings",+"SELECT '"&amp;UPPER(B148)&amp;"' AS TABELA, '"&amp;UPPER(C148)&amp;"' AS TIPOLOGIA_TESTE,'"&amp;D148&amp;"' AS TABELA_LT,'N/A' AS TABELA_SIMUL,'"&amp;F148&amp;"' AS CAMPO, "&amp;"'${ref_date}' AS REF_DATE, COUNT(*) AS NUM_REG, SUM(IF(TRIM(CAST(X."&amp;F148&amp;" AS STRING)) IN ('0000-00-00','0001-01-01','9999-12-31','MISS','00000','99999999999','99999999999.00','99999999999.000000'),1,0)) AS NUM_REG_DIF,'"&amp;MAX('ID1&amp;5'!K:K)+1&amp;"' AS ID_EXEC, CURRENT_TIMESTAMP() AS TIME_EXEC FROM "&amp;I148,
IF(C148="Not applicable",+"SELECT '"&amp;UPPER(B148)&amp;"' AS TABELA, '"&amp;UPPER(C148)&amp;"' AS TIPOLOGIA_TESTE,'"&amp;D148&amp;"' AS TABELA_LT,'N/A' AS TABELA_SIMUL,'"&amp;F148&amp;"' AS CAMPO, "&amp;"'${ref_date}' AS REF_DATE, COUNT(*) AS NUM_REG, SUM(IF(TRIM(CAST(X."&amp;F148&amp;" AS STRING)) IN ('N/A','11111111111','11111111111.00','11111111111.000000','1111-11-11'),1,0)) AS NUM_REG_DIF,'"&amp;MAX('ID1&amp;5'!K:K)+1&amp;"' AS ID_EXEC, CURRENT_TIMESTAMP() AS TIME_EXEC FROM "&amp;I148,
IF(C148="Valores extremos",+"SELECT '"&amp;UPPER(B148)&amp;"' AS TABELA, '"&amp;UPPER(C148)&amp;"' AS TIPOLOGIA_TESTE,'"&amp;D148&amp;"' AS TABELA_LT,'N/A' AS TABELA_SIMUL,'"&amp;F148&amp;"' AS CAMPO, "&amp;"'${ref_date}' AS REF_DATE, CAST(MIN("&amp;F148&amp;") AS STRING) AS VALOR_MIN, CAST(MAX("&amp;F148&amp;") AS STRING) AS VALOR_MAX,'"&amp;MAX('ID1&amp;5'!K:K)+1&amp;"' AS ID_EXEC, CURRENT_TIMESTAMP() AS TIME_EXEC FROM "&amp;MID(I148,1,LEN(I148)-2)&amp;" AND CAST("&amp;F148&amp;"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TABELA_SIMUL,'PST_CD' AS CAMPO, '${ref_date}' AS REF_DATE, COUNT(*) AS NUM_REG, SUM(IF(TRIM(CAST(X.PST_CD AS STRING))='' OR TRIM(CAST(X.PST_CD AS STRING)) IS NULL,1,0)) AS NUM_REG_DIF,'10' AS ID_EXEC, CURRENT_TIMESTAMP() AS TIME_EXEC FROM (SELECT entty_id, PST_CD FROM BU_LOANTAPE_WORK.LT003_ENTITY WHERE ref_date='${ref_date}' AND nome_perimetro='Individual Corporativo' AND segmento='ESTR' AND ambito='PILAR3')X</v>
      </c>
      <c r="M148" s="43" t="str">
        <f t="shared" si="2"/>
        <v>UNION ALL SELECT 'ENTITY' AS TABELA, 'VALIDADE' AS TIPOLOGIA_TESTE,'BU_LOANTAPE_WORK.LT003_ENTITY' AS TABELA_LT,'N/A' AS TABELA_SIMUL,'PST_CD' AS CAMPO, '${ref_date}' AS REF_DATE, COUNT(*) AS NUM_REG, SUM(IF(TRIM(CAST(X.PST_CD AS STRING))='' OR TRIM(CAST(X.PST_CD AS STRING)) IS NULL,1,0)) AS NUM_REG_DIF,'10' AS ID_EXEC, CURRENT_TIMESTAMP() AS TIME_EXEC FROM (SELECT entty_id, PST_CD FROM BU_LOANTAPE_WORK.LT003_ENTITY WHERE ref_date='${ref_date}' AND nome_perimetro='Individual Corporativo' AND segmento='ESTR' AND ambito='PILAR3')X</v>
      </c>
      <c r="N148" s="45" t="s">
        <v>13</v>
      </c>
    </row>
    <row r="149" spans="2:14">
      <c r="B149" s="41" t="s">
        <v>23</v>
      </c>
      <c r="C149" s="41" t="s">
        <v>75</v>
      </c>
      <c r="D149" s="41" t="str">
        <f>+UPPER('0. Instruções'!$D$33&amp;"."&amp;VLOOKUP(B149,'0. Instruções'!$C$27:$D$31,2,FALSE))</f>
        <v>BU_LOANTAPE_WORK.LT003_ENTITY</v>
      </c>
      <c r="E149" s="41" t="str">
        <f>+UPPER('0. Instruções'!$D$34&amp;"."&amp;VLOOKUP(B149,'0. Instruções'!$C$27:$E$31,3,FALSE))</f>
        <v>BU_LOANTAPE_WORK.LT003_ENTTY_P3_NOV24</v>
      </c>
      <c r="F149" s="41" t="s">
        <v>125</v>
      </c>
      <c r="G149" s="41" t="s">
        <v>209</v>
      </c>
      <c r="H149" s="42" t="s">
        <v>220</v>
      </c>
      <c r="I149" s="41" t="str">
        <f>"(SELECT "&amp;VLOOKUP(B149,'0. Instruções'!$C$27:$G$31,4,FALSE)&amp;", "&amp;F149&amp;" FROM "&amp;D149&amp;" WHERE "&amp;'0. Instruções'!$D$40&amp;")X"</f>
        <v>(SELECT entty_id, ESG_SBSCTR FROM BU_LOANTAPE_WORK.LT003_ENTITY WHERE ref_date='${ref_date}' AND nome_perimetro='Individual Corporativo' AND segmento='ESTR' AND ambito='PILAR3')X</v>
      </c>
      <c r="J149" s="41" t="str">
        <f>"(SELECT "&amp;VLOOKUP(B149,'0. Instruções'!$C$27:$G$31,4,FALSE)&amp;" AS "&amp;VLOOKUP(B149,'0. Instruções'!$C$27:$G$31,4,FALSE)&amp;"_SIMUL, "&amp;F149&amp;" AS "&amp;F149&amp;"_SIMUL FROM "&amp;E149&amp;")Y"</f>
        <v>(SELECT entty_id AS entty_id_SIMUL, ESG_SBSCTR AS ESG_SBSCTR_SIMUL FROM BU_LOANTAPE_WORK.LT003_ENTTY_P3_NOV24)Y</v>
      </c>
      <c r="K149" s="42" t="str">
        <f>+UPPER("ON X."&amp;VLOOKUP(B149,'0. Instruções'!$C$27:$G$31,4,FALSE)&amp;"=Y."&amp;VLOOKUP(B149,'0. Instruções'!$C$27:$G$31,4,FALSE)&amp;"_SIMUL")</f>
        <v>ON X.ENTTY_ID=Y.ENTTY_ID_SIMUL</v>
      </c>
      <c r="L149" s="42" t="str">
        <f>+IF(C149="Coerência", +IF(LEFT(G149,5)="FLOAT","SELECT '"&amp;UPPER(B149)&amp;"' AS TABELA, '"&amp;UPPER(C149)&amp;"' AS TIPOLOGIA_TESTE,'"&amp;D149&amp;"' AS TABELA_LT,'"&amp;E149&amp;"' AS TABELA_SIMUL,'"&amp;F149&amp;"' AS CAMPO, "&amp;"'${ref_date}' AS REF_DATE, COUNT(*) AS NUM_REG, SUM(IF((ABS(COALESCE(X."&amp;F149&amp;",0)-COALESCE(Y."&amp;F149&amp;"_SIMUL,0))&gt;0.0000000001) OR (X."&amp;F149&amp;" IS NULL AND Y."&amp;F149&amp;"_SIMUL IS NOT NULL ) OR (X."&amp;F149&amp;" IS NOT NULL AND Y."&amp;F149&amp;"_SIMUL IS NULL),1,0)) AS NUM_REG_DIF,'"&amp;MAX('ID1&amp;5'!K:K)+1&amp;"' AS ID_EXEC, CURRENT_TIMESTAMP() AS TIME_EXEC FROM "&amp;I149&amp;" INNER JOIN "&amp;J149&amp;" "&amp;K149,"SELECT '"&amp;UPPER(B149)&amp;"' AS TABELA, '"&amp;UPPER(C149)&amp;"' AS TIPOLOGIA_TESTE,'"&amp;D149&amp;"' AS TABELA_LT,'"&amp;E149&amp;"' AS TABELA_SIMUL,'"&amp;F149&amp;"' AS CAMPO, "&amp;"'${ref_date}' AS REF_DATE, COUNT(*) AS NUM_REG, SUM(IF(COALESCE(CAST(X."&amp;F149&amp;" AS STRING),'')&lt;&gt;COALESCE(CAST(Y."&amp;F149&amp;"_SIMUL AS STRING),''),1,0)) AS NUM_REG_DIF,'"&amp;MAX('ID1&amp;5'!L:L)+1&amp;"' AS ID_EXEC, CURRENT_TIMESTAMP() AS TIME_EXEC FROM "&amp;I149&amp;" INNER JOIN "&amp;J149&amp;" "&amp;K149),
IF(C149="Validade",+IF(G149="Code List","SELECT '"&amp;UPPER(B149)&amp;"' AS TABELA, '"&amp;UPPER(C149)&amp;"' AS TIPOLOGIA_TESTE,'"&amp;D149&amp;"' AS TABELA_LT,'N/A' AS TABELA_SIMUL,'"&amp;F149&amp;"' AS CAMPO, "&amp;"'${ref_date}' AS REF_DATE, COUNT(*) AS NUM_REG, SUM(IF(TRIM(CAST(X."&amp;F149&amp;" AS STRING))='' OR TRIM(CAST(X."&amp;F149&amp;" AS STRING)) IS NULL OR CAST(X."&amp;F149&amp;" AS STRING) NOT "&amp;H149&amp;",1,0)) AS NUM_REG_DIF,'"&amp;MAX('ID1&amp;5'!K:K)+1&amp;"' AS ID_EXEC, CURRENT_TIMESTAMP() AS TIME_EXEC FROM "&amp;I149,"SELECT '"&amp;UPPER(B149)&amp;"' AS TABELA, '"&amp;UPPER(C149)&amp;"' AS TIPOLOGIA_TESTE,'"&amp;D149&amp;"' AS TABELA_LT,'N/A' AS TABELA_SIMUL,'"&amp;F149&amp;"' AS CAMPO, "&amp;"'${ref_date}' AS REF_DATE, COUNT(*) AS NUM_REG, SUM(IF(TRIM(CAST(X."&amp;F149&amp;" AS STRING))='' OR TRIM(CAST(X."&amp;F149&amp;" AS STRING)) IS NULL,1,0)) AS NUM_REG_DIF,'"&amp;MAX('ID1&amp;5'!K:K)+1&amp;"' AS ID_EXEC, CURRENT_TIMESTAMP() AS TIME_EXEC FROM "&amp;I149),
IF(C149="Caracteres Especiais",+"SELECT '"&amp;UPPER(B149)&amp;"' AS TABELA, '"&amp;UPPER(C149)&amp;"' AS TIPOLOGIA_TESTE,'"&amp;D149&amp;"' AS TABELA_LT,'N/A' AS TABELA_SIMUL,'"&amp;F149&amp;"' AS CAMPO, "&amp;"'${ref_date}' AS REF_DATE, COUNT(*) AS NUM_REG, SUM(IF(INSTR(CAST(X."&amp;F149&amp;" AS STRING),'#')&gt;0 OR INSTR(CAST(X."&amp;F149&amp;" AS STRING),'*')&gt;0 OR INSTR(CAST(X."&amp;F149&amp;" AS STRING),'`')&gt;0 OR INSTR(CAST(X."&amp;F149&amp;" AS STRING),'´')&gt;0 OR INSTR(CAST(X."&amp;F149&amp;" AS STRING),'{')&gt;0 OR INSTR(CAST(X."&amp;F149&amp;" AS STRING),'}')&gt;0 OR INSTR(CAST(X."&amp;F149&amp;" AS STRING),'[')&gt;0 OR INSTR(CAST(X."&amp;F149&amp;" AS STRING),'')&gt;0 OR INSTR(CAST(X."&amp;F149&amp;" AS STRING),']')&gt;0 OR INSTR(CAST(X."&amp;F149&amp;" AS STRING),'?')&gt;0 OR INSTR(CAST(X."&amp;F149&amp;" AS STRING),'!')&gt;0 OR INSTR(CAST(X."&amp;F149&amp;" AS STRING),'$')&gt;0 OR INSTR(CAST(X."&amp;F149&amp;" AS STRING),'%')&gt;0 OR INSTR(CAST(X."&amp;F149&amp;" AS STRING),'&amp;')&gt;0 OR INSTR(CAST(X."&amp;F149&amp;" AS STRING),'+')&gt;0,1,0)) AS NUM_REG_DIF,'"&amp;MAX('ID1&amp;5'!K:K)+1&amp;"' AS ID_EXEC, CURRENT_TIMESTAMP() AS TIME_EXEC FROM "&amp;I149,
IF(C149="Missings",+"SELECT '"&amp;UPPER(B149)&amp;"' AS TABELA, '"&amp;UPPER(C149)&amp;"' AS TIPOLOGIA_TESTE,'"&amp;D149&amp;"' AS TABELA_LT,'N/A' AS TABELA_SIMUL,'"&amp;F149&amp;"' AS CAMPO, "&amp;"'${ref_date}' AS REF_DATE, COUNT(*) AS NUM_REG, SUM(IF(TRIM(CAST(X."&amp;F149&amp;" AS STRING)) IN ('0000-00-00','0001-01-01','9999-12-31','MISS','00000','99999999999','99999999999.00','99999999999.000000'),1,0)) AS NUM_REG_DIF,'"&amp;MAX('ID1&amp;5'!K:K)+1&amp;"' AS ID_EXEC, CURRENT_TIMESTAMP() AS TIME_EXEC FROM "&amp;I149,
IF(C149="Not applicable",+"SELECT '"&amp;UPPER(B149)&amp;"' AS TABELA, '"&amp;UPPER(C149)&amp;"' AS TIPOLOGIA_TESTE,'"&amp;D149&amp;"' AS TABELA_LT,'N/A' AS TABELA_SIMUL,'"&amp;F149&amp;"' AS CAMPO, "&amp;"'${ref_date}' AS REF_DATE, COUNT(*) AS NUM_REG, SUM(IF(TRIM(CAST(X."&amp;F149&amp;" AS STRING)) IN ('N/A','11111111111','11111111111.00','11111111111.000000','1111-11-11'),1,0)) AS NUM_REG_DIF,'"&amp;MAX('ID1&amp;5'!K:K)+1&amp;"' AS ID_EXEC, CURRENT_TIMESTAMP() AS TIME_EXEC FROM "&amp;I149,
IF(C149="Valores extremos",+"SELECT '"&amp;UPPER(B149)&amp;"' AS TABELA, '"&amp;UPPER(C149)&amp;"' AS TIPOLOGIA_TESTE,'"&amp;D149&amp;"' AS TABELA_LT,'N/A' AS TABELA_SIMUL,'"&amp;F149&amp;"' AS CAMPO, "&amp;"'${ref_date}' AS REF_DATE, CAST(MIN("&amp;F149&amp;") AS STRING) AS VALOR_MIN, CAST(MAX("&amp;F149&amp;") AS STRING) AS VALOR_MAX,'"&amp;MAX('ID1&amp;5'!K:K)+1&amp;"' AS ID_EXEC, CURRENT_TIMESTAMP() AS TIME_EXEC FROM "&amp;MID(I149,1,LEN(I149)-2)&amp;" AND CAST("&amp;F149&amp;"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TABELA_SIMUL,'ESG_SBSCTR' AS CAMPO, '${ref_date}' AS REF_DATE, COUNT(*) AS NUM_REG, SUM(IF(TRIM(CAST(X.ESG_SBSCTR AS STRING))='' OR TRIM(CAST(X.ESG_SBSCTR AS STRING)) IS NULL OR CAST(X.ESG_SBSCTR AS STRING) NOT IN ('ESGS1','ESGS2','ESGS3','ESGS4','ESGS5','MISS','N/A'),1,0)) AS NUM_REG_DIF,'10' AS ID_EXEC, CURRENT_TIMESTAMP() AS TIME_EXEC FROM (SELECT entty_id, ESG_SBSCTR FROM BU_LOANTAPE_WORK.LT003_ENTITY WHERE ref_date='${ref_date}' AND nome_perimetro='Individual Corporativo' AND segmento='ESTR' AND ambito='PILAR3')X</v>
      </c>
      <c r="M149" s="43" t="str">
        <f t="shared" si="2"/>
        <v>UNION ALL SELECT 'ENTITY' AS TABELA, 'VALIDADE' AS TIPOLOGIA_TESTE,'BU_LOANTAPE_WORK.LT003_ENTITY' AS TABELA_LT,'N/A' AS TABELA_SIMUL,'ESG_SBSCTR' AS CAMPO, '${ref_date}' AS REF_DATE, COUNT(*) AS NUM_REG, SUM(IF(TRIM(CAST(X.ESG_SBSCTR AS STRING))='' OR TRIM(CAST(X.ESG_SBSCTR AS STRING)) IS NULL OR CAST(X.ESG_SBSCTR AS STRING) NOT IN ('ESGS1','ESGS2','ESGS3','ESGS4','ESGS5','MISS','N/A'),1,0)) AS NUM_REG_DIF,'10' AS ID_EXEC, CURRENT_TIMESTAMP() AS TIME_EXEC FROM (SELECT entty_id, ESG_SBSCTR FROM BU_LOANTAPE_WORK.LT003_ENTITY WHERE ref_date='${ref_date}' AND nome_perimetro='Individual Corporativo' AND segmento='ESTR' AND ambito='PILAR3')X</v>
      </c>
      <c r="N149" s="45" t="s">
        <v>13</v>
      </c>
    </row>
    <row r="150" spans="2:14">
      <c r="B150" s="41" t="s">
        <v>23</v>
      </c>
      <c r="C150" s="41" t="s">
        <v>75</v>
      </c>
      <c r="D150" s="41" t="str">
        <f>+UPPER('0. Instruções'!$D$33&amp;"."&amp;VLOOKUP(B150,'0. Instruções'!$C$27:$D$31,2,FALSE))</f>
        <v>BU_LOANTAPE_WORK.LT003_ENTITY</v>
      </c>
      <c r="E150" s="41" t="str">
        <f>+UPPER('0. Instruções'!$D$34&amp;"."&amp;VLOOKUP(B150,'0. Instruções'!$C$27:$E$31,3,FALSE))</f>
        <v>BU_LOANTAPE_WORK.LT003_ENTTY_P3_NOV24</v>
      </c>
      <c r="F150" s="41" t="s">
        <v>126</v>
      </c>
      <c r="G150" s="41" t="s">
        <v>213</v>
      </c>
      <c r="H150" s="41"/>
      <c r="I150" s="41" t="str">
        <f>"(SELECT "&amp;VLOOKUP(B150,'0. Instruções'!$C$27:$G$31,4,FALSE)&amp;", "&amp;F150&amp;" FROM "&amp;D150&amp;" WHERE "&amp;'0. Instruções'!$D$40&amp;")X"</f>
        <v>(SELECT entty_id, TTL_LBLTY FROM BU_LOANTAPE_WORK.LT003_ENTITY WHERE ref_date='${ref_date}' AND nome_perimetro='Individual Corporativo' AND segmento='ESTR' AND ambito='PILAR3')X</v>
      </c>
      <c r="J150" s="41" t="str">
        <f>"(SELECT "&amp;VLOOKUP(B150,'0. Instruções'!$C$27:$G$31,4,FALSE)&amp;" AS "&amp;VLOOKUP(B150,'0. Instruções'!$C$27:$G$31,4,FALSE)&amp;"_SIMUL, "&amp;F150&amp;" AS "&amp;F150&amp;"_SIMUL FROM "&amp;E150&amp;")Y"</f>
        <v>(SELECT entty_id AS entty_id_SIMUL, TTL_LBLTY AS TTL_LBLTY_SIMUL FROM BU_LOANTAPE_WORK.LT003_ENTTY_P3_NOV24)Y</v>
      </c>
      <c r="K150" s="42" t="str">
        <f>+UPPER("ON X."&amp;VLOOKUP(B150,'0. Instruções'!$C$27:$G$31,4,FALSE)&amp;"=Y."&amp;VLOOKUP(B150,'0. Instruções'!$C$27:$G$31,4,FALSE)&amp;"_SIMUL")</f>
        <v>ON X.ENTTY_ID=Y.ENTTY_ID_SIMUL</v>
      </c>
      <c r="L150" s="42" t="str">
        <f>+IF(C150="Coerência", +IF(LEFT(G150,5)="FLOAT","SELECT '"&amp;UPPER(B150)&amp;"' AS TABELA, '"&amp;UPPER(C150)&amp;"' AS TIPOLOGIA_TESTE,'"&amp;D150&amp;"' AS TABELA_LT,'"&amp;E150&amp;"' AS TABELA_SIMUL,'"&amp;F150&amp;"' AS CAMPO, "&amp;"'${ref_date}' AS REF_DATE, COUNT(*) AS NUM_REG, SUM(IF((ABS(COALESCE(X."&amp;F150&amp;",0)-COALESCE(Y."&amp;F150&amp;"_SIMUL,0))&gt;0.0000000001) OR (X."&amp;F150&amp;" IS NULL AND Y."&amp;F150&amp;"_SIMUL IS NOT NULL ) OR (X."&amp;F150&amp;" IS NOT NULL AND Y."&amp;F150&amp;"_SIMUL IS NULL),1,0)) AS NUM_REG_DIF,'"&amp;MAX('ID1&amp;5'!K:K)+1&amp;"' AS ID_EXEC, CURRENT_TIMESTAMP() AS TIME_EXEC FROM "&amp;I150&amp;" INNER JOIN "&amp;J150&amp;" "&amp;K150,"SELECT '"&amp;UPPER(B150)&amp;"' AS TABELA, '"&amp;UPPER(C150)&amp;"' AS TIPOLOGIA_TESTE,'"&amp;D150&amp;"' AS TABELA_LT,'"&amp;E150&amp;"' AS TABELA_SIMUL,'"&amp;F150&amp;"' AS CAMPO, "&amp;"'${ref_date}' AS REF_DATE, COUNT(*) AS NUM_REG, SUM(IF(COALESCE(CAST(X."&amp;F150&amp;" AS STRING),'')&lt;&gt;COALESCE(CAST(Y."&amp;F150&amp;"_SIMUL AS STRING),''),1,0)) AS NUM_REG_DIF,'"&amp;MAX('ID1&amp;5'!L:L)+1&amp;"' AS ID_EXEC, CURRENT_TIMESTAMP() AS TIME_EXEC FROM "&amp;I150&amp;" INNER JOIN "&amp;J150&amp;" "&amp;K150),
IF(C150="Validade",+IF(G150="Code List","SELECT '"&amp;UPPER(B150)&amp;"' AS TABELA, '"&amp;UPPER(C150)&amp;"' AS TIPOLOGIA_TESTE,'"&amp;D150&amp;"' AS TABELA_LT,'N/A' AS TABELA_SIMUL,'"&amp;F150&amp;"' AS CAMPO, "&amp;"'${ref_date}' AS REF_DATE, COUNT(*) AS NUM_REG, SUM(IF(TRIM(CAST(X."&amp;F150&amp;" AS STRING))='' OR TRIM(CAST(X."&amp;F150&amp;" AS STRING)) IS NULL OR CAST(X."&amp;F150&amp;" AS STRING) NOT "&amp;H150&amp;",1,0)) AS NUM_REG_DIF,'"&amp;MAX('ID1&amp;5'!K:K)+1&amp;"' AS ID_EXEC, CURRENT_TIMESTAMP() AS TIME_EXEC FROM "&amp;I150,"SELECT '"&amp;UPPER(B150)&amp;"' AS TABELA, '"&amp;UPPER(C150)&amp;"' AS TIPOLOGIA_TESTE,'"&amp;D150&amp;"' AS TABELA_LT,'N/A' AS TABELA_SIMUL,'"&amp;F150&amp;"' AS CAMPO, "&amp;"'${ref_date}' AS REF_DATE, COUNT(*) AS NUM_REG, SUM(IF(TRIM(CAST(X."&amp;F150&amp;" AS STRING))='' OR TRIM(CAST(X."&amp;F150&amp;" AS STRING)) IS NULL,1,0)) AS NUM_REG_DIF,'"&amp;MAX('ID1&amp;5'!K:K)+1&amp;"' AS ID_EXEC, CURRENT_TIMESTAMP() AS TIME_EXEC FROM "&amp;I150),
IF(C150="Caracteres Especiais",+"SELECT '"&amp;UPPER(B150)&amp;"' AS TABELA, '"&amp;UPPER(C150)&amp;"' AS TIPOLOGIA_TESTE,'"&amp;D150&amp;"' AS TABELA_LT,'N/A' AS TABELA_SIMUL,'"&amp;F150&amp;"' AS CAMPO, "&amp;"'${ref_date}' AS REF_DATE, COUNT(*) AS NUM_REG, SUM(IF(INSTR(CAST(X."&amp;F150&amp;" AS STRING),'#')&gt;0 OR INSTR(CAST(X."&amp;F150&amp;" AS STRING),'*')&gt;0 OR INSTR(CAST(X."&amp;F150&amp;" AS STRING),'`')&gt;0 OR INSTR(CAST(X."&amp;F150&amp;" AS STRING),'´')&gt;0 OR INSTR(CAST(X."&amp;F150&amp;" AS STRING),'{')&gt;0 OR INSTR(CAST(X."&amp;F150&amp;" AS STRING),'}')&gt;0 OR INSTR(CAST(X."&amp;F150&amp;" AS STRING),'[')&gt;0 OR INSTR(CAST(X."&amp;F150&amp;" AS STRING),'')&gt;0 OR INSTR(CAST(X."&amp;F150&amp;" AS STRING),']')&gt;0 OR INSTR(CAST(X."&amp;F150&amp;" AS STRING),'?')&gt;0 OR INSTR(CAST(X."&amp;F150&amp;" AS STRING),'!')&gt;0 OR INSTR(CAST(X."&amp;F150&amp;" AS STRING),'$')&gt;0 OR INSTR(CAST(X."&amp;F150&amp;" AS STRING),'%')&gt;0 OR INSTR(CAST(X."&amp;F150&amp;" AS STRING),'&amp;')&gt;0 OR INSTR(CAST(X."&amp;F150&amp;" AS STRING),'+')&gt;0,1,0)) AS NUM_REG_DIF,'"&amp;MAX('ID1&amp;5'!K:K)+1&amp;"' AS ID_EXEC, CURRENT_TIMESTAMP() AS TIME_EXEC FROM "&amp;I150,
IF(C150="Missings",+"SELECT '"&amp;UPPER(B150)&amp;"' AS TABELA, '"&amp;UPPER(C150)&amp;"' AS TIPOLOGIA_TESTE,'"&amp;D150&amp;"' AS TABELA_LT,'N/A' AS TABELA_SIMUL,'"&amp;F150&amp;"' AS CAMPO, "&amp;"'${ref_date}' AS REF_DATE, COUNT(*) AS NUM_REG, SUM(IF(TRIM(CAST(X."&amp;F150&amp;" AS STRING)) IN ('0000-00-00','0001-01-01','9999-12-31','MISS','00000','99999999999','99999999999.00','99999999999.000000'),1,0)) AS NUM_REG_DIF,'"&amp;MAX('ID1&amp;5'!K:K)+1&amp;"' AS ID_EXEC, CURRENT_TIMESTAMP() AS TIME_EXEC FROM "&amp;I150,
IF(C150="Not applicable",+"SELECT '"&amp;UPPER(B150)&amp;"' AS TABELA, '"&amp;UPPER(C150)&amp;"' AS TIPOLOGIA_TESTE,'"&amp;D150&amp;"' AS TABELA_LT,'N/A' AS TABELA_SIMUL,'"&amp;F150&amp;"' AS CAMPO, "&amp;"'${ref_date}' AS REF_DATE, COUNT(*) AS NUM_REG, SUM(IF(TRIM(CAST(X."&amp;F150&amp;" AS STRING)) IN ('N/A','11111111111','11111111111.00','11111111111.000000','1111-11-11'),1,0)) AS NUM_REG_DIF,'"&amp;MAX('ID1&amp;5'!K:K)+1&amp;"' AS ID_EXEC, CURRENT_TIMESTAMP() AS TIME_EXEC FROM "&amp;I150,
IF(C150="Valores extremos",+"SELECT '"&amp;UPPER(B150)&amp;"' AS TABELA, '"&amp;UPPER(C150)&amp;"' AS TIPOLOGIA_TESTE,'"&amp;D150&amp;"' AS TABELA_LT,'N/A' AS TABELA_SIMUL,'"&amp;F150&amp;"' AS CAMPO, "&amp;"'${ref_date}' AS REF_DATE, CAST(MIN("&amp;F150&amp;") AS STRING) AS VALOR_MIN, CAST(MAX("&amp;F150&amp;") AS STRING) AS VALOR_MAX,'"&amp;MAX('ID1&amp;5'!K:K)+1&amp;"' AS ID_EXEC, CURRENT_TIMESTAMP() AS TIME_EXEC FROM "&amp;MID(I150,1,LEN(I150)-2)&amp;" AND CAST("&amp;F150&amp;"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TABELA_SIMUL,'TTL_LBLTY' AS CAMPO, '${ref_date}' AS REF_DATE, COUNT(*) AS NUM_REG, SUM(IF(TRIM(CAST(X.TTL_LBLTY AS STRING))='' OR TRIM(CAST(X.TTL_LBLTY AS STRING)) IS NULL,1,0)) AS NUM_REG_DIF,'10' AS ID_EXEC, CURRENT_TIMESTAMP() AS TIME_EXEC FROM (SELECT entty_id, TTL_LBLTY FROM BU_LOANTAPE_WORK.LT003_ENTITY WHERE ref_date='${ref_date}' AND nome_perimetro='Individual Corporativo' AND segmento='ESTR' AND ambito='PILAR3')X</v>
      </c>
      <c r="M150" s="43" t="str">
        <f t="shared" si="2"/>
        <v>UNION ALL SELECT 'ENTITY' AS TABELA, 'VALIDADE' AS TIPOLOGIA_TESTE,'BU_LOANTAPE_WORK.LT003_ENTITY' AS TABELA_LT,'N/A' AS TABELA_SIMUL,'TTL_LBLTY' AS CAMPO, '${ref_date}' AS REF_DATE, COUNT(*) AS NUM_REG, SUM(IF(TRIM(CAST(X.TTL_LBLTY AS STRING))='' OR TRIM(CAST(X.TTL_LBLTY AS STRING)) IS NULL,1,0)) AS NUM_REG_DIF,'10' AS ID_EXEC, CURRENT_TIMESTAMP() AS TIME_EXEC FROM (SELECT entty_id, TTL_LBLTY FROM BU_LOANTAPE_WORK.LT003_ENTITY WHERE ref_date='${ref_date}' AND nome_perimetro='Individual Corporativo' AND segmento='ESTR' AND ambito='PILAR3')X</v>
      </c>
      <c r="N150" s="45" t="s">
        <v>13</v>
      </c>
    </row>
    <row r="151" spans="2:14">
      <c r="B151" s="41" t="s">
        <v>23</v>
      </c>
      <c r="C151" s="41" t="s">
        <v>75</v>
      </c>
      <c r="D151" s="41" t="str">
        <f>+UPPER('0. Instruções'!$D$33&amp;"."&amp;VLOOKUP(B151,'0. Instruções'!$C$27:$D$31,2,FALSE))</f>
        <v>BU_LOANTAPE_WORK.LT003_ENTITY</v>
      </c>
      <c r="E151" s="41" t="str">
        <f>+UPPER('0. Instruções'!$D$34&amp;"."&amp;VLOOKUP(B151,'0. Instruções'!$C$27:$E$31,3,FALSE))</f>
        <v>BU_LOANTAPE_WORK.LT003_ENTTY_P3_NOV24</v>
      </c>
      <c r="F151" s="41" t="s">
        <v>127</v>
      </c>
      <c r="G151" s="41" t="s">
        <v>214</v>
      </c>
      <c r="H151" s="41"/>
      <c r="I151" s="41" t="str">
        <f>"(SELECT "&amp;VLOOKUP(B151,'0. Instruções'!$C$27:$G$31,4,FALSE)&amp;", "&amp;F151&amp;" FROM "&amp;D151&amp;" WHERE "&amp;'0. Instruções'!$D$40&amp;")X"</f>
        <v>(SELECT entty_id, ISIN FROM BU_LOANTAPE_WORK.LT003_ENTITY WHERE ref_date='${ref_date}' AND nome_perimetro='Individual Corporativo' AND segmento='ESTR' AND ambito='PILAR3')X</v>
      </c>
      <c r="J151" s="41" t="str">
        <f>"(SELECT "&amp;VLOOKUP(B151,'0. Instruções'!$C$27:$G$31,4,FALSE)&amp;" AS "&amp;VLOOKUP(B151,'0. Instruções'!$C$27:$G$31,4,FALSE)&amp;"_SIMUL, "&amp;F151&amp;" AS "&amp;F151&amp;"_SIMUL FROM "&amp;E151&amp;")Y"</f>
        <v>(SELECT entty_id AS entty_id_SIMUL, ISIN AS ISIN_SIMUL FROM BU_LOANTAPE_WORK.LT003_ENTTY_P3_NOV24)Y</v>
      </c>
      <c r="K151" s="42" t="str">
        <f>+UPPER("ON X."&amp;VLOOKUP(B151,'0. Instruções'!$C$27:$G$31,4,FALSE)&amp;"=Y."&amp;VLOOKUP(B151,'0. Instruções'!$C$27:$G$31,4,FALSE)&amp;"_SIMUL")</f>
        <v>ON X.ENTTY_ID=Y.ENTTY_ID_SIMUL</v>
      </c>
      <c r="L151" s="42" t="str">
        <f>+IF(C151="Coerência", +IF(LEFT(G151,5)="FLOAT","SELECT '"&amp;UPPER(B151)&amp;"' AS TABELA, '"&amp;UPPER(C151)&amp;"' AS TIPOLOGIA_TESTE,'"&amp;D151&amp;"' AS TABELA_LT,'"&amp;E151&amp;"' AS TABELA_SIMUL,'"&amp;F151&amp;"' AS CAMPO, "&amp;"'${ref_date}' AS REF_DATE, COUNT(*) AS NUM_REG, SUM(IF((ABS(COALESCE(X."&amp;F151&amp;",0)-COALESCE(Y."&amp;F151&amp;"_SIMUL,0))&gt;0.0000000001) OR (X."&amp;F151&amp;" IS NULL AND Y."&amp;F151&amp;"_SIMUL IS NOT NULL ) OR (X."&amp;F151&amp;" IS NOT NULL AND Y."&amp;F151&amp;"_SIMUL IS NULL),1,0)) AS NUM_REG_DIF,'"&amp;MAX('ID1&amp;5'!K:K)+1&amp;"' AS ID_EXEC, CURRENT_TIMESTAMP() AS TIME_EXEC FROM "&amp;I151&amp;" INNER JOIN "&amp;J151&amp;" "&amp;K151,"SELECT '"&amp;UPPER(B151)&amp;"' AS TABELA, '"&amp;UPPER(C151)&amp;"' AS TIPOLOGIA_TESTE,'"&amp;D151&amp;"' AS TABELA_LT,'"&amp;E151&amp;"' AS TABELA_SIMUL,'"&amp;F151&amp;"' AS CAMPO, "&amp;"'${ref_date}' AS REF_DATE, COUNT(*) AS NUM_REG, SUM(IF(COALESCE(CAST(X."&amp;F151&amp;" AS STRING),'')&lt;&gt;COALESCE(CAST(Y."&amp;F151&amp;"_SIMUL AS STRING),''),1,0)) AS NUM_REG_DIF,'"&amp;MAX('ID1&amp;5'!L:L)+1&amp;"' AS ID_EXEC, CURRENT_TIMESTAMP() AS TIME_EXEC FROM "&amp;I151&amp;" INNER JOIN "&amp;J151&amp;" "&amp;K151),
IF(C151="Validade",+IF(G151="Code List","SELECT '"&amp;UPPER(B151)&amp;"' AS TABELA, '"&amp;UPPER(C151)&amp;"' AS TIPOLOGIA_TESTE,'"&amp;D151&amp;"' AS TABELA_LT,'N/A' AS TABELA_SIMUL,'"&amp;F151&amp;"' AS CAMPO, "&amp;"'${ref_date}' AS REF_DATE, COUNT(*) AS NUM_REG, SUM(IF(TRIM(CAST(X."&amp;F151&amp;" AS STRING))='' OR TRIM(CAST(X."&amp;F151&amp;" AS STRING)) IS NULL OR CAST(X."&amp;F151&amp;" AS STRING) NOT "&amp;H151&amp;",1,0)) AS NUM_REG_DIF,'"&amp;MAX('ID1&amp;5'!K:K)+1&amp;"' AS ID_EXEC, CURRENT_TIMESTAMP() AS TIME_EXEC FROM "&amp;I151,"SELECT '"&amp;UPPER(B151)&amp;"' AS TABELA, '"&amp;UPPER(C151)&amp;"' AS TIPOLOGIA_TESTE,'"&amp;D151&amp;"' AS TABELA_LT,'N/A' AS TABELA_SIMUL,'"&amp;F151&amp;"' AS CAMPO, "&amp;"'${ref_date}' AS REF_DATE, COUNT(*) AS NUM_REG, SUM(IF(TRIM(CAST(X."&amp;F151&amp;" AS STRING))='' OR TRIM(CAST(X."&amp;F151&amp;" AS STRING)) IS NULL,1,0)) AS NUM_REG_DIF,'"&amp;MAX('ID1&amp;5'!K:K)+1&amp;"' AS ID_EXEC, CURRENT_TIMESTAMP() AS TIME_EXEC FROM "&amp;I151),
IF(C151="Caracteres Especiais",+"SELECT '"&amp;UPPER(B151)&amp;"' AS TABELA, '"&amp;UPPER(C151)&amp;"' AS TIPOLOGIA_TESTE,'"&amp;D151&amp;"' AS TABELA_LT,'N/A' AS TABELA_SIMUL,'"&amp;F151&amp;"' AS CAMPO, "&amp;"'${ref_date}' AS REF_DATE, COUNT(*) AS NUM_REG, SUM(IF(INSTR(CAST(X."&amp;F151&amp;" AS STRING),'#')&gt;0 OR INSTR(CAST(X."&amp;F151&amp;" AS STRING),'*')&gt;0 OR INSTR(CAST(X."&amp;F151&amp;" AS STRING),'`')&gt;0 OR INSTR(CAST(X."&amp;F151&amp;" AS STRING),'´')&gt;0 OR INSTR(CAST(X."&amp;F151&amp;" AS STRING),'{')&gt;0 OR INSTR(CAST(X."&amp;F151&amp;" AS STRING),'}')&gt;0 OR INSTR(CAST(X."&amp;F151&amp;" AS STRING),'[')&gt;0 OR INSTR(CAST(X."&amp;F151&amp;" AS STRING),'')&gt;0 OR INSTR(CAST(X."&amp;F151&amp;" AS STRING),']')&gt;0 OR INSTR(CAST(X."&amp;F151&amp;" AS STRING),'?')&gt;0 OR INSTR(CAST(X."&amp;F151&amp;" AS STRING),'!')&gt;0 OR INSTR(CAST(X."&amp;F151&amp;" AS STRING),'$')&gt;0 OR INSTR(CAST(X."&amp;F151&amp;" AS STRING),'%')&gt;0 OR INSTR(CAST(X."&amp;F151&amp;" AS STRING),'&amp;')&gt;0 OR INSTR(CAST(X."&amp;F151&amp;" AS STRING),'+')&gt;0,1,0)) AS NUM_REG_DIF,'"&amp;MAX('ID1&amp;5'!K:K)+1&amp;"' AS ID_EXEC, CURRENT_TIMESTAMP() AS TIME_EXEC FROM "&amp;I151,
IF(C151="Missings",+"SELECT '"&amp;UPPER(B151)&amp;"' AS TABELA, '"&amp;UPPER(C151)&amp;"' AS TIPOLOGIA_TESTE,'"&amp;D151&amp;"' AS TABELA_LT,'N/A' AS TABELA_SIMUL,'"&amp;F151&amp;"' AS CAMPO, "&amp;"'${ref_date}' AS REF_DATE, COUNT(*) AS NUM_REG, SUM(IF(TRIM(CAST(X."&amp;F151&amp;" AS STRING)) IN ('0000-00-00','0001-01-01','9999-12-31','MISS','00000','99999999999','99999999999.00','99999999999.000000'),1,0)) AS NUM_REG_DIF,'"&amp;MAX('ID1&amp;5'!K:K)+1&amp;"' AS ID_EXEC, CURRENT_TIMESTAMP() AS TIME_EXEC FROM "&amp;I151,
IF(C151="Not applicable",+"SELECT '"&amp;UPPER(B151)&amp;"' AS TABELA, '"&amp;UPPER(C151)&amp;"' AS TIPOLOGIA_TESTE,'"&amp;D151&amp;"' AS TABELA_LT,'N/A' AS TABELA_SIMUL,'"&amp;F151&amp;"' AS CAMPO, "&amp;"'${ref_date}' AS REF_DATE, COUNT(*) AS NUM_REG, SUM(IF(TRIM(CAST(X."&amp;F151&amp;" AS STRING)) IN ('N/A','11111111111','11111111111.00','11111111111.000000','1111-11-11'),1,0)) AS NUM_REG_DIF,'"&amp;MAX('ID1&amp;5'!K:K)+1&amp;"' AS ID_EXEC, CURRENT_TIMESTAMP() AS TIME_EXEC FROM "&amp;I151,
IF(C151="Valores extremos",+"SELECT '"&amp;UPPER(B151)&amp;"' AS TABELA, '"&amp;UPPER(C151)&amp;"' AS TIPOLOGIA_TESTE,'"&amp;D151&amp;"' AS TABELA_LT,'N/A' AS TABELA_SIMUL,'"&amp;F151&amp;"' AS CAMPO, "&amp;"'${ref_date}' AS REF_DATE, CAST(MIN("&amp;F151&amp;") AS STRING) AS VALOR_MIN, CAST(MAX("&amp;F151&amp;") AS STRING) AS VALOR_MAX,'"&amp;MAX('ID1&amp;5'!K:K)+1&amp;"' AS ID_EXEC, CURRENT_TIMESTAMP() AS TIME_EXEC FROM "&amp;MID(I151,1,LEN(I151)-2)&amp;" AND CAST("&amp;F151&amp;"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TABELA_SIMUL,'ISIN' AS CAMPO, '${ref_date}' AS REF_DATE, COUNT(*) AS NUM_REG, SUM(IF(TRIM(CAST(X.ISIN AS STRING))='' OR TRIM(CAST(X.ISIN AS STRING)) IS NULL,1,0)) AS NUM_REG_DIF,'10' AS ID_EXEC, CURRENT_TIMESTAMP() AS TIME_EXEC FROM (SELECT entty_id, ISIN FROM BU_LOANTAPE_WORK.LT003_ENTITY WHERE ref_date='${ref_date}' AND nome_perimetro='Individual Corporativo' AND segmento='ESTR' AND ambito='PILAR3')X</v>
      </c>
      <c r="M151" s="43" t="str">
        <f t="shared" si="2"/>
        <v>UNION ALL SELECT 'ENTITY' AS TABELA, 'VALIDADE' AS TIPOLOGIA_TESTE,'BU_LOANTAPE_WORK.LT003_ENTITY' AS TABELA_LT,'N/A' AS TABELA_SIMUL,'ISIN' AS CAMPO, '${ref_date}' AS REF_DATE, COUNT(*) AS NUM_REG, SUM(IF(TRIM(CAST(X.ISIN AS STRING))='' OR TRIM(CAST(X.ISIN AS STRING)) IS NULL,1,0)) AS NUM_REG_DIF,'10' AS ID_EXEC, CURRENT_TIMESTAMP() AS TIME_EXEC FROM (SELECT entty_id, ISIN FROM BU_LOANTAPE_WORK.LT003_ENTITY WHERE ref_date='${ref_date}' AND nome_perimetro='Individual Corporativo' AND segmento='ESTR' AND ambito='PILAR3')X</v>
      </c>
      <c r="N151" s="45" t="s">
        <v>13</v>
      </c>
    </row>
    <row r="152" spans="2:14">
      <c r="B152" s="41" t="s">
        <v>23</v>
      </c>
      <c r="C152" s="41" t="s">
        <v>75</v>
      </c>
      <c r="D152" s="41" t="str">
        <f>+UPPER('0. Instruções'!$D$33&amp;"."&amp;VLOOKUP(B152,'0. Instruções'!$C$27:$D$31,2,FALSE))</f>
        <v>BU_LOANTAPE_WORK.LT003_ENTITY</v>
      </c>
      <c r="E152" s="41" t="str">
        <f>+UPPER('0. Instruções'!$D$34&amp;"."&amp;VLOOKUP(B152,'0. Instruções'!$C$27:$E$31,3,FALSE))</f>
        <v>BU_LOANTAPE_WORK.LT003_ENTTY_P3_NOV24</v>
      </c>
      <c r="F152" s="41" t="s">
        <v>128</v>
      </c>
      <c r="G152" s="41" t="s">
        <v>213</v>
      </c>
      <c r="H152" s="41"/>
      <c r="I152" s="41" t="str">
        <f>"(SELECT "&amp;VLOOKUP(B152,'0. Instruções'!$C$27:$G$31,4,FALSE)&amp;", "&amp;F152&amp;" FROM "&amp;D152&amp;" WHERE "&amp;'0. Instruções'!$D$40&amp;")X"</f>
        <v>(SELECT entty_id, GRP_ANNL_TRNVR_LE FROM BU_LOANTAPE_WORK.LT003_ENTITY WHERE ref_date='${ref_date}' AND nome_perimetro='Individual Corporativo' AND segmento='ESTR' AND ambito='PILAR3')X</v>
      </c>
      <c r="J152" s="41" t="str">
        <f>"(SELECT "&amp;VLOOKUP(B152,'0. Instruções'!$C$27:$G$31,4,FALSE)&amp;" AS "&amp;VLOOKUP(B152,'0. Instruções'!$C$27:$G$31,4,FALSE)&amp;"_SIMUL, "&amp;F152&amp;" AS "&amp;F152&amp;"_SIMUL FROM "&amp;E152&amp;")Y"</f>
        <v>(SELECT entty_id AS entty_id_SIMUL, GRP_ANNL_TRNVR_LE AS GRP_ANNL_TRNVR_LE_SIMUL FROM BU_LOANTAPE_WORK.LT003_ENTTY_P3_NOV24)Y</v>
      </c>
      <c r="K152" s="42" t="str">
        <f>+UPPER("ON X."&amp;VLOOKUP(B152,'0. Instruções'!$C$27:$G$31,4,FALSE)&amp;"=Y."&amp;VLOOKUP(B152,'0. Instruções'!$C$27:$G$31,4,FALSE)&amp;"_SIMUL")</f>
        <v>ON X.ENTTY_ID=Y.ENTTY_ID_SIMUL</v>
      </c>
      <c r="L152" s="42" t="str">
        <f>+IF(C152="Coerência", +IF(LEFT(G152,5)="FLOAT","SELECT '"&amp;UPPER(B152)&amp;"' AS TABELA, '"&amp;UPPER(C152)&amp;"' AS TIPOLOGIA_TESTE,'"&amp;D152&amp;"' AS TABELA_LT,'"&amp;E152&amp;"' AS TABELA_SIMUL,'"&amp;F152&amp;"' AS CAMPO, "&amp;"'${ref_date}' AS REF_DATE, COUNT(*) AS NUM_REG, SUM(IF((ABS(COALESCE(X."&amp;F152&amp;",0)-COALESCE(Y."&amp;F152&amp;"_SIMUL,0))&gt;0.0000000001) OR (X."&amp;F152&amp;" IS NULL AND Y."&amp;F152&amp;"_SIMUL IS NOT NULL ) OR (X."&amp;F152&amp;" IS NOT NULL AND Y."&amp;F152&amp;"_SIMUL IS NULL),1,0)) AS NUM_REG_DIF,'"&amp;MAX('ID1&amp;5'!K:K)+1&amp;"' AS ID_EXEC, CURRENT_TIMESTAMP() AS TIME_EXEC FROM "&amp;I152&amp;" INNER JOIN "&amp;J152&amp;" "&amp;K152,"SELECT '"&amp;UPPER(B152)&amp;"' AS TABELA, '"&amp;UPPER(C152)&amp;"' AS TIPOLOGIA_TESTE,'"&amp;D152&amp;"' AS TABELA_LT,'"&amp;E152&amp;"' AS TABELA_SIMUL,'"&amp;F152&amp;"' AS CAMPO, "&amp;"'${ref_date}' AS REF_DATE, COUNT(*) AS NUM_REG, SUM(IF(COALESCE(CAST(X."&amp;F152&amp;" AS STRING),'')&lt;&gt;COALESCE(CAST(Y."&amp;F152&amp;"_SIMUL AS STRING),''),1,0)) AS NUM_REG_DIF,'"&amp;MAX('ID1&amp;5'!L:L)+1&amp;"' AS ID_EXEC, CURRENT_TIMESTAMP() AS TIME_EXEC FROM "&amp;I152&amp;" INNER JOIN "&amp;J152&amp;" "&amp;K152),
IF(C152="Validade",+IF(G152="Code List","SELECT '"&amp;UPPER(B152)&amp;"' AS TABELA, '"&amp;UPPER(C152)&amp;"' AS TIPOLOGIA_TESTE,'"&amp;D152&amp;"' AS TABELA_LT,'N/A' AS TABELA_SIMUL,'"&amp;F152&amp;"' AS CAMPO, "&amp;"'${ref_date}' AS REF_DATE, COUNT(*) AS NUM_REG, SUM(IF(TRIM(CAST(X."&amp;F152&amp;" AS STRING))='' OR TRIM(CAST(X."&amp;F152&amp;" AS STRING)) IS NULL OR CAST(X."&amp;F152&amp;" AS STRING) NOT "&amp;H152&amp;",1,0)) AS NUM_REG_DIF,'"&amp;MAX('ID1&amp;5'!K:K)+1&amp;"' AS ID_EXEC, CURRENT_TIMESTAMP() AS TIME_EXEC FROM "&amp;I152,"SELECT '"&amp;UPPER(B152)&amp;"' AS TABELA, '"&amp;UPPER(C152)&amp;"' AS TIPOLOGIA_TESTE,'"&amp;D152&amp;"' AS TABELA_LT,'N/A' AS TABELA_SIMUL,'"&amp;F152&amp;"' AS CAMPO, "&amp;"'${ref_date}' AS REF_DATE, COUNT(*) AS NUM_REG, SUM(IF(TRIM(CAST(X."&amp;F152&amp;" AS STRING))='' OR TRIM(CAST(X."&amp;F152&amp;" AS STRING)) IS NULL,1,0)) AS NUM_REG_DIF,'"&amp;MAX('ID1&amp;5'!K:K)+1&amp;"' AS ID_EXEC, CURRENT_TIMESTAMP() AS TIME_EXEC FROM "&amp;I152),
IF(C152="Caracteres Especiais",+"SELECT '"&amp;UPPER(B152)&amp;"' AS TABELA, '"&amp;UPPER(C152)&amp;"' AS TIPOLOGIA_TESTE,'"&amp;D152&amp;"' AS TABELA_LT,'N/A' AS TABELA_SIMUL,'"&amp;F152&amp;"' AS CAMPO, "&amp;"'${ref_date}' AS REF_DATE, COUNT(*) AS NUM_REG, SUM(IF(INSTR(CAST(X."&amp;F152&amp;" AS STRING),'#')&gt;0 OR INSTR(CAST(X."&amp;F152&amp;" AS STRING),'*')&gt;0 OR INSTR(CAST(X."&amp;F152&amp;" AS STRING),'`')&gt;0 OR INSTR(CAST(X."&amp;F152&amp;" AS STRING),'´')&gt;0 OR INSTR(CAST(X."&amp;F152&amp;" AS STRING),'{')&gt;0 OR INSTR(CAST(X."&amp;F152&amp;" AS STRING),'}')&gt;0 OR INSTR(CAST(X."&amp;F152&amp;" AS STRING),'[')&gt;0 OR INSTR(CAST(X."&amp;F152&amp;" AS STRING),'')&gt;0 OR INSTR(CAST(X."&amp;F152&amp;" AS STRING),']')&gt;0 OR INSTR(CAST(X."&amp;F152&amp;" AS STRING),'?')&gt;0 OR INSTR(CAST(X."&amp;F152&amp;" AS STRING),'!')&gt;0 OR INSTR(CAST(X."&amp;F152&amp;" AS STRING),'$')&gt;0 OR INSTR(CAST(X."&amp;F152&amp;" AS STRING),'%')&gt;0 OR INSTR(CAST(X."&amp;F152&amp;" AS STRING),'&amp;')&gt;0 OR INSTR(CAST(X."&amp;F152&amp;" AS STRING),'+')&gt;0,1,0)) AS NUM_REG_DIF,'"&amp;MAX('ID1&amp;5'!K:K)+1&amp;"' AS ID_EXEC, CURRENT_TIMESTAMP() AS TIME_EXEC FROM "&amp;I152,
IF(C152="Missings",+"SELECT '"&amp;UPPER(B152)&amp;"' AS TABELA, '"&amp;UPPER(C152)&amp;"' AS TIPOLOGIA_TESTE,'"&amp;D152&amp;"' AS TABELA_LT,'N/A' AS TABELA_SIMUL,'"&amp;F152&amp;"' AS CAMPO, "&amp;"'${ref_date}' AS REF_DATE, COUNT(*) AS NUM_REG, SUM(IF(TRIM(CAST(X."&amp;F152&amp;" AS STRING)) IN ('0000-00-00','0001-01-01','9999-12-31','MISS','00000','99999999999','99999999999.00','99999999999.000000'),1,0)) AS NUM_REG_DIF,'"&amp;MAX('ID1&amp;5'!K:K)+1&amp;"' AS ID_EXEC, CURRENT_TIMESTAMP() AS TIME_EXEC FROM "&amp;I152,
IF(C152="Not applicable",+"SELECT '"&amp;UPPER(B152)&amp;"' AS TABELA, '"&amp;UPPER(C152)&amp;"' AS TIPOLOGIA_TESTE,'"&amp;D152&amp;"' AS TABELA_LT,'N/A' AS TABELA_SIMUL,'"&amp;F152&amp;"' AS CAMPO, "&amp;"'${ref_date}' AS REF_DATE, COUNT(*) AS NUM_REG, SUM(IF(TRIM(CAST(X."&amp;F152&amp;" AS STRING)) IN ('N/A','11111111111','11111111111.00','11111111111.000000','1111-11-11'),1,0)) AS NUM_REG_DIF,'"&amp;MAX('ID1&amp;5'!K:K)+1&amp;"' AS ID_EXEC, CURRENT_TIMESTAMP() AS TIME_EXEC FROM "&amp;I152,
IF(C152="Valores extremos",+"SELECT '"&amp;UPPER(B152)&amp;"' AS TABELA, '"&amp;UPPER(C152)&amp;"' AS TIPOLOGIA_TESTE,'"&amp;D152&amp;"' AS TABELA_LT,'N/A' AS TABELA_SIMUL,'"&amp;F152&amp;"' AS CAMPO, "&amp;"'${ref_date}' AS REF_DATE, CAST(MIN("&amp;F152&amp;") AS STRING) AS VALOR_MIN, CAST(MAX("&amp;F152&amp;") AS STRING) AS VALOR_MAX,'"&amp;MAX('ID1&amp;5'!K:K)+1&amp;"' AS ID_EXEC, CURRENT_TIMESTAMP() AS TIME_EXEC FROM "&amp;MID(I152,1,LEN(I152)-2)&amp;" AND CAST("&amp;F152&amp;"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TABELA_SIMUL,'GRP_ANNL_TRNVR_LE' AS CAMPO, '${ref_date}' AS REF_DATE, COUNT(*) AS NUM_REG, SUM(IF(TRIM(CAST(X.GRP_ANNL_TRNVR_LE AS STRING))='' OR TRIM(CAST(X.GRP_ANNL_TRNVR_LE AS STRING)) IS NULL,1,0)) AS NUM_REG_DIF,'10' AS ID_EXEC, CURRENT_TIMESTAMP() AS TIME_EXEC FROM (SELECT entty_id, GRP_ANNL_TRNVR_LE FROM BU_LOANTAPE_WORK.LT003_ENTITY WHERE ref_date='${ref_date}' AND nome_perimetro='Individual Corporativo' AND segmento='ESTR' AND ambito='PILAR3')X</v>
      </c>
      <c r="M152" s="43" t="str">
        <f t="shared" si="2"/>
        <v>UNION ALL SELECT 'ENTITY' AS TABELA, 'VALIDADE' AS TIPOLOGIA_TESTE,'BU_LOANTAPE_WORK.LT003_ENTITY' AS TABELA_LT,'N/A' AS TABELA_SIMUL,'GRP_ANNL_TRNVR_LE' AS CAMPO, '${ref_date}' AS REF_DATE, COUNT(*) AS NUM_REG, SUM(IF(TRIM(CAST(X.GRP_ANNL_TRNVR_LE AS STRING))='' OR TRIM(CAST(X.GRP_ANNL_TRNVR_LE AS STRING)) IS NULL,1,0)) AS NUM_REG_DIF,'10' AS ID_EXEC, CURRENT_TIMESTAMP() AS TIME_EXEC FROM (SELECT entty_id, GRP_ANNL_TRNVR_LE FROM BU_LOANTAPE_WORK.LT003_ENTITY WHERE ref_date='${ref_date}' AND nome_perimetro='Individual Corporativo' AND segmento='ESTR' AND ambito='PILAR3')X</v>
      </c>
      <c r="N152" s="45" t="s">
        <v>13</v>
      </c>
    </row>
    <row r="153" spans="2:14">
      <c r="B153" s="41" t="s">
        <v>23</v>
      </c>
      <c r="C153" s="41" t="s">
        <v>75</v>
      </c>
      <c r="D153" s="41" t="str">
        <f>+UPPER('0. Instruções'!$D$33&amp;"."&amp;VLOOKUP(B153,'0. Instruções'!$C$27:$D$31,2,FALSE))</f>
        <v>BU_LOANTAPE_WORK.LT003_ENTITY</v>
      </c>
      <c r="E153" s="41" t="str">
        <f>+UPPER('0. Instruções'!$D$34&amp;"."&amp;VLOOKUP(B153,'0. Instruções'!$C$27:$E$31,3,FALSE))</f>
        <v>BU_LOANTAPE_WORK.LT003_ENTTY_P3_NOV24</v>
      </c>
      <c r="F153" s="41" t="s">
        <v>129</v>
      </c>
      <c r="G153" s="41" t="s">
        <v>213</v>
      </c>
      <c r="H153" s="41"/>
      <c r="I153" s="41" t="str">
        <f>"(SELECT "&amp;VLOOKUP(B153,'0. Instruções'!$C$27:$G$31,4,FALSE)&amp;", "&amp;F153&amp;" FROM "&amp;D153&amp;" WHERE "&amp;'0. Instruções'!$D$40&amp;")X"</f>
        <v>(SELECT entty_id, GRP_TTL_LBLTY FROM BU_LOANTAPE_WORK.LT003_ENTITY WHERE ref_date='${ref_date}' AND nome_perimetro='Individual Corporativo' AND segmento='ESTR' AND ambito='PILAR3')X</v>
      </c>
      <c r="J153" s="41" t="str">
        <f>"(SELECT "&amp;VLOOKUP(B153,'0. Instruções'!$C$27:$G$31,4,FALSE)&amp;" AS "&amp;VLOOKUP(B153,'0. Instruções'!$C$27:$G$31,4,FALSE)&amp;"_SIMUL, "&amp;F153&amp;" AS "&amp;F153&amp;"_SIMUL FROM "&amp;E153&amp;")Y"</f>
        <v>(SELECT entty_id AS entty_id_SIMUL, GRP_TTL_LBLTY AS GRP_TTL_LBLTY_SIMUL FROM BU_LOANTAPE_WORK.LT003_ENTTY_P3_NOV24)Y</v>
      </c>
      <c r="K153" s="42" t="str">
        <f>+UPPER("ON X."&amp;VLOOKUP(B153,'0. Instruções'!$C$27:$G$31,4,FALSE)&amp;"=Y."&amp;VLOOKUP(B153,'0. Instruções'!$C$27:$G$31,4,FALSE)&amp;"_SIMUL")</f>
        <v>ON X.ENTTY_ID=Y.ENTTY_ID_SIMUL</v>
      </c>
      <c r="L153" s="42" t="str">
        <f>+IF(C153="Coerência", +IF(LEFT(G153,5)="FLOAT","SELECT '"&amp;UPPER(B153)&amp;"' AS TABELA, '"&amp;UPPER(C153)&amp;"' AS TIPOLOGIA_TESTE,'"&amp;D153&amp;"' AS TABELA_LT,'"&amp;E153&amp;"' AS TABELA_SIMUL,'"&amp;F153&amp;"' AS CAMPO, "&amp;"'${ref_date}' AS REF_DATE, COUNT(*) AS NUM_REG, SUM(IF((ABS(COALESCE(X."&amp;F153&amp;",0)-COALESCE(Y."&amp;F153&amp;"_SIMUL,0))&gt;0.0000000001) OR (X."&amp;F153&amp;" IS NULL AND Y."&amp;F153&amp;"_SIMUL IS NOT NULL ) OR (X."&amp;F153&amp;" IS NOT NULL AND Y."&amp;F153&amp;"_SIMUL IS NULL),1,0)) AS NUM_REG_DIF,'"&amp;MAX('ID1&amp;5'!K:K)+1&amp;"' AS ID_EXEC, CURRENT_TIMESTAMP() AS TIME_EXEC FROM "&amp;I153&amp;" INNER JOIN "&amp;J153&amp;" "&amp;K153,"SELECT '"&amp;UPPER(B153)&amp;"' AS TABELA, '"&amp;UPPER(C153)&amp;"' AS TIPOLOGIA_TESTE,'"&amp;D153&amp;"' AS TABELA_LT,'"&amp;E153&amp;"' AS TABELA_SIMUL,'"&amp;F153&amp;"' AS CAMPO, "&amp;"'${ref_date}' AS REF_DATE, COUNT(*) AS NUM_REG, SUM(IF(COALESCE(CAST(X."&amp;F153&amp;" AS STRING),'')&lt;&gt;COALESCE(CAST(Y."&amp;F153&amp;"_SIMUL AS STRING),''),1,0)) AS NUM_REG_DIF,'"&amp;MAX('ID1&amp;5'!L:L)+1&amp;"' AS ID_EXEC, CURRENT_TIMESTAMP() AS TIME_EXEC FROM "&amp;I153&amp;" INNER JOIN "&amp;J153&amp;" "&amp;K153),
IF(C153="Validade",+IF(G153="Code List","SELECT '"&amp;UPPER(B153)&amp;"' AS TABELA, '"&amp;UPPER(C153)&amp;"' AS TIPOLOGIA_TESTE,'"&amp;D153&amp;"' AS TABELA_LT,'N/A' AS TABELA_SIMUL,'"&amp;F153&amp;"' AS CAMPO, "&amp;"'${ref_date}' AS REF_DATE, COUNT(*) AS NUM_REG, SUM(IF(TRIM(CAST(X."&amp;F153&amp;" AS STRING))='' OR TRIM(CAST(X."&amp;F153&amp;" AS STRING)) IS NULL OR CAST(X."&amp;F153&amp;" AS STRING) NOT "&amp;H153&amp;",1,0)) AS NUM_REG_DIF,'"&amp;MAX('ID1&amp;5'!K:K)+1&amp;"' AS ID_EXEC, CURRENT_TIMESTAMP() AS TIME_EXEC FROM "&amp;I153,"SELECT '"&amp;UPPER(B153)&amp;"' AS TABELA, '"&amp;UPPER(C153)&amp;"' AS TIPOLOGIA_TESTE,'"&amp;D153&amp;"' AS TABELA_LT,'N/A' AS TABELA_SIMUL,'"&amp;F153&amp;"' AS CAMPO, "&amp;"'${ref_date}' AS REF_DATE, COUNT(*) AS NUM_REG, SUM(IF(TRIM(CAST(X."&amp;F153&amp;" AS STRING))='' OR TRIM(CAST(X."&amp;F153&amp;" AS STRING)) IS NULL,1,0)) AS NUM_REG_DIF,'"&amp;MAX('ID1&amp;5'!K:K)+1&amp;"' AS ID_EXEC, CURRENT_TIMESTAMP() AS TIME_EXEC FROM "&amp;I153),
IF(C153="Caracteres Especiais",+"SELECT '"&amp;UPPER(B153)&amp;"' AS TABELA, '"&amp;UPPER(C153)&amp;"' AS TIPOLOGIA_TESTE,'"&amp;D153&amp;"' AS TABELA_LT,'N/A' AS TABELA_SIMUL,'"&amp;F153&amp;"' AS CAMPO, "&amp;"'${ref_date}' AS REF_DATE, COUNT(*) AS NUM_REG, SUM(IF(INSTR(CAST(X."&amp;F153&amp;" AS STRING),'#')&gt;0 OR INSTR(CAST(X."&amp;F153&amp;" AS STRING),'*')&gt;0 OR INSTR(CAST(X."&amp;F153&amp;" AS STRING),'`')&gt;0 OR INSTR(CAST(X."&amp;F153&amp;" AS STRING),'´')&gt;0 OR INSTR(CAST(X."&amp;F153&amp;" AS STRING),'{')&gt;0 OR INSTR(CAST(X."&amp;F153&amp;" AS STRING),'}')&gt;0 OR INSTR(CAST(X."&amp;F153&amp;" AS STRING),'[')&gt;0 OR INSTR(CAST(X."&amp;F153&amp;" AS STRING),'')&gt;0 OR INSTR(CAST(X."&amp;F153&amp;" AS STRING),']')&gt;0 OR INSTR(CAST(X."&amp;F153&amp;" AS STRING),'?')&gt;0 OR INSTR(CAST(X."&amp;F153&amp;" AS STRING),'!')&gt;0 OR INSTR(CAST(X."&amp;F153&amp;" AS STRING),'$')&gt;0 OR INSTR(CAST(X."&amp;F153&amp;" AS STRING),'%')&gt;0 OR INSTR(CAST(X."&amp;F153&amp;" AS STRING),'&amp;')&gt;0 OR INSTR(CAST(X."&amp;F153&amp;" AS STRING),'+')&gt;0,1,0)) AS NUM_REG_DIF,'"&amp;MAX('ID1&amp;5'!K:K)+1&amp;"' AS ID_EXEC, CURRENT_TIMESTAMP() AS TIME_EXEC FROM "&amp;I153,
IF(C153="Missings",+"SELECT '"&amp;UPPER(B153)&amp;"' AS TABELA, '"&amp;UPPER(C153)&amp;"' AS TIPOLOGIA_TESTE,'"&amp;D153&amp;"' AS TABELA_LT,'N/A' AS TABELA_SIMUL,'"&amp;F153&amp;"' AS CAMPO, "&amp;"'${ref_date}' AS REF_DATE, COUNT(*) AS NUM_REG, SUM(IF(TRIM(CAST(X."&amp;F153&amp;" AS STRING)) IN ('0000-00-00','0001-01-01','9999-12-31','MISS','00000','99999999999','99999999999.00','99999999999.000000'),1,0)) AS NUM_REG_DIF,'"&amp;MAX('ID1&amp;5'!K:K)+1&amp;"' AS ID_EXEC, CURRENT_TIMESTAMP() AS TIME_EXEC FROM "&amp;I153,
IF(C153="Not applicable",+"SELECT '"&amp;UPPER(B153)&amp;"' AS TABELA, '"&amp;UPPER(C153)&amp;"' AS TIPOLOGIA_TESTE,'"&amp;D153&amp;"' AS TABELA_LT,'N/A' AS TABELA_SIMUL,'"&amp;F153&amp;"' AS CAMPO, "&amp;"'${ref_date}' AS REF_DATE, COUNT(*) AS NUM_REG, SUM(IF(TRIM(CAST(X."&amp;F153&amp;" AS STRING)) IN ('N/A','11111111111','11111111111.00','11111111111.000000','1111-11-11'),1,0)) AS NUM_REG_DIF,'"&amp;MAX('ID1&amp;5'!K:K)+1&amp;"' AS ID_EXEC, CURRENT_TIMESTAMP() AS TIME_EXEC FROM "&amp;I153,
IF(C153="Valores extremos",+"SELECT '"&amp;UPPER(B153)&amp;"' AS TABELA, '"&amp;UPPER(C153)&amp;"' AS TIPOLOGIA_TESTE,'"&amp;D153&amp;"' AS TABELA_LT,'N/A' AS TABELA_SIMUL,'"&amp;F153&amp;"' AS CAMPO, "&amp;"'${ref_date}' AS REF_DATE, CAST(MIN("&amp;F153&amp;") AS STRING) AS VALOR_MIN, CAST(MAX("&amp;F153&amp;") AS STRING) AS VALOR_MAX,'"&amp;MAX('ID1&amp;5'!K:K)+1&amp;"' AS ID_EXEC, CURRENT_TIMESTAMP() AS TIME_EXEC FROM "&amp;MID(I153,1,LEN(I153)-2)&amp;" AND CAST("&amp;F153&amp;"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TABELA_SIMUL,'GRP_TTL_LBLTY' AS CAMPO, '${ref_date}' AS REF_DATE, COUNT(*) AS NUM_REG, SUM(IF(TRIM(CAST(X.GRP_TTL_LBLTY AS STRING))='' OR TRIM(CAST(X.GRP_TTL_LBLTY AS STRING)) IS NULL,1,0)) AS NUM_REG_DIF,'10' AS ID_EXEC, CURRENT_TIMESTAMP() AS TIME_EXEC FROM (SELECT entty_id, GRP_TTL_LBLTY FROM BU_LOANTAPE_WORK.LT003_ENTITY WHERE ref_date='${ref_date}' AND nome_perimetro='Individual Corporativo' AND segmento='ESTR' AND ambito='PILAR3')X</v>
      </c>
      <c r="M153" s="43" t="str">
        <f t="shared" si="2"/>
        <v>UNION ALL SELECT 'ENTITY' AS TABELA, 'VALIDADE' AS TIPOLOGIA_TESTE,'BU_LOANTAPE_WORK.LT003_ENTITY' AS TABELA_LT,'N/A' AS TABELA_SIMUL,'GRP_TTL_LBLTY' AS CAMPO, '${ref_date}' AS REF_DATE, COUNT(*) AS NUM_REG, SUM(IF(TRIM(CAST(X.GRP_TTL_LBLTY AS STRING))='' OR TRIM(CAST(X.GRP_TTL_LBLTY AS STRING)) IS NULL,1,0)) AS NUM_REG_DIF,'10' AS ID_EXEC, CURRENT_TIMESTAMP() AS TIME_EXEC FROM (SELECT entty_id, GRP_TTL_LBLTY FROM BU_LOANTAPE_WORK.LT003_ENTITY WHERE ref_date='${ref_date}' AND nome_perimetro='Individual Corporativo' AND segmento='ESTR' AND ambito='PILAR3')X</v>
      </c>
      <c r="N153" s="45" t="s">
        <v>13</v>
      </c>
    </row>
    <row r="154" spans="2:14">
      <c r="B154" s="41" t="s">
        <v>23</v>
      </c>
      <c r="C154" s="41" t="s">
        <v>75</v>
      </c>
      <c r="D154" s="41" t="str">
        <f>+UPPER('0. Instruções'!$D$33&amp;"."&amp;VLOOKUP(B154,'0. Instruções'!$C$27:$D$31,2,FALSE))</f>
        <v>BU_LOANTAPE_WORK.LT003_ENTITY</v>
      </c>
      <c r="E154" s="41" t="str">
        <f>+UPPER('0. Instruções'!$D$34&amp;"."&amp;VLOOKUP(B154,'0. Instruções'!$C$27:$E$31,3,FALSE))</f>
        <v>BU_LOANTAPE_WORK.LT003_ENTTY_P3_NOV24</v>
      </c>
      <c r="F154" s="41" t="s">
        <v>130</v>
      </c>
      <c r="G154" s="41" t="s">
        <v>211</v>
      </c>
      <c r="H154" s="41"/>
      <c r="I154" s="41" t="str">
        <f>"(SELECT "&amp;VLOOKUP(B154,'0. Instruções'!$C$27:$G$31,4,FALSE)&amp;", "&amp;F154&amp;" FROM "&amp;D154&amp;" WHERE "&amp;'0. Instruções'!$D$40&amp;")X"</f>
        <v>(SELECT entty_id, FLG_GRP_NFRD_APPLCBLTY FROM BU_LOANTAPE_WORK.LT003_ENTITY WHERE ref_date='${ref_date}' AND nome_perimetro='Individual Corporativo' AND segmento='ESTR' AND ambito='PILAR3')X</v>
      </c>
      <c r="J154" s="41" t="str">
        <f>"(SELECT "&amp;VLOOKUP(B154,'0. Instruções'!$C$27:$G$31,4,FALSE)&amp;" AS "&amp;VLOOKUP(B154,'0. Instruções'!$C$27:$G$31,4,FALSE)&amp;"_SIMUL, "&amp;F154&amp;" AS "&amp;F154&amp;"_SIMUL FROM "&amp;E154&amp;")Y"</f>
        <v>(SELECT entty_id AS entty_id_SIMUL, FLG_GRP_NFRD_APPLCBLTY AS FLG_GRP_NFRD_APPLCBLTY_SIMUL FROM BU_LOANTAPE_WORK.LT003_ENTTY_P3_NOV24)Y</v>
      </c>
      <c r="K154" s="42" t="str">
        <f>+UPPER("ON X."&amp;VLOOKUP(B154,'0. Instruções'!$C$27:$G$31,4,FALSE)&amp;"=Y."&amp;VLOOKUP(B154,'0. Instruções'!$C$27:$G$31,4,FALSE)&amp;"_SIMUL")</f>
        <v>ON X.ENTTY_ID=Y.ENTTY_ID_SIMUL</v>
      </c>
      <c r="L154" s="42" t="str">
        <f>+IF(C154="Coerência", +IF(LEFT(G154,5)="FLOAT","SELECT '"&amp;UPPER(B154)&amp;"' AS TABELA, '"&amp;UPPER(C154)&amp;"' AS TIPOLOGIA_TESTE,'"&amp;D154&amp;"' AS TABELA_LT,'"&amp;E154&amp;"' AS TABELA_SIMUL,'"&amp;F154&amp;"' AS CAMPO, "&amp;"'${ref_date}' AS REF_DATE, COUNT(*) AS NUM_REG, SUM(IF((ABS(COALESCE(X."&amp;F154&amp;",0)-COALESCE(Y."&amp;F154&amp;"_SIMUL,0))&gt;0.0000000001) OR (X."&amp;F154&amp;" IS NULL AND Y."&amp;F154&amp;"_SIMUL IS NOT NULL ) OR (X."&amp;F154&amp;" IS NOT NULL AND Y."&amp;F154&amp;"_SIMUL IS NULL),1,0)) AS NUM_REG_DIF,'"&amp;MAX('ID1&amp;5'!K:K)+1&amp;"' AS ID_EXEC, CURRENT_TIMESTAMP() AS TIME_EXEC FROM "&amp;I154&amp;" INNER JOIN "&amp;J154&amp;" "&amp;K154,"SELECT '"&amp;UPPER(B154)&amp;"' AS TABELA, '"&amp;UPPER(C154)&amp;"' AS TIPOLOGIA_TESTE,'"&amp;D154&amp;"' AS TABELA_LT,'"&amp;E154&amp;"' AS TABELA_SIMUL,'"&amp;F154&amp;"' AS CAMPO, "&amp;"'${ref_date}' AS REF_DATE, COUNT(*) AS NUM_REG, SUM(IF(COALESCE(CAST(X."&amp;F154&amp;" AS STRING),'')&lt;&gt;COALESCE(CAST(Y."&amp;F154&amp;"_SIMUL AS STRING),''),1,0)) AS NUM_REG_DIF,'"&amp;MAX('ID1&amp;5'!L:L)+1&amp;"' AS ID_EXEC, CURRENT_TIMESTAMP() AS TIME_EXEC FROM "&amp;I154&amp;" INNER JOIN "&amp;J154&amp;" "&amp;K154),
IF(C154="Validade",+IF(G154="Code List","SELECT '"&amp;UPPER(B154)&amp;"' AS TABELA, '"&amp;UPPER(C154)&amp;"' AS TIPOLOGIA_TESTE,'"&amp;D154&amp;"' AS TABELA_LT,'N/A' AS TABELA_SIMUL,'"&amp;F154&amp;"' AS CAMPO, "&amp;"'${ref_date}' AS REF_DATE, COUNT(*) AS NUM_REG, SUM(IF(TRIM(CAST(X."&amp;F154&amp;" AS STRING))='' OR TRIM(CAST(X."&amp;F154&amp;" AS STRING)) IS NULL OR CAST(X."&amp;F154&amp;" AS STRING) NOT "&amp;H154&amp;",1,0)) AS NUM_REG_DIF,'"&amp;MAX('ID1&amp;5'!K:K)+1&amp;"' AS ID_EXEC, CURRENT_TIMESTAMP() AS TIME_EXEC FROM "&amp;I154,"SELECT '"&amp;UPPER(B154)&amp;"' AS TABELA, '"&amp;UPPER(C154)&amp;"' AS TIPOLOGIA_TESTE,'"&amp;D154&amp;"' AS TABELA_LT,'N/A' AS TABELA_SIMUL,'"&amp;F154&amp;"' AS CAMPO, "&amp;"'${ref_date}' AS REF_DATE, COUNT(*) AS NUM_REG, SUM(IF(TRIM(CAST(X."&amp;F154&amp;" AS STRING))='' OR TRIM(CAST(X."&amp;F154&amp;" AS STRING)) IS NULL,1,0)) AS NUM_REG_DIF,'"&amp;MAX('ID1&amp;5'!K:K)+1&amp;"' AS ID_EXEC, CURRENT_TIMESTAMP() AS TIME_EXEC FROM "&amp;I154),
IF(C154="Caracteres Especiais",+"SELECT '"&amp;UPPER(B154)&amp;"' AS TABELA, '"&amp;UPPER(C154)&amp;"' AS TIPOLOGIA_TESTE,'"&amp;D154&amp;"' AS TABELA_LT,'N/A' AS TABELA_SIMUL,'"&amp;F154&amp;"' AS CAMPO, "&amp;"'${ref_date}' AS REF_DATE, COUNT(*) AS NUM_REG, SUM(IF(INSTR(CAST(X."&amp;F154&amp;" AS STRING),'#')&gt;0 OR INSTR(CAST(X."&amp;F154&amp;" AS STRING),'*')&gt;0 OR INSTR(CAST(X."&amp;F154&amp;" AS STRING),'`')&gt;0 OR INSTR(CAST(X."&amp;F154&amp;" AS STRING),'´')&gt;0 OR INSTR(CAST(X."&amp;F154&amp;" AS STRING),'{')&gt;0 OR INSTR(CAST(X."&amp;F154&amp;" AS STRING),'}')&gt;0 OR INSTR(CAST(X."&amp;F154&amp;" AS STRING),'[')&gt;0 OR INSTR(CAST(X."&amp;F154&amp;" AS STRING),'')&gt;0 OR INSTR(CAST(X."&amp;F154&amp;" AS STRING),']')&gt;0 OR INSTR(CAST(X."&amp;F154&amp;" AS STRING),'?')&gt;0 OR INSTR(CAST(X."&amp;F154&amp;" AS STRING),'!')&gt;0 OR INSTR(CAST(X."&amp;F154&amp;" AS STRING),'$')&gt;0 OR INSTR(CAST(X."&amp;F154&amp;" AS STRING),'%')&gt;0 OR INSTR(CAST(X."&amp;F154&amp;" AS STRING),'&amp;')&gt;0 OR INSTR(CAST(X."&amp;F154&amp;" AS STRING),'+')&gt;0,1,0)) AS NUM_REG_DIF,'"&amp;MAX('ID1&amp;5'!K:K)+1&amp;"' AS ID_EXEC, CURRENT_TIMESTAMP() AS TIME_EXEC FROM "&amp;I154,
IF(C154="Missings",+"SELECT '"&amp;UPPER(B154)&amp;"' AS TABELA, '"&amp;UPPER(C154)&amp;"' AS TIPOLOGIA_TESTE,'"&amp;D154&amp;"' AS TABELA_LT,'N/A' AS TABELA_SIMUL,'"&amp;F154&amp;"' AS CAMPO, "&amp;"'${ref_date}' AS REF_DATE, COUNT(*) AS NUM_REG, SUM(IF(TRIM(CAST(X."&amp;F154&amp;" AS STRING)) IN ('0000-00-00','0001-01-01','9999-12-31','MISS','00000','99999999999','99999999999.00','99999999999.000000'),1,0)) AS NUM_REG_DIF,'"&amp;MAX('ID1&amp;5'!K:K)+1&amp;"' AS ID_EXEC, CURRENT_TIMESTAMP() AS TIME_EXEC FROM "&amp;I154,
IF(C154="Not applicable",+"SELECT '"&amp;UPPER(B154)&amp;"' AS TABELA, '"&amp;UPPER(C154)&amp;"' AS TIPOLOGIA_TESTE,'"&amp;D154&amp;"' AS TABELA_LT,'N/A' AS TABELA_SIMUL,'"&amp;F154&amp;"' AS CAMPO, "&amp;"'${ref_date}' AS REF_DATE, COUNT(*) AS NUM_REG, SUM(IF(TRIM(CAST(X."&amp;F154&amp;" AS STRING)) IN ('N/A','11111111111','11111111111.00','11111111111.000000','1111-11-11'),1,0)) AS NUM_REG_DIF,'"&amp;MAX('ID1&amp;5'!K:K)+1&amp;"' AS ID_EXEC, CURRENT_TIMESTAMP() AS TIME_EXEC FROM "&amp;I154,
IF(C154="Valores extremos",+"SELECT '"&amp;UPPER(B154)&amp;"' AS TABELA, '"&amp;UPPER(C154)&amp;"' AS TIPOLOGIA_TESTE,'"&amp;D154&amp;"' AS TABELA_LT,'N/A' AS TABELA_SIMUL,'"&amp;F154&amp;"' AS CAMPO, "&amp;"'${ref_date}' AS REF_DATE, CAST(MIN("&amp;F154&amp;") AS STRING) AS VALOR_MIN, CAST(MAX("&amp;F154&amp;") AS STRING) AS VALOR_MAX,'"&amp;MAX('ID1&amp;5'!K:K)+1&amp;"' AS ID_EXEC, CURRENT_TIMESTAMP() AS TIME_EXEC FROM "&amp;MID(I154,1,LEN(I154)-2)&amp;" AND CAST("&amp;F154&amp;"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TABELA_SIMUL,'FLG_GRP_NFRD_APPLCBLTY' AS CAMPO, '${ref_date}' AS REF_DATE, COUNT(*) AS NUM_REG, SUM(IF(TRIM(CAST(X.FLG_GRP_NFRD_APPLCBLTY AS STRING))='' OR TRIM(CAST(X.FLG_GRP_NFRD_APPLCBLTY AS STRING)) IS NULL,1,0)) AS NUM_REG_DIF,'10' AS ID_EXEC, CURRENT_TIMESTAMP() AS TIME_EXEC FROM (SELECT entty_id, FLG_GRP_NFRD_APPLCBLTY FROM BU_LOANTAPE_WORK.LT003_ENTITY WHERE ref_date='${ref_date}' AND nome_perimetro='Individual Corporativo' AND segmento='ESTR' AND ambito='PILAR3')X</v>
      </c>
      <c r="M154" s="43" t="str">
        <f t="shared" si="2"/>
        <v>UNION ALL SELECT 'ENTITY' AS TABELA, 'VALIDADE' AS TIPOLOGIA_TESTE,'BU_LOANTAPE_WORK.LT003_ENTITY' AS TABELA_LT,'N/A' AS TABELA_SIMUL,'FLG_GRP_NFRD_APPLCBLTY' AS CAMPO, '${ref_date}' AS REF_DATE, COUNT(*) AS NUM_REG, SUM(IF(TRIM(CAST(X.FLG_GRP_NFRD_APPLCBLTY AS STRING))='' OR TRIM(CAST(X.FLG_GRP_NFRD_APPLCBLTY AS STRING)) IS NULL,1,0)) AS NUM_REG_DIF,'10' AS ID_EXEC, CURRENT_TIMESTAMP() AS TIME_EXEC FROM (SELECT entty_id, FLG_GRP_NFRD_APPLCBLTY FROM BU_LOANTAPE_WORK.LT003_ENTITY WHERE ref_date='${ref_date}' AND nome_perimetro='Individual Corporativo' AND segmento='ESTR' AND ambito='PILAR3')X</v>
      </c>
      <c r="N154" s="45" t="s">
        <v>13</v>
      </c>
    </row>
    <row r="155" spans="2:14">
      <c r="B155" s="41" t="s">
        <v>23</v>
      </c>
      <c r="C155" s="41" t="s">
        <v>75</v>
      </c>
      <c r="D155" s="41" t="str">
        <f>+UPPER('0. Instruções'!$D$33&amp;"."&amp;VLOOKUP(B155,'0. Instruções'!$C$27:$D$31,2,FALSE))</f>
        <v>BU_LOANTAPE_WORK.LT003_ENTITY</v>
      </c>
      <c r="E155" s="41" t="str">
        <f>+UPPER('0. Instruções'!$D$34&amp;"."&amp;VLOOKUP(B155,'0. Instruções'!$C$27:$E$31,3,FALSE))</f>
        <v>BU_LOANTAPE_WORK.LT003_ENTTY_P3_NOV24</v>
      </c>
      <c r="F155" s="41" t="s">
        <v>131</v>
      </c>
      <c r="G155" s="41" t="s">
        <v>210</v>
      </c>
      <c r="H155" s="41"/>
      <c r="I155" s="41" t="str">
        <f>"(SELECT "&amp;VLOOKUP(B155,'0. Instruções'!$C$27:$G$31,4,FALSE)&amp;", "&amp;F155&amp;" FROM "&amp;D155&amp;" WHERE "&amp;'0. Instruções'!$D$40&amp;")X"</f>
        <v>(SELECT entty_id, GRP_EMSSNS_SCP1 FROM BU_LOANTAPE_WORK.LT003_ENTITY WHERE ref_date='${ref_date}' AND nome_perimetro='Individual Corporativo' AND segmento='ESTR' AND ambito='PILAR3')X</v>
      </c>
      <c r="J155" s="41" t="str">
        <f>"(SELECT "&amp;VLOOKUP(B155,'0. Instruções'!$C$27:$G$31,4,FALSE)&amp;" AS "&amp;VLOOKUP(B155,'0. Instruções'!$C$27:$G$31,4,FALSE)&amp;"_SIMUL, "&amp;F155&amp;" AS "&amp;F155&amp;"_SIMUL FROM "&amp;E155&amp;")Y"</f>
        <v>(SELECT entty_id AS entty_id_SIMUL, GRP_EMSSNS_SCP1 AS GRP_EMSSNS_SCP1_SIMUL FROM BU_LOANTAPE_WORK.LT003_ENTTY_P3_NOV24)Y</v>
      </c>
      <c r="K155" s="42" t="str">
        <f>+UPPER("ON X."&amp;VLOOKUP(B155,'0. Instruções'!$C$27:$G$31,4,FALSE)&amp;"=Y."&amp;VLOOKUP(B155,'0. Instruções'!$C$27:$G$31,4,FALSE)&amp;"_SIMUL")</f>
        <v>ON X.ENTTY_ID=Y.ENTTY_ID_SIMUL</v>
      </c>
      <c r="L155" s="42" t="str">
        <f>+IF(C155="Coerência", +IF(LEFT(G155,5)="FLOAT","SELECT '"&amp;UPPER(B155)&amp;"' AS TABELA, '"&amp;UPPER(C155)&amp;"' AS TIPOLOGIA_TESTE,'"&amp;D155&amp;"' AS TABELA_LT,'"&amp;E155&amp;"' AS TABELA_SIMUL,'"&amp;F155&amp;"' AS CAMPO, "&amp;"'${ref_date}' AS REF_DATE, COUNT(*) AS NUM_REG, SUM(IF((ABS(COALESCE(X."&amp;F155&amp;",0)-COALESCE(Y."&amp;F155&amp;"_SIMUL,0))&gt;0.0000000001) OR (X."&amp;F155&amp;" IS NULL AND Y."&amp;F155&amp;"_SIMUL IS NOT NULL ) OR (X."&amp;F155&amp;" IS NOT NULL AND Y."&amp;F155&amp;"_SIMUL IS NULL),1,0)) AS NUM_REG_DIF,'"&amp;MAX('ID1&amp;5'!K:K)+1&amp;"' AS ID_EXEC, CURRENT_TIMESTAMP() AS TIME_EXEC FROM "&amp;I155&amp;" INNER JOIN "&amp;J155&amp;" "&amp;K155,"SELECT '"&amp;UPPER(B155)&amp;"' AS TABELA, '"&amp;UPPER(C155)&amp;"' AS TIPOLOGIA_TESTE,'"&amp;D155&amp;"' AS TABELA_LT,'"&amp;E155&amp;"' AS TABELA_SIMUL,'"&amp;F155&amp;"' AS CAMPO, "&amp;"'${ref_date}' AS REF_DATE, COUNT(*) AS NUM_REG, SUM(IF(COALESCE(CAST(X."&amp;F155&amp;" AS STRING),'')&lt;&gt;COALESCE(CAST(Y."&amp;F155&amp;"_SIMUL AS STRING),''),1,0)) AS NUM_REG_DIF,'"&amp;MAX('ID1&amp;5'!L:L)+1&amp;"' AS ID_EXEC, CURRENT_TIMESTAMP() AS TIME_EXEC FROM "&amp;I155&amp;" INNER JOIN "&amp;J155&amp;" "&amp;K155),
IF(C155="Validade",+IF(G155="Code List","SELECT '"&amp;UPPER(B155)&amp;"' AS TABELA, '"&amp;UPPER(C155)&amp;"' AS TIPOLOGIA_TESTE,'"&amp;D155&amp;"' AS TABELA_LT,'N/A' AS TABELA_SIMUL,'"&amp;F155&amp;"' AS CAMPO, "&amp;"'${ref_date}' AS REF_DATE, COUNT(*) AS NUM_REG, SUM(IF(TRIM(CAST(X."&amp;F155&amp;" AS STRING))='' OR TRIM(CAST(X."&amp;F155&amp;" AS STRING)) IS NULL OR CAST(X."&amp;F155&amp;" AS STRING) NOT "&amp;H155&amp;",1,0)) AS NUM_REG_DIF,'"&amp;MAX('ID1&amp;5'!K:K)+1&amp;"' AS ID_EXEC, CURRENT_TIMESTAMP() AS TIME_EXEC FROM "&amp;I155,"SELECT '"&amp;UPPER(B155)&amp;"' AS TABELA, '"&amp;UPPER(C155)&amp;"' AS TIPOLOGIA_TESTE,'"&amp;D155&amp;"' AS TABELA_LT,'N/A' AS TABELA_SIMUL,'"&amp;F155&amp;"' AS CAMPO, "&amp;"'${ref_date}' AS REF_DATE, COUNT(*) AS NUM_REG, SUM(IF(TRIM(CAST(X."&amp;F155&amp;" AS STRING))='' OR TRIM(CAST(X."&amp;F155&amp;" AS STRING)) IS NULL,1,0)) AS NUM_REG_DIF,'"&amp;MAX('ID1&amp;5'!K:K)+1&amp;"' AS ID_EXEC, CURRENT_TIMESTAMP() AS TIME_EXEC FROM "&amp;I155),
IF(C155="Caracteres Especiais",+"SELECT '"&amp;UPPER(B155)&amp;"' AS TABELA, '"&amp;UPPER(C155)&amp;"' AS TIPOLOGIA_TESTE,'"&amp;D155&amp;"' AS TABELA_LT,'N/A' AS TABELA_SIMUL,'"&amp;F155&amp;"' AS CAMPO, "&amp;"'${ref_date}' AS REF_DATE, COUNT(*) AS NUM_REG, SUM(IF(INSTR(CAST(X."&amp;F155&amp;" AS STRING),'#')&gt;0 OR INSTR(CAST(X."&amp;F155&amp;" AS STRING),'*')&gt;0 OR INSTR(CAST(X."&amp;F155&amp;" AS STRING),'`')&gt;0 OR INSTR(CAST(X."&amp;F155&amp;" AS STRING),'´')&gt;0 OR INSTR(CAST(X."&amp;F155&amp;" AS STRING),'{')&gt;0 OR INSTR(CAST(X."&amp;F155&amp;" AS STRING),'}')&gt;0 OR INSTR(CAST(X."&amp;F155&amp;" AS STRING),'[')&gt;0 OR INSTR(CAST(X."&amp;F155&amp;" AS STRING),'')&gt;0 OR INSTR(CAST(X."&amp;F155&amp;" AS STRING),']')&gt;0 OR INSTR(CAST(X."&amp;F155&amp;" AS STRING),'?')&gt;0 OR INSTR(CAST(X."&amp;F155&amp;" AS STRING),'!')&gt;0 OR INSTR(CAST(X."&amp;F155&amp;" AS STRING),'$')&gt;0 OR INSTR(CAST(X."&amp;F155&amp;" AS STRING),'%')&gt;0 OR INSTR(CAST(X."&amp;F155&amp;" AS STRING),'&amp;')&gt;0 OR INSTR(CAST(X."&amp;F155&amp;" AS STRING),'+')&gt;0,1,0)) AS NUM_REG_DIF,'"&amp;MAX('ID1&amp;5'!K:K)+1&amp;"' AS ID_EXEC, CURRENT_TIMESTAMP() AS TIME_EXEC FROM "&amp;I155,
IF(C155="Missings",+"SELECT '"&amp;UPPER(B155)&amp;"' AS TABELA, '"&amp;UPPER(C155)&amp;"' AS TIPOLOGIA_TESTE,'"&amp;D155&amp;"' AS TABELA_LT,'N/A' AS TABELA_SIMUL,'"&amp;F155&amp;"' AS CAMPO, "&amp;"'${ref_date}' AS REF_DATE, COUNT(*) AS NUM_REG, SUM(IF(TRIM(CAST(X."&amp;F155&amp;" AS STRING)) IN ('0000-00-00','0001-01-01','9999-12-31','MISS','00000','99999999999','99999999999.00','99999999999.000000'),1,0)) AS NUM_REG_DIF,'"&amp;MAX('ID1&amp;5'!K:K)+1&amp;"' AS ID_EXEC, CURRENT_TIMESTAMP() AS TIME_EXEC FROM "&amp;I155,
IF(C155="Not applicable",+"SELECT '"&amp;UPPER(B155)&amp;"' AS TABELA, '"&amp;UPPER(C155)&amp;"' AS TIPOLOGIA_TESTE,'"&amp;D155&amp;"' AS TABELA_LT,'N/A' AS TABELA_SIMUL,'"&amp;F155&amp;"' AS CAMPO, "&amp;"'${ref_date}' AS REF_DATE, COUNT(*) AS NUM_REG, SUM(IF(TRIM(CAST(X."&amp;F155&amp;" AS STRING)) IN ('N/A','11111111111','11111111111.00','11111111111.000000','1111-11-11'),1,0)) AS NUM_REG_DIF,'"&amp;MAX('ID1&amp;5'!K:K)+1&amp;"' AS ID_EXEC, CURRENT_TIMESTAMP() AS TIME_EXEC FROM "&amp;I155,
IF(C155="Valores extremos",+"SELECT '"&amp;UPPER(B155)&amp;"' AS TABELA, '"&amp;UPPER(C155)&amp;"' AS TIPOLOGIA_TESTE,'"&amp;D155&amp;"' AS TABELA_LT,'N/A' AS TABELA_SIMUL,'"&amp;F155&amp;"' AS CAMPO, "&amp;"'${ref_date}' AS REF_DATE, CAST(MIN("&amp;F155&amp;") AS STRING) AS VALOR_MIN, CAST(MAX("&amp;F155&amp;") AS STRING) AS VALOR_MAX,'"&amp;MAX('ID1&amp;5'!K:K)+1&amp;"' AS ID_EXEC, CURRENT_TIMESTAMP() AS TIME_EXEC FROM "&amp;MID(I155,1,LEN(I155)-2)&amp;" AND CAST("&amp;F155&amp;"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TABELA_SIMUL,'GRP_EMSSNS_SCP1' AS CAMPO, '${ref_date}' AS REF_DATE, COUNT(*) AS NUM_REG, SUM(IF(TRIM(CAST(X.GRP_EMSSNS_SCP1 AS STRING))='' OR TRIM(CAST(X.GRP_EMSSNS_SCP1 AS STRING)) IS NULL,1,0)) AS NUM_REG_DIF,'10' AS ID_EXEC, CURRENT_TIMESTAMP() AS TIME_EXEC FROM (SELECT entty_id, GRP_EMSSNS_SCP1 FROM BU_LOANTAPE_WORK.LT003_ENTITY WHERE ref_date='${ref_date}' AND nome_perimetro='Individual Corporativo' AND segmento='ESTR' AND ambito='PILAR3')X</v>
      </c>
      <c r="M155" s="43" t="str">
        <f t="shared" si="2"/>
        <v>UNION ALL SELECT 'ENTITY' AS TABELA, 'VALIDADE' AS TIPOLOGIA_TESTE,'BU_LOANTAPE_WORK.LT003_ENTITY' AS TABELA_LT,'N/A' AS TABELA_SIMUL,'GRP_EMSSNS_SCP1' AS CAMPO, '${ref_date}' AS REF_DATE, COUNT(*) AS NUM_REG, SUM(IF(TRIM(CAST(X.GRP_EMSSNS_SCP1 AS STRING))='' OR TRIM(CAST(X.GRP_EMSSNS_SCP1 AS STRING)) IS NULL,1,0)) AS NUM_REG_DIF,'10' AS ID_EXEC, CURRENT_TIMESTAMP() AS TIME_EXEC FROM (SELECT entty_id, GRP_EMSSNS_SCP1 FROM BU_LOANTAPE_WORK.LT003_ENTITY WHERE ref_date='${ref_date}' AND nome_perimetro='Individual Corporativo' AND segmento='ESTR' AND ambito='PILAR3')X</v>
      </c>
      <c r="N155" s="45" t="s">
        <v>13</v>
      </c>
    </row>
    <row r="156" spans="2:14">
      <c r="B156" s="41" t="s">
        <v>23</v>
      </c>
      <c r="C156" s="41" t="s">
        <v>75</v>
      </c>
      <c r="D156" s="41" t="str">
        <f>+UPPER('0. Instruções'!$D$33&amp;"."&amp;VLOOKUP(B156,'0. Instruções'!$C$27:$D$31,2,FALSE))</f>
        <v>BU_LOANTAPE_WORK.LT003_ENTITY</v>
      </c>
      <c r="E156" s="41" t="str">
        <f>+UPPER('0. Instruções'!$D$34&amp;"."&amp;VLOOKUP(B156,'0. Instruções'!$C$27:$E$31,3,FALSE))</f>
        <v>BU_LOANTAPE_WORK.LT003_ENTTY_P3_NOV24</v>
      </c>
      <c r="F156" s="41" t="s">
        <v>132</v>
      </c>
      <c r="G156" s="41" t="s">
        <v>210</v>
      </c>
      <c r="H156" s="41"/>
      <c r="I156" s="41" t="str">
        <f>"(SELECT "&amp;VLOOKUP(B156,'0. Instruções'!$C$27:$G$31,4,FALSE)&amp;", "&amp;F156&amp;" FROM "&amp;D156&amp;" WHERE "&amp;'0. Instruções'!$D$40&amp;")X"</f>
        <v>(SELECT entty_id, GRP_EMSSNS_SCP2 FROM BU_LOANTAPE_WORK.LT003_ENTITY WHERE ref_date='${ref_date}' AND nome_perimetro='Individual Corporativo' AND segmento='ESTR' AND ambito='PILAR3')X</v>
      </c>
      <c r="J156" s="41" t="str">
        <f>"(SELECT "&amp;VLOOKUP(B156,'0. Instruções'!$C$27:$G$31,4,FALSE)&amp;" AS "&amp;VLOOKUP(B156,'0. Instruções'!$C$27:$G$31,4,FALSE)&amp;"_SIMUL, "&amp;F156&amp;" AS "&amp;F156&amp;"_SIMUL FROM "&amp;E156&amp;")Y"</f>
        <v>(SELECT entty_id AS entty_id_SIMUL, GRP_EMSSNS_SCP2 AS GRP_EMSSNS_SCP2_SIMUL FROM BU_LOANTAPE_WORK.LT003_ENTTY_P3_NOV24)Y</v>
      </c>
      <c r="K156" s="42" t="str">
        <f>+UPPER("ON X."&amp;VLOOKUP(B156,'0. Instruções'!$C$27:$G$31,4,FALSE)&amp;"=Y."&amp;VLOOKUP(B156,'0. Instruções'!$C$27:$G$31,4,FALSE)&amp;"_SIMUL")</f>
        <v>ON X.ENTTY_ID=Y.ENTTY_ID_SIMUL</v>
      </c>
      <c r="L156" s="42" t="str">
        <f>+IF(C156="Coerência", +IF(LEFT(G156,5)="FLOAT","SELECT '"&amp;UPPER(B156)&amp;"' AS TABELA, '"&amp;UPPER(C156)&amp;"' AS TIPOLOGIA_TESTE,'"&amp;D156&amp;"' AS TABELA_LT,'"&amp;E156&amp;"' AS TABELA_SIMUL,'"&amp;F156&amp;"' AS CAMPO, "&amp;"'${ref_date}' AS REF_DATE, COUNT(*) AS NUM_REG, SUM(IF((ABS(COALESCE(X."&amp;F156&amp;",0)-COALESCE(Y."&amp;F156&amp;"_SIMUL,0))&gt;0.0000000001) OR (X."&amp;F156&amp;" IS NULL AND Y."&amp;F156&amp;"_SIMUL IS NOT NULL ) OR (X."&amp;F156&amp;" IS NOT NULL AND Y."&amp;F156&amp;"_SIMUL IS NULL),1,0)) AS NUM_REG_DIF,'"&amp;MAX('ID1&amp;5'!K:K)+1&amp;"' AS ID_EXEC, CURRENT_TIMESTAMP() AS TIME_EXEC FROM "&amp;I156&amp;" INNER JOIN "&amp;J156&amp;" "&amp;K156,"SELECT '"&amp;UPPER(B156)&amp;"' AS TABELA, '"&amp;UPPER(C156)&amp;"' AS TIPOLOGIA_TESTE,'"&amp;D156&amp;"' AS TABELA_LT,'"&amp;E156&amp;"' AS TABELA_SIMUL,'"&amp;F156&amp;"' AS CAMPO, "&amp;"'${ref_date}' AS REF_DATE, COUNT(*) AS NUM_REG, SUM(IF(COALESCE(CAST(X."&amp;F156&amp;" AS STRING),'')&lt;&gt;COALESCE(CAST(Y."&amp;F156&amp;"_SIMUL AS STRING),''),1,0)) AS NUM_REG_DIF,'"&amp;MAX('ID1&amp;5'!L:L)+1&amp;"' AS ID_EXEC, CURRENT_TIMESTAMP() AS TIME_EXEC FROM "&amp;I156&amp;" INNER JOIN "&amp;J156&amp;" "&amp;K156),
IF(C156="Validade",+IF(G156="Code List","SELECT '"&amp;UPPER(B156)&amp;"' AS TABELA, '"&amp;UPPER(C156)&amp;"' AS TIPOLOGIA_TESTE,'"&amp;D156&amp;"' AS TABELA_LT,'N/A' AS TABELA_SIMUL,'"&amp;F156&amp;"' AS CAMPO, "&amp;"'${ref_date}' AS REF_DATE, COUNT(*) AS NUM_REG, SUM(IF(TRIM(CAST(X."&amp;F156&amp;" AS STRING))='' OR TRIM(CAST(X."&amp;F156&amp;" AS STRING)) IS NULL OR CAST(X."&amp;F156&amp;" AS STRING) NOT "&amp;H156&amp;",1,0)) AS NUM_REG_DIF,'"&amp;MAX('ID1&amp;5'!K:K)+1&amp;"' AS ID_EXEC, CURRENT_TIMESTAMP() AS TIME_EXEC FROM "&amp;I156,"SELECT '"&amp;UPPER(B156)&amp;"' AS TABELA, '"&amp;UPPER(C156)&amp;"' AS TIPOLOGIA_TESTE,'"&amp;D156&amp;"' AS TABELA_LT,'N/A' AS TABELA_SIMUL,'"&amp;F156&amp;"' AS CAMPO, "&amp;"'${ref_date}' AS REF_DATE, COUNT(*) AS NUM_REG, SUM(IF(TRIM(CAST(X."&amp;F156&amp;" AS STRING))='' OR TRIM(CAST(X."&amp;F156&amp;" AS STRING)) IS NULL,1,0)) AS NUM_REG_DIF,'"&amp;MAX('ID1&amp;5'!K:K)+1&amp;"' AS ID_EXEC, CURRENT_TIMESTAMP() AS TIME_EXEC FROM "&amp;I156),
IF(C156="Caracteres Especiais",+"SELECT '"&amp;UPPER(B156)&amp;"' AS TABELA, '"&amp;UPPER(C156)&amp;"' AS TIPOLOGIA_TESTE,'"&amp;D156&amp;"' AS TABELA_LT,'N/A' AS TABELA_SIMUL,'"&amp;F156&amp;"' AS CAMPO, "&amp;"'${ref_date}' AS REF_DATE, COUNT(*) AS NUM_REG, SUM(IF(INSTR(CAST(X."&amp;F156&amp;" AS STRING),'#')&gt;0 OR INSTR(CAST(X."&amp;F156&amp;" AS STRING),'*')&gt;0 OR INSTR(CAST(X."&amp;F156&amp;" AS STRING),'`')&gt;0 OR INSTR(CAST(X."&amp;F156&amp;" AS STRING),'´')&gt;0 OR INSTR(CAST(X."&amp;F156&amp;" AS STRING),'{')&gt;0 OR INSTR(CAST(X."&amp;F156&amp;" AS STRING),'}')&gt;0 OR INSTR(CAST(X."&amp;F156&amp;" AS STRING),'[')&gt;0 OR INSTR(CAST(X."&amp;F156&amp;" AS STRING),'')&gt;0 OR INSTR(CAST(X."&amp;F156&amp;" AS STRING),']')&gt;0 OR INSTR(CAST(X."&amp;F156&amp;" AS STRING),'?')&gt;0 OR INSTR(CAST(X."&amp;F156&amp;" AS STRING),'!')&gt;0 OR INSTR(CAST(X."&amp;F156&amp;" AS STRING),'$')&gt;0 OR INSTR(CAST(X."&amp;F156&amp;" AS STRING),'%')&gt;0 OR INSTR(CAST(X."&amp;F156&amp;" AS STRING),'&amp;')&gt;0 OR INSTR(CAST(X."&amp;F156&amp;" AS STRING),'+')&gt;0,1,0)) AS NUM_REG_DIF,'"&amp;MAX('ID1&amp;5'!K:K)+1&amp;"' AS ID_EXEC, CURRENT_TIMESTAMP() AS TIME_EXEC FROM "&amp;I156,
IF(C156="Missings",+"SELECT '"&amp;UPPER(B156)&amp;"' AS TABELA, '"&amp;UPPER(C156)&amp;"' AS TIPOLOGIA_TESTE,'"&amp;D156&amp;"' AS TABELA_LT,'N/A' AS TABELA_SIMUL,'"&amp;F156&amp;"' AS CAMPO, "&amp;"'${ref_date}' AS REF_DATE, COUNT(*) AS NUM_REG, SUM(IF(TRIM(CAST(X."&amp;F156&amp;" AS STRING)) IN ('0000-00-00','0001-01-01','9999-12-31','MISS','00000','99999999999','99999999999.00','99999999999.000000'),1,0)) AS NUM_REG_DIF,'"&amp;MAX('ID1&amp;5'!K:K)+1&amp;"' AS ID_EXEC, CURRENT_TIMESTAMP() AS TIME_EXEC FROM "&amp;I156,
IF(C156="Not applicable",+"SELECT '"&amp;UPPER(B156)&amp;"' AS TABELA, '"&amp;UPPER(C156)&amp;"' AS TIPOLOGIA_TESTE,'"&amp;D156&amp;"' AS TABELA_LT,'N/A' AS TABELA_SIMUL,'"&amp;F156&amp;"' AS CAMPO, "&amp;"'${ref_date}' AS REF_DATE, COUNT(*) AS NUM_REG, SUM(IF(TRIM(CAST(X."&amp;F156&amp;" AS STRING)) IN ('N/A','11111111111','11111111111.00','11111111111.000000','1111-11-11'),1,0)) AS NUM_REG_DIF,'"&amp;MAX('ID1&amp;5'!K:K)+1&amp;"' AS ID_EXEC, CURRENT_TIMESTAMP() AS TIME_EXEC FROM "&amp;I156,
IF(C156="Valores extremos",+"SELECT '"&amp;UPPER(B156)&amp;"' AS TABELA, '"&amp;UPPER(C156)&amp;"' AS TIPOLOGIA_TESTE,'"&amp;D156&amp;"' AS TABELA_LT,'N/A' AS TABELA_SIMUL,'"&amp;F156&amp;"' AS CAMPO, "&amp;"'${ref_date}' AS REF_DATE, CAST(MIN("&amp;F156&amp;") AS STRING) AS VALOR_MIN, CAST(MAX("&amp;F156&amp;") AS STRING) AS VALOR_MAX,'"&amp;MAX('ID1&amp;5'!K:K)+1&amp;"' AS ID_EXEC, CURRENT_TIMESTAMP() AS TIME_EXEC FROM "&amp;MID(I156,1,LEN(I156)-2)&amp;" AND CAST("&amp;F156&amp;"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TABELA_SIMUL,'GRP_EMSSNS_SCP2' AS CAMPO, '${ref_date}' AS REF_DATE, COUNT(*) AS NUM_REG, SUM(IF(TRIM(CAST(X.GRP_EMSSNS_SCP2 AS STRING))='' OR TRIM(CAST(X.GRP_EMSSNS_SCP2 AS STRING)) IS NULL,1,0)) AS NUM_REG_DIF,'10' AS ID_EXEC, CURRENT_TIMESTAMP() AS TIME_EXEC FROM (SELECT entty_id, GRP_EMSSNS_SCP2 FROM BU_LOANTAPE_WORK.LT003_ENTITY WHERE ref_date='${ref_date}' AND nome_perimetro='Individual Corporativo' AND segmento='ESTR' AND ambito='PILAR3')X</v>
      </c>
      <c r="M156" s="43" t="str">
        <f t="shared" si="2"/>
        <v>UNION ALL SELECT 'ENTITY' AS TABELA, 'VALIDADE' AS TIPOLOGIA_TESTE,'BU_LOANTAPE_WORK.LT003_ENTITY' AS TABELA_LT,'N/A' AS TABELA_SIMUL,'GRP_EMSSNS_SCP2' AS CAMPO, '${ref_date}' AS REF_DATE, COUNT(*) AS NUM_REG, SUM(IF(TRIM(CAST(X.GRP_EMSSNS_SCP2 AS STRING))='' OR TRIM(CAST(X.GRP_EMSSNS_SCP2 AS STRING)) IS NULL,1,0)) AS NUM_REG_DIF,'10' AS ID_EXEC, CURRENT_TIMESTAMP() AS TIME_EXEC FROM (SELECT entty_id, GRP_EMSSNS_SCP2 FROM BU_LOANTAPE_WORK.LT003_ENTITY WHERE ref_date='${ref_date}' AND nome_perimetro='Individual Corporativo' AND segmento='ESTR' AND ambito='PILAR3')X</v>
      </c>
      <c r="N156" s="45" t="s">
        <v>13</v>
      </c>
    </row>
    <row r="157" spans="2:14">
      <c r="B157" s="41" t="s">
        <v>23</v>
      </c>
      <c r="C157" s="41" t="s">
        <v>75</v>
      </c>
      <c r="D157" s="41" t="str">
        <f>+UPPER('0. Instruções'!$D$33&amp;"."&amp;VLOOKUP(B157,'0. Instruções'!$C$27:$D$31,2,FALSE))</f>
        <v>BU_LOANTAPE_WORK.LT003_ENTITY</v>
      </c>
      <c r="E157" s="41" t="str">
        <f>+UPPER('0. Instruções'!$D$34&amp;"."&amp;VLOOKUP(B157,'0. Instruções'!$C$27:$E$31,3,FALSE))</f>
        <v>BU_LOANTAPE_WORK.LT003_ENTTY_P3_NOV24</v>
      </c>
      <c r="F157" s="41" t="s">
        <v>133</v>
      </c>
      <c r="G157" s="41" t="s">
        <v>210</v>
      </c>
      <c r="H157" s="41"/>
      <c r="I157" s="41" t="str">
        <f>"(SELECT "&amp;VLOOKUP(B157,'0. Instruções'!$C$27:$G$31,4,FALSE)&amp;", "&amp;F157&amp;" FROM "&amp;D157&amp;" WHERE "&amp;'0. Instruções'!$D$40&amp;")X"</f>
        <v>(SELECT entty_id, GRP_EMSSNS_SCP3 FROM BU_LOANTAPE_WORK.LT003_ENTITY WHERE ref_date='${ref_date}' AND nome_perimetro='Individual Corporativo' AND segmento='ESTR' AND ambito='PILAR3')X</v>
      </c>
      <c r="J157" s="41" t="str">
        <f>"(SELECT "&amp;VLOOKUP(B157,'0. Instruções'!$C$27:$G$31,4,FALSE)&amp;" AS "&amp;VLOOKUP(B157,'0. Instruções'!$C$27:$G$31,4,FALSE)&amp;"_SIMUL, "&amp;F157&amp;" AS "&amp;F157&amp;"_SIMUL FROM "&amp;E157&amp;")Y"</f>
        <v>(SELECT entty_id AS entty_id_SIMUL, GRP_EMSSNS_SCP3 AS GRP_EMSSNS_SCP3_SIMUL FROM BU_LOANTAPE_WORK.LT003_ENTTY_P3_NOV24)Y</v>
      </c>
      <c r="K157" s="42" t="str">
        <f>+UPPER("ON X."&amp;VLOOKUP(B157,'0. Instruções'!$C$27:$G$31,4,FALSE)&amp;"=Y."&amp;VLOOKUP(B157,'0. Instruções'!$C$27:$G$31,4,FALSE)&amp;"_SIMUL")</f>
        <v>ON X.ENTTY_ID=Y.ENTTY_ID_SIMUL</v>
      </c>
      <c r="L157" s="42" t="str">
        <f>+IF(C157="Coerência", +IF(LEFT(G157,5)="FLOAT","SELECT '"&amp;UPPER(B157)&amp;"' AS TABELA, '"&amp;UPPER(C157)&amp;"' AS TIPOLOGIA_TESTE,'"&amp;D157&amp;"' AS TABELA_LT,'"&amp;E157&amp;"' AS TABELA_SIMUL,'"&amp;F157&amp;"' AS CAMPO, "&amp;"'${ref_date}' AS REF_DATE, COUNT(*) AS NUM_REG, SUM(IF((ABS(COALESCE(X."&amp;F157&amp;",0)-COALESCE(Y."&amp;F157&amp;"_SIMUL,0))&gt;0.0000000001) OR (X."&amp;F157&amp;" IS NULL AND Y."&amp;F157&amp;"_SIMUL IS NOT NULL ) OR (X."&amp;F157&amp;" IS NOT NULL AND Y."&amp;F157&amp;"_SIMUL IS NULL),1,0)) AS NUM_REG_DIF,'"&amp;MAX('ID1&amp;5'!K:K)+1&amp;"' AS ID_EXEC, CURRENT_TIMESTAMP() AS TIME_EXEC FROM "&amp;I157&amp;" INNER JOIN "&amp;J157&amp;" "&amp;K157,"SELECT '"&amp;UPPER(B157)&amp;"' AS TABELA, '"&amp;UPPER(C157)&amp;"' AS TIPOLOGIA_TESTE,'"&amp;D157&amp;"' AS TABELA_LT,'"&amp;E157&amp;"' AS TABELA_SIMUL,'"&amp;F157&amp;"' AS CAMPO, "&amp;"'${ref_date}' AS REF_DATE, COUNT(*) AS NUM_REG, SUM(IF(COALESCE(CAST(X."&amp;F157&amp;" AS STRING),'')&lt;&gt;COALESCE(CAST(Y."&amp;F157&amp;"_SIMUL AS STRING),''),1,0)) AS NUM_REG_DIF,'"&amp;MAX('ID1&amp;5'!L:L)+1&amp;"' AS ID_EXEC, CURRENT_TIMESTAMP() AS TIME_EXEC FROM "&amp;I157&amp;" INNER JOIN "&amp;J157&amp;" "&amp;K157),
IF(C157="Validade",+IF(G157="Code List","SELECT '"&amp;UPPER(B157)&amp;"' AS TABELA, '"&amp;UPPER(C157)&amp;"' AS TIPOLOGIA_TESTE,'"&amp;D157&amp;"' AS TABELA_LT,'N/A' AS TABELA_SIMUL,'"&amp;F157&amp;"' AS CAMPO, "&amp;"'${ref_date}' AS REF_DATE, COUNT(*) AS NUM_REG, SUM(IF(TRIM(CAST(X."&amp;F157&amp;" AS STRING))='' OR TRIM(CAST(X."&amp;F157&amp;" AS STRING)) IS NULL OR CAST(X."&amp;F157&amp;" AS STRING) NOT "&amp;H157&amp;",1,0)) AS NUM_REG_DIF,'"&amp;MAX('ID1&amp;5'!K:K)+1&amp;"' AS ID_EXEC, CURRENT_TIMESTAMP() AS TIME_EXEC FROM "&amp;I157,"SELECT '"&amp;UPPER(B157)&amp;"' AS TABELA, '"&amp;UPPER(C157)&amp;"' AS TIPOLOGIA_TESTE,'"&amp;D157&amp;"' AS TABELA_LT,'N/A' AS TABELA_SIMUL,'"&amp;F157&amp;"' AS CAMPO, "&amp;"'${ref_date}' AS REF_DATE, COUNT(*) AS NUM_REG, SUM(IF(TRIM(CAST(X."&amp;F157&amp;" AS STRING))='' OR TRIM(CAST(X."&amp;F157&amp;" AS STRING)) IS NULL,1,0)) AS NUM_REG_DIF,'"&amp;MAX('ID1&amp;5'!K:K)+1&amp;"' AS ID_EXEC, CURRENT_TIMESTAMP() AS TIME_EXEC FROM "&amp;I157),
IF(C157="Caracteres Especiais",+"SELECT '"&amp;UPPER(B157)&amp;"' AS TABELA, '"&amp;UPPER(C157)&amp;"' AS TIPOLOGIA_TESTE,'"&amp;D157&amp;"' AS TABELA_LT,'N/A' AS TABELA_SIMUL,'"&amp;F157&amp;"' AS CAMPO, "&amp;"'${ref_date}' AS REF_DATE, COUNT(*) AS NUM_REG, SUM(IF(INSTR(CAST(X."&amp;F157&amp;" AS STRING),'#')&gt;0 OR INSTR(CAST(X."&amp;F157&amp;" AS STRING),'*')&gt;0 OR INSTR(CAST(X."&amp;F157&amp;" AS STRING),'`')&gt;0 OR INSTR(CAST(X."&amp;F157&amp;" AS STRING),'´')&gt;0 OR INSTR(CAST(X."&amp;F157&amp;" AS STRING),'{')&gt;0 OR INSTR(CAST(X."&amp;F157&amp;" AS STRING),'}')&gt;0 OR INSTR(CAST(X."&amp;F157&amp;" AS STRING),'[')&gt;0 OR INSTR(CAST(X."&amp;F157&amp;" AS STRING),'')&gt;0 OR INSTR(CAST(X."&amp;F157&amp;" AS STRING),']')&gt;0 OR INSTR(CAST(X."&amp;F157&amp;" AS STRING),'?')&gt;0 OR INSTR(CAST(X."&amp;F157&amp;" AS STRING),'!')&gt;0 OR INSTR(CAST(X."&amp;F157&amp;" AS STRING),'$')&gt;0 OR INSTR(CAST(X."&amp;F157&amp;" AS STRING),'%')&gt;0 OR INSTR(CAST(X."&amp;F157&amp;" AS STRING),'&amp;')&gt;0 OR INSTR(CAST(X."&amp;F157&amp;" AS STRING),'+')&gt;0,1,0)) AS NUM_REG_DIF,'"&amp;MAX('ID1&amp;5'!K:K)+1&amp;"' AS ID_EXEC, CURRENT_TIMESTAMP() AS TIME_EXEC FROM "&amp;I157,
IF(C157="Missings",+"SELECT '"&amp;UPPER(B157)&amp;"' AS TABELA, '"&amp;UPPER(C157)&amp;"' AS TIPOLOGIA_TESTE,'"&amp;D157&amp;"' AS TABELA_LT,'N/A' AS TABELA_SIMUL,'"&amp;F157&amp;"' AS CAMPO, "&amp;"'${ref_date}' AS REF_DATE, COUNT(*) AS NUM_REG, SUM(IF(TRIM(CAST(X."&amp;F157&amp;" AS STRING)) IN ('0000-00-00','0001-01-01','9999-12-31','MISS','00000','99999999999','99999999999.00','99999999999.000000'),1,0)) AS NUM_REG_DIF,'"&amp;MAX('ID1&amp;5'!K:K)+1&amp;"' AS ID_EXEC, CURRENT_TIMESTAMP() AS TIME_EXEC FROM "&amp;I157,
IF(C157="Not applicable",+"SELECT '"&amp;UPPER(B157)&amp;"' AS TABELA, '"&amp;UPPER(C157)&amp;"' AS TIPOLOGIA_TESTE,'"&amp;D157&amp;"' AS TABELA_LT,'N/A' AS TABELA_SIMUL,'"&amp;F157&amp;"' AS CAMPO, "&amp;"'${ref_date}' AS REF_DATE, COUNT(*) AS NUM_REG, SUM(IF(TRIM(CAST(X."&amp;F157&amp;" AS STRING)) IN ('N/A','11111111111','11111111111.00','11111111111.000000','1111-11-11'),1,0)) AS NUM_REG_DIF,'"&amp;MAX('ID1&amp;5'!K:K)+1&amp;"' AS ID_EXEC, CURRENT_TIMESTAMP() AS TIME_EXEC FROM "&amp;I157,
IF(C157="Valores extremos",+"SELECT '"&amp;UPPER(B157)&amp;"' AS TABELA, '"&amp;UPPER(C157)&amp;"' AS TIPOLOGIA_TESTE,'"&amp;D157&amp;"' AS TABELA_LT,'N/A' AS TABELA_SIMUL,'"&amp;F157&amp;"' AS CAMPO, "&amp;"'${ref_date}' AS REF_DATE, CAST(MIN("&amp;F157&amp;") AS STRING) AS VALOR_MIN, CAST(MAX("&amp;F157&amp;") AS STRING) AS VALOR_MAX,'"&amp;MAX('ID1&amp;5'!K:K)+1&amp;"' AS ID_EXEC, CURRENT_TIMESTAMP() AS TIME_EXEC FROM "&amp;MID(I157,1,LEN(I157)-2)&amp;" AND CAST("&amp;F157&amp;"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TABELA_SIMUL,'GRP_EMSSNS_SCP3' AS CAMPO, '${ref_date}' AS REF_DATE, COUNT(*) AS NUM_REG, SUM(IF(TRIM(CAST(X.GRP_EMSSNS_SCP3 AS STRING))='' OR TRIM(CAST(X.GRP_EMSSNS_SCP3 AS STRING)) IS NULL,1,0)) AS NUM_REG_DIF,'10' AS ID_EXEC, CURRENT_TIMESTAMP() AS TIME_EXEC FROM (SELECT entty_id, GRP_EMSSNS_SCP3 FROM BU_LOANTAPE_WORK.LT003_ENTITY WHERE ref_date='${ref_date}' AND nome_perimetro='Individual Corporativo' AND segmento='ESTR' AND ambito='PILAR3')X</v>
      </c>
      <c r="M157" s="43" t="str">
        <f t="shared" si="2"/>
        <v>UNION ALL SELECT 'ENTITY' AS TABELA, 'VALIDADE' AS TIPOLOGIA_TESTE,'BU_LOANTAPE_WORK.LT003_ENTITY' AS TABELA_LT,'N/A' AS TABELA_SIMUL,'GRP_EMSSNS_SCP3' AS CAMPO, '${ref_date}' AS REF_DATE, COUNT(*) AS NUM_REG, SUM(IF(TRIM(CAST(X.GRP_EMSSNS_SCP3 AS STRING))='' OR TRIM(CAST(X.GRP_EMSSNS_SCP3 AS STRING)) IS NULL,1,0)) AS NUM_REG_DIF,'10' AS ID_EXEC, CURRENT_TIMESTAMP() AS TIME_EXEC FROM (SELECT entty_id, GRP_EMSSNS_SCP3 FROM BU_LOANTAPE_WORK.LT003_ENTITY WHERE ref_date='${ref_date}' AND nome_perimetro='Individual Corporativo' AND segmento='ESTR' AND ambito='PILAR3')X</v>
      </c>
      <c r="N157" s="45" t="s">
        <v>13</v>
      </c>
    </row>
    <row r="158" spans="2:14">
      <c r="B158" s="41" t="s">
        <v>23</v>
      </c>
      <c r="C158" s="41" t="s">
        <v>75</v>
      </c>
      <c r="D158" s="41" t="str">
        <f>+UPPER('0. Instruções'!$D$33&amp;"."&amp;VLOOKUP(B158,'0. Instruções'!$C$27:$D$31,2,FALSE))</f>
        <v>BU_LOANTAPE_WORK.LT003_ENTITY</v>
      </c>
      <c r="E158" s="41" t="str">
        <f>+UPPER('0. Instruções'!$D$34&amp;"."&amp;VLOOKUP(B158,'0. Instruções'!$C$27:$E$31,3,FALSE))</f>
        <v>BU_LOANTAPE_WORK.LT003_ENTTY_P3_NOV24</v>
      </c>
      <c r="F158" s="41" t="s">
        <v>181</v>
      </c>
      <c r="G158" s="41" t="s">
        <v>13</v>
      </c>
      <c r="H158" s="41"/>
      <c r="I158" s="41" t="str">
        <f>"(SELECT "&amp;VLOOKUP(B158,'0. Instruções'!$C$27:$G$31,4,FALSE)&amp;", "&amp;F158&amp;" FROM "&amp;D158&amp;" WHERE "&amp;'0. Instruções'!$D$40&amp;")X"</f>
        <v>(SELECT entty_id, CNTRY FROM BU_LOANTAPE_WORK.LT003_ENTITY WHERE ref_date='${ref_date}' AND nome_perimetro='Individual Corporativo' AND segmento='ESTR' AND ambito='PILAR3')X</v>
      </c>
      <c r="J158" s="41" t="str">
        <f>"(SELECT "&amp;VLOOKUP(B158,'0. Instruções'!$C$27:$G$31,4,FALSE)&amp;" AS "&amp;VLOOKUP(B158,'0. Instruções'!$C$27:$G$31,4,FALSE)&amp;"_SIMUL, "&amp;F158&amp;" AS "&amp;F158&amp;"_SIMUL FROM "&amp;E158&amp;")Y"</f>
        <v>(SELECT entty_id AS entty_id_SIMUL, CNTRY AS CNTRY_SIMUL FROM BU_LOANTAPE_WORK.LT003_ENTTY_P3_NOV24)Y</v>
      </c>
      <c r="K158" s="42" t="str">
        <f>+UPPER("ON X."&amp;VLOOKUP(B158,'0. Instruções'!$C$27:$G$31,4,FALSE)&amp;"=Y."&amp;VLOOKUP(B158,'0. Instruções'!$C$27:$G$31,4,FALSE)&amp;"_SIMUL")</f>
        <v>ON X.ENTTY_ID=Y.ENTTY_ID_SIMUL</v>
      </c>
      <c r="L158" s="42" t="str">
        <f>+IF(C158="Coerência", +IF(LEFT(G158,5)="FLOAT","SELECT '"&amp;UPPER(B158)&amp;"' AS TABELA, '"&amp;UPPER(C158)&amp;"' AS TIPOLOGIA_TESTE,'"&amp;D158&amp;"' AS TABELA_LT,'"&amp;E158&amp;"' AS TABELA_SIMUL,'"&amp;F158&amp;"' AS CAMPO, "&amp;"'${ref_date}' AS REF_DATE, COUNT(*) AS NUM_REG, SUM(IF((ABS(COALESCE(X."&amp;F158&amp;",0)-COALESCE(Y."&amp;F158&amp;"_SIMUL,0))&gt;0.0000000001) OR (X."&amp;F158&amp;" IS NULL AND Y."&amp;F158&amp;"_SIMUL IS NOT NULL ) OR (X."&amp;F158&amp;" IS NOT NULL AND Y."&amp;F158&amp;"_SIMUL IS NULL),1,0)) AS NUM_REG_DIF,'"&amp;MAX('ID1&amp;5'!K:K)+1&amp;"' AS ID_EXEC, CURRENT_TIMESTAMP() AS TIME_EXEC FROM "&amp;I158&amp;" INNER JOIN "&amp;J158&amp;" "&amp;K158,"SELECT '"&amp;UPPER(B158)&amp;"' AS TABELA, '"&amp;UPPER(C158)&amp;"' AS TIPOLOGIA_TESTE,'"&amp;D158&amp;"' AS TABELA_LT,'"&amp;E158&amp;"' AS TABELA_SIMUL,'"&amp;F158&amp;"' AS CAMPO, "&amp;"'${ref_date}' AS REF_DATE, COUNT(*) AS NUM_REG, SUM(IF(COALESCE(CAST(X."&amp;F158&amp;" AS STRING),'')&lt;&gt;COALESCE(CAST(Y."&amp;F158&amp;"_SIMUL AS STRING),''),1,0)) AS NUM_REG_DIF,'"&amp;MAX('ID1&amp;5'!L:L)+1&amp;"' AS ID_EXEC, CURRENT_TIMESTAMP() AS TIME_EXEC FROM "&amp;I158&amp;" INNER JOIN "&amp;J158&amp;" "&amp;K158),
IF(C158="Validade",+IF(G158="Code List","SELECT '"&amp;UPPER(B158)&amp;"' AS TABELA, '"&amp;UPPER(C158)&amp;"' AS TIPOLOGIA_TESTE,'"&amp;D158&amp;"' AS TABELA_LT,'N/A' AS TABELA_SIMUL,'"&amp;F158&amp;"' AS CAMPO, "&amp;"'${ref_date}' AS REF_DATE, COUNT(*) AS NUM_REG, SUM(IF(TRIM(CAST(X."&amp;F158&amp;" AS STRING))='' OR TRIM(CAST(X."&amp;F158&amp;" AS STRING)) IS NULL OR CAST(X."&amp;F158&amp;" AS STRING) NOT "&amp;H158&amp;",1,0)) AS NUM_REG_DIF,'"&amp;MAX('ID1&amp;5'!K:K)+1&amp;"' AS ID_EXEC, CURRENT_TIMESTAMP() AS TIME_EXEC FROM "&amp;I158,"SELECT '"&amp;UPPER(B158)&amp;"' AS TABELA, '"&amp;UPPER(C158)&amp;"' AS TIPOLOGIA_TESTE,'"&amp;D158&amp;"' AS TABELA_LT,'N/A' AS TABELA_SIMUL,'"&amp;F158&amp;"' AS CAMPO, "&amp;"'${ref_date}' AS REF_DATE, COUNT(*) AS NUM_REG, SUM(IF(TRIM(CAST(X."&amp;F158&amp;" AS STRING))='' OR TRIM(CAST(X."&amp;F158&amp;" AS STRING)) IS NULL,1,0)) AS NUM_REG_DIF,'"&amp;MAX('ID1&amp;5'!K:K)+1&amp;"' AS ID_EXEC, CURRENT_TIMESTAMP() AS TIME_EXEC FROM "&amp;I158),
IF(C158="Caracteres Especiais",+"SELECT '"&amp;UPPER(B158)&amp;"' AS TABELA, '"&amp;UPPER(C158)&amp;"' AS TIPOLOGIA_TESTE,'"&amp;D158&amp;"' AS TABELA_LT,'N/A' AS TABELA_SIMUL,'"&amp;F158&amp;"' AS CAMPO, "&amp;"'${ref_date}' AS REF_DATE, COUNT(*) AS NUM_REG, SUM(IF(INSTR(CAST(X."&amp;F158&amp;" AS STRING),'#')&gt;0 OR INSTR(CAST(X."&amp;F158&amp;" AS STRING),'*')&gt;0 OR INSTR(CAST(X."&amp;F158&amp;" AS STRING),'`')&gt;0 OR INSTR(CAST(X."&amp;F158&amp;" AS STRING),'´')&gt;0 OR INSTR(CAST(X."&amp;F158&amp;" AS STRING),'{')&gt;0 OR INSTR(CAST(X."&amp;F158&amp;" AS STRING),'}')&gt;0 OR INSTR(CAST(X."&amp;F158&amp;" AS STRING),'[')&gt;0 OR INSTR(CAST(X."&amp;F158&amp;" AS STRING),'')&gt;0 OR INSTR(CAST(X."&amp;F158&amp;" AS STRING),']')&gt;0 OR INSTR(CAST(X."&amp;F158&amp;" AS STRING),'?')&gt;0 OR INSTR(CAST(X."&amp;F158&amp;" AS STRING),'!')&gt;0 OR INSTR(CAST(X."&amp;F158&amp;" AS STRING),'$')&gt;0 OR INSTR(CAST(X."&amp;F158&amp;" AS STRING),'%')&gt;0 OR INSTR(CAST(X."&amp;F158&amp;" AS STRING),'&amp;')&gt;0 OR INSTR(CAST(X."&amp;F158&amp;" AS STRING),'+')&gt;0,1,0)) AS NUM_REG_DIF,'"&amp;MAX('ID1&amp;5'!K:K)+1&amp;"' AS ID_EXEC, CURRENT_TIMESTAMP() AS TIME_EXEC FROM "&amp;I158,
IF(C158="Missings",+"SELECT '"&amp;UPPER(B158)&amp;"' AS TABELA, '"&amp;UPPER(C158)&amp;"' AS TIPOLOGIA_TESTE,'"&amp;D158&amp;"' AS TABELA_LT,'N/A' AS TABELA_SIMUL,'"&amp;F158&amp;"' AS CAMPO, "&amp;"'${ref_date}' AS REF_DATE, COUNT(*) AS NUM_REG, SUM(IF(TRIM(CAST(X."&amp;F158&amp;" AS STRING)) IN ('0000-00-00','0001-01-01','9999-12-31','MISS','00000','99999999999','99999999999.00','99999999999.000000'),1,0)) AS NUM_REG_DIF,'"&amp;MAX('ID1&amp;5'!K:K)+1&amp;"' AS ID_EXEC, CURRENT_TIMESTAMP() AS TIME_EXEC FROM "&amp;I158,
IF(C158="Not applicable",+"SELECT '"&amp;UPPER(B158)&amp;"' AS TABELA, '"&amp;UPPER(C158)&amp;"' AS TIPOLOGIA_TESTE,'"&amp;D158&amp;"' AS TABELA_LT,'N/A' AS TABELA_SIMUL,'"&amp;F158&amp;"' AS CAMPO, "&amp;"'${ref_date}' AS REF_DATE, COUNT(*) AS NUM_REG, SUM(IF(TRIM(CAST(X."&amp;F158&amp;" AS STRING)) IN ('N/A','11111111111','11111111111.00','11111111111.000000','1111-11-11'),1,0)) AS NUM_REG_DIF,'"&amp;MAX('ID1&amp;5'!K:K)+1&amp;"' AS ID_EXEC, CURRENT_TIMESTAMP() AS TIME_EXEC FROM "&amp;I158,
IF(C158="Valores extremos",+"SELECT '"&amp;UPPER(B158)&amp;"' AS TABELA, '"&amp;UPPER(C158)&amp;"' AS TIPOLOGIA_TESTE,'"&amp;D158&amp;"' AS TABELA_LT,'N/A' AS TABELA_SIMUL,'"&amp;F158&amp;"' AS CAMPO, "&amp;"'${ref_date}' AS REF_DATE, CAST(MIN("&amp;F158&amp;") AS STRING) AS VALOR_MIN, CAST(MAX("&amp;F158&amp;") AS STRING) AS VALOR_MAX,'"&amp;MAX('ID1&amp;5'!K:K)+1&amp;"' AS ID_EXEC, CURRENT_TIMESTAMP() AS TIME_EXEC FROM "&amp;MID(I158,1,LEN(I158)-2)&amp;" AND CAST("&amp;F158&amp;"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TABELA_SIMUL,'CNTRY' AS CAMPO, '${ref_date}' AS REF_DATE, COUNT(*) AS NUM_REG, SUM(IF(TRIM(CAST(X.CNTRY AS STRING))='' OR TRIM(CAST(X.CNTRY AS STRING)) IS NULL,1,0)) AS NUM_REG_DIF,'10' AS ID_EXEC, CURRENT_TIMESTAMP() AS TIME_EXEC FROM (SELECT entty_id, CNTRY FROM BU_LOANTAPE_WORK.LT003_ENTITY WHERE ref_date='${ref_date}' AND nome_perimetro='Individual Corporativo' AND segmento='ESTR' AND ambito='PILAR3')X</v>
      </c>
      <c r="M158" s="43" t="str">
        <f t="shared" si="2"/>
        <v>UNION ALL SELECT 'ENTITY' AS TABELA, 'VALIDADE' AS TIPOLOGIA_TESTE,'BU_LOANTAPE_WORK.LT003_ENTITY' AS TABELA_LT,'N/A' AS TABELA_SIMUL,'CNTRY' AS CAMPO, '${ref_date}' AS REF_DATE, COUNT(*) AS NUM_REG, SUM(IF(TRIM(CAST(X.CNTRY AS STRING))='' OR TRIM(CAST(X.CNTRY AS STRING)) IS NULL,1,0)) AS NUM_REG_DIF,'10' AS ID_EXEC, CURRENT_TIMESTAMP() AS TIME_EXEC FROM (SELECT entty_id, CNTRY FROM BU_LOANTAPE_WORK.LT003_ENTITY WHERE ref_date='${ref_date}' AND nome_perimetro='Individual Corporativo' AND segmento='ESTR' AND ambito='PILAR3')X</v>
      </c>
      <c r="N158" s="45" t="s">
        <v>13</v>
      </c>
    </row>
    <row r="159" spans="2:14">
      <c r="B159" s="41" t="s">
        <v>23</v>
      </c>
      <c r="C159" s="41" t="s">
        <v>75</v>
      </c>
      <c r="D159" s="41" t="str">
        <f>+UPPER('0. Instruções'!$D$33&amp;"."&amp;VLOOKUP(B159,'0. Instruções'!$C$27:$D$31,2,FALSE))</f>
        <v>BU_LOANTAPE_WORK.LT003_ENTITY</v>
      </c>
      <c r="E159" s="41" t="str">
        <f>+UPPER('0. Instruções'!$D$34&amp;"."&amp;VLOOKUP(B159,'0. Instruções'!$C$27:$E$31,3,FALSE))</f>
        <v>BU_LOANTAPE_WORK.LT003_ENTTY_P3_NOV24</v>
      </c>
      <c r="F159" s="41" t="s">
        <v>156</v>
      </c>
      <c r="G159" s="41" t="s">
        <v>13</v>
      </c>
      <c r="H159" s="41"/>
      <c r="I159" s="41" t="str">
        <f>"(SELECT "&amp;VLOOKUP(B159,'0. Instruções'!$C$27:$G$31,4,FALSE)&amp;", "&amp;F159&amp;" FROM "&amp;D159&amp;" WHERE "&amp;'0. Instruções'!$D$40&amp;")X"</f>
        <v>(SELECT entty_id, DT_RFRNC FROM BU_LOANTAPE_WORK.LT003_ENTITY WHERE ref_date='${ref_date}' AND nome_perimetro='Individual Corporativo' AND segmento='ESTR' AND ambito='PILAR3')X</v>
      </c>
      <c r="J159" s="41" t="str">
        <f>"(SELECT "&amp;VLOOKUP(B159,'0. Instruções'!$C$27:$G$31,4,FALSE)&amp;" AS "&amp;VLOOKUP(B159,'0. Instruções'!$C$27:$G$31,4,FALSE)&amp;"_SIMUL, "&amp;F159&amp;" AS "&amp;F159&amp;"_SIMUL FROM "&amp;E159&amp;")Y"</f>
        <v>(SELECT entty_id AS entty_id_SIMUL, DT_RFRNC AS DT_RFRNC_SIMUL FROM BU_LOANTAPE_WORK.LT003_ENTTY_P3_NOV24)Y</v>
      </c>
      <c r="K159" s="42" t="str">
        <f>+UPPER("ON X."&amp;VLOOKUP(B159,'0. Instruções'!$C$27:$G$31,4,FALSE)&amp;"=Y."&amp;VLOOKUP(B159,'0. Instruções'!$C$27:$G$31,4,FALSE)&amp;"_SIMUL")</f>
        <v>ON X.ENTTY_ID=Y.ENTTY_ID_SIMUL</v>
      </c>
      <c r="L159" s="42" t="str">
        <f>+IF(C159="Coerência", +IF(LEFT(G159,5)="FLOAT","SELECT '"&amp;UPPER(B159)&amp;"' AS TABELA, '"&amp;UPPER(C159)&amp;"' AS TIPOLOGIA_TESTE,'"&amp;D159&amp;"' AS TABELA_LT,'"&amp;E159&amp;"' AS TABELA_SIMUL,'"&amp;F159&amp;"' AS CAMPO, "&amp;"'${ref_date}' AS REF_DATE, COUNT(*) AS NUM_REG, SUM(IF((ABS(COALESCE(X."&amp;F159&amp;",0)-COALESCE(Y."&amp;F159&amp;"_SIMUL,0))&gt;0.0000000001) OR (X."&amp;F159&amp;" IS NULL AND Y."&amp;F159&amp;"_SIMUL IS NOT NULL ) OR (X."&amp;F159&amp;" IS NOT NULL AND Y."&amp;F159&amp;"_SIMUL IS NULL),1,0)) AS NUM_REG_DIF,'"&amp;MAX('ID1&amp;5'!K:K)+1&amp;"' AS ID_EXEC, CURRENT_TIMESTAMP() AS TIME_EXEC FROM "&amp;I159&amp;" INNER JOIN "&amp;J159&amp;" "&amp;K159,"SELECT '"&amp;UPPER(B159)&amp;"' AS TABELA, '"&amp;UPPER(C159)&amp;"' AS TIPOLOGIA_TESTE,'"&amp;D159&amp;"' AS TABELA_LT,'"&amp;E159&amp;"' AS TABELA_SIMUL,'"&amp;F159&amp;"' AS CAMPO, "&amp;"'${ref_date}' AS REF_DATE, COUNT(*) AS NUM_REG, SUM(IF(COALESCE(CAST(X."&amp;F159&amp;" AS STRING),'')&lt;&gt;COALESCE(CAST(Y."&amp;F159&amp;"_SIMUL AS STRING),''),1,0)) AS NUM_REG_DIF,'"&amp;MAX('ID1&amp;5'!L:L)+1&amp;"' AS ID_EXEC, CURRENT_TIMESTAMP() AS TIME_EXEC FROM "&amp;I159&amp;" INNER JOIN "&amp;J159&amp;" "&amp;K159),
IF(C159="Validade",+IF(G159="Code List","SELECT '"&amp;UPPER(B159)&amp;"' AS TABELA, '"&amp;UPPER(C159)&amp;"' AS TIPOLOGIA_TESTE,'"&amp;D159&amp;"' AS TABELA_LT,'N/A' AS TABELA_SIMUL,'"&amp;F159&amp;"' AS CAMPO, "&amp;"'${ref_date}' AS REF_DATE, COUNT(*) AS NUM_REG, SUM(IF(TRIM(CAST(X."&amp;F159&amp;" AS STRING))='' OR TRIM(CAST(X."&amp;F159&amp;" AS STRING)) IS NULL OR CAST(X."&amp;F159&amp;" AS STRING) NOT "&amp;H159&amp;",1,0)) AS NUM_REG_DIF,'"&amp;MAX('ID1&amp;5'!K:K)+1&amp;"' AS ID_EXEC, CURRENT_TIMESTAMP() AS TIME_EXEC FROM "&amp;I159,"SELECT '"&amp;UPPER(B159)&amp;"' AS TABELA, '"&amp;UPPER(C159)&amp;"' AS TIPOLOGIA_TESTE,'"&amp;D159&amp;"' AS TABELA_LT,'N/A' AS TABELA_SIMUL,'"&amp;F159&amp;"' AS CAMPO, "&amp;"'${ref_date}' AS REF_DATE, COUNT(*) AS NUM_REG, SUM(IF(TRIM(CAST(X."&amp;F159&amp;" AS STRING))='' OR TRIM(CAST(X."&amp;F159&amp;" AS STRING)) IS NULL,1,0)) AS NUM_REG_DIF,'"&amp;MAX('ID1&amp;5'!K:K)+1&amp;"' AS ID_EXEC, CURRENT_TIMESTAMP() AS TIME_EXEC FROM "&amp;I159),
IF(C159="Caracteres Especiais",+"SELECT '"&amp;UPPER(B159)&amp;"' AS TABELA, '"&amp;UPPER(C159)&amp;"' AS TIPOLOGIA_TESTE,'"&amp;D159&amp;"' AS TABELA_LT,'N/A' AS TABELA_SIMUL,'"&amp;F159&amp;"' AS CAMPO, "&amp;"'${ref_date}' AS REF_DATE, COUNT(*) AS NUM_REG, SUM(IF(INSTR(CAST(X."&amp;F159&amp;" AS STRING),'#')&gt;0 OR INSTR(CAST(X."&amp;F159&amp;" AS STRING),'*')&gt;0 OR INSTR(CAST(X."&amp;F159&amp;" AS STRING),'`')&gt;0 OR INSTR(CAST(X."&amp;F159&amp;" AS STRING),'´')&gt;0 OR INSTR(CAST(X."&amp;F159&amp;" AS STRING),'{')&gt;0 OR INSTR(CAST(X."&amp;F159&amp;" AS STRING),'}')&gt;0 OR INSTR(CAST(X."&amp;F159&amp;" AS STRING),'[')&gt;0 OR INSTR(CAST(X."&amp;F159&amp;" AS STRING),'')&gt;0 OR INSTR(CAST(X."&amp;F159&amp;" AS STRING),']')&gt;0 OR INSTR(CAST(X."&amp;F159&amp;" AS STRING),'?')&gt;0 OR INSTR(CAST(X."&amp;F159&amp;" AS STRING),'!')&gt;0 OR INSTR(CAST(X."&amp;F159&amp;" AS STRING),'$')&gt;0 OR INSTR(CAST(X."&amp;F159&amp;" AS STRING),'%')&gt;0 OR INSTR(CAST(X."&amp;F159&amp;" AS STRING),'&amp;')&gt;0 OR INSTR(CAST(X."&amp;F159&amp;" AS STRING),'+')&gt;0,1,0)) AS NUM_REG_DIF,'"&amp;MAX('ID1&amp;5'!K:K)+1&amp;"' AS ID_EXEC, CURRENT_TIMESTAMP() AS TIME_EXEC FROM "&amp;I159,
IF(C159="Missings",+"SELECT '"&amp;UPPER(B159)&amp;"' AS TABELA, '"&amp;UPPER(C159)&amp;"' AS TIPOLOGIA_TESTE,'"&amp;D159&amp;"' AS TABELA_LT,'N/A' AS TABELA_SIMUL,'"&amp;F159&amp;"' AS CAMPO, "&amp;"'${ref_date}' AS REF_DATE, COUNT(*) AS NUM_REG, SUM(IF(TRIM(CAST(X."&amp;F159&amp;" AS STRING)) IN ('0000-00-00','0001-01-01','9999-12-31','MISS','00000','99999999999','99999999999.00','99999999999.000000'),1,0)) AS NUM_REG_DIF,'"&amp;MAX('ID1&amp;5'!K:K)+1&amp;"' AS ID_EXEC, CURRENT_TIMESTAMP() AS TIME_EXEC FROM "&amp;I159,
IF(C159="Not applicable",+"SELECT '"&amp;UPPER(B159)&amp;"' AS TABELA, '"&amp;UPPER(C159)&amp;"' AS TIPOLOGIA_TESTE,'"&amp;D159&amp;"' AS TABELA_LT,'N/A' AS TABELA_SIMUL,'"&amp;F159&amp;"' AS CAMPO, "&amp;"'${ref_date}' AS REF_DATE, COUNT(*) AS NUM_REG, SUM(IF(TRIM(CAST(X."&amp;F159&amp;" AS STRING)) IN ('N/A','11111111111','11111111111.00','11111111111.000000','1111-11-11'),1,0)) AS NUM_REG_DIF,'"&amp;MAX('ID1&amp;5'!K:K)+1&amp;"' AS ID_EXEC, CURRENT_TIMESTAMP() AS TIME_EXEC FROM "&amp;I159,
IF(C159="Valores extremos",+"SELECT '"&amp;UPPER(B159)&amp;"' AS TABELA, '"&amp;UPPER(C159)&amp;"' AS TIPOLOGIA_TESTE,'"&amp;D159&amp;"' AS TABELA_LT,'N/A' AS TABELA_SIMUL,'"&amp;F159&amp;"' AS CAMPO, "&amp;"'${ref_date}' AS REF_DATE, CAST(MIN("&amp;F159&amp;") AS STRING) AS VALOR_MIN, CAST(MAX("&amp;F159&amp;") AS STRING) AS VALOR_MAX,'"&amp;MAX('ID1&amp;5'!K:K)+1&amp;"' AS ID_EXEC, CURRENT_TIMESTAMP() AS TIME_EXEC FROM "&amp;MID(I159,1,LEN(I159)-2)&amp;" AND CAST("&amp;F159&amp;"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TABELA_SIMUL,'DT_RFRNC' AS CAMPO, '${ref_date}' AS REF_DATE, COUNT(*) AS NUM_REG, SUM(IF(TRIM(CAST(X.DT_RFRNC AS STRING))='' OR TRIM(CAST(X.DT_RFRNC AS STRING)) IS NULL,1,0)) AS NUM_REG_DIF,'10' AS ID_EXEC, CURRENT_TIMESTAMP() AS TIME_EXEC FROM (SELECT entty_id, DT_RFRNC FROM BU_LOANTAPE_WORK.LT003_ENTITY WHERE ref_date='${ref_date}' AND nome_perimetro='Individual Corporativo' AND segmento='ESTR' AND ambito='PILAR3')X</v>
      </c>
      <c r="M159" s="43" t="str">
        <f t="shared" si="2"/>
        <v>UNION ALL SELECT 'ENTITY' AS TABELA, 'VALIDADE' AS TIPOLOGIA_TESTE,'BU_LOANTAPE_WORK.LT003_ENTITY' AS TABELA_LT,'N/A' AS TABELA_SIMUL,'DT_RFRNC' AS CAMPO, '${ref_date}' AS REF_DATE, COUNT(*) AS NUM_REG, SUM(IF(TRIM(CAST(X.DT_RFRNC AS STRING))='' OR TRIM(CAST(X.DT_RFRNC AS STRING)) IS NULL,1,0)) AS NUM_REG_DIF,'10' AS ID_EXEC, CURRENT_TIMESTAMP() AS TIME_EXEC FROM (SELECT entty_id, DT_RFRNC FROM BU_LOANTAPE_WORK.LT003_ENTITY WHERE ref_date='${ref_date}' AND nome_perimetro='Individual Corporativo' AND segmento='ESTR' AND ambito='PILAR3')X</v>
      </c>
      <c r="N159" s="45" t="s">
        <v>13</v>
      </c>
    </row>
    <row r="160" spans="2:14">
      <c r="B160" s="41" t="s">
        <v>23</v>
      </c>
      <c r="C160" s="41" t="s">
        <v>75</v>
      </c>
      <c r="D160" s="41" t="str">
        <f>+UPPER('0. Instruções'!$D$33&amp;"."&amp;VLOOKUP(B160,'0. Instruções'!$C$27:$D$31,2,FALSE))</f>
        <v>BU_LOANTAPE_WORK.LT003_ENTITY</v>
      </c>
      <c r="E160" s="41" t="str">
        <f>+UPPER('0. Instruções'!$D$34&amp;"."&amp;VLOOKUP(B160,'0. Instruções'!$C$27:$E$31,3,FALSE))</f>
        <v>BU_LOANTAPE_WORK.LT003_ENTTY_P3_NOV24</v>
      </c>
      <c r="F160" s="41" t="s">
        <v>182</v>
      </c>
      <c r="G160" s="41" t="s">
        <v>13</v>
      </c>
      <c r="H160" s="41"/>
      <c r="I160" s="41" t="str">
        <f>"(SELECT "&amp;VLOOKUP(B160,'0. Instruções'!$C$27:$G$31,4,FALSE)&amp;", "&amp;F160&amp;" FROM "&amp;D160&amp;" WHERE "&amp;'0. Instruções'!$D$40&amp;")X"</f>
        <v>(SELECT entty_id, ENTTY_ID FROM BU_LOANTAPE_WORK.LT003_ENTITY WHERE ref_date='${ref_date}' AND nome_perimetro='Individual Corporativo' AND segmento='ESTR' AND ambito='PILAR3')X</v>
      </c>
      <c r="J160" s="41" t="str">
        <f>"(SELECT "&amp;VLOOKUP(B160,'0. Instruções'!$C$27:$G$31,4,FALSE)&amp;" AS "&amp;VLOOKUP(B160,'0. Instruções'!$C$27:$G$31,4,FALSE)&amp;"_SIMUL, "&amp;F160&amp;" AS "&amp;F160&amp;"_SIMUL FROM "&amp;E160&amp;")Y"</f>
        <v>(SELECT entty_id AS entty_id_SIMUL, ENTTY_ID AS ENTTY_ID_SIMUL FROM BU_LOANTAPE_WORK.LT003_ENTTY_P3_NOV24)Y</v>
      </c>
      <c r="K160" s="42" t="str">
        <f>+UPPER("ON X."&amp;VLOOKUP(B160,'0. Instruções'!$C$27:$G$31,4,FALSE)&amp;"=Y."&amp;VLOOKUP(B160,'0. Instruções'!$C$27:$G$31,4,FALSE)&amp;"_SIMUL")</f>
        <v>ON X.ENTTY_ID=Y.ENTTY_ID_SIMUL</v>
      </c>
      <c r="L160" s="42" t="str">
        <f>+IF(C160="Coerência", +IF(LEFT(G160,5)="FLOAT","SELECT '"&amp;UPPER(B160)&amp;"' AS TABELA, '"&amp;UPPER(C160)&amp;"' AS TIPOLOGIA_TESTE,'"&amp;D160&amp;"' AS TABELA_LT,'"&amp;E160&amp;"' AS TABELA_SIMUL,'"&amp;F160&amp;"' AS CAMPO, "&amp;"'${ref_date}' AS REF_DATE, COUNT(*) AS NUM_REG, SUM(IF((ABS(COALESCE(X."&amp;F160&amp;",0)-COALESCE(Y."&amp;F160&amp;"_SIMUL,0))&gt;0.0000000001) OR (X."&amp;F160&amp;" IS NULL AND Y."&amp;F160&amp;"_SIMUL IS NOT NULL ) OR (X."&amp;F160&amp;" IS NOT NULL AND Y."&amp;F160&amp;"_SIMUL IS NULL),1,0)) AS NUM_REG_DIF,'"&amp;MAX('ID1&amp;5'!K:K)+1&amp;"' AS ID_EXEC, CURRENT_TIMESTAMP() AS TIME_EXEC FROM "&amp;I160&amp;" INNER JOIN "&amp;J160&amp;" "&amp;K160,"SELECT '"&amp;UPPER(B160)&amp;"' AS TABELA, '"&amp;UPPER(C160)&amp;"' AS TIPOLOGIA_TESTE,'"&amp;D160&amp;"' AS TABELA_LT,'"&amp;E160&amp;"' AS TABELA_SIMUL,'"&amp;F160&amp;"' AS CAMPO, "&amp;"'${ref_date}' AS REF_DATE, COUNT(*) AS NUM_REG, SUM(IF(COALESCE(CAST(X."&amp;F160&amp;" AS STRING),'')&lt;&gt;COALESCE(CAST(Y."&amp;F160&amp;"_SIMUL AS STRING),''),1,0)) AS NUM_REG_DIF,'"&amp;MAX('ID1&amp;5'!L:L)+1&amp;"' AS ID_EXEC, CURRENT_TIMESTAMP() AS TIME_EXEC FROM "&amp;I160&amp;" INNER JOIN "&amp;J160&amp;" "&amp;K160),
IF(C160="Validade",+IF(G160="Code List","SELECT '"&amp;UPPER(B160)&amp;"' AS TABELA, '"&amp;UPPER(C160)&amp;"' AS TIPOLOGIA_TESTE,'"&amp;D160&amp;"' AS TABELA_LT,'N/A' AS TABELA_SIMUL,'"&amp;F160&amp;"' AS CAMPO, "&amp;"'${ref_date}' AS REF_DATE, COUNT(*) AS NUM_REG, SUM(IF(TRIM(CAST(X."&amp;F160&amp;" AS STRING))='' OR TRIM(CAST(X."&amp;F160&amp;" AS STRING)) IS NULL OR CAST(X."&amp;F160&amp;" AS STRING) NOT "&amp;H160&amp;",1,0)) AS NUM_REG_DIF,'"&amp;MAX('ID1&amp;5'!K:K)+1&amp;"' AS ID_EXEC, CURRENT_TIMESTAMP() AS TIME_EXEC FROM "&amp;I160,"SELECT '"&amp;UPPER(B160)&amp;"' AS TABELA, '"&amp;UPPER(C160)&amp;"' AS TIPOLOGIA_TESTE,'"&amp;D160&amp;"' AS TABELA_LT,'N/A' AS TABELA_SIMUL,'"&amp;F160&amp;"' AS CAMPO, "&amp;"'${ref_date}' AS REF_DATE, COUNT(*) AS NUM_REG, SUM(IF(TRIM(CAST(X."&amp;F160&amp;" AS STRING))='' OR TRIM(CAST(X."&amp;F160&amp;" AS STRING)) IS NULL,1,0)) AS NUM_REG_DIF,'"&amp;MAX('ID1&amp;5'!K:K)+1&amp;"' AS ID_EXEC, CURRENT_TIMESTAMP() AS TIME_EXEC FROM "&amp;I160),
IF(C160="Caracteres Especiais",+"SELECT '"&amp;UPPER(B160)&amp;"' AS TABELA, '"&amp;UPPER(C160)&amp;"' AS TIPOLOGIA_TESTE,'"&amp;D160&amp;"' AS TABELA_LT,'N/A' AS TABELA_SIMUL,'"&amp;F160&amp;"' AS CAMPO, "&amp;"'${ref_date}' AS REF_DATE, COUNT(*) AS NUM_REG, SUM(IF(INSTR(CAST(X."&amp;F160&amp;" AS STRING),'#')&gt;0 OR INSTR(CAST(X."&amp;F160&amp;" AS STRING),'*')&gt;0 OR INSTR(CAST(X."&amp;F160&amp;" AS STRING),'`')&gt;0 OR INSTR(CAST(X."&amp;F160&amp;" AS STRING),'´')&gt;0 OR INSTR(CAST(X."&amp;F160&amp;" AS STRING),'{')&gt;0 OR INSTR(CAST(X."&amp;F160&amp;" AS STRING),'}')&gt;0 OR INSTR(CAST(X."&amp;F160&amp;" AS STRING),'[')&gt;0 OR INSTR(CAST(X."&amp;F160&amp;" AS STRING),'')&gt;0 OR INSTR(CAST(X."&amp;F160&amp;" AS STRING),']')&gt;0 OR INSTR(CAST(X."&amp;F160&amp;" AS STRING),'?')&gt;0 OR INSTR(CAST(X."&amp;F160&amp;" AS STRING),'!')&gt;0 OR INSTR(CAST(X."&amp;F160&amp;" AS STRING),'$')&gt;0 OR INSTR(CAST(X."&amp;F160&amp;" AS STRING),'%')&gt;0 OR INSTR(CAST(X."&amp;F160&amp;" AS STRING),'&amp;')&gt;0 OR INSTR(CAST(X."&amp;F160&amp;" AS STRING),'+')&gt;0,1,0)) AS NUM_REG_DIF,'"&amp;MAX('ID1&amp;5'!K:K)+1&amp;"' AS ID_EXEC, CURRENT_TIMESTAMP() AS TIME_EXEC FROM "&amp;I160,
IF(C160="Missings",+"SELECT '"&amp;UPPER(B160)&amp;"' AS TABELA, '"&amp;UPPER(C160)&amp;"' AS TIPOLOGIA_TESTE,'"&amp;D160&amp;"' AS TABELA_LT,'N/A' AS TABELA_SIMUL,'"&amp;F160&amp;"' AS CAMPO, "&amp;"'${ref_date}' AS REF_DATE, COUNT(*) AS NUM_REG, SUM(IF(TRIM(CAST(X."&amp;F160&amp;" AS STRING)) IN ('0000-00-00','0001-01-01','9999-12-31','MISS','00000','99999999999','99999999999.00','99999999999.000000'),1,0)) AS NUM_REG_DIF,'"&amp;MAX('ID1&amp;5'!K:K)+1&amp;"' AS ID_EXEC, CURRENT_TIMESTAMP() AS TIME_EXEC FROM "&amp;I160,
IF(C160="Not applicable",+"SELECT '"&amp;UPPER(B160)&amp;"' AS TABELA, '"&amp;UPPER(C160)&amp;"' AS TIPOLOGIA_TESTE,'"&amp;D160&amp;"' AS TABELA_LT,'N/A' AS TABELA_SIMUL,'"&amp;F160&amp;"' AS CAMPO, "&amp;"'${ref_date}' AS REF_DATE, COUNT(*) AS NUM_REG, SUM(IF(TRIM(CAST(X."&amp;F160&amp;" AS STRING)) IN ('N/A','11111111111','11111111111.00','11111111111.000000','1111-11-11'),1,0)) AS NUM_REG_DIF,'"&amp;MAX('ID1&amp;5'!K:K)+1&amp;"' AS ID_EXEC, CURRENT_TIMESTAMP() AS TIME_EXEC FROM "&amp;I160,
IF(C160="Valores extremos",+"SELECT '"&amp;UPPER(B160)&amp;"' AS TABELA, '"&amp;UPPER(C160)&amp;"' AS TIPOLOGIA_TESTE,'"&amp;D160&amp;"' AS TABELA_LT,'N/A' AS TABELA_SIMUL,'"&amp;F160&amp;"' AS CAMPO, "&amp;"'${ref_date}' AS REF_DATE, CAST(MIN("&amp;F160&amp;") AS STRING) AS VALOR_MIN, CAST(MAX("&amp;F160&amp;") AS STRING) AS VALOR_MAX,'"&amp;MAX('ID1&amp;5'!K:K)+1&amp;"' AS ID_EXEC, CURRENT_TIMESTAMP() AS TIME_EXEC FROM "&amp;MID(I160,1,LEN(I160)-2)&amp;" AND CAST("&amp;F160&amp;"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TABELA_SIMUL,'ENTTY_ID' AS CAMPO, '${ref_date}' AS REF_DATE, COUNT(*) AS NUM_REG, SUM(IF(TRIM(CAST(X.ENTTY_ID AS STRING))='' OR TRIM(CAST(X.ENTTY_ID AS STRING)) IS NULL,1,0)) AS NUM_REG_DIF,'10' AS ID_EXEC, CURRENT_TIMESTAMP() AS TIME_EXEC FROM (SELECT entty_id, ENTTY_ID FROM BU_LOANTAPE_WORK.LT003_ENTITY WHERE ref_date='${ref_date}' AND nome_perimetro='Individual Corporativo' AND segmento='ESTR' AND ambito='PILAR3')X</v>
      </c>
      <c r="M160" s="43" t="str">
        <f t="shared" si="2"/>
        <v>UNION ALL SELECT 'ENTITY' AS TABELA, 'VALIDADE' AS TIPOLOGIA_TESTE,'BU_LOANTAPE_WORK.LT003_ENTITY' AS TABELA_LT,'N/A' AS TABELA_SIMUL,'ENTTY_ID' AS CAMPO, '${ref_date}' AS REF_DATE, COUNT(*) AS NUM_REG, SUM(IF(TRIM(CAST(X.ENTTY_ID AS STRING))='' OR TRIM(CAST(X.ENTTY_ID AS STRING)) IS NULL,1,0)) AS NUM_REG_DIF,'10' AS ID_EXEC, CURRENT_TIMESTAMP() AS TIME_EXEC FROM (SELECT entty_id, ENTTY_ID FROM BU_LOANTAPE_WORK.LT003_ENTITY WHERE ref_date='${ref_date}' AND nome_perimetro='Individual Corporativo' AND segmento='ESTR' AND ambito='PILAR3')X</v>
      </c>
      <c r="N160" s="45" t="s">
        <v>13</v>
      </c>
    </row>
    <row r="161" spans="2:14">
      <c r="B161" s="41" t="s">
        <v>23</v>
      </c>
      <c r="C161" s="41" t="s">
        <v>75</v>
      </c>
      <c r="D161" s="41" t="str">
        <f>+UPPER('0. Instruções'!$D$33&amp;"."&amp;VLOOKUP(B161,'0. Instruções'!$C$27:$D$31,2,FALSE))</f>
        <v>BU_LOANTAPE_WORK.LT003_ENTITY</v>
      </c>
      <c r="E161" s="41" t="str">
        <f>+UPPER('0. Instruções'!$D$34&amp;"."&amp;VLOOKUP(B161,'0. Instruções'!$C$27:$E$31,3,FALSE))</f>
        <v>BU_LOANTAPE_WORK.LT003_ENTTY_P3_NOV24</v>
      </c>
      <c r="F161" s="41" t="s">
        <v>183</v>
      </c>
      <c r="G161" s="41" t="s">
        <v>13</v>
      </c>
      <c r="H161" s="41"/>
      <c r="I161" s="41" t="str">
        <f>"(SELECT "&amp;VLOOKUP(B161,'0. Instruções'!$C$27:$G$31,4,FALSE)&amp;", "&amp;F161&amp;" FROM "&amp;D161&amp;" WHERE "&amp;'0. Instruções'!$D$40&amp;")X"</f>
        <v>(SELECT entty_id, LEI FROM BU_LOANTAPE_WORK.LT003_ENTITY WHERE ref_date='${ref_date}' AND nome_perimetro='Individual Corporativo' AND segmento='ESTR' AND ambito='PILAR3')X</v>
      </c>
      <c r="J161" s="41" t="str">
        <f>"(SELECT "&amp;VLOOKUP(B161,'0. Instruções'!$C$27:$G$31,4,FALSE)&amp;" AS "&amp;VLOOKUP(B161,'0. Instruções'!$C$27:$G$31,4,FALSE)&amp;"_SIMUL, "&amp;F161&amp;" AS "&amp;F161&amp;"_SIMUL FROM "&amp;E161&amp;")Y"</f>
        <v>(SELECT entty_id AS entty_id_SIMUL, LEI AS LEI_SIMUL FROM BU_LOANTAPE_WORK.LT003_ENTTY_P3_NOV24)Y</v>
      </c>
      <c r="K161" s="42" t="str">
        <f>+UPPER("ON X."&amp;VLOOKUP(B161,'0. Instruções'!$C$27:$G$31,4,FALSE)&amp;"=Y."&amp;VLOOKUP(B161,'0. Instruções'!$C$27:$G$31,4,FALSE)&amp;"_SIMUL")</f>
        <v>ON X.ENTTY_ID=Y.ENTTY_ID_SIMUL</v>
      </c>
      <c r="L161" s="42" t="str">
        <f>+IF(C161="Coerência", +IF(LEFT(G161,5)="FLOAT","SELECT '"&amp;UPPER(B161)&amp;"' AS TABELA, '"&amp;UPPER(C161)&amp;"' AS TIPOLOGIA_TESTE,'"&amp;D161&amp;"' AS TABELA_LT,'"&amp;E161&amp;"' AS TABELA_SIMUL,'"&amp;F161&amp;"' AS CAMPO, "&amp;"'${ref_date}' AS REF_DATE, COUNT(*) AS NUM_REG, SUM(IF((ABS(COALESCE(X."&amp;F161&amp;",0)-COALESCE(Y."&amp;F161&amp;"_SIMUL,0))&gt;0.0000000001) OR (X."&amp;F161&amp;" IS NULL AND Y."&amp;F161&amp;"_SIMUL IS NOT NULL ) OR (X."&amp;F161&amp;" IS NOT NULL AND Y."&amp;F161&amp;"_SIMUL IS NULL),1,0)) AS NUM_REG_DIF,'"&amp;MAX('ID1&amp;5'!K:K)+1&amp;"' AS ID_EXEC, CURRENT_TIMESTAMP() AS TIME_EXEC FROM "&amp;I161&amp;" INNER JOIN "&amp;J161&amp;" "&amp;K161,"SELECT '"&amp;UPPER(B161)&amp;"' AS TABELA, '"&amp;UPPER(C161)&amp;"' AS TIPOLOGIA_TESTE,'"&amp;D161&amp;"' AS TABELA_LT,'"&amp;E161&amp;"' AS TABELA_SIMUL,'"&amp;F161&amp;"' AS CAMPO, "&amp;"'${ref_date}' AS REF_DATE, COUNT(*) AS NUM_REG, SUM(IF(COALESCE(CAST(X."&amp;F161&amp;" AS STRING),'')&lt;&gt;COALESCE(CAST(Y."&amp;F161&amp;"_SIMUL AS STRING),''),1,0)) AS NUM_REG_DIF,'"&amp;MAX('ID1&amp;5'!L:L)+1&amp;"' AS ID_EXEC, CURRENT_TIMESTAMP() AS TIME_EXEC FROM "&amp;I161&amp;" INNER JOIN "&amp;J161&amp;" "&amp;K161),
IF(C161="Validade",+IF(G161="Code List","SELECT '"&amp;UPPER(B161)&amp;"' AS TABELA, '"&amp;UPPER(C161)&amp;"' AS TIPOLOGIA_TESTE,'"&amp;D161&amp;"' AS TABELA_LT,'N/A' AS TABELA_SIMUL,'"&amp;F161&amp;"' AS CAMPO, "&amp;"'${ref_date}' AS REF_DATE, COUNT(*) AS NUM_REG, SUM(IF(TRIM(CAST(X."&amp;F161&amp;" AS STRING))='' OR TRIM(CAST(X."&amp;F161&amp;" AS STRING)) IS NULL OR CAST(X."&amp;F161&amp;" AS STRING) NOT "&amp;H161&amp;",1,0)) AS NUM_REG_DIF,'"&amp;MAX('ID1&amp;5'!K:K)+1&amp;"' AS ID_EXEC, CURRENT_TIMESTAMP() AS TIME_EXEC FROM "&amp;I161,"SELECT '"&amp;UPPER(B161)&amp;"' AS TABELA, '"&amp;UPPER(C161)&amp;"' AS TIPOLOGIA_TESTE,'"&amp;D161&amp;"' AS TABELA_LT,'N/A' AS TABELA_SIMUL,'"&amp;F161&amp;"' AS CAMPO, "&amp;"'${ref_date}' AS REF_DATE, COUNT(*) AS NUM_REG, SUM(IF(TRIM(CAST(X."&amp;F161&amp;" AS STRING))='' OR TRIM(CAST(X."&amp;F161&amp;" AS STRING)) IS NULL,1,0)) AS NUM_REG_DIF,'"&amp;MAX('ID1&amp;5'!K:K)+1&amp;"' AS ID_EXEC, CURRENT_TIMESTAMP() AS TIME_EXEC FROM "&amp;I161),
IF(C161="Caracteres Especiais",+"SELECT '"&amp;UPPER(B161)&amp;"' AS TABELA, '"&amp;UPPER(C161)&amp;"' AS TIPOLOGIA_TESTE,'"&amp;D161&amp;"' AS TABELA_LT,'N/A' AS TABELA_SIMUL,'"&amp;F161&amp;"' AS CAMPO, "&amp;"'${ref_date}' AS REF_DATE, COUNT(*) AS NUM_REG, SUM(IF(INSTR(CAST(X."&amp;F161&amp;" AS STRING),'#')&gt;0 OR INSTR(CAST(X."&amp;F161&amp;" AS STRING),'*')&gt;0 OR INSTR(CAST(X."&amp;F161&amp;" AS STRING),'`')&gt;0 OR INSTR(CAST(X."&amp;F161&amp;" AS STRING),'´')&gt;0 OR INSTR(CAST(X."&amp;F161&amp;" AS STRING),'{')&gt;0 OR INSTR(CAST(X."&amp;F161&amp;" AS STRING),'}')&gt;0 OR INSTR(CAST(X."&amp;F161&amp;" AS STRING),'[')&gt;0 OR INSTR(CAST(X."&amp;F161&amp;" AS STRING),'')&gt;0 OR INSTR(CAST(X."&amp;F161&amp;" AS STRING),']')&gt;0 OR INSTR(CAST(X."&amp;F161&amp;" AS STRING),'?')&gt;0 OR INSTR(CAST(X."&amp;F161&amp;" AS STRING),'!')&gt;0 OR INSTR(CAST(X."&amp;F161&amp;" AS STRING),'$')&gt;0 OR INSTR(CAST(X."&amp;F161&amp;" AS STRING),'%')&gt;0 OR INSTR(CAST(X."&amp;F161&amp;" AS STRING),'&amp;')&gt;0 OR INSTR(CAST(X."&amp;F161&amp;" AS STRING),'+')&gt;0,1,0)) AS NUM_REG_DIF,'"&amp;MAX('ID1&amp;5'!K:K)+1&amp;"' AS ID_EXEC, CURRENT_TIMESTAMP() AS TIME_EXEC FROM "&amp;I161,
IF(C161="Missings",+"SELECT '"&amp;UPPER(B161)&amp;"' AS TABELA, '"&amp;UPPER(C161)&amp;"' AS TIPOLOGIA_TESTE,'"&amp;D161&amp;"' AS TABELA_LT,'N/A' AS TABELA_SIMUL,'"&amp;F161&amp;"' AS CAMPO, "&amp;"'${ref_date}' AS REF_DATE, COUNT(*) AS NUM_REG, SUM(IF(TRIM(CAST(X."&amp;F161&amp;" AS STRING)) IN ('0000-00-00','0001-01-01','9999-12-31','MISS','00000','99999999999','99999999999.00','99999999999.000000'),1,0)) AS NUM_REG_DIF,'"&amp;MAX('ID1&amp;5'!K:K)+1&amp;"' AS ID_EXEC, CURRENT_TIMESTAMP() AS TIME_EXEC FROM "&amp;I161,
IF(C161="Not applicable",+"SELECT '"&amp;UPPER(B161)&amp;"' AS TABELA, '"&amp;UPPER(C161)&amp;"' AS TIPOLOGIA_TESTE,'"&amp;D161&amp;"' AS TABELA_LT,'N/A' AS TABELA_SIMUL,'"&amp;F161&amp;"' AS CAMPO, "&amp;"'${ref_date}' AS REF_DATE, COUNT(*) AS NUM_REG, SUM(IF(TRIM(CAST(X."&amp;F161&amp;" AS STRING)) IN ('N/A','11111111111','11111111111.00','11111111111.000000','1111-11-11'),1,0)) AS NUM_REG_DIF,'"&amp;MAX('ID1&amp;5'!K:K)+1&amp;"' AS ID_EXEC, CURRENT_TIMESTAMP() AS TIME_EXEC FROM "&amp;I161,
IF(C161="Valores extremos",+"SELECT '"&amp;UPPER(B161)&amp;"' AS TABELA, '"&amp;UPPER(C161)&amp;"' AS TIPOLOGIA_TESTE,'"&amp;D161&amp;"' AS TABELA_LT,'N/A' AS TABELA_SIMUL,'"&amp;F161&amp;"' AS CAMPO, "&amp;"'${ref_date}' AS REF_DATE, CAST(MIN("&amp;F161&amp;") AS STRING) AS VALOR_MIN, CAST(MAX("&amp;F161&amp;") AS STRING) AS VALOR_MAX,'"&amp;MAX('ID1&amp;5'!K:K)+1&amp;"' AS ID_EXEC, CURRENT_TIMESTAMP() AS TIME_EXEC FROM "&amp;MID(I161,1,LEN(I161)-2)&amp;" AND CAST("&amp;F161&amp;"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TABELA_SIMUL,'LEI' AS CAMPO, '${ref_date}' AS REF_DATE, COUNT(*) AS NUM_REG, SUM(IF(TRIM(CAST(X.LEI AS STRING))='' OR TRIM(CAST(X.LEI AS STRING)) IS NULL,1,0)) AS NUM_REG_DIF,'10' AS ID_EXEC, CURRENT_TIMESTAMP() AS TIME_EXEC FROM (SELECT entty_id, LEI FROM BU_LOANTAPE_WORK.LT003_ENTITY WHERE ref_date='${ref_date}' AND nome_perimetro='Individual Corporativo' AND segmento='ESTR' AND ambito='PILAR3')X</v>
      </c>
      <c r="M161" s="43" t="str">
        <f t="shared" si="2"/>
        <v>UNION ALL SELECT 'ENTITY' AS TABELA, 'VALIDADE' AS TIPOLOGIA_TESTE,'BU_LOANTAPE_WORK.LT003_ENTITY' AS TABELA_LT,'N/A' AS TABELA_SIMUL,'LEI' AS CAMPO, '${ref_date}' AS REF_DATE, COUNT(*) AS NUM_REG, SUM(IF(TRIM(CAST(X.LEI AS STRING))='' OR TRIM(CAST(X.LEI AS STRING)) IS NULL,1,0)) AS NUM_REG_DIF,'10' AS ID_EXEC, CURRENT_TIMESTAMP() AS TIME_EXEC FROM (SELECT entty_id, LEI FROM BU_LOANTAPE_WORK.LT003_ENTITY WHERE ref_date='${ref_date}' AND nome_perimetro='Individual Corporativo' AND segmento='ESTR' AND ambito='PILAR3')X</v>
      </c>
      <c r="N161" s="45" t="s">
        <v>13</v>
      </c>
    </row>
    <row r="162" spans="2:14">
      <c r="B162" s="41" t="s">
        <v>23</v>
      </c>
      <c r="C162" s="41" t="s">
        <v>75</v>
      </c>
      <c r="D162" s="41" t="str">
        <f>+UPPER('0. Instruções'!$D$33&amp;"."&amp;VLOOKUP(B162,'0. Instruções'!$C$27:$D$31,2,FALSE))</f>
        <v>BU_LOANTAPE_WORK.LT003_ENTITY</v>
      </c>
      <c r="E162" s="41" t="str">
        <f>+UPPER('0. Instruções'!$D$34&amp;"."&amp;VLOOKUP(B162,'0. Instruções'!$C$27:$E$31,3,FALSE))</f>
        <v>BU_LOANTAPE_WORK.LT003_ENTTY_P3_NOV24</v>
      </c>
      <c r="F162" s="41" t="s">
        <v>184</v>
      </c>
      <c r="G162" s="41" t="s">
        <v>13</v>
      </c>
      <c r="H162" s="41"/>
      <c r="I162" s="41" t="str">
        <f>"(SELECT "&amp;VLOOKUP(B162,'0. Instruções'!$C$27:$G$31,4,FALSE)&amp;", "&amp;F162&amp;" FROM "&amp;D162&amp;" WHERE "&amp;'0. Instruções'!$D$40&amp;")X"</f>
        <v>(SELECT entty_id, ECNMC_ACTVTY FROM BU_LOANTAPE_WORK.LT003_ENTITY WHERE ref_date='${ref_date}' AND nome_perimetro='Individual Corporativo' AND segmento='ESTR' AND ambito='PILAR3')X</v>
      </c>
      <c r="J162" s="41" t="str">
        <f>"(SELECT "&amp;VLOOKUP(B162,'0. Instruções'!$C$27:$G$31,4,FALSE)&amp;" AS "&amp;VLOOKUP(B162,'0. Instruções'!$C$27:$G$31,4,FALSE)&amp;"_SIMUL, "&amp;F162&amp;" AS "&amp;F162&amp;"_SIMUL FROM "&amp;E162&amp;")Y"</f>
        <v>(SELECT entty_id AS entty_id_SIMUL, ECNMC_ACTVTY AS ECNMC_ACTVTY_SIMUL FROM BU_LOANTAPE_WORK.LT003_ENTTY_P3_NOV24)Y</v>
      </c>
      <c r="K162" s="42" t="str">
        <f>+UPPER("ON X."&amp;VLOOKUP(B162,'0. Instruções'!$C$27:$G$31,4,FALSE)&amp;"=Y."&amp;VLOOKUP(B162,'0. Instruções'!$C$27:$G$31,4,FALSE)&amp;"_SIMUL")</f>
        <v>ON X.ENTTY_ID=Y.ENTTY_ID_SIMUL</v>
      </c>
      <c r="L162" s="42" t="str">
        <f>+IF(C162="Coerência", +IF(LEFT(G162,5)="FLOAT","SELECT '"&amp;UPPER(B162)&amp;"' AS TABELA, '"&amp;UPPER(C162)&amp;"' AS TIPOLOGIA_TESTE,'"&amp;D162&amp;"' AS TABELA_LT,'"&amp;E162&amp;"' AS TABELA_SIMUL,'"&amp;F162&amp;"' AS CAMPO, "&amp;"'${ref_date}' AS REF_DATE, COUNT(*) AS NUM_REG, SUM(IF((ABS(COALESCE(X."&amp;F162&amp;",0)-COALESCE(Y."&amp;F162&amp;"_SIMUL,0))&gt;0.0000000001) OR (X."&amp;F162&amp;" IS NULL AND Y."&amp;F162&amp;"_SIMUL IS NOT NULL ) OR (X."&amp;F162&amp;" IS NOT NULL AND Y."&amp;F162&amp;"_SIMUL IS NULL),1,0)) AS NUM_REG_DIF,'"&amp;MAX('ID1&amp;5'!K:K)+1&amp;"' AS ID_EXEC, CURRENT_TIMESTAMP() AS TIME_EXEC FROM "&amp;I162&amp;" INNER JOIN "&amp;J162&amp;" "&amp;K162,"SELECT '"&amp;UPPER(B162)&amp;"' AS TABELA, '"&amp;UPPER(C162)&amp;"' AS TIPOLOGIA_TESTE,'"&amp;D162&amp;"' AS TABELA_LT,'"&amp;E162&amp;"' AS TABELA_SIMUL,'"&amp;F162&amp;"' AS CAMPO, "&amp;"'${ref_date}' AS REF_DATE, COUNT(*) AS NUM_REG, SUM(IF(COALESCE(CAST(X."&amp;F162&amp;" AS STRING),'')&lt;&gt;COALESCE(CAST(Y."&amp;F162&amp;"_SIMUL AS STRING),''),1,0)) AS NUM_REG_DIF,'"&amp;MAX('ID1&amp;5'!L:L)+1&amp;"' AS ID_EXEC, CURRENT_TIMESTAMP() AS TIME_EXEC FROM "&amp;I162&amp;" INNER JOIN "&amp;J162&amp;" "&amp;K162),
IF(C162="Validade",+IF(G162="Code List","SELECT '"&amp;UPPER(B162)&amp;"' AS TABELA, '"&amp;UPPER(C162)&amp;"' AS TIPOLOGIA_TESTE,'"&amp;D162&amp;"' AS TABELA_LT,'N/A' AS TABELA_SIMUL,'"&amp;F162&amp;"' AS CAMPO, "&amp;"'${ref_date}' AS REF_DATE, COUNT(*) AS NUM_REG, SUM(IF(TRIM(CAST(X."&amp;F162&amp;" AS STRING))='' OR TRIM(CAST(X."&amp;F162&amp;" AS STRING)) IS NULL OR CAST(X."&amp;F162&amp;" AS STRING) NOT "&amp;H162&amp;",1,0)) AS NUM_REG_DIF,'"&amp;MAX('ID1&amp;5'!K:K)+1&amp;"' AS ID_EXEC, CURRENT_TIMESTAMP() AS TIME_EXEC FROM "&amp;I162,"SELECT '"&amp;UPPER(B162)&amp;"' AS TABELA, '"&amp;UPPER(C162)&amp;"' AS TIPOLOGIA_TESTE,'"&amp;D162&amp;"' AS TABELA_LT,'N/A' AS TABELA_SIMUL,'"&amp;F162&amp;"' AS CAMPO, "&amp;"'${ref_date}' AS REF_DATE, COUNT(*) AS NUM_REG, SUM(IF(TRIM(CAST(X."&amp;F162&amp;" AS STRING))='' OR TRIM(CAST(X."&amp;F162&amp;" AS STRING)) IS NULL,1,0)) AS NUM_REG_DIF,'"&amp;MAX('ID1&amp;5'!K:K)+1&amp;"' AS ID_EXEC, CURRENT_TIMESTAMP() AS TIME_EXEC FROM "&amp;I162),
IF(C162="Caracteres Especiais",+"SELECT '"&amp;UPPER(B162)&amp;"' AS TABELA, '"&amp;UPPER(C162)&amp;"' AS TIPOLOGIA_TESTE,'"&amp;D162&amp;"' AS TABELA_LT,'N/A' AS TABELA_SIMUL,'"&amp;F162&amp;"' AS CAMPO, "&amp;"'${ref_date}' AS REF_DATE, COUNT(*) AS NUM_REG, SUM(IF(INSTR(CAST(X."&amp;F162&amp;" AS STRING),'#')&gt;0 OR INSTR(CAST(X."&amp;F162&amp;" AS STRING),'*')&gt;0 OR INSTR(CAST(X."&amp;F162&amp;" AS STRING),'`')&gt;0 OR INSTR(CAST(X."&amp;F162&amp;" AS STRING),'´')&gt;0 OR INSTR(CAST(X."&amp;F162&amp;" AS STRING),'{')&gt;0 OR INSTR(CAST(X."&amp;F162&amp;" AS STRING),'}')&gt;0 OR INSTR(CAST(X."&amp;F162&amp;" AS STRING),'[')&gt;0 OR INSTR(CAST(X."&amp;F162&amp;" AS STRING),'')&gt;0 OR INSTR(CAST(X."&amp;F162&amp;" AS STRING),']')&gt;0 OR INSTR(CAST(X."&amp;F162&amp;" AS STRING),'?')&gt;0 OR INSTR(CAST(X."&amp;F162&amp;" AS STRING),'!')&gt;0 OR INSTR(CAST(X."&amp;F162&amp;" AS STRING),'$')&gt;0 OR INSTR(CAST(X."&amp;F162&amp;" AS STRING),'%')&gt;0 OR INSTR(CAST(X."&amp;F162&amp;" AS STRING),'&amp;')&gt;0 OR INSTR(CAST(X."&amp;F162&amp;" AS STRING),'+')&gt;0,1,0)) AS NUM_REG_DIF,'"&amp;MAX('ID1&amp;5'!K:K)+1&amp;"' AS ID_EXEC, CURRENT_TIMESTAMP() AS TIME_EXEC FROM "&amp;I162,
IF(C162="Missings",+"SELECT '"&amp;UPPER(B162)&amp;"' AS TABELA, '"&amp;UPPER(C162)&amp;"' AS TIPOLOGIA_TESTE,'"&amp;D162&amp;"' AS TABELA_LT,'N/A' AS TABELA_SIMUL,'"&amp;F162&amp;"' AS CAMPO, "&amp;"'${ref_date}' AS REF_DATE, COUNT(*) AS NUM_REG, SUM(IF(TRIM(CAST(X."&amp;F162&amp;" AS STRING)) IN ('0000-00-00','0001-01-01','9999-12-31','MISS','00000','99999999999','99999999999.00','99999999999.000000'),1,0)) AS NUM_REG_DIF,'"&amp;MAX('ID1&amp;5'!K:K)+1&amp;"' AS ID_EXEC, CURRENT_TIMESTAMP() AS TIME_EXEC FROM "&amp;I162,
IF(C162="Not applicable",+"SELECT '"&amp;UPPER(B162)&amp;"' AS TABELA, '"&amp;UPPER(C162)&amp;"' AS TIPOLOGIA_TESTE,'"&amp;D162&amp;"' AS TABELA_LT,'N/A' AS TABELA_SIMUL,'"&amp;F162&amp;"' AS CAMPO, "&amp;"'${ref_date}' AS REF_DATE, COUNT(*) AS NUM_REG, SUM(IF(TRIM(CAST(X."&amp;F162&amp;" AS STRING)) IN ('N/A','11111111111','11111111111.00','11111111111.000000','1111-11-11'),1,0)) AS NUM_REG_DIF,'"&amp;MAX('ID1&amp;5'!K:K)+1&amp;"' AS ID_EXEC, CURRENT_TIMESTAMP() AS TIME_EXEC FROM "&amp;I162,
IF(C162="Valores extremos",+"SELECT '"&amp;UPPER(B162)&amp;"' AS TABELA, '"&amp;UPPER(C162)&amp;"' AS TIPOLOGIA_TESTE,'"&amp;D162&amp;"' AS TABELA_LT,'N/A' AS TABELA_SIMUL,'"&amp;F162&amp;"' AS CAMPO, "&amp;"'${ref_date}' AS REF_DATE, CAST(MIN("&amp;F162&amp;") AS STRING) AS VALOR_MIN, CAST(MAX("&amp;F162&amp;") AS STRING) AS VALOR_MAX,'"&amp;MAX('ID1&amp;5'!K:K)+1&amp;"' AS ID_EXEC, CURRENT_TIMESTAMP() AS TIME_EXEC FROM "&amp;MID(I162,1,LEN(I162)-2)&amp;" AND CAST("&amp;F162&amp;"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TABELA_SIMUL,'ECNMC_ACTVTY' AS CAMPO, '${ref_date}' AS REF_DATE, COUNT(*) AS NUM_REG, SUM(IF(TRIM(CAST(X.ECNMC_ACTVTY AS STRING))='' OR TRIM(CAST(X.ECNMC_ACTVTY AS STRING)) IS NULL,1,0)) AS NUM_REG_DIF,'10' AS ID_EXEC, CURRENT_TIMESTAMP() AS TIME_EXEC FROM (SELECT entty_id, ECNMC_ACTVTY FROM BU_LOANTAPE_WORK.LT003_ENTITY WHERE ref_date='${ref_date}' AND nome_perimetro='Individual Corporativo' AND segmento='ESTR' AND ambito='PILAR3')X</v>
      </c>
      <c r="M162" s="43" t="str">
        <f t="shared" si="2"/>
        <v>UNION ALL SELECT 'ENTITY' AS TABELA, 'VALIDADE' AS TIPOLOGIA_TESTE,'BU_LOANTAPE_WORK.LT003_ENTITY' AS TABELA_LT,'N/A' AS TABELA_SIMUL,'ECNMC_ACTVTY' AS CAMPO, '${ref_date}' AS REF_DATE, COUNT(*) AS NUM_REG, SUM(IF(TRIM(CAST(X.ECNMC_ACTVTY AS STRING))='' OR TRIM(CAST(X.ECNMC_ACTVTY AS STRING)) IS NULL,1,0)) AS NUM_REG_DIF,'10' AS ID_EXEC, CURRENT_TIMESTAMP() AS TIME_EXEC FROM (SELECT entty_id, ECNMC_ACTVTY FROM BU_LOANTAPE_WORK.LT003_ENTITY WHERE ref_date='${ref_date}' AND nome_perimetro='Individual Corporativo' AND segmento='ESTR' AND ambito='PILAR3')X</v>
      </c>
      <c r="N162" s="45" t="s">
        <v>13</v>
      </c>
    </row>
    <row r="163" spans="2:14">
      <c r="B163" s="41" t="s">
        <v>23</v>
      </c>
      <c r="C163" s="41" t="s">
        <v>75</v>
      </c>
      <c r="D163" s="41" t="str">
        <f>+UPPER('0. Instruções'!$D$33&amp;"."&amp;VLOOKUP(B163,'0. Instruções'!$C$27:$D$31,2,FALSE))</f>
        <v>BU_LOANTAPE_WORK.LT003_ENTITY</v>
      </c>
      <c r="E163" s="41" t="str">
        <f>+UPPER('0. Instruções'!$D$34&amp;"."&amp;VLOOKUP(B163,'0. Instruções'!$C$27:$E$31,3,FALSE))</f>
        <v>BU_LOANTAPE_WORK.LT003_ENTTY_P3_NOV24</v>
      </c>
      <c r="F163" s="41" t="s">
        <v>185</v>
      </c>
      <c r="G163" s="41" t="s">
        <v>13</v>
      </c>
      <c r="H163" s="41"/>
      <c r="I163" s="41" t="str">
        <f>"(SELECT "&amp;VLOOKUP(B163,'0. Instruções'!$C$27:$G$31,4,FALSE)&amp;", "&amp;F163&amp;" FROM "&amp;D163&amp;" WHERE "&amp;'0. Instruções'!$D$40&amp;")X"</f>
        <v>(SELECT entty_id, GRP_EQTY FROM BU_LOANTAPE_WORK.LT003_ENTITY WHERE ref_date='${ref_date}' AND nome_perimetro='Individual Corporativo' AND segmento='ESTR' AND ambito='PILAR3')X</v>
      </c>
      <c r="J163" s="41" t="str">
        <f>"(SELECT "&amp;VLOOKUP(B163,'0. Instruções'!$C$27:$G$31,4,FALSE)&amp;" AS "&amp;VLOOKUP(B163,'0. Instruções'!$C$27:$G$31,4,FALSE)&amp;"_SIMUL, "&amp;F163&amp;" AS "&amp;F163&amp;"_SIMUL FROM "&amp;E163&amp;")Y"</f>
        <v>(SELECT entty_id AS entty_id_SIMUL, GRP_EQTY AS GRP_EQTY_SIMUL FROM BU_LOANTAPE_WORK.LT003_ENTTY_P3_NOV24)Y</v>
      </c>
      <c r="K163" s="42" t="str">
        <f>+UPPER("ON X."&amp;VLOOKUP(B163,'0. Instruções'!$C$27:$G$31,4,FALSE)&amp;"=Y."&amp;VLOOKUP(B163,'0. Instruções'!$C$27:$G$31,4,FALSE)&amp;"_SIMUL")</f>
        <v>ON X.ENTTY_ID=Y.ENTTY_ID_SIMUL</v>
      </c>
      <c r="L163" s="42" t="str">
        <f>+IF(C163="Coerência", +IF(LEFT(G163,5)="FLOAT","SELECT '"&amp;UPPER(B163)&amp;"' AS TABELA, '"&amp;UPPER(C163)&amp;"' AS TIPOLOGIA_TESTE,'"&amp;D163&amp;"' AS TABELA_LT,'"&amp;E163&amp;"' AS TABELA_SIMUL,'"&amp;F163&amp;"' AS CAMPO, "&amp;"'${ref_date}' AS REF_DATE, COUNT(*) AS NUM_REG, SUM(IF((ABS(COALESCE(X."&amp;F163&amp;",0)-COALESCE(Y."&amp;F163&amp;"_SIMUL,0))&gt;0.0000000001) OR (X."&amp;F163&amp;" IS NULL AND Y."&amp;F163&amp;"_SIMUL IS NOT NULL ) OR (X."&amp;F163&amp;" IS NOT NULL AND Y."&amp;F163&amp;"_SIMUL IS NULL),1,0)) AS NUM_REG_DIF,'"&amp;MAX('ID1&amp;5'!K:K)+1&amp;"' AS ID_EXEC, CURRENT_TIMESTAMP() AS TIME_EXEC FROM "&amp;I163&amp;" INNER JOIN "&amp;J163&amp;" "&amp;K163,"SELECT '"&amp;UPPER(B163)&amp;"' AS TABELA, '"&amp;UPPER(C163)&amp;"' AS TIPOLOGIA_TESTE,'"&amp;D163&amp;"' AS TABELA_LT,'"&amp;E163&amp;"' AS TABELA_SIMUL,'"&amp;F163&amp;"' AS CAMPO, "&amp;"'${ref_date}' AS REF_DATE, COUNT(*) AS NUM_REG, SUM(IF(COALESCE(CAST(X."&amp;F163&amp;" AS STRING),'')&lt;&gt;COALESCE(CAST(Y."&amp;F163&amp;"_SIMUL AS STRING),''),1,0)) AS NUM_REG_DIF,'"&amp;MAX('ID1&amp;5'!L:L)+1&amp;"' AS ID_EXEC, CURRENT_TIMESTAMP() AS TIME_EXEC FROM "&amp;I163&amp;" INNER JOIN "&amp;J163&amp;" "&amp;K163),
IF(C163="Validade",+IF(G163="Code List","SELECT '"&amp;UPPER(B163)&amp;"' AS TABELA, '"&amp;UPPER(C163)&amp;"' AS TIPOLOGIA_TESTE,'"&amp;D163&amp;"' AS TABELA_LT,'N/A' AS TABELA_SIMUL,'"&amp;F163&amp;"' AS CAMPO, "&amp;"'${ref_date}' AS REF_DATE, COUNT(*) AS NUM_REG, SUM(IF(TRIM(CAST(X."&amp;F163&amp;" AS STRING))='' OR TRIM(CAST(X."&amp;F163&amp;" AS STRING)) IS NULL OR CAST(X."&amp;F163&amp;" AS STRING) NOT "&amp;H163&amp;",1,0)) AS NUM_REG_DIF,'"&amp;MAX('ID1&amp;5'!K:K)+1&amp;"' AS ID_EXEC, CURRENT_TIMESTAMP() AS TIME_EXEC FROM "&amp;I163,"SELECT '"&amp;UPPER(B163)&amp;"' AS TABELA, '"&amp;UPPER(C163)&amp;"' AS TIPOLOGIA_TESTE,'"&amp;D163&amp;"' AS TABELA_LT,'N/A' AS TABELA_SIMUL,'"&amp;F163&amp;"' AS CAMPO, "&amp;"'${ref_date}' AS REF_DATE, COUNT(*) AS NUM_REG, SUM(IF(TRIM(CAST(X."&amp;F163&amp;" AS STRING))='' OR TRIM(CAST(X."&amp;F163&amp;" AS STRING)) IS NULL,1,0)) AS NUM_REG_DIF,'"&amp;MAX('ID1&amp;5'!K:K)+1&amp;"' AS ID_EXEC, CURRENT_TIMESTAMP() AS TIME_EXEC FROM "&amp;I163),
IF(C163="Caracteres Especiais",+"SELECT '"&amp;UPPER(B163)&amp;"' AS TABELA, '"&amp;UPPER(C163)&amp;"' AS TIPOLOGIA_TESTE,'"&amp;D163&amp;"' AS TABELA_LT,'N/A' AS TABELA_SIMUL,'"&amp;F163&amp;"' AS CAMPO, "&amp;"'${ref_date}' AS REF_DATE, COUNT(*) AS NUM_REG, SUM(IF(INSTR(CAST(X."&amp;F163&amp;" AS STRING),'#')&gt;0 OR INSTR(CAST(X."&amp;F163&amp;" AS STRING),'*')&gt;0 OR INSTR(CAST(X."&amp;F163&amp;" AS STRING),'`')&gt;0 OR INSTR(CAST(X."&amp;F163&amp;" AS STRING),'´')&gt;0 OR INSTR(CAST(X."&amp;F163&amp;" AS STRING),'{')&gt;0 OR INSTR(CAST(X."&amp;F163&amp;" AS STRING),'}')&gt;0 OR INSTR(CAST(X."&amp;F163&amp;" AS STRING),'[')&gt;0 OR INSTR(CAST(X."&amp;F163&amp;" AS STRING),'')&gt;0 OR INSTR(CAST(X."&amp;F163&amp;" AS STRING),']')&gt;0 OR INSTR(CAST(X."&amp;F163&amp;" AS STRING),'?')&gt;0 OR INSTR(CAST(X."&amp;F163&amp;" AS STRING),'!')&gt;0 OR INSTR(CAST(X."&amp;F163&amp;" AS STRING),'$')&gt;0 OR INSTR(CAST(X."&amp;F163&amp;" AS STRING),'%')&gt;0 OR INSTR(CAST(X."&amp;F163&amp;" AS STRING),'&amp;')&gt;0 OR INSTR(CAST(X."&amp;F163&amp;" AS STRING),'+')&gt;0,1,0)) AS NUM_REG_DIF,'"&amp;MAX('ID1&amp;5'!K:K)+1&amp;"' AS ID_EXEC, CURRENT_TIMESTAMP() AS TIME_EXEC FROM "&amp;I163,
IF(C163="Missings",+"SELECT '"&amp;UPPER(B163)&amp;"' AS TABELA, '"&amp;UPPER(C163)&amp;"' AS TIPOLOGIA_TESTE,'"&amp;D163&amp;"' AS TABELA_LT,'N/A' AS TABELA_SIMUL,'"&amp;F163&amp;"' AS CAMPO, "&amp;"'${ref_date}' AS REF_DATE, COUNT(*) AS NUM_REG, SUM(IF(TRIM(CAST(X."&amp;F163&amp;" AS STRING)) IN ('0000-00-00','0001-01-01','9999-12-31','MISS','00000','99999999999','99999999999.00','99999999999.000000'),1,0)) AS NUM_REG_DIF,'"&amp;MAX('ID1&amp;5'!K:K)+1&amp;"' AS ID_EXEC, CURRENT_TIMESTAMP() AS TIME_EXEC FROM "&amp;I163,
IF(C163="Not applicable",+"SELECT '"&amp;UPPER(B163)&amp;"' AS TABELA, '"&amp;UPPER(C163)&amp;"' AS TIPOLOGIA_TESTE,'"&amp;D163&amp;"' AS TABELA_LT,'N/A' AS TABELA_SIMUL,'"&amp;F163&amp;"' AS CAMPO, "&amp;"'${ref_date}' AS REF_DATE, COUNT(*) AS NUM_REG, SUM(IF(TRIM(CAST(X."&amp;F163&amp;" AS STRING)) IN ('N/A','11111111111','11111111111.00','11111111111.000000','1111-11-11'),1,0)) AS NUM_REG_DIF,'"&amp;MAX('ID1&amp;5'!K:K)+1&amp;"' AS ID_EXEC, CURRENT_TIMESTAMP() AS TIME_EXEC FROM "&amp;I163,
IF(C163="Valores extremos",+"SELECT '"&amp;UPPER(B163)&amp;"' AS TABELA, '"&amp;UPPER(C163)&amp;"' AS TIPOLOGIA_TESTE,'"&amp;D163&amp;"' AS TABELA_LT,'N/A' AS TABELA_SIMUL,'"&amp;F163&amp;"' AS CAMPO, "&amp;"'${ref_date}' AS REF_DATE, CAST(MIN("&amp;F163&amp;") AS STRING) AS VALOR_MIN, CAST(MAX("&amp;F163&amp;") AS STRING) AS VALOR_MAX,'"&amp;MAX('ID1&amp;5'!K:K)+1&amp;"' AS ID_EXEC, CURRENT_TIMESTAMP() AS TIME_EXEC FROM "&amp;MID(I163,1,LEN(I163)-2)&amp;" AND CAST("&amp;F163&amp;"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TABELA_SIMUL,'GRP_EQTY' AS CAMPO, '${ref_date}' AS REF_DATE, COUNT(*) AS NUM_REG, SUM(IF(TRIM(CAST(X.GRP_EQTY AS STRING))='' OR TRIM(CAST(X.GRP_EQTY AS STRING)) IS NULL,1,0)) AS NUM_REG_DIF,'10' AS ID_EXEC, CURRENT_TIMESTAMP() AS TIME_EXEC FROM (SELECT entty_id, GRP_EQTY FROM BU_LOANTAPE_WORK.LT003_ENTITY WHERE ref_date='${ref_date}' AND nome_perimetro='Individual Corporativo' AND segmento='ESTR' AND ambito='PILAR3')X</v>
      </c>
      <c r="M163" s="43" t="str">
        <f t="shared" si="2"/>
        <v>UNION ALL SELECT 'ENTITY' AS TABELA, 'VALIDADE' AS TIPOLOGIA_TESTE,'BU_LOANTAPE_WORK.LT003_ENTITY' AS TABELA_LT,'N/A' AS TABELA_SIMUL,'GRP_EQTY' AS CAMPO, '${ref_date}' AS REF_DATE, COUNT(*) AS NUM_REG, SUM(IF(TRIM(CAST(X.GRP_EQTY AS STRING))='' OR TRIM(CAST(X.GRP_EQTY AS STRING)) IS NULL,1,0)) AS NUM_REG_DIF,'10' AS ID_EXEC, CURRENT_TIMESTAMP() AS TIME_EXEC FROM (SELECT entty_id, GRP_EQTY FROM BU_LOANTAPE_WORK.LT003_ENTITY WHERE ref_date='${ref_date}' AND nome_perimetro='Individual Corporativo' AND segmento='ESTR' AND ambito='PILAR3')X</v>
      </c>
      <c r="N163" s="45" t="s">
        <v>13</v>
      </c>
    </row>
    <row r="164" spans="2:14">
      <c r="B164" s="41" t="s">
        <v>23</v>
      </c>
      <c r="C164" s="41" t="s">
        <v>75</v>
      </c>
      <c r="D164" s="41" t="str">
        <f>+UPPER('0. Instruções'!$D$33&amp;"."&amp;VLOOKUP(B164,'0. Instruções'!$C$27:$D$31,2,FALSE))</f>
        <v>BU_LOANTAPE_WORK.LT003_ENTITY</v>
      </c>
      <c r="E164" s="41" t="str">
        <f>+UPPER('0. Instruções'!$D$34&amp;"."&amp;VLOOKUP(B164,'0. Instruções'!$C$27:$E$31,3,FALSE))</f>
        <v>BU_LOANTAPE_WORK.LT003_ENTTY_P3_NOV24</v>
      </c>
      <c r="F164" s="41" t="s">
        <v>186</v>
      </c>
      <c r="G164" s="41" t="s">
        <v>13</v>
      </c>
      <c r="H164" s="41"/>
      <c r="I164" s="41" t="str">
        <f>"(SELECT "&amp;VLOOKUP(B164,'0. Instruções'!$C$27:$G$31,4,FALSE)&amp;", "&amp;F164&amp;" FROM "&amp;D164&amp;" WHERE "&amp;'0. Instruções'!$D$40&amp;")X"</f>
        <v>(SELECT entty_id, ANNL_TRNVR_LE FROM BU_LOANTAPE_WORK.LT003_ENTITY WHERE ref_date='${ref_date}' AND nome_perimetro='Individual Corporativo' AND segmento='ESTR' AND ambito='PILAR3')X</v>
      </c>
      <c r="J164" s="41" t="str">
        <f>"(SELECT "&amp;VLOOKUP(B164,'0. Instruções'!$C$27:$G$31,4,FALSE)&amp;" AS "&amp;VLOOKUP(B164,'0. Instruções'!$C$27:$G$31,4,FALSE)&amp;"_SIMUL, "&amp;F164&amp;" AS "&amp;F164&amp;"_SIMUL FROM "&amp;E164&amp;")Y"</f>
        <v>(SELECT entty_id AS entty_id_SIMUL, ANNL_TRNVR_LE AS ANNL_TRNVR_LE_SIMUL FROM BU_LOANTAPE_WORK.LT003_ENTTY_P3_NOV24)Y</v>
      </c>
      <c r="K164" s="42" t="str">
        <f>+UPPER("ON X."&amp;VLOOKUP(B164,'0. Instruções'!$C$27:$G$31,4,FALSE)&amp;"=Y."&amp;VLOOKUP(B164,'0. Instruções'!$C$27:$G$31,4,FALSE)&amp;"_SIMUL")</f>
        <v>ON X.ENTTY_ID=Y.ENTTY_ID_SIMUL</v>
      </c>
      <c r="L164" s="42" t="str">
        <f>+IF(C164="Coerência", +IF(LEFT(G164,5)="FLOAT","SELECT '"&amp;UPPER(B164)&amp;"' AS TABELA, '"&amp;UPPER(C164)&amp;"' AS TIPOLOGIA_TESTE,'"&amp;D164&amp;"' AS TABELA_LT,'"&amp;E164&amp;"' AS TABELA_SIMUL,'"&amp;F164&amp;"' AS CAMPO, "&amp;"'${ref_date}' AS REF_DATE, COUNT(*) AS NUM_REG, SUM(IF((ABS(COALESCE(X."&amp;F164&amp;",0)-COALESCE(Y."&amp;F164&amp;"_SIMUL,0))&gt;0.0000000001) OR (X."&amp;F164&amp;" IS NULL AND Y."&amp;F164&amp;"_SIMUL IS NOT NULL ) OR (X."&amp;F164&amp;" IS NOT NULL AND Y."&amp;F164&amp;"_SIMUL IS NULL),1,0)) AS NUM_REG_DIF,'"&amp;MAX('ID1&amp;5'!K:K)+1&amp;"' AS ID_EXEC, CURRENT_TIMESTAMP() AS TIME_EXEC FROM "&amp;I164&amp;" INNER JOIN "&amp;J164&amp;" "&amp;K164,"SELECT '"&amp;UPPER(B164)&amp;"' AS TABELA, '"&amp;UPPER(C164)&amp;"' AS TIPOLOGIA_TESTE,'"&amp;D164&amp;"' AS TABELA_LT,'"&amp;E164&amp;"' AS TABELA_SIMUL,'"&amp;F164&amp;"' AS CAMPO, "&amp;"'${ref_date}' AS REF_DATE, COUNT(*) AS NUM_REG, SUM(IF(COALESCE(CAST(X."&amp;F164&amp;" AS STRING),'')&lt;&gt;COALESCE(CAST(Y."&amp;F164&amp;"_SIMUL AS STRING),''),1,0)) AS NUM_REG_DIF,'"&amp;MAX('ID1&amp;5'!L:L)+1&amp;"' AS ID_EXEC, CURRENT_TIMESTAMP() AS TIME_EXEC FROM "&amp;I164&amp;" INNER JOIN "&amp;J164&amp;" "&amp;K164),
IF(C164="Validade",+IF(G164="Code List","SELECT '"&amp;UPPER(B164)&amp;"' AS TABELA, '"&amp;UPPER(C164)&amp;"' AS TIPOLOGIA_TESTE,'"&amp;D164&amp;"' AS TABELA_LT,'N/A' AS TABELA_SIMUL,'"&amp;F164&amp;"' AS CAMPO, "&amp;"'${ref_date}' AS REF_DATE, COUNT(*) AS NUM_REG, SUM(IF(TRIM(CAST(X."&amp;F164&amp;" AS STRING))='' OR TRIM(CAST(X."&amp;F164&amp;" AS STRING)) IS NULL OR CAST(X."&amp;F164&amp;" AS STRING) NOT "&amp;H164&amp;",1,0)) AS NUM_REG_DIF,'"&amp;MAX('ID1&amp;5'!K:K)+1&amp;"' AS ID_EXEC, CURRENT_TIMESTAMP() AS TIME_EXEC FROM "&amp;I164,"SELECT '"&amp;UPPER(B164)&amp;"' AS TABELA, '"&amp;UPPER(C164)&amp;"' AS TIPOLOGIA_TESTE,'"&amp;D164&amp;"' AS TABELA_LT,'N/A' AS TABELA_SIMUL,'"&amp;F164&amp;"' AS CAMPO, "&amp;"'${ref_date}' AS REF_DATE, COUNT(*) AS NUM_REG, SUM(IF(TRIM(CAST(X."&amp;F164&amp;" AS STRING))='' OR TRIM(CAST(X."&amp;F164&amp;" AS STRING)) IS NULL,1,0)) AS NUM_REG_DIF,'"&amp;MAX('ID1&amp;5'!K:K)+1&amp;"' AS ID_EXEC, CURRENT_TIMESTAMP() AS TIME_EXEC FROM "&amp;I164),
IF(C164="Caracteres Especiais",+"SELECT '"&amp;UPPER(B164)&amp;"' AS TABELA, '"&amp;UPPER(C164)&amp;"' AS TIPOLOGIA_TESTE,'"&amp;D164&amp;"' AS TABELA_LT,'N/A' AS TABELA_SIMUL,'"&amp;F164&amp;"' AS CAMPO, "&amp;"'${ref_date}' AS REF_DATE, COUNT(*) AS NUM_REG, SUM(IF(INSTR(CAST(X."&amp;F164&amp;" AS STRING),'#')&gt;0 OR INSTR(CAST(X."&amp;F164&amp;" AS STRING),'*')&gt;0 OR INSTR(CAST(X."&amp;F164&amp;" AS STRING),'`')&gt;0 OR INSTR(CAST(X."&amp;F164&amp;" AS STRING),'´')&gt;0 OR INSTR(CAST(X."&amp;F164&amp;" AS STRING),'{')&gt;0 OR INSTR(CAST(X."&amp;F164&amp;" AS STRING),'}')&gt;0 OR INSTR(CAST(X."&amp;F164&amp;" AS STRING),'[')&gt;0 OR INSTR(CAST(X."&amp;F164&amp;" AS STRING),'')&gt;0 OR INSTR(CAST(X."&amp;F164&amp;" AS STRING),']')&gt;0 OR INSTR(CAST(X."&amp;F164&amp;" AS STRING),'?')&gt;0 OR INSTR(CAST(X."&amp;F164&amp;" AS STRING),'!')&gt;0 OR INSTR(CAST(X."&amp;F164&amp;" AS STRING),'$')&gt;0 OR INSTR(CAST(X."&amp;F164&amp;" AS STRING),'%')&gt;0 OR INSTR(CAST(X."&amp;F164&amp;" AS STRING),'&amp;')&gt;0 OR INSTR(CAST(X."&amp;F164&amp;" AS STRING),'+')&gt;0,1,0)) AS NUM_REG_DIF,'"&amp;MAX('ID1&amp;5'!K:K)+1&amp;"' AS ID_EXEC, CURRENT_TIMESTAMP() AS TIME_EXEC FROM "&amp;I164,
IF(C164="Missings",+"SELECT '"&amp;UPPER(B164)&amp;"' AS TABELA, '"&amp;UPPER(C164)&amp;"' AS TIPOLOGIA_TESTE,'"&amp;D164&amp;"' AS TABELA_LT,'N/A' AS TABELA_SIMUL,'"&amp;F164&amp;"' AS CAMPO, "&amp;"'${ref_date}' AS REF_DATE, COUNT(*) AS NUM_REG, SUM(IF(TRIM(CAST(X."&amp;F164&amp;" AS STRING)) IN ('0000-00-00','0001-01-01','9999-12-31','MISS','00000','99999999999','99999999999.00','99999999999.000000'),1,0)) AS NUM_REG_DIF,'"&amp;MAX('ID1&amp;5'!K:K)+1&amp;"' AS ID_EXEC, CURRENT_TIMESTAMP() AS TIME_EXEC FROM "&amp;I164,
IF(C164="Not applicable",+"SELECT '"&amp;UPPER(B164)&amp;"' AS TABELA, '"&amp;UPPER(C164)&amp;"' AS TIPOLOGIA_TESTE,'"&amp;D164&amp;"' AS TABELA_LT,'N/A' AS TABELA_SIMUL,'"&amp;F164&amp;"' AS CAMPO, "&amp;"'${ref_date}' AS REF_DATE, COUNT(*) AS NUM_REG, SUM(IF(TRIM(CAST(X."&amp;F164&amp;" AS STRING)) IN ('N/A','11111111111','11111111111.00','11111111111.000000','1111-11-11'),1,0)) AS NUM_REG_DIF,'"&amp;MAX('ID1&amp;5'!K:K)+1&amp;"' AS ID_EXEC, CURRENT_TIMESTAMP() AS TIME_EXEC FROM "&amp;I164,
IF(C164="Valores extremos",+"SELECT '"&amp;UPPER(B164)&amp;"' AS TABELA, '"&amp;UPPER(C164)&amp;"' AS TIPOLOGIA_TESTE,'"&amp;D164&amp;"' AS TABELA_LT,'N/A' AS TABELA_SIMUL,'"&amp;F164&amp;"' AS CAMPO, "&amp;"'${ref_date}' AS REF_DATE, CAST(MIN("&amp;F164&amp;") AS STRING) AS VALOR_MIN, CAST(MAX("&amp;F164&amp;") AS STRING) AS VALOR_MAX,'"&amp;MAX('ID1&amp;5'!K:K)+1&amp;"' AS ID_EXEC, CURRENT_TIMESTAMP() AS TIME_EXEC FROM "&amp;MID(I164,1,LEN(I164)-2)&amp;" AND CAST("&amp;F164&amp;"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TABELA_SIMUL,'ANNL_TRNVR_LE' AS CAMPO, '${ref_date}' AS REF_DATE, COUNT(*) AS NUM_REG, SUM(IF(TRIM(CAST(X.ANNL_TRNVR_LE AS STRING))='' OR TRIM(CAST(X.ANNL_TRNVR_LE AS STRING)) IS NULL,1,0)) AS NUM_REG_DIF,'10' AS ID_EXEC, CURRENT_TIMESTAMP() AS TIME_EXEC FROM (SELECT entty_id, ANNL_TRNVR_LE FROM BU_LOANTAPE_WORK.LT003_ENTITY WHERE ref_date='${ref_date}' AND nome_perimetro='Individual Corporativo' AND segmento='ESTR' AND ambito='PILAR3')X</v>
      </c>
      <c r="M164" s="43" t="str">
        <f t="shared" si="2"/>
        <v>UNION ALL SELECT 'ENTITY' AS TABELA, 'VALIDADE' AS TIPOLOGIA_TESTE,'BU_LOANTAPE_WORK.LT003_ENTITY' AS TABELA_LT,'N/A' AS TABELA_SIMUL,'ANNL_TRNVR_LE' AS CAMPO, '${ref_date}' AS REF_DATE, COUNT(*) AS NUM_REG, SUM(IF(TRIM(CAST(X.ANNL_TRNVR_LE AS STRING))='' OR TRIM(CAST(X.ANNL_TRNVR_LE AS STRING)) IS NULL,1,0)) AS NUM_REG_DIF,'10' AS ID_EXEC, CURRENT_TIMESTAMP() AS TIME_EXEC FROM (SELECT entty_id, ANNL_TRNVR_LE FROM BU_LOANTAPE_WORK.LT003_ENTITY WHERE ref_date='${ref_date}' AND nome_perimetro='Individual Corporativo' AND segmento='ESTR' AND ambito='PILAR3')X</v>
      </c>
      <c r="N164" s="45" t="s">
        <v>13</v>
      </c>
    </row>
    <row r="165" spans="2:14">
      <c r="B165" s="41" t="s">
        <v>23</v>
      </c>
      <c r="C165" s="41" t="s">
        <v>75</v>
      </c>
      <c r="D165" s="41" t="str">
        <f>+UPPER('0. Instruções'!$D$33&amp;"."&amp;VLOOKUP(B165,'0. Instruções'!$C$27:$D$31,2,FALSE))</f>
        <v>BU_LOANTAPE_WORK.LT003_ENTITY</v>
      </c>
      <c r="E165" s="41" t="str">
        <f>+UPPER('0. Instruções'!$D$34&amp;"."&amp;VLOOKUP(B165,'0. Instruções'!$C$27:$E$31,3,FALSE))</f>
        <v>BU_LOANTAPE_WORK.LT003_ENTTY_P3_NOV24</v>
      </c>
      <c r="F165" s="41" t="s">
        <v>187</v>
      </c>
      <c r="G165" s="41" t="s">
        <v>13</v>
      </c>
      <c r="H165" s="41"/>
      <c r="I165" s="41" t="str">
        <f>"(SELECT "&amp;VLOOKUP(B165,'0. Instruções'!$C$27:$G$31,4,FALSE)&amp;", "&amp;F165&amp;" FROM "&amp;D165&amp;" WHERE "&amp;'0. Instruções'!$D$40&amp;")X"</f>
        <v>(SELECT entty_id, EQTY FROM BU_LOANTAPE_WORK.LT003_ENTITY WHERE ref_date='${ref_date}' AND nome_perimetro='Individual Corporativo' AND segmento='ESTR' AND ambito='PILAR3')X</v>
      </c>
      <c r="J165" s="41" t="str">
        <f>"(SELECT "&amp;VLOOKUP(B165,'0. Instruções'!$C$27:$G$31,4,FALSE)&amp;" AS "&amp;VLOOKUP(B165,'0. Instruções'!$C$27:$G$31,4,FALSE)&amp;"_SIMUL, "&amp;F165&amp;" AS "&amp;F165&amp;"_SIMUL FROM "&amp;E165&amp;")Y"</f>
        <v>(SELECT entty_id AS entty_id_SIMUL, EQTY AS EQTY_SIMUL FROM BU_LOANTAPE_WORK.LT003_ENTTY_P3_NOV24)Y</v>
      </c>
      <c r="K165" s="42" t="str">
        <f>+UPPER("ON X."&amp;VLOOKUP(B165,'0. Instruções'!$C$27:$G$31,4,FALSE)&amp;"=Y."&amp;VLOOKUP(B165,'0. Instruções'!$C$27:$G$31,4,FALSE)&amp;"_SIMUL")</f>
        <v>ON X.ENTTY_ID=Y.ENTTY_ID_SIMUL</v>
      </c>
      <c r="L165" s="42" t="str">
        <f>+IF(C165="Coerência", +IF(LEFT(G165,5)="FLOAT","SELECT '"&amp;UPPER(B165)&amp;"' AS TABELA, '"&amp;UPPER(C165)&amp;"' AS TIPOLOGIA_TESTE,'"&amp;D165&amp;"' AS TABELA_LT,'"&amp;E165&amp;"' AS TABELA_SIMUL,'"&amp;F165&amp;"' AS CAMPO, "&amp;"'${ref_date}' AS REF_DATE, COUNT(*) AS NUM_REG, SUM(IF((ABS(COALESCE(X."&amp;F165&amp;",0)-COALESCE(Y."&amp;F165&amp;"_SIMUL,0))&gt;0.0000000001) OR (X."&amp;F165&amp;" IS NULL AND Y."&amp;F165&amp;"_SIMUL IS NOT NULL ) OR (X."&amp;F165&amp;" IS NOT NULL AND Y."&amp;F165&amp;"_SIMUL IS NULL),1,0)) AS NUM_REG_DIF,'"&amp;MAX('ID1&amp;5'!K:K)+1&amp;"' AS ID_EXEC, CURRENT_TIMESTAMP() AS TIME_EXEC FROM "&amp;I165&amp;" INNER JOIN "&amp;J165&amp;" "&amp;K165,"SELECT '"&amp;UPPER(B165)&amp;"' AS TABELA, '"&amp;UPPER(C165)&amp;"' AS TIPOLOGIA_TESTE,'"&amp;D165&amp;"' AS TABELA_LT,'"&amp;E165&amp;"' AS TABELA_SIMUL,'"&amp;F165&amp;"' AS CAMPO, "&amp;"'${ref_date}' AS REF_DATE, COUNT(*) AS NUM_REG, SUM(IF(COALESCE(CAST(X."&amp;F165&amp;" AS STRING),'')&lt;&gt;COALESCE(CAST(Y."&amp;F165&amp;"_SIMUL AS STRING),''),1,0)) AS NUM_REG_DIF,'"&amp;MAX('ID1&amp;5'!L:L)+1&amp;"' AS ID_EXEC, CURRENT_TIMESTAMP() AS TIME_EXEC FROM "&amp;I165&amp;" INNER JOIN "&amp;J165&amp;" "&amp;K165),
IF(C165="Validade",+IF(G165="Code List","SELECT '"&amp;UPPER(B165)&amp;"' AS TABELA, '"&amp;UPPER(C165)&amp;"' AS TIPOLOGIA_TESTE,'"&amp;D165&amp;"' AS TABELA_LT,'N/A' AS TABELA_SIMUL,'"&amp;F165&amp;"' AS CAMPO, "&amp;"'${ref_date}' AS REF_DATE, COUNT(*) AS NUM_REG, SUM(IF(TRIM(CAST(X."&amp;F165&amp;" AS STRING))='' OR TRIM(CAST(X."&amp;F165&amp;" AS STRING)) IS NULL OR CAST(X."&amp;F165&amp;" AS STRING) NOT "&amp;H165&amp;",1,0)) AS NUM_REG_DIF,'"&amp;MAX('ID1&amp;5'!K:K)+1&amp;"' AS ID_EXEC, CURRENT_TIMESTAMP() AS TIME_EXEC FROM "&amp;I165,"SELECT '"&amp;UPPER(B165)&amp;"' AS TABELA, '"&amp;UPPER(C165)&amp;"' AS TIPOLOGIA_TESTE,'"&amp;D165&amp;"' AS TABELA_LT,'N/A' AS TABELA_SIMUL,'"&amp;F165&amp;"' AS CAMPO, "&amp;"'${ref_date}' AS REF_DATE, COUNT(*) AS NUM_REG, SUM(IF(TRIM(CAST(X."&amp;F165&amp;" AS STRING))='' OR TRIM(CAST(X."&amp;F165&amp;" AS STRING)) IS NULL,1,0)) AS NUM_REG_DIF,'"&amp;MAX('ID1&amp;5'!K:K)+1&amp;"' AS ID_EXEC, CURRENT_TIMESTAMP() AS TIME_EXEC FROM "&amp;I165),
IF(C165="Caracteres Especiais",+"SELECT '"&amp;UPPER(B165)&amp;"' AS TABELA, '"&amp;UPPER(C165)&amp;"' AS TIPOLOGIA_TESTE,'"&amp;D165&amp;"' AS TABELA_LT,'N/A' AS TABELA_SIMUL,'"&amp;F165&amp;"' AS CAMPO, "&amp;"'${ref_date}' AS REF_DATE, COUNT(*) AS NUM_REG, SUM(IF(INSTR(CAST(X."&amp;F165&amp;" AS STRING),'#')&gt;0 OR INSTR(CAST(X."&amp;F165&amp;" AS STRING),'*')&gt;0 OR INSTR(CAST(X."&amp;F165&amp;" AS STRING),'`')&gt;0 OR INSTR(CAST(X."&amp;F165&amp;" AS STRING),'´')&gt;0 OR INSTR(CAST(X."&amp;F165&amp;" AS STRING),'{')&gt;0 OR INSTR(CAST(X."&amp;F165&amp;" AS STRING),'}')&gt;0 OR INSTR(CAST(X."&amp;F165&amp;" AS STRING),'[')&gt;0 OR INSTR(CAST(X."&amp;F165&amp;" AS STRING),'')&gt;0 OR INSTR(CAST(X."&amp;F165&amp;" AS STRING),']')&gt;0 OR INSTR(CAST(X."&amp;F165&amp;" AS STRING),'?')&gt;0 OR INSTR(CAST(X."&amp;F165&amp;" AS STRING),'!')&gt;0 OR INSTR(CAST(X."&amp;F165&amp;" AS STRING),'$')&gt;0 OR INSTR(CAST(X."&amp;F165&amp;" AS STRING),'%')&gt;0 OR INSTR(CAST(X."&amp;F165&amp;" AS STRING),'&amp;')&gt;0 OR INSTR(CAST(X."&amp;F165&amp;" AS STRING),'+')&gt;0,1,0)) AS NUM_REG_DIF,'"&amp;MAX('ID1&amp;5'!K:K)+1&amp;"' AS ID_EXEC, CURRENT_TIMESTAMP() AS TIME_EXEC FROM "&amp;I165,
IF(C165="Missings",+"SELECT '"&amp;UPPER(B165)&amp;"' AS TABELA, '"&amp;UPPER(C165)&amp;"' AS TIPOLOGIA_TESTE,'"&amp;D165&amp;"' AS TABELA_LT,'N/A' AS TABELA_SIMUL,'"&amp;F165&amp;"' AS CAMPO, "&amp;"'${ref_date}' AS REF_DATE, COUNT(*) AS NUM_REG, SUM(IF(TRIM(CAST(X."&amp;F165&amp;" AS STRING)) IN ('0000-00-00','0001-01-01','9999-12-31','MISS','00000','99999999999','99999999999.00','99999999999.000000'),1,0)) AS NUM_REG_DIF,'"&amp;MAX('ID1&amp;5'!K:K)+1&amp;"' AS ID_EXEC, CURRENT_TIMESTAMP() AS TIME_EXEC FROM "&amp;I165,
IF(C165="Not applicable",+"SELECT '"&amp;UPPER(B165)&amp;"' AS TABELA, '"&amp;UPPER(C165)&amp;"' AS TIPOLOGIA_TESTE,'"&amp;D165&amp;"' AS TABELA_LT,'N/A' AS TABELA_SIMUL,'"&amp;F165&amp;"' AS CAMPO, "&amp;"'${ref_date}' AS REF_DATE, COUNT(*) AS NUM_REG, SUM(IF(TRIM(CAST(X."&amp;F165&amp;" AS STRING)) IN ('N/A','11111111111','11111111111.00','11111111111.000000','1111-11-11'),1,0)) AS NUM_REG_DIF,'"&amp;MAX('ID1&amp;5'!K:K)+1&amp;"' AS ID_EXEC, CURRENT_TIMESTAMP() AS TIME_EXEC FROM "&amp;I165,
IF(C165="Valores extremos",+"SELECT '"&amp;UPPER(B165)&amp;"' AS TABELA, '"&amp;UPPER(C165)&amp;"' AS TIPOLOGIA_TESTE,'"&amp;D165&amp;"' AS TABELA_LT,'N/A' AS TABELA_SIMUL,'"&amp;F165&amp;"' AS CAMPO, "&amp;"'${ref_date}' AS REF_DATE, CAST(MIN("&amp;F165&amp;") AS STRING) AS VALOR_MIN, CAST(MAX("&amp;F165&amp;") AS STRING) AS VALOR_MAX,'"&amp;MAX('ID1&amp;5'!K:K)+1&amp;"' AS ID_EXEC, CURRENT_TIMESTAMP() AS TIME_EXEC FROM "&amp;MID(I165,1,LEN(I165)-2)&amp;" AND CAST("&amp;F165&amp;"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TABELA_SIMUL,'EQTY' AS CAMPO, '${ref_date}' AS REF_DATE, COUNT(*) AS NUM_REG, SUM(IF(TRIM(CAST(X.EQTY AS STRING))='' OR TRIM(CAST(X.EQTY AS STRING)) IS NULL,1,0)) AS NUM_REG_DIF,'10' AS ID_EXEC, CURRENT_TIMESTAMP() AS TIME_EXEC FROM (SELECT entty_id, EQTY FROM BU_LOANTAPE_WORK.LT003_ENTITY WHERE ref_date='${ref_date}' AND nome_perimetro='Individual Corporativo' AND segmento='ESTR' AND ambito='PILAR3')X</v>
      </c>
      <c r="M165" s="43" t="str">
        <f t="shared" si="2"/>
        <v>UNION ALL SELECT 'ENTITY' AS TABELA, 'VALIDADE' AS TIPOLOGIA_TESTE,'BU_LOANTAPE_WORK.LT003_ENTITY' AS TABELA_LT,'N/A' AS TABELA_SIMUL,'EQTY' AS CAMPO, '${ref_date}' AS REF_DATE, COUNT(*) AS NUM_REG, SUM(IF(TRIM(CAST(X.EQTY AS STRING))='' OR TRIM(CAST(X.EQTY AS STRING)) IS NULL,1,0)) AS NUM_REG_DIF,'10' AS ID_EXEC, CURRENT_TIMESTAMP() AS TIME_EXEC FROM (SELECT entty_id, EQTY FROM BU_LOANTAPE_WORK.LT003_ENTITY WHERE ref_date='${ref_date}' AND nome_perimetro='Individual Corporativo' AND segmento='ESTR' AND ambito='PILAR3')X</v>
      </c>
      <c r="N165" s="45" t="s">
        <v>13</v>
      </c>
    </row>
    <row r="166" spans="2:14">
      <c r="B166" s="41" t="s">
        <v>23</v>
      </c>
      <c r="C166" s="41" t="s">
        <v>75</v>
      </c>
      <c r="D166" s="41" t="str">
        <f>+UPPER('0. Instruções'!$D$33&amp;"."&amp;VLOOKUP(B166,'0. Instruções'!$C$27:$D$31,2,FALSE))</f>
        <v>BU_LOANTAPE_WORK.LT003_ENTITY</v>
      </c>
      <c r="E166" s="41" t="str">
        <f>+UPPER('0. Instruções'!$D$34&amp;"."&amp;VLOOKUP(B166,'0. Instruções'!$C$27:$E$31,3,FALSE))</f>
        <v>BU_LOANTAPE_WORK.LT003_ENTTY_P3_NOV24</v>
      </c>
      <c r="F166" s="41" t="s">
        <v>188</v>
      </c>
      <c r="G166" s="41" t="s">
        <v>13</v>
      </c>
      <c r="H166" s="41"/>
      <c r="I166" s="41" t="str">
        <f>"(SELECT "&amp;VLOOKUP(B166,'0. Instruções'!$C$27:$G$31,4,FALSE)&amp;", "&amp;F166&amp;" FROM "&amp;D166&amp;" WHERE "&amp;'0. Instruções'!$D$40&amp;")X"</f>
        <v>(SELECT entty_id, GRP_TTL_DBT FROM BU_LOANTAPE_WORK.LT003_ENTITY WHERE ref_date='${ref_date}' AND nome_perimetro='Individual Corporativo' AND segmento='ESTR' AND ambito='PILAR3')X</v>
      </c>
      <c r="J166" s="41" t="str">
        <f>"(SELECT "&amp;VLOOKUP(B166,'0. Instruções'!$C$27:$G$31,4,FALSE)&amp;" AS "&amp;VLOOKUP(B166,'0. Instruções'!$C$27:$G$31,4,FALSE)&amp;"_SIMUL, "&amp;F166&amp;" AS "&amp;F166&amp;"_SIMUL FROM "&amp;E166&amp;")Y"</f>
        <v>(SELECT entty_id AS entty_id_SIMUL, GRP_TTL_DBT AS GRP_TTL_DBT_SIMUL FROM BU_LOANTAPE_WORK.LT003_ENTTY_P3_NOV24)Y</v>
      </c>
      <c r="K166" s="42" t="str">
        <f>+UPPER("ON X."&amp;VLOOKUP(B166,'0. Instruções'!$C$27:$G$31,4,FALSE)&amp;"=Y."&amp;VLOOKUP(B166,'0. Instruções'!$C$27:$G$31,4,FALSE)&amp;"_SIMUL")</f>
        <v>ON X.ENTTY_ID=Y.ENTTY_ID_SIMUL</v>
      </c>
      <c r="L166" s="42" t="str">
        <f>+IF(C166="Coerência", +IF(LEFT(G166,5)="FLOAT","SELECT '"&amp;UPPER(B166)&amp;"' AS TABELA, '"&amp;UPPER(C166)&amp;"' AS TIPOLOGIA_TESTE,'"&amp;D166&amp;"' AS TABELA_LT,'"&amp;E166&amp;"' AS TABELA_SIMUL,'"&amp;F166&amp;"' AS CAMPO, "&amp;"'${ref_date}' AS REF_DATE, COUNT(*) AS NUM_REG, SUM(IF((ABS(COALESCE(X."&amp;F166&amp;",0)-COALESCE(Y."&amp;F166&amp;"_SIMUL,0))&gt;0.0000000001) OR (X."&amp;F166&amp;" IS NULL AND Y."&amp;F166&amp;"_SIMUL IS NOT NULL ) OR (X."&amp;F166&amp;" IS NOT NULL AND Y."&amp;F166&amp;"_SIMUL IS NULL),1,0)) AS NUM_REG_DIF,'"&amp;MAX('ID1&amp;5'!K:K)+1&amp;"' AS ID_EXEC, CURRENT_TIMESTAMP() AS TIME_EXEC FROM "&amp;I166&amp;" INNER JOIN "&amp;J166&amp;" "&amp;K166,"SELECT '"&amp;UPPER(B166)&amp;"' AS TABELA, '"&amp;UPPER(C166)&amp;"' AS TIPOLOGIA_TESTE,'"&amp;D166&amp;"' AS TABELA_LT,'"&amp;E166&amp;"' AS TABELA_SIMUL,'"&amp;F166&amp;"' AS CAMPO, "&amp;"'${ref_date}' AS REF_DATE, COUNT(*) AS NUM_REG, SUM(IF(COALESCE(CAST(X."&amp;F166&amp;" AS STRING),'')&lt;&gt;COALESCE(CAST(Y."&amp;F166&amp;"_SIMUL AS STRING),''),1,0)) AS NUM_REG_DIF,'"&amp;MAX('ID1&amp;5'!L:L)+1&amp;"' AS ID_EXEC, CURRENT_TIMESTAMP() AS TIME_EXEC FROM "&amp;I166&amp;" INNER JOIN "&amp;J166&amp;" "&amp;K166),
IF(C166="Validade",+IF(G166="Code List","SELECT '"&amp;UPPER(B166)&amp;"' AS TABELA, '"&amp;UPPER(C166)&amp;"' AS TIPOLOGIA_TESTE,'"&amp;D166&amp;"' AS TABELA_LT,'N/A' AS TABELA_SIMUL,'"&amp;F166&amp;"' AS CAMPO, "&amp;"'${ref_date}' AS REF_DATE, COUNT(*) AS NUM_REG, SUM(IF(TRIM(CAST(X."&amp;F166&amp;" AS STRING))='' OR TRIM(CAST(X."&amp;F166&amp;" AS STRING)) IS NULL OR CAST(X."&amp;F166&amp;" AS STRING) NOT "&amp;H166&amp;",1,0)) AS NUM_REG_DIF,'"&amp;MAX('ID1&amp;5'!K:K)+1&amp;"' AS ID_EXEC, CURRENT_TIMESTAMP() AS TIME_EXEC FROM "&amp;I166,"SELECT '"&amp;UPPER(B166)&amp;"' AS TABELA, '"&amp;UPPER(C166)&amp;"' AS TIPOLOGIA_TESTE,'"&amp;D166&amp;"' AS TABELA_LT,'N/A' AS TABELA_SIMUL,'"&amp;F166&amp;"' AS CAMPO, "&amp;"'${ref_date}' AS REF_DATE, COUNT(*) AS NUM_REG, SUM(IF(TRIM(CAST(X."&amp;F166&amp;" AS STRING))='' OR TRIM(CAST(X."&amp;F166&amp;" AS STRING)) IS NULL,1,0)) AS NUM_REG_DIF,'"&amp;MAX('ID1&amp;5'!K:K)+1&amp;"' AS ID_EXEC, CURRENT_TIMESTAMP() AS TIME_EXEC FROM "&amp;I166),
IF(C166="Caracteres Especiais",+"SELECT '"&amp;UPPER(B166)&amp;"' AS TABELA, '"&amp;UPPER(C166)&amp;"' AS TIPOLOGIA_TESTE,'"&amp;D166&amp;"' AS TABELA_LT,'N/A' AS TABELA_SIMUL,'"&amp;F166&amp;"' AS CAMPO, "&amp;"'${ref_date}' AS REF_DATE, COUNT(*) AS NUM_REG, SUM(IF(INSTR(CAST(X."&amp;F166&amp;" AS STRING),'#')&gt;0 OR INSTR(CAST(X."&amp;F166&amp;" AS STRING),'*')&gt;0 OR INSTR(CAST(X."&amp;F166&amp;" AS STRING),'`')&gt;0 OR INSTR(CAST(X."&amp;F166&amp;" AS STRING),'´')&gt;0 OR INSTR(CAST(X."&amp;F166&amp;" AS STRING),'{')&gt;0 OR INSTR(CAST(X."&amp;F166&amp;" AS STRING),'}')&gt;0 OR INSTR(CAST(X."&amp;F166&amp;" AS STRING),'[')&gt;0 OR INSTR(CAST(X."&amp;F166&amp;" AS STRING),'')&gt;0 OR INSTR(CAST(X."&amp;F166&amp;" AS STRING),']')&gt;0 OR INSTR(CAST(X."&amp;F166&amp;" AS STRING),'?')&gt;0 OR INSTR(CAST(X."&amp;F166&amp;" AS STRING),'!')&gt;0 OR INSTR(CAST(X."&amp;F166&amp;" AS STRING),'$')&gt;0 OR INSTR(CAST(X."&amp;F166&amp;" AS STRING),'%')&gt;0 OR INSTR(CAST(X."&amp;F166&amp;" AS STRING),'&amp;')&gt;0 OR INSTR(CAST(X."&amp;F166&amp;" AS STRING),'+')&gt;0,1,0)) AS NUM_REG_DIF,'"&amp;MAX('ID1&amp;5'!K:K)+1&amp;"' AS ID_EXEC, CURRENT_TIMESTAMP() AS TIME_EXEC FROM "&amp;I166,
IF(C166="Missings",+"SELECT '"&amp;UPPER(B166)&amp;"' AS TABELA, '"&amp;UPPER(C166)&amp;"' AS TIPOLOGIA_TESTE,'"&amp;D166&amp;"' AS TABELA_LT,'N/A' AS TABELA_SIMUL,'"&amp;F166&amp;"' AS CAMPO, "&amp;"'${ref_date}' AS REF_DATE, COUNT(*) AS NUM_REG, SUM(IF(TRIM(CAST(X."&amp;F166&amp;" AS STRING)) IN ('0000-00-00','0001-01-01','9999-12-31','MISS','00000','99999999999','99999999999.00','99999999999.000000'),1,0)) AS NUM_REG_DIF,'"&amp;MAX('ID1&amp;5'!K:K)+1&amp;"' AS ID_EXEC, CURRENT_TIMESTAMP() AS TIME_EXEC FROM "&amp;I166,
IF(C166="Not applicable",+"SELECT '"&amp;UPPER(B166)&amp;"' AS TABELA, '"&amp;UPPER(C166)&amp;"' AS TIPOLOGIA_TESTE,'"&amp;D166&amp;"' AS TABELA_LT,'N/A' AS TABELA_SIMUL,'"&amp;F166&amp;"' AS CAMPO, "&amp;"'${ref_date}' AS REF_DATE, COUNT(*) AS NUM_REG, SUM(IF(TRIM(CAST(X."&amp;F166&amp;" AS STRING)) IN ('N/A','11111111111','11111111111.00','11111111111.000000','1111-11-11'),1,0)) AS NUM_REG_DIF,'"&amp;MAX('ID1&amp;5'!K:K)+1&amp;"' AS ID_EXEC, CURRENT_TIMESTAMP() AS TIME_EXEC FROM "&amp;I166,
IF(C166="Valores extremos",+"SELECT '"&amp;UPPER(B166)&amp;"' AS TABELA, '"&amp;UPPER(C166)&amp;"' AS TIPOLOGIA_TESTE,'"&amp;D166&amp;"' AS TABELA_LT,'N/A' AS TABELA_SIMUL,'"&amp;F166&amp;"' AS CAMPO, "&amp;"'${ref_date}' AS REF_DATE, CAST(MIN("&amp;F166&amp;") AS STRING) AS VALOR_MIN, CAST(MAX("&amp;F166&amp;") AS STRING) AS VALOR_MAX,'"&amp;MAX('ID1&amp;5'!K:K)+1&amp;"' AS ID_EXEC, CURRENT_TIMESTAMP() AS TIME_EXEC FROM "&amp;MID(I166,1,LEN(I166)-2)&amp;" AND CAST("&amp;F166&amp;"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TABELA_SIMUL,'GRP_TTL_DBT' AS CAMPO, '${ref_date}' AS REF_DATE, COUNT(*) AS NUM_REG, SUM(IF(TRIM(CAST(X.GRP_TTL_DBT AS STRING))='' OR TRIM(CAST(X.GRP_TTL_DBT AS STRING)) IS NULL,1,0)) AS NUM_REG_DIF,'10' AS ID_EXEC, CURRENT_TIMESTAMP() AS TIME_EXEC FROM (SELECT entty_id, GRP_TTL_DBT FROM BU_LOANTAPE_WORK.LT003_ENTITY WHERE ref_date='${ref_date}' AND nome_perimetro='Individual Corporativo' AND segmento='ESTR' AND ambito='PILAR3')X</v>
      </c>
      <c r="M166" s="43" t="str">
        <f t="shared" si="2"/>
        <v>UNION ALL SELECT 'ENTITY' AS TABELA, 'VALIDADE' AS TIPOLOGIA_TESTE,'BU_LOANTAPE_WORK.LT003_ENTITY' AS TABELA_LT,'N/A' AS TABELA_SIMUL,'GRP_TTL_DBT' AS CAMPO, '${ref_date}' AS REF_DATE, COUNT(*) AS NUM_REG, SUM(IF(TRIM(CAST(X.GRP_TTL_DBT AS STRING))='' OR TRIM(CAST(X.GRP_TTL_DBT AS STRING)) IS NULL,1,0)) AS NUM_REG_DIF,'10' AS ID_EXEC, CURRENT_TIMESTAMP() AS TIME_EXEC FROM (SELECT entty_id, GRP_TTL_DBT FROM BU_LOANTAPE_WORK.LT003_ENTITY WHERE ref_date='${ref_date}' AND nome_perimetro='Individual Corporativo' AND segmento='ESTR' AND ambito='PILAR3')X</v>
      </c>
      <c r="N166" s="45" t="s">
        <v>13</v>
      </c>
    </row>
    <row r="167" spans="2:14">
      <c r="B167" s="41" t="s">
        <v>23</v>
      </c>
      <c r="C167" s="41" t="s">
        <v>75</v>
      </c>
      <c r="D167" s="41" t="str">
        <f>+UPPER('0. Instruções'!$D$33&amp;"."&amp;VLOOKUP(B167,'0. Instruções'!$C$27:$D$31,2,FALSE))</f>
        <v>BU_LOANTAPE_WORK.LT003_ENTITY</v>
      </c>
      <c r="E167" s="41" t="str">
        <f>+UPPER('0. Instruções'!$D$34&amp;"."&amp;VLOOKUP(B167,'0. Instruções'!$C$27:$E$31,3,FALSE))</f>
        <v>BU_LOANTAPE_WORK.LT003_ENTTY_P3_NOV24</v>
      </c>
      <c r="F167" s="41" t="s">
        <v>189</v>
      </c>
      <c r="G167" s="41" t="s">
        <v>13</v>
      </c>
      <c r="H167" s="41"/>
      <c r="I167" s="41" t="str">
        <f>"(SELECT "&amp;VLOOKUP(B167,'0. Instruções'!$C$27:$G$31,4,FALSE)&amp;", "&amp;F167&amp;" FROM "&amp;D167&amp;" WHERE "&amp;'0. Instruções'!$D$40&amp;")X"</f>
        <v>(SELECT entty_id, TTL_DBT FROM BU_LOANTAPE_WORK.LT003_ENTITY WHERE ref_date='${ref_date}' AND nome_perimetro='Individual Corporativo' AND segmento='ESTR' AND ambito='PILAR3')X</v>
      </c>
      <c r="J167" s="41" t="str">
        <f>"(SELECT "&amp;VLOOKUP(B167,'0. Instruções'!$C$27:$G$31,4,FALSE)&amp;" AS "&amp;VLOOKUP(B167,'0. Instruções'!$C$27:$G$31,4,FALSE)&amp;"_SIMUL, "&amp;F167&amp;" AS "&amp;F167&amp;"_SIMUL FROM "&amp;E167&amp;")Y"</f>
        <v>(SELECT entty_id AS entty_id_SIMUL, TTL_DBT AS TTL_DBT_SIMUL FROM BU_LOANTAPE_WORK.LT003_ENTTY_P3_NOV24)Y</v>
      </c>
      <c r="K167" s="42" t="str">
        <f>+UPPER("ON X."&amp;VLOOKUP(B167,'0. Instruções'!$C$27:$G$31,4,FALSE)&amp;"=Y."&amp;VLOOKUP(B167,'0. Instruções'!$C$27:$G$31,4,FALSE)&amp;"_SIMUL")</f>
        <v>ON X.ENTTY_ID=Y.ENTTY_ID_SIMUL</v>
      </c>
      <c r="L167" s="42" t="str">
        <f>+IF(C167="Coerência", +IF(LEFT(G167,5)="FLOAT","SELECT '"&amp;UPPER(B167)&amp;"' AS TABELA, '"&amp;UPPER(C167)&amp;"' AS TIPOLOGIA_TESTE,'"&amp;D167&amp;"' AS TABELA_LT,'"&amp;E167&amp;"' AS TABELA_SIMUL,'"&amp;F167&amp;"' AS CAMPO, "&amp;"'${ref_date}' AS REF_DATE, COUNT(*) AS NUM_REG, SUM(IF((ABS(COALESCE(X."&amp;F167&amp;",0)-COALESCE(Y."&amp;F167&amp;"_SIMUL,0))&gt;0.0000000001) OR (X."&amp;F167&amp;" IS NULL AND Y."&amp;F167&amp;"_SIMUL IS NOT NULL ) OR (X."&amp;F167&amp;" IS NOT NULL AND Y."&amp;F167&amp;"_SIMUL IS NULL),1,0)) AS NUM_REG_DIF,'"&amp;MAX('ID1&amp;5'!K:K)+1&amp;"' AS ID_EXEC, CURRENT_TIMESTAMP() AS TIME_EXEC FROM "&amp;I167&amp;" INNER JOIN "&amp;J167&amp;" "&amp;K167,"SELECT '"&amp;UPPER(B167)&amp;"' AS TABELA, '"&amp;UPPER(C167)&amp;"' AS TIPOLOGIA_TESTE,'"&amp;D167&amp;"' AS TABELA_LT,'"&amp;E167&amp;"' AS TABELA_SIMUL,'"&amp;F167&amp;"' AS CAMPO, "&amp;"'${ref_date}' AS REF_DATE, COUNT(*) AS NUM_REG, SUM(IF(COALESCE(CAST(X."&amp;F167&amp;" AS STRING),'')&lt;&gt;COALESCE(CAST(Y."&amp;F167&amp;"_SIMUL AS STRING),''),1,0)) AS NUM_REG_DIF,'"&amp;MAX('ID1&amp;5'!L:L)+1&amp;"' AS ID_EXEC, CURRENT_TIMESTAMP() AS TIME_EXEC FROM "&amp;I167&amp;" INNER JOIN "&amp;J167&amp;" "&amp;K167),
IF(C167="Validade",+IF(G167="Code List","SELECT '"&amp;UPPER(B167)&amp;"' AS TABELA, '"&amp;UPPER(C167)&amp;"' AS TIPOLOGIA_TESTE,'"&amp;D167&amp;"' AS TABELA_LT,'N/A' AS TABELA_SIMUL,'"&amp;F167&amp;"' AS CAMPO, "&amp;"'${ref_date}' AS REF_DATE, COUNT(*) AS NUM_REG, SUM(IF(TRIM(CAST(X."&amp;F167&amp;" AS STRING))='' OR TRIM(CAST(X."&amp;F167&amp;" AS STRING)) IS NULL OR CAST(X."&amp;F167&amp;" AS STRING) NOT "&amp;H167&amp;",1,0)) AS NUM_REG_DIF,'"&amp;MAX('ID1&amp;5'!K:K)+1&amp;"' AS ID_EXEC, CURRENT_TIMESTAMP() AS TIME_EXEC FROM "&amp;I167,"SELECT '"&amp;UPPER(B167)&amp;"' AS TABELA, '"&amp;UPPER(C167)&amp;"' AS TIPOLOGIA_TESTE,'"&amp;D167&amp;"' AS TABELA_LT,'N/A' AS TABELA_SIMUL,'"&amp;F167&amp;"' AS CAMPO, "&amp;"'${ref_date}' AS REF_DATE, COUNT(*) AS NUM_REG, SUM(IF(TRIM(CAST(X."&amp;F167&amp;" AS STRING))='' OR TRIM(CAST(X."&amp;F167&amp;" AS STRING)) IS NULL,1,0)) AS NUM_REG_DIF,'"&amp;MAX('ID1&amp;5'!K:K)+1&amp;"' AS ID_EXEC, CURRENT_TIMESTAMP() AS TIME_EXEC FROM "&amp;I167),
IF(C167="Caracteres Especiais",+"SELECT '"&amp;UPPER(B167)&amp;"' AS TABELA, '"&amp;UPPER(C167)&amp;"' AS TIPOLOGIA_TESTE,'"&amp;D167&amp;"' AS TABELA_LT,'N/A' AS TABELA_SIMUL,'"&amp;F167&amp;"' AS CAMPO, "&amp;"'${ref_date}' AS REF_DATE, COUNT(*) AS NUM_REG, SUM(IF(INSTR(CAST(X."&amp;F167&amp;" AS STRING),'#')&gt;0 OR INSTR(CAST(X."&amp;F167&amp;" AS STRING),'*')&gt;0 OR INSTR(CAST(X."&amp;F167&amp;" AS STRING),'`')&gt;0 OR INSTR(CAST(X."&amp;F167&amp;" AS STRING),'´')&gt;0 OR INSTR(CAST(X."&amp;F167&amp;" AS STRING),'{')&gt;0 OR INSTR(CAST(X."&amp;F167&amp;" AS STRING),'}')&gt;0 OR INSTR(CAST(X."&amp;F167&amp;" AS STRING),'[')&gt;0 OR INSTR(CAST(X."&amp;F167&amp;" AS STRING),'')&gt;0 OR INSTR(CAST(X."&amp;F167&amp;" AS STRING),']')&gt;0 OR INSTR(CAST(X."&amp;F167&amp;" AS STRING),'?')&gt;0 OR INSTR(CAST(X."&amp;F167&amp;" AS STRING),'!')&gt;0 OR INSTR(CAST(X."&amp;F167&amp;" AS STRING),'$')&gt;0 OR INSTR(CAST(X."&amp;F167&amp;" AS STRING),'%')&gt;0 OR INSTR(CAST(X."&amp;F167&amp;" AS STRING),'&amp;')&gt;0 OR INSTR(CAST(X."&amp;F167&amp;" AS STRING),'+')&gt;0,1,0)) AS NUM_REG_DIF,'"&amp;MAX('ID1&amp;5'!K:K)+1&amp;"' AS ID_EXEC, CURRENT_TIMESTAMP() AS TIME_EXEC FROM "&amp;I167,
IF(C167="Missings",+"SELECT '"&amp;UPPER(B167)&amp;"' AS TABELA, '"&amp;UPPER(C167)&amp;"' AS TIPOLOGIA_TESTE,'"&amp;D167&amp;"' AS TABELA_LT,'N/A' AS TABELA_SIMUL,'"&amp;F167&amp;"' AS CAMPO, "&amp;"'${ref_date}' AS REF_DATE, COUNT(*) AS NUM_REG, SUM(IF(TRIM(CAST(X."&amp;F167&amp;" AS STRING)) IN ('0000-00-00','0001-01-01','9999-12-31','MISS','00000','99999999999','99999999999.00','99999999999.000000'),1,0)) AS NUM_REG_DIF,'"&amp;MAX('ID1&amp;5'!K:K)+1&amp;"' AS ID_EXEC, CURRENT_TIMESTAMP() AS TIME_EXEC FROM "&amp;I167,
IF(C167="Not applicable",+"SELECT '"&amp;UPPER(B167)&amp;"' AS TABELA, '"&amp;UPPER(C167)&amp;"' AS TIPOLOGIA_TESTE,'"&amp;D167&amp;"' AS TABELA_LT,'N/A' AS TABELA_SIMUL,'"&amp;F167&amp;"' AS CAMPO, "&amp;"'${ref_date}' AS REF_DATE, COUNT(*) AS NUM_REG, SUM(IF(TRIM(CAST(X."&amp;F167&amp;" AS STRING)) IN ('N/A','11111111111','11111111111.00','11111111111.000000','1111-11-11'),1,0)) AS NUM_REG_DIF,'"&amp;MAX('ID1&amp;5'!K:K)+1&amp;"' AS ID_EXEC, CURRENT_TIMESTAMP() AS TIME_EXEC FROM "&amp;I167,
IF(C167="Valores extremos",+"SELECT '"&amp;UPPER(B167)&amp;"' AS TABELA, '"&amp;UPPER(C167)&amp;"' AS TIPOLOGIA_TESTE,'"&amp;D167&amp;"' AS TABELA_LT,'N/A' AS TABELA_SIMUL,'"&amp;F167&amp;"' AS CAMPO, "&amp;"'${ref_date}' AS REF_DATE, CAST(MIN("&amp;F167&amp;") AS STRING) AS VALOR_MIN, CAST(MAX("&amp;F167&amp;") AS STRING) AS VALOR_MAX,'"&amp;MAX('ID1&amp;5'!K:K)+1&amp;"' AS ID_EXEC, CURRENT_TIMESTAMP() AS TIME_EXEC FROM "&amp;MID(I167,1,LEN(I167)-2)&amp;" AND CAST("&amp;F167&amp;"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TABELA_SIMUL,'TTL_DBT' AS CAMPO, '${ref_date}' AS REF_DATE, COUNT(*) AS NUM_REG, SUM(IF(TRIM(CAST(X.TTL_DBT AS STRING))='' OR TRIM(CAST(X.TTL_DBT AS STRING)) IS NULL,1,0)) AS NUM_REG_DIF,'10' AS ID_EXEC, CURRENT_TIMESTAMP() AS TIME_EXEC FROM (SELECT entty_id, TTL_DBT FROM BU_LOANTAPE_WORK.LT003_ENTITY WHERE ref_date='${ref_date}' AND nome_perimetro='Individual Corporativo' AND segmento='ESTR' AND ambito='PILAR3')X</v>
      </c>
      <c r="M167" s="43" t="str">
        <f t="shared" si="2"/>
        <v>UNION ALL SELECT 'ENTITY' AS TABELA, 'VALIDADE' AS TIPOLOGIA_TESTE,'BU_LOANTAPE_WORK.LT003_ENTITY' AS TABELA_LT,'N/A' AS TABELA_SIMUL,'TTL_DBT' AS CAMPO, '${ref_date}' AS REF_DATE, COUNT(*) AS NUM_REG, SUM(IF(TRIM(CAST(X.TTL_DBT AS STRING))='' OR TRIM(CAST(X.TTL_DBT AS STRING)) IS NULL,1,0)) AS NUM_REG_DIF,'10' AS ID_EXEC, CURRENT_TIMESTAMP() AS TIME_EXEC FROM (SELECT entty_id, TTL_DBT FROM BU_LOANTAPE_WORK.LT003_ENTITY WHERE ref_date='${ref_date}' AND nome_perimetro='Individual Corporativo' AND segmento='ESTR' AND ambito='PILAR3')X</v>
      </c>
      <c r="N167" s="45" t="s">
        <v>13</v>
      </c>
    </row>
    <row r="168" spans="2:14">
      <c r="B168" s="41" t="s">
        <v>23</v>
      </c>
      <c r="C168" s="41" t="s">
        <v>75</v>
      </c>
      <c r="D168" s="41" t="str">
        <f>+UPPER('0. Instruções'!$D$33&amp;"."&amp;VLOOKUP(B168,'0. Instruções'!$C$27:$D$31,2,FALSE))</f>
        <v>BU_LOANTAPE_WORK.LT003_ENTITY</v>
      </c>
      <c r="E168" s="41" t="str">
        <f>+UPPER('0. Instruções'!$D$34&amp;"."&amp;VLOOKUP(B168,'0. Instruções'!$C$27:$E$31,3,FALSE))</f>
        <v>BU_LOANTAPE_WORK.LT003_ENTTY_P3_NOV24</v>
      </c>
      <c r="F168" s="41" t="s">
        <v>173</v>
      </c>
      <c r="G168" s="41" t="s">
        <v>13</v>
      </c>
      <c r="H168" s="41"/>
      <c r="I168" s="41" t="str">
        <f>"(SELECT "&amp;VLOOKUP(B168,'0. Instruções'!$C$27:$G$31,4,FALSE)&amp;", "&amp;F168&amp;" FROM "&amp;D168&amp;" WHERE "&amp;'0. Instruções'!$D$40&amp;")X"</f>
        <v>(SELECT entty_id, COD_SOC FROM BU_LOANTAPE_WORK.LT003_ENTITY WHERE ref_date='${ref_date}' AND nome_perimetro='Individual Corporativo' AND segmento='ESTR' AND ambito='PILAR3')X</v>
      </c>
      <c r="J168" s="41" t="str">
        <f>"(SELECT "&amp;VLOOKUP(B168,'0. Instruções'!$C$27:$G$31,4,FALSE)&amp;" AS "&amp;VLOOKUP(B168,'0. Instruções'!$C$27:$G$31,4,FALSE)&amp;"_SIMUL, "&amp;F168&amp;" AS "&amp;F168&amp;"_SIMUL FROM "&amp;E168&amp;")Y"</f>
        <v>(SELECT entty_id AS entty_id_SIMUL, COD_SOC AS COD_SOC_SIMUL FROM BU_LOANTAPE_WORK.LT003_ENTTY_P3_NOV24)Y</v>
      </c>
      <c r="K168" s="42" t="str">
        <f>+UPPER("ON X."&amp;VLOOKUP(B168,'0. Instruções'!$C$27:$G$31,4,FALSE)&amp;"=Y."&amp;VLOOKUP(B168,'0. Instruções'!$C$27:$G$31,4,FALSE)&amp;"_SIMUL")</f>
        <v>ON X.ENTTY_ID=Y.ENTTY_ID_SIMUL</v>
      </c>
      <c r="L168" s="42" t="str">
        <f>+IF(C168="Coerência", +IF(LEFT(G168,5)="FLOAT","SELECT '"&amp;UPPER(B168)&amp;"' AS TABELA, '"&amp;UPPER(C168)&amp;"' AS TIPOLOGIA_TESTE,'"&amp;D168&amp;"' AS TABELA_LT,'"&amp;E168&amp;"' AS TABELA_SIMUL,'"&amp;F168&amp;"' AS CAMPO, "&amp;"'${ref_date}' AS REF_DATE, COUNT(*) AS NUM_REG, SUM(IF((ABS(COALESCE(X."&amp;F168&amp;",0)-COALESCE(Y."&amp;F168&amp;"_SIMUL,0))&gt;0.0000000001) OR (X."&amp;F168&amp;" IS NULL AND Y."&amp;F168&amp;"_SIMUL IS NOT NULL ) OR (X."&amp;F168&amp;" IS NOT NULL AND Y."&amp;F168&amp;"_SIMUL IS NULL),1,0)) AS NUM_REG_DIF,'"&amp;MAX('ID1&amp;5'!K:K)+1&amp;"' AS ID_EXEC, CURRENT_TIMESTAMP() AS TIME_EXEC FROM "&amp;I168&amp;" INNER JOIN "&amp;J168&amp;" "&amp;K168,"SELECT '"&amp;UPPER(B168)&amp;"' AS TABELA, '"&amp;UPPER(C168)&amp;"' AS TIPOLOGIA_TESTE,'"&amp;D168&amp;"' AS TABELA_LT,'"&amp;E168&amp;"' AS TABELA_SIMUL,'"&amp;F168&amp;"' AS CAMPO, "&amp;"'${ref_date}' AS REF_DATE, COUNT(*) AS NUM_REG, SUM(IF(COALESCE(CAST(X."&amp;F168&amp;" AS STRING),'')&lt;&gt;COALESCE(CAST(Y."&amp;F168&amp;"_SIMUL AS STRING),''),1,0)) AS NUM_REG_DIF,'"&amp;MAX('ID1&amp;5'!L:L)+1&amp;"' AS ID_EXEC, CURRENT_TIMESTAMP() AS TIME_EXEC FROM "&amp;I168&amp;" INNER JOIN "&amp;J168&amp;" "&amp;K168),
IF(C168="Validade",+IF(G168="Code List","SELECT '"&amp;UPPER(B168)&amp;"' AS TABELA, '"&amp;UPPER(C168)&amp;"' AS TIPOLOGIA_TESTE,'"&amp;D168&amp;"' AS TABELA_LT,'N/A' AS TABELA_SIMUL,'"&amp;F168&amp;"' AS CAMPO, "&amp;"'${ref_date}' AS REF_DATE, COUNT(*) AS NUM_REG, SUM(IF(TRIM(CAST(X."&amp;F168&amp;" AS STRING))='' OR TRIM(CAST(X."&amp;F168&amp;" AS STRING)) IS NULL OR CAST(X."&amp;F168&amp;" AS STRING) NOT "&amp;H168&amp;",1,0)) AS NUM_REG_DIF,'"&amp;MAX('ID1&amp;5'!K:K)+1&amp;"' AS ID_EXEC, CURRENT_TIMESTAMP() AS TIME_EXEC FROM "&amp;I168,"SELECT '"&amp;UPPER(B168)&amp;"' AS TABELA, '"&amp;UPPER(C168)&amp;"' AS TIPOLOGIA_TESTE,'"&amp;D168&amp;"' AS TABELA_LT,'N/A' AS TABELA_SIMUL,'"&amp;F168&amp;"' AS CAMPO, "&amp;"'${ref_date}' AS REF_DATE, COUNT(*) AS NUM_REG, SUM(IF(TRIM(CAST(X."&amp;F168&amp;" AS STRING))='' OR TRIM(CAST(X."&amp;F168&amp;" AS STRING)) IS NULL,1,0)) AS NUM_REG_DIF,'"&amp;MAX('ID1&amp;5'!K:K)+1&amp;"' AS ID_EXEC, CURRENT_TIMESTAMP() AS TIME_EXEC FROM "&amp;I168),
IF(C168="Caracteres Especiais",+"SELECT '"&amp;UPPER(B168)&amp;"' AS TABELA, '"&amp;UPPER(C168)&amp;"' AS TIPOLOGIA_TESTE,'"&amp;D168&amp;"' AS TABELA_LT,'N/A' AS TABELA_SIMUL,'"&amp;F168&amp;"' AS CAMPO, "&amp;"'${ref_date}' AS REF_DATE, COUNT(*) AS NUM_REG, SUM(IF(INSTR(CAST(X."&amp;F168&amp;" AS STRING),'#')&gt;0 OR INSTR(CAST(X."&amp;F168&amp;" AS STRING),'*')&gt;0 OR INSTR(CAST(X."&amp;F168&amp;" AS STRING),'`')&gt;0 OR INSTR(CAST(X."&amp;F168&amp;" AS STRING),'´')&gt;0 OR INSTR(CAST(X."&amp;F168&amp;" AS STRING),'{')&gt;0 OR INSTR(CAST(X."&amp;F168&amp;" AS STRING),'}')&gt;0 OR INSTR(CAST(X."&amp;F168&amp;" AS STRING),'[')&gt;0 OR INSTR(CAST(X."&amp;F168&amp;" AS STRING),'')&gt;0 OR INSTR(CAST(X."&amp;F168&amp;" AS STRING),']')&gt;0 OR INSTR(CAST(X."&amp;F168&amp;" AS STRING),'?')&gt;0 OR INSTR(CAST(X."&amp;F168&amp;" AS STRING),'!')&gt;0 OR INSTR(CAST(X."&amp;F168&amp;" AS STRING),'$')&gt;0 OR INSTR(CAST(X."&amp;F168&amp;" AS STRING),'%')&gt;0 OR INSTR(CAST(X."&amp;F168&amp;" AS STRING),'&amp;')&gt;0 OR INSTR(CAST(X."&amp;F168&amp;" AS STRING),'+')&gt;0,1,0)) AS NUM_REG_DIF,'"&amp;MAX('ID1&amp;5'!K:K)+1&amp;"' AS ID_EXEC, CURRENT_TIMESTAMP() AS TIME_EXEC FROM "&amp;I168,
IF(C168="Missings",+"SELECT '"&amp;UPPER(B168)&amp;"' AS TABELA, '"&amp;UPPER(C168)&amp;"' AS TIPOLOGIA_TESTE,'"&amp;D168&amp;"' AS TABELA_LT,'N/A' AS TABELA_SIMUL,'"&amp;F168&amp;"' AS CAMPO, "&amp;"'${ref_date}' AS REF_DATE, COUNT(*) AS NUM_REG, SUM(IF(TRIM(CAST(X."&amp;F168&amp;" AS STRING)) IN ('0000-00-00','0001-01-01','9999-12-31','MISS','00000','99999999999','99999999999.00','99999999999.000000'),1,0)) AS NUM_REG_DIF,'"&amp;MAX('ID1&amp;5'!K:K)+1&amp;"' AS ID_EXEC, CURRENT_TIMESTAMP() AS TIME_EXEC FROM "&amp;I168,
IF(C168="Not applicable",+"SELECT '"&amp;UPPER(B168)&amp;"' AS TABELA, '"&amp;UPPER(C168)&amp;"' AS TIPOLOGIA_TESTE,'"&amp;D168&amp;"' AS TABELA_LT,'N/A' AS TABELA_SIMUL,'"&amp;F168&amp;"' AS CAMPO, "&amp;"'${ref_date}' AS REF_DATE, COUNT(*) AS NUM_REG, SUM(IF(TRIM(CAST(X."&amp;F168&amp;" AS STRING)) IN ('N/A','11111111111','11111111111.00','11111111111.000000','1111-11-11'),1,0)) AS NUM_REG_DIF,'"&amp;MAX('ID1&amp;5'!K:K)+1&amp;"' AS ID_EXEC, CURRENT_TIMESTAMP() AS TIME_EXEC FROM "&amp;I168,
IF(C168="Valores extremos",+"SELECT '"&amp;UPPER(B168)&amp;"' AS TABELA, '"&amp;UPPER(C168)&amp;"' AS TIPOLOGIA_TESTE,'"&amp;D168&amp;"' AS TABELA_LT,'N/A' AS TABELA_SIMUL,'"&amp;F168&amp;"' AS CAMPO, "&amp;"'${ref_date}' AS REF_DATE, CAST(MIN("&amp;F168&amp;") AS STRING) AS VALOR_MIN, CAST(MAX("&amp;F168&amp;") AS STRING) AS VALOR_MAX,'"&amp;MAX('ID1&amp;5'!K:K)+1&amp;"' AS ID_EXEC, CURRENT_TIMESTAMP() AS TIME_EXEC FROM "&amp;MID(I168,1,LEN(I168)-2)&amp;" AND CAST("&amp;F168&amp;" AS STRING) NOT IN ('0000-00-00','0001-01-01','9999-12-31','MISS','00000','99999999999','99999999999.00','99999999999.000000','N/A','11111111111','11111111111.00','11111111111.000000','1111-11-11'))X"))))))</f>
        <v>SELECT 'ENTITY' AS TABELA, 'VALIDADE' AS TIPOLOGIA_TESTE,'BU_LOANTAPE_WORK.LT003_ENTITY' AS TABELA_LT,'N/A' AS TABELA_SIMUL,'COD_SOC' AS CAMPO, '${ref_date}' AS REF_DATE, COUNT(*) AS NUM_REG, SUM(IF(TRIM(CAST(X.COD_SOC AS STRING))='' OR TRIM(CAST(X.COD_SOC AS STRING)) IS NULL,1,0)) AS NUM_REG_DIF,'10' AS ID_EXEC, CURRENT_TIMESTAMP() AS TIME_EXEC FROM (SELECT entty_id, COD_SOC FROM BU_LOANTAPE_WORK.LT003_ENTITY WHERE ref_date='${ref_date}' AND nome_perimetro='Individual Corporativo' AND segmento='ESTR' AND ambito='PILAR3')X</v>
      </c>
      <c r="M168" s="43" t="str">
        <f t="shared" si="2"/>
        <v>UNION ALL SELECT 'ENTITY' AS TABELA, 'VALIDADE' AS TIPOLOGIA_TESTE,'BU_LOANTAPE_WORK.LT003_ENTITY' AS TABELA_LT,'N/A' AS TABELA_SIMUL,'COD_SOC' AS CAMPO, '${ref_date}' AS REF_DATE, COUNT(*) AS NUM_REG, SUM(IF(TRIM(CAST(X.COD_SOC AS STRING))='' OR TRIM(CAST(X.COD_SOC AS STRING)) IS NULL,1,0)) AS NUM_REG_DIF,'10' AS ID_EXEC, CURRENT_TIMESTAMP() AS TIME_EXEC FROM (SELECT entty_id, COD_SOC FROM BU_LOANTAPE_WORK.LT003_ENTITY WHERE ref_date='${ref_date}' AND nome_perimetro='Individual Corporativo' AND segmento='ESTR' AND ambito='PILAR3')X</v>
      </c>
      <c r="N168" s="45" t="s">
        <v>13</v>
      </c>
    </row>
    <row r="169" spans="2:14">
      <c r="B169" s="41" t="s">
        <v>31</v>
      </c>
      <c r="C169" s="41" t="s">
        <v>75</v>
      </c>
      <c r="D169" s="41" t="str">
        <f>+UPPER('0. Instruções'!$D$33&amp;"."&amp;VLOOKUP(B169,'0. Instruções'!$C$27:$D$31,2,FALSE))</f>
        <v>BU_LOANTAPE_WORK.LT004_PROTECTION</v>
      </c>
      <c r="E169" s="41" t="str">
        <f>+UPPER('0. Instruções'!$D$34&amp;"."&amp;VLOOKUP(B169,'0. Instruções'!$C$27:$E$31,3,FALSE))</f>
        <v>BU_LOANTAPE_WORK.LT004_PROTECTION_P3_NOV24</v>
      </c>
      <c r="F169" s="41" t="s">
        <v>135</v>
      </c>
      <c r="G169" s="41" t="s">
        <v>209</v>
      </c>
      <c r="H169" s="42" t="s">
        <v>221</v>
      </c>
      <c r="I169" s="41" t="str">
        <f>"(SELECT "&amp;VLOOKUP(B169,'0. Instruções'!$C$27:$G$31,4,FALSE)&amp;", "&amp;F169&amp;" FROM "&amp;D169&amp;" WHERE "&amp;'0. Instruções'!$D$40&amp;")X"</f>
        <v>(SELECT prtctn_id, TYP_EP_SCR FROM BU_LOANTAPE_WORK.LT004_PROTECTION WHERE ref_date='${ref_date}' AND nome_perimetro='Individual Corporativo' AND segmento='ESTR' AND ambito='PILAR3')X</v>
      </c>
      <c r="J169" s="41" t="str">
        <f>"(SELECT "&amp;VLOOKUP(B169,'0. Instruções'!$C$27:$G$31,4,FALSE)&amp;" AS "&amp;VLOOKUP(B169,'0. Instruções'!$C$27:$G$31,4,FALSE)&amp;"_SIMUL, "&amp;F169&amp;" AS "&amp;F169&amp;"_SIMUL FROM "&amp;E169&amp;")Y"</f>
        <v>(SELECT prtctn_id AS prtctn_id_SIMUL, TYP_EP_SCR AS TYP_EP_SCR_SIMUL FROM BU_LOANTAPE_WORK.LT004_PROTECTION_P3_NOV24)Y</v>
      </c>
      <c r="K169" s="42" t="str">
        <f>+UPPER("ON X."&amp;VLOOKUP(B169,'0. Instruções'!$C$27:$G$31,4,FALSE)&amp;"=Y."&amp;VLOOKUP(B169,'0. Instruções'!$C$27:$G$31,4,FALSE)&amp;"_SIMUL")</f>
        <v>ON X.PRTCTN_ID=Y.PRTCTN_ID_SIMUL</v>
      </c>
      <c r="L169" s="42" t="str">
        <f>+IF(C169="Coerência", +IF(LEFT(G169,5)="FLOAT","SELECT '"&amp;UPPER(B169)&amp;"' AS TABELA, '"&amp;UPPER(C169)&amp;"' AS TIPOLOGIA_TESTE,'"&amp;D169&amp;"' AS TABELA_LT,'"&amp;E169&amp;"' AS TABELA_SIMUL,'"&amp;F169&amp;"' AS CAMPO, "&amp;"'${ref_date}' AS REF_DATE, COUNT(*) AS NUM_REG, SUM(IF((ABS(COALESCE(X."&amp;F169&amp;",0)-COALESCE(Y."&amp;F169&amp;"_SIMUL,0))&gt;0.0000000001) OR (X."&amp;F169&amp;" IS NULL AND Y."&amp;F169&amp;"_SIMUL IS NOT NULL ) OR (X."&amp;F169&amp;" IS NOT NULL AND Y."&amp;F169&amp;"_SIMUL IS NULL),1,0)) AS NUM_REG_DIF,'"&amp;MAX('ID1&amp;5'!K:K)+1&amp;"' AS ID_EXEC, CURRENT_TIMESTAMP() AS TIME_EXEC FROM "&amp;I169&amp;" INNER JOIN "&amp;J169&amp;" "&amp;K169,"SELECT '"&amp;UPPER(B169)&amp;"' AS TABELA, '"&amp;UPPER(C169)&amp;"' AS TIPOLOGIA_TESTE,'"&amp;D169&amp;"' AS TABELA_LT,'"&amp;E169&amp;"' AS TABELA_SIMUL,'"&amp;F169&amp;"' AS CAMPO, "&amp;"'${ref_date}' AS REF_DATE, COUNT(*) AS NUM_REG, SUM(IF(COALESCE(CAST(X."&amp;F169&amp;" AS STRING),'')&lt;&gt;COALESCE(CAST(Y."&amp;F169&amp;"_SIMUL AS STRING),''),1,0)) AS NUM_REG_DIF,'"&amp;MAX('ID1&amp;5'!L:L)+1&amp;"' AS ID_EXEC, CURRENT_TIMESTAMP() AS TIME_EXEC FROM "&amp;I169&amp;" INNER JOIN "&amp;J169&amp;" "&amp;K169),
IF(C169="Validade",+IF(G169="Code List","SELECT '"&amp;UPPER(B169)&amp;"' AS TABELA, '"&amp;UPPER(C169)&amp;"' AS TIPOLOGIA_TESTE,'"&amp;D169&amp;"' AS TABELA_LT,'N/A' AS TABELA_SIMUL,'"&amp;F169&amp;"' AS CAMPO, "&amp;"'${ref_date}' AS REF_DATE, COUNT(*) AS NUM_REG, SUM(IF(TRIM(CAST(X."&amp;F169&amp;" AS STRING))='' OR TRIM(CAST(X."&amp;F169&amp;" AS STRING)) IS NULL OR CAST(X."&amp;F169&amp;" AS STRING) NOT "&amp;H169&amp;",1,0)) AS NUM_REG_DIF,'"&amp;MAX('ID1&amp;5'!K:K)+1&amp;"' AS ID_EXEC, CURRENT_TIMESTAMP() AS TIME_EXEC FROM "&amp;I169,"SELECT '"&amp;UPPER(B169)&amp;"' AS TABELA, '"&amp;UPPER(C169)&amp;"' AS TIPOLOGIA_TESTE,'"&amp;D169&amp;"' AS TABELA_LT,'N/A' AS TABELA_SIMUL,'"&amp;F169&amp;"' AS CAMPO, "&amp;"'${ref_date}' AS REF_DATE, COUNT(*) AS NUM_REG, SUM(IF(TRIM(CAST(X."&amp;F169&amp;" AS STRING))='' OR TRIM(CAST(X."&amp;F169&amp;" AS STRING)) IS NULL,1,0)) AS NUM_REG_DIF,'"&amp;MAX('ID1&amp;5'!K:K)+1&amp;"' AS ID_EXEC, CURRENT_TIMESTAMP() AS TIME_EXEC FROM "&amp;I169),
IF(C169="Caracteres Especiais",+"SELECT '"&amp;UPPER(B169)&amp;"' AS TABELA, '"&amp;UPPER(C169)&amp;"' AS TIPOLOGIA_TESTE,'"&amp;D169&amp;"' AS TABELA_LT,'N/A' AS TABELA_SIMUL,'"&amp;F169&amp;"' AS CAMPO, "&amp;"'${ref_date}' AS REF_DATE, COUNT(*) AS NUM_REG, SUM(IF(INSTR(CAST(X."&amp;F169&amp;" AS STRING),'#')&gt;0 OR INSTR(CAST(X."&amp;F169&amp;" AS STRING),'*')&gt;0 OR INSTR(CAST(X."&amp;F169&amp;" AS STRING),'`')&gt;0 OR INSTR(CAST(X."&amp;F169&amp;" AS STRING),'´')&gt;0 OR INSTR(CAST(X."&amp;F169&amp;" AS STRING),'{')&gt;0 OR INSTR(CAST(X."&amp;F169&amp;" AS STRING),'}')&gt;0 OR INSTR(CAST(X."&amp;F169&amp;" AS STRING),'[')&gt;0 OR INSTR(CAST(X."&amp;F169&amp;" AS STRING),'')&gt;0 OR INSTR(CAST(X."&amp;F169&amp;" AS STRING),']')&gt;0 OR INSTR(CAST(X."&amp;F169&amp;" AS STRING),'?')&gt;0 OR INSTR(CAST(X."&amp;F169&amp;" AS STRING),'!')&gt;0 OR INSTR(CAST(X."&amp;F169&amp;" AS STRING),'$')&gt;0 OR INSTR(CAST(X."&amp;F169&amp;" AS STRING),'%')&gt;0 OR INSTR(CAST(X."&amp;F169&amp;" AS STRING),'&amp;')&gt;0 OR INSTR(CAST(X."&amp;F169&amp;" AS STRING),'+')&gt;0,1,0)) AS NUM_REG_DIF,'"&amp;MAX('ID1&amp;5'!K:K)+1&amp;"' AS ID_EXEC, CURRENT_TIMESTAMP() AS TIME_EXEC FROM "&amp;I169,
IF(C169="Missings",+"SELECT '"&amp;UPPER(B169)&amp;"' AS TABELA, '"&amp;UPPER(C169)&amp;"' AS TIPOLOGIA_TESTE,'"&amp;D169&amp;"' AS TABELA_LT,'N/A' AS TABELA_SIMUL,'"&amp;F169&amp;"' AS CAMPO, "&amp;"'${ref_date}' AS REF_DATE, COUNT(*) AS NUM_REG, SUM(IF(TRIM(CAST(X."&amp;F169&amp;" AS STRING)) IN ('0000-00-00','0001-01-01','9999-12-31','MISS','00000','99999999999','99999999999.00','99999999999.000000'),1,0)) AS NUM_REG_DIF,'"&amp;MAX('ID1&amp;5'!K:K)+1&amp;"' AS ID_EXEC, CURRENT_TIMESTAMP() AS TIME_EXEC FROM "&amp;I169,
IF(C169="Not applicable",+"SELECT '"&amp;UPPER(B169)&amp;"' AS TABELA, '"&amp;UPPER(C169)&amp;"' AS TIPOLOGIA_TESTE,'"&amp;D169&amp;"' AS TABELA_LT,'N/A' AS TABELA_SIMUL,'"&amp;F169&amp;"' AS CAMPO, "&amp;"'${ref_date}' AS REF_DATE, COUNT(*) AS NUM_REG, SUM(IF(TRIM(CAST(X."&amp;F169&amp;" AS STRING)) IN ('N/A','11111111111','11111111111.00','11111111111.000000','1111-11-11'),1,0)) AS NUM_REG_DIF,'"&amp;MAX('ID1&amp;5'!K:K)+1&amp;"' AS ID_EXEC, CURRENT_TIMESTAMP() AS TIME_EXEC FROM "&amp;I169,
IF(C169="Valores extremos",+"SELECT '"&amp;UPPER(B169)&amp;"' AS TABELA, '"&amp;UPPER(C169)&amp;"' AS TIPOLOGIA_TESTE,'"&amp;D169&amp;"' AS TABELA_LT,'N/A' AS TABELA_SIMUL,'"&amp;F169&amp;"' AS CAMPO, "&amp;"'${ref_date}' AS REF_DATE, CAST(MIN("&amp;F169&amp;") AS STRING) AS VALOR_MIN, CAST(MAX("&amp;F169&amp;") AS STRING) AS VALOR_MAX,'"&amp;MAX('ID1&amp;5'!K:K)+1&amp;"' AS ID_EXEC, CURRENT_TIMESTAMP() AS TIME_EXEC FROM "&amp;MID(I169,1,LEN(I169)-2)&amp;" AND CAST("&amp;F169&amp;"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TABELA_SIMUL,'TYP_EP_SCR' AS CAMPO, '${ref_date}' AS REF_DATE, COUNT(*) AS NUM_REG, SUM(IF(TRIM(CAST(X.TYP_EP_SCR AS STRING))='' OR TRIM(CAST(X.TYP_EP_SCR AS STRING)) IS NULL OR CAST(X.TYP_EP_SCR AS STRING) NOT IN ('EPSD1','EPSD2','MISS','N/A'),1,0)) AS NUM_REG_DIF,'10' AS ID_EXEC, CURRENT_TIMESTAMP() AS TIME_EXEC FROM (SELECT prtctn_id, TYP_EP_SCR FROM BU_LOANTAPE_WORK.LT004_PROTECTION WHERE ref_date='${ref_date}' AND nome_perimetro='Individual Corporativo' AND segmento='ESTR' AND ambito='PILAR3')X</v>
      </c>
      <c r="M169" s="43" t="str">
        <f t="shared" si="2"/>
        <v>UNION ALL SELECT 'PROTECTION' AS TABELA, 'VALIDADE' AS TIPOLOGIA_TESTE,'BU_LOANTAPE_WORK.LT004_PROTECTION' AS TABELA_LT,'N/A' AS TABELA_SIMUL,'TYP_EP_SCR' AS CAMPO, '${ref_date}' AS REF_DATE, COUNT(*) AS NUM_REG, SUM(IF(TRIM(CAST(X.TYP_EP_SCR AS STRING))='' OR TRIM(CAST(X.TYP_EP_SCR AS STRING)) IS NULL OR CAST(X.TYP_EP_SCR AS STRING) NOT IN ('EPSD1','EPSD2','MISS','N/A'),1,0)) AS NUM_REG_DIF,'10' AS ID_EXEC, CURRENT_TIMESTAMP() AS TIME_EXEC FROM (SELECT prtctn_id, TYP_EP_SCR FROM BU_LOANTAPE_WORK.LT004_PROTECTION WHERE ref_date='${ref_date}' AND nome_perimetro='Individual Corporativo' AND segmento='ESTR' AND ambito='PILAR3')X</v>
      </c>
      <c r="N169" s="45" t="s">
        <v>13</v>
      </c>
    </row>
    <row r="170" spans="2:14">
      <c r="B170" s="41" t="s">
        <v>31</v>
      </c>
      <c r="C170" s="41" t="s">
        <v>75</v>
      </c>
      <c r="D170" s="41" t="str">
        <f>+UPPER('0. Instruções'!$D$33&amp;"."&amp;VLOOKUP(B170,'0. Instruções'!$C$27:$D$31,2,FALSE))</f>
        <v>BU_LOANTAPE_WORK.LT004_PROTECTION</v>
      </c>
      <c r="E170" s="41" t="str">
        <f>+UPPER('0. Instruções'!$D$34&amp;"."&amp;VLOOKUP(B170,'0. Instruções'!$C$27:$E$31,3,FALSE))</f>
        <v>BU_LOANTAPE_WORK.LT004_PROTECTION_P3_NOV24</v>
      </c>
      <c r="F170" s="41" t="s">
        <v>136</v>
      </c>
      <c r="G170" s="41" t="s">
        <v>209</v>
      </c>
      <c r="H170" s="42" t="s">
        <v>222</v>
      </c>
      <c r="I170" s="41" t="str">
        <f>"(SELECT "&amp;VLOOKUP(B170,'0. Instruções'!$C$27:$G$31,4,FALSE)&amp;", "&amp;F170&amp;" FROM "&amp;D170&amp;" WHERE "&amp;'0. Instruções'!$D$40&amp;")X"</f>
        <v>(SELECT prtctn_id, EP_SCR FROM BU_LOANTAPE_WORK.LT004_PROTECTION WHERE ref_date='${ref_date}' AND nome_perimetro='Individual Corporativo' AND segmento='ESTR' AND ambito='PILAR3')X</v>
      </c>
      <c r="J170" s="41" t="str">
        <f>"(SELECT "&amp;VLOOKUP(B170,'0. Instruções'!$C$27:$G$31,4,FALSE)&amp;" AS "&amp;VLOOKUP(B170,'0. Instruções'!$C$27:$G$31,4,FALSE)&amp;"_SIMUL, "&amp;F170&amp;" AS "&amp;F170&amp;"_SIMUL FROM "&amp;E170&amp;")Y"</f>
        <v>(SELECT prtctn_id AS prtctn_id_SIMUL, EP_SCR AS EP_SCR_SIMUL FROM BU_LOANTAPE_WORK.LT004_PROTECTION_P3_NOV24)Y</v>
      </c>
      <c r="K170" s="42" t="str">
        <f>+UPPER("ON X."&amp;VLOOKUP(B170,'0. Instruções'!$C$27:$G$31,4,FALSE)&amp;"=Y."&amp;VLOOKUP(B170,'0. Instruções'!$C$27:$G$31,4,FALSE)&amp;"_SIMUL")</f>
        <v>ON X.PRTCTN_ID=Y.PRTCTN_ID_SIMUL</v>
      </c>
      <c r="L170" s="42" t="str">
        <f>+IF(C170="Coerência", +IF(LEFT(G170,5)="FLOAT","SELECT '"&amp;UPPER(B170)&amp;"' AS TABELA, '"&amp;UPPER(C170)&amp;"' AS TIPOLOGIA_TESTE,'"&amp;D170&amp;"' AS TABELA_LT,'"&amp;E170&amp;"' AS TABELA_SIMUL,'"&amp;F170&amp;"' AS CAMPO, "&amp;"'${ref_date}' AS REF_DATE, COUNT(*) AS NUM_REG, SUM(IF((ABS(COALESCE(X."&amp;F170&amp;",0)-COALESCE(Y."&amp;F170&amp;"_SIMUL,0))&gt;0.0000000001) OR (X."&amp;F170&amp;" IS NULL AND Y."&amp;F170&amp;"_SIMUL IS NOT NULL ) OR (X."&amp;F170&amp;" IS NOT NULL AND Y."&amp;F170&amp;"_SIMUL IS NULL),1,0)) AS NUM_REG_DIF,'"&amp;MAX('ID1&amp;5'!K:K)+1&amp;"' AS ID_EXEC, CURRENT_TIMESTAMP() AS TIME_EXEC FROM "&amp;I170&amp;" INNER JOIN "&amp;J170&amp;" "&amp;K170,"SELECT '"&amp;UPPER(B170)&amp;"' AS TABELA, '"&amp;UPPER(C170)&amp;"' AS TIPOLOGIA_TESTE,'"&amp;D170&amp;"' AS TABELA_LT,'"&amp;E170&amp;"' AS TABELA_SIMUL,'"&amp;F170&amp;"' AS CAMPO, "&amp;"'${ref_date}' AS REF_DATE, COUNT(*) AS NUM_REG, SUM(IF(COALESCE(CAST(X."&amp;F170&amp;" AS STRING),'')&lt;&gt;COALESCE(CAST(Y."&amp;F170&amp;"_SIMUL AS STRING),''),1,0)) AS NUM_REG_DIF,'"&amp;MAX('ID1&amp;5'!L:L)+1&amp;"' AS ID_EXEC, CURRENT_TIMESTAMP() AS TIME_EXEC FROM "&amp;I170&amp;" INNER JOIN "&amp;J170&amp;" "&amp;K170),
IF(C170="Validade",+IF(G170="Code List","SELECT '"&amp;UPPER(B170)&amp;"' AS TABELA, '"&amp;UPPER(C170)&amp;"' AS TIPOLOGIA_TESTE,'"&amp;D170&amp;"' AS TABELA_LT,'N/A' AS TABELA_SIMUL,'"&amp;F170&amp;"' AS CAMPO, "&amp;"'${ref_date}' AS REF_DATE, COUNT(*) AS NUM_REG, SUM(IF(TRIM(CAST(X."&amp;F170&amp;" AS STRING))='' OR TRIM(CAST(X."&amp;F170&amp;" AS STRING)) IS NULL OR CAST(X."&amp;F170&amp;" AS STRING) NOT "&amp;H170&amp;",1,0)) AS NUM_REG_DIF,'"&amp;MAX('ID1&amp;5'!K:K)+1&amp;"' AS ID_EXEC, CURRENT_TIMESTAMP() AS TIME_EXEC FROM "&amp;I170,"SELECT '"&amp;UPPER(B170)&amp;"' AS TABELA, '"&amp;UPPER(C170)&amp;"' AS TIPOLOGIA_TESTE,'"&amp;D170&amp;"' AS TABELA_LT,'N/A' AS TABELA_SIMUL,'"&amp;F170&amp;"' AS CAMPO, "&amp;"'${ref_date}' AS REF_DATE, COUNT(*) AS NUM_REG, SUM(IF(TRIM(CAST(X."&amp;F170&amp;" AS STRING))='' OR TRIM(CAST(X."&amp;F170&amp;" AS STRING)) IS NULL,1,0)) AS NUM_REG_DIF,'"&amp;MAX('ID1&amp;5'!K:K)+1&amp;"' AS ID_EXEC, CURRENT_TIMESTAMP() AS TIME_EXEC FROM "&amp;I170),
IF(C170="Caracteres Especiais",+"SELECT '"&amp;UPPER(B170)&amp;"' AS TABELA, '"&amp;UPPER(C170)&amp;"' AS TIPOLOGIA_TESTE,'"&amp;D170&amp;"' AS TABELA_LT,'N/A' AS TABELA_SIMUL,'"&amp;F170&amp;"' AS CAMPO, "&amp;"'${ref_date}' AS REF_DATE, COUNT(*) AS NUM_REG, SUM(IF(INSTR(CAST(X."&amp;F170&amp;" AS STRING),'#')&gt;0 OR INSTR(CAST(X."&amp;F170&amp;" AS STRING),'*')&gt;0 OR INSTR(CAST(X."&amp;F170&amp;" AS STRING),'`')&gt;0 OR INSTR(CAST(X."&amp;F170&amp;" AS STRING),'´')&gt;0 OR INSTR(CAST(X."&amp;F170&amp;" AS STRING),'{')&gt;0 OR INSTR(CAST(X."&amp;F170&amp;" AS STRING),'}')&gt;0 OR INSTR(CAST(X."&amp;F170&amp;" AS STRING),'[')&gt;0 OR INSTR(CAST(X."&amp;F170&amp;" AS STRING),'')&gt;0 OR INSTR(CAST(X."&amp;F170&amp;" AS STRING),']')&gt;0 OR INSTR(CAST(X."&amp;F170&amp;" AS STRING),'?')&gt;0 OR INSTR(CAST(X."&amp;F170&amp;" AS STRING),'!')&gt;0 OR INSTR(CAST(X."&amp;F170&amp;" AS STRING),'$')&gt;0 OR INSTR(CAST(X."&amp;F170&amp;" AS STRING),'%')&gt;0 OR INSTR(CAST(X."&amp;F170&amp;" AS STRING),'&amp;')&gt;0 OR INSTR(CAST(X."&amp;F170&amp;" AS STRING),'+')&gt;0,1,0)) AS NUM_REG_DIF,'"&amp;MAX('ID1&amp;5'!K:K)+1&amp;"' AS ID_EXEC, CURRENT_TIMESTAMP() AS TIME_EXEC FROM "&amp;I170,
IF(C170="Missings",+"SELECT '"&amp;UPPER(B170)&amp;"' AS TABELA, '"&amp;UPPER(C170)&amp;"' AS TIPOLOGIA_TESTE,'"&amp;D170&amp;"' AS TABELA_LT,'N/A' AS TABELA_SIMUL,'"&amp;F170&amp;"' AS CAMPO, "&amp;"'${ref_date}' AS REF_DATE, COUNT(*) AS NUM_REG, SUM(IF(TRIM(CAST(X."&amp;F170&amp;" AS STRING)) IN ('0000-00-00','0001-01-01','9999-12-31','MISS','00000','99999999999','99999999999.00','99999999999.000000'),1,0)) AS NUM_REG_DIF,'"&amp;MAX('ID1&amp;5'!K:K)+1&amp;"' AS ID_EXEC, CURRENT_TIMESTAMP() AS TIME_EXEC FROM "&amp;I170,
IF(C170="Not applicable",+"SELECT '"&amp;UPPER(B170)&amp;"' AS TABELA, '"&amp;UPPER(C170)&amp;"' AS TIPOLOGIA_TESTE,'"&amp;D170&amp;"' AS TABELA_LT,'N/A' AS TABELA_SIMUL,'"&amp;F170&amp;"' AS CAMPO, "&amp;"'${ref_date}' AS REF_DATE, COUNT(*) AS NUM_REG, SUM(IF(TRIM(CAST(X."&amp;F170&amp;" AS STRING)) IN ('N/A','11111111111','11111111111.00','11111111111.000000','1111-11-11'),1,0)) AS NUM_REG_DIF,'"&amp;MAX('ID1&amp;5'!K:K)+1&amp;"' AS ID_EXEC, CURRENT_TIMESTAMP() AS TIME_EXEC FROM "&amp;I170,
IF(C170="Valores extremos",+"SELECT '"&amp;UPPER(B170)&amp;"' AS TABELA, '"&amp;UPPER(C170)&amp;"' AS TIPOLOGIA_TESTE,'"&amp;D170&amp;"' AS TABELA_LT,'N/A' AS TABELA_SIMUL,'"&amp;F170&amp;"' AS CAMPO, "&amp;"'${ref_date}' AS REF_DATE, CAST(MIN("&amp;F170&amp;") AS STRING) AS VALOR_MIN, CAST(MAX("&amp;F170&amp;") AS STRING) AS VALOR_MAX,'"&amp;MAX('ID1&amp;5'!K:K)+1&amp;"' AS ID_EXEC, CURRENT_TIMESTAMP() AS TIME_EXEC FROM "&amp;MID(I170,1,LEN(I170)-2)&amp;" AND CAST("&amp;F170&amp;"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TABELA_SIMUL,'EP_SCR' AS CAMPO, '${ref_date}' AS REF_DATE, COUNT(*) AS NUM_REG, SUM(IF(TRIM(CAST(X.EP_SCR AS STRING))='' OR TRIM(CAST(X.EP_SCR AS STRING)) IS NULL OR CAST(X.EP_SCR AS STRING) NOT IN ('EPSC1','EPSC2','EPSC3','EPSC4','EPSC5','EPSC6','EPSC7','MISS','N/A'),1,0)) AS NUM_REG_DIF,'10' AS ID_EXEC, CURRENT_TIMESTAMP() AS TIME_EXEC FROM (SELECT prtctn_id, EP_SCR FROM BU_LOANTAPE_WORK.LT004_PROTECTION WHERE ref_date='${ref_date}' AND nome_perimetro='Individual Corporativo' AND segmento='ESTR' AND ambito='PILAR3')X</v>
      </c>
      <c r="M170" s="43" t="str">
        <f t="shared" si="2"/>
        <v>UNION ALL SELECT 'PROTECTION' AS TABELA, 'VALIDADE' AS TIPOLOGIA_TESTE,'BU_LOANTAPE_WORK.LT004_PROTECTION' AS TABELA_LT,'N/A' AS TABELA_SIMUL,'EP_SCR' AS CAMPO, '${ref_date}' AS REF_DATE, COUNT(*) AS NUM_REG, SUM(IF(TRIM(CAST(X.EP_SCR AS STRING))='' OR TRIM(CAST(X.EP_SCR AS STRING)) IS NULL OR CAST(X.EP_SCR AS STRING) NOT IN ('EPSC1','EPSC2','EPSC3','EPSC4','EPSC5','EPSC6','EPSC7','MISS','N/A'),1,0)) AS NUM_REG_DIF,'10' AS ID_EXEC, CURRENT_TIMESTAMP() AS TIME_EXEC FROM (SELECT prtctn_id, EP_SCR FROM BU_LOANTAPE_WORK.LT004_PROTECTION WHERE ref_date='${ref_date}' AND nome_perimetro='Individual Corporativo' AND segmento='ESTR' AND ambito='PILAR3')X</v>
      </c>
      <c r="N170" s="45" t="s">
        <v>13</v>
      </c>
    </row>
    <row r="171" spans="2:14">
      <c r="B171" s="41" t="s">
        <v>31</v>
      </c>
      <c r="C171" s="41" t="s">
        <v>75</v>
      </c>
      <c r="D171" s="41" t="str">
        <f>+UPPER('0. Instruções'!$D$33&amp;"."&amp;VLOOKUP(B171,'0. Instruções'!$C$27:$D$31,2,FALSE))</f>
        <v>BU_LOANTAPE_WORK.LT004_PROTECTION</v>
      </c>
      <c r="E171" s="41" t="str">
        <f>+UPPER('0. Instruções'!$D$34&amp;"."&amp;VLOOKUP(B171,'0. Instruções'!$C$27:$E$31,3,FALSE))</f>
        <v>BU_LOANTAPE_WORK.LT004_PROTECTION_P3_NOV24</v>
      </c>
      <c r="F171" s="41" t="s">
        <v>137</v>
      </c>
      <c r="G171" s="41" t="s">
        <v>209</v>
      </c>
      <c r="H171" s="42" t="s">
        <v>223</v>
      </c>
      <c r="I171" s="41" t="str">
        <f>"(SELECT "&amp;VLOOKUP(B171,'0. Instruções'!$C$27:$G$31,4,FALSE)&amp;", "&amp;F171&amp;" FROM "&amp;D171&amp;" WHERE "&amp;'0. Instruções'!$D$40&amp;")X"</f>
        <v>(SELECT prtctn_id, TYP_EPC_LBL FROM BU_LOANTAPE_WORK.LT004_PROTECTION WHERE ref_date='${ref_date}' AND nome_perimetro='Individual Corporativo' AND segmento='ESTR' AND ambito='PILAR3')X</v>
      </c>
      <c r="J171" s="41" t="str">
        <f>"(SELECT "&amp;VLOOKUP(B171,'0. Instruções'!$C$27:$G$31,4,FALSE)&amp;" AS "&amp;VLOOKUP(B171,'0. Instruções'!$C$27:$G$31,4,FALSE)&amp;"_SIMUL, "&amp;F171&amp;" AS "&amp;F171&amp;"_SIMUL FROM "&amp;E171&amp;")Y"</f>
        <v>(SELECT prtctn_id AS prtctn_id_SIMUL, TYP_EPC_LBL AS TYP_EPC_LBL_SIMUL FROM BU_LOANTAPE_WORK.LT004_PROTECTION_P3_NOV24)Y</v>
      </c>
      <c r="K171" s="42" t="str">
        <f>+UPPER("ON X."&amp;VLOOKUP(B171,'0. Instruções'!$C$27:$G$31,4,FALSE)&amp;"=Y."&amp;VLOOKUP(B171,'0. Instruções'!$C$27:$G$31,4,FALSE)&amp;"_SIMUL")</f>
        <v>ON X.PRTCTN_ID=Y.PRTCTN_ID_SIMUL</v>
      </c>
      <c r="L171" s="42" t="str">
        <f>+IF(C171="Coerência", +IF(LEFT(G171,5)="FLOAT","SELECT '"&amp;UPPER(B171)&amp;"' AS TABELA, '"&amp;UPPER(C171)&amp;"' AS TIPOLOGIA_TESTE,'"&amp;D171&amp;"' AS TABELA_LT,'"&amp;E171&amp;"' AS TABELA_SIMUL,'"&amp;F171&amp;"' AS CAMPO, "&amp;"'${ref_date}' AS REF_DATE, COUNT(*) AS NUM_REG, SUM(IF((ABS(COALESCE(X."&amp;F171&amp;",0)-COALESCE(Y."&amp;F171&amp;"_SIMUL,0))&gt;0.0000000001) OR (X."&amp;F171&amp;" IS NULL AND Y."&amp;F171&amp;"_SIMUL IS NOT NULL ) OR (X."&amp;F171&amp;" IS NOT NULL AND Y."&amp;F171&amp;"_SIMUL IS NULL),1,0)) AS NUM_REG_DIF,'"&amp;MAX('ID1&amp;5'!K:K)+1&amp;"' AS ID_EXEC, CURRENT_TIMESTAMP() AS TIME_EXEC FROM "&amp;I171&amp;" INNER JOIN "&amp;J171&amp;" "&amp;K171,"SELECT '"&amp;UPPER(B171)&amp;"' AS TABELA, '"&amp;UPPER(C171)&amp;"' AS TIPOLOGIA_TESTE,'"&amp;D171&amp;"' AS TABELA_LT,'"&amp;E171&amp;"' AS TABELA_SIMUL,'"&amp;F171&amp;"' AS CAMPO, "&amp;"'${ref_date}' AS REF_DATE, COUNT(*) AS NUM_REG, SUM(IF(COALESCE(CAST(X."&amp;F171&amp;" AS STRING),'')&lt;&gt;COALESCE(CAST(Y."&amp;F171&amp;"_SIMUL AS STRING),''),1,0)) AS NUM_REG_DIF,'"&amp;MAX('ID1&amp;5'!L:L)+1&amp;"' AS ID_EXEC, CURRENT_TIMESTAMP() AS TIME_EXEC FROM "&amp;I171&amp;" INNER JOIN "&amp;J171&amp;" "&amp;K171),
IF(C171="Validade",+IF(G171="Code List","SELECT '"&amp;UPPER(B171)&amp;"' AS TABELA, '"&amp;UPPER(C171)&amp;"' AS TIPOLOGIA_TESTE,'"&amp;D171&amp;"' AS TABELA_LT,'N/A' AS TABELA_SIMUL,'"&amp;F171&amp;"' AS CAMPO, "&amp;"'${ref_date}' AS REF_DATE, COUNT(*) AS NUM_REG, SUM(IF(TRIM(CAST(X."&amp;F171&amp;" AS STRING))='' OR TRIM(CAST(X."&amp;F171&amp;" AS STRING)) IS NULL OR CAST(X."&amp;F171&amp;" AS STRING) NOT "&amp;H171&amp;",1,0)) AS NUM_REG_DIF,'"&amp;MAX('ID1&amp;5'!K:K)+1&amp;"' AS ID_EXEC, CURRENT_TIMESTAMP() AS TIME_EXEC FROM "&amp;I171,"SELECT '"&amp;UPPER(B171)&amp;"' AS TABELA, '"&amp;UPPER(C171)&amp;"' AS TIPOLOGIA_TESTE,'"&amp;D171&amp;"' AS TABELA_LT,'N/A' AS TABELA_SIMUL,'"&amp;F171&amp;"' AS CAMPO, "&amp;"'${ref_date}' AS REF_DATE, COUNT(*) AS NUM_REG, SUM(IF(TRIM(CAST(X."&amp;F171&amp;" AS STRING))='' OR TRIM(CAST(X."&amp;F171&amp;" AS STRING)) IS NULL,1,0)) AS NUM_REG_DIF,'"&amp;MAX('ID1&amp;5'!K:K)+1&amp;"' AS ID_EXEC, CURRENT_TIMESTAMP() AS TIME_EXEC FROM "&amp;I171),
IF(C171="Caracteres Especiais",+"SELECT '"&amp;UPPER(B171)&amp;"' AS TABELA, '"&amp;UPPER(C171)&amp;"' AS TIPOLOGIA_TESTE,'"&amp;D171&amp;"' AS TABELA_LT,'N/A' AS TABELA_SIMUL,'"&amp;F171&amp;"' AS CAMPO, "&amp;"'${ref_date}' AS REF_DATE, COUNT(*) AS NUM_REG, SUM(IF(INSTR(CAST(X."&amp;F171&amp;" AS STRING),'#')&gt;0 OR INSTR(CAST(X."&amp;F171&amp;" AS STRING),'*')&gt;0 OR INSTR(CAST(X."&amp;F171&amp;" AS STRING),'`')&gt;0 OR INSTR(CAST(X."&amp;F171&amp;" AS STRING),'´')&gt;0 OR INSTR(CAST(X."&amp;F171&amp;" AS STRING),'{')&gt;0 OR INSTR(CAST(X."&amp;F171&amp;" AS STRING),'}')&gt;0 OR INSTR(CAST(X."&amp;F171&amp;" AS STRING),'[')&gt;0 OR INSTR(CAST(X."&amp;F171&amp;" AS STRING),'')&gt;0 OR INSTR(CAST(X."&amp;F171&amp;" AS STRING),']')&gt;0 OR INSTR(CAST(X."&amp;F171&amp;" AS STRING),'?')&gt;0 OR INSTR(CAST(X."&amp;F171&amp;" AS STRING),'!')&gt;0 OR INSTR(CAST(X."&amp;F171&amp;" AS STRING),'$')&gt;0 OR INSTR(CAST(X."&amp;F171&amp;" AS STRING),'%')&gt;0 OR INSTR(CAST(X."&amp;F171&amp;" AS STRING),'&amp;')&gt;0 OR INSTR(CAST(X."&amp;F171&amp;" AS STRING),'+')&gt;0,1,0)) AS NUM_REG_DIF,'"&amp;MAX('ID1&amp;5'!K:K)+1&amp;"' AS ID_EXEC, CURRENT_TIMESTAMP() AS TIME_EXEC FROM "&amp;I171,
IF(C171="Missings",+"SELECT '"&amp;UPPER(B171)&amp;"' AS TABELA, '"&amp;UPPER(C171)&amp;"' AS TIPOLOGIA_TESTE,'"&amp;D171&amp;"' AS TABELA_LT,'N/A' AS TABELA_SIMUL,'"&amp;F171&amp;"' AS CAMPO, "&amp;"'${ref_date}' AS REF_DATE, COUNT(*) AS NUM_REG, SUM(IF(TRIM(CAST(X."&amp;F171&amp;" AS STRING)) IN ('0000-00-00','0001-01-01','9999-12-31','MISS','00000','99999999999','99999999999.00','99999999999.000000'),1,0)) AS NUM_REG_DIF,'"&amp;MAX('ID1&amp;5'!K:K)+1&amp;"' AS ID_EXEC, CURRENT_TIMESTAMP() AS TIME_EXEC FROM "&amp;I171,
IF(C171="Not applicable",+"SELECT '"&amp;UPPER(B171)&amp;"' AS TABELA, '"&amp;UPPER(C171)&amp;"' AS TIPOLOGIA_TESTE,'"&amp;D171&amp;"' AS TABELA_LT,'N/A' AS TABELA_SIMUL,'"&amp;F171&amp;"' AS CAMPO, "&amp;"'${ref_date}' AS REF_DATE, COUNT(*) AS NUM_REG, SUM(IF(TRIM(CAST(X."&amp;F171&amp;" AS STRING)) IN ('N/A','11111111111','11111111111.00','11111111111.000000','1111-11-11'),1,0)) AS NUM_REG_DIF,'"&amp;MAX('ID1&amp;5'!K:K)+1&amp;"' AS ID_EXEC, CURRENT_TIMESTAMP() AS TIME_EXEC FROM "&amp;I171,
IF(C171="Valores extremos",+"SELECT '"&amp;UPPER(B171)&amp;"' AS TABELA, '"&amp;UPPER(C171)&amp;"' AS TIPOLOGIA_TESTE,'"&amp;D171&amp;"' AS TABELA_LT,'N/A' AS TABELA_SIMUL,'"&amp;F171&amp;"' AS CAMPO, "&amp;"'${ref_date}' AS REF_DATE, CAST(MIN("&amp;F171&amp;") AS STRING) AS VALOR_MIN, CAST(MAX("&amp;F171&amp;") AS STRING) AS VALOR_MAX,'"&amp;MAX('ID1&amp;5'!K:K)+1&amp;"' AS ID_EXEC, CURRENT_TIMESTAMP() AS TIME_EXEC FROM "&amp;MID(I171,1,LEN(I171)-2)&amp;" AND CAST("&amp;F171&amp;"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TABELA_SIMUL,'TYP_EPC_LBL' AS CAMPO, '${ref_date}' AS REF_DATE, COUNT(*) AS NUM_REG, SUM(IF(TRIM(CAST(X.TYP_EPC_LBL AS STRING))='' OR TRIM(CAST(X.TYP_EPC_LBL AS STRING)) IS NULL OR CAST(X.TYP_EPC_LBL AS STRING) NOT IN ('EPCD1','EPCD2','MISS','N/A'),1,0)) AS NUM_REG_DIF,'10' AS ID_EXEC, CURRENT_TIMESTAMP() AS TIME_EXEC FROM (SELECT prtctn_id, TYP_EPC_LBL FROM BU_LOANTAPE_WORK.LT004_PROTECTION WHERE ref_date='${ref_date}' AND nome_perimetro='Individual Corporativo' AND segmento='ESTR' AND ambito='PILAR3')X</v>
      </c>
      <c r="M171" s="43" t="str">
        <f t="shared" si="2"/>
        <v>UNION ALL SELECT 'PROTECTION' AS TABELA, 'VALIDADE' AS TIPOLOGIA_TESTE,'BU_LOANTAPE_WORK.LT004_PROTECTION' AS TABELA_LT,'N/A' AS TABELA_SIMUL,'TYP_EPC_LBL' AS CAMPO, '${ref_date}' AS REF_DATE, COUNT(*) AS NUM_REG, SUM(IF(TRIM(CAST(X.TYP_EPC_LBL AS STRING))='' OR TRIM(CAST(X.TYP_EPC_LBL AS STRING)) IS NULL OR CAST(X.TYP_EPC_LBL AS STRING) NOT IN ('EPCD1','EPCD2','MISS','N/A'),1,0)) AS NUM_REG_DIF,'10' AS ID_EXEC, CURRENT_TIMESTAMP() AS TIME_EXEC FROM (SELECT prtctn_id, TYP_EPC_LBL FROM BU_LOANTAPE_WORK.LT004_PROTECTION WHERE ref_date='${ref_date}' AND nome_perimetro='Individual Corporativo' AND segmento='ESTR' AND ambito='PILAR3')X</v>
      </c>
      <c r="N171" s="45" t="s">
        <v>13</v>
      </c>
    </row>
    <row r="172" spans="2:14">
      <c r="B172" s="41" t="s">
        <v>31</v>
      </c>
      <c r="C172" s="41" t="s">
        <v>75</v>
      </c>
      <c r="D172" s="41" t="str">
        <f>+UPPER('0. Instruções'!$D$33&amp;"."&amp;VLOOKUP(B172,'0. Instruções'!$C$27:$D$31,2,FALSE))</f>
        <v>BU_LOANTAPE_WORK.LT004_PROTECTION</v>
      </c>
      <c r="E172" s="41" t="str">
        <f>+UPPER('0. Instruções'!$D$34&amp;"."&amp;VLOOKUP(B172,'0. Instruções'!$C$27:$E$31,3,FALSE))</f>
        <v>BU_LOANTAPE_WORK.LT004_PROTECTION_P3_NOV24</v>
      </c>
      <c r="F172" s="41" t="s">
        <v>138</v>
      </c>
      <c r="G172" s="41" t="s">
        <v>209</v>
      </c>
      <c r="H172" s="42" t="s">
        <v>224</v>
      </c>
      <c r="I172" s="41" t="str">
        <f>"(SELECT "&amp;VLOOKUP(B172,'0. Instruções'!$C$27:$G$31,4,FALSE)&amp;", "&amp;F172&amp;" FROM "&amp;D172&amp;" WHERE "&amp;'0. Instruções'!$D$40&amp;")X"</f>
        <v>(SELECT prtctn_id, EPC_LBL FROM BU_LOANTAPE_WORK.LT004_PROTECTION WHERE ref_date='${ref_date}' AND nome_perimetro='Individual Corporativo' AND segmento='ESTR' AND ambito='PILAR3')X</v>
      </c>
      <c r="J172" s="41" t="str">
        <f>"(SELECT "&amp;VLOOKUP(B172,'0. Instruções'!$C$27:$G$31,4,FALSE)&amp;" AS "&amp;VLOOKUP(B172,'0. Instruções'!$C$27:$G$31,4,FALSE)&amp;"_SIMUL, "&amp;F172&amp;" AS "&amp;F172&amp;"_SIMUL FROM "&amp;E172&amp;")Y"</f>
        <v>(SELECT prtctn_id AS prtctn_id_SIMUL, EPC_LBL AS EPC_LBL_SIMUL FROM BU_LOANTAPE_WORK.LT004_PROTECTION_P3_NOV24)Y</v>
      </c>
      <c r="K172" s="42" t="str">
        <f>+UPPER("ON X."&amp;VLOOKUP(B172,'0. Instruções'!$C$27:$G$31,4,FALSE)&amp;"=Y."&amp;VLOOKUP(B172,'0. Instruções'!$C$27:$G$31,4,FALSE)&amp;"_SIMUL")</f>
        <v>ON X.PRTCTN_ID=Y.PRTCTN_ID_SIMUL</v>
      </c>
      <c r="L172" s="42" t="str">
        <f>+IF(C172="Coerência", +IF(LEFT(G172,5)="FLOAT","SELECT '"&amp;UPPER(B172)&amp;"' AS TABELA, '"&amp;UPPER(C172)&amp;"' AS TIPOLOGIA_TESTE,'"&amp;D172&amp;"' AS TABELA_LT,'"&amp;E172&amp;"' AS TABELA_SIMUL,'"&amp;F172&amp;"' AS CAMPO, "&amp;"'${ref_date}' AS REF_DATE, COUNT(*) AS NUM_REG, SUM(IF((ABS(COALESCE(X."&amp;F172&amp;",0)-COALESCE(Y."&amp;F172&amp;"_SIMUL,0))&gt;0.0000000001) OR (X."&amp;F172&amp;" IS NULL AND Y."&amp;F172&amp;"_SIMUL IS NOT NULL ) OR (X."&amp;F172&amp;" IS NOT NULL AND Y."&amp;F172&amp;"_SIMUL IS NULL),1,0)) AS NUM_REG_DIF,'"&amp;MAX('ID1&amp;5'!K:K)+1&amp;"' AS ID_EXEC, CURRENT_TIMESTAMP() AS TIME_EXEC FROM "&amp;I172&amp;" INNER JOIN "&amp;J172&amp;" "&amp;K172,"SELECT '"&amp;UPPER(B172)&amp;"' AS TABELA, '"&amp;UPPER(C172)&amp;"' AS TIPOLOGIA_TESTE,'"&amp;D172&amp;"' AS TABELA_LT,'"&amp;E172&amp;"' AS TABELA_SIMUL,'"&amp;F172&amp;"' AS CAMPO, "&amp;"'${ref_date}' AS REF_DATE, COUNT(*) AS NUM_REG, SUM(IF(COALESCE(CAST(X."&amp;F172&amp;" AS STRING),'')&lt;&gt;COALESCE(CAST(Y."&amp;F172&amp;"_SIMUL AS STRING),''),1,0)) AS NUM_REG_DIF,'"&amp;MAX('ID1&amp;5'!L:L)+1&amp;"' AS ID_EXEC, CURRENT_TIMESTAMP() AS TIME_EXEC FROM "&amp;I172&amp;" INNER JOIN "&amp;J172&amp;" "&amp;K172),
IF(C172="Validade",+IF(G172="Code List","SELECT '"&amp;UPPER(B172)&amp;"' AS TABELA, '"&amp;UPPER(C172)&amp;"' AS TIPOLOGIA_TESTE,'"&amp;D172&amp;"' AS TABELA_LT,'N/A' AS TABELA_SIMUL,'"&amp;F172&amp;"' AS CAMPO, "&amp;"'${ref_date}' AS REF_DATE, COUNT(*) AS NUM_REG, SUM(IF(TRIM(CAST(X."&amp;F172&amp;" AS STRING))='' OR TRIM(CAST(X."&amp;F172&amp;" AS STRING)) IS NULL OR CAST(X."&amp;F172&amp;" AS STRING) NOT "&amp;H172&amp;",1,0)) AS NUM_REG_DIF,'"&amp;MAX('ID1&amp;5'!K:K)+1&amp;"' AS ID_EXEC, CURRENT_TIMESTAMP() AS TIME_EXEC FROM "&amp;I172,"SELECT '"&amp;UPPER(B172)&amp;"' AS TABELA, '"&amp;UPPER(C172)&amp;"' AS TIPOLOGIA_TESTE,'"&amp;D172&amp;"' AS TABELA_LT,'N/A' AS TABELA_SIMUL,'"&amp;F172&amp;"' AS CAMPO, "&amp;"'${ref_date}' AS REF_DATE, COUNT(*) AS NUM_REG, SUM(IF(TRIM(CAST(X."&amp;F172&amp;" AS STRING))='' OR TRIM(CAST(X."&amp;F172&amp;" AS STRING)) IS NULL,1,0)) AS NUM_REG_DIF,'"&amp;MAX('ID1&amp;5'!K:K)+1&amp;"' AS ID_EXEC, CURRENT_TIMESTAMP() AS TIME_EXEC FROM "&amp;I172),
IF(C172="Caracteres Especiais",+"SELECT '"&amp;UPPER(B172)&amp;"' AS TABELA, '"&amp;UPPER(C172)&amp;"' AS TIPOLOGIA_TESTE,'"&amp;D172&amp;"' AS TABELA_LT,'N/A' AS TABELA_SIMUL,'"&amp;F172&amp;"' AS CAMPO, "&amp;"'${ref_date}' AS REF_DATE, COUNT(*) AS NUM_REG, SUM(IF(INSTR(CAST(X."&amp;F172&amp;" AS STRING),'#')&gt;0 OR INSTR(CAST(X."&amp;F172&amp;" AS STRING),'*')&gt;0 OR INSTR(CAST(X."&amp;F172&amp;" AS STRING),'`')&gt;0 OR INSTR(CAST(X."&amp;F172&amp;" AS STRING),'´')&gt;0 OR INSTR(CAST(X."&amp;F172&amp;" AS STRING),'{')&gt;0 OR INSTR(CAST(X."&amp;F172&amp;" AS STRING),'}')&gt;0 OR INSTR(CAST(X."&amp;F172&amp;" AS STRING),'[')&gt;0 OR INSTR(CAST(X."&amp;F172&amp;" AS STRING),'')&gt;0 OR INSTR(CAST(X."&amp;F172&amp;" AS STRING),']')&gt;0 OR INSTR(CAST(X."&amp;F172&amp;" AS STRING),'?')&gt;0 OR INSTR(CAST(X."&amp;F172&amp;" AS STRING),'!')&gt;0 OR INSTR(CAST(X."&amp;F172&amp;" AS STRING),'$')&gt;0 OR INSTR(CAST(X."&amp;F172&amp;" AS STRING),'%')&gt;0 OR INSTR(CAST(X."&amp;F172&amp;" AS STRING),'&amp;')&gt;0 OR INSTR(CAST(X."&amp;F172&amp;" AS STRING),'+')&gt;0,1,0)) AS NUM_REG_DIF,'"&amp;MAX('ID1&amp;5'!K:K)+1&amp;"' AS ID_EXEC, CURRENT_TIMESTAMP() AS TIME_EXEC FROM "&amp;I172,
IF(C172="Missings",+"SELECT '"&amp;UPPER(B172)&amp;"' AS TABELA, '"&amp;UPPER(C172)&amp;"' AS TIPOLOGIA_TESTE,'"&amp;D172&amp;"' AS TABELA_LT,'N/A' AS TABELA_SIMUL,'"&amp;F172&amp;"' AS CAMPO, "&amp;"'${ref_date}' AS REF_DATE, COUNT(*) AS NUM_REG, SUM(IF(TRIM(CAST(X."&amp;F172&amp;" AS STRING)) IN ('0000-00-00','0001-01-01','9999-12-31','MISS','00000','99999999999','99999999999.00','99999999999.000000'),1,0)) AS NUM_REG_DIF,'"&amp;MAX('ID1&amp;5'!K:K)+1&amp;"' AS ID_EXEC, CURRENT_TIMESTAMP() AS TIME_EXEC FROM "&amp;I172,
IF(C172="Not applicable",+"SELECT '"&amp;UPPER(B172)&amp;"' AS TABELA, '"&amp;UPPER(C172)&amp;"' AS TIPOLOGIA_TESTE,'"&amp;D172&amp;"' AS TABELA_LT,'N/A' AS TABELA_SIMUL,'"&amp;F172&amp;"' AS CAMPO, "&amp;"'${ref_date}' AS REF_DATE, COUNT(*) AS NUM_REG, SUM(IF(TRIM(CAST(X."&amp;F172&amp;" AS STRING)) IN ('N/A','11111111111','11111111111.00','11111111111.000000','1111-11-11'),1,0)) AS NUM_REG_DIF,'"&amp;MAX('ID1&amp;5'!K:K)+1&amp;"' AS ID_EXEC, CURRENT_TIMESTAMP() AS TIME_EXEC FROM "&amp;I172,
IF(C172="Valores extremos",+"SELECT '"&amp;UPPER(B172)&amp;"' AS TABELA, '"&amp;UPPER(C172)&amp;"' AS TIPOLOGIA_TESTE,'"&amp;D172&amp;"' AS TABELA_LT,'N/A' AS TABELA_SIMUL,'"&amp;F172&amp;"' AS CAMPO, "&amp;"'${ref_date}' AS REF_DATE, CAST(MIN("&amp;F172&amp;") AS STRING) AS VALOR_MIN, CAST(MAX("&amp;F172&amp;") AS STRING) AS VALOR_MAX,'"&amp;MAX('ID1&amp;5'!K:K)+1&amp;"' AS ID_EXEC, CURRENT_TIMESTAMP() AS TIME_EXEC FROM "&amp;MID(I172,1,LEN(I172)-2)&amp;" AND CAST("&amp;F172&amp;"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TABELA_SIMUL,'EPC_LBL' AS CAMPO, '${ref_date}' AS REF_DATE, COUNT(*) AS NUM_REG, SUM(IF(TRIM(CAST(X.EPC_LBL AS STRING))='' OR TRIM(CAST(X.EPC_LBL AS STRING)) IS NULL OR CAST(X.EPC_LBL AS STRING) NOT IN ('EPCL1','EPCL2','EPCL3','EPCL4','EPCL5','EPCL6','EPCL7','EPCL8','MISS','N/A'),1,0)) AS NUM_REG_DIF,'10' AS ID_EXEC, CURRENT_TIMESTAMP() AS TIME_EXEC FROM (SELECT prtctn_id, EPC_LBL FROM BU_LOANTAPE_WORK.LT004_PROTECTION WHERE ref_date='${ref_date}' AND nome_perimetro='Individual Corporativo' AND segmento='ESTR' AND ambito='PILAR3')X</v>
      </c>
      <c r="M172" s="43" t="str">
        <f t="shared" si="2"/>
        <v>UNION ALL SELECT 'PROTECTION' AS TABELA, 'VALIDADE' AS TIPOLOGIA_TESTE,'BU_LOANTAPE_WORK.LT004_PROTECTION' AS TABELA_LT,'N/A' AS TABELA_SIMUL,'EPC_LBL' AS CAMPO, '${ref_date}' AS REF_DATE, COUNT(*) AS NUM_REG, SUM(IF(TRIM(CAST(X.EPC_LBL AS STRING))='' OR TRIM(CAST(X.EPC_LBL AS STRING)) IS NULL OR CAST(X.EPC_LBL AS STRING) NOT IN ('EPCL1','EPCL2','EPCL3','EPCL4','EPCL5','EPCL6','EPCL7','EPCL8','MISS','N/A'),1,0)) AS NUM_REG_DIF,'10' AS ID_EXEC, CURRENT_TIMESTAMP() AS TIME_EXEC FROM (SELECT prtctn_id, EPC_LBL FROM BU_LOANTAPE_WORK.LT004_PROTECTION WHERE ref_date='${ref_date}' AND nome_perimetro='Individual Corporativo' AND segmento='ESTR' AND ambito='PILAR3')X</v>
      </c>
      <c r="N172" s="45" t="s">
        <v>13</v>
      </c>
    </row>
    <row r="173" spans="2:14">
      <c r="B173" s="41" t="s">
        <v>31</v>
      </c>
      <c r="C173" s="41" t="s">
        <v>75</v>
      </c>
      <c r="D173" s="41" t="str">
        <f>+UPPER('0. Instruções'!$D$33&amp;"."&amp;VLOOKUP(B173,'0. Instruções'!$C$27:$D$31,2,FALSE))</f>
        <v>BU_LOANTAPE_WORK.LT004_PROTECTION</v>
      </c>
      <c r="E173" s="41" t="str">
        <f>+UPPER('0. Instruções'!$D$34&amp;"."&amp;VLOOKUP(B173,'0. Instruções'!$C$27:$E$31,3,FALSE))</f>
        <v>BU_LOANTAPE_WORK.LT004_PROTECTION_P3_NOV24</v>
      </c>
      <c r="F173" s="41" t="s">
        <v>139</v>
      </c>
      <c r="G173" s="41" t="s">
        <v>210</v>
      </c>
      <c r="H173" s="41"/>
      <c r="I173" s="41" t="str">
        <f>"(SELECT "&amp;VLOOKUP(B173,'0. Instruções'!$C$27:$G$31,4,FALSE)&amp;", "&amp;F173&amp;" FROM "&amp;D173&amp;" WHERE "&amp;'0. Instruções'!$D$40&amp;")X"</f>
        <v>(SELECT prtctn_id, EMSSNS_SCP1_PRTCTN FROM BU_LOANTAPE_WORK.LT004_PROTECTION WHERE ref_date='${ref_date}' AND nome_perimetro='Individual Corporativo' AND segmento='ESTR' AND ambito='PILAR3')X</v>
      </c>
      <c r="J173" s="41" t="str">
        <f>"(SELECT "&amp;VLOOKUP(B173,'0. Instruções'!$C$27:$G$31,4,FALSE)&amp;" AS "&amp;VLOOKUP(B173,'0. Instruções'!$C$27:$G$31,4,FALSE)&amp;"_SIMUL, "&amp;F173&amp;" AS "&amp;F173&amp;"_SIMUL FROM "&amp;E173&amp;")Y"</f>
        <v>(SELECT prtctn_id AS prtctn_id_SIMUL, EMSSNS_SCP1_PRTCTN AS EMSSNS_SCP1_PRTCTN_SIMUL FROM BU_LOANTAPE_WORK.LT004_PROTECTION_P3_NOV24)Y</v>
      </c>
      <c r="K173" s="42" t="str">
        <f>+UPPER("ON X."&amp;VLOOKUP(B173,'0. Instruções'!$C$27:$G$31,4,FALSE)&amp;"=Y."&amp;VLOOKUP(B173,'0. Instruções'!$C$27:$G$31,4,FALSE)&amp;"_SIMUL")</f>
        <v>ON X.PRTCTN_ID=Y.PRTCTN_ID_SIMUL</v>
      </c>
      <c r="L173" s="42" t="str">
        <f>+IF(C173="Coerência", +IF(LEFT(G173,5)="FLOAT","SELECT '"&amp;UPPER(B173)&amp;"' AS TABELA, '"&amp;UPPER(C173)&amp;"' AS TIPOLOGIA_TESTE,'"&amp;D173&amp;"' AS TABELA_LT,'"&amp;E173&amp;"' AS TABELA_SIMUL,'"&amp;F173&amp;"' AS CAMPO, "&amp;"'${ref_date}' AS REF_DATE, COUNT(*) AS NUM_REG, SUM(IF((ABS(COALESCE(X."&amp;F173&amp;",0)-COALESCE(Y."&amp;F173&amp;"_SIMUL,0))&gt;0.0000000001) OR (X."&amp;F173&amp;" IS NULL AND Y."&amp;F173&amp;"_SIMUL IS NOT NULL ) OR (X."&amp;F173&amp;" IS NOT NULL AND Y."&amp;F173&amp;"_SIMUL IS NULL),1,0)) AS NUM_REG_DIF,'"&amp;MAX('ID1&amp;5'!K:K)+1&amp;"' AS ID_EXEC, CURRENT_TIMESTAMP() AS TIME_EXEC FROM "&amp;I173&amp;" INNER JOIN "&amp;J173&amp;" "&amp;K173,"SELECT '"&amp;UPPER(B173)&amp;"' AS TABELA, '"&amp;UPPER(C173)&amp;"' AS TIPOLOGIA_TESTE,'"&amp;D173&amp;"' AS TABELA_LT,'"&amp;E173&amp;"' AS TABELA_SIMUL,'"&amp;F173&amp;"' AS CAMPO, "&amp;"'${ref_date}' AS REF_DATE, COUNT(*) AS NUM_REG, SUM(IF(COALESCE(CAST(X."&amp;F173&amp;" AS STRING),'')&lt;&gt;COALESCE(CAST(Y."&amp;F173&amp;"_SIMUL AS STRING),''),1,0)) AS NUM_REG_DIF,'"&amp;MAX('ID1&amp;5'!L:L)+1&amp;"' AS ID_EXEC, CURRENT_TIMESTAMP() AS TIME_EXEC FROM "&amp;I173&amp;" INNER JOIN "&amp;J173&amp;" "&amp;K173),
IF(C173="Validade",+IF(G173="Code List","SELECT '"&amp;UPPER(B173)&amp;"' AS TABELA, '"&amp;UPPER(C173)&amp;"' AS TIPOLOGIA_TESTE,'"&amp;D173&amp;"' AS TABELA_LT,'N/A' AS TABELA_SIMUL,'"&amp;F173&amp;"' AS CAMPO, "&amp;"'${ref_date}' AS REF_DATE, COUNT(*) AS NUM_REG, SUM(IF(TRIM(CAST(X."&amp;F173&amp;" AS STRING))='' OR TRIM(CAST(X."&amp;F173&amp;" AS STRING)) IS NULL OR CAST(X."&amp;F173&amp;" AS STRING) NOT "&amp;H173&amp;",1,0)) AS NUM_REG_DIF,'"&amp;MAX('ID1&amp;5'!K:K)+1&amp;"' AS ID_EXEC, CURRENT_TIMESTAMP() AS TIME_EXEC FROM "&amp;I173,"SELECT '"&amp;UPPER(B173)&amp;"' AS TABELA, '"&amp;UPPER(C173)&amp;"' AS TIPOLOGIA_TESTE,'"&amp;D173&amp;"' AS TABELA_LT,'N/A' AS TABELA_SIMUL,'"&amp;F173&amp;"' AS CAMPO, "&amp;"'${ref_date}' AS REF_DATE, COUNT(*) AS NUM_REG, SUM(IF(TRIM(CAST(X."&amp;F173&amp;" AS STRING))='' OR TRIM(CAST(X."&amp;F173&amp;" AS STRING)) IS NULL,1,0)) AS NUM_REG_DIF,'"&amp;MAX('ID1&amp;5'!K:K)+1&amp;"' AS ID_EXEC, CURRENT_TIMESTAMP() AS TIME_EXEC FROM "&amp;I173),
IF(C173="Caracteres Especiais",+"SELECT '"&amp;UPPER(B173)&amp;"' AS TABELA, '"&amp;UPPER(C173)&amp;"' AS TIPOLOGIA_TESTE,'"&amp;D173&amp;"' AS TABELA_LT,'N/A' AS TABELA_SIMUL,'"&amp;F173&amp;"' AS CAMPO, "&amp;"'${ref_date}' AS REF_DATE, COUNT(*) AS NUM_REG, SUM(IF(INSTR(CAST(X."&amp;F173&amp;" AS STRING),'#')&gt;0 OR INSTR(CAST(X."&amp;F173&amp;" AS STRING),'*')&gt;0 OR INSTR(CAST(X."&amp;F173&amp;" AS STRING),'`')&gt;0 OR INSTR(CAST(X."&amp;F173&amp;" AS STRING),'´')&gt;0 OR INSTR(CAST(X."&amp;F173&amp;" AS STRING),'{')&gt;0 OR INSTR(CAST(X."&amp;F173&amp;" AS STRING),'}')&gt;0 OR INSTR(CAST(X."&amp;F173&amp;" AS STRING),'[')&gt;0 OR INSTR(CAST(X."&amp;F173&amp;" AS STRING),'')&gt;0 OR INSTR(CAST(X."&amp;F173&amp;" AS STRING),']')&gt;0 OR INSTR(CAST(X."&amp;F173&amp;" AS STRING),'?')&gt;0 OR INSTR(CAST(X."&amp;F173&amp;" AS STRING),'!')&gt;0 OR INSTR(CAST(X."&amp;F173&amp;" AS STRING),'$')&gt;0 OR INSTR(CAST(X."&amp;F173&amp;" AS STRING),'%')&gt;0 OR INSTR(CAST(X."&amp;F173&amp;" AS STRING),'&amp;')&gt;0 OR INSTR(CAST(X."&amp;F173&amp;" AS STRING),'+')&gt;0,1,0)) AS NUM_REG_DIF,'"&amp;MAX('ID1&amp;5'!K:K)+1&amp;"' AS ID_EXEC, CURRENT_TIMESTAMP() AS TIME_EXEC FROM "&amp;I173,
IF(C173="Missings",+"SELECT '"&amp;UPPER(B173)&amp;"' AS TABELA, '"&amp;UPPER(C173)&amp;"' AS TIPOLOGIA_TESTE,'"&amp;D173&amp;"' AS TABELA_LT,'N/A' AS TABELA_SIMUL,'"&amp;F173&amp;"' AS CAMPO, "&amp;"'${ref_date}' AS REF_DATE, COUNT(*) AS NUM_REG, SUM(IF(TRIM(CAST(X."&amp;F173&amp;" AS STRING)) IN ('0000-00-00','0001-01-01','9999-12-31','MISS','00000','99999999999','99999999999.00','99999999999.000000'),1,0)) AS NUM_REG_DIF,'"&amp;MAX('ID1&amp;5'!K:K)+1&amp;"' AS ID_EXEC, CURRENT_TIMESTAMP() AS TIME_EXEC FROM "&amp;I173,
IF(C173="Not applicable",+"SELECT '"&amp;UPPER(B173)&amp;"' AS TABELA, '"&amp;UPPER(C173)&amp;"' AS TIPOLOGIA_TESTE,'"&amp;D173&amp;"' AS TABELA_LT,'N/A' AS TABELA_SIMUL,'"&amp;F173&amp;"' AS CAMPO, "&amp;"'${ref_date}' AS REF_DATE, COUNT(*) AS NUM_REG, SUM(IF(TRIM(CAST(X."&amp;F173&amp;" AS STRING)) IN ('N/A','11111111111','11111111111.00','11111111111.000000','1111-11-11'),1,0)) AS NUM_REG_DIF,'"&amp;MAX('ID1&amp;5'!K:K)+1&amp;"' AS ID_EXEC, CURRENT_TIMESTAMP() AS TIME_EXEC FROM "&amp;I173,
IF(C173="Valores extremos",+"SELECT '"&amp;UPPER(B173)&amp;"' AS TABELA, '"&amp;UPPER(C173)&amp;"' AS TIPOLOGIA_TESTE,'"&amp;D173&amp;"' AS TABELA_LT,'N/A' AS TABELA_SIMUL,'"&amp;F173&amp;"' AS CAMPO, "&amp;"'${ref_date}' AS REF_DATE, CAST(MIN("&amp;F173&amp;") AS STRING) AS VALOR_MIN, CAST(MAX("&amp;F173&amp;") AS STRING) AS VALOR_MAX,'"&amp;MAX('ID1&amp;5'!K:K)+1&amp;"' AS ID_EXEC, CURRENT_TIMESTAMP() AS TIME_EXEC FROM "&amp;MID(I173,1,LEN(I173)-2)&amp;" AND CAST("&amp;F173&amp;"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TABELA_SIMUL,'EMSSNS_SCP1_PRTCTN' AS CAMPO, '${ref_date}' AS REF_DATE, COUNT(*) AS NUM_REG, SUM(IF(TRIM(CAST(X.EMSSNS_SCP1_PRTCTN AS STRING))='' OR TRIM(CAST(X.EMSSNS_SCP1_PRTCTN AS STRING)) IS NULL,1,0)) AS NUM_REG_DIF,'10' AS ID_EXEC, CURRENT_TIMESTAMP() AS TIME_EXEC FROM (SELECT prtctn_id, EMSSNS_SCP1_PRTCTN FROM BU_LOANTAPE_WORK.LT004_PROTECTION WHERE ref_date='${ref_date}' AND nome_perimetro='Individual Corporativo' AND segmento='ESTR' AND ambito='PILAR3')X</v>
      </c>
      <c r="M173" s="43" t="str">
        <f t="shared" si="2"/>
        <v>UNION ALL SELECT 'PROTECTION' AS TABELA, 'VALIDADE' AS TIPOLOGIA_TESTE,'BU_LOANTAPE_WORK.LT004_PROTECTION' AS TABELA_LT,'N/A' AS TABELA_SIMUL,'EMSSNS_SCP1_PRTCTN' AS CAMPO, '${ref_date}' AS REF_DATE, COUNT(*) AS NUM_REG, SUM(IF(TRIM(CAST(X.EMSSNS_SCP1_PRTCTN AS STRING))='' OR TRIM(CAST(X.EMSSNS_SCP1_PRTCTN AS STRING)) IS NULL,1,0)) AS NUM_REG_DIF,'10' AS ID_EXEC, CURRENT_TIMESTAMP() AS TIME_EXEC FROM (SELECT prtctn_id, EMSSNS_SCP1_PRTCTN FROM BU_LOANTAPE_WORK.LT004_PROTECTION WHERE ref_date='${ref_date}' AND nome_perimetro='Individual Corporativo' AND segmento='ESTR' AND ambito='PILAR3')X</v>
      </c>
      <c r="N173" s="45" t="s">
        <v>13</v>
      </c>
    </row>
    <row r="174" spans="2:14">
      <c r="B174" s="41" t="s">
        <v>31</v>
      </c>
      <c r="C174" s="41" t="s">
        <v>75</v>
      </c>
      <c r="D174" s="41" t="str">
        <f>+UPPER('0. Instruções'!$D$33&amp;"."&amp;VLOOKUP(B174,'0. Instruções'!$C$27:$D$31,2,FALSE))</f>
        <v>BU_LOANTAPE_WORK.LT004_PROTECTION</v>
      </c>
      <c r="E174" s="41" t="str">
        <f>+UPPER('0. Instruções'!$D$34&amp;"."&amp;VLOOKUP(B174,'0. Instruções'!$C$27:$E$31,3,FALSE))</f>
        <v>BU_LOANTAPE_WORK.LT004_PROTECTION_P3_NOV24</v>
      </c>
      <c r="F174" s="41" t="s">
        <v>140</v>
      </c>
      <c r="G174" s="41" t="s">
        <v>210</v>
      </c>
      <c r="H174" s="41"/>
      <c r="I174" s="41" t="str">
        <f>"(SELECT "&amp;VLOOKUP(B174,'0. Instruções'!$C$27:$G$31,4,FALSE)&amp;", "&amp;F174&amp;" FROM "&amp;D174&amp;" WHERE "&amp;'0. Instruções'!$D$40&amp;")X"</f>
        <v>(SELECT prtctn_id, EMSSNS_SCP2_PRTCTN FROM BU_LOANTAPE_WORK.LT004_PROTECTION WHERE ref_date='${ref_date}' AND nome_perimetro='Individual Corporativo' AND segmento='ESTR' AND ambito='PILAR3')X</v>
      </c>
      <c r="J174" s="41" t="str">
        <f>"(SELECT "&amp;VLOOKUP(B174,'0. Instruções'!$C$27:$G$31,4,FALSE)&amp;" AS "&amp;VLOOKUP(B174,'0. Instruções'!$C$27:$G$31,4,FALSE)&amp;"_SIMUL, "&amp;F174&amp;" AS "&amp;F174&amp;"_SIMUL FROM "&amp;E174&amp;")Y"</f>
        <v>(SELECT prtctn_id AS prtctn_id_SIMUL, EMSSNS_SCP2_PRTCTN AS EMSSNS_SCP2_PRTCTN_SIMUL FROM BU_LOANTAPE_WORK.LT004_PROTECTION_P3_NOV24)Y</v>
      </c>
      <c r="K174" s="42" t="str">
        <f>+UPPER("ON X."&amp;VLOOKUP(B174,'0. Instruções'!$C$27:$G$31,4,FALSE)&amp;"=Y."&amp;VLOOKUP(B174,'0. Instruções'!$C$27:$G$31,4,FALSE)&amp;"_SIMUL")</f>
        <v>ON X.PRTCTN_ID=Y.PRTCTN_ID_SIMUL</v>
      </c>
      <c r="L174" s="42" t="str">
        <f>+IF(C174="Coerência", +IF(LEFT(G174,5)="FLOAT","SELECT '"&amp;UPPER(B174)&amp;"' AS TABELA, '"&amp;UPPER(C174)&amp;"' AS TIPOLOGIA_TESTE,'"&amp;D174&amp;"' AS TABELA_LT,'"&amp;E174&amp;"' AS TABELA_SIMUL,'"&amp;F174&amp;"' AS CAMPO, "&amp;"'${ref_date}' AS REF_DATE, COUNT(*) AS NUM_REG, SUM(IF((ABS(COALESCE(X."&amp;F174&amp;",0)-COALESCE(Y."&amp;F174&amp;"_SIMUL,0))&gt;0.0000000001) OR (X."&amp;F174&amp;" IS NULL AND Y."&amp;F174&amp;"_SIMUL IS NOT NULL ) OR (X."&amp;F174&amp;" IS NOT NULL AND Y."&amp;F174&amp;"_SIMUL IS NULL),1,0)) AS NUM_REG_DIF,'"&amp;MAX('ID1&amp;5'!K:K)+1&amp;"' AS ID_EXEC, CURRENT_TIMESTAMP() AS TIME_EXEC FROM "&amp;I174&amp;" INNER JOIN "&amp;J174&amp;" "&amp;K174,"SELECT '"&amp;UPPER(B174)&amp;"' AS TABELA, '"&amp;UPPER(C174)&amp;"' AS TIPOLOGIA_TESTE,'"&amp;D174&amp;"' AS TABELA_LT,'"&amp;E174&amp;"' AS TABELA_SIMUL,'"&amp;F174&amp;"' AS CAMPO, "&amp;"'${ref_date}' AS REF_DATE, COUNT(*) AS NUM_REG, SUM(IF(COALESCE(CAST(X."&amp;F174&amp;" AS STRING),'')&lt;&gt;COALESCE(CAST(Y."&amp;F174&amp;"_SIMUL AS STRING),''),1,0)) AS NUM_REG_DIF,'"&amp;MAX('ID1&amp;5'!L:L)+1&amp;"' AS ID_EXEC, CURRENT_TIMESTAMP() AS TIME_EXEC FROM "&amp;I174&amp;" INNER JOIN "&amp;J174&amp;" "&amp;K174),
IF(C174="Validade",+IF(G174="Code List","SELECT '"&amp;UPPER(B174)&amp;"' AS TABELA, '"&amp;UPPER(C174)&amp;"' AS TIPOLOGIA_TESTE,'"&amp;D174&amp;"' AS TABELA_LT,'N/A' AS TABELA_SIMUL,'"&amp;F174&amp;"' AS CAMPO, "&amp;"'${ref_date}' AS REF_DATE, COUNT(*) AS NUM_REG, SUM(IF(TRIM(CAST(X."&amp;F174&amp;" AS STRING))='' OR TRIM(CAST(X."&amp;F174&amp;" AS STRING)) IS NULL OR CAST(X."&amp;F174&amp;" AS STRING) NOT "&amp;H174&amp;",1,0)) AS NUM_REG_DIF,'"&amp;MAX('ID1&amp;5'!K:K)+1&amp;"' AS ID_EXEC, CURRENT_TIMESTAMP() AS TIME_EXEC FROM "&amp;I174,"SELECT '"&amp;UPPER(B174)&amp;"' AS TABELA, '"&amp;UPPER(C174)&amp;"' AS TIPOLOGIA_TESTE,'"&amp;D174&amp;"' AS TABELA_LT,'N/A' AS TABELA_SIMUL,'"&amp;F174&amp;"' AS CAMPO, "&amp;"'${ref_date}' AS REF_DATE, COUNT(*) AS NUM_REG, SUM(IF(TRIM(CAST(X."&amp;F174&amp;" AS STRING))='' OR TRIM(CAST(X."&amp;F174&amp;" AS STRING)) IS NULL,1,0)) AS NUM_REG_DIF,'"&amp;MAX('ID1&amp;5'!K:K)+1&amp;"' AS ID_EXEC, CURRENT_TIMESTAMP() AS TIME_EXEC FROM "&amp;I174),
IF(C174="Caracteres Especiais",+"SELECT '"&amp;UPPER(B174)&amp;"' AS TABELA, '"&amp;UPPER(C174)&amp;"' AS TIPOLOGIA_TESTE,'"&amp;D174&amp;"' AS TABELA_LT,'N/A' AS TABELA_SIMUL,'"&amp;F174&amp;"' AS CAMPO, "&amp;"'${ref_date}' AS REF_DATE, COUNT(*) AS NUM_REG, SUM(IF(INSTR(CAST(X."&amp;F174&amp;" AS STRING),'#')&gt;0 OR INSTR(CAST(X."&amp;F174&amp;" AS STRING),'*')&gt;0 OR INSTR(CAST(X."&amp;F174&amp;" AS STRING),'`')&gt;0 OR INSTR(CAST(X."&amp;F174&amp;" AS STRING),'´')&gt;0 OR INSTR(CAST(X."&amp;F174&amp;" AS STRING),'{')&gt;0 OR INSTR(CAST(X."&amp;F174&amp;" AS STRING),'}')&gt;0 OR INSTR(CAST(X."&amp;F174&amp;" AS STRING),'[')&gt;0 OR INSTR(CAST(X."&amp;F174&amp;" AS STRING),'')&gt;0 OR INSTR(CAST(X."&amp;F174&amp;" AS STRING),']')&gt;0 OR INSTR(CAST(X."&amp;F174&amp;" AS STRING),'?')&gt;0 OR INSTR(CAST(X."&amp;F174&amp;" AS STRING),'!')&gt;0 OR INSTR(CAST(X."&amp;F174&amp;" AS STRING),'$')&gt;0 OR INSTR(CAST(X."&amp;F174&amp;" AS STRING),'%')&gt;0 OR INSTR(CAST(X."&amp;F174&amp;" AS STRING),'&amp;')&gt;0 OR INSTR(CAST(X."&amp;F174&amp;" AS STRING),'+')&gt;0,1,0)) AS NUM_REG_DIF,'"&amp;MAX('ID1&amp;5'!K:K)+1&amp;"' AS ID_EXEC, CURRENT_TIMESTAMP() AS TIME_EXEC FROM "&amp;I174,
IF(C174="Missings",+"SELECT '"&amp;UPPER(B174)&amp;"' AS TABELA, '"&amp;UPPER(C174)&amp;"' AS TIPOLOGIA_TESTE,'"&amp;D174&amp;"' AS TABELA_LT,'N/A' AS TABELA_SIMUL,'"&amp;F174&amp;"' AS CAMPO, "&amp;"'${ref_date}' AS REF_DATE, COUNT(*) AS NUM_REG, SUM(IF(TRIM(CAST(X."&amp;F174&amp;" AS STRING)) IN ('0000-00-00','0001-01-01','9999-12-31','MISS','00000','99999999999','99999999999.00','99999999999.000000'),1,0)) AS NUM_REG_DIF,'"&amp;MAX('ID1&amp;5'!K:K)+1&amp;"' AS ID_EXEC, CURRENT_TIMESTAMP() AS TIME_EXEC FROM "&amp;I174,
IF(C174="Not applicable",+"SELECT '"&amp;UPPER(B174)&amp;"' AS TABELA, '"&amp;UPPER(C174)&amp;"' AS TIPOLOGIA_TESTE,'"&amp;D174&amp;"' AS TABELA_LT,'N/A' AS TABELA_SIMUL,'"&amp;F174&amp;"' AS CAMPO, "&amp;"'${ref_date}' AS REF_DATE, COUNT(*) AS NUM_REG, SUM(IF(TRIM(CAST(X."&amp;F174&amp;" AS STRING)) IN ('N/A','11111111111','11111111111.00','11111111111.000000','1111-11-11'),1,0)) AS NUM_REG_DIF,'"&amp;MAX('ID1&amp;5'!K:K)+1&amp;"' AS ID_EXEC, CURRENT_TIMESTAMP() AS TIME_EXEC FROM "&amp;I174,
IF(C174="Valores extremos",+"SELECT '"&amp;UPPER(B174)&amp;"' AS TABELA, '"&amp;UPPER(C174)&amp;"' AS TIPOLOGIA_TESTE,'"&amp;D174&amp;"' AS TABELA_LT,'N/A' AS TABELA_SIMUL,'"&amp;F174&amp;"' AS CAMPO, "&amp;"'${ref_date}' AS REF_DATE, CAST(MIN("&amp;F174&amp;") AS STRING) AS VALOR_MIN, CAST(MAX("&amp;F174&amp;") AS STRING) AS VALOR_MAX,'"&amp;MAX('ID1&amp;5'!K:K)+1&amp;"' AS ID_EXEC, CURRENT_TIMESTAMP() AS TIME_EXEC FROM "&amp;MID(I174,1,LEN(I174)-2)&amp;" AND CAST("&amp;F174&amp;"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TABELA_SIMUL,'EMSSNS_SCP2_PRTCTN' AS CAMPO, '${ref_date}' AS REF_DATE, COUNT(*) AS NUM_REG, SUM(IF(TRIM(CAST(X.EMSSNS_SCP2_PRTCTN AS STRING))='' OR TRIM(CAST(X.EMSSNS_SCP2_PRTCTN AS STRING)) IS NULL,1,0)) AS NUM_REG_DIF,'10' AS ID_EXEC, CURRENT_TIMESTAMP() AS TIME_EXEC FROM (SELECT prtctn_id, EMSSNS_SCP2_PRTCTN FROM BU_LOANTAPE_WORK.LT004_PROTECTION WHERE ref_date='${ref_date}' AND nome_perimetro='Individual Corporativo' AND segmento='ESTR' AND ambito='PILAR3')X</v>
      </c>
      <c r="M174" s="43" t="str">
        <f t="shared" si="2"/>
        <v>UNION ALL SELECT 'PROTECTION' AS TABELA, 'VALIDADE' AS TIPOLOGIA_TESTE,'BU_LOANTAPE_WORK.LT004_PROTECTION' AS TABELA_LT,'N/A' AS TABELA_SIMUL,'EMSSNS_SCP2_PRTCTN' AS CAMPO, '${ref_date}' AS REF_DATE, COUNT(*) AS NUM_REG, SUM(IF(TRIM(CAST(X.EMSSNS_SCP2_PRTCTN AS STRING))='' OR TRIM(CAST(X.EMSSNS_SCP2_PRTCTN AS STRING)) IS NULL,1,0)) AS NUM_REG_DIF,'10' AS ID_EXEC, CURRENT_TIMESTAMP() AS TIME_EXEC FROM (SELECT prtctn_id, EMSSNS_SCP2_PRTCTN FROM BU_LOANTAPE_WORK.LT004_PROTECTION WHERE ref_date='${ref_date}' AND nome_perimetro='Individual Corporativo' AND segmento='ESTR' AND ambito='PILAR3')X</v>
      </c>
      <c r="N174" s="45" t="s">
        <v>13</v>
      </c>
    </row>
    <row r="175" spans="2:14">
      <c r="B175" s="41" t="s">
        <v>31</v>
      </c>
      <c r="C175" s="41" t="s">
        <v>75</v>
      </c>
      <c r="D175" s="41" t="str">
        <f>+UPPER('0. Instruções'!$D$33&amp;"."&amp;VLOOKUP(B175,'0. Instruções'!$C$27:$D$31,2,FALSE))</f>
        <v>BU_LOANTAPE_WORK.LT004_PROTECTION</v>
      </c>
      <c r="E175" s="41" t="str">
        <f>+UPPER('0. Instruções'!$D$34&amp;"."&amp;VLOOKUP(B175,'0. Instruções'!$C$27:$E$31,3,FALSE))</f>
        <v>BU_LOANTAPE_WORK.LT004_PROTECTION_P3_NOV24</v>
      </c>
      <c r="F175" s="41" t="s">
        <v>141</v>
      </c>
      <c r="G175" s="41" t="s">
        <v>210</v>
      </c>
      <c r="H175" s="41"/>
      <c r="I175" s="41" t="str">
        <f>"(SELECT "&amp;VLOOKUP(B175,'0. Instruções'!$C$27:$G$31,4,FALSE)&amp;", "&amp;F175&amp;" FROM "&amp;D175&amp;" WHERE "&amp;'0. Instruções'!$D$40&amp;")X"</f>
        <v>(SELECT prtctn_id, EMSSNS_SCP3_PRTCTN FROM BU_LOANTAPE_WORK.LT004_PROTECTION WHERE ref_date='${ref_date}' AND nome_perimetro='Individual Corporativo' AND segmento='ESTR' AND ambito='PILAR3')X</v>
      </c>
      <c r="J175" s="41" t="str">
        <f>"(SELECT "&amp;VLOOKUP(B175,'0. Instruções'!$C$27:$G$31,4,FALSE)&amp;" AS "&amp;VLOOKUP(B175,'0. Instruções'!$C$27:$G$31,4,FALSE)&amp;"_SIMUL, "&amp;F175&amp;" AS "&amp;F175&amp;"_SIMUL FROM "&amp;E175&amp;")Y"</f>
        <v>(SELECT prtctn_id AS prtctn_id_SIMUL, EMSSNS_SCP3_PRTCTN AS EMSSNS_SCP3_PRTCTN_SIMUL FROM BU_LOANTAPE_WORK.LT004_PROTECTION_P3_NOV24)Y</v>
      </c>
      <c r="K175" s="42" t="str">
        <f>+UPPER("ON X."&amp;VLOOKUP(B175,'0. Instruções'!$C$27:$G$31,4,FALSE)&amp;"=Y."&amp;VLOOKUP(B175,'0. Instruções'!$C$27:$G$31,4,FALSE)&amp;"_SIMUL")</f>
        <v>ON X.PRTCTN_ID=Y.PRTCTN_ID_SIMUL</v>
      </c>
      <c r="L175" s="42" t="str">
        <f>+IF(C175="Coerência", +IF(LEFT(G175,5)="FLOAT","SELECT '"&amp;UPPER(B175)&amp;"' AS TABELA, '"&amp;UPPER(C175)&amp;"' AS TIPOLOGIA_TESTE,'"&amp;D175&amp;"' AS TABELA_LT,'"&amp;E175&amp;"' AS TABELA_SIMUL,'"&amp;F175&amp;"' AS CAMPO, "&amp;"'${ref_date}' AS REF_DATE, COUNT(*) AS NUM_REG, SUM(IF((ABS(COALESCE(X."&amp;F175&amp;",0)-COALESCE(Y."&amp;F175&amp;"_SIMUL,0))&gt;0.0000000001) OR (X."&amp;F175&amp;" IS NULL AND Y."&amp;F175&amp;"_SIMUL IS NOT NULL ) OR (X."&amp;F175&amp;" IS NOT NULL AND Y."&amp;F175&amp;"_SIMUL IS NULL),1,0)) AS NUM_REG_DIF,'"&amp;MAX('ID1&amp;5'!K:K)+1&amp;"' AS ID_EXEC, CURRENT_TIMESTAMP() AS TIME_EXEC FROM "&amp;I175&amp;" INNER JOIN "&amp;J175&amp;" "&amp;K175,"SELECT '"&amp;UPPER(B175)&amp;"' AS TABELA, '"&amp;UPPER(C175)&amp;"' AS TIPOLOGIA_TESTE,'"&amp;D175&amp;"' AS TABELA_LT,'"&amp;E175&amp;"' AS TABELA_SIMUL,'"&amp;F175&amp;"' AS CAMPO, "&amp;"'${ref_date}' AS REF_DATE, COUNT(*) AS NUM_REG, SUM(IF(COALESCE(CAST(X."&amp;F175&amp;" AS STRING),'')&lt;&gt;COALESCE(CAST(Y."&amp;F175&amp;"_SIMUL AS STRING),''),1,0)) AS NUM_REG_DIF,'"&amp;MAX('ID1&amp;5'!L:L)+1&amp;"' AS ID_EXEC, CURRENT_TIMESTAMP() AS TIME_EXEC FROM "&amp;I175&amp;" INNER JOIN "&amp;J175&amp;" "&amp;K175),
IF(C175="Validade",+IF(G175="Code List","SELECT '"&amp;UPPER(B175)&amp;"' AS TABELA, '"&amp;UPPER(C175)&amp;"' AS TIPOLOGIA_TESTE,'"&amp;D175&amp;"' AS TABELA_LT,'N/A' AS TABELA_SIMUL,'"&amp;F175&amp;"' AS CAMPO, "&amp;"'${ref_date}' AS REF_DATE, COUNT(*) AS NUM_REG, SUM(IF(TRIM(CAST(X."&amp;F175&amp;" AS STRING))='' OR TRIM(CAST(X."&amp;F175&amp;" AS STRING)) IS NULL OR CAST(X."&amp;F175&amp;" AS STRING) NOT "&amp;H175&amp;",1,0)) AS NUM_REG_DIF,'"&amp;MAX('ID1&amp;5'!K:K)+1&amp;"' AS ID_EXEC, CURRENT_TIMESTAMP() AS TIME_EXEC FROM "&amp;I175,"SELECT '"&amp;UPPER(B175)&amp;"' AS TABELA, '"&amp;UPPER(C175)&amp;"' AS TIPOLOGIA_TESTE,'"&amp;D175&amp;"' AS TABELA_LT,'N/A' AS TABELA_SIMUL,'"&amp;F175&amp;"' AS CAMPO, "&amp;"'${ref_date}' AS REF_DATE, COUNT(*) AS NUM_REG, SUM(IF(TRIM(CAST(X."&amp;F175&amp;" AS STRING))='' OR TRIM(CAST(X."&amp;F175&amp;" AS STRING)) IS NULL,1,0)) AS NUM_REG_DIF,'"&amp;MAX('ID1&amp;5'!K:K)+1&amp;"' AS ID_EXEC, CURRENT_TIMESTAMP() AS TIME_EXEC FROM "&amp;I175),
IF(C175="Caracteres Especiais",+"SELECT '"&amp;UPPER(B175)&amp;"' AS TABELA, '"&amp;UPPER(C175)&amp;"' AS TIPOLOGIA_TESTE,'"&amp;D175&amp;"' AS TABELA_LT,'N/A' AS TABELA_SIMUL,'"&amp;F175&amp;"' AS CAMPO, "&amp;"'${ref_date}' AS REF_DATE, COUNT(*) AS NUM_REG, SUM(IF(INSTR(CAST(X."&amp;F175&amp;" AS STRING),'#')&gt;0 OR INSTR(CAST(X."&amp;F175&amp;" AS STRING),'*')&gt;0 OR INSTR(CAST(X."&amp;F175&amp;" AS STRING),'`')&gt;0 OR INSTR(CAST(X."&amp;F175&amp;" AS STRING),'´')&gt;0 OR INSTR(CAST(X."&amp;F175&amp;" AS STRING),'{')&gt;0 OR INSTR(CAST(X."&amp;F175&amp;" AS STRING),'}')&gt;0 OR INSTR(CAST(X."&amp;F175&amp;" AS STRING),'[')&gt;0 OR INSTR(CAST(X."&amp;F175&amp;" AS STRING),'')&gt;0 OR INSTR(CAST(X."&amp;F175&amp;" AS STRING),']')&gt;0 OR INSTR(CAST(X."&amp;F175&amp;" AS STRING),'?')&gt;0 OR INSTR(CAST(X."&amp;F175&amp;" AS STRING),'!')&gt;0 OR INSTR(CAST(X."&amp;F175&amp;" AS STRING),'$')&gt;0 OR INSTR(CAST(X."&amp;F175&amp;" AS STRING),'%')&gt;0 OR INSTR(CAST(X."&amp;F175&amp;" AS STRING),'&amp;')&gt;0 OR INSTR(CAST(X."&amp;F175&amp;" AS STRING),'+')&gt;0,1,0)) AS NUM_REG_DIF,'"&amp;MAX('ID1&amp;5'!K:K)+1&amp;"' AS ID_EXEC, CURRENT_TIMESTAMP() AS TIME_EXEC FROM "&amp;I175,
IF(C175="Missings",+"SELECT '"&amp;UPPER(B175)&amp;"' AS TABELA, '"&amp;UPPER(C175)&amp;"' AS TIPOLOGIA_TESTE,'"&amp;D175&amp;"' AS TABELA_LT,'N/A' AS TABELA_SIMUL,'"&amp;F175&amp;"' AS CAMPO, "&amp;"'${ref_date}' AS REF_DATE, COUNT(*) AS NUM_REG, SUM(IF(TRIM(CAST(X."&amp;F175&amp;" AS STRING)) IN ('0000-00-00','0001-01-01','9999-12-31','MISS','00000','99999999999','99999999999.00','99999999999.000000'),1,0)) AS NUM_REG_DIF,'"&amp;MAX('ID1&amp;5'!K:K)+1&amp;"' AS ID_EXEC, CURRENT_TIMESTAMP() AS TIME_EXEC FROM "&amp;I175,
IF(C175="Not applicable",+"SELECT '"&amp;UPPER(B175)&amp;"' AS TABELA, '"&amp;UPPER(C175)&amp;"' AS TIPOLOGIA_TESTE,'"&amp;D175&amp;"' AS TABELA_LT,'N/A' AS TABELA_SIMUL,'"&amp;F175&amp;"' AS CAMPO, "&amp;"'${ref_date}' AS REF_DATE, COUNT(*) AS NUM_REG, SUM(IF(TRIM(CAST(X."&amp;F175&amp;" AS STRING)) IN ('N/A','11111111111','11111111111.00','11111111111.000000','1111-11-11'),1,0)) AS NUM_REG_DIF,'"&amp;MAX('ID1&amp;5'!K:K)+1&amp;"' AS ID_EXEC, CURRENT_TIMESTAMP() AS TIME_EXEC FROM "&amp;I175,
IF(C175="Valores extremos",+"SELECT '"&amp;UPPER(B175)&amp;"' AS TABELA, '"&amp;UPPER(C175)&amp;"' AS TIPOLOGIA_TESTE,'"&amp;D175&amp;"' AS TABELA_LT,'N/A' AS TABELA_SIMUL,'"&amp;F175&amp;"' AS CAMPO, "&amp;"'${ref_date}' AS REF_DATE, CAST(MIN("&amp;F175&amp;") AS STRING) AS VALOR_MIN, CAST(MAX("&amp;F175&amp;") AS STRING) AS VALOR_MAX,'"&amp;MAX('ID1&amp;5'!K:K)+1&amp;"' AS ID_EXEC, CURRENT_TIMESTAMP() AS TIME_EXEC FROM "&amp;MID(I175,1,LEN(I175)-2)&amp;" AND CAST("&amp;F175&amp;"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TABELA_SIMUL,'EMSSNS_SCP3_PRTCTN' AS CAMPO, '${ref_date}' AS REF_DATE, COUNT(*) AS NUM_REG, SUM(IF(TRIM(CAST(X.EMSSNS_SCP3_PRTCTN AS STRING))='' OR TRIM(CAST(X.EMSSNS_SCP3_PRTCTN AS STRING)) IS NULL,1,0)) AS NUM_REG_DIF,'10' AS ID_EXEC, CURRENT_TIMESTAMP() AS TIME_EXEC FROM (SELECT prtctn_id, EMSSNS_SCP3_PRTCTN FROM BU_LOANTAPE_WORK.LT004_PROTECTION WHERE ref_date='${ref_date}' AND nome_perimetro='Individual Corporativo' AND segmento='ESTR' AND ambito='PILAR3')X</v>
      </c>
      <c r="M175" s="43" t="str">
        <f t="shared" si="2"/>
        <v>UNION ALL SELECT 'PROTECTION' AS TABELA, 'VALIDADE' AS TIPOLOGIA_TESTE,'BU_LOANTAPE_WORK.LT004_PROTECTION' AS TABELA_LT,'N/A' AS TABELA_SIMUL,'EMSSNS_SCP3_PRTCTN' AS CAMPO, '${ref_date}' AS REF_DATE, COUNT(*) AS NUM_REG, SUM(IF(TRIM(CAST(X.EMSSNS_SCP3_PRTCTN AS STRING))='' OR TRIM(CAST(X.EMSSNS_SCP3_PRTCTN AS STRING)) IS NULL,1,0)) AS NUM_REG_DIF,'10' AS ID_EXEC, CURRENT_TIMESTAMP() AS TIME_EXEC FROM (SELECT prtctn_id, EMSSNS_SCP3_PRTCTN FROM BU_LOANTAPE_WORK.LT004_PROTECTION WHERE ref_date='${ref_date}' AND nome_perimetro='Individual Corporativo' AND segmento='ESTR' AND ambito='PILAR3')X</v>
      </c>
      <c r="N175" s="45" t="s">
        <v>13</v>
      </c>
    </row>
    <row r="176" spans="2:14">
      <c r="B176" s="41" t="s">
        <v>31</v>
      </c>
      <c r="C176" s="41" t="s">
        <v>75</v>
      </c>
      <c r="D176" s="41" t="str">
        <f>+UPPER('0. Instruções'!$D$33&amp;"."&amp;VLOOKUP(B176,'0. Instruções'!$C$27:$D$31,2,FALSE))</f>
        <v>BU_LOANTAPE_WORK.LT004_PROTECTION</v>
      </c>
      <c r="E176" s="41" t="str">
        <f>+UPPER('0. Instruções'!$D$34&amp;"."&amp;VLOOKUP(B176,'0. Instruções'!$C$27:$E$31,3,FALSE))</f>
        <v>BU_LOANTAPE_WORK.LT004_PROTECTION_P3_NOV24</v>
      </c>
      <c r="F176" s="41" t="s">
        <v>142</v>
      </c>
      <c r="G176" s="41" t="s">
        <v>209</v>
      </c>
      <c r="H176" s="42" t="s">
        <v>225</v>
      </c>
      <c r="I176" s="41" t="str">
        <f>"(SELECT "&amp;VLOOKUP(B176,'0. Instruções'!$C$27:$G$31,4,FALSE)&amp;", "&amp;F176&amp;" FROM "&amp;D176&amp;" WHERE "&amp;'0. Instruções'!$D$40&amp;")X"</f>
        <v>(SELECT prtctn_id, MTHD_USD_PRTCTN_SCP_1 FROM BU_LOANTAPE_WORK.LT004_PROTECTION WHERE ref_date='${ref_date}' AND nome_perimetro='Individual Corporativo' AND segmento='ESTR' AND ambito='PILAR3')X</v>
      </c>
      <c r="J176" s="41" t="str">
        <f>"(SELECT "&amp;VLOOKUP(B176,'0. Instruções'!$C$27:$G$31,4,FALSE)&amp;" AS "&amp;VLOOKUP(B176,'0. Instruções'!$C$27:$G$31,4,FALSE)&amp;"_SIMUL, "&amp;F176&amp;" AS "&amp;F176&amp;"_SIMUL FROM "&amp;E176&amp;")Y"</f>
        <v>(SELECT prtctn_id AS prtctn_id_SIMUL, MTHD_USD_PRTCTN_SCP_1 AS MTHD_USD_PRTCTN_SCP_1_SIMUL FROM BU_LOANTAPE_WORK.LT004_PROTECTION_P3_NOV24)Y</v>
      </c>
      <c r="K176" s="42" t="str">
        <f>+UPPER("ON X."&amp;VLOOKUP(B176,'0. Instruções'!$C$27:$G$31,4,FALSE)&amp;"=Y."&amp;VLOOKUP(B176,'0. Instruções'!$C$27:$G$31,4,FALSE)&amp;"_SIMUL")</f>
        <v>ON X.PRTCTN_ID=Y.PRTCTN_ID_SIMUL</v>
      </c>
      <c r="L176" s="42" t="str">
        <f>+IF(C176="Coerência", +IF(LEFT(G176,5)="FLOAT","SELECT '"&amp;UPPER(B176)&amp;"' AS TABELA, '"&amp;UPPER(C176)&amp;"' AS TIPOLOGIA_TESTE,'"&amp;D176&amp;"' AS TABELA_LT,'"&amp;E176&amp;"' AS TABELA_SIMUL,'"&amp;F176&amp;"' AS CAMPO, "&amp;"'${ref_date}' AS REF_DATE, COUNT(*) AS NUM_REG, SUM(IF((ABS(COALESCE(X."&amp;F176&amp;",0)-COALESCE(Y."&amp;F176&amp;"_SIMUL,0))&gt;0.0000000001) OR (X."&amp;F176&amp;" IS NULL AND Y."&amp;F176&amp;"_SIMUL IS NOT NULL ) OR (X."&amp;F176&amp;" IS NOT NULL AND Y."&amp;F176&amp;"_SIMUL IS NULL),1,0)) AS NUM_REG_DIF,'"&amp;MAX('ID1&amp;5'!K:K)+1&amp;"' AS ID_EXEC, CURRENT_TIMESTAMP() AS TIME_EXEC FROM "&amp;I176&amp;" INNER JOIN "&amp;J176&amp;" "&amp;K176,"SELECT '"&amp;UPPER(B176)&amp;"' AS TABELA, '"&amp;UPPER(C176)&amp;"' AS TIPOLOGIA_TESTE,'"&amp;D176&amp;"' AS TABELA_LT,'"&amp;E176&amp;"' AS TABELA_SIMUL,'"&amp;F176&amp;"' AS CAMPO, "&amp;"'${ref_date}' AS REF_DATE, COUNT(*) AS NUM_REG, SUM(IF(COALESCE(CAST(X."&amp;F176&amp;" AS STRING),'')&lt;&gt;COALESCE(CAST(Y."&amp;F176&amp;"_SIMUL AS STRING),''),1,0)) AS NUM_REG_DIF,'"&amp;MAX('ID1&amp;5'!L:L)+1&amp;"' AS ID_EXEC, CURRENT_TIMESTAMP() AS TIME_EXEC FROM "&amp;I176&amp;" INNER JOIN "&amp;J176&amp;" "&amp;K176),
IF(C176="Validade",+IF(G176="Code List","SELECT '"&amp;UPPER(B176)&amp;"' AS TABELA, '"&amp;UPPER(C176)&amp;"' AS TIPOLOGIA_TESTE,'"&amp;D176&amp;"' AS TABELA_LT,'N/A' AS TABELA_SIMUL,'"&amp;F176&amp;"' AS CAMPO, "&amp;"'${ref_date}' AS REF_DATE, COUNT(*) AS NUM_REG, SUM(IF(TRIM(CAST(X."&amp;F176&amp;" AS STRING))='' OR TRIM(CAST(X."&amp;F176&amp;" AS STRING)) IS NULL OR CAST(X."&amp;F176&amp;" AS STRING) NOT "&amp;H176&amp;",1,0)) AS NUM_REG_DIF,'"&amp;MAX('ID1&amp;5'!K:K)+1&amp;"' AS ID_EXEC, CURRENT_TIMESTAMP() AS TIME_EXEC FROM "&amp;I176,"SELECT '"&amp;UPPER(B176)&amp;"' AS TABELA, '"&amp;UPPER(C176)&amp;"' AS TIPOLOGIA_TESTE,'"&amp;D176&amp;"' AS TABELA_LT,'N/A' AS TABELA_SIMUL,'"&amp;F176&amp;"' AS CAMPO, "&amp;"'${ref_date}' AS REF_DATE, COUNT(*) AS NUM_REG, SUM(IF(TRIM(CAST(X."&amp;F176&amp;" AS STRING))='' OR TRIM(CAST(X."&amp;F176&amp;" AS STRING)) IS NULL,1,0)) AS NUM_REG_DIF,'"&amp;MAX('ID1&amp;5'!K:K)+1&amp;"' AS ID_EXEC, CURRENT_TIMESTAMP() AS TIME_EXEC FROM "&amp;I176),
IF(C176="Caracteres Especiais",+"SELECT '"&amp;UPPER(B176)&amp;"' AS TABELA, '"&amp;UPPER(C176)&amp;"' AS TIPOLOGIA_TESTE,'"&amp;D176&amp;"' AS TABELA_LT,'N/A' AS TABELA_SIMUL,'"&amp;F176&amp;"' AS CAMPO, "&amp;"'${ref_date}' AS REF_DATE, COUNT(*) AS NUM_REG, SUM(IF(INSTR(CAST(X."&amp;F176&amp;" AS STRING),'#')&gt;0 OR INSTR(CAST(X."&amp;F176&amp;" AS STRING),'*')&gt;0 OR INSTR(CAST(X."&amp;F176&amp;" AS STRING),'`')&gt;0 OR INSTR(CAST(X."&amp;F176&amp;" AS STRING),'´')&gt;0 OR INSTR(CAST(X."&amp;F176&amp;" AS STRING),'{')&gt;0 OR INSTR(CAST(X."&amp;F176&amp;" AS STRING),'}')&gt;0 OR INSTR(CAST(X."&amp;F176&amp;" AS STRING),'[')&gt;0 OR INSTR(CAST(X."&amp;F176&amp;" AS STRING),'')&gt;0 OR INSTR(CAST(X."&amp;F176&amp;" AS STRING),']')&gt;0 OR INSTR(CAST(X."&amp;F176&amp;" AS STRING),'?')&gt;0 OR INSTR(CAST(X."&amp;F176&amp;" AS STRING),'!')&gt;0 OR INSTR(CAST(X."&amp;F176&amp;" AS STRING),'$')&gt;0 OR INSTR(CAST(X."&amp;F176&amp;" AS STRING),'%')&gt;0 OR INSTR(CAST(X."&amp;F176&amp;" AS STRING),'&amp;')&gt;0 OR INSTR(CAST(X."&amp;F176&amp;" AS STRING),'+')&gt;0,1,0)) AS NUM_REG_DIF,'"&amp;MAX('ID1&amp;5'!K:K)+1&amp;"' AS ID_EXEC, CURRENT_TIMESTAMP() AS TIME_EXEC FROM "&amp;I176,
IF(C176="Missings",+"SELECT '"&amp;UPPER(B176)&amp;"' AS TABELA, '"&amp;UPPER(C176)&amp;"' AS TIPOLOGIA_TESTE,'"&amp;D176&amp;"' AS TABELA_LT,'N/A' AS TABELA_SIMUL,'"&amp;F176&amp;"' AS CAMPO, "&amp;"'${ref_date}' AS REF_DATE, COUNT(*) AS NUM_REG, SUM(IF(TRIM(CAST(X."&amp;F176&amp;" AS STRING)) IN ('0000-00-00','0001-01-01','9999-12-31','MISS','00000','99999999999','99999999999.00','99999999999.000000'),1,0)) AS NUM_REG_DIF,'"&amp;MAX('ID1&amp;5'!K:K)+1&amp;"' AS ID_EXEC, CURRENT_TIMESTAMP() AS TIME_EXEC FROM "&amp;I176,
IF(C176="Not applicable",+"SELECT '"&amp;UPPER(B176)&amp;"' AS TABELA, '"&amp;UPPER(C176)&amp;"' AS TIPOLOGIA_TESTE,'"&amp;D176&amp;"' AS TABELA_LT,'N/A' AS TABELA_SIMUL,'"&amp;F176&amp;"' AS CAMPO, "&amp;"'${ref_date}' AS REF_DATE, COUNT(*) AS NUM_REG, SUM(IF(TRIM(CAST(X."&amp;F176&amp;" AS STRING)) IN ('N/A','11111111111','11111111111.00','11111111111.000000','1111-11-11'),1,0)) AS NUM_REG_DIF,'"&amp;MAX('ID1&amp;5'!K:K)+1&amp;"' AS ID_EXEC, CURRENT_TIMESTAMP() AS TIME_EXEC FROM "&amp;I176,
IF(C176="Valores extremos",+"SELECT '"&amp;UPPER(B176)&amp;"' AS TABELA, '"&amp;UPPER(C176)&amp;"' AS TIPOLOGIA_TESTE,'"&amp;D176&amp;"' AS TABELA_LT,'N/A' AS TABELA_SIMUL,'"&amp;F176&amp;"' AS CAMPO, "&amp;"'${ref_date}' AS REF_DATE, CAST(MIN("&amp;F176&amp;") AS STRING) AS VALOR_MIN, CAST(MAX("&amp;F176&amp;") AS STRING) AS VALOR_MAX,'"&amp;MAX('ID1&amp;5'!K:K)+1&amp;"' AS ID_EXEC, CURRENT_TIMESTAMP() AS TIME_EXEC FROM "&amp;MID(I176,1,LEN(I176)-2)&amp;" AND CAST("&amp;F176&amp;"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TABELA_SIMUL,'MTHD_USD_PRTCTN_SCP_1' AS CAMPO, '${ref_date}' AS REF_DATE, COUNT(*) AS NUM_REG, SUM(IF(TRIM(CAST(X.MTHD_USD_PRTCTN_SCP_1 AS STRING))='' OR TRIM(CAST(X.MTHD_USD_PRTCTN_SCP_1 AS STRING)) IS NULL OR CAST(X.MTHD_USD_PRTCTN_SCP_1 AS STRING) NOT IN ('PM04','PM06','PM10','MISS','N/A'),1,0)) AS NUM_REG_DIF,'10' AS ID_EXEC, CURRENT_TIMESTAMP() AS TIME_EXEC FROM (SELECT prtctn_id, MTHD_USD_PRTCTN_SCP_1 FROM BU_LOANTAPE_WORK.LT004_PROTECTION WHERE ref_date='${ref_date}' AND nome_perimetro='Individual Corporativo' AND segmento='ESTR' AND ambito='PILAR3')X</v>
      </c>
      <c r="M176" s="43" t="str">
        <f t="shared" si="2"/>
        <v>UNION ALL SELECT 'PROTECTION' AS TABELA, 'VALIDADE' AS TIPOLOGIA_TESTE,'BU_LOANTAPE_WORK.LT004_PROTECTION' AS TABELA_LT,'N/A' AS TABELA_SIMUL,'MTHD_USD_PRTCTN_SCP_1' AS CAMPO, '${ref_date}' AS REF_DATE, COUNT(*) AS NUM_REG, SUM(IF(TRIM(CAST(X.MTHD_USD_PRTCTN_SCP_1 AS STRING))='' OR TRIM(CAST(X.MTHD_USD_PRTCTN_SCP_1 AS STRING)) IS NULL OR CAST(X.MTHD_USD_PRTCTN_SCP_1 AS STRING) NOT IN ('PM04','PM06','PM10','MISS','N/A'),1,0)) AS NUM_REG_DIF,'10' AS ID_EXEC, CURRENT_TIMESTAMP() AS TIME_EXEC FROM (SELECT prtctn_id, MTHD_USD_PRTCTN_SCP_1 FROM BU_LOANTAPE_WORK.LT004_PROTECTION WHERE ref_date='${ref_date}' AND nome_perimetro='Individual Corporativo' AND segmento='ESTR' AND ambito='PILAR3')X</v>
      </c>
      <c r="N176" s="45" t="s">
        <v>13</v>
      </c>
    </row>
    <row r="177" spans="2:14">
      <c r="B177" s="41" t="s">
        <v>31</v>
      </c>
      <c r="C177" s="41" t="s">
        <v>75</v>
      </c>
      <c r="D177" s="41" t="str">
        <f>+UPPER('0. Instruções'!$D$33&amp;"."&amp;VLOOKUP(B177,'0. Instruções'!$C$27:$D$31,2,FALSE))</f>
        <v>BU_LOANTAPE_WORK.LT004_PROTECTION</v>
      </c>
      <c r="E177" s="41" t="str">
        <f>+UPPER('0. Instruções'!$D$34&amp;"."&amp;VLOOKUP(B177,'0. Instruções'!$C$27:$E$31,3,FALSE))</f>
        <v>BU_LOANTAPE_WORK.LT004_PROTECTION_P3_NOV24</v>
      </c>
      <c r="F177" s="41" t="s">
        <v>143</v>
      </c>
      <c r="G177" s="41" t="s">
        <v>209</v>
      </c>
      <c r="H177" s="42" t="s">
        <v>225</v>
      </c>
      <c r="I177" s="41" t="str">
        <f>"(SELECT "&amp;VLOOKUP(B177,'0. Instruções'!$C$27:$G$31,4,FALSE)&amp;", "&amp;F177&amp;" FROM "&amp;D177&amp;" WHERE "&amp;'0. Instruções'!$D$40&amp;")X"</f>
        <v>(SELECT prtctn_id, MTHD_USD_PRTCTN_SCP_2 FROM BU_LOANTAPE_WORK.LT004_PROTECTION WHERE ref_date='${ref_date}' AND nome_perimetro='Individual Corporativo' AND segmento='ESTR' AND ambito='PILAR3')X</v>
      </c>
      <c r="J177" s="41" t="str">
        <f>"(SELECT "&amp;VLOOKUP(B177,'0. Instruções'!$C$27:$G$31,4,FALSE)&amp;" AS "&amp;VLOOKUP(B177,'0. Instruções'!$C$27:$G$31,4,FALSE)&amp;"_SIMUL, "&amp;F177&amp;" AS "&amp;F177&amp;"_SIMUL FROM "&amp;E177&amp;")Y"</f>
        <v>(SELECT prtctn_id AS prtctn_id_SIMUL, MTHD_USD_PRTCTN_SCP_2 AS MTHD_USD_PRTCTN_SCP_2_SIMUL FROM BU_LOANTAPE_WORK.LT004_PROTECTION_P3_NOV24)Y</v>
      </c>
      <c r="K177" s="42" t="str">
        <f>+UPPER("ON X."&amp;VLOOKUP(B177,'0. Instruções'!$C$27:$G$31,4,FALSE)&amp;"=Y."&amp;VLOOKUP(B177,'0. Instruções'!$C$27:$G$31,4,FALSE)&amp;"_SIMUL")</f>
        <v>ON X.PRTCTN_ID=Y.PRTCTN_ID_SIMUL</v>
      </c>
      <c r="L177" s="42" t="str">
        <f>+IF(C177="Coerência", +IF(LEFT(G177,5)="FLOAT","SELECT '"&amp;UPPER(B177)&amp;"' AS TABELA, '"&amp;UPPER(C177)&amp;"' AS TIPOLOGIA_TESTE,'"&amp;D177&amp;"' AS TABELA_LT,'"&amp;E177&amp;"' AS TABELA_SIMUL,'"&amp;F177&amp;"' AS CAMPO, "&amp;"'${ref_date}' AS REF_DATE, COUNT(*) AS NUM_REG, SUM(IF((ABS(COALESCE(X."&amp;F177&amp;",0)-COALESCE(Y."&amp;F177&amp;"_SIMUL,0))&gt;0.0000000001) OR (X."&amp;F177&amp;" IS NULL AND Y."&amp;F177&amp;"_SIMUL IS NOT NULL ) OR (X."&amp;F177&amp;" IS NOT NULL AND Y."&amp;F177&amp;"_SIMUL IS NULL),1,0)) AS NUM_REG_DIF,'"&amp;MAX('ID1&amp;5'!K:K)+1&amp;"' AS ID_EXEC, CURRENT_TIMESTAMP() AS TIME_EXEC FROM "&amp;I177&amp;" INNER JOIN "&amp;J177&amp;" "&amp;K177,"SELECT '"&amp;UPPER(B177)&amp;"' AS TABELA, '"&amp;UPPER(C177)&amp;"' AS TIPOLOGIA_TESTE,'"&amp;D177&amp;"' AS TABELA_LT,'"&amp;E177&amp;"' AS TABELA_SIMUL,'"&amp;F177&amp;"' AS CAMPO, "&amp;"'${ref_date}' AS REF_DATE, COUNT(*) AS NUM_REG, SUM(IF(COALESCE(CAST(X."&amp;F177&amp;" AS STRING),'')&lt;&gt;COALESCE(CAST(Y."&amp;F177&amp;"_SIMUL AS STRING),''),1,0)) AS NUM_REG_DIF,'"&amp;MAX('ID1&amp;5'!L:L)+1&amp;"' AS ID_EXEC, CURRENT_TIMESTAMP() AS TIME_EXEC FROM "&amp;I177&amp;" INNER JOIN "&amp;J177&amp;" "&amp;K177),
IF(C177="Validade",+IF(G177="Code List","SELECT '"&amp;UPPER(B177)&amp;"' AS TABELA, '"&amp;UPPER(C177)&amp;"' AS TIPOLOGIA_TESTE,'"&amp;D177&amp;"' AS TABELA_LT,'N/A' AS TABELA_SIMUL,'"&amp;F177&amp;"' AS CAMPO, "&amp;"'${ref_date}' AS REF_DATE, COUNT(*) AS NUM_REG, SUM(IF(TRIM(CAST(X."&amp;F177&amp;" AS STRING))='' OR TRIM(CAST(X."&amp;F177&amp;" AS STRING)) IS NULL OR CAST(X."&amp;F177&amp;" AS STRING) NOT "&amp;H177&amp;",1,0)) AS NUM_REG_DIF,'"&amp;MAX('ID1&amp;5'!K:K)+1&amp;"' AS ID_EXEC, CURRENT_TIMESTAMP() AS TIME_EXEC FROM "&amp;I177,"SELECT '"&amp;UPPER(B177)&amp;"' AS TABELA, '"&amp;UPPER(C177)&amp;"' AS TIPOLOGIA_TESTE,'"&amp;D177&amp;"' AS TABELA_LT,'N/A' AS TABELA_SIMUL,'"&amp;F177&amp;"' AS CAMPO, "&amp;"'${ref_date}' AS REF_DATE, COUNT(*) AS NUM_REG, SUM(IF(TRIM(CAST(X."&amp;F177&amp;" AS STRING))='' OR TRIM(CAST(X."&amp;F177&amp;" AS STRING)) IS NULL,1,0)) AS NUM_REG_DIF,'"&amp;MAX('ID1&amp;5'!K:K)+1&amp;"' AS ID_EXEC, CURRENT_TIMESTAMP() AS TIME_EXEC FROM "&amp;I177),
IF(C177="Caracteres Especiais",+"SELECT '"&amp;UPPER(B177)&amp;"' AS TABELA, '"&amp;UPPER(C177)&amp;"' AS TIPOLOGIA_TESTE,'"&amp;D177&amp;"' AS TABELA_LT,'N/A' AS TABELA_SIMUL,'"&amp;F177&amp;"' AS CAMPO, "&amp;"'${ref_date}' AS REF_DATE, COUNT(*) AS NUM_REG, SUM(IF(INSTR(CAST(X."&amp;F177&amp;" AS STRING),'#')&gt;0 OR INSTR(CAST(X."&amp;F177&amp;" AS STRING),'*')&gt;0 OR INSTR(CAST(X."&amp;F177&amp;" AS STRING),'`')&gt;0 OR INSTR(CAST(X."&amp;F177&amp;" AS STRING),'´')&gt;0 OR INSTR(CAST(X."&amp;F177&amp;" AS STRING),'{')&gt;0 OR INSTR(CAST(X."&amp;F177&amp;" AS STRING),'}')&gt;0 OR INSTR(CAST(X."&amp;F177&amp;" AS STRING),'[')&gt;0 OR INSTR(CAST(X."&amp;F177&amp;" AS STRING),'')&gt;0 OR INSTR(CAST(X."&amp;F177&amp;" AS STRING),']')&gt;0 OR INSTR(CAST(X."&amp;F177&amp;" AS STRING),'?')&gt;0 OR INSTR(CAST(X."&amp;F177&amp;" AS STRING),'!')&gt;0 OR INSTR(CAST(X."&amp;F177&amp;" AS STRING),'$')&gt;0 OR INSTR(CAST(X."&amp;F177&amp;" AS STRING),'%')&gt;0 OR INSTR(CAST(X."&amp;F177&amp;" AS STRING),'&amp;')&gt;0 OR INSTR(CAST(X."&amp;F177&amp;" AS STRING),'+')&gt;0,1,0)) AS NUM_REG_DIF,'"&amp;MAX('ID1&amp;5'!K:K)+1&amp;"' AS ID_EXEC, CURRENT_TIMESTAMP() AS TIME_EXEC FROM "&amp;I177,
IF(C177="Missings",+"SELECT '"&amp;UPPER(B177)&amp;"' AS TABELA, '"&amp;UPPER(C177)&amp;"' AS TIPOLOGIA_TESTE,'"&amp;D177&amp;"' AS TABELA_LT,'N/A' AS TABELA_SIMUL,'"&amp;F177&amp;"' AS CAMPO, "&amp;"'${ref_date}' AS REF_DATE, COUNT(*) AS NUM_REG, SUM(IF(TRIM(CAST(X."&amp;F177&amp;" AS STRING)) IN ('0000-00-00','0001-01-01','9999-12-31','MISS','00000','99999999999','99999999999.00','99999999999.000000'),1,0)) AS NUM_REG_DIF,'"&amp;MAX('ID1&amp;5'!K:K)+1&amp;"' AS ID_EXEC, CURRENT_TIMESTAMP() AS TIME_EXEC FROM "&amp;I177,
IF(C177="Not applicable",+"SELECT '"&amp;UPPER(B177)&amp;"' AS TABELA, '"&amp;UPPER(C177)&amp;"' AS TIPOLOGIA_TESTE,'"&amp;D177&amp;"' AS TABELA_LT,'N/A' AS TABELA_SIMUL,'"&amp;F177&amp;"' AS CAMPO, "&amp;"'${ref_date}' AS REF_DATE, COUNT(*) AS NUM_REG, SUM(IF(TRIM(CAST(X."&amp;F177&amp;" AS STRING)) IN ('N/A','11111111111','11111111111.00','11111111111.000000','1111-11-11'),1,0)) AS NUM_REG_DIF,'"&amp;MAX('ID1&amp;5'!K:K)+1&amp;"' AS ID_EXEC, CURRENT_TIMESTAMP() AS TIME_EXEC FROM "&amp;I177,
IF(C177="Valores extremos",+"SELECT '"&amp;UPPER(B177)&amp;"' AS TABELA, '"&amp;UPPER(C177)&amp;"' AS TIPOLOGIA_TESTE,'"&amp;D177&amp;"' AS TABELA_LT,'N/A' AS TABELA_SIMUL,'"&amp;F177&amp;"' AS CAMPO, "&amp;"'${ref_date}' AS REF_DATE, CAST(MIN("&amp;F177&amp;") AS STRING) AS VALOR_MIN, CAST(MAX("&amp;F177&amp;") AS STRING) AS VALOR_MAX,'"&amp;MAX('ID1&amp;5'!K:K)+1&amp;"' AS ID_EXEC, CURRENT_TIMESTAMP() AS TIME_EXEC FROM "&amp;MID(I177,1,LEN(I177)-2)&amp;" AND CAST("&amp;F177&amp;"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TABELA_SIMUL,'MTHD_USD_PRTCTN_SCP_2' AS CAMPO, '${ref_date}' AS REF_DATE, COUNT(*) AS NUM_REG, SUM(IF(TRIM(CAST(X.MTHD_USD_PRTCTN_SCP_2 AS STRING))='' OR TRIM(CAST(X.MTHD_USD_PRTCTN_SCP_2 AS STRING)) IS NULL OR CAST(X.MTHD_USD_PRTCTN_SCP_2 AS STRING) NOT IN ('PM04','PM06','PM10','MISS','N/A'),1,0)) AS NUM_REG_DIF,'10' AS ID_EXEC, CURRENT_TIMESTAMP() AS TIME_EXEC FROM (SELECT prtctn_id, MTHD_USD_PRTCTN_SCP_2 FROM BU_LOANTAPE_WORK.LT004_PROTECTION WHERE ref_date='${ref_date}' AND nome_perimetro='Individual Corporativo' AND segmento='ESTR' AND ambito='PILAR3')X</v>
      </c>
      <c r="M177" s="43" t="str">
        <f t="shared" si="2"/>
        <v>UNION ALL SELECT 'PROTECTION' AS TABELA, 'VALIDADE' AS TIPOLOGIA_TESTE,'BU_LOANTAPE_WORK.LT004_PROTECTION' AS TABELA_LT,'N/A' AS TABELA_SIMUL,'MTHD_USD_PRTCTN_SCP_2' AS CAMPO, '${ref_date}' AS REF_DATE, COUNT(*) AS NUM_REG, SUM(IF(TRIM(CAST(X.MTHD_USD_PRTCTN_SCP_2 AS STRING))='' OR TRIM(CAST(X.MTHD_USD_PRTCTN_SCP_2 AS STRING)) IS NULL OR CAST(X.MTHD_USD_PRTCTN_SCP_2 AS STRING) NOT IN ('PM04','PM06','PM10','MISS','N/A'),1,0)) AS NUM_REG_DIF,'10' AS ID_EXEC, CURRENT_TIMESTAMP() AS TIME_EXEC FROM (SELECT prtctn_id, MTHD_USD_PRTCTN_SCP_2 FROM BU_LOANTAPE_WORK.LT004_PROTECTION WHERE ref_date='${ref_date}' AND nome_perimetro='Individual Corporativo' AND segmento='ESTR' AND ambito='PILAR3')X</v>
      </c>
      <c r="N177" s="45" t="s">
        <v>13</v>
      </c>
    </row>
    <row r="178" spans="2:14">
      <c r="B178" s="41" t="s">
        <v>31</v>
      </c>
      <c r="C178" s="41" t="s">
        <v>75</v>
      </c>
      <c r="D178" s="41" t="str">
        <f>+UPPER('0. Instruções'!$D$33&amp;"."&amp;VLOOKUP(B178,'0. Instruções'!$C$27:$D$31,2,FALSE))</f>
        <v>BU_LOANTAPE_WORK.LT004_PROTECTION</v>
      </c>
      <c r="E178" s="41" t="str">
        <f>+UPPER('0. Instruções'!$D$34&amp;"."&amp;VLOOKUP(B178,'0. Instruções'!$C$27:$E$31,3,FALSE))</f>
        <v>BU_LOANTAPE_WORK.LT004_PROTECTION_P3_NOV24</v>
      </c>
      <c r="F178" s="41" t="s">
        <v>144</v>
      </c>
      <c r="G178" s="41" t="s">
        <v>209</v>
      </c>
      <c r="H178" s="42" t="s">
        <v>225</v>
      </c>
      <c r="I178" s="41" t="str">
        <f>"(SELECT "&amp;VLOOKUP(B178,'0. Instruções'!$C$27:$G$31,4,FALSE)&amp;", "&amp;F178&amp;" FROM "&amp;D178&amp;" WHERE "&amp;'0. Instruções'!$D$40&amp;")X"</f>
        <v>(SELECT prtctn_id, MTHD_USD_PRTCTN_SCP_3 FROM BU_LOANTAPE_WORK.LT004_PROTECTION WHERE ref_date='${ref_date}' AND nome_perimetro='Individual Corporativo' AND segmento='ESTR' AND ambito='PILAR3')X</v>
      </c>
      <c r="J178" s="41" t="str">
        <f>"(SELECT "&amp;VLOOKUP(B178,'0. Instruções'!$C$27:$G$31,4,FALSE)&amp;" AS "&amp;VLOOKUP(B178,'0. Instruções'!$C$27:$G$31,4,FALSE)&amp;"_SIMUL, "&amp;F178&amp;" AS "&amp;F178&amp;"_SIMUL FROM "&amp;E178&amp;")Y"</f>
        <v>(SELECT prtctn_id AS prtctn_id_SIMUL, MTHD_USD_PRTCTN_SCP_3 AS MTHD_USD_PRTCTN_SCP_3_SIMUL FROM BU_LOANTAPE_WORK.LT004_PROTECTION_P3_NOV24)Y</v>
      </c>
      <c r="K178" s="42" t="str">
        <f>+UPPER("ON X."&amp;VLOOKUP(B178,'0. Instruções'!$C$27:$G$31,4,FALSE)&amp;"=Y."&amp;VLOOKUP(B178,'0. Instruções'!$C$27:$G$31,4,FALSE)&amp;"_SIMUL")</f>
        <v>ON X.PRTCTN_ID=Y.PRTCTN_ID_SIMUL</v>
      </c>
      <c r="L178" s="42" t="str">
        <f>+IF(C178="Coerência", +IF(LEFT(G178,5)="FLOAT","SELECT '"&amp;UPPER(B178)&amp;"' AS TABELA, '"&amp;UPPER(C178)&amp;"' AS TIPOLOGIA_TESTE,'"&amp;D178&amp;"' AS TABELA_LT,'"&amp;E178&amp;"' AS TABELA_SIMUL,'"&amp;F178&amp;"' AS CAMPO, "&amp;"'${ref_date}' AS REF_DATE, COUNT(*) AS NUM_REG, SUM(IF((ABS(COALESCE(X."&amp;F178&amp;",0)-COALESCE(Y."&amp;F178&amp;"_SIMUL,0))&gt;0.0000000001) OR (X."&amp;F178&amp;" IS NULL AND Y."&amp;F178&amp;"_SIMUL IS NOT NULL ) OR (X."&amp;F178&amp;" IS NOT NULL AND Y."&amp;F178&amp;"_SIMUL IS NULL),1,0)) AS NUM_REG_DIF,'"&amp;MAX('ID1&amp;5'!K:K)+1&amp;"' AS ID_EXEC, CURRENT_TIMESTAMP() AS TIME_EXEC FROM "&amp;I178&amp;" INNER JOIN "&amp;J178&amp;" "&amp;K178,"SELECT '"&amp;UPPER(B178)&amp;"' AS TABELA, '"&amp;UPPER(C178)&amp;"' AS TIPOLOGIA_TESTE,'"&amp;D178&amp;"' AS TABELA_LT,'"&amp;E178&amp;"' AS TABELA_SIMUL,'"&amp;F178&amp;"' AS CAMPO, "&amp;"'${ref_date}' AS REF_DATE, COUNT(*) AS NUM_REG, SUM(IF(COALESCE(CAST(X."&amp;F178&amp;" AS STRING),'')&lt;&gt;COALESCE(CAST(Y."&amp;F178&amp;"_SIMUL AS STRING),''),1,0)) AS NUM_REG_DIF,'"&amp;MAX('ID1&amp;5'!L:L)+1&amp;"' AS ID_EXEC, CURRENT_TIMESTAMP() AS TIME_EXEC FROM "&amp;I178&amp;" INNER JOIN "&amp;J178&amp;" "&amp;K178),
IF(C178="Validade",+IF(G178="Code List","SELECT '"&amp;UPPER(B178)&amp;"' AS TABELA, '"&amp;UPPER(C178)&amp;"' AS TIPOLOGIA_TESTE,'"&amp;D178&amp;"' AS TABELA_LT,'N/A' AS TABELA_SIMUL,'"&amp;F178&amp;"' AS CAMPO, "&amp;"'${ref_date}' AS REF_DATE, COUNT(*) AS NUM_REG, SUM(IF(TRIM(CAST(X."&amp;F178&amp;" AS STRING))='' OR TRIM(CAST(X."&amp;F178&amp;" AS STRING)) IS NULL OR CAST(X."&amp;F178&amp;" AS STRING) NOT "&amp;H178&amp;",1,0)) AS NUM_REG_DIF,'"&amp;MAX('ID1&amp;5'!K:K)+1&amp;"' AS ID_EXEC, CURRENT_TIMESTAMP() AS TIME_EXEC FROM "&amp;I178,"SELECT '"&amp;UPPER(B178)&amp;"' AS TABELA, '"&amp;UPPER(C178)&amp;"' AS TIPOLOGIA_TESTE,'"&amp;D178&amp;"' AS TABELA_LT,'N/A' AS TABELA_SIMUL,'"&amp;F178&amp;"' AS CAMPO, "&amp;"'${ref_date}' AS REF_DATE, COUNT(*) AS NUM_REG, SUM(IF(TRIM(CAST(X."&amp;F178&amp;" AS STRING))='' OR TRIM(CAST(X."&amp;F178&amp;" AS STRING)) IS NULL,1,0)) AS NUM_REG_DIF,'"&amp;MAX('ID1&amp;5'!K:K)+1&amp;"' AS ID_EXEC, CURRENT_TIMESTAMP() AS TIME_EXEC FROM "&amp;I178),
IF(C178="Caracteres Especiais",+"SELECT '"&amp;UPPER(B178)&amp;"' AS TABELA, '"&amp;UPPER(C178)&amp;"' AS TIPOLOGIA_TESTE,'"&amp;D178&amp;"' AS TABELA_LT,'N/A' AS TABELA_SIMUL,'"&amp;F178&amp;"' AS CAMPO, "&amp;"'${ref_date}' AS REF_DATE, COUNT(*) AS NUM_REG, SUM(IF(INSTR(CAST(X."&amp;F178&amp;" AS STRING),'#')&gt;0 OR INSTR(CAST(X."&amp;F178&amp;" AS STRING),'*')&gt;0 OR INSTR(CAST(X."&amp;F178&amp;" AS STRING),'`')&gt;0 OR INSTR(CAST(X."&amp;F178&amp;" AS STRING),'´')&gt;0 OR INSTR(CAST(X."&amp;F178&amp;" AS STRING),'{')&gt;0 OR INSTR(CAST(X."&amp;F178&amp;" AS STRING),'}')&gt;0 OR INSTR(CAST(X."&amp;F178&amp;" AS STRING),'[')&gt;0 OR INSTR(CAST(X."&amp;F178&amp;" AS STRING),'')&gt;0 OR INSTR(CAST(X."&amp;F178&amp;" AS STRING),']')&gt;0 OR INSTR(CAST(X."&amp;F178&amp;" AS STRING),'?')&gt;0 OR INSTR(CAST(X."&amp;F178&amp;" AS STRING),'!')&gt;0 OR INSTR(CAST(X."&amp;F178&amp;" AS STRING),'$')&gt;0 OR INSTR(CAST(X."&amp;F178&amp;" AS STRING),'%')&gt;0 OR INSTR(CAST(X."&amp;F178&amp;" AS STRING),'&amp;')&gt;0 OR INSTR(CAST(X."&amp;F178&amp;" AS STRING),'+')&gt;0,1,0)) AS NUM_REG_DIF,'"&amp;MAX('ID1&amp;5'!K:K)+1&amp;"' AS ID_EXEC, CURRENT_TIMESTAMP() AS TIME_EXEC FROM "&amp;I178,
IF(C178="Missings",+"SELECT '"&amp;UPPER(B178)&amp;"' AS TABELA, '"&amp;UPPER(C178)&amp;"' AS TIPOLOGIA_TESTE,'"&amp;D178&amp;"' AS TABELA_LT,'N/A' AS TABELA_SIMUL,'"&amp;F178&amp;"' AS CAMPO, "&amp;"'${ref_date}' AS REF_DATE, COUNT(*) AS NUM_REG, SUM(IF(TRIM(CAST(X."&amp;F178&amp;" AS STRING)) IN ('0000-00-00','0001-01-01','9999-12-31','MISS','00000','99999999999','99999999999.00','99999999999.000000'),1,0)) AS NUM_REG_DIF,'"&amp;MAX('ID1&amp;5'!K:K)+1&amp;"' AS ID_EXEC, CURRENT_TIMESTAMP() AS TIME_EXEC FROM "&amp;I178,
IF(C178="Not applicable",+"SELECT '"&amp;UPPER(B178)&amp;"' AS TABELA, '"&amp;UPPER(C178)&amp;"' AS TIPOLOGIA_TESTE,'"&amp;D178&amp;"' AS TABELA_LT,'N/A' AS TABELA_SIMUL,'"&amp;F178&amp;"' AS CAMPO, "&amp;"'${ref_date}' AS REF_DATE, COUNT(*) AS NUM_REG, SUM(IF(TRIM(CAST(X."&amp;F178&amp;" AS STRING)) IN ('N/A','11111111111','11111111111.00','11111111111.000000','1111-11-11'),1,0)) AS NUM_REG_DIF,'"&amp;MAX('ID1&amp;5'!K:K)+1&amp;"' AS ID_EXEC, CURRENT_TIMESTAMP() AS TIME_EXEC FROM "&amp;I178,
IF(C178="Valores extremos",+"SELECT '"&amp;UPPER(B178)&amp;"' AS TABELA, '"&amp;UPPER(C178)&amp;"' AS TIPOLOGIA_TESTE,'"&amp;D178&amp;"' AS TABELA_LT,'N/A' AS TABELA_SIMUL,'"&amp;F178&amp;"' AS CAMPO, "&amp;"'${ref_date}' AS REF_DATE, CAST(MIN("&amp;F178&amp;") AS STRING) AS VALOR_MIN, CAST(MAX("&amp;F178&amp;") AS STRING) AS VALOR_MAX,'"&amp;MAX('ID1&amp;5'!K:K)+1&amp;"' AS ID_EXEC, CURRENT_TIMESTAMP() AS TIME_EXEC FROM "&amp;MID(I178,1,LEN(I178)-2)&amp;" AND CAST("&amp;F178&amp;"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TABELA_SIMUL,'MTHD_USD_PRTCTN_SCP_3' AS CAMPO, '${ref_date}' AS REF_DATE, COUNT(*) AS NUM_REG, SUM(IF(TRIM(CAST(X.MTHD_USD_PRTCTN_SCP_3 AS STRING))='' OR TRIM(CAST(X.MTHD_USD_PRTCTN_SCP_3 AS STRING)) IS NULL OR CAST(X.MTHD_USD_PRTCTN_SCP_3 AS STRING) NOT IN ('PM04','PM06','PM10','MISS','N/A'),1,0)) AS NUM_REG_DIF,'10' AS ID_EXEC, CURRENT_TIMESTAMP() AS TIME_EXEC FROM (SELECT prtctn_id, MTHD_USD_PRTCTN_SCP_3 FROM BU_LOANTAPE_WORK.LT004_PROTECTION WHERE ref_date='${ref_date}' AND nome_perimetro='Individual Corporativo' AND segmento='ESTR' AND ambito='PILAR3')X</v>
      </c>
      <c r="M178" s="43" t="str">
        <f t="shared" si="2"/>
        <v>UNION ALL SELECT 'PROTECTION' AS TABELA, 'VALIDADE' AS TIPOLOGIA_TESTE,'BU_LOANTAPE_WORK.LT004_PROTECTION' AS TABELA_LT,'N/A' AS TABELA_SIMUL,'MTHD_USD_PRTCTN_SCP_3' AS CAMPO, '${ref_date}' AS REF_DATE, COUNT(*) AS NUM_REG, SUM(IF(TRIM(CAST(X.MTHD_USD_PRTCTN_SCP_3 AS STRING))='' OR TRIM(CAST(X.MTHD_USD_PRTCTN_SCP_3 AS STRING)) IS NULL OR CAST(X.MTHD_USD_PRTCTN_SCP_3 AS STRING) NOT IN ('PM04','PM06','PM10','MISS','N/A'),1,0)) AS NUM_REG_DIF,'10' AS ID_EXEC, CURRENT_TIMESTAMP() AS TIME_EXEC FROM (SELECT prtctn_id, MTHD_USD_PRTCTN_SCP_3 FROM BU_LOANTAPE_WORK.LT004_PROTECTION WHERE ref_date='${ref_date}' AND nome_perimetro='Individual Corporativo' AND segmento='ESTR' AND ambito='PILAR3')X</v>
      </c>
      <c r="N178" s="45" t="s">
        <v>13</v>
      </c>
    </row>
    <row r="179" spans="2:14">
      <c r="B179" s="41" t="s">
        <v>31</v>
      </c>
      <c r="C179" s="41" t="s">
        <v>75</v>
      </c>
      <c r="D179" s="41" t="str">
        <f>+UPPER('0. Instruções'!$D$33&amp;"."&amp;VLOOKUP(B179,'0. Instruções'!$C$27:$D$31,2,FALSE))</f>
        <v>BU_LOANTAPE_WORK.LT004_PROTECTION</v>
      </c>
      <c r="E179" s="41" t="str">
        <f>+UPPER('0. Instruções'!$D$34&amp;"."&amp;VLOOKUP(B179,'0. Instruções'!$C$27:$E$31,3,FALSE))</f>
        <v>BU_LOANTAPE_WORK.LT004_PROTECTION_P3_NOV24</v>
      </c>
      <c r="F179" s="41" t="s">
        <v>121</v>
      </c>
      <c r="G179" s="41" t="s">
        <v>211</v>
      </c>
      <c r="H179" s="41"/>
      <c r="I179" s="41" t="str">
        <f>"(SELECT "&amp;VLOOKUP(B179,'0. Instruções'!$C$27:$G$31,4,FALSE)&amp;", "&amp;F179&amp;" FROM "&amp;D179&amp;" WHERE "&amp;'0. Instruções'!$D$40&amp;")X"</f>
        <v>(SELECT prtctn_id, FLG_ACT_PHYSCL_RSK FROM BU_LOANTAPE_WORK.LT004_PROTECTION WHERE ref_date='${ref_date}' AND nome_perimetro='Individual Corporativo' AND segmento='ESTR' AND ambito='PILAR3')X</v>
      </c>
      <c r="J179" s="41" t="str">
        <f>"(SELECT "&amp;VLOOKUP(B179,'0. Instruções'!$C$27:$G$31,4,FALSE)&amp;" AS "&amp;VLOOKUP(B179,'0. Instruções'!$C$27:$G$31,4,FALSE)&amp;"_SIMUL, "&amp;F179&amp;" AS "&amp;F179&amp;"_SIMUL FROM "&amp;E179&amp;")Y"</f>
        <v>(SELECT prtctn_id AS prtctn_id_SIMUL, FLG_ACT_PHYSCL_RSK AS FLG_ACT_PHYSCL_RSK_SIMUL FROM BU_LOANTAPE_WORK.LT004_PROTECTION_P3_NOV24)Y</v>
      </c>
      <c r="K179" s="42" t="str">
        <f>+UPPER("ON X."&amp;VLOOKUP(B179,'0. Instruções'!$C$27:$G$31,4,FALSE)&amp;"=Y."&amp;VLOOKUP(B179,'0. Instruções'!$C$27:$G$31,4,FALSE)&amp;"_SIMUL")</f>
        <v>ON X.PRTCTN_ID=Y.PRTCTN_ID_SIMUL</v>
      </c>
      <c r="L179" s="42" t="str">
        <f>+IF(C179="Coerência", +IF(LEFT(G179,5)="FLOAT","SELECT '"&amp;UPPER(B179)&amp;"' AS TABELA, '"&amp;UPPER(C179)&amp;"' AS TIPOLOGIA_TESTE,'"&amp;D179&amp;"' AS TABELA_LT,'"&amp;E179&amp;"' AS TABELA_SIMUL,'"&amp;F179&amp;"' AS CAMPO, "&amp;"'${ref_date}' AS REF_DATE, COUNT(*) AS NUM_REG, SUM(IF((ABS(COALESCE(X."&amp;F179&amp;",0)-COALESCE(Y."&amp;F179&amp;"_SIMUL,0))&gt;0.0000000001) OR (X."&amp;F179&amp;" IS NULL AND Y."&amp;F179&amp;"_SIMUL IS NOT NULL ) OR (X."&amp;F179&amp;" IS NOT NULL AND Y."&amp;F179&amp;"_SIMUL IS NULL),1,0)) AS NUM_REG_DIF,'"&amp;MAX('ID1&amp;5'!K:K)+1&amp;"' AS ID_EXEC, CURRENT_TIMESTAMP() AS TIME_EXEC FROM "&amp;I179&amp;" INNER JOIN "&amp;J179&amp;" "&amp;K179,"SELECT '"&amp;UPPER(B179)&amp;"' AS TABELA, '"&amp;UPPER(C179)&amp;"' AS TIPOLOGIA_TESTE,'"&amp;D179&amp;"' AS TABELA_LT,'"&amp;E179&amp;"' AS TABELA_SIMUL,'"&amp;F179&amp;"' AS CAMPO, "&amp;"'${ref_date}' AS REF_DATE, COUNT(*) AS NUM_REG, SUM(IF(COALESCE(CAST(X."&amp;F179&amp;" AS STRING),'')&lt;&gt;COALESCE(CAST(Y."&amp;F179&amp;"_SIMUL AS STRING),''),1,0)) AS NUM_REG_DIF,'"&amp;MAX('ID1&amp;5'!L:L)+1&amp;"' AS ID_EXEC, CURRENT_TIMESTAMP() AS TIME_EXEC FROM "&amp;I179&amp;" INNER JOIN "&amp;J179&amp;" "&amp;K179),
IF(C179="Validade",+IF(G179="Code List","SELECT '"&amp;UPPER(B179)&amp;"' AS TABELA, '"&amp;UPPER(C179)&amp;"' AS TIPOLOGIA_TESTE,'"&amp;D179&amp;"' AS TABELA_LT,'N/A' AS TABELA_SIMUL,'"&amp;F179&amp;"' AS CAMPO, "&amp;"'${ref_date}' AS REF_DATE, COUNT(*) AS NUM_REG, SUM(IF(TRIM(CAST(X."&amp;F179&amp;" AS STRING))='' OR TRIM(CAST(X."&amp;F179&amp;" AS STRING)) IS NULL OR CAST(X."&amp;F179&amp;" AS STRING) NOT "&amp;H179&amp;",1,0)) AS NUM_REG_DIF,'"&amp;MAX('ID1&amp;5'!K:K)+1&amp;"' AS ID_EXEC, CURRENT_TIMESTAMP() AS TIME_EXEC FROM "&amp;I179,"SELECT '"&amp;UPPER(B179)&amp;"' AS TABELA, '"&amp;UPPER(C179)&amp;"' AS TIPOLOGIA_TESTE,'"&amp;D179&amp;"' AS TABELA_LT,'N/A' AS TABELA_SIMUL,'"&amp;F179&amp;"' AS CAMPO, "&amp;"'${ref_date}' AS REF_DATE, COUNT(*) AS NUM_REG, SUM(IF(TRIM(CAST(X."&amp;F179&amp;" AS STRING))='' OR TRIM(CAST(X."&amp;F179&amp;" AS STRING)) IS NULL,1,0)) AS NUM_REG_DIF,'"&amp;MAX('ID1&amp;5'!K:K)+1&amp;"' AS ID_EXEC, CURRENT_TIMESTAMP() AS TIME_EXEC FROM "&amp;I179),
IF(C179="Caracteres Especiais",+"SELECT '"&amp;UPPER(B179)&amp;"' AS TABELA, '"&amp;UPPER(C179)&amp;"' AS TIPOLOGIA_TESTE,'"&amp;D179&amp;"' AS TABELA_LT,'N/A' AS TABELA_SIMUL,'"&amp;F179&amp;"' AS CAMPO, "&amp;"'${ref_date}' AS REF_DATE, COUNT(*) AS NUM_REG, SUM(IF(INSTR(CAST(X."&amp;F179&amp;" AS STRING),'#')&gt;0 OR INSTR(CAST(X."&amp;F179&amp;" AS STRING),'*')&gt;0 OR INSTR(CAST(X."&amp;F179&amp;" AS STRING),'`')&gt;0 OR INSTR(CAST(X."&amp;F179&amp;" AS STRING),'´')&gt;0 OR INSTR(CAST(X."&amp;F179&amp;" AS STRING),'{')&gt;0 OR INSTR(CAST(X."&amp;F179&amp;" AS STRING),'}')&gt;0 OR INSTR(CAST(X."&amp;F179&amp;" AS STRING),'[')&gt;0 OR INSTR(CAST(X."&amp;F179&amp;" AS STRING),'')&gt;0 OR INSTR(CAST(X."&amp;F179&amp;" AS STRING),']')&gt;0 OR INSTR(CAST(X."&amp;F179&amp;" AS STRING),'?')&gt;0 OR INSTR(CAST(X."&amp;F179&amp;" AS STRING),'!')&gt;0 OR INSTR(CAST(X."&amp;F179&amp;" AS STRING),'$')&gt;0 OR INSTR(CAST(X."&amp;F179&amp;" AS STRING),'%')&gt;0 OR INSTR(CAST(X."&amp;F179&amp;" AS STRING),'&amp;')&gt;0 OR INSTR(CAST(X."&amp;F179&amp;" AS STRING),'+')&gt;0,1,0)) AS NUM_REG_DIF,'"&amp;MAX('ID1&amp;5'!K:K)+1&amp;"' AS ID_EXEC, CURRENT_TIMESTAMP() AS TIME_EXEC FROM "&amp;I179,
IF(C179="Missings",+"SELECT '"&amp;UPPER(B179)&amp;"' AS TABELA, '"&amp;UPPER(C179)&amp;"' AS TIPOLOGIA_TESTE,'"&amp;D179&amp;"' AS TABELA_LT,'N/A' AS TABELA_SIMUL,'"&amp;F179&amp;"' AS CAMPO, "&amp;"'${ref_date}' AS REF_DATE, COUNT(*) AS NUM_REG, SUM(IF(TRIM(CAST(X."&amp;F179&amp;" AS STRING)) IN ('0000-00-00','0001-01-01','9999-12-31','MISS','00000','99999999999','99999999999.00','99999999999.000000'),1,0)) AS NUM_REG_DIF,'"&amp;MAX('ID1&amp;5'!K:K)+1&amp;"' AS ID_EXEC, CURRENT_TIMESTAMP() AS TIME_EXEC FROM "&amp;I179,
IF(C179="Not applicable",+"SELECT '"&amp;UPPER(B179)&amp;"' AS TABELA, '"&amp;UPPER(C179)&amp;"' AS TIPOLOGIA_TESTE,'"&amp;D179&amp;"' AS TABELA_LT,'N/A' AS TABELA_SIMUL,'"&amp;F179&amp;"' AS CAMPO, "&amp;"'${ref_date}' AS REF_DATE, COUNT(*) AS NUM_REG, SUM(IF(TRIM(CAST(X."&amp;F179&amp;" AS STRING)) IN ('N/A','11111111111','11111111111.00','11111111111.000000','1111-11-11'),1,0)) AS NUM_REG_DIF,'"&amp;MAX('ID1&amp;5'!K:K)+1&amp;"' AS ID_EXEC, CURRENT_TIMESTAMP() AS TIME_EXEC FROM "&amp;I179,
IF(C179="Valores extremos",+"SELECT '"&amp;UPPER(B179)&amp;"' AS TABELA, '"&amp;UPPER(C179)&amp;"' AS TIPOLOGIA_TESTE,'"&amp;D179&amp;"' AS TABELA_LT,'N/A' AS TABELA_SIMUL,'"&amp;F179&amp;"' AS CAMPO, "&amp;"'${ref_date}' AS REF_DATE, CAST(MIN("&amp;F179&amp;") AS STRING) AS VALOR_MIN, CAST(MAX("&amp;F179&amp;") AS STRING) AS VALOR_MAX,'"&amp;MAX('ID1&amp;5'!K:K)+1&amp;"' AS ID_EXEC, CURRENT_TIMESTAMP() AS TIME_EXEC FROM "&amp;MID(I179,1,LEN(I179)-2)&amp;" AND CAST("&amp;F179&amp;"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TABELA_SIMUL,'FLG_ACT_PHYSCL_RSK' AS CAMPO, '${ref_date}' AS REF_DATE, COUNT(*) AS NUM_REG, SUM(IF(TRIM(CAST(X.FLG_ACT_PHYSCL_RSK AS STRING))='' OR TRIM(CAST(X.FLG_ACT_PHYSCL_RSK AS STRING)) IS NULL,1,0)) AS NUM_REG_DIF,'10' AS ID_EXEC, CURRENT_TIMESTAMP() AS TIME_EXEC FROM (SELECT prtctn_id, FLG_ACT_PHYSCL_RSK FROM BU_LOANTAPE_WORK.LT004_PROTECTION WHERE ref_date='${ref_date}' AND nome_perimetro='Individual Corporativo' AND segmento='ESTR' AND ambito='PILAR3')X</v>
      </c>
      <c r="M179" s="43" t="str">
        <f t="shared" si="2"/>
        <v>UNION ALL SELECT 'PROTECTION' AS TABELA, 'VALIDADE' AS TIPOLOGIA_TESTE,'BU_LOANTAPE_WORK.LT004_PROTECTION' AS TABELA_LT,'N/A' AS TABELA_SIMUL,'FLG_ACT_PHYSCL_RSK' AS CAMPO, '${ref_date}' AS REF_DATE, COUNT(*) AS NUM_REG, SUM(IF(TRIM(CAST(X.FLG_ACT_PHYSCL_RSK AS STRING))='' OR TRIM(CAST(X.FLG_ACT_PHYSCL_RSK AS STRING)) IS NULL,1,0)) AS NUM_REG_DIF,'10' AS ID_EXEC, CURRENT_TIMESTAMP() AS TIME_EXEC FROM (SELECT prtctn_id, FLG_ACT_PHYSCL_RSK FROM BU_LOANTAPE_WORK.LT004_PROTECTION WHERE ref_date='${ref_date}' AND nome_perimetro='Individual Corporativo' AND segmento='ESTR' AND ambito='PILAR3')X</v>
      </c>
      <c r="N179" s="45" t="s">
        <v>13</v>
      </c>
    </row>
    <row r="180" spans="2:14">
      <c r="B180" s="41" t="s">
        <v>31</v>
      </c>
      <c r="C180" s="41" t="s">
        <v>75</v>
      </c>
      <c r="D180" s="41" t="str">
        <f>+UPPER('0. Instruções'!$D$33&amp;"."&amp;VLOOKUP(B180,'0. Instruções'!$C$27:$D$31,2,FALSE))</f>
        <v>BU_LOANTAPE_WORK.LT004_PROTECTION</v>
      </c>
      <c r="E180" s="41" t="str">
        <f>+UPPER('0. Instruções'!$D$34&amp;"."&amp;VLOOKUP(B180,'0. Instruções'!$C$27:$E$31,3,FALSE))</f>
        <v>BU_LOANTAPE_WORK.LT004_PROTECTION_P3_NOV24</v>
      </c>
      <c r="F180" s="41" t="s">
        <v>122</v>
      </c>
      <c r="G180" s="41" t="s">
        <v>211</v>
      </c>
      <c r="H180" s="41"/>
      <c r="I180" s="41" t="str">
        <f>"(SELECT "&amp;VLOOKUP(B180,'0. Instruções'!$C$27:$G$31,4,FALSE)&amp;", "&amp;F180&amp;" FROM "&amp;D180&amp;" WHERE "&amp;'0. Instruções'!$D$40&amp;")X"</f>
        <v>(SELECT prtctn_id, FLG_CHRNC_PHYSCL_RSK FROM BU_LOANTAPE_WORK.LT004_PROTECTION WHERE ref_date='${ref_date}' AND nome_perimetro='Individual Corporativo' AND segmento='ESTR' AND ambito='PILAR3')X</v>
      </c>
      <c r="J180" s="41" t="str">
        <f>"(SELECT "&amp;VLOOKUP(B180,'0. Instruções'!$C$27:$G$31,4,FALSE)&amp;" AS "&amp;VLOOKUP(B180,'0. Instruções'!$C$27:$G$31,4,FALSE)&amp;"_SIMUL, "&amp;F180&amp;" AS "&amp;F180&amp;"_SIMUL FROM "&amp;E180&amp;")Y"</f>
        <v>(SELECT prtctn_id AS prtctn_id_SIMUL, FLG_CHRNC_PHYSCL_RSK AS FLG_CHRNC_PHYSCL_RSK_SIMUL FROM BU_LOANTAPE_WORK.LT004_PROTECTION_P3_NOV24)Y</v>
      </c>
      <c r="K180" s="42" t="str">
        <f>+UPPER("ON X."&amp;VLOOKUP(B180,'0. Instruções'!$C$27:$G$31,4,FALSE)&amp;"=Y."&amp;VLOOKUP(B180,'0. Instruções'!$C$27:$G$31,4,FALSE)&amp;"_SIMUL")</f>
        <v>ON X.PRTCTN_ID=Y.PRTCTN_ID_SIMUL</v>
      </c>
      <c r="L180" s="42" t="str">
        <f>+IF(C180="Coerência", +IF(LEFT(G180,5)="FLOAT","SELECT '"&amp;UPPER(B180)&amp;"' AS TABELA, '"&amp;UPPER(C180)&amp;"' AS TIPOLOGIA_TESTE,'"&amp;D180&amp;"' AS TABELA_LT,'"&amp;E180&amp;"' AS TABELA_SIMUL,'"&amp;F180&amp;"' AS CAMPO, "&amp;"'${ref_date}' AS REF_DATE, COUNT(*) AS NUM_REG, SUM(IF((ABS(COALESCE(X."&amp;F180&amp;",0)-COALESCE(Y."&amp;F180&amp;"_SIMUL,0))&gt;0.0000000001) OR (X."&amp;F180&amp;" IS NULL AND Y."&amp;F180&amp;"_SIMUL IS NOT NULL ) OR (X."&amp;F180&amp;" IS NOT NULL AND Y."&amp;F180&amp;"_SIMUL IS NULL),1,0)) AS NUM_REG_DIF,'"&amp;MAX('ID1&amp;5'!K:K)+1&amp;"' AS ID_EXEC, CURRENT_TIMESTAMP() AS TIME_EXEC FROM "&amp;I180&amp;" INNER JOIN "&amp;J180&amp;" "&amp;K180,"SELECT '"&amp;UPPER(B180)&amp;"' AS TABELA, '"&amp;UPPER(C180)&amp;"' AS TIPOLOGIA_TESTE,'"&amp;D180&amp;"' AS TABELA_LT,'"&amp;E180&amp;"' AS TABELA_SIMUL,'"&amp;F180&amp;"' AS CAMPO, "&amp;"'${ref_date}' AS REF_DATE, COUNT(*) AS NUM_REG, SUM(IF(COALESCE(CAST(X."&amp;F180&amp;" AS STRING),'')&lt;&gt;COALESCE(CAST(Y."&amp;F180&amp;"_SIMUL AS STRING),''),1,0)) AS NUM_REG_DIF,'"&amp;MAX('ID1&amp;5'!L:L)+1&amp;"' AS ID_EXEC, CURRENT_TIMESTAMP() AS TIME_EXEC FROM "&amp;I180&amp;" INNER JOIN "&amp;J180&amp;" "&amp;K180),
IF(C180="Validade",+IF(G180="Code List","SELECT '"&amp;UPPER(B180)&amp;"' AS TABELA, '"&amp;UPPER(C180)&amp;"' AS TIPOLOGIA_TESTE,'"&amp;D180&amp;"' AS TABELA_LT,'N/A' AS TABELA_SIMUL,'"&amp;F180&amp;"' AS CAMPO, "&amp;"'${ref_date}' AS REF_DATE, COUNT(*) AS NUM_REG, SUM(IF(TRIM(CAST(X."&amp;F180&amp;" AS STRING))='' OR TRIM(CAST(X."&amp;F180&amp;" AS STRING)) IS NULL OR CAST(X."&amp;F180&amp;" AS STRING) NOT "&amp;H180&amp;",1,0)) AS NUM_REG_DIF,'"&amp;MAX('ID1&amp;5'!K:K)+1&amp;"' AS ID_EXEC, CURRENT_TIMESTAMP() AS TIME_EXEC FROM "&amp;I180,"SELECT '"&amp;UPPER(B180)&amp;"' AS TABELA, '"&amp;UPPER(C180)&amp;"' AS TIPOLOGIA_TESTE,'"&amp;D180&amp;"' AS TABELA_LT,'N/A' AS TABELA_SIMUL,'"&amp;F180&amp;"' AS CAMPO, "&amp;"'${ref_date}' AS REF_DATE, COUNT(*) AS NUM_REG, SUM(IF(TRIM(CAST(X."&amp;F180&amp;" AS STRING))='' OR TRIM(CAST(X."&amp;F180&amp;" AS STRING)) IS NULL,1,0)) AS NUM_REG_DIF,'"&amp;MAX('ID1&amp;5'!K:K)+1&amp;"' AS ID_EXEC, CURRENT_TIMESTAMP() AS TIME_EXEC FROM "&amp;I180),
IF(C180="Caracteres Especiais",+"SELECT '"&amp;UPPER(B180)&amp;"' AS TABELA, '"&amp;UPPER(C180)&amp;"' AS TIPOLOGIA_TESTE,'"&amp;D180&amp;"' AS TABELA_LT,'N/A' AS TABELA_SIMUL,'"&amp;F180&amp;"' AS CAMPO, "&amp;"'${ref_date}' AS REF_DATE, COUNT(*) AS NUM_REG, SUM(IF(INSTR(CAST(X."&amp;F180&amp;" AS STRING),'#')&gt;0 OR INSTR(CAST(X."&amp;F180&amp;" AS STRING),'*')&gt;0 OR INSTR(CAST(X."&amp;F180&amp;" AS STRING),'`')&gt;0 OR INSTR(CAST(X."&amp;F180&amp;" AS STRING),'´')&gt;0 OR INSTR(CAST(X."&amp;F180&amp;" AS STRING),'{')&gt;0 OR INSTR(CAST(X."&amp;F180&amp;" AS STRING),'}')&gt;0 OR INSTR(CAST(X."&amp;F180&amp;" AS STRING),'[')&gt;0 OR INSTR(CAST(X."&amp;F180&amp;" AS STRING),'')&gt;0 OR INSTR(CAST(X."&amp;F180&amp;" AS STRING),']')&gt;0 OR INSTR(CAST(X."&amp;F180&amp;" AS STRING),'?')&gt;0 OR INSTR(CAST(X."&amp;F180&amp;" AS STRING),'!')&gt;0 OR INSTR(CAST(X."&amp;F180&amp;" AS STRING),'$')&gt;0 OR INSTR(CAST(X."&amp;F180&amp;" AS STRING),'%')&gt;0 OR INSTR(CAST(X."&amp;F180&amp;" AS STRING),'&amp;')&gt;0 OR INSTR(CAST(X."&amp;F180&amp;" AS STRING),'+')&gt;0,1,0)) AS NUM_REG_DIF,'"&amp;MAX('ID1&amp;5'!K:K)+1&amp;"' AS ID_EXEC, CURRENT_TIMESTAMP() AS TIME_EXEC FROM "&amp;I180,
IF(C180="Missings",+"SELECT '"&amp;UPPER(B180)&amp;"' AS TABELA, '"&amp;UPPER(C180)&amp;"' AS TIPOLOGIA_TESTE,'"&amp;D180&amp;"' AS TABELA_LT,'N/A' AS TABELA_SIMUL,'"&amp;F180&amp;"' AS CAMPO, "&amp;"'${ref_date}' AS REF_DATE, COUNT(*) AS NUM_REG, SUM(IF(TRIM(CAST(X."&amp;F180&amp;" AS STRING)) IN ('0000-00-00','0001-01-01','9999-12-31','MISS','00000','99999999999','99999999999.00','99999999999.000000'),1,0)) AS NUM_REG_DIF,'"&amp;MAX('ID1&amp;5'!K:K)+1&amp;"' AS ID_EXEC, CURRENT_TIMESTAMP() AS TIME_EXEC FROM "&amp;I180,
IF(C180="Not applicable",+"SELECT '"&amp;UPPER(B180)&amp;"' AS TABELA, '"&amp;UPPER(C180)&amp;"' AS TIPOLOGIA_TESTE,'"&amp;D180&amp;"' AS TABELA_LT,'N/A' AS TABELA_SIMUL,'"&amp;F180&amp;"' AS CAMPO, "&amp;"'${ref_date}' AS REF_DATE, COUNT(*) AS NUM_REG, SUM(IF(TRIM(CAST(X."&amp;F180&amp;" AS STRING)) IN ('N/A','11111111111','11111111111.00','11111111111.000000','1111-11-11'),1,0)) AS NUM_REG_DIF,'"&amp;MAX('ID1&amp;5'!K:K)+1&amp;"' AS ID_EXEC, CURRENT_TIMESTAMP() AS TIME_EXEC FROM "&amp;I180,
IF(C180="Valores extremos",+"SELECT '"&amp;UPPER(B180)&amp;"' AS TABELA, '"&amp;UPPER(C180)&amp;"' AS TIPOLOGIA_TESTE,'"&amp;D180&amp;"' AS TABELA_LT,'N/A' AS TABELA_SIMUL,'"&amp;F180&amp;"' AS CAMPO, "&amp;"'${ref_date}' AS REF_DATE, CAST(MIN("&amp;F180&amp;") AS STRING) AS VALOR_MIN, CAST(MAX("&amp;F180&amp;") AS STRING) AS VALOR_MAX,'"&amp;MAX('ID1&amp;5'!K:K)+1&amp;"' AS ID_EXEC, CURRENT_TIMESTAMP() AS TIME_EXEC FROM "&amp;MID(I180,1,LEN(I180)-2)&amp;" AND CAST("&amp;F180&amp;"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TABELA_SIMUL,'FLG_CHRNC_PHYSCL_RSK' AS CAMPO, '${ref_date}' AS REF_DATE, COUNT(*) AS NUM_REG, SUM(IF(TRIM(CAST(X.FLG_CHRNC_PHYSCL_RSK AS STRING))='' OR TRIM(CAST(X.FLG_CHRNC_PHYSCL_RSK AS STRING)) IS NULL,1,0)) AS NUM_REG_DIF,'10' AS ID_EXEC, CURRENT_TIMESTAMP() AS TIME_EXEC FROM (SELECT prtctn_id, FLG_CHRNC_PHYSCL_RSK FROM BU_LOANTAPE_WORK.LT004_PROTECTION WHERE ref_date='${ref_date}' AND nome_perimetro='Individual Corporativo' AND segmento='ESTR' AND ambito='PILAR3')X</v>
      </c>
      <c r="M180" s="43" t="str">
        <f t="shared" si="2"/>
        <v>UNION ALL SELECT 'PROTECTION' AS TABELA, 'VALIDADE' AS TIPOLOGIA_TESTE,'BU_LOANTAPE_WORK.LT004_PROTECTION' AS TABELA_LT,'N/A' AS TABELA_SIMUL,'FLG_CHRNC_PHYSCL_RSK' AS CAMPO, '${ref_date}' AS REF_DATE, COUNT(*) AS NUM_REG, SUM(IF(TRIM(CAST(X.FLG_CHRNC_PHYSCL_RSK AS STRING))='' OR TRIM(CAST(X.FLG_CHRNC_PHYSCL_RSK AS STRING)) IS NULL,1,0)) AS NUM_REG_DIF,'10' AS ID_EXEC, CURRENT_TIMESTAMP() AS TIME_EXEC FROM (SELECT prtctn_id, FLG_CHRNC_PHYSCL_RSK FROM BU_LOANTAPE_WORK.LT004_PROTECTION WHERE ref_date='${ref_date}' AND nome_perimetro='Individual Corporativo' AND segmento='ESTR' AND ambito='PILAR3')X</v>
      </c>
      <c r="N180" s="45" t="s">
        <v>13</v>
      </c>
    </row>
    <row r="181" spans="2:14">
      <c r="B181" s="41" t="s">
        <v>31</v>
      </c>
      <c r="C181" s="41" t="s">
        <v>75</v>
      </c>
      <c r="D181" s="41" t="str">
        <f>+UPPER('0. Instruções'!$D$33&amp;"."&amp;VLOOKUP(B181,'0. Instruções'!$C$27:$D$31,2,FALSE))</f>
        <v>BU_LOANTAPE_WORK.LT004_PROTECTION</v>
      </c>
      <c r="E181" s="41" t="str">
        <f>+UPPER('0. Instruções'!$D$34&amp;"."&amp;VLOOKUP(B181,'0. Instruções'!$C$27:$E$31,3,FALSE))</f>
        <v>BU_LOANTAPE_WORK.LT004_PROTECTION_P3_NOV24</v>
      </c>
      <c r="F181" s="41" t="s">
        <v>156</v>
      </c>
      <c r="G181" s="41" t="s">
        <v>13</v>
      </c>
      <c r="H181" s="41"/>
      <c r="I181" s="41" t="str">
        <f>"(SELECT "&amp;VLOOKUP(B181,'0. Instruções'!$C$27:$G$31,4,FALSE)&amp;", "&amp;F181&amp;" FROM "&amp;D181&amp;" WHERE "&amp;'0. Instruções'!$D$40&amp;")X"</f>
        <v>(SELECT prtctn_id, DT_RFRNC FROM BU_LOANTAPE_WORK.LT004_PROTECTION WHERE ref_date='${ref_date}' AND nome_perimetro='Individual Corporativo' AND segmento='ESTR' AND ambito='PILAR3')X</v>
      </c>
      <c r="J181" s="41" t="str">
        <f>"(SELECT "&amp;VLOOKUP(B181,'0. Instruções'!$C$27:$G$31,4,FALSE)&amp;" AS "&amp;VLOOKUP(B181,'0. Instruções'!$C$27:$G$31,4,FALSE)&amp;"_SIMUL, "&amp;F181&amp;" AS "&amp;F181&amp;"_SIMUL FROM "&amp;E181&amp;")Y"</f>
        <v>(SELECT prtctn_id AS prtctn_id_SIMUL, DT_RFRNC AS DT_RFRNC_SIMUL FROM BU_LOANTAPE_WORK.LT004_PROTECTION_P3_NOV24)Y</v>
      </c>
      <c r="K181" s="42" t="str">
        <f>+UPPER("ON X."&amp;VLOOKUP(B181,'0. Instruções'!$C$27:$G$31,4,FALSE)&amp;"=Y."&amp;VLOOKUP(B181,'0. Instruções'!$C$27:$G$31,4,FALSE)&amp;"_SIMUL")</f>
        <v>ON X.PRTCTN_ID=Y.PRTCTN_ID_SIMUL</v>
      </c>
      <c r="L181" s="42" t="str">
        <f>+IF(C181="Coerência", +IF(LEFT(G181,5)="FLOAT","SELECT '"&amp;UPPER(B181)&amp;"' AS TABELA, '"&amp;UPPER(C181)&amp;"' AS TIPOLOGIA_TESTE,'"&amp;D181&amp;"' AS TABELA_LT,'"&amp;E181&amp;"' AS TABELA_SIMUL,'"&amp;F181&amp;"' AS CAMPO, "&amp;"'${ref_date}' AS REF_DATE, COUNT(*) AS NUM_REG, SUM(IF((ABS(COALESCE(X."&amp;F181&amp;",0)-COALESCE(Y."&amp;F181&amp;"_SIMUL,0))&gt;0.0000000001) OR (X."&amp;F181&amp;" IS NULL AND Y."&amp;F181&amp;"_SIMUL IS NOT NULL ) OR (X."&amp;F181&amp;" IS NOT NULL AND Y."&amp;F181&amp;"_SIMUL IS NULL),1,0)) AS NUM_REG_DIF,'"&amp;MAX('ID1&amp;5'!K:K)+1&amp;"' AS ID_EXEC, CURRENT_TIMESTAMP() AS TIME_EXEC FROM "&amp;I181&amp;" INNER JOIN "&amp;J181&amp;" "&amp;K181,"SELECT '"&amp;UPPER(B181)&amp;"' AS TABELA, '"&amp;UPPER(C181)&amp;"' AS TIPOLOGIA_TESTE,'"&amp;D181&amp;"' AS TABELA_LT,'"&amp;E181&amp;"' AS TABELA_SIMUL,'"&amp;F181&amp;"' AS CAMPO, "&amp;"'${ref_date}' AS REF_DATE, COUNT(*) AS NUM_REG, SUM(IF(COALESCE(CAST(X."&amp;F181&amp;" AS STRING),'')&lt;&gt;COALESCE(CAST(Y."&amp;F181&amp;"_SIMUL AS STRING),''),1,0)) AS NUM_REG_DIF,'"&amp;MAX('ID1&amp;5'!L:L)+1&amp;"' AS ID_EXEC, CURRENT_TIMESTAMP() AS TIME_EXEC FROM "&amp;I181&amp;" INNER JOIN "&amp;J181&amp;" "&amp;K181),
IF(C181="Validade",+IF(G181="Code List","SELECT '"&amp;UPPER(B181)&amp;"' AS TABELA, '"&amp;UPPER(C181)&amp;"' AS TIPOLOGIA_TESTE,'"&amp;D181&amp;"' AS TABELA_LT,'N/A' AS TABELA_SIMUL,'"&amp;F181&amp;"' AS CAMPO, "&amp;"'${ref_date}' AS REF_DATE, COUNT(*) AS NUM_REG, SUM(IF(TRIM(CAST(X."&amp;F181&amp;" AS STRING))='' OR TRIM(CAST(X."&amp;F181&amp;" AS STRING)) IS NULL OR CAST(X."&amp;F181&amp;" AS STRING) NOT "&amp;H181&amp;",1,0)) AS NUM_REG_DIF,'"&amp;MAX('ID1&amp;5'!K:K)+1&amp;"' AS ID_EXEC, CURRENT_TIMESTAMP() AS TIME_EXEC FROM "&amp;I181,"SELECT '"&amp;UPPER(B181)&amp;"' AS TABELA, '"&amp;UPPER(C181)&amp;"' AS TIPOLOGIA_TESTE,'"&amp;D181&amp;"' AS TABELA_LT,'N/A' AS TABELA_SIMUL,'"&amp;F181&amp;"' AS CAMPO, "&amp;"'${ref_date}' AS REF_DATE, COUNT(*) AS NUM_REG, SUM(IF(TRIM(CAST(X."&amp;F181&amp;" AS STRING))='' OR TRIM(CAST(X."&amp;F181&amp;" AS STRING)) IS NULL,1,0)) AS NUM_REG_DIF,'"&amp;MAX('ID1&amp;5'!K:K)+1&amp;"' AS ID_EXEC, CURRENT_TIMESTAMP() AS TIME_EXEC FROM "&amp;I181),
IF(C181="Caracteres Especiais",+"SELECT '"&amp;UPPER(B181)&amp;"' AS TABELA, '"&amp;UPPER(C181)&amp;"' AS TIPOLOGIA_TESTE,'"&amp;D181&amp;"' AS TABELA_LT,'N/A' AS TABELA_SIMUL,'"&amp;F181&amp;"' AS CAMPO, "&amp;"'${ref_date}' AS REF_DATE, COUNT(*) AS NUM_REG, SUM(IF(INSTR(CAST(X."&amp;F181&amp;" AS STRING),'#')&gt;0 OR INSTR(CAST(X."&amp;F181&amp;" AS STRING),'*')&gt;0 OR INSTR(CAST(X."&amp;F181&amp;" AS STRING),'`')&gt;0 OR INSTR(CAST(X."&amp;F181&amp;" AS STRING),'´')&gt;0 OR INSTR(CAST(X."&amp;F181&amp;" AS STRING),'{')&gt;0 OR INSTR(CAST(X."&amp;F181&amp;" AS STRING),'}')&gt;0 OR INSTR(CAST(X."&amp;F181&amp;" AS STRING),'[')&gt;0 OR INSTR(CAST(X."&amp;F181&amp;" AS STRING),'')&gt;0 OR INSTR(CAST(X."&amp;F181&amp;" AS STRING),']')&gt;0 OR INSTR(CAST(X."&amp;F181&amp;" AS STRING),'?')&gt;0 OR INSTR(CAST(X."&amp;F181&amp;" AS STRING),'!')&gt;0 OR INSTR(CAST(X."&amp;F181&amp;" AS STRING),'$')&gt;0 OR INSTR(CAST(X."&amp;F181&amp;" AS STRING),'%')&gt;0 OR INSTR(CAST(X."&amp;F181&amp;" AS STRING),'&amp;')&gt;0 OR INSTR(CAST(X."&amp;F181&amp;" AS STRING),'+')&gt;0,1,0)) AS NUM_REG_DIF,'"&amp;MAX('ID1&amp;5'!K:K)+1&amp;"' AS ID_EXEC, CURRENT_TIMESTAMP() AS TIME_EXEC FROM "&amp;I181,
IF(C181="Missings",+"SELECT '"&amp;UPPER(B181)&amp;"' AS TABELA, '"&amp;UPPER(C181)&amp;"' AS TIPOLOGIA_TESTE,'"&amp;D181&amp;"' AS TABELA_LT,'N/A' AS TABELA_SIMUL,'"&amp;F181&amp;"' AS CAMPO, "&amp;"'${ref_date}' AS REF_DATE, COUNT(*) AS NUM_REG, SUM(IF(TRIM(CAST(X."&amp;F181&amp;" AS STRING)) IN ('0000-00-00','0001-01-01','9999-12-31','MISS','00000','99999999999','99999999999.00','99999999999.000000'),1,0)) AS NUM_REG_DIF,'"&amp;MAX('ID1&amp;5'!K:K)+1&amp;"' AS ID_EXEC, CURRENT_TIMESTAMP() AS TIME_EXEC FROM "&amp;I181,
IF(C181="Not applicable",+"SELECT '"&amp;UPPER(B181)&amp;"' AS TABELA, '"&amp;UPPER(C181)&amp;"' AS TIPOLOGIA_TESTE,'"&amp;D181&amp;"' AS TABELA_LT,'N/A' AS TABELA_SIMUL,'"&amp;F181&amp;"' AS CAMPO, "&amp;"'${ref_date}' AS REF_DATE, COUNT(*) AS NUM_REG, SUM(IF(TRIM(CAST(X."&amp;F181&amp;" AS STRING)) IN ('N/A','11111111111','11111111111.00','11111111111.000000','1111-11-11'),1,0)) AS NUM_REG_DIF,'"&amp;MAX('ID1&amp;5'!K:K)+1&amp;"' AS ID_EXEC, CURRENT_TIMESTAMP() AS TIME_EXEC FROM "&amp;I181,
IF(C181="Valores extremos",+"SELECT '"&amp;UPPER(B181)&amp;"' AS TABELA, '"&amp;UPPER(C181)&amp;"' AS TIPOLOGIA_TESTE,'"&amp;D181&amp;"' AS TABELA_LT,'N/A' AS TABELA_SIMUL,'"&amp;F181&amp;"' AS CAMPO, "&amp;"'${ref_date}' AS REF_DATE, CAST(MIN("&amp;F181&amp;") AS STRING) AS VALOR_MIN, CAST(MAX("&amp;F181&amp;") AS STRING) AS VALOR_MAX,'"&amp;MAX('ID1&amp;5'!K:K)+1&amp;"' AS ID_EXEC, CURRENT_TIMESTAMP() AS TIME_EXEC FROM "&amp;MID(I181,1,LEN(I181)-2)&amp;" AND CAST("&amp;F181&amp;"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TABELA_SIMUL,'DT_RFRNC' AS CAMPO, '${ref_date}' AS REF_DATE, COUNT(*) AS NUM_REG, SUM(IF(TRIM(CAST(X.DT_RFRNC AS STRING))='' OR TRIM(CAST(X.DT_RFRNC AS STRING)) IS NULL,1,0)) AS NUM_REG_DIF,'10' AS ID_EXEC, CURRENT_TIMESTAMP() AS TIME_EXEC FROM (SELECT prtctn_id, DT_RFRNC FROM BU_LOANTAPE_WORK.LT004_PROTECTION WHERE ref_date='${ref_date}' AND nome_perimetro='Individual Corporativo' AND segmento='ESTR' AND ambito='PILAR3')X</v>
      </c>
      <c r="M181" s="43" t="str">
        <f t="shared" si="2"/>
        <v>UNION ALL SELECT 'PROTECTION' AS TABELA, 'VALIDADE' AS TIPOLOGIA_TESTE,'BU_LOANTAPE_WORK.LT004_PROTECTION' AS TABELA_LT,'N/A' AS TABELA_SIMUL,'DT_RFRNC' AS CAMPO, '${ref_date}' AS REF_DATE, COUNT(*) AS NUM_REG, SUM(IF(TRIM(CAST(X.DT_RFRNC AS STRING))='' OR TRIM(CAST(X.DT_RFRNC AS STRING)) IS NULL,1,0)) AS NUM_REG_DIF,'10' AS ID_EXEC, CURRENT_TIMESTAMP() AS TIME_EXEC FROM (SELECT prtctn_id, DT_RFRNC FROM BU_LOANTAPE_WORK.LT004_PROTECTION WHERE ref_date='${ref_date}' AND nome_perimetro='Individual Corporativo' AND segmento='ESTR' AND ambito='PILAR3')X</v>
      </c>
      <c r="N181" s="45" t="s">
        <v>13</v>
      </c>
    </row>
    <row r="182" spans="2:14">
      <c r="B182" s="41" t="s">
        <v>31</v>
      </c>
      <c r="C182" s="41" t="s">
        <v>75</v>
      </c>
      <c r="D182" s="41" t="str">
        <f>+UPPER('0. Instruções'!$D$33&amp;"."&amp;VLOOKUP(B182,'0. Instruções'!$C$27:$D$31,2,FALSE))</f>
        <v>BU_LOANTAPE_WORK.LT004_PROTECTION</v>
      </c>
      <c r="E182" s="41" t="str">
        <f>+UPPER('0. Instruções'!$D$34&amp;"."&amp;VLOOKUP(B182,'0. Instruções'!$C$27:$E$31,3,FALSE))</f>
        <v>BU_LOANTAPE_WORK.LT004_PROTECTION_P3_NOV24</v>
      </c>
      <c r="F182" s="41" t="s">
        <v>190</v>
      </c>
      <c r="G182" s="41" t="s">
        <v>13</v>
      </c>
      <c r="H182" s="41"/>
      <c r="I182" s="41" t="str">
        <f>"(SELECT "&amp;VLOOKUP(B182,'0. Instruções'!$C$27:$G$31,4,FALSE)&amp;", "&amp;F182&amp;" FROM "&amp;D182&amp;" WHERE "&amp;'0. Instruções'!$D$40&amp;")X"</f>
        <v>(SELECT prtctn_id, PRTCTN_ID FROM BU_LOANTAPE_WORK.LT004_PROTECTION WHERE ref_date='${ref_date}' AND nome_perimetro='Individual Corporativo' AND segmento='ESTR' AND ambito='PILAR3')X</v>
      </c>
      <c r="J182" s="41" t="str">
        <f>"(SELECT "&amp;VLOOKUP(B182,'0. Instruções'!$C$27:$G$31,4,FALSE)&amp;" AS "&amp;VLOOKUP(B182,'0. Instruções'!$C$27:$G$31,4,FALSE)&amp;"_SIMUL, "&amp;F182&amp;" AS "&amp;F182&amp;"_SIMUL FROM "&amp;E182&amp;")Y"</f>
        <v>(SELECT prtctn_id AS prtctn_id_SIMUL, PRTCTN_ID AS PRTCTN_ID_SIMUL FROM BU_LOANTAPE_WORK.LT004_PROTECTION_P3_NOV24)Y</v>
      </c>
      <c r="K182" s="42" t="str">
        <f>+UPPER("ON X."&amp;VLOOKUP(B182,'0. Instruções'!$C$27:$G$31,4,FALSE)&amp;"=Y."&amp;VLOOKUP(B182,'0. Instruções'!$C$27:$G$31,4,FALSE)&amp;"_SIMUL")</f>
        <v>ON X.PRTCTN_ID=Y.PRTCTN_ID_SIMUL</v>
      </c>
      <c r="L182" s="42" t="str">
        <f>+IF(C182="Coerência", +IF(LEFT(G182,5)="FLOAT","SELECT '"&amp;UPPER(B182)&amp;"' AS TABELA, '"&amp;UPPER(C182)&amp;"' AS TIPOLOGIA_TESTE,'"&amp;D182&amp;"' AS TABELA_LT,'"&amp;E182&amp;"' AS TABELA_SIMUL,'"&amp;F182&amp;"' AS CAMPO, "&amp;"'${ref_date}' AS REF_DATE, COUNT(*) AS NUM_REG, SUM(IF((ABS(COALESCE(X."&amp;F182&amp;",0)-COALESCE(Y."&amp;F182&amp;"_SIMUL,0))&gt;0.0000000001) OR (X."&amp;F182&amp;" IS NULL AND Y."&amp;F182&amp;"_SIMUL IS NOT NULL ) OR (X."&amp;F182&amp;" IS NOT NULL AND Y."&amp;F182&amp;"_SIMUL IS NULL),1,0)) AS NUM_REG_DIF,'"&amp;MAX('ID1&amp;5'!K:K)+1&amp;"' AS ID_EXEC, CURRENT_TIMESTAMP() AS TIME_EXEC FROM "&amp;I182&amp;" INNER JOIN "&amp;J182&amp;" "&amp;K182,"SELECT '"&amp;UPPER(B182)&amp;"' AS TABELA, '"&amp;UPPER(C182)&amp;"' AS TIPOLOGIA_TESTE,'"&amp;D182&amp;"' AS TABELA_LT,'"&amp;E182&amp;"' AS TABELA_SIMUL,'"&amp;F182&amp;"' AS CAMPO, "&amp;"'${ref_date}' AS REF_DATE, COUNT(*) AS NUM_REG, SUM(IF(COALESCE(CAST(X."&amp;F182&amp;" AS STRING),'')&lt;&gt;COALESCE(CAST(Y."&amp;F182&amp;"_SIMUL AS STRING),''),1,0)) AS NUM_REG_DIF,'"&amp;MAX('ID1&amp;5'!L:L)+1&amp;"' AS ID_EXEC, CURRENT_TIMESTAMP() AS TIME_EXEC FROM "&amp;I182&amp;" INNER JOIN "&amp;J182&amp;" "&amp;K182),
IF(C182="Validade",+IF(G182="Code List","SELECT '"&amp;UPPER(B182)&amp;"' AS TABELA, '"&amp;UPPER(C182)&amp;"' AS TIPOLOGIA_TESTE,'"&amp;D182&amp;"' AS TABELA_LT,'N/A' AS TABELA_SIMUL,'"&amp;F182&amp;"' AS CAMPO, "&amp;"'${ref_date}' AS REF_DATE, COUNT(*) AS NUM_REG, SUM(IF(TRIM(CAST(X."&amp;F182&amp;" AS STRING))='' OR TRIM(CAST(X."&amp;F182&amp;" AS STRING)) IS NULL OR CAST(X."&amp;F182&amp;" AS STRING) NOT "&amp;H182&amp;",1,0)) AS NUM_REG_DIF,'"&amp;MAX('ID1&amp;5'!K:K)+1&amp;"' AS ID_EXEC, CURRENT_TIMESTAMP() AS TIME_EXEC FROM "&amp;I182,"SELECT '"&amp;UPPER(B182)&amp;"' AS TABELA, '"&amp;UPPER(C182)&amp;"' AS TIPOLOGIA_TESTE,'"&amp;D182&amp;"' AS TABELA_LT,'N/A' AS TABELA_SIMUL,'"&amp;F182&amp;"' AS CAMPO, "&amp;"'${ref_date}' AS REF_DATE, COUNT(*) AS NUM_REG, SUM(IF(TRIM(CAST(X."&amp;F182&amp;" AS STRING))='' OR TRIM(CAST(X."&amp;F182&amp;" AS STRING)) IS NULL,1,0)) AS NUM_REG_DIF,'"&amp;MAX('ID1&amp;5'!K:K)+1&amp;"' AS ID_EXEC, CURRENT_TIMESTAMP() AS TIME_EXEC FROM "&amp;I182),
IF(C182="Caracteres Especiais",+"SELECT '"&amp;UPPER(B182)&amp;"' AS TABELA, '"&amp;UPPER(C182)&amp;"' AS TIPOLOGIA_TESTE,'"&amp;D182&amp;"' AS TABELA_LT,'N/A' AS TABELA_SIMUL,'"&amp;F182&amp;"' AS CAMPO, "&amp;"'${ref_date}' AS REF_DATE, COUNT(*) AS NUM_REG, SUM(IF(INSTR(CAST(X."&amp;F182&amp;" AS STRING),'#')&gt;0 OR INSTR(CAST(X."&amp;F182&amp;" AS STRING),'*')&gt;0 OR INSTR(CAST(X."&amp;F182&amp;" AS STRING),'`')&gt;0 OR INSTR(CAST(X."&amp;F182&amp;" AS STRING),'´')&gt;0 OR INSTR(CAST(X."&amp;F182&amp;" AS STRING),'{')&gt;0 OR INSTR(CAST(X."&amp;F182&amp;" AS STRING),'}')&gt;0 OR INSTR(CAST(X."&amp;F182&amp;" AS STRING),'[')&gt;0 OR INSTR(CAST(X."&amp;F182&amp;" AS STRING),'')&gt;0 OR INSTR(CAST(X."&amp;F182&amp;" AS STRING),']')&gt;0 OR INSTR(CAST(X."&amp;F182&amp;" AS STRING),'?')&gt;0 OR INSTR(CAST(X."&amp;F182&amp;" AS STRING),'!')&gt;0 OR INSTR(CAST(X."&amp;F182&amp;" AS STRING),'$')&gt;0 OR INSTR(CAST(X."&amp;F182&amp;" AS STRING),'%')&gt;0 OR INSTR(CAST(X."&amp;F182&amp;" AS STRING),'&amp;')&gt;0 OR INSTR(CAST(X."&amp;F182&amp;" AS STRING),'+')&gt;0,1,0)) AS NUM_REG_DIF,'"&amp;MAX('ID1&amp;5'!K:K)+1&amp;"' AS ID_EXEC, CURRENT_TIMESTAMP() AS TIME_EXEC FROM "&amp;I182,
IF(C182="Missings",+"SELECT '"&amp;UPPER(B182)&amp;"' AS TABELA, '"&amp;UPPER(C182)&amp;"' AS TIPOLOGIA_TESTE,'"&amp;D182&amp;"' AS TABELA_LT,'N/A' AS TABELA_SIMUL,'"&amp;F182&amp;"' AS CAMPO, "&amp;"'${ref_date}' AS REF_DATE, COUNT(*) AS NUM_REG, SUM(IF(TRIM(CAST(X."&amp;F182&amp;" AS STRING)) IN ('0000-00-00','0001-01-01','9999-12-31','MISS','00000','99999999999','99999999999.00','99999999999.000000'),1,0)) AS NUM_REG_DIF,'"&amp;MAX('ID1&amp;5'!K:K)+1&amp;"' AS ID_EXEC, CURRENT_TIMESTAMP() AS TIME_EXEC FROM "&amp;I182,
IF(C182="Not applicable",+"SELECT '"&amp;UPPER(B182)&amp;"' AS TABELA, '"&amp;UPPER(C182)&amp;"' AS TIPOLOGIA_TESTE,'"&amp;D182&amp;"' AS TABELA_LT,'N/A' AS TABELA_SIMUL,'"&amp;F182&amp;"' AS CAMPO, "&amp;"'${ref_date}' AS REF_DATE, COUNT(*) AS NUM_REG, SUM(IF(TRIM(CAST(X."&amp;F182&amp;" AS STRING)) IN ('N/A','11111111111','11111111111.00','11111111111.000000','1111-11-11'),1,0)) AS NUM_REG_DIF,'"&amp;MAX('ID1&amp;5'!K:K)+1&amp;"' AS ID_EXEC, CURRENT_TIMESTAMP() AS TIME_EXEC FROM "&amp;I182,
IF(C182="Valores extremos",+"SELECT '"&amp;UPPER(B182)&amp;"' AS TABELA, '"&amp;UPPER(C182)&amp;"' AS TIPOLOGIA_TESTE,'"&amp;D182&amp;"' AS TABELA_LT,'N/A' AS TABELA_SIMUL,'"&amp;F182&amp;"' AS CAMPO, "&amp;"'${ref_date}' AS REF_DATE, CAST(MIN("&amp;F182&amp;") AS STRING) AS VALOR_MIN, CAST(MAX("&amp;F182&amp;") AS STRING) AS VALOR_MAX,'"&amp;MAX('ID1&amp;5'!K:K)+1&amp;"' AS ID_EXEC, CURRENT_TIMESTAMP() AS TIME_EXEC FROM "&amp;MID(I182,1,LEN(I182)-2)&amp;" AND CAST("&amp;F182&amp;"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TABELA_SIMUL,'PRTCTN_ID' AS CAMPO, '${ref_date}' AS REF_DATE, COUNT(*) AS NUM_REG, SUM(IF(TRIM(CAST(X.PRTCTN_ID AS STRING))='' OR TRIM(CAST(X.PRTCTN_ID AS STRING)) IS NULL,1,0)) AS NUM_REG_DIF,'10' AS ID_EXEC, CURRENT_TIMESTAMP() AS TIME_EXEC FROM (SELECT prtctn_id, PRTCTN_ID FROM BU_LOANTAPE_WORK.LT004_PROTECTION WHERE ref_date='${ref_date}' AND nome_perimetro='Individual Corporativo' AND segmento='ESTR' AND ambito='PILAR3')X</v>
      </c>
      <c r="M182" s="43" t="str">
        <f t="shared" si="2"/>
        <v>UNION ALL SELECT 'PROTECTION' AS TABELA, 'VALIDADE' AS TIPOLOGIA_TESTE,'BU_LOANTAPE_WORK.LT004_PROTECTION' AS TABELA_LT,'N/A' AS TABELA_SIMUL,'PRTCTN_ID' AS CAMPO, '${ref_date}' AS REF_DATE, COUNT(*) AS NUM_REG, SUM(IF(TRIM(CAST(X.PRTCTN_ID AS STRING))='' OR TRIM(CAST(X.PRTCTN_ID AS STRING)) IS NULL,1,0)) AS NUM_REG_DIF,'10' AS ID_EXEC, CURRENT_TIMESTAMP() AS TIME_EXEC FROM (SELECT prtctn_id, PRTCTN_ID FROM BU_LOANTAPE_WORK.LT004_PROTECTION WHERE ref_date='${ref_date}' AND nome_perimetro='Individual Corporativo' AND segmento='ESTR' AND ambito='PILAR3')X</v>
      </c>
      <c r="N182" s="45" t="s">
        <v>13</v>
      </c>
    </row>
    <row r="183" spans="2:14">
      <c r="B183" s="41" t="s">
        <v>31</v>
      </c>
      <c r="C183" s="41" t="s">
        <v>75</v>
      </c>
      <c r="D183" s="41" t="str">
        <f>+UPPER('0. Instruções'!$D$33&amp;"."&amp;VLOOKUP(B183,'0. Instruções'!$C$27:$D$31,2,FALSE))</f>
        <v>BU_LOANTAPE_WORK.LT004_PROTECTION</v>
      </c>
      <c r="E183" s="41" t="str">
        <f>+UPPER('0. Instruções'!$D$34&amp;"."&amp;VLOOKUP(B183,'0. Instruções'!$C$27:$E$31,3,FALSE))</f>
        <v>BU_LOANTAPE_WORK.LT004_PROTECTION_P3_NOV24</v>
      </c>
      <c r="F183" s="41" t="s">
        <v>191</v>
      </c>
      <c r="G183" s="41" t="s">
        <v>13</v>
      </c>
      <c r="H183" s="41"/>
      <c r="I183" s="41" t="str">
        <f>"(SELECT "&amp;VLOOKUP(B183,'0. Instruções'!$C$27:$G$31,4,FALSE)&amp;", "&amp;F183&amp;" FROM "&amp;D183&amp;" WHERE "&amp;'0. Instruções'!$D$40&amp;")X"</f>
        <v>(SELECT prtctn_id, RL_ESTT_CLLTRL_LCTN FROM BU_LOANTAPE_WORK.LT004_PROTECTION WHERE ref_date='${ref_date}' AND nome_perimetro='Individual Corporativo' AND segmento='ESTR' AND ambito='PILAR3')X</v>
      </c>
      <c r="J183" s="41" t="str">
        <f>"(SELECT "&amp;VLOOKUP(B183,'0. Instruções'!$C$27:$G$31,4,FALSE)&amp;" AS "&amp;VLOOKUP(B183,'0. Instruções'!$C$27:$G$31,4,FALSE)&amp;"_SIMUL, "&amp;F183&amp;" AS "&amp;F183&amp;"_SIMUL FROM "&amp;E183&amp;")Y"</f>
        <v>(SELECT prtctn_id AS prtctn_id_SIMUL, RL_ESTT_CLLTRL_LCTN AS RL_ESTT_CLLTRL_LCTN_SIMUL FROM BU_LOANTAPE_WORK.LT004_PROTECTION_P3_NOV24)Y</v>
      </c>
      <c r="K183" s="42" t="str">
        <f>+UPPER("ON X."&amp;VLOOKUP(B183,'0. Instruções'!$C$27:$G$31,4,FALSE)&amp;"=Y."&amp;VLOOKUP(B183,'0. Instruções'!$C$27:$G$31,4,FALSE)&amp;"_SIMUL")</f>
        <v>ON X.PRTCTN_ID=Y.PRTCTN_ID_SIMUL</v>
      </c>
      <c r="L183" s="42" t="str">
        <f>+IF(C183="Coerência", +IF(LEFT(G183,5)="FLOAT","SELECT '"&amp;UPPER(B183)&amp;"' AS TABELA, '"&amp;UPPER(C183)&amp;"' AS TIPOLOGIA_TESTE,'"&amp;D183&amp;"' AS TABELA_LT,'"&amp;E183&amp;"' AS TABELA_SIMUL,'"&amp;F183&amp;"' AS CAMPO, "&amp;"'${ref_date}' AS REF_DATE, COUNT(*) AS NUM_REG, SUM(IF((ABS(COALESCE(X."&amp;F183&amp;",0)-COALESCE(Y."&amp;F183&amp;"_SIMUL,0))&gt;0.0000000001) OR (X."&amp;F183&amp;" IS NULL AND Y."&amp;F183&amp;"_SIMUL IS NOT NULL ) OR (X."&amp;F183&amp;" IS NOT NULL AND Y."&amp;F183&amp;"_SIMUL IS NULL),1,0)) AS NUM_REG_DIF,'"&amp;MAX('ID1&amp;5'!K:K)+1&amp;"' AS ID_EXEC, CURRENT_TIMESTAMP() AS TIME_EXEC FROM "&amp;I183&amp;" INNER JOIN "&amp;J183&amp;" "&amp;K183,"SELECT '"&amp;UPPER(B183)&amp;"' AS TABELA, '"&amp;UPPER(C183)&amp;"' AS TIPOLOGIA_TESTE,'"&amp;D183&amp;"' AS TABELA_LT,'"&amp;E183&amp;"' AS TABELA_SIMUL,'"&amp;F183&amp;"' AS CAMPO, "&amp;"'${ref_date}' AS REF_DATE, COUNT(*) AS NUM_REG, SUM(IF(COALESCE(CAST(X."&amp;F183&amp;" AS STRING),'')&lt;&gt;COALESCE(CAST(Y."&amp;F183&amp;"_SIMUL AS STRING),''),1,0)) AS NUM_REG_DIF,'"&amp;MAX('ID1&amp;5'!L:L)+1&amp;"' AS ID_EXEC, CURRENT_TIMESTAMP() AS TIME_EXEC FROM "&amp;I183&amp;" INNER JOIN "&amp;J183&amp;" "&amp;K183),
IF(C183="Validade",+IF(G183="Code List","SELECT '"&amp;UPPER(B183)&amp;"' AS TABELA, '"&amp;UPPER(C183)&amp;"' AS TIPOLOGIA_TESTE,'"&amp;D183&amp;"' AS TABELA_LT,'N/A' AS TABELA_SIMUL,'"&amp;F183&amp;"' AS CAMPO, "&amp;"'${ref_date}' AS REF_DATE, COUNT(*) AS NUM_REG, SUM(IF(TRIM(CAST(X."&amp;F183&amp;" AS STRING))='' OR TRIM(CAST(X."&amp;F183&amp;" AS STRING)) IS NULL OR CAST(X."&amp;F183&amp;" AS STRING) NOT "&amp;H183&amp;",1,0)) AS NUM_REG_DIF,'"&amp;MAX('ID1&amp;5'!K:K)+1&amp;"' AS ID_EXEC, CURRENT_TIMESTAMP() AS TIME_EXEC FROM "&amp;I183,"SELECT '"&amp;UPPER(B183)&amp;"' AS TABELA, '"&amp;UPPER(C183)&amp;"' AS TIPOLOGIA_TESTE,'"&amp;D183&amp;"' AS TABELA_LT,'N/A' AS TABELA_SIMUL,'"&amp;F183&amp;"' AS CAMPO, "&amp;"'${ref_date}' AS REF_DATE, COUNT(*) AS NUM_REG, SUM(IF(TRIM(CAST(X."&amp;F183&amp;" AS STRING))='' OR TRIM(CAST(X."&amp;F183&amp;" AS STRING)) IS NULL,1,0)) AS NUM_REG_DIF,'"&amp;MAX('ID1&amp;5'!K:K)+1&amp;"' AS ID_EXEC, CURRENT_TIMESTAMP() AS TIME_EXEC FROM "&amp;I183),
IF(C183="Caracteres Especiais",+"SELECT '"&amp;UPPER(B183)&amp;"' AS TABELA, '"&amp;UPPER(C183)&amp;"' AS TIPOLOGIA_TESTE,'"&amp;D183&amp;"' AS TABELA_LT,'N/A' AS TABELA_SIMUL,'"&amp;F183&amp;"' AS CAMPO, "&amp;"'${ref_date}' AS REF_DATE, COUNT(*) AS NUM_REG, SUM(IF(INSTR(CAST(X."&amp;F183&amp;" AS STRING),'#')&gt;0 OR INSTR(CAST(X."&amp;F183&amp;" AS STRING),'*')&gt;0 OR INSTR(CAST(X."&amp;F183&amp;" AS STRING),'`')&gt;0 OR INSTR(CAST(X."&amp;F183&amp;" AS STRING),'´')&gt;0 OR INSTR(CAST(X."&amp;F183&amp;" AS STRING),'{')&gt;0 OR INSTR(CAST(X."&amp;F183&amp;" AS STRING),'}')&gt;0 OR INSTR(CAST(X."&amp;F183&amp;" AS STRING),'[')&gt;0 OR INSTR(CAST(X."&amp;F183&amp;" AS STRING),'')&gt;0 OR INSTR(CAST(X."&amp;F183&amp;" AS STRING),']')&gt;0 OR INSTR(CAST(X."&amp;F183&amp;" AS STRING),'?')&gt;0 OR INSTR(CAST(X."&amp;F183&amp;" AS STRING),'!')&gt;0 OR INSTR(CAST(X."&amp;F183&amp;" AS STRING),'$')&gt;0 OR INSTR(CAST(X."&amp;F183&amp;" AS STRING),'%')&gt;0 OR INSTR(CAST(X."&amp;F183&amp;" AS STRING),'&amp;')&gt;0 OR INSTR(CAST(X."&amp;F183&amp;" AS STRING),'+')&gt;0,1,0)) AS NUM_REG_DIF,'"&amp;MAX('ID1&amp;5'!K:K)+1&amp;"' AS ID_EXEC, CURRENT_TIMESTAMP() AS TIME_EXEC FROM "&amp;I183,
IF(C183="Missings",+"SELECT '"&amp;UPPER(B183)&amp;"' AS TABELA, '"&amp;UPPER(C183)&amp;"' AS TIPOLOGIA_TESTE,'"&amp;D183&amp;"' AS TABELA_LT,'N/A' AS TABELA_SIMUL,'"&amp;F183&amp;"' AS CAMPO, "&amp;"'${ref_date}' AS REF_DATE, COUNT(*) AS NUM_REG, SUM(IF(TRIM(CAST(X."&amp;F183&amp;" AS STRING)) IN ('0000-00-00','0001-01-01','9999-12-31','MISS','00000','99999999999','99999999999.00','99999999999.000000'),1,0)) AS NUM_REG_DIF,'"&amp;MAX('ID1&amp;5'!K:K)+1&amp;"' AS ID_EXEC, CURRENT_TIMESTAMP() AS TIME_EXEC FROM "&amp;I183,
IF(C183="Not applicable",+"SELECT '"&amp;UPPER(B183)&amp;"' AS TABELA, '"&amp;UPPER(C183)&amp;"' AS TIPOLOGIA_TESTE,'"&amp;D183&amp;"' AS TABELA_LT,'N/A' AS TABELA_SIMUL,'"&amp;F183&amp;"' AS CAMPO, "&amp;"'${ref_date}' AS REF_DATE, COUNT(*) AS NUM_REG, SUM(IF(TRIM(CAST(X."&amp;F183&amp;" AS STRING)) IN ('N/A','11111111111','11111111111.00','11111111111.000000','1111-11-11'),1,0)) AS NUM_REG_DIF,'"&amp;MAX('ID1&amp;5'!K:K)+1&amp;"' AS ID_EXEC, CURRENT_TIMESTAMP() AS TIME_EXEC FROM "&amp;I183,
IF(C183="Valores extremos",+"SELECT '"&amp;UPPER(B183)&amp;"' AS TABELA, '"&amp;UPPER(C183)&amp;"' AS TIPOLOGIA_TESTE,'"&amp;D183&amp;"' AS TABELA_LT,'N/A' AS TABELA_SIMUL,'"&amp;F183&amp;"' AS CAMPO, "&amp;"'${ref_date}' AS REF_DATE, CAST(MIN("&amp;F183&amp;") AS STRING) AS VALOR_MIN, CAST(MAX("&amp;F183&amp;") AS STRING) AS VALOR_MAX,'"&amp;MAX('ID1&amp;5'!K:K)+1&amp;"' AS ID_EXEC, CURRENT_TIMESTAMP() AS TIME_EXEC FROM "&amp;MID(I183,1,LEN(I183)-2)&amp;" AND CAST("&amp;F183&amp;"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TABELA_SIMUL,'RL_ESTT_CLLTRL_LCTN' AS CAMPO, '${ref_date}' AS REF_DATE, COUNT(*) AS NUM_REG, SUM(IF(TRIM(CAST(X.RL_ESTT_CLLTRL_LCTN AS STRING))='' OR TRIM(CAST(X.RL_ESTT_CLLTRL_LCTN AS STRING)) IS NULL,1,0)) AS NUM_REG_DIF,'10' AS ID_EXEC, CURRENT_TIMESTAMP() AS TIME_EXEC FROM (SELECT prtctn_id, RL_ESTT_CLLTRL_LCTN FROM BU_LOANTAPE_WORK.LT004_PROTECTION WHERE ref_date='${ref_date}' AND nome_perimetro='Individual Corporativo' AND segmento='ESTR' AND ambito='PILAR3')X</v>
      </c>
      <c r="M183" s="43" t="str">
        <f t="shared" si="2"/>
        <v>UNION ALL SELECT 'PROTECTION' AS TABELA, 'VALIDADE' AS TIPOLOGIA_TESTE,'BU_LOANTAPE_WORK.LT004_PROTECTION' AS TABELA_LT,'N/A' AS TABELA_SIMUL,'RL_ESTT_CLLTRL_LCTN' AS CAMPO, '${ref_date}' AS REF_DATE, COUNT(*) AS NUM_REG, SUM(IF(TRIM(CAST(X.RL_ESTT_CLLTRL_LCTN AS STRING))='' OR TRIM(CAST(X.RL_ESTT_CLLTRL_LCTN AS STRING)) IS NULL,1,0)) AS NUM_REG_DIF,'10' AS ID_EXEC, CURRENT_TIMESTAMP() AS TIME_EXEC FROM (SELECT prtctn_id, RL_ESTT_CLLTRL_LCTN FROM BU_LOANTAPE_WORK.LT004_PROTECTION WHERE ref_date='${ref_date}' AND nome_perimetro='Individual Corporativo' AND segmento='ESTR' AND ambito='PILAR3')X</v>
      </c>
      <c r="N183" s="45" t="s">
        <v>13</v>
      </c>
    </row>
    <row r="184" spans="2:14">
      <c r="B184" s="41" t="s">
        <v>31</v>
      </c>
      <c r="C184" s="41" t="s">
        <v>75</v>
      </c>
      <c r="D184" s="41" t="str">
        <f>+UPPER('0. Instruções'!$D$33&amp;"."&amp;VLOOKUP(B184,'0. Instruções'!$C$27:$D$31,2,FALSE))</f>
        <v>BU_LOANTAPE_WORK.LT004_PROTECTION</v>
      </c>
      <c r="E184" s="41" t="str">
        <f>+UPPER('0. Instruções'!$D$34&amp;"."&amp;VLOOKUP(B184,'0. Instruções'!$C$27:$E$31,3,FALSE))</f>
        <v>BU_LOANTAPE_WORK.LT004_PROTECTION_P3_NOV24</v>
      </c>
      <c r="F184" s="41" t="s">
        <v>192</v>
      </c>
      <c r="G184" s="41" t="s">
        <v>13</v>
      </c>
      <c r="H184" s="41"/>
      <c r="I184" s="41" t="str">
        <f>"(SELECT "&amp;VLOOKUP(B184,'0. Instruções'!$C$27:$G$31,4,FALSE)&amp;", "&amp;F184&amp;" FROM "&amp;D184&amp;" WHERE "&amp;'0. Instruções'!$D$40&amp;")X"</f>
        <v>(SELECT prtctn_id, RL_ESTT_PST_CD FROM BU_LOANTAPE_WORK.LT004_PROTECTION WHERE ref_date='${ref_date}' AND nome_perimetro='Individual Corporativo' AND segmento='ESTR' AND ambito='PILAR3')X</v>
      </c>
      <c r="J184" s="41" t="str">
        <f>"(SELECT "&amp;VLOOKUP(B184,'0. Instruções'!$C$27:$G$31,4,FALSE)&amp;" AS "&amp;VLOOKUP(B184,'0. Instruções'!$C$27:$G$31,4,FALSE)&amp;"_SIMUL, "&amp;F184&amp;" AS "&amp;F184&amp;"_SIMUL FROM "&amp;E184&amp;")Y"</f>
        <v>(SELECT prtctn_id AS prtctn_id_SIMUL, RL_ESTT_PST_CD AS RL_ESTT_PST_CD_SIMUL FROM BU_LOANTAPE_WORK.LT004_PROTECTION_P3_NOV24)Y</v>
      </c>
      <c r="K184" s="42" t="str">
        <f>+UPPER("ON X."&amp;VLOOKUP(B184,'0. Instruções'!$C$27:$G$31,4,FALSE)&amp;"=Y."&amp;VLOOKUP(B184,'0. Instruções'!$C$27:$G$31,4,FALSE)&amp;"_SIMUL")</f>
        <v>ON X.PRTCTN_ID=Y.PRTCTN_ID_SIMUL</v>
      </c>
      <c r="L184" s="42" t="str">
        <f>+IF(C184="Coerência", +IF(LEFT(G184,5)="FLOAT","SELECT '"&amp;UPPER(B184)&amp;"' AS TABELA, '"&amp;UPPER(C184)&amp;"' AS TIPOLOGIA_TESTE,'"&amp;D184&amp;"' AS TABELA_LT,'"&amp;E184&amp;"' AS TABELA_SIMUL,'"&amp;F184&amp;"' AS CAMPO, "&amp;"'${ref_date}' AS REF_DATE, COUNT(*) AS NUM_REG, SUM(IF((ABS(COALESCE(X."&amp;F184&amp;",0)-COALESCE(Y."&amp;F184&amp;"_SIMUL,0))&gt;0.0000000001) OR (X."&amp;F184&amp;" IS NULL AND Y."&amp;F184&amp;"_SIMUL IS NOT NULL ) OR (X."&amp;F184&amp;" IS NOT NULL AND Y."&amp;F184&amp;"_SIMUL IS NULL),1,0)) AS NUM_REG_DIF,'"&amp;MAX('ID1&amp;5'!K:K)+1&amp;"' AS ID_EXEC, CURRENT_TIMESTAMP() AS TIME_EXEC FROM "&amp;I184&amp;" INNER JOIN "&amp;J184&amp;" "&amp;K184,"SELECT '"&amp;UPPER(B184)&amp;"' AS TABELA, '"&amp;UPPER(C184)&amp;"' AS TIPOLOGIA_TESTE,'"&amp;D184&amp;"' AS TABELA_LT,'"&amp;E184&amp;"' AS TABELA_SIMUL,'"&amp;F184&amp;"' AS CAMPO, "&amp;"'${ref_date}' AS REF_DATE, COUNT(*) AS NUM_REG, SUM(IF(COALESCE(CAST(X."&amp;F184&amp;" AS STRING),'')&lt;&gt;COALESCE(CAST(Y."&amp;F184&amp;"_SIMUL AS STRING),''),1,0)) AS NUM_REG_DIF,'"&amp;MAX('ID1&amp;5'!L:L)+1&amp;"' AS ID_EXEC, CURRENT_TIMESTAMP() AS TIME_EXEC FROM "&amp;I184&amp;" INNER JOIN "&amp;J184&amp;" "&amp;K184),
IF(C184="Validade",+IF(G184="Code List","SELECT '"&amp;UPPER(B184)&amp;"' AS TABELA, '"&amp;UPPER(C184)&amp;"' AS TIPOLOGIA_TESTE,'"&amp;D184&amp;"' AS TABELA_LT,'N/A' AS TABELA_SIMUL,'"&amp;F184&amp;"' AS CAMPO, "&amp;"'${ref_date}' AS REF_DATE, COUNT(*) AS NUM_REG, SUM(IF(TRIM(CAST(X."&amp;F184&amp;" AS STRING))='' OR TRIM(CAST(X."&amp;F184&amp;" AS STRING)) IS NULL OR CAST(X."&amp;F184&amp;" AS STRING) NOT "&amp;H184&amp;",1,0)) AS NUM_REG_DIF,'"&amp;MAX('ID1&amp;5'!K:K)+1&amp;"' AS ID_EXEC, CURRENT_TIMESTAMP() AS TIME_EXEC FROM "&amp;I184,"SELECT '"&amp;UPPER(B184)&amp;"' AS TABELA, '"&amp;UPPER(C184)&amp;"' AS TIPOLOGIA_TESTE,'"&amp;D184&amp;"' AS TABELA_LT,'N/A' AS TABELA_SIMUL,'"&amp;F184&amp;"' AS CAMPO, "&amp;"'${ref_date}' AS REF_DATE, COUNT(*) AS NUM_REG, SUM(IF(TRIM(CAST(X."&amp;F184&amp;" AS STRING))='' OR TRIM(CAST(X."&amp;F184&amp;" AS STRING)) IS NULL,1,0)) AS NUM_REG_DIF,'"&amp;MAX('ID1&amp;5'!K:K)+1&amp;"' AS ID_EXEC, CURRENT_TIMESTAMP() AS TIME_EXEC FROM "&amp;I184),
IF(C184="Caracteres Especiais",+"SELECT '"&amp;UPPER(B184)&amp;"' AS TABELA, '"&amp;UPPER(C184)&amp;"' AS TIPOLOGIA_TESTE,'"&amp;D184&amp;"' AS TABELA_LT,'N/A' AS TABELA_SIMUL,'"&amp;F184&amp;"' AS CAMPO, "&amp;"'${ref_date}' AS REF_DATE, COUNT(*) AS NUM_REG, SUM(IF(INSTR(CAST(X."&amp;F184&amp;" AS STRING),'#')&gt;0 OR INSTR(CAST(X."&amp;F184&amp;" AS STRING),'*')&gt;0 OR INSTR(CAST(X."&amp;F184&amp;" AS STRING),'`')&gt;0 OR INSTR(CAST(X."&amp;F184&amp;" AS STRING),'´')&gt;0 OR INSTR(CAST(X."&amp;F184&amp;" AS STRING),'{')&gt;0 OR INSTR(CAST(X."&amp;F184&amp;" AS STRING),'}')&gt;0 OR INSTR(CAST(X."&amp;F184&amp;" AS STRING),'[')&gt;0 OR INSTR(CAST(X."&amp;F184&amp;" AS STRING),'')&gt;0 OR INSTR(CAST(X."&amp;F184&amp;" AS STRING),']')&gt;0 OR INSTR(CAST(X."&amp;F184&amp;" AS STRING),'?')&gt;0 OR INSTR(CAST(X."&amp;F184&amp;" AS STRING),'!')&gt;0 OR INSTR(CAST(X."&amp;F184&amp;" AS STRING),'$')&gt;0 OR INSTR(CAST(X."&amp;F184&amp;" AS STRING),'%')&gt;0 OR INSTR(CAST(X."&amp;F184&amp;" AS STRING),'&amp;')&gt;0 OR INSTR(CAST(X."&amp;F184&amp;" AS STRING),'+')&gt;0,1,0)) AS NUM_REG_DIF,'"&amp;MAX('ID1&amp;5'!K:K)+1&amp;"' AS ID_EXEC, CURRENT_TIMESTAMP() AS TIME_EXEC FROM "&amp;I184,
IF(C184="Missings",+"SELECT '"&amp;UPPER(B184)&amp;"' AS TABELA, '"&amp;UPPER(C184)&amp;"' AS TIPOLOGIA_TESTE,'"&amp;D184&amp;"' AS TABELA_LT,'N/A' AS TABELA_SIMUL,'"&amp;F184&amp;"' AS CAMPO, "&amp;"'${ref_date}' AS REF_DATE, COUNT(*) AS NUM_REG, SUM(IF(TRIM(CAST(X."&amp;F184&amp;" AS STRING)) IN ('0000-00-00','0001-01-01','9999-12-31','MISS','00000','99999999999','99999999999.00','99999999999.000000'),1,0)) AS NUM_REG_DIF,'"&amp;MAX('ID1&amp;5'!K:K)+1&amp;"' AS ID_EXEC, CURRENT_TIMESTAMP() AS TIME_EXEC FROM "&amp;I184,
IF(C184="Not applicable",+"SELECT '"&amp;UPPER(B184)&amp;"' AS TABELA, '"&amp;UPPER(C184)&amp;"' AS TIPOLOGIA_TESTE,'"&amp;D184&amp;"' AS TABELA_LT,'N/A' AS TABELA_SIMUL,'"&amp;F184&amp;"' AS CAMPO, "&amp;"'${ref_date}' AS REF_DATE, COUNT(*) AS NUM_REG, SUM(IF(TRIM(CAST(X."&amp;F184&amp;" AS STRING)) IN ('N/A','11111111111','11111111111.00','11111111111.000000','1111-11-11'),1,0)) AS NUM_REG_DIF,'"&amp;MAX('ID1&amp;5'!K:K)+1&amp;"' AS ID_EXEC, CURRENT_TIMESTAMP() AS TIME_EXEC FROM "&amp;I184,
IF(C184="Valores extremos",+"SELECT '"&amp;UPPER(B184)&amp;"' AS TABELA, '"&amp;UPPER(C184)&amp;"' AS TIPOLOGIA_TESTE,'"&amp;D184&amp;"' AS TABELA_LT,'N/A' AS TABELA_SIMUL,'"&amp;F184&amp;"' AS CAMPO, "&amp;"'${ref_date}' AS REF_DATE, CAST(MIN("&amp;F184&amp;") AS STRING) AS VALOR_MIN, CAST(MAX("&amp;F184&amp;") AS STRING) AS VALOR_MAX,'"&amp;MAX('ID1&amp;5'!K:K)+1&amp;"' AS ID_EXEC, CURRENT_TIMESTAMP() AS TIME_EXEC FROM "&amp;MID(I184,1,LEN(I184)-2)&amp;" AND CAST("&amp;F184&amp;"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TABELA_SIMUL,'RL_ESTT_PST_CD' AS CAMPO, '${ref_date}' AS REF_DATE, COUNT(*) AS NUM_REG, SUM(IF(TRIM(CAST(X.RL_ESTT_PST_CD AS STRING))='' OR TRIM(CAST(X.RL_ESTT_PST_CD AS STRING)) IS NULL,1,0)) AS NUM_REG_DIF,'10' AS ID_EXEC, CURRENT_TIMESTAMP() AS TIME_EXEC FROM (SELECT prtctn_id, RL_ESTT_PST_CD FROM BU_LOANTAPE_WORK.LT004_PROTECTION WHERE ref_date='${ref_date}' AND nome_perimetro='Individual Corporativo' AND segmento='ESTR' AND ambito='PILAR3')X</v>
      </c>
      <c r="M184" s="43" t="str">
        <f t="shared" si="2"/>
        <v>UNION ALL SELECT 'PROTECTION' AS TABELA, 'VALIDADE' AS TIPOLOGIA_TESTE,'BU_LOANTAPE_WORK.LT004_PROTECTION' AS TABELA_LT,'N/A' AS TABELA_SIMUL,'RL_ESTT_PST_CD' AS CAMPO, '${ref_date}' AS REF_DATE, COUNT(*) AS NUM_REG, SUM(IF(TRIM(CAST(X.RL_ESTT_PST_CD AS STRING))='' OR TRIM(CAST(X.RL_ESTT_PST_CD AS STRING)) IS NULL,1,0)) AS NUM_REG_DIF,'10' AS ID_EXEC, CURRENT_TIMESTAMP() AS TIME_EXEC FROM (SELECT prtctn_id, RL_ESTT_PST_CD FROM BU_LOANTAPE_WORK.LT004_PROTECTION WHERE ref_date='${ref_date}' AND nome_perimetro='Individual Corporativo' AND segmento='ESTR' AND ambito='PILAR3')X</v>
      </c>
      <c r="N184" s="45" t="s">
        <v>13</v>
      </c>
    </row>
    <row r="185" spans="2:14">
      <c r="B185" s="41" t="s">
        <v>31</v>
      </c>
      <c r="C185" s="41" t="s">
        <v>75</v>
      </c>
      <c r="D185" s="41" t="str">
        <f>+UPPER('0. Instruções'!$D$33&amp;"."&amp;VLOOKUP(B185,'0. Instruções'!$C$27:$D$31,2,FALSE))</f>
        <v>BU_LOANTAPE_WORK.LT004_PROTECTION</v>
      </c>
      <c r="E185" s="41" t="str">
        <f>+UPPER('0. Instruções'!$D$34&amp;"."&amp;VLOOKUP(B185,'0. Instruções'!$C$27:$E$31,3,FALSE))</f>
        <v>BU_LOANTAPE_WORK.LT004_PROTECTION_P3_NOV24</v>
      </c>
      <c r="F185" s="41" t="s">
        <v>193</v>
      </c>
      <c r="G185" s="41" t="s">
        <v>13</v>
      </c>
      <c r="H185" s="41"/>
      <c r="I185" s="41" t="str">
        <f>"(SELECT "&amp;VLOOKUP(B185,'0. Instruções'!$C$27:$G$31,4,FALSE)&amp;", "&amp;F185&amp;" FROM "&amp;D185&amp;" WHERE "&amp;'0. Instruções'!$D$40&amp;")X"</f>
        <v>(SELECT prtctn_id, TYP_PRTCTN FROM BU_LOANTAPE_WORK.LT004_PROTECTION WHERE ref_date='${ref_date}' AND nome_perimetro='Individual Corporativo' AND segmento='ESTR' AND ambito='PILAR3')X</v>
      </c>
      <c r="J185" s="41" t="str">
        <f>"(SELECT "&amp;VLOOKUP(B185,'0. Instruções'!$C$27:$G$31,4,FALSE)&amp;" AS "&amp;VLOOKUP(B185,'0. Instruções'!$C$27:$G$31,4,FALSE)&amp;"_SIMUL, "&amp;F185&amp;" AS "&amp;F185&amp;"_SIMUL FROM "&amp;E185&amp;")Y"</f>
        <v>(SELECT prtctn_id AS prtctn_id_SIMUL, TYP_PRTCTN AS TYP_PRTCTN_SIMUL FROM BU_LOANTAPE_WORK.LT004_PROTECTION_P3_NOV24)Y</v>
      </c>
      <c r="K185" s="42" t="str">
        <f>+UPPER("ON X."&amp;VLOOKUP(B185,'0. Instruções'!$C$27:$G$31,4,FALSE)&amp;"=Y."&amp;VLOOKUP(B185,'0. Instruções'!$C$27:$G$31,4,FALSE)&amp;"_SIMUL")</f>
        <v>ON X.PRTCTN_ID=Y.PRTCTN_ID_SIMUL</v>
      </c>
      <c r="L185" s="42" t="str">
        <f>+IF(C185="Coerência", +IF(LEFT(G185,5)="FLOAT","SELECT '"&amp;UPPER(B185)&amp;"' AS TABELA, '"&amp;UPPER(C185)&amp;"' AS TIPOLOGIA_TESTE,'"&amp;D185&amp;"' AS TABELA_LT,'"&amp;E185&amp;"' AS TABELA_SIMUL,'"&amp;F185&amp;"' AS CAMPO, "&amp;"'${ref_date}' AS REF_DATE, COUNT(*) AS NUM_REG, SUM(IF((ABS(COALESCE(X."&amp;F185&amp;",0)-COALESCE(Y."&amp;F185&amp;"_SIMUL,0))&gt;0.0000000001) OR (X."&amp;F185&amp;" IS NULL AND Y."&amp;F185&amp;"_SIMUL IS NOT NULL ) OR (X."&amp;F185&amp;" IS NOT NULL AND Y."&amp;F185&amp;"_SIMUL IS NULL),1,0)) AS NUM_REG_DIF,'"&amp;MAX('ID1&amp;5'!K:K)+1&amp;"' AS ID_EXEC, CURRENT_TIMESTAMP() AS TIME_EXEC FROM "&amp;I185&amp;" INNER JOIN "&amp;J185&amp;" "&amp;K185,"SELECT '"&amp;UPPER(B185)&amp;"' AS TABELA, '"&amp;UPPER(C185)&amp;"' AS TIPOLOGIA_TESTE,'"&amp;D185&amp;"' AS TABELA_LT,'"&amp;E185&amp;"' AS TABELA_SIMUL,'"&amp;F185&amp;"' AS CAMPO, "&amp;"'${ref_date}' AS REF_DATE, COUNT(*) AS NUM_REG, SUM(IF(COALESCE(CAST(X."&amp;F185&amp;" AS STRING),'')&lt;&gt;COALESCE(CAST(Y."&amp;F185&amp;"_SIMUL AS STRING),''),1,0)) AS NUM_REG_DIF,'"&amp;MAX('ID1&amp;5'!L:L)+1&amp;"' AS ID_EXEC, CURRENT_TIMESTAMP() AS TIME_EXEC FROM "&amp;I185&amp;" INNER JOIN "&amp;J185&amp;" "&amp;K185),
IF(C185="Validade",+IF(G185="Code List","SELECT '"&amp;UPPER(B185)&amp;"' AS TABELA, '"&amp;UPPER(C185)&amp;"' AS TIPOLOGIA_TESTE,'"&amp;D185&amp;"' AS TABELA_LT,'N/A' AS TABELA_SIMUL,'"&amp;F185&amp;"' AS CAMPO, "&amp;"'${ref_date}' AS REF_DATE, COUNT(*) AS NUM_REG, SUM(IF(TRIM(CAST(X."&amp;F185&amp;" AS STRING))='' OR TRIM(CAST(X."&amp;F185&amp;" AS STRING)) IS NULL OR CAST(X."&amp;F185&amp;" AS STRING) NOT "&amp;H185&amp;",1,0)) AS NUM_REG_DIF,'"&amp;MAX('ID1&amp;5'!K:K)+1&amp;"' AS ID_EXEC, CURRENT_TIMESTAMP() AS TIME_EXEC FROM "&amp;I185,"SELECT '"&amp;UPPER(B185)&amp;"' AS TABELA, '"&amp;UPPER(C185)&amp;"' AS TIPOLOGIA_TESTE,'"&amp;D185&amp;"' AS TABELA_LT,'N/A' AS TABELA_SIMUL,'"&amp;F185&amp;"' AS CAMPO, "&amp;"'${ref_date}' AS REF_DATE, COUNT(*) AS NUM_REG, SUM(IF(TRIM(CAST(X."&amp;F185&amp;" AS STRING))='' OR TRIM(CAST(X."&amp;F185&amp;" AS STRING)) IS NULL,1,0)) AS NUM_REG_DIF,'"&amp;MAX('ID1&amp;5'!K:K)+1&amp;"' AS ID_EXEC, CURRENT_TIMESTAMP() AS TIME_EXEC FROM "&amp;I185),
IF(C185="Caracteres Especiais",+"SELECT '"&amp;UPPER(B185)&amp;"' AS TABELA, '"&amp;UPPER(C185)&amp;"' AS TIPOLOGIA_TESTE,'"&amp;D185&amp;"' AS TABELA_LT,'N/A' AS TABELA_SIMUL,'"&amp;F185&amp;"' AS CAMPO, "&amp;"'${ref_date}' AS REF_DATE, COUNT(*) AS NUM_REG, SUM(IF(INSTR(CAST(X."&amp;F185&amp;" AS STRING),'#')&gt;0 OR INSTR(CAST(X."&amp;F185&amp;" AS STRING),'*')&gt;0 OR INSTR(CAST(X."&amp;F185&amp;" AS STRING),'`')&gt;0 OR INSTR(CAST(X."&amp;F185&amp;" AS STRING),'´')&gt;0 OR INSTR(CAST(X."&amp;F185&amp;" AS STRING),'{')&gt;0 OR INSTR(CAST(X."&amp;F185&amp;" AS STRING),'}')&gt;0 OR INSTR(CAST(X."&amp;F185&amp;" AS STRING),'[')&gt;0 OR INSTR(CAST(X."&amp;F185&amp;" AS STRING),'')&gt;0 OR INSTR(CAST(X."&amp;F185&amp;" AS STRING),']')&gt;0 OR INSTR(CAST(X."&amp;F185&amp;" AS STRING),'?')&gt;0 OR INSTR(CAST(X."&amp;F185&amp;" AS STRING),'!')&gt;0 OR INSTR(CAST(X."&amp;F185&amp;" AS STRING),'$')&gt;0 OR INSTR(CAST(X."&amp;F185&amp;" AS STRING),'%')&gt;0 OR INSTR(CAST(X."&amp;F185&amp;" AS STRING),'&amp;')&gt;0 OR INSTR(CAST(X."&amp;F185&amp;" AS STRING),'+')&gt;0,1,0)) AS NUM_REG_DIF,'"&amp;MAX('ID1&amp;5'!K:K)+1&amp;"' AS ID_EXEC, CURRENT_TIMESTAMP() AS TIME_EXEC FROM "&amp;I185,
IF(C185="Missings",+"SELECT '"&amp;UPPER(B185)&amp;"' AS TABELA, '"&amp;UPPER(C185)&amp;"' AS TIPOLOGIA_TESTE,'"&amp;D185&amp;"' AS TABELA_LT,'N/A' AS TABELA_SIMUL,'"&amp;F185&amp;"' AS CAMPO, "&amp;"'${ref_date}' AS REF_DATE, COUNT(*) AS NUM_REG, SUM(IF(TRIM(CAST(X."&amp;F185&amp;" AS STRING)) IN ('0000-00-00','0001-01-01','9999-12-31','MISS','00000','99999999999','99999999999.00','99999999999.000000'),1,0)) AS NUM_REG_DIF,'"&amp;MAX('ID1&amp;5'!K:K)+1&amp;"' AS ID_EXEC, CURRENT_TIMESTAMP() AS TIME_EXEC FROM "&amp;I185,
IF(C185="Not applicable",+"SELECT '"&amp;UPPER(B185)&amp;"' AS TABELA, '"&amp;UPPER(C185)&amp;"' AS TIPOLOGIA_TESTE,'"&amp;D185&amp;"' AS TABELA_LT,'N/A' AS TABELA_SIMUL,'"&amp;F185&amp;"' AS CAMPO, "&amp;"'${ref_date}' AS REF_DATE, COUNT(*) AS NUM_REG, SUM(IF(TRIM(CAST(X."&amp;F185&amp;" AS STRING)) IN ('N/A','11111111111','11111111111.00','11111111111.000000','1111-11-11'),1,0)) AS NUM_REG_DIF,'"&amp;MAX('ID1&amp;5'!K:K)+1&amp;"' AS ID_EXEC, CURRENT_TIMESTAMP() AS TIME_EXEC FROM "&amp;I185,
IF(C185="Valores extremos",+"SELECT '"&amp;UPPER(B185)&amp;"' AS TABELA, '"&amp;UPPER(C185)&amp;"' AS TIPOLOGIA_TESTE,'"&amp;D185&amp;"' AS TABELA_LT,'N/A' AS TABELA_SIMUL,'"&amp;F185&amp;"' AS CAMPO, "&amp;"'${ref_date}' AS REF_DATE, CAST(MIN("&amp;F185&amp;") AS STRING) AS VALOR_MIN, CAST(MAX("&amp;F185&amp;") AS STRING) AS VALOR_MAX,'"&amp;MAX('ID1&amp;5'!K:K)+1&amp;"' AS ID_EXEC, CURRENT_TIMESTAMP() AS TIME_EXEC FROM "&amp;MID(I185,1,LEN(I185)-2)&amp;" AND CAST("&amp;F185&amp;"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TABELA_SIMUL,'TYP_PRTCTN' AS CAMPO, '${ref_date}' AS REF_DATE, COUNT(*) AS NUM_REG, SUM(IF(TRIM(CAST(X.TYP_PRTCTN AS STRING))='' OR TRIM(CAST(X.TYP_PRTCTN AS STRING)) IS NULL,1,0)) AS NUM_REG_DIF,'10' AS ID_EXEC, CURRENT_TIMESTAMP() AS TIME_EXEC FROM (SELECT prtctn_id, TYP_PRTCTN FROM BU_LOANTAPE_WORK.LT004_PROTECTION WHERE ref_date='${ref_date}' AND nome_perimetro='Individual Corporativo' AND segmento='ESTR' AND ambito='PILAR3')X</v>
      </c>
      <c r="M185" s="43" t="str">
        <f t="shared" si="2"/>
        <v>UNION ALL SELECT 'PROTECTION' AS TABELA, 'VALIDADE' AS TIPOLOGIA_TESTE,'BU_LOANTAPE_WORK.LT004_PROTECTION' AS TABELA_LT,'N/A' AS TABELA_SIMUL,'TYP_PRTCTN' AS CAMPO, '${ref_date}' AS REF_DATE, COUNT(*) AS NUM_REG, SUM(IF(TRIM(CAST(X.TYP_PRTCTN AS STRING))='' OR TRIM(CAST(X.TYP_PRTCTN AS STRING)) IS NULL,1,0)) AS NUM_REG_DIF,'10' AS ID_EXEC, CURRENT_TIMESTAMP() AS TIME_EXEC FROM (SELECT prtctn_id, TYP_PRTCTN FROM BU_LOANTAPE_WORK.LT004_PROTECTION WHERE ref_date='${ref_date}' AND nome_perimetro='Individual Corporativo' AND segmento='ESTR' AND ambito='PILAR3')X</v>
      </c>
      <c r="N185" s="45" t="s">
        <v>13</v>
      </c>
    </row>
    <row r="186" spans="2:14">
      <c r="B186" s="41" t="s">
        <v>31</v>
      </c>
      <c r="C186" s="41" t="s">
        <v>75</v>
      </c>
      <c r="D186" s="41" t="str">
        <f>+UPPER('0. Instruções'!$D$33&amp;"."&amp;VLOOKUP(B186,'0. Instruções'!$C$27:$D$31,2,FALSE))</f>
        <v>BU_LOANTAPE_WORK.LT004_PROTECTION</v>
      </c>
      <c r="E186" s="41" t="str">
        <f>+UPPER('0. Instruções'!$D$34&amp;"."&amp;VLOOKUP(B186,'0. Instruções'!$C$27:$E$31,3,FALSE))</f>
        <v>BU_LOANTAPE_WORK.LT004_PROTECTION_P3_NOV24</v>
      </c>
      <c r="F186" s="41" t="s">
        <v>194</v>
      </c>
      <c r="G186" s="41" t="s">
        <v>13</v>
      </c>
      <c r="H186" s="41"/>
      <c r="I186" s="41" t="str">
        <f>"(SELECT "&amp;VLOOKUP(B186,'0. Instruções'!$C$27:$G$31,4,FALSE)&amp;", "&amp;F186&amp;" FROM "&amp;D186&amp;" WHERE "&amp;'0. Instruções'!$D$40&amp;")X"</f>
        <v>(SELECT prtctn_id, ORGNL_PRTCTN_VL FROM BU_LOANTAPE_WORK.LT004_PROTECTION WHERE ref_date='${ref_date}' AND nome_perimetro='Individual Corporativo' AND segmento='ESTR' AND ambito='PILAR3')X</v>
      </c>
      <c r="J186" s="41" t="str">
        <f>"(SELECT "&amp;VLOOKUP(B186,'0. Instruções'!$C$27:$G$31,4,FALSE)&amp;" AS "&amp;VLOOKUP(B186,'0. Instruções'!$C$27:$G$31,4,FALSE)&amp;"_SIMUL, "&amp;F186&amp;" AS "&amp;F186&amp;"_SIMUL FROM "&amp;E186&amp;")Y"</f>
        <v>(SELECT prtctn_id AS prtctn_id_SIMUL, ORGNL_PRTCTN_VL AS ORGNL_PRTCTN_VL_SIMUL FROM BU_LOANTAPE_WORK.LT004_PROTECTION_P3_NOV24)Y</v>
      </c>
      <c r="K186" s="42" t="str">
        <f>+UPPER("ON X."&amp;VLOOKUP(B186,'0. Instruções'!$C$27:$G$31,4,FALSE)&amp;"=Y."&amp;VLOOKUP(B186,'0. Instruções'!$C$27:$G$31,4,FALSE)&amp;"_SIMUL")</f>
        <v>ON X.PRTCTN_ID=Y.PRTCTN_ID_SIMUL</v>
      </c>
      <c r="L186" s="42" t="str">
        <f>+IF(C186="Coerência", +IF(LEFT(G186,5)="FLOAT","SELECT '"&amp;UPPER(B186)&amp;"' AS TABELA, '"&amp;UPPER(C186)&amp;"' AS TIPOLOGIA_TESTE,'"&amp;D186&amp;"' AS TABELA_LT,'"&amp;E186&amp;"' AS TABELA_SIMUL,'"&amp;F186&amp;"' AS CAMPO, "&amp;"'${ref_date}' AS REF_DATE, COUNT(*) AS NUM_REG, SUM(IF((ABS(COALESCE(X."&amp;F186&amp;",0)-COALESCE(Y."&amp;F186&amp;"_SIMUL,0))&gt;0.0000000001) OR (X."&amp;F186&amp;" IS NULL AND Y."&amp;F186&amp;"_SIMUL IS NOT NULL ) OR (X."&amp;F186&amp;" IS NOT NULL AND Y."&amp;F186&amp;"_SIMUL IS NULL),1,0)) AS NUM_REG_DIF,'"&amp;MAX('ID1&amp;5'!K:K)+1&amp;"' AS ID_EXEC, CURRENT_TIMESTAMP() AS TIME_EXEC FROM "&amp;I186&amp;" INNER JOIN "&amp;J186&amp;" "&amp;K186,"SELECT '"&amp;UPPER(B186)&amp;"' AS TABELA, '"&amp;UPPER(C186)&amp;"' AS TIPOLOGIA_TESTE,'"&amp;D186&amp;"' AS TABELA_LT,'"&amp;E186&amp;"' AS TABELA_SIMUL,'"&amp;F186&amp;"' AS CAMPO, "&amp;"'${ref_date}' AS REF_DATE, COUNT(*) AS NUM_REG, SUM(IF(COALESCE(CAST(X."&amp;F186&amp;" AS STRING),'')&lt;&gt;COALESCE(CAST(Y."&amp;F186&amp;"_SIMUL AS STRING),''),1,0)) AS NUM_REG_DIF,'"&amp;MAX('ID1&amp;5'!L:L)+1&amp;"' AS ID_EXEC, CURRENT_TIMESTAMP() AS TIME_EXEC FROM "&amp;I186&amp;" INNER JOIN "&amp;J186&amp;" "&amp;K186),
IF(C186="Validade",+IF(G186="Code List","SELECT '"&amp;UPPER(B186)&amp;"' AS TABELA, '"&amp;UPPER(C186)&amp;"' AS TIPOLOGIA_TESTE,'"&amp;D186&amp;"' AS TABELA_LT,'N/A' AS TABELA_SIMUL,'"&amp;F186&amp;"' AS CAMPO, "&amp;"'${ref_date}' AS REF_DATE, COUNT(*) AS NUM_REG, SUM(IF(TRIM(CAST(X."&amp;F186&amp;" AS STRING))='' OR TRIM(CAST(X."&amp;F186&amp;" AS STRING)) IS NULL OR CAST(X."&amp;F186&amp;" AS STRING) NOT "&amp;H186&amp;",1,0)) AS NUM_REG_DIF,'"&amp;MAX('ID1&amp;5'!K:K)+1&amp;"' AS ID_EXEC, CURRENT_TIMESTAMP() AS TIME_EXEC FROM "&amp;I186,"SELECT '"&amp;UPPER(B186)&amp;"' AS TABELA, '"&amp;UPPER(C186)&amp;"' AS TIPOLOGIA_TESTE,'"&amp;D186&amp;"' AS TABELA_LT,'N/A' AS TABELA_SIMUL,'"&amp;F186&amp;"' AS CAMPO, "&amp;"'${ref_date}' AS REF_DATE, COUNT(*) AS NUM_REG, SUM(IF(TRIM(CAST(X."&amp;F186&amp;" AS STRING))='' OR TRIM(CAST(X."&amp;F186&amp;" AS STRING)) IS NULL,1,0)) AS NUM_REG_DIF,'"&amp;MAX('ID1&amp;5'!K:K)+1&amp;"' AS ID_EXEC, CURRENT_TIMESTAMP() AS TIME_EXEC FROM "&amp;I186),
IF(C186="Caracteres Especiais",+"SELECT '"&amp;UPPER(B186)&amp;"' AS TABELA, '"&amp;UPPER(C186)&amp;"' AS TIPOLOGIA_TESTE,'"&amp;D186&amp;"' AS TABELA_LT,'N/A' AS TABELA_SIMUL,'"&amp;F186&amp;"' AS CAMPO, "&amp;"'${ref_date}' AS REF_DATE, COUNT(*) AS NUM_REG, SUM(IF(INSTR(CAST(X."&amp;F186&amp;" AS STRING),'#')&gt;0 OR INSTR(CAST(X."&amp;F186&amp;" AS STRING),'*')&gt;0 OR INSTR(CAST(X."&amp;F186&amp;" AS STRING),'`')&gt;0 OR INSTR(CAST(X."&amp;F186&amp;" AS STRING),'´')&gt;0 OR INSTR(CAST(X."&amp;F186&amp;" AS STRING),'{')&gt;0 OR INSTR(CAST(X."&amp;F186&amp;" AS STRING),'}')&gt;0 OR INSTR(CAST(X."&amp;F186&amp;" AS STRING),'[')&gt;0 OR INSTR(CAST(X."&amp;F186&amp;" AS STRING),'')&gt;0 OR INSTR(CAST(X."&amp;F186&amp;" AS STRING),']')&gt;0 OR INSTR(CAST(X."&amp;F186&amp;" AS STRING),'?')&gt;0 OR INSTR(CAST(X."&amp;F186&amp;" AS STRING),'!')&gt;0 OR INSTR(CAST(X."&amp;F186&amp;" AS STRING),'$')&gt;0 OR INSTR(CAST(X."&amp;F186&amp;" AS STRING),'%')&gt;0 OR INSTR(CAST(X."&amp;F186&amp;" AS STRING),'&amp;')&gt;0 OR INSTR(CAST(X."&amp;F186&amp;" AS STRING),'+')&gt;0,1,0)) AS NUM_REG_DIF,'"&amp;MAX('ID1&amp;5'!K:K)+1&amp;"' AS ID_EXEC, CURRENT_TIMESTAMP() AS TIME_EXEC FROM "&amp;I186,
IF(C186="Missings",+"SELECT '"&amp;UPPER(B186)&amp;"' AS TABELA, '"&amp;UPPER(C186)&amp;"' AS TIPOLOGIA_TESTE,'"&amp;D186&amp;"' AS TABELA_LT,'N/A' AS TABELA_SIMUL,'"&amp;F186&amp;"' AS CAMPO, "&amp;"'${ref_date}' AS REF_DATE, COUNT(*) AS NUM_REG, SUM(IF(TRIM(CAST(X."&amp;F186&amp;" AS STRING)) IN ('0000-00-00','0001-01-01','9999-12-31','MISS','00000','99999999999','99999999999.00','99999999999.000000'),1,0)) AS NUM_REG_DIF,'"&amp;MAX('ID1&amp;5'!K:K)+1&amp;"' AS ID_EXEC, CURRENT_TIMESTAMP() AS TIME_EXEC FROM "&amp;I186,
IF(C186="Not applicable",+"SELECT '"&amp;UPPER(B186)&amp;"' AS TABELA, '"&amp;UPPER(C186)&amp;"' AS TIPOLOGIA_TESTE,'"&amp;D186&amp;"' AS TABELA_LT,'N/A' AS TABELA_SIMUL,'"&amp;F186&amp;"' AS CAMPO, "&amp;"'${ref_date}' AS REF_DATE, COUNT(*) AS NUM_REG, SUM(IF(TRIM(CAST(X."&amp;F186&amp;" AS STRING)) IN ('N/A','11111111111','11111111111.00','11111111111.000000','1111-11-11'),1,0)) AS NUM_REG_DIF,'"&amp;MAX('ID1&amp;5'!K:K)+1&amp;"' AS ID_EXEC, CURRENT_TIMESTAMP() AS TIME_EXEC FROM "&amp;I186,
IF(C186="Valores extremos",+"SELECT '"&amp;UPPER(B186)&amp;"' AS TABELA, '"&amp;UPPER(C186)&amp;"' AS TIPOLOGIA_TESTE,'"&amp;D186&amp;"' AS TABELA_LT,'N/A' AS TABELA_SIMUL,'"&amp;F186&amp;"' AS CAMPO, "&amp;"'${ref_date}' AS REF_DATE, CAST(MIN("&amp;F186&amp;") AS STRING) AS VALOR_MIN, CAST(MAX("&amp;F186&amp;") AS STRING) AS VALOR_MAX,'"&amp;MAX('ID1&amp;5'!K:K)+1&amp;"' AS ID_EXEC, CURRENT_TIMESTAMP() AS TIME_EXEC FROM "&amp;MID(I186,1,LEN(I186)-2)&amp;" AND CAST("&amp;F186&amp;"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TABELA_SIMUL,'ORGNL_PRTCTN_VL' AS CAMPO, '${ref_date}' AS REF_DATE, COUNT(*) AS NUM_REG, SUM(IF(TRIM(CAST(X.ORGNL_PRTCTN_VL AS STRING))='' OR TRIM(CAST(X.ORGNL_PRTCTN_VL AS STRING)) IS NULL,1,0)) AS NUM_REG_DIF,'10' AS ID_EXEC, CURRENT_TIMESTAMP() AS TIME_EXEC FROM (SELECT prtctn_id, ORGNL_PRTCTN_VL FROM BU_LOANTAPE_WORK.LT004_PROTECTION WHERE ref_date='${ref_date}' AND nome_perimetro='Individual Corporativo' AND segmento='ESTR' AND ambito='PILAR3')X</v>
      </c>
      <c r="M186" s="43" t="str">
        <f t="shared" si="2"/>
        <v>UNION ALL SELECT 'PROTECTION' AS TABELA, 'VALIDADE' AS TIPOLOGIA_TESTE,'BU_LOANTAPE_WORK.LT004_PROTECTION' AS TABELA_LT,'N/A' AS TABELA_SIMUL,'ORGNL_PRTCTN_VL' AS CAMPO, '${ref_date}' AS REF_DATE, COUNT(*) AS NUM_REG, SUM(IF(TRIM(CAST(X.ORGNL_PRTCTN_VL AS STRING))='' OR TRIM(CAST(X.ORGNL_PRTCTN_VL AS STRING)) IS NULL,1,0)) AS NUM_REG_DIF,'10' AS ID_EXEC, CURRENT_TIMESTAMP() AS TIME_EXEC FROM (SELECT prtctn_id, ORGNL_PRTCTN_VL FROM BU_LOANTAPE_WORK.LT004_PROTECTION WHERE ref_date='${ref_date}' AND nome_perimetro='Individual Corporativo' AND segmento='ESTR' AND ambito='PILAR3')X</v>
      </c>
      <c r="N186" s="45" t="s">
        <v>13</v>
      </c>
    </row>
    <row r="187" spans="2:14">
      <c r="B187" s="41" t="s">
        <v>31</v>
      </c>
      <c r="C187" s="41" t="s">
        <v>75</v>
      </c>
      <c r="D187" s="41" t="str">
        <f>+UPPER('0. Instruções'!$D$33&amp;"."&amp;VLOOKUP(B187,'0. Instruções'!$C$27:$D$31,2,FALSE))</f>
        <v>BU_LOANTAPE_WORK.LT004_PROTECTION</v>
      </c>
      <c r="E187" s="41" t="str">
        <f>+UPPER('0. Instruções'!$D$34&amp;"."&amp;VLOOKUP(B187,'0. Instruções'!$C$27:$E$31,3,FALSE))</f>
        <v>BU_LOANTAPE_WORK.LT004_PROTECTION_P3_NOV24</v>
      </c>
      <c r="F187" s="41" t="s">
        <v>195</v>
      </c>
      <c r="G187" s="41" t="s">
        <v>13</v>
      </c>
      <c r="H187" s="41"/>
      <c r="I187" s="41" t="str">
        <f>"(SELECT "&amp;VLOOKUP(B187,'0. Instruções'!$C$27:$G$31,4,FALSE)&amp;", "&amp;F187&amp;" FROM "&amp;D187&amp;" WHERE "&amp;'0. Instruções'!$D$40&amp;")X"</f>
        <v>(SELECT prtctn_id, PRTCTN_VL FROM BU_LOANTAPE_WORK.LT004_PROTECTION WHERE ref_date='${ref_date}' AND nome_perimetro='Individual Corporativo' AND segmento='ESTR' AND ambito='PILAR3')X</v>
      </c>
      <c r="J187" s="41" t="str">
        <f>"(SELECT "&amp;VLOOKUP(B187,'0. Instruções'!$C$27:$G$31,4,FALSE)&amp;" AS "&amp;VLOOKUP(B187,'0. Instruções'!$C$27:$G$31,4,FALSE)&amp;"_SIMUL, "&amp;F187&amp;" AS "&amp;F187&amp;"_SIMUL FROM "&amp;E187&amp;")Y"</f>
        <v>(SELECT prtctn_id AS prtctn_id_SIMUL, PRTCTN_VL AS PRTCTN_VL_SIMUL FROM BU_LOANTAPE_WORK.LT004_PROTECTION_P3_NOV24)Y</v>
      </c>
      <c r="K187" s="42" t="str">
        <f>+UPPER("ON X."&amp;VLOOKUP(B187,'0. Instruções'!$C$27:$G$31,4,FALSE)&amp;"=Y."&amp;VLOOKUP(B187,'0. Instruções'!$C$27:$G$31,4,FALSE)&amp;"_SIMUL")</f>
        <v>ON X.PRTCTN_ID=Y.PRTCTN_ID_SIMUL</v>
      </c>
      <c r="L187" s="42" t="str">
        <f>+IF(C187="Coerência", +IF(LEFT(G187,5)="FLOAT","SELECT '"&amp;UPPER(B187)&amp;"' AS TABELA, '"&amp;UPPER(C187)&amp;"' AS TIPOLOGIA_TESTE,'"&amp;D187&amp;"' AS TABELA_LT,'"&amp;E187&amp;"' AS TABELA_SIMUL,'"&amp;F187&amp;"' AS CAMPO, "&amp;"'${ref_date}' AS REF_DATE, COUNT(*) AS NUM_REG, SUM(IF((ABS(COALESCE(X."&amp;F187&amp;",0)-COALESCE(Y."&amp;F187&amp;"_SIMUL,0))&gt;0.0000000001) OR (X."&amp;F187&amp;" IS NULL AND Y."&amp;F187&amp;"_SIMUL IS NOT NULL ) OR (X."&amp;F187&amp;" IS NOT NULL AND Y."&amp;F187&amp;"_SIMUL IS NULL),1,0)) AS NUM_REG_DIF,'"&amp;MAX('ID1&amp;5'!K:K)+1&amp;"' AS ID_EXEC, CURRENT_TIMESTAMP() AS TIME_EXEC FROM "&amp;I187&amp;" INNER JOIN "&amp;J187&amp;" "&amp;K187,"SELECT '"&amp;UPPER(B187)&amp;"' AS TABELA, '"&amp;UPPER(C187)&amp;"' AS TIPOLOGIA_TESTE,'"&amp;D187&amp;"' AS TABELA_LT,'"&amp;E187&amp;"' AS TABELA_SIMUL,'"&amp;F187&amp;"' AS CAMPO, "&amp;"'${ref_date}' AS REF_DATE, COUNT(*) AS NUM_REG, SUM(IF(COALESCE(CAST(X."&amp;F187&amp;" AS STRING),'')&lt;&gt;COALESCE(CAST(Y."&amp;F187&amp;"_SIMUL AS STRING),''),1,0)) AS NUM_REG_DIF,'"&amp;MAX('ID1&amp;5'!L:L)+1&amp;"' AS ID_EXEC, CURRENT_TIMESTAMP() AS TIME_EXEC FROM "&amp;I187&amp;" INNER JOIN "&amp;J187&amp;" "&amp;K187),
IF(C187="Validade",+IF(G187="Code List","SELECT '"&amp;UPPER(B187)&amp;"' AS TABELA, '"&amp;UPPER(C187)&amp;"' AS TIPOLOGIA_TESTE,'"&amp;D187&amp;"' AS TABELA_LT,'N/A' AS TABELA_SIMUL,'"&amp;F187&amp;"' AS CAMPO, "&amp;"'${ref_date}' AS REF_DATE, COUNT(*) AS NUM_REG, SUM(IF(TRIM(CAST(X."&amp;F187&amp;" AS STRING))='' OR TRIM(CAST(X."&amp;F187&amp;" AS STRING)) IS NULL OR CAST(X."&amp;F187&amp;" AS STRING) NOT "&amp;H187&amp;",1,0)) AS NUM_REG_DIF,'"&amp;MAX('ID1&amp;5'!K:K)+1&amp;"' AS ID_EXEC, CURRENT_TIMESTAMP() AS TIME_EXEC FROM "&amp;I187,"SELECT '"&amp;UPPER(B187)&amp;"' AS TABELA, '"&amp;UPPER(C187)&amp;"' AS TIPOLOGIA_TESTE,'"&amp;D187&amp;"' AS TABELA_LT,'N/A' AS TABELA_SIMUL,'"&amp;F187&amp;"' AS CAMPO, "&amp;"'${ref_date}' AS REF_DATE, COUNT(*) AS NUM_REG, SUM(IF(TRIM(CAST(X."&amp;F187&amp;" AS STRING))='' OR TRIM(CAST(X."&amp;F187&amp;" AS STRING)) IS NULL,1,0)) AS NUM_REG_DIF,'"&amp;MAX('ID1&amp;5'!K:K)+1&amp;"' AS ID_EXEC, CURRENT_TIMESTAMP() AS TIME_EXEC FROM "&amp;I187),
IF(C187="Caracteres Especiais",+"SELECT '"&amp;UPPER(B187)&amp;"' AS TABELA, '"&amp;UPPER(C187)&amp;"' AS TIPOLOGIA_TESTE,'"&amp;D187&amp;"' AS TABELA_LT,'N/A' AS TABELA_SIMUL,'"&amp;F187&amp;"' AS CAMPO, "&amp;"'${ref_date}' AS REF_DATE, COUNT(*) AS NUM_REG, SUM(IF(INSTR(CAST(X."&amp;F187&amp;" AS STRING),'#')&gt;0 OR INSTR(CAST(X."&amp;F187&amp;" AS STRING),'*')&gt;0 OR INSTR(CAST(X."&amp;F187&amp;" AS STRING),'`')&gt;0 OR INSTR(CAST(X."&amp;F187&amp;" AS STRING),'´')&gt;0 OR INSTR(CAST(X."&amp;F187&amp;" AS STRING),'{')&gt;0 OR INSTR(CAST(X."&amp;F187&amp;" AS STRING),'}')&gt;0 OR INSTR(CAST(X."&amp;F187&amp;" AS STRING),'[')&gt;0 OR INSTR(CAST(X."&amp;F187&amp;" AS STRING),'')&gt;0 OR INSTR(CAST(X."&amp;F187&amp;" AS STRING),']')&gt;0 OR INSTR(CAST(X."&amp;F187&amp;" AS STRING),'?')&gt;0 OR INSTR(CAST(X."&amp;F187&amp;" AS STRING),'!')&gt;0 OR INSTR(CAST(X."&amp;F187&amp;" AS STRING),'$')&gt;0 OR INSTR(CAST(X."&amp;F187&amp;" AS STRING),'%')&gt;0 OR INSTR(CAST(X."&amp;F187&amp;" AS STRING),'&amp;')&gt;0 OR INSTR(CAST(X."&amp;F187&amp;" AS STRING),'+')&gt;0,1,0)) AS NUM_REG_DIF,'"&amp;MAX('ID1&amp;5'!K:K)+1&amp;"' AS ID_EXEC, CURRENT_TIMESTAMP() AS TIME_EXEC FROM "&amp;I187,
IF(C187="Missings",+"SELECT '"&amp;UPPER(B187)&amp;"' AS TABELA, '"&amp;UPPER(C187)&amp;"' AS TIPOLOGIA_TESTE,'"&amp;D187&amp;"' AS TABELA_LT,'N/A' AS TABELA_SIMUL,'"&amp;F187&amp;"' AS CAMPO, "&amp;"'${ref_date}' AS REF_DATE, COUNT(*) AS NUM_REG, SUM(IF(TRIM(CAST(X."&amp;F187&amp;" AS STRING)) IN ('0000-00-00','0001-01-01','9999-12-31','MISS','00000','99999999999','99999999999.00','99999999999.000000'),1,0)) AS NUM_REG_DIF,'"&amp;MAX('ID1&amp;5'!K:K)+1&amp;"' AS ID_EXEC, CURRENT_TIMESTAMP() AS TIME_EXEC FROM "&amp;I187,
IF(C187="Not applicable",+"SELECT '"&amp;UPPER(B187)&amp;"' AS TABELA, '"&amp;UPPER(C187)&amp;"' AS TIPOLOGIA_TESTE,'"&amp;D187&amp;"' AS TABELA_LT,'N/A' AS TABELA_SIMUL,'"&amp;F187&amp;"' AS CAMPO, "&amp;"'${ref_date}' AS REF_DATE, COUNT(*) AS NUM_REG, SUM(IF(TRIM(CAST(X."&amp;F187&amp;" AS STRING)) IN ('N/A','11111111111','11111111111.00','11111111111.000000','1111-11-11'),1,0)) AS NUM_REG_DIF,'"&amp;MAX('ID1&amp;5'!K:K)+1&amp;"' AS ID_EXEC, CURRENT_TIMESTAMP() AS TIME_EXEC FROM "&amp;I187,
IF(C187="Valores extremos",+"SELECT '"&amp;UPPER(B187)&amp;"' AS TABELA, '"&amp;UPPER(C187)&amp;"' AS TIPOLOGIA_TESTE,'"&amp;D187&amp;"' AS TABELA_LT,'N/A' AS TABELA_SIMUL,'"&amp;F187&amp;"' AS CAMPO, "&amp;"'${ref_date}' AS REF_DATE, CAST(MIN("&amp;F187&amp;") AS STRING) AS VALOR_MIN, CAST(MAX("&amp;F187&amp;") AS STRING) AS VALOR_MAX,'"&amp;MAX('ID1&amp;5'!K:K)+1&amp;"' AS ID_EXEC, CURRENT_TIMESTAMP() AS TIME_EXEC FROM "&amp;MID(I187,1,LEN(I187)-2)&amp;" AND CAST("&amp;F187&amp;"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TABELA_SIMUL,'PRTCTN_VL' AS CAMPO, '${ref_date}' AS REF_DATE, COUNT(*) AS NUM_REG, SUM(IF(TRIM(CAST(X.PRTCTN_VL AS STRING))='' OR TRIM(CAST(X.PRTCTN_VL AS STRING)) IS NULL,1,0)) AS NUM_REG_DIF,'10' AS ID_EXEC, CURRENT_TIMESTAMP() AS TIME_EXEC FROM (SELECT prtctn_id, PRTCTN_VL FROM BU_LOANTAPE_WORK.LT004_PROTECTION WHERE ref_date='${ref_date}' AND nome_perimetro='Individual Corporativo' AND segmento='ESTR' AND ambito='PILAR3')X</v>
      </c>
      <c r="M187" s="43" t="str">
        <f t="shared" si="2"/>
        <v>UNION ALL SELECT 'PROTECTION' AS TABELA, 'VALIDADE' AS TIPOLOGIA_TESTE,'BU_LOANTAPE_WORK.LT004_PROTECTION' AS TABELA_LT,'N/A' AS TABELA_SIMUL,'PRTCTN_VL' AS CAMPO, '${ref_date}' AS REF_DATE, COUNT(*) AS NUM_REG, SUM(IF(TRIM(CAST(X.PRTCTN_VL AS STRING))='' OR TRIM(CAST(X.PRTCTN_VL AS STRING)) IS NULL,1,0)) AS NUM_REG_DIF,'10' AS ID_EXEC, CURRENT_TIMESTAMP() AS TIME_EXEC FROM (SELECT prtctn_id, PRTCTN_VL FROM BU_LOANTAPE_WORK.LT004_PROTECTION WHERE ref_date='${ref_date}' AND nome_perimetro='Individual Corporativo' AND segmento='ESTR' AND ambito='PILAR3')X</v>
      </c>
      <c r="N187" s="45" t="s">
        <v>13</v>
      </c>
    </row>
    <row r="188" spans="2:14">
      <c r="B188" s="41" t="s">
        <v>31</v>
      </c>
      <c r="C188" s="41" t="s">
        <v>75</v>
      </c>
      <c r="D188" s="41" t="str">
        <f>+UPPER('0. Instruções'!$D$33&amp;"."&amp;VLOOKUP(B188,'0. Instruções'!$C$27:$D$31,2,FALSE))</f>
        <v>BU_LOANTAPE_WORK.LT004_PROTECTION</v>
      </c>
      <c r="E188" s="41" t="str">
        <f>+UPPER('0. Instruções'!$D$34&amp;"."&amp;VLOOKUP(B188,'0. Instruções'!$C$27:$E$31,3,FALSE))</f>
        <v>BU_LOANTAPE_WORK.LT004_PROTECTION_P3_NOV24</v>
      </c>
      <c r="F188" s="41" t="s">
        <v>173</v>
      </c>
      <c r="G188" s="41" t="s">
        <v>13</v>
      </c>
      <c r="H188" s="41"/>
      <c r="I188" s="41" t="str">
        <f>"(SELECT "&amp;VLOOKUP(B188,'0. Instruções'!$C$27:$G$31,4,FALSE)&amp;", "&amp;F188&amp;" FROM "&amp;D188&amp;" WHERE "&amp;'0. Instruções'!$D$40&amp;")X"</f>
        <v>(SELECT prtctn_id, COD_SOC FROM BU_LOANTAPE_WORK.LT004_PROTECTION WHERE ref_date='${ref_date}' AND nome_perimetro='Individual Corporativo' AND segmento='ESTR' AND ambito='PILAR3')X</v>
      </c>
      <c r="J188" s="41" t="str">
        <f>"(SELECT "&amp;VLOOKUP(B188,'0. Instruções'!$C$27:$G$31,4,FALSE)&amp;" AS "&amp;VLOOKUP(B188,'0. Instruções'!$C$27:$G$31,4,FALSE)&amp;"_SIMUL, "&amp;F188&amp;" AS "&amp;F188&amp;"_SIMUL FROM "&amp;E188&amp;")Y"</f>
        <v>(SELECT prtctn_id AS prtctn_id_SIMUL, COD_SOC AS COD_SOC_SIMUL FROM BU_LOANTAPE_WORK.LT004_PROTECTION_P3_NOV24)Y</v>
      </c>
      <c r="K188" s="42" t="str">
        <f>+UPPER("ON X."&amp;VLOOKUP(B188,'0. Instruções'!$C$27:$G$31,4,FALSE)&amp;"=Y."&amp;VLOOKUP(B188,'0. Instruções'!$C$27:$G$31,4,FALSE)&amp;"_SIMUL")</f>
        <v>ON X.PRTCTN_ID=Y.PRTCTN_ID_SIMUL</v>
      </c>
      <c r="L188" s="42" t="str">
        <f>+IF(C188="Coerência", +IF(LEFT(G188,5)="FLOAT","SELECT '"&amp;UPPER(B188)&amp;"' AS TABELA, '"&amp;UPPER(C188)&amp;"' AS TIPOLOGIA_TESTE,'"&amp;D188&amp;"' AS TABELA_LT,'"&amp;E188&amp;"' AS TABELA_SIMUL,'"&amp;F188&amp;"' AS CAMPO, "&amp;"'${ref_date}' AS REF_DATE, COUNT(*) AS NUM_REG, SUM(IF((ABS(COALESCE(X."&amp;F188&amp;",0)-COALESCE(Y."&amp;F188&amp;"_SIMUL,0))&gt;0.0000000001) OR (X."&amp;F188&amp;" IS NULL AND Y."&amp;F188&amp;"_SIMUL IS NOT NULL ) OR (X."&amp;F188&amp;" IS NOT NULL AND Y."&amp;F188&amp;"_SIMUL IS NULL),1,0)) AS NUM_REG_DIF,'"&amp;MAX('ID1&amp;5'!K:K)+1&amp;"' AS ID_EXEC, CURRENT_TIMESTAMP() AS TIME_EXEC FROM "&amp;I188&amp;" INNER JOIN "&amp;J188&amp;" "&amp;K188,"SELECT '"&amp;UPPER(B188)&amp;"' AS TABELA, '"&amp;UPPER(C188)&amp;"' AS TIPOLOGIA_TESTE,'"&amp;D188&amp;"' AS TABELA_LT,'"&amp;E188&amp;"' AS TABELA_SIMUL,'"&amp;F188&amp;"' AS CAMPO, "&amp;"'${ref_date}' AS REF_DATE, COUNT(*) AS NUM_REG, SUM(IF(COALESCE(CAST(X."&amp;F188&amp;" AS STRING),'')&lt;&gt;COALESCE(CAST(Y."&amp;F188&amp;"_SIMUL AS STRING),''),1,0)) AS NUM_REG_DIF,'"&amp;MAX('ID1&amp;5'!L:L)+1&amp;"' AS ID_EXEC, CURRENT_TIMESTAMP() AS TIME_EXEC FROM "&amp;I188&amp;" INNER JOIN "&amp;J188&amp;" "&amp;K188),
IF(C188="Validade",+IF(G188="Code List","SELECT '"&amp;UPPER(B188)&amp;"' AS TABELA, '"&amp;UPPER(C188)&amp;"' AS TIPOLOGIA_TESTE,'"&amp;D188&amp;"' AS TABELA_LT,'N/A' AS TABELA_SIMUL,'"&amp;F188&amp;"' AS CAMPO, "&amp;"'${ref_date}' AS REF_DATE, COUNT(*) AS NUM_REG, SUM(IF(TRIM(CAST(X."&amp;F188&amp;" AS STRING))='' OR TRIM(CAST(X."&amp;F188&amp;" AS STRING)) IS NULL OR CAST(X."&amp;F188&amp;" AS STRING) NOT "&amp;H188&amp;",1,0)) AS NUM_REG_DIF,'"&amp;MAX('ID1&amp;5'!K:K)+1&amp;"' AS ID_EXEC, CURRENT_TIMESTAMP() AS TIME_EXEC FROM "&amp;I188,"SELECT '"&amp;UPPER(B188)&amp;"' AS TABELA, '"&amp;UPPER(C188)&amp;"' AS TIPOLOGIA_TESTE,'"&amp;D188&amp;"' AS TABELA_LT,'N/A' AS TABELA_SIMUL,'"&amp;F188&amp;"' AS CAMPO, "&amp;"'${ref_date}' AS REF_DATE, COUNT(*) AS NUM_REG, SUM(IF(TRIM(CAST(X."&amp;F188&amp;" AS STRING))='' OR TRIM(CAST(X."&amp;F188&amp;" AS STRING)) IS NULL,1,0)) AS NUM_REG_DIF,'"&amp;MAX('ID1&amp;5'!K:K)+1&amp;"' AS ID_EXEC, CURRENT_TIMESTAMP() AS TIME_EXEC FROM "&amp;I188),
IF(C188="Caracteres Especiais",+"SELECT '"&amp;UPPER(B188)&amp;"' AS TABELA, '"&amp;UPPER(C188)&amp;"' AS TIPOLOGIA_TESTE,'"&amp;D188&amp;"' AS TABELA_LT,'N/A' AS TABELA_SIMUL,'"&amp;F188&amp;"' AS CAMPO, "&amp;"'${ref_date}' AS REF_DATE, COUNT(*) AS NUM_REG, SUM(IF(INSTR(CAST(X."&amp;F188&amp;" AS STRING),'#')&gt;0 OR INSTR(CAST(X."&amp;F188&amp;" AS STRING),'*')&gt;0 OR INSTR(CAST(X."&amp;F188&amp;" AS STRING),'`')&gt;0 OR INSTR(CAST(X."&amp;F188&amp;" AS STRING),'´')&gt;0 OR INSTR(CAST(X."&amp;F188&amp;" AS STRING),'{')&gt;0 OR INSTR(CAST(X."&amp;F188&amp;" AS STRING),'}')&gt;0 OR INSTR(CAST(X."&amp;F188&amp;" AS STRING),'[')&gt;0 OR INSTR(CAST(X."&amp;F188&amp;" AS STRING),'')&gt;0 OR INSTR(CAST(X."&amp;F188&amp;" AS STRING),']')&gt;0 OR INSTR(CAST(X."&amp;F188&amp;" AS STRING),'?')&gt;0 OR INSTR(CAST(X."&amp;F188&amp;" AS STRING),'!')&gt;0 OR INSTR(CAST(X."&amp;F188&amp;" AS STRING),'$')&gt;0 OR INSTR(CAST(X."&amp;F188&amp;" AS STRING),'%')&gt;0 OR INSTR(CAST(X."&amp;F188&amp;" AS STRING),'&amp;')&gt;0 OR INSTR(CAST(X."&amp;F188&amp;" AS STRING),'+')&gt;0,1,0)) AS NUM_REG_DIF,'"&amp;MAX('ID1&amp;5'!K:K)+1&amp;"' AS ID_EXEC, CURRENT_TIMESTAMP() AS TIME_EXEC FROM "&amp;I188,
IF(C188="Missings",+"SELECT '"&amp;UPPER(B188)&amp;"' AS TABELA, '"&amp;UPPER(C188)&amp;"' AS TIPOLOGIA_TESTE,'"&amp;D188&amp;"' AS TABELA_LT,'N/A' AS TABELA_SIMUL,'"&amp;F188&amp;"' AS CAMPO, "&amp;"'${ref_date}' AS REF_DATE, COUNT(*) AS NUM_REG, SUM(IF(TRIM(CAST(X."&amp;F188&amp;" AS STRING)) IN ('0000-00-00','0001-01-01','9999-12-31','MISS','00000','99999999999','99999999999.00','99999999999.000000'),1,0)) AS NUM_REG_DIF,'"&amp;MAX('ID1&amp;5'!K:K)+1&amp;"' AS ID_EXEC, CURRENT_TIMESTAMP() AS TIME_EXEC FROM "&amp;I188,
IF(C188="Not applicable",+"SELECT '"&amp;UPPER(B188)&amp;"' AS TABELA, '"&amp;UPPER(C188)&amp;"' AS TIPOLOGIA_TESTE,'"&amp;D188&amp;"' AS TABELA_LT,'N/A' AS TABELA_SIMUL,'"&amp;F188&amp;"' AS CAMPO, "&amp;"'${ref_date}' AS REF_DATE, COUNT(*) AS NUM_REG, SUM(IF(TRIM(CAST(X."&amp;F188&amp;" AS STRING)) IN ('N/A','11111111111','11111111111.00','11111111111.000000','1111-11-11'),1,0)) AS NUM_REG_DIF,'"&amp;MAX('ID1&amp;5'!K:K)+1&amp;"' AS ID_EXEC, CURRENT_TIMESTAMP() AS TIME_EXEC FROM "&amp;I188,
IF(C188="Valores extremos",+"SELECT '"&amp;UPPER(B188)&amp;"' AS TABELA, '"&amp;UPPER(C188)&amp;"' AS TIPOLOGIA_TESTE,'"&amp;D188&amp;"' AS TABELA_LT,'N/A' AS TABELA_SIMUL,'"&amp;F188&amp;"' AS CAMPO, "&amp;"'${ref_date}' AS REF_DATE, CAST(MIN("&amp;F188&amp;") AS STRING) AS VALOR_MIN, CAST(MAX("&amp;F188&amp;") AS STRING) AS VALOR_MAX,'"&amp;MAX('ID1&amp;5'!K:K)+1&amp;"' AS ID_EXEC, CURRENT_TIMESTAMP() AS TIME_EXEC FROM "&amp;MID(I188,1,LEN(I188)-2)&amp;" AND CAST("&amp;F188&amp;" AS STRING) NOT IN ('0000-00-00','0001-01-01','9999-12-31','MISS','00000','99999999999','99999999999.00','99999999999.000000','N/A','11111111111','11111111111.00','11111111111.000000','1111-11-11'))X"))))))</f>
        <v>SELECT 'PROTECTION' AS TABELA, 'VALIDADE' AS TIPOLOGIA_TESTE,'BU_LOANTAPE_WORK.LT004_PROTECTION' AS TABELA_LT,'N/A' AS TABELA_SIMUL,'COD_SOC' AS CAMPO, '${ref_date}' AS REF_DATE, COUNT(*) AS NUM_REG, SUM(IF(TRIM(CAST(X.COD_SOC AS STRING))='' OR TRIM(CAST(X.COD_SOC AS STRING)) IS NULL,1,0)) AS NUM_REG_DIF,'10' AS ID_EXEC, CURRENT_TIMESTAMP() AS TIME_EXEC FROM (SELECT prtctn_id, COD_SOC FROM BU_LOANTAPE_WORK.LT004_PROTECTION WHERE ref_date='${ref_date}' AND nome_perimetro='Individual Corporativo' AND segmento='ESTR' AND ambito='PILAR3')X</v>
      </c>
      <c r="M188" s="43" t="str">
        <f t="shared" ref="M188:M244" si="3">+"UNION ALL "&amp;L188</f>
        <v>UNION ALL SELECT 'PROTECTION' AS TABELA, 'VALIDADE' AS TIPOLOGIA_TESTE,'BU_LOANTAPE_WORK.LT004_PROTECTION' AS TABELA_LT,'N/A' AS TABELA_SIMUL,'COD_SOC' AS CAMPO, '${ref_date}' AS REF_DATE, COUNT(*) AS NUM_REG, SUM(IF(TRIM(CAST(X.COD_SOC AS STRING))='' OR TRIM(CAST(X.COD_SOC AS STRING)) IS NULL,1,0)) AS NUM_REG_DIF,'10' AS ID_EXEC, CURRENT_TIMESTAMP() AS TIME_EXEC FROM (SELECT prtctn_id, COD_SOC FROM BU_LOANTAPE_WORK.LT004_PROTECTION WHERE ref_date='${ref_date}' AND nome_perimetro='Individual Corporativo' AND segmento='ESTR' AND ambito='PILAR3')X</v>
      </c>
      <c r="N188" s="45" t="s">
        <v>13</v>
      </c>
    </row>
    <row r="189" spans="2:14">
      <c r="B189" s="41" t="s">
        <v>27</v>
      </c>
      <c r="C189" s="41" t="s">
        <v>76</v>
      </c>
      <c r="D189" s="41" t="str">
        <f>+UPPER('0. Instruções'!$D$33&amp;"."&amp;VLOOKUP(B189,'0. Instruções'!$C$27:$D$31,2,FALSE))</f>
        <v>BU_LOANTAPE_WORK.LT002_INSTRUMENT</v>
      </c>
      <c r="E189" s="41" t="str">
        <f>+UPPER('0. Instruções'!$D$34&amp;"."&amp;VLOOKUP(B189,'0. Instruções'!$C$27:$E$31,3,FALSE))</f>
        <v>BU_LOANTAPE_WORK.LT002_INSTRUMENT_P3_NOV24</v>
      </c>
      <c r="F189" s="41" t="s">
        <v>151</v>
      </c>
      <c r="G189" s="41" t="s">
        <v>209</v>
      </c>
      <c r="H189" s="41"/>
      <c r="I189" s="41" t="str">
        <f>"(SELECT "&amp;VLOOKUP(B189,'0. Instruções'!$C$27:$G$31,4,FALSE)&amp;", "&amp;F189&amp;" FROM "&amp;D189&amp;" WHERE "&amp;'0. Instruções'!$D$40&amp;")X"</f>
        <v>(SELECT instrmnt_id, LNS_CLLTRLZD_CLSSFCTN FROM BU_LOANTAPE_WORK.LT002_INSTRUMENT WHERE ref_date='${ref_date}' AND nome_perimetro='Individual Corporativo' AND segmento='ESTR' AND ambito='PILAR3')X</v>
      </c>
      <c r="J189" s="41" t="str">
        <f>"(SELECT "&amp;VLOOKUP(B189,'0. Instruções'!$C$27:$G$31,4,FALSE)&amp;" AS "&amp;VLOOKUP(B189,'0. Instruções'!$C$27:$G$31,4,FALSE)&amp;"_SIMUL, "&amp;F189&amp;" AS "&amp;F189&amp;"_SIMUL FROM "&amp;E189&amp;")Y"</f>
        <v>(SELECT instrmnt_id AS instrmnt_id_SIMUL, LNS_CLLTRLZD_CLSSFCTN AS LNS_CLLTRLZD_CLSSFCTN_SIMUL FROM BU_LOANTAPE_WORK.LT002_INSTRUMENT_P3_NOV24)Y</v>
      </c>
      <c r="K189" s="42" t="str">
        <f>+UPPER("ON X."&amp;VLOOKUP(B189,'0. Instruções'!$C$27:$G$31,4,FALSE)&amp;"=Y."&amp;VLOOKUP(B189,'0. Instruções'!$C$27:$G$31,4,FALSE)&amp;"_SIMUL")</f>
        <v>ON X.INSTRMNT_ID=Y.INSTRMNT_ID_SIMUL</v>
      </c>
      <c r="L189" s="42" t="str">
        <f>+IF(C189="Coerência", +IF(LEFT(G189,5)="FLOAT","SELECT '"&amp;UPPER(B189)&amp;"' AS TABELA, '"&amp;UPPER(C189)&amp;"' AS TIPOLOGIA_TESTE,'"&amp;D189&amp;"' AS TABELA_LT,'"&amp;E189&amp;"' AS TABELA_SIMUL,'"&amp;F189&amp;"' AS CAMPO, "&amp;"'${ref_date}' AS REF_DATE, COUNT(*) AS NUM_REG, SUM(IF((ABS(COALESCE(X."&amp;F189&amp;",0)-COALESCE(Y."&amp;F189&amp;"_SIMUL,0))&gt;0.0000000001) OR (X."&amp;F189&amp;" IS NULL AND Y."&amp;F189&amp;"_SIMUL IS NOT NULL ) OR (X."&amp;F189&amp;" IS NOT NULL AND Y."&amp;F189&amp;"_SIMUL IS NULL),1,0)) AS NUM_REG_DIF,'"&amp;MAX('ID1&amp;5'!K:K)+1&amp;"' AS ID_EXEC, CURRENT_TIMESTAMP() AS TIME_EXEC FROM "&amp;I189&amp;" INNER JOIN "&amp;J189&amp;" "&amp;K189,"SELECT '"&amp;UPPER(B189)&amp;"' AS TABELA, '"&amp;UPPER(C189)&amp;"' AS TIPOLOGIA_TESTE,'"&amp;D189&amp;"' AS TABELA_LT,'"&amp;E189&amp;"' AS TABELA_SIMUL,'"&amp;F189&amp;"' AS CAMPO, "&amp;"'${ref_date}' AS REF_DATE, COUNT(*) AS NUM_REG, SUM(IF(COALESCE(CAST(X."&amp;F189&amp;" AS STRING),'')&lt;&gt;COALESCE(CAST(Y."&amp;F189&amp;"_SIMUL AS STRING),''),1,0)) AS NUM_REG_DIF,'"&amp;MAX('ID1&amp;5'!L:L)+1&amp;"' AS ID_EXEC, CURRENT_TIMESTAMP() AS TIME_EXEC FROM "&amp;I189&amp;" INNER JOIN "&amp;J189&amp;" "&amp;K189),
IF(C189="Validade",+IF(G189="Code List","SELECT '"&amp;UPPER(B189)&amp;"' AS TABELA, '"&amp;UPPER(C189)&amp;"' AS TIPOLOGIA_TESTE,'"&amp;D189&amp;"' AS TABELA_LT,'N/A' AS TABELA_SIMUL,'"&amp;F189&amp;"' AS CAMPO, "&amp;"'${ref_date}' AS REF_DATE, COUNT(*) AS NUM_REG, SUM(IF(TRIM(CAST(X."&amp;F189&amp;" AS STRING))='' OR TRIM(CAST(X."&amp;F189&amp;" AS STRING)) IS NULL OR CAST(X."&amp;F189&amp;" AS STRING) NOT "&amp;H189&amp;",1,0)) AS NUM_REG_DIF,'"&amp;MAX('ID1&amp;5'!K:K)+1&amp;"' AS ID_EXEC, CURRENT_TIMESTAMP() AS TIME_EXEC FROM "&amp;I189,"SELECT '"&amp;UPPER(B189)&amp;"' AS TABELA, '"&amp;UPPER(C189)&amp;"' AS TIPOLOGIA_TESTE,'"&amp;D189&amp;"' AS TABELA_LT,'N/A' AS TABELA_SIMUL,'"&amp;F189&amp;"' AS CAMPO, "&amp;"'${ref_date}' AS REF_DATE, COUNT(*) AS NUM_REG, SUM(IF(TRIM(CAST(X."&amp;F189&amp;" AS STRING))='' OR TRIM(CAST(X."&amp;F189&amp;" AS STRING)) IS NULL,1,0)) AS NUM_REG_DIF,'"&amp;MAX('ID1&amp;5'!K:K)+1&amp;"' AS ID_EXEC, CURRENT_TIMESTAMP() AS TIME_EXEC FROM "&amp;I189),
IF(C189="Caracteres Especiais",+"SELECT '"&amp;UPPER(B189)&amp;"' AS TABELA, '"&amp;UPPER(C189)&amp;"' AS TIPOLOGIA_TESTE,'"&amp;D189&amp;"' AS TABELA_LT,'N/A' AS TABELA_SIMUL,'"&amp;F189&amp;"' AS CAMPO, "&amp;"'${ref_date}' AS REF_DATE, COUNT(*) AS NUM_REG, SUM(IF(INSTR(CAST(X."&amp;F189&amp;" AS STRING),'#')&gt;0 OR INSTR(CAST(X."&amp;F189&amp;" AS STRING),'*')&gt;0 OR INSTR(CAST(X."&amp;F189&amp;" AS STRING),'`')&gt;0 OR INSTR(CAST(X."&amp;F189&amp;" AS STRING),'´')&gt;0 OR INSTR(CAST(X."&amp;F189&amp;" AS STRING),'{')&gt;0 OR INSTR(CAST(X."&amp;F189&amp;" AS STRING),'}')&gt;0 OR INSTR(CAST(X."&amp;F189&amp;" AS STRING),'[')&gt;0 OR INSTR(CAST(X."&amp;F189&amp;" AS STRING),'')&gt;0 OR INSTR(CAST(X."&amp;F189&amp;" AS STRING),']')&gt;0 OR INSTR(CAST(X."&amp;F189&amp;" AS STRING),'?')&gt;0 OR INSTR(CAST(X."&amp;F189&amp;" AS STRING),'!')&gt;0 OR INSTR(CAST(X."&amp;F189&amp;" AS STRING),'$')&gt;0 OR INSTR(CAST(X."&amp;F189&amp;" AS STRING),'%')&gt;0 OR INSTR(CAST(X."&amp;F189&amp;" AS STRING),'&amp;')&gt;0 OR INSTR(CAST(X."&amp;F189&amp;" AS STRING),'+')&gt;0,1,0)) AS NUM_REG_DIF,'"&amp;MAX('ID1&amp;5'!K:K)+1&amp;"' AS ID_EXEC, CURRENT_TIMESTAMP() AS TIME_EXEC FROM "&amp;I189,
IF(C189="Missings",+"SELECT '"&amp;UPPER(B189)&amp;"' AS TABELA, '"&amp;UPPER(C189)&amp;"' AS TIPOLOGIA_TESTE,'"&amp;D189&amp;"' AS TABELA_LT,'N/A' AS TABELA_SIMUL,'"&amp;F189&amp;"' AS CAMPO, "&amp;"'${ref_date}' AS REF_DATE, COUNT(*) AS NUM_REG, SUM(IF(TRIM(CAST(X."&amp;F189&amp;" AS STRING)) IN ('0000-00-00','0001-01-01','9999-12-31','MISS','00000','99999999999','99999999999.00','99999999999.000000'),1,0)) AS NUM_REG_DIF,'"&amp;MAX('ID1&amp;5'!K:K)+1&amp;"' AS ID_EXEC, CURRENT_TIMESTAMP() AS TIME_EXEC FROM "&amp;I189,
IF(C189="Not applicable",+"SELECT '"&amp;UPPER(B189)&amp;"' AS TABELA, '"&amp;UPPER(C189)&amp;"' AS TIPOLOGIA_TESTE,'"&amp;D189&amp;"' AS TABELA_LT,'N/A' AS TABELA_SIMUL,'"&amp;F189&amp;"' AS CAMPO, "&amp;"'${ref_date}' AS REF_DATE, COUNT(*) AS NUM_REG, SUM(IF(TRIM(CAST(X."&amp;F189&amp;" AS STRING)) IN ('N/A','11111111111','11111111111.00','11111111111.000000','1111-11-11'),1,0)) AS NUM_REG_DIF,'"&amp;MAX('ID1&amp;5'!K:K)+1&amp;"' AS ID_EXEC, CURRENT_TIMESTAMP() AS TIME_EXEC FROM "&amp;I189,
IF(C189="Valores extremos",+"SELECT '"&amp;UPPER(B189)&amp;"' AS TABELA, '"&amp;UPPER(C189)&amp;"' AS TIPOLOGIA_TESTE,'"&amp;D189&amp;"' AS TABELA_LT,'N/A' AS TABELA_SIMUL,'"&amp;F189&amp;"' AS CAMPO, "&amp;"'${ref_date}' AS REF_DATE, CAST(MIN("&amp;F189&amp;") AS STRING) AS VALOR_MIN, CAST(MAX("&amp;F189&amp;") AS STRING) AS VALOR_MAX,'"&amp;MAX('ID1&amp;5'!K:K)+1&amp;"' AS ID_EXEC, CURRENT_TIMESTAMP() AS TIME_EXEC FROM "&amp;MID(I189,1,LEN(I189)-2)&amp;" AND CAST("&amp;F189&amp;"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TABELA_SIMUL,'LNS_CLLTRLZD_CLSSFCTN' AS CAMPO, '${ref_date}' AS REF_DATE, COUNT(*) AS NUM_REG, SUM(IF(INSTR(CAST(X.LNS_CLLTRLZD_CLSSFCTN AS STRING),'#')&gt;0 OR INSTR(CAST(X.LNS_CLLTRLZD_CLSSFCTN AS STRING),'*')&gt;0 OR INSTR(CAST(X.LNS_CLLTRLZD_CLSSFCTN AS STRING),'`')&gt;0 OR INSTR(CAST(X.LNS_CLLTRLZD_CLSSFCTN AS STRING),'´')&gt;0 OR INSTR(CAST(X.LNS_CLLTRLZD_CLSSFCTN AS STRING),'{')&gt;0 OR INSTR(CAST(X.LNS_CLLTRLZD_CLSSFCTN AS STRING),'}')&gt;0 OR INSTR(CAST(X.LNS_CLLTRLZD_CLSSFCTN AS STRING),'[')&gt;0 OR INSTR(CAST(X.LNS_CLLTRLZD_CLSSFCTN AS STRING),'')&gt;0 OR INSTR(CAST(X.LNS_CLLTRLZD_CLSSFCTN AS STRING),']')&gt;0 OR INSTR(CAST(X.LNS_CLLTRLZD_CLSSFCTN AS STRING),'?')&gt;0 OR INSTR(CAST(X.LNS_CLLTRLZD_CLSSFCTN AS STRING),'!')&gt;0 OR INSTR(CAST(X.LNS_CLLTRLZD_CLSSFCTN AS STRING),'$')&gt;0 OR INSTR(CAST(X.LNS_CLLTRLZD_CLSSFCTN AS STRING),'%')&gt;0 OR INSTR(CAST(X.LNS_CLLTRLZD_CLSSFCTN AS STRING),'&amp;')&gt;0 OR INSTR(CAST(X.LNS_CLLTRLZD_CLSSFCTN AS STRING),'+')&gt;0,1,0)) AS NUM_REG_DIF,'10' AS ID_EXEC, CURRENT_TIMESTAMP() AS TIME_EXEC FROM (SELECT instrmnt_id, LNS_CLLTRLZD_CLSSFCTN FROM BU_LOANTAPE_WORK.LT002_INSTRUMENT WHERE ref_date='${ref_date}' AND nome_perimetro='Individual Corporativo' AND segmento='ESTR' AND ambito='PILAR3')X</v>
      </c>
      <c r="M189" s="43" t="str">
        <f t="shared" si="3"/>
        <v>UNION ALL SELECT 'INSTRUMENT' AS TABELA, 'CARACTERES ESPECIAIS' AS TIPOLOGIA_TESTE,'BU_LOANTAPE_WORK.LT002_INSTRUMENT' AS TABELA_LT,'N/A' AS TABELA_SIMUL,'LNS_CLLTRLZD_CLSSFCTN' AS CAMPO, '${ref_date}' AS REF_DATE, COUNT(*) AS NUM_REG, SUM(IF(INSTR(CAST(X.LNS_CLLTRLZD_CLSSFCTN AS STRING),'#')&gt;0 OR INSTR(CAST(X.LNS_CLLTRLZD_CLSSFCTN AS STRING),'*')&gt;0 OR INSTR(CAST(X.LNS_CLLTRLZD_CLSSFCTN AS STRING),'`')&gt;0 OR INSTR(CAST(X.LNS_CLLTRLZD_CLSSFCTN AS STRING),'´')&gt;0 OR INSTR(CAST(X.LNS_CLLTRLZD_CLSSFCTN AS STRING),'{')&gt;0 OR INSTR(CAST(X.LNS_CLLTRLZD_CLSSFCTN AS STRING),'}')&gt;0 OR INSTR(CAST(X.LNS_CLLTRLZD_CLSSFCTN AS STRING),'[')&gt;0 OR INSTR(CAST(X.LNS_CLLTRLZD_CLSSFCTN AS STRING),'')&gt;0 OR INSTR(CAST(X.LNS_CLLTRLZD_CLSSFCTN AS STRING),']')&gt;0 OR INSTR(CAST(X.LNS_CLLTRLZD_CLSSFCTN AS STRING),'?')&gt;0 OR INSTR(CAST(X.LNS_CLLTRLZD_CLSSFCTN AS STRING),'!')&gt;0 OR INSTR(CAST(X.LNS_CLLTRLZD_CLSSFCTN AS STRING),'$')&gt;0 OR INSTR(CAST(X.LNS_CLLTRLZD_CLSSFCTN AS STRING),'%')&gt;0 OR INSTR(CAST(X.LNS_CLLTRLZD_CLSSFCTN AS STRING),'&amp;')&gt;0 OR INSTR(CAST(X.LNS_CLLTRLZD_CLSSFCTN AS STRING),'+')&gt;0,1,0)) AS NUM_REG_DIF,'10' AS ID_EXEC, CURRENT_TIMESTAMP() AS TIME_EXEC FROM (SELECT instrmnt_id, LNS_CLLTRLZD_CLSSFCTN FROM BU_LOANTAPE_WORK.LT002_INSTRUMENT WHERE ref_date='${ref_date}' AND nome_perimetro='Individual Corporativo' AND segmento='ESTR' AND ambito='PILAR3')X</v>
      </c>
      <c r="N189" s="45" t="s">
        <v>13</v>
      </c>
    </row>
    <row r="190" spans="2:14">
      <c r="B190" s="41" t="s">
        <v>27</v>
      </c>
      <c r="C190" s="41" t="s">
        <v>76</v>
      </c>
      <c r="D190" s="41" t="str">
        <f>+UPPER('0. Instruções'!$D$33&amp;"."&amp;VLOOKUP(B190,'0. Instruções'!$C$27:$D$31,2,FALSE))</f>
        <v>BU_LOANTAPE_WORK.LT002_INSTRUMENT</v>
      </c>
      <c r="E190" s="41" t="str">
        <f>+UPPER('0. Instruções'!$D$34&amp;"."&amp;VLOOKUP(B190,'0. Instruções'!$C$27:$E$31,3,FALSE))</f>
        <v>BU_LOANTAPE_WORK.LT002_INSTRUMENT_P3_NOV24</v>
      </c>
      <c r="F190" s="41" t="s">
        <v>146</v>
      </c>
      <c r="G190" s="41" t="s">
        <v>209</v>
      </c>
      <c r="H190" s="41"/>
      <c r="I190" s="41" t="str">
        <f>"(SELECT "&amp;VLOOKUP(B190,'0. Instruções'!$C$27:$G$31,4,FALSE)&amp;", "&amp;F190&amp;" FROM "&amp;D190&amp;" WHERE "&amp;'0. Instruções'!$D$40&amp;")X"</f>
        <v>(SELECT instrmnt_id, RSK_MTGTD_CCT FROM BU_LOANTAPE_WORK.LT002_INSTRUMENT WHERE ref_date='${ref_date}' AND nome_perimetro='Individual Corporativo' AND segmento='ESTR' AND ambito='PILAR3')X</v>
      </c>
      <c r="J190" s="41" t="str">
        <f>"(SELECT "&amp;VLOOKUP(B190,'0. Instruções'!$C$27:$G$31,4,FALSE)&amp;" AS "&amp;VLOOKUP(B190,'0. Instruções'!$C$27:$G$31,4,FALSE)&amp;"_SIMUL, "&amp;F190&amp;" AS "&amp;F190&amp;"_SIMUL FROM "&amp;E190&amp;")Y"</f>
        <v>(SELECT instrmnt_id AS instrmnt_id_SIMUL, RSK_MTGTD_CCT AS RSK_MTGTD_CCT_SIMUL FROM BU_LOANTAPE_WORK.LT002_INSTRUMENT_P3_NOV24)Y</v>
      </c>
      <c r="K190" s="42" t="str">
        <f>+UPPER("ON X."&amp;VLOOKUP(B190,'0. Instruções'!$C$27:$G$31,4,FALSE)&amp;"=Y."&amp;VLOOKUP(B190,'0. Instruções'!$C$27:$G$31,4,FALSE)&amp;"_SIMUL")</f>
        <v>ON X.INSTRMNT_ID=Y.INSTRMNT_ID_SIMUL</v>
      </c>
      <c r="L190" s="42" t="str">
        <f>+IF(C190="Coerência", +IF(LEFT(G190,5)="FLOAT","SELECT '"&amp;UPPER(B190)&amp;"' AS TABELA, '"&amp;UPPER(C190)&amp;"' AS TIPOLOGIA_TESTE,'"&amp;D190&amp;"' AS TABELA_LT,'"&amp;E190&amp;"' AS TABELA_SIMUL,'"&amp;F190&amp;"' AS CAMPO, "&amp;"'${ref_date}' AS REF_DATE, COUNT(*) AS NUM_REG, SUM(IF((ABS(COALESCE(X."&amp;F190&amp;",0)-COALESCE(Y."&amp;F190&amp;"_SIMUL,0))&gt;0.0000000001) OR (X."&amp;F190&amp;" IS NULL AND Y."&amp;F190&amp;"_SIMUL IS NOT NULL ) OR (X."&amp;F190&amp;" IS NOT NULL AND Y."&amp;F190&amp;"_SIMUL IS NULL),1,0)) AS NUM_REG_DIF,'"&amp;MAX('ID1&amp;5'!K:K)+1&amp;"' AS ID_EXEC, CURRENT_TIMESTAMP() AS TIME_EXEC FROM "&amp;I190&amp;" INNER JOIN "&amp;J190&amp;" "&amp;K190,"SELECT '"&amp;UPPER(B190)&amp;"' AS TABELA, '"&amp;UPPER(C190)&amp;"' AS TIPOLOGIA_TESTE,'"&amp;D190&amp;"' AS TABELA_LT,'"&amp;E190&amp;"' AS TABELA_SIMUL,'"&amp;F190&amp;"' AS CAMPO, "&amp;"'${ref_date}' AS REF_DATE, COUNT(*) AS NUM_REG, SUM(IF(COALESCE(CAST(X."&amp;F190&amp;" AS STRING),'')&lt;&gt;COALESCE(CAST(Y."&amp;F190&amp;"_SIMUL AS STRING),''),1,0)) AS NUM_REG_DIF,'"&amp;MAX('ID1&amp;5'!L:L)+1&amp;"' AS ID_EXEC, CURRENT_TIMESTAMP() AS TIME_EXEC FROM "&amp;I190&amp;" INNER JOIN "&amp;J190&amp;" "&amp;K190),
IF(C190="Validade",+IF(G190="Code List","SELECT '"&amp;UPPER(B190)&amp;"' AS TABELA, '"&amp;UPPER(C190)&amp;"' AS TIPOLOGIA_TESTE,'"&amp;D190&amp;"' AS TABELA_LT,'N/A' AS TABELA_SIMUL,'"&amp;F190&amp;"' AS CAMPO, "&amp;"'${ref_date}' AS REF_DATE, COUNT(*) AS NUM_REG, SUM(IF(TRIM(CAST(X."&amp;F190&amp;" AS STRING))='' OR TRIM(CAST(X."&amp;F190&amp;" AS STRING)) IS NULL OR CAST(X."&amp;F190&amp;" AS STRING) NOT "&amp;H190&amp;",1,0)) AS NUM_REG_DIF,'"&amp;MAX('ID1&amp;5'!K:K)+1&amp;"' AS ID_EXEC, CURRENT_TIMESTAMP() AS TIME_EXEC FROM "&amp;I190,"SELECT '"&amp;UPPER(B190)&amp;"' AS TABELA, '"&amp;UPPER(C190)&amp;"' AS TIPOLOGIA_TESTE,'"&amp;D190&amp;"' AS TABELA_LT,'N/A' AS TABELA_SIMUL,'"&amp;F190&amp;"' AS CAMPO, "&amp;"'${ref_date}' AS REF_DATE, COUNT(*) AS NUM_REG, SUM(IF(TRIM(CAST(X."&amp;F190&amp;" AS STRING))='' OR TRIM(CAST(X."&amp;F190&amp;" AS STRING)) IS NULL,1,0)) AS NUM_REG_DIF,'"&amp;MAX('ID1&amp;5'!K:K)+1&amp;"' AS ID_EXEC, CURRENT_TIMESTAMP() AS TIME_EXEC FROM "&amp;I190),
IF(C190="Caracteres Especiais",+"SELECT '"&amp;UPPER(B190)&amp;"' AS TABELA, '"&amp;UPPER(C190)&amp;"' AS TIPOLOGIA_TESTE,'"&amp;D190&amp;"' AS TABELA_LT,'N/A' AS TABELA_SIMUL,'"&amp;F190&amp;"' AS CAMPO, "&amp;"'${ref_date}' AS REF_DATE, COUNT(*) AS NUM_REG, SUM(IF(INSTR(CAST(X."&amp;F190&amp;" AS STRING),'#')&gt;0 OR INSTR(CAST(X."&amp;F190&amp;" AS STRING),'*')&gt;0 OR INSTR(CAST(X."&amp;F190&amp;" AS STRING),'`')&gt;0 OR INSTR(CAST(X."&amp;F190&amp;" AS STRING),'´')&gt;0 OR INSTR(CAST(X."&amp;F190&amp;" AS STRING),'{')&gt;0 OR INSTR(CAST(X."&amp;F190&amp;" AS STRING),'}')&gt;0 OR INSTR(CAST(X."&amp;F190&amp;" AS STRING),'[')&gt;0 OR INSTR(CAST(X."&amp;F190&amp;" AS STRING),'')&gt;0 OR INSTR(CAST(X."&amp;F190&amp;" AS STRING),']')&gt;0 OR INSTR(CAST(X."&amp;F190&amp;" AS STRING),'?')&gt;0 OR INSTR(CAST(X."&amp;F190&amp;" AS STRING),'!')&gt;0 OR INSTR(CAST(X."&amp;F190&amp;" AS STRING),'$')&gt;0 OR INSTR(CAST(X."&amp;F190&amp;" AS STRING),'%')&gt;0 OR INSTR(CAST(X."&amp;F190&amp;" AS STRING),'&amp;')&gt;0 OR INSTR(CAST(X."&amp;F190&amp;" AS STRING),'+')&gt;0,1,0)) AS NUM_REG_DIF,'"&amp;MAX('ID1&amp;5'!K:K)+1&amp;"' AS ID_EXEC, CURRENT_TIMESTAMP() AS TIME_EXEC FROM "&amp;I190,
IF(C190="Missings",+"SELECT '"&amp;UPPER(B190)&amp;"' AS TABELA, '"&amp;UPPER(C190)&amp;"' AS TIPOLOGIA_TESTE,'"&amp;D190&amp;"' AS TABELA_LT,'N/A' AS TABELA_SIMUL,'"&amp;F190&amp;"' AS CAMPO, "&amp;"'${ref_date}' AS REF_DATE, COUNT(*) AS NUM_REG, SUM(IF(TRIM(CAST(X."&amp;F190&amp;" AS STRING)) IN ('0000-00-00','0001-01-01','9999-12-31','MISS','00000','99999999999','99999999999.00','99999999999.000000'),1,0)) AS NUM_REG_DIF,'"&amp;MAX('ID1&amp;5'!K:K)+1&amp;"' AS ID_EXEC, CURRENT_TIMESTAMP() AS TIME_EXEC FROM "&amp;I190,
IF(C190="Not applicable",+"SELECT '"&amp;UPPER(B190)&amp;"' AS TABELA, '"&amp;UPPER(C190)&amp;"' AS TIPOLOGIA_TESTE,'"&amp;D190&amp;"' AS TABELA_LT,'N/A' AS TABELA_SIMUL,'"&amp;F190&amp;"' AS CAMPO, "&amp;"'${ref_date}' AS REF_DATE, COUNT(*) AS NUM_REG, SUM(IF(TRIM(CAST(X."&amp;F190&amp;" AS STRING)) IN ('N/A','11111111111','11111111111.00','11111111111.000000','1111-11-11'),1,0)) AS NUM_REG_DIF,'"&amp;MAX('ID1&amp;5'!K:K)+1&amp;"' AS ID_EXEC, CURRENT_TIMESTAMP() AS TIME_EXEC FROM "&amp;I190,
IF(C190="Valores extremos",+"SELECT '"&amp;UPPER(B190)&amp;"' AS TABELA, '"&amp;UPPER(C190)&amp;"' AS TIPOLOGIA_TESTE,'"&amp;D190&amp;"' AS TABELA_LT,'N/A' AS TABELA_SIMUL,'"&amp;F190&amp;"' AS CAMPO, "&amp;"'${ref_date}' AS REF_DATE, CAST(MIN("&amp;F190&amp;") AS STRING) AS VALOR_MIN, CAST(MAX("&amp;F190&amp;") AS STRING) AS VALOR_MAX,'"&amp;MAX('ID1&amp;5'!K:K)+1&amp;"' AS ID_EXEC, CURRENT_TIMESTAMP() AS TIME_EXEC FROM "&amp;MID(I190,1,LEN(I190)-2)&amp;" AND CAST("&amp;F190&amp;"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TABELA_SIMUL,'RSK_MTGTD_CCT' AS CAMPO, '${ref_date}' AS REF_DATE, COUNT(*) AS NUM_REG, SUM(IF(INSTR(CAST(X.RSK_MTGTD_CCT AS STRING),'#')&gt;0 OR INSTR(CAST(X.RSK_MTGTD_CCT AS STRING),'*')&gt;0 OR INSTR(CAST(X.RSK_MTGTD_CCT AS STRING),'`')&gt;0 OR INSTR(CAST(X.RSK_MTGTD_CCT AS STRING),'´')&gt;0 OR INSTR(CAST(X.RSK_MTGTD_CCT AS STRING),'{')&gt;0 OR INSTR(CAST(X.RSK_MTGTD_CCT AS STRING),'}')&gt;0 OR INSTR(CAST(X.RSK_MTGTD_CCT AS STRING),'[')&gt;0 OR INSTR(CAST(X.RSK_MTGTD_CCT AS STRING),'')&gt;0 OR INSTR(CAST(X.RSK_MTGTD_CCT AS STRING),']')&gt;0 OR INSTR(CAST(X.RSK_MTGTD_CCT AS STRING),'?')&gt;0 OR INSTR(CAST(X.RSK_MTGTD_CCT AS STRING),'!')&gt;0 OR INSTR(CAST(X.RSK_MTGTD_CCT AS STRING),'$')&gt;0 OR INSTR(CAST(X.RSK_MTGTD_CCT AS STRING),'%')&gt;0 OR INSTR(CAST(X.RSK_MTGTD_CCT AS STRING),'&amp;')&gt;0 OR INSTR(CAST(X.RSK_MTGTD_CCT AS STRING),'+')&gt;0,1,0)) AS NUM_REG_DIF,'10' AS ID_EXEC, CURRENT_TIMESTAMP() AS TIME_EXEC FROM (SELECT instrmnt_id, RSK_MTGTD_CCT FROM BU_LOANTAPE_WORK.LT002_INSTRUMENT WHERE ref_date='${ref_date}' AND nome_perimetro='Individual Corporativo' AND segmento='ESTR' AND ambito='PILAR3')X</v>
      </c>
      <c r="M190" s="43" t="str">
        <f t="shared" si="3"/>
        <v>UNION ALL SELECT 'INSTRUMENT' AS TABELA, 'CARACTERES ESPECIAIS' AS TIPOLOGIA_TESTE,'BU_LOANTAPE_WORK.LT002_INSTRUMENT' AS TABELA_LT,'N/A' AS TABELA_SIMUL,'RSK_MTGTD_CCT' AS CAMPO, '${ref_date}' AS REF_DATE, COUNT(*) AS NUM_REG, SUM(IF(INSTR(CAST(X.RSK_MTGTD_CCT AS STRING),'#')&gt;0 OR INSTR(CAST(X.RSK_MTGTD_CCT AS STRING),'*')&gt;0 OR INSTR(CAST(X.RSK_MTGTD_CCT AS STRING),'`')&gt;0 OR INSTR(CAST(X.RSK_MTGTD_CCT AS STRING),'´')&gt;0 OR INSTR(CAST(X.RSK_MTGTD_CCT AS STRING),'{')&gt;0 OR INSTR(CAST(X.RSK_MTGTD_CCT AS STRING),'}')&gt;0 OR INSTR(CAST(X.RSK_MTGTD_CCT AS STRING),'[')&gt;0 OR INSTR(CAST(X.RSK_MTGTD_CCT AS STRING),'')&gt;0 OR INSTR(CAST(X.RSK_MTGTD_CCT AS STRING),']')&gt;0 OR INSTR(CAST(X.RSK_MTGTD_CCT AS STRING),'?')&gt;0 OR INSTR(CAST(X.RSK_MTGTD_CCT AS STRING),'!')&gt;0 OR INSTR(CAST(X.RSK_MTGTD_CCT AS STRING),'$')&gt;0 OR INSTR(CAST(X.RSK_MTGTD_CCT AS STRING),'%')&gt;0 OR INSTR(CAST(X.RSK_MTGTD_CCT AS STRING),'&amp;')&gt;0 OR INSTR(CAST(X.RSK_MTGTD_CCT AS STRING),'+')&gt;0,1,0)) AS NUM_REG_DIF,'10' AS ID_EXEC, CURRENT_TIMESTAMP() AS TIME_EXEC FROM (SELECT instrmnt_id, RSK_MTGTD_CCT FROM BU_LOANTAPE_WORK.LT002_INSTRUMENT WHERE ref_date='${ref_date}' AND nome_perimetro='Individual Corporativo' AND segmento='ESTR' AND ambito='PILAR3')X</v>
      </c>
      <c r="N190" s="45" t="s">
        <v>13</v>
      </c>
    </row>
    <row r="191" spans="2:14">
      <c r="B191" s="41" t="s">
        <v>27</v>
      </c>
      <c r="C191" s="41" t="s">
        <v>76</v>
      </c>
      <c r="D191" s="41" t="str">
        <f>+UPPER('0. Instruções'!$D$33&amp;"."&amp;VLOOKUP(B191,'0. Instruções'!$C$27:$D$31,2,FALSE))</f>
        <v>BU_LOANTAPE_WORK.LT002_INSTRUMENT</v>
      </c>
      <c r="E191" s="41" t="str">
        <f>+UPPER('0. Instruções'!$D$34&amp;"."&amp;VLOOKUP(B191,'0. Instruções'!$C$27:$E$31,3,FALSE))</f>
        <v>BU_LOANTAPE_WORK.LT002_INSTRUMENT_P3_NOV24</v>
      </c>
      <c r="F191" s="41" t="s">
        <v>148</v>
      </c>
      <c r="G191" s="41" t="s">
        <v>209</v>
      </c>
      <c r="H191" s="41"/>
      <c r="I191" s="41" t="str">
        <f>"(SELECT "&amp;VLOOKUP(B191,'0. Instruções'!$C$27:$G$31,4,FALSE)&amp;", "&amp;F191&amp;" FROM "&amp;D191&amp;" WHERE "&amp;'0. Instruções'!$D$40&amp;")X"</f>
        <v>(SELECT instrmnt_id, RSK_MTGTD_CCP FROM BU_LOANTAPE_WORK.LT002_INSTRUMENT WHERE ref_date='${ref_date}' AND nome_perimetro='Individual Corporativo' AND segmento='ESTR' AND ambito='PILAR3')X</v>
      </c>
      <c r="J191" s="41" t="str">
        <f>"(SELECT "&amp;VLOOKUP(B191,'0. Instruções'!$C$27:$G$31,4,FALSE)&amp;" AS "&amp;VLOOKUP(B191,'0. Instruções'!$C$27:$G$31,4,FALSE)&amp;"_SIMUL, "&amp;F191&amp;" AS "&amp;F191&amp;"_SIMUL FROM "&amp;E191&amp;")Y"</f>
        <v>(SELECT instrmnt_id AS instrmnt_id_SIMUL, RSK_MTGTD_CCP AS RSK_MTGTD_CCP_SIMUL FROM BU_LOANTAPE_WORK.LT002_INSTRUMENT_P3_NOV24)Y</v>
      </c>
      <c r="K191" s="42" t="str">
        <f>+UPPER("ON X."&amp;VLOOKUP(B191,'0. Instruções'!$C$27:$G$31,4,FALSE)&amp;"=Y."&amp;VLOOKUP(B191,'0. Instruções'!$C$27:$G$31,4,FALSE)&amp;"_SIMUL")</f>
        <v>ON X.INSTRMNT_ID=Y.INSTRMNT_ID_SIMUL</v>
      </c>
      <c r="L191" s="42" t="str">
        <f>+IF(C191="Coerência", +IF(LEFT(G191,5)="FLOAT","SELECT '"&amp;UPPER(B191)&amp;"' AS TABELA, '"&amp;UPPER(C191)&amp;"' AS TIPOLOGIA_TESTE,'"&amp;D191&amp;"' AS TABELA_LT,'"&amp;E191&amp;"' AS TABELA_SIMUL,'"&amp;F191&amp;"' AS CAMPO, "&amp;"'${ref_date}' AS REF_DATE, COUNT(*) AS NUM_REG, SUM(IF((ABS(COALESCE(X."&amp;F191&amp;",0)-COALESCE(Y."&amp;F191&amp;"_SIMUL,0))&gt;0.0000000001) OR (X."&amp;F191&amp;" IS NULL AND Y."&amp;F191&amp;"_SIMUL IS NOT NULL ) OR (X."&amp;F191&amp;" IS NOT NULL AND Y."&amp;F191&amp;"_SIMUL IS NULL),1,0)) AS NUM_REG_DIF,'"&amp;MAX('ID1&amp;5'!K:K)+1&amp;"' AS ID_EXEC, CURRENT_TIMESTAMP() AS TIME_EXEC FROM "&amp;I191&amp;" INNER JOIN "&amp;J191&amp;" "&amp;K191,"SELECT '"&amp;UPPER(B191)&amp;"' AS TABELA, '"&amp;UPPER(C191)&amp;"' AS TIPOLOGIA_TESTE,'"&amp;D191&amp;"' AS TABELA_LT,'"&amp;E191&amp;"' AS TABELA_SIMUL,'"&amp;F191&amp;"' AS CAMPO, "&amp;"'${ref_date}' AS REF_DATE, COUNT(*) AS NUM_REG, SUM(IF(COALESCE(CAST(X."&amp;F191&amp;" AS STRING),'')&lt;&gt;COALESCE(CAST(Y."&amp;F191&amp;"_SIMUL AS STRING),''),1,0)) AS NUM_REG_DIF,'"&amp;MAX('ID1&amp;5'!L:L)+1&amp;"' AS ID_EXEC, CURRENT_TIMESTAMP() AS TIME_EXEC FROM "&amp;I191&amp;" INNER JOIN "&amp;J191&amp;" "&amp;K191),
IF(C191="Validade",+IF(G191="Code List","SELECT '"&amp;UPPER(B191)&amp;"' AS TABELA, '"&amp;UPPER(C191)&amp;"' AS TIPOLOGIA_TESTE,'"&amp;D191&amp;"' AS TABELA_LT,'N/A' AS TABELA_SIMUL,'"&amp;F191&amp;"' AS CAMPO, "&amp;"'${ref_date}' AS REF_DATE, COUNT(*) AS NUM_REG, SUM(IF(TRIM(CAST(X."&amp;F191&amp;" AS STRING))='' OR TRIM(CAST(X."&amp;F191&amp;" AS STRING)) IS NULL OR CAST(X."&amp;F191&amp;" AS STRING) NOT "&amp;H191&amp;",1,0)) AS NUM_REG_DIF,'"&amp;MAX('ID1&amp;5'!K:K)+1&amp;"' AS ID_EXEC, CURRENT_TIMESTAMP() AS TIME_EXEC FROM "&amp;I191,"SELECT '"&amp;UPPER(B191)&amp;"' AS TABELA, '"&amp;UPPER(C191)&amp;"' AS TIPOLOGIA_TESTE,'"&amp;D191&amp;"' AS TABELA_LT,'N/A' AS TABELA_SIMUL,'"&amp;F191&amp;"' AS CAMPO, "&amp;"'${ref_date}' AS REF_DATE, COUNT(*) AS NUM_REG, SUM(IF(TRIM(CAST(X."&amp;F191&amp;" AS STRING))='' OR TRIM(CAST(X."&amp;F191&amp;" AS STRING)) IS NULL,1,0)) AS NUM_REG_DIF,'"&amp;MAX('ID1&amp;5'!K:K)+1&amp;"' AS ID_EXEC, CURRENT_TIMESTAMP() AS TIME_EXEC FROM "&amp;I191),
IF(C191="Caracteres Especiais",+"SELECT '"&amp;UPPER(B191)&amp;"' AS TABELA, '"&amp;UPPER(C191)&amp;"' AS TIPOLOGIA_TESTE,'"&amp;D191&amp;"' AS TABELA_LT,'N/A' AS TABELA_SIMUL,'"&amp;F191&amp;"' AS CAMPO, "&amp;"'${ref_date}' AS REF_DATE, COUNT(*) AS NUM_REG, SUM(IF(INSTR(CAST(X."&amp;F191&amp;" AS STRING),'#')&gt;0 OR INSTR(CAST(X."&amp;F191&amp;" AS STRING),'*')&gt;0 OR INSTR(CAST(X."&amp;F191&amp;" AS STRING),'`')&gt;0 OR INSTR(CAST(X."&amp;F191&amp;" AS STRING),'´')&gt;0 OR INSTR(CAST(X."&amp;F191&amp;" AS STRING),'{')&gt;0 OR INSTR(CAST(X."&amp;F191&amp;" AS STRING),'}')&gt;0 OR INSTR(CAST(X."&amp;F191&amp;" AS STRING),'[')&gt;0 OR INSTR(CAST(X."&amp;F191&amp;" AS STRING),'')&gt;0 OR INSTR(CAST(X."&amp;F191&amp;" AS STRING),']')&gt;0 OR INSTR(CAST(X."&amp;F191&amp;" AS STRING),'?')&gt;0 OR INSTR(CAST(X."&amp;F191&amp;" AS STRING),'!')&gt;0 OR INSTR(CAST(X."&amp;F191&amp;" AS STRING),'$')&gt;0 OR INSTR(CAST(X."&amp;F191&amp;" AS STRING),'%')&gt;0 OR INSTR(CAST(X."&amp;F191&amp;" AS STRING),'&amp;')&gt;0 OR INSTR(CAST(X."&amp;F191&amp;" AS STRING),'+')&gt;0,1,0)) AS NUM_REG_DIF,'"&amp;MAX('ID1&amp;5'!K:K)+1&amp;"' AS ID_EXEC, CURRENT_TIMESTAMP() AS TIME_EXEC FROM "&amp;I191,
IF(C191="Missings",+"SELECT '"&amp;UPPER(B191)&amp;"' AS TABELA, '"&amp;UPPER(C191)&amp;"' AS TIPOLOGIA_TESTE,'"&amp;D191&amp;"' AS TABELA_LT,'N/A' AS TABELA_SIMUL,'"&amp;F191&amp;"' AS CAMPO, "&amp;"'${ref_date}' AS REF_DATE, COUNT(*) AS NUM_REG, SUM(IF(TRIM(CAST(X."&amp;F191&amp;" AS STRING)) IN ('0000-00-00','0001-01-01','9999-12-31','MISS','00000','99999999999','99999999999.00','99999999999.000000'),1,0)) AS NUM_REG_DIF,'"&amp;MAX('ID1&amp;5'!K:K)+1&amp;"' AS ID_EXEC, CURRENT_TIMESTAMP() AS TIME_EXEC FROM "&amp;I191,
IF(C191="Not applicable",+"SELECT '"&amp;UPPER(B191)&amp;"' AS TABELA, '"&amp;UPPER(C191)&amp;"' AS TIPOLOGIA_TESTE,'"&amp;D191&amp;"' AS TABELA_LT,'N/A' AS TABELA_SIMUL,'"&amp;F191&amp;"' AS CAMPO, "&amp;"'${ref_date}' AS REF_DATE, COUNT(*) AS NUM_REG, SUM(IF(TRIM(CAST(X."&amp;F191&amp;" AS STRING)) IN ('N/A','11111111111','11111111111.00','11111111111.000000','1111-11-11'),1,0)) AS NUM_REG_DIF,'"&amp;MAX('ID1&amp;5'!K:K)+1&amp;"' AS ID_EXEC, CURRENT_TIMESTAMP() AS TIME_EXEC FROM "&amp;I191,
IF(C191="Valores extremos",+"SELECT '"&amp;UPPER(B191)&amp;"' AS TABELA, '"&amp;UPPER(C191)&amp;"' AS TIPOLOGIA_TESTE,'"&amp;D191&amp;"' AS TABELA_LT,'N/A' AS TABELA_SIMUL,'"&amp;F191&amp;"' AS CAMPO, "&amp;"'${ref_date}' AS REF_DATE, CAST(MIN("&amp;F191&amp;") AS STRING) AS VALOR_MIN, CAST(MAX("&amp;F191&amp;") AS STRING) AS VALOR_MAX,'"&amp;MAX('ID1&amp;5'!K:K)+1&amp;"' AS ID_EXEC, CURRENT_TIMESTAMP() AS TIME_EXEC FROM "&amp;MID(I191,1,LEN(I191)-2)&amp;" AND CAST("&amp;F191&amp;"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TABELA_SIMUL,'RSK_MTGTD_CCP' AS CAMPO, '${ref_date}' AS REF_DATE, COUNT(*) AS NUM_REG, SUM(IF(INSTR(CAST(X.RSK_MTGTD_CCP AS STRING),'#')&gt;0 OR INSTR(CAST(X.RSK_MTGTD_CCP AS STRING),'*')&gt;0 OR INSTR(CAST(X.RSK_MTGTD_CCP AS STRING),'`')&gt;0 OR INSTR(CAST(X.RSK_MTGTD_CCP AS STRING),'´')&gt;0 OR INSTR(CAST(X.RSK_MTGTD_CCP AS STRING),'{')&gt;0 OR INSTR(CAST(X.RSK_MTGTD_CCP AS STRING),'}')&gt;0 OR INSTR(CAST(X.RSK_MTGTD_CCP AS STRING),'[')&gt;0 OR INSTR(CAST(X.RSK_MTGTD_CCP AS STRING),'')&gt;0 OR INSTR(CAST(X.RSK_MTGTD_CCP AS STRING),']')&gt;0 OR INSTR(CAST(X.RSK_MTGTD_CCP AS STRING),'?')&gt;0 OR INSTR(CAST(X.RSK_MTGTD_CCP AS STRING),'!')&gt;0 OR INSTR(CAST(X.RSK_MTGTD_CCP AS STRING),'$')&gt;0 OR INSTR(CAST(X.RSK_MTGTD_CCP AS STRING),'%')&gt;0 OR INSTR(CAST(X.RSK_MTGTD_CCP AS STRING),'&amp;')&gt;0 OR INSTR(CAST(X.RSK_MTGTD_CCP AS STRING),'+')&gt;0,1,0)) AS NUM_REG_DIF,'10' AS ID_EXEC, CURRENT_TIMESTAMP() AS TIME_EXEC FROM (SELECT instrmnt_id, RSK_MTGTD_CCP FROM BU_LOANTAPE_WORK.LT002_INSTRUMENT WHERE ref_date='${ref_date}' AND nome_perimetro='Individual Corporativo' AND segmento='ESTR' AND ambito='PILAR3')X</v>
      </c>
      <c r="M191" s="43" t="str">
        <f t="shared" si="3"/>
        <v>UNION ALL SELECT 'INSTRUMENT' AS TABELA, 'CARACTERES ESPECIAIS' AS TIPOLOGIA_TESTE,'BU_LOANTAPE_WORK.LT002_INSTRUMENT' AS TABELA_LT,'N/A' AS TABELA_SIMUL,'RSK_MTGTD_CCP' AS CAMPO, '${ref_date}' AS REF_DATE, COUNT(*) AS NUM_REG, SUM(IF(INSTR(CAST(X.RSK_MTGTD_CCP AS STRING),'#')&gt;0 OR INSTR(CAST(X.RSK_MTGTD_CCP AS STRING),'*')&gt;0 OR INSTR(CAST(X.RSK_MTGTD_CCP AS STRING),'`')&gt;0 OR INSTR(CAST(X.RSK_MTGTD_CCP AS STRING),'´')&gt;0 OR INSTR(CAST(X.RSK_MTGTD_CCP AS STRING),'{')&gt;0 OR INSTR(CAST(X.RSK_MTGTD_CCP AS STRING),'}')&gt;0 OR INSTR(CAST(X.RSK_MTGTD_CCP AS STRING),'[')&gt;0 OR INSTR(CAST(X.RSK_MTGTD_CCP AS STRING),'')&gt;0 OR INSTR(CAST(X.RSK_MTGTD_CCP AS STRING),']')&gt;0 OR INSTR(CAST(X.RSK_MTGTD_CCP AS STRING),'?')&gt;0 OR INSTR(CAST(X.RSK_MTGTD_CCP AS STRING),'!')&gt;0 OR INSTR(CAST(X.RSK_MTGTD_CCP AS STRING),'$')&gt;0 OR INSTR(CAST(X.RSK_MTGTD_CCP AS STRING),'%')&gt;0 OR INSTR(CAST(X.RSK_MTGTD_CCP AS STRING),'&amp;')&gt;0 OR INSTR(CAST(X.RSK_MTGTD_CCP AS STRING),'+')&gt;0,1,0)) AS NUM_REG_DIF,'10' AS ID_EXEC, CURRENT_TIMESTAMP() AS TIME_EXEC FROM (SELECT instrmnt_id, RSK_MTGTD_CCP FROM BU_LOANTAPE_WORK.LT002_INSTRUMENT WHERE ref_date='${ref_date}' AND nome_perimetro='Individual Corporativo' AND segmento='ESTR' AND ambito='PILAR3')X</v>
      </c>
      <c r="N191" s="45" t="s">
        <v>13</v>
      </c>
    </row>
    <row r="192" spans="2:14">
      <c r="B192" s="41" t="s">
        <v>27</v>
      </c>
      <c r="C192" s="41" t="s">
        <v>76</v>
      </c>
      <c r="D192" s="41" t="str">
        <f>+UPPER('0. Instruções'!$D$33&amp;"."&amp;VLOOKUP(B192,'0. Instruções'!$C$27:$D$31,2,FALSE))</f>
        <v>BU_LOANTAPE_WORK.LT002_INSTRUMENT</v>
      </c>
      <c r="E192" s="41" t="str">
        <f>+UPPER('0. Instruções'!$D$34&amp;"."&amp;VLOOKUP(B192,'0. Instruções'!$C$27:$E$31,3,FALSE))</f>
        <v>BU_LOANTAPE_WORK.LT002_INSTRUMENT_P3_NOV24</v>
      </c>
      <c r="F192" s="41" t="s">
        <v>152</v>
      </c>
      <c r="G192" s="41" t="s">
        <v>209</v>
      </c>
      <c r="H192" s="41"/>
      <c r="I192" s="41" t="str">
        <f>"(SELECT "&amp;VLOOKUP(B192,'0. Instruções'!$C$27:$G$31,4,FALSE)&amp;", "&amp;F192&amp;" FROM "&amp;D192&amp;" WHERE "&amp;'0. Instruções'!$D$40&amp;")X"</f>
        <v>(SELECT instrmnt_id, MTHD_USD_INSTRMNT_SCP_1 FROM BU_LOANTAPE_WORK.LT002_INSTRUMENT WHERE ref_date='${ref_date}' AND nome_perimetro='Individual Corporativo' AND segmento='ESTR' AND ambito='PILAR3')X</v>
      </c>
      <c r="J192" s="41" t="str">
        <f>"(SELECT "&amp;VLOOKUP(B192,'0. Instruções'!$C$27:$G$31,4,FALSE)&amp;" AS "&amp;VLOOKUP(B192,'0. Instruções'!$C$27:$G$31,4,FALSE)&amp;"_SIMUL, "&amp;F192&amp;" AS "&amp;F192&amp;"_SIMUL FROM "&amp;E192&amp;")Y"</f>
        <v>(SELECT instrmnt_id AS instrmnt_id_SIMUL, MTHD_USD_INSTRMNT_SCP_1 AS MTHD_USD_INSTRMNT_SCP_1_SIMUL FROM BU_LOANTAPE_WORK.LT002_INSTRUMENT_P3_NOV24)Y</v>
      </c>
      <c r="K192" s="42" t="str">
        <f>+UPPER("ON X."&amp;VLOOKUP(B192,'0. Instruções'!$C$27:$G$31,4,FALSE)&amp;"=Y."&amp;VLOOKUP(B192,'0. Instruções'!$C$27:$G$31,4,FALSE)&amp;"_SIMUL")</f>
        <v>ON X.INSTRMNT_ID=Y.INSTRMNT_ID_SIMUL</v>
      </c>
      <c r="L192" s="42" t="str">
        <f>+IF(C192="Coerência", +IF(LEFT(G192,5)="FLOAT","SELECT '"&amp;UPPER(B192)&amp;"' AS TABELA, '"&amp;UPPER(C192)&amp;"' AS TIPOLOGIA_TESTE,'"&amp;D192&amp;"' AS TABELA_LT,'"&amp;E192&amp;"' AS TABELA_SIMUL,'"&amp;F192&amp;"' AS CAMPO, "&amp;"'${ref_date}' AS REF_DATE, COUNT(*) AS NUM_REG, SUM(IF((ABS(COALESCE(X."&amp;F192&amp;",0)-COALESCE(Y."&amp;F192&amp;"_SIMUL,0))&gt;0.0000000001) OR (X."&amp;F192&amp;" IS NULL AND Y."&amp;F192&amp;"_SIMUL IS NOT NULL ) OR (X."&amp;F192&amp;" IS NOT NULL AND Y."&amp;F192&amp;"_SIMUL IS NULL),1,0)) AS NUM_REG_DIF,'"&amp;MAX('ID1&amp;5'!K:K)+1&amp;"' AS ID_EXEC, CURRENT_TIMESTAMP() AS TIME_EXEC FROM "&amp;I192&amp;" INNER JOIN "&amp;J192&amp;" "&amp;K192,"SELECT '"&amp;UPPER(B192)&amp;"' AS TABELA, '"&amp;UPPER(C192)&amp;"' AS TIPOLOGIA_TESTE,'"&amp;D192&amp;"' AS TABELA_LT,'"&amp;E192&amp;"' AS TABELA_SIMUL,'"&amp;F192&amp;"' AS CAMPO, "&amp;"'${ref_date}' AS REF_DATE, COUNT(*) AS NUM_REG, SUM(IF(COALESCE(CAST(X."&amp;F192&amp;" AS STRING),'')&lt;&gt;COALESCE(CAST(Y."&amp;F192&amp;"_SIMUL AS STRING),''),1,0)) AS NUM_REG_DIF,'"&amp;MAX('ID1&amp;5'!L:L)+1&amp;"' AS ID_EXEC, CURRENT_TIMESTAMP() AS TIME_EXEC FROM "&amp;I192&amp;" INNER JOIN "&amp;J192&amp;" "&amp;K192),
IF(C192="Validade",+IF(G192="Code List","SELECT '"&amp;UPPER(B192)&amp;"' AS TABELA, '"&amp;UPPER(C192)&amp;"' AS TIPOLOGIA_TESTE,'"&amp;D192&amp;"' AS TABELA_LT,'N/A' AS TABELA_SIMUL,'"&amp;F192&amp;"' AS CAMPO, "&amp;"'${ref_date}' AS REF_DATE, COUNT(*) AS NUM_REG, SUM(IF(TRIM(CAST(X."&amp;F192&amp;" AS STRING))='' OR TRIM(CAST(X."&amp;F192&amp;" AS STRING)) IS NULL OR CAST(X."&amp;F192&amp;" AS STRING) NOT "&amp;H192&amp;",1,0)) AS NUM_REG_DIF,'"&amp;MAX('ID1&amp;5'!K:K)+1&amp;"' AS ID_EXEC, CURRENT_TIMESTAMP() AS TIME_EXEC FROM "&amp;I192,"SELECT '"&amp;UPPER(B192)&amp;"' AS TABELA, '"&amp;UPPER(C192)&amp;"' AS TIPOLOGIA_TESTE,'"&amp;D192&amp;"' AS TABELA_LT,'N/A' AS TABELA_SIMUL,'"&amp;F192&amp;"' AS CAMPO, "&amp;"'${ref_date}' AS REF_DATE, COUNT(*) AS NUM_REG, SUM(IF(TRIM(CAST(X."&amp;F192&amp;" AS STRING))='' OR TRIM(CAST(X."&amp;F192&amp;" AS STRING)) IS NULL,1,0)) AS NUM_REG_DIF,'"&amp;MAX('ID1&amp;5'!K:K)+1&amp;"' AS ID_EXEC, CURRENT_TIMESTAMP() AS TIME_EXEC FROM "&amp;I192),
IF(C192="Caracteres Especiais",+"SELECT '"&amp;UPPER(B192)&amp;"' AS TABELA, '"&amp;UPPER(C192)&amp;"' AS TIPOLOGIA_TESTE,'"&amp;D192&amp;"' AS TABELA_LT,'N/A' AS TABELA_SIMUL,'"&amp;F192&amp;"' AS CAMPO, "&amp;"'${ref_date}' AS REF_DATE, COUNT(*) AS NUM_REG, SUM(IF(INSTR(CAST(X."&amp;F192&amp;" AS STRING),'#')&gt;0 OR INSTR(CAST(X."&amp;F192&amp;" AS STRING),'*')&gt;0 OR INSTR(CAST(X."&amp;F192&amp;" AS STRING),'`')&gt;0 OR INSTR(CAST(X."&amp;F192&amp;" AS STRING),'´')&gt;0 OR INSTR(CAST(X."&amp;F192&amp;" AS STRING),'{')&gt;0 OR INSTR(CAST(X."&amp;F192&amp;" AS STRING),'}')&gt;0 OR INSTR(CAST(X."&amp;F192&amp;" AS STRING),'[')&gt;0 OR INSTR(CAST(X."&amp;F192&amp;" AS STRING),'')&gt;0 OR INSTR(CAST(X."&amp;F192&amp;" AS STRING),']')&gt;0 OR INSTR(CAST(X."&amp;F192&amp;" AS STRING),'?')&gt;0 OR INSTR(CAST(X."&amp;F192&amp;" AS STRING),'!')&gt;0 OR INSTR(CAST(X."&amp;F192&amp;" AS STRING),'$')&gt;0 OR INSTR(CAST(X."&amp;F192&amp;" AS STRING),'%')&gt;0 OR INSTR(CAST(X."&amp;F192&amp;" AS STRING),'&amp;')&gt;0 OR INSTR(CAST(X."&amp;F192&amp;" AS STRING),'+')&gt;0,1,0)) AS NUM_REG_DIF,'"&amp;MAX('ID1&amp;5'!K:K)+1&amp;"' AS ID_EXEC, CURRENT_TIMESTAMP() AS TIME_EXEC FROM "&amp;I192,
IF(C192="Missings",+"SELECT '"&amp;UPPER(B192)&amp;"' AS TABELA, '"&amp;UPPER(C192)&amp;"' AS TIPOLOGIA_TESTE,'"&amp;D192&amp;"' AS TABELA_LT,'N/A' AS TABELA_SIMUL,'"&amp;F192&amp;"' AS CAMPO, "&amp;"'${ref_date}' AS REF_DATE, COUNT(*) AS NUM_REG, SUM(IF(TRIM(CAST(X."&amp;F192&amp;" AS STRING)) IN ('0000-00-00','0001-01-01','9999-12-31','MISS','00000','99999999999','99999999999.00','99999999999.000000'),1,0)) AS NUM_REG_DIF,'"&amp;MAX('ID1&amp;5'!K:K)+1&amp;"' AS ID_EXEC, CURRENT_TIMESTAMP() AS TIME_EXEC FROM "&amp;I192,
IF(C192="Not applicable",+"SELECT '"&amp;UPPER(B192)&amp;"' AS TABELA, '"&amp;UPPER(C192)&amp;"' AS TIPOLOGIA_TESTE,'"&amp;D192&amp;"' AS TABELA_LT,'N/A' AS TABELA_SIMUL,'"&amp;F192&amp;"' AS CAMPO, "&amp;"'${ref_date}' AS REF_DATE, COUNT(*) AS NUM_REG, SUM(IF(TRIM(CAST(X."&amp;F192&amp;" AS STRING)) IN ('N/A','11111111111','11111111111.00','11111111111.000000','1111-11-11'),1,0)) AS NUM_REG_DIF,'"&amp;MAX('ID1&amp;5'!K:K)+1&amp;"' AS ID_EXEC, CURRENT_TIMESTAMP() AS TIME_EXEC FROM "&amp;I192,
IF(C192="Valores extremos",+"SELECT '"&amp;UPPER(B192)&amp;"' AS TABELA, '"&amp;UPPER(C192)&amp;"' AS TIPOLOGIA_TESTE,'"&amp;D192&amp;"' AS TABELA_LT,'N/A' AS TABELA_SIMUL,'"&amp;F192&amp;"' AS CAMPO, "&amp;"'${ref_date}' AS REF_DATE, CAST(MIN("&amp;F192&amp;") AS STRING) AS VALOR_MIN, CAST(MAX("&amp;F192&amp;") AS STRING) AS VALOR_MAX,'"&amp;MAX('ID1&amp;5'!K:K)+1&amp;"' AS ID_EXEC, CURRENT_TIMESTAMP() AS TIME_EXEC FROM "&amp;MID(I192,1,LEN(I192)-2)&amp;" AND CAST("&amp;F192&amp;"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TABELA_SIMUL,'MTHD_USD_INSTRMNT_SCP_1' AS CAMPO, '${ref_date}' AS REF_DATE, COUNT(*) AS NUM_REG, SUM(IF(INSTR(CAST(X.MTHD_USD_INSTRMNT_SCP_1 AS STRING),'#')&gt;0 OR INSTR(CAST(X.MTHD_USD_INSTRMNT_SCP_1 AS STRING),'*')&gt;0 OR INSTR(CAST(X.MTHD_USD_INSTRMNT_SCP_1 AS STRING),'`')&gt;0 OR INSTR(CAST(X.MTHD_USD_INSTRMNT_SCP_1 AS STRING),'´')&gt;0 OR INSTR(CAST(X.MTHD_USD_INSTRMNT_SCP_1 AS STRING),'{')&gt;0 OR INSTR(CAST(X.MTHD_USD_INSTRMNT_SCP_1 AS STRING),'}')&gt;0 OR INSTR(CAST(X.MTHD_USD_INSTRMNT_SCP_1 AS STRING),'[')&gt;0 OR INSTR(CAST(X.MTHD_USD_INSTRMNT_SCP_1 AS STRING),'')&gt;0 OR INSTR(CAST(X.MTHD_USD_INSTRMNT_SCP_1 AS STRING),']')&gt;0 OR INSTR(CAST(X.MTHD_USD_INSTRMNT_SCP_1 AS STRING),'?')&gt;0 OR INSTR(CAST(X.MTHD_USD_INSTRMNT_SCP_1 AS STRING),'!')&gt;0 OR INSTR(CAST(X.MTHD_USD_INSTRMNT_SCP_1 AS STRING),'$')&gt;0 OR INSTR(CAST(X.MTHD_USD_INSTRMNT_SCP_1 AS STRING),'%')&gt;0 OR INSTR(CAST(X.MTHD_USD_INSTRMNT_SCP_1 AS STRING),'&amp;')&gt;0 OR INSTR(CAST(X.MTHD_USD_INSTRMNT_SCP_1 AS STRING),'+')&gt;0,1,0)) AS NUM_REG_DIF,'10' AS ID_EXEC, CURRENT_TIMESTAMP() AS TIME_EXEC FROM (SELECT instrmnt_id, MTHD_USD_INSTRMNT_SCP_1 FROM BU_LOANTAPE_WORK.LT002_INSTRUMENT WHERE ref_date='${ref_date}' AND nome_perimetro='Individual Corporativo' AND segmento='ESTR' AND ambito='PILAR3')X</v>
      </c>
      <c r="M192" s="43" t="str">
        <f t="shared" si="3"/>
        <v>UNION ALL SELECT 'INSTRUMENT' AS TABELA, 'CARACTERES ESPECIAIS' AS TIPOLOGIA_TESTE,'BU_LOANTAPE_WORK.LT002_INSTRUMENT' AS TABELA_LT,'N/A' AS TABELA_SIMUL,'MTHD_USD_INSTRMNT_SCP_1' AS CAMPO, '${ref_date}' AS REF_DATE, COUNT(*) AS NUM_REG, SUM(IF(INSTR(CAST(X.MTHD_USD_INSTRMNT_SCP_1 AS STRING),'#')&gt;0 OR INSTR(CAST(X.MTHD_USD_INSTRMNT_SCP_1 AS STRING),'*')&gt;0 OR INSTR(CAST(X.MTHD_USD_INSTRMNT_SCP_1 AS STRING),'`')&gt;0 OR INSTR(CAST(X.MTHD_USD_INSTRMNT_SCP_1 AS STRING),'´')&gt;0 OR INSTR(CAST(X.MTHD_USD_INSTRMNT_SCP_1 AS STRING),'{')&gt;0 OR INSTR(CAST(X.MTHD_USD_INSTRMNT_SCP_1 AS STRING),'}')&gt;0 OR INSTR(CAST(X.MTHD_USD_INSTRMNT_SCP_1 AS STRING),'[')&gt;0 OR INSTR(CAST(X.MTHD_USD_INSTRMNT_SCP_1 AS STRING),'')&gt;0 OR INSTR(CAST(X.MTHD_USD_INSTRMNT_SCP_1 AS STRING),']')&gt;0 OR INSTR(CAST(X.MTHD_USD_INSTRMNT_SCP_1 AS STRING),'?')&gt;0 OR INSTR(CAST(X.MTHD_USD_INSTRMNT_SCP_1 AS STRING),'!')&gt;0 OR INSTR(CAST(X.MTHD_USD_INSTRMNT_SCP_1 AS STRING),'$')&gt;0 OR INSTR(CAST(X.MTHD_USD_INSTRMNT_SCP_1 AS STRING),'%')&gt;0 OR INSTR(CAST(X.MTHD_USD_INSTRMNT_SCP_1 AS STRING),'&amp;')&gt;0 OR INSTR(CAST(X.MTHD_USD_INSTRMNT_SCP_1 AS STRING),'+')&gt;0,1,0)) AS NUM_REG_DIF,'10' AS ID_EXEC, CURRENT_TIMESTAMP() AS TIME_EXEC FROM (SELECT instrmnt_id, MTHD_USD_INSTRMNT_SCP_1 FROM BU_LOANTAPE_WORK.LT002_INSTRUMENT WHERE ref_date='${ref_date}' AND nome_perimetro='Individual Corporativo' AND segmento='ESTR' AND ambito='PILAR3')X</v>
      </c>
      <c r="N192" s="45" t="s">
        <v>13</v>
      </c>
    </row>
    <row r="193" spans="2:14">
      <c r="B193" s="41" t="s">
        <v>27</v>
      </c>
      <c r="C193" s="41" t="s">
        <v>76</v>
      </c>
      <c r="D193" s="41" t="str">
        <f>+UPPER('0. Instruções'!$D$33&amp;"."&amp;VLOOKUP(B193,'0. Instruções'!$C$27:$D$31,2,FALSE))</f>
        <v>BU_LOANTAPE_WORK.LT002_INSTRUMENT</v>
      </c>
      <c r="E193" s="41" t="str">
        <f>+UPPER('0. Instruções'!$D$34&amp;"."&amp;VLOOKUP(B193,'0. Instruções'!$C$27:$E$31,3,FALSE))</f>
        <v>BU_LOANTAPE_WORK.LT002_INSTRUMENT_P3_NOV24</v>
      </c>
      <c r="F193" s="41" t="s">
        <v>153</v>
      </c>
      <c r="G193" s="41" t="s">
        <v>209</v>
      </c>
      <c r="H193" s="41"/>
      <c r="I193" s="41" t="str">
        <f>"(SELECT "&amp;VLOOKUP(B193,'0. Instruções'!$C$27:$G$31,4,FALSE)&amp;", "&amp;F193&amp;" FROM "&amp;D193&amp;" WHERE "&amp;'0. Instruções'!$D$40&amp;")X"</f>
        <v>(SELECT instrmnt_id, MTHD_USD_INSTRMNT_SCP_2 FROM BU_LOANTAPE_WORK.LT002_INSTRUMENT WHERE ref_date='${ref_date}' AND nome_perimetro='Individual Corporativo' AND segmento='ESTR' AND ambito='PILAR3')X</v>
      </c>
      <c r="J193" s="41" t="str">
        <f>"(SELECT "&amp;VLOOKUP(B193,'0. Instruções'!$C$27:$G$31,4,FALSE)&amp;" AS "&amp;VLOOKUP(B193,'0. Instruções'!$C$27:$G$31,4,FALSE)&amp;"_SIMUL, "&amp;F193&amp;" AS "&amp;F193&amp;"_SIMUL FROM "&amp;E193&amp;")Y"</f>
        <v>(SELECT instrmnt_id AS instrmnt_id_SIMUL, MTHD_USD_INSTRMNT_SCP_2 AS MTHD_USD_INSTRMNT_SCP_2_SIMUL FROM BU_LOANTAPE_WORK.LT002_INSTRUMENT_P3_NOV24)Y</v>
      </c>
      <c r="K193" s="42" t="str">
        <f>+UPPER("ON X."&amp;VLOOKUP(B193,'0. Instruções'!$C$27:$G$31,4,FALSE)&amp;"=Y."&amp;VLOOKUP(B193,'0. Instruções'!$C$27:$G$31,4,FALSE)&amp;"_SIMUL")</f>
        <v>ON X.INSTRMNT_ID=Y.INSTRMNT_ID_SIMUL</v>
      </c>
      <c r="L193" s="42" t="str">
        <f>+IF(C193="Coerência", +IF(LEFT(G193,5)="FLOAT","SELECT '"&amp;UPPER(B193)&amp;"' AS TABELA, '"&amp;UPPER(C193)&amp;"' AS TIPOLOGIA_TESTE,'"&amp;D193&amp;"' AS TABELA_LT,'"&amp;E193&amp;"' AS TABELA_SIMUL,'"&amp;F193&amp;"' AS CAMPO, "&amp;"'${ref_date}' AS REF_DATE, COUNT(*) AS NUM_REG, SUM(IF((ABS(COALESCE(X."&amp;F193&amp;",0)-COALESCE(Y."&amp;F193&amp;"_SIMUL,0))&gt;0.0000000001) OR (X."&amp;F193&amp;" IS NULL AND Y."&amp;F193&amp;"_SIMUL IS NOT NULL ) OR (X."&amp;F193&amp;" IS NOT NULL AND Y."&amp;F193&amp;"_SIMUL IS NULL),1,0)) AS NUM_REG_DIF,'"&amp;MAX('ID1&amp;5'!K:K)+1&amp;"' AS ID_EXEC, CURRENT_TIMESTAMP() AS TIME_EXEC FROM "&amp;I193&amp;" INNER JOIN "&amp;J193&amp;" "&amp;K193,"SELECT '"&amp;UPPER(B193)&amp;"' AS TABELA, '"&amp;UPPER(C193)&amp;"' AS TIPOLOGIA_TESTE,'"&amp;D193&amp;"' AS TABELA_LT,'"&amp;E193&amp;"' AS TABELA_SIMUL,'"&amp;F193&amp;"' AS CAMPO, "&amp;"'${ref_date}' AS REF_DATE, COUNT(*) AS NUM_REG, SUM(IF(COALESCE(CAST(X."&amp;F193&amp;" AS STRING),'')&lt;&gt;COALESCE(CAST(Y."&amp;F193&amp;"_SIMUL AS STRING),''),1,0)) AS NUM_REG_DIF,'"&amp;MAX('ID1&amp;5'!L:L)+1&amp;"' AS ID_EXEC, CURRENT_TIMESTAMP() AS TIME_EXEC FROM "&amp;I193&amp;" INNER JOIN "&amp;J193&amp;" "&amp;K193),
IF(C193="Validade",+IF(G193="Code List","SELECT '"&amp;UPPER(B193)&amp;"' AS TABELA, '"&amp;UPPER(C193)&amp;"' AS TIPOLOGIA_TESTE,'"&amp;D193&amp;"' AS TABELA_LT,'N/A' AS TABELA_SIMUL,'"&amp;F193&amp;"' AS CAMPO, "&amp;"'${ref_date}' AS REF_DATE, COUNT(*) AS NUM_REG, SUM(IF(TRIM(CAST(X."&amp;F193&amp;" AS STRING))='' OR TRIM(CAST(X."&amp;F193&amp;" AS STRING)) IS NULL OR CAST(X."&amp;F193&amp;" AS STRING) NOT "&amp;H193&amp;",1,0)) AS NUM_REG_DIF,'"&amp;MAX('ID1&amp;5'!K:K)+1&amp;"' AS ID_EXEC, CURRENT_TIMESTAMP() AS TIME_EXEC FROM "&amp;I193,"SELECT '"&amp;UPPER(B193)&amp;"' AS TABELA, '"&amp;UPPER(C193)&amp;"' AS TIPOLOGIA_TESTE,'"&amp;D193&amp;"' AS TABELA_LT,'N/A' AS TABELA_SIMUL,'"&amp;F193&amp;"' AS CAMPO, "&amp;"'${ref_date}' AS REF_DATE, COUNT(*) AS NUM_REG, SUM(IF(TRIM(CAST(X."&amp;F193&amp;" AS STRING))='' OR TRIM(CAST(X."&amp;F193&amp;" AS STRING)) IS NULL,1,0)) AS NUM_REG_DIF,'"&amp;MAX('ID1&amp;5'!K:K)+1&amp;"' AS ID_EXEC, CURRENT_TIMESTAMP() AS TIME_EXEC FROM "&amp;I193),
IF(C193="Caracteres Especiais",+"SELECT '"&amp;UPPER(B193)&amp;"' AS TABELA, '"&amp;UPPER(C193)&amp;"' AS TIPOLOGIA_TESTE,'"&amp;D193&amp;"' AS TABELA_LT,'N/A' AS TABELA_SIMUL,'"&amp;F193&amp;"' AS CAMPO, "&amp;"'${ref_date}' AS REF_DATE, COUNT(*) AS NUM_REG, SUM(IF(INSTR(CAST(X."&amp;F193&amp;" AS STRING),'#')&gt;0 OR INSTR(CAST(X."&amp;F193&amp;" AS STRING),'*')&gt;0 OR INSTR(CAST(X."&amp;F193&amp;" AS STRING),'`')&gt;0 OR INSTR(CAST(X."&amp;F193&amp;" AS STRING),'´')&gt;0 OR INSTR(CAST(X."&amp;F193&amp;" AS STRING),'{')&gt;0 OR INSTR(CAST(X."&amp;F193&amp;" AS STRING),'}')&gt;0 OR INSTR(CAST(X."&amp;F193&amp;" AS STRING),'[')&gt;0 OR INSTR(CAST(X."&amp;F193&amp;" AS STRING),'')&gt;0 OR INSTR(CAST(X."&amp;F193&amp;" AS STRING),']')&gt;0 OR INSTR(CAST(X."&amp;F193&amp;" AS STRING),'?')&gt;0 OR INSTR(CAST(X."&amp;F193&amp;" AS STRING),'!')&gt;0 OR INSTR(CAST(X."&amp;F193&amp;" AS STRING),'$')&gt;0 OR INSTR(CAST(X."&amp;F193&amp;" AS STRING),'%')&gt;0 OR INSTR(CAST(X."&amp;F193&amp;" AS STRING),'&amp;')&gt;0 OR INSTR(CAST(X."&amp;F193&amp;" AS STRING),'+')&gt;0,1,0)) AS NUM_REG_DIF,'"&amp;MAX('ID1&amp;5'!K:K)+1&amp;"' AS ID_EXEC, CURRENT_TIMESTAMP() AS TIME_EXEC FROM "&amp;I193,
IF(C193="Missings",+"SELECT '"&amp;UPPER(B193)&amp;"' AS TABELA, '"&amp;UPPER(C193)&amp;"' AS TIPOLOGIA_TESTE,'"&amp;D193&amp;"' AS TABELA_LT,'N/A' AS TABELA_SIMUL,'"&amp;F193&amp;"' AS CAMPO, "&amp;"'${ref_date}' AS REF_DATE, COUNT(*) AS NUM_REG, SUM(IF(TRIM(CAST(X."&amp;F193&amp;" AS STRING)) IN ('0000-00-00','0001-01-01','9999-12-31','MISS','00000','99999999999','99999999999.00','99999999999.000000'),1,0)) AS NUM_REG_DIF,'"&amp;MAX('ID1&amp;5'!K:K)+1&amp;"' AS ID_EXEC, CURRENT_TIMESTAMP() AS TIME_EXEC FROM "&amp;I193,
IF(C193="Not applicable",+"SELECT '"&amp;UPPER(B193)&amp;"' AS TABELA, '"&amp;UPPER(C193)&amp;"' AS TIPOLOGIA_TESTE,'"&amp;D193&amp;"' AS TABELA_LT,'N/A' AS TABELA_SIMUL,'"&amp;F193&amp;"' AS CAMPO, "&amp;"'${ref_date}' AS REF_DATE, COUNT(*) AS NUM_REG, SUM(IF(TRIM(CAST(X."&amp;F193&amp;" AS STRING)) IN ('N/A','11111111111','11111111111.00','11111111111.000000','1111-11-11'),1,0)) AS NUM_REG_DIF,'"&amp;MAX('ID1&amp;5'!K:K)+1&amp;"' AS ID_EXEC, CURRENT_TIMESTAMP() AS TIME_EXEC FROM "&amp;I193,
IF(C193="Valores extremos",+"SELECT '"&amp;UPPER(B193)&amp;"' AS TABELA, '"&amp;UPPER(C193)&amp;"' AS TIPOLOGIA_TESTE,'"&amp;D193&amp;"' AS TABELA_LT,'N/A' AS TABELA_SIMUL,'"&amp;F193&amp;"' AS CAMPO, "&amp;"'${ref_date}' AS REF_DATE, CAST(MIN("&amp;F193&amp;") AS STRING) AS VALOR_MIN, CAST(MAX("&amp;F193&amp;") AS STRING) AS VALOR_MAX,'"&amp;MAX('ID1&amp;5'!K:K)+1&amp;"' AS ID_EXEC, CURRENT_TIMESTAMP() AS TIME_EXEC FROM "&amp;MID(I193,1,LEN(I193)-2)&amp;" AND CAST("&amp;F193&amp;"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TABELA_SIMUL,'MTHD_USD_INSTRMNT_SCP_2' AS CAMPO, '${ref_date}' AS REF_DATE, COUNT(*) AS NUM_REG, SUM(IF(INSTR(CAST(X.MTHD_USD_INSTRMNT_SCP_2 AS STRING),'#')&gt;0 OR INSTR(CAST(X.MTHD_USD_INSTRMNT_SCP_2 AS STRING),'*')&gt;0 OR INSTR(CAST(X.MTHD_USD_INSTRMNT_SCP_2 AS STRING),'`')&gt;0 OR INSTR(CAST(X.MTHD_USD_INSTRMNT_SCP_2 AS STRING),'´')&gt;0 OR INSTR(CAST(X.MTHD_USD_INSTRMNT_SCP_2 AS STRING),'{')&gt;0 OR INSTR(CAST(X.MTHD_USD_INSTRMNT_SCP_2 AS STRING),'}')&gt;0 OR INSTR(CAST(X.MTHD_USD_INSTRMNT_SCP_2 AS STRING),'[')&gt;0 OR INSTR(CAST(X.MTHD_USD_INSTRMNT_SCP_2 AS STRING),'')&gt;0 OR INSTR(CAST(X.MTHD_USD_INSTRMNT_SCP_2 AS STRING),']')&gt;0 OR INSTR(CAST(X.MTHD_USD_INSTRMNT_SCP_2 AS STRING),'?')&gt;0 OR INSTR(CAST(X.MTHD_USD_INSTRMNT_SCP_2 AS STRING),'!')&gt;0 OR INSTR(CAST(X.MTHD_USD_INSTRMNT_SCP_2 AS STRING),'$')&gt;0 OR INSTR(CAST(X.MTHD_USD_INSTRMNT_SCP_2 AS STRING),'%')&gt;0 OR INSTR(CAST(X.MTHD_USD_INSTRMNT_SCP_2 AS STRING),'&amp;')&gt;0 OR INSTR(CAST(X.MTHD_USD_INSTRMNT_SCP_2 AS STRING),'+')&gt;0,1,0)) AS NUM_REG_DIF,'10' AS ID_EXEC, CURRENT_TIMESTAMP() AS TIME_EXEC FROM (SELECT instrmnt_id, MTHD_USD_INSTRMNT_SCP_2 FROM BU_LOANTAPE_WORK.LT002_INSTRUMENT WHERE ref_date='${ref_date}' AND nome_perimetro='Individual Corporativo' AND segmento='ESTR' AND ambito='PILAR3')X</v>
      </c>
      <c r="M193" s="43" t="str">
        <f t="shared" si="3"/>
        <v>UNION ALL SELECT 'INSTRUMENT' AS TABELA, 'CARACTERES ESPECIAIS' AS TIPOLOGIA_TESTE,'BU_LOANTAPE_WORK.LT002_INSTRUMENT' AS TABELA_LT,'N/A' AS TABELA_SIMUL,'MTHD_USD_INSTRMNT_SCP_2' AS CAMPO, '${ref_date}' AS REF_DATE, COUNT(*) AS NUM_REG, SUM(IF(INSTR(CAST(X.MTHD_USD_INSTRMNT_SCP_2 AS STRING),'#')&gt;0 OR INSTR(CAST(X.MTHD_USD_INSTRMNT_SCP_2 AS STRING),'*')&gt;0 OR INSTR(CAST(X.MTHD_USD_INSTRMNT_SCP_2 AS STRING),'`')&gt;0 OR INSTR(CAST(X.MTHD_USD_INSTRMNT_SCP_2 AS STRING),'´')&gt;0 OR INSTR(CAST(X.MTHD_USD_INSTRMNT_SCP_2 AS STRING),'{')&gt;0 OR INSTR(CAST(X.MTHD_USD_INSTRMNT_SCP_2 AS STRING),'}')&gt;0 OR INSTR(CAST(X.MTHD_USD_INSTRMNT_SCP_2 AS STRING),'[')&gt;0 OR INSTR(CAST(X.MTHD_USD_INSTRMNT_SCP_2 AS STRING),'')&gt;0 OR INSTR(CAST(X.MTHD_USD_INSTRMNT_SCP_2 AS STRING),']')&gt;0 OR INSTR(CAST(X.MTHD_USD_INSTRMNT_SCP_2 AS STRING),'?')&gt;0 OR INSTR(CAST(X.MTHD_USD_INSTRMNT_SCP_2 AS STRING),'!')&gt;0 OR INSTR(CAST(X.MTHD_USD_INSTRMNT_SCP_2 AS STRING),'$')&gt;0 OR INSTR(CAST(X.MTHD_USD_INSTRMNT_SCP_2 AS STRING),'%')&gt;0 OR INSTR(CAST(X.MTHD_USD_INSTRMNT_SCP_2 AS STRING),'&amp;')&gt;0 OR INSTR(CAST(X.MTHD_USD_INSTRMNT_SCP_2 AS STRING),'+')&gt;0,1,0)) AS NUM_REG_DIF,'10' AS ID_EXEC, CURRENT_TIMESTAMP() AS TIME_EXEC FROM (SELECT instrmnt_id, MTHD_USD_INSTRMNT_SCP_2 FROM BU_LOANTAPE_WORK.LT002_INSTRUMENT WHERE ref_date='${ref_date}' AND nome_perimetro='Individual Corporativo' AND segmento='ESTR' AND ambito='PILAR3')X</v>
      </c>
      <c r="N193" s="45" t="s">
        <v>13</v>
      </c>
    </row>
    <row r="194" spans="2:14">
      <c r="B194" s="41" t="s">
        <v>27</v>
      </c>
      <c r="C194" s="41" t="s">
        <v>76</v>
      </c>
      <c r="D194" s="41" t="str">
        <f>+UPPER('0. Instruções'!$D$33&amp;"."&amp;VLOOKUP(B194,'0. Instruções'!$C$27:$D$31,2,FALSE))</f>
        <v>BU_LOANTAPE_WORK.LT002_INSTRUMENT</v>
      </c>
      <c r="E194" s="41" t="str">
        <f>+UPPER('0. Instruções'!$D$34&amp;"."&amp;VLOOKUP(B194,'0. Instruções'!$C$27:$E$31,3,FALSE))</f>
        <v>BU_LOANTAPE_WORK.LT002_INSTRUMENT_P3_NOV24</v>
      </c>
      <c r="F194" s="41" t="s">
        <v>154</v>
      </c>
      <c r="G194" s="41" t="s">
        <v>209</v>
      </c>
      <c r="H194" s="41"/>
      <c r="I194" s="41" t="str">
        <f>"(SELECT "&amp;VLOOKUP(B194,'0. Instruções'!$C$27:$G$31,4,FALSE)&amp;", "&amp;F194&amp;" FROM "&amp;D194&amp;" WHERE "&amp;'0. Instruções'!$D$40&amp;")X"</f>
        <v>(SELECT instrmnt_id, MTHD_USD_INSTRMNT_SCP_3 FROM BU_LOANTAPE_WORK.LT002_INSTRUMENT WHERE ref_date='${ref_date}' AND nome_perimetro='Individual Corporativo' AND segmento='ESTR' AND ambito='PILAR3')X</v>
      </c>
      <c r="J194" s="41" t="str">
        <f>"(SELECT "&amp;VLOOKUP(B194,'0. Instruções'!$C$27:$G$31,4,FALSE)&amp;" AS "&amp;VLOOKUP(B194,'0. Instruções'!$C$27:$G$31,4,FALSE)&amp;"_SIMUL, "&amp;F194&amp;" AS "&amp;F194&amp;"_SIMUL FROM "&amp;E194&amp;")Y"</f>
        <v>(SELECT instrmnt_id AS instrmnt_id_SIMUL, MTHD_USD_INSTRMNT_SCP_3 AS MTHD_USD_INSTRMNT_SCP_3_SIMUL FROM BU_LOANTAPE_WORK.LT002_INSTRUMENT_P3_NOV24)Y</v>
      </c>
      <c r="K194" s="42" t="str">
        <f>+UPPER("ON X."&amp;VLOOKUP(B194,'0. Instruções'!$C$27:$G$31,4,FALSE)&amp;"=Y."&amp;VLOOKUP(B194,'0. Instruções'!$C$27:$G$31,4,FALSE)&amp;"_SIMUL")</f>
        <v>ON X.INSTRMNT_ID=Y.INSTRMNT_ID_SIMUL</v>
      </c>
      <c r="L194" s="42" t="str">
        <f>+IF(C194="Coerência", +IF(LEFT(G194,5)="FLOAT","SELECT '"&amp;UPPER(B194)&amp;"' AS TABELA, '"&amp;UPPER(C194)&amp;"' AS TIPOLOGIA_TESTE,'"&amp;D194&amp;"' AS TABELA_LT,'"&amp;E194&amp;"' AS TABELA_SIMUL,'"&amp;F194&amp;"' AS CAMPO, "&amp;"'${ref_date}' AS REF_DATE, COUNT(*) AS NUM_REG, SUM(IF((ABS(COALESCE(X."&amp;F194&amp;",0)-COALESCE(Y."&amp;F194&amp;"_SIMUL,0))&gt;0.0000000001) OR (X."&amp;F194&amp;" IS NULL AND Y."&amp;F194&amp;"_SIMUL IS NOT NULL ) OR (X."&amp;F194&amp;" IS NOT NULL AND Y."&amp;F194&amp;"_SIMUL IS NULL),1,0)) AS NUM_REG_DIF,'"&amp;MAX('ID1&amp;5'!K:K)+1&amp;"' AS ID_EXEC, CURRENT_TIMESTAMP() AS TIME_EXEC FROM "&amp;I194&amp;" INNER JOIN "&amp;J194&amp;" "&amp;K194,"SELECT '"&amp;UPPER(B194)&amp;"' AS TABELA, '"&amp;UPPER(C194)&amp;"' AS TIPOLOGIA_TESTE,'"&amp;D194&amp;"' AS TABELA_LT,'"&amp;E194&amp;"' AS TABELA_SIMUL,'"&amp;F194&amp;"' AS CAMPO, "&amp;"'${ref_date}' AS REF_DATE, COUNT(*) AS NUM_REG, SUM(IF(COALESCE(CAST(X."&amp;F194&amp;" AS STRING),'')&lt;&gt;COALESCE(CAST(Y."&amp;F194&amp;"_SIMUL AS STRING),''),1,0)) AS NUM_REG_DIF,'"&amp;MAX('ID1&amp;5'!L:L)+1&amp;"' AS ID_EXEC, CURRENT_TIMESTAMP() AS TIME_EXEC FROM "&amp;I194&amp;" INNER JOIN "&amp;J194&amp;" "&amp;K194),
IF(C194="Validade",+IF(G194="Code List","SELECT '"&amp;UPPER(B194)&amp;"' AS TABELA, '"&amp;UPPER(C194)&amp;"' AS TIPOLOGIA_TESTE,'"&amp;D194&amp;"' AS TABELA_LT,'N/A' AS TABELA_SIMUL,'"&amp;F194&amp;"' AS CAMPO, "&amp;"'${ref_date}' AS REF_DATE, COUNT(*) AS NUM_REG, SUM(IF(TRIM(CAST(X."&amp;F194&amp;" AS STRING))='' OR TRIM(CAST(X."&amp;F194&amp;" AS STRING)) IS NULL OR CAST(X."&amp;F194&amp;" AS STRING) NOT "&amp;H194&amp;",1,0)) AS NUM_REG_DIF,'"&amp;MAX('ID1&amp;5'!K:K)+1&amp;"' AS ID_EXEC, CURRENT_TIMESTAMP() AS TIME_EXEC FROM "&amp;I194,"SELECT '"&amp;UPPER(B194)&amp;"' AS TABELA, '"&amp;UPPER(C194)&amp;"' AS TIPOLOGIA_TESTE,'"&amp;D194&amp;"' AS TABELA_LT,'N/A' AS TABELA_SIMUL,'"&amp;F194&amp;"' AS CAMPO, "&amp;"'${ref_date}' AS REF_DATE, COUNT(*) AS NUM_REG, SUM(IF(TRIM(CAST(X."&amp;F194&amp;" AS STRING))='' OR TRIM(CAST(X."&amp;F194&amp;" AS STRING)) IS NULL,1,0)) AS NUM_REG_DIF,'"&amp;MAX('ID1&amp;5'!K:K)+1&amp;"' AS ID_EXEC, CURRENT_TIMESTAMP() AS TIME_EXEC FROM "&amp;I194),
IF(C194="Caracteres Especiais",+"SELECT '"&amp;UPPER(B194)&amp;"' AS TABELA, '"&amp;UPPER(C194)&amp;"' AS TIPOLOGIA_TESTE,'"&amp;D194&amp;"' AS TABELA_LT,'N/A' AS TABELA_SIMUL,'"&amp;F194&amp;"' AS CAMPO, "&amp;"'${ref_date}' AS REF_DATE, COUNT(*) AS NUM_REG, SUM(IF(INSTR(CAST(X."&amp;F194&amp;" AS STRING),'#')&gt;0 OR INSTR(CAST(X."&amp;F194&amp;" AS STRING),'*')&gt;0 OR INSTR(CAST(X."&amp;F194&amp;" AS STRING),'`')&gt;0 OR INSTR(CAST(X."&amp;F194&amp;" AS STRING),'´')&gt;0 OR INSTR(CAST(X."&amp;F194&amp;" AS STRING),'{')&gt;0 OR INSTR(CAST(X."&amp;F194&amp;" AS STRING),'}')&gt;0 OR INSTR(CAST(X."&amp;F194&amp;" AS STRING),'[')&gt;0 OR INSTR(CAST(X."&amp;F194&amp;" AS STRING),'')&gt;0 OR INSTR(CAST(X."&amp;F194&amp;" AS STRING),']')&gt;0 OR INSTR(CAST(X."&amp;F194&amp;" AS STRING),'?')&gt;0 OR INSTR(CAST(X."&amp;F194&amp;" AS STRING),'!')&gt;0 OR INSTR(CAST(X."&amp;F194&amp;" AS STRING),'$')&gt;0 OR INSTR(CAST(X."&amp;F194&amp;" AS STRING),'%')&gt;0 OR INSTR(CAST(X."&amp;F194&amp;" AS STRING),'&amp;')&gt;0 OR INSTR(CAST(X."&amp;F194&amp;" AS STRING),'+')&gt;0,1,0)) AS NUM_REG_DIF,'"&amp;MAX('ID1&amp;5'!K:K)+1&amp;"' AS ID_EXEC, CURRENT_TIMESTAMP() AS TIME_EXEC FROM "&amp;I194,
IF(C194="Missings",+"SELECT '"&amp;UPPER(B194)&amp;"' AS TABELA, '"&amp;UPPER(C194)&amp;"' AS TIPOLOGIA_TESTE,'"&amp;D194&amp;"' AS TABELA_LT,'N/A' AS TABELA_SIMUL,'"&amp;F194&amp;"' AS CAMPO, "&amp;"'${ref_date}' AS REF_DATE, COUNT(*) AS NUM_REG, SUM(IF(TRIM(CAST(X."&amp;F194&amp;" AS STRING)) IN ('0000-00-00','0001-01-01','9999-12-31','MISS','00000','99999999999','99999999999.00','99999999999.000000'),1,0)) AS NUM_REG_DIF,'"&amp;MAX('ID1&amp;5'!K:K)+1&amp;"' AS ID_EXEC, CURRENT_TIMESTAMP() AS TIME_EXEC FROM "&amp;I194,
IF(C194="Not applicable",+"SELECT '"&amp;UPPER(B194)&amp;"' AS TABELA, '"&amp;UPPER(C194)&amp;"' AS TIPOLOGIA_TESTE,'"&amp;D194&amp;"' AS TABELA_LT,'N/A' AS TABELA_SIMUL,'"&amp;F194&amp;"' AS CAMPO, "&amp;"'${ref_date}' AS REF_DATE, COUNT(*) AS NUM_REG, SUM(IF(TRIM(CAST(X."&amp;F194&amp;" AS STRING)) IN ('N/A','11111111111','11111111111.00','11111111111.000000','1111-11-11'),1,0)) AS NUM_REG_DIF,'"&amp;MAX('ID1&amp;5'!K:K)+1&amp;"' AS ID_EXEC, CURRENT_TIMESTAMP() AS TIME_EXEC FROM "&amp;I194,
IF(C194="Valores extremos",+"SELECT '"&amp;UPPER(B194)&amp;"' AS TABELA, '"&amp;UPPER(C194)&amp;"' AS TIPOLOGIA_TESTE,'"&amp;D194&amp;"' AS TABELA_LT,'N/A' AS TABELA_SIMUL,'"&amp;F194&amp;"' AS CAMPO, "&amp;"'${ref_date}' AS REF_DATE, CAST(MIN("&amp;F194&amp;") AS STRING) AS VALOR_MIN, CAST(MAX("&amp;F194&amp;") AS STRING) AS VALOR_MAX,'"&amp;MAX('ID1&amp;5'!K:K)+1&amp;"' AS ID_EXEC, CURRENT_TIMESTAMP() AS TIME_EXEC FROM "&amp;MID(I194,1,LEN(I194)-2)&amp;" AND CAST("&amp;F194&amp;"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TABELA_SIMUL,'MTHD_USD_INSTRMNT_SCP_3' AS CAMPO, '${ref_date}' AS REF_DATE, COUNT(*) AS NUM_REG, SUM(IF(INSTR(CAST(X.MTHD_USD_INSTRMNT_SCP_3 AS STRING),'#')&gt;0 OR INSTR(CAST(X.MTHD_USD_INSTRMNT_SCP_3 AS STRING),'*')&gt;0 OR INSTR(CAST(X.MTHD_USD_INSTRMNT_SCP_3 AS STRING),'`')&gt;0 OR INSTR(CAST(X.MTHD_USD_INSTRMNT_SCP_3 AS STRING),'´')&gt;0 OR INSTR(CAST(X.MTHD_USD_INSTRMNT_SCP_3 AS STRING),'{')&gt;0 OR INSTR(CAST(X.MTHD_USD_INSTRMNT_SCP_3 AS STRING),'}')&gt;0 OR INSTR(CAST(X.MTHD_USD_INSTRMNT_SCP_3 AS STRING),'[')&gt;0 OR INSTR(CAST(X.MTHD_USD_INSTRMNT_SCP_3 AS STRING),'')&gt;0 OR INSTR(CAST(X.MTHD_USD_INSTRMNT_SCP_3 AS STRING),']')&gt;0 OR INSTR(CAST(X.MTHD_USD_INSTRMNT_SCP_3 AS STRING),'?')&gt;0 OR INSTR(CAST(X.MTHD_USD_INSTRMNT_SCP_3 AS STRING),'!')&gt;0 OR INSTR(CAST(X.MTHD_USD_INSTRMNT_SCP_3 AS STRING),'$')&gt;0 OR INSTR(CAST(X.MTHD_USD_INSTRMNT_SCP_3 AS STRING),'%')&gt;0 OR INSTR(CAST(X.MTHD_USD_INSTRMNT_SCP_3 AS STRING),'&amp;')&gt;0 OR INSTR(CAST(X.MTHD_USD_INSTRMNT_SCP_3 AS STRING),'+')&gt;0,1,0)) AS NUM_REG_DIF,'10' AS ID_EXEC, CURRENT_TIMESTAMP() AS TIME_EXEC FROM (SELECT instrmnt_id, MTHD_USD_INSTRMNT_SCP_3 FROM BU_LOANTAPE_WORK.LT002_INSTRUMENT WHERE ref_date='${ref_date}' AND nome_perimetro='Individual Corporativo' AND segmento='ESTR' AND ambito='PILAR3')X</v>
      </c>
      <c r="M194" s="43" t="str">
        <f t="shared" si="3"/>
        <v>UNION ALL SELECT 'INSTRUMENT' AS TABELA, 'CARACTERES ESPECIAIS' AS TIPOLOGIA_TESTE,'BU_LOANTAPE_WORK.LT002_INSTRUMENT' AS TABELA_LT,'N/A' AS TABELA_SIMUL,'MTHD_USD_INSTRMNT_SCP_3' AS CAMPO, '${ref_date}' AS REF_DATE, COUNT(*) AS NUM_REG, SUM(IF(INSTR(CAST(X.MTHD_USD_INSTRMNT_SCP_3 AS STRING),'#')&gt;0 OR INSTR(CAST(X.MTHD_USD_INSTRMNT_SCP_3 AS STRING),'*')&gt;0 OR INSTR(CAST(X.MTHD_USD_INSTRMNT_SCP_3 AS STRING),'`')&gt;0 OR INSTR(CAST(X.MTHD_USD_INSTRMNT_SCP_3 AS STRING),'´')&gt;0 OR INSTR(CAST(X.MTHD_USD_INSTRMNT_SCP_3 AS STRING),'{')&gt;0 OR INSTR(CAST(X.MTHD_USD_INSTRMNT_SCP_3 AS STRING),'}')&gt;0 OR INSTR(CAST(X.MTHD_USD_INSTRMNT_SCP_3 AS STRING),'[')&gt;0 OR INSTR(CAST(X.MTHD_USD_INSTRMNT_SCP_3 AS STRING),'')&gt;0 OR INSTR(CAST(X.MTHD_USD_INSTRMNT_SCP_3 AS STRING),']')&gt;0 OR INSTR(CAST(X.MTHD_USD_INSTRMNT_SCP_3 AS STRING),'?')&gt;0 OR INSTR(CAST(X.MTHD_USD_INSTRMNT_SCP_3 AS STRING),'!')&gt;0 OR INSTR(CAST(X.MTHD_USD_INSTRMNT_SCP_3 AS STRING),'$')&gt;0 OR INSTR(CAST(X.MTHD_USD_INSTRMNT_SCP_3 AS STRING),'%')&gt;0 OR INSTR(CAST(X.MTHD_USD_INSTRMNT_SCP_3 AS STRING),'&amp;')&gt;0 OR INSTR(CAST(X.MTHD_USD_INSTRMNT_SCP_3 AS STRING),'+')&gt;0,1,0)) AS NUM_REG_DIF,'10' AS ID_EXEC, CURRENT_TIMESTAMP() AS TIME_EXEC FROM (SELECT instrmnt_id, MTHD_USD_INSTRMNT_SCP_3 FROM BU_LOANTAPE_WORK.LT002_INSTRUMENT WHERE ref_date='${ref_date}' AND nome_perimetro='Individual Corporativo' AND segmento='ESTR' AND ambito='PILAR3')X</v>
      </c>
      <c r="N194" s="45" t="s">
        <v>13</v>
      </c>
    </row>
    <row r="195" spans="2:14">
      <c r="B195" s="41" t="s">
        <v>27</v>
      </c>
      <c r="C195" s="41" t="s">
        <v>76</v>
      </c>
      <c r="D195" s="41" t="str">
        <f>+UPPER('0. Instruções'!$D$33&amp;"."&amp;VLOOKUP(B195,'0. Instruções'!$C$27:$D$31,2,FALSE))</f>
        <v>BU_LOANTAPE_WORK.LT002_INSTRUMENT</v>
      </c>
      <c r="E195" s="41" t="str">
        <f>+UPPER('0. Instruções'!$D$34&amp;"."&amp;VLOOKUP(B195,'0. Instruções'!$C$27:$E$31,3,FALSE))</f>
        <v>BU_LOANTAPE_WORK.LT002_INSTRUMENT_P3_NOV24</v>
      </c>
      <c r="F195" s="41" t="s">
        <v>155</v>
      </c>
      <c r="G195" s="41" t="s">
        <v>209</v>
      </c>
      <c r="H195" s="41"/>
      <c r="I195" s="41" t="str">
        <f>"(SELECT "&amp;VLOOKUP(B195,'0. Instruções'!$C$27:$G$31,4,FALSE)&amp;", "&amp;F195&amp;" FROM "&amp;D195&amp;" WHERE "&amp;'0. Instruções'!$D$40&amp;")X"</f>
        <v>(SELECT instrmnt_id, SSTNBL_CTGRY_TXNMY FROM BU_LOANTAPE_WORK.LT002_INSTRUMENT WHERE ref_date='${ref_date}' AND nome_perimetro='Individual Corporativo' AND segmento='ESTR' AND ambito='PILAR3')X</v>
      </c>
      <c r="J195" s="41" t="str">
        <f>"(SELECT "&amp;VLOOKUP(B195,'0. Instruções'!$C$27:$G$31,4,FALSE)&amp;" AS "&amp;VLOOKUP(B195,'0. Instruções'!$C$27:$G$31,4,FALSE)&amp;"_SIMUL, "&amp;F195&amp;" AS "&amp;F195&amp;"_SIMUL FROM "&amp;E195&amp;")Y"</f>
        <v>(SELECT instrmnt_id AS instrmnt_id_SIMUL, SSTNBL_CTGRY_TXNMY AS SSTNBL_CTGRY_TXNMY_SIMUL FROM BU_LOANTAPE_WORK.LT002_INSTRUMENT_P3_NOV24)Y</v>
      </c>
      <c r="K195" s="42" t="str">
        <f>+UPPER("ON X."&amp;VLOOKUP(B195,'0. Instruções'!$C$27:$G$31,4,FALSE)&amp;"=Y."&amp;VLOOKUP(B195,'0. Instruções'!$C$27:$G$31,4,FALSE)&amp;"_SIMUL")</f>
        <v>ON X.INSTRMNT_ID=Y.INSTRMNT_ID_SIMUL</v>
      </c>
      <c r="L195" s="42" t="str">
        <f>+IF(C195="Coerência", +IF(LEFT(G195,5)="FLOAT","SELECT '"&amp;UPPER(B195)&amp;"' AS TABELA, '"&amp;UPPER(C195)&amp;"' AS TIPOLOGIA_TESTE,'"&amp;D195&amp;"' AS TABELA_LT,'"&amp;E195&amp;"' AS TABELA_SIMUL,'"&amp;F195&amp;"' AS CAMPO, "&amp;"'${ref_date}' AS REF_DATE, COUNT(*) AS NUM_REG, SUM(IF((ABS(COALESCE(X."&amp;F195&amp;",0)-COALESCE(Y."&amp;F195&amp;"_SIMUL,0))&gt;0.0000000001) OR (X."&amp;F195&amp;" IS NULL AND Y."&amp;F195&amp;"_SIMUL IS NOT NULL ) OR (X."&amp;F195&amp;" IS NOT NULL AND Y."&amp;F195&amp;"_SIMUL IS NULL),1,0)) AS NUM_REG_DIF,'"&amp;MAX('ID1&amp;5'!K:K)+1&amp;"' AS ID_EXEC, CURRENT_TIMESTAMP() AS TIME_EXEC FROM "&amp;I195&amp;" INNER JOIN "&amp;J195&amp;" "&amp;K195,"SELECT '"&amp;UPPER(B195)&amp;"' AS TABELA, '"&amp;UPPER(C195)&amp;"' AS TIPOLOGIA_TESTE,'"&amp;D195&amp;"' AS TABELA_LT,'"&amp;E195&amp;"' AS TABELA_SIMUL,'"&amp;F195&amp;"' AS CAMPO, "&amp;"'${ref_date}' AS REF_DATE, COUNT(*) AS NUM_REG, SUM(IF(COALESCE(CAST(X."&amp;F195&amp;" AS STRING),'')&lt;&gt;COALESCE(CAST(Y."&amp;F195&amp;"_SIMUL AS STRING),''),1,0)) AS NUM_REG_DIF,'"&amp;MAX('ID1&amp;5'!L:L)+1&amp;"' AS ID_EXEC, CURRENT_TIMESTAMP() AS TIME_EXEC FROM "&amp;I195&amp;" INNER JOIN "&amp;J195&amp;" "&amp;K195),
IF(C195="Validade",+IF(G195="Code List","SELECT '"&amp;UPPER(B195)&amp;"' AS TABELA, '"&amp;UPPER(C195)&amp;"' AS TIPOLOGIA_TESTE,'"&amp;D195&amp;"' AS TABELA_LT,'N/A' AS TABELA_SIMUL,'"&amp;F195&amp;"' AS CAMPO, "&amp;"'${ref_date}' AS REF_DATE, COUNT(*) AS NUM_REG, SUM(IF(TRIM(CAST(X."&amp;F195&amp;" AS STRING))='' OR TRIM(CAST(X."&amp;F195&amp;" AS STRING)) IS NULL OR CAST(X."&amp;F195&amp;" AS STRING) NOT "&amp;H195&amp;",1,0)) AS NUM_REG_DIF,'"&amp;MAX('ID1&amp;5'!K:K)+1&amp;"' AS ID_EXEC, CURRENT_TIMESTAMP() AS TIME_EXEC FROM "&amp;I195,"SELECT '"&amp;UPPER(B195)&amp;"' AS TABELA, '"&amp;UPPER(C195)&amp;"' AS TIPOLOGIA_TESTE,'"&amp;D195&amp;"' AS TABELA_LT,'N/A' AS TABELA_SIMUL,'"&amp;F195&amp;"' AS CAMPO, "&amp;"'${ref_date}' AS REF_DATE, COUNT(*) AS NUM_REG, SUM(IF(TRIM(CAST(X."&amp;F195&amp;" AS STRING))='' OR TRIM(CAST(X."&amp;F195&amp;" AS STRING)) IS NULL,1,0)) AS NUM_REG_DIF,'"&amp;MAX('ID1&amp;5'!K:K)+1&amp;"' AS ID_EXEC, CURRENT_TIMESTAMP() AS TIME_EXEC FROM "&amp;I195),
IF(C195="Caracteres Especiais",+"SELECT '"&amp;UPPER(B195)&amp;"' AS TABELA, '"&amp;UPPER(C195)&amp;"' AS TIPOLOGIA_TESTE,'"&amp;D195&amp;"' AS TABELA_LT,'N/A' AS TABELA_SIMUL,'"&amp;F195&amp;"' AS CAMPO, "&amp;"'${ref_date}' AS REF_DATE, COUNT(*) AS NUM_REG, SUM(IF(INSTR(CAST(X."&amp;F195&amp;" AS STRING),'#')&gt;0 OR INSTR(CAST(X."&amp;F195&amp;" AS STRING),'*')&gt;0 OR INSTR(CAST(X."&amp;F195&amp;" AS STRING),'`')&gt;0 OR INSTR(CAST(X."&amp;F195&amp;" AS STRING),'´')&gt;0 OR INSTR(CAST(X."&amp;F195&amp;" AS STRING),'{')&gt;0 OR INSTR(CAST(X."&amp;F195&amp;" AS STRING),'}')&gt;0 OR INSTR(CAST(X."&amp;F195&amp;" AS STRING),'[')&gt;0 OR INSTR(CAST(X."&amp;F195&amp;" AS STRING),'')&gt;0 OR INSTR(CAST(X."&amp;F195&amp;" AS STRING),']')&gt;0 OR INSTR(CAST(X."&amp;F195&amp;" AS STRING),'?')&gt;0 OR INSTR(CAST(X."&amp;F195&amp;" AS STRING),'!')&gt;0 OR INSTR(CAST(X."&amp;F195&amp;" AS STRING),'$')&gt;0 OR INSTR(CAST(X."&amp;F195&amp;" AS STRING),'%')&gt;0 OR INSTR(CAST(X."&amp;F195&amp;" AS STRING),'&amp;')&gt;0 OR INSTR(CAST(X."&amp;F195&amp;" AS STRING),'+')&gt;0,1,0)) AS NUM_REG_DIF,'"&amp;MAX('ID1&amp;5'!K:K)+1&amp;"' AS ID_EXEC, CURRENT_TIMESTAMP() AS TIME_EXEC FROM "&amp;I195,
IF(C195="Missings",+"SELECT '"&amp;UPPER(B195)&amp;"' AS TABELA, '"&amp;UPPER(C195)&amp;"' AS TIPOLOGIA_TESTE,'"&amp;D195&amp;"' AS TABELA_LT,'N/A' AS TABELA_SIMUL,'"&amp;F195&amp;"' AS CAMPO, "&amp;"'${ref_date}' AS REF_DATE, COUNT(*) AS NUM_REG, SUM(IF(TRIM(CAST(X."&amp;F195&amp;" AS STRING)) IN ('0000-00-00','0001-01-01','9999-12-31','MISS','00000','99999999999','99999999999.00','99999999999.000000'),1,0)) AS NUM_REG_DIF,'"&amp;MAX('ID1&amp;5'!K:K)+1&amp;"' AS ID_EXEC, CURRENT_TIMESTAMP() AS TIME_EXEC FROM "&amp;I195,
IF(C195="Not applicable",+"SELECT '"&amp;UPPER(B195)&amp;"' AS TABELA, '"&amp;UPPER(C195)&amp;"' AS TIPOLOGIA_TESTE,'"&amp;D195&amp;"' AS TABELA_LT,'N/A' AS TABELA_SIMUL,'"&amp;F195&amp;"' AS CAMPO, "&amp;"'${ref_date}' AS REF_DATE, COUNT(*) AS NUM_REG, SUM(IF(TRIM(CAST(X."&amp;F195&amp;" AS STRING)) IN ('N/A','11111111111','11111111111.00','11111111111.000000','1111-11-11'),1,0)) AS NUM_REG_DIF,'"&amp;MAX('ID1&amp;5'!K:K)+1&amp;"' AS ID_EXEC, CURRENT_TIMESTAMP() AS TIME_EXEC FROM "&amp;I195,
IF(C195="Valores extremos",+"SELECT '"&amp;UPPER(B195)&amp;"' AS TABELA, '"&amp;UPPER(C195)&amp;"' AS TIPOLOGIA_TESTE,'"&amp;D195&amp;"' AS TABELA_LT,'N/A' AS TABELA_SIMUL,'"&amp;F195&amp;"' AS CAMPO, "&amp;"'${ref_date}' AS REF_DATE, CAST(MIN("&amp;F195&amp;") AS STRING) AS VALOR_MIN, CAST(MAX("&amp;F195&amp;") AS STRING) AS VALOR_MAX,'"&amp;MAX('ID1&amp;5'!K:K)+1&amp;"' AS ID_EXEC, CURRENT_TIMESTAMP() AS TIME_EXEC FROM "&amp;MID(I195,1,LEN(I195)-2)&amp;" AND CAST("&amp;F195&amp;"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TABELA_SIMUL,'SSTNBL_CTGRY_TXNMY' AS CAMPO, '${ref_date}' AS REF_DATE, COUNT(*) AS NUM_REG, SUM(IF(INSTR(CAST(X.SSTNBL_CTGRY_TXNMY AS STRING),'#')&gt;0 OR INSTR(CAST(X.SSTNBL_CTGRY_TXNMY AS STRING),'*')&gt;0 OR INSTR(CAST(X.SSTNBL_CTGRY_TXNMY AS STRING),'`')&gt;0 OR INSTR(CAST(X.SSTNBL_CTGRY_TXNMY AS STRING),'´')&gt;0 OR INSTR(CAST(X.SSTNBL_CTGRY_TXNMY AS STRING),'{')&gt;0 OR INSTR(CAST(X.SSTNBL_CTGRY_TXNMY AS STRING),'}')&gt;0 OR INSTR(CAST(X.SSTNBL_CTGRY_TXNMY AS STRING),'[')&gt;0 OR INSTR(CAST(X.SSTNBL_CTGRY_TXNMY AS STRING),'')&gt;0 OR INSTR(CAST(X.SSTNBL_CTGRY_TXNMY AS STRING),']')&gt;0 OR INSTR(CAST(X.SSTNBL_CTGRY_TXNMY AS STRING),'?')&gt;0 OR INSTR(CAST(X.SSTNBL_CTGRY_TXNMY AS STRING),'!')&gt;0 OR INSTR(CAST(X.SSTNBL_CTGRY_TXNMY AS STRING),'$')&gt;0 OR INSTR(CAST(X.SSTNBL_CTGRY_TXNMY AS STRING),'%')&gt;0 OR INSTR(CAST(X.SSTNBL_CTGRY_TXNMY AS STRING),'&amp;')&gt;0 OR INSTR(CAST(X.SSTNBL_CTGRY_TXNMY AS STRING),'+')&gt;0,1,0)) AS NUM_REG_DIF,'10' AS ID_EXEC, CURRENT_TIMESTAMP() AS TIME_EXEC FROM (SELECT instrmnt_id, SSTNBL_CTGRY_TXNMY FROM BU_LOANTAPE_WORK.LT002_INSTRUMENT WHERE ref_date='${ref_date}' AND nome_perimetro='Individual Corporativo' AND segmento='ESTR' AND ambito='PILAR3')X</v>
      </c>
      <c r="M195" s="43" t="str">
        <f t="shared" si="3"/>
        <v>UNION ALL SELECT 'INSTRUMENT' AS TABELA, 'CARACTERES ESPECIAIS' AS TIPOLOGIA_TESTE,'BU_LOANTAPE_WORK.LT002_INSTRUMENT' AS TABELA_LT,'N/A' AS TABELA_SIMUL,'SSTNBL_CTGRY_TXNMY' AS CAMPO, '${ref_date}' AS REF_DATE, COUNT(*) AS NUM_REG, SUM(IF(INSTR(CAST(X.SSTNBL_CTGRY_TXNMY AS STRING),'#')&gt;0 OR INSTR(CAST(X.SSTNBL_CTGRY_TXNMY AS STRING),'*')&gt;0 OR INSTR(CAST(X.SSTNBL_CTGRY_TXNMY AS STRING),'`')&gt;0 OR INSTR(CAST(X.SSTNBL_CTGRY_TXNMY AS STRING),'´')&gt;0 OR INSTR(CAST(X.SSTNBL_CTGRY_TXNMY AS STRING),'{')&gt;0 OR INSTR(CAST(X.SSTNBL_CTGRY_TXNMY AS STRING),'}')&gt;0 OR INSTR(CAST(X.SSTNBL_CTGRY_TXNMY AS STRING),'[')&gt;0 OR INSTR(CAST(X.SSTNBL_CTGRY_TXNMY AS STRING),'')&gt;0 OR INSTR(CAST(X.SSTNBL_CTGRY_TXNMY AS STRING),']')&gt;0 OR INSTR(CAST(X.SSTNBL_CTGRY_TXNMY AS STRING),'?')&gt;0 OR INSTR(CAST(X.SSTNBL_CTGRY_TXNMY AS STRING),'!')&gt;0 OR INSTR(CAST(X.SSTNBL_CTGRY_TXNMY AS STRING),'$')&gt;0 OR INSTR(CAST(X.SSTNBL_CTGRY_TXNMY AS STRING),'%')&gt;0 OR INSTR(CAST(X.SSTNBL_CTGRY_TXNMY AS STRING),'&amp;')&gt;0 OR INSTR(CAST(X.SSTNBL_CTGRY_TXNMY AS STRING),'+')&gt;0,1,0)) AS NUM_REG_DIF,'10' AS ID_EXEC, CURRENT_TIMESTAMP() AS TIME_EXEC FROM (SELECT instrmnt_id, SSTNBL_CTGRY_TXNMY FROM BU_LOANTAPE_WORK.LT002_INSTRUMENT WHERE ref_date='${ref_date}' AND nome_perimetro='Individual Corporativo' AND segmento='ESTR' AND ambito='PILAR3')X</v>
      </c>
      <c r="N195" s="45" t="s">
        <v>13</v>
      </c>
    </row>
    <row r="196" spans="2:14">
      <c r="B196" s="41" t="s">
        <v>27</v>
      </c>
      <c r="C196" s="41" t="s">
        <v>76</v>
      </c>
      <c r="D196" s="41" t="str">
        <f>+UPPER('0. Instruções'!$D$33&amp;"."&amp;VLOOKUP(B196,'0. Instruções'!$C$27:$D$31,2,FALSE))</f>
        <v>BU_LOANTAPE_WORK.LT002_INSTRUMENT</v>
      </c>
      <c r="E196" s="41" t="str">
        <f>+UPPER('0. Instruções'!$D$34&amp;"."&amp;VLOOKUP(B196,'0. Instruções'!$C$27:$E$31,3,FALSE))</f>
        <v>BU_LOANTAPE_WORK.LT002_INSTRUMENT_P3_NOV24</v>
      </c>
      <c r="F196" s="41" t="s">
        <v>156</v>
      </c>
      <c r="G196" s="41" t="s">
        <v>13</v>
      </c>
      <c r="H196" s="41"/>
      <c r="I196" s="41" t="str">
        <f>"(SELECT "&amp;VLOOKUP(B196,'0. Instruções'!$C$27:$G$31,4,FALSE)&amp;", "&amp;F196&amp;" FROM "&amp;D196&amp;" WHERE "&amp;'0. Instruções'!$D$40&amp;")X"</f>
        <v>(SELECT instrmnt_id, DT_RFRNC FROM BU_LOANTAPE_WORK.LT002_INSTRUMENT WHERE ref_date='${ref_date}' AND nome_perimetro='Individual Corporativo' AND segmento='ESTR' AND ambito='PILAR3')X</v>
      </c>
      <c r="J196" s="41" t="str">
        <f>"(SELECT "&amp;VLOOKUP(B196,'0. Instruções'!$C$27:$G$31,4,FALSE)&amp;" AS "&amp;VLOOKUP(B196,'0. Instruções'!$C$27:$G$31,4,FALSE)&amp;"_SIMUL, "&amp;F196&amp;" AS "&amp;F196&amp;"_SIMUL FROM "&amp;E196&amp;")Y"</f>
        <v>(SELECT instrmnt_id AS instrmnt_id_SIMUL, DT_RFRNC AS DT_RFRNC_SIMUL FROM BU_LOANTAPE_WORK.LT002_INSTRUMENT_P3_NOV24)Y</v>
      </c>
      <c r="K196" s="42" t="str">
        <f>+UPPER("ON X."&amp;VLOOKUP(B196,'0. Instruções'!$C$27:$G$31,4,FALSE)&amp;"=Y."&amp;VLOOKUP(B196,'0. Instruções'!$C$27:$G$31,4,FALSE)&amp;"_SIMUL")</f>
        <v>ON X.INSTRMNT_ID=Y.INSTRMNT_ID_SIMUL</v>
      </c>
      <c r="L196" s="42" t="str">
        <f>+IF(C196="Coerência", +IF(LEFT(G196,5)="FLOAT","SELECT '"&amp;UPPER(B196)&amp;"' AS TABELA, '"&amp;UPPER(C196)&amp;"' AS TIPOLOGIA_TESTE,'"&amp;D196&amp;"' AS TABELA_LT,'"&amp;E196&amp;"' AS TABELA_SIMUL,'"&amp;F196&amp;"' AS CAMPO, "&amp;"'${ref_date}' AS REF_DATE, COUNT(*) AS NUM_REG, SUM(IF((ABS(COALESCE(X."&amp;F196&amp;",0)-COALESCE(Y."&amp;F196&amp;"_SIMUL,0))&gt;0.0000000001) OR (X."&amp;F196&amp;" IS NULL AND Y."&amp;F196&amp;"_SIMUL IS NOT NULL ) OR (X."&amp;F196&amp;" IS NOT NULL AND Y."&amp;F196&amp;"_SIMUL IS NULL),1,0)) AS NUM_REG_DIF,'"&amp;MAX('ID1&amp;5'!K:K)+1&amp;"' AS ID_EXEC, CURRENT_TIMESTAMP() AS TIME_EXEC FROM "&amp;I196&amp;" INNER JOIN "&amp;J196&amp;" "&amp;K196,"SELECT '"&amp;UPPER(B196)&amp;"' AS TABELA, '"&amp;UPPER(C196)&amp;"' AS TIPOLOGIA_TESTE,'"&amp;D196&amp;"' AS TABELA_LT,'"&amp;E196&amp;"' AS TABELA_SIMUL,'"&amp;F196&amp;"' AS CAMPO, "&amp;"'${ref_date}' AS REF_DATE, COUNT(*) AS NUM_REG, SUM(IF(COALESCE(CAST(X."&amp;F196&amp;" AS STRING),'')&lt;&gt;COALESCE(CAST(Y."&amp;F196&amp;"_SIMUL AS STRING),''),1,0)) AS NUM_REG_DIF,'"&amp;MAX('ID1&amp;5'!L:L)+1&amp;"' AS ID_EXEC, CURRENT_TIMESTAMP() AS TIME_EXEC FROM "&amp;I196&amp;" INNER JOIN "&amp;J196&amp;" "&amp;K196),
IF(C196="Validade",+IF(G196="Code List","SELECT '"&amp;UPPER(B196)&amp;"' AS TABELA, '"&amp;UPPER(C196)&amp;"' AS TIPOLOGIA_TESTE,'"&amp;D196&amp;"' AS TABELA_LT,'N/A' AS TABELA_SIMUL,'"&amp;F196&amp;"' AS CAMPO, "&amp;"'${ref_date}' AS REF_DATE, COUNT(*) AS NUM_REG, SUM(IF(TRIM(CAST(X."&amp;F196&amp;" AS STRING))='' OR TRIM(CAST(X."&amp;F196&amp;" AS STRING)) IS NULL OR CAST(X."&amp;F196&amp;" AS STRING) NOT "&amp;H196&amp;",1,0)) AS NUM_REG_DIF,'"&amp;MAX('ID1&amp;5'!K:K)+1&amp;"' AS ID_EXEC, CURRENT_TIMESTAMP() AS TIME_EXEC FROM "&amp;I196,"SELECT '"&amp;UPPER(B196)&amp;"' AS TABELA, '"&amp;UPPER(C196)&amp;"' AS TIPOLOGIA_TESTE,'"&amp;D196&amp;"' AS TABELA_LT,'N/A' AS TABELA_SIMUL,'"&amp;F196&amp;"' AS CAMPO, "&amp;"'${ref_date}' AS REF_DATE, COUNT(*) AS NUM_REG, SUM(IF(TRIM(CAST(X."&amp;F196&amp;" AS STRING))='' OR TRIM(CAST(X."&amp;F196&amp;" AS STRING)) IS NULL,1,0)) AS NUM_REG_DIF,'"&amp;MAX('ID1&amp;5'!K:K)+1&amp;"' AS ID_EXEC, CURRENT_TIMESTAMP() AS TIME_EXEC FROM "&amp;I196),
IF(C196="Caracteres Especiais",+"SELECT '"&amp;UPPER(B196)&amp;"' AS TABELA, '"&amp;UPPER(C196)&amp;"' AS TIPOLOGIA_TESTE,'"&amp;D196&amp;"' AS TABELA_LT,'N/A' AS TABELA_SIMUL,'"&amp;F196&amp;"' AS CAMPO, "&amp;"'${ref_date}' AS REF_DATE, COUNT(*) AS NUM_REG, SUM(IF(INSTR(CAST(X."&amp;F196&amp;" AS STRING),'#')&gt;0 OR INSTR(CAST(X."&amp;F196&amp;" AS STRING),'*')&gt;0 OR INSTR(CAST(X."&amp;F196&amp;" AS STRING),'`')&gt;0 OR INSTR(CAST(X."&amp;F196&amp;" AS STRING),'´')&gt;0 OR INSTR(CAST(X."&amp;F196&amp;" AS STRING),'{')&gt;0 OR INSTR(CAST(X."&amp;F196&amp;" AS STRING),'}')&gt;0 OR INSTR(CAST(X."&amp;F196&amp;" AS STRING),'[')&gt;0 OR INSTR(CAST(X."&amp;F196&amp;" AS STRING),'')&gt;0 OR INSTR(CAST(X."&amp;F196&amp;" AS STRING),']')&gt;0 OR INSTR(CAST(X."&amp;F196&amp;" AS STRING),'?')&gt;0 OR INSTR(CAST(X."&amp;F196&amp;" AS STRING),'!')&gt;0 OR INSTR(CAST(X."&amp;F196&amp;" AS STRING),'$')&gt;0 OR INSTR(CAST(X."&amp;F196&amp;" AS STRING),'%')&gt;0 OR INSTR(CAST(X."&amp;F196&amp;" AS STRING),'&amp;')&gt;0 OR INSTR(CAST(X."&amp;F196&amp;" AS STRING),'+')&gt;0,1,0)) AS NUM_REG_DIF,'"&amp;MAX('ID1&amp;5'!K:K)+1&amp;"' AS ID_EXEC, CURRENT_TIMESTAMP() AS TIME_EXEC FROM "&amp;I196,
IF(C196="Missings",+"SELECT '"&amp;UPPER(B196)&amp;"' AS TABELA, '"&amp;UPPER(C196)&amp;"' AS TIPOLOGIA_TESTE,'"&amp;D196&amp;"' AS TABELA_LT,'N/A' AS TABELA_SIMUL,'"&amp;F196&amp;"' AS CAMPO, "&amp;"'${ref_date}' AS REF_DATE, COUNT(*) AS NUM_REG, SUM(IF(TRIM(CAST(X."&amp;F196&amp;" AS STRING)) IN ('0000-00-00','0001-01-01','9999-12-31','MISS','00000','99999999999','99999999999.00','99999999999.000000'),1,0)) AS NUM_REG_DIF,'"&amp;MAX('ID1&amp;5'!K:K)+1&amp;"' AS ID_EXEC, CURRENT_TIMESTAMP() AS TIME_EXEC FROM "&amp;I196,
IF(C196="Not applicable",+"SELECT '"&amp;UPPER(B196)&amp;"' AS TABELA, '"&amp;UPPER(C196)&amp;"' AS TIPOLOGIA_TESTE,'"&amp;D196&amp;"' AS TABELA_LT,'N/A' AS TABELA_SIMUL,'"&amp;F196&amp;"' AS CAMPO, "&amp;"'${ref_date}' AS REF_DATE, COUNT(*) AS NUM_REG, SUM(IF(TRIM(CAST(X."&amp;F196&amp;" AS STRING)) IN ('N/A','11111111111','11111111111.00','11111111111.000000','1111-11-11'),1,0)) AS NUM_REG_DIF,'"&amp;MAX('ID1&amp;5'!K:K)+1&amp;"' AS ID_EXEC, CURRENT_TIMESTAMP() AS TIME_EXEC FROM "&amp;I196,
IF(C196="Valores extremos",+"SELECT '"&amp;UPPER(B196)&amp;"' AS TABELA, '"&amp;UPPER(C196)&amp;"' AS TIPOLOGIA_TESTE,'"&amp;D196&amp;"' AS TABELA_LT,'N/A' AS TABELA_SIMUL,'"&amp;F196&amp;"' AS CAMPO, "&amp;"'${ref_date}' AS REF_DATE, CAST(MIN("&amp;F196&amp;") AS STRING) AS VALOR_MIN, CAST(MAX("&amp;F196&amp;") AS STRING) AS VALOR_MAX,'"&amp;MAX('ID1&amp;5'!K:K)+1&amp;"' AS ID_EXEC, CURRENT_TIMESTAMP() AS TIME_EXEC FROM "&amp;MID(I196,1,LEN(I196)-2)&amp;" AND CAST("&amp;F196&amp;"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TABELA_SIMUL,'DT_RFRNC' AS CAMPO, '${ref_date}' AS REF_DATE, COUNT(*) AS NUM_REG, SUM(IF(INSTR(CAST(X.DT_RFRNC AS STRING),'#')&gt;0 OR INSTR(CAST(X.DT_RFRNC AS STRING),'*')&gt;0 OR INSTR(CAST(X.DT_RFRNC AS STRING),'`')&gt;0 OR INSTR(CAST(X.DT_RFRNC AS STRING),'´')&gt;0 OR INSTR(CAST(X.DT_RFRNC AS STRING),'{')&gt;0 OR INSTR(CAST(X.DT_RFRNC AS STRING),'}')&gt;0 OR INSTR(CAST(X.DT_RFRNC AS STRING),'[')&gt;0 OR INSTR(CAST(X.DT_RFRNC AS STRING),'')&gt;0 OR INSTR(CAST(X.DT_RFRNC AS STRING),']')&gt;0 OR INSTR(CAST(X.DT_RFRNC AS STRING),'?')&gt;0 OR INSTR(CAST(X.DT_RFRNC AS STRING),'!')&gt;0 OR INSTR(CAST(X.DT_RFRNC AS STRING),'$')&gt;0 OR INSTR(CAST(X.DT_RFRNC AS STRING),'%')&gt;0 OR INSTR(CAST(X.DT_RFRNC AS STRING),'&amp;')&gt;0 OR INSTR(CAST(X.DT_RFRNC AS STRING),'+')&gt;0,1,0)) AS NUM_REG_DIF,'10' AS ID_EXEC, CURRENT_TIMESTAMP() AS TIME_EXEC FROM (SELECT instrmnt_id, DT_RFRNC FROM BU_LOANTAPE_WORK.LT002_INSTRUMENT WHERE ref_date='${ref_date}' AND nome_perimetro='Individual Corporativo' AND segmento='ESTR' AND ambito='PILAR3')X</v>
      </c>
      <c r="M196" s="43" t="str">
        <f t="shared" si="3"/>
        <v>UNION ALL SELECT 'INSTRUMENT' AS TABELA, 'CARACTERES ESPECIAIS' AS TIPOLOGIA_TESTE,'BU_LOANTAPE_WORK.LT002_INSTRUMENT' AS TABELA_LT,'N/A' AS TABELA_SIMUL,'DT_RFRNC' AS CAMPO, '${ref_date}' AS REF_DATE, COUNT(*) AS NUM_REG, SUM(IF(INSTR(CAST(X.DT_RFRNC AS STRING),'#')&gt;0 OR INSTR(CAST(X.DT_RFRNC AS STRING),'*')&gt;0 OR INSTR(CAST(X.DT_RFRNC AS STRING),'`')&gt;0 OR INSTR(CAST(X.DT_RFRNC AS STRING),'´')&gt;0 OR INSTR(CAST(X.DT_RFRNC AS STRING),'{')&gt;0 OR INSTR(CAST(X.DT_RFRNC AS STRING),'}')&gt;0 OR INSTR(CAST(X.DT_RFRNC AS STRING),'[')&gt;0 OR INSTR(CAST(X.DT_RFRNC AS STRING),'')&gt;0 OR INSTR(CAST(X.DT_RFRNC AS STRING),']')&gt;0 OR INSTR(CAST(X.DT_RFRNC AS STRING),'?')&gt;0 OR INSTR(CAST(X.DT_RFRNC AS STRING),'!')&gt;0 OR INSTR(CAST(X.DT_RFRNC AS STRING),'$')&gt;0 OR INSTR(CAST(X.DT_RFRNC AS STRING),'%')&gt;0 OR INSTR(CAST(X.DT_RFRNC AS STRING),'&amp;')&gt;0 OR INSTR(CAST(X.DT_RFRNC AS STRING),'+')&gt;0,1,0)) AS NUM_REG_DIF,'10' AS ID_EXEC, CURRENT_TIMESTAMP() AS TIME_EXEC FROM (SELECT instrmnt_id, DT_RFRNC FROM BU_LOANTAPE_WORK.LT002_INSTRUMENT WHERE ref_date='${ref_date}' AND nome_perimetro='Individual Corporativo' AND segmento='ESTR' AND ambito='PILAR3')X</v>
      </c>
      <c r="N196" s="45" t="s">
        <v>13</v>
      </c>
    </row>
    <row r="197" spans="2:14">
      <c r="B197" s="41" t="s">
        <v>27</v>
      </c>
      <c r="C197" s="41" t="s">
        <v>76</v>
      </c>
      <c r="D197" s="41" t="str">
        <f>+UPPER('0. Instruções'!$D$33&amp;"."&amp;VLOOKUP(B197,'0. Instruções'!$C$27:$D$31,2,FALSE))</f>
        <v>BU_LOANTAPE_WORK.LT002_INSTRUMENT</v>
      </c>
      <c r="E197" s="41" t="str">
        <f>+UPPER('0. Instruções'!$D$34&amp;"."&amp;VLOOKUP(B197,'0. Instruções'!$C$27:$E$31,3,FALSE))</f>
        <v>BU_LOANTAPE_WORK.LT002_INSTRUMENT_P3_NOV24</v>
      </c>
      <c r="F197" s="41" t="s">
        <v>157</v>
      </c>
      <c r="G197" s="41" t="s">
        <v>13</v>
      </c>
      <c r="H197" s="41"/>
      <c r="I197" s="41" t="str">
        <f>"(SELECT "&amp;VLOOKUP(B197,'0. Instruções'!$C$27:$G$31,4,FALSE)&amp;", "&amp;F197&amp;" FROM "&amp;D197&amp;" WHERE "&amp;'0. Instruções'!$D$40&amp;")X"</f>
        <v>(SELECT instrmnt_id, INSTRMNT_ID FROM BU_LOANTAPE_WORK.LT002_INSTRUMENT WHERE ref_date='${ref_date}' AND nome_perimetro='Individual Corporativo' AND segmento='ESTR' AND ambito='PILAR3')X</v>
      </c>
      <c r="J197" s="41" t="str">
        <f>"(SELECT "&amp;VLOOKUP(B197,'0. Instruções'!$C$27:$G$31,4,FALSE)&amp;" AS "&amp;VLOOKUP(B197,'0. Instruções'!$C$27:$G$31,4,FALSE)&amp;"_SIMUL, "&amp;F197&amp;" AS "&amp;F197&amp;"_SIMUL FROM "&amp;E197&amp;")Y"</f>
        <v>(SELECT instrmnt_id AS instrmnt_id_SIMUL, INSTRMNT_ID AS INSTRMNT_ID_SIMUL FROM BU_LOANTAPE_WORK.LT002_INSTRUMENT_P3_NOV24)Y</v>
      </c>
      <c r="K197" s="42" t="str">
        <f>+UPPER("ON X."&amp;VLOOKUP(B197,'0. Instruções'!$C$27:$G$31,4,FALSE)&amp;"=Y."&amp;VLOOKUP(B197,'0. Instruções'!$C$27:$G$31,4,FALSE)&amp;"_SIMUL")</f>
        <v>ON X.INSTRMNT_ID=Y.INSTRMNT_ID_SIMUL</v>
      </c>
      <c r="L197" s="42" t="str">
        <f>+IF(C197="Coerência", +IF(LEFT(G197,5)="FLOAT","SELECT '"&amp;UPPER(B197)&amp;"' AS TABELA, '"&amp;UPPER(C197)&amp;"' AS TIPOLOGIA_TESTE,'"&amp;D197&amp;"' AS TABELA_LT,'"&amp;E197&amp;"' AS TABELA_SIMUL,'"&amp;F197&amp;"' AS CAMPO, "&amp;"'${ref_date}' AS REF_DATE, COUNT(*) AS NUM_REG, SUM(IF((ABS(COALESCE(X."&amp;F197&amp;",0)-COALESCE(Y."&amp;F197&amp;"_SIMUL,0))&gt;0.0000000001) OR (X."&amp;F197&amp;" IS NULL AND Y."&amp;F197&amp;"_SIMUL IS NOT NULL ) OR (X."&amp;F197&amp;" IS NOT NULL AND Y."&amp;F197&amp;"_SIMUL IS NULL),1,0)) AS NUM_REG_DIF,'"&amp;MAX('ID1&amp;5'!K:K)+1&amp;"' AS ID_EXEC, CURRENT_TIMESTAMP() AS TIME_EXEC FROM "&amp;I197&amp;" INNER JOIN "&amp;J197&amp;" "&amp;K197,"SELECT '"&amp;UPPER(B197)&amp;"' AS TABELA, '"&amp;UPPER(C197)&amp;"' AS TIPOLOGIA_TESTE,'"&amp;D197&amp;"' AS TABELA_LT,'"&amp;E197&amp;"' AS TABELA_SIMUL,'"&amp;F197&amp;"' AS CAMPO, "&amp;"'${ref_date}' AS REF_DATE, COUNT(*) AS NUM_REG, SUM(IF(COALESCE(CAST(X."&amp;F197&amp;" AS STRING),'')&lt;&gt;COALESCE(CAST(Y."&amp;F197&amp;"_SIMUL AS STRING),''),1,0)) AS NUM_REG_DIF,'"&amp;MAX('ID1&amp;5'!L:L)+1&amp;"' AS ID_EXEC, CURRENT_TIMESTAMP() AS TIME_EXEC FROM "&amp;I197&amp;" INNER JOIN "&amp;J197&amp;" "&amp;K197),
IF(C197="Validade",+IF(G197="Code List","SELECT '"&amp;UPPER(B197)&amp;"' AS TABELA, '"&amp;UPPER(C197)&amp;"' AS TIPOLOGIA_TESTE,'"&amp;D197&amp;"' AS TABELA_LT,'N/A' AS TABELA_SIMUL,'"&amp;F197&amp;"' AS CAMPO, "&amp;"'${ref_date}' AS REF_DATE, COUNT(*) AS NUM_REG, SUM(IF(TRIM(CAST(X."&amp;F197&amp;" AS STRING))='' OR TRIM(CAST(X."&amp;F197&amp;" AS STRING)) IS NULL OR CAST(X."&amp;F197&amp;" AS STRING) NOT "&amp;H197&amp;",1,0)) AS NUM_REG_DIF,'"&amp;MAX('ID1&amp;5'!K:K)+1&amp;"' AS ID_EXEC, CURRENT_TIMESTAMP() AS TIME_EXEC FROM "&amp;I197,"SELECT '"&amp;UPPER(B197)&amp;"' AS TABELA, '"&amp;UPPER(C197)&amp;"' AS TIPOLOGIA_TESTE,'"&amp;D197&amp;"' AS TABELA_LT,'N/A' AS TABELA_SIMUL,'"&amp;F197&amp;"' AS CAMPO, "&amp;"'${ref_date}' AS REF_DATE, COUNT(*) AS NUM_REG, SUM(IF(TRIM(CAST(X."&amp;F197&amp;" AS STRING))='' OR TRIM(CAST(X."&amp;F197&amp;" AS STRING)) IS NULL,1,0)) AS NUM_REG_DIF,'"&amp;MAX('ID1&amp;5'!K:K)+1&amp;"' AS ID_EXEC, CURRENT_TIMESTAMP() AS TIME_EXEC FROM "&amp;I197),
IF(C197="Caracteres Especiais",+"SELECT '"&amp;UPPER(B197)&amp;"' AS TABELA, '"&amp;UPPER(C197)&amp;"' AS TIPOLOGIA_TESTE,'"&amp;D197&amp;"' AS TABELA_LT,'N/A' AS TABELA_SIMUL,'"&amp;F197&amp;"' AS CAMPO, "&amp;"'${ref_date}' AS REF_DATE, COUNT(*) AS NUM_REG, SUM(IF(INSTR(CAST(X."&amp;F197&amp;" AS STRING),'#')&gt;0 OR INSTR(CAST(X."&amp;F197&amp;" AS STRING),'*')&gt;0 OR INSTR(CAST(X."&amp;F197&amp;" AS STRING),'`')&gt;0 OR INSTR(CAST(X."&amp;F197&amp;" AS STRING),'´')&gt;0 OR INSTR(CAST(X."&amp;F197&amp;" AS STRING),'{')&gt;0 OR INSTR(CAST(X."&amp;F197&amp;" AS STRING),'}')&gt;0 OR INSTR(CAST(X."&amp;F197&amp;" AS STRING),'[')&gt;0 OR INSTR(CAST(X."&amp;F197&amp;" AS STRING),'')&gt;0 OR INSTR(CAST(X."&amp;F197&amp;" AS STRING),']')&gt;0 OR INSTR(CAST(X."&amp;F197&amp;" AS STRING),'?')&gt;0 OR INSTR(CAST(X."&amp;F197&amp;" AS STRING),'!')&gt;0 OR INSTR(CAST(X."&amp;F197&amp;" AS STRING),'$')&gt;0 OR INSTR(CAST(X."&amp;F197&amp;" AS STRING),'%')&gt;0 OR INSTR(CAST(X."&amp;F197&amp;" AS STRING),'&amp;')&gt;0 OR INSTR(CAST(X."&amp;F197&amp;" AS STRING),'+')&gt;0,1,0)) AS NUM_REG_DIF,'"&amp;MAX('ID1&amp;5'!K:K)+1&amp;"' AS ID_EXEC, CURRENT_TIMESTAMP() AS TIME_EXEC FROM "&amp;I197,
IF(C197="Missings",+"SELECT '"&amp;UPPER(B197)&amp;"' AS TABELA, '"&amp;UPPER(C197)&amp;"' AS TIPOLOGIA_TESTE,'"&amp;D197&amp;"' AS TABELA_LT,'N/A' AS TABELA_SIMUL,'"&amp;F197&amp;"' AS CAMPO, "&amp;"'${ref_date}' AS REF_DATE, COUNT(*) AS NUM_REG, SUM(IF(TRIM(CAST(X."&amp;F197&amp;" AS STRING)) IN ('0000-00-00','0001-01-01','9999-12-31','MISS','00000','99999999999','99999999999.00','99999999999.000000'),1,0)) AS NUM_REG_DIF,'"&amp;MAX('ID1&amp;5'!K:K)+1&amp;"' AS ID_EXEC, CURRENT_TIMESTAMP() AS TIME_EXEC FROM "&amp;I197,
IF(C197="Not applicable",+"SELECT '"&amp;UPPER(B197)&amp;"' AS TABELA, '"&amp;UPPER(C197)&amp;"' AS TIPOLOGIA_TESTE,'"&amp;D197&amp;"' AS TABELA_LT,'N/A' AS TABELA_SIMUL,'"&amp;F197&amp;"' AS CAMPO, "&amp;"'${ref_date}' AS REF_DATE, COUNT(*) AS NUM_REG, SUM(IF(TRIM(CAST(X."&amp;F197&amp;" AS STRING)) IN ('N/A','11111111111','11111111111.00','11111111111.000000','1111-11-11'),1,0)) AS NUM_REG_DIF,'"&amp;MAX('ID1&amp;5'!K:K)+1&amp;"' AS ID_EXEC, CURRENT_TIMESTAMP() AS TIME_EXEC FROM "&amp;I197,
IF(C197="Valores extremos",+"SELECT '"&amp;UPPER(B197)&amp;"' AS TABELA, '"&amp;UPPER(C197)&amp;"' AS TIPOLOGIA_TESTE,'"&amp;D197&amp;"' AS TABELA_LT,'N/A' AS TABELA_SIMUL,'"&amp;F197&amp;"' AS CAMPO, "&amp;"'${ref_date}' AS REF_DATE, CAST(MIN("&amp;F197&amp;") AS STRING) AS VALOR_MIN, CAST(MAX("&amp;F197&amp;") AS STRING) AS VALOR_MAX,'"&amp;MAX('ID1&amp;5'!K:K)+1&amp;"' AS ID_EXEC, CURRENT_TIMESTAMP() AS TIME_EXEC FROM "&amp;MID(I197,1,LEN(I197)-2)&amp;" AND CAST("&amp;F197&amp;"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TABELA_SIMUL,'INSTRMNT_ID' AS CAMPO, '${ref_date}' AS REF_DATE, COUNT(*) AS NUM_REG, SUM(IF(INSTR(CAST(X.INSTRMNT_ID AS STRING),'#')&gt;0 OR INSTR(CAST(X.INSTRMNT_ID AS STRING),'*')&gt;0 OR INSTR(CAST(X.INSTRMNT_ID AS STRING),'`')&gt;0 OR INSTR(CAST(X.INSTRMNT_ID AS STRING),'´')&gt;0 OR INSTR(CAST(X.INSTRMNT_ID AS STRING),'{')&gt;0 OR INSTR(CAST(X.INSTRMNT_ID AS STRING),'}')&gt;0 OR INSTR(CAST(X.INSTRMNT_ID AS STRING),'[')&gt;0 OR INSTR(CAST(X.INSTRMNT_ID AS STRING),'')&gt;0 OR INSTR(CAST(X.INSTRMNT_ID AS STRING),']')&gt;0 OR INSTR(CAST(X.INSTRMNT_ID AS STRING),'?')&gt;0 OR INSTR(CAST(X.INSTRMNT_ID AS STRING),'!')&gt;0 OR INSTR(CAST(X.INSTRMNT_ID AS STRING),'$')&gt;0 OR INSTR(CAST(X.INSTRMNT_ID AS STRING),'%')&gt;0 OR INSTR(CAST(X.INSTRMNT_ID AS STRING),'&amp;')&gt;0 OR INSTR(CAST(X.INSTRMNT_ID AS STRING),'+')&gt;0,1,0)) AS NUM_REG_DIF,'10' AS ID_EXEC, CURRENT_TIMESTAMP() AS TIME_EXEC FROM (SELECT instrmnt_id, INSTRMNT_ID FROM BU_LOANTAPE_WORK.LT002_INSTRUMENT WHERE ref_date='${ref_date}' AND nome_perimetro='Individual Corporativo' AND segmento='ESTR' AND ambito='PILAR3')X</v>
      </c>
      <c r="M197" s="43" t="str">
        <f t="shared" si="3"/>
        <v>UNION ALL SELECT 'INSTRUMENT' AS TABELA, 'CARACTERES ESPECIAIS' AS TIPOLOGIA_TESTE,'BU_LOANTAPE_WORK.LT002_INSTRUMENT' AS TABELA_LT,'N/A' AS TABELA_SIMUL,'INSTRMNT_ID' AS CAMPO, '${ref_date}' AS REF_DATE, COUNT(*) AS NUM_REG, SUM(IF(INSTR(CAST(X.INSTRMNT_ID AS STRING),'#')&gt;0 OR INSTR(CAST(X.INSTRMNT_ID AS STRING),'*')&gt;0 OR INSTR(CAST(X.INSTRMNT_ID AS STRING),'`')&gt;0 OR INSTR(CAST(X.INSTRMNT_ID AS STRING),'´')&gt;0 OR INSTR(CAST(X.INSTRMNT_ID AS STRING),'{')&gt;0 OR INSTR(CAST(X.INSTRMNT_ID AS STRING),'}')&gt;0 OR INSTR(CAST(X.INSTRMNT_ID AS STRING),'[')&gt;0 OR INSTR(CAST(X.INSTRMNT_ID AS STRING),'')&gt;0 OR INSTR(CAST(X.INSTRMNT_ID AS STRING),']')&gt;0 OR INSTR(CAST(X.INSTRMNT_ID AS STRING),'?')&gt;0 OR INSTR(CAST(X.INSTRMNT_ID AS STRING),'!')&gt;0 OR INSTR(CAST(X.INSTRMNT_ID AS STRING),'$')&gt;0 OR INSTR(CAST(X.INSTRMNT_ID AS STRING),'%')&gt;0 OR INSTR(CAST(X.INSTRMNT_ID AS STRING),'&amp;')&gt;0 OR INSTR(CAST(X.INSTRMNT_ID AS STRING),'+')&gt;0,1,0)) AS NUM_REG_DIF,'10' AS ID_EXEC, CURRENT_TIMESTAMP() AS TIME_EXEC FROM (SELECT instrmnt_id, INSTRMNT_ID FROM BU_LOANTAPE_WORK.LT002_INSTRUMENT WHERE ref_date='${ref_date}' AND nome_perimetro='Individual Corporativo' AND segmento='ESTR' AND ambito='PILAR3')X</v>
      </c>
      <c r="N197" s="45" t="s">
        <v>13</v>
      </c>
    </row>
    <row r="198" spans="2:14">
      <c r="B198" s="41" t="s">
        <v>27</v>
      </c>
      <c r="C198" s="41" t="s">
        <v>76</v>
      </c>
      <c r="D198" s="41" t="str">
        <f>+UPPER('0. Instruções'!$D$33&amp;"."&amp;VLOOKUP(B198,'0. Instruções'!$C$27:$D$31,2,FALSE))</f>
        <v>BU_LOANTAPE_WORK.LT002_INSTRUMENT</v>
      </c>
      <c r="E198" s="41" t="str">
        <f>+UPPER('0. Instruções'!$D$34&amp;"."&amp;VLOOKUP(B198,'0. Instruções'!$C$27:$E$31,3,FALSE))</f>
        <v>BU_LOANTAPE_WORK.LT002_INSTRUMENT_P3_NOV24</v>
      </c>
      <c r="F198" s="41" t="s">
        <v>158</v>
      </c>
      <c r="G198" s="41" t="s">
        <v>13</v>
      </c>
      <c r="H198" s="41"/>
      <c r="I198" s="41" t="str">
        <f>"(SELECT "&amp;VLOOKUP(B198,'0. Instruções'!$C$27:$G$31,4,FALSE)&amp;", "&amp;F198&amp;" FROM "&amp;D198&amp;" WHERE "&amp;'0. Instruções'!$D$40&amp;")X"</f>
        <v>(SELECT instrmnt_id, DT_INCPTN FROM BU_LOANTAPE_WORK.LT002_INSTRUMENT WHERE ref_date='${ref_date}' AND nome_perimetro='Individual Corporativo' AND segmento='ESTR' AND ambito='PILAR3')X</v>
      </c>
      <c r="J198" s="41" t="str">
        <f>"(SELECT "&amp;VLOOKUP(B198,'0. Instruções'!$C$27:$G$31,4,FALSE)&amp;" AS "&amp;VLOOKUP(B198,'0. Instruções'!$C$27:$G$31,4,FALSE)&amp;"_SIMUL, "&amp;F198&amp;" AS "&amp;F198&amp;"_SIMUL FROM "&amp;E198&amp;")Y"</f>
        <v>(SELECT instrmnt_id AS instrmnt_id_SIMUL, DT_INCPTN AS DT_INCPTN_SIMUL FROM BU_LOANTAPE_WORK.LT002_INSTRUMENT_P3_NOV24)Y</v>
      </c>
      <c r="K198" s="42" t="str">
        <f>+UPPER("ON X."&amp;VLOOKUP(B198,'0. Instruções'!$C$27:$G$31,4,FALSE)&amp;"=Y."&amp;VLOOKUP(B198,'0. Instruções'!$C$27:$G$31,4,FALSE)&amp;"_SIMUL")</f>
        <v>ON X.INSTRMNT_ID=Y.INSTRMNT_ID_SIMUL</v>
      </c>
      <c r="L198" s="42" t="str">
        <f>+IF(C198="Coerência", +IF(LEFT(G198,5)="FLOAT","SELECT '"&amp;UPPER(B198)&amp;"' AS TABELA, '"&amp;UPPER(C198)&amp;"' AS TIPOLOGIA_TESTE,'"&amp;D198&amp;"' AS TABELA_LT,'"&amp;E198&amp;"' AS TABELA_SIMUL,'"&amp;F198&amp;"' AS CAMPO, "&amp;"'${ref_date}' AS REF_DATE, COUNT(*) AS NUM_REG, SUM(IF((ABS(COALESCE(X."&amp;F198&amp;",0)-COALESCE(Y."&amp;F198&amp;"_SIMUL,0))&gt;0.0000000001) OR (X."&amp;F198&amp;" IS NULL AND Y."&amp;F198&amp;"_SIMUL IS NOT NULL ) OR (X."&amp;F198&amp;" IS NOT NULL AND Y."&amp;F198&amp;"_SIMUL IS NULL),1,0)) AS NUM_REG_DIF,'"&amp;MAX('ID1&amp;5'!K:K)+1&amp;"' AS ID_EXEC, CURRENT_TIMESTAMP() AS TIME_EXEC FROM "&amp;I198&amp;" INNER JOIN "&amp;J198&amp;" "&amp;K198,"SELECT '"&amp;UPPER(B198)&amp;"' AS TABELA, '"&amp;UPPER(C198)&amp;"' AS TIPOLOGIA_TESTE,'"&amp;D198&amp;"' AS TABELA_LT,'"&amp;E198&amp;"' AS TABELA_SIMUL,'"&amp;F198&amp;"' AS CAMPO, "&amp;"'${ref_date}' AS REF_DATE, COUNT(*) AS NUM_REG, SUM(IF(COALESCE(CAST(X."&amp;F198&amp;" AS STRING),'')&lt;&gt;COALESCE(CAST(Y."&amp;F198&amp;"_SIMUL AS STRING),''),1,0)) AS NUM_REG_DIF,'"&amp;MAX('ID1&amp;5'!L:L)+1&amp;"' AS ID_EXEC, CURRENT_TIMESTAMP() AS TIME_EXEC FROM "&amp;I198&amp;" INNER JOIN "&amp;J198&amp;" "&amp;K198),
IF(C198="Validade",+IF(G198="Code List","SELECT '"&amp;UPPER(B198)&amp;"' AS TABELA, '"&amp;UPPER(C198)&amp;"' AS TIPOLOGIA_TESTE,'"&amp;D198&amp;"' AS TABELA_LT,'N/A' AS TABELA_SIMUL,'"&amp;F198&amp;"' AS CAMPO, "&amp;"'${ref_date}' AS REF_DATE, COUNT(*) AS NUM_REG, SUM(IF(TRIM(CAST(X."&amp;F198&amp;" AS STRING))='' OR TRIM(CAST(X."&amp;F198&amp;" AS STRING)) IS NULL OR CAST(X."&amp;F198&amp;" AS STRING) NOT "&amp;H198&amp;",1,0)) AS NUM_REG_DIF,'"&amp;MAX('ID1&amp;5'!K:K)+1&amp;"' AS ID_EXEC, CURRENT_TIMESTAMP() AS TIME_EXEC FROM "&amp;I198,"SELECT '"&amp;UPPER(B198)&amp;"' AS TABELA, '"&amp;UPPER(C198)&amp;"' AS TIPOLOGIA_TESTE,'"&amp;D198&amp;"' AS TABELA_LT,'N/A' AS TABELA_SIMUL,'"&amp;F198&amp;"' AS CAMPO, "&amp;"'${ref_date}' AS REF_DATE, COUNT(*) AS NUM_REG, SUM(IF(TRIM(CAST(X."&amp;F198&amp;" AS STRING))='' OR TRIM(CAST(X."&amp;F198&amp;" AS STRING)) IS NULL,1,0)) AS NUM_REG_DIF,'"&amp;MAX('ID1&amp;5'!K:K)+1&amp;"' AS ID_EXEC, CURRENT_TIMESTAMP() AS TIME_EXEC FROM "&amp;I198),
IF(C198="Caracteres Especiais",+"SELECT '"&amp;UPPER(B198)&amp;"' AS TABELA, '"&amp;UPPER(C198)&amp;"' AS TIPOLOGIA_TESTE,'"&amp;D198&amp;"' AS TABELA_LT,'N/A' AS TABELA_SIMUL,'"&amp;F198&amp;"' AS CAMPO, "&amp;"'${ref_date}' AS REF_DATE, COUNT(*) AS NUM_REG, SUM(IF(INSTR(CAST(X."&amp;F198&amp;" AS STRING),'#')&gt;0 OR INSTR(CAST(X."&amp;F198&amp;" AS STRING),'*')&gt;0 OR INSTR(CAST(X."&amp;F198&amp;" AS STRING),'`')&gt;0 OR INSTR(CAST(X."&amp;F198&amp;" AS STRING),'´')&gt;0 OR INSTR(CAST(X."&amp;F198&amp;" AS STRING),'{')&gt;0 OR INSTR(CAST(X."&amp;F198&amp;" AS STRING),'}')&gt;0 OR INSTR(CAST(X."&amp;F198&amp;" AS STRING),'[')&gt;0 OR INSTR(CAST(X."&amp;F198&amp;" AS STRING),'')&gt;0 OR INSTR(CAST(X."&amp;F198&amp;" AS STRING),']')&gt;0 OR INSTR(CAST(X."&amp;F198&amp;" AS STRING),'?')&gt;0 OR INSTR(CAST(X."&amp;F198&amp;" AS STRING),'!')&gt;0 OR INSTR(CAST(X."&amp;F198&amp;" AS STRING),'$')&gt;0 OR INSTR(CAST(X."&amp;F198&amp;" AS STRING),'%')&gt;0 OR INSTR(CAST(X."&amp;F198&amp;" AS STRING),'&amp;')&gt;0 OR INSTR(CAST(X."&amp;F198&amp;" AS STRING),'+')&gt;0,1,0)) AS NUM_REG_DIF,'"&amp;MAX('ID1&amp;5'!K:K)+1&amp;"' AS ID_EXEC, CURRENT_TIMESTAMP() AS TIME_EXEC FROM "&amp;I198,
IF(C198="Missings",+"SELECT '"&amp;UPPER(B198)&amp;"' AS TABELA, '"&amp;UPPER(C198)&amp;"' AS TIPOLOGIA_TESTE,'"&amp;D198&amp;"' AS TABELA_LT,'N/A' AS TABELA_SIMUL,'"&amp;F198&amp;"' AS CAMPO, "&amp;"'${ref_date}' AS REF_DATE, COUNT(*) AS NUM_REG, SUM(IF(TRIM(CAST(X."&amp;F198&amp;" AS STRING)) IN ('0000-00-00','0001-01-01','9999-12-31','MISS','00000','99999999999','99999999999.00','99999999999.000000'),1,0)) AS NUM_REG_DIF,'"&amp;MAX('ID1&amp;5'!K:K)+1&amp;"' AS ID_EXEC, CURRENT_TIMESTAMP() AS TIME_EXEC FROM "&amp;I198,
IF(C198="Not applicable",+"SELECT '"&amp;UPPER(B198)&amp;"' AS TABELA, '"&amp;UPPER(C198)&amp;"' AS TIPOLOGIA_TESTE,'"&amp;D198&amp;"' AS TABELA_LT,'N/A' AS TABELA_SIMUL,'"&amp;F198&amp;"' AS CAMPO, "&amp;"'${ref_date}' AS REF_DATE, COUNT(*) AS NUM_REG, SUM(IF(TRIM(CAST(X."&amp;F198&amp;" AS STRING)) IN ('N/A','11111111111','11111111111.00','11111111111.000000','1111-11-11'),1,0)) AS NUM_REG_DIF,'"&amp;MAX('ID1&amp;5'!K:K)+1&amp;"' AS ID_EXEC, CURRENT_TIMESTAMP() AS TIME_EXEC FROM "&amp;I198,
IF(C198="Valores extremos",+"SELECT '"&amp;UPPER(B198)&amp;"' AS TABELA, '"&amp;UPPER(C198)&amp;"' AS TIPOLOGIA_TESTE,'"&amp;D198&amp;"' AS TABELA_LT,'N/A' AS TABELA_SIMUL,'"&amp;F198&amp;"' AS CAMPO, "&amp;"'${ref_date}' AS REF_DATE, CAST(MIN("&amp;F198&amp;") AS STRING) AS VALOR_MIN, CAST(MAX("&amp;F198&amp;") AS STRING) AS VALOR_MAX,'"&amp;MAX('ID1&amp;5'!K:K)+1&amp;"' AS ID_EXEC, CURRENT_TIMESTAMP() AS TIME_EXEC FROM "&amp;MID(I198,1,LEN(I198)-2)&amp;" AND CAST("&amp;F198&amp;"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TABELA_SIMUL,'DT_INCPTN' AS CAMPO, '${ref_date}' AS REF_DATE, COUNT(*) AS NUM_REG, SUM(IF(INSTR(CAST(X.DT_INCPTN AS STRING),'#')&gt;0 OR INSTR(CAST(X.DT_INCPTN AS STRING),'*')&gt;0 OR INSTR(CAST(X.DT_INCPTN AS STRING),'`')&gt;0 OR INSTR(CAST(X.DT_INCPTN AS STRING),'´')&gt;0 OR INSTR(CAST(X.DT_INCPTN AS STRING),'{')&gt;0 OR INSTR(CAST(X.DT_INCPTN AS STRING),'}')&gt;0 OR INSTR(CAST(X.DT_INCPTN AS STRING),'[')&gt;0 OR INSTR(CAST(X.DT_INCPTN AS STRING),'')&gt;0 OR INSTR(CAST(X.DT_INCPTN AS STRING),']')&gt;0 OR INSTR(CAST(X.DT_INCPTN AS STRING),'?')&gt;0 OR INSTR(CAST(X.DT_INCPTN AS STRING),'!')&gt;0 OR INSTR(CAST(X.DT_INCPTN AS STRING),'$')&gt;0 OR INSTR(CAST(X.DT_INCPTN AS STRING),'%')&gt;0 OR INSTR(CAST(X.DT_INCPTN AS STRING),'&amp;')&gt;0 OR INSTR(CAST(X.DT_INCPTN AS STRING),'+')&gt;0,1,0)) AS NUM_REG_DIF,'10' AS ID_EXEC, CURRENT_TIMESTAMP() AS TIME_EXEC FROM (SELECT instrmnt_id, DT_INCPTN FROM BU_LOANTAPE_WORK.LT002_INSTRUMENT WHERE ref_date='${ref_date}' AND nome_perimetro='Individual Corporativo' AND segmento='ESTR' AND ambito='PILAR3')X</v>
      </c>
      <c r="M198" s="43" t="str">
        <f t="shared" si="3"/>
        <v>UNION ALL SELECT 'INSTRUMENT' AS TABELA, 'CARACTERES ESPECIAIS' AS TIPOLOGIA_TESTE,'BU_LOANTAPE_WORK.LT002_INSTRUMENT' AS TABELA_LT,'N/A' AS TABELA_SIMUL,'DT_INCPTN' AS CAMPO, '${ref_date}' AS REF_DATE, COUNT(*) AS NUM_REG, SUM(IF(INSTR(CAST(X.DT_INCPTN AS STRING),'#')&gt;0 OR INSTR(CAST(X.DT_INCPTN AS STRING),'*')&gt;0 OR INSTR(CAST(X.DT_INCPTN AS STRING),'`')&gt;0 OR INSTR(CAST(X.DT_INCPTN AS STRING),'´')&gt;0 OR INSTR(CAST(X.DT_INCPTN AS STRING),'{')&gt;0 OR INSTR(CAST(X.DT_INCPTN AS STRING),'}')&gt;0 OR INSTR(CAST(X.DT_INCPTN AS STRING),'[')&gt;0 OR INSTR(CAST(X.DT_INCPTN AS STRING),'')&gt;0 OR INSTR(CAST(X.DT_INCPTN AS STRING),']')&gt;0 OR INSTR(CAST(X.DT_INCPTN AS STRING),'?')&gt;0 OR INSTR(CAST(X.DT_INCPTN AS STRING),'!')&gt;0 OR INSTR(CAST(X.DT_INCPTN AS STRING),'$')&gt;0 OR INSTR(CAST(X.DT_INCPTN AS STRING),'%')&gt;0 OR INSTR(CAST(X.DT_INCPTN AS STRING),'&amp;')&gt;0 OR INSTR(CAST(X.DT_INCPTN AS STRING),'+')&gt;0,1,0)) AS NUM_REG_DIF,'10' AS ID_EXEC, CURRENT_TIMESTAMP() AS TIME_EXEC FROM (SELECT instrmnt_id, DT_INCPTN FROM BU_LOANTAPE_WORK.LT002_INSTRUMENT WHERE ref_date='${ref_date}' AND nome_perimetro='Individual Corporativo' AND segmento='ESTR' AND ambito='PILAR3')X</v>
      </c>
      <c r="N198" s="45" t="s">
        <v>13</v>
      </c>
    </row>
    <row r="199" spans="2:14">
      <c r="B199" s="41" t="s">
        <v>27</v>
      </c>
      <c r="C199" s="41" t="s">
        <v>76</v>
      </c>
      <c r="D199" s="41" t="str">
        <f>+UPPER('0. Instruções'!$D$33&amp;"."&amp;VLOOKUP(B199,'0. Instruções'!$C$27:$D$31,2,FALSE))</f>
        <v>BU_LOANTAPE_WORK.LT002_INSTRUMENT</v>
      </c>
      <c r="E199" s="41" t="str">
        <f>+UPPER('0. Instruções'!$D$34&amp;"."&amp;VLOOKUP(B199,'0. Instruções'!$C$27:$E$31,3,FALSE))</f>
        <v>BU_LOANTAPE_WORK.LT002_INSTRUMENT_P3_NOV24</v>
      </c>
      <c r="F199" s="41" t="s">
        <v>159</v>
      </c>
      <c r="G199" s="41" t="s">
        <v>13</v>
      </c>
      <c r="H199" s="41"/>
      <c r="I199" s="41" t="str">
        <f>"(SELECT "&amp;VLOOKUP(B199,'0. Instruções'!$C$27:$G$31,4,FALSE)&amp;", "&amp;F199&amp;" FROM "&amp;D199&amp;" WHERE "&amp;'0. Instruções'!$D$40&amp;")X"</f>
        <v>(SELECT instrmnt_id, DFLT_STTS_INSTRMNT FROM BU_LOANTAPE_WORK.LT002_INSTRUMENT WHERE ref_date='${ref_date}' AND nome_perimetro='Individual Corporativo' AND segmento='ESTR' AND ambito='PILAR3')X</v>
      </c>
      <c r="J199" s="41" t="str">
        <f>"(SELECT "&amp;VLOOKUP(B199,'0. Instruções'!$C$27:$G$31,4,FALSE)&amp;" AS "&amp;VLOOKUP(B199,'0. Instruções'!$C$27:$G$31,4,FALSE)&amp;"_SIMUL, "&amp;F199&amp;" AS "&amp;F199&amp;"_SIMUL FROM "&amp;E199&amp;")Y"</f>
        <v>(SELECT instrmnt_id AS instrmnt_id_SIMUL, DFLT_STTS_INSTRMNT AS DFLT_STTS_INSTRMNT_SIMUL FROM BU_LOANTAPE_WORK.LT002_INSTRUMENT_P3_NOV24)Y</v>
      </c>
      <c r="K199" s="42" t="str">
        <f>+UPPER("ON X."&amp;VLOOKUP(B199,'0. Instruções'!$C$27:$G$31,4,FALSE)&amp;"=Y."&amp;VLOOKUP(B199,'0. Instruções'!$C$27:$G$31,4,FALSE)&amp;"_SIMUL")</f>
        <v>ON X.INSTRMNT_ID=Y.INSTRMNT_ID_SIMUL</v>
      </c>
      <c r="L199" s="42" t="str">
        <f>+IF(C199="Coerência", +IF(LEFT(G199,5)="FLOAT","SELECT '"&amp;UPPER(B199)&amp;"' AS TABELA, '"&amp;UPPER(C199)&amp;"' AS TIPOLOGIA_TESTE,'"&amp;D199&amp;"' AS TABELA_LT,'"&amp;E199&amp;"' AS TABELA_SIMUL,'"&amp;F199&amp;"' AS CAMPO, "&amp;"'${ref_date}' AS REF_DATE, COUNT(*) AS NUM_REG, SUM(IF((ABS(COALESCE(X."&amp;F199&amp;",0)-COALESCE(Y."&amp;F199&amp;"_SIMUL,0))&gt;0.0000000001) OR (X."&amp;F199&amp;" IS NULL AND Y."&amp;F199&amp;"_SIMUL IS NOT NULL ) OR (X."&amp;F199&amp;" IS NOT NULL AND Y."&amp;F199&amp;"_SIMUL IS NULL),1,0)) AS NUM_REG_DIF,'"&amp;MAX('ID1&amp;5'!K:K)+1&amp;"' AS ID_EXEC, CURRENT_TIMESTAMP() AS TIME_EXEC FROM "&amp;I199&amp;" INNER JOIN "&amp;J199&amp;" "&amp;K199,"SELECT '"&amp;UPPER(B199)&amp;"' AS TABELA, '"&amp;UPPER(C199)&amp;"' AS TIPOLOGIA_TESTE,'"&amp;D199&amp;"' AS TABELA_LT,'"&amp;E199&amp;"' AS TABELA_SIMUL,'"&amp;F199&amp;"' AS CAMPO, "&amp;"'${ref_date}' AS REF_DATE, COUNT(*) AS NUM_REG, SUM(IF(COALESCE(CAST(X."&amp;F199&amp;" AS STRING),'')&lt;&gt;COALESCE(CAST(Y."&amp;F199&amp;"_SIMUL AS STRING),''),1,0)) AS NUM_REG_DIF,'"&amp;MAX('ID1&amp;5'!L:L)+1&amp;"' AS ID_EXEC, CURRENT_TIMESTAMP() AS TIME_EXEC FROM "&amp;I199&amp;" INNER JOIN "&amp;J199&amp;" "&amp;K199),
IF(C199="Validade",+IF(G199="Code List","SELECT '"&amp;UPPER(B199)&amp;"' AS TABELA, '"&amp;UPPER(C199)&amp;"' AS TIPOLOGIA_TESTE,'"&amp;D199&amp;"' AS TABELA_LT,'N/A' AS TABELA_SIMUL,'"&amp;F199&amp;"' AS CAMPO, "&amp;"'${ref_date}' AS REF_DATE, COUNT(*) AS NUM_REG, SUM(IF(TRIM(CAST(X."&amp;F199&amp;" AS STRING))='' OR TRIM(CAST(X."&amp;F199&amp;" AS STRING)) IS NULL OR CAST(X."&amp;F199&amp;" AS STRING) NOT "&amp;H199&amp;",1,0)) AS NUM_REG_DIF,'"&amp;MAX('ID1&amp;5'!K:K)+1&amp;"' AS ID_EXEC, CURRENT_TIMESTAMP() AS TIME_EXEC FROM "&amp;I199,"SELECT '"&amp;UPPER(B199)&amp;"' AS TABELA, '"&amp;UPPER(C199)&amp;"' AS TIPOLOGIA_TESTE,'"&amp;D199&amp;"' AS TABELA_LT,'N/A' AS TABELA_SIMUL,'"&amp;F199&amp;"' AS CAMPO, "&amp;"'${ref_date}' AS REF_DATE, COUNT(*) AS NUM_REG, SUM(IF(TRIM(CAST(X."&amp;F199&amp;" AS STRING))='' OR TRIM(CAST(X."&amp;F199&amp;" AS STRING)) IS NULL,1,0)) AS NUM_REG_DIF,'"&amp;MAX('ID1&amp;5'!K:K)+1&amp;"' AS ID_EXEC, CURRENT_TIMESTAMP() AS TIME_EXEC FROM "&amp;I199),
IF(C199="Caracteres Especiais",+"SELECT '"&amp;UPPER(B199)&amp;"' AS TABELA, '"&amp;UPPER(C199)&amp;"' AS TIPOLOGIA_TESTE,'"&amp;D199&amp;"' AS TABELA_LT,'N/A' AS TABELA_SIMUL,'"&amp;F199&amp;"' AS CAMPO, "&amp;"'${ref_date}' AS REF_DATE, COUNT(*) AS NUM_REG, SUM(IF(INSTR(CAST(X."&amp;F199&amp;" AS STRING),'#')&gt;0 OR INSTR(CAST(X."&amp;F199&amp;" AS STRING),'*')&gt;0 OR INSTR(CAST(X."&amp;F199&amp;" AS STRING),'`')&gt;0 OR INSTR(CAST(X."&amp;F199&amp;" AS STRING),'´')&gt;0 OR INSTR(CAST(X."&amp;F199&amp;" AS STRING),'{')&gt;0 OR INSTR(CAST(X."&amp;F199&amp;" AS STRING),'}')&gt;0 OR INSTR(CAST(X."&amp;F199&amp;" AS STRING),'[')&gt;0 OR INSTR(CAST(X."&amp;F199&amp;" AS STRING),'')&gt;0 OR INSTR(CAST(X."&amp;F199&amp;" AS STRING),']')&gt;0 OR INSTR(CAST(X."&amp;F199&amp;" AS STRING),'?')&gt;0 OR INSTR(CAST(X."&amp;F199&amp;" AS STRING),'!')&gt;0 OR INSTR(CAST(X."&amp;F199&amp;" AS STRING),'$')&gt;0 OR INSTR(CAST(X."&amp;F199&amp;" AS STRING),'%')&gt;0 OR INSTR(CAST(X."&amp;F199&amp;" AS STRING),'&amp;')&gt;0 OR INSTR(CAST(X."&amp;F199&amp;" AS STRING),'+')&gt;0,1,0)) AS NUM_REG_DIF,'"&amp;MAX('ID1&amp;5'!K:K)+1&amp;"' AS ID_EXEC, CURRENT_TIMESTAMP() AS TIME_EXEC FROM "&amp;I199,
IF(C199="Missings",+"SELECT '"&amp;UPPER(B199)&amp;"' AS TABELA, '"&amp;UPPER(C199)&amp;"' AS TIPOLOGIA_TESTE,'"&amp;D199&amp;"' AS TABELA_LT,'N/A' AS TABELA_SIMUL,'"&amp;F199&amp;"' AS CAMPO, "&amp;"'${ref_date}' AS REF_DATE, COUNT(*) AS NUM_REG, SUM(IF(TRIM(CAST(X."&amp;F199&amp;" AS STRING)) IN ('0000-00-00','0001-01-01','9999-12-31','MISS','00000','99999999999','99999999999.00','99999999999.000000'),1,0)) AS NUM_REG_DIF,'"&amp;MAX('ID1&amp;5'!K:K)+1&amp;"' AS ID_EXEC, CURRENT_TIMESTAMP() AS TIME_EXEC FROM "&amp;I199,
IF(C199="Not applicable",+"SELECT '"&amp;UPPER(B199)&amp;"' AS TABELA, '"&amp;UPPER(C199)&amp;"' AS TIPOLOGIA_TESTE,'"&amp;D199&amp;"' AS TABELA_LT,'N/A' AS TABELA_SIMUL,'"&amp;F199&amp;"' AS CAMPO, "&amp;"'${ref_date}' AS REF_DATE, COUNT(*) AS NUM_REG, SUM(IF(TRIM(CAST(X."&amp;F199&amp;" AS STRING)) IN ('N/A','11111111111','11111111111.00','11111111111.000000','1111-11-11'),1,0)) AS NUM_REG_DIF,'"&amp;MAX('ID1&amp;5'!K:K)+1&amp;"' AS ID_EXEC, CURRENT_TIMESTAMP() AS TIME_EXEC FROM "&amp;I199,
IF(C199="Valores extremos",+"SELECT '"&amp;UPPER(B199)&amp;"' AS TABELA, '"&amp;UPPER(C199)&amp;"' AS TIPOLOGIA_TESTE,'"&amp;D199&amp;"' AS TABELA_LT,'N/A' AS TABELA_SIMUL,'"&amp;F199&amp;"' AS CAMPO, "&amp;"'${ref_date}' AS REF_DATE, CAST(MIN("&amp;F199&amp;") AS STRING) AS VALOR_MIN, CAST(MAX("&amp;F199&amp;") AS STRING) AS VALOR_MAX,'"&amp;MAX('ID1&amp;5'!K:K)+1&amp;"' AS ID_EXEC, CURRENT_TIMESTAMP() AS TIME_EXEC FROM "&amp;MID(I199,1,LEN(I199)-2)&amp;" AND CAST("&amp;F199&amp;"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TABELA_SIMUL,'DFLT_STTS_INSTRMNT' AS CAMPO, '${ref_date}' AS REF_DATE, COUNT(*) AS NUM_REG, SUM(IF(INSTR(CAST(X.DFLT_STTS_INSTRMNT AS STRING),'#')&gt;0 OR INSTR(CAST(X.DFLT_STTS_INSTRMNT AS STRING),'*')&gt;0 OR INSTR(CAST(X.DFLT_STTS_INSTRMNT AS STRING),'`')&gt;0 OR INSTR(CAST(X.DFLT_STTS_INSTRMNT AS STRING),'´')&gt;0 OR INSTR(CAST(X.DFLT_STTS_INSTRMNT AS STRING),'{')&gt;0 OR INSTR(CAST(X.DFLT_STTS_INSTRMNT AS STRING),'}')&gt;0 OR INSTR(CAST(X.DFLT_STTS_INSTRMNT AS STRING),'[')&gt;0 OR INSTR(CAST(X.DFLT_STTS_INSTRMNT AS STRING),'')&gt;0 OR INSTR(CAST(X.DFLT_STTS_INSTRMNT AS STRING),']')&gt;0 OR INSTR(CAST(X.DFLT_STTS_INSTRMNT AS STRING),'?')&gt;0 OR INSTR(CAST(X.DFLT_STTS_INSTRMNT AS STRING),'!')&gt;0 OR INSTR(CAST(X.DFLT_STTS_INSTRMNT AS STRING),'$')&gt;0 OR INSTR(CAST(X.DFLT_STTS_INSTRMNT AS STRING),'%')&gt;0 OR INSTR(CAST(X.DFLT_STTS_INSTRMNT AS STRING),'&amp;')&gt;0 OR INSTR(CAST(X.DFLT_STTS_INSTRMNT AS STRING),'+')&gt;0,1,0)) AS NUM_REG_DIF,'10' AS ID_EXEC, CURRENT_TIMESTAMP() AS TIME_EXEC FROM (SELECT instrmnt_id, DFLT_STTS_INSTRMNT FROM BU_LOANTAPE_WORK.LT002_INSTRUMENT WHERE ref_date='${ref_date}' AND nome_perimetro='Individual Corporativo' AND segmento='ESTR' AND ambito='PILAR3')X</v>
      </c>
      <c r="M199" s="43" t="str">
        <f t="shared" si="3"/>
        <v>UNION ALL SELECT 'INSTRUMENT' AS TABELA, 'CARACTERES ESPECIAIS' AS TIPOLOGIA_TESTE,'BU_LOANTAPE_WORK.LT002_INSTRUMENT' AS TABELA_LT,'N/A' AS TABELA_SIMUL,'DFLT_STTS_INSTRMNT' AS CAMPO, '${ref_date}' AS REF_DATE, COUNT(*) AS NUM_REG, SUM(IF(INSTR(CAST(X.DFLT_STTS_INSTRMNT AS STRING),'#')&gt;0 OR INSTR(CAST(X.DFLT_STTS_INSTRMNT AS STRING),'*')&gt;0 OR INSTR(CAST(X.DFLT_STTS_INSTRMNT AS STRING),'`')&gt;0 OR INSTR(CAST(X.DFLT_STTS_INSTRMNT AS STRING),'´')&gt;0 OR INSTR(CAST(X.DFLT_STTS_INSTRMNT AS STRING),'{')&gt;0 OR INSTR(CAST(X.DFLT_STTS_INSTRMNT AS STRING),'}')&gt;0 OR INSTR(CAST(X.DFLT_STTS_INSTRMNT AS STRING),'[')&gt;0 OR INSTR(CAST(X.DFLT_STTS_INSTRMNT AS STRING),'')&gt;0 OR INSTR(CAST(X.DFLT_STTS_INSTRMNT AS STRING),']')&gt;0 OR INSTR(CAST(X.DFLT_STTS_INSTRMNT AS STRING),'?')&gt;0 OR INSTR(CAST(X.DFLT_STTS_INSTRMNT AS STRING),'!')&gt;0 OR INSTR(CAST(X.DFLT_STTS_INSTRMNT AS STRING),'$')&gt;0 OR INSTR(CAST(X.DFLT_STTS_INSTRMNT AS STRING),'%')&gt;0 OR INSTR(CAST(X.DFLT_STTS_INSTRMNT AS STRING),'&amp;')&gt;0 OR INSTR(CAST(X.DFLT_STTS_INSTRMNT AS STRING),'+')&gt;0,1,0)) AS NUM_REG_DIF,'10' AS ID_EXEC, CURRENT_TIMESTAMP() AS TIME_EXEC FROM (SELECT instrmnt_id, DFLT_STTS_INSTRMNT FROM BU_LOANTAPE_WORK.LT002_INSTRUMENT WHERE ref_date='${ref_date}' AND nome_perimetro='Individual Corporativo' AND segmento='ESTR' AND ambito='PILAR3')X</v>
      </c>
      <c r="N199" s="45" t="s">
        <v>13</v>
      </c>
    </row>
    <row r="200" spans="2:14">
      <c r="B200" s="41" t="s">
        <v>27</v>
      </c>
      <c r="C200" s="41" t="s">
        <v>76</v>
      </c>
      <c r="D200" s="41" t="str">
        <f>+UPPER('0. Instruções'!$D$33&amp;"."&amp;VLOOKUP(B200,'0. Instruções'!$C$27:$D$31,2,FALSE))</f>
        <v>BU_LOANTAPE_WORK.LT002_INSTRUMENT</v>
      </c>
      <c r="E200" s="41" t="str">
        <f>+UPPER('0. Instruções'!$D$34&amp;"."&amp;VLOOKUP(B200,'0. Instruções'!$C$27:$E$31,3,FALSE))</f>
        <v>BU_LOANTAPE_WORK.LT002_INSTRUMENT_P3_NOV24</v>
      </c>
      <c r="F200" s="41" t="s">
        <v>160</v>
      </c>
      <c r="G200" s="41" t="s">
        <v>13</v>
      </c>
      <c r="H200" s="41"/>
      <c r="I200" s="41" t="str">
        <f>"(SELECT "&amp;VLOOKUP(B200,'0. Instruções'!$C$27:$G$31,4,FALSE)&amp;", "&amp;F200&amp;" FROM "&amp;D200&amp;" WHERE "&amp;'0. Instruções'!$D$40&amp;")X"</f>
        <v>(SELECT instrmnt_id, IMPRMNT_STTS FROM BU_LOANTAPE_WORK.LT002_INSTRUMENT WHERE ref_date='${ref_date}' AND nome_perimetro='Individual Corporativo' AND segmento='ESTR' AND ambito='PILAR3')X</v>
      </c>
      <c r="J200" s="41" t="str">
        <f>"(SELECT "&amp;VLOOKUP(B200,'0. Instruções'!$C$27:$G$31,4,FALSE)&amp;" AS "&amp;VLOOKUP(B200,'0. Instruções'!$C$27:$G$31,4,FALSE)&amp;"_SIMUL, "&amp;F200&amp;" AS "&amp;F200&amp;"_SIMUL FROM "&amp;E200&amp;")Y"</f>
        <v>(SELECT instrmnt_id AS instrmnt_id_SIMUL, IMPRMNT_STTS AS IMPRMNT_STTS_SIMUL FROM BU_LOANTAPE_WORK.LT002_INSTRUMENT_P3_NOV24)Y</v>
      </c>
      <c r="K200" s="42" t="str">
        <f>+UPPER("ON X."&amp;VLOOKUP(B200,'0. Instruções'!$C$27:$G$31,4,FALSE)&amp;"=Y."&amp;VLOOKUP(B200,'0. Instruções'!$C$27:$G$31,4,FALSE)&amp;"_SIMUL")</f>
        <v>ON X.INSTRMNT_ID=Y.INSTRMNT_ID_SIMUL</v>
      </c>
      <c r="L200" s="42" t="str">
        <f>+IF(C200="Coerência", +IF(LEFT(G200,5)="FLOAT","SELECT '"&amp;UPPER(B200)&amp;"' AS TABELA, '"&amp;UPPER(C200)&amp;"' AS TIPOLOGIA_TESTE,'"&amp;D200&amp;"' AS TABELA_LT,'"&amp;E200&amp;"' AS TABELA_SIMUL,'"&amp;F200&amp;"' AS CAMPO, "&amp;"'${ref_date}' AS REF_DATE, COUNT(*) AS NUM_REG, SUM(IF((ABS(COALESCE(X."&amp;F200&amp;",0)-COALESCE(Y."&amp;F200&amp;"_SIMUL,0))&gt;0.0000000001) OR (X."&amp;F200&amp;" IS NULL AND Y."&amp;F200&amp;"_SIMUL IS NOT NULL ) OR (X."&amp;F200&amp;" IS NOT NULL AND Y."&amp;F200&amp;"_SIMUL IS NULL),1,0)) AS NUM_REG_DIF,'"&amp;MAX('ID1&amp;5'!K:K)+1&amp;"' AS ID_EXEC, CURRENT_TIMESTAMP() AS TIME_EXEC FROM "&amp;I200&amp;" INNER JOIN "&amp;J200&amp;" "&amp;K200,"SELECT '"&amp;UPPER(B200)&amp;"' AS TABELA, '"&amp;UPPER(C200)&amp;"' AS TIPOLOGIA_TESTE,'"&amp;D200&amp;"' AS TABELA_LT,'"&amp;E200&amp;"' AS TABELA_SIMUL,'"&amp;F200&amp;"' AS CAMPO, "&amp;"'${ref_date}' AS REF_DATE, COUNT(*) AS NUM_REG, SUM(IF(COALESCE(CAST(X."&amp;F200&amp;" AS STRING),'')&lt;&gt;COALESCE(CAST(Y."&amp;F200&amp;"_SIMUL AS STRING),''),1,0)) AS NUM_REG_DIF,'"&amp;MAX('ID1&amp;5'!L:L)+1&amp;"' AS ID_EXEC, CURRENT_TIMESTAMP() AS TIME_EXEC FROM "&amp;I200&amp;" INNER JOIN "&amp;J200&amp;" "&amp;K200),
IF(C200="Validade",+IF(G200="Code List","SELECT '"&amp;UPPER(B200)&amp;"' AS TABELA, '"&amp;UPPER(C200)&amp;"' AS TIPOLOGIA_TESTE,'"&amp;D200&amp;"' AS TABELA_LT,'N/A' AS TABELA_SIMUL,'"&amp;F200&amp;"' AS CAMPO, "&amp;"'${ref_date}' AS REF_DATE, COUNT(*) AS NUM_REG, SUM(IF(TRIM(CAST(X."&amp;F200&amp;" AS STRING))='' OR TRIM(CAST(X."&amp;F200&amp;" AS STRING)) IS NULL OR CAST(X."&amp;F200&amp;" AS STRING) NOT "&amp;H200&amp;",1,0)) AS NUM_REG_DIF,'"&amp;MAX('ID1&amp;5'!K:K)+1&amp;"' AS ID_EXEC, CURRENT_TIMESTAMP() AS TIME_EXEC FROM "&amp;I200,"SELECT '"&amp;UPPER(B200)&amp;"' AS TABELA, '"&amp;UPPER(C200)&amp;"' AS TIPOLOGIA_TESTE,'"&amp;D200&amp;"' AS TABELA_LT,'N/A' AS TABELA_SIMUL,'"&amp;F200&amp;"' AS CAMPO, "&amp;"'${ref_date}' AS REF_DATE, COUNT(*) AS NUM_REG, SUM(IF(TRIM(CAST(X."&amp;F200&amp;" AS STRING))='' OR TRIM(CAST(X."&amp;F200&amp;" AS STRING)) IS NULL,1,0)) AS NUM_REG_DIF,'"&amp;MAX('ID1&amp;5'!K:K)+1&amp;"' AS ID_EXEC, CURRENT_TIMESTAMP() AS TIME_EXEC FROM "&amp;I200),
IF(C200="Caracteres Especiais",+"SELECT '"&amp;UPPER(B200)&amp;"' AS TABELA, '"&amp;UPPER(C200)&amp;"' AS TIPOLOGIA_TESTE,'"&amp;D200&amp;"' AS TABELA_LT,'N/A' AS TABELA_SIMUL,'"&amp;F200&amp;"' AS CAMPO, "&amp;"'${ref_date}' AS REF_DATE, COUNT(*) AS NUM_REG, SUM(IF(INSTR(CAST(X."&amp;F200&amp;" AS STRING),'#')&gt;0 OR INSTR(CAST(X."&amp;F200&amp;" AS STRING),'*')&gt;0 OR INSTR(CAST(X."&amp;F200&amp;" AS STRING),'`')&gt;0 OR INSTR(CAST(X."&amp;F200&amp;" AS STRING),'´')&gt;0 OR INSTR(CAST(X."&amp;F200&amp;" AS STRING),'{')&gt;0 OR INSTR(CAST(X."&amp;F200&amp;" AS STRING),'}')&gt;0 OR INSTR(CAST(X."&amp;F200&amp;" AS STRING),'[')&gt;0 OR INSTR(CAST(X."&amp;F200&amp;" AS STRING),'')&gt;0 OR INSTR(CAST(X."&amp;F200&amp;" AS STRING),']')&gt;0 OR INSTR(CAST(X."&amp;F200&amp;" AS STRING),'?')&gt;0 OR INSTR(CAST(X."&amp;F200&amp;" AS STRING),'!')&gt;0 OR INSTR(CAST(X."&amp;F200&amp;" AS STRING),'$')&gt;0 OR INSTR(CAST(X."&amp;F200&amp;" AS STRING),'%')&gt;0 OR INSTR(CAST(X."&amp;F200&amp;" AS STRING),'&amp;')&gt;0 OR INSTR(CAST(X."&amp;F200&amp;" AS STRING),'+')&gt;0,1,0)) AS NUM_REG_DIF,'"&amp;MAX('ID1&amp;5'!K:K)+1&amp;"' AS ID_EXEC, CURRENT_TIMESTAMP() AS TIME_EXEC FROM "&amp;I200,
IF(C200="Missings",+"SELECT '"&amp;UPPER(B200)&amp;"' AS TABELA, '"&amp;UPPER(C200)&amp;"' AS TIPOLOGIA_TESTE,'"&amp;D200&amp;"' AS TABELA_LT,'N/A' AS TABELA_SIMUL,'"&amp;F200&amp;"' AS CAMPO, "&amp;"'${ref_date}' AS REF_DATE, COUNT(*) AS NUM_REG, SUM(IF(TRIM(CAST(X."&amp;F200&amp;" AS STRING)) IN ('0000-00-00','0001-01-01','9999-12-31','MISS','00000','99999999999','99999999999.00','99999999999.000000'),1,0)) AS NUM_REG_DIF,'"&amp;MAX('ID1&amp;5'!K:K)+1&amp;"' AS ID_EXEC, CURRENT_TIMESTAMP() AS TIME_EXEC FROM "&amp;I200,
IF(C200="Not applicable",+"SELECT '"&amp;UPPER(B200)&amp;"' AS TABELA, '"&amp;UPPER(C200)&amp;"' AS TIPOLOGIA_TESTE,'"&amp;D200&amp;"' AS TABELA_LT,'N/A' AS TABELA_SIMUL,'"&amp;F200&amp;"' AS CAMPO, "&amp;"'${ref_date}' AS REF_DATE, COUNT(*) AS NUM_REG, SUM(IF(TRIM(CAST(X."&amp;F200&amp;" AS STRING)) IN ('N/A','11111111111','11111111111.00','11111111111.000000','1111-11-11'),1,0)) AS NUM_REG_DIF,'"&amp;MAX('ID1&amp;5'!K:K)+1&amp;"' AS ID_EXEC, CURRENT_TIMESTAMP() AS TIME_EXEC FROM "&amp;I200,
IF(C200="Valores extremos",+"SELECT '"&amp;UPPER(B200)&amp;"' AS TABELA, '"&amp;UPPER(C200)&amp;"' AS TIPOLOGIA_TESTE,'"&amp;D200&amp;"' AS TABELA_LT,'N/A' AS TABELA_SIMUL,'"&amp;F200&amp;"' AS CAMPO, "&amp;"'${ref_date}' AS REF_DATE, CAST(MIN("&amp;F200&amp;") AS STRING) AS VALOR_MIN, CAST(MAX("&amp;F200&amp;") AS STRING) AS VALOR_MAX,'"&amp;MAX('ID1&amp;5'!K:K)+1&amp;"' AS ID_EXEC, CURRENT_TIMESTAMP() AS TIME_EXEC FROM "&amp;MID(I200,1,LEN(I200)-2)&amp;" AND CAST("&amp;F200&amp;"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TABELA_SIMUL,'IMPRMNT_STTS' AS CAMPO, '${ref_date}' AS REF_DATE, COUNT(*) AS NUM_REG, SUM(IF(INSTR(CAST(X.IMPRMNT_STTS AS STRING),'#')&gt;0 OR INSTR(CAST(X.IMPRMNT_STTS AS STRING),'*')&gt;0 OR INSTR(CAST(X.IMPRMNT_STTS AS STRING),'`')&gt;0 OR INSTR(CAST(X.IMPRMNT_STTS AS STRING),'´')&gt;0 OR INSTR(CAST(X.IMPRMNT_STTS AS STRING),'{')&gt;0 OR INSTR(CAST(X.IMPRMNT_STTS AS STRING),'}')&gt;0 OR INSTR(CAST(X.IMPRMNT_STTS AS STRING),'[')&gt;0 OR INSTR(CAST(X.IMPRMNT_STTS AS STRING),'')&gt;0 OR INSTR(CAST(X.IMPRMNT_STTS AS STRING),']')&gt;0 OR INSTR(CAST(X.IMPRMNT_STTS AS STRING),'?')&gt;0 OR INSTR(CAST(X.IMPRMNT_STTS AS STRING),'!')&gt;0 OR INSTR(CAST(X.IMPRMNT_STTS AS STRING),'$')&gt;0 OR INSTR(CAST(X.IMPRMNT_STTS AS STRING),'%')&gt;0 OR INSTR(CAST(X.IMPRMNT_STTS AS STRING),'&amp;')&gt;0 OR INSTR(CAST(X.IMPRMNT_STTS AS STRING),'+')&gt;0,1,0)) AS NUM_REG_DIF,'10' AS ID_EXEC, CURRENT_TIMESTAMP() AS TIME_EXEC FROM (SELECT instrmnt_id, IMPRMNT_STTS FROM BU_LOANTAPE_WORK.LT002_INSTRUMENT WHERE ref_date='${ref_date}' AND nome_perimetro='Individual Corporativo' AND segmento='ESTR' AND ambito='PILAR3')X</v>
      </c>
      <c r="M200" s="43" t="str">
        <f t="shared" si="3"/>
        <v>UNION ALL SELECT 'INSTRUMENT' AS TABELA, 'CARACTERES ESPECIAIS' AS TIPOLOGIA_TESTE,'BU_LOANTAPE_WORK.LT002_INSTRUMENT' AS TABELA_LT,'N/A' AS TABELA_SIMUL,'IMPRMNT_STTS' AS CAMPO, '${ref_date}' AS REF_DATE, COUNT(*) AS NUM_REG, SUM(IF(INSTR(CAST(X.IMPRMNT_STTS AS STRING),'#')&gt;0 OR INSTR(CAST(X.IMPRMNT_STTS AS STRING),'*')&gt;0 OR INSTR(CAST(X.IMPRMNT_STTS AS STRING),'`')&gt;0 OR INSTR(CAST(X.IMPRMNT_STTS AS STRING),'´')&gt;0 OR INSTR(CAST(X.IMPRMNT_STTS AS STRING),'{')&gt;0 OR INSTR(CAST(X.IMPRMNT_STTS AS STRING),'}')&gt;0 OR INSTR(CAST(X.IMPRMNT_STTS AS STRING),'[')&gt;0 OR INSTR(CAST(X.IMPRMNT_STTS AS STRING),'')&gt;0 OR INSTR(CAST(X.IMPRMNT_STTS AS STRING),']')&gt;0 OR INSTR(CAST(X.IMPRMNT_STTS AS STRING),'?')&gt;0 OR INSTR(CAST(X.IMPRMNT_STTS AS STRING),'!')&gt;0 OR INSTR(CAST(X.IMPRMNT_STTS AS STRING),'$')&gt;0 OR INSTR(CAST(X.IMPRMNT_STTS AS STRING),'%')&gt;0 OR INSTR(CAST(X.IMPRMNT_STTS AS STRING),'&amp;')&gt;0 OR INSTR(CAST(X.IMPRMNT_STTS AS STRING),'+')&gt;0,1,0)) AS NUM_REG_DIF,'10' AS ID_EXEC, CURRENT_TIMESTAMP() AS TIME_EXEC FROM (SELECT instrmnt_id, IMPRMNT_STTS FROM BU_LOANTAPE_WORK.LT002_INSTRUMENT WHERE ref_date='${ref_date}' AND nome_perimetro='Individual Corporativo' AND segmento='ESTR' AND ambito='PILAR3')X</v>
      </c>
      <c r="N200" s="45" t="s">
        <v>13</v>
      </c>
    </row>
    <row r="201" spans="2:14">
      <c r="B201" s="41" t="s">
        <v>27</v>
      </c>
      <c r="C201" s="41" t="s">
        <v>76</v>
      </c>
      <c r="D201" s="41" t="str">
        <f>+UPPER('0. Instruções'!$D$33&amp;"."&amp;VLOOKUP(B201,'0. Instruções'!$C$27:$D$31,2,FALSE))</f>
        <v>BU_LOANTAPE_WORK.LT002_INSTRUMENT</v>
      </c>
      <c r="E201" s="41" t="str">
        <f>+UPPER('0. Instruções'!$D$34&amp;"."&amp;VLOOKUP(B201,'0. Instruções'!$C$27:$E$31,3,FALSE))</f>
        <v>BU_LOANTAPE_WORK.LT002_INSTRUMENT_P3_NOV24</v>
      </c>
      <c r="F201" s="41" t="s">
        <v>161</v>
      </c>
      <c r="G201" s="41" t="s">
        <v>13</v>
      </c>
      <c r="H201" s="41"/>
      <c r="I201" s="41" t="str">
        <f>"(SELECT "&amp;VLOOKUP(B201,'0. Instruções'!$C$27:$G$31,4,FALSE)&amp;", "&amp;F201&amp;" FROM "&amp;D201&amp;" WHERE "&amp;'0. Instruções'!$D$40&amp;")X"</f>
        <v>(SELECT instrmnt_id, PRFRMNG_STTS FROM BU_LOANTAPE_WORK.LT002_INSTRUMENT WHERE ref_date='${ref_date}' AND nome_perimetro='Individual Corporativo' AND segmento='ESTR' AND ambito='PILAR3')X</v>
      </c>
      <c r="J201" s="41" t="str">
        <f>"(SELECT "&amp;VLOOKUP(B201,'0. Instruções'!$C$27:$G$31,4,FALSE)&amp;" AS "&amp;VLOOKUP(B201,'0. Instruções'!$C$27:$G$31,4,FALSE)&amp;"_SIMUL, "&amp;F201&amp;" AS "&amp;F201&amp;"_SIMUL FROM "&amp;E201&amp;")Y"</f>
        <v>(SELECT instrmnt_id AS instrmnt_id_SIMUL, PRFRMNG_STTS AS PRFRMNG_STTS_SIMUL FROM BU_LOANTAPE_WORK.LT002_INSTRUMENT_P3_NOV24)Y</v>
      </c>
      <c r="K201" s="42" t="str">
        <f>+UPPER("ON X."&amp;VLOOKUP(B201,'0. Instruções'!$C$27:$G$31,4,FALSE)&amp;"=Y."&amp;VLOOKUP(B201,'0. Instruções'!$C$27:$G$31,4,FALSE)&amp;"_SIMUL")</f>
        <v>ON X.INSTRMNT_ID=Y.INSTRMNT_ID_SIMUL</v>
      </c>
      <c r="L201" s="42" t="str">
        <f>+IF(C201="Coerência", +IF(LEFT(G201,5)="FLOAT","SELECT '"&amp;UPPER(B201)&amp;"' AS TABELA, '"&amp;UPPER(C201)&amp;"' AS TIPOLOGIA_TESTE,'"&amp;D201&amp;"' AS TABELA_LT,'"&amp;E201&amp;"' AS TABELA_SIMUL,'"&amp;F201&amp;"' AS CAMPO, "&amp;"'${ref_date}' AS REF_DATE, COUNT(*) AS NUM_REG, SUM(IF((ABS(COALESCE(X."&amp;F201&amp;",0)-COALESCE(Y."&amp;F201&amp;"_SIMUL,0))&gt;0.0000000001) OR (X."&amp;F201&amp;" IS NULL AND Y."&amp;F201&amp;"_SIMUL IS NOT NULL ) OR (X."&amp;F201&amp;" IS NOT NULL AND Y."&amp;F201&amp;"_SIMUL IS NULL),1,0)) AS NUM_REG_DIF,'"&amp;MAX('ID1&amp;5'!K:K)+1&amp;"' AS ID_EXEC, CURRENT_TIMESTAMP() AS TIME_EXEC FROM "&amp;I201&amp;" INNER JOIN "&amp;J201&amp;" "&amp;K201,"SELECT '"&amp;UPPER(B201)&amp;"' AS TABELA, '"&amp;UPPER(C201)&amp;"' AS TIPOLOGIA_TESTE,'"&amp;D201&amp;"' AS TABELA_LT,'"&amp;E201&amp;"' AS TABELA_SIMUL,'"&amp;F201&amp;"' AS CAMPO, "&amp;"'${ref_date}' AS REF_DATE, COUNT(*) AS NUM_REG, SUM(IF(COALESCE(CAST(X."&amp;F201&amp;" AS STRING),'')&lt;&gt;COALESCE(CAST(Y."&amp;F201&amp;"_SIMUL AS STRING),''),1,0)) AS NUM_REG_DIF,'"&amp;MAX('ID1&amp;5'!L:L)+1&amp;"' AS ID_EXEC, CURRENT_TIMESTAMP() AS TIME_EXEC FROM "&amp;I201&amp;" INNER JOIN "&amp;J201&amp;" "&amp;K201),
IF(C201="Validade",+IF(G201="Code List","SELECT '"&amp;UPPER(B201)&amp;"' AS TABELA, '"&amp;UPPER(C201)&amp;"' AS TIPOLOGIA_TESTE,'"&amp;D201&amp;"' AS TABELA_LT,'N/A' AS TABELA_SIMUL,'"&amp;F201&amp;"' AS CAMPO, "&amp;"'${ref_date}' AS REF_DATE, COUNT(*) AS NUM_REG, SUM(IF(TRIM(CAST(X."&amp;F201&amp;" AS STRING))='' OR TRIM(CAST(X."&amp;F201&amp;" AS STRING)) IS NULL OR CAST(X."&amp;F201&amp;" AS STRING) NOT "&amp;H201&amp;",1,0)) AS NUM_REG_DIF,'"&amp;MAX('ID1&amp;5'!K:K)+1&amp;"' AS ID_EXEC, CURRENT_TIMESTAMP() AS TIME_EXEC FROM "&amp;I201,"SELECT '"&amp;UPPER(B201)&amp;"' AS TABELA, '"&amp;UPPER(C201)&amp;"' AS TIPOLOGIA_TESTE,'"&amp;D201&amp;"' AS TABELA_LT,'N/A' AS TABELA_SIMUL,'"&amp;F201&amp;"' AS CAMPO, "&amp;"'${ref_date}' AS REF_DATE, COUNT(*) AS NUM_REG, SUM(IF(TRIM(CAST(X."&amp;F201&amp;" AS STRING))='' OR TRIM(CAST(X."&amp;F201&amp;" AS STRING)) IS NULL,1,0)) AS NUM_REG_DIF,'"&amp;MAX('ID1&amp;5'!K:K)+1&amp;"' AS ID_EXEC, CURRENT_TIMESTAMP() AS TIME_EXEC FROM "&amp;I201),
IF(C201="Caracteres Especiais",+"SELECT '"&amp;UPPER(B201)&amp;"' AS TABELA, '"&amp;UPPER(C201)&amp;"' AS TIPOLOGIA_TESTE,'"&amp;D201&amp;"' AS TABELA_LT,'N/A' AS TABELA_SIMUL,'"&amp;F201&amp;"' AS CAMPO, "&amp;"'${ref_date}' AS REF_DATE, COUNT(*) AS NUM_REG, SUM(IF(INSTR(CAST(X."&amp;F201&amp;" AS STRING),'#')&gt;0 OR INSTR(CAST(X."&amp;F201&amp;" AS STRING),'*')&gt;0 OR INSTR(CAST(X."&amp;F201&amp;" AS STRING),'`')&gt;0 OR INSTR(CAST(X."&amp;F201&amp;" AS STRING),'´')&gt;0 OR INSTR(CAST(X."&amp;F201&amp;" AS STRING),'{')&gt;0 OR INSTR(CAST(X."&amp;F201&amp;" AS STRING),'}')&gt;0 OR INSTR(CAST(X."&amp;F201&amp;" AS STRING),'[')&gt;0 OR INSTR(CAST(X."&amp;F201&amp;" AS STRING),'')&gt;0 OR INSTR(CAST(X."&amp;F201&amp;" AS STRING),']')&gt;0 OR INSTR(CAST(X."&amp;F201&amp;" AS STRING),'?')&gt;0 OR INSTR(CAST(X."&amp;F201&amp;" AS STRING),'!')&gt;0 OR INSTR(CAST(X."&amp;F201&amp;" AS STRING),'$')&gt;0 OR INSTR(CAST(X."&amp;F201&amp;" AS STRING),'%')&gt;0 OR INSTR(CAST(X."&amp;F201&amp;" AS STRING),'&amp;')&gt;0 OR INSTR(CAST(X."&amp;F201&amp;" AS STRING),'+')&gt;0,1,0)) AS NUM_REG_DIF,'"&amp;MAX('ID1&amp;5'!K:K)+1&amp;"' AS ID_EXEC, CURRENT_TIMESTAMP() AS TIME_EXEC FROM "&amp;I201,
IF(C201="Missings",+"SELECT '"&amp;UPPER(B201)&amp;"' AS TABELA, '"&amp;UPPER(C201)&amp;"' AS TIPOLOGIA_TESTE,'"&amp;D201&amp;"' AS TABELA_LT,'N/A' AS TABELA_SIMUL,'"&amp;F201&amp;"' AS CAMPO, "&amp;"'${ref_date}' AS REF_DATE, COUNT(*) AS NUM_REG, SUM(IF(TRIM(CAST(X."&amp;F201&amp;" AS STRING)) IN ('0000-00-00','0001-01-01','9999-12-31','MISS','00000','99999999999','99999999999.00','99999999999.000000'),1,0)) AS NUM_REG_DIF,'"&amp;MAX('ID1&amp;5'!K:K)+1&amp;"' AS ID_EXEC, CURRENT_TIMESTAMP() AS TIME_EXEC FROM "&amp;I201,
IF(C201="Not applicable",+"SELECT '"&amp;UPPER(B201)&amp;"' AS TABELA, '"&amp;UPPER(C201)&amp;"' AS TIPOLOGIA_TESTE,'"&amp;D201&amp;"' AS TABELA_LT,'N/A' AS TABELA_SIMUL,'"&amp;F201&amp;"' AS CAMPO, "&amp;"'${ref_date}' AS REF_DATE, COUNT(*) AS NUM_REG, SUM(IF(TRIM(CAST(X."&amp;F201&amp;" AS STRING)) IN ('N/A','11111111111','11111111111.00','11111111111.000000','1111-11-11'),1,0)) AS NUM_REG_DIF,'"&amp;MAX('ID1&amp;5'!K:K)+1&amp;"' AS ID_EXEC, CURRENT_TIMESTAMP() AS TIME_EXEC FROM "&amp;I201,
IF(C201="Valores extremos",+"SELECT '"&amp;UPPER(B201)&amp;"' AS TABELA, '"&amp;UPPER(C201)&amp;"' AS TIPOLOGIA_TESTE,'"&amp;D201&amp;"' AS TABELA_LT,'N/A' AS TABELA_SIMUL,'"&amp;F201&amp;"' AS CAMPO, "&amp;"'${ref_date}' AS REF_DATE, CAST(MIN("&amp;F201&amp;") AS STRING) AS VALOR_MIN, CAST(MAX("&amp;F201&amp;") AS STRING) AS VALOR_MAX,'"&amp;MAX('ID1&amp;5'!K:K)+1&amp;"' AS ID_EXEC, CURRENT_TIMESTAMP() AS TIME_EXEC FROM "&amp;MID(I201,1,LEN(I201)-2)&amp;" AND CAST("&amp;F201&amp;"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TABELA_SIMUL,'PRFRMNG_STTS' AS CAMPO, '${ref_date}' AS REF_DATE, COUNT(*) AS NUM_REG, SUM(IF(INSTR(CAST(X.PRFRMNG_STTS AS STRING),'#')&gt;0 OR INSTR(CAST(X.PRFRMNG_STTS AS STRING),'*')&gt;0 OR INSTR(CAST(X.PRFRMNG_STTS AS STRING),'`')&gt;0 OR INSTR(CAST(X.PRFRMNG_STTS AS STRING),'´')&gt;0 OR INSTR(CAST(X.PRFRMNG_STTS AS STRING),'{')&gt;0 OR INSTR(CAST(X.PRFRMNG_STTS AS STRING),'}')&gt;0 OR INSTR(CAST(X.PRFRMNG_STTS AS STRING),'[')&gt;0 OR INSTR(CAST(X.PRFRMNG_STTS AS STRING),'')&gt;0 OR INSTR(CAST(X.PRFRMNG_STTS AS STRING),']')&gt;0 OR INSTR(CAST(X.PRFRMNG_STTS AS STRING),'?')&gt;0 OR INSTR(CAST(X.PRFRMNG_STTS AS STRING),'!')&gt;0 OR INSTR(CAST(X.PRFRMNG_STTS AS STRING),'$')&gt;0 OR INSTR(CAST(X.PRFRMNG_STTS AS STRING),'%')&gt;0 OR INSTR(CAST(X.PRFRMNG_STTS AS STRING),'&amp;')&gt;0 OR INSTR(CAST(X.PRFRMNG_STTS AS STRING),'+')&gt;0,1,0)) AS NUM_REG_DIF,'10' AS ID_EXEC, CURRENT_TIMESTAMP() AS TIME_EXEC FROM (SELECT instrmnt_id, PRFRMNG_STTS FROM BU_LOANTAPE_WORK.LT002_INSTRUMENT WHERE ref_date='${ref_date}' AND nome_perimetro='Individual Corporativo' AND segmento='ESTR' AND ambito='PILAR3')X</v>
      </c>
      <c r="M201" s="43" t="str">
        <f t="shared" si="3"/>
        <v>UNION ALL SELECT 'INSTRUMENT' AS TABELA, 'CARACTERES ESPECIAIS' AS TIPOLOGIA_TESTE,'BU_LOANTAPE_WORK.LT002_INSTRUMENT' AS TABELA_LT,'N/A' AS TABELA_SIMUL,'PRFRMNG_STTS' AS CAMPO, '${ref_date}' AS REF_DATE, COUNT(*) AS NUM_REG, SUM(IF(INSTR(CAST(X.PRFRMNG_STTS AS STRING),'#')&gt;0 OR INSTR(CAST(X.PRFRMNG_STTS AS STRING),'*')&gt;0 OR INSTR(CAST(X.PRFRMNG_STTS AS STRING),'`')&gt;0 OR INSTR(CAST(X.PRFRMNG_STTS AS STRING),'´')&gt;0 OR INSTR(CAST(X.PRFRMNG_STTS AS STRING),'{')&gt;0 OR INSTR(CAST(X.PRFRMNG_STTS AS STRING),'}')&gt;0 OR INSTR(CAST(X.PRFRMNG_STTS AS STRING),'[')&gt;0 OR INSTR(CAST(X.PRFRMNG_STTS AS STRING),'')&gt;0 OR INSTR(CAST(X.PRFRMNG_STTS AS STRING),']')&gt;0 OR INSTR(CAST(X.PRFRMNG_STTS AS STRING),'?')&gt;0 OR INSTR(CAST(X.PRFRMNG_STTS AS STRING),'!')&gt;0 OR INSTR(CAST(X.PRFRMNG_STTS AS STRING),'$')&gt;0 OR INSTR(CAST(X.PRFRMNG_STTS AS STRING),'%')&gt;0 OR INSTR(CAST(X.PRFRMNG_STTS AS STRING),'&amp;')&gt;0 OR INSTR(CAST(X.PRFRMNG_STTS AS STRING),'+')&gt;0,1,0)) AS NUM_REG_DIF,'10' AS ID_EXEC, CURRENT_TIMESTAMP() AS TIME_EXEC FROM (SELECT instrmnt_id, PRFRMNG_STTS FROM BU_LOANTAPE_WORK.LT002_INSTRUMENT WHERE ref_date='${ref_date}' AND nome_perimetro='Individual Corporativo' AND segmento='ESTR' AND ambito='PILAR3')X</v>
      </c>
      <c r="N201" s="45" t="s">
        <v>13</v>
      </c>
    </row>
    <row r="202" spans="2:14">
      <c r="B202" s="41" t="s">
        <v>27</v>
      </c>
      <c r="C202" s="41" t="s">
        <v>76</v>
      </c>
      <c r="D202" s="41" t="str">
        <f>+UPPER('0. Instruções'!$D$33&amp;"."&amp;VLOOKUP(B202,'0. Instruções'!$C$27:$D$31,2,FALSE))</f>
        <v>BU_LOANTAPE_WORK.LT002_INSTRUMENT</v>
      </c>
      <c r="E202" s="41" t="str">
        <f>+UPPER('0. Instruções'!$D$34&amp;"."&amp;VLOOKUP(B202,'0. Instruções'!$C$27:$E$31,3,FALSE))</f>
        <v>BU_LOANTAPE_WORK.LT002_INSTRUMENT_P3_NOV24</v>
      </c>
      <c r="F202" s="41" t="s">
        <v>162</v>
      </c>
      <c r="G202" s="41" t="s">
        <v>13</v>
      </c>
      <c r="H202" s="41"/>
      <c r="I202" s="41" t="str">
        <f>"(SELECT "&amp;VLOOKUP(B202,'0. Instruções'!$C$27:$G$31,4,FALSE)&amp;", "&amp;F202&amp;" FROM "&amp;D202&amp;" WHERE "&amp;'0. Instruções'!$D$40&amp;")X"</f>
        <v>(SELECT instrmnt_id, PRJCT_FNNC_LN FROM BU_LOANTAPE_WORK.LT002_INSTRUMENT WHERE ref_date='${ref_date}' AND nome_perimetro='Individual Corporativo' AND segmento='ESTR' AND ambito='PILAR3')X</v>
      </c>
      <c r="J202" s="41" t="str">
        <f>"(SELECT "&amp;VLOOKUP(B202,'0. Instruções'!$C$27:$G$31,4,FALSE)&amp;" AS "&amp;VLOOKUP(B202,'0. Instruções'!$C$27:$G$31,4,FALSE)&amp;"_SIMUL, "&amp;F202&amp;" AS "&amp;F202&amp;"_SIMUL FROM "&amp;E202&amp;")Y"</f>
        <v>(SELECT instrmnt_id AS instrmnt_id_SIMUL, PRJCT_FNNC_LN AS PRJCT_FNNC_LN_SIMUL FROM BU_LOANTAPE_WORK.LT002_INSTRUMENT_P3_NOV24)Y</v>
      </c>
      <c r="K202" s="42" t="str">
        <f>+UPPER("ON X."&amp;VLOOKUP(B202,'0. Instruções'!$C$27:$G$31,4,FALSE)&amp;"=Y."&amp;VLOOKUP(B202,'0. Instruções'!$C$27:$G$31,4,FALSE)&amp;"_SIMUL")</f>
        <v>ON X.INSTRMNT_ID=Y.INSTRMNT_ID_SIMUL</v>
      </c>
      <c r="L202" s="42" t="str">
        <f>+IF(C202="Coerência", +IF(LEFT(G202,5)="FLOAT","SELECT '"&amp;UPPER(B202)&amp;"' AS TABELA, '"&amp;UPPER(C202)&amp;"' AS TIPOLOGIA_TESTE,'"&amp;D202&amp;"' AS TABELA_LT,'"&amp;E202&amp;"' AS TABELA_SIMUL,'"&amp;F202&amp;"' AS CAMPO, "&amp;"'${ref_date}' AS REF_DATE, COUNT(*) AS NUM_REG, SUM(IF((ABS(COALESCE(X."&amp;F202&amp;",0)-COALESCE(Y."&amp;F202&amp;"_SIMUL,0))&gt;0.0000000001) OR (X."&amp;F202&amp;" IS NULL AND Y."&amp;F202&amp;"_SIMUL IS NOT NULL ) OR (X."&amp;F202&amp;" IS NOT NULL AND Y."&amp;F202&amp;"_SIMUL IS NULL),1,0)) AS NUM_REG_DIF,'"&amp;MAX('ID1&amp;5'!K:K)+1&amp;"' AS ID_EXEC, CURRENT_TIMESTAMP() AS TIME_EXEC FROM "&amp;I202&amp;" INNER JOIN "&amp;J202&amp;" "&amp;K202,"SELECT '"&amp;UPPER(B202)&amp;"' AS TABELA, '"&amp;UPPER(C202)&amp;"' AS TIPOLOGIA_TESTE,'"&amp;D202&amp;"' AS TABELA_LT,'"&amp;E202&amp;"' AS TABELA_SIMUL,'"&amp;F202&amp;"' AS CAMPO, "&amp;"'${ref_date}' AS REF_DATE, COUNT(*) AS NUM_REG, SUM(IF(COALESCE(CAST(X."&amp;F202&amp;" AS STRING),'')&lt;&gt;COALESCE(CAST(Y."&amp;F202&amp;"_SIMUL AS STRING),''),1,0)) AS NUM_REG_DIF,'"&amp;MAX('ID1&amp;5'!L:L)+1&amp;"' AS ID_EXEC, CURRENT_TIMESTAMP() AS TIME_EXEC FROM "&amp;I202&amp;" INNER JOIN "&amp;J202&amp;" "&amp;K202),
IF(C202="Validade",+IF(G202="Code List","SELECT '"&amp;UPPER(B202)&amp;"' AS TABELA, '"&amp;UPPER(C202)&amp;"' AS TIPOLOGIA_TESTE,'"&amp;D202&amp;"' AS TABELA_LT,'N/A' AS TABELA_SIMUL,'"&amp;F202&amp;"' AS CAMPO, "&amp;"'${ref_date}' AS REF_DATE, COUNT(*) AS NUM_REG, SUM(IF(TRIM(CAST(X."&amp;F202&amp;" AS STRING))='' OR TRIM(CAST(X."&amp;F202&amp;" AS STRING)) IS NULL OR CAST(X."&amp;F202&amp;" AS STRING) NOT "&amp;H202&amp;",1,0)) AS NUM_REG_DIF,'"&amp;MAX('ID1&amp;5'!K:K)+1&amp;"' AS ID_EXEC, CURRENT_TIMESTAMP() AS TIME_EXEC FROM "&amp;I202,"SELECT '"&amp;UPPER(B202)&amp;"' AS TABELA, '"&amp;UPPER(C202)&amp;"' AS TIPOLOGIA_TESTE,'"&amp;D202&amp;"' AS TABELA_LT,'N/A' AS TABELA_SIMUL,'"&amp;F202&amp;"' AS CAMPO, "&amp;"'${ref_date}' AS REF_DATE, COUNT(*) AS NUM_REG, SUM(IF(TRIM(CAST(X."&amp;F202&amp;" AS STRING))='' OR TRIM(CAST(X."&amp;F202&amp;" AS STRING)) IS NULL,1,0)) AS NUM_REG_DIF,'"&amp;MAX('ID1&amp;5'!K:K)+1&amp;"' AS ID_EXEC, CURRENT_TIMESTAMP() AS TIME_EXEC FROM "&amp;I202),
IF(C202="Caracteres Especiais",+"SELECT '"&amp;UPPER(B202)&amp;"' AS TABELA, '"&amp;UPPER(C202)&amp;"' AS TIPOLOGIA_TESTE,'"&amp;D202&amp;"' AS TABELA_LT,'N/A' AS TABELA_SIMUL,'"&amp;F202&amp;"' AS CAMPO, "&amp;"'${ref_date}' AS REF_DATE, COUNT(*) AS NUM_REG, SUM(IF(INSTR(CAST(X."&amp;F202&amp;" AS STRING),'#')&gt;0 OR INSTR(CAST(X."&amp;F202&amp;" AS STRING),'*')&gt;0 OR INSTR(CAST(X."&amp;F202&amp;" AS STRING),'`')&gt;0 OR INSTR(CAST(X."&amp;F202&amp;" AS STRING),'´')&gt;0 OR INSTR(CAST(X."&amp;F202&amp;" AS STRING),'{')&gt;0 OR INSTR(CAST(X."&amp;F202&amp;" AS STRING),'}')&gt;0 OR INSTR(CAST(X."&amp;F202&amp;" AS STRING),'[')&gt;0 OR INSTR(CAST(X."&amp;F202&amp;" AS STRING),'')&gt;0 OR INSTR(CAST(X."&amp;F202&amp;" AS STRING),']')&gt;0 OR INSTR(CAST(X."&amp;F202&amp;" AS STRING),'?')&gt;0 OR INSTR(CAST(X."&amp;F202&amp;" AS STRING),'!')&gt;0 OR INSTR(CAST(X."&amp;F202&amp;" AS STRING),'$')&gt;0 OR INSTR(CAST(X."&amp;F202&amp;" AS STRING),'%')&gt;0 OR INSTR(CAST(X."&amp;F202&amp;" AS STRING),'&amp;')&gt;0 OR INSTR(CAST(X."&amp;F202&amp;" AS STRING),'+')&gt;0,1,0)) AS NUM_REG_DIF,'"&amp;MAX('ID1&amp;5'!K:K)+1&amp;"' AS ID_EXEC, CURRENT_TIMESTAMP() AS TIME_EXEC FROM "&amp;I202,
IF(C202="Missings",+"SELECT '"&amp;UPPER(B202)&amp;"' AS TABELA, '"&amp;UPPER(C202)&amp;"' AS TIPOLOGIA_TESTE,'"&amp;D202&amp;"' AS TABELA_LT,'N/A' AS TABELA_SIMUL,'"&amp;F202&amp;"' AS CAMPO, "&amp;"'${ref_date}' AS REF_DATE, COUNT(*) AS NUM_REG, SUM(IF(TRIM(CAST(X."&amp;F202&amp;" AS STRING)) IN ('0000-00-00','0001-01-01','9999-12-31','MISS','00000','99999999999','99999999999.00','99999999999.000000'),1,0)) AS NUM_REG_DIF,'"&amp;MAX('ID1&amp;5'!K:K)+1&amp;"' AS ID_EXEC, CURRENT_TIMESTAMP() AS TIME_EXEC FROM "&amp;I202,
IF(C202="Not applicable",+"SELECT '"&amp;UPPER(B202)&amp;"' AS TABELA, '"&amp;UPPER(C202)&amp;"' AS TIPOLOGIA_TESTE,'"&amp;D202&amp;"' AS TABELA_LT,'N/A' AS TABELA_SIMUL,'"&amp;F202&amp;"' AS CAMPO, "&amp;"'${ref_date}' AS REF_DATE, COUNT(*) AS NUM_REG, SUM(IF(TRIM(CAST(X."&amp;F202&amp;" AS STRING)) IN ('N/A','11111111111','11111111111.00','11111111111.000000','1111-11-11'),1,0)) AS NUM_REG_DIF,'"&amp;MAX('ID1&amp;5'!K:K)+1&amp;"' AS ID_EXEC, CURRENT_TIMESTAMP() AS TIME_EXEC FROM "&amp;I202,
IF(C202="Valores extremos",+"SELECT '"&amp;UPPER(B202)&amp;"' AS TABELA, '"&amp;UPPER(C202)&amp;"' AS TIPOLOGIA_TESTE,'"&amp;D202&amp;"' AS TABELA_LT,'N/A' AS TABELA_SIMUL,'"&amp;F202&amp;"' AS CAMPO, "&amp;"'${ref_date}' AS REF_DATE, CAST(MIN("&amp;F202&amp;") AS STRING) AS VALOR_MIN, CAST(MAX("&amp;F202&amp;") AS STRING) AS VALOR_MAX,'"&amp;MAX('ID1&amp;5'!K:K)+1&amp;"' AS ID_EXEC, CURRENT_TIMESTAMP() AS TIME_EXEC FROM "&amp;MID(I202,1,LEN(I202)-2)&amp;" AND CAST("&amp;F202&amp;"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TABELA_SIMUL,'PRJCT_FNNC_LN' AS CAMPO, '${ref_date}' AS REF_DATE, COUNT(*) AS NUM_REG, SUM(IF(INSTR(CAST(X.PRJCT_FNNC_LN AS STRING),'#')&gt;0 OR INSTR(CAST(X.PRJCT_FNNC_LN AS STRING),'*')&gt;0 OR INSTR(CAST(X.PRJCT_FNNC_LN AS STRING),'`')&gt;0 OR INSTR(CAST(X.PRJCT_FNNC_LN AS STRING),'´')&gt;0 OR INSTR(CAST(X.PRJCT_FNNC_LN AS STRING),'{')&gt;0 OR INSTR(CAST(X.PRJCT_FNNC_LN AS STRING),'}')&gt;0 OR INSTR(CAST(X.PRJCT_FNNC_LN AS STRING),'[')&gt;0 OR INSTR(CAST(X.PRJCT_FNNC_LN AS STRING),'')&gt;0 OR INSTR(CAST(X.PRJCT_FNNC_LN AS STRING),']')&gt;0 OR INSTR(CAST(X.PRJCT_FNNC_LN AS STRING),'?')&gt;0 OR INSTR(CAST(X.PRJCT_FNNC_LN AS STRING),'!')&gt;0 OR INSTR(CAST(X.PRJCT_FNNC_LN AS STRING),'$')&gt;0 OR INSTR(CAST(X.PRJCT_FNNC_LN AS STRING),'%')&gt;0 OR INSTR(CAST(X.PRJCT_FNNC_LN AS STRING),'&amp;')&gt;0 OR INSTR(CAST(X.PRJCT_FNNC_LN AS STRING),'+')&gt;0,1,0)) AS NUM_REG_DIF,'10' AS ID_EXEC, CURRENT_TIMESTAMP() AS TIME_EXEC FROM (SELECT instrmnt_id, PRJCT_FNNC_LN FROM BU_LOANTAPE_WORK.LT002_INSTRUMENT WHERE ref_date='${ref_date}' AND nome_perimetro='Individual Corporativo' AND segmento='ESTR' AND ambito='PILAR3')X</v>
      </c>
      <c r="M202" s="43" t="str">
        <f t="shared" si="3"/>
        <v>UNION ALL SELECT 'INSTRUMENT' AS TABELA, 'CARACTERES ESPECIAIS' AS TIPOLOGIA_TESTE,'BU_LOANTAPE_WORK.LT002_INSTRUMENT' AS TABELA_LT,'N/A' AS TABELA_SIMUL,'PRJCT_FNNC_LN' AS CAMPO, '${ref_date}' AS REF_DATE, COUNT(*) AS NUM_REG, SUM(IF(INSTR(CAST(X.PRJCT_FNNC_LN AS STRING),'#')&gt;0 OR INSTR(CAST(X.PRJCT_FNNC_LN AS STRING),'*')&gt;0 OR INSTR(CAST(X.PRJCT_FNNC_LN AS STRING),'`')&gt;0 OR INSTR(CAST(X.PRJCT_FNNC_LN AS STRING),'´')&gt;0 OR INSTR(CAST(X.PRJCT_FNNC_LN AS STRING),'{')&gt;0 OR INSTR(CAST(X.PRJCT_FNNC_LN AS STRING),'}')&gt;0 OR INSTR(CAST(X.PRJCT_FNNC_LN AS STRING),'[')&gt;0 OR INSTR(CAST(X.PRJCT_FNNC_LN AS STRING),'')&gt;0 OR INSTR(CAST(X.PRJCT_FNNC_LN AS STRING),']')&gt;0 OR INSTR(CAST(X.PRJCT_FNNC_LN AS STRING),'?')&gt;0 OR INSTR(CAST(X.PRJCT_FNNC_LN AS STRING),'!')&gt;0 OR INSTR(CAST(X.PRJCT_FNNC_LN AS STRING),'$')&gt;0 OR INSTR(CAST(X.PRJCT_FNNC_LN AS STRING),'%')&gt;0 OR INSTR(CAST(X.PRJCT_FNNC_LN AS STRING),'&amp;')&gt;0 OR INSTR(CAST(X.PRJCT_FNNC_LN AS STRING),'+')&gt;0,1,0)) AS NUM_REG_DIF,'10' AS ID_EXEC, CURRENT_TIMESTAMP() AS TIME_EXEC FROM (SELECT instrmnt_id, PRJCT_FNNC_LN FROM BU_LOANTAPE_WORK.LT002_INSTRUMENT WHERE ref_date='${ref_date}' AND nome_perimetro='Individual Corporativo' AND segmento='ESTR' AND ambito='PILAR3')X</v>
      </c>
      <c r="N202" s="45" t="s">
        <v>13</v>
      </c>
    </row>
    <row r="203" spans="2:14">
      <c r="B203" s="41" t="s">
        <v>27</v>
      </c>
      <c r="C203" s="41" t="s">
        <v>76</v>
      </c>
      <c r="D203" s="41" t="str">
        <f>+UPPER('0. Instruções'!$D$33&amp;"."&amp;VLOOKUP(B203,'0. Instruções'!$C$27:$D$31,2,FALSE))</f>
        <v>BU_LOANTAPE_WORK.LT002_INSTRUMENT</v>
      </c>
      <c r="E203" s="41" t="str">
        <f>+UPPER('0. Instruções'!$D$34&amp;"."&amp;VLOOKUP(B203,'0. Instruções'!$C$27:$E$31,3,FALSE))</f>
        <v>BU_LOANTAPE_WORK.LT002_INSTRUMENT_P3_NOV24</v>
      </c>
      <c r="F203" s="41" t="s">
        <v>163</v>
      </c>
      <c r="G203" s="41" t="s">
        <v>13</v>
      </c>
      <c r="H203" s="41"/>
      <c r="I203" s="41" t="str">
        <f>"(SELECT "&amp;VLOOKUP(B203,'0. Instruções'!$C$27:$G$31,4,FALSE)&amp;", "&amp;F203&amp;" FROM "&amp;D203&amp;" WHERE "&amp;'0. Instruções'!$D$40&amp;")X"</f>
        <v>(SELECT instrmnt_id, TYP_INSTRMNT FROM BU_LOANTAPE_WORK.LT002_INSTRUMENT WHERE ref_date='${ref_date}' AND nome_perimetro='Individual Corporativo' AND segmento='ESTR' AND ambito='PILAR3')X</v>
      </c>
      <c r="J203" s="41" t="str">
        <f>"(SELECT "&amp;VLOOKUP(B203,'0. Instruções'!$C$27:$G$31,4,FALSE)&amp;" AS "&amp;VLOOKUP(B203,'0. Instruções'!$C$27:$G$31,4,FALSE)&amp;"_SIMUL, "&amp;F203&amp;" AS "&amp;F203&amp;"_SIMUL FROM "&amp;E203&amp;")Y"</f>
        <v>(SELECT instrmnt_id AS instrmnt_id_SIMUL, TYP_INSTRMNT AS TYP_INSTRMNT_SIMUL FROM BU_LOANTAPE_WORK.LT002_INSTRUMENT_P3_NOV24)Y</v>
      </c>
      <c r="K203" s="42" t="str">
        <f>+UPPER("ON X."&amp;VLOOKUP(B203,'0. Instruções'!$C$27:$G$31,4,FALSE)&amp;"=Y."&amp;VLOOKUP(B203,'0. Instruções'!$C$27:$G$31,4,FALSE)&amp;"_SIMUL")</f>
        <v>ON X.INSTRMNT_ID=Y.INSTRMNT_ID_SIMUL</v>
      </c>
      <c r="L203" s="42" t="str">
        <f>+IF(C203="Coerência", +IF(LEFT(G203,5)="FLOAT","SELECT '"&amp;UPPER(B203)&amp;"' AS TABELA, '"&amp;UPPER(C203)&amp;"' AS TIPOLOGIA_TESTE,'"&amp;D203&amp;"' AS TABELA_LT,'"&amp;E203&amp;"' AS TABELA_SIMUL,'"&amp;F203&amp;"' AS CAMPO, "&amp;"'${ref_date}' AS REF_DATE, COUNT(*) AS NUM_REG, SUM(IF((ABS(COALESCE(X."&amp;F203&amp;",0)-COALESCE(Y."&amp;F203&amp;"_SIMUL,0))&gt;0.0000000001) OR (X."&amp;F203&amp;" IS NULL AND Y."&amp;F203&amp;"_SIMUL IS NOT NULL ) OR (X."&amp;F203&amp;" IS NOT NULL AND Y."&amp;F203&amp;"_SIMUL IS NULL),1,0)) AS NUM_REG_DIF,'"&amp;MAX('ID1&amp;5'!K:K)+1&amp;"' AS ID_EXEC, CURRENT_TIMESTAMP() AS TIME_EXEC FROM "&amp;I203&amp;" INNER JOIN "&amp;J203&amp;" "&amp;K203,"SELECT '"&amp;UPPER(B203)&amp;"' AS TABELA, '"&amp;UPPER(C203)&amp;"' AS TIPOLOGIA_TESTE,'"&amp;D203&amp;"' AS TABELA_LT,'"&amp;E203&amp;"' AS TABELA_SIMUL,'"&amp;F203&amp;"' AS CAMPO, "&amp;"'${ref_date}' AS REF_DATE, COUNT(*) AS NUM_REG, SUM(IF(COALESCE(CAST(X."&amp;F203&amp;" AS STRING),'')&lt;&gt;COALESCE(CAST(Y."&amp;F203&amp;"_SIMUL AS STRING),''),1,0)) AS NUM_REG_DIF,'"&amp;MAX('ID1&amp;5'!L:L)+1&amp;"' AS ID_EXEC, CURRENT_TIMESTAMP() AS TIME_EXEC FROM "&amp;I203&amp;" INNER JOIN "&amp;J203&amp;" "&amp;K203),
IF(C203="Validade",+IF(G203="Code List","SELECT '"&amp;UPPER(B203)&amp;"' AS TABELA, '"&amp;UPPER(C203)&amp;"' AS TIPOLOGIA_TESTE,'"&amp;D203&amp;"' AS TABELA_LT,'N/A' AS TABELA_SIMUL,'"&amp;F203&amp;"' AS CAMPO, "&amp;"'${ref_date}' AS REF_DATE, COUNT(*) AS NUM_REG, SUM(IF(TRIM(CAST(X."&amp;F203&amp;" AS STRING))='' OR TRIM(CAST(X."&amp;F203&amp;" AS STRING)) IS NULL OR CAST(X."&amp;F203&amp;" AS STRING) NOT "&amp;H203&amp;",1,0)) AS NUM_REG_DIF,'"&amp;MAX('ID1&amp;5'!K:K)+1&amp;"' AS ID_EXEC, CURRENT_TIMESTAMP() AS TIME_EXEC FROM "&amp;I203,"SELECT '"&amp;UPPER(B203)&amp;"' AS TABELA, '"&amp;UPPER(C203)&amp;"' AS TIPOLOGIA_TESTE,'"&amp;D203&amp;"' AS TABELA_LT,'N/A' AS TABELA_SIMUL,'"&amp;F203&amp;"' AS CAMPO, "&amp;"'${ref_date}' AS REF_DATE, COUNT(*) AS NUM_REG, SUM(IF(TRIM(CAST(X."&amp;F203&amp;" AS STRING))='' OR TRIM(CAST(X."&amp;F203&amp;" AS STRING)) IS NULL,1,0)) AS NUM_REG_DIF,'"&amp;MAX('ID1&amp;5'!K:K)+1&amp;"' AS ID_EXEC, CURRENT_TIMESTAMP() AS TIME_EXEC FROM "&amp;I203),
IF(C203="Caracteres Especiais",+"SELECT '"&amp;UPPER(B203)&amp;"' AS TABELA, '"&amp;UPPER(C203)&amp;"' AS TIPOLOGIA_TESTE,'"&amp;D203&amp;"' AS TABELA_LT,'N/A' AS TABELA_SIMUL,'"&amp;F203&amp;"' AS CAMPO, "&amp;"'${ref_date}' AS REF_DATE, COUNT(*) AS NUM_REG, SUM(IF(INSTR(CAST(X."&amp;F203&amp;" AS STRING),'#')&gt;0 OR INSTR(CAST(X."&amp;F203&amp;" AS STRING),'*')&gt;0 OR INSTR(CAST(X."&amp;F203&amp;" AS STRING),'`')&gt;0 OR INSTR(CAST(X."&amp;F203&amp;" AS STRING),'´')&gt;0 OR INSTR(CAST(X."&amp;F203&amp;" AS STRING),'{')&gt;0 OR INSTR(CAST(X."&amp;F203&amp;" AS STRING),'}')&gt;0 OR INSTR(CAST(X."&amp;F203&amp;" AS STRING),'[')&gt;0 OR INSTR(CAST(X."&amp;F203&amp;" AS STRING),'')&gt;0 OR INSTR(CAST(X."&amp;F203&amp;" AS STRING),']')&gt;0 OR INSTR(CAST(X."&amp;F203&amp;" AS STRING),'?')&gt;0 OR INSTR(CAST(X."&amp;F203&amp;" AS STRING),'!')&gt;0 OR INSTR(CAST(X."&amp;F203&amp;" AS STRING),'$')&gt;0 OR INSTR(CAST(X."&amp;F203&amp;" AS STRING),'%')&gt;0 OR INSTR(CAST(X."&amp;F203&amp;" AS STRING),'&amp;')&gt;0 OR INSTR(CAST(X."&amp;F203&amp;" AS STRING),'+')&gt;0,1,0)) AS NUM_REG_DIF,'"&amp;MAX('ID1&amp;5'!K:K)+1&amp;"' AS ID_EXEC, CURRENT_TIMESTAMP() AS TIME_EXEC FROM "&amp;I203,
IF(C203="Missings",+"SELECT '"&amp;UPPER(B203)&amp;"' AS TABELA, '"&amp;UPPER(C203)&amp;"' AS TIPOLOGIA_TESTE,'"&amp;D203&amp;"' AS TABELA_LT,'N/A' AS TABELA_SIMUL,'"&amp;F203&amp;"' AS CAMPO, "&amp;"'${ref_date}' AS REF_DATE, COUNT(*) AS NUM_REG, SUM(IF(TRIM(CAST(X."&amp;F203&amp;" AS STRING)) IN ('0000-00-00','0001-01-01','9999-12-31','MISS','00000','99999999999','99999999999.00','99999999999.000000'),1,0)) AS NUM_REG_DIF,'"&amp;MAX('ID1&amp;5'!K:K)+1&amp;"' AS ID_EXEC, CURRENT_TIMESTAMP() AS TIME_EXEC FROM "&amp;I203,
IF(C203="Not applicable",+"SELECT '"&amp;UPPER(B203)&amp;"' AS TABELA, '"&amp;UPPER(C203)&amp;"' AS TIPOLOGIA_TESTE,'"&amp;D203&amp;"' AS TABELA_LT,'N/A' AS TABELA_SIMUL,'"&amp;F203&amp;"' AS CAMPO, "&amp;"'${ref_date}' AS REF_DATE, COUNT(*) AS NUM_REG, SUM(IF(TRIM(CAST(X."&amp;F203&amp;" AS STRING)) IN ('N/A','11111111111','11111111111.00','11111111111.000000','1111-11-11'),1,0)) AS NUM_REG_DIF,'"&amp;MAX('ID1&amp;5'!K:K)+1&amp;"' AS ID_EXEC, CURRENT_TIMESTAMP() AS TIME_EXEC FROM "&amp;I203,
IF(C203="Valores extremos",+"SELECT '"&amp;UPPER(B203)&amp;"' AS TABELA, '"&amp;UPPER(C203)&amp;"' AS TIPOLOGIA_TESTE,'"&amp;D203&amp;"' AS TABELA_LT,'N/A' AS TABELA_SIMUL,'"&amp;F203&amp;"' AS CAMPO, "&amp;"'${ref_date}' AS REF_DATE, CAST(MIN("&amp;F203&amp;") AS STRING) AS VALOR_MIN, CAST(MAX("&amp;F203&amp;") AS STRING) AS VALOR_MAX,'"&amp;MAX('ID1&amp;5'!K:K)+1&amp;"' AS ID_EXEC, CURRENT_TIMESTAMP() AS TIME_EXEC FROM "&amp;MID(I203,1,LEN(I203)-2)&amp;" AND CAST("&amp;F203&amp;"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TABELA_SIMUL,'TYP_INSTRMNT' AS CAMPO, '${ref_date}' AS REF_DATE, COUNT(*) AS NUM_REG, SUM(IF(INSTR(CAST(X.TYP_INSTRMNT AS STRING),'#')&gt;0 OR INSTR(CAST(X.TYP_INSTRMNT AS STRING),'*')&gt;0 OR INSTR(CAST(X.TYP_INSTRMNT AS STRING),'`')&gt;0 OR INSTR(CAST(X.TYP_INSTRMNT AS STRING),'´')&gt;0 OR INSTR(CAST(X.TYP_INSTRMNT AS STRING),'{')&gt;0 OR INSTR(CAST(X.TYP_INSTRMNT AS STRING),'}')&gt;0 OR INSTR(CAST(X.TYP_INSTRMNT AS STRING),'[')&gt;0 OR INSTR(CAST(X.TYP_INSTRMNT AS STRING),'')&gt;0 OR INSTR(CAST(X.TYP_INSTRMNT AS STRING),']')&gt;0 OR INSTR(CAST(X.TYP_INSTRMNT AS STRING),'?')&gt;0 OR INSTR(CAST(X.TYP_INSTRMNT AS STRING),'!')&gt;0 OR INSTR(CAST(X.TYP_INSTRMNT AS STRING),'$')&gt;0 OR INSTR(CAST(X.TYP_INSTRMNT AS STRING),'%')&gt;0 OR INSTR(CAST(X.TYP_INSTRMNT AS STRING),'&amp;')&gt;0 OR INSTR(CAST(X.TYP_INSTRMNT AS STRING),'+')&gt;0,1,0)) AS NUM_REG_DIF,'10' AS ID_EXEC, CURRENT_TIMESTAMP() AS TIME_EXEC FROM (SELECT instrmnt_id, TYP_INSTRMNT FROM BU_LOANTAPE_WORK.LT002_INSTRUMENT WHERE ref_date='${ref_date}' AND nome_perimetro='Individual Corporativo' AND segmento='ESTR' AND ambito='PILAR3')X</v>
      </c>
      <c r="M203" s="43" t="str">
        <f t="shared" si="3"/>
        <v>UNION ALL SELECT 'INSTRUMENT' AS TABELA, 'CARACTERES ESPECIAIS' AS TIPOLOGIA_TESTE,'BU_LOANTAPE_WORK.LT002_INSTRUMENT' AS TABELA_LT,'N/A' AS TABELA_SIMUL,'TYP_INSTRMNT' AS CAMPO, '${ref_date}' AS REF_DATE, COUNT(*) AS NUM_REG, SUM(IF(INSTR(CAST(X.TYP_INSTRMNT AS STRING),'#')&gt;0 OR INSTR(CAST(X.TYP_INSTRMNT AS STRING),'*')&gt;0 OR INSTR(CAST(X.TYP_INSTRMNT AS STRING),'`')&gt;0 OR INSTR(CAST(X.TYP_INSTRMNT AS STRING),'´')&gt;0 OR INSTR(CAST(X.TYP_INSTRMNT AS STRING),'{')&gt;0 OR INSTR(CAST(X.TYP_INSTRMNT AS STRING),'}')&gt;0 OR INSTR(CAST(X.TYP_INSTRMNT AS STRING),'[')&gt;0 OR INSTR(CAST(X.TYP_INSTRMNT AS STRING),'')&gt;0 OR INSTR(CAST(X.TYP_INSTRMNT AS STRING),']')&gt;0 OR INSTR(CAST(X.TYP_INSTRMNT AS STRING),'?')&gt;0 OR INSTR(CAST(X.TYP_INSTRMNT AS STRING),'!')&gt;0 OR INSTR(CAST(X.TYP_INSTRMNT AS STRING),'$')&gt;0 OR INSTR(CAST(X.TYP_INSTRMNT AS STRING),'%')&gt;0 OR INSTR(CAST(X.TYP_INSTRMNT AS STRING),'&amp;')&gt;0 OR INSTR(CAST(X.TYP_INSTRMNT AS STRING),'+')&gt;0,1,0)) AS NUM_REG_DIF,'10' AS ID_EXEC, CURRENT_TIMESTAMP() AS TIME_EXEC FROM (SELECT instrmnt_id, TYP_INSTRMNT FROM BU_LOANTAPE_WORK.LT002_INSTRUMENT WHERE ref_date='${ref_date}' AND nome_perimetro='Individual Corporativo' AND segmento='ESTR' AND ambito='PILAR3')X</v>
      </c>
      <c r="N203" s="45" t="s">
        <v>13</v>
      </c>
    </row>
    <row r="204" spans="2:14">
      <c r="B204" s="41" t="s">
        <v>27</v>
      </c>
      <c r="C204" s="41" t="s">
        <v>76</v>
      </c>
      <c r="D204" s="41" t="str">
        <f>+UPPER('0. Instruções'!$D$33&amp;"."&amp;VLOOKUP(B204,'0. Instruções'!$C$27:$D$31,2,FALSE))</f>
        <v>BU_LOANTAPE_WORK.LT002_INSTRUMENT</v>
      </c>
      <c r="E204" s="41" t="str">
        <f>+UPPER('0. Instruções'!$D$34&amp;"."&amp;VLOOKUP(B204,'0. Instruções'!$C$27:$E$31,3,FALSE))</f>
        <v>BU_LOANTAPE_WORK.LT002_INSTRUMENT_P3_NOV24</v>
      </c>
      <c r="F204" s="41" t="s">
        <v>164</v>
      </c>
      <c r="G204" s="41" t="s">
        <v>13</v>
      </c>
      <c r="H204" s="41"/>
      <c r="I204" s="41" t="str">
        <f>"(SELECT "&amp;VLOOKUP(B204,'0. Instruções'!$C$27:$G$31,4,FALSE)&amp;", "&amp;F204&amp;" FROM "&amp;D204&amp;" WHERE "&amp;'0. Instruções'!$D$40&amp;")X"</f>
        <v>(SELECT instrmnt_id, GRSS_CRRYNG_AMNT_INSTRMNT FROM BU_LOANTAPE_WORK.LT002_INSTRUMENT WHERE ref_date='${ref_date}' AND nome_perimetro='Individual Corporativo' AND segmento='ESTR' AND ambito='PILAR3')X</v>
      </c>
      <c r="J204" s="41" t="str">
        <f>"(SELECT "&amp;VLOOKUP(B204,'0. Instruções'!$C$27:$G$31,4,FALSE)&amp;" AS "&amp;VLOOKUP(B204,'0. Instruções'!$C$27:$G$31,4,FALSE)&amp;"_SIMUL, "&amp;F204&amp;" AS "&amp;F204&amp;"_SIMUL FROM "&amp;E204&amp;")Y"</f>
        <v>(SELECT instrmnt_id AS instrmnt_id_SIMUL, GRSS_CRRYNG_AMNT_INSTRMNT AS GRSS_CRRYNG_AMNT_INSTRMNT_SIMUL FROM BU_LOANTAPE_WORK.LT002_INSTRUMENT_P3_NOV24)Y</v>
      </c>
      <c r="K204" s="42" t="str">
        <f>+UPPER("ON X."&amp;VLOOKUP(B204,'0. Instruções'!$C$27:$G$31,4,FALSE)&amp;"=Y."&amp;VLOOKUP(B204,'0. Instruções'!$C$27:$G$31,4,FALSE)&amp;"_SIMUL")</f>
        <v>ON X.INSTRMNT_ID=Y.INSTRMNT_ID_SIMUL</v>
      </c>
      <c r="L204" s="42" t="str">
        <f>+IF(C204="Coerência", +IF(LEFT(G204,5)="FLOAT","SELECT '"&amp;UPPER(B204)&amp;"' AS TABELA, '"&amp;UPPER(C204)&amp;"' AS TIPOLOGIA_TESTE,'"&amp;D204&amp;"' AS TABELA_LT,'"&amp;E204&amp;"' AS TABELA_SIMUL,'"&amp;F204&amp;"' AS CAMPO, "&amp;"'${ref_date}' AS REF_DATE, COUNT(*) AS NUM_REG, SUM(IF((ABS(COALESCE(X."&amp;F204&amp;",0)-COALESCE(Y."&amp;F204&amp;"_SIMUL,0))&gt;0.0000000001) OR (X."&amp;F204&amp;" IS NULL AND Y."&amp;F204&amp;"_SIMUL IS NOT NULL ) OR (X."&amp;F204&amp;" IS NOT NULL AND Y."&amp;F204&amp;"_SIMUL IS NULL),1,0)) AS NUM_REG_DIF,'"&amp;MAX('ID1&amp;5'!K:K)+1&amp;"' AS ID_EXEC, CURRENT_TIMESTAMP() AS TIME_EXEC FROM "&amp;I204&amp;" INNER JOIN "&amp;J204&amp;" "&amp;K204,"SELECT '"&amp;UPPER(B204)&amp;"' AS TABELA, '"&amp;UPPER(C204)&amp;"' AS TIPOLOGIA_TESTE,'"&amp;D204&amp;"' AS TABELA_LT,'"&amp;E204&amp;"' AS TABELA_SIMUL,'"&amp;F204&amp;"' AS CAMPO, "&amp;"'${ref_date}' AS REF_DATE, COUNT(*) AS NUM_REG, SUM(IF(COALESCE(CAST(X."&amp;F204&amp;" AS STRING),'')&lt;&gt;COALESCE(CAST(Y."&amp;F204&amp;"_SIMUL AS STRING),''),1,0)) AS NUM_REG_DIF,'"&amp;MAX('ID1&amp;5'!L:L)+1&amp;"' AS ID_EXEC, CURRENT_TIMESTAMP() AS TIME_EXEC FROM "&amp;I204&amp;" INNER JOIN "&amp;J204&amp;" "&amp;K204),
IF(C204="Validade",+IF(G204="Code List","SELECT '"&amp;UPPER(B204)&amp;"' AS TABELA, '"&amp;UPPER(C204)&amp;"' AS TIPOLOGIA_TESTE,'"&amp;D204&amp;"' AS TABELA_LT,'N/A' AS TABELA_SIMUL,'"&amp;F204&amp;"' AS CAMPO, "&amp;"'${ref_date}' AS REF_DATE, COUNT(*) AS NUM_REG, SUM(IF(TRIM(CAST(X."&amp;F204&amp;" AS STRING))='' OR TRIM(CAST(X."&amp;F204&amp;" AS STRING)) IS NULL OR CAST(X."&amp;F204&amp;" AS STRING) NOT "&amp;H204&amp;",1,0)) AS NUM_REG_DIF,'"&amp;MAX('ID1&amp;5'!K:K)+1&amp;"' AS ID_EXEC, CURRENT_TIMESTAMP() AS TIME_EXEC FROM "&amp;I204,"SELECT '"&amp;UPPER(B204)&amp;"' AS TABELA, '"&amp;UPPER(C204)&amp;"' AS TIPOLOGIA_TESTE,'"&amp;D204&amp;"' AS TABELA_LT,'N/A' AS TABELA_SIMUL,'"&amp;F204&amp;"' AS CAMPO, "&amp;"'${ref_date}' AS REF_DATE, COUNT(*) AS NUM_REG, SUM(IF(TRIM(CAST(X."&amp;F204&amp;" AS STRING))='' OR TRIM(CAST(X."&amp;F204&amp;" AS STRING)) IS NULL,1,0)) AS NUM_REG_DIF,'"&amp;MAX('ID1&amp;5'!K:K)+1&amp;"' AS ID_EXEC, CURRENT_TIMESTAMP() AS TIME_EXEC FROM "&amp;I204),
IF(C204="Caracteres Especiais",+"SELECT '"&amp;UPPER(B204)&amp;"' AS TABELA, '"&amp;UPPER(C204)&amp;"' AS TIPOLOGIA_TESTE,'"&amp;D204&amp;"' AS TABELA_LT,'N/A' AS TABELA_SIMUL,'"&amp;F204&amp;"' AS CAMPO, "&amp;"'${ref_date}' AS REF_DATE, COUNT(*) AS NUM_REG, SUM(IF(INSTR(CAST(X."&amp;F204&amp;" AS STRING),'#')&gt;0 OR INSTR(CAST(X."&amp;F204&amp;" AS STRING),'*')&gt;0 OR INSTR(CAST(X."&amp;F204&amp;" AS STRING),'`')&gt;0 OR INSTR(CAST(X."&amp;F204&amp;" AS STRING),'´')&gt;0 OR INSTR(CAST(X."&amp;F204&amp;" AS STRING),'{')&gt;0 OR INSTR(CAST(X."&amp;F204&amp;" AS STRING),'}')&gt;0 OR INSTR(CAST(X."&amp;F204&amp;" AS STRING),'[')&gt;0 OR INSTR(CAST(X."&amp;F204&amp;" AS STRING),'')&gt;0 OR INSTR(CAST(X."&amp;F204&amp;" AS STRING),']')&gt;0 OR INSTR(CAST(X."&amp;F204&amp;" AS STRING),'?')&gt;0 OR INSTR(CAST(X."&amp;F204&amp;" AS STRING),'!')&gt;0 OR INSTR(CAST(X."&amp;F204&amp;" AS STRING),'$')&gt;0 OR INSTR(CAST(X."&amp;F204&amp;" AS STRING),'%')&gt;0 OR INSTR(CAST(X."&amp;F204&amp;" AS STRING),'&amp;')&gt;0 OR INSTR(CAST(X."&amp;F204&amp;" AS STRING),'+')&gt;0,1,0)) AS NUM_REG_DIF,'"&amp;MAX('ID1&amp;5'!K:K)+1&amp;"' AS ID_EXEC, CURRENT_TIMESTAMP() AS TIME_EXEC FROM "&amp;I204,
IF(C204="Missings",+"SELECT '"&amp;UPPER(B204)&amp;"' AS TABELA, '"&amp;UPPER(C204)&amp;"' AS TIPOLOGIA_TESTE,'"&amp;D204&amp;"' AS TABELA_LT,'N/A' AS TABELA_SIMUL,'"&amp;F204&amp;"' AS CAMPO, "&amp;"'${ref_date}' AS REF_DATE, COUNT(*) AS NUM_REG, SUM(IF(TRIM(CAST(X."&amp;F204&amp;" AS STRING)) IN ('0000-00-00','0001-01-01','9999-12-31','MISS','00000','99999999999','99999999999.00','99999999999.000000'),1,0)) AS NUM_REG_DIF,'"&amp;MAX('ID1&amp;5'!K:K)+1&amp;"' AS ID_EXEC, CURRENT_TIMESTAMP() AS TIME_EXEC FROM "&amp;I204,
IF(C204="Not applicable",+"SELECT '"&amp;UPPER(B204)&amp;"' AS TABELA, '"&amp;UPPER(C204)&amp;"' AS TIPOLOGIA_TESTE,'"&amp;D204&amp;"' AS TABELA_LT,'N/A' AS TABELA_SIMUL,'"&amp;F204&amp;"' AS CAMPO, "&amp;"'${ref_date}' AS REF_DATE, COUNT(*) AS NUM_REG, SUM(IF(TRIM(CAST(X."&amp;F204&amp;" AS STRING)) IN ('N/A','11111111111','11111111111.00','11111111111.000000','1111-11-11'),1,0)) AS NUM_REG_DIF,'"&amp;MAX('ID1&amp;5'!K:K)+1&amp;"' AS ID_EXEC, CURRENT_TIMESTAMP() AS TIME_EXEC FROM "&amp;I204,
IF(C204="Valores extremos",+"SELECT '"&amp;UPPER(B204)&amp;"' AS TABELA, '"&amp;UPPER(C204)&amp;"' AS TIPOLOGIA_TESTE,'"&amp;D204&amp;"' AS TABELA_LT,'N/A' AS TABELA_SIMUL,'"&amp;F204&amp;"' AS CAMPO, "&amp;"'${ref_date}' AS REF_DATE, CAST(MIN("&amp;F204&amp;") AS STRING) AS VALOR_MIN, CAST(MAX("&amp;F204&amp;") AS STRING) AS VALOR_MAX,'"&amp;MAX('ID1&amp;5'!K:K)+1&amp;"' AS ID_EXEC, CURRENT_TIMESTAMP() AS TIME_EXEC FROM "&amp;MID(I204,1,LEN(I204)-2)&amp;" AND CAST("&amp;F204&amp;"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TABELA_SIMUL,'GRSS_CRRYNG_AMNT_INSTRMNT' AS CAMPO, '${ref_date}' AS REF_DATE, COUNT(*) AS NUM_REG, SUM(IF(INSTR(CAST(X.GRSS_CRRYNG_AMNT_INSTRMNT AS STRING),'#')&gt;0 OR INSTR(CAST(X.GRSS_CRRYNG_AMNT_INSTRMNT AS STRING),'*')&gt;0 OR INSTR(CAST(X.GRSS_CRRYNG_AMNT_INSTRMNT AS STRING),'`')&gt;0 OR INSTR(CAST(X.GRSS_CRRYNG_AMNT_INSTRMNT AS STRING),'´')&gt;0 OR INSTR(CAST(X.GRSS_CRRYNG_AMNT_INSTRMNT AS STRING),'{')&gt;0 OR INSTR(CAST(X.GRSS_CRRYNG_AMNT_INSTRMNT AS STRING),'}')&gt;0 OR INSTR(CAST(X.GRSS_CRRYNG_AMNT_INSTRMNT AS STRING),'[')&gt;0 OR INSTR(CAST(X.GRSS_CRRYNG_AMNT_INSTRMNT AS STRING),'')&gt;0 OR INSTR(CAST(X.GRSS_CRRYNG_AMNT_INSTRMNT AS STRING),']')&gt;0 OR INSTR(CAST(X.GRSS_CRRYNG_AMNT_INSTRMNT AS STRING),'?')&gt;0 OR INSTR(CAST(X.GRSS_CRRYNG_AMNT_INSTRMNT AS STRING),'!')&gt;0 OR INSTR(CAST(X.GRSS_CRRYNG_AMNT_INSTRMNT AS STRING),'$')&gt;0 OR INSTR(CAST(X.GRSS_CRRYNG_AMNT_INSTRMNT AS STRING),'%')&gt;0 OR INSTR(CAST(X.GRSS_CRRYNG_AMNT_INSTRMNT AS STRING),'&amp;')&gt;0 OR INSTR(CAST(X.GRSS_CRRYNG_AMNT_INSTRMNT AS STRING),'+')&gt;0,1,0)) AS NUM_REG_DIF,'10' AS ID_EXEC, CURRENT_TIMESTAMP() AS TIME_EXEC FROM (SELECT instrmnt_id, GRSS_CRRYNG_AMNT_INSTRMNT FROM BU_LOANTAPE_WORK.LT002_INSTRUMENT WHERE ref_date='${ref_date}' AND nome_perimetro='Individual Corporativo' AND segmento='ESTR' AND ambito='PILAR3')X</v>
      </c>
      <c r="M204" s="43" t="str">
        <f t="shared" si="3"/>
        <v>UNION ALL SELECT 'INSTRUMENT' AS TABELA, 'CARACTERES ESPECIAIS' AS TIPOLOGIA_TESTE,'BU_LOANTAPE_WORK.LT002_INSTRUMENT' AS TABELA_LT,'N/A' AS TABELA_SIMUL,'GRSS_CRRYNG_AMNT_INSTRMNT' AS CAMPO, '${ref_date}' AS REF_DATE, COUNT(*) AS NUM_REG, SUM(IF(INSTR(CAST(X.GRSS_CRRYNG_AMNT_INSTRMNT AS STRING),'#')&gt;0 OR INSTR(CAST(X.GRSS_CRRYNG_AMNT_INSTRMNT AS STRING),'*')&gt;0 OR INSTR(CAST(X.GRSS_CRRYNG_AMNT_INSTRMNT AS STRING),'`')&gt;0 OR INSTR(CAST(X.GRSS_CRRYNG_AMNT_INSTRMNT AS STRING),'´')&gt;0 OR INSTR(CAST(X.GRSS_CRRYNG_AMNT_INSTRMNT AS STRING),'{')&gt;0 OR INSTR(CAST(X.GRSS_CRRYNG_AMNT_INSTRMNT AS STRING),'}')&gt;0 OR INSTR(CAST(X.GRSS_CRRYNG_AMNT_INSTRMNT AS STRING),'[')&gt;0 OR INSTR(CAST(X.GRSS_CRRYNG_AMNT_INSTRMNT AS STRING),'')&gt;0 OR INSTR(CAST(X.GRSS_CRRYNG_AMNT_INSTRMNT AS STRING),']')&gt;0 OR INSTR(CAST(X.GRSS_CRRYNG_AMNT_INSTRMNT AS STRING),'?')&gt;0 OR INSTR(CAST(X.GRSS_CRRYNG_AMNT_INSTRMNT AS STRING),'!')&gt;0 OR INSTR(CAST(X.GRSS_CRRYNG_AMNT_INSTRMNT AS STRING),'$')&gt;0 OR INSTR(CAST(X.GRSS_CRRYNG_AMNT_INSTRMNT AS STRING),'%')&gt;0 OR INSTR(CAST(X.GRSS_CRRYNG_AMNT_INSTRMNT AS STRING),'&amp;')&gt;0 OR INSTR(CAST(X.GRSS_CRRYNG_AMNT_INSTRMNT AS STRING),'+')&gt;0,1,0)) AS NUM_REG_DIF,'10' AS ID_EXEC, CURRENT_TIMESTAMP() AS TIME_EXEC FROM (SELECT instrmnt_id, GRSS_CRRYNG_AMNT_INSTRMNT FROM BU_LOANTAPE_WORK.LT002_INSTRUMENT WHERE ref_date='${ref_date}' AND nome_perimetro='Individual Corporativo' AND segmento='ESTR' AND ambito='PILAR3')X</v>
      </c>
      <c r="N204" s="45" t="s">
        <v>13</v>
      </c>
    </row>
    <row r="205" spans="2:14">
      <c r="B205" s="41" t="s">
        <v>27</v>
      </c>
      <c r="C205" s="41" t="s">
        <v>76</v>
      </c>
      <c r="D205" s="41" t="str">
        <f>+UPPER('0. Instruções'!$D$33&amp;"."&amp;VLOOKUP(B205,'0. Instruções'!$C$27:$D$31,2,FALSE))</f>
        <v>BU_LOANTAPE_WORK.LT002_INSTRUMENT</v>
      </c>
      <c r="E205" s="41" t="str">
        <f>+UPPER('0. Instruções'!$D$34&amp;"."&amp;VLOOKUP(B205,'0. Instruções'!$C$27:$E$31,3,FALSE))</f>
        <v>BU_LOANTAPE_WORK.LT002_INSTRUMENT_P3_NOV24</v>
      </c>
      <c r="F205" s="41" t="s">
        <v>165</v>
      </c>
      <c r="G205" s="41" t="s">
        <v>13</v>
      </c>
      <c r="H205" s="41"/>
      <c r="I205" s="41" t="str">
        <f>"(SELECT "&amp;VLOOKUP(B205,'0. Instruções'!$C$27:$G$31,4,FALSE)&amp;", "&amp;F205&amp;" FROM "&amp;D205&amp;" WHERE "&amp;'0. Instruções'!$D$40&amp;")X"</f>
        <v>(SELECT instrmnt_id, ACCMLTD_CHNGS_FV_CR_INSTRMNT FROM BU_LOANTAPE_WORK.LT002_INSTRUMENT WHERE ref_date='${ref_date}' AND nome_perimetro='Individual Corporativo' AND segmento='ESTR' AND ambito='PILAR3')X</v>
      </c>
      <c r="J205" s="41" t="str">
        <f>"(SELECT "&amp;VLOOKUP(B205,'0. Instruções'!$C$27:$G$31,4,FALSE)&amp;" AS "&amp;VLOOKUP(B205,'0. Instruções'!$C$27:$G$31,4,FALSE)&amp;"_SIMUL, "&amp;F205&amp;" AS "&amp;F205&amp;"_SIMUL FROM "&amp;E205&amp;")Y"</f>
        <v>(SELECT instrmnt_id AS instrmnt_id_SIMUL, ACCMLTD_CHNGS_FV_CR_INSTRMNT AS ACCMLTD_CHNGS_FV_CR_INSTRMNT_SIMUL FROM BU_LOANTAPE_WORK.LT002_INSTRUMENT_P3_NOV24)Y</v>
      </c>
      <c r="K205" s="42" t="str">
        <f>+UPPER("ON X."&amp;VLOOKUP(B205,'0. Instruções'!$C$27:$G$31,4,FALSE)&amp;"=Y."&amp;VLOOKUP(B205,'0. Instruções'!$C$27:$G$31,4,FALSE)&amp;"_SIMUL")</f>
        <v>ON X.INSTRMNT_ID=Y.INSTRMNT_ID_SIMUL</v>
      </c>
      <c r="L205" s="42" t="str">
        <f>+IF(C205="Coerência", +IF(LEFT(G205,5)="FLOAT","SELECT '"&amp;UPPER(B205)&amp;"' AS TABELA, '"&amp;UPPER(C205)&amp;"' AS TIPOLOGIA_TESTE,'"&amp;D205&amp;"' AS TABELA_LT,'"&amp;E205&amp;"' AS TABELA_SIMUL,'"&amp;F205&amp;"' AS CAMPO, "&amp;"'${ref_date}' AS REF_DATE, COUNT(*) AS NUM_REG, SUM(IF((ABS(COALESCE(X."&amp;F205&amp;",0)-COALESCE(Y."&amp;F205&amp;"_SIMUL,0))&gt;0.0000000001) OR (X."&amp;F205&amp;" IS NULL AND Y."&amp;F205&amp;"_SIMUL IS NOT NULL ) OR (X."&amp;F205&amp;" IS NOT NULL AND Y."&amp;F205&amp;"_SIMUL IS NULL),1,0)) AS NUM_REG_DIF,'"&amp;MAX('ID1&amp;5'!K:K)+1&amp;"' AS ID_EXEC, CURRENT_TIMESTAMP() AS TIME_EXEC FROM "&amp;I205&amp;" INNER JOIN "&amp;J205&amp;" "&amp;K205,"SELECT '"&amp;UPPER(B205)&amp;"' AS TABELA, '"&amp;UPPER(C205)&amp;"' AS TIPOLOGIA_TESTE,'"&amp;D205&amp;"' AS TABELA_LT,'"&amp;E205&amp;"' AS TABELA_SIMUL,'"&amp;F205&amp;"' AS CAMPO, "&amp;"'${ref_date}' AS REF_DATE, COUNT(*) AS NUM_REG, SUM(IF(COALESCE(CAST(X."&amp;F205&amp;" AS STRING),'')&lt;&gt;COALESCE(CAST(Y."&amp;F205&amp;"_SIMUL AS STRING),''),1,0)) AS NUM_REG_DIF,'"&amp;MAX('ID1&amp;5'!L:L)+1&amp;"' AS ID_EXEC, CURRENT_TIMESTAMP() AS TIME_EXEC FROM "&amp;I205&amp;" INNER JOIN "&amp;J205&amp;" "&amp;K205),
IF(C205="Validade",+IF(G205="Code List","SELECT '"&amp;UPPER(B205)&amp;"' AS TABELA, '"&amp;UPPER(C205)&amp;"' AS TIPOLOGIA_TESTE,'"&amp;D205&amp;"' AS TABELA_LT,'N/A' AS TABELA_SIMUL,'"&amp;F205&amp;"' AS CAMPO, "&amp;"'${ref_date}' AS REF_DATE, COUNT(*) AS NUM_REG, SUM(IF(TRIM(CAST(X."&amp;F205&amp;" AS STRING))='' OR TRIM(CAST(X."&amp;F205&amp;" AS STRING)) IS NULL OR CAST(X."&amp;F205&amp;" AS STRING) NOT "&amp;H205&amp;",1,0)) AS NUM_REG_DIF,'"&amp;MAX('ID1&amp;5'!K:K)+1&amp;"' AS ID_EXEC, CURRENT_TIMESTAMP() AS TIME_EXEC FROM "&amp;I205,"SELECT '"&amp;UPPER(B205)&amp;"' AS TABELA, '"&amp;UPPER(C205)&amp;"' AS TIPOLOGIA_TESTE,'"&amp;D205&amp;"' AS TABELA_LT,'N/A' AS TABELA_SIMUL,'"&amp;F205&amp;"' AS CAMPO, "&amp;"'${ref_date}' AS REF_DATE, COUNT(*) AS NUM_REG, SUM(IF(TRIM(CAST(X."&amp;F205&amp;" AS STRING))='' OR TRIM(CAST(X."&amp;F205&amp;" AS STRING)) IS NULL,1,0)) AS NUM_REG_DIF,'"&amp;MAX('ID1&amp;5'!K:K)+1&amp;"' AS ID_EXEC, CURRENT_TIMESTAMP() AS TIME_EXEC FROM "&amp;I205),
IF(C205="Caracteres Especiais",+"SELECT '"&amp;UPPER(B205)&amp;"' AS TABELA, '"&amp;UPPER(C205)&amp;"' AS TIPOLOGIA_TESTE,'"&amp;D205&amp;"' AS TABELA_LT,'N/A' AS TABELA_SIMUL,'"&amp;F205&amp;"' AS CAMPO, "&amp;"'${ref_date}' AS REF_DATE, COUNT(*) AS NUM_REG, SUM(IF(INSTR(CAST(X."&amp;F205&amp;" AS STRING),'#')&gt;0 OR INSTR(CAST(X."&amp;F205&amp;" AS STRING),'*')&gt;0 OR INSTR(CAST(X."&amp;F205&amp;" AS STRING),'`')&gt;0 OR INSTR(CAST(X."&amp;F205&amp;" AS STRING),'´')&gt;0 OR INSTR(CAST(X."&amp;F205&amp;" AS STRING),'{')&gt;0 OR INSTR(CAST(X."&amp;F205&amp;" AS STRING),'}')&gt;0 OR INSTR(CAST(X."&amp;F205&amp;" AS STRING),'[')&gt;0 OR INSTR(CAST(X."&amp;F205&amp;" AS STRING),'')&gt;0 OR INSTR(CAST(X."&amp;F205&amp;" AS STRING),']')&gt;0 OR INSTR(CAST(X."&amp;F205&amp;" AS STRING),'?')&gt;0 OR INSTR(CAST(X."&amp;F205&amp;" AS STRING),'!')&gt;0 OR INSTR(CAST(X."&amp;F205&amp;" AS STRING),'$')&gt;0 OR INSTR(CAST(X."&amp;F205&amp;" AS STRING),'%')&gt;0 OR INSTR(CAST(X."&amp;F205&amp;" AS STRING),'&amp;')&gt;0 OR INSTR(CAST(X."&amp;F205&amp;" AS STRING),'+')&gt;0,1,0)) AS NUM_REG_DIF,'"&amp;MAX('ID1&amp;5'!K:K)+1&amp;"' AS ID_EXEC, CURRENT_TIMESTAMP() AS TIME_EXEC FROM "&amp;I205,
IF(C205="Missings",+"SELECT '"&amp;UPPER(B205)&amp;"' AS TABELA, '"&amp;UPPER(C205)&amp;"' AS TIPOLOGIA_TESTE,'"&amp;D205&amp;"' AS TABELA_LT,'N/A' AS TABELA_SIMUL,'"&amp;F205&amp;"' AS CAMPO, "&amp;"'${ref_date}' AS REF_DATE, COUNT(*) AS NUM_REG, SUM(IF(TRIM(CAST(X."&amp;F205&amp;" AS STRING)) IN ('0000-00-00','0001-01-01','9999-12-31','MISS','00000','99999999999','99999999999.00','99999999999.000000'),1,0)) AS NUM_REG_DIF,'"&amp;MAX('ID1&amp;5'!K:K)+1&amp;"' AS ID_EXEC, CURRENT_TIMESTAMP() AS TIME_EXEC FROM "&amp;I205,
IF(C205="Not applicable",+"SELECT '"&amp;UPPER(B205)&amp;"' AS TABELA, '"&amp;UPPER(C205)&amp;"' AS TIPOLOGIA_TESTE,'"&amp;D205&amp;"' AS TABELA_LT,'N/A' AS TABELA_SIMUL,'"&amp;F205&amp;"' AS CAMPO, "&amp;"'${ref_date}' AS REF_DATE, COUNT(*) AS NUM_REG, SUM(IF(TRIM(CAST(X."&amp;F205&amp;" AS STRING)) IN ('N/A','11111111111','11111111111.00','11111111111.000000','1111-11-11'),1,0)) AS NUM_REG_DIF,'"&amp;MAX('ID1&amp;5'!K:K)+1&amp;"' AS ID_EXEC, CURRENT_TIMESTAMP() AS TIME_EXEC FROM "&amp;I205,
IF(C205="Valores extremos",+"SELECT '"&amp;UPPER(B205)&amp;"' AS TABELA, '"&amp;UPPER(C205)&amp;"' AS TIPOLOGIA_TESTE,'"&amp;D205&amp;"' AS TABELA_LT,'N/A' AS TABELA_SIMUL,'"&amp;F205&amp;"' AS CAMPO, "&amp;"'${ref_date}' AS REF_DATE, CAST(MIN("&amp;F205&amp;") AS STRING) AS VALOR_MIN, CAST(MAX("&amp;F205&amp;") AS STRING) AS VALOR_MAX,'"&amp;MAX('ID1&amp;5'!K:K)+1&amp;"' AS ID_EXEC, CURRENT_TIMESTAMP() AS TIME_EXEC FROM "&amp;MID(I205,1,LEN(I205)-2)&amp;" AND CAST("&amp;F205&amp;"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TABELA_SIMUL,'ACCMLTD_CHNGS_FV_CR_INSTRMNT' AS CAMPO, '${ref_date}' AS REF_DATE, COUNT(*) AS NUM_REG, SUM(IF(INSTR(CAST(X.ACCMLTD_CHNGS_FV_CR_INSTRMNT AS STRING),'#')&gt;0 OR INSTR(CAST(X.ACCMLTD_CHNGS_FV_CR_INSTRMNT AS STRING),'*')&gt;0 OR INSTR(CAST(X.ACCMLTD_CHNGS_FV_CR_INSTRMNT AS STRING),'`')&gt;0 OR INSTR(CAST(X.ACCMLTD_CHNGS_FV_CR_INSTRMNT AS STRING),'´')&gt;0 OR INSTR(CAST(X.ACCMLTD_CHNGS_FV_CR_INSTRMNT AS STRING),'{')&gt;0 OR INSTR(CAST(X.ACCMLTD_CHNGS_FV_CR_INSTRMNT AS STRING),'}')&gt;0 OR INSTR(CAST(X.ACCMLTD_CHNGS_FV_CR_INSTRMNT AS STRING),'[')&gt;0 OR INSTR(CAST(X.ACCMLTD_CHNGS_FV_CR_INSTRMNT AS STRING),'')&gt;0 OR INSTR(CAST(X.ACCMLTD_CHNGS_FV_CR_INSTRMNT AS STRING),']')&gt;0 OR INSTR(CAST(X.ACCMLTD_CHNGS_FV_CR_INSTRMNT AS STRING),'?')&gt;0 OR INSTR(CAST(X.ACCMLTD_CHNGS_FV_CR_INSTRMNT AS STRING),'!')&gt;0 OR INSTR(CAST(X.ACCMLTD_CHNGS_FV_CR_INSTRMNT AS STRING),'$')&gt;0 OR INSTR(CAST(X.ACCMLTD_CHNGS_FV_CR_INSTRMNT AS STRING),'%')&gt;0 OR INSTR(CAST(X.ACCMLTD_CHNGS_FV_CR_INSTRMNT AS STRING),'&amp;')&gt;0 OR INSTR(CAST(X.ACCMLTD_CHNGS_FV_CR_INSTRMNT AS STRING),'+')&gt;0,1,0)) AS NUM_REG_DIF,'10' AS ID_EXEC, CURRENT_TIMESTAMP() AS TIME_EXEC FROM (SELECT instrmnt_id, ACCMLTD_CHNGS_FV_CR_INSTRMNT FROM BU_LOANTAPE_WORK.LT002_INSTRUMENT WHERE ref_date='${ref_date}' AND nome_perimetro='Individual Corporativo' AND segmento='ESTR' AND ambito='PILAR3')X</v>
      </c>
      <c r="M205" s="43" t="str">
        <f t="shared" si="3"/>
        <v>UNION ALL SELECT 'INSTRUMENT' AS TABELA, 'CARACTERES ESPECIAIS' AS TIPOLOGIA_TESTE,'BU_LOANTAPE_WORK.LT002_INSTRUMENT' AS TABELA_LT,'N/A' AS TABELA_SIMUL,'ACCMLTD_CHNGS_FV_CR_INSTRMNT' AS CAMPO, '${ref_date}' AS REF_DATE, COUNT(*) AS NUM_REG, SUM(IF(INSTR(CAST(X.ACCMLTD_CHNGS_FV_CR_INSTRMNT AS STRING),'#')&gt;0 OR INSTR(CAST(X.ACCMLTD_CHNGS_FV_CR_INSTRMNT AS STRING),'*')&gt;0 OR INSTR(CAST(X.ACCMLTD_CHNGS_FV_CR_INSTRMNT AS STRING),'`')&gt;0 OR INSTR(CAST(X.ACCMLTD_CHNGS_FV_CR_INSTRMNT AS STRING),'´')&gt;0 OR INSTR(CAST(X.ACCMLTD_CHNGS_FV_CR_INSTRMNT AS STRING),'{')&gt;0 OR INSTR(CAST(X.ACCMLTD_CHNGS_FV_CR_INSTRMNT AS STRING),'}')&gt;0 OR INSTR(CAST(X.ACCMLTD_CHNGS_FV_CR_INSTRMNT AS STRING),'[')&gt;0 OR INSTR(CAST(X.ACCMLTD_CHNGS_FV_CR_INSTRMNT AS STRING),'')&gt;0 OR INSTR(CAST(X.ACCMLTD_CHNGS_FV_CR_INSTRMNT AS STRING),']')&gt;0 OR INSTR(CAST(X.ACCMLTD_CHNGS_FV_CR_INSTRMNT AS STRING),'?')&gt;0 OR INSTR(CAST(X.ACCMLTD_CHNGS_FV_CR_INSTRMNT AS STRING),'!')&gt;0 OR INSTR(CAST(X.ACCMLTD_CHNGS_FV_CR_INSTRMNT AS STRING),'$')&gt;0 OR INSTR(CAST(X.ACCMLTD_CHNGS_FV_CR_INSTRMNT AS STRING),'%')&gt;0 OR INSTR(CAST(X.ACCMLTD_CHNGS_FV_CR_INSTRMNT AS STRING),'&amp;')&gt;0 OR INSTR(CAST(X.ACCMLTD_CHNGS_FV_CR_INSTRMNT AS STRING),'+')&gt;0,1,0)) AS NUM_REG_DIF,'10' AS ID_EXEC, CURRENT_TIMESTAMP() AS TIME_EXEC FROM (SELECT instrmnt_id, ACCMLTD_CHNGS_FV_CR_INSTRMNT FROM BU_LOANTAPE_WORK.LT002_INSTRUMENT WHERE ref_date='${ref_date}' AND nome_perimetro='Individual Corporativo' AND segmento='ESTR' AND ambito='PILAR3')X</v>
      </c>
      <c r="N205" s="45" t="s">
        <v>13</v>
      </c>
    </row>
    <row r="206" spans="2:14">
      <c r="B206" s="41" t="s">
        <v>27</v>
      </c>
      <c r="C206" s="41" t="s">
        <v>76</v>
      </c>
      <c r="D206" s="41" t="str">
        <f>+UPPER('0. Instruções'!$D$33&amp;"."&amp;VLOOKUP(B206,'0. Instruções'!$C$27:$D$31,2,FALSE))</f>
        <v>BU_LOANTAPE_WORK.LT002_INSTRUMENT</v>
      </c>
      <c r="E206" s="41" t="str">
        <f>+UPPER('0. Instruções'!$D$34&amp;"."&amp;VLOOKUP(B206,'0. Instruções'!$C$27:$E$31,3,FALSE))</f>
        <v>BU_LOANTAPE_WORK.LT002_INSTRUMENT_P3_NOV24</v>
      </c>
      <c r="F206" s="41" t="s">
        <v>166</v>
      </c>
      <c r="G206" s="41" t="s">
        <v>13</v>
      </c>
      <c r="H206" s="41"/>
      <c r="I206" s="41" t="str">
        <f>"(SELECT "&amp;VLOOKUP(B206,'0. Instruções'!$C$27:$G$31,4,FALSE)&amp;", "&amp;F206&amp;" FROM "&amp;D206&amp;" WHERE "&amp;'0. Instruções'!$D$40&amp;")X"</f>
        <v>(SELECT instrmnt_id, ACCNTNG_CLSSFCTN FROM BU_LOANTAPE_WORK.LT002_INSTRUMENT WHERE ref_date='${ref_date}' AND nome_perimetro='Individual Corporativo' AND segmento='ESTR' AND ambito='PILAR3')X</v>
      </c>
      <c r="J206" s="41" t="str">
        <f>"(SELECT "&amp;VLOOKUP(B206,'0. Instruções'!$C$27:$G$31,4,FALSE)&amp;" AS "&amp;VLOOKUP(B206,'0. Instruções'!$C$27:$G$31,4,FALSE)&amp;"_SIMUL, "&amp;F206&amp;" AS "&amp;F206&amp;"_SIMUL FROM "&amp;E206&amp;")Y"</f>
        <v>(SELECT instrmnt_id AS instrmnt_id_SIMUL, ACCNTNG_CLSSFCTN AS ACCNTNG_CLSSFCTN_SIMUL FROM BU_LOANTAPE_WORK.LT002_INSTRUMENT_P3_NOV24)Y</v>
      </c>
      <c r="K206" s="42" t="str">
        <f>+UPPER("ON X."&amp;VLOOKUP(B206,'0. Instruções'!$C$27:$G$31,4,FALSE)&amp;"=Y."&amp;VLOOKUP(B206,'0. Instruções'!$C$27:$G$31,4,FALSE)&amp;"_SIMUL")</f>
        <v>ON X.INSTRMNT_ID=Y.INSTRMNT_ID_SIMUL</v>
      </c>
      <c r="L206" s="42" t="str">
        <f>+IF(C206="Coerência", +IF(LEFT(G206,5)="FLOAT","SELECT '"&amp;UPPER(B206)&amp;"' AS TABELA, '"&amp;UPPER(C206)&amp;"' AS TIPOLOGIA_TESTE,'"&amp;D206&amp;"' AS TABELA_LT,'"&amp;E206&amp;"' AS TABELA_SIMUL,'"&amp;F206&amp;"' AS CAMPO, "&amp;"'${ref_date}' AS REF_DATE, COUNT(*) AS NUM_REG, SUM(IF((ABS(COALESCE(X."&amp;F206&amp;",0)-COALESCE(Y."&amp;F206&amp;"_SIMUL,0))&gt;0.0000000001) OR (X."&amp;F206&amp;" IS NULL AND Y."&amp;F206&amp;"_SIMUL IS NOT NULL ) OR (X."&amp;F206&amp;" IS NOT NULL AND Y."&amp;F206&amp;"_SIMUL IS NULL),1,0)) AS NUM_REG_DIF,'"&amp;MAX('ID1&amp;5'!K:K)+1&amp;"' AS ID_EXEC, CURRENT_TIMESTAMP() AS TIME_EXEC FROM "&amp;I206&amp;" INNER JOIN "&amp;J206&amp;" "&amp;K206,"SELECT '"&amp;UPPER(B206)&amp;"' AS TABELA, '"&amp;UPPER(C206)&amp;"' AS TIPOLOGIA_TESTE,'"&amp;D206&amp;"' AS TABELA_LT,'"&amp;E206&amp;"' AS TABELA_SIMUL,'"&amp;F206&amp;"' AS CAMPO, "&amp;"'${ref_date}' AS REF_DATE, COUNT(*) AS NUM_REG, SUM(IF(COALESCE(CAST(X."&amp;F206&amp;" AS STRING),'')&lt;&gt;COALESCE(CAST(Y."&amp;F206&amp;"_SIMUL AS STRING),''),1,0)) AS NUM_REG_DIF,'"&amp;MAX('ID1&amp;5'!L:L)+1&amp;"' AS ID_EXEC, CURRENT_TIMESTAMP() AS TIME_EXEC FROM "&amp;I206&amp;" INNER JOIN "&amp;J206&amp;" "&amp;K206),
IF(C206="Validade",+IF(G206="Code List","SELECT '"&amp;UPPER(B206)&amp;"' AS TABELA, '"&amp;UPPER(C206)&amp;"' AS TIPOLOGIA_TESTE,'"&amp;D206&amp;"' AS TABELA_LT,'N/A' AS TABELA_SIMUL,'"&amp;F206&amp;"' AS CAMPO, "&amp;"'${ref_date}' AS REF_DATE, COUNT(*) AS NUM_REG, SUM(IF(TRIM(CAST(X."&amp;F206&amp;" AS STRING))='' OR TRIM(CAST(X."&amp;F206&amp;" AS STRING)) IS NULL OR CAST(X."&amp;F206&amp;" AS STRING) NOT "&amp;H206&amp;",1,0)) AS NUM_REG_DIF,'"&amp;MAX('ID1&amp;5'!K:K)+1&amp;"' AS ID_EXEC, CURRENT_TIMESTAMP() AS TIME_EXEC FROM "&amp;I206,"SELECT '"&amp;UPPER(B206)&amp;"' AS TABELA, '"&amp;UPPER(C206)&amp;"' AS TIPOLOGIA_TESTE,'"&amp;D206&amp;"' AS TABELA_LT,'N/A' AS TABELA_SIMUL,'"&amp;F206&amp;"' AS CAMPO, "&amp;"'${ref_date}' AS REF_DATE, COUNT(*) AS NUM_REG, SUM(IF(TRIM(CAST(X."&amp;F206&amp;" AS STRING))='' OR TRIM(CAST(X."&amp;F206&amp;" AS STRING)) IS NULL,1,0)) AS NUM_REG_DIF,'"&amp;MAX('ID1&amp;5'!K:K)+1&amp;"' AS ID_EXEC, CURRENT_TIMESTAMP() AS TIME_EXEC FROM "&amp;I206),
IF(C206="Caracteres Especiais",+"SELECT '"&amp;UPPER(B206)&amp;"' AS TABELA, '"&amp;UPPER(C206)&amp;"' AS TIPOLOGIA_TESTE,'"&amp;D206&amp;"' AS TABELA_LT,'N/A' AS TABELA_SIMUL,'"&amp;F206&amp;"' AS CAMPO, "&amp;"'${ref_date}' AS REF_DATE, COUNT(*) AS NUM_REG, SUM(IF(INSTR(CAST(X."&amp;F206&amp;" AS STRING),'#')&gt;0 OR INSTR(CAST(X."&amp;F206&amp;" AS STRING),'*')&gt;0 OR INSTR(CAST(X."&amp;F206&amp;" AS STRING),'`')&gt;0 OR INSTR(CAST(X."&amp;F206&amp;" AS STRING),'´')&gt;0 OR INSTR(CAST(X."&amp;F206&amp;" AS STRING),'{')&gt;0 OR INSTR(CAST(X."&amp;F206&amp;" AS STRING),'}')&gt;0 OR INSTR(CAST(X."&amp;F206&amp;" AS STRING),'[')&gt;0 OR INSTR(CAST(X."&amp;F206&amp;" AS STRING),'')&gt;0 OR INSTR(CAST(X."&amp;F206&amp;" AS STRING),']')&gt;0 OR INSTR(CAST(X."&amp;F206&amp;" AS STRING),'?')&gt;0 OR INSTR(CAST(X."&amp;F206&amp;" AS STRING),'!')&gt;0 OR INSTR(CAST(X."&amp;F206&amp;" AS STRING),'$')&gt;0 OR INSTR(CAST(X."&amp;F206&amp;" AS STRING),'%')&gt;0 OR INSTR(CAST(X."&amp;F206&amp;" AS STRING),'&amp;')&gt;0 OR INSTR(CAST(X."&amp;F206&amp;" AS STRING),'+')&gt;0,1,0)) AS NUM_REG_DIF,'"&amp;MAX('ID1&amp;5'!K:K)+1&amp;"' AS ID_EXEC, CURRENT_TIMESTAMP() AS TIME_EXEC FROM "&amp;I206,
IF(C206="Missings",+"SELECT '"&amp;UPPER(B206)&amp;"' AS TABELA, '"&amp;UPPER(C206)&amp;"' AS TIPOLOGIA_TESTE,'"&amp;D206&amp;"' AS TABELA_LT,'N/A' AS TABELA_SIMUL,'"&amp;F206&amp;"' AS CAMPO, "&amp;"'${ref_date}' AS REF_DATE, COUNT(*) AS NUM_REG, SUM(IF(TRIM(CAST(X."&amp;F206&amp;" AS STRING)) IN ('0000-00-00','0001-01-01','9999-12-31','MISS','00000','99999999999','99999999999.00','99999999999.000000'),1,0)) AS NUM_REG_DIF,'"&amp;MAX('ID1&amp;5'!K:K)+1&amp;"' AS ID_EXEC, CURRENT_TIMESTAMP() AS TIME_EXEC FROM "&amp;I206,
IF(C206="Not applicable",+"SELECT '"&amp;UPPER(B206)&amp;"' AS TABELA, '"&amp;UPPER(C206)&amp;"' AS TIPOLOGIA_TESTE,'"&amp;D206&amp;"' AS TABELA_LT,'N/A' AS TABELA_SIMUL,'"&amp;F206&amp;"' AS CAMPO, "&amp;"'${ref_date}' AS REF_DATE, COUNT(*) AS NUM_REG, SUM(IF(TRIM(CAST(X."&amp;F206&amp;" AS STRING)) IN ('N/A','11111111111','11111111111.00','11111111111.000000','1111-11-11'),1,0)) AS NUM_REG_DIF,'"&amp;MAX('ID1&amp;5'!K:K)+1&amp;"' AS ID_EXEC, CURRENT_TIMESTAMP() AS TIME_EXEC FROM "&amp;I206,
IF(C206="Valores extremos",+"SELECT '"&amp;UPPER(B206)&amp;"' AS TABELA, '"&amp;UPPER(C206)&amp;"' AS TIPOLOGIA_TESTE,'"&amp;D206&amp;"' AS TABELA_LT,'N/A' AS TABELA_SIMUL,'"&amp;F206&amp;"' AS CAMPO, "&amp;"'${ref_date}' AS REF_DATE, CAST(MIN("&amp;F206&amp;") AS STRING) AS VALOR_MIN, CAST(MAX("&amp;F206&amp;") AS STRING) AS VALOR_MAX,'"&amp;MAX('ID1&amp;5'!K:K)+1&amp;"' AS ID_EXEC, CURRENT_TIMESTAMP() AS TIME_EXEC FROM "&amp;MID(I206,1,LEN(I206)-2)&amp;" AND CAST("&amp;F206&amp;"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TABELA_SIMUL,'ACCNTNG_CLSSFCTN' AS CAMPO, '${ref_date}' AS REF_DATE, COUNT(*) AS NUM_REG, SUM(IF(INSTR(CAST(X.ACCNTNG_CLSSFCTN AS STRING),'#')&gt;0 OR INSTR(CAST(X.ACCNTNG_CLSSFCTN AS STRING),'*')&gt;0 OR INSTR(CAST(X.ACCNTNG_CLSSFCTN AS STRING),'`')&gt;0 OR INSTR(CAST(X.ACCNTNG_CLSSFCTN AS STRING),'´')&gt;0 OR INSTR(CAST(X.ACCNTNG_CLSSFCTN AS STRING),'{')&gt;0 OR INSTR(CAST(X.ACCNTNG_CLSSFCTN AS STRING),'}')&gt;0 OR INSTR(CAST(X.ACCNTNG_CLSSFCTN AS STRING),'[')&gt;0 OR INSTR(CAST(X.ACCNTNG_CLSSFCTN AS STRING),'')&gt;0 OR INSTR(CAST(X.ACCNTNG_CLSSFCTN AS STRING),']')&gt;0 OR INSTR(CAST(X.ACCNTNG_CLSSFCTN AS STRING),'?')&gt;0 OR INSTR(CAST(X.ACCNTNG_CLSSFCTN AS STRING),'!')&gt;0 OR INSTR(CAST(X.ACCNTNG_CLSSFCTN AS STRING),'$')&gt;0 OR INSTR(CAST(X.ACCNTNG_CLSSFCTN AS STRING),'%')&gt;0 OR INSTR(CAST(X.ACCNTNG_CLSSFCTN AS STRING),'&amp;')&gt;0 OR INSTR(CAST(X.ACCNTNG_CLSSFCTN AS STRING),'+')&gt;0,1,0)) AS NUM_REG_DIF,'10' AS ID_EXEC, CURRENT_TIMESTAMP() AS TIME_EXEC FROM (SELECT instrmnt_id, ACCNTNG_CLSSFCTN FROM BU_LOANTAPE_WORK.LT002_INSTRUMENT WHERE ref_date='${ref_date}' AND nome_perimetro='Individual Corporativo' AND segmento='ESTR' AND ambito='PILAR3')X</v>
      </c>
      <c r="M206" s="43" t="str">
        <f t="shared" si="3"/>
        <v>UNION ALL SELECT 'INSTRUMENT' AS TABELA, 'CARACTERES ESPECIAIS' AS TIPOLOGIA_TESTE,'BU_LOANTAPE_WORK.LT002_INSTRUMENT' AS TABELA_LT,'N/A' AS TABELA_SIMUL,'ACCNTNG_CLSSFCTN' AS CAMPO, '${ref_date}' AS REF_DATE, COUNT(*) AS NUM_REG, SUM(IF(INSTR(CAST(X.ACCNTNG_CLSSFCTN AS STRING),'#')&gt;0 OR INSTR(CAST(X.ACCNTNG_CLSSFCTN AS STRING),'*')&gt;0 OR INSTR(CAST(X.ACCNTNG_CLSSFCTN AS STRING),'`')&gt;0 OR INSTR(CAST(X.ACCNTNG_CLSSFCTN AS STRING),'´')&gt;0 OR INSTR(CAST(X.ACCNTNG_CLSSFCTN AS STRING),'{')&gt;0 OR INSTR(CAST(X.ACCNTNG_CLSSFCTN AS STRING),'}')&gt;0 OR INSTR(CAST(X.ACCNTNG_CLSSFCTN AS STRING),'[')&gt;0 OR INSTR(CAST(X.ACCNTNG_CLSSFCTN AS STRING),'')&gt;0 OR INSTR(CAST(X.ACCNTNG_CLSSFCTN AS STRING),']')&gt;0 OR INSTR(CAST(X.ACCNTNG_CLSSFCTN AS STRING),'?')&gt;0 OR INSTR(CAST(X.ACCNTNG_CLSSFCTN AS STRING),'!')&gt;0 OR INSTR(CAST(X.ACCNTNG_CLSSFCTN AS STRING),'$')&gt;0 OR INSTR(CAST(X.ACCNTNG_CLSSFCTN AS STRING),'%')&gt;0 OR INSTR(CAST(X.ACCNTNG_CLSSFCTN AS STRING),'&amp;')&gt;0 OR INSTR(CAST(X.ACCNTNG_CLSSFCTN AS STRING),'+')&gt;0,1,0)) AS NUM_REG_DIF,'10' AS ID_EXEC, CURRENT_TIMESTAMP() AS TIME_EXEC FROM (SELECT instrmnt_id, ACCNTNG_CLSSFCTN FROM BU_LOANTAPE_WORK.LT002_INSTRUMENT WHERE ref_date='${ref_date}' AND nome_perimetro='Individual Corporativo' AND segmento='ESTR' AND ambito='PILAR3')X</v>
      </c>
      <c r="N206" s="45" t="s">
        <v>13</v>
      </c>
    </row>
    <row r="207" spans="2:14">
      <c r="B207" s="41" t="s">
        <v>27</v>
      </c>
      <c r="C207" s="41" t="s">
        <v>76</v>
      </c>
      <c r="D207" s="41" t="str">
        <f>+UPPER('0. Instruções'!$D$33&amp;"."&amp;VLOOKUP(B207,'0. Instruções'!$C$27:$D$31,2,FALSE))</f>
        <v>BU_LOANTAPE_WORK.LT002_INSTRUMENT</v>
      </c>
      <c r="E207" s="41" t="str">
        <f>+UPPER('0. Instruções'!$D$34&amp;"."&amp;VLOOKUP(B207,'0. Instruções'!$C$27:$E$31,3,FALSE))</f>
        <v>BU_LOANTAPE_WORK.LT002_INSTRUMENT_P3_NOV24</v>
      </c>
      <c r="F207" s="41" t="s">
        <v>167</v>
      </c>
      <c r="G207" s="41" t="s">
        <v>13</v>
      </c>
      <c r="H207" s="41"/>
      <c r="I207" s="41" t="str">
        <f>"(SELECT "&amp;VLOOKUP(B207,'0. Instruções'!$C$27:$G$31,4,FALSE)&amp;", "&amp;F207&amp;" FROM "&amp;D207&amp;" WHERE "&amp;'0. Instruções'!$D$40&amp;")X"</f>
        <v>(SELECT instrmnt_id, DT_LGL_FNL_MTRTY FROM BU_LOANTAPE_WORK.LT002_INSTRUMENT WHERE ref_date='${ref_date}' AND nome_perimetro='Individual Corporativo' AND segmento='ESTR' AND ambito='PILAR3')X</v>
      </c>
      <c r="J207" s="41" t="str">
        <f>"(SELECT "&amp;VLOOKUP(B207,'0. Instruções'!$C$27:$G$31,4,FALSE)&amp;" AS "&amp;VLOOKUP(B207,'0. Instruções'!$C$27:$G$31,4,FALSE)&amp;"_SIMUL, "&amp;F207&amp;" AS "&amp;F207&amp;"_SIMUL FROM "&amp;E207&amp;")Y"</f>
        <v>(SELECT instrmnt_id AS instrmnt_id_SIMUL, DT_LGL_FNL_MTRTY AS DT_LGL_FNL_MTRTY_SIMUL FROM BU_LOANTAPE_WORK.LT002_INSTRUMENT_P3_NOV24)Y</v>
      </c>
      <c r="K207" s="42" t="str">
        <f>+UPPER("ON X."&amp;VLOOKUP(B207,'0. Instruções'!$C$27:$G$31,4,FALSE)&amp;"=Y."&amp;VLOOKUP(B207,'0. Instruções'!$C$27:$G$31,4,FALSE)&amp;"_SIMUL")</f>
        <v>ON X.INSTRMNT_ID=Y.INSTRMNT_ID_SIMUL</v>
      </c>
      <c r="L207" s="42" t="str">
        <f>+IF(C207="Coerência", +IF(LEFT(G207,5)="FLOAT","SELECT '"&amp;UPPER(B207)&amp;"' AS TABELA, '"&amp;UPPER(C207)&amp;"' AS TIPOLOGIA_TESTE,'"&amp;D207&amp;"' AS TABELA_LT,'"&amp;E207&amp;"' AS TABELA_SIMUL,'"&amp;F207&amp;"' AS CAMPO, "&amp;"'${ref_date}' AS REF_DATE, COUNT(*) AS NUM_REG, SUM(IF((ABS(COALESCE(X."&amp;F207&amp;",0)-COALESCE(Y."&amp;F207&amp;"_SIMUL,0))&gt;0.0000000001) OR (X."&amp;F207&amp;" IS NULL AND Y."&amp;F207&amp;"_SIMUL IS NOT NULL ) OR (X."&amp;F207&amp;" IS NOT NULL AND Y."&amp;F207&amp;"_SIMUL IS NULL),1,0)) AS NUM_REG_DIF,'"&amp;MAX('ID1&amp;5'!K:K)+1&amp;"' AS ID_EXEC, CURRENT_TIMESTAMP() AS TIME_EXEC FROM "&amp;I207&amp;" INNER JOIN "&amp;J207&amp;" "&amp;K207,"SELECT '"&amp;UPPER(B207)&amp;"' AS TABELA, '"&amp;UPPER(C207)&amp;"' AS TIPOLOGIA_TESTE,'"&amp;D207&amp;"' AS TABELA_LT,'"&amp;E207&amp;"' AS TABELA_SIMUL,'"&amp;F207&amp;"' AS CAMPO, "&amp;"'${ref_date}' AS REF_DATE, COUNT(*) AS NUM_REG, SUM(IF(COALESCE(CAST(X."&amp;F207&amp;" AS STRING),'')&lt;&gt;COALESCE(CAST(Y."&amp;F207&amp;"_SIMUL AS STRING),''),1,0)) AS NUM_REG_DIF,'"&amp;MAX('ID1&amp;5'!L:L)+1&amp;"' AS ID_EXEC, CURRENT_TIMESTAMP() AS TIME_EXEC FROM "&amp;I207&amp;" INNER JOIN "&amp;J207&amp;" "&amp;K207),
IF(C207="Validade",+IF(G207="Code List","SELECT '"&amp;UPPER(B207)&amp;"' AS TABELA, '"&amp;UPPER(C207)&amp;"' AS TIPOLOGIA_TESTE,'"&amp;D207&amp;"' AS TABELA_LT,'N/A' AS TABELA_SIMUL,'"&amp;F207&amp;"' AS CAMPO, "&amp;"'${ref_date}' AS REF_DATE, COUNT(*) AS NUM_REG, SUM(IF(TRIM(CAST(X."&amp;F207&amp;" AS STRING))='' OR TRIM(CAST(X."&amp;F207&amp;" AS STRING)) IS NULL OR CAST(X."&amp;F207&amp;" AS STRING) NOT "&amp;H207&amp;",1,0)) AS NUM_REG_DIF,'"&amp;MAX('ID1&amp;5'!K:K)+1&amp;"' AS ID_EXEC, CURRENT_TIMESTAMP() AS TIME_EXEC FROM "&amp;I207,"SELECT '"&amp;UPPER(B207)&amp;"' AS TABELA, '"&amp;UPPER(C207)&amp;"' AS TIPOLOGIA_TESTE,'"&amp;D207&amp;"' AS TABELA_LT,'N/A' AS TABELA_SIMUL,'"&amp;F207&amp;"' AS CAMPO, "&amp;"'${ref_date}' AS REF_DATE, COUNT(*) AS NUM_REG, SUM(IF(TRIM(CAST(X."&amp;F207&amp;" AS STRING))='' OR TRIM(CAST(X."&amp;F207&amp;" AS STRING)) IS NULL,1,0)) AS NUM_REG_DIF,'"&amp;MAX('ID1&amp;5'!K:K)+1&amp;"' AS ID_EXEC, CURRENT_TIMESTAMP() AS TIME_EXEC FROM "&amp;I207),
IF(C207="Caracteres Especiais",+"SELECT '"&amp;UPPER(B207)&amp;"' AS TABELA, '"&amp;UPPER(C207)&amp;"' AS TIPOLOGIA_TESTE,'"&amp;D207&amp;"' AS TABELA_LT,'N/A' AS TABELA_SIMUL,'"&amp;F207&amp;"' AS CAMPO, "&amp;"'${ref_date}' AS REF_DATE, COUNT(*) AS NUM_REG, SUM(IF(INSTR(CAST(X."&amp;F207&amp;" AS STRING),'#')&gt;0 OR INSTR(CAST(X."&amp;F207&amp;" AS STRING),'*')&gt;0 OR INSTR(CAST(X."&amp;F207&amp;" AS STRING),'`')&gt;0 OR INSTR(CAST(X."&amp;F207&amp;" AS STRING),'´')&gt;0 OR INSTR(CAST(X."&amp;F207&amp;" AS STRING),'{')&gt;0 OR INSTR(CAST(X."&amp;F207&amp;" AS STRING),'}')&gt;0 OR INSTR(CAST(X."&amp;F207&amp;" AS STRING),'[')&gt;0 OR INSTR(CAST(X."&amp;F207&amp;" AS STRING),'')&gt;0 OR INSTR(CAST(X."&amp;F207&amp;" AS STRING),']')&gt;0 OR INSTR(CAST(X."&amp;F207&amp;" AS STRING),'?')&gt;0 OR INSTR(CAST(X."&amp;F207&amp;" AS STRING),'!')&gt;0 OR INSTR(CAST(X."&amp;F207&amp;" AS STRING),'$')&gt;0 OR INSTR(CAST(X."&amp;F207&amp;" AS STRING),'%')&gt;0 OR INSTR(CAST(X."&amp;F207&amp;" AS STRING),'&amp;')&gt;0 OR INSTR(CAST(X."&amp;F207&amp;" AS STRING),'+')&gt;0,1,0)) AS NUM_REG_DIF,'"&amp;MAX('ID1&amp;5'!K:K)+1&amp;"' AS ID_EXEC, CURRENT_TIMESTAMP() AS TIME_EXEC FROM "&amp;I207,
IF(C207="Missings",+"SELECT '"&amp;UPPER(B207)&amp;"' AS TABELA, '"&amp;UPPER(C207)&amp;"' AS TIPOLOGIA_TESTE,'"&amp;D207&amp;"' AS TABELA_LT,'N/A' AS TABELA_SIMUL,'"&amp;F207&amp;"' AS CAMPO, "&amp;"'${ref_date}' AS REF_DATE, COUNT(*) AS NUM_REG, SUM(IF(TRIM(CAST(X."&amp;F207&amp;" AS STRING)) IN ('0000-00-00','0001-01-01','9999-12-31','MISS','00000','99999999999','99999999999.00','99999999999.000000'),1,0)) AS NUM_REG_DIF,'"&amp;MAX('ID1&amp;5'!K:K)+1&amp;"' AS ID_EXEC, CURRENT_TIMESTAMP() AS TIME_EXEC FROM "&amp;I207,
IF(C207="Not applicable",+"SELECT '"&amp;UPPER(B207)&amp;"' AS TABELA, '"&amp;UPPER(C207)&amp;"' AS TIPOLOGIA_TESTE,'"&amp;D207&amp;"' AS TABELA_LT,'N/A' AS TABELA_SIMUL,'"&amp;F207&amp;"' AS CAMPO, "&amp;"'${ref_date}' AS REF_DATE, COUNT(*) AS NUM_REG, SUM(IF(TRIM(CAST(X."&amp;F207&amp;" AS STRING)) IN ('N/A','11111111111','11111111111.00','11111111111.000000','1111-11-11'),1,0)) AS NUM_REG_DIF,'"&amp;MAX('ID1&amp;5'!K:K)+1&amp;"' AS ID_EXEC, CURRENT_TIMESTAMP() AS TIME_EXEC FROM "&amp;I207,
IF(C207="Valores extremos",+"SELECT '"&amp;UPPER(B207)&amp;"' AS TABELA, '"&amp;UPPER(C207)&amp;"' AS TIPOLOGIA_TESTE,'"&amp;D207&amp;"' AS TABELA_LT,'N/A' AS TABELA_SIMUL,'"&amp;F207&amp;"' AS CAMPO, "&amp;"'${ref_date}' AS REF_DATE, CAST(MIN("&amp;F207&amp;") AS STRING) AS VALOR_MIN, CAST(MAX("&amp;F207&amp;") AS STRING) AS VALOR_MAX,'"&amp;MAX('ID1&amp;5'!K:K)+1&amp;"' AS ID_EXEC, CURRENT_TIMESTAMP() AS TIME_EXEC FROM "&amp;MID(I207,1,LEN(I207)-2)&amp;" AND CAST("&amp;F207&amp;"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TABELA_SIMUL,'DT_LGL_FNL_MTRTY' AS CAMPO, '${ref_date}' AS REF_DATE, COUNT(*) AS NUM_REG, SUM(IF(INSTR(CAST(X.DT_LGL_FNL_MTRTY AS STRING),'#')&gt;0 OR INSTR(CAST(X.DT_LGL_FNL_MTRTY AS STRING),'*')&gt;0 OR INSTR(CAST(X.DT_LGL_FNL_MTRTY AS STRING),'`')&gt;0 OR INSTR(CAST(X.DT_LGL_FNL_MTRTY AS STRING),'´')&gt;0 OR INSTR(CAST(X.DT_LGL_FNL_MTRTY AS STRING),'{')&gt;0 OR INSTR(CAST(X.DT_LGL_FNL_MTRTY AS STRING),'}')&gt;0 OR INSTR(CAST(X.DT_LGL_FNL_MTRTY AS STRING),'[')&gt;0 OR INSTR(CAST(X.DT_LGL_FNL_MTRTY AS STRING),'')&gt;0 OR INSTR(CAST(X.DT_LGL_FNL_MTRTY AS STRING),']')&gt;0 OR INSTR(CAST(X.DT_LGL_FNL_MTRTY AS STRING),'?')&gt;0 OR INSTR(CAST(X.DT_LGL_FNL_MTRTY AS STRING),'!')&gt;0 OR INSTR(CAST(X.DT_LGL_FNL_MTRTY AS STRING),'$')&gt;0 OR INSTR(CAST(X.DT_LGL_FNL_MTRTY AS STRING),'%')&gt;0 OR INSTR(CAST(X.DT_LGL_FNL_MTRTY AS STRING),'&amp;')&gt;0 OR INSTR(CAST(X.DT_LGL_FNL_MTRTY AS STRING),'+')&gt;0,1,0)) AS NUM_REG_DIF,'10' AS ID_EXEC, CURRENT_TIMESTAMP() AS TIME_EXEC FROM (SELECT instrmnt_id, DT_LGL_FNL_MTRTY FROM BU_LOANTAPE_WORK.LT002_INSTRUMENT WHERE ref_date='${ref_date}' AND nome_perimetro='Individual Corporativo' AND segmento='ESTR' AND ambito='PILAR3')X</v>
      </c>
      <c r="M207" s="43" t="str">
        <f t="shared" si="3"/>
        <v>UNION ALL SELECT 'INSTRUMENT' AS TABELA, 'CARACTERES ESPECIAIS' AS TIPOLOGIA_TESTE,'BU_LOANTAPE_WORK.LT002_INSTRUMENT' AS TABELA_LT,'N/A' AS TABELA_SIMUL,'DT_LGL_FNL_MTRTY' AS CAMPO, '${ref_date}' AS REF_DATE, COUNT(*) AS NUM_REG, SUM(IF(INSTR(CAST(X.DT_LGL_FNL_MTRTY AS STRING),'#')&gt;0 OR INSTR(CAST(X.DT_LGL_FNL_MTRTY AS STRING),'*')&gt;0 OR INSTR(CAST(X.DT_LGL_FNL_MTRTY AS STRING),'`')&gt;0 OR INSTR(CAST(X.DT_LGL_FNL_MTRTY AS STRING),'´')&gt;0 OR INSTR(CAST(X.DT_LGL_FNL_MTRTY AS STRING),'{')&gt;0 OR INSTR(CAST(X.DT_LGL_FNL_MTRTY AS STRING),'}')&gt;0 OR INSTR(CAST(X.DT_LGL_FNL_MTRTY AS STRING),'[')&gt;0 OR INSTR(CAST(X.DT_LGL_FNL_MTRTY AS STRING),'')&gt;0 OR INSTR(CAST(X.DT_LGL_FNL_MTRTY AS STRING),']')&gt;0 OR INSTR(CAST(X.DT_LGL_FNL_MTRTY AS STRING),'?')&gt;0 OR INSTR(CAST(X.DT_LGL_FNL_MTRTY AS STRING),'!')&gt;0 OR INSTR(CAST(X.DT_LGL_FNL_MTRTY AS STRING),'$')&gt;0 OR INSTR(CAST(X.DT_LGL_FNL_MTRTY AS STRING),'%')&gt;0 OR INSTR(CAST(X.DT_LGL_FNL_MTRTY AS STRING),'&amp;')&gt;0 OR INSTR(CAST(X.DT_LGL_FNL_MTRTY AS STRING),'+')&gt;0,1,0)) AS NUM_REG_DIF,'10' AS ID_EXEC, CURRENT_TIMESTAMP() AS TIME_EXEC FROM (SELECT instrmnt_id, DT_LGL_FNL_MTRTY FROM BU_LOANTAPE_WORK.LT002_INSTRUMENT WHERE ref_date='${ref_date}' AND nome_perimetro='Individual Corporativo' AND segmento='ESTR' AND ambito='PILAR3')X</v>
      </c>
      <c r="N207" s="45" t="s">
        <v>13</v>
      </c>
    </row>
    <row r="208" spans="2:14">
      <c r="B208" s="41" t="s">
        <v>27</v>
      </c>
      <c r="C208" s="41" t="s">
        <v>76</v>
      </c>
      <c r="D208" s="41" t="str">
        <f>+UPPER('0. Instruções'!$D$33&amp;"."&amp;VLOOKUP(B208,'0. Instruções'!$C$27:$D$31,2,FALSE))</f>
        <v>BU_LOANTAPE_WORK.LT002_INSTRUMENT</v>
      </c>
      <c r="E208" s="41" t="str">
        <f>+UPPER('0. Instruções'!$D$34&amp;"."&amp;VLOOKUP(B208,'0. Instruções'!$C$27:$E$31,3,FALSE))</f>
        <v>BU_LOANTAPE_WORK.LT002_INSTRUMENT_P3_NOV24</v>
      </c>
      <c r="F208" s="41" t="s">
        <v>168</v>
      </c>
      <c r="G208" s="41" t="s">
        <v>13</v>
      </c>
      <c r="H208" s="41"/>
      <c r="I208" s="41" t="str">
        <f>"(SELECT "&amp;VLOOKUP(B208,'0. Instruções'!$C$27:$G$31,4,FALSE)&amp;", "&amp;F208&amp;" FROM "&amp;D208&amp;" WHERE "&amp;'0. Instruções'!$D$40&amp;")X"</f>
        <v>(SELECT instrmnt_id, ACCMLTD_IMPRMNT_INSTRMNT FROM BU_LOANTAPE_WORK.LT002_INSTRUMENT WHERE ref_date='${ref_date}' AND nome_perimetro='Individual Corporativo' AND segmento='ESTR' AND ambito='PILAR3')X</v>
      </c>
      <c r="J208" s="41" t="str">
        <f>"(SELECT "&amp;VLOOKUP(B208,'0. Instruções'!$C$27:$G$31,4,FALSE)&amp;" AS "&amp;VLOOKUP(B208,'0. Instruções'!$C$27:$G$31,4,FALSE)&amp;"_SIMUL, "&amp;F208&amp;" AS "&amp;F208&amp;"_SIMUL FROM "&amp;E208&amp;")Y"</f>
        <v>(SELECT instrmnt_id AS instrmnt_id_SIMUL, ACCMLTD_IMPRMNT_INSTRMNT AS ACCMLTD_IMPRMNT_INSTRMNT_SIMUL FROM BU_LOANTAPE_WORK.LT002_INSTRUMENT_P3_NOV24)Y</v>
      </c>
      <c r="K208" s="42" t="str">
        <f>+UPPER("ON X."&amp;VLOOKUP(B208,'0. Instruções'!$C$27:$G$31,4,FALSE)&amp;"=Y."&amp;VLOOKUP(B208,'0. Instruções'!$C$27:$G$31,4,FALSE)&amp;"_SIMUL")</f>
        <v>ON X.INSTRMNT_ID=Y.INSTRMNT_ID_SIMUL</v>
      </c>
      <c r="L208" s="42" t="str">
        <f>+IF(C208="Coerência", +IF(LEFT(G208,5)="FLOAT","SELECT '"&amp;UPPER(B208)&amp;"' AS TABELA, '"&amp;UPPER(C208)&amp;"' AS TIPOLOGIA_TESTE,'"&amp;D208&amp;"' AS TABELA_LT,'"&amp;E208&amp;"' AS TABELA_SIMUL,'"&amp;F208&amp;"' AS CAMPO, "&amp;"'${ref_date}' AS REF_DATE, COUNT(*) AS NUM_REG, SUM(IF((ABS(COALESCE(X."&amp;F208&amp;",0)-COALESCE(Y."&amp;F208&amp;"_SIMUL,0))&gt;0.0000000001) OR (X."&amp;F208&amp;" IS NULL AND Y."&amp;F208&amp;"_SIMUL IS NOT NULL ) OR (X."&amp;F208&amp;" IS NOT NULL AND Y."&amp;F208&amp;"_SIMUL IS NULL),1,0)) AS NUM_REG_DIF,'"&amp;MAX('ID1&amp;5'!K:K)+1&amp;"' AS ID_EXEC, CURRENT_TIMESTAMP() AS TIME_EXEC FROM "&amp;I208&amp;" INNER JOIN "&amp;J208&amp;" "&amp;K208,"SELECT '"&amp;UPPER(B208)&amp;"' AS TABELA, '"&amp;UPPER(C208)&amp;"' AS TIPOLOGIA_TESTE,'"&amp;D208&amp;"' AS TABELA_LT,'"&amp;E208&amp;"' AS TABELA_SIMUL,'"&amp;F208&amp;"' AS CAMPO, "&amp;"'${ref_date}' AS REF_DATE, COUNT(*) AS NUM_REG, SUM(IF(COALESCE(CAST(X."&amp;F208&amp;" AS STRING),'')&lt;&gt;COALESCE(CAST(Y."&amp;F208&amp;"_SIMUL AS STRING),''),1,0)) AS NUM_REG_DIF,'"&amp;MAX('ID1&amp;5'!L:L)+1&amp;"' AS ID_EXEC, CURRENT_TIMESTAMP() AS TIME_EXEC FROM "&amp;I208&amp;" INNER JOIN "&amp;J208&amp;" "&amp;K208),
IF(C208="Validade",+IF(G208="Code List","SELECT '"&amp;UPPER(B208)&amp;"' AS TABELA, '"&amp;UPPER(C208)&amp;"' AS TIPOLOGIA_TESTE,'"&amp;D208&amp;"' AS TABELA_LT,'N/A' AS TABELA_SIMUL,'"&amp;F208&amp;"' AS CAMPO, "&amp;"'${ref_date}' AS REF_DATE, COUNT(*) AS NUM_REG, SUM(IF(TRIM(CAST(X."&amp;F208&amp;" AS STRING))='' OR TRIM(CAST(X."&amp;F208&amp;" AS STRING)) IS NULL OR CAST(X."&amp;F208&amp;" AS STRING) NOT "&amp;H208&amp;",1,0)) AS NUM_REG_DIF,'"&amp;MAX('ID1&amp;5'!K:K)+1&amp;"' AS ID_EXEC, CURRENT_TIMESTAMP() AS TIME_EXEC FROM "&amp;I208,"SELECT '"&amp;UPPER(B208)&amp;"' AS TABELA, '"&amp;UPPER(C208)&amp;"' AS TIPOLOGIA_TESTE,'"&amp;D208&amp;"' AS TABELA_LT,'N/A' AS TABELA_SIMUL,'"&amp;F208&amp;"' AS CAMPO, "&amp;"'${ref_date}' AS REF_DATE, COUNT(*) AS NUM_REG, SUM(IF(TRIM(CAST(X."&amp;F208&amp;" AS STRING))='' OR TRIM(CAST(X."&amp;F208&amp;" AS STRING)) IS NULL,1,0)) AS NUM_REG_DIF,'"&amp;MAX('ID1&amp;5'!K:K)+1&amp;"' AS ID_EXEC, CURRENT_TIMESTAMP() AS TIME_EXEC FROM "&amp;I208),
IF(C208="Caracteres Especiais",+"SELECT '"&amp;UPPER(B208)&amp;"' AS TABELA, '"&amp;UPPER(C208)&amp;"' AS TIPOLOGIA_TESTE,'"&amp;D208&amp;"' AS TABELA_LT,'N/A' AS TABELA_SIMUL,'"&amp;F208&amp;"' AS CAMPO, "&amp;"'${ref_date}' AS REF_DATE, COUNT(*) AS NUM_REG, SUM(IF(INSTR(CAST(X."&amp;F208&amp;" AS STRING),'#')&gt;0 OR INSTR(CAST(X."&amp;F208&amp;" AS STRING),'*')&gt;0 OR INSTR(CAST(X."&amp;F208&amp;" AS STRING),'`')&gt;0 OR INSTR(CAST(X."&amp;F208&amp;" AS STRING),'´')&gt;0 OR INSTR(CAST(X."&amp;F208&amp;" AS STRING),'{')&gt;0 OR INSTR(CAST(X."&amp;F208&amp;" AS STRING),'}')&gt;0 OR INSTR(CAST(X."&amp;F208&amp;" AS STRING),'[')&gt;0 OR INSTR(CAST(X."&amp;F208&amp;" AS STRING),'')&gt;0 OR INSTR(CAST(X."&amp;F208&amp;" AS STRING),']')&gt;0 OR INSTR(CAST(X."&amp;F208&amp;" AS STRING),'?')&gt;0 OR INSTR(CAST(X."&amp;F208&amp;" AS STRING),'!')&gt;0 OR INSTR(CAST(X."&amp;F208&amp;" AS STRING),'$')&gt;0 OR INSTR(CAST(X."&amp;F208&amp;" AS STRING),'%')&gt;0 OR INSTR(CAST(X."&amp;F208&amp;" AS STRING),'&amp;')&gt;0 OR INSTR(CAST(X."&amp;F208&amp;" AS STRING),'+')&gt;0,1,0)) AS NUM_REG_DIF,'"&amp;MAX('ID1&amp;5'!K:K)+1&amp;"' AS ID_EXEC, CURRENT_TIMESTAMP() AS TIME_EXEC FROM "&amp;I208,
IF(C208="Missings",+"SELECT '"&amp;UPPER(B208)&amp;"' AS TABELA, '"&amp;UPPER(C208)&amp;"' AS TIPOLOGIA_TESTE,'"&amp;D208&amp;"' AS TABELA_LT,'N/A' AS TABELA_SIMUL,'"&amp;F208&amp;"' AS CAMPO, "&amp;"'${ref_date}' AS REF_DATE, COUNT(*) AS NUM_REG, SUM(IF(TRIM(CAST(X."&amp;F208&amp;" AS STRING)) IN ('0000-00-00','0001-01-01','9999-12-31','MISS','00000','99999999999','99999999999.00','99999999999.000000'),1,0)) AS NUM_REG_DIF,'"&amp;MAX('ID1&amp;5'!K:K)+1&amp;"' AS ID_EXEC, CURRENT_TIMESTAMP() AS TIME_EXEC FROM "&amp;I208,
IF(C208="Not applicable",+"SELECT '"&amp;UPPER(B208)&amp;"' AS TABELA, '"&amp;UPPER(C208)&amp;"' AS TIPOLOGIA_TESTE,'"&amp;D208&amp;"' AS TABELA_LT,'N/A' AS TABELA_SIMUL,'"&amp;F208&amp;"' AS CAMPO, "&amp;"'${ref_date}' AS REF_DATE, COUNT(*) AS NUM_REG, SUM(IF(TRIM(CAST(X."&amp;F208&amp;" AS STRING)) IN ('N/A','11111111111','11111111111.00','11111111111.000000','1111-11-11'),1,0)) AS NUM_REG_DIF,'"&amp;MAX('ID1&amp;5'!K:K)+1&amp;"' AS ID_EXEC, CURRENT_TIMESTAMP() AS TIME_EXEC FROM "&amp;I208,
IF(C208="Valores extremos",+"SELECT '"&amp;UPPER(B208)&amp;"' AS TABELA, '"&amp;UPPER(C208)&amp;"' AS TIPOLOGIA_TESTE,'"&amp;D208&amp;"' AS TABELA_LT,'N/A' AS TABELA_SIMUL,'"&amp;F208&amp;"' AS CAMPO, "&amp;"'${ref_date}' AS REF_DATE, CAST(MIN("&amp;F208&amp;") AS STRING) AS VALOR_MIN, CAST(MAX("&amp;F208&amp;") AS STRING) AS VALOR_MAX,'"&amp;MAX('ID1&amp;5'!K:K)+1&amp;"' AS ID_EXEC, CURRENT_TIMESTAMP() AS TIME_EXEC FROM "&amp;MID(I208,1,LEN(I208)-2)&amp;" AND CAST("&amp;F208&amp;"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TABELA_SIMUL,'ACCMLTD_IMPRMNT_INSTRMNT' AS CAMPO, '${ref_date}' AS REF_DATE, COUNT(*) AS NUM_REG, SUM(IF(INSTR(CAST(X.ACCMLTD_IMPRMNT_INSTRMNT AS STRING),'#')&gt;0 OR INSTR(CAST(X.ACCMLTD_IMPRMNT_INSTRMNT AS STRING),'*')&gt;0 OR INSTR(CAST(X.ACCMLTD_IMPRMNT_INSTRMNT AS STRING),'`')&gt;0 OR INSTR(CAST(X.ACCMLTD_IMPRMNT_INSTRMNT AS STRING),'´')&gt;0 OR INSTR(CAST(X.ACCMLTD_IMPRMNT_INSTRMNT AS STRING),'{')&gt;0 OR INSTR(CAST(X.ACCMLTD_IMPRMNT_INSTRMNT AS STRING),'}')&gt;0 OR INSTR(CAST(X.ACCMLTD_IMPRMNT_INSTRMNT AS STRING),'[')&gt;0 OR INSTR(CAST(X.ACCMLTD_IMPRMNT_INSTRMNT AS STRING),'')&gt;0 OR INSTR(CAST(X.ACCMLTD_IMPRMNT_INSTRMNT AS STRING),']')&gt;0 OR INSTR(CAST(X.ACCMLTD_IMPRMNT_INSTRMNT AS STRING),'?')&gt;0 OR INSTR(CAST(X.ACCMLTD_IMPRMNT_INSTRMNT AS STRING),'!')&gt;0 OR INSTR(CAST(X.ACCMLTD_IMPRMNT_INSTRMNT AS STRING),'$')&gt;0 OR INSTR(CAST(X.ACCMLTD_IMPRMNT_INSTRMNT AS STRING),'%')&gt;0 OR INSTR(CAST(X.ACCMLTD_IMPRMNT_INSTRMNT AS STRING),'&amp;')&gt;0 OR INSTR(CAST(X.ACCMLTD_IMPRMNT_INSTRMNT AS STRING),'+')&gt;0,1,0)) AS NUM_REG_DIF,'10' AS ID_EXEC, CURRENT_TIMESTAMP() AS TIME_EXEC FROM (SELECT instrmnt_id, ACCMLTD_IMPRMNT_INSTRMNT FROM BU_LOANTAPE_WORK.LT002_INSTRUMENT WHERE ref_date='${ref_date}' AND nome_perimetro='Individual Corporativo' AND segmento='ESTR' AND ambito='PILAR3')X</v>
      </c>
      <c r="M208" s="43" t="str">
        <f t="shared" si="3"/>
        <v>UNION ALL SELECT 'INSTRUMENT' AS TABELA, 'CARACTERES ESPECIAIS' AS TIPOLOGIA_TESTE,'BU_LOANTAPE_WORK.LT002_INSTRUMENT' AS TABELA_LT,'N/A' AS TABELA_SIMUL,'ACCMLTD_IMPRMNT_INSTRMNT' AS CAMPO, '${ref_date}' AS REF_DATE, COUNT(*) AS NUM_REG, SUM(IF(INSTR(CAST(X.ACCMLTD_IMPRMNT_INSTRMNT AS STRING),'#')&gt;0 OR INSTR(CAST(X.ACCMLTD_IMPRMNT_INSTRMNT AS STRING),'*')&gt;0 OR INSTR(CAST(X.ACCMLTD_IMPRMNT_INSTRMNT AS STRING),'`')&gt;0 OR INSTR(CAST(X.ACCMLTD_IMPRMNT_INSTRMNT AS STRING),'´')&gt;0 OR INSTR(CAST(X.ACCMLTD_IMPRMNT_INSTRMNT AS STRING),'{')&gt;0 OR INSTR(CAST(X.ACCMLTD_IMPRMNT_INSTRMNT AS STRING),'}')&gt;0 OR INSTR(CAST(X.ACCMLTD_IMPRMNT_INSTRMNT AS STRING),'[')&gt;0 OR INSTR(CAST(X.ACCMLTD_IMPRMNT_INSTRMNT AS STRING),'')&gt;0 OR INSTR(CAST(X.ACCMLTD_IMPRMNT_INSTRMNT AS STRING),']')&gt;0 OR INSTR(CAST(X.ACCMLTD_IMPRMNT_INSTRMNT AS STRING),'?')&gt;0 OR INSTR(CAST(X.ACCMLTD_IMPRMNT_INSTRMNT AS STRING),'!')&gt;0 OR INSTR(CAST(X.ACCMLTD_IMPRMNT_INSTRMNT AS STRING),'$')&gt;0 OR INSTR(CAST(X.ACCMLTD_IMPRMNT_INSTRMNT AS STRING),'%')&gt;0 OR INSTR(CAST(X.ACCMLTD_IMPRMNT_INSTRMNT AS STRING),'&amp;')&gt;0 OR INSTR(CAST(X.ACCMLTD_IMPRMNT_INSTRMNT AS STRING),'+')&gt;0,1,0)) AS NUM_REG_DIF,'10' AS ID_EXEC, CURRENT_TIMESTAMP() AS TIME_EXEC FROM (SELECT instrmnt_id, ACCMLTD_IMPRMNT_INSTRMNT FROM BU_LOANTAPE_WORK.LT002_INSTRUMENT WHERE ref_date='${ref_date}' AND nome_perimetro='Individual Corporativo' AND segmento='ESTR' AND ambito='PILAR3')X</v>
      </c>
      <c r="N208" s="45" t="s">
        <v>13</v>
      </c>
    </row>
    <row r="209" spans="2:14">
      <c r="B209" s="41" t="s">
        <v>27</v>
      </c>
      <c r="C209" s="41" t="s">
        <v>76</v>
      </c>
      <c r="D209" s="41" t="str">
        <f>+UPPER('0. Instruções'!$D$33&amp;"."&amp;VLOOKUP(B209,'0. Instruções'!$C$27:$D$31,2,FALSE))</f>
        <v>BU_LOANTAPE_WORK.LT002_INSTRUMENT</v>
      </c>
      <c r="E209" s="41" t="str">
        <f>+UPPER('0. Instruções'!$D$34&amp;"."&amp;VLOOKUP(B209,'0. Instruções'!$C$27:$E$31,3,FALSE))</f>
        <v>BU_LOANTAPE_WORK.LT002_INSTRUMENT_P3_NOV24</v>
      </c>
      <c r="F209" s="41" t="s">
        <v>169</v>
      </c>
      <c r="G209" s="41" t="s">
        <v>13</v>
      </c>
      <c r="H209" s="41"/>
      <c r="I209" s="41" t="str">
        <f>"(SELECT "&amp;VLOOKUP(B209,'0. Instruções'!$C$27:$G$31,4,FALSE)&amp;", "&amp;F209&amp;" FROM "&amp;D209&amp;" WHERE "&amp;'0. Instruções'!$D$40&amp;")X"</f>
        <v>(SELECT instrmnt_id, ISSR_CNTRY FROM BU_LOANTAPE_WORK.LT002_INSTRUMENT WHERE ref_date='${ref_date}' AND nome_perimetro='Individual Corporativo' AND segmento='ESTR' AND ambito='PILAR3')X</v>
      </c>
      <c r="J209" s="41" t="str">
        <f>"(SELECT "&amp;VLOOKUP(B209,'0. Instruções'!$C$27:$G$31,4,FALSE)&amp;" AS "&amp;VLOOKUP(B209,'0. Instruções'!$C$27:$G$31,4,FALSE)&amp;"_SIMUL, "&amp;F209&amp;" AS "&amp;F209&amp;"_SIMUL FROM "&amp;E209&amp;")Y"</f>
        <v>(SELECT instrmnt_id AS instrmnt_id_SIMUL, ISSR_CNTRY AS ISSR_CNTRY_SIMUL FROM BU_LOANTAPE_WORK.LT002_INSTRUMENT_P3_NOV24)Y</v>
      </c>
      <c r="K209" s="42" t="str">
        <f>+UPPER("ON X."&amp;VLOOKUP(B209,'0. Instruções'!$C$27:$G$31,4,FALSE)&amp;"=Y."&amp;VLOOKUP(B209,'0. Instruções'!$C$27:$G$31,4,FALSE)&amp;"_SIMUL")</f>
        <v>ON X.INSTRMNT_ID=Y.INSTRMNT_ID_SIMUL</v>
      </c>
      <c r="L209" s="42" t="str">
        <f>+IF(C209="Coerência", +IF(LEFT(G209,5)="FLOAT","SELECT '"&amp;UPPER(B209)&amp;"' AS TABELA, '"&amp;UPPER(C209)&amp;"' AS TIPOLOGIA_TESTE,'"&amp;D209&amp;"' AS TABELA_LT,'"&amp;E209&amp;"' AS TABELA_SIMUL,'"&amp;F209&amp;"' AS CAMPO, "&amp;"'${ref_date}' AS REF_DATE, COUNT(*) AS NUM_REG, SUM(IF((ABS(COALESCE(X."&amp;F209&amp;",0)-COALESCE(Y."&amp;F209&amp;"_SIMUL,0))&gt;0.0000000001) OR (X."&amp;F209&amp;" IS NULL AND Y."&amp;F209&amp;"_SIMUL IS NOT NULL ) OR (X."&amp;F209&amp;" IS NOT NULL AND Y."&amp;F209&amp;"_SIMUL IS NULL),1,0)) AS NUM_REG_DIF,'"&amp;MAX('ID1&amp;5'!K:K)+1&amp;"' AS ID_EXEC, CURRENT_TIMESTAMP() AS TIME_EXEC FROM "&amp;I209&amp;" INNER JOIN "&amp;J209&amp;" "&amp;K209,"SELECT '"&amp;UPPER(B209)&amp;"' AS TABELA, '"&amp;UPPER(C209)&amp;"' AS TIPOLOGIA_TESTE,'"&amp;D209&amp;"' AS TABELA_LT,'"&amp;E209&amp;"' AS TABELA_SIMUL,'"&amp;F209&amp;"' AS CAMPO, "&amp;"'${ref_date}' AS REF_DATE, COUNT(*) AS NUM_REG, SUM(IF(COALESCE(CAST(X."&amp;F209&amp;" AS STRING),'')&lt;&gt;COALESCE(CAST(Y."&amp;F209&amp;"_SIMUL AS STRING),''),1,0)) AS NUM_REG_DIF,'"&amp;MAX('ID1&amp;5'!L:L)+1&amp;"' AS ID_EXEC, CURRENT_TIMESTAMP() AS TIME_EXEC FROM "&amp;I209&amp;" INNER JOIN "&amp;J209&amp;" "&amp;K209),
IF(C209="Validade",+IF(G209="Code List","SELECT '"&amp;UPPER(B209)&amp;"' AS TABELA, '"&amp;UPPER(C209)&amp;"' AS TIPOLOGIA_TESTE,'"&amp;D209&amp;"' AS TABELA_LT,'N/A' AS TABELA_SIMUL,'"&amp;F209&amp;"' AS CAMPO, "&amp;"'${ref_date}' AS REF_DATE, COUNT(*) AS NUM_REG, SUM(IF(TRIM(CAST(X."&amp;F209&amp;" AS STRING))='' OR TRIM(CAST(X."&amp;F209&amp;" AS STRING)) IS NULL OR CAST(X."&amp;F209&amp;" AS STRING) NOT "&amp;H209&amp;",1,0)) AS NUM_REG_DIF,'"&amp;MAX('ID1&amp;5'!K:K)+1&amp;"' AS ID_EXEC, CURRENT_TIMESTAMP() AS TIME_EXEC FROM "&amp;I209,"SELECT '"&amp;UPPER(B209)&amp;"' AS TABELA, '"&amp;UPPER(C209)&amp;"' AS TIPOLOGIA_TESTE,'"&amp;D209&amp;"' AS TABELA_LT,'N/A' AS TABELA_SIMUL,'"&amp;F209&amp;"' AS CAMPO, "&amp;"'${ref_date}' AS REF_DATE, COUNT(*) AS NUM_REG, SUM(IF(TRIM(CAST(X."&amp;F209&amp;" AS STRING))='' OR TRIM(CAST(X."&amp;F209&amp;" AS STRING)) IS NULL,1,0)) AS NUM_REG_DIF,'"&amp;MAX('ID1&amp;5'!K:K)+1&amp;"' AS ID_EXEC, CURRENT_TIMESTAMP() AS TIME_EXEC FROM "&amp;I209),
IF(C209="Caracteres Especiais",+"SELECT '"&amp;UPPER(B209)&amp;"' AS TABELA, '"&amp;UPPER(C209)&amp;"' AS TIPOLOGIA_TESTE,'"&amp;D209&amp;"' AS TABELA_LT,'N/A' AS TABELA_SIMUL,'"&amp;F209&amp;"' AS CAMPO, "&amp;"'${ref_date}' AS REF_DATE, COUNT(*) AS NUM_REG, SUM(IF(INSTR(CAST(X."&amp;F209&amp;" AS STRING),'#')&gt;0 OR INSTR(CAST(X."&amp;F209&amp;" AS STRING),'*')&gt;0 OR INSTR(CAST(X."&amp;F209&amp;" AS STRING),'`')&gt;0 OR INSTR(CAST(X."&amp;F209&amp;" AS STRING),'´')&gt;0 OR INSTR(CAST(X."&amp;F209&amp;" AS STRING),'{')&gt;0 OR INSTR(CAST(X."&amp;F209&amp;" AS STRING),'}')&gt;0 OR INSTR(CAST(X."&amp;F209&amp;" AS STRING),'[')&gt;0 OR INSTR(CAST(X."&amp;F209&amp;" AS STRING),'')&gt;0 OR INSTR(CAST(X."&amp;F209&amp;" AS STRING),']')&gt;0 OR INSTR(CAST(X."&amp;F209&amp;" AS STRING),'?')&gt;0 OR INSTR(CAST(X."&amp;F209&amp;" AS STRING),'!')&gt;0 OR INSTR(CAST(X."&amp;F209&amp;" AS STRING),'$')&gt;0 OR INSTR(CAST(X."&amp;F209&amp;" AS STRING),'%')&gt;0 OR INSTR(CAST(X."&amp;F209&amp;" AS STRING),'&amp;')&gt;0 OR INSTR(CAST(X."&amp;F209&amp;" AS STRING),'+')&gt;0,1,0)) AS NUM_REG_DIF,'"&amp;MAX('ID1&amp;5'!K:K)+1&amp;"' AS ID_EXEC, CURRENT_TIMESTAMP() AS TIME_EXEC FROM "&amp;I209,
IF(C209="Missings",+"SELECT '"&amp;UPPER(B209)&amp;"' AS TABELA, '"&amp;UPPER(C209)&amp;"' AS TIPOLOGIA_TESTE,'"&amp;D209&amp;"' AS TABELA_LT,'N/A' AS TABELA_SIMUL,'"&amp;F209&amp;"' AS CAMPO, "&amp;"'${ref_date}' AS REF_DATE, COUNT(*) AS NUM_REG, SUM(IF(TRIM(CAST(X."&amp;F209&amp;" AS STRING)) IN ('0000-00-00','0001-01-01','9999-12-31','MISS','00000','99999999999','99999999999.00','99999999999.000000'),1,0)) AS NUM_REG_DIF,'"&amp;MAX('ID1&amp;5'!K:K)+1&amp;"' AS ID_EXEC, CURRENT_TIMESTAMP() AS TIME_EXEC FROM "&amp;I209,
IF(C209="Not applicable",+"SELECT '"&amp;UPPER(B209)&amp;"' AS TABELA, '"&amp;UPPER(C209)&amp;"' AS TIPOLOGIA_TESTE,'"&amp;D209&amp;"' AS TABELA_LT,'N/A' AS TABELA_SIMUL,'"&amp;F209&amp;"' AS CAMPO, "&amp;"'${ref_date}' AS REF_DATE, COUNT(*) AS NUM_REG, SUM(IF(TRIM(CAST(X."&amp;F209&amp;" AS STRING)) IN ('N/A','11111111111','11111111111.00','11111111111.000000','1111-11-11'),1,0)) AS NUM_REG_DIF,'"&amp;MAX('ID1&amp;5'!K:K)+1&amp;"' AS ID_EXEC, CURRENT_TIMESTAMP() AS TIME_EXEC FROM "&amp;I209,
IF(C209="Valores extremos",+"SELECT '"&amp;UPPER(B209)&amp;"' AS TABELA, '"&amp;UPPER(C209)&amp;"' AS TIPOLOGIA_TESTE,'"&amp;D209&amp;"' AS TABELA_LT,'N/A' AS TABELA_SIMUL,'"&amp;F209&amp;"' AS CAMPO, "&amp;"'${ref_date}' AS REF_DATE, CAST(MIN("&amp;F209&amp;") AS STRING) AS VALOR_MIN, CAST(MAX("&amp;F209&amp;") AS STRING) AS VALOR_MAX,'"&amp;MAX('ID1&amp;5'!K:K)+1&amp;"' AS ID_EXEC, CURRENT_TIMESTAMP() AS TIME_EXEC FROM "&amp;MID(I209,1,LEN(I209)-2)&amp;" AND CAST("&amp;F209&amp;"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TABELA_SIMUL,'ISSR_CNTRY' AS CAMPO, '${ref_date}' AS REF_DATE, COUNT(*) AS NUM_REG, SUM(IF(INSTR(CAST(X.ISSR_CNTRY AS STRING),'#')&gt;0 OR INSTR(CAST(X.ISSR_CNTRY AS STRING),'*')&gt;0 OR INSTR(CAST(X.ISSR_CNTRY AS STRING),'`')&gt;0 OR INSTR(CAST(X.ISSR_CNTRY AS STRING),'´')&gt;0 OR INSTR(CAST(X.ISSR_CNTRY AS STRING),'{')&gt;0 OR INSTR(CAST(X.ISSR_CNTRY AS STRING),'}')&gt;0 OR INSTR(CAST(X.ISSR_CNTRY AS STRING),'[')&gt;0 OR INSTR(CAST(X.ISSR_CNTRY AS STRING),'')&gt;0 OR INSTR(CAST(X.ISSR_CNTRY AS STRING),']')&gt;0 OR INSTR(CAST(X.ISSR_CNTRY AS STRING),'?')&gt;0 OR INSTR(CAST(X.ISSR_CNTRY AS STRING),'!')&gt;0 OR INSTR(CAST(X.ISSR_CNTRY AS STRING),'$')&gt;0 OR INSTR(CAST(X.ISSR_CNTRY AS STRING),'%')&gt;0 OR INSTR(CAST(X.ISSR_CNTRY AS STRING),'&amp;')&gt;0 OR INSTR(CAST(X.ISSR_CNTRY AS STRING),'+')&gt;0,1,0)) AS NUM_REG_DIF,'10' AS ID_EXEC, CURRENT_TIMESTAMP() AS TIME_EXEC FROM (SELECT instrmnt_id, ISSR_CNTRY FROM BU_LOANTAPE_WORK.LT002_INSTRUMENT WHERE ref_date='${ref_date}' AND nome_perimetro='Individual Corporativo' AND segmento='ESTR' AND ambito='PILAR3')X</v>
      </c>
      <c r="M209" s="43" t="str">
        <f t="shared" si="3"/>
        <v>UNION ALL SELECT 'INSTRUMENT' AS TABELA, 'CARACTERES ESPECIAIS' AS TIPOLOGIA_TESTE,'BU_LOANTAPE_WORK.LT002_INSTRUMENT' AS TABELA_LT,'N/A' AS TABELA_SIMUL,'ISSR_CNTRY' AS CAMPO, '${ref_date}' AS REF_DATE, COUNT(*) AS NUM_REG, SUM(IF(INSTR(CAST(X.ISSR_CNTRY AS STRING),'#')&gt;0 OR INSTR(CAST(X.ISSR_CNTRY AS STRING),'*')&gt;0 OR INSTR(CAST(X.ISSR_CNTRY AS STRING),'`')&gt;0 OR INSTR(CAST(X.ISSR_CNTRY AS STRING),'´')&gt;0 OR INSTR(CAST(X.ISSR_CNTRY AS STRING),'{')&gt;0 OR INSTR(CAST(X.ISSR_CNTRY AS STRING),'}')&gt;0 OR INSTR(CAST(X.ISSR_CNTRY AS STRING),'[')&gt;0 OR INSTR(CAST(X.ISSR_CNTRY AS STRING),'')&gt;0 OR INSTR(CAST(X.ISSR_CNTRY AS STRING),']')&gt;0 OR INSTR(CAST(X.ISSR_CNTRY AS STRING),'?')&gt;0 OR INSTR(CAST(X.ISSR_CNTRY AS STRING),'!')&gt;0 OR INSTR(CAST(X.ISSR_CNTRY AS STRING),'$')&gt;0 OR INSTR(CAST(X.ISSR_CNTRY AS STRING),'%')&gt;0 OR INSTR(CAST(X.ISSR_CNTRY AS STRING),'&amp;')&gt;0 OR INSTR(CAST(X.ISSR_CNTRY AS STRING),'+')&gt;0,1,0)) AS NUM_REG_DIF,'10' AS ID_EXEC, CURRENT_TIMESTAMP() AS TIME_EXEC FROM (SELECT instrmnt_id, ISSR_CNTRY FROM BU_LOANTAPE_WORK.LT002_INSTRUMENT WHERE ref_date='${ref_date}' AND nome_perimetro='Individual Corporativo' AND segmento='ESTR' AND ambito='PILAR3')X</v>
      </c>
      <c r="N209" s="45" t="s">
        <v>13</v>
      </c>
    </row>
    <row r="210" spans="2:14">
      <c r="B210" s="41" t="s">
        <v>27</v>
      </c>
      <c r="C210" s="41" t="s">
        <v>76</v>
      </c>
      <c r="D210" s="41" t="str">
        <f>+UPPER('0. Instruções'!$D$33&amp;"."&amp;VLOOKUP(B210,'0. Instruções'!$C$27:$D$31,2,FALSE))</f>
        <v>BU_LOANTAPE_WORK.LT002_INSTRUMENT</v>
      </c>
      <c r="E210" s="41" t="str">
        <f>+UPPER('0. Instruções'!$D$34&amp;"."&amp;VLOOKUP(B210,'0. Instruções'!$C$27:$E$31,3,FALSE))</f>
        <v>BU_LOANTAPE_WORK.LT002_INSTRUMENT_P3_NOV24</v>
      </c>
      <c r="F210" s="41" t="s">
        <v>170</v>
      </c>
      <c r="G210" s="41" t="s">
        <v>13</v>
      </c>
      <c r="H210" s="41"/>
      <c r="I210" s="41" t="str">
        <f>"(SELECT "&amp;VLOOKUP(B210,'0. Instruções'!$C$27:$G$31,4,FALSE)&amp;", "&amp;F210&amp;" FROM "&amp;D210&amp;" WHERE "&amp;'0. Instruções'!$D$40&amp;")X"</f>
        <v>(SELECT instrmnt_id, ISSR_NACE_SCTR FROM BU_LOANTAPE_WORK.LT002_INSTRUMENT WHERE ref_date='${ref_date}' AND nome_perimetro='Individual Corporativo' AND segmento='ESTR' AND ambito='PILAR3')X</v>
      </c>
      <c r="J210" s="41" t="str">
        <f>"(SELECT "&amp;VLOOKUP(B210,'0. Instruções'!$C$27:$G$31,4,FALSE)&amp;" AS "&amp;VLOOKUP(B210,'0. Instruções'!$C$27:$G$31,4,FALSE)&amp;"_SIMUL, "&amp;F210&amp;" AS "&amp;F210&amp;"_SIMUL FROM "&amp;E210&amp;")Y"</f>
        <v>(SELECT instrmnt_id AS instrmnt_id_SIMUL, ISSR_NACE_SCTR AS ISSR_NACE_SCTR_SIMUL FROM BU_LOANTAPE_WORK.LT002_INSTRUMENT_P3_NOV24)Y</v>
      </c>
      <c r="K210" s="42" t="str">
        <f>+UPPER("ON X."&amp;VLOOKUP(B210,'0. Instruções'!$C$27:$G$31,4,FALSE)&amp;"=Y."&amp;VLOOKUP(B210,'0. Instruções'!$C$27:$G$31,4,FALSE)&amp;"_SIMUL")</f>
        <v>ON X.INSTRMNT_ID=Y.INSTRMNT_ID_SIMUL</v>
      </c>
      <c r="L210" s="42" t="str">
        <f>+IF(C210="Coerência", +IF(LEFT(G210,5)="FLOAT","SELECT '"&amp;UPPER(B210)&amp;"' AS TABELA, '"&amp;UPPER(C210)&amp;"' AS TIPOLOGIA_TESTE,'"&amp;D210&amp;"' AS TABELA_LT,'"&amp;E210&amp;"' AS TABELA_SIMUL,'"&amp;F210&amp;"' AS CAMPO, "&amp;"'${ref_date}' AS REF_DATE, COUNT(*) AS NUM_REG, SUM(IF((ABS(COALESCE(X."&amp;F210&amp;",0)-COALESCE(Y."&amp;F210&amp;"_SIMUL,0))&gt;0.0000000001) OR (X."&amp;F210&amp;" IS NULL AND Y."&amp;F210&amp;"_SIMUL IS NOT NULL ) OR (X."&amp;F210&amp;" IS NOT NULL AND Y."&amp;F210&amp;"_SIMUL IS NULL),1,0)) AS NUM_REG_DIF,'"&amp;MAX('ID1&amp;5'!K:K)+1&amp;"' AS ID_EXEC, CURRENT_TIMESTAMP() AS TIME_EXEC FROM "&amp;I210&amp;" INNER JOIN "&amp;J210&amp;" "&amp;K210,"SELECT '"&amp;UPPER(B210)&amp;"' AS TABELA, '"&amp;UPPER(C210)&amp;"' AS TIPOLOGIA_TESTE,'"&amp;D210&amp;"' AS TABELA_LT,'"&amp;E210&amp;"' AS TABELA_SIMUL,'"&amp;F210&amp;"' AS CAMPO, "&amp;"'${ref_date}' AS REF_DATE, COUNT(*) AS NUM_REG, SUM(IF(COALESCE(CAST(X."&amp;F210&amp;" AS STRING),'')&lt;&gt;COALESCE(CAST(Y."&amp;F210&amp;"_SIMUL AS STRING),''),1,0)) AS NUM_REG_DIF,'"&amp;MAX('ID1&amp;5'!L:L)+1&amp;"' AS ID_EXEC, CURRENT_TIMESTAMP() AS TIME_EXEC FROM "&amp;I210&amp;" INNER JOIN "&amp;J210&amp;" "&amp;K210),
IF(C210="Validade",+IF(G210="Code List","SELECT '"&amp;UPPER(B210)&amp;"' AS TABELA, '"&amp;UPPER(C210)&amp;"' AS TIPOLOGIA_TESTE,'"&amp;D210&amp;"' AS TABELA_LT,'N/A' AS TABELA_SIMUL,'"&amp;F210&amp;"' AS CAMPO, "&amp;"'${ref_date}' AS REF_DATE, COUNT(*) AS NUM_REG, SUM(IF(TRIM(CAST(X."&amp;F210&amp;" AS STRING))='' OR TRIM(CAST(X."&amp;F210&amp;" AS STRING)) IS NULL OR CAST(X."&amp;F210&amp;" AS STRING) NOT "&amp;H210&amp;",1,0)) AS NUM_REG_DIF,'"&amp;MAX('ID1&amp;5'!K:K)+1&amp;"' AS ID_EXEC, CURRENT_TIMESTAMP() AS TIME_EXEC FROM "&amp;I210,"SELECT '"&amp;UPPER(B210)&amp;"' AS TABELA, '"&amp;UPPER(C210)&amp;"' AS TIPOLOGIA_TESTE,'"&amp;D210&amp;"' AS TABELA_LT,'N/A' AS TABELA_SIMUL,'"&amp;F210&amp;"' AS CAMPO, "&amp;"'${ref_date}' AS REF_DATE, COUNT(*) AS NUM_REG, SUM(IF(TRIM(CAST(X."&amp;F210&amp;" AS STRING))='' OR TRIM(CAST(X."&amp;F210&amp;" AS STRING)) IS NULL,1,0)) AS NUM_REG_DIF,'"&amp;MAX('ID1&amp;5'!K:K)+1&amp;"' AS ID_EXEC, CURRENT_TIMESTAMP() AS TIME_EXEC FROM "&amp;I210),
IF(C210="Caracteres Especiais",+"SELECT '"&amp;UPPER(B210)&amp;"' AS TABELA, '"&amp;UPPER(C210)&amp;"' AS TIPOLOGIA_TESTE,'"&amp;D210&amp;"' AS TABELA_LT,'N/A' AS TABELA_SIMUL,'"&amp;F210&amp;"' AS CAMPO, "&amp;"'${ref_date}' AS REF_DATE, COUNT(*) AS NUM_REG, SUM(IF(INSTR(CAST(X."&amp;F210&amp;" AS STRING),'#')&gt;0 OR INSTR(CAST(X."&amp;F210&amp;" AS STRING),'*')&gt;0 OR INSTR(CAST(X."&amp;F210&amp;" AS STRING),'`')&gt;0 OR INSTR(CAST(X."&amp;F210&amp;" AS STRING),'´')&gt;0 OR INSTR(CAST(X."&amp;F210&amp;" AS STRING),'{')&gt;0 OR INSTR(CAST(X."&amp;F210&amp;" AS STRING),'}')&gt;0 OR INSTR(CAST(X."&amp;F210&amp;" AS STRING),'[')&gt;0 OR INSTR(CAST(X."&amp;F210&amp;" AS STRING),'')&gt;0 OR INSTR(CAST(X."&amp;F210&amp;" AS STRING),']')&gt;0 OR INSTR(CAST(X."&amp;F210&amp;" AS STRING),'?')&gt;0 OR INSTR(CAST(X."&amp;F210&amp;" AS STRING),'!')&gt;0 OR INSTR(CAST(X."&amp;F210&amp;" AS STRING),'$')&gt;0 OR INSTR(CAST(X."&amp;F210&amp;" AS STRING),'%')&gt;0 OR INSTR(CAST(X."&amp;F210&amp;" AS STRING),'&amp;')&gt;0 OR INSTR(CAST(X."&amp;F210&amp;" AS STRING),'+')&gt;0,1,0)) AS NUM_REG_DIF,'"&amp;MAX('ID1&amp;5'!K:K)+1&amp;"' AS ID_EXEC, CURRENT_TIMESTAMP() AS TIME_EXEC FROM "&amp;I210,
IF(C210="Missings",+"SELECT '"&amp;UPPER(B210)&amp;"' AS TABELA, '"&amp;UPPER(C210)&amp;"' AS TIPOLOGIA_TESTE,'"&amp;D210&amp;"' AS TABELA_LT,'N/A' AS TABELA_SIMUL,'"&amp;F210&amp;"' AS CAMPO, "&amp;"'${ref_date}' AS REF_DATE, COUNT(*) AS NUM_REG, SUM(IF(TRIM(CAST(X."&amp;F210&amp;" AS STRING)) IN ('0000-00-00','0001-01-01','9999-12-31','MISS','00000','99999999999','99999999999.00','99999999999.000000'),1,0)) AS NUM_REG_DIF,'"&amp;MAX('ID1&amp;5'!K:K)+1&amp;"' AS ID_EXEC, CURRENT_TIMESTAMP() AS TIME_EXEC FROM "&amp;I210,
IF(C210="Not applicable",+"SELECT '"&amp;UPPER(B210)&amp;"' AS TABELA, '"&amp;UPPER(C210)&amp;"' AS TIPOLOGIA_TESTE,'"&amp;D210&amp;"' AS TABELA_LT,'N/A' AS TABELA_SIMUL,'"&amp;F210&amp;"' AS CAMPO, "&amp;"'${ref_date}' AS REF_DATE, COUNT(*) AS NUM_REG, SUM(IF(TRIM(CAST(X."&amp;F210&amp;" AS STRING)) IN ('N/A','11111111111','11111111111.00','11111111111.000000','1111-11-11'),1,0)) AS NUM_REG_DIF,'"&amp;MAX('ID1&amp;5'!K:K)+1&amp;"' AS ID_EXEC, CURRENT_TIMESTAMP() AS TIME_EXEC FROM "&amp;I210,
IF(C210="Valores extremos",+"SELECT '"&amp;UPPER(B210)&amp;"' AS TABELA, '"&amp;UPPER(C210)&amp;"' AS TIPOLOGIA_TESTE,'"&amp;D210&amp;"' AS TABELA_LT,'N/A' AS TABELA_SIMUL,'"&amp;F210&amp;"' AS CAMPO, "&amp;"'${ref_date}' AS REF_DATE, CAST(MIN("&amp;F210&amp;") AS STRING) AS VALOR_MIN, CAST(MAX("&amp;F210&amp;") AS STRING) AS VALOR_MAX,'"&amp;MAX('ID1&amp;5'!K:K)+1&amp;"' AS ID_EXEC, CURRENT_TIMESTAMP() AS TIME_EXEC FROM "&amp;MID(I210,1,LEN(I210)-2)&amp;" AND CAST("&amp;F210&amp;"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TABELA_SIMUL,'ISSR_NACE_SCTR' AS CAMPO, '${ref_date}' AS REF_DATE, COUNT(*) AS NUM_REG, SUM(IF(INSTR(CAST(X.ISSR_NACE_SCTR AS STRING),'#')&gt;0 OR INSTR(CAST(X.ISSR_NACE_SCTR AS STRING),'*')&gt;0 OR INSTR(CAST(X.ISSR_NACE_SCTR AS STRING),'`')&gt;0 OR INSTR(CAST(X.ISSR_NACE_SCTR AS STRING),'´')&gt;0 OR INSTR(CAST(X.ISSR_NACE_SCTR AS STRING),'{')&gt;0 OR INSTR(CAST(X.ISSR_NACE_SCTR AS STRING),'}')&gt;0 OR INSTR(CAST(X.ISSR_NACE_SCTR AS STRING),'[')&gt;0 OR INSTR(CAST(X.ISSR_NACE_SCTR AS STRING),'')&gt;0 OR INSTR(CAST(X.ISSR_NACE_SCTR AS STRING),']')&gt;0 OR INSTR(CAST(X.ISSR_NACE_SCTR AS STRING),'?')&gt;0 OR INSTR(CAST(X.ISSR_NACE_SCTR AS STRING),'!')&gt;0 OR INSTR(CAST(X.ISSR_NACE_SCTR AS STRING),'$')&gt;0 OR INSTR(CAST(X.ISSR_NACE_SCTR AS STRING),'%')&gt;0 OR INSTR(CAST(X.ISSR_NACE_SCTR AS STRING),'&amp;')&gt;0 OR INSTR(CAST(X.ISSR_NACE_SCTR AS STRING),'+')&gt;0,1,0)) AS NUM_REG_DIF,'10' AS ID_EXEC, CURRENT_TIMESTAMP() AS TIME_EXEC FROM (SELECT instrmnt_id, ISSR_NACE_SCTR FROM BU_LOANTAPE_WORK.LT002_INSTRUMENT WHERE ref_date='${ref_date}' AND nome_perimetro='Individual Corporativo' AND segmento='ESTR' AND ambito='PILAR3')X</v>
      </c>
      <c r="M210" s="43" t="str">
        <f t="shared" si="3"/>
        <v>UNION ALL SELECT 'INSTRUMENT' AS TABELA, 'CARACTERES ESPECIAIS' AS TIPOLOGIA_TESTE,'BU_LOANTAPE_WORK.LT002_INSTRUMENT' AS TABELA_LT,'N/A' AS TABELA_SIMUL,'ISSR_NACE_SCTR' AS CAMPO, '${ref_date}' AS REF_DATE, COUNT(*) AS NUM_REG, SUM(IF(INSTR(CAST(X.ISSR_NACE_SCTR AS STRING),'#')&gt;0 OR INSTR(CAST(X.ISSR_NACE_SCTR AS STRING),'*')&gt;0 OR INSTR(CAST(X.ISSR_NACE_SCTR AS STRING),'`')&gt;0 OR INSTR(CAST(X.ISSR_NACE_SCTR AS STRING),'´')&gt;0 OR INSTR(CAST(X.ISSR_NACE_SCTR AS STRING),'{')&gt;0 OR INSTR(CAST(X.ISSR_NACE_SCTR AS STRING),'}')&gt;0 OR INSTR(CAST(X.ISSR_NACE_SCTR AS STRING),'[')&gt;0 OR INSTR(CAST(X.ISSR_NACE_SCTR AS STRING),'')&gt;0 OR INSTR(CAST(X.ISSR_NACE_SCTR AS STRING),']')&gt;0 OR INSTR(CAST(X.ISSR_NACE_SCTR AS STRING),'?')&gt;0 OR INSTR(CAST(X.ISSR_NACE_SCTR AS STRING),'!')&gt;0 OR INSTR(CAST(X.ISSR_NACE_SCTR AS STRING),'$')&gt;0 OR INSTR(CAST(X.ISSR_NACE_SCTR AS STRING),'%')&gt;0 OR INSTR(CAST(X.ISSR_NACE_SCTR AS STRING),'&amp;')&gt;0 OR INSTR(CAST(X.ISSR_NACE_SCTR AS STRING),'+')&gt;0,1,0)) AS NUM_REG_DIF,'10' AS ID_EXEC, CURRENT_TIMESTAMP() AS TIME_EXEC FROM (SELECT instrmnt_id, ISSR_NACE_SCTR FROM BU_LOANTAPE_WORK.LT002_INSTRUMENT WHERE ref_date='${ref_date}' AND nome_perimetro='Individual Corporativo' AND segmento='ESTR' AND ambito='PILAR3')X</v>
      </c>
      <c r="N210" s="45" t="s">
        <v>13</v>
      </c>
    </row>
    <row r="211" spans="2:14">
      <c r="B211" s="41" t="s">
        <v>27</v>
      </c>
      <c r="C211" s="41" t="s">
        <v>76</v>
      </c>
      <c r="D211" s="41" t="str">
        <f>+UPPER('0. Instruções'!$D$33&amp;"."&amp;VLOOKUP(B211,'0. Instruções'!$C$27:$D$31,2,FALSE))</f>
        <v>BU_LOANTAPE_WORK.LT002_INSTRUMENT</v>
      </c>
      <c r="E211" s="41" t="str">
        <f>+UPPER('0. Instruções'!$D$34&amp;"."&amp;VLOOKUP(B211,'0. Instruções'!$C$27:$E$31,3,FALSE))</f>
        <v>BU_LOANTAPE_WORK.LT002_INSTRUMENT_P3_NOV24</v>
      </c>
      <c r="F211" s="41" t="s">
        <v>171</v>
      </c>
      <c r="G211" s="41" t="s">
        <v>13</v>
      </c>
      <c r="H211" s="41"/>
      <c r="I211" s="41" t="str">
        <f>"(SELECT "&amp;VLOOKUP(B211,'0. Instruções'!$C$27:$G$31,4,FALSE)&amp;", "&amp;F211&amp;" FROM "&amp;D211&amp;" WHERE "&amp;'0. Instruções'!$D$40&amp;")X"</f>
        <v>(SELECT instrmnt_id, PRMRY_ASST_CLSSF FROM BU_LOANTAPE_WORK.LT002_INSTRUMENT WHERE ref_date='${ref_date}' AND nome_perimetro='Individual Corporativo' AND segmento='ESTR' AND ambito='PILAR3')X</v>
      </c>
      <c r="J211" s="41" t="str">
        <f>"(SELECT "&amp;VLOOKUP(B211,'0. Instruções'!$C$27:$G$31,4,FALSE)&amp;" AS "&amp;VLOOKUP(B211,'0. Instruções'!$C$27:$G$31,4,FALSE)&amp;"_SIMUL, "&amp;F211&amp;" AS "&amp;F211&amp;"_SIMUL FROM "&amp;E211&amp;")Y"</f>
        <v>(SELECT instrmnt_id AS instrmnt_id_SIMUL, PRMRY_ASST_CLSSF AS PRMRY_ASST_CLSSF_SIMUL FROM BU_LOANTAPE_WORK.LT002_INSTRUMENT_P3_NOV24)Y</v>
      </c>
      <c r="K211" s="42" t="str">
        <f>+UPPER("ON X."&amp;VLOOKUP(B211,'0. Instruções'!$C$27:$G$31,4,FALSE)&amp;"=Y."&amp;VLOOKUP(B211,'0. Instruções'!$C$27:$G$31,4,FALSE)&amp;"_SIMUL")</f>
        <v>ON X.INSTRMNT_ID=Y.INSTRMNT_ID_SIMUL</v>
      </c>
      <c r="L211" s="42" t="str">
        <f>+IF(C211="Coerência", +IF(LEFT(G211,5)="FLOAT","SELECT '"&amp;UPPER(B211)&amp;"' AS TABELA, '"&amp;UPPER(C211)&amp;"' AS TIPOLOGIA_TESTE,'"&amp;D211&amp;"' AS TABELA_LT,'"&amp;E211&amp;"' AS TABELA_SIMUL,'"&amp;F211&amp;"' AS CAMPO, "&amp;"'${ref_date}' AS REF_DATE, COUNT(*) AS NUM_REG, SUM(IF((ABS(COALESCE(X."&amp;F211&amp;",0)-COALESCE(Y."&amp;F211&amp;"_SIMUL,0))&gt;0.0000000001) OR (X."&amp;F211&amp;" IS NULL AND Y."&amp;F211&amp;"_SIMUL IS NOT NULL ) OR (X."&amp;F211&amp;" IS NOT NULL AND Y."&amp;F211&amp;"_SIMUL IS NULL),1,0)) AS NUM_REG_DIF,'"&amp;MAX('ID1&amp;5'!K:K)+1&amp;"' AS ID_EXEC, CURRENT_TIMESTAMP() AS TIME_EXEC FROM "&amp;I211&amp;" INNER JOIN "&amp;J211&amp;" "&amp;K211,"SELECT '"&amp;UPPER(B211)&amp;"' AS TABELA, '"&amp;UPPER(C211)&amp;"' AS TIPOLOGIA_TESTE,'"&amp;D211&amp;"' AS TABELA_LT,'"&amp;E211&amp;"' AS TABELA_SIMUL,'"&amp;F211&amp;"' AS CAMPO, "&amp;"'${ref_date}' AS REF_DATE, COUNT(*) AS NUM_REG, SUM(IF(COALESCE(CAST(X."&amp;F211&amp;" AS STRING),'')&lt;&gt;COALESCE(CAST(Y."&amp;F211&amp;"_SIMUL AS STRING),''),1,0)) AS NUM_REG_DIF,'"&amp;MAX('ID1&amp;5'!L:L)+1&amp;"' AS ID_EXEC, CURRENT_TIMESTAMP() AS TIME_EXEC FROM "&amp;I211&amp;" INNER JOIN "&amp;J211&amp;" "&amp;K211),
IF(C211="Validade",+IF(G211="Code List","SELECT '"&amp;UPPER(B211)&amp;"' AS TABELA, '"&amp;UPPER(C211)&amp;"' AS TIPOLOGIA_TESTE,'"&amp;D211&amp;"' AS TABELA_LT,'N/A' AS TABELA_SIMUL,'"&amp;F211&amp;"' AS CAMPO, "&amp;"'${ref_date}' AS REF_DATE, COUNT(*) AS NUM_REG, SUM(IF(TRIM(CAST(X."&amp;F211&amp;" AS STRING))='' OR TRIM(CAST(X."&amp;F211&amp;" AS STRING)) IS NULL OR CAST(X."&amp;F211&amp;" AS STRING) NOT "&amp;H211&amp;",1,0)) AS NUM_REG_DIF,'"&amp;MAX('ID1&amp;5'!K:K)+1&amp;"' AS ID_EXEC, CURRENT_TIMESTAMP() AS TIME_EXEC FROM "&amp;I211,"SELECT '"&amp;UPPER(B211)&amp;"' AS TABELA, '"&amp;UPPER(C211)&amp;"' AS TIPOLOGIA_TESTE,'"&amp;D211&amp;"' AS TABELA_LT,'N/A' AS TABELA_SIMUL,'"&amp;F211&amp;"' AS CAMPO, "&amp;"'${ref_date}' AS REF_DATE, COUNT(*) AS NUM_REG, SUM(IF(TRIM(CAST(X."&amp;F211&amp;" AS STRING))='' OR TRIM(CAST(X."&amp;F211&amp;" AS STRING)) IS NULL,1,0)) AS NUM_REG_DIF,'"&amp;MAX('ID1&amp;5'!K:K)+1&amp;"' AS ID_EXEC, CURRENT_TIMESTAMP() AS TIME_EXEC FROM "&amp;I211),
IF(C211="Caracteres Especiais",+"SELECT '"&amp;UPPER(B211)&amp;"' AS TABELA, '"&amp;UPPER(C211)&amp;"' AS TIPOLOGIA_TESTE,'"&amp;D211&amp;"' AS TABELA_LT,'N/A' AS TABELA_SIMUL,'"&amp;F211&amp;"' AS CAMPO, "&amp;"'${ref_date}' AS REF_DATE, COUNT(*) AS NUM_REG, SUM(IF(INSTR(CAST(X."&amp;F211&amp;" AS STRING),'#')&gt;0 OR INSTR(CAST(X."&amp;F211&amp;" AS STRING),'*')&gt;0 OR INSTR(CAST(X."&amp;F211&amp;" AS STRING),'`')&gt;0 OR INSTR(CAST(X."&amp;F211&amp;" AS STRING),'´')&gt;0 OR INSTR(CAST(X."&amp;F211&amp;" AS STRING),'{')&gt;0 OR INSTR(CAST(X."&amp;F211&amp;" AS STRING),'}')&gt;0 OR INSTR(CAST(X."&amp;F211&amp;" AS STRING),'[')&gt;0 OR INSTR(CAST(X."&amp;F211&amp;" AS STRING),'')&gt;0 OR INSTR(CAST(X."&amp;F211&amp;" AS STRING),']')&gt;0 OR INSTR(CAST(X."&amp;F211&amp;" AS STRING),'?')&gt;0 OR INSTR(CAST(X."&amp;F211&amp;" AS STRING),'!')&gt;0 OR INSTR(CAST(X."&amp;F211&amp;" AS STRING),'$')&gt;0 OR INSTR(CAST(X."&amp;F211&amp;" AS STRING),'%')&gt;0 OR INSTR(CAST(X."&amp;F211&amp;" AS STRING),'&amp;')&gt;0 OR INSTR(CAST(X."&amp;F211&amp;" AS STRING),'+')&gt;0,1,0)) AS NUM_REG_DIF,'"&amp;MAX('ID1&amp;5'!K:K)+1&amp;"' AS ID_EXEC, CURRENT_TIMESTAMP() AS TIME_EXEC FROM "&amp;I211,
IF(C211="Missings",+"SELECT '"&amp;UPPER(B211)&amp;"' AS TABELA, '"&amp;UPPER(C211)&amp;"' AS TIPOLOGIA_TESTE,'"&amp;D211&amp;"' AS TABELA_LT,'N/A' AS TABELA_SIMUL,'"&amp;F211&amp;"' AS CAMPO, "&amp;"'${ref_date}' AS REF_DATE, COUNT(*) AS NUM_REG, SUM(IF(TRIM(CAST(X."&amp;F211&amp;" AS STRING)) IN ('0000-00-00','0001-01-01','9999-12-31','MISS','00000','99999999999','99999999999.00','99999999999.000000'),1,0)) AS NUM_REG_DIF,'"&amp;MAX('ID1&amp;5'!K:K)+1&amp;"' AS ID_EXEC, CURRENT_TIMESTAMP() AS TIME_EXEC FROM "&amp;I211,
IF(C211="Not applicable",+"SELECT '"&amp;UPPER(B211)&amp;"' AS TABELA, '"&amp;UPPER(C211)&amp;"' AS TIPOLOGIA_TESTE,'"&amp;D211&amp;"' AS TABELA_LT,'N/A' AS TABELA_SIMUL,'"&amp;F211&amp;"' AS CAMPO, "&amp;"'${ref_date}' AS REF_DATE, COUNT(*) AS NUM_REG, SUM(IF(TRIM(CAST(X."&amp;F211&amp;" AS STRING)) IN ('N/A','11111111111','11111111111.00','11111111111.000000','1111-11-11'),1,0)) AS NUM_REG_DIF,'"&amp;MAX('ID1&amp;5'!K:K)+1&amp;"' AS ID_EXEC, CURRENT_TIMESTAMP() AS TIME_EXEC FROM "&amp;I211,
IF(C211="Valores extremos",+"SELECT '"&amp;UPPER(B211)&amp;"' AS TABELA, '"&amp;UPPER(C211)&amp;"' AS TIPOLOGIA_TESTE,'"&amp;D211&amp;"' AS TABELA_LT,'N/A' AS TABELA_SIMUL,'"&amp;F211&amp;"' AS CAMPO, "&amp;"'${ref_date}' AS REF_DATE, CAST(MIN("&amp;F211&amp;") AS STRING) AS VALOR_MIN, CAST(MAX("&amp;F211&amp;") AS STRING) AS VALOR_MAX,'"&amp;MAX('ID1&amp;5'!K:K)+1&amp;"' AS ID_EXEC, CURRENT_TIMESTAMP() AS TIME_EXEC FROM "&amp;MID(I211,1,LEN(I211)-2)&amp;" AND CAST("&amp;F211&amp;"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TABELA_SIMUL,'PRMRY_ASST_CLSSF' AS CAMPO, '${ref_date}' AS REF_DATE, COUNT(*) AS NUM_REG, SUM(IF(INSTR(CAST(X.PRMRY_ASST_CLSSF AS STRING),'#')&gt;0 OR INSTR(CAST(X.PRMRY_ASST_CLSSF AS STRING),'*')&gt;0 OR INSTR(CAST(X.PRMRY_ASST_CLSSF AS STRING),'`')&gt;0 OR INSTR(CAST(X.PRMRY_ASST_CLSSF AS STRING),'´')&gt;0 OR INSTR(CAST(X.PRMRY_ASST_CLSSF AS STRING),'{')&gt;0 OR INSTR(CAST(X.PRMRY_ASST_CLSSF AS STRING),'}')&gt;0 OR INSTR(CAST(X.PRMRY_ASST_CLSSF AS STRING),'[')&gt;0 OR INSTR(CAST(X.PRMRY_ASST_CLSSF AS STRING),'')&gt;0 OR INSTR(CAST(X.PRMRY_ASST_CLSSF AS STRING),']')&gt;0 OR INSTR(CAST(X.PRMRY_ASST_CLSSF AS STRING),'?')&gt;0 OR INSTR(CAST(X.PRMRY_ASST_CLSSF AS STRING),'!')&gt;0 OR INSTR(CAST(X.PRMRY_ASST_CLSSF AS STRING),'$')&gt;0 OR INSTR(CAST(X.PRMRY_ASST_CLSSF AS STRING),'%')&gt;0 OR INSTR(CAST(X.PRMRY_ASST_CLSSF AS STRING),'&amp;')&gt;0 OR INSTR(CAST(X.PRMRY_ASST_CLSSF AS STRING),'+')&gt;0,1,0)) AS NUM_REG_DIF,'10' AS ID_EXEC, CURRENT_TIMESTAMP() AS TIME_EXEC FROM (SELECT instrmnt_id, PRMRY_ASST_CLSSF FROM BU_LOANTAPE_WORK.LT002_INSTRUMENT WHERE ref_date='${ref_date}' AND nome_perimetro='Individual Corporativo' AND segmento='ESTR' AND ambito='PILAR3')X</v>
      </c>
      <c r="M211" s="43" t="str">
        <f t="shared" si="3"/>
        <v>UNION ALL SELECT 'INSTRUMENT' AS TABELA, 'CARACTERES ESPECIAIS' AS TIPOLOGIA_TESTE,'BU_LOANTAPE_WORK.LT002_INSTRUMENT' AS TABELA_LT,'N/A' AS TABELA_SIMUL,'PRMRY_ASST_CLSSF' AS CAMPO, '${ref_date}' AS REF_DATE, COUNT(*) AS NUM_REG, SUM(IF(INSTR(CAST(X.PRMRY_ASST_CLSSF AS STRING),'#')&gt;0 OR INSTR(CAST(X.PRMRY_ASST_CLSSF AS STRING),'*')&gt;0 OR INSTR(CAST(X.PRMRY_ASST_CLSSF AS STRING),'`')&gt;0 OR INSTR(CAST(X.PRMRY_ASST_CLSSF AS STRING),'´')&gt;0 OR INSTR(CAST(X.PRMRY_ASST_CLSSF AS STRING),'{')&gt;0 OR INSTR(CAST(X.PRMRY_ASST_CLSSF AS STRING),'}')&gt;0 OR INSTR(CAST(X.PRMRY_ASST_CLSSF AS STRING),'[')&gt;0 OR INSTR(CAST(X.PRMRY_ASST_CLSSF AS STRING),'')&gt;0 OR INSTR(CAST(X.PRMRY_ASST_CLSSF AS STRING),']')&gt;0 OR INSTR(CAST(X.PRMRY_ASST_CLSSF AS STRING),'?')&gt;0 OR INSTR(CAST(X.PRMRY_ASST_CLSSF AS STRING),'!')&gt;0 OR INSTR(CAST(X.PRMRY_ASST_CLSSF AS STRING),'$')&gt;0 OR INSTR(CAST(X.PRMRY_ASST_CLSSF AS STRING),'%')&gt;0 OR INSTR(CAST(X.PRMRY_ASST_CLSSF AS STRING),'&amp;')&gt;0 OR INSTR(CAST(X.PRMRY_ASST_CLSSF AS STRING),'+')&gt;0,1,0)) AS NUM_REG_DIF,'10' AS ID_EXEC, CURRENT_TIMESTAMP() AS TIME_EXEC FROM (SELECT instrmnt_id, PRMRY_ASST_CLSSF FROM BU_LOANTAPE_WORK.LT002_INSTRUMENT WHERE ref_date='${ref_date}' AND nome_perimetro='Individual Corporativo' AND segmento='ESTR' AND ambito='PILAR3')X</v>
      </c>
      <c r="N211" s="45" t="s">
        <v>13</v>
      </c>
    </row>
    <row r="212" spans="2:14">
      <c r="B212" s="41" t="s">
        <v>27</v>
      </c>
      <c r="C212" s="41" t="s">
        <v>76</v>
      </c>
      <c r="D212" s="41" t="str">
        <f>+UPPER('0. Instruções'!$D$33&amp;"."&amp;VLOOKUP(B212,'0. Instruções'!$C$27:$D$31,2,FALSE))</f>
        <v>BU_LOANTAPE_WORK.LT002_INSTRUMENT</v>
      </c>
      <c r="E212" s="41" t="str">
        <f>+UPPER('0. Instruções'!$D$34&amp;"."&amp;VLOOKUP(B212,'0. Instruções'!$C$27:$E$31,3,FALSE))</f>
        <v>BU_LOANTAPE_WORK.LT002_INSTRUMENT_P3_NOV24</v>
      </c>
      <c r="F212" s="41" t="s">
        <v>172</v>
      </c>
      <c r="G212" s="41" t="s">
        <v>13</v>
      </c>
      <c r="H212" s="41"/>
      <c r="I212" s="41" t="str">
        <f>"(SELECT "&amp;VLOOKUP(B212,'0. Instruções'!$C$27:$G$31,4,FALSE)&amp;", "&amp;F212&amp;" FROM "&amp;D212&amp;" WHERE "&amp;'0. Instruções'!$D$40&amp;")X"</f>
        <v>(SELECT instrmnt_id, SUBPORTFOLIO_ID FROM BU_LOANTAPE_WORK.LT002_INSTRUMENT WHERE ref_date='${ref_date}' AND nome_perimetro='Individual Corporativo' AND segmento='ESTR' AND ambito='PILAR3')X</v>
      </c>
      <c r="J212" s="41" t="str">
        <f>"(SELECT "&amp;VLOOKUP(B212,'0. Instruções'!$C$27:$G$31,4,FALSE)&amp;" AS "&amp;VLOOKUP(B212,'0. Instruções'!$C$27:$G$31,4,FALSE)&amp;"_SIMUL, "&amp;F212&amp;" AS "&amp;F212&amp;"_SIMUL FROM "&amp;E212&amp;")Y"</f>
        <v>(SELECT instrmnt_id AS instrmnt_id_SIMUL, SUBPORTFOLIO_ID AS SUBPORTFOLIO_ID_SIMUL FROM BU_LOANTAPE_WORK.LT002_INSTRUMENT_P3_NOV24)Y</v>
      </c>
      <c r="K212" s="42" t="str">
        <f>+UPPER("ON X."&amp;VLOOKUP(B212,'0. Instruções'!$C$27:$G$31,4,FALSE)&amp;"=Y."&amp;VLOOKUP(B212,'0. Instruções'!$C$27:$G$31,4,FALSE)&amp;"_SIMUL")</f>
        <v>ON X.INSTRMNT_ID=Y.INSTRMNT_ID_SIMUL</v>
      </c>
      <c r="L212" s="42" t="str">
        <f>+IF(C212="Coerência", +IF(LEFT(G212,5)="FLOAT","SELECT '"&amp;UPPER(B212)&amp;"' AS TABELA, '"&amp;UPPER(C212)&amp;"' AS TIPOLOGIA_TESTE,'"&amp;D212&amp;"' AS TABELA_LT,'"&amp;E212&amp;"' AS TABELA_SIMUL,'"&amp;F212&amp;"' AS CAMPO, "&amp;"'${ref_date}' AS REF_DATE, COUNT(*) AS NUM_REG, SUM(IF((ABS(COALESCE(X."&amp;F212&amp;",0)-COALESCE(Y."&amp;F212&amp;"_SIMUL,0))&gt;0.0000000001) OR (X."&amp;F212&amp;" IS NULL AND Y."&amp;F212&amp;"_SIMUL IS NOT NULL ) OR (X."&amp;F212&amp;" IS NOT NULL AND Y."&amp;F212&amp;"_SIMUL IS NULL),1,0)) AS NUM_REG_DIF,'"&amp;MAX('ID1&amp;5'!K:K)+1&amp;"' AS ID_EXEC, CURRENT_TIMESTAMP() AS TIME_EXEC FROM "&amp;I212&amp;" INNER JOIN "&amp;J212&amp;" "&amp;K212,"SELECT '"&amp;UPPER(B212)&amp;"' AS TABELA, '"&amp;UPPER(C212)&amp;"' AS TIPOLOGIA_TESTE,'"&amp;D212&amp;"' AS TABELA_LT,'"&amp;E212&amp;"' AS TABELA_SIMUL,'"&amp;F212&amp;"' AS CAMPO, "&amp;"'${ref_date}' AS REF_DATE, COUNT(*) AS NUM_REG, SUM(IF(COALESCE(CAST(X."&amp;F212&amp;" AS STRING),'')&lt;&gt;COALESCE(CAST(Y."&amp;F212&amp;"_SIMUL AS STRING),''),1,0)) AS NUM_REG_DIF,'"&amp;MAX('ID1&amp;5'!L:L)+1&amp;"' AS ID_EXEC, CURRENT_TIMESTAMP() AS TIME_EXEC FROM "&amp;I212&amp;" INNER JOIN "&amp;J212&amp;" "&amp;K212),
IF(C212="Validade",+IF(G212="Code List","SELECT '"&amp;UPPER(B212)&amp;"' AS TABELA, '"&amp;UPPER(C212)&amp;"' AS TIPOLOGIA_TESTE,'"&amp;D212&amp;"' AS TABELA_LT,'N/A' AS TABELA_SIMUL,'"&amp;F212&amp;"' AS CAMPO, "&amp;"'${ref_date}' AS REF_DATE, COUNT(*) AS NUM_REG, SUM(IF(TRIM(CAST(X."&amp;F212&amp;" AS STRING))='' OR TRIM(CAST(X."&amp;F212&amp;" AS STRING)) IS NULL OR CAST(X."&amp;F212&amp;" AS STRING) NOT "&amp;H212&amp;",1,0)) AS NUM_REG_DIF,'"&amp;MAX('ID1&amp;5'!K:K)+1&amp;"' AS ID_EXEC, CURRENT_TIMESTAMP() AS TIME_EXEC FROM "&amp;I212,"SELECT '"&amp;UPPER(B212)&amp;"' AS TABELA, '"&amp;UPPER(C212)&amp;"' AS TIPOLOGIA_TESTE,'"&amp;D212&amp;"' AS TABELA_LT,'N/A' AS TABELA_SIMUL,'"&amp;F212&amp;"' AS CAMPO, "&amp;"'${ref_date}' AS REF_DATE, COUNT(*) AS NUM_REG, SUM(IF(TRIM(CAST(X."&amp;F212&amp;" AS STRING))='' OR TRIM(CAST(X."&amp;F212&amp;" AS STRING)) IS NULL,1,0)) AS NUM_REG_DIF,'"&amp;MAX('ID1&amp;5'!K:K)+1&amp;"' AS ID_EXEC, CURRENT_TIMESTAMP() AS TIME_EXEC FROM "&amp;I212),
IF(C212="Caracteres Especiais",+"SELECT '"&amp;UPPER(B212)&amp;"' AS TABELA, '"&amp;UPPER(C212)&amp;"' AS TIPOLOGIA_TESTE,'"&amp;D212&amp;"' AS TABELA_LT,'N/A' AS TABELA_SIMUL,'"&amp;F212&amp;"' AS CAMPO, "&amp;"'${ref_date}' AS REF_DATE, COUNT(*) AS NUM_REG, SUM(IF(INSTR(CAST(X."&amp;F212&amp;" AS STRING),'#')&gt;0 OR INSTR(CAST(X."&amp;F212&amp;" AS STRING),'*')&gt;0 OR INSTR(CAST(X."&amp;F212&amp;" AS STRING),'`')&gt;0 OR INSTR(CAST(X."&amp;F212&amp;" AS STRING),'´')&gt;0 OR INSTR(CAST(X."&amp;F212&amp;" AS STRING),'{')&gt;0 OR INSTR(CAST(X."&amp;F212&amp;" AS STRING),'}')&gt;0 OR INSTR(CAST(X."&amp;F212&amp;" AS STRING),'[')&gt;0 OR INSTR(CAST(X."&amp;F212&amp;" AS STRING),'')&gt;0 OR INSTR(CAST(X."&amp;F212&amp;" AS STRING),']')&gt;0 OR INSTR(CAST(X."&amp;F212&amp;" AS STRING),'?')&gt;0 OR INSTR(CAST(X."&amp;F212&amp;" AS STRING),'!')&gt;0 OR INSTR(CAST(X."&amp;F212&amp;" AS STRING),'$')&gt;0 OR INSTR(CAST(X."&amp;F212&amp;" AS STRING),'%')&gt;0 OR INSTR(CAST(X."&amp;F212&amp;" AS STRING),'&amp;')&gt;0 OR INSTR(CAST(X."&amp;F212&amp;" AS STRING),'+')&gt;0,1,0)) AS NUM_REG_DIF,'"&amp;MAX('ID1&amp;5'!K:K)+1&amp;"' AS ID_EXEC, CURRENT_TIMESTAMP() AS TIME_EXEC FROM "&amp;I212,
IF(C212="Missings",+"SELECT '"&amp;UPPER(B212)&amp;"' AS TABELA, '"&amp;UPPER(C212)&amp;"' AS TIPOLOGIA_TESTE,'"&amp;D212&amp;"' AS TABELA_LT,'N/A' AS TABELA_SIMUL,'"&amp;F212&amp;"' AS CAMPO, "&amp;"'${ref_date}' AS REF_DATE, COUNT(*) AS NUM_REG, SUM(IF(TRIM(CAST(X."&amp;F212&amp;" AS STRING)) IN ('0000-00-00','0001-01-01','9999-12-31','MISS','00000','99999999999','99999999999.00','99999999999.000000'),1,0)) AS NUM_REG_DIF,'"&amp;MAX('ID1&amp;5'!K:K)+1&amp;"' AS ID_EXEC, CURRENT_TIMESTAMP() AS TIME_EXEC FROM "&amp;I212,
IF(C212="Not applicable",+"SELECT '"&amp;UPPER(B212)&amp;"' AS TABELA, '"&amp;UPPER(C212)&amp;"' AS TIPOLOGIA_TESTE,'"&amp;D212&amp;"' AS TABELA_LT,'N/A' AS TABELA_SIMUL,'"&amp;F212&amp;"' AS CAMPO, "&amp;"'${ref_date}' AS REF_DATE, COUNT(*) AS NUM_REG, SUM(IF(TRIM(CAST(X."&amp;F212&amp;" AS STRING)) IN ('N/A','11111111111','11111111111.00','11111111111.000000','1111-11-11'),1,0)) AS NUM_REG_DIF,'"&amp;MAX('ID1&amp;5'!K:K)+1&amp;"' AS ID_EXEC, CURRENT_TIMESTAMP() AS TIME_EXEC FROM "&amp;I212,
IF(C212="Valores extremos",+"SELECT '"&amp;UPPER(B212)&amp;"' AS TABELA, '"&amp;UPPER(C212)&amp;"' AS TIPOLOGIA_TESTE,'"&amp;D212&amp;"' AS TABELA_LT,'N/A' AS TABELA_SIMUL,'"&amp;F212&amp;"' AS CAMPO, "&amp;"'${ref_date}' AS REF_DATE, CAST(MIN("&amp;F212&amp;") AS STRING) AS VALOR_MIN, CAST(MAX("&amp;F212&amp;") AS STRING) AS VALOR_MAX,'"&amp;MAX('ID1&amp;5'!K:K)+1&amp;"' AS ID_EXEC, CURRENT_TIMESTAMP() AS TIME_EXEC FROM "&amp;MID(I212,1,LEN(I212)-2)&amp;" AND CAST("&amp;F212&amp;"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TABELA_SIMUL,'SUBPORTFOLIO_ID' AS CAMPO, '${ref_date}' AS REF_DATE, COUNT(*) AS NUM_REG, SUM(IF(INSTR(CAST(X.SUBPORTFOLIO_ID AS STRING),'#')&gt;0 OR INSTR(CAST(X.SUBPORTFOLIO_ID AS STRING),'*')&gt;0 OR INSTR(CAST(X.SUBPORTFOLIO_ID AS STRING),'`')&gt;0 OR INSTR(CAST(X.SUBPORTFOLIO_ID AS STRING),'´')&gt;0 OR INSTR(CAST(X.SUBPORTFOLIO_ID AS STRING),'{')&gt;0 OR INSTR(CAST(X.SUBPORTFOLIO_ID AS STRING),'}')&gt;0 OR INSTR(CAST(X.SUBPORTFOLIO_ID AS STRING),'[')&gt;0 OR INSTR(CAST(X.SUBPORTFOLIO_ID AS STRING),'')&gt;0 OR INSTR(CAST(X.SUBPORTFOLIO_ID AS STRING),']')&gt;0 OR INSTR(CAST(X.SUBPORTFOLIO_ID AS STRING),'?')&gt;0 OR INSTR(CAST(X.SUBPORTFOLIO_ID AS STRING),'!')&gt;0 OR INSTR(CAST(X.SUBPORTFOLIO_ID AS STRING),'$')&gt;0 OR INSTR(CAST(X.SUBPORTFOLIO_ID AS STRING),'%')&gt;0 OR INSTR(CAST(X.SUBPORTFOLIO_ID AS STRING),'&amp;')&gt;0 OR INSTR(CAST(X.SUBPORTFOLIO_ID AS STRING),'+')&gt;0,1,0)) AS NUM_REG_DIF,'10' AS ID_EXEC, CURRENT_TIMESTAMP() AS TIME_EXEC FROM (SELECT instrmnt_id, SUBPORTFOLIO_ID FROM BU_LOANTAPE_WORK.LT002_INSTRUMENT WHERE ref_date='${ref_date}' AND nome_perimetro='Individual Corporativo' AND segmento='ESTR' AND ambito='PILAR3')X</v>
      </c>
      <c r="M212" s="43" t="str">
        <f t="shared" si="3"/>
        <v>UNION ALL SELECT 'INSTRUMENT' AS TABELA, 'CARACTERES ESPECIAIS' AS TIPOLOGIA_TESTE,'BU_LOANTAPE_WORK.LT002_INSTRUMENT' AS TABELA_LT,'N/A' AS TABELA_SIMUL,'SUBPORTFOLIO_ID' AS CAMPO, '${ref_date}' AS REF_DATE, COUNT(*) AS NUM_REG, SUM(IF(INSTR(CAST(X.SUBPORTFOLIO_ID AS STRING),'#')&gt;0 OR INSTR(CAST(X.SUBPORTFOLIO_ID AS STRING),'*')&gt;0 OR INSTR(CAST(X.SUBPORTFOLIO_ID AS STRING),'`')&gt;0 OR INSTR(CAST(X.SUBPORTFOLIO_ID AS STRING),'´')&gt;0 OR INSTR(CAST(X.SUBPORTFOLIO_ID AS STRING),'{')&gt;0 OR INSTR(CAST(X.SUBPORTFOLIO_ID AS STRING),'}')&gt;0 OR INSTR(CAST(X.SUBPORTFOLIO_ID AS STRING),'[')&gt;0 OR INSTR(CAST(X.SUBPORTFOLIO_ID AS STRING),'')&gt;0 OR INSTR(CAST(X.SUBPORTFOLIO_ID AS STRING),']')&gt;0 OR INSTR(CAST(X.SUBPORTFOLIO_ID AS STRING),'?')&gt;0 OR INSTR(CAST(X.SUBPORTFOLIO_ID AS STRING),'!')&gt;0 OR INSTR(CAST(X.SUBPORTFOLIO_ID AS STRING),'$')&gt;0 OR INSTR(CAST(X.SUBPORTFOLIO_ID AS STRING),'%')&gt;0 OR INSTR(CAST(X.SUBPORTFOLIO_ID AS STRING),'&amp;')&gt;0 OR INSTR(CAST(X.SUBPORTFOLIO_ID AS STRING),'+')&gt;0,1,0)) AS NUM_REG_DIF,'10' AS ID_EXEC, CURRENT_TIMESTAMP() AS TIME_EXEC FROM (SELECT instrmnt_id, SUBPORTFOLIO_ID FROM BU_LOANTAPE_WORK.LT002_INSTRUMENT WHERE ref_date='${ref_date}' AND nome_perimetro='Individual Corporativo' AND segmento='ESTR' AND ambito='PILAR3')X</v>
      </c>
      <c r="N212" s="45" t="s">
        <v>13</v>
      </c>
    </row>
    <row r="213" spans="2:14">
      <c r="B213" s="41" t="s">
        <v>27</v>
      </c>
      <c r="C213" s="41" t="s">
        <v>76</v>
      </c>
      <c r="D213" s="41" t="str">
        <f>+UPPER('0. Instruções'!$D$33&amp;"."&amp;VLOOKUP(B213,'0. Instruções'!$C$27:$D$31,2,FALSE))</f>
        <v>BU_LOANTAPE_WORK.LT002_INSTRUMENT</v>
      </c>
      <c r="E213" s="41" t="str">
        <f>+UPPER('0. Instruções'!$D$34&amp;"."&amp;VLOOKUP(B213,'0. Instruções'!$C$27:$E$31,3,FALSE))</f>
        <v>BU_LOANTAPE_WORK.LT002_INSTRUMENT_P3_NOV24</v>
      </c>
      <c r="F213" s="41" t="s">
        <v>173</v>
      </c>
      <c r="G213" s="41" t="s">
        <v>13</v>
      </c>
      <c r="H213" s="41"/>
      <c r="I213" s="41" t="str">
        <f>"(SELECT "&amp;VLOOKUP(B213,'0. Instruções'!$C$27:$G$31,4,FALSE)&amp;", "&amp;F213&amp;" FROM "&amp;D213&amp;" WHERE "&amp;'0. Instruções'!$D$40&amp;")X"</f>
        <v>(SELECT instrmnt_id, COD_SOC FROM BU_LOANTAPE_WORK.LT002_INSTRUMENT WHERE ref_date='${ref_date}' AND nome_perimetro='Individual Corporativo' AND segmento='ESTR' AND ambito='PILAR3')X</v>
      </c>
      <c r="J213" s="41" t="str">
        <f>"(SELECT "&amp;VLOOKUP(B213,'0. Instruções'!$C$27:$G$31,4,FALSE)&amp;" AS "&amp;VLOOKUP(B213,'0. Instruções'!$C$27:$G$31,4,FALSE)&amp;"_SIMUL, "&amp;F213&amp;" AS "&amp;F213&amp;"_SIMUL FROM "&amp;E213&amp;")Y"</f>
        <v>(SELECT instrmnt_id AS instrmnt_id_SIMUL, COD_SOC AS COD_SOC_SIMUL FROM BU_LOANTAPE_WORK.LT002_INSTRUMENT_P3_NOV24)Y</v>
      </c>
      <c r="K213" s="42" t="str">
        <f>+UPPER("ON X."&amp;VLOOKUP(B213,'0. Instruções'!$C$27:$G$31,4,FALSE)&amp;"=Y."&amp;VLOOKUP(B213,'0. Instruções'!$C$27:$G$31,4,FALSE)&amp;"_SIMUL")</f>
        <v>ON X.INSTRMNT_ID=Y.INSTRMNT_ID_SIMUL</v>
      </c>
      <c r="L213" s="42" t="str">
        <f>+IF(C213="Coerência", +IF(LEFT(G213,5)="FLOAT","SELECT '"&amp;UPPER(B213)&amp;"' AS TABELA, '"&amp;UPPER(C213)&amp;"' AS TIPOLOGIA_TESTE,'"&amp;D213&amp;"' AS TABELA_LT,'"&amp;E213&amp;"' AS TABELA_SIMUL,'"&amp;F213&amp;"' AS CAMPO, "&amp;"'${ref_date}' AS REF_DATE, COUNT(*) AS NUM_REG, SUM(IF((ABS(COALESCE(X."&amp;F213&amp;",0)-COALESCE(Y."&amp;F213&amp;"_SIMUL,0))&gt;0.0000000001) OR (X."&amp;F213&amp;" IS NULL AND Y."&amp;F213&amp;"_SIMUL IS NOT NULL ) OR (X."&amp;F213&amp;" IS NOT NULL AND Y."&amp;F213&amp;"_SIMUL IS NULL),1,0)) AS NUM_REG_DIF,'"&amp;MAX('ID1&amp;5'!K:K)+1&amp;"' AS ID_EXEC, CURRENT_TIMESTAMP() AS TIME_EXEC FROM "&amp;I213&amp;" INNER JOIN "&amp;J213&amp;" "&amp;K213,"SELECT '"&amp;UPPER(B213)&amp;"' AS TABELA, '"&amp;UPPER(C213)&amp;"' AS TIPOLOGIA_TESTE,'"&amp;D213&amp;"' AS TABELA_LT,'"&amp;E213&amp;"' AS TABELA_SIMUL,'"&amp;F213&amp;"' AS CAMPO, "&amp;"'${ref_date}' AS REF_DATE, COUNT(*) AS NUM_REG, SUM(IF(COALESCE(CAST(X."&amp;F213&amp;" AS STRING),'')&lt;&gt;COALESCE(CAST(Y."&amp;F213&amp;"_SIMUL AS STRING),''),1,0)) AS NUM_REG_DIF,'"&amp;MAX('ID1&amp;5'!L:L)+1&amp;"' AS ID_EXEC, CURRENT_TIMESTAMP() AS TIME_EXEC FROM "&amp;I213&amp;" INNER JOIN "&amp;J213&amp;" "&amp;K213),
IF(C213="Validade",+IF(G213="Code List","SELECT '"&amp;UPPER(B213)&amp;"' AS TABELA, '"&amp;UPPER(C213)&amp;"' AS TIPOLOGIA_TESTE,'"&amp;D213&amp;"' AS TABELA_LT,'N/A' AS TABELA_SIMUL,'"&amp;F213&amp;"' AS CAMPO, "&amp;"'${ref_date}' AS REF_DATE, COUNT(*) AS NUM_REG, SUM(IF(TRIM(CAST(X."&amp;F213&amp;" AS STRING))='' OR TRIM(CAST(X."&amp;F213&amp;" AS STRING)) IS NULL OR CAST(X."&amp;F213&amp;" AS STRING) NOT "&amp;H213&amp;",1,0)) AS NUM_REG_DIF,'"&amp;MAX('ID1&amp;5'!K:K)+1&amp;"' AS ID_EXEC, CURRENT_TIMESTAMP() AS TIME_EXEC FROM "&amp;I213,"SELECT '"&amp;UPPER(B213)&amp;"' AS TABELA, '"&amp;UPPER(C213)&amp;"' AS TIPOLOGIA_TESTE,'"&amp;D213&amp;"' AS TABELA_LT,'N/A' AS TABELA_SIMUL,'"&amp;F213&amp;"' AS CAMPO, "&amp;"'${ref_date}' AS REF_DATE, COUNT(*) AS NUM_REG, SUM(IF(TRIM(CAST(X."&amp;F213&amp;" AS STRING))='' OR TRIM(CAST(X."&amp;F213&amp;" AS STRING)) IS NULL,1,0)) AS NUM_REG_DIF,'"&amp;MAX('ID1&amp;5'!K:K)+1&amp;"' AS ID_EXEC, CURRENT_TIMESTAMP() AS TIME_EXEC FROM "&amp;I213),
IF(C213="Caracteres Especiais",+"SELECT '"&amp;UPPER(B213)&amp;"' AS TABELA, '"&amp;UPPER(C213)&amp;"' AS TIPOLOGIA_TESTE,'"&amp;D213&amp;"' AS TABELA_LT,'N/A' AS TABELA_SIMUL,'"&amp;F213&amp;"' AS CAMPO, "&amp;"'${ref_date}' AS REF_DATE, COUNT(*) AS NUM_REG, SUM(IF(INSTR(CAST(X."&amp;F213&amp;" AS STRING),'#')&gt;0 OR INSTR(CAST(X."&amp;F213&amp;" AS STRING),'*')&gt;0 OR INSTR(CAST(X."&amp;F213&amp;" AS STRING),'`')&gt;0 OR INSTR(CAST(X."&amp;F213&amp;" AS STRING),'´')&gt;0 OR INSTR(CAST(X."&amp;F213&amp;" AS STRING),'{')&gt;0 OR INSTR(CAST(X."&amp;F213&amp;" AS STRING),'}')&gt;0 OR INSTR(CAST(X."&amp;F213&amp;" AS STRING),'[')&gt;0 OR INSTR(CAST(X."&amp;F213&amp;" AS STRING),'')&gt;0 OR INSTR(CAST(X."&amp;F213&amp;" AS STRING),']')&gt;0 OR INSTR(CAST(X."&amp;F213&amp;" AS STRING),'?')&gt;0 OR INSTR(CAST(X."&amp;F213&amp;" AS STRING),'!')&gt;0 OR INSTR(CAST(X."&amp;F213&amp;" AS STRING),'$')&gt;0 OR INSTR(CAST(X."&amp;F213&amp;" AS STRING),'%')&gt;0 OR INSTR(CAST(X."&amp;F213&amp;" AS STRING),'&amp;')&gt;0 OR INSTR(CAST(X."&amp;F213&amp;" AS STRING),'+')&gt;0,1,0)) AS NUM_REG_DIF,'"&amp;MAX('ID1&amp;5'!K:K)+1&amp;"' AS ID_EXEC, CURRENT_TIMESTAMP() AS TIME_EXEC FROM "&amp;I213,
IF(C213="Missings",+"SELECT '"&amp;UPPER(B213)&amp;"' AS TABELA, '"&amp;UPPER(C213)&amp;"' AS TIPOLOGIA_TESTE,'"&amp;D213&amp;"' AS TABELA_LT,'N/A' AS TABELA_SIMUL,'"&amp;F213&amp;"' AS CAMPO, "&amp;"'${ref_date}' AS REF_DATE, COUNT(*) AS NUM_REG, SUM(IF(TRIM(CAST(X."&amp;F213&amp;" AS STRING)) IN ('0000-00-00','0001-01-01','9999-12-31','MISS','00000','99999999999','99999999999.00','99999999999.000000'),1,0)) AS NUM_REG_DIF,'"&amp;MAX('ID1&amp;5'!K:K)+1&amp;"' AS ID_EXEC, CURRENT_TIMESTAMP() AS TIME_EXEC FROM "&amp;I213,
IF(C213="Not applicable",+"SELECT '"&amp;UPPER(B213)&amp;"' AS TABELA, '"&amp;UPPER(C213)&amp;"' AS TIPOLOGIA_TESTE,'"&amp;D213&amp;"' AS TABELA_LT,'N/A' AS TABELA_SIMUL,'"&amp;F213&amp;"' AS CAMPO, "&amp;"'${ref_date}' AS REF_DATE, COUNT(*) AS NUM_REG, SUM(IF(TRIM(CAST(X."&amp;F213&amp;" AS STRING)) IN ('N/A','11111111111','11111111111.00','11111111111.000000','1111-11-11'),1,0)) AS NUM_REG_DIF,'"&amp;MAX('ID1&amp;5'!K:K)+1&amp;"' AS ID_EXEC, CURRENT_TIMESTAMP() AS TIME_EXEC FROM "&amp;I213,
IF(C213="Valores extremos",+"SELECT '"&amp;UPPER(B213)&amp;"' AS TABELA, '"&amp;UPPER(C213)&amp;"' AS TIPOLOGIA_TESTE,'"&amp;D213&amp;"' AS TABELA_LT,'N/A' AS TABELA_SIMUL,'"&amp;F213&amp;"' AS CAMPO, "&amp;"'${ref_date}' AS REF_DATE, CAST(MIN("&amp;F213&amp;") AS STRING) AS VALOR_MIN, CAST(MAX("&amp;F213&amp;") AS STRING) AS VALOR_MAX,'"&amp;MAX('ID1&amp;5'!K:K)+1&amp;"' AS ID_EXEC, CURRENT_TIMESTAMP() AS TIME_EXEC FROM "&amp;MID(I213,1,LEN(I213)-2)&amp;" AND CAST("&amp;F213&amp;"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TABELA_SIMUL,'COD_SOC' AS CAMPO, '${ref_date}' AS REF_DATE, COUNT(*) AS NUM_REG, SUM(IF(INSTR(CAST(X.COD_SOC AS STRING),'#')&gt;0 OR INSTR(CAST(X.COD_SOC AS STRING),'*')&gt;0 OR INSTR(CAST(X.COD_SOC AS STRING),'`')&gt;0 OR INSTR(CAST(X.COD_SOC AS STRING),'´')&gt;0 OR INSTR(CAST(X.COD_SOC AS STRING),'{')&gt;0 OR INSTR(CAST(X.COD_SOC AS STRING),'}')&gt;0 OR INSTR(CAST(X.COD_SOC AS STRING),'[')&gt;0 OR INSTR(CAST(X.COD_SOC AS STRING),'')&gt;0 OR INSTR(CAST(X.COD_SOC AS STRING),']')&gt;0 OR INSTR(CAST(X.COD_SOC AS STRING),'?')&gt;0 OR INSTR(CAST(X.COD_SOC AS STRING),'!')&gt;0 OR INSTR(CAST(X.COD_SOC AS STRING),'$')&gt;0 OR INSTR(CAST(X.COD_SOC AS STRING),'%')&gt;0 OR INSTR(CAST(X.COD_SOC AS STRING),'&amp;')&gt;0 OR INSTR(CAST(X.COD_SOC AS STRING),'+')&gt;0,1,0)) AS NUM_REG_DIF,'10' AS ID_EXEC, CURRENT_TIMESTAMP() AS TIME_EXEC FROM (SELECT instrmnt_id, COD_SOC FROM BU_LOANTAPE_WORK.LT002_INSTRUMENT WHERE ref_date='${ref_date}' AND nome_perimetro='Individual Corporativo' AND segmento='ESTR' AND ambito='PILAR3')X</v>
      </c>
      <c r="M213" s="43" t="str">
        <f t="shared" si="3"/>
        <v>UNION ALL SELECT 'INSTRUMENT' AS TABELA, 'CARACTERES ESPECIAIS' AS TIPOLOGIA_TESTE,'BU_LOANTAPE_WORK.LT002_INSTRUMENT' AS TABELA_LT,'N/A' AS TABELA_SIMUL,'COD_SOC' AS CAMPO, '${ref_date}' AS REF_DATE, COUNT(*) AS NUM_REG, SUM(IF(INSTR(CAST(X.COD_SOC AS STRING),'#')&gt;0 OR INSTR(CAST(X.COD_SOC AS STRING),'*')&gt;0 OR INSTR(CAST(X.COD_SOC AS STRING),'`')&gt;0 OR INSTR(CAST(X.COD_SOC AS STRING),'´')&gt;0 OR INSTR(CAST(X.COD_SOC AS STRING),'{')&gt;0 OR INSTR(CAST(X.COD_SOC AS STRING),'}')&gt;0 OR INSTR(CAST(X.COD_SOC AS STRING),'[')&gt;0 OR INSTR(CAST(X.COD_SOC AS STRING),'')&gt;0 OR INSTR(CAST(X.COD_SOC AS STRING),']')&gt;0 OR INSTR(CAST(X.COD_SOC AS STRING),'?')&gt;0 OR INSTR(CAST(X.COD_SOC AS STRING),'!')&gt;0 OR INSTR(CAST(X.COD_SOC AS STRING),'$')&gt;0 OR INSTR(CAST(X.COD_SOC AS STRING),'%')&gt;0 OR INSTR(CAST(X.COD_SOC AS STRING),'&amp;')&gt;0 OR INSTR(CAST(X.COD_SOC AS STRING),'+')&gt;0,1,0)) AS NUM_REG_DIF,'10' AS ID_EXEC, CURRENT_TIMESTAMP() AS TIME_EXEC FROM (SELECT instrmnt_id, COD_SOC FROM BU_LOANTAPE_WORK.LT002_INSTRUMENT WHERE ref_date='${ref_date}' AND nome_perimetro='Individual Corporativo' AND segmento='ESTR' AND ambito='PILAR3')X</v>
      </c>
      <c r="N213" s="45" t="s">
        <v>13</v>
      </c>
    </row>
    <row r="214" spans="2:14">
      <c r="B214" s="41" t="s">
        <v>27</v>
      </c>
      <c r="C214" s="41" t="s">
        <v>76</v>
      </c>
      <c r="D214" s="41" t="str">
        <f>+UPPER('0. Instruções'!$D$33&amp;"."&amp;VLOOKUP(B214,'0. Instruções'!$C$27:$D$31,2,FALSE))</f>
        <v>BU_LOANTAPE_WORK.LT002_INSTRUMENT</v>
      </c>
      <c r="E214" s="41" t="str">
        <f>+UPPER('0. Instruções'!$D$34&amp;"."&amp;VLOOKUP(B214,'0. Instruções'!$C$27:$E$31,3,FALSE))</f>
        <v>BU_LOANTAPE_WORK.LT002_INSTRUMENT_P3_NOV24</v>
      </c>
      <c r="F214" s="41" t="s">
        <v>174</v>
      </c>
      <c r="G214" s="41" t="s">
        <v>13</v>
      </c>
      <c r="H214" s="41"/>
      <c r="I214" s="41" t="str">
        <f>"(SELECT "&amp;VLOOKUP(B214,'0. Instruções'!$C$27:$G$31,4,FALSE)&amp;", "&amp;F214&amp;" FROM "&amp;D214&amp;" WHERE "&amp;'0. Instruções'!$D$40&amp;")X"</f>
        <v>(SELECT instrmnt_id, LCL_INSTMRNT_ID FROM BU_LOANTAPE_WORK.LT002_INSTRUMENT WHERE ref_date='${ref_date}' AND nome_perimetro='Individual Corporativo' AND segmento='ESTR' AND ambito='PILAR3')X</v>
      </c>
      <c r="J214" s="41" t="str">
        <f>"(SELECT "&amp;VLOOKUP(B214,'0. Instruções'!$C$27:$G$31,4,FALSE)&amp;" AS "&amp;VLOOKUP(B214,'0. Instruções'!$C$27:$G$31,4,FALSE)&amp;"_SIMUL, "&amp;F214&amp;" AS "&amp;F214&amp;"_SIMUL FROM "&amp;E214&amp;")Y"</f>
        <v>(SELECT instrmnt_id AS instrmnt_id_SIMUL, LCL_INSTMRNT_ID AS LCL_INSTMRNT_ID_SIMUL FROM BU_LOANTAPE_WORK.LT002_INSTRUMENT_P3_NOV24)Y</v>
      </c>
      <c r="K214" s="42" t="str">
        <f>+UPPER("ON X."&amp;VLOOKUP(B214,'0. Instruções'!$C$27:$G$31,4,FALSE)&amp;"=Y."&amp;VLOOKUP(B214,'0. Instruções'!$C$27:$G$31,4,FALSE)&amp;"_SIMUL")</f>
        <v>ON X.INSTRMNT_ID=Y.INSTRMNT_ID_SIMUL</v>
      </c>
      <c r="L214" s="42" t="str">
        <f>+IF(C214="Coerência", +IF(LEFT(G214,5)="FLOAT","SELECT '"&amp;UPPER(B214)&amp;"' AS TABELA, '"&amp;UPPER(C214)&amp;"' AS TIPOLOGIA_TESTE,'"&amp;D214&amp;"' AS TABELA_LT,'"&amp;E214&amp;"' AS TABELA_SIMUL,'"&amp;F214&amp;"' AS CAMPO, "&amp;"'${ref_date}' AS REF_DATE, COUNT(*) AS NUM_REG, SUM(IF((ABS(COALESCE(X."&amp;F214&amp;",0)-COALESCE(Y."&amp;F214&amp;"_SIMUL,0))&gt;0.0000000001) OR (X."&amp;F214&amp;" IS NULL AND Y."&amp;F214&amp;"_SIMUL IS NOT NULL ) OR (X."&amp;F214&amp;" IS NOT NULL AND Y."&amp;F214&amp;"_SIMUL IS NULL),1,0)) AS NUM_REG_DIF,'"&amp;MAX('ID1&amp;5'!K:K)+1&amp;"' AS ID_EXEC, CURRENT_TIMESTAMP() AS TIME_EXEC FROM "&amp;I214&amp;" INNER JOIN "&amp;J214&amp;" "&amp;K214,"SELECT '"&amp;UPPER(B214)&amp;"' AS TABELA, '"&amp;UPPER(C214)&amp;"' AS TIPOLOGIA_TESTE,'"&amp;D214&amp;"' AS TABELA_LT,'"&amp;E214&amp;"' AS TABELA_SIMUL,'"&amp;F214&amp;"' AS CAMPO, "&amp;"'${ref_date}' AS REF_DATE, COUNT(*) AS NUM_REG, SUM(IF(COALESCE(CAST(X."&amp;F214&amp;" AS STRING),'')&lt;&gt;COALESCE(CAST(Y."&amp;F214&amp;"_SIMUL AS STRING),''),1,0)) AS NUM_REG_DIF,'"&amp;MAX('ID1&amp;5'!L:L)+1&amp;"' AS ID_EXEC, CURRENT_TIMESTAMP() AS TIME_EXEC FROM "&amp;I214&amp;" INNER JOIN "&amp;J214&amp;" "&amp;K214),
IF(C214="Validade",+IF(G214="Code List","SELECT '"&amp;UPPER(B214)&amp;"' AS TABELA, '"&amp;UPPER(C214)&amp;"' AS TIPOLOGIA_TESTE,'"&amp;D214&amp;"' AS TABELA_LT,'N/A' AS TABELA_SIMUL,'"&amp;F214&amp;"' AS CAMPO, "&amp;"'${ref_date}' AS REF_DATE, COUNT(*) AS NUM_REG, SUM(IF(TRIM(CAST(X."&amp;F214&amp;" AS STRING))='' OR TRIM(CAST(X."&amp;F214&amp;" AS STRING)) IS NULL OR CAST(X."&amp;F214&amp;" AS STRING) NOT "&amp;H214&amp;",1,0)) AS NUM_REG_DIF,'"&amp;MAX('ID1&amp;5'!K:K)+1&amp;"' AS ID_EXEC, CURRENT_TIMESTAMP() AS TIME_EXEC FROM "&amp;I214,"SELECT '"&amp;UPPER(B214)&amp;"' AS TABELA, '"&amp;UPPER(C214)&amp;"' AS TIPOLOGIA_TESTE,'"&amp;D214&amp;"' AS TABELA_LT,'N/A' AS TABELA_SIMUL,'"&amp;F214&amp;"' AS CAMPO, "&amp;"'${ref_date}' AS REF_DATE, COUNT(*) AS NUM_REG, SUM(IF(TRIM(CAST(X."&amp;F214&amp;" AS STRING))='' OR TRIM(CAST(X."&amp;F214&amp;" AS STRING)) IS NULL,1,0)) AS NUM_REG_DIF,'"&amp;MAX('ID1&amp;5'!K:K)+1&amp;"' AS ID_EXEC, CURRENT_TIMESTAMP() AS TIME_EXEC FROM "&amp;I214),
IF(C214="Caracteres Especiais",+"SELECT '"&amp;UPPER(B214)&amp;"' AS TABELA, '"&amp;UPPER(C214)&amp;"' AS TIPOLOGIA_TESTE,'"&amp;D214&amp;"' AS TABELA_LT,'N/A' AS TABELA_SIMUL,'"&amp;F214&amp;"' AS CAMPO, "&amp;"'${ref_date}' AS REF_DATE, COUNT(*) AS NUM_REG, SUM(IF(INSTR(CAST(X."&amp;F214&amp;" AS STRING),'#')&gt;0 OR INSTR(CAST(X."&amp;F214&amp;" AS STRING),'*')&gt;0 OR INSTR(CAST(X."&amp;F214&amp;" AS STRING),'`')&gt;0 OR INSTR(CAST(X."&amp;F214&amp;" AS STRING),'´')&gt;0 OR INSTR(CAST(X."&amp;F214&amp;" AS STRING),'{')&gt;0 OR INSTR(CAST(X."&amp;F214&amp;" AS STRING),'}')&gt;0 OR INSTR(CAST(X."&amp;F214&amp;" AS STRING),'[')&gt;0 OR INSTR(CAST(X."&amp;F214&amp;" AS STRING),'')&gt;0 OR INSTR(CAST(X."&amp;F214&amp;" AS STRING),']')&gt;0 OR INSTR(CAST(X."&amp;F214&amp;" AS STRING),'?')&gt;0 OR INSTR(CAST(X."&amp;F214&amp;" AS STRING),'!')&gt;0 OR INSTR(CAST(X."&amp;F214&amp;" AS STRING),'$')&gt;0 OR INSTR(CAST(X."&amp;F214&amp;" AS STRING),'%')&gt;0 OR INSTR(CAST(X."&amp;F214&amp;" AS STRING),'&amp;')&gt;0 OR INSTR(CAST(X."&amp;F214&amp;" AS STRING),'+')&gt;0,1,0)) AS NUM_REG_DIF,'"&amp;MAX('ID1&amp;5'!K:K)+1&amp;"' AS ID_EXEC, CURRENT_TIMESTAMP() AS TIME_EXEC FROM "&amp;I214,
IF(C214="Missings",+"SELECT '"&amp;UPPER(B214)&amp;"' AS TABELA, '"&amp;UPPER(C214)&amp;"' AS TIPOLOGIA_TESTE,'"&amp;D214&amp;"' AS TABELA_LT,'N/A' AS TABELA_SIMUL,'"&amp;F214&amp;"' AS CAMPO, "&amp;"'${ref_date}' AS REF_DATE, COUNT(*) AS NUM_REG, SUM(IF(TRIM(CAST(X."&amp;F214&amp;" AS STRING)) IN ('0000-00-00','0001-01-01','9999-12-31','MISS','00000','99999999999','99999999999.00','99999999999.000000'),1,0)) AS NUM_REG_DIF,'"&amp;MAX('ID1&amp;5'!K:K)+1&amp;"' AS ID_EXEC, CURRENT_TIMESTAMP() AS TIME_EXEC FROM "&amp;I214,
IF(C214="Not applicable",+"SELECT '"&amp;UPPER(B214)&amp;"' AS TABELA, '"&amp;UPPER(C214)&amp;"' AS TIPOLOGIA_TESTE,'"&amp;D214&amp;"' AS TABELA_LT,'N/A' AS TABELA_SIMUL,'"&amp;F214&amp;"' AS CAMPO, "&amp;"'${ref_date}' AS REF_DATE, COUNT(*) AS NUM_REG, SUM(IF(TRIM(CAST(X."&amp;F214&amp;" AS STRING)) IN ('N/A','11111111111','11111111111.00','11111111111.000000','1111-11-11'),1,0)) AS NUM_REG_DIF,'"&amp;MAX('ID1&amp;5'!K:K)+1&amp;"' AS ID_EXEC, CURRENT_TIMESTAMP() AS TIME_EXEC FROM "&amp;I214,
IF(C214="Valores extremos",+"SELECT '"&amp;UPPER(B214)&amp;"' AS TABELA, '"&amp;UPPER(C214)&amp;"' AS TIPOLOGIA_TESTE,'"&amp;D214&amp;"' AS TABELA_LT,'N/A' AS TABELA_SIMUL,'"&amp;F214&amp;"' AS CAMPO, "&amp;"'${ref_date}' AS REF_DATE, CAST(MIN("&amp;F214&amp;") AS STRING) AS VALOR_MIN, CAST(MAX("&amp;F214&amp;") AS STRING) AS VALOR_MAX,'"&amp;MAX('ID1&amp;5'!K:K)+1&amp;"' AS ID_EXEC, CURRENT_TIMESTAMP() AS TIME_EXEC FROM "&amp;MID(I214,1,LEN(I214)-2)&amp;" AND CAST("&amp;F214&amp;"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TABELA_SIMUL,'LCL_INSTMRNT_ID' AS CAMPO, '${ref_date}' AS REF_DATE, COUNT(*) AS NUM_REG, SUM(IF(INSTR(CAST(X.LCL_INSTMRNT_ID AS STRING),'#')&gt;0 OR INSTR(CAST(X.LCL_INSTMRNT_ID AS STRING),'*')&gt;0 OR INSTR(CAST(X.LCL_INSTMRNT_ID AS STRING),'`')&gt;0 OR INSTR(CAST(X.LCL_INSTMRNT_ID AS STRING),'´')&gt;0 OR INSTR(CAST(X.LCL_INSTMRNT_ID AS STRING),'{')&gt;0 OR INSTR(CAST(X.LCL_INSTMRNT_ID AS STRING),'}')&gt;0 OR INSTR(CAST(X.LCL_INSTMRNT_ID AS STRING),'[')&gt;0 OR INSTR(CAST(X.LCL_INSTMRNT_ID AS STRING),'')&gt;0 OR INSTR(CAST(X.LCL_INSTMRNT_ID AS STRING),']')&gt;0 OR INSTR(CAST(X.LCL_INSTMRNT_ID AS STRING),'?')&gt;0 OR INSTR(CAST(X.LCL_INSTMRNT_ID AS STRING),'!')&gt;0 OR INSTR(CAST(X.LCL_INSTMRNT_ID AS STRING),'$')&gt;0 OR INSTR(CAST(X.LCL_INSTMRNT_ID AS STRING),'%')&gt;0 OR INSTR(CAST(X.LCL_INSTMRNT_ID AS STRING),'&amp;')&gt;0 OR INSTR(CAST(X.LCL_INSTMRNT_ID AS STRING),'+')&gt;0,1,0)) AS NUM_REG_DIF,'10' AS ID_EXEC, CURRENT_TIMESTAMP() AS TIME_EXEC FROM (SELECT instrmnt_id, LCL_INSTMRNT_ID FROM BU_LOANTAPE_WORK.LT002_INSTRUMENT WHERE ref_date='${ref_date}' AND nome_perimetro='Individual Corporativo' AND segmento='ESTR' AND ambito='PILAR3')X</v>
      </c>
      <c r="M214" s="43" t="str">
        <f t="shared" si="3"/>
        <v>UNION ALL SELECT 'INSTRUMENT' AS TABELA, 'CARACTERES ESPECIAIS' AS TIPOLOGIA_TESTE,'BU_LOANTAPE_WORK.LT002_INSTRUMENT' AS TABELA_LT,'N/A' AS TABELA_SIMUL,'LCL_INSTMRNT_ID' AS CAMPO, '${ref_date}' AS REF_DATE, COUNT(*) AS NUM_REG, SUM(IF(INSTR(CAST(X.LCL_INSTMRNT_ID AS STRING),'#')&gt;0 OR INSTR(CAST(X.LCL_INSTMRNT_ID AS STRING),'*')&gt;0 OR INSTR(CAST(X.LCL_INSTMRNT_ID AS STRING),'`')&gt;0 OR INSTR(CAST(X.LCL_INSTMRNT_ID AS STRING),'´')&gt;0 OR INSTR(CAST(X.LCL_INSTMRNT_ID AS STRING),'{')&gt;0 OR INSTR(CAST(X.LCL_INSTMRNT_ID AS STRING),'}')&gt;0 OR INSTR(CAST(X.LCL_INSTMRNT_ID AS STRING),'[')&gt;0 OR INSTR(CAST(X.LCL_INSTMRNT_ID AS STRING),'')&gt;0 OR INSTR(CAST(X.LCL_INSTMRNT_ID AS STRING),']')&gt;0 OR INSTR(CAST(X.LCL_INSTMRNT_ID AS STRING),'?')&gt;0 OR INSTR(CAST(X.LCL_INSTMRNT_ID AS STRING),'!')&gt;0 OR INSTR(CAST(X.LCL_INSTMRNT_ID AS STRING),'$')&gt;0 OR INSTR(CAST(X.LCL_INSTMRNT_ID AS STRING),'%')&gt;0 OR INSTR(CAST(X.LCL_INSTMRNT_ID AS STRING),'&amp;')&gt;0 OR INSTR(CAST(X.LCL_INSTMRNT_ID AS STRING),'+')&gt;0,1,0)) AS NUM_REG_DIF,'10' AS ID_EXEC, CURRENT_TIMESTAMP() AS TIME_EXEC FROM (SELECT instrmnt_id, LCL_INSTMRNT_ID FROM BU_LOANTAPE_WORK.LT002_INSTRUMENT WHERE ref_date='${ref_date}' AND nome_perimetro='Individual Corporativo' AND segmento='ESTR' AND ambito='PILAR3')X</v>
      </c>
      <c r="N214" s="45" t="s">
        <v>13</v>
      </c>
    </row>
    <row r="215" spans="2:14">
      <c r="B215" s="41" t="s">
        <v>27</v>
      </c>
      <c r="C215" s="41" t="s">
        <v>76</v>
      </c>
      <c r="D215" s="41" t="str">
        <f>+UPPER('0. Instruções'!$D$33&amp;"."&amp;VLOOKUP(B215,'0. Instruções'!$C$27:$D$31,2,FALSE))</f>
        <v>BU_LOANTAPE_WORK.LT002_INSTRUMENT</v>
      </c>
      <c r="E215" s="41" t="str">
        <f>+UPPER('0. Instruções'!$D$34&amp;"."&amp;VLOOKUP(B215,'0. Instruções'!$C$27:$E$31,3,FALSE))</f>
        <v>BU_LOANTAPE_WORK.LT002_INSTRUMENT_P3_NOV24</v>
      </c>
      <c r="F215" s="41" t="s">
        <v>180</v>
      </c>
      <c r="G215" s="41" t="s">
        <v>13</v>
      </c>
      <c r="H215" s="41"/>
      <c r="I215" s="41" t="str">
        <f>"(SELECT "&amp;VLOOKUP(B215,'0. Instruções'!$C$27:$G$31,4,FALSE)&amp;", "&amp;F215&amp;" FROM "&amp;D215&amp;" WHERE "&amp;'0. Instruções'!$D$40&amp;")X"</f>
        <v>(SELECT instrmnt_id, IDCMB FROM BU_LOANTAPE_WORK.LT002_INSTRUMENT WHERE ref_date='${ref_date}' AND nome_perimetro='Individual Corporativo' AND segmento='ESTR' AND ambito='PILAR3')X</v>
      </c>
      <c r="J215" s="41" t="str">
        <f>"(SELECT "&amp;VLOOKUP(B215,'0. Instruções'!$C$27:$G$31,4,FALSE)&amp;" AS "&amp;VLOOKUP(B215,'0. Instruções'!$C$27:$G$31,4,FALSE)&amp;"_SIMUL, "&amp;F215&amp;" AS "&amp;F215&amp;"_SIMUL FROM "&amp;E215&amp;")Y"</f>
        <v>(SELECT instrmnt_id AS instrmnt_id_SIMUL, IDCMB AS IDCMB_SIMUL FROM BU_LOANTAPE_WORK.LT002_INSTRUMENT_P3_NOV24)Y</v>
      </c>
      <c r="K215" s="42" t="str">
        <f>+UPPER("ON X."&amp;VLOOKUP(B215,'0. Instruções'!$C$27:$G$31,4,FALSE)&amp;"=Y."&amp;VLOOKUP(B215,'0. Instruções'!$C$27:$G$31,4,FALSE)&amp;"_SIMUL")</f>
        <v>ON X.INSTRMNT_ID=Y.INSTRMNT_ID_SIMUL</v>
      </c>
      <c r="L215" s="42" t="str">
        <f>+IF(C215="Coerência", +IF(LEFT(G215,5)="FLOAT","SELECT '"&amp;UPPER(B215)&amp;"' AS TABELA, '"&amp;UPPER(C215)&amp;"' AS TIPOLOGIA_TESTE,'"&amp;D215&amp;"' AS TABELA_LT,'"&amp;E215&amp;"' AS TABELA_SIMUL,'"&amp;F215&amp;"' AS CAMPO, "&amp;"'${ref_date}' AS REF_DATE, COUNT(*) AS NUM_REG, SUM(IF((ABS(COALESCE(X."&amp;F215&amp;",0)-COALESCE(Y."&amp;F215&amp;"_SIMUL,0))&gt;0.0000000001) OR (X."&amp;F215&amp;" IS NULL AND Y."&amp;F215&amp;"_SIMUL IS NOT NULL ) OR (X."&amp;F215&amp;" IS NOT NULL AND Y."&amp;F215&amp;"_SIMUL IS NULL),1,0)) AS NUM_REG_DIF,'"&amp;MAX('ID1&amp;5'!K:K)+1&amp;"' AS ID_EXEC, CURRENT_TIMESTAMP() AS TIME_EXEC FROM "&amp;I215&amp;" INNER JOIN "&amp;J215&amp;" "&amp;K215,"SELECT '"&amp;UPPER(B215)&amp;"' AS TABELA, '"&amp;UPPER(C215)&amp;"' AS TIPOLOGIA_TESTE,'"&amp;D215&amp;"' AS TABELA_LT,'"&amp;E215&amp;"' AS TABELA_SIMUL,'"&amp;F215&amp;"' AS CAMPO, "&amp;"'${ref_date}' AS REF_DATE, COUNT(*) AS NUM_REG, SUM(IF(COALESCE(CAST(X."&amp;F215&amp;" AS STRING),'')&lt;&gt;COALESCE(CAST(Y."&amp;F215&amp;"_SIMUL AS STRING),''),1,0)) AS NUM_REG_DIF,'"&amp;MAX('ID1&amp;5'!L:L)+1&amp;"' AS ID_EXEC, CURRENT_TIMESTAMP() AS TIME_EXEC FROM "&amp;I215&amp;" INNER JOIN "&amp;J215&amp;" "&amp;K215),
IF(C215="Validade",+IF(G215="Code List","SELECT '"&amp;UPPER(B215)&amp;"' AS TABELA, '"&amp;UPPER(C215)&amp;"' AS TIPOLOGIA_TESTE,'"&amp;D215&amp;"' AS TABELA_LT,'N/A' AS TABELA_SIMUL,'"&amp;F215&amp;"' AS CAMPO, "&amp;"'${ref_date}' AS REF_DATE, COUNT(*) AS NUM_REG, SUM(IF(TRIM(CAST(X."&amp;F215&amp;" AS STRING))='' OR TRIM(CAST(X."&amp;F215&amp;" AS STRING)) IS NULL OR CAST(X."&amp;F215&amp;" AS STRING) NOT "&amp;H215&amp;",1,0)) AS NUM_REG_DIF,'"&amp;MAX('ID1&amp;5'!K:K)+1&amp;"' AS ID_EXEC, CURRENT_TIMESTAMP() AS TIME_EXEC FROM "&amp;I215,"SELECT '"&amp;UPPER(B215)&amp;"' AS TABELA, '"&amp;UPPER(C215)&amp;"' AS TIPOLOGIA_TESTE,'"&amp;D215&amp;"' AS TABELA_LT,'N/A' AS TABELA_SIMUL,'"&amp;F215&amp;"' AS CAMPO, "&amp;"'${ref_date}' AS REF_DATE, COUNT(*) AS NUM_REG, SUM(IF(TRIM(CAST(X."&amp;F215&amp;" AS STRING))='' OR TRIM(CAST(X."&amp;F215&amp;" AS STRING)) IS NULL,1,0)) AS NUM_REG_DIF,'"&amp;MAX('ID1&amp;5'!K:K)+1&amp;"' AS ID_EXEC, CURRENT_TIMESTAMP() AS TIME_EXEC FROM "&amp;I215),
IF(C215="Caracteres Especiais",+"SELECT '"&amp;UPPER(B215)&amp;"' AS TABELA, '"&amp;UPPER(C215)&amp;"' AS TIPOLOGIA_TESTE,'"&amp;D215&amp;"' AS TABELA_LT,'N/A' AS TABELA_SIMUL,'"&amp;F215&amp;"' AS CAMPO, "&amp;"'${ref_date}' AS REF_DATE, COUNT(*) AS NUM_REG, SUM(IF(INSTR(CAST(X."&amp;F215&amp;" AS STRING),'#')&gt;0 OR INSTR(CAST(X."&amp;F215&amp;" AS STRING),'*')&gt;0 OR INSTR(CAST(X."&amp;F215&amp;" AS STRING),'`')&gt;0 OR INSTR(CAST(X."&amp;F215&amp;" AS STRING),'´')&gt;0 OR INSTR(CAST(X."&amp;F215&amp;" AS STRING),'{')&gt;0 OR INSTR(CAST(X."&amp;F215&amp;" AS STRING),'}')&gt;0 OR INSTR(CAST(X."&amp;F215&amp;" AS STRING),'[')&gt;0 OR INSTR(CAST(X."&amp;F215&amp;" AS STRING),'')&gt;0 OR INSTR(CAST(X."&amp;F215&amp;" AS STRING),']')&gt;0 OR INSTR(CAST(X."&amp;F215&amp;" AS STRING),'?')&gt;0 OR INSTR(CAST(X."&amp;F215&amp;" AS STRING),'!')&gt;0 OR INSTR(CAST(X."&amp;F215&amp;" AS STRING),'$')&gt;0 OR INSTR(CAST(X."&amp;F215&amp;" AS STRING),'%')&gt;0 OR INSTR(CAST(X."&amp;F215&amp;" AS STRING),'&amp;')&gt;0 OR INSTR(CAST(X."&amp;F215&amp;" AS STRING),'+')&gt;0,1,0)) AS NUM_REG_DIF,'"&amp;MAX('ID1&amp;5'!K:K)+1&amp;"' AS ID_EXEC, CURRENT_TIMESTAMP() AS TIME_EXEC FROM "&amp;I215,
IF(C215="Missings",+"SELECT '"&amp;UPPER(B215)&amp;"' AS TABELA, '"&amp;UPPER(C215)&amp;"' AS TIPOLOGIA_TESTE,'"&amp;D215&amp;"' AS TABELA_LT,'N/A' AS TABELA_SIMUL,'"&amp;F215&amp;"' AS CAMPO, "&amp;"'${ref_date}' AS REF_DATE, COUNT(*) AS NUM_REG, SUM(IF(TRIM(CAST(X."&amp;F215&amp;" AS STRING)) IN ('0000-00-00','0001-01-01','9999-12-31','MISS','00000','99999999999','99999999999.00','99999999999.000000'),1,0)) AS NUM_REG_DIF,'"&amp;MAX('ID1&amp;5'!K:K)+1&amp;"' AS ID_EXEC, CURRENT_TIMESTAMP() AS TIME_EXEC FROM "&amp;I215,
IF(C215="Not applicable",+"SELECT '"&amp;UPPER(B215)&amp;"' AS TABELA, '"&amp;UPPER(C215)&amp;"' AS TIPOLOGIA_TESTE,'"&amp;D215&amp;"' AS TABELA_LT,'N/A' AS TABELA_SIMUL,'"&amp;F215&amp;"' AS CAMPO, "&amp;"'${ref_date}' AS REF_DATE, COUNT(*) AS NUM_REG, SUM(IF(TRIM(CAST(X."&amp;F215&amp;" AS STRING)) IN ('N/A','11111111111','11111111111.00','11111111111.000000','1111-11-11'),1,0)) AS NUM_REG_DIF,'"&amp;MAX('ID1&amp;5'!K:K)+1&amp;"' AS ID_EXEC, CURRENT_TIMESTAMP() AS TIME_EXEC FROM "&amp;I215,
IF(C215="Valores extremos",+"SELECT '"&amp;UPPER(B215)&amp;"' AS TABELA, '"&amp;UPPER(C215)&amp;"' AS TIPOLOGIA_TESTE,'"&amp;D215&amp;"' AS TABELA_LT,'N/A' AS TABELA_SIMUL,'"&amp;F215&amp;"' AS CAMPO, "&amp;"'${ref_date}' AS REF_DATE, CAST(MIN("&amp;F215&amp;") AS STRING) AS VALOR_MIN, CAST(MAX("&amp;F215&amp;") AS STRING) AS VALOR_MAX,'"&amp;MAX('ID1&amp;5'!K:K)+1&amp;"' AS ID_EXEC, CURRENT_TIMESTAMP() AS TIME_EXEC FROM "&amp;MID(I215,1,LEN(I215)-2)&amp;" AND CAST("&amp;F215&amp;" AS STRING) NOT IN ('0000-00-00','0001-01-01','9999-12-31','MISS','00000','99999999999','99999999999.00','99999999999.000000','N/A','11111111111','11111111111.00','11111111111.000000','1111-11-11'))X"))))))</f>
        <v>SELECT 'INSTRUMENT' AS TABELA, 'CARACTERES ESPECIAIS' AS TIPOLOGIA_TESTE,'BU_LOANTAPE_WORK.LT002_INSTRUMENT' AS TABELA_LT,'N/A' AS TABELA_SIMUL,'IDCMB' AS CAMPO, '${ref_date}' AS REF_DATE, COUNT(*) AS NUM_REG, SUM(IF(INSTR(CAST(X.IDCMB AS STRING),'#')&gt;0 OR INSTR(CAST(X.IDCMB AS STRING),'*')&gt;0 OR INSTR(CAST(X.IDCMB AS STRING),'`')&gt;0 OR INSTR(CAST(X.IDCMB AS STRING),'´')&gt;0 OR INSTR(CAST(X.IDCMB AS STRING),'{')&gt;0 OR INSTR(CAST(X.IDCMB AS STRING),'}')&gt;0 OR INSTR(CAST(X.IDCMB AS STRING),'[')&gt;0 OR INSTR(CAST(X.IDCMB AS STRING),'')&gt;0 OR INSTR(CAST(X.IDCMB AS STRING),']')&gt;0 OR INSTR(CAST(X.IDCMB AS STRING),'?')&gt;0 OR INSTR(CAST(X.IDCMB AS STRING),'!')&gt;0 OR INSTR(CAST(X.IDCMB AS STRING),'$')&gt;0 OR INSTR(CAST(X.IDCMB AS STRING),'%')&gt;0 OR INSTR(CAST(X.IDCMB AS STRING),'&amp;')&gt;0 OR INSTR(CAST(X.IDCMB AS STRING),'+')&gt;0,1,0)) AS NUM_REG_DIF,'10' AS ID_EXEC, CURRENT_TIMESTAMP() AS TIME_EXEC FROM (SELECT instrmnt_id, IDCMB FROM BU_LOANTAPE_WORK.LT002_INSTRUMENT WHERE ref_date='${ref_date}' AND nome_perimetro='Individual Corporativo' AND segmento='ESTR' AND ambito='PILAR3')X</v>
      </c>
      <c r="M215" s="43" t="str">
        <f t="shared" si="3"/>
        <v>UNION ALL SELECT 'INSTRUMENT' AS TABELA, 'CARACTERES ESPECIAIS' AS TIPOLOGIA_TESTE,'BU_LOANTAPE_WORK.LT002_INSTRUMENT' AS TABELA_LT,'N/A' AS TABELA_SIMUL,'IDCMB' AS CAMPO, '${ref_date}' AS REF_DATE, COUNT(*) AS NUM_REG, SUM(IF(INSTR(CAST(X.IDCMB AS STRING),'#')&gt;0 OR INSTR(CAST(X.IDCMB AS STRING),'*')&gt;0 OR INSTR(CAST(X.IDCMB AS STRING),'`')&gt;0 OR INSTR(CAST(X.IDCMB AS STRING),'´')&gt;0 OR INSTR(CAST(X.IDCMB AS STRING),'{')&gt;0 OR INSTR(CAST(X.IDCMB AS STRING),'}')&gt;0 OR INSTR(CAST(X.IDCMB AS STRING),'[')&gt;0 OR INSTR(CAST(X.IDCMB AS STRING),'')&gt;0 OR INSTR(CAST(X.IDCMB AS STRING),']')&gt;0 OR INSTR(CAST(X.IDCMB AS STRING),'?')&gt;0 OR INSTR(CAST(X.IDCMB AS STRING),'!')&gt;0 OR INSTR(CAST(X.IDCMB AS STRING),'$')&gt;0 OR INSTR(CAST(X.IDCMB AS STRING),'%')&gt;0 OR INSTR(CAST(X.IDCMB AS STRING),'&amp;')&gt;0 OR INSTR(CAST(X.IDCMB AS STRING),'+')&gt;0,1,0)) AS NUM_REG_DIF,'10' AS ID_EXEC, CURRENT_TIMESTAMP() AS TIME_EXEC FROM (SELECT instrmnt_id, IDCMB FROM BU_LOANTAPE_WORK.LT002_INSTRUMENT WHERE ref_date='${ref_date}' AND nome_perimetro='Individual Corporativo' AND segmento='ESTR' AND ambito='PILAR3')X</v>
      </c>
      <c r="N215" s="45" t="s">
        <v>13</v>
      </c>
    </row>
    <row r="216" spans="2:14">
      <c r="B216" s="41" t="s">
        <v>23</v>
      </c>
      <c r="C216" s="41" t="s">
        <v>76</v>
      </c>
      <c r="D216" s="41" t="str">
        <f>+UPPER('0. Instruções'!$D$33&amp;"."&amp;VLOOKUP(B216,'0. Instruções'!$C$27:$D$31,2,FALSE))</f>
        <v>BU_LOANTAPE_WORK.LT003_ENTITY</v>
      </c>
      <c r="E216" s="41" t="str">
        <f>+UPPER('0. Instruções'!$D$34&amp;"."&amp;VLOOKUP(B216,'0. Instruções'!$C$27:$E$31,3,FALSE))</f>
        <v>BU_LOANTAPE_WORK.LT003_ENTTY_P3_NOV24</v>
      </c>
      <c r="F216" s="41" t="s">
        <v>99</v>
      </c>
      <c r="G216" s="41" t="s">
        <v>209</v>
      </c>
      <c r="H216" s="41"/>
      <c r="I216" s="41" t="str">
        <f>"(SELECT "&amp;VLOOKUP(B216,'0. Instruções'!$C$27:$G$31,4,FALSE)&amp;", "&amp;F216&amp;" FROM "&amp;D216&amp;" WHERE "&amp;'0. Instruções'!$D$40&amp;")X"</f>
        <v>(SELECT entty_id, NACE_ESG FROM BU_LOANTAPE_WORK.LT003_ENTITY WHERE ref_date='${ref_date}' AND nome_perimetro='Individual Corporativo' AND segmento='ESTR' AND ambito='PILAR3')X</v>
      </c>
      <c r="J216" s="41" t="str">
        <f>"(SELECT "&amp;VLOOKUP(B216,'0. Instruções'!$C$27:$G$31,4,FALSE)&amp;" AS "&amp;VLOOKUP(B216,'0. Instruções'!$C$27:$G$31,4,FALSE)&amp;"_SIMUL, "&amp;F216&amp;" AS "&amp;F216&amp;"_SIMUL FROM "&amp;E216&amp;")Y"</f>
        <v>(SELECT entty_id AS entty_id_SIMUL, NACE_ESG AS NACE_ESG_SIMUL FROM BU_LOANTAPE_WORK.LT003_ENTTY_P3_NOV24)Y</v>
      </c>
      <c r="K216" s="42" t="str">
        <f>+UPPER("ON X."&amp;VLOOKUP(B216,'0. Instruções'!$C$27:$G$31,4,FALSE)&amp;"=Y."&amp;VLOOKUP(B216,'0. Instruções'!$C$27:$G$31,4,FALSE)&amp;"_SIMUL")</f>
        <v>ON X.ENTTY_ID=Y.ENTTY_ID_SIMUL</v>
      </c>
      <c r="L216" s="42" t="str">
        <f>+IF(C216="Coerência", +IF(LEFT(G216,5)="FLOAT","SELECT '"&amp;UPPER(B216)&amp;"' AS TABELA, '"&amp;UPPER(C216)&amp;"' AS TIPOLOGIA_TESTE,'"&amp;D216&amp;"' AS TABELA_LT,'"&amp;E216&amp;"' AS TABELA_SIMUL,'"&amp;F216&amp;"' AS CAMPO, "&amp;"'${ref_date}' AS REF_DATE, COUNT(*) AS NUM_REG, SUM(IF((ABS(COALESCE(X."&amp;F216&amp;",0)-COALESCE(Y."&amp;F216&amp;"_SIMUL,0))&gt;0.0000000001) OR (X."&amp;F216&amp;" IS NULL AND Y."&amp;F216&amp;"_SIMUL IS NOT NULL ) OR (X."&amp;F216&amp;" IS NOT NULL AND Y."&amp;F216&amp;"_SIMUL IS NULL),1,0)) AS NUM_REG_DIF,'"&amp;MAX('ID1&amp;5'!K:K)+1&amp;"' AS ID_EXEC, CURRENT_TIMESTAMP() AS TIME_EXEC FROM "&amp;I216&amp;" INNER JOIN "&amp;J216&amp;" "&amp;K216,"SELECT '"&amp;UPPER(B216)&amp;"' AS TABELA, '"&amp;UPPER(C216)&amp;"' AS TIPOLOGIA_TESTE,'"&amp;D216&amp;"' AS TABELA_LT,'"&amp;E216&amp;"' AS TABELA_SIMUL,'"&amp;F216&amp;"' AS CAMPO, "&amp;"'${ref_date}' AS REF_DATE, COUNT(*) AS NUM_REG, SUM(IF(COALESCE(CAST(X."&amp;F216&amp;" AS STRING),'')&lt;&gt;COALESCE(CAST(Y."&amp;F216&amp;"_SIMUL AS STRING),''),1,0)) AS NUM_REG_DIF,'"&amp;MAX('ID1&amp;5'!L:L)+1&amp;"' AS ID_EXEC, CURRENT_TIMESTAMP() AS TIME_EXEC FROM "&amp;I216&amp;" INNER JOIN "&amp;J216&amp;" "&amp;K216),
IF(C216="Validade",+IF(G216="Code List","SELECT '"&amp;UPPER(B216)&amp;"' AS TABELA, '"&amp;UPPER(C216)&amp;"' AS TIPOLOGIA_TESTE,'"&amp;D216&amp;"' AS TABELA_LT,'N/A' AS TABELA_SIMUL,'"&amp;F216&amp;"' AS CAMPO, "&amp;"'${ref_date}' AS REF_DATE, COUNT(*) AS NUM_REG, SUM(IF(TRIM(CAST(X."&amp;F216&amp;" AS STRING))='' OR TRIM(CAST(X."&amp;F216&amp;" AS STRING)) IS NULL OR CAST(X."&amp;F216&amp;" AS STRING) NOT "&amp;H216&amp;",1,0)) AS NUM_REG_DIF,'"&amp;MAX('ID1&amp;5'!K:K)+1&amp;"' AS ID_EXEC, CURRENT_TIMESTAMP() AS TIME_EXEC FROM "&amp;I216,"SELECT '"&amp;UPPER(B216)&amp;"' AS TABELA, '"&amp;UPPER(C216)&amp;"' AS TIPOLOGIA_TESTE,'"&amp;D216&amp;"' AS TABELA_LT,'N/A' AS TABELA_SIMUL,'"&amp;F216&amp;"' AS CAMPO, "&amp;"'${ref_date}' AS REF_DATE, COUNT(*) AS NUM_REG, SUM(IF(TRIM(CAST(X."&amp;F216&amp;" AS STRING))='' OR TRIM(CAST(X."&amp;F216&amp;" AS STRING)) IS NULL,1,0)) AS NUM_REG_DIF,'"&amp;MAX('ID1&amp;5'!K:K)+1&amp;"' AS ID_EXEC, CURRENT_TIMESTAMP() AS TIME_EXEC FROM "&amp;I216),
IF(C216="Caracteres Especiais",+"SELECT '"&amp;UPPER(B216)&amp;"' AS TABELA, '"&amp;UPPER(C216)&amp;"' AS TIPOLOGIA_TESTE,'"&amp;D216&amp;"' AS TABELA_LT,'N/A' AS TABELA_SIMUL,'"&amp;F216&amp;"' AS CAMPO, "&amp;"'${ref_date}' AS REF_DATE, COUNT(*) AS NUM_REG, SUM(IF(INSTR(CAST(X."&amp;F216&amp;" AS STRING),'#')&gt;0 OR INSTR(CAST(X."&amp;F216&amp;" AS STRING),'*')&gt;0 OR INSTR(CAST(X."&amp;F216&amp;" AS STRING),'`')&gt;0 OR INSTR(CAST(X."&amp;F216&amp;" AS STRING),'´')&gt;0 OR INSTR(CAST(X."&amp;F216&amp;" AS STRING),'{')&gt;0 OR INSTR(CAST(X."&amp;F216&amp;" AS STRING),'}')&gt;0 OR INSTR(CAST(X."&amp;F216&amp;" AS STRING),'[')&gt;0 OR INSTR(CAST(X."&amp;F216&amp;" AS STRING),'')&gt;0 OR INSTR(CAST(X."&amp;F216&amp;" AS STRING),']')&gt;0 OR INSTR(CAST(X."&amp;F216&amp;" AS STRING),'?')&gt;0 OR INSTR(CAST(X."&amp;F216&amp;" AS STRING),'!')&gt;0 OR INSTR(CAST(X."&amp;F216&amp;" AS STRING),'$')&gt;0 OR INSTR(CAST(X."&amp;F216&amp;" AS STRING),'%')&gt;0 OR INSTR(CAST(X."&amp;F216&amp;" AS STRING),'&amp;')&gt;0 OR INSTR(CAST(X."&amp;F216&amp;" AS STRING),'+')&gt;0,1,0)) AS NUM_REG_DIF,'"&amp;MAX('ID1&amp;5'!K:K)+1&amp;"' AS ID_EXEC, CURRENT_TIMESTAMP() AS TIME_EXEC FROM "&amp;I216,
IF(C216="Missings",+"SELECT '"&amp;UPPER(B216)&amp;"' AS TABELA, '"&amp;UPPER(C216)&amp;"' AS TIPOLOGIA_TESTE,'"&amp;D216&amp;"' AS TABELA_LT,'N/A' AS TABELA_SIMUL,'"&amp;F216&amp;"' AS CAMPO, "&amp;"'${ref_date}' AS REF_DATE, COUNT(*) AS NUM_REG, SUM(IF(TRIM(CAST(X."&amp;F216&amp;" AS STRING)) IN ('0000-00-00','0001-01-01','9999-12-31','MISS','00000','99999999999','99999999999.00','99999999999.000000'),1,0)) AS NUM_REG_DIF,'"&amp;MAX('ID1&amp;5'!K:K)+1&amp;"' AS ID_EXEC, CURRENT_TIMESTAMP() AS TIME_EXEC FROM "&amp;I216,
IF(C216="Not applicable",+"SELECT '"&amp;UPPER(B216)&amp;"' AS TABELA, '"&amp;UPPER(C216)&amp;"' AS TIPOLOGIA_TESTE,'"&amp;D216&amp;"' AS TABELA_LT,'N/A' AS TABELA_SIMUL,'"&amp;F216&amp;"' AS CAMPO, "&amp;"'${ref_date}' AS REF_DATE, COUNT(*) AS NUM_REG, SUM(IF(TRIM(CAST(X."&amp;F216&amp;" AS STRING)) IN ('N/A','11111111111','11111111111.00','11111111111.000000','1111-11-11'),1,0)) AS NUM_REG_DIF,'"&amp;MAX('ID1&amp;5'!K:K)+1&amp;"' AS ID_EXEC, CURRENT_TIMESTAMP() AS TIME_EXEC FROM "&amp;I216,
IF(C216="Valores extremos",+"SELECT '"&amp;UPPER(B216)&amp;"' AS TABELA, '"&amp;UPPER(C216)&amp;"' AS TIPOLOGIA_TESTE,'"&amp;D216&amp;"' AS TABELA_LT,'N/A' AS TABELA_SIMUL,'"&amp;F216&amp;"' AS CAMPO, "&amp;"'${ref_date}' AS REF_DATE, CAST(MIN("&amp;F216&amp;") AS STRING) AS VALOR_MIN, CAST(MAX("&amp;F216&amp;") AS STRING) AS VALOR_MAX,'"&amp;MAX('ID1&amp;5'!K:K)+1&amp;"' AS ID_EXEC, CURRENT_TIMESTAMP() AS TIME_EXEC FROM "&amp;MID(I216,1,LEN(I216)-2)&amp;" AND CAST("&amp;F216&amp;"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TABELA_SIMUL,'NACE_ESG' AS CAMPO, '${ref_date}' AS REF_DATE, COUNT(*) AS NUM_REG, SUM(IF(INSTR(CAST(X.NACE_ESG AS STRING),'#')&gt;0 OR INSTR(CAST(X.NACE_ESG AS STRING),'*')&gt;0 OR INSTR(CAST(X.NACE_ESG AS STRING),'`')&gt;0 OR INSTR(CAST(X.NACE_ESG AS STRING),'´')&gt;0 OR INSTR(CAST(X.NACE_ESG AS STRING),'{')&gt;0 OR INSTR(CAST(X.NACE_ESG AS STRING),'}')&gt;0 OR INSTR(CAST(X.NACE_ESG AS STRING),'[')&gt;0 OR INSTR(CAST(X.NACE_ESG AS STRING),'')&gt;0 OR INSTR(CAST(X.NACE_ESG AS STRING),']')&gt;0 OR INSTR(CAST(X.NACE_ESG AS STRING),'?')&gt;0 OR INSTR(CAST(X.NACE_ESG AS STRING),'!')&gt;0 OR INSTR(CAST(X.NACE_ESG AS STRING),'$')&gt;0 OR INSTR(CAST(X.NACE_ESG AS STRING),'%')&gt;0 OR INSTR(CAST(X.NACE_ESG AS STRING),'&amp;')&gt;0 OR INSTR(CAST(X.NACE_ESG AS STRING),'+')&gt;0,1,0)) AS NUM_REG_DIF,'10' AS ID_EXEC, CURRENT_TIMESTAMP() AS TIME_EXEC FROM (SELECT entty_id, NACE_ESG FROM BU_LOANTAPE_WORK.LT003_ENTITY WHERE ref_date='${ref_date}' AND nome_perimetro='Individual Corporativo' AND segmento='ESTR' AND ambito='PILAR3')X</v>
      </c>
      <c r="M216" s="43" t="str">
        <f t="shared" si="3"/>
        <v>UNION ALL SELECT 'ENTITY' AS TABELA, 'CARACTERES ESPECIAIS' AS TIPOLOGIA_TESTE,'BU_LOANTAPE_WORK.LT003_ENTITY' AS TABELA_LT,'N/A' AS TABELA_SIMUL,'NACE_ESG' AS CAMPO, '${ref_date}' AS REF_DATE, COUNT(*) AS NUM_REG, SUM(IF(INSTR(CAST(X.NACE_ESG AS STRING),'#')&gt;0 OR INSTR(CAST(X.NACE_ESG AS STRING),'*')&gt;0 OR INSTR(CAST(X.NACE_ESG AS STRING),'`')&gt;0 OR INSTR(CAST(X.NACE_ESG AS STRING),'´')&gt;0 OR INSTR(CAST(X.NACE_ESG AS STRING),'{')&gt;0 OR INSTR(CAST(X.NACE_ESG AS STRING),'}')&gt;0 OR INSTR(CAST(X.NACE_ESG AS STRING),'[')&gt;0 OR INSTR(CAST(X.NACE_ESG AS STRING),'')&gt;0 OR INSTR(CAST(X.NACE_ESG AS STRING),']')&gt;0 OR INSTR(CAST(X.NACE_ESG AS STRING),'?')&gt;0 OR INSTR(CAST(X.NACE_ESG AS STRING),'!')&gt;0 OR INSTR(CAST(X.NACE_ESG AS STRING),'$')&gt;0 OR INSTR(CAST(X.NACE_ESG AS STRING),'%')&gt;0 OR INSTR(CAST(X.NACE_ESG AS STRING),'&amp;')&gt;0 OR INSTR(CAST(X.NACE_ESG AS STRING),'+')&gt;0,1,0)) AS NUM_REG_DIF,'10' AS ID_EXEC, CURRENT_TIMESTAMP() AS TIME_EXEC FROM (SELECT entty_id, NACE_ESG FROM BU_LOANTAPE_WORK.LT003_ENTITY WHERE ref_date='${ref_date}' AND nome_perimetro='Individual Corporativo' AND segmento='ESTR' AND ambito='PILAR3')X</v>
      </c>
      <c r="N216" s="45" t="s">
        <v>13</v>
      </c>
    </row>
    <row r="217" spans="2:14">
      <c r="B217" s="41" t="s">
        <v>23</v>
      </c>
      <c r="C217" s="41" t="s">
        <v>76</v>
      </c>
      <c r="D217" s="41" t="str">
        <f>+UPPER('0. Instruções'!$D$33&amp;"."&amp;VLOOKUP(B217,'0. Instruções'!$C$27:$D$31,2,FALSE))</f>
        <v>BU_LOANTAPE_WORK.LT003_ENTITY</v>
      </c>
      <c r="E217" s="41" t="str">
        <f>+UPPER('0. Instruções'!$D$34&amp;"."&amp;VLOOKUP(B217,'0. Instruções'!$C$27:$E$31,3,FALSE))</f>
        <v>BU_LOANTAPE_WORK.LT003_ENTTY_P3_NOV24</v>
      </c>
      <c r="F217" s="41" t="s">
        <v>100</v>
      </c>
      <c r="G217" s="41" t="s">
        <v>210</v>
      </c>
      <c r="H217" s="41"/>
      <c r="I217" s="41" t="str">
        <f>"(SELECT "&amp;VLOOKUP(B217,'0. Instruções'!$C$27:$G$31,4,FALSE)&amp;", "&amp;F217&amp;" FROM "&amp;D217&amp;" WHERE "&amp;'0. Instruções'!$D$40&amp;")X"</f>
        <v>(SELECT entty_id, TXNMY_ELGBL_CAPEX_CCM FROM BU_LOANTAPE_WORK.LT003_ENTITY WHERE ref_date='${ref_date}' AND nome_perimetro='Individual Corporativo' AND segmento='ESTR' AND ambito='PILAR3')X</v>
      </c>
      <c r="J217" s="41" t="str">
        <f>"(SELECT "&amp;VLOOKUP(B217,'0. Instruções'!$C$27:$G$31,4,FALSE)&amp;" AS "&amp;VLOOKUP(B217,'0. Instruções'!$C$27:$G$31,4,FALSE)&amp;"_SIMUL, "&amp;F217&amp;" AS "&amp;F217&amp;"_SIMUL FROM "&amp;E217&amp;")Y"</f>
        <v>(SELECT entty_id AS entty_id_SIMUL, TXNMY_ELGBL_CAPEX_CCM AS TXNMY_ELGBL_CAPEX_CCM_SIMUL FROM BU_LOANTAPE_WORK.LT003_ENTTY_P3_NOV24)Y</v>
      </c>
      <c r="K217" s="42" t="str">
        <f>+UPPER("ON X."&amp;VLOOKUP(B217,'0. Instruções'!$C$27:$G$31,4,FALSE)&amp;"=Y."&amp;VLOOKUP(B217,'0. Instruções'!$C$27:$G$31,4,FALSE)&amp;"_SIMUL")</f>
        <v>ON X.ENTTY_ID=Y.ENTTY_ID_SIMUL</v>
      </c>
      <c r="L217" s="42" t="str">
        <f>+IF(C217="Coerência", +IF(LEFT(G217,5)="FLOAT","SELECT '"&amp;UPPER(B217)&amp;"' AS TABELA, '"&amp;UPPER(C217)&amp;"' AS TIPOLOGIA_TESTE,'"&amp;D217&amp;"' AS TABELA_LT,'"&amp;E217&amp;"' AS TABELA_SIMUL,'"&amp;F217&amp;"' AS CAMPO, "&amp;"'${ref_date}' AS REF_DATE, COUNT(*) AS NUM_REG, SUM(IF((ABS(COALESCE(X."&amp;F217&amp;",0)-COALESCE(Y."&amp;F217&amp;"_SIMUL,0))&gt;0.0000000001) OR (X."&amp;F217&amp;" IS NULL AND Y."&amp;F217&amp;"_SIMUL IS NOT NULL ) OR (X."&amp;F217&amp;" IS NOT NULL AND Y."&amp;F217&amp;"_SIMUL IS NULL),1,0)) AS NUM_REG_DIF,'"&amp;MAX('ID1&amp;5'!K:K)+1&amp;"' AS ID_EXEC, CURRENT_TIMESTAMP() AS TIME_EXEC FROM "&amp;I217&amp;" INNER JOIN "&amp;J217&amp;" "&amp;K217,"SELECT '"&amp;UPPER(B217)&amp;"' AS TABELA, '"&amp;UPPER(C217)&amp;"' AS TIPOLOGIA_TESTE,'"&amp;D217&amp;"' AS TABELA_LT,'"&amp;E217&amp;"' AS TABELA_SIMUL,'"&amp;F217&amp;"' AS CAMPO, "&amp;"'${ref_date}' AS REF_DATE, COUNT(*) AS NUM_REG, SUM(IF(COALESCE(CAST(X."&amp;F217&amp;" AS STRING),'')&lt;&gt;COALESCE(CAST(Y."&amp;F217&amp;"_SIMUL AS STRING),''),1,0)) AS NUM_REG_DIF,'"&amp;MAX('ID1&amp;5'!L:L)+1&amp;"' AS ID_EXEC, CURRENT_TIMESTAMP() AS TIME_EXEC FROM "&amp;I217&amp;" INNER JOIN "&amp;J217&amp;" "&amp;K217),
IF(C217="Validade",+IF(G217="Code List","SELECT '"&amp;UPPER(B217)&amp;"' AS TABELA, '"&amp;UPPER(C217)&amp;"' AS TIPOLOGIA_TESTE,'"&amp;D217&amp;"' AS TABELA_LT,'N/A' AS TABELA_SIMUL,'"&amp;F217&amp;"' AS CAMPO, "&amp;"'${ref_date}' AS REF_DATE, COUNT(*) AS NUM_REG, SUM(IF(TRIM(CAST(X."&amp;F217&amp;" AS STRING))='' OR TRIM(CAST(X."&amp;F217&amp;" AS STRING)) IS NULL OR CAST(X."&amp;F217&amp;" AS STRING) NOT "&amp;H217&amp;",1,0)) AS NUM_REG_DIF,'"&amp;MAX('ID1&amp;5'!K:K)+1&amp;"' AS ID_EXEC, CURRENT_TIMESTAMP() AS TIME_EXEC FROM "&amp;I217,"SELECT '"&amp;UPPER(B217)&amp;"' AS TABELA, '"&amp;UPPER(C217)&amp;"' AS TIPOLOGIA_TESTE,'"&amp;D217&amp;"' AS TABELA_LT,'N/A' AS TABELA_SIMUL,'"&amp;F217&amp;"' AS CAMPO, "&amp;"'${ref_date}' AS REF_DATE, COUNT(*) AS NUM_REG, SUM(IF(TRIM(CAST(X."&amp;F217&amp;" AS STRING))='' OR TRIM(CAST(X."&amp;F217&amp;" AS STRING)) IS NULL,1,0)) AS NUM_REG_DIF,'"&amp;MAX('ID1&amp;5'!K:K)+1&amp;"' AS ID_EXEC, CURRENT_TIMESTAMP() AS TIME_EXEC FROM "&amp;I217),
IF(C217="Caracteres Especiais",+"SELECT '"&amp;UPPER(B217)&amp;"' AS TABELA, '"&amp;UPPER(C217)&amp;"' AS TIPOLOGIA_TESTE,'"&amp;D217&amp;"' AS TABELA_LT,'N/A' AS TABELA_SIMUL,'"&amp;F217&amp;"' AS CAMPO, "&amp;"'${ref_date}' AS REF_DATE, COUNT(*) AS NUM_REG, SUM(IF(INSTR(CAST(X."&amp;F217&amp;" AS STRING),'#')&gt;0 OR INSTR(CAST(X."&amp;F217&amp;" AS STRING),'*')&gt;0 OR INSTR(CAST(X."&amp;F217&amp;" AS STRING),'`')&gt;0 OR INSTR(CAST(X."&amp;F217&amp;" AS STRING),'´')&gt;0 OR INSTR(CAST(X."&amp;F217&amp;" AS STRING),'{')&gt;0 OR INSTR(CAST(X."&amp;F217&amp;" AS STRING),'}')&gt;0 OR INSTR(CAST(X."&amp;F217&amp;" AS STRING),'[')&gt;0 OR INSTR(CAST(X."&amp;F217&amp;" AS STRING),'')&gt;0 OR INSTR(CAST(X."&amp;F217&amp;" AS STRING),']')&gt;0 OR INSTR(CAST(X."&amp;F217&amp;" AS STRING),'?')&gt;0 OR INSTR(CAST(X."&amp;F217&amp;" AS STRING),'!')&gt;0 OR INSTR(CAST(X."&amp;F217&amp;" AS STRING),'$')&gt;0 OR INSTR(CAST(X."&amp;F217&amp;" AS STRING),'%')&gt;0 OR INSTR(CAST(X."&amp;F217&amp;" AS STRING),'&amp;')&gt;0 OR INSTR(CAST(X."&amp;F217&amp;" AS STRING),'+')&gt;0,1,0)) AS NUM_REG_DIF,'"&amp;MAX('ID1&amp;5'!K:K)+1&amp;"' AS ID_EXEC, CURRENT_TIMESTAMP() AS TIME_EXEC FROM "&amp;I217,
IF(C217="Missings",+"SELECT '"&amp;UPPER(B217)&amp;"' AS TABELA, '"&amp;UPPER(C217)&amp;"' AS TIPOLOGIA_TESTE,'"&amp;D217&amp;"' AS TABELA_LT,'N/A' AS TABELA_SIMUL,'"&amp;F217&amp;"' AS CAMPO, "&amp;"'${ref_date}' AS REF_DATE, COUNT(*) AS NUM_REG, SUM(IF(TRIM(CAST(X."&amp;F217&amp;" AS STRING)) IN ('0000-00-00','0001-01-01','9999-12-31','MISS','00000','99999999999','99999999999.00','99999999999.000000'),1,0)) AS NUM_REG_DIF,'"&amp;MAX('ID1&amp;5'!K:K)+1&amp;"' AS ID_EXEC, CURRENT_TIMESTAMP() AS TIME_EXEC FROM "&amp;I217,
IF(C217="Not applicable",+"SELECT '"&amp;UPPER(B217)&amp;"' AS TABELA, '"&amp;UPPER(C217)&amp;"' AS TIPOLOGIA_TESTE,'"&amp;D217&amp;"' AS TABELA_LT,'N/A' AS TABELA_SIMUL,'"&amp;F217&amp;"' AS CAMPO, "&amp;"'${ref_date}' AS REF_DATE, COUNT(*) AS NUM_REG, SUM(IF(TRIM(CAST(X."&amp;F217&amp;" AS STRING)) IN ('N/A','11111111111','11111111111.00','11111111111.000000','1111-11-11'),1,0)) AS NUM_REG_DIF,'"&amp;MAX('ID1&amp;5'!K:K)+1&amp;"' AS ID_EXEC, CURRENT_TIMESTAMP() AS TIME_EXEC FROM "&amp;I217,
IF(C217="Valores extremos",+"SELECT '"&amp;UPPER(B217)&amp;"' AS TABELA, '"&amp;UPPER(C217)&amp;"' AS TIPOLOGIA_TESTE,'"&amp;D217&amp;"' AS TABELA_LT,'N/A' AS TABELA_SIMUL,'"&amp;F217&amp;"' AS CAMPO, "&amp;"'${ref_date}' AS REF_DATE, CAST(MIN("&amp;F217&amp;") AS STRING) AS VALOR_MIN, CAST(MAX("&amp;F217&amp;") AS STRING) AS VALOR_MAX,'"&amp;MAX('ID1&amp;5'!K:K)+1&amp;"' AS ID_EXEC, CURRENT_TIMESTAMP() AS TIME_EXEC FROM "&amp;MID(I217,1,LEN(I217)-2)&amp;" AND CAST("&amp;F217&amp;"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TABELA_SIMUL,'TXNMY_ELGBL_CAPEX_CCM' AS CAMPO, '${ref_date}' AS REF_DATE, COUNT(*) AS NUM_REG, SUM(IF(INSTR(CAST(X.TXNMY_ELGBL_CAPEX_CCM AS STRING),'#')&gt;0 OR INSTR(CAST(X.TXNMY_ELGBL_CAPEX_CCM AS STRING),'*')&gt;0 OR INSTR(CAST(X.TXNMY_ELGBL_CAPEX_CCM AS STRING),'`')&gt;0 OR INSTR(CAST(X.TXNMY_ELGBL_CAPEX_CCM AS STRING),'´')&gt;0 OR INSTR(CAST(X.TXNMY_ELGBL_CAPEX_CCM AS STRING),'{')&gt;0 OR INSTR(CAST(X.TXNMY_ELGBL_CAPEX_CCM AS STRING),'}')&gt;0 OR INSTR(CAST(X.TXNMY_ELGBL_CAPEX_CCM AS STRING),'[')&gt;0 OR INSTR(CAST(X.TXNMY_ELGBL_CAPEX_CCM AS STRING),'')&gt;0 OR INSTR(CAST(X.TXNMY_ELGBL_CAPEX_CCM AS STRING),']')&gt;0 OR INSTR(CAST(X.TXNMY_ELGBL_CAPEX_CCM AS STRING),'?')&gt;0 OR INSTR(CAST(X.TXNMY_ELGBL_CAPEX_CCM AS STRING),'!')&gt;0 OR INSTR(CAST(X.TXNMY_ELGBL_CAPEX_CCM AS STRING),'$')&gt;0 OR INSTR(CAST(X.TXNMY_ELGBL_CAPEX_CCM AS STRING),'%')&gt;0 OR INSTR(CAST(X.TXNMY_ELGBL_CAPEX_CCM AS STRING),'&amp;')&gt;0 OR INSTR(CAST(X.TXNMY_ELGBL_CAPEX_CCM AS STRING),'+')&gt;0,1,0)) AS NUM_REG_DIF,'10' AS ID_EXEC, CURRENT_TIMESTAMP() AS TIME_EXEC FROM (SELECT entty_id, TXNMY_ELGBL_CAPEX_CCM FROM BU_LOANTAPE_WORK.LT003_ENTITY WHERE ref_date='${ref_date}' AND nome_perimetro='Individual Corporativo' AND segmento='ESTR' AND ambito='PILAR3')X</v>
      </c>
      <c r="M217" s="43" t="str">
        <f t="shared" si="3"/>
        <v>UNION ALL SELECT 'ENTITY' AS TABELA, 'CARACTERES ESPECIAIS' AS TIPOLOGIA_TESTE,'BU_LOANTAPE_WORK.LT003_ENTITY' AS TABELA_LT,'N/A' AS TABELA_SIMUL,'TXNMY_ELGBL_CAPEX_CCM' AS CAMPO, '${ref_date}' AS REF_DATE, COUNT(*) AS NUM_REG, SUM(IF(INSTR(CAST(X.TXNMY_ELGBL_CAPEX_CCM AS STRING),'#')&gt;0 OR INSTR(CAST(X.TXNMY_ELGBL_CAPEX_CCM AS STRING),'*')&gt;0 OR INSTR(CAST(X.TXNMY_ELGBL_CAPEX_CCM AS STRING),'`')&gt;0 OR INSTR(CAST(X.TXNMY_ELGBL_CAPEX_CCM AS STRING),'´')&gt;0 OR INSTR(CAST(X.TXNMY_ELGBL_CAPEX_CCM AS STRING),'{')&gt;0 OR INSTR(CAST(X.TXNMY_ELGBL_CAPEX_CCM AS STRING),'}')&gt;0 OR INSTR(CAST(X.TXNMY_ELGBL_CAPEX_CCM AS STRING),'[')&gt;0 OR INSTR(CAST(X.TXNMY_ELGBL_CAPEX_CCM AS STRING),'')&gt;0 OR INSTR(CAST(X.TXNMY_ELGBL_CAPEX_CCM AS STRING),']')&gt;0 OR INSTR(CAST(X.TXNMY_ELGBL_CAPEX_CCM AS STRING),'?')&gt;0 OR INSTR(CAST(X.TXNMY_ELGBL_CAPEX_CCM AS STRING),'!')&gt;0 OR INSTR(CAST(X.TXNMY_ELGBL_CAPEX_CCM AS STRING),'$')&gt;0 OR INSTR(CAST(X.TXNMY_ELGBL_CAPEX_CCM AS STRING),'%')&gt;0 OR INSTR(CAST(X.TXNMY_ELGBL_CAPEX_CCM AS STRING),'&amp;')&gt;0 OR INSTR(CAST(X.TXNMY_ELGBL_CAPEX_CCM AS STRING),'+')&gt;0,1,0)) AS NUM_REG_DIF,'10' AS ID_EXEC, CURRENT_TIMESTAMP() AS TIME_EXEC FROM (SELECT entty_id, TXNMY_ELGBL_CAPEX_CCM FROM BU_LOANTAPE_WORK.LT003_ENTITY WHERE ref_date='${ref_date}' AND nome_perimetro='Individual Corporativo' AND segmento='ESTR' AND ambito='PILAR3')X</v>
      </c>
      <c r="N217" s="45" t="s">
        <v>13</v>
      </c>
    </row>
    <row r="218" spans="2:14">
      <c r="B218" s="41" t="s">
        <v>23</v>
      </c>
      <c r="C218" s="41" t="s">
        <v>76</v>
      </c>
      <c r="D218" s="41" t="str">
        <f>+UPPER('0. Instruções'!$D$33&amp;"."&amp;VLOOKUP(B218,'0. Instruções'!$C$27:$D$31,2,FALSE))</f>
        <v>BU_LOANTAPE_WORK.LT003_ENTITY</v>
      </c>
      <c r="E218" s="41" t="str">
        <f>+UPPER('0. Instruções'!$D$34&amp;"."&amp;VLOOKUP(B218,'0. Instruções'!$C$27:$E$31,3,FALSE))</f>
        <v>BU_LOANTAPE_WORK.LT003_ENTTY_P3_NOV24</v>
      </c>
      <c r="F218" s="41" t="s">
        <v>101</v>
      </c>
      <c r="G218" s="41" t="s">
        <v>210</v>
      </c>
      <c r="H218" s="41"/>
      <c r="I218" s="41" t="str">
        <f>"(SELECT "&amp;VLOOKUP(B218,'0. Instruções'!$C$27:$G$31,4,FALSE)&amp;", "&amp;F218&amp;" FROM "&amp;D218&amp;" WHERE "&amp;'0. Instruções'!$D$40&amp;")X"</f>
        <v>(SELECT entty_id, TXNMY_ELGBL_TRNVR_CCM FROM BU_LOANTAPE_WORK.LT003_ENTITY WHERE ref_date='${ref_date}' AND nome_perimetro='Individual Corporativo' AND segmento='ESTR' AND ambito='PILAR3')X</v>
      </c>
      <c r="J218" s="41" t="str">
        <f>"(SELECT "&amp;VLOOKUP(B218,'0. Instruções'!$C$27:$G$31,4,FALSE)&amp;" AS "&amp;VLOOKUP(B218,'0. Instruções'!$C$27:$G$31,4,FALSE)&amp;"_SIMUL, "&amp;F218&amp;" AS "&amp;F218&amp;"_SIMUL FROM "&amp;E218&amp;")Y"</f>
        <v>(SELECT entty_id AS entty_id_SIMUL, TXNMY_ELGBL_TRNVR_CCM AS TXNMY_ELGBL_TRNVR_CCM_SIMUL FROM BU_LOANTAPE_WORK.LT003_ENTTY_P3_NOV24)Y</v>
      </c>
      <c r="K218" s="42" t="str">
        <f>+UPPER("ON X."&amp;VLOOKUP(B218,'0. Instruções'!$C$27:$G$31,4,FALSE)&amp;"=Y."&amp;VLOOKUP(B218,'0. Instruções'!$C$27:$G$31,4,FALSE)&amp;"_SIMUL")</f>
        <v>ON X.ENTTY_ID=Y.ENTTY_ID_SIMUL</v>
      </c>
      <c r="L218" s="42" t="str">
        <f>+IF(C218="Coerência", +IF(LEFT(G218,5)="FLOAT","SELECT '"&amp;UPPER(B218)&amp;"' AS TABELA, '"&amp;UPPER(C218)&amp;"' AS TIPOLOGIA_TESTE,'"&amp;D218&amp;"' AS TABELA_LT,'"&amp;E218&amp;"' AS TABELA_SIMUL,'"&amp;F218&amp;"' AS CAMPO, "&amp;"'${ref_date}' AS REF_DATE, COUNT(*) AS NUM_REG, SUM(IF((ABS(COALESCE(X."&amp;F218&amp;",0)-COALESCE(Y."&amp;F218&amp;"_SIMUL,0))&gt;0.0000000001) OR (X."&amp;F218&amp;" IS NULL AND Y."&amp;F218&amp;"_SIMUL IS NOT NULL ) OR (X."&amp;F218&amp;" IS NOT NULL AND Y."&amp;F218&amp;"_SIMUL IS NULL),1,0)) AS NUM_REG_DIF,'"&amp;MAX('ID1&amp;5'!K:K)+1&amp;"' AS ID_EXEC, CURRENT_TIMESTAMP() AS TIME_EXEC FROM "&amp;I218&amp;" INNER JOIN "&amp;J218&amp;" "&amp;K218,"SELECT '"&amp;UPPER(B218)&amp;"' AS TABELA, '"&amp;UPPER(C218)&amp;"' AS TIPOLOGIA_TESTE,'"&amp;D218&amp;"' AS TABELA_LT,'"&amp;E218&amp;"' AS TABELA_SIMUL,'"&amp;F218&amp;"' AS CAMPO, "&amp;"'${ref_date}' AS REF_DATE, COUNT(*) AS NUM_REG, SUM(IF(COALESCE(CAST(X."&amp;F218&amp;" AS STRING),'')&lt;&gt;COALESCE(CAST(Y."&amp;F218&amp;"_SIMUL AS STRING),''),1,0)) AS NUM_REG_DIF,'"&amp;MAX('ID1&amp;5'!L:L)+1&amp;"' AS ID_EXEC, CURRENT_TIMESTAMP() AS TIME_EXEC FROM "&amp;I218&amp;" INNER JOIN "&amp;J218&amp;" "&amp;K218),
IF(C218="Validade",+IF(G218="Code List","SELECT '"&amp;UPPER(B218)&amp;"' AS TABELA, '"&amp;UPPER(C218)&amp;"' AS TIPOLOGIA_TESTE,'"&amp;D218&amp;"' AS TABELA_LT,'N/A' AS TABELA_SIMUL,'"&amp;F218&amp;"' AS CAMPO, "&amp;"'${ref_date}' AS REF_DATE, COUNT(*) AS NUM_REG, SUM(IF(TRIM(CAST(X."&amp;F218&amp;" AS STRING))='' OR TRIM(CAST(X."&amp;F218&amp;" AS STRING)) IS NULL OR CAST(X."&amp;F218&amp;" AS STRING) NOT "&amp;H218&amp;",1,0)) AS NUM_REG_DIF,'"&amp;MAX('ID1&amp;5'!K:K)+1&amp;"' AS ID_EXEC, CURRENT_TIMESTAMP() AS TIME_EXEC FROM "&amp;I218,"SELECT '"&amp;UPPER(B218)&amp;"' AS TABELA, '"&amp;UPPER(C218)&amp;"' AS TIPOLOGIA_TESTE,'"&amp;D218&amp;"' AS TABELA_LT,'N/A' AS TABELA_SIMUL,'"&amp;F218&amp;"' AS CAMPO, "&amp;"'${ref_date}' AS REF_DATE, COUNT(*) AS NUM_REG, SUM(IF(TRIM(CAST(X."&amp;F218&amp;" AS STRING))='' OR TRIM(CAST(X."&amp;F218&amp;" AS STRING)) IS NULL,1,0)) AS NUM_REG_DIF,'"&amp;MAX('ID1&amp;5'!K:K)+1&amp;"' AS ID_EXEC, CURRENT_TIMESTAMP() AS TIME_EXEC FROM "&amp;I218),
IF(C218="Caracteres Especiais",+"SELECT '"&amp;UPPER(B218)&amp;"' AS TABELA, '"&amp;UPPER(C218)&amp;"' AS TIPOLOGIA_TESTE,'"&amp;D218&amp;"' AS TABELA_LT,'N/A' AS TABELA_SIMUL,'"&amp;F218&amp;"' AS CAMPO, "&amp;"'${ref_date}' AS REF_DATE, COUNT(*) AS NUM_REG, SUM(IF(INSTR(CAST(X."&amp;F218&amp;" AS STRING),'#')&gt;0 OR INSTR(CAST(X."&amp;F218&amp;" AS STRING),'*')&gt;0 OR INSTR(CAST(X."&amp;F218&amp;" AS STRING),'`')&gt;0 OR INSTR(CAST(X."&amp;F218&amp;" AS STRING),'´')&gt;0 OR INSTR(CAST(X."&amp;F218&amp;" AS STRING),'{')&gt;0 OR INSTR(CAST(X."&amp;F218&amp;" AS STRING),'}')&gt;0 OR INSTR(CAST(X."&amp;F218&amp;" AS STRING),'[')&gt;0 OR INSTR(CAST(X."&amp;F218&amp;" AS STRING),'')&gt;0 OR INSTR(CAST(X."&amp;F218&amp;" AS STRING),']')&gt;0 OR INSTR(CAST(X."&amp;F218&amp;" AS STRING),'?')&gt;0 OR INSTR(CAST(X."&amp;F218&amp;" AS STRING),'!')&gt;0 OR INSTR(CAST(X."&amp;F218&amp;" AS STRING),'$')&gt;0 OR INSTR(CAST(X."&amp;F218&amp;" AS STRING),'%')&gt;0 OR INSTR(CAST(X."&amp;F218&amp;" AS STRING),'&amp;')&gt;0 OR INSTR(CAST(X."&amp;F218&amp;" AS STRING),'+')&gt;0,1,0)) AS NUM_REG_DIF,'"&amp;MAX('ID1&amp;5'!K:K)+1&amp;"' AS ID_EXEC, CURRENT_TIMESTAMP() AS TIME_EXEC FROM "&amp;I218,
IF(C218="Missings",+"SELECT '"&amp;UPPER(B218)&amp;"' AS TABELA, '"&amp;UPPER(C218)&amp;"' AS TIPOLOGIA_TESTE,'"&amp;D218&amp;"' AS TABELA_LT,'N/A' AS TABELA_SIMUL,'"&amp;F218&amp;"' AS CAMPO, "&amp;"'${ref_date}' AS REF_DATE, COUNT(*) AS NUM_REG, SUM(IF(TRIM(CAST(X."&amp;F218&amp;" AS STRING)) IN ('0000-00-00','0001-01-01','9999-12-31','MISS','00000','99999999999','99999999999.00','99999999999.000000'),1,0)) AS NUM_REG_DIF,'"&amp;MAX('ID1&amp;5'!K:K)+1&amp;"' AS ID_EXEC, CURRENT_TIMESTAMP() AS TIME_EXEC FROM "&amp;I218,
IF(C218="Not applicable",+"SELECT '"&amp;UPPER(B218)&amp;"' AS TABELA, '"&amp;UPPER(C218)&amp;"' AS TIPOLOGIA_TESTE,'"&amp;D218&amp;"' AS TABELA_LT,'N/A' AS TABELA_SIMUL,'"&amp;F218&amp;"' AS CAMPO, "&amp;"'${ref_date}' AS REF_DATE, COUNT(*) AS NUM_REG, SUM(IF(TRIM(CAST(X."&amp;F218&amp;" AS STRING)) IN ('N/A','11111111111','11111111111.00','11111111111.000000','1111-11-11'),1,0)) AS NUM_REG_DIF,'"&amp;MAX('ID1&amp;5'!K:K)+1&amp;"' AS ID_EXEC, CURRENT_TIMESTAMP() AS TIME_EXEC FROM "&amp;I218,
IF(C218="Valores extremos",+"SELECT '"&amp;UPPER(B218)&amp;"' AS TABELA, '"&amp;UPPER(C218)&amp;"' AS TIPOLOGIA_TESTE,'"&amp;D218&amp;"' AS TABELA_LT,'N/A' AS TABELA_SIMUL,'"&amp;F218&amp;"' AS CAMPO, "&amp;"'${ref_date}' AS REF_DATE, CAST(MIN("&amp;F218&amp;") AS STRING) AS VALOR_MIN, CAST(MAX("&amp;F218&amp;") AS STRING) AS VALOR_MAX,'"&amp;MAX('ID1&amp;5'!K:K)+1&amp;"' AS ID_EXEC, CURRENT_TIMESTAMP() AS TIME_EXEC FROM "&amp;MID(I218,1,LEN(I218)-2)&amp;" AND CAST("&amp;F218&amp;"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TABELA_SIMUL,'TXNMY_ELGBL_TRNVR_CCM' AS CAMPO, '${ref_date}' AS REF_DATE, COUNT(*) AS NUM_REG, SUM(IF(INSTR(CAST(X.TXNMY_ELGBL_TRNVR_CCM AS STRING),'#')&gt;0 OR INSTR(CAST(X.TXNMY_ELGBL_TRNVR_CCM AS STRING),'*')&gt;0 OR INSTR(CAST(X.TXNMY_ELGBL_TRNVR_CCM AS STRING),'`')&gt;0 OR INSTR(CAST(X.TXNMY_ELGBL_TRNVR_CCM AS STRING),'´')&gt;0 OR INSTR(CAST(X.TXNMY_ELGBL_TRNVR_CCM AS STRING),'{')&gt;0 OR INSTR(CAST(X.TXNMY_ELGBL_TRNVR_CCM AS STRING),'}')&gt;0 OR INSTR(CAST(X.TXNMY_ELGBL_TRNVR_CCM AS STRING),'[')&gt;0 OR INSTR(CAST(X.TXNMY_ELGBL_TRNVR_CCM AS STRING),'')&gt;0 OR INSTR(CAST(X.TXNMY_ELGBL_TRNVR_CCM AS STRING),']')&gt;0 OR INSTR(CAST(X.TXNMY_ELGBL_TRNVR_CCM AS STRING),'?')&gt;0 OR INSTR(CAST(X.TXNMY_ELGBL_TRNVR_CCM AS STRING),'!')&gt;0 OR INSTR(CAST(X.TXNMY_ELGBL_TRNVR_CCM AS STRING),'$')&gt;0 OR INSTR(CAST(X.TXNMY_ELGBL_TRNVR_CCM AS STRING),'%')&gt;0 OR INSTR(CAST(X.TXNMY_ELGBL_TRNVR_CCM AS STRING),'&amp;')&gt;0 OR INSTR(CAST(X.TXNMY_ELGBL_TRNVR_CCM AS STRING),'+')&gt;0,1,0)) AS NUM_REG_DIF,'10' AS ID_EXEC, CURRENT_TIMESTAMP() AS TIME_EXEC FROM (SELECT entty_id, TXNMY_ELGBL_TRNVR_CCM FROM BU_LOANTAPE_WORK.LT003_ENTITY WHERE ref_date='${ref_date}' AND nome_perimetro='Individual Corporativo' AND segmento='ESTR' AND ambito='PILAR3')X</v>
      </c>
      <c r="M218" s="43" t="str">
        <f t="shared" si="3"/>
        <v>UNION ALL SELECT 'ENTITY' AS TABELA, 'CARACTERES ESPECIAIS' AS TIPOLOGIA_TESTE,'BU_LOANTAPE_WORK.LT003_ENTITY' AS TABELA_LT,'N/A' AS TABELA_SIMUL,'TXNMY_ELGBL_TRNVR_CCM' AS CAMPO, '${ref_date}' AS REF_DATE, COUNT(*) AS NUM_REG, SUM(IF(INSTR(CAST(X.TXNMY_ELGBL_TRNVR_CCM AS STRING),'#')&gt;0 OR INSTR(CAST(X.TXNMY_ELGBL_TRNVR_CCM AS STRING),'*')&gt;0 OR INSTR(CAST(X.TXNMY_ELGBL_TRNVR_CCM AS STRING),'`')&gt;0 OR INSTR(CAST(X.TXNMY_ELGBL_TRNVR_CCM AS STRING),'´')&gt;0 OR INSTR(CAST(X.TXNMY_ELGBL_TRNVR_CCM AS STRING),'{')&gt;0 OR INSTR(CAST(X.TXNMY_ELGBL_TRNVR_CCM AS STRING),'}')&gt;0 OR INSTR(CAST(X.TXNMY_ELGBL_TRNVR_CCM AS STRING),'[')&gt;0 OR INSTR(CAST(X.TXNMY_ELGBL_TRNVR_CCM AS STRING),'')&gt;0 OR INSTR(CAST(X.TXNMY_ELGBL_TRNVR_CCM AS STRING),']')&gt;0 OR INSTR(CAST(X.TXNMY_ELGBL_TRNVR_CCM AS STRING),'?')&gt;0 OR INSTR(CAST(X.TXNMY_ELGBL_TRNVR_CCM AS STRING),'!')&gt;0 OR INSTR(CAST(X.TXNMY_ELGBL_TRNVR_CCM AS STRING),'$')&gt;0 OR INSTR(CAST(X.TXNMY_ELGBL_TRNVR_CCM AS STRING),'%')&gt;0 OR INSTR(CAST(X.TXNMY_ELGBL_TRNVR_CCM AS STRING),'&amp;')&gt;0 OR INSTR(CAST(X.TXNMY_ELGBL_TRNVR_CCM AS STRING),'+')&gt;0,1,0)) AS NUM_REG_DIF,'10' AS ID_EXEC, CURRENT_TIMESTAMP() AS TIME_EXEC FROM (SELECT entty_id, TXNMY_ELGBL_TRNVR_CCM FROM BU_LOANTAPE_WORK.LT003_ENTITY WHERE ref_date='${ref_date}' AND nome_perimetro='Individual Corporativo' AND segmento='ESTR' AND ambito='PILAR3')X</v>
      </c>
      <c r="N218" s="45" t="s">
        <v>13</v>
      </c>
    </row>
    <row r="219" spans="2:14">
      <c r="B219" s="41" t="s">
        <v>23</v>
      </c>
      <c r="C219" s="41" t="s">
        <v>76</v>
      </c>
      <c r="D219" s="41" t="str">
        <f>+UPPER('0. Instruções'!$D$33&amp;"."&amp;VLOOKUP(B219,'0. Instruções'!$C$27:$D$31,2,FALSE))</f>
        <v>BU_LOANTAPE_WORK.LT003_ENTITY</v>
      </c>
      <c r="E219" s="41" t="str">
        <f>+UPPER('0. Instruções'!$D$34&amp;"."&amp;VLOOKUP(B219,'0. Instruções'!$C$27:$E$31,3,FALSE))</f>
        <v>BU_LOANTAPE_WORK.LT003_ENTTY_P3_NOV24</v>
      </c>
      <c r="F219" s="41" t="s">
        <v>104</v>
      </c>
      <c r="G219" s="41" t="s">
        <v>210</v>
      </c>
      <c r="H219" s="41"/>
      <c r="I219" s="41" t="str">
        <f>"(SELECT "&amp;VLOOKUP(B219,'0. Instruções'!$C$27:$G$31,4,FALSE)&amp;", "&amp;F219&amp;" FROM "&amp;D219&amp;" WHERE "&amp;'0. Instruções'!$D$40&amp;")X"</f>
        <v>(SELECT entty_id, TXNMY_ELGBL_CAPEX_CCA FROM BU_LOANTAPE_WORK.LT003_ENTITY WHERE ref_date='${ref_date}' AND nome_perimetro='Individual Corporativo' AND segmento='ESTR' AND ambito='PILAR3')X</v>
      </c>
      <c r="J219" s="41" t="str">
        <f>"(SELECT "&amp;VLOOKUP(B219,'0. Instruções'!$C$27:$G$31,4,FALSE)&amp;" AS "&amp;VLOOKUP(B219,'0. Instruções'!$C$27:$G$31,4,FALSE)&amp;"_SIMUL, "&amp;F219&amp;" AS "&amp;F219&amp;"_SIMUL FROM "&amp;E219&amp;")Y"</f>
        <v>(SELECT entty_id AS entty_id_SIMUL, TXNMY_ELGBL_CAPEX_CCA AS TXNMY_ELGBL_CAPEX_CCA_SIMUL FROM BU_LOANTAPE_WORK.LT003_ENTTY_P3_NOV24)Y</v>
      </c>
      <c r="K219" s="42" t="str">
        <f>+UPPER("ON X."&amp;VLOOKUP(B219,'0. Instruções'!$C$27:$G$31,4,FALSE)&amp;"=Y."&amp;VLOOKUP(B219,'0. Instruções'!$C$27:$G$31,4,FALSE)&amp;"_SIMUL")</f>
        <v>ON X.ENTTY_ID=Y.ENTTY_ID_SIMUL</v>
      </c>
      <c r="L219" s="42" t="str">
        <f>+IF(C219="Coerência", +IF(LEFT(G219,5)="FLOAT","SELECT '"&amp;UPPER(B219)&amp;"' AS TABELA, '"&amp;UPPER(C219)&amp;"' AS TIPOLOGIA_TESTE,'"&amp;D219&amp;"' AS TABELA_LT,'"&amp;E219&amp;"' AS TABELA_SIMUL,'"&amp;F219&amp;"' AS CAMPO, "&amp;"'${ref_date}' AS REF_DATE, COUNT(*) AS NUM_REG, SUM(IF((ABS(COALESCE(X."&amp;F219&amp;",0)-COALESCE(Y."&amp;F219&amp;"_SIMUL,0))&gt;0.0000000001) OR (X."&amp;F219&amp;" IS NULL AND Y."&amp;F219&amp;"_SIMUL IS NOT NULL ) OR (X."&amp;F219&amp;" IS NOT NULL AND Y."&amp;F219&amp;"_SIMUL IS NULL),1,0)) AS NUM_REG_DIF,'"&amp;MAX('ID1&amp;5'!K:K)+1&amp;"' AS ID_EXEC, CURRENT_TIMESTAMP() AS TIME_EXEC FROM "&amp;I219&amp;" INNER JOIN "&amp;J219&amp;" "&amp;K219,"SELECT '"&amp;UPPER(B219)&amp;"' AS TABELA, '"&amp;UPPER(C219)&amp;"' AS TIPOLOGIA_TESTE,'"&amp;D219&amp;"' AS TABELA_LT,'"&amp;E219&amp;"' AS TABELA_SIMUL,'"&amp;F219&amp;"' AS CAMPO, "&amp;"'${ref_date}' AS REF_DATE, COUNT(*) AS NUM_REG, SUM(IF(COALESCE(CAST(X."&amp;F219&amp;" AS STRING),'')&lt;&gt;COALESCE(CAST(Y."&amp;F219&amp;"_SIMUL AS STRING),''),1,0)) AS NUM_REG_DIF,'"&amp;MAX('ID1&amp;5'!L:L)+1&amp;"' AS ID_EXEC, CURRENT_TIMESTAMP() AS TIME_EXEC FROM "&amp;I219&amp;" INNER JOIN "&amp;J219&amp;" "&amp;K219),
IF(C219="Validade",+IF(G219="Code List","SELECT '"&amp;UPPER(B219)&amp;"' AS TABELA, '"&amp;UPPER(C219)&amp;"' AS TIPOLOGIA_TESTE,'"&amp;D219&amp;"' AS TABELA_LT,'N/A' AS TABELA_SIMUL,'"&amp;F219&amp;"' AS CAMPO, "&amp;"'${ref_date}' AS REF_DATE, COUNT(*) AS NUM_REG, SUM(IF(TRIM(CAST(X."&amp;F219&amp;" AS STRING))='' OR TRIM(CAST(X."&amp;F219&amp;" AS STRING)) IS NULL OR CAST(X."&amp;F219&amp;" AS STRING) NOT "&amp;H219&amp;",1,0)) AS NUM_REG_DIF,'"&amp;MAX('ID1&amp;5'!K:K)+1&amp;"' AS ID_EXEC, CURRENT_TIMESTAMP() AS TIME_EXEC FROM "&amp;I219,"SELECT '"&amp;UPPER(B219)&amp;"' AS TABELA, '"&amp;UPPER(C219)&amp;"' AS TIPOLOGIA_TESTE,'"&amp;D219&amp;"' AS TABELA_LT,'N/A' AS TABELA_SIMUL,'"&amp;F219&amp;"' AS CAMPO, "&amp;"'${ref_date}' AS REF_DATE, COUNT(*) AS NUM_REG, SUM(IF(TRIM(CAST(X."&amp;F219&amp;" AS STRING))='' OR TRIM(CAST(X."&amp;F219&amp;" AS STRING)) IS NULL,1,0)) AS NUM_REG_DIF,'"&amp;MAX('ID1&amp;5'!K:K)+1&amp;"' AS ID_EXEC, CURRENT_TIMESTAMP() AS TIME_EXEC FROM "&amp;I219),
IF(C219="Caracteres Especiais",+"SELECT '"&amp;UPPER(B219)&amp;"' AS TABELA, '"&amp;UPPER(C219)&amp;"' AS TIPOLOGIA_TESTE,'"&amp;D219&amp;"' AS TABELA_LT,'N/A' AS TABELA_SIMUL,'"&amp;F219&amp;"' AS CAMPO, "&amp;"'${ref_date}' AS REF_DATE, COUNT(*) AS NUM_REG, SUM(IF(INSTR(CAST(X."&amp;F219&amp;" AS STRING),'#')&gt;0 OR INSTR(CAST(X."&amp;F219&amp;" AS STRING),'*')&gt;0 OR INSTR(CAST(X."&amp;F219&amp;" AS STRING),'`')&gt;0 OR INSTR(CAST(X."&amp;F219&amp;" AS STRING),'´')&gt;0 OR INSTR(CAST(X."&amp;F219&amp;" AS STRING),'{')&gt;0 OR INSTR(CAST(X."&amp;F219&amp;" AS STRING),'}')&gt;0 OR INSTR(CAST(X."&amp;F219&amp;" AS STRING),'[')&gt;0 OR INSTR(CAST(X."&amp;F219&amp;" AS STRING),'')&gt;0 OR INSTR(CAST(X."&amp;F219&amp;" AS STRING),']')&gt;0 OR INSTR(CAST(X."&amp;F219&amp;" AS STRING),'?')&gt;0 OR INSTR(CAST(X."&amp;F219&amp;" AS STRING),'!')&gt;0 OR INSTR(CAST(X."&amp;F219&amp;" AS STRING),'$')&gt;0 OR INSTR(CAST(X."&amp;F219&amp;" AS STRING),'%')&gt;0 OR INSTR(CAST(X."&amp;F219&amp;" AS STRING),'&amp;')&gt;0 OR INSTR(CAST(X."&amp;F219&amp;" AS STRING),'+')&gt;0,1,0)) AS NUM_REG_DIF,'"&amp;MAX('ID1&amp;5'!K:K)+1&amp;"' AS ID_EXEC, CURRENT_TIMESTAMP() AS TIME_EXEC FROM "&amp;I219,
IF(C219="Missings",+"SELECT '"&amp;UPPER(B219)&amp;"' AS TABELA, '"&amp;UPPER(C219)&amp;"' AS TIPOLOGIA_TESTE,'"&amp;D219&amp;"' AS TABELA_LT,'N/A' AS TABELA_SIMUL,'"&amp;F219&amp;"' AS CAMPO, "&amp;"'${ref_date}' AS REF_DATE, COUNT(*) AS NUM_REG, SUM(IF(TRIM(CAST(X."&amp;F219&amp;" AS STRING)) IN ('0000-00-00','0001-01-01','9999-12-31','MISS','00000','99999999999','99999999999.00','99999999999.000000'),1,0)) AS NUM_REG_DIF,'"&amp;MAX('ID1&amp;5'!K:K)+1&amp;"' AS ID_EXEC, CURRENT_TIMESTAMP() AS TIME_EXEC FROM "&amp;I219,
IF(C219="Not applicable",+"SELECT '"&amp;UPPER(B219)&amp;"' AS TABELA, '"&amp;UPPER(C219)&amp;"' AS TIPOLOGIA_TESTE,'"&amp;D219&amp;"' AS TABELA_LT,'N/A' AS TABELA_SIMUL,'"&amp;F219&amp;"' AS CAMPO, "&amp;"'${ref_date}' AS REF_DATE, COUNT(*) AS NUM_REG, SUM(IF(TRIM(CAST(X."&amp;F219&amp;" AS STRING)) IN ('N/A','11111111111','11111111111.00','11111111111.000000','1111-11-11'),1,0)) AS NUM_REG_DIF,'"&amp;MAX('ID1&amp;5'!K:K)+1&amp;"' AS ID_EXEC, CURRENT_TIMESTAMP() AS TIME_EXEC FROM "&amp;I219,
IF(C219="Valores extremos",+"SELECT '"&amp;UPPER(B219)&amp;"' AS TABELA, '"&amp;UPPER(C219)&amp;"' AS TIPOLOGIA_TESTE,'"&amp;D219&amp;"' AS TABELA_LT,'N/A' AS TABELA_SIMUL,'"&amp;F219&amp;"' AS CAMPO, "&amp;"'${ref_date}' AS REF_DATE, CAST(MIN("&amp;F219&amp;") AS STRING) AS VALOR_MIN, CAST(MAX("&amp;F219&amp;") AS STRING) AS VALOR_MAX,'"&amp;MAX('ID1&amp;5'!K:K)+1&amp;"' AS ID_EXEC, CURRENT_TIMESTAMP() AS TIME_EXEC FROM "&amp;MID(I219,1,LEN(I219)-2)&amp;" AND CAST("&amp;F219&amp;"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TABELA_SIMUL,'TXNMY_ELGBL_CAPEX_CCA' AS CAMPO, '${ref_date}' AS REF_DATE, COUNT(*) AS NUM_REG, SUM(IF(INSTR(CAST(X.TXNMY_ELGBL_CAPEX_CCA AS STRING),'#')&gt;0 OR INSTR(CAST(X.TXNMY_ELGBL_CAPEX_CCA AS STRING),'*')&gt;0 OR INSTR(CAST(X.TXNMY_ELGBL_CAPEX_CCA AS STRING),'`')&gt;0 OR INSTR(CAST(X.TXNMY_ELGBL_CAPEX_CCA AS STRING),'´')&gt;0 OR INSTR(CAST(X.TXNMY_ELGBL_CAPEX_CCA AS STRING),'{')&gt;0 OR INSTR(CAST(X.TXNMY_ELGBL_CAPEX_CCA AS STRING),'}')&gt;0 OR INSTR(CAST(X.TXNMY_ELGBL_CAPEX_CCA AS STRING),'[')&gt;0 OR INSTR(CAST(X.TXNMY_ELGBL_CAPEX_CCA AS STRING),'')&gt;0 OR INSTR(CAST(X.TXNMY_ELGBL_CAPEX_CCA AS STRING),']')&gt;0 OR INSTR(CAST(X.TXNMY_ELGBL_CAPEX_CCA AS STRING),'?')&gt;0 OR INSTR(CAST(X.TXNMY_ELGBL_CAPEX_CCA AS STRING),'!')&gt;0 OR INSTR(CAST(X.TXNMY_ELGBL_CAPEX_CCA AS STRING),'$')&gt;0 OR INSTR(CAST(X.TXNMY_ELGBL_CAPEX_CCA AS STRING),'%')&gt;0 OR INSTR(CAST(X.TXNMY_ELGBL_CAPEX_CCA AS STRING),'&amp;')&gt;0 OR INSTR(CAST(X.TXNMY_ELGBL_CAPEX_CCA AS STRING),'+')&gt;0,1,0)) AS NUM_REG_DIF,'10' AS ID_EXEC, CURRENT_TIMESTAMP() AS TIME_EXEC FROM (SELECT entty_id, TXNMY_ELGBL_CAPEX_CCA FROM BU_LOANTAPE_WORK.LT003_ENTITY WHERE ref_date='${ref_date}' AND nome_perimetro='Individual Corporativo' AND segmento='ESTR' AND ambito='PILAR3')X</v>
      </c>
      <c r="M219" s="43" t="str">
        <f t="shared" si="3"/>
        <v>UNION ALL SELECT 'ENTITY' AS TABELA, 'CARACTERES ESPECIAIS' AS TIPOLOGIA_TESTE,'BU_LOANTAPE_WORK.LT003_ENTITY' AS TABELA_LT,'N/A' AS TABELA_SIMUL,'TXNMY_ELGBL_CAPEX_CCA' AS CAMPO, '${ref_date}' AS REF_DATE, COUNT(*) AS NUM_REG, SUM(IF(INSTR(CAST(X.TXNMY_ELGBL_CAPEX_CCA AS STRING),'#')&gt;0 OR INSTR(CAST(X.TXNMY_ELGBL_CAPEX_CCA AS STRING),'*')&gt;0 OR INSTR(CAST(X.TXNMY_ELGBL_CAPEX_CCA AS STRING),'`')&gt;0 OR INSTR(CAST(X.TXNMY_ELGBL_CAPEX_CCA AS STRING),'´')&gt;0 OR INSTR(CAST(X.TXNMY_ELGBL_CAPEX_CCA AS STRING),'{')&gt;0 OR INSTR(CAST(X.TXNMY_ELGBL_CAPEX_CCA AS STRING),'}')&gt;0 OR INSTR(CAST(X.TXNMY_ELGBL_CAPEX_CCA AS STRING),'[')&gt;0 OR INSTR(CAST(X.TXNMY_ELGBL_CAPEX_CCA AS STRING),'')&gt;0 OR INSTR(CAST(X.TXNMY_ELGBL_CAPEX_CCA AS STRING),']')&gt;0 OR INSTR(CAST(X.TXNMY_ELGBL_CAPEX_CCA AS STRING),'?')&gt;0 OR INSTR(CAST(X.TXNMY_ELGBL_CAPEX_CCA AS STRING),'!')&gt;0 OR INSTR(CAST(X.TXNMY_ELGBL_CAPEX_CCA AS STRING),'$')&gt;0 OR INSTR(CAST(X.TXNMY_ELGBL_CAPEX_CCA AS STRING),'%')&gt;0 OR INSTR(CAST(X.TXNMY_ELGBL_CAPEX_CCA AS STRING),'&amp;')&gt;0 OR INSTR(CAST(X.TXNMY_ELGBL_CAPEX_CCA AS STRING),'+')&gt;0,1,0)) AS NUM_REG_DIF,'10' AS ID_EXEC, CURRENT_TIMESTAMP() AS TIME_EXEC FROM (SELECT entty_id, TXNMY_ELGBL_CAPEX_CCA FROM BU_LOANTAPE_WORK.LT003_ENTITY WHERE ref_date='${ref_date}' AND nome_perimetro='Individual Corporativo' AND segmento='ESTR' AND ambito='PILAR3')X</v>
      </c>
      <c r="N219" s="45" t="s">
        <v>13</v>
      </c>
    </row>
    <row r="220" spans="2:14">
      <c r="B220" s="41" t="s">
        <v>23</v>
      </c>
      <c r="C220" s="41" t="s">
        <v>76</v>
      </c>
      <c r="D220" s="41" t="str">
        <f>+UPPER('0. Instruções'!$D$33&amp;"."&amp;VLOOKUP(B220,'0. Instruções'!$C$27:$D$31,2,FALSE))</f>
        <v>BU_LOANTAPE_WORK.LT003_ENTITY</v>
      </c>
      <c r="E220" s="41" t="str">
        <f>+UPPER('0. Instruções'!$D$34&amp;"."&amp;VLOOKUP(B220,'0. Instruções'!$C$27:$E$31,3,FALSE))</f>
        <v>BU_LOANTAPE_WORK.LT003_ENTTY_P3_NOV24</v>
      </c>
      <c r="F220" s="41" t="s">
        <v>105</v>
      </c>
      <c r="G220" s="41" t="s">
        <v>210</v>
      </c>
      <c r="H220" s="41"/>
      <c r="I220" s="41" t="str">
        <f>"(SELECT "&amp;VLOOKUP(B220,'0. Instruções'!$C$27:$G$31,4,FALSE)&amp;", "&amp;F220&amp;" FROM "&amp;D220&amp;" WHERE "&amp;'0. Instruções'!$D$40&amp;")X"</f>
        <v>(SELECT entty_id, TXNMY_ELGBL_TRNVR_CCA FROM BU_LOANTAPE_WORK.LT003_ENTITY WHERE ref_date='${ref_date}' AND nome_perimetro='Individual Corporativo' AND segmento='ESTR' AND ambito='PILAR3')X</v>
      </c>
      <c r="J220" s="41" t="str">
        <f>"(SELECT "&amp;VLOOKUP(B220,'0. Instruções'!$C$27:$G$31,4,FALSE)&amp;" AS "&amp;VLOOKUP(B220,'0. Instruções'!$C$27:$G$31,4,FALSE)&amp;"_SIMUL, "&amp;F220&amp;" AS "&amp;F220&amp;"_SIMUL FROM "&amp;E220&amp;")Y"</f>
        <v>(SELECT entty_id AS entty_id_SIMUL, TXNMY_ELGBL_TRNVR_CCA AS TXNMY_ELGBL_TRNVR_CCA_SIMUL FROM BU_LOANTAPE_WORK.LT003_ENTTY_P3_NOV24)Y</v>
      </c>
      <c r="K220" s="42" t="str">
        <f>+UPPER("ON X."&amp;VLOOKUP(B220,'0. Instruções'!$C$27:$G$31,4,FALSE)&amp;"=Y."&amp;VLOOKUP(B220,'0. Instruções'!$C$27:$G$31,4,FALSE)&amp;"_SIMUL")</f>
        <v>ON X.ENTTY_ID=Y.ENTTY_ID_SIMUL</v>
      </c>
      <c r="L220" s="42" t="str">
        <f>+IF(C220="Coerência", +IF(LEFT(G220,5)="FLOAT","SELECT '"&amp;UPPER(B220)&amp;"' AS TABELA, '"&amp;UPPER(C220)&amp;"' AS TIPOLOGIA_TESTE,'"&amp;D220&amp;"' AS TABELA_LT,'"&amp;E220&amp;"' AS TABELA_SIMUL,'"&amp;F220&amp;"' AS CAMPO, "&amp;"'${ref_date}' AS REF_DATE, COUNT(*) AS NUM_REG, SUM(IF((ABS(COALESCE(X."&amp;F220&amp;",0)-COALESCE(Y."&amp;F220&amp;"_SIMUL,0))&gt;0.0000000001) OR (X."&amp;F220&amp;" IS NULL AND Y."&amp;F220&amp;"_SIMUL IS NOT NULL ) OR (X."&amp;F220&amp;" IS NOT NULL AND Y."&amp;F220&amp;"_SIMUL IS NULL),1,0)) AS NUM_REG_DIF,'"&amp;MAX('ID1&amp;5'!K:K)+1&amp;"' AS ID_EXEC, CURRENT_TIMESTAMP() AS TIME_EXEC FROM "&amp;I220&amp;" INNER JOIN "&amp;J220&amp;" "&amp;K220,"SELECT '"&amp;UPPER(B220)&amp;"' AS TABELA, '"&amp;UPPER(C220)&amp;"' AS TIPOLOGIA_TESTE,'"&amp;D220&amp;"' AS TABELA_LT,'"&amp;E220&amp;"' AS TABELA_SIMUL,'"&amp;F220&amp;"' AS CAMPO, "&amp;"'${ref_date}' AS REF_DATE, COUNT(*) AS NUM_REG, SUM(IF(COALESCE(CAST(X."&amp;F220&amp;" AS STRING),'')&lt;&gt;COALESCE(CAST(Y."&amp;F220&amp;"_SIMUL AS STRING),''),1,0)) AS NUM_REG_DIF,'"&amp;MAX('ID1&amp;5'!L:L)+1&amp;"' AS ID_EXEC, CURRENT_TIMESTAMP() AS TIME_EXEC FROM "&amp;I220&amp;" INNER JOIN "&amp;J220&amp;" "&amp;K220),
IF(C220="Validade",+IF(G220="Code List","SELECT '"&amp;UPPER(B220)&amp;"' AS TABELA, '"&amp;UPPER(C220)&amp;"' AS TIPOLOGIA_TESTE,'"&amp;D220&amp;"' AS TABELA_LT,'N/A' AS TABELA_SIMUL,'"&amp;F220&amp;"' AS CAMPO, "&amp;"'${ref_date}' AS REF_DATE, COUNT(*) AS NUM_REG, SUM(IF(TRIM(CAST(X."&amp;F220&amp;" AS STRING))='' OR TRIM(CAST(X."&amp;F220&amp;" AS STRING)) IS NULL OR CAST(X."&amp;F220&amp;" AS STRING) NOT "&amp;H220&amp;",1,0)) AS NUM_REG_DIF,'"&amp;MAX('ID1&amp;5'!K:K)+1&amp;"' AS ID_EXEC, CURRENT_TIMESTAMP() AS TIME_EXEC FROM "&amp;I220,"SELECT '"&amp;UPPER(B220)&amp;"' AS TABELA, '"&amp;UPPER(C220)&amp;"' AS TIPOLOGIA_TESTE,'"&amp;D220&amp;"' AS TABELA_LT,'N/A' AS TABELA_SIMUL,'"&amp;F220&amp;"' AS CAMPO, "&amp;"'${ref_date}' AS REF_DATE, COUNT(*) AS NUM_REG, SUM(IF(TRIM(CAST(X."&amp;F220&amp;" AS STRING))='' OR TRIM(CAST(X."&amp;F220&amp;" AS STRING)) IS NULL,1,0)) AS NUM_REG_DIF,'"&amp;MAX('ID1&amp;5'!K:K)+1&amp;"' AS ID_EXEC, CURRENT_TIMESTAMP() AS TIME_EXEC FROM "&amp;I220),
IF(C220="Caracteres Especiais",+"SELECT '"&amp;UPPER(B220)&amp;"' AS TABELA, '"&amp;UPPER(C220)&amp;"' AS TIPOLOGIA_TESTE,'"&amp;D220&amp;"' AS TABELA_LT,'N/A' AS TABELA_SIMUL,'"&amp;F220&amp;"' AS CAMPO, "&amp;"'${ref_date}' AS REF_DATE, COUNT(*) AS NUM_REG, SUM(IF(INSTR(CAST(X."&amp;F220&amp;" AS STRING),'#')&gt;0 OR INSTR(CAST(X."&amp;F220&amp;" AS STRING),'*')&gt;0 OR INSTR(CAST(X."&amp;F220&amp;" AS STRING),'`')&gt;0 OR INSTR(CAST(X."&amp;F220&amp;" AS STRING),'´')&gt;0 OR INSTR(CAST(X."&amp;F220&amp;" AS STRING),'{')&gt;0 OR INSTR(CAST(X."&amp;F220&amp;" AS STRING),'}')&gt;0 OR INSTR(CAST(X."&amp;F220&amp;" AS STRING),'[')&gt;0 OR INSTR(CAST(X."&amp;F220&amp;" AS STRING),'')&gt;0 OR INSTR(CAST(X."&amp;F220&amp;" AS STRING),']')&gt;0 OR INSTR(CAST(X."&amp;F220&amp;" AS STRING),'?')&gt;0 OR INSTR(CAST(X."&amp;F220&amp;" AS STRING),'!')&gt;0 OR INSTR(CAST(X."&amp;F220&amp;" AS STRING),'$')&gt;0 OR INSTR(CAST(X."&amp;F220&amp;" AS STRING),'%')&gt;0 OR INSTR(CAST(X."&amp;F220&amp;" AS STRING),'&amp;')&gt;0 OR INSTR(CAST(X."&amp;F220&amp;" AS STRING),'+')&gt;0,1,0)) AS NUM_REG_DIF,'"&amp;MAX('ID1&amp;5'!K:K)+1&amp;"' AS ID_EXEC, CURRENT_TIMESTAMP() AS TIME_EXEC FROM "&amp;I220,
IF(C220="Missings",+"SELECT '"&amp;UPPER(B220)&amp;"' AS TABELA, '"&amp;UPPER(C220)&amp;"' AS TIPOLOGIA_TESTE,'"&amp;D220&amp;"' AS TABELA_LT,'N/A' AS TABELA_SIMUL,'"&amp;F220&amp;"' AS CAMPO, "&amp;"'${ref_date}' AS REF_DATE, COUNT(*) AS NUM_REG, SUM(IF(TRIM(CAST(X."&amp;F220&amp;" AS STRING)) IN ('0000-00-00','0001-01-01','9999-12-31','MISS','00000','99999999999','99999999999.00','99999999999.000000'),1,0)) AS NUM_REG_DIF,'"&amp;MAX('ID1&amp;5'!K:K)+1&amp;"' AS ID_EXEC, CURRENT_TIMESTAMP() AS TIME_EXEC FROM "&amp;I220,
IF(C220="Not applicable",+"SELECT '"&amp;UPPER(B220)&amp;"' AS TABELA, '"&amp;UPPER(C220)&amp;"' AS TIPOLOGIA_TESTE,'"&amp;D220&amp;"' AS TABELA_LT,'N/A' AS TABELA_SIMUL,'"&amp;F220&amp;"' AS CAMPO, "&amp;"'${ref_date}' AS REF_DATE, COUNT(*) AS NUM_REG, SUM(IF(TRIM(CAST(X."&amp;F220&amp;" AS STRING)) IN ('N/A','11111111111','11111111111.00','11111111111.000000','1111-11-11'),1,0)) AS NUM_REG_DIF,'"&amp;MAX('ID1&amp;5'!K:K)+1&amp;"' AS ID_EXEC, CURRENT_TIMESTAMP() AS TIME_EXEC FROM "&amp;I220,
IF(C220="Valores extremos",+"SELECT '"&amp;UPPER(B220)&amp;"' AS TABELA, '"&amp;UPPER(C220)&amp;"' AS TIPOLOGIA_TESTE,'"&amp;D220&amp;"' AS TABELA_LT,'N/A' AS TABELA_SIMUL,'"&amp;F220&amp;"' AS CAMPO, "&amp;"'${ref_date}' AS REF_DATE, CAST(MIN("&amp;F220&amp;") AS STRING) AS VALOR_MIN, CAST(MAX("&amp;F220&amp;") AS STRING) AS VALOR_MAX,'"&amp;MAX('ID1&amp;5'!K:K)+1&amp;"' AS ID_EXEC, CURRENT_TIMESTAMP() AS TIME_EXEC FROM "&amp;MID(I220,1,LEN(I220)-2)&amp;" AND CAST("&amp;F220&amp;"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TABELA_SIMUL,'TXNMY_ELGBL_TRNVR_CCA' AS CAMPO, '${ref_date}' AS REF_DATE, COUNT(*) AS NUM_REG, SUM(IF(INSTR(CAST(X.TXNMY_ELGBL_TRNVR_CCA AS STRING),'#')&gt;0 OR INSTR(CAST(X.TXNMY_ELGBL_TRNVR_CCA AS STRING),'*')&gt;0 OR INSTR(CAST(X.TXNMY_ELGBL_TRNVR_CCA AS STRING),'`')&gt;0 OR INSTR(CAST(X.TXNMY_ELGBL_TRNVR_CCA AS STRING),'´')&gt;0 OR INSTR(CAST(X.TXNMY_ELGBL_TRNVR_CCA AS STRING),'{')&gt;0 OR INSTR(CAST(X.TXNMY_ELGBL_TRNVR_CCA AS STRING),'}')&gt;0 OR INSTR(CAST(X.TXNMY_ELGBL_TRNVR_CCA AS STRING),'[')&gt;0 OR INSTR(CAST(X.TXNMY_ELGBL_TRNVR_CCA AS STRING),'')&gt;0 OR INSTR(CAST(X.TXNMY_ELGBL_TRNVR_CCA AS STRING),']')&gt;0 OR INSTR(CAST(X.TXNMY_ELGBL_TRNVR_CCA AS STRING),'?')&gt;0 OR INSTR(CAST(X.TXNMY_ELGBL_TRNVR_CCA AS STRING),'!')&gt;0 OR INSTR(CAST(X.TXNMY_ELGBL_TRNVR_CCA AS STRING),'$')&gt;0 OR INSTR(CAST(X.TXNMY_ELGBL_TRNVR_CCA AS STRING),'%')&gt;0 OR INSTR(CAST(X.TXNMY_ELGBL_TRNVR_CCA AS STRING),'&amp;')&gt;0 OR INSTR(CAST(X.TXNMY_ELGBL_TRNVR_CCA AS STRING),'+')&gt;0,1,0)) AS NUM_REG_DIF,'10' AS ID_EXEC, CURRENT_TIMESTAMP() AS TIME_EXEC FROM (SELECT entty_id, TXNMY_ELGBL_TRNVR_CCA FROM BU_LOANTAPE_WORK.LT003_ENTITY WHERE ref_date='${ref_date}' AND nome_perimetro='Individual Corporativo' AND segmento='ESTR' AND ambito='PILAR3')X</v>
      </c>
      <c r="M220" s="43" t="str">
        <f t="shared" si="3"/>
        <v>UNION ALL SELECT 'ENTITY' AS TABELA, 'CARACTERES ESPECIAIS' AS TIPOLOGIA_TESTE,'BU_LOANTAPE_WORK.LT003_ENTITY' AS TABELA_LT,'N/A' AS TABELA_SIMUL,'TXNMY_ELGBL_TRNVR_CCA' AS CAMPO, '${ref_date}' AS REF_DATE, COUNT(*) AS NUM_REG, SUM(IF(INSTR(CAST(X.TXNMY_ELGBL_TRNVR_CCA AS STRING),'#')&gt;0 OR INSTR(CAST(X.TXNMY_ELGBL_TRNVR_CCA AS STRING),'*')&gt;0 OR INSTR(CAST(X.TXNMY_ELGBL_TRNVR_CCA AS STRING),'`')&gt;0 OR INSTR(CAST(X.TXNMY_ELGBL_TRNVR_CCA AS STRING),'´')&gt;0 OR INSTR(CAST(X.TXNMY_ELGBL_TRNVR_CCA AS STRING),'{')&gt;0 OR INSTR(CAST(X.TXNMY_ELGBL_TRNVR_CCA AS STRING),'}')&gt;0 OR INSTR(CAST(X.TXNMY_ELGBL_TRNVR_CCA AS STRING),'[')&gt;0 OR INSTR(CAST(X.TXNMY_ELGBL_TRNVR_CCA AS STRING),'')&gt;0 OR INSTR(CAST(X.TXNMY_ELGBL_TRNVR_CCA AS STRING),']')&gt;0 OR INSTR(CAST(X.TXNMY_ELGBL_TRNVR_CCA AS STRING),'?')&gt;0 OR INSTR(CAST(X.TXNMY_ELGBL_TRNVR_CCA AS STRING),'!')&gt;0 OR INSTR(CAST(X.TXNMY_ELGBL_TRNVR_CCA AS STRING),'$')&gt;0 OR INSTR(CAST(X.TXNMY_ELGBL_TRNVR_CCA AS STRING),'%')&gt;0 OR INSTR(CAST(X.TXNMY_ELGBL_TRNVR_CCA AS STRING),'&amp;')&gt;0 OR INSTR(CAST(X.TXNMY_ELGBL_TRNVR_CCA AS STRING),'+')&gt;0,1,0)) AS NUM_REG_DIF,'10' AS ID_EXEC, CURRENT_TIMESTAMP() AS TIME_EXEC FROM (SELECT entty_id, TXNMY_ELGBL_TRNVR_CCA FROM BU_LOANTAPE_WORK.LT003_ENTITY WHERE ref_date='${ref_date}' AND nome_perimetro='Individual Corporativo' AND segmento='ESTR' AND ambito='PILAR3')X</v>
      </c>
      <c r="N220" s="45" t="s">
        <v>13</v>
      </c>
    </row>
    <row r="221" spans="2:14">
      <c r="B221" s="41" t="s">
        <v>23</v>
      </c>
      <c r="C221" s="41" t="s">
        <v>76</v>
      </c>
      <c r="D221" s="41" t="str">
        <f>+UPPER('0. Instruções'!$D$33&amp;"."&amp;VLOOKUP(B221,'0. Instruções'!$C$27:$D$31,2,FALSE))</f>
        <v>BU_LOANTAPE_WORK.LT003_ENTITY</v>
      </c>
      <c r="E221" s="41" t="str">
        <f>+UPPER('0. Instruções'!$D$34&amp;"."&amp;VLOOKUP(B221,'0. Instruções'!$C$27:$E$31,3,FALSE))</f>
        <v>BU_LOANTAPE_WORK.LT003_ENTTY_P3_NOV24</v>
      </c>
      <c r="F221" s="41" t="s">
        <v>106</v>
      </c>
      <c r="G221" s="41" t="s">
        <v>210</v>
      </c>
      <c r="H221" s="41"/>
      <c r="I221" s="41" t="str">
        <f>"(SELECT "&amp;VLOOKUP(B221,'0. Instruções'!$C$27:$G$31,4,FALSE)&amp;", "&amp;F221&amp;" FROM "&amp;D221&amp;" WHERE "&amp;'0. Instruções'!$D$40&amp;")X"</f>
        <v>(SELECT entty_id, ENBLNG_CAPEX_CCM FROM BU_LOANTAPE_WORK.LT003_ENTITY WHERE ref_date='${ref_date}' AND nome_perimetro='Individual Corporativo' AND segmento='ESTR' AND ambito='PILAR3')X</v>
      </c>
      <c r="J221" s="41" t="str">
        <f>"(SELECT "&amp;VLOOKUP(B221,'0. Instruções'!$C$27:$G$31,4,FALSE)&amp;" AS "&amp;VLOOKUP(B221,'0. Instruções'!$C$27:$G$31,4,FALSE)&amp;"_SIMUL, "&amp;F221&amp;" AS "&amp;F221&amp;"_SIMUL FROM "&amp;E221&amp;")Y"</f>
        <v>(SELECT entty_id AS entty_id_SIMUL, ENBLNG_CAPEX_CCM AS ENBLNG_CAPEX_CCM_SIMUL FROM BU_LOANTAPE_WORK.LT003_ENTTY_P3_NOV24)Y</v>
      </c>
      <c r="K221" s="42" t="str">
        <f>+UPPER("ON X."&amp;VLOOKUP(B221,'0. Instruções'!$C$27:$G$31,4,FALSE)&amp;"=Y."&amp;VLOOKUP(B221,'0. Instruções'!$C$27:$G$31,4,FALSE)&amp;"_SIMUL")</f>
        <v>ON X.ENTTY_ID=Y.ENTTY_ID_SIMUL</v>
      </c>
      <c r="L221" s="42" t="str">
        <f>+IF(C221="Coerência", +IF(LEFT(G221,5)="FLOAT","SELECT '"&amp;UPPER(B221)&amp;"' AS TABELA, '"&amp;UPPER(C221)&amp;"' AS TIPOLOGIA_TESTE,'"&amp;D221&amp;"' AS TABELA_LT,'"&amp;E221&amp;"' AS TABELA_SIMUL,'"&amp;F221&amp;"' AS CAMPO, "&amp;"'${ref_date}' AS REF_DATE, COUNT(*) AS NUM_REG, SUM(IF((ABS(COALESCE(X."&amp;F221&amp;",0)-COALESCE(Y."&amp;F221&amp;"_SIMUL,0))&gt;0.0000000001) OR (X."&amp;F221&amp;" IS NULL AND Y."&amp;F221&amp;"_SIMUL IS NOT NULL ) OR (X."&amp;F221&amp;" IS NOT NULL AND Y."&amp;F221&amp;"_SIMUL IS NULL),1,0)) AS NUM_REG_DIF,'"&amp;MAX('ID1&amp;5'!K:K)+1&amp;"' AS ID_EXEC, CURRENT_TIMESTAMP() AS TIME_EXEC FROM "&amp;I221&amp;" INNER JOIN "&amp;J221&amp;" "&amp;K221,"SELECT '"&amp;UPPER(B221)&amp;"' AS TABELA, '"&amp;UPPER(C221)&amp;"' AS TIPOLOGIA_TESTE,'"&amp;D221&amp;"' AS TABELA_LT,'"&amp;E221&amp;"' AS TABELA_SIMUL,'"&amp;F221&amp;"' AS CAMPO, "&amp;"'${ref_date}' AS REF_DATE, COUNT(*) AS NUM_REG, SUM(IF(COALESCE(CAST(X."&amp;F221&amp;" AS STRING),'')&lt;&gt;COALESCE(CAST(Y."&amp;F221&amp;"_SIMUL AS STRING),''),1,0)) AS NUM_REG_DIF,'"&amp;MAX('ID1&amp;5'!L:L)+1&amp;"' AS ID_EXEC, CURRENT_TIMESTAMP() AS TIME_EXEC FROM "&amp;I221&amp;" INNER JOIN "&amp;J221&amp;" "&amp;K221),
IF(C221="Validade",+IF(G221="Code List","SELECT '"&amp;UPPER(B221)&amp;"' AS TABELA, '"&amp;UPPER(C221)&amp;"' AS TIPOLOGIA_TESTE,'"&amp;D221&amp;"' AS TABELA_LT,'N/A' AS TABELA_SIMUL,'"&amp;F221&amp;"' AS CAMPO, "&amp;"'${ref_date}' AS REF_DATE, COUNT(*) AS NUM_REG, SUM(IF(TRIM(CAST(X."&amp;F221&amp;" AS STRING))='' OR TRIM(CAST(X."&amp;F221&amp;" AS STRING)) IS NULL OR CAST(X."&amp;F221&amp;" AS STRING) NOT "&amp;H221&amp;",1,0)) AS NUM_REG_DIF,'"&amp;MAX('ID1&amp;5'!K:K)+1&amp;"' AS ID_EXEC, CURRENT_TIMESTAMP() AS TIME_EXEC FROM "&amp;I221,"SELECT '"&amp;UPPER(B221)&amp;"' AS TABELA, '"&amp;UPPER(C221)&amp;"' AS TIPOLOGIA_TESTE,'"&amp;D221&amp;"' AS TABELA_LT,'N/A' AS TABELA_SIMUL,'"&amp;F221&amp;"' AS CAMPO, "&amp;"'${ref_date}' AS REF_DATE, COUNT(*) AS NUM_REG, SUM(IF(TRIM(CAST(X."&amp;F221&amp;" AS STRING))='' OR TRIM(CAST(X."&amp;F221&amp;" AS STRING)) IS NULL,1,0)) AS NUM_REG_DIF,'"&amp;MAX('ID1&amp;5'!K:K)+1&amp;"' AS ID_EXEC, CURRENT_TIMESTAMP() AS TIME_EXEC FROM "&amp;I221),
IF(C221="Caracteres Especiais",+"SELECT '"&amp;UPPER(B221)&amp;"' AS TABELA, '"&amp;UPPER(C221)&amp;"' AS TIPOLOGIA_TESTE,'"&amp;D221&amp;"' AS TABELA_LT,'N/A' AS TABELA_SIMUL,'"&amp;F221&amp;"' AS CAMPO, "&amp;"'${ref_date}' AS REF_DATE, COUNT(*) AS NUM_REG, SUM(IF(INSTR(CAST(X."&amp;F221&amp;" AS STRING),'#')&gt;0 OR INSTR(CAST(X."&amp;F221&amp;" AS STRING),'*')&gt;0 OR INSTR(CAST(X."&amp;F221&amp;" AS STRING),'`')&gt;0 OR INSTR(CAST(X."&amp;F221&amp;" AS STRING),'´')&gt;0 OR INSTR(CAST(X."&amp;F221&amp;" AS STRING),'{')&gt;0 OR INSTR(CAST(X."&amp;F221&amp;" AS STRING),'}')&gt;0 OR INSTR(CAST(X."&amp;F221&amp;" AS STRING),'[')&gt;0 OR INSTR(CAST(X."&amp;F221&amp;" AS STRING),'')&gt;0 OR INSTR(CAST(X."&amp;F221&amp;" AS STRING),']')&gt;0 OR INSTR(CAST(X."&amp;F221&amp;" AS STRING),'?')&gt;0 OR INSTR(CAST(X."&amp;F221&amp;" AS STRING),'!')&gt;0 OR INSTR(CAST(X."&amp;F221&amp;" AS STRING),'$')&gt;0 OR INSTR(CAST(X."&amp;F221&amp;" AS STRING),'%')&gt;0 OR INSTR(CAST(X."&amp;F221&amp;" AS STRING),'&amp;')&gt;0 OR INSTR(CAST(X."&amp;F221&amp;" AS STRING),'+')&gt;0,1,0)) AS NUM_REG_DIF,'"&amp;MAX('ID1&amp;5'!K:K)+1&amp;"' AS ID_EXEC, CURRENT_TIMESTAMP() AS TIME_EXEC FROM "&amp;I221,
IF(C221="Missings",+"SELECT '"&amp;UPPER(B221)&amp;"' AS TABELA, '"&amp;UPPER(C221)&amp;"' AS TIPOLOGIA_TESTE,'"&amp;D221&amp;"' AS TABELA_LT,'N/A' AS TABELA_SIMUL,'"&amp;F221&amp;"' AS CAMPO, "&amp;"'${ref_date}' AS REF_DATE, COUNT(*) AS NUM_REG, SUM(IF(TRIM(CAST(X."&amp;F221&amp;" AS STRING)) IN ('0000-00-00','0001-01-01','9999-12-31','MISS','00000','99999999999','99999999999.00','99999999999.000000'),1,0)) AS NUM_REG_DIF,'"&amp;MAX('ID1&amp;5'!K:K)+1&amp;"' AS ID_EXEC, CURRENT_TIMESTAMP() AS TIME_EXEC FROM "&amp;I221,
IF(C221="Not applicable",+"SELECT '"&amp;UPPER(B221)&amp;"' AS TABELA, '"&amp;UPPER(C221)&amp;"' AS TIPOLOGIA_TESTE,'"&amp;D221&amp;"' AS TABELA_LT,'N/A' AS TABELA_SIMUL,'"&amp;F221&amp;"' AS CAMPO, "&amp;"'${ref_date}' AS REF_DATE, COUNT(*) AS NUM_REG, SUM(IF(TRIM(CAST(X."&amp;F221&amp;" AS STRING)) IN ('N/A','11111111111','11111111111.00','11111111111.000000','1111-11-11'),1,0)) AS NUM_REG_DIF,'"&amp;MAX('ID1&amp;5'!K:K)+1&amp;"' AS ID_EXEC, CURRENT_TIMESTAMP() AS TIME_EXEC FROM "&amp;I221,
IF(C221="Valores extremos",+"SELECT '"&amp;UPPER(B221)&amp;"' AS TABELA, '"&amp;UPPER(C221)&amp;"' AS TIPOLOGIA_TESTE,'"&amp;D221&amp;"' AS TABELA_LT,'N/A' AS TABELA_SIMUL,'"&amp;F221&amp;"' AS CAMPO, "&amp;"'${ref_date}' AS REF_DATE, CAST(MIN("&amp;F221&amp;") AS STRING) AS VALOR_MIN, CAST(MAX("&amp;F221&amp;") AS STRING) AS VALOR_MAX,'"&amp;MAX('ID1&amp;5'!K:K)+1&amp;"' AS ID_EXEC, CURRENT_TIMESTAMP() AS TIME_EXEC FROM "&amp;MID(I221,1,LEN(I221)-2)&amp;" AND CAST("&amp;F221&amp;"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TABELA_SIMUL,'ENBLNG_CAPEX_CCM' AS CAMPO, '${ref_date}' AS REF_DATE, COUNT(*) AS NUM_REG, SUM(IF(INSTR(CAST(X.ENBLNG_CAPEX_CCM AS STRING),'#')&gt;0 OR INSTR(CAST(X.ENBLNG_CAPEX_CCM AS STRING),'*')&gt;0 OR INSTR(CAST(X.ENBLNG_CAPEX_CCM AS STRING),'`')&gt;0 OR INSTR(CAST(X.ENBLNG_CAPEX_CCM AS STRING),'´')&gt;0 OR INSTR(CAST(X.ENBLNG_CAPEX_CCM AS STRING),'{')&gt;0 OR INSTR(CAST(X.ENBLNG_CAPEX_CCM AS STRING),'}')&gt;0 OR INSTR(CAST(X.ENBLNG_CAPEX_CCM AS STRING),'[')&gt;0 OR INSTR(CAST(X.ENBLNG_CAPEX_CCM AS STRING),'')&gt;0 OR INSTR(CAST(X.ENBLNG_CAPEX_CCM AS STRING),']')&gt;0 OR INSTR(CAST(X.ENBLNG_CAPEX_CCM AS STRING),'?')&gt;0 OR INSTR(CAST(X.ENBLNG_CAPEX_CCM AS STRING),'!')&gt;0 OR INSTR(CAST(X.ENBLNG_CAPEX_CCM AS STRING),'$')&gt;0 OR INSTR(CAST(X.ENBLNG_CAPEX_CCM AS STRING),'%')&gt;0 OR INSTR(CAST(X.ENBLNG_CAPEX_CCM AS STRING),'&amp;')&gt;0 OR INSTR(CAST(X.ENBLNG_CAPEX_CCM AS STRING),'+')&gt;0,1,0)) AS NUM_REG_DIF,'10' AS ID_EXEC, CURRENT_TIMESTAMP() AS TIME_EXEC FROM (SELECT entty_id, ENBLNG_CAPEX_CCM FROM BU_LOANTAPE_WORK.LT003_ENTITY WHERE ref_date='${ref_date}' AND nome_perimetro='Individual Corporativo' AND segmento='ESTR' AND ambito='PILAR3')X</v>
      </c>
      <c r="M221" s="43" t="str">
        <f t="shared" si="3"/>
        <v>UNION ALL SELECT 'ENTITY' AS TABELA, 'CARACTERES ESPECIAIS' AS TIPOLOGIA_TESTE,'BU_LOANTAPE_WORK.LT003_ENTITY' AS TABELA_LT,'N/A' AS TABELA_SIMUL,'ENBLNG_CAPEX_CCM' AS CAMPO, '${ref_date}' AS REF_DATE, COUNT(*) AS NUM_REG, SUM(IF(INSTR(CAST(X.ENBLNG_CAPEX_CCM AS STRING),'#')&gt;0 OR INSTR(CAST(X.ENBLNG_CAPEX_CCM AS STRING),'*')&gt;0 OR INSTR(CAST(X.ENBLNG_CAPEX_CCM AS STRING),'`')&gt;0 OR INSTR(CAST(X.ENBLNG_CAPEX_CCM AS STRING),'´')&gt;0 OR INSTR(CAST(X.ENBLNG_CAPEX_CCM AS STRING),'{')&gt;0 OR INSTR(CAST(X.ENBLNG_CAPEX_CCM AS STRING),'}')&gt;0 OR INSTR(CAST(X.ENBLNG_CAPEX_CCM AS STRING),'[')&gt;0 OR INSTR(CAST(X.ENBLNG_CAPEX_CCM AS STRING),'')&gt;0 OR INSTR(CAST(X.ENBLNG_CAPEX_CCM AS STRING),']')&gt;0 OR INSTR(CAST(X.ENBLNG_CAPEX_CCM AS STRING),'?')&gt;0 OR INSTR(CAST(X.ENBLNG_CAPEX_CCM AS STRING),'!')&gt;0 OR INSTR(CAST(X.ENBLNG_CAPEX_CCM AS STRING),'$')&gt;0 OR INSTR(CAST(X.ENBLNG_CAPEX_CCM AS STRING),'%')&gt;0 OR INSTR(CAST(X.ENBLNG_CAPEX_CCM AS STRING),'&amp;')&gt;0 OR INSTR(CAST(X.ENBLNG_CAPEX_CCM AS STRING),'+')&gt;0,1,0)) AS NUM_REG_DIF,'10' AS ID_EXEC, CURRENT_TIMESTAMP() AS TIME_EXEC FROM (SELECT entty_id, ENBLNG_CAPEX_CCM FROM BU_LOANTAPE_WORK.LT003_ENTITY WHERE ref_date='${ref_date}' AND nome_perimetro='Individual Corporativo' AND segmento='ESTR' AND ambito='PILAR3')X</v>
      </c>
      <c r="N221" s="45" t="s">
        <v>13</v>
      </c>
    </row>
    <row r="222" spans="2:14">
      <c r="B222" s="41" t="s">
        <v>23</v>
      </c>
      <c r="C222" s="41" t="s">
        <v>76</v>
      </c>
      <c r="D222" s="41" t="str">
        <f>+UPPER('0. Instruções'!$D$33&amp;"."&amp;VLOOKUP(B222,'0. Instruções'!$C$27:$D$31,2,FALSE))</f>
        <v>BU_LOANTAPE_WORK.LT003_ENTITY</v>
      </c>
      <c r="E222" s="41" t="str">
        <f>+UPPER('0. Instruções'!$D$34&amp;"."&amp;VLOOKUP(B222,'0. Instruções'!$C$27:$E$31,3,FALSE))</f>
        <v>BU_LOANTAPE_WORK.LT003_ENTTY_P3_NOV24</v>
      </c>
      <c r="F222" s="41" t="s">
        <v>107</v>
      </c>
      <c r="G222" s="41" t="s">
        <v>210</v>
      </c>
      <c r="H222" s="41"/>
      <c r="I222" s="41" t="str">
        <f>"(SELECT "&amp;VLOOKUP(B222,'0. Instruções'!$C$27:$G$31,4,FALSE)&amp;", "&amp;F222&amp;" FROM "&amp;D222&amp;" WHERE "&amp;'0. Instruções'!$D$40&amp;")X"</f>
        <v>(SELECT entty_id, ENBLNG_CAPEX_CCA FROM BU_LOANTAPE_WORK.LT003_ENTITY WHERE ref_date='${ref_date}' AND nome_perimetro='Individual Corporativo' AND segmento='ESTR' AND ambito='PILAR3')X</v>
      </c>
      <c r="J222" s="41" t="str">
        <f>"(SELECT "&amp;VLOOKUP(B222,'0. Instruções'!$C$27:$G$31,4,FALSE)&amp;" AS "&amp;VLOOKUP(B222,'0. Instruções'!$C$27:$G$31,4,FALSE)&amp;"_SIMUL, "&amp;F222&amp;" AS "&amp;F222&amp;"_SIMUL FROM "&amp;E222&amp;")Y"</f>
        <v>(SELECT entty_id AS entty_id_SIMUL, ENBLNG_CAPEX_CCA AS ENBLNG_CAPEX_CCA_SIMUL FROM BU_LOANTAPE_WORK.LT003_ENTTY_P3_NOV24)Y</v>
      </c>
      <c r="K222" s="42" t="str">
        <f>+UPPER("ON X."&amp;VLOOKUP(B222,'0. Instruções'!$C$27:$G$31,4,FALSE)&amp;"=Y."&amp;VLOOKUP(B222,'0. Instruções'!$C$27:$G$31,4,FALSE)&amp;"_SIMUL")</f>
        <v>ON X.ENTTY_ID=Y.ENTTY_ID_SIMUL</v>
      </c>
      <c r="L222" s="42" t="str">
        <f>+IF(C222="Coerência", +IF(LEFT(G222,5)="FLOAT","SELECT '"&amp;UPPER(B222)&amp;"' AS TABELA, '"&amp;UPPER(C222)&amp;"' AS TIPOLOGIA_TESTE,'"&amp;D222&amp;"' AS TABELA_LT,'"&amp;E222&amp;"' AS TABELA_SIMUL,'"&amp;F222&amp;"' AS CAMPO, "&amp;"'${ref_date}' AS REF_DATE, COUNT(*) AS NUM_REG, SUM(IF((ABS(COALESCE(X."&amp;F222&amp;",0)-COALESCE(Y."&amp;F222&amp;"_SIMUL,0))&gt;0.0000000001) OR (X."&amp;F222&amp;" IS NULL AND Y."&amp;F222&amp;"_SIMUL IS NOT NULL ) OR (X."&amp;F222&amp;" IS NOT NULL AND Y."&amp;F222&amp;"_SIMUL IS NULL),1,0)) AS NUM_REG_DIF,'"&amp;MAX('ID1&amp;5'!K:K)+1&amp;"' AS ID_EXEC, CURRENT_TIMESTAMP() AS TIME_EXEC FROM "&amp;I222&amp;" INNER JOIN "&amp;J222&amp;" "&amp;K222,"SELECT '"&amp;UPPER(B222)&amp;"' AS TABELA, '"&amp;UPPER(C222)&amp;"' AS TIPOLOGIA_TESTE,'"&amp;D222&amp;"' AS TABELA_LT,'"&amp;E222&amp;"' AS TABELA_SIMUL,'"&amp;F222&amp;"' AS CAMPO, "&amp;"'${ref_date}' AS REF_DATE, COUNT(*) AS NUM_REG, SUM(IF(COALESCE(CAST(X."&amp;F222&amp;" AS STRING),'')&lt;&gt;COALESCE(CAST(Y."&amp;F222&amp;"_SIMUL AS STRING),''),1,0)) AS NUM_REG_DIF,'"&amp;MAX('ID1&amp;5'!L:L)+1&amp;"' AS ID_EXEC, CURRENT_TIMESTAMP() AS TIME_EXEC FROM "&amp;I222&amp;" INNER JOIN "&amp;J222&amp;" "&amp;K222),
IF(C222="Validade",+IF(G222="Code List","SELECT '"&amp;UPPER(B222)&amp;"' AS TABELA, '"&amp;UPPER(C222)&amp;"' AS TIPOLOGIA_TESTE,'"&amp;D222&amp;"' AS TABELA_LT,'N/A' AS TABELA_SIMUL,'"&amp;F222&amp;"' AS CAMPO, "&amp;"'${ref_date}' AS REF_DATE, COUNT(*) AS NUM_REG, SUM(IF(TRIM(CAST(X."&amp;F222&amp;" AS STRING))='' OR TRIM(CAST(X."&amp;F222&amp;" AS STRING)) IS NULL OR CAST(X."&amp;F222&amp;" AS STRING) NOT "&amp;H222&amp;",1,0)) AS NUM_REG_DIF,'"&amp;MAX('ID1&amp;5'!K:K)+1&amp;"' AS ID_EXEC, CURRENT_TIMESTAMP() AS TIME_EXEC FROM "&amp;I222,"SELECT '"&amp;UPPER(B222)&amp;"' AS TABELA, '"&amp;UPPER(C222)&amp;"' AS TIPOLOGIA_TESTE,'"&amp;D222&amp;"' AS TABELA_LT,'N/A' AS TABELA_SIMUL,'"&amp;F222&amp;"' AS CAMPO, "&amp;"'${ref_date}' AS REF_DATE, COUNT(*) AS NUM_REG, SUM(IF(TRIM(CAST(X."&amp;F222&amp;" AS STRING))='' OR TRIM(CAST(X."&amp;F222&amp;" AS STRING)) IS NULL,1,0)) AS NUM_REG_DIF,'"&amp;MAX('ID1&amp;5'!K:K)+1&amp;"' AS ID_EXEC, CURRENT_TIMESTAMP() AS TIME_EXEC FROM "&amp;I222),
IF(C222="Caracteres Especiais",+"SELECT '"&amp;UPPER(B222)&amp;"' AS TABELA, '"&amp;UPPER(C222)&amp;"' AS TIPOLOGIA_TESTE,'"&amp;D222&amp;"' AS TABELA_LT,'N/A' AS TABELA_SIMUL,'"&amp;F222&amp;"' AS CAMPO, "&amp;"'${ref_date}' AS REF_DATE, COUNT(*) AS NUM_REG, SUM(IF(INSTR(CAST(X."&amp;F222&amp;" AS STRING),'#')&gt;0 OR INSTR(CAST(X."&amp;F222&amp;" AS STRING),'*')&gt;0 OR INSTR(CAST(X."&amp;F222&amp;" AS STRING),'`')&gt;0 OR INSTR(CAST(X."&amp;F222&amp;" AS STRING),'´')&gt;0 OR INSTR(CAST(X."&amp;F222&amp;" AS STRING),'{')&gt;0 OR INSTR(CAST(X."&amp;F222&amp;" AS STRING),'}')&gt;0 OR INSTR(CAST(X."&amp;F222&amp;" AS STRING),'[')&gt;0 OR INSTR(CAST(X."&amp;F222&amp;" AS STRING),'')&gt;0 OR INSTR(CAST(X."&amp;F222&amp;" AS STRING),']')&gt;0 OR INSTR(CAST(X."&amp;F222&amp;" AS STRING),'?')&gt;0 OR INSTR(CAST(X."&amp;F222&amp;" AS STRING),'!')&gt;0 OR INSTR(CAST(X."&amp;F222&amp;" AS STRING),'$')&gt;0 OR INSTR(CAST(X."&amp;F222&amp;" AS STRING),'%')&gt;0 OR INSTR(CAST(X."&amp;F222&amp;" AS STRING),'&amp;')&gt;0 OR INSTR(CAST(X."&amp;F222&amp;" AS STRING),'+')&gt;0,1,0)) AS NUM_REG_DIF,'"&amp;MAX('ID1&amp;5'!K:K)+1&amp;"' AS ID_EXEC, CURRENT_TIMESTAMP() AS TIME_EXEC FROM "&amp;I222,
IF(C222="Missings",+"SELECT '"&amp;UPPER(B222)&amp;"' AS TABELA, '"&amp;UPPER(C222)&amp;"' AS TIPOLOGIA_TESTE,'"&amp;D222&amp;"' AS TABELA_LT,'N/A' AS TABELA_SIMUL,'"&amp;F222&amp;"' AS CAMPO, "&amp;"'${ref_date}' AS REF_DATE, COUNT(*) AS NUM_REG, SUM(IF(TRIM(CAST(X."&amp;F222&amp;" AS STRING)) IN ('0000-00-00','0001-01-01','9999-12-31','MISS','00000','99999999999','99999999999.00','99999999999.000000'),1,0)) AS NUM_REG_DIF,'"&amp;MAX('ID1&amp;5'!K:K)+1&amp;"' AS ID_EXEC, CURRENT_TIMESTAMP() AS TIME_EXEC FROM "&amp;I222,
IF(C222="Not applicable",+"SELECT '"&amp;UPPER(B222)&amp;"' AS TABELA, '"&amp;UPPER(C222)&amp;"' AS TIPOLOGIA_TESTE,'"&amp;D222&amp;"' AS TABELA_LT,'N/A' AS TABELA_SIMUL,'"&amp;F222&amp;"' AS CAMPO, "&amp;"'${ref_date}' AS REF_DATE, COUNT(*) AS NUM_REG, SUM(IF(TRIM(CAST(X."&amp;F222&amp;" AS STRING)) IN ('N/A','11111111111','11111111111.00','11111111111.000000','1111-11-11'),1,0)) AS NUM_REG_DIF,'"&amp;MAX('ID1&amp;5'!K:K)+1&amp;"' AS ID_EXEC, CURRENT_TIMESTAMP() AS TIME_EXEC FROM "&amp;I222,
IF(C222="Valores extremos",+"SELECT '"&amp;UPPER(B222)&amp;"' AS TABELA, '"&amp;UPPER(C222)&amp;"' AS TIPOLOGIA_TESTE,'"&amp;D222&amp;"' AS TABELA_LT,'N/A' AS TABELA_SIMUL,'"&amp;F222&amp;"' AS CAMPO, "&amp;"'${ref_date}' AS REF_DATE, CAST(MIN("&amp;F222&amp;") AS STRING) AS VALOR_MIN, CAST(MAX("&amp;F222&amp;") AS STRING) AS VALOR_MAX,'"&amp;MAX('ID1&amp;5'!K:K)+1&amp;"' AS ID_EXEC, CURRENT_TIMESTAMP() AS TIME_EXEC FROM "&amp;MID(I222,1,LEN(I222)-2)&amp;" AND CAST("&amp;F222&amp;"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TABELA_SIMUL,'ENBLNG_CAPEX_CCA' AS CAMPO, '${ref_date}' AS REF_DATE, COUNT(*) AS NUM_REG, SUM(IF(INSTR(CAST(X.ENBLNG_CAPEX_CCA AS STRING),'#')&gt;0 OR INSTR(CAST(X.ENBLNG_CAPEX_CCA AS STRING),'*')&gt;0 OR INSTR(CAST(X.ENBLNG_CAPEX_CCA AS STRING),'`')&gt;0 OR INSTR(CAST(X.ENBLNG_CAPEX_CCA AS STRING),'´')&gt;0 OR INSTR(CAST(X.ENBLNG_CAPEX_CCA AS STRING),'{')&gt;0 OR INSTR(CAST(X.ENBLNG_CAPEX_CCA AS STRING),'}')&gt;0 OR INSTR(CAST(X.ENBLNG_CAPEX_CCA AS STRING),'[')&gt;0 OR INSTR(CAST(X.ENBLNG_CAPEX_CCA AS STRING),'')&gt;0 OR INSTR(CAST(X.ENBLNG_CAPEX_CCA AS STRING),']')&gt;0 OR INSTR(CAST(X.ENBLNG_CAPEX_CCA AS STRING),'?')&gt;0 OR INSTR(CAST(X.ENBLNG_CAPEX_CCA AS STRING),'!')&gt;0 OR INSTR(CAST(X.ENBLNG_CAPEX_CCA AS STRING),'$')&gt;0 OR INSTR(CAST(X.ENBLNG_CAPEX_CCA AS STRING),'%')&gt;0 OR INSTR(CAST(X.ENBLNG_CAPEX_CCA AS STRING),'&amp;')&gt;0 OR INSTR(CAST(X.ENBLNG_CAPEX_CCA AS STRING),'+')&gt;0,1,0)) AS NUM_REG_DIF,'10' AS ID_EXEC, CURRENT_TIMESTAMP() AS TIME_EXEC FROM (SELECT entty_id, ENBLNG_CAPEX_CCA FROM BU_LOANTAPE_WORK.LT003_ENTITY WHERE ref_date='${ref_date}' AND nome_perimetro='Individual Corporativo' AND segmento='ESTR' AND ambito='PILAR3')X</v>
      </c>
      <c r="M222" s="43" t="str">
        <f t="shared" si="3"/>
        <v>UNION ALL SELECT 'ENTITY' AS TABELA, 'CARACTERES ESPECIAIS' AS TIPOLOGIA_TESTE,'BU_LOANTAPE_WORK.LT003_ENTITY' AS TABELA_LT,'N/A' AS TABELA_SIMUL,'ENBLNG_CAPEX_CCA' AS CAMPO, '${ref_date}' AS REF_DATE, COUNT(*) AS NUM_REG, SUM(IF(INSTR(CAST(X.ENBLNG_CAPEX_CCA AS STRING),'#')&gt;0 OR INSTR(CAST(X.ENBLNG_CAPEX_CCA AS STRING),'*')&gt;0 OR INSTR(CAST(X.ENBLNG_CAPEX_CCA AS STRING),'`')&gt;0 OR INSTR(CAST(X.ENBLNG_CAPEX_CCA AS STRING),'´')&gt;0 OR INSTR(CAST(X.ENBLNG_CAPEX_CCA AS STRING),'{')&gt;0 OR INSTR(CAST(X.ENBLNG_CAPEX_CCA AS STRING),'}')&gt;0 OR INSTR(CAST(X.ENBLNG_CAPEX_CCA AS STRING),'[')&gt;0 OR INSTR(CAST(X.ENBLNG_CAPEX_CCA AS STRING),'')&gt;0 OR INSTR(CAST(X.ENBLNG_CAPEX_CCA AS STRING),']')&gt;0 OR INSTR(CAST(X.ENBLNG_CAPEX_CCA AS STRING),'?')&gt;0 OR INSTR(CAST(X.ENBLNG_CAPEX_CCA AS STRING),'!')&gt;0 OR INSTR(CAST(X.ENBLNG_CAPEX_CCA AS STRING),'$')&gt;0 OR INSTR(CAST(X.ENBLNG_CAPEX_CCA AS STRING),'%')&gt;0 OR INSTR(CAST(X.ENBLNG_CAPEX_CCA AS STRING),'&amp;')&gt;0 OR INSTR(CAST(X.ENBLNG_CAPEX_CCA AS STRING),'+')&gt;0,1,0)) AS NUM_REG_DIF,'10' AS ID_EXEC, CURRENT_TIMESTAMP() AS TIME_EXEC FROM (SELECT entty_id, ENBLNG_CAPEX_CCA FROM BU_LOANTAPE_WORK.LT003_ENTITY WHERE ref_date='${ref_date}' AND nome_perimetro='Individual Corporativo' AND segmento='ESTR' AND ambito='PILAR3')X</v>
      </c>
      <c r="N222" s="45" t="s">
        <v>13</v>
      </c>
    </row>
    <row r="223" spans="2:14">
      <c r="B223" s="41" t="s">
        <v>23</v>
      </c>
      <c r="C223" s="41" t="s">
        <v>76</v>
      </c>
      <c r="D223" s="41" t="str">
        <f>+UPPER('0. Instruções'!$D$33&amp;"."&amp;VLOOKUP(B223,'0. Instruções'!$C$27:$D$31,2,FALSE))</f>
        <v>BU_LOANTAPE_WORK.LT003_ENTITY</v>
      </c>
      <c r="E223" s="41" t="str">
        <f>+UPPER('0. Instruções'!$D$34&amp;"."&amp;VLOOKUP(B223,'0. Instruções'!$C$27:$E$31,3,FALSE))</f>
        <v>BU_LOANTAPE_WORK.LT003_ENTTY_P3_NOV24</v>
      </c>
      <c r="F223" s="41" t="s">
        <v>108</v>
      </c>
      <c r="G223" s="41" t="s">
        <v>210</v>
      </c>
      <c r="H223" s="41"/>
      <c r="I223" s="41" t="str">
        <f>"(SELECT "&amp;VLOOKUP(B223,'0. Instruções'!$C$27:$G$31,4,FALSE)&amp;", "&amp;F223&amp;" FROM "&amp;D223&amp;" WHERE "&amp;'0. Instruções'!$D$40&amp;")X"</f>
        <v>(SELECT entty_id, TRNSTNL_CAPEX FROM BU_LOANTAPE_WORK.LT003_ENTITY WHERE ref_date='${ref_date}' AND nome_perimetro='Individual Corporativo' AND segmento='ESTR' AND ambito='PILAR3')X</v>
      </c>
      <c r="J223" s="41" t="str">
        <f>"(SELECT "&amp;VLOOKUP(B223,'0. Instruções'!$C$27:$G$31,4,FALSE)&amp;" AS "&amp;VLOOKUP(B223,'0. Instruções'!$C$27:$G$31,4,FALSE)&amp;"_SIMUL, "&amp;F223&amp;" AS "&amp;F223&amp;"_SIMUL FROM "&amp;E223&amp;")Y"</f>
        <v>(SELECT entty_id AS entty_id_SIMUL, TRNSTNL_CAPEX AS TRNSTNL_CAPEX_SIMUL FROM BU_LOANTAPE_WORK.LT003_ENTTY_P3_NOV24)Y</v>
      </c>
      <c r="K223" s="42" t="str">
        <f>+UPPER("ON X."&amp;VLOOKUP(B223,'0. Instruções'!$C$27:$G$31,4,FALSE)&amp;"=Y."&amp;VLOOKUP(B223,'0. Instruções'!$C$27:$G$31,4,FALSE)&amp;"_SIMUL")</f>
        <v>ON X.ENTTY_ID=Y.ENTTY_ID_SIMUL</v>
      </c>
      <c r="L223" s="42" t="str">
        <f>+IF(C223="Coerência", +IF(LEFT(G223,5)="FLOAT","SELECT '"&amp;UPPER(B223)&amp;"' AS TABELA, '"&amp;UPPER(C223)&amp;"' AS TIPOLOGIA_TESTE,'"&amp;D223&amp;"' AS TABELA_LT,'"&amp;E223&amp;"' AS TABELA_SIMUL,'"&amp;F223&amp;"' AS CAMPO, "&amp;"'${ref_date}' AS REF_DATE, COUNT(*) AS NUM_REG, SUM(IF((ABS(COALESCE(X."&amp;F223&amp;",0)-COALESCE(Y."&amp;F223&amp;"_SIMUL,0))&gt;0.0000000001) OR (X."&amp;F223&amp;" IS NULL AND Y."&amp;F223&amp;"_SIMUL IS NOT NULL ) OR (X."&amp;F223&amp;" IS NOT NULL AND Y."&amp;F223&amp;"_SIMUL IS NULL),1,0)) AS NUM_REG_DIF,'"&amp;MAX('ID1&amp;5'!K:K)+1&amp;"' AS ID_EXEC, CURRENT_TIMESTAMP() AS TIME_EXEC FROM "&amp;I223&amp;" INNER JOIN "&amp;J223&amp;" "&amp;K223,"SELECT '"&amp;UPPER(B223)&amp;"' AS TABELA, '"&amp;UPPER(C223)&amp;"' AS TIPOLOGIA_TESTE,'"&amp;D223&amp;"' AS TABELA_LT,'"&amp;E223&amp;"' AS TABELA_SIMUL,'"&amp;F223&amp;"' AS CAMPO, "&amp;"'${ref_date}' AS REF_DATE, COUNT(*) AS NUM_REG, SUM(IF(COALESCE(CAST(X."&amp;F223&amp;" AS STRING),'')&lt;&gt;COALESCE(CAST(Y."&amp;F223&amp;"_SIMUL AS STRING),''),1,0)) AS NUM_REG_DIF,'"&amp;MAX('ID1&amp;5'!L:L)+1&amp;"' AS ID_EXEC, CURRENT_TIMESTAMP() AS TIME_EXEC FROM "&amp;I223&amp;" INNER JOIN "&amp;J223&amp;" "&amp;K223),
IF(C223="Validade",+IF(G223="Code List","SELECT '"&amp;UPPER(B223)&amp;"' AS TABELA, '"&amp;UPPER(C223)&amp;"' AS TIPOLOGIA_TESTE,'"&amp;D223&amp;"' AS TABELA_LT,'N/A' AS TABELA_SIMUL,'"&amp;F223&amp;"' AS CAMPO, "&amp;"'${ref_date}' AS REF_DATE, COUNT(*) AS NUM_REG, SUM(IF(TRIM(CAST(X."&amp;F223&amp;" AS STRING))='' OR TRIM(CAST(X."&amp;F223&amp;" AS STRING)) IS NULL OR CAST(X."&amp;F223&amp;" AS STRING) NOT "&amp;H223&amp;",1,0)) AS NUM_REG_DIF,'"&amp;MAX('ID1&amp;5'!K:K)+1&amp;"' AS ID_EXEC, CURRENT_TIMESTAMP() AS TIME_EXEC FROM "&amp;I223,"SELECT '"&amp;UPPER(B223)&amp;"' AS TABELA, '"&amp;UPPER(C223)&amp;"' AS TIPOLOGIA_TESTE,'"&amp;D223&amp;"' AS TABELA_LT,'N/A' AS TABELA_SIMUL,'"&amp;F223&amp;"' AS CAMPO, "&amp;"'${ref_date}' AS REF_DATE, COUNT(*) AS NUM_REG, SUM(IF(TRIM(CAST(X."&amp;F223&amp;" AS STRING))='' OR TRIM(CAST(X."&amp;F223&amp;" AS STRING)) IS NULL,1,0)) AS NUM_REG_DIF,'"&amp;MAX('ID1&amp;5'!K:K)+1&amp;"' AS ID_EXEC, CURRENT_TIMESTAMP() AS TIME_EXEC FROM "&amp;I223),
IF(C223="Caracteres Especiais",+"SELECT '"&amp;UPPER(B223)&amp;"' AS TABELA, '"&amp;UPPER(C223)&amp;"' AS TIPOLOGIA_TESTE,'"&amp;D223&amp;"' AS TABELA_LT,'N/A' AS TABELA_SIMUL,'"&amp;F223&amp;"' AS CAMPO, "&amp;"'${ref_date}' AS REF_DATE, COUNT(*) AS NUM_REG, SUM(IF(INSTR(CAST(X."&amp;F223&amp;" AS STRING),'#')&gt;0 OR INSTR(CAST(X."&amp;F223&amp;" AS STRING),'*')&gt;0 OR INSTR(CAST(X."&amp;F223&amp;" AS STRING),'`')&gt;0 OR INSTR(CAST(X."&amp;F223&amp;" AS STRING),'´')&gt;0 OR INSTR(CAST(X."&amp;F223&amp;" AS STRING),'{')&gt;0 OR INSTR(CAST(X."&amp;F223&amp;" AS STRING),'}')&gt;0 OR INSTR(CAST(X."&amp;F223&amp;" AS STRING),'[')&gt;0 OR INSTR(CAST(X."&amp;F223&amp;" AS STRING),'')&gt;0 OR INSTR(CAST(X."&amp;F223&amp;" AS STRING),']')&gt;0 OR INSTR(CAST(X."&amp;F223&amp;" AS STRING),'?')&gt;0 OR INSTR(CAST(X."&amp;F223&amp;" AS STRING),'!')&gt;0 OR INSTR(CAST(X."&amp;F223&amp;" AS STRING),'$')&gt;0 OR INSTR(CAST(X."&amp;F223&amp;" AS STRING),'%')&gt;0 OR INSTR(CAST(X."&amp;F223&amp;" AS STRING),'&amp;')&gt;0 OR INSTR(CAST(X."&amp;F223&amp;" AS STRING),'+')&gt;0,1,0)) AS NUM_REG_DIF,'"&amp;MAX('ID1&amp;5'!K:K)+1&amp;"' AS ID_EXEC, CURRENT_TIMESTAMP() AS TIME_EXEC FROM "&amp;I223,
IF(C223="Missings",+"SELECT '"&amp;UPPER(B223)&amp;"' AS TABELA, '"&amp;UPPER(C223)&amp;"' AS TIPOLOGIA_TESTE,'"&amp;D223&amp;"' AS TABELA_LT,'N/A' AS TABELA_SIMUL,'"&amp;F223&amp;"' AS CAMPO, "&amp;"'${ref_date}' AS REF_DATE, COUNT(*) AS NUM_REG, SUM(IF(TRIM(CAST(X."&amp;F223&amp;" AS STRING)) IN ('0000-00-00','0001-01-01','9999-12-31','MISS','00000','99999999999','99999999999.00','99999999999.000000'),1,0)) AS NUM_REG_DIF,'"&amp;MAX('ID1&amp;5'!K:K)+1&amp;"' AS ID_EXEC, CURRENT_TIMESTAMP() AS TIME_EXEC FROM "&amp;I223,
IF(C223="Not applicable",+"SELECT '"&amp;UPPER(B223)&amp;"' AS TABELA, '"&amp;UPPER(C223)&amp;"' AS TIPOLOGIA_TESTE,'"&amp;D223&amp;"' AS TABELA_LT,'N/A' AS TABELA_SIMUL,'"&amp;F223&amp;"' AS CAMPO, "&amp;"'${ref_date}' AS REF_DATE, COUNT(*) AS NUM_REG, SUM(IF(TRIM(CAST(X."&amp;F223&amp;" AS STRING)) IN ('N/A','11111111111','11111111111.00','11111111111.000000','1111-11-11'),1,0)) AS NUM_REG_DIF,'"&amp;MAX('ID1&amp;5'!K:K)+1&amp;"' AS ID_EXEC, CURRENT_TIMESTAMP() AS TIME_EXEC FROM "&amp;I223,
IF(C223="Valores extremos",+"SELECT '"&amp;UPPER(B223)&amp;"' AS TABELA, '"&amp;UPPER(C223)&amp;"' AS TIPOLOGIA_TESTE,'"&amp;D223&amp;"' AS TABELA_LT,'N/A' AS TABELA_SIMUL,'"&amp;F223&amp;"' AS CAMPO, "&amp;"'${ref_date}' AS REF_DATE, CAST(MIN("&amp;F223&amp;") AS STRING) AS VALOR_MIN, CAST(MAX("&amp;F223&amp;") AS STRING) AS VALOR_MAX,'"&amp;MAX('ID1&amp;5'!K:K)+1&amp;"' AS ID_EXEC, CURRENT_TIMESTAMP() AS TIME_EXEC FROM "&amp;MID(I223,1,LEN(I223)-2)&amp;" AND CAST("&amp;F223&amp;"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TABELA_SIMUL,'TRNSTNL_CAPEX' AS CAMPO, '${ref_date}' AS REF_DATE, COUNT(*) AS NUM_REG, SUM(IF(INSTR(CAST(X.TRNSTNL_CAPEX AS STRING),'#')&gt;0 OR INSTR(CAST(X.TRNSTNL_CAPEX AS STRING),'*')&gt;0 OR INSTR(CAST(X.TRNSTNL_CAPEX AS STRING),'`')&gt;0 OR INSTR(CAST(X.TRNSTNL_CAPEX AS STRING),'´')&gt;0 OR INSTR(CAST(X.TRNSTNL_CAPEX AS STRING),'{')&gt;0 OR INSTR(CAST(X.TRNSTNL_CAPEX AS STRING),'}')&gt;0 OR INSTR(CAST(X.TRNSTNL_CAPEX AS STRING),'[')&gt;0 OR INSTR(CAST(X.TRNSTNL_CAPEX AS STRING),'')&gt;0 OR INSTR(CAST(X.TRNSTNL_CAPEX AS STRING),']')&gt;0 OR INSTR(CAST(X.TRNSTNL_CAPEX AS STRING),'?')&gt;0 OR INSTR(CAST(X.TRNSTNL_CAPEX AS STRING),'!')&gt;0 OR INSTR(CAST(X.TRNSTNL_CAPEX AS STRING),'$')&gt;0 OR INSTR(CAST(X.TRNSTNL_CAPEX AS STRING),'%')&gt;0 OR INSTR(CAST(X.TRNSTNL_CAPEX AS STRING),'&amp;')&gt;0 OR INSTR(CAST(X.TRNSTNL_CAPEX AS STRING),'+')&gt;0,1,0)) AS NUM_REG_DIF,'10' AS ID_EXEC, CURRENT_TIMESTAMP() AS TIME_EXEC FROM (SELECT entty_id, TRNSTNL_CAPEX FROM BU_LOANTAPE_WORK.LT003_ENTITY WHERE ref_date='${ref_date}' AND nome_perimetro='Individual Corporativo' AND segmento='ESTR' AND ambito='PILAR3')X</v>
      </c>
      <c r="M223" s="43" t="str">
        <f t="shared" si="3"/>
        <v>UNION ALL SELECT 'ENTITY' AS TABELA, 'CARACTERES ESPECIAIS' AS TIPOLOGIA_TESTE,'BU_LOANTAPE_WORK.LT003_ENTITY' AS TABELA_LT,'N/A' AS TABELA_SIMUL,'TRNSTNL_CAPEX' AS CAMPO, '${ref_date}' AS REF_DATE, COUNT(*) AS NUM_REG, SUM(IF(INSTR(CAST(X.TRNSTNL_CAPEX AS STRING),'#')&gt;0 OR INSTR(CAST(X.TRNSTNL_CAPEX AS STRING),'*')&gt;0 OR INSTR(CAST(X.TRNSTNL_CAPEX AS STRING),'`')&gt;0 OR INSTR(CAST(X.TRNSTNL_CAPEX AS STRING),'´')&gt;0 OR INSTR(CAST(X.TRNSTNL_CAPEX AS STRING),'{')&gt;0 OR INSTR(CAST(X.TRNSTNL_CAPEX AS STRING),'}')&gt;0 OR INSTR(CAST(X.TRNSTNL_CAPEX AS STRING),'[')&gt;0 OR INSTR(CAST(X.TRNSTNL_CAPEX AS STRING),'')&gt;0 OR INSTR(CAST(X.TRNSTNL_CAPEX AS STRING),']')&gt;0 OR INSTR(CAST(X.TRNSTNL_CAPEX AS STRING),'?')&gt;0 OR INSTR(CAST(X.TRNSTNL_CAPEX AS STRING),'!')&gt;0 OR INSTR(CAST(X.TRNSTNL_CAPEX AS STRING),'$')&gt;0 OR INSTR(CAST(X.TRNSTNL_CAPEX AS STRING),'%')&gt;0 OR INSTR(CAST(X.TRNSTNL_CAPEX AS STRING),'&amp;')&gt;0 OR INSTR(CAST(X.TRNSTNL_CAPEX AS STRING),'+')&gt;0,1,0)) AS NUM_REG_DIF,'10' AS ID_EXEC, CURRENT_TIMESTAMP() AS TIME_EXEC FROM (SELECT entty_id, TRNSTNL_CAPEX FROM BU_LOANTAPE_WORK.LT003_ENTITY WHERE ref_date='${ref_date}' AND nome_perimetro='Individual Corporativo' AND segmento='ESTR' AND ambito='PILAR3')X</v>
      </c>
      <c r="N223" s="45" t="s">
        <v>13</v>
      </c>
    </row>
    <row r="224" spans="2:14">
      <c r="B224" s="41" t="s">
        <v>23</v>
      </c>
      <c r="C224" s="41" t="s">
        <v>76</v>
      </c>
      <c r="D224" s="41" t="str">
        <f>+UPPER('0. Instruções'!$D$33&amp;"."&amp;VLOOKUP(B224,'0. Instruções'!$C$27:$D$31,2,FALSE))</f>
        <v>BU_LOANTAPE_WORK.LT003_ENTITY</v>
      </c>
      <c r="E224" s="41" t="str">
        <f>+UPPER('0. Instruções'!$D$34&amp;"."&amp;VLOOKUP(B224,'0. Instruções'!$C$27:$E$31,3,FALSE))</f>
        <v>BU_LOANTAPE_WORK.LT003_ENTTY_P3_NOV24</v>
      </c>
      <c r="F224" s="41" t="s">
        <v>109</v>
      </c>
      <c r="G224" s="41" t="s">
        <v>210</v>
      </c>
      <c r="H224" s="41"/>
      <c r="I224" s="41" t="str">
        <f>"(SELECT "&amp;VLOOKUP(B224,'0. Instruções'!$C$27:$G$31,4,FALSE)&amp;", "&amp;F224&amp;" FROM "&amp;D224&amp;" WHERE "&amp;'0. Instruções'!$D$40&amp;")X"</f>
        <v>(SELECT entty_id, PURE_CAPEX_CCM FROM BU_LOANTAPE_WORK.LT003_ENTITY WHERE ref_date='${ref_date}' AND nome_perimetro='Individual Corporativo' AND segmento='ESTR' AND ambito='PILAR3')X</v>
      </c>
      <c r="J224" s="41" t="str">
        <f>"(SELECT "&amp;VLOOKUP(B224,'0. Instruções'!$C$27:$G$31,4,FALSE)&amp;" AS "&amp;VLOOKUP(B224,'0. Instruções'!$C$27:$G$31,4,FALSE)&amp;"_SIMUL, "&amp;F224&amp;" AS "&amp;F224&amp;"_SIMUL FROM "&amp;E224&amp;")Y"</f>
        <v>(SELECT entty_id AS entty_id_SIMUL, PURE_CAPEX_CCM AS PURE_CAPEX_CCM_SIMUL FROM BU_LOANTAPE_WORK.LT003_ENTTY_P3_NOV24)Y</v>
      </c>
      <c r="K224" s="42" t="str">
        <f>+UPPER("ON X."&amp;VLOOKUP(B224,'0. Instruções'!$C$27:$G$31,4,FALSE)&amp;"=Y."&amp;VLOOKUP(B224,'0. Instruções'!$C$27:$G$31,4,FALSE)&amp;"_SIMUL")</f>
        <v>ON X.ENTTY_ID=Y.ENTTY_ID_SIMUL</v>
      </c>
      <c r="L224" s="42" t="str">
        <f>+IF(C224="Coerência", +IF(LEFT(G224,5)="FLOAT","SELECT '"&amp;UPPER(B224)&amp;"' AS TABELA, '"&amp;UPPER(C224)&amp;"' AS TIPOLOGIA_TESTE,'"&amp;D224&amp;"' AS TABELA_LT,'"&amp;E224&amp;"' AS TABELA_SIMUL,'"&amp;F224&amp;"' AS CAMPO, "&amp;"'${ref_date}' AS REF_DATE, COUNT(*) AS NUM_REG, SUM(IF((ABS(COALESCE(X."&amp;F224&amp;",0)-COALESCE(Y."&amp;F224&amp;"_SIMUL,0))&gt;0.0000000001) OR (X."&amp;F224&amp;" IS NULL AND Y."&amp;F224&amp;"_SIMUL IS NOT NULL ) OR (X."&amp;F224&amp;" IS NOT NULL AND Y."&amp;F224&amp;"_SIMUL IS NULL),1,0)) AS NUM_REG_DIF,'"&amp;MAX('ID1&amp;5'!K:K)+1&amp;"' AS ID_EXEC, CURRENT_TIMESTAMP() AS TIME_EXEC FROM "&amp;I224&amp;" INNER JOIN "&amp;J224&amp;" "&amp;K224,"SELECT '"&amp;UPPER(B224)&amp;"' AS TABELA, '"&amp;UPPER(C224)&amp;"' AS TIPOLOGIA_TESTE,'"&amp;D224&amp;"' AS TABELA_LT,'"&amp;E224&amp;"' AS TABELA_SIMUL,'"&amp;F224&amp;"' AS CAMPO, "&amp;"'${ref_date}' AS REF_DATE, COUNT(*) AS NUM_REG, SUM(IF(COALESCE(CAST(X."&amp;F224&amp;" AS STRING),'')&lt;&gt;COALESCE(CAST(Y."&amp;F224&amp;"_SIMUL AS STRING),''),1,0)) AS NUM_REG_DIF,'"&amp;MAX('ID1&amp;5'!L:L)+1&amp;"' AS ID_EXEC, CURRENT_TIMESTAMP() AS TIME_EXEC FROM "&amp;I224&amp;" INNER JOIN "&amp;J224&amp;" "&amp;K224),
IF(C224="Validade",+IF(G224="Code List","SELECT '"&amp;UPPER(B224)&amp;"' AS TABELA, '"&amp;UPPER(C224)&amp;"' AS TIPOLOGIA_TESTE,'"&amp;D224&amp;"' AS TABELA_LT,'N/A' AS TABELA_SIMUL,'"&amp;F224&amp;"' AS CAMPO, "&amp;"'${ref_date}' AS REF_DATE, COUNT(*) AS NUM_REG, SUM(IF(TRIM(CAST(X."&amp;F224&amp;" AS STRING))='' OR TRIM(CAST(X."&amp;F224&amp;" AS STRING)) IS NULL OR CAST(X."&amp;F224&amp;" AS STRING) NOT "&amp;H224&amp;",1,0)) AS NUM_REG_DIF,'"&amp;MAX('ID1&amp;5'!K:K)+1&amp;"' AS ID_EXEC, CURRENT_TIMESTAMP() AS TIME_EXEC FROM "&amp;I224,"SELECT '"&amp;UPPER(B224)&amp;"' AS TABELA, '"&amp;UPPER(C224)&amp;"' AS TIPOLOGIA_TESTE,'"&amp;D224&amp;"' AS TABELA_LT,'N/A' AS TABELA_SIMUL,'"&amp;F224&amp;"' AS CAMPO, "&amp;"'${ref_date}' AS REF_DATE, COUNT(*) AS NUM_REG, SUM(IF(TRIM(CAST(X."&amp;F224&amp;" AS STRING))='' OR TRIM(CAST(X."&amp;F224&amp;" AS STRING)) IS NULL,1,0)) AS NUM_REG_DIF,'"&amp;MAX('ID1&amp;5'!K:K)+1&amp;"' AS ID_EXEC, CURRENT_TIMESTAMP() AS TIME_EXEC FROM "&amp;I224),
IF(C224="Caracteres Especiais",+"SELECT '"&amp;UPPER(B224)&amp;"' AS TABELA, '"&amp;UPPER(C224)&amp;"' AS TIPOLOGIA_TESTE,'"&amp;D224&amp;"' AS TABELA_LT,'N/A' AS TABELA_SIMUL,'"&amp;F224&amp;"' AS CAMPO, "&amp;"'${ref_date}' AS REF_DATE, COUNT(*) AS NUM_REG, SUM(IF(INSTR(CAST(X."&amp;F224&amp;" AS STRING),'#')&gt;0 OR INSTR(CAST(X."&amp;F224&amp;" AS STRING),'*')&gt;0 OR INSTR(CAST(X."&amp;F224&amp;" AS STRING),'`')&gt;0 OR INSTR(CAST(X."&amp;F224&amp;" AS STRING),'´')&gt;0 OR INSTR(CAST(X."&amp;F224&amp;" AS STRING),'{')&gt;0 OR INSTR(CAST(X."&amp;F224&amp;" AS STRING),'}')&gt;0 OR INSTR(CAST(X."&amp;F224&amp;" AS STRING),'[')&gt;0 OR INSTR(CAST(X."&amp;F224&amp;" AS STRING),'')&gt;0 OR INSTR(CAST(X."&amp;F224&amp;" AS STRING),']')&gt;0 OR INSTR(CAST(X."&amp;F224&amp;" AS STRING),'?')&gt;0 OR INSTR(CAST(X."&amp;F224&amp;" AS STRING),'!')&gt;0 OR INSTR(CAST(X."&amp;F224&amp;" AS STRING),'$')&gt;0 OR INSTR(CAST(X."&amp;F224&amp;" AS STRING),'%')&gt;0 OR INSTR(CAST(X."&amp;F224&amp;" AS STRING),'&amp;')&gt;0 OR INSTR(CAST(X."&amp;F224&amp;" AS STRING),'+')&gt;0,1,0)) AS NUM_REG_DIF,'"&amp;MAX('ID1&amp;5'!K:K)+1&amp;"' AS ID_EXEC, CURRENT_TIMESTAMP() AS TIME_EXEC FROM "&amp;I224,
IF(C224="Missings",+"SELECT '"&amp;UPPER(B224)&amp;"' AS TABELA, '"&amp;UPPER(C224)&amp;"' AS TIPOLOGIA_TESTE,'"&amp;D224&amp;"' AS TABELA_LT,'N/A' AS TABELA_SIMUL,'"&amp;F224&amp;"' AS CAMPO, "&amp;"'${ref_date}' AS REF_DATE, COUNT(*) AS NUM_REG, SUM(IF(TRIM(CAST(X."&amp;F224&amp;" AS STRING)) IN ('0000-00-00','0001-01-01','9999-12-31','MISS','00000','99999999999','99999999999.00','99999999999.000000'),1,0)) AS NUM_REG_DIF,'"&amp;MAX('ID1&amp;5'!K:K)+1&amp;"' AS ID_EXEC, CURRENT_TIMESTAMP() AS TIME_EXEC FROM "&amp;I224,
IF(C224="Not applicable",+"SELECT '"&amp;UPPER(B224)&amp;"' AS TABELA, '"&amp;UPPER(C224)&amp;"' AS TIPOLOGIA_TESTE,'"&amp;D224&amp;"' AS TABELA_LT,'N/A' AS TABELA_SIMUL,'"&amp;F224&amp;"' AS CAMPO, "&amp;"'${ref_date}' AS REF_DATE, COUNT(*) AS NUM_REG, SUM(IF(TRIM(CAST(X."&amp;F224&amp;" AS STRING)) IN ('N/A','11111111111','11111111111.00','11111111111.000000','1111-11-11'),1,0)) AS NUM_REG_DIF,'"&amp;MAX('ID1&amp;5'!K:K)+1&amp;"' AS ID_EXEC, CURRENT_TIMESTAMP() AS TIME_EXEC FROM "&amp;I224,
IF(C224="Valores extremos",+"SELECT '"&amp;UPPER(B224)&amp;"' AS TABELA, '"&amp;UPPER(C224)&amp;"' AS TIPOLOGIA_TESTE,'"&amp;D224&amp;"' AS TABELA_LT,'N/A' AS TABELA_SIMUL,'"&amp;F224&amp;"' AS CAMPO, "&amp;"'${ref_date}' AS REF_DATE, CAST(MIN("&amp;F224&amp;") AS STRING) AS VALOR_MIN, CAST(MAX("&amp;F224&amp;") AS STRING) AS VALOR_MAX,'"&amp;MAX('ID1&amp;5'!K:K)+1&amp;"' AS ID_EXEC, CURRENT_TIMESTAMP() AS TIME_EXEC FROM "&amp;MID(I224,1,LEN(I224)-2)&amp;" AND CAST("&amp;F224&amp;"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TABELA_SIMUL,'PURE_CAPEX_CCM' AS CAMPO, '${ref_date}' AS REF_DATE, COUNT(*) AS NUM_REG, SUM(IF(INSTR(CAST(X.PURE_CAPEX_CCM AS STRING),'#')&gt;0 OR INSTR(CAST(X.PURE_CAPEX_CCM AS STRING),'*')&gt;0 OR INSTR(CAST(X.PURE_CAPEX_CCM AS STRING),'`')&gt;0 OR INSTR(CAST(X.PURE_CAPEX_CCM AS STRING),'´')&gt;0 OR INSTR(CAST(X.PURE_CAPEX_CCM AS STRING),'{')&gt;0 OR INSTR(CAST(X.PURE_CAPEX_CCM AS STRING),'}')&gt;0 OR INSTR(CAST(X.PURE_CAPEX_CCM AS STRING),'[')&gt;0 OR INSTR(CAST(X.PURE_CAPEX_CCM AS STRING),'')&gt;0 OR INSTR(CAST(X.PURE_CAPEX_CCM AS STRING),']')&gt;0 OR INSTR(CAST(X.PURE_CAPEX_CCM AS STRING),'?')&gt;0 OR INSTR(CAST(X.PURE_CAPEX_CCM AS STRING),'!')&gt;0 OR INSTR(CAST(X.PURE_CAPEX_CCM AS STRING),'$')&gt;0 OR INSTR(CAST(X.PURE_CAPEX_CCM AS STRING),'%')&gt;0 OR INSTR(CAST(X.PURE_CAPEX_CCM AS STRING),'&amp;')&gt;0 OR INSTR(CAST(X.PURE_CAPEX_CCM AS STRING),'+')&gt;0,1,0)) AS NUM_REG_DIF,'10' AS ID_EXEC, CURRENT_TIMESTAMP() AS TIME_EXEC FROM (SELECT entty_id, PURE_CAPEX_CCM FROM BU_LOANTAPE_WORK.LT003_ENTITY WHERE ref_date='${ref_date}' AND nome_perimetro='Individual Corporativo' AND segmento='ESTR' AND ambito='PILAR3')X</v>
      </c>
      <c r="M224" s="43" t="str">
        <f t="shared" si="3"/>
        <v>UNION ALL SELECT 'ENTITY' AS TABELA, 'CARACTERES ESPECIAIS' AS TIPOLOGIA_TESTE,'BU_LOANTAPE_WORK.LT003_ENTITY' AS TABELA_LT,'N/A' AS TABELA_SIMUL,'PURE_CAPEX_CCM' AS CAMPO, '${ref_date}' AS REF_DATE, COUNT(*) AS NUM_REG, SUM(IF(INSTR(CAST(X.PURE_CAPEX_CCM AS STRING),'#')&gt;0 OR INSTR(CAST(X.PURE_CAPEX_CCM AS STRING),'*')&gt;0 OR INSTR(CAST(X.PURE_CAPEX_CCM AS STRING),'`')&gt;0 OR INSTR(CAST(X.PURE_CAPEX_CCM AS STRING),'´')&gt;0 OR INSTR(CAST(X.PURE_CAPEX_CCM AS STRING),'{')&gt;0 OR INSTR(CAST(X.PURE_CAPEX_CCM AS STRING),'}')&gt;0 OR INSTR(CAST(X.PURE_CAPEX_CCM AS STRING),'[')&gt;0 OR INSTR(CAST(X.PURE_CAPEX_CCM AS STRING),'')&gt;0 OR INSTR(CAST(X.PURE_CAPEX_CCM AS STRING),']')&gt;0 OR INSTR(CAST(X.PURE_CAPEX_CCM AS STRING),'?')&gt;0 OR INSTR(CAST(X.PURE_CAPEX_CCM AS STRING),'!')&gt;0 OR INSTR(CAST(X.PURE_CAPEX_CCM AS STRING),'$')&gt;0 OR INSTR(CAST(X.PURE_CAPEX_CCM AS STRING),'%')&gt;0 OR INSTR(CAST(X.PURE_CAPEX_CCM AS STRING),'&amp;')&gt;0 OR INSTR(CAST(X.PURE_CAPEX_CCM AS STRING),'+')&gt;0,1,0)) AS NUM_REG_DIF,'10' AS ID_EXEC, CURRENT_TIMESTAMP() AS TIME_EXEC FROM (SELECT entty_id, PURE_CAPEX_CCM FROM BU_LOANTAPE_WORK.LT003_ENTITY WHERE ref_date='${ref_date}' AND nome_perimetro='Individual Corporativo' AND segmento='ESTR' AND ambito='PILAR3')X</v>
      </c>
      <c r="N224" s="45" t="s">
        <v>13</v>
      </c>
    </row>
    <row r="225" spans="2:14">
      <c r="B225" s="41" t="s">
        <v>23</v>
      </c>
      <c r="C225" s="41" t="s">
        <v>76</v>
      </c>
      <c r="D225" s="41" t="str">
        <f>+UPPER('0. Instruções'!$D$33&amp;"."&amp;VLOOKUP(B225,'0. Instruções'!$C$27:$D$31,2,FALSE))</f>
        <v>BU_LOANTAPE_WORK.LT003_ENTITY</v>
      </c>
      <c r="E225" s="41" t="str">
        <f>+UPPER('0. Instruções'!$D$34&amp;"."&amp;VLOOKUP(B225,'0. Instruções'!$C$27:$E$31,3,FALSE))</f>
        <v>BU_LOANTAPE_WORK.LT003_ENTTY_P3_NOV24</v>
      </c>
      <c r="F225" s="41" t="s">
        <v>110</v>
      </c>
      <c r="G225" s="41" t="s">
        <v>210</v>
      </c>
      <c r="H225" s="41"/>
      <c r="I225" s="41" t="str">
        <f>"(SELECT "&amp;VLOOKUP(B225,'0. Instruções'!$C$27:$G$31,4,FALSE)&amp;", "&amp;F225&amp;" FROM "&amp;D225&amp;" WHERE "&amp;'0. Instruções'!$D$40&amp;")X"</f>
        <v>(SELECT entty_id, PURE_CAPEX_CCA FROM BU_LOANTAPE_WORK.LT003_ENTITY WHERE ref_date='${ref_date}' AND nome_perimetro='Individual Corporativo' AND segmento='ESTR' AND ambito='PILAR3')X</v>
      </c>
      <c r="J225" s="41" t="str">
        <f>"(SELECT "&amp;VLOOKUP(B225,'0. Instruções'!$C$27:$G$31,4,FALSE)&amp;" AS "&amp;VLOOKUP(B225,'0. Instruções'!$C$27:$G$31,4,FALSE)&amp;"_SIMUL, "&amp;F225&amp;" AS "&amp;F225&amp;"_SIMUL FROM "&amp;E225&amp;")Y"</f>
        <v>(SELECT entty_id AS entty_id_SIMUL, PURE_CAPEX_CCA AS PURE_CAPEX_CCA_SIMUL FROM BU_LOANTAPE_WORK.LT003_ENTTY_P3_NOV24)Y</v>
      </c>
      <c r="K225" s="42" t="str">
        <f>+UPPER("ON X."&amp;VLOOKUP(B225,'0. Instruções'!$C$27:$G$31,4,FALSE)&amp;"=Y."&amp;VLOOKUP(B225,'0. Instruções'!$C$27:$G$31,4,FALSE)&amp;"_SIMUL")</f>
        <v>ON X.ENTTY_ID=Y.ENTTY_ID_SIMUL</v>
      </c>
      <c r="L225" s="42" t="str">
        <f>+IF(C225="Coerência", +IF(LEFT(G225,5)="FLOAT","SELECT '"&amp;UPPER(B225)&amp;"' AS TABELA, '"&amp;UPPER(C225)&amp;"' AS TIPOLOGIA_TESTE,'"&amp;D225&amp;"' AS TABELA_LT,'"&amp;E225&amp;"' AS TABELA_SIMUL,'"&amp;F225&amp;"' AS CAMPO, "&amp;"'${ref_date}' AS REF_DATE, COUNT(*) AS NUM_REG, SUM(IF((ABS(COALESCE(X."&amp;F225&amp;",0)-COALESCE(Y."&amp;F225&amp;"_SIMUL,0))&gt;0.0000000001) OR (X."&amp;F225&amp;" IS NULL AND Y."&amp;F225&amp;"_SIMUL IS NOT NULL ) OR (X."&amp;F225&amp;" IS NOT NULL AND Y."&amp;F225&amp;"_SIMUL IS NULL),1,0)) AS NUM_REG_DIF,'"&amp;MAX('ID1&amp;5'!K:K)+1&amp;"' AS ID_EXEC, CURRENT_TIMESTAMP() AS TIME_EXEC FROM "&amp;I225&amp;" INNER JOIN "&amp;J225&amp;" "&amp;K225,"SELECT '"&amp;UPPER(B225)&amp;"' AS TABELA, '"&amp;UPPER(C225)&amp;"' AS TIPOLOGIA_TESTE,'"&amp;D225&amp;"' AS TABELA_LT,'"&amp;E225&amp;"' AS TABELA_SIMUL,'"&amp;F225&amp;"' AS CAMPO, "&amp;"'${ref_date}' AS REF_DATE, COUNT(*) AS NUM_REG, SUM(IF(COALESCE(CAST(X."&amp;F225&amp;" AS STRING),'')&lt;&gt;COALESCE(CAST(Y."&amp;F225&amp;"_SIMUL AS STRING),''),1,0)) AS NUM_REG_DIF,'"&amp;MAX('ID1&amp;5'!L:L)+1&amp;"' AS ID_EXEC, CURRENT_TIMESTAMP() AS TIME_EXEC FROM "&amp;I225&amp;" INNER JOIN "&amp;J225&amp;" "&amp;K225),
IF(C225="Validade",+IF(G225="Code List","SELECT '"&amp;UPPER(B225)&amp;"' AS TABELA, '"&amp;UPPER(C225)&amp;"' AS TIPOLOGIA_TESTE,'"&amp;D225&amp;"' AS TABELA_LT,'N/A' AS TABELA_SIMUL,'"&amp;F225&amp;"' AS CAMPO, "&amp;"'${ref_date}' AS REF_DATE, COUNT(*) AS NUM_REG, SUM(IF(TRIM(CAST(X."&amp;F225&amp;" AS STRING))='' OR TRIM(CAST(X."&amp;F225&amp;" AS STRING)) IS NULL OR CAST(X."&amp;F225&amp;" AS STRING) NOT "&amp;H225&amp;",1,0)) AS NUM_REG_DIF,'"&amp;MAX('ID1&amp;5'!K:K)+1&amp;"' AS ID_EXEC, CURRENT_TIMESTAMP() AS TIME_EXEC FROM "&amp;I225,"SELECT '"&amp;UPPER(B225)&amp;"' AS TABELA, '"&amp;UPPER(C225)&amp;"' AS TIPOLOGIA_TESTE,'"&amp;D225&amp;"' AS TABELA_LT,'N/A' AS TABELA_SIMUL,'"&amp;F225&amp;"' AS CAMPO, "&amp;"'${ref_date}' AS REF_DATE, COUNT(*) AS NUM_REG, SUM(IF(TRIM(CAST(X."&amp;F225&amp;" AS STRING))='' OR TRIM(CAST(X."&amp;F225&amp;" AS STRING)) IS NULL,1,0)) AS NUM_REG_DIF,'"&amp;MAX('ID1&amp;5'!K:K)+1&amp;"' AS ID_EXEC, CURRENT_TIMESTAMP() AS TIME_EXEC FROM "&amp;I225),
IF(C225="Caracteres Especiais",+"SELECT '"&amp;UPPER(B225)&amp;"' AS TABELA, '"&amp;UPPER(C225)&amp;"' AS TIPOLOGIA_TESTE,'"&amp;D225&amp;"' AS TABELA_LT,'N/A' AS TABELA_SIMUL,'"&amp;F225&amp;"' AS CAMPO, "&amp;"'${ref_date}' AS REF_DATE, COUNT(*) AS NUM_REG, SUM(IF(INSTR(CAST(X."&amp;F225&amp;" AS STRING),'#')&gt;0 OR INSTR(CAST(X."&amp;F225&amp;" AS STRING),'*')&gt;0 OR INSTR(CAST(X."&amp;F225&amp;" AS STRING),'`')&gt;0 OR INSTR(CAST(X."&amp;F225&amp;" AS STRING),'´')&gt;0 OR INSTR(CAST(X."&amp;F225&amp;" AS STRING),'{')&gt;0 OR INSTR(CAST(X."&amp;F225&amp;" AS STRING),'}')&gt;0 OR INSTR(CAST(X."&amp;F225&amp;" AS STRING),'[')&gt;0 OR INSTR(CAST(X."&amp;F225&amp;" AS STRING),'')&gt;0 OR INSTR(CAST(X."&amp;F225&amp;" AS STRING),']')&gt;0 OR INSTR(CAST(X."&amp;F225&amp;" AS STRING),'?')&gt;0 OR INSTR(CAST(X."&amp;F225&amp;" AS STRING),'!')&gt;0 OR INSTR(CAST(X."&amp;F225&amp;" AS STRING),'$')&gt;0 OR INSTR(CAST(X."&amp;F225&amp;" AS STRING),'%')&gt;0 OR INSTR(CAST(X."&amp;F225&amp;" AS STRING),'&amp;')&gt;0 OR INSTR(CAST(X."&amp;F225&amp;" AS STRING),'+')&gt;0,1,0)) AS NUM_REG_DIF,'"&amp;MAX('ID1&amp;5'!K:K)+1&amp;"' AS ID_EXEC, CURRENT_TIMESTAMP() AS TIME_EXEC FROM "&amp;I225,
IF(C225="Missings",+"SELECT '"&amp;UPPER(B225)&amp;"' AS TABELA, '"&amp;UPPER(C225)&amp;"' AS TIPOLOGIA_TESTE,'"&amp;D225&amp;"' AS TABELA_LT,'N/A' AS TABELA_SIMUL,'"&amp;F225&amp;"' AS CAMPO, "&amp;"'${ref_date}' AS REF_DATE, COUNT(*) AS NUM_REG, SUM(IF(TRIM(CAST(X."&amp;F225&amp;" AS STRING)) IN ('0000-00-00','0001-01-01','9999-12-31','MISS','00000','99999999999','99999999999.00','99999999999.000000'),1,0)) AS NUM_REG_DIF,'"&amp;MAX('ID1&amp;5'!K:K)+1&amp;"' AS ID_EXEC, CURRENT_TIMESTAMP() AS TIME_EXEC FROM "&amp;I225,
IF(C225="Not applicable",+"SELECT '"&amp;UPPER(B225)&amp;"' AS TABELA, '"&amp;UPPER(C225)&amp;"' AS TIPOLOGIA_TESTE,'"&amp;D225&amp;"' AS TABELA_LT,'N/A' AS TABELA_SIMUL,'"&amp;F225&amp;"' AS CAMPO, "&amp;"'${ref_date}' AS REF_DATE, COUNT(*) AS NUM_REG, SUM(IF(TRIM(CAST(X."&amp;F225&amp;" AS STRING)) IN ('N/A','11111111111','11111111111.00','11111111111.000000','1111-11-11'),1,0)) AS NUM_REG_DIF,'"&amp;MAX('ID1&amp;5'!K:K)+1&amp;"' AS ID_EXEC, CURRENT_TIMESTAMP() AS TIME_EXEC FROM "&amp;I225,
IF(C225="Valores extremos",+"SELECT '"&amp;UPPER(B225)&amp;"' AS TABELA, '"&amp;UPPER(C225)&amp;"' AS TIPOLOGIA_TESTE,'"&amp;D225&amp;"' AS TABELA_LT,'N/A' AS TABELA_SIMUL,'"&amp;F225&amp;"' AS CAMPO, "&amp;"'${ref_date}' AS REF_DATE, CAST(MIN("&amp;F225&amp;") AS STRING) AS VALOR_MIN, CAST(MAX("&amp;F225&amp;") AS STRING) AS VALOR_MAX,'"&amp;MAX('ID1&amp;5'!K:K)+1&amp;"' AS ID_EXEC, CURRENT_TIMESTAMP() AS TIME_EXEC FROM "&amp;MID(I225,1,LEN(I225)-2)&amp;" AND CAST("&amp;F225&amp;"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TABELA_SIMUL,'PURE_CAPEX_CCA' AS CAMPO, '${ref_date}' AS REF_DATE, COUNT(*) AS NUM_REG, SUM(IF(INSTR(CAST(X.PURE_CAPEX_CCA AS STRING),'#')&gt;0 OR INSTR(CAST(X.PURE_CAPEX_CCA AS STRING),'*')&gt;0 OR INSTR(CAST(X.PURE_CAPEX_CCA AS STRING),'`')&gt;0 OR INSTR(CAST(X.PURE_CAPEX_CCA AS STRING),'´')&gt;0 OR INSTR(CAST(X.PURE_CAPEX_CCA AS STRING),'{')&gt;0 OR INSTR(CAST(X.PURE_CAPEX_CCA AS STRING),'}')&gt;0 OR INSTR(CAST(X.PURE_CAPEX_CCA AS STRING),'[')&gt;0 OR INSTR(CAST(X.PURE_CAPEX_CCA AS STRING),'')&gt;0 OR INSTR(CAST(X.PURE_CAPEX_CCA AS STRING),']')&gt;0 OR INSTR(CAST(X.PURE_CAPEX_CCA AS STRING),'?')&gt;0 OR INSTR(CAST(X.PURE_CAPEX_CCA AS STRING),'!')&gt;0 OR INSTR(CAST(X.PURE_CAPEX_CCA AS STRING),'$')&gt;0 OR INSTR(CAST(X.PURE_CAPEX_CCA AS STRING),'%')&gt;0 OR INSTR(CAST(X.PURE_CAPEX_CCA AS STRING),'&amp;')&gt;0 OR INSTR(CAST(X.PURE_CAPEX_CCA AS STRING),'+')&gt;0,1,0)) AS NUM_REG_DIF,'10' AS ID_EXEC, CURRENT_TIMESTAMP() AS TIME_EXEC FROM (SELECT entty_id, PURE_CAPEX_CCA FROM BU_LOANTAPE_WORK.LT003_ENTITY WHERE ref_date='${ref_date}' AND nome_perimetro='Individual Corporativo' AND segmento='ESTR' AND ambito='PILAR3')X</v>
      </c>
      <c r="M225" s="43" t="str">
        <f t="shared" si="3"/>
        <v>UNION ALL SELECT 'ENTITY' AS TABELA, 'CARACTERES ESPECIAIS' AS TIPOLOGIA_TESTE,'BU_LOANTAPE_WORK.LT003_ENTITY' AS TABELA_LT,'N/A' AS TABELA_SIMUL,'PURE_CAPEX_CCA' AS CAMPO, '${ref_date}' AS REF_DATE, COUNT(*) AS NUM_REG, SUM(IF(INSTR(CAST(X.PURE_CAPEX_CCA AS STRING),'#')&gt;0 OR INSTR(CAST(X.PURE_CAPEX_CCA AS STRING),'*')&gt;0 OR INSTR(CAST(X.PURE_CAPEX_CCA AS STRING),'`')&gt;0 OR INSTR(CAST(X.PURE_CAPEX_CCA AS STRING),'´')&gt;0 OR INSTR(CAST(X.PURE_CAPEX_CCA AS STRING),'{')&gt;0 OR INSTR(CAST(X.PURE_CAPEX_CCA AS STRING),'}')&gt;0 OR INSTR(CAST(X.PURE_CAPEX_CCA AS STRING),'[')&gt;0 OR INSTR(CAST(X.PURE_CAPEX_CCA AS STRING),'')&gt;0 OR INSTR(CAST(X.PURE_CAPEX_CCA AS STRING),']')&gt;0 OR INSTR(CAST(X.PURE_CAPEX_CCA AS STRING),'?')&gt;0 OR INSTR(CAST(X.PURE_CAPEX_CCA AS STRING),'!')&gt;0 OR INSTR(CAST(X.PURE_CAPEX_CCA AS STRING),'$')&gt;0 OR INSTR(CAST(X.PURE_CAPEX_CCA AS STRING),'%')&gt;0 OR INSTR(CAST(X.PURE_CAPEX_CCA AS STRING),'&amp;')&gt;0 OR INSTR(CAST(X.PURE_CAPEX_CCA AS STRING),'+')&gt;0,1,0)) AS NUM_REG_DIF,'10' AS ID_EXEC, CURRENT_TIMESTAMP() AS TIME_EXEC FROM (SELECT entty_id, PURE_CAPEX_CCA FROM BU_LOANTAPE_WORK.LT003_ENTITY WHERE ref_date='${ref_date}' AND nome_perimetro='Individual Corporativo' AND segmento='ESTR' AND ambito='PILAR3')X</v>
      </c>
      <c r="N225" s="45" t="s">
        <v>13</v>
      </c>
    </row>
    <row r="226" spans="2:14">
      <c r="B226" s="41" t="s">
        <v>23</v>
      </c>
      <c r="C226" s="41" t="s">
        <v>76</v>
      </c>
      <c r="D226" s="41" t="str">
        <f>+UPPER('0. Instruções'!$D$33&amp;"."&amp;VLOOKUP(B226,'0. Instruções'!$C$27:$D$31,2,FALSE))</f>
        <v>BU_LOANTAPE_WORK.LT003_ENTITY</v>
      </c>
      <c r="E226" s="41" t="str">
        <f>+UPPER('0. Instruções'!$D$34&amp;"."&amp;VLOOKUP(B226,'0. Instruções'!$C$27:$E$31,3,FALSE))</f>
        <v>BU_LOANTAPE_WORK.LT003_ENTTY_P3_NOV24</v>
      </c>
      <c r="F226" s="41" t="s">
        <v>111</v>
      </c>
      <c r="G226" s="41" t="s">
        <v>210</v>
      </c>
      <c r="H226" s="41"/>
      <c r="I226" s="41" t="str">
        <f>"(SELECT "&amp;VLOOKUP(B226,'0. Instruções'!$C$27:$G$31,4,FALSE)&amp;", "&amp;F226&amp;" FROM "&amp;D226&amp;" WHERE "&amp;'0. Instruções'!$D$40&amp;")X"</f>
        <v>(SELECT entty_id, ENBLNG_TRNVR_CCM FROM BU_LOANTAPE_WORK.LT003_ENTITY WHERE ref_date='${ref_date}' AND nome_perimetro='Individual Corporativo' AND segmento='ESTR' AND ambito='PILAR3')X</v>
      </c>
      <c r="J226" s="41" t="str">
        <f>"(SELECT "&amp;VLOOKUP(B226,'0. Instruções'!$C$27:$G$31,4,FALSE)&amp;" AS "&amp;VLOOKUP(B226,'0. Instruções'!$C$27:$G$31,4,FALSE)&amp;"_SIMUL, "&amp;F226&amp;" AS "&amp;F226&amp;"_SIMUL FROM "&amp;E226&amp;")Y"</f>
        <v>(SELECT entty_id AS entty_id_SIMUL, ENBLNG_TRNVR_CCM AS ENBLNG_TRNVR_CCM_SIMUL FROM BU_LOANTAPE_WORK.LT003_ENTTY_P3_NOV24)Y</v>
      </c>
      <c r="K226" s="42" t="str">
        <f>+UPPER("ON X."&amp;VLOOKUP(B226,'0. Instruções'!$C$27:$G$31,4,FALSE)&amp;"=Y."&amp;VLOOKUP(B226,'0. Instruções'!$C$27:$G$31,4,FALSE)&amp;"_SIMUL")</f>
        <v>ON X.ENTTY_ID=Y.ENTTY_ID_SIMUL</v>
      </c>
      <c r="L226" s="42" t="str">
        <f>+IF(C226="Coerência", +IF(LEFT(G226,5)="FLOAT","SELECT '"&amp;UPPER(B226)&amp;"' AS TABELA, '"&amp;UPPER(C226)&amp;"' AS TIPOLOGIA_TESTE,'"&amp;D226&amp;"' AS TABELA_LT,'"&amp;E226&amp;"' AS TABELA_SIMUL,'"&amp;F226&amp;"' AS CAMPO, "&amp;"'${ref_date}' AS REF_DATE, COUNT(*) AS NUM_REG, SUM(IF((ABS(COALESCE(X."&amp;F226&amp;",0)-COALESCE(Y."&amp;F226&amp;"_SIMUL,0))&gt;0.0000000001) OR (X."&amp;F226&amp;" IS NULL AND Y."&amp;F226&amp;"_SIMUL IS NOT NULL ) OR (X."&amp;F226&amp;" IS NOT NULL AND Y."&amp;F226&amp;"_SIMUL IS NULL),1,0)) AS NUM_REG_DIF,'"&amp;MAX('ID1&amp;5'!K:K)+1&amp;"' AS ID_EXEC, CURRENT_TIMESTAMP() AS TIME_EXEC FROM "&amp;I226&amp;" INNER JOIN "&amp;J226&amp;" "&amp;K226,"SELECT '"&amp;UPPER(B226)&amp;"' AS TABELA, '"&amp;UPPER(C226)&amp;"' AS TIPOLOGIA_TESTE,'"&amp;D226&amp;"' AS TABELA_LT,'"&amp;E226&amp;"' AS TABELA_SIMUL,'"&amp;F226&amp;"' AS CAMPO, "&amp;"'${ref_date}' AS REF_DATE, COUNT(*) AS NUM_REG, SUM(IF(COALESCE(CAST(X."&amp;F226&amp;" AS STRING),'')&lt;&gt;COALESCE(CAST(Y."&amp;F226&amp;"_SIMUL AS STRING),''),1,0)) AS NUM_REG_DIF,'"&amp;MAX('ID1&amp;5'!L:L)+1&amp;"' AS ID_EXEC, CURRENT_TIMESTAMP() AS TIME_EXEC FROM "&amp;I226&amp;" INNER JOIN "&amp;J226&amp;" "&amp;K226),
IF(C226="Validade",+IF(G226="Code List","SELECT '"&amp;UPPER(B226)&amp;"' AS TABELA, '"&amp;UPPER(C226)&amp;"' AS TIPOLOGIA_TESTE,'"&amp;D226&amp;"' AS TABELA_LT,'N/A' AS TABELA_SIMUL,'"&amp;F226&amp;"' AS CAMPO, "&amp;"'${ref_date}' AS REF_DATE, COUNT(*) AS NUM_REG, SUM(IF(TRIM(CAST(X."&amp;F226&amp;" AS STRING))='' OR TRIM(CAST(X."&amp;F226&amp;" AS STRING)) IS NULL OR CAST(X."&amp;F226&amp;" AS STRING) NOT "&amp;H226&amp;",1,0)) AS NUM_REG_DIF,'"&amp;MAX('ID1&amp;5'!K:K)+1&amp;"' AS ID_EXEC, CURRENT_TIMESTAMP() AS TIME_EXEC FROM "&amp;I226,"SELECT '"&amp;UPPER(B226)&amp;"' AS TABELA, '"&amp;UPPER(C226)&amp;"' AS TIPOLOGIA_TESTE,'"&amp;D226&amp;"' AS TABELA_LT,'N/A' AS TABELA_SIMUL,'"&amp;F226&amp;"' AS CAMPO, "&amp;"'${ref_date}' AS REF_DATE, COUNT(*) AS NUM_REG, SUM(IF(TRIM(CAST(X."&amp;F226&amp;" AS STRING))='' OR TRIM(CAST(X."&amp;F226&amp;" AS STRING)) IS NULL,1,0)) AS NUM_REG_DIF,'"&amp;MAX('ID1&amp;5'!K:K)+1&amp;"' AS ID_EXEC, CURRENT_TIMESTAMP() AS TIME_EXEC FROM "&amp;I226),
IF(C226="Caracteres Especiais",+"SELECT '"&amp;UPPER(B226)&amp;"' AS TABELA, '"&amp;UPPER(C226)&amp;"' AS TIPOLOGIA_TESTE,'"&amp;D226&amp;"' AS TABELA_LT,'N/A' AS TABELA_SIMUL,'"&amp;F226&amp;"' AS CAMPO, "&amp;"'${ref_date}' AS REF_DATE, COUNT(*) AS NUM_REG, SUM(IF(INSTR(CAST(X."&amp;F226&amp;" AS STRING),'#')&gt;0 OR INSTR(CAST(X."&amp;F226&amp;" AS STRING),'*')&gt;0 OR INSTR(CAST(X."&amp;F226&amp;" AS STRING),'`')&gt;0 OR INSTR(CAST(X."&amp;F226&amp;" AS STRING),'´')&gt;0 OR INSTR(CAST(X."&amp;F226&amp;" AS STRING),'{')&gt;0 OR INSTR(CAST(X."&amp;F226&amp;" AS STRING),'}')&gt;0 OR INSTR(CAST(X."&amp;F226&amp;" AS STRING),'[')&gt;0 OR INSTR(CAST(X."&amp;F226&amp;" AS STRING),'')&gt;0 OR INSTR(CAST(X."&amp;F226&amp;" AS STRING),']')&gt;0 OR INSTR(CAST(X."&amp;F226&amp;" AS STRING),'?')&gt;0 OR INSTR(CAST(X."&amp;F226&amp;" AS STRING),'!')&gt;0 OR INSTR(CAST(X."&amp;F226&amp;" AS STRING),'$')&gt;0 OR INSTR(CAST(X."&amp;F226&amp;" AS STRING),'%')&gt;0 OR INSTR(CAST(X."&amp;F226&amp;" AS STRING),'&amp;')&gt;0 OR INSTR(CAST(X."&amp;F226&amp;" AS STRING),'+')&gt;0,1,0)) AS NUM_REG_DIF,'"&amp;MAX('ID1&amp;5'!K:K)+1&amp;"' AS ID_EXEC, CURRENT_TIMESTAMP() AS TIME_EXEC FROM "&amp;I226,
IF(C226="Missings",+"SELECT '"&amp;UPPER(B226)&amp;"' AS TABELA, '"&amp;UPPER(C226)&amp;"' AS TIPOLOGIA_TESTE,'"&amp;D226&amp;"' AS TABELA_LT,'N/A' AS TABELA_SIMUL,'"&amp;F226&amp;"' AS CAMPO, "&amp;"'${ref_date}' AS REF_DATE, COUNT(*) AS NUM_REG, SUM(IF(TRIM(CAST(X."&amp;F226&amp;" AS STRING)) IN ('0000-00-00','0001-01-01','9999-12-31','MISS','00000','99999999999','99999999999.00','99999999999.000000'),1,0)) AS NUM_REG_DIF,'"&amp;MAX('ID1&amp;5'!K:K)+1&amp;"' AS ID_EXEC, CURRENT_TIMESTAMP() AS TIME_EXEC FROM "&amp;I226,
IF(C226="Not applicable",+"SELECT '"&amp;UPPER(B226)&amp;"' AS TABELA, '"&amp;UPPER(C226)&amp;"' AS TIPOLOGIA_TESTE,'"&amp;D226&amp;"' AS TABELA_LT,'N/A' AS TABELA_SIMUL,'"&amp;F226&amp;"' AS CAMPO, "&amp;"'${ref_date}' AS REF_DATE, COUNT(*) AS NUM_REG, SUM(IF(TRIM(CAST(X."&amp;F226&amp;" AS STRING)) IN ('N/A','11111111111','11111111111.00','11111111111.000000','1111-11-11'),1,0)) AS NUM_REG_DIF,'"&amp;MAX('ID1&amp;5'!K:K)+1&amp;"' AS ID_EXEC, CURRENT_TIMESTAMP() AS TIME_EXEC FROM "&amp;I226,
IF(C226="Valores extremos",+"SELECT '"&amp;UPPER(B226)&amp;"' AS TABELA, '"&amp;UPPER(C226)&amp;"' AS TIPOLOGIA_TESTE,'"&amp;D226&amp;"' AS TABELA_LT,'N/A' AS TABELA_SIMUL,'"&amp;F226&amp;"' AS CAMPO, "&amp;"'${ref_date}' AS REF_DATE, CAST(MIN("&amp;F226&amp;") AS STRING) AS VALOR_MIN, CAST(MAX("&amp;F226&amp;") AS STRING) AS VALOR_MAX,'"&amp;MAX('ID1&amp;5'!K:K)+1&amp;"' AS ID_EXEC, CURRENT_TIMESTAMP() AS TIME_EXEC FROM "&amp;MID(I226,1,LEN(I226)-2)&amp;" AND CAST("&amp;F226&amp;"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TABELA_SIMUL,'ENBLNG_TRNVR_CCM' AS CAMPO, '${ref_date}' AS REF_DATE, COUNT(*) AS NUM_REG, SUM(IF(INSTR(CAST(X.ENBLNG_TRNVR_CCM AS STRING),'#')&gt;0 OR INSTR(CAST(X.ENBLNG_TRNVR_CCM AS STRING),'*')&gt;0 OR INSTR(CAST(X.ENBLNG_TRNVR_CCM AS STRING),'`')&gt;0 OR INSTR(CAST(X.ENBLNG_TRNVR_CCM AS STRING),'´')&gt;0 OR INSTR(CAST(X.ENBLNG_TRNVR_CCM AS STRING),'{')&gt;0 OR INSTR(CAST(X.ENBLNG_TRNVR_CCM AS STRING),'}')&gt;0 OR INSTR(CAST(X.ENBLNG_TRNVR_CCM AS STRING),'[')&gt;0 OR INSTR(CAST(X.ENBLNG_TRNVR_CCM AS STRING),'')&gt;0 OR INSTR(CAST(X.ENBLNG_TRNVR_CCM AS STRING),']')&gt;0 OR INSTR(CAST(X.ENBLNG_TRNVR_CCM AS STRING),'?')&gt;0 OR INSTR(CAST(X.ENBLNG_TRNVR_CCM AS STRING),'!')&gt;0 OR INSTR(CAST(X.ENBLNG_TRNVR_CCM AS STRING),'$')&gt;0 OR INSTR(CAST(X.ENBLNG_TRNVR_CCM AS STRING),'%')&gt;0 OR INSTR(CAST(X.ENBLNG_TRNVR_CCM AS STRING),'&amp;')&gt;0 OR INSTR(CAST(X.ENBLNG_TRNVR_CCM AS STRING),'+')&gt;0,1,0)) AS NUM_REG_DIF,'10' AS ID_EXEC, CURRENT_TIMESTAMP() AS TIME_EXEC FROM (SELECT entty_id, ENBLNG_TRNVR_CCM FROM BU_LOANTAPE_WORK.LT003_ENTITY WHERE ref_date='${ref_date}' AND nome_perimetro='Individual Corporativo' AND segmento='ESTR' AND ambito='PILAR3')X</v>
      </c>
      <c r="M226" s="43" t="str">
        <f t="shared" si="3"/>
        <v>UNION ALL SELECT 'ENTITY' AS TABELA, 'CARACTERES ESPECIAIS' AS TIPOLOGIA_TESTE,'BU_LOANTAPE_WORK.LT003_ENTITY' AS TABELA_LT,'N/A' AS TABELA_SIMUL,'ENBLNG_TRNVR_CCM' AS CAMPO, '${ref_date}' AS REF_DATE, COUNT(*) AS NUM_REG, SUM(IF(INSTR(CAST(X.ENBLNG_TRNVR_CCM AS STRING),'#')&gt;0 OR INSTR(CAST(X.ENBLNG_TRNVR_CCM AS STRING),'*')&gt;0 OR INSTR(CAST(X.ENBLNG_TRNVR_CCM AS STRING),'`')&gt;0 OR INSTR(CAST(X.ENBLNG_TRNVR_CCM AS STRING),'´')&gt;0 OR INSTR(CAST(X.ENBLNG_TRNVR_CCM AS STRING),'{')&gt;0 OR INSTR(CAST(X.ENBLNG_TRNVR_CCM AS STRING),'}')&gt;0 OR INSTR(CAST(X.ENBLNG_TRNVR_CCM AS STRING),'[')&gt;0 OR INSTR(CAST(X.ENBLNG_TRNVR_CCM AS STRING),'')&gt;0 OR INSTR(CAST(X.ENBLNG_TRNVR_CCM AS STRING),']')&gt;0 OR INSTR(CAST(X.ENBLNG_TRNVR_CCM AS STRING),'?')&gt;0 OR INSTR(CAST(X.ENBLNG_TRNVR_CCM AS STRING),'!')&gt;0 OR INSTR(CAST(X.ENBLNG_TRNVR_CCM AS STRING),'$')&gt;0 OR INSTR(CAST(X.ENBLNG_TRNVR_CCM AS STRING),'%')&gt;0 OR INSTR(CAST(X.ENBLNG_TRNVR_CCM AS STRING),'&amp;')&gt;0 OR INSTR(CAST(X.ENBLNG_TRNVR_CCM AS STRING),'+')&gt;0,1,0)) AS NUM_REG_DIF,'10' AS ID_EXEC, CURRENT_TIMESTAMP() AS TIME_EXEC FROM (SELECT entty_id, ENBLNG_TRNVR_CCM FROM BU_LOANTAPE_WORK.LT003_ENTITY WHERE ref_date='${ref_date}' AND nome_perimetro='Individual Corporativo' AND segmento='ESTR' AND ambito='PILAR3')X</v>
      </c>
      <c r="N226" s="45" t="s">
        <v>13</v>
      </c>
    </row>
    <row r="227" spans="2:14">
      <c r="B227" s="41" t="s">
        <v>23</v>
      </c>
      <c r="C227" s="41" t="s">
        <v>76</v>
      </c>
      <c r="D227" s="41" t="str">
        <f>+UPPER('0. Instruções'!$D$33&amp;"."&amp;VLOOKUP(B227,'0. Instruções'!$C$27:$D$31,2,FALSE))</f>
        <v>BU_LOANTAPE_WORK.LT003_ENTITY</v>
      </c>
      <c r="E227" s="41" t="str">
        <f>+UPPER('0. Instruções'!$D$34&amp;"."&amp;VLOOKUP(B227,'0. Instruções'!$C$27:$E$31,3,FALSE))</f>
        <v>BU_LOANTAPE_WORK.LT003_ENTTY_P3_NOV24</v>
      </c>
      <c r="F227" s="41" t="s">
        <v>112</v>
      </c>
      <c r="G227" s="41" t="s">
        <v>210</v>
      </c>
      <c r="H227" s="41"/>
      <c r="I227" s="41" t="str">
        <f>"(SELECT "&amp;VLOOKUP(B227,'0. Instruções'!$C$27:$G$31,4,FALSE)&amp;", "&amp;F227&amp;" FROM "&amp;D227&amp;" WHERE "&amp;'0. Instruções'!$D$40&amp;")X"</f>
        <v>(SELECT entty_id, ENBLNG_TRNVR_CCA FROM BU_LOANTAPE_WORK.LT003_ENTITY WHERE ref_date='${ref_date}' AND nome_perimetro='Individual Corporativo' AND segmento='ESTR' AND ambito='PILAR3')X</v>
      </c>
      <c r="J227" s="41" t="str">
        <f>"(SELECT "&amp;VLOOKUP(B227,'0. Instruções'!$C$27:$G$31,4,FALSE)&amp;" AS "&amp;VLOOKUP(B227,'0. Instruções'!$C$27:$G$31,4,FALSE)&amp;"_SIMUL, "&amp;F227&amp;" AS "&amp;F227&amp;"_SIMUL FROM "&amp;E227&amp;")Y"</f>
        <v>(SELECT entty_id AS entty_id_SIMUL, ENBLNG_TRNVR_CCA AS ENBLNG_TRNVR_CCA_SIMUL FROM BU_LOANTAPE_WORK.LT003_ENTTY_P3_NOV24)Y</v>
      </c>
      <c r="K227" s="42" t="str">
        <f>+UPPER("ON X."&amp;VLOOKUP(B227,'0. Instruções'!$C$27:$G$31,4,FALSE)&amp;"=Y."&amp;VLOOKUP(B227,'0. Instruções'!$C$27:$G$31,4,FALSE)&amp;"_SIMUL")</f>
        <v>ON X.ENTTY_ID=Y.ENTTY_ID_SIMUL</v>
      </c>
      <c r="L227" s="42" t="str">
        <f>+IF(C227="Coerência", +IF(LEFT(G227,5)="FLOAT","SELECT '"&amp;UPPER(B227)&amp;"' AS TABELA, '"&amp;UPPER(C227)&amp;"' AS TIPOLOGIA_TESTE,'"&amp;D227&amp;"' AS TABELA_LT,'"&amp;E227&amp;"' AS TABELA_SIMUL,'"&amp;F227&amp;"' AS CAMPO, "&amp;"'${ref_date}' AS REF_DATE, COUNT(*) AS NUM_REG, SUM(IF((ABS(COALESCE(X."&amp;F227&amp;",0)-COALESCE(Y."&amp;F227&amp;"_SIMUL,0))&gt;0.0000000001) OR (X."&amp;F227&amp;" IS NULL AND Y."&amp;F227&amp;"_SIMUL IS NOT NULL ) OR (X."&amp;F227&amp;" IS NOT NULL AND Y."&amp;F227&amp;"_SIMUL IS NULL),1,0)) AS NUM_REG_DIF,'"&amp;MAX('ID1&amp;5'!K:K)+1&amp;"' AS ID_EXEC, CURRENT_TIMESTAMP() AS TIME_EXEC FROM "&amp;I227&amp;" INNER JOIN "&amp;J227&amp;" "&amp;K227,"SELECT '"&amp;UPPER(B227)&amp;"' AS TABELA, '"&amp;UPPER(C227)&amp;"' AS TIPOLOGIA_TESTE,'"&amp;D227&amp;"' AS TABELA_LT,'"&amp;E227&amp;"' AS TABELA_SIMUL,'"&amp;F227&amp;"' AS CAMPO, "&amp;"'${ref_date}' AS REF_DATE, COUNT(*) AS NUM_REG, SUM(IF(COALESCE(CAST(X."&amp;F227&amp;" AS STRING),'')&lt;&gt;COALESCE(CAST(Y."&amp;F227&amp;"_SIMUL AS STRING),''),1,0)) AS NUM_REG_DIF,'"&amp;MAX('ID1&amp;5'!L:L)+1&amp;"' AS ID_EXEC, CURRENT_TIMESTAMP() AS TIME_EXEC FROM "&amp;I227&amp;" INNER JOIN "&amp;J227&amp;" "&amp;K227),
IF(C227="Validade",+IF(G227="Code List","SELECT '"&amp;UPPER(B227)&amp;"' AS TABELA, '"&amp;UPPER(C227)&amp;"' AS TIPOLOGIA_TESTE,'"&amp;D227&amp;"' AS TABELA_LT,'N/A' AS TABELA_SIMUL,'"&amp;F227&amp;"' AS CAMPO, "&amp;"'${ref_date}' AS REF_DATE, COUNT(*) AS NUM_REG, SUM(IF(TRIM(CAST(X."&amp;F227&amp;" AS STRING))='' OR TRIM(CAST(X."&amp;F227&amp;" AS STRING)) IS NULL OR CAST(X."&amp;F227&amp;" AS STRING) NOT "&amp;H227&amp;",1,0)) AS NUM_REG_DIF,'"&amp;MAX('ID1&amp;5'!K:K)+1&amp;"' AS ID_EXEC, CURRENT_TIMESTAMP() AS TIME_EXEC FROM "&amp;I227,"SELECT '"&amp;UPPER(B227)&amp;"' AS TABELA, '"&amp;UPPER(C227)&amp;"' AS TIPOLOGIA_TESTE,'"&amp;D227&amp;"' AS TABELA_LT,'N/A' AS TABELA_SIMUL,'"&amp;F227&amp;"' AS CAMPO, "&amp;"'${ref_date}' AS REF_DATE, COUNT(*) AS NUM_REG, SUM(IF(TRIM(CAST(X."&amp;F227&amp;" AS STRING))='' OR TRIM(CAST(X."&amp;F227&amp;" AS STRING)) IS NULL,1,0)) AS NUM_REG_DIF,'"&amp;MAX('ID1&amp;5'!K:K)+1&amp;"' AS ID_EXEC, CURRENT_TIMESTAMP() AS TIME_EXEC FROM "&amp;I227),
IF(C227="Caracteres Especiais",+"SELECT '"&amp;UPPER(B227)&amp;"' AS TABELA, '"&amp;UPPER(C227)&amp;"' AS TIPOLOGIA_TESTE,'"&amp;D227&amp;"' AS TABELA_LT,'N/A' AS TABELA_SIMUL,'"&amp;F227&amp;"' AS CAMPO, "&amp;"'${ref_date}' AS REF_DATE, COUNT(*) AS NUM_REG, SUM(IF(INSTR(CAST(X."&amp;F227&amp;" AS STRING),'#')&gt;0 OR INSTR(CAST(X."&amp;F227&amp;" AS STRING),'*')&gt;0 OR INSTR(CAST(X."&amp;F227&amp;" AS STRING),'`')&gt;0 OR INSTR(CAST(X."&amp;F227&amp;" AS STRING),'´')&gt;0 OR INSTR(CAST(X."&amp;F227&amp;" AS STRING),'{')&gt;0 OR INSTR(CAST(X."&amp;F227&amp;" AS STRING),'}')&gt;0 OR INSTR(CAST(X."&amp;F227&amp;" AS STRING),'[')&gt;0 OR INSTR(CAST(X."&amp;F227&amp;" AS STRING),'')&gt;0 OR INSTR(CAST(X."&amp;F227&amp;" AS STRING),']')&gt;0 OR INSTR(CAST(X."&amp;F227&amp;" AS STRING),'?')&gt;0 OR INSTR(CAST(X."&amp;F227&amp;" AS STRING),'!')&gt;0 OR INSTR(CAST(X."&amp;F227&amp;" AS STRING),'$')&gt;0 OR INSTR(CAST(X."&amp;F227&amp;" AS STRING),'%')&gt;0 OR INSTR(CAST(X."&amp;F227&amp;" AS STRING),'&amp;')&gt;0 OR INSTR(CAST(X."&amp;F227&amp;" AS STRING),'+')&gt;0,1,0)) AS NUM_REG_DIF,'"&amp;MAX('ID1&amp;5'!K:K)+1&amp;"' AS ID_EXEC, CURRENT_TIMESTAMP() AS TIME_EXEC FROM "&amp;I227,
IF(C227="Missings",+"SELECT '"&amp;UPPER(B227)&amp;"' AS TABELA, '"&amp;UPPER(C227)&amp;"' AS TIPOLOGIA_TESTE,'"&amp;D227&amp;"' AS TABELA_LT,'N/A' AS TABELA_SIMUL,'"&amp;F227&amp;"' AS CAMPO, "&amp;"'${ref_date}' AS REF_DATE, COUNT(*) AS NUM_REG, SUM(IF(TRIM(CAST(X."&amp;F227&amp;" AS STRING)) IN ('0000-00-00','0001-01-01','9999-12-31','MISS','00000','99999999999','99999999999.00','99999999999.000000'),1,0)) AS NUM_REG_DIF,'"&amp;MAX('ID1&amp;5'!K:K)+1&amp;"' AS ID_EXEC, CURRENT_TIMESTAMP() AS TIME_EXEC FROM "&amp;I227,
IF(C227="Not applicable",+"SELECT '"&amp;UPPER(B227)&amp;"' AS TABELA, '"&amp;UPPER(C227)&amp;"' AS TIPOLOGIA_TESTE,'"&amp;D227&amp;"' AS TABELA_LT,'N/A' AS TABELA_SIMUL,'"&amp;F227&amp;"' AS CAMPO, "&amp;"'${ref_date}' AS REF_DATE, COUNT(*) AS NUM_REG, SUM(IF(TRIM(CAST(X."&amp;F227&amp;" AS STRING)) IN ('N/A','11111111111','11111111111.00','11111111111.000000','1111-11-11'),1,0)) AS NUM_REG_DIF,'"&amp;MAX('ID1&amp;5'!K:K)+1&amp;"' AS ID_EXEC, CURRENT_TIMESTAMP() AS TIME_EXEC FROM "&amp;I227,
IF(C227="Valores extremos",+"SELECT '"&amp;UPPER(B227)&amp;"' AS TABELA, '"&amp;UPPER(C227)&amp;"' AS TIPOLOGIA_TESTE,'"&amp;D227&amp;"' AS TABELA_LT,'N/A' AS TABELA_SIMUL,'"&amp;F227&amp;"' AS CAMPO, "&amp;"'${ref_date}' AS REF_DATE, CAST(MIN("&amp;F227&amp;") AS STRING) AS VALOR_MIN, CAST(MAX("&amp;F227&amp;") AS STRING) AS VALOR_MAX,'"&amp;MAX('ID1&amp;5'!K:K)+1&amp;"' AS ID_EXEC, CURRENT_TIMESTAMP() AS TIME_EXEC FROM "&amp;MID(I227,1,LEN(I227)-2)&amp;" AND CAST("&amp;F227&amp;"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TABELA_SIMUL,'ENBLNG_TRNVR_CCA' AS CAMPO, '${ref_date}' AS REF_DATE, COUNT(*) AS NUM_REG, SUM(IF(INSTR(CAST(X.ENBLNG_TRNVR_CCA AS STRING),'#')&gt;0 OR INSTR(CAST(X.ENBLNG_TRNVR_CCA AS STRING),'*')&gt;0 OR INSTR(CAST(X.ENBLNG_TRNVR_CCA AS STRING),'`')&gt;0 OR INSTR(CAST(X.ENBLNG_TRNVR_CCA AS STRING),'´')&gt;0 OR INSTR(CAST(X.ENBLNG_TRNVR_CCA AS STRING),'{')&gt;0 OR INSTR(CAST(X.ENBLNG_TRNVR_CCA AS STRING),'}')&gt;0 OR INSTR(CAST(X.ENBLNG_TRNVR_CCA AS STRING),'[')&gt;0 OR INSTR(CAST(X.ENBLNG_TRNVR_CCA AS STRING),'')&gt;0 OR INSTR(CAST(X.ENBLNG_TRNVR_CCA AS STRING),']')&gt;0 OR INSTR(CAST(X.ENBLNG_TRNVR_CCA AS STRING),'?')&gt;0 OR INSTR(CAST(X.ENBLNG_TRNVR_CCA AS STRING),'!')&gt;0 OR INSTR(CAST(X.ENBLNG_TRNVR_CCA AS STRING),'$')&gt;0 OR INSTR(CAST(X.ENBLNG_TRNVR_CCA AS STRING),'%')&gt;0 OR INSTR(CAST(X.ENBLNG_TRNVR_CCA AS STRING),'&amp;')&gt;0 OR INSTR(CAST(X.ENBLNG_TRNVR_CCA AS STRING),'+')&gt;0,1,0)) AS NUM_REG_DIF,'10' AS ID_EXEC, CURRENT_TIMESTAMP() AS TIME_EXEC FROM (SELECT entty_id, ENBLNG_TRNVR_CCA FROM BU_LOANTAPE_WORK.LT003_ENTITY WHERE ref_date='${ref_date}' AND nome_perimetro='Individual Corporativo' AND segmento='ESTR' AND ambito='PILAR3')X</v>
      </c>
      <c r="M227" s="43" t="str">
        <f t="shared" si="3"/>
        <v>UNION ALL SELECT 'ENTITY' AS TABELA, 'CARACTERES ESPECIAIS' AS TIPOLOGIA_TESTE,'BU_LOANTAPE_WORK.LT003_ENTITY' AS TABELA_LT,'N/A' AS TABELA_SIMUL,'ENBLNG_TRNVR_CCA' AS CAMPO, '${ref_date}' AS REF_DATE, COUNT(*) AS NUM_REG, SUM(IF(INSTR(CAST(X.ENBLNG_TRNVR_CCA AS STRING),'#')&gt;0 OR INSTR(CAST(X.ENBLNG_TRNVR_CCA AS STRING),'*')&gt;0 OR INSTR(CAST(X.ENBLNG_TRNVR_CCA AS STRING),'`')&gt;0 OR INSTR(CAST(X.ENBLNG_TRNVR_CCA AS STRING),'´')&gt;0 OR INSTR(CAST(X.ENBLNG_TRNVR_CCA AS STRING),'{')&gt;0 OR INSTR(CAST(X.ENBLNG_TRNVR_CCA AS STRING),'}')&gt;0 OR INSTR(CAST(X.ENBLNG_TRNVR_CCA AS STRING),'[')&gt;0 OR INSTR(CAST(X.ENBLNG_TRNVR_CCA AS STRING),'')&gt;0 OR INSTR(CAST(X.ENBLNG_TRNVR_CCA AS STRING),']')&gt;0 OR INSTR(CAST(X.ENBLNG_TRNVR_CCA AS STRING),'?')&gt;0 OR INSTR(CAST(X.ENBLNG_TRNVR_CCA AS STRING),'!')&gt;0 OR INSTR(CAST(X.ENBLNG_TRNVR_CCA AS STRING),'$')&gt;0 OR INSTR(CAST(X.ENBLNG_TRNVR_CCA AS STRING),'%')&gt;0 OR INSTR(CAST(X.ENBLNG_TRNVR_CCA AS STRING),'&amp;')&gt;0 OR INSTR(CAST(X.ENBLNG_TRNVR_CCA AS STRING),'+')&gt;0,1,0)) AS NUM_REG_DIF,'10' AS ID_EXEC, CURRENT_TIMESTAMP() AS TIME_EXEC FROM (SELECT entty_id, ENBLNG_TRNVR_CCA FROM BU_LOANTAPE_WORK.LT003_ENTITY WHERE ref_date='${ref_date}' AND nome_perimetro='Individual Corporativo' AND segmento='ESTR' AND ambito='PILAR3')X</v>
      </c>
      <c r="N227" s="45" t="s">
        <v>13</v>
      </c>
    </row>
    <row r="228" spans="2:14">
      <c r="B228" s="41" t="s">
        <v>23</v>
      </c>
      <c r="C228" s="41" t="s">
        <v>76</v>
      </c>
      <c r="D228" s="41" t="str">
        <f>+UPPER('0. Instruções'!$D$33&amp;"."&amp;VLOOKUP(B228,'0. Instruções'!$C$27:$D$31,2,FALSE))</f>
        <v>BU_LOANTAPE_WORK.LT003_ENTITY</v>
      </c>
      <c r="E228" s="41" t="str">
        <f>+UPPER('0. Instruções'!$D$34&amp;"."&amp;VLOOKUP(B228,'0. Instruções'!$C$27:$E$31,3,FALSE))</f>
        <v>BU_LOANTAPE_WORK.LT003_ENTTY_P3_NOV24</v>
      </c>
      <c r="F228" s="41" t="s">
        <v>113</v>
      </c>
      <c r="G228" s="41" t="s">
        <v>210</v>
      </c>
      <c r="H228" s="41"/>
      <c r="I228" s="41" t="str">
        <f>"(SELECT "&amp;VLOOKUP(B228,'0. Instruções'!$C$27:$G$31,4,FALSE)&amp;", "&amp;F228&amp;" FROM "&amp;D228&amp;" WHERE "&amp;'0. Instruções'!$D$40&amp;")X"</f>
        <v>(SELECT entty_id, TRNSTNL_TRNVR FROM BU_LOANTAPE_WORK.LT003_ENTITY WHERE ref_date='${ref_date}' AND nome_perimetro='Individual Corporativo' AND segmento='ESTR' AND ambito='PILAR3')X</v>
      </c>
      <c r="J228" s="41" t="str">
        <f>"(SELECT "&amp;VLOOKUP(B228,'0. Instruções'!$C$27:$G$31,4,FALSE)&amp;" AS "&amp;VLOOKUP(B228,'0. Instruções'!$C$27:$G$31,4,FALSE)&amp;"_SIMUL, "&amp;F228&amp;" AS "&amp;F228&amp;"_SIMUL FROM "&amp;E228&amp;")Y"</f>
        <v>(SELECT entty_id AS entty_id_SIMUL, TRNSTNL_TRNVR AS TRNSTNL_TRNVR_SIMUL FROM BU_LOANTAPE_WORK.LT003_ENTTY_P3_NOV24)Y</v>
      </c>
      <c r="K228" s="42" t="str">
        <f>+UPPER("ON X."&amp;VLOOKUP(B228,'0. Instruções'!$C$27:$G$31,4,FALSE)&amp;"=Y."&amp;VLOOKUP(B228,'0. Instruções'!$C$27:$G$31,4,FALSE)&amp;"_SIMUL")</f>
        <v>ON X.ENTTY_ID=Y.ENTTY_ID_SIMUL</v>
      </c>
      <c r="L228" s="42" t="str">
        <f>+IF(C228="Coerência", +IF(LEFT(G228,5)="FLOAT","SELECT '"&amp;UPPER(B228)&amp;"' AS TABELA, '"&amp;UPPER(C228)&amp;"' AS TIPOLOGIA_TESTE,'"&amp;D228&amp;"' AS TABELA_LT,'"&amp;E228&amp;"' AS TABELA_SIMUL,'"&amp;F228&amp;"' AS CAMPO, "&amp;"'${ref_date}' AS REF_DATE, COUNT(*) AS NUM_REG, SUM(IF((ABS(COALESCE(X."&amp;F228&amp;",0)-COALESCE(Y."&amp;F228&amp;"_SIMUL,0))&gt;0.0000000001) OR (X."&amp;F228&amp;" IS NULL AND Y."&amp;F228&amp;"_SIMUL IS NOT NULL ) OR (X."&amp;F228&amp;" IS NOT NULL AND Y."&amp;F228&amp;"_SIMUL IS NULL),1,0)) AS NUM_REG_DIF,'"&amp;MAX('ID1&amp;5'!K:K)+1&amp;"' AS ID_EXEC, CURRENT_TIMESTAMP() AS TIME_EXEC FROM "&amp;I228&amp;" INNER JOIN "&amp;J228&amp;" "&amp;K228,"SELECT '"&amp;UPPER(B228)&amp;"' AS TABELA, '"&amp;UPPER(C228)&amp;"' AS TIPOLOGIA_TESTE,'"&amp;D228&amp;"' AS TABELA_LT,'"&amp;E228&amp;"' AS TABELA_SIMUL,'"&amp;F228&amp;"' AS CAMPO, "&amp;"'${ref_date}' AS REF_DATE, COUNT(*) AS NUM_REG, SUM(IF(COALESCE(CAST(X."&amp;F228&amp;" AS STRING),'')&lt;&gt;COALESCE(CAST(Y."&amp;F228&amp;"_SIMUL AS STRING),''),1,0)) AS NUM_REG_DIF,'"&amp;MAX('ID1&amp;5'!L:L)+1&amp;"' AS ID_EXEC, CURRENT_TIMESTAMP() AS TIME_EXEC FROM "&amp;I228&amp;" INNER JOIN "&amp;J228&amp;" "&amp;K228),
IF(C228="Validade",+IF(G228="Code List","SELECT '"&amp;UPPER(B228)&amp;"' AS TABELA, '"&amp;UPPER(C228)&amp;"' AS TIPOLOGIA_TESTE,'"&amp;D228&amp;"' AS TABELA_LT,'N/A' AS TABELA_SIMUL,'"&amp;F228&amp;"' AS CAMPO, "&amp;"'${ref_date}' AS REF_DATE, COUNT(*) AS NUM_REG, SUM(IF(TRIM(CAST(X."&amp;F228&amp;" AS STRING))='' OR TRIM(CAST(X."&amp;F228&amp;" AS STRING)) IS NULL OR CAST(X."&amp;F228&amp;" AS STRING) NOT "&amp;H228&amp;",1,0)) AS NUM_REG_DIF,'"&amp;MAX('ID1&amp;5'!K:K)+1&amp;"' AS ID_EXEC, CURRENT_TIMESTAMP() AS TIME_EXEC FROM "&amp;I228,"SELECT '"&amp;UPPER(B228)&amp;"' AS TABELA, '"&amp;UPPER(C228)&amp;"' AS TIPOLOGIA_TESTE,'"&amp;D228&amp;"' AS TABELA_LT,'N/A' AS TABELA_SIMUL,'"&amp;F228&amp;"' AS CAMPO, "&amp;"'${ref_date}' AS REF_DATE, COUNT(*) AS NUM_REG, SUM(IF(TRIM(CAST(X."&amp;F228&amp;" AS STRING))='' OR TRIM(CAST(X."&amp;F228&amp;" AS STRING)) IS NULL,1,0)) AS NUM_REG_DIF,'"&amp;MAX('ID1&amp;5'!K:K)+1&amp;"' AS ID_EXEC, CURRENT_TIMESTAMP() AS TIME_EXEC FROM "&amp;I228),
IF(C228="Caracteres Especiais",+"SELECT '"&amp;UPPER(B228)&amp;"' AS TABELA, '"&amp;UPPER(C228)&amp;"' AS TIPOLOGIA_TESTE,'"&amp;D228&amp;"' AS TABELA_LT,'N/A' AS TABELA_SIMUL,'"&amp;F228&amp;"' AS CAMPO, "&amp;"'${ref_date}' AS REF_DATE, COUNT(*) AS NUM_REG, SUM(IF(INSTR(CAST(X."&amp;F228&amp;" AS STRING),'#')&gt;0 OR INSTR(CAST(X."&amp;F228&amp;" AS STRING),'*')&gt;0 OR INSTR(CAST(X."&amp;F228&amp;" AS STRING),'`')&gt;0 OR INSTR(CAST(X."&amp;F228&amp;" AS STRING),'´')&gt;0 OR INSTR(CAST(X."&amp;F228&amp;" AS STRING),'{')&gt;0 OR INSTR(CAST(X."&amp;F228&amp;" AS STRING),'}')&gt;0 OR INSTR(CAST(X."&amp;F228&amp;" AS STRING),'[')&gt;0 OR INSTR(CAST(X."&amp;F228&amp;" AS STRING),'')&gt;0 OR INSTR(CAST(X."&amp;F228&amp;" AS STRING),']')&gt;0 OR INSTR(CAST(X."&amp;F228&amp;" AS STRING),'?')&gt;0 OR INSTR(CAST(X."&amp;F228&amp;" AS STRING),'!')&gt;0 OR INSTR(CAST(X."&amp;F228&amp;" AS STRING),'$')&gt;0 OR INSTR(CAST(X."&amp;F228&amp;" AS STRING),'%')&gt;0 OR INSTR(CAST(X."&amp;F228&amp;" AS STRING),'&amp;')&gt;0 OR INSTR(CAST(X."&amp;F228&amp;" AS STRING),'+')&gt;0,1,0)) AS NUM_REG_DIF,'"&amp;MAX('ID1&amp;5'!K:K)+1&amp;"' AS ID_EXEC, CURRENT_TIMESTAMP() AS TIME_EXEC FROM "&amp;I228,
IF(C228="Missings",+"SELECT '"&amp;UPPER(B228)&amp;"' AS TABELA, '"&amp;UPPER(C228)&amp;"' AS TIPOLOGIA_TESTE,'"&amp;D228&amp;"' AS TABELA_LT,'N/A' AS TABELA_SIMUL,'"&amp;F228&amp;"' AS CAMPO, "&amp;"'${ref_date}' AS REF_DATE, COUNT(*) AS NUM_REG, SUM(IF(TRIM(CAST(X."&amp;F228&amp;" AS STRING)) IN ('0000-00-00','0001-01-01','9999-12-31','MISS','00000','99999999999','99999999999.00','99999999999.000000'),1,0)) AS NUM_REG_DIF,'"&amp;MAX('ID1&amp;5'!K:K)+1&amp;"' AS ID_EXEC, CURRENT_TIMESTAMP() AS TIME_EXEC FROM "&amp;I228,
IF(C228="Not applicable",+"SELECT '"&amp;UPPER(B228)&amp;"' AS TABELA, '"&amp;UPPER(C228)&amp;"' AS TIPOLOGIA_TESTE,'"&amp;D228&amp;"' AS TABELA_LT,'N/A' AS TABELA_SIMUL,'"&amp;F228&amp;"' AS CAMPO, "&amp;"'${ref_date}' AS REF_DATE, COUNT(*) AS NUM_REG, SUM(IF(TRIM(CAST(X."&amp;F228&amp;" AS STRING)) IN ('N/A','11111111111','11111111111.00','11111111111.000000','1111-11-11'),1,0)) AS NUM_REG_DIF,'"&amp;MAX('ID1&amp;5'!K:K)+1&amp;"' AS ID_EXEC, CURRENT_TIMESTAMP() AS TIME_EXEC FROM "&amp;I228,
IF(C228="Valores extremos",+"SELECT '"&amp;UPPER(B228)&amp;"' AS TABELA, '"&amp;UPPER(C228)&amp;"' AS TIPOLOGIA_TESTE,'"&amp;D228&amp;"' AS TABELA_LT,'N/A' AS TABELA_SIMUL,'"&amp;F228&amp;"' AS CAMPO, "&amp;"'${ref_date}' AS REF_DATE, CAST(MIN("&amp;F228&amp;") AS STRING) AS VALOR_MIN, CAST(MAX("&amp;F228&amp;") AS STRING) AS VALOR_MAX,'"&amp;MAX('ID1&amp;5'!K:K)+1&amp;"' AS ID_EXEC, CURRENT_TIMESTAMP() AS TIME_EXEC FROM "&amp;MID(I228,1,LEN(I228)-2)&amp;" AND CAST("&amp;F228&amp;"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TABELA_SIMUL,'TRNSTNL_TRNVR' AS CAMPO, '${ref_date}' AS REF_DATE, COUNT(*) AS NUM_REG, SUM(IF(INSTR(CAST(X.TRNSTNL_TRNVR AS STRING),'#')&gt;0 OR INSTR(CAST(X.TRNSTNL_TRNVR AS STRING),'*')&gt;0 OR INSTR(CAST(X.TRNSTNL_TRNVR AS STRING),'`')&gt;0 OR INSTR(CAST(X.TRNSTNL_TRNVR AS STRING),'´')&gt;0 OR INSTR(CAST(X.TRNSTNL_TRNVR AS STRING),'{')&gt;0 OR INSTR(CAST(X.TRNSTNL_TRNVR AS STRING),'}')&gt;0 OR INSTR(CAST(X.TRNSTNL_TRNVR AS STRING),'[')&gt;0 OR INSTR(CAST(X.TRNSTNL_TRNVR AS STRING),'')&gt;0 OR INSTR(CAST(X.TRNSTNL_TRNVR AS STRING),']')&gt;0 OR INSTR(CAST(X.TRNSTNL_TRNVR AS STRING),'?')&gt;0 OR INSTR(CAST(X.TRNSTNL_TRNVR AS STRING),'!')&gt;0 OR INSTR(CAST(X.TRNSTNL_TRNVR AS STRING),'$')&gt;0 OR INSTR(CAST(X.TRNSTNL_TRNVR AS STRING),'%')&gt;0 OR INSTR(CAST(X.TRNSTNL_TRNVR AS STRING),'&amp;')&gt;0 OR INSTR(CAST(X.TRNSTNL_TRNVR AS STRING),'+')&gt;0,1,0)) AS NUM_REG_DIF,'10' AS ID_EXEC, CURRENT_TIMESTAMP() AS TIME_EXEC FROM (SELECT entty_id, TRNSTNL_TRNVR FROM BU_LOANTAPE_WORK.LT003_ENTITY WHERE ref_date='${ref_date}' AND nome_perimetro='Individual Corporativo' AND segmento='ESTR' AND ambito='PILAR3')X</v>
      </c>
      <c r="M228" s="43" t="str">
        <f t="shared" si="3"/>
        <v>UNION ALL SELECT 'ENTITY' AS TABELA, 'CARACTERES ESPECIAIS' AS TIPOLOGIA_TESTE,'BU_LOANTAPE_WORK.LT003_ENTITY' AS TABELA_LT,'N/A' AS TABELA_SIMUL,'TRNSTNL_TRNVR' AS CAMPO, '${ref_date}' AS REF_DATE, COUNT(*) AS NUM_REG, SUM(IF(INSTR(CAST(X.TRNSTNL_TRNVR AS STRING),'#')&gt;0 OR INSTR(CAST(X.TRNSTNL_TRNVR AS STRING),'*')&gt;0 OR INSTR(CAST(X.TRNSTNL_TRNVR AS STRING),'`')&gt;0 OR INSTR(CAST(X.TRNSTNL_TRNVR AS STRING),'´')&gt;0 OR INSTR(CAST(X.TRNSTNL_TRNVR AS STRING),'{')&gt;0 OR INSTR(CAST(X.TRNSTNL_TRNVR AS STRING),'}')&gt;0 OR INSTR(CAST(X.TRNSTNL_TRNVR AS STRING),'[')&gt;0 OR INSTR(CAST(X.TRNSTNL_TRNVR AS STRING),'')&gt;0 OR INSTR(CAST(X.TRNSTNL_TRNVR AS STRING),']')&gt;0 OR INSTR(CAST(X.TRNSTNL_TRNVR AS STRING),'?')&gt;0 OR INSTR(CAST(X.TRNSTNL_TRNVR AS STRING),'!')&gt;0 OR INSTR(CAST(X.TRNSTNL_TRNVR AS STRING),'$')&gt;0 OR INSTR(CAST(X.TRNSTNL_TRNVR AS STRING),'%')&gt;0 OR INSTR(CAST(X.TRNSTNL_TRNVR AS STRING),'&amp;')&gt;0 OR INSTR(CAST(X.TRNSTNL_TRNVR AS STRING),'+')&gt;0,1,0)) AS NUM_REG_DIF,'10' AS ID_EXEC, CURRENT_TIMESTAMP() AS TIME_EXEC FROM (SELECT entty_id, TRNSTNL_TRNVR FROM BU_LOANTAPE_WORK.LT003_ENTITY WHERE ref_date='${ref_date}' AND nome_perimetro='Individual Corporativo' AND segmento='ESTR' AND ambito='PILAR3')X</v>
      </c>
      <c r="N228" s="45" t="s">
        <v>13</v>
      </c>
    </row>
    <row r="229" spans="2:14">
      <c r="B229" s="41" t="s">
        <v>23</v>
      </c>
      <c r="C229" s="41" t="s">
        <v>76</v>
      </c>
      <c r="D229" s="41" t="str">
        <f>+UPPER('0. Instruções'!$D$33&amp;"."&amp;VLOOKUP(B229,'0. Instruções'!$C$27:$D$31,2,FALSE))</f>
        <v>BU_LOANTAPE_WORK.LT003_ENTITY</v>
      </c>
      <c r="E229" s="41" t="str">
        <f>+UPPER('0. Instruções'!$D$34&amp;"."&amp;VLOOKUP(B229,'0. Instruções'!$C$27:$E$31,3,FALSE))</f>
        <v>BU_LOANTAPE_WORK.LT003_ENTTY_P3_NOV24</v>
      </c>
      <c r="F229" s="41" t="s">
        <v>114</v>
      </c>
      <c r="G229" s="41" t="s">
        <v>210</v>
      </c>
      <c r="H229" s="41"/>
      <c r="I229" s="41" t="str">
        <f>"(SELECT "&amp;VLOOKUP(B229,'0. Instruções'!$C$27:$G$31,4,FALSE)&amp;", "&amp;F229&amp;" FROM "&amp;D229&amp;" WHERE "&amp;'0. Instruções'!$D$40&amp;")X"</f>
        <v>(SELECT entty_id, PURE_TRNVR_CCM FROM BU_LOANTAPE_WORK.LT003_ENTITY WHERE ref_date='${ref_date}' AND nome_perimetro='Individual Corporativo' AND segmento='ESTR' AND ambito='PILAR3')X</v>
      </c>
      <c r="J229" s="41" t="str">
        <f>"(SELECT "&amp;VLOOKUP(B229,'0. Instruções'!$C$27:$G$31,4,FALSE)&amp;" AS "&amp;VLOOKUP(B229,'0. Instruções'!$C$27:$G$31,4,FALSE)&amp;"_SIMUL, "&amp;F229&amp;" AS "&amp;F229&amp;"_SIMUL FROM "&amp;E229&amp;")Y"</f>
        <v>(SELECT entty_id AS entty_id_SIMUL, PURE_TRNVR_CCM AS PURE_TRNVR_CCM_SIMUL FROM BU_LOANTAPE_WORK.LT003_ENTTY_P3_NOV24)Y</v>
      </c>
      <c r="K229" s="42" t="str">
        <f>+UPPER("ON X."&amp;VLOOKUP(B229,'0. Instruções'!$C$27:$G$31,4,FALSE)&amp;"=Y."&amp;VLOOKUP(B229,'0. Instruções'!$C$27:$G$31,4,FALSE)&amp;"_SIMUL")</f>
        <v>ON X.ENTTY_ID=Y.ENTTY_ID_SIMUL</v>
      </c>
      <c r="L229" s="42" t="str">
        <f>+IF(C229="Coerência", +IF(LEFT(G229,5)="FLOAT","SELECT '"&amp;UPPER(B229)&amp;"' AS TABELA, '"&amp;UPPER(C229)&amp;"' AS TIPOLOGIA_TESTE,'"&amp;D229&amp;"' AS TABELA_LT,'"&amp;E229&amp;"' AS TABELA_SIMUL,'"&amp;F229&amp;"' AS CAMPO, "&amp;"'${ref_date}' AS REF_DATE, COUNT(*) AS NUM_REG, SUM(IF((ABS(COALESCE(X."&amp;F229&amp;",0)-COALESCE(Y."&amp;F229&amp;"_SIMUL,0))&gt;0.0000000001) OR (X."&amp;F229&amp;" IS NULL AND Y."&amp;F229&amp;"_SIMUL IS NOT NULL ) OR (X."&amp;F229&amp;" IS NOT NULL AND Y."&amp;F229&amp;"_SIMUL IS NULL),1,0)) AS NUM_REG_DIF,'"&amp;MAX('ID1&amp;5'!K:K)+1&amp;"' AS ID_EXEC, CURRENT_TIMESTAMP() AS TIME_EXEC FROM "&amp;I229&amp;" INNER JOIN "&amp;J229&amp;" "&amp;K229,"SELECT '"&amp;UPPER(B229)&amp;"' AS TABELA, '"&amp;UPPER(C229)&amp;"' AS TIPOLOGIA_TESTE,'"&amp;D229&amp;"' AS TABELA_LT,'"&amp;E229&amp;"' AS TABELA_SIMUL,'"&amp;F229&amp;"' AS CAMPO, "&amp;"'${ref_date}' AS REF_DATE, COUNT(*) AS NUM_REG, SUM(IF(COALESCE(CAST(X."&amp;F229&amp;" AS STRING),'')&lt;&gt;COALESCE(CAST(Y."&amp;F229&amp;"_SIMUL AS STRING),''),1,0)) AS NUM_REG_DIF,'"&amp;MAX('ID1&amp;5'!L:L)+1&amp;"' AS ID_EXEC, CURRENT_TIMESTAMP() AS TIME_EXEC FROM "&amp;I229&amp;" INNER JOIN "&amp;J229&amp;" "&amp;K229),
IF(C229="Validade",+IF(G229="Code List","SELECT '"&amp;UPPER(B229)&amp;"' AS TABELA, '"&amp;UPPER(C229)&amp;"' AS TIPOLOGIA_TESTE,'"&amp;D229&amp;"' AS TABELA_LT,'N/A' AS TABELA_SIMUL,'"&amp;F229&amp;"' AS CAMPO, "&amp;"'${ref_date}' AS REF_DATE, COUNT(*) AS NUM_REG, SUM(IF(TRIM(CAST(X."&amp;F229&amp;" AS STRING))='' OR TRIM(CAST(X."&amp;F229&amp;" AS STRING)) IS NULL OR CAST(X."&amp;F229&amp;" AS STRING) NOT "&amp;H229&amp;",1,0)) AS NUM_REG_DIF,'"&amp;MAX('ID1&amp;5'!K:K)+1&amp;"' AS ID_EXEC, CURRENT_TIMESTAMP() AS TIME_EXEC FROM "&amp;I229,"SELECT '"&amp;UPPER(B229)&amp;"' AS TABELA, '"&amp;UPPER(C229)&amp;"' AS TIPOLOGIA_TESTE,'"&amp;D229&amp;"' AS TABELA_LT,'N/A' AS TABELA_SIMUL,'"&amp;F229&amp;"' AS CAMPO, "&amp;"'${ref_date}' AS REF_DATE, COUNT(*) AS NUM_REG, SUM(IF(TRIM(CAST(X."&amp;F229&amp;" AS STRING))='' OR TRIM(CAST(X."&amp;F229&amp;" AS STRING)) IS NULL,1,0)) AS NUM_REG_DIF,'"&amp;MAX('ID1&amp;5'!K:K)+1&amp;"' AS ID_EXEC, CURRENT_TIMESTAMP() AS TIME_EXEC FROM "&amp;I229),
IF(C229="Caracteres Especiais",+"SELECT '"&amp;UPPER(B229)&amp;"' AS TABELA, '"&amp;UPPER(C229)&amp;"' AS TIPOLOGIA_TESTE,'"&amp;D229&amp;"' AS TABELA_LT,'N/A' AS TABELA_SIMUL,'"&amp;F229&amp;"' AS CAMPO, "&amp;"'${ref_date}' AS REF_DATE, COUNT(*) AS NUM_REG, SUM(IF(INSTR(CAST(X."&amp;F229&amp;" AS STRING),'#')&gt;0 OR INSTR(CAST(X."&amp;F229&amp;" AS STRING),'*')&gt;0 OR INSTR(CAST(X."&amp;F229&amp;" AS STRING),'`')&gt;0 OR INSTR(CAST(X."&amp;F229&amp;" AS STRING),'´')&gt;0 OR INSTR(CAST(X."&amp;F229&amp;" AS STRING),'{')&gt;0 OR INSTR(CAST(X."&amp;F229&amp;" AS STRING),'}')&gt;0 OR INSTR(CAST(X."&amp;F229&amp;" AS STRING),'[')&gt;0 OR INSTR(CAST(X."&amp;F229&amp;" AS STRING),'')&gt;0 OR INSTR(CAST(X."&amp;F229&amp;" AS STRING),']')&gt;0 OR INSTR(CAST(X."&amp;F229&amp;" AS STRING),'?')&gt;0 OR INSTR(CAST(X."&amp;F229&amp;" AS STRING),'!')&gt;0 OR INSTR(CAST(X."&amp;F229&amp;" AS STRING),'$')&gt;0 OR INSTR(CAST(X."&amp;F229&amp;" AS STRING),'%')&gt;0 OR INSTR(CAST(X."&amp;F229&amp;" AS STRING),'&amp;')&gt;0 OR INSTR(CAST(X."&amp;F229&amp;" AS STRING),'+')&gt;0,1,0)) AS NUM_REG_DIF,'"&amp;MAX('ID1&amp;5'!K:K)+1&amp;"' AS ID_EXEC, CURRENT_TIMESTAMP() AS TIME_EXEC FROM "&amp;I229,
IF(C229="Missings",+"SELECT '"&amp;UPPER(B229)&amp;"' AS TABELA, '"&amp;UPPER(C229)&amp;"' AS TIPOLOGIA_TESTE,'"&amp;D229&amp;"' AS TABELA_LT,'N/A' AS TABELA_SIMUL,'"&amp;F229&amp;"' AS CAMPO, "&amp;"'${ref_date}' AS REF_DATE, COUNT(*) AS NUM_REG, SUM(IF(TRIM(CAST(X."&amp;F229&amp;" AS STRING)) IN ('0000-00-00','0001-01-01','9999-12-31','MISS','00000','99999999999','99999999999.00','99999999999.000000'),1,0)) AS NUM_REG_DIF,'"&amp;MAX('ID1&amp;5'!K:K)+1&amp;"' AS ID_EXEC, CURRENT_TIMESTAMP() AS TIME_EXEC FROM "&amp;I229,
IF(C229="Not applicable",+"SELECT '"&amp;UPPER(B229)&amp;"' AS TABELA, '"&amp;UPPER(C229)&amp;"' AS TIPOLOGIA_TESTE,'"&amp;D229&amp;"' AS TABELA_LT,'N/A' AS TABELA_SIMUL,'"&amp;F229&amp;"' AS CAMPO, "&amp;"'${ref_date}' AS REF_DATE, COUNT(*) AS NUM_REG, SUM(IF(TRIM(CAST(X."&amp;F229&amp;" AS STRING)) IN ('N/A','11111111111','11111111111.00','11111111111.000000','1111-11-11'),1,0)) AS NUM_REG_DIF,'"&amp;MAX('ID1&amp;5'!K:K)+1&amp;"' AS ID_EXEC, CURRENT_TIMESTAMP() AS TIME_EXEC FROM "&amp;I229,
IF(C229="Valores extremos",+"SELECT '"&amp;UPPER(B229)&amp;"' AS TABELA, '"&amp;UPPER(C229)&amp;"' AS TIPOLOGIA_TESTE,'"&amp;D229&amp;"' AS TABELA_LT,'N/A' AS TABELA_SIMUL,'"&amp;F229&amp;"' AS CAMPO, "&amp;"'${ref_date}' AS REF_DATE, CAST(MIN("&amp;F229&amp;") AS STRING) AS VALOR_MIN, CAST(MAX("&amp;F229&amp;") AS STRING) AS VALOR_MAX,'"&amp;MAX('ID1&amp;5'!K:K)+1&amp;"' AS ID_EXEC, CURRENT_TIMESTAMP() AS TIME_EXEC FROM "&amp;MID(I229,1,LEN(I229)-2)&amp;" AND CAST("&amp;F229&amp;"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TABELA_SIMUL,'PURE_TRNVR_CCM' AS CAMPO, '${ref_date}' AS REF_DATE, COUNT(*) AS NUM_REG, SUM(IF(INSTR(CAST(X.PURE_TRNVR_CCM AS STRING),'#')&gt;0 OR INSTR(CAST(X.PURE_TRNVR_CCM AS STRING),'*')&gt;0 OR INSTR(CAST(X.PURE_TRNVR_CCM AS STRING),'`')&gt;0 OR INSTR(CAST(X.PURE_TRNVR_CCM AS STRING),'´')&gt;0 OR INSTR(CAST(X.PURE_TRNVR_CCM AS STRING),'{')&gt;0 OR INSTR(CAST(X.PURE_TRNVR_CCM AS STRING),'}')&gt;0 OR INSTR(CAST(X.PURE_TRNVR_CCM AS STRING),'[')&gt;0 OR INSTR(CAST(X.PURE_TRNVR_CCM AS STRING),'')&gt;0 OR INSTR(CAST(X.PURE_TRNVR_CCM AS STRING),']')&gt;0 OR INSTR(CAST(X.PURE_TRNVR_CCM AS STRING),'?')&gt;0 OR INSTR(CAST(X.PURE_TRNVR_CCM AS STRING),'!')&gt;0 OR INSTR(CAST(X.PURE_TRNVR_CCM AS STRING),'$')&gt;0 OR INSTR(CAST(X.PURE_TRNVR_CCM AS STRING),'%')&gt;0 OR INSTR(CAST(X.PURE_TRNVR_CCM AS STRING),'&amp;')&gt;0 OR INSTR(CAST(X.PURE_TRNVR_CCM AS STRING),'+')&gt;0,1,0)) AS NUM_REG_DIF,'10' AS ID_EXEC, CURRENT_TIMESTAMP() AS TIME_EXEC FROM (SELECT entty_id, PURE_TRNVR_CCM FROM BU_LOANTAPE_WORK.LT003_ENTITY WHERE ref_date='${ref_date}' AND nome_perimetro='Individual Corporativo' AND segmento='ESTR' AND ambito='PILAR3')X</v>
      </c>
      <c r="M229" s="43" t="str">
        <f t="shared" si="3"/>
        <v>UNION ALL SELECT 'ENTITY' AS TABELA, 'CARACTERES ESPECIAIS' AS TIPOLOGIA_TESTE,'BU_LOANTAPE_WORK.LT003_ENTITY' AS TABELA_LT,'N/A' AS TABELA_SIMUL,'PURE_TRNVR_CCM' AS CAMPO, '${ref_date}' AS REF_DATE, COUNT(*) AS NUM_REG, SUM(IF(INSTR(CAST(X.PURE_TRNVR_CCM AS STRING),'#')&gt;0 OR INSTR(CAST(X.PURE_TRNVR_CCM AS STRING),'*')&gt;0 OR INSTR(CAST(X.PURE_TRNVR_CCM AS STRING),'`')&gt;0 OR INSTR(CAST(X.PURE_TRNVR_CCM AS STRING),'´')&gt;0 OR INSTR(CAST(X.PURE_TRNVR_CCM AS STRING),'{')&gt;0 OR INSTR(CAST(X.PURE_TRNVR_CCM AS STRING),'}')&gt;0 OR INSTR(CAST(X.PURE_TRNVR_CCM AS STRING),'[')&gt;0 OR INSTR(CAST(X.PURE_TRNVR_CCM AS STRING),'')&gt;0 OR INSTR(CAST(X.PURE_TRNVR_CCM AS STRING),']')&gt;0 OR INSTR(CAST(X.PURE_TRNVR_CCM AS STRING),'?')&gt;0 OR INSTR(CAST(X.PURE_TRNVR_CCM AS STRING),'!')&gt;0 OR INSTR(CAST(X.PURE_TRNVR_CCM AS STRING),'$')&gt;0 OR INSTR(CAST(X.PURE_TRNVR_CCM AS STRING),'%')&gt;0 OR INSTR(CAST(X.PURE_TRNVR_CCM AS STRING),'&amp;')&gt;0 OR INSTR(CAST(X.PURE_TRNVR_CCM AS STRING),'+')&gt;0,1,0)) AS NUM_REG_DIF,'10' AS ID_EXEC, CURRENT_TIMESTAMP() AS TIME_EXEC FROM (SELECT entty_id, PURE_TRNVR_CCM FROM BU_LOANTAPE_WORK.LT003_ENTITY WHERE ref_date='${ref_date}' AND nome_perimetro='Individual Corporativo' AND segmento='ESTR' AND ambito='PILAR3')X</v>
      </c>
      <c r="N229" s="45" t="s">
        <v>13</v>
      </c>
    </row>
    <row r="230" spans="2:14">
      <c r="B230" s="41" t="s">
        <v>23</v>
      </c>
      <c r="C230" s="41" t="s">
        <v>76</v>
      </c>
      <c r="D230" s="41" t="str">
        <f>+UPPER('0. Instruções'!$D$33&amp;"."&amp;VLOOKUP(B230,'0. Instruções'!$C$27:$D$31,2,FALSE))</f>
        <v>BU_LOANTAPE_WORK.LT003_ENTITY</v>
      </c>
      <c r="E230" s="41" t="str">
        <f>+UPPER('0. Instruções'!$D$34&amp;"."&amp;VLOOKUP(B230,'0. Instruções'!$C$27:$E$31,3,FALSE))</f>
        <v>BU_LOANTAPE_WORK.LT003_ENTTY_P3_NOV24</v>
      </c>
      <c r="F230" s="41" t="s">
        <v>115</v>
      </c>
      <c r="G230" s="41" t="s">
        <v>210</v>
      </c>
      <c r="H230" s="41"/>
      <c r="I230" s="41" t="str">
        <f>"(SELECT "&amp;VLOOKUP(B230,'0. Instruções'!$C$27:$G$31,4,FALSE)&amp;", "&amp;F230&amp;" FROM "&amp;D230&amp;" WHERE "&amp;'0. Instruções'!$D$40&amp;")X"</f>
        <v>(SELECT entty_id, PURE_TRNVR_CCA FROM BU_LOANTAPE_WORK.LT003_ENTITY WHERE ref_date='${ref_date}' AND nome_perimetro='Individual Corporativo' AND segmento='ESTR' AND ambito='PILAR3')X</v>
      </c>
      <c r="J230" s="41" t="str">
        <f>"(SELECT "&amp;VLOOKUP(B230,'0. Instruções'!$C$27:$G$31,4,FALSE)&amp;" AS "&amp;VLOOKUP(B230,'0. Instruções'!$C$27:$G$31,4,FALSE)&amp;"_SIMUL, "&amp;F230&amp;" AS "&amp;F230&amp;"_SIMUL FROM "&amp;E230&amp;")Y"</f>
        <v>(SELECT entty_id AS entty_id_SIMUL, PURE_TRNVR_CCA AS PURE_TRNVR_CCA_SIMUL FROM BU_LOANTAPE_WORK.LT003_ENTTY_P3_NOV24)Y</v>
      </c>
      <c r="K230" s="42" t="str">
        <f>+UPPER("ON X."&amp;VLOOKUP(B230,'0. Instruções'!$C$27:$G$31,4,FALSE)&amp;"=Y."&amp;VLOOKUP(B230,'0. Instruções'!$C$27:$G$31,4,FALSE)&amp;"_SIMUL")</f>
        <v>ON X.ENTTY_ID=Y.ENTTY_ID_SIMUL</v>
      </c>
      <c r="L230" s="42" t="str">
        <f>+IF(C230="Coerência", +IF(LEFT(G230,5)="FLOAT","SELECT '"&amp;UPPER(B230)&amp;"' AS TABELA, '"&amp;UPPER(C230)&amp;"' AS TIPOLOGIA_TESTE,'"&amp;D230&amp;"' AS TABELA_LT,'"&amp;E230&amp;"' AS TABELA_SIMUL,'"&amp;F230&amp;"' AS CAMPO, "&amp;"'${ref_date}' AS REF_DATE, COUNT(*) AS NUM_REG, SUM(IF((ABS(COALESCE(X."&amp;F230&amp;",0)-COALESCE(Y."&amp;F230&amp;"_SIMUL,0))&gt;0.0000000001) OR (X."&amp;F230&amp;" IS NULL AND Y."&amp;F230&amp;"_SIMUL IS NOT NULL ) OR (X."&amp;F230&amp;" IS NOT NULL AND Y."&amp;F230&amp;"_SIMUL IS NULL),1,0)) AS NUM_REG_DIF,'"&amp;MAX('ID1&amp;5'!K:K)+1&amp;"' AS ID_EXEC, CURRENT_TIMESTAMP() AS TIME_EXEC FROM "&amp;I230&amp;" INNER JOIN "&amp;J230&amp;" "&amp;K230,"SELECT '"&amp;UPPER(B230)&amp;"' AS TABELA, '"&amp;UPPER(C230)&amp;"' AS TIPOLOGIA_TESTE,'"&amp;D230&amp;"' AS TABELA_LT,'"&amp;E230&amp;"' AS TABELA_SIMUL,'"&amp;F230&amp;"' AS CAMPO, "&amp;"'${ref_date}' AS REF_DATE, COUNT(*) AS NUM_REG, SUM(IF(COALESCE(CAST(X."&amp;F230&amp;" AS STRING),'')&lt;&gt;COALESCE(CAST(Y."&amp;F230&amp;"_SIMUL AS STRING),''),1,0)) AS NUM_REG_DIF,'"&amp;MAX('ID1&amp;5'!L:L)+1&amp;"' AS ID_EXEC, CURRENT_TIMESTAMP() AS TIME_EXEC FROM "&amp;I230&amp;" INNER JOIN "&amp;J230&amp;" "&amp;K230),
IF(C230="Validade",+IF(G230="Code List","SELECT '"&amp;UPPER(B230)&amp;"' AS TABELA, '"&amp;UPPER(C230)&amp;"' AS TIPOLOGIA_TESTE,'"&amp;D230&amp;"' AS TABELA_LT,'N/A' AS TABELA_SIMUL,'"&amp;F230&amp;"' AS CAMPO, "&amp;"'${ref_date}' AS REF_DATE, COUNT(*) AS NUM_REG, SUM(IF(TRIM(CAST(X."&amp;F230&amp;" AS STRING))='' OR TRIM(CAST(X."&amp;F230&amp;" AS STRING)) IS NULL OR CAST(X."&amp;F230&amp;" AS STRING) NOT "&amp;H230&amp;",1,0)) AS NUM_REG_DIF,'"&amp;MAX('ID1&amp;5'!K:K)+1&amp;"' AS ID_EXEC, CURRENT_TIMESTAMP() AS TIME_EXEC FROM "&amp;I230,"SELECT '"&amp;UPPER(B230)&amp;"' AS TABELA, '"&amp;UPPER(C230)&amp;"' AS TIPOLOGIA_TESTE,'"&amp;D230&amp;"' AS TABELA_LT,'N/A' AS TABELA_SIMUL,'"&amp;F230&amp;"' AS CAMPO, "&amp;"'${ref_date}' AS REF_DATE, COUNT(*) AS NUM_REG, SUM(IF(TRIM(CAST(X."&amp;F230&amp;" AS STRING))='' OR TRIM(CAST(X."&amp;F230&amp;" AS STRING)) IS NULL,1,0)) AS NUM_REG_DIF,'"&amp;MAX('ID1&amp;5'!K:K)+1&amp;"' AS ID_EXEC, CURRENT_TIMESTAMP() AS TIME_EXEC FROM "&amp;I230),
IF(C230="Caracteres Especiais",+"SELECT '"&amp;UPPER(B230)&amp;"' AS TABELA, '"&amp;UPPER(C230)&amp;"' AS TIPOLOGIA_TESTE,'"&amp;D230&amp;"' AS TABELA_LT,'N/A' AS TABELA_SIMUL,'"&amp;F230&amp;"' AS CAMPO, "&amp;"'${ref_date}' AS REF_DATE, COUNT(*) AS NUM_REG, SUM(IF(INSTR(CAST(X."&amp;F230&amp;" AS STRING),'#')&gt;0 OR INSTR(CAST(X."&amp;F230&amp;" AS STRING),'*')&gt;0 OR INSTR(CAST(X."&amp;F230&amp;" AS STRING),'`')&gt;0 OR INSTR(CAST(X."&amp;F230&amp;" AS STRING),'´')&gt;0 OR INSTR(CAST(X."&amp;F230&amp;" AS STRING),'{')&gt;0 OR INSTR(CAST(X."&amp;F230&amp;" AS STRING),'}')&gt;0 OR INSTR(CAST(X."&amp;F230&amp;" AS STRING),'[')&gt;0 OR INSTR(CAST(X."&amp;F230&amp;" AS STRING),'')&gt;0 OR INSTR(CAST(X."&amp;F230&amp;" AS STRING),']')&gt;0 OR INSTR(CAST(X."&amp;F230&amp;" AS STRING),'?')&gt;0 OR INSTR(CAST(X."&amp;F230&amp;" AS STRING),'!')&gt;0 OR INSTR(CAST(X."&amp;F230&amp;" AS STRING),'$')&gt;0 OR INSTR(CAST(X."&amp;F230&amp;" AS STRING),'%')&gt;0 OR INSTR(CAST(X."&amp;F230&amp;" AS STRING),'&amp;')&gt;0 OR INSTR(CAST(X."&amp;F230&amp;" AS STRING),'+')&gt;0,1,0)) AS NUM_REG_DIF,'"&amp;MAX('ID1&amp;5'!K:K)+1&amp;"' AS ID_EXEC, CURRENT_TIMESTAMP() AS TIME_EXEC FROM "&amp;I230,
IF(C230="Missings",+"SELECT '"&amp;UPPER(B230)&amp;"' AS TABELA, '"&amp;UPPER(C230)&amp;"' AS TIPOLOGIA_TESTE,'"&amp;D230&amp;"' AS TABELA_LT,'N/A' AS TABELA_SIMUL,'"&amp;F230&amp;"' AS CAMPO, "&amp;"'${ref_date}' AS REF_DATE, COUNT(*) AS NUM_REG, SUM(IF(TRIM(CAST(X."&amp;F230&amp;" AS STRING)) IN ('0000-00-00','0001-01-01','9999-12-31','MISS','00000','99999999999','99999999999.00','99999999999.000000'),1,0)) AS NUM_REG_DIF,'"&amp;MAX('ID1&amp;5'!K:K)+1&amp;"' AS ID_EXEC, CURRENT_TIMESTAMP() AS TIME_EXEC FROM "&amp;I230,
IF(C230="Not applicable",+"SELECT '"&amp;UPPER(B230)&amp;"' AS TABELA, '"&amp;UPPER(C230)&amp;"' AS TIPOLOGIA_TESTE,'"&amp;D230&amp;"' AS TABELA_LT,'N/A' AS TABELA_SIMUL,'"&amp;F230&amp;"' AS CAMPO, "&amp;"'${ref_date}' AS REF_DATE, COUNT(*) AS NUM_REG, SUM(IF(TRIM(CAST(X."&amp;F230&amp;" AS STRING)) IN ('N/A','11111111111','11111111111.00','11111111111.000000','1111-11-11'),1,0)) AS NUM_REG_DIF,'"&amp;MAX('ID1&amp;5'!K:K)+1&amp;"' AS ID_EXEC, CURRENT_TIMESTAMP() AS TIME_EXEC FROM "&amp;I230,
IF(C230="Valores extremos",+"SELECT '"&amp;UPPER(B230)&amp;"' AS TABELA, '"&amp;UPPER(C230)&amp;"' AS TIPOLOGIA_TESTE,'"&amp;D230&amp;"' AS TABELA_LT,'N/A' AS TABELA_SIMUL,'"&amp;F230&amp;"' AS CAMPO, "&amp;"'${ref_date}' AS REF_DATE, CAST(MIN("&amp;F230&amp;") AS STRING) AS VALOR_MIN, CAST(MAX("&amp;F230&amp;") AS STRING) AS VALOR_MAX,'"&amp;MAX('ID1&amp;5'!K:K)+1&amp;"' AS ID_EXEC, CURRENT_TIMESTAMP() AS TIME_EXEC FROM "&amp;MID(I230,1,LEN(I230)-2)&amp;" AND CAST("&amp;F230&amp;"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TABELA_SIMUL,'PURE_TRNVR_CCA' AS CAMPO, '${ref_date}' AS REF_DATE, COUNT(*) AS NUM_REG, SUM(IF(INSTR(CAST(X.PURE_TRNVR_CCA AS STRING),'#')&gt;0 OR INSTR(CAST(X.PURE_TRNVR_CCA AS STRING),'*')&gt;0 OR INSTR(CAST(X.PURE_TRNVR_CCA AS STRING),'`')&gt;0 OR INSTR(CAST(X.PURE_TRNVR_CCA AS STRING),'´')&gt;0 OR INSTR(CAST(X.PURE_TRNVR_CCA AS STRING),'{')&gt;0 OR INSTR(CAST(X.PURE_TRNVR_CCA AS STRING),'}')&gt;0 OR INSTR(CAST(X.PURE_TRNVR_CCA AS STRING),'[')&gt;0 OR INSTR(CAST(X.PURE_TRNVR_CCA AS STRING),'')&gt;0 OR INSTR(CAST(X.PURE_TRNVR_CCA AS STRING),']')&gt;0 OR INSTR(CAST(X.PURE_TRNVR_CCA AS STRING),'?')&gt;0 OR INSTR(CAST(X.PURE_TRNVR_CCA AS STRING),'!')&gt;0 OR INSTR(CAST(X.PURE_TRNVR_CCA AS STRING),'$')&gt;0 OR INSTR(CAST(X.PURE_TRNVR_CCA AS STRING),'%')&gt;0 OR INSTR(CAST(X.PURE_TRNVR_CCA AS STRING),'&amp;')&gt;0 OR INSTR(CAST(X.PURE_TRNVR_CCA AS STRING),'+')&gt;0,1,0)) AS NUM_REG_DIF,'10' AS ID_EXEC, CURRENT_TIMESTAMP() AS TIME_EXEC FROM (SELECT entty_id, PURE_TRNVR_CCA FROM BU_LOANTAPE_WORK.LT003_ENTITY WHERE ref_date='${ref_date}' AND nome_perimetro='Individual Corporativo' AND segmento='ESTR' AND ambito='PILAR3')X</v>
      </c>
      <c r="M230" s="43" t="str">
        <f t="shared" si="3"/>
        <v>UNION ALL SELECT 'ENTITY' AS TABELA, 'CARACTERES ESPECIAIS' AS TIPOLOGIA_TESTE,'BU_LOANTAPE_WORK.LT003_ENTITY' AS TABELA_LT,'N/A' AS TABELA_SIMUL,'PURE_TRNVR_CCA' AS CAMPO, '${ref_date}' AS REF_DATE, COUNT(*) AS NUM_REG, SUM(IF(INSTR(CAST(X.PURE_TRNVR_CCA AS STRING),'#')&gt;0 OR INSTR(CAST(X.PURE_TRNVR_CCA AS STRING),'*')&gt;0 OR INSTR(CAST(X.PURE_TRNVR_CCA AS STRING),'`')&gt;0 OR INSTR(CAST(X.PURE_TRNVR_CCA AS STRING),'´')&gt;0 OR INSTR(CAST(X.PURE_TRNVR_CCA AS STRING),'{')&gt;0 OR INSTR(CAST(X.PURE_TRNVR_CCA AS STRING),'}')&gt;0 OR INSTR(CAST(X.PURE_TRNVR_CCA AS STRING),'[')&gt;0 OR INSTR(CAST(X.PURE_TRNVR_CCA AS STRING),'')&gt;0 OR INSTR(CAST(X.PURE_TRNVR_CCA AS STRING),']')&gt;0 OR INSTR(CAST(X.PURE_TRNVR_CCA AS STRING),'?')&gt;0 OR INSTR(CAST(X.PURE_TRNVR_CCA AS STRING),'!')&gt;0 OR INSTR(CAST(X.PURE_TRNVR_CCA AS STRING),'$')&gt;0 OR INSTR(CAST(X.PURE_TRNVR_CCA AS STRING),'%')&gt;0 OR INSTR(CAST(X.PURE_TRNVR_CCA AS STRING),'&amp;')&gt;0 OR INSTR(CAST(X.PURE_TRNVR_CCA AS STRING),'+')&gt;0,1,0)) AS NUM_REG_DIF,'10' AS ID_EXEC, CURRENT_TIMESTAMP() AS TIME_EXEC FROM (SELECT entty_id, PURE_TRNVR_CCA FROM BU_LOANTAPE_WORK.LT003_ENTITY WHERE ref_date='${ref_date}' AND nome_perimetro='Individual Corporativo' AND segmento='ESTR' AND ambito='PILAR3')X</v>
      </c>
      <c r="N230" s="45" t="s">
        <v>13</v>
      </c>
    </row>
    <row r="231" spans="2:14">
      <c r="B231" s="41" t="s">
        <v>23</v>
      </c>
      <c r="C231" s="41" t="s">
        <v>76</v>
      </c>
      <c r="D231" s="41" t="str">
        <f>+UPPER('0. Instruções'!$D$33&amp;"."&amp;VLOOKUP(B231,'0. Instruções'!$C$27:$D$31,2,FALSE))</f>
        <v>BU_LOANTAPE_WORK.LT003_ENTITY</v>
      </c>
      <c r="E231" s="41" t="str">
        <f>+UPPER('0. Instruções'!$D$34&amp;"."&amp;VLOOKUP(B231,'0. Instruções'!$C$27:$E$31,3,FALSE))</f>
        <v>BU_LOANTAPE_WORK.LT003_ENTTY_P3_NOV24</v>
      </c>
      <c r="F231" s="41" t="s">
        <v>116</v>
      </c>
      <c r="G231" s="41" t="s">
        <v>211</v>
      </c>
      <c r="H231" s="41"/>
      <c r="I231" s="41" t="str">
        <f>"(SELECT "&amp;VLOOKUP(B231,'0. Instruções'!$C$27:$G$31,4,FALSE)&amp;", "&amp;F231&amp;" FROM "&amp;D231&amp;" WHERE "&amp;'0. Instruções'!$D$40&amp;")X"</f>
        <v>(SELECT entty_id, FLG_NFRD_APPLCBLTY FROM BU_LOANTAPE_WORK.LT003_ENTITY WHERE ref_date='${ref_date}' AND nome_perimetro='Individual Corporativo' AND segmento='ESTR' AND ambito='PILAR3')X</v>
      </c>
      <c r="J231" s="41" t="str">
        <f>"(SELECT "&amp;VLOOKUP(B231,'0. Instruções'!$C$27:$G$31,4,FALSE)&amp;" AS "&amp;VLOOKUP(B231,'0. Instruções'!$C$27:$G$31,4,FALSE)&amp;"_SIMUL, "&amp;F231&amp;" AS "&amp;F231&amp;"_SIMUL FROM "&amp;E231&amp;")Y"</f>
        <v>(SELECT entty_id AS entty_id_SIMUL, FLG_NFRD_APPLCBLTY AS FLG_NFRD_APPLCBLTY_SIMUL FROM BU_LOANTAPE_WORK.LT003_ENTTY_P3_NOV24)Y</v>
      </c>
      <c r="K231" s="42" t="str">
        <f>+UPPER("ON X."&amp;VLOOKUP(B231,'0. Instruções'!$C$27:$G$31,4,FALSE)&amp;"=Y."&amp;VLOOKUP(B231,'0. Instruções'!$C$27:$G$31,4,FALSE)&amp;"_SIMUL")</f>
        <v>ON X.ENTTY_ID=Y.ENTTY_ID_SIMUL</v>
      </c>
      <c r="L231" s="42" t="str">
        <f>+IF(C231="Coerência", +IF(LEFT(G231,5)="FLOAT","SELECT '"&amp;UPPER(B231)&amp;"' AS TABELA, '"&amp;UPPER(C231)&amp;"' AS TIPOLOGIA_TESTE,'"&amp;D231&amp;"' AS TABELA_LT,'"&amp;E231&amp;"' AS TABELA_SIMUL,'"&amp;F231&amp;"' AS CAMPO, "&amp;"'${ref_date}' AS REF_DATE, COUNT(*) AS NUM_REG, SUM(IF((ABS(COALESCE(X."&amp;F231&amp;",0)-COALESCE(Y."&amp;F231&amp;"_SIMUL,0))&gt;0.0000000001) OR (X."&amp;F231&amp;" IS NULL AND Y."&amp;F231&amp;"_SIMUL IS NOT NULL ) OR (X."&amp;F231&amp;" IS NOT NULL AND Y."&amp;F231&amp;"_SIMUL IS NULL),1,0)) AS NUM_REG_DIF,'"&amp;MAX('ID1&amp;5'!K:K)+1&amp;"' AS ID_EXEC, CURRENT_TIMESTAMP() AS TIME_EXEC FROM "&amp;I231&amp;" INNER JOIN "&amp;J231&amp;" "&amp;K231,"SELECT '"&amp;UPPER(B231)&amp;"' AS TABELA, '"&amp;UPPER(C231)&amp;"' AS TIPOLOGIA_TESTE,'"&amp;D231&amp;"' AS TABELA_LT,'"&amp;E231&amp;"' AS TABELA_SIMUL,'"&amp;F231&amp;"' AS CAMPO, "&amp;"'${ref_date}' AS REF_DATE, COUNT(*) AS NUM_REG, SUM(IF(COALESCE(CAST(X."&amp;F231&amp;" AS STRING),'')&lt;&gt;COALESCE(CAST(Y."&amp;F231&amp;"_SIMUL AS STRING),''),1,0)) AS NUM_REG_DIF,'"&amp;MAX('ID1&amp;5'!L:L)+1&amp;"' AS ID_EXEC, CURRENT_TIMESTAMP() AS TIME_EXEC FROM "&amp;I231&amp;" INNER JOIN "&amp;J231&amp;" "&amp;K231),
IF(C231="Validade",+IF(G231="Code List","SELECT '"&amp;UPPER(B231)&amp;"' AS TABELA, '"&amp;UPPER(C231)&amp;"' AS TIPOLOGIA_TESTE,'"&amp;D231&amp;"' AS TABELA_LT,'N/A' AS TABELA_SIMUL,'"&amp;F231&amp;"' AS CAMPO, "&amp;"'${ref_date}' AS REF_DATE, COUNT(*) AS NUM_REG, SUM(IF(TRIM(CAST(X."&amp;F231&amp;" AS STRING))='' OR TRIM(CAST(X."&amp;F231&amp;" AS STRING)) IS NULL OR CAST(X."&amp;F231&amp;" AS STRING) NOT "&amp;H231&amp;",1,0)) AS NUM_REG_DIF,'"&amp;MAX('ID1&amp;5'!K:K)+1&amp;"' AS ID_EXEC, CURRENT_TIMESTAMP() AS TIME_EXEC FROM "&amp;I231,"SELECT '"&amp;UPPER(B231)&amp;"' AS TABELA, '"&amp;UPPER(C231)&amp;"' AS TIPOLOGIA_TESTE,'"&amp;D231&amp;"' AS TABELA_LT,'N/A' AS TABELA_SIMUL,'"&amp;F231&amp;"' AS CAMPO, "&amp;"'${ref_date}' AS REF_DATE, COUNT(*) AS NUM_REG, SUM(IF(TRIM(CAST(X."&amp;F231&amp;" AS STRING))='' OR TRIM(CAST(X."&amp;F231&amp;" AS STRING)) IS NULL,1,0)) AS NUM_REG_DIF,'"&amp;MAX('ID1&amp;5'!K:K)+1&amp;"' AS ID_EXEC, CURRENT_TIMESTAMP() AS TIME_EXEC FROM "&amp;I231),
IF(C231="Caracteres Especiais",+"SELECT '"&amp;UPPER(B231)&amp;"' AS TABELA, '"&amp;UPPER(C231)&amp;"' AS TIPOLOGIA_TESTE,'"&amp;D231&amp;"' AS TABELA_LT,'N/A' AS TABELA_SIMUL,'"&amp;F231&amp;"' AS CAMPO, "&amp;"'${ref_date}' AS REF_DATE, COUNT(*) AS NUM_REG, SUM(IF(INSTR(CAST(X."&amp;F231&amp;" AS STRING),'#')&gt;0 OR INSTR(CAST(X."&amp;F231&amp;" AS STRING),'*')&gt;0 OR INSTR(CAST(X."&amp;F231&amp;" AS STRING),'`')&gt;0 OR INSTR(CAST(X."&amp;F231&amp;" AS STRING),'´')&gt;0 OR INSTR(CAST(X."&amp;F231&amp;" AS STRING),'{')&gt;0 OR INSTR(CAST(X."&amp;F231&amp;" AS STRING),'}')&gt;0 OR INSTR(CAST(X."&amp;F231&amp;" AS STRING),'[')&gt;0 OR INSTR(CAST(X."&amp;F231&amp;" AS STRING),'')&gt;0 OR INSTR(CAST(X."&amp;F231&amp;" AS STRING),']')&gt;0 OR INSTR(CAST(X."&amp;F231&amp;" AS STRING),'?')&gt;0 OR INSTR(CAST(X."&amp;F231&amp;" AS STRING),'!')&gt;0 OR INSTR(CAST(X."&amp;F231&amp;" AS STRING),'$')&gt;0 OR INSTR(CAST(X."&amp;F231&amp;" AS STRING),'%')&gt;0 OR INSTR(CAST(X."&amp;F231&amp;" AS STRING),'&amp;')&gt;0 OR INSTR(CAST(X."&amp;F231&amp;" AS STRING),'+')&gt;0,1,0)) AS NUM_REG_DIF,'"&amp;MAX('ID1&amp;5'!K:K)+1&amp;"' AS ID_EXEC, CURRENT_TIMESTAMP() AS TIME_EXEC FROM "&amp;I231,
IF(C231="Missings",+"SELECT '"&amp;UPPER(B231)&amp;"' AS TABELA, '"&amp;UPPER(C231)&amp;"' AS TIPOLOGIA_TESTE,'"&amp;D231&amp;"' AS TABELA_LT,'N/A' AS TABELA_SIMUL,'"&amp;F231&amp;"' AS CAMPO, "&amp;"'${ref_date}' AS REF_DATE, COUNT(*) AS NUM_REG, SUM(IF(TRIM(CAST(X."&amp;F231&amp;" AS STRING)) IN ('0000-00-00','0001-01-01','9999-12-31','MISS','00000','99999999999','99999999999.00','99999999999.000000'),1,0)) AS NUM_REG_DIF,'"&amp;MAX('ID1&amp;5'!K:K)+1&amp;"' AS ID_EXEC, CURRENT_TIMESTAMP() AS TIME_EXEC FROM "&amp;I231,
IF(C231="Not applicable",+"SELECT '"&amp;UPPER(B231)&amp;"' AS TABELA, '"&amp;UPPER(C231)&amp;"' AS TIPOLOGIA_TESTE,'"&amp;D231&amp;"' AS TABELA_LT,'N/A' AS TABELA_SIMUL,'"&amp;F231&amp;"' AS CAMPO, "&amp;"'${ref_date}' AS REF_DATE, COUNT(*) AS NUM_REG, SUM(IF(TRIM(CAST(X."&amp;F231&amp;" AS STRING)) IN ('N/A','11111111111','11111111111.00','11111111111.000000','1111-11-11'),1,0)) AS NUM_REG_DIF,'"&amp;MAX('ID1&amp;5'!K:K)+1&amp;"' AS ID_EXEC, CURRENT_TIMESTAMP() AS TIME_EXEC FROM "&amp;I231,
IF(C231="Valores extremos",+"SELECT '"&amp;UPPER(B231)&amp;"' AS TABELA, '"&amp;UPPER(C231)&amp;"' AS TIPOLOGIA_TESTE,'"&amp;D231&amp;"' AS TABELA_LT,'N/A' AS TABELA_SIMUL,'"&amp;F231&amp;"' AS CAMPO, "&amp;"'${ref_date}' AS REF_DATE, CAST(MIN("&amp;F231&amp;") AS STRING) AS VALOR_MIN, CAST(MAX("&amp;F231&amp;") AS STRING) AS VALOR_MAX,'"&amp;MAX('ID1&amp;5'!K:K)+1&amp;"' AS ID_EXEC, CURRENT_TIMESTAMP() AS TIME_EXEC FROM "&amp;MID(I231,1,LEN(I231)-2)&amp;" AND CAST("&amp;F231&amp;"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TABELA_SIMUL,'FLG_NFRD_APPLCBLTY' AS CAMPO, '${ref_date}' AS REF_DATE, COUNT(*) AS NUM_REG, SUM(IF(INSTR(CAST(X.FLG_NFRD_APPLCBLTY AS STRING),'#')&gt;0 OR INSTR(CAST(X.FLG_NFRD_APPLCBLTY AS STRING),'*')&gt;0 OR INSTR(CAST(X.FLG_NFRD_APPLCBLTY AS STRING),'`')&gt;0 OR INSTR(CAST(X.FLG_NFRD_APPLCBLTY AS STRING),'´')&gt;0 OR INSTR(CAST(X.FLG_NFRD_APPLCBLTY AS STRING),'{')&gt;0 OR INSTR(CAST(X.FLG_NFRD_APPLCBLTY AS STRING),'}')&gt;0 OR INSTR(CAST(X.FLG_NFRD_APPLCBLTY AS STRING),'[')&gt;0 OR INSTR(CAST(X.FLG_NFRD_APPLCBLTY AS STRING),'')&gt;0 OR INSTR(CAST(X.FLG_NFRD_APPLCBLTY AS STRING),']')&gt;0 OR INSTR(CAST(X.FLG_NFRD_APPLCBLTY AS STRING),'?')&gt;0 OR INSTR(CAST(X.FLG_NFRD_APPLCBLTY AS STRING),'!')&gt;0 OR INSTR(CAST(X.FLG_NFRD_APPLCBLTY AS STRING),'$')&gt;0 OR INSTR(CAST(X.FLG_NFRD_APPLCBLTY AS STRING),'%')&gt;0 OR INSTR(CAST(X.FLG_NFRD_APPLCBLTY AS STRING),'&amp;')&gt;0 OR INSTR(CAST(X.FLG_NFRD_APPLCBLTY AS STRING),'+')&gt;0,1,0)) AS NUM_REG_DIF,'10' AS ID_EXEC, CURRENT_TIMESTAMP() AS TIME_EXEC FROM (SELECT entty_id, FLG_NFRD_APPLCBLTY FROM BU_LOANTAPE_WORK.LT003_ENTITY WHERE ref_date='${ref_date}' AND nome_perimetro='Individual Corporativo' AND segmento='ESTR' AND ambito='PILAR3')X</v>
      </c>
      <c r="M231" s="43" t="str">
        <f t="shared" si="3"/>
        <v>UNION ALL SELECT 'ENTITY' AS TABELA, 'CARACTERES ESPECIAIS' AS TIPOLOGIA_TESTE,'BU_LOANTAPE_WORK.LT003_ENTITY' AS TABELA_LT,'N/A' AS TABELA_SIMUL,'FLG_NFRD_APPLCBLTY' AS CAMPO, '${ref_date}' AS REF_DATE, COUNT(*) AS NUM_REG, SUM(IF(INSTR(CAST(X.FLG_NFRD_APPLCBLTY AS STRING),'#')&gt;0 OR INSTR(CAST(X.FLG_NFRD_APPLCBLTY AS STRING),'*')&gt;0 OR INSTR(CAST(X.FLG_NFRD_APPLCBLTY AS STRING),'`')&gt;0 OR INSTR(CAST(X.FLG_NFRD_APPLCBLTY AS STRING),'´')&gt;0 OR INSTR(CAST(X.FLG_NFRD_APPLCBLTY AS STRING),'{')&gt;0 OR INSTR(CAST(X.FLG_NFRD_APPLCBLTY AS STRING),'}')&gt;0 OR INSTR(CAST(X.FLG_NFRD_APPLCBLTY AS STRING),'[')&gt;0 OR INSTR(CAST(X.FLG_NFRD_APPLCBLTY AS STRING),'')&gt;0 OR INSTR(CAST(X.FLG_NFRD_APPLCBLTY AS STRING),']')&gt;0 OR INSTR(CAST(X.FLG_NFRD_APPLCBLTY AS STRING),'?')&gt;0 OR INSTR(CAST(X.FLG_NFRD_APPLCBLTY AS STRING),'!')&gt;0 OR INSTR(CAST(X.FLG_NFRD_APPLCBLTY AS STRING),'$')&gt;0 OR INSTR(CAST(X.FLG_NFRD_APPLCBLTY AS STRING),'%')&gt;0 OR INSTR(CAST(X.FLG_NFRD_APPLCBLTY AS STRING),'&amp;')&gt;0 OR INSTR(CAST(X.FLG_NFRD_APPLCBLTY AS STRING),'+')&gt;0,1,0)) AS NUM_REG_DIF,'10' AS ID_EXEC, CURRENT_TIMESTAMP() AS TIME_EXEC FROM (SELECT entty_id, FLG_NFRD_APPLCBLTY FROM BU_LOANTAPE_WORK.LT003_ENTITY WHERE ref_date='${ref_date}' AND nome_perimetro='Individual Corporativo' AND segmento='ESTR' AND ambito='PILAR3')X</v>
      </c>
      <c r="N231" s="45" t="s">
        <v>13</v>
      </c>
    </row>
    <row r="232" spans="2:14">
      <c r="B232" s="41" t="s">
        <v>23</v>
      </c>
      <c r="C232" s="41" t="s">
        <v>76</v>
      </c>
      <c r="D232" s="41" t="str">
        <f>+UPPER('0. Instruções'!$D$33&amp;"."&amp;VLOOKUP(B232,'0. Instruções'!$C$27:$D$31,2,FALSE))</f>
        <v>BU_LOANTAPE_WORK.LT003_ENTITY</v>
      </c>
      <c r="E232" s="41" t="str">
        <f>+UPPER('0. Instruções'!$D$34&amp;"."&amp;VLOOKUP(B232,'0. Instruções'!$C$27:$E$31,3,FALSE))</f>
        <v>BU_LOANTAPE_WORK.LT003_ENTTY_P3_NOV24</v>
      </c>
      <c r="F232" s="41" t="s">
        <v>117</v>
      </c>
      <c r="G232" s="41" t="s">
        <v>210</v>
      </c>
      <c r="H232" s="41"/>
      <c r="I232" s="41" t="str">
        <f>"(SELECT "&amp;VLOOKUP(B232,'0. Instruções'!$C$27:$G$31,4,FALSE)&amp;", "&amp;F232&amp;" FROM "&amp;D232&amp;" WHERE "&amp;'0. Instruções'!$D$40&amp;")X"</f>
        <v>(SELECT entty_id, CNTRPRTY_EMSSNS_SCP1 FROM BU_LOANTAPE_WORK.LT003_ENTITY WHERE ref_date='${ref_date}' AND nome_perimetro='Individual Corporativo' AND segmento='ESTR' AND ambito='PILAR3')X</v>
      </c>
      <c r="J232" s="41" t="str">
        <f>"(SELECT "&amp;VLOOKUP(B232,'0. Instruções'!$C$27:$G$31,4,FALSE)&amp;" AS "&amp;VLOOKUP(B232,'0. Instruções'!$C$27:$G$31,4,FALSE)&amp;"_SIMUL, "&amp;F232&amp;" AS "&amp;F232&amp;"_SIMUL FROM "&amp;E232&amp;")Y"</f>
        <v>(SELECT entty_id AS entty_id_SIMUL, CNTRPRTY_EMSSNS_SCP1 AS CNTRPRTY_EMSSNS_SCP1_SIMUL FROM BU_LOANTAPE_WORK.LT003_ENTTY_P3_NOV24)Y</v>
      </c>
      <c r="K232" s="42" t="str">
        <f>+UPPER("ON X."&amp;VLOOKUP(B232,'0. Instruções'!$C$27:$G$31,4,FALSE)&amp;"=Y."&amp;VLOOKUP(B232,'0. Instruções'!$C$27:$G$31,4,FALSE)&amp;"_SIMUL")</f>
        <v>ON X.ENTTY_ID=Y.ENTTY_ID_SIMUL</v>
      </c>
      <c r="L232" s="42" t="str">
        <f>+IF(C232="Coerência", +IF(LEFT(G232,5)="FLOAT","SELECT '"&amp;UPPER(B232)&amp;"' AS TABELA, '"&amp;UPPER(C232)&amp;"' AS TIPOLOGIA_TESTE,'"&amp;D232&amp;"' AS TABELA_LT,'"&amp;E232&amp;"' AS TABELA_SIMUL,'"&amp;F232&amp;"' AS CAMPO, "&amp;"'${ref_date}' AS REF_DATE, COUNT(*) AS NUM_REG, SUM(IF((ABS(COALESCE(X."&amp;F232&amp;",0)-COALESCE(Y."&amp;F232&amp;"_SIMUL,0))&gt;0.0000000001) OR (X."&amp;F232&amp;" IS NULL AND Y."&amp;F232&amp;"_SIMUL IS NOT NULL ) OR (X."&amp;F232&amp;" IS NOT NULL AND Y."&amp;F232&amp;"_SIMUL IS NULL),1,0)) AS NUM_REG_DIF,'"&amp;MAX('ID1&amp;5'!K:K)+1&amp;"' AS ID_EXEC, CURRENT_TIMESTAMP() AS TIME_EXEC FROM "&amp;I232&amp;" INNER JOIN "&amp;J232&amp;" "&amp;K232,"SELECT '"&amp;UPPER(B232)&amp;"' AS TABELA, '"&amp;UPPER(C232)&amp;"' AS TIPOLOGIA_TESTE,'"&amp;D232&amp;"' AS TABELA_LT,'"&amp;E232&amp;"' AS TABELA_SIMUL,'"&amp;F232&amp;"' AS CAMPO, "&amp;"'${ref_date}' AS REF_DATE, COUNT(*) AS NUM_REG, SUM(IF(COALESCE(CAST(X."&amp;F232&amp;" AS STRING),'')&lt;&gt;COALESCE(CAST(Y."&amp;F232&amp;"_SIMUL AS STRING),''),1,0)) AS NUM_REG_DIF,'"&amp;MAX('ID1&amp;5'!L:L)+1&amp;"' AS ID_EXEC, CURRENT_TIMESTAMP() AS TIME_EXEC FROM "&amp;I232&amp;" INNER JOIN "&amp;J232&amp;" "&amp;K232),
IF(C232="Validade",+IF(G232="Code List","SELECT '"&amp;UPPER(B232)&amp;"' AS TABELA, '"&amp;UPPER(C232)&amp;"' AS TIPOLOGIA_TESTE,'"&amp;D232&amp;"' AS TABELA_LT,'N/A' AS TABELA_SIMUL,'"&amp;F232&amp;"' AS CAMPO, "&amp;"'${ref_date}' AS REF_DATE, COUNT(*) AS NUM_REG, SUM(IF(TRIM(CAST(X."&amp;F232&amp;" AS STRING))='' OR TRIM(CAST(X."&amp;F232&amp;" AS STRING)) IS NULL OR CAST(X."&amp;F232&amp;" AS STRING) NOT "&amp;H232&amp;",1,0)) AS NUM_REG_DIF,'"&amp;MAX('ID1&amp;5'!K:K)+1&amp;"' AS ID_EXEC, CURRENT_TIMESTAMP() AS TIME_EXEC FROM "&amp;I232,"SELECT '"&amp;UPPER(B232)&amp;"' AS TABELA, '"&amp;UPPER(C232)&amp;"' AS TIPOLOGIA_TESTE,'"&amp;D232&amp;"' AS TABELA_LT,'N/A' AS TABELA_SIMUL,'"&amp;F232&amp;"' AS CAMPO, "&amp;"'${ref_date}' AS REF_DATE, COUNT(*) AS NUM_REG, SUM(IF(TRIM(CAST(X."&amp;F232&amp;" AS STRING))='' OR TRIM(CAST(X."&amp;F232&amp;" AS STRING)) IS NULL,1,0)) AS NUM_REG_DIF,'"&amp;MAX('ID1&amp;5'!K:K)+1&amp;"' AS ID_EXEC, CURRENT_TIMESTAMP() AS TIME_EXEC FROM "&amp;I232),
IF(C232="Caracteres Especiais",+"SELECT '"&amp;UPPER(B232)&amp;"' AS TABELA, '"&amp;UPPER(C232)&amp;"' AS TIPOLOGIA_TESTE,'"&amp;D232&amp;"' AS TABELA_LT,'N/A' AS TABELA_SIMUL,'"&amp;F232&amp;"' AS CAMPO, "&amp;"'${ref_date}' AS REF_DATE, COUNT(*) AS NUM_REG, SUM(IF(INSTR(CAST(X."&amp;F232&amp;" AS STRING),'#')&gt;0 OR INSTR(CAST(X."&amp;F232&amp;" AS STRING),'*')&gt;0 OR INSTR(CAST(X."&amp;F232&amp;" AS STRING),'`')&gt;0 OR INSTR(CAST(X."&amp;F232&amp;" AS STRING),'´')&gt;0 OR INSTR(CAST(X."&amp;F232&amp;" AS STRING),'{')&gt;0 OR INSTR(CAST(X."&amp;F232&amp;" AS STRING),'}')&gt;0 OR INSTR(CAST(X."&amp;F232&amp;" AS STRING),'[')&gt;0 OR INSTR(CAST(X."&amp;F232&amp;" AS STRING),'')&gt;0 OR INSTR(CAST(X."&amp;F232&amp;" AS STRING),']')&gt;0 OR INSTR(CAST(X."&amp;F232&amp;" AS STRING),'?')&gt;0 OR INSTR(CAST(X."&amp;F232&amp;" AS STRING),'!')&gt;0 OR INSTR(CAST(X."&amp;F232&amp;" AS STRING),'$')&gt;0 OR INSTR(CAST(X."&amp;F232&amp;" AS STRING),'%')&gt;0 OR INSTR(CAST(X."&amp;F232&amp;" AS STRING),'&amp;')&gt;0 OR INSTR(CAST(X."&amp;F232&amp;" AS STRING),'+')&gt;0,1,0)) AS NUM_REG_DIF,'"&amp;MAX('ID1&amp;5'!K:K)+1&amp;"' AS ID_EXEC, CURRENT_TIMESTAMP() AS TIME_EXEC FROM "&amp;I232,
IF(C232="Missings",+"SELECT '"&amp;UPPER(B232)&amp;"' AS TABELA, '"&amp;UPPER(C232)&amp;"' AS TIPOLOGIA_TESTE,'"&amp;D232&amp;"' AS TABELA_LT,'N/A' AS TABELA_SIMUL,'"&amp;F232&amp;"' AS CAMPO, "&amp;"'${ref_date}' AS REF_DATE, COUNT(*) AS NUM_REG, SUM(IF(TRIM(CAST(X."&amp;F232&amp;" AS STRING)) IN ('0000-00-00','0001-01-01','9999-12-31','MISS','00000','99999999999','99999999999.00','99999999999.000000'),1,0)) AS NUM_REG_DIF,'"&amp;MAX('ID1&amp;5'!K:K)+1&amp;"' AS ID_EXEC, CURRENT_TIMESTAMP() AS TIME_EXEC FROM "&amp;I232,
IF(C232="Not applicable",+"SELECT '"&amp;UPPER(B232)&amp;"' AS TABELA, '"&amp;UPPER(C232)&amp;"' AS TIPOLOGIA_TESTE,'"&amp;D232&amp;"' AS TABELA_LT,'N/A' AS TABELA_SIMUL,'"&amp;F232&amp;"' AS CAMPO, "&amp;"'${ref_date}' AS REF_DATE, COUNT(*) AS NUM_REG, SUM(IF(TRIM(CAST(X."&amp;F232&amp;" AS STRING)) IN ('N/A','11111111111','11111111111.00','11111111111.000000','1111-11-11'),1,0)) AS NUM_REG_DIF,'"&amp;MAX('ID1&amp;5'!K:K)+1&amp;"' AS ID_EXEC, CURRENT_TIMESTAMP() AS TIME_EXEC FROM "&amp;I232,
IF(C232="Valores extremos",+"SELECT '"&amp;UPPER(B232)&amp;"' AS TABELA, '"&amp;UPPER(C232)&amp;"' AS TIPOLOGIA_TESTE,'"&amp;D232&amp;"' AS TABELA_LT,'N/A' AS TABELA_SIMUL,'"&amp;F232&amp;"' AS CAMPO, "&amp;"'${ref_date}' AS REF_DATE, CAST(MIN("&amp;F232&amp;") AS STRING) AS VALOR_MIN, CAST(MAX("&amp;F232&amp;") AS STRING) AS VALOR_MAX,'"&amp;MAX('ID1&amp;5'!K:K)+1&amp;"' AS ID_EXEC, CURRENT_TIMESTAMP() AS TIME_EXEC FROM "&amp;MID(I232,1,LEN(I232)-2)&amp;" AND CAST("&amp;F232&amp;"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TABELA_SIMUL,'CNTRPRTY_EMSSNS_SCP1' AS CAMPO, '${ref_date}' AS REF_DATE, COUNT(*) AS NUM_REG, SUM(IF(INSTR(CAST(X.CNTRPRTY_EMSSNS_SCP1 AS STRING),'#')&gt;0 OR INSTR(CAST(X.CNTRPRTY_EMSSNS_SCP1 AS STRING),'*')&gt;0 OR INSTR(CAST(X.CNTRPRTY_EMSSNS_SCP1 AS STRING),'`')&gt;0 OR INSTR(CAST(X.CNTRPRTY_EMSSNS_SCP1 AS STRING),'´')&gt;0 OR INSTR(CAST(X.CNTRPRTY_EMSSNS_SCP1 AS STRING),'{')&gt;0 OR INSTR(CAST(X.CNTRPRTY_EMSSNS_SCP1 AS STRING),'}')&gt;0 OR INSTR(CAST(X.CNTRPRTY_EMSSNS_SCP1 AS STRING),'[')&gt;0 OR INSTR(CAST(X.CNTRPRTY_EMSSNS_SCP1 AS STRING),'')&gt;0 OR INSTR(CAST(X.CNTRPRTY_EMSSNS_SCP1 AS STRING),']')&gt;0 OR INSTR(CAST(X.CNTRPRTY_EMSSNS_SCP1 AS STRING),'?')&gt;0 OR INSTR(CAST(X.CNTRPRTY_EMSSNS_SCP1 AS STRING),'!')&gt;0 OR INSTR(CAST(X.CNTRPRTY_EMSSNS_SCP1 AS STRING),'$')&gt;0 OR INSTR(CAST(X.CNTRPRTY_EMSSNS_SCP1 AS STRING),'%')&gt;0 OR INSTR(CAST(X.CNTRPRTY_EMSSNS_SCP1 AS STRING),'&amp;')&gt;0 OR INSTR(CAST(X.CNTRPRTY_EMSSNS_SCP1 AS STRING),'+')&gt;0,1,0)) AS NUM_REG_DIF,'10' AS ID_EXEC, CURRENT_TIMESTAMP() AS TIME_EXEC FROM (SELECT entty_id, CNTRPRTY_EMSSNS_SCP1 FROM BU_LOANTAPE_WORK.LT003_ENTITY WHERE ref_date='${ref_date}' AND nome_perimetro='Individual Corporativo' AND segmento='ESTR' AND ambito='PILAR3')X</v>
      </c>
      <c r="M232" s="43" t="str">
        <f t="shared" si="3"/>
        <v>UNION ALL SELECT 'ENTITY' AS TABELA, 'CARACTERES ESPECIAIS' AS TIPOLOGIA_TESTE,'BU_LOANTAPE_WORK.LT003_ENTITY' AS TABELA_LT,'N/A' AS TABELA_SIMUL,'CNTRPRTY_EMSSNS_SCP1' AS CAMPO, '${ref_date}' AS REF_DATE, COUNT(*) AS NUM_REG, SUM(IF(INSTR(CAST(X.CNTRPRTY_EMSSNS_SCP1 AS STRING),'#')&gt;0 OR INSTR(CAST(X.CNTRPRTY_EMSSNS_SCP1 AS STRING),'*')&gt;0 OR INSTR(CAST(X.CNTRPRTY_EMSSNS_SCP1 AS STRING),'`')&gt;0 OR INSTR(CAST(X.CNTRPRTY_EMSSNS_SCP1 AS STRING),'´')&gt;0 OR INSTR(CAST(X.CNTRPRTY_EMSSNS_SCP1 AS STRING),'{')&gt;0 OR INSTR(CAST(X.CNTRPRTY_EMSSNS_SCP1 AS STRING),'}')&gt;0 OR INSTR(CAST(X.CNTRPRTY_EMSSNS_SCP1 AS STRING),'[')&gt;0 OR INSTR(CAST(X.CNTRPRTY_EMSSNS_SCP1 AS STRING),'')&gt;0 OR INSTR(CAST(X.CNTRPRTY_EMSSNS_SCP1 AS STRING),']')&gt;0 OR INSTR(CAST(X.CNTRPRTY_EMSSNS_SCP1 AS STRING),'?')&gt;0 OR INSTR(CAST(X.CNTRPRTY_EMSSNS_SCP1 AS STRING),'!')&gt;0 OR INSTR(CAST(X.CNTRPRTY_EMSSNS_SCP1 AS STRING),'$')&gt;0 OR INSTR(CAST(X.CNTRPRTY_EMSSNS_SCP1 AS STRING),'%')&gt;0 OR INSTR(CAST(X.CNTRPRTY_EMSSNS_SCP1 AS STRING),'&amp;')&gt;0 OR INSTR(CAST(X.CNTRPRTY_EMSSNS_SCP1 AS STRING),'+')&gt;0,1,0)) AS NUM_REG_DIF,'10' AS ID_EXEC, CURRENT_TIMESTAMP() AS TIME_EXEC FROM (SELECT entty_id, CNTRPRTY_EMSSNS_SCP1 FROM BU_LOANTAPE_WORK.LT003_ENTITY WHERE ref_date='${ref_date}' AND nome_perimetro='Individual Corporativo' AND segmento='ESTR' AND ambito='PILAR3')X</v>
      </c>
      <c r="N232" s="45" t="s">
        <v>13</v>
      </c>
    </row>
    <row r="233" spans="2:14">
      <c r="B233" s="41" t="s">
        <v>23</v>
      </c>
      <c r="C233" s="41" t="s">
        <v>76</v>
      </c>
      <c r="D233" s="41" t="str">
        <f>+UPPER('0. Instruções'!$D$33&amp;"."&amp;VLOOKUP(B233,'0. Instruções'!$C$27:$D$31,2,FALSE))</f>
        <v>BU_LOANTAPE_WORK.LT003_ENTITY</v>
      </c>
      <c r="E233" s="41" t="str">
        <f>+UPPER('0. Instruções'!$D$34&amp;"."&amp;VLOOKUP(B233,'0. Instruções'!$C$27:$E$31,3,FALSE))</f>
        <v>BU_LOANTAPE_WORK.LT003_ENTTY_P3_NOV24</v>
      </c>
      <c r="F233" s="41" t="s">
        <v>118</v>
      </c>
      <c r="G233" s="41" t="s">
        <v>210</v>
      </c>
      <c r="H233" s="41"/>
      <c r="I233" s="41" t="str">
        <f>"(SELECT "&amp;VLOOKUP(B233,'0. Instruções'!$C$27:$G$31,4,FALSE)&amp;", "&amp;F233&amp;" FROM "&amp;D233&amp;" WHERE "&amp;'0. Instruções'!$D$40&amp;")X"</f>
        <v>(SELECT entty_id, CNTRPRTY_EMSSNS_SCP2 FROM BU_LOANTAPE_WORK.LT003_ENTITY WHERE ref_date='${ref_date}' AND nome_perimetro='Individual Corporativo' AND segmento='ESTR' AND ambito='PILAR3')X</v>
      </c>
      <c r="J233" s="41" t="str">
        <f>"(SELECT "&amp;VLOOKUP(B233,'0. Instruções'!$C$27:$G$31,4,FALSE)&amp;" AS "&amp;VLOOKUP(B233,'0. Instruções'!$C$27:$G$31,4,FALSE)&amp;"_SIMUL, "&amp;F233&amp;" AS "&amp;F233&amp;"_SIMUL FROM "&amp;E233&amp;")Y"</f>
        <v>(SELECT entty_id AS entty_id_SIMUL, CNTRPRTY_EMSSNS_SCP2 AS CNTRPRTY_EMSSNS_SCP2_SIMUL FROM BU_LOANTAPE_WORK.LT003_ENTTY_P3_NOV24)Y</v>
      </c>
      <c r="K233" s="42" t="str">
        <f>+UPPER("ON X."&amp;VLOOKUP(B233,'0. Instruções'!$C$27:$G$31,4,FALSE)&amp;"=Y."&amp;VLOOKUP(B233,'0. Instruções'!$C$27:$G$31,4,FALSE)&amp;"_SIMUL")</f>
        <v>ON X.ENTTY_ID=Y.ENTTY_ID_SIMUL</v>
      </c>
      <c r="L233" s="42" t="str">
        <f>+IF(C233="Coerência", +IF(LEFT(G233,5)="FLOAT","SELECT '"&amp;UPPER(B233)&amp;"' AS TABELA, '"&amp;UPPER(C233)&amp;"' AS TIPOLOGIA_TESTE,'"&amp;D233&amp;"' AS TABELA_LT,'"&amp;E233&amp;"' AS TABELA_SIMUL,'"&amp;F233&amp;"' AS CAMPO, "&amp;"'${ref_date}' AS REF_DATE, COUNT(*) AS NUM_REG, SUM(IF((ABS(COALESCE(X."&amp;F233&amp;",0)-COALESCE(Y."&amp;F233&amp;"_SIMUL,0))&gt;0.0000000001) OR (X."&amp;F233&amp;" IS NULL AND Y."&amp;F233&amp;"_SIMUL IS NOT NULL ) OR (X."&amp;F233&amp;" IS NOT NULL AND Y."&amp;F233&amp;"_SIMUL IS NULL),1,0)) AS NUM_REG_DIF,'"&amp;MAX('ID1&amp;5'!K:K)+1&amp;"' AS ID_EXEC, CURRENT_TIMESTAMP() AS TIME_EXEC FROM "&amp;I233&amp;" INNER JOIN "&amp;J233&amp;" "&amp;K233,"SELECT '"&amp;UPPER(B233)&amp;"' AS TABELA, '"&amp;UPPER(C233)&amp;"' AS TIPOLOGIA_TESTE,'"&amp;D233&amp;"' AS TABELA_LT,'"&amp;E233&amp;"' AS TABELA_SIMUL,'"&amp;F233&amp;"' AS CAMPO, "&amp;"'${ref_date}' AS REF_DATE, COUNT(*) AS NUM_REG, SUM(IF(COALESCE(CAST(X."&amp;F233&amp;" AS STRING),'')&lt;&gt;COALESCE(CAST(Y."&amp;F233&amp;"_SIMUL AS STRING),''),1,0)) AS NUM_REG_DIF,'"&amp;MAX('ID1&amp;5'!L:L)+1&amp;"' AS ID_EXEC, CURRENT_TIMESTAMP() AS TIME_EXEC FROM "&amp;I233&amp;" INNER JOIN "&amp;J233&amp;" "&amp;K233),
IF(C233="Validade",+IF(G233="Code List","SELECT '"&amp;UPPER(B233)&amp;"' AS TABELA, '"&amp;UPPER(C233)&amp;"' AS TIPOLOGIA_TESTE,'"&amp;D233&amp;"' AS TABELA_LT,'N/A' AS TABELA_SIMUL,'"&amp;F233&amp;"' AS CAMPO, "&amp;"'${ref_date}' AS REF_DATE, COUNT(*) AS NUM_REG, SUM(IF(TRIM(CAST(X."&amp;F233&amp;" AS STRING))='' OR TRIM(CAST(X."&amp;F233&amp;" AS STRING)) IS NULL OR CAST(X."&amp;F233&amp;" AS STRING) NOT "&amp;H233&amp;",1,0)) AS NUM_REG_DIF,'"&amp;MAX('ID1&amp;5'!K:K)+1&amp;"' AS ID_EXEC, CURRENT_TIMESTAMP() AS TIME_EXEC FROM "&amp;I233,"SELECT '"&amp;UPPER(B233)&amp;"' AS TABELA, '"&amp;UPPER(C233)&amp;"' AS TIPOLOGIA_TESTE,'"&amp;D233&amp;"' AS TABELA_LT,'N/A' AS TABELA_SIMUL,'"&amp;F233&amp;"' AS CAMPO, "&amp;"'${ref_date}' AS REF_DATE, COUNT(*) AS NUM_REG, SUM(IF(TRIM(CAST(X."&amp;F233&amp;" AS STRING))='' OR TRIM(CAST(X."&amp;F233&amp;" AS STRING)) IS NULL,1,0)) AS NUM_REG_DIF,'"&amp;MAX('ID1&amp;5'!K:K)+1&amp;"' AS ID_EXEC, CURRENT_TIMESTAMP() AS TIME_EXEC FROM "&amp;I233),
IF(C233="Caracteres Especiais",+"SELECT '"&amp;UPPER(B233)&amp;"' AS TABELA, '"&amp;UPPER(C233)&amp;"' AS TIPOLOGIA_TESTE,'"&amp;D233&amp;"' AS TABELA_LT,'N/A' AS TABELA_SIMUL,'"&amp;F233&amp;"' AS CAMPO, "&amp;"'${ref_date}' AS REF_DATE, COUNT(*) AS NUM_REG, SUM(IF(INSTR(CAST(X."&amp;F233&amp;" AS STRING),'#')&gt;0 OR INSTR(CAST(X."&amp;F233&amp;" AS STRING),'*')&gt;0 OR INSTR(CAST(X."&amp;F233&amp;" AS STRING),'`')&gt;0 OR INSTR(CAST(X."&amp;F233&amp;" AS STRING),'´')&gt;0 OR INSTR(CAST(X."&amp;F233&amp;" AS STRING),'{')&gt;0 OR INSTR(CAST(X."&amp;F233&amp;" AS STRING),'}')&gt;0 OR INSTR(CAST(X."&amp;F233&amp;" AS STRING),'[')&gt;0 OR INSTR(CAST(X."&amp;F233&amp;" AS STRING),'')&gt;0 OR INSTR(CAST(X."&amp;F233&amp;" AS STRING),']')&gt;0 OR INSTR(CAST(X."&amp;F233&amp;" AS STRING),'?')&gt;0 OR INSTR(CAST(X."&amp;F233&amp;" AS STRING),'!')&gt;0 OR INSTR(CAST(X."&amp;F233&amp;" AS STRING),'$')&gt;0 OR INSTR(CAST(X."&amp;F233&amp;" AS STRING),'%')&gt;0 OR INSTR(CAST(X."&amp;F233&amp;" AS STRING),'&amp;')&gt;0 OR INSTR(CAST(X."&amp;F233&amp;" AS STRING),'+')&gt;0,1,0)) AS NUM_REG_DIF,'"&amp;MAX('ID1&amp;5'!K:K)+1&amp;"' AS ID_EXEC, CURRENT_TIMESTAMP() AS TIME_EXEC FROM "&amp;I233,
IF(C233="Missings",+"SELECT '"&amp;UPPER(B233)&amp;"' AS TABELA, '"&amp;UPPER(C233)&amp;"' AS TIPOLOGIA_TESTE,'"&amp;D233&amp;"' AS TABELA_LT,'N/A' AS TABELA_SIMUL,'"&amp;F233&amp;"' AS CAMPO, "&amp;"'${ref_date}' AS REF_DATE, COUNT(*) AS NUM_REG, SUM(IF(TRIM(CAST(X."&amp;F233&amp;" AS STRING)) IN ('0000-00-00','0001-01-01','9999-12-31','MISS','00000','99999999999','99999999999.00','99999999999.000000'),1,0)) AS NUM_REG_DIF,'"&amp;MAX('ID1&amp;5'!K:K)+1&amp;"' AS ID_EXEC, CURRENT_TIMESTAMP() AS TIME_EXEC FROM "&amp;I233,
IF(C233="Not applicable",+"SELECT '"&amp;UPPER(B233)&amp;"' AS TABELA, '"&amp;UPPER(C233)&amp;"' AS TIPOLOGIA_TESTE,'"&amp;D233&amp;"' AS TABELA_LT,'N/A' AS TABELA_SIMUL,'"&amp;F233&amp;"' AS CAMPO, "&amp;"'${ref_date}' AS REF_DATE, COUNT(*) AS NUM_REG, SUM(IF(TRIM(CAST(X."&amp;F233&amp;" AS STRING)) IN ('N/A','11111111111','11111111111.00','11111111111.000000','1111-11-11'),1,0)) AS NUM_REG_DIF,'"&amp;MAX('ID1&amp;5'!K:K)+1&amp;"' AS ID_EXEC, CURRENT_TIMESTAMP() AS TIME_EXEC FROM "&amp;I233,
IF(C233="Valores extremos",+"SELECT '"&amp;UPPER(B233)&amp;"' AS TABELA, '"&amp;UPPER(C233)&amp;"' AS TIPOLOGIA_TESTE,'"&amp;D233&amp;"' AS TABELA_LT,'N/A' AS TABELA_SIMUL,'"&amp;F233&amp;"' AS CAMPO, "&amp;"'${ref_date}' AS REF_DATE, CAST(MIN("&amp;F233&amp;") AS STRING) AS VALOR_MIN, CAST(MAX("&amp;F233&amp;") AS STRING) AS VALOR_MAX,'"&amp;MAX('ID1&amp;5'!K:K)+1&amp;"' AS ID_EXEC, CURRENT_TIMESTAMP() AS TIME_EXEC FROM "&amp;MID(I233,1,LEN(I233)-2)&amp;" AND CAST("&amp;F233&amp;"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TABELA_SIMUL,'CNTRPRTY_EMSSNS_SCP2' AS CAMPO, '${ref_date}' AS REF_DATE, COUNT(*) AS NUM_REG, SUM(IF(INSTR(CAST(X.CNTRPRTY_EMSSNS_SCP2 AS STRING),'#')&gt;0 OR INSTR(CAST(X.CNTRPRTY_EMSSNS_SCP2 AS STRING),'*')&gt;0 OR INSTR(CAST(X.CNTRPRTY_EMSSNS_SCP2 AS STRING),'`')&gt;0 OR INSTR(CAST(X.CNTRPRTY_EMSSNS_SCP2 AS STRING),'´')&gt;0 OR INSTR(CAST(X.CNTRPRTY_EMSSNS_SCP2 AS STRING),'{')&gt;0 OR INSTR(CAST(X.CNTRPRTY_EMSSNS_SCP2 AS STRING),'}')&gt;0 OR INSTR(CAST(X.CNTRPRTY_EMSSNS_SCP2 AS STRING),'[')&gt;0 OR INSTR(CAST(X.CNTRPRTY_EMSSNS_SCP2 AS STRING),'')&gt;0 OR INSTR(CAST(X.CNTRPRTY_EMSSNS_SCP2 AS STRING),']')&gt;0 OR INSTR(CAST(X.CNTRPRTY_EMSSNS_SCP2 AS STRING),'?')&gt;0 OR INSTR(CAST(X.CNTRPRTY_EMSSNS_SCP2 AS STRING),'!')&gt;0 OR INSTR(CAST(X.CNTRPRTY_EMSSNS_SCP2 AS STRING),'$')&gt;0 OR INSTR(CAST(X.CNTRPRTY_EMSSNS_SCP2 AS STRING),'%')&gt;0 OR INSTR(CAST(X.CNTRPRTY_EMSSNS_SCP2 AS STRING),'&amp;')&gt;0 OR INSTR(CAST(X.CNTRPRTY_EMSSNS_SCP2 AS STRING),'+')&gt;0,1,0)) AS NUM_REG_DIF,'10' AS ID_EXEC, CURRENT_TIMESTAMP() AS TIME_EXEC FROM (SELECT entty_id, CNTRPRTY_EMSSNS_SCP2 FROM BU_LOANTAPE_WORK.LT003_ENTITY WHERE ref_date='${ref_date}' AND nome_perimetro='Individual Corporativo' AND segmento='ESTR' AND ambito='PILAR3')X</v>
      </c>
      <c r="M233" s="43" t="str">
        <f t="shared" si="3"/>
        <v>UNION ALL SELECT 'ENTITY' AS TABELA, 'CARACTERES ESPECIAIS' AS TIPOLOGIA_TESTE,'BU_LOANTAPE_WORK.LT003_ENTITY' AS TABELA_LT,'N/A' AS TABELA_SIMUL,'CNTRPRTY_EMSSNS_SCP2' AS CAMPO, '${ref_date}' AS REF_DATE, COUNT(*) AS NUM_REG, SUM(IF(INSTR(CAST(X.CNTRPRTY_EMSSNS_SCP2 AS STRING),'#')&gt;0 OR INSTR(CAST(X.CNTRPRTY_EMSSNS_SCP2 AS STRING),'*')&gt;0 OR INSTR(CAST(X.CNTRPRTY_EMSSNS_SCP2 AS STRING),'`')&gt;0 OR INSTR(CAST(X.CNTRPRTY_EMSSNS_SCP2 AS STRING),'´')&gt;0 OR INSTR(CAST(X.CNTRPRTY_EMSSNS_SCP2 AS STRING),'{')&gt;0 OR INSTR(CAST(X.CNTRPRTY_EMSSNS_SCP2 AS STRING),'}')&gt;0 OR INSTR(CAST(X.CNTRPRTY_EMSSNS_SCP2 AS STRING),'[')&gt;0 OR INSTR(CAST(X.CNTRPRTY_EMSSNS_SCP2 AS STRING),'')&gt;0 OR INSTR(CAST(X.CNTRPRTY_EMSSNS_SCP2 AS STRING),']')&gt;0 OR INSTR(CAST(X.CNTRPRTY_EMSSNS_SCP2 AS STRING),'?')&gt;0 OR INSTR(CAST(X.CNTRPRTY_EMSSNS_SCP2 AS STRING),'!')&gt;0 OR INSTR(CAST(X.CNTRPRTY_EMSSNS_SCP2 AS STRING),'$')&gt;0 OR INSTR(CAST(X.CNTRPRTY_EMSSNS_SCP2 AS STRING),'%')&gt;0 OR INSTR(CAST(X.CNTRPRTY_EMSSNS_SCP2 AS STRING),'&amp;')&gt;0 OR INSTR(CAST(X.CNTRPRTY_EMSSNS_SCP2 AS STRING),'+')&gt;0,1,0)) AS NUM_REG_DIF,'10' AS ID_EXEC, CURRENT_TIMESTAMP() AS TIME_EXEC FROM (SELECT entty_id, CNTRPRTY_EMSSNS_SCP2 FROM BU_LOANTAPE_WORK.LT003_ENTITY WHERE ref_date='${ref_date}' AND nome_perimetro='Individual Corporativo' AND segmento='ESTR' AND ambito='PILAR3')X</v>
      </c>
      <c r="N233" s="45" t="s">
        <v>13</v>
      </c>
    </row>
    <row r="234" spans="2:14">
      <c r="B234" s="41" t="s">
        <v>23</v>
      </c>
      <c r="C234" s="41" t="s">
        <v>76</v>
      </c>
      <c r="D234" s="41" t="str">
        <f>+UPPER('0. Instruções'!$D$33&amp;"."&amp;VLOOKUP(B234,'0. Instruções'!$C$27:$D$31,2,FALSE))</f>
        <v>BU_LOANTAPE_WORK.LT003_ENTITY</v>
      </c>
      <c r="E234" s="41" t="str">
        <f>+UPPER('0. Instruções'!$D$34&amp;"."&amp;VLOOKUP(B234,'0. Instruções'!$C$27:$E$31,3,FALSE))</f>
        <v>BU_LOANTAPE_WORK.LT003_ENTTY_P3_NOV24</v>
      </c>
      <c r="F234" s="41" t="s">
        <v>119</v>
      </c>
      <c r="G234" s="41" t="s">
        <v>210</v>
      </c>
      <c r="H234" s="41"/>
      <c r="I234" s="41" t="str">
        <f>"(SELECT "&amp;VLOOKUP(B234,'0. Instruções'!$C$27:$G$31,4,FALSE)&amp;", "&amp;F234&amp;" FROM "&amp;D234&amp;" WHERE "&amp;'0. Instruções'!$D$40&amp;")X"</f>
        <v>(SELECT entty_id, CNTRPRTY_EMSSNS_SCP3 FROM BU_LOANTAPE_WORK.LT003_ENTITY WHERE ref_date='${ref_date}' AND nome_perimetro='Individual Corporativo' AND segmento='ESTR' AND ambito='PILAR3')X</v>
      </c>
      <c r="J234" s="41" t="str">
        <f>"(SELECT "&amp;VLOOKUP(B234,'0. Instruções'!$C$27:$G$31,4,FALSE)&amp;" AS "&amp;VLOOKUP(B234,'0. Instruções'!$C$27:$G$31,4,FALSE)&amp;"_SIMUL, "&amp;F234&amp;" AS "&amp;F234&amp;"_SIMUL FROM "&amp;E234&amp;")Y"</f>
        <v>(SELECT entty_id AS entty_id_SIMUL, CNTRPRTY_EMSSNS_SCP3 AS CNTRPRTY_EMSSNS_SCP3_SIMUL FROM BU_LOANTAPE_WORK.LT003_ENTTY_P3_NOV24)Y</v>
      </c>
      <c r="K234" s="42" t="str">
        <f>+UPPER("ON X."&amp;VLOOKUP(B234,'0. Instruções'!$C$27:$G$31,4,FALSE)&amp;"=Y."&amp;VLOOKUP(B234,'0. Instruções'!$C$27:$G$31,4,FALSE)&amp;"_SIMUL")</f>
        <v>ON X.ENTTY_ID=Y.ENTTY_ID_SIMUL</v>
      </c>
      <c r="L234" s="42" t="str">
        <f>+IF(C234="Coerência", +IF(LEFT(G234,5)="FLOAT","SELECT '"&amp;UPPER(B234)&amp;"' AS TABELA, '"&amp;UPPER(C234)&amp;"' AS TIPOLOGIA_TESTE,'"&amp;D234&amp;"' AS TABELA_LT,'"&amp;E234&amp;"' AS TABELA_SIMUL,'"&amp;F234&amp;"' AS CAMPO, "&amp;"'${ref_date}' AS REF_DATE, COUNT(*) AS NUM_REG, SUM(IF((ABS(COALESCE(X."&amp;F234&amp;",0)-COALESCE(Y."&amp;F234&amp;"_SIMUL,0))&gt;0.0000000001) OR (X."&amp;F234&amp;" IS NULL AND Y."&amp;F234&amp;"_SIMUL IS NOT NULL ) OR (X."&amp;F234&amp;" IS NOT NULL AND Y."&amp;F234&amp;"_SIMUL IS NULL),1,0)) AS NUM_REG_DIF,'"&amp;MAX('ID1&amp;5'!K:K)+1&amp;"' AS ID_EXEC, CURRENT_TIMESTAMP() AS TIME_EXEC FROM "&amp;I234&amp;" INNER JOIN "&amp;J234&amp;" "&amp;K234,"SELECT '"&amp;UPPER(B234)&amp;"' AS TABELA, '"&amp;UPPER(C234)&amp;"' AS TIPOLOGIA_TESTE,'"&amp;D234&amp;"' AS TABELA_LT,'"&amp;E234&amp;"' AS TABELA_SIMUL,'"&amp;F234&amp;"' AS CAMPO, "&amp;"'${ref_date}' AS REF_DATE, COUNT(*) AS NUM_REG, SUM(IF(COALESCE(CAST(X."&amp;F234&amp;" AS STRING),'')&lt;&gt;COALESCE(CAST(Y."&amp;F234&amp;"_SIMUL AS STRING),''),1,0)) AS NUM_REG_DIF,'"&amp;MAX('ID1&amp;5'!L:L)+1&amp;"' AS ID_EXEC, CURRENT_TIMESTAMP() AS TIME_EXEC FROM "&amp;I234&amp;" INNER JOIN "&amp;J234&amp;" "&amp;K234),
IF(C234="Validade",+IF(G234="Code List","SELECT '"&amp;UPPER(B234)&amp;"' AS TABELA, '"&amp;UPPER(C234)&amp;"' AS TIPOLOGIA_TESTE,'"&amp;D234&amp;"' AS TABELA_LT,'N/A' AS TABELA_SIMUL,'"&amp;F234&amp;"' AS CAMPO, "&amp;"'${ref_date}' AS REF_DATE, COUNT(*) AS NUM_REG, SUM(IF(TRIM(CAST(X."&amp;F234&amp;" AS STRING))='' OR TRIM(CAST(X."&amp;F234&amp;" AS STRING)) IS NULL OR CAST(X."&amp;F234&amp;" AS STRING) NOT "&amp;H234&amp;",1,0)) AS NUM_REG_DIF,'"&amp;MAX('ID1&amp;5'!K:K)+1&amp;"' AS ID_EXEC, CURRENT_TIMESTAMP() AS TIME_EXEC FROM "&amp;I234,"SELECT '"&amp;UPPER(B234)&amp;"' AS TABELA, '"&amp;UPPER(C234)&amp;"' AS TIPOLOGIA_TESTE,'"&amp;D234&amp;"' AS TABELA_LT,'N/A' AS TABELA_SIMUL,'"&amp;F234&amp;"' AS CAMPO, "&amp;"'${ref_date}' AS REF_DATE, COUNT(*) AS NUM_REG, SUM(IF(TRIM(CAST(X."&amp;F234&amp;" AS STRING))='' OR TRIM(CAST(X."&amp;F234&amp;" AS STRING)) IS NULL,1,0)) AS NUM_REG_DIF,'"&amp;MAX('ID1&amp;5'!K:K)+1&amp;"' AS ID_EXEC, CURRENT_TIMESTAMP() AS TIME_EXEC FROM "&amp;I234),
IF(C234="Caracteres Especiais",+"SELECT '"&amp;UPPER(B234)&amp;"' AS TABELA, '"&amp;UPPER(C234)&amp;"' AS TIPOLOGIA_TESTE,'"&amp;D234&amp;"' AS TABELA_LT,'N/A' AS TABELA_SIMUL,'"&amp;F234&amp;"' AS CAMPO, "&amp;"'${ref_date}' AS REF_DATE, COUNT(*) AS NUM_REG, SUM(IF(INSTR(CAST(X."&amp;F234&amp;" AS STRING),'#')&gt;0 OR INSTR(CAST(X."&amp;F234&amp;" AS STRING),'*')&gt;0 OR INSTR(CAST(X."&amp;F234&amp;" AS STRING),'`')&gt;0 OR INSTR(CAST(X."&amp;F234&amp;" AS STRING),'´')&gt;0 OR INSTR(CAST(X."&amp;F234&amp;" AS STRING),'{')&gt;0 OR INSTR(CAST(X."&amp;F234&amp;" AS STRING),'}')&gt;0 OR INSTR(CAST(X."&amp;F234&amp;" AS STRING),'[')&gt;0 OR INSTR(CAST(X."&amp;F234&amp;" AS STRING),'')&gt;0 OR INSTR(CAST(X."&amp;F234&amp;" AS STRING),']')&gt;0 OR INSTR(CAST(X."&amp;F234&amp;" AS STRING),'?')&gt;0 OR INSTR(CAST(X."&amp;F234&amp;" AS STRING),'!')&gt;0 OR INSTR(CAST(X."&amp;F234&amp;" AS STRING),'$')&gt;0 OR INSTR(CAST(X."&amp;F234&amp;" AS STRING),'%')&gt;0 OR INSTR(CAST(X."&amp;F234&amp;" AS STRING),'&amp;')&gt;0 OR INSTR(CAST(X."&amp;F234&amp;" AS STRING),'+')&gt;0,1,0)) AS NUM_REG_DIF,'"&amp;MAX('ID1&amp;5'!K:K)+1&amp;"' AS ID_EXEC, CURRENT_TIMESTAMP() AS TIME_EXEC FROM "&amp;I234,
IF(C234="Missings",+"SELECT '"&amp;UPPER(B234)&amp;"' AS TABELA, '"&amp;UPPER(C234)&amp;"' AS TIPOLOGIA_TESTE,'"&amp;D234&amp;"' AS TABELA_LT,'N/A' AS TABELA_SIMUL,'"&amp;F234&amp;"' AS CAMPO, "&amp;"'${ref_date}' AS REF_DATE, COUNT(*) AS NUM_REG, SUM(IF(TRIM(CAST(X."&amp;F234&amp;" AS STRING)) IN ('0000-00-00','0001-01-01','9999-12-31','MISS','00000','99999999999','99999999999.00','99999999999.000000'),1,0)) AS NUM_REG_DIF,'"&amp;MAX('ID1&amp;5'!K:K)+1&amp;"' AS ID_EXEC, CURRENT_TIMESTAMP() AS TIME_EXEC FROM "&amp;I234,
IF(C234="Not applicable",+"SELECT '"&amp;UPPER(B234)&amp;"' AS TABELA, '"&amp;UPPER(C234)&amp;"' AS TIPOLOGIA_TESTE,'"&amp;D234&amp;"' AS TABELA_LT,'N/A' AS TABELA_SIMUL,'"&amp;F234&amp;"' AS CAMPO, "&amp;"'${ref_date}' AS REF_DATE, COUNT(*) AS NUM_REG, SUM(IF(TRIM(CAST(X."&amp;F234&amp;" AS STRING)) IN ('N/A','11111111111','11111111111.00','11111111111.000000','1111-11-11'),1,0)) AS NUM_REG_DIF,'"&amp;MAX('ID1&amp;5'!K:K)+1&amp;"' AS ID_EXEC, CURRENT_TIMESTAMP() AS TIME_EXEC FROM "&amp;I234,
IF(C234="Valores extremos",+"SELECT '"&amp;UPPER(B234)&amp;"' AS TABELA, '"&amp;UPPER(C234)&amp;"' AS TIPOLOGIA_TESTE,'"&amp;D234&amp;"' AS TABELA_LT,'N/A' AS TABELA_SIMUL,'"&amp;F234&amp;"' AS CAMPO, "&amp;"'${ref_date}' AS REF_DATE, CAST(MIN("&amp;F234&amp;") AS STRING) AS VALOR_MIN, CAST(MAX("&amp;F234&amp;") AS STRING) AS VALOR_MAX,'"&amp;MAX('ID1&amp;5'!K:K)+1&amp;"' AS ID_EXEC, CURRENT_TIMESTAMP() AS TIME_EXEC FROM "&amp;MID(I234,1,LEN(I234)-2)&amp;" AND CAST("&amp;F234&amp;"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TABELA_SIMUL,'CNTRPRTY_EMSSNS_SCP3' AS CAMPO, '${ref_date}' AS REF_DATE, COUNT(*) AS NUM_REG, SUM(IF(INSTR(CAST(X.CNTRPRTY_EMSSNS_SCP3 AS STRING),'#')&gt;0 OR INSTR(CAST(X.CNTRPRTY_EMSSNS_SCP3 AS STRING),'*')&gt;0 OR INSTR(CAST(X.CNTRPRTY_EMSSNS_SCP3 AS STRING),'`')&gt;0 OR INSTR(CAST(X.CNTRPRTY_EMSSNS_SCP3 AS STRING),'´')&gt;0 OR INSTR(CAST(X.CNTRPRTY_EMSSNS_SCP3 AS STRING),'{')&gt;0 OR INSTR(CAST(X.CNTRPRTY_EMSSNS_SCP3 AS STRING),'}')&gt;0 OR INSTR(CAST(X.CNTRPRTY_EMSSNS_SCP3 AS STRING),'[')&gt;0 OR INSTR(CAST(X.CNTRPRTY_EMSSNS_SCP3 AS STRING),'')&gt;0 OR INSTR(CAST(X.CNTRPRTY_EMSSNS_SCP3 AS STRING),']')&gt;0 OR INSTR(CAST(X.CNTRPRTY_EMSSNS_SCP3 AS STRING),'?')&gt;0 OR INSTR(CAST(X.CNTRPRTY_EMSSNS_SCP3 AS STRING),'!')&gt;0 OR INSTR(CAST(X.CNTRPRTY_EMSSNS_SCP3 AS STRING),'$')&gt;0 OR INSTR(CAST(X.CNTRPRTY_EMSSNS_SCP3 AS STRING),'%')&gt;0 OR INSTR(CAST(X.CNTRPRTY_EMSSNS_SCP3 AS STRING),'&amp;')&gt;0 OR INSTR(CAST(X.CNTRPRTY_EMSSNS_SCP3 AS STRING),'+')&gt;0,1,0)) AS NUM_REG_DIF,'10' AS ID_EXEC, CURRENT_TIMESTAMP() AS TIME_EXEC FROM (SELECT entty_id, CNTRPRTY_EMSSNS_SCP3 FROM BU_LOANTAPE_WORK.LT003_ENTITY WHERE ref_date='${ref_date}' AND nome_perimetro='Individual Corporativo' AND segmento='ESTR' AND ambito='PILAR3')X</v>
      </c>
      <c r="M234" s="43" t="str">
        <f t="shared" si="3"/>
        <v>UNION ALL SELECT 'ENTITY' AS TABELA, 'CARACTERES ESPECIAIS' AS TIPOLOGIA_TESTE,'BU_LOANTAPE_WORK.LT003_ENTITY' AS TABELA_LT,'N/A' AS TABELA_SIMUL,'CNTRPRTY_EMSSNS_SCP3' AS CAMPO, '${ref_date}' AS REF_DATE, COUNT(*) AS NUM_REG, SUM(IF(INSTR(CAST(X.CNTRPRTY_EMSSNS_SCP3 AS STRING),'#')&gt;0 OR INSTR(CAST(X.CNTRPRTY_EMSSNS_SCP3 AS STRING),'*')&gt;0 OR INSTR(CAST(X.CNTRPRTY_EMSSNS_SCP3 AS STRING),'`')&gt;0 OR INSTR(CAST(X.CNTRPRTY_EMSSNS_SCP3 AS STRING),'´')&gt;0 OR INSTR(CAST(X.CNTRPRTY_EMSSNS_SCP3 AS STRING),'{')&gt;0 OR INSTR(CAST(X.CNTRPRTY_EMSSNS_SCP3 AS STRING),'}')&gt;0 OR INSTR(CAST(X.CNTRPRTY_EMSSNS_SCP3 AS STRING),'[')&gt;0 OR INSTR(CAST(X.CNTRPRTY_EMSSNS_SCP3 AS STRING),'')&gt;0 OR INSTR(CAST(X.CNTRPRTY_EMSSNS_SCP3 AS STRING),']')&gt;0 OR INSTR(CAST(X.CNTRPRTY_EMSSNS_SCP3 AS STRING),'?')&gt;0 OR INSTR(CAST(X.CNTRPRTY_EMSSNS_SCP3 AS STRING),'!')&gt;0 OR INSTR(CAST(X.CNTRPRTY_EMSSNS_SCP3 AS STRING),'$')&gt;0 OR INSTR(CAST(X.CNTRPRTY_EMSSNS_SCP3 AS STRING),'%')&gt;0 OR INSTR(CAST(X.CNTRPRTY_EMSSNS_SCP3 AS STRING),'&amp;')&gt;0 OR INSTR(CAST(X.CNTRPRTY_EMSSNS_SCP3 AS STRING),'+')&gt;0,1,0)) AS NUM_REG_DIF,'10' AS ID_EXEC, CURRENT_TIMESTAMP() AS TIME_EXEC FROM (SELECT entty_id, CNTRPRTY_EMSSNS_SCP3 FROM BU_LOANTAPE_WORK.LT003_ENTITY WHERE ref_date='${ref_date}' AND nome_perimetro='Individual Corporativo' AND segmento='ESTR' AND ambito='PILAR3')X</v>
      </c>
      <c r="N234" s="45" t="s">
        <v>13</v>
      </c>
    </row>
    <row r="235" spans="2:14">
      <c r="B235" s="41" t="s">
        <v>23</v>
      </c>
      <c r="C235" s="41" t="s">
        <v>76</v>
      </c>
      <c r="D235" s="41" t="str">
        <f>+UPPER('0. Instruções'!$D$33&amp;"."&amp;VLOOKUP(B235,'0. Instruções'!$C$27:$D$31,2,FALSE))</f>
        <v>BU_LOANTAPE_WORK.LT003_ENTITY</v>
      </c>
      <c r="E235" s="41" t="str">
        <f>+UPPER('0. Instruções'!$D$34&amp;"."&amp;VLOOKUP(B235,'0. Instruções'!$C$27:$E$31,3,FALSE))</f>
        <v>BU_LOANTAPE_WORK.LT003_ENTTY_P3_NOV24</v>
      </c>
      <c r="F235" s="41" t="s">
        <v>120</v>
      </c>
      <c r="G235" s="41" t="s">
        <v>211</v>
      </c>
      <c r="H235" s="41"/>
      <c r="I235" s="41" t="str">
        <f>"(SELECT "&amp;VLOOKUP(B235,'0. Instruções'!$C$27:$G$31,4,FALSE)&amp;", "&amp;F235&amp;" FROM "&amp;D235&amp;" WHERE "&amp;'0. Instruções'!$D$40&amp;")X"</f>
        <v>(SELECT entty_id, FLG_EXCLDD_EU_PRS_ALGND_BNCHMRK FROM BU_LOANTAPE_WORK.LT003_ENTITY WHERE ref_date='${ref_date}' AND nome_perimetro='Individual Corporativo' AND segmento='ESTR' AND ambito='PILAR3')X</v>
      </c>
      <c r="J235" s="41" t="str">
        <f>"(SELECT "&amp;VLOOKUP(B235,'0. Instruções'!$C$27:$G$31,4,FALSE)&amp;" AS "&amp;VLOOKUP(B235,'0. Instruções'!$C$27:$G$31,4,FALSE)&amp;"_SIMUL, "&amp;F235&amp;" AS "&amp;F235&amp;"_SIMUL FROM "&amp;E235&amp;")Y"</f>
        <v>(SELECT entty_id AS entty_id_SIMUL, FLG_EXCLDD_EU_PRS_ALGND_BNCHMRK AS FLG_EXCLDD_EU_PRS_ALGND_BNCHMRK_SIMUL FROM BU_LOANTAPE_WORK.LT003_ENTTY_P3_NOV24)Y</v>
      </c>
      <c r="K235" s="42" t="str">
        <f>+UPPER("ON X."&amp;VLOOKUP(B235,'0. Instruções'!$C$27:$G$31,4,FALSE)&amp;"=Y."&amp;VLOOKUP(B235,'0. Instruções'!$C$27:$G$31,4,FALSE)&amp;"_SIMUL")</f>
        <v>ON X.ENTTY_ID=Y.ENTTY_ID_SIMUL</v>
      </c>
      <c r="L235" s="42" t="str">
        <f>+IF(C235="Coerência", +IF(LEFT(G235,5)="FLOAT","SELECT '"&amp;UPPER(B235)&amp;"' AS TABELA, '"&amp;UPPER(C235)&amp;"' AS TIPOLOGIA_TESTE,'"&amp;D235&amp;"' AS TABELA_LT,'"&amp;E235&amp;"' AS TABELA_SIMUL,'"&amp;F235&amp;"' AS CAMPO, "&amp;"'${ref_date}' AS REF_DATE, COUNT(*) AS NUM_REG, SUM(IF((ABS(COALESCE(X."&amp;F235&amp;",0)-COALESCE(Y."&amp;F235&amp;"_SIMUL,0))&gt;0.0000000001) OR (X."&amp;F235&amp;" IS NULL AND Y."&amp;F235&amp;"_SIMUL IS NOT NULL ) OR (X."&amp;F235&amp;" IS NOT NULL AND Y."&amp;F235&amp;"_SIMUL IS NULL),1,0)) AS NUM_REG_DIF,'"&amp;MAX('ID1&amp;5'!K:K)+1&amp;"' AS ID_EXEC, CURRENT_TIMESTAMP() AS TIME_EXEC FROM "&amp;I235&amp;" INNER JOIN "&amp;J235&amp;" "&amp;K235,"SELECT '"&amp;UPPER(B235)&amp;"' AS TABELA, '"&amp;UPPER(C235)&amp;"' AS TIPOLOGIA_TESTE,'"&amp;D235&amp;"' AS TABELA_LT,'"&amp;E235&amp;"' AS TABELA_SIMUL,'"&amp;F235&amp;"' AS CAMPO, "&amp;"'${ref_date}' AS REF_DATE, COUNT(*) AS NUM_REG, SUM(IF(COALESCE(CAST(X."&amp;F235&amp;" AS STRING),'')&lt;&gt;COALESCE(CAST(Y."&amp;F235&amp;"_SIMUL AS STRING),''),1,0)) AS NUM_REG_DIF,'"&amp;MAX('ID1&amp;5'!L:L)+1&amp;"' AS ID_EXEC, CURRENT_TIMESTAMP() AS TIME_EXEC FROM "&amp;I235&amp;" INNER JOIN "&amp;J235&amp;" "&amp;K235),
IF(C235="Validade",+IF(G235="Code List","SELECT '"&amp;UPPER(B235)&amp;"' AS TABELA, '"&amp;UPPER(C235)&amp;"' AS TIPOLOGIA_TESTE,'"&amp;D235&amp;"' AS TABELA_LT,'N/A' AS TABELA_SIMUL,'"&amp;F235&amp;"' AS CAMPO, "&amp;"'${ref_date}' AS REF_DATE, COUNT(*) AS NUM_REG, SUM(IF(TRIM(CAST(X."&amp;F235&amp;" AS STRING))='' OR TRIM(CAST(X."&amp;F235&amp;" AS STRING)) IS NULL OR CAST(X."&amp;F235&amp;" AS STRING) NOT "&amp;H235&amp;",1,0)) AS NUM_REG_DIF,'"&amp;MAX('ID1&amp;5'!K:K)+1&amp;"' AS ID_EXEC, CURRENT_TIMESTAMP() AS TIME_EXEC FROM "&amp;I235,"SELECT '"&amp;UPPER(B235)&amp;"' AS TABELA, '"&amp;UPPER(C235)&amp;"' AS TIPOLOGIA_TESTE,'"&amp;D235&amp;"' AS TABELA_LT,'N/A' AS TABELA_SIMUL,'"&amp;F235&amp;"' AS CAMPO, "&amp;"'${ref_date}' AS REF_DATE, COUNT(*) AS NUM_REG, SUM(IF(TRIM(CAST(X."&amp;F235&amp;" AS STRING))='' OR TRIM(CAST(X."&amp;F235&amp;" AS STRING)) IS NULL,1,0)) AS NUM_REG_DIF,'"&amp;MAX('ID1&amp;5'!K:K)+1&amp;"' AS ID_EXEC, CURRENT_TIMESTAMP() AS TIME_EXEC FROM "&amp;I235),
IF(C235="Caracteres Especiais",+"SELECT '"&amp;UPPER(B235)&amp;"' AS TABELA, '"&amp;UPPER(C235)&amp;"' AS TIPOLOGIA_TESTE,'"&amp;D235&amp;"' AS TABELA_LT,'N/A' AS TABELA_SIMUL,'"&amp;F235&amp;"' AS CAMPO, "&amp;"'${ref_date}' AS REF_DATE, COUNT(*) AS NUM_REG, SUM(IF(INSTR(CAST(X."&amp;F235&amp;" AS STRING),'#')&gt;0 OR INSTR(CAST(X."&amp;F235&amp;" AS STRING),'*')&gt;0 OR INSTR(CAST(X."&amp;F235&amp;" AS STRING),'`')&gt;0 OR INSTR(CAST(X."&amp;F235&amp;" AS STRING),'´')&gt;0 OR INSTR(CAST(X."&amp;F235&amp;" AS STRING),'{')&gt;0 OR INSTR(CAST(X."&amp;F235&amp;" AS STRING),'}')&gt;0 OR INSTR(CAST(X."&amp;F235&amp;" AS STRING),'[')&gt;0 OR INSTR(CAST(X."&amp;F235&amp;" AS STRING),'')&gt;0 OR INSTR(CAST(X."&amp;F235&amp;" AS STRING),']')&gt;0 OR INSTR(CAST(X."&amp;F235&amp;" AS STRING),'?')&gt;0 OR INSTR(CAST(X."&amp;F235&amp;" AS STRING),'!')&gt;0 OR INSTR(CAST(X."&amp;F235&amp;" AS STRING),'$')&gt;0 OR INSTR(CAST(X."&amp;F235&amp;" AS STRING),'%')&gt;0 OR INSTR(CAST(X."&amp;F235&amp;" AS STRING),'&amp;')&gt;0 OR INSTR(CAST(X."&amp;F235&amp;" AS STRING),'+')&gt;0,1,0)) AS NUM_REG_DIF,'"&amp;MAX('ID1&amp;5'!K:K)+1&amp;"' AS ID_EXEC, CURRENT_TIMESTAMP() AS TIME_EXEC FROM "&amp;I235,
IF(C235="Missings",+"SELECT '"&amp;UPPER(B235)&amp;"' AS TABELA, '"&amp;UPPER(C235)&amp;"' AS TIPOLOGIA_TESTE,'"&amp;D235&amp;"' AS TABELA_LT,'N/A' AS TABELA_SIMUL,'"&amp;F235&amp;"' AS CAMPO, "&amp;"'${ref_date}' AS REF_DATE, COUNT(*) AS NUM_REG, SUM(IF(TRIM(CAST(X."&amp;F235&amp;" AS STRING)) IN ('0000-00-00','0001-01-01','9999-12-31','MISS','00000','99999999999','99999999999.00','99999999999.000000'),1,0)) AS NUM_REG_DIF,'"&amp;MAX('ID1&amp;5'!K:K)+1&amp;"' AS ID_EXEC, CURRENT_TIMESTAMP() AS TIME_EXEC FROM "&amp;I235,
IF(C235="Not applicable",+"SELECT '"&amp;UPPER(B235)&amp;"' AS TABELA, '"&amp;UPPER(C235)&amp;"' AS TIPOLOGIA_TESTE,'"&amp;D235&amp;"' AS TABELA_LT,'N/A' AS TABELA_SIMUL,'"&amp;F235&amp;"' AS CAMPO, "&amp;"'${ref_date}' AS REF_DATE, COUNT(*) AS NUM_REG, SUM(IF(TRIM(CAST(X."&amp;F235&amp;" AS STRING)) IN ('N/A','11111111111','11111111111.00','11111111111.000000','1111-11-11'),1,0)) AS NUM_REG_DIF,'"&amp;MAX('ID1&amp;5'!K:K)+1&amp;"' AS ID_EXEC, CURRENT_TIMESTAMP() AS TIME_EXEC FROM "&amp;I235,
IF(C235="Valores extremos",+"SELECT '"&amp;UPPER(B235)&amp;"' AS TABELA, '"&amp;UPPER(C235)&amp;"' AS TIPOLOGIA_TESTE,'"&amp;D235&amp;"' AS TABELA_LT,'N/A' AS TABELA_SIMUL,'"&amp;F235&amp;"' AS CAMPO, "&amp;"'${ref_date}' AS REF_DATE, CAST(MIN("&amp;F235&amp;") AS STRING) AS VALOR_MIN, CAST(MAX("&amp;F235&amp;") AS STRING) AS VALOR_MAX,'"&amp;MAX('ID1&amp;5'!K:K)+1&amp;"' AS ID_EXEC, CURRENT_TIMESTAMP() AS TIME_EXEC FROM "&amp;MID(I235,1,LEN(I235)-2)&amp;" AND CAST("&amp;F235&amp;"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TABELA_SIMUL,'FLG_EXCLDD_EU_PRS_ALGND_BNCHMRK' AS CAMPO, '${ref_date}' AS REF_DATE, COUNT(*) AS NUM_REG, SUM(IF(INSTR(CAST(X.FLG_EXCLDD_EU_PRS_ALGND_BNCHMRK AS STRING),'#')&gt;0 OR INSTR(CAST(X.FLG_EXCLDD_EU_PRS_ALGND_BNCHMRK AS STRING),'*')&gt;0 OR INSTR(CAST(X.FLG_EXCLDD_EU_PRS_ALGND_BNCHMRK AS STRING),'`')&gt;0 OR INSTR(CAST(X.FLG_EXCLDD_EU_PRS_ALGND_BNCHMRK AS STRING),'´')&gt;0 OR INSTR(CAST(X.FLG_EXCLDD_EU_PRS_ALGND_BNCHMRK AS STRING),'{')&gt;0 OR INSTR(CAST(X.FLG_EXCLDD_EU_PRS_ALGND_BNCHMRK AS STRING),'}')&gt;0 OR INSTR(CAST(X.FLG_EXCLDD_EU_PRS_ALGND_BNCHMRK AS STRING),'[')&gt;0 OR INSTR(CAST(X.FLG_EXCLDD_EU_PRS_ALGND_BNCHMRK AS STRING),'')&gt;0 OR INSTR(CAST(X.FLG_EXCLDD_EU_PRS_ALGND_BNCHMRK AS STRING),']')&gt;0 OR INSTR(CAST(X.FLG_EXCLDD_EU_PRS_ALGND_BNCHMRK AS STRING),'?')&gt;0 OR INSTR(CAST(X.FLG_EXCLDD_EU_PRS_ALGND_BNCHMRK AS STRING),'!')&gt;0 OR INSTR(CAST(X.FLG_EXCLDD_EU_PRS_ALGND_BNCHMRK AS STRING),'$')&gt;0 OR INSTR(CAST(X.FLG_EXCLDD_EU_PRS_ALGND_BNCHMRK AS STRING),'%')&gt;0 OR INSTR(CAST(X.FLG_EXCLDD_EU_PRS_ALGND_BNCHMRK AS STRING),'&amp;')&gt;0 OR INSTR(CAST(X.FLG_EXCLDD_EU_PRS_ALGND_BNCHMRK AS STRING),'+')&gt;0,1,0)) AS NUM_REG_DIF,'10' AS ID_EXEC, CURRENT_TIMESTAMP() AS TIME_EXEC FROM (SELECT entty_id, FLG_EXCLDD_EU_PRS_ALGND_BNCHMRK FROM BU_LOANTAPE_WORK.LT003_ENTITY WHERE ref_date='${ref_date}' AND nome_perimetro='Individual Corporativo' AND segmento='ESTR' AND ambito='PILAR3')X</v>
      </c>
      <c r="M235" s="43" t="str">
        <f t="shared" si="3"/>
        <v>UNION ALL SELECT 'ENTITY' AS TABELA, 'CARACTERES ESPECIAIS' AS TIPOLOGIA_TESTE,'BU_LOANTAPE_WORK.LT003_ENTITY' AS TABELA_LT,'N/A' AS TABELA_SIMUL,'FLG_EXCLDD_EU_PRS_ALGND_BNCHMRK' AS CAMPO, '${ref_date}' AS REF_DATE, COUNT(*) AS NUM_REG, SUM(IF(INSTR(CAST(X.FLG_EXCLDD_EU_PRS_ALGND_BNCHMRK AS STRING),'#')&gt;0 OR INSTR(CAST(X.FLG_EXCLDD_EU_PRS_ALGND_BNCHMRK AS STRING),'*')&gt;0 OR INSTR(CAST(X.FLG_EXCLDD_EU_PRS_ALGND_BNCHMRK AS STRING),'`')&gt;0 OR INSTR(CAST(X.FLG_EXCLDD_EU_PRS_ALGND_BNCHMRK AS STRING),'´')&gt;0 OR INSTR(CAST(X.FLG_EXCLDD_EU_PRS_ALGND_BNCHMRK AS STRING),'{')&gt;0 OR INSTR(CAST(X.FLG_EXCLDD_EU_PRS_ALGND_BNCHMRK AS STRING),'}')&gt;0 OR INSTR(CAST(X.FLG_EXCLDD_EU_PRS_ALGND_BNCHMRK AS STRING),'[')&gt;0 OR INSTR(CAST(X.FLG_EXCLDD_EU_PRS_ALGND_BNCHMRK AS STRING),'')&gt;0 OR INSTR(CAST(X.FLG_EXCLDD_EU_PRS_ALGND_BNCHMRK AS STRING),']')&gt;0 OR INSTR(CAST(X.FLG_EXCLDD_EU_PRS_ALGND_BNCHMRK AS STRING),'?')&gt;0 OR INSTR(CAST(X.FLG_EXCLDD_EU_PRS_ALGND_BNCHMRK AS STRING),'!')&gt;0 OR INSTR(CAST(X.FLG_EXCLDD_EU_PRS_ALGND_BNCHMRK AS STRING),'$')&gt;0 OR INSTR(CAST(X.FLG_EXCLDD_EU_PRS_ALGND_BNCHMRK AS STRING),'%')&gt;0 OR INSTR(CAST(X.FLG_EXCLDD_EU_PRS_ALGND_BNCHMRK AS STRING),'&amp;')&gt;0 OR INSTR(CAST(X.FLG_EXCLDD_EU_PRS_ALGND_BNCHMRK AS STRING),'+')&gt;0,1,0)) AS NUM_REG_DIF,'10' AS ID_EXEC, CURRENT_TIMESTAMP() AS TIME_EXEC FROM (SELECT entty_id, FLG_EXCLDD_EU_PRS_ALGND_BNCHMRK FROM BU_LOANTAPE_WORK.LT003_ENTITY WHERE ref_date='${ref_date}' AND nome_perimetro='Individual Corporativo' AND segmento='ESTR' AND ambito='PILAR3')X</v>
      </c>
      <c r="N235" s="45" t="s">
        <v>13</v>
      </c>
    </row>
    <row r="236" spans="2:14">
      <c r="B236" s="41" t="s">
        <v>23</v>
      </c>
      <c r="C236" s="41" t="s">
        <v>76</v>
      </c>
      <c r="D236" s="41" t="str">
        <f>+UPPER('0. Instruções'!$D$33&amp;"."&amp;VLOOKUP(B236,'0. Instruções'!$C$27:$D$31,2,FALSE))</f>
        <v>BU_LOANTAPE_WORK.LT003_ENTITY</v>
      </c>
      <c r="E236" s="41" t="str">
        <f>+UPPER('0. Instruções'!$D$34&amp;"."&amp;VLOOKUP(B236,'0. Instruções'!$C$27:$E$31,3,FALSE))</f>
        <v>BU_LOANTAPE_WORK.LT003_ENTTY_P3_NOV24</v>
      </c>
      <c r="F236" s="41" t="s">
        <v>121</v>
      </c>
      <c r="G236" s="41" t="s">
        <v>211</v>
      </c>
      <c r="H236" s="41"/>
      <c r="I236" s="41" t="str">
        <f>"(SELECT "&amp;VLOOKUP(B236,'0. Instruções'!$C$27:$G$31,4,FALSE)&amp;", "&amp;F236&amp;" FROM "&amp;D236&amp;" WHERE "&amp;'0. Instruções'!$D$40&amp;")X"</f>
        <v>(SELECT entty_id, FLG_ACT_PHYSCL_RSK FROM BU_LOANTAPE_WORK.LT003_ENTITY WHERE ref_date='${ref_date}' AND nome_perimetro='Individual Corporativo' AND segmento='ESTR' AND ambito='PILAR3')X</v>
      </c>
      <c r="J236" s="41" t="str">
        <f>"(SELECT "&amp;VLOOKUP(B236,'0. Instruções'!$C$27:$G$31,4,FALSE)&amp;" AS "&amp;VLOOKUP(B236,'0. Instruções'!$C$27:$G$31,4,FALSE)&amp;"_SIMUL, "&amp;F236&amp;" AS "&amp;F236&amp;"_SIMUL FROM "&amp;E236&amp;")Y"</f>
        <v>(SELECT entty_id AS entty_id_SIMUL, FLG_ACT_PHYSCL_RSK AS FLG_ACT_PHYSCL_RSK_SIMUL FROM BU_LOANTAPE_WORK.LT003_ENTTY_P3_NOV24)Y</v>
      </c>
      <c r="K236" s="42" t="str">
        <f>+UPPER("ON X."&amp;VLOOKUP(B236,'0. Instruções'!$C$27:$G$31,4,FALSE)&amp;"=Y."&amp;VLOOKUP(B236,'0. Instruções'!$C$27:$G$31,4,FALSE)&amp;"_SIMUL")</f>
        <v>ON X.ENTTY_ID=Y.ENTTY_ID_SIMUL</v>
      </c>
      <c r="L236" s="42" t="str">
        <f>+IF(C236="Coerência", +IF(LEFT(G236,5)="FLOAT","SELECT '"&amp;UPPER(B236)&amp;"' AS TABELA, '"&amp;UPPER(C236)&amp;"' AS TIPOLOGIA_TESTE,'"&amp;D236&amp;"' AS TABELA_LT,'"&amp;E236&amp;"' AS TABELA_SIMUL,'"&amp;F236&amp;"' AS CAMPO, "&amp;"'${ref_date}' AS REF_DATE, COUNT(*) AS NUM_REG, SUM(IF((ABS(COALESCE(X."&amp;F236&amp;",0)-COALESCE(Y."&amp;F236&amp;"_SIMUL,0))&gt;0.0000000001) OR (X."&amp;F236&amp;" IS NULL AND Y."&amp;F236&amp;"_SIMUL IS NOT NULL ) OR (X."&amp;F236&amp;" IS NOT NULL AND Y."&amp;F236&amp;"_SIMUL IS NULL),1,0)) AS NUM_REG_DIF,'"&amp;MAX('ID1&amp;5'!K:K)+1&amp;"' AS ID_EXEC, CURRENT_TIMESTAMP() AS TIME_EXEC FROM "&amp;I236&amp;" INNER JOIN "&amp;J236&amp;" "&amp;K236,"SELECT '"&amp;UPPER(B236)&amp;"' AS TABELA, '"&amp;UPPER(C236)&amp;"' AS TIPOLOGIA_TESTE,'"&amp;D236&amp;"' AS TABELA_LT,'"&amp;E236&amp;"' AS TABELA_SIMUL,'"&amp;F236&amp;"' AS CAMPO, "&amp;"'${ref_date}' AS REF_DATE, COUNT(*) AS NUM_REG, SUM(IF(COALESCE(CAST(X."&amp;F236&amp;" AS STRING),'')&lt;&gt;COALESCE(CAST(Y."&amp;F236&amp;"_SIMUL AS STRING),''),1,0)) AS NUM_REG_DIF,'"&amp;MAX('ID1&amp;5'!L:L)+1&amp;"' AS ID_EXEC, CURRENT_TIMESTAMP() AS TIME_EXEC FROM "&amp;I236&amp;" INNER JOIN "&amp;J236&amp;" "&amp;K236),
IF(C236="Validade",+IF(G236="Code List","SELECT '"&amp;UPPER(B236)&amp;"' AS TABELA, '"&amp;UPPER(C236)&amp;"' AS TIPOLOGIA_TESTE,'"&amp;D236&amp;"' AS TABELA_LT,'N/A' AS TABELA_SIMUL,'"&amp;F236&amp;"' AS CAMPO, "&amp;"'${ref_date}' AS REF_DATE, COUNT(*) AS NUM_REG, SUM(IF(TRIM(CAST(X."&amp;F236&amp;" AS STRING))='' OR TRIM(CAST(X."&amp;F236&amp;" AS STRING)) IS NULL OR CAST(X."&amp;F236&amp;" AS STRING) NOT "&amp;H236&amp;",1,0)) AS NUM_REG_DIF,'"&amp;MAX('ID1&amp;5'!K:K)+1&amp;"' AS ID_EXEC, CURRENT_TIMESTAMP() AS TIME_EXEC FROM "&amp;I236,"SELECT '"&amp;UPPER(B236)&amp;"' AS TABELA, '"&amp;UPPER(C236)&amp;"' AS TIPOLOGIA_TESTE,'"&amp;D236&amp;"' AS TABELA_LT,'N/A' AS TABELA_SIMUL,'"&amp;F236&amp;"' AS CAMPO, "&amp;"'${ref_date}' AS REF_DATE, COUNT(*) AS NUM_REG, SUM(IF(TRIM(CAST(X."&amp;F236&amp;" AS STRING))='' OR TRIM(CAST(X."&amp;F236&amp;" AS STRING)) IS NULL,1,0)) AS NUM_REG_DIF,'"&amp;MAX('ID1&amp;5'!K:K)+1&amp;"' AS ID_EXEC, CURRENT_TIMESTAMP() AS TIME_EXEC FROM "&amp;I236),
IF(C236="Caracteres Especiais",+"SELECT '"&amp;UPPER(B236)&amp;"' AS TABELA, '"&amp;UPPER(C236)&amp;"' AS TIPOLOGIA_TESTE,'"&amp;D236&amp;"' AS TABELA_LT,'N/A' AS TABELA_SIMUL,'"&amp;F236&amp;"' AS CAMPO, "&amp;"'${ref_date}' AS REF_DATE, COUNT(*) AS NUM_REG, SUM(IF(INSTR(CAST(X."&amp;F236&amp;" AS STRING),'#')&gt;0 OR INSTR(CAST(X."&amp;F236&amp;" AS STRING),'*')&gt;0 OR INSTR(CAST(X."&amp;F236&amp;" AS STRING),'`')&gt;0 OR INSTR(CAST(X."&amp;F236&amp;" AS STRING),'´')&gt;0 OR INSTR(CAST(X."&amp;F236&amp;" AS STRING),'{')&gt;0 OR INSTR(CAST(X."&amp;F236&amp;" AS STRING),'}')&gt;0 OR INSTR(CAST(X."&amp;F236&amp;" AS STRING),'[')&gt;0 OR INSTR(CAST(X."&amp;F236&amp;" AS STRING),'')&gt;0 OR INSTR(CAST(X."&amp;F236&amp;" AS STRING),']')&gt;0 OR INSTR(CAST(X."&amp;F236&amp;" AS STRING),'?')&gt;0 OR INSTR(CAST(X."&amp;F236&amp;" AS STRING),'!')&gt;0 OR INSTR(CAST(X."&amp;F236&amp;" AS STRING),'$')&gt;0 OR INSTR(CAST(X."&amp;F236&amp;" AS STRING),'%')&gt;0 OR INSTR(CAST(X."&amp;F236&amp;" AS STRING),'&amp;')&gt;0 OR INSTR(CAST(X."&amp;F236&amp;" AS STRING),'+')&gt;0,1,0)) AS NUM_REG_DIF,'"&amp;MAX('ID1&amp;5'!K:K)+1&amp;"' AS ID_EXEC, CURRENT_TIMESTAMP() AS TIME_EXEC FROM "&amp;I236,
IF(C236="Missings",+"SELECT '"&amp;UPPER(B236)&amp;"' AS TABELA, '"&amp;UPPER(C236)&amp;"' AS TIPOLOGIA_TESTE,'"&amp;D236&amp;"' AS TABELA_LT,'N/A' AS TABELA_SIMUL,'"&amp;F236&amp;"' AS CAMPO, "&amp;"'${ref_date}' AS REF_DATE, COUNT(*) AS NUM_REG, SUM(IF(TRIM(CAST(X."&amp;F236&amp;" AS STRING)) IN ('0000-00-00','0001-01-01','9999-12-31','MISS','00000','99999999999','99999999999.00','99999999999.000000'),1,0)) AS NUM_REG_DIF,'"&amp;MAX('ID1&amp;5'!K:K)+1&amp;"' AS ID_EXEC, CURRENT_TIMESTAMP() AS TIME_EXEC FROM "&amp;I236,
IF(C236="Not applicable",+"SELECT '"&amp;UPPER(B236)&amp;"' AS TABELA, '"&amp;UPPER(C236)&amp;"' AS TIPOLOGIA_TESTE,'"&amp;D236&amp;"' AS TABELA_LT,'N/A' AS TABELA_SIMUL,'"&amp;F236&amp;"' AS CAMPO, "&amp;"'${ref_date}' AS REF_DATE, COUNT(*) AS NUM_REG, SUM(IF(TRIM(CAST(X."&amp;F236&amp;" AS STRING)) IN ('N/A','11111111111','11111111111.00','11111111111.000000','1111-11-11'),1,0)) AS NUM_REG_DIF,'"&amp;MAX('ID1&amp;5'!K:K)+1&amp;"' AS ID_EXEC, CURRENT_TIMESTAMP() AS TIME_EXEC FROM "&amp;I236,
IF(C236="Valores extremos",+"SELECT '"&amp;UPPER(B236)&amp;"' AS TABELA, '"&amp;UPPER(C236)&amp;"' AS TIPOLOGIA_TESTE,'"&amp;D236&amp;"' AS TABELA_LT,'N/A' AS TABELA_SIMUL,'"&amp;F236&amp;"' AS CAMPO, "&amp;"'${ref_date}' AS REF_DATE, CAST(MIN("&amp;F236&amp;") AS STRING) AS VALOR_MIN, CAST(MAX("&amp;F236&amp;") AS STRING) AS VALOR_MAX,'"&amp;MAX('ID1&amp;5'!K:K)+1&amp;"' AS ID_EXEC, CURRENT_TIMESTAMP() AS TIME_EXEC FROM "&amp;MID(I236,1,LEN(I236)-2)&amp;" AND CAST("&amp;F236&amp;"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TABELA_SIMUL,'FLG_ACT_PHYSCL_RSK' AS CAMPO, '${ref_date}' AS REF_DATE, COUNT(*) AS NUM_REG, SUM(IF(INSTR(CAST(X.FLG_ACT_PHYSCL_RSK AS STRING),'#')&gt;0 OR INSTR(CAST(X.FLG_ACT_PHYSCL_RSK AS STRING),'*')&gt;0 OR INSTR(CAST(X.FLG_ACT_PHYSCL_RSK AS STRING),'`')&gt;0 OR INSTR(CAST(X.FLG_ACT_PHYSCL_RSK AS STRING),'´')&gt;0 OR INSTR(CAST(X.FLG_ACT_PHYSCL_RSK AS STRING),'{')&gt;0 OR INSTR(CAST(X.FLG_ACT_PHYSCL_RSK AS STRING),'}')&gt;0 OR INSTR(CAST(X.FLG_ACT_PHYSCL_RSK AS STRING),'[')&gt;0 OR INSTR(CAST(X.FLG_ACT_PHYSCL_RSK AS STRING),'')&gt;0 OR INSTR(CAST(X.FLG_ACT_PHYSCL_RSK AS STRING),']')&gt;0 OR INSTR(CAST(X.FLG_ACT_PHYSCL_RSK AS STRING),'?')&gt;0 OR INSTR(CAST(X.FLG_ACT_PHYSCL_RSK AS STRING),'!')&gt;0 OR INSTR(CAST(X.FLG_ACT_PHYSCL_RSK AS STRING),'$')&gt;0 OR INSTR(CAST(X.FLG_ACT_PHYSCL_RSK AS STRING),'%')&gt;0 OR INSTR(CAST(X.FLG_ACT_PHYSCL_RSK AS STRING),'&amp;')&gt;0 OR INSTR(CAST(X.FLG_ACT_PHYSCL_RSK AS STRING),'+')&gt;0,1,0)) AS NUM_REG_DIF,'10' AS ID_EXEC, CURRENT_TIMESTAMP() AS TIME_EXEC FROM (SELECT entty_id, FLG_ACT_PHYSCL_RSK FROM BU_LOANTAPE_WORK.LT003_ENTITY WHERE ref_date='${ref_date}' AND nome_perimetro='Individual Corporativo' AND segmento='ESTR' AND ambito='PILAR3')X</v>
      </c>
      <c r="M236" s="43" t="str">
        <f t="shared" si="3"/>
        <v>UNION ALL SELECT 'ENTITY' AS TABELA, 'CARACTERES ESPECIAIS' AS TIPOLOGIA_TESTE,'BU_LOANTAPE_WORK.LT003_ENTITY' AS TABELA_LT,'N/A' AS TABELA_SIMUL,'FLG_ACT_PHYSCL_RSK' AS CAMPO, '${ref_date}' AS REF_DATE, COUNT(*) AS NUM_REG, SUM(IF(INSTR(CAST(X.FLG_ACT_PHYSCL_RSK AS STRING),'#')&gt;0 OR INSTR(CAST(X.FLG_ACT_PHYSCL_RSK AS STRING),'*')&gt;0 OR INSTR(CAST(X.FLG_ACT_PHYSCL_RSK AS STRING),'`')&gt;0 OR INSTR(CAST(X.FLG_ACT_PHYSCL_RSK AS STRING),'´')&gt;0 OR INSTR(CAST(X.FLG_ACT_PHYSCL_RSK AS STRING),'{')&gt;0 OR INSTR(CAST(X.FLG_ACT_PHYSCL_RSK AS STRING),'}')&gt;0 OR INSTR(CAST(X.FLG_ACT_PHYSCL_RSK AS STRING),'[')&gt;0 OR INSTR(CAST(X.FLG_ACT_PHYSCL_RSK AS STRING),'')&gt;0 OR INSTR(CAST(X.FLG_ACT_PHYSCL_RSK AS STRING),']')&gt;0 OR INSTR(CAST(X.FLG_ACT_PHYSCL_RSK AS STRING),'?')&gt;0 OR INSTR(CAST(X.FLG_ACT_PHYSCL_RSK AS STRING),'!')&gt;0 OR INSTR(CAST(X.FLG_ACT_PHYSCL_RSK AS STRING),'$')&gt;0 OR INSTR(CAST(X.FLG_ACT_PHYSCL_RSK AS STRING),'%')&gt;0 OR INSTR(CAST(X.FLG_ACT_PHYSCL_RSK AS STRING),'&amp;')&gt;0 OR INSTR(CAST(X.FLG_ACT_PHYSCL_RSK AS STRING),'+')&gt;0,1,0)) AS NUM_REG_DIF,'10' AS ID_EXEC, CURRENT_TIMESTAMP() AS TIME_EXEC FROM (SELECT entty_id, FLG_ACT_PHYSCL_RSK FROM BU_LOANTAPE_WORK.LT003_ENTITY WHERE ref_date='${ref_date}' AND nome_perimetro='Individual Corporativo' AND segmento='ESTR' AND ambito='PILAR3')X</v>
      </c>
      <c r="N236" s="45" t="s">
        <v>13</v>
      </c>
    </row>
    <row r="237" spans="2:14">
      <c r="B237" s="41" t="s">
        <v>23</v>
      </c>
      <c r="C237" s="41" t="s">
        <v>76</v>
      </c>
      <c r="D237" s="41" t="str">
        <f>+UPPER('0. Instruções'!$D$33&amp;"."&amp;VLOOKUP(B237,'0. Instruções'!$C$27:$D$31,2,FALSE))</f>
        <v>BU_LOANTAPE_WORK.LT003_ENTITY</v>
      </c>
      <c r="E237" s="41" t="str">
        <f>+UPPER('0. Instruções'!$D$34&amp;"."&amp;VLOOKUP(B237,'0. Instruções'!$C$27:$E$31,3,FALSE))</f>
        <v>BU_LOANTAPE_WORK.LT003_ENTTY_P3_NOV24</v>
      </c>
      <c r="F237" s="41" t="s">
        <v>122</v>
      </c>
      <c r="G237" s="41" t="s">
        <v>211</v>
      </c>
      <c r="H237" s="41"/>
      <c r="I237" s="41" t="str">
        <f>"(SELECT "&amp;VLOOKUP(B237,'0. Instruções'!$C$27:$G$31,4,FALSE)&amp;", "&amp;F237&amp;" FROM "&amp;D237&amp;" WHERE "&amp;'0. Instruções'!$D$40&amp;")X"</f>
        <v>(SELECT entty_id, FLG_CHRNC_PHYSCL_RSK FROM BU_LOANTAPE_WORK.LT003_ENTITY WHERE ref_date='${ref_date}' AND nome_perimetro='Individual Corporativo' AND segmento='ESTR' AND ambito='PILAR3')X</v>
      </c>
      <c r="J237" s="41" t="str">
        <f>"(SELECT "&amp;VLOOKUP(B237,'0. Instruções'!$C$27:$G$31,4,FALSE)&amp;" AS "&amp;VLOOKUP(B237,'0. Instruções'!$C$27:$G$31,4,FALSE)&amp;"_SIMUL, "&amp;F237&amp;" AS "&amp;F237&amp;"_SIMUL FROM "&amp;E237&amp;")Y"</f>
        <v>(SELECT entty_id AS entty_id_SIMUL, FLG_CHRNC_PHYSCL_RSK AS FLG_CHRNC_PHYSCL_RSK_SIMUL FROM BU_LOANTAPE_WORK.LT003_ENTTY_P3_NOV24)Y</v>
      </c>
      <c r="K237" s="42" t="str">
        <f>+UPPER("ON X."&amp;VLOOKUP(B237,'0. Instruções'!$C$27:$G$31,4,FALSE)&amp;"=Y."&amp;VLOOKUP(B237,'0. Instruções'!$C$27:$G$31,4,FALSE)&amp;"_SIMUL")</f>
        <v>ON X.ENTTY_ID=Y.ENTTY_ID_SIMUL</v>
      </c>
      <c r="L237" s="42" t="str">
        <f>+IF(C237="Coerência", +IF(LEFT(G237,5)="FLOAT","SELECT '"&amp;UPPER(B237)&amp;"' AS TABELA, '"&amp;UPPER(C237)&amp;"' AS TIPOLOGIA_TESTE,'"&amp;D237&amp;"' AS TABELA_LT,'"&amp;E237&amp;"' AS TABELA_SIMUL,'"&amp;F237&amp;"' AS CAMPO, "&amp;"'${ref_date}' AS REF_DATE, COUNT(*) AS NUM_REG, SUM(IF((ABS(COALESCE(X."&amp;F237&amp;",0)-COALESCE(Y."&amp;F237&amp;"_SIMUL,0))&gt;0.0000000001) OR (X."&amp;F237&amp;" IS NULL AND Y."&amp;F237&amp;"_SIMUL IS NOT NULL ) OR (X."&amp;F237&amp;" IS NOT NULL AND Y."&amp;F237&amp;"_SIMUL IS NULL),1,0)) AS NUM_REG_DIF,'"&amp;MAX('ID1&amp;5'!K:K)+1&amp;"' AS ID_EXEC, CURRENT_TIMESTAMP() AS TIME_EXEC FROM "&amp;I237&amp;" INNER JOIN "&amp;J237&amp;" "&amp;K237,"SELECT '"&amp;UPPER(B237)&amp;"' AS TABELA, '"&amp;UPPER(C237)&amp;"' AS TIPOLOGIA_TESTE,'"&amp;D237&amp;"' AS TABELA_LT,'"&amp;E237&amp;"' AS TABELA_SIMUL,'"&amp;F237&amp;"' AS CAMPO, "&amp;"'${ref_date}' AS REF_DATE, COUNT(*) AS NUM_REG, SUM(IF(COALESCE(CAST(X."&amp;F237&amp;" AS STRING),'')&lt;&gt;COALESCE(CAST(Y."&amp;F237&amp;"_SIMUL AS STRING),''),1,0)) AS NUM_REG_DIF,'"&amp;MAX('ID1&amp;5'!L:L)+1&amp;"' AS ID_EXEC, CURRENT_TIMESTAMP() AS TIME_EXEC FROM "&amp;I237&amp;" INNER JOIN "&amp;J237&amp;" "&amp;K237),
IF(C237="Validade",+IF(G237="Code List","SELECT '"&amp;UPPER(B237)&amp;"' AS TABELA, '"&amp;UPPER(C237)&amp;"' AS TIPOLOGIA_TESTE,'"&amp;D237&amp;"' AS TABELA_LT,'N/A' AS TABELA_SIMUL,'"&amp;F237&amp;"' AS CAMPO, "&amp;"'${ref_date}' AS REF_DATE, COUNT(*) AS NUM_REG, SUM(IF(TRIM(CAST(X."&amp;F237&amp;" AS STRING))='' OR TRIM(CAST(X."&amp;F237&amp;" AS STRING)) IS NULL OR CAST(X."&amp;F237&amp;" AS STRING) NOT "&amp;H237&amp;",1,0)) AS NUM_REG_DIF,'"&amp;MAX('ID1&amp;5'!K:K)+1&amp;"' AS ID_EXEC, CURRENT_TIMESTAMP() AS TIME_EXEC FROM "&amp;I237,"SELECT '"&amp;UPPER(B237)&amp;"' AS TABELA, '"&amp;UPPER(C237)&amp;"' AS TIPOLOGIA_TESTE,'"&amp;D237&amp;"' AS TABELA_LT,'N/A' AS TABELA_SIMUL,'"&amp;F237&amp;"' AS CAMPO, "&amp;"'${ref_date}' AS REF_DATE, COUNT(*) AS NUM_REG, SUM(IF(TRIM(CAST(X."&amp;F237&amp;" AS STRING))='' OR TRIM(CAST(X."&amp;F237&amp;" AS STRING)) IS NULL,1,0)) AS NUM_REG_DIF,'"&amp;MAX('ID1&amp;5'!K:K)+1&amp;"' AS ID_EXEC, CURRENT_TIMESTAMP() AS TIME_EXEC FROM "&amp;I237),
IF(C237="Caracteres Especiais",+"SELECT '"&amp;UPPER(B237)&amp;"' AS TABELA, '"&amp;UPPER(C237)&amp;"' AS TIPOLOGIA_TESTE,'"&amp;D237&amp;"' AS TABELA_LT,'N/A' AS TABELA_SIMUL,'"&amp;F237&amp;"' AS CAMPO, "&amp;"'${ref_date}' AS REF_DATE, COUNT(*) AS NUM_REG, SUM(IF(INSTR(CAST(X."&amp;F237&amp;" AS STRING),'#')&gt;0 OR INSTR(CAST(X."&amp;F237&amp;" AS STRING),'*')&gt;0 OR INSTR(CAST(X."&amp;F237&amp;" AS STRING),'`')&gt;0 OR INSTR(CAST(X."&amp;F237&amp;" AS STRING),'´')&gt;0 OR INSTR(CAST(X."&amp;F237&amp;" AS STRING),'{')&gt;0 OR INSTR(CAST(X."&amp;F237&amp;" AS STRING),'}')&gt;0 OR INSTR(CAST(X."&amp;F237&amp;" AS STRING),'[')&gt;0 OR INSTR(CAST(X."&amp;F237&amp;" AS STRING),'')&gt;0 OR INSTR(CAST(X."&amp;F237&amp;" AS STRING),']')&gt;0 OR INSTR(CAST(X."&amp;F237&amp;" AS STRING),'?')&gt;0 OR INSTR(CAST(X."&amp;F237&amp;" AS STRING),'!')&gt;0 OR INSTR(CAST(X."&amp;F237&amp;" AS STRING),'$')&gt;0 OR INSTR(CAST(X."&amp;F237&amp;" AS STRING),'%')&gt;0 OR INSTR(CAST(X."&amp;F237&amp;" AS STRING),'&amp;')&gt;0 OR INSTR(CAST(X."&amp;F237&amp;" AS STRING),'+')&gt;0,1,0)) AS NUM_REG_DIF,'"&amp;MAX('ID1&amp;5'!K:K)+1&amp;"' AS ID_EXEC, CURRENT_TIMESTAMP() AS TIME_EXEC FROM "&amp;I237,
IF(C237="Missings",+"SELECT '"&amp;UPPER(B237)&amp;"' AS TABELA, '"&amp;UPPER(C237)&amp;"' AS TIPOLOGIA_TESTE,'"&amp;D237&amp;"' AS TABELA_LT,'N/A' AS TABELA_SIMUL,'"&amp;F237&amp;"' AS CAMPO, "&amp;"'${ref_date}' AS REF_DATE, COUNT(*) AS NUM_REG, SUM(IF(TRIM(CAST(X."&amp;F237&amp;" AS STRING)) IN ('0000-00-00','0001-01-01','9999-12-31','MISS','00000','99999999999','99999999999.00','99999999999.000000'),1,0)) AS NUM_REG_DIF,'"&amp;MAX('ID1&amp;5'!K:K)+1&amp;"' AS ID_EXEC, CURRENT_TIMESTAMP() AS TIME_EXEC FROM "&amp;I237,
IF(C237="Not applicable",+"SELECT '"&amp;UPPER(B237)&amp;"' AS TABELA, '"&amp;UPPER(C237)&amp;"' AS TIPOLOGIA_TESTE,'"&amp;D237&amp;"' AS TABELA_LT,'N/A' AS TABELA_SIMUL,'"&amp;F237&amp;"' AS CAMPO, "&amp;"'${ref_date}' AS REF_DATE, COUNT(*) AS NUM_REG, SUM(IF(TRIM(CAST(X."&amp;F237&amp;" AS STRING)) IN ('N/A','11111111111','11111111111.00','11111111111.000000','1111-11-11'),1,0)) AS NUM_REG_DIF,'"&amp;MAX('ID1&amp;5'!K:K)+1&amp;"' AS ID_EXEC, CURRENT_TIMESTAMP() AS TIME_EXEC FROM "&amp;I237,
IF(C237="Valores extremos",+"SELECT '"&amp;UPPER(B237)&amp;"' AS TABELA, '"&amp;UPPER(C237)&amp;"' AS TIPOLOGIA_TESTE,'"&amp;D237&amp;"' AS TABELA_LT,'N/A' AS TABELA_SIMUL,'"&amp;F237&amp;"' AS CAMPO, "&amp;"'${ref_date}' AS REF_DATE, CAST(MIN("&amp;F237&amp;") AS STRING) AS VALOR_MIN, CAST(MAX("&amp;F237&amp;") AS STRING) AS VALOR_MAX,'"&amp;MAX('ID1&amp;5'!K:K)+1&amp;"' AS ID_EXEC, CURRENT_TIMESTAMP() AS TIME_EXEC FROM "&amp;MID(I237,1,LEN(I237)-2)&amp;" AND CAST("&amp;F237&amp;"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TABELA_SIMUL,'FLG_CHRNC_PHYSCL_RSK' AS CAMPO, '${ref_date}' AS REF_DATE, COUNT(*) AS NUM_REG, SUM(IF(INSTR(CAST(X.FLG_CHRNC_PHYSCL_RSK AS STRING),'#')&gt;0 OR INSTR(CAST(X.FLG_CHRNC_PHYSCL_RSK AS STRING),'*')&gt;0 OR INSTR(CAST(X.FLG_CHRNC_PHYSCL_RSK AS STRING),'`')&gt;0 OR INSTR(CAST(X.FLG_CHRNC_PHYSCL_RSK AS STRING),'´')&gt;0 OR INSTR(CAST(X.FLG_CHRNC_PHYSCL_RSK AS STRING),'{')&gt;0 OR INSTR(CAST(X.FLG_CHRNC_PHYSCL_RSK AS STRING),'}')&gt;0 OR INSTR(CAST(X.FLG_CHRNC_PHYSCL_RSK AS STRING),'[')&gt;0 OR INSTR(CAST(X.FLG_CHRNC_PHYSCL_RSK AS STRING),'')&gt;0 OR INSTR(CAST(X.FLG_CHRNC_PHYSCL_RSK AS STRING),']')&gt;0 OR INSTR(CAST(X.FLG_CHRNC_PHYSCL_RSK AS STRING),'?')&gt;0 OR INSTR(CAST(X.FLG_CHRNC_PHYSCL_RSK AS STRING),'!')&gt;0 OR INSTR(CAST(X.FLG_CHRNC_PHYSCL_RSK AS STRING),'$')&gt;0 OR INSTR(CAST(X.FLG_CHRNC_PHYSCL_RSK AS STRING),'%')&gt;0 OR INSTR(CAST(X.FLG_CHRNC_PHYSCL_RSK AS STRING),'&amp;')&gt;0 OR INSTR(CAST(X.FLG_CHRNC_PHYSCL_RSK AS STRING),'+')&gt;0,1,0)) AS NUM_REG_DIF,'10' AS ID_EXEC, CURRENT_TIMESTAMP() AS TIME_EXEC FROM (SELECT entty_id, FLG_CHRNC_PHYSCL_RSK FROM BU_LOANTAPE_WORK.LT003_ENTITY WHERE ref_date='${ref_date}' AND nome_perimetro='Individual Corporativo' AND segmento='ESTR' AND ambito='PILAR3')X</v>
      </c>
      <c r="M237" s="43" t="str">
        <f t="shared" si="3"/>
        <v>UNION ALL SELECT 'ENTITY' AS TABELA, 'CARACTERES ESPECIAIS' AS TIPOLOGIA_TESTE,'BU_LOANTAPE_WORK.LT003_ENTITY' AS TABELA_LT,'N/A' AS TABELA_SIMUL,'FLG_CHRNC_PHYSCL_RSK' AS CAMPO, '${ref_date}' AS REF_DATE, COUNT(*) AS NUM_REG, SUM(IF(INSTR(CAST(X.FLG_CHRNC_PHYSCL_RSK AS STRING),'#')&gt;0 OR INSTR(CAST(X.FLG_CHRNC_PHYSCL_RSK AS STRING),'*')&gt;0 OR INSTR(CAST(X.FLG_CHRNC_PHYSCL_RSK AS STRING),'`')&gt;0 OR INSTR(CAST(X.FLG_CHRNC_PHYSCL_RSK AS STRING),'´')&gt;0 OR INSTR(CAST(X.FLG_CHRNC_PHYSCL_RSK AS STRING),'{')&gt;0 OR INSTR(CAST(X.FLG_CHRNC_PHYSCL_RSK AS STRING),'}')&gt;0 OR INSTR(CAST(X.FLG_CHRNC_PHYSCL_RSK AS STRING),'[')&gt;0 OR INSTR(CAST(X.FLG_CHRNC_PHYSCL_RSK AS STRING),'')&gt;0 OR INSTR(CAST(X.FLG_CHRNC_PHYSCL_RSK AS STRING),']')&gt;0 OR INSTR(CAST(X.FLG_CHRNC_PHYSCL_RSK AS STRING),'?')&gt;0 OR INSTR(CAST(X.FLG_CHRNC_PHYSCL_RSK AS STRING),'!')&gt;0 OR INSTR(CAST(X.FLG_CHRNC_PHYSCL_RSK AS STRING),'$')&gt;0 OR INSTR(CAST(X.FLG_CHRNC_PHYSCL_RSK AS STRING),'%')&gt;0 OR INSTR(CAST(X.FLG_CHRNC_PHYSCL_RSK AS STRING),'&amp;')&gt;0 OR INSTR(CAST(X.FLG_CHRNC_PHYSCL_RSK AS STRING),'+')&gt;0,1,0)) AS NUM_REG_DIF,'10' AS ID_EXEC, CURRENT_TIMESTAMP() AS TIME_EXEC FROM (SELECT entty_id, FLG_CHRNC_PHYSCL_RSK FROM BU_LOANTAPE_WORK.LT003_ENTITY WHERE ref_date='${ref_date}' AND nome_perimetro='Individual Corporativo' AND segmento='ESTR' AND ambito='PILAR3')X</v>
      </c>
      <c r="N237" s="45" t="s">
        <v>13</v>
      </c>
    </row>
    <row r="238" spans="2:14">
      <c r="B238" s="41" t="s">
        <v>23</v>
      </c>
      <c r="C238" s="41" t="s">
        <v>76</v>
      </c>
      <c r="D238" s="41" t="str">
        <f>+UPPER('0. Instruções'!$D$33&amp;"."&amp;VLOOKUP(B238,'0. Instruções'!$C$27:$D$31,2,FALSE))</f>
        <v>BU_LOANTAPE_WORK.LT003_ENTITY</v>
      </c>
      <c r="E238" s="41" t="str">
        <f>+UPPER('0. Instruções'!$D$34&amp;"."&amp;VLOOKUP(B238,'0. Instruções'!$C$27:$E$31,3,FALSE))</f>
        <v>BU_LOANTAPE_WORK.LT003_ENTTY_P3_NOV24</v>
      </c>
      <c r="F238" s="41" t="s">
        <v>123</v>
      </c>
      <c r="G238" s="41" t="s">
        <v>212</v>
      </c>
      <c r="H238" s="41"/>
      <c r="I238" s="41" t="str">
        <f>"(SELECT "&amp;VLOOKUP(B238,'0. Instruções'!$C$27:$G$31,4,FALSE)&amp;", "&amp;F238&amp;" FROM "&amp;D238&amp;" WHERE "&amp;'0. Instruções'!$D$40&amp;")X"</f>
        <v>(SELECT entty_id, PST_CD FROM BU_LOANTAPE_WORK.LT003_ENTITY WHERE ref_date='${ref_date}' AND nome_perimetro='Individual Corporativo' AND segmento='ESTR' AND ambito='PILAR3')X</v>
      </c>
      <c r="J238" s="41" t="str">
        <f>"(SELECT "&amp;VLOOKUP(B238,'0. Instruções'!$C$27:$G$31,4,FALSE)&amp;" AS "&amp;VLOOKUP(B238,'0. Instruções'!$C$27:$G$31,4,FALSE)&amp;"_SIMUL, "&amp;F238&amp;" AS "&amp;F238&amp;"_SIMUL FROM "&amp;E238&amp;")Y"</f>
        <v>(SELECT entty_id AS entty_id_SIMUL, PST_CD AS PST_CD_SIMUL FROM BU_LOANTAPE_WORK.LT003_ENTTY_P3_NOV24)Y</v>
      </c>
      <c r="K238" s="42" t="str">
        <f>+UPPER("ON X."&amp;VLOOKUP(B238,'0. Instruções'!$C$27:$G$31,4,FALSE)&amp;"=Y."&amp;VLOOKUP(B238,'0. Instruções'!$C$27:$G$31,4,FALSE)&amp;"_SIMUL")</f>
        <v>ON X.ENTTY_ID=Y.ENTTY_ID_SIMUL</v>
      </c>
      <c r="L238" s="42" t="str">
        <f>+IF(C238="Coerência", +IF(LEFT(G238,5)="FLOAT","SELECT '"&amp;UPPER(B238)&amp;"' AS TABELA, '"&amp;UPPER(C238)&amp;"' AS TIPOLOGIA_TESTE,'"&amp;D238&amp;"' AS TABELA_LT,'"&amp;E238&amp;"' AS TABELA_SIMUL,'"&amp;F238&amp;"' AS CAMPO, "&amp;"'${ref_date}' AS REF_DATE, COUNT(*) AS NUM_REG, SUM(IF((ABS(COALESCE(X."&amp;F238&amp;",0)-COALESCE(Y."&amp;F238&amp;"_SIMUL,0))&gt;0.0000000001) OR (X."&amp;F238&amp;" IS NULL AND Y."&amp;F238&amp;"_SIMUL IS NOT NULL ) OR (X."&amp;F238&amp;" IS NOT NULL AND Y."&amp;F238&amp;"_SIMUL IS NULL),1,0)) AS NUM_REG_DIF,'"&amp;MAX('ID1&amp;5'!K:K)+1&amp;"' AS ID_EXEC, CURRENT_TIMESTAMP() AS TIME_EXEC FROM "&amp;I238&amp;" INNER JOIN "&amp;J238&amp;" "&amp;K238,"SELECT '"&amp;UPPER(B238)&amp;"' AS TABELA, '"&amp;UPPER(C238)&amp;"' AS TIPOLOGIA_TESTE,'"&amp;D238&amp;"' AS TABELA_LT,'"&amp;E238&amp;"' AS TABELA_SIMUL,'"&amp;F238&amp;"' AS CAMPO, "&amp;"'${ref_date}' AS REF_DATE, COUNT(*) AS NUM_REG, SUM(IF(COALESCE(CAST(X."&amp;F238&amp;" AS STRING),'')&lt;&gt;COALESCE(CAST(Y."&amp;F238&amp;"_SIMUL AS STRING),''),1,0)) AS NUM_REG_DIF,'"&amp;MAX('ID1&amp;5'!L:L)+1&amp;"' AS ID_EXEC, CURRENT_TIMESTAMP() AS TIME_EXEC FROM "&amp;I238&amp;" INNER JOIN "&amp;J238&amp;" "&amp;K238),
IF(C238="Validade",+IF(G238="Code List","SELECT '"&amp;UPPER(B238)&amp;"' AS TABELA, '"&amp;UPPER(C238)&amp;"' AS TIPOLOGIA_TESTE,'"&amp;D238&amp;"' AS TABELA_LT,'N/A' AS TABELA_SIMUL,'"&amp;F238&amp;"' AS CAMPO, "&amp;"'${ref_date}' AS REF_DATE, COUNT(*) AS NUM_REG, SUM(IF(TRIM(CAST(X."&amp;F238&amp;" AS STRING))='' OR TRIM(CAST(X."&amp;F238&amp;" AS STRING)) IS NULL OR CAST(X."&amp;F238&amp;" AS STRING) NOT "&amp;H238&amp;",1,0)) AS NUM_REG_DIF,'"&amp;MAX('ID1&amp;5'!K:K)+1&amp;"' AS ID_EXEC, CURRENT_TIMESTAMP() AS TIME_EXEC FROM "&amp;I238,"SELECT '"&amp;UPPER(B238)&amp;"' AS TABELA, '"&amp;UPPER(C238)&amp;"' AS TIPOLOGIA_TESTE,'"&amp;D238&amp;"' AS TABELA_LT,'N/A' AS TABELA_SIMUL,'"&amp;F238&amp;"' AS CAMPO, "&amp;"'${ref_date}' AS REF_DATE, COUNT(*) AS NUM_REG, SUM(IF(TRIM(CAST(X."&amp;F238&amp;" AS STRING))='' OR TRIM(CAST(X."&amp;F238&amp;" AS STRING)) IS NULL,1,0)) AS NUM_REG_DIF,'"&amp;MAX('ID1&amp;5'!K:K)+1&amp;"' AS ID_EXEC, CURRENT_TIMESTAMP() AS TIME_EXEC FROM "&amp;I238),
IF(C238="Caracteres Especiais",+"SELECT '"&amp;UPPER(B238)&amp;"' AS TABELA, '"&amp;UPPER(C238)&amp;"' AS TIPOLOGIA_TESTE,'"&amp;D238&amp;"' AS TABELA_LT,'N/A' AS TABELA_SIMUL,'"&amp;F238&amp;"' AS CAMPO, "&amp;"'${ref_date}' AS REF_DATE, COUNT(*) AS NUM_REG, SUM(IF(INSTR(CAST(X."&amp;F238&amp;" AS STRING),'#')&gt;0 OR INSTR(CAST(X."&amp;F238&amp;" AS STRING),'*')&gt;0 OR INSTR(CAST(X."&amp;F238&amp;" AS STRING),'`')&gt;0 OR INSTR(CAST(X."&amp;F238&amp;" AS STRING),'´')&gt;0 OR INSTR(CAST(X."&amp;F238&amp;" AS STRING),'{')&gt;0 OR INSTR(CAST(X."&amp;F238&amp;" AS STRING),'}')&gt;0 OR INSTR(CAST(X."&amp;F238&amp;" AS STRING),'[')&gt;0 OR INSTR(CAST(X."&amp;F238&amp;" AS STRING),'')&gt;0 OR INSTR(CAST(X."&amp;F238&amp;" AS STRING),']')&gt;0 OR INSTR(CAST(X."&amp;F238&amp;" AS STRING),'?')&gt;0 OR INSTR(CAST(X."&amp;F238&amp;" AS STRING),'!')&gt;0 OR INSTR(CAST(X."&amp;F238&amp;" AS STRING),'$')&gt;0 OR INSTR(CAST(X."&amp;F238&amp;" AS STRING),'%')&gt;0 OR INSTR(CAST(X."&amp;F238&amp;" AS STRING),'&amp;')&gt;0 OR INSTR(CAST(X."&amp;F238&amp;" AS STRING),'+')&gt;0,1,0)) AS NUM_REG_DIF,'"&amp;MAX('ID1&amp;5'!K:K)+1&amp;"' AS ID_EXEC, CURRENT_TIMESTAMP() AS TIME_EXEC FROM "&amp;I238,
IF(C238="Missings",+"SELECT '"&amp;UPPER(B238)&amp;"' AS TABELA, '"&amp;UPPER(C238)&amp;"' AS TIPOLOGIA_TESTE,'"&amp;D238&amp;"' AS TABELA_LT,'N/A' AS TABELA_SIMUL,'"&amp;F238&amp;"' AS CAMPO, "&amp;"'${ref_date}' AS REF_DATE, COUNT(*) AS NUM_REG, SUM(IF(TRIM(CAST(X."&amp;F238&amp;" AS STRING)) IN ('0000-00-00','0001-01-01','9999-12-31','MISS','00000','99999999999','99999999999.00','99999999999.000000'),1,0)) AS NUM_REG_DIF,'"&amp;MAX('ID1&amp;5'!K:K)+1&amp;"' AS ID_EXEC, CURRENT_TIMESTAMP() AS TIME_EXEC FROM "&amp;I238,
IF(C238="Not applicable",+"SELECT '"&amp;UPPER(B238)&amp;"' AS TABELA, '"&amp;UPPER(C238)&amp;"' AS TIPOLOGIA_TESTE,'"&amp;D238&amp;"' AS TABELA_LT,'N/A' AS TABELA_SIMUL,'"&amp;F238&amp;"' AS CAMPO, "&amp;"'${ref_date}' AS REF_DATE, COUNT(*) AS NUM_REG, SUM(IF(TRIM(CAST(X."&amp;F238&amp;" AS STRING)) IN ('N/A','11111111111','11111111111.00','11111111111.000000','1111-11-11'),1,0)) AS NUM_REG_DIF,'"&amp;MAX('ID1&amp;5'!K:K)+1&amp;"' AS ID_EXEC, CURRENT_TIMESTAMP() AS TIME_EXEC FROM "&amp;I238,
IF(C238="Valores extremos",+"SELECT '"&amp;UPPER(B238)&amp;"' AS TABELA, '"&amp;UPPER(C238)&amp;"' AS TIPOLOGIA_TESTE,'"&amp;D238&amp;"' AS TABELA_LT,'N/A' AS TABELA_SIMUL,'"&amp;F238&amp;"' AS CAMPO, "&amp;"'${ref_date}' AS REF_DATE, CAST(MIN("&amp;F238&amp;") AS STRING) AS VALOR_MIN, CAST(MAX("&amp;F238&amp;") AS STRING) AS VALOR_MAX,'"&amp;MAX('ID1&amp;5'!K:K)+1&amp;"' AS ID_EXEC, CURRENT_TIMESTAMP() AS TIME_EXEC FROM "&amp;MID(I238,1,LEN(I238)-2)&amp;" AND CAST("&amp;F238&amp;"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TABELA_SIMUL,'PST_CD' AS CAMPO, '${ref_date}' AS REF_DATE, COUNT(*) AS NUM_REG, SUM(IF(INSTR(CAST(X.PST_CD AS STRING),'#')&gt;0 OR INSTR(CAST(X.PST_CD AS STRING),'*')&gt;0 OR INSTR(CAST(X.PST_CD AS STRING),'`')&gt;0 OR INSTR(CAST(X.PST_CD AS STRING),'´')&gt;0 OR INSTR(CAST(X.PST_CD AS STRING),'{')&gt;0 OR INSTR(CAST(X.PST_CD AS STRING),'}')&gt;0 OR INSTR(CAST(X.PST_CD AS STRING),'[')&gt;0 OR INSTR(CAST(X.PST_CD AS STRING),'')&gt;0 OR INSTR(CAST(X.PST_CD AS STRING),']')&gt;0 OR INSTR(CAST(X.PST_CD AS STRING),'?')&gt;0 OR INSTR(CAST(X.PST_CD AS STRING),'!')&gt;0 OR INSTR(CAST(X.PST_CD AS STRING),'$')&gt;0 OR INSTR(CAST(X.PST_CD AS STRING),'%')&gt;0 OR INSTR(CAST(X.PST_CD AS STRING),'&amp;')&gt;0 OR INSTR(CAST(X.PST_CD AS STRING),'+')&gt;0,1,0)) AS NUM_REG_DIF,'10' AS ID_EXEC, CURRENT_TIMESTAMP() AS TIME_EXEC FROM (SELECT entty_id, PST_CD FROM BU_LOANTAPE_WORK.LT003_ENTITY WHERE ref_date='${ref_date}' AND nome_perimetro='Individual Corporativo' AND segmento='ESTR' AND ambito='PILAR3')X</v>
      </c>
      <c r="M238" s="43" t="str">
        <f t="shared" si="3"/>
        <v>UNION ALL SELECT 'ENTITY' AS TABELA, 'CARACTERES ESPECIAIS' AS TIPOLOGIA_TESTE,'BU_LOANTAPE_WORK.LT003_ENTITY' AS TABELA_LT,'N/A' AS TABELA_SIMUL,'PST_CD' AS CAMPO, '${ref_date}' AS REF_DATE, COUNT(*) AS NUM_REG, SUM(IF(INSTR(CAST(X.PST_CD AS STRING),'#')&gt;0 OR INSTR(CAST(X.PST_CD AS STRING),'*')&gt;0 OR INSTR(CAST(X.PST_CD AS STRING),'`')&gt;0 OR INSTR(CAST(X.PST_CD AS STRING),'´')&gt;0 OR INSTR(CAST(X.PST_CD AS STRING),'{')&gt;0 OR INSTR(CAST(X.PST_CD AS STRING),'}')&gt;0 OR INSTR(CAST(X.PST_CD AS STRING),'[')&gt;0 OR INSTR(CAST(X.PST_CD AS STRING),'')&gt;0 OR INSTR(CAST(X.PST_CD AS STRING),']')&gt;0 OR INSTR(CAST(X.PST_CD AS STRING),'?')&gt;0 OR INSTR(CAST(X.PST_CD AS STRING),'!')&gt;0 OR INSTR(CAST(X.PST_CD AS STRING),'$')&gt;0 OR INSTR(CAST(X.PST_CD AS STRING),'%')&gt;0 OR INSTR(CAST(X.PST_CD AS STRING),'&amp;')&gt;0 OR INSTR(CAST(X.PST_CD AS STRING),'+')&gt;0,1,0)) AS NUM_REG_DIF,'10' AS ID_EXEC, CURRENT_TIMESTAMP() AS TIME_EXEC FROM (SELECT entty_id, PST_CD FROM BU_LOANTAPE_WORK.LT003_ENTITY WHERE ref_date='${ref_date}' AND nome_perimetro='Individual Corporativo' AND segmento='ESTR' AND ambito='PILAR3')X</v>
      </c>
      <c r="N238" s="45" t="s">
        <v>13</v>
      </c>
    </row>
    <row r="239" spans="2:14">
      <c r="B239" s="41" t="s">
        <v>23</v>
      </c>
      <c r="C239" s="41" t="s">
        <v>76</v>
      </c>
      <c r="D239" s="41" t="str">
        <f>+UPPER('0. Instruções'!$D$33&amp;"."&amp;VLOOKUP(B239,'0. Instruções'!$C$27:$D$31,2,FALSE))</f>
        <v>BU_LOANTAPE_WORK.LT003_ENTITY</v>
      </c>
      <c r="E239" s="41" t="str">
        <f>+UPPER('0. Instruções'!$D$34&amp;"."&amp;VLOOKUP(B239,'0. Instruções'!$C$27:$E$31,3,FALSE))</f>
        <v>BU_LOANTAPE_WORK.LT003_ENTTY_P3_NOV24</v>
      </c>
      <c r="F239" s="41" t="s">
        <v>125</v>
      </c>
      <c r="G239" s="41" t="s">
        <v>209</v>
      </c>
      <c r="H239" s="41"/>
      <c r="I239" s="41" t="str">
        <f>"(SELECT "&amp;VLOOKUP(B239,'0. Instruções'!$C$27:$G$31,4,FALSE)&amp;", "&amp;F239&amp;" FROM "&amp;D239&amp;" WHERE "&amp;'0. Instruções'!$D$40&amp;")X"</f>
        <v>(SELECT entty_id, ESG_SBSCTR FROM BU_LOANTAPE_WORK.LT003_ENTITY WHERE ref_date='${ref_date}' AND nome_perimetro='Individual Corporativo' AND segmento='ESTR' AND ambito='PILAR3')X</v>
      </c>
      <c r="J239" s="41" t="str">
        <f>"(SELECT "&amp;VLOOKUP(B239,'0. Instruções'!$C$27:$G$31,4,FALSE)&amp;" AS "&amp;VLOOKUP(B239,'0. Instruções'!$C$27:$G$31,4,FALSE)&amp;"_SIMUL, "&amp;F239&amp;" AS "&amp;F239&amp;"_SIMUL FROM "&amp;E239&amp;")Y"</f>
        <v>(SELECT entty_id AS entty_id_SIMUL, ESG_SBSCTR AS ESG_SBSCTR_SIMUL FROM BU_LOANTAPE_WORK.LT003_ENTTY_P3_NOV24)Y</v>
      </c>
      <c r="K239" s="42" t="str">
        <f>+UPPER("ON X."&amp;VLOOKUP(B239,'0. Instruções'!$C$27:$G$31,4,FALSE)&amp;"=Y."&amp;VLOOKUP(B239,'0. Instruções'!$C$27:$G$31,4,FALSE)&amp;"_SIMUL")</f>
        <v>ON X.ENTTY_ID=Y.ENTTY_ID_SIMUL</v>
      </c>
      <c r="L239" s="42" t="str">
        <f>+IF(C239="Coerência", +IF(LEFT(G239,5)="FLOAT","SELECT '"&amp;UPPER(B239)&amp;"' AS TABELA, '"&amp;UPPER(C239)&amp;"' AS TIPOLOGIA_TESTE,'"&amp;D239&amp;"' AS TABELA_LT,'"&amp;E239&amp;"' AS TABELA_SIMUL,'"&amp;F239&amp;"' AS CAMPO, "&amp;"'${ref_date}' AS REF_DATE, COUNT(*) AS NUM_REG, SUM(IF((ABS(COALESCE(X."&amp;F239&amp;",0)-COALESCE(Y."&amp;F239&amp;"_SIMUL,0))&gt;0.0000000001) OR (X."&amp;F239&amp;" IS NULL AND Y."&amp;F239&amp;"_SIMUL IS NOT NULL ) OR (X."&amp;F239&amp;" IS NOT NULL AND Y."&amp;F239&amp;"_SIMUL IS NULL),1,0)) AS NUM_REG_DIF,'"&amp;MAX('ID1&amp;5'!K:K)+1&amp;"' AS ID_EXEC, CURRENT_TIMESTAMP() AS TIME_EXEC FROM "&amp;I239&amp;" INNER JOIN "&amp;J239&amp;" "&amp;K239,"SELECT '"&amp;UPPER(B239)&amp;"' AS TABELA, '"&amp;UPPER(C239)&amp;"' AS TIPOLOGIA_TESTE,'"&amp;D239&amp;"' AS TABELA_LT,'"&amp;E239&amp;"' AS TABELA_SIMUL,'"&amp;F239&amp;"' AS CAMPO, "&amp;"'${ref_date}' AS REF_DATE, COUNT(*) AS NUM_REG, SUM(IF(COALESCE(CAST(X."&amp;F239&amp;" AS STRING),'')&lt;&gt;COALESCE(CAST(Y."&amp;F239&amp;"_SIMUL AS STRING),''),1,0)) AS NUM_REG_DIF,'"&amp;MAX('ID1&amp;5'!L:L)+1&amp;"' AS ID_EXEC, CURRENT_TIMESTAMP() AS TIME_EXEC FROM "&amp;I239&amp;" INNER JOIN "&amp;J239&amp;" "&amp;K239),
IF(C239="Validade",+IF(G239="Code List","SELECT '"&amp;UPPER(B239)&amp;"' AS TABELA, '"&amp;UPPER(C239)&amp;"' AS TIPOLOGIA_TESTE,'"&amp;D239&amp;"' AS TABELA_LT,'N/A' AS TABELA_SIMUL,'"&amp;F239&amp;"' AS CAMPO, "&amp;"'${ref_date}' AS REF_DATE, COUNT(*) AS NUM_REG, SUM(IF(TRIM(CAST(X."&amp;F239&amp;" AS STRING))='' OR TRIM(CAST(X."&amp;F239&amp;" AS STRING)) IS NULL OR CAST(X."&amp;F239&amp;" AS STRING) NOT "&amp;H239&amp;",1,0)) AS NUM_REG_DIF,'"&amp;MAX('ID1&amp;5'!K:K)+1&amp;"' AS ID_EXEC, CURRENT_TIMESTAMP() AS TIME_EXEC FROM "&amp;I239,"SELECT '"&amp;UPPER(B239)&amp;"' AS TABELA, '"&amp;UPPER(C239)&amp;"' AS TIPOLOGIA_TESTE,'"&amp;D239&amp;"' AS TABELA_LT,'N/A' AS TABELA_SIMUL,'"&amp;F239&amp;"' AS CAMPO, "&amp;"'${ref_date}' AS REF_DATE, COUNT(*) AS NUM_REG, SUM(IF(TRIM(CAST(X."&amp;F239&amp;" AS STRING))='' OR TRIM(CAST(X."&amp;F239&amp;" AS STRING)) IS NULL,1,0)) AS NUM_REG_DIF,'"&amp;MAX('ID1&amp;5'!K:K)+1&amp;"' AS ID_EXEC, CURRENT_TIMESTAMP() AS TIME_EXEC FROM "&amp;I239),
IF(C239="Caracteres Especiais",+"SELECT '"&amp;UPPER(B239)&amp;"' AS TABELA, '"&amp;UPPER(C239)&amp;"' AS TIPOLOGIA_TESTE,'"&amp;D239&amp;"' AS TABELA_LT,'N/A' AS TABELA_SIMUL,'"&amp;F239&amp;"' AS CAMPO, "&amp;"'${ref_date}' AS REF_DATE, COUNT(*) AS NUM_REG, SUM(IF(INSTR(CAST(X."&amp;F239&amp;" AS STRING),'#')&gt;0 OR INSTR(CAST(X."&amp;F239&amp;" AS STRING),'*')&gt;0 OR INSTR(CAST(X."&amp;F239&amp;" AS STRING),'`')&gt;0 OR INSTR(CAST(X."&amp;F239&amp;" AS STRING),'´')&gt;0 OR INSTR(CAST(X."&amp;F239&amp;" AS STRING),'{')&gt;0 OR INSTR(CAST(X."&amp;F239&amp;" AS STRING),'}')&gt;0 OR INSTR(CAST(X."&amp;F239&amp;" AS STRING),'[')&gt;0 OR INSTR(CAST(X."&amp;F239&amp;" AS STRING),'')&gt;0 OR INSTR(CAST(X."&amp;F239&amp;" AS STRING),']')&gt;0 OR INSTR(CAST(X."&amp;F239&amp;" AS STRING),'?')&gt;0 OR INSTR(CAST(X."&amp;F239&amp;" AS STRING),'!')&gt;0 OR INSTR(CAST(X."&amp;F239&amp;" AS STRING),'$')&gt;0 OR INSTR(CAST(X."&amp;F239&amp;" AS STRING),'%')&gt;0 OR INSTR(CAST(X."&amp;F239&amp;" AS STRING),'&amp;')&gt;0 OR INSTR(CAST(X."&amp;F239&amp;" AS STRING),'+')&gt;0,1,0)) AS NUM_REG_DIF,'"&amp;MAX('ID1&amp;5'!K:K)+1&amp;"' AS ID_EXEC, CURRENT_TIMESTAMP() AS TIME_EXEC FROM "&amp;I239,
IF(C239="Missings",+"SELECT '"&amp;UPPER(B239)&amp;"' AS TABELA, '"&amp;UPPER(C239)&amp;"' AS TIPOLOGIA_TESTE,'"&amp;D239&amp;"' AS TABELA_LT,'N/A' AS TABELA_SIMUL,'"&amp;F239&amp;"' AS CAMPO, "&amp;"'${ref_date}' AS REF_DATE, COUNT(*) AS NUM_REG, SUM(IF(TRIM(CAST(X."&amp;F239&amp;" AS STRING)) IN ('0000-00-00','0001-01-01','9999-12-31','MISS','00000','99999999999','99999999999.00','99999999999.000000'),1,0)) AS NUM_REG_DIF,'"&amp;MAX('ID1&amp;5'!K:K)+1&amp;"' AS ID_EXEC, CURRENT_TIMESTAMP() AS TIME_EXEC FROM "&amp;I239,
IF(C239="Not applicable",+"SELECT '"&amp;UPPER(B239)&amp;"' AS TABELA, '"&amp;UPPER(C239)&amp;"' AS TIPOLOGIA_TESTE,'"&amp;D239&amp;"' AS TABELA_LT,'N/A' AS TABELA_SIMUL,'"&amp;F239&amp;"' AS CAMPO, "&amp;"'${ref_date}' AS REF_DATE, COUNT(*) AS NUM_REG, SUM(IF(TRIM(CAST(X."&amp;F239&amp;" AS STRING)) IN ('N/A','11111111111','11111111111.00','11111111111.000000','1111-11-11'),1,0)) AS NUM_REG_DIF,'"&amp;MAX('ID1&amp;5'!K:K)+1&amp;"' AS ID_EXEC, CURRENT_TIMESTAMP() AS TIME_EXEC FROM "&amp;I239,
IF(C239="Valores extremos",+"SELECT '"&amp;UPPER(B239)&amp;"' AS TABELA, '"&amp;UPPER(C239)&amp;"' AS TIPOLOGIA_TESTE,'"&amp;D239&amp;"' AS TABELA_LT,'N/A' AS TABELA_SIMUL,'"&amp;F239&amp;"' AS CAMPO, "&amp;"'${ref_date}' AS REF_DATE, CAST(MIN("&amp;F239&amp;") AS STRING) AS VALOR_MIN, CAST(MAX("&amp;F239&amp;") AS STRING) AS VALOR_MAX,'"&amp;MAX('ID1&amp;5'!K:K)+1&amp;"' AS ID_EXEC, CURRENT_TIMESTAMP() AS TIME_EXEC FROM "&amp;MID(I239,1,LEN(I239)-2)&amp;" AND CAST("&amp;F239&amp;"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TABELA_SIMUL,'ESG_SBSCTR' AS CAMPO, '${ref_date}' AS REF_DATE, COUNT(*) AS NUM_REG, SUM(IF(INSTR(CAST(X.ESG_SBSCTR AS STRING),'#')&gt;0 OR INSTR(CAST(X.ESG_SBSCTR AS STRING),'*')&gt;0 OR INSTR(CAST(X.ESG_SBSCTR AS STRING),'`')&gt;0 OR INSTR(CAST(X.ESG_SBSCTR AS STRING),'´')&gt;0 OR INSTR(CAST(X.ESG_SBSCTR AS STRING),'{')&gt;0 OR INSTR(CAST(X.ESG_SBSCTR AS STRING),'}')&gt;0 OR INSTR(CAST(X.ESG_SBSCTR AS STRING),'[')&gt;0 OR INSTR(CAST(X.ESG_SBSCTR AS STRING),'')&gt;0 OR INSTR(CAST(X.ESG_SBSCTR AS STRING),']')&gt;0 OR INSTR(CAST(X.ESG_SBSCTR AS STRING),'?')&gt;0 OR INSTR(CAST(X.ESG_SBSCTR AS STRING),'!')&gt;0 OR INSTR(CAST(X.ESG_SBSCTR AS STRING),'$')&gt;0 OR INSTR(CAST(X.ESG_SBSCTR AS STRING),'%')&gt;0 OR INSTR(CAST(X.ESG_SBSCTR AS STRING),'&amp;')&gt;0 OR INSTR(CAST(X.ESG_SBSCTR AS STRING),'+')&gt;0,1,0)) AS NUM_REG_DIF,'10' AS ID_EXEC, CURRENT_TIMESTAMP() AS TIME_EXEC FROM (SELECT entty_id, ESG_SBSCTR FROM BU_LOANTAPE_WORK.LT003_ENTITY WHERE ref_date='${ref_date}' AND nome_perimetro='Individual Corporativo' AND segmento='ESTR' AND ambito='PILAR3')X</v>
      </c>
      <c r="M239" s="43" t="str">
        <f t="shared" si="3"/>
        <v>UNION ALL SELECT 'ENTITY' AS TABELA, 'CARACTERES ESPECIAIS' AS TIPOLOGIA_TESTE,'BU_LOANTAPE_WORK.LT003_ENTITY' AS TABELA_LT,'N/A' AS TABELA_SIMUL,'ESG_SBSCTR' AS CAMPO, '${ref_date}' AS REF_DATE, COUNT(*) AS NUM_REG, SUM(IF(INSTR(CAST(X.ESG_SBSCTR AS STRING),'#')&gt;0 OR INSTR(CAST(X.ESG_SBSCTR AS STRING),'*')&gt;0 OR INSTR(CAST(X.ESG_SBSCTR AS STRING),'`')&gt;0 OR INSTR(CAST(X.ESG_SBSCTR AS STRING),'´')&gt;0 OR INSTR(CAST(X.ESG_SBSCTR AS STRING),'{')&gt;0 OR INSTR(CAST(X.ESG_SBSCTR AS STRING),'}')&gt;0 OR INSTR(CAST(X.ESG_SBSCTR AS STRING),'[')&gt;0 OR INSTR(CAST(X.ESG_SBSCTR AS STRING),'')&gt;0 OR INSTR(CAST(X.ESG_SBSCTR AS STRING),']')&gt;0 OR INSTR(CAST(X.ESG_SBSCTR AS STRING),'?')&gt;0 OR INSTR(CAST(X.ESG_SBSCTR AS STRING),'!')&gt;0 OR INSTR(CAST(X.ESG_SBSCTR AS STRING),'$')&gt;0 OR INSTR(CAST(X.ESG_SBSCTR AS STRING),'%')&gt;0 OR INSTR(CAST(X.ESG_SBSCTR AS STRING),'&amp;')&gt;0 OR INSTR(CAST(X.ESG_SBSCTR AS STRING),'+')&gt;0,1,0)) AS NUM_REG_DIF,'10' AS ID_EXEC, CURRENT_TIMESTAMP() AS TIME_EXEC FROM (SELECT entty_id, ESG_SBSCTR FROM BU_LOANTAPE_WORK.LT003_ENTITY WHERE ref_date='${ref_date}' AND nome_perimetro='Individual Corporativo' AND segmento='ESTR' AND ambito='PILAR3')X</v>
      </c>
      <c r="N239" s="45" t="s">
        <v>13</v>
      </c>
    </row>
    <row r="240" spans="2:14">
      <c r="B240" s="41" t="s">
        <v>23</v>
      </c>
      <c r="C240" s="41" t="s">
        <v>76</v>
      </c>
      <c r="D240" s="41" t="str">
        <f>+UPPER('0. Instruções'!$D$33&amp;"."&amp;VLOOKUP(B240,'0. Instruções'!$C$27:$D$31,2,FALSE))</f>
        <v>BU_LOANTAPE_WORK.LT003_ENTITY</v>
      </c>
      <c r="E240" s="41" t="str">
        <f>+UPPER('0. Instruções'!$D$34&amp;"."&amp;VLOOKUP(B240,'0. Instruções'!$C$27:$E$31,3,FALSE))</f>
        <v>BU_LOANTAPE_WORK.LT003_ENTTY_P3_NOV24</v>
      </c>
      <c r="F240" s="41" t="s">
        <v>126</v>
      </c>
      <c r="G240" s="41" t="s">
        <v>213</v>
      </c>
      <c r="H240" s="41"/>
      <c r="I240" s="41" t="str">
        <f>"(SELECT "&amp;VLOOKUP(B240,'0. Instruções'!$C$27:$G$31,4,FALSE)&amp;", "&amp;F240&amp;" FROM "&amp;D240&amp;" WHERE "&amp;'0. Instruções'!$D$40&amp;")X"</f>
        <v>(SELECT entty_id, TTL_LBLTY FROM BU_LOANTAPE_WORK.LT003_ENTITY WHERE ref_date='${ref_date}' AND nome_perimetro='Individual Corporativo' AND segmento='ESTR' AND ambito='PILAR3')X</v>
      </c>
      <c r="J240" s="41" t="str">
        <f>"(SELECT "&amp;VLOOKUP(B240,'0. Instruções'!$C$27:$G$31,4,FALSE)&amp;" AS "&amp;VLOOKUP(B240,'0. Instruções'!$C$27:$G$31,4,FALSE)&amp;"_SIMUL, "&amp;F240&amp;" AS "&amp;F240&amp;"_SIMUL FROM "&amp;E240&amp;")Y"</f>
        <v>(SELECT entty_id AS entty_id_SIMUL, TTL_LBLTY AS TTL_LBLTY_SIMUL FROM BU_LOANTAPE_WORK.LT003_ENTTY_P3_NOV24)Y</v>
      </c>
      <c r="K240" s="42" t="str">
        <f>+UPPER("ON X."&amp;VLOOKUP(B240,'0. Instruções'!$C$27:$G$31,4,FALSE)&amp;"=Y."&amp;VLOOKUP(B240,'0. Instruções'!$C$27:$G$31,4,FALSE)&amp;"_SIMUL")</f>
        <v>ON X.ENTTY_ID=Y.ENTTY_ID_SIMUL</v>
      </c>
      <c r="L240" s="42" t="str">
        <f>+IF(C240="Coerência", +IF(LEFT(G240,5)="FLOAT","SELECT '"&amp;UPPER(B240)&amp;"' AS TABELA, '"&amp;UPPER(C240)&amp;"' AS TIPOLOGIA_TESTE,'"&amp;D240&amp;"' AS TABELA_LT,'"&amp;E240&amp;"' AS TABELA_SIMUL,'"&amp;F240&amp;"' AS CAMPO, "&amp;"'${ref_date}' AS REF_DATE, COUNT(*) AS NUM_REG, SUM(IF((ABS(COALESCE(X."&amp;F240&amp;",0)-COALESCE(Y."&amp;F240&amp;"_SIMUL,0))&gt;0.0000000001) OR (X."&amp;F240&amp;" IS NULL AND Y."&amp;F240&amp;"_SIMUL IS NOT NULL ) OR (X."&amp;F240&amp;" IS NOT NULL AND Y."&amp;F240&amp;"_SIMUL IS NULL),1,0)) AS NUM_REG_DIF,'"&amp;MAX('ID1&amp;5'!K:K)+1&amp;"' AS ID_EXEC, CURRENT_TIMESTAMP() AS TIME_EXEC FROM "&amp;I240&amp;" INNER JOIN "&amp;J240&amp;" "&amp;K240,"SELECT '"&amp;UPPER(B240)&amp;"' AS TABELA, '"&amp;UPPER(C240)&amp;"' AS TIPOLOGIA_TESTE,'"&amp;D240&amp;"' AS TABELA_LT,'"&amp;E240&amp;"' AS TABELA_SIMUL,'"&amp;F240&amp;"' AS CAMPO, "&amp;"'${ref_date}' AS REF_DATE, COUNT(*) AS NUM_REG, SUM(IF(COALESCE(CAST(X."&amp;F240&amp;" AS STRING),'')&lt;&gt;COALESCE(CAST(Y."&amp;F240&amp;"_SIMUL AS STRING),''),1,0)) AS NUM_REG_DIF,'"&amp;MAX('ID1&amp;5'!L:L)+1&amp;"' AS ID_EXEC, CURRENT_TIMESTAMP() AS TIME_EXEC FROM "&amp;I240&amp;" INNER JOIN "&amp;J240&amp;" "&amp;K240),
IF(C240="Validade",+IF(G240="Code List","SELECT '"&amp;UPPER(B240)&amp;"' AS TABELA, '"&amp;UPPER(C240)&amp;"' AS TIPOLOGIA_TESTE,'"&amp;D240&amp;"' AS TABELA_LT,'N/A' AS TABELA_SIMUL,'"&amp;F240&amp;"' AS CAMPO, "&amp;"'${ref_date}' AS REF_DATE, COUNT(*) AS NUM_REG, SUM(IF(TRIM(CAST(X."&amp;F240&amp;" AS STRING))='' OR TRIM(CAST(X."&amp;F240&amp;" AS STRING)) IS NULL OR CAST(X."&amp;F240&amp;" AS STRING) NOT "&amp;H240&amp;",1,0)) AS NUM_REG_DIF,'"&amp;MAX('ID1&amp;5'!K:K)+1&amp;"' AS ID_EXEC, CURRENT_TIMESTAMP() AS TIME_EXEC FROM "&amp;I240,"SELECT '"&amp;UPPER(B240)&amp;"' AS TABELA, '"&amp;UPPER(C240)&amp;"' AS TIPOLOGIA_TESTE,'"&amp;D240&amp;"' AS TABELA_LT,'N/A' AS TABELA_SIMUL,'"&amp;F240&amp;"' AS CAMPO, "&amp;"'${ref_date}' AS REF_DATE, COUNT(*) AS NUM_REG, SUM(IF(TRIM(CAST(X."&amp;F240&amp;" AS STRING))='' OR TRIM(CAST(X."&amp;F240&amp;" AS STRING)) IS NULL,1,0)) AS NUM_REG_DIF,'"&amp;MAX('ID1&amp;5'!K:K)+1&amp;"' AS ID_EXEC, CURRENT_TIMESTAMP() AS TIME_EXEC FROM "&amp;I240),
IF(C240="Caracteres Especiais",+"SELECT '"&amp;UPPER(B240)&amp;"' AS TABELA, '"&amp;UPPER(C240)&amp;"' AS TIPOLOGIA_TESTE,'"&amp;D240&amp;"' AS TABELA_LT,'N/A' AS TABELA_SIMUL,'"&amp;F240&amp;"' AS CAMPO, "&amp;"'${ref_date}' AS REF_DATE, COUNT(*) AS NUM_REG, SUM(IF(INSTR(CAST(X."&amp;F240&amp;" AS STRING),'#')&gt;0 OR INSTR(CAST(X."&amp;F240&amp;" AS STRING),'*')&gt;0 OR INSTR(CAST(X."&amp;F240&amp;" AS STRING),'`')&gt;0 OR INSTR(CAST(X."&amp;F240&amp;" AS STRING),'´')&gt;0 OR INSTR(CAST(X."&amp;F240&amp;" AS STRING),'{')&gt;0 OR INSTR(CAST(X."&amp;F240&amp;" AS STRING),'}')&gt;0 OR INSTR(CAST(X."&amp;F240&amp;" AS STRING),'[')&gt;0 OR INSTR(CAST(X."&amp;F240&amp;" AS STRING),'')&gt;0 OR INSTR(CAST(X."&amp;F240&amp;" AS STRING),']')&gt;0 OR INSTR(CAST(X."&amp;F240&amp;" AS STRING),'?')&gt;0 OR INSTR(CAST(X."&amp;F240&amp;" AS STRING),'!')&gt;0 OR INSTR(CAST(X."&amp;F240&amp;" AS STRING),'$')&gt;0 OR INSTR(CAST(X."&amp;F240&amp;" AS STRING),'%')&gt;0 OR INSTR(CAST(X."&amp;F240&amp;" AS STRING),'&amp;')&gt;0 OR INSTR(CAST(X."&amp;F240&amp;" AS STRING),'+')&gt;0,1,0)) AS NUM_REG_DIF,'"&amp;MAX('ID1&amp;5'!K:K)+1&amp;"' AS ID_EXEC, CURRENT_TIMESTAMP() AS TIME_EXEC FROM "&amp;I240,
IF(C240="Missings",+"SELECT '"&amp;UPPER(B240)&amp;"' AS TABELA, '"&amp;UPPER(C240)&amp;"' AS TIPOLOGIA_TESTE,'"&amp;D240&amp;"' AS TABELA_LT,'N/A' AS TABELA_SIMUL,'"&amp;F240&amp;"' AS CAMPO, "&amp;"'${ref_date}' AS REF_DATE, COUNT(*) AS NUM_REG, SUM(IF(TRIM(CAST(X."&amp;F240&amp;" AS STRING)) IN ('0000-00-00','0001-01-01','9999-12-31','MISS','00000','99999999999','99999999999.00','99999999999.000000'),1,0)) AS NUM_REG_DIF,'"&amp;MAX('ID1&amp;5'!K:K)+1&amp;"' AS ID_EXEC, CURRENT_TIMESTAMP() AS TIME_EXEC FROM "&amp;I240,
IF(C240="Not applicable",+"SELECT '"&amp;UPPER(B240)&amp;"' AS TABELA, '"&amp;UPPER(C240)&amp;"' AS TIPOLOGIA_TESTE,'"&amp;D240&amp;"' AS TABELA_LT,'N/A' AS TABELA_SIMUL,'"&amp;F240&amp;"' AS CAMPO, "&amp;"'${ref_date}' AS REF_DATE, COUNT(*) AS NUM_REG, SUM(IF(TRIM(CAST(X."&amp;F240&amp;" AS STRING)) IN ('N/A','11111111111','11111111111.00','11111111111.000000','1111-11-11'),1,0)) AS NUM_REG_DIF,'"&amp;MAX('ID1&amp;5'!K:K)+1&amp;"' AS ID_EXEC, CURRENT_TIMESTAMP() AS TIME_EXEC FROM "&amp;I240,
IF(C240="Valores extremos",+"SELECT '"&amp;UPPER(B240)&amp;"' AS TABELA, '"&amp;UPPER(C240)&amp;"' AS TIPOLOGIA_TESTE,'"&amp;D240&amp;"' AS TABELA_LT,'N/A' AS TABELA_SIMUL,'"&amp;F240&amp;"' AS CAMPO, "&amp;"'${ref_date}' AS REF_DATE, CAST(MIN("&amp;F240&amp;") AS STRING) AS VALOR_MIN, CAST(MAX("&amp;F240&amp;") AS STRING) AS VALOR_MAX,'"&amp;MAX('ID1&amp;5'!K:K)+1&amp;"' AS ID_EXEC, CURRENT_TIMESTAMP() AS TIME_EXEC FROM "&amp;MID(I240,1,LEN(I240)-2)&amp;" AND CAST("&amp;F240&amp;"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TABELA_SIMUL,'TTL_LBLTY' AS CAMPO, '${ref_date}' AS REF_DATE, COUNT(*) AS NUM_REG, SUM(IF(INSTR(CAST(X.TTL_LBLTY AS STRING),'#')&gt;0 OR INSTR(CAST(X.TTL_LBLTY AS STRING),'*')&gt;0 OR INSTR(CAST(X.TTL_LBLTY AS STRING),'`')&gt;0 OR INSTR(CAST(X.TTL_LBLTY AS STRING),'´')&gt;0 OR INSTR(CAST(X.TTL_LBLTY AS STRING),'{')&gt;0 OR INSTR(CAST(X.TTL_LBLTY AS STRING),'}')&gt;0 OR INSTR(CAST(X.TTL_LBLTY AS STRING),'[')&gt;0 OR INSTR(CAST(X.TTL_LBLTY AS STRING),'')&gt;0 OR INSTR(CAST(X.TTL_LBLTY AS STRING),']')&gt;0 OR INSTR(CAST(X.TTL_LBLTY AS STRING),'?')&gt;0 OR INSTR(CAST(X.TTL_LBLTY AS STRING),'!')&gt;0 OR INSTR(CAST(X.TTL_LBLTY AS STRING),'$')&gt;0 OR INSTR(CAST(X.TTL_LBLTY AS STRING),'%')&gt;0 OR INSTR(CAST(X.TTL_LBLTY AS STRING),'&amp;')&gt;0 OR INSTR(CAST(X.TTL_LBLTY AS STRING),'+')&gt;0,1,0)) AS NUM_REG_DIF,'10' AS ID_EXEC, CURRENT_TIMESTAMP() AS TIME_EXEC FROM (SELECT entty_id, TTL_LBLTY FROM BU_LOANTAPE_WORK.LT003_ENTITY WHERE ref_date='${ref_date}' AND nome_perimetro='Individual Corporativo' AND segmento='ESTR' AND ambito='PILAR3')X</v>
      </c>
      <c r="M240" s="43" t="str">
        <f t="shared" si="3"/>
        <v>UNION ALL SELECT 'ENTITY' AS TABELA, 'CARACTERES ESPECIAIS' AS TIPOLOGIA_TESTE,'BU_LOANTAPE_WORK.LT003_ENTITY' AS TABELA_LT,'N/A' AS TABELA_SIMUL,'TTL_LBLTY' AS CAMPO, '${ref_date}' AS REF_DATE, COUNT(*) AS NUM_REG, SUM(IF(INSTR(CAST(X.TTL_LBLTY AS STRING),'#')&gt;0 OR INSTR(CAST(X.TTL_LBLTY AS STRING),'*')&gt;0 OR INSTR(CAST(X.TTL_LBLTY AS STRING),'`')&gt;0 OR INSTR(CAST(X.TTL_LBLTY AS STRING),'´')&gt;0 OR INSTR(CAST(X.TTL_LBLTY AS STRING),'{')&gt;0 OR INSTR(CAST(X.TTL_LBLTY AS STRING),'}')&gt;0 OR INSTR(CAST(X.TTL_LBLTY AS STRING),'[')&gt;0 OR INSTR(CAST(X.TTL_LBLTY AS STRING),'')&gt;0 OR INSTR(CAST(X.TTL_LBLTY AS STRING),']')&gt;0 OR INSTR(CAST(X.TTL_LBLTY AS STRING),'?')&gt;0 OR INSTR(CAST(X.TTL_LBLTY AS STRING),'!')&gt;0 OR INSTR(CAST(X.TTL_LBLTY AS STRING),'$')&gt;0 OR INSTR(CAST(X.TTL_LBLTY AS STRING),'%')&gt;0 OR INSTR(CAST(X.TTL_LBLTY AS STRING),'&amp;')&gt;0 OR INSTR(CAST(X.TTL_LBLTY AS STRING),'+')&gt;0,1,0)) AS NUM_REG_DIF,'10' AS ID_EXEC, CURRENT_TIMESTAMP() AS TIME_EXEC FROM (SELECT entty_id, TTL_LBLTY FROM BU_LOANTAPE_WORK.LT003_ENTITY WHERE ref_date='${ref_date}' AND nome_perimetro='Individual Corporativo' AND segmento='ESTR' AND ambito='PILAR3')X</v>
      </c>
      <c r="N240" s="45" t="s">
        <v>13</v>
      </c>
    </row>
    <row r="241" spans="2:14">
      <c r="B241" s="41" t="s">
        <v>23</v>
      </c>
      <c r="C241" s="41" t="s">
        <v>76</v>
      </c>
      <c r="D241" s="41" t="str">
        <f>+UPPER('0. Instruções'!$D$33&amp;"."&amp;VLOOKUP(B241,'0. Instruções'!$C$27:$D$31,2,FALSE))</f>
        <v>BU_LOANTAPE_WORK.LT003_ENTITY</v>
      </c>
      <c r="E241" s="41" t="str">
        <f>+UPPER('0. Instruções'!$D$34&amp;"."&amp;VLOOKUP(B241,'0. Instruções'!$C$27:$E$31,3,FALSE))</f>
        <v>BU_LOANTAPE_WORK.LT003_ENTTY_P3_NOV24</v>
      </c>
      <c r="F241" s="41" t="s">
        <v>127</v>
      </c>
      <c r="G241" s="41" t="s">
        <v>214</v>
      </c>
      <c r="H241" s="41"/>
      <c r="I241" s="41" t="str">
        <f>"(SELECT "&amp;VLOOKUP(B241,'0. Instruções'!$C$27:$G$31,4,FALSE)&amp;", "&amp;F241&amp;" FROM "&amp;D241&amp;" WHERE "&amp;'0. Instruções'!$D$40&amp;")X"</f>
        <v>(SELECT entty_id, ISIN FROM BU_LOANTAPE_WORK.LT003_ENTITY WHERE ref_date='${ref_date}' AND nome_perimetro='Individual Corporativo' AND segmento='ESTR' AND ambito='PILAR3')X</v>
      </c>
      <c r="J241" s="41" t="str">
        <f>"(SELECT "&amp;VLOOKUP(B241,'0. Instruções'!$C$27:$G$31,4,FALSE)&amp;" AS "&amp;VLOOKUP(B241,'0. Instruções'!$C$27:$G$31,4,FALSE)&amp;"_SIMUL, "&amp;F241&amp;" AS "&amp;F241&amp;"_SIMUL FROM "&amp;E241&amp;")Y"</f>
        <v>(SELECT entty_id AS entty_id_SIMUL, ISIN AS ISIN_SIMUL FROM BU_LOANTAPE_WORK.LT003_ENTTY_P3_NOV24)Y</v>
      </c>
      <c r="K241" s="42" t="str">
        <f>+UPPER("ON X."&amp;VLOOKUP(B241,'0. Instruções'!$C$27:$G$31,4,FALSE)&amp;"=Y."&amp;VLOOKUP(B241,'0. Instruções'!$C$27:$G$31,4,FALSE)&amp;"_SIMUL")</f>
        <v>ON X.ENTTY_ID=Y.ENTTY_ID_SIMUL</v>
      </c>
      <c r="L241" s="42" t="str">
        <f>+IF(C241="Coerência", +IF(LEFT(G241,5)="FLOAT","SELECT '"&amp;UPPER(B241)&amp;"' AS TABELA, '"&amp;UPPER(C241)&amp;"' AS TIPOLOGIA_TESTE,'"&amp;D241&amp;"' AS TABELA_LT,'"&amp;E241&amp;"' AS TABELA_SIMUL,'"&amp;F241&amp;"' AS CAMPO, "&amp;"'${ref_date}' AS REF_DATE, COUNT(*) AS NUM_REG, SUM(IF((ABS(COALESCE(X."&amp;F241&amp;",0)-COALESCE(Y."&amp;F241&amp;"_SIMUL,0))&gt;0.0000000001) OR (X."&amp;F241&amp;" IS NULL AND Y."&amp;F241&amp;"_SIMUL IS NOT NULL ) OR (X."&amp;F241&amp;" IS NOT NULL AND Y."&amp;F241&amp;"_SIMUL IS NULL),1,0)) AS NUM_REG_DIF,'"&amp;MAX('ID1&amp;5'!K:K)+1&amp;"' AS ID_EXEC, CURRENT_TIMESTAMP() AS TIME_EXEC FROM "&amp;I241&amp;" INNER JOIN "&amp;J241&amp;" "&amp;K241,"SELECT '"&amp;UPPER(B241)&amp;"' AS TABELA, '"&amp;UPPER(C241)&amp;"' AS TIPOLOGIA_TESTE,'"&amp;D241&amp;"' AS TABELA_LT,'"&amp;E241&amp;"' AS TABELA_SIMUL,'"&amp;F241&amp;"' AS CAMPO, "&amp;"'${ref_date}' AS REF_DATE, COUNT(*) AS NUM_REG, SUM(IF(COALESCE(CAST(X."&amp;F241&amp;" AS STRING),'')&lt;&gt;COALESCE(CAST(Y."&amp;F241&amp;"_SIMUL AS STRING),''),1,0)) AS NUM_REG_DIF,'"&amp;MAX('ID1&amp;5'!L:L)+1&amp;"' AS ID_EXEC, CURRENT_TIMESTAMP() AS TIME_EXEC FROM "&amp;I241&amp;" INNER JOIN "&amp;J241&amp;" "&amp;K241),
IF(C241="Validade",+IF(G241="Code List","SELECT '"&amp;UPPER(B241)&amp;"' AS TABELA, '"&amp;UPPER(C241)&amp;"' AS TIPOLOGIA_TESTE,'"&amp;D241&amp;"' AS TABELA_LT,'N/A' AS TABELA_SIMUL,'"&amp;F241&amp;"' AS CAMPO, "&amp;"'${ref_date}' AS REF_DATE, COUNT(*) AS NUM_REG, SUM(IF(TRIM(CAST(X."&amp;F241&amp;" AS STRING))='' OR TRIM(CAST(X."&amp;F241&amp;" AS STRING)) IS NULL OR CAST(X."&amp;F241&amp;" AS STRING) NOT "&amp;H241&amp;",1,0)) AS NUM_REG_DIF,'"&amp;MAX('ID1&amp;5'!K:K)+1&amp;"' AS ID_EXEC, CURRENT_TIMESTAMP() AS TIME_EXEC FROM "&amp;I241,"SELECT '"&amp;UPPER(B241)&amp;"' AS TABELA, '"&amp;UPPER(C241)&amp;"' AS TIPOLOGIA_TESTE,'"&amp;D241&amp;"' AS TABELA_LT,'N/A' AS TABELA_SIMUL,'"&amp;F241&amp;"' AS CAMPO, "&amp;"'${ref_date}' AS REF_DATE, COUNT(*) AS NUM_REG, SUM(IF(TRIM(CAST(X."&amp;F241&amp;" AS STRING))='' OR TRIM(CAST(X."&amp;F241&amp;" AS STRING)) IS NULL,1,0)) AS NUM_REG_DIF,'"&amp;MAX('ID1&amp;5'!K:K)+1&amp;"' AS ID_EXEC, CURRENT_TIMESTAMP() AS TIME_EXEC FROM "&amp;I241),
IF(C241="Caracteres Especiais",+"SELECT '"&amp;UPPER(B241)&amp;"' AS TABELA, '"&amp;UPPER(C241)&amp;"' AS TIPOLOGIA_TESTE,'"&amp;D241&amp;"' AS TABELA_LT,'N/A' AS TABELA_SIMUL,'"&amp;F241&amp;"' AS CAMPO, "&amp;"'${ref_date}' AS REF_DATE, COUNT(*) AS NUM_REG, SUM(IF(INSTR(CAST(X."&amp;F241&amp;" AS STRING),'#')&gt;0 OR INSTR(CAST(X."&amp;F241&amp;" AS STRING),'*')&gt;0 OR INSTR(CAST(X."&amp;F241&amp;" AS STRING),'`')&gt;0 OR INSTR(CAST(X."&amp;F241&amp;" AS STRING),'´')&gt;0 OR INSTR(CAST(X."&amp;F241&amp;" AS STRING),'{')&gt;0 OR INSTR(CAST(X."&amp;F241&amp;" AS STRING),'}')&gt;0 OR INSTR(CAST(X."&amp;F241&amp;" AS STRING),'[')&gt;0 OR INSTR(CAST(X."&amp;F241&amp;" AS STRING),'')&gt;0 OR INSTR(CAST(X."&amp;F241&amp;" AS STRING),']')&gt;0 OR INSTR(CAST(X."&amp;F241&amp;" AS STRING),'?')&gt;0 OR INSTR(CAST(X."&amp;F241&amp;" AS STRING),'!')&gt;0 OR INSTR(CAST(X."&amp;F241&amp;" AS STRING),'$')&gt;0 OR INSTR(CAST(X."&amp;F241&amp;" AS STRING),'%')&gt;0 OR INSTR(CAST(X."&amp;F241&amp;" AS STRING),'&amp;')&gt;0 OR INSTR(CAST(X."&amp;F241&amp;" AS STRING),'+')&gt;0,1,0)) AS NUM_REG_DIF,'"&amp;MAX('ID1&amp;5'!K:K)+1&amp;"' AS ID_EXEC, CURRENT_TIMESTAMP() AS TIME_EXEC FROM "&amp;I241,
IF(C241="Missings",+"SELECT '"&amp;UPPER(B241)&amp;"' AS TABELA, '"&amp;UPPER(C241)&amp;"' AS TIPOLOGIA_TESTE,'"&amp;D241&amp;"' AS TABELA_LT,'N/A' AS TABELA_SIMUL,'"&amp;F241&amp;"' AS CAMPO, "&amp;"'${ref_date}' AS REF_DATE, COUNT(*) AS NUM_REG, SUM(IF(TRIM(CAST(X."&amp;F241&amp;" AS STRING)) IN ('0000-00-00','0001-01-01','9999-12-31','MISS','00000','99999999999','99999999999.00','99999999999.000000'),1,0)) AS NUM_REG_DIF,'"&amp;MAX('ID1&amp;5'!K:K)+1&amp;"' AS ID_EXEC, CURRENT_TIMESTAMP() AS TIME_EXEC FROM "&amp;I241,
IF(C241="Not applicable",+"SELECT '"&amp;UPPER(B241)&amp;"' AS TABELA, '"&amp;UPPER(C241)&amp;"' AS TIPOLOGIA_TESTE,'"&amp;D241&amp;"' AS TABELA_LT,'N/A' AS TABELA_SIMUL,'"&amp;F241&amp;"' AS CAMPO, "&amp;"'${ref_date}' AS REF_DATE, COUNT(*) AS NUM_REG, SUM(IF(TRIM(CAST(X."&amp;F241&amp;" AS STRING)) IN ('N/A','11111111111','11111111111.00','11111111111.000000','1111-11-11'),1,0)) AS NUM_REG_DIF,'"&amp;MAX('ID1&amp;5'!K:K)+1&amp;"' AS ID_EXEC, CURRENT_TIMESTAMP() AS TIME_EXEC FROM "&amp;I241,
IF(C241="Valores extremos",+"SELECT '"&amp;UPPER(B241)&amp;"' AS TABELA, '"&amp;UPPER(C241)&amp;"' AS TIPOLOGIA_TESTE,'"&amp;D241&amp;"' AS TABELA_LT,'N/A' AS TABELA_SIMUL,'"&amp;F241&amp;"' AS CAMPO, "&amp;"'${ref_date}' AS REF_DATE, CAST(MIN("&amp;F241&amp;") AS STRING) AS VALOR_MIN, CAST(MAX("&amp;F241&amp;") AS STRING) AS VALOR_MAX,'"&amp;MAX('ID1&amp;5'!K:K)+1&amp;"' AS ID_EXEC, CURRENT_TIMESTAMP() AS TIME_EXEC FROM "&amp;MID(I241,1,LEN(I241)-2)&amp;" AND CAST("&amp;F241&amp;"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TABELA_SIMUL,'ISIN' AS CAMPO, '${ref_date}' AS REF_DATE, COUNT(*) AS NUM_REG, SUM(IF(INSTR(CAST(X.ISIN AS STRING),'#')&gt;0 OR INSTR(CAST(X.ISIN AS STRING),'*')&gt;0 OR INSTR(CAST(X.ISIN AS STRING),'`')&gt;0 OR INSTR(CAST(X.ISIN AS STRING),'´')&gt;0 OR INSTR(CAST(X.ISIN AS STRING),'{')&gt;0 OR INSTR(CAST(X.ISIN AS STRING),'}')&gt;0 OR INSTR(CAST(X.ISIN AS STRING),'[')&gt;0 OR INSTR(CAST(X.ISIN AS STRING),'')&gt;0 OR INSTR(CAST(X.ISIN AS STRING),']')&gt;0 OR INSTR(CAST(X.ISIN AS STRING),'?')&gt;0 OR INSTR(CAST(X.ISIN AS STRING),'!')&gt;0 OR INSTR(CAST(X.ISIN AS STRING),'$')&gt;0 OR INSTR(CAST(X.ISIN AS STRING),'%')&gt;0 OR INSTR(CAST(X.ISIN AS STRING),'&amp;')&gt;0 OR INSTR(CAST(X.ISIN AS STRING),'+')&gt;0,1,0)) AS NUM_REG_DIF,'10' AS ID_EXEC, CURRENT_TIMESTAMP() AS TIME_EXEC FROM (SELECT entty_id, ISIN FROM BU_LOANTAPE_WORK.LT003_ENTITY WHERE ref_date='${ref_date}' AND nome_perimetro='Individual Corporativo' AND segmento='ESTR' AND ambito='PILAR3')X</v>
      </c>
      <c r="M241" s="43" t="str">
        <f t="shared" si="3"/>
        <v>UNION ALL SELECT 'ENTITY' AS TABELA, 'CARACTERES ESPECIAIS' AS TIPOLOGIA_TESTE,'BU_LOANTAPE_WORK.LT003_ENTITY' AS TABELA_LT,'N/A' AS TABELA_SIMUL,'ISIN' AS CAMPO, '${ref_date}' AS REF_DATE, COUNT(*) AS NUM_REG, SUM(IF(INSTR(CAST(X.ISIN AS STRING),'#')&gt;0 OR INSTR(CAST(X.ISIN AS STRING),'*')&gt;0 OR INSTR(CAST(X.ISIN AS STRING),'`')&gt;0 OR INSTR(CAST(X.ISIN AS STRING),'´')&gt;0 OR INSTR(CAST(X.ISIN AS STRING),'{')&gt;0 OR INSTR(CAST(X.ISIN AS STRING),'}')&gt;0 OR INSTR(CAST(X.ISIN AS STRING),'[')&gt;0 OR INSTR(CAST(X.ISIN AS STRING),'')&gt;0 OR INSTR(CAST(X.ISIN AS STRING),']')&gt;0 OR INSTR(CAST(X.ISIN AS STRING),'?')&gt;0 OR INSTR(CAST(X.ISIN AS STRING),'!')&gt;0 OR INSTR(CAST(X.ISIN AS STRING),'$')&gt;0 OR INSTR(CAST(X.ISIN AS STRING),'%')&gt;0 OR INSTR(CAST(X.ISIN AS STRING),'&amp;')&gt;0 OR INSTR(CAST(X.ISIN AS STRING),'+')&gt;0,1,0)) AS NUM_REG_DIF,'10' AS ID_EXEC, CURRENT_TIMESTAMP() AS TIME_EXEC FROM (SELECT entty_id, ISIN FROM BU_LOANTAPE_WORK.LT003_ENTITY WHERE ref_date='${ref_date}' AND nome_perimetro='Individual Corporativo' AND segmento='ESTR' AND ambito='PILAR3')X</v>
      </c>
      <c r="N241" s="45" t="s">
        <v>13</v>
      </c>
    </row>
    <row r="242" spans="2:14">
      <c r="B242" s="41" t="s">
        <v>23</v>
      </c>
      <c r="C242" s="41" t="s">
        <v>76</v>
      </c>
      <c r="D242" s="41" t="str">
        <f>+UPPER('0. Instruções'!$D$33&amp;"."&amp;VLOOKUP(B242,'0. Instruções'!$C$27:$D$31,2,FALSE))</f>
        <v>BU_LOANTAPE_WORK.LT003_ENTITY</v>
      </c>
      <c r="E242" s="41" t="str">
        <f>+UPPER('0. Instruções'!$D$34&amp;"."&amp;VLOOKUP(B242,'0. Instruções'!$C$27:$E$31,3,FALSE))</f>
        <v>BU_LOANTAPE_WORK.LT003_ENTTY_P3_NOV24</v>
      </c>
      <c r="F242" s="41" t="s">
        <v>128</v>
      </c>
      <c r="G242" s="41" t="s">
        <v>213</v>
      </c>
      <c r="H242" s="41"/>
      <c r="I242" s="41" t="str">
        <f>"(SELECT "&amp;VLOOKUP(B242,'0. Instruções'!$C$27:$G$31,4,FALSE)&amp;", "&amp;F242&amp;" FROM "&amp;D242&amp;" WHERE "&amp;'0. Instruções'!$D$40&amp;")X"</f>
        <v>(SELECT entty_id, GRP_ANNL_TRNVR_LE FROM BU_LOANTAPE_WORK.LT003_ENTITY WHERE ref_date='${ref_date}' AND nome_perimetro='Individual Corporativo' AND segmento='ESTR' AND ambito='PILAR3')X</v>
      </c>
      <c r="J242" s="41" t="str">
        <f>"(SELECT "&amp;VLOOKUP(B242,'0. Instruções'!$C$27:$G$31,4,FALSE)&amp;" AS "&amp;VLOOKUP(B242,'0. Instruções'!$C$27:$G$31,4,FALSE)&amp;"_SIMUL, "&amp;F242&amp;" AS "&amp;F242&amp;"_SIMUL FROM "&amp;E242&amp;")Y"</f>
        <v>(SELECT entty_id AS entty_id_SIMUL, GRP_ANNL_TRNVR_LE AS GRP_ANNL_TRNVR_LE_SIMUL FROM BU_LOANTAPE_WORK.LT003_ENTTY_P3_NOV24)Y</v>
      </c>
      <c r="K242" s="42" t="str">
        <f>+UPPER("ON X."&amp;VLOOKUP(B242,'0. Instruções'!$C$27:$G$31,4,FALSE)&amp;"=Y."&amp;VLOOKUP(B242,'0. Instruções'!$C$27:$G$31,4,FALSE)&amp;"_SIMUL")</f>
        <v>ON X.ENTTY_ID=Y.ENTTY_ID_SIMUL</v>
      </c>
      <c r="L242" s="42" t="str">
        <f>+IF(C242="Coerência", +IF(LEFT(G242,5)="FLOAT","SELECT '"&amp;UPPER(B242)&amp;"' AS TABELA, '"&amp;UPPER(C242)&amp;"' AS TIPOLOGIA_TESTE,'"&amp;D242&amp;"' AS TABELA_LT,'"&amp;E242&amp;"' AS TABELA_SIMUL,'"&amp;F242&amp;"' AS CAMPO, "&amp;"'${ref_date}' AS REF_DATE, COUNT(*) AS NUM_REG, SUM(IF((ABS(COALESCE(X."&amp;F242&amp;",0)-COALESCE(Y."&amp;F242&amp;"_SIMUL,0))&gt;0.0000000001) OR (X."&amp;F242&amp;" IS NULL AND Y."&amp;F242&amp;"_SIMUL IS NOT NULL ) OR (X."&amp;F242&amp;" IS NOT NULL AND Y."&amp;F242&amp;"_SIMUL IS NULL),1,0)) AS NUM_REG_DIF,'"&amp;MAX('ID1&amp;5'!K:K)+1&amp;"' AS ID_EXEC, CURRENT_TIMESTAMP() AS TIME_EXEC FROM "&amp;I242&amp;" INNER JOIN "&amp;J242&amp;" "&amp;K242,"SELECT '"&amp;UPPER(B242)&amp;"' AS TABELA, '"&amp;UPPER(C242)&amp;"' AS TIPOLOGIA_TESTE,'"&amp;D242&amp;"' AS TABELA_LT,'"&amp;E242&amp;"' AS TABELA_SIMUL,'"&amp;F242&amp;"' AS CAMPO, "&amp;"'${ref_date}' AS REF_DATE, COUNT(*) AS NUM_REG, SUM(IF(COALESCE(CAST(X."&amp;F242&amp;" AS STRING),'')&lt;&gt;COALESCE(CAST(Y."&amp;F242&amp;"_SIMUL AS STRING),''),1,0)) AS NUM_REG_DIF,'"&amp;MAX('ID1&amp;5'!L:L)+1&amp;"' AS ID_EXEC, CURRENT_TIMESTAMP() AS TIME_EXEC FROM "&amp;I242&amp;" INNER JOIN "&amp;J242&amp;" "&amp;K242),
IF(C242="Validade",+IF(G242="Code List","SELECT '"&amp;UPPER(B242)&amp;"' AS TABELA, '"&amp;UPPER(C242)&amp;"' AS TIPOLOGIA_TESTE,'"&amp;D242&amp;"' AS TABELA_LT,'N/A' AS TABELA_SIMUL,'"&amp;F242&amp;"' AS CAMPO, "&amp;"'${ref_date}' AS REF_DATE, COUNT(*) AS NUM_REG, SUM(IF(TRIM(CAST(X."&amp;F242&amp;" AS STRING))='' OR TRIM(CAST(X."&amp;F242&amp;" AS STRING)) IS NULL OR CAST(X."&amp;F242&amp;" AS STRING) NOT "&amp;H242&amp;",1,0)) AS NUM_REG_DIF,'"&amp;MAX('ID1&amp;5'!K:K)+1&amp;"' AS ID_EXEC, CURRENT_TIMESTAMP() AS TIME_EXEC FROM "&amp;I242,"SELECT '"&amp;UPPER(B242)&amp;"' AS TABELA, '"&amp;UPPER(C242)&amp;"' AS TIPOLOGIA_TESTE,'"&amp;D242&amp;"' AS TABELA_LT,'N/A' AS TABELA_SIMUL,'"&amp;F242&amp;"' AS CAMPO, "&amp;"'${ref_date}' AS REF_DATE, COUNT(*) AS NUM_REG, SUM(IF(TRIM(CAST(X."&amp;F242&amp;" AS STRING))='' OR TRIM(CAST(X."&amp;F242&amp;" AS STRING)) IS NULL,1,0)) AS NUM_REG_DIF,'"&amp;MAX('ID1&amp;5'!K:K)+1&amp;"' AS ID_EXEC, CURRENT_TIMESTAMP() AS TIME_EXEC FROM "&amp;I242),
IF(C242="Caracteres Especiais",+"SELECT '"&amp;UPPER(B242)&amp;"' AS TABELA, '"&amp;UPPER(C242)&amp;"' AS TIPOLOGIA_TESTE,'"&amp;D242&amp;"' AS TABELA_LT,'N/A' AS TABELA_SIMUL,'"&amp;F242&amp;"' AS CAMPO, "&amp;"'${ref_date}' AS REF_DATE, COUNT(*) AS NUM_REG, SUM(IF(INSTR(CAST(X."&amp;F242&amp;" AS STRING),'#')&gt;0 OR INSTR(CAST(X."&amp;F242&amp;" AS STRING),'*')&gt;0 OR INSTR(CAST(X."&amp;F242&amp;" AS STRING),'`')&gt;0 OR INSTR(CAST(X."&amp;F242&amp;" AS STRING),'´')&gt;0 OR INSTR(CAST(X."&amp;F242&amp;" AS STRING),'{')&gt;0 OR INSTR(CAST(X."&amp;F242&amp;" AS STRING),'}')&gt;0 OR INSTR(CAST(X."&amp;F242&amp;" AS STRING),'[')&gt;0 OR INSTR(CAST(X."&amp;F242&amp;" AS STRING),'')&gt;0 OR INSTR(CAST(X."&amp;F242&amp;" AS STRING),']')&gt;0 OR INSTR(CAST(X."&amp;F242&amp;" AS STRING),'?')&gt;0 OR INSTR(CAST(X."&amp;F242&amp;" AS STRING),'!')&gt;0 OR INSTR(CAST(X."&amp;F242&amp;" AS STRING),'$')&gt;0 OR INSTR(CAST(X."&amp;F242&amp;" AS STRING),'%')&gt;0 OR INSTR(CAST(X."&amp;F242&amp;" AS STRING),'&amp;')&gt;0 OR INSTR(CAST(X."&amp;F242&amp;" AS STRING),'+')&gt;0,1,0)) AS NUM_REG_DIF,'"&amp;MAX('ID1&amp;5'!K:K)+1&amp;"' AS ID_EXEC, CURRENT_TIMESTAMP() AS TIME_EXEC FROM "&amp;I242,
IF(C242="Missings",+"SELECT '"&amp;UPPER(B242)&amp;"' AS TABELA, '"&amp;UPPER(C242)&amp;"' AS TIPOLOGIA_TESTE,'"&amp;D242&amp;"' AS TABELA_LT,'N/A' AS TABELA_SIMUL,'"&amp;F242&amp;"' AS CAMPO, "&amp;"'${ref_date}' AS REF_DATE, COUNT(*) AS NUM_REG, SUM(IF(TRIM(CAST(X."&amp;F242&amp;" AS STRING)) IN ('0000-00-00','0001-01-01','9999-12-31','MISS','00000','99999999999','99999999999.00','99999999999.000000'),1,0)) AS NUM_REG_DIF,'"&amp;MAX('ID1&amp;5'!K:K)+1&amp;"' AS ID_EXEC, CURRENT_TIMESTAMP() AS TIME_EXEC FROM "&amp;I242,
IF(C242="Not applicable",+"SELECT '"&amp;UPPER(B242)&amp;"' AS TABELA, '"&amp;UPPER(C242)&amp;"' AS TIPOLOGIA_TESTE,'"&amp;D242&amp;"' AS TABELA_LT,'N/A' AS TABELA_SIMUL,'"&amp;F242&amp;"' AS CAMPO, "&amp;"'${ref_date}' AS REF_DATE, COUNT(*) AS NUM_REG, SUM(IF(TRIM(CAST(X."&amp;F242&amp;" AS STRING)) IN ('N/A','11111111111','11111111111.00','11111111111.000000','1111-11-11'),1,0)) AS NUM_REG_DIF,'"&amp;MAX('ID1&amp;5'!K:K)+1&amp;"' AS ID_EXEC, CURRENT_TIMESTAMP() AS TIME_EXEC FROM "&amp;I242,
IF(C242="Valores extremos",+"SELECT '"&amp;UPPER(B242)&amp;"' AS TABELA, '"&amp;UPPER(C242)&amp;"' AS TIPOLOGIA_TESTE,'"&amp;D242&amp;"' AS TABELA_LT,'N/A' AS TABELA_SIMUL,'"&amp;F242&amp;"' AS CAMPO, "&amp;"'${ref_date}' AS REF_DATE, CAST(MIN("&amp;F242&amp;") AS STRING) AS VALOR_MIN, CAST(MAX("&amp;F242&amp;") AS STRING) AS VALOR_MAX,'"&amp;MAX('ID1&amp;5'!K:K)+1&amp;"' AS ID_EXEC, CURRENT_TIMESTAMP() AS TIME_EXEC FROM "&amp;MID(I242,1,LEN(I242)-2)&amp;" AND CAST("&amp;F242&amp;"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TABELA_SIMUL,'GRP_ANNL_TRNVR_LE' AS CAMPO, '${ref_date}' AS REF_DATE, COUNT(*) AS NUM_REG, SUM(IF(INSTR(CAST(X.GRP_ANNL_TRNVR_LE AS STRING),'#')&gt;0 OR INSTR(CAST(X.GRP_ANNL_TRNVR_LE AS STRING),'*')&gt;0 OR INSTR(CAST(X.GRP_ANNL_TRNVR_LE AS STRING),'`')&gt;0 OR INSTR(CAST(X.GRP_ANNL_TRNVR_LE AS STRING),'´')&gt;0 OR INSTR(CAST(X.GRP_ANNL_TRNVR_LE AS STRING),'{')&gt;0 OR INSTR(CAST(X.GRP_ANNL_TRNVR_LE AS STRING),'}')&gt;0 OR INSTR(CAST(X.GRP_ANNL_TRNVR_LE AS STRING),'[')&gt;0 OR INSTR(CAST(X.GRP_ANNL_TRNVR_LE AS STRING),'')&gt;0 OR INSTR(CAST(X.GRP_ANNL_TRNVR_LE AS STRING),']')&gt;0 OR INSTR(CAST(X.GRP_ANNL_TRNVR_LE AS STRING),'?')&gt;0 OR INSTR(CAST(X.GRP_ANNL_TRNVR_LE AS STRING),'!')&gt;0 OR INSTR(CAST(X.GRP_ANNL_TRNVR_LE AS STRING),'$')&gt;0 OR INSTR(CAST(X.GRP_ANNL_TRNVR_LE AS STRING),'%')&gt;0 OR INSTR(CAST(X.GRP_ANNL_TRNVR_LE AS STRING),'&amp;')&gt;0 OR INSTR(CAST(X.GRP_ANNL_TRNVR_LE AS STRING),'+')&gt;0,1,0)) AS NUM_REG_DIF,'10' AS ID_EXEC, CURRENT_TIMESTAMP() AS TIME_EXEC FROM (SELECT entty_id, GRP_ANNL_TRNVR_LE FROM BU_LOANTAPE_WORK.LT003_ENTITY WHERE ref_date='${ref_date}' AND nome_perimetro='Individual Corporativo' AND segmento='ESTR' AND ambito='PILAR3')X</v>
      </c>
      <c r="M242" s="43" t="str">
        <f t="shared" si="3"/>
        <v>UNION ALL SELECT 'ENTITY' AS TABELA, 'CARACTERES ESPECIAIS' AS TIPOLOGIA_TESTE,'BU_LOANTAPE_WORK.LT003_ENTITY' AS TABELA_LT,'N/A' AS TABELA_SIMUL,'GRP_ANNL_TRNVR_LE' AS CAMPO, '${ref_date}' AS REF_DATE, COUNT(*) AS NUM_REG, SUM(IF(INSTR(CAST(X.GRP_ANNL_TRNVR_LE AS STRING),'#')&gt;0 OR INSTR(CAST(X.GRP_ANNL_TRNVR_LE AS STRING),'*')&gt;0 OR INSTR(CAST(X.GRP_ANNL_TRNVR_LE AS STRING),'`')&gt;0 OR INSTR(CAST(X.GRP_ANNL_TRNVR_LE AS STRING),'´')&gt;0 OR INSTR(CAST(X.GRP_ANNL_TRNVR_LE AS STRING),'{')&gt;0 OR INSTR(CAST(X.GRP_ANNL_TRNVR_LE AS STRING),'}')&gt;0 OR INSTR(CAST(X.GRP_ANNL_TRNVR_LE AS STRING),'[')&gt;0 OR INSTR(CAST(X.GRP_ANNL_TRNVR_LE AS STRING),'')&gt;0 OR INSTR(CAST(X.GRP_ANNL_TRNVR_LE AS STRING),']')&gt;0 OR INSTR(CAST(X.GRP_ANNL_TRNVR_LE AS STRING),'?')&gt;0 OR INSTR(CAST(X.GRP_ANNL_TRNVR_LE AS STRING),'!')&gt;0 OR INSTR(CAST(X.GRP_ANNL_TRNVR_LE AS STRING),'$')&gt;0 OR INSTR(CAST(X.GRP_ANNL_TRNVR_LE AS STRING),'%')&gt;0 OR INSTR(CAST(X.GRP_ANNL_TRNVR_LE AS STRING),'&amp;')&gt;0 OR INSTR(CAST(X.GRP_ANNL_TRNVR_LE AS STRING),'+')&gt;0,1,0)) AS NUM_REG_DIF,'10' AS ID_EXEC, CURRENT_TIMESTAMP() AS TIME_EXEC FROM (SELECT entty_id, GRP_ANNL_TRNVR_LE FROM BU_LOANTAPE_WORK.LT003_ENTITY WHERE ref_date='${ref_date}' AND nome_perimetro='Individual Corporativo' AND segmento='ESTR' AND ambito='PILAR3')X</v>
      </c>
      <c r="N242" s="45" t="s">
        <v>13</v>
      </c>
    </row>
    <row r="243" spans="2:14">
      <c r="B243" s="41" t="s">
        <v>23</v>
      </c>
      <c r="C243" s="41" t="s">
        <v>76</v>
      </c>
      <c r="D243" s="41" t="str">
        <f>+UPPER('0. Instruções'!$D$33&amp;"."&amp;VLOOKUP(B243,'0. Instruções'!$C$27:$D$31,2,FALSE))</f>
        <v>BU_LOANTAPE_WORK.LT003_ENTITY</v>
      </c>
      <c r="E243" s="41" t="str">
        <f>+UPPER('0. Instruções'!$D$34&amp;"."&amp;VLOOKUP(B243,'0. Instruções'!$C$27:$E$31,3,FALSE))</f>
        <v>BU_LOANTAPE_WORK.LT003_ENTTY_P3_NOV24</v>
      </c>
      <c r="F243" s="41" t="s">
        <v>129</v>
      </c>
      <c r="G243" s="41" t="s">
        <v>213</v>
      </c>
      <c r="H243" s="41"/>
      <c r="I243" s="41" t="str">
        <f>"(SELECT "&amp;VLOOKUP(B243,'0. Instruções'!$C$27:$G$31,4,FALSE)&amp;", "&amp;F243&amp;" FROM "&amp;D243&amp;" WHERE "&amp;'0. Instruções'!$D$40&amp;")X"</f>
        <v>(SELECT entty_id, GRP_TTL_LBLTY FROM BU_LOANTAPE_WORK.LT003_ENTITY WHERE ref_date='${ref_date}' AND nome_perimetro='Individual Corporativo' AND segmento='ESTR' AND ambito='PILAR3')X</v>
      </c>
      <c r="J243" s="41" t="str">
        <f>"(SELECT "&amp;VLOOKUP(B243,'0. Instruções'!$C$27:$G$31,4,FALSE)&amp;" AS "&amp;VLOOKUP(B243,'0. Instruções'!$C$27:$G$31,4,FALSE)&amp;"_SIMUL, "&amp;F243&amp;" AS "&amp;F243&amp;"_SIMUL FROM "&amp;E243&amp;")Y"</f>
        <v>(SELECT entty_id AS entty_id_SIMUL, GRP_TTL_LBLTY AS GRP_TTL_LBLTY_SIMUL FROM BU_LOANTAPE_WORK.LT003_ENTTY_P3_NOV24)Y</v>
      </c>
      <c r="K243" s="42" t="str">
        <f>+UPPER("ON X."&amp;VLOOKUP(B243,'0. Instruções'!$C$27:$G$31,4,FALSE)&amp;"=Y."&amp;VLOOKUP(B243,'0. Instruções'!$C$27:$G$31,4,FALSE)&amp;"_SIMUL")</f>
        <v>ON X.ENTTY_ID=Y.ENTTY_ID_SIMUL</v>
      </c>
      <c r="L243" s="42" t="str">
        <f>+IF(C243="Coerência", +IF(LEFT(G243,5)="FLOAT","SELECT '"&amp;UPPER(B243)&amp;"' AS TABELA, '"&amp;UPPER(C243)&amp;"' AS TIPOLOGIA_TESTE,'"&amp;D243&amp;"' AS TABELA_LT,'"&amp;E243&amp;"' AS TABELA_SIMUL,'"&amp;F243&amp;"' AS CAMPO, "&amp;"'${ref_date}' AS REF_DATE, COUNT(*) AS NUM_REG, SUM(IF((ABS(COALESCE(X."&amp;F243&amp;",0)-COALESCE(Y."&amp;F243&amp;"_SIMUL,0))&gt;0.0000000001) OR (X."&amp;F243&amp;" IS NULL AND Y."&amp;F243&amp;"_SIMUL IS NOT NULL ) OR (X."&amp;F243&amp;" IS NOT NULL AND Y."&amp;F243&amp;"_SIMUL IS NULL),1,0)) AS NUM_REG_DIF,'"&amp;MAX('ID1&amp;5'!K:K)+1&amp;"' AS ID_EXEC, CURRENT_TIMESTAMP() AS TIME_EXEC FROM "&amp;I243&amp;" INNER JOIN "&amp;J243&amp;" "&amp;K243,"SELECT '"&amp;UPPER(B243)&amp;"' AS TABELA, '"&amp;UPPER(C243)&amp;"' AS TIPOLOGIA_TESTE,'"&amp;D243&amp;"' AS TABELA_LT,'"&amp;E243&amp;"' AS TABELA_SIMUL,'"&amp;F243&amp;"' AS CAMPO, "&amp;"'${ref_date}' AS REF_DATE, COUNT(*) AS NUM_REG, SUM(IF(COALESCE(CAST(X."&amp;F243&amp;" AS STRING),'')&lt;&gt;COALESCE(CAST(Y."&amp;F243&amp;"_SIMUL AS STRING),''),1,0)) AS NUM_REG_DIF,'"&amp;MAX('ID1&amp;5'!L:L)+1&amp;"' AS ID_EXEC, CURRENT_TIMESTAMP() AS TIME_EXEC FROM "&amp;I243&amp;" INNER JOIN "&amp;J243&amp;" "&amp;K243),
IF(C243="Validade",+IF(G243="Code List","SELECT '"&amp;UPPER(B243)&amp;"' AS TABELA, '"&amp;UPPER(C243)&amp;"' AS TIPOLOGIA_TESTE,'"&amp;D243&amp;"' AS TABELA_LT,'N/A' AS TABELA_SIMUL,'"&amp;F243&amp;"' AS CAMPO, "&amp;"'${ref_date}' AS REF_DATE, COUNT(*) AS NUM_REG, SUM(IF(TRIM(CAST(X."&amp;F243&amp;" AS STRING))='' OR TRIM(CAST(X."&amp;F243&amp;" AS STRING)) IS NULL OR CAST(X."&amp;F243&amp;" AS STRING) NOT "&amp;H243&amp;",1,0)) AS NUM_REG_DIF,'"&amp;MAX('ID1&amp;5'!K:K)+1&amp;"' AS ID_EXEC, CURRENT_TIMESTAMP() AS TIME_EXEC FROM "&amp;I243,"SELECT '"&amp;UPPER(B243)&amp;"' AS TABELA, '"&amp;UPPER(C243)&amp;"' AS TIPOLOGIA_TESTE,'"&amp;D243&amp;"' AS TABELA_LT,'N/A' AS TABELA_SIMUL,'"&amp;F243&amp;"' AS CAMPO, "&amp;"'${ref_date}' AS REF_DATE, COUNT(*) AS NUM_REG, SUM(IF(TRIM(CAST(X."&amp;F243&amp;" AS STRING))='' OR TRIM(CAST(X."&amp;F243&amp;" AS STRING)) IS NULL,1,0)) AS NUM_REG_DIF,'"&amp;MAX('ID1&amp;5'!K:K)+1&amp;"' AS ID_EXEC, CURRENT_TIMESTAMP() AS TIME_EXEC FROM "&amp;I243),
IF(C243="Caracteres Especiais",+"SELECT '"&amp;UPPER(B243)&amp;"' AS TABELA, '"&amp;UPPER(C243)&amp;"' AS TIPOLOGIA_TESTE,'"&amp;D243&amp;"' AS TABELA_LT,'N/A' AS TABELA_SIMUL,'"&amp;F243&amp;"' AS CAMPO, "&amp;"'${ref_date}' AS REF_DATE, COUNT(*) AS NUM_REG, SUM(IF(INSTR(CAST(X."&amp;F243&amp;" AS STRING),'#')&gt;0 OR INSTR(CAST(X."&amp;F243&amp;" AS STRING),'*')&gt;0 OR INSTR(CAST(X."&amp;F243&amp;" AS STRING),'`')&gt;0 OR INSTR(CAST(X."&amp;F243&amp;" AS STRING),'´')&gt;0 OR INSTR(CAST(X."&amp;F243&amp;" AS STRING),'{')&gt;0 OR INSTR(CAST(X."&amp;F243&amp;" AS STRING),'}')&gt;0 OR INSTR(CAST(X."&amp;F243&amp;" AS STRING),'[')&gt;0 OR INSTR(CAST(X."&amp;F243&amp;" AS STRING),'')&gt;0 OR INSTR(CAST(X."&amp;F243&amp;" AS STRING),']')&gt;0 OR INSTR(CAST(X."&amp;F243&amp;" AS STRING),'?')&gt;0 OR INSTR(CAST(X."&amp;F243&amp;" AS STRING),'!')&gt;0 OR INSTR(CAST(X."&amp;F243&amp;" AS STRING),'$')&gt;0 OR INSTR(CAST(X."&amp;F243&amp;" AS STRING),'%')&gt;0 OR INSTR(CAST(X."&amp;F243&amp;" AS STRING),'&amp;')&gt;0 OR INSTR(CAST(X."&amp;F243&amp;" AS STRING),'+')&gt;0,1,0)) AS NUM_REG_DIF,'"&amp;MAX('ID1&amp;5'!K:K)+1&amp;"' AS ID_EXEC, CURRENT_TIMESTAMP() AS TIME_EXEC FROM "&amp;I243,
IF(C243="Missings",+"SELECT '"&amp;UPPER(B243)&amp;"' AS TABELA, '"&amp;UPPER(C243)&amp;"' AS TIPOLOGIA_TESTE,'"&amp;D243&amp;"' AS TABELA_LT,'N/A' AS TABELA_SIMUL,'"&amp;F243&amp;"' AS CAMPO, "&amp;"'${ref_date}' AS REF_DATE, COUNT(*) AS NUM_REG, SUM(IF(TRIM(CAST(X."&amp;F243&amp;" AS STRING)) IN ('0000-00-00','0001-01-01','9999-12-31','MISS','00000','99999999999','99999999999.00','99999999999.000000'),1,0)) AS NUM_REG_DIF,'"&amp;MAX('ID1&amp;5'!K:K)+1&amp;"' AS ID_EXEC, CURRENT_TIMESTAMP() AS TIME_EXEC FROM "&amp;I243,
IF(C243="Not applicable",+"SELECT '"&amp;UPPER(B243)&amp;"' AS TABELA, '"&amp;UPPER(C243)&amp;"' AS TIPOLOGIA_TESTE,'"&amp;D243&amp;"' AS TABELA_LT,'N/A' AS TABELA_SIMUL,'"&amp;F243&amp;"' AS CAMPO, "&amp;"'${ref_date}' AS REF_DATE, COUNT(*) AS NUM_REG, SUM(IF(TRIM(CAST(X."&amp;F243&amp;" AS STRING)) IN ('N/A','11111111111','11111111111.00','11111111111.000000','1111-11-11'),1,0)) AS NUM_REG_DIF,'"&amp;MAX('ID1&amp;5'!K:K)+1&amp;"' AS ID_EXEC, CURRENT_TIMESTAMP() AS TIME_EXEC FROM "&amp;I243,
IF(C243="Valores extremos",+"SELECT '"&amp;UPPER(B243)&amp;"' AS TABELA, '"&amp;UPPER(C243)&amp;"' AS TIPOLOGIA_TESTE,'"&amp;D243&amp;"' AS TABELA_LT,'N/A' AS TABELA_SIMUL,'"&amp;F243&amp;"' AS CAMPO, "&amp;"'${ref_date}' AS REF_DATE, CAST(MIN("&amp;F243&amp;") AS STRING) AS VALOR_MIN, CAST(MAX("&amp;F243&amp;") AS STRING) AS VALOR_MAX,'"&amp;MAX('ID1&amp;5'!K:K)+1&amp;"' AS ID_EXEC, CURRENT_TIMESTAMP() AS TIME_EXEC FROM "&amp;MID(I243,1,LEN(I243)-2)&amp;" AND CAST("&amp;F243&amp;"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TABELA_SIMUL,'GRP_TTL_LBLTY' AS CAMPO, '${ref_date}' AS REF_DATE, COUNT(*) AS NUM_REG, SUM(IF(INSTR(CAST(X.GRP_TTL_LBLTY AS STRING),'#')&gt;0 OR INSTR(CAST(X.GRP_TTL_LBLTY AS STRING),'*')&gt;0 OR INSTR(CAST(X.GRP_TTL_LBLTY AS STRING),'`')&gt;0 OR INSTR(CAST(X.GRP_TTL_LBLTY AS STRING),'´')&gt;0 OR INSTR(CAST(X.GRP_TTL_LBLTY AS STRING),'{')&gt;0 OR INSTR(CAST(X.GRP_TTL_LBLTY AS STRING),'}')&gt;0 OR INSTR(CAST(X.GRP_TTL_LBLTY AS STRING),'[')&gt;0 OR INSTR(CAST(X.GRP_TTL_LBLTY AS STRING),'')&gt;0 OR INSTR(CAST(X.GRP_TTL_LBLTY AS STRING),']')&gt;0 OR INSTR(CAST(X.GRP_TTL_LBLTY AS STRING),'?')&gt;0 OR INSTR(CAST(X.GRP_TTL_LBLTY AS STRING),'!')&gt;0 OR INSTR(CAST(X.GRP_TTL_LBLTY AS STRING),'$')&gt;0 OR INSTR(CAST(X.GRP_TTL_LBLTY AS STRING),'%')&gt;0 OR INSTR(CAST(X.GRP_TTL_LBLTY AS STRING),'&amp;')&gt;0 OR INSTR(CAST(X.GRP_TTL_LBLTY AS STRING),'+')&gt;0,1,0)) AS NUM_REG_DIF,'10' AS ID_EXEC, CURRENT_TIMESTAMP() AS TIME_EXEC FROM (SELECT entty_id, GRP_TTL_LBLTY FROM BU_LOANTAPE_WORK.LT003_ENTITY WHERE ref_date='${ref_date}' AND nome_perimetro='Individual Corporativo' AND segmento='ESTR' AND ambito='PILAR3')X</v>
      </c>
      <c r="M243" s="43" t="str">
        <f t="shared" si="3"/>
        <v>UNION ALL SELECT 'ENTITY' AS TABELA, 'CARACTERES ESPECIAIS' AS TIPOLOGIA_TESTE,'BU_LOANTAPE_WORK.LT003_ENTITY' AS TABELA_LT,'N/A' AS TABELA_SIMUL,'GRP_TTL_LBLTY' AS CAMPO, '${ref_date}' AS REF_DATE, COUNT(*) AS NUM_REG, SUM(IF(INSTR(CAST(X.GRP_TTL_LBLTY AS STRING),'#')&gt;0 OR INSTR(CAST(X.GRP_TTL_LBLTY AS STRING),'*')&gt;0 OR INSTR(CAST(X.GRP_TTL_LBLTY AS STRING),'`')&gt;0 OR INSTR(CAST(X.GRP_TTL_LBLTY AS STRING),'´')&gt;0 OR INSTR(CAST(X.GRP_TTL_LBLTY AS STRING),'{')&gt;0 OR INSTR(CAST(X.GRP_TTL_LBLTY AS STRING),'}')&gt;0 OR INSTR(CAST(X.GRP_TTL_LBLTY AS STRING),'[')&gt;0 OR INSTR(CAST(X.GRP_TTL_LBLTY AS STRING),'')&gt;0 OR INSTR(CAST(X.GRP_TTL_LBLTY AS STRING),']')&gt;0 OR INSTR(CAST(X.GRP_TTL_LBLTY AS STRING),'?')&gt;0 OR INSTR(CAST(X.GRP_TTL_LBLTY AS STRING),'!')&gt;0 OR INSTR(CAST(X.GRP_TTL_LBLTY AS STRING),'$')&gt;0 OR INSTR(CAST(X.GRP_TTL_LBLTY AS STRING),'%')&gt;0 OR INSTR(CAST(X.GRP_TTL_LBLTY AS STRING),'&amp;')&gt;0 OR INSTR(CAST(X.GRP_TTL_LBLTY AS STRING),'+')&gt;0,1,0)) AS NUM_REG_DIF,'10' AS ID_EXEC, CURRENT_TIMESTAMP() AS TIME_EXEC FROM (SELECT entty_id, GRP_TTL_LBLTY FROM BU_LOANTAPE_WORK.LT003_ENTITY WHERE ref_date='${ref_date}' AND nome_perimetro='Individual Corporativo' AND segmento='ESTR' AND ambito='PILAR3')X</v>
      </c>
      <c r="N243" s="45" t="s">
        <v>13</v>
      </c>
    </row>
    <row r="244" spans="2:14">
      <c r="B244" s="41" t="s">
        <v>23</v>
      </c>
      <c r="C244" s="41" t="s">
        <v>76</v>
      </c>
      <c r="D244" s="41" t="str">
        <f>+UPPER('0. Instruções'!$D$33&amp;"."&amp;VLOOKUP(B244,'0. Instruções'!$C$27:$D$31,2,FALSE))</f>
        <v>BU_LOANTAPE_WORK.LT003_ENTITY</v>
      </c>
      <c r="E244" s="41" t="str">
        <f>+UPPER('0. Instruções'!$D$34&amp;"."&amp;VLOOKUP(B244,'0. Instruções'!$C$27:$E$31,3,FALSE))</f>
        <v>BU_LOANTAPE_WORK.LT003_ENTTY_P3_NOV24</v>
      </c>
      <c r="F244" s="41" t="s">
        <v>130</v>
      </c>
      <c r="G244" s="41" t="s">
        <v>211</v>
      </c>
      <c r="H244" s="41"/>
      <c r="I244" s="41" t="str">
        <f>"(SELECT "&amp;VLOOKUP(B244,'0. Instruções'!$C$27:$G$31,4,FALSE)&amp;", "&amp;F244&amp;" FROM "&amp;D244&amp;" WHERE "&amp;'0. Instruções'!$D$40&amp;")X"</f>
        <v>(SELECT entty_id, FLG_GRP_NFRD_APPLCBLTY FROM BU_LOANTAPE_WORK.LT003_ENTITY WHERE ref_date='${ref_date}' AND nome_perimetro='Individual Corporativo' AND segmento='ESTR' AND ambito='PILAR3')X</v>
      </c>
      <c r="J244" s="41" t="str">
        <f>"(SELECT "&amp;VLOOKUP(B244,'0. Instruções'!$C$27:$G$31,4,FALSE)&amp;" AS "&amp;VLOOKUP(B244,'0. Instruções'!$C$27:$G$31,4,FALSE)&amp;"_SIMUL, "&amp;F244&amp;" AS "&amp;F244&amp;"_SIMUL FROM "&amp;E244&amp;")Y"</f>
        <v>(SELECT entty_id AS entty_id_SIMUL, FLG_GRP_NFRD_APPLCBLTY AS FLG_GRP_NFRD_APPLCBLTY_SIMUL FROM BU_LOANTAPE_WORK.LT003_ENTTY_P3_NOV24)Y</v>
      </c>
      <c r="K244" s="42" t="str">
        <f>+UPPER("ON X."&amp;VLOOKUP(B244,'0. Instruções'!$C$27:$G$31,4,FALSE)&amp;"=Y."&amp;VLOOKUP(B244,'0. Instruções'!$C$27:$G$31,4,FALSE)&amp;"_SIMUL")</f>
        <v>ON X.ENTTY_ID=Y.ENTTY_ID_SIMUL</v>
      </c>
      <c r="L244" s="42" t="str">
        <f>+IF(C244="Coerência", +IF(LEFT(G244,5)="FLOAT","SELECT '"&amp;UPPER(B244)&amp;"' AS TABELA, '"&amp;UPPER(C244)&amp;"' AS TIPOLOGIA_TESTE,'"&amp;D244&amp;"' AS TABELA_LT,'"&amp;E244&amp;"' AS TABELA_SIMUL,'"&amp;F244&amp;"' AS CAMPO, "&amp;"'${ref_date}' AS REF_DATE, COUNT(*) AS NUM_REG, SUM(IF((ABS(COALESCE(X."&amp;F244&amp;",0)-COALESCE(Y."&amp;F244&amp;"_SIMUL,0))&gt;0.0000000001) OR (X."&amp;F244&amp;" IS NULL AND Y."&amp;F244&amp;"_SIMUL IS NOT NULL ) OR (X."&amp;F244&amp;" IS NOT NULL AND Y."&amp;F244&amp;"_SIMUL IS NULL),1,0)) AS NUM_REG_DIF,'"&amp;MAX('ID1&amp;5'!K:K)+1&amp;"' AS ID_EXEC, CURRENT_TIMESTAMP() AS TIME_EXEC FROM "&amp;I244&amp;" INNER JOIN "&amp;J244&amp;" "&amp;K244,"SELECT '"&amp;UPPER(B244)&amp;"' AS TABELA, '"&amp;UPPER(C244)&amp;"' AS TIPOLOGIA_TESTE,'"&amp;D244&amp;"' AS TABELA_LT,'"&amp;E244&amp;"' AS TABELA_SIMUL,'"&amp;F244&amp;"' AS CAMPO, "&amp;"'${ref_date}' AS REF_DATE, COUNT(*) AS NUM_REG, SUM(IF(COALESCE(CAST(X."&amp;F244&amp;" AS STRING),'')&lt;&gt;COALESCE(CAST(Y."&amp;F244&amp;"_SIMUL AS STRING),''),1,0)) AS NUM_REG_DIF,'"&amp;MAX('ID1&amp;5'!L:L)+1&amp;"' AS ID_EXEC, CURRENT_TIMESTAMP() AS TIME_EXEC FROM "&amp;I244&amp;" INNER JOIN "&amp;J244&amp;" "&amp;K244),
IF(C244="Validade",+IF(G244="Code List","SELECT '"&amp;UPPER(B244)&amp;"' AS TABELA, '"&amp;UPPER(C244)&amp;"' AS TIPOLOGIA_TESTE,'"&amp;D244&amp;"' AS TABELA_LT,'N/A' AS TABELA_SIMUL,'"&amp;F244&amp;"' AS CAMPO, "&amp;"'${ref_date}' AS REF_DATE, COUNT(*) AS NUM_REG, SUM(IF(TRIM(CAST(X."&amp;F244&amp;" AS STRING))='' OR TRIM(CAST(X."&amp;F244&amp;" AS STRING)) IS NULL OR CAST(X."&amp;F244&amp;" AS STRING) NOT "&amp;H244&amp;",1,0)) AS NUM_REG_DIF,'"&amp;MAX('ID1&amp;5'!K:K)+1&amp;"' AS ID_EXEC, CURRENT_TIMESTAMP() AS TIME_EXEC FROM "&amp;I244,"SELECT '"&amp;UPPER(B244)&amp;"' AS TABELA, '"&amp;UPPER(C244)&amp;"' AS TIPOLOGIA_TESTE,'"&amp;D244&amp;"' AS TABELA_LT,'N/A' AS TABELA_SIMUL,'"&amp;F244&amp;"' AS CAMPO, "&amp;"'${ref_date}' AS REF_DATE, COUNT(*) AS NUM_REG, SUM(IF(TRIM(CAST(X."&amp;F244&amp;" AS STRING))='' OR TRIM(CAST(X."&amp;F244&amp;" AS STRING)) IS NULL,1,0)) AS NUM_REG_DIF,'"&amp;MAX('ID1&amp;5'!K:K)+1&amp;"' AS ID_EXEC, CURRENT_TIMESTAMP() AS TIME_EXEC FROM "&amp;I244),
IF(C244="Caracteres Especiais",+"SELECT '"&amp;UPPER(B244)&amp;"' AS TABELA, '"&amp;UPPER(C244)&amp;"' AS TIPOLOGIA_TESTE,'"&amp;D244&amp;"' AS TABELA_LT,'N/A' AS TABELA_SIMUL,'"&amp;F244&amp;"' AS CAMPO, "&amp;"'${ref_date}' AS REF_DATE, COUNT(*) AS NUM_REG, SUM(IF(INSTR(CAST(X."&amp;F244&amp;" AS STRING),'#')&gt;0 OR INSTR(CAST(X."&amp;F244&amp;" AS STRING),'*')&gt;0 OR INSTR(CAST(X."&amp;F244&amp;" AS STRING),'`')&gt;0 OR INSTR(CAST(X."&amp;F244&amp;" AS STRING),'´')&gt;0 OR INSTR(CAST(X."&amp;F244&amp;" AS STRING),'{')&gt;0 OR INSTR(CAST(X."&amp;F244&amp;" AS STRING),'}')&gt;0 OR INSTR(CAST(X."&amp;F244&amp;" AS STRING),'[')&gt;0 OR INSTR(CAST(X."&amp;F244&amp;" AS STRING),'')&gt;0 OR INSTR(CAST(X."&amp;F244&amp;" AS STRING),']')&gt;0 OR INSTR(CAST(X."&amp;F244&amp;" AS STRING),'?')&gt;0 OR INSTR(CAST(X."&amp;F244&amp;" AS STRING),'!')&gt;0 OR INSTR(CAST(X."&amp;F244&amp;" AS STRING),'$')&gt;0 OR INSTR(CAST(X."&amp;F244&amp;" AS STRING),'%')&gt;0 OR INSTR(CAST(X."&amp;F244&amp;" AS STRING),'&amp;')&gt;0 OR INSTR(CAST(X."&amp;F244&amp;" AS STRING),'+')&gt;0,1,0)) AS NUM_REG_DIF,'"&amp;MAX('ID1&amp;5'!K:K)+1&amp;"' AS ID_EXEC, CURRENT_TIMESTAMP() AS TIME_EXEC FROM "&amp;I244,
IF(C244="Missings",+"SELECT '"&amp;UPPER(B244)&amp;"' AS TABELA, '"&amp;UPPER(C244)&amp;"' AS TIPOLOGIA_TESTE,'"&amp;D244&amp;"' AS TABELA_LT,'N/A' AS TABELA_SIMUL,'"&amp;F244&amp;"' AS CAMPO, "&amp;"'${ref_date}' AS REF_DATE, COUNT(*) AS NUM_REG, SUM(IF(TRIM(CAST(X."&amp;F244&amp;" AS STRING)) IN ('0000-00-00','0001-01-01','9999-12-31','MISS','00000','99999999999','99999999999.00','99999999999.000000'),1,0)) AS NUM_REG_DIF,'"&amp;MAX('ID1&amp;5'!K:K)+1&amp;"' AS ID_EXEC, CURRENT_TIMESTAMP() AS TIME_EXEC FROM "&amp;I244,
IF(C244="Not applicable",+"SELECT '"&amp;UPPER(B244)&amp;"' AS TABELA, '"&amp;UPPER(C244)&amp;"' AS TIPOLOGIA_TESTE,'"&amp;D244&amp;"' AS TABELA_LT,'N/A' AS TABELA_SIMUL,'"&amp;F244&amp;"' AS CAMPO, "&amp;"'${ref_date}' AS REF_DATE, COUNT(*) AS NUM_REG, SUM(IF(TRIM(CAST(X."&amp;F244&amp;" AS STRING)) IN ('N/A','11111111111','11111111111.00','11111111111.000000','1111-11-11'),1,0)) AS NUM_REG_DIF,'"&amp;MAX('ID1&amp;5'!K:K)+1&amp;"' AS ID_EXEC, CURRENT_TIMESTAMP() AS TIME_EXEC FROM "&amp;I244,
IF(C244="Valores extremos",+"SELECT '"&amp;UPPER(B244)&amp;"' AS TABELA, '"&amp;UPPER(C244)&amp;"' AS TIPOLOGIA_TESTE,'"&amp;D244&amp;"' AS TABELA_LT,'N/A' AS TABELA_SIMUL,'"&amp;F244&amp;"' AS CAMPO, "&amp;"'${ref_date}' AS REF_DATE, CAST(MIN("&amp;F244&amp;") AS STRING) AS VALOR_MIN, CAST(MAX("&amp;F244&amp;") AS STRING) AS VALOR_MAX,'"&amp;MAX('ID1&amp;5'!K:K)+1&amp;"' AS ID_EXEC, CURRENT_TIMESTAMP() AS TIME_EXEC FROM "&amp;MID(I244,1,LEN(I244)-2)&amp;" AND CAST("&amp;F244&amp;"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TABELA_SIMUL,'FLG_GRP_NFRD_APPLCBLTY' AS CAMPO, '${ref_date}' AS REF_DATE, COUNT(*) AS NUM_REG, SUM(IF(INSTR(CAST(X.FLG_GRP_NFRD_APPLCBLTY AS STRING),'#')&gt;0 OR INSTR(CAST(X.FLG_GRP_NFRD_APPLCBLTY AS STRING),'*')&gt;0 OR INSTR(CAST(X.FLG_GRP_NFRD_APPLCBLTY AS STRING),'`')&gt;0 OR INSTR(CAST(X.FLG_GRP_NFRD_APPLCBLTY AS STRING),'´')&gt;0 OR INSTR(CAST(X.FLG_GRP_NFRD_APPLCBLTY AS STRING),'{')&gt;0 OR INSTR(CAST(X.FLG_GRP_NFRD_APPLCBLTY AS STRING),'}')&gt;0 OR INSTR(CAST(X.FLG_GRP_NFRD_APPLCBLTY AS STRING),'[')&gt;0 OR INSTR(CAST(X.FLG_GRP_NFRD_APPLCBLTY AS STRING),'')&gt;0 OR INSTR(CAST(X.FLG_GRP_NFRD_APPLCBLTY AS STRING),']')&gt;0 OR INSTR(CAST(X.FLG_GRP_NFRD_APPLCBLTY AS STRING),'?')&gt;0 OR INSTR(CAST(X.FLG_GRP_NFRD_APPLCBLTY AS STRING),'!')&gt;0 OR INSTR(CAST(X.FLG_GRP_NFRD_APPLCBLTY AS STRING),'$')&gt;0 OR INSTR(CAST(X.FLG_GRP_NFRD_APPLCBLTY AS STRING),'%')&gt;0 OR INSTR(CAST(X.FLG_GRP_NFRD_APPLCBLTY AS STRING),'&amp;')&gt;0 OR INSTR(CAST(X.FLG_GRP_NFRD_APPLCBLTY AS STRING),'+')&gt;0,1,0)) AS NUM_REG_DIF,'10' AS ID_EXEC, CURRENT_TIMESTAMP() AS TIME_EXEC FROM (SELECT entty_id, FLG_GRP_NFRD_APPLCBLTY FROM BU_LOANTAPE_WORK.LT003_ENTITY WHERE ref_date='${ref_date}' AND nome_perimetro='Individual Corporativo' AND segmento='ESTR' AND ambito='PILAR3')X</v>
      </c>
      <c r="M244" s="43" t="str">
        <f t="shared" si="3"/>
        <v>UNION ALL SELECT 'ENTITY' AS TABELA, 'CARACTERES ESPECIAIS' AS TIPOLOGIA_TESTE,'BU_LOANTAPE_WORK.LT003_ENTITY' AS TABELA_LT,'N/A' AS TABELA_SIMUL,'FLG_GRP_NFRD_APPLCBLTY' AS CAMPO, '${ref_date}' AS REF_DATE, COUNT(*) AS NUM_REG, SUM(IF(INSTR(CAST(X.FLG_GRP_NFRD_APPLCBLTY AS STRING),'#')&gt;0 OR INSTR(CAST(X.FLG_GRP_NFRD_APPLCBLTY AS STRING),'*')&gt;0 OR INSTR(CAST(X.FLG_GRP_NFRD_APPLCBLTY AS STRING),'`')&gt;0 OR INSTR(CAST(X.FLG_GRP_NFRD_APPLCBLTY AS STRING),'´')&gt;0 OR INSTR(CAST(X.FLG_GRP_NFRD_APPLCBLTY AS STRING),'{')&gt;0 OR INSTR(CAST(X.FLG_GRP_NFRD_APPLCBLTY AS STRING),'}')&gt;0 OR INSTR(CAST(X.FLG_GRP_NFRD_APPLCBLTY AS STRING),'[')&gt;0 OR INSTR(CAST(X.FLG_GRP_NFRD_APPLCBLTY AS STRING),'')&gt;0 OR INSTR(CAST(X.FLG_GRP_NFRD_APPLCBLTY AS STRING),']')&gt;0 OR INSTR(CAST(X.FLG_GRP_NFRD_APPLCBLTY AS STRING),'?')&gt;0 OR INSTR(CAST(X.FLG_GRP_NFRD_APPLCBLTY AS STRING),'!')&gt;0 OR INSTR(CAST(X.FLG_GRP_NFRD_APPLCBLTY AS STRING),'$')&gt;0 OR INSTR(CAST(X.FLG_GRP_NFRD_APPLCBLTY AS STRING),'%')&gt;0 OR INSTR(CAST(X.FLG_GRP_NFRD_APPLCBLTY AS STRING),'&amp;')&gt;0 OR INSTR(CAST(X.FLG_GRP_NFRD_APPLCBLTY AS STRING),'+')&gt;0,1,0)) AS NUM_REG_DIF,'10' AS ID_EXEC, CURRENT_TIMESTAMP() AS TIME_EXEC FROM (SELECT entty_id, FLG_GRP_NFRD_APPLCBLTY FROM BU_LOANTAPE_WORK.LT003_ENTITY WHERE ref_date='${ref_date}' AND nome_perimetro='Individual Corporativo' AND segmento='ESTR' AND ambito='PILAR3')X</v>
      </c>
      <c r="N244" s="45" t="s">
        <v>13</v>
      </c>
    </row>
    <row r="245" spans="2:14">
      <c r="B245" s="41" t="s">
        <v>23</v>
      </c>
      <c r="C245" s="41" t="s">
        <v>76</v>
      </c>
      <c r="D245" s="41" t="str">
        <f>+UPPER('0. Instruções'!$D$33&amp;"."&amp;VLOOKUP(B245,'0. Instruções'!$C$27:$D$31,2,FALSE))</f>
        <v>BU_LOANTAPE_WORK.LT003_ENTITY</v>
      </c>
      <c r="E245" s="41" t="str">
        <f>+UPPER('0. Instruções'!$D$34&amp;"."&amp;VLOOKUP(B245,'0. Instruções'!$C$27:$E$31,3,FALSE))</f>
        <v>BU_LOANTAPE_WORK.LT003_ENTTY_P3_NOV24</v>
      </c>
      <c r="F245" s="41" t="s">
        <v>131</v>
      </c>
      <c r="G245" s="41" t="s">
        <v>210</v>
      </c>
      <c r="H245" s="41"/>
      <c r="I245" s="41" t="str">
        <f>"(SELECT "&amp;VLOOKUP(B245,'0. Instruções'!$C$27:$G$31,4,FALSE)&amp;", "&amp;F245&amp;" FROM "&amp;D245&amp;" WHERE "&amp;'0. Instruções'!$D$40&amp;")X"</f>
        <v>(SELECT entty_id, GRP_EMSSNS_SCP1 FROM BU_LOANTAPE_WORK.LT003_ENTITY WHERE ref_date='${ref_date}' AND nome_perimetro='Individual Corporativo' AND segmento='ESTR' AND ambito='PILAR3')X</v>
      </c>
      <c r="J245" s="41" t="str">
        <f>"(SELECT "&amp;VLOOKUP(B245,'0. Instruções'!$C$27:$G$31,4,FALSE)&amp;" AS "&amp;VLOOKUP(B245,'0. Instruções'!$C$27:$G$31,4,FALSE)&amp;"_SIMUL, "&amp;F245&amp;" AS "&amp;F245&amp;"_SIMUL FROM "&amp;E245&amp;")Y"</f>
        <v>(SELECT entty_id AS entty_id_SIMUL, GRP_EMSSNS_SCP1 AS GRP_EMSSNS_SCP1_SIMUL FROM BU_LOANTAPE_WORK.LT003_ENTTY_P3_NOV24)Y</v>
      </c>
      <c r="K245" s="42" t="str">
        <f>+UPPER("ON X."&amp;VLOOKUP(B245,'0. Instruções'!$C$27:$G$31,4,FALSE)&amp;"=Y."&amp;VLOOKUP(B245,'0. Instruções'!$C$27:$G$31,4,FALSE)&amp;"_SIMUL")</f>
        <v>ON X.ENTTY_ID=Y.ENTTY_ID_SIMUL</v>
      </c>
      <c r="L245" s="42" t="str">
        <f>+IF(C245="Coerência", +IF(LEFT(G245,5)="FLOAT","SELECT '"&amp;UPPER(B245)&amp;"' AS TABELA, '"&amp;UPPER(C245)&amp;"' AS TIPOLOGIA_TESTE,'"&amp;D245&amp;"' AS TABELA_LT,'"&amp;E245&amp;"' AS TABELA_SIMUL,'"&amp;F245&amp;"' AS CAMPO, "&amp;"'${ref_date}' AS REF_DATE, COUNT(*) AS NUM_REG, SUM(IF((ABS(COALESCE(X."&amp;F245&amp;",0)-COALESCE(Y."&amp;F245&amp;"_SIMUL,0))&gt;0.0000000001) OR (X."&amp;F245&amp;" IS NULL AND Y."&amp;F245&amp;"_SIMUL IS NOT NULL ) OR (X."&amp;F245&amp;" IS NOT NULL AND Y."&amp;F245&amp;"_SIMUL IS NULL),1,0)) AS NUM_REG_DIF,'"&amp;MAX('ID1&amp;5'!K:K)+1&amp;"' AS ID_EXEC, CURRENT_TIMESTAMP() AS TIME_EXEC FROM "&amp;I245&amp;" INNER JOIN "&amp;J245&amp;" "&amp;K245,"SELECT '"&amp;UPPER(B245)&amp;"' AS TABELA, '"&amp;UPPER(C245)&amp;"' AS TIPOLOGIA_TESTE,'"&amp;D245&amp;"' AS TABELA_LT,'"&amp;E245&amp;"' AS TABELA_SIMUL,'"&amp;F245&amp;"' AS CAMPO, "&amp;"'${ref_date}' AS REF_DATE, COUNT(*) AS NUM_REG, SUM(IF(COALESCE(CAST(X."&amp;F245&amp;" AS STRING),'')&lt;&gt;COALESCE(CAST(Y."&amp;F245&amp;"_SIMUL AS STRING),''),1,0)) AS NUM_REG_DIF,'"&amp;MAX('ID1&amp;5'!L:L)+1&amp;"' AS ID_EXEC, CURRENT_TIMESTAMP() AS TIME_EXEC FROM "&amp;I245&amp;" INNER JOIN "&amp;J245&amp;" "&amp;K245),
IF(C245="Validade",+IF(G245="Code List","SELECT '"&amp;UPPER(B245)&amp;"' AS TABELA, '"&amp;UPPER(C245)&amp;"' AS TIPOLOGIA_TESTE,'"&amp;D245&amp;"' AS TABELA_LT,'N/A' AS TABELA_SIMUL,'"&amp;F245&amp;"' AS CAMPO, "&amp;"'${ref_date}' AS REF_DATE, COUNT(*) AS NUM_REG, SUM(IF(TRIM(CAST(X."&amp;F245&amp;" AS STRING))='' OR TRIM(CAST(X."&amp;F245&amp;" AS STRING)) IS NULL OR CAST(X."&amp;F245&amp;" AS STRING) NOT "&amp;H245&amp;",1,0)) AS NUM_REG_DIF,'"&amp;MAX('ID1&amp;5'!K:K)+1&amp;"' AS ID_EXEC, CURRENT_TIMESTAMP() AS TIME_EXEC FROM "&amp;I245,"SELECT '"&amp;UPPER(B245)&amp;"' AS TABELA, '"&amp;UPPER(C245)&amp;"' AS TIPOLOGIA_TESTE,'"&amp;D245&amp;"' AS TABELA_LT,'N/A' AS TABELA_SIMUL,'"&amp;F245&amp;"' AS CAMPO, "&amp;"'${ref_date}' AS REF_DATE, COUNT(*) AS NUM_REG, SUM(IF(TRIM(CAST(X."&amp;F245&amp;" AS STRING))='' OR TRIM(CAST(X."&amp;F245&amp;" AS STRING)) IS NULL,1,0)) AS NUM_REG_DIF,'"&amp;MAX('ID1&amp;5'!K:K)+1&amp;"' AS ID_EXEC, CURRENT_TIMESTAMP() AS TIME_EXEC FROM "&amp;I245),
IF(C245="Caracteres Especiais",+"SELECT '"&amp;UPPER(B245)&amp;"' AS TABELA, '"&amp;UPPER(C245)&amp;"' AS TIPOLOGIA_TESTE,'"&amp;D245&amp;"' AS TABELA_LT,'N/A' AS TABELA_SIMUL,'"&amp;F245&amp;"' AS CAMPO, "&amp;"'${ref_date}' AS REF_DATE, COUNT(*) AS NUM_REG, SUM(IF(INSTR(CAST(X."&amp;F245&amp;" AS STRING),'#')&gt;0 OR INSTR(CAST(X."&amp;F245&amp;" AS STRING),'*')&gt;0 OR INSTR(CAST(X."&amp;F245&amp;" AS STRING),'`')&gt;0 OR INSTR(CAST(X."&amp;F245&amp;" AS STRING),'´')&gt;0 OR INSTR(CAST(X."&amp;F245&amp;" AS STRING),'{')&gt;0 OR INSTR(CAST(X."&amp;F245&amp;" AS STRING),'}')&gt;0 OR INSTR(CAST(X."&amp;F245&amp;" AS STRING),'[')&gt;0 OR INSTR(CAST(X."&amp;F245&amp;" AS STRING),'')&gt;0 OR INSTR(CAST(X."&amp;F245&amp;" AS STRING),']')&gt;0 OR INSTR(CAST(X."&amp;F245&amp;" AS STRING),'?')&gt;0 OR INSTR(CAST(X."&amp;F245&amp;" AS STRING),'!')&gt;0 OR INSTR(CAST(X."&amp;F245&amp;" AS STRING),'$')&gt;0 OR INSTR(CAST(X."&amp;F245&amp;" AS STRING),'%')&gt;0 OR INSTR(CAST(X."&amp;F245&amp;" AS STRING),'&amp;')&gt;0 OR INSTR(CAST(X."&amp;F245&amp;" AS STRING),'+')&gt;0,1,0)) AS NUM_REG_DIF,'"&amp;MAX('ID1&amp;5'!K:K)+1&amp;"' AS ID_EXEC, CURRENT_TIMESTAMP() AS TIME_EXEC FROM "&amp;I245,
IF(C245="Missings",+"SELECT '"&amp;UPPER(B245)&amp;"' AS TABELA, '"&amp;UPPER(C245)&amp;"' AS TIPOLOGIA_TESTE,'"&amp;D245&amp;"' AS TABELA_LT,'N/A' AS TABELA_SIMUL,'"&amp;F245&amp;"' AS CAMPO, "&amp;"'${ref_date}' AS REF_DATE, COUNT(*) AS NUM_REG, SUM(IF(TRIM(CAST(X."&amp;F245&amp;" AS STRING)) IN ('0000-00-00','0001-01-01','9999-12-31','MISS','00000','99999999999','99999999999.00','99999999999.000000'),1,0)) AS NUM_REG_DIF,'"&amp;MAX('ID1&amp;5'!K:K)+1&amp;"' AS ID_EXEC, CURRENT_TIMESTAMP() AS TIME_EXEC FROM "&amp;I245,
IF(C245="Not applicable",+"SELECT '"&amp;UPPER(B245)&amp;"' AS TABELA, '"&amp;UPPER(C245)&amp;"' AS TIPOLOGIA_TESTE,'"&amp;D245&amp;"' AS TABELA_LT,'N/A' AS TABELA_SIMUL,'"&amp;F245&amp;"' AS CAMPO, "&amp;"'${ref_date}' AS REF_DATE, COUNT(*) AS NUM_REG, SUM(IF(TRIM(CAST(X."&amp;F245&amp;" AS STRING)) IN ('N/A','11111111111','11111111111.00','11111111111.000000','1111-11-11'),1,0)) AS NUM_REG_DIF,'"&amp;MAX('ID1&amp;5'!K:K)+1&amp;"' AS ID_EXEC, CURRENT_TIMESTAMP() AS TIME_EXEC FROM "&amp;I245,
IF(C245="Valores extremos",+"SELECT '"&amp;UPPER(B245)&amp;"' AS TABELA, '"&amp;UPPER(C245)&amp;"' AS TIPOLOGIA_TESTE,'"&amp;D245&amp;"' AS TABELA_LT,'N/A' AS TABELA_SIMUL,'"&amp;F245&amp;"' AS CAMPO, "&amp;"'${ref_date}' AS REF_DATE, CAST(MIN("&amp;F245&amp;") AS STRING) AS VALOR_MIN, CAST(MAX("&amp;F245&amp;") AS STRING) AS VALOR_MAX,'"&amp;MAX('ID1&amp;5'!K:K)+1&amp;"' AS ID_EXEC, CURRENT_TIMESTAMP() AS TIME_EXEC FROM "&amp;MID(I245,1,LEN(I245)-2)&amp;" AND CAST("&amp;F245&amp;"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TABELA_SIMUL,'GRP_EMSSNS_SCP1' AS CAMPO, '${ref_date}' AS REF_DATE, COUNT(*) AS NUM_REG, SUM(IF(INSTR(CAST(X.GRP_EMSSNS_SCP1 AS STRING),'#')&gt;0 OR INSTR(CAST(X.GRP_EMSSNS_SCP1 AS STRING),'*')&gt;0 OR INSTR(CAST(X.GRP_EMSSNS_SCP1 AS STRING),'`')&gt;0 OR INSTR(CAST(X.GRP_EMSSNS_SCP1 AS STRING),'´')&gt;0 OR INSTR(CAST(X.GRP_EMSSNS_SCP1 AS STRING),'{')&gt;0 OR INSTR(CAST(X.GRP_EMSSNS_SCP1 AS STRING),'}')&gt;0 OR INSTR(CAST(X.GRP_EMSSNS_SCP1 AS STRING),'[')&gt;0 OR INSTR(CAST(X.GRP_EMSSNS_SCP1 AS STRING),'')&gt;0 OR INSTR(CAST(X.GRP_EMSSNS_SCP1 AS STRING),']')&gt;0 OR INSTR(CAST(X.GRP_EMSSNS_SCP1 AS STRING),'?')&gt;0 OR INSTR(CAST(X.GRP_EMSSNS_SCP1 AS STRING),'!')&gt;0 OR INSTR(CAST(X.GRP_EMSSNS_SCP1 AS STRING),'$')&gt;0 OR INSTR(CAST(X.GRP_EMSSNS_SCP1 AS STRING),'%')&gt;0 OR INSTR(CAST(X.GRP_EMSSNS_SCP1 AS STRING),'&amp;')&gt;0 OR INSTR(CAST(X.GRP_EMSSNS_SCP1 AS STRING),'+')&gt;0,1,0)) AS NUM_REG_DIF,'10' AS ID_EXEC, CURRENT_TIMESTAMP() AS TIME_EXEC FROM (SELECT entty_id, GRP_EMSSNS_SCP1 FROM BU_LOANTAPE_WORK.LT003_ENTITY WHERE ref_date='${ref_date}' AND nome_perimetro='Individual Corporativo' AND segmento='ESTR' AND ambito='PILAR3')X</v>
      </c>
      <c r="M245" s="43" t="str">
        <f t="shared" ref="M245:M304" si="4">+"UNION ALL "&amp;L245</f>
        <v>UNION ALL SELECT 'ENTITY' AS TABELA, 'CARACTERES ESPECIAIS' AS TIPOLOGIA_TESTE,'BU_LOANTAPE_WORK.LT003_ENTITY' AS TABELA_LT,'N/A' AS TABELA_SIMUL,'GRP_EMSSNS_SCP1' AS CAMPO, '${ref_date}' AS REF_DATE, COUNT(*) AS NUM_REG, SUM(IF(INSTR(CAST(X.GRP_EMSSNS_SCP1 AS STRING),'#')&gt;0 OR INSTR(CAST(X.GRP_EMSSNS_SCP1 AS STRING),'*')&gt;0 OR INSTR(CAST(X.GRP_EMSSNS_SCP1 AS STRING),'`')&gt;0 OR INSTR(CAST(X.GRP_EMSSNS_SCP1 AS STRING),'´')&gt;0 OR INSTR(CAST(X.GRP_EMSSNS_SCP1 AS STRING),'{')&gt;0 OR INSTR(CAST(X.GRP_EMSSNS_SCP1 AS STRING),'}')&gt;0 OR INSTR(CAST(X.GRP_EMSSNS_SCP1 AS STRING),'[')&gt;0 OR INSTR(CAST(X.GRP_EMSSNS_SCP1 AS STRING),'')&gt;0 OR INSTR(CAST(X.GRP_EMSSNS_SCP1 AS STRING),']')&gt;0 OR INSTR(CAST(X.GRP_EMSSNS_SCP1 AS STRING),'?')&gt;0 OR INSTR(CAST(X.GRP_EMSSNS_SCP1 AS STRING),'!')&gt;0 OR INSTR(CAST(X.GRP_EMSSNS_SCP1 AS STRING),'$')&gt;0 OR INSTR(CAST(X.GRP_EMSSNS_SCP1 AS STRING),'%')&gt;0 OR INSTR(CAST(X.GRP_EMSSNS_SCP1 AS STRING),'&amp;')&gt;0 OR INSTR(CAST(X.GRP_EMSSNS_SCP1 AS STRING),'+')&gt;0,1,0)) AS NUM_REG_DIF,'10' AS ID_EXEC, CURRENT_TIMESTAMP() AS TIME_EXEC FROM (SELECT entty_id, GRP_EMSSNS_SCP1 FROM BU_LOANTAPE_WORK.LT003_ENTITY WHERE ref_date='${ref_date}' AND nome_perimetro='Individual Corporativo' AND segmento='ESTR' AND ambito='PILAR3')X</v>
      </c>
      <c r="N245" s="45" t="s">
        <v>13</v>
      </c>
    </row>
    <row r="246" spans="2:14">
      <c r="B246" s="41" t="s">
        <v>23</v>
      </c>
      <c r="C246" s="41" t="s">
        <v>76</v>
      </c>
      <c r="D246" s="41" t="str">
        <f>+UPPER('0. Instruções'!$D$33&amp;"."&amp;VLOOKUP(B246,'0. Instruções'!$C$27:$D$31,2,FALSE))</f>
        <v>BU_LOANTAPE_WORK.LT003_ENTITY</v>
      </c>
      <c r="E246" s="41" t="str">
        <f>+UPPER('0. Instruções'!$D$34&amp;"."&amp;VLOOKUP(B246,'0. Instruções'!$C$27:$E$31,3,FALSE))</f>
        <v>BU_LOANTAPE_WORK.LT003_ENTTY_P3_NOV24</v>
      </c>
      <c r="F246" s="41" t="s">
        <v>132</v>
      </c>
      <c r="G246" s="41" t="s">
        <v>210</v>
      </c>
      <c r="H246" s="41"/>
      <c r="I246" s="41" t="str">
        <f>"(SELECT "&amp;VLOOKUP(B246,'0. Instruções'!$C$27:$G$31,4,FALSE)&amp;", "&amp;F246&amp;" FROM "&amp;D246&amp;" WHERE "&amp;'0. Instruções'!$D$40&amp;")X"</f>
        <v>(SELECT entty_id, GRP_EMSSNS_SCP2 FROM BU_LOANTAPE_WORK.LT003_ENTITY WHERE ref_date='${ref_date}' AND nome_perimetro='Individual Corporativo' AND segmento='ESTR' AND ambito='PILAR3')X</v>
      </c>
      <c r="J246" s="41" t="str">
        <f>"(SELECT "&amp;VLOOKUP(B246,'0. Instruções'!$C$27:$G$31,4,FALSE)&amp;" AS "&amp;VLOOKUP(B246,'0. Instruções'!$C$27:$G$31,4,FALSE)&amp;"_SIMUL, "&amp;F246&amp;" AS "&amp;F246&amp;"_SIMUL FROM "&amp;E246&amp;")Y"</f>
        <v>(SELECT entty_id AS entty_id_SIMUL, GRP_EMSSNS_SCP2 AS GRP_EMSSNS_SCP2_SIMUL FROM BU_LOANTAPE_WORK.LT003_ENTTY_P3_NOV24)Y</v>
      </c>
      <c r="K246" s="42" t="str">
        <f>+UPPER("ON X."&amp;VLOOKUP(B246,'0. Instruções'!$C$27:$G$31,4,FALSE)&amp;"=Y."&amp;VLOOKUP(B246,'0. Instruções'!$C$27:$G$31,4,FALSE)&amp;"_SIMUL")</f>
        <v>ON X.ENTTY_ID=Y.ENTTY_ID_SIMUL</v>
      </c>
      <c r="L246" s="42" t="str">
        <f>+IF(C246="Coerência", +IF(LEFT(G246,5)="FLOAT","SELECT '"&amp;UPPER(B246)&amp;"' AS TABELA, '"&amp;UPPER(C246)&amp;"' AS TIPOLOGIA_TESTE,'"&amp;D246&amp;"' AS TABELA_LT,'"&amp;E246&amp;"' AS TABELA_SIMUL,'"&amp;F246&amp;"' AS CAMPO, "&amp;"'${ref_date}' AS REF_DATE, COUNT(*) AS NUM_REG, SUM(IF((ABS(COALESCE(X."&amp;F246&amp;",0)-COALESCE(Y."&amp;F246&amp;"_SIMUL,0))&gt;0.0000000001) OR (X."&amp;F246&amp;" IS NULL AND Y."&amp;F246&amp;"_SIMUL IS NOT NULL ) OR (X."&amp;F246&amp;" IS NOT NULL AND Y."&amp;F246&amp;"_SIMUL IS NULL),1,0)) AS NUM_REG_DIF,'"&amp;MAX('ID1&amp;5'!K:K)+1&amp;"' AS ID_EXEC, CURRENT_TIMESTAMP() AS TIME_EXEC FROM "&amp;I246&amp;" INNER JOIN "&amp;J246&amp;" "&amp;K246,"SELECT '"&amp;UPPER(B246)&amp;"' AS TABELA, '"&amp;UPPER(C246)&amp;"' AS TIPOLOGIA_TESTE,'"&amp;D246&amp;"' AS TABELA_LT,'"&amp;E246&amp;"' AS TABELA_SIMUL,'"&amp;F246&amp;"' AS CAMPO, "&amp;"'${ref_date}' AS REF_DATE, COUNT(*) AS NUM_REG, SUM(IF(COALESCE(CAST(X."&amp;F246&amp;" AS STRING),'')&lt;&gt;COALESCE(CAST(Y."&amp;F246&amp;"_SIMUL AS STRING),''),1,0)) AS NUM_REG_DIF,'"&amp;MAX('ID1&amp;5'!L:L)+1&amp;"' AS ID_EXEC, CURRENT_TIMESTAMP() AS TIME_EXEC FROM "&amp;I246&amp;" INNER JOIN "&amp;J246&amp;" "&amp;K246),
IF(C246="Validade",+IF(G246="Code List","SELECT '"&amp;UPPER(B246)&amp;"' AS TABELA, '"&amp;UPPER(C246)&amp;"' AS TIPOLOGIA_TESTE,'"&amp;D246&amp;"' AS TABELA_LT,'N/A' AS TABELA_SIMUL,'"&amp;F246&amp;"' AS CAMPO, "&amp;"'${ref_date}' AS REF_DATE, COUNT(*) AS NUM_REG, SUM(IF(TRIM(CAST(X."&amp;F246&amp;" AS STRING))='' OR TRIM(CAST(X."&amp;F246&amp;" AS STRING)) IS NULL OR CAST(X."&amp;F246&amp;" AS STRING) NOT "&amp;H246&amp;",1,0)) AS NUM_REG_DIF,'"&amp;MAX('ID1&amp;5'!K:K)+1&amp;"' AS ID_EXEC, CURRENT_TIMESTAMP() AS TIME_EXEC FROM "&amp;I246,"SELECT '"&amp;UPPER(B246)&amp;"' AS TABELA, '"&amp;UPPER(C246)&amp;"' AS TIPOLOGIA_TESTE,'"&amp;D246&amp;"' AS TABELA_LT,'N/A' AS TABELA_SIMUL,'"&amp;F246&amp;"' AS CAMPO, "&amp;"'${ref_date}' AS REF_DATE, COUNT(*) AS NUM_REG, SUM(IF(TRIM(CAST(X."&amp;F246&amp;" AS STRING))='' OR TRIM(CAST(X."&amp;F246&amp;" AS STRING)) IS NULL,1,0)) AS NUM_REG_DIF,'"&amp;MAX('ID1&amp;5'!K:K)+1&amp;"' AS ID_EXEC, CURRENT_TIMESTAMP() AS TIME_EXEC FROM "&amp;I246),
IF(C246="Caracteres Especiais",+"SELECT '"&amp;UPPER(B246)&amp;"' AS TABELA, '"&amp;UPPER(C246)&amp;"' AS TIPOLOGIA_TESTE,'"&amp;D246&amp;"' AS TABELA_LT,'N/A' AS TABELA_SIMUL,'"&amp;F246&amp;"' AS CAMPO, "&amp;"'${ref_date}' AS REF_DATE, COUNT(*) AS NUM_REG, SUM(IF(INSTR(CAST(X."&amp;F246&amp;" AS STRING),'#')&gt;0 OR INSTR(CAST(X."&amp;F246&amp;" AS STRING),'*')&gt;0 OR INSTR(CAST(X."&amp;F246&amp;" AS STRING),'`')&gt;0 OR INSTR(CAST(X."&amp;F246&amp;" AS STRING),'´')&gt;0 OR INSTR(CAST(X."&amp;F246&amp;" AS STRING),'{')&gt;0 OR INSTR(CAST(X."&amp;F246&amp;" AS STRING),'}')&gt;0 OR INSTR(CAST(X."&amp;F246&amp;" AS STRING),'[')&gt;0 OR INSTR(CAST(X."&amp;F246&amp;" AS STRING),'')&gt;0 OR INSTR(CAST(X."&amp;F246&amp;" AS STRING),']')&gt;0 OR INSTR(CAST(X."&amp;F246&amp;" AS STRING),'?')&gt;0 OR INSTR(CAST(X."&amp;F246&amp;" AS STRING),'!')&gt;0 OR INSTR(CAST(X."&amp;F246&amp;" AS STRING),'$')&gt;0 OR INSTR(CAST(X."&amp;F246&amp;" AS STRING),'%')&gt;0 OR INSTR(CAST(X."&amp;F246&amp;" AS STRING),'&amp;')&gt;0 OR INSTR(CAST(X."&amp;F246&amp;" AS STRING),'+')&gt;0,1,0)) AS NUM_REG_DIF,'"&amp;MAX('ID1&amp;5'!K:K)+1&amp;"' AS ID_EXEC, CURRENT_TIMESTAMP() AS TIME_EXEC FROM "&amp;I246,
IF(C246="Missings",+"SELECT '"&amp;UPPER(B246)&amp;"' AS TABELA, '"&amp;UPPER(C246)&amp;"' AS TIPOLOGIA_TESTE,'"&amp;D246&amp;"' AS TABELA_LT,'N/A' AS TABELA_SIMUL,'"&amp;F246&amp;"' AS CAMPO, "&amp;"'${ref_date}' AS REF_DATE, COUNT(*) AS NUM_REG, SUM(IF(TRIM(CAST(X."&amp;F246&amp;" AS STRING)) IN ('0000-00-00','0001-01-01','9999-12-31','MISS','00000','99999999999','99999999999.00','99999999999.000000'),1,0)) AS NUM_REG_DIF,'"&amp;MAX('ID1&amp;5'!K:K)+1&amp;"' AS ID_EXEC, CURRENT_TIMESTAMP() AS TIME_EXEC FROM "&amp;I246,
IF(C246="Not applicable",+"SELECT '"&amp;UPPER(B246)&amp;"' AS TABELA, '"&amp;UPPER(C246)&amp;"' AS TIPOLOGIA_TESTE,'"&amp;D246&amp;"' AS TABELA_LT,'N/A' AS TABELA_SIMUL,'"&amp;F246&amp;"' AS CAMPO, "&amp;"'${ref_date}' AS REF_DATE, COUNT(*) AS NUM_REG, SUM(IF(TRIM(CAST(X."&amp;F246&amp;" AS STRING)) IN ('N/A','11111111111','11111111111.00','11111111111.000000','1111-11-11'),1,0)) AS NUM_REG_DIF,'"&amp;MAX('ID1&amp;5'!K:K)+1&amp;"' AS ID_EXEC, CURRENT_TIMESTAMP() AS TIME_EXEC FROM "&amp;I246,
IF(C246="Valores extremos",+"SELECT '"&amp;UPPER(B246)&amp;"' AS TABELA, '"&amp;UPPER(C246)&amp;"' AS TIPOLOGIA_TESTE,'"&amp;D246&amp;"' AS TABELA_LT,'N/A' AS TABELA_SIMUL,'"&amp;F246&amp;"' AS CAMPO, "&amp;"'${ref_date}' AS REF_DATE, CAST(MIN("&amp;F246&amp;") AS STRING) AS VALOR_MIN, CAST(MAX("&amp;F246&amp;") AS STRING) AS VALOR_MAX,'"&amp;MAX('ID1&amp;5'!K:K)+1&amp;"' AS ID_EXEC, CURRENT_TIMESTAMP() AS TIME_EXEC FROM "&amp;MID(I246,1,LEN(I246)-2)&amp;" AND CAST("&amp;F246&amp;"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TABELA_SIMUL,'GRP_EMSSNS_SCP2' AS CAMPO, '${ref_date}' AS REF_DATE, COUNT(*) AS NUM_REG, SUM(IF(INSTR(CAST(X.GRP_EMSSNS_SCP2 AS STRING),'#')&gt;0 OR INSTR(CAST(X.GRP_EMSSNS_SCP2 AS STRING),'*')&gt;0 OR INSTR(CAST(X.GRP_EMSSNS_SCP2 AS STRING),'`')&gt;0 OR INSTR(CAST(X.GRP_EMSSNS_SCP2 AS STRING),'´')&gt;0 OR INSTR(CAST(X.GRP_EMSSNS_SCP2 AS STRING),'{')&gt;0 OR INSTR(CAST(X.GRP_EMSSNS_SCP2 AS STRING),'}')&gt;0 OR INSTR(CAST(X.GRP_EMSSNS_SCP2 AS STRING),'[')&gt;0 OR INSTR(CAST(X.GRP_EMSSNS_SCP2 AS STRING),'')&gt;0 OR INSTR(CAST(X.GRP_EMSSNS_SCP2 AS STRING),']')&gt;0 OR INSTR(CAST(X.GRP_EMSSNS_SCP2 AS STRING),'?')&gt;0 OR INSTR(CAST(X.GRP_EMSSNS_SCP2 AS STRING),'!')&gt;0 OR INSTR(CAST(X.GRP_EMSSNS_SCP2 AS STRING),'$')&gt;0 OR INSTR(CAST(X.GRP_EMSSNS_SCP2 AS STRING),'%')&gt;0 OR INSTR(CAST(X.GRP_EMSSNS_SCP2 AS STRING),'&amp;')&gt;0 OR INSTR(CAST(X.GRP_EMSSNS_SCP2 AS STRING),'+')&gt;0,1,0)) AS NUM_REG_DIF,'10' AS ID_EXEC, CURRENT_TIMESTAMP() AS TIME_EXEC FROM (SELECT entty_id, GRP_EMSSNS_SCP2 FROM BU_LOANTAPE_WORK.LT003_ENTITY WHERE ref_date='${ref_date}' AND nome_perimetro='Individual Corporativo' AND segmento='ESTR' AND ambito='PILAR3')X</v>
      </c>
      <c r="M246" s="43" t="str">
        <f t="shared" si="4"/>
        <v>UNION ALL SELECT 'ENTITY' AS TABELA, 'CARACTERES ESPECIAIS' AS TIPOLOGIA_TESTE,'BU_LOANTAPE_WORK.LT003_ENTITY' AS TABELA_LT,'N/A' AS TABELA_SIMUL,'GRP_EMSSNS_SCP2' AS CAMPO, '${ref_date}' AS REF_DATE, COUNT(*) AS NUM_REG, SUM(IF(INSTR(CAST(X.GRP_EMSSNS_SCP2 AS STRING),'#')&gt;0 OR INSTR(CAST(X.GRP_EMSSNS_SCP2 AS STRING),'*')&gt;0 OR INSTR(CAST(X.GRP_EMSSNS_SCP2 AS STRING),'`')&gt;0 OR INSTR(CAST(X.GRP_EMSSNS_SCP2 AS STRING),'´')&gt;0 OR INSTR(CAST(X.GRP_EMSSNS_SCP2 AS STRING),'{')&gt;0 OR INSTR(CAST(X.GRP_EMSSNS_SCP2 AS STRING),'}')&gt;0 OR INSTR(CAST(X.GRP_EMSSNS_SCP2 AS STRING),'[')&gt;0 OR INSTR(CAST(X.GRP_EMSSNS_SCP2 AS STRING),'')&gt;0 OR INSTR(CAST(X.GRP_EMSSNS_SCP2 AS STRING),']')&gt;0 OR INSTR(CAST(X.GRP_EMSSNS_SCP2 AS STRING),'?')&gt;0 OR INSTR(CAST(X.GRP_EMSSNS_SCP2 AS STRING),'!')&gt;0 OR INSTR(CAST(X.GRP_EMSSNS_SCP2 AS STRING),'$')&gt;0 OR INSTR(CAST(X.GRP_EMSSNS_SCP2 AS STRING),'%')&gt;0 OR INSTR(CAST(X.GRP_EMSSNS_SCP2 AS STRING),'&amp;')&gt;0 OR INSTR(CAST(X.GRP_EMSSNS_SCP2 AS STRING),'+')&gt;0,1,0)) AS NUM_REG_DIF,'10' AS ID_EXEC, CURRENT_TIMESTAMP() AS TIME_EXEC FROM (SELECT entty_id, GRP_EMSSNS_SCP2 FROM BU_LOANTAPE_WORK.LT003_ENTITY WHERE ref_date='${ref_date}' AND nome_perimetro='Individual Corporativo' AND segmento='ESTR' AND ambito='PILAR3')X</v>
      </c>
      <c r="N246" s="45" t="s">
        <v>13</v>
      </c>
    </row>
    <row r="247" spans="2:14">
      <c r="B247" s="41" t="s">
        <v>23</v>
      </c>
      <c r="C247" s="41" t="s">
        <v>76</v>
      </c>
      <c r="D247" s="41" t="str">
        <f>+UPPER('0. Instruções'!$D$33&amp;"."&amp;VLOOKUP(B247,'0. Instruções'!$C$27:$D$31,2,FALSE))</f>
        <v>BU_LOANTAPE_WORK.LT003_ENTITY</v>
      </c>
      <c r="E247" s="41" t="str">
        <f>+UPPER('0. Instruções'!$D$34&amp;"."&amp;VLOOKUP(B247,'0. Instruções'!$C$27:$E$31,3,FALSE))</f>
        <v>BU_LOANTAPE_WORK.LT003_ENTTY_P3_NOV24</v>
      </c>
      <c r="F247" s="41" t="s">
        <v>133</v>
      </c>
      <c r="G247" s="41" t="s">
        <v>210</v>
      </c>
      <c r="H247" s="41"/>
      <c r="I247" s="41" t="str">
        <f>"(SELECT "&amp;VLOOKUP(B247,'0. Instruções'!$C$27:$G$31,4,FALSE)&amp;", "&amp;F247&amp;" FROM "&amp;D247&amp;" WHERE "&amp;'0. Instruções'!$D$40&amp;")X"</f>
        <v>(SELECT entty_id, GRP_EMSSNS_SCP3 FROM BU_LOANTAPE_WORK.LT003_ENTITY WHERE ref_date='${ref_date}' AND nome_perimetro='Individual Corporativo' AND segmento='ESTR' AND ambito='PILAR3')X</v>
      </c>
      <c r="J247" s="41" t="str">
        <f>"(SELECT "&amp;VLOOKUP(B247,'0. Instruções'!$C$27:$G$31,4,FALSE)&amp;" AS "&amp;VLOOKUP(B247,'0. Instruções'!$C$27:$G$31,4,FALSE)&amp;"_SIMUL, "&amp;F247&amp;" AS "&amp;F247&amp;"_SIMUL FROM "&amp;E247&amp;")Y"</f>
        <v>(SELECT entty_id AS entty_id_SIMUL, GRP_EMSSNS_SCP3 AS GRP_EMSSNS_SCP3_SIMUL FROM BU_LOANTAPE_WORK.LT003_ENTTY_P3_NOV24)Y</v>
      </c>
      <c r="K247" s="42" t="str">
        <f>+UPPER("ON X."&amp;VLOOKUP(B247,'0. Instruções'!$C$27:$G$31,4,FALSE)&amp;"=Y."&amp;VLOOKUP(B247,'0. Instruções'!$C$27:$G$31,4,FALSE)&amp;"_SIMUL")</f>
        <v>ON X.ENTTY_ID=Y.ENTTY_ID_SIMUL</v>
      </c>
      <c r="L247" s="42" t="str">
        <f>+IF(C247="Coerência", +IF(LEFT(G247,5)="FLOAT","SELECT '"&amp;UPPER(B247)&amp;"' AS TABELA, '"&amp;UPPER(C247)&amp;"' AS TIPOLOGIA_TESTE,'"&amp;D247&amp;"' AS TABELA_LT,'"&amp;E247&amp;"' AS TABELA_SIMUL,'"&amp;F247&amp;"' AS CAMPO, "&amp;"'${ref_date}' AS REF_DATE, COUNT(*) AS NUM_REG, SUM(IF((ABS(COALESCE(X."&amp;F247&amp;",0)-COALESCE(Y."&amp;F247&amp;"_SIMUL,0))&gt;0.0000000001) OR (X."&amp;F247&amp;" IS NULL AND Y."&amp;F247&amp;"_SIMUL IS NOT NULL ) OR (X."&amp;F247&amp;" IS NOT NULL AND Y."&amp;F247&amp;"_SIMUL IS NULL),1,0)) AS NUM_REG_DIF,'"&amp;MAX('ID1&amp;5'!K:K)+1&amp;"' AS ID_EXEC, CURRENT_TIMESTAMP() AS TIME_EXEC FROM "&amp;I247&amp;" INNER JOIN "&amp;J247&amp;" "&amp;K247,"SELECT '"&amp;UPPER(B247)&amp;"' AS TABELA, '"&amp;UPPER(C247)&amp;"' AS TIPOLOGIA_TESTE,'"&amp;D247&amp;"' AS TABELA_LT,'"&amp;E247&amp;"' AS TABELA_SIMUL,'"&amp;F247&amp;"' AS CAMPO, "&amp;"'${ref_date}' AS REF_DATE, COUNT(*) AS NUM_REG, SUM(IF(COALESCE(CAST(X."&amp;F247&amp;" AS STRING),'')&lt;&gt;COALESCE(CAST(Y."&amp;F247&amp;"_SIMUL AS STRING),''),1,0)) AS NUM_REG_DIF,'"&amp;MAX('ID1&amp;5'!L:L)+1&amp;"' AS ID_EXEC, CURRENT_TIMESTAMP() AS TIME_EXEC FROM "&amp;I247&amp;" INNER JOIN "&amp;J247&amp;" "&amp;K247),
IF(C247="Validade",+IF(G247="Code List","SELECT '"&amp;UPPER(B247)&amp;"' AS TABELA, '"&amp;UPPER(C247)&amp;"' AS TIPOLOGIA_TESTE,'"&amp;D247&amp;"' AS TABELA_LT,'N/A' AS TABELA_SIMUL,'"&amp;F247&amp;"' AS CAMPO, "&amp;"'${ref_date}' AS REF_DATE, COUNT(*) AS NUM_REG, SUM(IF(TRIM(CAST(X."&amp;F247&amp;" AS STRING))='' OR TRIM(CAST(X."&amp;F247&amp;" AS STRING)) IS NULL OR CAST(X."&amp;F247&amp;" AS STRING) NOT "&amp;H247&amp;",1,0)) AS NUM_REG_DIF,'"&amp;MAX('ID1&amp;5'!K:K)+1&amp;"' AS ID_EXEC, CURRENT_TIMESTAMP() AS TIME_EXEC FROM "&amp;I247,"SELECT '"&amp;UPPER(B247)&amp;"' AS TABELA, '"&amp;UPPER(C247)&amp;"' AS TIPOLOGIA_TESTE,'"&amp;D247&amp;"' AS TABELA_LT,'N/A' AS TABELA_SIMUL,'"&amp;F247&amp;"' AS CAMPO, "&amp;"'${ref_date}' AS REF_DATE, COUNT(*) AS NUM_REG, SUM(IF(TRIM(CAST(X."&amp;F247&amp;" AS STRING))='' OR TRIM(CAST(X."&amp;F247&amp;" AS STRING)) IS NULL,1,0)) AS NUM_REG_DIF,'"&amp;MAX('ID1&amp;5'!K:K)+1&amp;"' AS ID_EXEC, CURRENT_TIMESTAMP() AS TIME_EXEC FROM "&amp;I247),
IF(C247="Caracteres Especiais",+"SELECT '"&amp;UPPER(B247)&amp;"' AS TABELA, '"&amp;UPPER(C247)&amp;"' AS TIPOLOGIA_TESTE,'"&amp;D247&amp;"' AS TABELA_LT,'N/A' AS TABELA_SIMUL,'"&amp;F247&amp;"' AS CAMPO, "&amp;"'${ref_date}' AS REF_DATE, COUNT(*) AS NUM_REG, SUM(IF(INSTR(CAST(X."&amp;F247&amp;" AS STRING),'#')&gt;0 OR INSTR(CAST(X."&amp;F247&amp;" AS STRING),'*')&gt;0 OR INSTR(CAST(X."&amp;F247&amp;" AS STRING),'`')&gt;0 OR INSTR(CAST(X."&amp;F247&amp;" AS STRING),'´')&gt;0 OR INSTR(CAST(X."&amp;F247&amp;" AS STRING),'{')&gt;0 OR INSTR(CAST(X."&amp;F247&amp;" AS STRING),'}')&gt;0 OR INSTR(CAST(X."&amp;F247&amp;" AS STRING),'[')&gt;0 OR INSTR(CAST(X."&amp;F247&amp;" AS STRING),'')&gt;0 OR INSTR(CAST(X."&amp;F247&amp;" AS STRING),']')&gt;0 OR INSTR(CAST(X."&amp;F247&amp;" AS STRING),'?')&gt;0 OR INSTR(CAST(X."&amp;F247&amp;" AS STRING),'!')&gt;0 OR INSTR(CAST(X."&amp;F247&amp;" AS STRING),'$')&gt;0 OR INSTR(CAST(X."&amp;F247&amp;" AS STRING),'%')&gt;0 OR INSTR(CAST(X."&amp;F247&amp;" AS STRING),'&amp;')&gt;0 OR INSTR(CAST(X."&amp;F247&amp;" AS STRING),'+')&gt;0,1,0)) AS NUM_REG_DIF,'"&amp;MAX('ID1&amp;5'!K:K)+1&amp;"' AS ID_EXEC, CURRENT_TIMESTAMP() AS TIME_EXEC FROM "&amp;I247,
IF(C247="Missings",+"SELECT '"&amp;UPPER(B247)&amp;"' AS TABELA, '"&amp;UPPER(C247)&amp;"' AS TIPOLOGIA_TESTE,'"&amp;D247&amp;"' AS TABELA_LT,'N/A' AS TABELA_SIMUL,'"&amp;F247&amp;"' AS CAMPO, "&amp;"'${ref_date}' AS REF_DATE, COUNT(*) AS NUM_REG, SUM(IF(TRIM(CAST(X."&amp;F247&amp;" AS STRING)) IN ('0000-00-00','0001-01-01','9999-12-31','MISS','00000','99999999999','99999999999.00','99999999999.000000'),1,0)) AS NUM_REG_DIF,'"&amp;MAX('ID1&amp;5'!K:K)+1&amp;"' AS ID_EXEC, CURRENT_TIMESTAMP() AS TIME_EXEC FROM "&amp;I247,
IF(C247="Not applicable",+"SELECT '"&amp;UPPER(B247)&amp;"' AS TABELA, '"&amp;UPPER(C247)&amp;"' AS TIPOLOGIA_TESTE,'"&amp;D247&amp;"' AS TABELA_LT,'N/A' AS TABELA_SIMUL,'"&amp;F247&amp;"' AS CAMPO, "&amp;"'${ref_date}' AS REF_DATE, COUNT(*) AS NUM_REG, SUM(IF(TRIM(CAST(X."&amp;F247&amp;" AS STRING)) IN ('N/A','11111111111','11111111111.00','11111111111.000000','1111-11-11'),1,0)) AS NUM_REG_DIF,'"&amp;MAX('ID1&amp;5'!K:K)+1&amp;"' AS ID_EXEC, CURRENT_TIMESTAMP() AS TIME_EXEC FROM "&amp;I247,
IF(C247="Valores extremos",+"SELECT '"&amp;UPPER(B247)&amp;"' AS TABELA, '"&amp;UPPER(C247)&amp;"' AS TIPOLOGIA_TESTE,'"&amp;D247&amp;"' AS TABELA_LT,'N/A' AS TABELA_SIMUL,'"&amp;F247&amp;"' AS CAMPO, "&amp;"'${ref_date}' AS REF_DATE, CAST(MIN("&amp;F247&amp;") AS STRING) AS VALOR_MIN, CAST(MAX("&amp;F247&amp;") AS STRING) AS VALOR_MAX,'"&amp;MAX('ID1&amp;5'!K:K)+1&amp;"' AS ID_EXEC, CURRENT_TIMESTAMP() AS TIME_EXEC FROM "&amp;MID(I247,1,LEN(I247)-2)&amp;" AND CAST("&amp;F247&amp;"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TABELA_SIMUL,'GRP_EMSSNS_SCP3' AS CAMPO, '${ref_date}' AS REF_DATE, COUNT(*) AS NUM_REG, SUM(IF(INSTR(CAST(X.GRP_EMSSNS_SCP3 AS STRING),'#')&gt;0 OR INSTR(CAST(X.GRP_EMSSNS_SCP3 AS STRING),'*')&gt;0 OR INSTR(CAST(X.GRP_EMSSNS_SCP3 AS STRING),'`')&gt;0 OR INSTR(CAST(X.GRP_EMSSNS_SCP3 AS STRING),'´')&gt;0 OR INSTR(CAST(X.GRP_EMSSNS_SCP3 AS STRING),'{')&gt;0 OR INSTR(CAST(X.GRP_EMSSNS_SCP3 AS STRING),'}')&gt;0 OR INSTR(CAST(X.GRP_EMSSNS_SCP3 AS STRING),'[')&gt;0 OR INSTR(CAST(X.GRP_EMSSNS_SCP3 AS STRING),'')&gt;0 OR INSTR(CAST(X.GRP_EMSSNS_SCP3 AS STRING),']')&gt;0 OR INSTR(CAST(X.GRP_EMSSNS_SCP3 AS STRING),'?')&gt;0 OR INSTR(CAST(X.GRP_EMSSNS_SCP3 AS STRING),'!')&gt;0 OR INSTR(CAST(X.GRP_EMSSNS_SCP3 AS STRING),'$')&gt;0 OR INSTR(CAST(X.GRP_EMSSNS_SCP3 AS STRING),'%')&gt;0 OR INSTR(CAST(X.GRP_EMSSNS_SCP3 AS STRING),'&amp;')&gt;0 OR INSTR(CAST(X.GRP_EMSSNS_SCP3 AS STRING),'+')&gt;0,1,0)) AS NUM_REG_DIF,'10' AS ID_EXEC, CURRENT_TIMESTAMP() AS TIME_EXEC FROM (SELECT entty_id, GRP_EMSSNS_SCP3 FROM BU_LOANTAPE_WORK.LT003_ENTITY WHERE ref_date='${ref_date}' AND nome_perimetro='Individual Corporativo' AND segmento='ESTR' AND ambito='PILAR3')X</v>
      </c>
      <c r="M247" s="43" t="str">
        <f t="shared" si="4"/>
        <v>UNION ALL SELECT 'ENTITY' AS TABELA, 'CARACTERES ESPECIAIS' AS TIPOLOGIA_TESTE,'BU_LOANTAPE_WORK.LT003_ENTITY' AS TABELA_LT,'N/A' AS TABELA_SIMUL,'GRP_EMSSNS_SCP3' AS CAMPO, '${ref_date}' AS REF_DATE, COUNT(*) AS NUM_REG, SUM(IF(INSTR(CAST(X.GRP_EMSSNS_SCP3 AS STRING),'#')&gt;0 OR INSTR(CAST(X.GRP_EMSSNS_SCP3 AS STRING),'*')&gt;0 OR INSTR(CAST(X.GRP_EMSSNS_SCP3 AS STRING),'`')&gt;0 OR INSTR(CAST(X.GRP_EMSSNS_SCP3 AS STRING),'´')&gt;0 OR INSTR(CAST(X.GRP_EMSSNS_SCP3 AS STRING),'{')&gt;0 OR INSTR(CAST(X.GRP_EMSSNS_SCP3 AS STRING),'}')&gt;0 OR INSTR(CAST(X.GRP_EMSSNS_SCP3 AS STRING),'[')&gt;0 OR INSTR(CAST(X.GRP_EMSSNS_SCP3 AS STRING),'')&gt;0 OR INSTR(CAST(X.GRP_EMSSNS_SCP3 AS STRING),']')&gt;0 OR INSTR(CAST(X.GRP_EMSSNS_SCP3 AS STRING),'?')&gt;0 OR INSTR(CAST(X.GRP_EMSSNS_SCP3 AS STRING),'!')&gt;0 OR INSTR(CAST(X.GRP_EMSSNS_SCP3 AS STRING),'$')&gt;0 OR INSTR(CAST(X.GRP_EMSSNS_SCP3 AS STRING),'%')&gt;0 OR INSTR(CAST(X.GRP_EMSSNS_SCP3 AS STRING),'&amp;')&gt;0 OR INSTR(CAST(X.GRP_EMSSNS_SCP3 AS STRING),'+')&gt;0,1,0)) AS NUM_REG_DIF,'10' AS ID_EXEC, CURRENT_TIMESTAMP() AS TIME_EXEC FROM (SELECT entty_id, GRP_EMSSNS_SCP3 FROM BU_LOANTAPE_WORK.LT003_ENTITY WHERE ref_date='${ref_date}' AND nome_perimetro='Individual Corporativo' AND segmento='ESTR' AND ambito='PILAR3')X</v>
      </c>
      <c r="N247" s="45" t="s">
        <v>13</v>
      </c>
    </row>
    <row r="248" spans="2:14">
      <c r="B248" s="41" t="s">
        <v>23</v>
      </c>
      <c r="C248" s="41" t="s">
        <v>76</v>
      </c>
      <c r="D248" s="41" t="str">
        <f>+UPPER('0. Instruções'!$D$33&amp;"."&amp;VLOOKUP(B248,'0. Instruções'!$C$27:$D$31,2,FALSE))</f>
        <v>BU_LOANTAPE_WORK.LT003_ENTITY</v>
      </c>
      <c r="E248" s="41" t="str">
        <f>+UPPER('0. Instruções'!$D$34&amp;"."&amp;VLOOKUP(B248,'0. Instruções'!$C$27:$E$31,3,FALSE))</f>
        <v>BU_LOANTAPE_WORK.LT003_ENTTY_P3_NOV24</v>
      </c>
      <c r="F248" s="41" t="s">
        <v>181</v>
      </c>
      <c r="G248" s="41" t="s">
        <v>13</v>
      </c>
      <c r="H248" s="41"/>
      <c r="I248" s="41" t="str">
        <f>"(SELECT "&amp;VLOOKUP(B248,'0. Instruções'!$C$27:$G$31,4,FALSE)&amp;", "&amp;F248&amp;" FROM "&amp;D248&amp;" WHERE "&amp;'0. Instruções'!$D$40&amp;")X"</f>
        <v>(SELECT entty_id, CNTRY FROM BU_LOANTAPE_WORK.LT003_ENTITY WHERE ref_date='${ref_date}' AND nome_perimetro='Individual Corporativo' AND segmento='ESTR' AND ambito='PILAR3')X</v>
      </c>
      <c r="J248" s="41" t="str">
        <f>"(SELECT "&amp;VLOOKUP(B248,'0. Instruções'!$C$27:$G$31,4,FALSE)&amp;" AS "&amp;VLOOKUP(B248,'0. Instruções'!$C$27:$G$31,4,FALSE)&amp;"_SIMUL, "&amp;F248&amp;" AS "&amp;F248&amp;"_SIMUL FROM "&amp;E248&amp;")Y"</f>
        <v>(SELECT entty_id AS entty_id_SIMUL, CNTRY AS CNTRY_SIMUL FROM BU_LOANTAPE_WORK.LT003_ENTTY_P3_NOV24)Y</v>
      </c>
      <c r="K248" s="42" t="str">
        <f>+UPPER("ON X."&amp;VLOOKUP(B248,'0. Instruções'!$C$27:$G$31,4,FALSE)&amp;"=Y."&amp;VLOOKUP(B248,'0. Instruções'!$C$27:$G$31,4,FALSE)&amp;"_SIMUL")</f>
        <v>ON X.ENTTY_ID=Y.ENTTY_ID_SIMUL</v>
      </c>
      <c r="L248" s="42" t="str">
        <f>+IF(C248="Coerência", +IF(LEFT(G248,5)="FLOAT","SELECT '"&amp;UPPER(B248)&amp;"' AS TABELA, '"&amp;UPPER(C248)&amp;"' AS TIPOLOGIA_TESTE,'"&amp;D248&amp;"' AS TABELA_LT,'"&amp;E248&amp;"' AS TABELA_SIMUL,'"&amp;F248&amp;"' AS CAMPO, "&amp;"'${ref_date}' AS REF_DATE, COUNT(*) AS NUM_REG, SUM(IF((ABS(COALESCE(X."&amp;F248&amp;",0)-COALESCE(Y."&amp;F248&amp;"_SIMUL,0))&gt;0.0000000001) OR (X."&amp;F248&amp;" IS NULL AND Y."&amp;F248&amp;"_SIMUL IS NOT NULL ) OR (X."&amp;F248&amp;" IS NOT NULL AND Y."&amp;F248&amp;"_SIMUL IS NULL),1,0)) AS NUM_REG_DIF,'"&amp;MAX('ID1&amp;5'!K:K)+1&amp;"' AS ID_EXEC, CURRENT_TIMESTAMP() AS TIME_EXEC FROM "&amp;I248&amp;" INNER JOIN "&amp;J248&amp;" "&amp;K248,"SELECT '"&amp;UPPER(B248)&amp;"' AS TABELA, '"&amp;UPPER(C248)&amp;"' AS TIPOLOGIA_TESTE,'"&amp;D248&amp;"' AS TABELA_LT,'"&amp;E248&amp;"' AS TABELA_SIMUL,'"&amp;F248&amp;"' AS CAMPO, "&amp;"'${ref_date}' AS REF_DATE, COUNT(*) AS NUM_REG, SUM(IF(COALESCE(CAST(X."&amp;F248&amp;" AS STRING),'')&lt;&gt;COALESCE(CAST(Y."&amp;F248&amp;"_SIMUL AS STRING),''),1,0)) AS NUM_REG_DIF,'"&amp;MAX('ID1&amp;5'!L:L)+1&amp;"' AS ID_EXEC, CURRENT_TIMESTAMP() AS TIME_EXEC FROM "&amp;I248&amp;" INNER JOIN "&amp;J248&amp;" "&amp;K248),
IF(C248="Validade",+IF(G248="Code List","SELECT '"&amp;UPPER(B248)&amp;"' AS TABELA, '"&amp;UPPER(C248)&amp;"' AS TIPOLOGIA_TESTE,'"&amp;D248&amp;"' AS TABELA_LT,'N/A' AS TABELA_SIMUL,'"&amp;F248&amp;"' AS CAMPO, "&amp;"'${ref_date}' AS REF_DATE, COUNT(*) AS NUM_REG, SUM(IF(TRIM(CAST(X."&amp;F248&amp;" AS STRING))='' OR TRIM(CAST(X."&amp;F248&amp;" AS STRING)) IS NULL OR CAST(X."&amp;F248&amp;" AS STRING) NOT "&amp;H248&amp;",1,0)) AS NUM_REG_DIF,'"&amp;MAX('ID1&amp;5'!K:K)+1&amp;"' AS ID_EXEC, CURRENT_TIMESTAMP() AS TIME_EXEC FROM "&amp;I248,"SELECT '"&amp;UPPER(B248)&amp;"' AS TABELA, '"&amp;UPPER(C248)&amp;"' AS TIPOLOGIA_TESTE,'"&amp;D248&amp;"' AS TABELA_LT,'N/A' AS TABELA_SIMUL,'"&amp;F248&amp;"' AS CAMPO, "&amp;"'${ref_date}' AS REF_DATE, COUNT(*) AS NUM_REG, SUM(IF(TRIM(CAST(X."&amp;F248&amp;" AS STRING))='' OR TRIM(CAST(X."&amp;F248&amp;" AS STRING)) IS NULL,1,0)) AS NUM_REG_DIF,'"&amp;MAX('ID1&amp;5'!K:K)+1&amp;"' AS ID_EXEC, CURRENT_TIMESTAMP() AS TIME_EXEC FROM "&amp;I248),
IF(C248="Caracteres Especiais",+"SELECT '"&amp;UPPER(B248)&amp;"' AS TABELA, '"&amp;UPPER(C248)&amp;"' AS TIPOLOGIA_TESTE,'"&amp;D248&amp;"' AS TABELA_LT,'N/A' AS TABELA_SIMUL,'"&amp;F248&amp;"' AS CAMPO, "&amp;"'${ref_date}' AS REF_DATE, COUNT(*) AS NUM_REG, SUM(IF(INSTR(CAST(X."&amp;F248&amp;" AS STRING),'#')&gt;0 OR INSTR(CAST(X."&amp;F248&amp;" AS STRING),'*')&gt;0 OR INSTR(CAST(X."&amp;F248&amp;" AS STRING),'`')&gt;0 OR INSTR(CAST(X."&amp;F248&amp;" AS STRING),'´')&gt;0 OR INSTR(CAST(X."&amp;F248&amp;" AS STRING),'{')&gt;0 OR INSTR(CAST(X."&amp;F248&amp;" AS STRING),'}')&gt;0 OR INSTR(CAST(X."&amp;F248&amp;" AS STRING),'[')&gt;0 OR INSTR(CAST(X."&amp;F248&amp;" AS STRING),'')&gt;0 OR INSTR(CAST(X."&amp;F248&amp;" AS STRING),']')&gt;0 OR INSTR(CAST(X."&amp;F248&amp;" AS STRING),'?')&gt;0 OR INSTR(CAST(X."&amp;F248&amp;" AS STRING),'!')&gt;0 OR INSTR(CAST(X."&amp;F248&amp;" AS STRING),'$')&gt;0 OR INSTR(CAST(X."&amp;F248&amp;" AS STRING),'%')&gt;0 OR INSTR(CAST(X."&amp;F248&amp;" AS STRING),'&amp;')&gt;0 OR INSTR(CAST(X."&amp;F248&amp;" AS STRING),'+')&gt;0,1,0)) AS NUM_REG_DIF,'"&amp;MAX('ID1&amp;5'!K:K)+1&amp;"' AS ID_EXEC, CURRENT_TIMESTAMP() AS TIME_EXEC FROM "&amp;I248,
IF(C248="Missings",+"SELECT '"&amp;UPPER(B248)&amp;"' AS TABELA, '"&amp;UPPER(C248)&amp;"' AS TIPOLOGIA_TESTE,'"&amp;D248&amp;"' AS TABELA_LT,'N/A' AS TABELA_SIMUL,'"&amp;F248&amp;"' AS CAMPO, "&amp;"'${ref_date}' AS REF_DATE, COUNT(*) AS NUM_REG, SUM(IF(TRIM(CAST(X."&amp;F248&amp;" AS STRING)) IN ('0000-00-00','0001-01-01','9999-12-31','MISS','00000','99999999999','99999999999.00','99999999999.000000'),1,0)) AS NUM_REG_DIF,'"&amp;MAX('ID1&amp;5'!K:K)+1&amp;"' AS ID_EXEC, CURRENT_TIMESTAMP() AS TIME_EXEC FROM "&amp;I248,
IF(C248="Not applicable",+"SELECT '"&amp;UPPER(B248)&amp;"' AS TABELA, '"&amp;UPPER(C248)&amp;"' AS TIPOLOGIA_TESTE,'"&amp;D248&amp;"' AS TABELA_LT,'N/A' AS TABELA_SIMUL,'"&amp;F248&amp;"' AS CAMPO, "&amp;"'${ref_date}' AS REF_DATE, COUNT(*) AS NUM_REG, SUM(IF(TRIM(CAST(X."&amp;F248&amp;" AS STRING)) IN ('N/A','11111111111','11111111111.00','11111111111.000000','1111-11-11'),1,0)) AS NUM_REG_DIF,'"&amp;MAX('ID1&amp;5'!K:K)+1&amp;"' AS ID_EXEC, CURRENT_TIMESTAMP() AS TIME_EXEC FROM "&amp;I248,
IF(C248="Valores extremos",+"SELECT '"&amp;UPPER(B248)&amp;"' AS TABELA, '"&amp;UPPER(C248)&amp;"' AS TIPOLOGIA_TESTE,'"&amp;D248&amp;"' AS TABELA_LT,'N/A' AS TABELA_SIMUL,'"&amp;F248&amp;"' AS CAMPO, "&amp;"'${ref_date}' AS REF_DATE, CAST(MIN("&amp;F248&amp;") AS STRING) AS VALOR_MIN, CAST(MAX("&amp;F248&amp;") AS STRING) AS VALOR_MAX,'"&amp;MAX('ID1&amp;5'!K:K)+1&amp;"' AS ID_EXEC, CURRENT_TIMESTAMP() AS TIME_EXEC FROM "&amp;MID(I248,1,LEN(I248)-2)&amp;" AND CAST("&amp;F248&amp;"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TABELA_SIMUL,'CNTRY' AS CAMPO, '${ref_date}' AS REF_DATE, COUNT(*) AS NUM_REG, SUM(IF(INSTR(CAST(X.CNTRY AS STRING),'#')&gt;0 OR INSTR(CAST(X.CNTRY AS STRING),'*')&gt;0 OR INSTR(CAST(X.CNTRY AS STRING),'`')&gt;0 OR INSTR(CAST(X.CNTRY AS STRING),'´')&gt;0 OR INSTR(CAST(X.CNTRY AS STRING),'{')&gt;0 OR INSTR(CAST(X.CNTRY AS STRING),'}')&gt;0 OR INSTR(CAST(X.CNTRY AS STRING),'[')&gt;0 OR INSTR(CAST(X.CNTRY AS STRING),'')&gt;0 OR INSTR(CAST(X.CNTRY AS STRING),']')&gt;0 OR INSTR(CAST(X.CNTRY AS STRING),'?')&gt;0 OR INSTR(CAST(X.CNTRY AS STRING),'!')&gt;0 OR INSTR(CAST(X.CNTRY AS STRING),'$')&gt;0 OR INSTR(CAST(X.CNTRY AS STRING),'%')&gt;0 OR INSTR(CAST(X.CNTRY AS STRING),'&amp;')&gt;0 OR INSTR(CAST(X.CNTRY AS STRING),'+')&gt;0,1,0)) AS NUM_REG_DIF,'10' AS ID_EXEC, CURRENT_TIMESTAMP() AS TIME_EXEC FROM (SELECT entty_id, CNTRY FROM BU_LOANTAPE_WORK.LT003_ENTITY WHERE ref_date='${ref_date}' AND nome_perimetro='Individual Corporativo' AND segmento='ESTR' AND ambito='PILAR3')X</v>
      </c>
      <c r="M248" s="43" t="str">
        <f t="shared" si="4"/>
        <v>UNION ALL SELECT 'ENTITY' AS TABELA, 'CARACTERES ESPECIAIS' AS TIPOLOGIA_TESTE,'BU_LOANTAPE_WORK.LT003_ENTITY' AS TABELA_LT,'N/A' AS TABELA_SIMUL,'CNTRY' AS CAMPO, '${ref_date}' AS REF_DATE, COUNT(*) AS NUM_REG, SUM(IF(INSTR(CAST(X.CNTRY AS STRING),'#')&gt;0 OR INSTR(CAST(X.CNTRY AS STRING),'*')&gt;0 OR INSTR(CAST(X.CNTRY AS STRING),'`')&gt;0 OR INSTR(CAST(X.CNTRY AS STRING),'´')&gt;0 OR INSTR(CAST(X.CNTRY AS STRING),'{')&gt;0 OR INSTR(CAST(X.CNTRY AS STRING),'}')&gt;0 OR INSTR(CAST(X.CNTRY AS STRING),'[')&gt;0 OR INSTR(CAST(X.CNTRY AS STRING),'')&gt;0 OR INSTR(CAST(X.CNTRY AS STRING),']')&gt;0 OR INSTR(CAST(X.CNTRY AS STRING),'?')&gt;0 OR INSTR(CAST(X.CNTRY AS STRING),'!')&gt;0 OR INSTR(CAST(X.CNTRY AS STRING),'$')&gt;0 OR INSTR(CAST(X.CNTRY AS STRING),'%')&gt;0 OR INSTR(CAST(X.CNTRY AS STRING),'&amp;')&gt;0 OR INSTR(CAST(X.CNTRY AS STRING),'+')&gt;0,1,0)) AS NUM_REG_DIF,'10' AS ID_EXEC, CURRENT_TIMESTAMP() AS TIME_EXEC FROM (SELECT entty_id, CNTRY FROM BU_LOANTAPE_WORK.LT003_ENTITY WHERE ref_date='${ref_date}' AND nome_perimetro='Individual Corporativo' AND segmento='ESTR' AND ambito='PILAR3')X</v>
      </c>
      <c r="N248" s="45" t="s">
        <v>13</v>
      </c>
    </row>
    <row r="249" spans="2:14">
      <c r="B249" s="41" t="s">
        <v>23</v>
      </c>
      <c r="C249" s="41" t="s">
        <v>76</v>
      </c>
      <c r="D249" s="41" t="str">
        <f>+UPPER('0. Instruções'!$D$33&amp;"."&amp;VLOOKUP(B249,'0. Instruções'!$C$27:$D$31,2,FALSE))</f>
        <v>BU_LOANTAPE_WORK.LT003_ENTITY</v>
      </c>
      <c r="E249" s="41" t="str">
        <f>+UPPER('0. Instruções'!$D$34&amp;"."&amp;VLOOKUP(B249,'0. Instruções'!$C$27:$E$31,3,FALSE))</f>
        <v>BU_LOANTAPE_WORK.LT003_ENTTY_P3_NOV24</v>
      </c>
      <c r="F249" s="41" t="s">
        <v>156</v>
      </c>
      <c r="G249" s="41" t="s">
        <v>13</v>
      </c>
      <c r="H249" s="41"/>
      <c r="I249" s="41" t="str">
        <f>"(SELECT "&amp;VLOOKUP(B249,'0. Instruções'!$C$27:$G$31,4,FALSE)&amp;", "&amp;F249&amp;" FROM "&amp;D249&amp;" WHERE "&amp;'0. Instruções'!$D$40&amp;")X"</f>
        <v>(SELECT entty_id, DT_RFRNC FROM BU_LOANTAPE_WORK.LT003_ENTITY WHERE ref_date='${ref_date}' AND nome_perimetro='Individual Corporativo' AND segmento='ESTR' AND ambito='PILAR3')X</v>
      </c>
      <c r="J249" s="41" t="str">
        <f>"(SELECT "&amp;VLOOKUP(B249,'0. Instruções'!$C$27:$G$31,4,FALSE)&amp;" AS "&amp;VLOOKUP(B249,'0. Instruções'!$C$27:$G$31,4,FALSE)&amp;"_SIMUL, "&amp;F249&amp;" AS "&amp;F249&amp;"_SIMUL FROM "&amp;E249&amp;")Y"</f>
        <v>(SELECT entty_id AS entty_id_SIMUL, DT_RFRNC AS DT_RFRNC_SIMUL FROM BU_LOANTAPE_WORK.LT003_ENTTY_P3_NOV24)Y</v>
      </c>
      <c r="K249" s="42" t="str">
        <f>+UPPER("ON X."&amp;VLOOKUP(B249,'0. Instruções'!$C$27:$G$31,4,FALSE)&amp;"=Y."&amp;VLOOKUP(B249,'0. Instruções'!$C$27:$G$31,4,FALSE)&amp;"_SIMUL")</f>
        <v>ON X.ENTTY_ID=Y.ENTTY_ID_SIMUL</v>
      </c>
      <c r="L249" s="42" t="str">
        <f>+IF(C249="Coerência", +IF(LEFT(G249,5)="FLOAT","SELECT '"&amp;UPPER(B249)&amp;"' AS TABELA, '"&amp;UPPER(C249)&amp;"' AS TIPOLOGIA_TESTE,'"&amp;D249&amp;"' AS TABELA_LT,'"&amp;E249&amp;"' AS TABELA_SIMUL,'"&amp;F249&amp;"' AS CAMPO, "&amp;"'${ref_date}' AS REF_DATE, COUNT(*) AS NUM_REG, SUM(IF((ABS(COALESCE(X."&amp;F249&amp;",0)-COALESCE(Y."&amp;F249&amp;"_SIMUL,0))&gt;0.0000000001) OR (X."&amp;F249&amp;" IS NULL AND Y."&amp;F249&amp;"_SIMUL IS NOT NULL ) OR (X."&amp;F249&amp;" IS NOT NULL AND Y."&amp;F249&amp;"_SIMUL IS NULL),1,0)) AS NUM_REG_DIF,'"&amp;MAX('ID1&amp;5'!K:K)+1&amp;"' AS ID_EXEC, CURRENT_TIMESTAMP() AS TIME_EXEC FROM "&amp;I249&amp;" INNER JOIN "&amp;J249&amp;" "&amp;K249,"SELECT '"&amp;UPPER(B249)&amp;"' AS TABELA, '"&amp;UPPER(C249)&amp;"' AS TIPOLOGIA_TESTE,'"&amp;D249&amp;"' AS TABELA_LT,'"&amp;E249&amp;"' AS TABELA_SIMUL,'"&amp;F249&amp;"' AS CAMPO, "&amp;"'${ref_date}' AS REF_DATE, COUNT(*) AS NUM_REG, SUM(IF(COALESCE(CAST(X."&amp;F249&amp;" AS STRING),'')&lt;&gt;COALESCE(CAST(Y."&amp;F249&amp;"_SIMUL AS STRING),''),1,0)) AS NUM_REG_DIF,'"&amp;MAX('ID1&amp;5'!L:L)+1&amp;"' AS ID_EXEC, CURRENT_TIMESTAMP() AS TIME_EXEC FROM "&amp;I249&amp;" INNER JOIN "&amp;J249&amp;" "&amp;K249),
IF(C249="Validade",+IF(G249="Code List","SELECT '"&amp;UPPER(B249)&amp;"' AS TABELA, '"&amp;UPPER(C249)&amp;"' AS TIPOLOGIA_TESTE,'"&amp;D249&amp;"' AS TABELA_LT,'N/A' AS TABELA_SIMUL,'"&amp;F249&amp;"' AS CAMPO, "&amp;"'${ref_date}' AS REF_DATE, COUNT(*) AS NUM_REG, SUM(IF(TRIM(CAST(X."&amp;F249&amp;" AS STRING))='' OR TRIM(CAST(X."&amp;F249&amp;" AS STRING)) IS NULL OR CAST(X."&amp;F249&amp;" AS STRING) NOT "&amp;H249&amp;",1,0)) AS NUM_REG_DIF,'"&amp;MAX('ID1&amp;5'!K:K)+1&amp;"' AS ID_EXEC, CURRENT_TIMESTAMP() AS TIME_EXEC FROM "&amp;I249,"SELECT '"&amp;UPPER(B249)&amp;"' AS TABELA, '"&amp;UPPER(C249)&amp;"' AS TIPOLOGIA_TESTE,'"&amp;D249&amp;"' AS TABELA_LT,'N/A' AS TABELA_SIMUL,'"&amp;F249&amp;"' AS CAMPO, "&amp;"'${ref_date}' AS REF_DATE, COUNT(*) AS NUM_REG, SUM(IF(TRIM(CAST(X."&amp;F249&amp;" AS STRING))='' OR TRIM(CAST(X."&amp;F249&amp;" AS STRING)) IS NULL,1,0)) AS NUM_REG_DIF,'"&amp;MAX('ID1&amp;5'!K:K)+1&amp;"' AS ID_EXEC, CURRENT_TIMESTAMP() AS TIME_EXEC FROM "&amp;I249),
IF(C249="Caracteres Especiais",+"SELECT '"&amp;UPPER(B249)&amp;"' AS TABELA, '"&amp;UPPER(C249)&amp;"' AS TIPOLOGIA_TESTE,'"&amp;D249&amp;"' AS TABELA_LT,'N/A' AS TABELA_SIMUL,'"&amp;F249&amp;"' AS CAMPO, "&amp;"'${ref_date}' AS REF_DATE, COUNT(*) AS NUM_REG, SUM(IF(INSTR(CAST(X."&amp;F249&amp;" AS STRING),'#')&gt;0 OR INSTR(CAST(X."&amp;F249&amp;" AS STRING),'*')&gt;0 OR INSTR(CAST(X."&amp;F249&amp;" AS STRING),'`')&gt;0 OR INSTR(CAST(X."&amp;F249&amp;" AS STRING),'´')&gt;0 OR INSTR(CAST(X."&amp;F249&amp;" AS STRING),'{')&gt;0 OR INSTR(CAST(X."&amp;F249&amp;" AS STRING),'}')&gt;0 OR INSTR(CAST(X."&amp;F249&amp;" AS STRING),'[')&gt;0 OR INSTR(CAST(X."&amp;F249&amp;" AS STRING),'')&gt;0 OR INSTR(CAST(X."&amp;F249&amp;" AS STRING),']')&gt;0 OR INSTR(CAST(X."&amp;F249&amp;" AS STRING),'?')&gt;0 OR INSTR(CAST(X."&amp;F249&amp;" AS STRING),'!')&gt;0 OR INSTR(CAST(X."&amp;F249&amp;" AS STRING),'$')&gt;0 OR INSTR(CAST(X."&amp;F249&amp;" AS STRING),'%')&gt;0 OR INSTR(CAST(X."&amp;F249&amp;" AS STRING),'&amp;')&gt;0 OR INSTR(CAST(X."&amp;F249&amp;" AS STRING),'+')&gt;0,1,0)) AS NUM_REG_DIF,'"&amp;MAX('ID1&amp;5'!K:K)+1&amp;"' AS ID_EXEC, CURRENT_TIMESTAMP() AS TIME_EXEC FROM "&amp;I249,
IF(C249="Missings",+"SELECT '"&amp;UPPER(B249)&amp;"' AS TABELA, '"&amp;UPPER(C249)&amp;"' AS TIPOLOGIA_TESTE,'"&amp;D249&amp;"' AS TABELA_LT,'N/A' AS TABELA_SIMUL,'"&amp;F249&amp;"' AS CAMPO, "&amp;"'${ref_date}' AS REF_DATE, COUNT(*) AS NUM_REG, SUM(IF(TRIM(CAST(X."&amp;F249&amp;" AS STRING)) IN ('0000-00-00','0001-01-01','9999-12-31','MISS','00000','99999999999','99999999999.00','99999999999.000000'),1,0)) AS NUM_REG_DIF,'"&amp;MAX('ID1&amp;5'!K:K)+1&amp;"' AS ID_EXEC, CURRENT_TIMESTAMP() AS TIME_EXEC FROM "&amp;I249,
IF(C249="Not applicable",+"SELECT '"&amp;UPPER(B249)&amp;"' AS TABELA, '"&amp;UPPER(C249)&amp;"' AS TIPOLOGIA_TESTE,'"&amp;D249&amp;"' AS TABELA_LT,'N/A' AS TABELA_SIMUL,'"&amp;F249&amp;"' AS CAMPO, "&amp;"'${ref_date}' AS REF_DATE, COUNT(*) AS NUM_REG, SUM(IF(TRIM(CAST(X."&amp;F249&amp;" AS STRING)) IN ('N/A','11111111111','11111111111.00','11111111111.000000','1111-11-11'),1,0)) AS NUM_REG_DIF,'"&amp;MAX('ID1&amp;5'!K:K)+1&amp;"' AS ID_EXEC, CURRENT_TIMESTAMP() AS TIME_EXEC FROM "&amp;I249,
IF(C249="Valores extremos",+"SELECT '"&amp;UPPER(B249)&amp;"' AS TABELA, '"&amp;UPPER(C249)&amp;"' AS TIPOLOGIA_TESTE,'"&amp;D249&amp;"' AS TABELA_LT,'N/A' AS TABELA_SIMUL,'"&amp;F249&amp;"' AS CAMPO, "&amp;"'${ref_date}' AS REF_DATE, CAST(MIN("&amp;F249&amp;") AS STRING) AS VALOR_MIN, CAST(MAX("&amp;F249&amp;") AS STRING) AS VALOR_MAX,'"&amp;MAX('ID1&amp;5'!K:K)+1&amp;"' AS ID_EXEC, CURRENT_TIMESTAMP() AS TIME_EXEC FROM "&amp;MID(I249,1,LEN(I249)-2)&amp;" AND CAST("&amp;F249&amp;"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TABELA_SIMUL,'DT_RFRNC' AS CAMPO, '${ref_date}' AS REF_DATE, COUNT(*) AS NUM_REG, SUM(IF(INSTR(CAST(X.DT_RFRNC AS STRING),'#')&gt;0 OR INSTR(CAST(X.DT_RFRNC AS STRING),'*')&gt;0 OR INSTR(CAST(X.DT_RFRNC AS STRING),'`')&gt;0 OR INSTR(CAST(X.DT_RFRNC AS STRING),'´')&gt;0 OR INSTR(CAST(X.DT_RFRNC AS STRING),'{')&gt;0 OR INSTR(CAST(X.DT_RFRNC AS STRING),'}')&gt;0 OR INSTR(CAST(X.DT_RFRNC AS STRING),'[')&gt;0 OR INSTR(CAST(X.DT_RFRNC AS STRING),'')&gt;0 OR INSTR(CAST(X.DT_RFRNC AS STRING),']')&gt;0 OR INSTR(CAST(X.DT_RFRNC AS STRING),'?')&gt;0 OR INSTR(CAST(X.DT_RFRNC AS STRING),'!')&gt;0 OR INSTR(CAST(X.DT_RFRNC AS STRING),'$')&gt;0 OR INSTR(CAST(X.DT_RFRNC AS STRING),'%')&gt;0 OR INSTR(CAST(X.DT_RFRNC AS STRING),'&amp;')&gt;0 OR INSTR(CAST(X.DT_RFRNC AS STRING),'+')&gt;0,1,0)) AS NUM_REG_DIF,'10' AS ID_EXEC, CURRENT_TIMESTAMP() AS TIME_EXEC FROM (SELECT entty_id, DT_RFRNC FROM BU_LOANTAPE_WORK.LT003_ENTITY WHERE ref_date='${ref_date}' AND nome_perimetro='Individual Corporativo' AND segmento='ESTR' AND ambito='PILAR3')X</v>
      </c>
      <c r="M249" s="43" t="str">
        <f t="shared" si="4"/>
        <v>UNION ALL SELECT 'ENTITY' AS TABELA, 'CARACTERES ESPECIAIS' AS TIPOLOGIA_TESTE,'BU_LOANTAPE_WORK.LT003_ENTITY' AS TABELA_LT,'N/A' AS TABELA_SIMUL,'DT_RFRNC' AS CAMPO, '${ref_date}' AS REF_DATE, COUNT(*) AS NUM_REG, SUM(IF(INSTR(CAST(X.DT_RFRNC AS STRING),'#')&gt;0 OR INSTR(CAST(X.DT_RFRNC AS STRING),'*')&gt;0 OR INSTR(CAST(X.DT_RFRNC AS STRING),'`')&gt;0 OR INSTR(CAST(X.DT_RFRNC AS STRING),'´')&gt;0 OR INSTR(CAST(X.DT_RFRNC AS STRING),'{')&gt;0 OR INSTR(CAST(X.DT_RFRNC AS STRING),'}')&gt;0 OR INSTR(CAST(X.DT_RFRNC AS STRING),'[')&gt;0 OR INSTR(CAST(X.DT_RFRNC AS STRING),'')&gt;0 OR INSTR(CAST(X.DT_RFRNC AS STRING),']')&gt;0 OR INSTR(CAST(X.DT_RFRNC AS STRING),'?')&gt;0 OR INSTR(CAST(X.DT_RFRNC AS STRING),'!')&gt;0 OR INSTR(CAST(X.DT_RFRNC AS STRING),'$')&gt;0 OR INSTR(CAST(X.DT_RFRNC AS STRING),'%')&gt;0 OR INSTR(CAST(X.DT_RFRNC AS STRING),'&amp;')&gt;0 OR INSTR(CAST(X.DT_RFRNC AS STRING),'+')&gt;0,1,0)) AS NUM_REG_DIF,'10' AS ID_EXEC, CURRENT_TIMESTAMP() AS TIME_EXEC FROM (SELECT entty_id, DT_RFRNC FROM BU_LOANTAPE_WORK.LT003_ENTITY WHERE ref_date='${ref_date}' AND nome_perimetro='Individual Corporativo' AND segmento='ESTR' AND ambito='PILAR3')X</v>
      </c>
      <c r="N249" s="45" t="s">
        <v>13</v>
      </c>
    </row>
    <row r="250" spans="2:14">
      <c r="B250" s="41" t="s">
        <v>23</v>
      </c>
      <c r="C250" s="41" t="s">
        <v>76</v>
      </c>
      <c r="D250" s="41" t="str">
        <f>+UPPER('0. Instruções'!$D$33&amp;"."&amp;VLOOKUP(B250,'0. Instruções'!$C$27:$D$31,2,FALSE))</f>
        <v>BU_LOANTAPE_WORK.LT003_ENTITY</v>
      </c>
      <c r="E250" s="41" t="str">
        <f>+UPPER('0. Instruções'!$D$34&amp;"."&amp;VLOOKUP(B250,'0. Instruções'!$C$27:$E$31,3,FALSE))</f>
        <v>BU_LOANTAPE_WORK.LT003_ENTTY_P3_NOV24</v>
      </c>
      <c r="F250" s="41" t="s">
        <v>182</v>
      </c>
      <c r="G250" s="41" t="s">
        <v>13</v>
      </c>
      <c r="H250" s="41"/>
      <c r="I250" s="41" t="str">
        <f>"(SELECT "&amp;VLOOKUP(B250,'0. Instruções'!$C$27:$G$31,4,FALSE)&amp;", "&amp;F250&amp;" FROM "&amp;D250&amp;" WHERE "&amp;'0. Instruções'!$D$40&amp;")X"</f>
        <v>(SELECT entty_id, ENTTY_ID FROM BU_LOANTAPE_WORK.LT003_ENTITY WHERE ref_date='${ref_date}' AND nome_perimetro='Individual Corporativo' AND segmento='ESTR' AND ambito='PILAR3')X</v>
      </c>
      <c r="J250" s="41" t="str">
        <f>"(SELECT "&amp;VLOOKUP(B250,'0. Instruções'!$C$27:$G$31,4,FALSE)&amp;" AS "&amp;VLOOKUP(B250,'0. Instruções'!$C$27:$G$31,4,FALSE)&amp;"_SIMUL, "&amp;F250&amp;" AS "&amp;F250&amp;"_SIMUL FROM "&amp;E250&amp;")Y"</f>
        <v>(SELECT entty_id AS entty_id_SIMUL, ENTTY_ID AS ENTTY_ID_SIMUL FROM BU_LOANTAPE_WORK.LT003_ENTTY_P3_NOV24)Y</v>
      </c>
      <c r="K250" s="42" t="str">
        <f>+UPPER("ON X."&amp;VLOOKUP(B250,'0. Instruções'!$C$27:$G$31,4,FALSE)&amp;"=Y."&amp;VLOOKUP(B250,'0. Instruções'!$C$27:$G$31,4,FALSE)&amp;"_SIMUL")</f>
        <v>ON X.ENTTY_ID=Y.ENTTY_ID_SIMUL</v>
      </c>
      <c r="L250" s="42" t="str">
        <f>+IF(C250="Coerência", +IF(LEFT(G250,5)="FLOAT","SELECT '"&amp;UPPER(B250)&amp;"' AS TABELA, '"&amp;UPPER(C250)&amp;"' AS TIPOLOGIA_TESTE,'"&amp;D250&amp;"' AS TABELA_LT,'"&amp;E250&amp;"' AS TABELA_SIMUL,'"&amp;F250&amp;"' AS CAMPO, "&amp;"'${ref_date}' AS REF_DATE, COUNT(*) AS NUM_REG, SUM(IF((ABS(COALESCE(X."&amp;F250&amp;",0)-COALESCE(Y."&amp;F250&amp;"_SIMUL,0))&gt;0.0000000001) OR (X."&amp;F250&amp;" IS NULL AND Y."&amp;F250&amp;"_SIMUL IS NOT NULL ) OR (X."&amp;F250&amp;" IS NOT NULL AND Y."&amp;F250&amp;"_SIMUL IS NULL),1,0)) AS NUM_REG_DIF,'"&amp;MAX('ID1&amp;5'!K:K)+1&amp;"' AS ID_EXEC, CURRENT_TIMESTAMP() AS TIME_EXEC FROM "&amp;I250&amp;" INNER JOIN "&amp;J250&amp;" "&amp;K250,"SELECT '"&amp;UPPER(B250)&amp;"' AS TABELA, '"&amp;UPPER(C250)&amp;"' AS TIPOLOGIA_TESTE,'"&amp;D250&amp;"' AS TABELA_LT,'"&amp;E250&amp;"' AS TABELA_SIMUL,'"&amp;F250&amp;"' AS CAMPO, "&amp;"'${ref_date}' AS REF_DATE, COUNT(*) AS NUM_REG, SUM(IF(COALESCE(CAST(X."&amp;F250&amp;" AS STRING),'')&lt;&gt;COALESCE(CAST(Y."&amp;F250&amp;"_SIMUL AS STRING),''),1,0)) AS NUM_REG_DIF,'"&amp;MAX('ID1&amp;5'!L:L)+1&amp;"' AS ID_EXEC, CURRENT_TIMESTAMP() AS TIME_EXEC FROM "&amp;I250&amp;" INNER JOIN "&amp;J250&amp;" "&amp;K250),
IF(C250="Validade",+IF(G250="Code List","SELECT '"&amp;UPPER(B250)&amp;"' AS TABELA, '"&amp;UPPER(C250)&amp;"' AS TIPOLOGIA_TESTE,'"&amp;D250&amp;"' AS TABELA_LT,'N/A' AS TABELA_SIMUL,'"&amp;F250&amp;"' AS CAMPO, "&amp;"'${ref_date}' AS REF_DATE, COUNT(*) AS NUM_REG, SUM(IF(TRIM(CAST(X."&amp;F250&amp;" AS STRING))='' OR TRIM(CAST(X."&amp;F250&amp;" AS STRING)) IS NULL OR CAST(X."&amp;F250&amp;" AS STRING) NOT "&amp;H250&amp;",1,0)) AS NUM_REG_DIF,'"&amp;MAX('ID1&amp;5'!K:K)+1&amp;"' AS ID_EXEC, CURRENT_TIMESTAMP() AS TIME_EXEC FROM "&amp;I250,"SELECT '"&amp;UPPER(B250)&amp;"' AS TABELA, '"&amp;UPPER(C250)&amp;"' AS TIPOLOGIA_TESTE,'"&amp;D250&amp;"' AS TABELA_LT,'N/A' AS TABELA_SIMUL,'"&amp;F250&amp;"' AS CAMPO, "&amp;"'${ref_date}' AS REF_DATE, COUNT(*) AS NUM_REG, SUM(IF(TRIM(CAST(X."&amp;F250&amp;" AS STRING))='' OR TRIM(CAST(X."&amp;F250&amp;" AS STRING)) IS NULL,1,0)) AS NUM_REG_DIF,'"&amp;MAX('ID1&amp;5'!K:K)+1&amp;"' AS ID_EXEC, CURRENT_TIMESTAMP() AS TIME_EXEC FROM "&amp;I250),
IF(C250="Caracteres Especiais",+"SELECT '"&amp;UPPER(B250)&amp;"' AS TABELA, '"&amp;UPPER(C250)&amp;"' AS TIPOLOGIA_TESTE,'"&amp;D250&amp;"' AS TABELA_LT,'N/A' AS TABELA_SIMUL,'"&amp;F250&amp;"' AS CAMPO, "&amp;"'${ref_date}' AS REF_DATE, COUNT(*) AS NUM_REG, SUM(IF(INSTR(CAST(X."&amp;F250&amp;" AS STRING),'#')&gt;0 OR INSTR(CAST(X."&amp;F250&amp;" AS STRING),'*')&gt;0 OR INSTR(CAST(X."&amp;F250&amp;" AS STRING),'`')&gt;0 OR INSTR(CAST(X."&amp;F250&amp;" AS STRING),'´')&gt;0 OR INSTR(CAST(X."&amp;F250&amp;" AS STRING),'{')&gt;0 OR INSTR(CAST(X."&amp;F250&amp;" AS STRING),'}')&gt;0 OR INSTR(CAST(X."&amp;F250&amp;" AS STRING),'[')&gt;0 OR INSTR(CAST(X."&amp;F250&amp;" AS STRING),'')&gt;0 OR INSTR(CAST(X."&amp;F250&amp;" AS STRING),']')&gt;0 OR INSTR(CAST(X."&amp;F250&amp;" AS STRING),'?')&gt;0 OR INSTR(CAST(X."&amp;F250&amp;" AS STRING),'!')&gt;0 OR INSTR(CAST(X."&amp;F250&amp;" AS STRING),'$')&gt;0 OR INSTR(CAST(X."&amp;F250&amp;" AS STRING),'%')&gt;0 OR INSTR(CAST(X."&amp;F250&amp;" AS STRING),'&amp;')&gt;0 OR INSTR(CAST(X."&amp;F250&amp;" AS STRING),'+')&gt;0,1,0)) AS NUM_REG_DIF,'"&amp;MAX('ID1&amp;5'!K:K)+1&amp;"' AS ID_EXEC, CURRENT_TIMESTAMP() AS TIME_EXEC FROM "&amp;I250,
IF(C250="Missings",+"SELECT '"&amp;UPPER(B250)&amp;"' AS TABELA, '"&amp;UPPER(C250)&amp;"' AS TIPOLOGIA_TESTE,'"&amp;D250&amp;"' AS TABELA_LT,'N/A' AS TABELA_SIMUL,'"&amp;F250&amp;"' AS CAMPO, "&amp;"'${ref_date}' AS REF_DATE, COUNT(*) AS NUM_REG, SUM(IF(TRIM(CAST(X."&amp;F250&amp;" AS STRING)) IN ('0000-00-00','0001-01-01','9999-12-31','MISS','00000','99999999999','99999999999.00','99999999999.000000'),1,0)) AS NUM_REG_DIF,'"&amp;MAX('ID1&amp;5'!K:K)+1&amp;"' AS ID_EXEC, CURRENT_TIMESTAMP() AS TIME_EXEC FROM "&amp;I250,
IF(C250="Not applicable",+"SELECT '"&amp;UPPER(B250)&amp;"' AS TABELA, '"&amp;UPPER(C250)&amp;"' AS TIPOLOGIA_TESTE,'"&amp;D250&amp;"' AS TABELA_LT,'N/A' AS TABELA_SIMUL,'"&amp;F250&amp;"' AS CAMPO, "&amp;"'${ref_date}' AS REF_DATE, COUNT(*) AS NUM_REG, SUM(IF(TRIM(CAST(X."&amp;F250&amp;" AS STRING)) IN ('N/A','11111111111','11111111111.00','11111111111.000000','1111-11-11'),1,0)) AS NUM_REG_DIF,'"&amp;MAX('ID1&amp;5'!K:K)+1&amp;"' AS ID_EXEC, CURRENT_TIMESTAMP() AS TIME_EXEC FROM "&amp;I250,
IF(C250="Valores extremos",+"SELECT '"&amp;UPPER(B250)&amp;"' AS TABELA, '"&amp;UPPER(C250)&amp;"' AS TIPOLOGIA_TESTE,'"&amp;D250&amp;"' AS TABELA_LT,'N/A' AS TABELA_SIMUL,'"&amp;F250&amp;"' AS CAMPO, "&amp;"'${ref_date}' AS REF_DATE, CAST(MIN("&amp;F250&amp;") AS STRING) AS VALOR_MIN, CAST(MAX("&amp;F250&amp;") AS STRING) AS VALOR_MAX,'"&amp;MAX('ID1&amp;5'!K:K)+1&amp;"' AS ID_EXEC, CURRENT_TIMESTAMP() AS TIME_EXEC FROM "&amp;MID(I250,1,LEN(I250)-2)&amp;" AND CAST("&amp;F250&amp;"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TABELA_SIMUL,'ENTTY_ID' AS CAMPO, '${ref_date}' AS REF_DATE, COUNT(*) AS NUM_REG, SUM(IF(INSTR(CAST(X.ENTTY_ID AS STRING),'#')&gt;0 OR INSTR(CAST(X.ENTTY_ID AS STRING),'*')&gt;0 OR INSTR(CAST(X.ENTTY_ID AS STRING),'`')&gt;0 OR INSTR(CAST(X.ENTTY_ID AS STRING),'´')&gt;0 OR INSTR(CAST(X.ENTTY_ID AS STRING),'{')&gt;0 OR INSTR(CAST(X.ENTTY_ID AS STRING),'}')&gt;0 OR INSTR(CAST(X.ENTTY_ID AS STRING),'[')&gt;0 OR INSTR(CAST(X.ENTTY_ID AS STRING),'')&gt;0 OR INSTR(CAST(X.ENTTY_ID AS STRING),']')&gt;0 OR INSTR(CAST(X.ENTTY_ID AS STRING),'?')&gt;0 OR INSTR(CAST(X.ENTTY_ID AS STRING),'!')&gt;0 OR INSTR(CAST(X.ENTTY_ID AS STRING),'$')&gt;0 OR INSTR(CAST(X.ENTTY_ID AS STRING),'%')&gt;0 OR INSTR(CAST(X.ENTTY_ID AS STRING),'&amp;')&gt;0 OR INSTR(CAST(X.ENTTY_ID AS STRING),'+')&gt;0,1,0)) AS NUM_REG_DIF,'10' AS ID_EXEC, CURRENT_TIMESTAMP() AS TIME_EXEC FROM (SELECT entty_id, ENTTY_ID FROM BU_LOANTAPE_WORK.LT003_ENTITY WHERE ref_date='${ref_date}' AND nome_perimetro='Individual Corporativo' AND segmento='ESTR' AND ambito='PILAR3')X</v>
      </c>
      <c r="M250" s="43" t="str">
        <f t="shared" si="4"/>
        <v>UNION ALL SELECT 'ENTITY' AS TABELA, 'CARACTERES ESPECIAIS' AS TIPOLOGIA_TESTE,'BU_LOANTAPE_WORK.LT003_ENTITY' AS TABELA_LT,'N/A' AS TABELA_SIMUL,'ENTTY_ID' AS CAMPO, '${ref_date}' AS REF_DATE, COUNT(*) AS NUM_REG, SUM(IF(INSTR(CAST(X.ENTTY_ID AS STRING),'#')&gt;0 OR INSTR(CAST(X.ENTTY_ID AS STRING),'*')&gt;0 OR INSTR(CAST(X.ENTTY_ID AS STRING),'`')&gt;0 OR INSTR(CAST(X.ENTTY_ID AS STRING),'´')&gt;0 OR INSTR(CAST(X.ENTTY_ID AS STRING),'{')&gt;0 OR INSTR(CAST(X.ENTTY_ID AS STRING),'}')&gt;0 OR INSTR(CAST(X.ENTTY_ID AS STRING),'[')&gt;0 OR INSTR(CAST(X.ENTTY_ID AS STRING),'')&gt;0 OR INSTR(CAST(X.ENTTY_ID AS STRING),']')&gt;0 OR INSTR(CAST(X.ENTTY_ID AS STRING),'?')&gt;0 OR INSTR(CAST(X.ENTTY_ID AS STRING),'!')&gt;0 OR INSTR(CAST(X.ENTTY_ID AS STRING),'$')&gt;0 OR INSTR(CAST(X.ENTTY_ID AS STRING),'%')&gt;0 OR INSTR(CAST(X.ENTTY_ID AS STRING),'&amp;')&gt;0 OR INSTR(CAST(X.ENTTY_ID AS STRING),'+')&gt;0,1,0)) AS NUM_REG_DIF,'10' AS ID_EXEC, CURRENT_TIMESTAMP() AS TIME_EXEC FROM (SELECT entty_id, ENTTY_ID FROM BU_LOANTAPE_WORK.LT003_ENTITY WHERE ref_date='${ref_date}' AND nome_perimetro='Individual Corporativo' AND segmento='ESTR' AND ambito='PILAR3')X</v>
      </c>
      <c r="N250" s="45" t="s">
        <v>13</v>
      </c>
    </row>
    <row r="251" spans="2:14">
      <c r="B251" s="41" t="s">
        <v>23</v>
      </c>
      <c r="C251" s="41" t="s">
        <v>76</v>
      </c>
      <c r="D251" s="41" t="str">
        <f>+UPPER('0. Instruções'!$D$33&amp;"."&amp;VLOOKUP(B251,'0. Instruções'!$C$27:$D$31,2,FALSE))</f>
        <v>BU_LOANTAPE_WORK.LT003_ENTITY</v>
      </c>
      <c r="E251" s="41" t="str">
        <f>+UPPER('0. Instruções'!$D$34&amp;"."&amp;VLOOKUP(B251,'0. Instruções'!$C$27:$E$31,3,FALSE))</f>
        <v>BU_LOANTAPE_WORK.LT003_ENTTY_P3_NOV24</v>
      </c>
      <c r="F251" s="41" t="s">
        <v>183</v>
      </c>
      <c r="G251" s="41" t="s">
        <v>13</v>
      </c>
      <c r="H251" s="41"/>
      <c r="I251" s="41" t="str">
        <f>"(SELECT "&amp;VLOOKUP(B251,'0. Instruções'!$C$27:$G$31,4,FALSE)&amp;", "&amp;F251&amp;" FROM "&amp;D251&amp;" WHERE "&amp;'0. Instruções'!$D$40&amp;")X"</f>
        <v>(SELECT entty_id, LEI FROM BU_LOANTAPE_WORK.LT003_ENTITY WHERE ref_date='${ref_date}' AND nome_perimetro='Individual Corporativo' AND segmento='ESTR' AND ambito='PILAR3')X</v>
      </c>
      <c r="J251" s="41" t="str">
        <f>"(SELECT "&amp;VLOOKUP(B251,'0. Instruções'!$C$27:$G$31,4,FALSE)&amp;" AS "&amp;VLOOKUP(B251,'0. Instruções'!$C$27:$G$31,4,FALSE)&amp;"_SIMUL, "&amp;F251&amp;" AS "&amp;F251&amp;"_SIMUL FROM "&amp;E251&amp;")Y"</f>
        <v>(SELECT entty_id AS entty_id_SIMUL, LEI AS LEI_SIMUL FROM BU_LOANTAPE_WORK.LT003_ENTTY_P3_NOV24)Y</v>
      </c>
      <c r="K251" s="42" t="str">
        <f>+UPPER("ON X."&amp;VLOOKUP(B251,'0. Instruções'!$C$27:$G$31,4,FALSE)&amp;"=Y."&amp;VLOOKUP(B251,'0. Instruções'!$C$27:$G$31,4,FALSE)&amp;"_SIMUL")</f>
        <v>ON X.ENTTY_ID=Y.ENTTY_ID_SIMUL</v>
      </c>
      <c r="L251" s="42" t="str">
        <f>+IF(C251="Coerência", +IF(LEFT(G251,5)="FLOAT","SELECT '"&amp;UPPER(B251)&amp;"' AS TABELA, '"&amp;UPPER(C251)&amp;"' AS TIPOLOGIA_TESTE,'"&amp;D251&amp;"' AS TABELA_LT,'"&amp;E251&amp;"' AS TABELA_SIMUL,'"&amp;F251&amp;"' AS CAMPO, "&amp;"'${ref_date}' AS REF_DATE, COUNT(*) AS NUM_REG, SUM(IF((ABS(COALESCE(X."&amp;F251&amp;",0)-COALESCE(Y."&amp;F251&amp;"_SIMUL,0))&gt;0.0000000001) OR (X."&amp;F251&amp;" IS NULL AND Y."&amp;F251&amp;"_SIMUL IS NOT NULL ) OR (X."&amp;F251&amp;" IS NOT NULL AND Y."&amp;F251&amp;"_SIMUL IS NULL),1,0)) AS NUM_REG_DIF,'"&amp;MAX('ID1&amp;5'!K:K)+1&amp;"' AS ID_EXEC, CURRENT_TIMESTAMP() AS TIME_EXEC FROM "&amp;I251&amp;" INNER JOIN "&amp;J251&amp;" "&amp;K251,"SELECT '"&amp;UPPER(B251)&amp;"' AS TABELA, '"&amp;UPPER(C251)&amp;"' AS TIPOLOGIA_TESTE,'"&amp;D251&amp;"' AS TABELA_LT,'"&amp;E251&amp;"' AS TABELA_SIMUL,'"&amp;F251&amp;"' AS CAMPO, "&amp;"'${ref_date}' AS REF_DATE, COUNT(*) AS NUM_REG, SUM(IF(COALESCE(CAST(X."&amp;F251&amp;" AS STRING),'')&lt;&gt;COALESCE(CAST(Y."&amp;F251&amp;"_SIMUL AS STRING),''),1,0)) AS NUM_REG_DIF,'"&amp;MAX('ID1&amp;5'!L:L)+1&amp;"' AS ID_EXEC, CURRENT_TIMESTAMP() AS TIME_EXEC FROM "&amp;I251&amp;" INNER JOIN "&amp;J251&amp;" "&amp;K251),
IF(C251="Validade",+IF(G251="Code List","SELECT '"&amp;UPPER(B251)&amp;"' AS TABELA, '"&amp;UPPER(C251)&amp;"' AS TIPOLOGIA_TESTE,'"&amp;D251&amp;"' AS TABELA_LT,'N/A' AS TABELA_SIMUL,'"&amp;F251&amp;"' AS CAMPO, "&amp;"'${ref_date}' AS REF_DATE, COUNT(*) AS NUM_REG, SUM(IF(TRIM(CAST(X."&amp;F251&amp;" AS STRING))='' OR TRIM(CAST(X."&amp;F251&amp;" AS STRING)) IS NULL OR CAST(X."&amp;F251&amp;" AS STRING) NOT "&amp;H251&amp;",1,0)) AS NUM_REG_DIF,'"&amp;MAX('ID1&amp;5'!K:K)+1&amp;"' AS ID_EXEC, CURRENT_TIMESTAMP() AS TIME_EXEC FROM "&amp;I251,"SELECT '"&amp;UPPER(B251)&amp;"' AS TABELA, '"&amp;UPPER(C251)&amp;"' AS TIPOLOGIA_TESTE,'"&amp;D251&amp;"' AS TABELA_LT,'N/A' AS TABELA_SIMUL,'"&amp;F251&amp;"' AS CAMPO, "&amp;"'${ref_date}' AS REF_DATE, COUNT(*) AS NUM_REG, SUM(IF(TRIM(CAST(X."&amp;F251&amp;" AS STRING))='' OR TRIM(CAST(X."&amp;F251&amp;" AS STRING)) IS NULL,1,0)) AS NUM_REG_DIF,'"&amp;MAX('ID1&amp;5'!K:K)+1&amp;"' AS ID_EXEC, CURRENT_TIMESTAMP() AS TIME_EXEC FROM "&amp;I251),
IF(C251="Caracteres Especiais",+"SELECT '"&amp;UPPER(B251)&amp;"' AS TABELA, '"&amp;UPPER(C251)&amp;"' AS TIPOLOGIA_TESTE,'"&amp;D251&amp;"' AS TABELA_LT,'N/A' AS TABELA_SIMUL,'"&amp;F251&amp;"' AS CAMPO, "&amp;"'${ref_date}' AS REF_DATE, COUNT(*) AS NUM_REG, SUM(IF(INSTR(CAST(X."&amp;F251&amp;" AS STRING),'#')&gt;0 OR INSTR(CAST(X."&amp;F251&amp;" AS STRING),'*')&gt;0 OR INSTR(CAST(X."&amp;F251&amp;" AS STRING),'`')&gt;0 OR INSTR(CAST(X."&amp;F251&amp;" AS STRING),'´')&gt;0 OR INSTR(CAST(X."&amp;F251&amp;" AS STRING),'{')&gt;0 OR INSTR(CAST(X."&amp;F251&amp;" AS STRING),'}')&gt;0 OR INSTR(CAST(X."&amp;F251&amp;" AS STRING),'[')&gt;0 OR INSTR(CAST(X."&amp;F251&amp;" AS STRING),'')&gt;0 OR INSTR(CAST(X."&amp;F251&amp;" AS STRING),']')&gt;0 OR INSTR(CAST(X."&amp;F251&amp;" AS STRING),'?')&gt;0 OR INSTR(CAST(X."&amp;F251&amp;" AS STRING),'!')&gt;0 OR INSTR(CAST(X."&amp;F251&amp;" AS STRING),'$')&gt;0 OR INSTR(CAST(X."&amp;F251&amp;" AS STRING),'%')&gt;0 OR INSTR(CAST(X."&amp;F251&amp;" AS STRING),'&amp;')&gt;0 OR INSTR(CAST(X."&amp;F251&amp;" AS STRING),'+')&gt;0,1,0)) AS NUM_REG_DIF,'"&amp;MAX('ID1&amp;5'!K:K)+1&amp;"' AS ID_EXEC, CURRENT_TIMESTAMP() AS TIME_EXEC FROM "&amp;I251,
IF(C251="Missings",+"SELECT '"&amp;UPPER(B251)&amp;"' AS TABELA, '"&amp;UPPER(C251)&amp;"' AS TIPOLOGIA_TESTE,'"&amp;D251&amp;"' AS TABELA_LT,'N/A' AS TABELA_SIMUL,'"&amp;F251&amp;"' AS CAMPO, "&amp;"'${ref_date}' AS REF_DATE, COUNT(*) AS NUM_REG, SUM(IF(TRIM(CAST(X."&amp;F251&amp;" AS STRING)) IN ('0000-00-00','0001-01-01','9999-12-31','MISS','00000','99999999999','99999999999.00','99999999999.000000'),1,0)) AS NUM_REG_DIF,'"&amp;MAX('ID1&amp;5'!K:K)+1&amp;"' AS ID_EXEC, CURRENT_TIMESTAMP() AS TIME_EXEC FROM "&amp;I251,
IF(C251="Not applicable",+"SELECT '"&amp;UPPER(B251)&amp;"' AS TABELA, '"&amp;UPPER(C251)&amp;"' AS TIPOLOGIA_TESTE,'"&amp;D251&amp;"' AS TABELA_LT,'N/A' AS TABELA_SIMUL,'"&amp;F251&amp;"' AS CAMPO, "&amp;"'${ref_date}' AS REF_DATE, COUNT(*) AS NUM_REG, SUM(IF(TRIM(CAST(X."&amp;F251&amp;" AS STRING)) IN ('N/A','11111111111','11111111111.00','11111111111.000000','1111-11-11'),1,0)) AS NUM_REG_DIF,'"&amp;MAX('ID1&amp;5'!K:K)+1&amp;"' AS ID_EXEC, CURRENT_TIMESTAMP() AS TIME_EXEC FROM "&amp;I251,
IF(C251="Valores extremos",+"SELECT '"&amp;UPPER(B251)&amp;"' AS TABELA, '"&amp;UPPER(C251)&amp;"' AS TIPOLOGIA_TESTE,'"&amp;D251&amp;"' AS TABELA_LT,'N/A' AS TABELA_SIMUL,'"&amp;F251&amp;"' AS CAMPO, "&amp;"'${ref_date}' AS REF_DATE, CAST(MIN("&amp;F251&amp;") AS STRING) AS VALOR_MIN, CAST(MAX("&amp;F251&amp;") AS STRING) AS VALOR_MAX,'"&amp;MAX('ID1&amp;5'!K:K)+1&amp;"' AS ID_EXEC, CURRENT_TIMESTAMP() AS TIME_EXEC FROM "&amp;MID(I251,1,LEN(I251)-2)&amp;" AND CAST("&amp;F251&amp;"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TABELA_SIMUL,'LEI' AS CAMPO, '${ref_date}' AS REF_DATE, COUNT(*) AS NUM_REG, SUM(IF(INSTR(CAST(X.LEI AS STRING),'#')&gt;0 OR INSTR(CAST(X.LEI AS STRING),'*')&gt;0 OR INSTR(CAST(X.LEI AS STRING),'`')&gt;0 OR INSTR(CAST(X.LEI AS STRING),'´')&gt;0 OR INSTR(CAST(X.LEI AS STRING),'{')&gt;0 OR INSTR(CAST(X.LEI AS STRING),'}')&gt;0 OR INSTR(CAST(X.LEI AS STRING),'[')&gt;0 OR INSTR(CAST(X.LEI AS STRING),'')&gt;0 OR INSTR(CAST(X.LEI AS STRING),']')&gt;0 OR INSTR(CAST(X.LEI AS STRING),'?')&gt;0 OR INSTR(CAST(X.LEI AS STRING),'!')&gt;0 OR INSTR(CAST(X.LEI AS STRING),'$')&gt;0 OR INSTR(CAST(X.LEI AS STRING),'%')&gt;0 OR INSTR(CAST(X.LEI AS STRING),'&amp;')&gt;0 OR INSTR(CAST(X.LEI AS STRING),'+')&gt;0,1,0)) AS NUM_REG_DIF,'10' AS ID_EXEC, CURRENT_TIMESTAMP() AS TIME_EXEC FROM (SELECT entty_id, LEI FROM BU_LOANTAPE_WORK.LT003_ENTITY WHERE ref_date='${ref_date}' AND nome_perimetro='Individual Corporativo' AND segmento='ESTR' AND ambito='PILAR3')X</v>
      </c>
      <c r="M251" s="43" t="str">
        <f t="shared" si="4"/>
        <v>UNION ALL SELECT 'ENTITY' AS TABELA, 'CARACTERES ESPECIAIS' AS TIPOLOGIA_TESTE,'BU_LOANTAPE_WORK.LT003_ENTITY' AS TABELA_LT,'N/A' AS TABELA_SIMUL,'LEI' AS CAMPO, '${ref_date}' AS REF_DATE, COUNT(*) AS NUM_REG, SUM(IF(INSTR(CAST(X.LEI AS STRING),'#')&gt;0 OR INSTR(CAST(X.LEI AS STRING),'*')&gt;0 OR INSTR(CAST(X.LEI AS STRING),'`')&gt;0 OR INSTR(CAST(X.LEI AS STRING),'´')&gt;0 OR INSTR(CAST(X.LEI AS STRING),'{')&gt;0 OR INSTR(CAST(X.LEI AS STRING),'}')&gt;0 OR INSTR(CAST(X.LEI AS STRING),'[')&gt;0 OR INSTR(CAST(X.LEI AS STRING),'')&gt;0 OR INSTR(CAST(X.LEI AS STRING),']')&gt;0 OR INSTR(CAST(X.LEI AS STRING),'?')&gt;0 OR INSTR(CAST(X.LEI AS STRING),'!')&gt;0 OR INSTR(CAST(X.LEI AS STRING),'$')&gt;0 OR INSTR(CAST(X.LEI AS STRING),'%')&gt;0 OR INSTR(CAST(X.LEI AS STRING),'&amp;')&gt;0 OR INSTR(CAST(X.LEI AS STRING),'+')&gt;0,1,0)) AS NUM_REG_DIF,'10' AS ID_EXEC, CURRENT_TIMESTAMP() AS TIME_EXEC FROM (SELECT entty_id, LEI FROM BU_LOANTAPE_WORK.LT003_ENTITY WHERE ref_date='${ref_date}' AND nome_perimetro='Individual Corporativo' AND segmento='ESTR' AND ambito='PILAR3')X</v>
      </c>
      <c r="N251" s="45" t="s">
        <v>13</v>
      </c>
    </row>
    <row r="252" spans="2:14">
      <c r="B252" s="41" t="s">
        <v>23</v>
      </c>
      <c r="C252" s="41" t="s">
        <v>76</v>
      </c>
      <c r="D252" s="41" t="str">
        <f>+UPPER('0. Instruções'!$D$33&amp;"."&amp;VLOOKUP(B252,'0. Instruções'!$C$27:$D$31,2,FALSE))</f>
        <v>BU_LOANTAPE_WORK.LT003_ENTITY</v>
      </c>
      <c r="E252" s="41" t="str">
        <f>+UPPER('0. Instruções'!$D$34&amp;"."&amp;VLOOKUP(B252,'0. Instruções'!$C$27:$E$31,3,FALSE))</f>
        <v>BU_LOANTAPE_WORK.LT003_ENTTY_P3_NOV24</v>
      </c>
      <c r="F252" s="41" t="s">
        <v>184</v>
      </c>
      <c r="G252" s="41" t="s">
        <v>13</v>
      </c>
      <c r="H252" s="41"/>
      <c r="I252" s="41" t="str">
        <f>"(SELECT "&amp;VLOOKUP(B252,'0. Instruções'!$C$27:$G$31,4,FALSE)&amp;", "&amp;F252&amp;" FROM "&amp;D252&amp;" WHERE "&amp;'0. Instruções'!$D$40&amp;")X"</f>
        <v>(SELECT entty_id, ECNMC_ACTVTY FROM BU_LOANTAPE_WORK.LT003_ENTITY WHERE ref_date='${ref_date}' AND nome_perimetro='Individual Corporativo' AND segmento='ESTR' AND ambito='PILAR3')X</v>
      </c>
      <c r="J252" s="41" t="str">
        <f>"(SELECT "&amp;VLOOKUP(B252,'0. Instruções'!$C$27:$G$31,4,FALSE)&amp;" AS "&amp;VLOOKUP(B252,'0. Instruções'!$C$27:$G$31,4,FALSE)&amp;"_SIMUL, "&amp;F252&amp;" AS "&amp;F252&amp;"_SIMUL FROM "&amp;E252&amp;")Y"</f>
        <v>(SELECT entty_id AS entty_id_SIMUL, ECNMC_ACTVTY AS ECNMC_ACTVTY_SIMUL FROM BU_LOANTAPE_WORK.LT003_ENTTY_P3_NOV24)Y</v>
      </c>
      <c r="K252" s="42" t="str">
        <f>+UPPER("ON X."&amp;VLOOKUP(B252,'0. Instruções'!$C$27:$G$31,4,FALSE)&amp;"=Y."&amp;VLOOKUP(B252,'0. Instruções'!$C$27:$G$31,4,FALSE)&amp;"_SIMUL")</f>
        <v>ON X.ENTTY_ID=Y.ENTTY_ID_SIMUL</v>
      </c>
      <c r="L252" s="42" t="str">
        <f>+IF(C252="Coerência", +IF(LEFT(G252,5)="FLOAT","SELECT '"&amp;UPPER(B252)&amp;"' AS TABELA, '"&amp;UPPER(C252)&amp;"' AS TIPOLOGIA_TESTE,'"&amp;D252&amp;"' AS TABELA_LT,'"&amp;E252&amp;"' AS TABELA_SIMUL,'"&amp;F252&amp;"' AS CAMPO, "&amp;"'${ref_date}' AS REF_DATE, COUNT(*) AS NUM_REG, SUM(IF((ABS(COALESCE(X."&amp;F252&amp;",0)-COALESCE(Y."&amp;F252&amp;"_SIMUL,0))&gt;0.0000000001) OR (X."&amp;F252&amp;" IS NULL AND Y."&amp;F252&amp;"_SIMUL IS NOT NULL ) OR (X."&amp;F252&amp;" IS NOT NULL AND Y."&amp;F252&amp;"_SIMUL IS NULL),1,0)) AS NUM_REG_DIF,'"&amp;MAX('ID1&amp;5'!K:K)+1&amp;"' AS ID_EXEC, CURRENT_TIMESTAMP() AS TIME_EXEC FROM "&amp;I252&amp;" INNER JOIN "&amp;J252&amp;" "&amp;K252,"SELECT '"&amp;UPPER(B252)&amp;"' AS TABELA, '"&amp;UPPER(C252)&amp;"' AS TIPOLOGIA_TESTE,'"&amp;D252&amp;"' AS TABELA_LT,'"&amp;E252&amp;"' AS TABELA_SIMUL,'"&amp;F252&amp;"' AS CAMPO, "&amp;"'${ref_date}' AS REF_DATE, COUNT(*) AS NUM_REG, SUM(IF(COALESCE(CAST(X."&amp;F252&amp;" AS STRING),'')&lt;&gt;COALESCE(CAST(Y."&amp;F252&amp;"_SIMUL AS STRING),''),1,0)) AS NUM_REG_DIF,'"&amp;MAX('ID1&amp;5'!L:L)+1&amp;"' AS ID_EXEC, CURRENT_TIMESTAMP() AS TIME_EXEC FROM "&amp;I252&amp;" INNER JOIN "&amp;J252&amp;" "&amp;K252),
IF(C252="Validade",+IF(G252="Code List","SELECT '"&amp;UPPER(B252)&amp;"' AS TABELA, '"&amp;UPPER(C252)&amp;"' AS TIPOLOGIA_TESTE,'"&amp;D252&amp;"' AS TABELA_LT,'N/A' AS TABELA_SIMUL,'"&amp;F252&amp;"' AS CAMPO, "&amp;"'${ref_date}' AS REF_DATE, COUNT(*) AS NUM_REG, SUM(IF(TRIM(CAST(X."&amp;F252&amp;" AS STRING))='' OR TRIM(CAST(X."&amp;F252&amp;" AS STRING)) IS NULL OR CAST(X."&amp;F252&amp;" AS STRING) NOT "&amp;H252&amp;",1,0)) AS NUM_REG_DIF,'"&amp;MAX('ID1&amp;5'!K:K)+1&amp;"' AS ID_EXEC, CURRENT_TIMESTAMP() AS TIME_EXEC FROM "&amp;I252,"SELECT '"&amp;UPPER(B252)&amp;"' AS TABELA, '"&amp;UPPER(C252)&amp;"' AS TIPOLOGIA_TESTE,'"&amp;D252&amp;"' AS TABELA_LT,'N/A' AS TABELA_SIMUL,'"&amp;F252&amp;"' AS CAMPO, "&amp;"'${ref_date}' AS REF_DATE, COUNT(*) AS NUM_REG, SUM(IF(TRIM(CAST(X."&amp;F252&amp;" AS STRING))='' OR TRIM(CAST(X."&amp;F252&amp;" AS STRING)) IS NULL,1,0)) AS NUM_REG_DIF,'"&amp;MAX('ID1&amp;5'!K:K)+1&amp;"' AS ID_EXEC, CURRENT_TIMESTAMP() AS TIME_EXEC FROM "&amp;I252),
IF(C252="Caracteres Especiais",+"SELECT '"&amp;UPPER(B252)&amp;"' AS TABELA, '"&amp;UPPER(C252)&amp;"' AS TIPOLOGIA_TESTE,'"&amp;D252&amp;"' AS TABELA_LT,'N/A' AS TABELA_SIMUL,'"&amp;F252&amp;"' AS CAMPO, "&amp;"'${ref_date}' AS REF_DATE, COUNT(*) AS NUM_REG, SUM(IF(INSTR(CAST(X."&amp;F252&amp;" AS STRING),'#')&gt;0 OR INSTR(CAST(X."&amp;F252&amp;" AS STRING),'*')&gt;0 OR INSTR(CAST(X."&amp;F252&amp;" AS STRING),'`')&gt;0 OR INSTR(CAST(X."&amp;F252&amp;" AS STRING),'´')&gt;0 OR INSTR(CAST(X."&amp;F252&amp;" AS STRING),'{')&gt;0 OR INSTR(CAST(X."&amp;F252&amp;" AS STRING),'}')&gt;0 OR INSTR(CAST(X."&amp;F252&amp;" AS STRING),'[')&gt;0 OR INSTR(CAST(X."&amp;F252&amp;" AS STRING),'')&gt;0 OR INSTR(CAST(X."&amp;F252&amp;" AS STRING),']')&gt;0 OR INSTR(CAST(X."&amp;F252&amp;" AS STRING),'?')&gt;0 OR INSTR(CAST(X."&amp;F252&amp;" AS STRING),'!')&gt;0 OR INSTR(CAST(X."&amp;F252&amp;" AS STRING),'$')&gt;0 OR INSTR(CAST(X."&amp;F252&amp;" AS STRING),'%')&gt;0 OR INSTR(CAST(X."&amp;F252&amp;" AS STRING),'&amp;')&gt;0 OR INSTR(CAST(X."&amp;F252&amp;" AS STRING),'+')&gt;0,1,0)) AS NUM_REG_DIF,'"&amp;MAX('ID1&amp;5'!K:K)+1&amp;"' AS ID_EXEC, CURRENT_TIMESTAMP() AS TIME_EXEC FROM "&amp;I252,
IF(C252="Missings",+"SELECT '"&amp;UPPER(B252)&amp;"' AS TABELA, '"&amp;UPPER(C252)&amp;"' AS TIPOLOGIA_TESTE,'"&amp;D252&amp;"' AS TABELA_LT,'N/A' AS TABELA_SIMUL,'"&amp;F252&amp;"' AS CAMPO, "&amp;"'${ref_date}' AS REF_DATE, COUNT(*) AS NUM_REG, SUM(IF(TRIM(CAST(X."&amp;F252&amp;" AS STRING)) IN ('0000-00-00','0001-01-01','9999-12-31','MISS','00000','99999999999','99999999999.00','99999999999.000000'),1,0)) AS NUM_REG_DIF,'"&amp;MAX('ID1&amp;5'!K:K)+1&amp;"' AS ID_EXEC, CURRENT_TIMESTAMP() AS TIME_EXEC FROM "&amp;I252,
IF(C252="Not applicable",+"SELECT '"&amp;UPPER(B252)&amp;"' AS TABELA, '"&amp;UPPER(C252)&amp;"' AS TIPOLOGIA_TESTE,'"&amp;D252&amp;"' AS TABELA_LT,'N/A' AS TABELA_SIMUL,'"&amp;F252&amp;"' AS CAMPO, "&amp;"'${ref_date}' AS REF_DATE, COUNT(*) AS NUM_REG, SUM(IF(TRIM(CAST(X."&amp;F252&amp;" AS STRING)) IN ('N/A','11111111111','11111111111.00','11111111111.000000','1111-11-11'),1,0)) AS NUM_REG_DIF,'"&amp;MAX('ID1&amp;5'!K:K)+1&amp;"' AS ID_EXEC, CURRENT_TIMESTAMP() AS TIME_EXEC FROM "&amp;I252,
IF(C252="Valores extremos",+"SELECT '"&amp;UPPER(B252)&amp;"' AS TABELA, '"&amp;UPPER(C252)&amp;"' AS TIPOLOGIA_TESTE,'"&amp;D252&amp;"' AS TABELA_LT,'N/A' AS TABELA_SIMUL,'"&amp;F252&amp;"' AS CAMPO, "&amp;"'${ref_date}' AS REF_DATE, CAST(MIN("&amp;F252&amp;") AS STRING) AS VALOR_MIN, CAST(MAX("&amp;F252&amp;") AS STRING) AS VALOR_MAX,'"&amp;MAX('ID1&amp;5'!K:K)+1&amp;"' AS ID_EXEC, CURRENT_TIMESTAMP() AS TIME_EXEC FROM "&amp;MID(I252,1,LEN(I252)-2)&amp;" AND CAST("&amp;F252&amp;"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TABELA_SIMUL,'ECNMC_ACTVTY' AS CAMPO, '${ref_date}' AS REF_DATE, COUNT(*) AS NUM_REG, SUM(IF(INSTR(CAST(X.ECNMC_ACTVTY AS STRING),'#')&gt;0 OR INSTR(CAST(X.ECNMC_ACTVTY AS STRING),'*')&gt;0 OR INSTR(CAST(X.ECNMC_ACTVTY AS STRING),'`')&gt;0 OR INSTR(CAST(X.ECNMC_ACTVTY AS STRING),'´')&gt;0 OR INSTR(CAST(X.ECNMC_ACTVTY AS STRING),'{')&gt;0 OR INSTR(CAST(X.ECNMC_ACTVTY AS STRING),'}')&gt;0 OR INSTR(CAST(X.ECNMC_ACTVTY AS STRING),'[')&gt;0 OR INSTR(CAST(X.ECNMC_ACTVTY AS STRING),'')&gt;0 OR INSTR(CAST(X.ECNMC_ACTVTY AS STRING),']')&gt;0 OR INSTR(CAST(X.ECNMC_ACTVTY AS STRING),'?')&gt;0 OR INSTR(CAST(X.ECNMC_ACTVTY AS STRING),'!')&gt;0 OR INSTR(CAST(X.ECNMC_ACTVTY AS STRING),'$')&gt;0 OR INSTR(CAST(X.ECNMC_ACTVTY AS STRING),'%')&gt;0 OR INSTR(CAST(X.ECNMC_ACTVTY AS STRING),'&amp;')&gt;0 OR INSTR(CAST(X.ECNMC_ACTVTY AS STRING),'+')&gt;0,1,0)) AS NUM_REG_DIF,'10' AS ID_EXEC, CURRENT_TIMESTAMP() AS TIME_EXEC FROM (SELECT entty_id, ECNMC_ACTVTY FROM BU_LOANTAPE_WORK.LT003_ENTITY WHERE ref_date='${ref_date}' AND nome_perimetro='Individual Corporativo' AND segmento='ESTR' AND ambito='PILAR3')X</v>
      </c>
      <c r="M252" s="43" t="str">
        <f t="shared" si="4"/>
        <v>UNION ALL SELECT 'ENTITY' AS TABELA, 'CARACTERES ESPECIAIS' AS TIPOLOGIA_TESTE,'BU_LOANTAPE_WORK.LT003_ENTITY' AS TABELA_LT,'N/A' AS TABELA_SIMUL,'ECNMC_ACTVTY' AS CAMPO, '${ref_date}' AS REF_DATE, COUNT(*) AS NUM_REG, SUM(IF(INSTR(CAST(X.ECNMC_ACTVTY AS STRING),'#')&gt;0 OR INSTR(CAST(X.ECNMC_ACTVTY AS STRING),'*')&gt;0 OR INSTR(CAST(X.ECNMC_ACTVTY AS STRING),'`')&gt;0 OR INSTR(CAST(X.ECNMC_ACTVTY AS STRING),'´')&gt;0 OR INSTR(CAST(X.ECNMC_ACTVTY AS STRING),'{')&gt;0 OR INSTR(CAST(X.ECNMC_ACTVTY AS STRING),'}')&gt;0 OR INSTR(CAST(X.ECNMC_ACTVTY AS STRING),'[')&gt;0 OR INSTR(CAST(X.ECNMC_ACTVTY AS STRING),'')&gt;0 OR INSTR(CAST(X.ECNMC_ACTVTY AS STRING),']')&gt;0 OR INSTR(CAST(X.ECNMC_ACTVTY AS STRING),'?')&gt;0 OR INSTR(CAST(X.ECNMC_ACTVTY AS STRING),'!')&gt;0 OR INSTR(CAST(X.ECNMC_ACTVTY AS STRING),'$')&gt;0 OR INSTR(CAST(X.ECNMC_ACTVTY AS STRING),'%')&gt;0 OR INSTR(CAST(X.ECNMC_ACTVTY AS STRING),'&amp;')&gt;0 OR INSTR(CAST(X.ECNMC_ACTVTY AS STRING),'+')&gt;0,1,0)) AS NUM_REG_DIF,'10' AS ID_EXEC, CURRENT_TIMESTAMP() AS TIME_EXEC FROM (SELECT entty_id, ECNMC_ACTVTY FROM BU_LOANTAPE_WORK.LT003_ENTITY WHERE ref_date='${ref_date}' AND nome_perimetro='Individual Corporativo' AND segmento='ESTR' AND ambito='PILAR3')X</v>
      </c>
      <c r="N252" s="45" t="s">
        <v>13</v>
      </c>
    </row>
    <row r="253" spans="2:14">
      <c r="B253" s="41" t="s">
        <v>23</v>
      </c>
      <c r="C253" s="41" t="s">
        <v>76</v>
      </c>
      <c r="D253" s="41" t="str">
        <f>+UPPER('0. Instruções'!$D$33&amp;"."&amp;VLOOKUP(B253,'0. Instruções'!$C$27:$D$31,2,FALSE))</f>
        <v>BU_LOANTAPE_WORK.LT003_ENTITY</v>
      </c>
      <c r="E253" s="41" t="str">
        <f>+UPPER('0. Instruções'!$D$34&amp;"."&amp;VLOOKUP(B253,'0. Instruções'!$C$27:$E$31,3,FALSE))</f>
        <v>BU_LOANTAPE_WORK.LT003_ENTTY_P3_NOV24</v>
      </c>
      <c r="F253" s="41" t="s">
        <v>185</v>
      </c>
      <c r="G253" s="41" t="s">
        <v>13</v>
      </c>
      <c r="H253" s="41"/>
      <c r="I253" s="41" t="str">
        <f>"(SELECT "&amp;VLOOKUP(B253,'0. Instruções'!$C$27:$G$31,4,FALSE)&amp;", "&amp;F253&amp;" FROM "&amp;D253&amp;" WHERE "&amp;'0. Instruções'!$D$40&amp;")X"</f>
        <v>(SELECT entty_id, GRP_EQTY FROM BU_LOANTAPE_WORK.LT003_ENTITY WHERE ref_date='${ref_date}' AND nome_perimetro='Individual Corporativo' AND segmento='ESTR' AND ambito='PILAR3')X</v>
      </c>
      <c r="J253" s="41" t="str">
        <f>"(SELECT "&amp;VLOOKUP(B253,'0. Instruções'!$C$27:$G$31,4,FALSE)&amp;" AS "&amp;VLOOKUP(B253,'0. Instruções'!$C$27:$G$31,4,FALSE)&amp;"_SIMUL, "&amp;F253&amp;" AS "&amp;F253&amp;"_SIMUL FROM "&amp;E253&amp;")Y"</f>
        <v>(SELECT entty_id AS entty_id_SIMUL, GRP_EQTY AS GRP_EQTY_SIMUL FROM BU_LOANTAPE_WORK.LT003_ENTTY_P3_NOV24)Y</v>
      </c>
      <c r="K253" s="42" t="str">
        <f>+UPPER("ON X."&amp;VLOOKUP(B253,'0. Instruções'!$C$27:$G$31,4,FALSE)&amp;"=Y."&amp;VLOOKUP(B253,'0. Instruções'!$C$27:$G$31,4,FALSE)&amp;"_SIMUL")</f>
        <v>ON X.ENTTY_ID=Y.ENTTY_ID_SIMUL</v>
      </c>
      <c r="L253" s="42" t="str">
        <f>+IF(C253="Coerência", +IF(LEFT(G253,5)="FLOAT","SELECT '"&amp;UPPER(B253)&amp;"' AS TABELA, '"&amp;UPPER(C253)&amp;"' AS TIPOLOGIA_TESTE,'"&amp;D253&amp;"' AS TABELA_LT,'"&amp;E253&amp;"' AS TABELA_SIMUL,'"&amp;F253&amp;"' AS CAMPO, "&amp;"'${ref_date}' AS REF_DATE, COUNT(*) AS NUM_REG, SUM(IF((ABS(COALESCE(X."&amp;F253&amp;",0)-COALESCE(Y."&amp;F253&amp;"_SIMUL,0))&gt;0.0000000001) OR (X."&amp;F253&amp;" IS NULL AND Y."&amp;F253&amp;"_SIMUL IS NOT NULL ) OR (X."&amp;F253&amp;" IS NOT NULL AND Y."&amp;F253&amp;"_SIMUL IS NULL),1,0)) AS NUM_REG_DIF,'"&amp;MAX('ID1&amp;5'!K:K)+1&amp;"' AS ID_EXEC, CURRENT_TIMESTAMP() AS TIME_EXEC FROM "&amp;I253&amp;" INNER JOIN "&amp;J253&amp;" "&amp;K253,"SELECT '"&amp;UPPER(B253)&amp;"' AS TABELA, '"&amp;UPPER(C253)&amp;"' AS TIPOLOGIA_TESTE,'"&amp;D253&amp;"' AS TABELA_LT,'"&amp;E253&amp;"' AS TABELA_SIMUL,'"&amp;F253&amp;"' AS CAMPO, "&amp;"'${ref_date}' AS REF_DATE, COUNT(*) AS NUM_REG, SUM(IF(COALESCE(CAST(X."&amp;F253&amp;" AS STRING),'')&lt;&gt;COALESCE(CAST(Y."&amp;F253&amp;"_SIMUL AS STRING),''),1,0)) AS NUM_REG_DIF,'"&amp;MAX('ID1&amp;5'!L:L)+1&amp;"' AS ID_EXEC, CURRENT_TIMESTAMP() AS TIME_EXEC FROM "&amp;I253&amp;" INNER JOIN "&amp;J253&amp;" "&amp;K253),
IF(C253="Validade",+IF(G253="Code List","SELECT '"&amp;UPPER(B253)&amp;"' AS TABELA, '"&amp;UPPER(C253)&amp;"' AS TIPOLOGIA_TESTE,'"&amp;D253&amp;"' AS TABELA_LT,'N/A' AS TABELA_SIMUL,'"&amp;F253&amp;"' AS CAMPO, "&amp;"'${ref_date}' AS REF_DATE, COUNT(*) AS NUM_REG, SUM(IF(TRIM(CAST(X."&amp;F253&amp;" AS STRING))='' OR TRIM(CAST(X."&amp;F253&amp;" AS STRING)) IS NULL OR CAST(X."&amp;F253&amp;" AS STRING) NOT "&amp;H253&amp;",1,0)) AS NUM_REG_DIF,'"&amp;MAX('ID1&amp;5'!K:K)+1&amp;"' AS ID_EXEC, CURRENT_TIMESTAMP() AS TIME_EXEC FROM "&amp;I253,"SELECT '"&amp;UPPER(B253)&amp;"' AS TABELA, '"&amp;UPPER(C253)&amp;"' AS TIPOLOGIA_TESTE,'"&amp;D253&amp;"' AS TABELA_LT,'N/A' AS TABELA_SIMUL,'"&amp;F253&amp;"' AS CAMPO, "&amp;"'${ref_date}' AS REF_DATE, COUNT(*) AS NUM_REG, SUM(IF(TRIM(CAST(X."&amp;F253&amp;" AS STRING))='' OR TRIM(CAST(X."&amp;F253&amp;" AS STRING)) IS NULL,1,0)) AS NUM_REG_DIF,'"&amp;MAX('ID1&amp;5'!K:K)+1&amp;"' AS ID_EXEC, CURRENT_TIMESTAMP() AS TIME_EXEC FROM "&amp;I253),
IF(C253="Caracteres Especiais",+"SELECT '"&amp;UPPER(B253)&amp;"' AS TABELA, '"&amp;UPPER(C253)&amp;"' AS TIPOLOGIA_TESTE,'"&amp;D253&amp;"' AS TABELA_LT,'N/A' AS TABELA_SIMUL,'"&amp;F253&amp;"' AS CAMPO, "&amp;"'${ref_date}' AS REF_DATE, COUNT(*) AS NUM_REG, SUM(IF(INSTR(CAST(X."&amp;F253&amp;" AS STRING),'#')&gt;0 OR INSTR(CAST(X."&amp;F253&amp;" AS STRING),'*')&gt;0 OR INSTR(CAST(X."&amp;F253&amp;" AS STRING),'`')&gt;0 OR INSTR(CAST(X."&amp;F253&amp;" AS STRING),'´')&gt;0 OR INSTR(CAST(X."&amp;F253&amp;" AS STRING),'{')&gt;0 OR INSTR(CAST(X."&amp;F253&amp;" AS STRING),'}')&gt;0 OR INSTR(CAST(X."&amp;F253&amp;" AS STRING),'[')&gt;0 OR INSTR(CAST(X."&amp;F253&amp;" AS STRING),'')&gt;0 OR INSTR(CAST(X."&amp;F253&amp;" AS STRING),']')&gt;0 OR INSTR(CAST(X."&amp;F253&amp;" AS STRING),'?')&gt;0 OR INSTR(CAST(X."&amp;F253&amp;" AS STRING),'!')&gt;0 OR INSTR(CAST(X."&amp;F253&amp;" AS STRING),'$')&gt;0 OR INSTR(CAST(X."&amp;F253&amp;" AS STRING),'%')&gt;0 OR INSTR(CAST(X."&amp;F253&amp;" AS STRING),'&amp;')&gt;0 OR INSTR(CAST(X."&amp;F253&amp;" AS STRING),'+')&gt;0,1,0)) AS NUM_REG_DIF,'"&amp;MAX('ID1&amp;5'!K:K)+1&amp;"' AS ID_EXEC, CURRENT_TIMESTAMP() AS TIME_EXEC FROM "&amp;I253,
IF(C253="Missings",+"SELECT '"&amp;UPPER(B253)&amp;"' AS TABELA, '"&amp;UPPER(C253)&amp;"' AS TIPOLOGIA_TESTE,'"&amp;D253&amp;"' AS TABELA_LT,'N/A' AS TABELA_SIMUL,'"&amp;F253&amp;"' AS CAMPO, "&amp;"'${ref_date}' AS REF_DATE, COUNT(*) AS NUM_REG, SUM(IF(TRIM(CAST(X."&amp;F253&amp;" AS STRING)) IN ('0000-00-00','0001-01-01','9999-12-31','MISS','00000','99999999999','99999999999.00','99999999999.000000'),1,0)) AS NUM_REG_DIF,'"&amp;MAX('ID1&amp;5'!K:K)+1&amp;"' AS ID_EXEC, CURRENT_TIMESTAMP() AS TIME_EXEC FROM "&amp;I253,
IF(C253="Not applicable",+"SELECT '"&amp;UPPER(B253)&amp;"' AS TABELA, '"&amp;UPPER(C253)&amp;"' AS TIPOLOGIA_TESTE,'"&amp;D253&amp;"' AS TABELA_LT,'N/A' AS TABELA_SIMUL,'"&amp;F253&amp;"' AS CAMPO, "&amp;"'${ref_date}' AS REF_DATE, COUNT(*) AS NUM_REG, SUM(IF(TRIM(CAST(X."&amp;F253&amp;" AS STRING)) IN ('N/A','11111111111','11111111111.00','11111111111.000000','1111-11-11'),1,0)) AS NUM_REG_DIF,'"&amp;MAX('ID1&amp;5'!K:K)+1&amp;"' AS ID_EXEC, CURRENT_TIMESTAMP() AS TIME_EXEC FROM "&amp;I253,
IF(C253="Valores extremos",+"SELECT '"&amp;UPPER(B253)&amp;"' AS TABELA, '"&amp;UPPER(C253)&amp;"' AS TIPOLOGIA_TESTE,'"&amp;D253&amp;"' AS TABELA_LT,'N/A' AS TABELA_SIMUL,'"&amp;F253&amp;"' AS CAMPO, "&amp;"'${ref_date}' AS REF_DATE, CAST(MIN("&amp;F253&amp;") AS STRING) AS VALOR_MIN, CAST(MAX("&amp;F253&amp;") AS STRING) AS VALOR_MAX,'"&amp;MAX('ID1&amp;5'!K:K)+1&amp;"' AS ID_EXEC, CURRENT_TIMESTAMP() AS TIME_EXEC FROM "&amp;MID(I253,1,LEN(I253)-2)&amp;" AND CAST("&amp;F253&amp;"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TABELA_SIMUL,'GRP_EQTY' AS CAMPO, '${ref_date}' AS REF_DATE, COUNT(*) AS NUM_REG, SUM(IF(INSTR(CAST(X.GRP_EQTY AS STRING),'#')&gt;0 OR INSTR(CAST(X.GRP_EQTY AS STRING),'*')&gt;0 OR INSTR(CAST(X.GRP_EQTY AS STRING),'`')&gt;0 OR INSTR(CAST(X.GRP_EQTY AS STRING),'´')&gt;0 OR INSTR(CAST(X.GRP_EQTY AS STRING),'{')&gt;0 OR INSTR(CAST(X.GRP_EQTY AS STRING),'}')&gt;0 OR INSTR(CAST(X.GRP_EQTY AS STRING),'[')&gt;0 OR INSTR(CAST(X.GRP_EQTY AS STRING),'')&gt;0 OR INSTR(CAST(X.GRP_EQTY AS STRING),']')&gt;0 OR INSTR(CAST(X.GRP_EQTY AS STRING),'?')&gt;0 OR INSTR(CAST(X.GRP_EQTY AS STRING),'!')&gt;0 OR INSTR(CAST(X.GRP_EQTY AS STRING),'$')&gt;0 OR INSTR(CAST(X.GRP_EQTY AS STRING),'%')&gt;0 OR INSTR(CAST(X.GRP_EQTY AS STRING),'&amp;')&gt;0 OR INSTR(CAST(X.GRP_EQTY AS STRING),'+')&gt;0,1,0)) AS NUM_REG_DIF,'10' AS ID_EXEC, CURRENT_TIMESTAMP() AS TIME_EXEC FROM (SELECT entty_id, GRP_EQTY FROM BU_LOANTAPE_WORK.LT003_ENTITY WHERE ref_date='${ref_date}' AND nome_perimetro='Individual Corporativo' AND segmento='ESTR' AND ambito='PILAR3')X</v>
      </c>
      <c r="M253" s="43" t="str">
        <f t="shared" si="4"/>
        <v>UNION ALL SELECT 'ENTITY' AS TABELA, 'CARACTERES ESPECIAIS' AS TIPOLOGIA_TESTE,'BU_LOANTAPE_WORK.LT003_ENTITY' AS TABELA_LT,'N/A' AS TABELA_SIMUL,'GRP_EQTY' AS CAMPO, '${ref_date}' AS REF_DATE, COUNT(*) AS NUM_REG, SUM(IF(INSTR(CAST(X.GRP_EQTY AS STRING),'#')&gt;0 OR INSTR(CAST(X.GRP_EQTY AS STRING),'*')&gt;0 OR INSTR(CAST(X.GRP_EQTY AS STRING),'`')&gt;0 OR INSTR(CAST(X.GRP_EQTY AS STRING),'´')&gt;0 OR INSTR(CAST(X.GRP_EQTY AS STRING),'{')&gt;0 OR INSTR(CAST(X.GRP_EQTY AS STRING),'}')&gt;0 OR INSTR(CAST(X.GRP_EQTY AS STRING),'[')&gt;0 OR INSTR(CAST(X.GRP_EQTY AS STRING),'')&gt;0 OR INSTR(CAST(X.GRP_EQTY AS STRING),']')&gt;0 OR INSTR(CAST(X.GRP_EQTY AS STRING),'?')&gt;0 OR INSTR(CAST(X.GRP_EQTY AS STRING),'!')&gt;0 OR INSTR(CAST(X.GRP_EQTY AS STRING),'$')&gt;0 OR INSTR(CAST(X.GRP_EQTY AS STRING),'%')&gt;0 OR INSTR(CAST(X.GRP_EQTY AS STRING),'&amp;')&gt;0 OR INSTR(CAST(X.GRP_EQTY AS STRING),'+')&gt;0,1,0)) AS NUM_REG_DIF,'10' AS ID_EXEC, CURRENT_TIMESTAMP() AS TIME_EXEC FROM (SELECT entty_id, GRP_EQTY FROM BU_LOANTAPE_WORK.LT003_ENTITY WHERE ref_date='${ref_date}' AND nome_perimetro='Individual Corporativo' AND segmento='ESTR' AND ambito='PILAR3')X</v>
      </c>
      <c r="N253" s="45" t="s">
        <v>13</v>
      </c>
    </row>
    <row r="254" spans="2:14">
      <c r="B254" s="41" t="s">
        <v>23</v>
      </c>
      <c r="C254" s="41" t="s">
        <v>76</v>
      </c>
      <c r="D254" s="41" t="str">
        <f>+UPPER('0. Instruções'!$D$33&amp;"."&amp;VLOOKUP(B254,'0. Instruções'!$C$27:$D$31,2,FALSE))</f>
        <v>BU_LOANTAPE_WORK.LT003_ENTITY</v>
      </c>
      <c r="E254" s="41" t="str">
        <f>+UPPER('0. Instruções'!$D$34&amp;"."&amp;VLOOKUP(B254,'0. Instruções'!$C$27:$E$31,3,FALSE))</f>
        <v>BU_LOANTAPE_WORK.LT003_ENTTY_P3_NOV24</v>
      </c>
      <c r="F254" s="41" t="s">
        <v>186</v>
      </c>
      <c r="G254" s="41" t="s">
        <v>13</v>
      </c>
      <c r="H254" s="41"/>
      <c r="I254" s="41" t="str">
        <f>"(SELECT "&amp;VLOOKUP(B254,'0. Instruções'!$C$27:$G$31,4,FALSE)&amp;", "&amp;F254&amp;" FROM "&amp;D254&amp;" WHERE "&amp;'0. Instruções'!$D$40&amp;")X"</f>
        <v>(SELECT entty_id, ANNL_TRNVR_LE FROM BU_LOANTAPE_WORK.LT003_ENTITY WHERE ref_date='${ref_date}' AND nome_perimetro='Individual Corporativo' AND segmento='ESTR' AND ambito='PILAR3')X</v>
      </c>
      <c r="J254" s="41" t="str">
        <f>"(SELECT "&amp;VLOOKUP(B254,'0. Instruções'!$C$27:$G$31,4,FALSE)&amp;" AS "&amp;VLOOKUP(B254,'0. Instruções'!$C$27:$G$31,4,FALSE)&amp;"_SIMUL, "&amp;F254&amp;" AS "&amp;F254&amp;"_SIMUL FROM "&amp;E254&amp;")Y"</f>
        <v>(SELECT entty_id AS entty_id_SIMUL, ANNL_TRNVR_LE AS ANNL_TRNVR_LE_SIMUL FROM BU_LOANTAPE_WORK.LT003_ENTTY_P3_NOV24)Y</v>
      </c>
      <c r="K254" s="42" t="str">
        <f>+UPPER("ON X."&amp;VLOOKUP(B254,'0. Instruções'!$C$27:$G$31,4,FALSE)&amp;"=Y."&amp;VLOOKUP(B254,'0. Instruções'!$C$27:$G$31,4,FALSE)&amp;"_SIMUL")</f>
        <v>ON X.ENTTY_ID=Y.ENTTY_ID_SIMUL</v>
      </c>
      <c r="L254" s="42" t="str">
        <f>+IF(C254="Coerência", +IF(LEFT(G254,5)="FLOAT","SELECT '"&amp;UPPER(B254)&amp;"' AS TABELA, '"&amp;UPPER(C254)&amp;"' AS TIPOLOGIA_TESTE,'"&amp;D254&amp;"' AS TABELA_LT,'"&amp;E254&amp;"' AS TABELA_SIMUL,'"&amp;F254&amp;"' AS CAMPO, "&amp;"'${ref_date}' AS REF_DATE, COUNT(*) AS NUM_REG, SUM(IF((ABS(COALESCE(X."&amp;F254&amp;",0)-COALESCE(Y."&amp;F254&amp;"_SIMUL,0))&gt;0.0000000001) OR (X."&amp;F254&amp;" IS NULL AND Y."&amp;F254&amp;"_SIMUL IS NOT NULL ) OR (X."&amp;F254&amp;" IS NOT NULL AND Y."&amp;F254&amp;"_SIMUL IS NULL),1,0)) AS NUM_REG_DIF,'"&amp;MAX('ID1&amp;5'!K:K)+1&amp;"' AS ID_EXEC, CURRENT_TIMESTAMP() AS TIME_EXEC FROM "&amp;I254&amp;" INNER JOIN "&amp;J254&amp;" "&amp;K254,"SELECT '"&amp;UPPER(B254)&amp;"' AS TABELA, '"&amp;UPPER(C254)&amp;"' AS TIPOLOGIA_TESTE,'"&amp;D254&amp;"' AS TABELA_LT,'"&amp;E254&amp;"' AS TABELA_SIMUL,'"&amp;F254&amp;"' AS CAMPO, "&amp;"'${ref_date}' AS REF_DATE, COUNT(*) AS NUM_REG, SUM(IF(COALESCE(CAST(X."&amp;F254&amp;" AS STRING),'')&lt;&gt;COALESCE(CAST(Y."&amp;F254&amp;"_SIMUL AS STRING),''),1,0)) AS NUM_REG_DIF,'"&amp;MAX('ID1&amp;5'!L:L)+1&amp;"' AS ID_EXEC, CURRENT_TIMESTAMP() AS TIME_EXEC FROM "&amp;I254&amp;" INNER JOIN "&amp;J254&amp;" "&amp;K254),
IF(C254="Validade",+IF(G254="Code List","SELECT '"&amp;UPPER(B254)&amp;"' AS TABELA, '"&amp;UPPER(C254)&amp;"' AS TIPOLOGIA_TESTE,'"&amp;D254&amp;"' AS TABELA_LT,'N/A' AS TABELA_SIMUL,'"&amp;F254&amp;"' AS CAMPO, "&amp;"'${ref_date}' AS REF_DATE, COUNT(*) AS NUM_REG, SUM(IF(TRIM(CAST(X."&amp;F254&amp;" AS STRING))='' OR TRIM(CAST(X."&amp;F254&amp;" AS STRING)) IS NULL OR CAST(X."&amp;F254&amp;" AS STRING) NOT "&amp;H254&amp;",1,0)) AS NUM_REG_DIF,'"&amp;MAX('ID1&amp;5'!K:K)+1&amp;"' AS ID_EXEC, CURRENT_TIMESTAMP() AS TIME_EXEC FROM "&amp;I254,"SELECT '"&amp;UPPER(B254)&amp;"' AS TABELA, '"&amp;UPPER(C254)&amp;"' AS TIPOLOGIA_TESTE,'"&amp;D254&amp;"' AS TABELA_LT,'N/A' AS TABELA_SIMUL,'"&amp;F254&amp;"' AS CAMPO, "&amp;"'${ref_date}' AS REF_DATE, COUNT(*) AS NUM_REG, SUM(IF(TRIM(CAST(X."&amp;F254&amp;" AS STRING))='' OR TRIM(CAST(X."&amp;F254&amp;" AS STRING)) IS NULL,1,0)) AS NUM_REG_DIF,'"&amp;MAX('ID1&amp;5'!K:K)+1&amp;"' AS ID_EXEC, CURRENT_TIMESTAMP() AS TIME_EXEC FROM "&amp;I254),
IF(C254="Caracteres Especiais",+"SELECT '"&amp;UPPER(B254)&amp;"' AS TABELA, '"&amp;UPPER(C254)&amp;"' AS TIPOLOGIA_TESTE,'"&amp;D254&amp;"' AS TABELA_LT,'N/A' AS TABELA_SIMUL,'"&amp;F254&amp;"' AS CAMPO, "&amp;"'${ref_date}' AS REF_DATE, COUNT(*) AS NUM_REG, SUM(IF(INSTR(CAST(X."&amp;F254&amp;" AS STRING),'#')&gt;0 OR INSTR(CAST(X."&amp;F254&amp;" AS STRING),'*')&gt;0 OR INSTR(CAST(X."&amp;F254&amp;" AS STRING),'`')&gt;0 OR INSTR(CAST(X."&amp;F254&amp;" AS STRING),'´')&gt;0 OR INSTR(CAST(X."&amp;F254&amp;" AS STRING),'{')&gt;0 OR INSTR(CAST(X."&amp;F254&amp;" AS STRING),'}')&gt;0 OR INSTR(CAST(X."&amp;F254&amp;" AS STRING),'[')&gt;0 OR INSTR(CAST(X."&amp;F254&amp;" AS STRING),'')&gt;0 OR INSTR(CAST(X."&amp;F254&amp;" AS STRING),']')&gt;0 OR INSTR(CAST(X."&amp;F254&amp;" AS STRING),'?')&gt;0 OR INSTR(CAST(X."&amp;F254&amp;" AS STRING),'!')&gt;0 OR INSTR(CAST(X."&amp;F254&amp;" AS STRING),'$')&gt;0 OR INSTR(CAST(X."&amp;F254&amp;" AS STRING),'%')&gt;0 OR INSTR(CAST(X."&amp;F254&amp;" AS STRING),'&amp;')&gt;0 OR INSTR(CAST(X."&amp;F254&amp;" AS STRING),'+')&gt;0,1,0)) AS NUM_REG_DIF,'"&amp;MAX('ID1&amp;5'!K:K)+1&amp;"' AS ID_EXEC, CURRENT_TIMESTAMP() AS TIME_EXEC FROM "&amp;I254,
IF(C254="Missings",+"SELECT '"&amp;UPPER(B254)&amp;"' AS TABELA, '"&amp;UPPER(C254)&amp;"' AS TIPOLOGIA_TESTE,'"&amp;D254&amp;"' AS TABELA_LT,'N/A' AS TABELA_SIMUL,'"&amp;F254&amp;"' AS CAMPO, "&amp;"'${ref_date}' AS REF_DATE, COUNT(*) AS NUM_REG, SUM(IF(TRIM(CAST(X."&amp;F254&amp;" AS STRING)) IN ('0000-00-00','0001-01-01','9999-12-31','MISS','00000','99999999999','99999999999.00','99999999999.000000'),1,0)) AS NUM_REG_DIF,'"&amp;MAX('ID1&amp;5'!K:K)+1&amp;"' AS ID_EXEC, CURRENT_TIMESTAMP() AS TIME_EXEC FROM "&amp;I254,
IF(C254="Not applicable",+"SELECT '"&amp;UPPER(B254)&amp;"' AS TABELA, '"&amp;UPPER(C254)&amp;"' AS TIPOLOGIA_TESTE,'"&amp;D254&amp;"' AS TABELA_LT,'N/A' AS TABELA_SIMUL,'"&amp;F254&amp;"' AS CAMPO, "&amp;"'${ref_date}' AS REF_DATE, COUNT(*) AS NUM_REG, SUM(IF(TRIM(CAST(X."&amp;F254&amp;" AS STRING)) IN ('N/A','11111111111','11111111111.00','11111111111.000000','1111-11-11'),1,0)) AS NUM_REG_DIF,'"&amp;MAX('ID1&amp;5'!K:K)+1&amp;"' AS ID_EXEC, CURRENT_TIMESTAMP() AS TIME_EXEC FROM "&amp;I254,
IF(C254="Valores extremos",+"SELECT '"&amp;UPPER(B254)&amp;"' AS TABELA, '"&amp;UPPER(C254)&amp;"' AS TIPOLOGIA_TESTE,'"&amp;D254&amp;"' AS TABELA_LT,'N/A' AS TABELA_SIMUL,'"&amp;F254&amp;"' AS CAMPO, "&amp;"'${ref_date}' AS REF_DATE, CAST(MIN("&amp;F254&amp;") AS STRING) AS VALOR_MIN, CAST(MAX("&amp;F254&amp;") AS STRING) AS VALOR_MAX,'"&amp;MAX('ID1&amp;5'!K:K)+1&amp;"' AS ID_EXEC, CURRENT_TIMESTAMP() AS TIME_EXEC FROM "&amp;MID(I254,1,LEN(I254)-2)&amp;" AND CAST("&amp;F254&amp;"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TABELA_SIMUL,'ANNL_TRNVR_LE' AS CAMPO, '${ref_date}' AS REF_DATE, COUNT(*) AS NUM_REG, SUM(IF(INSTR(CAST(X.ANNL_TRNVR_LE AS STRING),'#')&gt;0 OR INSTR(CAST(X.ANNL_TRNVR_LE AS STRING),'*')&gt;0 OR INSTR(CAST(X.ANNL_TRNVR_LE AS STRING),'`')&gt;0 OR INSTR(CAST(X.ANNL_TRNVR_LE AS STRING),'´')&gt;0 OR INSTR(CAST(X.ANNL_TRNVR_LE AS STRING),'{')&gt;0 OR INSTR(CAST(X.ANNL_TRNVR_LE AS STRING),'}')&gt;0 OR INSTR(CAST(X.ANNL_TRNVR_LE AS STRING),'[')&gt;0 OR INSTR(CAST(X.ANNL_TRNVR_LE AS STRING),'')&gt;0 OR INSTR(CAST(X.ANNL_TRNVR_LE AS STRING),']')&gt;0 OR INSTR(CAST(X.ANNL_TRNVR_LE AS STRING),'?')&gt;0 OR INSTR(CAST(X.ANNL_TRNVR_LE AS STRING),'!')&gt;0 OR INSTR(CAST(X.ANNL_TRNVR_LE AS STRING),'$')&gt;0 OR INSTR(CAST(X.ANNL_TRNVR_LE AS STRING),'%')&gt;0 OR INSTR(CAST(X.ANNL_TRNVR_LE AS STRING),'&amp;')&gt;0 OR INSTR(CAST(X.ANNL_TRNVR_LE AS STRING),'+')&gt;0,1,0)) AS NUM_REG_DIF,'10' AS ID_EXEC, CURRENT_TIMESTAMP() AS TIME_EXEC FROM (SELECT entty_id, ANNL_TRNVR_LE FROM BU_LOANTAPE_WORK.LT003_ENTITY WHERE ref_date='${ref_date}' AND nome_perimetro='Individual Corporativo' AND segmento='ESTR' AND ambito='PILAR3')X</v>
      </c>
      <c r="M254" s="43" t="str">
        <f t="shared" si="4"/>
        <v>UNION ALL SELECT 'ENTITY' AS TABELA, 'CARACTERES ESPECIAIS' AS TIPOLOGIA_TESTE,'BU_LOANTAPE_WORK.LT003_ENTITY' AS TABELA_LT,'N/A' AS TABELA_SIMUL,'ANNL_TRNVR_LE' AS CAMPO, '${ref_date}' AS REF_DATE, COUNT(*) AS NUM_REG, SUM(IF(INSTR(CAST(X.ANNL_TRNVR_LE AS STRING),'#')&gt;0 OR INSTR(CAST(X.ANNL_TRNVR_LE AS STRING),'*')&gt;0 OR INSTR(CAST(X.ANNL_TRNVR_LE AS STRING),'`')&gt;0 OR INSTR(CAST(X.ANNL_TRNVR_LE AS STRING),'´')&gt;0 OR INSTR(CAST(X.ANNL_TRNVR_LE AS STRING),'{')&gt;0 OR INSTR(CAST(X.ANNL_TRNVR_LE AS STRING),'}')&gt;0 OR INSTR(CAST(X.ANNL_TRNVR_LE AS STRING),'[')&gt;0 OR INSTR(CAST(X.ANNL_TRNVR_LE AS STRING),'')&gt;0 OR INSTR(CAST(X.ANNL_TRNVR_LE AS STRING),']')&gt;0 OR INSTR(CAST(X.ANNL_TRNVR_LE AS STRING),'?')&gt;0 OR INSTR(CAST(X.ANNL_TRNVR_LE AS STRING),'!')&gt;0 OR INSTR(CAST(X.ANNL_TRNVR_LE AS STRING),'$')&gt;0 OR INSTR(CAST(X.ANNL_TRNVR_LE AS STRING),'%')&gt;0 OR INSTR(CAST(X.ANNL_TRNVR_LE AS STRING),'&amp;')&gt;0 OR INSTR(CAST(X.ANNL_TRNVR_LE AS STRING),'+')&gt;0,1,0)) AS NUM_REG_DIF,'10' AS ID_EXEC, CURRENT_TIMESTAMP() AS TIME_EXEC FROM (SELECT entty_id, ANNL_TRNVR_LE FROM BU_LOANTAPE_WORK.LT003_ENTITY WHERE ref_date='${ref_date}' AND nome_perimetro='Individual Corporativo' AND segmento='ESTR' AND ambito='PILAR3')X</v>
      </c>
      <c r="N254" s="45" t="s">
        <v>13</v>
      </c>
    </row>
    <row r="255" spans="2:14">
      <c r="B255" s="41" t="s">
        <v>23</v>
      </c>
      <c r="C255" s="41" t="s">
        <v>76</v>
      </c>
      <c r="D255" s="41" t="str">
        <f>+UPPER('0. Instruções'!$D$33&amp;"."&amp;VLOOKUP(B255,'0. Instruções'!$C$27:$D$31,2,FALSE))</f>
        <v>BU_LOANTAPE_WORK.LT003_ENTITY</v>
      </c>
      <c r="E255" s="41" t="str">
        <f>+UPPER('0. Instruções'!$D$34&amp;"."&amp;VLOOKUP(B255,'0. Instruções'!$C$27:$E$31,3,FALSE))</f>
        <v>BU_LOANTAPE_WORK.LT003_ENTTY_P3_NOV24</v>
      </c>
      <c r="F255" s="41" t="s">
        <v>187</v>
      </c>
      <c r="G255" s="41" t="s">
        <v>13</v>
      </c>
      <c r="H255" s="41"/>
      <c r="I255" s="41" t="str">
        <f>"(SELECT "&amp;VLOOKUP(B255,'0. Instruções'!$C$27:$G$31,4,FALSE)&amp;", "&amp;F255&amp;" FROM "&amp;D255&amp;" WHERE "&amp;'0. Instruções'!$D$40&amp;")X"</f>
        <v>(SELECT entty_id, EQTY FROM BU_LOANTAPE_WORK.LT003_ENTITY WHERE ref_date='${ref_date}' AND nome_perimetro='Individual Corporativo' AND segmento='ESTR' AND ambito='PILAR3')X</v>
      </c>
      <c r="J255" s="41" t="str">
        <f>"(SELECT "&amp;VLOOKUP(B255,'0. Instruções'!$C$27:$G$31,4,FALSE)&amp;" AS "&amp;VLOOKUP(B255,'0. Instruções'!$C$27:$G$31,4,FALSE)&amp;"_SIMUL, "&amp;F255&amp;" AS "&amp;F255&amp;"_SIMUL FROM "&amp;E255&amp;")Y"</f>
        <v>(SELECT entty_id AS entty_id_SIMUL, EQTY AS EQTY_SIMUL FROM BU_LOANTAPE_WORK.LT003_ENTTY_P3_NOV24)Y</v>
      </c>
      <c r="K255" s="42" t="str">
        <f>+UPPER("ON X."&amp;VLOOKUP(B255,'0. Instruções'!$C$27:$G$31,4,FALSE)&amp;"=Y."&amp;VLOOKUP(B255,'0. Instruções'!$C$27:$G$31,4,FALSE)&amp;"_SIMUL")</f>
        <v>ON X.ENTTY_ID=Y.ENTTY_ID_SIMUL</v>
      </c>
      <c r="L255" s="42" t="str">
        <f>+IF(C255="Coerência", +IF(LEFT(G255,5)="FLOAT","SELECT '"&amp;UPPER(B255)&amp;"' AS TABELA, '"&amp;UPPER(C255)&amp;"' AS TIPOLOGIA_TESTE,'"&amp;D255&amp;"' AS TABELA_LT,'"&amp;E255&amp;"' AS TABELA_SIMUL,'"&amp;F255&amp;"' AS CAMPO, "&amp;"'${ref_date}' AS REF_DATE, COUNT(*) AS NUM_REG, SUM(IF((ABS(COALESCE(X."&amp;F255&amp;",0)-COALESCE(Y."&amp;F255&amp;"_SIMUL,0))&gt;0.0000000001) OR (X."&amp;F255&amp;" IS NULL AND Y."&amp;F255&amp;"_SIMUL IS NOT NULL ) OR (X."&amp;F255&amp;" IS NOT NULL AND Y."&amp;F255&amp;"_SIMUL IS NULL),1,0)) AS NUM_REG_DIF,'"&amp;MAX('ID1&amp;5'!K:K)+1&amp;"' AS ID_EXEC, CURRENT_TIMESTAMP() AS TIME_EXEC FROM "&amp;I255&amp;" INNER JOIN "&amp;J255&amp;" "&amp;K255,"SELECT '"&amp;UPPER(B255)&amp;"' AS TABELA, '"&amp;UPPER(C255)&amp;"' AS TIPOLOGIA_TESTE,'"&amp;D255&amp;"' AS TABELA_LT,'"&amp;E255&amp;"' AS TABELA_SIMUL,'"&amp;F255&amp;"' AS CAMPO, "&amp;"'${ref_date}' AS REF_DATE, COUNT(*) AS NUM_REG, SUM(IF(COALESCE(CAST(X."&amp;F255&amp;" AS STRING),'')&lt;&gt;COALESCE(CAST(Y."&amp;F255&amp;"_SIMUL AS STRING),''),1,0)) AS NUM_REG_DIF,'"&amp;MAX('ID1&amp;5'!L:L)+1&amp;"' AS ID_EXEC, CURRENT_TIMESTAMP() AS TIME_EXEC FROM "&amp;I255&amp;" INNER JOIN "&amp;J255&amp;" "&amp;K255),
IF(C255="Validade",+IF(G255="Code List","SELECT '"&amp;UPPER(B255)&amp;"' AS TABELA, '"&amp;UPPER(C255)&amp;"' AS TIPOLOGIA_TESTE,'"&amp;D255&amp;"' AS TABELA_LT,'N/A' AS TABELA_SIMUL,'"&amp;F255&amp;"' AS CAMPO, "&amp;"'${ref_date}' AS REF_DATE, COUNT(*) AS NUM_REG, SUM(IF(TRIM(CAST(X."&amp;F255&amp;" AS STRING))='' OR TRIM(CAST(X."&amp;F255&amp;" AS STRING)) IS NULL OR CAST(X."&amp;F255&amp;" AS STRING) NOT "&amp;H255&amp;",1,0)) AS NUM_REG_DIF,'"&amp;MAX('ID1&amp;5'!K:K)+1&amp;"' AS ID_EXEC, CURRENT_TIMESTAMP() AS TIME_EXEC FROM "&amp;I255,"SELECT '"&amp;UPPER(B255)&amp;"' AS TABELA, '"&amp;UPPER(C255)&amp;"' AS TIPOLOGIA_TESTE,'"&amp;D255&amp;"' AS TABELA_LT,'N/A' AS TABELA_SIMUL,'"&amp;F255&amp;"' AS CAMPO, "&amp;"'${ref_date}' AS REF_DATE, COUNT(*) AS NUM_REG, SUM(IF(TRIM(CAST(X."&amp;F255&amp;" AS STRING))='' OR TRIM(CAST(X."&amp;F255&amp;" AS STRING)) IS NULL,1,0)) AS NUM_REG_DIF,'"&amp;MAX('ID1&amp;5'!K:K)+1&amp;"' AS ID_EXEC, CURRENT_TIMESTAMP() AS TIME_EXEC FROM "&amp;I255),
IF(C255="Caracteres Especiais",+"SELECT '"&amp;UPPER(B255)&amp;"' AS TABELA, '"&amp;UPPER(C255)&amp;"' AS TIPOLOGIA_TESTE,'"&amp;D255&amp;"' AS TABELA_LT,'N/A' AS TABELA_SIMUL,'"&amp;F255&amp;"' AS CAMPO, "&amp;"'${ref_date}' AS REF_DATE, COUNT(*) AS NUM_REG, SUM(IF(INSTR(CAST(X."&amp;F255&amp;" AS STRING),'#')&gt;0 OR INSTR(CAST(X."&amp;F255&amp;" AS STRING),'*')&gt;0 OR INSTR(CAST(X."&amp;F255&amp;" AS STRING),'`')&gt;0 OR INSTR(CAST(X."&amp;F255&amp;" AS STRING),'´')&gt;0 OR INSTR(CAST(X."&amp;F255&amp;" AS STRING),'{')&gt;0 OR INSTR(CAST(X."&amp;F255&amp;" AS STRING),'}')&gt;0 OR INSTR(CAST(X."&amp;F255&amp;" AS STRING),'[')&gt;0 OR INSTR(CAST(X."&amp;F255&amp;" AS STRING),'')&gt;0 OR INSTR(CAST(X."&amp;F255&amp;" AS STRING),']')&gt;0 OR INSTR(CAST(X."&amp;F255&amp;" AS STRING),'?')&gt;0 OR INSTR(CAST(X."&amp;F255&amp;" AS STRING),'!')&gt;0 OR INSTR(CAST(X."&amp;F255&amp;" AS STRING),'$')&gt;0 OR INSTR(CAST(X."&amp;F255&amp;" AS STRING),'%')&gt;0 OR INSTR(CAST(X."&amp;F255&amp;" AS STRING),'&amp;')&gt;0 OR INSTR(CAST(X."&amp;F255&amp;" AS STRING),'+')&gt;0,1,0)) AS NUM_REG_DIF,'"&amp;MAX('ID1&amp;5'!K:K)+1&amp;"' AS ID_EXEC, CURRENT_TIMESTAMP() AS TIME_EXEC FROM "&amp;I255,
IF(C255="Missings",+"SELECT '"&amp;UPPER(B255)&amp;"' AS TABELA, '"&amp;UPPER(C255)&amp;"' AS TIPOLOGIA_TESTE,'"&amp;D255&amp;"' AS TABELA_LT,'N/A' AS TABELA_SIMUL,'"&amp;F255&amp;"' AS CAMPO, "&amp;"'${ref_date}' AS REF_DATE, COUNT(*) AS NUM_REG, SUM(IF(TRIM(CAST(X."&amp;F255&amp;" AS STRING)) IN ('0000-00-00','0001-01-01','9999-12-31','MISS','00000','99999999999','99999999999.00','99999999999.000000'),1,0)) AS NUM_REG_DIF,'"&amp;MAX('ID1&amp;5'!K:K)+1&amp;"' AS ID_EXEC, CURRENT_TIMESTAMP() AS TIME_EXEC FROM "&amp;I255,
IF(C255="Not applicable",+"SELECT '"&amp;UPPER(B255)&amp;"' AS TABELA, '"&amp;UPPER(C255)&amp;"' AS TIPOLOGIA_TESTE,'"&amp;D255&amp;"' AS TABELA_LT,'N/A' AS TABELA_SIMUL,'"&amp;F255&amp;"' AS CAMPO, "&amp;"'${ref_date}' AS REF_DATE, COUNT(*) AS NUM_REG, SUM(IF(TRIM(CAST(X."&amp;F255&amp;" AS STRING)) IN ('N/A','11111111111','11111111111.00','11111111111.000000','1111-11-11'),1,0)) AS NUM_REG_DIF,'"&amp;MAX('ID1&amp;5'!K:K)+1&amp;"' AS ID_EXEC, CURRENT_TIMESTAMP() AS TIME_EXEC FROM "&amp;I255,
IF(C255="Valores extremos",+"SELECT '"&amp;UPPER(B255)&amp;"' AS TABELA, '"&amp;UPPER(C255)&amp;"' AS TIPOLOGIA_TESTE,'"&amp;D255&amp;"' AS TABELA_LT,'N/A' AS TABELA_SIMUL,'"&amp;F255&amp;"' AS CAMPO, "&amp;"'${ref_date}' AS REF_DATE, CAST(MIN("&amp;F255&amp;") AS STRING) AS VALOR_MIN, CAST(MAX("&amp;F255&amp;") AS STRING) AS VALOR_MAX,'"&amp;MAX('ID1&amp;5'!K:K)+1&amp;"' AS ID_EXEC, CURRENT_TIMESTAMP() AS TIME_EXEC FROM "&amp;MID(I255,1,LEN(I255)-2)&amp;" AND CAST("&amp;F255&amp;"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TABELA_SIMUL,'EQTY' AS CAMPO, '${ref_date}' AS REF_DATE, COUNT(*) AS NUM_REG, SUM(IF(INSTR(CAST(X.EQTY AS STRING),'#')&gt;0 OR INSTR(CAST(X.EQTY AS STRING),'*')&gt;0 OR INSTR(CAST(X.EQTY AS STRING),'`')&gt;0 OR INSTR(CAST(X.EQTY AS STRING),'´')&gt;0 OR INSTR(CAST(X.EQTY AS STRING),'{')&gt;0 OR INSTR(CAST(X.EQTY AS STRING),'}')&gt;0 OR INSTR(CAST(X.EQTY AS STRING),'[')&gt;0 OR INSTR(CAST(X.EQTY AS STRING),'')&gt;0 OR INSTR(CAST(X.EQTY AS STRING),']')&gt;0 OR INSTR(CAST(X.EQTY AS STRING),'?')&gt;0 OR INSTR(CAST(X.EQTY AS STRING),'!')&gt;0 OR INSTR(CAST(X.EQTY AS STRING),'$')&gt;0 OR INSTR(CAST(X.EQTY AS STRING),'%')&gt;0 OR INSTR(CAST(X.EQTY AS STRING),'&amp;')&gt;0 OR INSTR(CAST(X.EQTY AS STRING),'+')&gt;0,1,0)) AS NUM_REG_DIF,'10' AS ID_EXEC, CURRENT_TIMESTAMP() AS TIME_EXEC FROM (SELECT entty_id, EQTY FROM BU_LOANTAPE_WORK.LT003_ENTITY WHERE ref_date='${ref_date}' AND nome_perimetro='Individual Corporativo' AND segmento='ESTR' AND ambito='PILAR3')X</v>
      </c>
      <c r="M255" s="43" t="str">
        <f t="shared" si="4"/>
        <v>UNION ALL SELECT 'ENTITY' AS TABELA, 'CARACTERES ESPECIAIS' AS TIPOLOGIA_TESTE,'BU_LOANTAPE_WORK.LT003_ENTITY' AS TABELA_LT,'N/A' AS TABELA_SIMUL,'EQTY' AS CAMPO, '${ref_date}' AS REF_DATE, COUNT(*) AS NUM_REG, SUM(IF(INSTR(CAST(X.EQTY AS STRING),'#')&gt;0 OR INSTR(CAST(X.EQTY AS STRING),'*')&gt;0 OR INSTR(CAST(X.EQTY AS STRING),'`')&gt;0 OR INSTR(CAST(X.EQTY AS STRING),'´')&gt;0 OR INSTR(CAST(X.EQTY AS STRING),'{')&gt;0 OR INSTR(CAST(X.EQTY AS STRING),'}')&gt;0 OR INSTR(CAST(X.EQTY AS STRING),'[')&gt;0 OR INSTR(CAST(X.EQTY AS STRING),'')&gt;0 OR INSTR(CAST(X.EQTY AS STRING),']')&gt;0 OR INSTR(CAST(X.EQTY AS STRING),'?')&gt;0 OR INSTR(CAST(X.EQTY AS STRING),'!')&gt;0 OR INSTR(CAST(X.EQTY AS STRING),'$')&gt;0 OR INSTR(CAST(X.EQTY AS STRING),'%')&gt;0 OR INSTR(CAST(X.EQTY AS STRING),'&amp;')&gt;0 OR INSTR(CAST(X.EQTY AS STRING),'+')&gt;0,1,0)) AS NUM_REG_DIF,'10' AS ID_EXEC, CURRENT_TIMESTAMP() AS TIME_EXEC FROM (SELECT entty_id, EQTY FROM BU_LOANTAPE_WORK.LT003_ENTITY WHERE ref_date='${ref_date}' AND nome_perimetro='Individual Corporativo' AND segmento='ESTR' AND ambito='PILAR3')X</v>
      </c>
      <c r="N255" s="45" t="s">
        <v>13</v>
      </c>
    </row>
    <row r="256" spans="2:14">
      <c r="B256" s="41" t="s">
        <v>23</v>
      </c>
      <c r="C256" s="41" t="s">
        <v>76</v>
      </c>
      <c r="D256" s="41" t="str">
        <f>+UPPER('0. Instruções'!$D$33&amp;"."&amp;VLOOKUP(B256,'0. Instruções'!$C$27:$D$31,2,FALSE))</f>
        <v>BU_LOANTAPE_WORK.LT003_ENTITY</v>
      </c>
      <c r="E256" s="41" t="str">
        <f>+UPPER('0. Instruções'!$D$34&amp;"."&amp;VLOOKUP(B256,'0. Instruções'!$C$27:$E$31,3,FALSE))</f>
        <v>BU_LOANTAPE_WORK.LT003_ENTTY_P3_NOV24</v>
      </c>
      <c r="F256" s="41" t="s">
        <v>188</v>
      </c>
      <c r="G256" s="41" t="s">
        <v>13</v>
      </c>
      <c r="H256" s="41"/>
      <c r="I256" s="41" t="str">
        <f>"(SELECT "&amp;VLOOKUP(B256,'0. Instruções'!$C$27:$G$31,4,FALSE)&amp;", "&amp;F256&amp;" FROM "&amp;D256&amp;" WHERE "&amp;'0. Instruções'!$D$40&amp;")X"</f>
        <v>(SELECT entty_id, GRP_TTL_DBT FROM BU_LOANTAPE_WORK.LT003_ENTITY WHERE ref_date='${ref_date}' AND nome_perimetro='Individual Corporativo' AND segmento='ESTR' AND ambito='PILAR3')X</v>
      </c>
      <c r="J256" s="41" t="str">
        <f>"(SELECT "&amp;VLOOKUP(B256,'0. Instruções'!$C$27:$G$31,4,FALSE)&amp;" AS "&amp;VLOOKUP(B256,'0. Instruções'!$C$27:$G$31,4,FALSE)&amp;"_SIMUL, "&amp;F256&amp;" AS "&amp;F256&amp;"_SIMUL FROM "&amp;E256&amp;")Y"</f>
        <v>(SELECT entty_id AS entty_id_SIMUL, GRP_TTL_DBT AS GRP_TTL_DBT_SIMUL FROM BU_LOANTAPE_WORK.LT003_ENTTY_P3_NOV24)Y</v>
      </c>
      <c r="K256" s="42" t="str">
        <f>+UPPER("ON X."&amp;VLOOKUP(B256,'0. Instruções'!$C$27:$G$31,4,FALSE)&amp;"=Y."&amp;VLOOKUP(B256,'0. Instruções'!$C$27:$G$31,4,FALSE)&amp;"_SIMUL")</f>
        <v>ON X.ENTTY_ID=Y.ENTTY_ID_SIMUL</v>
      </c>
      <c r="L256" s="42" t="str">
        <f>+IF(C256="Coerência", +IF(LEFT(G256,5)="FLOAT","SELECT '"&amp;UPPER(B256)&amp;"' AS TABELA, '"&amp;UPPER(C256)&amp;"' AS TIPOLOGIA_TESTE,'"&amp;D256&amp;"' AS TABELA_LT,'"&amp;E256&amp;"' AS TABELA_SIMUL,'"&amp;F256&amp;"' AS CAMPO, "&amp;"'${ref_date}' AS REF_DATE, COUNT(*) AS NUM_REG, SUM(IF((ABS(COALESCE(X."&amp;F256&amp;",0)-COALESCE(Y."&amp;F256&amp;"_SIMUL,0))&gt;0.0000000001) OR (X."&amp;F256&amp;" IS NULL AND Y."&amp;F256&amp;"_SIMUL IS NOT NULL ) OR (X."&amp;F256&amp;" IS NOT NULL AND Y."&amp;F256&amp;"_SIMUL IS NULL),1,0)) AS NUM_REG_DIF,'"&amp;MAX('ID1&amp;5'!K:K)+1&amp;"' AS ID_EXEC, CURRENT_TIMESTAMP() AS TIME_EXEC FROM "&amp;I256&amp;" INNER JOIN "&amp;J256&amp;" "&amp;K256,"SELECT '"&amp;UPPER(B256)&amp;"' AS TABELA, '"&amp;UPPER(C256)&amp;"' AS TIPOLOGIA_TESTE,'"&amp;D256&amp;"' AS TABELA_LT,'"&amp;E256&amp;"' AS TABELA_SIMUL,'"&amp;F256&amp;"' AS CAMPO, "&amp;"'${ref_date}' AS REF_DATE, COUNT(*) AS NUM_REG, SUM(IF(COALESCE(CAST(X."&amp;F256&amp;" AS STRING),'')&lt;&gt;COALESCE(CAST(Y."&amp;F256&amp;"_SIMUL AS STRING),''),1,0)) AS NUM_REG_DIF,'"&amp;MAX('ID1&amp;5'!L:L)+1&amp;"' AS ID_EXEC, CURRENT_TIMESTAMP() AS TIME_EXEC FROM "&amp;I256&amp;" INNER JOIN "&amp;J256&amp;" "&amp;K256),
IF(C256="Validade",+IF(G256="Code List","SELECT '"&amp;UPPER(B256)&amp;"' AS TABELA, '"&amp;UPPER(C256)&amp;"' AS TIPOLOGIA_TESTE,'"&amp;D256&amp;"' AS TABELA_LT,'N/A' AS TABELA_SIMUL,'"&amp;F256&amp;"' AS CAMPO, "&amp;"'${ref_date}' AS REF_DATE, COUNT(*) AS NUM_REG, SUM(IF(TRIM(CAST(X."&amp;F256&amp;" AS STRING))='' OR TRIM(CAST(X."&amp;F256&amp;" AS STRING)) IS NULL OR CAST(X."&amp;F256&amp;" AS STRING) NOT "&amp;H256&amp;",1,0)) AS NUM_REG_DIF,'"&amp;MAX('ID1&amp;5'!K:K)+1&amp;"' AS ID_EXEC, CURRENT_TIMESTAMP() AS TIME_EXEC FROM "&amp;I256,"SELECT '"&amp;UPPER(B256)&amp;"' AS TABELA, '"&amp;UPPER(C256)&amp;"' AS TIPOLOGIA_TESTE,'"&amp;D256&amp;"' AS TABELA_LT,'N/A' AS TABELA_SIMUL,'"&amp;F256&amp;"' AS CAMPO, "&amp;"'${ref_date}' AS REF_DATE, COUNT(*) AS NUM_REG, SUM(IF(TRIM(CAST(X."&amp;F256&amp;" AS STRING))='' OR TRIM(CAST(X."&amp;F256&amp;" AS STRING)) IS NULL,1,0)) AS NUM_REG_DIF,'"&amp;MAX('ID1&amp;5'!K:K)+1&amp;"' AS ID_EXEC, CURRENT_TIMESTAMP() AS TIME_EXEC FROM "&amp;I256),
IF(C256="Caracteres Especiais",+"SELECT '"&amp;UPPER(B256)&amp;"' AS TABELA, '"&amp;UPPER(C256)&amp;"' AS TIPOLOGIA_TESTE,'"&amp;D256&amp;"' AS TABELA_LT,'N/A' AS TABELA_SIMUL,'"&amp;F256&amp;"' AS CAMPO, "&amp;"'${ref_date}' AS REF_DATE, COUNT(*) AS NUM_REG, SUM(IF(INSTR(CAST(X."&amp;F256&amp;" AS STRING),'#')&gt;0 OR INSTR(CAST(X."&amp;F256&amp;" AS STRING),'*')&gt;0 OR INSTR(CAST(X."&amp;F256&amp;" AS STRING),'`')&gt;0 OR INSTR(CAST(X."&amp;F256&amp;" AS STRING),'´')&gt;0 OR INSTR(CAST(X."&amp;F256&amp;" AS STRING),'{')&gt;0 OR INSTR(CAST(X."&amp;F256&amp;" AS STRING),'}')&gt;0 OR INSTR(CAST(X."&amp;F256&amp;" AS STRING),'[')&gt;0 OR INSTR(CAST(X."&amp;F256&amp;" AS STRING),'')&gt;0 OR INSTR(CAST(X."&amp;F256&amp;" AS STRING),']')&gt;0 OR INSTR(CAST(X."&amp;F256&amp;" AS STRING),'?')&gt;0 OR INSTR(CAST(X."&amp;F256&amp;" AS STRING),'!')&gt;0 OR INSTR(CAST(X."&amp;F256&amp;" AS STRING),'$')&gt;0 OR INSTR(CAST(X."&amp;F256&amp;" AS STRING),'%')&gt;0 OR INSTR(CAST(X."&amp;F256&amp;" AS STRING),'&amp;')&gt;0 OR INSTR(CAST(X."&amp;F256&amp;" AS STRING),'+')&gt;0,1,0)) AS NUM_REG_DIF,'"&amp;MAX('ID1&amp;5'!K:K)+1&amp;"' AS ID_EXEC, CURRENT_TIMESTAMP() AS TIME_EXEC FROM "&amp;I256,
IF(C256="Missings",+"SELECT '"&amp;UPPER(B256)&amp;"' AS TABELA, '"&amp;UPPER(C256)&amp;"' AS TIPOLOGIA_TESTE,'"&amp;D256&amp;"' AS TABELA_LT,'N/A' AS TABELA_SIMUL,'"&amp;F256&amp;"' AS CAMPO, "&amp;"'${ref_date}' AS REF_DATE, COUNT(*) AS NUM_REG, SUM(IF(TRIM(CAST(X."&amp;F256&amp;" AS STRING)) IN ('0000-00-00','0001-01-01','9999-12-31','MISS','00000','99999999999','99999999999.00','99999999999.000000'),1,0)) AS NUM_REG_DIF,'"&amp;MAX('ID1&amp;5'!K:K)+1&amp;"' AS ID_EXEC, CURRENT_TIMESTAMP() AS TIME_EXEC FROM "&amp;I256,
IF(C256="Not applicable",+"SELECT '"&amp;UPPER(B256)&amp;"' AS TABELA, '"&amp;UPPER(C256)&amp;"' AS TIPOLOGIA_TESTE,'"&amp;D256&amp;"' AS TABELA_LT,'N/A' AS TABELA_SIMUL,'"&amp;F256&amp;"' AS CAMPO, "&amp;"'${ref_date}' AS REF_DATE, COUNT(*) AS NUM_REG, SUM(IF(TRIM(CAST(X."&amp;F256&amp;" AS STRING)) IN ('N/A','11111111111','11111111111.00','11111111111.000000','1111-11-11'),1,0)) AS NUM_REG_DIF,'"&amp;MAX('ID1&amp;5'!K:K)+1&amp;"' AS ID_EXEC, CURRENT_TIMESTAMP() AS TIME_EXEC FROM "&amp;I256,
IF(C256="Valores extremos",+"SELECT '"&amp;UPPER(B256)&amp;"' AS TABELA, '"&amp;UPPER(C256)&amp;"' AS TIPOLOGIA_TESTE,'"&amp;D256&amp;"' AS TABELA_LT,'N/A' AS TABELA_SIMUL,'"&amp;F256&amp;"' AS CAMPO, "&amp;"'${ref_date}' AS REF_DATE, CAST(MIN("&amp;F256&amp;") AS STRING) AS VALOR_MIN, CAST(MAX("&amp;F256&amp;") AS STRING) AS VALOR_MAX,'"&amp;MAX('ID1&amp;5'!K:K)+1&amp;"' AS ID_EXEC, CURRENT_TIMESTAMP() AS TIME_EXEC FROM "&amp;MID(I256,1,LEN(I256)-2)&amp;" AND CAST("&amp;F256&amp;"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TABELA_SIMUL,'GRP_TTL_DBT' AS CAMPO, '${ref_date}' AS REF_DATE, COUNT(*) AS NUM_REG, SUM(IF(INSTR(CAST(X.GRP_TTL_DBT AS STRING),'#')&gt;0 OR INSTR(CAST(X.GRP_TTL_DBT AS STRING),'*')&gt;0 OR INSTR(CAST(X.GRP_TTL_DBT AS STRING),'`')&gt;0 OR INSTR(CAST(X.GRP_TTL_DBT AS STRING),'´')&gt;0 OR INSTR(CAST(X.GRP_TTL_DBT AS STRING),'{')&gt;0 OR INSTR(CAST(X.GRP_TTL_DBT AS STRING),'}')&gt;0 OR INSTR(CAST(X.GRP_TTL_DBT AS STRING),'[')&gt;0 OR INSTR(CAST(X.GRP_TTL_DBT AS STRING),'')&gt;0 OR INSTR(CAST(X.GRP_TTL_DBT AS STRING),']')&gt;0 OR INSTR(CAST(X.GRP_TTL_DBT AS STRING),'?')&gt;0 OR INSTR(CAST(X.GRP_TTL_DBT AS STRING),'!')&gt;0 OR INSTR(CAST(X.GRP_TTL_DBT AS STRING),'$')&gt;0 OR INSTR(CAST(X.GRP_TTL_DBT AS STRING),'%')&gt;0 OR INSTR(CAST(X.GRP_TTL_DBT AS STRING),'&amp;')&gt;0 OR INSTR(CAST(X.GRP_TTL_DBT AS STRING),'+')&gt;0,1,0)) AS NUM_REG_DIF,'10' AS ID_EXEC, CURRENT_TIMESTAMP() AS TIME_EXEC FROM (SELECT entty_id, GRP_TTL_DBT FROM BU_LOANTAPE_WORK.LT003_ENTITY WHERE ref_date='${ref_date}' AND nome_perimetro='Individual Corporativo' AND segmento='ESTR' AND ambito='PILAR3')X</v>
      </c>
      <c r="M256" s="43" t="str">
        <f t="shared" si="4"/>
        <v>UNION ALL SELECT 'ENTITY' AS TABELA, 'CARACTERES ESPECIAIS' AS TIPOLOGIA_TESTE,'BU_LOANTAPE_WORK.LT003_ENTITY' AS TABELA_LT,'N/A' AS TABELA_SIMUL,'GRP_TTL_DBT' AS CAMPO, '${ref_date}' AS REF_DATE, COUNT(*) AS NUM_REG, SUM(IF(INSTR(CAST(X.GRP_TTL_DBT AS STRING),'#')&gt;0 OR INSTR(CAST(X.GRP_TTL_DBT AS STRING),'*')&gt;0 OR INSTR(CAST(X.GRP_TTL_DBT AS STRING),'`')&gt;0 OR INSTR(CAST(X.GRP_TTL_DBT AS STRING),'´')&gt;0 OR INSTR(CAST(X.GRP_TTL_DBT AS STRING),'{')&gt;0 OR INSTR(CAST(X.GRP_TTL_DBT AS STRING),'}')&gt;0 OR INSTR(CAST(X.GRP_TTL_DBT AS STRING),'[')&gt;0 OR INSTR(CAST(X.GRP_TTL_DBT AS STRING),'')&gt;0 OR INSTR(CAST(X.GRP_TTL_DBT AS STRING),']')&gt;0 OR INSTR(CAST(X.GRP_TTL_DBT AS STRING),'?')&gt;0 OR INSTR(CAST(X.GRP_TTL_DBT AS STRING),'!')&gt;0 OR INSTR(CAST(X.GRP_TTL_DBT AS STRING),'$')&gt;0 OR INSTR(CAST(X.GRP_TTL_DBT AS STRING),'%')&gt;0 OR INSTR(CAST(X.GRP_TTL_DBT AS STRING),'&amp;')&gt;0 OR INSTR(CAST(X.GRP_TTL_DBT AS STRING),'+')&gt;0,1,0)) AS NUM_REG_DIF,'10' AS ID_EXEC, CURRENT_TIMESTAMP() AS TIME_EXEC FROM (SELECT entty_id, GRP_TTL_DBT FROM BU_LOANTAPE_WORK.LT003_ENTITY WHERE ref_date='${ref_date}' AND nome_perimetro='Individual Corporativo' AND segmento='ESTR' AND ambito='PILAR3')X</v>
      </c>
      <c r="N256" s="45" t="s">
        <v>13</v>
      </c>
    </row>
    <row r="257" spans="2:14">
      <c r="B257" s="41" t="s">
        <v>23</v>
      </c>
      <c r="C257" s="41" t="s">
        <v>76</v>
      </c>
      <c r="D257" s="41" t="str">
        <f>+UPPER('0. Instruções'!$D$33&amp;"."&amp;VLOOKUP(B257,'0. Instruções'!$C$27:$D$31,2,FALSE))</f>
        <v>BU_LOANTAPE_WORK.LT003_ENTITY</v>
      </c>
      <c r="E257" s="41" t="str">
        <f>+UPPER('0. Instruções'!$D$34&amp;"."&amp;VLOOKUP(B257,'0. Instruções'!$C$27:$E$31,3,FALSE))</f>
        <v>BU_LOANTAPE_WORK.LT003_ENTTY_P3_NOV24</v>
      </c>
      <c r="F257" s="41" t="s">
        <v>189</v>
      </c>
      <c r="G257" s="41" t="s">
        <v>13</v>
      </c>
      <c r="H257" s="41"/>
      <c r="I257" s="41" t="str">
        <f>"(SELECT "&amp;VLOOKUP(B257,'0. Instruções'!$C$27:$G$31,4,FALSE)&amp;", "&amp;F257&amp;" FROM "&amp;D257&amp;" WHERE "&amp;'0. Instruções'!$D$40&amp;")X"</f>
        <v>(SELECT entty_id, TTL_DBT FROM BU_LOANTAPE_WORK.LT003_ENTITY WHERE ref_date='${ref_date}' AND nome_perimetro='Individual Corporativo' AND segmento='ESTR' AND ambito='PILAR3')X</v>
      </c>
      <c r="J257" s="41" t="str">
        <f>"(SELECT "&amp;VLOOKUP(B257,'0. Instruções'!$C$27:$G$31,4,FALSE)&amp;" AS "&amp;VLOOKUP(B257,'0. Instruções'!$C$27:$G$31,4,FALSE)&amp;"_SIMUL, "&amp;F257&amp;" AS "&amp;F257&amp;"_SIMUL FROM "&amp;E257&amp;")Y"</f>
        <v>(SELECT entty_id AS entty_id_SIMUL, TTL_DBT AS TTL_DBT_SIMUL FROM BU_LOANTAPE_WORK.LT003_ENTTY_P3_NOV24)Y</v>
      </c>
      <c r="K257" s="42" t="str">
        <f>+UPPER("ON X."&amp;VLOOKUP(B257,'0. Instruções'!$C$27:$G$31,4,FALSE)&amp;"=Y."&amp;VLOOKUP(B257,'0. Instruções'!$C$27:$G$31,4,FALSE)&amp;"_SIMUL")</f>
        <v>ON X.ENTTY_ID=Y.ENTTY_ID_SIMUL</v>
      </c>
      <c r="L257" s="42" t="str">
        <f>+IF(C257="Coerência", +IF(LEFT(G257,5)="FLOAT","SELECT '"&amp;UPPER(B257)&amp;"' AS TABELA, '"&amp;UPPER(C257)&amp;"' AS TIPOLOGIA_TESTE,'"&amp;D257&amp;"' AS TABELA_LT,'"&amp;E257&amp;"' AS TABELA_SIMUL,'"&amp;F257&amp;"' AS CAMPO, "&amp;"'${ref_date}' AS REF_DATE, COUNT(*) AS NUM_REG, SUM(IF((ABS(COALESCE(X."&amp;F257&amp;",0)-COALESCE(Y."&amp;F257&amp;"_SIMUL,0))&gt;0.0000000001) OR (X."&amp;F257&amp;" IS NULL AND Y."&amp;F257&amp;"_SIMUL IS NOT NULL ) OR (X."&amp;F257&amp;" IS NOT NULL AND Y."&amp;F257&amp;"_SIMUL IS NULL),1,0)) AS NUM_REG_DIF,'"&amp;MAX('ID1&amp;5'!K:K)+1&amp;"' AS ID_EXEC, CURRENT_TIMESTAMP() AS TIME_EXEC FROM "&amp;I257&amp;" INNER JOIN "&amp;J257&amp;" "&amp;K257,"SELECT '"&amp;UPPER(B257)&amp;"' AS TABELA, '"&amp;UPPER(C257)&amp;"' AS TIPOLOGIA_TESTE,'"&amp;D257&amp;"' AS TABELA_LT,'"&amp;E257&amp;"' AS TABELA_SIMUL,'"&amp;F257&amp;"' AS CAMPO, "&amp;"'${ref_date}' AS REF_DATE, COUNT(*) AS NUM_REG, SUM(IF(COALESCE(CAST(X."&amp;F257&amp;" AS STRING),'')&lt;&gt;COALESCE(CAST(Y."&amp;F257&amp;"_SIMUL AS STRING),''),1,0)) AS NUM_REG_DIF,'"&amp;MAX('ID1&amp;5'!L:L)+1&amp;"' AS ID_EXEC, CURRENT_TIMESTAMP() AS TIME_EXEC FROM "&amp;I257&amp;" INNER JOIN "&amp;J257&amp;" "&amp;K257),
IF(C257="Validade",+IF(G257="Code List","SELECT '"&amp;UPPER(B257)&amp;"' AS TABELA, '"&amp;UPPER(C257)&amp;"' AS TIPOLOGIA_TESTE,'"&amp;D257&amp;"' AS TABELA_LT,'N/A' AS TABELA_SIMUL,'"&amp;F257&amp;"' AS CAMPO, "&amp;"'${ref_date}' AS REF_DATE, COUNT(*) AS NUM_REG, SUM(IF(TRIM(CAST(X."&amp;F257&amp;" AS STRING))='' OR TRIM(CAST(X."&amp;F257&amp;" AS STRING)) IS NULL OR CAST(X."&amp;F257&amp;" AS STRING) NOT "&amp;H257&amp;",1,0)) AS NUM_REG_DIF,'"&amp;MAX('ID1&amp;5'!K:K)+1&amp;"' AS ID_EXEC, CURRENT_TIMESTAMP() AS TIME_EXEC FROM "&amp;I257,"SELECT '"&amp;UPPER(B257)&amp;"' AS TABELA, '"&amp;UPPER(C257)&amp;"' AS TIPOLOGIA_TESTE,'"&amp;D257&amp;"' AS TABELA_LT,'N/A' AS TABELA_SIMUL,'"&amp;F257&amp;"' AS CAMPO, "&amp;"'${ref_date}' AS REF_DATE, COUNT(*) AS NUM_REG, SUM(IF(TRIM(CAST(X."&amp;F257&amp;" AS STRING))='' OR TRIM(CAST(X."&amp;F257&amp;" AS STRING)) IS NULL,1,0)) AS NUM_REG_DIF,'"&amp;MAX('ID1&amp;5'!K:K)+1&amp;"' AS ID_EXEC, CURRENT_TIMESTAMP() AS TIME_EXEC FROM "&amp;I257),
IF(C257="Caracteres Especiais",+"SELECT '"&amp;UPPER(B257)&amp;"' AS TABELA, '"&amp;UPPER(C257)&amp;"' AS TIPOLOGIA_TESTE,'"&amp;D257&amp;"' AS TABELA_LT,'N/A' AS TABELA_SIMUL,'"&amp;F257&amp;"' AS CAMPO, "&amp;"'${ref_date}' AS REF_DATE, COUNT(*) AS NUM_REG, SUM(IF(INSTR(CAST(X."&amp;F257&amp;" AS STRING),'#')&gt;0 OR INSTR(CAST(X."&amp;F257&amp;" AS STRING),'*')&gt;0 OR INSTR(CAST(X."&amp;F257&amp;" AS STRING),'`')&gt;0 OR INSTR(CAST(X."&amp;F257&amp;" AS STRING),'´')&gt;0 OR INSTR(CAST(X."&amp;F257&amp;" AS STRING),'{')&gt;0 OR INSTR(CAST(X."&amp;F257&amp;" AS STRING),'}')&gt;0 OR INSTR(CAST(X."&amp;F257&amp;" AS STRING),'[')&gt;0 OR INSTR(CAST(X."&amp;F257&amp;" AS STRING),'')&gt;0 OR INSTR(CAST(X."&amp;F257&amp;" AS STRING),']')&gt;0 OR INSTR(CAST(X."&amp;F257&amp;" AS STRING),'?')&gt;0 OR INSTR(CAST(X."&amp;F257&amp;" AS STRING),'!')&gt;0 OR INSTR(CAST(X."&amp;F257&amp;" AS STRING),'$')&gt;0 OR INSTR(CAST(X."&amp;F257&amp;" AS STRING),'%')&gt;0 OR INSTR(CAST(X."&amp;F257&amp;" AS STRING),'&amp;')&gt;0 OR INSTR(CAST(X."&amp;F257&amp;" AS STRING),'+')&gt;0,1,0)) AS NUM_REG_DIF,'"&amp;MAX('ID1&amp;5'!K:K)+1&amp;"' AS ID_EXEC, CURRENT_TIMESTAMP() AS TIME_EXEC FROM "&amp;I257,
IF(C257="Missings",+"SELECT '"&amp;UPPER(B257)&amp;"' AS TABELA, '"&amp;UPPER(C257)&amp;"' AS TIPOLOGIA_TESTE,'"&amp;D257&amp;"' AS TABELA_LT,'N/A' AS TABELA_SIMUL,'"&amp;F257&amp;"' AS CAMPO, "&amp;"'${ref_date}' AS REF_DATE, COUNT(*) AS NUM_REG, SUM(IF(TRIM(CAST(X."&amp;F257&amp;" AS STRING)) IN ('0000-00-00','0001-01-01','9999-12-31','MISS','00000','99999999999','99999999999.00','99999999999.000000'),1,0)) AS NUM_REG_DIF,'"&amp;MAX('ID1&amp;5'!K:K)+1&amp;"' AS ID_EXEC, CURRENT_TIMESTAMP() AS TIME_EXEC FROM "&amp;I257,
IF(C257="Not applicable",+"SELECT '"&amp;UPPER(B257)&amp;"' AS TABELA, '"&amp;UPPER(C257)&amp;"' AS TIPOLOGIA_TESTE,'"&amp;D257&amp;"' AS TABELA_LT,'N/A' AS TABELA_SIMUL,'"&amp;F257&amp;"' AS CAMPO, "&amp;"'${ref_date}' AS REF_DATE, COUNT(*) AS NUM_REG, SUM(IF(TRIM(CAST(X."&amp;F257&amp;" AS STRING)) IN ('N/A','11111111111','11111111111.00','11111111111.000000','1111-11-11'),1,0)) AS NUM_REG_DIF,'"&amp;MAX('ID1&amp;5'!K:K)+1&amp;"' AS ID_EXEC, CURRENT_TIMESTAMP() AS TIME_EXEC FROM "&amp;I257,
IF(C257="Valores extremos",+"SELECT '"&amp;UPPER(B257)&amp;"' AS TABELA, '"&amp;UPPER(C257)&amp;"' AS TIPOLOGIA_TESTE,'"&amp;D257&amp;"' AS TABELA_LT,'N/A' AS TABELA_SIMUL,'"&amp;F257&amp;"' AS CAMPO, "&amp;"'${ref_date}' AS REF_DATE, CAST(MIN("&amp;F257&amp;") AS STRING) AS VALOR_MIN, CAST(MAX("&amp;F257&amp;") AS STRING) AS VALOR_MAX,'"&amp;MAX('ID1&amp;5'!K:K)+1&amp;"' AS ID_EXEC, CURRENT_TIMESTAMP() AS TIME_EXEC FROM "&amp;MID(I257,1,LEN(I257)-2)&amp;" AND CAST("&amp;F257&amp;"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TABELA_SIMUL,'TTL_DBT' AS CAMPO, '${ref_date}' AS REF_DATE, COUNT(*) AS NUM_REG, SUM(IF(INSTR(CAST(X.TTL_DBT AS STRING),'#')&gt;0 OR INSTR(CAST(X.TTL_DBT AS STRING),'*')&gt;0 OR INSTR(CAST(X.TTL_DBT AS STRING),'`')&gt;0 OR INSTR(CAST(X.TTL_DBT AS STRING),'´')&gt;0 OR INSTR(CAST(X.TTL_DBT AS STRING),'{')&gt;0 OR INSTR(CAST(X.TTL_DBT AS STRING),'}')&gt;0 OR INSTR(CAST(X.TTL_DBT AS STRING),'[')&gt;0 OR INSTR(CAST(X.TTL_DBT AS STRING),'')&gt;0 OR INSTR(CAST(X.TTL_DBT AS STRING),']')&gt;0 OR INSTR(CAST(X.TTL_DBT AS STRING),'?')&gt;0 OR INSTR(CAST(X.TTL_DBT AS STRING),'!')&gt;0 OR INSTR(CAST(X.TTL_DBT AS STRING),'$')&gt;0 OR INSTR(CAST(X.TTL_DBT AS STRING),'%')&gt;0 OR INSTR(CAST(X.TTL_DBT AS STRING),'&amp;')&gt;0 OR INSTR(CAST(X.TTL_DBT AS STRING),'+')&gt;0,1,0)) AS NUM_REG_DIF,'10' AS ID_EXEC, CURRENT_TIMESTAMP() AS TIME_EXEC FROM (SELECT entty_id, TTL_DBT FROM BU_LOANTAPE_WORK.LT003_ENTITY WHERE ref_date='${ref_date}' AND nome_perimetro='Individual Corporativo' AND segmento='ESTR' AND ambito='PILAR3')X</v>
      </c>
      <c r="M257" s="43" t="str">
        <f t="shared" si="4"/>
        <v>UNION ALL SELECT 'ENTITY' AS TABELA, 'CARACTERES ESPECIAIS' AS TIPOLOGIA_TESTE,'BU_LOANTAPE_WORK.LT003_ENTITY' AS TABELA_LT,'N/A' AS TABELA_SIMUL,'TTL_DBT' AS CAMPO, '${ref_date}' AS REF_DATE, COUNT(*) AS NUM_REG, SUM(IF(INSTR(CAST(X.TTL_DBT AS STRING),'#')&gt;0 OR INSTR(CAST(X.TTL_DBT AS STRING),'*')&gt;0 OR INSTR(CAST(X.TTL_DBT AS STRING),'`')&gt;0 OR INSTR(CAST(X.TTL_DBT AS STRING),'´')&gt;0 OR INSTR(CAST(X.TTL_DBT AS STRING),'{')&gt;0 OR INSTR(CAST(X.TTL_DBT AS STRING),'}')&gt;0 OR INSTR(CAST(X.TTL_DBT AS STRING),'[')&gt;0 OR INSTR(CAST(X.TTL_DBT AS STRING),'')&gt;0 OR INSTR(CAST(X.TTL_DBT AS STRING),']')&gt;0 OR INSTR(CAST(X.TTL_DBT AS STRING),'?')&gt;0 OR INSTR(CAST(X.TTL_DBT AS STRING),'!')&gt;0 OR INSTR(CAST(X.TTL_DBT AS STRING),'$')&gt;0 OR INSTR(CAST(X.TTL_DBT AS STRING),'%')&gt;0 OR INSTR(CAST(X.TTL_DBT AS STRING),'&amp;')&gt;0 OR INSTR(CAST(X.TTL_DBT AS STRING),'+')&gt;0,1,0)) AS NUM_REG_DIF,'10' AS ID_EXEC, CURRENT_TIMESTAMP() AS TIME_EXEC FROM (SELECT entty_id, TTL_DBT FROM BU_LOANTAPE_WORK.LT003_ENTITY WHERE ref_date='${ref_date}' AND nome_perimetro='Individual Corporativo' AND segmento='ESTR' AND ambito='PILAR3')X</v>
      </c>
      <c r="N257" s="45" t="s">
        <v>13</v>
      </c>
    </row>
    <row r="258" spans="2:14">
      <c r="B258" s="41" t="s">
        <v>23</v>
      </c>
      <c r="C258" s="41" t="s">
        <v>76</v>
      </c>
      <c r="D258" s="41" t="str">
        <f>+UPPER('0. Instruções'!$D$33&amp;"."&amp;VLOOKUP(B258,'0. Instruções'!$C$27:$D$31,2,FALSE))</f>
        <v>BU_LOANTAPE_WORK.LT003_ENTITY</v>
      </c>
      <c r="E258" s="41" t="str">
        <f>+UPPER('0. Instruções'!$D$34&amp;"."&amp;VLOOKUP(B258,'0. Instruções'!$C$27:$E$31,3,FALSE))</f>
        <v>BU_LOANTAPE_WORK.LT003_ENTTY_P3_NOV24</v>
      </c>
      <c r="F258" s="41" t="s">
        <v>173</v>
      </c>
      <c r="G258" s="41" t="s">
        <v>13</v>
      </c>
      <c r="H258" s="41"/>
      <c r="I258" s="41" t="str">
        <f>"(SELECT "&amp;VLOOKUP(B258,'0. Instruções'!$C$27:$G$31,4,FALSE)&amp;", "&amp;F258&amp;" FROM "&amp;D258&amp;" WHERE "&amp;'0. Instruções'!$D$40&amp;")X"</f>
        <v>(SELECT entty_id, COD_SOC FROM BU_LOANTAPE_WORK.LT003_ENTITY WHERE ref_date='${ref_date}' AND nome_perimetro='Individual Corporativo' AND segmento='ESTR' AND ambito='PILAR3')X</v>
      </c>
      <c r="J258" s="41" t="str">
        <f>"(SELECT "&amp;VLOOKUP(B258,'0. Instruções'!$C$27:$G$31,4,FALSE)&amp;" AS "&amp;VLOOKUP(B258,'0. Instruções'!$C$27:$G$31,4,FALSE)&amp;"_SIMUL, "&amp;F258&amp;" AS "&amp;F258&amp;"_SIMUL FROM "&amp;E258&amp;")Y"</f>
        <v>(SELECT entty_id AS entty_id_SIMUL, COD_SOC AS COD_SOC_SIMUL FROM BU_LOANTAPE_WORK.LT003_ENTTY_P3_NOV24)Y</v>
      </c>
      <c r="K258" s="42" t="str">
        <f>+UPPER("ON X."&amp;VLOOKUP(B258,'0. Instruções'!$C$27:$G$31,4,FALSE)&amp;"=Y."&amp;VLOOKUP(B258,'0. Instruções'!$C$27:$G$31,4,FALSE)&amp;"_SIMUL")</f>
        <v>ON X.ENTTY_ID=Y.ENTTY_ID_SIMUL</v>
      </c>
      <c r="L258" s="42" t="str">
        <f>+IF(C258="Coerência", +IF(LEFT(G258,5)="FLOAT","SELECT '"&amp;UPPER(B258)&amp;"' AS TABELA, '"&amp;UPPER(C258)&amp;"' AS TIPOLOGIA_TESTE,'"&amp;D258&amp;"' AS TABELA_LT,'"&amp;E258&amp;"' AS TABELA_SIMUL,'"&amp;F258&amp;"' AS CAMPO, "&amp;"'${ref_date}' AS REF_DATE, COUNT(*) AS NUM_REG, SUM(IF((ABS(COALESCE(X."&amp;F258&amp;",0)-COALESCE(Y."&amp;F258&amp;"_SIMUL,0))&gt;0.0000000001) OR (X."&amp;F258&amp;" IS NULL AND Y."&amp;F258&amp;"_SIMUL IS NOT NULL ) OR (X."&amp;F258&amp;" IS NOT NULL AND Y."&amp;F258&amp;"_SIMUL IS NULL),1,0)) AS NUM_REG_DIF,'"&amp;MAX('ID1&amp;5'!K:K)+1&amp;"' AS ID_EXEC, CURRENT_TIMESTAMP() AS TIME_EXEC FROM "&amp;I258&amp;" INNER JOIN "&amp;J258&amp;" "&amp;K258,"SELECT '"&amp;UPPER(B258)&amp;"' AS TABELA, '"&amp;UPPER(C258)&amp;"' AS TIPOLOGIA_TESTE,'"&amp;D258&amp;"' AS TABELA_LT,'"&amp;E258&amp;"' AS TABELA_SIMUL,'"&amp;F258&amp;"' AS CAMPO, "&amp;"'${ref_date}' AS REF_DATE, COUNT(*) AS NUM_REG, SUM(IF(COALESCE(CAST(X."&amp;F258&amp;" AS STRING),'')&lt;&gt;COALESCE(CAST(Y."&amp;F258&amp;"_SIMUL AS STRING),''),1,0)) AS NUM_REG_DIF,'"&amp;MAX('ID1&amp;5'!L:L)+1&amp;"' AS ID_EXEC, CURRENT_TIMESTAMP() AS TIME_EXEC FROM "&amp;I258&amp;" INNER JOIN "&amp;J258&amp;" "&amp;K258),
IF(C258="Validade",+IF(G258="Code List","SELECT '"&amp;UPPER(B258)&amp;"' AS TABELA, '"&amp;UPPER(C258)&amp;"' AS TIPOLOGIA_TESTE,'"&amp;D258&amp;"' AS TABELA_LT,'N/A' AS TABELA_SIMUL,'"&amp;F258&amp;"' AS CAMPO, "&amp;"'${ref_date}' AS REF_DATE, COUNT(*) AS NUM_REG, SUM(IF(TRIM(CAST(X."&amp;F258&amp;" AS STRING))='' OR TRIM(CAST(X."&amp;F258&amp;" AS STRING)) IS NULL OR CAST(X."&amp;F258&amp;" AS STRING) NOT "&amp;H258&amp;",1,0)) AS NUM_REG_DIF,'"&amp;MAX('ID1&amp;5'!K:K)+1&amp;"' AS ID_EXEC, CURRENT_TIMESTAMP() AS TIME_EXEC FROM "&amp;I258,"SELECT '"&amp;UPPER(B258)&amp;"' AS TABELA, '"&amp;UPPER(C258)&amp;"' AS TIPOLOGIA_TESTE,'"&amp;D258&amp;"' AS TABELA_LT,'N/A' AS TABELA_SIMUL,'"&amp;F258&amp;"' AS CAMPO, "&amp;"'${ref_date}' AS REF_DATE, COUNT(*) AS NUM_REG, SUM(IF(TRIM(CAST(X."&amp;F258&amp;" AS STRING))='' OR TRIM(CAST(X."&amp;F258&amp;" AS STRING)) IS NULL,1,0)) AS NUM_REG_DIF,'"&amp;MAX('ID1&amp;5'!K:K)+1&amp;"' AS ID_EXEC, CURRENT_TIMESTAMP() AS TIME_EXEC FROM "&amp;I258),
IF(C258="Caracteres Especiais",+"SELECT '"&amp;UPPER(B258)&amp;"' AS TABELA, '"&amp;UPPER(C258)&amp;"' AS TIPOLOGIA_TESTE,'"&amp;D258&amp;"' AS TABELA_LT,'N/A' AS TABELA_SIMUL,'"&amp;F258&amp;"' AS CAMPO, "&amp;"'${ref_date}' AS REF_DATE, COUNT(*) AS NUM_REG, SUM(IF(INSTR(CAST(X."&amp;F258&amp;" AS STRING),'#')&gt;0 OR INSTR(CAST(X."&amp;F258&amp;" AS STRING),'*')&gt;0 OR INSTR(CAST(X."&amp;F258&amp;" AS STRING),'`')&gt;0 OR INSTR(CAST(X."&amp;F258&amp;" AS STRING),'´')&gt;0 OR INSTR(CAST(X."&amp;F258&amp;" AS STRING),'{')&gt;0 OR INSTR(CAST(X."&amp;F258&amp;" AS STRING),'}')&gt;0 OR INSTR(CAST(X."&amp;F258&amp;" AS STRING),'[')&gt;0 OR INSTR(CAST(X."&amp;F258&amp;" AS STRING),'')&gt;0 OR INSTR(CAST(X."&amp;F258&amp;" AS STRING),']')&gt;0 OR INSTR(CAST(X."&amp;F258&amp;" AS STRING),'?')&gt;0 OR INSTR(CAST(X."&amp;F258&amp;" AS STRING),'!')&gt;0 OR INSTR(CAST(X."&amp;F258&amp;" AS STRING),'$')&gt;0 OR INSTR(CAST(X."&amp;F258&amp;" AS STRING),'%')&gt;0 OR INSTR(CAST(X."&amp;F258&amp;" AS STRING),'&amp;')&gt;0 OR INSTR(CAST(X."&amp;F258&amp;" AS STRING),'+')&gt;0,1,0)) AS NUM_REG_DIF,'"&amp;MAX('ID1&amp;5'!K:K)+1&amp;"' AS ID_EXEC, CURRENT_TIMESTAMP() AS TIME_EXEC FROM "&amp;I258,
IF(C258="Missings",+"SELECT '"&amp;UPPER(B258)&amp;"' AS TABELA, '"&amp;UPPER(C258)&amp;"' AS TIPOLOGIA_TESTE,'"&amp;D258&amp;"' AS TABELA_LT,'N/A' AS TABELA_SIMUL,'"&amp;F258&amp;"' AS CAMPO, "&amp;"'${ref_date}' AS REF_DATE, COUNT(*) AS NUM_REG, SUM(IF(TRIM(CAST(X."&amp;F258&amp;" AS STRING)) IN ('0000-00-00','0001-01-01','9999-12-31','MISS','00000','99999999999','99999999999.00','99999999999.000000'),1,0)) AS NUM_REG_DIF,'"&amp;MAX('ID1&amp;5'!K:K)+1&amp;"' AS ID_EXEC, CURRENT_TIMESTAMP() AS TIME_EXEC FROM "&amp;I258,
IF(C258="Not applicable",+"SELECT '"&amp;UPPER(B258)&amp;"' AS TABELA, '"&amp;UPPER(C258)&amp;"' AS TIPOLOGIA_TESTE,'"&amp;D258&amp;"' AS TABELA_LT,'N/A' AS TABELA_SIMUL,'"&amp;F258&amp;"' AS CAMPO, "&amp;"'${ref_date}' AS REF_DATE, COUNT(*) AS NUM_REG, SUM(IF(TRIM(CAST(X."&amp;F258&amp;" AS STRING)) IN ('N/A','11111111111','11111111111.00','11111111111.000000','1111-11-11'),1,0)) AS NUM_REG_DIF,'"&amp;MAX('ID1&amp;5'!K:K)+1&amp;"' AS ID_EXEC, CURRENT_TIMESTAMP() AS TIME_EXEC FROM "&amp;I258,
IF(C258="Valores extremos",+"SELECT '"&amp;UPPER(B258)&amp;"' AS TABELA, '"&amp;UPPER(C258)&amp;"' AS TIPOLOGIA_TESTE,'"&amp;D258&amp;"' AS TABELA_LT,'N/A' AS TABELA_SIMUL,'"&amp;F258&amp;"' AS CAMPO, "&amp;"'${ref_date}' AS REF_DATE, CAST(MIN("&amp;F258&amp;") AS STRING) AS VALOR_MIN, CAST(MAX("&amp;F258&amp;") AS STRING) AS VALOR_MAX,'"&amp;MAX('ID1&amp;5'!K:K)+1&amp;"' AS ID_EXEC, CURRENT_TIMESTAMP() AS TIME_EXEC FROM "&amp;MID(I258,1,LEN(I258)-2)&amp;" AND CAST("&amp;F258&amp;" AS STRING) NOT IN ('0000-00-00','0001-01-01','9999-12-31','MISS','00000','99999999999','99999999999.00','99999999999.000000','N/A','11111111111','11111111111.00','11111111111.000000','1111-11-11'))X"))))))</f>
        <v>SELECT 'ENTITY' AS TABELA, 'CARACTERES ESPECIAIS' AS TIPOLOGIA_TESTE,'BU_LOANTAPE_WORK.LT003_ENTITY' AS TABELA_LT,'N/A' AS TABELA_SIMUL,'COD_SOC' AS CAMPO, '${ref_date}' AS REF_DATE, COUNT(*) AS NUM_REG, SUM(IF(INSTR(CAST(X.COD_SOC AS STRING),'#')&gt;0 OR INSTR(CAST(X.COD_SOC AS STRING),'*')&gt;0 OR INSTR(CAST(X.COD_SOC AS STRING),'`')&gt;0 OR INSTR(CAST(X.COD_SOC AS STRING),'´')&gt;0 OR INSTR(CAST(X.COD_SOC AS STRING),'{')&gt;0 OR INSTR(CAST(X.COD_SOC AS STRING),'}')&gt;0 OR INSTR(CAST(X.COD_SOC AS STRING),'[')&gt;0 OR INSTR(CAST(X.COD_SOC AS STRING),'')&gt;0 OR INSTR(CAST(X.COD_SOC AS STRING),']')&gt;0 OR INSTR(CAST(X.COD_SOC AS STRING),'?')&gt;0 OR INSTR(CAST(X.COD_SOC AS STRING),'!')&gt;0 OR INSTR(CAST(X.COD_SOC AS STRING),'$')&gt;0 OR INSTR(CAST(X.COD_SOC AS STRING),'%')&gt;0 OR INSTR(CAST(X.COD_SOC AS STRING),'&amp;')&gt;0 OR INSTR(CAST(X.COD_SOC AS STRING),'+')&gt;0,1,0)) AS NUM_REG_DIF,'10' AS ID_EXEC, CURRENT_TIMESTAMP() AS TIME_EXEC FROM (SELECT entty_id, COD_SOC FROM BU_LOANTAPE_WORK.LT003_ENTITY WHERE ref_date='${ref_date}' AND nome_perimetro='Individual Corporativo' AND segmento='ESTR' AND ambito='PILAR3')X</v>
      </c>
      <c r="M258" s="43" t="str">
        <f t="shared" si="4"/>
        <v>UNION ALL SELECT 'ENTITY' AS TABELA, 'CARACTERES ESPECIAIS' AS TIPOLOGIA_TESTE,'BU_LOANTAPE_WORK.LT003_ENTITY' AS TABELA_LT,'N/A' AS TABELA_SIMUL,'COD_SOC' AS CAMPO, '${ref_date}' AS REF_DATE, COUNT(*) AS NUM_REG, SUM(IF(INSTR(CAST(X.COD_SOC AS STRING),'#')&gt;0 OR INSTR(CAST(X.COD_SOC AS STRING),'*')&gt;0 OR INSTR(CAST(X.COD_SOC AS STRING),'`')&gt;0 OR INSTR(CAST(X.COD_SOC AS STRING),'´')&gt;0 OR INSTR(CAST(X.COD_SOC AS STRING),'{')&gt;0 OR INSTR(CAST(X.COD_SOC AS STRING),'}')&gt;0 OR INSTR(CAST(X.COD_SOC AS STRING),'[')&gt;0 OR INSTR(CAST(X.COD_SOC AS STRING),'')&gt;0 OR INSTR(CAST(X.COD_SOC AS STRING),']')&gt;0 OR INSTR(CAST(X.COD_SOC AS STRING),'?')&gt;0 OR INSTR(CAST(X.COD_SOC AS STRING),'!')&gt;0 OR INSTR(CAST(X.COD_SOC AS STRING),'$')&gt;0 OR INSTR(CAST(X.COD_SOC AS STRING),'%')&gt;0 OR INSTR(CAST(X.COD_SOC AS STRING),'&amp;')&gt;0 OR INSTR(CAST(X.COD_SOC AS STRING),'+')&gt;0,1,0)) AS NUM_REG_DIF,'10' AS ID_EXEC, CURRENT_TIMESTAMP() AS TIME_EXEC FROM (SELECT entty_id, COD_SOC FROM BU_LOANTAPE_WORK.LT003_ENTITY WHERE ref_date='${ref_date}' AND nome_perimetro='Individual Corporativo' AND segmento='ESTR' AND ambito='PILAR3')X</v>
      </c>
      <c r="N258" s="45" t="s">
        <v>13</v>
      </c>
    </row>
    <row r="259" spans="2:14">
      <c r="B259" s="41" t="s">
        <v>31</v>
      </c>
      <c r="C259" s="41" t="s">
        <v>76</v>
      </c>
      <c r="D259" s="41" t="str">
        <f>+UPPER('0. Instruções'!$D$33&amp;"."&amp;VLOOKUP(B259,'0. Instruções'!$C$27:$D$31,2,FALSE))</f>
        <v>BU_LOANTAPE_WORK.LT004_PROTECTION</v>
      </c>
      <c r="E259" s="41" t="str">
        <f>+UPPER('0. Instruções'!$D$34&amp;"."&amp;VLOOKUP(B259,'0. Instruções'!$C$27:$E$31,3,FALSE))</f>
        <v>BU_LOANTAPE_WORK.LT004_PROTECTION_P3_NOV24</v>
      </c>
      <c r="F259" s="41" t="s">
        <v>135</v>
      </c>
      <c r="G259" s="41" t="s">
        <v>209</v>
      </c>
      <c r="H259" s="41"/>
      <c r="I259" s="41" t="str">
        <f>"(SELECT "&amp;VLOOKUP(B259,'0. Instruções'!$C$27:$G$31,4,FALSE)&amp;", "&amp;F259&amp;" FROM "&amp;D259&amp;" WHERE "&amp;'0. Instruções'!$D$40&amp;")X"</f>
        <v>(SELECT prtctn_id, TYP_EP_SCR FROM BU_LOANTAPE_WORK.LT004_PROTECTION WHERE ref_date='${ref_date}' AND nome_perimetro='Individual Corporativo' AND segmento='ESTR' AND ambito='PILAR3')X</v>
      </c>
      <c r="J259" s="41" t="str">
        <f>"(SELECT "&amp;VLOOKUP(B259,'0. Instruções'!$C$27:$G$31,4,FALSE)&amp;" AS "&amp;VLOOKUP(B259,'0. Instruções'!$C$27:$G$31,4,FALSE)&amp;"_SIMUL, "&amp;F259&amp;" AS "&amp;F259&amp;"_SIMUL FROM "&amp;E259&amp;")Y"</f>
        <v>(SELECT prtctn_id AS prtctn_id_SIMUL, TYP_EP_SCR AS TYP_EP_SCR_SIMUL FROM BU_LOANTAPE_WORK.LT004_PROTECTION_P3_NOV24)Y</v>
      </c>
      <c r="K259" s="42" t="str">
        <f>+UPPER("ON X."&amp;VLOOKUP(B259,'0. Instruções'!$C$27:$G$31,4,FALSE)&amp;"=Y."&amp;VLOOKUP(B259,'0. Instruções'!$C$27:$G$31,4,FALSE)&amp;"_SIMUL")</f>
        <v>ON X.PRTCTN_ID=Y.PRTCTN_ID_SIMUL</v>
      </c>
      <c r="L259" s="42" t="str">
        <f>+IF(C259="Coerência", +IF(LEFT(G259,5)="FLOAT","SELECT '"&amp;UPPER(B259)&amp;"' AS TABELA, '"&amp;UPPER(C259)&amp;"' AS TIPOLOGIA_TESTE,'"&amp;D259&amp;"' AS TABELA_LT,'"&amp;E259&amp;"' AS TABELA_SIMUL,'"&amp;F259&amp;"' AS CAMPO, "&amp;"'${ref_date}' AS REF_DATE, COUNT(*) AS NUM_REG, SUM(IF((ABS(COALESCE(X."&amp;F259&amp;",0)-COALESCE(Y."&amp;F259&amp;"_SIMUL,0))&gt;0.0000000001) OR (X."&amp;F259&amp;" IS NULL AND Y."&amp;F259&amp;"_SIMUL IS NOT NULL ) OR (X."&amp;F259&amp;" IS NOT NULL AND Y."&amp;F259&amp;"_SIMUL IS NULL),1,0)) AS NUM_REG_DIF,'"&amp;MAX('ID1&amp;5'!K:K)+1&amp;"' AS ID_EXEC, CURRENT_TIMESTAMP() AS TIME_EXEC FROM "&amp;I259&amp;" INNER JOIN "&amp;J259&amp;" "&amp;K259,"SELECT '"&amp;UPPER(B259)&amp;"' AS TABELA, '"&amp;UPPER(C259)&amp;"' AS TIPOLOGIA_TESTE,'"&amp;D259&amp;"' AS TABELA_LT,'"&amp;E259&amp;"' AS TABELA_SIMUL,'"&amp;F259&amp;"' AS CAMPO, "&amp;"'${ref_date}' AS REF_DATE, COUNT(*) AS NUM_REG, SUM(IF(COALESCE(CAST(X."&amp;F259&amp;" AS STRING),'')&lt;&gt;COALESCE(CAST(Y."&amp;F259&amp;"_SIMUL AS STRING),''),1,0)) AS NUM_REG_DIF,'"&amp;MAX('ID1&amp;5'!L:L)+1&amp;"' AS ID_EXEC, CURRENT_TIMESTAMP() AS TIME_EXEC FROM "&amp;I259&amp;" INNER JOIN "&amp;J259&amp;" "&amp;K259),
IF(C259="Validade",+IF(G259="Code List","SELECT '"&amp;UPPER(B259)&amp;"' AS TABELA, '"&amp;UPPER(C259)&amp;"' AS TIPOLOGIA_TESTE,'"&amp;D259&amp;"' AS TABELA_LT,'N/A' AS TABELA_SIMUL,'"&amp;F259&amp;"' AS CAMPO, "&amp;"'${ref_date}' AS REF_DATE, COUNT(*) AS NUM_REG, SUM(IF(TRIM(CAST(X."&amp;F259&amp;" AS STRING))='' OR TRIM(CAST(X."&amp;F259&amp;" AS STRING)) IS NULL OR CAST(X."&amp;F259&amp;" AS STRING) NOT "&amp;H259&amp;",1,0)) AS NUM_REG_DIF,'"&amp;MAX('ID1&amp;5'!K:K)+1&amp;"' AS ID_EXEC, CURRENT_TIMESTAMP() AS TIME_EXEC FROM "&amp;I259,"SELECT '"&amp;UPPER(B259)&amp;"' AS TABELA, '"&amp;UPPER(C259)&amp;"' AS TIPOLOGIA_TESTE,'"&amp;D259&amp;"' AS TABELA_LT,'N/A' AS TABELA_SIMUL,'"&amp;F259&amp;"' AS CAMPO, "&amp;"'${ref_date}' AS REF_DATE, COUNT(*) AS NUM_REG, SUM(IF(TRIM(CAST(X."&amp;F259&amp;" AS STRING))='' OR TRIM(CAST(X."&amp;F259&amp;" AS STRING)) IS NULL,1,0)) AS NUM_REG_DIF,'"&amp;MAX('ID1&amp;5'!K:K)+1&amp;"' AS ID_EXEC, CURRENT_TIMESTAMP() AS TIME_EXEC FROM "&amp;I259),
IF(C259="Caracteres Especiais",+"SELECT '"&amp;UPPER(B259)&amp;"' AS TABELA, '"&amp;UPPER(C259)&amp;"' AS TIPOLOGIA_TESTE,'"&amp;D259&amp;"' AS TABELA_LT,'N/A' AS TABELA_SIMUL,'"&amp;F259&amp;"' AS CAMPO, "&amp;"'${ref_date}' AS REF_DATE, COUNT(*) AS NUM_REG, SUM(IF(INSTR(CAST(X."&amp;F259&amp;" AS STRING),'#')&gt;0 OR INSTR(CAST(X."&amp;F259&amp;" AS STRING),'*')&gt;0 OR INSTR(CAST(X."&amp;F259&amp;" AS STRING),'`')&gt;0 OR INSTR(CAST(X."&amp;F259&amp;" AS STRING),'´')&gt;0 OR INSTR(CAST(X."&amp;F259&amp;" AS STRING),'{')&gt;0 OR INSTR(CAST(X."&amp;F259&amp;" AS STRING),'}')&gt;0 OR INSTR(CAST(X."&amp;F259&amp;" AS STRING),'[')&gt;0 OR INSTR(CAST(X."&amp;F259&amp;" AS STRING),'')&gt;0 OR INSTR(CAST(X."&amp;F259&amp;" AS STRING),']')&gt;0 OR INSTR(CAST(X."&amp;F259&amp;" AS STRING),'?')&gt;0 OR INSTR(CAST(X."&amp;F259&amp;" AS STRING),'!')&gt;0 OR INSTR(CAST(X."&amp;F259&amp;" AS STRING),'$')&gt;0 OR INSTR(CAST(X."&amp;F259&amp;" AS STRING),'%')&gt;0 OR INSTR(CAST(X."&amp;F259&amp;" AS STRING),'&amp;')&gt;0 OR INSTR(CAST(X."&amp;F259&amp;" AS STRING),'+')&gt;0,1,0)) AS NUM_REG_DIF,'"&amp;MAX('ID1&amp;5'!K:K)+1&amp;"' AS ID_EXEC, CURRENT_TIMESTAMP() AS TIME_EXEC FROM "&amp;I259,
IF(C259="Missings",+"SELECT '"&amp;UPPER(B259)&amp;"' AS TABELA, '"&amp;UPPER(C259)&amp;"' AS TIPOLOGIA_TESTE,'"&amp;D259&amp;"' AS TABELA_LT,'N/A' AS TABELA_SIMUL,'"&amp;F259&amp;"' AS CAMPO, "&amp;"'${ref_date}' AS REF_DATE, COUNT(*) AS NUM_REG, SUM(IF(TRIM(CAST(X."&amp;F259&amp;" AS STRING)) IN ('0000-00-00','0001-01-01','9999-12-31','MISS','00000','99999999999','99999999999.00','99999999999.000000'),1,0)) AS NUM_REG_DIF,'"&amp;MAX('ID1&amp;5'!K:K)+1&amp;"' AS ID_EXEC, CURRENT_TIMESTAMP() AS TIME_EXEC FROM "&amp;I259,
IF(C259="Not applicable",+"SELECT '"&amp;UPPER(B259)&amp;"' AS TABELA, '"&amp;UPPER(C259)&amp;"' AS TIPOLOGIA_TESTE,'"&amp;D259&amp;"' AS TABELA_LT,'N/A' AS TABELA_SIMUL,'"&amp;F259&amp;"' AS CAMPO, "&amp;"'${ref_date}' AS REF_DATE, COUNT(*) AS NUM_REG, SUM(IF(TRIM(CAST(X."&amp;F259&amp;" AS STRING)) IN ('N/A','11111111111','11111111111.00','11111111111.000000','1111-11-11'),1,0)) AS NUM_REG_DIF,'"&amp;MAX('ID1&amp;5'!K:K)+1&amp;"' AS ID_EXEC, CURRENT_TIMESTAMP() AS TIME_EXEC FROM "&amp;I259,
IF(C259="Valores extremos",+"SELECT '"&amp;UPPER(B259)&amp;"' AS TABELA, '"&amp;UPPER(C259)&amp;"' AS TIPOLOGIA_TESTE,'"&amp;D259&amp;"' AS TABELA_LT,'N/A' AS TABELA_SIMUL,'"&amp;F259&amp;"' AS CAMPO, "&amp;"'${ref_date}' AS REF_DATE, CAST(MIN("&amp;F259&amp;") AS STRING) AS VALOR_MIN, CAST(MAX("&amp;F259&amp;") AS STRING) AS VALOR_MAX,'"&amp;MAX('ID1&amp;5'!K:K)+1&amp;"' AS ID_EXEC, CURRENT_TIMESTAMP() AS TIME_EXEC FROM "&amp;MID(I259,1,LEN(I259)-2)&amp;" AND CAST("&amp;F259&amp;"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TABELA_SIMUL,'TYP_EP_SCR' AS CAMPO, '${ref_date}' AS REF_DATE, COUNT(*) AS NUM_REG, SUM(IF(INSTR(CAST(X.TYP_EP_SCR AS STRING),'#')&gt;0 OR INSTR(CAST(X.TYP_EP_SCR AS STRING),'*')&gt;0 OR INSTR(CAST(X.TYP_EP_SCR AS STRING),'`')&gt;0 OR INSTR(CAST(X.TYP_EP_SCR AS STRING),'´')&gt;0 OR INSTR(CAST(X.TYP_EP_SCR AS STRING),'{')&gt;0 OR INSTR(CAST(X.TYP_EP_SCR AS STRING),'}')&gt;0 OR INSTR(CAST(X.TYP_EP_SCR AS STRING),'[')&gt;0 OR INSTR(CAST(X.TYP_EP_SCR AS STRING),'')&gt;0 OR INSTR(CAST(X.TYP_EP_SCR AS STRING),']')&gt;0 OR INSTR(CAST(X.TYP_EP_SCR AS STRING),'?')&gt;0 OR INSTR(CAST(X.TYP_EP_SCR AS STRING),'!')&gt;0 OR INSTR(CAST(X.TYP_EP_SCR AS STRING),'$')&gt;0 OR INSTR(CAST(X.TYP_EP_SCR AS STRING),'%')&gt;0 OR INSTR(CAST(X.TYP_EP_SCR AS STRING),'&amp;')&gt;0 OR INSTR(CAST(X.TYP_EP_SCR AS STRING),'+')&gt;0,1,0)) AS NUM_REG_DIF,'10' AS ID_EXEC, CURRENT_TIMESTAMP() AS TIME_EXEC FROM (SELECT prtctn_id, TYP_EP_SCR FROM BU_LOANTAPE_WORK.LT004_PROTECTION WHERE ref_date='${ref_date}' AND nome_perimetro='Individual Corporativo' AND segmento='ESTR' AND ambito='PILAR3')X</v>
      </c>
      <c r="M259" s="43" t="str">
        <f t="shared" si="4"/>
        <v>UNION ALL SELECT 'PROTECTION' AS TABELA, 'CARACTERES ESPECIAIS' AS TIPOLOGIA_TESTE,'BU_LOANTAPE_WORK.LT004_PROTECTION' AS TABELA_LT,'N/A' AS TABELA_SIMUL,'TYP_EP_SCR' AS CAMPO, '${ref_date}' AS REF_DATE, COUNT(*) AS NUM_REG, SUM(IF(INSTR(CAST(X.TYP_EP_SCR AS STRING),'#')&gt;0 OR INSTR(CAST(X.TYP_EP_SCR AS STRING),'*')&gt;0 OR INSTR(CAST(X.TYP_EP_SCR AS STRING),'`')&gt;0 OR INSTR(CAST(X.TYP_EP_SCR AS STRING),'´')&gt;0 OR INSTR(CAST(X.TYP_EP_SCR AS STRING),'{')&gt;0 OR INSTR(CAST(X.TYP_EP_SCR AS STRING),'}')&gt;0 OR INSTR(CAST(X.TYP_EP_SCR AS STRING),'[')&gt;0 OR INSTR(CAST(X.TYP_EP_SCR AS STRING),'')&gt;0 OR INSTR(CAST(X.TYP_EP_SCR AS STRING),']')&gt;0 OR INSTR(CAST(X.TYP_EP_SCR AS STRING),'?')&gt;0 OR INSTR(CAST(X.TYP_EP_SCR AS STRING),'!')&gt;0 OR INSTR(CAST(X.TYP_EP_SCR AS STRING),'$')&gt;0 OR INSTR(CAST(X.TYP_EP_SCR AS STRING),'%')&gt;0 OR INSTR(CAST(X.TYP_EP_SCR AS STRING),'&amp;')&gt;0 OR INSTR(CAST(X.TYP_EP_SCR AS STRING),'+')&gt;0,1,0)) AS NUM_REG_DIF,'10' AS ID_EXEC, CURRENT_TIMESTAMP() AS TIME_EXEC FROM (SELECT prtctn_id, TYP_EP_SCR FROM BU_LOANTAPE_WORK.LT004_PROTECTION WHERE ref_date='${ref_date}' AND nome_perimetro='Individual Corporativo' AND segmento='ESTR' AND ambito='PILAR3')X</v>
      </c>
      <c r="N259" s="45" t="s">
        <v>13</v>
      </c>
    </row>
    <row r="260" spans="2:14">
      <c r="B260" s="41" t="s">
        <v>31</v>
      </c>
      <c r="C260" s="41" t="s">
        <v>76</v>
      </c>
      <c r="D260" s="41" t="str">
        <f>+UPPER('0. Instruções'!$D$33&amp;"."&amp;VLOOKUP(B260,'0. Instruções'!$C$27:$D$31,2,FALSE))</f>
        <v>BU_LOANTAPE_WORK.LT004_PROTECTION</v>
      </c>
      <c r="E260" s="41" t="str">
        <f>+UPPER('0. Instruções'!$D$34&amp;"."&amp;VLOOKUP(B260,'0. Instruções'!$C$27:$E$31,3,FALSE))</f>
        <v>BU_LOANTAPE_WORK.LT004_PROTECTION_P3_NOV24</v>
      </c>
      <c r="F260" s="41" t="s">
        <v>136</v>
      </c>
      <c r="G260" s="41" t="s">
        <v>209</v>
      </c>
      <c r="H260" s="41"/>
      <c r="I260" s="41" t="str">
        <f>"(SELECT "&amp;VLOOKUP(B260,'0. Instruções'!$C$27:$G$31,4,FALSE)&amp;", "&amp;F260&amp;" FROM "&amp;D260&amp;" WHERE "&amp;'0. Instruções'!$D$40&amp;")X"</f>
        <v>(SELECT prtctn_id, EP_SCR FROM BU_LOANTAPE_WORK.LT004_PROTECTION WHERE ref_date='${ref_date}' AND nome_perimetro='Individual Corporativo' AND segmento='ESTR' AND ambito='PILAR3')X</v>
      </c>
      <c r="J260" s="41" t="str">
        <f>"(SELECT "&amp;VLOOKUP(B260,'0. Instruções'!$C$27:$G$31,4,FALSE)&amp;" AS "&amp;VLOOKUP(B260,'0. Instruções'!$C$27:$G$31,4,FALSE)&amp;"_SIMUL, "&amp;F260&amp;" AS "&amp;F260&amp;"_SIMUL FROM "&amp;E260&amp;")Y"</f>
        <v>(SELECT prtctn_id AS prtctn_id_SIMUL, EP_SCR AS EP_SCR_SIMUL FROM BU_LOANTAPE_WORK.LT004_PROTECTION_P3_NOV24)Y</v>
      </c>
      <c r="K260" s="42" t="str">
        <f>+UPPER("ON X."&amp;VLOOKUP(B260,'0. Instruções'!$C$27:$G$31,4,FALSE)&amp;"=Y."&amp;VLOOKUP(B260,'0. Instruções'!$C$27:$G$31,4,FALSE)&amp;"_SIMUL")</f>
        <v>ON X.PRTCTN_ID=Y.PRTCTN_ID_SIMUL</v>
      </c>
      <c r="L260" s="42" t="str">
        <f>+IF(C260="Coerência", +IF(LEFT(G260,5)="FLOAT","SELECT '"&amp;UPPER(B260)&amp;"' AS TABELA, '"&amp;UPPER(C260)&amp;"' AS TIPOLOGIA_TESTE,'"&amp;D260&amp;"' AS TABELA_LT,'"&amp;E260&amp;"' AS TABELA_SIMUL,'"&amp;F260&amp;"' AS CAMPO, "&amp;"'${ref_date}' AS REF_DATE, COUNT(*) AS NUM_REG, SUM(IF((ABS(COALESCE(X."&amp;F260&amp;",0)-COALESCE(Y."&amp;F260&amp;"_SIMUL,0))&gt;0.0000000001) OR (X."&amp;F260&amp;" IS NULL AND Y."&amp;F260&amp;"_SIMUL IS NOT NULL ) OR (X."&amp;F260&amp;" IS NOT NULL AND Y."&amp;F260&amp;"_SIMUL IS NULL),1,0)) AS NUM_REG_DIF,'"&amp;MAX('ID1&amp;5'!K:K)+1&amp;"' AS ID_EXEC, CURRENT_TIMESTAMP() AS TIME_EXEC FROM "&amp;I260&amp;" INNER JOIN "&amp;J260&amp;" "&amp;K260,"SELECT '"&amp;UPPER(B260)&amp;"' AS TABELA, '"&amp;UPPER(C260)&amp;"' AS TIPOLOGIA_TESTE,'"&amp;D260&amp;"' AS TABELA_LT,'"&amp;E260&amp;"' AS TABELA_SIMUL,'"&amp;F260&amp;"' AS CAMPO, "&amp;"'${ref_date}' AS REF_DATE, COUNT(*) AS NUM_REG, SUM(IF(COALESCE(CAST(X."&amp;F260&amp;" AS STRING),'')&lt;&gt;COALESCE(CAST(Y."&amp;F260&amp;"_SIMUL AS STRING),''),1,0)) AS NUM_REG_DIF,'"&amp;MAX('ID1&amp;5'!L:L)+1&amp;"' AS ID_EXEC, CURRENT_TIMESTAMP() AS TIME_EXEC FROM "&amp;I260&amp;" INNER JOIN "&amp;J260&amp;" "&amp;K260),
IF(C260="Validade",+IF(G260="Code List","SELECT '"&amp;UPPER(B260)&amp;"' AS TABELA, '"&amp;UPPER(C260)&amp;"' AS TIPOLOGIA_TESTE,'"&amp;D260&amp;"' AS TABELA_LT,'N/A' AS TABELA_SIMUL,'"&amp;F260&amp;"' AS CAMPO, "&amp;"'${ref_date}' AS REF_DATE, COUNT(*) AS NUM_REG, SUM(IF(TRIM(CAST(X."&amp;F260&amp;" AS STRING))='' OR TRIM(CAST(X."&amp;F260&amp;" AS STRING)) IS NULL OR CAST(X."&amp;F260&amp;" AS STRING) NOT "&amp;H260&amp;",1,0)) AS NUM_REG_DIF,'"&amp;MAX('ID1&amp;5'!K:K)+1&amp;"' AS ID_EXEC, CURRENT_TIMESTAMP() AS TIME_EXEC FROM "&amp;I260,"SELECT '"&amp;UPPER(B260)&amp;"' AS TABELA, '"&amp;UPPER(C260)&amp;"' AS TIPOLOGIA_TESTE,'"&amp;D260&amp;"' AS TABELA_LT,'N/A' AS TABELA_SIMUL,'"&amp;F260&amp;"' AS CAMPO, "&amp;"'${ref_date}' AS REF_DATE, COUNT(*) AS NUM_REG, SUM(IF(TRIM(CAST(X."&amp;F260&amp;" AS STRING))='' OR TRIM(CAST(X."&amp;F260&amp;" AS STRING)) IS NULL,1,0)) AS NUM_REG_DIF,'"&amp;MAX('ID1&amp;5'!K:K)+1&amp;"' AS ID_EXEC, CURRENT_TIMESTAMP() AS TIME_EXEC FROM "&amp;I260),
IF(C260="Caracteres Especiais",+"SELECT '"&amp;UPPER(B260)&amp;"' AS TABELA, '"&amp;UPPER(C260)&amp;"' AS TIPOLOGIA_TESTE,'"&amp;D260&amp;"' AS TABELA_LT,'N/A' AS TABELA_SIMUL,'"&amp;F260&amp;"' AS CAMPO, "&amp;"'${ref_date}' AS REF_DATE, COUNT(*) AS NUM_REG, SUM(IF(INSTR(CAST(X."&amp;F260&amp;" AS STRING),'#')&gt;0 OR INSTR(CAST(X."&amp;F260&amp;" AS STRING),'*')&gt;0 OR INSTR(CAST(X."&amp;F260&amp;" AS STRING),'`')&gt;0 OR INSTR(CAST(X."&amp;F260&amp;" AS STRING),'´')&gt;0 OR INSTR(CAST(X."&amp;F260&amp;" AS STRING),'{')&gt;0 OR INSTR(CAST(X."&amp;F260&amp;" AS STRING),'}')&gt;0 OR INSTR(CAST(X."&amp;F260&amp;" AS STRING),'[')&gt;0 OR INSTR(CAST(X."&amp;F260&amp;" AS STRING),'')&gt;0 OR INSTR(CAST(X."&amp;F260&amp;" AS STRING),']')&gt;0 OR INSTR(CAST(X."&amp;F260&amp;" AS STRING),'?')&gt;0 OR INSTR(CAST(X."&amp;F260&amp;" AS STRING),'!')&gt;0 OR INSTR(CAST(X."&amp;F260&amp;" AS STRING),'$')&gt;0 OR INSTR(CAST(X."&amp;F260&amp;" AS STRING),'%')&gt;0 OR INSTR(CAST(X."&amp;F260&amp;" AS STRING),'&amp;')&gt;0 OR INSTR(CAST(X."&amp;F260&amp;" AS STRING),'+')&gt;0,1,0)) AS NUM_REG_DIF,'"&amp;MAX('ID1&amp;5'!K:K)+1&amp;"' AS ID_EXEC, CURRENT_TIMESTAMP() AS TIME_EXEC FROM "&amp;I260,
IF(C260="Missings",+"SELECT '"&amp;UPPER(B260)&amp;"' AS TABELA, '"&amp;UPPER(C260)&amp;"' AS TIPOLOGIA_TESTE,'"&amp;D260&amp;"' AS TABELA_LT,'N/A' AS TABELA_SIMUL,'"&amp;F260&amp;"' AS CAMPO, "&amp;"'${ref_date}' AS REF_DATE, COUNT(*) AS NUM_REG, SUM(IF(TRIM(CAST(X."&amp;F260&amp;" AS STRING)) IN ('0000-00-00','0001-01-01','9999-12-31','MISS','00000','99999999999','99999999999.00','99999999999.000000'),1,0)) AS NUM_REG_DIF,'"&amp;MAX('ID1&amp;5'!K:K)+1&amp;"' AS ID_EXEC, CURRENT_TIMESTAMP() AS TIME_EXEC FROM "&amp;I260,
IF(C260="Not applicable",+"SELECT '"&amp;UPPER(B260)&amp;"' AS TABELA, '"&amp;UPPER(C260)&amp;"' AS TIPOLOGIA_TESTE,'"&amp;D260&amp;"' AS TABELA_LT,'N/A' AS TABELA_SIMUL,'"&amp;F260&amp;"' AS CAMPO, "&amp;"'${ref_date}' AS REF_DATE, COUNT(*) AS NUM_REG, SUM(IF(TRIM(CAST(X."&amp;F260&amp;" AS STRING)) IN ('N/A','11111111111','11111111111.00','11111111111.000000','1111-11-11'),1,0)) AS NUM_REG_DIF,'"&amp;MAX('ID1&amp;5'!K:K)+1&amp;"' AS ID_EXEC, CURRENT_TIMESTAMP() AS TIME_EXEC FROM "&amp;I260,
IF(C260="Valores extremos",+"SELECT '"&amp;UPPER(B260)&amp;"' AS TABELA, '"&amp;UPPER(C260)&amp;"' AS TIPOLOGIA_TESTE,'"&amp;D260&amp;"' AS TABELA_LT,'N/A' AS TABELA_SIMUL,'"&amp;F260&amp;"' AS CAMPO, "&amp;"'${ref_date}' AS REF_DATE, CAST(MIN("&amp;F260&amp;") AS STRING) AS VALOR_MIN, CAST(MAX("&amp;F260&amp;") AS STRING) AS VALOR_MAX,'"&amp;MAX('ID1&amp;5'!K:K)+1&amp;"' AS ID_EXEC, CURRENT_TIMESTAMP() AS TIME_EXEC FROM "&amp;MID(I260,1,LEN(I260)-2)&amp;" AND CAST("&amp;F260&amp;"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TABELA_SIMUL,'EP_SCR' AS CAMPO, '${ref_date}' AS REF_DATE, COUNT(*) AS NUM_REG, SUM(IF(INSTR(CAST(X.EP_SCR AS STRING),'#')&gt;0 OR INSTR(CAST(X.EP_SCR AS STRING),'*')&gt;0 OR INSTR(CAST(X.EP_SCR AS STRING),'`')&gt;0 OR INSTR(CAST(X.EP_SCR AS STRING),'´')&gt;0 OR INSTR(CAST(X.EP_SCR AS STRING),'{')&gt;0 OR INSTR(CAST(X.EP_SCR AS STRING),'}')&gt;0 OR INSTR(CAST(X.EP_SCR AS STRING),'[')&gt;0 OR INSTR(CAST(X.EP_SCR AS STRING),'')&gt;0 OR INSTR(CAST(X.EP_SCR AS STRING),']')&gt;0 OR INSTR(CAST(X.EP_SCR AS STRING),'?')&gt;0 OR INSTR(CAST(X.EP_SCR AS STRING),'!')&gt;0 OR INSTR(CAST(X.EP_SCR AS STRING),'$')&gt;0 OR INSTR(CAST(X.EP_SCR AS STRING),'%')&gt;0 OR INSTR(CAST(X.EP_SCR AS STRING),'&amp;')&gt;0 OR INSTR(CAST(X.EP_SCR AS STRING),'+')&gt;0,1,0)) AS NUM_REG_DIF,'10' AS ID_EXEC, CURRENT_TIMESTAMP() AS TIME_EXEC FROM (SELECT prtctn_id, EP_SCR FROM BU_LOANTAPE_WORK.LT004_PROTECTION WHERE ref_date='${ref_date}' AND nome_perimetro='Individual Corporativo' AND segmento='ESTR' AND ambito='PILAR3')X</v>
      </c>
      <c r="M260" s="43" t="str">
        <f t="shared" si="4"/>
        <v>UNION ALL SELECT 'PROTECTION' AS TABELA, 'CARACTERES ESPECIAIS' AS TIPOLOGIA_TESTE,'BU_LOANTAPE_WORK.LT004_PROTECTION' AS TABELA_LT,'N/A' AS TABELA_SIMUL,'EP_SCR' AS CAMPO, '${ref_date}' AS REF_DATE, COUNT(*) AS NUM_REG, SUM(IF(INSTR(CAST(X.EP_SCR AS STRING),'#')&gt;0 OR INSTR(CAST(X.EP_SCR AS STRING),'*')&gt;0 OR INSTR(CAST(X.EP_SCR AS STRING),'`')&gt;0 OR INSTR(CAST(X.EP_SCR AS STRING),'´')&gt;0 OR INSTR(CAST(X.EP_SCR AS STRING),'{')&gt;0 OR INSTR(CAST(X.EP_SCR AS STRING),'}')&gt;0 OR INSTR(CAST(X.EP_SCR AS STRING),'[')&gt;0 OR INSTR(CAST(X.EP_SCR AS STRING),'')&gt;0 OR INSTR(CAST(X.EP_SCR AS STRING),']')&gt;0 OR INSTR(CAST(X.EP_SCR AS STRING),'?')&gt;0 OR INSTR(CAST(X.EP_SCR AS STRING),'!')&gt;0 OR INSTR(CAST(X.EP_SCR AS STRING),'$')&gt;0 OR INSTR(CAST(X.EP_SCR AS STRING),'%')&gt;0 OR INSTR(CAST(X.EP_SCR AS STRING),'&amp;')&gt;0 OR INSTR(CAST(X.EP_SCR AS STRING),'+')&gt;0,1,0)) AS NUM_REG_DIF,'10' AS ID_EXEC, CURRENT_TIMESTAMP() AS TIME_EXEC FROM (SELECT prtctn_id, EP_SCR FROM BU_LOANTAPE_WORK.LT004_PROTECTION WHERE ref_date='${ref_date}' AND nome_perimetro='Individual Corporativo' AND segmento='ESTR' AND ambito='PILAR3')X</v>
      </c>
      <c r="N260" s="45" t="s">
        <v>13</v>
      </c>
    </row>
    <row r="261" spans="2:14">
      <c r="B261" s="41" t="s">
        <v>31</v>
      </c>
      <c r="C261" s="41" t="s">
        <v>76</v>
      </c>
      <c r="D261" s="41" t="str">
        <f>+UPPER('0. Instruções'!$D$33&amp;"."&amp;VLOOKUP(B261,'0. Instruções'!$C$27:$D$31,2,FALSE))</f>
        <v>BU_LOANTAPE_WORK.LT004_PROTECTION</v>
      </c>
      <c r="E261" s="41" t="str">
        <f>+UPPER('0. Instruções'!$D$34&amp;"."&amp;VLOOKUP(B261,'0. Instruções'!$C$27:$E$31,3,FALSE))</f>
        <v>BU_LOANTAPE_WORK.LT004_PROTECTION_P3_NOV24</v>
      </c>
      <c r="F261" s="41" t="s">
        <v>137</v>
      </c>
      <c r="G261" s="41" t="s">
        <v>209</v>
      </c>
      <c r="H261" s="41"/>
      <c r="I261" s="41" t="str">
        <f>"(SELECT "&amp;VLOOKUP(B261,'0. Instruções'!$C$27:$G$31,4,FALSE)&amp;", "&amp;F261&amp;" FROM "&amp;D261&amp;" WHERE "&amp;'0. Instruções'!$D$40&amp;")X"</f>
        <v>(SELECT prtctn_id, TYP_EPC_LBL FROM BU_LOANTAPE_WORK.LT004_PROTECTION WHERE ref_date='${ref_date}' AND nome_perimetro='Individual Corporativo' AND segmento='ESTR' AND ambito='PILAR3')X</v>
      </c>
      <c r="J261" s="41" t="str">
        <f>"(SELECT "&amp;VLOOKUP(B261,'0. Instruções'!$C$27:$G$31,4,FALSE)&amp;" AS "&amp;VLOOKUP(B261,'0. Instruções'!$C$27:$G$31,4,FALSE)&amp;"_SIMUL, "&amp;F261&amp;" AS "&amp;F261&amp;"_SIMUL FROM "&amp;E261&amp;")Y"</f>
        <v>(SELECT prtctn_id AS prtctn_id_SIMUL, TYP_EPC_LBL AS TYP_EPC_LBL_SIMUL FROM BU_LOANTAPE_WORK.LT004_PROTECTION_P3_NOV24)Y</v>
      </c>
      <c r="K261" s="42" t="str">
        <f>+UPPER("ON X."&amp;VLOOKUP(B261,'0. Instruções'!$C$27:$G$31,4,FALSE)&amp;"=Y."&amp;VLOOKUP(B261,'0. Instruções'!$C$27:$G$31,4,FALSE)&amp;"_SIMUL")</f>
        <v>ON X.PRTCTN_ID=Y.PRTCTN_ID_SIMUL</v>
      </c>
      <c r="L261" s="42" t="str">
        <f>+IF(C261="Coerência", +IF(LEFT(G261,5)="FLOAT","SELECT '"&amp;UPPER(B261)&amp;"' AS TABELA, '"&amp;UPPER(C261)&amp;"' AS TIPOLOGIA_TESTE,'"&amp;D261&amp;"' AS TABELA_LT,'"&amp;E261&amp;"' AS TABELA_SIMUL,'"&amp;F261&amp;"' AS CAMPO, "&amp;"'${ref_date}' AS REF_DATE, COUNT(*) AS NUM_REG, SUM(IF((ABS(COALESCE(X."&amp;F261&amp;",0)-COALESCE(Y."&amp;F261&amp;"_SIMUL,0))&gt;0.0000000001) OR (X."&amp;F261&amp;" IS NULL AND Y."&amp;F261&amp;"_SIMUL IS NOT NULL ) OR (X."&amp;F261&amp;" IS NOT NULL AND Y."&amp;F261&amp;"_SIMUL IS NULL),1,0)) AS NUM_REG_DIF,'"&amp;MAX('ID1&amp;5'!K:K)+1&amp;"' AS ID_EXEC, CURRENT_TIMESTAMP() AS TIME_EXEC FROM "&amp;I261&amp;" INNER JOIN "&amp;J261&amp;" "&amp;K261,"SELECT '"&amp;UPPER(B261)&amp;"' AS TABELA, '"&amp;UPPER(C261)&amp;"' AS TIPOLOGIA_TESTE,'"&amp;D261&amp;"' AS TABELA_LT,'"&amp;E261&amp;"' AS TABELA_SIMUL,'"&amp;F261&amp;"' AS CAMPO, "&amp;"'${ref_date}' AS REF_DATE, COUNT(*) AS NUM_REG, SUM(IF(COALESCE(CAST(X."&amp;F261&amp;" AS STRING),'')&lt;&gt;COALESCE(CAST(Y."&amp;F261&amp;"_SIMUL AS STRING),''),1,0)) AS NUM_REG_DIF,'"&amp;MAX('ID1&amp;5'!L:L)+1&amp;"' AS ID_EXEC, CURRENT_TIMESTAMP() AS TIME_EXEC FROM "&amp;I261&amp;" INNER JOIN "&amp;J261&amp;" "&amp;K261),
IF(C261="Validade",+IF(G261="Code List","SELECT '"&amp;UPPER(B261)&amp;"' AS TABELA, '"&amp;UPPER(C261)&amp;"' AS TIPOLOGIA_TESTE,'"&amp;D261&amp;"' AS TABELA_LT,'N/A' AS TABELA_SIMUL,'"&amp;F261&amp;"' AS CAMPO, "&amp;"'${ref_date}' AS REF_DATE, COUNT(*) AS NUM_REG, SUM(IF(TRIM(CAST(X."&amp;F261&amp;" AS STRING))='' OR TRIM(CAST(X."&amp;F261&amp;" AS STRING)) IS NULL OR CAST(X."&amp;F261&amp;" AS STRING) NOT "&amp;H261&amp;",1,0)) AS NUM_REG_DIF,'"&amp;MAX('ID1&amp;5'!K:K)+1&amp;"' AS ID_EXEC, CURRENT_TIMESTAMP() AS TIME_EXEC FROM "&amp;I261,"SELECT '"&amp;UPPER(B261)&amp;"' AS TABELA, '"&amp;UPPER(C261)&amp;"' AS TIPOLOGIA_TESTE,'"&amp;D261&amp;"' AS TABELA_LT,'N/A' AS TABELA_SIMUL,'"&amp;F261&amp;"' AS CAMPO, "&amp;"'${ref_date}' AS REF_DATE, COUNT(*) AS NUM_REG, SUM(IF(TRIM(CAST(X."&amp;F261&amp;" AS STRING))='' OR TRIM(CAST(X."&amp;F261&amp;" AS STRING)) IS NULL,1,0)) AS NUM_REG_DIF,'"&amp;MAX('ID1&amp;5'!K:K)+1&amp;"' AS ID_EXEC, CURRENT_TIMESTAMP() AS TIME_EXEC FROM "&amp;I261),
IF(C261="Caracteres Especiais",+"SELECT '"&amp;UPPER(B261)&amp;"' AS TABELA, '"&amp;UPPER(C261)&amp;"' AS TIPOLOGIA_TESTE,'"&amp;D261&amp;"' AS TABELA_LT,'N/A' AS TABELA_SIMUL,'"&amp;F261&amp;"' AS CAMPO, "&amp;"'${ref_date}' AS REF_DATE, COUNT(*) AS NUM_REG, SUM(IF(INSTR(CAST(X."&amp;F261&amp;" AS STRING),'#')&gt;0 OR INSTR(CAST(X."&amp;F261&amp;" AS STRING),'*')&gt;0 OR INSTR(CAST(X."&amp;F261&amp;" AS STRING),'`')&gt;0 OR INSTR(CAST(X."&amp;F261&amp;" AS STRING),'´')&gt;0 OR INSTR(CAST(X."&amp;F261&amp;" AS STRING),'{')&gt;0 OR INSTR(CAST(X."&amp;F261&amp;" AS STRING),'}')&gt;0 OR INSTR(CAST(X."&amp;F261&amp;" AS STRING),'[')&gt;0 OR INSTR(CAST(X."&amp;F261&amp;" AS STRING),'')&gt;0 OR INSTR(CAST(X."&amp;F261&amp;" AS STRING),']')&gt;0 OR INSTR(CAST(X."&amp;F261&amp;" AS STRING),'?')&gt;0 OR INSTR(CAST(X."&amp;F261&amp;" AS STRING),'!')&gt;0 OR INSTR(CAST(X."&amp;F261&amp;" AS STRING),'$')&gt;0 OR INSTR(CAST(X."&amp;F261&amp;" AS STRING),'%')&gt;0 OR INSTR(CAST(X."&amp;F261&amp;" AS STRING),'&amp;')&gt;0 OR INSTR(CAST(X."&amp;F261&amp;" AS STRING),'+')&gt;0,1,0)) AS NUM_REG_DIF,'"&amp;MAX('ID1&amp;5'!K:K)+1&amp;"' AS ID_EXEC, CURRENT_TIMESTAMP() AS TIME_EXEC FROM "&amp;I261,
IF(C261="Missings",+"SELECT '"&amp;UPPER(B261)&amp;"' AS TABELA, '"&amp;UPPER(C261)&amp;"' AS TIPOLOGIA_TESTE,'"&amp;D261&amp;"' AS TABELA_LT,'N/A' AS TABELA_SIMUL,'"&amp;F261&amp;"' AS CAMPO, "&amp;"'${ref_date}' AS REF_DATE, COUNT(*) AS NUM_REG, SUM(IF(TRIM(CAST(X."&amp;F261&amp;" AS STRING)) IN ('0000-00-00','0001-01-01','9999-12-31','MISS','00000','99999999999','99999999999.00','99999999999.000000'),1,0)) AS NUM_REG_DIF,'"&amp;MAX('ID1&amp;5'!K:K)+1&amp;"' AS ID_EXEC, CURRENT_TIMESTAMP() AS TIME_EXEC FROM "&amp;I261,
IF(C261="Not applicable",+"SELECT '"&amp;UPPER(B261)&amp;"' AS TABELA, '"&amp;UPPER(C261)&amp;"' AS TIPOLOGIA_TESTE,'"&amp;D261&amp;"' AS TABELA_LT,'N/A' AS TABELA_SIMUL,'"&amp;F261&amp;"' AS CAMPO, "&amp;"'${ref_date}' AS REF_DATE, COUNT(*) AS NUM_REG, SUM(IF(TRIM(CAST(X."&amp;F261&amp;" AS STRING)) IN ('N/A','11111111111','11111111111.00','11111111111.000000','1111-11-11'),1,0)) AS NUM_REG_DIF,'"&amp;MAX('ID1&amp;5'!K:K)+1&amp;"' AS ID_EXEC, CURRENT_TIMESTAMP() AS TIME_EXEC FROM "&amp;I261,
IF(C261="Valores extremos",+"SELECT '"&amp;UPPER(B261)&amp;"' AS TABELA, '"&amp;UPPER(C261)&amp;"' AS TIPOLOGIA_TESTE,'"&amp;D261&amp;"' AS TABELA_LT,'N/A' AS TABELA_SIMUL,'"&amp;F261&amp;"' AS CAMPO, "&amp;"'${ref_date}' AS REF_DATE, CAST(MIN("&amp;F261&amp;") AS STRING) AS VALOR_MIN, CAST(MAX("&amp;F261&amp;") AS STRING) AS VALOR_MAX,'"&amp;MAX('ID1&amp;5'!K:K)+1&amp;"' AS ID_EXEC, CURRENT_TIMESTAMP() AS TIME_EXEC FROM "&amp;MID(I261,1,LEN(I261)-2)&amp;" AND CAST("&amp;F261&amp;"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TABELA_SIMUL,'TYP_EPC_LBL' AS CAMPO, '${ref_date}' AS REF_DATE, COUNT(*) AS NUM_REG, SUM(IF(INSTR(CAST(X.TYP_EPC_LBL AS STRING),'#')&gt;0 OR INSTR(CAST(X.TYP_EPC_LBL AS STRING),'*')&gt;0 OR INSTR(CAST(X.TYP_EPC_LBL AS STRING),'`')&gt;0 OR INSTR(CAST(X.TYP_EPC_LBL AS STRING),'´')&gt;0 OR INSTR(CAST(X.TYP_EPC_LBL AS STRING),'{')&gt;0 OR INSTR(CAST(X.TYP_EPC_LBL AS STRING),'}')&gt;0 OR INSTR(CAST(X.TYP_EPC_LBL AS STRING),'[')&gt;0 OR INSTR(CAST(X.TYP_EPC_LBL AS STRING),'')&gt;0 OR INSTR(CAST(X.TYP_EPC_LBL AS STRING),']')&gt;0 OR INSTR(CAST(X.TYP_EPC_LBL AS STRING),'?')&gt;0 OR INSTR(CAST(X.TYP_EPC_LBL AS STRING),'!')&gt;0 OR INSTR(CAST(X.TYP_EPC_LBL AS STRING),'$')&gt;0 OR INSTR(CAST(X.TYP_EPC_LBL AS STRING),'%')&gt;0 OR INSTR(CAST(X.TYP_EPC_LBL AS STRING),'&amp;')&gt;0 OR INSTR(CAST(X.TYP_EPC_LBL AS STRING),'+')&gt;0,1,0)) AS NUM_REG_DIF,'10' AS ID_EXEC, CURRENT_TIMESTAMP() AS TIME_EXEC FROM (SELECT prtctn_id, TYP_EPC_LBL FROM BU_LOANTAPE_WORK.LT004_PROTECTION WHERE ref_date='${ref_date}' AND nome_perimetro='Individual Corporativo' AND segmento='ESTR' AND ambito='PILAR3')X</v>
      </c>
      <c r="M261" s="43" t="str">
        <f t="shared" si="4"/>
        <v>UNION ALL SELECT 'PROTECTION' AS TABELA, 'CARACTERES ESPECIAIS' AS TIPOLOGIA_TESTE,'BU_LOANTAPE_WORK.LT004_PROTECTION' AS TABELA_LT,'N/A' AS TABELA_SIMUL,'TYP_EPC_LBL' AS CAMPO, '${ref_date}' AS REF_DATE, COUNT(*) AS NUM_REG, SUM(IF(INSTR(CAST(X.TYP_EPC_LBL AS STRING),'#')&gt;0 OR INSTR(CAST(X.TYP_EPC_LBL AS STRING),'*')&gt;0 OR INSTR(CAST(X.TYP_EPC_LBL AS STRING),'`')&gt;0 OR INSTR(CAST(X.TYP_EPC_LBL AS STRING),'´')&gt;0 OR INSTR(CAST(X.TYP_EPC_LBL AS STRING),'{')&gt;0 OR INSTR(CAST(X.TYP_EPC_LBL AS STRING),'}')&gt;0 OR INSTR(CAST(X.TYP_EPC_LBL AS STRING),'[')&gt;0 OR INSTR(CAST(X.TYP_EPC_LBL AS STRING),'')&gt;0 OR INSTR(CAST(X.TYP_EPC_LBL AS STRING),']')&gt;0 OR INSTR(CAST(X.TYP_EPC_LBL AS STRING),'?')&gt;0 OR INSTR(CAST(X.TYP_EPC_LBL AS STRING),'!')&gt;0 OR INSTR(CAST(X.TYP_EPC_LBL AS STRING),'$')&gt;0 OR INSTR(CAST(X.TYP_EPC_LBL AS STRING),'%')&gt;0 OR INSTR(CAST(X.TYP_EPC_LBL AS STRING),'&amp;')&gt;0 OR INSTR(CAST(X.TYP_EPC_LBL AS STRING),'+')&gt;0,1,0)) AS NUM_REG_DIF,'10' AS ID_EXEC, CURRENT_TIMESTAMP() AS TIME_EXEC FROM (SELECT prtctn_id, TYP_EPC_LBL FROM BU_LOANTAPE_WORK.LT004_PROTECTION WHERE ref_date='${ref_date}' AND nome_perimetro='Individual Corporativo' AND segmento='ESTR' AND ambito='PILAR3')X</v>
      </c>
      <c r="N261" s="45" t="s">
        <v>13</v>
      </c>
    </row>
    <row r="262" spans="2:14">
      <c r="B262" s="41" t="s">
        <v>31</v>
      </c>
      <c r="C262" s="41" t="s">
        <v>76</v>
      </c>
      <c r="D262" s="41" t="str">
        <f>+UPPER('0. Instruções'!$D$33&amp;"."&amp;VLOOKUP(B262,'0. Instruções'!$C$27:$D$31,2,FALSE))</f>
        <v>BU_LOANTAPE_WORK.LT004_PROTECTION</v>
      </c>
      <c r="E262" s="41" t="str">
        <f>+UPPER('0. Instruções'!$D$34&amp;"."&amp;VLOOKUP(B262,'0. Instruções'!$C$27:$E$31,3,FALSE))</f>
        <v>BU_LOANTAPE_WORK.LT004_PROTECTION_P3_NOV24</v>
      </c>
      <c r="F262" s="41" t="s">
        <v>138</v>
      </c>
      <c r="G262" s="41" t="s">
        <v>209</v>
      </c>
      <c r="H262" s="41"/>
      <c r="I262" s="41" t="str">
        <f>"(SELECT "&amp;VLOOKUP(B262,'0. Instruções'!$C$27:$G$31,4,FALSE)&amp;", "&amp;F262&amp;" FROM "&amp;D262&amp;" WHERE "&amp;'0. Instruções'!$D$40&amp;")X"</f>
        <v>(SELECT prtctn_id, EPC_LBL FROM BU_LOANTAPE_WORK.LT004_PROTECTION WHERE ref_date='${ref_date}' AND nome_perimetro='Individual Corporativo' AND segmento='ESTR' AND ambito='PILAR3')X</v>
      </c>
      <c r="J262" s="41" t="str">
        <f>"(SELECT "&amp;VLOOKUP(B262,'0. Instruções'!$C$27:$G$31,4,FALSE)&amp;" AS "&amp;VLOOKUP(B262,'0. Instruções'!$C$27:$G$31,4,FALSE)&amp;"_SIMUL, "&amp;F262&amp;" AS "&amp;F262&amp;"_SIMUL FROM "&amp;E262&amp;")Y"</f>
        <v>(SELECT prtctn_id AS prtctn_id_SIMUL, EPC_LBL AS EPC_LBL_SIMUL FROM BU_LOANTAPE_WORK.LT004_PROTECTION_P3_NOV24)Y</v>
      </c>
      <c r="K262" s="42" t="str">
        <f>+UPPER("ON X."&amp;VLOOKUP(B262,'0. Instruções'!$C$27:$G$31,4,FALSE)&amp;"=Y."&amp;VLOOKUP(B262,'0. Instruções'!$C$27:$G$31,4,FALSE)&amp;"_SIMUL")</f>
        <v>ON X.PRTCTN_ID=Y.PRTCTN_ID_SIMUL</v>
      </c>
      <c r="L262" s="42" t="str">
        <f>+IF(C262="Coerência", +IF(LEFT(G262,5)="FLOAT","SELECT '"&amp;UPPER(B262)&amp;"' AS TABELA, '"&amp;UPPER(C262)&amp;"' AS TIPOLOGIA_TESTE,'"&amp;D262&amp;"' AS TABELA_LT,'"&amp;E262&amp;"' AS TABELA_SIMUL,'"&amp;F262&amp;"' AS CAMPO, "&amp;"'${ref_date}' AS REF_DATE, COUNT(*) AS NUM_REG, SUM(IF((ABS(COALESCE(X."&amp;F262&amp;",0)-COALESCE(Y."&amp;F262&amp;"_SIMUL,0))&gt;0.0000000001) OR (X."&amp;F262&amp;" IS NULL AND Y."&amp;F262&amp;"_SIMUL IS NOT NULL ) OR (X."&amp;F262&amp;" IS NOT NULL AND Y."&amp;F262&amp;"_SIMUL IS NULL),1,0)) AS NUM_REG_DIF,'"&amp;MAX('ID1&amp;5'!K:K)+1&amp;"' AS ID_EXEC, CURRENT_TIMESTAMP() AS TIME_EXEC FROM "&amp;I262&amp;" INNER JOIN "&amp;J262&amp;" "&amp;K262,"SELECT '"&amp;UPPER(B262)&amp;"' AS TABELA, '"&amp;UPPER(C262)&amp;"' AS TIPOLOGIA_TESTE,'"&amp;D262&amp;"' AS TABELA_LT,'"&amp;E262&amp;"' AS TABELA_SIMUL,'"&amp;F262&amp;"' AS CAMPO, "&amp;"'${ref_date}' AS REF_DATE, COUNT(*) AS NUM_REG, SUM(IF(COALESCE(CAST(X."&amp;F262&amp;" AS STRING),'')&lt;&gt;COALESCE(CAST(Y."&amp;F262&amp;"_SIMUL AS STRING),''),1,0)) AS NUM_REG_DIF,'"&amp;MAX('ID1&amp;5'!L:L)+1&amp;"' AS ID_EXEC, CURRENT_TIMESTAMP() AS TIME_EXEC FROM "&amp;I262&amp;" INNER JOIN "&amp;J262&amp;" "&amp;K262),
IF(C262="Validade",+IF(G262="Code List","SELECT '"&amp;UPPER(B262)&amp;"' AS TABELA, '"&amp;UPPER(C262)&amp;"' AS TIPOLOGIA_TESTE,'"&amp;D262&amp;"' AS TABELA_LT,'N/A' AS TABELA_SIMUL,'"&amp;F262&amp;"' AS CAMPO, "&amp;"'${ref_date}' AS REF_DATE, COUNT(*) AS NUM_REG, SUM(IF(TRIM(CAST(X."&amp;F262&amp;" AS STRING))='' OR TRIM(CAST(X."&amp;F262&amp;" AS STRING)) IS NULL OR CAST(X."&amp;F262&amp;" AS STRING) NOT "&amp;H262&amp;",1,0)) AS NUM_REG_DIF,'"&amp;MAX('ID1&amp;5'!K:K)+1&amp;"' AS ID_EXEC, CURRENT_TIMESTAMP() AS TIME_EXEC FROM "&amp;I262,"SELECT '"&amp;UPPER(B262)&amp;"' AS TABELA, '"&amp;UPPER(C262)&amp;"' AS TIPOLOGIA_TESTE,'"&amp;D262&amp;"' AS TABELA_LT,'N/A' AS TABELA_SIMUL,'"&amp;F262&amp;"' AS CAMPO, "&amp;"'${ref_date}' AS REF_DATE, COUNT(*) AS NUM_REG, SUM(IF(TRIM(CAST(X."&amp;F262&amp;" AS STRING))='' OR TRIM(CAST(X."&amp;F262&amp;" AS STRING)) IS NULL,1,0)) AS NUM_REG_DIF,'"&amp;MAX('ID1&amp;5'!K:K)+1&amp;"' AS ID_EXEC, CURRENT_TIMESTAMP() AS TIME_EXEC FROM "&amp;I262),
IF(C262="Caracteres Especiais",+"SELECT '"&amp;UPPER(B262)&amp;"' AS TABELA, '"&amp;UPPER(C262)&amp;"' AS TIPOLOGIA_TESTE,'"&amp;D262&amp;"' AS TABELA_LT,'N/A' AS TABELA_SIMUL,'"&amp;F262&amp;"' AS CAMPO, "&amp;"'${ref_date}' AS REF_DATE, COUNT(*) AS NUM_REG, SUM(IF(INSTR(CAST(X."&amp;F262&amp;" AS STRING),'#')&gt;0 OR INSTR(CAST(X."&amp;F262&amp;" AS STRING),'*')&gt;0 OR INSTR(CAST(X."&amp;F262&amp;" AS STRING),'`')&gt;0 OR INSTR(CAST(X."&amp;F262&amp;" AS STRING),'´')&gt;0 OR INSTR(CAST(X."&amp;F262&amp;" AS STRING),'{')&gt;0 OR INSTR(CAST(X."&amp;F262&amp;" AS STRING),'}')&gt;0 OR INSTR(CAST(X."&amp;F262&amp;" AS STRING),'[')&gt;0 OR INSTR(CAST(X."&amp;F262&amp;" AS STRING),'')&gt;0 OR INSTR(CAST(X."&amp;F262&amp;" AS STRING),']')&gt;0 OR INSTR(CAST(X."&amp;F262&amp;" AS STRING),'?')&gt;0 OR INSTR(CAST(X."&amp;F262&amp;" AS STRING),'!')&gt;0 OR INSTR(CAST(X."&amp;F262&amp;" AS STRING),'$')&gt;0 OR INSTR(CAST(X."&amp;F262&amp;" AS STRING),'%')&gt;0 OR INSTR(CAST(X."&amp;F262&amp;" AS STRING),'&amp;')&gt;0 OR INSTR(CAST(X."&amp;F262&amp;" AS STRING),'+')&gt;0,1,0)) AS NUM_REG_DIF,'"&amp;MAX('ID1&amp;5'!K:K)+1&amp;"' AS ID_EXEC, CURRENT_TIMESTAMP() AS TIME_EXEC FROM "&amp;I262,
IF(C262="Missings",+"SELECT '"&amp;UPPER(B262)&amp;"' AS TABELA, '"&amp;UPPER(C262)&amp;"' AS TIPOLOGIA_TESTE,'"&amp;D262&amp;"' AS TABELA_LT,'N/A' AS TABELA_SIMUL,'"&amp;F262&amp;"' AS CAMPO, "&amp;"'${ref_date}' AS REF_DATE, COUNT(*) AS NUM_REG, SUM(IF(TRIM(CAST(X."&amp;F262&amp;" AS STRING)) IN ('0000-00-00','0001-01-01','9999-12-31','MISS','00000','99999999999','99999999999.00','99999999999.000000'),1,0)) AS NUM_REG_DIF,'"&amp;MAX('ID1&amp;5'!K:K)+1&amp;"' AS ID_EXEC, CURRENT_TIMESTAMP() AS TIME_EXEC FROM "&amp;I262,
IF(C262="Not applicable",+"SELECT '"&amp;UPPER(B262)&amp;"' AS TABELA, '"&amp;UPPER(C262)&amp;"' AS TIPOLOGIA_TESTE,'"&amp;D262&amp;"' AS TABELA_LT,'N/A' AS TABELA_SIMUL,'"&amp;F262&amp;"' AS CAMPO, "&amp;"'${ref_date}' AS REF_DATE, COUNT(*) AS NUM_REG, SUM(IF(TRIM(CAST(X."&amp;F262&amp;" AS STRING)) IN ('N/A','11111111111','11111111111.00','11111111111.000000','1111-11-11'),1,0)) AS NUM_REG_DIF,'"&amp;MAX('ID1&amp;5'!K:K)+1&amp;"' AS ID_EXEC, CURRENT_TIMESTAMP() AS TIME_EXEC FROM "&amp;I262,
IF(C262="Valores extremos",+"SELECT '"&amp;UPPER(B262)&amp;"' AS TABELA, '"&amp;UPPER(C262)&amp;"' AS TIPOLOGIA_TESTE,'"&amp;D262&amp;"' AS TABELA_LT,'N/A' AS TABELA_SIMUL,'"&amp;F262&amp;"' AS CAMPO, "&amp;"'${ref_date}' AS REF_DATE, CAST(MIN("&amp;F262&amp;") AS STRING) AS VALOR_MIN, CAST(MAX("&amp;F262&amp;") AS STRING) AS VALOR_MAX,'"&amp;MAX('ID1&amp;5'!K:K)+1&amp;"' AS ID_EXEC, CURRENT_TIMESTAMP() AS TIME_EXEC FROM "&amp;MID(I262,1,LEN(I262)-2)&amp;" AND CAST("&amp;F262&amp;"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TABELA_SIMUL,'EPC_LBL' AS CAMPO, '${ref_date}' AS REF_DATE, COUNT(*) AS NUM_REG, SUM(IF(INSTR(CAST(X.EPC_LBL AS STRING),'#')&gt;0 OR INSTR(CAST(X.EPC_LBL AS STRING),'*')&gt;0 OR INSTR(CAST(X.EPC_LBL AS STRING),'`')&gt;0 OR INSTR(CAST(X.EPC_LBL AS STRING),'´')&gt;0 OR INSTR(CAST(X.EPC_LBL AS STRING),'{')&gt;0 OR INSTR(CAST(X.EPC_LBL AS STRING),'}')&gt;0 OR INSTR(CAST(X.EPC_LBL AS STRING),'[')&gt;0 OR INSTR(CAST(X.EPC_LBL AS STRING),'')&gt;0 OR INSTR(CAST(X.EPC_LBL AS STRING),']')&gt;0 OR INSTR(CAST(X.EPC_LBL AS STRING),'?')&gt;0 OR INSTR(CAST(X.EPC_LBL AS STRING),'!')&gt;0 OR INSTR(CAST(X.EPC_LBL AS STRING),'$')&gt;0 OR INSTR(CAST(X.EPC_LBL AS STRING),'%')&gt;0 OR INSTR(CAST(X.EPC_LBL AS STRING),'&amp;')&gt;0 OR INSTR(CAST(X.EPC_LBL AS STRING),'+')&gt;0,1,0)) AS NUM_REG_DIF,'10' AS ID_EXEC, CURRENT_TIMESTAMP() AS TIME_EXEC FROM (SELECT prtctn_id, EPC_LBL FROM BU_LOANTAPE_WORK.LT004_PROTECTION WHERE ref_date='${ref_date}' AND nome_perimetro='Individual Corporativo' AND segmento='ESTR' AND ambito='PILAR3')X</v>
      </c>
      <c r="M262" s="43" t="str">
        <f t="shared" si="4"/>
        <v>UNION ALL SELECT 'PROTECTION' AS TABELA, 'CARACTERES ESPECIAIS' AS TIPOLOGIA_TESTE,'BU_LOANTAPE_WORK.LT004_PROTECTION' AS TABELA_LT,'N/A' AS TABELA_SIMUL,'EPC_LBL' AS CAMPO, '${ref_date}' AS REF_DATE, COUNT(*) AS NUM_REG, SUM(IF(INSTR(CAST(X.EPC_LBL AS STRING),'#')&gt;0 OR INSTR(CAST(X.EPC_LBL AS STRING),'*')&gt;0 OR INSTR(CAST(X.EPC_LBL AS STRING),'`')&gt;0 OR INSTR(CAST(X.EPC_LBL AS STRING),'´')&gt;0 OR INSTR(CAST(X.EPC_LBL AS STRING),'{')&gt;0 OR INSTR(CAST(X.EPC_LBL AS STRING),'}')&gt;0 OR INSTR(CAST(X.EPC_LBL AS STRING),'[')&gt;0 OR INSTR(CAST(X.EPC_LBL AS STRING),'')&gt;0 OR INSTR(CAST(X.EPC_LBL AS STRING),']')&gt;0 OR INSTR(CAST(X.EPC_LBL AS STRING),'?')&gt;0 OR INSTR(CAST(X.EPC_LBL AS STRING),'!')&gt;0 OR INSTR(CAST(X.EPC_LBL AS STRING),'$')&gt;0 OR INSTR(CAST(X.EPC_LBL AS STRING),'%')&gt;0 OR INSTR(CAST(X.EPC_LBL AS STRING),'&amp;')&gt;0 OR INSTR(CAST(X.EPC_LBL AS STRING),'+')&gt;0,1,0)) AS NUM_REG_DIF,'10' AS ID_EXEC, CURRENT_TIMESTAMP() AS TIME_EXEC FROM (SELECT prtctn_id, EPC_LBL FROM BU_LOANTAPE_WORK.LT004_PROTECTION WHERE ref_date='${ref_date}' AND nome_perimetro='Individual Corporativo' AND segmento='ESTR' AND ambito='PILAR3')X</v>
      </c>
      <c r="N262" s="45" t="s">
        <v>13</v>
      </c>
    </row>
    <row r="263" spans="2:14">
      <c r="B263" s="41" t="s">
        <v>31</v>
      </c>
      <c r="C263" s="41" t="s">
        <v>76</v>
      </c>
      <c r="D263" s="41" t="str">
        <f>+UPPER('0. Instruções'!$D$33&amp;"."&amp;VLOOKUP(B263,'0. Instruções'!$C$27:$D$31,2,FALSE))</f>
        <v>BU_LOANTAPE_WORK.LT004_PROTECTION</v>
      </c>
      <c r="E263" s="41" t="str">
        <f>+UPPER('0. Instruções'!$D$34&amp;"."&amp;VLOOKUP(B263,'0. Instruções'!$C$27:$E$31,3,FALSE))</f>
        <v>BU_LOANTAPE_WORK.LT004_PROTECTION_P3_NOV24</v>
      </c>
      <c r="F263" s="41" t="s">
        <v>139</v>
      </c>
      <c r="G263" s="41" t="s">
        <v>210</v>
      </c>
      <c r="H263" s="41"/>
      <c r="I263" s="41" t="str">
        <f>"(SELECT "&amp;VLOOKUP(B263,'0. Instruções'!$C$27:$G$31,4,FALSE)&amp;", "&amp;F263&amp;" FROM "&amp;D263&amp;" WHERE "&amp;'0. Instruções'!$D$40&amp;")X"</f>
        <v>(SELECT prtctn_id, EMSSNS_SCP1_PRTCTN FROM BU_LOANTAPE_WORK.LT004_PROTECTION WHERE ref_date='${ref_date}' AND nome_perimetro='Individual Corporativo' AND segmento='ESTR' AND ambito='PILAR3')X</v>
      </c>
      <c r="J263" s="41" t="str">
        <f>"(SELECT "&amp;VLOOKUP(B263,'0. Instruções'!$C$27:$G$31,4,FALSE)&amp;" AS "&amp;VLOOKUP(B263,'0. Instruções'!$C$27:$G$31,4,FALSE)&amp;"_SIMUL, "&amp;F263&amp;" AS "&amp;F263&amp;"_SIMUL FROM "&amp;E263&amp;")Y"</f>
        <v>(SELECT prtctn_id AS prtctn_id_SIMUL, EMSSNS_SCP1_PRTCTN AS EMSSNS_SCP1_PRTCTN_SIMUL FROM BU_LOANTAPE_WORK.LT004_PROTECTION_P3_NOV24)Y</v>
      </c>
      <c r="K263" s="42" t="str">
        <f>+UPPER("ON X."&amp;VLOOKUP(B263,'0. Instruções'!$C$27:$G$31,4,FALSE)&amp;"=Y."&amp;VLOOKUP(B263,'0. Instruções'!$C$27:$G$31,4,FALSE)&amp;"_SIMUL")</f>
        <v>ON X.PRTCTN_ID=Y.PRTCTN_ID_SIMUL</v>
      </c>
      <c r="L263" s="42" t="str">
        <f>+IF(C263="Coerência", +IF(LEFT(G263,5)="FLOAT","SELECT '"&amp;UPPER(B263)&amp;"' AS TABELA, '"&amp;UPPER(C263)&amp;"' AS TIPOLOGIA_TESTE,'"&amp;D263&amp;"' AS TABELA_LT,'"&amp;E263&amp;"' AS TABELA_SIMUL,'"&amp;F263&amp;"' AS CAMPO, "&amp;"'${ref_date}' AS REF_DATE, COUNT(*) AS NUM_REG, SUM(IF((ABS(COALESCE(X."&amp;F263&amp;",0)-COALESCE(Y."&amp;F263&amp;"_SIMUL,0))&gt;0.0000000001) OR (X."&amp;F263&amp;" IS NULL AND Y."&amp;F263&amp;"_SIMUL IS NOT NULL ) OR (X."&amp;F263&amp;" IS NOT NULL AND Y."&amp;F263&amp;"_SIMUL IS NULL),1,0)) AS NUM_REG_DIF,'"&amp;MAX('ID1&amp;5'!K:K)+1&amp;"' AS ID_EXEC, CURRENT_TIMESTAMP() AS TIME_EXEC FROM "&amp;I263&amp;" INNER JOIN "&amp;J263&amp;" "&amp;K263,"SELECT '"&amp;UPPER(B263)&amp;"' AS TABELA, '"&amp;UPPER(C263)&amp;"' AS TIPOLOGIA_TESTE,'"&amp;D263&amp;"' AS TABELA_LT,'"&amp;E263&amp;"' AS TABELA_SIMUL,'"&amp;F263&amp;"' AS CAMPO, "&amp;"'${ref_date}' AS REF_DATE, COUNT(*) AS NUM_REG, SUM(IF(COALESCE(CAST(X."&amp;F263&amp;" AS STRING),'')&lt;&gt;COALESCE(CAST(Y."&amp;F263&amp;"_SIMUL AS STRING),''),1,0)) AS NUM_REG_DIF,'"&amp;MAX('ID1&amp;5'!L:L)+1&amp;"' AS ID_EXEC, CURRENT_TIMESTAMP() AS TIME_EXEC FROM "&amp;I263&amp;" INNER JOIN "&amp;J263&amp;" "&amp;K263),
IF(C263="Validade",+IF(G263="Code List","SELECT '"&amp;UPPER(B263)&amp;"' AS TABELA, '"&amp;UPPER(C263)&amp;"' AS TIPOLOGIA_TESTE,'"&amp;D263&amp;"' AS TABELA_LT,'N/A' AS TABELA_SIMUL,'"&amp;F263&amp;"' AS CAMPO, "&amp;"'${ref_date}' AS REF_DATE, COUNT(*) AS NUM_REG, SUM(IF(TRIM(CAST(X."&amp;F263&amp;" AS STRING))='' OR TRIM(CAST(X."&amp;F263&amp;" AS STRING)) IS NULL OR CAST(X."&amp;F263&amp;" AS STRING) NOT "&amp;H263&amp;",1,0)) AS NUM_REG_DIF,'"&amp;MAX('ID1&amp;5'!K:K)+1&amp;"' AS ID_EXEC, CURRENT_TIMESTAMP() AS TIME_EXEC FROM "&amp;I263,"SELECT '"&amp;UPPER(B263)&amp;"' AS TABELA, '"&amp;UPPER(C263)&amp;"' AS TIPOLOGIA_TESTE,'"&amp;D263&amp;"' AS TABELA_LT,'N/A' AS TABELA_SIMUL,'"&amp;F263&amp;"' AS CAMPO, "&amp;"'${ref_date}' AS REF_DATE, COUNT(*) AS NUM_REG, SUM(IF(TRIM(CAST(X."&amp;F263&amp;" AS STRING))='' OR TRIM(CAST(X."&amp;F263&amp;" AS STRING)) IS NULL,1,0)) AS NUM_REG_DIF,'"&amp;MAX('ID1&amp;5'!K:K)+1&amp;"' AS ID_EXEC, CURRENT_TIMESTAMP() AS TIME_EXEC FROM "&amp;I263),
IF(C263="Caracteres Especiais",+"SELECT '"&amp;UPPER(B263)&amp;"' AS TABELA, '"&amp;UPPER(C263)&amp;"' AS TIPOLOGIA_TESTE,'"&amp;D263&amp;"' AS TABELA_LT,'N/A' AS TABELA_SIMUL,'"&amp;F263&amp;"' AS CAMPO, "&amp;"'${ref_date}' AS REF_DATE, COUNT(*) AS NUM_REG, SUM(IF(INSTR(CAST(X."&amp;F263&amp;" AS STRING),'#')&gt;0 OR INSTR(CAST(X."&amp;F263&amp;" AS STRING),'*')&gt;0 OR INSTR(CAST(X."&amp;F263&amp;" AS STRING),'`')&gt;0 OR INSTR(CAST(X."&amp;F263&amp;" AS STRING),'´')&gt;0 OR INSTR(CAST(X."&amp;F263&amp;" AS STRING),'{')&gt;0 OR INSTR(CAST(X."&amp;F263&amp;" AS STRING),'}')&gt;0 OR INSTR(CAST(X."&amp;F263&amp;" AS STRING),'[')&gt;0 OR INSTR(CAST(X."&amp;F263&amp;" AS STRING),'')&gt;0 OR INSTR(CAST(X."&amp;F263&amp;" AS STRING),']')&gt;0 OR INSTR(CAST(X."&amp;F263&amp;" AS STRING),'?')&gt;0 OR INSTR(CAST(X."&amp;F263&amp;" AS STRING),'!')&gt;0 OR INSTR(CAST(X."&amp;F263&amp;" AS STRING),'$')&gt;0 OR INSTR(CAST(X."&amp;F263&amp;" AS STRING),'%')&gt;0 OR INSTR(CAST(X."&amp;F263&amp;" AS STRING),'&amp;')&gt;0 OR INSTR(CAST(X."&amp;F263&amp;" AS STRING),'+')&gt;0,1,0)) AS NUM_REG_DIF,'"&amp;MAX('ID1&amp;5'!K:K)+1&amp;"' AS ID_EXEC, CURRENT_TIMESTAMP() AS TIME_EXEC FROM "&amp;I263,
IF(C263="Missings",+"SELECT '"&amp;UPPER(B263)&amp;"' AS TABELA, '"&amp;UPPER(C263)&amp;"' AS TIPOLOGIA_TESTE,'"&amp;D263&amp;"' AS TABELA_LT,'N/A' AS TABELA_SIMUL,'"&amp;F263&amp;"' AS CAMPO, "&amp;"'${ref_date}' AS REF_DATE, COUNT(*) AS NUM_REG, SUM(IF(TRIM(CAST(X."&amp;F263&amp;" AS STRING)) IN ('0000-00-00','0001-01-01','9999-12-31','MISS','00000','99999999999','99999999999.00','99999999999.000000'),1,0)) AS NUM_REG_DIF,'"&amp;MAX('ID1&amp;5'!K:K)+1&amp;"' AS ID_EXEC, CURRENT_TIMESTAMP() AS TIME_EXEC FROM "&amp;I263,
IF(C263="Not applicable",+"SELECT '"&amp;UPPER(B263)&amp;"' AS TABELA, '"&amp;UPPER(C263)&amp;"' AS TIPOLOGIA_TESTE,'"&amp;D263&amp;"' AS TABELA_LT,'N/A' AS TABELA_SIMUL,'"&amp;F263&amp;"' AS CAMPO, "&amp;"'${ref_date}' AS REF_DATE, COUNT(*) AS NUM_REG, SUM(IF(TRIM(CAST(X."&amp;F263&amp;" AS STRING)) IN ('N/A','11111111111','11111111111.00','11111111111.000000','1111-11-11'),1,0)) AS NUM_REG_DIF,'"&amp;MAX('ID1&amp;5'!K:K)+1&amp;"' AS ID_EXEC, CURRENT_TIMESTAMP() AS TIME_EXEC FROM "&amp;I263,
IF(C263="Valores extremos",+"SELECT '"&amp;UPPER(B263)&amp;"' AS TABELA, '"&amp;UPPER(C263)&amp;"' AS TIPOLOGIA_TESTE,'"&amp;D263&amp;"' AS TABELA_LT,'N/A' AS TABELA_SIMUL,'"&amp;F263&amp;"' AS CAMPO, "&amp;"'${ref_date}' AS REF_DATE, CAST(MIN("&amp;F263&amp;") AS STRING) AS VALOR_MIN, CAST(MAX("&amp;F263&amp;") AS STRING) AS VALOR_MAX,'"&amp;MAX('ID1&amp;5'!K:K)+1&amp;"' AS ID_EXEC, CURRENT_TIMESTAMP() AS TIME_EXEC FROM "&amp;MID(I263,1,LEN(I263)-2)&amp;" AND CAST("&amp;F263&amp;"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TABELA_SIMUL,'EMSSNS_SCP1_PRTCTN' AS CAMPO, '${ref_date}' AS REF_DATE, COUNT(*) AS NUM_REG, SUM(IF(INSTR(CAST(X.EMSSNS_SCP1_PRTCTN AS STRING),'#')&gt;0 OR INSTR(CAST(X.EMSSNS_SCP1_PRTCTN AS STRING),'*')&gt;0 OR INSTR(CAST(X.EMSSNS_SCP1_PRTCTN AS STRING),'`')&gt;0 OR INSTR(CAST(X.EMSSNS_SCP1_PRTCTN AS STRING),'´')&gt;0 OR INSTR(CAST(X.EMSSNS_SCP1_PRTCTN AS STRING),'{')&gt;0 OR INSTR(CAST(X.EMSSNS_SCP1_PRTCTN AS STRING),'}')&gt;0 OR INSTR(CAST(X.EMSSNS_SCP1_PRTCTN AS STRING),'[')&gt;0 OR INSTR(CAST(X.EMSSNS_SCP1_PRTCTN AS STRING),'')&gt;0 OR INSTR(CAST(X.EMSSNS_SCP1_PRTCTN AS STRING),']')&gt;0 OR INSTR(CAST(X.EMSSNS_SCP1_PRTCTN AS STRING),'?')&gt;0 OR INSTR(CAST(X.EMSSNS_SCP1_PRTCTN AS STRING),'!')&gt;0 OR INSTR(CAST(X.EMSSNS_SCP1_PRTCTN AS STRING),'$')&gt;0 OR INSTR(CAST(X.EMSSNS_SCP1_PRTCTN AS STRING),'%')&gt;0 OR INSTR(CAST(X.EMSSNS_SCP1_PRTCTN AS STRING),'&amp;')&gt;0 OR INSTR(CAST(X.EMSSNS_SCP1_PRTCTN AS STRING),'+')&gt;0,1,0)) AS NUM_REG_DIF,'10' AS ID_EXEC, CURRENT_TIMESTAMP() AS TIME_EXEC FROM (SELECT prtctn_id, EMSSNS_SCP1_PRTCTN FROM BU_LOANTAPE_WORK.LT004_PROTECTION WHERE ref_date='${ref_date}' AND nome_perimetro='Individual Corporativo' AND segmento='ESTR' AND ambito='PILAR3')X</v>
      </c>
      <c r="M263" s="43" t="str">
        <f t="shared" si="4"/>
        <v>UNION ALL SELECT 'PROTECTION' AS TABELA, 'CARACTERES ESPECIAIS' AS TIPOLOGIA_TESTE,'BU_LOANTAPE_WORK.LT004_PROTECTION' AS TABELA_LT,'N/A' AS TABELA_SIMUL,'EMSSNS_SCP1_PRTCTN' AS CAMPO, '${ref_date}' AS REF_DATE, COUNT(*) AS NUM_REG, SUM(IF(INSTR(CAST(X.EMSSNS_SCP1_PRTCTN AS STRING),'#')&gt;0 OR INSTR(CAST(X.EMSSNS_SCP1_PRTCTN AS STRING),'*')&gt;0 OR INSTR(CAST(X.EMSSNS_SCP1_PRTCTN AS STRING),'`')&gt;0 OR INSTR(CAST(X.EMSSNS_SCP1_PRTCTN AS STRING),'´')&gt;0 OR INSTR(CAST(X.EMSSNS_SCP1_PRTCTN AS STRING),'{')&gt;0 OR INSTR(CAST(X.EMSSNS_SCP1_PRTCTN AS STRING),'}')&gt;0 OR INSTR(CAST(X.EMSSNS_SCP1_PRTCTN AS STRING),'[')&gt;0 OR INSTR(CAST(X.EMSSNS_SCP1_PRTCTN AS STRING),'')&gt;0 OR INSTR(CAST(X.EMSSNS_SCP1_PRTCTN AS STRING),']')&gt;0 OR INSTR(CAST(X.EMSSNS_SCP1_PRTCTN AS STRING),'?')&gt;0 OR INSTR(CAST(X.EMSSNS_SCP1_PRTCTN AS STRING),'!')&gt;0 OR INSTR(CAST(X.EMSSNS_SCP1_PRTCTN AS STRING),'$')&gt;0 OR INSTR(CAST(X.EMSSNS_SCP1_PRTCTN AS STRING),'%')&gt;0 OR INSTR(CAST(X.EMSSNS_SCP1_PRTCTN AS STRING),'&amp;')&gt;0 OR INSTR(CAST(X.EMSSNS_SCP1_PRTCTN AS STRING),'+')&gt;0,1,0)) AS NUM_REG_DIF,'10' AS ID_EXEC, CURRENT_TIMESTAMP() AS TIME_EXEC FROM (SELECT prtctn_id, EMSSNS_SCP1_PRTCTN FROM BU_LOANTAPE_WORK.LT004_PROTECTION WHERE ref_date='${ref_date}' AND nome_perimetro='Individual Corporativo' AND segmento='ESTR' AND ambito='PILAR3')X</v>
      </c>
      <c r="N263" s="45" t="s">
        <v>13</v>
      </c>
    </row>
    <row r="264" spans="2:14">
      <c r="B264" s="41" t="s">
        <v>31</v>
      </c>
      <c r="C264" s="41" t="s">
        <v>76</v>
      </c>
      <c r="D264" s="41" t="str">
        <f>+UPPER('0. Instruções'!$D$33&amp;"."&amp;VLOOKUP(B264,'0. Instruções'!$C$27:$D$31,2,FALSE))</f>
        <v>BU_LOANTAPE_WORK.LT004_PROTECTION</v>
      </c>
      <c r="E264" s="41" t="str">
        <f>+UPPER('0. Instruções'!$D$34&amp;"."&amp;VLOOKUP(B264,'0. Instruções'!$C$27:$E$31,3,FALSE))</f>
        <v>BU_LOANTAPE_WORK.LT004_PROTECTION_P3_NOV24</v>
      </c>
      <c r="F264" s="41" t="s">
        <v>140</v>
      </c>
      <c r="G264" s="41" t="s">
        <v>210</v>
      </c>
      <c r="H264" s="41"/>
      <c r="I264" s="41" t="str">
        <f>"(SELECT "&amp;VLOOKUP(B264,'0. Instruções'!$C$27:$G$31,4,FALSE)&amp;", "&amp;F264&amp;" FROM "&amp;D264&amp;" WHERE "&amp;'0. Instruções'!$D$40&amp;")X"</f>
        <v>(SELECT prtctn_id, EMSSNS_SCP2_PRTCTN FROM BU_LOANTAPE_WORK.LT004_PROTECTION WHERE ref_date='${ref_date}' AND nome_perimetro='Individual Corporativo' AND segmento='ESTR' AND ambito='PILAR3')X</v>
      </c>
      <c r="J264" s="41" t="str">
        <f>"(SELECT "&amp;VLOOKUP(B264,'0. Instruções'!$C$27:$G$31,4,FALSE)&amp;" AS "&amp;VLOOKUP(B264,'0. Instruções'!$C$27:$G$31,4,FALSE)&amp;"_SIMUL, "&amp;F264&amp;" AS "&amp;F264&amp;"_SIMUL FROM "&amp;E264&amp;")Y"</f>
        <v>(SELECT prtctn_id AS prtctn_id_SIMUL, EMSSNS_SCP2_PRTCTN AS EMSSNS_SCP2_PRTCTN_SIMUL FROM BU_LOANTAPE_WORK.LT004_PROTECTION_P3_NOV24)Y</v>
      </c>
      <c r="K264" s="42" t="str">
        <f>+UPPER("ON X."&amp;VLOOKUP(B264,'0. Instruções'!$C$27:$G$31,4,FALSE)&amp;"=Y."&amp;VLOOKUP(B264,'0. Instruções'!$C$27:$G$31,4,FALSE)&amp;"_SIMUL")</f>
        <v>ON X.PRTCTN_ID=Y.PRTCTN_ID_SIMUL</v>
      </c>
      <c r="L264" s="42" t="str">
        <f>+IF(C264="Coerência", +IF(LEFT(G264,5)="FLOAT","SELECT '"&amp;UPPER(B264)&amp;"' AS TABELA, '"&amp;UPPER(C264)&amp;"' AS TIPOLOGIA_TESTE,'"&amp;D264&amp;"' AS TABELA_LT,'"&amp;E264&amp;"' AS TABELA_SIMUL,'"&amp;F264&amp;"' AS CAMPO, "&amp;"'${ref_date}' AS REF_DATE, COUNT(*) AS NUM_REG, SUM(IF((ABS(COALESCE(X."&amp;F264&amp;",0)-COALESCE(Y."&amp;F264&amp;"_SIMUL,0))&gt;0.0000000001) OR (X."&amp;F264&amp;" IS NULL AND Y."&amp;F264&amp;"_SIMUL IS NOT NULL ) OR (X."&amp;F264&amp;" IS NOT NULL AND Y."&amp;F264&amp;"_SIMUL IS NULL),1,0)) AS NUM_REG_DIF,'"&amp;MAX('ID1&amp;5'!K:K)+1&amp;"' AS ID_EXEC, CURRENT_TIMESTAMP() AS TIME_EXEC FROM "&amp;I264&amp;" INNER JOIN "&amp;J264&amp;" "&amp;K264,"SELECT '"&amp;UPPER(B264)&amp;"' AS TABELA, '"&amp;UPPER(C264)&amp;"' AS TIPOLOGIA_TESTE,'"&amp;D264&amp;"' AS TABELA_LT,'"&amp;E264&amp;"' AS TABELA_SIMUL,'"&amp;F264&amp;"' AS CAMPO, "&amp;"'${ref_date}' AS REF_DATE, COUNT(*) AS NUM_REG, SUM(IF(COALESCE(CAST(X."&amp;F264&amp;" AS STRING),'')&lt;&gt;COALESCE(CAST(Y."&amp;F264&amp;"_SIMUL AS STRING),''),1,0)) AS NUM_REG_DIF,'"&amp;MAX('ID1&amp;5'!L:L)+1&amp;"' AS ID_EXEC, CURRENT_TIMESTAMP() AS TIME_EXEC FROM "&amp;I264&amp;" INNER JOIN "&amp;J264&amp;" "&amp;K264),
IF(C264="Validade",+IF(G264="Code List","SELECT '"&amp;UPPER(B264)&amp;"' AS TABELA, '"&amp;UPPER(C264)&amp;"' AS TIPOLOGIA_TESTE,'"&amp;D264&amp;"' AS TABELA_LT,'N/A' AS TABELA_SIMUL,'"&amp;F264&amp;"' AS CAMPO, "&amp;"'${ref_date}' AS REF_DATE, COUNT(*) AS NUM_REG, SUM(IF(TRIM(CAST(X."&amp;F264&amp;" AS STRING))='' OR TRIM(CAST(X."&amp;F264&amp;" AS STRING)) IS NULL OR CAST(X."&amp;F264&amp;" AS STRING) NOT "&amp;H264&amp;",1,0)) AS NUM_REG_DIF,'"&amp;MAX('ID1&amp;5'!K:K)+1&amp;"' AS ID_EXEC, CURRENT_TIMESTAMP() AS TIME_EXEC FROM "&amp;I264,"SELECT '"&amp;UPPER(B264)&amp;"' AS TABELA, '"&amp;UPPER(C264)&amp;"' AS TIPOLOGIA_TESTE,'"&amp;D264&amp;"' AS TABELA_LT,'N/A' AS TABELA_SIMUL,'"&amp;F264&amp;"' AS CAMPO, "&amp;"'${ref_date}' AS REF_DATE, COUNT(*) AS NUM_REG, SUM(IF(TRIM(CAST(X."&amp;F264&amp;" AS STRING))='' OR TRIM(CAST(X."&amp;F264&amp;" AS STRING)) IS NULL,1,0)) AS NUM_REG_DIF,'"&amp;MAX('ID1&amp;5'!K:K)+1&amp;"' AS ID_EXEC, CURRENT_TIMESTAMP() AS TIME_EXEC FROM "&amp;I264),
IF(C264="Caracteres Especiais",+"SELECT '"&amp;UPPER(B264)&amp;"' AS TABELA, '"&amp;UPPER(C264)&amp;"' AS TIPOLOGIA_TESTE,'"&amp;D264&amp;"' AS TABELA_LT,'N/A' AS TABELA_SIMUL,'"&amp;F264&amp;"' AS CAMPO, "&amp;"'${ref_date}' AS REF_DATE, COUNT(*) AS NUM_REG, SUM(IF(INSTR(CAST(X."&amp;F264&amp;" AS STRING),'#')&gt;0 OR INSTR(CAST(X."&amp;F264&amp;" AS STRING),'*')&gt;0 OR INSTR(CAST(X."&amp;F264&amp;" AS STRING),'`')&gt;0 OR INSTR(CAST(X."&amp;F264&amp;" AS STRING),'´')&gt;0 OR INSTR(CAST(X."&amp;F264&amp;" AS STRING),'{')&gt;0 OR INSTR(CAST(X."&amp;F264&amp;" AS STRING),'}')&gt;0 OR INSTR(CAST(X."&amp;F264&amp;" AS STRING),'[')&gt;0 OR INSTR(CAST(X."&amp;F264&amp;" AS STRING),'')&gt;0 OR INSTR(CAST(X."&amp;F264&amp;" AS STRING),']')&gt;0 OR INSTR(CAST(X."&amp;F264&amp;" AS STRING),'?')&gt;0 OR INSTR(CAST(X."&amp;F264&amp;" AS STRING),'!')&gt;0 OR INSTR(CAST(X."&amp;F264&amp;" AS STRING),'$')&gt;0 OR INSTR(CAST(X."&amp;F264&amp;" AS STRING),'%')&gt;0 OR INSTR(CAST(X."&amp;F264&amp;" AS STRING),'&amp;')&gt;0 OR INSTR(CAST(X."&amp;F264&amp;" AS STRING),'+')&gt;0,1,0)) AS NUM_REG_DIF,'"&amp;MAX('ID1&amp;5'!K:K)+1&amp;"' AS ID_EXEC, CURRENT_TIMESTAMP() AS TIME_EXEC FROM "&amp;I264,
IF(C264="Missings",+"SELECT '"&amp;UPPER(B264)&amp;"' AS TABELA, '"&amp;UPPER(C264)&amp;"' AS TIPOLOGIA_TESTE,'"&amp;D264&amp;"' AS TABELA_LT,'N/A' AS TABELA_SIMUL,'"&amp;F264&amp;"' AS CAMPO, "&amp;"'${ref_date}' AS REF_DATE, COUNT(*) AS NUM_REG, SUM(IF(TRIM(CAST(X."&amp;F264&amp;" AS STRING)) IN ('0000-00-00','0001-01-01','9999-12-31','MISS','00000','99999999999','99999999999.00','99999999999.000000'),1,0)) AS NUM_REG_DIF,'"&amp;MAX('ID1&amp;5'!K:K)+1&amp;"' AS ID_EXEC, CURRENT_TIMESTAMP() AS TIME_EXEC FROM "&amp;I264,
IF(C264="Not applicable",+"SELECT '"&amp;UPPER(B264)&amp;"' AS TABELA, '"&amp;UPPER(C264)&amp;"' AS TIPOLOGIA_TESTE,'"&amp;D264&amp;"' AS TABELA_LT,'N/A' AS TABELA_SIMUL,'"&amp;F264&amp;"' AS CAMPO, "&amp;"'${ref_date}' AS REF_DATE, COUNT(*) AS NUM_REG, SUM(IF(TRIM(CAST(X."&amp;F264&amp;" AS STRING)) IN ('N/A','11111111111','11111111111.00','11111111111.000000','1111-11-11'),1,0)) AS NUM_REG_DIF,'"&amp;MAX('ID1&amp;5'!K:K)+1&amp;"' AS ID_EXEC, CURRENT_TIMESTAMP() AS TIME_EXEC FROM "&amp;I264,
IF(C264="Valores extremos",+"SELECT '"&amp;UPPER(B264)&amp;"' AS TABELA, '"&amp;UPPER(C264)&amp;"' AS TIPOLOGIA_TESTE,'"&amp;D264&amp;"' AS TABELA_LT,'N/A' AS TABELA_SIMUL,'"&amp;F264&amp;"' AS CAMPO, "&amp;"'${ref_date}' AS REF_DATE, CAST(MIN("&amp;F264&amp;") AS STRING) AS VALOR_MIN, CAST(MAX("&amp;F264&amp;") AS STRING) AS VALOR_MAX,'"&amp;MAX('ID1&amp;5'!K:K)+1&amp;"' AS ID_EXEC, CURRENT_TIMESTAMP() AS TIME_EXEC FROM "&amp;MID(I264,1,LEN(I264)-2)&amp;" AND CAST("&amp;F264&amp;"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TABELA_SIMUL,'EMSSNS_SCP2_PRTCTN' AS CAMPO, '${ref_date}' AS REF_DATE, COUNT(*) AS NUM_REG, SUM(IF(INSTR(CAST(X.EMSSNS_SCP2_PRTCTN AS STRING),'#')&gt;0 OR INSTR(CAST(X.EMSSNS_SCP2_PRTCTN AS STRING),'*')&gt;0 OR INSTR(CAST(X.EMSSNS_SCP2_PRTCTN AS STRING),'`')&gt;0 OR INSTR(CAST(X.EMSSNS_SCP2_PRTCTN AS STRING),'´')&gt;0 OR INSTR(CAST(X.EMSSNS_SCP2_PRTCTN AS STRING),'{')&gt;0 OR INSTR(CAST(X.EMSSNS_SCP2_PRTCTN AS STRING),'}')&gt;0 OR INSTR(CAST(X.EMSSNS_SCP2_PRTCTN AS STRING),'[')&gt;0 OR INSTR(CAST(X.EMSSNS_SCP2_PRTCTN AS STRING),'')&gt;0 OR INSTR(CAST(X.EMSSNS_SCP2_PRTCTN AS STRING),']')&gt;0 OR INSTR(CAST(X.EMSSNS_SCP2_PRTCTN AS STRING),'?')&gt;0 OR INSTR(CAST(X.EMSSNS_SCP2_PRTCTN AS STRING),'!')&gt;0 OR INSTR(CAST(X.EMSSNS_SCP2_PRTCTN AS STRING),'$')&gt;0 OR INSTR(CAST(X.EMSSNS_SCP2_PRTCTN AS STRING),'%')&gt;0 OR INSTR(CAST(X.EMSSNS_SCP2_PRTCTN AS STRING),'&amp;')&gt;0 OR INSTR(CAST(X.EMSSNS_SCP2_PRTCTN AS STRING),'+')&gt;0,1,0)) AS NUM_REG_DIF,'10' AS ID_EXEC, CURRENT_TIMESTAMP() AS TIME_EXEC FROM (SELECT prtctn_id, EMSSNS_SCP2_PRTCTN FROM BU_LOANTAPE_WORK.LT004_PROTECTION WHERE ref_date='${ref_date}' AND nome_perimetro='Individual Corporativo' AND segmento='ESTR' AND ambito='PILAR3')X</v>
      </c>
      <c r="M264" s="43" t="str">
        <f t="shared" si="4"/>
        <v>UNION ALL SELECT 'PROTECTION' AS TABELA, 'CARACTERES ESPECIAIS' AS TIPOLOGIA_TESTE,'BU_LOANTAPE_WORK.LT004_PROTECTION' AS TABELA_LT,'N/A' AS TABELA_SIMUL,'EMSSNS_SCP2_PRTCTN' AS CAMPO, '${ref_date}' AS REF_DATE, COUNT(*) AS NUM_REG, SUM(IF(INSTR(CAST(X.EMSSNS_SCP2_PRTCTN AS STRING),'#')&gt;0 OR INSTR(CAST(X.EMSSNS_SCP2_PRTCTN AS STRING),'*')&gt;0 OR INSTR(CAST(X.EMSSNS_SCP2_PRTCTN AS STRING),'`')&gt;0 OR INSTR(CAST(X.EMSSNS_SCP2_PRTCTN AS STRING),'´')&gt;0 OR INSTR(CAST(X.EMSSNS_SCP2_PRTCTN AS STRING),'{')&gt;0 OR INSTR(CAST(X.EMSSNS_SCP2_PRTCTN AS STRING),'}')&gt;0 OR INSTR(CAST(X.EMSSNS_SCP2_PRTCTN AS STRING),'[')&gt;0 OR INSTR(CAST(X.EMSSNS_SCP2_PRTCTN AS STRING),'')&gt;0 OR INSTR(CAST(X.EMSSNS_SCP2_PRTCTN AS STRING),']')&gt;0 OR INSTR(CAST(X.EMSSNS_SCP2_PRTCTN AS STRING),'?')&gt;0 OR INSTR(CAST(X.EMSSNS_SCP2_PRTCTN AS STRING),'!')&gt;0 OR INSTR(CAST(X.EMSSNS_SCP2_PRTCTN AS STRING),'$')&gt;0 OR INSTR(CAST(X.EMSSNS_SCP2_PRTCTN AS STRING),'%')&gt;0 OR INSTR(CAST(X.EMSSNS_SCP2_PRTCTN AS STRING),'&amp;')&gt;0 OR INSTR(CAST(X.EMSSNS_SCP2_PRTCTN AS STRING),'+')&gt;0,1,0)) AS NUM_REG_DIF,'10' AS ID_EXEC, CURRENT_TIMESTAMP() AS TIME_EXEC FROM (SELECT prtctn_id, EMSSNS_SCP2_PRTCTN FROM BU_LOANTAPE_WORK.LT004_PROTECTION WHERE ref_date='${ref_date}' AND nome_perimetro='Individual Corporativo' AND segmento='ESTR' AND ambito='PILAR3')X</v>
      </c>
      <c r="N264" s="45" t="s">
        <v>13</v>
      </c>
    </row>
    <row r="265" spans="2:14">
      <c r="B265" s="41" t="s">
        <v>31</v>
      </c>
      <c r="C265" s="41" t="s">
        <v>76</v>
      </c>
      <c r="D265" s="41" t="str">
        <f>+UPPER('0. Instruções'!$D$33&amp;"."&amp;VLOOKUP(B265,'0. Instruções'!$C$27:$D$31,2,FALSE))</f>
        <v>BU_LOANTAPE_WORK.LT004_PROTECTION</v>
      </c>
      <c r="E265" s="41" t="str">
        <f>+UPPER('0. Instruções'!$D$34&amp;"."&amp;VLOOKUP(B265,'0. Instruções'!$C$27:$E$31,3,FALSE))</f>
        <v>BU_LOANTAPE_WORK.LT004_PROTECTION_P3_NOV24</v>
      </c>
      <c r="F265" s="41" t="s">
        <v>141</v>
      </c>
      <c r="G265" s="41" t="s">
        <v>210</v>
      </c>
      <c r="H265" s="41"/>
      <c r="I265" s="41" t="str">
        <f>"(SELECT "&amp;VLOOKUP(B265,'0. Instruções'!$C$27:$G$31,4,FALSE)&amp;", "&amp;F265&amp;" FROM "&amp;D265&amp;" WHERE "&amp;'0. Instruções'!$D$40&amp;")X"</f>
        <v>(SELECT prtctn_id, EMSSNS_SCP3_PRTCTN FROM BU_LOANTAPE_WORK.LT004_PROTECTION WHERE ref_date='${ref_date}' AND nome_perimetro='Individual Corporativo' AND segmento='ESTR' AND ambito='PILAR3')X</v>
      </c>
      <c r="J265" s="41" t="str">
        <f>"(SELECT "&amp;VLOOKUP(B265,'0. Instruções'!$C$27:$G$31,4,FALSE)&amp;" AS "&amp;VLOOKUP(B265,'0. Instruções'!$C$27:$G$31,4,FALSE)&amp;"_SIMUL, "&amp;F265&amp;" AS "&amp;F265&amp;"_SIMUL FROM "&amp;E265&amp;")Y"</f>
        <v>(SELECT prtctn_id AS prtctn_id_SIMUL, EMSSNS_SCP3_PRTCTN AS EMSSNS_SCP3_PRTCTN_SIMUL FROM BU_LOANTAPE_WORK.LT004_PROTECTION_P3_NOV24)Y</v>
      </c>
      <c r="K265" s="42" t="str">
        <f>+UPPER("ON X."&amp;VLOOKUP(B265,'0. Instruções'!$C$27:$G$31,4,FALSE)&amp;"=Y."&amp;VLOOKUP(B265,'0. Instruções'!$C$27:$G$31,4,FALSE)&amp;"_SIMUL")</f>
        <v>ON X.PRTCTN_ID=Y.PRTCTN_ID_SIMUL</v>
      </c>
      <c r="L265" s="42" t="str">
        <f>+IF(C265="Coerência", +IF(LEFT(G265,5)="FLOAT","SELECT '"&amp;UPPER(B265)&amp;"' AS TABELA, '"&amp;UPPER(C265)&amp;"' AS TIPOLOGIA_TESTE,'"&amp;D265&amp;"' AS TABELA_LT,'"&amp;E265&amp;"' AS TABELA_SIMUL,'"&amp;F265&amp;"' AS CAMPO, "&amp;"'${ref_date}' AS REF_DATE, COUNT(*) AS NUM_REG, SUM(IF((ABS(COALESCE(X."&amp;F265&amp;",0)-COALESCE(Y."&amp;F265&amp;"_SIMUL,0))&gt;0.0000000001) OR (X."&amp;F265&amp;" IS NULL AND Y."&amp;F265&amp;"_SIMUL IS NOT NULL ) OR (X."&amp;F265&amp;" IS NOT NULL AND Y."&amp;F265&amp;"_SIMUL IS NULL),1,0)) AS NUM_REG_DIF,'"&amp;MAX('ID1&amp;5'!K:K)+1&amp;"' AS ID_EXEC, CURRENT_TIMESTAMP() AS TIME_EXEC FROM "&amp;I265&amp;" INNER JOIN "&amp;J265&amp;" "&amp;K265,"SELECT '"&amp;UPPER(B265)&amp;"' AS TABELA, '"&amp;UPPER(C265)&amp;"' AS TIPOLOGIA_TESTE,'"&amp;D265&amp;"' AS TABELA_LT,'"&amp;E265&amp;"' AS TABELA_SIMUL,'"&amp;F265&amp;"' AS CAMPO, "&amp;"'${ref_date}' AS REF_DATE, COUNT(*) AS NUM_REG, SUM(IF(COALESCE(CAST(X."&amp;F265&amp;" AS STRING),'')&lt;&gt;COALESCE(CAST(Y."&amp;F265&amp;"_SIMUL AS STRING),''),1,0)) AS NUM_REG_DIF,'"&amp;MAX('ID1&amp;5'!L:L)+1&amp;"' AS ID_EXEC, CURRENT_TIMESTAMP() AS TIME_EXEC FROM "&amp;I265&amp;" INNER JOIN "&amp;J265&amp;" "&amp;K265),
IF(C265="Validade",+IF(G265="Code List","SELECT '"&amp;UPPER(B265)&amp;"' AS TABELA, '"&amp;UPPER(C265)&amp;"' AS TIPOLOGIA_TESTE,'"&amp;D265&amp;"' AS TABELA_LT,'N/A' AS TABELA_SIMUL,'"&amp;F265&amp;"' AS CAMPO, "&amp;"'${ref_date}' AS REF_DATE, COUNT(*) AS NUM_REG, SUM(IF(TRIM(CAST(X."&amp;F265&amp;" AS STRING))='' OR TRIM(CAST(X."&amp;F265&amp;" AS STRING)) IS NULL OR CAST(X."&amp;F265&amp;" AS STRING) NOT "&amp;H265&amp;",1,0)) AS NUM_REG_DIF,'"&amp;MAX('ID1&amp;5'!K:K)+1&amp;"' AS ID_EXEC, CURRENT_TIMESTAMP() AS TIME_EXEC FROM "&amp;I265,"SELECT '"&amp;UPPER(B265)&amp;"' AS TABELA, '"&amp;UPPER(C265)&amp;"' AS TIPOLOGIA_TESTE,'"&amp;D265&amp;"' AS TABELA_LT,'N/A' AS TABELA_SIMUL,'"&amp;F265&amp;"' AS CAMPO, "&amp;"'${ref_date}' AS REF_DATE, COUNT(*) AS NUM_REG, SUM(IF(TRIM(CAST(X."&amp;F265&amp;" AS STRING))='' OR TRIM(CAST(X."&amp;F265&amp;" AS STRING)) IS NULL,1,0)) AS NUM_REG_DIF,'"&amp;MAX('ID1&amp;5'!K:K)+1&amp;"' AS ID_EXEC, CURRENT_TIMESTAMP() AS TIME_EXEC FROM "&amp;I265),
IF(C265="Caracteres Especiais",+"SELECT '"&amp;UPPER(B265)&amp;"' AS TABELA, '"&amp;UPPER(C265)&amp;"' AS TIPOLOGIA_TESTE,'"&amp;D265&amp;"' AS TABELA_LT,'N/A' AS TABELA_SIMUL,'"&amp;F265&amp;"' AS CAMPO, "&amp;"'${ref_date}' AS REF_DATE, COUNT(*) AS NUM_REG, SUM(IF(INSTR(CAST(X."&amp;F265&amp;" AS STRING),'#')&gt;0 OR INSTR(CAST(X."&amp;F265&amp;" AS STRING),'*')&gt;0 OR INSTR(CAST(X."&amp;F265&amp;" AS STRING),'`')&gt;0 OR INSTR(CAST(X."&amp;F265&amp;" AS STRING),'´')&gt;0 OR INSTR(CAST(X."&amp;F265&amp;" AS STRING),'{')&gt;0 OR INSTR(CAST(X."&amp;F265&amp;" AS STRING),'}')&gt;0 OR INSTR(CAST(X."&amp;F265&amp;" AS STRING),'[')&gt;0 OR INSTR(CAST(X."&amp;F265&amp;" AS STRING),'')&gt;0 OR INSTR(CAST(X."&amp;F265&amp;" AS STRING),']')&gt;0 OR INSTR(CAST(X."&amp;F265&amp;" AS STRING),'?')&gt;0 OR INSTR(CAST(X."&amp;F265&amp;" AS STRING),'!')&gt;0 OR INSTR(CAST(X."&amp;F265&amp;" AS STRING),'$')&gt;0 OR INSTR(CAST(X."&amp;F265&amp;" AS STRING),'%')&gt;0 OR INSTR(CAST(X."&amp;F265&amp;" AS STRING),'&amp;')&gt;0 OR INSTR(CAST(X."&amp;F265&amp;" AS STRING),'+')&gt;0,1,0)) AS NUM_REG_DIF,'"&amp;MAX('ID1&amp;5'!K:K)+1&amp;"' AS ID_EXEC, CURRENT_TIMESTAMP() AS TIME_EXEC FROM "&amp;I265,
IF(C265="Missings",+"SELECT '"&amp;UPPER(B265)&amp;"' AS TABELA, '"&amp;UPPER(C265)&amp;"' AS TIPOLOGIA_TESTE,'"&amp;D265&amp;"' AS TABELA_LT,'N/A' AS TABELA_SIMUL,'"&amp;F265&amp;"' AS CAMPO, "&amp;"'${ref_date}' AS REF_DATE, COUNT(*) AS NUM_REG, SUM(IF(TRIM(CAST(X."&amp;F265&amp;" AS STRING)) IN ('0000-00-00','0001-01-01','9999-12-31','MISS','00000','99999999999','99999999999.00','99999999999.000000'),1,0)) AS NUM_REG_DIF,'"&amp;MAX('ID1&amp;5'!K:K)+1&amp;"' AS ID_EXEC, CURRENT_TIMESTAMP() AS TIME_EXEC FROM "&amp;I265,
IF(C265="Not applicable",+"SELECT '"&amp;UPPER(B265)&amp;"' AS TABELA, '"&amp;UPPER(C265)&amp;"' AS TIPOLOGIA_TESTE,'"&amp;D265&amp;"' AS TABELA_LT,'N/A' AS TABELA_SIMUL,'"&amp;F265&amp;"' AS CAMPO, "&amp;"'${ref_date}' AS REF_DATE, COUNT(*) AS NUM_REG, SUM(IF(TRIM(CAST(X."&amp;F265&amp;" AS STRING)) IN ('N/A','11111111111','11111111111.00','11111111111.000000','1111-11-11'),1,0)) AS NUM_REG_DIF,'"&amp;MAX('ID1&amp;5'!K:K)+1&amp;"' AS ID_EXEC, CURRENT_TIMESTAMP() AS TIME_EXEC FROM "&amp;I265,
IF(C265="Valores extremos",+"SELECT '"&amp;UPPER(B265)&amp;"' AS TABELA, '"&amp;UPPER(C265)&amp;"' AS TIPOLOGIA_TESTE,'"&amp;D265&amp;"' AS TABELA_LT,'N/A' AS TABELA_SIMUL,'"&amp;F265&amp;"' AS CAMPO, "&amp;"'${ref_date}' AS REF_DATE, CAST(MIN("&amp;F265&amp;") AS STRING) AS VALOR_MIN, CAST(MAX("&amp;F265&amp;") AS STRING) AS VALOR_MAX,'"&amp;MAX('ID1&amp;5'!K:K)+1&amp;"' AS ID_EXEC, CURRENT_TIMESTAMP() AS TIME_EXEC FROM "&amp;MID(I265,1,LEN(I265)-2)&amp;" AND CAST("&amp;F265&amp;"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TABELA_SIMUL,'EMSSNS_SCP3_PRTCTN' AS CAMPO, '${ref_date}' AS REF_DATE, COUNT(*) AS NUM_REG, SUM(IF(INSTR(CAST(X.EMSSNS_SCP3_PRTCTN AS STRING),'#')&gt;0 OR INSTR(CAST(X.EMSSNS_SCP3_PRTCTN AS STRING),'*')&gt;0 OR INSTR(CAST(X.EMSSNS_SCP3_PRTCTN AS STRING),'`')&gt;0 OR INSTR(CAST(X.EMSSNS_SCP3_PRTCTN AS STRING),'´')&gt;0 OR INSTR(CAST(X.EMSSNS_SCP3_PRTCTN AS STRING),'{')&gt;0 OR INSTR(CAST(X.EMSSNS_SCP3_PRTCTN AS STRING),'}')&gt;0 OR INSTR(CAST(X.EMSSNS_SCP3_PRTCTN AS STRING),'[')&gt;0 OR INSTR(CAST(X.EMSSNS_SCP3_PRTCTN AS STRING),'')&gt;0 OR INSTR(CAST(X.EMSSNS_SCP3_PRTCTN AS STRING),']')&gt;0 OR INSTR(CAST(X.EMSSNS_SCP3_PRTCTN AS STRING),'?')&gt;0 OR INSTR(CAST(X.EMSSNS_SCP3_PRTCTN AS STRING),'!')&gt;0 OR INSTR(CAST(X.EMSSNS_SCP3_PRTCTN AS STRING),'$')&gt;0 OR INSTR(CAST(X.EMSSNS_SCP3_PRTCTN AS STRING),'%')&gt;0 OR INSTR(CAST(X.EMSSNS_SCP3_PRTCTN AS STRING),'&amp;')&gt;0 OR INSTR(CAST(X.EMSSNS_SCP3_PRTCTN AS STRING),'+')&gt;0,1,0)) AS NUM_REG_DIF,'10' AS ID_EXEC, CURRENT_TIMESTAMP() AS TIME_EXEC FROM (SELECT prtctn_id, EMSSNS_SCP3_PRTCTN FROM BU_LOANTAPE_WORK.LT004_PROTECTION WHERE ref_date='${ref_date}' AND nome_perimetro='Individual Corporativo' AND segmento='ESTR' AND ambito='PILAR3')X</v>
      </c>
      <c r="M265" s="43" t="str">
        <f t="shared" si="4"/>
        <v>UNION ALL SELECT 'PROTECTION' AS TABELA, 'CARACTERES ESPECIAIS' AS TIPOLOGIA_TESTE,'BU_LOANTAPE_WORK.LT004_PROTECTION' AS TABELA_LT,'N/A' AS TABELA_SIMUL,'EMSSNS_SCP3_PRTCTN' AS CAMPO, '${ref_date}' AS REF_DATE, COUNT(*) AS NUM_REG, SUM(IF(INSTR(CAST(X.EMSSNS_SCP3_PRTCTN AS STRING),'#')&gt;0 OR INSTR(CAST(X.EMSSNS_SCP3_PRTCTN AS STRING),'*')&gt;0 OR INSTR(CAST(X.EMSSNS_SCP3_PRTCTN AS STRING),'`')&gt;0 OR INSTR(CAST(X.EMSSNS_SCP3_PRTCTN AS STRING),'´')&gt;0 OR INSTR(CAST(X.EMSSNS_SCP3_PRTCTN AS STRING),'{')&gt;0 OR INSTR(CAST(X.EMSSNS_SCP3_PRTCTN AS STRING),'}')&gt;0 OR INSTR(CAST(X.EMSSNS_SCP3_PRTCTN AS STRING),'[')&gt;0 OR INSTR(CAST(X.EMSSNS_SCP3_PRTCTN AS STRING),'')&gt;0 OR INSTR(CAST(X.EMSSNS_SCP3_PRTCTN AS STRING),']')&gt;0 OR INSTR(CAST(X.EMSSNS_SCP3_PRTCTN AS STRING),'?')&gt;0 OR INSTR(CAST(X.EMSSNS_SCP3_PRTCTN AS STRING),'!')&gt;0 OR INSTR(CAST(X.EMSSNS_SCP3_PRTCTN AS STRING),'$')&gt;0 OR INSTR(CAST(X.EMSSNS_SCP3_PRTCTN AS STRING),'%')&gt;0 OR INSTR(CAST(X.EMSSNS_SCP3_PRTCTN AS STRING),'&amp;')&gt;0 OR INSTR(CAST(X.EMSSNS_SCP3_PRTCTN AS STRING),'+')&gt;0,1,0)) AS NUM_REG_DIF,'10' AS ID_EXEC, CURRENT_TIMESTAMP() AS TIME_EXEC FROM (SELECT prtctn_id, EMSSNS_SCP3_PRTCTN FROM BU_LOANTAPE_WORK.LT004_PROTECTION WHERE ref_date='${ref_date}' AND nome_perimetro='Individual Corporativo' AND segmento='ESTR' AND ambito='PILAR3')X</v>
      </c>
      <c r="N265" s="45" t="s">
        <v>13</v>
      </c>
    </row>
    <row r="266" spans="2:14">
      <c r="B266" s="41" t="s">
        <v>31</v>
      </c>
      <c r="C266" s="41" t="s">
        <v>76</v>
      </c>
      <c r="D266" s="41" t="str">
        <f>+UPPER('0. Instruções'!$D$33&amp;"."&amp;VLOOKUP(B266,'0. Instruções'!$C$27:$D$31,2,FALSE))</f>
        <v>BU_LOANTAPE_WORK.LT004_PROTECTION</v>
      </c>
      <c r="E266" s="41" t="str">
        <f>+UPPER('0. Instruções'!$D$34&amp;"."&amp;VLOOKUP(B266,'0. Instruções'!$C$27:$E$31,3,FALSE))</f>
        <v>BU_LOANTAPE_WORK.LT004_PROTECTION_P3_NOV24</v>
      </c>
      <c r="F266" s="41" t="s">
        <v>142</v>
      </c>
      <c r="G266" s="41" t="s">
        <v>209</v>
      </c>
      <c r="H266" s="41"/>
      <c r="I266" s="41" t="str">
        <f>"(SELECT "&amp;VLOOKUP(B266,'0. Instruções'!$C$27:$G$31,4,FALSE)&amp;", "&amp;F266&amp;" FROM "&amp;D266&amp;" WHERE "&amp;'0. Instruções'!$D$40&amp;")X"</f>
        <v>(SELECT prtctn_id, MTHD_USD_PRTCTN_SCP_1 FROM BU_LOANTAPE_WORK.LT004_PROTECTION WHERE ref_date='${ref_date}' AND nome_perimetro='Individual Corporativo' AND segmento='ESTR' AND ambito='PILAR3')X</v>
      </c>
      <c r="J266" s="41" t="str">
        <f>"(SELECT "&amp;VLOOKUP(B266,'0. Instruções'!$C$27:$G$31,4,FALSE)&amp;" AS "&amp;VLOOKUP(B266,'0. Instruções'!$C$27:$G$31,4,FALSE)&amp;"_SIMUL, "&amp;F266&amp;" AS "&amp;F266&amp;"_SIMUL FROM "&amp;E266&amp;")Y"</f>
        <v>(SELECT prtctn_id AS prtctn_id_SIMUL, MTHD_USD_PRTCTN_SCP_1 AS MTHD_USD_PRTCTN_SCP_1_SIMUL FROM BU_LOANTAPE_WORK.LT004_PROTECTION_P3_NOV24)Y</v>
      </c>
      <c r="K266" s="42" t="str">
        <f>+UPPER("ON X."&amp;VLOOKUP(B266,'0. Instruções'!$C$27:$G$31,4,FALSE)&amp;"=Y."&amp;VLOOKUP(B266,'0. Instruções'!$C$27:$G$31,4,FALSE)&amp;"_SIMUL")</f>
        <v>ON X.PRTCTN_ID=Y.PRTCTN_ID_SIMUL</v>
      </c>
      <c r="L266" s="42" t="str">
        <f>+IF(C266="Coerência", +IF(LEFT(G266,5)="FLOAT","SELECT '"&amp;UPPER(B266)&amp;"' AS TABELA, '"&amp;UPPER(C266)&amp;"' AS TIPOLOGIA_TESTE,'"&amp;D266&amp;"' AS TABELA_LT,'"&amp;E266&amp;"' AS TABELA_SIMUL,'"&amp;F266&amp;"' AS CAMPO, "&amp;"'${ref_date}' AS REF_DATE, COUNT(*) AS NUM_REG, SUM(IF((ABS(COALESCE(X."&amp;F266&amp;",0)-COALESCE(Y."&amp;F266&amp;"_SIMUL,0))&gt;0.0000000001) OR (X."&amp;F266&amp;" IS NULL AND Y."&amp;F266&amp;"_SIMUL IS NOT NULL ) OR (X."&amp;F266&amp;" IS NOT NULL AND Y."&amp;F266&amp;"_SIMUL IS NULL),1,0)) AS NUM_REG_DIF,'"&amp;MAX('ID1&amp;5'!K:K)+1&amp;"' AS ID_EXEC, CURRENT_TIMESTAMP() AS TIME_EXEC FROM "&amp;I266&amp;" INNER JOIN "&amp;J266&amp;" "&amp;K266,"SELECT '"&amp;UPPER(B266)&amp;"' AS TABELA, '"&amp;UPPER(C266)&amp;"' AS TIPOLOGIA_TESTE,'"&amp;D266&amp;"' AS TABELA_LT,'"&amp;E266&amp;"' AS TABELA_SIMUL,'"&amp;F266&amp;"' AS CAMPO, "&amp;"'${ref_date}' AS REF_DATE, COUNT(*) AS NUM_REG, SUM(IF(COALESCE(CAST(X."&amp;F266&amp;" AS STRING),'')&lt;&gt;COALESCE(CAST(Y."&amp;F266&amp;"_SIMUL AS STRING),''),1,0)) AS NUM_REG_DIF,'"&amp;MAX('ID1&amp;5'!L:L)+1&amp;"' AS ID_EXEC, CURRENT_TIMESTAMP() AS TIME_EXEC FROM "&amp;I266&amp;" INNER JOIN "&amp;J266&amp;" "&amp;K266),
IF(C266="Validade",+IF(G266="Code List","SELECT '"&amp;UPPER(B266)&amp;"' AS TABELA, '"&amp;UPPER(C266)&amp;"' AS TIPOLOGIA_TESTE,'"&amp;D266&amp;"' AS TABELA_LT,'N/A' AS TABELA_SIMUL,'"&amp;F266&amp;"' AS CAMPO, "&amp;"'${ref_date}' AS REF_DATE, COUNT(*) AS NUM_REG, SUM(IF(TRIM(CAST(X."&amp;F266&amp;" AS STRING))='' OR TRIM(CAST(X."&amp;F266&amp;" AS STRING)) IS NULL OR CAST(X."&amp;F266&amp;" AS STRING) NOT "&amp;H266&amp;",1,0)) AS NUM_REG_DIF,'"&amp;MAX('ID1&amp;5'!K:K)+1&amp;"' AS ID_EXEC, CURRENT_TIMESTAMP() AS TIME_EXEC FROM "&amp;I266,"SELECT '"&amp;UPPER(B266)&amp;"' AS TABELA, '"&amp;UPPER(C266)&amp;"' AS TIPOLOGIA_TESTE,'"&amp;D266&amp;"' AS TABELA_LT,'N/A' AS TABELA_SIMUL,'"&amp;F266&amp;"' AS CAMPO, "&amp;"'${ref_date}' AS REF_DATE, COUNT(*) AS NUM_REG, SUM(IF(TRIM(CAST(X."&amp;F266&amp;" AS STRING))='' OR TRIM(CAST(X."&amp;F266&amp;" AS STRING)) IS NULL,1,0)) AS NUM_REG_DIF,'"&amp;MAX('ID1&amp;5'!K:K)+1&amp;"' AS ID_EXEC, CURRENT_TIMESTAMP() AS TIME_EXEC FROM "&amp;I266),
IF(C266="Caracteres Especiais",+"SELECT '"&amp;UPPER(B266)&amp;"' AS TABELA, '"&amp;UPPER(C266)&amp;"' AS TIPOLOGIA_TESTE,'"&amp;D266&amp;"' AS TABELA_LT,'N/A' AS TABELA_SIMUL,'"&amp;F266&amp;"' AS CAMPO, "&amp;"'${ref_date}' AS REF_DATE, COUNT(*) AS NUM_REG, SUM(IF(INSTR(CAST(X."&amp;F266&amp;" AS STRING),'#')&gt;0 OR INSTR(CAST(X."&amp;F266&amp;" AS STRING),'*')&gt;0 OR INSTR(CAST(X."&amp;F266&amp;" AS STRING),'`')&gt;0 OR INSTR(CAST(X."&amp;F266&amp;" AS STRING),'´')&gt;0 OR INSTR(CAST(X."&amp;F266&amp;" AS STRING),'{')&gt;0 OR INSTR(CAST(X."&amp;F266&amp;" AS STRING),'}')&gt;0 OR INSTR(CAST(X."&amp;F266&amp;" AS STRING),'[')&gt;0 OR INSTR(CAST(X."&amp;F266&amp;" AS STRING),'')&gt;0 OR INSTR(CAST(X."&amp;F266&amp;" AS STRING),']')&gt;0 OR INSTR(CAST(X."&amp;F266&amp;" AS STRING),'?')&gt;0 OR INSTR(CAST(X."&amp;F266&amp;" AS STRING),'!')&gt;0 OR INSTR(CAST(X."&amp;F266&amp;" AS STRING),'$')&gt;0 OR INSTR(CAST(X."&amp;F266&amp;" AS STRING),'%')&gt;0 OR INSTR(CAST(X."&amp;F266&amp;" AS STRING),'&amp;')&gt;0 OR INSTR(CAST(X."&amp;F266&amp;" AS STRING),'+')&gt;0,1,0)) AS NUM_REG_DIF,'"&amp;MAX('ID1&amp;5'!K:K)+1&amp;"' AS ID_EXEC, CURRENT_TIMESTAMP() AS TIME_EXEC FROM "&amp;I266,
IF(C266="Missings",+"SELECT '"&amp;UPPER(B266)&amp;"' AS TABELA, '"&amp;UPPER(C266)&amp;"' AS TIPOLOGIA_TESTE,'"&amp;D266&amp;"' AS TABELA_LT,'N/A' AS TABELA_SIMUL,'"&amp;F266&amp;"' AS CAMPO, "&amp;"'${ref_date}' AS REF_DATE, COUNT(*) AS NUM_REG, SUM(IF(TRIM(CAST(X."&amp;F266&amp;" AS STRING)) IN ('0000-00-00','0001-01-01','9999-12-31','MISS','00000','99999999999','99999999999.00','99999999999.000000'),1,0)) AS NUM_REG_DIF,'"&amp;MAX('ID1&amp;5'!K:K)+1&amp;"' AS ID_EXEC, CURRENT_TIMESTAMP() AS TIME_EXEC FROM "&amp;I266,
IF(C266="Not applicable",+"SELECT '"&amp;UPPER(B266)&amp;"' AS TABELA, '"&amp;UPPER(C266)&amp;"' AS TIPOLOGIA_TESTE,'"&amp;D266&amp;"' AS TABELA_LT,'N/A' AS TABELA_SIMUL,'"&amp;F266&amp;"' AS CAMPO, "&amp;"'${ref_date}' AS REF_DATE, COUNT(*) AS NUM_REG, SUM(IF(TRIM(CAST(X."&amp;F266&amp;" AS STRING)) IN ('N/A','11111111111','11111111111.00','11111111111.000000','1111-11-11'),1,0)) AS NUM_REG_DIF,'"&amp;MAX('ID1&amp;5'!K:K)+1&amp;"' AS ID_EXEC, CURRENT_TIMESTAMP() AS TIME_EXEC FROM "&amp;I266,
IF(C266="Valores extremos",+"SELECT '"&amp;UPPER(B266)&amp;"' AS TABELA, '"&amp;UPPER(C266)&amp;"' AS TIPOLOGIA_TESTE,'"&amp;D266&amp;"' AS TABELA_LT,'N/A' AS TABELA_SIMUL,'"&amp;F266&amp;"' AS CAMPO, "&amp;"'${ref_date}' AS REF_DATE, CAST(MIN("&amp;F266&amp;") AS STRING) AS VALOR_MIN, CAST(MAX("&amp;F266&amp;") AS STRING) AS VALOR_MAX,'"&amp;MAX('ID1&amp;5'!K:K)+1&amp;"' AS ID_EXEC, CURRENT_TIMESTAMP() AS TIME_EXEC FROM "&amp;MID(I266,1,LEN(I266)-2)&amp;" AND CAST("&amp;F266&amp;"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TABELA_SIMUL,'MTHD_USD_PRTCTN_SCP_1' AS CAMPO, '${ref_date}' AS REF_DATE, COUNT(*) AS NUM_REG, SUM(IF(INSTR(CAST(X.MTHD_USD_PRTCTN_SCP_1 AS STRING),'#')&gt;0 OR INSTR(CAST(X.MTHD_USD_PRTCTN_SCP_1 AS STRING),'*')&gt;0 OR INSTR(CAST(X.MTHD_USD_PRTCTN_SCP_1 AS STRING),'`')&gt;0 OR INSTR(CAST(X.MTHD_USD_PRTCTN_SCP_1 AS STRING),'´')&gt;0 OR INSTR(CAST(X.MTHD_USD_PRTCTN_SCP_1 AS STRING),'{')&gt;0 OR INSTR(CAST(X.MTHD_USD_PRTCTN_SCP_1 AS STRING),'}')&gt;0 OR INSTR(CAST(X.MTHD_USD_PRTCTN_SCP_1 AS STRING),'[')&gt;0 OR INSTR(CAST(X.MTHD_USD_PRTCTN_SCP_1 AS STRING),'')&gt;0 OR INSTR(CAST(X.MTHD_USD_PRTCTN_SCP_1 AS STRING),']')&gt;0 OR INSTR(CAST(X.MTHD_USD_PRTCTN_SCP_1 AS STRING),'?')&gt;0 OR INSTR(CAST(X.MTHD_USD_PRTCTN_SCP_1 AS STRING),'!')&gt;0 OR INSTR(CAST(X.MTHD_USD_PRTCTN_SCP_1 AS STRING),'$')&gt;0 OR INSTR(CAST(X.MTHD_USD_PRTCTN_SCP_1 AS STRING),'%')&gt;0 OR INSTR(CAST(X.MTHD_USD_PRTCTN_SCP_1 AS STRING),'&amp;')&gt;0 OR INSTR(CAST(X.MTHD_USD_PRTCTN_SCP_1 AS STRING),'+')&gt;0,1,0)) AS NUM_REG_DIF,'10' AS ID_EXEC, CURRENT_TIMESTAMP() AS TIME_EXEC FROM (SELECT prtctn_id, MTHD_USD_PRTCTN_SCP_1 FROM BU_LOANTAPE_WORK.LT004_PROTECTION WHERE ref_date='${ref_date}' AND nome_perimetro='Individual Corporativo' AND segmento='ESTR' AND ambito='PILAR3')X</v>
      </c>
      <c r="M266" s="43" t="str">
        <f t="shared" si="4"/>
        <v>UNION ALL SELECT 'PROTECTION' AS TABELA, 'CARACTERES ESPECIAIS' AS TIPOLOGIA_TESTE,'BU_LOANTAPE_WORK.LT004_PROTECTION' AS TABELA_LT,'N/A' AS TABELA_SIMUL,'MTHD_USD_PRTCTN_SCP_1' AS CAMPO, '${ref_date}' AS REF_DATE, COUNT(*) AS NUM_REG, SUM(IF(INSTR(CAST(X.MTHD_USD_PRTCTN_SCP_1 AS STRING),'#')&gt;0 OR INSTR(CAST(X.MTHD_USD_PRTCTN_SCP_1 AS STRING),'*')&gt;0 OR INSTR(CAST(X.MTHD_USD_PRTCTN_SCP_1 AS STRING),'`')&gt;0 OR INSTR(CAST(X.MTHD_USD_PRTCTN_SCP_1 AS STRING),'´')&gt;0 OR INSTR(CAST(X.MTHD_USD_PRTCTN_SCP_1 AS STRING),'{')&gt;0 OR INSTR(CAST(X.MTHD_USD_PRTCTN_SCP_1 AS STRING),'}')&gt;0 OR INSTR(CAST(X.MTHD_USD_PRTCTN_SCP_1 AS STRING),'[')&gt;0 OR INSTR(CAST(X.MTHD_USD_PRTCTN_SCP_1 AS STRING),'')&gt;0 OR INSTR(CAST(X.MTHD_USD_PRTCTN_SCP_1 AS STRING),']')&gt;0 OR INSTR(CAST(X.MTHD_USD_PRTCTN_SCP_1 AS STRING),'?')&gt;0 OR INSTR(CAST(X.MTHD_USD_PRTCTN_SCP_1 AS STRING),'!')&gt;0 OR INSTR(CAST(X.MTHD_USD_PRTCTN_SCP_1 AS STRING),'$')&gt;0 OR INSTR(CAST(X.MTHD_USD_PRTCTN_SCP_1 AS STRING),'%')&gt;0 OR INSTR(CAST(X.MTHD_USD_PRTCTN_SCP_1 AS STRING),'&amp;')&gt;0 OR INSTR(CAST(X.MTHD_USD_PRTCTN_SCP_1 AS STRING),'+')&gt;0,1,0)) AS NUM_REG_DIF,'10' AS ID_EXEC, CURRENT_TIMESTAMP() AS TIME_EXEC FROM (SELECT prtctn_id, MTHD_USD_PRTCTN_SCP_1 FROM BU_LOANTAPE_WORK.LT004_PROTECTION WHERE ref_date='${ref_date}' AND nome_perimetro='Individual Corporativo' AND segmento='ESTR' AND ambito='PILAR3')X</v>
      </c>
      <c r="N266" s="45" t="s">
        <v>13</v>
      </c>
    </row>
    <row r="267" spans="2:14">
      <c r="B267" s="41" t="s">
        <v>31</v>
      </c>
      <c r="C267" s="41" t="s">
        <v>76</v>
      </c>
      <c r="D267" s="41" t="str">
        <f>+UPPER('0. Instruções'!$D$33&amp;"."&amp;VLOOKUP(B267,'0. Instruções'!$C$27:$D$31,2,FALSE))</f>
        <v>BU_LOANTAPE_WORK.LT004_PROTECTION</v>
      </c>
      <c r="E267" s="41" t="str">
        <f>+UPPER('0. Instruções'!$D$34&amp;"."&amp;VLOOKUP(B267,'0. Instruções'!$C$27:$E$31,3,FALSE))</f>
        <v>BU_LOANTAPE_WORK.LT004_PROTECTION_P3_NOV24</v>
      </c>
      <c r="F267" s="41" t="s">
        <v>143</v>
      </c>
      <c r="G267" s="41" t="s">
        <v>209</v>
      </c>
      <c r="H267" s="41"/>
      <c r="I267" s="41" t="str">
        <f>"(SELECT "&amp;VLOOKUP(B267,'0. Instruções'!$C$27:$G$31,4,FALSE)&amp;", "&amp;F267&amp;" FROM "&amp;D267&amp;" WHERE "&amp;'0. Instruções'!$D$40&amp;")X"</f>
        <v>(SELECT prtctn_id, MTHD_USD_PRTCTN_SCP_2 FROM BU_LOANTAPE_WORK.LT004_PROTECTION WHERE ref_date='${ref_date}' AND nome_perimetro='Individual Corporativo' AND segmento='ESTR' AND ambito='PILAR3')X</v>
      </c>
      <c r="J267" s="41" t="str">
        <f>"(SELECT "&amp;VLOOKUP(B267,'0. Instruções'!$C$27:$G$31,4,FALSE)&amp;" AS "&amp;VLOOKUP(B267,'0. Instruções'!$C$27:$G$31,4,FALSE)&amp;"_SIMUL, "&amp;F267&amp;" AS "&amp;F267&amp;"_SIMUL FROM "&amp;E267&amp;")Y"</f>
        <v>(SELECT prtctn_id AS prtctn_id_SIMUL, MTHD_USD_PRTCTN_SCP_2 AS MTHD_USD_PRTCTN_SCP_2_SIMUL FROM BU_LOANTAPE_WORK.LT004_PROTECTION_P3_NOV24)Y</v>
      </c>
      <c r="K267" s="42" t="str">
        <f>+UPPER("ON X."&amp;VLOOKUP(B267,'0. Instruções'!$C$27:$G$31,4,FALSE)&amp;"=Y."&amp;VLOOKUP(B267,'0. Instruções'!$C$27:$G$31,4,FALSE)&amp;"_SIMUL")</f>
        <v>ON X.PRTCTN_ID=Y.PRTCTN_ID_SIMUL</v>
      </c>
      <c r="L267" s="42" t="str">
        <f>+IF(C267="Coerência", +IF(LEFT(G267,5)="FLOAT","SELECT '"&amp;UPPER(B267)&amp;"' AS TABELA, '"&amp;UPPER(C267)&amp;"' AS TIPOLOGIA_TESTE,'"&amp;D267&amp;"' AS TABELA_LT,'"&amp;E267&amp;"' AS TABELA_SIMUL,'"&amp;F267&amp;"' AS CAMPO, "&amp;"'${ref_date}' AS REF_DATE, COUNT(*) AS NUM_REG, SUM(IF((ABS(COALESCE(X."&amp;F267&amp;",0)-COALESCE(Y."&amp;F267&amp;"_SIMUL,0))&gt;0.0000000001) OR (X."&amp;F267&amp;" IS NULL AND Y."&amp;F267&amp;"_SIMUL IS NOT NULL ) OR (X."&amp;F267&amp;" IS NOT NULL AND Y."&amp;F267&amp;"_SIMUL IS NULL),1,0)) AS NUM_REG_DIF,'"&amp;MAX('ID1&amp;5'!K:K)+1&amp;"' AS ID_EXEC, CURRENT_TIMESTAMP() AS TIME_EXEC FROM "&amp;I267&amp;" INNER JOIN "&amp;J267&amp;" "&amp;K267,"SELECT '"&amp;UPPER(B267)&amp;"' AS TABELA, '"&amp;UPPER(C267)&amp;"' AS TIPOLOGIA_TESTE,'"&amp;D267&amp;"' AS TABELA_LT,'"&amp;E267&amp;"' AS TABELA_SIMUL,'"&amp;F267&amp;"' AS CAMPO, "&amp;"'${ref_date}' AS REF_DATE, COUNT(*) AS NUM_REG, SUM(IF(COALESCE(CAST(X."&amp;F267&amp;" AS STRING),'')&lt;&gt;COALESCE(CAST(Y."&amp;F267&amp;"_SIMUL AS STRING),''),1,0)) AS NUM_REG_DIF,'"&amp;MAX('ID1&amp;5'!L:L)+1&amp;"' AS ID_EXEC, CURRENT_TIMESTAMP() AS TIME_EXEC FROM "&amp;I267&amp;" INNER JOIN "&amp;J267&amp;" "&amp;K267),
IF(C267="Validade",+IF(G267="Code List","SELECT '"&amp;UPPER(B267)&amp;"' AS TABELA, '"&amp;UPPER(C267)&amp;"' AS TIPOLOGIA_TESTE,'"&amp;D267&amp;"' AS TABELA_LT,'N/A' AS TABELA_SIMUL,'"&amp;F267&amp;"' AS CAMPO, "&amp;"'${ref_date}' AS REF_DATE, COUNT(*) AS NUM_REG, SUM(IF(TRIM(CAST(X."&amp;F267&amp;" AS STRING))='' OR TRIM(CAST(X."&amp;F267&amp;" AS STRING)) IS NULL OR CAST(X."&amp;F267&amp;" AS STRING) NOT "&amp;H267&amp;",1,0)) AS NUM_REG_DIF,'"&amp;MAX('ID1&amp;5'!K:K)+1&amp;"' AS ID_EXEC, CURRENT_TIMESTAMP() AS TIME_EXEC FROM "&amp;I267,"SELECT '"&amp;UPPER(B267)&amp;"' AS TABELA, '"&amp;UPPER(C267)&amp;"' AS TIPOLOGIA_TESTE,'"&amp;D267&amp;"' AS TABELA_LT,'N/A' AS TABELA_SIMUL,'"&amp;F267&amp;"' AS CAMPO, "&amp;"'${ref_date}' AS REF_DATE, COUNT(*) AS NUM_REG, SUM(IF(TRIM(CAST(X."&amp;F267&amp;" AS STRING))='' OR TRIM(CAST(X."&amp;F267&amp;" AS STRING)) IS NULL,1,0)) AS NUM_REG_DIF,'"&amp;MAX('ID1&amp;5'!K:K)+1&amp;"' AS ID_EXEC, CURRENT_TIMESTAMP() AS TIME_EXEC FROM "&amp;I267),
IF(C267="Caracteres Especiais",+"SELECT '"&amp;UPPER(B267)&amp;"' AS TABELA, '"&amp;UPPER(C267)&amp;"' AS TIPOLOGIA_TESTE,'"&amp;D267&amp;"' AS TABELA_LT,'N/A' AS TABELA_SIMUL,'"&amp;F267&amp;"' AS CAMPO, "&amp;"'${ref_date}' AS REF_DATE, COUNT(*) AS NUM_REG, SUM(IF(INSTR(CAST(X."&amp;F267&amp;" AS STRING),'#')&gt;0 OR INSTR(CAST(X."&amp;F267&amp;" AS STRING),'*')&gt;0 OR INSTR(CAST(X."&amp;F267&amp;" AS STRING),'`')&gt;0 OR INSTR(CAST(X."&amp;F267&amp;" AS STRING),'´')&gt;0 OR INSTR(CAST(X."&amp;F267&amp;" AS STRING),'{')&gt;0 OR INSTR(CAST(X."&amp;F267&amp;" AS STRING),'}')&gt;0 OR INSTR(CAST(X."&amp;F267&amp;" AS STRING),'[')&gt;0 OR INSTR(CAST(X."&amp;F267&amp;" AS STRING),'')&gt;0 OR INSTR(CAST(X."&amp;F267&amp;" AS STRING),']')&gt;0 OR INSTR(CAST(X."&amp;F267&amp;" AS STRING),'?')&gt;0 OR INSTR(CAST(X."&amp;F267&amp;" AS STRING),'!')&gt;0 OR INSTR(CAST(X."&amp;F267&amp;" AS STRING),'$')&gt;0 OR INSTR(CAST(X."&amp;F267&amp;" AS STRING),'%')&gt;0 OR INSTR(CAST(X."&amp;F267&amp;" AS STRING),'&amp;')&gt;0 OR INSTR(CAST(X."&amp;F267&amp;" AS STRING),'+')&gt;0,1,0)) AS NUM_REG_DIF,'"&amp;MAX('ID1&amp;5'!K:K)+1&amp;"' AS ID_EXEC, CURRENT_TIMESTAMP() AS TIME_EXEC FROM "&amp;I267,
IF(C267="Missings",+"SELECT '"&amp;UPPER(B267)&amp;"' AS TABELA, '"&amp;UPPER(C267)&amp;"' AS TIPOLOGIA_TESTE,'"&amp;D267&amp;"' AS TABELA_LT,'N/A' AS TABELA_SIMUL,'"&amp;F267&amp;"' AS CAMPO, "&amp;"'${ref_date}' AS REF_DATE, COUNT(*) AS NUM_REG, SUM(IF(TRIM(CAST(X."&amp;F267&amp;" AS STRING)) IN ('0000-00-00','0001-01-01','9999-12-31','MISS','00000','99999999999','99999999999.00','99999999999.000000'),1,0)) AS NUM_REG_DIF,'"&amp;MAX('ID1&amp;5'!K:K)+1&amp;"' AS ID_EXEC, CURRENT_TIMESTAMP() AS TIME_EXEC FROM "&amp;I267,
IF(C267="Not applicable",+"SELECT '"&amp;UPPER(B267)&amp;"' AS TABELA, '"&amp;UPPER(C267)&amp;"' AS TIPOLOGIA_TESTE,'"&amp;D267&amp;"' AS TABELA_LT,'N/A' AS TABELA_SIMUL,'"&amp;F267&amp;"' AS CAMPO, "&amp;"'${ref_date}' AS REF_DATE, COUNT(*) AS NUM_REG, SUM(IF(TRIM(CAST(X."&amp;F267&amp;" AS STRING)) IN ('N/A','11111111111','11111111111.00','11111111111.000000','1111-11-11'),1,0)) AS NUM_REG_DIF,'"&amp;MAX('ID1&amp;5'!K:K)+1&amp;"' AS ID_EXEC, CURRENT_TIMESTAMP() AS TIME_EXEC FROM "&amp;I267,
IF(C267="Valores extremos",+"SELECT '"&amp;UPPER(B267)&amp;"' AS TABELA, '"&amp;UPPER(C267)&amp;"' AS TIPOLOGIA_TESTE,'"&amp;D267&amp;"' AS TABELA_LT,'N/A' AS TABELA_SIMUL,'"&amp;F267&amp;"' AS CAMPO, "&amp;"'${ref_date}' AS REF_DATE, CAST(MIN("&amp;F267&amp;") AS STRING) AS VALOR_MIN, CAST(MAX("&amp;F267&amp;") AS STRING) AS VALOR_MAX,'"&amp;MAX('ID1&amp;5'!K:K)+1&amp;"' AS ID_EXEC, CURRENT_TIMESTAMP() AS TIME_EXEC FROM "&amp;MID(I267,1,LEN(I267)-2)&amp;" AND CAST("&amp;F267&amp;"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TABELA_SIMUL,'MTHD_USD_PRTCTN_SCP_2' AS CAMPO, '${ref_date}' AS REF_DATE, COUNT(*) AS NUM_REG, SUM(IF(INSTR(CAST(X.MTHD_USD_PRTCTN_SCP_2 AS STRING),'#')&gt;0 OR INSTR(CAST(X.MTHD_USD_PRTCTN_SCP_2 AS STRING),'*')&gt;0 OR INSTR(CAST(X.MTHD_USD_PRTCTN_SCP_2 AS STRING),'`')&gt;0 OR INSTR(CAST(X.MTHD_USD_PRTCTN_SCP_2 AS STRING),'´')&gt;0 OR INSTR(CAST(X.MTHD_USD_PRTCTN_SCP_2 AS STRING),'{')&gt;0 OR INSTR(CAST(X.MTHD_USD_PRTCTN_SCP_2 AS STRING),'}')&gt;0 OR INSTR(CAST(X.MTHD_USD_PRTCTN_SCP_2 AS STRING),'[')&gt;0 OR INSTR(CAST(X.MTHD_USD_PRTCTN_SCP_2 AS STRING),'')&gt;0 OR INSTR(CAST(X.MTHD_USD_PRTCTN_SCP_2 AS STRING),']')&gt;0 OR INSTR(CAST(X.MTHD_USD_PRTCTN_SCP_2 AS STRING),'?')&gt;0 OR INSTR(CAST(X.MTHD_USD_PRTCTN_SCP_2 AS STRING),'!')&gt;0 OR INSTR(CAST(X.MTHD_USD_PRTCTN_SCP_2 AS STRING),'$')&gt;0 OR INSTR(CAST(X.MTHD_USD_PRTCTN_SCP_2 AS STRING),'%')&gt;0 OR INSTR(CAST(X.MTHD_USD_PRTCTN_SCP_2 AS STRING),'&amp;')&gt;0 OR INSTR(CAST(X.MTHD_USD_PRTCTN_SCP_2 AS STRING),'+')&gt;0,1,0)) AS NUM_REG_DIF,'10' AS ID_EXEC, CURRENT_TIMESTAMP() AS TIME_EXEC FROM (SELECT prtctn_id, MTHD_USD_PRTCTN_SCP_2 FROM BU_LOANTAPE_WORK.LT004_PROTECTION WHERE ref_date='${ref_date}' AND nome_perimetro='Individual Corporativo' AND segmento='ESTR' AND ambito='PILAR3')X</v>
      </c>
      <c r="M267" s="43" t="str">
        <f t="shared" si="4"/>
        <v>UNION ALL SELECT 'PROTECTION' AS TABELA, 'CARACTERES ESPECIAIS' AS TIPOLOGIA_TESTE,'BU_LOANTAPE_WORK.LT004_PROTECTION' AS TABELA_LT,'N/A' AS TABELA_SIMUL,'MTHD_USD_PRTCTN_SCP_2' AS CAMPO, '${ref_date}' AS REF_DATE, COUNT(*) AS NUM_REG, SUM(IF(INSTR(CAST(X.MTHD_USD_PRTCTN_SCP_2 AS STRING),'#')&gt;0 OR INSTR(CAST(X.MTHD_USD_PRTCTN_SCP_2 AS STRING),'*')&gt;0 OR INSTR(CAST(X.MTHD_USD_PRTCTN_SCP_2 AS STRING),'`')&gt;0 OR INSTR(CAST(X.MTHD_USD_PRTCTN_SCP_2 AS STRING),'´')&gt;0 OR INSTR(CAST(X.MTHD_USD_PRTCTN_SCP_2 AS STRING),'{')&gt;0 OR INSTR(CAST(X.MTHD_USD_PRTCTN_SCP_2 AS STRING),'}')&gt;0 OR INSTR(CAST(X.MTHD_USD_PRTCTN_SCP_2 AS STRING),'[')&gt;0 OR INSTR(CAST(X.MTHD_USD_PRTCTN_SCP_2 AS STRING),'')&gt;0 OR INSTR(CAST(X.MTHD_USD_PRTCTN_SCP_2 AS STRING),']')&gt;0 OR INSTR(CAST(X.MTHD_USD_PRTCTN_SCP_2 AS STRING),'?')&gt;0 OR INSTR(CAST(X.MTHD_USD_PRTCTN_SCP_2 AS STRING),'!')&gt;0 OR INSTR(CAST(X.MTHD_USD_PRTCTN_SCP_2 AS STRING),'$')&gt;0 OR INSTR(CAST(X.MTHD_USD_PRTCTN_SCP_2 AS STRING),'%')&gt;0 OR INSTR(CAST(X.MTHD_USD_PRTCTN_SCP_2 AS STRING),'&amp;')&gt;0 OR INSTR(CAST(X.MTHD_USD_PRTCTN_SCP_2 AS STRING),'+')&gt;0,1,0)) AS NUM_REG_DIF,'10' AS ID_EXEC, CURRENT_TIMESTAMP() AS TIME_EXEC FROM (SELECT prtctn_id, MTHD_USD_PRTCTN_SCP_2 FROM BU_LOANTAPE_WORK.LT004_PROTECTION WHERE ref_date='${ref_date}' AND nome_perimetro='Individual Corporativo' AND segmento='ESTR' AND ambito='PILAR3')X</v>
      </c>
      <c r="N267" s="45" t="s">
        <v>13</v>
      </c>
    </row>
    <row r="268" spans="2:14">
      <c r="B268" s="41" t="s">
        <v>31</v>
      </c>
      <c r="C268" s="41" t="s">
        <v>76</v>
      </c>
      <c r="D268" s="41" t="str">
        <f>+UPPER('0. Instruções'!$D$33&amp;"."&amp;VLOOKUP(B268,'0. Instruções'!$C$27:$D$31,2,FALSE))</f>
        <v>BU_LOANTAPE_WORK.LT004_PROTECTION</v>
      </c>
      <c r="E268" s="41" t="str">
        <f>+UPPER('0. Instruções'!$D$34&amp;"."&amp;VLOOKUP(B268,'0. Instruções'!$C$27:$E$31,3,FALSE))</f>
        <v>BU_LOANTAPE_WORK.LT004_PROTECTION_P3_NOV24</v>
      </c>
      <c r="F268" s="41" t="s">
        <v>144</v>
      </c>
      <c r="G268" s="41" t="s">
        <v>209</v>
      </c>
      <c r="H268" s="41"/>
      <c r="I268" s="41" t="str">
        <f>"(SELECT "&amp;VLOOKUP(B268,'0. Instruções'!$C$27:$G$31,4,FALSE)&amp;", "&amp;F268&amp;" FROM "&amp;D268&amp;" WHERE "&amp;'0. Instruções'!$D$40&amp;")X"</f>
        <v>(SELECT prtctn_id, MTHD_USD_PRTCTN_SCP_3 FROM BU_LOANTAPE_WORK.LT004_PROTECTION WHERE ref_date='${ref_date}' AND nome_perimetro='Individual Corporativo' AND segmento='ESTR' AND ambito='PILAR3')X</v>
      </c>
      <c r="J268" s="41" t="str">
        <f>"(SELECT "&amp;VLOOKUP(B268,'0. Instruções'!$C$27:$G$31,4,FALSE)&amp;" AS "&amp;VLOOKUP(B268,'0. Instruções'!$C$27:$G$31,4,FALSE)&amp;"_SIMUL, "&amp;F268&amp;" AS "&amp;F268&amp;"_SIMUL FROM "&amp;E268&amp;")Y"</f>
        <v>(SELECT prtctn_id AS prtctn_id_SIMUL, MTHD_USD_PRTCTN_SCP_3 AS MTHD_USD_PRTCTN_SCP_3_SIMUL FROM BU_LOANTAPE_WORK.LT004_PROTECTION_P3_NOV24)Y</v>
      </c>
      <c r="K268" s="42" t="str">
        <f>+UPPER("ON X."&amp;VLOOKUP(B268,'0. Instruções'!$C$27:$G$31,4,FALSE)&amp;"=Y."&amp;VLOOKUP(B268,'0. Instruções'!$C$27:$G$31,4,FALSE)&amp;"_SIMUL")</f>
        <v>ON X.PRTCTN_ID=Y.PRTCTN_ID_SIMUL</v>
      </c>
      <c r="L268" s="42" t="str">
        <f>+IF(C268="Coerência", +IF(LEFT(G268,5)="FLOAT","SELECT '"&amp;UPPER(B268)&amp;"' AS TABELA, '"&amp;UPPER(C268)&amp;"' AS TIPOLOGIA_TESTE,'"&amp;D268&amp;"' AS TABELA_LT,'"&amp;E268&amp;"' AS TABELA_SIMUL,'"&amp;F268&amp;"' AS CAMPO, "&amp;"'${ref_date}' AS REF_DATE, COUNT(*) AS NUM_REG, SUM(IF((ABS(COALESCE(X."&amp;F268&amp;",0)-COALESCE(Y."&amp;F268&amp;"_SIMUL,0))&gt;0.0000000001) OR (X."&amp;F268&amp;" IS NULL AND Y."&amp;F268&amp;"_SIMUL IS NOT NULL ) OR (X."&amp;F268&amp;" IS NOT NULL AND Y."&amp;F268&amp;"_SIMUL IS NULL),1,0)) AS NUM_REG_DIF,'"&amp;MAX('ID1&amp;5'!K:K)+1&amp;"' AS ID_EXEC, CURRENT_TIMESTAMP() AS TIME_EXEC FROM "&amp;I268&amp;" INNER JOIN "&amp;J268&amp;" "&amp;K268,"SELECT '"&amp;UPPER(B268)&amp;"' AS TABELA, '"&amp;UPPER(C268)&amp;"' AS TIPOLOGIA_TESTE,'"&amp;D268&amp;"' AS TABELA_LT,'"&amp;E268&amp;"' AS TABELA_SIMUL,'"&amp;F268&amp;"' AS CAMPO, "&amp;"'${ref_date}' AS REF_DATE, COUNT(*) AS NUM_REG, SUM(IF(COALESCE(CAST(X."&amp;F268&amp;" AS STRING),'')&lt;&gt;COALESCE(CAST(Y."&amp;F268&amp;"_SIMUL AS STRING),''),1,0)) AS NUM_REG_DIF,'"&amp;MAX('ID1&amp;5'!L:L)+1&amp;"' AS ID_EXEC, CURRENT_TIMESTAMP() AS TIME_EXEC FROM "&amp;I268&amp;" INNER JOIN "&amp;J268&amp;" "&amp;K268),
IF(C268="Validade",+IF(G268="Code List","SELECT '"&amp;UPPER(B268)&amp;"' AS TABELA, '"&amp;UPPER(C268)&amp;"' AS TIPOLOGIA_TESTE,'"&amp;D268&amp;"' AS TABELA_LT,'N/A' AS TABELA_SIMUL,'"&amp;F268&amp;"' AS CAMPO, "&amp;"'${ref_date}' AS REF_DATE, COUNT(*) AS NUM_REG, SUM(IF(TRIM(CAST(X."&amp;F268&amp;" AS STRING))='' OR TRIM(CAST(X."&amp;F268&amp;" AS STRING)) IS NULL OR CAST(X."&amp;F268&amp;" AS STRING) NOT "&amp;H268&amp;",1,0)) AS NUM_REG_DIF,'"&amp;MAX('ID1&amp;5'!K:K)+1&amp;"' AS ID_EXEC, CURRENT_TIMESTAMP() AS TIME_EXEC FROM "&amp;I268,"SELECT '"&amp;UPPER(B268)&amp;"' AS TABELA, '"&amp;UPPER(C268)&amp;"' AS TIPOLOGIA_TESTE,'"&amp;D268&amp;"' AS TABELA_LT,'N/A' AS TABELA_SIMUL,'"&amp;F268&amp;"' AS CAMPO, "&amp;"'${ref_date}' AS REF_DATE, COUNT(*) AS NUM_REG, SUM(IF(TRIM(CAST(X."&amp;F268&amp;" AS STRING))='' OR TRIM(CAST(X."&amp;F268&amp;" AS STRING)) IS NULL,1,0)) AS NUM_REG_DIF,'"&amp;MAX('ID1&amp;5'!K:K)+1&amp;"' AS ID_EXEC, CURRENT_TIMESTAMP() AS TIME_EXEC FROM "&amp;I268),
IF(C268="Caracteres Especiais",+"SELECT '"&amp;UPPER(B268)&amp;"' AS TABELA, '"&amp;UPPER(C268)&amp;"' AS TIPOLOGIA_TESTE,'"&amp;D268&amp;"' AS TABELA_LT,'N/A' AS TABELA_SIMUL,'"&amp;F268&amp;"' AS CAMPO, "&amp;"'${ref_date}' AS REF_DATE, COUNT(*) AS NUM_REG, SUM(IF(INSTR(CAST(X."&amp;F268&amp;" AS STRING),'#')&gt;0 OR INSTR(CAST(X."&amp;F268&amp;" AS STRING),'*')&gt;0 OR INSTR(CAST(X."&amp;F268&amp;" AS STRING),'`')&gt;0 OR INSTR(CAST(X."&amp;F268&amp;" AS STRING),'´')&gt;0 OR INSTR(CAST(X."&amp;F268&amp;" AS STRING),'{')&gt;0 OR INSTR(CAST(X."&amp;F268&amp;" AS STRING),'}')&gt;0 OR INSTR(CAST(X."&amp;F268&amp;" AS STRING),'[')&gt;0 OR INSTR(CAST(X."&amp;F268&amp;" AS STRING),'')&gt;0 OR INSTR(CAST(X."&amp;F268&amp;" AS STRING),']')&gt;0 OR INSTR(CAST(X."&amp;F268&amp;" AS STRING),'?')&gt;0 OR INSTR(CAST(X."&amp;F268&amp;" AS STRING),'!')&gt;0 OR INSTR(CAST(X."&amp;F268&amp;" AS STRING),'$')&gt;0 OR INSTR(CAST(X."&amp;F268&amp;" AS STRING),'%')&gt;0 OR INSTR(CAST(X."&amp;F268&amp;" AS STRING),'&amp;')&gt;0 OR INSTR(CAST(X."&amp;F268&amp;" AS STRING),'+')&gt;0,1,0)) AS NUM_REG_DIF,'"&amp;MAX('ID1&amp;5'!K:K)+1&amp;"' AS ID_EXEC, CURRENT_TIMESTAMP() AS TIME_EXEC FROM "&amp;I268,
IF(C268="Missings",+"SELECT '"&amp;UPPER(B268)&amp;"' AS TABELA, '"&amp;UPPER(C268)&amp;"' AS TIPOLOGIA_TESTE,'"&amp;D268&amp;"' AS TABELA_LT,'N/A' AS TABELA_SIMUL,'"&amp;F268&amp;"' AS CAMPO, "&amp;"'${ref_date}' AS REF_DATE, COUNT(*) AS NUM_REG, SUM(IF(TRIM(CAST(X."&amp;F268&amp;" AS STRING)) IN ('0000-00-00','0001-01-01','9999-12-31','MISS','00000','99999999999','99999999999.00','99999999999.000000'),1,0)) AS NUM_REG_DIF,'"&amp;MAX('ID1&amp;5'!K:K)+1&amp;"' AS ID_EXEC, CURRENT_TIMESTAMP() AS TIME_EXEC FROM "&amp;I268,
IF(C268="Not applicable",+"SELECT '"&amp;UPPER(B268)&amp;"' AS TABELA, '"&amp;UPPER(C268)&amp;"' AS TIPOLOGIA_TESTE,'"&amp;D268&amp;"' AS TABELA_LT,'N/A' AS TABELA_SIMUL,'"&amp;F268&amp;"' AS CAMPO, "&amp;"'${ref_date}' AS REF_DATE, COUNT(*) AS NUM_REG, SUM(IF(TRIM(CAST(X."&amp;F268&amp;" AS STRING)) IN ('N/A','11111111111','11111111111.00','11111111111.000000','1111-11-11'),1,0)) AS NUM_REG_DIF,'"&amp;MAX('ID1&amp;5'!K:K)+1&amp;"' AS ID_EXEC, CURRENT_TIMESTAMP() AS TIME_EXEC FROM "&amp;I268,
IF(C268="Valores extremos",+"SELECT '"&amp;UPPER(B268)&amp;"' AS TABELA, '"&amp;UPPER(C268)&amp;"' AS TIPOLOGIA_TESTE,'"&amp;D268&amp;"' AS TABELA_LT,'N/A' AS TABELA_SIMUL,'"&amp;F268&amp;"' AS CAMPO, "&amp;"'${ref_date}' AS REF_DATE, CAST(MIN("&amp;F268&amp;") AS STRING) AS VALOR_MIN, CAST(MAX("&amp;F268&amp;") AS STRING) AS VALOR_MAX,'"&amp;MAX('ID1&amp;5'!K:K)+1&amp;"' AS ID_EXEC, CURRENT_TIMESTAMP() AS TIME_EXEC FROM "&amp;MID(I268,1,LEN(I268)-2)&amp;" AND CAST("&amp;F268&amp;"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TABELA_SIMUL,'MTHD_USD_PRTCTN_SCP_3' AS CAMPO, '${ref_date}' AS REF_DATE, COUNT(*) AS NUM_REG, SUM(IF(INSTR(CAST(X.MTHD_USD_PRTCTN_SCP_3 AS STRING),'#')&gt;0 OR INSTR(CAST(X.MTHD_USD_PRTCTN_SCP_3 AS STRING),'*')&gt;0 OR INSTR(CAST(X.MTHD_USD_PRTCTN_SCP_3 AS STRING),'`')&gt;0 OR INSTR(CAST(X.MTHD_USD_PRTCTN_SCP_3 AS STRING),'´')&gt;0 OR INSTR(CAST(X.MTHD_USD_PRTCTN_SCP_3 AS STRING),'{')&gt;0 OR INSTR(CAST(X.MTHD_USD_PRTCTN_SCP_3 AS STRING),'}')&gt;0 OR INSTR(CAST(X.MTHD_USD_PRTCTN_SCP_3 AS STRING),'[')&gt;0 OR INSTR(CAST(X.MTHD_USD_PRTCTN_SCP_3 AS STRING),'')&gt;0 OR INSTR(CAST(X.MTHD_USD_PRTCTN_SCP_3 AS STRING),']')&gt;0 OR INSTR(CAST(X.MTHD_USD_PRTCTN_SCP_3 AS STRING),'?')&gt;0 OR INSTR(CAST(X.MTHD_USD_PRTCTN_SCP_3 AS STRING),'!')&gt;0 OR INSTR(CAST(X.MTHD_USD_PRTCTN_SCP_3 AS STRING),'$')&gt;0 OR INSTR(CAST(X.MTHD_USD_PRTCTN_SCP_3 AS STRING),'%')&gt;0 OR INSTR(CAST(X.MTHD_USD_PRTCTN_SCP_3 AS STRING),'&amp;')&gt;0 OR INSTR(CAST(X.MTHD_USD_PRTCTN_SCP_3 AS STRING),'+')&gt;0,1,0)) AS NUM_REG_DIF,'10' AS ID_EXEC, CURRENT_TIMESTAMP() AS TIME_EXEC FROM (SELECT prtctn_id, MTHD_USD_PRTCTN_SCP_3 FROM BU_LOANTAPE_WORK.LT004_PROTECTION WHERE ref_date='${ref_date}' AND nome_perimetro='Individual Corporativo' AND segmento='ESTR' AND ambito='PILAR3')X</v>
      </c>
      <c r="M268" s="43" t="str">
        <f t="shared" si="4"/>
        <v>UNION ALL SELECT 'PROTECTION' AS TABELA, 'CARACTERES ESPECIAIS' AS TIPOLOGIA_TESTE,'BU_LOANTAPE_WORK.LT004_PROTECTION' AS TABELA_LT,'N/A' AS TABELA_SIMUL,'MTHD_USD_PRTCTN_SCP_3' AS CAMPO, '${ref_date}' AS REF_DATE, COUNT(*) AS NUM_REG, SUM(IF(INSTR(CAST(X.MTHD_USD_PRTCTN_SCP_3 AS STRING),'#')&gt;0 OR INSTR(CAST(X.MTHD_USD_PRTCTN_SCP_3 AS STRING),'*')&gt;0 OR INSTR(CAST(X.MTHD_USD_PRTCTN_SCP_3 AS STRING),'`')&gt;0 OR INSTR(CAST(X.MTHD_USD_PRTCTN_SCP_3 AS STRING),'´')&gt;0 OR INSTR(CAST(X.MTHD_USD_PRTCTN_SCP_3 AS STRING),'{')&gt;0 OR INSTR(CAST(X.MTHD_USD_PRTCTN_SCP_3 AS STRING),'}')&gt;0 OR INSTR(CAST(X.MTHD_USD_PRTCTN_SCP_3 AS STRING),'[')&gt;0 OR INSTR(CAST(X.MTHD_USD_PRTCTN_SCP_3 AS STRING),'')&gt;0 OR INSTR(CAST(X.MTHD_USD_PRTCTN_SCP_3 AS STRING),']')&gt;0 OR INSTR(CAST(X.MTHD_USD_PRTCTN_SCP_3 AS STRING),'?')&gt;0 OR INSTR(CAST(X.MTHD_USD_PRTCTN_SCP_3 AS STRING),'!')&gt;0 OR INSTR(CAST(X.MTHD_USD_PRTCTN_SCP_3 AS STRING),'$')&gt;0 OR INSTR(CAST(X.MTHD_USD_PRTCTN_SCP_3 AS STRING),'%')&gt;0 OR INSTR(CAST(X.MTHD_USD_PRTCTN_SCP_3 AS STRING),'&amp;')&gt;0 OR INSTR(CAST(X.MTHD_USD_PRTCTN_SCP_3 AS STRING),'+')&gt;0,1,0)) AS NUM_REG_DIF,'10' AS ID_EXEC, CURRENT_TIMESTAMP() AS TIME_EXEC FROM (SELECT prtctn_id, MTHD_USD_PRTCTN_SCP_3 FROM BU_LOANTAPE_WORK.LT004_PROTECTION WHERE ref_date='${ref_date}' AND nome_perimetro='Individual Corporativo' AND segmento='ESTR' AND ambito='PILAR3')X</v>
      </c>
      <c r="N268" s="45" t="s">
        <v>13</v>
      </c>
    </row>
    <row r="269" spans="2:14">
      <c r="B269" s="41" t="s">
        <v>31</v>
      </c>
      <c r="C269" s="41" t="s">
        <v>76</v>
      </c>
      <c r="D269" s="41" t="str">
        <f>+UPPER('0. Instruções'!$D$33&amp;"."&amp;VLOOKUP(B269,'0. Instruções'!$C$27:$D$31,2,FALSE))</f>
        <v>BU_LOANTAPE_WORK.LT004_PROTECTION</v>
      </c>
      <c r="E269" s="41" t="str">
        <f>+UPPER('0. Instruções'!$D$34&amp;"."&amp;VLOOKUP(B269,'0. Instruções'!$C$27:$E$31,3,FALSE))</f>
        <v>BU_LOANTAPE_WORK.LT004_PROTECTION_P3_NOV24</v>
      </c>
      <c r="F269" s="41" t="s">
        <v>121</v>
      </c>
      <c r="G269" s="41" t="s">
        <v>211</v>
      </c>
      <c r="H269" s="41"/>
      <c r="I269" s="41" t="str">
        <f>"(SELECT "&amp;VLOOKUP(B269,'0. Instruções'!$C$27:$G$31,4,FALSE)&amp;", "&amp;F269&amp;" FROM "&amp;D269&amp;" WHERE "&amp;'0. Instruções'!$D$40&amp;")X"</f>
        <v>(SELECT prtctn_id, FLG_ACT_PHYSCL_RSK FROM BU_LOANTAPE_WORK.LT004_PROTECTION WHERE ref_date='${ref_date}' AND nome_perimetro='Individual Corporativo' AND segmento='ESTR' AND ambito='PILAR3')X</v>
      </c>
      <c r="J269" s="41" t="str">
        <f>"(SELECT "&amp;VLOOKUP(B269,'0. Instruções'!$C$27:$G$31,4,FALSE)&amp;" AS "&amp;VLOOKUP(B269,'0. Instruções'!$C$27:$G$31,4,FALSE)&amp;"_SIMUL, "&amp;F269&amp;" AS "&amp;F269&amp;"_SIMUL FROM "&amp;E269&amp;")Y"</f>
        <v>(SELECT prtctn_id AS prtctn_id_SIMUL, FLG_ACT_PHYSCL_RSK AS FLG_ACT_PHYSCL_RSK_SIMUL FROM BU_LOANTAPE_WORK.LT004_PROTECTION_P3_NOV24)Y</v>
      </c>
      <c r="K269" s="42" t="str">
        <f>+UPPER("ON X."&amp;VLOOKUP(B269,'0. Instruções'!$C$27:$G$31,4,FALSE)&amp;"=Y."&amp;VLOOKUP(B269,'0. Instruções'!$C$27:$G$31,4,FALSE)&amp;"_SIMUL")</f>
        <v>ON X.PRTCTN_ID=Y.PRTCTN_ID_SIMUL</v>
      </c>
      <c r="L269" s="42" t="str">
        <f>+IF(C269="Coerência", +IF(LEFT(G269,5)="FLOAT","SELECT '"&amp;UPPER(B269)&amp;"' AS TABELA, '"&amp;UPPER(C269)&amp;"' AS TIPOLOGIA_TESTE,'"&amp;D269&amp;"' AS TABELA_LT,'"&amp;E269&amp;"' AS TABELA_SIMUL,'"&amp;F269&amp;"' AS CAMPO, "&amp;"'${ref_date}' AS REF_DATE, COUNT(*) AS NUM_REG, SUM(IF((ABS(COALESCE(X."&amp;F269&amp;",0)-COALESCE(Y."&amp;F269&amp;"_SIMUL,0))&gt;0.0000000001) OR (X."&amp;F269&amp;" IS NULL AND Y."&amp;F269&amp;"_SIMUL IS NOT NULL ) OR (X."&amp;F269&amp;" IS NOT NULL AND Y."&amp;F269&amp;"_SIMUL IS NULL),1,0)) AS NUM_REG_DIF,'"&amp;MAX('ID1&amp;5'!K:K)+1&amp;"' AS ID_EXEC, CURRENT_TIMESTAMP() AS TIME_EXEC FROM "&amp;I269&amp;" INNER JOIN "&amp;J269&amp;" "&amp;K269,"SELECT '"&amp;UPPER(B269)&amp;"' AS TABELA, '"&amp;UPPER(C269)&amp;"' AS TIPOLOGIA_TESTE,'"&amp;D269&amp;"' AS TABELA_LT,'"&amp;E269&amp;"' AS TABELA_SIMUL,'"&amp;F269&amp;"' AS CAMPO, "&amp;"'${ref_date}' AS REF_DATE, COUNT(*) AS NUM_REG, SUM(IF(COALESCE(CAST(X."&amp;F269&amp;" AS STRING),'')&lt;&gt;COALESCE(CAST(Y."&amp;F269&amp;"_SIMUL AS STRING),''),1,0)) AS NUM_REG_DIF,'"&amp;MAX('ID1&amp;5'!L:L)+1&amp;"' AS ID_EXEC, CURRENT_TIMESTAMP() AS TIME_EXEC FROM "&amp;I269&amp;" INNER JOIN "&amp;J269&amp;" "&amp;K269),
IF(C269="Validade",+IF(G269="Code List","SELECT '"&amp;UPPER(B269)&amp;"' AS TABELA, '"&amp;UPPER(C269)&amp;"' AS TIPOLOGIA_TESTE,'"&amp;D269&amp;"' AS TABELA_LT,'N/A' AS TABELA_SIMUL,'"&amp;F269&amp;"' AS CAMPO, "&amp;"'${ref_date}' AS REF_DATE, COUNT(*) AS NUM_REG, SUM(IF(TRIM(CAST(X."&amp;F269&amp;" AS STRING))='' OR TRIM(CAST(X."&amp;F269&amp;" AS STRING)) IS NULL OR CAST(X."&amp;F269&amp;" AS STRING) NOT "&amp;H269&amp;",1,0)) AS NUM_REG_DIF,'"&amp;MAX('ID1&amp;5'!K:K)+1&amp;"' AS ID_EXEC, CURRENT_TIMESTAMP() AS TIME_EXEC FROM "&amp;I269,"SELECT '"&amp;UPPER(B269)&amp;"' AS TABELA, '"&amp;UPPER(C269)&amp;"' AS TIPOLOGIA_TESTE,'"&amp;D269&amp;"' AS TABELA_LT,'N/A' AS TABELA_SIMUL,'"&amp;F269&amp;"' AS CAMPO, "&amp;"'${ref_date}' AS REF_DATE, COUNT(*) AS NUM_REG, SUM(IF(TRIM(CAST(X."&amp;F269&amp;" AS STRING))='' OR TRIM(CAST(X."&amp;F269&amp;" AS STRING)) IS NULL,1,0)) AS NUM_REG_DIF,'"&amp;MAX('ID1&amp;5'!K:K)+1&amp;"' AS ID_EXEC, CURRENT_TIMESTAMP() AS TIME_EXEC FROM "&amp;I269),
IF(C269="Caracteres Especiais",+"SELECT '"&amp;UPPER(B269)&amp;"' AS TABELA, '"&amp;UPPER(C269)&amp;"' AS TIPOLOGIA_TESTE,'"&amp;D269&amp;"' AS TABELA_LT,'N/A' AS TABELA_SIMUL,'"&amp;F269&amp;"' AS CAMPO, "&amp;"'${ref_date}' AS REF_DATE, COUNT(*) AS NUM_REG, SUM(IF(INSTR(CAST(X."&amp;F269&amp;" AS STRING),'#')&gt;0 OR INSTR(CAST(X."&amp;F269&amp;" AS STRING),'*')&gt;0 OR INSTR(CAST(X."&amp;F269&amp;" AS STRING),'`')&gt;0 OR INSTR(CAST(X."&amp;F269&amp;" AS STRING),'´')&gt;0 OR INSTR(CAST(X."&amp;F269&amp;" AS STRING),'{')&gt;0 OR INSTR(CAST(X."&amp;F269&amp;" AS STRING),'}')&gt;0 OR INSTR(CAST(X."&amp;F269&amp;" AS STRING),'[')&gt;0 OR INSTR(CAST(X."&amp;F269&amp;" AS STRING),'')&gt;0 OR INSTR(CAST(X."&amp;F269&amp;" AS STRING),']')&gt;0 OR INSTR(CAST(X."&amp;F269&amp;" AS STRING),'?')&gt;0 OR INSTR(CAST(X."&amp;F269&amp;" AS STRING),'!')&gt;0 OR INSTR(CAST(X."&amp;F269&amp;" AS STRING),'$')&gt;0 OR INSTR(CAST(X."&amp;F269&amp;" AS STRING),'%')&gt;0 OR INSTR(CAST(X."&amp;F269&amp;" AS STRING),'&amp;')&gt;0 OR INSTR(CAST(X."&amp;F269&amp;" AS STRING),'+')&gt;0,1,0)) AS NUM_REG_DIF,'"&amp;MAX('ID1&amp;5'!K:K)+1&amp;"' AS ID_EXEC, CURRENT_TIMESTAMP() AS TIME_EXEC FROM "&amp;I269,
IF(C269="Missings",+"SELECT '"&amp;UPPER(B269)&amp;"' AS TABELA, '"&amp;UPPER(C269)&amp;"' AS TIPOLOGIA_TESTE,'"&amp;D269&amp;"' AS TABELA_LT,'N/A' AS TABELA_SIMUL,'"&amp;F269&amp;"' AS CAMPO, "&amp;"'${ref_date}' AS REF_DATE, COUNT(*) AS NUM_REG, SUM(IF(TRIM(CAST(X."&amp;F269&amp;" AS STRING)) IN ('0000-00-00','0001-01-01','9999-12-31','MISS','00000','99999999999','99999999999.00','99999999999.000000'),1,0)) AS NUM_REG_DIF,'"&amp;MAX('ID1&amp;5'!K:K)+1&amp;"' AS ID_EXEC, CURRENT_TIMESTAMP() AS TIME_EXEC FROM "&amp;I269,
IF(C269="Not applicable",+"SELECT '"&amp;UPPER(B269)&amp;"' AS TABELA, '"&amp;UPPER(C269)&amp;"' AS TIPOLOGIA_TESTE,'"&amp;D269&amp;"' AS TABELA_LT,'N/A' AS TABELA_SIMUL,'"&amp;F269&amp;"' AS CAMPO, "&amp;"'${ref_date}' AS REF_DATE, COUNT(*) AS NUM_REG, SUM(IF(TRIM(CAST(X."&amp;F269&amp;" AS STRING)) IN ('N/A','11111111111','11111111111.00','11111111111.000000','1111-11-11'),1,0)) AS NUM_REG_DIF,'"&amp;MAX('ID1&amp;5'!K:K)+1&amp;"' AS ID_EXEC, CURRENT_TIMESTAMP() AS TIME_EXEC FROM "&amp;I269,
IF(C269="Valores extremos",+"SELECT '"&amp;UPPER(B269)&amp;"' AS TABELA, '"&amp;UPPER(C269)&amp;"' AS TIPOLOGIA_TESTE,'"&amp;D269&amp;"' AS TABELA_LT,'N/A' AS TABELA_SIMUL,'"&amp;F269&amp;"' AS CAMPO, "&amp;"'${ref_date}' AS REF_DATE, CAST(MIN("&amp;F269&amp;") AS STRING) AS VALOR_MIN, CAST(MAX("&amp;F269&amp;") AS STRING) AS VALOR_MAX,'"&amp;MAX('ID1&amp;5'!K:K)+1&amp;"' AS ID_EXEC, CURRENT_TIMESTAMP() AS TIME_EXEC FROM "&amp;MID(I269,1,LEN(I269)-2)&amp;" AND CAST("&amp;F269&amp;"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TABELA_SIMUL,'FLG_ACT_PHYSCL_RSK' AS CAMPO, '${ref_date}' AS REF_DATE, COUNT(*) AS NUM_REG, SUM(IF(INSTR(CAST(X.FLG_ACT_PHYSCL_RSK AS STRING),'#')&gt;0 OR INSTR(CAST(X.FLG_ACT_PHYSCL_RSK AS STRING),'*')&gt;0 OR INSTR(CAST(X.FLG_ACT_PHYSCL_RSK AS STRING),'`')&gt;0 OR INSTR(CAST(X.FLG_ACT_PHYSCL_RSK AS STRING),'´')&gt;0 OR INSTR(CAST(X.FLG_ACT_PHYSCL_RSK AS STRING),'{')&gt;0 OR INSTR(CAST(X.FLG_ACT_PHYSCL_RSK AS STRING),'}')&gt;0 OR INSTR(CAST(X.FLG_ACT_PHYSCL_RSK AS STRING),'[')&gt;0 OR INSTR(CAST(X.FLG_ACT_PHYSCL_RSK AS STRING),'')&gt;0 OR INSTR(CAST(X.FLG_ACT_PHYSCL_RSK AS STRING),']')&gt;0 OR INSTR(CAST(X.FLG_ACT_PHYSCL_RSK AS STRING),'?')&gt;0 OR INSTR(CAST(X.FLG_ACT_PHYSCL_RSK AS STRING),'!')&gt;0 OR INSTR(CAST(X.FLG_ACT_PHYSCL_RSK AS STRING),'$')&gt;0 OR INSTR(CAST(X.FLG_ACT_PHYSCL_RSK AS STRING),'%')&gt;0 OR INSTR(CAST(X.FLG_ACT_PHYSCL_RSK AS STRING),'&amp;')&gt;0 OR INSTR(CAST(X.FLG_ACT_PHYSCL_RSK AS STRING),'+')&gt;0,1,0)) AS NUM_REG_DIF,'10' AS ID_EXEC, CURRENT_TIMESTAMP() AS TIME_EXEC FROM (SELECT prtctn_id, FLG_ACT_PHYSCL_RSK FROM BU_LOANTAPE_WORK.LT004_PROTECTION WHERE ref_date='${ref_date}' AND nome_perimetro='Individual Corporativo' AND segmento='ESTR' AND ambito='PILAR3')X</v>
      </c>
      <c r="M269" s="43" t="str">
        <f t="shared" si="4"/>
        <v>UNION ALL SELECT 'PROTECTION' AS TABELA, 'CARACTERES ESPECIAIS' AS TIPOLOGIA_TESTE,'BU_LOANTAPE_WORK.LT004_PROTECTION' AS TABELA_LT,'N/A' AS TABELA_SIMUL,'FLG_ACT_PHYSCL_RSK' AS CAMPO, '${ref_date}' AS REF_DATE, COUNT(*) AS NUM_REG, SUM(IF(INSTR(CAST(X.FLG_ACT_PHYSCL_RSK AS STRING),'#')&gt;0 OR INSTR(CAST(X.FLG_ACT_PHYSCL_RSK AS STRING),'*')&gt;0 OR INSTR(CAST(X.FLG_ACT_PHYSCL_RSK AS STRING),'`')&gt;0 OR INSTR(CAST(X.FLG_ACT_PHYSCL_RSK AS STRING),'´')&gt;0 OR INSTR(CAST(X.FLG_ACT_PHYSCL_RSK AS STRING),'{')&gt;0 OR INSTR(CAST(X.FLG_ACT_PHYSCL_RSK AS STRING),'}')&gt;0 OR INSTR(CAST(X.FLG_ACT_PHYSCL_RSK AS STRING),'[')&gt;0 OR INSTR(CAST(X.FLG_ACT_PHYSCL_RSK AS STRING),'')&gt;0 OR INSTR(CAST(X.FLG_ACT_PHYSCL_RSK AS STRING),']')&gt;0 OR INSTR(CAST(X.FLG_ACT_PHYSCL_RSK AS STRING),'?')&gt;0 OR INSTR(CAST(X.FLG_ACT_PHYSCL_RSK AS STRING),'!')&gt;0 OR INSTR(CAST(X.FLG_ACT_PHYSCL_RSK AS STRING),'$')&gt;0 OR INSTR(CAST(X.FLG_ACT_PHYSCL_RSK AS STRING),'%')&gt;0 OR INSTR(CAST(X.FLG_ACT_PHYSCL_RSK AS STRING),'&amp;')&gt;0 OR INSTR(CAST(X.FLG_ACT_PHYSCL_RSK AS STRING),'+')&gt;0,1,0)) AS NUM_REG_DIF,'10' AS ID_EXEC, CURRENT_TIMESTAMP() AS TIME_EXEC FROM (SELECT prtctn_id, FLG_ACT_PHYSCL_RSK FROM BU_LOANTAPE_WORK.LT004_PROTECTION WHERE ref_date='${ref_date}' AND nome_perimetro='Individual Corporativo' AND segmento='ESTR' AND ambito='PILAR3')X</v>
      </c>
      <c r="N269" s="45" t="s">
        <v>13</v>
      </c>
    </row>
    <row r="270" spans="2:14">
      <c r="B270" s="41" t="s">
        <v>31</v>
      </c>
      <c r="C270" s="41" t="s">
        <v>76</v>
      </c>
      <c r="D270" s="41" t="str">
        <f>+UPPER('0. Instruções'!$D$33&amp;"."&amp;VLOOKUP(B270,'0. Instruções'!$C$27:$D$31,2,FALSE))</f>
        <v>BU_LOANTAPE_WORK.LT004_PROTECTION</v>
      </c>
      <c r="E270" s="41" t="str">
        <f>+UPPER('0. Instruções'!$D$34&amp;"."&amp;VLOOKUP(B270,'0. Instruções'!$C$27:$E$31,3,FALSE))</f>
        <v>BU_LOANTAPE_WORK.LT004_PROTECTION_P3_NOV24</v>
      </c>
      <c r="F270" s="41" t="s">
        <v>122</v>
      </c>
      <c r="G270" s="41" t="s">
        <v>211</v>
      </c>
      <c r="H270" s="41"/>
      <c r="I270" s="41" t="str">
        <f>"(SELECT "&amp;VLOOKUP(B270,'0. Instruções'!$C$27:$G$31,4,FALSE)&amp;", "&amp;F270&amp;" FROM "&amp;D270&amp;" WHERE "&amp;'0. Instruções'!$D$40&amp;")X"</f>
        <v>(SELECT prtctn_id, FLG_CHRNC_PHYSCL_RSK FROM BU_LOANTAPE_WORK.LT004_PROTECTION WHERE ref_date='${ref_date}' AND nome_perimetro='Individual Corporativo' AND segmento='ESTR' AND ambito='PILAR3')X</v>
      </c>
      <c r="J270" s="41" t="str">
        <f>"(SELECT "&amp;VLOOKUP(B270,'0. Instruções'!$C$27:$G$31,4,FALSE)&amp;" AS "&amp;VLOOKUP(B270,'0. Instruções'!$C$27:$G$31,4,FALSE)&amp;"_SIMUL, "&amp;F270&amp;" AS "&amp;F270&amp;"_SIMUL FROM "&amp;E270&amp;")Y"</f>
        <v>(SELECT prtctn_id AS prtctn_id_SIMUL, FLG_CHRNC_PHYSCL_RSK AS FLG_CHRNC_PHYSCL_RSK_SIMUL FROM BU_LOANTAPE_WORK.LT004_PROTECTION_P3_NOV24)Y</v>
      </c>
      <c r="K270" s="42" t="str">
        <f>+UPPER("ON X."&amp;VLOOKUP(B270,'0. Instruções'!$C$27:$G$31,4,FALSE)&amp;"=Y."&amp;VLOOKUP(B270,'0. Instruções'!$C$27:$G$31,4,FALSE)&amp;"_SIMUL")</f>
        <v>ON X.PRTCTN_ID=Y.PRTCTN_ID_SIMUL</v>
      </c>
      <c r="L270" s="42" t="str">
        <f>+IF(C270="Coerência", +IF(LEFT(G270,5)="FLOAT","SELECT '"&amp;UPPER(B270)&amp;"' AS TABELA, '"&amp;UPPER(C270)&amp;"' AS TIPOLOGIA_TESTE,'"&amp;D270&amp;"' AS TABELA_LT,'"&amp;E270&amp;"' AS TABELA_SIMUL,'"&amp;F270&amp;"' AS CAMPO, "&amp;"'${ref_date}' AS REF_DATE, COUNT(*) AS NUM_REG, SUM(IF((ABS(COALESCE(X."&amp;F270&amp;",0)-COALESCE(Y."&amp;F270&amp;"_SIMUL,0))&gt;0.0000000001) OR (X."&amp;F270&amp;" IS NULL AND Y."&amp;F270&amp;"_SIMUL IS NOT NULL ) OR (X."&amp;F270&amp;" IS NOT NULL AND Y."&amp;F270&amp;"_SIMUL IS NULL),1,0)) AS NUM_REG_DIF,'"&amp;MAX('ID1&amp;5'!K:K)+1&amp;"' AS ID_EXEC, CURRENT_TIMESTAMP() AS TIME_EXEC FROM "&amp;I270&amp;" INNER JOIN "&amp;J270&amp;" "&amp;K270,"SELECT '"&amp;UPPER(B270)&amp;"' AS TABELA, '"&amp;UPPER(C270)&amp;"' AS TIPOLOGIA_TESTE,'"&amp;D270&amp;"' AS TABELA_LT,'"&amp;E270&amp;"' AS TABELA_SIMUL,'"&amp;F270&amp;"' AS CAMPO, "&amp;"'${ref_date}' AS REF_DATE, COUNT(*) AS NUM_REG, SUM(IF(COALESCE(CAST(X."&amp;F270&amp;" AS STRING),'')&lt;&gt;COALESCE(CAST(Y."&amp;F270&amp;"_SIMUL AS STRING),''),1,0)) AS NUM_REG_DIF,'"&amp;MAX('ID1&amp;5'!L:L)+1&amp;"' AS ID_EXEC, CURRENT_TIMESTAMP() AS TIME_EXEC FROM "&amp;I270&amp;" INNER JOIN "&amp;J270&amp;" "&amp;K270),
IF(C270="Validade",+IF(G270="Code List","SELECT '"&amp;UPPER(B270)&amp;"' AS TABELA, '"&amp;UPPER(C270)&amp;"' AS TIPOLOGIA_TESTE,'"&amp;D270&amp;"' AS TABELA_LT,'N/A' AS TABELA_SIMUL,'"&amp;F270&amp;"' AS CAMPO, "&amp;"'${ref_date}' AS REF_DATE, COUNT(*) AS NUM_REG, SUM(IF(TRIM(CAST(X."&amp;F270&amp;" AS STRING))='' OR TRIM(CAST(X."&amp;F270&amp;" AS STRING)) IS NULL OR CAST(X."&amp;F270&amp;" AS STRING) NOT "&amp;H270&amp;",1,0)) AS NUM_REG_DIF,'"&amp;MAX('ID1&amp;5'!K:K)+1&amp;"' AS ID_EXEC, CURRENT_TIMESTAMP() AS TIME_EXEC FROM "&amp;I270,"SELECT '"&amp;UPPER(B270)&amp;"' AS TABELA, '"&amp;UPPER(C270)&amp;"' AS TIPOLOGIA_TESTE,'"&amp;D270&amp;"' AS TABELA_LT,'N/A' AS TABELA_SIMUL,'"&amp;F270&amp;"' AS CAMPO, "&amp;"'${ref_date}' AS REF_DATE, COUNT(*) AS NUM_REG, SUM(IF(TRIM(CAST(X."&amp;F270&amp;" AS STRING))='' OR TRIM(CAST(X."&amp;F270&amp;" AS STRING)) IS NULL,1,0)) AS NUM_REG_DIF,'"&amp;MAX('ID1&amp;5'!K:K)+1&amp;"' AS ID_EXEC, CURRENT_TIMESTAMP() AS TIME_EXEC FROM "&amp;I270),
IF(C270="Caracteres Especiais",+"SELECT '"&amp;UPPER(B270)&amp;"' AS TABELA, '"&amp;UPPER(C270)&amp;"' AS TIPOLOGIA_TESTE,'"&amp;D270&amp;"' AS TABELA_LT,'N/A' AS TABELA_SIMUL,'"&amp;F270&amp;"' AS CAMPO, "&amp;"'${ref_date}' AS REF_DATE, COUNT(*) AS NUM_REG, SUM(IF(INSTR(CAST(X."&amp;F270&amp;" AS STRING),'#')&gt;0 OR INSTR(CAST(X."&amp;F270&amp;" AS STRING),'*')&gt;0 OR INSTR(CAST(X."&amp;F270&amp;" AS STRING),'`')&gt;0 OR INSTR(CAST(X."&amp;F270&amp;" AS STRING),'´')&gt;0 OR INSTR(CAST(X."&amp;F270&amp;" AS STRING),'{')&gt;0 OR INSTR(CAST(X."&amp;F270&amp;" AS STRING),'}')&gt;0 OR INSTR(CAST(X."&amp;F270&amp;" AS STRING),'[')&gt;0 OR INSTR(CAST(X."&amp;F270&amp;" AS STRING),'')&gt;0 OR INSTR(CAST(X."&amp;F270&amp;" AS STRING),']')&gt;0 OR INSTR(CAST(X."&amp;F270&amp;" AS STRING),'?')&gt;0 OR INSTR(CAST(X."&amp;F270&amp;" AS STRING),'!')&gt;0 OR INSTR(CAST(X."&amp;F270&amp;" AS STRING),'$')&gt;0 OR INSTR(CAST(X."&amp;F270&amp;" AS STRING),'%')&gt;0 OR INSTR(CAST(X."&amp;F270&amp;" AS STRING),'&amp;')&gt;0 OR INSTR(CAST(X."&amp;F270&amp;" AS STRING),'+')&gt;0,1,0)) AS NUM_REG_DIF,'"&amp;MAX('ID1&amp;5'!K:K)+1&amp;"' AS ID_EXEC, CURRENT_TIMESTAMP() AS TIME_EXEC FROM "&amp;I270,
IF(C270="Missings",+"SELECT '"&amp;UPPER(B270)&amp;"' AS TABELA, '"&amp;UPPER(C270)&amp;"' AS TIPOLOGIA_TESTE,'"&amp;D270&amp;"' AS TABELA_LT,'N/A' AS TABELA_SIMUL,'"&amp;F270&amp;"' AS CAMPO, "&amp;"'${ref_date}' AS REF_DATE, COUNT(*) AS NUM_REG, SUM(IF(TRIM(CAST(X."&amp;F270&amp;" AS STRING)) IN ('0000-00-00','0001-01-01','9999-12-31','MISS','00000','99999999999','99999999999.00','99999999999.000000'),1,0)) AS NUM_REG_DIF,'"&amp;MAX('ID1&amp;5'!K:K)+1&amp;"' AS ID_EXEC, CURRENT_TIMESTAMP() AS TIME_EXEC FROM "&amp;I270,
IF(C270="Not applicable",+"SELECT '"&amp;UPPER(B270)&amp;"' AS TABELA, '"&amp;UPPER(C270)&amp;"' AS TIPOLOGIA_TESTE,'"&amp;D270&amp;"' AS TABELA_LT,'N/A' AS TABELA_SIMUL,'"&amp;F270&amp;"' AS CAMPO, "&amp;"'${ref_date}' AS REF_DATE, COUNT(*) AS NUM_REG, SUM(IF(TRIM(CAST(X."&amp;F270&amp;" AS STRING)) IN ('N/A','11111111111','11111111111.00','11111111111.000000','1111-11-11'),1,0)) AS NUM_REG_DIF,'"&amp;MAX('ID1&amp;5'!K:K)+1&amp;"' AS ID_EXEC, CURRENT_TIMESTAMP() AS TIME_EXEC FROM "&amp;I270,
IF(C270="Valores extremos",+"SELECT '"&amp;UPPER(B270)&amp;"' AS TABELA, '"&amp;UPPER(C270)&amp;"' AS TIPOLOGIA_TESTE,'"&amp;D270&amp;"' AS TABELA_LT,'N/A' AS TABELA_SIMUL,'"&amp;F270&amp;"' AS CAMPO, "&amp;"'${ref_date}' AS REF_DATE, CAST(MIN("&amp;F270&amp;") AS STRING) AS VALOR_MIN, CAST(MAX("&amp;F270&amp;") AS STRING) AS VALOR_MAX,'"&amp;MAX('ID1&amp;5'!K:K)+1&amp;"' AS ID_EXEC, CURRENT_TIMESTAMP() AS TIME_EXEC FROM "&amp;MID(I270,1,LEN(I270)-2)&amp;" AND CAST("&amp;F270&amp;"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TABELA_SIMUL,'FLG_CHRNC_PHYSCL_RSK' AS CAMPO, '${ref_date}' AS REF_DATE, COUNT(*) AS NUM_REG, SUM(IF(INSTR(CAST(X.FLG_CHRNC_PHYSCL_RSK AS STRING),'#')&gt;0 OR INSTR(CAST(X.FLG_CHRNC_PHYSCL_RSK AS STRING),'*')&gt;0 OR INSTR(CAST(X.FLG_CHRNC_PHYSCL_RSK AS STRING),'`')&gt;0 OR INSTR(CAST(X.FLG_CHRNC_PHYSCL_RSK AS STRING),'´')&gt;0 OR INSTR(CAST(X.FLG_CHRNC_PHYSCL_RSK AS STRING),'{')&gt;0 OR INSTR(CAST(X.FLG_CHRNC_PHYSCL_RSK AS STRING),'}')&gt;0 OR INSTR(CAST(X.FLG_CHRNC_PHYSCL_RSK AS STRING),'[')&gt;0 OR INSTR(CAST(X.FLG_CHRNC_PHYSCL_RSK AS STRING),'')&gt;0 OR INSTR(CAST(X.FLG_CHRNC_PHYSCL_RSK AS STRING),']')&gt;0 OR INSTR(CAST(X.FLG_CHRNC_PHYSCL_RSK AS STRING),'?')&gt;0 OR INSTR(CAST(X.FLG_CHRNC_PHYSCL_RSK AS STRING),'!')&gt;0 OR INSTR(CAST(X.FLG_CHRNC_PHYSCL_RSK AS STRING),'$')&gt;0 OR INSTR(CAST(X.FLG_CHRNC_PHYSCL_RSK AS STRING),'%')&gt;0 OR INSTR(CAST(X.FLG_CHRNC_PHYSCL_RSK AS STRING),'&amp;')&gt;0 OR INSTR(CAST(X.FLG_CHRNC_PHYSCL_RSK AS STRING),'+')&gt;0,1,0)) AS NUM_REG_DIF,'10' AS ID_EXEC, CURRENT_TIMESTAMP() AS TIME_EXEC FROM (SELECT prtctn_id, FLG_CHRNC_PHYSCL_RSK FROM BU_LOANTAPE_WORK.LT004_PROTECTION WHERE ref_date='${ref_date}' AND nome_perimetro='Individual Corporativo' AND segmento='ESTR' AND ambito='PILAR3')X</v>
      </c>
      <c r="M270" s="43" t="str">
        <f t="shared" si="4"/>
        <v>UNION ALL SELECT 'PROTECTION' AS TABELA, 'CARACTERES ESPECIAIS' AS TIPOLOGIA_TESTE,'BU_LOANTAPE_WORK.LT004_PROTECTION' AS TABELA_LT,'N/A' AS TABELA_SIMUL,'FLG_CHRNC_PHYSCL_RSK' AS CAMPO, '${ref_date}' AS REF_DATE, COUNT(*) AS NUM_REG, SUM(IF(INSTR(CAST(X.FLG_CHRNC_PHYSCL_RSK AS STRING),'#')&gt;0 OR INSTR(CAST(X.FLG_CHRNC_PHYSCL_RSK AS STRING),'*')&gt;0 OR INSTR(CAST(X.FLG_CHRNC_PHYSCL_RSK AS STRING),'`')&gt;0 OR INSTR(CAST(X.FLG_CHRNC_PHYSCL_RSK AS STRING),'´')&gt;0 OR INSTR(CAST(X.FLG_CHRNC_PHYSCL_RSK AS STRING),'{')&gt;0 OR INSTR(CAST(X.FLG_CHRNC_PHYSCL_RSK AS STRING),'}')&gt;0 OR INSTR(CAST(X.FLG_CHRNC_PHYSCL_RSK AS STRING),'[')&gt;0 OR INSTR(CAST(X.FLG_CHRNC_PHYSCL_RSK AS STRING),'')&gt;0 OR INSTR(CAST(X.FLG_CHRNC_PHYSCL_RSK AS STRING),']')&gt;0 OR INSTR(CAST(X.FLG_CHRNC_PHYSCL_RSK AS STRING),'?')&gt;0 OR INSTR(CAST(X.FLG_CHRNC_PHYSCL_RSK AS STRING),'!')&gt;0 OR INSTR(CAST(X.FLG_CHRNC_PHYSCL_RSK AS STRING),'$')&gt;0 OR INSTR(CAST(X.FLG_CHRNC_PHYSCL_RSK AS STRING),'%')&gt;0 OR INSTR(CAST(X.FLG_CHRNC_PHYSCL_RSK AS STRING),'&amp;')&gt;0 OR INSTR(CAST(X.FLG_CHRNC_PHYSCL_RSK AS STRING),'+')&gt;0,1,0)) AS NUM_REG_DIF,'10' AS ID_EXEC, CURRENT_TIMESTAMP() AS TIME_EXEC FROM (SELECT prtctn_id, FLG_CHRNC_PHYSCL_RSK FROM BU_LOANTAPE_WORK.LT004_PROTECTION WHERE ref_date='${ref_date}' AND nome_perimetro='Individual Corporativo' AND segmento='ESTR' AND ambito='PILAR3')X</v>
      </c>
      <c r="N270" s="45" t="s">
        <v>13</v>
      </c>
    </row>
    <row r="271" spans="2:14">
      <c r="B271" s="41" t="s">
        <v>31</v>
      </c>
      <c r="C271" s="41" t="s">
        <v>76</v>
      </c>
      <c r="D271" s="41" t="str">
        <f>+UPPER('0. Instruções'!$D$33&amp;"."&amp;VLOOKUP(B271,'0. Instruções'!$C$27:$D$31,2,FALSE))</f>
        <v>BU_LOANTAPE_WORK.LT004_PROTECTION</v>
      </c>
      <c r="E271" s="41" t="str">
        <f>+UPPER('0. Instruções'!$D$34&amp;"."&amp;VLOOKUP(B271,'0. Instruções'!$C$27:$E$31,3,FALSE))</f>
        <v>BU_LOANTAPE_WORK.LT004_PROTECTION_P3_NOV24</v>
      </c>
      <c r="F271" s="41" t="s">
        <v>156</v>
      </c>
      <c r="G271" s="41" t="s">
        <v>13</v>
      </c>
      <c r="H271" s="41"/>
      <c r="I271" s="41" t="str">
        <f>"(SELECT "&amp;VLOOKUP(B271,'0. Instruções'!$C$27:$G$31,4,FALSE)&amp;", "&amp;F271&amp;" FROM "&amp;D271&amp;" WHERE "&amp;'0. Instruções'!$D$40&amp;")X"</f>
        <v>(SELECT prtctn_id, DT_RFRNC FROM BU_LOANTAPE_WORK.LT004_PROTECTION WHERE ref_date='${ref_date}' AND nome_perimetro='Individual Corporativo' AND segmento='ESTR' AND ambito='PILAR3')X</v>
      </c>
      <c r="J271" s="41" t="str">
        <f>"(SELECT "&amp;VLOOKUP(B271,'0. Instruções'!$C$27:$G$31,4,FALSE)&amp;" AS "&amp;VLOOKUP(B271,'0. Instruções'!$C$27:$G$31,4,FALSE)&amp;"_SIMUL, "&amp;F271&amp;" AS "&amp;F271&amp;"_SIMUL FROM "&amp;E271&amp;")Y"</f>
        <v>(SELECT prtctn_id AS prtctn_id_SIMUL, DT_RFRNC AS DT_RFRNC_SIMUL FROM BU_LOANTAPE_WORK.LT004_PROTECTION_P3_NOV24)Y</v>
      </c>
      <c r="K271" s="42" t="str">
        <f>+UPPER("ON X."&amp;VLOOKUP(B271,'0. Instruções'!$C$27:$G$31,4,FALSE)&amp;"=Y."&amp;VLOOKUP(B271,'0. Instruções'!$C$27:$G$31,4,FALSE)&amp;"_SIMUL")</f>
        <v>ON X.PRTCTN_ID=Y.PRTCTN_ID_SIMUL</v>
      </c>
      <c r="L271" s="42" t="str">
        <f>+IF(C271="Coerência", +IF(LEFT(G271,5)="FLOAT","SELECT '"&amp;UPPER(B271)&amp;"' AS TABELA, '"&amp;UPPER(C271)&amp;"' AS TIPOLOGIA_TESTE,'"&amp;D271&amp;"' AS TABELA_LT,'"&amp;E271&amp;"' AS TABELA_SIMUL,'"&amp;F271&amp;"' AS CAMPO, "&amp;"'${ref_date}' AS REF_DATE, COUNT(*) AS NUM_REG, SUM(IF((ABS(COALESCE(X."&amp;F271&amp;",0)-COALESCE(Y."&amp;F271&amp;"_SIMUL,0))&gt;0.0000000001) OR (X."&amp;F271&amp;" IS NULL AND Y."&amp;F271&amp;"_SIMUL IS NOT NULL ) OR (X."&amp;F271&amp;" IS NOT NULL AND Y."&amp;F271&amp;"_SIMUL IS NULL),1,0)) AS NUM_REG_DIF,'"&amp;MAX('ID1&amp;5'!K:K)+1&amp;"' AS ID_EXEC, CURRENT_TIMESTAMP() AS TIME_EXEC FROM "&amp;I271&amp;" INNER JOIN "&amp;J271&amp;" "&amp;K271,"SELECT '"&amp;UPPER(B271)&amp;"' AS TABELA, '"&amp;UPPER(C271)&amp;"' AS TIPOLOGIA_TESTE,'"&amp;D271&amp;"' AS TABELA_LT,'"&amp;E271&amp;"' AS TABELA_SIMUL,'"&amp;F271&amp;"' AS CAMPO, "&amp;"'${ref_date}' AS REF_DATE, COUNT(*) AS NUM_REG, SUM(IF(COALESCE(CAST(X."&amp;F271&amp;" AS STRING),'')&lt;&gt;COALESCE(CAST(Y."&amp;F271&amp;"_SIMUL AS STRING),''),1,0)) AS NUM_REG_DIF,'"&amp;MAX('ID1&amp;5'!L:L)+1&amp;"' AS ID_EXEC, CURRENT_TIMESTAMP() AS TIME_EXEC FROM "&amp;I271&amp;" INNER JOIN "&amp;J271&amp;" "&amp;K271),
IF(C271="Validade",+IF(G271="Code List","SELECT '"&amp;UPPER(B271)&amp;"' AS TABELA, '"&amp;UPPER(C271)&amp;"' AS TIPOLOGIA_TESTE,'"&amp;D271&amp;"' AS TABELA_LT,'N/A' AS TABELA_SIMUL,'"&amp;F271&amp;"' AS CAMPO, "&amp;"'${ref_date}' AS REF_DATE, COUNT(*) AS NUM_REG, SUM(IF(TRIM(CAST(X."&amp;F271&amp;" AS STRING))='' OR TRIM(CAST(X."&amp;F271&amp;" AS STRING)) IS NULL OR CAST(X."&amp;F271&amp;" AS STRING) NOT "&amp;H271&amp;",1,0)) AS NUM_REG_DIF,'"&amp;MAX('ID1&amp;5'!K:K)+1&amp;"' AS ID_EXEC, CURRENT_TIMESTAMP() AS TIME_EXEC FROM "&amp;I271,"SELECT '"&amp;UPPER(B271)&amp;"' AS TABELA, '"&amp;UPPER(C271)&amp;"' AS TIPOLOGIA_TESTE,'"&amp;D271&amp;"' AS TABELA_LT,'N/A' AS TABELA_SIMUL,'"&amp;F271&amp;"' AS CAMPO, "&amp;"'${ref_date}' AS REF_DATE, COUNT(*) AS NUM_REG, SUM(IF(TRIM(CAST(X."&amp;F271&amp;" AS STRING))='' OR TRIM(CAST(X."&amp;F271&amp;" AS STRING)) IS NULL,1,0)) AS NUM_REG_DIF,'"&amp;MAX('ID1&amp;5'!K:K)+1&amp;"' AS ID_EXEC, CURRENT_TIMESTAMP() AS TIME_EXEC FROM "&amp;I271),
IF(C271="Caracteres Especiais",+"SELECT '"&amp;UPPER(B271)&amp;"' AS TABELA, '"&amp;UPPER(C271)&amp;"' AS TIPOLOGIA_TESTE,'"&amp;D271&amp;"' AS TABELA_LT,'N/A' AS TABELA_SIMUL,'"&amp;F271&amp;"' AS CAMPO, "&amp;"'${ref_date}' AS REF_DATE, COUNT(*) AS NUM_REG, SUM(IF(INSTR(CAST(X."&amp;F271&amp;" AS STRING),'#')&gt;0 OR INSTR(CAST(X."&amp;F271&amp;" AS STRING),'*')&gt;0 OR INSTR(CAST(X."&amp;F271&amp;" AS STRING),'`')&gt;0 OR INSTR(CAST(X."&amp;F271&amp;" AS STRING),'´')&gt;0 OR INSTR(CAST(X."&amp;F271&amp;" AS STRING),'{')&gt;0 OR INSTR(CAST(X."&amp;F271&amp;" AS STRING),'}')&gt;0 OR INSTR(CAST(X."&amp;F271&amp;" AS STRING),'[')&gt;0 OR INSTR(CAST(X."&amp;F271&amp;" AS STRING),'')&gt;0 OR INSTR(CAST(X."&amp;F271&amp;" AS STRING),']')&gt;0 OR INSTR(CAST(X."&amp;F271&amp;" AS STRING),'?')&gt;0 OR INSTR(CAST(X."&amp;F271&amp;" AS STRING),'!')&gt;0 OR INSTR(CAST(X."&amp;F271&amp;" AS STRING),'$')&gt;0 OR INSTR(CAST(X."&amp;F271&amp;" AS STRING),'%')&gt;0 OR INSTR(CAST(X."&amp;F271&amp;" AS STRING),'&amp;')&gt;0 OR INSTR(CAST(X."&amp;F271&amp;" AS STRING),'+')&gt;0,1,0)) AS NUM_REG_DIF,'"&amp;MAX('ID1&amp;5'!K:K)+1&amp;"' AS ID_EXEC, CURRENT_TIMESTAMP() AS TIME_EXEC FROM "&amp;I271,
IF(C271="Missings",+"SELECT '"&amp;UPPER(B271)&amp;"' AS TABELA, '"&amp;UPPER(C271)&amp;"' AS TIPOLOGIA_TESTE,'"&amp;D271&amp;"' AS TABELA_LT,'N/A' AS TABELA_SIMUL,'"&amp;F271&amp;"' AS CAMPO, "&amp;"'${ref_date}' AS REF_DATE, COUNT(*) AS NUM_REG, SUM(IF(TRIM(CAST(X."&amp;F271&amp;" AS STRING)) IN ('0000-00-00','0001-01-01','9999-12-31','MISS','00000','99999999999','99999999999.00','99999999999.000000'),1,0)) AS NUM_REG_DIF,'"&amp;MAX('ID1&amp;5'!K:K)+1&amp;"' AS ID_EXEC, CURRENT_TIMESTAMP() AS TIME_EXEC FROM "&amp;I271,
IF(C271="Not applicable",+"SELECT '"&amp;UPPER(B271)&amp;"' AS TABELA, '"&amp;UPPER(C271)&amp;"' AS TIPOLOGIA_TESTE,'"&amp;D271&amp;"' AS TABELA_LT,'N/A' AS TABELA_SIMUL,'"&amp;F271&amp;"' AS CAMPO, "&amp;"'${ref_date}' AS REF_DATE, COUNT(*) AS NUM_REG, SUM(IF(TRIM(CAST(X."&amp;F271&amp;" AS STRING)) IN ('N/A','11111111111','11111111111.00','11111111111.000000','1111-11-11'),1,0)) AS NUM_REG_DIF,'"&amp;MAX('ID1&amp;5'!K:K)+1&amp;"' AS ID_EXEC, CURRENT_TIMESTAMP() AS TIME_EXEC FROM "&amp;I271,
IF(C271="Valores extremos",+"SELECT '"&amp;UPPER(B271)&amp;"' AS TABELA, '"&amp;UPPER(C271)&amp;"' AS TIPOLOGIA_TESTE,'"&amp;D271&amp;"' AS TABELA_LT,'N/A' AS TABELA_SIMUL,'"&amp;F271&amp;"' AS CAMPO, "&amp;"'${ref_date}' AS REF_DATE, CAST(MIN("&amp;F271&amp;") AS STRING) AS VALOR_MIN, CAST(MAX("&amp;F271&amp;") AS STRING) AS VALOR_MAX,'"&amp;MAX('ID1&amp;5'!K:K)+1&amp;"' AS ID_EXEC, CURRENT_TIMESTAMP() AS TIME_EXEC FROM "&amp;MID(I271,1,LEN(I271)-2)&amp;" AND CAST("&amp;F271&amp;"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TABELA_SIMUL,'DT_RFRNC' AS CAMPO, '${ref_date}' AS REF_DATE, COUNT(*) AS NUM_REG, SUM(IF(INSTR(CAST(X.DT_RFRNC AS STRING),'#')&gt;0 OR INSTR(CAST(X.DT_RFRNC AS STRING),'*')&gt;0 OR INSTR(CAST(X.DT_RFRNC AS STRING),'`')&gt;0 OR INSTR(CAST(X.DT_RFRNC AS STRING),'´')&gt;0 OR INSTR(CAST(X.DT_RFRNC AS STRING),'{')&gt;0 OR INSTR(CAST(X.DT_RFRNC AS STRING),'}')&gt;0 OR INSTR(CAST(X.DT_RFRNC AS STRING),'[')&gt;0 OR INSTR(CAST(X.DT_RFRNC AS STRING),'')&gt;0 OR INSTR(CAST(X.DT_RFRNC AS STRING),']')&gt;0 OR INSTR(CAST(X.DT_RFRNC AS STRING),'?')&gt;0 OR INSTR(CAST(X.DT_RFRNC AS STRING),'!')&gt;0 OR INSTR(CAST(X.DT_RFRNC AS STRING),'$')&gt;0 OR INSTR(CAST(X.DT_RFRNC AS STRING),'%')&gt;0 OR INSTR(CAST(X.DT_RFRNC AS STRING),'&amp;')&gt;0 OR INSTR(CAST(X.DT_RFRNC AS STRING),'+')&gt;0,1,0)) AS NUM_REG_DIF,'10' AS ID_EXEC, CURRENT_TIMESTAMP() AS TIME_EXEC FROM (SELECT prtctn_id, DT_RFRNC FROM BU_LOANTAPE_WORK.LT004_PROTECTION WHERE ref_date='${ref_date}' AND nome_perimetro='Individual Corporativo' AND segmento='ESTR' AND ambito='PILAR3')X</v>
      </c>
      <c r="M271" s="43" t="str">
        <f t="shared" si="4"/>
        <v>UNION ALL SELECT 'PROTECTION' AS TABELA, 'CARACTERES ESPECIAIS' AS TIPOLOGIA_TESTE,'BU_LOANTAPE_WORK.LT004_PROTECTION' AS TABELA_LT,'N/A' AS TABELA_SIMUL,'DT_RFRNC' AS CAMPO, '${ref_date}' AS REF_DATE, COUNT(*) AS NUM_REG, SUM(IF(INSTR(CAST(X.DT_RFRNC AS STRING),'#')&gt;0 OR INSTR(CAST(X.DT_RFRNC AS STRING),'*')&gt;0 OR INSTR(CAST(X.DT_RFRNC AS STRING),'`')&gt;0 OR INSTR(CAST(X.DT_RFRNC AS STRING),'´')&gt;0 OR INSTR(CAST(X.DT_RFRNC AS STRING),'{')&gt;0 OR INSTR(CAST(X.DT_RFRNC AS STRING),'}')&gt;0 OR INSTR(CAST(X.DT_RFRNC AS STRING),'[')&gt;0 OR INSTR(CAST(X.DT_RFRNC AS STRING),'')&gt;0 OR INSTR(CAST(X.DT_RFRNC AS STRING),']')&gt;0 OR INSTR(CAST(X.DT_RFRNC AS STRING),'?')&gt;0 OR INSTR(CAST(X.DT_RFRNC AS STRING),'!')&gt;0 OR INSTR(CAST(X.DT_RFRNC AS STRING),'$')&gt;0 OR INSTR(CAST(X.DT_RFRNC AS STRING),'%')&gt;0 OR INSTR(CAST(X.DT_RFRNC AS STRING),'&amp;')&gt;0 OR INSTR(CAST(X.DT_RFRNC AS STRING),'+')&gt;0,1,0)) AS NUM_REG_DIF,'10' AS ID_EXEC, CURRENT_TIMESTAMP() AS TIME_EXEC FROM (SELECT prtctn_id, DT_RFRNC FROM BU_LOANTAPE_WORK.LT004_PROTECTION WHERE ref_date='${ref_date}' AND nome_perimetro='Individual Corporativo' AND segmento='ESTR' AND ambito='PILAR3')X</v>
      </c>
      <c r="N271" s="45" t="s">
        <v>13</v>
      </c>
    </row>
    <row r="272" spans="2:14">
      <c r="B272" s="41" t="s">
        <v>31</v>
      </c>
      <c r="C272" s="41" t="s">
        <v>76</v>
      </c>
      <c r="D272" s="41" t="str">
        <f>+UPPER('0. Instruções'!$D$33&amp;"."&amp;VLOOKUP(B272,'0. Instruções'!$C$27:$D$31,2,FALSE))</f>
        <v>BU_LOANTAPE_WORK.LT004_PROTECTION</v>
      </c>
      <c r="E272" s="41" t="str">
        <f>+UPPER('0. Instruções'!$D$34&amp;"."&amp;VLOOKUP(B272,'0. Instruções'!$C$27:$E$31,3,FALSE))</f>
        <v>BU_LOANTAPE_WORK.LT004_PROTECTION_P3_NOV24</v>
      </c>
      <c r="F272" s="41" t="s">
        <v>190</v>
      </c>
      <c r="G272" s="41" t="s">
        <v>13</v>
      </c>
      <c r="H272" s="41"/>
      <c r="I272" s="41" t="str">
        <f>"(SELECT "&amp;VLOOKUP(B272,'0. Instruções'!$C$27:$G$31,4,FALSE)&amp;", "&amp;F272&amp;" FROM "&amp;D272&amp;" WHERE "&amp;'0. Instruções'!$D$40&amp;")X"</f>
        <v>(SELECT prtctn_id, PRTCTN_ID FROM BU_LOANTAPE_WORK.LT004_PROTECTION WHERE ref_date='${ref_date}' AND nome_perimetro='Individual Corporativo' AND segmento='ESTR' AND ambito='PILAR3')X</v>
      </c>
      <c r="J272" s="41" t="str">
        <f>"(SELECT "&amp;VLOOKUP(B272,'0. Instruções'!$C$27:$G$31,4,FALSE)&amp;" AS "&amp;VLOOKUP(B272,'0. Instruções'!$C$27:$G$31,4,FALSE)&amp;"_SIMUL, "&amp;F272&amp;" AS "&amp;F272&amp;"_SIMUL FROM "&amp;E272&amp;")Y"</f>
        <v>(SELECT prtctn_id AS prtctn_id_SIMUL, PRTCTN_ID AS PRTCTN_ID_SIMUL FROM BU_LOANTAPE_WORK.LT004_PROTECTION_P3_NOV24)Y</v>
      </c>
      <c r="K272" s="42" t="str">
        <f>+UPPER("ON X."&amp;VLOOKUP(B272,'0. Instruções'!$C$27:$G$31,4,FALSE)&amp;"=Y."&amp;VLOOKUP(B272,'0. Instruções'!$C$27:$G$31,4,FALSE)&amp;"_SIMUL")</f>
        <v>ON X.PRTCTN_ID=Y.PRTCTN_ID_SIMUL</v>
      </c>
      <c r="L272" s="42" t="str">
        <f>+IF(C272="Coerência", +IF(LEFT(G272,5)="FLOAT","SELECT '"&amp;UPPER(B272)&amp;"' AS TABELA, '"&amp;UPPER(C272)&amp;"' AS TIPOLOGIA_TESTE,'"&amp;D272&amp;"' AS TABELA_LT,'"&amp;E272&amp;"' AS TABELA_SIMUL,'"&amp;F272&amp;"' AS CAMPO, "&amp;"'${ref_date}' AS REF_DATE, COUNT(*) AS NUM_REG, SUM(IF((ABS(COALESCE(X."&amp;F272&amp;",0)-COALESCE(Y."&amp;F272&amp;"_SIMUL,0))&gt;0.0000000001) OR (X."&amp;F272&amp;" IS NULL AND Y."&amp;F272&amp;"_SIMUL IS NOT NULL ) OR (X."&amp;F272&amp;" IS NOT NULL AND Y."&amp;F272&amp;"_SIMUL IS NULL),1,0)) AS NUM_REG_DIF,'"&amp;MAX('ID1&amp;5'!K:K)+1&amp;"' AS ID_EXEC, CURRENT_TIMESTAMP() AS TIME_EXEC FROM "&amp;I272&amp;" INNER JOIN "&amp;J272&amp;" "&amp;K272,"SELECT '"&amp;UPPER(B272)&amp;"' AS TABELA, '"&amp;UPPER(C272)&amp;"' AS TIPOLOGIA_TESTE,'"&amp;D272&amp;"' AS TABELA_LT,'"&amp;E272&amp;"' AS TABELA_SIMUL,'"&amp;F272&amp;"' AS CAMPO, "&amp;"'${ref_date}' AS REF_DATE, COUNT(*) AS NUM_REG, SUM(IF(COALESCE(CAST(X."&amp;F272&amp;" AS STRING),'')&lt;&gt;COALESCE(CAST(Y."&amp;F272&amp;"_SIMUL AS STRING),''),1,0)) AS NUM_REG_DIF,'"&amp;MAX('ID1&amp;5'!L:L)+1&amp;"' AS ID_EXEC, CURRENT_TIMESTAMP() AS TIME_EXEC FROM "&amp;I272&amp;" INNER JOIN "&amp;J272&amp;" "&amp;K272),
IF(C272="Validade",+IF(G272="Code List","SELECT '"&amp;UPPER(B272)&amp;"' AS TABELA, '"&amp;UPPER(C272)&amp;"' AS TIPOLOGIA_TESTE,'"&amp;D272&amp;"' AS TABELA_LT,'N/A' AS TABELA_SIMUL,'"&amp;F272&amp;"' AS CAMPO, "&amp;"'${ref_date}' AS REF_DATE, COUNT(*) AS NUM_REG, SUM(IF(TRIM(CAST(X."&amp;F272&amp;" AS STRING))='' OR TRIM(CAST(X."&amp;F272&amp;" AS STRING)) IS NULL OR CAST(X."&amp;F272&amp;" AS STRING) NOT "&amp;H272&amp;",1,0)) AS NUM_REG_DIF,'"&amp;MAX('ID1&amp;5'!K:K)+1&amp;"' AS ID_EXEC, CURRENT_TIMESTAMP() AS TIME_EXEC FROM "&amp;I272,"SELECT '"&amp;UPPER(B272)&amp;"' AS TABELA, '"&amp;UPPER(C272)&amp;"' AS TIPOLOGIA_TESTE,'"&amp;D272&amp;"' AS TABELA_LT,'N/A' AS TABELA_SIMUL,'"&amp;F272&amp;"' AS CAMPO, "&amp;"'${ref_date}' AS REF_DATE, COUNT(*) AS NUM_REG, SUM(IF(TRIM(CAST(X."&amp;F272&amp;" AS STRING))='' OR TRIM(CAST(X."&amp;F272&amp;" AS STRING)) IS NULL,1,0)) AS NUM_REG_DIF,'"&amp;MAX('ID1&amp;5'!K:K)+1&amp;"' AS ID_EXEC, CURRENT_TIMESTAMP() AS TIME_EXEC FROM "&amp;I272),
IF(C272="Caracteres Especiais",+"SELECT '"&amp;UPPER(B272)&amp;"' AS TABELA, '"&amp;UPPER(C272)&amp;"' AS TIPOLOGIA_TESTE,'"&amp;D272&amp;"' AS TABELA_LT,'N/A' AS TABELA_SIMUL,'"&amp;F272&amp;"' AS CAMPO, "&amp;"'${ref_date}' AS REF_DATE, COUNT(*) AS NUM_REG, SUM(IF(INSTR(CAST(X."&amp;F272&amp;" AS STRING),'#')&gt;0 OR INSTR(CAST(X."&amp;F272&amp;" AS STRING),'*')&gt;0 OR INSTR(CAST(X."&amp;F272&amp;" AS STRING),'`')&gt;0 OR INSTR(CAST(X."&amp;F272&amp;" AS STRING),'´')&gt;0 OR INSTR(CAST(X."&amp;F272&amp;" AS STRING),'{')&gt;0 OR INSTR(CAST(X."&amp;F272&amp;" AS STRING),'}')&gt;0 OR INSTR(CAST(X."&amp;F272&amp;" AS STRING),'[')&gt;0 OR INSTR(CAST(X."&amp;F272&amp;" AS STRING),'')&gt;0 OR INSTR(CAST(X."&amp;F272&amp;" AS STRING),']')&gt;0 OR INSTR(CAST(X."&amp;F272&amp;" AS STRING),'?')&gt;0 OR INSTR(CAST(X."&amp;F272&amp;" AS STRING),'!')&gt;0 OR INSTR(CAST(X."&amp;F272&amp;" AS STRING),'$')&gt;0 OR INSTR(CAST(X."&amp;F272&amp;" AS STRING),'%')&gt;0 OR INSTR(CAST(X."&amp;F272&amp;" AS STRING),'&amp;')&gt;0 OR INSTR(CAST(X."&amp;F272&amp;" AS STRING),'+')&gt;0,1,0)) AS NUM_REG_DIF,'"&amp;MAX('ID1&amp;5'!K:K)+1&amp;"' AS ID_EXEC, CURRENT_TIMESTAMP() AS TIME_EXEC FROM "&amp;I272,
IF(C272="Missings",+"SELECT '"&amp;UPPER(B272)&amp;"' AS TABELA, '"&amp;UPPER(C272)&amp;"' AS TIPOLOGIA_TESTE,'"&amp;D272&amp;"' AS TABELA_LT,'N/A' AS TABELA_SIMUL,'"&amp;F272&amp;"' AS CAMPO, "&amp;"'${ref_date}' AS REF_DATE, COUNT(*) AS NUM_REG, SUM(IF(TRIM(CAST(X."&amp;F272&amp;" AS STRING)) IN ('0000-00-00','0001-01-01','9999-12-31','MISS','00000','99999999999','99999999999.00','99999999999.000000'),1,0)) AS NUM_REG_DIF,'"&amp;MAX('ID1&amp;5'!K:K)+1&amp;"' AS ID_EXEC, CURRENT_TIMESTAMP() AS TIME_EXEC FROM "&amp;I272,
IF(C272="Not applicable",+"SELECT '"&amp;UPPER(B272)&amp;"' AS TABELA, '"&amp;UPPER(C272)&amp;"' AS TIPOLOGIA_TESTE,'"&amp;D272&amp;"' AS TABELA_LT,'N/A' AS TABELA_SIMUL,'"&amp;F272&amp;"' AS CAMPO, "&amp;"'${ref_date}' AS REF_DATE, COUNT(*) AS NUM_REG, SUM(IF(TRIM(CAST(X."&amp;F272&amp;" AS STRING)) IN ('N/A','11111111111','11111111111.00','11111111111.000000','1111-11-11'),1,0)) AS NUM_REG_DIF,'"&amp;MAX('ID1&amp;5'!K:K)+1&amp;"' AS ID_EXEC, CURRENT_TIMESTAMP() AS TIME_EXEC FROM "&amp;I272,
IF(C272="Valores extremos",+"SELECT '"&amp;UPPER(B272)&amp;"' AS TABELA, '"&amp;UPPER(C272)&amp;"' AS TIPOLOGIA_TESTE,'"&amp;D272&amp;"' AS TABELA_LT,'N/A' AS TABELA_SIMUL,'"&amp;F272&amp;"' AS CAMPO, "&amp;"'${ref_date}' AS REF_DATE, CAST(MIN("&amp;F272&amp;") AS STRING) AS VALOR_MIN, CAST(MAX("&amp;F272&amp;") AS STRING) AS VALOR_MAX,'"&amp;MAX('ID1&amp;5'!K:K)+1&amp;"' AS ID_EXEC, CURRENT_TIMESTAMP() AS TIME_EXEC FROM "&amp;MID(I272,1,LEN(I272)-2)&amp;" AND CAST("&amp;F272&amp;"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TABELA_SIMUL,'PRTCTN_ID' AS CAMPO, '${ref_date}' AS REF_DATE, COUNT(*) AS NUM_REG, SUM(IF(INSTR(CAST(X.PRTCTN_ID AS STRING),'#')&gt;0 OR INSTR(CAST(X.PRTCTN_ID AS STRING),'*')&gt;0 OR INSTR(CAST(X.PRTCTN_ID AS STRING),'`')&gt;0 OR INSTR(CAST(X.PRTCTN_ID AS STRING),'´')&gt;0 OR INSTR(CAST(X.PRTCTN_ID AS STRING),'{')&gt;0 OR INSTR(CAST(X.PRTCTN_ID AS STRING),'}')&gt;0 OR INSTR(CAST(X.PRTCTN_ID AS STRING),'[')&gt;0 OR INSTR(CAST(X.PRTCTN_ID AS STRING),'')&gt;0 OR INSTR(CAST(X.PRTCTN_ID AS STRING),']')&gt;0 OR INSTR(CAST(X.PRTCTN_ID AS STRING),'?')&gt;0 OR INSTR(CAST(X.PRTCTN_ID AS STRING),'!')&gt;0 OR INSTR(CAST(X.PRTCTN_ID AS STRING),'$')&gt;0 OR INSTR(CAST(X.PRTCTN_ID AS STRING),'%')&gt;0 OR INSTR(CAST(X.PRTCTN_ID AS STRING),'&amp;')&gt;0 OR INSTR(CAST(X.PRTCTN_ID AS STRING),'+')&gt;0,1,0)) AS NUM_REG_DIF,'10' AS ID_EXEC, CURRENT_TIMESTAMP() AS TIME_EXEC FROM (SELECT prtctn_id, PRTCTN_ID FROM BU_LOANTAPE_WORK.LT004_PROTECTION WHERE ref_date='${ref_date}' AND nome_perimetro='Individual Corporativo' AND segmento='ESTR' AND ambito='PILAR3')X</v>
      </c>
      <c r="M272" s="43" t="str">
        <f t="shared" si="4"/>
        <v>UNION ALL SELECT 'PROTECTION' AS TABELA, 'CARACTERES ESPECIAIS' AS TIPOLOGIA_TESTE,'BU_LOANTAPE_WORK.LT004_PROTECTION' AS TABELA_LT,'N/A' AS TABELA_SIMUL,'PRTCTN_ID' AS CAMPO, '${ref_date}' AS REF_DATE, COUNT(*) AS NUM_REG, SUM(IF(INSTR(CAST(X.PRTCTN_ID AS STRING),'#')&gt;0 OR INSTR(CAST(X.PRTCTN_ID AS STRING),'*')&gt;0 OR INSTR(CAST(X.PRTCTN_ID AS STRING),'`')&gt;0 OR INSTR(CAST(X.PRTCTN_ID AS STRING),'´')&gt;0 OR INSTR(CAST(X.PRTCTN_ID AS STRING),'{')&gt;0 OR INSTR(CAST(X.PRTCTN_ID AS STRING),'}')&gt;0 OR INSTR(CAST(X.PRTCTN_ID AS STRING),'[')&gt;0 OR INSTR(CAST(X.PRTCTN_ID AS STRING),'')&gt;0 OR INSTR(CAST(X.PRTCTN_ID AS STRING),']')&gt;0 OR INSTR(CAST(X.PRTCTN_ID AS STRING),'?')&gt;0 OR INSTR(CAST(X.PRTCTN_ID AS STRING),'!')&gt;0 OR INSTR(CAST(X.PRTCTN_ID AS STRING),'$')&gt;0 OR INSTR(CAST(X.PRTCTN_ID AS STRING),'%')&gt;0 OR INSTR(CAST(X.PRTCTN_ID AS STRING),'&amp;')&gt;0 OR INSTR(CAST(X.PRTCTN_ID AS STRING),'+')&gt;0,1,0)) AS NUM_REG_DIF,'10' AS ID_EXEC, CURRENT_TIMESTAMP() AS TIME_EXEC FROM (SELECT prtctn_id, PRTCTN_ID FROM BU_LOANTAPE_WORK.LT004_PROTECTION WHERE ref_date='${ref_date}' AND nome_perimetro='Individual Corporativo' AND segmento='ESTR' AND ambito='PILAR3')X</v>
      </c>
      <c r="N272" s="45" t="s">
        <v>13</v>
      </c>
    </row>
    <row r="273" spans="2:14">
      <c r="B273" s="41" t="s">
        <v>31</v>
      </c>
      <c r="C273" s="41" t="s">
        <v>76</v>
      </c>
      <c r="D273" s="41" t="str">
        <f>+UPPER('0. Instruções'!$D$33&amp;"."&amp;VLOOKUP(B273,'0. Instruções'!$C$27:$D$31,2,FALSE))</f>
        <v>BU_LOANTAPE_WORK.LT004_PROTECTION</v>
      </c>
      <c r="E273" s="41" t="str">
        <f>+UPPER('0. Instruções'!$D$34&amp;"."&amp;VLOOKUP(B273,'0. Instruções'!$C$27:$E$31,3,FALSE))</f>
        <v>BU_LOANTAPE_WORK.LT004_PROTECTION_P3_NOV24</v>
      </c>
      <c r="F273" s="41" t="s">
        <v>191</v>
      </c>
      <c r="G273" s="41" t="s">
        <v>13</v>
      </c>
      <c r="H273" s="41"/>
      <c r="I273" s="41" t="str">
        <f>"(SELECT "&amp;VLOOKUP(B273,'0. Instruções'!$C$27:$G$31,4,FALSE)&amp;", "&amp;F273&amp;" FROM "&amp;D273&amp;" WHERE "&amp;'0. Instruções'!$D$40&amp;")X"</f>
        <v>(SELECT prtctn_id, RL_ESTT_CLLTRL_LCTN FROM BU_LOANTAPE_WORK.LT004_PROTECTION WHERE ref_date='${ref_date}' AND nome_perimetro='Individual Corporativo' AND segmento='ESTR' AND ambito='PILAR3')X</v>
      </c>
      <c r="J273" s="41" t="str">
        <f>"(SELECT "&amp;VLOOKUP(B273,'0. Instruções'!$C$27:$G$31,4,FALSE)&amp;" AS "&amp;VLOOKUP(B273,'0. Instruções'!$C$27:$G$31,4,FALSE)&amp;"_SIMUL, "&amp;F273&amp;" AS "&amp;F273&amp;"_SIMUL FROM "&amp;E273&amp;")Y"</f>
        <v>(SELECT prtctn_id AS prtctn_id_SIMUL, RL_ESTT_CLLTRL_LCTN AS RL_ESTT_CLLTRL_LCTN_SIMUL FROM BU_LOANTAPE_WORK.LT004_PROTECTION_P3_NOV24)Y</v>
      </c>
      <c r="K273" s="42" t="str">
        <f>+UPPER("ON X."&amp;VLOOKUP(B273,'0. Instruções'!$C$27:$G$31,4,FALSE)&amp;"=Y."&amp;VLOOKUP(B273,'0. Instruções'!$C$27:$G$31,4,FALSE)&amp;"_SIMUL")</f>
        <v>ON X.PRTCTN_ID=Y.PRTCTN_ID_SIMUL</v>
      </c>
      <c r="L273" s="42" t="str">
        <f>+IF(C273="Coerência", +IF(LEFT(G273,5)="FLOAT","SELECT '"&amp;UPPER(B273)&amp;"' AS TABELA, '"&amp;UPPER(C273)&amp;"' AS TIPOLOGIA_TESTE,'"&amp;D273&amp;"' AS TABELA_LT,'"&amp;E273&amp;"' AS TABELA_SIMUL,'"&amp;F273&amp;"' AS CAMPO, "&amp;"'${ref_date}' AS REF_DATE, COUNT(*) AS NUM_REG, SUM(IF((ABS(COALESCE(X."&amp;F273&amp;",0)-COALESCE(Y."&amp;F273&amp;"_SIMUL,0))&gt;0.0000000001) OR (X."&amp;F273&amp;" IS NULL AND Y."&amp;F273&amp;"_SIMUL IS NOT NULL ) OR (X."&amp;F273&amp;" IS NOT NULL AND Y."&amp;F273&amp;"_SIMUL IS NULL),1,0)) AS NUM_REG_DIF,'"&amp;MAX('ID1&amp;5'!K:K)+1&amp;"' AS ID_EXEC, CURRENT_TIMESTAMP() AS TIME_EXEC FROM "&amp;I273&amp;" INNER JOIN "&amp;J273&amp;" "&amp;K273,"SELECT '"&amp;UPPER(B273)&amp;"' AS TABELA, '"&amp;UPPER(C273)&amp;"' AS TIPOLOGIA_TESTE,'"&amp;D273&amp;"' AS TABELA_LT,'"&amp;E273&amp;"' AS TABELA_SIMUL,'"&amp;F273&amp;"' AS CAMPO, "&amp;"'${ref_date}' AS REF_DATE, COUNT(*) AS NUM_REG, SUM(IF(COALESCE(CAST(X."&amp;F273&amp;" AS STRING),'')&lt;&gt;COALESCE(CAST(Y."&amp;F273&amp;"_SIMUL AS STRING),''),1,0)) AS NUM_REG_DIF,'"&amp;MAX('ID1&amp;5'!L:L)+1&amp;"' AS ID_EXEC, CURRENT_TIMESTAMP() AS TIME_EXEC FROM "&amp;I273&amp;" INNER JOIN "&amp;J273&amp;" "&amp;K273),
IF(C273="Validade",+IF(G273="Code List","SELECT '"&amp;UPPER(B273)&amp;"' AS TABELA, '"&amp;UPPER(C273)&amp;"' AS TIPOLOGIA_TESTE,'"&amp;D273&amp;"' AS TABELA_LT,'N/A' AS TABELA_SIMUL,'"&amp;F273&amp;"' AS CAMPO, "&amp;"'${ref_date}' AS REF_DATE, COUNT(*) AS NUM_REG, SUM(IF(TRIM(CAST(X."&amp;F273&amp;" AS STRING))='' OR TRIM(CAST(X."&amp;F273&amp;" AS STRING)) IS NULL OR CAST(X."&amp;F273&amp;" AS STRING) NOT "&amp;H273&amp;",1,0)) AS NUM_REG_DIF,'"&amp;MAX('ID1&amp;5'!K:K)+1&amp;"' AS ID_EXEC, CURRENT_TIMESTAMP() AS TIME_EXEC FROM "&amp;I273,"SELECT '"&amp;UPPER(B273)&amp;"' AS TABELA, '"&amp;UPPER(C273)&amp;"' AS TIPOLOGIA_TESTE,'"&amp;D273&amp;"' AS TABELA_LT,'N/A' AS TABELA_SIMUL,'"&amp;F273&amp;"' AS CAMPO, "&amp;"'${ref_date}' AS REF_DATE, COUNT(*) AS NUM_REG, SUM(IF(TRIM(CAST(X."&amp;F273&amp;" AS STRING))='' OR TRIM(CAST(X."&amp;F273&amp;" AS STRING)) IS NULL,1,0)) AS NUM_REG_DIF,'"&amp;MAX('ID1&amp;5'!K:K)+1&amp;"' AS ID_EXEC, CURRENT_TIMESTAMP() AS TIME_EXEC FROM "&amp;I273),
IF(C273="Caracteres Especiais",+"SELECT '"&amp;UPPER(B273)&amp;"' AS TABELA, '"&amp;UPPER(C273)&amp;"' AS TIPOLOGIA_TESTE,'"&amp;D273&amp;"' AS TABELA_LT,'N/A' AS TABELA_SIMUL,'"&amp;F273&amp;"' AS CAMPO, "&amp;"'${ref_date}' AS REF_DATE, COUNT(*) AS NUM_REG, SUM(IF(INSTR(CAST(X."&amp;F273&amp;" AS STRING),'#')&gt;0 OR INSTR(CAST(X."&amp;F273&amp;" AS STRING),'*')&gt;0 OR INSTR(CAST(X."&amp;F273&amp;" AS STRING),'`')&gt;0 OR INSTR(CAST(X."&amp;F273&amp;" AS STRING),'´')&gt;0 OR INSTR(CAST(X."&amp;F273&amp;" AS STRING),'{')&gt;0 OR INSTR(CAST(X."&amp;F273&amp;" AS STRING),'}')&gt;0 OR INSTR(CAST(X."&amp;F273&amp;" AS STRING),'[')&gt;0 OR INSTR(CAST(X."&amp;F273&amp;" AS STRING),'')&gt;0 OR INSTR(CAST(X."&amp;F273&amp;" AS STRING),']')&gt;0 OR INSTR(CAST(X."&amp;F273&amp;" AS STRING),'?')&gt;0 OR INSTR(CAST(X."&amp;F273&amp;" AS STRING),'!')&gt;0 OR INSTR(CAST(X."&amp;F273&amp;" AS STRING),'$')&gt;0 OR INSTR(CAST(X."&amp;F273&amp;" AS STRING),'%')&gt;0 OR INSTR(CAST(X."&amp;F273&amp;" AS STRING),'&amp;')&gt;0 OR INSTR(CAST(X."&amp;F273&amp;" AS STRING),'+')&gt;0,1,0)) AS NUM_REG_DIF,'"&amp;MAX('ID1&amp;5'!K:K)+1&amp;"' AS ID_EXEC, CURRENT_TIMESTAMP() AS TIME_EXEC FROM "&amp;I273,
IF(C273="Missings",+"SELECT '"&amp;UPPER(B273)&amp;"' AS TABELA, '"&amp;UPPER(C273)&amp;"' AS TIPOLOGIA_TESTE,'"&amp;D273&amp;"' AS TABELA_LT,'N/A' AS TABELA_SIMUL,'"&amp;F273&amp;"' AS CAMPO, "&amp;"'${ref_date}' AS REF_DATE, COUNT(*) AS NUM_REG, SUM(IF(TRIM(CAST(X."&amp;F273&amp;" AS STRING)) IN ('0000-00-00','0001-01-01','9999-12-31','MISS','00000','99999999999','99999999999.00','99999999999.000000'),1,0)) AS NUM_REG_DIF,'"&amp;MAX('ID1&amp;5'!K:K)+1&amp;"' AS ID_EXEC, CURRENT_TIMESTAMP() AS TIME_EXEC FROM "&amp;I273,
IF(C273="Not applicable",+"SELECT '"&amp;UPPER(B273)&amp;"' AS TABELA, '"&amp;UPPER(C273)&amp;"' AS TIPOLOGIA_TESTE,'"&amp;D273&amp;"' AS TABELA_LT,'N/A' AS TABELA_SIMUL,'"&amp;F273&amp;"' AS CAMPO, "&amp;"'${ref_date}' AS REF_DATE, COUNT(*) AS NUM_REG, SUM(IF(TRIM(CAST(X."&amp;F273&amp;" AS STRING)) IN ('N/A','11111111111','11111111111.00','11111111111.000000','1111-11-11'),1,0)) AS NUM_REG_DIF,'"&amp;MAX('ID1&amp;5'!K:K)+1&amp;"' AS ID_EXEC, CURRENT_TIMESTAMP() AS TIME_EXEC FROM "&amp;I273,
IF(C273="Valores extremos",+"SELECT '"&amp;UPPER(B273)&amp;"' AS TABELA, '"&amp;UPPER(C273)&amp;"' AS TIPOLOGIA_TESTE,'"&amp;D273&amp;"' AS TABELA_LT,'N/A' AS TABELA_SIMUL,'"&amp;F273&amp;"' AS CAMPO, "&amp;"'${ref_date}' AS REF_DATE, CAST(MIN("&amp;F273&amp;") AS STRING) AS VALOR_MIN, CAST(MAX("&amp;F273&amp;") AS STRING) AS VALOR_MAX,'"&amp;MAX('ID1&amp;5'!K:K)+1&amp;"' AS ID_EXEC, CURRENT_TIMESTAMP() AS TIME_EXEC FROM "&amp;MID(I273,1,LEN(I273)-2)&amp;" AND CAST("&amp;F273&amp;"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TABELA_SIMUL,'RL_ESTT_CLLTRL_LCTN' AS CAMPO, '${ref_date}' AS REF_DATE, COUNT(*) AS NUM_REG, SUM(IF(INSTR(CAST(X.RL_ESTT_CLLTRL_LCTN AS STRING),'#')&gt;0 OR INSTR(CAST(X.RL_ESTT_CLLTRL_LCTN AS STRING),'*')&gt;0 OR INSTR(CAST(X.RL_ESTT_CLLTRL_LCTN AS STRING),'`')&gt;0 OR INSTR(CAST(X.RL_ESTT_CLLTRL_LCTN AS STRING),'´')&gt;0 OR INSTR(CAST(X.RL_ESTT_CLLTRL_LCTN AS STRING),'{')&gt;0 OR INSTR(CAST(X.RL_ESTT_CLLTRL_LCTN AS STRING),'}')&gt;0 OR INSTR(CAST(X.RL_ESTT_CLLTRL_LCTN AS STRING),'[')&gt;0 OR INSTR(CAST(X.RL_ESTT_CLLTRL_LCTN AS STRING),'')&gt;0 OR INSTR(CAST(X.RL_ESTT_CLLTRL_LCTN AS STRING),']')&gt;0 OR INSTR(CAST(X.RL_ESTT_CLLTRL_LCTN AS STRING),'?')&gt;0 OR INSTR(CAST(X.RL_ESTT_CLLTRL_LCTN AS STRING),'!')&gt;0 OR INSTR(CAST(X.RL_ESTT_CLLTRL_LCTN AS STRING),'$')&gt;0 OR INSTR(CAST(X.RL_ESTT_CLLTRL_LCTN AS STRING),'%')&gt;0 OR INSTR(CAST(X.RL_ESTT_CLLTRL_LCTN AS STRING),'&amp;')&gt;0 OR INSTR(CAST(X.RL_ESTT_CLLTRL_LCTN AS STRING),'+')&gt;0,1,0)) AS NUM_REG_DIF,'10' AS ID_EXEC, CURRENT_TIMESTAMP() AS TIME_EXEC FROM (SELECT prtctn_id, RL_ESTT_CLLTRL_LCTN FROM BU_LOANTAPE_WORK.LT004_PROTECTION WHERE ref_date='${ref_date}' AND nome_perimetro='Individual Corporativo' AND segmento='ESTR' AND ambito='PILAR3')X</v>
      </c>
      <c r="M273" s="43" t="str">
        <f t="shared" si="4"/>
        <v>UNION ALL SELECT 'PROTECTION' AS TABELA, 'CARACTERES ESPECIAIS' AS TIPOLOGIA_TESTE,'BU_LOANTAPE_WORK.LT004_PROTECTION' AS TABELA_LT,'N/A' AS TABELA_SIMUL,'RL_ESTT_CLLTRL_LCTN' AS CAMPO, '${ref_date}' AS REF_DATE, COUNT(*) AS NUM_REG, SUM(IF(INSTR(CAST(X.RL_ESTT_CLLTRL_LCTN AS STRING),'#')&gt;0 OR INSTR(CAST(X.RL_ESTT_CLLTRL_LCTN AS STRING),'*')&gt;0 OR INSTR(CAST(X.RL_ESTT_CLLTRL_LCTN AS STRING),'`')&gt;0 OR INSTR(CAST(X.RL_ESTT_CLLTRL_LCTN AS STRING),'´')&gt;0 OR INSTR(CAST(X.RL_ESTT_CLLTRL_LCTN AS STRING),'{')&gt;0 OR INSTR(CAST(X.RL_ESTT_CLLTRL_LCTN AS STRING),'}')&gt;0 OR INSTR(CAST(X.RL_ESTT_CLLTRL_LCTN AS STRING),'[')&gt;0 OR INSTR(CAST(X.RL_ESTT_CLLTRL_LCTN AS STRING),'')&gt;0 OR INSTR(CAST(X.RL_ESTT_CLLTRL_LCTN AS STRING),']')&gt;0 OR INSTR(CAST(X.RL_ESTT_CLLTRL_LCTN AS STRING),'?')&gt;0 OR INSTR(CAST(X.RL_ESTT_CLLTRL_LCTN AS STRING),'!')&gt;0 OR INSTR(CAST(X.RL_ESTT_CLLTRL_LCTN AS STRING),'$')&gt;0 OR INSTR(CAST(X.RL_ESTT_CLLTRL_LCTN AS STRING),'%')&gt;0 OR INSTR(CAST(X.RL_ESTT_CLLTRL_LCTN AS STRING),'&amp;')&gt;0 OR INSTR(CAST(X.RL_ESTT_CLLTRL_LCTN AS STRING),'+')&gt;0,1,0)) AS NUM_REG_DIF,'10' AS ID_EXEC, CURRENT_TIMESTAMP() AS TIME_EXEC FROM (SELECT prtctn_id, RL_ESTT_CLLTRL_LCTN FROM BU_LOANTAPE_WORK.LT004_PROTECTION WHERE ref_date='${ref_date}' AND nome_perimetro='Individual Corporativo' AND segmento='ESTR' AND ambito='PILAR3')X</v>
      </c>
      <c r="N273" s="45" t="s">
        <v>13</v>
      </c>
    </row>
    <row r="274" spans="2:14">
      <c r="B274" s="41" t="s">
        <v>31</v>
      </c>
      <c r="C274" s="41" t="s">
        <v>76</v>
      </c>
      <c r="D274" s="41" t="str">
        <f>+UPPER('0. Instruções'!$D$33&amp;"."&amp;VLOOKUP(B274,'0. Instruções'!$C$27:$D$31,2,FALSE))</f>
        <v>BU_LOANTAPE_WORK.LT004_PROTECTION</v>
      </c>
      <c r="E274" s="41" t="str">
        <f>+UPPER('0. Instruções'!$D$34&amp;"."&amp;VLOOKUP(B274,'0. Instruções'!$C$27:$E$31,3,FALSE))</f>
        <v>BU_LOANTAPE_WORK.LT004_PROTECTION_P3_NOV24</v>
      </c>
      <c r="F274" s="41" t="s">
        <v>192</v>
      </c>
      <c r="G274" s="41" t="s">
        <v>13</v>
      </c>
      <c r="H274" s="41"/>
      <c r="I274" s="41" t="str">
        <f>"(SELECT "&amp;VLOOKUP(B274,'0. Instruções'!$C$27:$G$31,4,FALSE)&amp;", "&amp;F274&amp;" FROM "&amp;D274&amp;" WHERE "&amp;'0. Instruções'!$D$40&amp;")X"</f>
        <v>(SELECT prtctn_id, RL_ESTT_PST_CD FROM BU_LOANTAPE_WORK.LT004_PROTECTION WHERE ref_date='${ref_date}' AND nome_perimetro='Individual Corporativo' AND segmento='ESTR' AND ambito='PILAR3')X</v>
      </c>
      <c r="J274" s="41" t="str">
        <f>"(SELECT "&amp;VLOOKUP(B274,'0. Instruções'!$C$27:$G$31,4,FALSE)&amp;" AS "&amp;VLOOKUP(B274,'0. Instruções'!$C$27:$G$31,4,FALSE)&amp;"_SIMUL, "&amp;F274&amp;" AS "&amp;F274&amp;"_SIMUL FROM "&amp;E274&amp;")Y"</f>
        <v>(SELECT prtctn_id AS prtctn_id_SIMUL, RL_ESTT_PST_CD AS RL_ESTT_PST_CD_SIMUL FROM BU_LOANTAPE_WORK.LT004_PROTECTION_P3_NOV24)Y</v>
      </c>
      <c r="K274" s="42" t="str">
        <f>+UPPER("ON X."&amp;VLOOKUP(B274,'0. Instruções'!$C$27:$G$31,4,FALSE)&amp;"=Y."&amp;VLOOKUP(B274,'0. Instruções'!$C$27:$G$31,4,FALSE)&amp;"_SIMUL")</f>
        <v>ON X.PRTCTN_ID=Y.PRTCTN_ID_SIMUL</v>
      </c>
      <c r="L274" s="42" t="str">
        <f>+IF(C274="Coerência", +IF(LEFT(G274,5)="FLOAT","SELECT '"&amp;UPPER(B274)&amp;"' AS TABELA, '"&amp;UPPER(C274)&amp;"' AS TIPOLOGIA_TESTE,'"&amp;D274&amp;"' AS TABELA_LT,'"&amp;E274&amp;"' AS TABELA_SIMUL,'"&amp;F274&amp;"' AS CAMPO, "&amp;"'${ref_date}' AS REF_DATE, COUNT(*) AS NUM_REG, SUM(IF((ABS(COALESCE(X."&amp;F274&amp;",0)-COALESCE(Y."&amp;F274&amp;"_SIMUL,0))&gt;0.0000000001) OR (X."&amp;F274&amp;" IS NULL AND Y."&amp;F274&amp;"_SIMUL IS NOT NULL ) OR (X."&amp;F274&amp;" IS NOT NULL AND Y."&amp;F274&amp;"_SIMUL IS NULL),1,0)) AS NUM_REG_DIF,'"&amp;MAX('ID1&amp;5'!K:K)+1&amp;"' AS ID_EXEC, CURRENT_TIMESTAMP() AS TIME_EXEC FROM "&amp;I274&amp;" INNER JOIN "&amp;J274&amp;" "&amp;K274,"SELECT '"&amp;UPPER(B274)&amp;"' AS TABELA, '"&amp;UPPER(C274)&amp;"' AS TIPOLOGIA_TESTE,'"&amp;D274&amp;"' AS TABELA_LT,'"&amp;E274&amp;"' AS TABELA_SIMUL,'"&amp;F274&amp;"' AS CAMPO, "&amp;"'${ref_date}' AS REF_DATE, COUNT(*) AS NUM_REG, SUM(IF(COALESCE(CAST(X."&amp;F274&amp;" AS STRING),'')&lt;&gt;COALESCE(CAST(Y."&amp;F274&amp;"_SIMUL AS STRING),''),1,0)) AS NUM_REG_DIF,'"&amp;MAX('ID1&amp;5'!L:L)+1&amp;"' AS ID_EXEC, CURRENT_TIMESTAMP() AS TIME_EXEC FROM "&amp;I274&amp;" INNER JOIN "&amp;J274&amp;" "&amp;K274),
IF(C274="Validade",+IF(G274="Code List","SELECT '"&amp;UPPER(B274)&amp;"' AS TABELA, '"&amp;UPPER(C274)&amp;"' AS TIPOLOGIA_TESTE,'"&amp;D274&amp;"' AS TABELA_LT,'N/A' AS TABELA_SIMUL,'"&amp;F274&amp;"' AS CAMPO, "&amp;"'${ref_date}' AS REF_DATE, COUNT(*) AS NUM_REG, SUM(IF(TRIM(CAST(X."&amp;F274&amp;" AS STRING))='' OR TRIM(CAST(X."&amp;F274&amp;" AS STRING)) IS NULL OR CAST(X."&amp;F274&amp;" AS STRING) NOT "&amp;H274&amp;",1,0)) AS NUM_REG_DIF,'"&amp;MAX('ID1&amp;5'!K:K)+1&amp;"' AS ID_EXEC, CURRENT_TIMESTAMP() AS TIME_EXEC FROM "&amp;I274,"SELECT '"&amp;UPPER(B274)&amp;"' AS TABELA, '"&amp;UPPER(C274)&amp;"' AS TIPOLOGIA_TESTE,'"&amp;D274&amp;"' AS TABELA_LT,'N/A' AS TABELA_SIMUL,'"&amp;F274&amp;"' AS CAMPO, "&amp;"'${ref_date}' AS REF_DATE, COUNT(*) AS NUM_REG, SUM(IF(TRIM(CAST(X."&amp;F274&amp;" AS STRING))='' OR TRIM(CAST(X."&amp;F274&amp;" AS STRING)) IS NULL,1,0)) AS NUM_REG_DIF,'"&amp;MAX('ID1&amp;5'!K:K)+1&amp;"' AS ID_EXEC, CURRENT_TIMESTAMP() AS TIME_EXEC FROM "&amp;I274),
IF(C274="Caracteres Especiais",+"SELECT '"&amp;UPPER(B274)&amp;"' AS TABELA, '"&amp;UPPER(C274)&amp;"' AS TIPOLOGIA_TESTE,'"&amp;D274&amp;"' AS TABELA_LT,'N/A' AS TABELA_SIMUL,'"&amp;F274&amp;"' AS CAMPO, "&amp;"'${ref_date}' AS REF_DATE, COUNT(*) AS NUM_REG, SUM(IF(INSTR(CAST(X."&amp;F274&amp;" AS STRING),'#')&gt;0 OR INSTR(CAST(X."&amp;F274&amp;" AS STRING),'*')&gt;0 OR INSTR(CAST(X."&amp;F274&amp;" AS STRING),'`')&gt;0 OR INSTR(CAST(X."&amp;F274&amp;" AS STRING),'´')&gt;0 OR INSTR(CAST(X."&amp;F274&amp;" AS STRING),'{')&gt;0 OR INSTR(CAST(X."&amp;F274&amp;" AS STRING),'}')&gt;0 OR INSTR(CAST(X."&amp;F274&amp;" AS STRING),'[')&gt;0 OR INSTR(CAST(X."&amp;F274&amp;" AS STRING),'')&gt;0 OR INSTR(CAST(X."&amp;F274&amp;" AS STRING),']')&gt;0 OR INSTR(CAST(X."&amp;F274&amp;" AS STRING),'?')&gt;0 OR INSTR(CAST(X."&amp;F274&amp;" AS STRING),'!')&gt;0 OR INSTR(CAST(X."&amp;F274&amp;" AS STRING),'$')&gt;0 OR INSTR(CAST(X."&amp;F274&amp;" AS STRING),'%')&gt;0 OR INSTR(CAST(X."&amp;F274&amp;" AS STRING),'&amp;')&gt;0 OR INSTR(CAST(X."&amp;F274&amp;" AS STRING),'+')&gt;0,1,0)) AS NUM_REG_DIF,'"&amp;MAX('ID1&amp;5'!K:K)+1&amp;"' AS ID_EXEC, CURRENT_TIMESTAMP() AS TIME_EXEC FROM "&amp;I274,
IF(C274="Missings",+"SELECT '"&amp;UPPER(B274)&amp;"' AS TABELA, '"&amp;UPPER(C274)&amp;"' AS TIPOLOGIA_TESTE,'"&amp;D274&amp;"' AS TABELA_LT,'N/A' AS TABELA_SIMUL,'"&amp;F274&amp;"' AS CAMPO, "&amp;"'${ref_date}' AS REF_DATE, COUNT(*) AS NUM_REG, SUM(IF(TRIM(CAST(X."&amp;F274&amp;" AS STRING)) IN ('0000-00-00','0001-01-01','9999-12-31','MISS','00000','99999999999','99999999999.00','99999999999.000000'),1,0)) AS NUM_REG_DIF,'"&amp;MAX('ID1&amp;5'!K:K)+1&amp;"' AS ID_EXEC, CURRENT_TIMESTAMP() AS TIME_EXEC FROM "&amp;I274,
IF(C274="Not applicable",+"SELECT '"&amp;UPPER(B274)&amp;"' AS TABELA, '"&amp;UPPER(C274)&amp;"' AS TIPOLOGIA_TESTE,'"&amp;D274&amp;"' AS TABELA_LT,'N/A' AS TABELA_SIMUL,'"&amp;F274&amp;"' AS CAMPO, "&amp;"'${ref_date}' AS REF_DATE, COUNT(*) AS NUM_REG, SUM(IF(TRIM(CAST(X."&amp;F274&amp;" AS STRING)) IN ('N/A','11111111111','11111111111.00','11111111111.000000','1111-11-11'),1,0)) AS NUM_REG_DIF,'"&amp;MAX('ID1&amp;5'!K:K)+1&amp;"' AS ID_EXEC, CURRENT_TIMESTAMP() AS TIME_EXEC FROM "&amp;I274,
IF(C274="Valores extremos",+"SELECT '"&amp;UPPER(B274)&amp;"' AS TABELA, '"&amp;UPPER(C274)&amp;"' AS TIPOLOGIA_TESTE,'"&amp;D274&amp;"' AS TABELA_LT,'N/A' AS TABELA_SIMUL,'"&amp;F274&amp;"' AS CAMPO, "&amp;"'${ref_date}' AS REF_DATE, CAST(MIN("&amp;F274&amp;") AS STRING) AS VALOR_MIN, CAST(MAX("&amp;F274&amp;") AS STRING) AS VALOR_MAX,'"&amp;MAX('ID1&amp;5'!K:K)+1&amp;"' AS ID_EXEC, CURRENT_TIMESTAMP() AS TIME_EXEC FROM "&amp;MID(I274,1,LEN(I274)-2)&amp;" AND CAST("&amp;F274&amp;"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TABELA_SIMUL,'RL_ESTT_PST_CD' AS CAMPO, '${ref_date}' AS REF_DATE, COUNT(*) AS NUM_REG, SUM(IF(INSTR(CAST(X.RL_ESTT_PST_CD AS STRING),'#')&gt;0 OR INSTR(CAST(X.RL_ESTT_PST_CD AS STRING),'*')&gt;0 OR INSTR(CAST(X.RL_ESTT_PST_CD AS STRING),'`')&gt;0 OR INSTR(CAST(X.RL_ESTT_PST_CD AS STRING),'´')&gt;0 OR INSTR(CAST(X.RL_ESTT_PST_CD AS STRING),'{')&gt;0 OR INSTR(CAST(X.RL_ESTT_PST_CD AS STRING),'}')&gt;0 OR INSTR(CAST(X.RL_ESTT_PST_CD AS STRING),'[')&gt;0 OR INSTR(CAST(X.RL_ESTT_PST_CD AS STRING),'')&gt;0 OR INSTR(CAST(X.RL_ESTT_PST_CD AS STRING),']')&gt;0 OR INSTR(CAST(X.RL_ESTT_PST_CD AS STRING),'?')&gt;0 OR INSTR(CAST(X.RL_ESTT_PST_CD AS STRING),'!')&gt;0 OR INSTR(CAST(X.RL_ESTT_PST_CD AS STRING),'$')&gt;0 OR INSTR(CAST(X.RL_ESTT_PST_CD AS STRING),'%')&gt;0 OR INSTR(CAST(X.RL_ESTT_PST_CD AS STRING),'&amp;')&gt;0 OR INSTR(CAST(X.RL_ESTT_PST_CD AS STRING),'+')&gt;0,1,0)) AS NUM_REG_DIF,'10' AS ID_EXEC, CURRENT_TIMESTAMP() AS TIME_EXEC FROM (SELECT prtctn_id, RL_ESTT_PST_CD FROM BU_LOANTAPE_WORK.LT004_PROTECTION WHERE ref_date='${ref_date}' AND nome_perimetro='Individual Corporativo' AND segmento='ESTR' AND ambito='PILAR3')X</v>
      </c>
      <c r="M274" s="43" t="str">
        <f t="shared" si="4"/>
        <v>UNION ALL SELECT 'PROTECTION' AS TABELA, 'CARACTERES ESPECIAIS' AS TIPOLOGIA_TESTE,'BU_LOANTAPE_WORK.LT004_PROTECTION' AS TABELA_LT,'N/A' AS TABELA_SIMUL,'RL_ESTT_PST_CD' AS CAMPO, '${ref_date}' AS REF_DATE, COUNT(*) AS NUM_REG, SUM(IF(INSTR(CAST(X.RL_ESTT_PST_CD AS STRING),'#')&gt;0 OR INSTR(CAST(X.RL_ESTT_PST_CD AS STRING),'*')&gt;0 OR INSTR(CAST(X.RL_ESTT_PST_CD AS STRING),'`')&gt;0 OR INSTR(CAST(X.RL_ESTT_PST_CD AS STRING),'´')&gt;0 OR INSTR(CAST(X.RL_ESTT_PST_CD AS STRING),'{')&gt;0 OR INSTR(CAST(X.RL_ESTT_PST_CD AS STRING),'}')&gt;0 OR INSTR(CAST(X.RL_ESTT_PST_CD AS STRING),'[')&gt;0 OR INSTR(CAST(X.RL_ESTT_PST_CD AS STRING),'')&gt;0 OR INSTR(CAST(X.RL_ESTT_PST_CD AS STRING),']')&gt;0 OR INSTR(CAST(X.RL_ESTT_PST_CD AS STRING),'?')&gt;0 OR INSTR(CAST(X.RL_ESTT_PST_CD AS STRING),'!')&gt;0 OR INSTR(CAST(X.RL_ESTT_PST_CD AS STRING),'$')&gt;0 OR INSTR(CAST(X.RL_ESTT_PST_CD AS STRING),'%')&gt;0 OR INSTR(CAST(X.RL_ESTT_PST_CD AS STRING),'&amp;')&gt;0 OR INSTR(CAST(X.RL_ESTT_PST_CD AS STRING),'+')&gt;0,1,0)) AS NUM_REG_DIF,'10' AS ID_EXEC, CURRENT_TIMESTAMP() AS TIME_EXEC FROM (SELECT prtctn_id, RL_ESTT_PST_CD FROM BU_LOANTAPE_WORK.LT004_PROTECTION WHERE ref_date='${ref_date}' AND nome_perimetro='Individual Corporativo' AND segmento='ESTR' AND ambito='PILAR3')X</v>
      </c>
      <c r="N274" s="45" t="s">
        <v>13</v>
      </c>
    </row>
    <row r="275" spans="2:14">
      <c r="B275" s="41" t="s">
        <v>31</v>
      </c>
      <c r="C275" s="41" t="s">
        <v>76</v>
      </c>
      <c r="D275" s="41" t="str">
        <f>+UPPER('0. Instruções'!$D$33&amp;"."&amp;VLOOKUP(B275,'0. Instruções'!$C$27:$D$31,2,FALSE))</f>
        <v>BU_LOANTAPE_WORK.LT004_PROTECTION</v>
      </c>
      <c r="E275" s="41" t="str">
        <f>+UPPER('0. Instruções'!$D$34&amp;"."&amp;VLOOKUP(B275,'0. Instruções'!$C$27:$E$31,3,FALSE))</f>
        <v>BU_LOANTAPE_WORK.LT004_PROTECTION_P3_NOV24</v>
      </c>
      <c r="F275" s="41" t="s">
        <v>193</v>
      </c>
      <c r="G275" s="41" t="s">
        <v>13</v>
      </c>
      <c r="H275" s="41"/>
      <c r="I275" s="41" t="str">
        <f>"(SELECT "&amp;VLOOKUP(B275,'0. Instruções'!$C$27:$G$31,4,FALSE)&amp;", "&amp;F275&amp;" FROM "&amp;D275&amp;" WHERE "&amp;'0. Instruções'!$D$40&amp;")X"</f>
        <v>(SELECT prtctn_id, TYP_PRTCTN FROM BU_LOANTAPE_WORK.LT004_PROTECTION WHERE ref_date='${ref_date}' AND nome_perimetro='Individual Corporativo' AND segmento='ESTR' AND ambito='PILAR3')X</v>
      </c>
      <c r="J275" s="41" t="str">
        <f>"(SELECT "&amp;VLOOKUP(B275,'0. Instruções'!$C$27:$G$31,4,FALSE)&amp;" AS "&amp;VLOOKUP(B275,'0. Instruções'!$C$27:$G$31,4,FALSE)&amp;"_SIMUL, "&amp;F275&amp;" AS "&amp;F275&amp;"_SIMUL FROM "&amp;E275&amp;")Y"</f>
        <v>(SELECT prtctn_id AS prtctn_id_SIMUL, TYP_PRTCTN AS TYP_PRTCTN_SIMUL FROM BU_LOANTAPE_WORK.LT004_PROTECTION_P3_NOV24)Y</v>
      </c>
      <c r="K275" s="42" t="str">
        <f>+UPPER("ON X."&amp;VLOOKUP(B275,'0. Instruções'!$C$27:$G$31,4,FALSE)&amp;"=Y."&amp;VLOOKUP(B275,'0. Instruções'!$C$27:$G$31,4,FALSE)&amp;"_SIMUL")</f>
        <v>ON X.PRTCTN_ID=Y.PRTCTN_ID_SIMUL</v>
      </c>
      <c r="L275" s="42" t="str">
        <f>+IF(C275="Coerência", +IF(LEFT(G275,5)="FLOAT","SELECT '"&amp;UPPER(B275)&amp;"' AS TABELA, '"&amp;UPPER(C275)&amp;"' AS TIPOLOGIA_TESTE,'"&amp;D275&amp;"' AS TABELA_LT,'"&amp;E275&amp;"' AS TABELA_SIMUL,'"&amp;F275&amp;"' AS CAMPO, "&amp;"'${ref_date}' AS REF_DATE, COUNT(*) AS NUM_REG, SUM(IF((ABS(COALESCE(X."&amp;F275&amp;",0)-COALESCE(Y."&amp;F275&amp;"_SIMUL,0))&gt;0.0000000001) OR (X."&amp;F275&amp;" IS NULL AND Y."&amp;F275&amp;"_SIMUL IS NOT NULL ) OR (X."&amp;F275&amp;" IS NOT NULL AND Y."&amp;F275&amp;"_SIMUL IS NULL),1,0)) AS NUM_REG_DIF,'"&amp;MAX('ID1&amp;5'!K:K)+1&amp;"' AS ID_EXEC, CURRENT_TIMESTAMP() AS TIME_EXEC FROM "&amp;I275&amp;" INNER JOIN "&amp;J275&amp;" "&amp;K275,"SELECT '"&amp;UPPER(B275)&amp;"' AS TABELA, '"&amp;UPPER(C275)&amp;"' AS TIPOLOGIA_TESTE,'"&amp;D275&amp;"' AS TABELA_LT,'"&amp;E275&amp;"' AS TABELA_SIMUL,'"&amp;F275&amp;"' AS CAMPO, "&amp;"'${ref_date}' AS REF_DATE, COUNT(*) AS NUM_REG, SUM(IF(COALESCE(CAST(X."&amp;F275&amp;" AS STRING),'')&lt;&gt;COALESCE(CAST(Y."&amp;F275&amp;"_SIMUL AS STRING),''),1,0)) AS NUM_REG_DIF,'"&amp;MAX('ID1&amp;5'!L:L)+1&amp;"' AS ID_EXEC, CURRENT_TIMESTAMP() AS TIME_EXEC FROM "&amp;I275&amp;" INNER JOIN "&amp;J275&amp;" "&amp;K275),
IF(C275="Validade",+IF(G275="Code List","SELECT '"&amp;UPPER(B275)&amp;"' AS TABELA, '"&amp;UPPER(C275)&amp;"' AS TIPOLOGIA_TESTE,'"&amp;D275&amp;"' AS TABELA_LT,'N/A' AS TABELA_SIMUL,'"&amp;F275&amp;"' AS CAMPO, "&amp;"'${ref_date}' AS REF_DATE, COUNT(*) AS NUM_REG, SUM(IF(TRIM(CAST(X."&amp;F275&amp;" AS STRING))='' OR TRIM(CAST(X."&amp;F275&amp;" AS STRING)) IS NULL OR CAST(X."&amp;F275&amp;" AS STRING) NOT "&amp;H275&amp;",1,0)) AS NUM_REG_DIF,'"&amp;MAX('ID1&amp;5'!K:K)+1&amp;"' AS ID_EXEC, CURRENT_TIMESTAMP() AS TIME_EXEC FROM "&amp;I275,"SELECT '"&amp;UPPER(B275)&amp;"' AS TABELA, '"&amp;UPPER(C275)&amp;"' AS TIPOLOGIA_TESTE,'"&amp;D275&amp;"' AS TABELA_LT,'N/A' AS TABELA_SIMUL,'"&amp;F275&amp;"' AS CAMPO, "&amp;"'${ref_date}' AS REF_DATE, COUNT(*) AS NUM_REG, SUM(IF(TRIM(CAST(X."&amp;F275&amp;" AS STRING))='' OR TRIM(CAST(X."&amp;F275&amp;" AS STRING)) IS NULL,1,0)) AS NUM_REG_DIF,'"&amp;MAX('ID1&amp;5'!K:K)+1&amp;"' AS ID_EXEC, CURRENT_TIMESTAMP() AS TIME_EXEC FROM "&amp;I275),
IF(C275="Caracteres Especiais",+"SELECT '"&amp;UPPER(B275)&amp;"' AS TABELA, '"&amp;UPPER(C275)&amp;"' AS TIPOLOGIA_TESTE,'"&amp;D275&amp;"' AS TABELA_LT,'N/A' AS TABELA_SIMUL,'"&amp;F275&amp;"' AS CAMPO, "&amp;"'${ref_date}' AS REF_DATE, COUNT(*) AS NUM_REG, SUM(IF(INSTR(CAST(X."&amp;F275&amp;" AS STRING),'#')&gt;0 OR INSTR(CAST(X."&amp;F275&amp;" AS STRING),'*')&gt;0 OR INSTR(CAST(X."&amp;F275&amp;" AS STRING),'`')&gt;0 OR INSTR(CAST(X."&amp;F275&amp;" AS STRING),'´')&gt;0 OR INSTR(CAST(X."&amp;F275&amp;" AS STRING),'{')&gt;0 OR INSTR(CAST(X."&amp;F275&amp;" AS STRING),'}')&gt;0 OR INSTR(CAST(X."&amp;F275&amp;" AS STRING),'[')&gt;0 OR INSTR(CAST(X."&amp;F275&amp;" AS STRING),'')&gt;0 OR INSTR(CAST(X."&amp;F275&amp;" AS STRING),']')&gt;0 OR INSTR(CAST(X."&amp;F275&amp;" AS STRING),'?')&gt;0 OR INSTR(CAST(X."&amp;F275&amp;" AS STRING),'!')&gt;0 OR INSTR(CAST(X."&amp;F275&amp;" AS STRING),'$')&gt;0 OR INSTR(CAST(X."&amp;F275&amp;" AS STRING),'%')&gt;0 OR INSTR(CAST(X."&amp;F275&amp;" AS STRING),'&amp;')&gt;0 OR INSTR(CAST(X."&amp;F275&amp;" AS STRING),'+')&gt;0,1,0)) AS NUM_REG_DIF,'"&amp;MAX('ID1&amp;5'!K:K)+1&amp;"' AS ID_EXEC, CURRENT_TIMESTAMP() AS TIME_EXEC FROM "&amp;I275,
IF(C275="Missings",+"SELECT '"&amp;UPPER(B275)&amp;"' AS TABELA, '"&amp;UPPER(C275)&amp;"' AS TIPOLOGIA_TESTE,'"&amp;D275&amp;"' AS TABELA_LT,'N/A' AS TABELA_SIMUL,'"&amp;F275&amp;"' AS CAMPO, "&amp;"'${ref_date}' AS REF_DATE, COUNT(*) AS NUM_REG, SUM(IF(TRIM(CAST(X."&amp;F275&amp;" AS STRING)) IN ('0000-00-00','0001-01-01','9999-12-31','MISS','00000','99999999999','99999999999.00','99999999999.000000'),1,0)) AS NUM_REG_DIF,'"&amp;MAX('ID1&amp;5'!K:K)+1&amp;"' AS ID_EXEC, CURRENT_TIMESTAMP() AS TIME_EXEC FROM "&amp;I275,
IF(C275="Not applicable",+"SELECT '"&amp;UPPER(B275)&amp;"' AS TABELA, '"&amp;UPPER(C275)&amp;"' AS TIPOLOGIA_TESTE,'"&amp;D275&amp;"' AS TABELA_LT,'N/A' AS TABELA_SIMUL,'"&amp;F275&amp;"' AS CAMPO, "&amp;"'${ref_date}' AS REF_DATE, COUNT(*) AS NUM_REG, SUM(IF(TRIM(CAST(X."&amp;F275&amp;" AS STRING)) IN ('N/A','11111111111','11111111111.00','11111111111.000000','1111-11-11'),1,0)) AS NUM_REG_DIF,'"&amp;MAX('ID1&amp;5'!K:K)+1&amp;"' AS ID_EXEC, CURRENT_TIMESTAMP() AS TIME_EXEC FROM "&amp;I275,
IF(C275="Valores extremos",+"SELECT '"&amp;UPPER(B275)&amp;"' AS TABELA, '"&amp;UPPER(C275)&amp;"' AS TIPOLOGIA_TESTE,'"&amp;D275&amp;"' AS TABELA_LT,'N/A' AS TABELA_SIMUL,'"&amp;F275&amp;"' AS CAMPO, "&amp;"'${ref_date}' AS REF_DATE, CAST(MIN("&amp;F275&amp;") AS STRING) AS VALOR_MIN, CAST(MAX("&amp;F275&amp;") AS STRING) AS VALOR_MAX,'"&amp;MAX('ID1&amp;5'!K:K)+1&amp;"' AS ID_EXEC, CURRENT_TIMESTAMP() AS TIME_EXEC FROM "&amp;MID(I275,1,LEN(I275)-2)&amp;" AND CAST("&amp;F275&amp;"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TABELA_SIMUL,'TYP_PRTCTN' AS CAMPO, '${ref_date}' AS REF_DATE, COUNT(*) AS NUM_REG, SUM(IF(INSTR(CAST(X.TYP_PRTCTN AS STRING),'#')&gt;0 OR INSTR(CAST(X.TYP_PRTCTN AS STRING),'*')&gt;0 OR INSTR(CAST(X.TYP_PRTCTN AS STRING),'`')&gt;0 OR INSTR(CAST(X.TYP_PRTCTN AS STRING),'´')&gt;0 OR INSTR(CAST(X.TYP_PRTCTN AS STRING),'{')&gt;0 OR INSTR(CAST(X.TYP_PRTCTN AS STRING),'}')&gt;0 OR INSTR(CAST(X.TYP_PRTCTN AS STRING),'[')&gt;0 OR INSTR(CAST(X.TYP_PRTCTN AS STRING),'')&gt;0 OR INSTR(CAST(X.TYP_PRTCTN AS STRING),']')&gt;0 OR INSTR(CAST(X.TYP_PRTCTN AS STRING),'?')&gt;0 OR INSTR(CAST(X.TYP_PRTCTN AS STRING),'!')&gt;0 OR INSTR(CAST(X.TYP_PRTCTN AS STRING),'$')&gt;0 OR INSTR(CAST(X.TYP_PRTCTN AS STRING),'%')&gt;0 OR INSTR(CAST(X.TYP_PRTCTN AS STRING),'&amp;')&gt;0 OR INSTR(CAST(X.TYP_PRTCTN AS STRING),'+')&gt;0,1,0)) AS NUM_REG_DIF,'10' AS ID_EXEC, CURRENT_TIMESTAMP() AS TIME_EXEC FROM (SELECT prtctn_id, TYP_PRTCTN FROM BU_LOANTAPE_WORK.LT004_PROTECTION WHERE ref_date='${ref_date}' AND nome_perimetro='Individual Corporativo' AND segmento='ESTR' AND ambito='PILAR3')X</v>
      </c>
      <c r="M275" s="43" t="str">
        <f t="shared" si="4"/>
        <v>UNION ALL SELECT 'PROTECTION' AS TABELA, 'CARACTERES ESPECIAIS' AS TIPOLOGIA_TESTE,'BU_LOANTAPE_WORK.LT004_PROTECTION' AS TABELA_LT,'N/A' AS TABELA_SIMUL,'TYP_PRTCTN' AS CAMPO, '${ref_date}' AS REF_DATE, COUNT(*) AS NUM_REG, SUM(IF(INSTR(CAST(X.TYP_PRTCTN AS STRING),'#')&gt;0 OR INSTR(CAST(X.TYP_PRTCTN AS STRING),'*')&gt;0 OR INSTR(CAST(X.TYP_PRTCTN AS STRING),'`')&gt;0 OR INSTR(CAST(X.TYP_PRTCTN AS STRING),'´')&gt;0 OR INSTR(CAST(X.TYP_PRTCTN AS STRING),'{')&gt;0 OR INSTR(CAST(X.TYP_PRTCTN AS STRING),'}')&gt;0 OR INSTR(CAST(X.TYP_PRTCTN AS STRING),'[')&gt;0 OR INSTR(CAST(X.TYP_PRTCTN AS STRING),'')&gt;0 OR INSTR(CAST(X.TYP_PRTCTN AS STRING),']')&gt;0 OR INSTR(CAST(X.TYP_PRTCTN AS STRING),'?')&gt;0 OR INSTR(CAST(X.TYP_PRTCTN AS STRING),'!')&gt;0 OR INSTR(CAST(X.TYP_PRTCTN AS STRING),'$')&gt;0 OR INSTR(CAST(X.TYP_PRTCTN AS STRING),'%')&gt;0 OR INSTR(CAST(X.TYP_PRTCTN AS STRING),'&amp;')&gt;0 OR INSTR(CAST(X.TYP_PRTCTN AS STRING),'+')&gt;0,1,0)) AS NUM_REG_DIF,'10' AS ID_EXEC, CURRENT_TIMESTAMP() AS TIME_EXEC FROM (SELECT prtctn_id, TYP_PRTCTN FROM BU_LOANTAPE_WORK.LT004_PROTECTION WHERE ref_date='${ref_date}' AND nome_perimetro='Individual Corporativo' AND segmento='ESTR' AND ambito='PILAR3')X</v>
      </c>
      <c r="N275" s="45" t="s">
        <v>13</v>
      </c>
    </row>
    <row r="276" spans="2:14">
      <c r="B276" s="41" t="s">
        <v>31</v>
      </c>
      <c r="C276" s="41" t="s">
        <v>76</v>
      </c>
      <c r="D276" s="41" t="str">
        <f>+UPPER('0. Instruções'!$D$33&amp;"."&amp;VLOOKUP(B276,'0. Instruções'!$C$27:$D$31,2,FALSE))</f>
        <v>BU_LOANTAPE_WORK.LT004_PROTECTION</v>
      </c>
      <c r="E276" s="41" t="str">
        <f>+UPPER('0. Instruções'!$D$34&amp;"."&amp;VLOOKUP(B276,'0. Instruções'!$C$27:$E$31,3,FALSE))</f>
        <v>BU_LOANTAPE_WORK.LT004_PROTECTION_P3_NOV24</v>
      </c>
      <c r="F276" s="41" t="s">
        <v>194</v>
      </c>
      <c r="G276" s="41" t="s">
        <v>13</v>
      </c>
      <c r="H276" s="41"/>
      <c r="I276" s="41" t="str">
        <f>"(SELECT "&amp;VLOOKUP(B276,'0. Instruções'!$C$27:$G$31,4,FALSE)&amp;", "&amp;F276&amp;" FROM "&amp;D276&amp;" WHERE "&amp;'0. Instruções'!$D$40&amp;")X"</f>
        <v>(SELECT prtctn_id, ORGNL_PRTCTN_VL FROM BU_LOANTAPE_WORK.LT004_PROTECTION WHERE ref_date='${ref_date}' AND nome_perimetro='Individual Corporativo' AND segmento='ESTR' AND ambito='PILAR3')X</v>
      </c>
      <c r="J276" s="41" t="str">
        <f>"(SELECT "&amp;VLOOKUP(B276,'0. Instruções'!$C$27:$G$31,4,FALSE)&amp;" AS "&amp;VLOOKUP(B276,'0. Instruções'!$C$27:$G$31,4,FALSE)&amp;"_SIMUL, "&amp;F276&amp;" AS "&amp;F276&amp;"_SIMUL FROM "&amp;E276&amp;")Y"</f>
        <v>(SELECT prtctn_id AS prtctn_id_SIMUL, ORGNL_PRTCTN_VL AS ORGNL_PRTCTN_VL_SIMUL FROM BU_LOANTAPE_WORK.LT004_PROTECTION_P3_NOV24)Y</v>
      </c>
      <c r="K276" s="42" t="str">
        <f>+UPPER("ON X."&amp;VLOOKUP(B276,'0. Instruções'!$C$27:$G$31,4,FALSE)&amp;"=Y."&amp;VLOOKUP(B276,'0. Instruções'!$C$27:$G$31,4,FALSE)&amp;"_SIMUL")</f>
        <v>ON X.PRTCTN_ID=Y.PRTCTN_ID_SIMUL</v>
      </c>
      <c r="L276" s="42" t="str">
        <f>+IF(C276="Coerência", +IF(LEFT(G276,5)="FLOAT","SELECT '"&amp;UPPER(B276)&amp;"' AS TABELA, '"&amp;UPPER(C276)&amp;"' AS TIPOLOGIA_TESTE,'"&amp;D276&amp;"' AS TABELA_LT,'"&amp;E276&amp;"' AS TABELA_SIMUL,'"&amp;F276&amp;"' AS CAMPO, "&amp;"'${ref_date}' AS REF_DATE, COUNT(*) AS NUM_REG, SUM(IF((ABS(COALESCE(X."&amp;F276&amp;",0)-COALESCE(Y."&amp;F276&amp;"_SIMUL,0))&gt;0.0000000001) OR (X."&amp;F276&amp;" IS NULL AND Y."&amp;F276&amp;"_SIMUL IS NOT NULL ) OR (X."&amp;F276&amp;" IS NOT NULL AND Y."&amp;F276&amp;"_SIMUL IS NULL),1,0)) AS NUM_REG_DIF,'"&amp;MAX('ID1&amp;5'!K:K)+1&amp;"' AS ID_EXEC, CURRENT_TIMESTAMP() AS TIME_EXEC FROM "&amp;I276&amp;" INNER JOIN "&amp;J276&amp;" "&amp;K276,"SELECT '"&amp;UPPER(B276)&amp;"' AS TABELA, '"&amp;UPPER(C276)&amp;"' AS TIPOLOGIA_TESTE,'"&amp;D276&amp;"' AS TABELA_LT,'"&amp;E276&amp;"' AS TABELA_SIMUL,'"&amp;F276&amp;"' AS CAMPO, "&amp;"'${ref_date}' AS REF_DATE, COUNT(*) AS NUM_REG, SUM(IF(COALESCE(CAST(X."&amp;F276&amp;" AS STRING),'')&lt;&gt;COALESCE(CAST(Y."&amp;F276&amp;"_SIMUL AS STRING),''),1,0)) AS NUM_REG_DIF,'"&amp;MAX('ID1&amp;5'!L:L)+1&amp;"' AS ID_EXEC, CURRENT_TIMESTAMP() AS TIME_EXEC FROM "&amp;I276&amp;" INNER JOIN "&amp;J276&amp;" "&amp;K276),
IF(C276="Validade",+IF(G276="Code List","SELECT '"&amp;UPPER(B276)&amp;"' AS TABELA, '"&amp;UPPER(C276)&amp;"' AS TIPOLOGIA_TESTE,'"&amp;D276&amp;"' AS TABELA_LT,'N/A' AS TABELA_SIMUL,'"&amp;F276&amp;"' AS CAMPO, "&amp;"'${ref_date}' AS REF_DATE, COUNT(*) AS NUM_REG, SUM(IF(TRIM(CAST(X."&amp;F276&amp;" AS STRING))='' OR TRIM(CAST(X."&amp;F276&amp;" AS STRING)) IS NULL OR CAST(X."&amp;F276&amp;" AS STRING) NOT "&amp;H276&amp;",1,0)) AS NUM_REG_DIF,'"&amp;MAX('ID1&amp;5'!K:K)+1&amp;"' AS ID_EXEC, CURRENT_TIMESTAMP() AS TIME_EXEC FROM "&amp;I276,"SELECT '"&amp;UPPER(B276)&amp;"' AS TABELA, '"&amp;UPPER(C276)&amp;"' AS TIPOLOGIA_TESTE,'"&amp;D276&amp;"' AS TABELA_LT,'N/A' AS TABELA_SIMUL,'"&amp;F276&amp;"' AS CAMPO, "&amp;"'${ref_date}' AS REF_DATE, COUNT(*) AS NUM_REG, SUM(IF(TRIM(CAST(X."&amp;F276&amp;" AS STRING))='' OR TRIM(CAST(X."&amp;F276&amp;" AS STRING)) IS NULL,1,0)) AS NUM_REG_DIF,'"&amp;MAX('ID1&amp;5'!K:K)+1&amp;"' AS ID_EXEC, CURRENT_TIMESTAMP() AS TIME_EXEC FROM "&amp;I276),
IF(C276="Caracteres Especiais",+"SELECT '"&amp;UPPER(B276)&amp;"' AS TABELA, '"&amp;UPPER(C276)&amp;"' AS TIPOLOGIA_TESTE,'"&amp;D276&amp;"' AS TABELA_LT,'N/A' AS TABELA_SIMUL,'"&amp;F276&amp;"' AS CAMPO, "&amp;"'${ref_date}' AS REF_DATE, COUNT(*) AS NUM_REG, SUM(IF(INSTR(CAST(X."&amp;F276&amp;" AS STRING),'#')&gt;0 OR INSTR(CAST(X."&amp;F276&amp;" AS STRING),'*')&gt;0 OR INSTR(CAST(X."&amp;F276&amp;" AS STRING),'`')&gt;0 OR INSTR(CAST(X."&amp;F276&amp;" AS STRING),'´')&gt;0 OR INSTR(CAST(X."&amp;F276&amp;" AS STRING),'{')&gt;0 OR INSTR(CAST(X."&amp;F276&amp;" AS STRING),'}')&gt;0 OR INSTR(CAST(X."&amp;F276&amp;" AS STRING),'[')&gt;0 OR INSTR(CAST(X."&amp;F276&amp;" AS STRING),'')&gt;0 OR INSTR(CAST(X."&amp;F276&amp;" AS STRING),']')&gt;0 OR INSTR(CAST(X."&amp;F276&amp;" AS STRING),'?')&gt;0 OR INSTR(CAST(X."&amp;F276&amp;" AS STRING),'!')&gt;0 OR INSTR(CAST(X."&amp;F276&amp;" AS STRING),'$')&gt;0 OR INSTR(CAST(X."&amp;F276&amp;" AS STRING),'%')&gt;0 OR INSTR(CAST(X."&amp;F276&amp;" AS STRING),'&amp;')&gt;0 OR INSTR(CAST(X."&amp;F276&amp;" AS STRING),'+')&gt;0,1,0)) AS NUM_REG_DIF,'"&amp;MAX('ID1&amp;5'!K:K)+1&amp;"' AS ID_EXEC, CURRENT_TIMESTAMP() AS TIME_EXEC FROM "&amp;I276,
IF(C276="Missings",+"SELECT '"&amp;UPPER(B276)&amp;"' AS TABELA, '"&amp;UPPER(C276)&amp;"' AS TIPOLOGIA_TESTE,'"&amp;D276&amp;"' AS TABELA_LT,'N/A' AS TABELA_SIMUL,'"&amp;F276&amp;"' AS CAMPO, "&amp;"'${ref_date}' AS REF_DATE, COUNT(*) AS NUM_REG, SUM(IF(TRIM(CAST(X."&amp;F276&amp;" AS STRING)) IN ('0000-00-00','0001-01-01','9999-12-31','MISS','00000','99999999999','99999999999.00','99999999999.000000'),1,0)) AS NUM_REG_DIF,'"&amp;MAX('ID1&amp;5'!K:K)+1&amp;"' AS ID_EXEC, CURRENT_TIMESTAMP() AS TIME_EXEC FROM "&amp;I276,
IF(C276="Not applicable",+"SELECT '"&amp;UPPER(B276)&amp;"' AS TABELA, '"&amp;UPPER(C276)&amp;"' AS TIPOLOGIA_TESTE,'"&amp;D276&amp;"' AS TABELA_LT,'N/A' AS TABELA_SIMUL,'"&amp;F276&amp;"' AS CAMPO, "&amp;"'${ref_date}' AS REF_DATE, COUNT(*) AS NUM_REG, SUM(IF(TRIM(CAST(X."&amp;F276&amp;" AS STRING)) IN ('N/A','11111111111','11111111111.00','11111111111.000000','1111-11-11'),1,0)) AS NUM_REG_DIF,'"&amp;MAX('ID1&amp;5'!K:K)+1&amp;"' AS ID_EXEC, CURRENT_TIMESTAMP() AS TIME_EXEC FROM "&amp;I276,
IF(C276="Valores extremos",+"SELECT '"&amp;UPPER(B276)&amp;"' AS TABELA, '"&amp;UPPER(C276)&amp;"' AS TIPOLOGIA_TESTE,'"&amp;D276&amp;"' AS TABELA_LT,'N/A' AS TABELA_SIMUL,'"&amp;F276&amp;"' AS CAMPO, "&amp;"'${ref_date}' AS REF_DATE, CAST(MIN("&amp;F276&amp;") AS STRING) AS VALOR_MIN, CAST(MAX("&amp;F276&amp;") AS STRING) AS VALOR_MAX,'"&amp;MAX('ID1&amp;5'!K:K)+1&amp;"' AS ID_EXEC, CURRENT_TIMESTAMP() AS TIME_EXEC FROM "&amp;MID(I276,1,LEN(I276)-2)&amp;" AND CAST("&amp;F276&amp;"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TABELA_SIMUL,'ORGNL_PRTCTN_VL' AS CAMPO, '${ref_date}' AS REF_DATE, COUNT(*) AS NUM_REG, SUM(IF(INSTR(CAST(X.ORGNL_PRTCTN_VL AS STRING),'#')&gt;0 OR INSTR(CAST(X.ORGNL_PRTCTN_VL AS STRING),'*')&gt;0 OR INSTR(CAST(X.ORGNL_PRTCTN_VL AS STRING),'`')&gt;0 OR INSTR(CAST(X.ORGNL_PRTCTN_VL AS STRING),'´')&gt;0 OR INSTR(CAST(X.ORGNL_PRTCTN_VL AS STRING),'{')&gt;0 OR INSTR(CAST(X.ORGNL_PRTCTN_VL AS STRING),'}')&gt;0 OR INSTR(CAST(X.ORGNL_PRTCTN_VL AS STRING),'[')&gt;0 OR INSTR(CAST(X.ORGNL_PRTCTN_VL AS STRING),'')&gt;0 OR INSTR(CAST(X.ORGNL_PRTCTN_VL AS STRING),']')&gt;0 OR INSTR(CAST(X.ORGNL_PRTCTN_VL AS STRING),'?')&gt;0 OR INSTR(CAST(X.ORGNL_PRTCTN_VL AS STRING),'!')&gt;0 OR INSTR(CAST(X.ORGNL_PRTCTN_VL AS STRING),'$')&gt;0 OR INSTR(CAST(X.ORGNL_PRTCTN_VL AS STRING),'%')&gt;0 OR INSTR(CAST(X.ORGNL_PRTCTN_VL AS STRING),'&amp;')&gt;0 OR INSTR(CAST(X.ORGNL_PRTCTN_VL AS STRING),'+')&gt;0,1,0)) AS NUM_REG_DIF,'10' AS ID_EXEC, CURRENT_TIMESTAMP() AS TIME_EXEC FROM (SELECT prtctn_id, ORGNL_PRTCTN_VL FROM BU_LOANTAPE_WORK.LT004_PROTECTION WHERE ref_date='${ref_date}' AND nome_perimetro='Individual Corporativo' AND segmento='ESTR' AND ambito='PILAR3')X</v>
      </c>
      <c r="M276" s="43" t="str">
        <f t="shared" si="4"/>
        <v>UNION ALL SELECT 'PROTECTION' AS TABELA, 'CARACTERES ESPECIAIS' AS TIPOLOGIA_TESTE,'BU_LOANTAPE_WORK.LT004_PROTECTION' AS TABELA_LT,'N/A' AS TABELA_SIMUL,'ORGNL_PRTCTN_VL' AS CAMPO, '${ref_date}' AS REF_DATE, COUNT(*) AS NUM_REG, SUM(IF(INSTR(CAST(X.ORGNL_PRTCTN_VL AS STRING),'#')&gt;0 OR INSTR(CAST(X.ORGNL_PRTCTN_VL AS STRING),'*')&gt;0 OR INSTR(CAST(X.ORGNL_PRTCTN_VL AS STRING),'`')&gt;0 OR INSTR(CAST(X.ORGNL_PRTCTN_VL AS STRING),'´')&gt;0 OR INSTR(CAST(X.ORGNL_PRTCTN_VL AS STRING),'{')&gt;0 OR INSTR(CAST(X.ORGNL_PRTCTN_VL AS STRING),'}')&gt;0 OR INSTR(CAST(X.ORGNL_PRTCTN_VL AS STRING),'[')&gt;0 OR INSTR(CAST(X.ORGNL_PRTCTN_VL AS STRING),'')&gt;0 OR INSTR(CAST(X.ORGNL_PRTCTN_VL AS STRING),']')&gt;0 OR INSTR(CAST(X.ORGNL_PRTCTN_VL AS STRING),'?')&gt;0 OR INSTR(CAST(X.ORGNL_PRTCTN_VL AS STRING),'!')&gt;0 OR INSTR(CAST(X.ORGNL_PRTCTN_VL AS STRING),'$')&gt;0 OR INSTR(CAST(X.ORGNL_PRTCTN_VL AS STRING),'%')&gt;0 OR INSTR(CAST(X.ORGNL_PRTCTN_VL AS STRING),'&amp;')&gt;0 OR INSTR(CAST(X.ORGNL_PRTCTN_VL AS STRING),'+')&gt;0,1,0)) AS NUM_REG_DIF,'10' AS ID_EXEC, CURRENT_TIMESTAMP() AS TIME_EXEC FROM (SELECT prtctn_id, ORGNL_PRTCTN_VL FROM BU_LOANTAPE_WORK.LT004_PROTECTION WHERE ref_date='${ref_date}' AND nome_perimetro='Individual Corporativo' AND segmento='ESTR' AND ambito='PILAR3')X</v>
      </c>
      <c r="N276" s="45" t="s">
        <v>13</v>
      </c>
    </row>
    <row r="277" spans="2:14">
      <c r="B277" s="41" t="s">
        <v>31</v>
      </c>
      <c r="C277" s="41" t="s">
        <v>76</v>
      </c>
      <c r="D277" s="41" t="str">
        <f>+UPPER('0. Instruções'!$D$33&amp;"."&amp;VLOOKUP(B277,'0. Instruções'!$C$27:$D$31,2,FALSE))</f>
        <v>BU_LOANTAPE_WORK.LT004_PROTECTION</v>
      </c>
      <c r="E277" s="41" t="str">
        <f>+UPPER('0. Instruções'!$D$34&amp;"."&amp;VLOOKUP(B277,'0. Instruções'!$C$27:$E$31,3,FALSE))</f>
        <v>BU_LOANTAPE_WORK.LT004_PROTECTION_P3_NOV24</v>
      </c>
      <c r="F277" s="41" t="s">
        <v>195</v>
      </c>
      <c r="G277" s="41" t="s">
        <v>13</v>
      </c>
      <c r="H277" s="41"/>
      <c r="I277" s="41" t="str">
        <f>"(SELECT "&amp;VLOOKUP(B277,'0. Instruções'!$C$27:$G$31,4,FALSE)&amp;", "&amp;F277&amp;" FROM "&amp;D277&amp;" WHERE "&amp;'0. Instruções'!$D$40&amp;")X"</f>
        <v>(SELECT prtctn_id, PRTCTN_VL FROM BU_LOANTAPE_WORK.LT004_PROTECTION WHERE ref_date='${ref_date}' AND nome_perimetro='Individual Corporativo' AND segmento='ESTR' AND ambito='PILAR3')X</v>
      </c>
      <c r="J277" s="41" t="str">
        <f>"(SELECT "&amp;VLOOKUP(B277,'0. Instruções'!$C$27:$G$31,4,FALSE)&amp;" AS "&amp;VLOOKUP(B277,'0. Instruções'!$C$27:$G$31,4,FALSE)&amp;"_SIMUL, "&amp;F277&amp;" AS "&amp;F277&amp;"_SIMUL FROM "&amp;E277&amp;")Y"</f>
        <v>(SELECT prtctn_id AS prtctn_id_SIMUL, PRTCTN_VL AS PRTCTN_VL_SIMUL FROM BU_LOANTAPE_WORK.LT004_PROTECTION_P3_NOV24)Y</v>
      </c>
      <c r="K277" s="42" t="str">
        <f>+UPPER("ON X."&amp;VLOOKUP(B277,'0. Instruções'!$C$27:$G$31,4,FALSE)&amp;"=Y."&amp;VLOOKUP(B277,'0. Instruções'!$C$27:$G$31,4,FALSE)&amp;"_SIMUL")</f>
        <v>ON X.PRTCTN_ID=Y.PRTCTN_ID_SIMUL</v>
      </c>
      <c r="L277" s="42" t="str">
        <f>+IF(C277="Coerência", +IF(LEFT(G277,5)="FLOAT","SELECT '"&amp;UPPER(B277)&amp;"' AS TABELA, '"&amp;UPPER(C277)&amp;"' AS TIPOLOGIA_TESTE,'"&amp;D277&amp;"' AS TABELA_LT,'"&amp;E277&amp;"' AS TABELA_SIMUL,'"&amp;F277&amp;"' AS CAMPO, "&amp;"'${ref_date}' AS REF_DATE, COUNT(*) AS NUM_REG, SUM(IF((ABS(COALESCE(X."&amp;F277&amp;",0)-COALESCE(Y."&amp;F277&amp;"_SIMUL,0))&gt;0.0000000001) OR (X."&amp;F277&amp;" IS NULL AND Y."&amp;F277&amp;"_SIMUL IS NOT NULL ) OR (X."&amp;F277&amp;" IS NOT NULL AND Y."&amp;F277&amp;"_SIMUL IS NULL),1,0)) AS NUM_REG_DIF,'"&amp;MAX('ID1&amp;5'!K:K)+1&amp;"' AS ID_EXEC, CURRENT_TIMESTAMP() AS TIME_EXEC FROM "&amp;I277&amp;" INNER JOIN "&amp;J277&amp;" "&amp;K277,"SELECT '"&amp;UPPER(B277)&amp;"' AS TABELA, '"&amp;UPPER(C277)&amp;"' AS TIPOLOGIA_TESTE,'"&amp;D277&amp;"' AS TABELA_LT,'"&amp;E277&amp;"' AS TABELA_SIMUL,'"&amp;F277&amp;"' AS CAMPO, "&amp;"'${ref_date}' AS REF_DATE, COUNT(*) AS NUM_REG, SUM(IF(COALESCE(CAST(X."&amp;F277&amp;" AS STRING),'')&lt;&gt;COALESCE(CAST(Y."&amp;F277&amp;"_SIMUL AS STRING),''),1,0)) AS NUM_REG_DIF,'"&amp;MAX('ID1&amp;5'!L:L)+1&amp;"' AS ID_EXEC, CURRENT_TIMESTAMP() AS TIME_EXEC FROM "&amp;I277&amp;" INNER JOIN "&amp;J277&amp;" "&amp;K277),
IF(C277="Validade",+IF(G277="Code List","SELECT '"&amp;UPPER(B277)&amp;"' AS TABELA, '"&amp;UPPER(C277)&amp;"' AS TIPOLOGIA_TESTE,'"&amp;D277&amp;"' AS TABELA_LT,'N/A' AS TABELA_SIMUL,'"&amp;F277&amp;"' AS CAMPO, "&amp;"'${ref_date}' AS REF_DATE, COUNT(*) AS NUM_REG, SUM(IF(TRIM(CAST(X."&amp;F277&amp;" AS STRING))='' OR TRIM(CAST(X."&amp;F277&amp;" AS STRING)) IS NULL OR CAST(X."&amp;F277&amp;" AS STRING) NOT "&amp;H277&amp;",1,0)) AS NUM_REG_DIF,'"&amp;MAX('ID1&amp;5'!K:K)+1&amp;"' AS ID_EXEC, CURRENT_TIMESTAMP() AS TIME_EXEC FROM "&amp;I277,"SELECT '"&amp;UPPER(B277)&amp;"' AS TABELA, '"&amp;UPPER(C277)&amp;"' AS TIPOLOGIA_TESTE,'"&amp;D277&amp;"' AS TABELA_LT,'N/A' AS TABELA_SIMUL,'"&amp;F277&amp;"' AS CAMPO, "&amp;"'${ref_date}' AS REF_DATE, COUNT(*) AS NUM_REG, SUM(IF(TRIM(CAST(X."&amp;F277&amp;" AS STRING))='' OR TRIM(CAST(X."&amp;F277&amp;" AS STRING)) IS NULL,1,0)) AS NUM_REG_DIF,'"&amp;MAX('ID1&amp;5'!K:K)+1&amp;"' AS ID_EXEC, CURRENT_TIMESTAMP() AS TIME_EXEC FROM "&amp;I277),
IF(C277="Caracteres Especiais",+"SELECT '"&amp;UPPER(B277)&amp;"' AS TABELA, '"&amp;UPPER(C277)&amp;"' AS TIPOLOGIA_TESTE,'"&amp;D277&amp;"' AS TABELA_LT,'N/A' AS TABELA_SIMUL,'"&amp;F277&amp;"' AS CAMPO, "&amp;"'${ref_date}' AS REF_DATE, COUNT(*) AS NUM_REG, SUM(IF(INSTR(CAST(X."&amp;F277&amp;" AS STRING),'#')&gt;0 OR INSTR(CAST(X."&amp;F277&amp;" AS STRING),'*')&gt;0 OR INSTR(CAST(X."&amp;F277&amp;" AS STRING),'`')&gt;0 OR INSTR(CAST(X."&amp;F277&amp;" AS STRING),'´')&gt;0 OR INSTR(CAST(X."&amp;F277&amp;" AS STRING),'{')&gt;0 OR INSTR(CAST(X."&amp;F277&amp;" AS STRING),'}')&gt;0 OR INSTR(CAST(X."&amp;F277&amp;" AS STRING),'[')&gt;0 OR INSTR(CAST(X."&amp;F277&amp;" AS STRING),'')&gt;0 OR INSTR(CAST(X."&amp;F277&amp;" AS STRING),']')&gt;0 OR INSTR(CAST(X."&amp;F277&amp;" AS STRING),'?')&gt;0 OR INSTR(CAST(X."&amp;F277&amp;" AS STRING),'!')&gt;0 OR INSTR(CAST(X."&amp;F277&amp;" AS STRING),'$')&gt;0 OR INSTR(CAST(X."&amp;F277&amp;" AS STRING),'%')&gt;0 OR INSTR(CAST(X."&amp;F277&amp;" AS STRING),'&amp;')&gt;0 OR INSTR(CAST(X."&amp;F277&amp;" AS STRING),'+')&gt;0,1,0)) AS NUM_REG_DIF,'"&amp;MAX('ID1&amp;5'!K:K)+1&amp;"' AS ID_EXEC, CURRENT_TIMESTAMP() AS TIME_EXEC FROM "&amp;I277,
IF(C277="Missings",+"SELECT '"&amp;UPPER(B277)&amp;"' AS TABELA, '"&amp;UPPER(C277)&amp;"' AS TIPOLOGIA_TESTE,'"&amp;D277&amp;"' AS TABELA_LT,'N/A' AS TABELA_SIMUL,'"&amp;F277&amp;"' AS CAMPO, "&amp;"'${ref_date}' AS REF_DATE, COUNT(*) AS NUM_REG, SUM(IF(TRIM(CAST(X."&amp;F277&amp;" AS STRING)) IN ('0000-00-00','0001-01-01','9999-12-31','MISS','00000','99999999999','99999999999.00','99999999999.000000'),1,0)) AS NUM_REG_DIF,'"&amp;MAX('ID1&amp;5'!K:K)+1&amp;"' AS ID_EXEC, CURRENT_TIMESTAMP() AS TIME_EXEC FROM "&amp;I277,
IF(C277="Not applicable",+"SELECT '"&amp;UPPER(B277)&amp;"' AS TABELA, '"&amp;UPPER(C277)&amp;"' AS TIPOLOGIA_TESTE,'"&amp;D277&amp;"' AS TABELA_LT,'N/A' AS TABELA_SIMUL,'"&amp;F277&amp;"' AS CAMPO, "&amp;"'${ref_date}' AS REF_DATE, COUNT(*) AS NUM_REG, SUM(IF(TRIM(CAST(X."&amp;F277&amp;" AS STRING)) IN ('N/A','11111111111','11111111111.00','11111111111.000000','1111-11-11'),1,0)) AS NUM_REG_DIF,'"&amp;MAX('ID1&amp;5'!K:K)+1&amp;"' AS ID_EXEC, CURRENT_TIMESTAMP() AS TIME_EXEC FROM "&amp;I277,
IF(C277="Valores extremos",+"SELECT '"&amp;UPPER(B277)&amp;"' AS TABELA, '"&amp;UPPER(C277)&amp;"' AS TIPOLOGIA_TESTE,'"&amp;D277&amp;"' AS TABELA_LT,'N/A' AS TABELA_SIMUL,'"&amp;F277&amp;"' AS CAMPO, "&amp;"'${ref_date}' AS REF_DATE, CAST(MIN("&amp;F277&amp;") AS STRING) AS VALOR_MIN, CAST(MAX("&amp;F277&amp;") AS STRING) AS VALOR_MAX,'"&amp;MAX('ID1&amp;5'!K:K)+1&amp;"' AS ID_EXEC, CURRENT_TIMESTAMP() AS TIME_EXEC FROM "&amp;MID(I277,1,LEN(I277)-2)&amp;" AND CAST("&amp;F277&amp;"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TABELA_SIMUL,'PRTCTN_VL' AS CAMPO, '${ref_date}' AS REF_DATE, COUNT(*) AS NUM_REG, SUM(IF(INSTR(CAST(X.PRTCTN_VL AS STRING),'#')&gt;0 OR INSTR(CAST(X.PRTCTN_VL AS STRING),'*')&gt;0 OR INSTR(CAST(X.PRTCTN_VL AS STRING),'`')&gt;0 OR INSTR(CAST(X.PRTCTN_VL AS STRING),'´')&gt;0 OR INSTR(CAST(X.PRTCTN_VL AS STRING),'{')&gt;0 OR INSTR(CAST(X.PRTCTN_VL AS STRING),'}')&gt;0 OR INSTR(CAST(X.PRTCTN_VL AS STRING),'[')&gt;0 OR INSTR(CAST(X.PRTCTN_VL AS STRING),'')&gt;0 OR INSTR(CAST(X.PRTCTN_VL AS STRING),']')&gt;0 OR INSTR(CAST(X.PRTCTN_VL AS STRING),'?')&gt;0 OR INSTR(CAST(X.PRTCTN_VL AS STRING),'!')&gt;0 OR INSTR(CAST(X.PRTCTN_VL AS STRING),'$')&gt;0 OR INSTR(CAST(X.PRTCTN_VL AS STRING),'%')&gt;0 OR INSTR(CAST(X.PRTCTN_VL AS STRING),'&amp;')&gt;0 OR INSTR(CAST(X.PRTCTN_VL AS STRING),'+')&gt;0,1,0)) AS NUM_REG_DIF,'10' AS ID_EXEC, CURRENT_TIMESTAMP() AS TIME_EXEC FROM (SELECT prtctn_id, PRTCTN_VL FROM BU_LOANTAPE_WORK.LT004_PROTECTION WHERE ref_date='${ref_date}' AND nome_perimetro='Individual Corporativo' AND segmento='ESTR' AND ambito='PILAR3')X</v>
      </c>
      <c r="M277" s="43" t="str">
        <f t="shared" si="4"/>
        <v>UNION ALL SELECT 'PROTECTION' AS TABELA, 'CARACTERES ESPECIAIS' AS TIPOLOGIA_TESTE,'BU_LOANTAPE_WORK.LT004_PROTECTION' AS TABELA_LT,'N/A' AS TABELA_SIMUL,'PRTCTN_VL' AS CAMPO, '${ref_date}' AS REF_DATE, COUNT(*) AS NUM_REG, SUM(IF(INSTR(CAST(X.PRTCTN_VL AS STRING),'#')&gt;0 OR INSTR(CAST(X.PRTCTN_VL AS STRING),'*')&gt;0 OR INSTR(CAST(X.PRTCTN_VL AS STRING),'`')&gt;0 OR INSTR(CAST(X.PRTCTN_VL AS STRING),'´')&gt;0 OR INSTR(CAST(X.PRTCTN_VL AS STRING),'{')&gt;0 OR INSTR(CAST(X.PRTCTN_VL AS STRING),'}')&gt;0 OR INSTR(CAST(X.PRTCTN_VL AS STRING),'[')&gt;0 OR INSTR(CAST(X.PRTCTN_VL AS STRING),'')&gt;0 OR INSTR(CAST(X.PRTCTN_VL AS STRING),']')&gt;0 OR INSTR(CAST(X.PRTCTN_VL AS STRING),'?')&gt;0 OR INSTR(CAST(X.PRTCTN_VL AS STRING),'!')&gt;0 OR INSTR(CAST(X.PRTCTN_VL AS STRING),'$')&gt;0 OR INSTR(CAST(X.PRTCTN_VL AS STRING),'%')&gt;0 OR INSTR(CAST(X.PRTCTN_VL AS STRING),'&amp;')&gt;0 OR INSTR(CAST(X.PRTCTN_VL AS STRING),'+')&gt;0,1,0)) AS NUM_REG_DIF,'10' AS ID_EXEC, CURRENT_TIMESTAMP() AS TIME_EXEC FROM (SELECT prtctn_id, PRTCTN_VL FROM BU_LOANTAPE_WORK.LT004_PROTECTION WHERE ref_date='${ref_date}' AND nome_perimetro='Individual Corporativo' AND segmento='ESTR' AND ambito='PILAR3')X</v>
      </c>
      <c r="N277" s="45" t="s">
        <v>13</v>
      </c>
    </row>
    <row r="278" spans="2:14">
      <c r="B278" s="41" t="s">
        <v>31</v>
      </c>
      <c r="C278" s="41" t="s">
        <v>76</v>
      </c>
      <c r="D278" s="41" t="str">
        <f>+UPPER('0. Instruções'!$D$33&amp;"."&amp;VLOOKUP(B278,'0. Instruções'!$C$27:$D$31,2,FALSE))</f>
        <v>BU_LOANTAPE_WORK.LT004_PROTECTION</v>
      </c>
      <c r="E278" s="41" t="str">
        <f>+UPPER('0. Instruções'!$D$34&amp;"."&amp;VLOOKUP(B278,'0. Instruções'!$C$27:$E$31,3,FALSE))</f>
        <v>BU_LOANTAPE_WORK.LT004_PROTECTION_P3_NOV24</v>
      </c>
      <c r="F278" s="41" t="s">
        <v>173</v>
      </c>
      <c r="G278" s="41" t="s">
        <v>13</v>
      </c>
      <c r="H278" s="41"/>
      <c r="I278" s="41" t="str">
        <f>"(SELECT "&amp;VLOOKUP(B278,'0. Instruções'!$C$27:$G$31,4,FALSE)&amp;", "&amp;F278&amp;" FROM "&amp;D278&amp;" WHERE "&amp;'0. Instruções'!$D$40&amp;")X"</f>
        <v>(SELECT prtctn_id, COD_SOC FROM BU_LOANTAPE_WORK.LT004_PROTECTION WHERE ref_date='${ref_date}' AND nome_perimetro='Individual Corporativo' AND segmento='ESTR' AND ambito='PILAR3')X</v>
      </c>
      <c r="J278" s="41" t="str">
        <f>"(SELECT "&amp;VLOOKUP(B278,'0. Instruções'!$C$27:$G$31,4,FALSE)&amp;" AS "&amp;VLOOKUP(B278,'0. Instruções'!$C$27:$G$31,4,FALSE)&amp;"_SIMUL, "&amp;F278&amp;" AS "&amp;F278&amp;"_SIMUL FROM "&amp;E278&amp;")Y"</f>
        <v>(SELECT prtctn_id AS prtctn_id_SIMUL, COD_SOC AS COD_SOC_SIMUL FROM BU_LOANTAPE_WORK.LT004_PROTECTION_P3_NOV24)Y</v>
      </c>
      <c r="K278" s="42" t="str">
        <f>+UPPER("ON X."&amp;VLOOKUP(B278,'0. Instruções'!$C$27:$G$31,4,FALSE)&amp;"=Y."&amp;VLOOKUP(B278,'0. Instruções'!$C$27:$G$31,4,FALSE)&amp;"_SIMUL")</f>
        <v>ON X.PRTCTN_ID=Y.PRTCTN_ID_SIMUL</v>
      </c>
      <c r="L278" s="42" t="str">
        <f>+IF(C278="Coerência", +IF(LEFT(G278,5)="FLOAT","SELECT '"&amp;UPPER(B278)&amp;"' AS TABELA, '"&amp;UPPER(C278)&amp;"' AS TIPOLOGIA_TESTE,'"&amp;D278&amp;"' AS TABELA_LT,'"&amp;E278&amp;"' AS TABELA_SIMUL,'"&amp;F278&amp;"' AS CAMPO, "&amp;"'${ref_date}' AS REF_DATE, COUNT(*) AS NUM_REG, SUM(IF((ABS(COALESCE(X."&amp;F278&amp;",0)-COALESCE(Y."&amp;F278&amp;"_SIMUL,0))&gt;0.0000000001) OR (X."&amp;F278&amp;" IS NULL AND Y."&amp;F278&amp;"_SIMUL IS NOT NULL ) OR (X."&amp;F278&amp;" IS NOT NULL AND Y."&amp;F278&amp;"_SIMUL IS NULL),1,0)) AS NUM_REG_DIF,'"&amp;MAX('ID1&amp;5'!K:K)+1&amp;"' AS ID_EXEC, CURRENT_TIMESTAMP() AS TIME_EXEC FROM "&amp;I278&amp;" INNER JOIN "&amp;J278&amp;" "&amp;K278,"SELECT '"&amp;UPPER(B278)&amp;"' AS TABELA, '"&amp;UPPER(C278)&amp;"' AS TIPOLOGIA_TESTE,'"&amp;D278&amp;"' AS TABELA_LT,'"&amp;E278&amp;"' AS TABELA_SIMUL,'"&amp;F278&amp;"' AS CAMPO, "&amp;"'${ref_date}' AS REF_DATE, COUNT(*) AS NUM_REG, SUM(IF(COALESCE(CAST(X."&amp;F278&amp;" AS STRING),'')&lt;&gt;COALESCE(CAST(Y."&amp;F278&amp;"_SIMUL AS STRING),''),1,0)) AS NUM_REG_DIF,'"&amp;MAX('ID1&amp;5'!L:L)+1&amp;"' AS ID_EXEC, CURRENT_TIMESTAMP() AS TIME_EXEC FROM "&amp;I278&amp;" INNER JOIN "&amp;J278&amp;" "&amp;K278),
IF(C278="Validade",+IF(G278="Code List","SELECT '"&amp;UPPER(B278)&amp;"' AS TABELA, '"&amp;UPPER(C278)&amp;"' AS TIPOLOGIA_TESTE,'"&amp;D278&amp;"' AS TABELA_LT,'N/A' AS TABELA_SIMUL,'"&amp;F278&amp;"' AS CAMPO, "&amp;"'${ref_date}' AS REF_DATE, COUNT(*) AS NUM_REG, SUM(IF(TRIM(CAST(X."&amp;F278&amp;" AS STRING))='' OR TRIM(CAST(X."&amp;F278&amp;" AS STRING)) IS NULL OR CAST(X."&amp;F278&amp;" AS STRING) NOT "&amp;H278&amp;",1,0)) AS NUM_REG_DIF,'"&amp;MAX('ID1&amp;5'!K:K)+1&amp;"' AS ID_EXEC, CURRENT_TIMESTAMP() AS TIME_EXEC FROM "&amp;I278,"SELECT '"&amp;UPPER(B278)&amp;"' AS TABELA, '"&amp;UPPER(C278)&amp;"' AS TIPOLOGIA_TESTE,'"&amp;D278&amp;"' AS TABELA_LT,'N/A' AS TABELA_SIMUL,'"&amp;F278&amp;"' AS CAMPO, "&amp;"'${ref_date}' AS REF_DATE, COUNT(*) AS NUM_REG, SUM(IF(TRIM(CAST(X."&amp;F278&amp;" AS STRING))='' OR TRIM(CAST(X."&amp;F278&amp;" AS STRING)) IS NULL,1,0)) AS NUM_REG_DIF,'"&amp;MAX('ID1&amp;5'!K:K)+1&amp;"' AS ID_EXEC, CURRENT_TIMESTAMP() AS TIME_EXEC FROM "&amp;I278),
IF(C278="Caracteres Especiais",+"SELECT '"&amp;UPPER(B278)&amp;"' AS TABELA, '"&amp;UPPER(C278)&amp;"' AS TIPOLOGIA_TESTE,'"&amp;D278&amp;"' AS TABELA_LT,'N/A' AS TABELA_SIMUL,'"&amp;F278&amp;"' AS CAMPO, "&amp;"'${ref_date}' AS REF_DATE, COUNT(*) AS NUM_REG, SUM(IF(INSTR(CAST(X."&amp;F278&amp;" AS STRING),'#')&gt;0 OR INSTR(CAST(X."&amp;F278&amp;" AS STRING),'*')&gt;0 OR INSTR(CAST(X."&amp;F278&amp;" AS STRING),'`')&gt;0 OR INSTR(CAST(X."&amp;F278&amp;" AS STRING),'´')&gt;0 OR INSTR(CAST(X."&amp;F278&amp;" AS STRING),'{')&gt;0 OR INSTR(CAST(X."&amp;F278&amp;" AS STRING),'}')&gt;0 OR INSTR(CAST(X."&amp;F278&amp;" AS STRING),'[')&gt;0 OR INSTR(CAST(X."&amp;F278&amp;" AS STRING),'')&gt;0 OR INSTR(CAST(X."&amp;F278&amp;" AS STRING),']')&gt;0 OR INSTR(CAST(X."&amp;F278&amp;" AS STRING),'?')&gt;0 OR INSTR(CAST(X."&amp;F278&amp;" AS STRING),'!')&gt;0 OR INSTR(CAST(X."&amp;F278&amp;" AS STRING),'$')&gt;0 OR INSTR(CAST(X."&amp;F278&amp;" AS STRING),'%')&gt;0 OR INSTR(CAST(X."&amp;F278&amp;" AS STRING),'&amp;')&gt;0 OR INSTR(CAST(X."&amp;F278&amp;" AS STRING),'+')&gt;0,1,0)) AS NUM_REG_DIF,'"&amp;MAX('ID1&amp;5'!K:K)+1&amp;"' AS ID_EXEC, CURRENT_TIMESTAMP() AS TIME_EXEC FROM "&amp;I278,
IF(C278="Missings",+"SELECT '"&amp;UPPER(B278)&amp;"' AS TABELA, '"&amp;UPPER(C278)&amp;"' AS TIPOLOGIA_TESTE,'"&amp;D278&amp;"' AS TABELA_LT,'N/A' AS TABELA_SIMUL,'"&amp;F278&amp;"' AS CAMPO, "&amp;"'${ref_date}' AS REF_DATE, COUNT(*) AS NUM_REG, SUM(IF(TRIM(CAST(X."&amp;F278&amp;" AS STRING)) IN ('0000-00-00','0001-01-01','9999-12-31','MISS','00000','99999999999','99999999999.00','99999999999.000000'),1,0)) AS NUM_REG_DIF,'"&amp;MAX('ID1&amp;5'!K:K)+1&amp;"' AS ID_EXEC, CURRENT_TIMESTAMP() AS TIME_EXEC FROM "&amp;I278,
IF(C278="Not applicable",+"SELECT '"&amp;UPPER(B278)&amp;"' AS TABELA, '"&amp;UPPER(C278)&amp;"' AS TIPOLOGIA_TESTE,'"&amp;D278&amp;"' AS TABELA_LT,'N/A' AS TABELA_SIMUL,'"&amp;F278&amp;"' AS CAMPO, "&amp;"'${ref_date}' AS REF_DATE, COUNT(*) AS NUM_REG, SUM(IF(TRIM(CAST(X."&amp;F278&amp;" AS STRING)) IN ('N/A','11111111111','11111111111.00','11111111111.000000','1111-11-11'),1,0)) AS NUM_REG_DIF,'"&amp;MAX('ID1&amp;5'!K:K)+1&amp;"' AS ID_EXEC, CURRENT_TIMESTAMP() AS TIME_EXEC FROM "&amp;I278,
IF(C278="Valores extremos",+"SELECT '"&amp;UPPER(B278)&amp;"' AS TABELA, '"&amp;UPPER(C278)&amp;"' AS TIPOLOGIA_TESTE,'"&amp;D278&amp;"' AS TABELA_LT,'N/A' AS TABELA_SIMUL,'"&amp;F278&amp;"' AS CAMPO, "&amp;"'${ref_date}' AS REF_DATE, CAST(MIN("&amp;F278&amp;") AS STRING) AS VALOR_MIN, CAST(MAX("&amp;F278&amp;") AS STRING) AS VALOR_MAX,'"&amp;MAX('ID1&amp;5'!K:K)+1&amp;"' AS ID_EXEC, CURRENT_TIMESTAMP() AS TIME_EXEC FROM "&amp;MID(I278,1,LEN(I278)-2)&amp;" AND CAST("&amp;F278&amp;" AS STRING) NOT IN ('0000-00-00','0001-01-01','9999-12-31','MISS','00000','99999999999','99999999999.00','99999999999.000000','N/A','11111111111','11111111111.00','11111111111.000000','1111-11-11'))X"))))))</f>
        <v>SELECT 'PROTECTION' AS TABELA, 'CARACTERES ESPECIAIS' AS TIPOLOGIA_TESTE,'BU_LOANTAPE_WORK.LT004_PROTECTION' AS TABELA_LT,'N/A' AS TABELA_SIMUL,'COD_SOC' AS CAMPO, '${ref_date}' AS REF_DATE, COUNT(*) AS NUM_REG, SUM(IF(INSTR(CAST(X.COD_SOC AS STRING),'#')&gt;0 OR INSTR(CAST(X.COD_SOC AS STRING),'*')&gt;0 OR INSTR(CAST(X.COD_SOC AS STRING),'`')&gt;0 OR INSTR(CAST(X.COD_SOC AS STRING),'´')&gt;0 OR INSTR(CAST(X.COD_SOC AS STRING),'{')&gt;0 OR INSTR(CAST(X.COD_SOC AS STRING),'}')&gt;0 OR INSTR(CAST(X.COD_SOC AS STRING),'[')&gt;0 OR INSTR(CAST(X.COD_SOC AS STRING),'')&gt;0 OR INSTR(CAST(X.COD_SOC AS STRING),']')&gt;0 OR INSTR(CAST(X.COD_SOC AS STRING),'?')&gt;0 OR INSTR(CAST(X.COD_SOC AS STRING),'!')&gt;0 OR INSTR(CAST(X.COD_SOC AS STRING),'$')&gt;0 OR INSTR(CAST(X.COD_SOC AS STRING),'%')&gt;0 OR INSTR(CAST(X.COD_SOC AS STRING),'&amp;')&gt;0 OR INSTR(CAST(X.COD_SOC AS STRING),'+')&gt;0,1,0)) AS NUM_REG_DIF,'10' AS ID_EXEC, CURRENT_TIMESTAMP() AS TIME_EXEC FROM (SELECT prtctn_id, COD_SOC FROM BU_LOANTAPE_WORK.LT004_PROTECTION WHERE ref_date='${ref_date}' AND nome_perimetro='Individual Corporativo' AND segmento='ESTR' AND ambito='PILAR3')X</v>
      </c>
      <c r="M278" s="43" t="str">
        <f t="shared" si="4"/>
        <v>UNION ALL SELECT 'PROTECTION' AS TABELA, 'CARACTERES ESPECIAIS' AS TIPOLOGIA_TESTE,'BU_LOANTAPE_WORK.LT004_PROTECTION' AS TABELA_LT,'N/A' AS TABELA_SIMUL,'COD_SOC' AS CAMPO, '${ref_date}' AS REF_DATE, COUNT(*) AS NUM_REG, SUM(IF(INSTR(CAST(X.COD_SOC AS STRING),'#')&gt;0 OR INSTR(CAST(X.COD_SOC AS STRING),'*')&gt;0 OR INSTR(CAST(X.COD_SOC AS STRING),'`')&gt;0 OR INSTR(CAST(X.COD_SOC AS STRING),'´')&gt;0 OR INSTR(CAST(X.COD_SOC AS STRING),'{')&gt;0 OR INSTR(CAST(X.COD_SOC AS STRING),'}')&gt;0 OR INSTR(CAST(X.COD_SOC AS STRING),'[')&gt;0 OR INSTR(CAST(X.COD_SOC AS STRING),'')&gt;0 OR INSTR(CAST(X.COD_SOC AS STRING),']')&gt;0 OR INSTR(CAST(X.COD_SOC AS STRING),'?')&gt;0 OR INSTR(CAST(X.COD_SOC AS STRING),'!')&gt;0 OR INSTR(CAST(X.COD_SOC AS STRING),'$')&gt;0 OR INSTR(CAST(X.COD_SOC AS STRING),'%')&gt;0 OR INSTR(CAST(X.COD_SOC AS STRING),'&amp;')&gt;0 OR INSTR(CAST(X.COD_SOC AS STRING),'+')&gt;0,1,0)) AS NUM_REG_DIF,'10' AS ID_EXEC, CURRENT_TIMESTAMP() AS TIME_EXEC FROM (SELECT prtctn_id, COD_SOC FROM BU_LOANTAPE_WORK.LT004_PROTECTION WHERE ref_date='${ref_date}' AND nome_perimetro='Individual Corporativo' AND segmento='ESTR' AND ambito='PILAR3')X</v>
      </c>
      <c r="N278" s="45" t="s">
        <v>13</v>
      </c>
    </row>
    <row r="279" spans="2:14">
      <c r="B279" s="41" t="s">
        <v>27</v>
      </c>
      <c r="C279" s="41" t="s">
        <v>77</v>
      </c>
      <c r="D279" s="41" t="str">
        <f>+UPPER('0. Instruções'!$D$33&amp;"."&amp;VLOOKUP(B279,'0. Instruções'!$C$27:$D$31,2,FALSE))</f>
        <v>BU_LOANTAPE_WORK.LT002_INSTRUMENT</v>
      </c>
      <c r="E279" s="41" t="str">
        <f>+UPPER('0. Instruções'!$D$34&amp;"."&amp;VLOOKUP(B279,'0. Instruções'!$C$27:$E$31,3,FALSE))</f>
        <v>BU_LOANTAPE_WORK.LT002_INSTRUMENT_P3_NOV24</v>
      </c>
      <c r="F279" s="41" t="s">
        <v>151</v>
      </c>
      <c r="G279" s="41" t="s">
        <v>209</v>
      </c>
      <c r="H279" s="41"/>
      <c r="I279" s="41" t="str">
        <f>"(SELECT "&amp;VLOOKUP(B279,'0. Instruções'!$C$27:$G$31,4,FALSE)&amp;", "&amp;F279&amp;" FROM "&amp;D279&amp;" WHERE "&amp;'0. Instruções'!$D$40&amp;")X"</f>
        <v>(SELECT instrmnt_id, LNS_CLLTRLZD_CLSSFCTN FROM BU_LOANTAPE_WORK.LT002_INSTRUMENT WHERE ref_date='${ref_date}' AND nome_perimetro='Individual Corporativo' AND segmento='ESTR' AND ambito='PILAR3')X</v>
      </c>
      <c r="J279" s="41" t="str">
        <f>"(SELECT "&amp;VLOOKUP(B279,'0. Instruções'!$C$27:$G$31,4,FALSE)&amp;" AS "&amp;VLOOKUP(B279,'0. Instruções'!$C$27:$G$31,4,FALSE)&amp;"_SIMUL, "&amp;F279&amp;" AS "&amp;F279&amp;"_SIMUL FROM "&amp;E279&amp;")Y"</f>
        <v>(SELECT instrmnt_id AS instrmnt_id_SIMUL, LNS_CLLTRLZD_CLSSFCTN AS LNS_CLLTRLZD_CLSSFCTN_SIMUL FROM BU_LOANTAPE_WORK.LT002_INSTRUMENT_P3_NOV24)Y</v>
      </c>
      <c r="K279" s="42" t="str">
        <f>+UPPER("ON X."&amp;VLOOKUP(B279,'0. Instruções'!$C$27:$G$31,4,FALSE)&amp;"=Y."&amp;VLOOKUP(B279,'0. Instruções'!$C$27:$G$31,4,FALSE)&amp;"_SIMUL")</f>
        <v>ON X.INSTRMNT_ID=Y.INSTRMNT_ID_SIMUL</v>
      </c>
      <c r="L279" s="42" t="str">
        <f>+IF(C279="Coerência", +IF(LEFT(G279,5)="FLOAT","SELECT '"&amp;UPPER(B279)&amp;"' AS TABELA, '"&amp;UPPER(C279)&amp;"' AS TIPOLOGIA_TESTE,'"&amp;D279&amp;"' AS TABELA_LT,'"&amp;E279&amp;"' AS TABELA_SIMUL,'"&amp;F279&amp;"' AS CAMPO, "&amp;"'${ref_date}' AS REF_DATE, COUNT(*) AS NUM_REG, SUM(IF((ABS(COALESCE(X."&amp;F279&amp;",0)-COALESCE(Y."&amp;F279&amp;"_SIMUL,0))&gt;0.0000000001) OR (X."&amp;F279&amp;" IS NULL AND Y."&amp;F279&amp;"_SIMUL IS NOT NULL ) OR (X."&amp;F279&amp;" IS NOT NULL AND Y."&amp;F279&amp;"_SIMUL IS NULL),1,0)) AS NUM_REG_DIF,'"&amp;MAX('ID1&amp;5'!K:K)+1&amp;"' AS ID_EXEC, CURRENT_TIMESTAMP() AS TIME_EXEC FROM "&amp;I279&amp;" INNER JOIN "&amp;J279&amp;" "&amp;K279,"SELECT '"&amp;UPPER(B279)&amp;"' AS TABELA, '"&amp;UPPER(C279)&amp;"' AS TIPOLOGIA_TESTE,'"&amp;D279&amp;"' AS TABELA_LT,'"&amp;E279&amp;"' AS TABELA_SIMUL,'"&amp;F279&amp;"' AS CAMPO, "&amp;"'${ref_date}' AS REF_DATE, COUNT(*) AS NUM_REG, SUM(IF(COALESCE(CAST(X."&amp;F279&amp;" AS STRING),'')&lt;&gt;COALESCE(CAST(Y."&amp;F279&amp;"_SIMUL AS STRING),''),1,0)) AS NUM_REG_DIF,'"&amp;MAX('ID1&amp;5'!L:L)+1&amp;"' AS ID_EXEC, CURRENT_TIMESTAMP() AS TIME_EXEC FROM "&amp;I279&amp;" INNER JOIN "&amp;J279&amp;" "&amp;K279),
IF(C279="Validade",+IF(G279="Code List","SELECT '"&amp;UPPER(B279)&amp;"' AS TABELA, '"&amp;UPPER(C279)&amp;"' AS TIPOLOGIA_TESTE,'"&amp;D279&amp;"' AS TABELA_LT,'N/A' AS TABELA_SIMUL,'"&amp;F279&amp;"' AS CAMPO, "&amp;"'${ref_date}' AS REF_DATE, COUNT(*) AS NUM_REG, SUM(IF(TRIM(CAST(X."&amp;F279&amp;" AS STRING))='' OR TRIM(CAST(X."&amp;F279&amp;" AS STRING)) IS NULL OR CAST(X."&amp;F279&amp;" AS STRING) NOT "&amp;H279&amp;",1,0)) AS NUM_REG_DIF,'"&amp;MAX('ID1&amp;5'!K:K)+1&amp;"' AS ID_EXEC, CURRENT_TIMESTAMP() AS TIME_EXEC FROM "&amp;I279,"SELECT '"&amp;UPPER(B279)&amp;"' AS TABELA, '"&amp;UPPER(C279)&amp;"' AS TIPOLOGIA_TESTE,'"&amp;D279&amp;"' AS TABELA_LT,'N/A' AS TABELA_SIMUL,'"&amp;F279&amp;"' AS CAMPO, "&amp;"'${ref_date}' AS REF_DATE, COUNT(*) AS NUM_REG, SUM(IF(TRIM(CAST(X."&amp;F279&amp;" AS STRING))='' OR TRIM(CAST(X."&amp;F279&amp;" AS STRING)) IS NULL,1,0)) AS NUM_REG_DIF,'"&amp;MAX('ID1&amp;5'!K:K)+1&amp;"' AS ID_EXEC, CURRENT_TIMESTAMP() AS TIME_EXEC FROM "&amp;I279),
IF(C279="Caracteres Especiais",+"SELECT '"&amp;UPPER(B279)&amp;"' AS TABELA, '"&amp;UPPER(C279)&amp;"' AS TIPOLOGIA_TESTE,'"&amp;D279&amp;"' AS TABELA_LT,'N/A' AS TABELA_SIMUL,'"&amp;F279&amp;"' AS CAMPO, "&amp;"'${ref_date}' AS REF_DATE, COUNT(*) AS NUM_REG, SUM(IF(INSTR(CAST(X."&amp;F279&amp;" AS STRING),'#')&gt;0 OR INSTR(CAST(X."&amp;F279&amp;" AS STRING),'*')&gt;0 OR INSTR(CAST(X."&amp;F279&amp;" AS STRING),'`')&gt;0 OR INSTR(CAST(X."&amp;F279&amp;" AS STRING),'´')&gt;0 OR INSTR(CAST(X."&amp;F279&amp;" AS STRING),'{')&gt;0 OR INSTR(CAST(X."&amp;F279&amp;" AS STRING),'}')&gt;0 OR INSTR(CAST(X."&amp;F279&amp;" AS STRING),'[')&gt;0 OR INSTR(CAST(X."&amp;F279&amp;" AS STRING),'')&gt;0 OR INSTR(CAST(X."&amp;F279&amp;" AS STRING),']')&gt;0 OR INSTR(CAST(X."&amp;F279&amp;" AS STRING),'?')&gt;0 OR INSTR(CAST(X."&amp;F279&amp;" AS STRING),'!')&gt;0 OR INSTR(CAST(X."&amp;F279&amp;" AS STRING),'$')&gt;0 OR INSTR(CAST(X."&amp;F279&amp;" AS STRING),'%')&gt;0 OR INSTR(CAST(X."&amp;F279&amp;" AS STRING),'&amp;')&gt;0 OR INSTR(CAST(X."&amp;F279&amp;" AS STRING),'+')&gt;0,1,0)) AS NUM_REG_DIF,'"&amp;MAX('ID1&amp;5'!K:K)+1&amp;"' AS ID_EXEC, CURRENT_TIMESTAMP() AS TIME_EXEC FROM "&amp;I279,
IF(C279="Missings",+"SELECT '"&amp;UPPER(B279)&amp;"' AS TABELA, '"&amp;UPPER(C279)&amp;"' AS TIPOLOGIA_TESTE,'"&amp;D279&amp;"' AS TABELA_LT,'N/A' AS TABELA_SIMUL,'"&amp;F279&amp;"' AS CAMPO, "&amp;"'${ref_date}' AS REF_DATE, COUNT(*) AS NUM_REG, SUM(IF(TRIM(CAST(X."&amp;F279&amp;" AS STRING)) IN ('0000-00-00','0001-01-01','9999-12-31','MISS','00000','99999999999','99999999999.00','99999999999.000000'),1,0)) AS NUM_REG_DIF,'"&amp;MAX('ID1&amp;5'!K:K)+1&amp;"' AS ID_EXEC, CURRENT_TIMESTAMP() AS TIME_EXEC FROM "&amp;I279,
IF(C279="Not applicable",+"SELECT '"&amp;UPPER(B279)&amp;"' AS TABELA, '"&amp;UPPER(C279)&amp;"' AS TIPOLOGIA_TESTE,'"&amp;D279&amp;"' AS TABELA_LT,'N/A' AS TABELA_SIMUL,'"&amp;F279&amp;"' AS CAMPO, "&amp;"'${ref_date}' AS REF_DATE, COUNT(*) AS NUM_REG, SUM(IF(TRIM(CAST(X."&amp;F279&amp;" AS STRING)) IN ('N/A','11111111111','11111111111.00','11111111111.000000','1111-11-11'),1,0)) AS NUM_REG_DIF,'"&amp;MAX('ID1&amp;5'!K:K)+1&amp;"' AS ID_EXEC, CURRENT_TIMESTAMP() AS TIME_EXEC FROM "&amp;I279,
IF(C279="Valores extremos",+"SELECT '"&amp;UPPER(B279)&amp;"' AS TABELA, '"&amp;UPPER(C279)&amp;"' AS TIPOLOGIA_TESTE,'"&amp;D279&amp;"' AS TABELA_LT,'N/A' AS TABELA_SIMUL,'"&amp;F279&amp;"' AS CAMPO, "&amp;"'${ref_date}' AS REF_DATE, CAST(MIN("&amp;F279&amp;") AS STRING) AS VALOR_MIN, CAST(MAX("&amp;F279&amp;") AS STRING) AS VALOR_MAX,'"&amp;MAX('ID1&amp;5'!K:K)+1&amp;"' AS ID_EXEC, CURRENT_TIMESTAMP() AS TIME_EXEC FROM "&amp;MID(I279,1,LEN(I279)-2)&amp;" AND CAST("&amp;F279&amp;"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TABELA_SIMUL,'LNS_CLLTRLZD_CLSSFCTN' AS CAMPO, '${ref_date}' AS REF_DATE, COUNT(*) AS NUM_REG, SUM(IF(TRIM(CAST(X.LNS_CLLTRLZD_CLSSFCTN AS STRING)) IN ('0000-00-00','0001-01-01','9999-12-31','MISS','00000','99999999999','99999999999.00','99999999999.000000'),1,0)) AS NUM_REG_DIF,'10' AS ID_EXEC, CURRENT_TIMESTAMP() AS TIME_EXEC FROM (SELECT instrmnt_id, LNS_CLLTRLZD_CLSSFCTN FROM BU_LOANTAPE_WORK.LT002_INSTRUMENT WHERE ref_date='${ref_date}' AND nome_perimetro='Individual Corporativo' AND segmento='ESTR' AND ambito='PILAR3')X</v>
      </c>
      <c r="M279" s="43" t="str">
        <f t="shared" si="4"/>
        <v>UNION ALL SELECT 'INSTRUMENT' AS TABELA, 'MISSINGS' AS TIPOLOGIA_TESTE,'BU_LOANTAPE_WORK.LT002_INSTRUMENT' AS TABELA_LT,'N/A' AS TABELA_SIMUL,'LNS_CLLTRLZD_CLSSFCTN' AS CAMPO, '${ref_date}' AS REF_DATE, COUNT(*) AS NUM_REG, SUM(IF(TRIM(CAST(X.LNS_CLLTRLZD_CLSSFCTN AS STRING)) IN ('0000-00-00','0001-01-01','9999-12-31','MISS','00000','99999999999','99999999999.00','99999999999.000000'),1,0)) AS NUM_REG_DIF,'10' AS ID_EXEC, CURRENT_TIMESTAMP() AS TIME_EXEC FROM (SELECT instrmnt_id, LNS_CLLTRLZD_CLSSFCTN FROM BU_LOANTAPE_WORK.LT002_INSTRUMENT WHERE ref_date='${ref_date}' AND nome_perimetro='Individual Corporativo' AND segmento='ESTR' AND ambito='PILAR3')X</v>
      </c>
      <c r="N279" s="45" t="s">
        <v>13</v>
      </c>
    </row>
    <row r="280" spans="2:14">
      <c r="B280" s="41" t="s">
        <v>27</v>
      </c>
      <c r="C280" s="41" t="s">
        <v>77</v>
      </c>
      <c r="D280" s="41" t="str">
        <f>+UPPER('0. Instruções'!$D$33&amp;"."&amp;VLOOKUP(B280,'0. Instruções'!$C$27:$D$31,2,FALSE))</f>
        <v>BU_LOANTAPE_WORK.LT002_INSTRUMENT</v>
      </c>
      <c r="E280" s="41" t="str">
        <f>+UPPER('0. Instruções'!$D$34&amp;"."&amp;VLOOKUP(B280,'0. Instruções'!$C$27:$E$31,3,FALSE))</f>
        <v>BU_LOANTAPE_WORK.LT002_INSTRUMENT_P3_NOV24</v>
      </c>
      <c r="F280" s="41" t="s">
        <v>146</v>
      </c>
      <c r="G280" s="41" t="s">
        <v>209</v>
      </c>
      <c r="H280" s="41"/>
      <c r="I280" s="41" t="str">
        <f>"(SELECT "&amp;VLOOKUP(B280,'0. Instruções'!$C$27:$G$31,4,FALSE)&amp;", "&amp;F280&amp;" FROM "&amp;D280&amp;" WHERE "&amp;'0. Instruções'!$D$40&amp;")X"</f>
        <v>(SELECT instrmnt_id, RSK_MTGTD_CCT FROM BU_LOANTAPE_WORK.LT002_INSTRUMENT WHERE ref_date='${ref_date}' AND nome_perimetro='Individual Corporativo' AND segmento='ESTR' AND ambito='PILAR3')X</v>
      </c>
      <c r="J280" s="41" t="str">
        <f>"(SELECT "&amp;VLOOKUP(B280,'0. Instruções'!$C$27:$G$31,4,FALSE)&amp;" AS "&amp;VLOOKUP(B280,'0. Instruções'!$C$27:$G$31,4,FALSE)&amp;"_SIMUL, "&amp;F280&amp;" AS "&amp;F280&amp;"_SIMUL FROM "&amp;E280&amp;")Y"</f>
        <v>(SELECT instrmnt_id AS instrmnt_id_SIMUL, RSK_MTGTD_CCT AS RSK_MTGTD_CCT_SIMUL FROM BU_LOANTAPE_WORK.LT002_INSTRUMENT_P3_NOV24)Y</v>
      </c>
      <c r="K280" s="42" t="str">
        <f>+UPPER("ON X."&amp;VLOOKUP(B280,'0. Instruções'!$C$27:$G$31,4,FALSE)&amp;"=Y."&amp;VLOOKUP(B280,'0. Instruções'!$C$27:$G$31,4,FALSE)&amp;"_SIMUL")</f>
        <v>ON X.INSTRMNT_ID=Y.INSTRMNT_ID_SIMUL</v>
      </c>
      <c r="L280" s="42" t="str">
        <f>+IF(C280="Coerência", +IF(LEFT(G280,5)="FLOAT","SELECT '"&amp;UPPER(B280)&amp;"' AS TABELA, '"&amp;UPPER(C280)&amp;"' AS TIPOLOGIA_TESTE,'"&amp;D280&amp;"' AS TABELA_LT,'"&amp;E280&amp;"' AS TABELA_SIMUL,'"&amp;F280&amp;"' AS CAMPO, "&amp;"'${ref_date}' AS REF_DATE, COUNT(*) AS NUM_REG, SUM(IF((ABS(COALESCE(X."&amp;F280&amp;",0)-COALESCE(Y."&amp;F280&amp;"_SIMUL,0))&gt;0.0000000001) OR (X."&amp;F280&amp;" IS NULL AND Y."&amp;F280&amp;"_SIMUL IS NOT NULL ) OR (X."&amp;F280&amp;" IS NOT NULL AND Y."&amp;F280&amp;"_SIMUL IS NULL),1,0)) AS NUM_REG_DIF,'"&amp;MAX('ID1&amp;5'!K:K)+1&amp;"' AS ID_EXEC, CURRENT_TIMESTAMP() AS TIME_EXEC FROM "&amp;I280&amp;" INNER JOIN "&amp;J280&amp;" "&amp;K280,"SELECT '"&amp;UPPER(B280)&amp;"' AS TABELA, '"&amp;UPPER(C280)&amp;"' AS TIPOLOGIA_TESTE,'"&amp;D280&amp;"' AS TABELA_LT,'"&amp;E280&amp;"' AS TABELA_SIMUL,'"&amp;F280&amp;"' AS CAMPO, "&amp;"'${ref_date}' AS REF_DATE, COUNT(*) AS NUM_REG, SUM(IF(COALESCE(CAST(X."&amp;F280&amp;" AS STRING),'')&lt;&gt;COALESCE(CAST(Y."&amp;F280&amp;"_SIMUL AS STRING),''),1,0)) AS NUM_REG_DIF,'"&amp;MAX('ID1&amp;5'!L:L)+1&amp;"' AS ID_EXEC, CURRENT_TIMESTAMP() AS TIME_EXEC FROM "&amp;I280&amp;" INNER JOIN "&amp;J280&amp;" "&amp;K280),
IF(C280="Validade",+IF(G280="Code List","SELECT '"&amp;UPPER(B280)&amp;"' AS TABELA, '"&amp;UPPER(C280)&amp;"' AS TIPOLOGIA_TESTE,'"&amp;D280&amp;"' AS TABELA_LT,'N/A' AS TABELA_SIMUL,'"&amp;F280&amp;"' AS CAMPO, "&amp;"'${ref_date}' AS REF_DATE, COUNT(*) AS NUM_REG, SUM(IF(TRIM(CAST(X."&amp;F280&amp;" AS STRING))='' OR TRIM(CAST(X."&amp;F280&amp;" AS STRING)) IS NULL OR CAST(X."&amp;F280&amp;" AS STRING) NOT "&amp;H280&amp;",1,0)) AS NUM_REG_DIF,'"&amp;MAX('ID1&amp;5'!K:K)+1&amp;"' AS ID_EXEC, CURRENT_TIMESTAMP() AS TIME_EXEC FROM "&amp;I280,"SELECT '"&amp;UPPER(B280)&amp;"' AS TABELA, '"&amp;UPPER(C280)&amp;"' AS TIPOLOGIA_TESTE,'"&amp;D280&amp;"' AS TABELA_LT,'N/A' AS TABELA_SIMUL,'"&amp;F280&amp;"' AS CAMPO, "&amp;"'${ref_date}' AS REF_DATE, COUNT(*) AS NUM_REG, SUM(IF(TRIM(CAST(X."&amp;F280&amp;" AS STRING))='' OR TRIM(CAST(X."&amp;F280&amp;" AS STRING)) IS NULL,1,0)) AS NUM_REG_DIF,'"&amp;MAX('ID1&amp;5'!K:K)+1&amp;"' AS ID_EXEC, CURRENT_TIMESTAMP() AS TIME_EXEC FROM "&amp;I280),
IF(C280="Caracteres Especiais",+"SELECT '"&amp;UPPER(B280)&amp;"' AS TABELA, '"&amp;UPPER(C280)&amp;"' AS TIPOLOGIA_TESTE,'"&amp;D280&amp;"' AS TABELA_LT,'N/A' AS TABELA_SIMUL,'"&amp;F280&amp;"' AS CAMPO, "&amp;"'${ref_date}' AS REF_DATE, COUNT(*) AS NUM_REG, SUM(IF(INSTR(CAST(X."&amp;F280&amp;" AS STRING),'#')&gt;0 OR INSTR(CAST(X."&amp;F280&amp;" AS STRING),'*')&gt;0 OR INSTR(CAST(X."&amp;F280&amp;" AS STRING),'`')&gt;0 OR INSTR(CAST(X."&amp;F280&amp;" AS STRING),'´')&gt;0 OR INSTR(CAST(X."&amp;F280&amp;" AS STRING),'{')&gt;0 OR INSTR(CAST(X."&amp;F280&amp;" AS STRING),'}')&gt;0 OR INSTR(CAST(X."&amp;F280&amp;" AS STRING),'[')&gt;0 OR INSTR(CAST(X."&amp;F280&amp;" AS STRING),'')&gt;0 OR INSTR(CAST(X."&amp;F280&amp;" AS STRING),']')&gt;0 OR INSTR(CAST(X."&amp;F280&amp;" AS STRING),'?')&gt;0 OR INSTR(CAST(X."&amp;F280&amp;" AS STRING),'!')&gt;0 OR INSTR(CAST(X."&amp;F280&amp;" AS STRING),'$')&gt;0 OR INSTR(CAST(X."&amp;F280&amp;" AS STRING),'%')&gt;0 OR INSTR(CAST(X."&amp;F280&amp;" AS STRING),'&amp;')&gt;0 OR INSTR(CAST(X."&amp;F280&amp;" AS STRING),'+')&gt;0,1,0)) AS NUM_REG_DIF,'"&amp;MAX('ID1&amp;5'!K:K)+1&amp;"' AS ID_EXEC, CURRENT_TIMESTAMP() AS TIME_EXEC FROM "&amp;I280,
IF(C280="Missings",+"SELECT '"&amp;UPPER(B280)&amp;"' AS TABELA, '"&amp;UPPER(C280)&amp;"' AS TIPOLOGIA_TESTE,'"&amp;D280&amp;"' AS TABELA_LT,'N/A' AS TABELA_SIMUL,'"&amp;F280&amp;"' AS CAMPO, "&amp;"'${ref_date}' AS REF_DATE, COUNT(*) AS NUM_REG, SUM(IF(TRIM(CAST(X."&amp;F280&amp;" AS STRING)) IN ('0000-00-00','0001-01-01','9999-12-31','MISS','00000','99999999999','99999999999.00','99999999999.000000'),1,0)) AS NUM_REG_DIF,'"&amp;MAX('ID1&amp;5'!K:K)+1&amp;"' AS ID_EXEC, CURRENT_TIMESTAMP() AS TIME_EXEC FROM "&amp;I280,
IF(C280="Not applicable",+"SELECT '"&amp;UPPER(B280)&amp;"' AS TABELA, '"&amp;UPPER(C280)&amp;"' AS TIPOLOGIA_TESTE,'"&amp;D280&amp;"' AS TABELA_LT,'N/A' AS TABELA_SIMUL,'"&amp;F280&amp;"' AS CAMPO, "&amp;"'${ref_date}' AS REF_DATE, COUNT(*) AS NUM_REG, SUM(IF(TRIM(CAST(X."&amp;F280&amp;" AS STRING)) IN ('N/A','11111111111','11111111111.00','11111111111.000000','1111-11-11'),1,0)) AS NUM_REG_DIF,'"&amp;MAX('ID1&amp;5'!K:K)+1&amp;"' AS ID_EXEC, CURRENT_TIMESTAMP() AS TIME_EXEC FROM "&amp;I280,
IF(C280="Valores extremos",+"SELECT '"&amp;UPPER(B280)&amp;"' AS TABELA, '"&amp;UPPER(C280)&amp;"' AS TIPOLOGIA_TESTE,'"&amp;D280&amp;"' AS TABELA_LT,'N/A' AS TABELA_SIMUL,'"&amp;F280&amp;"' AS CAMPO, "&amp;"'${ref_date}' AS REF_DATE, CAST(MIN("&amp;F280&amp;") AS STRING) AS VALOR_MIN, CAST(MAX("&amp;F280&amp;") AS STRING) AS VALOR_MAX,'"&amp;MAX('ID1&amp;5'!K:K)+1&amp;"' AS ID_EXEC, CURRENT_TIMESTAMP() AS TIME_EXEC FROM "&amp;MID(I280,1,LEN(I280)-2)&amp;" AND CAST("&amp;F280&amp;"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TABELA_SIMUL,'RSK_MTGTD_CCT' AS CAMPO, '${ref_date}' AS REF_DATE, COUNT(*) AS NUM_REG, SUM(IF(TRIM(CAST(X.RSK_MTGTD_CCT AS STRING)) IN ('0000-00-00','0001-01-01','9999-12-31','MISS','00000','99999999999','99999999999.00','99999999999.000000'),1,0)) AS NUM_REG_DIF,'10' AS ID_EXEC, CURRENT_TIMESTAMP() AS TIME_EXEC FROM (SELECT instrmnt_id, RSK_MTGTD_CCT FROM BU_LOANTAPE_WORK.LT002_INSTRUMENT WHERE ref_date='${ref_date}' AND nome_perimetro='Individual Corporativo' AND segmento='ESTR' AND ambito='PILAR3')X</v>
      </c>
      <c r="M280" s="43" t="str">
        <f t="shared" si="4"/>
        <v>UNION ALL SELECT 'INSTRUMENT' AS TABELA, 'MISSINGS' AS TIPOLOGIA_TESTE,'BU_LOANTAPE_WORK.LT002_INSTRUMENT' AS TABELA_LT,'N/A' AS TABELA_SIMUL,'RSK_MTGTD_CCT' AS CAMPO, '${ref_date}' AS REF_DATE, COUNT(*) AS NUM_REG, SUM(IF(TRIM(CAST(X.RSK_MTGTD_CCT AS STRING)) IN ('0000-00-00','0001-01-01','9999-12-31','MISS','00000','99999999999','99999999999.00','99999999999.000000'),1,0)) AS NUM_REG_DIF,'10' AS ID_EXEC, CURRENT_TIMESTAMP() AS TIME_EXEC FROM (SELECT instrmnt_id, RSK_MTGTD_CCT FROM BU_LOANTAPE_WORK.LT002_INSTRUMENT WHERE ref_date='${ref_date}' AND nome_perimetro='Individual Corporativo' AND segmento='ESTR' AND ambito='PILAR3')X</v>
      </c>
      <c r="N280" s="45" t="s">
        <v>13</v>
      </c>
    </row>
    <row r="281" spans="2:14">
      <c r="B281" s="41" t="s">
        <v>27</v>
      </c>
      <c r="C281" s="41" t="s">
        <v>77</v>
      </c>
      <c r="D281" s="41" t="str">
        <f>+UPPER('0. Instruções'!$D$33&amp;"."&amp;VLOOKUP(B281,'0. Instruções'!$C$27:$D$31,2,FALSE))</f>
        <v>BU_LOANTAPE_WORK.LT002_INSTRUMENT</v>
      </c>
      <c r="E281" s="41" t="str">
        <f>+UPPER('0. Instruções'!$D$34&amp;"."&amp;VLOOKUP(B281,'0. Instruções'!$C$27:$E$31,3,FALSE))</f>
        <v>BU_LOANTAPE_WORK.LT002_INSTRUMENT_P3_NOV24</v>
      </c>
      <c r="F281" s="41" t="s">
        <v>148</v>
      </c>
      <c r="G281" s="41" t="s">
        <v>209</v>
      </c>
      <c r="H281" s="41"/>
      <c r="I281" s="41" t="str">
        <f>"(SELECT "&amp;VLOOKUP(B281,'0. Instruções'!$C$27:$G$31,4,FALSE)&amp;", "&amp;F281&amp;" FROM "&amp;D281&amp;" WHERE "&amp;'0. Instruções'!$D$40&amp;")X"</f>
        <v>(SELECT instrmnt_id, RSK_MTGTD_CCP FROM BU_LOANTAPE_WORK.LT002_INSTRUMENT WHERE ref_date='${ref_date}' AND nome_perimetro='Individual Corporativo' AND segmento='ESTR' AND ambito='PILAR3')X</v>
      </c>
      <c r="J281" s="41" t="str">
        <f>"(SELECT "&amp;VLOOKUP(B281,'0. Instruções'!$C$27:$G$31,4,FALSE)&amp;" AS "&amp;VLOOKUP(B281,'0. Instruções'!$C$27:$G$31,4,FALSE)&amp;"_SIMUL, "&amp;F281&amp;" AS "&amp;F281&amp;"_SIMUL FROM "&amp;E281&amp;")Y"</f>
        <v>(SELECT instrmnt_id AS instrmnt_id_SIMUL, RSK_MTGTD_CCP AS RSK_MTGTD_CCP_SIMUL FROM BU_LOANTAPE_WORK.LT002_INSTRUMENT_P3_NOV24)Y</v>
      </c>
      <c r="K281" s="42" t="str">
        <f>+UPPER("ON X."&amp;VLOOKUP(B281,'0. Instruções'!$C$27:$G$31,4,FALSE)&amp;"=Y."&amp;VLOOKUP(B281,'0. Instruções'!$C$27:$G$31,4,FALSE)&amp;"_SIMUL")</f>
        <v>ON X.INSTRMNT_ID=Y.INSTRMNT_ID_SIMUL</v>
      </c>
      <c r="L281" s="42" t="str">
        <f>+IF(C281="Coerência", +IF(LEFT(G281,5)="FLOAT","SELECT '"&amp;UPPER(B281)&amp;"' AS TABELA, '"&amp;UPPER(C281)&amp;"' AS TIPOLOGIA_TESTE,'"&amp;D281&amp;"' AS TABELA_LT,'"&amp;E281&amp;"' AS TABELA_SIMUL,'"&amp;F281&amp;"' AS CAMPO, "&amp;"'${ref_date}' AS REF_DATE, COUNT(*) AS NUM_REG, SUM(IF((ABS(COALESCE(X."&amp;F281&amp;",0)-COALESCE(Y."&amp;F281&amp;"_SIMUL,0))&gt;0.0000000001) OR (X."&amp;F281&amp;" IS NULL AND Y."&amp;F281&amp;"_SIMUL IS NOT NULL ) OR (X."&amp;F281&amp;" IS NOT NULL AND Y."&amp;F281&amp;"_SIMUL IS NULL),1,0)) AS NUM_REG_DIF,'"&amp;MAX('ID1&amp;5'!K:K)+1&amp;"' AS ID_EXEC, CURRENT_TIMESTAMP() AS TIME_EXEC FROM "&amp;I281&amp;" INNER JOIN "&amp;J281&amp;" "&amp;K281,"SELECT '"&amp;UPPER(B281)&amp;"' AS TABELA, '"&amp;UPPER(C281)&amp;"' AS TIPOLOGIA_TESTE,'"&amp;D281&amp;"' AS TABELA_LT,'"&amp;E281&amp;"' AS TABELA_SIMUL,'"&amp;F281&amp;"' AS CAMPO, "&amp;"'${ref_date}' AS REF_DATE, COUNT(*) AS NUM_REG, SUM(IF(COALESCE(CAST(X."&amp;F281&amp;" AS STRING),'')&lt;&gt;COALESCE(CAST(Y."&amp;F281&amp;"_SIMUL AS STRING),''),1,0)) AS NUM_REG_DIF,'"&amp;MAX('ID1&amp;5'!L:L)+1&amp;"' AS ID_EXEC, CURRENT_TIMESTAMP() AS TIME_EXEC FROM "&amp;I281&amp;" INNER JOIN "&amp;J281&amp;" "&amp;K281),
IF(C281="Validade",+IF(G281="Code List","SELECT '"&amp;UPPER(B281)&amp;"' AS TABELA, '"&amp;UPPER(C281)&amp;"' AS TIPOLOGIA_TESTE,'"&amp;D281&amp;"' AS TABELA_LT,'N/A' AS TABELA_SIMUL,'"&amp;F281&amp;"' AS CAMPO, "&amp;"'${ref_date}' AS REF_DATE, COUNT(*) AS NUM_REG, SUM(IF(TRIM(CAST(X."&amp;F281&amp;" AS STRING))='' OR TRIM(CAST(X."&amp;F281&amp;" AS STRING)) IS NULL OR CAST(X."&amp;F281&amp;" AS STRING) NOT "&amp;H281&amp;",1,0)) AS NUM_REG_DIF,'"&amp;MAX('ID1&amp;5'!K:K)+1&amp;"' AS ID_EXEC, CURRENT_TIMESTAMP() AS TIME_EXEC FROM "&amp;I281,"SELECT '"&amp;UPPER(B281)&amp;"' AS TABELA, '"&amp;UPPER(C281)&amp;"' AS TIPOLOGIA_TESTE,'"&amp;D281&amp;"' AS TABELA_LT,'N/A' AS TABELA_SIMUL,'"&amp;F281&amp;"' AS CAMPO, "&amp;"'${ref_date}' AS REF_DATE, COUNT(*) AS NUM_REG, SUM(IF(TRIM(CAST(X."&amp;F281&amp;" AS STRING))='' OR TRIM(CAST(X."&amp;F281&amp;" AS STRING)) IS NULL,1,0)) AS NUM_REG_DIF,'"&amp;MAX('ID1&amp;5'!K:K)+1&amp;"' AS ID_EXEC, CURRENT_TIMESTAMP() AS TIME_EXEC FROM "&amp;I281),
IF(C281="Caracteres Especiais",+"SELECT '"&amp;UPPER(B281)&amp;"' AS TABELA, '"&amp;UPPER(C281)&amp;"' AS TIPOLOGIA_TESTE,'"&amp;D281&amp;"' AS TABELA_LT,'N/A' AS TABELA_SIMUL,'"&amp;F281&amp;"' AS CAMPO, "&amp;"'${ref_date}' AS REF_DATE, COUNT(*) AS NUM_REG, SUM(IF(INSTR(CAST(X."&amp;F281&amp;" AS STRING),'#')&gt;0 OR INSTR(CAST(X."&amp;F281&amp;" AS STRING),'*')&gt;0 OR INSTR(CAST(X."&amp;F281&amp;" AS STRING),'`')&gt;0 OR INSTR(CAST(X."&amp;F281&amp;" AS STRING),'´')&gt;0 OR INSTR(CAST(X."&amp;F281&amp;" AS STRING),'{')&gt;0 OR INSTR(CAST(X."&amp;F281&amp;" AS STRING),'}')&gt;0 OR INSTR(CAST(X."&amp;F281&amp;" AS STRING),'[')&gt;0 OR INSTR(CAST(X."&amp;F281&amp;" AS STRING),'')&gt;0 OR INSTR(CAST(X."&amp;F281&amp;" AS STRING),']')&gt;0 OR INSTR(CAST(X."&amp;F281&amp;" AS STRING),'?')&gt;0 OR INSTR(CAST(X."&amp;F281&amp;" AS STRING),'!')&gt;0 OR INSTR(CAST(X."&amp;F281&amp;" AS STRING),'$')&gt;0 OR INSTR(CAST(X."&amp;F281&amp;" AS STRING),'%')&gt;0 OR INSTR(CAST(X."&amp;F281&amp;" AS STRING),'&amp;')&gt;0 OR INSTR(CAST(X."&amp;F281&amp;" AS STRING),'+')&gt;0,1,0)) AS NUM_REG_DIF,'"&amp;MAX('ID1&amp;5'!K:K)+1&amp;"' AS ID_EXEC, CURRENT_TIMESTAMP() AS TIME_EXEC FROM "&amp;I281,
IF(C281="Missings",+"SELECT '"&amp;UPPER(B281)&amp;"' AS TABELA, '"&amp;UPPER(C281)&amp;"' AS TIPOLOGIA_TESTE,'"&amp;D281&amp;"' AS TABELA_LT,'N/A' AS TABELA_SIMUL,'"&amp;F281&amp;"' AS CAMPO, "&amp;"'${ref_date}' AS REF_DATE, COUNT(*) AS NUM_REG, SUM(IF(TRIM(CAST(X."&amp;F281&amp;" AS STRING)) IN ('0000-00-00','0001-01-01','9999-12-31','MISS','00000','99999999999','99999999999.00','99999999999.000000'),1,0)) AS NUM_REG_DIF,'"&amp;MAX('ID1&amp;5'!K:K)+1&amp;"' AS ID_EXEC, CURRENT_TIMESTAMP() AS TIME_EXEC FROM "&amp;I281,
IF(C281="Not applicable",+"SELECT '"&amp;UPPER(B281)&amp;"' AS TABELA, '"&amp;UPPER(C281)&amp;"' AS TIPOLOGIA_TESTE,'"&amp;D281&amp;"' AS TABELA_LT,'N/A' AS TABELA_SIMUL,'"&amp;F281&amp;"' AS CAMPO, "&amp;"'${ref_date}' AS REF_DATE, COUNT(*) AS NUM_REG, SUM(IF(TRIM(CAST(X."&amp;F281&amp;" AS STRING)) IN ('N/A','11111111111','11111111111.00','11111111111.000000','1111-11-11'),1,0)) AS NUM_REG_DIF,'"&amp;MAX('ID1&amp;5'!K:K)+1&amp;"' AS ID_EXEC, CURRENT_TIMESTAMP() AS TIME_EXEC FROM "&amp;I281,
IF(C281="Valores extremos",+"SELECT '"&amp;UPPER(B281)&amp;"' AS TABELA, '"&amp;UPPER(C281)&amp;"' AS TIPOLOGIA_TESTE,'"&amp;D281&amp;"' AS TABELA_LT,'N/A' AS TABELA_SIMUL,'"&amp;F281&amp;"' AS CAMPO, "&amp;"'${ref_date}' AS REF_DATE, CAST(MIN("&amp;F281&amp;") AS STRING) AS VALOR_MIN, CAST(MAX("&amp;F281&amp;") AS STRING) AS VALOR_MAX,'"&amp;MAX('ID1&amp;5'!K:K)+1&amp;"' AS ID_EXEC, CURRENT_TIMESTAMP() AS TIME_EXEC FROM "&amp;MID(I281,1,LEN(I281)-2)&amp;" AND CAST("&amp;F281&amp;"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TABELA_SIMUL,'RSK_MTGTD_CCP' AS CAMPO, '${ref_date}' AS REF_DATE, COUNT(*) AS NUM_REG, SUM(IF(TRIM(CAST(X.RSK_MTGTD_CCP AS STRING)) IN ('0000-00-00','0001-01-01','9999-12-31','MISS','00000','99999999999','99999999999.00','99999999999.000000'),1,0)) AS NUM_REG_DIF,'10' AS ID_EXEC, CURRENT_TIMESTAMP() AS TIME_EXEC FROM (SELECT instrmnt_id, RSK_MTGTD_CCP FROM BU_LOANTAPE_WORK.LT002_INSTRUMENT WHERE ref_date='${ref_date}' AND nome_perimetro='Individual Corporativo' AND segmento='ESTR' AND ambito='PILAR3')X</v>
      </c>
      <c r="M281" s="43" t="str">
        <f t="shared" si="4"/>
        <v>UNION ALL SELECT 'INSTRUMENT' AS TABELA, 'MISSINGS' AS TIPOLOGIA_TESTE,'BU_LOANTAPE_WORK.LT002_INSTRUMENT' AS TABELA_LT,'N/A' AS TABELA_SIMUL,'RSK_MTGTD_CCP' AS CAMPO, '${ref_date}' AS REF_DATE, COUNT(*) AS NUM_REG, SUM(IF(TRIM(CAST(X.RSK_MTGTD_CCP AS STRING)) IN ('0000-00-00','0001-01-01','9999-12-31','MISS','00000','99999999999','99999999999.00','99999999999.000000'),1,0)) AS NUM_REG_DIF,'10' AS ID_EXEC, CURRENT_TIMESTAMP() AS TIME_EXEC FROM (SELECT instrmnt_id, RSK_MTGTD_CCP FROM BU_LOANTAPE_WORK.LT002_INSTRUMENT WHERE ref_date='${ref_date}' AND nome_perimetro='Individual Corporativo' AND segmento='ESTR' AND ambito='PILAR3')X</v>
      </c>
      <c r="N281" s="45" t="s">
        <v>13</v>
      </c>
    </row>
    <row r="282" spans="2:14">
      <c r="B282" s="41" t="s">
        <v>27</v>
      </c>
      <c r="C282" s="41" t="s">
        <v>77</v>
      </c>
      <c r="D282" s="41" t="str">
        <f>+UPPER('0. Instruções'!$D$33&amp;"."&amp;VLOOKUP(B282,'0. Instruções'!$C$27:$D$31,2,FALSE))</f>
        <v>BU_LOANTAPE_WORK.LT002_INSTRUMENT</v>
      </c>
      <c r="E282" s="41" t="str">
        <f>+UPPER('0. Instruções'!$D$34&amp;"."&amp;VLOOKUP(B282,'0. Instruções'!$C$27:$E$31,3,FALSE))</f>
        <v>BU_LOANTAPE_WORK.LT002_INSTRUMENT_P3_NOV24</v>
      </c>
      <c r="F282" s="41" t="s">
        <v>152</v>
      </c>
      <c r="G282" s="41" t="s">
        <v>209</v>
      </c>
      <c r="H282" s="41"/>
      <c r="I282" s="41" t="str">
        <f>"(SELECT "&amp;VLOOKUP(B282,'0. Instruções'!$C$27:$G$31,4,FALSE)&amp;", "&amp;F282&amp;" FROM "&amp;D282&amp;" WHERE "&amp;'0. Instruções'!$D$40&amp;")X"</f>
        <v>(SELECT instrmnt_id, MTHD_USD_INSTRMNT_SCP_1 FROM BU_LOANTAPE_WORK.LT002_INSTRUMENT WHERE ref_date='${ref_date}' AND nome_perimetro='Individual Corporativo' AND segmento='ESTR' AND ambito='PILAR3')X</v>
      </c>
      <c r="J282" s="41" t="str">
        <f>"(SELECT "&amp;VLOOKUP(B282,'0. Instruções'!$C$27:$G$31,4,FALSE)&amp;" AS "&amp;VLOOKUP(B282,'0. Instruções'!$C$27:$G$31,4,FALSE)&amp;"_SIMUL, "&amp;F282&amp;" AS "&amp;F282&amp;"_SIMUL FROM "&amp;E282&amp;")Y"</f>
        <v>(SELECT instrmnt_id AS instrmnt_id_SIMUL, MTHD_USD_INSTRMNT_SCP_1 AS MTHD_USD_INSTRMNT_SCP_1_SIMUL FROM BU_LOANTAPE_WORK.LT002_INSTRUMENT_P3_NOV24)Y</v>
      </c>
      <c r="K282" s="42" t="str">
        <f>+UPPER("ON X."&amp;VLOOKUP(B282,'0. Instruções'!$C$27:$G$31,4,FALSE)&amp;"=Y."&amp;VLOOKUP(B282,'0. Instruções'!$C$27:$G$31,4,FALSE)&amp;"_SIMUL")</f>
        <v>ON X.INSTRMNT_ID=Y.INSTRMNT_ID_SIMUL</v>
      </c>
      <c r="L282" s="42" t="str">
        <f>+IF(C282="Coerência", +IF(LEFT(G282,5)="FLOAT","SELECT '"&amp;UPPER(B282)&amp;"' AS TABELA, '"&amp;UPPER(C282)&amp;"' AS TIPOLOGIA_TESTE,'"&amp;D282&amp;"' AS TABELA_LT,'"&amp;E282&amp;"' AS TABELA_SIMUL,'"&amp;F282&amp;"' AS CAMPO, "&amp;"'${ref_date}' AS REF_DATE, COUNT(*) AS NUM_REG, SUM(IF((ABS(COALESCE(X."&amp;F282&amp;",0)-COALESCE(Y."&amp;F282&amp;"_SIMUL,0))&gt;0.0000000001) OR (X."&amp;F282&amp;" IS NULL AND Y."&amp;F282&amp;"_SIMUL IS NOT NULL ) OR (X."&amp;F282&amp;" IS NOT NULL AND Y."&amp;F282&amp;"_SIMUL IS NULL),1,0)) AS NUM_REG_DIF,'"&amp;MAX('ID1&amp;5'!K:K)+1&amp;"' AS ID_EXEC, CURRENT_TIMESTAMP() AS TIME_EXEC FROM "&amp;I282&amp;" INNER JOIN "&amp;J282&amp;" "&amp;K282,"SELECT '"&amp;UPPER(B282)&amp;"' AS TABELA, '"&amp;UPPER(C282)&amp;"' AS TIPOLOGIA_TESTE,'"&amp;D282&amp;"' AS TABELA_LT,'"&amp;E282&amp;"' AS TABELA_SIMUL,'"&amp;F282&amp;"' AS CAMPO, "&amp;"'${ref_date}' AS REF_DATE, COUNT(*) AS NUM_REG, SUM(IF(COALESCE(CAST(X."&amp;F282&amp;" AS STRING),'')&lt;&gt;COALESCE(CAST(Y."&amp;F282&amp;"_SIMUL AS STRING),''),1,0)) AS NUM_REG_DIF,'"&amp;MAX('ID1&amp;5'!L:L)+1&amp;"' AS ID_EXEC, CURRENT_TIMESTAMP() AS TIME_EXEC FROM "&amp;I282&amp;" INNER JOIN "&amp;J282&amp;" "&amp;K282),
IF(C282="Validade",+IF(G282="Code List","SELECT '"&amp;UPPER(B282)&amp;"' AS TABELA, '"&amp;UPPER(C282)&amp;"' AS TIPOLOGIA_TESTE,'"&amp;D282&amp;"' AS TABELA_LT,'N/A' AS TABELA_SIMUL,'"&amp;F282&amp;"' AS CAMPO, "&amp;"'${ref_date}' AS REF_DATE, COUNT(*) AS NUM_REG, SUM(IF(TRIM(CAST(X."&amp;F282&amp;" AS STRING))='' OR TRIM(CAST(X."&amp;F282&amp;" AS STRING)) IS NULL OR CAST(X."&amp;F282&amp;" AS STRING) NOT "&amp;H282&amp;",1,0)) AS NUM_REG_DIF,'"&amp;MAX('ID1&amp;5'!K:K)+1&amp;"' AS ID_EXEC, CURRENT_TIMESTAMP() AS TIME_EXEC FROM "&amp;I282,"SELECT '"&amp;UPPER(B282)&amp;"' AS TABELA, '"&amp;UPPER(C282)&amp;"' AS TIPOLOGIA_TESTE,'"&amp;D282&amp;"' AS TABELA_LT,'N/A' AS TABELA_SIMUL,'"&amp;F282&amp;"' AS CAMPO, "&amp;"'${ref_date}' AS REF_DATE, COUNT(*) AS NUM_REG, SUM(IF(TRIM(CAST(X."&amp;F282&amp;" AS STRING))='' OR TRIM(CAST(X."&amp;F282&amp;" AS STRING)) IS NULL,1,0)) AS NUM_REG_DIF,'"&amp;MAX('ID1&amp;5'!K:K)+1&amp;"' AS ID_EXEC, CURRENT_TIMESTAMP() AS TIME_EXEC FROM "&amp;I282),
IF(C282="Caracteres Especiais",+"SELECT '"&amp;UPPER(B282)&amp;"' AS TABELA, '"&amp;UPPER(C282)&amp;"' AS TIPOLOGIA_TESTE,'"&amp;D282&amp;"' AS TABELA_LT,'N/A' AS TABELA_SIMUL,'"&amp;F282&amp;"' AS CAMPO, "&amp;"'${ref_date}' AS REF_DATE, COUNT(*) AS NUM_REG, SUM(IF(INSTR(CAST(X."&amp;F282&amp;" AS STRING),'#')&gt;0 OR INSTR(CAST(X."&amp;F282&amp;" AS STRING),'*')&gt;0 OR INSTR(CAST(X."&amp;F282&amp;" AS STRING),'`')&gt;0 OR INSTR(CAST(X."&amp;F282&amp;" AS STRING),'´')&gt;0 OR INSTR(CAST(X."&amp;F282&amp;" AS STRING),'{')&gt;0 OR INSTR(CAST(X."&amp;F282&amp;" AS STRING),'}')&gt;0 OR INSTR(CAST(X."&amp;F282&amp;" AS STRING),'[')&gt;0 OR INSTR(CAST(X."&amp;F282&amp;" AS STRING),'')&gt;0 OR INSTR(CAST(X."&amp;F282&amp;" AS STRING),']')&gt;0 OR INSTR(CAST(X."&amp;F282&amp;" AS STRING),'?')&gt;0 OR INSTR(CAST(X."&amp;F282&amp;" AS STRING),'!')&gt;0 OR INSTR(CAST(X."&amp;F282&amp;" AS STRING),'$')&gt;0 OR INSTR(CAST(X."&amp;F282&amp;" AS STRING),'%')&gt;0 OR INSTR(CAST(X."&amp;F282&amp;" AS STRING),'&amp;')&gt;0 OR INSTR(CAST(X."&amp;F282&amp;" AS STRING),'+')&gt;0,1,0)) AS NUM_REG_DIF,'"&amp;MAX('ID1&amp;5'!K:K)+1&amp;"' AS ID_EXEC, CURRENT_TIMESTAMP() AS TIME_EXEC FROM "&amp;I282,
IF(C282="Missings",+"SELECT '"&amp;UPPER(B282)&amp;"' AS TABELA, '"&amp;UPPER(C282)&amp;"' AS TIPOLOGIA_TESTE,'"&amp;D282&amp;"' AS TABELA_LT,'N/A' AS TABELA_SIMUL,'"&amp;F282&amp;"' AS CAMPO, "&amp;"'${ref_date}' AS REF_DATE, COUNT(*) AS NUM_REG, SUM(IF(TRIM(CAST(X."&amp;F282&amp;" AS STRING)) IN ('0000-00-00','0001-01-01','9999-12-31','MISS','00000','99999999999','99999999999.00','99999999999.000000'),1,0)) AS NUM_REG_DIF,'"&amp;MAX('ID1&amp;5'!K:K)+1&amp;"' AS ID_EXEC, CURRENT_TIMESTAMP() AS TIME_EXEC FROM "&amp;I282,
IF(C282="Not applicable",+"SELECT '"&amp;UPPER(B282)&amp;"' AS TABELA, '"&amp;UPPER(C282)&amp;"' AS TIPOLOGIA_TESTE,'"&amp;D282&amp;"' AS TABELA_LT,'N/A' AS TABELA_SIMUL,'"&amp;F282&amp;"' AS CAMPO, "&amp;"'${ref_date}' AS REF_DATE, COUNT(*) AS NUM_REG, SUM(IF(TRIM(CAST(X."&amp;F282&amp;" AS STRING)) IN ('N/A','11111111111','11111111111.00','11111111111.000000','1111-11-11'),1,0)) AS NUM_REG_DIF,'"&amp;MAX('ID1&amp;5'!K:K)+1&amp;"' AS ID_EXEC, CURRENT_TIMESTAMP() AS TIME_EXEC FROM "&amp;I282,
IF(C282="Valores extremos",+"SELECT '"&amp;UPPER(B282)&amp;"' AS TABELA, '"&amp;UPPER(C282)&amp;"' AS TIPOLOGIA_TESTE,'"&amp;D282&amp;"' AS TABELA_LT,'N/A' AS TABELA_SIMUL,'"&amp;F282&amp;"' AS CAMPO, "&amp;"'${ref_date}' AS REF_DATE, CAST(MIN("&amp;F282&amp;") AS STRING) AS VALOR_MIN, CAST(MAX("&amp;F282&amp;") AS STRING) AS VALOR_MAX,'"&amp;MAX('ID1&amp;5'!K:K)+1&amp;"' AS ID_EXEC, CURRENT_TIMESTAMP() AS TIME_EXEC FROM "&amp;MID(I282,1,LEN(I282)-2)&amp;" AND CAST("&amp;F282&amp;"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TABELA_SIMUL,'MTHD_USD_INSTRMNT_SCP_1' AS CAMPO, '${ref_date}' AS REF_DATE, COUNT(*) AS NUM_REG, SUM(IF(TRIM(CAST(X.MTHD_USD_INSTRMNT_SCP_1 AS STRING)) IN ('0000-00-00','0001-01-01','9999-12-31','MISS','00000','99999999999','99999999999.00','99999999999.000000'),1,0)) AS NUM_REG_DIF,'10' AS ID_EXEC, CURRENT_TIMESTAMP() AS TIME_EXEC FROM (SELECT instrmnt_id, MTHD_USD_INSTRMNT_SCP_1 FROM BU_LOANTAPE_WORK.LT002_INSTRUMENT WHERE ref_date='${ref_date}' AND nome_perimetro='Individual Corporativo' AND segmento='ESTR' AND ambito='PILAR3')X</v>
      </c>
      <c r="M282" s="43" t="str">
        <f t="shared" si="4"/>
        <v>UNION ALL SELECT 'INSTRUMENT' AS TABELA, 'MISSINGS' AS TIPOLOGIA_TESTE,'BU_LOANTAPE_WORK.LT002_INSTRUMENT' AS TABELA_LT,'N/A' AS TABELA_SIMUL,'MTHD_USD_INSTRMNT_SCP_1' AS CAMPO, '${ref_date}' AS REF_DATE, COUNT(*) AS NUM_REG, SUM(IF(TRIM(CAST(X.MTHD_USD_INSTRMNT_SCP_1 AS STRING)) IN ('0000-00-00','0001-01-01','9999-12-31','MISS','00000','99999999999','99999999999.00','99999999999.000000'),1,0)) AS NUM_REG_DIF,'10' AS ID_EXEC, CURRENT_TIMESTAMP() AS TIME_EXEC FROM (SELECT instrmnt_id, MTHD_USD_INSTRMNT_SCP_1 FROM BU_LOANTAPE_WORK.LT002_INSTRUMENT WHERE ref_date='${ref_date}' AND nome_perimetro='Individual Corporativo' AND segmento='ESTR' AND ambito='PILAR3')X</v>
      </c>
      <c r="N282" s="45" t="s">
        <v>13</v>
      </c>
    </row>
    <row r="283" spans="2:14">
      <c r="B283" s="41" t="s">
        <v>27</v>
      </c>
      <c r="C283" s="41" t="s">
        <v>77</v>
      </c>
      <c r="D283" s="41" t="str">
        <f>+UPPER('0. Instruções'!$D$33&amp;"."&amp;VLOOKUP(B283,'0. Instruções'!$C$27:$D$31,2,FALSE))</f>
        <v>BU_LOANTAPE_WORK.LT002_INSTRUMENT</v>
      </c>
      <c r="E283" s="41" t="str">
        <f>+UPPER('0. Instruções'!$D$34&amp;"."&amp;VLOOKUP(B283,'0. Instruções'!$C$27:$E$31,3,FALSE))</f>
        <v>BU_LOANTAPE_WORK.LT002_INSTRUMENT_P3_NOV24</v>
      </c>
      <c r="F283" s="41" t="s">
        <v>153</v>
      </c>
      <c r="G283" s="41" t="s">
        <v>209</v>
      </c>
      <c r="H283" s="41"/>
      <c r="I283" s="41" t="str">
        <f>"(SELECT "&amp;VLOOKUP(B283,'0. Instruções'!$C$27:$G$31,4,FALSE)&amp;", "&amp;F283&amp;" FROM "&amp;D283&amp;" WHERE "&amp;'0. Instruções'!$D$40&amp;")X"</f>
        <v>(SELECT instrmnt_id, MTHD_USD_INSTRMNT_SCP_2 FROM BU_LOANTAPE_WORK.LT002_INSTRUMENT WHERE ref_date='${ref_date}' AND nome_perimetro='Individual Corporativo' AND segmento='ESTR' AND ambito='PILAR3')X</v>
      </c>
      <c r="J283" s="41" t="str">
        <f>"(SELECT "&amp;VLOOKUP(B283,'0. Instruções'!$C$27:$G$31,4,FALSE)&amp;" AS "&amp;VLOOKUP(B283,'0. Instruções'!$C$27:$G$31,4,FALSE)&amp;"_SIMUL, "&amp;F283&amp;" AS "&amp;F283&amp;"_SIMUL FROM "&amp;E283&amp;")Y"</f>
        <v>(SELECT instrmnt_id AS instrmnt_id_SIMUL, MTHD_USD_INSTRMNT_SCP_2 AS MTHD_USD_INSTRMNT_SCP_2_SIMUL FROM BU_LOANTAPE_WORK.LT002_INSTRUMENT_P3_NOV24)Y</v>
      </c>
      <c r="K283" s="42" t="str">
        <f>+UPPER("ON X."&amp;VLOOKUP(B283,'0. Instruções'!$C$27:$G$31,4,FALSE)&amp;"=Y."&amp;VLOOKUP(B283,'0. Instruções'!$C$27:$G$31,4,FALSE)&amp;"_SIMUL")</f>
        <v>ON X.INSTRMNT_ID=Y.INSTRMNT_ID_SIMUL</v>
      </c>
      <c r="L283" s="42" t="str">
        <f>+IF(C283="Coerência", +IF(LEFT(G283,5)="FLOAT","SELECT '"&amp;UPPER(B283)&amp;"' AS TABELA, '"&amp;UPPER(C283)&amp;"' AS TIPOLOGIA_TESTE,'"&amp;D283&amp;"' AS TABELA_LT,'"&amp;E283&amp;"' AS TABELA_SIMUL,'"&amp;F283&amp;"' AS CAMPO, "&amp;"'${ref_date}' AS REF_DATE, COUNT(*) AS NUM_REG, SUM(IF((ABS(COALESCE(X."&amp;F283&amp;",0)-COALESCE(Y."&amp;F283&amp;"_SIMUL,0))&gt;0.0000000001) OR (X."&amp;F283&amp;" IS NULL AND Y."&amp;F283&amp;"_SIMUL IS NOT NULL ) OR (X."&amp;F283&amp;" IS NOT NULL AND Y."&amp;F283&amp;"_SIMUL IS NULL),1,0)) AS NUM_REG_DIF,'"&amp;MAX('ID1&amp;5'!K:K)+1&amp;"' AS ID_EXEC, CURRENT_TIMESTAMP() AS TIME_EXEC FROM "&amp;I283&amp;" INNER JOIN "&amp;J283&amp;" "&amp;K283,"SELECT '"&amp;UPPER(B283)&amp;"' AS TABELA, '"&amp;UPPER(C283)&amp;"' AS TIPOLOGIA_TESTE,'"&amp;D283&amp;"' AS TABELA_LT,'"&amp;E283&amp;"' AS TABELA_SIMUL,'"&amp;F283&amp;"' AS CAMPO, "&amp;"'${ref_date}' AS REF_DATE, COUNT(*) AS NUM_REG, SUM(IF(COALESCE(CAST(X."&amp;F283&amp;" AS STRING),'')&lt;&gt;COALESCE(CAST(Y."&amp;F283&amp;"_SIMUL AS STRING),''),1,0)) AS NUM_REG_DIF,'"&amp;MAX('ID1&amp;5'!L:L)+1&amp;"' AS ID_EXEC, CURRENT_TIMESTAMP() AS TIME_EXEC FROM "&amp;I283&amp;" INNER JOIN "&amp;J283&amp;" "&amp;K283),
IF(C283="Validade",+IF(G283="Code List","SELECT '"&amp;UPPER(B283)&amp;"' AS TABELA, '"&amp;UPPER(C283)&amp;"' AS TIPOLOGIA_TESTE,'"&amp;D283&amp;"' AS TABELA_LT,'N/A' AS TABELA_SIMUL,'"&amp;F283&amp;"' AS CAMPO, "&amp;"'${ref_date}' AS REF_DATE, COUNT(*) AS NUM_REG, SUM(IF(TRIM(CAST(X."&amp;F283&amp;" AS STRING))='' OR TRIM(CAST(X."&amp;F283&amp;" AS STRING)) IS NULL OR CAST(X."&amp;F283&amp;" AS STRING) NOT "&amp;H283&amp;",1,0)) AS NUM_REG_DIF,'"&amp;MAX('ID1&amp;5'!K:K)+1&amp;"' AS ID_EXEC, CURRENT_TIMESTAMP() AS TIME_EXEC FROM "&amp;I283,"SELECT '"&amp;UPPER(B283)&amp;"' AS TABELA, '"&amp;UPPER(C283)&amp;"' AS TIPOLOGIA_TESTE,'"&amp;D283&amp;"' AS TABELA_LT,'N/A' AS TABELA_SIMUL,'"&amp;F283&amp;"' AS CAMPO, "&amp;"'${ref_date}' AS REF_DATE, COUNT(*) AS NUM_REG, SUM(IF(TRIM(CAST(X."&amp;F283&amp;" AS STRING))='' OR TRIM(CAST(X."&amp;F283&amp;" AS STRING)) IS NULL,1,0)) AS NUM_REG_DIF,'"&amp;MAX('ID1&amp;5'!K:K)+1&amp;"' AS ID_EXEC, CURRENT_TIMESTAMP() AS TIME_EXEC FROM "&amp;I283),
IF(C283="Caracteres Especiais",+"SELECT '"&amp;UPPER(B283)&amp;"' AS TABELA, '"&amp;UPPER(C283)&amp;"' AS TIPOLOGIA_TESTE,'"&amp;D283&amp;"' AS TABELA_LT,'N/A' AS TABELA_SIMUL,'"&amp;F283&amp;"' AS CAMPO, "&amp;"'${ref_date}' AS REF_DATE, COUNT(*) AS NUM_REG, SUM(IF(INSTR(CAST(X."&amp;F283&amp;" AS STRING),'#')&gt;0 OR INSTR(CAST(X."&amp;F283&amp;" AS STRING),'*')&gt;0 OR INSTR(CAST(X."&amp;F283&amp;" AS STRING),'`')&gt;0 OR INSTR(CAST(X."&amp;F283&amp;" AS STRING),'´')&gt;0 OR INSTR(CAST(X."&amp;F283&amp;" AS STRING),'{')&gt;0 OR INSTR(CAST(X."&amp;F283&amp;" AS STRING),'}')&gt;0 OR INSTR(CAST(X."&amp;F283&amp;" AS STRING),'[')&gt;0 OR INSTR(CAST(X."&amp;F283&amp;" AS STRING),'')&gt;0 OR INSTR(CAST(X."&amp;F283&amp;" AS STRING),']')&gt;0 OR INSTR(CAST(X."&amp;F283&amp;" AS STRING),'?')&gt;0 OR INSTR(CAST(X."&amp;F283&amp;" AS STRING),'!')&gt;0 OR INSTR(CAST(X."&amp;F283&amp;" AS STRING),'$')&gt;0 OR INSTR(CAST(X."&amp;F283&amp;" AS STRING),'%')&gt;0 OR INSTR(CAST(X."&amp;F283&amp;" AS STRING),'&amp;')&gt;0 OR INSTR(CAST(X."&amp;F283&amp;" AS STRING),'+')&gt;0,1,0)) AS NUM_REG_DIF,'"&amp;MAX('ID1&amp;5'!K:K)+1&amp;"' AS ID_EXEC, CURRENT_TIMESTAMP() AS TIME_EXEC FROM "&amp;I283,
IF(C283="Missings",+"SELECT '"&amp;UPPER(B283)&amp;"' AS TABELA, '"&amp;UPPER(C283)&amp;"' AS TIPOLOGIA_TESTE,'"&amp;D283&amp;"' AS TABELA_LT,'N/A' AS TABELA_SIMUL,'"&amp;F283&amp;"' AS CAMPO, "&amp;"'${ref_date}' AS REF_DATE, COUNT(*) AS NUM_REG, SUM(IF(TRIM(CAST(X."&amp;F283&amp;" AS STRING)) IN ('0000-00-00','0001-01-01','9999-12-31','MISS','00000','99999999999','99999999999.00','99999999999.000000'),1,0)) AS NUM_REG_DIF,'"&amp;MAX('ID1&amp;5'!K:K)+1&amp;"' AS ID_EXEC, CURRENT_TIMESTAMP() AS TIME_EXEC FROM "&amp;I283,
IF(C283="Not applicable",+"SELECT '"&amp;UPPER(B283)&amp;"' AS TABELA, '"&amp;UPPER(C283)&amp;"' AS TIPOLOGIA_TESTE,'"&amp;D283&amp;"' AS TABELA_LT,'N/A' AS TABELA_SIMUL,'"&amp;F283&amp;"' AS CAMPO, "&amp;"'${ref_date}' AS REF_DATE, COUNT(*) AS NUM_REG, SUM(IF(TRIM(CAST(X."&amp;F283&amp;" AS STRING)) IN ('N/A','11111111111','11111111111.00','11111111111.000000','1111-11-11'),1,0)) AS NUM_REG_DIF,'"&amp;MAX('ID1&amp;5'!K:K)+1&amp;"' AS ID_EXEC, CURRENT_TIMESTAMP() AS TIME_EXEC FROM "&amp;I283,
IF(C283="Valores extremos",+"SELECT '"&amp;UPPER(B283)&amp;"' AS TABELA, '"&amp;UPPER(C283)&amp;"' AS TIPOLOGIA_TESTE,'"&amp;D283&amp;"' AS TABELA_LT,'N/A' AS TABELA_SIMUL,'"&amp;F283&amp;"' AS CAMPO, "&amp;"'${ref_date}' AS REF_DATE, CAST(MIN("&amp;F283&amp;") AS STRING) AS VALOR_MIN, CAST(MAX("&amp;F283&amp;") AS STRING) AS VALOR_MAX,'"&amp;MAX('ID1&amp;5'!K:K)+1&amp;"' AS ID_EXEC, CURRENT_TIMESTAMP() AS TIME_EXEC FROM "&amp;MID(I283,1,LEN(I283)-2)&amp;" AND CAST("&amp;F283&amp;"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TABELA_SIMUL,'MTHD_USD_INSTRMNT_SCP_2' AS CAMPO, '${ref_date}' AS REF_DATE, COUNT(*) AS NUM_REG, SUM(IF(TRIM(CAST(X.MTHD_USD_INSTRMNT_SCP_2 AS STRING)) IN ('0000-00-00','0001-01-01','9999-12-31','MISS','00000','99999999999','99999999999.00','99999999999.000000'),1,0)) AS NUM_REG_DIF,'10' AS ID_EXEC, CURRENT_TIMESTAMP() AS TIME_EXEC FROM (SELECT instrmnt_id, MTHD_USD_INSTRMNT_SCP_2 FROM BU_LOANTAPE_WORK.LT002_INSTRUMENT WHERE ref_date='${ref_date}' AND nome_perimetro='Individual Corporativo' AND segmento='ESTR' AND ambito='PILAR3')X</v>
      </c>
      <c r="M283" s="43" t="str">
        <f t="shared" si="4"/>
        <v>UNION ALL SELECT 'INSTRUMENT' AS TABELA, 'MISSINGS' AS TIPOLOGIA_TESTE,'BU_LOANTAPE_WORK.LT002_INSTRUMENT' AS TABELA_LT,'N/A' AS TABELA_SIMUL,'MTHD_USD_INSTRMNT_SCP_2' AS CAMPO, '${ref_date}' AS REF_DATE, COUNT(*) AS NUM_REG, SUM(IF(TRIM(CAST(X.MTHD_USD_INSTRMNT_SCP_2 AS STRING)) IN ('0000-00-00','0001-01-01','9999-12-31','MISS','00000','99999999999','99999999999.00','99999999999.000000'),1,0)) AS NUM_REG_DIF,'10' AS ID_EXEC, CURRENT_TIMESTAMP() AS TIME_EXEC FROM (SELECT instrmnt_id, MTHD_USD_INSTRMNT_SCP_2 FROM BU_LOANTAPE_WORK.LT002_INSTRUMENT WHERE ref_date='${ref_date}' AND nome_perimetro='Individual Corporativo' AND segmento='ESTR' AND ambito='PILAR3')X</v>
      </c>
      <c r="N283" s="45" t="s">
        <v>13</v>
      </c>
    </row>
    <row r="284" spans="2:14">
      <c r="B284" s="41" t="s">
        <v>27</v>
      </c>
      <c r="C284" s="41" t="s">
        <v>77</v>
      </c>
      <c r="D284" s="41" t="str">
        <f>+UPPER('0. Instruções'!$D$33&amp;"."&amp;VLOOKUP(B284,'0. Instruções'!$C$27:$D$31,2,FALSE))</f>
        <v>BU_LOANTAPE_WORK.LT002_INSTRUMENT</v>
      </c>
      <c r="E284" s="41" t="str">
        <f>+UPPER('0. Instruções'!$D$34&amp;"."&amp;VLOOKUP(B284,'0. Instruções'!$C$27:$E$31,3,FALSE))</f>
        <v>BU_LOANTAPE_WORK.LT002_INSTRUMENT_P3_NOV24</v>
      </c>
      <c r="F284" s="41" t="s">
        <v>154</v>
      </c>
      <c r="G284" s="41" t="s">
        <v>209</v>
      </c>
      <c r="H284" s="41"/>
      <c r="I284" s="41" t="str">
        <f>"(SELECT "&amp;VLOOKUP(B284,'0. Instruções'!$C$27:$G$31,4,FALSE)&amp;", "&amp;F284&amp;" FROM "&amp;D284&amp;" WHERE "&amp;'0. Instruções'!$D$40&amp;")X"</f>
        <v>(SELECT instrmnt_id, MTHD_USD_INSTRMNT_SCP_3 FROM BU_LOANTAPE_WORK.LT002_INSTRUMENT WHERE ref_date='${ref_date}' AND nome_perimetro='Individual Corporativo' AND segmento='ESTR' AND ambito='PILAR3')X</v>
      </c>
      <c r="J284" s="41" t="str">
        <f>"(SELECT "&amp;VLOOKUP(B284,'0. Instruções'!$C$27:$G$31,4,FALSE)&amp;" AS "&amp;VLOOKUP(B284,'0. Instruções'!$C$27:$G$31,4,FALSE)&amp;"_SIMUL, "&amp;F284&amp;" AS "&amp;F284&amp;"_SIMUL FROM "&amp;E284&amp;")Y"</f>
        <v>(SELECT instrmnt_id AS instrmnt_id_SIMUL, MTHD_USD_INSTRMNT_SCP_3 AS MTHD_USD_INSTRMNT_SCP_3_SIMUL FROM BU_LOANTAPE_WORK.LT002_INSTRUMENT_P3_NOV24)Y</v>
      </c>
      <c r="K284" s="42" t="str">
        <f>+UPPER("ON X."&amp;VLOOKUP(B284,'0. Instruções'!$C$27:$G$31,4,FALSE)&amp;"=Y."&amp;VLOOKUP(B284,'0. Instruções'!$C$27:$G$31,4,FALSE)&amp;"_SIMUL")</f>
        <v>ON X.INSTRMNT_ID=Y.INSTRMNT_ID_SIMUL</v>
      </c>
      <c r="L284" s="42" t="str">
        <f>+IF(C284="Coerência", +IF(LEFT(G284,5)="FLOAT","SELECT '"&amp;UPPER(B284)&amp;"' AS TABELA, '"&amp;UPPER(C284)&amp;"' AS TIPOLOGIA_TESTE,'"&amp;D284&amp;"' AS TABELA_LT,'"&amp;E284&amp;"' AS TABELA_SIMUL,'"&amp;F284&amp;"' AS CAMPO, "&amp;"'${ref_date}' AS REF_DATE, COUNT(*) AS NUM_REG, SUM(IF((ABS(COALESCE(X."&amp;F284&amp;",0)-COALESCE(Y."&amp;F284&amp;"_SIMUL,0))&gt;0.0000000001) OR (X."&amp;F284&amp;" IS NULL AND Y."&amp;F284&amp;"_SIMUL IS NOT NULL ) OR (X."&amp;F284&amp;" IS NOT NULL AND Y."&amp;F284&amp;"_SIMUL IS NULL),1,0)) AS NUM_REG_DIF,'"&amp;MAX('ID1&amp;5'!K:K)+1&amp;"' AS ID_EXEC, CURRENT_TIMESTAMP() AS TIME_EXEC FROM "&amp;I284&amp;" INNER JOIN "&amp;J284&amp;" "&amp;K284,"SELECT '"&amp;UPPER(B284)&amp;"' AS TABELA, '"&amp;UPPER(C284)&amp;"' AS TIPOLOGIA_TESTE,'"&amp;D284&amp;"' AS TABELA_LT,'"&amp;E284&amp;"' AS TABELA_SIMUL,'"&amp;F284&amp;"' AS CAMPO, "&amp;"'${ref_date}' AS REF_DATE, COUNT(*) AS NUM_REG, SUM(IF(COALESCE(CAST(X."&amp;F284&amp;" AS STRING),'')&lt;&gt;COALESCE(CAST(Y."&amp;F284&amp;"_SIMUL AS STRING),''),1,0)) AS NUM_REG_DIF,'"&amp;MAX('ID1&amp;5'!L:L)+1&amp;"' AS ID_EXEC, CURRENT_TIMESTAMP() AS TIME_EXEC FROM "&amp;I284&amp;" INNER JOIN "&amp;J284&amp;" "&amp;K284),
IF(C284="Validade",+IF(G284="Code List","SELECT '"&amp;UPPER(B284)&amp;"' AS TABELA, '"&amp;UPPER(C284)&amp;"' AS TIPOLOGIA_TESTE,'"&amp;D284&amp;"' AS TABELA_LT,'N/A' AS TABELA_SIMUL,'"&amp;F284&amp;"' AS CAMPO, "&amp;"'${ref_date}' AS REF_DATE, COUNT(*) AS NUM_REG, SUM(IF(TRIM(CAST(X."&amp;F284&amp;" AS STRING))='' OR TRIM(CAST(X."&amp;F284&amp;" AS STRING)) IS NULL OR CAST(X."&amp;F284&amp;" AS STRING) NOT "&amp;H284&amp;",1,0)) AS NUM_REG_DIF,'"&amp;MAX('ID1&amp;5'!K:K)+1&amp;"' AS ID_EXEC, CURRENT_TIMESTAMP() AS TIME_EXEC FROM "&amp;I284,"SELECT '"&amp;UPPER(B284)&amp;"' AS TABELA, '"&amp;UPPER(C284)&amp;"' AS TIPOLOGIA_TESTE,'"&amp;D284&amp;"' AS TABELA_LT,'N/A' AS TABELA_SIMUL,'"&amp;F284&amp;"' AS CAMPO, "&amp;"'${ref_date}' AS REF_DATE, COUNT(*) AS NUM_REG, SUM(IF(TRIM(CAST(X."&amp;F284&amp;" AS STRING))='' OR TRIM(CAST(X."&amp;F284&amp;" AS STRING)) IS NULL,1,0)) AS NUM_REG_DIF,'"&amp;MAX('ID1&amp;5'!K:K)+1&amp;"' AS ID_EXEC, CURRENT_TIMESTAMP() AS TIME_EXEC FROM "&amp;I284),
IF(C284="Caracteres Especiais",+"SELECT '"&amp;UPPER(B284)&amp;"' AS TABELA, '"&amp;UPPER(C284)&amp;"' AS TIPOLOGIA_TESTE,'"&amp;D284&amp;"' AS TABELA_LT,'N/A' AS TABELA_SIMUL,'"&amp;F284&amp;"' AS CAMPO, "&amp;"'${ref_date}' AS REF_DATE, COUNT(*) AS NUM_REG, SUM(IF(INSTR(CAST(X."&amp;F284&amp;" AS STRING),'#')&gt;0 OR INSTR(CAST(X."&amp;F284&amp;" AS STRING),'*')&gt;0 OR INSTR(CAST(X."&amp;F284&amp;" AS STRING),'`')&gt;0 OR INSTR(CAST(X."&amp;F284&amp;" AS STRING),'´')&gt;0 OR INSTR(CAST(X."&amp;F284&amp;" AS STRING),'{')&gt;0 OR INSTR(CAST(X."&amp;F284&amp;" AS STRING),'}')&gt;0 OR INSTR(CAST(X."&amp;F284&amp;" AS STRING),'[')&gt;0 OR INSTR(CAST(X."&amp;F284&amp;" AS STRING),'')&gt;0 OR INSTR(CAST(X."&amp;F284&amp;" AS STRING),']')&gt;0 OR INSTR(CAST(X."&amp;F284&amp;" AS STRING),'?')&gt;0 OR INSTR(CAST(X."&amp;F284&amp;" AS STRING),'!')&gt;0 OR INSTR(CAST(X."&amp;F284&amp;" AS STRING),'$')&gt;0 OR INSTR(CAST(X."&amp;F284&amp;" AS STRING),'%')&gt;0 OR INSTR(CAST(X."&amp;F284&amp;" AS STRING),'&amp;')&gt;0 OR INSTR(CAST(X."&amp;F284&amp;" AS STRING),'+')&gt;0,1,0)) AS NUM_REG_DIF,'"&amp;MAX('ID1&amp;5'!K:K)+1&amp;"' AS ID_EXEC, CURRENT_TIMESTAMP() AS TIME_EXEC FROM "&amp;I284,
IF(C284="Missings",+"SELECT '"&amp;UPPER(B284)&amp;"' AS TABELA, '"&amp;UPPER(C284)&amp;"' AS TIPOLOGIA_TESTE,'"&amp;D284&amp;"' AS TABELA_LT,'N/A' AS TABELA_SIMUL,'"&amp;F284&amp;"' AS CAMPO, "&amp;"'${ref_date}' AS REF_DATE, COUNT(*) AS NUM_REG, SUM(IF(TRIM(CAST(X."&amp;F284&amp;" AS STRING)) IN ('0000-00-00','0001-01-01','9999-12-31','MISS','00000','99999999999','99999999999.00','99999999999.000000'),1,0)) AS NUM_REG_DIF,'"&amp;MAX('ID1&amp;5'!K:K)+1&amp;"' AS ID_EXEC, CURRENT_TIMESTAMP() AS TIME_EXEC FROM "&amp;I284,
IF(C284="Not applicable",+"SELECT '"&amp;UPPER(B284)&amp;"' AS TABELA, '"&amp;UPPER(C284)&amp;"' AS TIPOLOGIA_TESTE,'"&amp;D284&amp;"' AS TABELA_LT,'N/A' AS TABELA_SIMUL,'"&amp;F284&amp;"' AS CAMPO, "&amp;"'${ref_date}' AS REF_DATE, COUNT(*) AS NUM_REG, SUM(IF(TRIM(CAST(X."&amp;F284&amp;" AS STRING)) IN ('N/A','11111111111','11111111111.00','11111111111.000000','1111-11-11'),1,0)) AS NUM_REG_DIF,'"&amp;MAX('ID1&amp;5'!K:K)+1&amp;"' AS ID_EXEC, CURRENT_TIMESTAMP() AS TIME_EXEC FROM "&amp;I284,
IF(C284="Valores extremos",+"SELECT '"&amp;UPPER(B284)&amp;"' AS TABELA, '"&amp;UPPER(C284)&amp;"' AS TIPOLOGIA_TESTE,'"&amp;D284&amp;"' AS TABELA_LT,'N/A' AS TABELA_SIMUL,'"&amp;F284&amp;"' AS CAMPO, "&amp;"'${ref_date}' AS REF_DATE, CAST(MIN("&amp;F284&amp;") AS STRING) AS VALOR_MIN, CAST(MAX("&amp;F284&amp;") AS STRING) AS VALOR_MAX,'"&amp;MAX('ID1&amp;5'!K:K)+1&amp;"' AS ID_EXEC, CURRENT_TIMESTAMP() AS TIME_EXEC FROM "&amp;MID(I284,1,LEN(I284)-2)&amp;" AND CAST("&amp;F284&amp;"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TABELA_SIMUL,'MTHD_USD_INSTRMNT_SCP_3' AS CAMPO, '${ref_date}' AS REF_DATE, COUNT(*) AS NUM_REG, SUM(IF(TRIM(CAST(X.MTHD_USD_INSTRMNT_SCP_3 AS STRING)) IN ('0000-00-00','0001-01-01','9999-12-31','MISS','00000','99999999999','99999999999.00','99999999999.000000'),1,0)) AS NUM_REG_DIF,'10' AS ID_EXEC, CURRENT_TIMESTAMP() AS TIME_EXEC FROM (SELECT instrmnt_id, MTHD_USD_INSTRMNT_SCP_3 FROM BU_LOANTAPE_WORK.LT002_INSTRUMENT WHERE ref_date='${ref_date}' AND nome_perimetro='Individual Corporativo' AND segmento='ESTR' AND ambito='PILAR3')X</v>
      </c>
      <c r="M284" s="43" t="str">
        <f t="shared" si="4"/>
        <v>UNION ALL SELECT 'INSTRUMENT' AS TABELA, 'MISSINGS' AS TIPOLOGIA_TESTE,'BU_LOANTAPE_WORK.LT002_INSTRUMENT' AS TABELA_LT,'N/A' AS TABELA_SIMUL,'MTHD_USD_INSTRMNT_SCP_3' AS CAMPO, '${ref_date}' AS REF_DATE, COUNT(*) AS NUM_REG, SUM(IF(TRIM(CAST(X.MTHD_USD_INSTRMNT_SCP_3 AS STRING)) IN ('0000-00-00','0001-01-01','9999-12-31','MISS','00000','99999999999','99999999999.00','99999999999.000000'),1,0)) AS NUM_REG_DIF,'10' AS ID_EXEC, CURRENT_TIMESTAMP() AS TIME_EXEC FROM (SELECT instrmnt_id, MTHD_USD_INSTRMNT_SCP_3 FROM BU_LOANTAPE_WORK.LT002_INSTRUMENT WHERE ref_date='${ref_date}' AND nome_perimetro='Individual Corporativo' AND segmento='ESTR' AND ambito='PILAR3')X</v>
      </c>
      <c r="N284" s="45" t="s">
        <v>13</v>
      </c>
    </row>
    <row r="285" spans="2:14">
      <c r="B285" s="41" t="s">
        <v>27</v>
      </c>
      <c r="C285" s="41" t="s">
        <v>77</v>
      </c>
      <c r="D285" s="41" t="str">
        <f>+UPPER('0. Instruções'!$D$33&amp;"."&amp;VLOOKUP(B285,'0. Instruções'!$C$27:$D$31,2,FALSE))</f>
        <v>BU_LOANTAPE_WORK.LT002_INSTRUMENT</v>
      </c>
      <c r="E285" s="41" t="str">
        <f>+UPPER('0. Instruções'!$D$34&amp;"."&amp;VLOOKUP(B285,'0. Instruções'!$C$27:$E$31,3,FALSE))</f>
        <v>BU_LOANTAPE_WORK.LT002_INSTRUMENT_P3_NOV24</v>
      </c>
      <c r="F285" s="41" t="s">
        <v>155</v>
      </c>
      <c r="G285" s="41" t="s">
        <v>209</v>
      </c>
      <c r="H285" s="41"/>
      <c r="I285" s="41" t="str">
        <f>"(SELECT "&amp;VLOOKUP(B285,'0. Instruções'!$C$27:$G$31,4,FALSE)&amp;", "&amp;F285&amp;" FROM "&amp;D285&amp;" WHERE "&amp;'0. Instruções'!$D$40&amp;")X"</f>
        <v>(SELECT instrmnt_id, SSTNBL_CTGRY_TXNMY FROM BU_LOANTAPE_WORK.LT002_INSTRUMENT WHERE ref_date='${ref_date}' AND nome_perimetro='Individual Corporativo' AND segmento='ESTR' AND ambito='PILAR3')X</v>
      </c>
      <c r="J285" s="41" t="str">
        <f>"(SELECT "&amp;VLOOKUP(B285,'0. Instruções'!$C$27:$G$31,4,FALSE)&amp;" AS "&amp;VLOOKUP(B285,'0. Instruções'!$C$27:$G$31,4,FALSE)&amp;"_SIMUL, "&amp;F285&amp;" AS "&amp;F285&amp;"_SIMUL FROM "&amp;E285&amp;")Y"</f>
        <v>(SELECT instrmnt_id AS instrmnt_id_SIMUL, SSTNBL_CTGRY_TXNMY AS SSTNBL_CTGRY_TXNMY_SIMUL FROM BU_LOANTAPE_WORK.LT002_INSTRUMENT_P3_NOV24)Y</v>
      </c>
      <c r="K285" s="42" t="str">
        <f>+UPPER("ON X."&amp;VLOOKUP(B285,'0. Instruções'!$C$27:$G$31,4,FALSE)&amp;"=Y."&amp;VLOOKUP(B285,'0. Instruções'!$C$27:$G$31,4,FALSE)&amp;"_SIMUL")</f>
        <v>ON X.INSTRMNT_ID=Y.INSTRMNT_ID_SIMUL</v>
      </c>
      <c r="L285" s="42" t="str">
        <f>+IF(C285="Coerência", +IF(LEFT(G285,5)="FLOAT","SELECT '"&amp;UPPER(B285)&amp;"' AS TABELA, '"&amp;UPPER(C285)&amp;"' AS TIPOLOGIA_TESTE,'"&amp;D285&amp;"' AS TABELA_LT,'"&amp;E285&amp;"' AS TABELA_SIMUL,'"&amp;F285&amp;"' AS CAMPO, "&amp;"'${ref_date}' AS REF_DATE, COUNT(*) AS NUM_REG, SUM(IF((ABS(COALESCE(X."&amp;F285&amp;",0)-COALESCE(Y."&amp;F285&amp;"_SIMUL,0))&gt;0.0000000001) OR (X."&amp;F285&amp;" IS NULL AND Y."&amp;F285&amp;"_SIMUL IS NOT NULL ) OR (X."&amp;F285&amp;" IS NOT NULL AND Y."&amp;F285&amp;"_SIMUL IS NULL),1,0)) AS NUM_REG_DIF,'"&amp;MAX('ID1&amp;5'!K:K)+1&amp;"' AS ID_EXEC, CURRENT_TIMESTAMP() AS TIME_EXEC FROM "&amp;I285&amp;" INNER JOIN "&amp;J285&amp;" "&amp;K285,"SELECT '"&amp;UPPER(B285)&amp;"' AS TABELA, '"&amp;UPPER(C285)&amp;"' AS TIPOLOGIA_TESTE,'"&amp;D285&amp;"' AS TABELA_LT,'"&amp;E285&amp;"' AS TABELA_SIMUL,'"&amp;F285&amp;"' AS CAMPO, "&amp;"'${ref_date}' AS REF_DATE, COUNT(*) AS NUM_REG, SUM(IF(COALESCE(CAST(X."&amp;F285&amp;" AS STRING),'')&lt;&gt;COALESCE(CAST(Y."&amp;F285&amp;"_SIMUL AS STRING),''),1,0)) AS NUM_REG_DIF,'"&amp;MAX('ID1&amp;5'!L:L)+1&amp;"' AS ID_EXEC, CURRENT_TIMESTAMP() AS TIME_EXEC FROM "&amp;I285&amp;" INNER JOIN "&amp;J285&amp;" "&amp;K285),
IF(C285="Validade",+IF(G285="Code List","SELECT '"&amp;UPPER(B285)&amp;"' AS TABELA, '"&amp;UPPER(C285)&amp;"' AS TIPOLOGIA_TESTE,'"&amp;D285&amp;"' AS TABELA_LT,'N/A' AS TABELA_SIMUL,'"&amp;F285&amp;"' AS CAMPO, "&amp;"'${ref_date}' AS REF_DATE, COUNT(*) AS NUM_REG, SUM(IF(TRIM(CAST(X."&amp;F285&amp;" AS STRING))='' OR TRIM(CAST(X."&amp;F285&amp;" AS STRING)) IS NULL OR CAST(X."&amp;F285&amp;" AS STRING) NOT "&amp;H285&amp;",1,0)) AS NUM_REG_DIF,'"&amp;MAX('ID1&amp;5'!K:K)+1&amp;"' AS ID_EXEC, CURRENT_TIMESTAMP() AS TIME_EXEC FROM "&amp;I285,"SELECT '"&amp;UPPER(B285)&amp;"' AS TABELA, '"&amp;UPPER(C285)&amp;"' AS TIPOLOGIA_TESTE,'"&amp;D285&amp;"' AS TABELA_LT,'N/A' AS TABELA_SIMUL,'"&amp;F285&amp;"' AS CAMPO, "&amp;"'${ref_date}' AS REF_DATE, COUNT(*) AS NUM_REG, SUM(IF(TRIM(CAST(X."&amp;F285&amp;" AS STRING))='' OR TRIM(CAST(X."&amp;F285&amp;" AS STRING)) IS NULL,1,0)) AS NUM_REG_DIF,'"&amp;MAX('ID1&amp;5'!K:K)+1&amp;"' AS ID_EXEC, CURRENT_TIMESTAMP() AS TIME_EXEC FROM "&amp;I285),
IF(C285="Caracteres Especiais",+"SELECT '"&amp;UPPER(B285)&amp;"' AS TABELA, '"&amp;UPPER(C285)&amp;"' AS TIPOLOGIA_TESTE,'"&amp;D285&amp;"' AS TABELA_LT,'N/A' AS TABELA_SIMUL,'"&amp;F285&amp;"' AS CAMPO, "&amp;"'${ref_date}' AS REF_DATE, COUNT(*) AS NUM_REG, SUM(IF(INSTR(CAST(X."&amp;F285&amp;" AS STRING),'#')&gt;0 OR INSTR(CAST(X."&amp;F285&amp;" AS STRING),'*')&gt;0 OR INSTR(CAST(X."&amp;F285&amp;" AS STRING),'`')&gt;0 OR INSTR(CAST(X."&amp;F285&amp;" AS STRING),'´')&gt;0 OR INSTR(CAST(X."&amp;F285&amp;" AS STRING),'{')&gt;0 OR INSTR(CAST(X."&amp;F285&amp;" AS STRING),'}')&gt;0 OR INSTR(CAST(X."&amp;F285&amp;" AS STRING),'[')&gt;0 OR INSTR(CAST(X."&amp;F285&amp;" AS STRING),'')&gt;0 OR INSTR(CAST(X."&amp;F285&amp;" AS STRING),']')&gt;0 OR INSTR(CAST(X."&amp;F285&amp;" AS STRING),'?')&gt;0 OR INSTR(CAST(X."&amp;F285&amp;" AS STRING),'!')&gt;0 OR INSTR(CAST(X."&amp;F285&amp;" AS STRING),'$')&gt;0 OR INSTR(CAST(X."&amp;F285&amp;" AS STRING),'%')&gt;0 OR INSTR(CAST(X."&amp;F285&amp;" AS STRING),'&amp;')&gt;0 OR INSTR(CAST(X."&amp;F285&amp;" AS STRING),'+')&gt;0,1,0)) AS NUM_REG_DIF,'"&amp;MAX('ID1&amp;5'!K:K)+1&amp;"' AS ID_EXEC, CURRENT_TIMESTAMP() AS TIME_EXEC FROM "&amp;I285,
IF(C285="Missings",+"SELECT '"&amp;UPPER(B285)&amp;"' AS TABELA, '"&amp;UPPER(C285)&amp;"' AS TIPOLOGIA_TESTE,'"&amp;D285&amp;"' AS TABELA_LT,'N/A' AS TABELA_SIMUL,'"&amp;F285&amp;"' AS CAMPO, "&amp;"'${ref_date}' AS REF_DATE, COUNT(*) AS NUM_REG, SUM(IF(TRIM(CAST(X."&amp;F285&amp;" AS STRING)) IN ('0000-00-00','0001-01-01','9999-12-31','MISS','00000','99999999999','99999999999.00','99999999999.000000'),1,0)) AS NUM_REG_DIF,'"&amp;MAX('ID1&amp;5'!K:K)+1&amp;"' AS ID_EXEC, CURRENT_TIMESTAMP() AS TIME_EXEC FROM "&amp;I285,
IF(C285="Not applicable",+"SELECT '"&amp;UPPER(B285)&amp;"' AS TABELA, '"&amp;UPPER(C285)&amp;"' AS TIPOLOGIA_TESTE,'"&amp;D285&amp;"' AS TABELA_LT,'N/A' AS TABELA_SIMUL,'"&amp;F285&amp;"' AS CAMPO, "&amp;"'${ref_date}' AS REF_DATE, COUNT(*) AS NUM_REG, SUM(IF(TRIM(CAST(X."&amp;F285&amp;" AS STRING)) IN ('N/A','11111111111','11111111111.00','11111111111.000000','1111-11-11'),1,0)) AS NUM_REG_DIF,'"&amp;MAX('ID1&amp;5'!K:K)+1&amp;"' AS ID_EXEC, CURRENT_TIMESTAMP() AS TIME_EXEC FROM "&amp;I285,
IF(C285="Valores extremos",+"SELECT '"&amp;UPPER(B285)&amp;"' AS TABELA, '"&amp;UPPER(C285)&amp;"' AS TIPOLOGIA_TESTE,'"&amp;D285&amp;"' AS TABELA_LT,'N/A' AS TABELA_SIMUL,'"&amp;F285&amp;"' AS CAMPO, "&amp;"'${ref_date}' AS REF_DATE, CAST(MIN("&amp;F285&amp;") AS STRING) AS VALOR_MIN, CAST(MAX("&amp;F285&amp;") AS STRING) AS VALOR_MAX,'"&amp;MAX('ID1&amp;5'!K:K)+1&amp;"' AS ID_EXEC, CURRENT_TIMESTAMP() AS TIME_EXEC FROM "&amp;MID(I285,1,LEN(I285)-2)&amp;" AND CAST("&amp;F285&amp;"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TABELA_SIMUL,'SSTNBL_CTGRY_TXNMY' AS CAMPO, '${ref_date}' AS REF_DATE, COUNT(*) AS NUM_REG, SUM(IF(TRIM(CAST(X.SSTNBL_CTGRY_TXNMY AS STRING)) IN ('0000-00-00','0001-01-01','9999-12-31','MISS','00000','99999999999','99999999999.00','99999999999.000000'),1,0)) AS NUM_REG_DIF,'10' AS ID_EXEC, CURRENT_TIMESTAMP() AS TIME_EXEC FROM (SELECT instrmnt_id, SSTNBL_CTGRY_TXNMY FROM BU_LOANTAPE_WORK.LT002_INSTRUMENT WHERE ref_date='${ref_date}' AND nome_perimetro='Individual Corporativo' AND segmento='ESTR' AND ambito='PILAR3')X</v>
      </c>
      <c r="M285" s="43" t="str">
        <f t="shared" si="4"/>
        <v>UNION ALL SELECT 'INSTRUMENT' AS TABELA, 'MISSINGS' AS TIPOLOGIA_TESTE,'BU_LOANTAPE_WORK.LT002_INSTRUMENT' AS TABELA_LT,'N/A' AS TABELA_SIMUL,'SSTNBL_CTGRY_TXNMY' AS CAMPO, '${ref_date}' AS REF_DATE, COUNT(*) AS NUM_REG, SUM(IF(TRIM(CAST(X.SSTNBL_CTGRY_TXNMY AS STRING)) IN ('0000-00-00','0001-01-01','9999-12-31','MISS','00000','99999999999','99999999999.00','99999999999.000000'),1,0)) AS NUM_REG_DIF,'10' AS ID_EXEC, CURRENT_TIMESTAMP() AS TIME_EXEC FROM (SELECT instrmnt_id, SSTNBL_CTGRY_TXNMY FROM BU_LOANTAPE_WORK.LT002_INSTRUMENT WHERE ref_date='${ref_date}' AND nome_perimetro='Individual Corporativo' AND segmento='ESTR' AND ambito='PILAR3')X</v>
      </c>
      <c r="N285" s="45" t="s">
        <v>13</v>
      </c>
    </row>
    <row r="286" spans="2:14">
      <c r="B286" s="41" t="s">
        <v>27</v>
      </c>
      <c r="C286" s="41" t="s">
        <v>77</v>
      </c>
      <c r="D286" s="41" t="str">
        <f>+UPPER('0. Instruções'!$D$33&amp;"."&amp;VLOOKUP(B286,'0. Instruções'!$C$27:$D$31,2,FALSE))</f>
        <v>BU_LOANTAPE_WORK.LT002_INSTRUMENT</v>
      </c>
      <c r="E286" s="41" t="str">
        <f>+UPPER('0. Instruções'!$D$34&amp;"."&amp;VLOOKUP(B286,'0. Instruções'!$C$27:$E$31,3,FALSE))</f>
        <v>BU_LOANTAPE_WORK.LT002_INSTRUMENT_P3_NOV24</v>
      </c>
      <c r="F286" s="41" t="s">
        <v>156</v>
      </c>
      <c r="G286" s="41" t="s">
        <v>13</v>
      </c>
      <c r="H286" s="41"/>
      <c r="I286" s="41" t="str">
        <f>"(SELECT "&amp;VLOOKUP(B286,'0. Instruções'!$C$27:$G$31,4,FALSE)&amp;", "&amp;F286&amp;" FROM "&amp;D286&amp;" WHERE "&amp;'0. Instruções'!$D$40&amp;")X"</f>
        <v>(SELECT instrmnt_id, DT_RFRNC FROM BU_LOANTAPE_WORK.LT002_INSTRUMENT WHERE ref_date='${ref_date}' AND nome_perimetro='Individual Corporativo' AND segmento='ESTR' AND ambito='PILAR3')X</v>
      </c>
      <c r="J286" s="41" t="str">
        <f>"(SELECT "&amp;VLOOKUP(B286,'0. Instruções'!$C$27:$G$31,4,FALSE)&amp;" AS "&amp;VLOOKUP(B286,'0. Instruções'!$C$27:$G$31,4,FALSE)&amp;"_SIMUL, "&amp;F286&amp;" AS "&amp;F286&amp;"_SIMUL FROM "&amp;E286&amp;")Y"</f>
        <v>(SELECT instrmnt_id AS instrmnt_id_SIMUL, DT_RFRNC AS DT_RFRNC_SIMUL FROM BU_LOANTAPE_WORK.LT002_INSTRUMENT_P3_NOV24)Y</v>
      </c>
      <c r="K286" s="42" t="str">
        <f>+UPPER("ON X."&amp;VLOOKUP(B286,'0. Instruções'!$C$27:$G$31,4,FALSE)&amp;"=Y."&amp;VLOOKUP(B286,'0. Instruções'!$C$27:$G$31,4,FALSE)&amp;"_SIMUL")</f>
        <v>ON X.INSTRMNT_ID=Y.INSTRMNT_ID_SIMUL</v>
      </c>
      <c r="L286" s="42" t="str">
        <f>+IF(C286="Coerência", +IF(LEFT(G286,5)="FLOAT","SELECT '"&amp;UPPER(B286)&amp;"' AS TABELA, '"&amp;UPPER(C286)&amp;"' AS TIPOLOGIA_TESTE,'"&amp;D286&amp;"' AS TABELA_LT,'"&amp;E286&amp;"' AS TABELA_SIMUL,'"&amp;F286&amp;"' AS CAMPO, "&amp;"'${ref_date}' AS REF_DATE, COUNT(*) AS NUM_REG, SUM(IF((ABS(COALESCE(X."&amp;F286&amp;",0)-COALESCE(Y."&amp;F286&amp;"_SIMUL,0))&gt;0.0000000001) OR (X."&amp;F286&amp;" IS NULL AND Y."&amp;F286&amp;"_SIMUL IS NOT NULL ) OR (X."&amp;F286&amp;" IS NOT NULL AND Y."&amp;F286&amp;"_SIMUL IS NULL),1,0)) AS NUM_REG_DIF,'"&amp;MAX('ID1&amp;5'!K:K)+1&amp;"' AS ID_EXEC, CURRENT_TIMESTAMP() AS TIME_EXEC FROM "&amp;I286&amp;" INNER JOIN "&amp;J286&amp;" "&amp;K286,"SELECT '"&amp;UPPER(B286)&amp;"' AS TABELA, '"&amp;UPPER(C286)&amp;"' AS TIPOLOGIA_TESTE,'"&amp;D286&amp;"' AS TABELA_LT,'"&amp;E286&amp;"' AS TABELA_SIMUL,'"&amp;F286&amp;"' AS CAMPO, "&amp;"'${ref_date}' AS REF_DATE, COUNT(*) AS NUM_REG, SUM(IF(COALESCE(CAST(X."&amp;F286&amp;" AS STRING),'')&lt;&gt;COALESCE(CAST(Y."&amp;F286&amp;"_SIMUL AS STRING),''),1,0)) AS NUM_REG_DIF,'"&amp;MAX('ID1&amp;5'!L:L)+1&amp;"' AS ID_EXEC, CURRENT_TIMESTAMP() AS TIME_EXEC FROM "&amp;I286&amp;" INNER JOIN "&amp;J286&amp;" "&amp;K286),
IF(C286="Validade",+IF(G286="Code List","SELECT '"&amp;UPPER(B286)&amp;"' AS TABELA, '"&amp;UPPER(C286)&amp;"' AS TIPOLOGIA_TESTE,'"&amp;D286&amp;"' AS TABELA_LT,'N/A' AS TABELA_SIMUL,'"&amp;F286&amp;"' AS CAMPO, "&amp;"'${ref_date}' AS REF_DATE, COUNT(*) AS NUM_REG, SUM(IF(TRIM(CAST(X."&amp;F286&amp;" AS STRING))='' OR TRIM(CAST(X."&amp;F286&amp;" AS STRING)) IS NULL OR CAST(X."&amp;F286&amp;" AS STRING) NOT "&amp;H286&amp;",1,0)) AS NUM_REG_DIF,'"&amp;MAX('ID1&amp;5'!K:K)+1&amp;"' AS ID_EXEC, CURRENT_TIMESTAMP() AS TIME_EXEC FROM "&amp;I286,"SELECT '"&amp;UPPER(B286)&amp;"' AS TABELA, '"&amp;UPPER(C286)&amp;"' AS TIPOLOGIA_TESTE,'"&amp;D286&amp;"' AS TABELA_LT,'N/A' AS TABELA_SIMUL,'"&amp;F286&amp;"' AS CAMPO, "&amp;"'${ref_date}' AS REF_DATE, COUNT(*) AS NUM_REG, SUM(IF(TRIM(CAST(X."&amp;F286&amp;" AS STRING))='' OR TRIM(CAST(X."&amp;F286&amp;" AS STRING)) IS NULL,1,0)) AS NUM_REG_DIF,'"&amp;MAX('ID1&amp;5'!K:K)+1&amp;"' AS ID_EXEC, CURRENT_TIMESTAMP() AS TIME_EXEC FROM "&amp;I286),
IF(C286="Caracteres Especiais",+"SELECT '"&amp;UPPER(B286)&amp;"' AS TABELA, '"&amp;UPPER(C286)&amp;"' AS TIPOLOGIA_TESTE,'"&amp;D286&amp;"' AS TABELA_LT,'N/A' AS TABELA_SIMUL,'"&amp;F286&amp;"' AS CAMPO, "&amp;"'${ref_date}' AS REF_DATE, COUNT(*) AS NUM_REG, SUM(IF(INSTR(CAST(X."&amp;F286&amp;" AS STRING),'#')&gt;0 OR INSTR(CAST(X."&amp;F286&amp;" AS STRING),'*')&gt;0 OR INSTR(CAST(X."&amp;F286&amp;" AS STRING),'`')&gt;0 OR INSTR(CAST(X."&amp;F286&amp;" AS STRING),'´')&gt;0 OR INSTR(CAST(X."&amp;F286&amp;" AS STRING),'{')&gt;0 OR INSTR(CAST(X."&amp;F286&amp;" AS STRING),'}')&gt;0 OR INSTR(CAST(X."&amp;F286&amp;" AS STRING),'[')&gt;0 OR INSTR(CAST(X."&amp;F286&amp;" AS STRING),'')&gt;0 OR INSTR(CAST(X."&amp;F286&amp;" AS STRING),']')&gt;0 OR INSTR(CAST(X."&amp;F286&amp;" AS STRING),'?')&gt;0 OR INSTR(CAST(X."&amp;F286&amp;" AS STRING),'!')&gt;0 OR INSTR(CAST(X."&amp;F286&amp;" AS STRING),'$')&gt;0 OR INSTR(CAST(X."&amp;F286&amp;" AS STRING),'%')&gt;0 OR INSTR(CAST(X."&amp;F286&amp;" AS STRING),'&amp;')&gt;0 OR INSTR(CAST(X."&amp;F286&amp;" AS STRING),'+')&gt;0,1,0)) AS NUM_REG_DIF,'"&amp;MAX('ID1&amp;5'!K:K)+1&amp;"' AS ID_EXEC, CURRENT_TIMESTAMP() AS TIME_EXEC FROM "&amp;I286,
IF(C286="Missings",+"SELECT '"&amp;UPPER(B286)&amp;"' AS TABELA, '"&amp;UPPER(C286)&amp;"' AS TIPOLOGIA_TESTE,'"&amp;D286&amp;"' AS TABELA_LT,'N/A' AS TABELA_SIMUL,'"&amp;F286&amp;"' AS CAMPO, "&amp;"'${ref_date}' AS REF_DATE, COUNT(*) AS NUM_REG, SUM(IF(TRIM(CAST(X."&amp;F286&amp;" AS STRING)) IN ('0000-00-00','0001-01-01','9999-12-31','MISS','00000','99999999999','99999999999.00','99999999999.000000'),1,0)) AS NUM_REG_DIF,'"&amp;MAX('ID1&amp;5'!K:K)+1&amp;"' AS ID_EXEC, CURRENT_TIMESTAMP() AS TIME_EXEC FROM "&amp;I286,
IF(C286="Not applicable",+"SELECT '"&amp;UPPER(B286)&amp;"' AS TABELA, '"&amp;UPPER(C286)&amp;"' AS TIPOLOGIA_TESTE,'"&amp;D286&amp;"' AS TABELA_LT,'N/A' AS TABELA_SIMUL,'"&amp;F286&amp;"' AS CAMPO, "&amp;"'${ref_date}' AS REF_DATE, COUNT(*) AS NUM_REG, SUM(IF(TRIM(CAST(X."&amp;F286&amp;" AS STRING)) IN ('N/A','11111111111','11111111111.00','11111111111.000000','1111-11-11'),1,0)) AS NUM_REG_DIF,'"&amp;MAX('ID1&amp;5'!K:K)+1&amp;"' AS ID_EXEC, CURRENT_TIMESTAMP() AS TIME_EXEC FROM "&amp;I286,
IF(C286="Valores extremos",+"SELECT '"&amp;UPPER(B286)&amp;"' AS TABELA, '"&amp;UPPER(C286)&amp;"' AS TIPOLOGIA_TESTE,'"&amp;D286&amp;"' AS TABELA_LT,'N/A' AS TABELA_SIMUL,'"&amp;F286&amp;"' AS CAMPO, "&amp;"'${ref_date}' AS REF_DATE, CAST(MIN("&amp;F286&amp;") AS STRING) AS VALOR_MIN, CAST(MAX("&amp;F286&amp;") AS STRING) AS VALOR_MAX,'"&amp;MAX('ID1&amp;5'!K:K)+1&amp;"' AS ID_EXEC, CURRENT_TIMESTAMP() AS TIME_EXEC FROM "&amp;MID(I286,1,LEN(I286)-2)&amp;" AND CAST("&amp;F286&amp;"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TABELA_SIMUL,'DT_RFRNC' AS CAMPO, '${ref_date}' AS REF_DATE, COUNT(*) AS NUM_REG, SUM(IF(TRIM(CAST(X.DT_RFRNC AS STRING)) IN ('0000-00-00','0001-01-01','9999-12-31','MISS','00000','99999999999','99999999999.00','99999999999.000000'),1,0)) AS NUM_REG_DIF,'10' AS ID_EXEC, CURRENT_TIMESTAMP() AS TIME_EXEC FROM (SELECT instrmnt_id, DT_RFRNC FROM BU_LOANTAPE_WORK.LT002_INSTRUMENT WHERE ref_date='${ref_date}' AND nome_perimetro='Individual Corporativo' AND segmento='ESTR' AND ambito='PILAR3')X</v>
      </c>
      <c r="M286" s="43" t="str">
        <f t="shared" si="4"/>
        <v>UNION ALL SELECT 'INSTRUMENT' AS TABELA, 'MISSINGS' AS TIPOLOGIA_TESTE,'BU_LOANTAPE_WORK.LT002_INSTRUMENT' AS TABELA_LT,'N/A' AS TABELA_SIMUL,'DT_RFRNC' AS CAMPO, '${ref_date}' AS REF_DATE, COUNT(*) AS NUM_REG, SUM(IF(TRIM(CAST(X.DT_RFRNC AS STRING)) IN ('0000-00-00','0001-01-01','9999-12-31','MISS','00000','99999999999','99999999999.00','99999999999.000000'),1,0)) AS NUM_REG_DIF,'10' AS ID_EXEC, CURRENT_TIMESTAMP() AS TIME_EXEC FROM (SELECT instrmnt_id, DT_RFRNC FROM BU_LOANTAPE_WORK.LT002_INSTRUMENT WHERE ref_date='${ref_date}' AND nome_perimetro='Individual Corporativo' AND segmento='ESTR' AND ambito='PILAR3')X</v>
      </c>
      <c r="N286" s="45" t="s">
        <v>13</v>
      </c>
    </row>
    <row r="287" spans="2:14">
      <c r="B287" s="41" t="s">
        <v>27</v>
      </c>
      <c r="C287" s="41" t="s">
        <v>77</v>
      </c>
      <c r="D287" s="41" t="str">
        <f>+UPPER('0. Instruções'!$D$33&amp;"."&amp;VLOOKUP(B287,'0. Instruções'!$C$27:$D$31,2,FALSE))</f>
        <v>BU_LOANTAPE_WORK.LT002_INSTRUMENT</v>
      </c>
      <c r="E287" s="41" t="str">
        <f>+UPPER('0. Instruções'!$D$34&amp;"."&amp;VLOOKUP(B287,'0. Instruções'!$C$27:$E$31,3,FALSE))</f>
        <v>BU_LOANTAPE_WORK.LT002_INSTRUMENT_P3_NOV24</v>
      </c>
      <c r="F287" s="41" t="s">
        <v>157</v>
      </c>
      <c r="G287" s="41" t="s">
        <v>13</v>
      </c>
      <c r="H287" s="41"/>
      <c r="I287" s="41" t="str">
        <f>"(SELECT "&amp;VLOOKUP(B287,'0. Instruções'!$C$27:$G$31,4,FALSE)&amp;", "&amp;F287&amp;" FROM "&amp;D287&amp;" WHERE "&amp;'0. Instruções'!$D$40&amp;")X"</f>
        <v>(SELECT instrmnt_id, INSTRMNT_ID FROM BU_LOANTAPE_WORK.LT002_INSTRUMENT WHERE ref_date='${ref_date}' AND nome_perimetro='Individual Corporativo' AND segmento='ESTR' AND ambito='PILAR3')X</v>
      </c>
      <c r="J287" s="41" t="str">
        <f>"(SELECT "&amp;VLOOKUP(B287,'0. Instruções'!$C$27:$G$31,4,FALSE)&amp;" AS "&amp;VLOOKUP(B287,'0. Instruções'!$C$27:$G$31,4,FALSE)&amp;"_SIMUL, "&amp;F287&amp;" AS "&amp;F287&amp;"_SIMUL FROM "&amp;E287&amp;")Y"</f>
        <v>(SELECT instrmnt_id AS instrmnt_id_SIMUL, INSTRMNT_ID AS INSTRMNT_ID_SIMUL FROM BU_LOANTAPE_WORK.LT002_INSTRUMENT_P3_NOV24)Y</v>
      </c>
      <c r="K287" s="42" t="str">
        <f>+UPPER("ON X."&amp;VLOOKUP(B287,'0. Instruções'!$C$27:$G$31,4,FALSE)&amp;"=Y."&amp;VLOOKUP(B287,'0. Instruções'!$C$27:$G$31,4,FALSE)&amp;"_SIMUL")</f>
        <v>ON X.INSTRMNT_ID=Y.INSTRMNT_ID_SIMUL</v>
      </c>
      <c r="L287" s="42" t="str">
        <f>+IF(C287="Coerência", +IF(LEFT(G287,5)="FLOAT","SELECT '"&amp;UPPER(B287)&amp;"' AS TABELA, '"&amp;UPPER(C287)&amp;"' AS TIPOLOGIA_TESTE,'"&amp;D287&amp;"' AS TABELA_LT,'"&amp;E287&amp;"' AS TABELA_SIMUL,'"&amp;F287&amp;"' AS CAMPO, "&amp;"'${ref_date}' AS REF_DATE, COUNT(*) AS NUM_REG, SUM(IF((ABS(COALESCE(X."&amp;F287&amp;",0)-COALESCE(Y."&amp;F287&amp;"_SIMUL,0))&gt;0.0000000001) OR (X."&amp;F287&amp;" IS NULL AND Y."&amp;F287&amp;"_SIMUL IS NOT NULL ) OR (X."&amp;F287&amp;" IS NOT NULL AND Y."&amp;F287&amp;"_SIMUL IS NULL),1,0)) AS NUM_REG_DIF,'"&amp;MAX('ID1&amp;5'!K:K)+1&amp;"' AS ID_EXEC, CURRENT_TIMESTAMP() AS TIME_EXEC FROM "&amp;I287&amp;" INNER JOIN "&amp;J287&amp;" "&amp;K287,"SELECT '"&amp;UPPER(B287)&amp;"' AS TABELA, '"&amp;UPPER(C287)&amp;"' AS TIPOLOGIA_TESTE,'"&amp;D287&amp;"' AS TABELA_LT,'"&amp;E287&amp;"' AS TABELA_SIMUL,'"&amp;F287&amp;"' AS CAMPO, "&amp;"'${ref_date}' AS REF_DATE, COUNT(*) AS NUM_REG, SUM(IF(COALESCE(CAST(X."&amp;F287&amp;" AS STRING),'')&lt;&gt;COALESCE(CAST(Y."&amp;F287&amp;"_SIMUL AS STRING),''),1,0)) AS NUM_REG_DIF,'"&amp;MAX('ID1&amp;5'!L:L)+1&amp;"' AS ID_EXEC, CURRENT_TIMESTAMP() AS TIME_EXEC FROM "&amp;I287&amp;" INNER JOIN "&amp;J287&amp;" "&amp;K287),
IF(C287="Validade",+IF(G287="Code List","SELECT '"&amp;UPPER(B287)&amp;"' AS TABELA, '"&amp;UPPER(C287)&amp;"' AS TIPOLOGIA_TESTE,'"&amp;D287&amp;"' AS TABELA_LT,'N/A' AS TABELA_SIMUL,'"&amp;F287&amp;"' AS CAMPO, "&amp;"'${ref_date}' AS REF_DATE, COUNT(*) AS NUM_REG, SUM(IF(TRIM(CAST(X."&amp;F287&amp;" AS STRING))='' OR TRIM(CAST(X."&amp;F287&amp;" AS STRING)) IS NULL OR CAST(X."&amp;F287&amp;" AS STRING) NOT "&amp;H287&amp;",1,0)) AS NUM_REG_DIF,'"&amp;MAX('ID1&amp;5'!K:K)+1&amp;"' AS ID_EXEC, CURRENT_TIMESTAMP() AS TIME_EXEC FROM "&amp;I287,"SELECT '"&amp;UPPER(B287)&amp;"' AS TABELA, '"&amp;UPPER(C287)&amp;"' AS TIPOLOGIA_TESTE,'"&amp;D287&amp;"' AS TABELA_LT,'N/A' AS TABELA_SIMUL,'"&amp;F287&amp;"' AS CAMPO, "&amp;"'${ref_date}' AS REF_DATE, COUNT(*) AS NUM_REG, SUM(IF(TRIM(CAST(X."&amp;F287&amp;" AS STRING))='' OR TRIM(CAST(X."&amp;F287&amp;" AS STRING)) IS NULL,1,0)) AS NUM_REG_DIF,'"&amp;MAX('ID1&amp;5'!K:K)+1&amp;"' AS ID_EXEC, CURRENT_TIMESTAMP() AS TIME_EXEC FROM "&amp;I287),
IF(C287="Caracteres Especiais",+"SELECT '"&amp;UPPER(B287)&amp;"' AS TABELA, '"&amp;UPPER(C287)&amp;"' AS TIPOLOGIA_TESTE,'"&amp;D287&amp;"' AS TABELA_LT,'N/A' AS TABELA_SIMUL,'"&amp;F287&amp;"' AS CAMPO, "&amp;"'${ref_date}' AS REF_DATE, COUNT(*) AS NUM_REG, SUM(IF(INSTR(CAST(X."&amp;F287&amp;" AS STRING),'#')&gt;0 OR INSTR(CAST(X."&amp;F287&amp;" AS STRING),'*')&gt;0 OR INSTR(CAST(X."&amp;F287&amp;" AS STRING),'`')&gt;0 OR INSTR(CAST(X."&amp;F287&amp;" AS STRING),'´')&gt;0 OR INSTR(CAST(X."&amp;F287&amp;" AS STRING),'{')&gt;0 OR INSTR(CAST(X."&amp;F287&amp;" AS STRING),'}')&gt;0 OR INSTR(CAST(X."&amp;F287&amp;" AS STRING),'[')&gt;0 OR INSTR(CAST(X."&amp;F287&amp;" AS STRING),'')&gt;0 OR INSTR(CAST(X."&amp;F287&amp;" AS STRING),']')&gt;0 OR INSTR(CAST(X."&amp;F287&amp;" AS STRING),'?')&gt;0 OR INSTR(CAST(X."&amp;F287&amp;" AS STRING),'!')&gt;0 OR INSTR(CAST(X."&amp;F287&amp;" AS STRING),'$')&gt;0 OR INSTR(CAST(X."&amp;F287&amp;" AS STRING),'%')&gt;0 OR INSTR(CAST(X."&amp;F287&amp;" AS STRING),'&amp;')&gt;0 OR INSTR(CAST(X."&amp;F287&amp;" AS STRING),'+')&gt;0,1,0)) AS NUM_REG_DIF,'"&amp;MAX('ID1&amp;5'!K:K)+1&amp;"' AS ID_EXEC, CURRENT_TIMESTAMP() AS TIME_EXEC FROM "&amp;I287,
IF(C287="Missings",+"SELECT '"&amp;UPPER(B287)&amp;"' AS TABELA, '"&amp;UPPER(C287)&amp;"' AS TIPOLOGIA_TESTE,'"&amp;D287&amp;"' AS TABELA_LT,'N/A' AS TABELA_SIMUL,'"&amp;F287&amp;"' AS CAMPO, "&amp;"'${ref_date}' AS REF_DATE, COUNT(*) AS NUM_REG, SUM(IF(TRIM(CAST(X."&amp;F287&amp;" AS STRING)) IN ('0000-00-00','0001-01-01','9999-12-31','MISS','00000','99999999999','99999999999.00','99999999999.000000'),1,0)) AS NUM_REG_DIF,'"&amp;MAX('ID1&amp;5'!K:K)+1&amp;"' AS ID_EXEC, CURRENT_TIMESTAMP() AS TIME_EXEC FROM "&amp;I287,
IF(C287="Not applicable",+"SELECT '"&amp;UPPER(B287)&amp;"' AS TABELA, '"&amp;UPPER(C287)&amp;"' AS TIPOLOGIA_TESTE,'"&amp;D287&amp;"' AS TABELA_LT,'N/A' AS TABELA_SIMUL,'"&amp;F287&amp;"' AS CAMPO, "&amp;"'${ref_date}' AS REF_DATE, COUNT(*) AS NUM_REG, SUM(IF(TRIM(CAST(X."&amp;F287&amp;" AS STRING)) IN ('N/A','11111111111','11111111111.00','11111111111.000000','1111-11-11'),1,0)) AS NUM_REG_DIF,'"&amp;MAX('ID1&amp;5'!K:K)+1&amp;"' AS ID_EXEC, CURRENT_TIMESTAMP() AS TIME_EXEC FROM "&amp;I287,
IF(C287="Valores extremos",+"SELECT '"&amp;UPPER(B287)&amp;"' AS TABELA, '"&amp;UPPER(C287)&amp;"' AS TIPOLOGIA_TESTE,'"&amp;D287&amp;"' AS TABELA_LT,'N/A' AS TABELA_SIMUL,'"&amp;F287&amp;"' AS CAMPO, "&amp;"'${ref_date}' AS REF_DATE, CAST(MIN("&amp;F287&amp;") AS STRING) AS VALOR_MIN, CAST(MAX("&amp;F287&amp;") AS STRING) AS VALOR_MAX,'"&amp;MAX('ID1&amp;5'!K:K)+1&amp;"' AS ID_EXEC, CURRENT_TIMESTAMP() AS TIME_EXEC FROM "&amp;MID(I287,1,LEN(I287)-2)&amp;" AND CAST("&amp;F287&amp;"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TABELA_SIMUL,'INSTRMNT_ID' AS CAMPO, '${ref_date}' AS REF_DATE, COUNT(*) AS NUM_REG, SUM(IF(TRIM(CAST(X.INSTRMNT_ID AS STRING)) IN ('0000-00-00','0001-01-01','9999-12-31','MISS','00000','99999999999','99999999999.00','99999999999.000000'),1,0)) AS NUM_REG_DIF,'10' AS ID_EXEC, CURRENT_TIMESTAMP() AS TIME_EXEC FROM (SELECT instrmnt_id, INSTRMNT_ID FROM BU_LOANTAPE_WORK.LT002_INSTRUMENT WHERE ref_date='${ref_date}' AND nome_perimetro='Individual Corporativo' AND segmento='ESTR' AND ambito='PILAR3')X</v>
      </c>
      <c r="M287" s="43" t="str">
        <f t="shared" si="4"/>
        <v>UNION ALL SELECT 'INSTRUMENT' AS TABELA, 'MISSINGS' AS TIPOLOGIA_TESTE,'BU_LOANTAPE_WORK.LT002_INSTRUMENT' AS TABELA_LT,'N/A' AS TABELA_SIMUL,'INSTRMNT_ID' AS CAMPO, '${ref_date}' AS REF_DATE, COUNT(*) AS NUM_REG, SUM(IF(TRIM(CAST(X.INSTRMNT_ID AS STRING)) IN ('0000-00-00','0001-01-01','9999-12-31','MISS','00000','99999999999','99999999999.00','99999999999.000000'),1,0)) AS NUM_REG_DIF,'10' AS ID_EXEC, CURRENT_TIMESTAMP() AS TIME_EXEC FROM (SELECT instrmnt_id, INSTRMNT_ID FROM BU_LOANTAPE_WORK.LT002_INSTRUMENT WHERE ref_date='${ref_date}' AND nome_perimetro='Individual Corporativo' AND segmento='ESTR' AND ambito='PILAR3')X</v>
      </c>
      <c r="N287" s="45" t="s">
        <v>13</v>
      </c>
    </row>
    <row r="288" spans="2:14">
      <c r="B288" s="41" t="s">
        <v>27</v>
      </c>
      <c r="C288" s="41" t="s">
        <v>77</v>
      </c>
      <c r="D288" s="41" t="str">
        <f>+UPPER('0. Instruções'!$D$33&amp;"."&amp;VLOOKUP(B288,'0. Instruções'!$C$27:$D$31,2,FALSE))</f>
        <v>BU_LOANTAPE_WORK.LT002_INSTRUMENT</v>
      </c>
      <c r="E288" s="41" t="str">
        <f>+UPPER('0. Instruções'!$D$34&amp;"."&amp;VLOOKUP(B288,'0. Instruções'!$C$27:$E$31,3,FALSE))</f>
        <v>BU_LOANTAPE_WORK.LT002_INSTRUMENT_P3_NOV24</v>
      </c>
      <c r="F288" s="41" t="s">
        <v>158</v>
      </c>
      <c r="G288" s="41" t="s">
        <v>13</v>
      </c>
      <c r="H288" s="41"/>
      <c r="I288" s="41" t="str">
        <f>"(SELECT "&amp;VLOOKUP(B288,'0. Instruções'!$C$27:$G$31,4,FALSE)&amp;", "&amp;F288&amp;" FROM "&amp;D288&amp;" WHERE "&amp;'0. Instruções'!$D$40&amp;")X"</f>
        <v>(SELECT instrmnt_id, DT_INCPTN FROM BU_LOANTAPE_WORK.LT002_INSTRUMENT WHERE ref_date='${ref_date}' AND nome_perimetro='Individual Corporativo' AND segmento='ESTR' AND ambito='PILAR3')X</v>
      </c>
      <c r="J288" s="41" t="str">
        <f>"(SELECT "&amp;VLOOKUP(B288,'0. Instruções'!$C$27:$G$31,4,FALSE)&amp;" AS "&amp;VLOOKUP(B288,'0. Instruções'!$C$27:$G$31,4,FALSE)&amp;"_SIMUL, "&amp;F288&amp;" AS "&amp;F288&amp;"_SIMUL FROM "&amp;E288&amp;")Y"</f>
        <v>(SELECT instrmnt_id AS instrmnt_id_SIMUL, DT_INCPTN AS DT_INCPTN_SIMUL FROM BU_LOANTAPE_WORK.LT002_INSTRUMENT_P3_NOV24)Y</v>
      </c>
      <c r="K288" s="42" t="str">
        <f>+UPPER("ON X."&amp;VLOOKUP(B288,'0. Instruções'!$C$27:$G$31,4,FALSE)&amp;"=Y."&amp;VLOOKUP(B288,'0. Instruções'!$C$27:$G$31,4,FALSE)&amp;"_SIMUL")</f>
        <v>ON X.INSTRMNT_ID=Y.INSTRMNT_ID_SIMUL</v>
      </c>
      <c r="L288" s="42" t="str">
        <f>+IF(C288="Coerência", +IF(LEFT(G288,5)="FLOAT","SELECT '"&amp;UPPER(B288)&amp;"' AS TABELA, '"&amp;UPPER(C288)&amp;"' AS TIPOLOGIA_TESTE,'"&amp;D288&amp;"' AS TABELA_LT,'"&amp;E288&amp;"' AS TABELA_SIMUL,'"&amp;F288&amp;"' AS CAMPO, "&amp;"'${ref_date}' AS REF_DATE, COUNT(*) AS NUM_REG, SUM(IF((ABS(COALESCE(X."&amp;F288&amp;",0)-COALESCE(Y."&amp;F288&amp;"_SIMUL,0))&gt;0.0000000001) OR (X."&amp;F288&amp;" IS NULL AND Y."&amp;F288&amp;"_SIMUL IS NOT NULL ) OR (X."&amp;F288&amp;" IS NOT NULL AND Y."&amp;F288&amp;"_SIMUL IS NULL),1,0)) AS NUM_REG_DIF,'"&amp;MAX('ID1&amp;5'!K:K)+1&amp;"' AS ID_EXEC, CURRENT_TIMESTAMP() AS TIME_EXEC FROM "&amp;I288&amp;" INNER JOIN "&amp;J288&amp;" "&amp;K288,"SELECT '"&amp;UPPER(B288)&amp;"' AS TABELA, '"&amp;UPPER(C288)&amp;"' AS TIPOLOGIA_TESTE,'"&amp;D288&amp;"' AS TABELA_LT,'"&amp;E288&amp;"' AS TABELA_SIMUL,'"&amp;F288&amp;"' AS CAMPO, "&amp;"'${ref_date}' AS REF_DATE, COUNT(*) AS NUM_REG, SUM(IF(COALESCE(CAST(X."&amp;F288&amp;" AS STRING),'')&lt;&gt;COALESCE(CAST(Y."&amp;F288&amp;"_SIMUL AS STRING),''),1,0)) AS NUM_REG_DIF,'"&amp;MAX('ID1&amp;5'!L:L)+1&amp;"' AS ID_EXEC, CURRENT_TIMESTAMP() AS TIME_EXEC FROM "&amp;I288&amp;" INNER JOIN "&amp;J288&amp;" "&amp;K288),
IF(C288="Validade",+IF(G288="Code List","SELECT '"&amp;UPPER(B288)&amp;"' AS TABELA, '"&amp;UPPER(C288)&amp;"' AS TIPOLOGIA_TESTE,'"&amp;D288&amp;"' AS TABELA_LT,'N/A' AS TABELA_SIMUL,'"&amp;F288&amp;"' AS CAMPO, "&amp;"'${ref_date}' AS REF_DATE, COUNT(*) AS NUM_REG, SUM(IF(TRIM(CAST(X."&amp;F288&amp;" AS STRING))='' OR TRIM(CAST(X."&amp;F288&amp;" AS STRING)) IS NULL OR CAST(X."&amp;F288&amp;" AS STRING) NOT "&amp;H288&amp;",1,0)) AS NUM_REG_DIF,'"&amp;MAX('ID1&amp;5'!K:K)+1&amp;"' AS ID_EXEC, CURRENT_TIMESTAMP() AS TIME_EXEC FROM "&amp;I288,"SELECT '"&amp;UPPER(B288)&amp;"' AS TABELA, '"&amp;UPPER(C288)&amp;"' AS TIPOLOGIA_TESTE,'"&amp;D288&amp;"' AS TABELA_LT,'N/A' AS TABELA_SIMUL,'"&amp;F288&amp;"' AS CAMPO, "&amp;"'${ref_date}' AS REF_DATE, COUNT(*) AS NUM_REG, SUM(IF(TRIM(CAST(X."&amp;F288&amp;" AS STRING))='' OR TRIM(CAST(X."&amp;F288&amp;" AS STRING)) IS NULL,1,0)) AS NUM_REG_DIF,'"&amp;MAX('ID1&amp;5'!K:K)+1&amp;"' AS ID_EXEC, CURRENT_TIMESTAMP() AS TIME_EXEC FROM "&amp;I288),
IF(C288="Caracteres Especiais",+"SELECT '"&amp;UPPER(B288)&amp;"' AS TABELA, '"&amp;UPPER(C288)&amp;"' AS TIPOLOGIA_TESTE,'"&amp;D288&amp;"' AS TABELA_LT,'N/A' AS TABELA_SIMUL,'"&amp;F288&amp;"' AS CAMPO, "&amp;"'${ref_date}' AS REF_DATE, COUNT(*) AS NUM_REG, SUM(IF(INSTR(CAST(X."&amp;F288&amp;" AS STRING),'#')&gt;0 OR INSTR(CAST(X."&amp;F288&amp;" AS STRING),'*')&gt;0 OR INSTR(CAST(X."&amp;F288&amp;" AS STRING),'`')&gt;0 OR INSTR(CAST(X."&amp;F288&amp;" AS STRING),'´')&gt;0 OR INSTR(CAST(X."&amp;F288&amp;" AS STRING),'{')&gt;0 OR INSTR(CAST(X."&amp;F288&amp;" AS STRING),'}')&gt;0 OR INSTR(CAST(X."&amp;F288&amp;" AS STRING),'[')&gt;0 OR INSTR(CAST(X."&amp;F288&amp;" AS STRING),'')&gt;0 OR INSTR(CAST(X."&amp;F288&amp;" AS STRING),']')&gt;0 OR INSTR(CAST(X."&amp;F288&amp;" AS STRING),'?')&gt;0 OR INSTR(CAST(X."&amp;F288&amp;" AS STRING),'!')&gt;0 OR INSTR(CAST(X."&amp;F288&amp;" AS STRING),'$')&gt;0 OR INSTR(CAST(X."&amp;F288&amp;" AS STRING),'%')&gt;0 OR INSTR(CAST(X."&amp;F288&amp;" AS STRING),'&amp;')&gt;0 OR INSTR(CAST(X."&amp;F288&amp;" AS STRING),'+')&gt;0,1,0)) AS NUM_REG_DIF,'"&amp;MAX('ID1&amp;5'!K:K)+1&amp;"' AS ID_EXEC, CURRENT_TIMESTAMP() AS TIME_EXEC FROM "&amp;I288,
IF(C288="Missings",+"SELECT '"&amp;UPPER(B288)&amp;"' AS TABELA, '"&amp;UPPER(C288)&amp;"' AS TIPOLOGIA_TESTE,'"&amp;D288&amp;"' AS TABELA_LT,'N/A' AS TABELA_SIMUL,'"&amp;F288&amp;"' AS CAMPO, "&amp;"'${ref_date}' AS REF_DATE, COUNT(*) AS NUM_REG, SUM(IF(TRIM(CAST(X."&amp;F288&amp;" AS STRING)) IN ('0000-00-00','0001-01-01','9999-12-31','MISS','00000','99999999999','99999999999.00','99999999999.000000'),1,0)) AS NUM_REG_DIF,'"&amp;MAX('ID1&amp;5'!K:K)+1&amp;"' AS ID_EXEC, CURRENT_TIMESTAMP() AS TIME_EXEC FROM "&amp;I288,
IF(C288="Not applicable",+"SELECT '"&amp;UPPER(B288)&amp;"' AS TABELA, '"&amp;UPPER(C288)&amp;"' AS TIPOLOGIA_TESTE,'"&amp;D288&amp;"' AS TABELA_LT,'N/A' AS TABELA_SIMUL,'"&amp;F288&amp;"' AS CAMPO, "&amp;"'${ref_date}' AS REF_DATE, COUNT(*) AS NUM_REG, SUM(IF(TRIM(CAST(X."&amp;F288&amp;" AS STRING)) IN ('N/A','11111111111','11111111111.00','11111111111.000000','1111-11-11'),1,0)) AS NUM_REG_DIF,'"&amp;MAX('ID1&amp;5'!K:K)+1&amp;"' AS ID_EXEC, CURRENT_TIMESTAMP() AS TIME_EXEC FROM "&amp;I288,
IF(C288="Valores extremos",+"SELECT '"&amp;UPPER(B288)&amp;"' AS TABELA, '"&amp;UPPER(C288)&amp;"' AS TIPOLOGIA_TESTE,'"&amp;D288&amp;"' AS TABELA_LT,'N/A' AS TABELA_SIMUL,'"&amp;F288&amp;"' AS CAMPO, "&amp;"'${ref_date}' AS REF_DATE, CAST(MIN("&amp;F288&amp;") AS STRING) AS VALOR_MIN, CAST(MAX("&amp;F288&amp;") AS STRING) AS VALOR_MAX,'"&amp;MAX('ID1&amp;5'!K:K)+1&amp;"' AS ID_EXEC, CURRENT_TIMESTAMP() AS TIME_EXEC FROM "&amp;MID(I288,1,LEN(I288)-2)&amp;" AND CAST("&amp;F288&amp;"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TABELA_SIMUL,'DT_INCPTN' AS CAMPO, '${ref_date}' AS REF_DATE, COUNT(*) AS NUM_REG, SUM(IF(TRIM(CAST(X.DT_INCPTN AS STRING)) IN ('0000-00-00','0001-01-01','9999-12-31','MISS','00000','99999999999','99999999999.00','99999999999.000000'),1,0)) AS NUM_REG_DIF,'10' AS ID_EXEC, CURRENT_TIMESTAMP() AS TIME_EXEC FROM (SELECT instrmnt_id, DT_INCPTN FROM BU_LOANTAPE_WORK.LT002_INSTRUMENT WHERE ref_date='${ref_date}' AND nome_perimetro='Individual Corporativo' AND segmento='ESTR' AND ambito='PILAR3')X</v>
      </c>
      <c r="M288" s="43" t="str">
        <f t="shared" si="4"/>
        <v>UNION ALL SELECT 'INSTRUMENT' AS TABELA, 'MISSINGS' AS TIPOLOGIA_TESTE,'BU_LOANTAPE_WORK.LT002_INSTRUMENT' AS TABELA_LT,'N/A' AS TABELA_SIMUL,'DT_INCPTN' AS CAMPO, '${ref_date}' AS REF_DATE, COUNT(*) AS NUM_REG, SUM(IF(TRIM(CAST(X.DT_INCPTN AS STRING)) IN ('0000-00-00','0001-01-01','9999-12-31','MISS','00000','99999999999','99999999999.00','99999999999.000000'),1,0)) AS NUM_REG_DIF,'10' AS ID_EXEC, CURRENT_TIMESTAMP() AS TIME_EXEC FROM (SELECT instrmnt_id, DT_INCPTN FROM BU_LOANTAPE_WORK.LT002_INSTRUMENT WHERE ref_date='${ref_date}' AND nome_perimetro='Individual Corporativo' AND segmento='ESTR' AND ambito='PILAR3')X</v>
      </c>
      <c r="N288" s="45" t="s">
        <v>13</v>
      </c>
    </row>
    <row r="289" spans="2:14">
      <c r="B289" s="41" t="s">
        <v>27</v>
      </c>
      <c r="C289" s="41" t="s">
        <v>77</v>
      </c>
      <c r="D289" s="41" t="str">
        <f>+UPPER('0. Instruções'!$D$33&amp;"."&amp;VLOOKUP(B289,'0. Instruções'!$C$27:$D$31,2,FALSE))</f>
        <v>BU_LOANTAPE_WORK.LT002_INSTRUMENT</v>
      </c>
      <c r="E289" s="41" t="str">
        <f>+UPPER('0. Instruções'!$D$34&amp;"."&amp;VLOOKUP(B289,'0. Instruções'!$C$27:$E$31,3,FALSE))</f>
        <v>BU_LOANTAPE_WORK.LT002_INSTRUMENT_P3_NOV24</v>
      </c>
      <c r="F289" s="41" t="s">
        <v>159</v>
      </c>
      <c r="G289" s="41" t="s">
        <v>13</v>
      </c>
      <c r="H289" s="41"/>
      <c r="I289" s="41" t="str">
        <f>"(SELECT "&amp;VLOOKUP(B289,'0. Instruções'!$C$27:$G$31,4,FALSE)&amp;", "&amp;F289&amp;" FROM "&amp;D289&amp;" WHERE "&amp;'0. Instruções'!$D$40&amp;")X"</f>
        <v>(SELECT instrmnt_id, DFLT_STTS_INSTRMNT FROM BU_LOANTAPE_WORK.LT002_INSTRUMENT WHERE ref_date='${ref_date}' AND nome_perimetro='Individual Corporativo' AND segmento='ESTR' AND ambito='PILAR3')X</v>
      </c>
      <c r="J289" s="41" t="str">
        <f>"(SELECT "&amp;VLOOKUP(B289,'0. Instruções'!$C$27:$G$31,4,FALSE)&amp;" AS "&amp;VLOOKUP(B289,'0. Instruções'!$C$27:$G$31,4,FALSE)&amp;"_SIMUL, "&amp;F289&amp;" AS "&amp;F289&amp;"_SIMUL FROM "&amp;E289&amp;")Y"</f>
        <v>(SELECT instrmnt_id AS instrmnt_id_SIMUL, DFLT_STTS_INSTRMNT AS DFLT_STTS_INSTRMNT_SIMUL FROM BU_LOANTAPE_WORK.LT002_INSTRUMENT_P3_NOV24)Y</v>
      </c>
      <c r="K289" s="42" t="str">
        <f>+UPPER("ON X."&amp;VLOOKUP(B289,'0. Instruções'!$C$27:$G$31,4,FALSE)&amp;"=Y."&amp;VLOOKUP(B289,'0. Instruções'!$C$27:$G$31,4,FALSE)&amp;"_SIMUL")</f>
        <v>ON X.INSTRMNT_ID=Y.INSTRMNT_ID_SIMUL</v>
      </c>
      <c r="L289" s="42" t="str">
        <f>+IF(C289="Coerência", +IF(LEFT(G289,5)="FLOAT","SELECT '"&amp;UPPER(B289)&amp;"' AS TABELA, '"&amp;UPPER(C289)&amp;"' AS TIPOLOGIA_TESTE,'"&amp;D289&amp;"' AS TABELA_LT,'"&amp;E289&amp;"' AS TABELA_SIMUL,'"&amp;F289&amp;"' AS CAMPO, "&amp;"'${ref_date}' AS REF_DATE, COUNT(*) AS NUM_REG, SUM(IF((ABS(COALESCE(X."&amp;F289&amp;",0)-COALESCE(Y."&amp;F289&amp;"_SIMUL,0))&gt;0.0000000001) OR (X."&amp;F289&amp;" IS NULL AND Y."&amp;F289&amp;"_SIMUL IS NOT NULL ) OR (X."&amp;F289&amp;" IS NOT NULL AND Y."&amp;F289&amp;"_SIMUL IS NULL),1,0)) AS NUM_REG_DIF,'"&amp;MAX('ID1&amp;5'!K:K)+1&amp;"' AS ID_EXEC, CURRENT_TIMESTAMP() AS TIME_EXEC FROM "&amp;I289&amp;" INNER JOIN "&amp;J289&amp;" "&amp;K289,"SELECT '"&amp;UPPER(B289)&amp;"' AS TABELA, '"&amp;UPPER(C289)&amp;"' AS TIPOLOGIA_TESTE,'"&amp;D289&amp;"' AS TABELA_LT,'"&amp;E289&amp;"' AS TABELA_SIMUL,'"&amp;F289&amp;"' AS CAMPO, "&amp;"'${ref_date}' AS REF_DATE, COUNT(*) AS NUM_REG, SUM(IF(COALESCE(CAST(X."&amp;F289&amp;" AS STRING),'')&lt;&gt;COALESCE(CAST(Y."&amp;F289&amp;"_SIMUL AS STRING),''),1,0)) AS NUM_REG_DIF,'"&amp;MAX('ID1&amp;5'!L:L)+1&amp;"' AS ID_EXEC, CURRENT_TIMESTAMP() AS TIME_EXEC FROM "&amp;I289&amp;" INNER JOIN "&amp;J289&amp;" "&amp;K289),
IF(C289="Validade",+IF(G289="Code List","SELECT '"&amp;UPPER(B289)&amp;"' AS TABELA, '"&amp;UPPER(C289)&amp;"' AS TIPOLOGIA_TESTE,'"&amp;D289&amp;"' AS TABELA_LT,'N/A' AS TABELA_SIMUL,'"&amp;F289&amp;"' AS CAMPO, "&amp;"'${ref_date}' AS REF_DATE, COUNT(*) AS NUM_REG, SUM(IF(TRIM(CAST(X."&amp;F289&amp;" AS STRING))='' OR TRIM(CAST(X."&amp;F289&amp;" AS STRING)) IS NULL OR CAST(X."&amp;F289&amp;" AS STRING) NOT "&amp;H289&amp;",1,0)) AS NUM_REG_DIF,'"&amp;MAX('ID1&amp;5'!K:K)+1&amp;"' AS ID_EXEC, CURRENT_TIMESTAMP() AS TIME_EXEC FROM "&amp;I289,"SELECT '"&amp;UPPER(B289)&amp;"' AS TABELA, '"&amp;UPPER(C289)&amp;"' AS TIPOLOGIA_TESTE,'"&amp;D289&amp;"' AS TABELA_LT,'N/A' AS TABELA_SIMUL,'"&amp;F289&amp;"' AS CAMPO, "&amp;"'${ref_date}' AS REF_DATE, COUNT(*) AS NUM_REG, SUM(IF(TRIM(CAST(X."&amp;F289&amp;" AS STRING))='' OR TRIM(CAST(X."&amp;F289&amp;" AS STRING)) IS NULL,1,0)) AS NUM_REG_DIF,'"&amp;MAX('ID1&amp;5'!K:K)+1&amp;"' AS ID_EXEC, CURRENT_TIMESTAMP() AS TIME_EXEC FROM "&amp;I289),
IF(C289="Caracteres Especiais",+"SELECT '"&amp;UPPER(B289)&amp;"' AS TABELA, '"&amp;UPPER(C289)&amp;"' AS TIPOLOGIA_TESTE,'"&amp;D289&amp;"' AS TABELA_LT,'N/A' AS TABELA_SIMUL,'"&amp;F289&amp;"' AS CAMPO, "&amp;"'${ref_date}' AS REF_DATE, COUNT(*) AS NUM_REG, SUM(IF(INSTR(CAST(X."&amp;F289&amp;" AS STRING),'#')&gt;0 OR INSTR(CAST(X."&amp;F289&amp;" AS STRING),'*')&gt;0 OR INSTR(CAST(X."&amp;F289&amp;" AS STRING),'`')&gt;0 OR INSTR(CAST(X."&amp;F289&amp;" AS STRING),'´')&gt;0 OR INSTR(CAST(X."&amp;F289&amp;" AS STRING),'{')&gt;0 OR INSTR(CAST(X."&amp;F289&amp;" AS STRING),'}')&gt;0 OR INSTR(CAST(X."&amp;F289&amp;" AS STRING),'[')&gt;0 OR INSTR(CAST(X."&amp;F289&amp;" AS STRING),'')&gt;0 OR INSTR(CAST(X."&amp;F289&amp;" AS STRING),']')&gt;0 OR INSTR(CAST(X."&amp;F289&amp;" AS STRING),'?')&gt;0 OR INSTR(CAST(X."&amp;F289&amp;" AS STRING),'!')&gt;0 OR INSTR(CAST(X."&amp;F289&amp;" AS STRING),'$')&gt;0 OR INSTR(CAST(X."&amp;F289&amp;" AS STRING),'%')&gt;0 OR INSTR(CAST(X."&amp;F289&amp;" AS STRING),'&amp;')&gt;0 OR INSTR(CAST(X."&amp;F289&amp;" AS STRING),'+')&gt;0,1,0)) AS NUM_REG_DIF,'"&amp;MAX('ID1&amp;5'!K:K)+1&amp;"' AS ID_EXEC, CURRENT_TIMESTAMP() AS TIME_EXEC FROM "&amp;I289,
IF(C289="Missings",+"SELECT '"&amp;UPPER(B289)&amp;"' AS TABELA, '"&amp;UPPER(C289)&amp;"' AS TIPOLOGIA_TESTE,'"&amp;D289&amp;"' AS TABELA_LT,'N/A' AS TABELA_SIMUL,'"&amp;F289&amp;"' AS CAMPO, "&amp;"'${ref_date}' AS REF_DATE, COUNT(*) AS NUM_REG, SUM(IF(TRIM(CAST(X."&amp;F289&amp;" AS STRING)) IN ('0000-00-00','0001-01-01','9999-12-31','MISS','00000','99999999999','99999999999.00','99999999999.000000'),1,0)) AS NUM_REG_DIF,'"&amp;MAX('ID1&amp;5'!K:K)+1&amp;"' AS ID_EXEC, CURRENT_TIMESTAMP() AS TIME_EXEC FROM "&amp;I289,
IF(C289="Not applicable",+"SELECT '"&amp;UPPER(B289)&amp;"' AS TABELA, '"&amp;UPPER(C289)&amp;"' AS TIPOLOGIA_TESTE,'"&amp;D289&amp;"' AS TABELA_LT,'N/A' AS TABELA_SIMUL,'"&amp;F289&amp;"' AS CAMPO, "&amp;"'${ref_date}' AS REF_DATE, COUNT(*) AS NUM_REG, SUM(IF(TRIM(CAST(X."&amp;F289&amp;" AS STRING)) IN ('N/A','11111111111','11111111111.00','11111111111.000000','1111-11-11'),1,0)) AS NUM_REG_DIF,'"&amp;MAX('ID1&amp;5'!K:K)+1&amp;"' AS ID_EXEC, CURRENT_TIMESTAMP() AS TIME_EXEC FROM "&amp;I289,
IF(C289="Valores extremos",+"SELECT '"&amp;UPPER(B289)&amp;"' AS TABELA, '"&amp;UPPER(C289)&amp;"' AS TIPOLOGIA_TESTE,'"&amp;D289&amp;"' AS TABELA_LT,'N/A' AS TABELA_SIMUL,'"&amp;F289&amp;"' AS CAMPO, "&amp;"'${ref_date}' AS REF_DATE, CAST(MIN("&amp;F289&amp;") AS STRING) AS VALOR_MIN, CAST(MAX("&amp;F289&amp;") AS STRING) AS VALOR_MAX,'"&amp;MAX('ID1&amp;5'!K:K)+1&amp;"' AS ID_EXEC, CURRENT_TIMESTAMP() AS TIME_EXEC FROM "&amp;MID(I289,1,LEN(I289)-2)&amp;" AND CAST("&amp;F289&amp;"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TABELA_SIMUL,'DFLT_STTS_INSTRMNT' AS CAMPO, '${ref_date}' AS REF_DATE, COUNT(*) AS NUM_REG, SUM(IF(TRIM(CAST(X.DFLT_STTS_INSTRMNT AS STRING)) IN ('0000-00-00','0001-01-01','9999-12-31','MISS','00000','99999999999','99999999999.00','99999999999.000000'),1,0)) AS NUM_REG_DIF,'10' AS ID_EXEC, CURRENT_TIMESTAMP() AS TIME_EXEC FROM (SELECT instrmnt_id, DFLT_STTS_INSTRMNT FROM BU_LOANTAPE_WORK.LT002_INSTRUMENT WHERE ref_date='${ref_date}' AND nome_perimetro='Individual Corporativo' AND segmento='ESTR' AND ambito='PILAR3')X</v>
      </c>
      <c r="M289" s="43" t="str">
        <f t="shared" si="4"/>
        <v>UNION ALL SELECT 'INSTRUMENT' AS TABELA, 'MISSINGS' AS TIPOLOGIA_TESTE,'BU_LOANTAPE_WORK.LT002_INSTRUMENT' AS TABELA_LT,'N/A' AS TABELA_SIMUL,'DFLT_STTS_INSTRMNT' AS CAMPO, '${ref_date}' AS REF_DATE, COUNT(*) AS NUM_REG, SUM(IF(TRIM(CAST(X.DFLT_STTS_INSTRMNT AS STRING)) IN ('0000-00-00','0001-01-01','9999-12-31','MISS','00000','99999999999','99999999999.00','99999999999.000000'),1,0)) AS NUM_REG_DIF,'10' AS ID_EXEC, CURRENT_TIMESTAMP() AS TIME_EXEC FROM (SELECT instrmnt_id, DFLT_STTS_INSTRMNT FROM BU_LOANTAPE_WORK.LT002_INSTRUMENT WHERE ref_date='${ref_date}' AND nome_perimetro='Individual Corporativo' AND segmento='ESTR' AND ambito='PILAR3')X</v>
      </c>
      <c r="N289" s="45" t="s">
        <v>13</v>
      </c>
    </row>
    <row r="290" spans="2:14">
      <c r="B290" s="41" t="s">
        <v>27</v>
      </c>
      <c r="C290" s="41" t="s">
        <v>77</v>
      </c>
      <c r="D290" s="41" t="str">
        <f>+UPPER('0. Instruções'!$D$33&amp;"."&amp;VLOOKUP(B290,'0. Instruções'!$C$27:$D$31,2,FALSE))</f>
        <v>BU_LOANTAPE_WORK.LT002_INSTRUMENT</v>
      </c>
      <c r="E290" s="41" t="str">
        <f>+UPPER('0. Instruções'!$D$34&amp;"."&amp;VLOOKUP(B290,'0. Instruções'!$C$27:$E$31,3,FALSE))</f>
        <v>BU_LOANTAPE_WORK.LT002_INSTRUMENT_P3_NOV24</v>
      </c>
      <c r="F290" s="41" t="s">
        <v>160</v>
      </c>
      <c r="G290" s="41" t="s">
        <v>13</v>
      </c>
      <c r="H290" s="41"/>
      <c r="I290" s="41" t="str">
        <f>"(SELECT "&amp;VLOOKUP(B290,'0. Instruções'!$C$27:$G$31,4,FALSE)&amp;", "&amp;F290&amp;" FROM "&amp;D290&amp;" WHERE "&amp;'0. Instruções'!$D$40&amp;")X"</f>
        <v>(SELECT instrmnt_id, IMPRMNT_STTS FROM BU_LOANTAPE_WORK.LT002_INSTRUMENT WHERE ref_date='${ref_date}' AND nome_perimetro='Individual Corporativo' AND segmento='ESTR' AND ambito='PILAR3')X</v>
      </c>
      <c r="J290" s="41" t="str">
        <f>"(SELECT "&amp;VLOOKUP(B290,'0. Instruções'!$C$27:$G$31,4,FALSE)&amp;" AS "&amp;VLOOKUP(B290,'0. Instruções'!$C$27:$G$31,4,FALSE)&amp;"_SIMUL, "&amp;F290&amp;" AS "&amp;F290&amp;"_SIMUL FROM "&amp;E290&amp;")Y"</f>
        <v>(SELECT instrmnt_id AS instrmnt_id_SIMUL, IMPRMNT_STTS AS IMPRMNT_STTS_SIMUL FROM BU_LOANTAPE_WORK.LT002_INSTRUMENT_P3_NOV24)Y</v>
      </c>
      <c r="K290" s="42" t="str">
        <f>+UPPER("ON X."&amp;VLOOKUP(B290,'0. Instruções'!$C$27:$G$31,4,FALSE)&amp;"=Y."&amp;VLOOKUP(B290,'0. Instruções'!$C$27:$G$31,4,FALSE)&amp;"_SIMUL")</f>
        <v>ON X.INSTRMNT_ID=Y.INSTRMNT_ID_SIMUL</v>
      </c>
      <c r="L290" s="42" t="str">
        <f>+IF(C290="Coerência", +IF(LEFT(G290,5)="FLOAT","SELECT '"&amp;UPPER(B290)&amp;"' AS TABELA, '"&amp;UPPER(C290)&amp;"' AS TIPOLOGIA_TESTE,'"&amp;D290&amp;"' AS TABELA_LT,'"&amp;E290&amp;"' AS TABELA_SIMUL,'"&amp;F290&amp;"' AS CAMPO, "&amp;"'${ref_date}' AS REF_DATE, COUNT(*) AS NUM_REG, SUM(IF((ABS(COALESCE(X."&amp;F290&amp;",0)-COALESCE(Y."&amp;F290&amp;"_SIMUL,0))&gt;0.0000000001) OR (X."&amp;F290&amp;" IS NULL AND Y."&amp;F290&amp;"_SIMUL IS NOT NULL ) OR (X."&amp;F290&amp;" IS NOT NULL AND Y."&amp;F290&amp;"_SIMUL IS NULL),1,0)) AS NUM_REG_DIF,'"&amp;MAX('ID1&amp;5'!K:K)+1&amp;"' AS ID_EXEC, CURRENT_TIMESTAMP() AS TIME_EXEC FROM "&amp;I290&amp;" INNER JOIN "&amp;J290&amp;" "&amp;K290,"SELECT '"&amp;UPPER(B290)&amp;"' AS TABELA, '"&amp;UPPER(C290)&amp;"' AS TIPOLOGIA_TESTE,'"&amp;D290&amp;"' AS TABELA_LT,'"&amp;E290&amp;"' AS TABELA_SIMUL,'"&amp;F290&amp;"' AS CAMPO, "&amp;"'${ref_date}' AS REF_DATE, COUNT(*) AS NUM_REG, SUM(IF(COALESCE(CAST(X."&amp;F290&amp;" AS STRING),'')&lt;&gt;COALESCE(CAST(Y."&amp;F290&amp;"_SIMUL AS STRING),''),1,0)) AS NUM_REG_DIF,'"&amp;MAX('ID1&amp;5'!L:L)+1&amp;"' AS ID_EXEC, CURRENT_TIMESTAMP() AS TIME_EXEC FROM "&amp;I290&amp;" INNER JOIN "&amp;J290&amp;" "&amp;K290),
IF(C290="Validade",+IF(G290="Code List","SELECT '"&amp;UPPER(B290)&amp;"' AS TABELA, '"&amp;UPPER(C290)&amp;"' AS TIPOLOGIA_TESTE,'"&amp;D290&amp;"' AS TABELA_LT,'N/A' AS TABELA_SIMUL,'"&amp;F290&amp;"' AS CAMPO, "&amp;"'${ref_date}' AS REF_DATE, COUNT(*) AS NUM_REG, SUM(IF(TRIM(CAST(X."&amp;F290&amp;" AS STRING))='' OR TRIM(CAST(X."&amp;F290&amp;" AS STRING)) IS NULL OR CAST(X."&amp;F290&amp;" AS STRING) NOT "&amp;H290&amp;",1,0)) AS NUM_REG_DIF,'"&amp;MAX('ID1&amp;5'!K:K)+1&amp;"' AS ID_EXEC, CURRENT_TIMESTAMP() AS TIME_EXEC FROM "&amp;I290,"SELECT '"&amp;UPPER(B290)&amp;"' AS TABELA, '"&amp;UPPER(C290)&amp;"' AS TIPOLOGIA_TESTE,'"&amp;D290&amp;"' AS TABELA_LT,'N/A' AS TABELA_SIMUL,'"&amp;F290&amp;"' AS CAMPO, "&amp;"'${ref_date}' AS REF_DATE, COUNT(*) AS NUM_REG, SUM(IF(TRIM(CAST(X."&amp;F290&amp;" AS STRING))='' OR TRIM(CAST(X."&amp;F290&amp;" AS STRING)) IS NULL,1,0)) AS NUM_REG_DIF,'"&amp;MAX('ID1&amp;5'!K:K)+1&amp;"' AS ID_EXEC, CURRENT_TIMESTAMP() AS TIME_EXEC FROM "&amp;I290),
IF(C290="Caracteres Especiais",+"SELECT '"&amp;UPPER(B290)&amp;"' AS TABELA, '"&amp;UPPER(C290)&amp;"' AS TIPOLOGIA_TESTE,'"&amp;D290&amp;"' AS TABELA_LT,'N/A' AS TABELA_SIMUL,'"&amp;F290&amp;"' AS CAMPO, "&amp;"'${ref_date}' AS REF_DATE, COUNT(*) AS NUM_REG, SUM(IF(INSTR(CAST(X."&amp;F290&amp;" AS STRING),'#')&gt;0 OR INSTR(CAST(X."&amp;F290&amp;" AS STRING),'*')&gt;0 OR INSTR(CAST(X."&amp;F290&amp;" AS STRING),'`')&gt;0 OR INSTR(CAST(X."&amp;F290&amp;" AS STRING),'´')&gt;0 OR INSTR(CAST(X."&amp;F290&amp;" AS STRING),'{')&gt;0 OR INSTR(CAST(X."&amp;F290&amp;" AS STRING),'}')&gt;0 OR INSTR(CAST(X."&amp;F290&amp;" AS STRING),'[')&gt;0 OR INSTR(CAST(X."&amp;F290&amp;" AS STRING),'')&gt;0 OR INSTR(CAST(X."&amp;F290&amp;" AS STRING),']')&gt;0 OR INSTR(CAST(X."&amp;F290&amp;" AS STRING),'?')&gt;0 OR INSTR(CAST(X."&amp;F290&amp;" AS STRING),'!')&gt;0 OR INSTR(CAST(X."&amp;F290&amp;" AS STRING),'$')&gt;0 OR INSTR(CAST(X."&amp;F290&amp;" AS STRING),'%')&gt;0 OR INSTR(CAST(X."&amp;F290&amp;" AS STRING),'&amp;')&gt;0 OR INSTR(CAST(X."&amp;F290&amp;" AS STRING),'+')&gt;0,1,0)) AS NUM_REG_DIF,'"&amp;MAX('ID1&amp;5'!K:K)+1&amp;"' AS ID_EXEC, CURRENT_TIMESTAMP() AS TIME_EXEC FROM "&amp;I290,
IF(C290="Missings",+"SELECT '"&amp;UPPER(B290)&amp;"' AS TABELA, '"&amp;UPPER(C290)&amp;"' AS TIPOLOGIA_TESTE,'"&amp;D290&amp;"' AS TABELA_LT,'N/A' AS TABELA_SIMUL,'"&amp;F290&amp;"' AS CAMPO, "&amp;"'${ref_date}' AS REF_DATE, COUNT(*) AS NUM_REG, SUM(IF(TRIM(CAST(X."&amp;F290&amp;" AS STRING)) IN ('0000-00-00','0001-01-01','9999-12-31','MISS','00000','99999999999','99999999999.00','99999999999.000000'),1,0)) AS NUM_REG_DIF,'"&amp;MAX('ID1&amp;5'!K:K)+1&amp;"' AS ID_EXEC, CURRENT_TIMESTAMP() AS TIME_EXEC FROM "&amp;I290,
IF(C290="Not applicable",+"SELECT '"&amp;UPPER(B290)&amp;"' AS TABELA, '"&amp;UPPER(C290)&amp;"' AS TIPOLOGIA_TESTE,'"&amp;D290&amp;"' AS TABELA_LT,'N/A' AS TABELA_SIMUL,'"&amp;F290&amp;"' AS CAMPO, "&amp;"'${ref_date}' AS REF_DATE, COUNT(*) AS NUM_REG, SUM(IF(TRIM(CAST(X."&amp;F290&amp;" AS STRING)) IN ('N/A','11111111111','11111111111.00','11111111111.000000','1111-11-11'),1,0)) AS NUM_REG_DIF,'"&amp;MAX('ID1&amp;5'!K:K)+1&amp;"' AS ID_EXEC, CURRENT_TIMESTAMP() AS TIME_EXEC FROM "&amp;I290,
IF(C290="Valores extremos",+"SELECT '"&amp;UPPER(B290)&amp;"' AS TABELA, '"&amp;UPPER(C290)&amp;"' AS TIPOLOGIA_TESTE,'"&amp;D290&amp;"' AS TABELA_LT,'N/A' AS TABELA_SIMUL,'"&amp;F290&amp;"' AS CAMPO, "&amp;"'${ref_date}' AS REF_DATE, CAST(MIN("&amp;F290&amp;") AS STRING) AS VALOR_MIN, CAST(MAX("&amp;F290&amp;") AS STRING) AS VALOR_MAX,'"&amp;MAX('ID1&amp;5'!K:K)+1&amp;"' AS ID_EXEC, CURRENT_TIMESTAMP() AS TIME_EXEC FROM "&amp;MID(I290,1,LEN(I290)-2)&amp;" AND CAST("&amp;F290&amp;"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TABELA_SIMUL,'IMPRMNT_STTS' AS CAMPO, '${ref_date}' AS REF_DATE, COUNT(*) AS NUM_REG, SUM(IF(TRIM(CAST(X.IMPRMNT_STTS AS STRING)) IN ('0000-00-00','0001-01-01','9999-12-31','MISS','00000','99999999999','99999999999.00','99999999999.000000'),1,0)) AS NUM_REG_DIF,'10' AS ID_EXEC, CURRENT_TIMESTAMP() AS TIME_EXEC FROM (SELECT instrmnt_id, IMPRMNT_STTS FROM BU_LOANTAPE_WORK.LT002_INSTRUMENT WHERE ref_date='${ref_date}' AND nome_perimetro='Individual Corporativo' AND segmento='ESTR' AND ambito='PILAR3')X</v>
      </c>
      <c r="M290" s="43" t="str">
        <f t="shared" si="4"/>
        <v>UNION ALL SELECT 'INSTRUMENT' AS TABELA, 'MISSINGS' AS TIPOLOGIA_TESTE,'BU_LOANTAPE_WORK.LT002_INSTRUMENT' AS TABELA_LT,'N/A' AS TABELA_SIMUL,'IMPRMNT_STTS' AS CAMPO, '${ref_date}' AS REF_DATE, COUNT(*) AS NUM_REG, SUM(IF(TRIM(CAST(X.IMPRMNT_STTS AS STRING)) IN ('0000-00-00','0001-01-01','9999-12-31','MISS','00000','99999999999','99999999999.00','99999999999.000000'),1,0)) AS NUM_REG_DIF,'10' AS ID_EXEC, CURRENT_TIMESTAMP() AS TIME_EXEC FROM (SELECT instrmnt_id, IMPRMNT_STTS FROM BU_LOANTAPE_WORK.LT002_INSTRUMENT WHERE ref_date='${ref_date}' AND nome_perimetro='Individual Corporativo' AND segmento='ESTR' AND ambito='PILAR3')X</v>
      </c>
      <c r="N290" s="45" t="s">
        <v>13</v>
      </c>
    </row>
    <row r="291" spans="2:14">
      <c r="B291" s="41" t="s">
        <v>27</v>
      </c>
      <c r="C291" s="41" t="s">
        <v>77</v>
      </c>
      <c r="D291" s="41" t="str">
        <f>+UPPER('0. Instruções'!$D$33&amp;"."&amp;VLOOKUP(B291,'0. Instruções'!$C$27:$D$31,2,FALSE))</f>
        <v>BU_LOANTAPE_WORK.LT002_INSTRUMENT</v>
      </c>
      <c r="E291" s="41" t="str">
        <f>+UPPER('0. Instruções'!$D$34&amp;"."&amp;VLOOKUP(B291,'0. Instruções'!$C$27:$E$31,3,FALSE))</f>
        <v>BU_LOANTAPE_WORK.LT002_INSTRUMENT_P3_NOV24</v>
      </c>
      <c r="F291" s="41" t="s">
        <v>161</v>
      </c>
      <c r="G291" s="41" t="s">
        <v>13</v>
      </c>
      <c r="H291" s="41"/>
      <c r="I291" s="41" t="str">
        <f>"(SELECT "&amp;VLOOKUP(B291,'0. Instruções'!$C$27:$G$31,4,FALSE)&amp;", "&amp;F291&amp;" FROM "&amp;D291&amp;" WHERE "&amp;'0. Instruções'!$D$40&amp;")X"</f>
        <v>(SELECT instrmnt_id, PRFRMNG_STTS FROM BU_LOANTAPE_WORK.LT002_INSTRUMENT WHERE ref_date='${ref_date}' AND nome_perimetro='Individual Corporativo' AND segmento='ESTR' AND ambito='PILAR3')X</v>
      </c>
      <c r="J291" s="41" t="str">
        <f>"(SELECT "&amp;VLOOKUP(B291,'0. Instruções'!$C$27:$G$31,4,FALSE)&amp;" AS "&amp;VLOOKUP(B291,'0. Instruções'!$C$27:$G$31,4,FALSE)&amp;"_SIMUL, "&amp;F291&amp;" AS "&amp;F291&amp;"_SIMUL FROM "&amp;E291&amp;")Y"</f>
        <v>(SELECT instrmnt_id AS instrmnt_id_SIMUL, PRFRMNG_STTS AS PRFRMNG_STTS_SIMUL FROM BU_LOANTAPE_WORK.LT002_INSTRUMENT_P3_NOV24)Y</v>
      </c>
      <c r="K291" s="42" t="str">
        <f>+UPPER("ON X."&amp;VLOOKUP(B291,'0. Instruções'!$C$27:$G$31,4,FALSE)&amp;"=Y."&amp;VLOOKUP(B291,'0. Instruções'!$C$27:$G$31,4,FALSE)&amp;"_SIMUL")</f>
        <v>ON X.INSTRMNT_ID=Y.INSTRMNT_ID_SIMUL</v>
      </c>
      <c r="L291" s="42" t="str">
        <f>+IF(C291="Coerência", +IF(LEFT(G291,5)="FLOAT","SELECT '"&amp;UPPER(B291)&amp;"' AS TABELA, '"&amp;UPPER(C291)&amp;"' AS TIPOLOGIA_TESTE,'"&amp;D291&amp;"' AS TABELA_LT,'"&amp;E291&amp;"' AS TABELA_SIMUL,'"&amp;F291&amp;"' AS CAMPO, "&amp;"'${ref_date}' AS REF_DATE, COUNT(*) AS NUM_REG, SUM(IF((ABS(COALESCE(X."&amp;F291&amp;",0)-COALESCE(Y."&amp;F291&amp;"_SIMUL,0))&gt;0.0000000001) OR (X."&amp;F291&amp;" IS NULL AND Y."&amp;F291&amp;"_SIMUL IS NOT NULL ) OR (X."&amp;F291&amp;" IS NOT NULL AND Y."&amp;F291&amp;"_SIMUL IS NULL),1,0)) AS NUM_REG_DIF,'"&amp;MAX('ID1&amp;5'!K:K)+1&amp;"' AS ID_EXEC, CURRENT_TIMESTAMP() AS TIME_EXEC FROM "&amp;I291&amp;" INNER JOIN "&amp;J291&amp;" "&amp;K291,"SELECT '"&amp;UPPER(B291)&amp;"' AS TABELA, '"&amp;UPPER(C291)&amp;"' AS TIPOLOGIA_TESTE,'"&amp;D291&amp;"' AS TABELA_LT,'"&amp;E291&amp;"' AS TABELA_SIMUL,'"&amp;F291&amp;"' AS CAMPO, "&amp;"'${ref_date}' AS REF_DATE, COUNT(*) AS NUM_REG, SUM(IF(COALESCE(CAST(X."&amp;F291&amp;" AS STRING),'')&lt;&gt;COALESCE(CAST(Y."&amp;F291&amp;"_SIMUL AS STRING),''),1,0)) AS NUM_REG_DIF,'"&amp;MAX('ID1&amp;5'!L:L)+1&amp;"' AS ID_EXEC, CURRENT_TIMESTAMP() AS TIME_EXEC FROM "&amp;I291&amp;" INNER JOIN "&amp;J291&amp;" "&amp;K291),
IF(C291="Validade",+IF(G291="Code List","SELECT '"&amp;UPPER(B291)&amp;"' AS TABELA, '"&amp;UPPER(C291)&amp;"' AS TIPOLOGIA_TESTE,'"&amp;D291&amp;"' AS TABELA_LT,'N/A' AS TABELA_SIMUL,'"&amp;F291&amp;"' AS CAMPO, "&amp;"'${ref_date}' AS REF_DATE, COUNT(*) AS NUM_REG, SUM(IF(TRIM(CAST(X."&amp;F291&amp;" AS STRING))='' OR TRIM(CAST(X."&amp;F291&amp;" AS STRING)) IS NULL OR CAST(X."&amp;F291&amp;" AS STRING) NOT "&amp;H291&amp;",1,0)) AS NUM_REG_DIF,'"&amp;MAX('ID1&amp;5'!K:K)+1&amp;"' AS ID_EXEC, CURRENT_TIMESTAMP() AS TIME_EXEC FROM "&amp;I291,"SELECT '"&amp;UPPER(B291)&amp;"' AS TABELA, '"&amp;UPPER(C291)&amp;"' AS TIPOLOGIA_TESTE,'"&amp;D291&amp;"' AS TABELA_LT,'N/A' AS TABELA_SIMUL,'"&amp;F291&amp;"' AS CAMPO, "&amp;"'${ref_date}' AS REF_DATE, COUNT(*) AS NUM_REG, SUM(IF(TRIM(CAST(X."&amp;F291&amp;" AS STRING))='' OR TRIM(CAST(X."&amp;F291&amp;" AS STRING)) IS NULL,1,0)) AS NUM_REG_DIF,'"&amp;MAX('ID1&amp;5'!K:K)+1&amp;"' AS ID_EXEC, CURRENT_TIMESTAMP() AS TIME_EXEC FROM "&amp;I291),
IF(C291="Caracteres Especiais",+"SELECT '"&amp;UPPER(B291)&amp;"' AS TABELA, '"&amp;UPPER(C291)&amp;"' AS TIPOLOGIA_TESTE,'"&amp;D291&amp;"' AS TABELA_LT,'N/A' AS TABELA_SIMUL,'"&amp;F291&amp;"' AS CAMPO, "&amp;"'${ref_date}' AS REF_DATE, COUNT(*) AS NUM_REG, SUM(IF(INSTR(CAST(X."&amp;F291&amp;" AS STRING),'#')&gt;0 OR INSTR(CAST(X."&amp;F291&amp;" AS STRING),'*')&gt;0 OR INSTR(CAST(X."&amp;F291&amp;" AS STRING),'`')&gt;0 OR INSTR(CAST(X."&amp;F291&amp;" AS STRING),'´')&gt;0 OR INSTR(CAST(X."&amp;F291&amp;" AS STRING),'{')&gt;0 OR INSTR(CAST(X."&amp;F291&amp;" AS STRING),'}')&gt;0 OR INSTR(CAST(X."&amp;F291&amp;" AS STRING),'[')&gt;0 OR INSTR(CAST(X."&amp;F291&amp;" AS STRING),'')&gt;0 OR INSTR(CAST(X."&amp;F291&amp;" AS STRING),']')&gt;0 OR INSTR(CAST(X."&amp;F291&amp;" AS STRING),'?')&gt;0 OR INSTR(CAST(X."&amp;F291&amp;" AS STRING),'!')&gt;0 OR INSTR(CAST(X."&amp;F291&amp;" AS STRING),'$')&gt;0 OR INSTR(CAST(X."&amp;F291&amp;" AS STRING),'%')&gt;0 OR INSTR(CAST(X."&amp;F291&amp;" AS STRING),'&amp;')&gt;0 OR INSTR(CAST(X."&amp;F291&amp;" AS STRING),'+')&gt;0,1,0)) AS NUM_REG_DIF,'"&amp;MAX('ID1&amp;5'!K:K)+1&amp;"' AS ID_EXEC, CURRENT_TIMESTAMP() AS TIME_EXEC FROM "&amp;I291,
IF(C291="Missings",+"SELECT '"&amp;UPPER(B291)&amp;"' AS TABELA, '"&amp;UPPER(C291)&amp;"' AS TIPOLOGIA_TESTE,'"&amp;D291&amp;"' AS TABELA_LT,'N/A' AS TABELA_SIMUL,'"&amp;F291&amp;"' AS CAMPO, "&amp;"'${ref_date}' AS REF_DATE, COUNT(*) AS NUM_REG, SUM(IF(TRIM(CAST(X."&amp;F291&amp;" AS STRING)) IN ('0000-00-00','0001-01-01','9999-12-31','MISS','00000','99999999999','99999999999.00','99999999999.000000'),1,0)) AS NUM_REG_DIF,'"&amp;MAX('ID1&amp;5'!K:K)+1&amp;"' AS ID_EXEC, CURRENT_TIMESTAMP() AS TIME_EXEC FROM "&amp;I291,
IF(C291="Not applicable",+"SELECT '"&amp;UPPER(B291)&amp;"' AS TABELA, '"&amp;UPPER(C291)&amp;"' AS TIPOLOGIA_TESTE,'"&amp;D291&amp;"' AS TABELA_LT,'N/A' AS TABELA_SIMUL,'"&amp;F291&amp;"' AS CAMPO, "&amp;"'${ref_date}' AS REF_DATE, COUNT(*) AS NUM_REG, SUM(IF(TRIM(CAST(X."&amp;F291&amp;" AS STRING)) IN ('N/A','11111111111','11111111111.00','11111111111.000000','1111-11-11'),1,0)) AS NUM_REG_DIF,'"&amp;MAX('ID1&amp;5'!K:K)+1&amp;"' AS ID_EXEC, CURRENT_TIMESTAMP() AS TIME_EXEC FROM "&amp;I291,
IF(C291="Valores extremos",+"SELECT '"&amp;UPPER(B291)&amp;"' AS TABELA, '"&amp;UPPER(C291)&amp;"' AS TIPOLOGIA_TESTE,'"&amp;D291&amp;"' AS TABELA_LT,'N/A' AS TABELA_SIMUL,'"&amp;F291&amp;"' AS CAMPO, "&amp;"'${ref_date}' AS REF_DATE, CAST(MIN("&amp;F291&amp;") AS STRING) AS VALOR_MIN, CAST(MAX("&amp;F291&amp;") AS STRING) AS VALOR_MAX,'"&amp;MAX('ID1&amp;5'!K:K)+1&amp;"' AS ID_EXEC, CURRENT_TIMESTAMP() AS TIME_EXEC FROM "&amp;MID(I291,1,LEN(I291)-2)&amp;" AND CAST("&amp;F291&amp;"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TABELA_SIMUL,'PRFRMNG_STTS' AS CAMPO, '${ref_date}' AS REF_DATE, COUNT(*) AS NUM_REG, SUM(IF(TRIM(CAST(X.PRFRMNG_STTS AS STRING)) IN ('0000-00-00','0001-01-01','9999-12-31','MISS','00000','99999999999','99999999999.00','99999999999.000000'),1,0)) AS NUM_REG_DIF,'10' AS ID_EXEC, CURRENT_TIMESTAMP() AS TIME_EXEC FROM (SELECT instrmnt_id, PRFRMNG_STTS FROM BU_LOANTAPE_WORK.LT002_INSTRUMENT WHERE ref_date='${ref_date}' AND nome_perimetro='Individual Corporativo' AND segmento='ESTR' AND ambito='PILAR3')X</v>
      </c>
      <c r="M291" s="43" t="str">
        <f t="shared" si="4"/>
        <v>UNION ALL SELECT 'INSTRUMENT' AS TABELA, 'MISSINGS' AS TIPOLOGIA_TESTE,'BU_LOANTAPE_WORK.LT002_INSTRUMENT' AS TABELA_LT,'N/A' AS TABELA_SIMUL,'PRFRMNG_STTS' AS CAMPO, '${ref_date}' AS REF_DATE, COUNT(*) AS NUM_REG, SUM(IF(TRIM(CAST(X.PRFRMNG_STTS AS STRING)) IN ('0000-00-00','0001-01-01','9999-12-31','MISS','00000','99999999999','99999999999.00','99999999999.000000'),1,0)) AS NUM_REG_DIF,'10' AS ID_EXEC, CURRENT_TIMESTAMP() AS TIME_EXEC FROM (SELECT instrmnt_id, PRFRMNG_STTS FROM BU_LOANTAPE_WORK.LT002_INSTRUMENT WHERE ref_date='${ref_date}' AND nome_perimetro='Individual Corporativo' AND segmento='ESTR' AND ambito='PILAR3')X</v>
      </c>
      <c r="N291" s="45" t="s">
        <v>13</v>
      </c>
    </row>
    <row r="292" spans="2:14">
      <c r="B292" s="41" t="s">
        <v>27</v>
      </c>
      <c r="C292" s="41" t="s">
        <v>77</v>
      </c>
      <c r="D292" s="41" t="str">
        <f>+UPPER('0. Instruções'!$D$33&amp;"."&amp;VLOOKUP(B292,'0. Instruções'!$C$27:$D$31,2,FALSE))</f>
        <v>BU_LOANTAPE_WORK.LT002_INSTRUMENT</v>
      </c>
      <c r="E292" s="41" t="str">
        <f>+UPPER('0. Instruções'!$D$34&amp;"."&amp;VLOOKUP(B292,'0. Instruções'!$C$27:$E$31,3,FALSE))</f>
        <v>BU_LOANTAPE_WORK.LT002_INSTRUMENT_P3_NOV24</v>
      </c>
      <c r="F292" s="41" t="s">
        <v>162</v>
      </c>
      <c r="G292" s="41" t="s">
        <v>13</v>
      </c>
      <c r="H292" s="41"/>
      <c r="I292" s="41" t="str">
        <f>"(SELECT "&amp;VLOOKUP(B292,'0. Instruções'!$C$27:$G$31,4,FALSE)&amp;", "&amp;F292&amp;" FROM "&amp;D292&amp;" WHERE "&amp;'0. Instruções'!$D$40&amp;")X"</f>
        <v>(SELECT instrmnt_id, PRJCT_FNNC_LN FROM BU_LOANTAPE_WORK.LT002_INSTRUMENT WHERE ref_date='${ref_date}' AND nome_perimetro='Individual Corporativo' AND segmento='ESTR' AND ambito='PILAR3')X</v>
      </c>
      <c r="J292" s="41" t="str">
        <f>"(SELECT "&amp;VLOOKUP(B292,'0. Instruções'!$C$27:$G$31,4,FALSE)&amp;" AS "&amp;VLOOKUP(B292,'0. Instruções'!$C$27:$G$31,4,FALSE)&amp;"_SIMUL, "&amp;F292&amp;" AS "&amp;F292&amp;"_SIMUL FROM "&amp;E292&amp;")Y"</f>
        <v>(SELECT instrmnt_id AS instrmnt_id_SIMUL, PRJCT_FNNC_LN AS PRJCT_FNNC_LN_SIMUL FROM BU_LOANTAPE_WORK.LT002_INSTRUMENT_P3_NOV24)Y</v>
      </c>
      <c r="K292" s="42" t="str">
        <f>+UPPER("ON X."&amp;VLOOKUP(B292,'0. Instruções'!$C$27:$G$31,4,FALSE)&amp;"=Y."&amp;VLOOKUP(B292,'0. Instruções'!$C$27:$G$31,4,FALSE)&amp;"_SIMUL")</f>
        <v>ON X.INSTRMNT_ID=Y.INSTRMNT_ID_SIMUL</v>
      </c>
      <c r="L292" s="42" t="str">
        <f>+IF(C292="Coerência", +IF(LEFT(G292,5)="FLOAT","SELECT '"&amp;UPPER(B292)&amp;"' AS TABELA, '"&amp;UPPER(C292)&amp;"' AS TIPOLOGIA_TESTE,'"&amp;D292&amp;"' AS TABELA_LT,'"&amp;E292&amp;"' AS TABELA_SIMUL,'"&amp;F292&amp;"' AS CAMPO, "&amp;"'${ref_date}' AS REF_DATE, COUNT(*) AS NUM_REG, SUM(IF((ABS(COALESCE(X."&amp;F292&amp;",0)-COALESCE(Y."&amp;F292&amp;"_SIMUL,0))&gt;0.0000000001) OR (X."&amp;F292&amp;" IS NULL AND Y."&amp;F292&amp;"_SIMUL IS NOT NULL ) OR (X."&amp;F292&amp;" IS NOT NULL AND Y."&amp;F292&amp;"_SIMUL IS NULL),1,0)) AS NUM_REG_DIF,'"&amp;MAX('ID1&amp;5'!K:K)+1&amp;"' AS ID_EXEC, CURRENT_TIMESTAMP() AS TIME_EXEC FROM "&amp;I292&amp;" INNER JOIN "&amp;J292&amp;" "&amp;K292,"SELECT '"&amp;UPPER(B292)&amp;"' AS TABELA, '"&amp;UPPER(C292)&amp;"' AS TIPOLOGIA_TESTE,'"&amp;D292&amp;"' AS TABELA_LT,'"&amp;E292&amp;"' AS TABELA_SIMUL,'"&amp;F292&amp;"' AS CAMPO, "&amp;"'${ref_date}' AS REF_DATE, COUNT(*) AS NUM_REG, SUM(IF(COALESCE(CAST(X."&amp;F292&amp;" AS STRING),'')&lt;&gt;COALESCE(CAST(Y."&amp;F292&amp;"_SIMUL AS STRING),''),1,0)) AS NUM_REG_DIF,'"&amp;MAX('ID1&amp;5'!L:L)+1&amp;"' AS ID_EXEC, CURRENT_TIMESTAMP() AS TIME_EXEC FROM "&amp;I292&amp;" INNER JOIN "&amp;J292&amp;" "&amp;K292),
IF(C292="Validade",+IF(G292="Code List","SELECT '"&amp;UPPER(B292)&amp;"' AS TABELA, '"&amp;UPPER(C292)&amp;"' AS TIPOLOGIA_TESTE,'"&amp;D292&amp;"' AS TABELA_LT,'N/A' AS TABELA_SIMUL,'"&amp;F292&amp;"' AS CAMPO, "&amp;"'${ref_date}' AS REF_DATE, COUNT(*) AS NUM_REG, SUM(IF(TRIM(CAST(X."&amp;F292&amp;" AS STRING))='' OR TRIM(CAST(X."&amp;F292&amp;" AS STRING)) IS NULL OR CAST(X."&amp;F292&amp;" AS STRING) NOT "&amp;H292&amp;",1,0)) AS NUM_REG_DIF,'"&amp;MAX('ID1&amp;5'!K:K)+1&amp;"' AS ID_EXEC, CURRENT_TIMESTAMP() AS TIME_EXEC FROM "&amp;I292,"SELECT '"&amp;UPPER(B292)&amp;"' AS TABELA, '"&amp;UPPER(C292)&amp;"' AS TIPOLOGIA_TESTE,'"&amp;D292&amp;"' AS TABELA_LT,'N/A' AS TABELA_SIMUL,'"&amp;F292&amp;"' AS CAMPO, "&amp;"'${ref_date}' AS REF_DATE, COUNT(*) AS NUM_REG, SUM(IF(TRIM(CAST(X."&amp;F292&amp;" AS STRING))='' OR TRIM(CAST(X."&amp;F292&amp;" AS STRING)) IS NULL,1,0)) AS NUM_REG_DIF,'"&amp;MAX('ID1&amp;5'!K:K)+1&amp;"' AS ID_EXEC, CURRENT_TIMESTAMP() AS TIME_EXEC FROM "&amp;I292),
IF(C292="Caracteres Especiais",+"SELECT '"&amp;UPPER(B292)&amp;"' AS TABELA, '"&amp;UPPER(C292)&amp;"' AS TIPOLOGIA_TESTE,'"&amp;D292&amp;"' AS TABELA_LT,'N/A' AS TABELA_SIMUL,'"&amp;F292&amp;"' AS CAMPO, "&amp;"'${ref_date}' AS REF_DATE, COUNT(*) AS NUM_REG, SUM(IF(INSTR(CAST(X."&amp;F292&amp;" AS STRING),'#')&gt;0 OR INSTR(CAST(X."&amp;F292&amp;" AS STRING),'*')&gt;0 OR INSTR(CAST(X."&amp;F292&amp;" AS STRING),'`')&gt;0 OR INSTR(CAST(X."&amp;F292&amp;" AS STRING),'´')&gt;0 OR INSTR(CAST(X."&amp;F292&amp;" AS STRING),'{')&gt;0 OR INSTR(CAST(X."&amp;F292&amp;" AS STRING),'}')&gt;0 OR INSTR(CAST(X."&amp;F292&amp;" AS STRING),'[')&gt;0 OR INSTR(CAST(X."&amp;F292&amp;" AS STRING),'')&gt;0 OR INSTR(CAST(X."&amp;F292&amp;" AS STRING),']')&gt;0 OR INSTR(CAST(X."&amp;F292&amp;" AS STRING),'?')&gt;0 OR INSTR(CAST(X."&amp;F292&amp;" AS STRING),'!')&gt;0 OR INSTR(CAST(X."&amp;F292&amp;" AS STRING),'$')&gt;0 OR INSTR(CAST(X."&amp;F292&amp;" AS STRING),'%')&gt;0 OR INSTR(CAST(X."&amp;F292&amp;" AS STRING),'&amp;')&gt;0 OR INSTR(CAST(X."&amp;F292&amp;" AS STRING),'+')&gt;0,1,0)) AS NUM_REG_DIF,'"&amp;MAX('ID1&amp;5'!K:K)+1&amp;"' AS ID_EXEC, CURRENT_TIMESTAMP() AS TIME_EXEC FROM "&amp;I292,
IF(C292="Missings",+"SELECT '"&amp;UPPER(B292)&amp;"' AS TABELA, '"&amp;UPPER(C292)&amp;"' AS TIPOLOGIA_TESTE,'"&amp;D292&amp;"' AS TABELA_LT,'N/A' AS TABELA_SIMUL,'"&amp;F292&amp;"' AS CAMPO, "&amp;"'${ref_date}' AS REF_DATE, COUNT(*) AS NUM_REG, SUM(IF(TRIM(CAST(X."&amp;F292&amp;" AS STRING)) IN ('0000-00-00','0001-01-01','9999-12-31','MISS','00000','99999999999','99999999999.00','99999999999.000000'),1,0)) AS NUM_REG_DIF,'"&amp;MAX('ID1&amp;5'!K:K)+1&amp;"' AS ID_EXEC, CURRENT_TIMESTAMP() AS TIME_EXEC FROM "&amp;I292,
IF(C292="Not applicable",+"SELECT '"&amp;UPPER(B292)&amp;"' AS TABELA, '"&amp;UPPER(C292)&amp;"' AS TIPOLOGIA_TESTE,'"&amp;D292&amp;"' AS TABELA_LT,'N/A' AS TABELA_SIMUL,'"&amp;F292&amp;"' AS CAMPO, "&amp;"'${ref_date}' AS REF_DATE, COUNT(*) AS NUM_REG, SUM(IF(TRIM(CAST(X."&amp;F292&amp;" AS STRING)) IN ('N/A','11111111111','11111111111.00','11111111111.000000','1111-11-11'),1,0)) AS NUM_REG_DIF,'"&amp;MAX('ID1&amp;5'!K:K)+1&amp;"' AS ID_EXEC, CURRENT_TIMESTAMP() AS TIME_EXEC FROM "&amp;I292,
IF(C292="Valores extremos",+"SELECT '"&amp;UPPER(B292)&amp;"' AS TABELA, '"&amp;UPPER(C292)&amp;"' AS TIPOLOGIA_TESTE,'"&amp;D292&amp;"' AS TABELA_LT,'N/A' AS TABELA_SIMUL,'"&amp;F292&amp;"' AS CAMPO, "&amp;"'${ref_date}' AS REF_DATE, CAST(MIN("&amp;F292&amp;") AS STRING) AS VALOR_MIN, CAST(MAX("&amp;F292&amp;") AS STRING) AS VALOR_MAX,'"&amp;MAX('ID1&amp;5'!K:K)+1&amp;"' AS ID_EXEC, CURRENT_TIMESTAMP() AS TIME_EXEC FROM "&amp;MID(I292,1,LEN(I292)-2)&amp;" AND CAST("&amp;F292&amp;"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TABELA_SIMUL,'PRJCT_FNNC_LN' AS CAMPO, '${ref_date}' AS REF_DATE, COUNT(*) AS NUM_REG, SUM(IF(TRIM(CAST(X.PRJCT_FNNC_LN AS STRING)) IN ('0000-00-00','0001-01-01','9999-12-31','MISS','00000','99999999999','99999999999.00','99999999999.000000'),1,0)) AS NUM_REG_DIF,'10' AS ID_EXEC, CURRENT_TIMESTAMP() AS TIME_EXEC FROM (SELECT instrmnt_id, PRJCT_FNNC_LN FROM BU_LOANTAPE_WORK.LT002_INSTRUMENT WHERE ref_date='${ref_date}' AND nome_perimetro='Individual Corporativo' AND segmento='ESTR' AND ambito='PILAR3')X</v>
      </c>
      <c r="M292" s="43" t="str">
        <f t="shared" si="4"/>
        <v>UNION ALL SELECT 'INSTRUMENT' AS TABELA, 'MISSINGS' AS TIPOLOGIA_TESTE,'BU_LOANTAPE_WORK.LT002_INSTRUMENT' AS TABELA_LT,'N/A' AS TABELA_SIMUL,'PRJCT_FNNC_LN' AS CAMPO, '${ref_date}' AS REF_DATE, COUNT(*) AS NUM_REG, SUM(IF(TRIM(CAST(X.PRJCT_FNNC_LN AS STRING)) IN ('0000-00-00','0001-01-01','9999-12-31','MISS','00000','99999999999','99999999999.00','99999999999.000000'),1,0)) AS NUM_REG_DIF,'10' AS ID_EXEC, CURRENT_TIMESTAMP() AS TIME_EXEC FROM (SELECT instrmnt_id, PRJCT_FNNC_LN FROM BU_LOANTAPE_WORK.LT002_INSTRUMENT WHERE ref_date='${ref_date}' AND nome_perimetro='Individual Corporativo' AND segmento='ESTR' AND ambito='PILAR3')X</v>
      </c>
      <c r="N292" s="45" t="s">
        <v>13</v>
      </c>
    </row>
    <row r="293" spans="2:14">
      <c r="B293" s="41" t="s">
        <v>27</v>
      </c>
      <c r="C293" s="41" t="s">
        <v>77</v>
      </c>
      <c r="D293" s="41" t="str">
        <f>+UPPER('0. Instruções'!$D$33&amp;"."&amp;VLOOKUP(B293,'0. Instruções'!$C$27:$D$31,2,FALSE))</f>
        <v>BU_LOANTAPE_WORK.LT002_INSTRUMENT</v>
      </c>
      <c r="E293" s="41" t="str">
        <f>+UPPER('0. Instruções'!$D$34&amp;"."&amp;VLOOKUP(B293,'0. Instruções'!$C$27:$E$31,3,FALSE))</f>
        <v>BU_LOANTAPE_WORK.LT002_INSTRUMENT_P3_NOV24</v>
      </c>
      <c r="F293" s="41" t="s">
        <v>163</v>
      </c>
      <c r="G293" s="41" t="s">
        <v>13</v>
      </c>
      <c r="H293" s="41"/>
      <c r="I293" s="41" t="str">
        <f>"(SELECT "&amp;VLOOKUP(B293,'0. Instruções'!$C$27:$G$31,4,FALSE)&amp;", "&amp;F293&amp;" FROM "&amp;D293&amp;" WHERE "&amp;'0. Instruções'!$D$40&amp;")X"</f>
        <v>(SELECT instrmnt_id, TYP_INSTRMNT FROM BU_LOANTAPE_WORK.LT002_INSTRUMENT WHERE ref_date='${ref_date}' AND nome_perimetro='Individual Corporativo' AND segmento='ESTR' AND ambito='PILAR3')X</v>
      </c>
      <c r="J293" s="41" t="str">
        <f>"(SELECT "&amp;VLOOKUP(B293,'0. Instruções'!$C$27:$G$31,4,FALSE)&amp;" AS "&amp;VLOOKUP(B293,'0. Instruções'!$C$27:$G$31,4,FALSE)&amp;"_SIMUL, "&amp;F293&amp;" AS "&amp;F293&amp;"_SIMUL FROM "&amp;E293&amp;")Y"</f>
        <v>(SELECT instrmnt_id AS instrmnt_id_SIMUL, TYP_INSTRMNT AS TYP_INSTRMNT_SIMUL FROM BU_LOANTAPE_WORK.LT002_INSTRUMENT_P3_NOV24)Y</v>
      </c>
      <c r="K293" s="42" t="str">
        <f>+UPPER("ON X."&amp;VLOOKUP(B293,'0. Instruções'!$C$27:$G$31,4,FALSE)&amp;"=Y."&amp;VLOOKUP(B293,'0. Instruções'!$C$27:$G$31,4,FALSE)&amp;"_SIMUL")</f>
        <v>ON X.INSTRMNT_ID=Y.INSTRMNT_ID_SIMUL</v>
      </c>
      <c r="L293" s="42" t="str">
        <f>+IF(C293="Coerência", +IF(LEFT(G293,5)="FLOAT","SELECT '"&amp;UPPER(B293)&amp;"' AS TABELA, '"&amp;UPPER(C293)&amp;"' AS TIPOLOGIA_TESTE,'"&amp;D293&amp;"' AS TABELA_LT,'"&amp;E293&amp;"' AS TABELA_SIMUL,'"&amp;F293&amp;"' AS CAMPO, "&amp;"'${ref_date}' AS REF_DATE, COUNT(*) AS NUM_REG, SUM(IF((ABS(COALESCE(X."&amp;F293&amp;",0)-COALESCE(Y."&amp;F293&amp;"_SIMUL,0))&gt;0.0000000001) OR (X."&amp;F293&amp;" IS NULL AND Y."&amp;F293&amp;"_SIMUL IS NOT NULL ) OR (X."&amp;F293&amp;" IS NOT NULL AND Y."&amp;F293&amp;"_SIMUL IS NULL),1,0)) AS NUM_REG_DIF,'"&amp;MAX('ID1&amp;5'!K:K)+1&amp;"' AS ID_EXEC, CURRENT_TIMESTAMP() AS TIME_EXEC FROM "&amp;I293&amp;" INNER JOIN "&amp;J293&amp;" "&amp;K293,"SELECT '"&amp;UPPER(B293)&amp;"' AS TABELA, '"&amp;UPPER(C293)&amp;"' AS TIPOLOGIA_TESTE,'"&amp;D293&amp;"' AS TABELA_LT,'"&amp;E293&amp;"' AS TABELA_SIMUL,'"&amp;F293&amp;"' AS CAMPO, "&amp;"'${ref_date}' AS REF_DATE, COUNT(*) AS NUM_REG, SUM(IF(COALESCE(CAST(X."&amp;F293&amp;" AS STRING),'')&lt;&gt;COALESCE(CAST(Y."&amp;F293&amp;"_SIMUL AS STRING),''),1,0)) AS NUM_REG_DIF,'"&amp;MAX('ID1&amp;5'!L:L)+1&amp;"' AS ID_EXEC, CURRENT_TIMESTAMP() AS TIME_EXEC FROM "&amp;I293&amp;" INNER JOIN "&amp;J293&amp;" "&amp;K293),
IF(C293="Validade",+IF(G293="Code List","SELECT '"&amp;UPPER(B293)&amp;"' AS TABELA, '"&amp;UPPER(C293)&amp;"' AS TIPOLOGIA_TESTE,'"&amp;D293&amp;"' AS TABELA_LT,'N/A' AS TABELA_SIMUL,'"&amp;F293&amp;"' AS CAMPO, "&amp;"'${ref_date}' AS REF_DATE, COUNT(*) AS NUM_REG, SUM(IF(TRIM(CAST(X."&amp;F293&amp;" AS STRING))='' OR TRIM(CAST(X."&amp;F293&amp;" AS STRING)) IS NULL OR CAST(X."&amp;F293&amp;" AS STRING) NOT "&amp;H293&amp;",1,0)) AS NUM_REG_DIF,'"&amp;MAX('ID1&amp;5'!K:K)+1&amp;"' AS ID_EXEC, CURRENT_TIMESTAMP() AS TIME_EXEC FROM "&amp;I293,"SELECT '"&amp;UPPER(B293)&amp;"' AS TABELA, '"&amp;UPPER(C293)&amp;"' AS TIPOLOGIA_TESTE,'"&amp;D293&amp;"' AS TABELA_LT,'N/A' AS TABELA_SIMUL,'"&amp;F293&amp;"' AS CAMPO, "&amp;"'${ref_date}' AS REF_DATE, COUNT(*) AS NUM_REG, SUM(IF(TRIM(CAST(X."&amp;F293&amp;" AS STRING))='' OR TRIM(CAST(X."&amp;F293&amp;" AS STRING)) IS NULL,1,0)) AS NUM_REG_DIF,'"&amp;MAX('ID1&amp;5'!K:K)+1&amp;"' AS ID_EXEC, CURRENT_TIMESTAMP() AS TIME_EXEC FROM "&amp;I293),
IF(C293="Caracteres Especiais",+"SELECT '"&amp;UPPER(B293)&amp;"' AS TABELA, '"&amp;UPPER(C293)&amp;"' AS TIPOLOGIA_TESTE,'"&amp;D293&amp;"' AS TABELA_LT,'N/A' AS TABELA_SIMUL,'"&amp;F293&amp;"' AS CAMPO, "&amp;"'${ref_date}' AS REF_DATE, COUNT(*) AS NUM_REG, SUM(IF(INSTR(CAST(X."&amp;F293&amp;" AS STRING),'#')&gt;0 OR INSTR(CAST(X."&amp;F293&amp;" AS STRING),'*')&gt;0 OR INSTR(CAST(X."&amp;F293&amp;" AS STRING),'`')&gt;0 OR INSTR(CAST(X."&amp;F293&amp;" AS STRING),'´')&gt;0 OR INSTR(CAST(X."&amp;F293&amp;" AS STRING),'{')&gt;0 OR INSTR(CAST(X."&amp;F293&amp;" AS STRING),'}')&gt;0 OR INSTR(CAST(X."&amp;F293&amp;" AS STRING),'[')&gt;0 OR INSTR(CAST(X."&amp;F293&amp;" AS STRING),'')&gt;0 OR INSTR(CAST(X."&amp;F293&amp;" AS STRING),']')&gt;0 OR INSTR(CAST(X."&amp;F293&amp;" AS STRING),'?')&gt;0 OR INSTR(CAST(X."&amp;F293&amp;" AS STRING),'!')&gt;0 OR INSTR(CAST(X."&amp;F293&amp;" AS STRING),'$')&gt;0 OR INSTR(CAST(X."&amp;F293&amp;" AS STRING),'%')&gt;0 OR INSTR(CAST(X."&amp;F293&amp;" AS STRING),'&amp;')&gt;0 OR INSTR(CAST(X."&amp;F293&amp;" AS STRING),'+')&gt;0,1,0)) AS NUM_REG_DIF,'"&amp;MAX('ID1&amp;5'!K:K)+1&amp;"' AS ID_EXEC, CURRENT_TIMESTAMP() AS TIME_EXEC FROM "&amp;I293,
IF(C293="Missings",+"SELECT '"&amp;UPPER(B293)&amp;"' AS TABELA, '"&amp;UPPER(C293)&amp;"' AS TIPOLOGIA_TESTE,'"&amp;D293&amp;"' AS TABELA_LT,'N/A' AS TABELA_SIMUL,'"&amp;F293&amp;"' AS CAMPO, "&amp;"'${ref_date}' AS REF_DATE, COUNT(*) AS NUM_REG, SUM(IF(TRIM(CAST(X."&amp;F293&amp;" AS STRING)) IN ('0000-00-00','0001-01-01','9999-12-31','MISS','00000','99999999999','99999999999.00','99999999999.000000'),1,0)) AS NUM_REG_DIF,'"&amp;MAX('ID1&amp;5'!K:K)+1&amp;"' AS ID_EXEC, CURRENT_TIMESTAMP() AS TIME_EXEC FROM "&amp;I293,
IF(C293="Not applicable",+"SELECT '"&amp;UPPER(B293)&amp;"' AS TABELA, '"&amp;UPPER(C293)&amp;"' AS TIPOLOGIA_TESTE,'"&amp;D293&amp;"' AS TABELA_LT,'N/A' AS TABELA_SIMUL,'"&amp;F293&amp;"' AS CAMPO, "&amp;"'${ref_date}' AS REF_DATE, COUNT(*) AS NUM_REG, SUM(IF(TRIM(CAST(X."&amp;F293&amp;" AS STRING)) IN ('N/A','11111111111','11111111111.00','11111111111.000000','1111-11-11'),1,0)) AS NUM_REG_DIF,'"&amp;MAX('ID1&amp;5'!K:K)+1&amp;"' AS ID_EXEC, CURRENT_TIMESTAMP() AS TIME_EXEC FROM "&amp;I293,
IF(C293="Valores extremos",+"SELECT '"&amp;UPPER(B293)&amp;"' AS TABELA, '"&amp;UPPER(C293)&amp;"' AS TIPOLOGIA_TESTE,'"&amp;D293&amp;"' AS TABELA_LT,'N/A' AS TABELA_SIMUL,'"&amp;F293&amp;"' AS CAMPO, "&amp;"'${ref_date}' AS REF_DATE, CAST(MIN("&amp;F293&amp;") AS STRING) AS VALOR_MIN, CAST(MAX("&amp;F293&amp;") AS STRING) AS VALOR_MAX,'"&amp;MAX('ID1&amp;5'!K:K)+1&amp;"' AS ID_EXEC, CURRENT_TIMESTAMP() AS TIME_EXEC FROM "&amp;MID(I293,1,LEN(I293)-2)&amp;" AND CAST("&amp;F293&amp;"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TABELA_SIMUL,'TYP_INSTRMNT' AS CAMPO, '${ref_date}' AS REF_DATE, COUNT(*) AS NUM_REG, SUM(IF(TRIM(CAST(X.TYP_INSTRMNT AS STRING)) IN ('0000-00-00','0001-01-01','9999-12-31','MISS','00000','99999999999','99999999999.00','99999999999.000000'),1,0)) AS NUM_REG_DIF,'10' AS ID_EXEC, CURRENT_TIMESTAMP() AS TIME_EXEC FROM (SELECT instrmnt_id, TYP_INSTRMNT FROM BU_LOANTAPE_WORK.LT002_INSTRUMENT WHERE ref_date='${ref_date}' AND nome_perimetro='Individual Corporativo' AND segmento='ESTR' AND ambito='PILAR3')X</v>
      </c>
      <c r="M293" s="43" t="str">
        <f t="shared" si="4"/>
        <v>UNION ALL SELECT 'INSTRUMENT' AS TABELA, 'MISSINGS' AS TIPOLOGIA_TESTE,'BU_LOANTAPE_WORK.LT002_INSTRUMENT' AS TABELA_LT,'N/A' AS TABELA_SIMUL,'TYP_INSTRMNT' AS CAMPO, '${ref_date}' AS REF_DATE, COUNT(*) AS NUM_REG, SUM(IF(TRIM(CAST(X.TYP_INSTRMNT AS STRING)) IN ('0000-00-00','0001-01-01','9999-12-31','MISS','00000','99999999999','99999999999.00','99999999999.000000'),1,0)) AS NUM_REG_DIF,'10' AS ID_EXEC, CURRENT_TIMESTAMP() AS TIME_EXEC FROM (SELECT instrmnt_id, TYP_INSTRMNT FROM BU_LOANTAPE_WORK.LT002_INSTRUMENT WHERE ref_date='${ref_date}' AND nome_perimetro='Individual Corporativo' AND segmento='ESTR' AND ambito='PILAR3')X</v>
      </c>
      <c r="N293" s="45" t="s">
        <v>13</v>
      </c>
    </row>
    <row r="294" spans="2:14">
      <c r="B294" s="41" t="s">
        <v>27</v>
      </c>
      <c r="C294" s="41" t="s">
        <v>77</v>
      </c>
      <c r="D294" s="41" t="str">
        <f>+UPPER('0. Instruções'!$D$33&amp;"."&amp;VLOOKUP(B294,'0. Instruções'!$C$27:$D$31,2,FALSE))</f>
        <v>BU_LOANTAPE_WORK.LT002_INSTRUMENT</v>
      </c>
      <c r="E294" s="41" t="str">
        <f>+UPPER('0. Instruções'!$D$34&amp;"."&amp;VLOOKUP(B294,'0. Instruções'!$C$27:$E$31,3,FALSE))</f>
        <v>BU_LOANTAPE_WORK.LT002_INSTRUMENT_P3_NOV24</v>
      </c>
      <c r="F294" s="41" t="s">
        <v>164</v>
      </c>
      <c r="G294" s="41" t="s">
        <v>13</v>
      </c>
      <c r="H294" s="41"/>
      <c r="I294" s="41" t="str">
        <f>"(SELECT "&amp;VLOOKUP(B294,'0. Instruções'!$C$27:$G$31,4,FALSE)&amp;", "&amp;F294&amp;" FROM "&amp;D294&amp;" WHERE "&amp;'0. Instruções'!$D$40&amp;")X"</f>
        <v>(SELECT instrmnt_id, GRSS_CRRYNG_AMNT_INSTRMNT FROM BU_LOANTAPE_WORK.LT002_INSTRUMENT WHERE ref_date='${ref_date}' AND nome_perimetro='Individual Corporativo' AND segmento='ESTR' AND ambito='PILAR3')X</v>
      </c>
      <c r="J294" s="41" t="str">
        <f>"(SELECT "&amp;VLOOKUP(B294,'0. Instruções'!$C$27:$G$31,4,FALSE)&amp;" AS "&amp;VLOOKUP(B294,'0. Instruções'!$C$27:$G$31,4,FALSE)&amp;"_SIMUL, "&amp;F294&amp;" AS "&amp;F294&amp;"_SIMUL FROM "&amp;E294&amp;")Y"</f>
        <v>(SELECT instrmnt_id AS instrmnt_id_SIMUL, GRSS_CRRYNG_AMNT_INSTRMNT AS GRSS_CRRYNG_AMNT_INSTRMNT_SIMUL FROM BU_LOANTAPE_WORK.LT002_INSTRUMENT_P3_NOV24)Y</v>
      </c>
      <c r="K294" s="42" t="str">
        <f>+UPPER("ON X."&amp;VLOOKUP(B294,'0. Instruções'!$C$27:$G$31,4,FALSE)&amp;"=Y."&amp;VLOOKUP(B294,'0. Instruções'!$C$27:$G$31,4,FALSE)&amp;"_SIMUL")</f>
        <v>ON X.INSTRMNT_ID=Y.INSTRMNT_ID_SIMUL</v>
      </c>
      <c r="L294" s="42" t="str">
        <f>+IF(C294="Coerência", +IF(LEFT(G294,5)="FLOAT","SELECT '"&amp;UPPER(B294)&amp;"' AS TABELA, '"&amp;UPPER(C294)&amp;"' AS TIPOLOGIA_TESTE,'"&amp;D294&amp;"' AS TABELA_LT,'"&amp;E294&amp;"' AS TABELA_SIMUL,'"&amp;F294&amp;"' AS CAMPO, "&amp;"'${ref_date}' AS REF_DATE, COUNT(*) AS NUM_REG, SUM(IF((ABS(COALESCE(X."&amp;F294&amp;",0)-COALESCE(Y."&amp;F294&amp;"_SIMUL,0))&gt;0.0000000001) OR (X."&amp;F294&amp;" IS NULL AND Y."&amp;F294&amp;"_SIMUL IS NOT NULL ) OR (X."&amp;F294&amp;" IS NOT NULL AND Y."&amp;F294&amp;"_SIMUL IS NULL),1,0)) AS NUM_REG_DIF,'"&amp;MAX('ID1&amp;5'!K:K)+1&amp;"' AS ID_EXEC, CURRENT_TIMESTAMP() AS TIME_EXEC FROM "&amp;I294&amp;" INNER JOIN "&amp;J294&amp;" "&amp;K294,"SELECT '"&amp;UPPER(B294)&amp;"' AS TABELA, '"&amp;UPPER(C294)&amp;"' AS TIPOLOGIA_TESTE,'"&amp;D294&amp;"' AS TABELA_LT,'"&amp;E294&amp;"' AS TABELA_SIMUL,'"&amp;F294&amp;"' AS CAMPO, "&amp;"'${ref_date}' AS REF_DATE, COUNT(*) AS NUM_REG, SUM(IF(COALESCE(CAST(X."&amp;F294&amp;" AS STRING),'')&lt;&gt;COALESCE(CAST(Y."&amp;F294&amp;"_SIMUL AS STRING),''),1,0)) AS NUM_REG_DIF,'"&amp;MAX('ID1&amp;5'!L:L)+1&amp;"' AS ID_EXEC, CURRENT_TIMESTAMP() AS TIME_EXEC FROM "&amp;I294&amp;" INNER JOIN "&amp;J294&amp;" "&amp;K294),
IF(C294="Validade",+IF(G294="Code List","SELECT '"&amp;UPPER(B294)&amp;"' AS TABELA, '"&amp;UPPER(C294)&amp;"' AS TIPOLOGIA_TESTE,'"&amp;D294&amp;"' AS TABELA_LT,'N/A' AS TABELA_SIMUL,'"&amp;F294&amp;"' AS CAMPO, "&amp;"'${ref_date}' AS REF_DATE, COUNT(*) AS NUM_REG, SUM(IF(TRIM(CAST(X."&amp;F294&amp;" AS STRING))='' OR TRIM(CAST(X."&amp;F294&amp;" AS STRING)) IS NULL OR CAST(X."&amp;F294&amp;" AS STRING) NOT "&amp;H294&amp;",1,0)) AS NUM_REG_DIF,'"&amp;MAX('ID1&amp;5'!K:K)+1&amp;"' AS ID_EXEC, CURRENT_TIMESTAMP() AS TIME_EXEC FROM "&amp;I294,"SELECT '"&amp;UPPER(B294)&amp;"' AS TABELA, '"&amp;UPPER(C294)&amp;"' AS TIPOLOGIA_TESTE,'"&amp;D294&amp;"' AS TABELA_LT,'N/A' AS TABELA_SIMUL,'"&amp;F294&amp;"' AS CAMPO, "&amp;"'${ref_date}' AS REF_DATE, COUNT(*) AS NUM_REG, SUM(IF(TRIM(CAST(X."&amp;F294&amp;" AS STRING))='' OR TRIM(CAST(X."&amp;F294&amp;" AS STRING)) IS NULL,1,0)) AS NUM_REG_DIF,'"&amp;MAX('ID1&amp;5'!K:K)+1&amp;"' AS ID_EXEC, CURRENT_TIMESTAMP() AS TIME_EXEC FROM "&amp;I294),
IF(C294="Caracteres Especiais",+"SELECT '"&amp;UPPER(B294)&amp;"' AS TABELA, '"&amp;UPPER(C294)&amp;"' AS TIPOLOGIA_TESTE,'"&amp;D294&amp;"' AS TABELA_LT,'N/A' AS TABELA_SIMUL,'"&amp;F294&amp;"' AS CAMPO, "&amp;"'${ref_date}' AS REF_DATE, COUNT(*) AS NUM_REG, SUM(IF(INSTR(CAST(X."&amp;F294&amp;" AS STRING),'#')&gt;0 OR INSTR(CAST(X."&amp;F294&amp;" AS STRING),'*')&gt;0 OR INSTR(CAST(X."&amp;F294&amp;" AS STRING),'`')&gt;0 OR INSTR(CAST(X."&amp;F294&amp;" AS STRING),'´')&gt;0 OR INSTR(CAST(X."&amp;F294&amp;" AS STRING),'{')&gt;0 OR INSTR(CAST(X."&amp;F294&amp;" AS STRING),'}')&gt;0 OR INSTR(CAST(X."&amp;F294&amp;" AS STRING),'[')&gt;0 OR INSTR(CAST(X."&amp;F294&amp;" AS STRING),'')&gt;0 OR INSTR(CAST(X."&amp;F294&amp;" AS STRING),']')&gt;0 OR INSTR(CAST(X."&amp;F294&amp;" AS STRING),'?')&gt;0 OR INSTR(CAST(X."&amp;F294&amp;" AS STRING),'!')&gt;0 OR INSTR(CAST(X."&amp;F294&amp;" AS STRING),'$')&gt;0 OR INSTR(CAST(X."&amp;F294&amp;" AS STRING),'%')&gt;0 OR INSTR(CAST(X."&amp;F294&amp;" AS STRING),'&amp;')&gt;0 OR INSTR(CAST(X."&amp;F294&amp;" AS STRING),'+')&gt;0,1,0)) AS NUM_REG_DIF,'"&amp;MAX('ID1&amp;5'!K:K)+1&amp;"' AS ID_EXEC, CURRENT_TIMESTAMP() AS TIME_EXEC FROM "&amp;I294,
IF(C294="Missings",+"SELECT '"&amp;UPPER(B294)&amp;"' AS TABELA, '"&amp;UPPER(C294)&amp;"' AS TIPOLOGIA_TESTE,'"&amp;D294&amp;"' AS TABELA_LT,'N/A' AS TABELA_SIMUL,'"&amp;F294&amp;"' AS CAMPO, "&amp;"'${ref_date}' AS REF_DATE, COUNT(*) AS NUM_REG, SUM(IF(TRIM(CAST(X."&amp;F294&amp;" AS STRING)) IN ('0000-00-00','0001-01-01','9999-12-31','MISS','00000','99999999999','99999999999.00','99999999999.000000'),1,0)) AS NUM_REG_DIF,'"&amp;MAX('ID1&amp;5'!K:K)+1&amp;"' AS ID_EXEC, CURRENT_TIMESTAMP() AS TIME_EXEC FROM "&amp;I294,
IF(C294="Not applicable",+"SELECT '"&amp;UPPER(B294)&amp;"' AS TABELA, '"&amp;UPPER(C294)&amp;"' AS TIPOLOGIA_TESTE,'"&amp;D294&amp;"' AS TABELA_LT,'N/A' AS TABELA_SIMUL,'"&amp;F294&amp;"' AS CAMPO, "&amp;"'${ref_date}' AS REF_DATE, COUNT(*) AS NUM_REG, SUM(IF(TRIM(CAST(X."&amp;F294&amp;" AS STRING)) IN ('N/A','11111111111','11111111111.00','11111111111.000000','1111-11-11'),1,0)) AS NUM_REG_DIF,'"&amp;MAX('ID1&amp;5'!K:K)+1&amp;"' AS ID_EXEC, CURRENT_TIMESTAMP() AS TIME_EXEC FROM "&amp;I294,
IF(C294="Valores extremos",+"SELECT '"&amp;UPPER(B294)&amp;"' AS TABELA, '"&amp;UPPER(C294)&amp;"' AS TIPOLOGIA_TESTE,'"&amp;D294&amp;"' AS TABELA_LT,'N/A' AS TABELA_SIMUL,'"&amp;F294&amp;"' AS CAMPO, "&amp;"'${ref_date}' AS REF_DATE, CAST(MIN("&amp;F294&amp;") AS STRING) AS VALOR_MIN, CAST(MAX("&amp;F294&amp;") AS STRING) AS VALOR_MAX,'"&amp;MAX('ID1&amp;5'!K:K)+1&amp;"' AS ID_EXEC, CURRENT_TIMESTAMP() AS TIME_EXEC FROM "&amp;MID(I294,1,LEN(I294)-2)&amp;" AND CAST("&amp;F294&amp;"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TABELA_SIMUL,'GRSS_CRRYNG_AMNT_INSTRMNT' AS CAMPO, '${ref_date}' AS REF_DATE, COUNT(*) AS NUM_REG, SUM(IF(TRIM(CAST(X.GRSS_CRRYNG_AMNT_INSTRMNT AS STRING)) IN ('0000-00-00','0001-01-01','9999-12-31','MISS','00000','99999999999','99999999999.00','99999999999.000000'),1,0)) AS NUM_REG_DIF,'10' AS ID_EXEC, CURRENT_TIMESTAMP() AS TIME_EXEC FROM (SELECT instrmnt_id, GRSS_CRRYNG_AMNT_INSTRMNT FROM BU_LOANTAPE_WORK.LT002_INSTRUMENT WHERE ref_date='${ref_date}' AND nome_perimetro='Individual Corporativo' AND segmento='ESTR' AND ambito='PILAR3')X</v>
      </c>
      <c r="M294" s="43" t="str">
        <f t="shared" si="4"/>
        <v>UNION ALL SELECT 'INSTRUMENT' AS TABELA, 'MISSINGS' AS TIPOLOGIA_TESTE,'BU_LOANTAPE_WORK.LT002_INSTRUMENT' AS TABELA_LT,'N/A' AS TABELA_SIMUL,'GRSS_CRRYNG_AMNT_INSTRMNT' AS CAMPO, '${ref_date}' AS REF_DATE, COUNT(*) AS NUM_REG, SUM(IF(TRIM(CAST(X.GRSS_CRRYNG_AMNT_INSTRMNT AS STRING)) IN ('0000-00-00','0001-01-01','9999-12-31','MISS','00000','99999999999','99999999999.00','99999999999.000000'),1,0)) AS NUM_REG_DIF,'10' AS ID_EXEC, CURRENT_TIMESTAMP() AS TIME_EXEC FROM (SELECT instrmnt_id, GRSS_CRRYNG_AMNT_INSTRMNT FROM BU_LOANTAPE_WORK.LT002_INSTRUMENT WHERE ref_date='${ref_date}' AND nome_perimetro='Individual Corporativo' AND segmento='ESTR' AND ambito='PILAR3')X</v>
      </c>
      <c r="N294" s="45" t="s">
        <v>13</v>
      </c>
    </row>
    <row r="295" spans="2:14">
      <c r="B295" s="41" t="s">
        <v>27</v>
      </c>
      <c r="C295" s="41" t="s">
        <v>77</v>
      </c>
      <c r="D295" s="41" t="str">
        <f>+UPPER('0. Instruções'!$D$33&amp;"."&amp;VLOOKUP(B295,'0. Instruções'!$C$27:$D$31,2,FALSE))</f>
        <v>BU_LOANTAPE_WORK.LT002_INSTRUMENT</v>
      </c>
      <c r="E295" s="41" t="str">
        <f>+UPPER('0. Instruções'!$D$34&amp;"."&amp;VLOOKUP(B295,'0. Instruções'!$C$27:$E$31,3,FALSE))</f>
        <v>BU_LOANTAPE_WORK.LT002_INSTRUMENT_P3_NOV24</v>
      </c>
      <c r="F295" s="41" t="s">
        <v>165</v>
      </c>
      <c r="G295" s="41" t="s">
        <v>13</v>
      </c>
      <c r="H295" s="41"/>
      <c r="I295" s="41" t="str">
        <f>"(SELECT "&amp;VLOOKUP(B295,'0. Instruções'!$C$27:$G$31,4,FALSE)&amp;", "&amp;F295&amp;" FROM "&amp;D295&amp;" WHERE "&amp;'0. Instruções'!$D$40&amp;")X"</f>
        <v>(SELECT instrmnt_id, ACCMLTD_CHNGS_FV_CR_INSTRMNT FROM BU_LOANTAPE_WORK.LT002_INSTRUMENT WHERE ref_date='${ref_date}' AND nome_perimetro='Individual Corporativo' AND segmento='ESTR' AND ambito='PILAR3')X</v>
      </c>
      <c r="J295" s="41" t="str">
        <f>"(SELECT "&amp;VLOOKUP(B295,'0. Instruções'!$C$27:$G$31,4,FALSE)&amp;" AS "&amp;VLOOKUP(B295,'0. Instruções'!$C$27:$G$31,4,FALSE)&amp;"_SIMUL, "&amp;F295&amp;" AS "&amp;F295&amp;"_SIMUL FROM "&amp;E295&amp;")Y"</f>
        <v>(SELECT instrmnt_id AS instrmnt_id_SIMUL, ACCMLTD_CHNGS_FV_CR_INSTRMNT AS ACCMLTD_CHNGS_FV_CR_INSTRMNT_SIMUL FROM BU_LOANTAPE_WORK.LT002_INSTRUMENT_P3_NOV24)Y</v>
      </c>
      <c r="K295" s="42" t="str">
        <f>+UPPER("ON X."&amp;VLOOKUP(B295,'0. Instruções'!$C$27:$G$31,4,FALSE)&amp;"=Y."&amp;VLOOKUP(B295,'0. Instruções'!$C$27:$G$31,4,FALSE)&amp;"_SIMUL")</f>
        <v>ON X.INSTRMNT_ID=Y.INSTRMNT_ID_SIMUL</v>
      </c>
      <c r="L295" s="42" t="str">
        <f>+IF(C295="Coerência", +IF(LEFT(G295,5)="FLOAT","SELECT '"&amp;UPPER(B295)&amp;"' AS TABELA, '"&amp;UPPER(C295)&amp;"' AS TIPOLOGIA_TESTE,'"&amp;D295&amp;"' AS TABELA_LT,'"&amp;E295&amp;"' AS TABELA_SIMUL,'"&amp;F295&amp;"' AS CAMPO, "&amp;"'${ref_date}' AS REF_DATE, COUNT(*) AS NUM_REG, SUM(IF((ABS(COALESCE(X."&amp;F295&amp;",0)-COALESCE(Y."&amp;F295&amp;"_SIMUL,0))&gt;0.0000000001) OR (X."&amp;F295&amp;" IS NULL AND Y."&amp;F295&amp;"_SIMUL IS NOT NULL ) OR (X."&amp;F295&amp;" IS NOT NULL AND Y."&amp;F295&amp;"_SIMUL IS NULL),1,0)) AS NUM_REG_DIF,'"&amp;MAX('ID1&amp;5'!K:K)+1&amp;"' AS ID_EXEC, CURRENT_TIMESTAMP() AS TIME_EXEC FROM "&amp;I295&amp;" INNER JOIN "&amp;J295&amp;" "&amp;K295,"SELECT '"&amp;UPPER(B295)&amp;"' AS TABELA, '"&amp;UPPER(C295)&amp;"' AS TIPOLOGIA_TESTE,'"&amp;D295&amp;"' AS TABELA_LT,'"&amp;E295&amp;"' AS TABELA_SIMUL,'"&amp;F295&amp;"' AS CAMPO, "&amp;"'${ref_date}' AS REF_DATE, COUNT(*) AS NUM_REG, SUM(IF(COALESCE(CAST(X."&amp;F295&amp;" AS STRING),'')&lt;&gt;COALESCE(CAST(Y."&amp;F295&amp;"_SIMUL AS STRING),''),1,0)) AS NUM_REG_DIF,'"&amp;MAX('ID1&amp;5'!L:L)+1&amp;"' AS ID_EXEC, CURRENT_TIMESTAMP() AS TIME_EXEC FROM "&amp;I295&amp;" INNER JOIN "&amp;J295&amp;" "&amp;K295),
IF(C295="Validade",+IF(G295="Code List","SELECT '"&amp;UPPER(B295)&amp;"' AS TABELA, '"&amp;UPPER(C295)&amp;"' AS TIPOLOGIA_TESTE,'"&amp;D295&amp;"' AS TABELA_LT,'N/A' AS TABELA_SIMUL,'"&amp;F295&amp;"' AS CAMPO, "&amp;"'${ref_date}' AS REF_DATE, COUNT(*) AS NUM_REG, SUM(IF(TRIM(CAST(X."&amp;F295&amp;" AS STRING))='' OR TRIM(CAST(X."&amp;F295&amp;" AS STRING)) IS NULL OR CAST(X."&amp;F295&amp;" AS STRING) NOT "&amp;H295&amp;",1,0)) AS NUM_REG_DIF,'"&amp;MAX('ID1&amp;5'!K:K)+1&amp;"' AS ID_EXEC, CURRENT_TIMESTAMP() AS TIME_EXEC FROM "&amp;I295,"SELECT '"&amp;UPPER(B295)&amp;"' AS TABELA, '"&amp;UPPER(C295)&amp;"' AS TIPOLOGIA_TESTE,'"&amp;D295&amp;"' AS TABELA_LT,'N/A' AS TABELA_SIMUL,'"&amp;F295&amp;"' AS CAMPO, "&amp;"'${ref_date}' AS REF_DATE, COUNT(*) AS NUM_REG, SUM(IF(TRIM(CAST(X."&amp;F295&amp;" AS STRING))='' OR TRIM(CAST(X."&amp;F295&amp;" AS STRING)) IS NULL,1,0)) AS NUM_REG_DIF,'"&amp;MAX('ID1&amp;5'!K:K)+1&amp;"' AS ID_EXEC, CURRENT_TIMESTAMP() AS TIME_EXEC FROM "&amp;I295),
IF(C295="Caracteres Especiais",+"SELECT '"&amp;UPPER(B295)&amp;"' AS TABELA, '"&amp;UPPER(C295)&amp;"' AS TIPOLOGIA_TESTE,'"&amp;D295&amp;"' AS TABELA_LT,'N/A' AS TABELA_SIMUL,'"&amp;F295&amp;"' AS CAMPO, "&amp;"'${ref_date}' AS REF_DATE, COUNT(*) AS NUM_REG, SUM(IF(INSTR(CAST(X."&amp;F295&amp;" AS STRING),'#')&gt;0 OR INSTR(CAST(X."&amp;F295&amp;" AS STRING),'*')&gt;0 OR INSTR(CAST(X."&amp;F295&amp;" AS STRING),'`')&gt;0 OR INSTR(CAST(X."&amp;F295&amp;" AS STRING),'´')&gt;0 OR INSTR(CAST(X."&amp;F295&amp;" AS STRING),'{')&gt;0 OR INSTR(CAST(X."&amp;F295&amp;" AS STRING),'}')&gt;0 OR INSTR(CAST(X."&amp;F295&amp;" AS STRING),'[')&gt;0 OR INSTR(CAST(X."&amp;F295&amp;" AS STRING),'')&gt;0 OR INSTR(CAST(X."&amp;F295&amp;" AS STRING),']')&gt;0 OR INSTR(CAST(X."&amp;F295&amp;" AS STRING),'?')&gt;0 OR INSTR(CAST(X."&amp;F295&amp;" AS STRING),'!')&gt;0 OR INSTR(CAST(X."&amp;F295&amp;" AS STRING),'$')&gt;0 OR INSTR(CAST(X."&amp;F295&amp;" AS STRING),'%')&gt;0 OR INSTR(CAST(X."&amp;F295&amp;" AS STRING),'&amp;')&gt;0 OR INSTR(CAST(X."&amp;F295&amp;" AS STRING),'+')&gt;0,1,0)) AS NUM_REG_DIF,'"&amp;MAX('ID1&amp;5'!K:K)+1&amp;"' AS ID_EXEC, CURRENT_TIMESTAMP() AS TIME_EXEC FROM "&amp;I295,
IF(C295="Missings",+"SELECT '"&amp;UPPER(B295)&amp;"' AS TABELA, '"&amp;UPPER(C295)&amp;"' AS TIPOLOGIA_TESTE,'"&amp;D295&amp;"' AS TABELA_LT,'N/A' AS TABELA_SIMUL,'"&amp;F295&amp;"' AS CAMPO, "&amp;"'${ref_date}' AS REF_DATE, COUNT(*) AS NUM_REG, SUM(IF(TRIM(CAST(X."&amp;F295&amp;" AS STRING)) IN ('0000-00-00','0001-01-01','9999-12-31','MISS','00000','99999999999','99999999999.00','99999999999.000000'),1,0)) AS NUM_REG_DIF,'"&amp;MAX('ID1&amp;5'!K:K)+1&amp;"' AS ID_EXEC, CURRENT_TIMESTAMP() AS TIME_EXEC FROM "&amp;I295,
IF(C295="Not applicable",+"SELECT '"&amp;UPPER(B295)&amp;"' AS TABELA, '"&amp;UPPER(C295)&amp;"' AS TIPOLOGIA_TESTE,'"&amp;D295&amp;"' AS TABELA_LT,'N/A' AS TABELA_SIMUL,'"&amp;F295&amp;"' AS CAMPO, "&amp;"'${ref_date}' AS REF_DATE, COUNT(*) AS NUM_REG, SUM(IF(TRIM(CAST(X."&amp;F295&amp;" AS STRING)) IN ('N/A','11111111111','11111111111.00','11111111111.000000','1111-11-11'),1,0)) AS NUM_REG_DIF,'"&amp;MAX('ID1&amp;5'!K:K)+1&amp;"' AS ID_EXEC, CURRENT_TIMESTAMP() AS TIME_EXEC FROM "&amp;I295,
IF(C295="Valores extremos",+"SELECT '"&amp;UPPER(B295)&amp;"' AS TABELA, '"&amp;UPPER(C295)&amp;"' AS TIPOLOGIA_TESTE,'"&amp;D295&amp;"' AS TABELA_LT,'N/A' AS TABELA_SIMUL,'"&amp;F295&amp;"' AS CAMPO, "&amp;"'${ref_date}' AS REF_DATE, CAST(MIN("&amp;F295&amp;") AS STRING) AS VALOR_MIN, CAST(MAX("&amp;F295&amp;") AS STRING) AS VALOR_MAX,'"&amp;MAX('ID1&amp;5'!K:K)+1&amp;"' AS ID_EXEC, CURRENT_TIMESTAMP() AS TIME_EXEC FROM "&amp;MID(I295,1,LEN(I295)-2)&amp;" AND CAST("&amp;F295&amp;"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TABELA_SIMUL,'ACCMLTD_CHNGS_FV_CR_INSTRMNT' AS CAMPO, '${ref_date}' AS REF_DATE, COUNT(*) AS NUM_REG, SUM(IF(TRIM(CAST(X.ACCMLTD_CHNGS_FV_CR_INSTRMNT AS STRING)) IN ('0000-00-00','0001-01-01','9999-12-31','MISS','00000','99999999999','99999999999.00','99999999999.000000'),1,0)) AS NUM_REG_DIF,'10' AS ID_EXEC, CURRENT_TIMESTAMP() AS TIME_EXEC FROM (SELECT instrmnt_id, ACCMLTD_CHNGS_FV_CR_INSTRMNT FROM BU_LOANTAPE_WORK.LT002_INSTRUMENT WHERE ref_date='${ref_date}' AND nome_perimetro='Individual Corporativo' AND segmento='ESTR' AND ambito='PILAR3')X</v>
      </c>
      <c r="M295" s="43" t="str">
        <f t="shared" si="4"/>
        <v>UNION ALL SELECT 'INSTRUMENT' AS TABELA, 'MISSINGS' AS TIPOLOGIA_TESTE,'BU_LOANTAPE_WORK.LT002_INSTRUMENT' AS TABELA_LT,'N/A' AS TABELA_SIMUL,'ACCMLTD_CHNGS_FV_CR_INSTRMNT' AS CAMPO, '${ref_date}' AS REF_DATE, COUNT(*) AS NUM_REG, SUM(IF(TRIM(CAST(X.ACCMLTD_CHNGS_FV_CR_INSTRMNT AS STRING)) IN ('0000-00-00','0001-01-01','9999-12-31','MISS','00000','99999999999','99999999999.00','99999999999.000000'),1,0)) AS NUM_REG_DIF,'10' AS ID_EXEC, CURRENT_TIMESTAMP() AS TIME_EXEC FROM (SELECT instrmnt_id, ACCMLTD_CHNGS_FV_CR_INSTRMNT FROM BU_LOANTAPE_WORK.LT002_INSTRUMENT WHERE ref_date='${ref_date}' AND nome_perimetro='Individual Corporativo' AND segmento='ESTR' AND ambito='PILAR3')X</v>
      </c>
      <c r="N295" s="45" t="s">
        <v>13</v>
      </c>
    </row>
    <row r="296" spans="2:14">
      <c r="B296" s="41" t="s">
        <v>27</v>
      </c>
      <c r="C296" s="41" t="s">
        <v>77</v>
      </c>
      <c r="D296" s="41" t="str">
        <f>+UPPER('0. Instruções'!$D$33&amp;"."&amp;VLOOKUP(B296,'0. Instruções'!$C$27:$D$31,2,FALSE))</f>
        <v>BU_LOANTAPE_WORK.LT002_INSTRUMENT</v>
      </c>
      <c r="E296" s="41" t="str">
        <f>+UPPER('0. Instruções'!$D$34&amp;"."&amp;VLOOKUP(B296,'0. Instruções'!$C$27:$E$31,3,FALSE))</f>
        <v>BU_LOANTAPE_WORK.LT002_INSTRUMENT_P3_NOV24</v>
      </c>
      <c r="F296" s="41" t="s">
        <v>166</v>
      </c>
      <c r="G296" s="41" t="s">
        <v>13</v>
      </c>
      <c r="H296" s="41"/>
      <c r="I296" s="41" t="str">
        <f>"(SELECT "&amp;VLOOKUP(B296,'0. Instruções'!$C$27:$G$31,4,FALSE)&amp;", "&amp;F296&amp;" FROM "&amp;D296&amp;" WHERE "&amp;'0. Instruções'!$D$40&amp;")X"</f>
        <v>(SELECT instrmnt_id, ACCNTNG_CLSSFCTN FROM BU_LOANTAPE_WORK.LT002_INSTRUMENT WHERE ref_date='${ref_date}' AND nome_perimetro='Individual Corporativo' AND segmento='ESTR' AND ambito='PILAR3')X</v>
      </c>
      <c r="J296" s="41" t="str">
        <f>"(SELECT "&amp;VLOOKUP(B296,'0. Instruções'!$C$27:$G$31,4,FALSE)&amp;" AS "&amp;VLOOKUP(B296,'0. Instruções'!$C$27:$G$31,4,FALSE)&amp;"_SIMUL, "&amp;F296&amp;" AS "&amp;F296&amp;"_SIMUL FROM "&amp;E296&amp;")Y"</f>
        <v>(SELECT instrmnt_id AS instrmnt_id_SIMUL, ACCNTNG_CLSSFCTN AS ACCNTNG_CLSSFCTN_SIMUL FROM BU_LOANTAPE_WORK.LT002_INSTRUMENT_P3_NOV24)Y</v>
      </c>
      <c r="K296" s="42" t="str">
        <f>+UPPER("ON X."&amp;VLOOKUP(B296,'0. Instruções'!$C$27:$G$31,4,FALSE)&amp;"=Y."&amp;VLOOKUP(B296,'0. Instruções'!$C$27:$G$31,4,FALSE)&amp;"_SIMUL")</f>
        <v>ON X.INSTRMNT_ID=Y.INSTRMNT_ID_SIMUL</v>
      </c>
      <c r="L296" s="42" t="str">
        <f>+IF(C296="Coerência", +IF(LEFT(G296,5)="FLOAT","SELECT '"&amp;UPPER(B296)&amp;"' AS TABELA, '"&amp;UPPER(C296)&amp;"' AS TIPOLOGIA_TESTE,'"&amp;D296&amp;"' AS TABELA_LT,'"&amp;E296&amp;"' AS TABELA_SIMUL,'"&amp;F296&amp;"' AS CAMPO, "&amp;"'${ref_date}' AS REF_DATE, COUNT(*) AS NUM_REG, SUM(IF((ABS(COALESCE(X."&amp;F296&amp;",0)-COALESCE(Y."&amp;F296&amp;"_SIMUL,0))&gt;0.0000000001) OR (X."&amp;F296&amp;" IS NULL AND Y."&amp;F296&amp;"_SIMUL IS NOT NULL ) OR (X."&amp;F296&amp;" IS NOT NULL AND Y."&amp;F296&amp;"_SIMUL IS NULL),1,0)) AS NUM_REG_DIF,'"&amp;MAX('ID1&amp;5'!K:K)+1&amp;"' AS ID_EXEC, CURRENT_TIMESTAMP() AS TIME_EXEC FROM "&amp;I296&amp;" INNER JOIN "&amp;J296&amp;" "&amp;K296,"SELECT '"&amp;UPPER(B296)&amp;"' AS TABELA, '"&amp;UPPER(C296)&amp;"' AS TIPOLOGIA_TESTE,'"&amp;D296&amp;"' AS TABELA_LT,'"&amp;E296&amp;"' AS TABELA_SIMUL,'"&amp;F296&amp;"' AS CAMPO, "&amp;"'${ref_date}' AS REF_DATE, COUNT(*) AS NUM_REG, SUM(IF(COALESCE(CAST(X."&amp;F296&amp;" AS STRING),'')&lt;&gt;COALESCE(CAST(Y."&amp;F296&amp;"_SIMUL AS STRING),''),1,0)) AS NUM_REG_DIF,'"&amp;MAX('ID1&amp;5'!L:L)+1&amp;"' AS ID_EXEC, CURRENT_TIMESTAMP() AS TIME_EXEC FROM "&amp;I296&amp;" INNER JOIN "&amp;J296&amp;" "&amp;K296),
IF(C296="Validade",+IF(G296="Code List","SELECT '"&amp;UPPER(B296)&amp;"' AS TABELA, '"&amp;UPPER(C296)&amp;"' AS TIPOLOGIA_TESTE,'"&amp;D296&amp;"' AS TABELA_LT,'N/A' AS TABELA_SIMUL,'"&amp;F296&amp;"' AS CAMPO, "&amp;"'${ref_date}' AS REF_DATE, COUNT(*) AS NUM_REG, SUM(IF(TRIM(CAST(X."&amp;F296&amp;" AS STRING))='' OR TRIM(CAST(X."&amp;F296&amp;" AS STRING)) IS NULL OR CAST(X."&amp;F296&amp;" AS STRING) NOT "&amp;H296&amp;",1,0)) AS NUM_REG_DIF,'"&amp;MAX('ID1&amp;5'!K:K)+1&amp;"' AS ID_EXEC, CURRENT_TIMESTAMP() AS TIME_EXEC FROM "&amp;I296,"SELECT '"&amp;UPPER(B296)&amp;"' AS TABELA, '"&amp;UPPER(C296)&amp;"' AS TIPOLOGIA_TESTE,'"&amp;D296&amp;"' AS TABELA_LT,'N/A' AS TABELA_SIMUL,'"&amp;F296&amp;"' AS CAMPO, "&amp;"'${ref_date}' AS REF_DATE, COUNT(*) AS NUM_REG, SUM(IF(TRIM(CAST(X."&amp;F296&amp;" AS STRING))='' OR TRIM(CAST(X."&amp;F296&amp;" AS STRING)) IS NULL,1,0)) AS NUM_REG_DIF,'"&amp;MAX('ID1&amp;5'!K:K)+1&amp;"' AS ID_EXEC, CURRENT_TIMESTAMP() AS TIME_EXEC FROM "&amp;I296),
IF(C296="Caracteres Especiais",+"SELECT '"&amp;UPPER(B296)&amp;"' AS TABELA, '"&amp;UPPER(C296)&amp;"' AS TIPOLOGIA_TESTE,'"&amp;D296&amp;"' AS TABELA_LT,'N/A' AS TABELA_SIMUL,'"&amp;F296&amp;"' AS CAMPO, "&amp;"'${ref_date}' AS REF_DATE, COUNT(*) AS NUM_REG, SUM(IF(INSTR(CAST(X."&amp;F296&amp;" AS STRING),'#')&gt;0 OR INSTR(CAST(X."&amp;F296&amp;" AS STRING),'*')&gt;0 OR INSTR(CAST(X."&amp;F296&amp;" AS STRING),'`')&gt;0 OR INSTR(CAST(X."&amp;F296&amp;" AS STRING),'´')&gt;0 OR INSTR(CAST(X."&amp;F296&amp;" AS STRING),'{')&gt;0 OR INSTR(CAST(X."&amp;F296&amp;" AS STRING),'}')&gt;0 OR INSTR(CAST(X."&amp;F296&amp;" AS STRING),'[')&gt;0 OR INSTR(CAST(X."&amp;F296&amp;" AS STRING),'')&gt;0 OR INSTR(CAST(X."&amp;F296&amp;" AS STRING),']')&gt;0 OR INSTR(CAST(X."&amp;F296&amp;" AS STRING),'?')&gt;0 OR INSTR(CAST(X."&amp;F296&amp;" AS STRING),'!')&gt;0 OR INSTR(CAST(X."&amp;F296&amp;" AS STRING),'$')&gt;0 OR INSTR(CAST(X."&amp;F296&amp;" AS STRING),'%')&gt;0 OR INSTR(CAST(X."&amp;F296&amp;" AS STRING),'&amp;')&gt;0 OR INSTR(CAST(X."&amp;F296&amp;" AS STRING),'+')&gt;0,1,0)) AS NUM_REG_DIF,'"&amp;MAX('ID1&amp;5'!K:K)+1&amp;"' AS ID_EXEC, CURRENT_TIMESTAMP() AS TIME_EXEC FROM "&amp;I296,
IF(C296="Missings",+"SELECT '"&amp;UPPER(B296)&amp;"' AS TABELA, '"&amp;UPPER(C296)&amp;"' AS TIPOLOGIA_TESTE,'"&amp;D296&amp;"' AS TABELA_LT,'N/A' AS TABELA_SIMUL,'"&amp;F296&amp;"' AS CAMPO, "&amp;"'${ref_date}' AS REF_DATE, COUNT(*) AS NUM_REG, SUM(IF(TRIM(CAST(X."&amp;F296&amp;" AS STRING)) IN ('0000-00-00','0001-01-01','9999-12-31','MISS','00000','99999999999','99999999999.00','99999999999.000000'),1,0)) AS NUM_REG_DIF,'"&amp;MAX('ID1&amp;5'!K:K)+1&amp;"' AS ID_EXEC, CURRENT_TIMESTAMP() AS TIME_EXEC FROM "&amp;I296,
IF(C296="Not applicable",+"SELECT '"&amp;UPPER(B296)&amp;"' AS TABELA, '"&amp;UPPER(C296)&amp;"' AS TIPOLOGIA_TESTE,'"&amp;D296&amp;"' AS TABELA_LT,'N/A' AS TABELA_SIMUL,'"&amp;F296&amp;"' AS CAMPO, "&amp;"'${ref_date}' AS REF_DATE, COUNT(*) AS NUM_REG, SUM(IF(TRIM(CAST(X."&amp;F296&amp;" AS STRING)) IN ('N/A','11111111111','11111111111.00','11111111111.000000','1111-11-11'),1,0)) AS NUM_REG_DIF,'"&amp;MAX('ID1&amp;5'!K:K)+1&amp;"' AS ID_EXEC, CURRENT_TIMESTAMP() AS TIME_EXEC FROM "&amp;I296,
IF(C296="Valores extremos",+"SELECT '"&amp;UPPER(B296)&amp;"' AS TABELA, '"&amp;UPPER(C296)&amp;"' AS TIPOLOGIA_TESTE,'"&amp;D296&amp;"' AS TABELA_LT,'N/A' AS TABELA_SIMUL,'"&amp;F296&amp;"' AS CAMPO, "&amp;"'${ref_date}' AS REF_DATE, CAST(MIN("&amp;F296&amp;") AS STRING) AS VALOR_MIN, CAST(MAX("&amp;F296&amp;") AS STRING) AS VALOR_MAX,'"&amp;MAX('ID1&amp;5'!K:K)+1&amp;"' AS ID_EXEC, CURRENT_TIMESTAMP() AS TIME_EXEC FROM "&amp;MID(I296,1,LEN(I296)-2)&amp;" AND CAST("&amp;F296&amp;"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TABELA_SIMUL,'ACCNTNG_CLSSFCTN' AS CAMPO, '${ref_date}' AS REF_DATE, COUNT(*) AS NUM_REG, SUM(IF(TRIM(CAST(X.ACCNTNG_CLSSFCTN AS STRING)) IN ('0000-00-00','0001-01-01','9999-12-31','MISS','00000','99999999999','99999999999.00','99999999999.000000'),1,0)) AS NUM_REG_DIF,'10' AS ID_EXEC, CURRENT_TIMESTAMP() AS TIME_EXEC FROM (SELECT instrmnt_id, ACCNTNG_CLSSFCTN FROM BU_LOANTAPE_WORK.LT002_INSTRUMENT WHERE ref_date='${ref_date}' AND nome_perimetro='Individual Corporativo' AND segmento='ESTR' AND ambito='PILAR3')X</v>
      </c>
      <c r="M296" s="43" t="str">
        <f t="shared" si="4"/>
        <v>UNION ALL SELECT 'INSTRUMENT' AS TABELA, 'MISSINGS' AS TIPOLOGIA_TESTE,'BU_LOANTAPE_WORK.LT002_INSTRUMENT' AS TABELA_LT,'N/A' AS TABELA_SIMUL,'ACCNTNG_CLSSFCTN' AS CAMPO, '${ref_date}' AS REF_DATE, COUNT(*) AS NUM_REG, SUM(IF(TRIM(CAST(X.ACCNTNG_CLSSFCTN AS STRING)) IN ('0000-00-00','0001-01-01','9999-12-31','MISS','00000','99999999999','99999999999.00','99999999999.000000'),1,0)) AS NUM_REG_DIF,'10' AS ID_EXEC, CURRENT_TIMESTAMP() AS TIME_EXEC FROM (SELECT instrmnt_id, ACCNTNG_CLSSFCTN FROM BU_LOANTAPE_WORK.LT002_INSTRUMENT WHERE ref_date='${ref_date}' AND nome_perimetro='Individual Corporativo' AND segmento='ESTR' AND ambito='PILAR3')X</v>
      </c>
      <c r="N296" s="45" t="s">
        <v>13</v>
      </c>
    </row>
    <row r="297" spans="2:14">
      <c r="B297" s="41" t="s">
        <v>27</v>
      </c>
      <c r="C297" s="41" t="s">
        <v>77</v>
      </c>
      <c r="D297" s="41" t="str">
        <f>+UPPER('0. Instruções'!$D$33&amp;"."&amp;VLOOKUP(B297,'0. Instruções'!$C$27:$D$31,2,FALSE))</f>
        <v>BU_LOANTAPE_WORK.LT002_INSTRUMENT</v>
      </c>
      <c r="E297" s="41" t="str">
        <f>+UPPER('0. Instruções'!$D$34&amp;"."&amp;VLOOKUP(B297,'0. Instruções'!$C$27:$E$31,3,FALSE))</f>
        <v>BU_LOANTAPE_WORK.LT002_INSTRUMENT_P3_NOV24</v>
      </c>
      <c r="F297" s="41" t="s">
        <v>167</v>
      </c>
      <c r="G297" s="41" t="s">
        <v>13</v>
      </c>
      <c r="H297" s="41"/>
      <c r="I297" s="41" t="str">
        <f>"(SELECT "&amp;VLOOKUP(B297,'0. Instruções'!$C$27:$G$31,4,FALSE)&amp;", "&amp;F297&amp;" FROM "&amp;D297&amp;" WHERE "&amp;'0. Instruções'!$D$40&amp;")X"</f>
        <v>(SELECT instrmnt_id, DT_LGL_FNL_MTRTY FROM BU_LOANTAPE_WORK.LT002_INSTRUMENT WHERE ref_date='${ref_date}' AND nome_perimetro='Individual Corporativo' AND segmento='ESTR' AND ambito='PILAR3')X</v>
      </c>
      <c r="J297" s="41" t="str">
        <f>"(SELECT "&amp;VLOOKUP(B297,'0. Instruções'!$C$27:$G$31,4,FALSE)&amp;" AS "&amp;VLOOKUP(B297,'0. Instruções'!$C$27:$G$31,4,FALSE)&amp;"_SIMUL, "&amp;F297&amp;" AS "&amp;F297&amp;"_SIMUL FROM "&amp;E297&amp;")Y"</f>
        <v>(SELECT instrmnt_id AS instrmnt_id_SIMUL, DT_LGL_FNL_MTRTY AS DT_LGL_FNL_MTRTY_SIMUL FROM BU_LOANTAPE_WORK.LT002_INSTRUMENT_P3_NOV24)Y</v>
      </c>
      <c r="K297" s="42" t="str">
        <f>+UPPER("ON X."&amp;VLOOKUP(B297,'0. Instruções'!$C$27:$G$31,4,FALSE)&amp;"=Y."&amp;VLOOKUP(B297,'0. Instruções'!$C$27:$G$31,4,FALSE)&amp;"_SIMUL")</f>
        <v>ON X.INSTRMNT_ID=Y.INSTRMNT_ID_SIMUL</v>
      </c>
      <c r="L297" s="42" t="str">
        <f>+IF(C297="Coerência", +IF(LEFT(G297,5)="FLOAT","SELECT '"&amp;UPPER(B297)&amp;"' AS TABELA, '"&amp;UPPER(C297)&amp;"' AS TIPOLOGIA_TESTE,'"&amp;D297&amp;"' AS TABELA_LT,'"&amp;E297&amp;"' AS TABELA_SIMUL,'"&amp;F297&amp;"' AS CAMPO, "&amp;"'${ref_date}' AS REF_DATE, COUNT(*) AS NUM_REG, SUM(IF((ABS(COALESCE(X."&amp;F297&amp;",0)-COALESCE(Y."&amp;F297&amp;"_SIMUL,0))&gt;0.0000000001) OR (X."&amp;F297&amp;" IS NULL AND Y."&amp;F297&amp;"_SIMUL IS NOT NULL ) OR (X."&amp;F297&amp;" IS NOT NULL AND Y."&amp;F297&amp;"_SIMUL IS NULL),1,0)) AS NUM_REG_DIF,'"&amp;MAX('ID1&amp;5'!K:K)+1&amp;"' AS ID_EXEC, CURRENT_TIMESTAMP() AS TIME_EXEC FROM "&amp;I297&amp;" INNER JOIN "&amp;J297&amp;" "&amp;K297,"SELECT '"&amp;UPPER(B297)&amp;"' AS TABELA, '"&amp;UPPER(C297)&amp;"' AS TIPOLOGIA_TESTE,'"&amp;D297&amp;"' AS TABELA_LT,'"&amp;E297&amp;"' AS TABELA_SIMUL,'"&amp;F297&amp;"' AS CAMPO, "&amp;"'${ref_date}' AS REF_DATE, COUNT(*) AS NUM_REG, SUM(IF(COALESCE(CAST(X."&amp;F297&amp;" AS STRING),'')&lt;&gt;COALESCE(CAST(Y."&amp;F297&amp;"_SIMUL AS STRING),''),1,0)) AS NUM_REG_DIF,'"&amp;MAX('ID1&amp;5'!L:L)+1&amp;"' AS ID_EXEC, CURRENT_TIMESTAMP() AS TIME_EXEC FROM "&amp;I297&amp;" INNER JOIN "&amp;J297&amp;" "&amp;K297),
IF(C297="Validade",+IF(G297="Code List","SELECT '"&amp;UPPER(B297)&amp;"' AS TABELA, '"&amp;UPPER(C297)&amp;"' AS TIPOLOGIA_TESTE,'"&amp;D297&amp;"' AS TABELA_LT,'N/A' AS TABELA_SIMUL,'"&amp;F297&amp;"' AS CAMPO, "&amp;"'${ref_date}' AS REF_DATE, COUNT(*) AS NUM_REG, SUM(IF(TRIM(CAST(X."&amp;F297&amp;" AS STRING))='' OR TRIM(CAST(X."&amp;F297&amp;" AS STRING)) IS NULL OR CAST(X."&amp;F297&amp;" AS STRING) NOT "&amp;H297&amp;",1,0)) AS NUM_REG_DIF,'"&amp;MAX('ID1&amp;5'!K:K)+1&amp;"' AS ID_EXEC, CURRENT_TIMESTAMP() AS TIME_EXEC FROM "&amp;I297,"SELECT '"&amp;UPPER(B297)&amp;"' AS TABELA, '"&amp;UPPER(C297)&amp;"' AS TIPOLOGIA_TESTE,'"&amp;D297&amp;"' AS TABELA_LT,'N/A' AS TABELA_SIMUL,'"&amp;F297&amp;"' AS CAMPO, "&amp;"'${ref_date}' AS REF_DATE, COUNT(*) AS NUM_REG, SUM(IF(TRIM(CAST(X."&amp;F297&amp;" AS STRING))='' OR TRIM(CAST(X."&amp;F297&amp;" AS STRING)) IS NULL,1,0)) AS NUM_REG_DIF,'"&amp;MAX('ID1&amp;5'!K:K)+1&amp;"' AS ID_EXEC, CURRENT_TIMESTAMP() AS TIME_EXEC FROM "&amp;I297),
IF(C297="Caracteres Especiais",+"SELECT '"&amp;UPPER(B297)&amp;"' AS TABELA, '"&amp;UPPER(C297)&amp;"' AS TIPOLOGIA_TESTE,'"&amp;D297&amp;"' AS TABELA_LT,'N/A' AS TABELA_SIMUL,'"&amp;F297&amp;"' AS CAMPO, "&amp;"'${ref_date}' AS REF_DATE, COUNT(*) AS NUM_REG, SUM(IF(INSTR(CAST(X."&amp;F297&amp;" AS STRING),'#')&gt;0 OR INSTR(CAST(X."&amp;F297&amp;" AS STRING),'*')&gt;0 OR INSTR(CAST(X."&amp;F297&amp;" AS STRING),'`')&gt;0 OR INSTR(CAST(X."&amp;F297&amp;" AS STRING),'´')&gt;0 OR INSTR(CAST(X."&amp;F297&amp;" AS STRING),'{')&gt;0 OR INSTR(CAST(X."&amp;F297&amp;" AS STRING),'}')&gt;0 OR INSTR(CAST(X."&amp;F297&amp;" AS STRING),'[')&gt;0 OR INSTR(CAST(X."&amp;F297&amp;" AS STRING),'')&gt;0 OR INSTR(CAST(X."&amp;F297&amp;" AS STRING),']')&gt;0 OR INSTR(CAST(X."&amp;F297&amp;" AS STRING),'?')&gt;0 OR INSTR(CAST(X."&amp;F297&amp;" AS STRING),'!')&gt;0 OR INSTR(CAST(X."&amp;F297&amp;" AS STRING),'$')&gt;0 OR INSTR(CAST(X."&amp;F297&amp;" AS STRING),'%')&gt;0 OR INSTR(CAST(X."&amp;F297&amp;" AS STRING),'&amp;')&gt;0 OR INSTR(CAST(X."&amp;F297&amp;" AS STRING),'+')&gt;0,1,0)) AS NUM_REG_DIF,'"&amp;MAX('ID1&amp;5'!K:K)+1&amp;"' AS ID_EXEC, CURRENT_TIMESTAMP() AS TIME_EXEC FROM "&amp;I297,
IF(C297="Missings",+"SELECT '"&amp;UPPER(B297)&amp;"' AS TABELA, '"&amp;UPPER(C297)&amp;"' AS TIPOLOGIA_TESTE,'"&amp;D297&amp;"' AS TABELA_LT,'N/A' AS TABELA_SIMUL,'"&amp;F297&amp;"' AS CAMPO, "&amp;"'${ref_date}' AS REF_DATE, COUNT(*) AS NUM_REG, SUM(IF(TRIM(CAST(X."&amp;F297&amp;" AS STRING)) IN ('0000-00-00','0001-01-01','9999-12-31','MISS','00000','99999999999','99999999999.00','99999999999.000000'),1,0)) AS NUM_REG_DIF,'"&amp;MAX('ID1&amp;5'!K:K)+1&amp;"' AS ID_EXEC, CURRENT_TIMESTAMP() AS TIME_EXEC FROM "&amp;I297,
IF(C297="Not applicable",+"SELECT '"&amp;UPPER(B297)&amp;"' AS TABELA, '"&amp;UPPER(C297)&amp;"' AS TIPOLOGIA_TESTE,'"&amp;D297&amp;"' AS TABELA_LT,'N/A' AS TABELA_SIMUL,'"&amp;F297&amp;"' AS CAMPO, "&amp;"'${ref_date}' AS REF_DATE, COUNT(*) AS NUM_REG, SUM(IF(TRIM(CAST(X."&amp;F297&amp;" AS STRING)) IN ('N/A','11111111111','11111111111.00','11111111111.000000','1111-11-11'),1,0)) AS NUM_REG_DIF,'"&amp;MAX('ID1&amp;5'!K:K)+1&amp;"' AS ID_EXEC, CURRENT_TIMESTAMP() AS TIME_EXEC FROM "&amp;I297,
IF(C297="Valores extremos",+"SELECT '"&amp;UPPER(B297)&amp;"' AS TABELA, '"&amp;UPPER(C297)&amp;"' AS TIPOLOGIA_TESTE,'"&amp;D297&amp;"' AS TABELA_LT,'N/A' AS TABELA_SIMUL,'"&amp;F297&amp;"' AS CAMPO, "&amp;"'${ref_date}' AS REF_DATE, CAST(MIN("&amp;F297&amp;") AS STRING) AS VALOR_MIN, CAST(MAX("&amp;F297&amp;") AS STRING) AS VALOR_MAX,'"&amp;MAX('ID1&amp;5'!K:K)+1&amp;"' AS ID_EXEC, CURRENT_TIMESTAMP() AS TIME_EXEC FROM "&amp;MID(I297,1,LEN(I297)-2)&amp;" AND CAST("&amp;F297&amp;"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TABELA_SIMUL,'DT_LGL_FNL_MTRTY' AS CAMPO, '${ref_date}' AS REF_DATE, COUNT(*) AS NUM_REG, SUM(IF(TRIM(CAST(X.DT_LGL_FNL_MTRTY AS STRING)) IN ('0000-00-00','0001-01-01','9999-12-31','MISS','00000','99999999999','99999999999.00','99999999999.000000'),1,0)) AS NUM_REG_DIF,'10' AS ID_EXEC, CURRENT_TIMESTAMP() AS TIME_EXEC FROM (SELECT instrmnt_id, DT_LGL_FNL_MTRTY FROM BU_LOANTAPE_WORK.LT002_INSTRUMENT WHERE ref_date='${ref_date}' AND nome_perimetro='Individual Corporativo' AND segmento='ESTR' AND ambito='PILAR3')X</v>
      </c>
      <c r="M297" s="43" t="str">
        <f t="shared" si="4"/>
        <v>UNION ALL SELECT 'INSTRUMENT' AS TABELA, 'MISSINGS' AS TIPOLOGIA_TESTE,'BU_LOANTAPE_WORK.LT002_INSTRUMENT' AS TABELA_LT,'N/A' AS TABELA_SIMUL,'DT_LGL_FNL_MTRTY' AS CAMPO, '${ref_date}' AS REF_DATE, COUNT(*) AS NUM_REG, SUM(IF(TRIM(CAST(X.DT_LGL_FNL_MTRTY AS STRING)) IN ('0000-00-00','0001-01-01','9999-12-31','MISS','00000','99999999999','99999999999.00','99999999999.000000'),1,0)) AS NUM_REG_DIF,'10' AS ID_EXEC, CURRENT_TIMESTAMP() AS TIME_EXEC FROM (SELECT instrmnt_id, DT_LGL_FNL_MTRTY FROM BU_LOANTAPE_WORK.LT002_INSTRUMENT WHERE ref_date='${ref_date}' AND nome_perimetro='Individual Corporativo' AND segmento='ESTR' AND ambito='PILAR3')X</v>
      </c>
      <c r="N297" s="45" t="s">
        <v>13</v>
      </c>
    </row>
    <row r="298" spans="2:14">
      <c r="B298" s="41" t="s">
        <v>27</v>
      </c>
      <c r="C298" s="41" t="s">
        <v>77</v>
      </c>
      <c r="D298" s="41" t="str">
        <f>+UPPER('0. Instruções'!$D$33&amp;"."&amp;VLOOKUP(B298,'0. Instruções'!$C$27:$D$31,2,FALSE))</f>
        <v>BU_LOANTAPE_WORK.LT002_INSTRUMENT</v>
      </c>
      <c r="E298" s="41" t="str">
        <f>+UPPER('0. Instruções'!$D$34&amp;"."&amp;VLOOKUP(B298,'0. Instruções'!$C$27:$E$31,3,FALSE))</f>
        <v>BU_LOANTAPE_WORK.LT002_INSTRUMENT_P3_NOV24</v>
      </c>
      <c r="F298" s="41" t="s">
        <v>168</v>
      </c>
      <c r="G298" s="41" t="s">
        <v>13</v>
      </c>
      <c r="H298" s="41"/>
      <c r="I298" s="41" t="str">
        <f>"(SELECT "&amp;VLOOKUP(B298,'0. Instruções'!$C$27:$G$31,4,FALSE)&amp;", "&amp;F298&amp;" FROM "&amp;D298&amp;" WHERE "&amp;'0. Instruções'!$D$40&amp;")X"</f>
        <v>(SELECT instrmnt_id, ACCMLTD_IMPRMNT_INSTRMNT FROM BU_LOANTAPE_WORK.LT002_INSTRUMENT WHERE ref_date='${ref_date}' AND nome_perimetro='Individual Corporativo' AND segmento='ESTR' AND ambito='PILAR3')X</v>
      </c>
      <c r="J298" s="41" t="str">
        <f>"(SELECT "&amp;VLOOKUP(B298,'0. Instruções'!$C$27:$G$31,4,FALSE)&amp;" AS "&amp;VLOOKUP(B298,'0. Instruções'!$C$27:$G$31,4,FALSE)&amp;"_SIMUL, "&amp;F298&amp;" AS "&amp;F298&amp;"_SIMUL FROM "&amp;E298&amp;")Y"</f>
        <v>(SELECT instrmnt_id AS instrmnt_id_SIMUL, ACCMLTD_IMPRMNT_INSTRMNT AS ACCMLTD_IMPRMNT_INSTRMNT_SIMUL FROM BU_LOANTAPE_WORK.LT002_INSTRUMENT_P3_NOV24)Y</v>
      </c>
      <c r="K298" s="42" t="str">
        <f>+UPPER("ON X."&amp;VLOOKUP(B298,'0. Instruções'!$C$27:$G$31,4,FALSE)&amp;"=Y."&amp;VLOOKUP(B298,'0. Instruções'!$C$27:$G$31,4,FALSE)&amp;"_SIMUL")</f>
        <v>ON X.INSTRMNT_ID=Y.INSTRMNT_ID_SIMUL</v>
      </c>
      <c r="L298" s="42" t="str">
        <f>+IF(C298="Coerência", +IF(LEFT(G298,5)="FLOAT","SELECT '"&amp;UPPER(B298)&amp;"' AS TABELA, '"&amp;UPPER(C298)&amp;"' AS TIPOLOGIA_TESTE,'"&amp;D298&amp;"' AS TABELA_LT,'"&amp;E298&amp;"' AS TABELA_SIMUL,'"&amp;F298&amp;"' AS CAMPO, "&amp;"'${ref_date}' AS REF_DATE, COUNT(*) AS NUM_REG, SUM(IF((ABS(COALESCE(X."&amp;F298&amp;",0)-COALESCE(Y."&amp;F298&amp;"_SIMUL,0))&gt;0.0000000001) OR (X."&amp;F298&amp;" IS NULL AND Y."&amp;F298&amp;"_SIMUL IS NOT NULL ) OR (X."&amp;F298&amp;" IS NOT NULL AND Y."&amp;F298&amp;"_SIMUL IS NULL),1,0)) AS NUM_REG_DIF,'"&amp;MAX('ID1&amp;5'!K:K)+1&amp;"' AS ID_EXEC, CURRENT_TIMESTAMP() AS TIME_EXEC FROM "&amp;I298&amp;" INNER JOIN "&amp;J298&amp;" "&amp;K298,"SELECT '"&amp;UPPER(B298)&amp;"' AS TABELA, '"&amp;UPPER(C298)&amp;"' AS TIPOLOGIA_TESTE,'"&amp;D298&amp;"' AS TABELA_LT,'"&amp;E298&amp;"' AS TABELA_SIMUL,'"&amp;F298&amp;"' AS CAMPO, "&amp;"'${ref_date}' AS REF_DATE, COUNT(*) AS NUM_REG, SUM(IF(COALESCE(CAST(X."&amp;F298&amp;" AS STRING),'')&lt;&gt;COALESCE(CAST(Y."&amp;F298&amp;"_SIMUL AS STRING),''),1,0)) AS NUM_REG_DIF,'"&amp;MAX('ID1&amp;5'!L:L)+1&amp;"' AS ID_EXEC, CURRENT_TIMESTAMP() AS TIME_EXEC FROM "&amp;I298&amp;" INNER JOIN "&amp;J298&amp;" "&amp;K298),
IF(C298="Validade",+IF(G298="Code List","SELECT '"&amp;UPPER(B298)&amp;"' AS TABELA, '"&amp;UPPER(C298)&amp;"' AS TIPOLOGIA_TESTE,'"&amp;D298&amp;"' AS TABELA_LT,'N/A' AS TABELA_SIMUL,'"&amp;F298&amp;"' AS CAMPO, "&amp;"'${ref_date}' AS REF_DATE, COUNT(*) AS NUM_REG, SUM(IF(TRIM(CAST(X."&amp;F298&amp;" AS STRING))='' OR TRIM(CAST(X."&amp;F298&amp;" AS STRING)) IS NULL OR CAST(X."&amp;F298&amp;" AS STRING) NOT "&amp;H298&amp;",1,0)) AS NUM_REG_DIF,'"&amp;MAX('ID1&amp;5'!K:K)+1&amp;"' AS ID_EXEC, CURRENT_TIMESTAMP() AS TIME_EXEC FROM "&amp;I298,"SELECT '"&amp;UPPER(B298)&amp;"' AS TABELA, '"&amp;UPPER(C298)&amp;"' AS TIPOLOGIA_TESTE,'"&amp;D298&amp;"' AS TABELA_LT,'N/A' AS TABELA_SIMUL,'"&amp;F298&amp;"' AS CAMPO, "&amp;"'${ref_date}' AS REF_DATE, COUNT(*) AS NUM_REG, SUM(IF(TRIM(CAST(X."&amp;F298&amp;" AS STRING))='' OR TRIM(CAST(X."&amp;F298&amp;" AS STRING)) IS NULL,1,0)) AS NUM_REG_DIF,'"&amp;MAX('ID1&amp;5'!K:K)+1&amp;"' AS ID_EXEC, CURRENT_TIMESTAMP() AS TIME_EXEC FROM "&amp;I298),
IF(C298="Caracteres Especiais",+"SELECT '"&amp;UPPER(B298)&amp;"' AS TABELA, '"&amp;UPPER(C298)&amp;"' AS TIPOLOGIA_TESTE,'"&amp;D298&amp;"' AS TABELA_LT,'N/A' AS TABELA_SIMUL,'"&amp;F298&amp;"' AS CAMPO, "&amp;"'${ref_date}' AS REF_DATE, COUNT(*) AS NUM_REG, SUM(IF(INSTR(CAST(X."&amp;F298&amp;" AS STRING),'#')&gt;0 OR INSTR(CAST(X."&amp;F298&amp;" AS STRING),'*')&gt;0 OR INSTR(CAST(X."&amp;F298&amp;" AS STRING),'`')&gt;0 OR INSTR(CAST(X."&amp;F298&amp;" AS STRING),'´')&gt;0 OR INSTR(CAST(X."&amp;F298&amp;" AS STRING),'{')&gt;0 OR INSTR(CAST(X."&amp;F298&amp;" AS STRING),'}')&gt;0 OR INSTR(CAST(X."&amp;F298&amp;" AS STRING),'[')&gt;0 OR INSTR(CAST(X."&amp;F298&amp;" AS STRING),'')&gt;0 OR INSTR(CAST(X."&amp;F298&amp;" AS STRING),']')&gt;0 OR INSTR(CAST(X."&amp;F298&amp;" AS STRING),'?')&gt;0 OR INSTR(CAST(X."&amp;F298&amp;" AS STRING),'!')&gt;0 OR INSTR(CAST(X."&amp;F298&amp;" AS STRING),'$')&gt;0 OR INSTR(CAST(X."&amp;F298&amp;" AS STRING),'%')&gt;0 OR INSTR(CAST(X."&amp;F298&amp;" AS STRING),'&amp;')&gt;0 OR INSTR(CAST(X."&amp;F298&amp;" AS STRING),'+')&gt;0,1,0)) AS NUM_REG_DIF,'"&amp;MAX('ID1&amp;5'!K:K)+1&amp;"' AS ID_EXEC, CURRENT_TIMESTAMP() AS TIME_EXEC FROM "&amp;I298,
IF(C298="Missings",+"SELECT '"&amp;UPPER(B298)&amp;"' AS TABELA, '"&amp;UPPER(C298)&amp;"' AS TIPOLOGIA_TESTE,'"&amp;D298&amp;"' AS TABELA_LT,'N/A' AS TABELA_SIMUL,'"&amp;F298&amp;"' AS CAMPO, "&amp;"'${ref_date}' AS REF_DATE, COUNT(*) AS NUM_REG, SUM(IF(TRIM(CAST(X."&amp;F298&amp;" AS STRING)) IN ('0000-00-00','0001-01-01','9999-12-31','MISS','00000','99999999999','99999999999.00','99999999999.000000'),1,0)) AS NUM_REG_DIF,'"&amp;MAX('ID1&amp;5'!K:K)+1&amp;"' AS ID_EXEC, CURRENT_TIMESTAMP() AS TIME_EXEC FROM "&amp;I298,
IF(C298="Not applicable",+"SELECT '"&amp;UPPER(B298)&amp;"' AS TABELA, '"&amp;UPPER(C298)&amp;"' AS TIPOLOGIA_TESTE,'"&amp;D298&amp;"' AS TABELA_LT,'N/A' AS TABELA_SIMUL,'"&amp;F298&amp;"' AS CAMPO, "&amp;"'${ref_date}' AS REF_DATE, COUNT(*) AS NUM_REG, SUM(IF(TRIM(CAST(X."&amp;F298&amp;" AS STRING)) IN ('N/A','11111111111','11111111111.00','11111111111.000000','1111-11-11'),1,0)) AS NUM_REG_DIF,'"&amp;MAX('ID1&amp;5'!K:K)+1&amp;"' AS ID_EXEC, CURRENT_TIMESTAMP() AS TIME_EXEC FROM "&amp;I298,
IF(C298="Valores extremos",+"SELECT '"&amp;UPPER(B298)&amp;"' AS TABELA, '"&amp;UPPER(C298)&amp;"' AS TIPOLOGIA_TESTE,'"&amp;D298&amp;"' AS TABELA_LT,'N/A' AS TABELA_SIMUL,'"&amp;F298&amp;"' AS CAMPO, "&amp;"'${ref_date}' AS REF_DATE, CAST(MIN("&amp;F298&amp;") AS STRING) AS VALOR_MIN, CAST(MAX("&amp;F298&amp;") AS STRING) AS VALOR_MAX,'"&amp;MAX('ID1&amp;5'!K:K)+1&amp;"' AS ID_EXEC, CURRENT_TIMESTAMP() AS TIME_EXEC FROM "&amp;MID(I298,1,LEN(I298)-2)&amp;" AND CAST("&amp;F298&amp;"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TABELA_SIMUL,'ACCMLTD_IMPRMNT_INSTRMNT' AS CAMPO, '${ref_date}' AS REF_DATE, COUNT(*) AS NUM_REG, SUM(IF(TRIM(CAST(X.ACCMLTD_IMPRMNT_INSTRMNT AS STRING)) IN ('0000-00-00','0001-01-01','9999-12-31','MISS','00000','99999999999','99999999999.00','99999999999.000000'),1,0)) AS NUM_REG_DIF,'10' AS ID_EXEC, CURRENT_TIMESTAMP() AS TIME_EXEC FROM (SELECT instrmnt_id, ACCMLTD_IMPRMNT_INSTRMNT FROM BU_LOANTAPE_WORK.LT002_INSTRUMENT WHERE ref_date='${ref_date}' AND nome_perimetro='Individual Corporativo' AND segmento='ESTR' AND ambito='PILAR3')X</v>
      </c>
      <c r="M298" s="43" t="str">
        <f t="shared" si="4"/>
        <v>UNION ALL SELECT 'INSTRUMENT' AS TABELA, 'MISSINGS' AS TIPOLOGIA_TESTE,'BU_LOANTAPE_WORK.LT002_INSTRUMENT' AS TABELA_LT,'N/A' AS TABELA_SIMUL,'ACCMLTD_IMPRMNT_INSTRMNT' AS CAMPO, '${ref_date}' AS REF_DATE, COUNT(*) AS NUM_REG, SUM(IF(TRIM(CAST(X.ACCMLTD_IMPRMNT_INSTRMNT AS STRING)) IN ('0000-00-00','0001-01-01','9999-12-31','MISS','00000','99999999999','99999999999.00','99999999999.000000'),1,0)) AS NUM_REG_DIF,'10' AS ID_EXEC, CURRENT_TIMESTAMP() AS TIME_EXEC FROM (SELECT instrmnt_id, ACCMLTD_IMPRMNT_INSTRMNT FROM BU_LOANTAPE_WORK.LT002_INSTRUMENT WHERE ref_date='${ref_date}' AND nome_perimetro='Individual Corporativo' AND segmento='ESTR' AND ambito='PILAR3')X</v>
      </c>
      <c r="N298" s="45" t="s">
        <v>13</v>
      </c>
    </row>
    <row r="299" spans="2:14">
      <c r="B299" s="41" t="s">
        <v>27</v>
      </c>
      <c r="C299" s="41" t="s">
        <v>77</v>
      </c>
      <c r="D299" s="41" t="str">
        <f>+UPPER('0. Instruções'!$D$33&amp;"."&amp;VLOOKUP(B299,'0. Instruções'!$C$27:$D$31,2,FALSE))</f>
        <v>BU_LOANTAPE_WORK.LT002_INSTRUMENT</v>
      </c>
      <c r="E299" s="41" t="str">
        <f>+UPPER('0. Instruções'!$D$34&amp;"."&amp;VLOOKUP(B299,'0. Instruções'!$C$27:$E$31,3,FALSE))</f>
        <v>BU_LOANTAPE_WORK.LT002_INSTRUMENT_P3_NOV24</v>
      </c>
      <c r="F299" s="41" t="s">
        <v>169</v>
      </c>
      <c r="G299" s="41" t="s">
        <v>13</v>
      </c>
      <c r="H299" s="41"/>
      <c r="I299" s="41" t="str">
        <f>"(SELECT "&amp;VLOOKUP(B299,'0. Instruções'!$C$27:$G$31,4,FALSE)&amp;", "&amp;F299&amp;" FROM "&amp;D299&amp;" WHERE "&amp;'0. Instruções'!$D$40&amp;")X"</f>
        <v>(SELECT instrmnt_id, ISSR_CNTRY FROM BU_LOANTAPE_WORK.LT002_INSTRUMENT WHERE ref_date='${ref_date}' AND nome_perimetro='Individual Corporativo' AND segmento='ESTR' AND ambito='PILAR3')X</v>
      </c>
      <c r="J299" s="41" t="str">
        <f>"(SELECT "&amp;VLOOKUP(B299,'0. Instruções'!$C$27:$G$31,4,FALSE)&amp;" AS "&amp;VLOOKUP(B299,'0. Instruções'!$C$27:$G$31,4,FALSE)&amp;"_SIMUL, "&amp;F299&amp;" AS "&amp;F299&amp;"_SIMUL FROM "&amp;E299&amp;")Y"</f>
        <v>(SELECT instrmnt_id AS instrmnt_id_SIMUL, ISSR_CNTRY AS ISSR_CNTRY_SIMUL FROM BU_LOANTAPE_WORK.LT002_INSTRUMENT_P3_NOV24)Y</v>
      </c>
      <c r="K299" s="42" t="str">
        <f>+UPPER("ON X."&amp;VLOOKUP(B299,'0. Instruções'!$C$27:$G$31,4,FALSE)&amp;"=Y."&amp;VLOOKUP(B299,'0. Instruções'!$C$27:$G$31,4,FALSE)&amp;"_SIMUL")</f>
        <v>ON X.INSTRMNT_ID=Y.INSTRMNT_ID_SIMUL</v>
      </c>
      <c r="L299" s="42" t="str">
        <f>+IF(C299="Coerência", +IF(LEFT(G299,5)="FLOAT","SELECT '"&amp;UPPER(B299)&amp;"' AS TABELA, '"&amp;UPPER(C299)&amp;"' AS TIPOLOGIA_TESTE,'"&amp;D299&amp;"' AS TABELA_LT,'"&amp;E299&amp;"' AS TABELA_SIMUL,'"&amp;F299&amp;"' AS CAMPO, "&amp;"'${ref_date}' AS REF_DATE, COUNT(*) AS NUM_REG, SUM(IF((ABS(COALESCE(X."&amp;F299&amp;",0)-COALESCE(Y."&amp;F299&amp;"_SIMUL,0))&gt;0.0000000001) OR (X."&amp;F299&amp;" IS NULL AND Y."&amp;F299&amp;"_SIMUL IS NOT NULL ) OR (X."&amp;F299&amp;" IS NOT NULL AND Y."&amp;F299&amp;"_SIMUL IS NULL),1,0)) AS NUM_REG_DIF,'"&amp;MAX('ID1&amp;5'!K:K)+1&amp;"' AS ID_EXEC, CURRENT_TIMESTAMP() AS TIME_EXEC FROM "&amp;I299&amp;" INNER JOIN "&amp;J299&amp;" "&amp;K299,"SELECT '"&amp;UPPER(B299)&amp;"' AS TABELA, '"&amp;UPPER(C299)&amp;"' AS TIPOLOGIA_TESTE,'"&amp;D299&amp;"' AS TABELA_LT,'"&amp;E299&amp;"' AS TABELA_SIMUL,'"&amp;F299&amp;"' AS CAMPO, "&amp;"'${ref_date}' AS REF_DATE, COUNT(*) AS NUM_REG, SUM(IF(COALESCE(CAST(X."&amp;F299&amp;" AS STRING),'')&lt;&gt;COALESCE(CAST(Y."&amp;F299&amp;"_SIMUL AS STRING),''),1,0)) AS NUM_REG_DIF,'"&amp;MAX('ID1&amp;5'!L:L)+1&amp;"' AS ID_EXEC, CURRENT_TIMESTAMP() AS TIME_EXEC FROM "&amp;I299&amp;" INNER JOIN "&amp;J299&amp;" "&amp;K299),
IF(C299="Validade",+IF(G299="Code List","SELECT '"&amp;UPPER(B299)&amp;"' AS TABELA, '"&amp;UPPER(C299)&amp;"' AS TIPOLOGIA_TESTE,'"&amp;D299&amp;"' AS TABELA_LT,'N/A' AS TABELA_SIMUL,'"&amp;F299&amp;"' AS CAMPO, "&amp;"'${ref_date}' AS REF_DATE, COUNT(*) AS NUM_REG, SUM(IF(TRIM(CAST(X."&amp;F299&amp;" AS STRING))='' OR TRIM(CAST(X."&amp;F299&amp;" AS STRING)) IS NULL OR CAST(X."&amp;F299&amp;" AS STRING) NOT "&amp;H299&amp;",1,0)) AS NUM_REG_DIF,'"&amp;MAX('ID1&amp;5'!K:K)+1&amp;"' AS ID_EXEC, CURRENT_TIMESTAMP() AS TIME_EXEC FROM "&amp;I299,"SELECT '"&amp;UPPER(B299)&amp;"' AS TABELA, '"&amp;UPPER(C299)&amp;"' AS TIPOLOGIA_TESTE,'"&amp;D299&amp;"' AS TABELA_LT,'N/A' AS TABELA_SIMUL,'"&amp;F299&amp;"' AS CAMPO, "&amp;"'${ref_date}' AS REF_DATE, COUNT(*) AS NUM_REG, SUM(IF(TRIM(CAST(X."&amp;F299&amp;" AS STRING))='' OR TRIM(CAST(X."&amp;F299&amp;" AS STRING)) IS NULL,1,0)) AS NUM_REG_DIF,'"&amp;MAX('ID1&amp;5'!K:K)+1&amp;"' AS ID_EXEC, CURRENT_TIMESTAMP() AS TIME_EXEC FROM "&amp;I299),
IF(C299="Caracteres Especiais",+"SELECT '"&amp;UPPER(B299)&amp;"' AS TABELA, '"&amp;UPPER(C299)&amp;"' AS TIPOLOGIA_TESTE,'"&amp;D299&amp;"' AS TABELA_LT,'N/A' AS TABELA_SIMUL,'"&amp;F299&amp;"' AS CAMPO, "&amp;"'${ref_date}' AS REF_DATE, COUNT(*) AS NUM_REG, SUM(IF(INSTR(CAST(X."&amp;F299&amp;" AS STRING),'#')&gt;0 OR INSTR(CAST(X."&amp;F299&amp;" AS STRING),'*')&gt;0 OR INSTR(CAST(X."&amp;F299&amp;" AS STRING),'`')&gt;0 OR INSTR(CAST(X."&amp;F299&amp;" AS STRING),'´')&gt;0 OR INSTR(CAST(X."&amp;F299&amp;" AS STRING),'{')&gt;0 OR INSTR(CAST(X."&amp;F299&amp;" AS STRING),'}')&gt;0 OR INSTR(CAST(X."&amp;F299&amp;" AS STRING),'[')&gt;0 OR INSTR(CAST(X."&amp;F299&amp;" AS STRING),'')&gt;0 OR INSTR(CAST(X."&amp;F299&amp;" AS STRING),']')&gt;0 OR INSTR(CAST(X."&amp;F299&amp;" AS STRING),'?')&gt;0 OR INSTR(CAST(X."&amp;F299&amp;" AS STRING),'!')&gt;0 OR INSTR(CAST(X."&amp;F299&amp;" AS STRING),'$')&gt;0 OR INSTR(CAST(X."&amp;F299&amp;" AS STRING),'%')&gt;0 OR INSTR(CAST(X."&amp;F299&amp;" AS STRING),'&amp;')&gt;0 OR INSTR(CAST(X."&amp;F299&amp;" AS STRING),'+')&gt;0,1,0)) AS NUM_REG_DIF,'"&amp;MAX('ID1&amp;5'!K:K)+1&amp;"' AS ID_EXEC, CURRENT_TIMESTAMP() AS TIME_EXEC FROM "&amp;I299,
IF(C299="Missings",+"SELECT '"&amp;UPPER(B299)&amp;"' AS TABELA, '"&amp;UPPER(C299)&amp;"' AS TIPOLOGIA_TESTE,'"&amp;D299&amp;"' AS TABELA_LT,'N/A' AS TABELA_SIMUL,'"&amp;F299&amp;"' AS CAMPO, "&amp;"'${ref_date}' AS REF_DATE, COUNT(*) AS NUM_REG, SUM(IF(TRIM(CAST(X."&amp;F299&amp;" AS STRING)) IN ('0000-00-00','0001-01-01','9999-12-31','MISS','00000','99999999999','99999999999.00','99999999999.000000'),1,0)) AS NUM_REG_DIF,'"&amp;MAX('ID1&amp;5'!K:K)+1&amp;"' AS ID_EXEC, CURRENT_TIMESTAMP() AS TIME_EXEC FROM "&amp;I299,
IF(C299="Not applicable",+"SELECT '"&amp;UPPER(B299)&amp;"' AS TABELA, '"&amp;UPPER(C299)&amp;"' AS TIPOLOGIA_TESTE,'"&amp;D299&amp;"' AS TABELA_LT,'N/A' AS TABELA_SIMUL,'"&amp;F299&amp;"' AS CAMPO, "&amp;"'${ref_date}' AS REF_DATE, COUNT(*) AS NUM_REG, SUM(IF(TRIM(CAST(X."&amp;F299&amp;" AS STRING)) IN ('N/A','11111111111','11111111111.00','11111111111.000000','1111-11-11'),1,0)) AS NUM_REG_DIF,'"&amp;MAX('ID1&amp;5'!K:K)+1&amp;"' AS ID_EXEC, CURRENT_TIMESTAMP() AS TIME_EXEC FROM "&amp;I299,
IF(C299="Valores extremos",+"SELECT '"&amp;UPPER(B299)&amp;"' AS TABELA, '"&amp;UPPER(C299)&amp;"' AS TIPOLOGIA_TESTE,'"&amp;D299&amp;"' AS TABELA_LT,'N/A' AS TABELA_SIMUL,'"&amp;F299&amp;"' AS CAMPO, "&amp;"'${ref_date}' AS REF_DATE, CAST(MIN("&amp;F299&amp;") AS STRING) AS VALOR_MIN, CAST(MAX("&amp;F299&amp;") AS STRING) AS VALOR_MAX,'"&amp;MAX('ID1&amp;5'!K:K)+1&amp;"' AS ID_EXEC, CURRENT_TIMESTAMP() AS TIME_EXEC FROM "&amp;MID(I299,1,LEN(I299)-2)&amp;" AND CAST("&amp;F299&amp;"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TABELA_SIMUL,'ISSR_CNTRY' AS CAMPO, '${ref_date}' AS REF_DATE, COUNT(*) AS NUM_REG, SUM(IF(TRIM(CAST(X.ISSR_CNTRY AS STRING)) IN ('0000-00-00','0001-01-01','9999-12-31','MISS','00000','99999999999','99999999999.00','99999999999.000000'),1,0)) AS NUM_REG_DIF,'10' AS ID_EXEC, CURRENT_TIMESTAMP() AS TIME_EXEC FROM (SELECT instrmnt_id, ISSR_CNTRY FROM BU_LOANTAPE_WORK.LT002_INSTRUMENT WHERE ref_date='${ref_date}' AND nome_perimetro='Individual Corporativo' AND segmento='ESTR' AND ambito='PILAR3')X</v>
      </c>
      <c r="M299" s="43" t="str">
        <f t="shared" si="4"/>
        <v>UNION ALL SELECT 'INSTRUMENT' AS TABELA, 'MISSINGS' AS TIPOLOGIA_TESTE,'BU_LOANTAPE_WORK.LT002_INSTRUMENT' AS TABELA_LT,'N/A' AS TABELA_SIMUL,'ISSR_CNTRY' AS CAMPO, '${ref_date}' AS REF_DATE, COUNT(*) AS NUM_REG, SUM(IF(TRIM(CAST(X.ISSR_CNTRY AS STRING)) IN ('0000-00-00','0001-01-01','9999-12-31','MISS','00000','99999999999','99999999999.00','99999999999.000000'),1,0)) AS NUM_REG_DIF,'10' AS ID_EXEC, CURRENT_TIMESTAMP() AS TIME_EXEC FROM (SELECT instrmnt_id, ISSR_CNTRY FROM BU_LOANTAPE_WORK.LT002_INSTRUMENT WHERE ref_date='${ref_date}' AND nome_perimetro='Individual Corporativo' AND segmento='ESTR' AND ambito='PILAR3')X</v>
      </c>
      <c r="N299" s="45" t="s">
        <v>13</v>
      </c>
    </row>
    <row r="300" spans="2:14">
      <c r="B300" s="41" t="s">
        <v>27</v>
      </c>
      <c r="C300" s="41" t="s">
        <v>77</v>
      </c>
      <c r="D300" s="41" t="str">
        <f>+UPPER('0. Instruções'!$D$33&amp;"."&amp;VLOOKUP(B300,'0. Instruções'!$C$27:$D$31,2,FALSE))</f>
        <v>BU_LOANTAPE_WORK.LT002_INSTRUMENT</v>
      </c>
      <c r="E300" s="41" t="str">
        <f>+UPPER('0. Instruções'!$D$34&amp;"."&amp;VLOOKUP(B300,'0. Instruções'!$C$27:$E$31,3,FALSE))</f>
        <v>BU_LOANTAPE_WORK.LT002_INSTRUMENT_P3_NOV24</v>
      </c>
      <c r="F300" s="41" t="s">
        <v>170</v>
      </c>
      <c r="G300" s="41" t="s">
        <v>13</v>
      </c>
      <c r="H300" s="41"/>
      <c r="I300" s="41" t="str">
        <f>"(SELECT "&amp;VLOOKUP(B300,'0. Instruções'!$C$27:$G$31,4,FALSE)&amp;", "&amp;F300&amp;" FROM "&amp;D300&amp;" WHERE "&amp;'0. Instruções'!$D$40&amp;")X"</f>
        <v>(SELECT instrmnt_id, ISSR_NACE_SCTR FROM BU_LOANTAPE_WORK.LT002_INSTRUMENT WHERE ref_date='${ref_date}' AND nome_perimetro='Individual Corporativo' AND segmento='ESTR' AND ambito='PILAR3')X</v>
      </c>
      <c r="J300" s="41" t="str">
        <f>"(SELECT "&amp;VLOOKUP(B300,'0. Instruções'!$C$27:$G$31,4,FALSE)&amp;" AS "&amp;VLOOKUP(B300,'0. Instruções'!$C$27:$G$31,4,FALSE)&amp;"_SIMUL, "&amp;F300&amp;" AS "&amp;F300&amp;"_SIMUL FROM "&amp;E300&amp;")Y"</f>
        <v>(SELECT instrmnt_id AS instrmnt_id_SIMUL, ISSR_NACE_SCTR AS ISSR_NACE_SCTR_SIMUL FROM BU_LOANTAPE_WORK.LT002_INSTRUMENT_P3_NOV24)Y</v>
      </c>
      <c r="K300" s="42" t="str">
        <f>+UPPER("ON X."&amp;VLOOKUP(B300,'0. Instruções'!$C$27:$G$31,4,FALSE)&amp;"=Y."&amp;VLOOKUP(B300,'0. Instruções'!$C$27:$G$31,4,FALSE)&amp;"_SIMUL")</f>
        <v>ON X.INSTRMNT_ID=Y.INSTRMNT_ID_SIMUL</v>
      </c>
      <c r="L300" s="42" t="str">
        <f>+IF(C300="Coerência", +IF(LEFT(G300,5)="FLOAT","SELECT '"&amp;UPPER(B300)&amp;"' AS TABELA, '"&amp;UPPER(C300)&amp;"' AS TIPOLOGIA_TESTE,'"&amp;D300&amp;"' AS TABELA_LT,'"&amp;E300&amp;"' AS TABELA_SIMUL,'"&amp;F300&amp;"' AS CAMPO, "&amp;"'${ref_date}' AS REF_DATE, COUNT(*) AS NUM_REG, SUM(IF((ABS(COALESCE(X."&amp;F300&amp;",0)-COALESCE(Y."&amp;F300&amp;"_SIMUL,0))&gt;0.0000000001) OR (X."&amp;F300&amp;" IS NULL AND Y."&amp;F300&amp;"_SIMUL IS NOT NULL ) OR (X."&amp;F300&amp;" IS NOT NULL AND Y."&amp;F300&amp;"_SIMUL IS NULL),1,0)) AS NUM_REG_DIF,'"&amp;MAX('ID1&amp;5'!K:K)+1&amp;"' AS ID_EXEC, CURRENT_TIMESTAMP() AS TIME_EXEC FROM "&amp;I300&amp;" INNER JOIN "&amp;J300&amp;" "&amp;K300,"SELECT '"&amp;UPPER(B300)&amp;"' AS TABELA, '"&amp;UPPER(C300)&amp;"' AS TIPOLOGIA_TESTE,'"&amp;D300&amp;"' AS TABELA_LT,'"&amp;E300&amp;"' AS TABELA_SIMUL,'"&amp;F300&amp;"' AS CAMPO, "&amp;"'${ref_date}' AS REF_DATE, COUNT(*) AS NUM_REG, SUM(IF(COALESCE(CAST(X."&amp;F300&amp;" AS STRING),'')&lt;&gt;COALESCE(CAST(Y."&amp;F300&amp;"_SIMUL AS STRING),''),1,0)) AS NUM_REG_DIF,'"&amp;MAX('ID1&amp;5'!L:L)+1&amp;"' AS ID_EXEC, CURRENT_TIMESTAMP() AS TIME_EXEC FROM "&amp;I300&amp;" INNER JOIN "&amp;J300&amp;" "&amp;K300),
IF(C300="Validade",+IF(G300="Code List","SELECT '"&amp;UPPER(B300)&amp;"' AS TABELA, '"&amp;UPPER(C300)&amp;"' AS TIPOLOGIA_TESTE,'"&amp;D300&amp;"' AS TABELA_LT,'N/A' AS TABELA_SIMUL,'"&amp;F300&amp;"' AS CAMPO, "&amp;"'${ref_date}' AS REF_DATE, COUNT(*) AS NUM_REG, SUM(IF(TRIM(CAST(X."&amp;F300&amp;" AS STRING))='' OR TRIM(CAST(X."&amp;F300&amp;" AS STRING)) IS NULL OR CAST(X."&amp;F300&amp;" AS STRING) NOT "&amp;H300&amp;",1,0)) AS NUM_REG_DIF,'"&amp;MAX('ID1&amp;5'!K:K)+1&amp;"' AS ID_EXEC, CURRENT_TIMESTAMP() AS TIME_EXEC FROM "&amp;I300,"SELECT '"&amp;UPPER(B300)&amp;"' AS TABELA, '"&amp;UPPER(C300)&amp;"' AS TIPOLOGIA_TESTE,'"&amp;D300&amp;"' AS TABELA_LT,'N/A' AS TABELA_SIMUL,'"&amp;F300&amp;"' AS CAMPO, "&amp;"'${ref_date}' AS REF_DATE, COUNT(*) AS NUM_REG, SUM(IF(TRIM(CAST(X."&amp;F300&amp;" AS STRING))='' OR TRIM(CAST(X."&amp;F300&amp;" AS STRING)) IS NULL,1,0)) AS NUM_REG_DIF,'"&amp;MAX('ID1&amp;5'!K:K)+1&amp;"' AS ID_EXEC, CURRENT_TIMESTAMP() AS TIME_EXEC FROM "&amp;I300),
IF(C300="Caracteres Especiais",+"SELECT '"&amp;UPPER(B300)&amp;"' AS TABELA, '"&amp;UPPER(C300)&amp;"' AS TIPOLOGIA_TESTE,'"&amp;D300&amp;"' AS TABELA_LT,'N/A' AS TABELA_SIMUL,'"&amp;F300&amp;"' AS CAMPO, "&amp;"'${ref_date}' AS REF_DATE, COUNT(*) AS NUM_REG, SUM(IF(INSTR(CAST(X."&amp;F300&amp;" AS STRING),'#')&gt;0 OR INSTR(CAST(X."&amp;F300&amp;" AS STRING),'*')&gt;0 OR INSTR(CAST(X."&amp;F300&amp;" AS STRING),'`')&gt;0 OR INSTR(CAST(X."&amp;F300&amp;" AS STRING),'´')&gt;0 OR INSTR(CAST(X."&amp;F300&amp;" AS STRING),'{')&gt;0 OR INSTR(CAST(X."&amp;F300&amp;" AS STRING),'}')&gt;0 OR INSTR(CAST(X."&amp;F300&amp;" AS STRING),'[')&gt;0 OR INSTR(CAST(X."&amp;F300&amp;" AS STRING),'')&gt;0 OR INSTR(CAST(X."&amp;F300&amp;" AS STRING),']')&gt;0 OR INSTR(CAST(X."&amp;F300&amp;" AS STRING),'?')&gt;0 OR INSTR(CAST(X."&amp;F300&amp;" AS STRING),'!')&gt;0 OR INSTR(CAST(X."&amp;F300&amp;" AS STRING),'$')&gt;0 OR INSTR(CAST(X."&amp;F300&amp;" AS STRING),'%')&gt;0 OR INSTR(CAST(X."&amp;F300&amp;" AS STRING),'&amp;')&gt;0 OR INSTR(CAST(X."&amp;F300&amp;" AS STRING),'+')&gt;0,1,0)) AS NUM_REG_DIF,'"&amp;MAX('ID1&amp;5'!K:K)+1&amp;"' AS ID_EXEC, CURRENT_TIMESTAMP() AS TIME_EXEC FROM "&amp;I300,
IF(C300="Missings",+"SELECT '"&amp;UPPER(B300)&amp;"' AS TABELA, '"&amp;UPPER(C300)&amp;"' AS TIPOLOGIA_TESTE,'"&amp;D300&amp;"' AS TABELA_LT,'N/A' AS TABELA_SIMUL,'"&amp;F300&amp;"' AS CAMPO, "&amp;"'${ref_date}' AS REF_DATE, COUNT(*) AS NUM_REG, SUM(IF(TRIM(CAST(X."&amp;F300&amp;" AS STRING)) IN ('0000-00-00','0001-01-01','9999-12-31','MISS','00000','99999999999','99999999999.00','99999999999.000000'),1,0)) AS NUM_REG_DIF,'"&amp;MAX('ID1&amp;5'!K:K)+1&amp;"' AS ID_EXEC, CURRENT_TIMESTAMP() AS TIME_EXEC FROM "&amp;I300,
IF(C300="Not applicable",+"SELECT '"&amp;UPPER(B300)&amp;"' AS TABELA, '"&amp;UPPER(C300)&amp;"' AS TIPOLOGIA_TESTE,'"&amp;D300&amp;"' AS TABELA_LT,'N/A' AS TABELA_SIMUL,'"&amp;F300&amp;"' AS CAMPO, "&amp;"'${ref_date}' AS REF_DATE, COUNT(*) AS NUM_REG, SUM(IF(TRIM(CAST(X."&amp;F300&amp;" AS STRING)) IN ('N/A','11111111111','11111111111.00','11111111111.000000','1111-11-11'),1,0)) AS NUM_REG_DIF,'"&amp;MAX('ID1&amp;5'!K:K)+1&amp;"' AS ID_EXEC, CURRENT_TIMESTAMP() AS TIME_EXEC FROM "&amp;I300,
IF(C300="Valores extremos",+"SELECT '"&amp;UPPER(B300)&amp;"' AS TABELA, '"&amp;UPPER(C300)&amp;"' AS TIPOLOGIA_TESTE,'"&amp;D300&amp;"' AS TABELA_LT,'N/A' AS TABELA_SIMUL,'"&amp;F300&amp;"' AS CAMPO, "&amp;"'${ref_date}' AS REF_DATE, CAST(MIN("&amp;F300&amp;") AS STRING) AS VALOR_MIN, CAST(MAX("&amp;F300&amp;") AS STRING) AS VALOR_MAX,'"&amp;MAX('ID1&amp;5'!K:K)+1&amp;"' AS ID_EXEC, CURRENT_TIMESTAMP() AS TIME_EXEC FROM "&amp;MID(I300,1,LEN(I300)-2)&amp;" AND CAST("&amp;F300&amp;"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TABELA_SIMUL,'ISSR_NACE_SCTR' AS CAMPO, '${ref_date}' AS REF_DATE, COUNT(*) AS NUM_REG, SUM(IF(TRIM(CAST(X.ISSR_NACE_SCTR AS STRING)) IN ('0000-00-00','0001-01-01','9999-12-31','MISS','00000','99999999999','99999999999.00','99999999999.000000'),1,0)) AS NUM_REG_DIF,'10' AS ID_EXEC, CURRENT_TIMESTAMP() AS TIME_EXEC FROM (SELECT instrmnt_id, ISSR_NACE_SCTR FROM BU_LOANTAPE_WORK.LT002_INSTRUMENT WHERE ref_date='${ref_date}' AND nome_perimetro='Individual Corporativo' AND segmento='ESTR' AND ambito='PILAR3')X</v>
      </c>
      <c r="M300" s="43" t="str">
        <f t="shared" si="4"/>
        <v>UNION ALL SELECT 'INSTRUMENT' AS TABELA, 'MISSINGS' AS TIPOLOGIA_TESTE,'BU_LOANTAPE_WORK.LT002_INSTRUMENT' AS TABELA_LT,'N/A' AS TABELA_SIMUL,'ISSR_NACE_SCTR' AS CAMPO, '${ref_date}' AS REF_DATE, COUNT(*) AS NUM_REG, SUM(IF(TRIM(CAST(X.ISSR_NACE_SCTR AS STRING)) IN ('0000-00-00','0001-01-01','9999-12-31','MISS','00000','99999999999','99999999999.00','99999999999.000000'),1,0)) AS NUM_REG_DIF,'10' AS ID_EXEC, CURRENT_TIMESTAMP() AS TIME_EXEC FROM (SELECT instrmnt_id, ISSR_NACE_SCTR FROM BU_LOANTAPE_WORK.LT002_INSTRUMENT WHERE ref_date='${ref_date}' AND nome_perimetro='Individual Corporativo' AND segmento='ESTR' AND ambito='PILAR3')X</v>
      </c>
      <c r="N300" s="45" t="s">
        <v>13</v>
      </c>
    </row>
    <row r="301" spans="2:14">
      <c r="B301" s="41" t="s">
        <v>27</v>
      </c>
      <c r="C301" s="41" t="s">
        <v>77</v>
      </c>
      <c r="D301" s="41" t="str">
        <f>+UPPER('0. Instruções'!$D$33&amp;"."&amp;VLOOKUP(B301,'0. Instruções'!$C$27:$D$31,2,FALSE))</f>
        <v>BU_LOANTAPE_WORK.LT002_INSTRUMENT</v>
      </c>
      <c r="E301" s="41" t="str">
        <f>+UPPER('0. Instruções'!$D$34&amp;"."&amp;VLOOKUP(B301,'0. Instruções'!$C$27:$E$31,3,FALSE))</f>
        <v>BU_LOANTAPE_WORK.LT002_INSTRUMENT_P3_NOV24</v>
      </c>
      <c r="F301" s="41" t="s">
        <v>171</v>
      </c>
      <c r="G301" s="41" t="s">
        <v>13</v>
      </c>
      <c r="H301" s="41"/>
      <c r="I301" s="41" t="str">
        <f>"(SELECT "&amp;VLOOKUP(B301,'0. Instruções'!$C$27:$G$31,4,FALSE)&amp;", "&amp;F301&amp;" FROM "&amp;D301&amp;" WHERE "&amp;'0. Instruções'!$D$40&amp;")X"</f>
        <v>(SELECT instrmnt_id, PRMRY_ASST_CLSSF FROM BU_LOANTAPE_WORK.LT002_INSTRUMENT WHERE ref_date='${ref_date}' AND nome_perimetro='Individual Corporativo' AND segmento='ESTR' AND ambito='PILAR3')X</v>
      </c>
      <c r="J301" s="41" t="str">
        <f>"(SELECT "&amp;VLOOKUP(B301,'0. Instruções'!$C$27:$G$31,4,FALSE)&amp;" AS "&amp;VLOOKUP(B301,'0. Instruções'!$C$27:$G$31,4,FALSE)&amp;"_SIMUL, "&amp;F301&amp;" AS "&amp;F301&amp;"_SIMUL FROM "&amp;E301&amp;")Y"</f>
        <v>(SELECT instrmnt_id AS instrmnt_id_SIMUL, PRMRY_ASST_CLSSF AS PRMRY_ASST_CLSSF_SIMUL FROM BU_LOANTAPE_WORK.LT002_INSTRUMENT_P3_NOV24)Y</v>
      </c>
      <c r="K301" s="42" t="str">
        <f>+UPPER("ON X."&amp;VLOOKUP(B301,'0. Instruções'!$C$27:$G$31,4,FALSE)&amp;"=Y."&amp;VLOOKUP(B301,'0. Instruções'!$C$27:$G$31,4,FALSE)&amp;"_SIMUL")</f>
        <v>ON X.INSTRMNT_ID=Y.INSTRMNT_ID_SIMUL</v>
      </c>
      <c r="L301" s="42" t="str">
        <f>+IF(C301="Coerência", +IF(LEFT(G301,5)="FLOAT","SELECT '"&amp;UPPER(B301)&amp;"' AS TABELA, '"&amp;UPPER(C301)&amp;"' AS TIPOLOGIA_TESTE,'"&amp;D301&amp;"' AS TABELA_LT,'"&amp;E301&amp;"' AS TABELA_SIMUL,'"&amp;F301&amp;"' AS CAMPO, "&amp;"'${ref_date}' AS REF_DATE, COUNT(*) AS NUM_REG, SUM(IF((ABS(COALESCE(X."&amp;F301&amp;",0)-COALESCE(Y."&amp;F301&amp;"_SIMUL,0))&gt;0.0000000001) OR (X."&amp;F301&amp;" IS NULL AND Y."&amp;F301&amp;"_SIMUL IS NOT NULL ) OR (X."&amp;F301&amp;" IS NOT NULL AND Y."&amp;F301&amp;"_SIMUL IS NULL),1,0)) AS NUM_REG_DIF,'"&amp;MAX('ID1&amp;5'!K:K)+1&amp;"' AS ID_EXEC, CURRENT_TIMESTAMP() AS TIME_EXEC FROM "&amp;I301&amp;" INNER JOIN "&amp;J301&amp;" "&amp;K301,"SELECT '"&amp;UPPER(B301)&amp;"' AS TABELA, '"&amp;UPPER(C301)&amp;"' AS TIPOLOGIA_TESTE,'"&amp;D301&amp;"' AS TABELA_LT,'"&amp;E301&amp;"' AS TABELA_SIMUL,'"&amp;F301&amp;"' AS CAMPO, "&amp;"'${ref_date}' AS REF_DATE, COUNT(*) AS NUM_REG, SUM(IF(COALESCE(CAST(X."&amp;F301&amp;" AS STRING),'')&lt;&gt;COALESCE(CAST(Y."&amp;F301&amp;"_SIMUL AS STRING),''),1,0)) AS NUM_REG_DIF,'"&amp;MAX('ID1&amp;5'!L:L)+1&amp;"' AS ID_EXEC, CURRENT_TIMESTAMP() AS TIME_EXEC FROM "&amp;I301&amp;" INNER JOIN "&amp;J301&amp;" "&amp;K301),
IF(C301="Validade",+IF(G301="Code List","SELECT '"&amp;UPPER(B301)&amp;"' AS TABELA, '"&amp;UPPER(C301)&amp;"' AS TIPOLOGIA_TESTE,'"&amp;D301&amp;"' AS TABELA_LT,'N/A' AS TABELA_SIMUL,'"&amp;F301&amp;"' AS CAMPO, "&amp;"'${ref_date}' AS REF_DATE, COUNT(*) AS NUM_REG, SUM(IF(TRIM(CAST(X."&amp;F301&amp;" AS STRING))='' OR TRIM(CAST(X."&amp;F301&amp;" AS STRING)) IS NULL OR CAST(X."&amp;F301&amp;" AS STRING) NOT "&amp;H301&amp;",1,0)) AS NUM_REG_DIF,'"&amp;MAX('ID1&amp;5'!K:K)+1&amp;"' AS ID_EXEC, CURRENT_TIMESTAMP() AS TIME_EXEC FROM "&amp;I301,"SELECT '"&amp;UPPER(B301)&amp;"' AS TABELA, '"&amp;UPPER(C301)&amp;"' AS TIPOLOGIA_TESTE,'"&amp;D301&amp;"' AS TABELA_LT,'N/A' AS TABELA_SIMUL,'"&amp;F301&amp;"' AS CAMPO, "&amp;"'${ref_date}' AS REF_DATE, COUNT(*) AS NUM_REG, SUM(IF(TRIM(CAST(X."&amp;F301&amp;" AS STRING))='' OR TRIM(CAST(X."&amp;F301&amp;" AS STRING)) IS NULL,1,0)) AS NUM_REG_DIF,'"&amp;MAX('ID1&amp;5'!K:K)+1&amp;"' AS ID_EXEC, CURRENT_TIMESTAMP() AS TIME_EXEC FROM "&amp;I301),
IF(C301="Caracteres Especiais",+"SELECT '"&amp;UPPER(B301)&amp;"' AS TABELA, '"&amp;UPPER(C301)&amp;"' AS TIPOLOGIA_TESTE,'"&amp;D301&amp;"' AS TABELA_LT,'N/A' AS TABELA_SIMUL,'"&amp;F301&amp;"' AS CAMPO, "&amp;"'${ref_date}' AS REF_DATE, COUNT(*) AS NUM_REG, SUM(IF(INSTR(CAST(X."&amp;F301&amp;" AS STRING),'#')&gt;0 OR INSTR(CAST(X."&amp;F301&amp;" AS STRING),'*')&gt;0 OR INSTR(CAST(X."&amp;F301&amp;" AS STRING),'`')&gt;0 OR INSTR(CAST(X."&amp;F301&amp;" AS STRING),'´')&gt;0 OR INSTR(CAST(X."&amp;F301&amp;" AS STRING),'{')&gt;0 OR INSTR(CAST(X."&amp;F301&amp;" AS STRING),'}')&gt;0 OR INSTR(CAST(X."&amp;F301&amp;" AS STRING),'[')&gt;0 OR INSTR(CAST(X."&amp;F301&amp;" AS STRING),'')&gt;0 OR INSTR(CAST(X."&amp;F301&amp;" AS STRING),']')&gt;0 OR INSTR(CAST(X."&amp;F301&amp;" AS STRING),'?')&gt;0 OR INSTR(CAST(X."&amp;F301&amp;" AS STRING),'!')&gt;0 OR INSTR(CAST(X."&amp;F301&amp;" AS STRING),'$')&gt;0 OR INSTR(CAST(X."&amp;F301&amp;" AS STRING),'%')&gt;0 OR INSTR(CAST(X."&amp;F301&amp;" AS STRING),'&amp;')&gt;0 OR INSTR(CAST(X."&amp;F301&amp;" AS STRING),'+')&gt;0,1,0)) AS NUM_REG_DIF,'"&amp;MAX('ID1&amp;5'!K:K)+1&amp;"' AS ID_EXEC, CURRENT_TIMESTAMP() AS TIME_EXEC FROM "&amp;I301,
IF(C301="Missings",+"SELECT '"&amp;UPPER(B301)&amp;"' AS TABELA, '"&amp;UPPER(C301)&amp;"' AS TIPOLOGIA_TESTE,'"&amp;D301&amp;"' AS TABELA_LT,'N/A' AS TABELA_SIMUL,'"&amp;F301&amp;"' AS CAMPO, "&amp;"'${ref_date}' AS REF_DATE, COUNT(*) AS NUM_REG, SUM(IF(TRIM(CAST(X."&amp;F301&amp;" AS STRING)) IN ('0000-00-00','0001-01-01','9999-12-31','MISS','00000','99999999999','99999999999.00','99999999999.000000'),1,0)) AS NUM_REG_DIF,'"&amp;MAX('ID1&amp;5'!K:K)+1&amp;"' AS ID_EXEC, CURRENT_TIMESTAMP() AS TIME_EXEC FROM "&amp;I301,
IF(C301="Not applicable",+"SELECT '"&amp;UPPER(B301)&amp;"' AS TABELA, '"&amp;UPPER(C301)&amp;"' AS TIPOLOGIA_TESTE,'"&amp;D301&amp;"' AS TABELA_LT,'N/A' AS TABELA_SIMUL,'"&amp;F301&amp;"' AS CAMPO, "&amp;"'${ref_date}' AS REF_DATE, COUNT(*) AS NUM_REG, SUM(IF(TRIM(CAST(X."&amp;F301&amp;" AS STRING)) IN ('N/A','11111111111','11111111111.00','11111111111.000000','1111-11-11'),1,0)) AS NUM_REG_DIF,'"&amp;MAX('ID1&amp;5'!K:K)+1&amp;"' AS ID_EXEC, CURRENT_TIMESTAMP() AS TIME_EXEC FROM "&amp;I301,
IF(C301="Valores extremos",+"SELECT '"&amp;UPPER(B301)&amp;"' AS TABELA, '"&amp;UPPER(C301)&amp;"' AS TIPOLOGIA_TESTE,'"&amp;D301&amp;"' AS TABELA_LT,'N/A' AS TABELA_SIMUL,'"&amp;F301&amp;"' AS CAMPO, "&amp;"'${ref_date}' AS REF_DATE, CAST(MIN("&amp;F301&amp;") AS STRING) AS VALOR_MIN, CAST(MAX("&amp;F301&amp;") AS STRING) AS VALOR_MAX,'"&amp;MAX('ID1&amp;5'!K:K)+1&amp;"' AS ID_EXEC, CURRENT_TIMESTAMP() AS TIME_EXEC FROM "&amp;MID(I301,1,LEN(I301)-2)&amp;" AND CAST("&amp;F301&amp;"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TABELA_SIMUL,'PRMRY_ASST_CLSSF' AS CAMPO, '${ref_date}' AS REF_DATE, COUNT(*) AS NUM_REG, SUM(IF(TRIM(CAST(X.PRMRY_ASST_CLSSF AS STRING)) IN ('0000-00-00','0001-01-01','9999-12-31','MISS','00000','99999999999','99999999999.00','99999999999.000000'),1,0)) AS NUM_REG_DIF,'10' AS ID_EXEC, CURRENT_TIMESTAMP() AS TIME_EXEC FROM (SELECT instrmnt_id, PRMRY_ASST_CLSSF FROM BU_LOANTAPE_WORK.LT002_INSTRUMENT WHERE ref_date='${ref_date}' AND nome_perimetro='Individual Corporativo' AND segmento='ESTR' AND ambito='PILAR3')X</v>
      </c>
      <c r="M301" s="43" t="str">
        <f t="shared" si="4"/>
        <v>UNION ALL SELECT 'INSTRUMENT' AS TABELA, 'MISSINGS' AS TIPOLOGIA_TESTE,'BU_LOANTAPE_WORK.LT002_INSTRUMENT' AS TABELA_LT,'N/A' AS TABELA_SIMUL,'PRMRY_ASST_CLSSF' AS CAMPO, '${ref_date}' AS REF_DATE, COUNT(*) AS NUM_REG, SUM(IF(TRIM(CAST(X.PRMRY_ASST_CLSSF AS STRING)) IN ('0000-00-00','0001-01-01','9999-12-31','MISS','00000','99999999999','99999999999.00','99999999999.000000'),1,0)) AS NUM_REG_DIF,'10' AS ID_EXEC, CURRENT_TIMESTAMP() AS TIME_EXEC FROM (SELECT instrmnt_id, PRMRY_ASST_CLSSF FROM BU_LOANTAPE_WORK.LT002_INSTRUMENT WHERE ref_date='${ref_date}' AND nome_perimetro='Individual Corporativo' AND segmento='ESTR' AND ambito='PILAR3')X</v>
      </c>
      <c r="N301" s="45" t="s">
        <v>13</v>
      </c>
    </row>
    <row r="302" spans="2:14">
      <c r="B302" s="41" t="s">
        <v>27</v>
      </c>
      <c r="C302" s="41" t="s">
        <v>77</v>
      </c>
      <c r="D302" s="41" t="str">
        <f>+UPPER('0. Instruções'!$D$33&amp;"."&amp;VLOOKUP(B302,'0. Instruções'!$C$27:$D$31,2,FALSE))</f>
        <v>BU_LOANTAPE_WORK.LT002_INSTRUMENT</v>
      </c>
      <c r="E302" s="41" t="str">
        <f>+UPPER('0. Instruções'!$D$34&amp;"."&amp;VLOOKUP(B302,'0. Instruções'!$C$27:$E$31,3,FALSE))</f>
        <v>BU_LOANTAPE_WORK.LT002_INSTRUMENT_P3_NOV24</v>
      </c>
      <c r="F302" s="41" t="s">
        <v>172</v>
      </c>
      <c r="G302" s="41" t="s">
        <v>13</v>
      </c>
      <c r="H302" s="41"/>
      <c r="I302" s="41" t="str">
        <f>"(SELECT "&amp;VLOOKUP(B302,'0. Instruções'!$C$27:$G$31,4,FALSE)&amp;", "&amp;F302&amp;" FROM "&amp;D302&amp;" WHERE "&amp;'0. Instruções'!$D$40&amp;")X"</f>
        <v>(SELECT instrmnt_id, SUBPORTFOLIO_ID FROM BU_LOANTAPE_WORK.LT002_INSTRUMENT WHERE ref_date='${ref_date}' AND nome_perimetro='Individual Corporativo' AND segmento='ESTR' AND ambito='PILAR3')X</v>
      </c>
      <c r="J302" s="41" t="str">
        <f>"(SELECT "&amp;VLOOKUP(B302,'0. Instruções'!$C$27:$G$31,4,FALSE)&amp;" AS "&amp;VLOOKUP(B302,'0. Instruções'!$C$27:$G$31,4,FALSE)&amp;"_SIMUL, "&amp;F302&amp;" AS "&amp;F302&amp;"_SIMUL FROM "&amp;E302&amp;")Y"</f>
        <v>(SELECT instrmnt_id AS instrmnt_id_SIMUL, SUBPORTFOLIO_ID AS SUBPORTFOLIO_ID_SIMUL FROM BU_LOANTAPE_WORK.LT002_INSTRUMENT_P3_NOV24)Y</v>
      </c>
      <c r="K302" s="42" t="str">
        <f>+UPPER("ON X."&amp;VLOOKUP(B302,'0. Instruções'!$C$27:$G$31,4,FALSE)&amp;"=Y."&amp;VLOOKUP(B302,'0. Instruções'!$C$27:$G$31,4,FALSE)&amp;"_SIMUL")</f>
        <v>ON X.INSTRMNT_ID=Y.INSTRMNT_ID_SIMUL</v>
      </c>
      <c r="L302" s="42" t="str">
        <f>+IF(C302="Coerência", +IF(LEFT(G302,5)="FLOAT","SELECT '"&amp;UPPER(B302)&amp;"' AS TABELA, '"&amp;UPPER(C302)&amp;"' AS TIPOLOGIA_TESTE,'"&amp;D302&amp;"' AS TABELA_LT,'"&amp;E302&amp;"' AS TABELA_SIMUL,'"&amp;F302&amp;"' AS CAMPO, "&amp;"'${ref_date}' AS REF_DATE, COUNT(*) AS NUM_REG, SUM(IF((ABS(COALESCE(X."&amp;F302&amp;",0)-COALESCE(Y."&amp;F302&amp;"_SIMUL,0))&gt;0.0000000001) OR (X."&amp;F302&amp;" IS NULL AND Y."&amp;F302&amp;"_SIMUL IS NOT NULL ) OR (X."&amp;F302&amp;" IS NOT NULL AND Y."&amp;F302&amp;"_SIMUL IS NULL),1,0)) AS NUM_REG_DIF,'"&amp;MAX('ID1&amp;5'!K:K)+1&amp;"' AS ID_EXEC, CURRENT_TIMESTAMP() AS TIME_EXEC FROM "&amp;I302&amp;" INNER JOIN "&amp;J302&amp;" "&amp;K302,"SELECT '"&amp;UPPER(B302)&amp;"' AS TABELA, '"&amp;UPPER(C302)&amp;"' AS TIPOLOGIA_TESTE,'"&amp;D302&amp;"' AS TABELA_LT,'"&amp;E302&amp;"' AS TABELA_SIMUL,'"&amp;F302&amp;"' AS CAMPO, "&amp;"'${ref_date}' AS REF_DATE, COUNT(*) AS NUM_REG, SUM(IF(COALESCE(CAST(X."&amp;F302&amp;" AS STRING),'')&lt;&gt;COALESCE(CAST(Y."&amp;F302&amp;"_SIMUL AS STRING),''),1,0)) AS NUM_REG_DIF,'"&amp;MAX('ID1&amp;5'!L:L)+1&amp;"' AS ID_EXEC, CURRENT_TIMESTAMP() AS TIME_EXEC FROM "&amp;I302&amp;" INNER JOIN "&amp;J302&amp;" "&amp;K302),
IF(C302="Validade",+IF(G302="Code List","SELECT '"&amp;UPPER(B302)&amp;"' AS TABELA, '"&amp;UPPER(C302)&amp;"' AS TIPOLOGIA_TESTE,'"&amp;D302&amp;"' AS TABELA_LT,'N/A' AS TABELA_SIMUL,'"&amp;F302&amp;"' AS CAMPO, "&amp;"'${ref_date}' AS REF_DATE, COUNT(*) AS NUM_REG, SUM(IF(TRIM(CAST(X."&amp;F302&amp;" AS STRING))='' OR TRIM(CAST(X."&amp;F302&amp;" AS STRING)) IS NULL OR CAST(X."&amp;F302&amp;" AS STRING) NOT "&amp;H302&amp;",1,0)) AS NUM_REG_DIF,'"&amp;MAX('ID1&amp;5'!K:K)+1&amp;"' AS ID_EXEC, CURRENT_TIMESTAMP() AS TIME_EXEC FROM "&amp;I302,"SELECT '"&amp;UPPER(B302)&amp;"' AS TABELA, '"&amp;UPPER(C302)&amp;"' AS TIPOLOGIA_TESTE,'"&amp;D302&amp;"' AS TABELA_LT,'N/A' AS TABELA_SIMUL,'"&amp;F302&amp;"' AS CAMPO, "&amp;"'${ref_date}' AS REF_DATE, COUNT(*) AS NUM_REG, SUM(IF(TRIM(CAST(X."&amp;F302&amp;" AS STRING))='' OR TRIM(CAST(X."&amp;F302&amp;" AS STRING)) IS NULL,1,0)) AS NUM_REG_DIF,'"&amp;MAX('ID1&amp;5'!K:K)+1&amp;"' AS ID_EXEC, CURRENT_TIMESTAMP() AS TIME_EXEC FROM "&amp;I302),
IF(C302="Caracteres Especiais",+"SELECT '"&amp;UPPER(B302)&amp;"' AS TABELA, '"&amp;UPPER(C302)&amp;"' AS TIPOLOGIA_TESTE,'"&amp;D302&amp;"' AS TABELA_LT,'N/A' AS TABELA_SIMUL,'"&amp;F302&amp;"' AS CAMPO, "&amp;"'${ref_date}' AS REF_DATE, COUNT(*) AS NUM_REG, SUM(IF(INSTR(CAST(X."&amp;F302&amp;" AS STRING),'#')&gt;0 OR INSTR(CAST(X."&amp;F302&amp;" AS STRING),'*')&gt;0 OR INSTR(CAST(X."&amp;F302&amp;" AS STRING),'`')&gt;0 OR INSTR(CAST(X."&amp;F302&amp;" AS STRING),'´')&gt;0 OR INSTR(CAST(X."&amp;F302&amp;" AS STRING),'{')&gt;0 OR INSTR(CAST(X."&amp;F302&amp;" AS STRING),'}')&gt;0 OR INSTR(CAST(X."&amp;F302&amp;" AS STRING),'[')&gt;0 OR INSTR(CAST(X."&amp;F302&amp;" AS STRING),'')&gt;0 OR INSTR(CAST(X."&amp;F302&amp;" AS STRING),']')&gt;0 OR INSTR(CAST(X."&amp;F302&amp;" AS STRING),'?')&gt;0 OR INSTR(CAST(X."&amp;F302&amp;" AS STRING),'!')&gt;0 OR INSTR(CAST(X."&amp;F302&amp;" AS STRING),'$')&gt;0 OR INSTR(CAST(X."&amp;F302&amp;" AS STRING),'%')&gt;0 OR INSTR(CAST(X."&amp;F302&amp;" AS STRING),'&amp;')&gt;0 OR INSTR(CAST(X."&amp;F302&amp;" AS STRING),'+')&gt;0,1,0)) AS NUM_REG_DIF,'"&amp;MAX('ID1&amp;5'!K:K)+1&amp;"' AS ID_EXEC, CURRENT_TIMESTAMP() AS TIME_EXEC FROM "&amp;I302,
IF(C302="Missings",+"SELECT '"&amp;UPPER(B302)&amp;"' AS TABELA, '"&amp;UPPER(C302)&amp;"' AS TIPOLOGIA_TESTE,'"&amp;D302&amp;"' AS TABELA_LT,'N/A' AS TABELA_SIMUL,'"&amp;F302&amp;"' AS CAMPO, "&amp;"'${ref_date}' AS REF_DATE, COUNT(*) AS NUM_REG, SUM(IF(TRIM(CAST(X."&amp;F302&amp;" AS STRING)) IN ('0000-00-00','0001-01-01','9999-12-31','MISS','00000','99999999999','99999999999.00','99999999999.000000'),1,0)) AS NUM_REG_DIF,'"&amp;MAX('ID1&amp;5'!K:K)+1&amp;"' AS ID_EXEC, CURRENT_TIMESTAMP() AS TIME_EXEC FROM "&amp;I302,
IF(C302="Not applicable",+"SELECT '"&amp;UPPER(B302)&amp;"' AS TABELA, '"&amp;UPPER(C302)&amp;"' AS TIPOLOGIA_TESTE,'"&amp;D302&amp;"' AS TABELA_LT,'N/A' AS TABELA_SIMUL,'"&amp;F302&amp;"' AS CAMPO, "&amp;"'${ref_date}' AS REF_DATE, COUNT(*) AS NUM_REG, SUM(IF(TRIM(CAST(X."&amp;F302&amp;" AS STRING)) IN ('N/A','11111111111','11111111111.00','11111111111.000000','1111-11-11'),1,0)) AS NUM_REG_DIF,'"&amp;MAX('ID1&amp;5'!K:K)+1&amp;"' AS ID_EXEC, CURRENT_TIMESTAMP() AS TIME_EXEC FROM "&amp;I302,
IF(C302="Valores extremos",+"SELECT '"&amp;UPPER(B302)&amp;"' AS TABELA, '"&amp;UPPER(C302)&amp;"' AS TIPOLOGIA_TESTE,'"&amp;D302&amp;"' AS TABELA_LT,'N/A' AS TABELA_SIMUL,'"&amp;F302&amp;"' AS CAMPO, "&amp;"'${ref_date}' AS REF_DATE, CAST(MIN("&amp;F302&amp;") AS STRING) AS VALOR_MIN, CAST(MAX("&amp;F302&amp;") AS STRING) AS VALOR_MAX,'"&amp;MAX('ID1&amp;5'!K:K)+1&amp;"' AS ID_EXEC, CURRENT_TIMESTAMP() AS TIME_EXEC FROM "&amp;MID(I302,1,LEN(I302)-2)&amp;" AND CAST("&amp;F302&amp;"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TABELA_SIMUL,'SUBPORTFOLIO_ID' AS CAMPO, '${ref_date}' AS REF_DATE, COUNT(*) AS NUM_REG, SUM(IF(TRIM(CAST(X.SUBPORTFOLIO_ID AS STRING)) IN ('0000-00-00','0001-01-01','9999-12-31','MISS','00000','99999999999','99999999999.00','99999999999.000000'),1,0)) AS NUM_REG_DIF,'10' AS ID_EXEC, CURRENT_TIMESTAMP() AS TIME_EXEC FROM (SELECT instrmnt_id, SUBPORTFOLIO_ID FROM BU_LOANTAPE_WORK.LT002_INSTRUMENT WHERE ref_date='${ref_date}' AND nome_perimetro='Individual Corporativo' AND segmento='ESTR' AND ambito='PILAR3')X</v>
      </c>
      <c r="M302" s="43" t="str">
        <f t="shared" si="4"/>
        <v>UNION ALL SELECT 'INSTRUMENT' AS TABELA, 'MISSINGS' AS TIPOLOGIA_TESTE,'BU_LOANTAPE_WORK.LT002_INSTRUMENT' AS TABELA_LT,'N/A' AS TABELA_SIMUL,'SUBPORTFOLIO_ID' AS CAMPO, '${ref_date}' AS REF_DATE, COUNT(*) AS NUM_REG, SUM(IF(TRIM(CAST(X.SUBPORTFOLIO_ID AS STRING)) IN ('0000-00-00','0001-01-01','9999-12-31','MISS','00000','99999999999','99999999999.00','99999999999.000000'),1,0)) AS NUM_REG_DIF,'10' AS ID_EXEC, CURRENT_TIMESTAMP() AS TIME_EXEC FROM (SELECT instrmnt_id, SUBPORTFOLIO_ID FROM BU_LOANTAPE_WORK.LT002_INSTRUMENT WHERE ref_date='${ref_date}' AND nome_perimetro='Individual Corporativo' AND segmento='ESTR' AND ambito='PILAR3')X</v>
      </c>
      <c r="N302" s="45" t="s">
        <v>13</v>
      </c>
    </row>
    <row r="303" spans="2:14">
      <c r="B303" s="41" t="s">
        <v>27</v>
      </c>
      <c r="C303" s="41" t="s">
        <v>77</v>
      </c>
      <c r="D303" s="41" t="str">
        <f>+UPPER('0. Instruções'!$D$33&amp;"."&amp;VLOOKUP(B303,'0. Instruções'!$C$27:$D$31,2,FALSE))</f>
        <v>BU_LOANTAPE_WORK.LT002_INSTRUMENT</v>
      </c>
      <c r="E303" s="41" t="str">
        <f>+UPPER('0. Instruções'!$D$34&amp;"."&amp;VLOOKUP(B303,'0. Instruções'!$C$27:$E$31,3,FALSE))</f>
        <v>BU_LOANTAPE_WORK.LT002_INSTRUMENT_P3_NOV24</v>
      </c>
      <c r="F303" s="41" t="s">
        <v>173</v>
      </c>
      <c r="G303" s="41" t="s">
        <v>13</v>
      </c>
      <c r="H303" s="41"/>
      <c r="I303" s="41" t="str">
        <f>"(SELECT "&amp;VLOOKUP(B303,'0. Instruções'!$C$27:$G$31,4,FALSE)&amp;", "&amp;F303&amp;" FROM "&amp;D303&amp;" WHERE "&amp;'0. Instruções'!$D$40&amp;")X"</f>
        <v>(SELECT instrmnt_id, COD_SOC FROM BU_LOANTAPE_WORK.LT002_INSTRUMENT WHERE ref_date='${ref_date}' AND nome_perimetro='Individual Corporativo' AND segmento='ESTR' AND ambito='PILAR3')X</v>
      </c>
      <c r="J303" s="41" t="str">
        <f>"(SELECT "&amp;VLOOKUP(B303,'0. Instruções'!$C$27:$G$31,4,FALSE)&amp;" AS "&amp;VLOOKUP(B303,'0. Instruções'!$C$27:$G$31,4,FALSE)&amp;"_SIMUL, "&amp;F303&amp;" AS "&amp;F303&amp;"_SIMUL FROM "&amp;E303&amp;")Y"</f>
        <v>(SELECT instrmnt_id AS instrmnt_id_SIMUL, COD_SOC AS COD_SOC_SIMUL FROM BU_LOANTAPE_WORK.LT002_INSTRUMENT_P3_NOV24)Y</v>
      </c>
      <c r="K303" s="42" t="str">
        <f>+UPPER("ON X."&amp;VLOOKUP(B303,'0. Instruções'!$C$27:$G$31,4,FALSE)&amp;"=Y."&amp;VLOOKUP(B303,'0. Instruções'!$C$27:$G$31,4,FALSE)&amp;"_SIMUL")</f>
        <v>ON X.INSTRMNT_ID=Y.INSTRMNT_ID_SIMUL</v>
      </c>
      <c r="L303" s="42" t="str">
        <f>+IF(C303="Coerência", +IF(LEFT(G303,5)="FLOAT","SELECT '"&amp;UPPER(B303)&amp;"' AS TABELA, '"&amp;UPPER(C303)&amp;"' AS TIPOLOGIA_TESTE,'"&amp;D303&amp;"' AS TABELA_LT,'"&amp;E303&amp;"' AS TABELA_SIMUL,'"&amp;F303&amp;"' AS CAMPO, "&amp;"'${ref_date}' AS REF_DATE, COUNT(*) AS NUM_REG, SUM(IF((ABS(COALESCE(X."&amp;F303&amp;",0)-COALESCE(Y."&amp;F303&amp;"_SIMUL,0))&gt;0.0000000001) OR (X."&amp;F303&amp;" IS NULL AND Y."&amp;F303&amp;"_SIMUL IS NOT NULL ) OR (X."&amp;F303&amp;" IS NOT NULL AND Y."&amp;F303&amp;"_SIMUL IS NULL),1,0)) AS NUM_REG_DIF,'"&amp;MAX('ID1&amp;5'!K:K)+1&amp;"' AS ID_EXEC, CURRENT_TIMESTAMP() AS TIME_EXEC FROM "&amp;I303&amp;" INNER JOIN "&amp;J303&amp;" "&amp;K303,"SELECT '"&amp;UPPER(B303)&amp;"' AS TABELA, '"&amp;UPPER(C303)&amp;"' AS TIPOLOGIA_TESTE,'"&amp;D303&amp;"' AS TABELA_LT,'"&amp;E303&amp;"' AS TABELA_SIMUL,'"&amp;F303&amp;"' AS CAMPO, "&amp;"'${ref_date}' AS REF_DATE, COUNT(*) AS NUM_REG, SUM(IF(COALESCE(CAST(X."&amp;F303&amp;" AS STRING),'')&lt;&gt;COALESCE(CAST(Y."&amp;F303&amp;"_SIMUL AS STRING),''),1,0)) AS NUM_REG_DIF,'"&amp;MAX('ID1&amp;5'!L:L)+1&amp;"' AS ID_EXEC, CURRENT_TIMESTAMP() AS TIME_EXEC FROM "&amp;I303&amp;" INNER JOIN "&amp;J303&amp;" "&amp;K303),
IF(C303="Validade",+IF(G303="Code List","SELECT '"&amp;UPPER(B303)&amp;"' AS TABELA, '"&amp;UPPER(C303)&amp;"' AS TIPOLOGIA_TESTE,'"&amp;D303&amp;"' AS TABELA_LT,'N/A' AS TABELA_SIMUL,'"&amp;F303&amp;"' AS CAMPO, "&amp;"'${ref_date}' AS REF_DATE, COUNT(*) AS NUM_REG, SUM(IF(TRIM(CAST(X."&amp;F303&amp;" AS STRING))='' OR TRIM(CAST(X."&amp;F303&amp;" AS STRING)) IS NULL OR CAST(X."&amp;F303&amp;" AS STRING) NOT "&amp;H303&amp;",1,0)) AS NUM_REG_DIF,'"&amp;MAX('ID1&amp;5'!K:K)+1&amp;"' AS ID_EXEC, CURRENT_TIMESTAMP() AS TIME_EXEC FROM "&amp;I303,"SELECT '"&amp;UPPER(B303)&amp;"' AS TABELA, '"&amp;UPPER(C303)&amp;"' AS TIPOLOGIA_TESTE,'"&amp;D303&amp;"' AS TABELA_LT,'N/A' AS TABELA_SIMUL,'"&amp;F303&amp;"' AS CAMPO, "&amp;"'${ref_date}' AS REF_DATE, COUNT(*) AS NUM_REG, SUM(IF(TRIM(CAST(X."&amp;F303&amp;" AS STRING))='' OR TRIM(CAST(X."&amp;F303&amp;" AS STRING)) IS NULL,1,0)) AS NUM_REG_DIF,'"&amp;MAX('ID1&amp;5'!K:K)+1&amp;"' AS ID_EXEC, CURRENT_TIMESTAMP() AS TIME_EXEC FROM "&amp;I303),
IF(C303="Caracteres Especiais",+"SELECT '"&amp;UPPER(B303)&amp;"' AS TABELA, '"&amp;UPPER(C303)&amp;"' AS TIPOLOGIA_TESTE,'"&amp;D303&amp;"' AS TABELA_LT,'N/A' AS TABELA_SIMUL,'"&amp;F303&amp;"' AS CAMPO, "&amp;"'${ref_date}' AS REF_DATE, COUNT(*) AS NUM_REG, SUM(IF(INSTR(CAST(X."&amp;F303&amp;" AS STRING),'#')&gt;0 OR INSTR(CAST(X."&amp;F303&amp;" AS STRING),'*')&gt;0 OR INSTR(CAST(X."&amp;F303&amp;" AS STRING),'`')&gt;0 OR INSTR(CAST(X."&amp;F303&amp;" AS STRING),'´')&gt;0 OR INSTR(CAST(X."&amp;F303&amp;" AS STRING),'{')&gt;0 OR INSTR(CAST(X."&amp;F303&amp;" AS STRING),'}')&gt;0 OR INSTR(CAST(X."&amp;F303&amp;" AS STRING),'[')&gt;0 OR INSTR(CAST(X."&amp;F303&amp;" AS STRING),'')&gt;0 OR INSTR(CAST(X."&amp;F303&amp;" AS STRING),']')&gt;0 OR INSTR(CAST(X."&amp;F303&amp;" AS STRING),'?')&gt;0 OR INSTR(CAST(X."&amp;F303&amp;" AS STRING),'!')&gt;0 OR INSTR(CAST(X."&amp;F303&amp;" AS STRING),'$')&gt;0 OR INSTR(CAST(X."&amp;F303&amp;" AS STRING),'%')&gt;0 OR INSTR(CAST(X."&amp;F303&amp;" AS STRING),'&amp;')&gt;0 OR INSTR(CAST(X."&amp;F303&amp;" AS STRING),'+')&gt;0,1,0)) AS NUM_REG_DIF,'"&amp;MAX('ID1&amp;5'!K:K)+1&amp;"' AS ID_EXEC, CURRENT_TIMESTAMP() AS TIME_EXEC FROM "&amp;I303,
IF(C303="Missings",+"SELECT '"&amp;UPPER(B303)&amp;"' AS TABELA, '"&amp;UPPER(C303)&amp;"' AS TIPOLOGIA_TESTE,'"&amp;D303&amp;"' AS TABELA_LT,'N/A' AS TABELA_SIMUL,'"&amp;F303&amp;"' AS CAMPO, "&amp;"'${ref_date}' AS REF_DATE, COUNT(*) AS NUM_REG, SUM(IF(TRIM(CAST(X."&amp;F303&amp;" AS STRING)) IN ('0000-00-00','0001-01-01','9999-12-31','MISS','00000','99999999999','99999999999.00','99999999999.000000'),1,0)) AS NUM_REG_DIF,'"&amp;MAX('ID1&amp;5'!K:K)+1&amp;"' AS ID_EXEC, CURRENT_TIMESTAMP() AS TIME_EXEC FROM "&amp;I303,
IF(C303="Not applicable",+"SELECT '"&amp;UPPER(B303)&amp;"' AS TABELA, '"&amp;UPPER(C303)&amp;"' AS TIPOLOGIA_TESTE,'"&amp;D303&amp;"' AS TABELA_LT,'N/A' AS TABELA_SIMUL,'"&amp;F303&amp;"' AS CAMPO, "&amp;"'${ref_date}' AS REF_DATE, COUNT(*) AS NUM_REG, SUM(IF(TRIM(CAST(X."&amp;F303&amp;" AS STRING)) IN ('N/A','11111111111','11111111111.00','11111111111.000000','1111-11-11'),1,0)) AS NUM_REG_DIF,'"&amp;MAX('ID1&amp;5'!K:K)+1&amp;"' AS ID_EXEC, CURRENT_TIMESTAMP() AS TIME_EXEC FROM "&amp;I303,
IF(C303="Valores extremos",+"SELECT '"&amp;UPPER(B303)&amp;"' AS TABELA, '"&amp;UPPER(C303)&amp;"' AS TIPOLOGIA_TESTE,'"&amp;D303&amp;"' AS TABELA_LT,'N/A' AS TABELA_SIMUL,'"&amp;F303&amp;"' AS CAMPO, "&amp;"'${ref_date}' AS REF_DATE, CAST(MIN("&amp;F303&amp;") AS STRING) AS VALOR_MIN, CAST(MAX("&amp;F303&amp;") AS STRING) AS VALOR_MAX,'"&amp;MAX('ID1&amp;5'!K:K)+1&amp;"' AS ID_EXEC, CURRENT_TIMESTAMP() AS TIME_EXEC FROM "&amp;MID(I303,1,LEN(I303)-2)&amp;" AND CAST("&amp;F303&amp;"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TABELA_SIMUL,'COD_SOC' AS CAMPO, '${ref_date}' AS REF_DATE, COUNT(*) AS NUM_REG, SUM(IF(TRIM(CAST(X.COD_SOC AS STRING)) IN ('0000-00-00','0001-01-01','9999-12-31','MISS','00000','99999999999','99999999999.00','99999999999.000000'),1,0)) AS NUM_REG_DIF,'10' AS ID_EXEC, CURRENT_TIMESTAMP() AS TIME_EXEC FROM (SELECT instrmnt_id, COD_SOC FROM BU_LOANTAPE_WORK.LT002_INSTRUMENT WHERE ref_date='${ref_date}' AND nome_perimetro='Individual Corporativo' AND segmento='ESTR' AND ambito='PILAR3')X</v>
      </c>
      <c r="M303" s="43" t="str">
        <f t="shared" si="4"/>
        <v>UNION ALL SELECT 'INSTRUMENT' AS TABELA, 'MISSINGS' AS TIPOLOGIA_TESTE,'BU_LOANTAPE_WORK.LT002_INSTRUMENT' AS TABELA_LT,'N/A' AS TABELA_SIMUL,'COD_SOC' AS CAMPO, '${ref_date}' AS REF_DATE, COUNT(*) AS NUM_REG, SUM(IF(TRIM(CAST(X.COD_SOC AS STRING)) IN ('0000-00-00','0001-01-01','9999-12-31','MISS','00000','99999999999','99999999999.00','99999999999.000000'),1,0)) AS NUM_REG_DIF,'10' AS ID_EXEC, CURRENT_TIMESTAMP() AS TIME_EXEC FROM (SELECT instrmnt_id, COD_SOC FROM BU_LOANTAPE_WORK.LT002_INSTRUMENT WHERE ref_date='${ref_date}' AND nome_perimetro='Individual Corporativo' AND segmento='ESTR' AND ambito='PILAR3')X</v>
      </c>
      <c r="N303" s="45" t="s">
        <v>13</v>
      </c>
    </row>
    <row r="304" spans="2:14">
      <c r="B304" s="41" t="s">
        <v>27</v>
      </c>
      <c r="C304" s="41" t="s">
        <v>77</v>
      </c>
      <c r="D304" s="41" t="str">
        <f>+UPPER('0. Instruções'!$D$33&amp;"."&amp;VLOOKUP(B304,'0. Instruções'!$C$27:$D$31,2,FALSE))</f>
        <v>BU_LOANTAPE_WORK.LT002_INSTRUMENT</v>
      </c>
      <c r="E304" s="41" t="str">
        <f>+UPPER('0. Instruções'!$D$34&amp;"."&amp;VLOOKUP(B304,'0. Instruções'!$C$27:$E$31,3,FALSE))</f>
        <v>BU_LOANTAPE_WORK.LT002_INSTRUMENT_P3_NOV24</v>
      </c>
      <c r="F304" s="41" t="s">
        <v>174</v>
      </c>
      <c r="G304" s="41" t="s">
        <v>13</v>
      </c>
      <c r="H304" s="41"/>
      <c r="I304" s="41" t="str">
        <f>"(SELECT "&amp;VLOOKUP(B304,'0. Instruções'!$C$27:$G$31,4,FALSE)&amp;", "&amp;F304&amp;" FROM "&amp;D304&amp;" WHERE "&amp;'0. Instruções'!$D$40&amp;")X"</f>
        <v>(SELECT instrmnt_id, LCL_INSTMRNT_ID FROM BU_LOANTAPE_WORK.LT002_INSTRUMENT WHERE ref_date='${ref_date}' AND nome_perimetro='Individual Corporativo' AND segmento='ESTR' AND ambito='PILAR3')X</v>
      </c>
      <c r="J304" s="41" t="str">
        <f>"(SELECT "&amp;VLOOKUP(B304,'0. Instruções'!$C$27:$G$31,4,FALSE)&amp;" AS "&amp;VLOOKUP(B304,'0. Instruções'!$C$27:$G$31,4,FALSE)&amp;"_SIMUL, "&amp;F304&amp;" AS "&amp;F304&amp;"_SIMUL FROM "&amp;E304&amp;")Y"</f>
        <v>(SELECT instrmnt_id AS instrmnt_id_SIMUL, LCL_INSTMRNT_ID AS LCL_INSTMRNT_ID_SIMUL FROM BU_LOANTAPE_WORK.LT002_INSTRUMENT_P3_NOV24)Y</v>
      </c>
      <c r="K304" s="42" t="str">
        <f>+UPPER("ON X."&amp;VLOOKUP(B304,'0. Instruções'!$C$27:$G$31,4,FALSE)&amp;"=Y."&amp;VLOOKUP(B304,'0. Instruções'!$C$27:$G$31,4,FALSE)&amp;"_SIMUL")</f>
        <v>ON X.INSTRMNT_ID=Y.INSTRMNT_ID_SIMUL</v>
      </c>
      <c r="L304" s="42" t="str">
        <f>+IF(C304="Coerência", +IF(LEFT(G304,5)="FLOAT","SELECT '"&amp;UPPER(B304)&amp;"' AS TABELA, '"&amp;UPPER(C304)&amp;"' AS TIPOLOGIA_TESTE,'"&amp;D304&amp;"' AS TABELA_LT,'"&amp;E304&amp;"' AS TABELA_SIMUL,'"&amp;F304&amp;"' AS CAMPO, "&amp;"'${ref_date}' AS REF_DATE, COUNT(*) AS NUM_REG, SUM(IF((ABS(COALESCE(X."&amp;F304&amp;",0)-COALESCE(Y."&amp;F304&amp;"_SIMUL,0))&gt;0.0000000001) OR (X."&amp;F304&amp;" IS NULL AND Y."&amp;F304&amp;"_SIMUL IS NOT NULL ) OR (X."&amp;F304&amp;" IS NOT NULL AND Y."&amp;F304&amp;"_SIMUL IS NULL),1,0)) AS NUM_REG_DIF,'"&amp;MAX('ID1&amp;5'!K:K)+1&amp;"' AS ID_EXEC, CURRENT_TIMESTAMP() AS TIME_EXEC FROM "&amp;I304&amp;" INNER JOIN "&amp;J304&amp;" "&amp;K304,"SELECT '"&amp;UPPER(B304)&amp;"' AS TABELA, '"&amp;UPPER(C304)&amp;"' AS TIPOLOGIA_TESTE,'"&amp;D304&amp;"' AS TABELA_LT,'"&amp;E304&amp;"' AS TABELA_SIMUL,'"&amp;F304&amp;"' AS CAMPO, "&amp;"'${ref_date}' AS REF_DATE, COUNT(*) AS NUM_REG, SUM(IF(COALESCE(CAST(X."&amp;F304&amp;" AS STRING),'')&lt;&gt;COALESCE(CAST(Y."&amp;F304&amp;"_SIMUL AS STRING),''),1,0)) AS NUM_REG_DIF,'"&amp;MAX('ID1&amp;5'!L:L)+1&amp;"' AS ID_EXEC, CURRENT_TIMESTAMP() AS TIME_EXEC FROM "&amp;I304&amp;" INNER JOIN "&amp;J304&amp;" "&amp;K304),
IF(C304="Validade",+IF(G304="Code List","SELECT '"&amp;UPPER(B304)&amp;"' AS TABELA, '"&amp;UPPER(C304)&amp;"' AS TIPOLOGIA_TESTE,'"&amp;D304&amp;"' AS TABELA_LT,'N/A' AS TABELA_SIMUL,'"&amp;F304&amp;"' AS CAMPO, "&amp;"'${ref_date}' AS REF_DATE, COUNT(*) AS NUM_REG, SUM(IF(TRIM(CAST(X."&amp;F304&amp;" AS STRING))='' OR TRIM(CAST(X."&amp;F304&amp;" AS STRING)) IS NULL OR CAST(X."&amp;F304&amp;" AS STRING) NOT "&amp;H304&amp;",1,0)) AS NUM_REG_DIF,'"&amp;MAX('ID1&amp;5'!K:K)+1&amp;"' AS ID_EXEC, CURRENT_TIMESTAMP() AS TIME_EXEC FROM "&amp;I304,"SELECT '"&amp;UPPER(B304)&amp;"' AS TABELA, '"&amp;UPPER(C304)&amp;"' AS TIPOLOGIA_TESTE,'"&amp;D304&amp;"' AS TABELA_LT,'N/A' AS TABELA_SIMUL,'"&amp;F304&amp;"' AS CAMPO, "&amp;"'${ref_date}' AS REF_DATE, COUNT(*) AS NUM_REG, SUM(IF(TRIM(CAST(X."&amp;F304&amp;" AS STRING))='' OR TRIM(CAST(X."&amp;F304&amp;" AS STRING)) IS NULL,1,0)) AS NUM_REG_DIF,'"&amp;MAX('ID1&amp;5'!K:K)+1&amp;"' AS ID_EXEC, CURRENT_TIMESTAMP() AS TIME_EXEC FROM "&amp;I304),
IF(C304="Caracteres Especiais",+"SELECT '"&amp;UPPER(B304)&amp;"' AS TABELA, '"&amp;UPPER(C304)&amp;"' AS TIPOLOGIA_TESTE,'"&amp;D304&amp;"' AS TABELA_LT,'N/A' AS TABELA_SIMUL,'"&amp;F304&amp;"' AS CAMPO, "&amp;"'${ref_date}' AS REF_DATE, COUNT(*) AS NUM_REG, SUM(IF(INSTR(CAST(X."&amp;F304&amp;" AS STRING),'#')&gt;0 OR INSTR(CAST(X."&amp;F304&amp;" AS STRING),'*')&gt;0 OR INSTR(CAST(X."&amp;F304&amp;" AS STRING),'`')&gt;0 OR INSTR(CAST(X."&amp;F304&amp;" AS STRING),'´')&gt;0 OR INSTR(CAST(X."&amp;F304&amp;" AS STRING),'{')&gt;0 OR INSTR(CAST(X."&amp;F304&amp;" AS STRING),'}')&gt;0 OR INSTR(CAST(X."&amp;F304&amp;" AS STRING),'[')&gt;0 OR INSTR(CAST(X."&amp;F304&amp;" AS STRING),'')&gt;0 OR INSTR(CAST(X."&amp;F304&amp;" AS STRING),']')&gt;0 OR INSTR(CAST(X."&amp;F304&amp;" AS STRING),'?')&gt;0 OR INSTR(CAST(X."&amp;F304&amp;" AS STRING),'!')&gt;0 OR INSTR(CAST(X."&amp;F304&amp;" AS STRING),'$')&gt;0 OR INSTR(CAST(X."&amp;F304&amp;" AS STRING),'%')&gt;0 OR INSTR(CAST(X."&amp;F304&amp;" AS STRING),'&amp;')&gt;0 OR INSTR(CAST(X."&amp;F304&amp;" AS STRING),'+')&gt;0,1,0)) AS NUM_REG_DIF,'"&amp;MAX('ID1&amp;5'!K:K)+1&amp;"' AS ID_EXEC, CURRENT_TIMESTAMP() AS TIME_EXEC FROM "&amp;I304,
IF(C304="Missings",+"SELECT '"&amp;UPPER(B304)&amp;"' AS TABELA, '"&amp;UPPER(C304)&amp;"' AS TIPOLOGIA_TESTE,'"&amp;D304&amp;"' AS TABELA_LT,'N/A' AS TABELA_SIMUL,'"&amp;F304&amp;"' AS CAMPO, "&amp;"'${ref_date}' AS REF_DATE, COUNT(*) AS NUM_REG, SUM(IF(TRIM(CAST(X."&amp;F304&amp;" AS STRING)) IN ('0000-00-00','0001-01-01','9999-12-31','MISS','00000','99999999999','99999999999.00','99999999999.000000'),1,0)) AS NUM_REG_DIF,'"&amp;MAX('ID1&amp;5'!K:K)+1&amp;"' AS ID_EXEC, CURRENT_TIMESTAMP() AS TIME_EXEC FROM "&amp;I304,
IF(C304="Not applicable",+"SELECT '"&amp;UPPER(B304)&amp;"' AS TABELA, '"&amp;UPPER(C304)&amp;"' AS TIPOLOGIA_TESTE,'"&amp;D304&amp;"' AS TABELA_LT,'N/A' AS TABELA_SIMUL,'"&amp;F304&amp;"' AS CAMPO, "&amp;"'${ref_date}' AS REF_DATE, COUNT(*) AS NUM_REG, SUM(IF(TRIM(CAST(X."&amp;F304&amp;" AS STRING)) IN ('N/A','11111111111','11111111111.00','11111111111.000000','1111-11-11'),1,0)) AS NUM_REG_DIF,'"&amp;MAX('ID1&amp;5'!K:K)+1&amp;"' AS ID_EXEC, CURRENT_TIMESTAMP() AS TIME_EXEC FROM "&amp;I304,
IF(C304="Valores extremos",+"SELECT '"&amp;UPPER(B304)&amp;"' AS TABELA, '"&amp;UPPER(C304)&amp;"' AS TIPOLOGIA_TESTE,'"&amp;D304&amp;"' AS TABELA_LT,'N/A' AS TABELA_SIMUL,'"&amp;F304&amp;"' AS CAMPO, "&amp;"'${ref_date}' AS REF_DATE, CAST(MIN("&amp;F304&amp;") AS STRING) AS VALOR_MIN, CAST(MAX("&amp;F304&amp;") AS STRING) AS VALOR_MAX,'"&amp;MAX('ID1&amp;5'!K:K)+1&amp;"' AS ID_EXEC, CURRENT_TIMESTAMP() AS TIME_EXEC FROM "&amp;MID(I304,1,LEN(I304)-2)&amp;" AND CAST("&amp;F304&amp;"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TABELA_SIMUL,'LCL_INSTMRNT_ID' AS CAMPO, '${ref_date}' AS REF_DATE, COUNT(*) AS NUM_REG, SUM(IF(TRIM(CAST(X.LCL_INSTMRNT_ID AS STRING)) IN ('0000-00-00','0001-01-01','9999-12-31','MISS','00000','99999999999','99999999999.00','99999999999.000000'),1,0)) AS NUM_REG_DIF,'10' AS ID_EXEC, CURRENT_TIMESTAMP() AS TIME_EXEC FROM (SELECT instrmnt_id, LCL_INSTMRNT_ID FROM BU_LOANTAPE_WORK.LT002_INSTRUMENT WHERE ref_date='${ref_date}' AND nome_perimetro='Individual Corporativo' AND segmento='ESTR' AND ambito='PILAR3')X</v>
      </c>
      <c r="M304" s="43" t="str">
        <f t="shared" si="4"/>
        <v>UNION ALL SELECT 'INSTRUMENT' AS TABELA, 'MISSINGS' AS TIPOLOGIA_TESTE,'BU_LOANTAPE_WORK.LT002_INSTRUMENT' AS TABELA_LT,'N/A' AS TABELA_SIMUL,'LCL_INSTMRNT_ID' AS CAMPO, '${ref_date}' AS REF_DATE, COUNT(*) AS NUM_REG, SUM(IF(TRIM(CAST(X.LCL_INSTMRNT_ID AS STRING)) IN ('0000-00-00','0001-01-01','9999-12-31','MISS','00000','99999999999','99999999999.00','99999999999.000000'),1,0)) AS NUM_REG_DIF,'10' AS ID_EXEC, CURRENT_TIMESTAMP() AS TIME_EXEC FROM (SELECT instrmnt_id, LCL_INSTMRNT_ID FROM BU_LOANTAPE_WORK.LT002_INSTRUMENT WHERE ref_date='${ref_date}' AND nome_perimetro='Individual Corporativo' AND segmento='ESTR' AND ambito='PILAR3')X</v>
      </c>
      <c r="N304" s="45" t="s">
        <v>13</v>
      </c>
    </row>
    <row r="305" spans="2:14">
      <c r="B305" s="41" t="s">
        <v>27</v>
      </c>
      <c r="C305" s="41" t="s">
        <v>77</v>
      </c>
      <c r="D305" s="41" t="str">
        <f>+UPPER('0. Instruções'!$D$33&amp;"."&amp;VLOOKUP(B305,'0. Instruções'!$C$27:$D$31,2,FALSE))</f>
        <v>BU_LOANTAPE_WORK.LT002_INSTRUMENT</v>
      </c>
      <c r="E305" s="41" t="str">
        <f>+UPPER('0. Instruções'!$D$34&amp;"."&amp;VLOOKUP(B305,'0. Instruções'!$C$27:$E$31,3,FALSE))</f>
        <v>BU_LOANTAPE_WORK.LT002_INSTRUMENT_P3_NOV24</v>
      </c>
      <c r="F305" s="41" t="s">
        <v>180</v>
      </c>
      <c r="G305" s="41" t="s">
        <v>13</v>
      </c>
      <c r="H305" s="41"/>
      <c r="I305" s="41" t="str">
        <f>"(SELECT "&amp;VLOOKUP(B305,'0. Instruções'!$C$27:$G$31,4,FALSE)&amp;", "&amp;F305&amp;" FROM "&amp;D305&amp;" WHERE "&amp;'0. Instruções'!$D$40&amp;")X"</f>
        <v>(SELECT instrmnt_id, IDCMB FROM BU_LOANTAPE_WORK.LT002_INSTRUMENT WHERE ref_date='${ref_date}' AND nome_perimetro='Individual Corporativo' AND segmento='ESTR' AND ambito='PILAR3')X</v>
      </c>
      <c r="J305" s="41" t="str">
        <f>"(SELECT "&amp;VLOOKUP(B305,'0. Instruções'!$C$27:$G$31,4,FALSE)&amp;" AS "&amp;VLOOKUP(B305,'0. Instruções'!$C$27:$G$31,4,FALSE)&amp;"_SIMUL, "&amp;F305&amp;" AS "&amp;F305&amp;"_SIMUL FROM "&amp;E305&amp;")Y"</f>
        <v>(SELECT instrmnt_id AS instrmnt_id_SIMUL, IDCMB AS IDCMB_SIMUL FROM BU_LOANTAPE_WORK.LT002_INSTRUMENT_P3_NOV24)Y</v>
      </c>
      <c r="K305" s="42" t="str">
        <f>+UPPER("ON X."&amp;VLOOKUP(B305,'0. Instruções'!$C$27:$G$31,4,FALSE)&amp;"=Y."&amp;VLOOKUP(B305,'0. Instruções'!$C$27:$G$31,4,FALSE)&amp;"_SIMUL")</f>
        <v>ON X.INSTRMNT_ID=Y.INSTRMNT_ID_SIMUL</v>
      </c>
      <c r="L305" s="42" t="str">
        <f>+IF(C305="Coerência", +IF(LEFT(G305,5)="FLOAT","SELECT '"&amp;UPPER(B305)&amp;"' AS TABELA, '"&amp;UPPER(C305)&amp;"' AS TIPOLOGIA_TESTE,'"&amp;D305&amp;"' AS TABELA_LT,'"&amp;E305&amp;"' AS TABELA_SIMUL,'"&amp;F305&amp;"' AS CAMPO, "&amp;"'${ref_date}' AS REF_DATE, COUNT(*) AS NUM_REG, SUM(IF((ABS(COALESCE(X."&amp;F305&amp;",0)-COALESCE(Y."&amp;F305&amp;"_SIMUL,0))&gt;0.0000000001) OR (X."&amp;F305&amp;" IS NULL AND Y."&amp;F305&amp;"_SIMUL IS NOT NULL ) OR (X."&amp;F305&amp;" IS NOT NULL AND Y."&amp;F305&amp;"_SIMUL IS NULL),1,0)) AS NUM_REG_DIF,'"&amp;MAX('ID1&amp;5'!K:K)+1&amp;"' AS ID_EXEC, CURRENT_TIMESTAMP() AS TIME_EXEC FROM "&amp;I305&amp;" INNER JOIN "&amp;J305&amp;" "&amp;K305,"SELECT '"&amp;UPPER(B305)&amp;"' AS TABELA, '"&amp;UPPER(C305)&amp;"' AS TIPOLOGIA_TESTE,'"&amp;D305&amp;"' AS TABELA_LT,'"&amp;E305&amp;"' AS TABELA_SIMUL,'"&amp;F305&amp;"' AS CAMPO, "&amp;"'${ref_date}' AS REF_DATE, COUNT(*) AS NUM_REG, SUM(IF(COALESCE(CAST(X."&amp;F305&amp;" AS STRING),'')&lt;&gt;COALESCE(CAST(Y."&amp;F305&amp;"_SIMUL AS STRING),''),1,0)) AS NUM_REG_DIF,'"&amp;MAX('ID1&amp;5'!L:L)+1&amp;"' AS ID_EXEC, CURRENT_TIMESTAMP() AS TIME_EXEC FROM "&amp;I305&amp;" INNER JOIN "&amp;J305&amp;" "&amp;K305),
IF(C305="Validade",+IF(G305="Code List","SELECT '"&amp;UPPER(B305)&amp;"' AS TABELA, '"&amp;UPPER(C305)&amp;"' AS TIPOLOGIA_TESTE,'"&amp;D305&amp;"' AS TABELA_LT,'N/A' AS TABELA_SIMUL,'"&amp;F305&amp;"' AS CAMPO, "&amp;"'${ref_date}' AS REF_DATE, COUNT(*) AS NUM_REG, SUM(IF(TRIM(CAST(X."&amp;F305&amp;" AS STRING))='' OR TRIM(CAST(X."&amp;F305&amp;" AS STRING)) IS NULL OR CAST(X."&amp;F305&amp;" AS STRING) NOT "&amp;H305&amp;",1,0)) AS NUM_REG_DIF,'"&amp;MAX('ID1&amp;5'!K:K)+1&amp;"' AS ID_EXEC, CURRENT_TIMESTAMP() AS TIME_EXEC FROM "&amp;I305,"SELECT '"&amp;UPPER(B305)&amp;"' AS TABELA, '"&amp;UPPER(C305)&amp;"' AS TIPOLOGIA_TESTE,'"&amp;D305&amp;"' AS TABELA_LT,'N/A' AS TABELA_SIMUL,'"&amp;F305&amp;"' AS CAMPO, "&amp;"'${ref_date}' AS REF_DATE, COUNT(*) AS NUM_REG, SUM(IF(TRIM(CAST(X."&amp;F305&amp;" AS STRING))='' OR TRIM(CAST(X."&amp;F305&amp;" AS STRING)) IS NULL,1,0)) AS NUM_REG_DIF,'"&amp;MAX('ID1&amp;5'!K:K)+1&amp;"' AS ID_EXEC, CURRENT_TIMESTAMP() AS TIME_EXEC FROM "&amp;I305),
IF(C305="Caracteres Especiais",+"SELECT '"&amp;UPPER(B305)&amp;"' AS TABELA, '"&amp;UPPER(C305)&amp;"' AS TIPOLOGIA_TESTE,'"&amp;D305&amp;"' AS TABELA_LT,'N/A' AS TABELA_SIMUL,'"&amp;F305&amp;"' AS CAMPO, "&amp;"'${ref_date}' AS REF_DATE, COUNT(*) AS NUM_REG, SUM(IF(INSTR(CAST(X."&amp;F305&amp;" AS STRING),'#')&gt;0 OR INSTR(CAST(X."&amp;F305&amp;" AS STRING),'*')&gt;0 OR INSTR(CAST(X."&amp;F305&amp;" AS STRING),'`')&gt;0 OR INSTR(CAST(X."&amp;F305&amp;" AS STRING),'´')&gt;0 OR INSTR(CAST(X."&amp;F305&amp;" AS STRING),'{')&gt;0 OR INSTR(CAST(X."&amp;F305&amp;" AS STRING),'}')&gt;0 OR INSTR(CAST(X."&amp;F305&amp;" AS STRING),'[')&gt;0 OR INSTR(CAST(X."&amp;F305&amp;" AS STRING),'')&gt;0 OR INSTR(CAST(X."&amp;F305&amp;" AS STRING),']')&gt;0 OR INSTR(CAST(X."&amp;F305&amp;" AS STRING),'?')&gt;0 OR INSTR(CAST(X."&amp;F305&amp;" AS STRING),'!')&gt;0 OR INSTR(CAST(X."&amp;F305&amp;" AS STRING),'$')&gt;0 OR INSTR(CAST(X."&amp;F305&amp;" AS STRING),'%')&gt;0 OR INSTR(CAST(X."&amp;F305&amp;" AS STRING),'&amp;')&gt;0 OR INSTR(CAST(X."&amp;F305&amp;" AS STRING),'+')&gt;0,1,0)) AS NUM_REG_DIF,'"&amp;MAX('ID1&amp;5'!K:K)+1&amp;"' AS ID_EXEC, CURRENT_TIMESTAMP() AS TIME_EXEC FROM "&amp;I305,
IF(C305="Missings",+"SELECT '"&amp;UPPER(B305)&amp;"' AS TABELA, '"&amp;UPPER(C305)&amp;"' AS TIPOLOGIA_TESTE,'"&amp;D305&amp;"' AS TABELA_LT,'N/A' AS TABELA_SIMUL,'"&amp;F305&amp;"' AS CAMPO, "&amp;"'${ref_date}' AS REF_DATE, COUNT(*) AS NUM_REG, SUM(IF(TRIM(CAST(X."&amp;F305&amp;" AS STRING)) IN ('0000-00-00','0001-01-01','9999-12-31','MISS','00000','99999999999','99999999999.00','99999999999.000000'),1,0)) AS NUM_REG_DIF,'"&amp;MAX('ID1&amp;5'!K:K)+1&amp;"' AS ID_EXEC, CURRENT_TIMESTAMP() AS TIME_EXEC FROM "&amp;I305,
IF(C305="Not applicable",+"SELECT '"&amp;UPPER(B305)&amp;"' AS TABELA, '"&amp;UPPER(C305)&amp;"' AS TIPOLOGIA_TESTE,'"&amp;D305&amp;"' AS TABELA_LT,'N/A' AS TABELA_SIMUL,'"&amp;F305&amp;"' AS CAMPO, "&amp;"'${ref_date}' AS REF_DATE, COUNT(*) AS NUM_REG, SUM(IF(TRIM(CAST(X."&amp;F305&amp;" AS STRING)) IN ('N/A','11111111111','11111111111.00','11111111111.000000','1111-11-11'),1,0)) AS NUM_REG_DIF,'"&amp;MAX('ID1&amp;5'!K:K)+1&amp;"' AS ID_EXEC, CURRENT_TIMESTAMP() AS TIME_EXEC FROM "&amp;I305,
IF(C305="Valores extremos",+"SELECT '"&amp;UPPER(B305)&amp;"' AS TABELA, '"&amp;UPPER(C305)&amp;"' AS TIPOLOGIA_TESTE,'"&amp;D305&amp;"' AS TABELA_LT,'N/A' AS TABELA_SIMUL,'"&amp;F305&amp;"' AS CAMPO, "&amp;"'${ref_date}' AS REF_DATE, CAST(MIN("&amp;F305&amp;") AS STRING) AS VALOR_MIN, CAST(MAX("&amp;F305&amp;") AS STRING) AS VALOR_MAX,'"&amp;MAX('ID1&amp;5'!K:K)+1&amp;"' AS ID_EXEC, CURRENT_TIMESTAMP() AS TIME_EXEC FROM "&amp;MID(I305,1,LEN(I305)-2)&amp;" AND CAST("&amp;F305&amp;" AS STRING) NOT IN ('0000-00-00','0001-01-01','9999-12-31','MISS','00000','99999999999','99999999999.00','99999999999.000000','N/A','11111111111','11111111111.00','11111111111.000000','1111-11-11'))X"))))))</f>
        <v>SELECT 'INSTRUMENT' AS TABELA, 'MISSINGS' AS TIPOLOGIA_TESTE,'BU_LOANTAPE_WORK.LT002_INSTRUMENT' AS TABELA_LT,'N/A' AS TABELA_SIMUL,'IDCMB' AS CAMPO, '${ref_date}' AS REF_DATE, COUNT(*) AS NUM_REG, SUM(IF(TRIM(CAST(X.IDCMB AS STRING)) IN ('0000-00-00','0001-01-01','9999-12-31','MISS','00000','99999999999','99999999999.00','99999999999.000000'),1,0)) AS NUM_REG_DIF,'10' AS ID_EXEC, CURRENT_TIMESTAMP() AS TIME_EXEC FROM (SELECT instrmnt_id, IDCMB FROM BU_LOANTAPE_WORK.LT002_INSTRUMENT WHERE ref_date='${ref_date}' AND nome_perimetro='Individual Corporativo' AND segmento='ESTR' AND ambito='PILAR3')X</v>
      </c>
      <c r="M305" s="43" t="str">
        <f t="shared" ref="M305:M365" si="5">+"UNION ALL "&amp;L305</f>
        <v>UNION ALL SELECT 'INSTRUMENT' AS TABELA, 'MISSINGS' AS TIPOLOGIA_TESTE,'BU_LOANTAPE_WORK.LT002_INSTRUMENT' AS TABELA_LT,'N/A' AS TABELA_SIMUL,'IDCMB' AS CAMPO, '${ref_date}' AS REF_DATE, COUNT(*) AS NUM_REG, SUM(IF(TRIM(CAST(X.IDCMB AS STRING)) IN ('0000-00-00','0001-01-01','9999-12-31','MISS','00000','99999999999','99999999999.00','99999999999.000000'),1,0)) AS NUM_REG_DIF,'10' AS ID_EXEC, CURRENT_TIMESTAMP() AS TIME_EXEC FROM (SELECT instrmnt_id, IDCMB FROM BU_LOANTAPE_WORK.LT002_INSTRUMENT WHERE ref_date='${ref_date}' AND nome_perimetro='Individual Corporativo' AND segmento='ESTR' AND ambito='PILAR3')X</v>
      </c>
      <c r="N305" s="45" t="s">
        <v>13</v>
      </c>
    </row>
    <row r="306" spans="2:14">
      <c r="B306" s="41" t="s">
        <v>23</v>
      </c>
      <c r="C306" s="41" t="s">
        <v>77</v>
      </c>
      <c r="D306" s="41" t="str">
        <f>+UPPER('0. Instruções'!$D$33&amp;"."&amp;VLOOKUP(B306,'0. Instruções'!$C$27:$D$31,2,FALSE))</f>
        <v>BU_LOANTAPE_WORK.LT003_ENTITY</v>
      </c>
      <c r="E306" s="41" t="str">
        <f>+UPPER('0. Instruções'!$D$34&amp;"."&amp;VLOOKUP(B306,'0. Instruções'!$C$27:$E$31,3,FALSE))</f>
        <v>BU_LOANTAPE_WORK.LT003_ENTTY_P3_NOV24</v>
      </c>
      <c r="F306" s="41" t="s">
        <v>99</v>
      </c>
      <c r="G306" s="41" t="s">
        <v>209</v>
      </c>
      <c r="H306" s="41"/>
      <c r="I306" s="41" t="str">
        <f>"(SELECT "&amp;VLOOKUP(B306,'0. Instruções'!$C$27:$G$31,4,FALSE)&amp;", "&amp;F306&amp;" FROM "&amp;D306&amp;" WHERE "&amp;'0. Instruções'!$D$40&amp;")X"</f>
        <v>(SELECT entty_id, NACE_ESG FROM BU_LOANTAPE_WORK.LT003_ENTITY WHERE ref_date='${ref_date}' AND nome_perimetro='Individual Corporativo' AND segmento='ESTR' AND ambito='PILAR3')X</v>
      </c>
      <c r="J306" s="41" t="str">
        <f>"(SELECT "&amp;VLOOKUP(B306,'0. Instruções'!$C$27:$G$31,4,FALSE)&amp;" AS "&amp;VLOOKUP(B306,'0. Instruções'!$C$27:$G$31,4,FALSE)&amp;"_SIMUL, "&amp;F306&amp;" AS "&amp;F306&amp;"_SIMUL FROM "&amp;E306&amp;")Y"</f>
        <v>(SELECT entty_id AS entty_id_SIMUL, NACE_ESG AS NACE_ESG_SIMUL FROM BU_LOANTAPE_WORK.LT003_ENTTY_P3_NOV24)Y</v>
      </c>
      <c r="K306" s="42" t="str">
        <f>+UPPER("ON X."&amp;VLOOKUP(B306,'0. Instruções'!$C$27:$G$31,4,FALSE)&amp;"=Y."&amp;VLOOKUP(B306,'0. Instruções'!$C$27:$G$31,4,FALSE)&amp;"_SIMUL")</f>
        <v>ON X.ENTTY_ID=Y.ENTTY_ID_SIMUL</v>
      </c>
      <c r="L306" s="42" t="str">
        <f>+IF(C306="Coerência", +IF(LEFT(G306,5)="FLOAT","SELECT '"&amp;UPPER(B306)&amp;"' AS TABELA, '"&amp;UPPER(C306)&amp;"' AS TIPOLOGIA_TESTE,'"&amp;D306&amp;"' AS TABELA_LT,'"&amp;E306&amp;"' AS TABELA_SIMUL,'"&amp;F306&amp;"' AS CAMPO, "&amp;"'${ref_date}' AS REF_DATE, COUNT(*) AS NUM_REG, SUM(IF((ABS(COALESCE(X."&amp;F306&amp;",0)-COALESCE(Y."&amp;F306&amp;"_SIMUL,0))&gt;0.0000000001) OR (X."&amp;F306&amp;" IS NULL AND Y."&amp;F306&amp;"_SIMUL IS NOT NULL ) OR (X."&amp;F306&amp;" IS NOT NULL AND Y."&amp;F306&amp;"_SIMUL IS NULL),1,0)) AS NUM_REG_DIF,'"&amp;MAX('ID1&amp;5'!K:K)+1&amp;"' AS ID_EXEC, CURRENT_TIMESTAMP() AS TIME_EXEC FROM "&amp;I306&amp;" INNER JOIN "&amp;J306&amp;" "&amp;K306,"SELECT '"&amp;UPPER(B306)&amp;"' AS TABELA, '"&amp;UPPER(C306)&amp;"' AS TIPOLOGIA_TESTE,'"&amp;D306&amp;"' AS TABELA_LT,'"&amp;E306&amp;"' AS TABELA_SIMUL,'"&amp;F306&amp;"' AS CAMPO, "&amp;"'${ref_date}' AS REF_DATE, COUNT(*) AS NUM_REG, SUM(IF(COALESCE(CAST(X."&amp;F306&amp;" AS STRING),'')&lt;&gt;COALESCE(CAST(Y."&amp;F306&amp;"_SIMUL AS STRING),''),1,0)) AS NUM_REG_DIF,'"&amp;MAX('ID1&amp;5'!L:L)+1&amp;"' AS ID_EXEC, CURRENT_TIMESTAMP() AS TIME_EXEC FROM "&amp;I306&amp;" INNER JOIN "&amp;J306&amp;" "&amp;K306),
IF(C306="Validade",+IF(G306="Code List","SELECT '"&amp;UPPER(B306)&amp;"' AS TABELA, '"&amp;UPPER(C306)&amp;"' AS TIPOLOGIA_TESTE,'"&amp;D306&amp;"' AS TABELA_LT,'N/A' AS TABELA_SIMUL,'"&amp;F306&amp;"' AS CAMPO, "&amp;"'${ref_date}' AS REF_DATE, COUNT(*) AS NUM_REG, SUM(IF(TRIM(CAST(X."&amp;F306&amp;" AS STRING))='' OR TRIM(CAST(X."&amp;F306&amp;" AS STRING)) IS NULL OR CAST(X."&amp;F306&amp;" AS STRING) NOT "&amp;H306&amp;",1,0)) AS NUM_REG_DIF,'"&amp;MAX('ID1&amp;5'!K:K)+1&amp;"' AS ID_EXEC, CURRENT_TIMESTAMP() AS TIME_EXEC FROM "&amp;I306,"SELECT '"&amp;UPPER(B306)&amp;"' AS TABELA, '"&amp;UPPER(C306)&amp;"' AS TIPOLOGIA_TESTE,'"&amp;D306&amp;"' AS TABELA_LT,'N/A' AS TABELA_SIMUL,'"&amp;F306&amp;"' AS CAMPO, "&amp;"'${ref_date}' AS REF_DATE, COUNT(*) AS NUM_REG, SUM(IF(TRIM(CAST(X."&amp;F306&amp;" AS STRING))='' OR TRIM(CAST(X."&amp;F306&amp;" AS STRING)) IS NULL,1,0)) AS NUM_REG_DIF,'"&amp;MAX('ID1&amp;5'!K:K)+1&amp;"' AS ID_EXEC, CURRENT_TIMESTAMP() AS TIME_EXEC FROM "&amp;I306),
IF(C306="Caracteres Especiais",+"SELECT '"&amp;UPPER(B306)&amp;"' AS TABELA, '"&amp;UPPER(C306)&amp;"' AS TIPOLOGIA_TESTE,'"&amp;D306&amp;"' AS TABELA_LT,'N/A' AS TABELA_SIMUL,'"&amp;F306&amp;"' AS CAMPO, "&amp;"'${ref_date}' AS REF_DATE, COUNT(*) AS NUM_REG, SUM(IF(INSTR(CAST(X."&amp;F306&amp;" AS STRING),'#')&gt;0 OR INSTR(CAST(X."&amp;F306&amp;" AS STRING),'*')&gt;0 OR INSTR(CAST(X."&amp;F306&amp;" AS STRING),'`')&gt;0 OR INSTR(CAST(X."&amp;F306&amp;" AS STRING),'´')&gt;0 OR INSTR(CAST(X."&amp;F306&amp;" AS STRING),'{')&gt;0 OR INSTR(CAST(X."&amp;F306&amp;" AS STRING),'}')&gt;0 OR INSTR(CAST(X."&amp;F306&amp;" AS STRING),'[')&gt;0 OR INSTR(CAST(X."&amp;F306&amp;" AS STRING),'')&gt;0 OR INSTR(CAST(X."&amp;F306&amp;" AS STRING),']')&gt;0 OR INSTR(CAST(X."&amp;F306&amp;" AS STRING),'?')&gt;0 OR INSTR(CAST(X."&amp;F306&amp;" AS STRING),'!')&gt;0 OR INSTR(CAST(X."&amp;F306&amp;" AS STRING),'$')&gt;0 OR INSTR(CAST(X."&amp;F306&amp;" AS STRING),'%')&gt;0 OR INSTR(CAST(X."&amp;F306&amp;" AS STRING),'&amp;')&gt;0 OR INSTR(CAST(X."&amp;F306&amp;" AS STRING),'+')&gt;0,1,0)) AS NUM_REG_DIF,'"&amp;MAX('ID1&amp;5'!K:K)+1&amp;"' AS ID_EXEC, CURRENT_TIMESTAMP() AS TIME_EXEC FROM "&amp;I306,
IF(C306="Missings",+"SELECT '"&amp;UPPER(B306)&amp;"' AS TABELA, '"&amp;UPPER(C306)&amp;"' AS TIPOLOGIA_TESTE,'"&amp;D306&amp;"' AS TABELA_LT,'N/A' AS TABELA_SIMUL,'"&amp;F306&amp;"' AS CAMPO, "&amp;"'${ref_date}' AS REF_DATE, COUNT(*) AS NUM_REG, SUM(IF(TRIM(CAST(X."&amp;F306&amp;" AS STRING)) IN ('0000-00-00','0001-01-01','9999-12-31','MISS','00000','99999999999','99999999999.00','99999999999.000000'),1,0)) AS NUM_REG_DIF,'"&amp;MAX('ID1&amp;5'!K:K)+1&amp;"' AS ID_EXEC, CURRENT_TIMESTAMP() AS TIME_EXEC FROM "&amp;I306,
IF(C306="Not applicable",+"SELECT '"&amp;UPPER(B306)&amp;"' AS TABELA, '"&amp;UPPER(C306)&amp;"' AS TIPOLOGIA_TESTE,'"&amp;D306&amp;"' AS TABELA_LT,'N/A' AS TABELA_SIMUL,'"&amp;F306&amp;"' AS CAMPO, "&amp;"'${ref_date}' AS REF_DATE, COUNT(*) AS NUM_REG, SUM(IF(TRIM(CAST(X."&amp;F306&amp;" AS STRING)) IN ('N/A','11111111111','11111111111.00','11111111111.000000','1111-11-11'),1,0)) AS NUM_REG_DIF,'"&amp;MAX('ID1&amp;5'!K:K)+1&amp;"' AS ID_EXEC, CURRENT_TIMESTAMP() AS TIME_EXEC FROM "&amp;I306,
IF(C306="Valores extremos",+"SELECT '"&amp;UPPER(B306)&amp;"' AS TABELA, '"&amp;UPPER(C306)&amp;"' AS TIPOLOGIA_TESTE,'"&amp;D306&amp;"' AS TABELA_LT,'N/A' AS TABELA_SIMUL,'"&amp;F306&amp;"' AS CAMPO, "&amp;"'${ref_date}' AS REF_DATE, CAST(MIN("&amp;F306&amp;") AS STRING) AS VALOR_MIN, CAST(MAX("&amp;F306&amp;") AS STRING) AS VALOR_MAX,'"&amp;MAX('ID1&amp;5'!K:K)+1&amp;"' AS ID_EXEC, CURRENT_TIMESTAMP() AS TIME_EXEC FROM "&amp;MID(I306,1,LEN(I306)-2)&amp;" AND CAST("&amp;F306&amp;"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TABELA_SIMUL,'NACE_ESG' AS CAMPO, '${ref_date}' AS REF_DATE, COUNT(*) AS NUM_REG, SUM(IF(TRIM(CAST(X.NACE_ESG AS STRING)) IN ('0000-00-00','0001-01-01','9999-12-31','MISS','00000','99999999999','99999999999.00','99999999999.000000'),1,0)) AS NUM_REG_DIF,'10' AS ID_EXEC, CURRENT_TIMESTAMP() AS TIME_EXEC FROM (SELECT entty_id, NACE_ESG FROM BU_LOANTAPE_WORK.LT003_ENTITY WHERE ref_date='${ref_date}' AND nome_perimetro='Individual Corporativo' AND segmento='ESTR' AND ambito='PILAR3')X</v>
      </c>
      <c r="M306" s="43" t="str">
        <f t="shared" si="5"/>
        <v>UNION ALL SELECT 'ENTITY' AS TABELA, 'MISSINGS' AS TIPOLOGIA_TESTE,'BU_LOANTAPE_WORK.LT003_ENTITY' AS TABELA_LT,'N/A' AS TABELA_SIMUL,'NACE_ESG' AS CAMPO, '${ref_date}' AS REF_DATE, COUNT(*) AS NUM_REG, SUM(IF(TRIM(CAST(X.NACE_ESG AS STRING)) IN ('0000-00-00','0001-01-01','9999-12-31','MISS','00000','99999999999','99999999999.00','99999999999.000000'),1,0)) AS NUM_REG_DIF,'10' AS ID_EXEC, CURRENT_TIMESTAMP() AS TIME_EXEC FROM (SELECT entty_id, NACE_ESG FROM BU_LOANTAPE_WORK.LT003_ENTITY WHERE ref_date='${ref_date}' AND nome_perimetro='Individual Corporativo' AND segmento='ESTR' AND ambito='PILAR3')X</v>
      </c>
      <c r="N306" s="45" t="s">
        <v>13</v>
      </c>
    </row>
    <row r="307" spans="2:14">
      <c r="B307" s="41" t="s">
        <v>23</v>
      </c>
      <c r="C307" s="41" t="s">
        <v>77</v>
      </c>
      <c r="D307" s="41" t="str">
        <f>+UPPER('0. Instruções'!$D$33&amp;"."&amp;VLOOKUP(B307,'0. Instruções'!$C$27:$D$31,2,FALSE))</f>
        <v>BU_LOANTAPE_WORK.LT003_ENTITY</v>
      </c>
      <c r="E307" s="41" t="str">
        <f>+UPPER('0. Instruções'!$D$34&amp;"."&amp;VLOOKUP(B307,'0. Instruções'!$C$27:$E$31,3,FALSE))</f>
        <v>BU_LOANTAPE_WORK.LT003_ENTTY_P3_NOV24</v>
      </c>
      <c r="F307" s="41" t="s">
        <v>100</v>
      </c>
      <c r="G307" s="41" t="s">
        <v>210</v>
      </c>
      <c r="H307" s="41"/>
      <c r="I307" s="41" t="str">
        <f>"(SELECT "&amp;VLOOKUP(B307,'0. Instruções'!$C$27:$G$31,4,FALSE)&amp;", "&amp;F307&amp;" FROM "&amp;D307&amp;" WHERE "&amp;'0. Instruções'!$D$40&amp;")X"</f>
        <v>(SELECT entty_id, TXNMY_ELGBL_CAPEX_CCM FROM BU_LOANTAPE_WORK.LT003_ENTITY WHERE ref_date='${ref_date}' AND nome_perimetro='Individual Corporativo' AND segmento='ESTR' AND ambito='PILAR3')X</v>
      </c>
      <c r="J307" s="41" t="str">
        <f>"(SELECT "&amp;VLOOKUP(B307,'0. Instruções'!$C$27:$G$31,4,FALSE)&amp;" AS "&amp;VLOOKUP(B307,'0. Instruções'!$C$27:$G$31,4,FALSE)&amp;"_SIMUL, "&amp;F307&amp;" AS "&amp;F307&amp;"_SIMUL FROM "&amp;E307&amp;")Y"</f>
        <v>(SELECT entty_id AS entty_id_SIMUL, TXNMY_ELGBL_CAPEX_CCM AS TXNMY_ELGBL_CAPEX_CCM_SIMUL FROM BU_LOANTAPE_WORK.LT003_ENTTY_P3_NOV24)Y</v>
      </c>
      <c r="K307" s="42" t="str">
        <f>+UPPER("ON X."&amp;VLOOKUP(B307,'0. Instruções'!$C$27:$G$31,4,FALSE)&amp;"=Y."&amp;VLOOKUP(B307,'0. Instruções'!$C$27:$G$31,4,FALSE)&amp;"_SIMUL")</f>
        <v>ON X.ENTTY_ID=Y.ENTTY_ID_SIMUL</v>
      </c>
      <c r="L307" s="42" t="str">
        <f>+IF(C307="Coerência", +IF(LEFT(G307,5)="FLOAT","SELECT '"&amp;UPPER(B307)&amp;"' AS TABELA, '"&amp;UPPER(C307)&amp;"' AS TIPOLOGIA_TESTE,'"&amp;D307&amp;"' AS TABELA_LT,'"&amp;E307&amp;"' AS TABELA_SIMUL,'"&amp;F307&amp;"' AS CAMPO, "&amp;"'${ref_date}' AS REF_DATE, COUNT(*) AS NUM_REG, SUM(IF((ABS(COALESCE(X."&amp;F307&amp;",0)-COALESCE(Y."&amp;F307&amp;"_SIMUL,0))&gt;0.0000000001) OR (X."&amp;F307&amp;" IS NULL AND Y."&amp;F307&amp;"_SIMUL IS NOT NULL ) OR (X."&amp;F307&amp;" IS NOT NULL AND Y."&amp;F307&amp;"_SIMUL IS NULL),1,0)) AS NUM_REG_DIF,'"&amp;MAX('ID1&amp;5'!K:K)+1&amp;"' AS ID_EXEC, CURRENT_TIMESTAMP() AS TIME_EXEC FROM "&amp;I307&amp;" INNER JOIN "&amp;J307&amp;" "&amp;K307,"SELECT '"&amp;UPPER(B307)&amp;"' AS TABELA, '"&amp;UPPER(C307)&amp;"' AS TIPOLOGIA_TESTE,'"&amp;D307&amp;"' AS TABELA_LT,'"&amp;E307&amp;"' AS TABELA_SIMUL,'"&amp;F307&amp;"' AS CAMPO, "&amp;"'${ref_date}' AS REF_DATE, COUNT(*) AS NUM_REG, SUM(IF(COALESCE(CAST(X."&amp;F307&amp;" AS STRING),'')&lt;&gt;COALESCE(CAST(Y."&amp;F307&amp;"_SIMUL AS STRING),''),1,0)) AS NUM_REG_DIF,'"&amp;MAX('ID1&amp;5'!L:L)+1&amp;"' AS ID_EXEC, CURRENT_TIMESTAMP() AS TIME_EXEC FROM "&amp;I307&amp;" INNER JOIN "&amp;J307&amp;" "&amp;K307),
IF(C307="Validade",+IF(G307="Code List","SELECT '"&amp;UPPER(B307)&amp;"' AS TABELA, '"&amp;UPPER(C307)&amp;"' AS TIPOLOGIA_TESTE,'"&amp;D307&amp;"' AS TABELA_LT,'N/A' AS TABELA_SIMUL,'"&amp;F307&amp;"' AS CAMPO, "&amp;"'${ref_date}' AS REF_DATE, COUNT(*) AS NUM_REG, SUM(IF(TRIM(CAST(X."&amp;F307&amp;" AS STRING))='' OR TRIM(CAST(X."&amp;F307&amp;" AS STRING)) IS NULL OR CAST(X."&amp;F307&amp;" AS STRING) NOT "&amp;H307&amp;",1,0)) AS NUM_REG_DIF,'"&amp;MAX('ID1&amp;5'!K:K)+1&amp;"' AS ID_EXEC, CURRENT_TIMESTAMP() AS TIME_EXEC FROM "&amp;I307,"SELECT '"&amp;UPPER(B307)&amp;"' AS TABELA, '"&amp;UPPER(C307)&amp;"' AS TIPOLOGIA_TESTE,'"&amp;D307&amp;"' AS TABELA_LT,'N/A' AS TABELA_SIMUL,'"&amp;F307&amp;"' AS CAMPO, "&amp;"'${ref_date}' AS REF_DATE, COUNT(*) AS NUM_REG, SUM(IF(TRIM(CAST(X."&amp;F307&amp;" AS STRING))='' OR TRIM(CAST(X."&amp;F307&amp;" AS STRING)) IS NULL,1,0)) AS NUM_REG_DIF,'"&amp;MAX('ID1&amp;5'!K:K)+1&amp;"' AS ID_EXEC, CURRENT_TIMESTAMP() AS TIME_EXEC FROM "&amp;I307),
IF(C307="Caracteres Especiais",+"SELECT '"&amp;UPPER(B307)&amp;"' AS TABELA, '"&amp;UPPER(C307)&amp;"' AS TIPOLOGIA_TESTE,'"&amp;D307&amp;"' AS TABELA_LT,'N/A' AS TABELA_SIMUL,'"&amp;F307&amp;"' AS CAMPO, "&amp;"'${ref_date}' AS REF_DATE, COUNT(*) AS NUM_REG, SUM(IF(INSTR(CAST(X."&amp;F307&amp;" AS STRING),'#')&gt;0 OR INSTR(CAST(X."&amp;F307&amp;" AS STRING),'*')&gt;0 OR INSTR(CAST(X."&amp;F307&amp;" AS STRING),'`')&gt;0 OR INSTR(CAST(X."&amp;F307&amp;" AS STRING),'´')&gt;0 OR INSTR(CAST(X."&amp;F307&amp;" AS STRING),'{')&gt;0 OR INSTR(CAST(X."&amp;F307&amp;" AS STRING),'}')&gt;0 OR INSTR(CAST(X."&amp;F307&amp;" AS STRING),'[')&gt;0 OR INSTR(CAST(X."&amp;F307&amp;" AS STRING),'')&gt;0 OR INSTR(CAST(X."&amp;F307&amp;" AS STRING),']')&gt;0 OR INSTR(CAST(X."&amp;F307&amp;" AS STRING),'?')&gt;0 OR INSTR(CAST(X."&amp;F307&amp;" AS STRING),'!')&gt;0 OR INSTR(CAST(X."&amp;F307&amp;" AS STRING),'$')&gt;0 OR INSTR(CAST(X."&amp;F307&amp;" AS STRING),'%')&gt;0 OR INSTR(CAST(X."&amp;F307&amp;" AS STRING),'&amp;')&gt;0 OR INSTR(CAST(X."&amp;F307&amp;" AS STRING),'+')&gt;0,1,0)) AS NUM_REG_DIF,'"&amp;MAX('ID1&amp;5'!K:K)+1&amp;"' AS ID_EXEC, CURRENT_TIMESTAMP() AS TIME_EXEC FROM "&amp;I307,
IF(C307="Missings",+"SELECT '"&amp;UPPER(B307)&amp;"' AS TABELA, '"&amp;UPPER(C307)&amp;"' AS TIPOLOGIA_TESTE,'"&amp;D307&amp;"' AS TABELA_LT,'N/A' AS TABELA_SIMUL,'"&amp;F307&amp;"' AS CAMPO, "&amp;"'${ref_date}' AS REF_DATE, COUNT(*) AS NUM_REG, SUM(IF(TRIM(CAST(X."&amp;F307&amp;" AS STRING)) IN ('0000-00-00','0001-01-01','9999-12-31','MISS','00000','99999999999','99999999999.00','99999999999.000000'),1,0)) AS NUM_REG_DIF,'"&amp;MAX('ID1&amp;5'!K:K)+1&amp;"' AS ID_EXEC, CURRENT_TIMESTAMP() AS TIME_EXEC FROM "&amp;I307,
IF(C307="Not applicable",+"SELECT '"&amp;UPPER(B307)&amp;"' AS TABELA, '"&amp;UPPER(C307)&amp;"' AS TIPOLOGIA_TESTE,'"&amp;D307&amp;"' AS TABELA_LT,'N/A' AS TABELA_SIMUL,'"&amp;F307&amp;"' AS CAMPO, "&amp;"'${ref_date}' AS REF_DATE, COUNT(*) AS NUM_REG, SUM(IF(TRIM(CAST(X."&amp;F307&amp;" AS STRING)) IN ('N/A','11111111111','11111111111.00','11111111111.000000','1111-11-11'),1,0)) AS NUM_REG_DIF,'"&amp;MAX('ID1&amp;5'!K:K)+1&amp;"' AS ID_EXEC, CURRENT_TIMESTAMP() AS TIME_EXEC FROM "&amp;I307,
IF(C307="Valores extremos",+"SELECT '"&amp;UPPER(B307)&amp;"' AS TABELA, '"&amp;UPPER(C307)&amp;"' AS TIPOLOGIA_TESTE,'"&amp;D307&amp;"' AS TABELA_LT,'N/A' AS TABELA_SIMUL,'"&amp;F307&amp;"' AS CAMPO, "&amp;"'${ref_date}' AS REF_DATE, CAST(MIN("&amp;F307&amp;") AS STRING) AS VALOR_MIN, CAST(MAX("&amp;F307&amp;") AS STRING) AS VALOR_MAX,'"&amp;MAX('ID1&amp;5'!K:K)+1&amp;"' AS ID_EXEC, CURRENT_TIMESTAMP() AS TIME_EXEC FROM "&amp;MID(I307,1,LEN(I307)-2)&amp;" AND CAST("&amp;F307&amp;"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TABELA_SIMUL,'TXNMY_ELGBL_CAPEX_CCM' AS CAMPO, '${ref_date}' AS REF_DATE, COUNT(*) AS NUM_REG, SUM(IF(TRIM(CAST(X.TXNMY_ELGBL_CAPEX_CCM AS STRING)) IN ('0000-00-00','0001-01-01','9999-12-31','MISS','00000','99999999999','99999999999.00','99999999999.000000'),1,0)) AS NUM_REG_DIF,'10' AS ID_EXEC, CURRENT_TIMESTAMP() AS TIME_EXEC FROM (SELECT entty_id, TXNMY_ELGBL_CAPEX_CCM FROM BU_LOANTAPE_WORK.LT003_ENTITY WHERE ref_date='${ref_date}' AND nome_perimetro='Individual Corporativo' AND segmento='ESTR' AND ambito='PILAR3')X</v>
      </c>
      <c r="M307" s="43" t="str">
        <f t="shared" si="5"/>
        <v>UNION ALL SELECT 'ENTITY' AS TABELA, 'MISSINGS' AS TIPOLOGIA_TESTE,'BU_LOANTAPE_WORK.LT003_ENTITY' AS TABELA_LT,'N/A' AS TABELA_SIMUL,'TXNMY_ELGBL_CAPEX_CCM' AS CAMPO, '${ref_date}' AS REF_DATE, COUNT(*) AS NUM_REG, SUM(IF(TRIM(CAST(X.TXNMY_ELGBL_CAPEX_CCM AS STRING)) IN ('0000-00-00','0001-01-01','9999-12-31','MISS','00000','99999999999','99999999999.00','99999999999.000000'),1,0)) AS NUM_REG_DIF,'10' AS ID_EXEC, CURRENT_TIMESTAMP() AS TIME_EXEC FROM (SELECT entty_id, TXNMY_ELGBL_CAPEX_CCM FROM BU_LOANTAPE_WORK.LT003_ENTITY WHERE ref_date='${ref_date}' AND nome_perimetro='Individual Corporativo' AND segmento='ESTR' AND ambito='PILAR3')X</v>
      </c>
      <c r="N307" s="45" t="s">
        <v>13</v>
      </c>
    </row>
    <row r="308" spans="2:14">
      <c r="B308" s="41" t="s">
        <v>23</v>
      </c>
      <c r="C308" s="41" t="s">
        <v>77</v>
      </c>
      <c r="D308" s="41" t="str">
        <f>+UPPER('0. Instruções'!$D$33&amp;"."&amp;VLOOKUP(B308,'0. Instruções'!$C$27:$D$31,2,FALSE))</f>
        <v>BU_LOANTAPE_WORK.LT003_ENTITY</v>
      </c>
      <c r="E308" s="41" t="str">
        <f>+UPPER('0. Instruções'!$D$34&amp;"."&amp;VLOOKUP(B308,'0. Instruções'!$C$27:$E$31,3,FALSE))</f>
        <v>BU_LOANTAPE_WORK.LT003_ENTTY_P3_NOV24</v>
      </c>
      <c r="F308" s="41" t="s">
        <v>101</v>
      </c>
      <c r="G308" s="41" t="s">
        <v>210</v>
      </c>
      <c r="H308" s="41"/>
      <c r="I308" s="41" t="str">
        <f>"(SELECT "&amp;VLOOKUP(B308,'0. Instruções'!$C$27:$G$31,4,FALSE)&amp;", "&amp;F308&amp;" FROM "&amp;D308&amp;" WHERE "&amp;'0. Instruções'!$D$40&amp;")X"</f>
        <v>(SELECT entty_id, TXNMY_ELGBL_TRNVR_CCM FROM BU_LOANTAPE_WORK.LT003_ENTITY WHERE ref_date='${ref_date}' AND nome_perimetro='Individual Corporativo' AND segmento='ESTR' AND ambito='PILAR3')X</v>
      </c>
      <c r="J308" s="41" t="str">
        <f>"(SELECT "&amp;VLOOKUP(B308,'0. Instruções'!$C$27:$G$31,4,FALSE)&amp;" AS "&amp;VLOOKUP(B308,'0. Instruções'!$C$27:$G$31,4,FALSE)&amp;"_SIMUL, "&amp;F308&amp;" AS "&amp;F308&amp;"_SIMUL FROM "&amp;E308&amp;")Y"</f>
        <v>(SELECT entty_id AS entty_id_SIMUL, TXNMY_ELGBL_TRNVR_CCM AS TXNMY_ELGBL_TRNVR_CCM_SIMUL FROM BU_LOANTAPE_WORK.LT003_ENTTY_P3_NOV24)Y</v>
      </c>
      <c r="K308" s="42" t="str">
        <f>+UPPER("ON X."&amp;VLOOKUP(B308,'0. Instruções'!$C$27:$G$31,4,FALSE)&amp;"=Y."&amp;VLOOKUP(B308,'0. Instruções'!$C$27:$G$31,4,FALSE)&amp;"_SIMUL")</f>
        <v>ON X.ENTTY_ID=Y.ENTTY_ID_SIMUL</v>
      </c>
      <c r="L308" s="42" t="str">
        <f>+IF(C308="Coerência", +IF(LEFT(G308,5)="FLOAT","SELECT '"&amp;UPPER(B308)&amp;"' AS TABELA, '"&amp;UPPER(C308)&amp;"' AS TIPOLOGIA_TESTE,'"&amp;D308&amp;"' AS TABELA_LT,'"&amp;E308&amp;"' AS TABELA_SIMUL,'"&amp;F308&amp;"' AS CAMPO, "&amp;"'${ref_date}' AS REF_DATE, COUNT(*) AS NUM_REG, SUM(IF((ABS(COALESCE(X."&amp;F308&amp;",0)-COALESCE(Y."&amp;F308&amp;"_SIMUL,0))&gt;0.0000000001) OR (X."&amp;F308&amp;" IS NULL AND Y."&amp;F308&amp;"_SIMUL IS NOT NULL ) OR (X."&amp;F308&amp;" IS NOT NULL AND Y."&amp;F308&amp;"_SIMUL IS NULL),1,0)) AS NUM_REG_DIF,'"&amp;MAX('ID1&amp;5'!K:K)+1&amp;"' AS ID_EXEC, CURRENT_TIMESTAMP() AS TIME_EXEC FROM "&amp;I308&amp;" INNER JOIN "&amp;J308&amp;" "&amp;K308,"SELECT '"&amp;UPPER(B308)&amp;"' AS TABELA, '"&amp;UPPER(C308)&amp;"' AS TIPOLOGIA_TESTE,'"&amp;D308&amp;"' AS TABELA_LT,'"&amp;E308&amp;"' AS TABELA_SIMUL,'"&amp;F308&amp;"' AS CAMPO, "&amp;"'${ref_date}' AS REF_DATE, COUNT(*) AS NUM_REG, SUM(IF(COALESCE(CAST(X."&amp;F308&amp;" AS STRING),'')&lt;&gt;COALESCE(CAST(Y."&amp;F308&amp;"_SIMUL AS STRING),''),1,0)) AS NUM_REG_DIF,'"&amp;MAX('ID1&amp;5'!L:L)+1&amp;"' AS ID_EXEC, CURRENT_TIMESTAMP() AS TIME_EXEC FROM "&amp;I308&amp;" INNER JOIN "&amp;J308&amp;" "&amp;K308),
IF(C308="Validade",+IF(G308="Code List","SELECT '"&amp;UPPER(B308)&amp;"' AS TABELA, '"&amp;UPPER(C308)&amp;"' AS TIPOLOGIA_TESTE,'"&amp;D308&amp;"' AS TABELA_LT,'N/A' AS TABELA_SIMUL,'"&amp;F308&amp;"' AS CAMPO, "&amp;"'${ref_date}' AS REF_DATE, COUNT(*) AS NUM_REG, SUM(IF(TRIM(CAST(X."&amp;F308&amp;" AS STRING))='' OR TRIM(CAST(X."&amp;F308&amp;" AS STRING)) IS NULL OR CAST(X."&amp;F308&amp;" AS STRING) NOT "&amp;H308&amp;",1,0)) AS NUM_REG_DIF,'"&amp;MAX('ID1&amp;5'!K:K)+1&amp;"' AS ID_EXEC, CURRENT_TIMESTAMP() AS TIME_EXEC FROM "&amp;I308,"SELECT '"&amp;UPPER(B308)&amp;"' AS TABELA, '"&amp;UPPER(C308)&amp;"' AS TIPOLOGIA_TESTE,'"&amp;D308&amp;"' AS TABELA_LT,'N/A' AS TABELA_SIMUL,'"&amp;F308&amp;"' AS CAMPO, "&amp;"'${ref_date}' AS REF_DATE, COUNT(*) AS NUM_REG, SUM(IF(TRIM(CAST(X."&amp;F308&amp;" AS STRING))='' OR TRIM(CAST(X."&amp;F308&amp;" AS STRING)) IS NULL,1,0)) AS NUM_REG_DIF,'"&amp;MAX('ID1&amp;5'!K:K)+1&amp;"' AS ID_EXEC, CURRENT_TIMESTAMP() AS TIME_EXEC FROM "&amp;I308),
IF(C308="Caracteres Especiais",+"SELECT '"&amp;UPPER(B308)&amp;"' AS TABELA, '"&amp;UPPER(C308)&amp;"' AS TIPOLOGIA_TESTE,'"&amp;D308&amp;"' AS TABELA_LT,'N/A' AS TABELA_SIMUL,'"&amp;F308&amp;"' AS CAMPO, "&amp;"'${ref_date}' AS REF_DATE, COUNT(*) AS NUM_REG, SUM(IF(INSTR(CAST(X."&amp;F308&amp;" AS STRING),'#')&gt;0 OR INSTR(CAST(X."&amp;F308&amp;" AS STRING),'*')&gt;0 OR INSTR(CAST(X."&amp;F308&amp;" AS STRING),'`')&gt;0 OR INSTR(CAST(X."&amp;F308&amp;" AS STRING),'´')&gt;0 OR INSTR(CAST(X."&amp;F308&amp;" AS STRING),'{')&gt;0 OR INSTR(CAST(X."&amp;F308&amp;" AS STRING),'}')&gt;0 OR INSTR(CAST(X."&amp;F308&amp;" AS STRING),'[')&gt;0 OR INSTR(CAST(X."&amp;F308&amp;" AS STRING),'')&gt;0 OR INSTR(CAST(X."&amp;F308&amp;" AS STRING),']')&gt;0 OR INSTR(CAST(X."&amp;F308&amp;" AS STRING),'?')&gt;0 OR INSTR(CAST(X."&amp;F308&amp;" AS STRING),'!')&gt;0 OR INSTR(CAST(X."&amp;F308&amp;" AS STRING),'$')&gt;0 OR INSTR(CAST(X."&amp;F308&amp;" AS STRING),'%')&gt;0 OR INSTR(CAST(X."&amp;F308&amp;" AS STRING),'&amp;')&gt;0 OR INSTR(CAST(X."&amp;F308&amp;" AS STRING),'+')&gt;0,1,0)) AS NUM_REG_DIF,'"&amp;MAX('ID1&amp;5'!K:K)+1&amp;"' AS ID_EXEC, CURRENT_TIMESTAMP() AS TIME_EXEC FROM "&amp;I308,
IF(C308="Missings",+"SELECT '"&amp;UPPER(B308)&amp;"' AS TABELA, '"&amp;UPPER(C308)&amp;"' AS TIPOLOGIA_TESTE,'"&amp;D308&amp;"' AS TABELA_LT,'N/A' AS TABELA_SIMUL,'"&amp;F308&amp;"' AS CAMPO, "&amp;"'${ref_date}' AS REF_DATE, COUNT(*) AS NUM_REG, SUM(IF(TRIM(CAST(X."&amp;F308&amp;" AS STRING)) IN ('0000-00-00','0001-01-01','9999-12-31','MISS','00000','99999999999','99999999999.00','99999999999.000000'),1,0)) AS NUM_REG_DIF,'"&amp;MAX('ID1&amp;5'!K:K)+1&amp;"' AS ID_EXEC, CURRENT_TIMESTAMP() AS TIME_EXEC FROM "&amp;I308,
IF(C308="Not applicable",+"SELECT '"&amp;UPPER(B308)&amp;"' AS TABELA, '"&amp;UPPER(C308)&amp;"' AS TIPOLOGIA_TESTE,'"&amp;D308&amp;"' AS TABELA_LT,'N/A' AS TABELA_SIMUL,'"&amp;F308&amp;"' AS CAMPO, "&amp;"'${ref_date}' AS REF_DATE, COUNT(*) AS NUM_REG, SUM(IF(TRIM(CAST(X."&amp;F308&amp;" AS STRING)) IN ('N/A','11111111111','11111111111.00','11111111111.000000','1111-11-11'),1,0)) AS NUM_REG_DIF,'"&amp;MAX('ID1&amp;5'!K:K)+1&amp;"' AS ID_EXEC, CURRENT_TIMESTAMP() AS TIME_EXEC FROM "&amp;I308,
IF(C308="Valores extremos",+"SELECT '"&amp;UPPER(B308)&amp;"' AS TABELA, '"&amp;UPPER(C308)&amp;"' AS TIPOLOGIA_TESTE,'"&amp;D308&amp;"' AS TABELA_LT,'N/A' AS TABELA_SIMUL,'"&amp;F308&amp;"' AS CAMPO, "&amp;"'${ref_date}' AS REF_DATE, CAST(MIN("&amp;F308&amp;") AS STRING) AS VALOR_MIN, CAST(MAX("&amp;F308&amp;") AS STRING) AS VALOR_MAX,'"&amp;MAX('ID1&amp;5'!K:K)+1&amp;"' AS ID_EXEC, CURRENT_TIMESTAMP() AS TIME_EXEC FROM "&amp;MID(I308,1,LEN(I308)-2)&amp;" AND CAST("&amp;F308&amp;"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TABELA_SIMUL,'TXNMY_ELGBL_TRNVR_CCM' AS CAMPO, '${ref_date}' AS REF_DATE, COUNT(*) AS NUM_REG, SUM(IF(TRIM(CAST(X.TXNMY_ELGBL_TRNVR_CCM AS STRING)) IN ('0000-00-00','0001-01-01','9999-12-31','MISS','00000','99999999999','99999999999.00','99999999999.000000'),1,0)) AS NUM_REG_DIF,'10' AS ID_EXEC, CURRENT_TIMESTAMP() AS TIME_EXEC FROM (SELECT entty_id, TXNMY_ELGBL_TRNVR_CCM FROM BU_LOANTAPE_WORK.LT003_ENTITY WHERE ref_date='${ref_date}' AND nome_perimetro='Individual Corporativo' AND segmento='ESTR' AND ambito='PILAR3')X</v>
      </c>
      <c r="M308" s="43" t="str">
        <f t="shared" si="5"/>
        <v>UNION ALL SELECT 'ENTITY' AS TABELA, 'MISSINGS' AS TIPOLOGIA_TESTE,'BU_LOANTAPE_WORK.LT003_ENTITY' AS TABELA_LT,'N/A' AS TABELA_SIMUL,'TXNMY_ELGBL_TRNVR_CCM' AS CAMPO, '${ref_date}' AS REF_DATE, COUNT(*) AS NUM_REG, SUM(IF(TRIM(CAST(X.TXNMY_ELGBL_TRNVR_CCM AS STRING)) IN ('0000-00-00','0001-01-01','9999-12-31','MISS','00000','99999999999','99999999999.00','99999999999.000000'),1,0)) AS NUM_REG_DIF,'10' AS ID_EXEC, CURRENT_TIMESTAMP() AS TIME_EXEC FROM (SELECT entty_id, TXNMY_ELGBL_TRNVR_CCM FROM BU_LOANTAPE_WORK.LT003_ENTITY WHERE ref_date='${ref_date}' AND nome_perimetro='Individual Corporativo' AND segmento='ESTR' AND ambito='PILAR3')X</v>
      </c>
      <c r="N308" s="45" t="s">
        <v>13</v>
      </c>
    </row>
    <row r="309" spans="2:14">
      <c r="B309" s="41" t="s">
        <v>23</v>
      </c>
      <c r="C309" s="41" t="s">
        <v>77</v>
      </c>
      <c r="D309" s="41" t="str">
        <f>+UPPER('0. Instruções'!$D$33&amp;"."&amp;VLOOKUP(B309,'0. Instruções'!$C$27:$D$31,2,FALSE))</f>
        <v>BU_LOANTAPE_WORK.LT003_ENTITY</v>
      </c>
      <c r="E309" s="41" t="str">
        <f>+UPPER('0. Instruções'!$D$34&amp;"."&amp;VLOOKUP(B309,'0. Instruções'!$C$27:$E$31,3,FALSE))</f>
        <v>BU_LOANTAPE_WORK.LT003_ENTTY_P3_NOV24</v>
      </c>
      <c r="F309" s="41" t="s">
        <v>104</v>
      </c>
      <c r="G309" s="41" t="s">
        <v>210</v>
      </c>
      <c r="H309" s="41"/>
      <c r="I309" s="41" t="str">
        <f>"(SELECT "&amp;VLOOKUP(B309,'0. Instruções'!$C$27:$G$31,4,FALSE)&amp;", "&amp;F309&amp;" FROM "&amp;D309&amp;" WHERE "&amp;'0. Instruções'!$D$40&amp;")X"</f>
        <v>(SELECT entty_id, TXNMY_ELGBL_CAPEX_CCA FROM BU_LOANTAPE_WORK.LT003_ENTITY WHERE ref_date='${ref_date}' AND nome_perimetro='Individual Corporativo' AND segmento='ESTR' AND ambito='PILAR3')X</v>
      </c>
      <c r="J309" s="41" t="str">
        <f>"(SELECT "&amp;VLOOKUP(B309,'0. Instruções'!$C$27:$G$31,4,FALSE)&amp;" AS "&amp;VLOOKUP(B309,'0. Instruções'!$C$27:$G$31,4,FALSE)&amp;"_SIMUL, "&amp;F309&amp;" AS "&amp;F309&amp;"_SIMUL FROM "&amp;E309&amp;")Y"</f>
        <v>(SELECT entty_id AS entty_id_SIMUL, TXNMY_ELGBL_CAPEX_CCA AS TXNMY_ELGBL_CAPEX_CCA_SIMUL FROM BU_LOANTAPE_WORK.LT003_ENTTY_P3_NOV24)Y</v>
      </c>
      <c r="K309" s="42" t="str">
        <f>+UPPER("ON X."&amp;VLOOKUP(B309,'0. Instruções'!$C$27:$G$31,4,FALSE)&amp;"=Y."&amp;VLOOKUP(B309,'0. Instruções'!$C$27:$G$31,4,FALSE)&amp;"_SIMUL")</f>
        <v>ON X.ENTTY_ID=Y.ENTTY_ID_SIMUL</v>
      </c>
      <c r="L309" s="42" t="str">
        <f>+IF(C309="Coerência", +IF(LEFT(G309,5)="FLOAT","SELECT '"&amp;UPPER(B309)&amp;"' AS TABELA, '"&amp;UPPER(C309)&amp;"' AS TIPOLOGIA_TESTE,'"&amp;D309&amp;"' AS TABELA_LT,'"&amp;E309&amp;"' AS TABELA_SIMUL,'"&amp;F309&amp;"' AS CAMPO, "&amp;"'${ref_date}' AS REF_DATE, COUNT(*) AS NUM_REG, SUM(IF((ABS(COALESCE(X."&amp;F309&amp;",0)-COALESCE(Y."&amp;F309&amp;"_SIMUL,0))&gt;0.0000000001) OR (X."&amp;F309&amp;" IS NULL AND Y."&amp;F309&amp;"_SIMUL IS NOT NULL ) OR (X."&amp;F309&amp;" IS NOT NULL AND Y."&amp;F309&amp;"_SIMUL IS NULL),1,0)) AS NUM_REG_DIF,'"&amp;MAX('ID1&amp;5'!K:K)+1&amp;"' AS ID_EXEC, CURRENT_TIMESTAMP() AS TIME_EXEC FROM "&amp;I309&amp;" INNER JOIN "&amp;J309&amp;" "&amp;K309,"SELECT '"&amp;UPPER(B309)&amp;"' AS TABELA, '"&amp;UPPER(C309)&amp;"' AS TIPOLOGIA_TESTE,'"&amp;D309&amp;"' AS TABELA_LT,'"&amp;E309&amp;"' AS TABELA_SIMUL,'"&amp;F309&amp;"' AS CAMPO, "&amp;"'${ref_date}' AS REF_DATE, COUNT(*) AS NUM_REG, SUM(IF(COALESCE(CAST(X."&amp;F309&amp;" AS STRING),'')&lt;&gt;COALESCE(CAST(Y."&amp;F309&amp;"_SIMUL AS STRING),''),1,0)) AS NUM_REG_DIF,'"&amp;MAX('ID1&amp;5'!L:L)+1&amp;"' AS ID_EXEC, CURRENT_TIMESTAMP() AS TIME_EXEC FROM "&amp;I309&amp;" INNER JOIN "&amp;J309&amp;" "&amp;K309),
IF(C309="Validade",+IF(G309="Code List","SELECT '"&amp;UPPER(B309)&amp;"' AS TABELA, '"&amp;UPPER(C309)&amp;"' AS TIPOLOGIA_TESTE,'"&amp;D309&amp;"' AS TABELA_LT,'N/A' AS TABELA_SIMUL,'"&amp;F309&amp;"' AS CAMPO, "&amp;"'${ref_date}' AS REF_DATE, COUNT(*) AS NUM_REG, SUM(IF(TRIM(CAST(X."&amp;F309&amp;" AS STRING))='' OR TRIM(CAST(X."&amp;F309&amp;" AS STRING)) IS NULL OR CAST(X."&amp;F309&amp;" AS STRING) NOT "&amp;H309&amp;",1,0)) AS NUM_REG_DIF,'"&amp;MAX('ID1&amp;5'!K:K)+1&amp;"' AS ID_EXEC, CURRENT_TIMESTAMP() AS TIME_EXEC FROM "&amp;I309,"SELECT '"&amp;UPPER(B309)&amp;"' AS TABELA, '"&amp;UPPER(C309)&amp;"' AS TIPOLOGIA_TESTE,'"&amp;D309&amp;"' AS TABELA_LT,'N/A' AS TABELA_SIMUL,'"&amp;F309&amp;"' AS CAMPO, "&amp;"'${ref_date}' AS REF_DATE, COUNT(*) AS NUM_REG, SUM(IF(TRIM(CAST(X."&amp;F309&amp;" AS STRING))='' OR TRIM(CAST(X."&amp;F309&amp;" AS STRING)) IS NULL,1,0)) AS NUM_REG_DIF,'"&amp;MAX('ID1&amp;5'!K:K)+1&amp;"' AS ID_EXEC, CURRENT_TIMESTAMP() AS TIME_EXEC FROM "&amp;I309),
IF(C309="Caracteres Especiais",+"SELECT '"&amp;UPPER(B309)&amp;"' AS TABELA, '"&amp;UPPER(C309)&amp;"' AS TIPOLOGIA_TESTE,'"&amp;D309&amp;"' AS TABELA_LT,'N/A' AS TABELA_SIMUL,'"&amp;F309&amp;"' AS CAMPO, "&amp;"'${ref_date}' AS REF_DATE, COUNT(*) AS NUM_REG, SUM(IF(INSTR(CAST(X."&amp;F309&amp;" AS STRING),'#')&gt;0 OR INSTR(CAST(X."&amp;F309&amp;" AS STRING),'*')&gt;0 OR INSTR(CAST(X."&amp;F309&amp;" AS STRING),'`')&gt;0 OR INSTR(CAST(X."&amp;F309&amp;" AS STRING),'´')&gt;0 OR INSTR(CAST(X."&amp;F309&amp;" AS STRING),'{')&gt;0 OR INSTR(CAST(X."&amp;F309&amp;" AS STRING),'}')&gt;0 OR INSTR(CAST(X."&amp;F309&amp;" AS STRING),'[')&gt;0 OR INSTR(CAST(X."&amp;F309&amp;" AS STRING),'')&gt;0 OR INSTR(CAST(X."&amp;F309&amp;" AS STRING),']')&gt;0 OR INSTR(CAST(X."&amp;F309&amp;" AS STRING),'?')&gt;0 OR INSTR(CAST(X."&amp;F309&amp;" AS STRING),'!')&gt;0 OR INSTR(CAST(X."&amp;F309&amp;" AS STRING),'$')&gt;0 OR INSTR(CAST(X."&amp;F309&amp;" AS STRING),'%')&gt;0 OR INSTR(CAST(X."&amp;F309&amp;" AS STRING),'&amp;')&gt;0 OR INSTR(CAST(X."&amp;F309&amp;" AS STRING),'+')&gt;0,1,0)) AS NUM_REG_DIF,'"&amp;MAX('ID1&amp;5'!K:K)+1&amp;"' AS ID_EXEC, CURRENT_TIMESTAMP() AS TIME_EXEC FROM "&amp;I309,
IF(C309="Missings",+"SELECT '"&amp;UPPER(B309)&amp;"' AS TABELA, '"&amp;UPPER(C309)&amp;"' AS TIPOLOGIA_TESTE,'"&amp;D309&amp;"' AS TABELA_LT,'N/A' AS TABELA_SIMUL,'"&amp;F309&amp;"' AS CAMPO, "&amp;"'${ref_date}' AS REF_DATE, COUNT(*) AS NUM_REG, SUM(IF(TRIM(CAST(X."&amp;F309&amp;" AS STRING)) IN ('0000-00-00','0001-01-01','9999-12-31','MISS','00000','99999999999','99999999999.00','99999999999.000000'),1,0)) AS NUM_REG_DIF,'"&amp;MAX('ID1&amp;5'!K:K)+1&amp;"' AS ID_EXEC, CURRENT_TIMESTAMP() AS TIME_EXEC FROM "&amp;I309,
IF(C309="Not applicable",+"SELECT '"&amp;UPPER(B309)&amp;"' AS TABELA, '"&amp;UPPER(C309)&amp;"' AS TIPOLOGIA_TESTE,'"&amp;D309&amp;"' AS TABELA_LT,'N/A' AS TABELA_SIMUL,'"&amp;F309&amp;"' AS CAMPO, "&amp;"'${ref_date}' AS REF_DATE, COUNT(*) AS NUM_REG, SUM(IF(TRIM(CAST(X."&amp;F309&amp;" AS STRING)) IN ('N/A','11111111111','11111111111.00','11111111111.000000','1111-11-11'),1,0)) AS NUM_REG_DIF,'"&amp;MAX('ID1&amp;5'!K:K)+1&amp;"' AS ID_EXEC, CURRENT_TIMESTAMP() AS TIME_EXEC FROM "&amp;I309,
IF(C309="Valores extremos",+"SELECT '"&amp;UPPER(B309)&amp;"' AS TABELA, '"&amp;UPPER(C309)&amp;"' AS TIPOLOGIA_TESTE,'"&amp;D309&amp;"' AS TABELA_LT,'N/A' AS TABELA_SIMUL,'"&amp;F309&amp;"' AS CAMPO, "&amp;"'${ref_date}' AS REF_DATE, CAST(MIN("&amp;F309&amp;") AS STRING) AS VALOR_MIN, CAST(MAX("&amp;F309&amp;") AS STRING) AS VALOR_MAX,'"&amp;MAX('ID1&amp;5'!K:K)+1&amp;"' AS ID_EXEC, CURRENT_TIMESTAMP() AS TIME_EXEC FROM "&amp;MID(I309,1,LEN(I309)-2)&amp;" AND CAST("&amp;F309&amp;"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TABELA_SIMUL,'TXNMY_ELGBL_CAPEX_CCA' AS CAMPO, '${ref_date}' AS REF_DATE, COUNT(*) AS NUM_REG, SUM(IF(TRIM(CAST(X.TXNMY_ELGBL_CAPEX_CCA AS STRING)) IN ('0000-00-00','0001-01-01','9999-12-31','MISS','00000','99999999999','99999999999.00','99999999999.000000'),1,0)) AS NUM_REG_DIF,'10' AS ID_EXEC, CURRENT_TIMESTAMP() AS TIME_EXEC FROM (SELECT entty_id, TXNMY_ELGBL_CAPEX_CCA FROM BU_LOANTAPE_WORK.LT003_ENTITY WHERE ref_date='${ref_date}' AND nome_perimetro='Individual Corporativo' AND segmento='ESTR' AND ambito='PILAR3')X</v>
      </c>
      <c r="M309" s="43" t="str">
        <f t="shared" si="5"/>
        <v>UNION ALL SELECT 'ENTITY' AS TABELA, 'MISSINGS' AS TIPOLOGIA_TESTE,'BU_LOANTAPE_WORK.LT003_ENTITY' AS TABELA_LT,'N/A' AS TABELA_SIMUL,'TXNMY_ELGBL_CAPEX_CCA' AS CAMPO, '${ref_date}' AS REF_DATE, COUNT(*) AS NUM_REG, SUM(IF(TRIM(CAST(X.TXNMY_ELGBL_CAPEX_CCA AS STRING)) IN ('0000-00-00','0001-01-01','9999-12-31','MISS','00000','99999999999','99999999999.00','99999999999.000000'),1,0)) AS NUM_REG_DIF,'10' AS ID_EXEC, CURRENT_TIMESTAMP() AS TIME_EXEC FROM (SELECT entty_id, TXNMY_ELGBL_CAPEX_CCA FROM BU_LOANTAPE_WORK.LT003_ENTITY WHERE ref_date='${ref_date}' AND nome_perimetro='Individual Corporativo' AND segmento='ESTR' AND ambito='PILAR3')X</v>
      </c>
      <c r="N309" s="45" t="s">
        <v>13</v>
      </c>
    </row>
    <row r="310" spans="2:14">
      <c r="B310" s="41" t="s">
        <v>23</v>
      </c>
      <c r="C310" s="41" t="s">
        <v>77</v>
      </c>
      <c r="D310" s="41" t="str">
        <f>+UPPER('0. Instruções'!$D$33&amp;"."&amp;VLOOKUP(B310,'0. Instruções'!$C$27:$D$31,2,FALSE))</f>
        <v>BU_LOANTAPE_WORK.LT003_ENTITY</v>
      </c>
      <c r="E310" s="41" t="str">
        <f>+UPPER('0. Instruções'!$D$34&amp;"."&amp;VLOOKUP(B310,'0. Instruções'!$C$27:$E$31,3,FALSE))</f>
        <v>BU_LOANTAPE_WORK.LT003_ENTTY_P3_NOV24</v>
      </c>
      <c r="F310" s="41" t="s">
        <v>105</v>
      </c>
      <c r="G310" s="41" t="s">
        <v>210</v>
      </c>
      <c r="H310" s="41"/>
      <c r="I310" s="41" t="str">
        <f>"(SELECT "&amp;VLOOKUP(B310,'0. Instruções'!$C$27:$G$31,4,FALSE)&amp;", "&amp;F310&amp;" FROM "&amp;D310&amp;" WHERE "&amp;'0. Instruções'!$D$40&amp;")X"</f>
        <v>(SELECT entty_id, TXNMY_ELGBL_TRNVR_CCA FROM BU_LOANTAPE_WORK.LT003_ENTITY WHERE ref_date='${ref_date}' AND nome_perimetro='Individual Corporativo' AND segmento='ESTR' AND ambito='PILAR3')X</v>
      </c>
      <c r="J310" s="41" t="str">
        <f>"(SELECT "&amp;VLOOKUP(B310,'0. Instruções'!$C$27:$G$31,4,FALSE)&amp;" AS "&amp;VLOOKUP(B310,'0. Instruções'!$C$27:$G$31,4,FALSE)&amp;"_SIMUL, "&amp;F310&amp;" AS "&amp;F310&amp;"_SIMUL FROM "&amp;E310&amp;")Y"</f>
        <v>(SELECT entty_id AS entty_id_SIMUL, TXNMY_ELGBL_TRNVR_CCA AS TXNMY_ELGBL_TRNVR_CCA_SIMUL FROM BU_LOANTAPE_WORK.LT003_ENTTY_P3_NOV24)Y</v>
      </c>
      <c r="K310" s="42" t="str">
        <f>+UPPER("ON X."&amp;VLOOKUP(B310,'0. Instruções'!$C$27:$G$31,4,FALSE)&amp;"=Y."&amp;VLOOKUP(B310,'0. Instruções'!$C$27:$G$31,4,FALSE)&amp;"_SIMUL")</f>
        <v>ON X.ENTTY_ID=Y.ENTTY_ID_SIMUL</v>
      </c>
      <c r="L310" s="42" t="str">
        <f>+IF(C310="Coerência", +IF(LEFT(G310,5)="FLOAT","SELECT '"&amp;UPPER(B310)&amp;"' AS TABELA, '"&amp;UPPER(C310)&amp;"' AS TIPOLOGIA_TESTE,'"&amp;D310&amp;"' AS TABELA_LT,'"&amp;E310&amp;"' AS TABELA_SIMUL,'"&amp;F310&amp;"' AS CAMPO, "&amp;"'${ref_date}' AS REF_DATE, COUNT(*) AS NUM_REG, SUM(IF((ABS(COALESCE(X."&amp;F310&amp;",0)-COALESCE(Y."&amp;F310&amp;"_SIMUL,0))&gt;0.0000000001) OR (X."&amp;F310&amp;" IS NULL AND Y."&amp;F310&amp;"_SIMUL IS NOT NULL ) OR (X."&amp;F310&amp;" IS NOT NULL AND Y."&amp;F310&amp;"_SIMUL IS NULL),1,0)) AS NUM_REG_DIF,'"&amp;MAX('ID1&amp;5'!K:K)+1&amp;"' AS ID_EXEC, CURRENT_TIMESTAMP() AS TIME_EXEC FROM "&amp;I310&amp;" INNER JOIN "&amp;J310&amp;" "&amp;K310,"SELECT '"&amp;UPPER(B310)&amp;"' AS TABELA, '"&amp;UPPER(C310)&amp;"' AS TIPOLOGIA_TESTE,'"&amp;D310&amp;"' AS TABELA_LT,'"&amp;E310&amp;"' AS TABELA_SIMUL,'"&amp;F310&amp;"' AS CAMPO, "&amp;"'${ref_date}' AS REF_DATE, COUNT(*) AS NUM_REG, SUM(IF(COALESCE(CAST(X."&amp;F310&amp;" AS STRING),'')&lt;&gt;COALESCE(CAST(Y."&amp;F310&amp;"_SIMUL AS STRING),''),1,0)) AS NUM_REG_DIF,'"&amp;MAX('ID1&amp;5'!L:L)+1&amp;"' AS ID_EXEC, CURRENT_TIMESTAMP() AS TIME_EXEC FROM "&amp;I310&amp;" INNER JOIN "&amp;J310&amp;" "&amp;K310),
IF(C310="Validade",+IF(G310="Code List","SELECT '"&amp;UPPER(B310)&amp;"' AS TABELA, '"&amp;UPPER(C310)&amp;"' AS TIPOLOGIA_TESTE,'"&amp;D310&amp;"' AS TABELA_LT,'N/A' AS TABELA_SIMUL,'"&amp;F310&amp;"' AS CAMPO, "&amp;"'${ref_date}' AS REF_DATE, COUNT(*) AS NUM_REG, SUM(IF(TRIM(CAST(X."&amp;F310&amp;" AS STRING))='' OR TRIM(CAST(X."&amp;F310&amp;" AS STRING)) IS NULL OR CAST(X."&amp;F310&amp;" AS STRING) NOT "&amp;H310&amp;",1,0)) AS NUM_REG_DIF,'"&amp;MAX('ID1&amp;5'!K:K)+1&amp;"' AS ID_EXEC, CURRENT_TIMESTAMP() AS TIME_EXEC FROM "&amp;I310,"SELECT '"&amp;UPPER(B310)&amp;"' AS TABELA, '"&amp;UPPER(C310)&amp;"' AS TIPOLOGIA_TESTE,'"&amp;D310&amp;"' AS TABELA_LT,'N/A' AS TABELA_SIMUL,'"&amp;F310&amp;"' AS CAMPO, "&amp;"'${ref_date}' AS REF_DATE, COUNT(*) AS NUM_REG, SUM(IF(TRIM(CAST(X."&amp;F310&amp;" AS STRING))='' OR TRIM(CAST(X."&amp;F310&amp;" AS STRING)) IS NULL,1,0)) AS NUM_REG_DIF,'"&amp;MAX('ID1&amp;5'!K:K)+1&amp;"' AS ID_EXEC, CURRENT_TIMESTAMP() AS TIME_EXEC FROM "&amp;I310),
IF(C310="Caracteres Especiais",+"SELECT '"&amp;UPPER(B310)&amp;"' AS TABELA, '"&amp;UPPER(C310)&amp;"' AS TIPOLOGIA_TESTE,'"&amp;D310&amp;"' AS TABELA_LT,'N/A' AS TABELA_SIMUL,'"&amp;F310&amp;"' AS CAMPO, "&amp;"'${ref_date}' AS REF_DATE, COUNT(*) AS NUM_REG, SUM(IF(INSTR(CAST(X."&amp;F310&amp;" AS STRING),'#')&gt;0 OR INSTR(CAST(X."&amp;F310&amp;" AS STRING),'*')&gt;0 OR INSTR(CAST(X."&amp;F310&amp;" AS STRING),'`')&gt;0 OR INSTR(CAST(X."&amp;F310&amp;" AS STRING),'´')&gt;0 OR INSTR(CAST(X."&amp;F310&amp;" AS STRING),'{')&gt;0 OR INSTR(CAST(X."&amp;F310&amp;" AS STRING),'}')&gt;0 OR INSTR(CAST(X."&amp;F310&amp;" AS STRING),'[')&gt;0 OR INSTR(CAST(X."&amp;F310&amp;" AS STRING),'')&gt;0 OR INSTR(CAST(X."&amp;F310&amp;" AS STRING),']')&gt;0 OR INSTR(CAST(X."&amp;F310&amp;" AS STRING),'?')&gt;0 OR INSTR(CAST(X."&amp;F310&amp;" AS STRING),'!')&gt;0 OR INSTR(CAST(X."&amp;F310&amp;" AS STRING),'$')&gt;0 OR INSTR(CAST(X."&amp;F310&amp;" AS STRING),'%')&gt;0 OR INSTR(CAST(X."&amp;F310&amp;" AS STRING),'&amp;')&gt;0 OR INSTR(CAST(X."&amp;F310&amp;" AS STRING),'+')&gt;0,1,0)) AS NUM_REG_DIF,'"&amp;MAX('ID1&amp;5'!K:K)+1&amp;"' AS ID_EXEC, CURRENT_TIMESTAMP() AS TIME_EXEC FROM "&amp;I310,
IF(C310="Missings",+"SELECT '"&amp;UPPER(B310)&amp;"' AS TABELA, '"&amp;UPPER(C310)&amp;"' AS TIPOLOGIA_TESTE,'"&amp;D310&amp;"' AS TABELA_LT,'N/A' AS TABELA_SIMUL,'"&amp;F310&amp;"' AS CAMPO, "&amp;"'${ref_date}' AS REF_DATE, COUNT(*) AS NUM_REG, SUM(IF(TRIM(CAST(X."&amp;F310&amp;" AS STRING)) IN ('0000-00-00','0001-01-01','9999-12-31','MISS','00000','99999999999','99999999999.00','99999999999.000000'),1,0)) AS NUM_REG_DIF,'"&amp;MAX('ID1&amp;5'!K:K)+1&amp;"' AS ID_EXEC, CURRENT_TIMESTAMP() AS TIME_EXEC FROM "&amp;I310,
IF(C310="Not applicable",+"SELECT '"&amp;UPPER(B310)&amp;"' AS TABELA, '"&amp;UPPER(C310)&amp;"' AS TIPOLOGIA_TESTE,'"&amp;D310&amp;"' AS TABELA_LT,'N/A' AS TABELA_SIMUL,'"&amp;F310&amp;"' AS CAMPO, "&amp;"'${ref_date}' AS REF_DATE, COUNT(*) AS NUM_REG, SUM(IF(TRIM(CAST(X."&amp;F310&amp;" AS STRING)) IN ('N/A','11111111111','11111111111.00','11111111111.000000','1111-11-11'),1,0)) AS NUM_REG_DIF,'"&amp;MAX('ID1&amp;5'!K:K)+1&amp;"' AS ID_EXEC, CURRENT_TIMESTAMP() AS TIME_EXEC FROM "&amp;I310,
IF(C310="Valores extremos",+"SELECT '"&amp;UPPER(B310)&amp;"' AS TABELA, '"&amp;UPPER(C310)&amp;"' AS TIPOLOGIA_TESTE,'"&amp;D310&amp;"' AS TABELA_LT,'N/A' AS TABELA_SIMUL,'"&amp;F310&amp;"' AS CAMPO, "&amp;"'${ref_date}' AS REF_DATE, CAST(MIN("&amp;F310&amp;") AS STRING) AS VALOR_MIN, CAST(MAX("&amp;F310&amp;") AS STRING) AS VALOR_MAX,'"&amp;MAX('ID1&amp;5'!K:K)+1&amp;"' AS ID_EXEC, CURRENT_TIMESTAMP() AS TIME_EXEC FROM "&amp;MID(I310,1,LEN(I310)-2)&amp;" AND CAST("&amp;F310&amp;"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TABELA_SIMUL,'TXNMY_ELGBL_TRNVR_CCA' AS CAMPO, '${ref_date}' AS REF_DATE, COUNT(*) AS NUM_REG, SUM(IF(TRIM(CAST(X.TXNMY_ELGBL_TRNVR_CCA AS STRING)) IN ('0000-00-00','0001-01-01','9999-12-31','MISS','00000','99999999999','99999999999.00','99999999999.000000'),1,0)) AS NUM_REG_DIF,'10' AS ID_EXEC, CURRENT_TIMESTAMP() AS TIME_EXEC FROM (SELECT entty_id, TXNMY_ELGBL_TRNVR_CCA FROM BU_LOANTAPE_WORK.LT003_ENTITY WHERE ref_date='${ref_date}' AND nome_perimetro='Individual Corporativo' AND segmento='ESTR' AND ambito='PILAR3')X</v>
      </c>
      <c r="M310" s="43" t="str">
        <f t="shared" si="5"/>
        <v>UNION ALL SELECT 'ENTITY' AS TABELA, 'MISSINGS' AS TIPOLOGIA_TESTE,'BU_LOANTAPE_WORK.LT003_ENTITY' AS TABELA_LT,'N/A' AS TABELA_SIMUL,'TXNMY_ELGBL_TRNVR_CCA' AS CAMPO, '${ref_date}' AS REF_DATE, COUNT(*) AS NUM_REG, SUM(IF(TRIM(CAST(X.TXNMY_ELGBL_TRNVR_CCA AS STRING)) IN ('0000-00-00','0001-01-01','9999-12-31','MISS','00000','99999999999','99999999999.00','99999999999.000000'),1,0)) AS NUM_REG_DIF,'10' AS ID_EXEC, CURRENT_TIMESTAMP() AS TIME_EXEC FROM (SELECT entty_id, TXNMY_ELGBL_TRNVR_CCA FROM BU_LOANTAPE_WORK.LT003_ENTITY WHERE ref_date='${ref_date}' AND nome_perimetro='Individual Corporativo' AND segmento='ESTR' AND ambito='PILAR3')X</v>
      </c>
      <c r="N310" s="45" t="s">
        <v>13</v>
      </c>
    </row>
    <row r="311" spans="2:14">
      <c r="B311" s="41" t="s">
        <v>23</v>
      </c>
      <c r="C311" s="41" t="s">
        <v>77</v>
      </c>
      <c r="D311" s="41" t="str">
        <f>+UPPER('0. Instruções'!$D$33&amp;"."&amp;VLOOKUP(B311,'0. Instruções'!$C$27:$D$31,2,FALSE))</f>
        <v>BU_LOANTAPE_WORK.LT003_ENTITY</v>
      </c>
      <c r="E311" s="41" t="str">
        <f>+UPPER('0. Instruções'!$D$34&amp;"."&amp;VLOOKUP(B311,'0. Instruções'!$C$27:$E$31,3,FALSE))</f>
        <v>BU_LOANTAPE_WORK.LT003_ENTTY_P3_NOV24</v>
      </c>
      <c r="F311" s="41" t="s">
        <v>106</v>
      </c>
      <c r="G311" s="41" t="s">
        <v>210</v>
      </c>
      <c r="H311" s="41"/>
      <c r="I311" s="41" t="str">
        <f>"(SELECT "&amp;VLOOKUP(B311,'0. Instruções'!$C$27:$G$31,4,FALSE)&amp;", "&amp;F311&amp;" FROM "&amp;D311&amp;" WHERE "&amp;'0. Instruções'!$D$40&amp;")X"</f>
        <v>(SELECT entty_id, ENBLNG_CAPEX_CCM FROM BU_LOANTAPE_WORK.LT003_ENTITY WHERE ref_date='${ref_date}' AND nome_perimetro='Individual Corporativo' AND segmento='ESTR' AND ambito='PILAR3')X</v>
      </c>
      <c r="J311" s="41" t="str">
        <f>"(SELECT "&amp;VLOOKUP(B311,'0. Instruções'!$C$27:$G$31,4,FALSE)&amp;" AS "&amp;VLOOKUP(B311,'0. Instruções'!$C$27:$G$31,4,FALSE)&amp;"_SIMUL, "&amp;F311&amp;" AS "&amp;F311&amp;"_SIMUL FROM "&amp;E311&amp;")Y"</f>
        <v>(SELECT entty_id AS entty_id_SIMUL, ENBLNG_CAPEX_CCM AS ENBLNG_CAPEX_CCM_SIMUL FROM BU_LOANTAPE_WORK.LT003_ENTTY_P3_NOV24)Y</v>
      </c>
      <c r="K311" s="42" t="str">
        <f>+UPPER("ON X."&amp;VLOOKUP(B311,'0. Instruções'!$C$27:$G$31,4,FALSE)&amp;"=Y."&amp;VLOOKUP(B311,'0. Instruções'!$C$27:$G$31,4,FALSE)&amp;"_SIMUL")</f>
        <v>ON X.ENTTY_ID=Y.ENTTY_ID_SIMUL</v>
      </c>
      <c r="L311" s="42" t="str">
        <f>+IF(C311="Coerência", +IF(LEFT(G311,5)="FLOAT","SELECT '"&amp;UPPER(B311)&amp;"' AS TABELA, '"&amp;UPPER(C311)&amp;"' AS TIPOLOGIA_TESTE,'"&amp;D311&amp;"' AS TABELA_LT,'"&amp;E311&amp;"' AS TABELA_SIMUL,'"&amp;F311&amp;"' AS CAMPO, "&amp;"'${ref_date}' AS REF_DATE, COUNT(*) AS NUM_REG, SUM(IF((ABS(COALESCE(X."&amp;F311&amp;",0)-COALESCE(Y."&amp;F311&amp;"_SIMUL,0))&gt;0.0000000001) OR (X."&amp;F311&amp;" IS NULL AND Y."&amp;F311&amp;"_SIMUL IS NOT NULL ) OR (X."&amp;F311&amp;" IS NOT NULL AND Y."&amp;F311&amp;"_SIMUL IS NULL),1,0)) AS NUM_REG_DIF,'"&amp;MAX('ID1&amp;5'!K:K)+1&amp;"' AS ID_EXEC, CURRENT_TIMESTAMP() AS TIME_EXEC FROM "&amp;I311&amp;" INNER JOIN "&amp;J311&amp;" "&amp;K311,"SELECT '"&amp;UPPER(B311)&amp;"' AS TABELA, '"&amp;UPPER(C311)&amp;"' AS TIPOLOGIA_TESTE,'"&amp;D311&amp;"' AS TABELA_LT,'"&amp;E311&amp;"' AS TABELA_SIMUL,'"&amp;F311&amp;"' AS CAMPO, "&amp;"'${ref_date}' AS REF_DATE, COUNT(*) AS NUM_REG, SUM(IF(COALESCE(CAST(X."&amp;F311&amp;" AS STRING),'')&lt;&gt;COALESCE(CAST(Y."&amp;F311&amp;"_SIMUL AS STRING),''),1,0)) AS NUM_REG_DIF,'"&amp;MAX('ID1&amp;5'!L:L)+1&amp;"' AS ID_EXEC, CURRENT_TIMESTAMP() AS TIME_EXEC FROM "&amp;I311&amp;" INNER JOIN "&amp;J311&amp;" "&amp;K311),
IF(C311="Validade",+IF(G311="Code List","SELECT '"&amp;UPPER(B311)&amp;"' AS TABELA, '"&amp;UPPER(C311)&amp;"' AS TIPOLOGIA_TESTE,'"&amp;D311&amp;"' AS TABELA_LT,'N/A' AS TABELA_SIMUL,'"&amp;F311&amp;"' AS CAMPO, "&amp;"'${ref_date}' AS REF_DATE, COUNT(*) AS NUM_REG, SUM(IF(TRIM(CAST(X."&amp;F311&amp;" AS STRING))='' OR TRIM(CAST(X."&amp;F311&amp;" AS STRING)) IS NULL OR CAST(X."&amp;F311&amp;" AS STRING) NOT "&amp;H311&amp;",1,0)) AS NUM_REG_DIF,'"&amp;MAX('ID1&amp;5'!K:K)+1&amp;"' AS ID_EXEC, CURRENT_TIMESTAMP() AS TIME_EXEC FROM "&amp;I311,"SELECT '"&amp;UPPER(B311)&amp;"' AS TABELA, '"&amp;UPPER(C311)&amp;"' AS TIPOLOGIA_TESTE,'"&amp;D311&amp;"' AS TABELA_LT,'N/A' AS TABELA_SIMUL,'"&amp;F311&amp;"' AS CAMPO, "&amp;"'${ref_date}' AS REF_DATE, COUNT(*) AS NUM_REG, SUM(IF(TRIM(CAST(X."&amp;F311&amp;" AS STRING))='' OR TRIM(CAST(X."&amp;F311&amp;" AS STRING)) IS NULL,1,0)) AS NUM_REG_DIF,'"&amp;MAX('ID1&amp;5'!K:K)+1&amp;"' AS ID_EXEC, CURRENT_TIMESTAMP() AS TIME_EXEC FROM "&amp;I311),
IF(C311="Caracteres Especiais",+"SELECT '"&amp;UPPER(B311)&amp;"' AS TABELA, '"&amp;UPPER(C311)&amp;"' AS TIPOLOGIA_TESTE,'"&amp;D311&amp;"' AS TABELA_LT,'N/A' AS TABELA_SIMUL,'"&amp;F311&amp;"' AS CAMPO, "&amp;"'${ref_date}' AS REF_DATE, COUNT(*) AS NUM_REG, SUM(IF(INSTR(CAST(X."&amp;F311&amp;" AS STRING),'#')&gt;0 OR INSTR(CAST(X."&amp;F311&amp;" AS STRING),'*')&gt;0 OR INSTR(CAST(X."&amp;F311&amp;" AS STRING),'`')&gt;0 OR INSTR(CAST(X."&amp;F311&amp;" AS STRING),'´')&gt;0 OR INSTR(CAST(X."&amp;F311&amp;" AS STRING),'{')&gt;0 OR INSTR(CAST(X."&amp;F311&amp;" AS STRING),'}')&gt;0 OR INSTR(CAST(X."&amp;F311&amp;" AS STRING),'[')&gt;0 OR INSTR(CAST(X."&amp;F311&amp;" AS STRING),'')&gt;0 OR INSTR(CAST(X."&amp;F311&amp;" AS STRING),']')&gt;0 OR INSTR(CAST(X."&amp;F311&amp;" AS STRING),'?')&gt;0 OR INSTR(CAST(X."&amp;F311&amp;" AS STRING),'!')&gt;0 OR INSTR(CAST(X."&amp;F311&amp;" AS STRING),'$')&gt;0 OR INSTR(CAST(X."&amp;F311&amp;" AS STRING),'%')&gt;0 OR INSTR(CAST(X."&amp;F311&amp;" AS STRING),'&amp;')&gt;0 OR INSTR(CAST(X."&amp;F311&amp;" AS STRING),'+')&gt;0,1,0)) AS NUM_REG_DIF,'"&amp;MAX('ID1&amp;5'!K:K)+1&amp;"' AS ID_EXEC, CURRENT_TIMESTAMP() AS TIME_EXEC FROM "&amp;I311,
IF(C311="Missings",+"SELECT '"&amp;UPPER(B311)&amp;"' AS TABELA, '"&amp;UPPER(C311)&amp;"' AS TIPOLOGIA_TESTE,'"&amp;D311&amp;"' AS TABELA_LT,'N/A' AS TABELA_SIMUL,'"&amp;F311&amp;"' AS CAMPO, "&amp;"'${ref_date}' AS REF_DATE, COUNT(*) AS NUM_REG, SUM(IF(TRIM(CAST(X."&amp;F311&amp;" AS STRING)) IN ('0000-00-00','0001-01-01','9999-12-31','MISS','00000','99999999999','99999999999.00','99999999999.000000'),1,0)) AS NUM_REG_DIF,'"&amp;MAX('ID1&amp;5'!K:K)+1&amp;"' AS ID_EXEC, CURRENT_TIMESTAMP() AS TIME_EXEC FROM "&amp;I311,
IF(C311="Not applicable",+"SELECT '"&amp;UPPER(B311)&amp;"' AS TABELA, '"&amp;UPPER(C311)&amp;"' AS TIPOLOGIA_TESTE,'"&amp;D311&amp;"' AS TABELA_LT,'N/A' AS TABELA_SIMUL,'"&amp;F311&amp;"' AS CAMPO, "&amp;"'${ref_date}' AS REF_DATE, COUNT(*) AS NUM_REG, SUM(IF(TRIM(CAST(X."&amp;F311&amp;" AS STRING)) IN ('N/A','11111111111','11111111111.00','11111111111.000000','1111-11-11'),1,0)) AS NUM_REG_DIF,'"&amp;MAX('ID1&amp;5'!K:K)+1&amp;"' AS ID_EXEC, CURRENT_TIMESTAMP() AS TIME_EXEC FROM "&amp;I311,
IF(C311="Valores extremos",+"SELECT '"&amp;UPPER(B311)&amp;"' AS TABELA, '"&amp;UPPER(C311)&amp;"' AS TIPOLOGIA_TESTE,'"&amp;D311&amp;"' AS TABELA_LT,'N/A' AS TABELA_SIMUL,'"&amp;F311&amp;"' AS CAMPO, "&amp;"'${ref_date}' AS REF_DATE, CAST(MIN("&amp;F311&amp;") AS STRING) AS VALOR_MIN, CAST(MAX("&amp;F311&amp;") AS STRING) AS VALOR_MAX,'"&amp;MAX('ID1&amp;5'!K:K)+1&amp;"' AS ID_EXEC, CURRENT_TIMESTAMP() AS TIME_EXEC FROM "&amp;MID(I311,1,LEN(I311)-2)&amp;" AND CAST("&amp;F311&amp;"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TABELA_SIMUL,'ENBLNG_CAPEX_CCM' AS CAMPO, '${ref_date}' AS REF_DATE, COUNT(*) AS NUM_REG, SUM(IF(TRIM(CAST(X.ENBLNG_CAPEX_CCM AS STRING)) IN ('0000-00-00','0001-01-01','9999-12-31','MISS','00000','99999999999','99999999999.00','99999999999.000000'),1,0)) AS NUM_REG_DIF,'10' AS ID_EXEC, CURRENT_TIMESTAMP() AS TIME_EXEC FROM (SELECT entty_id, ENBLNG_CAPEX_CCM FROM BU_LOANTAPE_WORK.LT003_ENTITY WHERE ref_date='${ref_date}' AND nome_perimetro='Individual Corporativo' AND segmento='ESTR' AND ambito='PILAR3')X</v>
      </c>
      <c r="M311" s="43" t="str">
        <f t="shared" si="5"/>
        <v>UNION ALL SELECT 'ENTITY' AS TABELA, 'MISSINGS' AS TIPOLOGIA_TESTE,'BU_LOANTAPE_WORK.LT003_ENTITY' AS TABELA_LT,'N/A' AS TABELA_SIMUL,'ENBLNG_CAPEX_CCM' AS CAMPO, '${ref_date}' AS REF_DATE, COUNT(*) AS NUM_REG, SUM(IF(TRIM(CAST(X.ENBLNG_CAPEX_CCM AS STRING)) IN ('0000-00-00','0001-01-01','9999-12-31','MISS','00000','99999999999','99999999999.00','99999999999.000000'),1,0)) AS NUM_REG_DIF,'10' AS ID_EXEC, CURRENT_TIMESTAMP() AS TIME_EXEC FROM (SELECT entty_id, ENBLNG_CAPEX_CCM FROM BU_LOANTAPE_WORK.LT003_ENTITY WHERE ref_date='${ref_date}' AND nome_perimetro='Individual Corporativo' AND segmento='ESTR' AND ambito='PILAR3')X</v>
      </c>
      <c r="N311" s="45" t="s">
        <v>13</v>
      </c>
    </row>
    <row r="312" spans="2:14">
      <c r="B312" s="41" t="s">
        <v>23</v>
      </c>
      <c r="C312" s="41" t="s">
        <v>77</v>
      </c>
      <c r="D312" s="41" t="str">
        <f>+UPPER('0. Instruções'!$D$33&amp;"."&amp;VLOOKUP(B312,'0. Instruções'!$C$27:$D$31,2,FALSE))</f>
        <v>BU_LOANTAPE_WORK.LT003_ENTITY</v>
      </c>
      <c r="E312" s="41" t="str">
        <f>+UPPER('0. Instruções'!$D$34&amp;"."&amp;VLOOKUP(B312,'0. Instruções'!$C$27:$E$31,3,FALSE))</f>
        <v>BU_LOANTAPE_WORK.LT003_ENTTY_P3_NOV24</v>
      </c>
      <c r="F312" s="41" t="s">
        <v>107</v>
      </c>
      <c r="G312" s="41" t="s">
        <v>210</v>
      </c>
      <c r="H312" s="41"/>
      <c r="I312" s="41" t="str">
        <f>"(SELECT "&amp;VLOOKUP(B312,'0. Instruções'!$C$27:$G$31,4,FALSE)&amp;", "&amp;F312&amp;" FROM "&amp;D312&amp;" WHERE "&amp;'0. Instruções'!$D$40&amp;")X"</f>
        <v>(SELECT entty_id, ENBLNG_CAPEX_CCA FROM BU_LOANTAPE_WORK.LT003_ENTITY WHERE ref_date='${ref_date}' AND nome_perimetro='Individual Corporativo' AND segmento='ESTR' AND ambito='PILAR3')X</v>
      </c>
      <c r="J312" s="41" t="str">
        <f>"(SELECT "&amp;VLOOKUP(B312,'0. Instruções'!$C$27:$G$31,4,FALSE)&amp;" AS "&amp;VLOOKUP(B312,'0. Instruções'!$C$27:$G$31,4,FALSE)&amp;"_SIMUL, "&amp;F312&amp;" AS "&amp;F312&amp;"_SIMUL FROM "&amp;E312&amp;")Y"</f>
        <v>(SELECT entty_id AS entty_id_SIMUL, ENBLNG_CAPEX_CCA AS ENBLNG_CAPEX_CCA_SIMUL FROM BU_LOANTAPE_WORK.LT003_ENTTY_P3_NOV24)Y</v>
      </c>
      <c r="K312" s="42" t="str">
        <f>+UPPER("ON X."&amp;VLOOKUP(B312,'0. Instruções'!$C$27:$G$31,4,FALSE)&amp;"=Y."&amp;VLOOKUP(B312,'0. Instruções'!$C$27:$G$31,4,FALSE)&amp;"_SIMUL")</f>
        <v>ON X.ENTTY_ID=Y.ENTTY_ID_SIMUL</v>
      </c>
      <c r="L312" s="42" t="str">
        <f>+IF(C312="Coerência", +IF(LEFT(G312,5)="FLOAT","SELECT '"&amp;UPPER(B312)&amp;"' AS TABELA, '"&amp;UPPER(C312)&amp;"' AS TIPOLOGIA_TESTE,'"&amp;D312&amp;"' AS TABELA_LT,'"&amp;E312&amp;"' AS TABELA_SIMUL,'"&amp;F312&amp;"' AS CAMPO, "&amp;"'${ref_date}' AS REF_DATE, COUNT(*) AS NUM_REG, SUM(IF((ABS(COALESCE(X."&amp;F312&amp;",0)-COALESCE(Y."&amp;F312&amp;"_SIMUL,0))&gt;0.0000000001) OR (X."&amp;F312&amp;" IS NULL AND Y."&amp;F312&amp;"_SIMUL IS NOT NULL ) OR (X."&amp;F312&amp;" IS NOT NULL AND Y."&amp;F312&amp;"_SIMUL IS NULL),1,0)) AS NUM_REG_DIF,'"&amp;MAX('ID1&amp;5'!K:K)+1&amp;"' AS ID_EXEC, CURRENT_TIMESTAMP() AS TIME_EXEC FROM "&amp;I312&amp;" INNER JOIN "&amp;J312&amp;" "&amp;K312,"SELECT '"&amp;UPPER(B312)&amp;"' AS TABELA, '"&amp;UPPER(C312)&amp;"' AS TIPOLOGIA_TESTE,'"&amp;D312&amp;"' AS TABELA_LT,'"&amp;E312&amp;"' AS TABELA_SIMUL,'"&amp;F312&amp;"' AS CAMPO, "&amp;"'${ref_date}' AS REF_DATE, COUNT(*) AS NUM_REG, SUM(IF(COALESCE(CAST(X."&amp;F312&amp;" AS STRING),'')&lt;&gt;COALESCE(CAST(Y."&amp;F312&amp;"_SIMUL AS STRING),''),1,0)) AS NUM_REG_DIF,'"&amp;MAX('ID1&amp;5'!L:L)+1&amp;"' AS ID_EXEC, CURRENT_TIMESTAMP() AS TIME_EXEC FROM "&amp;I312&amp;" INNER JOIN "&amp;J312&amp;" "&amp;K312),
IF(C312="Validade",+IF(G312="Code List","SELECT '"&amp;UPPER(B312)&amp;"' AS TABELA, '"&amp;UPPER(C312)&amp;"' AS TIPOLOGIA_TESTE,'"&amp;D312&amp;"' AS TABELA_LT,'N/A' AS TABELA_SIMUL,'"&amp;F312&amp;"' AS CAMPO, "&amp;"'${ref_date}' AS REF_DATE, COUNT(*) AS NUM_REG, SUM(IF(TRIM(CAST(X."&amp;F312&amp;" AS STRING))='' OR TRIM(CAST(X."&amp;F312&amp;" AS STRING)) IS NULL OR CAST(X."&amp;F312&amp;" AS STRING) NOT "&amp;H312&amp;",1,0)) AS NUM_REG_DIF,'"&amp;MAX('ID1&amp;5'!K:K)+1&amp;"' AS ID_EXEC, CURRENT_TIMESTAMP() AS TIME_EXEC FROM "&amp;I312,"SELECT '"&amp;UPPER(B312)&amp;"' AS TABELA, '"&amp;UPPER(C312)&amp;"' AS TIPOLOGIA_TESTE,'"&amp;D312&amp;"' AS TABELA_LT,'N/A' AS TABELA_SIMUL,'"&amp;F312&amp;"' AS CAMPO, "&amp;"'${ref_date}' AS REF_DATE, COUNT(*) AS NUM_REG, SUM(IF(TRIM(CAST(X."&amp;F312&amp;" AS STRING))='' OR TRIM(CAST(X."&amp;F312&amp;" AS STRING)) IS NULL,1,0)) AS NUM_REG_DIF,'"&amp;MAX('ID1&amp;5'!K:K)+1&amp;"' AS ID_EXEC, CURRENT_TIMESTAMP() AS TIME_EXEC FROM "&amp;I312),
IF(C312="Caracteres Especiais",+"SELECT '"&amp;UPPER(B312)&amp;"' AS TABELA, '"&amp;UPPER(C312)&amp;"' AS TIPOLOGIA_TESTE,'"&amp;D312&amp;"' AS TABELA_LT,'N/A' AS TABELA_SIMUL,'"&amp;F312&amp;"' AS CAMPO, "&amp;"'${ref_date}' AS REF_DATE, COUNT(*) AS NUM_REG, SUM(IF(INSTR(CAST(X."&amp;F312&amp;" AS STRING),'#')&gt;0 OR INSTR(CAST(X."&amp;F312&amp;" AS STRING),'*')&gt;0 OR INSTR(CAST(X."&amp;F312&amp;" AS STRING),'`')&gt;0 OR INSTR(CAST(X."&amp;F312&amp;" AS STRING),'´')&gt;0 OR INSTR(CAST(X."&amp;F312&amp;" AS STRING),'{')&gt;0 OR INSTR(CAST(X."&amp;F312&amp;" AS STRING),'}')&gt;0 OR INSTR(CAST(X."&amp;F312&amp;" AS STRING),'[')&gt;0 OR INSTR(CAST(X."&amp;F312&amp;" AS STRING),'')&gt;0 OR INSTR(CAST(X."&amp;F312&amp;" AS STRING),']')&gt;0 OR INSTR(CAST(X."&amp;F312&amp;" AS STRING),'?')&gt;0 OR INSTR(CAST(X."&amp;F312&amp;" AS STRING),'!')&gt;0 OR INSTR(CAST(X."&amp;F312&amp;" AS STRING),'$')&gt;0 OR INSTR(CAST(X."&amp;F312&amp;" AS STRING),'%')&gt;0 OR INSTR(CAST(X."&amp;F312&amp;" AS STRING),'&amp;')&gt;0 OR INSTR(CAST(X."&amp;F312&amp;" AS STRING),'+')&gt;0,1,0)) AS NUM_REG_DIF,'"&amp;MAX('ID1&amp;5'!K:K)+1&amp;"' AS ID_EXEC, CURRENT_TIMESTAMP() AS TIME_EXEC FROM "&amp;I312,
IF(C312="Missings",+"SELECT '"&amp;UPPER(B312)&amp;"' AS TABELA, '"&amp;UPPER(C312)&amp;"' AS TIPOLOGIA_TESTE,'"&amp;D312&amp;"' AS TABELA_LT,'N/A' AS TABELA_SIMUL,'"&amp;F312&amp;"' AS CAMPO, "&amp;"'${ref_date}' AS REF_DATE, COUNT(*) AS NUM_REG, SUM(IF(TRIM(CAST(X."&amp;F312&amp;" AS STRING)) IN ('0000-00-00','0001-01-01','9999-12-31','MISS','00000','99999999999','99999999999.00','99999999999.000000'),1,0)) AS NUM_REG_DIF,'"&amp;MAX('ID1&amp;5'!K:K)+1&amp;"' AS ID_EXEC, CURRENT_TIMESTAMP() AS TIME_EXEC FROM "&amp;I312,
IF(C312="Not applicable",+"SELECT '"&amp;UPPER(B312)&amp;"' AS TABELA, '"&amp;UPPER(C312)&amp;"' AS TIPOLOGIA_TESTE,'"&amp;D312&amp;"' AS TABELA_LT,'N/A' AS TABELA_SIMUL,'"&amp;F312&amp;"' AS CAMPO, "&amp;"'${ref_date}' AS REF_DATE, COUNT(*) AS NUM_REG, SUM(IF(TRIM(CAST(X."&amp;F312&amp;" AS STRING)) IN ('N/A','11111111111','11111111111.00','11111111111.000000','1111-11-11'),1,0)) AS NUM_REG_DIF,'"&amp;MAX('ID1&amp;5'!K:K)+1&amp;"' AS ID_EXEC, CURRENT_TIMESTAMP() AS TIME_EXEC FROM "&amp;I312,
IF(C312="Valores extremos",+"SELECT '"&amp;UPPER(B312)&amp;"' AS TABELA, '"&amp;UPPER(C312)&amp;"' AS TIPOLOGIA_TESTE,'"&amp;D312&amp;"' AS TABELA_LT,'N/A' AS TABELA_SIMUL,'"&amp;F312&amp;"' AS CAMPO, "&amp;"'${ref_date}' AS REF_DATE, CAST(MIN("&amp;F312&amp;") AS STRING) AS VALOR_MIN, CAST(MAX("&amp;F312&amp;") AS STRING) AS VALOR_MAX,'"&amp;MAX('ID1&amp;5'!K:K)+1&amp;"' AS ID_EXEC, CURRENT_TIMESTAMP() AS TIME_EXEC FROM "&amp;MID(I312,1,LEN(I312)-2)&amp;" AND CAST("&amp;F312&amp;"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TABELA_SIMUL,'ENBLNG_CAPEX_CCA' AS CAMPO, '${ref_date}' AS REF_DATE, COUNT(*) AS NUM_REG, SUM(IF(TRIM(CAST(X.ENBLNG_CAPEX_CCA AS STRING)) IN ('0000-00-00','0001-01-01','9999-12-31','MISS','00000','99999999999','99999999999.00','99999999999.000000'),1,0)) AS NUM_REG_DIF,'10' AS ID_EXEC, CURRENT_TIMESTAMP() AS TIME_EXEC FROM (SELECT entty_id, ENBLNG_CAPEX_CCA FROM BU_LOANTAPE_WORK.LT003_ENTITY WHERE ref_date='${ref_date}' AND nome_perimetro='Individual Corporativo' AND segmento='ESTR' AND ambito='PILAR3')X</v>
      </c>
      <c r="M312" s="43" t="str">
        <f t="shared" si="5"/>
        <v>UNION ALL SELECT 'ENTITY' AS TABELA, 'MISSINGS' AS TIPOLOGIA_TESTE,'BU_LOANTAPE_WORK.LT003_ENTITY' AS TABELA_LT,'N/A' AS TABELA_SIMUL,'ENBLNG_CAPEX_CCA' AS CAMPO, '${ref_date}' AS REF_DATE, COUNT(*) AS NUM_REG, SUM(IF(TRIM(CAST(X.ENBLNG_CAPEX_CCA AS STRING)) IN ('0000-00-00','0001-01-01','9999-12-31','MISS','00000','99999999999','99999999999.00','99999999999.000000'),1,0)) AS NUM_REG_DIF,'10' AS ID_EXEC, CURRENT_TIMESTAMP() AS TIME_EXEC FROM (SELECT entty_id, ENBLNG_CAPEX_CCA FROM BU_LOANTAPE_WORK.LT003_ENTITY WHERE ref_date='${ref_date}' AND nome_perimetro='Individual Corporativo' AND segmento='ESTR' AND ambito='PILAR3')X</v>
      </c>
      <c r="N312" s="45" t="s">
        <v>13</v>
      </c>
    </row>
    <row r="313" spans="2:14">
      <c r="B313" s="41" t="s">
        <v>23</v>
      </c>
      <c r="C313" s="41" t="s">
        <v>77</v>
      </c>
      <c r="D313" s="41" t="str">
        <f>+UPPER('0. Instruções'!$D$33&amp;"."&amp;VLOOKUP(B313,'0. Instruções'!$C$27:$D$31,2,FALSE))</f>
        <v>BU_LOANTAPE_WORK.LT003_ENTITY</v>
      </c>
      <c r="E313" s="41" t="str">
        <f>+UPPER('0. Instruções'!$D$34&amp;"."&amp;VLOOKUP(B313,'0. Instruções'!$C$27:$E$31,3,FALSE))</f>
        <v>BU_LOANTAPE_WORK.LT003_ENTTY_P3_NOV24</v>
      </c>
      <c r="F313" s="41" t="s">
        <v>108</v>
      </c>
      <c r="G313" s="41" t="s">
        <v>210</v>
      </c>
      <c r="H313" s="41"/>
      <c r="I313" s="41" t="str">
        <f>"(SELECT "&amp;VLOOKUP(B313,'0. Instruções'!$C$27:$G$31,4,FALSE)&amp;", "&amp;F313&amp;" FROM "&amp;D313&amp;" WHERE "&amp;'0. Instruções'!$D$40&amp;")X"</f>
        <v>(SELECT entty_id, TRNSTNL_CAPEX FROM BU_LOANTAPE_WORK.LT003_ENTITY WHERE ref_date='${ref_date}' AND nome_perimetro='Individual Corporativo' AND segmento='ESTR' AND ambito='PILAR3')X</v>
      </c>
      <c r="J313" s="41" t="str">
        <f>"(SELECT "&amp;VLOOKUP(B313,'0. Instruções'!$C$27:$G$31,4,FALSE)&amp;" AS "&amp;VLOOKUP(B313,'0. Instruções'!$C$27:$G$31,4,FALSE)&amp;"_SIMUL, "&amp;F313&amp;" AS "&amp;F313&amp;"_SIMUL FROM "&amp;E313&amp;")Y"</f>
        <v>(SELECT entty_id AS entty_id_SIMUL, TRNSTNL_CAPEX AS TRNSTNL_CAPEX_SIMUL FROM BU_LOANTAPE_WORK.LT003_ENTTY_P3_NOV24)Y</v>
      </c>
      <c r="K313" s="42" t="str">
        <f>+UPPER("ON X."&amp;VLOOKUP(B313,'0. Instruções'!$C$27:$G$31,4,FALSE)&amp;"=Y."&amp;VLOOKUP(B313,'0. Instruções'!$C$27:$G$31,4,FALSE)&amp;"_SIMUL")</f>
        <v>ON X.ENTTY_ID=Y.ENTTY_ID_SIMUL</v>
      </c>
      <c r="L313" s="42" t="str">
        <f>+IF(C313="Coerência", +IF(LEFT(G313,5)="FLOAT","SELECT '"&amp;UPPER(B313)&amp;"' AS TABELA, '"&amp;UPPER(C313)&amp;"' AS TIPOLOGIA_TESTE,'"&amp;D313&amp;"' AS TABELA_LT,'"&amp;E313&amp;"' AS TABELA_SIMUL,'"&amp;F313&amp;"' AS CAMPO, "&amp;"'${ref_date}' AS REF_DATE, COUNT(*) AS NUM_REG, SUM(IF((ABS(COALESCE(X."&amp;F313&amp;",0)-COALESCE(Y."&amp;F313&amp;"_SIMUL,0))&gt;0.0000000001) OR (X."&amp;F313&amp;" IS NULL AND Y."&amp;F313&amp;"_SIMUL IS NOT NULL ) OR (X."&amp;F313&amp;" IS NOT NULL AND Y."&amp;F313&amp;"_SIMUL IS NULL),1,0)) AS NUM_REG_DIF,'"&amp;MAX('ID1&amp;5'!K:K)+1&amp;"' AS ID_EXEC, CURRENT_TIMESTAMP() AS TIME_EXEC FROM "&amp;I313&amp;" INNER JOIN "&amp;J313&amp;" "&amp;K313,"SELECT '"&amp;UPPER(B313)&amp;"' AS TABELA, '"&amp;UPPER(C313)&amp;"' AS TIPOLOGIA_TESTE,'"&amp;D313&amp;"' AS TABELA_LT,'"&amp;E313&amp;"' AS TABELA_SIMUL,'"&amp;F313&amp;"' AS CAMPO, "&amp;"'${ref_date}' AS REF_DATE, COUNT(*) AS NUM_REG, SUM(IF(COALESCE(CAST(X."&amp;F313&amp;" AS STRING),'')&lt;&gt;COALESCE(CAST(Y."&amp;F313&amp;"_SIMUL AS STRING),''),1,0)) AS NUM_REG_DIF,'"&amp;MAX('ID1&amp;5'!L:L)+1&amp;"' AS ID_EXEC, CURRENT_TIMESTAMP() AS TIME_EXEC FROM "&amp;I313&amp;" INNER JOIN "&amp;J313&amp;" "&amp;K313),
IF(C313="Validade",+IF(G313="Code List","SELECT '"&amp;UPPER(B313)&amp;"' AS TABELA, '"&amp;UPPER(C313)&amp;"' AS TIPOLOGIA_TESTE,'"&amp;D313&amp;"' AS TABELA_LT,'N/A' AS TABELA_SIMUL,'"&amp;F313&amp;"' AS CAMPO, "&amp;"'${ref_date}' AS REF_DATE, COUNT(*) AS NUM_REG, SUM(IF(TRIM(CAST(X."&amp;F313&amp;" AS STRING))='' OR TRIM(CAST(X."&amp;F313&amp;" AS STRING)) IS NULL OR CAST(X."&amp;F313&amp;" AS STRING) NOT "&amp;H313&amp;",1,0)) AS NUM_REG_DIF,'"&amp;MAX('ID1&amp;5'!K:K)+1&amp;"' AS ID_EXEC, CURRENT_TIMESTAMP() AS TIME_EXEC FROM "&amp;I313,"SELECT '"&amp;UPPER(B313)&amp;"' AS TABELA, '"&amp;UPPER(C313)&amp;"' AS TIPOLOGIA_TESTE,'"&amp;D313&amp;"' AS TABELA_LT,'N/A' AS TABELA_SIMUL,'"&amp;F313&amp;"' AS CAMPO, "&amp;"'${ref_date}' AS REF_DATE, COUNT(*) AS NUM_REG, SUM(IF(TRIM(CAST(X."&amp;F313&amp;" AS STRING))='' OR TRIM(CAST(X."&amp;F313&amp;" AS STRING)) IS NULL,1,0)) AS NUM_REG_DIF,'"&amp;MAX('ID1&amp;5'!K:K)+1&amp;"' AS ID_EXEC, CURRENT_TIMESTAMP() AS TIME_EXEC FROM "&amp;I313),
IF(C313="Caracteres Especiais",+"SELECT '"&amp;UPPER(B313)&amp;"' AS TABELA, '"&amp;UPPER(C313)&amp;"' AS TIPOLOGIA_TESTE,'"&amp;D313&amp;"' AS TABELA_LT,'N/A' AS TABELA_SIMUL,'"&amp;F313&amp;"' AS CAMPO, "&amp;"'${ref_date}' AS REF_DATE, COUNT(*) AS NUM_REG, SUM(IF(INSTR(CAST(X."&amp;F313&amp;" AS STRING),'#')&gt;0 OR INSTR(CAST(X."&amp;F313&amp;" AS STRING),'*')&gt;0 OR INSTR(CAST(X."&amp;F313&amp;" AS STRING),'`')&gt;0 OR INSTR(CAST(X."&amp;F313&amp;" AS STRING),'´')&gt;0 OR INSTR(CAST(X."&amp;F313&amp;" AS STRING),'{')&gt;0 OR INSTR(CAST(X."&amp;F313&amp;" AS STRING),'}')&gt;0 OR INSTR(CAST(X."&amp;F313&amp;" AS STRING),'[')&gt;0 OR INSTR(CAST(X."&amp;F313&amp;" AS STRING),'')&gt;0 OR INSTR(CAST(X."&amp;F313&amp;" AS STRING),']')&gt;0 OR INSTR(CAST(X."&amp;F313&amp;" AS STRING),'?')&gt;0 OR INSTR(CAST(X."&amp;F313&amp;" AS STRING),'!')&gt;0 OR INSTR(CAST(X."&amp;F313&amp;" AS STRING),'$')&gt;0 OR INSTR(CAST(X."&amp;F313&amp;" AS STRING),'%')&gt;0 OR INSTR(CAST(X."&amp;F313&amp;" AS STRING),'&amp;')&gt;0 OR INSTR(CAST(X."&amp;F313&amp;" AS STRING),'+')&gt;0,1,0)) AS NUM_REG_DIF,'"&amp;MAX('ID1&amp;5'!K:K)+1&amp;"' AS ID_EXEC, CURRENT_TIMESTAMP() AS TIME_EXEC FROM "&amp;I313,
IF(C313="Missings",+"SELECT '"&amp;UPPER(B313)&amp;"' AS TABELA, '"&amp;UPPER(C313)&amp;"' AS TIPOLOGIA_TESTE,'"&amp;D313&amp;"' AS TABELA_LT,'N/A' AS TABELA_SIMUL,'"&amp;F313&amp;"' AS CAMPO, "&amp;"'${ref_date}' AS REF_DATE, COUNT(*) AS NUM_REG, SUM(IF(TRIM(CAST(X."&amp;F313&amp;" AS STRING)) IN ('0000-00-00','0001-01-01','9999-12-31','MISS','00000','99999999999','99999999999.00','99999999999.000000'),1,0)) AS NUM_REG_DIF,'"&amp;MAX('ID1&amp;5'!K:K)+1&amp;"' AS ID_EXEC, CURRENT_TIMESTAMP() AS TIME_EXEC FROM "&amp;I313,
IF(C313="Not applicable",+"SELECT '"&amp;UPPER(B313)&amp;"' AS TABELA, '"&amp;UPPER(C313)&amp;"' AS TIPOLOGIA_TESTE,'"&amp;D313&amp;"' AS TABELA_LT,'N/A' AS TABELA_SIMUL,'"&amp;F313&amp;"' AS CAMPO, "&amp;"'${ref_date}' AS REF_DATE, COUNT(*) AS NUM_REG, SUM(IF(TRIM(CAST(X."&amp;F313&amp;" AS STRING)) IN ('N/A','11111111111','11111111111.00','11111111111.000000','1111-11-11'),1,0)) AS NUM_REG_DIF,'"&amp;MAX('ID1&amp;5'!K:K)+1&amp;"' AS ID_EXEC, CURRENT_TIMESTAMP() AS TIME_EXEC FROM "&amp;I313,
IF(C313="Valores extremos",+"SELECT '"&amp;UPPER(B313)&amp;"' AS TABELA, '"&amp;UPPER(C313)&amp;"' AS TIPOLOGIA_TESTE,'"&amp;D313&amp;"' AS TABELA_LT,'N/A' AS TABELA_SIMUL,'"&amp;F313&amp;"' AS CAMPO, "&amp;"'${ref_date}' AS REF_DATE, CAST(MIN("&amp;F313&amp;") AS STRING) AS VALOR_MIN, CAST(MAX("&amp;F313&amp;") AS STRING) AS VALOR_MAX,'"&amp;MAX('ID1&amp;5'!K:K)+1&amp;"' AS ID_EXEC, CURRENT_TIMESTAMP() AS TIME_EXEC FROM "&amp;MID(I313,1,LEN(I313)-2)&amp;" AND CAST("&amp;F313&amp;"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TABELA_SIMUL,'TRNSTNL_CAPEX' AS CAMPO, '${ref_date}' AS REF_DATE, COUNT(*) AS NUM_REG, SUM(IF(TRIM(CAST(X.TRNSTNL_CAPEX AS STRING)) IN ('0000-00-00','0001-01-01','9999-12-31','MISS','00000','99999999999','99999999999.00','99999999999.000000'),1,0)) AS NUM_REG_DIF,'10' AS ID_EXEC, CURRENT_TIMESTAMP() AS TIME_EXEC FROM (SELECT entty_id, TRNSTNL_CAPEX FROM BU_LOANTAPE_WORK.LT003_ENTITY WHERE ref_date='${ref_date}' AND nome_perimetro='Individual Corporativo' AND segmento='ESTR' AND ambito='PILAR3')X</v>
      </c>
      <c r="M313" s="43" t="str">
        <f t="shared" si="5"/>
        <v>UNION ALL SELECT 'ENTITY' AS TABELA, 'MISSINGS' AS TIPOLOGIA_TESTE,'BU_LOANTAPE_WORK.LT003_ENTITY' AS TABELA_LT,'N/A' AS TABELA_SIMUL,'TRNSTNL_CAPEX' AS CAMPO, '${ref_date}' AS REF_DATE, COUNT(*) AS NUM_REG, SUM(IF(TRIM(CAST(X.TRNSTNL_CAPEX AS STRING)) IN ('0000-00-00','0001-01-01','9999-12-31','MISS','00000','99999999999','99999999999.00','99999999999.000000'),1,0)) AS NUM_REG_DIF,'10' AS ID_EXEC, CURRENT_TIMESTAMP() AS TIME_EXEC FROM (SELECT entty_id, TRNSTNL_CAPEX FROM BU_LOANTAPE_WORK.LT003_ENTITY WHERE ref_date='${ref_date}' AND nome_perimetro='Individual Corporativo' AND segmento='ESTR' AND ambito='PILAR3')X</v>
      </c>
      <c r="N313" s="45" t="s">
        <v>13</v>
      </c>
    </row>
    <row r="314" spans="2:14">
      <c r="B314" s="41" t="s">
        <v>23</v>
      </c>
      <c r="C314" s="41" t="s">
        <v>77</v>
      </c>
      <c r="D314" s="41" t="str">
        <f>+UPPER('0. Instruções'!$D$33&amp;"."&amp;VLOOKUP(B314,'0. Instruções'!$C$27:$D$31,2,FALSE))</f>
        <v>BU_LOANTAPE_WORK.LT003_ENTITY</v>
      </c>
      <c r="E314" s="41" t="str">
        <f>+UPPER('0. Instruções'!$D$34&amp;"."&amp;VLOOKUP(B314,'0. Instruções'!$C$27:$E$31,3,FALSE))</f>
        <v>BU_LOANTAPE_WORK.LT003_ENTTY_P3_NOV24</v>
      </c>
      <c r="F314" s="41" t="s">
        <v>109</v>
      </c>
      <c r="G314" s="41" t="s">
        <v>210</v>
      </c>
      <c r="H314" s="41"/>
      <c r="I314" s="41" t="str">
        <f>"(SELECT "&amp;VLOOKUP(B314,'0. Instruções'!$C$27:$G$31,4,FALSE)&amp;", "&amp;F314&amp;" FROM "&amp;D314&amp;" WHERE "&amp;'0. Instruções'!$D$40&amp;")X"</f>
        <v>(SELECT entty_id, PURE_CAPEX_CCM FROM BU_LOANTAPE_WORK.LT003_ENTITY WHERE ref_date='${ref_date}' AND nome_perimetro='Individual Corporativo' AND segmento='ESTR' AND ambito='PILAR3')X</v>
      </c>
      <c r="J314" s="41" t="str">
        <f>"(SELECT "&amp;VLOOKUP(B314,'0. Instruções'!$C$27:$G$31,4,FALSE)&amp;" AS "&amp;VLOOKUP(B314,'0. Instruções'!$C$27:$G$31,4,FALSE)&amp;"_SIMUL, "&amp;F314&amp;" AS "&amp;F314&amp;"_SIMUL FROM "&amp;E314&amp;")Y"</f>
        <v>(SELECT entty_id AS entty_id_SIMUL, PURE_CAPEX_CCM AS PURE_CAPEX_CCM_SIMUL FROM BU_LOANTAPE_WORK.LT003_ENTTY_P3_NOV24)Y</v>
      </c>
      <c r="K314" s="42" t="str">
        <f>+UPPER("ON X."&amp;VLOOKUP(B314,'0. Instruções'!$C$27:$G$31,4,FALSE)&amp;"=Y."&amp;VLOOKUP(B314,'0. Instruções'!$C$27:$G$31,4,FALSE)&amp;"_SIMUL")</f>
        <v>ON X.ENTTY_ID=Y.ENTTY_ID_SIMUL</v>
      </c>
      <c r="L314" s="42" t="str">
        <f>+IF(C314="Coerência", +IF(LEFT(G314,5)="FLOAT","SELECT '"&amp;UPPER(B314)&amp;"' AS TABELA, '"&amp;UPPER(C314)&amp;"' AS TIPOLOGIA_TESTE,'"&amp;D314&amp;"' AS TABELA_LT,'"&amp;E314&amp;"' AS TABELA_SIMUL,'"&amp;F314&amp;"' AS CAMPO, "&amp;"'${ref_date}' AS REF_DATE, COUNT(*) AS NUM_REG, SUM(IF((ABS(COALESCE(X."&amp;F314&amp;",0)-COALESCE(Y."&amp;F314&amp;"_SIMUL,0))&gt;0.0000000001) OR (X."&amp;F314&amp;" IS NULL AND Y."&amp;F314&amp;"_SIMUL IS NOT NULL ) OR (X."&amp;F314&amp;" IS NOT NULL AND Y."&amp;F314&amp;"_SIMUL IS NULL),1,0)) AS NUM_REG_DIF,'"&amp;MAX('ID1&amp;5'!K:K)+1&amp;"' AS ID_EXEC, CURRENT_TIMESTAMP() AS TIME_EXEC FROM "&amp;I314&amp;" INNER JOIN "&amp;J314&amp;" "&amp;K314,"SELECT '"&amp;UPPER(B314)&amp;"' AS TABELA, '"&amp;UPPER(C314)&amp;"' AS TIPOLOGIA_TESTE,'"&amp;D314&amp;"' AS TABELA_LT,'"&amp;E314&amp;"' AS TABELA_SIMUL,'"&amp;F314&amp;"' AS CAMPO, "&amp;"'${ref_date}' AS REF_DATE, COUNT(*) AS NUM_REG, SUM(IF(COALESCE(CAST(X."&amp;F314&amp;" AS STRING),'')&lt;&gt;COALESCE(CAST(Y."&amp;F314&amp;"_SIMUL AS STRING),''),1,0)) AS NUM_REG_DIF,'"&amp;MAX('ID1&amp;5'!L:L)+1&amp;"' AS ID_EXEC, CURRENT_TIMESTAMP() AS TIME_EXEC FROM "&amp;I314&amp;" INNER JOIN "&amp;J314&amp;" "&amp;K314),
IF(C314="Validade",+IF(G314="Code List","SELECT '"&amp;UPPER(B314)&amp;"' AS TABELA, '"&amp;UPPER(C314)&amp;"' AS TIPOLOGIA_TESTE,'"&amp;D314&amp;"' AS TABELA_LT,'N/A' AS TABELA_SIMUL,'"&amp;F314&amp;"' AS CAMPO, "&amp;"'${ref_date}' AS REF_DATE, COUNT(*) AS NUM_REG, SUM(IF(TRIM(CAST(X."&amp;F314&amp;" AS STRING))='' OR TRIM(CAST(X."&amp;F314&amp;" AS STRING)) IS NULL OR CAST(X."&amp;F314&amp;" AS STRING) NOT "&amp;H314&amp;",1,0)) AS NUM_REG_DIF,'"&amp;MAX('ID1&amp;5'!K:K)+1&amp;"' AS ID_EXEC, CURRENT_TIMESTAMP() AS TIME_EXEC FROM "&amp;I314,"SELECT '"&amp;UPPER(B314)&amp;"' AS TABELA, '"&amp;UPPER(C314)&amp;"' AS TIPOLOGIA_TESTE,'"&amp;D314&amp;"' AS TABELA_LT,'N/A' AS TABELA_SIMUL,'"&amp;F314&amp;"' AS CAMPO, "&amp;"'${ref_date}' AS REF_DATE, COUNT(*) AS NUM_REG, SUM(IF(TRIM(CAST(X."&amp;F314&amp;" AS STRING))='' OR TRIM(CAST(X."&amp;F314&amp;" AS STRING)) IS NULL,1,0)) AS NUM_REG_DIF,'"&amp;MAX('ID1&amp;5'!K:K)+1&amp;"' AS ID_EXEC, CURRENT_TIMESTAMP() AS TIME_EXEC FROM "&amp;I314),
IF(C314="Caracteres Especiais",+"SELECT '"&amp;UPPER(B314)&amp;"' AS TABELA, '"&amp;UPPER(C314)&amp;"' AS TIPOLOGIA_TESTE,'"&amp;D314&amp;"' AS TABELA_LT,'N/A' AS TABELA_SIMUL,'"&amp;F314&amp;"' AS CAMPO, "&amp;"'${ref_date}' AS REF_DATE, COUNT(*) AS NUM_REG, SUM(IF(INSTR(CAST(X."&amp;F314&amp;" AS STRING),'#')&gt;0 OR INSTR(CAST(X."&amp;F314&amp;" AS STRING),'*')&gt;0 OR INSTR(CAST(X."&amp;F314&amp;" AS STRING),'`')&gt;0 OR INSTR(CAST(X."&amp;F314&amp;" AS STRING),'´')&gt;0 OR INSTR(CAST(X."&amp;F314&amp;" AS STRING),'{')&gt;0 OR INSTR(CAST(X."&amp;F314&amp;" AS STRING),'}')&gt;0 OR INSTR(CAST(X."&amp;F314&amp;" AS STRING),'[')&gt;0 OR INSTR(CAST(X."&amp;F314&amp;" AS STRING),'')&gt;0 OR INSTR(CAST(X."&amp;F314&amp;" AS STRING),']')&gt;0 OR INSTR(CAST(X."&amp;F314&amp;" AS STRING),'?')&gt;0 OR INSTR(CAST(X."&amp;F314&amp;" AS STRING),'!')&gt;0 OR INSTR(CAST(X."&amp;F314&amp;" AS STRING),'$')&gt;0 OR INSTR(CAST(X."&amp;F314&amp;" AS STRING),'%')&gt;0 OR INSTR(CAST(X."&amp;F314&amp;" AS STRING),'&amp;')&gt;0 OR INSTR(CAST(X."&amp;F314&amp;" AS STRING),'+')&gt;0,1,0)) AS NUM_REG_DIF,'"&amp;MAX('ID1&amp;5'!K:K)+1&amp;"' AS ID_EXEC, CURRENT_TIMESTAMP() AS TIME_EXEC FROM "&amp;I314,
IF(C314="Missings",+"SELECT '"&amp;UPPER(B314)&amp;"' AS TABELA, '"&amp;UPPER(C314)&amp;"' AS TIPOLOGIA_TESTE,'"&amp;D314&amp;"' AS TABELA_LT,'N/A' AS TABELA_SIMUL,'"&amp;F314&amp;"' AS CAMPO, "&amp;"'${ref_date}' AS REF_DATE, COUNT(*) AS NUM_REG, SUM(IF(TRIM(CAST(X."&amp;F314&amp;" AS STRING)) IN ('0000-00-00','0001-01-01','9999-12-31','MISS','00000','99999999999','99999999999.00','99999999999.000000'),1,0)) AS NUM_REG_DIF,'"&amp;MAX('ID1&amp;5'!K:K)+1&amp;"' AS ID_EXEC, CURRENT_TIMESTAMP() AS TIME_EXEC FROM "&amp;I314,
IF(C314="Not applicable",+"SELECT '"&amp;UPPER(B314)&amp;"' AS TABELA, '"&amp;UPPER(C314)&amp;"' AS TIPOLOGIA_TESTE,'"&amp;D314&amp;"' AS TABELA_LT,'N/A' AS TABELA_SIMUL,'"&amp;F314&amp;"' AS CAMPO, "&amp;"'${ref_date}' AS REF_DATE, COUNT(*) AS NUM_REG, SUM(IF(TRIM(CAST(X."&amp;F314&amp;" AS STRING)) IN ('N/A','11111111111','11111111111.00','11111111111.000000','1111-11-11'),1,0)) AS NUM_REG_DIF,'"&amp;MAX('ID1&amp;5'!K:K)+1&amp;"' AS ID_EXEC, CURRENT_TIMESTAMP() AS TIME_EXEC FROM "&amp;I314,
IF(C314="Valores extremos",+"SELECT '"&amp;UPPER(B314)&amp;"' AS TABELA, '"&amp;UPPER(C314)&amp;"' AS TIPOLOGIA_TESTE,'"&amp;D314&amp;"' AS TABELA_LT,'N/A' AS TABELA_SIMUL,'"&amp;F314&amp;"' AS CAMPO, "&amp;"'${ref_date}' AS REF_DATE, CAST(MIN("&amp;F314&amp;") AS STRING) AS VALOR_MIN, CAST(MAX("&amp;F314&amp;") AS STRING) AS VALOR_MAX,'"&amp;MAX('ID1&amp;5'!K:K)+1&amp;"' AS ID_EXEC, CURRENT_TIMESTAMP() AS TIME_EXEC FROM "&amp;MID(I314,1,LEN(I314)-2)&amp;" AND CAST("&amp;F314&amp;"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TABELA_SIMUL,'PURE_CAPEX_CCM' AS CAMPO, '${ref_date}' AS REF_DATE, COUNT(*) AS NUM_REG, SUM(IF(TRIM(CAST(X.PURE_CAPEX_CCM AS STRING)) IN ('0000-00-00','0001-01-01','9999-12-31','MISS','00000','99999999999','99999999999.00','99999999999.000000'),1,0)) AS NUM_REG_DIF,'10' AS ID_EXEC, CURRENT_TIMESTAMP() AS TIME_EXEC FROM (SELECT entty_id, PURE_CAPEX_CCM FROM BU_LOANTAPE_WORK.LT003_ENTITY WHERE ref_date='${ref_date}' AND nome_perimetro='Individual Corporativo' AND segmento='ESTR' AND ambito='PILAR3')X</v>
      </c>
      <c r="M314" s="43" t="str">
        <f t="shared" si="5"/>
        <v>UNION ALL SELECT 'ENTITY' AS TABELA, 'MISSINGS' AS TIPOLOGIA_TESTE,'BU_LOANTAPE_WORK.LT003_ENTITY' AS TABELA_LT,'N/A' AS TABELA_SIMUL,'PURE_CAPEX_CCM' AS CAMPO, '${ref_date}' AS REF_DATE, COUNT(*) AS NUM_REG, SUM(IF(TRIM(CAST(X.PURE_CAPEX_CCM AS STRING)) IN ('0000-00-00','0001-01-01','9999-12-31','MISS','00000','99999999999','99999999999.00','99999999999.000000'),1,0)) AS NUM_REG_DIF,'10' AS ID_EXEC, CURRENT_TIMESTAMP() AS TIME_EXEC FROM (SELECT entty_id, PURE_CAPEX_CCM FROM BU_LOANTAPE_WORK.LT003_ENTITY WHERE ref_date='${ref_date}' AND nome_perimetro='Individual Corporativo' AND segmento='ESTR' AND ambito='PILAR3')X</v>
      </c>
      <c r="N314" s="45" t="s">
        <v>13</v>
      </c>
    </row>
    <row r="315" spans="2:14">
      <c r="B315" s="41" t="s">
        <v>23</v>
      </c>
      <c r="C315" s="41" t="s">
        <v>77</v>
      </c>
      <c r="D315" s="41" t="str">
        <f>+UPPER('0. Instruções'!$D$33&amp;"."&amp;VLOOKUP(B315,'0. Instruções'!$C$27:$D$31,2,FALSE))</f>
        <v>BU_LOANTAPE_WORK.LT003_ENTITY</v>
      </c>
      <c r="E315" s="41" t="str">
        <f>+UPPER('0. Instruções'!$D$34&amp;"."&amp;VLOOKUP(B315,'0. Instruções'!$C$27:$E$31,3,FALSE))</f>
        <v>BU_LOANTAPE_WORK.LT003_ENTTY_P3_NOV24</v>
      </c>
      <c r="F315" s="41" t="s">
        <v>110</v>
      </c>
      <c r="G315" s="41" t="s">
        <v>210</v>
      </c>
      <c r="H315" s="41"/>
      <c r="I315" s="41" t="str">
        <f>"(SELECT "&amp;VLOOKUP(B315,'0. Instruções'!$C$27:$G$31,4,FALSE)&amp;", "&amp;F315&amp;" FROM "&amp;D315&amp;" WHERE "&amp;'0. Instruções'!$D$40&amp;")X"</f>
        <v>(SELECT entty_id, PURE_CAPEX_CCA FROM BU_LOANTAPE_WORK.LT003_ENTITY WHERE ref_date='${ref_date}' AND nome_perimetro='Individual Corporativo' AND segmento='ESTR' AND ambito='PILAR3')X</v>
      </c>
      <c r="J315" s="41" t="str">
        <f>"(SELECT "&amp;VLOOKUP(B315,'0. Instruções'!$C$27:$G$31,4,FALSE)&amp;" AS "&amp;VLOOKUP(B315,'0. Instruções'!$C$27:$G$31,4,FALSE)&amp;"_SIMUL, "&amp;F315&amp;" AS "&amp;F315&amp;"_SIMUL FROM "&amp;E315&amp;")Y"</f>
        <v>(SELECT entty_id AS entty_id_SIMUL, PURE_CAPEX_CCA AS PURE_CAPEX_CCA_SIMUL FROM BU_LOANTAPE_WORK.LT003_ENTTY_P3_NOV24)Y</v>
      </c>
      <c r="K315" s="42" t="str">
        <f>+UPPER("ON X."&amp;VLOOKUP(B315,'0. Instruções'!$C$27:$G$31,4,FALSE)&amp;"=Y."&amp;VLOOKUP(B315,'0. Instruções'!$C$27:$G$31,4,FALSE)&amp;"_SIMUL")</f>
        <v>ON X.ENTTY_ID=Y.ENTTY_ID_SIMUL</v>
      </c>
      <c r="L315" s="42" t="str">
        <f>+IF(C315="Coerência", +IF(LEFT(G315,5)="FLOAT","SELECT '"&amp;UPPER(B315)&amp;"' AS TABELA, '"&amp;UPPER(C315)&amp;"' AS TIPOLOGIA_TESTE,'"&amp;D315&amp;"' AS TABELA_LT,'"&amp;E315&amp;"' AS TABELA_SIMUL,'"&amp;F315&amp;"' AS CAMPO, "&amp;"'${ref_date}' AS REF_DATE, COUNT(*) AS NUM_REG, SUM(IF((ABS(COALESCE(X."&amp;F315&amp;",0)-COALESCE(Y."&amp;F315&amp;"_SIMUL,0))&gt;0.0000000001) OR (X."&amp;F315&amp;" IS NULL AND Y."&amp;F315&amp;"_SIMUL IS NOT NULL ) OR (X."&amp;F315&amp;" IS NOT NULL AND Y."&amp;F315&amp;"_SIMUL IS NULL),1,0)) AS NUM_REG_DIF,'"&amp;MAX('ID1&amp;5'!K:K)+1&amp;"' AS ID_EXEC, CURRENT_TIMESTAMP() AS TIME_EXEC FROM "&amp;I315&amp;" INNER JOIN "&amp;J315&amp;" "&amp;K315,"SELECT '"&amp;UPPER(B315)&amp;"' AS TABELA, '"&amp;UPPER(C315)&amp;"' AS TIPOLOGIA_TESTE,'"&amp;D315&amp;"' AS TABELA_LT,'"&amp;E315&amp;"' AS TABELA_SIMUL,'"&amp;F315&amp;"' AS CAMPO, "&amp;"'${ref_date}' AS REF_DATE, COUNT(*) AS NUM_REG, SUM(IF(COALESCE(CAST(X."&amp;F315&amp;" AS STRING),'')&lt;&gt;COALESCE(CAST(Y."&amp;F315&amp;"_SIMUL AS STRING),''),1,0)) AS NUM_REG_DIF,'"&amp;MAX('ID1&amp;5'!L:L)+1&amp;"' AS ID_EXEC, CURRENT_TIMESTAMP() AS TIME_EXEC FROM "&amp;I315&amp;" INNER JOIN "&amp;J315&amp;" "&amp;K315),
IF(C315="Validade",+IF(G315="Code List","SELECT '"&amp;UPPER(B315)&amp;"' AS TABELA, '"&amp;UPPER(C315)&amp;"' AS TIPOLOGIA_TESTE,'"&amp;D315&amp;"' AS TABELA_LT,'N/A' AS TABELA_SIMUL,'"&amp;F315&amp;"' AS CAMPO, "&amp;"'${ref_date}' AS REF_DATE, COUNT(*) AS NUM_REG, SUM(IF(TRIM(CAST(X."&amp;F315&amp;" AS STRING))='' OR TRIM(CAST(X."&amp;F315&amp;" AS STRING)) IS NULL OR CAST(X."&amp;F315&amp;" AS STRING) NOT "&amp;H315&amp;",1,0)) AS NUM_REG_DIF,'"&amp;MAX('ID1&amp;5'!K:K)+1&amp;"' AS ID_EXEC, CURRENT_TIMESTAMP() AS TIME_EXEC FROM "&amp;I315,"SELECT '"&amp;UPPER(B315)&amp;"' AS TABELA, '"&amp;UPPER(C315)&amp;"' AS TIPOLOGIA_TESTE,'"&amp;D315&amp;"' AS TABELA_LT,'N/A' AS TABELA_SIMUL,'"&amp;F315&amp;"' AS CAMPO, "&amp;"'${ref_date}' AS REF_DATE, COUNT(*) AS NUM_REG, SUM(IF(TRIM(CAST(X."&amp;F315&amp;" AS STRING))='' OR TRIM(CAST(X."&amp;F315&amp;" AS STRING)) IS NULL,1,0)) AS NUM_REG_DIF,'"&amp;MAX('ID1&amp;5'!K:K)+1&amp;"' AS ID_EXEC, CURRENT_TIMESTAMP() AS TIME_EXEC FROM "&amp;I315),
IF(C315="Caracteres Especiais",+"SELECT '"&amp;UPPER(B315)&amp;"' AS TABELA, '"&amp;UPPER(C315)&amp;"' AS TIPOLOGIA_TESTE,'"&amp;D315&amp;"' AS TABELA_LT,'N/A' AS TABELA_SIMUL,'"&amp;F315&amp;"' AS CAMPO, "&amp;"'${ref_date}' AS REF_DATE, COUNT(*) AS NUM_REG, SUM(IF(INSTR(CAST(X."&amp;F315&amp;" AS STRING),'#')&gt;0 OR INSTR(CAST(X."&amp;F315&amp;" AS STRING),'*')&gt;0 OR INSTR(CAST(X."&amp;F315&amp;" AS STRING),'`')&gt;0 OR INSTR(CAST(X."&amp;F315&amp;" AS STRING),'´')&gt;0 OR INSTR(CAST(X."&amp;F315&amp;" AS STRING),'{')&gt;0 OR INSTR(CAST(X."&amp;F315&amp;" AS STRING),'}')&gt;0 OR INSTR(CAST(X."&amp;F315&amp;" AS STRING),'[')&gt;0 OR INSTR(CAST(X."&amp;F315&amp;" AS STRING),'')&gt;0 OR INSTR(CAST(X."&amp;F315&amp;" AS STRING),']')&gt;0 OR INSTR(CAST(X."&amp;F315&amp;" AS STRING),'?')&gt;0 OR INSTR(CAST(X."&amp;F315&amp;" AS STRING),'!')&gt;0 OR INSTR(CAST(X."&amp;F315&amp;" AS STRING),'$')&gt;0 OR INSTR(CAST(X."&amp;F315&amp;" AS STRING),'%')&gt;0 OR INSTR(CAST(X."&amp;F315&amp;" AS STRING),'&amp;')&gt;0 OR INSTR(CAST(X."&amp;F315&amp;" AS STRING),'+')&gt;0,1,0)) AS NUM_REG_DIF,'"&amp;MAX('ID1&amp;5'!K:K)+1&amp;"' AS ID_EXEC, CURRENT_TIMESTAMP() AS TIME_EXEC FROM "&amp;I315,
IF(C315="Missings",+"SELECT '"&amp;UPPER(B315)&amp;"' AS TABELA, '"&amp;UPPER(C315)&amp;"' AS TIPOLOGIA_TESTE,'"&amp;D315&amp;"' AS TABELA_LT,'N/A' AS TABELA_SIMUL,'"&amp;F315&amp;"' AS CAMPO, "&amp;"'${ref_date}' AS REF_DATE, COUNT(*) AS NUM_REG, SUM(IF(TRIM(CAST(X."&amp;F315&amp;" AS STRING)) IN ('0000-00-00','0001-01-01','9999-12-31','MISS','00000','99999999999','99999999999.00','99999999999.000000'),1,0)) AS NUM_REG_DIF,'"&amp;MAX('ID1&amp;5'!K:K)+1&amp;"' AS ID_EXEC, CURRENT_TIMESTAMP() AS TIME_EXEC FROM "&amp;I315,
IF(C315="Not applicable",+"SELECT '"&amp;UPPER(B315)&amp;"' AS TABELA, '"&amp;UPPER(C315)&amp;"' AS TIPOLOGIA_TESTE,'"&amp;D315&amp;"' AS TABELA_LT,'N/A' AS TABELA_SIMUL,'"&amp;F315&amp;"' AS CAMPO, "&amp;"'${ref_date}' AS REF_DATE, COUNT(*) AS NUM_REG, SUM(IF(TRIM(CAST(X."&amp;F315&amp;" AS STRING)) IN ('N/A','11111111111','11111111111.00','11111111111.000000','1111-11-11'),1,0)) AS NUM_REG_DIF,'"&amp;MAX('ID1&amp;5'!K:K)+1&amp;"' AS ID_EXEC, CURRENT_TIMESTAMP() AS TIME_EXEC FROM "&amp;I315,
IF(C315="Valores extremos",+"SELECT '"&amp;UPPER(B315)&amp;"' AS TABELA, '"&amp;UPPER(C315)&amp;"' AS TIPOLOGIA_TESTE,'"&amp;D315&amp;"' AS TABELA_LT,'N/A' AS TABELA_SIMUL,'"&amp;F315&amp;"' AS CAMPO, "&amp;"'${ref_date}' AS REF_DATE, CAST(MIN("&amp;F315&amp;") AS STRING) AS VALOR_MIN, CAST(MAX("&amp;F315&amp;") AS STRING) AS VALOR_MAX,'"&amp;MAX('ID1&amp;5'!K:K)+1&amp;"' AS ID_EXEC, CURRENT_TIMESTAMP() AS TIME_EXEC FROM "&amp;MID(I315,1,LEN(I315)-2)&amp;" AND CAST("&amp;F315&amp;"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TABELA_SIMUL,'PURE_CAPEX_CCA' AS CAMPO, '${ref_date}' AS REF_DATE, COUNT(*) AS NUM_REG, SUM(IF(TRIM(CAST(X.PURE_CAPEX_CCA AS STRING)) IN ('0000-00-00','0001-01-01','9999-12-31','MISS','00000','99999999999','99999999999.00','99999999999.000000'),1,0)) AS NUM_REG_DIF,'10' AS ID_EXEC, CURRENT_TIMESTAMP() AS TIME_EXEC FROM (SELECT entty_id, PURE_CAPEX_CCA FROM BU_LOANTAPE_WORK.LT003_ENTITY WHERE ref_date='${ref_date}' AND nome_perimetro='Individual Corporativo' AND segmento='ESTR' AND ambito='PILAR3')X</v>
      </c>
      <c r="M315" s="43" t="str">
        <f t="shared" si="5"/>
        <v>UNION ALL SELECT 'ENTITY' AS TABELA, 'MISSINGS' AS TIPOLOGIA_TESTE,'BU_LOANTAPE_WORK.LT003_ENTITY' AS TABELA_LT,'N/A' AS TABELA_SIMUL,'PURE_CAPEX_CCA' AS CAMPO, '${ref_date}' AS REF_DATE, COUNT(*) AS NUM_REG, SUM(IF(TRIM(CAST(X.PURE_CAPEX_CCA AS STRING)) IN ('0000-00-00','0001-01-01','9999-12-31','MISS','00000','99999999999','99999999999.00','99999999999.000000'),1,0)) AS NUM_REG_DIF,'10' AS ID_EXEC, CURRENT_TIMESTAMP() AS TIME_EXEC FROM (SELECT entty_id, PURE_CAPEX_CCA FROM BU_LOANTAPE_WORK.LT003_ENTITY WHERE ref_date='${ref_date}' AND nome_perimetro='Individual Corporativo' AND segmento='ESTR' AND ambito='PILAR3')X</v>
      </c>
      <c r="N315" s="45" t="s">
        <v>13</v>
      </c>
    </row>
    <row r="316" spans="2:14">
      <c r="B316" s="41" t="s">
        <v>23</v>
      </c>
      <c r="C316" s="41" t="s">
        <v>77</v>
      </c>
      <c r="D316" s="41" t="str">
        <f>+UPPER('0. Instruções'!$D$33&amp;"."&amp;VLOOKUP(B316,'0. Instruções'!$C$27:$D$31,2,FALSE))</f>
        <v>BU_LOANTAPE_WORK.LT003_ENTITY</v>
      </c>
      <c r="E316" s="41" t="str">
        <f>+UPPER('0. Instruções'!$D$34&amp;"."&amp;VLOOKUP(B316,'0. Instruções'!$C$27:$E$31,3,FALSE))</f>
        <v>BU_LOANTAPE_WORK.LT003_ENTTY_P3_NOV24</v>
      </c>
      <c r="F316" s="41" t="s">
        <v>111</v>
      </c>
      <c r="G316" s="41" t="s">
        <v>210</v>
      </c>
      <c r="H316" s="41"/>
      <c r="I316" s="41" t="str">
        <f>"(SELECT "&amp;VLOOKUP(B316,'0. Instruções'!$C$27:$G$31,4,FALSE)&amp;", "&amp;F316&amp;" FROM "&amp;D316&amp;" WHERE "&amp;'0. Instruções'!$D$40&amp;")X"</f>
        <v>(SELECT entty_id, ENBLNG_TRNVR_CCM FROM BU_LOANTAPE_WORK.LT003_ENTITY WHERE ref_date='${ref_date}' AND nome_perimetro='Individual Corporativo' AND segmento='ESTR' AND ambito='PILAR3')X</v>
      </c>
      <c r="J316" s="41" t="str">
        <f>"(SELECT "&amp;VLOOKUP(B316,'0. Instruções'!$C$27:$G$31,4,FALSE)&amp;" AS "&amp;VLOOKUP(B316,'0. Instruções'!$C$27:$G$31,4,FALSE)&amp;"_SIMUL, "&amp;F316&amp;" AS "&amp;F316&amp;"_SIMUL FROM "&amp;E316&amp;")Y"</f>
        <v>(SELECT entty_id AS entty_id_SIMUL, ENBLNG_TRNVR_CCM AS ENBLNG_TRNVR_CCM_SIMUL FROM BU_LOANTAPE_WORK.LT003_ENTTY_P3_NOV24)Y</v>
      </c>
      <c r="K316" s="42" t="str">
        <f>+UPPER("ON X."&amp;VLOOKUP(B316,'0. Instruções'!$C$27:$G$31,4,FALSE)&amp;"=Y."&amp;VLOOKUP(B316,'0. Instruções'!$C$27:$G$31,4,FALSE)&amp;"_SIMUL")</f>
        <v>ON X.ENTTY_ID=Y.ENTTY_ID_SIMUL</v>
      </c>
      <c r="L316" s="42" t="str">
        <f>+IF(C316="Coerência", +IF(LEFT(G316,5)="FLOAT","SELECT '"&amp;UPPER(B316)&amp;"' AS TABELA, '"&amp;UPPER(C316)&amp;"' AS TIPOLOGIA_TESTE,'"&amp;D316&amp;"' AS TABELA_LT,'"&amp;E316&amp;"' AS TABELA_SIMUL,'"&amp;F316&amp;"' AS CAMPO, "&amp;"'${ref_date}' AS REF_DATE, COUNT(*) AS NUM_REG, SUM(IF((ABS(COALESCE(X."&amp;F316&amp;",0)-COALESCE(Y."&amp;F316&amp;"_SIMUL,0))&gt;0.0000000001) OR (X."&amp;F316&amp;" IS NULL AND Y."&amp;F316&amp;"_SIMUL IS NOT NULL ) OR (X."&amp;F316&amp;" IS NOT NULL AND Y."&amp;F316&amp;"_SIMUL IS NULL),1,0)) AS NUM_REG_DIF,'"&amp;MAX('ID1&amp;5'!K:K)+1&amp;"' AS ID_EXEC, CURRENT_TIMESTAMP() AS TIME_EXEC FROM "&amp;I316&amp;" INNER JOIN "&amp;J316&amp;" "&amp;K316,"SELECT '"&amp;UPPER(B316)&amp;"' AS TABELA, '"&amp;UPPER(C316)&amp;"' AS TIPOLOGIA_TESTE,'"&amp;D316&amp;"' AS TABELA_LT,'"&amp;E316&amp;"' AS TABELA_SIMUL,'"&amp;F316&amp;"' AS CAMPO, "&amp;"'${ref_date}' AS REF_DATE, COUNT(*) AS NUM_REG, SUM(IF(COALESCE(CAST(X."&amp;F316&amp;" AS STRING),'')&lt;&gt;COALESCE(CAST(Y."&amp;F316&amp;"_SIMUL AS STRING),''),1,0)) AS NUM_REG_DIF,'"&amp;MAX('ID1&amp;5'!L:L)+1&amp;"' AS ID_EXEC, CURRENT_TIMESTAMP() AS TIME_EXEC FROM "&amp;I316&amp;" INNER JOIN "&amp;J316&amp;" "&amp;K316),
IF(C316="Validade",+IF(G316="Code List","SELECT '"&amp;UPPER(B316)&amp;"' AS TABELA, '"&amp;UPPER(C316)&amp;"' AS TIPOLOGIA_TESTE,'"&amp;D316&amp;"' AS TABELA_LT,'N/A' AS TABELA_SIMUL,'"&amp;F316&amp;"' AS CAMPO, "&amp;"'${ref_date}' AS REF_DATE, COUNT(*) AS NUM_REG, SUM(IF(TRIM(CAST(X."&amp;F316&amp;" AS STRING))='' OR TRIM(CAST(X."&amp;F316&amp;" AS STRING)) IS NULL OR CAST(X."&amp;F316&amp;" AS STRING) NOT "&amp;H316&amp;",1,0)) AS NUM_REG_DIF,'"&amp;MAX('ID1&amp;5'!K:K)+1&amp;"' AS ID_EXEC, CURRENT_TIMESTAMP() AS TIME_EXEC FROM "&amp;I316,"SELECT '"&amp;UPPER(B316)&amp;"' AS TABELA, '"&amp;UPPER(C316)&amp;"' AS TIPOLOGIA_TESTE,'"&amp;D316&amp;"' AS TABELA_LT,'N/A' AS TABELA_SIMUL,'"&amp;F316&amp;"' AS CAMPO, "&amp;"'${ref_date}' AS REF_DATE, COUNT(*) AS NUM_REG, SUM(IF(TRIM(CAST(X."&amp;F316&amp;" AS STRING))='' OR TRIM(CAST(X."&amp;F316&amp;" AS STRING)) IS NULL,1,0)) AS NUM_REG_DIF,'"&amp;MAX('ID1&amp;5'!K:K)+1&amp;"' AS ID_EXEC, CURRENT_TIMESTAMP() AS TIME_EXEC FROM "&amp;I316),
IF(C316="Caracteres Especiais",+"SELECT '"&amp;UPPER(B316)&amp;"' AS TABELA, '"&amp;UPPER(C316)&amp;"' AS TIPOLOGIA_TESTE,'"&amp;D316&amp;"' AS TABELA_LT,'N/A' AS TABELA_SIMUL,'"&amp;F316&amp;"' AS CAMPO, "&amp;"'${ref_date}' AS REF_DATE, COUNT(*) AS NUM_REG, SUM(IF(INSTR(CAST(X."&amp;F316&amp;" AS STRING),'#')&gt;0 OR INSTR(CAST(X."&amp;F316&amp;" AS STRING),'*')&gt;0 OR INSTR(CAST(X."&amp;F316&amp;" AS STRING),'`')&gt;0 OR INSTR(CAST(X."&amp;F316&amp;" AS STRING),'´')&gt;0 OR INSTR(CAST(X."&amp;F316&amp;" AS STRING),'{')&gt;0 OR INSTR(CAST(X."&amp;F316&amp;" AS STRING),'}')&gt;0 OR INSTR(CAST(X."&amp;F316&amp;" AS STRING),'[')&gt;0 OR INSTR(CAST(X."&amp;F316&amp;" AS STRING),'')&gt;0 OR INSTR(CAST(X."&amp;F316&amp;" AS STRING),']')&gt;0 OR INSTR(CAST(X."&amp;F316&amp;" AS STRING),'?')&gt;0 OR INSTR(CAST(X."&amp;F316&amp;" AS STRING),'!')&gt;0 OR INSTR(CAST(X."&amp;F316&amp;" AS STRING),'$')&gt;0 OR INSTR(CAST(X."&amp;F316&amp;" AS STRING),'%')&gt;0 OR INSTR(CAST(X."&amp;F316&amp;" AS STRING),'&amp;')&gt;0 OR INSTR(CAST(X."&amp;F316&amp;" AS STRING),'+')&gt;0,1,0)) AS NUM_REG_DIF,'"&amp;MAX('ID1&amp;5'!K:K)+1&amp;"' AS ID_EXEC, CURRENT_TIMESTAMP() AS TIME_EXEC FROM "&amp;I316,
IF(C316="Missings",+"SELECT '"&amp;UPPER(B316)&amp;"' AS TABELA, '"&amp;UPPER(C316)&amp;"' AS TIPOLOGIA_TESTE,'"&amp;D316&amp;"' AS TABELA_LT,'N/A' AS TABELA_SIMUL,'"&amp;F316&amp;"' AS CAMPO, "&amp;"'${ref_date}' AS REF_DATE, COUNT(*) AS NUM_REG, SUM(IF(TRIM(CAST(X."&amp;F316&amp;" AS STRING)) IN ('0000-00-00','0001-01-01','9999-12-31','MISS','00000','99999999999','99999999999.00','99999999999.000000'),1,0)) AS NUM_REG_DIF,'"&amp;MAX('ID1&amp;5'!K:K)+1&amp;"' AS ID_EXEC, CURRENT_TIMESTAMP() AS TIME_EXEC FROM "&amp;I316,
IF(C316="Not applicable",+"SELECT '"&amp;UPPER(B316)&amp;"' AS TABELA, '"&amp;UPPER(C316)&amp;"' AS TIPOLOGIA_TESTE,'"&amp;D316&amp;"' AS TABELA_LT,'N/A' AS TABELA_SIMUL,'"&amp;F316&amp;"' AS CAMPO, "&amp;"'${ref_date}' AS REF_DATE, COUNT(*) AS NUM_REG, SUM(IF(TRIM(CAST(X."&amp;F316&amp;" AS STRING)) IN ('N/A','11111111111','11111111111.00','11111111111.000000','1111-11-11'),1,0)) AS NUM_REG_DIF,'"&amp;MAX('ID1&amp;5'!K:K)+1&amp;"' AS ID_EXEC, CURRENT_TIMESTAMP() AS TIME_EXEC FROM "&amp;I316,
IF(C316="Valores extremos",+"SELECT '"&amp;UPPER(B316)&amp;"' AS TABELA, '"&amp;UPPER(C316)&amp;"' AS TIPOLOGIA_TESTE,'"&amp;D316&amp;"' AS TABELA_LT,'N/A' AS TABELA_SIMUL,'"&amp;F316&amp;"' AS CAMPO, "&amp;"'${ref_date}' AS REF_DATE, CAST(MIN("&amp;F316&amp;") AS STRING) AS VALOR_MIN, CAST(MAX("&amp;F316&amp;") AS STRING) AS VALOR_MAX,'"&amp;MAX('ID1&amp;5'!K:K)+1&amp;"' AS ID_EXEC, CURRENT_TIMESTAMP() AS TIME_EXEC FROM "&amp;MID(I316,1,LEN(I316)-2)&amp;" AND CAST("&amp;F316&amp;"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TABELA_SIMUL,'ENBLNG_TRNVR_CCM' AS CAMPO, '${ref_date}' AS REF_DATE, COUNT(*) AS NUM_REG, SUM(IF(TRIM(CAST(X.ENBLNG_TRNVR_CCM AS STRING)) IN ('0000-00-00','0001-01-01','9999-12-31','MISS','00000','99999999999','99999999999.00','99999999999.000000'),1,0)) AS NUM_REG_DIF,'10' AS ID_EXEC, CURRENT_TIMESTAMP() AS TIME_EXEC FROM (SELECT entty_id, ENBLNG_TRNVR_CCM FROM BU_LOANTAPE_WORK.LT003_ENTITY WHERE ref_date='${ref_date}' AND nome_perimetro='Individual Corporativo' AND segmento='ESTR' AND ambito='PILAR3')X</v>
      </c>
      <c r="M316" s="43" t="str">
        <f t="shared" si="5"/>
        <v>UNION ALL SELECT 'ENTITY' AS TABELA, 'MISSINGS' AS TIPOLOGIA_TESTE,'BU_LOANTAPE_WORK.LT003_ENTITY' AS TABELA_LT,'N/A' AS TABELA_SIMUL,'ENBLNG_TRNVR_CCM' AS CAMPO, '${ref_date}' AS REF_DATE, COUNT(*) AS NUM_REG, SUM(IF(TRIM(CAST(X.ENBLNG_TRNVR_CCM AS STRING)) IN ('0000-00-00','0001-01-01','9999-12-31','MISS','00000','99999999999','99999999999.00','99999999999.000000'),1,0)) AS NUM_REG_DIF,'10' AS ID_EXEC, CURRENT_TIMESTAMP() AS TIME_EXEC FROM (SELECT entty_id, ENBLNG_TRNVR_CCM FROM BU_LOANTAPE_WORK.LT003_ENTITY WHERE ref_date='${ref_date}' AND nome_perimetro='Individual Corporativo' AND segmento='ESTR' AND ambito='PILAR3')X</v>
      </c>
      <c r="N316" s="45" t="s">
        <v>13</v>
      </c>
    </row>
    <row r="317" spans="2:14">
      <c r="B317" s="41" t="s">
        <v>23</v>
      </c>
      <c r="C317" s="41" t="s">
        <v>77</v>
      </c>
      <c r="D317" s="41" t="str">
        <f>+UPPER('0. Instruções'!$D$33&amp;"."&amp;VLOOKUP(B317,'0. Instruções'!$C$27:$D$31,2,FALSE))</f>
        <v>BU_LOANTAPE_WORK.LT003_ENTITY</v>
      </c>
      <c r="E317" s="41" t="str">
        <f>+UPPER('0. Instruções'!$D$34&amp;"."&amp;VLOOKUP(B317,'0. Instruções'!$C$27:$E$31,3,FALSE))</f>
        <v>BU_LOANTAPE_WORK.LT003_ENTTY_P3_NOV24</v>
      </c>
      <c r="F317" s="41" t="s">
        <v>112</v>
      </c>
      <c r="G317" s="41" t="s">
        <v>210</v>
      </c>
      <c r="H317" s="41"/>
      <c r="I317" s="41" t="str">
        <f>"(SELECT "&amp;VLOOKUP(B317,'0. Instruções'!$C$27:$G$31,4,FALSE)&amp;", "&amp;F317&amp;" FROM "&amp;D317&amp;" WHERE "&amp;'0. Instruções'!$D$40&amp;")X"</f>
        <v>(SELECT entty_id, ENBLNG_TRNVR_CCA FROM BU_LOANTAPE_WORK.LT003_ENTITY WHERE ref_date='${ref_date}' AND nome_perimetro='Individual Corporativo' AND segmento='ESTR' AND ambito='PILAR3')X</v>
      </c>
      <c r="J317" s="41" t="str">
        <f>"(SELECT "&amp;VLOOKUP(B317,'0. Instruções'!$C$27:$G$31,4,FALSE)&amp;" AS "&amp;VLOOKUP(B317,'0. Instruções'!$C$27:$G$31,4,FALSE)&amp;"_SIMUL, "&amp;F317&amp;" AS "&amp;F317&amp;"_SIMUL FROM "&amp;E317&amp;")Y"</f>
        <v>(SELECT entty_id AS entty_id_SIMUL, ENBLNG_TRNVR_CCA AS ENBLNG_TRNVR_CCA_SIMUL FROM BU_LOANTAPE_WORK.LT003_ENTTY_P3_NOV24)Y</v>
      </c>
      <c r="K317" s="42" t="str">
        <f>+UPPER("ON X."&amp;VLOOKUP(B317,'0. Instruções'!$C$27:$G$31,4,FALSE)&amp;"=Y."&amp;VLOOKUP(B317,'0. Instruções'!$C$27:$G$31,4,FALSE)&amp;"_SIMUL")</f>
        <v>ON X.ENTTY_ID=Y.ENTTY_ID_SIMUL</v>
      </c>
      <c r="L317" s="42" t="str">
        <f>+IF(C317="Coerência", +IF(LEFT(G317,5)="FLOAT","SELECT '"&amp;UPPER(B317)&amp;"' AS TABELA, '"&amp;UPPER(C317)&amp;"' AS TIPOLOGIA_TESTE,'"&amp;D317&amp;"' AS TABELA_LT,'"&amp;E317&amp;"' AS TABELA_SIMUL,'"&amp;F317&amp;"' AS CAMPO, "&amp;"'${ref_date}' AS REF_DATE, COUNT(*) AS NUM_REG, SUM(IF((ABS(COALESCE(X."&amp;F317&amp;",0)-COALESCE(Y."&amp;F317&amp;"_SIMUL,0))&gt;0.0000000001) OR (X."&amp;F317&amp;" IS NULL AND Y."&amp;F317&amp;"_SIMUL IS NOT NULL ) OR (X."&amp;F317&amp;" IS NOT NULL AND Y."&amp;F317&amp;"_SIMUL IS NULL),1,0)) AS NUM_REG_DIF,'"&amp;MAX('ID1&amp;5'!K:K)+1&amp;"' AS ID_EXEC, CURRENT_TIMESTAMP() AS TIME_EXEC FROM "&amp;I317&amp;" INNER JOIN "&amp;J317&amp;" "&amp;K317,"SELECT '"&amp;UPPER(B317)&amp;"' AS TABELA, '"&amp;UPPER(C317)&amp;"' AS TIPOLOGIA_TESTE,'"&amp;D317&amp;"' AS TABELA_LT,'"&amp;E317&amp;"' AS TABELA_SIMUL,'"&amp;F317&amp;"' AS CAMPO, "&amp;"'${ref_date}' AS REF_DATE, COUNT(*) AS NUM_REG, SUM(IF(COALESCE(CAST(X."&amp;F317&amp;" AS STRING),'')&lt;&gt;COALESCE(CAST(Y."&amp;F317&amp;"_SIMUL AS STRING),''),1,0)) AS NUM_REG_DIF,'"&amp;MAX('ID1&amp;5'!L:L)+1&amp;"' AS ID_EXEC, CURRENT_TIMESTAMP() AS TIME_EXEC FROM "&amp;I317&amp;" INNER JOIN "&amp;J317&amp;" "&amp;K317),
IF(C317="Validade",+IF(G317="Code List","SELECT '"&amp;UPPER(B317)&amp;"' AS TABELA, '"&amp;UPPER(C317)&amp;"' AS TIPOLOGIA_TESTE,'"&amp;D317&amp;"' AS TABELA_LT,'N/A' AS TABELA_SIMUL,'"&amp;F317&amp;"' AS CAMPO, "&amp;"'${ref_date}' AS REF_DATE, COUNT(*) AS NUM_REG, SUM(IF(TRIM(CAST(X."&amp;F317&amp;" AS STRING))='' OR TRIM(CAST(X."&amp;F317&amp;" AS STRING)) IS NULL OR CAST(X."&amp;F317&amp;" AS STRING) NOT "&amp;H317&amp;",1,0)) AS NUM_REG_DIF,'"&amp;MAX('ID1&amp;5'!K:K)+1&amp;"' AS ID_EXEC, CURRENT_TIMESTAMP() AS TIME_EXEC FROM "&amp;I317,"SELECT '"&amp;UPPER(B317)&amp;"' AS TABELA, '"&amp;UPPER(C317)&amp;"' AS TIPOLOGIA_TESTE,'"&amp;D317&amp;"' AS TABELA_LT,'N/A' AS TABELA_SIMUL,'"&amp;F317&amp;"' AS CAMPO, "&amp;"'${ref_date}' AS REF_DATE, COUNT(*) AS NUM_REG, SUM(IF(TRIM(CAST(X."&amp;F317&amp;" AS STRING))='' OR TRIM(CAST(X."&amp;F317&amp;" AS STRING)) IS NULL,1,0)) AS NUM_REG_DIF,'"&amp;MAX('ID1&amp;5'!K:K)+1&amp;"' AS ID_EXEC, CURRENT_TIMESTAMP() AS TIME_EXEC FROM "&amp;I317),
IF(C317="Caracteres Especiais",+"SELECT '"&amp;UPPER(B317)&amp;"' AS TABELA, '"&amp;UPPER(C317)&amp;"' AS TIPOLOGIA_TESTE,'"&amp;D317&amp;"' AS TABELA_LT,'N/A' AS TABELA_SIMUL,'"&amp;F317&amp;"' AS CAMPO, "&amp;"'${ref_date}' AS REF_DATE, COUNT(*) AS NUM_REG, SUM(IF(INSTR(CAST(X."&amp;F317&amp;" AS STRING),'#')&gt;0 OR INSTR(CAST(X."&amp;F317&amp;" AS STRING),'*')&gt;0 OR INSTR(CAST(X."&amp;F317&amp;" AS STRING),'`')&gt;0 OR INSTR(CAST(X."&amp;F317&amp;" AS STRING),'´')&gt;0 OR INSTR(CAST(X."&amp;F317&amp;" AS STRING),'{')&gt;0 OR INSTR(CAST(X."&amp;F317&amp;" AS STRING),'}')&gt;0 OR INSTR(CAST(X."&amp;F317&amp;" AS STRING),'[')&gt;0 OR INSTR(CAST(X."&amp;F317&amp;" AS STRING),'')&gt;0 OR INSTR(CAST(X."&amp;F317&amp;" AS STRING),']')&gt;0 OR INSTR(CAST(X."&amp;F317&amp;" AS STRING),'?')&gt;0 OR INSTR(CAST(X."&amp;F317&amp;" AS STRING),'!')&gt;0 OR INSTR(CAST(X."&amp;F317&amp;" AS STRING),'$')&gt;0 OR INSTR(CAST(X."&amp;F317&amp;" AS STRING),'%')&gt;0 OR INSTR(CAST(X."&amp;F317&amp;" AS STRING),'&amp;')&gt;0 OR INSTR(CAST(X."&amp;F317&amp;" AS STRING),'+')&gt;0,1,0)) AS NUM_REG_DIF,'"&amp;MAX('ID1&amp;5'!K:K)+1&amp;"' AS ID_EXEC, CURRENT_TIMESTAMP() AS TIME_EXEC FROM "&amp;I317,
IF(C317="Missings",+"SELECT '"&amp;UPPER(B317)&amp;"' AS TABELA, '"&amp;UPPER(C317)&amp;"' AS TIPOLOGIA_TESTE,'"&amp;D317&amp;"' AS TABELA_LT,'N/A' AS TABELA_SIMUL,'"&amp;F317&amp;"' AS CAMPO, "&amp;"'${ref_date}' AS REF_DATE, COUNT(*) AS NUM_REG, SUM(IF(TRIM(CAST(X."&amp;F317&amp;" AS STRING)) IN ('0000-00-00','0001-01-01','9999-12-31','MISS','00000','99999999999','99999999999.00','99999999999.000000'),1,0)) AS NUM_REG_DIF,'"&amp;MAX('ID1&amp;5'!K:K)+1&amp;"' AS ID_EXEC, CURRENT_TIMESTAMP() AS TIME_EXEC FROM "&amp;I317,
IF(C317="Not applicable",+"SELECT '"&amp;UPPER(B317)&amp;"' AS TABELA, '"&amp;UPPER(C317)&amp;"' AS TIPOLOGIA_TESTE,'"&amp;D317&amp;"' AS TABELA_LT,'N/A' AS TABELA_SIMUL,'"&amp;F317&amp;"' AS CAMPO, "&amp;"'${ref_date}' AS REF_DATE, COUNT(*) AS NUM_REG, SUM(IF(TRIM(CAST(X."&amp;F317&amp;" AS STRING)) IN ('N/A','11111111111','11111111111.00','11111111111.000000','1111-11-11'),1,0)) AS NUM_REG_DIF,'"&amp;MAX('ID1&amp;5'!K:K)+1&amp;"' AS ID_EXEC, CURRENT_TIMESTAMP() AS TIME_EXEC FROM "&amp;I317,
IF(C317="Valores extremos",+"SELECT '"&amp;UPPER(B317)&amp;"' AS TABELA, '"&amp;UPPER(C317)&amp;"' AS TIPOLOGIA_TESTE,'"&amp;D317&amp;"' AS TABELA_LT,'N/A' AS TABELA_SIMUL,'"&amp;F317&amp;"' AS CAMPO, "&amp;"'${ref_date}' AS REF_DATE, CAST(MIN("&amp;F317&amp;") AS STRING) AS VALOR_MIN, CAST(MAX("&amp;F317&amp;") AS STRING) AS VALOR_MAX,'"&amp;MAX('ID1&amp;5'!K:K)+1&amp;"' AS ID_EXEC, CURRENT_TIMESTAMP() AS TIME_EXEC FROM "&amp;MID(I317,1,LEN(I317)-2)&amp;" AND CAST("&amp;F317&amp;"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TABELA_SIMUL,'ENBLNG_TRNVR_CCA' AS CAMPO, '${ref_date}' AS REF_DATE, COUNT(*) AS NUM_REG, SUM(IF(TRIM(CAST(X.ENBLNG_TRNVR_CCA AS STRING)) IN ('0000-00-00','0001-01-01','9999-12-31','MISS','00000','99999999999','99999999999.00','99999999999.000000'),1,0)) AS NUM_REG_DIF,'10' AS ID_EXEC, CURRENT_TIMESTAMP() AS TIME_EXEC FROM (SELECT entty_id, ENBLNG_TRNVR_CCA FROM BU_LOANTAPE_WORK.LT003_ENTITY WHERE ref_date='${ref_date}' AND nome_perimetro='Individual Corporativo' AND segmento='ESTR' AND ambito='PILAR3')X</v>
      </c>
      <c r="M317" s="43" t="str">
        <f t="shared" si="5"/>
        <v>UNION ALL SELECT 'ENTITY' AS TABELA, 'MISSINGS' AS TIPOLOGIA_TESTE,'BU_LOANTAPE_WORK.LT003_ENTITY' AS TABELA_LT,'N/A' AS TABELA_SIMUL,'ENBLNG_TRNVR_CCA' AS CAMPO, '${ref_date}' AS REF_DATE, COUNT(*) AS NUM_REG, SUM(IF(TRIM(CAST(X.ENBLNG_TRNVR_CCA AS STRING)) IN ('0000-00-00','0001-01-01','9999-12-31','MISS','00000','99999999999','99999999999.00','99999999999.000000'),1,0)) AS NUM_REG_DIF,'10' AS ID_EXEC, CURRENT_TIMESTAMP() AS TIME_EXEC FROM (SELECT entty_id, ENBLNG_TRNVR_CCA FROM BU_LOANTAPE_WORK.LT003_ENTITY WHERE ref_date='${ref_date}' AND nome_perimetro='Individual Corporativo' AND segmento='ESTR' AND ambito='PILAR3')X</v>
      </c>
      <c r="N317" s="45" t="s">
        <v>13</v>
      </c>
    </row>
    <row r="318" spans="2:14">
      <c r="B318" s="41" t="s">
        <v>23</v>
      </c>
      <c r="C318" s="41" t="s">
        <v>77</v>
      </c>
      <c r="D318" s="41" t="str">
        <f>+UPPER('0. Instruções'!$D$33&amp;"."&amp;VLOOKUP(B318,'0. Instruções'!$C$27:$D$31,2,FALSE))</f>
        <v>BU_LOANTAPE_WORK.LT003_ENTITY</v>
      </c>
      <c r="E318" s="41" t="str">
        <f>+UPPER('0. Instruções'!$D$34&amp;"."&amp;VLOOKUP(B318,'0. Instruções'!$C$27:$E$31,3,FALSE))</f>
        <v>BU_LOANTAPE_WORK.LT003_ENTTY_P3_NOV24</v>
      </c>
      <c r="F318" s="41" t="s">
        <v>113</v>
      </c>
      <c r="G318" s="41" t="s">
        <v>210</v>
      </c>
      <c r="H318" s="41"/>
      <c r="I318" s="41" t="str">
        <f>"(SELECT "&amp;VLOOKUP(B318,'0. Instruções'!$C$27:$G$31,4,FALSE)&amp;", "&amp;F318&amp;" FROM "&amp;D318&amp;" WHERE "&amp;'0. Instruções'!$D$40&amp;")X"</f>
        <v>(SELECT entty_id, TRNSTNL_TRNVR FROM BU_LOANTAPE_WORK.LT003_ENTITY WHERE ref_date='${ref_date}' AND nome_perimetro='Individual Corporativo' AND segmento='ESTR' AND ambito='PILAR3')X</v>
      </c>
      <c r="J318" s="41" t="str">
        <f>"(SELECT "&amp;VLOOKUP(B318,'0. Instruções'!$C$27:$G$31,4,FALSE)&amp;" AS "&amp;VLOOKUP(B318,'0. Instruções'!$C$27:$G$31,4,FALSE)&amp;"_SIMUL, "&amp;F318&amp;" AS "&amp;F318&amp;"_SIMUL FROM "&amp;E318&amp;")Y"</f>
        <v>(SELECT entty_id AS entty_id_SIMUL, TRNSTNL_TRNVR AS TRNSTNL_TRNVR_SIMUL FROM BU_LOANTAPE_WORK.LT003_ENTTY_P3_NOV24)Y</v>
      </c>
      <c r="K318" s="42" t="str">
        <f>+UPPER("ON X."&amp;VLOOKUP(B318,'0. Instruções'!$C$27:$G$31,4,FALSE)&amp;"=Y."&amp;VLOOKUP(B318,'0. Instruções'!$C$27:$G$31,4,FALSE)&amp;"_SIMUL")</f>
        <v>ON X.ENTTY_ID=Y.ENTTY_ID_SIMUL</v>
      </c>
      <c r="L318" s="42" t="str">
        <f>+IF(C318="Coerência", +IF(LEFT(G318,5)="FLOAT","SELECT '"&amp;UPPER(B318)&amp;"' AS TABELA, '"&amp;UPPER(C318)&amp;"' AS TIPOLOGIA_TESTE,'"&amp;D318&amp;"' AS TABELA_LT,'"&amp;E318&amp;"' AS TABELA_SIMUL,'"&amp;F318&amp;"' AS CAMPO, "&amp;"'${ref_date}' AS REF_DATE, COUNT(*) AS NUM_REG, SUM(IF((ABS(COALESCE(X."&amp;F318&amp;",0)-COALESCE(Y."&amp;F318&amp;"_SIMUL,0))&gt;0.0000000001) OR (X."&amp;F318&amp;" IS NULL AND Y."&amp;F318&amp;"_SIMUL IS NOT NULL ) OR (X."&amp;F318&amp;" IS NOT NULL AND Y."&amp;F318&amp;"_SIMUL IS NULL),1,0)) AS NUM_REG_DIF,'"&amp;MAX('ID1&amp;5'!K:K)+1&amp;"' AS ID_EXEC, CURRENT_TIMESTAMP() AS TIME_EXEC FROM "&amp;I318&amp;" INNER JOIN "&amp;J318&amp;" "&amp;K318,"SELECT '"&amp;UPPER(B318)&amp;"' AS TABELA, '"&amp;UPPER(C318)&amp;"' AS TIPOLOGIA_TESTE,'"&amp;D318&amp;"' AS TABELA_LT,'"&amp;E318&amp;"' AS TABELA_SIMUL,'"&amp;F318&amp;"' AS CAMPO, "&amp;"'${ref_date}' AS REF_DATE, COUNT(*) AS NUM_REG, SUM(IF(COALESCE(CAST(X."&amp;F318&amp;" AS STRING),'')&lt;&gt;COALESCE(CAST(Y."&amp;F318&amp;"_SIMUL AS STRING),''),1,0)) AS NUM_REG_DIF,'"&amp;MAX('ID1&amp;5'!L:L)+1&amp;"' AS ID_EXEC, CURRENT_TIMESTAMP() AS TIME_EXEC FROM "&amp;I318&amp;" INNER JOIN "&amp;J318&amp;" "&amp;K318),
IF(C318="Validade",+IF(G318="Code List","SELECT '"&amp;UPPER(B318)&amp;"' AS TABELA, '"&amp;UPPER(C318)&amp;"' AS TIPOLOGIA_TESTE,'"&amp;D318&amp;"' AS TABELA_LT,'N/A' AS TABELA_SIMUL,'"&amp;F318&amp;"' AS CAMPO, "&amp;"'${ref_date}' AS REF_DATE, COUNT(*) AS NUM_REG, SUM(IF(TRIM(CAST(X."&amp;F318&amp;" AS STRING))='' OR TRIM(CAST(X."&amp;F318&amp;" AS STRING)) IS NULL OR CAST(X."&amp;F318&amp;" AS STRING) NOT "&amp;H318&amp;",1,0)) AS NUM_REG_DIF,'"&amp;MAX('ID1&amp;5'!K:K)+1&amp;"' AS ID_EXEC, CURRENT_TIMESTAMP() AS TIME_EXEC FROM "&amp;I318,"SELECT '"&amp;UPPER(B318)&amp;"' AS TABELA, '"&amp;UPPER(C318)&amp;"' AS TIPOLOGIA_TESTE,'"&amp;D318&amp;"' AS TABELA_LT,'N/A' AS TABELA_SIMUL,'"&amp;F318&amp;"' AS CAMPO, "&amp;"'${ref_date}' AS REF_DATE, COUNT(*) AS NUM_REG, SUM(IF(TRIM(CAST(X."&amp;F318&amp;" AS STRING))='' OR TRIM(CAST(X."&amp;F318&amp;" AS STRING)) IS NULL,1,0)) AS NUM_REG_DIF,'"&amp;MAX('ID1&amp;5'!K:K)+1&amp;"' AS ID_EXEC, CURRENT_TIMESTAMP() AS TIME_EXEC FROM "&amp;I318),
IF(C318="Caracteres Especiais",+"SELECT '"&amp;UPPER(B318)&amp;"' AS TABELA, '"&amp;UPPER(C318)&amp;"' AS TIPOLOGIA_TESTE,'"&amp;D318&amp;"' AS TABELA_LT,'N/A' AS TABELA_SIMUL,'"&amp;F318&amp;"' AS CAMPO, "&amp;"'${ref_date}' AS REF_DATE, COUNT(*) AS NUM_REG, SUM(IF(INSTR(CAST(X."&amp;F318&amp;" AS STRING),'#')&gt;0 OR INSTR(CAST(X."&amp;F318&amp;" AS STRING),'*')&gt;0 OR INSTR(CAST(X."&amp;F318&amp;" AS STRING),'`')&gt;0 OR INSTR(CAST(X."&amp;F318&amp;" AS STRING),'´')&gt;0 OR INSTR(CAST(X."&amp;F318&amp;" AS STRING),'{')&gt;0 OR INSTR(CAST(X."&amp;F318&amp;" AS STRING),'}')&gt;0 OR INSTR(CAST(X."&amp;F318&amp;" AS STRING),'[')&gt;0 OR INSTR(CAST(X."&amp;F318&amp;" AS STRING),'')&gt;0 OR INSTR(CAST(X."&amp;F318&amp;" AS STRING),']')&gt;0 OR INSTR(CAST(X."&amp;F318&amp;" AS STRING),'?')&gt;0 OR INSTR(CAST(X."&amp;F318&amp;" AS STRING),'!')&gt;0 OR INSTR(CAST(X."&amp;F318&amp;" AS STRING),'$')&gt;0 OR INSTR(CAST(X."&amp;F318&amp;" AS STRING),'%')&gt;0 OR INSTR(CAST(X."&amp;F318&amp;" AS STRING),'&amp;')&gt;0 OR INSTR(CAST(X."&amp;F318&amp;" AS STRING),'+')&gt;0,1,0)) AS NUM_REG_DIF,'"&amp;MAX('ID1&amp;5'!K:K)+1&amp;"' AS ID_EXEC, CURRENT_TIMESTAMP() AS TIME_EXEC FROM "&amp;I318,
IF(C318="Missings",+"SELECT '"&amp;UPPER(B318)&amp;"' AS TABELA, '"&amp;UPPER(C318)&amp;"' AS TIPOLOGIA_TESTE,'"&amp;D318&amp;"' AS TABELA_LT,'N/A' AS TABELA_SIMUL,'"&amp;F318&amp;"' AS CAMPO, "&amp;"'${ref_date}' AS REF_DATE, COUNT(*) AS NUM_REG, SUM(IF(TRIM(CAST(X."&amp;F318&amp;" AS STRING)) IN ('0000-00-00','0001-01-01','9999-12-31','MISS','00000','99999999999','99999999999.00','99999999999.000000'),1,0)) AS NUM_REG_DIF,'"&amp;MAX('ID1&amp;5'!K:K)+1&amp;"' AS ID_EXEC, CURRENT_TIMESTAMP() AS TIME_EXEC FROM "&amp;I318,
IF(C318="Not applicable",+"SELECT '"&amp;UPPER(B318)&amp;"' AS TABELA, '"&amp;UPPER(C318)&amp;"' AS TIPOLOGIA_TESTE,'"&amp;D318&amp;"' AS TABELA_LT,'N/A' AS TABELA_SIMUL,'"&amp;F318&amp;"' AS CAMPO, "&amp;"'${ref_date}' AS REF_DATE, COUNT(*) AS NUM_REG, SUM(IF(TRIM(CAST(X."&amp;F318&amp;" AS STRING)) IN ('N/A','11111111111','11111111111.00','11111111111.000000','1111-11-11'),1,0)) AS NUM_REG_DIF,'"&amp;MAX('ID1&amp;5'!K:K)+1&amp;"' AS ID_EXEC, CURRENT_TIMESTAMP() AS TIME_EXEC FROM "&amp;I318,
IF(C318="Valores extremos",+"SELECT '"&amp;UPPER(B318)&amp;"' AS TABELA, '"&amp;UPPER(C318)&amp;"' AS TIPOLOGIA_TESTE,'"&amp;D318&amp;"' AS TABELA_LT,'N/A' AS TABELA_SIMUL,'"&amp;F318&amp;"' AS CAMPO, "&amp;"'${ref_date}' AS REF_DATE, CAST(MIN("&amp;F318&amp;") AS STRING) AS VALOR_MIN, CAST(MAX("&amp;F318&amp;") AS STRING) AS VALOR_MAX,'"&amp;MAX('ID1&amp;5'!K:K)+1&amp;"' AS ID_EXEC, CURRENT_TIMESTAMP() AS TIME_EXEC FROM "&amp;MID(I318,1,LEN(I318)-2)&amp;" AND CAST("&amp;F318&amp;"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TABELA_SIMUL,'TRNSTNL_TRNVR' AS CAMPO, '${ref_date}' AS REF_DATE, COUNT(*) AS NUM_REG, SUM(IF(TRIM(CAST(X.TRNSTNL_TRNVR AS STRING)) IN ('0000-00-00','0001-01-01','9999-12-31','MISS','00000','99999999999','99999999999.00','99999999999.000000'),1,0)) AS NUM_REG_DIF,'10' AS ID_EXEC, CURRENT_TIMESTAMP() AS TIME_EXEC FROM (SELECT entty_id, TRNSTNL_TRNVR FROM BU_LOANTAPE_WORK.LT003_ENTITY WHERE ref_date='${ref_date}' AND nome_perimetro='Individual Corporativo' AND segmento='ESTR' AND ambito='PILAR3')X</v>
      </c>
      <c r="M318" s="43" t="str">
        <f t="shared" si="5"/>
        <v>UNION ALL SELECT 'ENTITY' AS TABELA, 'MISSINGS' AS TIPOLOGIA_TESTE,'BU_LOANTAPE_WORK.LT003_ENTITY' AS TABELA_LT,'N/A' AS TABELA_SIMUL,'TRNSTNL_TRNVR' AS CAMPO, '${ref_date}' AS REF_DATE, COUNT(*) AS NUM_REG, SUM(IF(TRIM(CAST(X.TRNSTNL_TRNVR AS STRING)) IN ('0000-00-00','0001-01-01','9999-12-31','MISS','00000','99999999999','99999999999.00','99999999999.000000'),1,0)) AS NUM_REG_DIF,'10' AS ID_EXEC, CURRENT_TIMESTAMP() AS TIME_EXEC FROM (SELECT entty_id, TRNSTNL_TRNVR FROM BU_LOANTAPE_WORK.LT003_ENTITY WHERE ref_date='${ref_date}' AND nome_perimetro='Individual Corporativo' AND segmento='ESTR' AND ambito='PILAR3')X</v>
      </c>
      <c r="N318" s="45" t="s">
        <v>13</v>
      </c>
    </row>
    <row r="319" spans="2:14">
      <c r="B319" s="41" t="s">
        <v>23</v>
      </c>
      <c r="C319" s="41" t="s">
        <v>77</v>
      </c>
      <c r="D319" s="41" t="str">
        <f>+UPPER('0. Instruções'!$D$33&amp;"."&amp;VLOOKUP(B319,'0. Instruções'!$C$27:$D$31,2,FALSE))</f>
        <v>BU_LOANTAPE_WORK.LT003_ENTITY</v>
      </c>
      <c r="E319" s="41" t="str">
        <f>+UPPER('0. Instruções'!$D$34&amp;"."&amp;VLOOKUP(B319,'0. Instruções'!$C$27:$E$31,3,FALSE))</f>
        <v>BU_LOANTAPE_WORK.LT003_ENTTY_P3_NOV24</v>
      </c>
      <c r="F319" s="41" t="s">
        <v>114</v>
      </c>
      <c r="G319" s="41" t="s">
        <v>210</v>
      </c>
      <c r="H319" s="41"/>
      <c r="I319" s="41" t="str">
        <f>"(SELECT "&amp;VLOOKUP(B319,'0. Instruções'!$C$27:$G$31,4,FALSE)&amp;", "&amp;F319&amp;" FROM "&amp;D319&amp;" WHERE "&amp;'0. Instruções'!$D$40&amp;")X"</f>
        <v>(SELECT entty_id, PURE_TRNVR_CCM FROM BU_LOANTAPE_WORK.LT003_ENTITY WHERE ref_date='${ref_date}' AND nome_perimetro='Individual Corporativo' AND segmento='ESTR' AND ambito='PILAR3')X</v>
      </c>
      <c r="J319" s="41" t="str">
        <f>"(SELECT "&amp;VLOOKUP(B319,'0. Instruções'!$C$27:$G$31,4,FALSE)&amp;" AS "&amp;VLOOKUP(B319,'0. Instruções'!$C$27:$G$31,4,FALSE)&amp;"_SIMUL, "&amp;F319&amp;" AS "&amp;F319&amp;"_SIMUL FROM "&amp;E319&amp;")Y"</f>
        <v>(SELECT entty_id AS entty_id_SIMUL, PURE_TRNVR_CCM AS PURE_TRNVR_CCM_SIMUL FROM BU_LOANTAPE_WORK.LT003_ENTTY_P3_NOV24)Y</v>
      </c>
      <c r="K319" s="42" t="str">
        <f>+UPPER("ON X."&amp;VLOOKUP(B319,'0. Instruções'!$C$27:$G$31,4,FALSE)&amp;"=Y."&amp;VLOOKUP(B319,'0. Instruções'!$C$27:$G$31,4,FALSE)&amp;"_SIMUL")</f>
        <v>ON X.ENTTY_ID=Y.ENTTY_ID_SIMUL</v>
      </c>
      <c r="L319" s="42" t="str">
        <f>+IF(C319="Coerência", +IF(LEFT(G319,5)="FLOAT","SELECT '"&amp;UPPER(B319)&amp;"' AS TABELA, '"&amp;UPPER(C319)&amp;"' AS TIPOLOGIA_TESTE,'"&amp;D319&amp;"' AS TABELA_LT,'"&amp;E319&amp;"' AS TABELA_SIMUL,'"&amp;F319&amp;"' AS CAMPO, "&amp;"'${ref_date}' AS REF_DATE, COUNT(*) AS NUM_REG, SUM(IF((ABS(COALESCE(X."&amp;F319&amp;",0)-COALESCE(Y."&amp;F319&amp;"_SIMUL,0))&gt;0.0000000001) OR (X."&amp;F319&amp;" IS NULL AND Y."&amp;F319&amp;"_SIMUL IS NOT NULL ) OR (X."&amp;F319&amp;" IS NOT NULL AND Y."&amp;F319&amp;"_SIMUL IS NULL),1,0)) AS NUM_REG_DIF,'"&amp;MAX('ID1&amp;5'!K:K)+1&amp;"' AS ID_EXEC, CURRENT_TIMESTAMP() AS TIME_EXEC FROM "&amp;I319&amp;" INNER JOIN "&amp;J319&amp;" "&amp;K319,"SELECT '"&amp;UPPER(B319)&amp;"' AS TABELA, '"&amp;UPPER(C319)&amp;"' AS TIPOLOGIA_TESTE,'"&amp;D319&amp;"' AS TABELA_LT,'"&amp;E319&amp;"' AS TABELA_SIMUL,'"&amp;F319&amp;"' AS CAMPO, "&amp;"'${ref_date}' AS REF_DATE, COUNT(*) AS NUM_REG, SUM(IF(COALESCE(CAST(X."&amp;F319&amp;" AS STRING),'')&lt;&gt;COALESCE(CAST(Y."&amp;F319&amp;"_SIMUL AS STRING),''),1,0)) AS NUM_REG_DIF,'"&amp;MAX('ID1&amp;5'!L:L)+1&amp;"' AS ID_EXEC, CURRENT_TIMESTAMP() AS TIME_EXEC FROM "&amp;I319&amp;" INNER JOIN "&amp;J319&amp;" "&amp;K319),
IF(C319="Validade",+IF(G319="Code List","SELECT '"&amp;UPPER(B319)&amp;"' AS TABELA, '"&amp;UPPER(C319)&amp;"' AS TIPOLOGIA_TESTE,'"&amp;D319&amp;"' AS TABELA_LT,'N/A' AS TABELA_SIMUL,'"&amp;F319&amp;"' AS CAMPO, "&amp;"'${ref_date}' AS REF_DATE, COUNT(*) AS NUM_REG, SUM(IF(TRIM(CAST(X."&amp;F319&amp;" AS STRING))='' OR TRIM(CAST(X."&amp;F319&amp;" AS STRING)) IS NULL OR CAST(X."&amp;F319&amp;" AS STRING) NOT "&amp;H319&amp;",1,0)) AS NUM_REG_DIF,'"&amp;MAX('ID1&amp;5'!K:K)+1&amp;"' AS ID_EXEC, CURRENT_TIMESTAMP() AS TIME_EXEC FROM "&amp;I319,"SELECT '"&amp;UPPER(B319)&amp;"' AS TABELA, '"&amp;UPPER(C319)&amp;"' AS TIPOLOGIA_TESTE,'"&amp;D319&amp;"' AS TABELA_LT,'N/A' AS TABELA_SIMUL,'"&amp;F319&amp;"' AS CAMPO, "&amp;"'${ref_date}' AS REF_DATE, COUNT(*) AS NUM_REG, SUM(IF(TRIM(CAST(X."&amp;F319&amp;" AS STRING))='' OR TRIM(CAST(X."&amp;F319&amp;" AS STRING)) IS NULL,1,0)) AS NUM_REG_DIF,'"&amp;MAX('ID1&amp;5'!K:K)+1&amp;"' AS ID_EXEC, CURRENT_TIMESTAMP() AS TIME_EXEC FROM "&amp;I319),
IF(C319="Caracteres Especiais",+"SELECT '"&amp;UPPER(B319)&amp;"' AS TABELA, '"&amp;UPPER(C319)&amp;"' AS TIPOLOGIA_TESTE,'"&amp;D319&amp;"' AS TABELA_LT,'N/A' AS TABELA_SIMUL,'"&amp;F319&amp;"' AS CAMPO, "&amp;"'${ref_date}' AS REF_DATE, COUNT(*) AS NUM_REG, SUM(IF(INSTR(CAST(X."&amp;F319&amp;" AS STRING),'#')&gt;0 OR INSTR(CAST(X."&amp;F319&amp;" AS STRING),'*')&gt;0 OR INSTR(CAST(X."&amp;F319&amp;" AS STRING),'`')&gt;0 OR INSTR(CAST(X."&amp;F319&amp;" AS STRING),'´')&gt;0 OR INSTR(CAST(X."&amp;F319&amp;" AS STRING),'{')&gt;0 OR INSTR(CAST(X."&amp;F319&amp;" AS STRING),'}')&gt;0 OR INSTR(CAST(X."&amp;F319&amp;" AS STRING),'[')&gt;0 OR INSTR(CAST(X."&amp;F319&amp;" AS STRING),'')&gt;0 OR INSTR(CAST(X."&amp;F319&amp;" AS STRING),']')&gt;0 OR INSTR(CAST(X."&amp;F319&amp;" AS STRING),'?')&gt;0 OR INSTR(CAST(X."&amp;F319&amp;" AS STRING),'!')&gt;0 OR INSTR(CAST(X."&amp;F319&amp;" AS STRING),'$')&gt;0 OR INSTR(CAST(X."&amp;F319&amp;" AS STRING),'%')&gt;0 OR INSTR(CAST(X."&amp;F319&amp;" AS STRING),'&amp;')&gt;0 OR INSTR(CAST(X."&amp;F319&amp;" AS STRING),'+')&gt;0,1,0)) AS NUM_REG_DIF,'"&amp;MAX('ID1&amp;5'!K:K)+1&amp;"' AS ID_EXEC, CURRENT_TIMESTAMP() AS TIME_EXEC FROM "&amp;I319,
IF(C319="Missings",+"SELECT '"&amp;UPPER(B319)&amp;"' AS TABELA, '"&amp;UPPER(C319)&amp;"' AS TIPOLOGIA_TESTE,'"&amp;D319&amp;"' AS TABELA_LT,'N/A' AS TABELA_SIMUL,'"&amp;F319&amp;"' AS CAMPO, "&amp;"'${ref_date}' AS REF_DATE, COUNT(*) AS NUM_REG, SUM(IF(TRIM(CAST(X."&amp;F319&amp;" AS STRING)) IN ('0000-00-00','0001-01-01','9999-12-31','MISS','00000','99999999999','99999999999.00','99999999999.000000'),1,0)) AS NUM_REG_DIF,'"&amp;MAX('ID1&amp;5'!K:K)+1&amp;"' AS ID_EXEC, CURRENT_TIMESTAMP() AS TIME_EXEC FROM "&amp;I319,
IF(C319="Not applicable",+"SELECT '"&amp;UPPER(B319)&amp;"' AS TABELA, '"&amp;UPPER(C319)&amp;"' AS TIPOLOGIA_TESTE,'"&amp;D319&amp;"' AS TABELA_LT,'N/A' AS TABELA_SIMUL,'"&amp;F319&amp;"' AS CAMPO, "&amp;"'${ref_date}' AS REF_DATE, COUNT(*) AS NUM_REG, SUM(IF(TRIM(CAST(X."&amp;F319&amp;" AS STRING)) IN ('N/A','11111111111','11111111111.00','11111111111.000000','1111-11-11'),1,0)) AS NUM_REG_DIF,'"&amp;MAX('ID1&amp;5'!K:K)+1&amp;"' AS ID_EXEC, CURRENT_TIMESTAMP() AS TIME_EXEC FROM "&amp;I319,
IF(C319="Valores extremos",+"SELECT '"&amp;UPPER(B319)&amp;"' AS TABELA, '"&amp;UPPER(C319)&amp;"' AS TIPOLOGIA_TESTE,'"&amp;D319&amp;"' AS TABELA_LT,'N/A' AS TABELA_SIMUL,'"&amp;F319&amp;"' AS CAMPO, "&amp;"'${ref_date}' AS REF_DATE, CAST(MIN("&amp;F319&amp;") AS STRING) AS VALOR_MIN, CAST(MAX("&amp;F319&amp;") AS STRING) AS VALOR_MAX,'"&amp;MAX('ID1&amp;5'!K:K)+1&amp;"' AS ID_EXEC, CURRENT_TIMESTAMP() AS TIME_EXEC FROM "&amp;MID(I319,1,LEN(I319)-2)&amp;" AND CAST("&amp;F319&amp;"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TABELA_SIMUL,'PURE_TRNVR_CCM' AS CAMPO, '${ref_date}' AS REF_DATE, COUNT(*) AS NUM_REG, SUM(IF(TRIM(CAST(X.PURE_TRNVR_CCM AS STRING)) IN ('0000-00-00','0001-01-01','9999-12-31','MISS','00000','99999999999','99999999999.00','99999999999.000000'),1,0)) AS NUM_REG_DIF,'10' AS ID_EXEC, CURRENT_TIMESTAMP() AS TIME_EXEC FROM (SELECT entty_id, PURE_TRNVR_CCM FROM BU_LOANTAPE_WORK.LT003_ENTITY WHERE ref_date='${ref_date}' AND nome_perimetro='Individual Corporativo' AND segmento='ESTR' AND ambito='PILAR3')X</v>
      </c>
      <c r="M319" s="43" t="str">
        <f t="shared" si="5"/>
        <v>UNION ALL SELECT 'ENTITY' AS TABELA, 'MISSINGS' AS TIPOLOGIA_TESTE,'BU_LOANTAPE_WORK.LT003_ENTITY' AS TABELA_LT,'N/A' AS TABELA_SIMUL,'PURE_TRNVR_CCM' AS CAMPO, '${ref_date}' AS REF_DATE, COUNT(*) AS NUM_REG, SUM(IF(TRIM(CAST(X.PURE_TRNVR_CCM AS STRING)) IN ('0000-00-00','0001-01-01','9999-12-31','MISS','00000','99999999999','99999999999.00','99999999999.000000'),1,0)) AS NUM_REG_DIF,'10' AS ID_EXEC, CURRENT_TIMESTAMP() AS TIME_EXEC FROM (SELECT entty_id, PURE_TRNVR_CCM FROM BU_LOANTAPE_WORK.LT003_ENTITY WHERE ref_date='${ref_date}' AND nome_perimetro='Individual Corporativo' AND segmento='ESTR' AND ambito='PILAR3')X</v>
      </c>
      <c r="N319" s="45" t="s">
        <v>13</v>
      </c>
    </row>
    <row r="320" spans="2:14">
      <c r="B320" s="41" t="s">
        <v>23</v>
      </c>
      <c r="C320" s="41" t="s">
        <v>77</v>
      </c>
      <c r="D320" s="41" t="str">
        <f>+UPPER('0. Instruções'!$D$33&amp;"."&amp;VLOOKUP(B320,'0. Instruções'!$C$27:$D$31,2,FALSE))</f>
        <v>BU_LOANTAPE_WORK.LT003_ENTITY</v>
      </c>
      <c r="E320" s="41" t="str">
        <f>+UPPER('0. Instruções'!$D$34&amp;"."&amp;VLOOKUP(B320,'0. Instruções'!$C$27:$E$31,3,FALSE))</f>
        <v>BU_LOANTAPE_WORK.LT003_ENTTY_P3_NOV24</v>
      </c>
      <c r="F320" s="41" t="s">
        <v>115</v>
      </c>
      <c r="G320" s="41" t="s">
        <v>210</v>
      </c>
      <c r="H320" s="41"/>
      <c r="I320" s="41" t="str">
        <f>"(SELECT "&amp;VLOOKUP(B320,'0. Instruções'!$C$27:$G$31,4,FALSE)&amp;", "&amp;F320&amp;" FROM "&amp;D320&amp;" WHERE "&amp;'0. Instruções'!$D$40&amp;")X"</f>
        <v>(SELECT entty_id, PURE_TRNVR_CCA FROM BU_LOANTAPE_WORK.LT003_ENTITY WHERE ref_date='${ref_date}' AND nome_perimetro='Individual Corporativo' AND segmento='ESTR' AND ambito='PILAR3')X</v>
      </c>
      <c r="J320" s="41" t="str">
        <f>"(SELECT "&amp;VLOOKUP(B320,'0. Instruções'!$C$27:$G$31,4,FALSE)&amp;" AS "&amp;VLOOKUP(B320,'0. Instruções'!$C$27:$G$31,4,FALSE)&amp;"_SIMUL, "&amp;F320&amp;" AS "&amp;F320&amp;"_SIMUL FROM "&amp;E320&amp;")Y"</f>
        <v>(SELECT entty_id AS entty_id_SIMUL, PURE_TRNVR_CCA AS PURE_TRNVR_CCA_SIMUL FROM BU_LOANTAPE_WORK.LT003_ENTTY_P3_NOV24)Y</v>
      </c>
      <c r="K320" s="42" t="str">
        <f>+UPPER("ON X."&amp;VLOOKUP(B320,'0. Instruções'!$C$27:$G$31,4,FALSE)&amp;"=Y."&amp;VLOOKUP(B320,'0. Instruções'!$C$27:$G$31,4,FALSE)&amp;"_SIMUL")</f>
        <v>ON X.ENTTY_ID=Y.ENTTY_ID_SIMUL</v>
      </c>
      <c r="L320" s="42" t="str">
        <f>+IF(C320="Coerência", +IF(LEFT(G320,5)="FLOAT","SELECT '"&amp;UPPER(B320)&amp;"' AS TABELA, '"&amp;UPPER(C320)&amp;"' AS TIPOLOGIA_TESTE,'"&amp;D320&amp;"' AS TABELA_LT,'"&amp;E320&amp;"' AS TABELA_SIMUL,'"&amp;F320&amp;"' AS CAMPO, "&amp;"'${ref_date}' AS REF_DATE, COUNT(*) AS NUM_REG, SUM(IF((ABS(COALESCE(X."&amp;F320&amp;",0)-COALESCE(Y."&amp;F320&amp;"_SIMUL,0))&gt;0.0000000001) OR (X."&amp;F320&amp;" IS NULL AND Y."&amp;F320&amp;"_SIMUL IS NOT NULL ) OR (X."&amp;F320&amp;" IS NOT NULL AND Y."&amp;F320&amp;"_SIMUL IS NULL),1,0)) AS NUM_REG_DIF,'"&amp;MAX('ID1&amp;5'!K:K)+1&amp;"' AS ID_EXEC, CURRENT_TIMESTAMP() AS TIME_EXEC FROM "&amp;I320&amp;" INNER JOIN "&amp;J320&amp;" "&amp;K320,"SELECT '"&amp;UPPER(B320)&amp;"' AS TABELA, '"&amp;UPPER(C320)&amp;"' AS TIPOLOGIA_TESTE,'"&amp;D320&amp;"' AS TABELA_LT,'"&amp;E320&amp;"' AS TABELA_SIMUL,'"&amp;F320&amp;"' AS CAMPO, "&amp;"'${ref_date}' AS REF_DATE, COUNT(*) AS NUM_REG, SUM(IF(COALESCE(CAST(X."&amp;F320&amp;" AS STRING),'')&lt;&gt;COALESCE(CAST(Y."&amp;F320&amp;"_SIMUL AS STRING),''),1,0)) AS NUM_REG_DIF,'"&amp;MAX('ID1&amp;5'!L:L)+1&amp;"' AS ID_EXEC, CURRENT_TIMESTAMP() AS TIME_EXEC FROM "&amp;I320&amp;" INNER JOIN "&amp;J320&amp;" "&amp;K320),
IF(C320="Validade",+IF(G320="Code List","SELECT '"&amp;UPPER(B320)&amp;"' AS TABELA, '"&amp;UPPER(C320)&amp;"' AS TIPOLOGIA_TESTE,'"&amp;D320&amp;"' AS TABELA_LT,'N/A' AS TABELA_SIMUL,'"&amp;F320&amp;"' AS CAMPO, "&amp;"'${ref_date}' AS REF_DATE, COUNT(*) AS NUM_REG, SUM(IF(TRIM(CAST(X."&amp;F320&amp;" AS STRING))='' OR TRIM(CAST(X."&amp;F320&amp;" AS STRING)) IS NULL OR CAST(X."&amp;F320&amp;" AS STRING) NOT "&amp;H320&amp;",1,0)) AS NUM_REG_DIF,'"&amp;MAX('ID1&amp;5'!K:K)+1&amp;"' AS ID_EXEC, CURRENT_TIMESTAMP() AS TIME_EXEC FROM "&amp;I320,"SELECT '"&amp;UPPER(B320)&amp;"' AS TABELA, '"&amp;UPPER(C320)&amp;"' AS TIPOLOGIA_TESTE,'"&amp;D320&amp;"' AS TABELA_LT,'N/A' AS TABELA_SIMUL,'"&amp;F320&amp;"' AS CAMPO, "&amp;"'${ref_date}' AS REF_DATE, COUNT(*) AS NUM_REG, SUM(IF(TRIM(CAST(X."&amp;F320&amp;" AS STRING))='' OR TRIM(CAST(X."&amp;F320&amp;" AS STRING)) IS NULL,1,0)) AS NUM_REG_DIF,'"&amp;MAX('ID1&amp;5'!K:K)+1&amp;"' AS ID_EXEC, CURRENT_TIMESTAMP() AS TIME_EXEC FROM "&amp;I320),
IF(C320="Caracteres Especiais",+"SELECT '"&amp;UPPER(B320)&amp;"' AS TABELA, '"&amp;UPPER(C320)&amp;"' AS TIPOLOGIA_TESTE,'"&amp;D320&amp;"' AS TABELA_LT,'N/A' AS TABELA_SIMUL,'"&amp;F320&amp;"' AS CAMPO, "&amp;"'${ref_date}' AS REF_DATE, COUNT(*) AS NUM_REG, SUM(IF(INSTR(CAST(X."&amp;F320&amp;" AS STRING),'#')&gt;0 OR INSTR(CAST(X."&amp;F320&amp;" AS STRING),'*')&gt;0 OR INSTR(CAST(X."&amp;F320&amp;" AS STRING),'`')&gt;0 OR INSTR(CAST(X."&amp;F320&amp;" AS STRING),'´')&gt;0 OR INSTR(CAST(X."&amp;F320&amp;" AS STRING),'{')&gt;0 OR INSTR(CAST(X."&amp;F320&amp;" AS STRING),'}')&gt;0 OR INSTR(CAST(X."&amp;F320&amp;" AS STRING),'[')&gt;0 OR INSTR(CAST(X."&amp;F320&amp;" AS STRING),'')&gt;0 OR INSTR(CAST(X."&amp;F320&amp;" AS STRING),']')&gt;0 OR INSTR(CAST(X."&amp;F320&amp;" AS STRING),'?')&gt;0 OR INSTR(CAST(X."&amp;F320&amp;" AS STRING),'!')&gt;0 OR INSTR(CAST(X."&amp;F320&amp;" AS STRING),'$')&gt;0 OR INSTR(CAST(X."&amp;F320&amp;" AS STRING),'%')&gt;0 OR INSTR(CAST(X."&amp;F320&amp;" AS STRING),'&amp;')&gt;0 OR INSTR(CAST(X."&amp;F320&amp;" AS STRING),'+')&gt;0,1,0)) AS NUM_REG_DIF,'"&amp;MAX('ID1&amp;5'!K:K)+1&amp;"' AS ID_EXEC, CURRENT_TIMESTAMP() AS TIME_EXEC FROM "&amp;I320,
IF(C320="Missings",+"SELECT '"&amp;UPPER(B320)&amp;"' AS TABELA, '"&amp;UPPER(C320)&amp;"' AS TIPOLOGIA_TESTE,'"&amp;D320&amp;"' AS TABELA_LT,'N/A' AS TABELA_SIMUL,'"&amp;F320&amp;"' AS CAMPO, "&amp;"'${ref_date}' AS REF_DATE, COUNT(*) AS NUM_REG, SUM(IF(TRIM(CAST(X."&amp;F320&amp;" AS STRING)) IN ('0000-00-00','0001-01-01','9999-12-31','MISS','00000','99999999999','99999999999.00','99999999999.000000'),1,0)) AS NUM_REG_DIF,'"&amp;MAX('ID1&amp;5'!K:K)+1&amp;"' AS ID_EXEC, CURRENT_TIMESTAMP() AS TIME_EXEC FROM "&amp;I320,
IF(C320="Not applicable",+"SELECT '"&amp;UPPER(B320)&amp;"' AS TABELA, '"&amp;UPPER(C320)&amp;"' AS TIPOLOGIA_TESTE,'"&amp;D320&amp;"' AS TABELA_LT,'N/A' AS TABELA_SIMUL,'"&amp;F320&amp;"' AS CAMPO, "&amp;"'${ref_date}' AS REF_DATE, COUNT(*) AS NUM_REG, SUM(IF(TRIM(CAST(X."&amp;F320&amp;" AS STRING)) IN ('N/A','11111111111','11111111111.00','11111111111.000000','1111-11-11'),1,0)) AS NUM_REG_DIF,'"&amp;MAX('ID1&amp;5'!K:K)+1&amp;"' AS ID_EXEC, CURRENT_TIMESTAMP() AS TIME_EXEC FROM "&amp;I320,
IF(C320="Valores extremos",+"SELECT '"&amp;UPPER(B320)&amp;"' AS TABELA, '"&amp;UPPER(C320)&amp;"' AS TIPOLOGIA_TESTE,'"&amp;D320&amp;"' AS TABELA_LT,'N/A' AS TABELA_SIMUL,'"&amp;F320&amp;"' AS CAMPO, "&amp;"'${ref_date}' AS REF_DATE, CAST(MIN("&amp;F320&amp;") AS STRING) AS VALOR_MIN, CAST(MAX("&amp;F320&amp;") AS STRING) AS VALOR_MAX,'"&amp;MAX('ID1&amp;5'!K:K)+1&amp;"' AS ID_EXEC, CURRENT_TIMESTAMP() AS TIME_EXEC FROM "&amp;MID(I320,1,LEN(I320)-2)&amp;" AND CAST("&amp;F320&amp;"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TABELA_SIMUL,'PURE_TRNVR_CCA' AS CAMPO, '${ref_date}' AS REF_DATE, COUNT(*) AS NUM_REG, SUM(IF(TRIM(CAST(X.PURE_TRNVR_CCA AS STRING)) IN ('0000-00-00','0001-01-01','9999-12-31','MISS','00000','99999999999','99999999999.00','99999999999.000000'),1,0)) AS NUM_REG_DIF,'10' AS ID_EXEC, CURRENT_TIMESTAMP() AS TIME_EXEC FROM (SELECT entty_id, PURE_TRNVR_CCA FROM BU_LOANTAPE_WORK.LT003_ENTITY WHERE ref_date='${ref_date}' AND nome_perimetro='Individual Corporativo' AND segmento='ESTR' AND ambito='PILAR3')X</v>
      </c>
      <c r="M320" s="43" t="str">
        <f t="shared" si="5"/>
        <v>UNION ALL SELECT 'ENTITY' AS TABELA, 'MISSINGS' AS TIPOLOGIA_TESTE,'BU_LOANTAPE_WORK.LT003_ENTITY' AS TABELA_LT,'N/A' AS TABELA_SIMUL,'PURE_TRNVR_CCA' AS CAMPO, '${ref_date}' AS REF_DATE, COUNT(*) AS NUM_REG, SUM(IF(TRIM(CAST(X.PURE_TRNVR_CCA AS STRING)) IN ('0000-00-00','0001-01-01','9999-12-31','MISS','00000','99999999999','99999999999.00','99999999999.000000'),1,0)) AS NUM_REG_DIF,'10' AS ID_EXEC, CURRENT_TIMESTAMP() AS TIME_EXEC FROM (SELECT entty_id, PURE_TRNVR_CCA FROM BU_LOANTAPE_WORK.LT003_ENTITY WHERE ref_date='${ref_date}' AND nome_perimetro='Individual Corporativo' AND segmento='ESTR' AND ambito='PILAR3')X</v>
      </c>
      <c r="N320" s="45" t="s">
        <v>13</v>
      </c>
    </row>
    <row r="321" spans="2:14">
      <c r="B321" s="41" t="s">
        <v>23</v>
      </c>
      <c r="C321" s="41" t="s">
        <v>77</v>
      </c>
      <c r="D321" s="41" t="str">
        <f>+UPPER('0. Instruções'!$D$33&amp;"."&amp;VLOOKUP(B321,'0. Instruções'!$C$27:$D$31,2,FALSE))</f>
        <v>BU_LOANTAPE_WORK.LT003_ENTITY</v>
      </c>
      <c r="E321" s="41" t="str">
        <f>+UPPER('0. Instruções'!$D$34&amp;"."&amp;VLOOKUP(B321,'0. Instruções'!$C$27:$E$31,3,FALSE))</f>
        <v>BU_LOANTAPE_WORK.LT003_ENTTY_P3_NOV24</v>
      </c>
      <c r="F321" s="41" t="s">
        <v>116</v>
      </c>
      <c r="G321" s="41" t="s">
        <v>211</v>
      </c>
      <c r="H321" s="41"/>
      <c r="I321" s="41" t="str">
        <f>"(SELECT "&amp;VLOOKUP(B321,'0. Instruções'!$C$27:$G$31,4,FALSE)&amp;", "&amp;F321&amp;" FROM "&amp;D321&amp;" WHERE "&amp;'0. Instruções'!$D$40&amp;")X"</f>
        <v>(SELECT entty_id, FLG_NFRD_APPLCBLTY FROM BU_LOANTAPE_WORK.LT003_ENTITY WHERE ref_date='${ref_date}' AND nome_perimetro='Individual Corporativo' AND segmento='ESTR' AND ambito='PILAR3')X</v>
      </c>
      <c r="J321" s="41" t="str">
        <f>"(SELECT "&amp;VLOOKUP(B321,'0. Instruções'!$C$27:$G$31,4,FALSE)&amp;" AS "&amp;VLOOKUP(B321,'0. Instruções'!$C$27:$G$31,4,FALSE)&amp;"_SIMUL, "&amp;F321&amp;" AS "&amp;F321&amp;"_SIMUL FROM "&amp;E321&amp;")Y"</f>
        <v>(SELECT entty_id AS entty_id_SIMUL, FLG_NFRD_APPLCBLTY AS FLG_NFRD_APPLCBLTY_SIMUL FROM BU_LOANTAPE_WORK.LT003_ENTTY_P3_NOV24)Y</v>
      </c>
      <c r="K321" s="42" t="str">
        <f>+UPPER("ON X."&amp;VLOOKUP(B321,'0. Instruções'!$C$27:$G$31,4,FALSE)&amp;"=Y."&amp;VLOOKUP(B321,'0. Instruções'!$C$27:$G$31,4,FALSE)&amp;"_SIMUL")</f>
        <v>ON X.ENTTY_ID=Y.ENTTY_ID_SIMUL</v>
      </c>
      <c r="L321" s="42" t="str">
        <f>+IF(C321="Coerência", +IF(LEFT(G321,5)="FLOAT","SELECT '"&amp;UPPER(B321)&amp;"' AS TABELA, '"&amp;UPPER(C321)&amp;"' AS TIPOLOGIA_TESTE,'"&amp;D321&amp;"' AS TABELA_LT,'"&amp;E321&amp;"' AS TABELA_SIMUL,'"&amp;F321&amp;"' AS CAMPO, "&amp;"'${ref_date}' AS REF_DATE, COUNT(*) AS NUM_REG, SUM(IF((ABS(COALESCE(X."&amp;F321&amp;",0)-COALESCE(Y."&amp;F321&amp;"_SIMUL,0))&gt;0.0000000001) OR (X."&amp;F321&amp;" IS NULL AND Y."&amp;F321&amp;"_SIMUL IS NOT NULL ) OR (X."&amp;F321&amp;" IS NOT NULL AND Y."&amp;F321&amp;"_SIMUL IS NULL),1,0)) AS NUM_REG_DIF,'"&amp;MAX('ID1&amp;5'!K:K)+1&amp;"' AS ID_EXEC, CURRENT_TIMESTAMP() AS TIME_EXEC FROM "&amp;I321&amp;" INNER JOIN "&amp;J321&amp;" "&amp;K321,"SELECT '"&amp;UPPER(B321)&amp;"' AS TABELA, '"&amp;UPPER(C321)&amp;"' AS TIPOLOGIA_TESTE,'"&amp;D321&amp;"' AS TABELA_LT,'"&amp;E321&amp;"' AS TABELA_SIMUL,'"&amp;F321&amp;"' AS CAMPO, "&amp;"'${ref_date}' AS REF_DATE, COUNT(*) AS NUM_REG, SUM(IF(COALESCE(CAST(X."&amp;F321&amp;" AS STRING),'')&lt;&gt;COALESCE(CAST(Y."&amp;F321&amp;"_SIMUL AS STRING),''),1,0)) AS NUM_REG_DIF,'"&amp;MAX('ID1&amp;5'!L:L)+1&amp;"' AS ID_EXEC, CURRENT_TIMESTAMP() AS TIME_EXEC FROM "&amp;I321&amp;" INNER JOIN "&amp;J321&amp;" "&amp;K321),
IF(C321="Validade",+IF(G321="Code List","SELECT '"&amp;UPPER(B321)&amp;"' AS TABELA, '"&amp;UPPER(C321)&amp;"' AS TIPOLOGIA_TESTE,'"&amp;D321&amp;"' AS TABELA_LT,'N/A' AS TABELA_SIMUL,'"&amp;F321&amp;"' AS CAMPO, "&amp;"'${ref_date}' AS REF_DATE, COUNT(*) AS NUM_REG, SUM(IF(TRIM(CAST(X."&amp;F321&amp;" AS STRING))='' OR TRIM(CAST(X."&amp;F321&amp;" AS STRING)) IS NULL OR CAST(X."&amp;F321&amp;" AS STRING) NOT "&amp;H321&amp;",1,0)) AS NUM_REG_DIF,'"&amp;MAX('ID1&amp;5'!K:K)+1&amp;"' AS ID_EXEC, CURRENT_TIMESTAMP() AS TIME_EXEC FROM "&amp;I321,"SELECT '"&amp;UPPER(B321)&amp;"' AS TABELA, '"&amp;UPPER(C321)&amp;"' AS TIPOLOGIA_TESTE,'"&amp;D321&amp;"' AS TABELA_LT,'N/A' AS TABELA_SIMUL,'"&amp;F321&amp;"' AS CAMPO, "&amp;"'${ref_date}' AS REF_DATE, COUNT(*) AS NUM_REG, SUM(IF(TRIM(CAST(X."&amp;F321&amp;" AS STRING))='' OR TRIM(CAST(X."&amp;F321&amp;" AS STRING)) IS NULL,1,0)) AS NUM_REG_DIF,'"&amp;MAX('ID1&amp;5'!K:K)+1&amp;"' AS ID_EXEC, CURRENT_TIMESTAMP() AS TIME_EXEC FROM "&amp;I321),
IF(C321="Caracteres Especiais",+"SELECT '"&amp;UPPER(B321)&amp;"' AS TABELA, '"&amp;UPPER(C321)&amp;"' AS TIPOLOGIA_TESTE,'"&amp;D321&amp;"' AS TABELA_LT,'N/A' AS TABELA_SIMUL,'"&amp;F321&amp;"' AS CAMPO, "&amp;"'${ref_date}' AS REF_DATE, COUNT(*) AS NUM_REG, SUM(IF(INSTR(CAST(X."&amp;F321&amp;" AS STRING),'#')&gt;0 OR INSTR(CAST(X."&amp;F321&amp;" AS STRING),'*')&gt;0 OR INSTR(CAST(X."&amp;F321&amp;" AS STRING),'`')&gt;0 OR INSTR(CAST(X."&amp;F321&amp;" AS STRING),'´')&gt;0 OR INSTR(CAST(X."&amp;F321&amp;" AS STRING),'{')&gt;0 OR INSTR(CAST(X."&amp;F321&amp;" AS STRING),'}')&gt;0 OR INSTR(CAST(X."&amp;F321&amp;" AS STRING),'[')&gt;0 OR INSTR(CAST(X."&amp;F321&amp;" AS STRING),'')&gt;0 OR INSTR(CAST(X."&amp;F321&amp;" AS STRING),']')&gt;0 OR INSTR(CAST(X."&amp;F321&amp;" AS STRING),'?')&gt;0 OR INSTR(CAST(X."&amp;F321&amp;" AS STRING),'!')&gt;0 OR INSTR(CAST(X."&amp;F321&amp;" AS STRING),'$')&gt;0 OR INSTR(CAST(X."&amp;F321&amp;" AS STRING),'%')&gt;0 OR INSTR(CAST(X."&amp;F321&amp;" AS STRING),'&amp;')&gt;0 OR INSTR(CAST(X."&amp;F321&amp;" AS STRING),'+')&gt;0,1,0)) AS NUM_REG_DIF,'"&amp;MAX('ID1&amp;5'!K:K)+1&amp;"' AS ID_EXEC, CURRENT_TIMESTAMP() AS TIME_EXEC FROM "&amp;I321,
IF(C321="Missings",+"SELECT '"&amp;UPPER(B321)&amp;"' AS TABELA, '"&amp;UPPER(C321)&amp;"' AS TIPOLOGIA_TESTE,'"&amp;D321&amp;"' AS TABELA_LT,'N/A' AS TABELA_SIMUL,'"&amp;F321&amp;"' AS CAMPO, "&amp;"'${ref_date}' AS REF_DATE, COUNT(*) AS NUM_REG, SUM(IF(TRIM(CAST(X."&amp;F321&amp;" AS STRING)) IN ('0000-00-00','0001-01-01','9999-12-31','MISS','00000','99999999999','99999999999.00','99999999999.000000'),1,0)) AS NUM_REG_DIF,'"&amp;MAX('ID1&amp;5'!K:K)+1&amp;"' AS ID_EXEC, CURRENT_TIMESTAMP() AS TIME_EXEC FROM "&amp;I321,
IF(C321="Not applicable",+"SELECT '"&amp;UPPER(B321)&amp;"' AS TABELA, '"&amp;UPPER(C321)&amp;"' AS TIPOLOGIA_TESTE,'"&amp;D321&amp;"' AS TABELA_LT,'N/A' AS TABELA_SIMUL,'"&amp;F321&amp;"' AS CAMPO, "&amp;"'${ref_date}' AS REF_DATE, COUNT(*) AS NUM_REG, SUM(IF(TRIM(CAST(X."&amp;F321&amp;" AS STRING)) IN ('N/A','11111111111','11111111111.00','11111111111.000000','1111-11-11'),1,0)) AS NUM_REG_DIF,'"&amp;MAX('ID1&amp;5'!K:K)+1&amp;"' AS ID_EXEC, CURRENT_TIMESTAMP() AS TIME_EXEC FROM "&amp;I321,
IF(C321="Valores extremos",+"SELECT '"&amp;UPPER(B321)&amp;"' AS TABELA, '"&amp;UPPER(C321)&amp;"' AS TIPOLOGIA_TESTE,'"&amp;D321&amp;"' AS TABELA_LT,'N/A' AS TABELA_SIMUL,'"&amp;F321&amp;"' AS CAMPO, "&amp;"'${ref_date}' AS REF_DATE, CAST(MIN("&amp;F321&amp;") AS STRING) AS VALOR_MIN, CAST(MAX("&amp;F321&amp;") AS STRING) AS VALOR_MAX,'"&amp;MAX('ID1&amp;5'!K:K)+1&amp;"' AS ID_EXEC, CURRENT_TIMESTAMP() AS TIME_EXEC FROM "&amp;MID(I321,1,LEN(I321)-2)&amp;" AND CAST("&amp;F321&amp;"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TABELA_SIMUL,'FLG_NFRD_APPLCBLTY' AS CAMPO, '${ref_date}' AS REF_DATE, COUNT(*) AS NUM_REG, SUM(IF(TRIM(CAST(X.FLG_NFRD_APPLCBLTY AS STRING)) IN ('0000-00-00','0001-01-01','9999-12-31','MISS','00000','99999999999','99999999999.00','99999999999.000000'),1,0)) AS NUM_REG_DIF,'10' AS ID_EXEC, CURRENT_TIMESTAMP() AS TIME_EXEC FROM (SELECT entty_id, FLG_NFRD_APPLCBLTY FROM BU_LOANTAPE_WORK.LT003_ENTITY WHERE ref_date='${ref_date}' AND nome_perimetro='Individual Corporativo' AND segmento='ESTR' AND ambito='PILAR3')X</v>
      </c>
      <c r="M321" s="43" t="str">
        <f t="shared" si="5"/>
        <v>UNION ALL SELECT 'ENTITY' AS TABELA, 'MISSINGS' AS TIPOLOGIA_TESTE,'BU_LOANTAPE_WORK.LT003_ENTITY' AS TABELA_LT,'N/A' AS TABELA_SIMUL,'FLG_NFRD_APPLCBLTY' AS CAMPO, '${ref_date}' AS REF_DATE, COUNT(*) AS NUM_REG, SUM(IF(TRIM(CAST(X.FLG_NFRD_APPLCBLTY AS STRING)) IN ('0000-00-00','0001-01-01','9999-12-31','MISS','00000','99999999999','99999999999.00','99999999999.000000'),1,0)) AS NUM_REG_DIF,'10' AS ID_EXEC, CURRENT_TIMESTAMP() AS TIME_EXEC FROM (SELECT entty_id, FLG_NFRD_APPLCBLTY FROM BU_LOANTAPE_WORK.LT003_ENTITY WHERE ref_date='${ref_date}' AND nome_perimetro='Individual Corporativo' AND segmento='ESTR' AND ambito='PILAR3')X</v>
      </c>
      <c r="N321" s="45" t="s">
        <v>13</v>
      </c>
    </row>
    <row r="322" spans="2:14">
      <c r="B322" s="41" t="s">
        <v>23</v>
      </c>
      <c r="C322" s="41" t="s">
        <v>77</v>
      </c>
      <c r="D322" s="41" t="str">
        <f>+UPPER('0. Instruções'!$D$33&amp;"."&amp;VLOOKUP(B322,'0. Instruções'!$C$27:$D$31,2,FALSE))</f>
        <v>BU_LOANTAPE_WORK.LT003_ENTITY</v>
      </c>
      <c r="E322" s="41" t="str">
        <f>+UPPER('0. Instruções'!$D$34&amp;"."&amp;VLOOKUP(B322,'0. Instruções'!$C$27:$E$31,3,FALSE))</f>
        <v>BU_LOANTAPE_WORK.LT003_ENTTY_P3_NOV24</v>
      </c>
      <c r="F322" s="41" t="s">
        <v>117</v>
      </c>
      <c r="G322" s="41" t="s">
        <v>210</v>
      </c>
      <c r="H322" s="41"/>
      <c r="I322" s="41" t="str">
        <f>"(SELECT "&amp;VLOOKUP(B322,'0. Instruções'!$C$27:$G$31,4,FALSE)&amp;", "&amp;F322&amp;" FROM "&amp;D322&amp;" WHERE "&amp;'0. Instruções'!$D$40&amp;")X"</f>
        <v>(SELECT entty_id, CNTRPRTY_EMSSNS_SCP1 FROM BU_LOANTAPE_WORK.LT003_ENTITY WHERE ref_date='${ref_date}' AND nome_perimetro='Individual Corporativo' AND segmento='ESTR' AND ambito='PILAR3')X</v>
      </c>
      <c r="J322" s="41" t="str">
        <f>"(SELECT "&amp;VLOOKUP(B322,'0. Instruções'!$C$27:$G$31,4,FALSE)&amp;" AS "&amp;VLOOKUP(B322,'0. Instruções'!$C$27:$G$31,4,FALSE)&amp;"_SIMUL, "&amp;F322&amp;" AS "&amp;F322&amp;"_SIMUL FROM "&amp;E322&amp;")Y"</f>
        <v>(SELECT entty_id AS entty_id_SIMUL, CNTRPRTY_EMSSNS_SCP1 AS CNTRPRTY_EMSSNS_SCP1_SIMUL FROM BU_LOANTAPE_WORK.LT003_ENTTY_P3_NOV24)Y</v>
      </c>
      <c r="K322" s="42" t="str">
        <f>+UPPER("ON X."&amp;VLOOKUP(B322,'0. Instruções'!$C$27:$G$31,4,FALSE)&amp;"=Y."&amp;VLOOKUP(B322,'0. Instruções'!$C$27:$G$31,4,FALSE)&amp;"_SIMUL")</f>
        <v>ON X.ENTTY_ID=Y.ENTTY_ID_SIMUL</v>
      </c>
      <c r="L322" s="42" t="str">
        <f>+IF(C322="Coerência", +IF(LEFT(G322,5)="FLOAT","SELECT '"&amp;UPPER(B322)&amp;"' AS TABELA, '"&amp;UPPER(C322)&amp;"' AS TIPOLOGIA_TESTE,'"&amp;D322&amp;"' AS TABELA_LT,'"&amp;E322&amp;"' AS TABELA_SIMUL,'"&amp;F322&amp;"' AS CAMPO, "&amp;"'${ref_date}' AS REF_DATE, COUNT(*) AS NUM_REG, SUM(IF((ABS(COALESCE(X."&amp;F322&amp;",0)-COALESCE(Y."&amp;F322&amp;"_SIMUL,0))&gt;0.0000000001) OR (X."&amp;F322&amp;" IS NULL AND Y."&amp;F322&amp;"_SIMUL IS NOT NULL ) OR (X."&amp;F322&amp;" IS NOT NULL AND Y."&amp;F322&amp;"_SIMUL IS NULL),1,0)) AS NUM_REG_DIF,'"&amp;MAX('ID1&amp;5'!K:K)+1&amp;"' AS ID_EXEC, CURRENT_TIMESTAMP() AS TIME_EXEC FROM "&amp;I322&amp;" INNER JOIN "&amp;J322&amp;" "&amp;K322,"SELECT '"&amp;UPPER(B322)&amp;"' AS TABELA, '"&amp;UPPER(C322)&amp;"' AS TIPOLOGIA_TESTE,'"&amp;D322&amp;"' AS TABELA_LT,'"&amp;E322&amp;"' AS TABELA_SIMUL,'"&amp;F322&amp;"' AS CAMPO, "&amp;"'${ref_date}' AS REF_DATE, COUNT(*) AS NUM_REG, SUM(IF(COALESCE(CAST(X."&amp;F322&amp;" AS STRING),'')&lt;&gt;COALESCE(CAST(Y."&amp;F322&amp;"_SIMUL AS STRING),''),1,0)) AS NUM_REG_DIF,'"&amp;MAX('ID1&amp;5'!L:L)+1&amp;"' AS ID_EXEC, CURRENT_TIMESTAMP() AS TIME_EXEC FROM "&amp;I322&amp;" INNER JOIN "&amp;J322&amp;" "&amp;K322),
IF(C322="Validade",+IF(G322="Code List","SELECT '"&amp;UPPER(B322)&amp;"' AS TABELA, '"&amp;UPPER(C322)&amp;"' AS TIPOLOGIA_TESTE,'"&amp;D322&amp;"' AS TABELA_LT,'N/A' AS TABELA_SIMUL,'"&amp;F322&amp;"' AS CAMPO, "&amp;"'${ref_date}' AS REF_DATE, COUNT(*) AS NUM_REG, SUM(IF(TRIM(CAST(X."&amp;F322&amp;" AS STRING))='' OR TRIM(CAST(X."&amp;F322&amp;" AS STRING)) IS NULL OR CAST(X."&amp;F322&amp;" AS STRING) NOT "&amp;H322&amp;",1,0)) AS NUM_REG_DIF,'"&amp;MAX('ID1&amp;5'!K:K)+1&amp;"' AS ID_EXEC, CURRENT_TIMESTAMP() AS TIME_EXEC FROM "&amp;I322,"SELECT '"&amp;UPPER(B322)&amp;"' AS TABELA, '"&amp;UPPER(C322)&amp;"' AS TIPOLOGIA_TESTE,'"&amp;D322&amp;"' AS TABELA_LT,'N/A' AS TABELA_SIMUL,'"&amp;F322&amp;"' AS CAMPO, "&amp;"'${ref_date}' AS REF_DATE, COUNT(*) AS NUM_REG, SUM(IF(TRIM(CAST(X."&amp;F322&amp;" AS STRING))='' OR TRIM(CAST(X."&amp;F322&amp;" AS STRING)) IS NULL,1,0)) AS NUM_REG_DIF,'"&amp;MAX('ID1&amp;5'!K:K)+1&amp;"' AS ID_EXEC, CURRENT_TIMESTAMP() AS TIME_EXEC FROM "&amp;I322),
IF(C322="Caracteres Especiais",+"SELECT '"&amp;UPPER(B322)&amp;"' AS TABELA, '"&amp;UPPER(C322)&amp;"' AS TIPOLOGIA_TESTE,'"&amp;D322&amp;"' AS TABELA_LT,'N/A' AS TABELA_SIMUL,'"&amp;F322&amp;"' AS CAMPO, "&amp;"'${ref_date}' AS REF_DATE, COUNT(*) AS NUM_REG, SUM(IF(INSTR(CAST(X."&amp;F322&amp;" AS STRING),'#')&gt;0 OR INSTR(CAST(X."&amp;F322&amp;" AS STRING),'*')&gt;0 OR INSTR(CAST(X."&amp;F322&amp;" AS STRING),'`')&gt;0 OR INSTR(CAST(X."&amp;F322&amp;" AS STRING),'´')&gt;0 OR INSTR(CAST(X."&amp;F322&amp;" AS STRING),'{')&gt;0 OR INSTR(CAST(X."&amp;F322&amp;" AS STRING),'}')&gt;0 OR INSTR(CAST(X."&amp;F322&amp;" AS STRING),'[')&gt;0 OR INSTR(CAST(X."&amp;F322&amp;" AS STRING),'')&gt;0 OR INSTR(CAST(X."&amp;F322&amp;" AS STRING),']')&gt;0 OR INSTR(CAST(X."&amp;F322&amp;" AS STRING),'?')&gt;0 OR INSTR(CAST(X."&amp;F322&amp;" AS STRING),'!')&gt;0 OR INSTR(CAST(X."&amp;F322&amp;" AS STRING),'$')&gt;0 OR INSTR(CAST(X."&amp;F322&amp;" AS STRING),'%')&gt;0 OR INSTR(CAST(X."&amp;F322&amp;" AS STRING),'&amp;')&gt;0 OR INSTR(CAST(X."&amp;F322&amp;" AS STRING),'+')&gt;0,1,0)) AS NUM_REG_DIF,'"&amp;MAX('ID1&amp;5'!K:K)+1&amp;"' AS ID_EXEC, CURRENT_TIMESTAMP() AS TIME_EXEC FROM "&amp;I322,
IF(C322="Missings",+"SELECT '"&amp;UPPER(B322)&amp;"' AS TABELA, '"&amp;UPPER(C322)&amp;"' AS TIPOLOGIA_TESTE,'"&amp;D322&amp;"' AS TABELA_LT,'N/A' AS TABELA_SIMUL,'"&amp;F322&amp;"' AS CAMPO, "&amp;"'${ref_date}' AS REF_DATE, COUNT(*) AS NUM_REG, SUM(IF(TRIM(CAST(X."&amp;F322&amp;" AS STRING)) IN ('0000-00-00','0001-01-01','9999-12-31','MISS','00000','99999999999','99999999999.00','99999999999.000000'),1,0)) AS NUM_REG_DIF,'"&amp;MAX('ID1&amp;5'!K:K)+1&amp;"' AS ID_EXEC, CURRENT_TIMESTAMP() AS TIME_EXEC FROM "&amp;I322,
IF(C322="Not applicable",+"SELECT '"&amp;UPPER(B322)&amp;"' AS TABELA, '"&amp;UPPER(C322)&amp;"' AS TIPOLOGIA_TESTE,'"&amp;D322&amp;"' AS TABELA_LT,'N/A' AS TABELA_SIMUL,'"&amp;F322&amp;"' AS CAMPO, "&amp;"'${ref_date}' AS REF_DATE, COUNT(*) AS NUM_REG, SUM(IF(TRIM(CAST(X."&amp;F322&amp;" AS STRING)) IN ('N/A','11111111111','11111111111.00','11111111111.000000','1111-11-11'),1,0)) AS NUM_REG_DIF,'"&amp;MAX('ID1&amp;5'!K:K)+1&amp;"' AS ID_EXEC, CURRENT_TIMESTAMP() AS TIME_EXEC FROM "&amp;I322,
IF(C322="Valores extremos",+"SELECT '"&amp;UPPER(B322)&amp;"' AS TABELA, '"&amp;UPPER(C322)&amp;"' AS TIPOLOGIA_TESTE,'"&amp;D322&amp;"' AS TABELA_LT,'N/A' AS TABELA_SIMUL,'"&amp;F322&amp;"' AS CAMPO, "&amp;"'${ref_date}' AS REF_DATE, CAST(MIN("&amp;F322&amp;") AS STRING) AS VALOR_MIN, CAST(MAX("&amp;F322&amp;") AS STRING) AS VALOR_MAX,'"&amp;MAX('ID1&amp;5'!K:K)+1&amp;"' AS ID_EXEC, CURRENT_TIMESTAMP() AS TIME_EXEC FROM "&amp;MID(I322,1,LEN(I322)-2)&amp;" AND CAST("&amp;F322&amp;"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TABELA_SIMUL,'CNTRPRTY_EMSSNS_SCP1' AS CAMPO, '${ref_date}' AS REF_DATE, COUNT(*) AS NUM_REG, SUM(IF(TRIM(CAST(X.CNTRPRTY_EMSSNS_SCP1 AS STRING)) IN ('0000-00-00','0001-01-01','9999-12-31','MISS','00000','99999999999','99999999999.00','99999999999.000000'),1,0)) AS NUM_REG_DIF,'10' AS ID_EXEC, CURRENT_TIMESTAMP() AS TIME_EXEC FROM (SELECT entty_id, CNTRPRTY_EMSSNS_SCP1 FROM BU_LOANTAPE_WORK.LT003_ENTITY WHERE ref_date='${ref_date}' AND nome_perimetro='Individual Corporativo' AND segmento='ESTR' AND ambito='PILAR3')X</v>
      </c>
      <c r="M322" s="43" t="str">
        <f t="shared" si="5"/>
        <v>UNION ALL SELECT 'ENTITY' AS TABELA, 'MISSINGS' AS TIPOLOGIA_TESTE,'BU_LOANTAPE_WORK.LT003_ENTITY' AS TABELA_LT,'N/A' AS TABELA_SIMUL,'CNTRPRTY_EMSSNS_SCP1' AS CAMPO, '${ref_date}' AS REF_DATE, COUNT(*) AS NUM_REG, SUM(IF(TRIM(CAST(X.CNTRPRTY_EMSSNS_SCP1 AS STRING)) IN ('0000-00-00','0001-01-01','9999-12-31','MISS','00000','99999999999','99999999999.00','99999999999.000000'),1,0)) AS NUM_REG_DIF,'10' AS ID_EXEC, CURRENT_TIMESTAMP() AS TIME_EXEC FROM (SELECT entty_id, CNTRPRTY_EMSSNS_SCP1 FROM BU_LOANTAPE_WORK.LT003_ENTITY WHERE ref_date='${ref_date}' AND nome_perimetro='Individual Corporativo' AND segmento='ESTR' AND ambito='PILAR3')X</v>
      </c>
      <c r="N322" s="45" t="s">
        <v>13</v>
      </c>
    </row>
    <row r="323" spans="2:14">
      <c r="B323" s="41" t="s">
        <v>23</v>
      </c>
      <c r="C323" s="41" t="s">
        <v>77</v>
      </c>
      <c r="D323" s="41" t="str">
        <f>+UPPER('0. Instruções'!$D$33&amp;"."&amp;VLOOKUP(B323,'0. Instruções'!$C$27:$D$31,2,FALSE))</f>
        <v>BU_LOANTAPE_WORK.LT003_ENTITY</v>
      </c>
      <c r="E323" s="41" t="str">
        <f>+UPPER('0. Instruções'!$D$34&amp;"."&amp;VLOOKUP(B323,'0. Instruções'!$C$27:$E$31,3,FALSE))</f>
        <v>BU_LOANTAPE_WORK.LT003_ENTTY_P3_NOV24</v>
      </c>
      <c r="F323" s="41" t="s">
        <v>118</v>
      </c>
      <c r="G323" s="41" t="s">
        <v>210</v>
      </c>
      <c r="H323" s="41"/>
      <c r="I323" s="41" t="str">
        <f>"(SELECT "&amp;VLOOKUP(B323,'0. Instruções'!$C$27:$G$31,4,FALSE)&amp;", "&amp;F323&amp;" FROM "&amp;D323&amp;" WHERE "&amp;'0. Instruções'!$D$40&amp;")X"</f>
        <v>(SELECT entty_id, CNTRPRTY_EMSSNS_SCP2 FROM BU_LOANTAPE_WORK.LT003_ENTITY WHERE ref_date='${ref_date}' AND nome_perimetro='Individual Corporativo' AND segmento='ESTR' AND ambito='PILAR3')X</v>
      </c>
      <c r="J323" s="41" t="str">
        <f>"(SELECT "&amp;VLOOKUP(B323,'0. Instruções'!$C$27:$G$31,4,FALSE)&amp;" AS "&amp;VLOOKUP(B323,'0. Instruções'!$C$27:$G$31,4,FALSE)&amp;"_SIMUL, "&amp;F323&amp;" AS "&amp;F323&amp;"_SIMUL FROM "&amp;E323&amp;")Y"</f>
        <v>(SELECT entty_id AS entty_id_SIMUL, CNTRPRTY_EMSSNS_SCP2 AS CNTRPRTY_EMSSNS_SCP2_SIMUL FROM BU_LOANTAPE_WORK.LT003_ENTTY_P3_NOV24)Y</v>
      </c>
      <c r="K323" s="42" t="str">
        <f>+UPPER("ON X."&amp;VLOOKUP(B323,'0. Instruções'!$C$27:$G$31,4,FALSE)&amp;"=Y."&amp;VLOOKUP(B323,'0. Instruções'!$C$27:$G$31,4,FALSE)&amp;"_SIMUL")</f>
        <v>ON X.ENTTY_ID=Y.ENTTY_ID_SIMUL</v>
      </c>
      <c r="L323" s="42" t="str">
        <f>+IF(C323="Coerência", +IF(LEFT(G323,5)="FLOAT","SELECT '"&amp;UPPER(B323)&amp;"' AS TABELA, '"&amp;UPPER(C323)&amp;"' AS TIPOLOGIA_TESTE,'"&amp;D323&amp;"' AS TABELA_LT,'"&amp;E323&amp;"' AS TABELA_SIMUL,'"&amp;F323&amp;"' AS CAMPO, "&amp;"'${ref_date}' AS REF_DATE, COUNT(*) AS NUM_REG, SUM(IF((ABS(COALESCE(X."&amp;F323&amp;",0)-COALESCE(Y."&amp;F323&amp;"_SIMUL,0))&gt;0.0000000001) OR (X."&amp;F323&amp;" IS NULL AND Y."&amp;F323&amp;"_SIMUL IS NOT NULL ) OR (X."&amp;F323&amp;" IS NOT NULL AND Y."&amp;F323&amp;"_SIMUL IS NULL),1,0)) AS NUM_REG_DIF,'"&amp;MAX('ID1&amp;5'!K:K)+1&amp;"' AS ID_EXEC, CURRENT_TIMESTAMP() AS TIME_EXEC FROM "&amp;I323&amp;" INNER JOIN "&amp;J323&amp;" "&amp;K323,"SELECT '"&amp;UPPER(B323)&amp;"' AS TABELA, '"&amp;UPPER(C323)&amp;"' AS TIPOLOGIA_TESTE,'"&amp;D323&amp;"' AS TABELA_LT,'"&amp;E323&amp;"' AS TABELA_SIMUL,'"&amp;F323&amp;"' AS CAMPO, "&amp;"'${ref_date}' AS REF_DATE, COUNT(*) AS NUM_REG, SUM(IF(COALESCE(CAST(X."&amp;F323&amp;" AS STRING),'')&lt;&gt;COALESCE(CAST(Y."&amp;F323&amp;"_SIMUL AS STRING),''),1,0)) AS NUM_REG_DIF,'"&amp;MAX('ID1&amp;5'!L:L)+1&amp;"' AS ID_EXEC, CURRENT_TIMESTAMP() AS TIME_EXEC FROM "&amp;I323&amp;" INNER JOIN "&amp;J323&amp;" "&amp;K323),
IF(C323="Validade",+IF(G323="Code List","SELECT '"&amp;UPPER(B323)&amp;"' AS TABELA, '"&amp;UPPER(C323)&amp;"' AS TIPOLOGIA_TESTE,'"&amp;D323&amp;"' AS TABELA_LT,'N/A' AS TABELA_SIMUL,'"&amp;F323&amp;"' AS CAMPO, "&amp;"'${ref_date}' AS REF_DATE, COUNT(*) AS NUM_REG, SUM(IF(TRIM(CAST(X."&amp;F323&amp;" AS STRING))='' OR TRIM(CAST(X."&amp;F323&amp;" AS STRING)) IS NULL OR CAST(X."&amp;F323&amp;" AS STRING) NOT "&amp;H323&amp;",1,0)) AS NUM_REG_DIF,'"&amp;MAX('ID1&amp;5'!K:K)+1&amp;"' AS ID_EXEC, CURRENT_TIMESTAMP() AS TIME_EXEC FROM "&amp;I323,"SELECT '"&amp;UPPER(B323)&amp;"' AS TABELA, '"&amp;UPPER(C323)&amp;"' AS TIPOLOGIA_TESTE,'"&amp;D323&amp;"' AS TABELA_LT,'N/A' AS TABELA_SIMUL,'"&amp;F323&amp;"' AS CAMPO, "&amp;"'${ref_date}' AS REF_DATE, COUNT(*) AS NUM_REG, SUM(IF(TRIM(CAST(X."&amp;F323&amp;" AS STRING))='' OR TRIM(CAST(X."&amp;F323&amp;" AS STRING)) IS NULL,1,0)) AS NUM_REG_DIF,'"&amp;MAX('ID1&amp;5'!K:K)+1&amp;"' AS ID_EXEC, CURRENT_TIMESTAMP() AS TIME_EXEC FROM "&amp;I323),
IF(C323="Caracteres Especiais",+"SELECT '"&amp;UPPER(B323)&amp;"' AS TABELA, '"&amp;UPPER(C323)&amp;"' AS TIPOLOGIA_TESTE,'"&amp;D323&amp;"' AS TABELA_LT,'N/A' AS TABELA_SIMUL,'"&amp;F323&amp;"' AS CAMPO, "&amp;"'${ref_date}' AS REF_DATE, COUNT(*) AS NUM_REG, SUM(IF(INSTR(CAST(X."&amp;F323&amp;" AS STRING),'#')&gt;0 OR INSTR(CAST(X."&amp;F323&amp;" AS STRING),'*')&gt;0 OR INSTR(CAST(X."&amp;F323&amp;" AS STRING),'`')&gt;0 OR INSTR(CAST(X."&amp;F323&amp;" AS STRING),'´')&gt;0 OR INSTR(CAST(X."&amp;F323&amp;" AS STRING),'{')&gt;0 OR INSTR(CAST(X."&amp;F323&amp;" AS STRING),'}')&gt;0 OR INSTR(CAST(X."&amp;F323&amp;" AS STRING),'[')&gt;0 OR INSTR(CAST(X."&amp;F323&amp;" AS STRING),'')&gt;0 OR INSTR(CAST(X."&amp;F323&amp;" AS STRING),']')&gt;0 OR INSTR(CAST(X."&amp;F323&amp;" AS STRING),'?')&gt;0 OR INSTR(CAST(X."&amp;F323&amp;" AS STRING),'!')&gt;0 OR INSTR(CAST(X."&amp;F323&amp;" AS STRING),'$')&gt;0 OR INSTR(CAST(X."&amp;F323&amp;" AS STRING),'%')&gt;0 OR INSTR(CAST(X."&amp;F323&amp;" AS STRING),'&amp;')&gt;0 OR INSTR(CAST(X."&amp;F323&amp;" AS STRING),'+')&gt;0,1,0)) AS NUM_REG_DIF,'"&amp;MAX('ID1&amp;5'!K:K)+1&amp;"' AS ID_EXEC, CURRENT_TIMESTAMP() AS TIME_EXEC FROM "&amp;I323,
IF(C323="Missings",+"SELECT '"&amp;UPPER(B323)&amp;"' AS TABELA, '"&amp;UPPER(C323)&amp;"' AS TIPOLOGIA_TESTE,'"&amp;D323&amp;"' AS TABELA_LT,'N/A' AS TABELA_SIMUL,'"&amp;F323&amp;"' AS CAMPO, "&amp;"'${ref_date}' AS REF_DATE, COUNT(*) AS NUM_REG, SUM(IF(TRIM(CAST(X."&amp;F323&amp;" AS STRING)) IN ('0000-00-00','0001-01-01','9999-12-31','MISS','00000','99999999999','99999999999.00','99999999999.000000'),1,0)) AS NUM_REG_DIF,'"&amp;MAX('ID1&amp;5'!K:K)+1&amp;"' AS ID_EXEC, CURRENT_TIMESTAMP() AS TIME_EXEC FROM "&amp;I323,
IF(C323="Not applicable",+"SELECT '"&amp;UPPER(B323)&amp;"' AS TABELA, '"&amp;UPPER(C323)&amp;"' AS TIPOLOGIA_TESTE,'"&amp;D323&amp;"' AS TABELA_LT,'N/A' AS TABELA_SIMUL,'"&amp;F323&amp;"' AS CAMPO, "&amp;"'${ref_date}' AS REF_DATE, COUNT(*) AS NUM_REG, SUM(IF(TRIM(CAST(X."&amp;F323&amp;" AS STRING)) IN ('N/A','11111111111','11111111111.00','11111111111.000000','1111-11-11'),1,0)) AS NUM_REG_DIF,'"&amp;MAX('ID1&amp;5'!K:K)+1&amp;"' AS ID_EXEC, CURRENT_TIMESTAMP() AS TIME_EXEC FROM "&amp;I323,
IF(C323="Valores extremos",+"SELECT '"&amp;UPPER(B323)&amp;"' AS TABELA, '"&amp;UPPER(C323)&amp;"' AS TIPOLOGIA_TESTE,'"&amp;D323&amp;"' AS TABELA_LT,'N/A' AS TABELA_SIMUL,'"&amp;F323&amp;"' AS CAMPO, "&amp;"'${ref_date}' AS REF_DATE, CAST(MIN("&amp;F323&amp;") AS STRING) AS VALOR_MIN, CAST(MAX("&amp;F323&amp;") AS STRING) AS VALOR_MAX,'"&amp;MAX('ID1&amp;5'!K:K)+1&amp;"' AS ID_EXEC, CURRENT_TIMESTAMP() AS TIME_EXEC FROM "&amp;MID(I323,1,LEN(I323)-2)&amp;" AND CAST("&amp;F323&amp;"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TABELA_SIMUL,'CNTRPRTY_EMSSNS_SCP2' AS CAMPO, '${ref_date}' AS REF_DATE, COUNT(*) AS NUM_REG, SUM(IF(TRIM(CAST(X.CNTRPRTY_EMSSNS_SCP2 AS STRING)) IN ('0000-00-00','0001-01-01','9999-12-31','MISS','00000','99999999999','99999999999.00','99999999999.000000'),1,0)) AS NUM_REG_DIF,'10' AS ID_EXEC, CURRENT_TIMESTAMP() AS TIME_EXEC FROM (SELECT entty_id, CNTRPRTY_EMSSNS_SCP2 FROM BU_LOANTAPE_WORK.LT003_ENTITY WHERE ref_date='${ref_date}' AND nome_perimetro='Individual Corporativo' AND segmento='ESTR' AND ambito='PILAR3')X</v>
      </c>
      <c r="M323" s="43" t="str">
        <f t="shared" si="5"/>
        <v>UNION ALL SELECT 'ENTITY' AS TABELA, 'MISSINGS' AS TIPOLOGIA_TESTE,'BU_LOANTAPE_WORK.LT003_ENTITY' AS TABELA_LT,'N/A' AS TABELA_SIMUL,'CNTRPRTY_EMSSNS_SCP2' AS CAMPO, '${ref_date}' AS REF_DATE, COUNT(*) AS NUM_REG, SUM(IF(TRIM(CAST(X.CNTRPRTY_EMSSNS_SCP2 AS STRING)) IN ('0000-00-00','0001-01-01','9999-12-31','MISS','00000','99999999999','99999999999.00','99999999999.000000'),1,0)) AS NUM_REG_DIF,'10' AS ID_EXEC, CURRENT_TIMESTAMP() AS TIME_EXEC FROM (SELECT entty_id, CNTRPRTY_EMSSNS_SCP2 FROM BU_LOANTAPE_WORK.LT003_ENTITY WHERE ref_date='${ref_date}' AND nome_perimetro='Individual Corporativo' AND segmento='ESTR' AND ambito='PILAR3')X</v>
      </c>
      <c r="N323" s="45" t="s">
        <v>13</v>
      </c>
    </row>
    <row r="324" spans="2:14">
      <c r="B324" s="41" t="s">
        <v>23</v>
      </c>
      <c r="C324" s="41" t="s">
        <v>77</v>
      </c>
      <c r="D324" s="41" t="str">
        <f>+UPPER('0. Instruções'!$D$33&amp;"."&amp;VLOOKUP(B324,'0. Instruções'!$C$27:$D$31,2,FALSE))</f>
        <v>BU_LOANTAPE_WORK.LT003_ENTITY</v>
      </c>
      <c r="E324" s="41" t="str">
        <f>+UPPER('0. Instruções'!$D$34&amp;"."&amp;VLOOKUP(B324,'0. Instruções'!$C$27:$E$31,3,FALSE))</f>
        <v>BU_LOANTAPE_WORK.LT003_ENTTY_P3_NOV24</v>
      </c>
      <c r="F324" s="41" t="s">
        <v>119</v>
      </c>
      <c r="G324" s="41" t="s">
        <v>210</v>
      </c>
      <c r="H324" s="41"/>
      <c r="I324" s="41" t="str">
        <f>"(SELECT "&amp;VLOOKUP(B324,'0. Instruções'!$C$27:$G$31,4,FALSE)&amp;", "&amp;F324&amp;" FROM "&amp;D324&amp;" WHERE "&amp;'0. Instruções'!$D$40&amp;")X"</f>
        <v>(SELECT entty_id, CNTRPRTY_EMSSNS_SCP3 FROM BU_LOANTAPE_WORK.LT003_ENTITY WHERE ref_date='${ref_date}' AND nome_perimetro='Individual Corporativo' AND segmento='ESTR' AND ambito='PILAR3')X</v>
      </c>
      <c r="J324" s="41" t="str">
        <f>"(SELECT "&amp;VLOOKUP(B324,'0. Instruções'!$C$27:$G$31,4,FALSE)&amp;" AS "&amp;VLOOKUP(B324,'0. Instruções'!$C$27:$G$31,4,FALSE)&amp;"_SIMUL, "&amp;F324&amp;" AS "&amp;F324&amp;"_SIMUL FROM "&amp;E324&amp;")Y"</f>
        <v>(SELECT entty_id AS entty_id_SIMUL, CNTRPRTY_EMSSNS_SCP3 AS CNTRPRTY_EMSSNS_SCP3_SIMUL FROM BU_LOANTAPE_WORK.LT003_ENTTY_P3_NOV24)Y</v>
      </c>
      <c r="K324" s="42" t="str">
        <f>+UPPER("ON X."&amp;VLOOKUP(B324,'0. Instruções'!$C$27:$G$31,4,FALSE)&amp;"=Y."&amp;VLOOKUP(B324,'0. Instruções'!$C$27:$G$31,4,FALSE)&amp;"_SIMUL")</f>
        <v>ON X.ENTTY_ID=Y.ENTTY_ID_SIMUL</v>
      </c>
      <c r="L324" s="42" t="str">
        <f>+IF(C324="Coerência", +IF(LEFT(G324,5)="FLOAT","SELECT '"&amp;UPPER(B324)&amp;"' AS TABELA, '"&amp;UPPER(C324)&amp;"' AS TIPOLOGIA_TESTE,'"&amp;D324&amp;"' AS TABELA_LT,'"&amp;E324&amp;"' AS TABELA_SIMUL,'"&amp;F324&amp;"' AS CAMPO, "&amp;"'${ref_date}' AS REF_DATE, COUNT(*) AS NUM_REG, SUM(IF((ABS(COALESCE(X."&amp;F324&amp;",0)-COALESCE(Y."&amp;F324&amp;"_SIMUL,0))&gt;0.0000000001) OR (X."&amp;F324&amp;" IS NULL AND Y."&amp;F324&amp;"_SIMUL IS NOT NULL ) OR (X."&amp;F324&amp;" IS NOT NULL AND Y."&amp;F324&amp;"_SIMUL IS NULL),1,0)) AS NUM_REG_DIF,'"&amp;MAX('ID1&amp;5'!K:K)+1&amp;"' AS ID_EXEC, CURRENT_TIMESTAMP() AS TIME_EXEC FROM "&amp;I324&amp;" INNER JOIN "&amp;J324&amp;" "&amp;K324,"SELECT '"&amp;UPPER(B324)&amp;"' AS TABELA, '"&amp;UPPER(C324)&amp;"' AS TIPOLOGIA_TESTE,'"&amp;D324&amp;"' AS TABELA_LT,'"&amp;E324&amp;"' AS TABELA_SIMUL,'"&amp;F324&amp;"' AS CAMPO, "&amp;"'${ref_date}' AS REF_DATE, COUNT(*) AS NUM_REG, SUM(IF(COALESCE(CAST(X."&amp;F324&amp;" AS STRING),'')&lt;&gt;COALESCE(CAST(Y."&amp;F324&amp;"_SIMUL AS STRING),''),1,0)) AS NUM_REG_DIF,'"&amp;MAX('ID1&amp;5'!L:L)+1&amp;"' AS ID_EXEC, CURRENT_TIMESTAMP() AS TIME_EXEC FROM "&amp;I324&amp;" INNER JOIN "&amp;J324&amp;" "&amp;K324),
IF(C324="Validade",+IF(G324="Code List","SELECT '"&amp;UPPER(B324)&amp;"' AS TABELA, '"&amp;UPPER(C324)&amp;"' AS TIPOLOGIA_TESTE,'"&amp;D324&amp;"' AS TABELA_LT,'N/A' AS TABELA_SIMUL,'"&amp;F324&amp;"' AS CAMPO, "&amp;"'${ref_date}' AS REF_DATE, COUNT(*) AS NUM_REG, SUM(IF(TRIM(CAST(X."&amp;F324&amp;" AS STRING))='' OR TRIM(CAST(X."&amp;F324&amp;" AS STRING)) IS NULL OR CAST(X."&amp;F324&amp;" AS STRING) NOT "&amp;H324&amp;",1,0)) AS NUM_REG_DIF,'"&amp;MAX('ID1&amp;5'!K:K)+1&amp;"' AS ID_EXEC, CURRENT_TIMESTAMP() AS TIME_EXEC FROM "&amp;I324,"SELECT '"&amp;UPPER(B324)&amp;"' AS TABELA, '"&amp;UPPER(C324)&amp;"' AS TIPOLOGIA_TESTE,'"&amp;D324&amp;"' AS TABELA_LT,'N/A' AS TABELA_SIMUL,'"&amp;F324&amp;"' AS CAMPO, "&amp;"'${ref_date}' AS REF_DATE, COUNT(*) AS NUM_REG, SUM(IF(TRIM(CAST(X."&amp;F324&amp;" AS STRING))='' OR TRIM(CAST(X."&amp;F324&amp;" AS STRING)) IS NULL,1,0)) AS NUM_REG_DIF,'"&amp;MAX('ID1&amp;5'!K:K)+1&amp;"' AS ID_EXEC, CURRENT_TIMESTAMP() AS TIME_EXEC FROM "&amp;I324),
IF(C324="Caracteres Especiais",+"SELECT '"&amp;UPPER(B324)&amp;"' AS TABELA, '"&amp;UPPER(C324)&amp;"' AS TIPOLOGIA_TESTE,'"&amp;D324&amp;"' AS TABELA_LT,'N/A' AS TABELA_SIMUL,'"&amp;F324&amp;"' AS CAMPO, "&amp;"'${ref_date}' AS REF_DATE, COUNT(*) AS NUM_REG, SUM(IF(INSTR(CAST(X."&amp;F324&amp;" AS STRING),'#')&gt;0 OR INSTR(CAST(X."&amp;F324&amp;" AS STRING),'*')&gt;0 OR INSTR(CAST(X."&amp;F324&amp;" AS STRING),'`')&gt;0 OR INSTR(CAST(X."&amp;F324&amp;" AS STRING),'´')&gt;0 OR INSTR(CAST(X."&amp;F324&amp;" AS STRING),'{')&gt;0 OR INSTR(CAST(X."&amp;F324&amp;" AS STRING),'}')&gt;0 OR INSTR(CAST(X."&amp;F324&amp;" AS STRING),'[')&gt;0 OR INSTR(CAST(X."&amp;F324&amp;" AS STRING),'')&gt;0 OR INSTR(CAST(X."&amp;F324&amp;" AS STRING),']')&gt;0 OR INSTR(CAST(X."&amp;F324&amp;" AS STRING),'?')&gt;0 OR INSTR(CAST(X."&amp;F324&amp;" AS STRING),'!')&gt;0 OR INSTR(CAST(X."&amp;F324&amp;" AS STRING),'$')&gt;0 OR INSTR(CAST(X."&amp;F324&amp;" AS STRING),'%')&gt;0 OR INSTR(CAST(X."&amp;F324&amp;" AS STRING),'&amp;')&gt;0 OR INSTR(CAST(X."&amp;F324&amp;" AS STRING),'+')&gt;0,1,0)) AS NUM_REG_DIF,'"&amp;MAX('ID1&amp;5'!K:K)+1&amp;"' AS ID_EXEC, CURRENT_TIMESTAMP() AS TIME_EXEC FROM "&amp;I324,
IF(C324="Missings",+"SELECT '"&amp;UPPER(B324)&amp;"' AS TABELA, '"&amp;UPPER(C324)&amp;"' AS TIPOLOGIA_TESTE,'"&amp;D324&amp;"' AS TABELA_LT,'N/A' AS TABELA_SIMUL,'"&amp;F324&amp;"' AS CAMPO, "&amp;"'${ref_date}' AS REF_DATE, COUNT(*) AS NUM_REG, SUM(IF(TRIM(CAST(X."&amp;F324&amp;" AS STRING)) IN ('0000-00-00','0001-01-01','9999-12-31','MISS','00000','99999999999','99999999999.00','99999999999.000000'),1,0)) AS NUM_REG_DIF,'"&amp;MAX('ID1&amp;5'!K:K)+1&amp;"' AS ID_EXEC, CURRENT_TIMESTAMP() AS TIME_EXEC FROM "&amp;I324,
IF(C324="Not applicable",+"SELECT '"&amp;UPPER(B324)&amp;"' AS TABELA, '"&amp;UPPER(C324)&amp;"' AS TIPOLOGIA_TESTE,'"&amp;D324&amp;"' AS TABELA_LT,'N/A' AS TABELA_SIMUL,'"&amp;F324&amp;"' AS CAMPO, "&amp;"'${ref_date}' AS REF_DATE, COUNT(*) AS NUM_REG, SUM(IF(TRIM(CAST(X."&amp;F324&amp;" AS STRING)) IN ('N/A','11111111111','11111111111.00','11111111111.000000','1111-11-11'),1,0)) AS NUM_REG_DIF,'"&amp;MAX('ID1&amp;5'!K:K)+1&amp;"' AS ID_EXEC, CURRENT_TIMESTAMP() AS TIME_EXEC FROM "&amp;I324,
IF(C324="Valores extremos",+"SELECT '"&amp;UPPER(B324)&amp;"' AS TABELA, '"&amp;UPPER(C324)&amp;"' AS TIPOLOGIA_TESTE,'"&amp;D324&amp;"' AS TABELA_LT,'N/A' AS TABELA_SIMUL,'"&amp;F324&amp;"' AS CAMPO, "&amp;"'${ref_date}' AS REF_DATE, CAST(MIN("&amp;F324&amp;") AS STRING) AS VALOR_MIN, CAST(MAX("&amp;F324&amp;") AS STRING) AS VALOR_MAX,'"&amp;MAX('ID1&amp;5'!K:K)+1&amp;"' AS ID_EXEC, CURRENT_TIMESTAMP() AS TIME_EXEC FROM "&amp;MID(I324,1,LEN(I324)-2)&amp;" AND CAST("&amp;F324&amp;"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TABELA_SIMUL,'CNTRPRTY_EMSSNS_SCP3' AS CAMPO, '${ref_date}' AS REF_DATE, COUNT(*) AS NUM_REG, SUM(IF(TRIM(CAST(X.CNTRPRTY_EMSSNS_SCP3 AS STRING)) IN ('0000-00-00','0001-01-01','9999-12-31','MISS','00000','99999999999','99999999999.00','99999999999.000000'),1,0)) AS NUM_REG_DIF,'10' AS ID_EXEC, CURRENT_TIMESTAMP() AS TIME_EXEC FROM (SELECT entty_id, CNTRPRTY_EMSSNS_SCP3 FROM BU_LOANTAPE_WORK.LT003_ENTITY WHERE ref_date='${ref_date}' AND nome_perimetro='Individual Corporativo' AND segmento='ESTR' AND ambito='PILAR3')X</v>
      </c>
      <c r="M324" s="43" t="str">
        <f t="shared" si="5"/>
        <v>UNION ALL SELECT 'ENTITY' AS TABELA, 'MISSINGS' AS TIPOLOGIA_TESTE,'BU_LOANTAPE_WORK.LT003_ENTITY' AS TABELA_LT,'N/A' AS TABELA_SIMUL,'CNTRPRTY_EMSSNS_SCP3' AS CAMPO, '${ref_date}' AS REF_DATE, COUNT(*) AS NUM_REG, SUM(IF(TRIM(CAST(X.CNTRPRTY_EMSSNS_SCP3 AS STRING)) IN ('0000-00-00','0001-01-01','9999-12-31','MISS','00000','99999999999','99999999999.00','99999999999.000000'),1,0)) AS NUM_REG_DIF,'10' AS ID_EXEC, CURRENT_TIMESTAMP() AS TIME_EXEC FROM (SELECT entty_id, CNTRPRTY_EMSSNS_SCP3 FROM BU_LOANTAPE_WORK.LT003_ENTITY WHERE ref_date='${ref_date}' AND nome_perimetro='Individual Corporativo' AND segmento='ESTR' AND ambito='PILAR3')X</v>
      </c>
      <c r="N324" s="45" t="s">
        <v>13</v>
      </c>
    </row>
    <row r="325" spans="2:14">
      <c r="B325" s="41" t="s">
        <v>23</v>
      </c>
      <c r="C325" s="41" t="s">
        <v>77</v>
      </c>
      <c r="D325" s="41" t="str">
        <f>+UPPER('0. Instruções'!$D$33&amp;"."&amp;VLOOKUP(B325,'0. Instruções'!$C$27:$D$31,2,FALSE))</f>
        <v>BU_LOANTAPE_WORK.LT003_ENTITY</v>
      </c>
      <c r="E325" s="41" t="str">
        <f>+UPPER('0. Instruções'!$D$34&amp;"."&amp;VLOOKUP(B325,'0. Instruções'!$C$27:$E$31,3,FALSE))</f>
        <v>BU_LOANTAPE_WORK.LT003_ENTTY_P3_NOV24</v>
      </c>
      <c r="F325" s="41" t="s">
        <v>120</v>
      </c>
      <c r="G325" s="41" t="s">
        <v>211</v>
      </c>
      <c r="H325" s="41"/>
      <c r="I325" s="41" t="str">
        <f>"(SELECT "&amp;VLOOKUP(B325,'0. Instruções'!$C$27:$G$31,4,FALSE)&amp;", "&amp;F325&amp;" FROM "&amp;D325&amp;" WHERE "&amp;'0. Instruções'!$D$40&amp;")X"</f>
        <v>(SELECT entty_id, FLG_EXCLDD_EU_PRS_ALGND_BNCHMRK FROM BU_LOANTAPE_WORK.LT003_ENTITY WHERE ref_date='${ref_date}' AND nome_perimetro='Individual Corporativo' AND segmento='ESTR' AND ambito='PILAR3')X</v>
      </c>
      <c r="J325" s="41" t="str">
        <f>"(SELECT "&amp;VLOOKUP(B325,'0. Instruções'!$C$27:$G$31,4,FALSE)&amp;" AS "&amp;VLOOKUP(B325,'0. Instruções'!$C$27:$G$31,4,FALSE)&amp;"_SIMUL, "&amp;F325&amp;" AS "&amp;F325&amp;"_SIMUL FROM "&amp;E325&amp;")Y"</f>
        <v>(SELECT entty_id AS entty_id_SIMUL, FLG_EXCLDD_EU_PRS_ALGND_BNCHMRK AS FLG_EXCLDD_EU_PRS_ALGND_BNCHMRK_SIMUL FROM BU_LOANTAPE_WORK.LT003_ENTTY_P3_NOV24)Y</v>
      </c>
      <c r="K325" s="42" t="str">
        <f>+UPPER("ON X."&amp;VLOOKUP(B325,'0. Instruções'!$C$27:$G$31,4,FALSE)&amp;"=Y."&amp;VLOOKUP(B325,'0. Instruções'!$C$27:$G$31,4,FALSE)&amp;"_SIMUL")</f>
        <v>ON X.ENTTY_ID=Y.ENTTY_ID_SIMUL</v>
      </c>
      <c r="L325" s="42" t="str">
        <f>+IF(C325="Coerência", +IF(LEFT(G325,5)="FLOAT","SELECT '"&amp;UPPER(B325)&amp;"' AS TABELA, '"&amp;UPPER(C325)&amp;"' AS TIPOLOGIA_TESTE,'"&amp;D325&amp;"' AS TABELA_LT,'"&amp;E325&amp;"' AS TABELA_SIMUL,'"&amp;F325&amp;"' AS CAMPO, "&amp;"'${ref_date}' AS REF_DATE, COUNT(*) AS NUM_REG, SUM(IF((ABS(COALESCE(X."&amp;F325&amp;",0)-COALESCE(Y."&amp;F325&amp;"_SIMUL,0))&gt;0.0000000001) OR (X."&amp;F325&amp;" IS NULL AND Y."&amp;F325&amp;"_SIMUL IS NOT NULL ) OR (X."&amp;F325&amp;" IS NOT NULL AND Y."&amp;F325&amp;"_SIMUL IS NULL),1,0)) AS NUM_REG_DIF,'"&amp;MAX('ID1&amp;5'!K:K)+1&amp;"' AS ID_EXEC, CURRENT_TIMESTAMP() AS TIME_EXEC FROM "&amp;I325&amp;" INNER JOIN "&amp;J325&amp;" "&amp;K325,"SELECT '"&amp;UPPER(B325)&amp;"' AS TABELA, '"&amp;UPPER(C325)&amp;"' AS TIPOLOGIA_TESTE,'"&amp;D325&amp;"' AS TABELA_LT,'"&amp;E325&amp;"' AS TABELA_SIMUL,'"&amp;F325&amp;"' AS CAMPO, "&amp;"'${ref_date}' AS REF_DATE, COUNT(*) AS NUM_REG, SUM(IF(COALESCE(CAST(X."&amp;F325&amp;" AS STRING),'')&lt;&gt;COALESCE(CAST(Y."&amp;F325&amp;"_SIMUL AS STRING),''),1,0)) AS NUM_REG_DIF,'"&amp;MAX('ID1&amp;5'!L:L)+1&amp;"' AS ID_EXEC, CURRENT_TIMESTAMP() AS TIME_EXEC FROM "&amp;I325&amp;" INNER JOIN "&amp;J325&amp;" "&amp;K325),
IF(C325="Validade",+IF(G325="Code List","SELECT '"&amp;UPPER(B325)&amp;"' AS TABELA, '"&amp;UPPER(C325)&amp;"' AS TIPOLOGIA_TESTE,'"&amp;D325&amp;"' AS TABELA_LT,'N/A' AS TABELA_SIMUL,'"&amp;F325&amp;"' AS CAMPO, "&amp;"'${ref_date}' AS REF_DATE, COUNT(*) AS NUM_REG, SUM(IF(TRIM(CAST(X."&amp;F325&amp;" AS STRING))='' OR TRIM(CAST(X."&amp;F325&amp;" AS STRING)) IS NULL OR CAST(X."&amp;F325&amp;" AS STRING) NOT "&amp;H325&amp;",1,0)) AS NUM_REG_DIF,'"&amp;MAX('ID1&amp;5'!K:K)+1&amp;"' AS ID_EXEC, CURRENT_TIMESTAMP() AS TIME_EXEC FROM "&amp;I325,"SELECT '"&amp;UPPER(B325)&amp;"' AS TABELA, '"&amp;UPPER(C325)&amp;"' AS TIPOLOGIA_TESTE,'"&amp;D325&amp;"' AS TABELA_LT,'N/A' AS TABELA_SIMUL,'"&amp;F325&amp;"' AS CAMPO, "&amp;"'${ref_date}' AS REF_DATE, COUNT(*) AS NUM_REG, SUM(IF(TRIM(CAST(X."&amp;F325&amp;" AS STRING))='' OR TRIM(CAST(X."&amp;F325&amp;" AS STRING)) IS NULL,1,0)) AS NUM_REG_DIF,'"&amp;MAX('ID1&amp;5'!K:K)+1&amp;"' AS ID_EXEC, CURRENT_TIMESTAMP() AS TIME_EXEC FROM "&amp;I325),
IF(C325="Caracteres Especiais",+"SELECT '"&amp;UPPER(B325)&amp;"' AS TABELA, '"&amp;UPPER(C325)&amp;"' AS TIPOLOGIA_TESTE,'"&amp;D325&amp;"' AS TABELA_LT,'N/A' AS TABELA_SIMUL,'"&amp;F325&amp;"' AS CAMPO, "&amp;"'${ref_date}' AS REF_DATE, COUNT(*) AS NUM_REG, SUM(IF(INSTR(CAST(X."&amp;F325&amp;" AS STRING),'#')&gt;0 OR INSTR(CAST(X."&amp;F325&amp;" AS STRING),'*')&gt;0 OR INSTR(CAST(X."&amp;F325&amp;" AS STRING),'`')&gt;0 OR INSTR(CAST(X."&amp;F325&amp;" AS STRING),'´')&gt;0 OR INSTR(CAST(X."&amp;F325&amp;" AS STRING),'{')&gt;0 OR INSTR(CAST(X."&amp;F325&amp;" AS STRING),'}')&gt;0 OR INSTR(CAST(X."&amp;F325&amp;" AS STRING),'[')&gt;0 OR INSTR(CAST(X."&amp;F325&amp;" AS STRING),'')&gt;0 OR INSTR(CAST(X."&amp;F325&amp;" AS STRING),']')&gt;0 OR INSTR(CAST(X."&amp;F325&amp;" AS STRING),'?')&gt;0 OR INSTR(CAST(X."&amp;F325&amp;" AS STRING),'!')&gt;0 OR INSTR(CAST(X."&amp;F325&amp;" AS STRING),'$')&gt;0 OR INSTR(CAST(X."&amp;F325&amp;" AS STRING),'%')&gt;0 OR INSTR(CAST(X."&amp;F325&amp;" AS STRING),'&amp;')&gt;0 OR INSTR(CAST(X."&amp;F325&amp;" AS STRING),'+')&gt;0,1,0)) AS NUM_REG_DIF,'"&amp;MAX('ID1&amp;5'!K:K)+1&amp;"' AS ID_EXEC, CURRENT_TIMESTAMP() AS TIME_EXEC FROM "&amp;I325,
IF(C325="Missings",+"SELECT '"&amp;UPPER(B325)&amp;"' AS TABELA, '"&amp;UPPER(C325)&amp;"' AS TIPOLOGIA_TESTE,'"&amp;D325&amp;"' AS TABELA_LT,'N/A' AS TABELA_SIMUL,'"&amp;F325&amp;"' AS CAMPO, "&amp;"'${ref_date}' AS REF_DATE, COUNT(*) AS NUM_REG, SUM(IF(TRIM(CAST(X."&amp;F325&amp;" AS STRING)) IN ('0000-00-00','0001-01-01','9999-12-31','MISS','00000','99999999999','99999999999.00','99999999999.000000'),1,0)) AS NUM_REG_DIF,'"&amp;MAX('ID1&amp;5'!K:K)+1&amp;"' AS ID_EXEC, CURRENT_TIMESTAMP() AS TIME_EXEC FROM "&amp;I325,
IF(C325="Not applicable",+"SELECT '"&amp;UPPER(B325)&amp;"' AS TABELA, '"&amp;UPPER(C325)&amp;"' AS TIPOLOGIA_TESTE,'"&amp;D325&amp;"' AS TABELA_LT,'N/A' AS TABELA_SIMUL,'"&amp;F325&amp;"' AS CAMPO, "&amp;"'${ref_date}' AS REF_DATE, COUNT(*) AS NUM_REG, SUM(IF(TRIM(CAST(X."&amp;F325&amp;" AS STRING)) IN ('N/A','11111111111','11111111111.00','11111111111.000000','1111-11-11'),1,0)) AS NUM_REG_DIF,'"&amp;MAX('ID1&amp;5'!K:K)+1&amp;"' AS ID_EXEC, CURRENT_TIMESTAMP() AS TIME_EXEC FROM "&amp;I325,
IF(C325="Valores extremos",+"SELECT '"&amp;UPPER(B325)&amp;"' AS TABELA, '"&amp;UPPER(C325)&amp;"' AS TIPOLOGIA_TESTE,'"&amp;D325&amp;"' AS TABELA_LT,'N/A' AS TABELA_SIMUL,'"&amp;F325&amp;"' AS CAMPO, "&amp;"'${ref_date}' AS REF_DATE, CAST(MIN("&amp;F325&amp;") AS STRING) AS VALOR_MIN, CAST(MAX("&amp;F325&amp;") AS STRING) AS VALOR_MAX,'"&amp;MAX('ID1&amp;5'!K:K)+1&amp;"' AS ID_EXEC, CURRENT_TIMESTAMP() AS TIME_EXEC FROM "&amp;MID(I325,1,LEN(I325)-2)&amp;" AND CAST("&amp;F325&amp;"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TABELA_SIMUL,'FLG_EXCLDD_EU_PRS_ALGND_BNCHMRK' AS CAMPO, '${ref_date}' AS REF_DATE, COUNT(*) AS NUM_REG, SUM(IF(TRIM(CAST(X.FLG_EXCLDD_EU_PRS_ALGND_BNCHMRK AS STRING)) IN ('0000-00-00','0001-01-01','9999-12-31','MISS','00000','99999999999','99999999999.00','99999999999.000000'),1,0)) AS NUM_REG_DIF,'10' AS ID_EXEC, CURRENT_TIMESTAMP() AS TIME_EXEC FROM (SELECT entty_id, FLG_EXCLDD_EU_PRS_ALGND_BNCHMRK FROM BU_LOANTAPE_WORK.LT003_ENTITY WHERE ref_date='${ref_date}' AND nome_perimetro='Individual Corporativo' AND segmento='ESTR' AND ambito='PILAR3')X</v>
      </c>
      <c r="M325" s="43" t="str">
        <f t="shared" si="5"/>
        <v>UNION ALL SELECT 'ENTITY' AS TABELA, 'MISSINGS' AS TIPOLOGIA_TESTE,'BU_LOANTAPE_WORK.LT003_ENTITY' AS TABELA_LT,'N/A' AS TABELA_SIMUL,'FLG_EXCLDD_EU_PRS_ALGND_BNCHMRK' AS CAMPO, '${ref_date}' AS REF_DATE, COUNT(*) AS NUM_REG, SUM(IF(TRIM(CAST(X.FLG_EXCLDD_EU_PRS_ALGND_BNCHMRK AS STRING)) IN ('0000-00-00','0001-01-01','9999-12-31','MISS','00000','99999999999','99999999999.00','99999999999.000000'),1,0)) AS NUM_REG_DIF,'10' AS ID_EXEC, CURRENT_TIMESTAMP() AS TIME_EXEC FROM (SELECT entty_id, FLG_EXCLDD_EU_PRS_ALGND_BNCHMRK FROM BU_LOANTAPE_WORK.LT003_ENTITY WHERE ref_date='${ref_date}' AND nome_perimetro='Individual Corporativo' AND segmento='ESTR' AND ambito='PILAR3')X</v>
      </c>
      <c r="N325" s="45" t="s">
        <v>13</v>
      </c>
    </row>
    <row r="326" spans="2:14">
      <c r="B326" s="41" t="s">
        <v>23</v>
      </c>
      <c r="C326" s="41" t="s">
        <v>77</v>
      </c>
      <c r="D326" s="41" t="str">
        <f>+UPPER('0. Instruções'!$D$33&amp;"."&amp;VLOOKUP(B326,'0. Instruções'!$C$27:$D$31,2,FALSE))</f>
        <v>BU_LOANTAPE_WORK.LT003_ENTITY</v>
      </c>
      <c r="E326" s="41" t="str">
        <f>+UPPER('0. Instruções'!$D$34&amp;"."&amp;VLOOKUP(B326,'0. Instruções'!$C$27:$E$31,3,FALSE))</f>
        <v>BU_LOANTAPE_WORK.LT003_ENTTY_P3_NOV24</v>
      </c>
      <c r="F326" s="41" t="s">
        <v>121</v>
      </c>
      <c r="G326" s="41" t="s">
        <v>211</v>
      </c>
      <c r="H326" s="41"/>
      <c r="I326" s="41" t="str">
        <f>"(SELECT "&amp;VLOOKUP(B326,'0. Instruções'!$C$27:$G$31,4,FALSE)&amp;", "&amp;F326&amp;" FROM "&amp;D326&amp;" WHERE "&amp;'0. Instruções'!$D$40&amp;")X"</f>
        <v>(SELECT entty_id, FLG_ACT_PHYSCL_RSK FROM BU_LOANTAPE_WORK.LT003_ENTITY WHERE ref_date='${ref_date}' AND nome_perimetro='Individual Corporativo' AND segmento='ESTR' AND ambito='PILAR3')X</v>
      </c>
      <c r="J326" s="41" t="str">
        <f>"(SELECT "&amp;VLOOKUP(B326,'0. Instruções'!$C$27:$G$31,4,FALSE)&amp;" AS "&amp;VLOOKUP(B326,'0. Instruções'!$C$27:$G$31,4,FALSE)&amp;"_SIMUL, "&amp;F326&amp;" AS "&amp;F326&amp;"_SIMUL FROM "&amp;E326&amp;")Y"</f>
        <v>(SELECT entty_id AS entty_id_SIMUL, FLG_ACT_PHYSCL_RSK AS FLG_ACT_PHYSCL_RSK_SIMUL FROM BU_LOANTAPE_WORK.LT003_ENTTY_P3_NOV24)Y</v>
      </c>
      <c r="K326" s="42" t="str">
        <f>+UPPER("ON X."&amp;VLOOKUP(B326,'0. Instruções'!$C$27:$G$31,4,FALSE)&amp;"=Y."&amp;VLOOKUP(B326,'0. Instruções'!$C$27:$G$31,4,FALSE)&amp;"_SIMUL")</f>
        <v>ON X.ENTTY_ID=Y.ENTTY_ID_SIMUL</v>
      </c>
      <c r="L326" s="42" t="str">
        <f>+IF(C326="Coerência", +IF(LEFT(G326,5)="FLOAT","SELECT '"&amp;UPPER(B326)&amp;"' AS TABELA, '"&amp;UPPER(C326)&amp;"' AS TIPOLOGIA_TESTE,'"&amp;D326&amp;"' AS TABELA_LT,'"&amp;E326&amp;"' AS TABELA_SIMUL,'"&amp;F326&amp;"' AS CAMPO, "&amp;"'${ref_date}' AS REF_DATE, COUNT(*) AS NUM_REG, SUM(IF((ABS(COALESCE(X."&amp;F326&amp;",0)-COALESCE(Y."&amp;F326&amp;"_SIMUL,0))&gt;0.0000000001) OR (X."&amp;F326&amp;" IS NULL AND Y."&amp;F326&amp;"_SIMUL IS NOT NULL ) OR (X."&amp;F326&amp;" IS NOT NULL AND Y."&amp;F326&amp;"_SIMUL IS NULL),1,0)) AS NUM_REG_DIF,'"&amp;MAX('ID1&amp;5'!K:K)+1&amp;"' AS ID_EXEC, CURRENT_TIMESTAMP() AS TIME_EXEC FROM "&amp;I326&amp;" INNER JOIN "&amp;J326&amp;" "&amp;K326,"SELECT '"&amp;UPPER(B326)&amp;"' AS TABELA, '"&amp;UPPER(C326)&amp;"' AS TIPOLOGIA_TESTE,'"&amp;D326&amp;"' AS TABELA_LT,'"&amp;E326&amp;"' AS TABELA_SIMUL,'"&amp;F326&amp;"' AS CAMPO, "&amp;"'${ref_date}' AS REF_DATE, COUNT(*) AS NUM_REG, SUM(IF(COALESCE(CAST(X."&amp;F326&amp;" AS STRING),'')&lt;&gt;COALESCE(CAST(Y."&amp;F326&amp;"_SIMUL AS STRING),''),1,0)) AS NUM_REG_DIF,'"&amp;MAX('ID1&amp;5'!L:L)+1&amp;"' AS ID_EXEC, CURRENT_TIMESTAMP() AS TIME_EXEC FROM "&amp;I326&amp;" INNER JOIN "&amp;J326&amp;" "&amp;K326),
IF(C326="Validade",+IF(G326="Code List","SELECT '"&amp;UPPER(B326)&amp;"' AS TABELA, '"&amp;UPPER(C326)&amp;"' AS TIPOLOGIA_TESTE,'"&amp;D326&amp;"' AS TABELA_LT,'N/A' AS TABELA_SIMUL,'"&amp;F326&amp;"' AS CAMPO, "&amp;"'${ref_date}' AS REF_DATE, COUNT(*) AS NUM_REG, SUM(IF(TRIM(CAST(X."&amp;F326&amp;" AS STRING))='' OR TRIM(CAST(X."&amp;F326&amp;" AS STRING)) IS NULL OR CAST(X."&amp;F326&amp;" AS STRING) NOT "&amp;H326&amp;",1,0)) AS NUM_REG_DIF,'"&amp;MAX('ID1&amp;5'!K:K)+1&amp;"' AS ID_EXEC, CURRENT_TIMESTAMP() AS TIME_EXEC FROM "&amp;I326,"SELECT '"&amp;UPPER(B326)&amp;"' AS TABELA, '"&amp;UPPER(C326)&amp;"' AS TIPOLOGIA_TESTE,'"&amp;D326&amp;"' AS TABELA_LT,'N/A' AS TABELA_SIMUL,'"&amp;F326&amp;"' AS CAMPO, "&amp;"'${ref_date}' AS REF_DATE, COUNT(*) AS NUM_REG, SUM(IF(TRIM(CAST(X."&amp;F326&amp;" AS STRING))='' OR TRIM(CAST(X."&amp;F326&amp;" AS STRING)) IS NULL,1,0)) AS NUM_REG_DIF,'"&amp;MAX('ID1&amp;5'!K:K)+1&amp;"' AS ID_EXEC, CURRENT_TIMESTAMP() AS TIME_EXEC FROM "&amp;I326),
IF(C326="Caracteres Especiais",+"SELECT '"&amp;UPPER(B326)&amp;"' AS TABELA, '"&amp;UPPER(C326)&amp;"' AS TIPOLOGIA_TESTE,'"&amp;D326&amp;"' AS TABELA_LT,'N/A' AS TABELA_SIMUL,'"&amp;F326&amp;"' AS CAMPO, "&amp;"'${ref_date}' AS REF_DATE, COUNT(*) AS NUM_REG, SUM(IF(INSTR(CAST(X."&amp;F326&amp;" AS STRING),'#')&gt;0 OR INSTR(CAST(X."&amp;F326&amp;" AS STRING),'*')&gt;0 OR INSTR(CAST(X."&amp;F326&amp;" AS STRING),'`')&gt;0 OR INSTR(CAST(X."&amp;F326&amp;" AS STRING),'´')&gt;0 OR INSTR(CAST(X."&amp;F326&amp;" AS STRING),'{')&gt;0 OR INSTR(CAST(X."&amp;F326&amp;" AS STRING),'}')&gt;0 OR INSTR(CAST(X."&amp;F326&amp;" AS STRING),'[')&gt;0 OR INSTR(CAST(X."&amp;F326&amp;" AS STRING),'')&gt;0 OR INSTR(CAST(X."&amp;F326&amp;" AS STRING),']')&gt;0 OR INSTR(CAST(X."&amp;F326&amp;" AS STRING),'?')&gt;0 OR INSTR(CAST(X."&amp;F326&amp;" AS STRING),'!')&gt;0 OR INSTR(CAST(X."&amp;F326&amp;" AS STRING),'$')&gt;0 OR INSTR(CAST(X."&amp;F326&amp;" AS STRING),'%')&gt;0 OR INSTR(CAST(X."&amp;F326&amp;" AS STRING),'&amp;')&gt;0 OR INSTR(CAST(X."&amp;F326&amp;" AS STRING),'+')&gt;0,1,0)) AS NUM_REG_DIF,'"&amp;MAX('ID1&amp;5'!K:K)+1&amp;"' AS ID_EXEC, CURRENT_TIMESTAMP() AS TIME_EXEC FROM "&amp;I326,
IF(C326="Missings",+"SELECT '"&amp;UPPER(B326)&amp;"' AS TABELA, '"&amp;UPPER(C326)&amp;"' AS TIPOLOGIA_TESTE,'"&amp;D326&amp;"' AS TABELA_LT,'N/A' AS TABELA_SIMUL,'"&amp;F326&amp;"' AS CAMPO, "&amp;"'${ref_date}' AS REF_DATE, COUNT(*) AS NUM_REG, SUM(IF(TRIM(CAST(X."&amp;F326&amp;" AS STRING)) IN ('0000-00-00','0001-01-01','9999-12-31','MISS','00000','99999999999','99999999999.00','99999999999.000000'),1,0)) AS NUM_REG_DIF,'"&amp;MAX('ID1&amp;5'!K:K)+1&amp;"' AS ID_EXEC, CURRENT_TIMESTAMP() AS TIME_EXEC FROM "&amp;I326,
IF(C326="Not applicable",+"SELECT '"&amp;UPPER(B326)&amp;"' AS TABELA, '"&amp;UPPER(C326)&amp;"' AS TIPOLOGIA_TESTE,'"&amp;D326&amp;"' AS TABELA_LT,'N/A' AS TABELA_SIMUL,'"&amp;F326&amp;"' AS CAMPO, "&amp;"'${ref_date}' AS REF_DATE, COUNT(*) AS NUM_REG, SUM(IF(TRIM(CAST(X."&amp;F326&amp;" AS STRING)) IN ('N/A','11111111111','11111111111.00','11111111111.000000','1111-11-11'),1,0)) AS NUM_REG_DIF,'"&amp;MAX('ID1&amp;5'!K:K)+1&amp;"' AS ID_EXEC, CURRENT_TIMESTAMP() AS TIME_EXEC FROM "&amp;I326,
IF(C326="Valores extremos",+"SELECT '"&amp;UPPER(B326)&amp;"' AS TABELA, '"&amp;UPPER(C326)&amp;"' AS TIPOLOGIA_TESTE,'"&amp;D326&amp;"' AS TABELA_LT,'N/A' AS TABELA_SIMUL,'"&amp;F326&amp;"' AS CAMPO, "&amp;"'${ref_date}' AS REF_DATE, CAST(MIN("&amp;F326&amp;") AS STRING) AS VALOR_MIN, CAST(MAX("&amp;F326&amp;") AS STRING) AS VALOR_MAX,'"&amp;MAX('ID1&amp;5'!K:K)+1&amp;"' AS ID_EXEC, CURRENT_TIMESTAMP() AS TIME_EXEC FROM "&amp;MID(I326,1,LEN(I326)-2)&amp;" AND CAST("&amp;F326&amp;"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TABELA_SIMUL,'FLG_ACT_PHYSCL_RSK' AS CAMPO, '${ref_date}' AS REF_DATE, COUNT(*) AS NUM_REG, SUM(IF(TRIM(CAST(X.FLG_ACT_PHYSCL_RSK AS STRING)) IN ('0000-00-00','0001-01-01','9999-12-31','MISS','00000','99999999999','99999999999.00','99999999999.000000'),1,0)) AS NUM_REG_DIF,'10' AS ID_EXEC, CURRENT_TIMESTAMP() AS TIME_EXEC FROM (SELECT entty_id, FLG_ACT_PHYSCL_RSK FROM BU_LOANTAPE_WORK.LT003_ENTITY WHERE ref_date='${ref_date}' AND nome_perimetro='Individual Corporativo' AND segmento='ESTR' AND ambito='PILAR3')X</v>
      </c>
      <c r="M326" s="43" t="str">
        <f t="shared" si="5"/>
        <v>UNION ALL SELECT 'ENTITY' AS TABELA, 'MISSINGS' AS TIPOLOGIA_TESTE,'BU_LOANTAPE_WORK.LT003_ENTITY' AS TABELA_LT,'N/A' AS TABELA_SIMUL,'FLG_ACT_PHYSCL_RSK' AS CAMPO, '${ref_date}' AS REF_DATE, COUNT(*) AS NUM_REG, SUM(IF(TRIM(CAST(X.FLG_ACT_PHYSCL_RSK AS STRING)) IN ('0000-00-00','0001-01-01','9999-12-31','MISS','00000','99999999999','99999999999.00','99999999999.000000'),1,0)) AS NUM_REG_DIF,'10' AS ID_EXEC, CURRENT_TIMESTAMP() AS TIME_EXEC FROM (SELECT entty_id, FLG_ACT_PHYSCL_RSK FROM BU_LOANTAPE_WORK.LT003_ENTITY WHERE ref_date='${ref_date}' AND nome_perimetro='Individual Corporativo' AND segmento='ESTR' AND ambito='PILAR3')X</v>
      </c>
      <c r="N326" s="45" t="s">
        <v>13</v>
      </c>
    </row>
    <row r="327" spans="2:14">
      <c r="B327" s="41" t="s">
        <v>23</v>
      </c>
      <c r="C327" s="41" t="s">
        <v>77</v>
      </c>
      <c r="D327" s="41" t="str">
        <f>+UPPER('0. Instruções'!$D$33&amp;"."&amp;VLOOKUP(B327,'0. Instruções'!$C$27:$D$31,2,FALSE))</f>
        <v>BU_LOANTAPE_WORK.LT003_ENTITY</v>
      </c>
      <c r="E327" s="41" t="str">
        <f>+UPPER('0. Instruções'!$D$34&amp;"."&amp;VLOOKUP(B327,'0. Instruções'!$C$27:$E$31,3,FALSE))</f>
        <v>BU_LOANTAPE_WORK.LT003_ENTTY_P3_NOV24</v>
      </c>
      <c r="F327" s="41" t="s">
        <v>122</v>
      </c>
      <c r="G327" s="41" t="s">
        <v>211</v>
      </c>
      <c r="H327" s="41"/>
      <c r="I327" s="41" t="str">
        <f>"(SELECT "&amp;VLOOKUP(B327,'0. Instruções'!$C$27:$G$31,4,FALSE)&amp;", "&amp;F327&amp;" FROM "&amp;D327&amp;" WHERE "&amp;'0. Instruções'!$D$40&amp;")X"</f>
        <v>(SELECT entty_id, FLG_CHRNC_PHYSCL_RSK FROM BU_LOANTAPE_WORK.LT003_ENTITY WHERE ref_date='${ref_date}' AND nome_perimetro='Individual Corporativo' AND segmento='ESTR' AND ambito='PILAR3')X</v>
      </c>
      <c r="J327" s="41" t="str">
        <f>"(SELECT "&amp;VLOOKUP(B327,'0. Instruções'!$C$27:$G$31,4,FALSE)&amp;" AS "&amp;VLOOKUP(B327,'0. Instruções'!$C$27:$G$31,4,FALSE)&amp;"_SIMUL, "&amp;F327&amp;" AS "&amp;F327&amp;"_SIMUL FROM "&amp;E327&amp;")Y"</f>
        <v>(SELECT entty_id AS entty_id_SIMUL, FLG_CHRNC_PHYSCL_RSK AS FLG_CHRNC_PHYSCL_RSK_SIMUL FROM BU_LOANTAPE_WORK.LT003_ENTTY_P3_NOV24)Y</v>
      </c>
      <c r="K327" s="42" t="str">
        <f>+UPPER("ON X."&amp;VLOOKUP(B327,'0. Instruções'!$C$27:$G$31,4,FALSE)&amp;"=Y."&amp;VLOOKUP(B327,'0. Instruções'!$C$27:$G$31,4,FALSE)&amp;"_SIMUL")</f>
        <v>ON X.ENTTY_ID=Y.ENTTY_ID_SIMUL</v>
      </c>
      <c r="L327" s="42" t="str">
        <f>+IF(C327="Coerência", +IF(LEFT(G327,5)="FLOAT","SELECT '"&amp;UPPER(B327)&amp;"' AS TABELA, '"&amp;UPPER(C327)&amp;"' AS TIPOLOGIA_TESTE,'"&amp;D327&amp;"' AS TABELA_LT,'"&amp;E327&amp;"' AS TABELA_SIMUL,'"&amp;F327&amp;"' AS CAMPO, "&amp;"'${ref_date}' AS REF_DATE, COUNT(*) AS NUM_REG, SUM(IF((ABS(COALESCE(X."&amp;F327&amp;",0)-COALESCE(Y."&amp;F327&amp;"_SIMUL,0))&gt;0.0000000001) OR (X."&amp;F327&amp;" IS NULL AND Y."&amp;F327&amp;"_SIMUL IS NOT NULL ) OR (X."&amp;F327&amp;" IS NOT NULL AND Y."&amp;F327&amp;"_SIMUL IS NULL),1,0)) AS NUM_REG_DIF,'"&amp;MAX('ID1&amp;5'!K:K)+1&amp;"' AS ID_EXEC, CURRENT_TIMESTAMP() AS TIME_EXEC FROM "&amp;I327&amp;" INNER JOIN "&amp;J327&amp;" "&amp;K327,"SELECT '"&amp;UPPER(B327)&amp;"' AS TABELA, '"&amp;UPPER(C327)&amp;"' AS TIPOLOGIA_TESTE,'"&amp;D327&amp;"' AS TABELA_LT,'"&amp;E327&amp;"' AS TABELA_SIMUL,'"&amp;F327&amp;"' AS CAMPO, "&amp;"'${ref_date}' AS REF_DATE, COUNT(*) AS NUM_REG, SUM(IF(COALESCE(CAST(X."&amp;F327&amp;" AS STRING),'')&lt;&gt;COALESCE(CAST(Y."&amp;F327&amp;"_SIMUL AS STRING),''),1,0)) AS NUM_REG_DIF,'"&amp;MAX('ID1&amp;5'!L:L)+1&amp;"' AS ID_EXEC, CURRENT_TIMESTAMP() AS TIME_EXEC FROM "&amp;I327&amp;" INNER JOIN "&amp;J327&amp;" "&amp;K327),
IF(C327="Validade",+IF(G327="Code List","SELECT '"&amp;UPPER(B327)&amp;"' AS TABELA, '"&amp;UPPER(C327)&amp;"' AS TIPOLOGIA_TESTE,'"&amp;D327&amp;"' AS TABELA_LT,'N/A' AS TABELA_SIMUL,'"&amp;F327&amp;"' AS CAMPO, "&amp;"'${ref_date}' AS REF_DATE, COUNT(*) AS NUM_REG, SUM(IF(TRIM(CAST(X."&amp;F327&amp;" AS STRING))='' OR TRIM(CAST(X."&amp;F327&amp;" AS STRING)) IS NULL OR CAST(X."&amp;F327&amp;" AS STRING) NOT "&amp;H327&amp;",1,0)) AS NUM_REG_DIF,'"&amp;MAX('ID1&amp;5'!K:K)+1&amp;"' AS ID_EXEC, CURRENT_TIMESTAMP() AS TIME_EXEC FROM "&amp;I327,"SELECT '"&amp;UPPER(B327)&amp;"' AS TABELA, '"&amp;UPPER(C327)&amp;"' AS TIPOLOGIA_TESTE,'"&amp;D327&amp;"' AS TABELA_LT,'N/A' AS TABELA_SIMUL,'"&amp;F327&amp;"' AS CAMPO, "&amp;"'${ref_date}' AS REF_DATE, COUNT(*) AS NUM_REG, SUM(IF(TRIM(CAST(X."&amp;F327&amp;" AS STRING))='' OR TRIM(CAST(X."&amp;F327&amp;" AS STRING)) IS NULL,1,0)) AS NUM_REG_DIF,'"&amp;MAX('ID1&amp;5'!K:K)+1&amp;"' AS ID_EXEC, CURRENT_TIMESTAMP() AS TIME_EXEC FROM "&amp;I327),
IF(C327="Caracteres Especiais",+"SELECT '"&amp;UPPER(B327)&amp;"' AS TABELA, '"&amp;UPPER(C327)&amp;"' AS TIPOLOGIA_TESTE,'"&amp;D327&amp;"' AS TABELA_LT,'N/A' AS TABELA_SIMUL,'"&amp;F327&amp;"' AS CAMPO, "&amp;"'${ref_date}' AS REF_DATE, COUNT(*) AS NUM_REG, SUM(IF(INSTR(CAST(X."&amp;F327&amp;" AS STRING),'#')&gt;0 OR INSTR(CAST(X."&amp;F327&amp;" AS STRING),'*')&gt;0 OR INSTR(CAST(X."&amp;F327&amp;" AS STRING),'`')&gt;0 OR INSTR(CAST(X."&amp;F327&amp;" AS STRING),'´')&gt;0 OR INSTR(CAST(X."&amp;F327&amp;" AS STRING),'{')&gt;0 OR INSTR(CAST(X."&amp;F327&amp;" AS STRING),'}')&gt;0 OR INSTR(CAST(X."&amp;F327&amp;" AS STRING),'[')&gt;0 OR INSTR(CAST(X."&amp;F327&amp;" AS STRING),'')&gt;0 OR INSTR(CAST(X."&amp;F327&amp;" AS STRING),']')&gt;0 OR INSTR(CAST(X."&amp;F327&amp;" AS STRING),'?')&gt;0 OR INSTR(CAST(X."&amp;F327&amp;" AS STRING),'!')&gt;0 OR INSTR(CAST(X."&amp;F327&amp;" AS STRING),'$')&gt;0 OR INSTR(CAST(X."&amp;F327&amp;" AS STRING),'%')&gt;0 OR INSTR(CAST(X."&amp;F327&amp;" AS STRING),'&amp;')&gt;0 OR INSTR(CAST(X."&amp;F327&amp;" AS STRING),'+')&gt;0,1,0)) AS NUM_REG_DIF,'"&amp;MAX('ID1&amp;5'!K:K)+1&amp;"' AS ID_EXEC, CURRENT_TIMESTAMP() AS TIME_EXEC FROM "&amp;I327,
IF(C327="Missings",+"SELECT '"&amp;UPPER(B327)&amp;"' AS TABELA, '"&amp;UPPER(C327)&amp;"' AS TIPOLOGIA_TESTE,'"&amp;D327&amp;"' AS TABELA_LT,'N/A' AS TABELA_SIMUL,'"&amp;F327&amp;"' AS CAMPO, "&amp;"'${ref_date}' AS REF_DATE, COUNT(*) AS NUM_REG, SUM(IF(TRIM(CAST(X."&amp;F327&amp;" AS STRING)) IN ('0000-00-00','0001-01-01','9999-12-31','MISS','00000','99999999999','99999999999.00','99999999999.000000'),1,0)) AS NUM_REG_DIF,'"&amp;MAX('ID1&amp;5'!K:K)+1&amp;"' AS ID_EXEC, CURRENT_TIMESTAMP() AS TIME_EXEC FROM "&amp;I327,
IF(C327="Not applicable",+"SELECT '"&amp;UPPER(B327)&amp;"' AS TABELA, '"&amp;UPPER(C327)&amp;"' AS TIPOLOGIA_TESTE,'"&amp;D327&amp;"' AS TABELA_LT,'N/A' AS TABELA_SIMUL,'"&amp;F327&amp;"' AS CAMPO, "&amp;"'${ref_date}' AS REF_DATE, COUNT(*) AS NUM_REG, SUM(IF(TRIM(CAST(X."&amp;F327&amp;" AS STRING)) IN ('N/A','11111111111','11111111111.00','11111111111.000000','1111-11-11'),1,0)) AS NUM_REG_DIF,'"&amp;MAX('ID1&amp;5'!K:K)+1&amp;"' AS ID_EXEC, CURRENT_TIMESTAMP() AS TIME_EXEC FROM "&amp;I327,
IF(C327="Valores extremos",+"SELECT '"&amp;UPPER(B327)&amp;"' AS TABELA, '"&amp;UPPER(C327)&amp;"' AS TIPOLOGIA_TESTE,'"&amp;D327&amp;"' AS TABELA_LT,'N/A' AS TABELA_SIMUL,'"&amp;F327&amp;"' AS CAMPO, "&amp;"'${ref_date}' AS REF_DATE, CAST(MIN("&amp;F327&amp;") AS STRING) AS VALOR_MIN, CAST(MAX("&amp;F327&amp;") AS STRING) AS VALOR_MAX,'"&amp;MAX('ID1&amp;5'!K:K)+1&amp;"' AS ID_EXEC, CURRENT_TIMESTAMP() AS TIME_EXEC FROM "&amp;MID(I327,1,LEN(I327)-2)&amp;" AND CAST("&amp;F327&amp;"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TABELA_SIMUL,'FLG_CHRNC_PHYSCL_RSK' AS CAMPO, '${ref_date}' AS REF_DATE, COUNT(*) AS NUM_REG, SUM(IF(TRIM(CAST(X.FLG_CHRNC_PHYSCL_RSK AS STRING)) IN ('0000-00-00','0001-01-01','9999-12-31','MISS','00000','99999999999','99999999999.00','99999999999.000000'),1,0)) AS NUM_REG_DIF,'10' AS ID_EXEC, CURRENT_TIMESTAMP() AS TIME_EXEC FROM (SELECT entty_id, FLG_CHRNC_PHYSCL_RSK FROM BU_LOANTAPE_WORK.LT003_ENTITY WHERE ref_date='${ref_date}' AND nome_perimetro='Individual Corporativo' AND segmento='ESTR' AND ambito='PILAR3')X</v>
      </c>
      <c r="M327" s="43" t="str">
        <f t="shared" si="5"/>
        <v>UNION ALL SELECT 'ENTITY' AS TABELA, 'MISSINGS' AS TIPOLOGIA_TESTE,'BU_LOANTAPE_WORK.LT003_ENTITY' AS TABELA_LT,'N/A' AS TABELA_SIMUL,'FLG_CHRNC_PHYSCL_RSK' AS CAMPO, '${ref_date}' AS REF_DATE, COUNT(*) AS NUM_REG, SUM(IF(TRIM(CAST(X.FLG_CHRNC_PHYSCL_RSK AS STRING)) IN ('0000-00-00','0001-01-01','9999-12-31','MISS','00000','99999999999','99999999999.00','99999999999.000000'),1,0)) AS NUM_REG_DIF,'10' AS ID_EXEC, CURRENT_TIMESTAMP() AS TIME_EXEC FROM (SELECT entty_id, FLG_CHRNC_PHYSCL_RSK FROM BU_LOANTAPE_WORK.LT003_ENTITY WHERE ref_date='${ref_date}' AND nome_perimetro='Individual Corporativo' AND segmento='ESTR' AND ambito='PILAR3')X</v>
      </c>
      <c r="N327" s="45" t="s">
        <v>13</v>
      </c>
    </row>
    <row r="328" spans="2:14">
      <c r="B328" s="41" t="s">
        <v>23</v>
      </c>
      <c r="C328" s="41" t="s">
        <v>77</v>
      </c>
      <c r="D328" s="41" t="str">
        <f>+UPPER('0. Instruções'!$D$33&amp;"."&amp;VLOOKUP(B328,'0. Instruções'!$C$27:$D$31,2,FALSE))</f>
        <v>BU_LOANTAPE_WORK.LT003_ENTITY</v>
      </c>
      <c r="E328" s="41" t="str">
        <f>+UPPER('0. Instruções'!$D$34&amp;"."&amp;VLOOKUP(B328,'0. Instruções'!$C$27:$E$31,3,FALSE))</f>
        <v>BU_LOANTAPE_WORK.LT003_ENTTY_P3_NOV24</v>
      </c>
      <c r="F328" s="41" t="s">
        <v>123</v>
      </c>
      <c r="G328" s="41" t="s">
        <v>212</v>
      </c>
      <c r="H328" s="41"/>
      <c r="I328" s="41" t="str">
        <f>"(SELECT "&amp;VLOOKUP(B328,'0. Instruções'!$C$27:$G$31,4,FALSE)&amp;", "&amp;F328&amp;" FROM "&amp;D328&amp;" WHERE "&amp;'0. Instruções'!$D$40&amp;")X"</f>
        <v>(SELECT entty_id, PST_CD FROM BU_LOANTAPE_WORK.LT003_ENTITY WHERE ref_date='${ref_date}' AND nome_perimetro='Individual Corporativo' AND segmento='ESTR' AND ambito='PILAR3')X</v>
      </c>
      <c r="J328" s="41" t="str">
        <f>"(SELECT "&amp;VLOOKUP(B328,'0. Instruções'!$C$27:$G$31,4,FALSE)&amp;" AS "&amp;VLOOKUP(B328,'0. Instruções'!$C$27:$G$31,4,FALSE)&amp;"_SIMUL, "&amp;F328&amp;" AS "&amp;F328&amp;"_SIMUL FROM "&amp;E328&amp;")Y"</f>
        <v>(SELECT entty_id AS entty_id_SIMUL, PST_CD AS PST_CD_SIMUL FROM BU_LOANTAPE_WORK.LT003_ENTTY_P3_NOV24)Y</v>
      </c>
      <c r="K328" s="42" t="str">
        <f>+UPPER("ON X."&amp;VLOOKUP(B328,'0. Instruções'!$C$27:$G$31,4,FALSE)&amp;"=Y."&amp;VLOOKUP(B328,'0. Instruções'!$C$27:$G$31,4,FALSE)&amp;"_SIMUL")</f>
        <v>ON X.ENTTY_ID=Y.ENTTY_ID_SIMUL</v>
      </c>
      <c r="L328" s="42" t="str">
        <f>+IF(C328="Coerência", +IF(LEFT(G328,5)="FLOAT","SELECT '"&amp;UPPER(B328)&amp;"' AS TABELA, '"&amp;UPPER(C328)&amp;"' AS TIPOLOGIA_TESTE,'"&amp;D328&amp;"' AS TABELA_LT,'"&amp;E328&amp;"' AS TABELA_SIMUL,'"&amp;F328&amp;"' AS CAMPO, "&amp;"'${ref_date}' AS REF_DATE, COUNT(*) AS NUM_REG, SUM(IF((ABS(COALESCE(X."&amp;F328&amp;",0)-COALESCE(Y."&amp;F328&amp;"_SIMUL,0))&gt;0.0000000001) OR (X."&amp;F328&amp;" IS NULL AND Y."&amp;F328&amp;"_SIMUL IS NOT NULL ) OR (X."&amp;F328&amp;" IS NOT NULL AND Y."&amp;F328&amp;"_SIMUL IS NULL),1,0)) AS NUM_REG_DIF,'"&amp;MAX('ID1&amp;5'!K:K)+1&amp;"' AS ID_EXEC, CURRENT_TIMESTAMP() AS TIME_EXEC FROM "&amp;I328&amp;" INNER JOIN "&amp;J328&amp;" "&amp;K328,"SELECT '"&amp;UPPER(B328)&amp;"' AS TABELA, '"&amp;UPPER(C328)&amp;"' AS TIPOLOGIA_TESTE,'"&amp;D328&amp;"' AS TABELA_LT,'"&amp;E328&amp;"' AS TABELA_SIMUL,'"&amp;F328&amp;"' AS CAMPO, "&amp;"'${ref_date}' AS REF_DATE, COUNT(*) AS NUM_REG, SUM(IF(COALESCE(CAST(X."&amp;F328&amp;" AS STRING),'')&lt;&gt;COALESCE(CAST(Y."&amp;F328&amp;"_SIMUL AS STRING),''),1,0)) AS NUM_REG_DIF,'"&amp;MAX('ID1&amp;5'!L:L)+1&amp;"' AS ID_EXEC, CURRENT_TIMESTAMP() AS TIME_EXEC FROM "&amp;I328&amp;" INNER JOIN "&amp;J328&amp;" "&amp;K328),
IF(C328="Validade",+IF(G328="Code List","SELECT '"&amp;UPPER(B328)&amp;"' AS TABELA, '"&amp;UPPER(C328)&amp;"' AS TIPOLOGIA_TESTE,'"&amp;D328&amp;"' AS TABELA_LT,'N/A' AS TABELA_SIMUL,'"&amp;F328&amp;"' AS CAMPO, "&amp;"'${ref_date}' AS REF_DATE, COUNT(*) AS NUM_REG, SUM(IF(TRIM(CAST(X."&amp;F328&amp;" AS STRING))='' OR TRIM(CAST(X."&amp;F328&amp;" AS STRING)) IS NULL OR CAST(X."&amp;F328&amp;" AS STRING) NOT "&amp;H328&amp;",1,0)) AS NUM_REG_DIF,'"&amp;MAX('ID1&amp;5'!K:K)+1&amp;"' AS ID_EXEC, CURRENT_TIMESTAMP() AS TIME_EXEC FROM "&amp;I328,"SELECT '"&amp;UPPER(B328)&amp;"' AS TABELA, '"&amp;UPPER(C328)&amp;"' AS TIPOLOGIA_TESTE,'"&amp;D328&amp;"' AS TABELA_LT,'N/A' AS TABELA_SIMUL,'"&amp;F328&amp;"' AS CAMPO, "&amp;"'${ref_date}' AS REF_DATE, COUNT(*) AS NUM_REG, SUM(IF(TRIM(CAST(X."&amp;F328&amp;" AS STRING))='' OR TRIM(CAST(X."&amp;F328&amp;" AS STRING)) IS NULL,1,0)) AS NUM_REG_DIF,'"&amp;MAX('ID1&amp;5'!K:K)+1&amp;"' AS ID_EXEC, CURRENT_TIMESTAMP() AS TIME_EXEC FROM "&amp;I328),
IF(C328="Caracteres Especiais",+"SELECT '"&amp;UPPER(B328)&amp;"' AS TABELA, '"&amp;UPPER(C328)&amp;"' AS TIPOLOGIA_TESTE,'"&amp;D328&amp;"' AS TABELA_LT,'N/A' AS TABELA_SIMUL,'"&amp;F328&amp;"' AS CAMPO, "&amp;"'${ref_date}' AS REF_DATE, COUNT(*) AS NUM_REG, SUM(IF(INSTR(CAST(X."&amp;F328&amp;" AS STRING),'#')&gt;0 OR INSTR(CAST(X."&amp;F328&amp;" AS STRING),'*')&gt;0 OR INSTR(CAST(X."&amp;F328&amp;" AS STRING),'`')&gt;0 OR INSTR(CAST(X."&amp;F328&amp;" AS STRING),'´')&gt;0 OR INSTR(CAST(X."&amp;F328&amp;" AS STRING),'{')&gt;0 OR INSTR(CAST(X."&amp;F328&amp;" AS STRING),'}')&gt;0 OR INSTR(CAST(X."&amp;F328&amp;" AS STRING),'[')&gt;0 OR INSTR(CAST(X."&amp;F328&amp;" AS STRING),'')&gt;0 OR INSTR(CAST(X."&amp;F328&amp;" AS STRING),']')&gt;0 OR INSTR(CAST(X."&amp;F328&amp;" AS STRING),'?')&gt;0 OR INSTR(CAST(X."&amp;F328&amp;" AS STRING),'!')&gt;0 OR INSTR(CAST(X."&amp;F328&amp;" AS STRING),'$')&gt;0 OR INSTR(CAST(X."&amp;F328&amp;" AS STRING),'%')&gt;0 OR INSTR(CAST(X."&amp;F328&amp;" AS STRING),'&amp;')&gt;0 OR INSTR(CAST(X."&amp;F328&amp;" AS STRING),'+')&gt;0,1,0)) AS NUM_REG_DIF,'"&amp;MAX('ID1&amp;5'!K:K)+1&amp;"' AS ID_EXEC, CURRENT_TIMESTAMP() AS TIME_EXEC FROM "&amp;I328,
IF(C328="Missings",+"SELECT '"&amp;UPPER(B328)&amp;"' AS TABELA, '"&amp;UPPER(C328)&amp;"' AS TIPOLOGIA_TESTE,'"&amp;D328&amp;"' AS TABELA_LT,'N/A' AS TABELA_SIMUL,'"&amp;F328&amp;"' AS CAMPO, "&amp;"'${ref_date}' AS REF_DATE, COUNT(*) AS NUM_REG, SUM(IF(TRIM(CAST(X."&amp;F328&amp;" AS STRING)) IN ('0000-00-00','0001-01-01','9999-12-31','MISS','00000','99999999999','99999999999.00','99999999999.000000'),1,0)) AS NUM_REG_DIF,'"&amp;MAX('ID1&amp;5'!K:K)+1&amp;"' AS ID_EXEC, CURRENT_TIMESTAMP() AS TIME_EXEC FROM "&amp;I328,
IF(C328="Not applicable",+"SELECT '"&amp;UPPER(B328)&amp;"' AS TABELA, '"&amp;UPPER(C328)&amp;"' AS TIPOLOGIA_TESTE,'"&amp;D328&amp;"' AS TABELA_LT,'N/A' AS TABELA_SIMUL,'"&amp;F328&amp;"' AS CAMPO, "&amp;"'${ref_date}' AS REF_DATE, COUNT(*) AS NUM_REG, SUM(IF(TRIM(CAST(X."&amp;F328&amp;" AS STRING)) IN ('N/A','11111111111','11111111111.00','11111111111.000000','1111-11-11'),1,0)) AS NUM_REG_DIF,'"&amp;MAX('ID1&amp;5'!K:K)+1&amp;"' AS ID_EXEC, CURRENT_TIMESTAMP() AS TIME_EXEC FROM "&amp;I328,
IF(C328="Valores extremos",+"SELECT '"&amp;UPPER(B328)&amp;"' AS TABELA, '"&amp;UPPER(C328)&amp;"' AS TIPOLOGIA_TESTE,'"&amp;D328&amp;"' AS TABELA_LT,'N/A' AS TABELA_SIMUL,'"&amp;F328&amp;"' AS CAMPO, "&amp;"'${ref_date}' AS REF_DATE, CAST(MIN("&amp;F328&amp;") AS STRING) AS VALOR_MIN, CAST(MAX("&amp;F328&amp;") AS STRING) AS VALOR_MAX,'"&amp;MAX('ID1&amp;5'!K:K)+1&amp;"' AS ID_EXEC, CURRENT_TIMESTAMP() AS TIME_EXEC FROM "&amp;MID(I328,1,LEN(I328)-2)&amp;" AND CAST("&amp;F328&amp;"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TABELA_SIMUL,'PST_CD' AS CAMPO, '${ref_date}' AS REF_DATE, COUNT(*) AS NUM_REG, SUM(IF(TRIM(CAST(X.PST_CD AS STRING)) IN ('0000-00-00','0001-01-01','9999-12-31','MISS','00000','99999999999','99999999999.00','99999999999.000000'),1,0)) AS NUM_REG_DIF,'10' AS ID_EXEC, CURRENT_TIMESTAMP() AS TIME_EXEC FROM (SELECT entty_id, PST_CD FROM BU_LOANTAPE_WORK.LT003_ENTITY WHERE ref_date='${ref_date}' AND nome_perimetro='Individual Corporativo' AND segmento='ESTR' AND ambito='PILAR3')X</v>
      </c>
      <c r="M328" s="43" t="str">
        <f t="shared" si="5"/>
        <v>UNION ALL SELECT 'ENTITY' AS TABELA, 'MISSINGS' AS TIPOLOGIA_TESTE,'BU_LOANTAPE_WORK.LT003_ENTITY' AS TABELA_LT,'N/A' AS TABELA_SIMUL,'PST_CD' AS CAMPO, '${ref_date}' AS REF_DATE, COUNT(*) AS NUM_REG, SUM(IF(TRIM(CAST(X.PST_CD AS STRING)) IN ('0000-00-00','0001-01-01','9999-12-31','MISS','00000','99999999999','99999999999.00','99999999999.000000'),1,0)) AS NUM_REG_DIF,'10' AS ID_EXEC, CURRENT_TIMESTAMP() AS TIME_EXEC FROM (SELECT entty_id, PST_CD FROM BU_LOANTAPE_WORK.LT003_ENTITY WHERE ref_date='${ref_date}' AND nome_perimetro='Individual Corporativo' AND segmento='ESTR' AND ambito='PILAR3')X</v>
      </c>
      <c r="N328" s="45" t="s">
        <v>13</v>
      </c>
    </row>
    <row r="329" spans="2:14">
      <c r="B329" s="41" t="s">
        <v>23</v>
      </c>
      <c r="C329" s="41" t="s">
        <v>77</v>
      </c>
      <c r="D329" s="41" t="str">
        <f>+UPPER('0. Instruções'!$D$33&amp;"."&amp;VLOOKUP(B329,'0. Instruções'!$C$27:$D$31,2,FALSE))</f>
        <v>BU_LOANTAPE_WORK.LT003_ENTITY</v>
      </c>
      <c r="E329" s="41" t="str">
        <f>+UPPER('0. Instruções'!$D$34&amp;"."&amp;VLOOKUP(B329,'0. Instruções'!$C$27:$E$31,3,FALSE))</f>
        <v>BU_LOANTAPE_WORK.LT003_ENTTY_P3_NOV24</v>
      </c>
      <c r="F329" s="41" t="s">
        <v>125</v>
      </c>
      <c r="G329" s="41" t="s">
        <v>209</v>
      </c>
      <c r="H329" s="41"/>
      <c r="I329" s="41" t="str">
        <f>"(SELECT "&amp;VLOOKUP(B329,'0. Instruções'!$C$27:$G$31,4,FALSE)&amp;", "&amp;F329&amp;" FROM "&amp;D329&amp;" WHERE "&amp;'0. Instruções'!$D$40&amp;")X"</f>
        <v>(SELECT entty_id, ESG_SBSCTR FROM BU_LOANTAPE_WORK.LT003_ENTITY WHERE ref_date='${ref_date}' AND nome_perimetro='Individual Corporativo' AND segmento='ESTR' AND ambito='PILAR3')X</v>
      </c>
      <c r="J329" s="41" t="str">
        <f>"(SELECT "&amp;VLOOKUP(B329,'0. Instruções'!$C$27:$G$31,4,FALSE)&amp;" AS "&amp;VLOOKUP(B329,'0. Instruções'!$C$27:$G$31,4,FALSE)&amp;"_SIMUL, "&amp;F329&amp;" AS "&amp;F329&amp;"_SIMUL FROM "&amp;E329&amp;")Y"</f>
        <v>(SELECT entty_id AS entty_id_SIMUL, ESG_SBSCTR AS ESG_SBSCTR_SIMUL FROM BU_LOANTAPE_WORK.LT003_ENTTY_P3_NOV24)Y</v>
      </c>
      <c r="K329" s="42" t="str">
        <f>+UPPER("ON X."&amp;VLOOKUP(B329,'0. Instruções'!$C$27:$G$31,4,FALSE)&amp;"=Y."&amp;VLOOKUP(B329,'0. Instruções'!$C$27:$G$31,4,FALSE)&amp;"_SIMUL")</f>
        <v>ON X.ENTTY_ID=Y.ENTTY_ID_SIMUL</v>
      </c>
      <c r="L329" s="42" t="str">
        <f>+IF(C329="Coerência", +IF(LEFT(G329,5)="FLOAT","SELECT '"&amp;UPPER(B329)&amp;"' AS TABELA, '"&amp;UPPER(C329)&amp;"' AS TIPOLOGIA_TESTE,'"&amp;D329&amp;"' AS TABELA_LT,'"&amp;E329&amp;"' AS TABELA_SIMUL,'"&amp;F329&amp;"' AS CAMPO, "&amp;"'${ref_date}' AS REF_DATE, COUNT(*) AS NUM_REG, SUM(IF((ABS(COALESCE(X."&amp;F329&amp;",0)-COALESCE(Y."&amp;F329&amp;"_SIMUL,0))&gt;0.0000000001) OR (X."&amp;F329&amp;" IS NULL AND Y."&amp;F329&amp;"_SIMUL IS NOT NULL ) OR (X."&amp;F329&amp;" IS NOT NULL AND Y."&amp;F329&amp;"_SIMUL IS NULL),1,0)) AS NUM_REG_DIF,'"&amp;MAX('ID1&amp;5'!K:K)+1&amp;"' AS ID_EXEC, CURRENT_TIMESTAMP() AS TIME_EXEC FROM "&amp;I329&amp;" INNER JOIN "&amp;J329&amp;" "&amp;K329,"SELECT '"&amp;UPPER(B329)&amp;"' AS TABELA, '"&amp;UPPER(C329)&amp;"' AS TIPOLOGIA_TESTE,'"&amp;D329&amp;"' AS TABELA_LT,'"&amp;E329&amp;"' AS TABELA_SIMUL,'"&amp;F329&amp;"' AS CAMPO, "&amp;"'${ref_date}' AS REF_DATE, COUNT(*) AS NUM_REG, SUM(IF(COALESCE(CAST(X."&amp;F329&amp;" AS STRING),'')&lt;&gt;COALESCE(CAST(Y."&amp;F329&amp;"_SIMUL AS STRING),''),1,0)) AS NUM_REG_DIF,'"&amp;MAX('ID1&amp;5'!L:L)+1&amp;"' AS ID_EXEC, CURRENT_TIMESTAMP() AS TIME_EXEC FROM "&amp;I329&amp;" INNER JOIN "&amp;J329&amp;" "&amp;K329),
IF(C329="Validade",+IF(G329="Code List","SELECT '"&amp;UPPER(B329)&amp;"' AS TABELA, '"&amp;UPPER(C329)&amp;"' AS TIPOLOGIA_TESTE,'"&amp;D329&amp;"' AS TABELA_LT,'N/A' AS TABELA_SIMUL,'"&amp;F329&amp;"' AS CAMPO, "&amp;"'${ref_date}' AS REF_DATE, COUNT(*) AS NUM_REG, SUM(IF(TRIM(CAST(X."&amp;F329&amp;" AS STRING))='' OR TRIM(CAST(X."&amp;F329&amp;" AS STRING)) IS NULL OR CAST(X."&amp;F329&amp;" AS STRING) NOT "&amp;H329&amp;",1,0)) AS NUM_REG_DIF,'"&amp;MAX('ID1&amp;5'!K:K)+1&amp;"' AS ID_EXEC, CURRENT_TIMESTAMP() AS TIME_EXEC FROM "&amp;I329,"SELECT '"&amp;UPPER(B329)&amp;"' AS TABELA, '"&amp;UPPER(C329)&amp;"' AS TIPOLOGIA_TESTE,'"&amp;D329&amp;"' AS TABELA_LT,'N/A' AS TABELA_SIMUL,'"&amp;F329&amp;"' AS CAMPO, "&amp;"'${ref_date}' AS REF_DATE, COUNT(*) AS NUM_REG, SUM(IF(TRIM(CAST(X."&amp;F329&amp;" AS STRING))='' OR TRIM(CAST(X."&amp;F329&amp;" AS STRING)) IS NULL,1,0)) AS NUM_REG_DIF,'"&amp;MAX('ID1&amp;5'!K:K)+1&amp;"' AS ID_EXEC, CURRENT_TIMESTAMP() AS TIME_EXEC FROM "&amp;I329),
IF(C329="Caracteres Especiais",+"SELECT '"&amp;UPPER(B329)&amp;"' AS TABELA, '"&amp;UPPER(C329)&amp;"' AS TIPOLOGIA_TESTE,'"&amp;D329&amp;"' AS TABELA_LT,'N/A' AS TABELA_SIMUL,'"&amp;F329&amp;"' AS CAMPO, "&amp;"'${ref_date}' AS REF_DATE, COUNT(*) AS NUM_REG, SUM(IF(INSTR(CAST(X."&amp;F329&amp;" AS STRING),'#')&gt;0 OR INSTR(CAST(X."&amp;F329&amp;" AS STRING),'*')&gt;0 OR INSTR(CAST(X."&amp;F329&amp;" AS STRING),'`')&gt;0 OR INSTR(CAST(X."&amp;F329&amp;" AS STRING),'´')&gt;0 OR INSTR(CAST(X."&amp;F329&amp;" AS STRING),'{')&gt;0 OR INSTR(CAST(X."&amp;F329&amp;" AS STRING),'}')&gt;0 OR INSTR(CAST(X."&amp;F329&amp;" AS STRING),'[')&gt;0 OR INSTR(CAST(X."&amp;F329&amp;" AS STRING),'')&gt;0 OR INSTR(CAST(X."&amp;F329&amp;" AS STRING),']')&gt;0 OR INSTR(CAST(X."&amp;F329&amp;" AS STRING),'?')&gt;0 OR INSTR(CAST(X."&amp;F329&amp;" AS STRING),'!')&gt;0 OR INSTR(CAST(X."&amp;F329&amp;" AS STRING),'$')&gt;0 OR INSTR(CAST(X."&amp;F329&amp;" AS STRING),'%')&gt;0 OR INSTR(CAST(X."&amp;F329&amp;" AS STRING),'&amp;')&gt;0 OR INSTR(CAST(X."&amp;F329&amp;" AS STRING),'+')&gt;0,1,0)) AS NUM_REG_DIF,'"&amp;MAX('ID1&amp;5'!K:K)+1&amp;"' AS ID_EXEC, CURRENT_TIMESTAMP() AS TIME_EXEC FROM "&amp;I329,
IF(C329="Missings",+"SELECT '"&amp;UPPER(B329)&amp;"' AS TABELA, '"&amp;UPPER(C329)&amp;"' AS TIPOLOGIA_TESTE,'"&amp;D329&amp;"' AS TABELA_LT,'N/A' AS TABELA_SIMUL,'"&amp;F329&amp;"' AS CAMPO, "&amp;"'${ref_date}' AS REF_DATE, COUNT(*) AS NUM_REG, SUM(IF(TRIM(CAST(X."&amp;F329&amp;" AS STRING)) IN ('0000-00-00','0001-01-01','9999-12-31','MISS','00000','99999999999','99999999999.00','99999999999.000000'),1,0)) AS NUM_REG_DIF,'"&amp;MAX('ID1&amp;5'!K:K)+1&amp;"' AS ID_EXEC, CURRENT_TIMESTAMP() AS TIME_EXEC FROM "&amp;I329,
IF(C329="Not applicable",+"SELECT '"&amp;UPPER(B329)&amp;"' AS TABELA, '"&amp;UPPER(C329)&amp;"' AS TIPOLOGIA_TESTE,'"&amp;D329&amp;"' AS TABELA_LT,'N/A' AS TABELA_SIMUL,'"&amp;F329&amp;"' AS CAMPO, "&amp;"'${ref_date}' AS REF_DATE, COUNT(*) AS NUM_REG, SUM(IF(TRIM(CAST(X."&amp;F329&amp;" AS STRING)) IN ('N/A','11111111111','11111111111.00','11111111111.000000','1111-11-11'),1,0)) AS NUM_REG_DIF,'"&amp;MAX('ID1&amp;5'!K:K)+1&amp;"' AS ID_EXEC, CURRENT_TIMESTAMP() AS TIME_EXEC FROM "&amp;I329,
IF(C329="Valores extremos",+"SELECT '"&amp;UPPER(B329)&amp;"' AS TABELA, '"&amp;UPPER(C329)&amp;"' AS TIPOLOGIA_TESTE,'"&amp;D329&amp;"' AS TABELA_LT,'N/A' AS TABELA_SIMUL,'"&amp;F329&amp;"' AS CAMPO, "&amp;"'${ref_date}' AS REF_DATE, CAST(MIN("&amp;F329&amp;") AS STRING) AS VALOR_MIN, CAST(MAX("&amp;F329&amp;") AS STRING) AS VALOR_MAX,'"&amp;MAX('ID1&amp;5'!K:K)+1&amp;"' AS ID_EXEC, CURRENT_TIMESTAMP() AS TIME_EXEC FROM "&amp;MID(I329,1,LEN(I329)-2)&amp;" AND CAST("&amp;F329&amp;"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TABELA_SIMUL,'ESG_SBSCTR' AS CAMPO, '${ref_date}' AS REF_DATE, COUNT(*) AS NUM_REG, SUM(IF(TRIM(CAST(X.ESG_SBSCTR AS STRING)) IN ('0000-00-00','0001-01-01','9999-12-31','MISS','00000','99999999999','99999999999.00','99999999999.000000'),1,0)) AS NUM_REG_DIF,'10' AS ID_EXEC, CURRENT_TIMESTAMP() AS TIME_EXEC FROM (SELECT entty_id, ESG_SBSCTR FROM BU_LOANTAPE_WORK.LT003_ENTITY WHERE ref_date='${ref_date}' AND nome_perimetro='Individual Corporativo' AND segmento='ESTR' AND ambito='PILAR3')X</v>
      </c>
      <c r="M329" s="43" t="str">
        <f t="shared" si="5"/>
        <v>UNION ALL SELECT 'ENTITY' AS TABELA, 'MISSINGS' AS TIPOLOGIA_TESTE,'BU_LOANTAPE_WORK.LT003_ENTITY' AS TABELA_LT,'N/A' AS TABELA_SIMUL,'ESG_SBSCTR' AS CAMPO, '${ref_date}' AS REF_DATE, COUNT(*) AS NUM_REG, SUM(IF(TRIM(CAST(X.ESG_SBSCTR AS STRING)) IN ('0000-00-00','0001-01-01','9999-12-31','MISS','00000','99999999999','99999999999.00','99999999999.000000'),1,0)) AS NUM_REG_DIF,'10' AS ID_EXEC, CURRENT_TIMESTAMP() AS TIME_EXEC FROM (SELECT entty_id, ESG_SBSCTR FROM BU_LOANTAPE_WORK.LT003_ENTITY WHERE ref_date='${ref_date}' AND nome_perimetro='Individual Corporativo' AND segmento='ESTR' AND ambito='PILAR3')X</v>
      </c>
      <c r="N329" s="45" t="s">
        <v>13</v>
      </c>
    </row>
    <row r="330" spans="2:14">
      <c r="B330" s="41" t="s">
        <v>23</v>
      </c>
      <c r="C330" s="41" t="s">
        <v>77</v>
      </c>
      <c r="D330" s="41" t="str">
        <f>+UPPER('0. Instruções'!$D$33&amp;"."&amp;VLOOKUP(B330,'0. Instruções'!$C$27:$D$31,2,FALSE))</f>
        <v>BU_LOANTAPE_WORK.LT003_ENTITY</v>
      </c>
      <c r="E330" s="41" t="str">
        <f>+UPPER('0. Instruções'!$D$34&amp;"."&amp;VLOOKUP(B330,'0. Instruções'!$C$27:$E$31,3,FALSE))</f>
        <v>BU_LOANTAPE_WORK.LT003_ENTTY_P3_NOV24</v>
      </c>
      <c r="F330" s="41" t="s">
        <v>126</v>
      </c>
      <c r="G330" s="41" t="s">
        <v>213</v>
      </c>
      <c r="H330" s="41"/>
      <c r="I330" s="41" t="str">
        <f>"(SELECT "&amp;VLOOKUP(B330,'0. Instruções'!$C$27:$G$31,4,FALSE)&amp;", "&amp;F330&amp;" FROM "&amp;D330&amp;" WHERE "&amp;'0. Instruções'!$D$40&amp;")X"</f>
        <v>(SELECT entty_id, TTL_LBLTY FROM BU_LOANTAPE_WORK.LT003_ENTITY WHERE ref_date='${ref_date}' AND nome_perimetro='Individual Corporativo' AND segmento='ESTR' AND ambito='PILAR3')X</v>
      </c>
      <c r="J330" s="41" t="str">
        <f>"(SELECT "&amp;VLOOKUP(B330,'0. Instruções'!$C$27:$G$31,4,FALSE)&amp;" AS "&amp;VLOOKUP(B330,'0. Instruções'!$C$27:$G$31,4,FALSE)&amp;"_SIMUL, "&amp;F330&amp;" AS "&amp;F330&amp;"_SIMUL FROM "&amp;E330&amp;")Y"</f>
        <v>(SELECT entty_id AS entty_id_SIMUL, TTL_LBLTY AS TTL_LBLTY_SIMUL FROM BU_LOANTAPE_WORK.LT003_ENTTY_P3_NOV24)Y</v>
      </c>
      <c r="K330" s="42" t="str">
        <f>+UPPER("ON X."&amp;VLOOKUP(B330,'0. Instruções'!$C$27:$G$31,4,FALSE)&amp;"=Y."&amp;VLOOKUP(B330,'0. Instruções'!$C$27:$G$31,4,FALSE)&amp;"_SIMUL")</f>
        <v>ON X.ENTTY_ID=Y.ENTTY_ID_SIMUL</v>
      </c>
      <c r="L330" s="42" t="str">
        <f>+IF(C330="Coerência", +IF(LEFT(G330,5)="FLOAT","SELECT '"&amp;UPPER(B330)&amp;"' AS TABELA, '"&amp;UPPER(C330)&amp;"' AS TIPOLOGIA_TESTE,'"&amp;D330&amp;"' AS TABELA_LT,'"&amp;E330&amp;"' AS TABELA_SIMUL,'"&amp;F330&amp;"' AS CAMPO, "&amp;"'${ref_date}' AS REF_DATE, COUNT(*) AS NUM_REG, SUM(IF((ABS(COALESCE(X."&amp;F330&amp;",0)-COALESCE(Y."&amp;F330&amp;"_SIMUL,0))&gt;0.0000000001) OR (X."&amp;F330&amp;" IS NULL AND Y."&amp;F330&amp;"_SIMUL IS NOT NULL ) OR (X."&amp;F330&amp;" IS NOT NULL AND Y."&amp;F330&amp;"_SIMUL IS NULL),1,0)) AS NUM_REG_DIF,'"&amp;MAX('ID1&amp;5'!K:K)+1&amp;"' AS ID_EXEC, CURRENT_TIMESTAMP() AS TIME_EXEC FROM "&amp;I330&amp;" INNER JOIN "&amp;J330&amp;" "&amp;K330,"SELECT '"&amp;UPPER(B330)&amp;"' AS TABELA, '"&amp;UPPER(C330)&amp;"' AS TIPOLOGIA_TESTE,'"&amp;D330&amp;"' AS TABELA_LT,'"&amp;E330&amp;"' AS TABELA_SIMUL,'"&amp;F330&amp;"' AS CAMPO, "&amp;"'${ref_date}' AS REF_DATE, COUNT(*) AS NUM_REG, SUM(IF(COALESCE(CAST(X."&amp;F330&amp;" AS STRING),'')&lt;&gt;COALESCE(CAST(Y."&amp;F330&amp;"_SIMUL AS STRING),''),1,0)) AS NUM_REG_DIF,'"&amp;MAX('ID1&amp;5'!L:L)+1&amp;"' AS ID_EXEC, CURRENT_TIMESTAMP() AS TIME_EXEC FROM "&amp;I330&amp;" INNER JOIN "&amp;J330&amp;" "&amp;K330),
IF(C330="Validade",+IF(G330="Code List","SELECT '"&amp;UPPER(B330)&amp;"' AS TABELA, '"&amp;UPPER(C330)&amp;"' AS TIPOLOGIA_TESTE,'"&amp;D330&amp;"' AS TABELA_LT,'N/A' AS TABELA_SIMUL,'"&amp;F330&amp;"' AS CAMPO, "&amp;"'${ref_date}' AS REF_DATE, COUNT(*) AS NUM_REG, SUM(IF(TRIM(CAST(X."&amp;F330&amp;" AS STRING))='' OR TRIM(CAST(X."&amp;F330&amp;" AS STRING)) IS NULL OR CAST(X."&amp;F330&amp;" AS STRING) NOT "&amp;H330&amp;",1,0)) AS NUM_REG_DIF,'"&amp;MAX('ID1&amp;5'!K:K)+1&amp;"' AS ID_EXEC, CURRENT_TIMESTAMP() AS TIME_EXEC FROM "&amp;I330,"SELECT '"&amp;UPPER(B330)&amp;"' AS TABELA, '"&amp;UPPER(C330)&amp;"' AS TIPOLOGIA_TESTE,'"&amp;D330&amp;"' AS TABELA_LT,'N/A' AS TABELA_SIMUL,'"&amp;F330&amp;"' AS CAMPO, "&amp;"'${ref_date}' AS REF_DATE, COUNT(*) AS NUM_REG, SUM(IF(TRIM(CAST(X."&amp;F330&amp;" AS STRING))='' OR TRIM(CAST(X."&amp;F330&amp;" AS STRING)) IS NULL,1,0)) AS NUM_REG_DIF,'"&amp;MAX('ID1&amp;5'!K:K)+1&amp;"' AS ID_EXEC, CURRENT_TIMESTAMP() AS TIME_EXEC FROM "&amp;I330),
IF(C330="Caracteres Especiais",+"SELECT '"&amp;UPPER(B330)&amp;"' AS TABELA, '"&amp;UPPER(C330)&amp;"' AS TIPOLOGIA_TESTE,'"&amp;D330&amp;"' AS TABELA_LT,'N/A' AS TABELA_SIMUL,'"&amp;F330&amp;"' AS CAMPO, "&amp;"'${ref_date}' AS REF_DATE, COUNT(*) AS NUM_REG, SUM(IF(INSTR(CAST(X."&amp;F330&amp;" AS STRING),'#')&gt;0 OR INSTR(CAST(X."&amp;F330&amp;" AS STRING),'*')&gt;0 OR INSTR(CAST(X."&amp;F330&amp;" AS STRING),'`')&gt;0 OR INSTR(CAST(X."&amp;F330&amp;" AS STRING),'´')&gt;0 OR INSTR(CAST(X."&amp;F330&amp;" AS STRING),'{')&gt;0 OR INSTR(CAST(X."&amp;F330&amp;" AS STRING),'}')&gt;0 OR INSTR(CAST(X."&amp;F330&amp;" AS STRING),'[')&gt;0 OR INSTR(CAST(X."&amp;F330&amp;" AS STRING),'')&gt;0 OR INSTR(CAST(X."&amp;F330&amp;" AS STRING),']')&gt;0 OR INSTR(CAST(X."&amp;F330&amp;" AS STRING),'?')&gt;0 OR INSTR(CAST(X."&amp;F330&amp;" AS STRING),'!')&gt;0 OR INSTR(CAST(X."&amp;F330&amp;" AS STRING),'$')&gt;0 OR INSTR(CAST(X."&amp;F330&amp;" AS STRING),'%')&gt;0 OR INSTR(CAST(X."&amp;F330&amp;" AS STRING),'&amp;')&gt;0 OR INSTR(CAST(X."&amp;F330&amp;" AS STRING),'+')&gt;0,1,0)) AS NUM_REG_DIF,'"&amp;MAX('ID1&amp;5'!K:K)+1&amp;"' AS ID_EXEC, CURRENT_TIMESTAMP() AS TIME_EXEC FROM "&amp;I330,
IF(C330="Missings",+"SELECT '"&amp;UPPER(B330)&amp;"' AS TABELA, '"&amp;UPPER(C330)&amp;"' AS TIPOLOGIA_TESTE,'"&amp;D330&amp;"' AS TABELA_LT,'N/A' AS TABELA_SIMUL,'"&amp;F330&amp;"' AS CAMPO, "&amp;"'${ref_date}' AS REF_DATE, COUNT(*) AS NUM_REG, SUM(IF(TRIM(CAST(X."&amp;F330&amp;" AS STRING)) IN ('0000-00-00','0001-01-01','9999-12-31','MISS','00000','99999999999','99999999999.00','99999999999.000000'),1,0)) AS NUM_REG_DIF,'"&amp;MAX('ID1&amp;5'!K:K)+1&amp;"' AS ID_EXEC, CURRENT_TIMESTAMP() AS TIME_EXEC FROM "&amp;I330,
IF(C330="Not applicable",+"SELECT '"&amp;UPPER(B330)&amp;"' AS TABELA, '"&amp;UPPER(C330)&amp;"' AS TIPOLOGIA_TESTE,'"&amp;D330&amp;"' AS TABELA_LT,'N/A' AS TABELA_SIMUL,'"&amp;F330&amp;"' AS CAMPO, "&amp;"'${ref_date}' AS REF_DATE, COUNT(*) AS NUM_REG, SUM(IF(TRIM(CAST(X."&amp;F330&amp;" AS STRING)) IN ('N/A','11111111111','11111111111.00','11111111111.000000','1111-11-11'),1,0)) AS NUM_REG_DIF,'"&amp;MAX('ID1&amp;5'!K:K)+1&amp;"' AS ID_EXEC, CURRENT_TIMESTAMP() AS TIME_EXEC FROM "&amp;I330,
IF(C330="Valores extremos",+"SELECT '"&amp;UPPER(B330)&amp;"' AS TABELA, '"&amp;UPPER(C330)&amp;"' AS TIPOLOGIA_TESTE,'"&amp;D330&amp;"' AS TABELA_LT,'N/A' AS TABELA_SIMUL,'"&amp;F330&amp;"' AS CAMPO, "&amp;"'${ref_date}' AS REF_DATE, CAST(MIN("&amp;F330&amp;") AS STRING) AS VALOR_MIN, CAST(MAX("&amp;F330&amp;") AS STRING) AS VALOR_MAX,'"&amp;MAX('ID1&amp;5'!K:K)+1&amp;"' AS ID_EXEC, CURRENT_TIMESTAMP() AS TIME_EXEC FROM "&amp;MID(I330,1,LEN(I330)-2)&amp;" AND CAST("&amp;F330&amp;"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TABELA_SIMUL,'TTL_LBLTY' AS CAMPO, '${ref_date}' AS REF_DATE, COUNT(*) AS NUM_REG, SUM(IF(TRIM(CAST(X.TTL_LBLTY AS STRING)) IN ('0000-00-00','0001-01-01','9999-12-31','MISS','00000','99999999999','99999999999.00','99999999999.000000'),1,0)) AS NUM_REG_DIF,'10' AS ID_EXEC, CURRENT_TIMESTAMP() AS TIME_EXEC FROM (SELECT entty_id, TTL_LBLTY FROM BU_LOANTAPE_WORK.LT003_ENTITY WHERE ref_date='${ref_date}' AND nome_perimetro='Individual Corporativo' AND segmento='ESTR' AND ambito='PILAR3')X</v>
      </c>
      <c r="M330" s="43" t="str">
        <f t="shared" si="5"/>
        <v>UNION ALL SELECT 'ENTITY' AS TABELA, 'MISSINGS' AS TIPOLOGIA_TESTE,'BU_LOANTAPE_WORK.LT003_ENTITY' AS TABELA_LT,'N/A' AS TABELA_SIMUL,'TTL_LBLTY' AS CAMPO, '${ref_date}' AS REF_DATE, COUNT(*) AS NUM_REG, SUM(IF(TRIM(CAST(X.TTL_LBLTY AS STRING)) IN ('0000-00-00','0001-01-01','9999-12-31','MISS','00000','99999999999','99999999999.00','99999999999.000000'),1,0)) AS NUM_REG_DIF,'10' AS ID_EXEC, CURRENT_TIMESTAMP() AS TIME_EXEC FROM (SELECT entty_id, TTL_LBLTY FROM BU_LOANTAPE_WORK.LT003_ENTITY WHERE ref_date='${ref_date}' AND nome_perimetro='Individual Corporativo' AND segmento='ESTR' AND ambito='PILAR3')X</v>
      </c>
      <c r="N330" s="45" t="s">
        <v>13</v>
      </c>
    </row>
    <row r="331" spans="2:14">
      <c r="B331" s="41" t="s">
        <v>23</v>
      </c>
      <c r="C331" s="41" t="s">
        <v>77</v>
      </c>
      <c r="D331" s="41" t="str">
        <f>+UPPER('0. Instruções'!$D$33&amp;"."&amp;VLOOKUP(B331,'0. Instruções'!$C$27:$D$31,2,FALSE))</f>
        <v>BU_LOANTAPE_WORK.LT003_ENTITY</v>
      </c>
      <c r="E331" s="41" t="str">
        <f>+UPPER('0. Instruções'!$D$34&amp;"."&amp;VLOOKUP(B331,'0. Instruções'!$C$27:$E$31,3,FALSE))</f>
        <v>BU_LOANTAPE_WORK.LT003_ENTTY_P3_NOV24</v>
      </c>
      <c r="F331" s="41" t="s">
        <v>127</v>
      </c>
      <c r="G331" s="41" t="s">
        <v>214</v>
      </c>
      <c r="H331" s="41"/>
      <c r="I331" s="41" t="str">
        <f>"(SELECT "&amp;VLOOKUP(B331,'0. Instruções'!$C$27:$G$31,4,FALSE)&amp;", "&amp;F331&amp;" FROM "&amp;D331&amp;" WHERE "&amp;'0. Instruções'!$D$40&amp;")X"</f>
        <v>(SELECT entty_id, ISIN FROM BU_LOANTAPE_WORK.LT003_ENTITY WHERE ref_date='${ref_date}' AND nome_perimetro='Individual Corporativo' AND segmento='ESTR' AND ambito='PILAR3')X</v>
      </c>
      <c r="J331" s="41" t="str">
        <f>"(SELECT "&amp;VLOOKUP(B331,'0. Instruções'!$C$27:$G$31,4,FALSE)&amp;" AS "&amp;VLOOKUP(B331,'0. Instruções'!$C$27:$G$31,4,FALSE)&amp;"_SIMUL, "&amp;F331&amp;" AS "&amp;F331&amp;"_SIMUL FROM "&amp;E331&amp;")Y"</f>
        <v>(SELECT entty_id AS entty_id_SIMUL, ISIN AS ISIN_SIMUL FROM BU_LOANTAPE_WORK.LT003_ENTTY_P3_NOV24)Y</v>
      </c>
      <c r="K331" s="42" t="str">
        <f>+UPPER("ON X."&amp;VLOOKUP(B331,'0. Instruções'!$C$27:$G$31,4,FALSE)&amp;"=Y."&amp;VLOOKUP(B331,'0. Instruções'!$C$27:$G$31,4,FALSE)&amp;"_SIMUL")</f>
        <v>ON X.ENTTY_ID=Y.ENTTY_ID_SIMUL</v>
      </c>
      <c r="L331" s="42" t="str">
        <f>+IF(C331="Coerência", +IF(LEFT(G331,5)="FLOAT","SELECT '"&amp;UPPER(B331)&amp;"' AS TABELA, '"&amp;UPPER(C331)&amp;"' AS TIPOLOGIA_TESTE,'"&amp;D331&amp;"' AS TABELA_LT,'"&amp;E331&amp;"' AS TABELA_SIMUL,'"&amp;F331&amp;"' AS CAMPO, "&amp;"'${ref_date}' AS REF_DATE, COUNT(*) AS NUM_REG, SUM(IF((ABS(COALESCE(X."&amp;F331&amp;",0)-COALESCE(Y."&amp;F331&amp;"_SIMUL,0))&gt;0.0000000001) OR (X."&amp;F331&amp;" IS NULL AND Y."&amp;F331&amp;"_SIMUL IS NOT NULL ) OR (X."&amp;F331&amp;" IS NOT NULL AND Y."&amp;F331&amp;"_SIMUL IS NULL),1,0)) AS NUM_REG_DIF,'"&amp;MAX('ID1&amp;5'!K:K)+1&amp;"' AS ID_EXEC, CURRENT_TIMESTAMP() AS TIME_EXEC FROM "&amp;I331&amp;" INNER JOIN "&amp;J331&amp;" "&amp;K331,"SELECT '"&amp;UPPER(B331)&amp;"' AS TABELA, '"&amp;UPPER(C331)&amp;"' AS TIPOLOGIA_TESTE,'"&amp;D331&amp;"' AS TABELA_LT,'"&amp;E331&amp;"' AS TABELA_SIMUL,'"&amp;F331&amp;"' AS CAMPO, "&amp;"'${ref_date}' AS REF_DATE, COUNT(*) AS NUM_REG, SUM(IF(COALESCE(CAST(X."&amp;F331&amp;" AS STRING),'')&lt;&gt;COALESCE(CAST(Y."&amp;F331&amp;"_SIMUL AS STRING),''),1,0)) AS NUM_REG_DIF,'"&amp;MAX('ID1&amp;5'!L:L)+1&amp;"' AS ID_EXEC, CURRENT_TIMESTAMP() AS TIME_EXEC FROM "&amp;I331&amp;" INNER JOIN "&amp;J331&amp;" "&amp;K331),
IF(C331="Validade",+IF(G331="Code List","SELECT '"&amp;UPPER(B331)&amp;"' AS TABELA, '"&amp;UPPER(C331)&amp;"' AS TIPOLOGIA_TESTE,'"&amp;D331&amp;"' AS TABELA_LT,'N/A' AS TABELA_SIMUL,'"&amp;F331&amp;"' AS CAMPO, "&amp;"'${ref_date}' AS REF_DATE, COUNT(*) AS NUM_REG, SUM(IF(TRIM(CAST(X."&amp;F331&amp;" AS STRING))='' OR TRIM(CAST(X."&amp;F331&amp;" AS STRING)) IS NULL OR CAST(X."&amp;F331&amp;" AS STRING) NOT "&amp;H331&amp;",1,0)) AS NUM_REG_DIF,'"&amp;MAX('ID1&amp;5'!K:K)+1&amp;"' AS ID_EXEC, CURRENT_TIMESTAMP() AS TIME_EXEC FROM "&amp;I331,"SELECT '"&amp;UPPER(B331)&amp;"' AS TABELA, '"&amp;UPPER(C331)&amp;"' AS TIPOLOGIA_TESTE,'"&amp;D331&amp;"' AS TABELA_LT,'N/A' AS TABELA_SIMUL,'"&amp;F331&amp;"' AS CAMPO, "&amp;"'${ref_date}' AS REF_DATE, COUNT(*) AS NUM_REG, SUM(IF(TRIM(CAST(X."&amp;F331&amp;" AS STRING))='' OR TRIM(CAST(X."&amp;F331&amp;" AS STRING)) IS NULL,1,0)) AS NUM_REG_DIF,'"&amp;MAX('ID1&amp;5'!K:K)+1&amp;"' AS ID_EXEC, CURRENT_TIMESTAMP() AS TIME_EXEC FROM "&amp;I331),
IF(C331="Caracteres Especiais",+"SELECT '"&amp;UPPER(B331)&amp;"' AS TABELA, '"&amp;UPPER(C331)&amp;"' AS TIPOLOGIA_TESTE,'"&amp;D331&amp;"' AS TABELA_LT,'N/A' AS TABELA_SIMUL,'"&amp;F331&amp;"' AS CAMPO, "&amp;"'${ref_date}' AS REF_DATE, COUNT(*) AS NUM_REG, SUM(IF(INSTR(CAST(X."&amp;F331&amp;" AS STRING),'#')&gt;0 OR INSTR(CAST(X."&amp;F331&amp;" AS STRING),'*')&gt;0 OR INSTR(CAST(X."&amp;F331&amp;" AS STRING),'`')&gt;0 OR INSTR(CAST(X."&amp;F331&amp;" AS STRING),'´')&gt;0 OR INSTR(CAST(X."&amp;F331&amp;" AS STRING),'{')&gt;0 OR INSTR(CAST(X."&amp;F331&amp;" AS STRING),'}')&gt;0 OR INSTR(CAST(X."&amp;F331&amp;" AS STRING),'[')&gt;0 OR INSTR(CAST(X."&amp;F331&amp;" AS STRING),'')&gt;0 OR INSTR(CAST(X."&amp;F331&amp;" AS STRING),']')&gt;0 OR INSTR(CAST(X."&amp;F331&amp;" AS STRING),'?')&gt;0 OR INSTR(CAST(X."&amp;F331&amp;" AS STRING),'!')&gt;0 OR INSTR(CAST(X."&amp;F331&amp;" AS STRING),'$')&gt;0 OR INSTR(CAST(X."&amp;F331&amp;" AS STRING),'%')&gt;0 OR INSTR(CAST(X."&amp;F331&amp;" AS STRING),'&amp;')&gt;0 OR INSTR(CAST(X."&amp;F331&amp;" AS STRING),'+')&gt;0,1,0)) AS NUM_REG_DIF,'"&amp;MAX('ID1&amp;5'!K:K)+1&amp;"' AS ID_EXEC, CURRENT_TIMESTAMP() AS TIME_EXEC FROM "&amp;I331,
IF(C331="Missings",+"SELECT '"&amp;UPPER(B331)&amp;"' AS TABELA, '"&amp;UPPER(C331)&amp;"' AS TIPOLOGIA_TESTE,'"&amp;D331&amp;"' AS TABELA_LT,'N/A' AS TABELA_SIMUL,'"&amp;F331&amp;"' AS CAMPO, "&amp;"'${ref_date}' AS REF_DATE, COUNT(*) AS NUM_REG, SUM(IF(TRIM(CAST(X."&amp;F331&amp;" AS STRING)) IN ('0000-00-00','0001-01-01','9999-12-31','MISS','00000','99999999999','99999999999.00','99999999999.000000'),1,0)) AS NUM_REG_DIF,'"&amp;MAX('ID1&amp;5'!K:K)+1&amp;"' AS ID_EXEC, CURRENT_TIMESTAMP() AS TIME_EXEC FROM "&amp;I331,
IF(C331="Not applicable",+"SELECT '"&amp;UPPER(B331)&amp;"' AS TABELA, '"&amp;UPPER(C331)&amp;"' AS TIPOLOGIA_TESTE,'"&amp;D331&amp;"' AS TABELA_LT,'N/A' AS TABELA_SIMUL,'"&amp;F331&amp;"' AS CAMPO, "&amp;"'${ref_date}' AS REF_DATE, COUNT(*) AS NUM_REG, SUM(IF(TRIM(CAST(X."&amp;F331&amp;" AS STRING)) IN ('N/A','11111111111','11111111111.00','11111111111.000000','1111-11-11'),1,0)) AS NUM_REG_DIF,'"&amp;MAX('ID1&amp;5'!K:K)+1&amp;"' AS ID_EXEC, CURRENT_TIMESTAMP() AS TIME_EXEC FROM "&amp;I331,
IF(C331="Valores extremos",+"SELECT '"&amp;UPPER(B331)&amp;"' AS TABELA, '"&amp;UPPER(C331)&amp;"' AS TIPOLOGIA_TESTE,'"&amp;D331&amp;"' AS TABELA_LT,'N/A' AS TABELA_SIMUL,'"&amp;F331&amp;"' AS CAMPO, "&amp;"'${ref_date}' AS REF_DATE, CAST(MIN("&amp;F331&amp;") AS STRING) AS VALOR_MIN, CAST(MAX("&amp;F331&amp;") AS STRING) AS VALOR_MAX,'"&amp;MAX('ID1&amp;5'!K:K)+1&amp;"' AS ID_EXEC, CURRENT_TIMESTAMP() AS TIME_EXEC FROM "&amp;MID(I331,1,LEN(I331)-2)&amp;" AND CAST("&amp;F331&amp;"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TABELA_SIMUL,'ISIN' AS CAMPO, '${ref_date}' AS REF_DATE, COUNT(*) AS NUM_REG, SUM(IF(TRIM(CAST(X.ISIN AS STRING)) IN ('0000-00-00','0001-01-01','9999-12-31','MISS','00000','99999999999','99999999999.00','99999999999.000000'),1,0)) AS NUM_REG_DIF,'10' AS ID_EXEC, CURRENT_TIMESTAMP() AS TIME_EXEC FROM (SELECT entty_id, ISIN FROM BU_LOANTAPE_WORK.LT003_ENTITY WHERE ref_date='${ref_date}' AND nome_perimetro='Individual Corporativo' AND segmento='ESTR' AND ambito='PILAR3')X</v>
      </c>
      <c r="M331" s="43" t="str">
        <f t="shared" si="5"/>
        <v>UNION ALL SELECT 'ENTITY' AS TABELA, 'MISSINGS' AS TIPOLOGIA_TESTE,'BU_LOANTAPE_WORK.LT003_ENTITY' AS TABELA_LT,'N/A' AS TABELA_SIMUL,'ISIN' AS CAMPO, '${ref_date}' AS REF_DATE, COUNT(*) AS NUM_REG, SUM(IF(TRIM(CAST(X.ISIN AS STRING)) IN ('0000-00-00','0001-01-01','9999-12-31','MISS','00000','99999999999','99999999999.00','99999999999.000000'),1,0)) AS NUM_REG_DIF,'10' AS ID_EXEC, CURRENT_TIMESTAMP() AS TIME_EXEC FROM (SELECT entty_id, ISIN FROM BU_LOANTAPE_WORK.LT003_ENTITY WHERE ref_date='${ref_date}' AND nome_perimetro='Individual Corporativo' AND segmento='ESTR' AND ambito='PILAR3')X</v>
      </c>
      <c r="N331" s="45" t="s">
        <v>13</v>
      </c>
    </row>
    <row r="332" spans="2:14">
      <c r="B332" s="41" t="s">
        <v>23</v>
      </c>
      <c r="C332" s="41" t="s">
        <v>77</v>
      </c>
      <c r="D332" s="41" t="str">
        <f>+UPPER('0. Instruções'!$D$33&amp;"."&amp;VLOOKUP(B332,'0. Instruções'!$C$27:$D$31,2,FALSE))</f>
        <v>BU_LOANTAPE_WORK.LT003_ENTITY</v>
      </c>
      <c r="E332" s="41" t="str">
        <f>+UPPER('0. Instruções'!$D$34&amp;"."&amp;VLOOKUP(B332,'0. Instruções'!$C$27:$E$31,3,FALSE))</f>
        <v>BU_LOANTAPE_WORK.LT003_ENTTY_P3_NOV24</v>
      </c>
      <c r="F332" s="41" t="s">
        <v>128</v>
      </c>
      <c r="G332" s="41" t="s">
        <v>213</v>
      </c>
      <c r="H332" s="41"/>
      <c r="I332" s="41" t="str">
        <f>"(SELECT "&amp;VLOOKUP(B332,'0. Instruções'!$C$27:$G$31,4,FALSE)&amp;", "&amp;F332&amp;" FROM "&amp;D332&amp;" WHERE "&amp;'0. Instruções'!$D$40&amp;")X"</f>
        <v>(SELECT entty_id, GRP_ANNL_TRNVR_LE FROM BU_LOANTAPE_WORK.LT003_ENTITY WHERE ref_date='${ref_date}' AND nome_perimetro='Individual Corporativo' AND segmento='ESTR' AND ambito='PILAR3')X</v>
      </c>
      <c r="J332" s="41" t="str">
        <f>"(SELECT "&amp;VLOOKUP(B332,'0. Instruções'!$C$27:$G$31,4,FALSE)&amp;" AS "&amp;VLOOKUP(B332,'0. Instruções'!$C$27:$G$31,4,FALSE)&amp;"_SIMUL, "&amp;F332&amp;" AS "&amp;F332&amp;"_SIMUL FROM "&amp;E332&amp;")Y"</f>
        <v>(SELECT entty_id AS entty_id_SIMUL, GRP_ANNL_TRNVR_LE AS GRP_ANNL_TRNVR_LE_SIMUL FROM BU_LOANTAPE_WORK.LT003_ENTTY_P3_NOV24)Y</v>
      </c>
      <c r="K332" s="42" t="str">
        <f>+UPPER("ON X."&amp;VLOOKUP(B332,'0. Instruções'!$C$27:$G$31,4,FALSE)&amp;"=Y."&amp;VLOOKUP(B332,'0. Instruções'!$C$27:$G$31,4,FALSE)&amp;"_SIMUL")</f>
        <v>ON X.ENTTY_ID=Y.ENTTY_ID_SIMUL</v>
      </c>
      <c r="L332" s="42" t="str">
        <f>+IF(C332="Coerência", +IF(LEFT(G332,5)="FLOAT","SELECT '"&amp;UPPER(B332)&amp;"' AS TABELA, '"&amp;UPPER(C332)&amp;"' AS TIPOLOGIA_TESTE,'"&amp;D332&amp;"' AS TABELA_LT,'"&amp;E332&amp;"' AS TABELA_SIMUL,'"&amp;F332&amp;"' AS CAMPO, "&amp;"'${ref_date}' AS REF_DATE, COUNT(*) AS NUM_REG, SUM(IF((ABS(COALESCE(X."&amp;F332&amp;",0)-COALESCE(Y."&amp;F332&amp;"_SIMUL,0))&gt;0.0000000001) OR (X."&amp;F332&amp;" IS NULL AND Y."&amp;F332&amp;"_SIMUL IS NOT NULL ) OR (X."&amp;F332&amp;" IS NOT NULL AND Y."&amp;F332&amp;"_SIMUL IS NULL),1,0)) AS NUM_REG_DIF,'"&amp;MAX('ID1&amp;5'!K:K)+1&amp;"' AS ID_EXEC, CURRENT_TIMESTAMP() AS TIME_EXEC FROM "&amp;I332&amp;" INNER JOIN "&amp;J332&amp;" "&amp;K332,"SELECT '"&amp;UPPER(B332)&amp;"' AS TABELA, '"&amp;UPPER(C332)&amp;"' AS TIPOLOGIA_TESTE,'"&amp;D332&amp;"' AS TABELA_LT,'"&amp;E332&amp;"' AS TABELA_SIMUL,'"&amp;F332&amp;"' AS CAMPO, "&amp;"'${ref_date}' AS REF_DATE, COUNT(*) AS NUM_REG, SUM(IF(COALESCE(CAST(X."&amp;F332&amp;" AS STRING),'')&lt;&gt;COALESCE(CAST(Y."&amp;F332&amp;"_SIMUL AS STRING),''),1,0)) AS NUM_REG_DIF,'"&amp;MAX('ID1&amp;5'!L:L)+1&amp;"' AS ID_EXEC, CURRENT_TIMESTAMP() AS TIME_EXEC FROM "&amp;I332&amp;" INNER JOIN "&amp;J332&amp;" "&amp;K332),
IF(C332="Validade",+IF(G332="Code List","SELECT '"&amp;UPPER(B332)&amp;"' AS TABELA, '"&amp;UPPER(C332)&amp;"' AS TIPOLOGIA_TESTE,'"&amp;D332&amp;"' AS TABELA_LT,'N/A' AS TABELA_SIMUL,'"&amp;F332&amp;"' AS CAMPO, "&amp;"'${ref_date}' AS REF_DATE, COUNT(*) AS NUM_REG, SUM(IF(TRIM(CAST(X."&amp;F332&amp;" AS STRING))='' OR TRIM(CAST(X."&amp;F332&amp;" AS STRING)) IS NULL OR CAST(X."&amp;F332&amp;" AS STRING) NOT "&amp;H332&amp;",1,0)) AS NUM_REG_DIF,'"&amp;MAX('ID1&amp;5'!K:K)+1&amp;"' AS ID_EXEC, CURRENT_TIMESTAMP() AS TIME_EXEC FROM "&amp;I332,"SELECT '"&amp;UPPER(B332)&amp;"' AS TABELA, '"&amp;UPPER(C332)&amp;"' AS TIPOLOGIA_TESTE,'"&amp;D332&amp;"' AS TABELA_LT,'N/A' AS TABELA_SIMUL,'"&amp;F332&amp;"' AS CAMPO, "&amp;"'${ref_date}' AS REF_DATE, COUNT(*) AS NUM_REG, SUM(IF(TRIM(CAST(X."&amp;F332&amp;" AS STRING))='' OR TRIM(CAST(X."&amp;F332&amp;" AS STRING)) IS NULL,1,0)) AS NUM_REG_DIF,'"&amp;MAX('ID1&amp;5'!K:K)+1&amp;"' AS ID_EXEC, CURRENT_TIMESTAMP() AS TIME_EXEC FROM "&amp;I332),
IF(C332="Caracteres Especiais",+"SELECT '"&amp;UPPER(B332)&amp;"' AS TABELA, '"&amp;UPPER(C332)&amp;"' AS TIPOLOGIA_TESTE,'"&amp;D332&amp;"' AS TABELA_LT,'N/A' AS TABELA_SIMUL,'"&amp;F332&amp;"' AS CAMPO, "&amp;"'${ref_date}' AS REF_DATE, COUNT(*) AS NUM_REG, SUM(IF(INSTR(CAST(X."&amp;F332&amp;" AS STRING),'#')&gt;0 OR INSTR(CAST(X."&amp;F332&amp;" AS STRING),'*')&gt;0 OR INSTR(CAST(X."&amp;F332&amp;" AS STRING),'`')&gt;0 OR INSTR(CAST(X."&amp;F332&amp;" AS STRING),'´')&gt;0 OR INSTR(CAST(X."&amp;F332&amp;" AS STRING),'{')&gt;0 OR INSTR(CAST(X."&amp;F332&amp;" AS STRING),'}')&gt;0 OR INSTR(CAST(X."&amp;F332&amp;" AS STRING),'[')&gt;0 OR INSTR(CAST(X."&amp;F332&amp;" AS STRING),'')&gt;0 OR INSTR(CAST(X."&amp;F332&amp;" AS STRING),']')&gt;0 OR INSTR(CAST(X."&amp;F332&amp;" AS STRING),'?')&gt;0 OR INSTR(CAST(X."&amp;F332&amp;" AS STRING),'!')&gt;0 OR INSTR(CAST(X."&amp;F332&amp;" AS STRING),'$')&gt;0 OR INSTR(CAST(X."&amp;F332&amp;" AS STRING),'%')&gt;0 OR INSTR(CAST(X."&amp;F332&amp;" AS STRING),'&amp;')&gt;0 OR INSTR(CAST(X."&amp;F332&amp;" AS STRING),'+')&gt;0,1,0)) AS NUM_REG_DIF,'"&amp;MAX('ID1&amp;5'!K:K)+1&amp;"' AS ID_EXEC, CURRENT_TIMESTAMP() AS TIME_EXEC FROM "&amp;I332,
IF(C332="Missings",+"SELECT '"&amp;UPPER(B332)&amp;"' AS TABELA, '"&amp;UPPER(C332)&amp;"' AS TIPOLOGIA_TESTE,'"&amp;D332&amp;"' AS TABELA_LT,'N/A' AS TABELA_SIMUL,'"&amp;F332&amp;"' AS CAMPO, "&amp;"'${ref_date}' AS REF_DATE, COUNT(*) AS NUM_REG, SUM(IF(TRIM(CAST(X."&amp;F332&amp;" AS STRING)) IN ('0000-00-00','0001-01-01','9999-12-31','MISS','00000','99999999999','99999999999.00','99999999999.000000'),1,0)) AS NUM_REG_DIF,'"&amp;MAX('ID1&amp;5'!K:K)+1&amp;"' AS ID_EXEC, CURRENT_TIMESTAMP() AS TIME_EXEC FROM "&amp;I332,
IF(C332="Not applicable",+"SELECT '"&amp;UPPER(B332)&amp;"' AS TABELA, '"&amp;UPPER(C332)&amp;"' AS TIPOLOGIA_TESTE,'"&amp;D332&amp;"' AS TABELA_LT,'N/A' AS TABELA_SIMUL,'"&amp;F332&amp;"' AS CAMPO, "&amp;"'${ref_date}' AS REF_DATE, COUNT(*) AS NUM_REG, SUM(IF(TRIM(CAST(X."&amp;F332&amp;" AS STRING)) IN ('N/A','11111111111','11111111111.00','11111111111.000000','1111-11-11'),1,0)) AS NUM_REG_DIF,'"&amp;MAX('ID1&amp;5'!K:K)+1&amp;"' AS ID_EXEC, CURRENT_TIMESTAMP() AS TIME_EXEC FROM "&amp;I332,
IF(C332="Valores extremos",+"SELECT '"&amp;UPPER(B332)&amp;"' AS TABELA, '"&amp;UPPER(C332)&amp;"' AS TIPOLOGIA_TESTE,'"&amp;D332&amp;"' AS TABELA_LT,'N/A' AS TABELA_SIMUL,'"&amp;F332&amp;"' AS CAMPO, "&amp;"'${ref_date}' AS REF_DATE, CAST(MIN("&amp;F332&amp;") AS STRING) AS VALOR_MIN, CAST(MAX("&amp;F332&amp;") AS STRING) AS VALOR_MAX,'"&amp;MAX('ID1&amp;5'!K:K)+1&amp;"' AS ID_EXEC, CURRENT_TIMESTAMP() AS TIME_EXEC FROM "&amp;MID(I332,1,LEN(I332)-2)&amp;" AND CAST("&amp;F332&amp;"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TABELA_SIMUL,'GRP_ANNL_TRNVR_LE' AS CAMPO, '${ref_date}' AS REF_DATE, COUNT(*) AS NUM_REG, SUM(IF(TRIM(CAST(X.GRP_ANNL_TRNVR_LE AS STRING)) IN ('0000-00-00','0001-01-01','9999-12-31','MISS','00000','99999999999','99999999999.00','99999999999.000000'),1,0)) AS NUM_REG_DIF,'10' AS ID_EXEC, CURRENT_TIMESTAMP() AS TIME_EXEC FROM (SELECT entty_id, GRP_ANNL_TRNVR_LE FROM BU_LOANTAPE_WORK.LT003_ENTITY WHERE ref_date='${ref_date}' AND nome_perimetro='Individual Corporativo' AND segmento='ESTR' AND ambito='PILAR3')X</v>
      </c>
      <c r="M332" s="43" t="str">
        <f t="shared" si="5"/>
        <v>UNION ALL SELECT 'ENTITY' AS TABELA, 'MISSINGS' AS TIPOLOGIA_TESTE,'BU_LOANTAPE_WORK.LT003_ENTITY' AS TABELA_LT,'N/A' AS TABELA_SIMUL,'GRP_ANNL_TRNVR_LE' AS CAMPO, '${ref_date}' AS REF_DATE, COUNT(*) AS NUM_REG, SUM(IF(TRIM(CAST(X.GRP_ANNL_TRNVR_LE AS STRING)) IN ('0000-00-00','0001-01-01','9999-12-31','MISS','00000','99999999999','99999999999.00','99999999999.000000'),1,0)) AS NUM_REG_DIF,'10' AS ID_EXEC, CURRENT_TIMESTAMP() AS TIME_EXEC FROM (SELECT entty_id, GRP_ANNL_TRNVR_LE FROM BU_LOANTAPE_WORK.LT003_ENTITY WHERE ref_date='${ref_date}' AND nome_perimetro='Individual Corporativo' AND segmento='ESTR' AND ambito='PILAR3')X</v>
      </c>
      <c r="N332" s="45" t="s">
        <v>13</v>
      </c>
    </row>
    <row r="333" spans="2:14">
      <c r="B333" s="41" t="s">
        <v>23</v>
      </c>
      <c r="C333" s="41" t="s">
        <v>77</v>
      </c>
      <c r="D333" s="41" t="str">
        <f>+UPPER('0. Instruções'!$D$33&amp;"."&amp;VLOOKUP(B333,'0. Instruções'!$C$27:$D$31,2,FALSE))</f>
        <v>BU_LOANTAPE_WORK.LT003_ENTITY</v>
      </c>
      <c r="E333" s="41" t="str">
        <f>+UPPER('0. Instruções'!$D$34&amp;"."&amp;VLOOKUP(B333,'0. Instruções'!$C$27:$E$31,3,FALSE))</f>
        <v>BU_LOANTAPE_WORK.LT003_ENTTY_P3_NOV24</v>
      </c>
      <c r="F333" s="41" t="s">
        <v>129</v>
      </c>
      <c r="G333" s="41" t="s">
        <v>213</v>
      </c>
      <c r="H333" s="41"/>
      <c r="I333" s="41" t="str">
        <f>"(SELECT "&amp;VLOOKUP(B333,'0. Instruções'!$C$27:$G$31,4,FALSE)&amp;", "&amp;F333&amp;" FROM "&amp;D333&amp;" WHERE "&amp;'0. Instruções'!$D$40&amp;")X"</f>
        <v>(SELECT entty_id, GRP_TTL_LBLTY FROM BU_LOANTAPE_WORK.LT003_ENTITY WHERE ref_date='${ref_date}' AND nome_perimetro='Individual Corporativo' AND segmento='ESTR' AND ambito='PILAR3')X</v>
      </c>
      <c r="J333" s="41" t="str">
        <f>"(SELECT "&amp;VLOOKUP(B333,'0. Instruções'!$C$27:$G$31,4,FALSE)&amp;" AS "&amp;VLOOKUP(B333,'0. Instruções'!$C$27:$G$31,4,FALSE)&amp;"_SIMUL, "&amp;F333&amp;" AS "&amp;F333&amp;"_SIMUL FROM "&amp;E333&amp;")Y"</f>
        <v>(SELECT entty_id AS entty_id_SIMUL, GRP_TTL_LBLTY AS GRP_TTL_LBLTY_SIMUL FROM BU_LOANTAPE_WORK.LT003_ENTTY_P3_NOV24)Y</v>
      </c>
      <c r="K333" s="42" t="str">
        <f>+UPPER("ON X."&amp;VLOOKUP(B333,'0. Instruções'!$C$27:$G$31,4,FALSE)&amp;"=Y."&amp;VLOOKUP(B333,'0. Instruções'!$C$27:$G$31,4,FALSE)&amp;"_SIMUL")</f>
        <v>ON X.ENTTY_ID=Y.ENTTY_ID_SIMUL</v>
      </c>
      <c r="L333" s="42" t="str">
        <f>+IF(C333="Coerência", +IF(LEFT(G333,5)="FLOAT","SELECT '"&amp;UPPER(B333)&amp;"' AS TABELA, '"&amp;UPPER(C333)&amp;"' AS TIPOLOGIA_TESTE,'"&amp;D333&amp;"' AS TABELA_LT,'"&amp;E333&amp;"' AS TABELA_SIMUL,'"&amp;F333&amp;"' AS CAMPO, "&amp;"'${ref_date}' AS REF_DATE, COUNT(*) AS NUM_REG, SUM(IF((ABS(COALESCE(X."&amp;F333&amp;",0)-COALESCE(Y."&amp;F333&amp;"_SIMUL,0))&gt;0.0000000001) OR (X."&amp;F333&amp;" IS NULL AND Y."&amp;F333&amp;"_SIMUL IS NOT NULL ) OR (X."&amp;F333&amp;" IS NOT NULL AND Y."&amp;F333&amp;"_SIMUL IS NULL),1,0)) AS NUM_REG_DIF,'"&amp;MAX('ID1&amp;5'!K:K)+1&amp;"' AS ID_EXEC, CURRENT_TIMESTAMP() AS TIME_EXEC FROM "&amp;I333&amp;" INNER JOIN "&amp;J333&amp;" "&amp;K333,"SELECT '"&amp;UPPER(B333)&amp;"' AS TABELA, '"&amp;UPPER(C333)&amp;"' AS TIPOLOGIA_TESTE,'"&amp;D333&amp;"' AS TABELA_LT,'"&amp;E333&amp;"' AS TABELA_SIMUL,'"&amp;F333&amp;"' AS CAMPO, "&amp;"'${ref_date}' AS REF_DATE, COUNT(*) AS NUM_REG, SUM(IF(COALESCE(CAST(X."&amp;F333&amp;" AS STRING),'')&lt;&gt;COALESCE(CAST(Y."&amp;F333&amp;"_SIMUL AS STRING),''),1,0)) AS NUM_REG_DIF,'"&amp;MAX('ID1&amp;5'!L:L)+1&amp;"' AS ID_EXEC, CURRENT_TIMESTAMP() AS TIME_EXEC FROM "&amp;I333&amp;" INNER JOIN "&amp;J333&amp;" "&amp;K333),
IF(C333="Validade",+IF(G333="Code List","SELECT '"&amp;UPPER(B333)&amp;"' AS TABELA, '"&amp;UPPER(C333)&amp;"' AS TIPOLOGIA_TESTE,'"&amp;D333&amp;"' AS TABELA_LT,'N/A' AS TABELA_SIMUL,'"&amp;F333&amp;"' AS CAMPO, "&amp;"'${ref_date}' AS REF_DATE, COUNT(*) AS NUM_REG, SUM(IF(TRIM(CAST(X."&amp;F333&amp;" AS STRING))='' OR TRIM(CAST(X."&amp;F333&amp;" AS STRING)) IS NULL OR CAST(X."&amp;F333&amp;" AS STRING) NOT "&amp;H333&amp;",1,0)) AS NUM_REG_DIF,'"&amp;MAX('ID1&amp;5'!K:K)+1&amp;"' AS ID_EXEC, CURRENT_TIMESTAMP() AS TIME_EXEC FROM "&amp;I333,"SELECT '"&amp;UPPER(B333)&amp;"' AS TABELA, '"&amp;UPPER(C333)&amp;"' AS TIPOLOGIA_TESTE,'"&amp;D333&amp;"' AS TABELA_LT,'N/A' AS TABELA_SIMUL,'"&amp;F333&amp;"' AS CAMPO, "&amp;"'${ref_date}' AS REF_DATE, COUNT(*) AS NUM_REG, SUM(IF(TRIM(CAST(X."&amp;F333&amp;" AS STRING))='' OR TRIM(CAST(X."&amp;F333&amp;" AS STRING)) IS NULL,1,0)) AS NUM_REG_DIF,'"&amp;MAX('ID1&amp;5'!K:K)+1&amp;"' AS ID_EXEC, CURRENT_TIMESTAMP() AS TIME_EXEC FROM "&amp;I333),
IF(C333="Caracteres Especiais",+"SELECT '"&amp;UPPER(B333)&amp;"' AS TABELA, '"&amp;UPPER(C333)&amp;"' AS TIPOLOGIA_TESTE,'"&amp;D333&amp;"' AS TABELA_LT,'N/A' AS TABELA_SIMUL,'"&amp;F333&amp;"' AS CAMPO, "&amp;"'${ref_date}' AS REF_DATE, COUNT(*) AS NUM_REG, SUM(IF(INSTR(CAST(X."&amp;F333&amp;" AS STRING),'#')&gt;0 OR INSTR(CAST(X."&amp;F333&amp;" AS STRING),'*')&gt;0 OR INSTR(CAST(X."&amp;F333&amp;" AS STRING),'`')&gt;0 OR INSTR(CAST(X."&amp;F333&amp;" AS STRING),'´')&gt;0 OR INSTR(CAST(X."&amp;F333&amp;" AS STRING),'{')&gt;0 OR INSTR(CAST(X."&amp;F333&amp;" AS STRING),'}')&gt;0 OR INSTR(CAST(X."&amp;F333&amp;" AS STRING),'[')&gt;0 OR INSTR(CAST(X."&amp;F333&amp;" AS STRING),'')&gt;0 OR INSTR(CAST(X."&amp;F333&amp;" AS STRING),']')&gt;0 OR INSTR(CAST(X."&amp;F333&amp;" AS STRING),'?')&gt;0 OR INSTR(CAST(X."&amp;F333&amp;" AS STRING),'!')&gt;0 OR INSTR(CAST(X."&amp;F333&amp;" AS STRING),'$')&gt;0 OR INSTR(CAST(X."&amp;F333&amp;" AS STRING),'%')&gt;0 OR INSTR(CAST(X."&amp;F333&amp;" AS STRING),'&amp;')&gt;0 OR INSTR(CAST(X."&amp;F333&amp;" AS STRING),'+')&gt;0,1,0)) AS NUM_REG_DIF,'"&amp;MAX('ID1&amp;5'!K:K)+1&amp;"' AS ID_EXEC, CURRENT_TIMESTAMP() AS TIME_EXEC FROM "&amp;I333,
IF(C333="Missings",+"SELECT '"&amp;UPPER(B333)&amp;"' AS TABELA, '"&amp;UPPER(C333)&amp;"' AS TIPOLOGIA_TESTE,'"&amp;D333&amp;"' AS TABELA_LT,'N/A' AS TABELA_SIMUL,'"&amp;F333&amp;"' AS CAMPO, "&amp;"'${ref_date}' AS REF_DATE, COUNT(*) AS NUM_REG, SUM(IF(TRIM(CAST(X."&amp;F333&amp;" AS STRING)) IN ('0000-00-00','0001-01-01','9999-12-31','MISS','00000','99999999999','99999999999.00','99999999999.000000'),1,0)) AS NUM_REG_DIF,'"&amp;MAX('ID1&amp;5'!K:K)+1&amp;"' AS ID_EXEC, CURRENT_TIMESTAMP() AS TIME_EXEC FROM "&amp;I333,
IF(C333="Not applicable",+"SELECT '"&amp;UPPER(B333)&amp;"' AS TABELA, '"&amp;UPPER(C333)&amp;"' AS TIPOLOGIA_TESTE,'"&amp;D333&amp;"' AS TABELA_LT,'N/A' AS TABELA_SIMUL,'"&amp;F333&amp;"' AS CAMPO, "&amp;"'${ref_date}' AS REF_DATE, COUNT(*) AS NUM_REG, SUM(IF(TRIM(CAST(X."&amp;F333&amp;" AS STRING)) IN ('N/A','11111111111','11111111111.00','11111111111.000000','1111-11-11'),1,0)) AS NUM_REG_DIF,'"&amp;MAX('ID1&amp;5'!K:K)+1&amp;"' AS ID_EXEC, CURRENT_TIMESTAMP() AS TIME_EXEC FROM "&amp;I333,
IF(C333="Valores extremos",+"SELECT '"&amp;UPPER(B333)&amp;"' AS TABELA, '"&amp;UPPER(C333)&amp;"' AS TIPOLOGIA_TESTE,'"&amp;D333&amp;"' AS TABELA_LT,'N/A' AS TABELA_SIMUL,'"&amp;F333&amp;"' AS CAMPO, "&amp;"'${ref_date}' AS REF_DATE, CAST(MIN("&amp;F333&amp;") AS STRING) AS VALOR_MIN, CAST(MAX("&amp;F333&amp;") AS STRING) AS VALOR_MAX,'"&amp;MAX('ID1&amp;5'!K:K)+1&amp;"' AS ID_EXEC, CURRENT_TIMESTAMP() AS TIME_EXEC FROM "&amp;MID(I333,1,LEN(I333)-2)&amp;" AND CAST("&amp;F333&amp;"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TABELA_SIMUL,'GRP_TTL_LBLTY' AS CAMPO, '${ref_date}' AS REF_DATE, COUNT(*) AS NUM_REG, SUM(IF(TRIM(CAST(X.GRP_TTL_LBLTY AS STRING)) IN ('0000-00-00','0001-01-01','9999-12-31','MISS','00000','99999999999','99999999999.00','99999999999.000000'),1,0)) AS NUM_REG_DIF,'10' AS ID_EXEC, CURRENT_TIMESTAMP() AS TIME_EXEC FROM (SELECT entty_id, GRP_TTL_LBLTY FROM BU_LOANTAPE_WORK.LT003_ENTITY WHERE ref_date='${ref_date}' AND nome_perimetro='Individual Corporativo' AND segmento='ESTR' AND ambito='PILAR3')X</v>
      </c>
      <c r="M333" s="43" t="str">
        <f t="shared" si="5"/>
        <v>UNION ALL SELECT 'ENTITY' AS TABELA, 'MISSINGS' AS TIPOLOGIA_TESTE,'BU_LOANTAPE_WORK.LT003_ENTITY' AS TABELA_LT,'N/A' AS TABELA_SIMUL,'GRP_TTL_LBLTY' AS CAMPO, '${ref_date}' AS REF_DATE, COUNT(*) AS NUM_REG, SUM(IF(TRIM(CAST(X.GRP_TTL_LBLTY AS STRING)) IN ('0000-00-00','0001-01-01','9999-12-31','MISS','00000','99999999999','99999999999.00','99999999999.000000'),1,0)) AS NUM_REG_DIF,'10' AS ID_EXEC, CURRENT_TIMESTAMP() AS TIME_EXEC FROM (SELECT entty_id, GRP_TTL_LBLTY FROM BU_LOANTAPE_WORK.LT003_ENTITY WHERE ref_date='${ref_date}' AND nome_perimetro='Individual Corporativo' AND segmento='ESTR' AND ambito='PILAR3')X</v>
      </c>
      <c r="N333" s="45" t="s">
        <v>13</v>
      </c>
    </row>
    <row r="334" spans="2:14">
      <c r="B334" s="41" t="s">
        <v>23</v>
      </c>
      <c r="C334" s="41" t="s">
        <v>77</v>
      </c>
      <c r="D334" s="41" t="str">
        <f>+UPPER('0. Instruções'!$D$33&amp;"."&amp;VLOOKUP(B334,'0. Instruções'!$C$27:$D$31,2,FALSE))</f>
        <v>BU_LOANTAPE_WORK.LT003_ENTITY</v>
      </c>
      <c r="E334" s="41" t="str">
        <f>+UPPER('0. Instruções'!$D$34&amp;"."&amp;VLOOKUP(B334,'0. Instruções'!$C$27:$E$31,3,FALSE))</f>
        <v>BU_LOANTAPE_WORK.LT003_ENTTY_P3_NOV24</v>
      </c>
      <c r="F334" s="41" t="s">
        <v>130</v>
      </c>
      <c r="G334" s="41" t="s">
        <v>211</v>
      </c>
      <c r="H334" s="41"/>
      <c r="I334" s="41" t="str">
        <f>"(SELECT "&amp;VLOOKUP(B334,'0. Instruções'!$C$27:$G$31,4,FALSE)&amp;", "&amp;F334&amp;" FROM "&amp;D334&amp;" WHERE "&amp;'0. Instruções'!$D$40&amp;")X"</f>
        <v>(SELECT entty_id, FLG_GRP_NFRD_APPLCBLTY FROM BU_LOANTAPE_WORK.LT003_ENTITY WHERE ref_date='${ref_date}' AND nome_perimetro='Individual Corporativo' AND segmento='ESTR' AND ambito='PILAR3')X</v>
      </c>
      <c r="J334" s="41" t="str">
        <f>"(SELECT "&amp;VLOOKUP(B334,'0. Instruções'!$C$27:$G$31,4,FALSE)&amp;" AS "&amp;VLOOKUP(B334,'0. Instruções'!$C$27:$G$31,4,FALSE)&amp;"_SIMUL, "&amp;F334&amp;" AS "&amp;F334&amp;"_SIMUL FROM "&amp;E334&amp;")Y"</f>
        <v>(SELECT entty_id AS entty_id_SIMUL, FLG_GRP_NFRD_APPLCBLTY AS FLG_GRP_NFRD_APPLCBLTY_SIMUL FROM BU_LOANTAPE_WORK.LT003_ENTTY_P3_NOV24)Y</v>
      </c>
      <c r="K334" s="42" t="str">
        <f>+UPPER("ON X."&amp;VLOOKUP(B334,'0. Instruções'!$C$27:$G$31,4,FALSE)&amp;"=Y."&amp;VLOOKUP(B334,'0. Instruções'!$C$27:$G$31,4,FALSE)&amp;"_SIMUL")</f>
        <v>ON X.ENTTY_ID=Y.ENTTY_ID_SIMUL</v>
      </c>
      <c r="L334" s="42" t="str">
        <f>+IF(C334="Coerência", +IF(LEFT(G334,5)="FLOAT","SELECT '"&amp;UPPER(B334)&amp;"' AS TABELA, '"&amp;UPPER(C334)&amp;"' AS TIPOLOGIA_TESTE,'"&amp;D334&amp;"' AS TABELA_LT,'"&amp;E334&amp;"' AS TABELA_SIMUL,'"&amp;F334&amp;"' AS CAMPO, "&amp;"'${ref_date}' AS REF_DATE, COUNT(*) AS NUM_REG, SUM(IF((ABS(COALESCE(X."&amp;F334&amp;",0)-COALESCE(Y."&amp;F334&amp;"_SIMUL,0))&gt;0.0000000001) OR (X."&amp;F334&amp;" IS NULL AND Y."&amp;F334&amp;"_SIMUL IS NOT NULL ) OR (X."&amp;F334&amp;" IS NOT NULL AND Y."&amp;F334&amp;"_SIMUL IS NULL),1,0)) AS NUM_REG_DIF,'"&amp;MAX('ID1&amp;5'!K:K)+1&amp;"' AS ID_EXEC, CURRENT_TIMESTAMP() AS TIME_EXEC FROM "&amp;I334&amp;" INNER JOIN "&amp;J334&amp;" "&amp;K334,"SELECT '"&amp;UPPER(B334)&amp;"' AS TABELA, '"&amp;UPPER(C334)&amp;"' AS TIPOLOGIA_TESTE,'"&amp;D334&amp;"' AS TABELA_LT,'"&amp;E334&amp;"' AS TABELA_SIMUL,'"&amp;F334&amp;"' AS CAMPO, "&amp;"'${ref_date}' AS REF_DATE, COUNT(*) AS NUM_REG, SUM(IF(COALESCE(CAST(X."&amp;F334&amp;" AS STRING),'')&lt;&gt;COALESCE(CAST(Y."&amp;F334&amp;"_SIMUL AS STRING),''),1,0)) AS NUM_REG_DIF,'"&amp;MAX('ID1&amp;5'!L:L)+1&amp;"' AS ID_EXEC, CURRENT_TIMESTAMP() AS TIME_EXEC FROM "&amp;I334&amp;" INNER JOIN "&amp;J334&amp;" "&amp;K334),
IF(C334="Validade",+IF(G334="Code List","SELECT '"&amp;UPPER(B334)&amp;"' AS TABELA, '"&amp;UPPER(C334)&amp;"' AS TIPOLOGIA_TESTE,'"&amp;D334&amp;"' AS TABELA_LT,'N/A' AS TABELA_SIMUL,'"&amp;F334&amp;"' AS CAMPO, "&amp;"'${ref_date}' AS REF_DATE, COUNT(*) AS NUM_REG, SUM(IF(TRIM(CAST(X."&amp;F334&amp;" AS STRING))='' OR TRIM(CAST(X."&amp;F334&amp;" AS STRING)) IS NULL OR CAST(X."&amp;F334&amp;" AS STRING) NOT "&amp;H334&amp;",1,0)) AS NUM_REG_DIF,'"&amp;MAX('ID1&amp;5'!K:K)+1&amp;"' AS ID_EXEC, CURRENT_TIMESTAMP() AS TIME_EXEC FROM "&amp;I334,"SELECT '"&amp;UPPER(B334)&amp;"' AS TABELA, '"&amp;UPPER(C334)&amp;"' AS TIPOLOGIA_TESTE,'"&amp;D334&amp;"' AS TABELA_LT,'N/A' AS TABELA_SIMUL,'"&amp;F334&amp;"' AS CAMPO, "&amp;"'${ref_date}' AS REF_DATE, COUNT(*) AS NUM_REG, SUM(IF(TRIM(CAST(X."&amp;F334&amp;" AS STRING))='' OR TRIM(CAST(X."&amp;F334&amp;" AS STRING)) IS NULL,1,0)) AS NUM_REG_DIF,'"&amp;MAX('ID1&amp;5'!K:K)+1&amp;"' AS ID_EXEC, CURRENT_TIMESTAMP() AS TIME_EXEC FROM "&amp;I334),
IF(C334="Caracteres Especiais",+"SELECT '"&amp;UPPER(B334)&amp;"' AS TABELA, '"&amp;UPPER(C334)&amp;"' AS TIPOLOGIA_TESTE,'"&amp;D334&amp;"' AS TABELA_LT,'N/A' AS TABELA_SIMUL,'"&amp;F334&amp;"' AS CAMPO, "&amp;"'${ref_date}' AS REF_DATE, COUNT(*) AS NUM_REG, SUM(IF(INSTR(CAST(X."&amp;F334&amp;" AS STRING),'#')&gt;0 OR INSTR(CAST(X."&amp;F334&amp;" AS STRING),'*')&gt;0 OR INSTR(CAST(X."&amp;F334&amp;" AS STRING),'`')&gt;0 OR INSTR(CAST(X."&amp;F334&amp;" AS STRING),'´')&gt;0 OR INSTR(CAST(X."&amp;F334&amp;" AS STRING),'{')&gt;0 OR INSTR(CAST(X."&amp;F334&amp;" AS STRING),'}')&gt;0 OR INSTR(CAST(X."&amp;F334&amp;" AS STRING),'[')&gt;0 OR INSTR(CAST(X."&amp;F334&amp;" AS STRING),'')&gt;0 OR INSTR(CAST(X."&amp;F334&amp;" AS STRING),']')&gt;0 OR INSTR(CAST(X."&amp;F334&amp;" AS STRING),'?')&gt;0 OR INSTR(CAST(X."&amp;F334&amp;" AS STRING),'!')&gt;0 OR INSTR(CAST(X."&amp;F334&amp;" AS STRING),'$')&gt;0 OR INSTR(CAST(X."&amp;F334&amp;" AS STRING),'%')&gt;0 OR INSTR(CAST(X."&amp;F334&amp;" AS STRING),'&amp;')&gt;0 OR INSTR(CAST(X."&amp;F334&amp;" AS STRING),'+')&gt;0,1,0)) AS NUM_REG_DIF,'"&amp;MAX('ID1&amp;5'!K:K)+1&amp;"' AS ID_EXEC, CURRENT_TIMESTAMP() AS TIME_EXEC FROM "&amp;I334,
IF(C334="Missings",+"SELECT '"&amp;UPPER(B334)&amp;"' AS TABELA, '"&amp;UPPER(C334)&amp;"' AS TIPOLOGIA_TESTE,'"&amp;D334&amp;"' AS TABELA_LT,'N/A' AS TABELA_SIMUL,'"&amp;F334&amp;"' AS CAMPO, "&amp;"'${ref_date}' AS REF_DATE, COUNT(*) AS NUM_REG, SUM(IF(TRIM(CAST(X."&amp;F334&amp;" AS STRING)) IN ('0000-00-00','0001-01-01','9999-12-31','MISS','00000','99999999999','99999999999.00','99999999999.000000'),1,0)) AS NUM_REG_DIF,'"&amp;MAX('ID1&amp;5'!K:K)+1&amp;"' AS ID_EXEC, CURRENT_TIMESTAMP() AS TIME_EXEC FROM "&amp;I334,
IF(C334="Not applicable",+"SELECT '"&amp;UPPER(B334)&amp;"' AS TABELA, '"&amp;UPPER(C334)&amp;"' AS TIPOLOGIA_TESTE,'"&amp;D334&amp;"' AS TABELA_LT,'N/A' AS TABELA_SIMUL,'"&amp;F334&amp;"' AS CAMPO, "&amp;"'${ref_date}' AS REF_DATE, COUNT(*) AS NUM_REG, SUM(IF(TRIM(CAST(X."&amp;F334&amp;" AS STRING)) IN ('N/A','11111111111','11111111111.00','11111111111.000000','1111-11-11'),1,0)) AS NUM_REG_DIF,'"&amp;MAX('ID1&amp;5'!K:K)+1&amp;"' AS ID_EXEC, CURRENT_TIMESTAMP() AS TIME_EXEC FROM "&amp;I334,
IF(C334="Valores extremos",+"SELECT '"&amp;UPPER(B334)&amp;"' AS TABELA, '"&amp;UPPER(C334)&amp;"' AS TIPOLOGIA_TESTE,'"&amp;D334&amp;"' AS TABELA_LT,'N/A' AS TABELA_SIMUL,'"&amp;F334&amp;"' AS CAMPO, "&amp;"'${ref_date}' AS REF_DATE, CAST(MIN("&amp;F334&amp;") AS STRING) AS VALOR_MIN, CAST(MAX("&amp;F334&amp;") AS STRING) AS VALOR_MAX,'"&amp;MAX('ID1&amp;5'!K:K)+1&amp;"' AS ID_EXEC, CURRENT_TIMESTAMP() AS TIME_EXEC FROM "&amp;MID(I334,1,LEN(I334)-2)&amp;" AND CAST("&amp;F334&amp;"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TABELA_SIMUL,'FLG_GRP_NFRD_APPLCBLTY' AS CAMPO, '${ref_date}' AS REF_DATE, COUNT(*) AS NUM_REG, SUM(IF(TRIM(CAST(X.FLG_GRP_NFRD_APPLCBLTY AS STRING)) IN ('0000-00-00','0001-01-01','9999-12-31','MISS','00000','99999999999','99999999999.00','99999999999.000000'),1,0)) AS NUM_REG_DIF,'10' AS ID_EXEC, CURRENT_TIMESTAMP() AS TIME_EXEC FROM (SELECT entty_id, FLG_GRP_NFRD_APPLCBLTY FROM BU_LOANTAPE_WORK.LT003_ENTITY WHERE ref_date='${ref_date}' AND nome_perimetro='Individual Corporativo' AND segmento='ESTR' AND ambito='PILAR3')X</v>
      </c>
      <c r="M334" s="43" t="str">
        <f t="shared" si="5"/>
        <v>UNION ALL SELECT 'ENTITY' AS TABELA, 'MISSINGS' AS TIPOLOGIA_TESTE,'BU_LOANTAPE_WORK.LT003_ENTITY' AS TABELA_LT,'N/A' AS TABELA_SIMUL,'FLG_GRP_NFRD_APPLCBLTY' AS CAMPO, '${ref_date}' AS REF_DATE, COUNT(*) AS NUM_REG, SUM(IF(TRIM(CAST(X.FLG_GRP_NFRD_APPLCBLTY AS STRING)) IN ('0000-00-00','0001-01-01','9999-12-31','MISS','00000','99999999999','99999999999.00','99999999999.000000'),1,0)) AS NUM_REG_DIF,'10' AS ID_EXEC, CURRENT_TIMESTAMP() AS TIME_EXEC FROM (SELECT entty_id, FLG_GRP_NFRD_APPLCBLTY FROM BU_LOANTAPE_WORK.LT003_ENTITY WHERE ref_date='${ref_date}' AND nome_perimetro='Individual Corporativo' AND segmento='ESTR' AND ambito='PILAR3')X</v>
      </c>
      <c r="N334" s="45" t="s">
        <v>13</v>
      </c>
    </row>
    <row r="335" spans="2:14">
      <c r="B335" s="41" t="s">
        <v>23</v>
      </c>
      <c r="C335" s="41" t="s">
        <v>77</v>
      </c>
      <c r="D335" s="41" t="str">
        <f>+UPPER('0. Instruções'!$D$33&amp;"."&amp;VLOOKUP(B335,'0. Instruções'!$C$27:$D$31,2,FALSE))</f>
        <v>BU_LOANTAPE_WORK.LT003_ENTITY</v>
      </c>
      <c r="E335" s="41" t="str">
        <f>+UPPER('0. Instruções'!$D$34&amp;"."&amp;VLOOKUP(B335,'0. Instruções'!$C$27:$E$31,3,FALSE))</f>
        <v>BU_LOANTAPE_WORK.LT003_ENTTY_P3_NOV24</v>
      </c>
      <c r="F335" s="41" t="s">
        <v>131</v>
      </c>
      <c r="G335" s="41" t="s">
        <v>210</v>
      </c>
      <c r="H335" s="41"/>
      <c r="I335" s="41" t="str">
        <f>"(SELECT "&amp;VLOOKUP(B335,'0. Instruções'!$C$27:$G$31,4,FALSE)&amp;", "&amp;F335&amp;" FROM "&amp;D335&amp;" WHERE "&amp;'0. Instruções'!$D$40&amp;")X"</f>
        <v>(SELECT entty_id, GRP_EMSSNS_SCP1 FROM BU_LOANTAPE_WORK.LT003_ENTITY WHERE ref_date='${ref_date}' AND nome_perimetro='Individual Corporativo' AND segmento='ESTR' AND ambito='PILAR3')X</v>
      </c>
      <c r="J335" s="41" t="str">
        <f>"(SELECT "&amp;VLOOKUP(B335,'0. Instruções'!$C$27:$G$31,4,FALSE)&amp;" AS "&amp;VLOOKUP(B335,'0. Instruções'!$C$27:$G$31,4,FALSE)&amp;"_SIMUL, "&amp;F335&amp;" AS "&amp;F335&amp;"_SIMUL FROM "&amp;E335&amp;")Y"</f>
        <v>(SELECT entty_id AS entty_id_SIMUL, GRP_EMSSNS_SCP1 AS GRP_EMSSNS_SCP1_SIMUL FROM BU_LOANTAPE_WORK.LT003_ENTTY_P3_NOV24)Y</v>
      </c>
      <c r="K335" s="42" t="str">
        <f>+UPPER("ON X."&amp;VLOOKUP(B335,'0. Instruções'!$C$27:$G$31,4,FALSE)&amp;"=Y."&amp;VLOOKUP(B335,'0. Instruções'!$C$27:$G$31,4,FALSE)&amp;"_SIMUL")</f>
        <v>ON X.ENTTY_ID=Y.ENTTY_ID_SIMUL</v>
      </c>
      <c r="L335" s="42" t="str">
        <f>+IF(C335="Coerência", +IF(LEFT(G335,5)="FLOAT","SELECT '"&amp;UPPER(B335)&amp;"' AS TABELA, '"&amp;UPPER(C335)&amp;"' AS TIPOLOGIA_TESTE,'"&amp;D335&amp;"' AS TABELA_LT,'"&amp;E335&amp;"' AS TABELA_SIMUL,'"&amp;F335&amp;"' AS CAMPO, "&amp;"'${ref_date}' AS REF_DATE, COUNT(*) AS NUM_REG, SUM(IF((ABS(COALESCE(X."&amp;F335&amp;",0)-COALESCE(Y."&amp;F335&amp;"_SIMUL,0))&gt;0.0000000001) OR (X."&amp;F335&amp;" IS NULL AND Y."&amp;F335&amp;"_SIMUL IS NOT NULL ) OR (X."&amp;F335&amp;" IS NOT NULL AND Y."&amp;F335&amp;"_SIMUL IS NULL),1,0)) AS NUM_REG_DIF,'"&amp;MAX('ID1&amp;5'!K:K)+1&amp;"' AS ID_EXEC, CURRENT_TIMESTAMP() AS TIME_EXEC FROM "&amp;I335&amp;" INNER JOIN "&amp;J335&amp;" "&amp;K335,"SELECT '"&amp;UPPER(B335)&amp;"' AS TABELA, '"&amp;UPPER(C335)&amp;"' AS TIPOLOGIA_TESTE,'"&amp;D335&amp;"' AS TABELA_LT,'"&amp;E335&amp;"' AS TABELA_SIMUL,'"&amp;F335&amp;"' AS CAMPO, "&amp;"'${ref_date}' AS REF_DATE, COUNT(*) AS NUM_REG, SUM(IF(COALESCE(CAST(X."&amp;F335&amp;" AS STRING),'')&lt;&gt;COALESCE(CAST(Y."&amp;F335&amp;"_SIMUL AS STRING),''),1,0)) AS NUM_REG_DIF,'"&amp;MAX('ID1&amp;5'!L:L)+1&amp;"' AS ID_EXEC, CURRENT_TIMESTAMP() AS TIME_EXEC FROM "&amp;I335&amp;" INNER JOIN "&amp;J335&amp;" "&amp;K335),
IF(C335="Validade",+IF(G335="Code List","SELECT '"&amp;UPPER(B335)&amp;"' AS TABELA, '"&amp;UPPER(C335)&amp;"' AS TIPOLOGIA_TESTE,'"&amp;D335&amp;"' AS TABELA_LT,'N/A' AS TABELA_SIMUL,'"&amp;F335&amp;"' AS CAMPO, "&amp;"'${ref_date}' AS REF_DATE, COUNT(*) AS NUM_REG, SUM(IF(TRIM(CAST(X."&amp;F335&amp;" AS STRING))='' OR TRIM(CAST(X."&amp;F335&amp;" AS STRING)) IS NULL OR CAST(X."&amp;F335&amp;" AS STRING) NOT "&amp;H335&amp;",1,0)) AS NUM_REG_DIF,'"&amp;MAX('ID1&amp;5'!K:K)+1&amp;"' AS ID_EXEC, CURRENT_TIMESTAMP() AS TIME_EXEC FROM "&amp;I335,"SELECT '"&amp;UPPER(B335)&amp;"' AS TABELA, '"&amp;UPPER(C335)&amp;"' AS TIPOLOGIA_TESTE,'"&amp;D335&amp;"' AS TABELA_LT,'N/A' AS TABELA_SIMUL,'"&amp;F335&amp;"' AS CAMPO, "&amp;"'${ref_date}' AS REF_DATE, COUNT(*) AS NUM_REG, SUM(IF(TRIM(CAST(X."&amp;F335&amp;" AS STRING))='' OR TRIM(CAST(X."&amp;F335&amp;" AS STRING)) IS NULL,1,0)) AS NUM_REG_DIF,'"&amp;MAX('ID1&amp;5'!K:K)+1&amp;"' AS ID_EXEC, CURRENT_TIMESTAMP() AS TIME_EXEC FROM "&amp;I335),
IF(C335="Caracteres Especiais",+"SELECT '"&amp;UPPER(B335)&amp;"' AS TABELA, '"&amp;UPPER(C335)&amp;"' AS TIPOLOGIA_TESTE,'"&amp;D335&amp;"' AS TABELA_LT,'N/A' AS TABELA_SIMUL,'"&amp;F335&amp;"' AS CAMPO, "&amp;"'${ref_date}' AS REF_DATE, COUNT(*) AS NUM_REG, SUM(IF(INSTR(CAST(X."&amp;F335&amp;" AS STRING),'#')&gt;0 OR INSTR(CAST(X."&amp;F335&amp;" AS STRING),'*')&gt;0 OR INSTR(CAST(X."&amp;F335&amp;" AS STRING),'`')&gt;0 OR INSTR(CAST(X."&amp;F335&amp;" AS STRING),'´')&gt;0 OR INSTR(CAST(X."&amp;F335&amp;" AS STRING),'{')&gt;0 OR INSTR(CAST(X."&amp;F335&amp;" AS STRING),'}')&gt;0 OR INSTR(CAST(X."&amp;F335&amp;" AS STRING),'[')&gt;0 OR INSTR(CAST(X."&amp;F335&amp;" AS STRING),'')&gt;0 OR INSTR(CAST(X."&amp;F335&amp;" AS STRING),']')&gt;0 OR INSTR(CAST(X."&amp;F335&amp;" AS STRING),'?')&gt;0 OR INSTR(CAST(X."&amp;F335&amp;" AS STRING),'!')&gt;0 OR INSTR(CAST(X."&amp;F335&amp;" AS STRING),'$')&gt;0 OR INSTR(CAST(X."&amp;F335&amp;" AS STRING),'%')&gt;0 OR INSTR(CAST(X."&amp;F335&amp;" AS STRING),'&amp;')&gt;0 OR INSTR(CAST(X."&amp;F335&amp;" AS STRING),'+')&gt;0,1,0)) AS NUM_REG_DIF,'"&amp;MAX('ID1&amp;5'!K:K)+1&amp;"' AS ID_EXEC, CURRENT_TIMESTAMP() AS TIME_EXEC FROM "&amp;I335,
IF(C335="Missings",+"SELECT '"&amp;UPPER(B335)&amp;"' AS TABELA, '"&amp;UPPER(C335)&amp;"' AS TIPOLOGIA_TESTE,'"&amp;D335&amp;"' AS TABELA_LT,'N/A' AS TABELA_SIMUL,'"&amp;F335&amp;"' AS CAMPO, "&amp;"'${ref_date}' AS REF_DATE, COUNT(*) AS NUM_REG, SUM(IF(TRIM(CAST(X."&amp;F335&amp;" AS STRING)) IN ('0000-00-00','0001-01-01','9999-12-31','MISS','00000','99999999999','99999999999.00','99999999999.000000'),1,0)) AS NUM_REG_DIF,'"&amp;MAX('ID1&amp;5'!K:K)+1&amp;"' AS ID_EXEC, CURRENT_TIMESTAMP() AS TIME_EXEC FROM "&amp;I335,
IF(C335="Not applicable",+"SELECT '"&amp;UPPER(B335)&amp;"' AS TABELA, '"&amp;UPPER(C335)&amp;"' AS TIPOLOGIA_TESTE,'"&amp;D335&amp;"' AS TABELA_LT,'N/A' AS TABELA_SIMUL,'"&amp;F335&amp;"' AS CAMPO, "&amp;"'${ref_date}' AS REF_DATE, COUNT(*) AS NUM_REG, SUM(IF(TRIM(CAST(X."&amp;F335&amp;" AS STRING)) IN ('N/A','11111111111','11111111111.00','11111111111.000000','1111-11-11'),1,0)) AS NUM_REG_DIF,'"&amp;MAX('ID1&amp;5'!K:K)+1&amp;"' AS ID_EXEC, CURRENT_TIMESTAMP() AS TIME_EXEC FROM "&amp;I335,
IF(C335="Valores extremos",+"SELECT '"&amp;UPPER(B335)&amp;"' AS TABELA, '"&amp;UPPER(C335)&amp;"' AS TIPOLOGIA_TESTE,'"&amp;D335&amp;"' AS TABELA_LT,'N/A' AS TABELA_SIMUL,'"&amp;F335&amp;"' AS CAMPO, "&amp;"'${ref_date}' AS REF_DATE, CAST(MIN("&amp;F335&amp;") AS STRING) AS VALOR_MIN, CAST(MAX("&amp;F335&amp;") AS STRING) AS VALOR_MAX,'"&amp;MAX('ID1&amp;5'!K:K)+1&amp;"' AS ID_EXEC, CURRENT_TIMESTAMP() AS TIME_EXEC FROM "&amp;MID(I335,1,LEN(I335)-2)&amp;" AND CAST("&amp;F335&amp;"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TABELA_SIMUL,'GRP_EMSSNS_SCP1' AS CAMPO, '${ref_date}' AS REF_DATE, COUNT(*) AS NUM_REG, SUM(IF(TRIM(CAST(X.GRP_EMSSNS_SCP1 AS STRING)) IN ('0000-00-00','0001-01-01','9999-12-31','MISS','00000','99999999999','99999999999.00','99999999999.000000'),1,0)) AS NUM_REG_DIF,'10' AS ID_EXEC, CURRENT_TIMESTAMP() AS TIME_EXEC FROM (SELECT entty_id, GRP_EMSSNS_SCP1 FROM BU_LOANTAPE_WORK.LT003_ENTITY WHERE ref_date='${ref_date}' AND nome_perimetro='Individual Corporativo' AND segmento='ESTR' AND ambito='PILAR3')X</v>
      </c>
      <c r="M335" s="43" t="str">
        <f t="shared" si="5"/>
        <v>UNION ALL SELECT 'ENTITY' AS TABELA, 'MISSINGS' AS TIPOLOGIA_TESTE,'BU_LOANTAPE_WORK.LT003_ENTITY' AS TABELA_LT,'N/A' AS TABELA_SIMUL,'GRP_EMSSNS_SCP1' AS CAMPO, '${ref_date}' AS REF_DATE, COUNT(*) AS NUM_REG, SUM(IF(TRIM(CAST(X.GRP_EMSSNS_SCP1 AS STRING)) IN ('0000-00-00','0001-01-01','9999-12-31','MISS','00000','99999999999','99999999999.00','99999999999.000000'),1,0)) AS NUM_REG_DIF,'10' AS ID_EXEC, CURRENT_TIMESTAMP() AS TIME_EXEC FROM (SELECT entty_id, GRP_EMSSNS_SCP1 FROM BU_LOANTAPE_WORK.LT003_ENTITY WHERE ref_date='${ref_date}' AND nome_perimetro='Individual Corporativo' AND segmento='ESTR' AND ambito='PILAR3')X</v>
      </c>
      <c r="N335" s="45" t="s">
        <v>13</v>
      </c>
    </row>
    <row r="336" spans="2:14">
      <c r="B336" s="41" t="s">
        <v>23</v>
      </c>
      <c r="C336" s="41" t="s">
        <v>77</v>
      </c>
      <c r="D336" s="41" t="str">
        <f>+UPPER('0. Instruções'!$D$33&amp;"."&amp;VLOOKUP(B336,'0. Instruções'!$C$27:$D$31,2,FALSE))</f>
        <v>BU_LOANTAPE_WORK.LT003_ENTITY</v>
      </c>
      <c r="E336" s="41" t="str">
        <f>+UPPER('0. Instruções'!$D$34&amp;"."&amp;VLOOKUP(B336,'0. Instruções'!$C$27:$E$31,3,FALSE))</f>
        <v>BU_LOANTAPE_WORK.LT003_ENTTY_P3_NOV24</v>
      </c>
      <c r="F336" s="41" t="s">
        <v>132</v>
      </c>
      <c r="G336" s="41" t="s">
        <v>210</v>
      </c>
      <c r="H336" s="41"/>
      <c r="I336" s="41" t="str">
        <f>"(SELECT "&amp;VLOOKUP(B336,'0. Instruções'!$C$27:$G$31,4,FALSE)&amp;", "&amp;F336&amp;" FROM "&amp;D336&amp;" WHERE "&amp;'0. Instruções'!$D$40&amp;")X"</f>
        <v>(SELECT entty_id, GRP_EMSSNS_SCP2 FROM BU_LOANTAPE_WORK.LT003_ENTITY WHERE ref_date='${ref_date}' AND nome_perimetro='Individual Corporativo' AND segmento='ESTR' AND ambito='PILAR3')X</v>
      </c>
      <c r="J336" s="41" t="str">
        <f>"(SELECT "&amp;VLOOKUP(B336,'0. Instruções'!$C$27:$G$31,4,FALSE)&amp;" AS "&amp;VLOOKUP(B336,'0. Instruções'!$C$27:$G$31,4,FALSE)&amp;"_SIMUL, "&amp;F336&amp;" AS "&amp;F336&amp;"_SIMUL FROM "&amp;E336&amp;")Y"</f>
        <v>(SELECT entty_id AS entty_id_SIMUL, GRP_EMSSNS_SCP2 AS GRP_EMSSNS_SCP2_SIMUL FROM BU_LOANTAPE_WORK.LT003_ENTTY_P3_NOV24)Y</v>
      </c>
      <c r="K336" s="42" t="str">
        <f>+UPPER("ON X."&amp;VLOOKUP(B336,'0. Instruções'!$C$27:$G$31,4,FALSE)&amp;"=Y."&amp;VLOOKUP(B336,'0. Instruções'!$C$27:$G$31,4,FALSE)&amp;"_SIMUL")</f>
        <v>ON X.ENTTY_ID=Y.ENTTY_ID_SIMUL</v>
      </c>
      <c r="L336" s="42" t="str">
        <f>+IF(C336="Coerência", +IF(LEFT(G336,5)="FLOAT","SELECT '"&amp;UPPER(B336)&amp;"' AS TABELA, '"&amp;UPPER(C336)&amp;"' AS TIPOLOGIA_TESTE,'"&amp;D336&amp;"' AS TABELA_LT,'"&amp;E336&amp;"' AS TABELA_SIMUL,'"&amp;F336&amp;"' AS CAMPO, "&amp;"'${ref_date}' AS REF_DATE, COUNT(*) AS NUM_REG, SUM(IF((ABS(COALESCE(X."&amp;F336&amp;",0)-COALESCE(Y."&amp;F336&amp;"_SIMUL,0))&gt;0.0000000001) OR (X."&amp;F336&amp;" IS NULL AND Y."&amp;F336&amp;"_SIMUL IS NOT NULL ) OR (X."&amp;F336&amp;" IS NOT NULL AND Y."&amp;F336&amp;"_SIMUL IS NULL),1,0)) AS NUM_REG_DIF,'"&amp;MAX('ID1&amp;5'!K:K)+1&amp;"' AS ID_EXEC, CURRENT_TIMESTAMP() AS TIME_EXEC FROM "&amp;I336&amp;" INNER JOIN "&amp;J336&amp;" "&amp;K336,"SELECT '"&amp;UPPER(B336)&amp;"' AS TABELA, '"&amp;UPPER(C336)&amp;"' AS TIPOLOGIA_TESTE,'"&amp;D336&amp;"' AS TABELA_LT,'"&amp;E336&amp;"' AS TABELA_SIMUL,'"&amp;F336&amp;"' AS CAMPO, "&amp;"'${ref_date}' AS REF_DATE, COUNT(*) AS NUM_REG, SUM(IF(COALESCE(CAST(X."&amp;F336&amp;" AS STRING),'')&lt;&gt;COALESCE(CAST(Y."&amp;F336&amp;"_SIMUL AS STRING),''),1,0)) AS NUM_REG_DIF,'"&amp;MAX('ID1&amp;5'!L:L)+1&amp;"' AS ID_EXEC, CURRENT_TIMESTAMP() AS TIME_EXEC FROM "&amp;I336&amp;" INNER JOIN "&amp;J336&amp;" "&amp;K336),
IF(C336="Validade",+IF(G336="Code List","SELECT '"&amp;UPPER(B336)&amp;"' AS TABELA, '"&amp;UPPER(C336)&amp;"' AS TIPOLOGIA_TESTE,'"&amp;D336&amp;"' AS TABELA_LT,'N/A' AS TABELA_SIMUL,'"&amp;F336&amp;"' AS CAMPO, "&amp;"'${ref_date}' AS REF_DATE, COUNT(*) AS NUM_REG, SUM(IF(TRIM(CAST(X."&amp;F336&amp;" AS STRING))='' OR TRIM(CAST(X."&amp;F336&amp;" AS STRING)) IS NULL OR CAST(X."&amp;F336&amp;" AS STRING) NOT "&amp;H336&amp;",1,0)) AS NUM_REG_DIF,'"&amp;MAX('ID1&amp;5'!K:K)+1&amp;"' AS ID_EXEC, CURRENT_TIMESTAMP() AS TIME_EXEC FROM "&amp;I336,"SELECT '"&amp;UPPER(B336)&amp;"' AS TABELA, '"&amp;UPPER(C336)&amp;"' AS TIPOLOGIA_TESTE,'"&amp;D336&amp;"' AS TABELA_LT,'N/A' AS TABELA_SIMUL,'"&amp;F336&amp;"' AS CAMPO, "&amp;"'${ref_date}' AS REF_DATE, COUNT(*) AS NUM_REG, SUM(IF(TRIM(CAST(X."&amp;F336&amp;" AS STRING))='' OR TRIM(CAST(X."&amp;F336&amp;" AS STRING)) IS NULL,1,0)) AS NUM_REG_DIF,'"&amp;MAX('ID1&amp;5'!K:K)+1&amp;"' AS ID_EXEC, CURRENT_TIMESTAMP() AS TIME_EXEC FROM "&amp;I336),
IF(C336="Caracteres Especiais",+"SELECT '"&amp;UPPER(B336)&amp;"' AS TABELA, '"&amp;UPPER(C336)&amp;"' AS TIPOLOGIA_TESTE,'"&amp;D336&amp;"' AS TABELA_LT,'N/A' AS TABELA_SIMUL,'"&amp;F336&amp;"' AS CAMPO, "&amp;"'${ref_date}' AS REF_DATE, COUNT(*) AS NUM_REG, SUM(IF(INSTR(CAST(X."&amp;F336&amp;" AS STRING),'#')&gt;0 OR INSTR(CAST(X."&amp;F336&amp;" AS STRING),'*')&gt;0 OR INSTR(CAST(X."&amp;F336&amp;" AS STRING),'`')&gt;0 OR INSTR(CAST(X."&amp;F336&amp;" AS STRING),'´')&gt;0 OR INSTR(CAST(X."&amp;F336&amp;" AS STRING),'{')&gt;0 OR INSTR(CAST(X."&amp;F336&amp;" AS STRING),'}')&gt;0 OR INSTR(CAST(X."&amp;F336&amp;" AS STRING),'[')&gt;0 OR INSTR(CAST(X."&amp;F336&amp;" AS STRING),'')&gt;0 OR INSTR(CAST(X."&amp;F336&amp;" AS STRING),']')&gt;0 OR INSTR(CAST(X."&amp;F336&amp;" AS STRING),'?')&gt;0 OR INSTR(CAST(X."&amp;F336&amp;" AS STRING),'!')&gt;0 OR INSTR(CAST(X."&amp;F336&amp;" AS STRING),'$')&gt;0 OR INSTR(CAST(X."&amp;F336&amp;" AS STRING),'%')&gt;0 OR INSTR(CAST(X."&amp;F336&amp;" AS STRING),'&amp;')&gt;0 OR INSTR(CAST(X."&amp;F336&amp;" AS STRING),'+')&gt;0,1,0)) AS NUM_REG_DIF,'"&amp;MAX('ID1&amp;5'!K:K)+1&amp;"' AS ID_EXEC, CURRENT_TIMESTAMP() AS TIME_EXEC FROM "&amp;I336,
IF(C336="Missings",+"SELECT '"&amp;UPPER(B336)&amp;"' AS TABELA, '"&amp;UPPER(C336)&amp;"' AS TIPOLOGIA_TESTE,'"&amp;D336&amp;"' AS TABELA_LT,'N/A' AS TABELA_SIMUL,'"&amp;F336&amp;"' AS CAMPO, "&amp;"'${ref_date}' AS REF_DATE, COUNT(*) AS NUM_REG, SUM(IF(TRIM(CAST(X."&amp;F336&amp;" AS STRING)) IN ('0000-00-00','0001-01-01','9999-12-31','MISS','00000','99999999999','99999999999.00','99999999999.000000'),1,0)) AS NUM_REG_DIF,'"&amp;MAX('ID1&amp;5'!K:K)+1&amp;"' AS ID_EXEC, CURRENT_TIMESTAMP() AS TIME_EXEC FROM "&amp;I336,
IF(C336="Not applicable",+"SELECT '"&amp;UPPER(B336)&amp;"' AS TABELA, '"&amp;UPPER(C336)&amp;"' AS TIPOLOGIA_TESTE,'"&amp;D336&amp;"' AS TABELA_LT,'N/A' AS TABELA_SIMUL,'"&amp;F336&amp;"' AS CAMPO, "&amp;"'${ref_date}' AS REF_DATE, COUNT(*) AS NUM_REG, SUM(IF(TRIM(CAST(X."&amp;F336&amp;" AS STRING)) IN ('N/A','11111111111','11111111111.00','11111111111.000000','1111-11-11'),1,0)) AS NUM_REG_DIF,'"&amp;MAX('ID1&amp;5'!K:K)+1&amp;"' AS ID_EXEC, CURRENT_TIMESTAMP() AS TIME_EXEC FROM "&amp;I336,
IF(C336="Valores extremos",+"SELECT '"&amp;UPPER(B336)&amp;"' AS TABELA, '"&amp;UPPER(C336)&amp;"' AS TIPOLOGIA_TESTE,'"&amp;D336&amp;"' AS TABELA_LT,'N/A' AS TABELA_SIMUL,'"&amp;F336&amp;"' AS CAMPO, "&amp;"'${ref_date}' AS REF_DATE, CAST(MIN("&amp;F336&amp;") AS STRING) AS VALOR_MIN, CAST(MAX("&amp;F336&amp;") AS STRING) AS VALOR_MAX,'"&amp;MAX('ID1&amp;5'!K:K)+1&amp;"' AS ID_EXEC, CURRENT_TIMESTAMP() AS TIME_EXEC FROM "&amp;MID(I336,1,LEN(I336)-2)&amp;" AND CAST("&amp;F336&amp;"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TABELA_SIMUL,'GRP_EMSSNS_SCP2' AS CAMPO, '${ref_date}' AS REF_DATE, COUNT(*) AS NUM_REG, SUM(IF(TRIM(CAST(X.GRP_EMSSNS_SCP2 AS STRING)) IN ('0000-00-00','0001-01-01','9999-12-31','MISS','00000','99999999999','99999999999.00','99999999999.000000'),1,0)) AS NUM_REG_DIF,'10' AS ID_EXEC, CURRENT_TIMESTAMP() AS TIME_EXEC FROM (SELECT entty_id, GRP_EMSSNS_SCP2 FROM BU_LOANTAPE_WORK.LT003_ENTITY WHERE ref_date='${ref_date}' AND nome_perimetro='Individual Corporativo' AND segmento='ESTR' AND ambito='PILAR3')X</v>
      </c>
      <c r="M336" s="43" t="str">
        <f t="shared" si="5"/>
        <v>UNION ALL SELECT 'ENTITY' AS TABELA, 'MISSINGS' AS TIPOLOGIA_TESTE,'BU_LOANTAPE_WORK.LT003_ENTITY' AS TABELA_LT,'N/A' AS TABELA_SIMUL,'GRP_EMSSNS_SCP2' AS CAMPO, '${ref_date}' AS REF_DATE, COUNT(*) AS NUM_REG, SUM(IF(TRIM(CAST(X.GRP_EMSSNS_SCP2 AS STRING)) IN ('0000-00-00','0001-01-01','9999-12-31','MISS','00000','99999999999','99999999999.00','99999999999.000000'),1,0)) AS NUM_REG_DIF,'10' AS ID_EXEC, CURRENT_TIMESTAMP() AS TIME_EXEC FROM (SELECT entty_id, GRP_EMSSNS_SCP2 FROM BU_LOANTAPE_WORK.LT003_ENTITY WHERE ref_date='${ref_date}' AND nome_perimetro='Individual Corporativo' AND segmento='ESTR' AND ambito='PILAR3')X</v>
      </c>
      <c r="N336" s="45" t="s">
        <v>13</v>
      </c>
    </row>
    <row r="337" spans="2:14">
      <c r="B337" s="41" t="s">
        <v>23</v>
      </c>
      <c r="C337" s="41" t="s">
        <v>77</v>
      </c>
      <c r="D337" s="41" t="str">
        <f>+UPPER('0. Instruções'!$D$33&amp;"."&amp;VLOOKUP(B337,'0. Instruções'!$C$27:$D$31,2,FALSE))</f>
        <v>BU_LOANTAPE_WORK.LT003_ENTITY</v>
      </c>
      <c r="E337" s="41" t="str">
        <f>+UPPER('0. Instruções'!$D$34&amp;"."&amp;VLOOKUP(B337,'0. Instruções'!$C$27:$E$31,3,FALSE))</f>
        <v>BU_LOANTAPE_WORK.LT003_ENTTY_P3_NOV24</v>
      </c>
      <c r="F337" s="41" t="s">
        <v>133</v>
      </c>
      <c r="G337" s="41" t="s">
        <v>210</v>
      </c>
      <c r="H337" s="41"/>
      <c r="I337" s="41" t="str">
        <f>"(SELECT "&amp;VLOOKUP(B337,'0. Instruções'!$C$27:$G$31,4,FALSE)&amp;", "&amp;F337&amp;" FROM "&amp;D337&amp;" WHERE "&amp;'0. Instruções'!$D$40&amp;")X"</f>
        <v>(SELECT entty_id, GRP_EMSSNS_SCP3 FROM BU_LOANTAPE_WORK.LT003_ENTITY WHERE ref_date='${ref_date}' AND nome_perimetro='Individual Corporativo' AND segmento='ESTR' AND ambito='PILAR3')X</v>
      </c>
      <c r="J337" s="41" t="str">
        <f>"(SELECT "&amp;VLOOKUP(B337,'0. Instruções'!$C$27:$G$31,4,FALSE)&amp;" AS "&amp;VLOOKUP(B337,'0. Instruções'!$C$27:$G$31,4,FALSE)&amp;"_SIMUL, "&amp;F337&amp;" AS "&amp;F337&amp;"_SIMUL FROM "&amp;E337&amp;")Y"</f>
        <v>(SELECT entty_id AS entty_id_SIMUL, GRP_EMSSNS_SCP3 AS GRP_EMSSNS_SCP3_SIMUL FROM BU_LOANTAPE_WORK.LT003_ENTTY_P3_NOV24)Y</v>
      </c>
      <c r="K337" s="42" t="str">
        <f>+UPPER("ON X."&amp;VLOOKUP(B337,'0. Instruções'!$C$27:$G$31,4,FALSE)&amp;"=Y."&amp;VLOOKUP(B337,'0. Instruções'!$C$27:$G$31,4,FALSE)&amp;"_SIMUL")</f>
        <v>ON X.ENTTY_ID=Y.ENTTY_ID_SIMUL</v>
      </c>
      <c r="L337" s="42" t="str">
        <f>+IF(C337="Coerência", +IF(LEFT(G337,5)="FLOAT","SELECT '"&amp;UPPER(B337)&amp;"' AS TABELA, '"&amp;UPPER(C337)&amp;"' AS TIPOLOGIA_TESTE,'"&amp;D337&amp;"' AS TABELA_LT,'"&amp;E337&amp;"' AS TABELA_SIMUL,'"&amp;F337&amp;"' AS CAMPO, "&amp;"'${ref_date}' AS REF_DATE, COUNT(*) AS NUM_REG, SUM(IF((ABS(COALESCE(X."&amp;F337&amp;",0)-COALESCE(Y."&amp;F337&amp;"_SIMUL,0))&gt;0.0000000001) OR (X."&amp;F337&amp;" IS NULL AND Y."&amp;F337&amp;"_SIMUL IS NOT NULL ) OR (X."&amp;F337&amp;" IS NOT NULL AND Y."&amp;F337&amp;"_SIMUL IS NULL),1,0)) AS NUM_REG_DIF,'"&amp;MAX('ID1&amp;5'!K:K)+1&amp;"' AS ID_EXEC, CURRENT_TIMESTAMP() AS TIME_EXEC FROM "&amp;I337&amp;" INNER JOIN "&amp;J337&amp;" "&amp;K337,"SELECT '"&amp;UPPER(B337)&amp;"' AS TABELA, '"&amp;UPPER(C337)&amp;"' AS TIPOLOGIA_TESTE,'"&amp;D337&amp;"' AS TABELA_LT,'"&amp;E337&amp;"' AS TABELA_SIMUL,'"&amp;F337&amp;"' AS CAMPO, "&amp;"'${ref_date}' AS REF_DATE, COUNT(*) AS NUM_REG, SUM(IF(COALESCE(CAST(X."&amp;F337&amp;" AS STRING),'')&lt;&gt;COALESCE(CAST(Y."&amp;F337&amp;"_SIMUL AS STRING),''),1,0)) AS NUM_REG_DIF,'"&amp;MAX('ID1&amp;5'!L:L)+1&amp;"' AS ID_EXEC, CURRENT_TIMESTAMP() AS TIME_EXEC FROM "&amp;I337&amp;" INNER JOIN "&amp;J337&amp;" "&amp;K337),
IF(C337="Validade",+IF(G337="Code List","SELECT '"&amp;UPPER(B337)&amp;"' AS TABELA, '"&amp;UPPER(C337)&amp;"' AS TIPOLOGIA_TESTE,'"&amp;D337&amp;"' AS TABELA_LT,'N/A' AS TABELA_SIMUL,'"&amp;F337&amp;"' AS CAMPO, "&amp;"'${ref_date}' AS REF_DATE, COUNT(*) AS NUM_REG, SUM(IF(TRIM(CAST(X."&amp;F337&amp;" AS STRING))='' OR TRIM(CAST(X."&amp;F337&amp;" AS STRING)) IS NULL OR CAST(X."&amp;F337&amp;" AS STRING) NOT "&amp;H337&amp;",1,0)) AS NUM_REG_DIF,'"&amp;MAX('ID1&amp;5'!K:K)+1&amp;"' AS ID_EXEC, CURRENT_TIMESTAMP() AS TIME_EXEC FROM "&amp;I337,"SELECT '"&amp;UPPER(B337)&amp;"' AS TABELA, '"&amp;UPPER(C337)&amp;"' AS TIPOLOGIA_TESTE,'"&amp;D337&amp;"' AS TABELA_LT,'N/A' AS TABELA_SIMUL,'"&amp;F337&amp;"' AS CAMPO, "&amp;"'${ref_date}' AS REF_DATE, COUNT(*) AS NUM_REG, SUM(IF(TRIM(CAST(X."&amp;F337&amp;" AS STRING))='' OR TRIM(CAST(X."&amp;F337&amp;" AS STRING)) IS NULL,1,0)) AS NUM_REG_DIF,'"&amp;MAX('ID1&amp;5'!K:K)+1&amp;"' AS ID_EXEC, CURRENT_TIMESTAMP() AS TIME_EXEC FROM "&amp;I337),
IF(C337="Caracteres Especiais",+"SELECT '"&amp;UPPER(B337)&amp;"' AS TABELA, '"&amp;UPPER(C337)&amp;"' AS TIPOLOGIA_TESTE,'"&amp;D337&amp;"' AS TABELA_LT,'N/A' AS TABELA_SIMUL,'"&amp;F337&amp;"' AS CAMPO, "&amp;"'${ref_date}' AS REF_DATE, COUNT(*) AS NUM_REG, SUM(IF(INSTR(CAST(X."&amp;F337&amp;" AS STRING),'#')&gt;0 OR INSTR(CAST(X."&amp;F337&amp;" AS STRING),'*')&gt;0 OR INSTR(CAST(X."&amp;F337&amp;" AS STRING),'`')&gt;0 OR INSTR(CAST(X."&amp;F337&amp;" AS STRING),'´')&gt;0 OR INSTR(CAST(X."&amp;F337&amp;" AS STRING),'{')&gt;0 OR INSTR(CAST(X."&amp;F337&amp;" AS STRING),'}')&gt;0 OR INSTR(CAST(X."&amp;F337&amp;" AS STRING),'[')&gt;0 OR INSTR(CAST(X."&amp;F337&amp;" AS STRING),'')&gt;0 OR INSTR(CAST(X."&amp;F337&amp;" AS STRING),']')&gt;0 OR INSTR(CAST(X."&amp;F337&amp;" AS STRING),'?')&gt;0 OR INSTR(CAST(X."&amp;F337&amp;" AS STRING),'!')&gt;0 OR INSTR(CAST(X."&amp;F337&amp;" AS STRING),'$')&gt;0 OR INSTR(CAST(X."&amp;F337&amp;" AS STRING),'%')&gt;0 OR INSTR(CAST(X."&amp;F337&amp;" AS STRING),'&amp;')&gt;0 OR INSTR(CAST(X."&amp;F337&amp;" AS STRING),'+')&gt;0,1,0)) AS NUM_REG_DIF,'"&amp;MAX('ID1&amp;5'!K:K)+1&amp;"' AS ID_EXEC, CURRENT_TIMESTAMP() AS TIME_EXEC FROM "&amp;I337,
IF(C337="Missings",+"SELECT '"&amp;UPPER(B337)&amp;"' AS TABELA, '"&amp;UPPER(C337)&amp;"' AS TIPOLOGIA_TESTE,'"&amp;D337&amp;"' AS TABELA_LT,'N/A' AS TABELA_SIMUL,'"&amp;F337&amp;"' AS CAMPO, "&amp;"'${ref_date}' AS REF_DATE, COUNT(*) AS NUM_REG, SUM(IF(TRIM(CAST(X."&amp;F337&amp;" AS STRING)) IN ('0000-00-00','0001-01-01','9999-12-31','MISS','00000','99999999999','99999999999.00','99999999999.000000'),1,0)) AS NUM_REG_DIF,'"&amp;MAX('ID1&amp;5'!K:K)+1&amp;"' AS ID_EXEC, CURRENT_TIMESTAMP() AS TIME_EXEC FROM "&amp;I337,
IF(C337="Not applicable",+"SELECT '"&amp;UPPER(B337)&amp;"' AS TABELA, '"&amp;UPPER(C337)&amp;"' AS TIPOLOGIA_TESTE,'"&amp;D337&amp;"' AS TABELA_LT,'N/A' AS TABELA_SIMUL,'"&amp;F337&amp;"' AS CAMPO, "&amp;"'${ref_date}' AS REF_DATE, COUNT(*) AS NUM_REG, SUM(IF(TRIM(CAST(X."&amp;F337&amp;" AS STRING)) IN ('N/A','11111111111','11111111111.00','11111111111.000000','1111-11-11'),1,0)) AS NUM_REG_DIF,'"&amp;MAX('ID1&amp;5'!K:K)+1&amp;"' AS ID_EXEC, CURRENT_TIMESTAMP() AS TIME_EXEC FROM "&amp;I337,
IF(C337="Valores extremos",+"SELECT '"&amp;UPPER(B337)&amp;"' AS TABELA, '"&amp;UPPER(C337)&amp;"' AS TIPOLOGIA_TESTE,'"&amp;D337&amp;"' AS TABELA_LT,'N/A' AS TABELA_SIMUL,'"&amp;F337&amp;"' AS CAMPO, "&amp;"'${ref_date}' AS REF_DATE, CAST(MIN("&amp;F337&amp;") AS STRING) AS VALOR_MIN, CAST(MAX("&amp;F337&amp;") AS STRING) AS VALOR_MAX,'"&amp;MAX('ID1&amp;5'!K:K)+1&amp;"' AS ID_EXEC, CURRENT_TIMESTAMP() AS TIME_EXEC FROM "&amp;MID(I337,1,LEN(I337)-2)&amp;" AND CAST("&amp;F337&amp;"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TABELA_SIMUL,'GRP_EMSSNS_SCP3' AS CAMPO, '${ref_date}' AS REF_DATE, COUNT(*) AS NUM_REG, SUM(IF(TRIM(CAST(X.GRP_EMSSNS_SCP3 AS STRING)) IN ('0000-00-00','0001-01-01','9999-12-31','MISS','00000','99999999999','99999999999.00','99999999999.000000'),1,0)) AS NUM_REG_DIF,'10' AS ID_EXEC, CURRENT_TIMESTAMP() AS TIME_EXEC FROM (SELECT entty_id, GRP_EMSSNS_SCP3 FROM BU_LOANTAPE_WORK.LT003_ENTITY WHERE ref_date='${ref_date}' AND nome_perimetro='Individual Corporativo' AND segmento='ESTR' AND ambito='PILAR3')X</v>
      </c>
      <c r="M337" s="43" t="str">
        <f t="shared" si="5"/>
        <v>UNION ALL SELECT 'ENTITY' AS TABELA, 'MISSINGS' AS TIPOLOGIA_TESTE,'BU_LOANTAPE_WORK.LT003_ENTITY' AS TABELA_LT,'N/A' AS TABELA_SIMUL,'GRP_EMSSNS_SCP3' AS CAMPO, '${ref_date}' AS REF_DATE, COUNT(*) AS NUM_REG, SUM(IF(TRIM(CAST(X.GRP_EMSSNS_SCP3 AS STRING)) IN ('0000-00-00','0001-01-01','9999-12-31','MISS','00000','99999999999','99999999999.00','99999999999.000000'),1,0)) AS NUM_REG_DIF,'10' AS ID_EXEC, CURRENT_TIMESTAMP() AS TIME_EXEC FROM (SELECT entty_id, GRP_EMSSNS_SCP3 FROM BU_LOANTAPE_WORK.LT003_ENTITY WHERE ref_date='${ref_date}' AND nome_perimetro='Individual Corporativo' AND segmento='ESTR' AND ambito='PILAR3')X</v>
      </c>
      <c r="N337" s="45" t="s">
        <v>13</v>
      </c>
    </row>
    <row r="338" spans="2:14">
      <c r="B338" s="41" t="s">
        <v>23</v>
      </c>
      <c r="C338" s="41" t="s">
        <v>77</v>
      </c>
      <c r="D338" s="41" t="str">
        <f>+UPPER('0. Instruções'!$D$33&amp;"."&amp;VLOOKUP(B338,'0. Instruções'!$C$27:$D$31,2,FALSE))</f>
        <v>BU_LOANTAPE_WORK.LT003_ENTITY</v>
      </c>
      <c r="E338" s="41" t="str">
        <f>+UPPER('0. Instruções'!$D$34&amp;"."&amp;VLOOKUP(B338,'0. Instruções'!$C$27:$E$31,3,FALSE))</f>
        <v>BU_LOANTAPE_WORK.LT003_ENTTY_P3_NOV24</v>
      </c>
      <c r="F338" s="41" t="s">
        <v>181</v>
      </c>
      <c r="G338" s="41" t="s">
        <v>13</v>
      </c>
      <c r="H338" s="41"/>
      <c r="I338" s="41" t="str">
        <f>"(SELECT "&amp;VLOOKUP(B338,'0. Instruções'!$C$27:$G$31,4,FALSE)&amp;", "&amp;F338&amp;" FROM "&amp;D338&amp;" WHERE "&amp;'0. Instruções'!$D$40&amp;")X"</f>
        <v>(SELECT entty_id, CNTRY FROM BU_LOANTAPE_WORK.LT003_ENTITY WHERE ref_date='${ref_date}' AND nome_perimetro='Individual Corporativo' AND segmento='ESTR' AND ambito='PILAR3')X</v>
      </c>
      <c r="J338" s="41" t="str">
        <f>"(SELECT "&amp;VLOOKUP(B338,'0. Instruções'!$C$27:$G$31,4,FALSE)&amp;" AS "&amp;VLOOKUP(B338,'0. Instruções'!$C$27:$G$31,4,FALSE)&amp;"_SIMUL, "&amp;F338&amp;" AS "&amp;F338&amp;"_SIMUL FROM "&amp;E338&amp;")Y"</f>
        <v>(SELECT entty_id AS entty_id_SIMUL, CNTRY AS CNTRY_SIMUL FROM BU_LOANTAPE_WORK.LT003_ENTTY_P3_NOV24)Y</v>
      </c>
      <c r="K338" s="42" t="str">
        <f>+UPPER("ON X."&amp;VLOOKUP(B338,'0. Instruções'!$C$27:$G$31,4,FALSE)&amp;"=Y."&amp;VLOOKUP(B338,'0. Instruções'!$C$27:$G$31,4,FALSE)&amp;"_SIMUL")</f>
        <v>ON X.ENTTY_ID=Y.ENTTY_ID_SIMUL</v>
      </c>
      <c r="L338" s="42" t="str">
        <f>+IF(C338="Coerência", +IF(LEFT(G338,5)="FLOAT","SELECT '"&amp;UPPER(B338)&amp;"' AS TABELA, '"&amp;UPPER(C338)&amp;"' AS TIPOLOGIA_TESTE,'"&amp;D338&amp;"' AS TABELA_LT,'"&amp;E338&amp;"' AS TABELA_SIMUL,'"&amp;F338&amp;"' AS CAMPO, "&amp;"'${ref_date}' AS REF_DATE, COUNT(*) AS NUM_REG, SUM(IF((ABS(COALESCE(X."&amp;F338&amp;",0)-COALESCE(Y."&amp;F338&amp;"_SIMUL,0))&gt;0.0000000001) OR (X."&amp;F338&amp;" IS NULL AND Y."&amp;F338&amp;"_SIMUL IS NOT NULL ) OR (X."&amp;F338&amp;" IS NOT NULL AND Y."&amp;F338&amp;"_SIMUL IS NULL),1,0)) AS NUM_REG_DIF,'"&amp;MAX('ID1&amp;5'!K:K)+1&amp;"' AS ID_EXEC, CURRENT_TIMESTAMP() AS TIME_EXEC FROM "&amp;I338&amp;" INNER JOIN "&amp;J338&amp;" "&amp;K338,"SELECT '"&amp;UPPER(B338)&amp;"' AS TABELA, '"&amp;UPPER(C338)&amp;"' AS TIPOLOGIA_TESTE,'"&amp;D338&amp;"' AS TABELA_LT,'"&amp;E338&amp;"' AS TABELA_SIMUL,'"&amp;F338&amp;"' AS CAMPO, "&amp;"'${ref_date}' AS REF_DATE, COUNT(*) AS NUM_REG, SUM(IF(COALESCE(CAST(X."&amp;F338&amp;" AS STRING),'')&lt;&gt;COALESCE(CAST(Y."&amp;F338&amp;"_SIMUL AS STRING),''),1,0)) AS NUM_REG_DIF,'"&amp;MAX('ID1&amp;5'!L:L)+1&amp;"' AS ID_EXEC, CURRENT_TIMESTAMP() AS TIME_EXEC FROM "&amp;I338&amp;" INNER JOIN "&amp;J338&amp;" "&amp;K338),
IF(C338="Validade",+IF(G338="Code List","SELECT '"&amp;UPPER(B338)&amp;"' AS TABELA, '"&amp;UPPER(C338)&amp;"' AS TIPOLOGIA_TESTE,'"&amp;D338&amp;"' AS TABELA_LT,'N/A' AS TABELA_SIMUL,'"&amp;F338&amp;"' AS CAMPO, "&amp;"'${ref_date}' AS REF_DATE, COUNT(*) AS NUM_REG, SUM(IF(TRIM(CAST(X."&amp;F338&amp;" AS STRING))='' OR TRIM(CAST(X."&amp;F338&amp;" AS STRING)) IS NULL OR CAST(X."&amp;F338&amp;" AS STRING) NOT "&amp;H338&amp;",1,0)) AS NUM_REG_DIF,'"&amp;MAX('ID1&amp;5'!K:K)+1&amp;"' AS ID_EXEC, CURRENT_TIMESTAMP() AS TIME_EXEC FROM "&amp;I338,"SELECT '"&amp;UPPER(B338)&amp;"' AS TABELA, '"&amp;UPPER(C338)&amp;"' AS TIPOLOGIA_TESTE,'"&amp;D338&amp;"' AS TABELA_LT,'N/A' AS TABELA_SIMUL,'"&amp;F338&amp;"' AS CAMPO, "&amp;"'${ref_date}' AS REF_DATE, COUNT(*) AS NUM_REG, SUM(IF(TRIM(CAST(X."&amp;F338&amp;" AS STRING))='' OR TRIM(CAST(X."&amp;F338&amp;" AS STRING)) IS NULL,1,0)) AS NUM_REG_DIF,'"&amp;MAX('ID1&amp;5'!K:K)+1&amp;"' AS ID_EXEC, CURRENT_TIMESTAMP() AS TIME_EXEC FROM "&amp;I338),
IF(C338="Caracteres Especiais",+"SELECT '"&amp;UPPER(B338)&amp;"' AS TABELA, '"&amp;UPPER(C338)&amp;"' AS TIPOLOGIA_TESTE,'"&amp;D338&amp;"' AS TABELA_LT,'N/A' AS TABELA_SIMUL,'"&amp;F338&amp;"' AS CAMPO, "&amp;"'${ref_date}' AS REF_DATE, COUNT(*) AS NUM_REG, SUM(IF(INSTR(CAST(X."&amp;F338&amp;" AS STRING),'#')&gt;0 OR INSTR(CAST(X."&amp;F338&amp;" AS STRING),'*')&gt;0 OR INSTR(CAST(X."&amp;F338&amp;" AS STRING),'`')&gt;0 OR INSTR(CAST(X."&amp;F338&amp;" AS STRING),'´')&gt;0 OR INSTR(CAST(X."&amp;F338&amp;" AS STRING),'{')&gt;0 OR INSTR(CAST(X."&amp;F338&amp;" AS STRING),'}')&gt;0 OR INSTR(CAST(X."&amp;F338&amp;" AS STRING),'[')&gt;0 OR INSTR(CAST(X."&amp;F338&amp;" AS STRING),'')&gt;0 OR INSTR(CAST(X."&amp;F338&amp;" AS STRING),']')&gt;0 OR INSTR(CAST(X."&amp;F338&amp;" AS STRING),'?')&gt;0 OR INSTR(CAST(X."&amp;F338&amp;" AS STRING),'!')&gt;0 OR INSTR(CAST(X."&amp;F338&amp;" AS STRING),'$')&gt;0 OR INSTR(CAST(X."&amp;F338&amp;" AS STRING),'%')&gt;0 OR INSTR(CAST(X."&amp;F338&amp;" AS STRING),'&amp;')&gt;0 OR INSTR(CAST(X."&amp;F338&amp;" AS STRING),'+')&gt;0,1,0)) AS NUM_REG_DIF,'"&amp;MAX('ID1&amp;5'!K:K)+1&amp;"' AS ID_EXEC, CURRENT_TIMESTAMP() AS TIME_EXEC FROM "&amp;I338,
IF(C338="Missings",+"SELECT '"&amp;UPPER(B338)&amp;"' AS TABELA, '"&amp;UPPER(C338)&amp;"' AS TIPOLOGIA_TESTE,'"&amp;D338&amp;"' AS TABELA_LT,'N/A' AS TABELA_SIMUL,'"&amp;F338&amp;"' AS CAMPO, "&amp;"'${ref_date}' AS REF_DATE, COUNT(*) AS NUM_REG, SUM(IF(TRIM(CAST(X."&amp;F338&amp;" AS STRING)) IN ('0000-00-00','0001-01-01','9999-12-31','MISS','00000','99999999999','99999999999.00','99999999999.000000'),1,0)) AS NUM_REG_DIF,'"&amp;MAX('ID1&amp;5'!K:K)+1&amp;"' AS ID_EXEC, CURRENT_TIMESTAMP() AS TIME_EXEC FROM "&amp;I338,
IF(C338="Not applicable",+"SELECT '"&amp;UPPER(B338)&amp;"' AS TABELA, '"&amp;UPPER(C338)&amp;"' AS TIPOLOGIA_TESTE,'"&amp;D338&amp;"' AS TABELA_LT,'N/A' AS TABELA_SIMUL,'"&amp;F338&amp;"' AS CAMPO, "&amp;"'${ref_date}' AS REF_DATE, COUNT(*) AS NUM_REG, SUM(IF(TRIM(CAST(X."&amp;F338&amp;" AS STRING)) IN ('N/A','11111111111','11111111111.00','11111111111.000000','1111-11-11'),1,0)) AS NUM_REG_DIF,'"&amp;MAX('ID1&amp;5'!K:K)+1&amp;"' AS ID_EXEC, CURRENT_TIMESTAMP() AS TIME_EXEC FROM "&amp;I338,
IF(C338="Valores extremos",+"SELECT '"&amp;UPPER(B338)&amp;"' AS TABELA, '"&amp;UPPER(C338)&amp;"' AS TIPOLOGIA_TESTE,'"&amp;D338&amp;"' AS TABELA_LT,'N/A' AS TABELA_SIMUL,'"&amp;F338&amp;"' AS CAMPO, "&amp;"'${ref_date}' AS REF_DATE, CAST(MIN("&amp;F338&amp;") AS STRING) AS VALOR_MIN, CAST(MAX("&amp;F338&amp;") AS STRING) AS VALOR_MAX,'"&amp;MAX('ID1&amp;5'!K:K)+1&amp;"' AS ID_EXEC, CURRENT_TIMESTAMP() AS TIME_EXEC FROM "&amp;MID(I338,1,LEN(I338)-2)&amp;" AND CAST("&amp;F338&amp;"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TABELA_SIMUL,'CNTRY' AS CAMPO, '${ref_date}' AS REF_DATE, COUNT(*) AS NUM_REG, SUM(IF(TRIM(CAST(X.CNTRY AS STRING)) IN ('0000-00-00','0001-01-01','9999-12-31','MISS','00000','99999999999','99999999999.00','99999999999.000000'),1,0)) AS NUM_REG_DIF,'10' AS ID_EXEC, CURRENT_TIMESTAMP() AS TIME_EXEC FROM (SELECT entty_id, CNTRY FROM BU_LOANTAPE_WORK.LT003_ENTITY WHERE ref_date='${ref_date}' AND nome_perimetro='Individual Corporativo' AND segmento='ESTR' AND ambito='PILAR3')X</v>
      </c>
      <c r="M338" s="43" t="str">
        <f t="shared" si="5"/>
        <v>UNION ALL SELECT 'ENTITY' AS TABELA, 'MISSINGS' AS TIPOLOGIA_TESTE,'BU_LOANTAPE_WORK.LT003_ENTITY' AS TABELA_LT,'N/A' AS TABELA_SIMUL,'CNTRY' AS CAMPO, '${ref_date}' AS REF_DATE, COUNT(*) AS NUM_REG, SUM(IF(TRIM(CAST(X.CNTRY AS STRING)) IN ('0000-00-00','0001-01-01','9999-12-31','MISS','00000','99999999999','99999999999.00','99999999999.000000'),1,0)) AS NUM_REG_DIF,'10' AS ID_EXEC, CURRENT_TIMESTAMP() AS TIME_EXEC FROM (SELECT entty_id, CNTRY FROM BU_LOANTAPE_WORK.LT003_ENTITY WHERE ref_date='${ref_date}' AND nome_perimetro='Individual Corporativo' AND segmento='ESTR' AND ambito='PILAR3')X</v>
      </c>
      <c r="N338" s="45" t="s">
        <v>13</v>
      </c>
    </row>
    <row r="339" spans="2:14">
      <c r="B339" s="41" t="s">
        <v>23</v>
      </c>
      <c r="C339" s="41" t="s">
        <v>77</v>
      </c>
      <c r="D339" s="41" t="str">
        <f>+UPPER('0. Instruções'!$D$33&amp;"."&amp;VLOOKUP(B339,'0. Instruções'!$C$27:$D$31,2,FALSE))</f>
        <v>BU_LOANTAPE_WORK.LT003_ENTITY</v>
      </c>
      <c r="E339" s="41" t="str">
        <f>+UPPER('0. Instruções'!$D$34&amp;"."&amp;VLOOKUP(B339,'0. Instruções'!$C$27:$E$31,3,FALSE))</f>
        <v>BU_LOANTAPE_WORK.LT003_ENTTY_P3_NOV24</v>
      </c>
      <c r="F339" s="41" t="s">
        <v>156</v>
      </c>
      <c r="G339" s="41" t="s">
        <v>13</v>
      </c>
      <c r="H339" s="41"/>
      <c r="I339" s="41" t="str">
        <f>"(SELECT "&amp;VLOOKUP(B339,'0. Instruções'!$C$27:$G$31,4,FALSE)&amp;", "&amp;F339&amp;" FROM "&amp;D339&amp;" WHERE "&amp;'0. Instruções'!$D$40&amp;")X"</f>
        <v>(SELECT entty_id, DT_RFRNC FROM BU_LOANTAPE_WORK.LT003_ENTITY WHERE ref_date='${ref_date}' AND nome_perimetro='Individual Corporativo' AND segmento='ESTR' AND ambito='PILAR3')X</v>
      </c>
      <c r="J339" s="41" t="str">
        <f>"(SELECT "&amp;VLOOKUP(B339,'0. Instruções'!$C$27:$G$31,4,FALSE)&amp;" AS "&amp;VLOOKUP(B339,'0. Instruções'!$C$27:$G$31,4,FALSE)&amp;"_SIMUL, "&amp;F339&amp;" AS "&amp;F339&amp;"_SIMUL FROM "&amp;E339&amp;")Y"</f>
        <v>(SELECT entty_id AS entty_id_SIMUL, DT_RFRNC AS DT_RFRNC_SIMUL FROM BU_LOANTAPE_WORK.LT003_ENTTY_P3_NOV24)Y</v>
      </c>
      <c r="K339" s="42" t="str">
        <f>+UPPER("ON X."&amp;VLOOKUP(B339,'0. Instruções'!$C$27:$G$31,4,FALSE)&amp;"=Y."&amp;VLOOKUP(B339,'0. Instruções'!$C$27:$G$31,4,FALSE)&amp;"_SIMUL")</f>
        <v>ON X.ENTTY_ID=Y.ENTTY_ID_SIMUL</v>
      </c>
      <c r="L339" s="42" t="str">
        <f>+IF(C339="Coerência", +IF(LEFT(G339,5)="FLOAT","SELECT '"&amp;UPPER(B339)&amp;"' AS TABELA, '"&amp;UPPER(C339)&amp;"' AS TIPOLOGIA_TESTE,'"&amp;D339&amp;"' AS TABELA_LT,'"&amp;E339&amp;"' AS TABELA_SIMUL,'"&amp;F339&amp;"' AS CAMPO, "&amp;"'${ref_date}' AS REF_DATE, COUNT(*) AS NUM_REG, SUM(IF((ABS(COALESCE(X."&amp;F339&amp;",0)-COALESCE(Y."&amp;F339&amp;"_SIMUL,0))&gt;0.0000000001) OR (X."&amp;F339&amp;" IS NULL AND Y."&amp;F339&amp;"_SIMUL IS NOT NULL ) OR (X."&amp;F339&amp;" IS NOT NULL AND Y."&amp;F339&amp;"_SIMUL IS NULL),1,0)) AS NUM_REG_DIF,'"&amp;MAX('ID1&amp;5'!K:K)+1&amp;"' AS ID_EXEC, CURRENT_TIMESTAMP() AS TIME_EXEC FROM "&amp;I339&amp;" INNER JOIN "&amp;J339&amp;" "&amp;K339,"SELECT '"&amp;UPPER(B339)&amp;"' AS TABELA, '"&amp;UPPER(C339)&amp;"' AS TIPOLOGIA_TESTE,'"&amp;D339&amp;"' AS TABELA_LT,'"&amp;E339&amp;"' AS TABELA_SIMUL,'"&amp;F339&amp;"' AS CAMPO, "&amp;"'${ref_date}' AS REF_DATE, COUNT(*) AS NUM_REG, SUM(IF(COALESCE(CAST(X."&amp;F339&amp;" AS STRING),'')&lt;&gt;COALESCE(CAST(Y."&amp;F339&amp;"_SIMUL AS STRING),''),1,0)) AS NUM_REG_DIF,'"&amp;MAX('ID1&amp;5'!L:L)+1&amp;"' AS ID_EXEC, CURRENT_TIMESTAMP() AS TIME_EXEC FROM "&amp;I339&amp;" INNER JOIN "&amp;J339&amp;" "&amp;K339),
IF(C339="Validade",+IF(G339="Code List","SELECT '"&amp;UPPER(B339)&amp;"' AS TABELA, '"&amp;UPPER(C339)&amp;"' AS TIPOLOGIA_TESTE,'"&amp;D339&amp;"' AS TABELA_LT,'N/A' AS TABELA_SIMUL,'"&amp;F339&amp;"' AS CAMPO, "&amp;"'${ref_date}' AS REF_DATE, COUNT(*) AS NUM_REG, SUM(IF(TRIM(CAST(X."&amp;F339&amp;" AS STRING))='' OR TRIM(CAST(X."&amp;F339&amp;" AS STRING)) IS NULL OR CAST(X."&amp;F339&amp;" AS STRING) NOT "&amp;H339&amp;",1,0)) AS NUM_REG_DIF,'"&amp;MAX('ID1&amp;5'!K:K)+1&amp;"' AS ID_EXEC, CURRENT_TIMESTAMP() AS TIME_EXEC FROM "&amp;I339,"SELECT '"&amp;UPPER(B339)&amp;"' AS TABELA, '"&amp;UPPER(C339)&amp;"' AS TIPOLOGIA_TESTE,'"&amp;D339&amp;"' AS TABELA_LT,'N/A' AS TABELA_SIMUL,'"&amp;F339&amp;"' AS CAMPO, "&amp;"'${ref_date}' AS REF_DATE, COUNT(*) AS NUM_REG, SUM(IF(TRIM(CAST(X."&amp;F339&amp;" AS STRING))='' OR TRIM(CAST(X."&amp;F339&amp;" AS STRING)) IS NULL,1,0)) AS NUM_REG_DIF,'"&amp;MAX('ID1&amp;5'!K:K)+1&amp;"' AS ID_EXEC, CURRENT_TIMESTAMP() AS TIME_EXEC FROM "&amp;I339),
IF(C339="Caracteres Especiais",+"SELECT '"&amp;UPPER(B339)&amp;"' AS TABELA, '"&amp;UPPER(C339)&amp;"' AS TIPOLOGIA_TESTE,'"&amp;D339&amp;"' AS TABELA_LT,'N/A' AS TABELA_SIMUL,'"&amp;F339&amp;"' AS CAMPO, "&amp;"'${ref_date}' AS REF_DATE, COUNT(*) AS NUM_REG, SUM(IF(INSTR(CAST(X."&amp;F339&amp;" AS STRING),'#')&gt;0 OR INSTR(CAST(X."&amp;F339&amp;" AS STRING),'*')&gt;0 OR INSTR(CAST(X."&amp;F339&amp;" AS STRING),'`')&gt;0 OR INSTR(CAST(X."&amp;F339&amp;" AS STRING),'´')&gt;0 OR INSTR(CAST(X."&amp;F339&amp;" AS STRING),'{')&gt;0 OR INSTR(CAST(X."&amp;F339&amp;" AS STRING),'}')&gt;0 OR INSTR(CAST(X."&amp;F339&amp;" AS STRING),'[')&gt;0 OR INSTR(CAST(X."&amp;F339&amp;" AS STRING),'')&gt;0 OR INSTR(CAST(X."&amp;F339&amp;" AS STRING),']')&gt;0 OR INSTR(CAST(X."&amp;F339&amp;" AS STRING),'?')&gt;0 OR INSTR(CAST(X."&amp;F339&amp;" AS STRING),'!')&gt;0 OR INSTR(CAST(X."&amp;F339&amp;" AS STRING),'$')&gt;0 OR INSTR(CAST(X."&amp;F339&amp;" AS STRING),'%')&gt;0 OR INSTR(CAST(X."&amp;F339&amp;" AS STRING),'&amp;')&gt;0 OR INSTR(CAST(X."&amp;F339&amp;" AS STRING),'+')&gt;0,1,0)) AS NUM_REG_DIF,'"&amp;MAX('ID1&amp;5'!K:K)+1&amp;"' AS ID_EXEC, CURRENT_TIMESTAMP() AS TIME_EXEC FROM "&amp;I339,
IF(C339="Missings",+"SELECT '"&amp;UPPER(B339)&amp;"' AS TABELA, '"&amp;UPPER(C339)&amp;"' AS TIPOLOGIA_TESTE,'"&amp;D339&amp;"' AS TABELA_LT,'N/A' AS TABELA_SIMUL,'"&amp;F339&amp;"' AS CAMPO, "&amp;"'${ref_date}' AS REF_DATE, COUNT(*) AS NUM_REG, SUM(IF(TRIM(CAST(X."&amp;F339&amp;" AS STRING)) IN ('0000-00-00','0001-01-01','9999-12-31','MISS','00000','99999999999','99999999999.00','99999999999.000000'),1,0)) AS NUM_REG_DIF,'"&amp;MAX('ID1&amp;5'!K:K)+1&amp;"' AS ID_EXEC, CURRENT_TIMESTAMP() AS TIME_EXEC FROM "&amp;I339,
IF(C339="Not applicable",+"SELECT '"&amp;UPPER(B339)&amp;"' AS TABELA, '"&amp;UPPER(C339)&amp;"' AS TIPOLOGIA_TESTE,'"&amp;D339&amp;"' AS TABELA_LT,'N/A' AS TABELA_SIMUL,'"&amp;F339&amp;"' AS CAMPO, "&amp;"'${ref_date}' AS REF_DATE, COUNT(*) AS NUM_REG, SUM(IF(TRIM(CAST(X."&amp;F339&amp;" AS STRING)) IN ('N/A','11111111111','11111111111.00','11111111111.000000','1111-11-11'),1,0)) AS NUM_REG_DIF,'"&amp;MAX('ID1&amp;5'!K:K)+1&amp;"' AS ID_EXEC, CURRENT_TIMESTAMP() AS TIME_EXEC FROM "&amp;I339,
IF(C339="Valores extremos",+"SELECT '"&amp;UPPER(B339)&amp;"' AS TABELA, '"&amp;UPPER(C339)&amp;"' AS TIPOLOGIA_TESTE,'"&amp;D339&amp;"' AS TABELA_LT,'N/A' AS TABELA_SIMUL,'"&amp;F339&amp;"' AS CAMPO, "&amp;"'${ref_date}' AS REF_DATE, CAST(MIN("&amp;F339&amp;") AS STRING) AS VALOR_MIN, CAST(MAX("&amp;F339&amp;") AS STRING) AS VALOR_MAX,'"&amp;MAX('ID1&amp;5'!K:K)+1&amp;"' AS ID_EXEC, CURRENT_TIMESTAMP() AS TIME_EXEC FROM "&amp;MID(I339,1,LEN(I339)-2)&amp;" AND CAST("&amp;F339&amp;"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TABELA_SIMUL,'DT_RFRNC' AS CAMPO, '${ref_date}' AS REF_DATE, COUNT(*) AS NUM_REG, SUM(IF(TRIM(CAST(X.DT_RFRNC AS STRING)) IN ('0000-00-00','0001-01-01','9999-12-31','MISS','00000','99999999999','99999999999.00','99999999999.000000'),1,0)) AS NUM_REG_DIF,'10' AS ID_EXEC, CURRENT_TIMESTAMP() AS TIME_EXEC FROM (SELECT entty_id, DT_RFRNC FROM BU_LOANTAPE_WORK.LT003_ENTITY WHERE ref_date='${ref_date}' AND nome_perimetro='Individual Corporativo' AND segmento='ESTR' AND ambito='PILAR3')X</v>
      </c>
      <c r="M339" s="43" t="str">
        <f t="shared" si="5"/>
        <v>UNION ALL SELECT 'ENTITY' AS TABELA, 'MISSINGS' AS TIPOLOGIA_TESTE,'BU_LOANTAPE_WORK.LT003_ENTITY' AS TABELA_LT,'N/A' AS TABELA_SIMUL,'DT_RFRNC' AS CAMPO, '${ref_date}' AS REF_DATE, COUNT(*) AS NUM_REG, SUM(IF(TRIM(CAST(X.DT_RFRNC AS STRING)) IN ('0000-00-00','0001-01-01','9999-12-31','MISS','00000','99999999999','99999999999.00','99999999999.000000'),1,0)) AS NUM_REG_DIF,'10' AS ID_EXEC, CURRENT_TIMESTAMP() AS TIME_EXEC FROM (SELECT entty_id, DT_RFRNC FROM BU_LOANTAPE_WORK.LT003_ENTITY WHERE ref_date='${ref_date}' AND nome_perimetro='Individual Corporativo' AND segmento='ESTR' AND ambito='PILAR3')X</v>
      </c>
      <c r="N339" s="45" t="s">
        <v>13</v>
      </c>
    </row>
    <row r="340" spans="2:14">
      <c r="B340" s="41" t="s">
        <v>23</v>
      </c>
      <c r="C340" s="41" t="s">
        <v>77</v>
      </c>
      <c r="D340" s="41" t="str">
        <f>+UPPER('0. Instruções'!$D$33&amp;"."&amp;VLOOKUP(B340,'0. Instruções'!$C$27:$D$31,2,FALSE))</f>
        <v>BU_LOANTAPE_WORK.LT003_ENTITY</v>
      </c>
      <c r="E340" s="41" t="str">
        <f>+UPPER('0. Instruções'!$D$34&amp;"."&amp;VLOOKUP(B340,'0. Instruções'!$C$27:$E$31,3,FALSE))</f>
        <v>BU_LOANTAPE_WORK.LT003_ENTTY_P3_NOV24</v>
      </c>
      <c r="F340" s="41" t="s">
        <v>182</v>
      </c>
      <c r="G340" s="41" t="s">
        <v>13</v>
      </c>
      <c r="H340" s="41"/>
      <c r="I340" s="41" t="str">
        <f>"(SELECT "&amp;VLOOKUP(B340,'0. Instruções'!$C$27:$G$31,4,FALSE)&amp;", "&amp;F340&amp;" FROM "&amp;D340&amp;" WHERE "&amp;'0. Instruções'!$D$40&amp;")X"</f>
        <v>(SELECT entty_id, ENTTY_ID FROM BU_LOANTAPE_WORK.LT003_ENTITY WHERE ref_date='${ref_date}' AND nome_perimetro='Individual Corporativo' AND segmento='ESTR' AND ambito='PILAR3')X</v>
      </c>
      <c r="J340" s="41" t="str">
        <f>"(SELECT "&amp;VLOOKUP(B340,'0. Instruções'!$C$27:$G$31,4,FALSE)&amp;" AS "&amp;VLOOKUP(B340,'0. Instruções'!$C$27:$G$31,4,FALSE)&amp;"_SIMUL, "&amp;F340&amp;" AS "&amp;F340&amp;"_SIMUL FROM "&amp;E340&amp;")Y"</f>
        <v>(SELECT entty_id AS entty_id_SIMUL, ENTTY_ID AS ENTTY_ID_SIMUL FROM BU_LOANTAPE_WORK.LT003_ENTTY_P3_NOV24)Y</v>
      </c>
      <c r="K340" s="42" t="str">
        <f>+UPPER("ON X."&amp;VLOOKUP(B340,'0. Instruções'!$C$27:$G$31,4,FALSE)&amp;"=Y."&amp;VLOOKUP(B340,'0. Instruções'!$C$27:$G$31,4,FALSE)&amp;"_SIMUL")</f>
        <v>ON X.ENTTY_ID=Y.ENTTY_ID_SIMUL</v>
      </c>
      <c r="L340" s="42" t="str">
        <f>+IF(C340="Coerência", +IF(LEFT(G340,5)="FLOAT","SELECT '"&amp;UPPER(B340)&amp;"' AS TABELA, '"&amp;UPPER(C340)&amp;"' AS TIPOLOGIA_TESTE,'"&amp;D340&amp;"' AS TABELA_LT,'"&amp;E340&amp;"' AS TABELA_SIMUL,'"&amp;F340&amp;"' AS CAMPO, "&amp;"'${ref_date}' AS REF_DATE, COUNT(*) AS NUM_REG, SUM(IF((ABS(COALESCE(X."&amp;F340&amp;",0)-COALESCE(Y."&amp;F340&amp;"_SIMUL,0))&gt;0.0000000001) OR (X."&amp;F340&amp;" IS NULL AND Y."&amp;F340&amp;"_SIMUL IS NOT NULL ) OR (X."&amp;F340&amp;" IS NOT NULL AND Y."&amp;F340&amp;"_SIMUL IS NULL),1,0)) AS NUM_REG_DIF,'"&amp;MAX('ID1&amp;5'!K:K)+1&amp;"' AS ID_EXEC, CURRENT_TIMESTAMP() AS TIME_EXEC FROM "&amp;I340&amp;" INNER JOIN "&amp;J340&amp;" "&amp;K340,"SELECT '"&amp;UPPER(B340)&amp;"' AS TABELA, '"&amp;UPPER(C340)&amp;"' AS TIPOLOGIA_TESTE,'"&amp;D340&amp;"' AS TABELA_LT,'"&amp;E340&amp;"' AS TABELA_SIMUL,'"&amp;F340&amp;"' AS CAMPO, "&amp;"'${ref_date}' AS REF_DATE, COUNT(*) AS NUM_REG, SUM(IF(COALESCE(CAST(X."&amp;F340&amp;" AS STRING),'')&lt;&gt;COALESCE(CAST(Y."&amp;F340&amp;"_SIMUL AS STRING),''),1,0)) AS NUM_REG_DIF,'"&amp;MAX('ID1&amp;5'!L:L)+1&amp;"' AS ID_EXEC, CURRENT_TIMESTAMP() AS TIME_EXEC FROM "&amp;I340&amp;" INNER JOIN "&amp;J340&amp;" "&amp;K340),
IF(C340="Validade",+IF(G340="Code List","SELECT '"&amp;UPPER(B340)&amp;"' AS TABELA, '"&amp;UPPER(C340)&amp;"' AS TIPOLOGIA_TESTE,'"&amp;D340&amp;"' AS TABELA_LT,'N/A' AS TABELA_SIMUL,'"&amp;F340&amp;"' AS CAMPO, "&amp;"'${ref_date}' AS REF_DATE, COUNT(*) AS NUM_REG, SUM(IF(TRIM(CAST(X."&amp;F340&amp;" AS STRING))='' OR TRIM(CAST(X."&amp;F340&amp;" AS STRING)) IS NULL OR CAST(X."&amp;F340&amp;" AS STRING) NOT "&amp;H340&amp;",1,0)) AS NUM_REG_DIF,'"&amp;MAX('ID1&amp;5'!K:K)+1&amp;"' AS ID_EXEC, CURRENT_TIMESTAMP() AS TIME_EXEC FROM "&amp;I340,"SELECT '"&amp;UPPER(B340)&amp;"' AS TABELA, '"&amp;UPPER(C340)&amp;"' AS TIPOLOGIA_TESTE,'"&amp;D340&amp;"' AS TABELA_LT,'N/A' AS TABELA_SIMUL,'"&amp;F340&amp;"' AS CAMPO, "&amp;"'${ref_date}' AS REF_DATE, COUNT(*) AS NUM_REG, SUM(IF(TRIM(CAST(X."&amp;F340&amp;" AS STRING))='' OR TRIM(CAST(X."&amp;F340&amp;" AS STRING)) IS NULL,1,0)) AS NUM_REG_DIF,'"&amp;MAX('ID1&amp;5'!K:K)+1&amp;"' AS ID_EXEC, CURRENT_TIMESTAMP() AS TIME_EXEC FROM "&amp;I340),
IF(C340="Caracteres Especiais",+"SELECT '"&amp;UPPER(B340)&amp;"' AS TABELA, '"&amp;UPPER(C340)&amp;"' AS TIPOLOGIA_TESTE,'"&amp;D340&amp;"' AS TABELA_LT,'N/A' AS TABELA_SIMUL,'"&amp;F340&amp;"' AS CAMPO, "&amp;"'${ref_date}' AS REF_DATE, COUNT(*) AS NUM_REG, SUM(IF(INSTR(CAST(X."&amp;F340&amp;" AS STRING),'#')&gt;0 OR INSTR(CAST(X."&amp;F340&amp;" AS STRING),'*')&gt;0 OR INSTR(CAST(X."&amp;F340&amp;" AS STRING),'`')&gt;0 OR INSTR(CAST(X."&amp;F340&amp;" AS STRING),'´')&gt;0 OR INSTR(CAST(X."&amp;F340&amp;" AS STRING),'{')&gt;0 OR INSTR(CAST(X."&amp;F340&amp;" AS STRING),'}')&gt;0 OR INSTR(CAST(X."&amp;F340&amp;" AS STRING),'[')&gt;0 OR INSTR(CAST(X."&amp;F340&amp;" AS STRING),'')&gt;0 OR INSTR(CAST(X."&amp;F340&amp;" AS STRING),']')&gt;0 OR INSTR(CAST(X."&amp;F340&amp;" AS STRING),'?')&gt;0 OR INSTR(CAST(X."&amp;F340&amp;" AS STRING),'!')&gt;0 OR INSTR(CAST(X."&amp;F340&amp;" AS STRING),'$')&gt;0 OR INSTR(CAST(X."&amp;F340&amp;" AS STRING),'%')&gt;0 OR INSTR(CAST(X."&amp;F340&amp;" AS STRING),'&amp;')&gt;0 OR INSTR(CAST(X."&amp;F340&amp;" AS STRING),'+')&gt;0,1,0)) AS NUM_REG_DIF,'"&amp;MAX('ID1&amp;5'!K:K)+1&amp;"' AS ID_EXEC, CURRENT_TIMESTAMP() AS TIME_EXEC FROM "&amp;I340,
IF(C340="Missings",+"SELECT '"&amp;UPPER(B340)&amp;"' AS TABELA, '"&amp;UPPER(C340)&amp;"' AS TIPOLOGIA_TESTE,'"&amp;D340&amp;"' AS TABELA_LT,'N/A' AS TABELA_SIMUL,'"&amp;F340&amp;"' AS CAMPO, "&amp;"'${ref_date}' AS REF_DATE, COUNT(*) AS NUM_REG, SUM(IF(TRIM(CAST(X."&amp;F340&amp;" AS STRING)) IN ('0000-00-00','0001-01-01','9999-12-31','MISS','00000','99999999999','99999999999.00','99999999999.000000'),1,0)) AS NUM_REG_DIF,'"&amp;MAX('ID1&amp;5'!K:K)+1&amp;"' AS ID_EXEC, CURRENT_TIMESTAMP() AS TIME_EXEC FROM "&amp;I340,
IF(C340="Not applicable",+"SELECT '"&amp;UPPER(B340)&amp;"' AS TABELA, '"&amp;UPPER(C340)&amp;"' AS TIPOLOGIA_TESTE,'"&amp;D340&amp;"' AS TABELA_LT,'N/A' AS TABELA_SIMUL,'"&amp;F340&amp;"' AS CAMPO, "&amp;"'${ref_date}' AS REF_DATE, COUNT(*) AS NUM_REG, SUM(IF(TRIM(CAST(X."&amp;F340&amp;" AS STRING)) IN ('N/A','11111111111','11111111111.00','11111111111.000000','1111-11-11'),1,0)) AS NUM_REG_DIF,'"&amp;MAX('ID1&amp;5'!K:K)+1&amp;"' AS ID_EXEC, CURRENT_TIMESTAMP() AS TIME_EXEC FROM "&amp;I340,
IF(C340="Valores extremos",+"SELECT '"&amp;UPPER(B340)&amp;"' AS TABELA, '"&amp;UPPER(C340)&amp;"' AS TIPOLOGIA_TESTE,'"&amp;D340&amp;"' AS TABELA_LT,'N/A' AS TABELA_SIMUL,'"&amp;F340&amp;"' AS CAMPO, "&amp;"'${ref_date}' AS REF_DATE, CAST(MIN("&amp;F340&amp;") AS STRING) AS VALOR_MIN, CAST(MAX("&amp;F340&amp;") AS STRING) AS VALOR_MAX,'"&amp;MAX('ID1&amp;5'!K:K)+1&amp;"' AS ID_EXEC, CURRENT_TIMESTAMP() AS TIME_EXEC FROM "&amp;MID(I340,1,LEN(I340)-2)&amp;" AND CAST("&amp;F340&amp;"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TABELA_SIMUL,'ENTTY_ID' AS CAMPO, '${ref_date}' AS REF_DATE, COUNT(*) AS NUM_REG, SUM(IF(TRIM(CAST(X.ENTTY_ID AS STRING)) IN ('0000-00-00','0001-01-01','9999-12-31','MISS','00000','99999999999','99999999999.00','99999999999.000000'),1,0)) AS NUM_REG_DIF,'10' AS ID_EXEC, CURRENT_TIMESTAMP() AS TIME_EXEC FROM (SELECT entty_id, ENTTY_ID FROM BU_LOANTAPE_WORK.LT003_ENTITY WHERE ref_date='${ref_date}' AND nome_perimetro='Individual Corporativo' AND segmento='ESTR' AND ambito='PILAR3')X</v>
      </c>
      <c r="M340" s="43" t="str">
        <f t="shared" si="5"/>
        <v>UNION ALL SELECT 'ENTITY' AS TABELA, 'MISSINGS' AS TIPOLOGIA_TESTE,'BU_LOANTAPE_WORK.LT003_ENTITY' AS TABELA_LT,'N/A' AS TABELA_SIMUL,'ENTTY_ID' AS CAMPO, '${ref_date}' AS REF_DATE, COUNT(*) AS NUM_REG, SUM(IF(TRIM(CAST(X.ENTTY_ID AS STRING)) IN ('0000-00-00','0001-01-01','9999-12-31','MISS','00000','99999999999','99999999999.00','99999999999.000000'),1,0)) AS NUM_REG_DIF,'10' AS ID_EXEC, CURRENT_TIMESTAMP() AS TIME_EXEC FROM (SELECT entty_id, ENTTY_ID FROM BU_LOANTAPE_WORK.LT003_ENTITY WHERE ref_date='${ref_date}' AND nome_perimetro='Individual Corporativo' AND segmento='ESTR' AND ambito='PILAR3')X</v>
      </c>
      <c r="N340" s="45" t="s">
        <v>13</v>
      </c>
    </row>
    <row r="341" spans="2:14">
      <c r="B341" s="41" t="s">
        <v>23</v>
      </c>
      <c r="C341" s="41" t="s">
        <v>77</v>
      </c>
      <c r="D341" s="41" t="str">
        <f>+UPPER('0. Instruções'!$D$33&amp;"."&amp;VLOOKUP(B341,'0. Instruções'!$C$27:$D$31,2,FALSE))</f>
        <v>BU_LOANTAPE_WORK.LT003_ENTITY</v>
      </c>
      <c r="E341" s="41" t="str">
        <f>+UPPER('0. Instruções'!$D$34&amp;"."&amp;VLOOKUP(B341,'0. Instruções'!$C$27:$E$31,3,FALSE))</f>
        <v>BU_LOANTAPE_WORK.LT003_ENTTY_P3_NOV24</v>
      </c>
      <c r="F341" s="41" t="s">
        <v>183</v>
      </c>
      <c r="G341" s="41" t="s">
        <v>13</v>
      </c>
      <c r="H341" s="41"/>
      <c r="I341" s="41" t="str">
        <f>"(SELECT "&amp;VLOOKUP(B341,'0. Instruções'!$C$27:$G$31,4,FALSE)&amp;", "&amp;F341&amp;" FROM "&amp;D341&amp;" WHERE "&amp;'0. Instruções'!$D$40&amp;")X"</f>
        <v>(SELECT entty_id, LEI FROM BU_LOANTAPE_WORK.LT003_ENTITY WHERE ref_date='${ref_date}' AND nome_perimetro='Individual Corporativo' AND segmento='ESTR' AND ambito='PILAR3')X</v>
      </c>
      <c r="J341" s="41" t="str">
        <f>"(SELECT "&amp;VLOOKUP(B341,'0. Instruções'!$C$27:$G$31,4,FALSE)&amp;" AS "&amp;VLOOKUP(B341,'0. Instruções'!$C$27:$G$31,4,FALSE)&amp;"_SIMUL, "&amp;F341&amp;" AS "&amp;F341&amp;"_SIMUL FROM "&amp;E341&amp;")Y"</f>
        <v>(SELECT entty_id AS entty_id_SIMUL, LEI AS LEI_SIMUL FROM BU_LOANTAPE_WORK.LT003_ENTTY_P3_NOV24)Y</v>
      </c>
      <c r="K341" s="42" t="str">
        <f>+UPPER("ON X."&amp;VLOOKUP(B341,'0. Instruções'!$C$27:$G$31,4,FALSE)&amp;"=Y."&amp;VLOOKUP(B341,'0. Instruções'!$C$27:$G$31,4,FALSE)&amp;"_SIMUL")</f>
        <v>ON X.ENTTY_ID=Y.ENTTY_ID_SIMUL</v>
      </c>
      <c r="L341" s="42" t="str">
        <f>+IF(C341="Coerência", +IF(LEFT(G341,5)="FLOAT","SELECT '"&amp;UPPER(B341)&amp;"' AS TABELA, '"&amp;UPPER(C341)&amp;"' AS TIPOLOGIA_TESTE,'"&amp;D341&amp;"' AS TABELA_LT,'"&amp;E341&amp;"' AS TABELA_SIMUL,'"&amp;F341&amp;"' AS CAMPO, "&amp;"'${ref_date}' AS REF_DATE, COUNT(*) AS NUM_REG, SUM(IF((ABS(COALESCE(X."&amp;F341&amp;",0)-COALESCE(Y."&amp;F341&amp;"_SIMUL,0))&gt;0.0000000001) OR (X."&amp;F341&amp;" IS NULL AND Y."&amp;F341&amp;"_SIMUL IS NOT NULL ) OR (X."&amp;F341&amp;" IS NOT NULL AND Y."&amp;F341&amp;"_SIMUL IS NULL),1,0)) AS NUM_REG_DIF,'"&amp;MAX('ID1&amp;5'!K:K)+1&amp;"' AS ID_EXEC, CURRENT_TIMESTAMP() AS TIME_EXEC FROM "&amp;I341&amp;" INNER JOIN "&amp;J341&amp;" "&amp;K341,"SELECT '"&amp;UPPER(B341)&amp;"' AS TABELA, '"&amp;UPPER(C341)&amp;"' AS TIPOLOGIA_TESTE,'"&amp;D341&amp;"' AS TABELA_LT,'"&amp;E341&amp;"' AS TABELA_SIMUL,'"&amp;F341&amp;"' AS CAMPO, "&amp;"'${ref_date}' AS REF_DATE, COUNT(*) AS NUM_REG, SUM(IF(COALESCE(CAST(X."&amp;F341&amp;" AS STRING),'')&lt;&gt;COALESCE(CAST(Y."&amp;F341&amp;"_SIMUL AS STRING),''),1,0)) AS NUM_REG_DIF,'"&amp;MAX('ID1&amp;5'!L:L)+1&amp;"' AS ID_EXEC, CURRENT_TIMESTAMP() AS TIME_EXEC FROM "&amp;I341&amp;" INNER JOIN "&amp;J341&amp;" "&amp;K341),
IF(C341="Validade",+IF(G341="Code List","SELECT '"&amp;UPPER(B341)&amp;"' AS TABELA, '"&amp;UPPER(C341)&amp;"' AS TIPOLOGIA_TESTE,'"&amp;D341&amp;"' AS TABELA_LT,'N/A' AS TABELA_SIMUL,'"&amp;F341&amp;"' AS CAMPO, "&amp;"'${ref_date}' AS REF_DATE, COUNT(*) AS NUM_REG, SUM(IF(TRIM(CAST(X."&amp;F341&amp;" AS STRING))='' OR TRIM(CAST(X."&amp;F341&amp;" AS STRING)) IS NULL OR CAST(X."&amp;F341&amp;" AS STRING) NOT "&amp;H341&amp;",1,0)) AS NUM_REG_DIF,'"&amp;MAX('ID1&amp;5'!K:K)+1&amp;"' AS ID_EXEC, CURRENT_TIMESTAMP() AS TIME_EXEC FROM "&amp;I341,"SELECT '"&amp;UPPER(B341)&amp;"' AS TABELA, '"&amp;UPPER(C341)&amp;"' AS TIPOLOGIA_TESTE,'"&amp;D341&amp;"' AS TABELA_LT,'N/A' AS TABELA_SIMUL,'"&amp;F341&amp;"' AS CAMPO, "&amp;"'${ref_date}' AS REF_DATE, COUNT(*) AS NUM_REG, SUM(IF(TRIM(CAST(X."&amp;F341&amp;" AS STRING))='' OR TRIM(CAST(X."&amp;F341&amp;" AS STRING)) IS NULL,1,0)) AS NUM_REG_DIF,'"&amp;MAX('ID1&amp;5'!K:K)+1&amp;"' AS ID_EXEC, CURRENT_TIMESTAMP() AS TIME_EXEC FROM "&amp;I341),
IF(C341="Caracteres Especiais",+"SELECT '"&amp;UPPER(B341)&amp;"' AS TABELA, '"&amp;UPPER(C341)&amp;"' AS TIPOLOGIA_TESTE,'"&amp;D341&amp;"' AS TABELA_LT,'N/A' AS TABELA_SIMUL,'"&amp;F341&amp;"' AS CAMPO, "&amp;"'${ref_date}' AS REF_DATE, COUNT(*) AS NUM_REG, SUM(IF(INSTR(CAST(X."&amp;F341&amp;" AS STRING),'#')&gt;0 OR INSTR(CAST(X."&amp;F341&amp;" AS STRING),'*')&gt;0 OR INSTR(CAST(X."&amp;F341&amp;" AS STRING),'`')&gt;0 OR INSTR(CAST(X."&amp;F341&amp;" AS STRING),'´')&gt;0 OR INSTR(CAST(X."&amp;F341&amp;" AS STRING),'{')&gt;0 OR INSTR(CAST(X."&amp;F341&amp;" AS STRING),'}')&gt;0 OR INSTR(CAST(X."&amp;F341&amp;" AS STRING),'[')&gt;0 OR INSTR(CAST(X."&amp;F341&amp;" AS STRING),'')&gt;0 OR INSTR(CAST(X."&amp;F341&amp;" AS STRING),']')&gt;0 OR INSTR(CAST(X."&amp;F341&amp;" AS STRING),'?')&gt;0 OR INSTR(CAST(X."&amp;F341&amp;" AS STRING),'!')&gt;0 OR INSTR(CAST(X."&amp;F341&amp;" AS STRING),'$')&gt;0 OR INSTR(CAST(X."&amp;F341&amp;" AS STRING),'%')&gt;0 OR INSTR(CAST(X."&amp;F341&amp;" AS STRING),'&amp;')&gt;0 OR INSTR(CAST(X."&amp;F341&amp;" AS STRING),'+')&gt;0,1,0)) AS NUM_REG_DIF,'"&amp;MAX('ID1&amp;5'!K:K)+1&amp;"' AS ID_EXEC, CURRENT_TIMESTAMP() AS TIME_EXEC FROM "&amp;I341,
IF(C341="Missings",+"SELECT '"&amp;UPPER(B341)&amp;"' AS TABELA, '"&amp;UPPER(C341)&amp;"' AS TIPOLOGIA_TESTE,'"&amp;D341&amp;"' AS TABELA_LT,'N/A' AS TABELA_SIMUL,'"&amp;F341&amp;"' AS CAMPO, "&amp;"'${ref_date}' AS REF_DATE, COUNT(*) AS NUM_REG, SUM(IF(TRIM(CAST(X."&amp;F341&amp;" AS STRING)) IN ('0000-00-00','0001-01-01','9999-12-31','MISS','00000','99999999999','99999999999.00','99999999999.000000'),1,0)) AS NUM_REG_DIF,'"&amp;MAX('ID1&amp;5'!K:K)+1&amp;"' AS ID_EXEC, CURRENT_TIMESTAMP() AS TIME_EXEC FROM "&amp;I341,
IF(C341="Not applicable",+"SELECT '"&amp;UPPER(B341)&amp;"' AS TABELA, '"&amp;UPPER(C341)&amp;"' AS TIPOLOGIA_TESTE,'"&amp;D341&amp;"' AS TABELA_LT,'N/A' AS TABELA_SIMUL,'"&amp;F341&amp;"' AS CAMPO, "&amp;"'${ref_date}' AS REF_DATE, COUNT(*) AS NUM_REG, SUM(IF(TRIM(CAST(X."&amp;F341&amp;" AS STRING)) IN ('N/A','11111111111','11111111111.00','11111111111.000000','1111-11-11'),1,0)) AS NUM_REG_DIF,'"&amp;MAX('ID1&amp;5'!K:K)+1&amp;"' AS ID_EXEC, CURRENT_TIMESTAMP() AS TIME_EXEC FROM "&amp;I341,
IF(C341="Valores extremos",+"SELECT '"&amp;UPPER(B341)&amp;"' AS TABELA, '"&amp;UPPER(C341)&amp;"' AS TIPOLOGIA_TESTE,'"&amp;D341&amp;"' AS TABELA_LT,'N/A' AS TABELA_SIMUL,'"&amp;F341&amp;"' AS CAMPO, "&amp;"'${ref_date}' AS REF_DATE, CAST(MIN("&amp;F341&amp;") AS STRING) AS VALOR_MIN, CAST(MAX("&amp;F341&amp;") AS STRING) AS VALOR_MAX,'"&amp;MAX('ID1&amp;5'!K:K)+1&amp;"' AS ID_EXEC, CURRENT_TIMESTAMP() AS TIME_EXEC FROM "&amp;MID(I341,1,LEN(I341)-2)&amp;" AND CAST("&amp;F341&amp;"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TABELA_SIMUL,'LEI' AS CAMPO, '${ref_date}' AS REF_DATE, COUNT(*) AS NUM_REG, SUM(IF(TRIM(CAST(X.LEI AS STRING)) IN ('0000-00-00','0001-01-01','9999-12-31','MISS','00000','99999999999','99999999999.00','99999999999.000000'),1,0)) AS NUM_REG_DIF,'10' AS ID_EXEC, CURRENT_TIMESTAMP() AS TIME_EXEC FROM (SELECT entty_id, LEI FROM BU_LOANTAPE_WORK.LT003_ENTITY WHERE ref_date='${ref_date}' AND nome_perimetro='Individual Corporativo' AND segmento='ESTR' AND ambito='PILAR3')X</v>
      </c>
      <c r="M341" s="43" t="str">
        <f t="shared" si="5"/>
        <v>UNION ALL SELECT 'ENTITY' AS TABELA, 'MISSINGS' AS TIPOLOGIA_TESTE,'BU_LOANTAPE_WORK.LT003_ENTITY' AS TABELA_LT,'N/A' AS TABELA_SIMUL,'LEI' AS CAMPO, '${ref_date}' AS REF_DATE, COUNT(*) AS NUM_REG, SUM(IF(TRIM(CAST(X.LEI AS STRING)) IN ('0000-00-00','0001-01-01','9999-12-31','MISS','00000','99999999999','99999999999.00','99999999999.000000'),1,0)) AS NUM_REG_DIF,'10' AS ID_EXEC, CURRENT_TIMESTAMP() AS TIME_EXEC FROM (SELECT entty_id, LEI FROM BU_LOANTAPE_WORK.LT003_ENTITY WHERE ref_date='${ref_date}' AND nome_perimetro='Individual Corporativo' AND segmento='ESTR' AND ambito='PILAR3')X</v>
      </c>
      <c r="N341" s="45" t="s">
        <v>13</v>
      </c>
    </row>
    <row r="342" spans="2:14">
      <c r="B342" s="41" t="s">
        <v>23</v>
      </c>
      <c r="C342" s="41" t="s">
        <v>77</v>
      </c>
      <c r="D342" s="41" t="str">
        <f>+UPPER('0. Instruções'!$D$33&amp;"."&amp;VLOOKUP(B342,'0. Instruções'!$C$27:$D$31,2,FALSE))</f>
        <v>BU_LOANTAPE_WORK.LT003_ENTITY</v>
      </c>
      <c r="E342" s="41" t="str">
        <f>+UPPER('0. Instruções'!$D$34&amp;"."&amp;VLOOKUP(B342,'0. Instruções'!$C$27:$E$31,3,FALSE))</f>
        <v>BU_LOANTAPE_WORK.LT003_ENTTY_P3_NOV24</v>
      </c>
      <c r="F342" s="41" t="s">
        <v>184</v>
      </c>
      <c r="G342" s="41" t="s">
        <v>13</v>
      </c>
      <c r="H342" s="41"/>
      <c r="I342" s="41" t="str">
        <f>"(SELECT "&amp;VLOOKUP(B342,'0. Instruções'!$C$27:$G$31,4,FALSE)&amp;", "&amp;F342&amp;" FROM "&amp;D342&amp;" WHERE "&amp;'0. Instruções'!$D$40&amp;")X"</f>
        <v>(SELECT entty_id, ECNMC_ACTVTY FROM BU_LOANTAPE_WORK.LT003_ENTITY WHERE ref_date='${ref_date}' AND nome_perimetro='Individual Corporativo' AND segmento='ESTR' AND ambito='PILAR3')X</v>
      </c>
      <c r="J342" s="41" t="str">
        <f>"(SELECT "&amp;VLOOKUP(B342,'0. Instruções'!$C$27:$G$31,4,FALSE)&amp;" AS "&amp;VLOOKUP(B342,'0. Instruções'!$C$27:$G$31,4,FALSE)&amp;"_SIMUL, "&amp;F342&amp;" AS "&amp;F342&amp;"_SIMUL FROM "&amp;E342&amp;")Y"</f>
        <v>(SELECT entty_id AS entty_id_SIMUL, ECNMC_ACTVTY AS ECNMC_ACTVTY_SIMUL FROM BU_LOANTAPE_WORK.LT003_ENTTY_P3_NOV24)Y</v>
      </c>
      <c r="K342" s="42" t="str">
        <f>+UPPER("ON X."&amp;VLOOKUP(B342,'0. Instruções'!$C$27:$G$31,4,FALSE)&amp;"=Y."&amp;VLOOKUP(B342,'0. Instruções'!$C$27:$G$31,4,FALSE)&amp;"_SIMUL")</f>
        <v>ON X.ENTTY_ID=Y.ENTTY_ID_SIMUL</v>
      </c>
      <c r="L342" s="42" t="str">
        <f>+IF(C342="Coerência", +IF(LEFT(G342,5)="FLOAT","SELECT '"&amp;UPPER(B342)&amp;"' AS TABELA, '"&amp;UPPER(C342)&amp;"' AS TIPOLOGIA_TESTE,'"&amp;D342&amp;"' AS TABELA_LT,'"&amp;E342&amp;"' AS TABELA_SIMUL,'"&amp;F342&amp;"' AS CAMPO, "&amp;"'${ref_date}' AS REF_DATE, COUNT(*) AS NUM_REG, SUM(IF((ABS(COALESCE(X."&amp;F342&amp;",0)-COALESCE(Y."&amp;F342&amp;"_SIMUL,0))&gt;0.0000000001) OR (X."&amp;F342&amp;" IS NULL AND Y."&amp;F342&amp;"_SIMUL IS NOT NULL ) OR (X."&amp;F342&amp;" IS NOT NULL AND Y."&amp;F342&amp;"_SIMUL IS NULL),1,0)) AS NUM_REG_DIF,'"&amp;MAX('ID1&amp;5'!K:K)+1&amp;"' AS ID_EXEC, CURRENT_TIMESTAMP() AS TIME_EXEC FROM "&amp;I342&amp;" INNER JOIN "&amp;J342&amp;" "&amp;K342,"SELECT '"&amp;UPPER(B342)&amp;"' AS TABELA, '"&amp;UPPER(C342)&amp;"' AS TIPOLOGIA_TESTE,'"&amp;D342&amp;"' AS TABELA_LT,'"&amp;E342&amp;"' AS TABELA_SIMUL,'"&amp;F342&amp;"' AS CAMPO, "&amp;"'${ref_date}' AS REF_DATE, COUNT(*) AS NUM_REG, SUM(IF(COALESCE(CAST(X."&amp;F342&amp;" AS STRING),'')&lt;&gt;COALESCE(CAST(Y."&amp;F342&amp;"_SIMUL AS STRING),''),1,0)) AS NUM_REG_DIF,'"&amp;MAX('ID1&amp;5'!L:L)+1&amp;"' AS ID_EXEC, CURRENT_TIMESTAMP() AS TIME_EXEC FROM "&amp;I342&amp;" INNER JOIN "&amp;J342&amp;" "&amp;K342),
IF(C342="Validade",+IF(G342="Code List","SELECT '"&amp;UPPER(B342)&amp;"' AS TABELA, '"&amp;UPPER(C342)&amp;"' AS TIPOLOGIA_TESTE,'"&amp;D342&amp;"' AS TABELA_LT,'N/A' AS TABELA_SIMUL,'"&amp;F342&amp;"' AS CAMPO, "&amp;"'${ref_date}' AS REF_DATE, COUNT(*) AS NUM_REG, SUM(IF(TRIM(CAST(X."&amp;F342&amp;" AS STRING))='' OR TRIM(CAST(X."&amp;F342&amp;" AS STRING)) IS NULL OR CAST(X."&amp;F342&amp;" AS STRING) NOT "&amp;H342&amp;",1,0)) AS NUM_REG_DIF,'"&amp;MAX('ID1&amp;5'!K:K)+1&amp;"' AS ID_EXEC, CURRENT_TIMESTAMP() AS TIME_EXEC FROM "&amp;I342,"SELECT '"&amp;UPPER(B342)&amp;"' AS TABELA, '"&amp;UPPER(C342)&amp;"' AS TIPOLOGIA_TESTE,'"&amp;D342&amp;"' AS TABELA_LT,'N/A' AS TABELA_SIMUL,'"&amp;F342&amp;"' AS CAMPO, "&amp;"'${ref_date}' AS REF_DATE, COUNT(*) AS NUM_REG, SUM(IF(TRIM(CAST(X."&amp;F342&amp;" AS STRING))='' OR TRIM(CAST(X."&amp;F342&amp;" AS STRING)) IS NULL,1,0)) AS NUM_REG_DIF,'"&amp;MAX('ID1&amp;5'!K:K)+1&amp;"' AS ID_EXEC, CURRENT_TIMESTAMP() AS TIME_EXEC FROM "&amp;I342),
IF(C342="Caracteres Especiais",+"SELECT '"&amp;UPPER(B342)&amp;"' AS TABELA, '"&amp;UPPER(C342)&amp;"' AS TIPOLOGIA_TESTE,'"&amp;D342&amp;"' AS TABELA_LT,'N/A' AS TABELA_SIMUL,'"&amp;F342&amp;"' AS CAMPO, "&amp;"'${ref_date}' AS REF_DATE, COUNT(*) AS NUM_REG, SUM(IF(INSTR(CAST(X."&amp;F342&amp;" AS STRING),'#')&gt;0 OR INSTR(CAST(X."&amp;F342&amp;" AS STRING),'*')&gt;0 OR INSTR(CAST(X."&amp;F342&amp;" AS STRING),'`')&gt;0 OR INSTR(CAST(X."&amp;F342&amp;" AS STRING),'´')&gt;0 OR INSTR(CAST(X."&amp;F342&amp;" AS STRING),'{')&gt;0 OR INSTR(CAST(X."&amp;F342&amp;" AS STRING),'}')&gt;0 OR INSTR(CAST(X."&amp;F342&amp;" AS STRING),'[')&gt;0 OR INSTR(CAST(X."&amp;F342&amp;" AS STRING),'')&gt;0 OR INSTR(CAST(X."&amp;F342&amp;" AS STRING),']')&gt;0 OR INSTR(CAST(X."&amp;F342&amp;" AS STRING),'?')&gt;0 OR INSTR(CAST(X."&amp;F342&amp;" AS STRING),'!')&gt;0 OR INSTR(CAST(X."&amp;F342&amp;" AS STRING),'$')&gt;0 OR INSTR(CAST(X."&amp;F342&amp;" AS STRING),'%')&gt;0 OR INSTR(CAST(X."&amp;F342&amp;" AS STRING),'&amp;')&gt;0 OR INSTR(CAST(X."&amp;F342&amp;" AS STRING),'+')&gt;0,1,0)) AS NUM_REG_DIF,'"&amp;MAX('ID1&amp;5'!K:K)+1&amp;"' AS ID_EXEC, CURRENT_TIMESTAMP() AS TIME_EXEC FROM "&amp;I342,
IF(C342="Missings",+"SELECT '"&amp;UPPER(B342)&amp;"' AS TABELA, '"&amp;UPPER(C342)&amp;"' AS TIPOLOGIA_TESTE,'"&amp;D342&amp;"' AS TABELA_LT,'N/A' AS TABELA_SIMUL,'"&amp;F342&amp;"' AS CAMPO, "&amp;"'${ref_date}' AS REF_DATE, COUNT(*) AS NUM_REG, SUM(IF(TRIM(CAST(X."&amp;F342&amp;" AS STRING)) IN ('0000-00-00','0001-01-01','9999-12-31','MISS','00000','99999999999','99999999999.00','99999999999.000000'),1,0)) AS NUM_REG_DIF,'"&amp;MAX('ID1&amp;5'!K:K)+1&amp;"' AS ID_EXEC, CURRENT_TIMESTAMP() AS TIME_EXEC FROM "&amp;I342,
IF(C342="Not applicable",+"SELECT '"&amp;UPPER(B342)&amp;"' AS TABELA, '"&amp;UPPER(C342)&amp;"' AS TIPOLOGIA_TESTE,'"&amp;D342&amp;"' AS TABELA_LT,'N/A' AS TABELA_SIMUL,'"&amp;F342&amp;"' AS CAMPO, "&amp;"'${ref_date}' AS REF_DATE, COUNT(*) AS NUM_REG, SUM(IF(TRIM(CAST(X."&amp;F342&amp;" AS STRING)) IN ('N/A','11111111111','11111111111.00','11111111111.000000','1111-11-11'),1,0)) AS NUM_REG_DIF,'"&amp;MAX('ID1&amp;5'!K:K)+1&amp;"' AS ID_EXEC, CURRENT_TIMESTAMP() AS TIME_EXEC FROM "&amp;I342,
IF(C342="Valores extremos",+"SELECT '"&amp;UPPER(B342)&amp;"' AS TABELA, '"&amp;UPPER(C342)&amp;"' AS TIPOLOGIA_TESTE,'"&amp;D342&amp;"' AS TABELA_LT,'N/A' AS TABELA_SIMUL,'"&amp;F342&amp;"' AS CAMPO, "&amp;"'${ref_date}' AS REF_DATE, CAST(MIN("&amp;F342&amp;") AS STRING) AS VALOR_MIN, CAST(MAX("&amp;F342&amp;") AS STRING) AS VALOR_MAX,'"&amp;MAX('ID1&amp;5'!K:K)+1&amp;"' AS ID_EXEC, CURRENT_TIMESTAMP() AS TIME_EXEC FROM "&amp;MID(I342,1,LEN(I342)-2)&amp;" AND CAST("&amp;F342&amp;"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TABELA_SIMUL,'ECNMC_ACTVTY' AS CAMPO, '${ref_date}' AS REF_DATE, COUNT(*) AS NUM_REG, SUM(IF(TRIM(CAST(X.ECNMC_ACTVTY AS STRING)) IN ('0000-00-00','0001-01-01','9999-12-31','MISS','00000','99999999999','99999999999.00','99999999999.000000'),1,0)) AS NUM_REG_DIF,'10' AS ID_EXEC, CURRENT_TIMESTAMP() AS TIME_EXEC FROM (SELECT entty_id, ECNMC_ACTVTY FROM BU_LOANTAPE_WORK.LT003_ENTITY WHERE ref_date='${ref_date}' AND nome_perimetro='Individual Corporativo' AND segmento='ESTR' AND ambito='PILAR3')X</v>
      </c>
      <c r="M342" s="43" t="str">
        <f t="shared" si="5"/>
        <v>UNION ALL SELECT 'ENTITY' AS TABELA, 'MISSINGS' AS TIPOLOGIA_TESTE,'BU_LOANTAPE_WORK.LT003_ENTITY' AS TABELA_LT,'N/A' AS TABELA_SIMUL,'ECNMC_ACTVTY' AS CAMPO, '${ref_date}' AS REF_DATE, COUNT(*) AS NUM_REG, SUM(IF(TRIM(CAST(X.ECNMC_ACTVTY AS STRING)) IN ('0000-00-00','0001-01-01','9999-12-31','MISS','00000','99999999999','99999999999.00','99999999999.000000'),1,0)) AS NUM_REG_DIF,'10' AS ID_EXEC, CURRENT_TIMESTAMP() AS TIME_EXEC FROM (SELECT entty_id, ECNMC_ACTVTY FROM BU_LOANTAPE_WORK.LT003_ENTITY WHERE ref_date='${ref_date}' AND nome_perimetro='Individual Corporativo' AND segmento='ESTR' AND ambito='PILAR3')X</v>
      </c>
      <c r="N342" s="45" t="s">
        <v>13</v>
      </c>
    </row>
    <row r="343" spans="2:14">
      <c r="B343" s="41" t="s">
        <v>23</v>
      </c>
      <c r="C343" s="41" t="s">
        <v>77</v>
      </c>
      <c r="D343" s="41" t="str">
        <f>+UPPER('0. Instruções'!$D$33&amp;"."&amp;VLOOKUP(B343,'0. Instruções'!$C$27:$D$31,2,FALSE))</f>
        <v>BU_LOANTAPE_WORK.LT003_ENTITY</v>
      </c>
      <c r="E343" s="41" t="str">
        <f>+UPPER('0. Instruções'!$D$34&amp;"."&amp;VLOOKUP(B343,'0. Instruções'!$C$27:$E$31,3,FALSE))</f>
        <v>BU_LOANTAPE_WORK.LT003_ENTTY_P3_NOV24</v>
      </c>
      <c r="F343" s="41" t="s">
        <v>185</v>
      </c>
      <c r="G343" s="41" t="s">
        <v>13</v>
      </c>
      <c r="H343" s="41"/>
      <c r="I343" s="41" t="str">
        <f>"(SELECT "&amp;VLOOKUP(B343,'0. Instruções'!$C$27:$G$31,4,FALSE)&amp;", "&amp;F343&amp;" FROM "&amp;D343&amp;" WHERE "&amp;'0. Instruções'!$D$40&amp;")X"</f>
        <v>(SELECT entty_id, GRP_EQTY FROM BU_LOANTAPE_WORK.LT003_ENTITY WHERE ref_date='${ref_date}' AND nome_perimetro='Individual Corporativo' AND segmento='ESTR' AND ambito='PILAR3')X</v>
      </c>
      <c r="J343" s="41" t="str">
        <f>"(SELECT "&amp;VLOOKUP(B343,'0. Instruções'!$C$27:$G$31,4,FALSE)&amp;" AS "&amp;VLOOKUP(B343,'0. Instruções'!$C$27:$G$31,4,FALSE)&amp;"_SIMUL, "&amp;F343&amp;" AS "&amp;F343&amp;"_SIMUL FROM "&amp;E343&amp;")Y"</f>
        <v>(SELECT entty_id AS entty_id_SIMUL, GRP_EQTY AS GRP_EQTY_SIMUL FROM BU_LOANTAPE_WORK.LT003_ENTTY_P3_NOV24)Y</v>
      </c>
      <c r="K343" s="42" t="str">
        <f>+UPPER("ON X."&amp;VLOOKUP(B343,'0. Instruções'!$C$27:$G$31,4,FALSE)&amp;"=Y."&amp;VLOOKUP(B343,'0. Instruções'!$C$27:$G$31,4,FALSE)&amp;"_SIMUL")</f>
        <v>ON X.ENTTY_ID=Y.ENTTY_ID_SIMUL</v>
      </c>
      <c r="L343" s="42" t="str">
        <f>+IF(C343="Coerência", +IF(LEFT(G343,5)="FLOAT","SELECT '"&amp;UPPER(B343)&amp;"' AS TABELA, '"&amp;UPPER(C343)&amp;"' AS TIPOLOGIA_TESTE,'"&amp;D343&amp;"' AS TABELA_LT,'"&amp;E343&amp;"' AS TABELA_SIMUL,'"&amp;F343&amp;"' AS CAMPO, "&amp;"'${ref_date}' AS REF_DATE, COUNT(*) AS NUM_REG, SUM(IF((ABS(COALESCE(X."&amp;F343&amp;",0)-COALESCE(Y."&amp;F343&amp;"_SIMUL,0))&gt;0.0000000001) OR (X."&amp;F343&amp;" IS NULL AND Y."&amp;F343&amp;"_SIMUL IS NOT NULL ) OR (X."&amp;F343&amp;" IS NOT NULL AND Y."&amp;F343&amp;"_SIMUL IS NULL),1,0)) AS NUM_REG_DIF,'"&amp;MAX('ID1&amp;5'!K:K)+1&amp;"' AS ID_EXEC, CURRENT_TIMESTAMP() AS TIME_EXEC FROM "&amp;I343&amp;" INNER JOIN "&amp;J343&amp;" "&amp;K343,"SELECT '"&amp;UPPER(B343)&amp;"' AS TABELA, '"&amp;UPPER(C343)&amp;"' AS TIPOLOGIA_TESTE,'"&amp;D343&amp;"' AS TABELA_LT,'"&amp;E343&amp;"' AS TABELA_SIMUL,'"&amp;F343&amp;"' AS CAMPO, "&amp;"'${ref_date}' AS REF_DATE, COUNT(*) AS NUM_REG, SUM(IF(COALESCE(CAST(X."&amp;F343&amp;" AS STRING),'')&lt;&gt;COALESCE(CAST(Y."&amp;F343&amp;"_SIMUL AS STRING),''),1,0)) AS NUM_REG_DIF,'"&amp;MAX('ID1&amp;5'!L:L)+1&amp;"' AS ID_EXEC, CURRENT_TIMESTAMP() AS TIME_EXEC FROM "&amp;I343&amp;" INNER JOIN "&amp;J343&amp;" "&amp;K343),
IF(C343="Validade",+IF(G343="Code List","SELECT '"&amp;UPPER(B343)&amp;"' AS TABELA, '"&amp;UPPER(C343)&amp;"' AS TIPOLOGIA_TESTE,'"&amp;D343&amp;"' AS TABELA_LT,'N/A' AS TABELA_SIMUL,'"&amp;F343&amp;"' AS CAMPO, "&amp;"'${ref_date}' AS REF_DATE, COUNT(*) AS NUM_REG, SUM(IF(TRIM(CAST(X."&amp;F343&amp;" AS STRING))='' OR TRIM(CAST(X."&amp;F343&amp;" AS STRING)) IS NULL OR CAST(X."&amp;F343&amp;" AS STRING) NOT "&amp;H343&amp;",1,0)) AS NUM_REG_DIF,'"&amp;MAX('ID1&amp;5'!K:K)+1&amp;"' AS ID_EXEC, CURRENT_TIMESTAMP() AS TIME_EXEC FROM "&amp;I343,"SELECT '"&amp;UPPER(B343)&amp;"' AS TABELA, '"&amp;UPPER(C343)&amp;"' AS TIPOLOGIA_TESTE,'"&amp;D343&amp;"' AS TABELA_LT,'N/A' AS TABELA_SIMUL,'"&amp;F343&amp;"' AS CAMPO, "&amp;"'${ref_date}' AS REF_DATE, COUNT(*) AS NUM_REG, SUM(IF(TRIM(CAST(X."&amp;F343&amp;" AS STRING))='' OR TRIM(CAST(X."&amp;F343&amp;" AS STRING)) IS NULL,1,0)) AS NUM_REG_DIF,'"&amp;MAX('ID1&amp;5'!K:K)+1&amp;"' AS ID_EXEC, CURRENT_TIMESTAMP() AS TIME_EXEC FROM "&amp;I343),
IF(C343="Caracteres Especiais",+"SELECT '"&amp;UPPER(B343)&amp;"' AS TABELA, '"&amp;UPPER(C343)&amp;"' AS TIPOLOGIA_TESTE,'"&amp;D343&amp;"' AS TABELA_LT,'N/A' AS TABELA_SIMUL,'"&amp;F343&amp;"' AS CAMPO, "&amp;"'${ref_date}' AS REF_DATE, COUNT(*) AS NUM_REG, SUM(IF(INSTR(CAST(X."&amp;F343&amp;" AS STRING),'#')&gt;0 OR INSTR(CAST(X."&amp;F343&amp;" AS STRING),'*')&gt;0 OR INSTR(CAST(X."&amp;F343&amp;" AS STRING),'`')&gt;0 OR INSTR(CAST(X."&amp;F343&amp;" AS STRING),'´')&gt;0 OR INSTR(CAST(X."&amp;F343&amp;" AS STRING),'{')&gt;0 OR INSTR(CAST(X."&amp;F343&amp;" AS STRING),'}')&gt;0 OR INSTR(CAST(X."&amp;F343&amp;" AS STRING),'[')&gt;0 OR INSTR(CAST(X."&amp;F343&amp;" AS STRING),'')&gt;0 OR INSTR(CAST(X."&amp;F343&amp;" AS STRING),']')&gt;0 OR INSTR(CAST(X."&amp;F343&amp;" AS STRING),'?')&gt;0 OR INSTR(CAST(X."&amp;F343&amp;" AS STRING),'!')&gt;0 OR INSTR(CAST(X."&amp;F343&amp;" AS STRING),'$')&gt;0 OR INSTR(CAST(X."&amp;F343&amp;" AS STRING),'%')&gt;0 OR INSTR(CAST(X."&amp;F343&amp;" AS STRING),'&amp;')&gt;0 OR INSTR(CAST(X."&amp;F343&amp;" AS STRING),'+')&gt;0,1,0)) AS NUM_REG_DIF,'"&amp;MAX('ID1&amp;5'!K:K)+1&amp;"' AS ID_EXEC, CURRENT_TIMESTAMP() AS TIME_EXEC FROM "&amp;I343,
IF(C343="Missings",+"SELECT '"&amp;UPPER(B343)&amp;"' AS TABELA, '"&amp;UPPER(C343)&amp;"' AS TIPOLOGIA_TESTE,'"&amp;D343&amp;"' AS TABELA_LT,'N/A' AS TABELA_SIMUL,'"&amp;F343&amp;"' AS CAMPO, "&amp;"'${ref_date}' AS REF_DATE, COUNT(*) AS NUM_REG, SUM(IF(TRIM(CAST(X."&amp;F343&amp;" AS STRING)) IN ('0000-00-00','0001-01-01','9999-12-31','MISS','00000','99999999999','99999999999.00','99999999999.000000'),1,0)) AS NUM_REG_DIF,'"&amp;MAX('ID1&amp;5'!K:K)+1&amp;"' AS ID_EXEC, CURRENT_TIMESTAMP() AS TIME_EXEC FROM "&amp;I343,
IF(C343="Not applicable",+"SELECT '"&amp;UPPER(B343)&amp;"' AS TABELA, '"&amp;UPPER(C343)&amp;"' AS TIPOLOGIA_TESTE,'"&amp;D343&amp;"' AS TABELA_LT,'N/A' AS TABELA_SIMUL,'"&amp;F343&amp;"' AS CAMPO, "&amp;"'${ref_date}' AS REF_DATE, COUNT(*) AS NUM_REG, SUM(IF(TRIM(CAST(X."&amp;F343&amp;" AS STRING)) IN ('N/A','11111111111','11111111111.00','11111111111.000000','1111-11-11'),1,0)) AS NUM_REG_DIF,'"&amp;MAX('ID1&amp;5'!K:K)+1&amp;"' AS ID_EXEC, CURRENT_TIMESTAMP() AS TIME_EXEC FROM "&amp;I343,
IF(C343="Valores extremos",+"SELECT '"&amp;UPPER(B343)&amp;"' AS TABELA, '"&amp;UPPER(C343)&amp;"' AS TIPOLOGIA_TESTE,'"&amp;D343&amp;"' AS TABELA_LT,'N/A' AS TABELA_SIMUL,'"&amp;F343&amp;"' AS CAMPO, "&amp;"'${ref_date}' AS REF_DATE, CAST(MIN("&amp;F343&amp;") AS STRING) AS VALOR_MIN, CAST(MAX("&amp;F343&amp;") AS STRING) AS VALOR_MAX,'"&amp;MAX('ID1&amp;5'!K:K)+1&amp;"' AS ID_EXEC, CURRENT_TIMESTAMP() AS TIME_EXEC FROM "&amp;MID(I343,1,LEN(I343)-2)&amp;" AND CAST("&amp;F343&amp;"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TABELA_SIMUL,'GRP_EQTY' AS CAMPO, '${ref_date}' AS REF_DATE, COUNT(*) AS NUM_REG, SUM(IF(TRIM(CAST(X.GRP_EQTY AS STRING)) IN ('0000-00-00','0001-01-01','9999-12-31','MISS','00000','99999999999','99999999999.00','99999999999.000000'),1,0)) AS NUM_REG_DIF,'10' AS ID_EXEC, CURRENT_TIMESTAMP() AS TIME_EXEC FROM (SELECT entty_id, GRP_EQTY FROM BU_LOANTAPE_WORK.LT003_ENTITY WHERE ref_date='${ref_date}' AND nome_perimetro='Individual Corporativo' AND segmento='ESTR' AND ambito='PILAR3')X</v>
      </c>
      <c r="M343" s="43" t="str">
        <f t="shared" si="5"/>
        <v>UNION ALL SELECT 'ENTITY' AS TABELA, 'MISSINGS' AS TIPOLOGIA_TESTE,'BU_LOANTAPE_WORK.LT003_ENTITY' AS TABELA_LT,'N/A' AS TABELA_SIMUL,'GRP_EQTY' AS CAMPO, '${ref_date}' AS REF_DATE, COUNT(*) AS NUM_REG, SUM(IF(TRIM(CAST(X.GRP_EQTY AS STRING)) IN ('0000-00-00','0001-01-01','9999-12-31','MISS','00000','99999999999','99999999999.00','99999999999.000000'),1,0)) AS NUM_REG_DIF,'10' AS ID_EXEC, CURRENT_TIMESTAMP() AS TIME_EXEC FROM (SELECT entty_id, GRP_EQTY FROM BU_LOANTAPE_WORK.LT003_ENTITY WHERE ref_date='${ref_date}' AND nome_perimetro='Individual Corporativo' AND segmento='ESTR' AND ambito='PILAR3')X</v>
      </c>
      <c r="N343" s="45" t="s">
        <v>13</v>
      </c>
    </row>
    <row r="344" spans="2:14">
      <c r="B344" s="41" t="s">
        <v>23</v>
      </c>
      <c r="C344" s="41" t="s">
        <v>77</v>
      </c>
      <c r="D344" s="41" t="str">
        <f>+UPPER('0. Instruções'!$D$33&amp;"."&amp;VLOOKUP(B344,'0. Instruções'!$C$27:$D$31,2,FALSE))</f>
        <v>BU_LOANTAPE_WORK.LT003_ENTITY</v>
      </c>
      <c r="E344" s="41" t="str">
        <f>+UPPER('0. Instruções'!$D$34&amp;"."&amp;VLOOKUP(B344,'0. Instruções'!$C$27:$E$31,3,FALSE))</f>
        <v>BU_LOANTAPE_WORK.LT003_ENTTY_P3_NOV24</v>
      </c>
      <c r="F344" s="41" t="s">
        <v>186</v>
      </c>
      <c r="G344" s="41" t="s">
        <v>13</v>
      </c>
      <c r="H344" s="41"/>
      <c r="I344" s="41" t="str">
        <f>"(SELECT "&amp;VLOOKUP(B344,'0. Instruções'!$C$27:$G$31,4,FALSE)&amp;", "&amp;F344&amp;" FROM "&amp;D344&amp;" WHERE "&amp;'0. Instruções'!$D$40&amp;")X"</f>
        <v>(SELECT entty_id, ANNL_TRNVR_LE FROM BU_LOANTAPE_WORK.LT003_ENTITY WHERE ref_date='${ref_date}' AND nome_perimetro='Individual Corporativo' AND segmento='ESTR' AND ambito='PILAR3')X</v>
      </c>
      <c r="J344" s="41" t="str">
        <f>"(SELECT "&amp;VLOOKUP(B344,'0. Instruções'!$C$27:$G$31,4,FALSE)&amp;" AS "&amp;VLOOKUP(B344,'0. Instruções'!$C$27:$G$31,4,FALSE)&amp;"_SIMUL, "&amp;F344&amp;" AS "&amp;F344&amp;"_SIMUL FROM "&amp;E344&amp;")Y"</f>
        <v>(SELECT entty_id AS entty_id_SIMUL, ANNL_TRNVR_LE AS ANNL_TRNVR_LE_SIMUL FROM BU_LOANTAPE_WORK.LT003_ENTTY_P3_NOV24)Y</v>
      </c>
      <c r="K344" s="42" t="str">
        <f>+UPPER("ON X."&amp;VLOOKUP(B344,'0. Instruções'!$C$27:$G$31,4,FALSE)&amp;"=Y."&amp;VLOOKUP(B344,'0. Instruções'!$C$27:$G$31,4,FALSE)&amp;"_SIMUL")</f>
        <v>ON X.ENTTY_ID=Y.ENTTY_ID_SIMUL</v>
      </c>
      <c r="L344" s="42" t="str">
        <f>+IF(C344="Coerência", +IF(LEFT(G344,5)="FLOAT","SELECT '"&amp;UPPER(B344)&amp;"' AS TABELA, '"&amp;UPPER(C344)&amp;"' AS TIPOLOGIA_TESTE,'"&amp;D344&amp;"' AS TABELA_LT,'"&amp;E344&amp;"' AS TABELA_SIMUL,'"&amp;F344&amp;"' AS CAMPO, "&amp;"'${ref_date}' AS REF_DATE, COUNT(*) AS NUM_REG, SUM(IF((ABS(COALESCE(X."&amp;F344&amp;",0)-COALESCE(Y."&amp;F344&amp;"_SIMUL,0))&gt;0.0000000001) OR (X."&amp;F344&amp;" IS NULL AND Y."&amp;F344&amp;"_SIMUL IS NOT NULL ) OR (X."&amp;F344&amp;" IS NOT NULL AND Y."&amp;F344&amp;"_SIMUL IS NULL),1,0)) AS NUM_REG_DIF,'"&amp;MAX('ID1&amp;5'!K:K)+1&amp;"' AS ID_EXEC, CURRENT_TIMESTAMP() AS TIME_EXEC FROM "&amp;I344&amp;" INNER JOIN "&amp;J344&amp;" "&amp;K344,"SELECT '"&amp;UPPER(B344)&amp;"' AS TABELA, '"&amp;UPPER(C344)&amp;"' AS TIPOLOGIA_TESTE,'"&amp;D344&amp;"' AS TABELA_LT,'"&amp;E344&amp;"' AS TABELA_SIMUL,'"&amp;F344&amp;"' AS CAMPO, "&amp;"'${ref_date}' AS REF_DATE, COUNT(*) AS NUM_REG, SUM(IF(COALESCE(CAST(X."&amp;F344&amp;" AS STRING),'')&lt;&gt;COALESCE(CAST(Y."&amp;F344&amp;"_SIMUL AS STRING),''),1,0)) AS NUM_REG_DIF,'"&amp;MAX('ID1&amp;5'!L:L)+1&amp;"' AS ID_EXEC, CURRENT_TIMESTAMP() AS TIME_EXEC FROM "&amp;I344&amp;" INNER JOIN "&amp;J344&amp;" "&amp;K344),
IF(C344="Validade",+IF(G344="Code List","SELECT '"&amp;UPPER(B344)&amp;"' AS TABELA, '"&amp;UPPER(C344)&amp;"' AS TIPOLOGIA_TESTE,'"&amp;D344&amp;"' AS TABELA_LT,'N/A' AS TABELA_SIMUL,'"&amp;F344&amp;"' AS CAMPO, "&amp;"'${ref_date}' AS REF_DATE, COUNT(*) AS NUM_REG, SUM(IF(TRIM(CAST(X."&amp;F344&amp;" AS STRING))='' OR TRIM(CAST(X."&amp;F344&amp;" AS STRING)) IS NULL OR CAST(X."&amp;F344&amp;" AS STRING) NOT "&amp;H344&amp;",1,0)) AS NUM_REG_DIF,'"&amp;MAX('ID1&amp;5'!K:K)+1&amp;"' AS ID_EXEC, CURRENT_TIMESTAMP() AS TIME_EXEC FROM "&amp;I344,"SELECT '"&amp;UPPER(B344)&amp;"' AS TABELA, '"&amp;UPPER(C344)&amp;"' AS TIPOLOGIA_TESTE,'"&amp;D344&amp;"' AS TABELA_LT,'N/A' AS TABELA_SIMUL,'"&amp;F344&amp;"' AS CAMPO, "&amp;"'${ref_date}' AS REF_DATE, COUNT(*) AS NUM_REG, SUM(IF(TRIM(CAST(X."&amp;F344&amp;" AS STRING))='' OR TRIM(CAST(X."&amp;F344&amp;" AS STRING)) IS NULL,1,0)) AS NUM_REG_DIF,'"&amp;MAX('ID1&amp;5'!K:K)+1&amp;"' AS ID_EXEC, CURRENT_TIMESTAMP() AS TIME_EXEC FROM "&amp;I344),
IF(C344="Caracteres Especiais",+"SELECT '"&amp;UPPER(B344)&amp;"' AS TABELA, '"&amp;UPPER(C344)&amp;"' AS TIPOLOGIA_TESTE,'"&amp;D344&amp;"' AS TABELA_LT,'N/A' AS TABELA_SIMUL,'"&amp;F344&amp;"' AS CAMPO, "&amp;"'${ref_date}' AS REF_DATE, COUNT(*) AS NUM_REG, SUM(IF(INSTR(CAST(X."&amp;F344&amp;" AS STRING),'#')&gt;0 OR INSTR(CAST(X."&amp;F344&amp;" AS STRING),'*')&gt;0 OR INSTR(CAST(X."&amp;F344&amp;" AS STRING),'`')&gt;0 OR INSTR(CAST(X."&amp;F344&amp;" AS STRING),'´')&gt;0 OR INSTR(CAST(X."&amp;F344&amp;" AS STRING),'{')&gt;0 OR INSTR(CAST(X."&amp;F344&amp;" AS STRING),'}')&gt;0 OR INSTR(CAST(X."&amp;F344&amp;" AS STRING),'[')&gt;0 OR INSTR(CAST(X."&amp;F344&amp;" AS STRING),'')&gt;0 OR INSTR(CAST(X."&amp;F344&amp;" AS STRING),']')&gt;0 OR INSTR(CAST(X."&amp;F344&amp;" AS STRING),'?')&gt;0 OR INSTR(CAST(X."&amp;F344&amp;" AS STRING),'!')&gt;0 OR INSTR(CAST(X."&amp;F344&amp;" AS STRING),'$')&gt;0 OR INSTR(CAST(X."&amp;F344&amp;" AS STRING),'%')&gt;0 OR INSTR(CAST(X."&amp;F344&amp;" AS STRING),'&amp;')&gt;0 OR INSTR(CAST(X."&amp;F344&amp;" AS STRING),'+')&gt;0,1,0)) AS NUM_REG_DIF,'"&amp;MAX('ID1&amp;5'!K:K)+1&amp;"' AS ID_EXEC, CURRENT_TIMESTAMP() AS TIME_EXEC FROM "&amp;I344,
IF(C344="Missings",+"SELECT '"&amp;UPPER(B344)&amp;"' AS TABELA, '"&amp;UPPER(C344)&amp;"' AS TIPOLOGIA_TESTE,'"&amp;D344&amp;"' AS TABELA_LT,'N/A' AS TABELA_SIMUL,'"&amp;F344&amp;"' AS CAMPO, "&amp;"'${ref_date}' AS REF_DATE, COUNT(*) AS NUM_REG, SUM(IF(TRIM(CAST(X."&amp;F344&amp;" AS STRING)) IN ('0000-00-00','0001-01-01','9999-12-31','MISS','00000','99999999999','99999999999.00','99999999999.000000'),1,0)) AS NUM_REG_DIF,'"&amp;MAX('ID1&amp;5'!K:K)+1&amp;"' AS ID_EXEC, CURRENT_TIMESTAMP() AS TIME_EXEC FROM "&amp;I344,
IF(C344="Not applicable",+"SELECT '"&amp;UPPER(B344)&amp;"' AS TABELA, '"&amp;UPPER(C344)&amp;"' AS TIPOLOGIA_TESTE,'"&amp;D344&amp;"' AS TABELA_LT,'N/A' AS TABELA_SIMUL,'"&amp;F344&amp;"' AS CAMPO, "&amp;"'${ref_date}' AS REF_DATE, COUNT(*) AS NUM_REG, SUM(IF(TRIM(CAST(X."&amp;F344&amp;" AS STRING)) IN ('N/A','11111111111','11111111111.00','11111111111.000000','1111-11-11'),1,0)) AS NUM_REG_DIF,'"&amp;MAX('ID1&amp;5'!K:K)+1&amp;"' AS ID_EXEC, CURRENT_TIMESTAMP() AS TIME_EXEC FROM "&amp;I344,
IF(C344="Valores extremos",+"SELECT '"&amp;UPPER(B344)&amp;"' AS TABELA, '"&amp;UPPER(C344)&amp;"' AS TIPOLOGIA_TESTE,'"&amp;D344&amp;"' AS TABELA_LT,'N/A' AS TABELA_SIMUL,'"&amp;F344&amp;"' AS CAMPO, "&amp;"'${ref_date}' AS REF_DATE, CAST(MIN("&amp;F344&amp;") AS STRING) AS VALOR_MIN, CAST(MAX("&amp;F344&amp;") AS STRING) AS VALOR_MAX,'"&amp;MAX('ID1&amp;5'!K:K)+1&amp;"' AS ID_EXEC, CURRENT_TIMESTAMP() AS TIME_EXEC FROM "&amp;MID(I344,1,LEN(I344)-2)&amp;" AND CAST("&amp;F344&amp;"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TABELA_SIMUL,'ANNL_TRNVR_LE' AS CAMPO, '${ref_date}' AS REF_DATE, COUNT(*) AS NUM_REG, SUM(IF(TRIM(CAST(X.ANNL_TRNVR_LE AS STRING)) IN ('0000-00-00','0001-01-01','9999-12-31','MISS','00000','99999999999','99999999999.00','99999999999.000000'),1,0)) AS NUM_REG_DIF,'10' AS ID_EXEC, CURRENT_TIMESTAMP() AS TIME_EXEC FROM (SELECT entty_id, ANNL_TRNVR_LE FROM BU_LOANTAPE_WORK.LT003_ENTITY WHERE ref_date='${ref_date}' AND nome_perimetro='Individual Corporativo' AND segmento='ESTR' AND ambito='PILAR3')X</v>
      </c>
      <c r="M344" s="43" t="str">
        <f t="shared" si="5"/>
        <v>UNION ALL SELECT 'ENTITY' AS TABELA, 'MISSINGS' AS TIPOLOGIA_TESTE,'BU_LOANTAPE_WORK.LT003_ENTITY' AS TABELA_LT,'N/A' AS TABELA_SIMUL,'ANNL_TRNVR_LE' AS CAMPO, '${ref_date}' AS REF_DATE, COUNT(*) AS NUM_REG, SUM(IF(TRIM(CAST(X.ANNL_TRNVR_LE AS STRING)) IN ('0000-00-00','0001-01-01','9999-12-31','MISS','00000','99999999999','99999999999.00','99999999999.000000'),1,0)) AS NUM_REG_DIF,'10' AS ID_EXEC, CURRENT_TIMESTAMP() AS TIME_EXEC FROM (SELECT entty_id, ANNL_TRNVR_LE FROM BU_LOANTAPE_WORK.LT003_ENTITY WHERE ref_date='${ref_date}' AND nome_perimetro='Individual Corporativo' AND segmento='ESTR' AND ambito='PILAR3')X</v>
      </c>
      <c r="N344" s="45" t="s">
        <v>13</v>
      </c>
    </row>
    <row r="345" spans="2:14">
      <c r="B345" s="41" t="s">
        <v>23</v>
      </c>
      <c r="C345" s="41" t="s">
        <v>77</v>
      </c>
      <c r="D345" s="41" t="str">
        <f>+UPPER('0. Instruções'!$D$33&amp;"."&amp;VLOOKUP(B345,'0. Instruções'!$C$27:$D$31,2,FALSE))</f>
        <v>BU_LOANTAPE_WORK.LT003_ENTITY</v>
      </c>
      <c r="E345" s="41" t="str">
        <f>+UPPER('0. Instruções'!$D$34&amp;"."&amp;VLOOKUP(B345,'0. Instruções'!$C$27:$E$31,3,FALSE))</f>
        <v>BU_LOANTAPE_WORK.LT003_ENTTY_P3_NOV24</v>
      </c>
      <c r="F345" s="41" t="s">
        <v>187</v>
      </c>
      <c r="G345" s="41" t="s">
        <v>13</v>
      </c>
      <c r="H345" s="41"/>
      <c r="I345" s="41" t="str">
        <f>"(SELECT "&amp;VLOOKUP(B345,'0. Instruções'!$C$27:$G$31,4,FALSE)&amp;", "&amp;F345&amp;" FROM "&amp;D345&amp;" WHERE "&amp;'0. Instruções'!$D$40&amp;")X"</f>
        <v>(SELECT entty_id, EQTY FROM BU_LOANTAPE_WORK.LT003_ENTITY WHERE ref_date='${ref_date}' AND nome_perimetro='Individual Corporativo' AND segmento='ESTR' AND ambito='PILAR3')X</v>
      </c>
      <c r="J345" s="41" t="str">
        <f>"(SELECT "&amp;VLOOKUP(B345,'0. Instruções'!$C$27:$G$31,4,FALSE)&amp;" AS "&amp;VLOOKUP(B345,'0. Instruções'!$C$27:$G$31,4,FALSE)&amp;"_SIMUL, "&amp;F345&amp;" AS "&amp;F345&amp;"_SIMUL FROM "&amp;E345&amp;")Y"</f>
        <v>(SELECT entty_id AS entty_id_SIMUL, EQTY AS EQTY_SIMUL FROM BU_LOANTAPE_WORK.LT003_ENTTY_P3_NOV24)Y</v>
      </c>
      <c r="K345" s="42" t="str">
        <f>+UPPER("ON X."&amp;VLOOKUP(B345,'0. Instruções'!$C$27:$G$31,4,FALSE)&amp;"=Y."&amp;VLOOKUP(B345,'0. Instruções'!$C$27:$G$31,4,FALSE)&amp;"_SIMUL")</f>
        <v>ON X.ENTTY_ID=Y.ENTTY_ID_SIMUL</v>
      </c>
      <c r="L345" s="42" t="str">
        <f>+IF(C345="Coerência", +IF(LEFT(G345,5)="FLOAT","SELECT '"&amp;UPPER(B345)&amp;"' AS TABELA, '"&amp;UPPER(C345)&amp;"' AS TIPOLOGIA_TESTE,'"&amp;D345&amp;"' AS TABELA_LT,'"&amp;E345&amp;"' AS TABELA_SIMUL,'"&amp;F345&amp;"' AS CAMPO, "&amp;"'${ref_date}' AS REF_DATE, COUNT(*) AS NUM_REG, SUM(IF((ABS(COALESCE(X."&amp;F345&amp;",0)-COALESCE(Y."&amp;F345&amp;"_SIMUL,0))&gt;0.0000000001) OR (X."&amp;F345&amp;" IS NULL AND Y."&amp;F345&amp;"_SIMUL IS NOT NULL ) OR (X."&amp;F345&amp;" IS NOT NULL AND Y."&amp;F345&amp;"_SIMUL IS NULL),1,0)) AS NUM_REG_DIF,'"&amp;MAX('ID1&amp;5'!K:K)+1&amp;"' AS ID_EXEC, CURRENT_TIMESTAMP() AS TIME_EXEC FROM "&amp;I345&amp;" INNER JOIN "&amp;J345&amp;" "&amp;K345,"SELECT '"&amp;UPPER(B345)&amp;"' AS TABELA, '"&amp;UPPER(C345)&amp;"' AS TIPOLOGIA_TESTE,'"&amp;D345&amp;"' AS TABELA_LT,'"&amp;E345&amp;"' AS TABELA_SIMUL,'"&amp;F345&amp;"' AS CAMPO, "&amp;"'${ref_date}' AS REF_DATE, COUNT(*) AS NUM_REG, SUM(IF(COALESCE(CAST(X."&amp;F345&amp;" AS STRING),'')&lt;&gt;COALESCE(CAST(Y."&amp;F345&amp;"_SIMUL AS STRING),''),1,0)) AS NUM_REG_DIF,'"&amp;MAX('ID1&amp;5'!L:L)+1&amp;"' AS ID_EXEC, CURRENT_TIMESTAMP() AS TIME_EXEC FROM "&amp;I345&amp;" INNER JOIN "&amp;J345&amp;" "&amp;K345),
IF(C345="Validade",+IF(G345="Code List","SELECT '"&amp;UPPER(B345)&amp;"' AS TABELA, '"&amp;UPPER(C345)&amp;"' AS TIPOLOGIA_TESTE,'"&amp;D345&amp;"' AS TABELA_LT,'N/A' AS TABELA_SIMUL,'"&amp;F345&amp;"' AS CAMPO, "&amp;"'${ref_date}' AS REF_DATE, COUNT(*) AS NUM_REG, SUM(IF(TRIM(CAST(X."&amp;F345&amp;" AS STRING))='' OR TRIM(CAST(X."&amp;F345&amp;" AS STRING)) IS NULL OR CAST(X."&amp;F345&amp;" AS STRING) NOT "&amp;H345&amp;",1,0)) AS NUM_REG_DIF,'"&amp;MAX('ID1&amp;5'!K:K)+1&amp;"' AS ID_EXEC, CURRENT_TIMESTAMP() AS TIME_EXEC FROM "&amp;I345,"SELECT '"&amp;UPPER(B345)&amp;"' AS TABELA, '"&amp;UPPER(C345)&amp;"' AS TIPOLOGIA_TESTE,'"&amp;D345&amp;"' AS TABELA_LT,'N/A' AS TABELA_SIMUL,'"&amp;F345&amp;"' AS CAMPO, "&amp;"'${ref_date}' AS REF_DATE, COUNT(*) AS NUM_REG, SUM(IF(TRIM(CAST(X."&amp;F345&amp;" AS STRING))='' OR TRIM(CAST(X."&amp;F345&amp;" AS STRING)) IS NULL,1,0)) AS NUM_REG_DIF,'"&amp;MAX('ID1&amp;5'!K:K)+1&amp;"' AS ID_EXEC, CURRENT_TIMESTAMP() AS TIME_EXEC FROM "&amp;I345),
IF(C345="Caracteres Especiais",+"SELECT '"&amp;UPPER(B345)&amp;"' AS TABELA, '"&amp;UPPER(C345)&amp;"' AS TIPOLOGIA_TESTE,'"&amp;D345&amp;"' AS TABELA_LT,'N/A' AS TABELA_SIMUL,'"&amp;F345&amp;"' AS CAMPO, "&amp;"'${ref_date}' AS REF_DATE, COUNT(*) AS NUM_REG, SUM(IF(INSTR(CAST(X."&amp;F345&amp;" AS STRING),'#')&gt;0 OR INSTR(CAST(X."&amp;F345&amp;" AS STRING),'*')&gt;0 OR INSTR(CAST(X."&amp;F345&amp;" AS STRING),'`')&gt;0 OR INSTR(CAST(X."&amp;F345&amp;" AS STRING),'´')&gt;0 OR INSTR(CAST(X."&amp;F345&amp;" AS STRING),'{')&gt;0 OR INSTR(CAST(X."&amp;F345&amp;" AS STRING),'}')&gt;0 OR INSTR(CAST(X."&amp;F345&amp;" AS STRING),'[')&gt;0 OR INSTR(CAST(X."&amp;F345&amp;" AS STRING),'')&gt;0 OR INSTR(CAST(X."&amp;F345&amp;" AS STRING),']')&gt;0 OR INSTR(CAST(X."&amp;F345&amp;" AS STRING),'?')&gt;0 OR INSTR(CAST(X."&amp;F345&amp;" AS STRING),'!')&gt;0 OR INSTR(CAST(X."&amp;F345&amp;" AS STRING),'$')&gt;0 OR INSTR(CAST(X."&amp;F345&amp;" AS STRING),'%')&gt;0 OR INSTR(CAST(X."&amp;F345&amp;" AS STRING),'&amp;')&gt;0 OR INSTR(CAST(X."&amp;F345&amp;" AS STRING),'+')&gt;0,1,0)) AS NUM_REG_DIF,'"&amp;MAX('ID1&amp;5'!K:K)+1&amp;"' AS ID_EXEC, CURRENT_TIMESTAMP() AS TIME_EXEC FROM "&amp;I345,
IF(C345="Missings",+"SELECT '"&amp;UPPER(B345)&amp;"' AS TABELA, '"&amp;UPPER(C345)&amp;"' AS TIPOLOGIA_TESTE,'"&amp;D345&amp;"' AS TABELA_LT,'N/A' AS TABELA_SIMUL,'"&amp;F345&amp;"' AS CAMPO, "&amp;"'${ref_date}' AS REF_DATE, COUNT(*) AS NUM_REG, SUM(IF(TRIM(CAST(X."&amp;F345&amp;" AS STRING)) IN ('0000-00-00','0001-01-01','9999-12-31','MISS','00000','99999999999','99999999999.00','99999999999.000000'),1,0)) AS NUM_REG_DIF,'"&amp;MAX('ID1&amp;5'!K:K)+1&amp;"' AS ID_EXEC, CURRENT_TIMESTAMP() AS TIME_EXEC FROM "&amp;I345,
IF(C345="Not applicable",+"SELECT '"&amp;UPPER(B345)&amp;"' AS TABELA, '"&amp;UPPER(C345)&amp;"' AS TIPOLOGIA_TESTE,'"&amp;D345&amp;"' AS TABELA_LT,'N/A' AS TABELA_SIMUL,'"&amp;F345&amp;"' AS CAMPO, "&amp;"'${ref_date}' AS REF_DATE, COUNT(*) AS NUM_REG, SUM(IF(TRIM(CAST(X."&amp;F345&amp;" AS STRING)) IN ('N/A','11111111111','11111111111.00','11111111111.000000','1111-11-11'),1,0)) AS NUM_REG_DIF,'"&amp;MAX('ID1&amp;5'!K:K)+1&amp;"' AS ID_EXEC, CURRENT_TIMESTAMP() AS TIME_EXEC FROM "&amp;I345,
IF(C345="Valores extremos",+"SELECT '"&amp;UPPER(B345)&amp;"' AS TABELA, '"&amp;UPPER(C345)&amp;"' AS TIPOLOGIA_TESTE,'"&amp;D345&amp;"' AS TABELA_LT,'N/A' AS TABELA_SIMUL,'"&amp;F345&amp;"' AS CAMPO, "&amp;"'${ref_date}' AS REF_DATE, CAST(MIN("&amp;F345&amp;") AS STRING) AS VALOR_MIN, CAST(MAX("&amp;F345&amp;") AS STRING) AS VALOR_MAX,'"&amp;MAX('ID1&amp;5'!K:K)+1&amp;"' AS ID_EXEC, CURRENT_TIMESTAMP() AS TIME_EXEC FROM "&amp;MID(I345,1,LEN(I345)-2)&amp;" AND CAST("&amp;F345&amp;"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TABELA_SIMUL,'EQTY' AS CAMPO, '${ref_date}' AS REF_DATE, COUNT(*) AS NUM_REG, SUM(IF(TRIM(CAST(X.EQTY AS STRING)) IN ('0000-00-00','0001-01-01','9999-12-31','MISS','00000','99999999999','99999999999.00','99999999999.000000'),1,0)) AS NUM_REG_DIF,'10' AS ID_EXEC, CURRENT_TIMESTAMP() AS TIME_EXEC FROM (SELECT entty_id, EQTY FROM BU_LOANTAPE_WORK.LT003_ENTITY WHERE ref_date='${ref_date}' AND nome_perimetro='Individual Corporativo' AND segmento='ESTR' AND ambito='PILAR3')X</v>
      </c>
      <c r="M345" s="43" t="str">
        <f t="shared" si="5"/>
        <v>UNION ALL SELECT 'ENTITY' AS TABELA, 'MISSINGS' AS TIPOLOGIA_TESTE,'BU_LOANTAPE_WORK.LT003_ENTITY' AS TABELA_LT,'N/A' AS TABELA_SIMUL,'EQTY' AS CAMPO, '${ref_date}' AS REF_DATE, COUNT(*) AS NUM_REG, SUM(IF(TRIM(CAST(X.EQTY AS STRING)) IN ('0000-00-00','0001-01-01','9999-12-31','MISS','00000','99999999999','99999999999.00','99999999999.000000'),1,0)) AS NUM_REG_DIF,'10' AS ID_EXEC, CURRENT_TIMESTAMP() AS TIME_EXEC FROM (SELECT entty_id, EQTY FROM BU_LOANTAPE_WORK.LT003_ENTITY WHERE ref_date='${ref_date}' AND nome_perimetro='Individual Corporativo' AND segmento='ESTR' AND ambito='PILAR3')X</v>
      </c>
      <c r="N345" s="45" t="s">
        <v>13</v>
      </c>
    </row>
    <row r="346" spans="2:14">
      <c r="B346" s="41" t="s">
        <v>23</v>
      </c>
      <c r="C346" s="41" t="s">
        <v>77</v>
      </c>
      <c r="D346" s="41" t="str">
        <f>+UPPER('0. Instruções'!$D$33&amp;"."&amp;VLOOKUP(B346,'0. Instruções'!$C$27:$D$31,2,FALSE))</f>
        <v>BU_LOANTAPE_WORK.LT003_ENTITY</v>
      </c>
      <c r="E346" s="41" t="str">
        <f>+UPPER('0. Instruções'!$D$34&amp;"."&amp;VLOOKUP(B346,'0. Instruções'!$C$27:$E$31,3,FALSE))</f>
        <v>BU_LOANTAPE_WORK.LT003_ENTTY_P3_NOV24</v>
      </c>
      <c r="F346" s="41" t="s">
        <v>188</v>
      </c>
      <c r="G346" s="41" t="s">
        <v>13</v>
      </c>
      <c r="H346" s="41"/>
      <c r="I346" s="41" t="str">
        <f>"(SELECT "&amp;VLOOKUP(B346,'0. Instruções'!$C$27:$G$31,4,FALSE)&amp;", "&amp;F346&amp;" FROM "&amp;D346&amp;" WHERE "&amp;'0. Instruções'!$D$40&amp;")X"</f>
        <v>(SELECT entty_id, GRP_TTL_DBT FROM BU_LOANTAPE_WORK.LT003_ENTITY WHERE ref_date='${ref_date}' AND nome_perimetro='Individual Corporativo' AND segmento='ESTR' AND ambito='PILAR3')X</v>
      </c>
      <c r="J346" s="41" t="str">
        <f>"(SELECT "&amp;VLOOKUP(B346,'0. Instruções'!$C$27:$G$31,4,FALSE)&amp;" AS "&amp;VLOOKUP(B346,'0. Instruções'!$C$27:$G$31,4,FALSE)&amp;"_SIMUL, "&amp;F346&amp;" AS "&amp;F346&amp;"_SIMUL FROM "&amp;E346&amp;")Y"</f>
        <v>(SELECT entty_id AS entty_id_SIMUL, GRP_TTL_DBT AS GRP_TTL_DBT_SIMUL FROM BU_LOANTAPE_WORK.LT003_ENTTY_P3_NOV24)Y</v>
      </c>
      <c r="K346" s="42" t="str">
        <f>+UPPER("ON X."&amp;VLOOKUP(B346,'0. Instruções'!$C$27:$G$31,4,FALSE)&amp;"=Y."&amp;VLOOKUP(B346,'0. Instruções'!$C$27:$G$31,4,FALSE)&amp;"_SIMUL")</f>
        <v>ON X.ENTTY_ID=Y.ENTTY_ID_SIMUL</v>
      </c>
      <c r="L346" s="42" t="str">
        <f>+IF(C346="Coerência", +IF(LEFT(G346,5)="FLOAT","SELECT '"&amp;UPPER(B346)&amp;"' AS TABELA, '"&amp;UPPER(C346)&amp;"' AS TIPOLOGIA_TESTE,'"&amp;D346&amp;"' AS TABELA_LT,'"&amp;E346&amp;"' AS TABELA_SIMUL,'"&amp;F346&amp;"' AS CAMPO, "&amp;"'${ref_date}' AS REF_DATE, COUNT(*) AS NUM_REG, SUM(IF((ABS(COALESCE(X."&amp;F346&amp;",0)-COALESCE(Y."&amp;F346&amp;"_SIMUL,0))&gt;0.0000000001) OR (X."&amp;F346&amp;" IS NULL AND Y."&amp;F346&amp;"_SIMUL IS NOT NULL ) OR (X."&amp;F346&amp;" IS NOT NULL AND Y."&amp;F346&amp;"_SIMUL IS NULL),1,0)) AS NUM_REG_DIF,'"&amp;MAX('ID1&amp;5'!K:K)+1&amp;"' AS ID_EXEC, CURRENT_TIMESTAMP() AS TIME_EXEC FROM "&amp;I346&amp;" INNER JOIN "&amp;J346&amp;" "&amp;K346,"SELECT '"&amp;UPPER(B346)&amp;"' AS TABELA, '"&amp;UPPER(C346)&amp;"' AS TIPOLOGIA_TESTE,'"&amp;D346&amp;"' AS TABELA_LT,'"&amp;E346&amp;"' AS TABELA_SIMUL,'"&amp;F346&amp;"' AS CAMPO, "&amp;"'${ref_date}' AS REF_DATE, COUNT(*) AS NUM_REG, SUM(IF(COALESCE(CAST(X."&amp;F346&amp;" AS STRING),'')&lt;&gt;COALESCE(CAST(Y."&amp;F346&amp;"_SIMUL AS STRING),''),1,0)) AS NUM_REG_DIF,'"&amp;MAX('ID1&amp;5'!L:L)+1&amp;"' AS ID_EXEC, CURRENT_TIMESTAMP() AS TIME_EXEC FROM "&amp;I346&amp;" INNER JOIN "&amp;J346&amp;" "&amp;K346),
IF(C346="Validade",+IF(G346="Code List","SELECT '"&amp;UPPER(B346)&amp;"' AS TABELA, '"&amp;UPPER(C346)&amp;"' AS TIPOLOGIA_TESTE,'"&amp;D346&amp;"' AS TABELA_LT,'N/A' AS TABELA_SIMUL,'"&amp;F346&amp;"' AS CAMPO, "&amp;"'${ref_date}' AS REF_DATE, COUNT(*) AS NUM_REG, SUM(IF(TRIM(CAST(X."&amp;F346&amp;" AS STRING))='' OR TRIM(CAST(X."&amp;F346&amp;" AS STRING)) IS NULL OR CAST(X."&amp;F346&amp;" AS STRING) NOT "&amp;H346&amp;",1,0)) AS NUM_REG_DIF,'"&amp;MAX('ID1&amp;5'!K:K)+1&amp;"' AS ID_EXEC, CURRENT_TIMESTAMP() AS TIME_EXEC FROM "&amp;I346,"SELECT '"&amp;UPPER(B346)&amp;"' AS TABELA, '"&amp;UPPER(C346)&amp;"' AS TIPOLOGIA_TESTE,'"&amp;D346&amp;"' AS TABELA_LT,'N/A' AS TABELA_SIMUL,'"&amp;F346&amp;"' AS CAMPO, "&amp;"'${ref_date}' AS REF_DATE, COUNT(*) AS NUM_REG, SUM(IF(TRIM(CAST(X."&amp;F346&amp;" AS STRING))='' OR TRIM(CAST(X."&amp;F346&amp;" AS STRING)) IS NULL,1,0)) AS NUM_REG_DIF,'"&amp;MAX('ID1&amp;5'!K:K)+1&amp;"' AS ID_EXEC, CURRENT_TIMESTAMP() AS TIME_EXEC FROM "&amp;I346),
IF(C346="Caracteres Especiais",+"SELECT '"&amp;UPPER(B346)&amp;"' AS TABELA, '"&amp;UPPER(C346)&amp;"' AS TIPOLOGIA_TESTE,'"&amp;D346&amp;"' AS TABELA_LT,'N/A' AS TABELA_SIMUL,'"&amp;F346&amp;"' AS CAMPO, "&amp;"'${ref_date}' AS REF_DATE, COUNT(*) AS NUM_REG, SUM(IF(INSTR(CAST(X."&amp;F346&amp;" AS STRING),'#')&gt;0 OR INSTR(CAST(X."&amp;F346&amp;" AS STRING),'*')&gt;0 OR INSTR(CAST(X."&amp;F346&amp;" AS STRING),'`')&gt;0 OR INSTR(CAST(X."&amp;F346&amp;" AS STRING),'´')&gt;0 OR INSTR(CAST(X."&amp;F346&amp;" AS STRING),'{')&gt;0 OR INSTR(CAST(X."&amp;F346&amp;" AS STRING),'}')&gt;0 OR INSTR(CAST(X."&amp;F346&amp;" AS STRING),'[')&gt;0 OR INSTR(CAST(X."&amp;F346&amp;" AS STRING),'')&gt;0 OR INSTR(CAST(X."&amp;F346&amp;" AS STRING),']')&gt;0 OR INSTR(CAST(X."&amp;F346&amp;" AS STRING),'?')&gt;0 OR INSTR(CAST(X."&amp;F346&amp;" AS STRING),'!')&gt;0 OR INSTR(CAST(X."&amp;F346&amp;" AS STRING),'$')&gt;0 OR INSTR(CAST(X."&amp;F346&amp;" AS STRING),'%')&gt;0 OR INSTR(CAST(X."&amp;F346&amp;" AS STRING),'&amp;')&gt;0 OR INSTR(CAST(X."&amp;F346&amp;" AS STRING),'+')&gt;0,1,0)) AS NUM_REG_DIF,'"&amp;MAX('ID1&amp;5'!K:K)+1&amp;"' AS ID_EXEC, CURRENT_TIMESTAMP() AS TIME_EXEC FROM "&amp;I346,
IF(C346="Missings",+"SELECT '"&amp;UPPER(B346)&amp;"' AS TABELA, '"&amp;UPPER(C346)&amp;"' AS TIPOLOGIA_TESTE,'"&amp;D346&amp;"' AS TABELA_LT,'N/A' AS TABELA_SIMUL,'"&amp;F346&amp;"' AS CAMPO, "&amp;"'${ref_date}' AS REF_DATE, COUNT(*) AS NUM_REG, SUM(IF(TRIM(CAST(X."&amp;F346&amp;" AS STRING)) IN ('0000-00-00','0001-01-01','9999-12-31','MISS','00000','99999999999','99999999999.00','99999999999.000000'),1,0)) AS NUM_REG_DIF,'"&amp;MAX('ID1&amp;5'!K:K)+1&amp;"' AS ID_EXEC, CURRENT_TIMESTAMP() AS TIME_EXEC FROM "&amp;I346,
IF(C346="Not applicable",+"SELECT '"&amp;UPPER(B346)&amp;"' AS TABELA, '"&amp;UPPER(C346)&amp;"' AS TIPOLOGIA_TESTE,'"&amp;D346&amp;"' AS TABELA_LT,'N/A' AS TABELA_SIMUL,'"&amp;F346&amp;"' AS CAMPO, "&amp;"'${ref_date}' AS REF_DATE, COUNT(*) AS NUM_REG, SUM(IF(TRIM(CAST(X."&amp;F346&amp;" AS STRING)) IN ('N/A','11111111111','11111111111.00','11111111111.000000','1111-11-11'),1,0)) AS NUM_REG_DIF,'"&amp;MAX('ID1&amp;5'!K:K)+1&amp;"' AS ID_EXEC, CURRENT_TIMESTAMP() AS TIME_EXEC FROM "&amp;I346,
IF(C346="Valores extremos",+"SELECT '"&amp;UPPER(B346)&amp;"' AS TABELA, '"&amp;UPPER(C346)&amp;"' AS TIPOLOGIA_TESTE,'"&amp;D346&amp;"' AS TABELA_LT,'N/A' AS TABELA_SIMUL,'"&amp;F346&amp;"' AS CAMPO, "&amp;"'${ref_date}' AS REF_DATE, CAST(MIN("&amp;F346&amp;") AS STRING) AS VALOR_MIN, CAST(MAX("&amp;F346&amp;") AS STRING) AS VALOR_MAX,'"&amp;MAX('ID1&amp;5'!K:K)+1&amp;"' AS ID_EXEC, CURRENT_TIMESTAMP() AS TIME_EXEC FROM "&amp;MID(I346,1,LEN(I346)-2)&amp;" AND CAST("&amp;F346&amp;"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TABELA_SIMUL,'GRP_TTL_DBT' AS CAMPO, '${ref_date}' AS REF_DATE, COUNT(*) AS NUM_REG, SUM(IF(TRIM(CAST(X.GRP_TTL_DBT AS STRING)) IN ('0000-00-00','0001-01-01','9999-12-31','MISS','00000','99999999999','99999999999.00','99999999999.000000'),1,0)) AS NUM_REG_DIF,'10' AS ID_EXEC, CURRENT_TIMESTAMP() AS TIME_EXEC FROM (SELECT entty_id, GRP_TTL_DBT FROM BU_LOANTAPE_WORK.LT003_ENTITY WHERE ref_date='${ref_date}' AND nome_perimetro='Individual Corporativo' AND segmento='ESTR' AND ambito='PILAR3')X</v>
      </c>
      <c r="M346" s="43" t="str">
        <f t="shared" si="5"/>
        <v>UNION ALL SELECT 'ENTITY' AS TABELA, 'MISSINGS' AS TIPOLOGIA_TESTE,'BU_LOANTAPE_WORK.LT003_ENTITY' AS TABELA_LT,'N/A' AS TABELA_SIMUL,'GRP_TTL_DBT' AS CAMPO, '${ref_date}' AS REF_DATE, COUNT(*) AS NUM_REG, SUM(IF(TRIM(CAST(X.GRP_TTL_DBT AS STRING)) IN ('0000-00-00','0001-01-01','9999-12-31','MISS','00000','99999999999','99999999999.00','99999999999.000000'),1,0)) AS NUM_REG_DIF,'10' AS ID_EXEC, CURRENT_TIMESTAMP() AS TIME_EXEC FROM (SELECT entty_id, GRP_TTL_DBT FROM BU_LOANTAPE_WORK.LT003_ENTITY WHERE ref_date='${ref_date}' AND nome_perimetro='Individual Corporativo' AND segmento='ESTR' AND ambito='PILAR3')X</v>
      </c>
      <c r="N346" s="45" t="s">
        <v>13</v>
      </c>
    </row>
    <row r="347" spans="2:14">
      <c r="B347" s="41" t="s">
        <v>23</v>
      </c>
      <c r="C347" s="41" t="s">
        <v>77</v>
      </c>
      <c r="D347" s="41" t="str">
        <f>+UPPER('0. Instruções'!$D$33&amp;"."&amp;VLOOKUP(B347,'0. Instruções'!$C$27:$D$31,2,FALSE))</f>
        <v>BU_LOANTAPE_WORK.LT003_ENTITY</v>
      </c>
      <c r="E347" s="41" t="str">
        <f>+UPPER('0. Instruções'!$D$34&amp;"."&amp;VLOOKUP(B347,'0. Instruções'!$C$27:$E$31,3,FALSE))</f>
        <v>BU_LOANTAPE_WORK.LT003_ENTTY_P3_NOV24</v>
      </c>
      <c r="F347" s="41" t="s">
        <v>189</v>
      </c>
      <c r="G347" s="41" t="s">
        <v>13</v>
      </c>
      <c r="H347" s="41"/>
      <c r="I347" s="41" t="str">
        <f>"(SELECT "&amp;VLOOKUP(B347,'0. Instruções'!$C$27:$G$31,4,FALSE)&amp;", "&amp;F347&amp;" FROM "&amp;D347&amp;" WHERE "&amp;'0. Instruções'!$D$40&amp;")X"</f>
        <v>(SELECT entty_id, TTL_DBT FROM BU_LOANTAPE_WORK.LT003_ENTITY WHERE ref_date='${ref_date}' AND nome_perimetro='Individual Corporativo' AND segmento='ESTR' AND ambito='PILAR3')X</v>
      </c>
      <c r="J347" s="41" t="str">
        <f>"(SELECT "&amp;VLOOKUP(B347,'0. Instruções'!$C$27:$G$31,4,FALSE)&amp;" AS "&amp;VLOOKUP(B347,'0. Instruções'!$C$27:$G$31,4,FALSE)&amp;"_SIMUL, "&amp;F347&amp;" AS "&amp;F347&amp;"_SIMUL FROM "&amp;E347&amp;")Y"</f>
        <v>(SELECT entty_id AS entty_id_SIMUL, TTL_DBT AS TTL_DBT_SIMUL FROM BU_LOANTAPE_WORK.LT003_ENTTY_P3_NOV24)Y</v>
      </c>
      <c r="K347" s="42" t="str">
        <f>+UPPER("ON X."&amp;VLOOKUP(B347,'0. Instruções'!$C$27:$G$31,4,FALSE)&amp;"=Y."&amp;VLOOKUP(B347,'0. Instruções'!$C$27:$G$31,4,FALSE)&amp;"_SIMUL")</f>
        <v>ON X.ENTTY_ID=Y.ENTTY_ID_SIMUL</v>
      </c>
      <c r="L347" s="42" t="str">
        <f>+IF(C347="Coerência", +IF(LEFT(G347,5)="FLOAT","SELECT '"&amp;UPPER(B347)&amp;"' AS TABELA, '"&amp;UPPER(C347)&amp;"' AS TIPOLOGIA_TESTE,'"&amp;D347&amp;"' AS TABELA_LT,'"&amp;E347&amp;"' AS TABELA_SIMUL,'"&amp;F347&amp;"' AS CAMPO, "&amp;"'${ref_date}' AS REF_DATE, COUNT(*) AS NUM_REG, SUM(IF((ABS(COALESCE(X."&amp;F347&amp;",0)-COALESCE(Y."&amp;F347&amp;"_SIMUL,0))&gt;0.0000000001) OR (X."&amp;F347&amp;" IS NULL AND Y."&amp;F347&amp;"_SIMUL IS NOT NULL ) OR (X."&amp;F347&amp;" IS NOT NULL AND Y."&amp;F347&amp;"_SIMUL IS NULL),1,0)) AS NUM_REG_DIF,'"&amp;MAX('ID1&amp;5'!K:K)+1&amp;"' AS ID_EXEC, CURRENT_TIMESTAMP() AS TIME_EXEC FROM "&amp;I347&amp;" INNER JOIN "&amp;J347&amp;" "&amp;K347,"SELECT '"&amp;UPPER(B347)&amp;"' AS TABELA, '"&amp;UPPER(C347)&amp;"' AS TIPOLOGIA_TESTE,'"&amp;D347&amp;"' AS TABELA_LT,'"&amp;E347&amp;"' AS TABELA_SIMUL,'"&amp;F347&amp;"' AS CAMPO, "&amp;"'${ref_date}' AS REF_DATE, COUNT(*) AS NUM_REG, SUM(IF(COALESCE(CAST(X."&amp;F347&amp;" AS STRING),'')&lt;&gt;COALESCE(CAST(Y."&amp;F347&amp;"_SIMUL AS STRING),''),1,0)) AS NUM_REG_DIF,'"&amp;MAX('ID1&amp;5'!L:L)+1&amp;"' AS ID_EXEC, CURRENT_TIMESTAMP() AS TIME_EXEC FROM "&amp;I347&amp;" INNER JOIN "&amp;J347&amp;" "&amp;K347),
IF(C347="Validade",+IF(G347="Code List","SELECT '"&amp;UPPER(B347)&amp;"' AS TABELA, '"&amp;UPPER(C347)&amp;"' AS TIPOLOGIA_TESTE,'"&amp;D347&amp;"' AS TABELA_LT,'N/A' AS TABELA_SIMUL,'"&amp;F347&amp;"' AS CAMPO, "&amp;"'${ref_date}' AS REF_DATE, COUNT(*) AS NUM_REG, SUM(IF(TRIM(CAST(X."&amp;F347&amp;" AS STRING))='' OR TRIM(CAST(X."&amp;F347&amp;" AS STRING)) IS NULL OR CAST(X."&amp;F347&amp;" AS STRING) NOT "&amp;H347&amp;",1,0)) AS NUM_REG_DIF,'"&amp;MAX('ID1&amp;5'!K:K)+1&amp;"' AS ID_EXEC, CURRENT_TIMESTAMP() AS TIME_EXEC FROM "&amp;I347,"SELECT '"&amp;UPPER(B347)&amp;"' AS TABELA, '"&amp;UPPER(C347)&amp;"' AS TIPOLOGIA_TESTE,'"&amp;D347&amp;"' AS TABELA_LT,'N/A' AS TABELA_SIMUL,'"&amp;F347&amp;"' AS CAMPO, "&amp;"'${ref_date}' AS REF_DATE, COUNT(*) AS NUM_REG, SUM(IF(TRIM(CAST(X."&amp;F347&amp;" AS STRING))='' OR TRIM(CAST(X."&amp;F347&amp;" AS STRING)) IS NULL,1,0)) AS NUM_REG_DIF,'"&amp;MAX('ID1&amp;5'!K:K)+1&amp;"' AS ID_EXEC, CURRENT_TIMESTAMP() AS TIME_EXEC FROM "&amp;I347),
IF(C347="Caracteres Especiais",+"SELECT '"&amp;UPPER(B347)&amp;"' AS TABELA, '"&amp;UPPER(C347)&amp;"' AS TIPOLOGIA_TESTE,'"&amp;D347&amp;"' AS TABELA_LT,'N/A' AS TABELA_SIMUL,'"&amp;F347&amp;"' AS CAMPO, "&amp;"'${ref_date}' AS REF_DATE, COUNT(*) AS NUM_REG, SUM(IF(INSTR(CAST(X."&amp;F347&amp;" AS STRING),'#')&gt;0 OR INSTR(CAST(X."&amp;F347&amp;" AS STRING),'*')&gt;0 OR INSTR(CAST(X."&amp;F347&amp;" AS STRING),'`')&gt;0 OR INSTR(CAST(X."&amp;F347&amp;" AS STRING),'´')&gt;0 OR INSTR(CAST(X."&amp;F347&amp;" AS STRING),'{')&gt;0 OR INSTR(CAST(X."&amp;F347&amp;" AS STRING),'}')&gt;0 OR INSTR(CAST(X."&amp;F347&amp;" AS STRING),'[')&gt;0 OR INSTR(CAST(X."&amp;F347&amp;" AS STRING),'')&gt;0 OR INSTR(CAST(X."&amp;F347&amp;" AS STRING),']')&gt;0 OR INSTR(CAST(X."&amp;F347&amp;" AS STRING),'?')&gt;0 OR INSTR(CAST(X."&amp;F347&amp;" AS STRING),'!')&gt;0 OR INSTR(CAST(X."&amp;F347&amp;" AS STRING),'$')&gt;0 OR INSTR(CAST(X."&amp;F347&amp;" AS STRING),'%')&gt;0 OR INSTR(CAST(X."&amp;F347&amp;" AS STRING),'&amp;')&gt;0 OR INSTR(CAST(X."&amp;F347&amp;" AS STRING),'+')&gt;0,1,0)) AS NUM_REG_DIF,'"&amp;MAX('ID1&amp;5'!K:K)+1&amp;"' AS ID_EXEC, CURRENT_TIMESTAMP() AS TIME_EXEC FROM "&amp;I347,
IF(C347="Missings",+"SELECT '"&amp;UPPER(B347)&amp;"' AS TABELA, '"&amp;UPPER(C347)&amp;"' AS TIPOLOGIA_TESTE,'"&amp;D347&amp;"' AS TABELA_LT,'N/A' AS TABELA_SIMUL,'"&amp;F347&amp;"' AS CAMPO, "&amp;"'${ref_date}' AS REF_DATE, COUNT(*) AS NUM_REG, SUM(IF(TRIM(CAST(X."&amp;F347&amp;" AS STRING)) IN ('0000-00-00','0001-01-01','9999-12-31','MISS','00000','99999999999','99999999999.00','99999999999.000000'),1,0)) AS NUM_REG_DIF,'"&amp;MAX('ID1&amp;5'!K:K)+1&amp;"' AS ID_EXEC, CURRENT_TIMESTAMP() AS TIME_EXEC FROM "&amp;I347,
IF(C347="Not applicable",+"SELECT '"&amp;UPPER(B347)&amp;"' AS TABELA, '"&amp;UPPER(C347)&amp;"' AS TIPOLOGIA_TESTE,'"&amp;D347&amp;"' AS TABELA_LT,'N/A' AS TABELA_SIMUL,'"&amp;F347&amp;"' AS CAMPO, "&amp;"'${ref_date}' AS REF_DATE, COUNT(*) AS NUM_REG, SUM(IF(TRIM(CAST(X."&amp;F347&amp;" AS STRING)) IN ('N/A','11111111111','11111111111.00','11111111111.000000','1111-11-11'),1,0)) AS NUM_REG_DIF,'"&amp;MAX('ID1&amp;5'!K:K)+1&amp;"' AS ID_EXEC, CURRENT_TIMESTAMP() AS TIME_EXEC FROM "&amp;I347,
IF(C347="Valores extremos",+"SELECT '"&amp;UPPER(B347)&amp;"' AS TABELA, '"&amp;UPPER(C347)&amp;"' AS TIPOLOGIA_TESTE,'"&amp;D347&amp;"' AS TABELA_LT,'N/A' AS TABELA_SIMUL,'"&amp;F347&amp;"' AS CAMPO, "&amp;"'${ref_date}' AS REF_DATE, CAST(MIN("&amp;F347&amp;") AS STRING) AS VALOR_MIN, CAST(MAX("&amp;F347&amp;") AS STRING) AS VALOR_MAX,'"&amp;MAX('ID1&amp;5'!K:K)+1&amp;"' AS ID_EXEC, CURRENT_TIMESTAMP() AS TIME_EXEC FROM "&amp;MID(I347,1,LEN(I347)-2)&amp;" AND CAST("&amp;F347&amp;"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TABELA_SIMUL,'TTL_DBT' AS CAMPO, '${ref_date}' AS REF_DATE, COUNT(*) AS NUM_REG, SUM(IF(TRIM(CAST(X.TTL_DBT AS STRING)) IN ('0000-00-00','0001-01-01','9999-12-31','MISS','00000','99999999999','99999999999.00','99999999999.000000'),1,0)) AS NUM_REG_DIF,'10' AS ID_EXEC, CURRENT_TIMESTAMP() AS TIME_EXEC FROM (SELECT entty_id, TTL_DBT FROM BU_LOANTAPE_WORK.LT003_ENTITY WHERE ref_date='${ref_date}' AND nome_perimetro='Individual Corporativo' AND segmento='ESTR' AND ambito='PILAR3')X</v>
      </c>
      <c r="M347" s="43" t="str">
        <f t="shared" si="5"/>
        <v>UNION ALL SELECT 'ENTITY' AS TABELA, 'MISSINGS' AS TIPOLOGIA_TESTE,'BU_LOANTAPE_WORK.LT003_ENTITY' AS TABELA_LT,'N/A' AS TABELA_SIMUL,'TTL_DBT' AS CAMPO, '${ref_date}' AS REF_DATE, COUNT(*) AS NUM_REG, SUM(IF(TRIM(CAST(X.TTL_DBT AS STRING)) IN ('0000-00-00','0001-01-01','9999-12-31','MISS','00000','99999999999','99999999999.00','99999999999.000000'),1,0)) AS NUM_REG_DIF,'10' AS ID_EXEC, CURRENT_TIMESTAMP() AS TIME_EXEC FROM (SELECT entty_id, TTL_DBT FROM BU_LOANTAPE_WORK.LT003_ENTITY WHERE ref_date='${ref_date}' AND nome_perimetro='Individual Corporativo' AND segmento='ESTR' AND ambito='PILAR3')X</v>
      </c>
      <c r="N347" s="45" t="s">
        <v>13</v>
      </c>
    </row>
    <row r="348" spans="2:14">
      <c r="B348" s="41" t="s">
        <v>23</v>
      </c>
      <c r="C348" s="41" t="s">
        <v>77</v>
      </c>
      <c r="D348" s="41" t="str">
        <f>+UPPER('0. Instruções'!$D$33&amp;"."&amp;VLOOKUP(B348,'0. Instruções'!$C$27:$D$31,2,FALSE))</f>
        <v>BU_LOANTAPE_WORK.LT003_ENTITY</v>
      </c>
      <c r="E348" s="41" t="str">
        <f>+UPPER('0. Instruções'!$D$34&amp;"."&amp;VLOOKUP(B348,'0. Instruções'!$C$27:$E$31,3,FALSE))</f>
        <v>BU_LOANTAPE_WORK.LT003_ENTTY_P3_NOV24</v>
      </c>
      <c r="F348" s="41" t="s">
        <v>173</v>
      </c>
      <c r="G348" s="41" t="s">
        <v>13</v>
      </c>
      <c r="H348" s="41"/>
      <c r="I348" s="41" t="str">
        <f>"(SELECT "&amp;VLOOKUP(B348,'0. Instruções'!$C$27:$G$31,4,FALSE)&amp;", "&amp;F348&amp;" FROM "&amp;D348&amp;" WHERE "&amp;'0. Instruções'!$D$40&amp;")X"</f>
        <v>(SELECT entty_id, COD_SOC FROM BU_LOANTAPE_WORK.LT003_ENTITY WHERE ref_date='${ref_date}' AND nome_perimetro='Individual Corporativo' AND segmento='ESTR' AND ambito='PILAR3')X</v>
      </c>
      <c r="J348" s="41" t="str">
        <f>"(SELECT "&amp;VLOOKUP(B348,'0. Instruções'!$C$27:$G$31,4,FALSE)&amp;" AS "&amp;VLOOKUP(B348,'0. Instruções'!$C$27:$G$31,4,FALSE)&amp;"_SIMUL, "&amp;F348&amp;" AS "&amp;F348&amp;"_SIMUL FROM "&amp;E348&amp;")Y"</f>
        <v>(SELECT entty_id AS entty_id_SIMUL, COD_SOC AS COD_SOC_SIMUL FROM BU_LOANTAPE_WORK.LT003_ENTTY_P3_NOV24)Y</v>
      </c>
      <c r="K348" s="42" t="str">
        <f>+UPPER("ON X."&amp;VLOOKUP(B348,'0. Instruções'!$C$27:$G$31,4,FALSE)&amp;"=Y."&amp;VLOOKUP(B348,'0. Instruções'!$C$27:$G$31,4,FALSE)&amp;"_SIMUL")</f>
        <v>ON X.ENTTY_ID=Y.ENTTY_ID_SIMUL</v>
      </c>
      <c r="L348" s="42" t="str">
        <f>+IF(C348="Coerência", +IF(LEFT(G348,5)="FLOAT","SELECT '"&amp;UPPER(B348)&amp;"' AS TABELA, '"&amp;UPPER(C348)&amp;"' AS TIPOLOGIA_TESTE,'"&amp;D348&amp;"' AS TABELA_LT,'"&amp;E348&amp;"' AS TABELA_SIMUL,'"&amp;F348&amp;"' AS CAMPO, "&amp;"'${ref_date}' AS REF_DATE, COUNT(*) AS NUM_REG, SUM(IF((ABS(COALESCE(X."&amp;F348&amp;",0)-COALESCE(Y."&amp;F348&amp;"_SIMUL,0))&gt;0.0000000001) OR (X."&amp;F348&amp;" IS NULL AND Y."&amp;F348&amp;"_SIMUL IS NOT NULL ) OR (X."&amp;F348&amp;" IS NOT NULL AND Y."&amp;F348&amp;"_SIMUL IS NULL),1,0)) AS NUM_REG_DIF,'"&amp;MAX('ID1&amp;5'!K:K)+1&amp;"' AS ID_EXEC, CURRENT_TIMESTAMP() AS TIME_EXEC FROM "&amp;I348&amp;" INNER JOIN "&amp;J348&amp;" "&amp;K348,"SELECT '"&amp;UPPER(B348)&amp;"' AS TABELA, '"&amp;UPPER(C348)&amp;"' AS TIPOLOGIA_TESTE,'"&amp;D348&amp;"' AS TABELA_LT,'"&amp;E348&amp;"' AS TABELA_SIMUL,'"&amp;F348&amp;"' AS CAMPO, "&amp;"'${ref_date}' AS REF_DATE, COUNT(*) AS NUM_REG, SUM(IF(COALESCE(CAST(X."&amp;F348&amp;" AS STRING),'')&lt;&gt;COALESCE(CAST(Y."&amp;F348&amp;"_SIMUL AS STRING),''),1,0)) AS NUM_REG_DIF,'"&amp;MAX('ID1&amp;5'!L:L)+1&amp;"' AS ID_EXEC, CURRENT_TIMESTAMP() AS TIME_EXEC FROM "&amp;I348&amp;" INNER JOIN "&amp;J348&amp;" "&amp;K348),
IF(C348="Validade",+IF(G348="Code List","SELECT '"&amp;UPPER(B348)&amp;"' AS TABELA, '"&amp;UPPER(C348)&amp;"' AS TIPOLOGIA_TESTE,'"&amp;D348&amp;"' AS TABELA_LT,'N/A' AS TABELA_SIMUL,'"&amp;F348&amp;"' AS CAMPO, "&amp;"'${ref_date}' AS REF_DATE, COUNT(*) AS NUM_REG, SUM(IF(TRIM(CAST(X."&amp;F348&amp;" AS STRING))='' OR TRIM(CAST(X."&amp;F348&amp;" AS STRING)) IS NULL OR CAST(X."&amp;F348&amp;" AS STRING) NOT "&amp;H348&amp;",1,0)) AS NUM_REG_DIF,'"&amp;MAX('ID1&amp;5'!K:K)+1&amp;"' AS ID_EXEC, CURRENT_TIMESTAMP() AS TIME_EXEC FROM "&amp;I348,"SELECT '"&amp;UPPER(B348)&amp;"' AS TABELA, '"&amp;UPPER(C348)&amp;"' AS TIPOLOGIA_TESTE,'"&amp;D348&amp;"' AS TABELA_LT,'N/A' AS TABELA_SIMUL,'"&amp;F348&amp;"' AS CAMPO, "&amp;"'${ref_date}' AS REF_DATE, COUNT(*) AS NUM_REG, SUM(IF(TRIM(CAST(X."&amp;F348&amp;" AS STRING))='' OR TRIM(CAST(X."&amp;F348&amp;" AS STRING)) IS NULL,1,0)) AS NUM_REG_DIF,'"&amp;MAX('ID1&amp;5'!K:K)+1&amp;"' AS ID_EXEC, CURRENT_TIMESTAMP() AS TIME_EXEC FROM "&amp;I348),
IF(C348="Caracteres Especiais",+"SELECT '"&amp;UPPER(B348)&amp;"' AS TABELA, '"&amp;UPPER(C348)&amp;"' AS TIPOLOGIA_TESTE,'"&amp;D348&amp;"' AS TABELA_LT,'N/A' AS TABELA_SIMUL,'"&amp;F348&amp;"' AS CAMPO, "&amp;"'${ref_date}' AS REF_DATE, COUNT(*) AS NUM_REG, SUM(IF(INSTR(CAST(X."&amp;F348&amp;" AS STRING),'#')&gt;0 OR INSTR(CAST(X."&amp;F348&amp;" AS STRING),'*')&gt;0 OR INSTR(CAST(X."&amp;F348&amp;" AS STRING),'`')&gt;0 OR INSTR(CAST(X."&amp;F348&amp;" AS STRING),'´')&gt;0 OR INSTR(CAST(X."&amp;F348&amp;" AS STRING),'{')&gt;0 OR INSTR(CAST(X."&amp;F348&amp;" AS STRING),'}')&gt;0 OR INSTR(CAST(X."&amp;F348&amp;" AS STRING),'[')&gt;0 OR INSTR(CAST(X."&amp;F348&amp;" AS STRING),'')&gt;0 OR INSTR(CAST(X."&amp;F348&amp;" AS STRING),']')&gt;0 OR INSTR(CAST(X."&amp;F348&amp;" AS STRING),'?')&gt;0 OR INSTR(CAST(X."&amp;F348&amp;" AS STRING),'!')&gt;0 OR INSTR(CAST(X."&amp;F348&amp;" AS STRING),'$')&gt;0 OR INSTR(CAST(X."&amp;F348&amp;" AS STRING),'%')&gt;0 OR INSTR(CAST(X."&amp;F348&amp;" AS STRING),'&amp;')&gt;0 OR INSTR(CAST(X."&amp;F348&amp;" AS STRING),'+')&gt;0,1,0)) AS NUM_REG_DIF,'"&amp;MAX('ID1&amp;5'!K:K)+1&amp;"' AS ID_EXEC, CURRENT_TIMESTAMP() AS TIME_EXEC FROM "&amp;I348,
IF(C348="Missings",+"SELECT '"&amp;UPPER(B348)&amp;"' AS TABELA, '"&amp;UPPER(C348)&amp;"' AS TIPOLOGIA_TESTE,'"&amp;D348&amp;"' AS TABELA_LT,'N/A' AS TABELA_SIMUL,'"&amp;F348&amp;"' AS CAMPO, "&amp;"'${ref_date}' AS REF_DATE, COUNT(*) AS NUM_REG, SUM(IF(TRIM(CAST(X."&amp;F348&amp;" AS STRING)) IN ('0000-00-00','0001-01-01','9999-12-31','MISS','00000','99999999999','99999999999.00','99999999999.000000'),1,0)) AS NUM_REG_DIF,'"&amp;MAX('ID1&amp;5'!K:K)+1&amp;"' AS ID_EXEC, CURRENT_TIMESTAMP() AS TIME_EXEC FROM "&amp;I348,
IF(C348="Not applicable",+"SELECT '"&amp;UPPER(B348)&amp;"' AS TABELA, '"&amp;UPPER(C348)&amp;"' AS TIPOLOGIA_TESTE,'"&amp;D348&amp;"' AS TABELA_LT,'N/A' AS TABELA_SIMUL,'"&amp;F348&amp;"' AS CAMPO, "&amp;"'${ref_date}' AS REF_DATE, COUNT(*) AS NUM_REG, SUM(IF(TRIM(CAST(X."&amp;F348&amp;" AS STRING)) IN ('N/A','11111111111','11111111111.00','11111111111.000000','1111-11-11'),1,0)) AS NUM_REG_DIF,'"&amp;MAX('ID1&amp;5'!K:K)+1&amp;"' AS ID_EXEC, CURRENT_TIMESTAMP() AS TIME_EXEC FROM "&amp;I348,
IF(C348="Valores extremos",+"SELECT '"&amp;UPPER(B348)&amp;"' AS TABELA, '"&amp;UPPER(C348)&amp;"' AS TIPOLOGIA_TESTE,'"&amp;D348&amp;"' AS TABELA_LT,'N/A' AS TABELA_SIMUL,'"&amp;F348&amp;"' AS CAMPO, "&amp;"'${ref_date}' AS REF_DATE, CAST(MIN("&amp;F348&amp;") AS STRING) AS VALOR_MIN, CAST(MAX("&amp;F348&amp;") AS STRING) AS VALOR_MAX,'"&amp;MAX('ID1&amp;5'!K:K)+1&amp;"' AS ID_EXEC, CURRENT_TIMESTAMP() AS TIME_EXEC FROM "&amp;MID(I348,1,LEN(I348)-2)&amp;" AND CAST("&amp;F348&amp;" AS STRING) NOT IN ('0000-00-00','0001-01-01','9999-12-31','MISS','00000','99999999999','99999999999.00','99999999999.000000','N/A','11111111111','11111111111.00','11111111111.000000','1111-11-11'))X"))))))</f>
        <v>SELECT 'ENTITY' AS TABELA, 'MISSINGS' AS TIPOLOGIA_TESTE,'BU_LOANTAPE_WORK.LT003_ENTITY' AS TABELA_LT,'N/A' AS TABELA_SIMUL,'COD_SOC' AS CAMPO, '${ref_date}' AS REF_DATE, COUNT(*) AS NUM_REG, SUM(IF(TRIM(CAST(X.COD_SOC AS STRING)) IN ('0000-00-00','0001-01-01','9999-12-31','MISS','00000','99999999999','99999999999.00','99999999999.000000'),1,0)) AS NUM_REG_DIF,'10' AS ID_EXEC, CURRENT_TIMESTAMP() AS TIME_EXEC FROM (SELECT entty_id, COD_SOC FROM BU_LOANTAPE_WORK.LT003_ENTITY WHERE ref_date='${ref_date}' AND nome_perimetro='Individual Corporativo' AND segmento='ESTR' AND ambito='PILAR3')X</v>
      </c>
      <c r="M348" s="43" t="str">
        <f t="shared" si="5"/>
        <v>UNION ALL SELECT 'ENTITY' AS TABELA, 'MISSINGS' AS TIPOLOGIA_TESTE,'BU_LOANTAPE_WORK.LT003_ENTITY' AS TABELA_LT,'N/A' AS TABELA_SIMUL,'COD_SOC' AS CAMPO, '${ref_date}' AS REF_DATE, COUNT(*) AS NUM_REG, SUM(IF(TRIM(CAST(X.COD_SOC AS STRING)) IN ('0000-00-00','0001-01-01','9999-12-31','MISS','00000','99999999999','99999999999.00','99999999999.000000'),1,0)) AS NUM_REG_DIF,'10' AS ID_EXEC, CURRENT_TIMESTAMP() AS TIME_EXEC FROM (SELECT entty_id, COD_SOC FROM BU_LOANTAPE_WORK.LT003_ENTITY WHERE ref_date='${ref_date}' AND nome_perimetro='Individual Corporativo' AND segmento='ESTR' AND ambito='PILAR3')X</v>
      </c>
      <c r="N348" s="45" t="s">
        <v>13</v>
      </c>
    </row>
    <row r="349" spans="2:14">
      <c r="B349" s="41" t="s">
        <v>31</v>
      </c>
      <c r="C349" s="41" t="s">
        <v>77</v>
      </c>
      <c r="D349" s="41" t="str">
        <f>+UPPER('0. Instruções'!$D$33&amp;"."&amp;VLOOKUP(B349,'0. Instruções'!$C$27:$D$31,2,FALSE))</f>
        <v>BU_LOANTAPE_WORK.LT004_PROTECTION</v>
      </c>
      <c r="E349" s="41" t="str">
        <f>+UPPER('0. Instruções'!$D$34&amp;"."&amp;VLOOKUP(B349,'0. Instruções'!$C$27:$E$31,3,FALSE))</f>
        <v>BU_LOANTAPE_WORK.LT004_PROTECTION_P3_NOV24</v>
      </c>
      <c r="F349" s="41" t="s">
        <v>135</v>
      </c>
      <c r="G349" s="41" t="s">
        <v>209</v>
      </c>
      <c r="H349" s="41"/>
      <c r="I349" s="41" t="str">
        <f>"(SELECT "&amp;VLOOKUP(B349,'0. Instruções'!$C$27:$G$31,4,FALSE)&amp;", "&amp;F349&amp;" FROM "&amp;D349&amp;" WHERE "&amp;'0. Instruções'!$D$40&amp;")X"</f>
        <v>(SELECT prtctn_id, TYP_EP_SCR FROM BU_LOANTAPE_WORK.LT004_PROTECTION WHERE ref_date='${ref_date}' AND nome_perimetro='Individual Corporativo' AND segmento='ESTR' AND ambito='PILAR3')X</v>
      </c>
      <c r="J349" s="41" t="str">
        <f>"(SELECT "&amp;VLOOKUP(B349,'0. Instruções'!$C$27:$G$31,4,FALSE)&amp;" AS "&amp;VLOOKUP(B349,'0. Instruções'!$C$27:$G$31,4,FALSE)&amp;"_SIMUL, "&amp;F349&amp;" AS "&amp;F349&amp;"_SIMUL FROM "&amp;E349&amp;")Y"</f>
        <v>(SELECT prtctn_id AS prtctn_id_SIMUL, TYP_EP_SCR AS TYP_EP_SCR_SIMUL FROM BU_LOANTAPE_WORK.LT004_PROTECTION_P3_NOV24)Y</v>
      </c>
      <c r="K349" s="42" t="str">
        <f>+UPPER("ON X."&amp;VLOOKUP(B349,'0. Instruções'!$C$27:$G$31,4,FALSE)&amp;"=Y."&amp;VLOOKUP(B349,'0. Instruções'!$C$27:$G$31,4,FALSE)&amp;"_SIMUL")</f>
        <v>ON X.PRTCTN_ID=Y.PRTCTN_ID_SIMUL</v>
      </c>
      <c r="L349" s="42" t="str">
        <f>+IF(C349="Coerência", +IF(LEFT(G349,5)="FLOAT","SELECT '"&amp;UPPER(B349)&amp;"' AS TABELA, '"&amp;UPPER(C349)&amp;"' AS TIPOLOGIA_TESTE,'"&amp;D349&amp;"' AS TABELA_LT,'"&amp;E349&amp;"' AS TABELA_SIMUL,'"&amp;F349&amp;"' AS CAMPO, "&amp;"'${ref_date}' AS REF_DATE, COUNT(*) AS NUM_REG, SUM(IF((ABS(COALESCE(X."&amp;F349&amp;",0)-COALESCE(Y."&amp;F349&amp;"_SIMUL,0))&gt;0.0000000001) OR (X."&amp;F349&amp;" IS NULL AND Y."&amp;F349&amp;"_SIMUL IS NOT NULL ) OR (X."&amp;F349&amp;" IS NOT NULL AND Y."&amp;F349&amp;"_SIMUL IS NULL),1,0)) AS NUM_REG_DIF,'"&amp;MAX('ID1&amp;5'!K:K)+1&amp;"' AS ID_EXEC, CURRENT_TIMESTAMP() AS TIME_EXEC FROM "&amp;I349&amp;" INNER JOIN "&amp;J349&amp;" "&amp;K349,"SELECT '"&amp;UPPER(B349)&amp;"' AS TABELA, '"&amp;UPPER(C349)&amp;"' AS TIPOLOGIA_TESTE,'"&amp;D349&amp;"' AS TABELA_LT,'"&amp;E349&amp;"' AS TABELA_SIMUL,'"&amp;F349&amp;"' AS CAMPO, "&amp;"'${ref_date}' AS REF_DATE, COUNT(*) AS NUM_REG, SUM(IF(COALESCE(CAST(X."&amp;F349&amp;" AS STRING),'')&lt;&gt;COALESCE(CAST(Y."&amp;F349&amp;"_SIMUL AS STRING),''),1,0)) AS NUM_REG_DIF,'"&amp;MAX('ID1&amp;5'!L:L)+1&amp;"' AS ID_EXEC, CURRENT_TIMESTAMP() AS TIME_EXEC FROM "&amp;I349&amp;" INNER JOIN "&amp;J349&amp;" "&amp;K349),
IF(C349="Validade",+IF(G349="Code List","SELECT '"&amp;UPPER(B349)&amp;"' AS TABELA, '"&amp;UPPER(C349)&amp;"' AS TIPOLOGIA_TESTE,'"&amp;D349&amp;"' AS TABELA_LT,'N/A' AS TABELA_SIMUL,'"&amp;F349&amp;"' AS CAMPO, "&amp;"'${ref_date}' AS REF_DATE, COUNT(*) AS NUM_REG, SUM(IF(TRIM(CAST(X."&amp;F349&amp;" AS STRING))='' OR TRIM(CAST(X."&amp;F349&amp;" AS STRING)) IS NULL OR CAST(X."&amp;F349&amp;" AS STRING) NOT "&amp;H349&amp;",1,0)) AS NUM_REG_DIF,'"&amp;MAX('ID1&amp;5'!K:K)+1&amp;"' AS ID_EXEC, CURRENT_TIMESTAMP() AS TIME_EXEC FROM "&amp;I349,"SELECT '"&amp;UPPER(B349)&amp;"' AS TABELA, '"&amp;UPPER(C349)&amp;"' AS TIPOLOGIA_TESTE,'"&amp;D349&amp;"' AS TABELA_LT,'N/A' AS TABELA_SIMUL,'"&amp;F349&amp;"' AS CAMPO, "&amp;"'${ref_date}' AS REF_DATE, COUNT(*) AS NUM_REG, SUM(IF(TRIM(CAST(X."&amp;F349&amp;" AS STRING))='' OR TRIM(CAST(X."&amp;F349&amp;" AS STRING)) IS NULL,1,0)) AS NUM_REG_DIF,'"&amp;MAX('ID1&amp;5'!K:K)+1&amp;"' AS ID_EXEC, CURRENT_TIMESTAMP() AS TIME_EXEC FROM "&amp;I349),
IF(C349="Caracteres Especiais",+"SELECT '"&amp;UPPER(B349)&amp;"' AS TABELA, '"&amp;UPPER(C349)&amp;"' AS TIPOLOGIA_TESTE,'"&amp;D349&amp;"' AS TABELA_LT,'N/A' AS TABELA_SIMUL,'"&amp;F349&amp;"' AS CAMPO, "&amp;"'${ref_date}' AS REF_DATE, COUNT(*) AS NUM_REG, SUM(IF(INSTR(CAST(X."&amp;F349&amp;" AS STRING),'#')&gt;0 OR INSTR(CAST(X."&amp;F349&amp;" AS STRING),'*')&gt;0 OR INSTR(CAST(X."&amp;F349&amp;" AS STRING),'`')&gt;0 OR INSTR(CAST(X."&amp;F349&amp;" AS STRING),'´')&gt;0 OR INSTR(CAST(X."&amp;F349&amp;" AS STRING),'{')&gt;0 OR INSTR(CAST(X."&amp;F349&amp;" AS STRING),'}')&gt;0 OR INSTR(CAST(X."&amp;F349&amp;" AS STRING),'[')&gt;0 OR INSTR(CAST(X."&amp;F349&amp;" AS STRING),'')&gt;0 OR INSTR(CAST(X."&amp;F349&amp;" AS STRING),']')&gt;0 OR INSTR(CAST(X."&amp;F349&amp;" AS STRING),'?')&gt;0 OR INSTR(CAST(X."&amp;F349&amp;" AS STRING),'!')&gt;0 OR INSTR(CAST(X."&amp;F349&amp;" AS STRING),'$')&gt;0 OR INSTR(CAST(X."&amp;F349&amp;" AS STRING),'%')&gt;0 OR INSTR(CAST(X."&amp;F349&amp;" AS STRING),'&amp;')&gt;0 OR INSTR(CAST(X."&amp;F349&amp;" AS STRING),'+')&gt;0,1,0)) AS NUM_REG_DIF,'"&amp;MAX('ID1&amp;5'!K:K)+1&amp;"' AS ID_EXEC, CURRENT_TIMESTAMP() AS TIME_EXEC FROM "&amp;I349,
IF(C349="Missings",+"SELECT '"&amp;UPPER(B349)&amp;"' AS TABELA, '"&amp;UPPER(C349)&amp;"' AS TIPOLOGIA_TESTE,'"&amp;D349&amp;"' AS TABELA_LT,'N/A' AS TABELA_SIMUL,'"&amp;F349&amp;"' AS CAMPO, "&amp;"'${ref_date}' AS REF_DATE, COUNT(*) AS NUM_REG, SUM(IF(TRIM(CAST(X."&amp;F349&amp;" AS STRING)) IN ('0000-00-00','0001-01-01','9999-12-31','MISS','00000','99999999999','99999999999.00','99999999999.000000'),1,0)) AS NUM_REG_DIF,'"&amp;MAX('ID1&amp;5'!K:K)+1&amp;"' AS ID_EXEC, CURRENT_TIMESTAMP() AS TIME_EXEC FROM "&amp;I349,
IF(C349="Not applicable",+"SELECT '"&amp;UPPER(B349)&amp;"' AS TABELA, '"&amp;UPPER(C349)&amp;"' AS TIPOLOGIA_TESTE,'"&amp;D349&amp;"' AS TABELA_LT,'N/A' AS TABELA_SIMUL,'"&amp;F349&amp;"' AS CAMPO, "&amp;"'${ref_date}' AS REF_DATE, COUNT(*) AS NUM_REG, SUM(IF(TRIM(CAST(X."&amp;F349&amp;" AS STRING)) IN ('N/A','11111111111','11111111111.00','11111111111.000000','1111-11-11'),1,0)) AS NUM_REG_DIF,'"&amp;MAX('ID1&amp;5'!K:K)+1&amp;"' AS ID_EXEC, CURRENT_TIMESTAMP() AS TIME_EXEC FROM "&amp;I349,
IF(C349="Valores extremos",+"SELECT '"&amp;UPPER(B349)&amp;"' AS TABELA, '"&amp;UPPER(C349)&amp;"' AS TIPOLOGIA_TESTE,'"&amp;D349&amp;"' AS TABELA_LT,'N/A' AS TABELA_SIMUL,'"&amp;F349&amp;"' AS CAMPO, "&amp;"'${ref_date}' AS REF_DATE, CAST(MIN("&amp;F349&amp;") AS STRING) AS VALOR_MIN, CAST(MAX("&amp;F349&amp;") AS STRING) AS VALOR_MAX,'"&amp;MAX('ID1&amp;5'!K:K)+1&amp;"' AS ID_EXEC, CURRENT_TIMESTAMP() AS TIME_EXEC FROM "&amp;MID(I349,1,LEN(I349)-2)&amp;" AND CAST("&amp;F349&amp;"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TABELA_SIMUL,'TYP_EP_SCR' AS CAMPO, '${ref_date}' AS REF_DATE, COUNT(*) AS NUM_REG, SUM(IF(TRIM(CAST(X.TYP_EP_SCR AS STRING)) IN ('0000-00-00','0001-01-01','9999-12-31','MISS','00000','99999999999','99999999999.00','99999999999.000000'),1,0)) AS NUM_REG_DIF,'10' AS ID_EXEC, CURRENT_TIMESTAMP() AS TIME_EXEC FROM (SELECT prtctn_id, TYP_EP_SCR FROM BU_LOANTAPE_WORK.LT004_PROTECTION WHERE ref_date='${ref_date}' AND nome_perimetro='Individual Corporativo' AND segmento='ESTR' AND ambito='PILAR3')X</v>
      </c>
      <c r="M349" s="43" t="str">
        <f t="shared" si="5"/>
        <v>UNION ALL SELECT 'PROTECTION' AS TABELA, 'MISSINGS' AS TIPOLOGIA_TESTE,'BU_LOANTAPE_WORK.LT004_PROTECTION' AS TABELA_LT,'N/A' AS TABELA_SIMUL,'TYP_EP_SCR' AS CAMPO, '${ref_date}' AS REF_DATE, COUNT(*) AS NUM_REG, SUM(IF(TRIM(CAST(X.TYP_EP_SCR AS STRING)) IN ('0000-00-00','0001-01-01','9999-12-31','MISS','00000','99999999999','99999999999.00','99999999999.000000'),1,0)) AS NUM_REG_DIF,'10' AS ID_EXEC, CURRENT_TIMESTAMP() AS TIME_EXEC FROM (SELECT prtctn_id, TYP_EP_SCR FROM BU_LOANTAPE_WORK.LT004_PROTECTION WHERE ref_date='${ref_date}' AND nome_perimetro='Individual Corporativo' AND segmento='ESTR' AND ambito='PILAR3')X</v>
      </c>
      <c r="N349" s="45" t="s">
        <v>13</v>
      </c>
    </row>
    <row r="350" spans="2:14">
      <c r="B350" s="41" t="s">
        <v>31</v>
      </c>
      <c r="C350" s="41" t="s">
        <v>77</v>
      </c>
      <c r="D350" s="41" t="str">
        <f>+UPPER('0. Instruções'!$D$33&amp;"."&amp;VLOOKUP(B350,'0. Instruções'!$C$27:$D$31,2,FALSE))</f>
        <v>BU_LOANTAPE_WORK.LT004_PROTECTION</v>
      </c>
      <c r="E350" s="41" t="str">
        <f>+UPPER('0. Instruções'!$D$34&amp;"."&amp;VLOOKUP(B350,'0. Instruções'!$C$27:$E$31,3,FALSE))</f>
        <v>BU_LOANTAPE_WORK.LT004_PROTECTION_P3_NOV24</v>
      </c>
      <c r="F350" s="41" t="s">
        <v>136</v>
      </c>
      <c r="G350" s="41" t="s">
        <v>209</v>
      </c>
      <c r="H350" s="41"/>
      <c r="I350" s="41" t="str">
        <f>"(SELECT "&amp;VLOOKUP(B350,'0. Instruções'!$C$27:$G$31,4,FALSE)&amp;", "&amp;F350&amp;" FROM "&amp;D350&amp;" WHERE "&amp;'0. Instruções'!$D$40&amp;")X"</f>
        <v>(SELECT prtctn_id, EP_SCR FROM BU_LOANTAPE_WORK.LT004_PROTECTION WHERE ref_date='${ref_date}' AND nome_perimetro='Individual Corporativo' AND segmento='ESTR' AND ambito='PILAR3')X</v>
      </c>
      <c r="J350" s="41" t="str">
        <f>"(SELECT "&amp;VLOOKUP(B350,'0. Instruções'!$C$27:$G$31,4,FALSE)&amp;" AS "&amp;VLOOKUP(B350,'0. Instruções'!$C$27:$G$31,4,FALSE)&amp;"_SIMUL, "&amp;F350&amp;" AS "&amp;F350&amp;"_SIMUL FROM "&amp;E350&amp;")Y"</f>
        <v>(SELECT prtctn_id AS prtctn_id_SIMUL, EP_SCR AS EP_SCR_SIMUL FROM BU_LOANTAPE_WORK.LT004_PROTECTION_P3_NOV24)Y</v>
      </c>
      <c r="K350" s="42" t="str">
        <f>+UPPER("ON X."&amp;VLOOKUP(B350,'0. Instruções'!$C$27:$G$31,4,FALSE)&amp;"=Y."&amp;VLOOKUP(B350,'0. Instruções'!$C$27:$G$31,4,FALSE)&amp;"_SIMUL")</f>
        <v>ON X.PRTCTN_ID=Y.PRTCTN_ID_SIMUL</v>
      </c>
      <c r="L350" s="42" t="str">
        <f>+IF(C350="Coerência", +IF(LEFT(G350,5)="FLOAT","SELECT '"&amp;UPPER(B350)&amp;"' AS TABELA, '"&amp;UPPER(C350)&amp;"' AS TIPOLOGIA_TESTE,'"&amp;D350&amp;"' AS TABELA_LT,'"&amp;E350&amp;"' AS TABELA_SIMUL,'"&amp;F350&amp;"' AS CAMPO, "&amp;"'${ref_date}' AS REF_DATE, COUNT(*) AS NUM_REG, SUM(IF((ABS(COALESCE(X."&amp;F350&amp;",0)-COALESCE(Y."&amp;F350&amp;"_SIMUL,0))&gt;0.0000000001) OR (X."&amp;F350&amp;" IS NULL AND Y."&amp;F350&amp;"_SIMUL IS NOT NULL ) OR (X."&amp;F350&amp;" IS NOT NULL AND Y."&amp;F350&amp;"_SIMUL IS NULL),1,0)) AS NUM_REG_DIF,'"&amp;MAX('ID1&amp;5'!K:K)+1&amp;"' AS ID_EXEC, CURRENT_TIMESTAMP() AS TIME_EXEC FROM "&amp;I350&amp;" INNER JOIN "&amp;J350&amp;" "&amp;K350,"SELECT '"&amp;UPPER(B350)&amp;"' AS TABELA, '"&amp;UPPER(C350)&amp;"' AS TIPOLOGIA_TESTE,'"&amp;D350&amp;"' AS TABELA_LT,'"&amp;E350&amp;"' AS TABELA_SIMUL,'"&amp;F350&amp;"' AS CAMPO, "&amp;"'${ref_date}' AS REF_DATE, COUNT(*) AS NUM_REG, SUM(IF(COALESCE(CAST(X."&amp;F350&amp;" AS STRING),'')&lt;&gt;COALESCE(CAST(Y."&amp;F350&amp;"_SIMUL AS STRING),''),1,0)) AS NUM_REG_DIF,'"&amp;MAX('ID1&amp;5'!L:L)+1&amp;"' AS ID_EXEC, CURRENT_TIMESTAMP() AS TIME_EXEC FROM "&amp;I350&amp;" INNER JOIN "&amp;J350&amp;" "&amp;K350),
IF(C350="Validade",+IF(G350="Code List","SELECT '"&amp;UPPER(B350)&amp;"' AS TABELA, '"&amp;UPPER(C350)&amp;"' AS TIPOLOGIA_TESTE,'"&amp;D350&amp;"' AS TABELA_LT,'N/A' AS TABELA_SIMUL,'"&amp;F350&amp;"' AS CAMPO, "&amp;"'${ref_date}' AS REF_DATE, COUNT(*) AS NUM_REG, SUM(IF(TRIM(CAST(X."&amp;F350&amp;" AS STRING))='' OR TRIM(CAST(X."&amp;F350&amp;" AS STRING)) IS NULL OR CAST(X."&amp;F350&amp;" AS STRING) NOT "&amp;H350&amp;",1,0)) AS NUM_REG_DIF,'"&amp;MAX('ID1&amp;5'!K:K)+1&amp;"' AS ID_EXEC, CURRENT_TIMESTAMP() AS TIME_EXEC FROM "&amp;I350,"SELECT '"&amp;UPPER(B350)&amp;"' AS TABELA, '"&amp;UPPER(C350)&amp;"' AS TIPOLOGIA_TESTE,'"&amp;D350&amp;"' AS TABELA_LT,'N/A' AS TABELA_SIMUL,'"&amp;F350&amp;"' AS CAMPO, "&amp;"'${ref_date}' AS REF_DATE, COUNT(*) AS NUM_REG, SUM(IF(TRIM(CAST(X."&amp;F350&amp;" AS STRING))='' OR TRIM(CAST(X."&amp;F350&amp;" AS STRING)) IS NULL,1,0)) AS NUM_REG_DIF,'"&amp;MAX('ID1&amp;5'!K:K)+1&amp;"' AS ID_EXEC, CURRENT_TIMESTAMP() AS TIME_EXEC FROM "&amp;I350),
IF(C350="Caracteres Especiais",+"SELECT '"&amp;UPPER(B350)&amp;"' AS TABELA, '"&amp;UPPER(C350)&amp;"' AS TIPOLOGIA_TESTE,'"&amp;D350&amp;"' AS TABELA_LT,'N/A' AS TABELA_SIMUL,'"&amp;F350&amp;"' AS CAMPO, "&amp;"'${ref_date}' AS REF_DATE, COUNT(*) AS NUM_REG, SUM(IF(INSTR(CAST(X."&amp;F350&amp;" AS STRING),'#')&gt;0 OR INSTR(CAST(X."&amp;F350&amp;" AS STRING),'*')&gt;0 OR INSTR(CAST(X."&amp;F350&amp;" AS STRING),'`')&gt;0 OR INSTR(CAST(X."&amp;F350&amp;" AS STRING),'´')&gt;0 OR INSTR(CAST(X."&amp;F350&amp;" AS STRING),'{')&gt;0 OR INSTR(CAST(X."&amp;F350&amp;" AS STRING),'}')&gt;0 OR INSTR(CAST(X."&amp;F350&amp;" AS STRING),'[')&gt;0 OR INSTR(CAST(X."&amp;F350&amp;" AS STRING),'')&gt;0 OR INSTR(CAST(X."&amp;F350&amp;" AS STRING),']')&gt;0 OR INSTR(CAST(X."&amp;F350&amp;" AS STRING),'?')&gt;0 OR INSTR(CAST(X."&amp;F350&amp;" AS STRING),'!')&gt;0 OR INSTR(CAST(X."&amp;F350&amp;" AS STRING),'$')&gt;0 OR INSTR(CAST(X."&amp;F350&amp;" AS STRING),'%')&gt;0 OR INSTR(CAST(X."&amp;F350&amp;" AS STRING),'&amp;')&gt;0 OR INSTR(CAST(X."&amp;F350&amp;" AS STRING),'+')&gt;0,1,0)) AS NUM_REG_DIF,'"&amp;MAX('ID1&amp;5'!K:K)+1&amp;"' AS ID_EXEC, CURRENT_TIMESTAMP() AS TIME_EXEC FROM "&amp;I350,
IF(C350="Missings",+"SELECT '"&amp;UPPER(B350)&amp;"' AS TABELA, '"&amp;UPPER(C350)&amp;"' AS TIPOLOGIA_TESTE,'"&amp;D350&amp;"' AS TABELA_LT,'N/A' AS TABELA_SIMUL,'"&amp;F350&amp;"' AS CAMPO, "&amp;"'${ref_date}' AS REF_DATE, COUNT(*) AS NUM_REG, SUM(IF(TRIM(CAST(X."&amp;F350&amp;" AS STRING)) IN ('0000-00-00','0001-01-01','9999-12-31','MISS','00000','99999999999','99999999999.00','99999999999.000000'),1,0)) AS NUM_REG_DIF,'"&amp;MAX('ID1&amp;5'!K:K)+1&amp;"' AS ID_EXEC, CURRENT_TIMESTAMP() AS TIME_EXEC FROM "&amp;I350,
IF(C350="Not applicable",+"SELECT '"&amp;UPPER(B350)&amp;"' AS TABELA, '"&amp;UPPER(C350)&amp;"' AS TIPOLOGIA_TESTE,'"&amp;D350&amp;"' AS TABELA_LT,'N/A' AS TABELA_SIMUL,'"&amp;F350&amp;"' AS CAMPO, "&amp;"'${ref_date}' AS REF_DATE, COUNT(*) AS NUM_REG, SUM(IF(TRIM(CAST(X."&amp;F350&amp;" AS STRING)) IN ('N/A','11111111111','11111111111.00','11111111111.000000','1111-11-11'),1,0)) AS NUM_REG_DIF,'"&amp;MAX('ID1&amp;5'!K:K)+1&amp;"' AS ID_EXEC, CURRENT_TIMESTAMP() AS TIME_EXEC FROM "&amp;I350,
IF(C350="Valores extremos",+"SELECT '"&amp;UPPER(B350)&amp;"' AS TABELA, '"&amp;UPPER(C350)&amp;"' AS TIPOLOGIA_TESTE,'"&amp;D350&amp;"' AS TABELA_LT,'N/A' AS TABELA_SIMUL,'"&amp;F350&amp;"' AS CAMPO, "&amp;"'${ref_date}' AS REF_DATE, CAST(MIN("&amp;F350&amp;") AS STRING) AS VALOR_MIN, CAST(MAX("&amp;F350&amp;") AS STRING) AS VALOR_MAX,'"&amp;MAX('ID1&amp;5'!K:K)+1&amp;"' AS ID_EXEC, CURRENT_TIMESTAMP() AS TIME_EXEC FROM "&amp;MID(I350,1,LEN(I350)-2)&amp;" AND CAST("&amp;F350&amp;"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TABELA_SIMUL,'EP_SCR' AS CAMPO, '${ref_date}' AS REF_DATE, COUNT(*) AS NUM_REG, SUM(IF(TRIM(CAST(X.EP_SCR AS STRING)) IN ('0000-00-00','0001-01-01','9999-12-31','MISS','00000','99999999999','99999999999.00','99999999999.000000'),1,0)) AS NUM_REG_DIF,'10' AS ID_EXEC, CURRENT_TIMESTAMP() AS TIME_EXEC FROM (SELECT prtctn_id, EP_SCR FROM BU_LOANTAPE_WORK.LT004_PROTECTION WHERE ref_date='${ref_date}' AND nome_perimetro='Individual Corporativo' AND segmento='ESTR' AND ambito='PILAR3')X</v>
      </c>
      <c r="M350" s="43" t="str">
        <f t="shared" si="5"/>
        <v>UNION ALL SELECT 'PROTECTION' AS TABELA, 'MISSINGS' AS TIPOLOGIA_TESTE,'BU_LOANTAPE_WORK.LT004_PROTECTION' AS TABELA_LT,'N/A' AS TABELA_SIMUL,'EP_SCR' AS CAMPO, '${ref_date}' AS REF_DATE, COUNT(*) AS NUM_REG, SUM(IF(TRIM(CAST(X.EP_SCR AS STRING)) IN ('0000-00-00','0001-01-01','9999-12-31','MISS','00000','99999999999','99999999999.00','99999999999.000000'),1,0)) AS NUM_REG_DIF,'10' AS ID_EXEC, CURRENT_TIMESTAMP() AS TIME_EXEC FROM (SELECT prtctn_id, EP_SCR FROM BU_LOANTAPE_WORK.LT004_PROTECTION WHERE ref_date='${ref_date}' AND nome_perimetro='Individual Corporativo' AND segmento='ESTR' AND ambito='PILAR3')X</v>
      </c>
      <c r="N350" s="45" t="s">
        <v>13</v>
      </c>
    </row>
    <row r="351" spans="2:14">
      <c r="B351" s="41" t="s">
        <v>31</v>
      </c>
      <c r="C351" s="41" t="s">
        <v>77</v>
      </c>
      <c r="D351" s="41" t="str">
        <f>+UPPER('0. Instruções'!$D$33&amp;"."&amp;VLOOKUP(B351,'0. Instruções'!$C$27:$D$31,2,FALSE))</f>
        <v>BU_LOANTAPE_WORK.LT004_PROTECTION</v>
      </c>
      <c r="E351" s="41" t="str">
        <f>+UPPER('0. Instruções'!$D$34&amp;"."&amp;VLOOKUP(B351,'0. Instruções'!$C$27:$E$31,3,FALSE))</f>
        <v>BU_LOANTAPE_WORK.LT004_PROTECTION_P3_NOV24</v>
      </c>
      <c r="F351" s="41" t="s">
        <v>137</v>
      </c>
      <c r="G351" s="41" t="s">
        <v>209</v>
      </c>
      <c r="H351" s="41"/>
      <c r="I351" s="41" t="str">
        <f>"(SELECT "&amp;VLOOKUP(B351,'0. Instruções'!$C$27:$G$31,4,FALSE)&amp;", "&amp;F351&amp;" FROM "&amp;D351&amp;" WHERE "&amp;'0. Instruções'!$D$40&amp;")X"</f>
        <v>(SELECT prtctn_id, TYP_EPC_LBL FROM BU_LOANTAPE_WORK.LT004_PROTECTION WHERE ref_date='${ref_date}' AND nome_perimetro='Individual Corporativo' AND segmento='ESTR' AND ambito='PILAR3')X</v>
      </c>
      <c r="J351" s="41" t="str">
        <f>"(SELECT "&amp;VLOOKUP(B351,'0. Instruções'!$C$27:$G$31,4,FALSE)&amp;" AS "&amp;VLOOKUP(B351,'0. Instruções'!$C$27:$G$31,4,FALSE)&amp;"_SIMUL, "&amp;F351&amp;" AS "&amp;F351&amp;"_SIMUL FROM "&amp;E351&amp;")Y"</f>
        <v>(SELECT prtctn_id AS prtctn_id_SIMUL, TYP_EPC_LBL AS TYP_EPC_LBL_SIMUL FROM BU_LOANTAPE_WORK.LT004_PROTECTION_P3_NOV24)Y</v>
      </c>
      <c r="K351" s="42" t="str">
        <f>+UPPER("ON X."&amp;VLOOKUP(B351,'0. Instruções'!$C$27:$G$31,4,FALSE)&amp;"=Y."&amp;VLOOKUP(B351,'0. Instruções'!$C$27:$G$31,4,FALSE)&amp;"_SIMUL")</f>
        <v>ON X.PRTCTN_ID=Y.PRTCTN_ID_SIMUL</v>
      </c>
      <c r="L351" s="42" t="str">
        <f>+IF(C351="Coerência", +IF(LEFT(G351,5)="FLOAT","SELECT '"&amp;UPPER(B351)&amp;"' AS TABELA, '"&amp;UPPER(C351)&amp;"' AS TIPOLOGIA_TESTE,'"&amp;D351&amp;"' AS TABELA_LT,'"&amp;E351&amp;"' AS TABELA_SIMUL,'"&amp;F351&amp;"' AS CAMPO, "&amp;"'${ref_date}' AS REF_DATE, COUNT(*) AS NUM_REG, SUM(IF((ABS(COALESCE(X."&amp;F351&amp;",0)-COALESCE(Y."&amp;F351&amp;"_SIMUL,0))&gt;0.0000000001) OR (X."&amp;F351&amp;" IS NULL AND Y."&amp;F351&amp;"_SIMUL IS NOT NULL ) OR (X."&amp;F351&amp;" IS NOT NULL AND Y."&amp;F351&amp;"_SIMUL IS NULL),1,0)) AS NUM_REG_DIF,'"&amp;MAX('ID1&amp;5'!K:K)+1&amp;"' AS ID_EXEC, CURRENT_TIMESTAMP() AS TIME_EXEC FROM "&amp;I351&amp;" INNER JOIN "&amp;J351&amp;" "&amp;K351,"SELECT '"&amp;UPPER(B351)&amp;"' AS TABELA, '"&amp;UPPER(C351)&amp;"' AS TIPOLOGIA_TESTE,'"&amp;D351&amp;"' AS TABELA_LT,'"&amp;E351&amp;"' AS TABELA_SIMUL,'"&amp;F351&amp;"' AS CAMPO, "&amp;"'${ref_date}' AS REF_DATE, COUNT(*) AS NUM_REG, SUM(IF(COALESCE(CAST(X."&amp;F351&amp;" AS STRING),'')&lt;&gt;COALESCE(CAST(Y."&amp;F351&amp;"_SIMUL AS STRING),''),1,0)) AS NUM_REG_DIF,'"&amp;MAX('ID1&amp;5'!L:L)+1&amp;"' AS ID_EXEC, CURRENT_TIMESTAMP() AS TIME_EXEC FROM "&amp;I351&amp;" INNER JOIN "&amp;J351&amp;" "&amp;K351),
IF(C351="Validade",+IF(G351="Code List","SELECT '"&amp;UPPER(B351)&amp;"' AS TABELA, '"&amp;UPPER(C351)&amp;"' AS TIPOLOGIA_TESTE,'"&amp;D351&amp;"' AS TABELA_LT,'N/A' AS TABELA_SIMUL,'"&amp;F351&amp;"' AS CAMPO, "&amp;"'${ref_date}' AS REF_DATE, COUNT(*) AS NUM_REG, SUM(IF(TRIM(CAST(X."&amp;F351&amp;" AS STRING))='' OR TRIM(CAST(X."&amp;F351&amp;" AS STRING)) IS NULL OR CAST(X."&amp;F351&amp;" AS STRING) NOT "&amp;H351&amp;",1,0)) AS NUM_REG_DIF,'"&amp;MAX('ID1&amp;5'!K:K)+1&amp;"' AS ID_EXEC, CURRENT_TIMESTAMP() AS TIME_EXEC FROM "&amp;I351,"SELECT '"&amp;UPPER(B351)&amp;"' AS TABELA, '"&amp;UPPER(C351)&amp;"' AS TIPOLOGIA_TESTE,'"&amp;D351&amp;"' AS TABELA_LT,'N/A' AS TABELA_SIMUL,'"&amp;F351&amp;"' AS CAMPO, "&amp;"'${ref_date}' AS REF_DATE, COUNT(*) AS NUM_REG, SUM(IF(TRIM(CAST(X."&amp;F351&amp;" AS STRING))='' OR TRIM(CAST(X."&amp;F351&amp;" AS STRING)) IS NULL,1,0)) AS NUM_REG_DIF,'"&amp;MAX('ID1&amp;5'!K:K)+1&amp;"' AS ID_EXEC, CURRENT_TIMESTAMP() AS TIME_EXEC FROM "&amp;I351),
IF(C351="Caracteres Especiais",+"SELECT '"&amp;UPPER(B351)&amp;"' AS TABELA, '"&amp;UPPER(C351)&amp;"' AS TIPOLOGIA_TESTE,'"&amp;D351&amp;"' AS TABELA_LT,'N/A' AS TABELA_SIMUL,'"&amp;F351&amp;"' AS CAMPO, "&amp;"'${ref_date}' AS REF_DATE, COUNT(*) AS NUM_REG, SUM(IF(INSTR(CAST(X."&amp;F351&amp;" AS STRING),'#')&gt;0 OR INSTR(CAST(X."&amp;F351&amp;" AS STRING),'*')&gt;0 OR INSTR(CAST(X."&amp;F351&amp;" AS STRING),'`')&gt;0 OR INSTR(CAST(X."&amp;F351&amp;" AS STRING),'´')&gt;0 OR INSTR(CAST(X."&amp;F351&amp;" AS STRING),'{')&gt;0 OR INSTR(CAST(X."&amp;F351&amp;" AS STRING),'}')&gt;0 OR INSTR(CAST(X."&amp;F351&amp;" AS STRING),'[')&gt;0 OR INSTR(CAST(X."&amp;F351&amp;" AS STRING),'')&gt;0 OR INSTR(CAST(X."&amp;F351&amp;" AS STRING),']')&gt;0 OR INSTR(CAST(X."&amp;F351&amp;" AS STRING),'?')&gt;0 OR INSTR(CAST(X."&amp;F351&amp;" AS STRING),'!')&gt;0 OR INSTR(CAST(X."&amp;F351&amp;" AS STRING),'$')&gt;0 OR INSTR(CAST(X."&amp;F351&amp;" AS STRING),'%')&gt;0 OR INSTR(CAST(X."&amp;F351&amp;" AS STRING),'&amp;')&gt;0 OR INSTR(CAST(X."&amp;F351&amp;" AS STRING),'+')&gt;0,1,0)) AS NUM_REG_DIF,'"&amp;MAX('ID1&amp;5'!K:K)+1&amp;"' AS ID_EXEC, CURRENT_TIMESTAMP() AS TIME_EXEC FROM "&amp;I351,
IF(C351="Missings",+"SELECT '"&amp;UPPER(B351)&amp;"' AS TABELA, '"&amp;UPPER(C351)&amp;"' AS TIPOLOGIA_TESTE,'"&amp;D351&amp;"' AS TABELA_LT,'N/A' AS TABELA_SIMUL,'"&amp;F351&amp;"' AS CAMPO, "&amp;"'${ref_date}' AS REF_DATE, COUNT(*) AS NUM_REG, SUM(IF(TRIM(CAST(X."&amp;F351&amp;" AS STRING)) IN ('0000-00-00','0001-01-01','9999-12-31','MISS','00000','99999999999','99999999999.00','99999999999.000000'),1,0)) AS NUM_REG_DIF,'"&amp;MAX('ID1&amp;5'!K:K)+1&amp;"' AS ID_EXEC, CURRENT_TIMESTAMP() AS TIME_EXEC FROM "&amp;I351,
IF(C351="Not applicable",+"SELECT '"&amp;UPPER(B351)&amp;"' AS TABELA, '"&amp;UPPER(C351)&amp;"' AS TIPOLOGIA_TESTE,'"&amp;D351&amp;"' AS TABELA_LT,'N/A' AS TABELA_SIMUL,'"&amp;F351&amp;"' AS CAMPO, "&amp;"'${ref_date}' AS REF_DATE, COUNT(*) AS NUM_REG, SUM(IF(TRIM(CAST(X."&amp;F351&amp;" AS STRING)) IN ('N/A','11111111111','11111111111.00','11111111111.000000','1111-11-11'),1,0)) AS NUM_REG_DIF,'"&amp;MAX('ID1&amp;5'!K:K)+1&amp;"' AS ID_EXEC, CURRENT_TIMESTAMP() AS TIME_EXEC FROM "&amp;I351,
IF(C351="Valores extremos",+"SELECT '"&amp;UPPER(B351)&amp;"' AS TABELA, '"&amp;UPPER(C351)&amp;"' AS TIPOLOGIA_TESTE,'"&amp;D351&amp;"' AS TABELA_LT,'N/A' AS TABELA_SIMUL,'"&amp;F351&amp;"' AS CAMPO, "&amp;"'${ref_date}' AS REF_DATE, CAST(MIN("&amp;F351&amp;") AS STRING) AS VALOR_MIN, CAST(MAX("&amp;F351&amp;") AS STRING) AS VALOR_MAX,'"&amp;MAX('ID1&amp;5'!K:K)+1&amp;"' AS ID_EXEC, CURRENT_TIMESTAMP() AS TIME_EXEC FROM "&amp;MID(I351,1,LEN(I351)-2)&amp;" AND CAST("&amp;F351&amp;"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TABELA_SIMUL,'TYP_EPC_LBL' AS CAMPO, '${ref_date}' AS REF_DATE, COUNT(*) AS NUM_REG, SUM(IF(TRIM(CAST(X.TYP_EPC_LBL AS STRING)) IN ('0000-00-00','0001-01-01','9999-12-31','MISS','00000','99999999999','99999999999.00','99999999999.000000'),1,0)) AS NUM_REG_DIF,'10' AS ID_EXEC, CURRENT_TIMESTAMP() AS TIME_EXEC FROM (SELECT prtctn_id, TYP_EPC_LBL FROM BU_LOANTAPE_WORK.LT004_PROTECTION WHERE ref_date='${ref_date}' AND nome_perimetro='Individual Corporativo' AND segmento='ESTR' AND ambito='PILAR3')X</v>
      </c>
      <c r="M351" s="43" t="str">
        <f t="shared" si="5"/>
        <v>UNION ALL SELECT 'PROTECTION' AS TABELA, 'MISSINGS' AS TIPOLOGIA_TESTE,'BU_LOANTAPE_WORK.LT004_PROTECTION' AS TABELA_LT,'N/A' AS TABELA_SIMUL,'TYP_EPC_LBL' AS CAMPO, '${ref_date}' AS REF_DATE, COUNT(*) AS NUM_REG, SUM(IF(TRIM(CAST(X.TYP_EPC_LBL AS STRING)) IN ('0000-00-00','0001-01-01','9999-12-31','MISS','00000','99999999999','99999999999.00','99999999999.000000'),1,0)) AS NUM_REG_DIF,'10' AS ID_EXEC, CURRENT_TIMESTAMP() AS TIME_EXEC FROM (SELECT prtctn_id, TYP_EPC_LBL FROM BU_LOANTAPE_WORK.LT004_PROTECTION WHERE ref_date='${ref_date}' AND nome_perimetro='Individual Corporativo' AND segmento='ESTR' AND ambito='PILAR3')X</v>
      </c>
      <c r="N351" s="45" t="s">
        <v>13</v>
      </c>
    </row>
    <row r="352" spans="2:14">
      <c r="B352" s="41" t="s">
        <v>31</v>
      </c>
      <c r="C352" s="41" t="s">
        <v>77</v>
      </c>
      <c r="D352" s="41" t="str">
        <f>+UPPER('0. Instruções'!$D$33&amp;"."&amp;VLOOKUP(B352,'0. Instruções'!$C$27:$D$31,2,FALSE))</f>
        <v>BU_LOANTAPE_WORK.LT004_PROTECTION</v>
      </c>
      <c r="E352" s="41" t="str">
        <f>+UPPER('0. Instruções'!$D$34&amp;"."&amp;VLOOKUP(B352,'0. Instruções'!$C$27:$E$31,3,FALSE))</f>
        <v>BU_LOANTAPE_WORK.LT004_PROTECTION_P3_NOV24</v>
      </c>
      <c r="F352" s="41" t="s">
        <v>138</v>
      </c>
      <c r="G352" s="41" t="s">
        <v>209</v>
      </c>
      <c r="H352" s="41"/>
      <c r="I352" s="41" t="str">
        <f>"(SELECT "&amp;VLOOKUP(B352,'0. Instruções'!$C$27:$G$31,4,FALSE)&amp;", "&amp;F352&amp;" FROM "&amp;D352&amp;" WHERE "&amp;'0. Instruções'!$D$40&amp;")X"</f>
        <v>(SELECT prtctn_id, EPC_LBL FROM BU_LOANTAPE_WORK.LT004_PROTECTION WHERE ref_date='${ref_date}' AND nome_perimetro='Individual Corporativo' AND segmento='ESTR' AND ambito='PILAR3')X</v>
      </c>
      <c r="J352" s="41" t="str">
        <f>"(SELECT "&amp;VLOOKUP(B352,'0. Instruções'!$C$27:$G$31,4,FALSE)&amp;" AS "&amp;VLOOKUP(B352,'0. Instruções'!$C$27:$G$31,4,FALSE)&amp;"_SIMUL, "&amp;F352&amp;" AS "&amp;F352&amp;"_SIMUL FROM "&amp;E352&amp;")Y"</f>
        <v>(SELECT prtctn_id AS prtctn_id_SIMUL, EPC_LBL AS EPC_LBL_SIMUL FROM BU_LOANTAPE_WORK.LT004_PROTECTION_P3_NOV24)Y</v>
      </c>
      <c r="K352" s="42" t="str">
        <f>+UPPER("ON X."&amp;VLOOKUP(B352,'0. Instruções'!$C$27:$G$31,4,FALSE)&amp;"=Y."&amp;VLOOKUP(B352,'0. Instruções'!$C$27:$G$31,4,FALSE)&amp;"_SIMUL")</f>
        <v>ON X.PRTCTN_ID=Y.PRTCTN_ID_SIMUL</v>
      </c>
      <c r="L352" s="42" t="str">
        <f>+IF(C352="Coerência", +IF(LEFT(G352,5)="FLOAT","SELECT '"&amp;UPPER(B352)&amp;"' AS TABELA, '"&amp;UPPER(C352)&amp;"' AS TIPOLOGIA_TESTE,'"&amp;D352&amp;"' AS TABELA_LT,'"&amp;E352&amp;"' AS TABELA_SIMUL,'"&amp;F352&amp;"' AS CAMPO, "&amp;"'${ref_date}' AS REF_DATE, COUNT(*) AS NUM_REG, SUM(IF((ABS(COALESCE(X."&amp;F352&amp;",0)-COALESCE(Y."&amp;F352&amp;"_SIMUL,0))&gt;0.0000000001) OR (X."&amp;F352&amp;" IS NULL AND Y."&amp;F352&amp;"_SIMUL IS NOT NULL ) OR (X."&amp;F352&amp;" IS NOT NULL AND Y."&amp;F352&amp;"_SIMUL IS NULL),1,0)) AS NUM_REG_DIF,'"&amp;MAX('ID1&amp;5'!K:K)+1&amp;"' AS ID_EXEC, CURRENT_TIMESTAMP() AS TIME_EXEC FROM "&amp;I352&amp;" INNER JOIN "&amp;J352&amp;" "&amp;K352,"SELECT '"&amp;UPPER(B352)&amp;"' AS TABELA, '"&amp;UPPER(C352)&amp;"' AS TIPOLOGIA_TESTE,'"&amp;D352&amp;"' AS TABELA_LT,'"&amp;E352&amp;"' AS TABELA_SIMUL,'"&amp;F352&amp;"' AS CAMPO, "&amp;"'${ref_date}' AS REF_DATE, COUNT(*) AS NUM_REG, SUM(IF(COALESCE(CAST(X."&amp;F352&amp;" AS STRING),'')&lt;&gt;COALESCE(CAST(Y."&amp;F352&amp;"_SIMUL AS STRING),''),1,0)) AS NUM_REG_DIF,'"&amp;MAX('ID1&amp;5'!L:L)+1&amp;"' AS ID_EXEC, CURRENT_TIMESTAMP() AS TIME_EXEC FROM "&amp;I352&amp;" INNER JOIN "&amp;J352&amp;" "&amp;K352),
IF(C352="Validade",+IF(G352="Code List","SELECT '"&amp;UPPER(B352)&amp;"' AS TABELA, '"&amp;UPPER(C352)&amp;"' AS TIPOLOGIA_TESTE,'"&amp;D352&amp;"' AS TABELA_LT,'N/A' AS TABELA_SIMUL,'"&amp;F352&amp;"' AS CAMPO, "&amp;"'${ref_date}' AS REF_DATE, COUNT(*) AS NUM_REG, SUM(IF(TRIM(CAST(X."&amp;F352&amp;" AS STRING))='' OR TRIM(CAST(X."&amp;F352&amp;" AS STRING)) IS NULL OR CAST(X."&amp;F352&amp;" AS STRING) NOT "&amp;H352&amp;",1,0)) AS NUM_REG_DIF,'"&amp;MAX('ID1&amp;5'!K:K)+1&amp;"' AS ID_EXEC, CURRENT_TIMESTAMP() AS TIME_EXEC FROM "&amp;I352,"SELECT '"&amp;UPPER(B352)&amp;"' AS TABELA, '"&amp;UPPER(C352)&amp;"' AS TIPOLOGIA_TESTE,'"&amp;D352&amp;"' AS TABELA_LT,'N/A' AS TABELA_SIMUL,'"&amp;F352&amp;"' AS CAMPO, "&amp;"'${ref_date}' AS REF_DATE, COUNT(*) AS NUM_REG, SUM(IF(TRIM(CAST(X."&amp;F352&amp;" AS STRING))='' OR TRIM(CAST(X."&amp;F352&amp;" AS STRING)) IS NULL,1,0)) AS NUM_REG_DIF,'"&amp;MAX('ID1&amp;5'!K:K)+1&amp;"' AS ID_EXEC, CURRENT_TIMESTAMP() AS TIME_EXEC FROM "&amp;I352),
IF(C352="Caracteres Especiais",+"SELECT '"&amp;UPPER(B352)&amp;"' AS TABELA, '"&amp;UPPER(C352)&amp;"' AS TIPOLOGIA_TESTE,'"&amp;D352&amp;"' AS TABELA_LT,'N/A' AS TABELA_SIMUL,'"&amp;F352&amp;"' AS CAMPO, "&amp;"'${ref_date}' AS REF_DATE, COUNT(*) AS NUM_REG, SUM(IF(INSTR(CAST(X."&amp;F352&amp;" AS STRING),'#')&gt;0 OR INSTR(CAST(X."&amp;F352&amp;" AS STRING),'*')&gt;0 OR INSTR(CAST(X."&amp;F352&amp;" AS STRING),'`')&gt;0 OR INSTR(CAST(X."&amp;F352&amp;" AS STRING),'´')&gt;0 OR INSTR(CAST(X."&amp;F352&amp;" AS STRING),'{')&gt;0 OR INSTR(CAST(X."&amp;F352&amp;" AS STRING),'}')&gt;0 OR INSTR(CAST(X."&amp;F352&amp;" AS STRING),'[')&gt;0 OR INSTR(CAST(X."&amp;F352&amp;" AS STRING),'')&gt;0 OR INSTR(CAST(X."&amp;F352&amp;" AS STRING),']')&gt;0 OR INSTR(CAST(X."&amp;F352&amp;" AS STRING),'?')&gt;0 OR INSTR(CAST(X."&amp;F352&amp;" AS STRING),'!')&gt;0 OR INSTR(CAST(X."&amp;F352&amp;" AS STRING),'$')&gt;0 OR INSTR(CAST(X."&amp;F352&amp;" AS STRING),'%')&gt;0 OR INSTR(CAST(X."&amp;F352&amp;" AS STRING),'&amp;')&gt;0 OR INSTR(CAST(X."&amp;F352&amp;" AS STRING),'+')&gt;0,1,0)) AS NUM_REG_DIF,'"&amp;MAX('ID1&amp;5'!K:K)+1&amp;"' AS ID_EXEC, CURRENT_TIMESTAMP() AS TIME_EXEC FROM "&amp;I352,
IF(C352="Missings",+"SELECT '"&amp;UPPER(B352)&amp;"' AS TABELA, '"&amp;UPPER(C352)&amp;"' AS TIPOLOGIA_TESTE,'"&amp;D352&amp;"' AS TABELA_LT,'N/A' AS TABELA_SIMUL,'"&amp;F352&amp;"' AS CAMPO, "&amp;"'${ref_date}' AS REF_DATE, COUNT(*) AS NUM_REG, SUM(IF(TRIM(CAST(X."&amp;F352&amp;" AS STRING)) IN ('0000-00-00','0001-01-01','9999-12-31','MISS','00000','99999999999','99999999999.00','99999999999.000000'),1,0)) AS NUM_REG_DIF,'"&amp;MAX('ID1&amp;5'!K:K)+1&amp;"' AS ID_EXEC, CURRENT_TIMESTAMP() AS TIME_EXEC FROM "&amp;I352,
IF(C352="Not applicable",+"SELECT '"&amp;UPPER(B352)&amp;"' AS TABELA, '"&amp;UPPER(C352)&amp;"' AS TIPOLOGIA_TESTE,'"&amp;D352&amp;"' AS TABELA_LT,'N/A' AS TABELA_SIMUL,'"&amp;F352&amp;"' AS CAMPO, "&amp;"'${ref_date}' AS REF_DATE, COUNT(*) AS NUM_REG, SUM(IF(TRIM(CAST(X."&amp;F352&amp;" AS STRING)) IN ('N/A','11111111111','11111111111.00','11111111111.000000','1111-11-11'),1,0)) AS NUM_REG_DIF,'"&amp;MAX('ID1&amp;5'!K:K)+1&amp;"' AS ID_EXEC, CURRENT_TIMESTAMP() AS TIME_EXEC FROM "&amp;I352,
IF(C352="Valores extremos",+"SELECT '"&amp;UPPER(B352)&amp;"' AS TABELA, '"&amp;UPPER(C352)&amp;"' AS TIPOLOGIA_TESTE,'"&amp;D352&amp;"' AS TABELA_LT,'N/A' AS TABELA_SIMUL,'"&amp;F352&amp;"' AS CAMPO, "&amp;"'${ref_date}' AS REF_DATE, CAST(MIN("&amp;F352&amp;") AS STRING) AS VALOR_MIN, CAST(MAX("&amp;F352&amp;") AS STRING) AS VALOR_MAX,'"&amp;MAX('ID1&amp;5'!K:K)+1&amp;"' AS ID_EXEC, CURRENT_TIMESTAMP() AS TIME_EXEC FROM "&amp;MID(I352,1,LEN(I352)-2)&amp;" AND CAST("&amp;F352&amp;"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TABELA_SIMUL,'EPC_LBL' AS CAMPO, '${ref_date}' AS REF_DATE, COUNT(*) AS NUM_REG, SUM(IF(TRIM(CAST(X.EPC_LBL AS STRING)) IN ('0000-00-00','0001-01-01','9999-12-31','MISS','00000','99999999999','99999999999.00','99999999999.000000'),1,0)) AS NUM_REG_DIF,'10' AS ID_EXEC, CURRENT_TIMESTAMP() AS TIME_EXEC FROM (SELECT prtctn_id, EPC_LBL FROM BU_LOANTAPE_WORK.LT004_PROTECTION WHERE ref_date='${ref_date}' AND nome_perimetro='Individual Corporativo' AND segmento='ESTR' AND ambito='PILAR3')X</v>
      </c>
      <c r="M352" s="43" t="str">
        <f t="shared" si="5"/>
        <v>UNION ALL SELECT 'PROTECTION' AS TABELA, 'MISSINGS' AS TIPOLOGIA_TESTE,'BU_LOANTAPE_WORK.LT004_PROTECTION' AS TABELA_LT,'N/A' AS TABELA_SIMUL,'EPC_LBL' AS CAMPO, '${ref_date}' AS REF_DATE, COUNT(*) AS NUM_REG, SUM(IF(TRIM(CAST(X.EPC_LBL AS STRING)) IN ('0000-00-00','0001-01-01','9999-12-31','MISS','00000','99999999999','99999999999.00','99999999999.000000'),1,0)) AS NUM_REG_DIF,'10' AS ID_EXEC, CURRENT_TIMESTAMP() AS TIME_EXEC FROM (SELECT prtctn_id, EPC_LBL FROM BU_LOANTAPE_WORK.LT004_PROTECTION WHERE ref_date='${ref_date}' AND nome_perimetro='Individual Corporativo' AND segmento='ESTR' AND ambito='PILAR3')X</v>
      </c>
      <c r="N352" s="45" t="s">
        <v>13</v>
      </c>
    </row>
    <row r="353" spans="2:14">
      <c r="B353" s="41" t="s">
        <v>31</v>
      </c>
      <c r="C353" s="41" t="s">
        <v>77</v>
      </c>
      <c r="D353" s="41" t="str">
        <f>+UPPER('0. Instruções'!$D$33&amp;"."&amp;VLOOKUP(B353,'0. Instruções'!$C$27:$D$31,2,FALSE))</f>
        <v>BU_LOANTAPE_WORK.LT004_PROTECTION</v>
      </c>
      <c r="E353" s="41" t="str">
        <f>+UPPER('0. Instruções'!$D$34&amp;"."&amp;VLOOKUP(B353,'0. Instruções'!$C$27:$E$31,3,FALSE))</f>
        <v>BU_LOANTAPE_WORK.LT004_PROTECTION_P3_NOV24</v>
      </c>
      <c r="F353" s="41" t="s">
        <v>139</v>
      </c>
      <c r="G353" s="41" t="s">
        <v>210</v>
      </c>
      <c r="H353" s="41"/>
      <c r="I353" s="41" t="str">
        <f>"(SELECT "&amp;VLOOKUP(B353,'0. Instruções'!$C$27:$G$31,4,FALSE)&amp;", "&amp;F353&amp;" FROM "&amp;D353&amp;" WHERE "&amp;'0. Instruções'!$D$40&amp;")X"</f>
        <v>(SELECT prtctn_id, EMSSNS_SCP1_PRTCTN FROM BU_LOANTAPE_WORK.LT004_PROTECTION WHERE ref_date='${ref_date}' AND nome_perimetro='Individual Corporativo' AND segmento='ESTR' AND ambito='PILAR3')X</v>
      </c>
      <c r="J353" s="41" t="str">
        <f>"(SELECT "&amp;VLOOKUP(B353,'0. Instruções'!$C$27:$G$31,4,FALSE)&amp;" AS "&amp;VLOOKUP(B353,'0. Instruções'!$C$27:$G$31,4,FALSE)&amp;"_SIMUL, "&amp;F353&amp;" AS "&amp;F353&amp;"_SIMUL FROM "&amp;E353&amp;")Y"</f>
        <v>(SELECT prtctn_id AS prtctn_id_SIMUL, EMSSNS_SCP1_PRTCTN AS EMSSNS_SCP1_PRTCTN_SIMUL FROM BU_LOANTAPE_WORK.LT004_PROTECTION_P3_NOV24)Y</v>
      </c>
      <c r="K353" s="42" t="str">
        <f>+UPPER("ON X."&amp;VLOOKUP(B353,'0. Instruções'!$C$27:$G$31,4,FALSE)&amp;"=Y."&amp;VLOOKUP(B353,'0. Instruções'!$C$27:$G$31,4,FALSE)&amp;"_SIMUL")</f>
        <v>ON X.PRTCTN_ID=Y.PRTCTN_ID_SIMUL</v>
      </c>
      <c r="L353" s="42" t="str">
        <f>+IF(C353="Coerência", +IF(LEFT(G353,5)="FLOAT","SELECT '"&amp;UPPER(B353)&amp;"' AS TABELA, '"&amp;UPPER(C353)&amp;"' AS TIPOLOGIA_TESTE,'"&amp;D353&amp;"' AS TABELA_LT,'"&amp;E353&amp;"' AS TABELA_SIMUL,'"&amp;F353&amp;"' AS CAMPO, "&amp;"'${ref_date}' AS REF_DATE, COUNT(*) AS NUM_REG, SUM(IF((ABS(COALESCE(X."&amp;F353&amp;",0)-COALESCE(Y."&amp;F353&amp;"_SIMUL,0))&gt;0.0000000001) OR (X."&amp;F353&amp;" IS NULL AND Y."&amp;F353&amp;"_SIMUL IS NOT NULL ) OR (X."&amp;F353&amp;" IS NOT NULL AND Y."&amp;F353&amp;"_SIMUL IS NULL),1,0)) AS NUM_REG_DIF,'"&amp;MAX('ID1&amp;5'!K:K)+1&amp;"' AS ID_EXEC, CURRENT_TIMESTAMP() AS TIME_EXEC FROM "&amp;I353&amp;" INNER JOIN "&amp;J353&amp;" "&amp;K353,"SELECT '"&amp;UPPER(B353)&amp;"' AS TABELA, '"&amp;UPPER(C353)&amp;"' AS TIPOLOGIA_TESTE,'"&amp;D353&amp;"' AS TABELA_LT,'"&amp;E353&amp;"' AS TABELA_SIMUL,'"&amp;F353&amp;"' AS CAMPO, "&amp;"'${ref_date}' AS REF_DATE, COUNT(*) AS NUM_REG, SUM(IF(COALESCE(CAST(X."&amp;F353&amp;" AS STRING),'')&lt;&gt;COALESCE(CAST(Y."&amp;F353&amp;"_SIMUL AS STRING),''),1,0)) AS NUM_REG_DIF,'"&amp;MAX('ID1&amp;5'!L:L)+1&amp;"' AS ID_EXEC, CURRENT_TIMESTAMP() AS TIME_EXEC FROM "&amp;I353&amp;" INNER JOIN "&amp;J353&amp;" "&amp;K353),
IF(C353="Validade",+IF(G353="Code List","SELECT '"&amp;UPPER(B353)&amp;"' AS TABELA, '"&amp;UPPER(C353)&amp;"' AS TIPOLOGIA_TESTE,'"&amp;D353&amp;"' AS TABELA_LT,'N/A' AS TABELA_SIMUL,'"&amp;F353&amp;"' AS CAMPO, "&amp;"'${ref_date}' AS REF_DATE, COUNT(*) AS NUM_REG, SUM(IF(TRIM(CAST(X."&amp;F353&amp;" AS STRING))='' OR TRIM(CAST(X."&amp;F353&amp;" AS STRING)) IS NULL OR CAST(X."&amp;F353&amp;" AS STRING) NOT "&amp;H353&amp;",1,0)) AS NUM_REG_DIF,'"&amp;MAX('ID1&amp;5'!K:K)+1&amp;"' AS ID_EXEC, CURRENT_TIMESTAMP() AS TIME_EXEC FROM "&amp;I353,"SELECT '"&amp;UPPER(B353)&amp;"' AS TABELA, '"&amp;UPPER(C353)&amp;"' AS TIPOLOGIA_TESTE,'"&amp;D353&amp;"' AS TABELA_LT,'N/A' AS TABELA_SIMUL,'"&amp;F353&amp;"' AS CAMPO, "&amp;"'${ref_date}' AS REF_DATE, COUNT(*) AS NUM_REG, SUM(IF(TRIM(CAST(X."&amp;F353&amp;" AS STRING))='' OR TRIM(CAST(X."&amp;F353&amp;" AS STRING)) IS NULL,1,0)) AS NUM_REG_DIF,'"&amp;MAX('ID1&amp;5'!K:K)+1&amp;"' AS ID_EXEC, CURRENT_TIMESTAMP() AS TIME_EXEC FROM "&amp;I353),
IF(C353="Caracteres Especiais",+"SELECT '"&amp;UPPER(B353)&amp;"' AS TABELA, '"&amp;UPPER(C353)&amp;"' AS TIPOLOGIA_TESTE,'"&amp;D353&amp;"' AS TABELA_LT,'N/A' AS TABELA_SIMUL,'"&amp;F353&amp;"' AS CAMPO, "&amp;"'${ref_date}' AS REF_DATE, COUNT(*) AS NUM_REG, SUM(IF(INSTR(CAST(X."&amp;F353&amp;" AS STRING),'#')&gt;0 OR INSTR(CAST(X."&amp;F353&amp;" AS STRING),'*')&gt;0 OR INSTR(CAST(X."&amp;F353&amp;" AS STRING),'`')&gt;0 OR INSTR(CAST(X."&amp;F353&amp;" AS STRING),'´')&gt;0 OR INSTR(CAST(X."&amp;F353&amp;" AS STRING),'{')&gt;0 OR INSTR(CAST(X."&amp;F353&amp;" AS STRING),'}')&gt;0 OR INSTR(CAST(X."&amp;F353&amp;" AS STRING),'[')&gt;0 OR INSTR(CAST(X."&amp;F353&amp;" AS STRING),'')&gt;0 OR INSTR(CAST(X."&amp;F353&amp;" AS STRING),']')&gt;0 OR INSTR(CAST(X."&amp;F353&amp;" AS STRING),'?')&gt;0 OR INSTR(CAST(X."&amp;F353&amp;" AS STRING),'!')&gt;0 OR INSTR(CAST(X."&amp;F353&amp;" AS STRING),'$')&gt;0 OR INSTR(CAST(X."&amp;F353&amp;" AS STRING),'%')&gt;0 OR INSTR(CAST(X."&amp;F353&amp;" AS STRING),'&amp;')&gt;0 OR INSTR(CAST(X."&amp;F353&amp;" AS STRING),'+')&gt;0,1,0)) AS NUM_REG_DIF,'"&amp;MAX('ID1&amp;5'!K:K)+1&amp;"' AS ID_EXEC, CURRENT_TIMESTAMP() AS TIME_EXEC FROM "&amp;I353,
IF(C353="Missings",+"SELECT '"&amp;UPPER(B353)&amp;"' AS TABELA, '"&amp;UPPER(C353)&amp;"' AS TIPOLOGIA_TESTE,'"&amp;D353&amp;"' AS TABELA_LT,'N/A' AS TABELA_SIMUL,'"&amp;F353&amp;"' AS CAMPO, "&amp;"'${ref_date}' AS REF_DATE, COUNT(*) AS NUM_REG, SUM(IF(TRIM(CAST(X."&amp;F353&amp;" AS STRING)) IN ('0000-00-00','0001-01-01','9999-12-31','MISS','00000','99999999999','99999999999.00','99999999999.000000'),1,0)) AS NUM_REG_DIF,'"&amp;MAX('ID1&amp;5'!K:K)+1&amp;"' AS ID_EXEC, CURRENT_TIMESTAMP() AS TIME_EXEC FROM "&amp;I353,
IF(C353="Not applicable",+"SELECT '"&amp;UPPER(B353)&amp;"' AS TABELA, '"&amp;UPPER(C353)&amp;"' AS TIPOLOGIA_TESTE,'"&amp;D353&amp;"' AS TABELA_LT,'N/A' AS TABELA_SIMUL,'"&amp;F353&amp;"' AS CAMPO, "&amp;"'${ref_date}' AS REF_DATE, COUNT(*) AS NUM_REG, SUM(IF(TRIM(CAST(X."&amp;F353&amp;" AS STRING)) IN ('N/A','11111111111','11111111111.00','11111111111.000000','1111-11-11'),1,0)) AS NUM_REG_DIF,'"&amp;MAX('ID1&amp;5'!K:K)+1&amp;"' AS ID_EXEC, CURRENT_TIMESTAMP() AS TIME_EXEC FROM "&amp;I353,
IF(C353="Valores extremos",+"SELECT '"&amp;UPPER(B353)&amp;"' AS TABELA, '"&amp;UPPER(C353)&amp;"' AS TIPOLOGIA_TESTE,'"&amp;D353&amp;"' AS TABELA_LT,'N/A' AS TABELA_SIMUL,'"&amp;F353&amp;"' AS CAMPO, "&amp;"'${ref_date}' AS REF_DATE, CAST(MIN("&amp;F353&amp;") AS STRING) AS VALOR_MIN, CAST(MAX("&amp;F353&amp;") AS STRING) AS VALOR_MAX,'"&amp;MAX('ID1&amp;5'!K:K)+1&amp;"' AS ID_EXEC, CURRENT_TIMESTAMP() AS TIME_EXEC FROM "&amp;MID(I353,1,LEN(I353)-2)&amp;" AND CAST("&amp;F353&amp;"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TABELA_SIMUL,'EMSSNS_SCP1_PRTCTN' AS CAMPO, '${ref_date}' AS REF_DATE, COUNT(*) AS NUM_REG, SUM(IF(TRIM(CAST(X.EMSSNS_SCP1_PRTCTN AS STRING)) IN ('0000-00-00','0001-01-01','9999-12-31','MISS','00000','99999999999','99999999999.00','99999999999.000000'),1,0)) AS NUM_REG_DIF,'10' AS ID_EXEC, CURRENT_TIMESTAMP() AS TIME_EXEC FROM (SELECT prtctn_id, EMSSNS_SCP1_PRTCTN FROM BU_LOANTAPE_WORK.LT004_PROTECTION WHERE ref_date='${ref_date}' AND nome_perimetro='Individual Corporativo' AND segmento='ESTR' AND ambito='PILAR3')X</v>
      </c>
      <c r="M353" s="43" t="str">
        <f t="shared" si="5"/>
        <v>UNION ALL SELECT 'PROTECTION' AS TABELA, 'MISSINGS' AS TIPOLOGIA_TESTE,'BU_LOANTAPE_WORK.LT004_PROTECTION' AS TABELA_LT,'N/A' AS TABELA_SIMUL,'EMSSNS_SCP1_PRTCTN' AS CAMPO, '${ref_date}' AS REF_DATE, COUNT(*) AS NUM_REG, SUM(IF(TRIM(CAST(X.EMSSNS_SCP1_PRTCTN AS STRING)) IN ('0000-00-00','0001-01-01','9999-12-31','MISS','00000','99999999999','99999999999.00','99999999999.000000'),1,0)) AS NUM_REG_DIF,'10' AS ID_EXEC, CURRENT_TIMESTAMP() AS TIME_EXEC FROM (SELECT prtctn_id, EMSSNS_SCP1_PRTCTN FROM BU_LOANTAPE_WORK.LT004_PROTECTION WHERE ref_date='${ref_date}' AND nome_perimetro='Individual Corporativo' AND segmento='ESTR' AND ambito='PILAR3')X</v>
      </c>
      <c r="N353" s="45" t="s">
        <v>13</v>
      </c>
    </row>
    <row r="354" spans="2:14">
      <c r="B354" s="41" t="s">
        <v>31</v>
      </c>
      <c r="C354" s="41" t="s">
        <v>77</v>
      </c>
      <c r="D354" s="41" t="str">
        <f>+UPPER('0. Instruções'!$D$33&amp;"."&amp;VLOOKUP(B354,'0. Instruções'!$C$27:$D$31,2,FALSE))</f>
        <v>BU_LOANTAPE_WORK.LT004_PROTECTION</v>
      </c>
      <c r="E354" s="41" t="str">
        <f>+UPPER('0. Instruções'!$D$34&amp;"."&amp;VLOOKUP(B354,'0. Instruções'!$C$27:$E$31,3,FALSE))</f>
        <v>BU_LOANTAPE_WORK.LT004_PROTECTION_P3_NOV24</v>
      </c>
      <c r="F354" s="41" t="s">
        <v>140</v>
      </c>
      <c r="G354" s="41" t="s">
        <v>210</v>
      </c>
      <c r="H354" s="41"/>
      <c r="I354" s="41" t="str">
        <f>"(SELECT "&amp;VLOOKUP(B354,'0. Instruções'!$C$27:$G$31,4,FALSE)&amp;", "&amp;F354&amp;" FROM "&amp;D354&amp;" WHERE "&amp;'0. Instruções'!$D$40&amp;")X"</f>
        <v>(SELECT prtctn_id, EMSSNS_SCP2_PRTCTN FROM BU_LOANTAPE_WORK.LT004_PROTECTION WHERE ref_date='${ref_date}' AND nome_perimetro='Individual Corporativo' AND segmento='ESTR' AND ambito='PILAR3')X</v>
      </c>
      <c r="J354" s="41" t="str">
        <f>"(SELECT "&amp;VLOOKUP(B354,'0. Instruções'!$C$27:$G$31,4,FALSE)&amp;" AS "&amp;VLOOKUP(B354,'0. Instruções'!$C$27:$G$31,4,FALSE)&amp;"_SIMUL, "&amp;F354&amp;" AS "&amp;F354&amp;"_SIMUL FROM "&amp;E354&amp;")Y"</f>
        <v>(SELECT prtctn_id AS prtctn_id_SIMUL, EMSSNS_SCP2_PRTCTN AS EMSSNS_SCP2_PRTCTN_SIMUL FROM BU_LOANTAPE_WORK.LT004_PROTECTION_P3_NOV24)Y</v>
      </c>
      <c r="K354" s="42" t="str">
        <f>+UPPER("ON X."&amp;VLOOKUP(B354,'0. Instruções'!$C$27:$G$31,4,FALSE)&amp;"=Y."&amp;VLOOKUP(B354,'0. Instruções'!$C$27:$G$31,4,FALSE)&amp;"_SIMUL")</f>
        <v>ON X.PRTCTN_ID=Y.PRTCTN_ID_SIMUL</v>
      </c>
      <c r="L354" s="42" t="str">
        <f>+IF(C354="Coerência", +IF(LEFT(G354,5)="FLOAT","SELECT '"&amp;UPPER(B354)&amp;"' AS TABELA, '"&amp;UPPER(C354)&amp;"' AS TIPOLOGIA_TESTE,'"&amp;D354&amp;"' AS TABELA_LT,'"&amp;E354&amp;"' AS TABELA_SIMUL,'"&amp;F354&amp;"' AS CAMPO, "&amp;"'${ref_date}' AS REF_DATE, COUNT(*) AS NUM_REG, SUM(IF((ABS(COALESCE(X."&amp;F354&amp;",0)-COALESCE(Y."&amp;F354&amp;"_SIMUL,0))&gt;0.0000000001) OR (X."&amp;F354&amp;" IS NULL AND Y."&amp;F354&amp;"_SIMUL IS NOT NULL ) OR (X."&amp;F354&amp;" IS NOT NULL AND Y."&amp;F354&amp;"_SIMUL IS NULL),1,0)) AS NUM_REG_DIF,'"&amp;MAX('ID1&amp;5'!K:K)+1&amp;"' AS ID_EXEC, CURRENT_TIMESTAMP() AS TIME_EXEC FROM "&amp;I354&amp;" INNER JOIN "&amp;J354&amp;" "&amp;K354,"SELECT '"&amp;UPPER(B354)&amp;"' AS TABELA, '"&amp;UPPER(C354)&amp;"' AS TIPOLOGIA_TESTE,'"&amp;D354&amp;"' AS TABELA_LT,'"&amp;E354&amp;"' AS TABELA_SIMUL,'"&amp;F354&amp;"' AS CAMPO, "&amp;"'${ref_date}' AS REF_DATE, COUNT(*) AS NUM_REG, SUM(IF(COALESCE(CAST(X."&amp;F354&amp;" AS STRING),'')&lt;&gt;COALESCE(CAST(Y."&amp;F354&amp;"_SIMUL AS STRING),''),1,0)) AS NUM_REG_DIF,'"&amp;MAX('ID1&amp;5'!L:L)+1&amp;"' AS ID_EXEC, CURRENT_TIMESTAMP() AS TIME_EXEC FROM "&amp;I354&amp;" INNER JOIN "&amp;J354&amp;" "&amp;K354),
IF(C354="Validade",+IF(G354="Code List","SELECT '"&amp;UPPER(B354)&amp;"' AS TABELA, '"&amp;UPPER(C354)&amp;"' AS TIPOLOGIA_TESTE,'"&amp;D354&amp;"' AS TABELA_LT,'N/A' AS TABELA_SIMUL,'"&amp;F354&amp;"' AS CAMPO, "&amp;"'${ref_date}' AS REF_DATE, COUNT(*) AS NUM_REG, SUM(IF(TRIM(CAST(X."&amp;F354&amp;" AS STRING))='' OR TRIM(CAST(X."&amp;F354&amp;" AS STRING)) IS NULL OR CAST(X."&amp;F354&amp;" AS STRING) NOT "&amp;H354&amp;",1,0)) AS NUM_REG_DIF,'"&amp;MAX('ID1&amp;5'!K:K)+1&amp;"' AS ID_EXEC, CURRENT_TIMESTAMP() AS TIME_EXEC FROM "&amp;I354,"SELECT '"&amp;UPPER(B354)&amp;"' AS TABELA, '"&amp;UPPER(C354)&amp;"' AS TIPOLOGIA_TESTE,'"&amp;D354&amp;"' AS TABELA_LT,'N/A' AS TABELA_SIMUL,'"&amp;F354&amp;"' AS CAMPO, "&amp;"'${ref_date}' AS REF_DATE, COUNT(*) AS NUM_REG, SUM(IF(TRIM(CAST(X."&amp;F354&amp;" AS STRING))='' OR TRIM(CAST(X."&amp;F354&amp;" AS STRING)) IS NULL,1,0)) AS NUM_REG_DIF,'"&amp;MAX('ID1&amp;5'!K:K)+1&amp;"' AS ID_EXEC, CURRENT_TIMESTAMP() AS TIME_EXEC FROM "&amp;I354),
IF(C354="Caracteres Especiais",+"SELECT '"&amp;UPPER(B354)&amp;"' AS TABELA, '"&amp;UPPER(C354)&amp;"' AS TIPOLOGIA_TESTE,'"&amp;D354&amp;"' AS TABELA_LT,'N/A' AS TABELA_SIMUL,'"&amp;F354&amp;"' AS CAMPO, "&amp;"'${ref_date}' AS REF_DATE, COUNT(*) AS NUM_REG, SUM(IF(INSTR(CAST(X."&amp;F354&amp;" AS STRING),'#')&gt;0 OR INSTR(CAST(X."&amp;F354&amp;" AS STRING),'*')&gt;0 OR INSTR(CAST(X."&amp;F354&amp;" AS STRING),'`')&gt;0 OR INSTR(CAST(X."&amp;F354&amp;" AS STRING),'´')&gt;0 OR INSTR(CAST(X."&amp;F354&amp;" AS STRING),'{')&gt;0 OR INSTR(CAST(X."&amp;F354&amp;" AS STRING),'}')&gt;0 OR INSTR(CAST(X."&amp;F354&amp;" AS STRING),'[')&gt;0 OR INSTR(CAST(X."&amp;F354&amp;" AS STRING),'')&gt;0 OR INSTR(CAST(X."&amp;F354&amp;" AS STRING),']')&gt;0 OR INSTR(CAST(X."&amp;F354&amp;" AS STRING),'?')&gt;0 OR INSTR(CAST(X."&amp;F354&amp;" AS STRING),'!')&gt;0 OR INSTR(CAST(X."&amp;F354&amp;" AS STRING),'$')&gt;0 OR INSTR(CAST(X."&amp;F354&amp;" AS STRING),'%')&gt;0 OR INSTR(CAST(X."&amp;F354&amp;" AS STRING),'&amp;')&gt;0 OR INSTR(CAST(X."&amp;F354&amp;" AS STRING),'+')&gt;0,1,0)) AS NUM_REG_DIF,'"&amp;MAX('ID1&amp;5'!K:K)+1&amp;"' AS ID_EXEC, CURRENT_TIMESTAMP() AS TIME_EXEC FROM "&amp;I354,
IF(C354="Missings",+"SELECT '"&amp;UPPER(B354)&amp;"' AS TABELA, '"&amp;UPPER(C354)&amp;"' AS TIPOLOGIA_TESTE,'"&amp;D354&amp;"' AS TABELA_LT,'N/A' AS TABELA_SIMUL,'"&amp;F354&amp;"' AS CAMPO, "&amp;"'${ref_date}' AS REF_DATE, COUNT(*) AS NUM_REG, SUM(IF(TRIM(CAST(X."&amp;F354&amp;" AS STRING)) IN ('0000-00-00','0001-01-01','9999-12-31','MISS','00000','99999999999','99999999999.00','99999999999.000000'),1,0)) AS NUM_REG_DIF,'"&amp;MAX('ID1&amp;5'!K:K)+1&amp;"' AS ID_EXEC, CURRENT_TIMESTAMP() AS TIME_EXEC FROM "&amp;I354,
IF(C354="Not applicable",+"SELECT '"&amp;UPPER(B354)&amp;"' AS TABELA, '"&amp;UPPER(C354)&amp;"' AS TIPOLOGIA_TESTE,'"&amp;D354&amp;"' AS TABELA_LT,'N/A' AS TABELA_SIMUL,'"&amp;F354&amp;"' AS CAMPO, "&amp;"'${ref_date}' AS REF_DATE, COUNT(*) AS NUM_REG, SUM(IF(TRIM(CAST(X."&amp;F354&amp;" AS STRING)) IN ('N/A','11111111111','11111111111.00','11111111111.000000','1111-11-11'),1,0)) AS NUM_REG_DIF,'"&amp;MAX('ID1&amp;5'!K:K)+1&amp;"' AS ID_EXEC, CURRENT_TIMESTAMP() AS TIME_EXEC FROM "&amp;I354,
IF(C354="Valores extremos",+"SELECT '"&amp;UPPER(B354)&amp;"' AS TABELA, '"&amp;UPPER(C354)&amp;"' AS TIPOLOGIA_TESTE,'"&amp;D354&amp;"' AS TABELA_LT,'N/A' AS TABELA_SIMUL,'"&amp;F354&amp;"' AS CAMPO, "&amp;"'${ref_date}' AS REF_DATE, CAST(MIN("&amp;F354&amp;") AS STRING) AS VALOR_MIN, CAST(MAX("&amp;F354&amp;") AS STRING) AS VALOR_MAX,'"&amp;MAX('ID1&amp;5'!K:K)+1&amp;"' AS ID_EXEC, CURRENT_TIMESTAMP() AS TIME_EXEC FROM "&amp;MID(I354,1,LEN(I354)-2)&amp;" AND CAST("&amp;F354&amp;"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TABELA_SIMUL,'EMSSNS_SCP2_PRTCTN' AS CAMPO, '${ref_date}' AS REF_DATE, COUNT(*) AS NUM_REG, SUM(IF(TRIM(CAST(X.EMSSNS_SCP2_PRTCTN AS STRING)) IN ('0000-00-00','0001-01-01','9999-12-31','MISS','00000','99999999999','99999999999.00','99999999999.000000'),1,0)) AS NUM_REG_DIF,'10' AS ID_EXEC, CURRENT_TIMESTAMP() AS TIME_EXEC FROM (SELECT prtctn_id, EMSSNS_SCP2_PRTCTN FROM BU_LOANTAPE_WORK.LT004_PROTECTION WHERE ref_date='${ref_date}' AND nome_perimetro='Individual Corporativo' AND segmento='ESTR' AND ambito='PILAR3')X</v>
      </c>
      <c r="M354" s="43" t="str">
        <f t="shared" si="5"/>
        <v>UNION ALL SELECT 'PROTECTION' AS TABELA, 'MISSINGS' AS TIPOLOGIA_TESTE,'BU_LOANTAPE_WORK.LT004_PROTECTION' AS TABELA_LT,'N/A' AS TABELA_SIMUL,'EMSSNS_SCP2_PRTCTN' AS CAMPO, '${ref_date}' AS REF_DATE, COUNT(*) AS NUM_REG, SUM(IF(TRIM(CAST(X.EMSSNS_SCP2_PRTCTN AS STRING)) IN ('0000-00-00','0001-01-01','9999-12-31','MISS','00000','99999999999','99999999999.00','99999999999.000000'),1,0)) AS NUM_REG_DIF,'10' AS ID_EXEC, CURRENT_TIMESTAMP() AS TIME_EXEC FROM (SELECT prtctn_id, EMSSNS_SCP2_PRTCTN FROM BU_LOANTAPE_WORK.LT004_PROTECTION WHERE ref_date='${ref_date}' AND nome_perimetro='Individual Corporativo' AND segmento='ESTR' AND ambito='PILAR3')X</v>
      </c>
      <c r="N354" s="45" t="s">
        <v>13</v>
      </c>
    </row>
    <row r="355" spans="2:14">
      <c r="B355" s="41" t="s">
        <v>31</v>
      </c>
      <c r="C355" s="41" t="s">
        <v>77</v>
      </c>
      <c r="D355" s="41" t="str">
        <f>+UPPER('0. Instruções'!$D$33&amp;"."&amp;VLOOKUP(B355,'0. Instruções'!$C$27:$D$31,2,FALSE))</f>
        <v>BU_LOANTAPE_WORK.LT004_PROTECTION</v>
      </c>
      <c r="E355" s="41" t="str">
        <f>+UPPER('0. Instruções'!$D$34&amp;"."&amp;VLOOKUP(B355,'0. Instruções'!$C$27:$E$31,3,FALSE))</f>
        <v>BU_LOANTAPE_WORK.LT004_PROTECTION_P3_NOV24</v>
      </c>
      <c r="F355" s="41" t="s">
        <v>141</v>
      </c>
      <c r="G355" s="41" t="s">
        <v>210</v>
      </c>
      <c r="H355" s="41"/>
      <c r="I355" s="41" t="str">
        <f>"(SELECT "&amp;VLOOKUP(B355,'0. Instruções'!$C$27:$G$31,4,FALSE)&amp;", "&amp;F355&amp;" FROM "&amp;D355&amp;" WHERE "&amp;'0. Instruções'!$D$40&amp;")X"</f>
        <v>(SELECT prtctn_id, EMSSNS_SCP3_PRTCTN FROM BU_LOANTAPE_WORK.LT004_PROTECTION WHERE ref_date='${ref_date}' AND nome_perimetro='Individual Corporativo' AND segmento='ESTR' AND ambito='PILAR3')X</v>
      </c>
      <c r="J355" s="41" t="str">
        <f>"(SELECT "&amp;VLOOKUP(B355,'0. Instruções'!$C$27:$G$31,4,FALSE)&amp;" AS "&amp;VLOOKUP(B355,'0. Instruções'!$C$27:$G$31,4,FALSE)&amp;"_SIMUL, "&amp;F355&amp;" AS "&amp;F355&amp;"_SIMUL FROM "&amp;E355&amp;")Y"</f>
        <v>(SELECT prtctn_id AS prtctn_id_SIMUL, EMSSNS_SCP3_PRTCTN AS EMSSNS_SCP3_PRTCTN_SIMUL FROM BU_LOANTAPE_WORK.LT004_PROTECTION_P3_NOV24)Y</v>
      </c>
      <c r="K355" s="42" t="str">
        <f>+UPPER("ON X."&amp;VLOOKUP(B355,'0. Instruções'!$C$27:$G$31,4,FALSE)&amp;"=Y."&amp;VLOOKUP(B355,'0. Instruções'!$C$27:$G$31,4,FALSE)&amp;"_SIMUL")</f>
        <v>ON X.PRTCTN_ID=Y.PRTCTN_ID_SIMUL</v>
      </c>
      <c r="L355" s="42" t="str">
        <f>+IF(C355="Coerência", +IF(LEFT(G355,5)="FLOAT","SELECT '"&amp;UPPER(B355)&amp;"' AS TABELA, '"&amp;UPPER(C355)&amp;"' AS TIPOLOGIA_TESTE,'"&amp;D355&amp;"' AS TABELA_LT,'"&amp;E355&amp;"' AS TABELA_SIMUL,'"&amp;F355&amp;"' AS CAMPO, "&amp;"'${ref_date}' AS REF_DATE, COUNT(*) AS NUM_REG, SUM(IF((ABS(COALESCE(X."&amp;F355&amp;",0)-COALESCE(Y."&amp;F355&amp;"_SIMUL,0))&gt;0.0000000001) OR (X."&amp;F355&amp;" IS NULL AND Y."&amp;F355&amp;"_SIMUL IS NOT NULL ) OR (X."&amp;F355&amp;" IS NOT NULL AND Y."&amp;F355&amp;"_SIMUL IS NULL),1,0)) AS NUM_REG_DIF,'"&amp;MAX('ID1&amp;5'!K:K)+1&amp;"' AS ID_EXEC, CURRENT_TIMESTAMP() AS TIME_EXEC FROM "&amp;I355&amp;" INNER JOIN "&amp;J355&amp;" "&amp;K355,"SELECT '"&amp;UPPER(B355)&amp;"' AS TABELA, '"&amp;UPPER(C355)&amp;"' AS TIPOLOGIA_TESTE,'"&amp;D355&amp;"' AS TABELA_LT,'"&amp;E355&amp;"' AS TABELA_SIMUL,'"&amp;F355&amp;"' AS CAMPO, "&amp;"'${ref_date}' AS REF_DATE, COUNT(*) AS NUM_REG, SUM(IF(COALESCE(CAST(X."&amp;F355&amp;" AS STRING),'')&lt;&gt;COALESCE(CAST(Y."&amp;F355&amp;"_SIMUL AS STRING),''),1,0)) AS NUM_REG_DIF,'"&amp;MAX('ID1&amp;5'!L:L)+1&amp;"' AS ID_EXEC, CURRENT_TIMESTAMP() AS TIME_EXEC FROM "&amp;I355&amp;" INNER JOIN "&amp;J355&amp;" "&amp;K355),
IF(C355="Validade",+IF(G355="Code List","SELECT '"&amp;UPPER(B355)&amp;"' AS TABELA, '"&amp;UPPER(C355)&amp;"' AS TIPOLOGIA_TESTE,'"&amp;D355&amp;"' AS TABELA_LT,'N/A' AS TABELA_SIMUL,'"&amp;F355&amp;"' AS CAMPO, "&amp;"'${ref_date}' AS REF_DATE, COUNT(*) AS NUM_REG, SUM(IF(TRIM(CAST(X."&amp;F355&amp;" AS STRING))='' OR TRIM(CAST(X."&amp;F355&amp;" AS STRING)) IS NULL OR CAST(X."&amp;F355&amp;" AS STRING) NOT "&amp;H355&amp;",1,0)) AS NUM_REG_DIF,'"&amp;MAX('ID1&amp;5'!K:K)+1&amp;"' AS ID_EXEC, CURRENT_TIMESTAMP() AS TIME_EXEC FROM "&amp;I355,"SELECT '"&amp;UPPER(B355)&amp;"' AS TABELA, '"&amp;UPPER(C355)&amp;"' AS TIPOLOGIA_TESTE,'"&amp;D355&amp;"' AS TABELA_LT,'N/A' AS TABELA_SIMUL,'"&amp;F355&amp;"' AS CAMPO, "&amp;"'${ref_date}' AS REF_DATE, COUNT(*) AS NUM_REG, SUM(IF(TRIM(CAST(X."&amp;F355&amp;" AS STRING))='' OR TRIM(CAST(X."&amp;F355&amp;" AS STRING)) IS NULL,1,0)) AS NUM_REG_DIF,'"&amp;MAX('ID1&amp;5'!K:K)+1&amp;"' AS ID_EXEC, CURRENT_TIMESTAMP() AS TIME_EXEC FROM "&amp;I355),
IF(C355="Caracteres Especiais",+"SELECT '"&amp;UPPER(B355)&amp;"' AS TABELA, '"&amp;UPPER(C355)&amp;"' AS TIPOLOGIA_TESTE,'"&amp;D355&amp;"' AS TABELA_LT,'N/A' AS TABELA_SIMUL,'"&amp;F355&amp;"' AS CAMPO, "&amp;"'${ref_date}' AS REF_DATE, COUNT(*) AS NUM_REG, SUM(IF(INSTR(CAST(X."&amp;F355&amp;" AS STRING),'#')&gt;0 OR INSTR(CAST(X."&amp;F355&amp;" AS STRING),'*')&gt;0 OR INSTR(CAST(X."&amp;F355&amp;" AS STRING),'`')&gt;0 OR INSTR(CAST(X."&amp;F355&amp;" AS STRING),'´')&gt;0 OR INSTR(CAST(X."&amp;F355&amp;" AS STRING),'{')&gt;0 OR INSTR(CAST(X."&amp;F355&amp;" AS STRING),'}')&gt;0 OR INSTR(CAST(X."&amp;F355&amp;" AS STRING),'[')&gt;0 OR INSTR(CAST(X."&amp;F355&amp;" AS STRING),'')&gt;0 OR INSTR(CAST(X."&amp;F355&amp;" AS STRING),']')&gt;0 OR INSTR(CAST(X."&amp;F355&amp;" AS STRING),'?')&gt;0 OR INSTR(CAST(X."&amp;F355&amp;" AS STRING),'!')&gt;0 OR INSTR(CAST(X."&amp;F355&amp;" AS STRING),'$')&gt;0 OR INSTR(CAST(X."&amp;F355&amp;" AS STRING),'%')&gt;0 OR INSTR(CAST(X."&amp;F355&amp;" AS STRING),'&amp;')&gt;0 OR INSTR(CAST(X."&amp;F355&amp;" AS STRING),'+')&gt;0,1,0)) AS NUM_REG_DIF,'"&amp;MAX('ID1&amp;5'!K:K)+1&amp;"' AS ID_EXEC, CURRENT_TIMESTAMP() AS TIME_EXEC FROM "&amp;I355,
IF(C355="Missings",+"SELECT '"&amp;UPPER(B355)&amp;"' AS TABELA, '"&amp;UPPER(C355)&amp;"' AS TIPOLOGIA_TESTE,'"&amp;D355&amp;"' AS TABELA_LT,'N/A' AS TABELA_SIMUL,'"&amp;F355&amp;"' AS CAMPO, "&amp;"'${ref_date}' AS REF_DATE, COUNT(*) AS NUM_REG, SUM(IF(TRIM(CAST(X."&amp;F355&amp;" AS STRING)) IN ('0000-00-00','0001-01-01','9999-12-31','MISS','00000','99999999999','99999999999.00','99999999999.000000'),1,0)) AS NUM_REG_DIF,'"&amp;MAX('ID1&amp;5'!K:K)+1&amp;"' AS ID_EXEC, CURRENT_TIMESTAMP() AS TIME_EXEC FROM "&amp;I355,
IF(C355="Not applicable",+"SELECT '"&amp;UPPER(B355)&amp;"' AS TABELA, '"&amp;UPPER(C355)&amp;"' AS TIPOLOGIA_TESTE,'"&amp;D355&amp;"' AS TABELA_LT,'N/A' AS TABELA_SIMUL,'"&amp;F355&amp;"' AS CAMPO, "&amp;"'${ref_date}' AS REF_DATE, COUNT(*) AS NUM_REG, SUM(IF(TRIM(CAST(X."&amp;F355&amp;" AS STRING)) IN ('N/A','11111111111','11111111111.00','11111111111.000000','1111-11-11'),1,0)) AS NUM_REG_DIF,'"&amp;MAX('ID1&amp;5'!K:K)+1&amp;"' AS ID_EXEC, CURRENT_TIMESTAMP() AS TIME_EXEC FROM "&amp;I355,
IF(C355="Valores extremos",+"SELECT '"&amp;UPPER(B355)&amp;"' AS TABELA, '"&amp;UPPER(C355)&amp;"' AS TIPOLOGIA_TESTE,'"&amp;D355&amp;"' AS TABELA_LT,'N/A' AS TABELA_SIMUL,'"&amp;F355&amp;"' AS CAMPO, "&amp;"'${ref_date}' AS REF_DATE, CAST(MIN("&amp;F355&amp;") AS STRING) AS VALOR_MIN, CAST(MAX("&amp;F355&amp;") AS STRING) AS VALOR_MAX,'"&amp;MAX('ID1&amp;5'!K:K)+1&amp;"' AS ID_EXEC, CURRENT_TIMESTAMP() AS TIME_EXEC FROM "&amp;MID(I355,1,LEN(I355)-2)&amp;" AND CAST("&amp;F355&amp;"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TABELA_SIMUL,'EMSSNS_SCP3_PRTCTN' AS CAMPO, '${ref_date}' AS REF_DATE, COUNT(*) AS NUM_REG, SUM(IF(TRIM(CAST(X.EMSSNS_SCP3_PRTCTN AS STRING)) IN ('0000-00-00','0001-01-01','9999-12-31','MISS','00000','99999999999','99999999999.00','99999999999.000000'),1,0)) AS NUM_REG_DIF,'10' AS ID_EXEC, CURRENT_TIMESTAMP() AS TIME_EXEC FROM (SELECT prtctn_id, EMSSNS_SCP3_PRTCTN FROM BU_LOANTAPE_WORK.LT004_PROTECTION WHERE ref_date='${ref_date}' AND nome_perimetro='Individual Corporativo' AND segmento='ESTR' AND ambito='PILAR3')X</v>
      </c>
      <c r="M355" s="43" t="str">
        <f t="shared" si="5"/>
        <v>UNION ALL SELECT 'PROTECTION' AS TABELA, 'MISSINGS' AS TIPOLOGIA_TESTE,'BU_LOANTAPE_WORK.LT004_PROTECTION' AS TABELA_LT,'N/A' AS TABELA_SIMUL,'EMSSNS_SCP3_PRTCTN' AS CAMPO, '${ref_date}' AS REF_DATE, COUNT(*) AS NUM_REG, SUM(IF(TRIM(CAST(X.EMSSNS_SCP3_PRTCTN AS STRING)) IN ('0000-00-00','0001-01-01','9999-12-31','MISS','00000','99999999999','99999999999.00','99999999999.000000'),1,0)) AS NUM_REG_DIF,'10' AS ID_EXEC, CURRENT_TIMESTAMP() AS TIME_EXEC FROM (SELECT prtctn_id, EMSSNS_SCP3_PRTCTN FROM BU_LOANTAPE_WORK.LT004_PROTECTION WHERE ref_date='${ref_date}' AND nome_perimetro='Individual Corporativo' AND segmento='ESTR' AND ambito='PILAR3')X</v>
      </c>
      <c r="N355" s="45" t="s">
        <v>13</v>
      </c>
    </row>
    <row r="356" spans="2:14">
      <c r="B356" s="41" t="s">
        <v>31</v>
      </c>
      <c r="C356" s="41" t="s">
        <v>77</v>
      </c>
      <c r="D356" s="41" t="str">
        <f>+UPPER('0. Instruções'!$D$33&amp;"."&amp;VLOOKUP(B356,'0. Instruções'!$C$27:$D$31,2,FALSE))</f>
        <v>BU_LOANTAPE_WORK.LT004_PROTECTION</v>
      </c>
      <c r="E356" s="41" t="str">
        <f>+UPPER('0. Instruções'!$D$34&amp;"."&amp;VLOOKUP(B356,'0. Instruções'!$C$27:$E$31,3,FALSE))</f>
        <v>BU_LOANTAPE_WORK.LT004_PROTECTION_P3_NOV24</v>
      </c>
      <c r="F356" s="41" t="s">
        <v>142</v>
      </c>
      <c r="G356" s="41" t="s">
        <v>209</v>
      </c>
      <c r="H356" s="41"/>
      <c r="I356" s="41" t="str">
        <f>"(SELECT "&amp;VLOOKUP(B356,'0. Instruções'!$C$27:$G$31,4,FALSE)&amp;", "&amp;F356&amp;" FROM "&amp;D356&amp;" WHERE "&amp;'0. Instruções'!$D$40&amp;")X"</f>
        <v>(SELECT prtctn_id, MTHD_USD_PRTCTN_SCP_1 FROM BU_LOANTAPE_WORK.LT004_PROTECTION WHERE ref_date='${ref_date}' AND nome_perimetro='Individual Corporativo' AND segmento='ESTR' AND ambito='PILAR3')X</v>
      </c>
      <c r="J356" s="41" t="str">
        <f>"(SELECT "&amp;VLOOKUP(B356,'0. Instruções'!$C$27:$G$31,4,FALSE)&amp;" AS "&amp;VLOOKUP(B356,'0. Instruções'!$C$27:$G$31,4,FALSE)&amp;"_SIMUL, "&amp;F356&amp;" AS "&amp;F356&amp;"_SIMUL FROM "&amp;E356&amp;")Y"</f>
        <v>(SELECT prtctn_id AS prtctn_id_SIMUL, MTHD_USD_PRTCTN_SCP_1 AS MTHD_USD_PRTCTN_SCP_1_SIMUL FROM BU_LOANTAPE_WORK.LT004_PROTECTION_P3_NOV24)Y</v>
      </c>
      <c r="K356" s="42" t="str">
        <f>+UPPER("ON X."&amp;VLOOKUP(B356,'0. Instruções'!$C$27:$G$31,4,FALSE)&amp;"=Y."&amp;VLOOKUP(B356,'0. Instruções'!$C$27:$G$31,4,FALSE)&amp;"_SIMUL")</f>
        <v>ON X.PRTCTN_ID=Y.PRTCTN_ID_SIMUL</v>
      </c>
      <c r="L356" s="42" t="str">
        <f>+IF(C356="Coerência", +IF(LEFT(G356,5)="FLOAT","SELECT '"&amp;UPPER(B356)&amp;"' AS TABELA, '"&amp;UPPER(C356)&amp;"' AS TIPOLOGIA_TESTE,'"&amp;D356&amp;"' AS TABELA_LT,'"&amp;E356&amp;"' AS TABELA_SIMUL,'"&amp;F356&amp;"' AS CAMPO, "&amp;"'${ref_date}' AS REF_DATE, COUNT(*) AS NUM_REG, SUM(IF((ABS(COALESCE(X."&amp;F356&amp;",0)-COALESCE(Y."&amp;F356&amp;"_SIMUL,0))&gt;0.0000000001) OR (X."&amp;F356&amp;" IS NULL AND Y."&amp;F356&amp;"_SIMUL IS NOT NULL ) OR (X."&amp;F356&amp;" IS NOT NULL AND Y."&amp;F356&amp;"_SIMUL IS NULL),1,0)) AS NUM_REG_DIF,'"&amp;MAX('ID1&amp;5'!K:K)+1&amp;"' AS ID_EXEC, CURRENT_TIMESTAMP() AS TIME_EXEC FROM "&amp;I356&amp;" INNER JOIN "&amp;J356&amp;" "&amp;K356,"SELECT '"&amp;UPPER(B356)&amp;"' AS TABELA, '"&amp;UPPER(C356)&amp;"' AS TIPOLOGIA_TESTE,'"&amp;D356&amp;"' AS TABELA_LT,'"&amp;E356&amp;"' AS TABELA_SIMUL,'"&amp;F356&amp;"' AS CAMPO, "&amp;"'${ref_date}' AS REF_DATE, COUNT(*) AS NUM_REG, SUM(IF(COALESCE(CAST(X."&amp;F356&amp;" AS STRING),'')&lt;&gt;COALESCE(CAST(Y."&amp;F356&amp;"_SIMUL AS STRING),''),1,0)) AS NUM_REG_DIF,'"&amp;MAX('ID1&amp;5'!L:L)+1&amp;"' AS ID_EXEC, CURRENT_TIMESTAMP() AS TIME_EXEC FROM "&amp;I356&amp;" INNER JOIN "&amp;J356&amp;" "&amp;K356),
IF(C356="Validade",+IF(G356="Code List","SELECT '"&amp;UPPER(B356)&amp;"' AS TABELA, '"&amp;UPPER(C356)&amp;"' AS TIPOLOGIA_TESTE,'"&amp;D356&amp;"' AS TABELA_LT,'N/A' AS TABELA_SIMUL,'"&amp;F356&amp;"' AS CAMPO, "&amp;"'${ref_date}' AS REF_DATE, COUNT(*) AS NUM_REG, SUM(IF(TRIM(CAST(X."&amp;F356&amp;" AS STRING))='' OR TRIM(CAST(X."&amp;F356&amp;" AS STRING)) IS NULL OR CAST(X."&amp;F356&amp;" AS STRING) NOT "&amp;H356&amp;",1,0)) AS NUM_REG_DIF,'"&amp;MAX('ID1&amp;5'!K:K)+1&amp;"' AS ID_EXEC, CURRENT_TIMESTAMP() AS TIME_EXEC FROM "&amp;I356,"SELECT '"&amp;UPPER(B356)&amp;"' AS TABELA, '"&amp;UPPER(C356)&amp;"' AS TIPOLOGIA_TESTE,'"&amp;D356&amp;"' AS TABELA_LT,'N/A' AS TABELA_SIMUL,'"&amp;F356&amp;"' AS CAMPO, "&amp;"'${ref_date}' AS REF_DATE, COUNT(*) AS NUM_REG, SUM(IF(TRIM(CAST(X."&amp;F356&amp;" AS STRING))='' OR TRIM(CAST(X."&amp;F356&amp;" AS STRING)) IS NULL,1,0)) AS NUM_REG_DIF,'"&amp;MAX('ID1&amp;5'!K:K)+1&amp;"' AS ID_EXEC, CURRENT_TIMESTAMP() AS TIME_EXEC FROM "&amp;I356),
IF(C356="Caracteres Especiais",+"SELECT '"&amp;UPPER(B356)&amp;"' AS TABELA, '"&amp;UPPER(C356)&amp;"' AS TIPOLOGIA_TESTE,'"&amp;D356&amp;"' AS TABELA_LT,'N/A' AS TABELA_SIMUL,'"&amp;F356&amp;"' AS CAMPO, "&amp;"'${ref_date}' AS REF_DATE, COUNT(*) AS NUM_REG, SUM(IF(INSTR(CAST(X."&amp;F356&amp;" AS STRING),'#')&gt;0 OR INSTR(CAST(X."&amp;F356&amp;" AS STRING),'*')&gt;0 OR INSTR(CAST(X."&amp;F356&amp;" AS STRING),'`')&gt;0 OR INSTR(CAST(X."&amp;F356&amp;" AS STRING),'´')&gt;0 OR INSTR(CAST(X."&amp;F356&amp;" AS STRING),'{')&gt;0 OR INSTR(CAST(X."&amp;F356&amp;" AS STRING),'}')&gt;0 OR INSTR(CAST(X."&amp;F356&amp;" AS STRING),'[')&gt;0 OR INSTR(CAST(X."&amp;F356&amp;" AS STRING),'')&gt;0 OR INSTR(CAST(X."&amp;F356&amp;" AS STRING),']')&gt;0 OR INSTR(CAST(X."&amp;F356&amp;" AS STRING),'?')&gt;0 OR INSTR(CAST(X."&amp;F356&amp;" AS STRING),'!')&gt;0 OR INSTR(CAST(X."&amp;F356&amp;" AS STRING),'$')&gt;0 OR INSTR(CAST(X."&amp;F356&amp;" AS STRING),'%')&gt;0 OR INSTR(CAST(X."&amp;F356&amp;" AS STRING),'&amp;')&gt;0 OR INSTR(CAST(X."&amp;F356&amp;" AS STRING),'+')&gt;0,1,0)) AS NUM_REG_DIF,'"&amp;MAX('ID1&amp;5'!K:K)+1&amp;"' AS ID_EXEC, CURRENT_TIMESTAMP() AS TIME_EXEC FROM "&amp;I356,
IF(C356="Missings",+"SELECT '"&amp;UPPER(B356)&amp;"' AS TABELA, '"&amp;UPPER(C356)&amp;"' AS TIPOLOGIA_TESTE,'"&amp;D356&amp;"' AS TABELA_LT,'N/A' AS TABELA_SIMUL,'"&amp;F356&amp;"' AS CAMPO, "&amp;"'${ref_date}' AS REF_DATE, COUNT(*) AS NUM_REG, SUM(IF(TRIM(CAST(X."&amp;F356&amp;" AS STRING)) IN ('0000-00-00','0001-01-01','9999-12-31','MISS','00000','99999999999','99999999999.00','99999999999.000000'),1,0)) AS NUM_REG_DIF,'"&amp;MAX('ID1&amp;5'!K:K)+1&amp;"' AS ID_EXEC, CURRENT_TIMESTAMP() AS TIME_EXEC FROM "&amp;I356,
IF(C356="Not applicable",+"SELECT '"&amp;UPPER(B356)&amp;"' AS TABELA, '"&amp;UPPER(C356)&amp;"' AS TIPOLOGIA_TESTE,'"&amp;D356&amp;"' AS TABELA_LT,'N/A' AS TABELA_SIMUL,'"&amp;F356&amp;"' AS CAMPO, "&amp;"'${ref_date}' AS REF_DATE, COUNT(*) AS NUM_REG, SUM(IF(TRIM(CAST(X."&amp;F356&amp;" AS STRING)) IN ('N/A','11111111111','11111111111.00','11111111111.000000','1111-11-11'),1,0)) AS NUM_REG_DIF,'"&amp;MAX('ID1&amp;5'!K:K)+1&amp;"' AS ID_EXEC, CURRENT_TIMESTAMP() AS TIME_EXEC FROM "&amp;I356,
IF(C356="Valores extremos",+"SELECT '"&amp;UPPER(B356)&amp;"' AS TABELA, '"&amp;UPPER(C356)&amp;"' AS TIPOLOGIA_TESTE,'"&amp;D356&amp;"' AS TABELA_LT,'N/A' AS TABELA_SIMUL,'"&amp;F356&amp;"' AS CAMPO, "&amp;"'${ref_date}' AS REF_DATE, CAST(MIN("&amp;F356&amp;") AS STRING) AS VALOR_MIN, CAST(MAX("&amp;F356&amp;") AS STRING) AS VALOR_MAX,'"&amp;MAX('ID1&amp;5'!K:K)+1&amp;"' AS ID_EXEC, CURRENT_TIMESTAMP() AS TIME_EXEC FROM "&amp;MID(I356,1,LEN(I356)-2)&amp;" AND CAST("&amp;F356&amp;"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TABELA_SIMUL,'MTHD_USD_PRTCTN_SCP_1' AS CAMPO, '${ref_date}' AS REF_DATE, COUNT(*) AS NUM_REG, SUM(IF(TRIM(CAST(X.MTHD_USD_PRTCTN_SCP_1 AS STRING)) IN ('0000-00-00','0001-01-01','9999-12-31','MISS','00000','99999999999','99999999999.00','99999999999.000000'),1,0)) AS NUM_REG_DIF,'10' AS ID_EXEC, CURRENT_TIMESTAMP() AS TIME_EXEC FROM (SELECT prtctn_id, MTHD_USD_PRTCTN_SCP_1 FROM BU_LOANTAPE_WORK.LT004_PROTECTION WHERE ref_date='${ref_date}' AND nome_perimetro='Individual Corporativo' AND segmento='ESTR' AND ambito='PILAR3')X</v>
      </c>
      <c r="M356" s="43" t="str">
        <f t="shared" si="5"/>
        <v>UNION ALL SELECT 'PROTECTION' AS TABELA, 'MISSINGS' AS TIPOLOGIA_TESTE,'BU_LOANTAPE_WORK.LT004_PROTECTION' AS TABELA_LT,'N/A' AS TABELA_SIMUL,'MTHD_USD_PRTCTN_SCP_1' AS CAMPO, '${ref_date}' AS REF_DATE, COUNT(*) AS NUM_REG, SUM(IF(TRIM(CAST(X.MTHD_USD_PRTCTN_SCP_1 AS STRING)) IN ('0000-00-00','0001-01-01','9999-12-31','MISS','00000','99999999999','99999999999.00','99999999999.000000'),1,0)) AS NUM_REG_DIF,'10' AS ID_EXEC, CURRENT_TIMESTAMP() AS TIME_EXEC FROM (SELECT prtctn_id, MTHD_USD_PRTCTN_SCP_1 FROM BU_LOANTAPE_WORK.LT004_PROTECTION WHERE ref_date='${ref_date}' AND nome_perimetro='Individual Corporativo' AND segmento='ESTR' AND ambito='PILAR3')X</v>
      </c>
      <c r="N356" s="45" t="s">
        <v>13</v>
      </c>
    </row>
    <row r="357" spans="2:14">
      <c r="B357" s="41" t="s">
        <v>31</v>
      </c>
      <c r="C357" s="41" t="s">
        <v>77</v>
      </c>
      <c r="D357" s="41" t="str">
        <f>+UPPER('0. Instruções'!$D$33&amp;"."&amp;VLOOKUP(B357,'0. Instruções'!$C$27:$D$31,2,FALSE))</f>
        <v>BU_LOANTAPE_WORK.LT004_PROTECTION</v>
      </c>
      <c r="E357" s="41" t="str">
        <f>+UPPER('0. Instruções'!$D$34&amp;"."&amp;VLOOKUP(B357,'0. Instruções'!$C$27:$E$31,3,FALSE))</f>
        <v>BU_LOANTAPE_WORK.LT004_PROTECTION_P3_NOV24</v>
      </c>
      <c r="F357" s="41" t="s">
        <v>143</v>
      </c>
      <c r="G357" s="41" t="s">
        <v>209</v>
      </c>
      <c r="H357" s="41"/>
      <c r="I357" s="41" t="str">
        <f>"(SELECT "&amp;VLOOKUP(B357,'0. Instruções'!$C$27:$G$31,4,FALSE)&amp;", "&amp;F357&amp;" FROM "&amp;D357&amp;" WHERE "&amp;'0. Instruções'!$D$40&amp;")X"</f>
        <v>(SELECT prtctn_id, MTHD_USD_PRTCTN_SCP_2 FROM BU_LOANTAPE_WORK.LT004_PROTECTION WHERE ref_date='${ref_date}' AND nome_perimetro='Individual Corporativo' AND segmento='ESTR' AND ambito='PILAR3')X</v>
      </c>
      <c r="J357" s="41" t="str">
        <f>"(SELECT "&amp;VLOOKUP(B357,'0. Instruções'!$C$27:$G$31,4,FALSE)&amp;" AS "&amp;VLOOKUP(B357,'0. Instruções'!$C$27:$G$31,4,FALSE)&amp;"_SIMUL, "&amp;F357&amp;" AS "&amp;F357&amp;"_SIMUL FROM "&amp;E357&amp;")Y"</f>
        <v>(SELECT prtctn_id AS prtctn_id_SIMUL, MTHD_USD_PRTCTN_SCP_2 AS MTHD_USD_PRTCTN_SCP_2_SIMUL FROM BU_LOANTAPE_WORK.LT004_PROTECTION_P3_NOV24)Y</v>
      </c>
      <c r="K357" s="42" t="str">
        <f>+UPPER("ON X."&amp;VLOOKUP(B357,'0. Instruções'!$C$27:$G$31,4,FALSE)&amp;"=Y."&amp;VLOOKUP(B357,'0. Instruções'!$C$27:$G$31,4,FALSE)&amp;"_SIMUL")</f>
        <v>ON X.PRTCTN_ID=Y.PRTCTN_ID_SIMUL</v>
      </c>
      <c r="L357" s="42" t="str">
        <f>+IF(C357="Coerência", +IF(LEFT(G357,5)="FLOAT","SELECT '"&amp;UPPER(B357)&amp;"' AS TABELA, '"&amp;UPPER(C357)&amp;"' AS TIPOLOGIA_TESTE,'"&amp;D357&amp;"' AS TABELA_LT,'"&amp;E357&amp;"' AS TABELA_SIMUL,'"&amp;F357&amp;"' AS CAMPO, "&amp;"'${ref_date}' AS REF_DATE, COUNT(*) AS NUM_REG, SUM(IF((ABS(COALESCE(X."&amp;F357&amp;",0)-COALESCE(Y."&amp;F357&amp;"_SIMUL,0))&gt;0.0000000001) OR (X."&amp;F357&amp;" IS NULL AND Y."&amp;F357&amp;"_SIMUL IS NOT NULL ) OR (X."&amp;F357&amp;" IS NOT NULL AND Y."&amp;F357&amp;"_SIMUL IS NULL),1,0)) AS NUM_REG_DIF,'"&amp;MAX('ID1&amp;5'!K:K)+1&amp;"' AS ID_EXEC, CURRENT_TIMESTAMP() AS TIME_EXEC FROM "&amp;I357&amp;" INNER JOIN "&amp;J357&amp;" "&amp;K357,"SELECT '"&amp;UPPER(B357)&amp;"' AS TABELA, '"&amp;UPPER(C357)&amp;"' AS TIPOLOGIA_TESTE,'"&amp;D357&amp;"' AS TABELA_LT,'"&amp;E357&amp;"' AS TABELA_SIMUL,'"&amp;F357&amp;"' AS CAMPO, "&amp;"'${ref_date}' AS REF_DATE, COUNT(*) AS NUM_REG, SUM(IF(COALESCE(CAST(X."&amp;F357&amp;" AS STRING),'')&lt;&gt;COALESCE(CAST(Y."&amp;F357&amp;"_SIMUL AS STRING),''),1,0)) AS NUM_REG_DIF,'"&amp;MAX('ID1&amp;5'!L:L)+1&amp;"' AS ID_EXEC, CURRENT_TIMESTAMP() AS TIME_EXEC FROM "&amp;I357&amp;" INNER JOIN "&amp;J357&amp;" "&amp;K357),
IF(C357="Validade",+IF(G357="Code List","SELECT '"&amp;UPPER(B357)&amp;"' AS TABELA, '"&amp;UPPER(C357)&amp;"' AS TIPOLOGIA_TESTE,'"&amp;D357&amp;"' AS TABELA_LT,'N/A' AS TABELA_SIMUL,'"&amp;F357&amp;"' AS CAMPO, "&amp;"'${ref_date}' AS REF_DATE, COUNT(*) AS NUM_REG, SUM(IF(TRIM(CAST(X."&amp;F357&amp;" AS STRING))='' OR TRIM(CAST(X."&amp;F357&amp;" AS STRING)) IS NULL OR CAST(X."&amp;F357&amp;" AS STRING) NOT "&amp;H357&amp;",1,0)) AS NUM_REG_DIF,'"&amp;MAX('ID1&amp;5'!K:K)+1&amp;"' AS ID_EXEC, CURRENT_TIMESTAMP() AS TIME_EXEC FROM "&amp;I357,"SELECT '"&amp;UPPER(B357)&amp;"' AS TABELA, '"&amp;UPPER(C357)&amp;"' AS TIPOLOGIA_TESTE,'"&amp;D357&amp;"' AS TABELA_LT,'N/A' AS TABELA_SIMUL,'"&amp;F357&amp;"' AS CAMPO, "&amp;"'${ref_date}' AS REF_DATE, COUNT(*) AS NUM_REG, SUM(IF(TRIM(CAST(X."&amp;F357&amp;" AS STRING))='' OR TRIM(CAST(X."&amp;F357&amp;" AS STRING)) IS NULL,1,0)) AS NUM_REG_DIF,'"&amp;MAX('ID1&amp;5'!K:K)+1&amp;"' AS ID_EXEC, CURRENT_TIMESTAMP() AS TIME_EXEC FROM "&amp;I357),
IF(C357="Caracteres Especiais",+"SELECT '"&amp;UPPER(B357)&amp;"' AS TABELA, '"&amp;UPPER(C357)&amp;"' AS TIPOLOGIA_TESTE,'"&amp;D357&amp;"' AS TABELA_LT,'N/A' AS TABELA_SIMUL,'"&amp;F357&amp;"' AS CAMPO, "&amp;"'${ref_date}' AS REF_DATE, COUNT(*) AS NUM_REG, SUM(IF(INSTR(CAST(X."&amp;F357&amp;" AS STRING),'#')&gt;0 OR INSTR(CAST(X."&amp;F357&amp;" AS STRING),'*')&gt;0 OR INSTR(CAST(X."&amp;F357&amp;" AS STRING),'`')&gt;0 OR INSTR(CAST(X."&amp;F357&amp;" AS STRING),'´')&gt;0 OR INSTR(CAST(X."&amp;F357&amp;" AS STRING),'{')&gt;0 OR INSTR(CAST(X."&amp;F357&amp;" AS STRING),'}')&gt;0 OR INSTR(CAST(X."&amp;F357&amp;" AS STRING),'[')&gt;0 OR INSTR(CAST(X."&amp;F357&amp;" AS STRING),'')&gt;0 OR INSTR(CAST(X."&amp;F357&amp;" AS STRING),']')&gt;0 OR INSTR(CAST(X."&amp;F357&amp;" AS STRING),'?')&gt;0 OR INSTR(CAST(X."&amp;F357&amp;" AS STRING),'!')&gt;0 OR INSTR(CAST(X."&amp;F357&amp;" AS STRING),'$')&gt;0 OR INSTR(CAST(X."&amp;F357&amp;" AS STRING),'%')&gt;0 OR INSTR(CAST(X."&amp;F357&amp;" AS STRING),'&amp;')&gt;0 OR INSTR(CAST(X."&amp;F357&amp;" AS STRING),'+')&gt;0,1,0)) AS NUM_REG_DIF,'"&amp;MAX('ID1&amp;5'!K:K)+1&amp;"' AS ID_EXEC, CURRENT_TIMESTAMP() AS TIME_EXEC FROM "&amp;I357,
IF(C357="Missings",+"SELECT '"&amp;UPPER(B357)&amp;"' AS TABELA, '"&amp;UPPER(C357)&amp;"' AS TIPOLOGIA_TESTE,'"&amp;D357&amp;"' AS TABELA_LT,'N/A' AS TABELA_SIMUL,'"&amp;F357&amp;"' AS CAMPO, "&amp;"'${ref_date}' AS REF_DATE, COUNT(*) AS NUM_REG, SUM(IF(TRIM(CAST(X."&amp;F357&amp;" AS STRING)) IN ('0000-00-00','0001-01-01','9999-12-31','MISS','00000','99999999999','99999999999.00','99999999999.000000'),1,0)) AS NUM_REG_DIF,'"&amp;MAX('ID1&amp;5'!K:K)+1&amp;"' AS ID_EXEC, CURRENT_TIMESTAMP() AS TIME_EXEC FROM "&amp;I357,
IF(C357="Not applicable",+"SELECT '"&amp;UPPER(B357)&amp;"' AS TABELA, '"&amp;UPPER(C357)&amp;"' AS TIPOLOGIA_TESTE,'"&amp;D357&amp;"' AS TABELA_LT,'N/A' AS TABELA_SIMUL,'"&amp;F357&amp;"' AS CAMPO, "&amp;"'${ref_date}' AS REF_DATE, COUNT(*) AS NUM_REG, SUM(IF(TRIM(CAST(X."&amp;F357&amp;" AS STRING)) IN ('N/A','11111111111','11111111111.00','11111111111.000000','1111-11-11'),1,0)) AS NUM_REG_DIF,'"&amp;MAX('ID1&amp;5'!K:K)+1&amp;"' AS ID_EXEC, CURRENT_TIMESTAMP() AS TIME_EXEC FROM "&amp;I357,
IF(C357="Valores extremos",+"SELECT '"&amp;UPPER(B357)&amp;"' AS TABELA, '"&amp;UPPER(C357)&amp;"' AS TIPOLOGIA_TESTE,'"&amp;D357&amp;"' AS TABELA_LT,'N/A' AS TABELA_SIMUL,'"&amp;F357&amp;"' AS CAMPO, "&amp;"'${ref_date}' AS REF_DATE, CAST(MIN("&amp;F357&amp;") AS STRING) AS VALOR_MIN, CAST(MAX("&amp;F357&amp;") AS STRING) AS VALOR_MAX,'"&amp;MAX('ID1&amp;5'!K:K)+1&amp;"' AS ID_EXEC, CURRENT_TIMESTAMP() AS TIME_EXEC FROM "&amp;MID(I357,1,LEN(I357)-2)&amp;" AND CAST("&amp;F357&amp;"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TABELA_SIMUL,'MTHD_USD_PRTCTN_SCP_2' AS CAMPO, '${ref_date}' AS REF_DATE, COUNT(*) AS NUM_REG, SUM(IF(TRIM(CAST(X.MTHD_USD_PRTCTN_SCP_2 AS STRING)) IN ('0000-00-00','0001-01-01','9999-12-31','MISS','00000','99999999999','99999999999.00','99999999999.000000'),1,0)) AS NUM_REG_DIF,'10' AS ID_EXEC, CURRENT_TIMESTAMP() AS TIME_EXEC FROM (SELECT prtctn_id, MTHD_USD_PRTCTN_SCP_2 FROM BU_LOANTAPE_WORK.LT004_PROTECTION WHERE ref_date='${ref_date}' AND nome_perimetro='Individual Corporativo' AND segmento='ESTR' AND ambito='PILAR3')X</v>
      </c>
      <c r="M357" s="43" t="str">
        <f t="shared" si="5"/>
        <v>UNION ALL SELECT 'PROTECTION' AS TABELA, 'MISSINGS' AS TIPOLOGIA_TESTE,'BU_LOANTAPE_WORK.LT004_PROTECTION' AS TABELA_LT,'N/A' AS TABELA_SIMUL,'MTHD_USD_PRTCTN_SCP_2' AS CAMPO, '${ref_date}' AS REF_DATE, COUNT(*) AS NUM_REG, SUM(IF(TRIM(CAST(X.MTHD_USD_PRTCTN_SCP_2 AS STRING)) IN ('0000-00-00','0001-01-01','9999-12-31','MISS','00000','99999999999','99999999999.00','99999999999.000000'),1,0)) AS NUM_REG_DIF,'10' AS ID_EXEC, CURRENT_TIMESTAMP() AS TIME_EXEC FROM (SELECT prtctn_id, MTHD_USD_PRTCTN_SCP_2 FROM BU_LOANTAPE_WORK.LT004_PROTECTION WHERE ref_date='${ref_date}' AND nome_perimetro='Individual Corporativo' AND segmento='ESTR' AND ambito='PILAR3')X</v>
      </c>
      <c r="N357" s="45" t="s">
        <v>13</v>
      </c>
    </row>
    <row r="358" spans="2:14">
      <c r="B358" s="41" t="s">
        <v>31</v>
      </c>
      <c r="C358" s="41" t="s">
        <v>77</v>
      </c>
      <c r="D358" s="41" t="str">
        <f>+UPPER('0. Instruções'!$D$33&amp;"."&amp;VLOOKUP(B358,'0. Instruções'!$C$27:$D$31,2,FALSE))</f>
        <v>BU_LOANTAPE_WORK.LT004_PROTECTION</v>
      </c>
      <c r="E358" s="41" t="str">
        <f>+UPPER('0. Instruções'!$D$34&amp;"."&amp;VLOOKUP(B358,'0. Instruções'!$C$27:$E$31,3,FALSE))</f>
        <v>BU_LOANTAPE_WORK.LT004_PROTECTION_P3_NOV24</v>
      </c>
      <c r="F358" s="41" t="s">
        <v>144</v>
      </c>
      <c r="G358" s="41" t="s">
        <v>209</v>
      </c>
      <c r="H358" s="41"/>
      <c r="I358" s="41" t="str">
        <f>"(SELECT "&amp;VLOOKUP(B358,'0. Instruções'!$C$27:$G$31,4,FALSE)&amp;", "&amp;F358&amp;" FROM "&amp;D358&amp;" WHERE "&amp;'0. Instruções'!$D$40&amp;")X"</f>
        <v>(SELECT prtctn_id, MTHD_USD_PRTCTN_SCP_3 FROM BU_LOANTAPE_WORK.LT004_PROTECTION WHERE ref_date='${ref_date}' AND nome_perimetro='Individual Corporativo' AND segmento='ESTR' AND ambito='PILAR3')X</v>
      </c>
      <c r="J358" s="41" t="str">
        <f>"(SELECT "&amp;VLOOKUP(B358,'0. Instruções'!$C$27:$G$31,4,FALSE)&amp;" AS "&amp;VLOOKUP(B358,'0. Instruções'!$C$27:$G$31,4,FALSE)&amp;"_SIMUL, "&amp;F358&amp;" AS "&amp;F358&amp;"_SIMUL FROM "&amp;E358&amp;")Y"</f>
        <v>(SELECT prtctn_id AS prtctn_id_SIMUL, MTHD_USD_PRTCTN_SCP_3 AS MTHD_USD_PRTCTN_SCP_3_SIMUL FROM BU_LOANTAPE_WORK.LT004_PROTECTION_P3_NOV24)Y</v>
      </c>
      <c r="K358" s="42" t="str">
        <f>+UPPER("ON X."&amp;VLOOKUP(B358,'0. Instruções'!$C$27:$G$31,4,FALSE)&amp;"=Y."&amp;VLOOKUP(B358,'0. Instruções'!$C$27:$G$31,4,FALSE)&amp;"_SIMUL")</f>
        <v>ON X.PRTCTN_ID=Y.PRTCTN_ID_SIMUL</v>
      </c>
      <c r="L358" s="42" t="str">
        <f>+IF(C358="Coerência", +IF(LEFT(G358,5)="FLOAT","SELECT '"&amp;UPPER(B358)&amp;"' AS TABELA, '"&amp;UPPER(C358)&amp;"' AS TIPOLOGIA_TESTE,'"&amp;D358&amp;"' AS TABELA_LT,'"&amp;E358&amp;"' AS TABELA_SIMUL,'"&amp;F358&amp;"' AS CAMPO, "&amp;"'${ref_date}' AS REF_DATE, COUNT(*) AS NUM_REG, SUM(IF((ABS(COALESCE(X."&amp;F358&amp;",0)-COALESCE(Y."&amp;F358&amp;"_SIMUL,0))&gt;0.0000000001) OR (X."&amp;F358&amp;" IS NULL AND Y."&amp;F358&amp;"_SIMUL IS NOT NULL ) OR (X."&amp;F358&amp;" IS NOT NULL AND Y."&amp;F358&amp;"_SIMUL IS NULL),1,0)) AS NUM_REG_DIF,'"&amp;MAX('ID1&amp;5'!K:K)+1&amp;"' AS ID_EXEC, CURRENT_TIMESTAMP() AS TIME_EXEC FROM "&amp;I358&amp;" INNER JOIN "&amp;J358&amp;" "&amp;K358,"SELECT '"&amp;UPPER(B358)&amp;"' AS TABELA, '"&amp;UPPER(C358)&amp;"' AS TIPOLOGIA_TESTE,'"&amp;D358&amp;"' AS TABELA_LT,'"&amp;E358&amp;"' AS TABELA_SIMUL,'"&amp;F358&amp;"' AS CAMPO, "&amp;"'${ref_date}' AS REF_DATE, COUNT(*) AS NUM_REG, SUM(IF(COALESCE(CAST(X."&amp;F358&amp;" AS STRING),'')&lt;&gt;COALESCE(CAST(Y."&amp;F358&amp;"_SIMUL AS STRING),''),1,0)) AS NUM_REG_DIF,'"&amp;MAX('ID1&amp;5'!L:L)+1&amp;"' AS ID_EXEC, CURRENT_TIMESTAMP() AS TIME_EXEC FROM "&amp;I358&amp;" INNER JOIN "&amp;J358&amp;" "&amp;K358),
IF(C358="Validade",+IF(G358="Code List","SELECT '"&amp;UPPER(B358)&amp;"' AS TABELA, '"&amp;UPPER(C358)&amp;"' AS TIPOLOGIA_TESTE,'"&amp;D358&amp;"' AS TABELA_LT,'N/A' AS TABELA_SIMUL,'"&amp;F358&amp;"' AS CAMPO, "&amp;"'${ref_date}' AS REF_DATE, COUNT(*) AS NUM_REG, SUM(IF(TRIM(CAST(X."&amp;F358&amp;" AS STRING))='' OR TRIM(CAST(X."&amp;F358&amp;" AS STRING)) IS NULL OR CAST(X."&amp;F358&amp;" AS STRING) NOT "&amp;H358&amp;",1,0)) AS NUM_REG_DIF,'"&amp;MAX('ID1&amp;5'!K:K)+1&amp;"' AS ID_EXEC, CURRENT_TIMESTAMP() AS TIME_EXEC FROM "&amp;I358,"SELECT '"&amp;UPPER(B358)&amp;"' AS TABELA, '"&amp;UPPER(C358)&amp;"' AS TIPOLOGIA_TESTE,'"&amp;D358&amp;"' AS TABELA_LT,'N/A' AS TABELA_SIMUL,'"&amp;F358&amp;"' AS CAMPO, "&amp;"'${ref_date}' AS REF_DATE, COUNT(*) AS NUM_REG, SUM(IF(TRIM(CAST(X."&amp;F358&amp;" AS STRING))='' OR TRIM(CAST(X."&amp;F358&amp;" AS STRING)) IS NULL,1,0)) AS NUM_REG_DIF,'"&amp;MAX('ID1&amp;5'!K:K)+1&amp;"' AS ID_EXEC, CURRENT_TIMESTAMP() AS TIME_EXEC FROM "&amp;I358),
IF(C358="Caracteres Especiais",+"SELECT '"&amp;UPPER(B358)&amp;"' AS TABELA, '"&amp;UPPER(C358)&amp;"' AS TIPOLOGIA_TESTE,'"&amp;D358&amp;"' AS TABELA_LT,'N/A' AS TABELA_SIMUL,'"&amp;F358&amp;"' AS CAMPO, "&amp;"'${ref_date}' AS REF_DATE, COUNT(*) AS NUM_REG, SUM(IF(INSTR(CAST(X."&amp;F358&amp;" AS STRING),'#')&gt;0 OR INSTR(CAST(X."&amp;F358&amp;" AS STRING),'*')&gt;0 OR INSTR(CAST(X."&amp;F358&amp;" AS STRING),'`')&gt;0 OR INSTR(CAST(X."&amp;F358&amp;" AS STRING),'´')&gt;0 OR INSTR(CAST(X."&amp;F358&amp;" AS STRING),'{')&gt;0 OR INSTR(CAST(X."&amp;F358&amp;" AS STRING),'}')&gt;0 OR INSTR(CAST(X."&amp;F358&amp;" AS STRING),'[')&gt;0 OR INSTR(CAST(X."&amp;F358&amp;" AS STRING),'')&gt;0 OR INSTR(CAST(X."&amp;F358&amp;" AS STRING),']')&gt;0 OR INSTR(CAST(X."&amp;F358&amp;" AS STRING),'?')&gt;0 OR INSTR(CAST(X."&amp;F358&amp;" AS STRING),'!')&gt;0 OR INSTR(CAST(X."&amp;F358&amp;" AS STRING),'$')&gt;0 OR INSTR(CAST(X."&amp;F358&amp;" AS STRING),'%')&gt;0 OR INSTR(CAST(X."&amp;F358&amp;" AS STRING),'&amp;')&gt;0 OR INSTR(CAST(X."&amp;F358&amp;" AS STRING),'+')&gt;0,1,0)) AS NUM_REG_DIF,'"&amp;MAX('ID1&amp;5'!K:K)+1&amp;"' AS ID_EXEC, CURRENT_TIMESTAMP() AS TIME_EXEC FROM "&amp;I358,
IF(C358="Missings",+"SELECT '"&amp;UPPER(B358)&amp;"' AS TABELA, '"&amp;UPPER(C358)&amp;"' AS TIPOLOGIA_TESTE,'"&amp;D358&amp;"' AS TABELA_LT,'N/A' AS TABELA_SIMUL,'"&amp;F358&amp;"' AS CAMPO, "&amp;"'${ref_date}' AS REF_DATE, COUNT(*) AS NUM_REG, SUM(IF(TRIM(CAST(X."&amp;F358&amp;" AS STRING)) IN ('0000-00-00','0001-01-01','9999-12-31','MISS','00000','99999999999','99999999999.00','99999999999.000000'),1,0)) AS NUM_REG_DIF,'"&amp;MAX('ID1&amp;5'!K:K)+1&amp;"' AS ID_EXEC, CURRENT_TIMESTAMP() AS TIME_EXEC FROM "&amp;I358,
IF(C358="Not applicable",+"SELECT '"&amp;UPPER(B358)&amp;"' AS TABELA, '"&amp;UPPER(C358)&amp;"' AS TIPOLOGIA_TESTE,'"&amp;D358&amp;"' AS TABELA_LT,'N/A' AS TABELA_SIMUL,'"&amp;F358&amp;"' AS CAMPO, "&amp;"'${ref_date}' AS REF_DATE, COUNT(*) AS NUM_REG, SUM(IF(TRIM(CAST(X."&amp;F358&amp;" AS STRING)) IN ('N/A','11111111111','11111111111.00','11111111111.000000','1111-11-11'),1,0)) AS NUM_REG_DIF,'"&amp;MAX('ID1&amp;5'!K:K)+1&amp;"' AS ID_EXEC, CURRENT_TIMESTAMP() AS TIME_EXEC FROM "&amp;I358,
IF(C358="Valores extremos",+"SELECT '"&amp;UPPER(B358)&amp;"' AS TABELA, '"&amp;UPPER(C358)&amp;"' AS TIPOLOGIA_TESTE,'"&amp;D358&amp;"' AS TABELA_LT,'N/A' AS TABELA_SIMUL,'"&amp;F358&amp;"' AS CAMPO, "&amp;"'${ref_date}' AS REF_DATE, CAST(MIN("&amp;F358&amp;") AS STRING) AS VALOR_MIN, CAST(MAX("&amp;F358&amp;") AS STRING) AS VALOR_MAX,'"&amp;MAX('ID1&amp;5'!K:K)+1&amp;"' AS ID_EXEC, CURRENT_TIMESTAMP() AS TIME_EXEC FROM "&amp;MID(I358,1,LEN(I358)-2)&amp;" AND CAST("&amp;F358&amp;"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TABELA_SIMUL,'MTHD_USD_PRTCTN_SCP_3' AS CAMPO, '${ref_date}' AS REF_DATE, COUNT(*) AS NUM_REG, SUM(IF(TRIM(CAST(X.MTHD_USD_PRTCTN_SCP_3 AS STRING)) IN ('0000-00-00','0001-01-01','9999-12-31','MISS','00000','99999999999','99999999999.00','99999999999.000000'),1,0)) AS NUM_REG_DIF,'10' AS ID_EXEC, CURRENT_TIMESTAMP() AS TIME_EXEC FROM (SELECT prtctn_id, MTHD_USD_PRTCTN_SCP_3 FROM BU_LOANTAPE_WORK.LT004_PROTECTION WHERE ref_date='${ref_date}' AND nome_perimetro='Individual Corporativo' AND segmento='ESTR' AND ambito='PILAR3')X</v>
      </c>
      <c r="M358" s="43" t="str">
        <f t="shared" si="5"/>
        <v>UNION ALL SELECT 'PROTECTION' AS TABELA, 'MISSINGS' AS TIPOLOGIA_TESTE,'BU_LOANTAPE_WORK.LT004_PROTECTION' AS TABELA_LT,'N/A' AS TABELA_SIMUL,'MTHD_USD_PRTCTN_SCP_3' AS CAMPO, '${ref_date}' AS REF_DATE, COUNT(*) AS NUM_REG, SUM(IF(TRIM(CAST(X.MTHD_USD_PRTCTN_SCP_3 AS STRING)) IN ('0000-00-00','0001-01-01','9999-12-31','MISS','00000','99999999999','99999999999.00','99999999999.000000'),1,0)) AS NUM_REG_DIF,'10' AS ID_EXEC, CURRENT_TIMESTAMP() AS TIME_EXEC FROM (SELECT prtctn_id, MTHD_USD_PRTCTN_SCP_3 FROM BU_LOANTAPE_WORK.LT004_PROTECTION WHERE ref_date='${ref_date}' AND nome_perimetro='Individual Corporativo' AND segmento='ESTR' AND ambito='PILAR3')X</v>
      </c>
      <c r="N358" s="45" t="s">
        <v>13</v>
      </c>
    </row>
    <row r="359" spans="2:14">
      <c r="B359" s="41" t="s">
        <v>31</v>
      </c>
      <c r="C359" s="41" t="s">
        <v>77</v>
      </c>
      <c r="D359" s="41" t="str">
        <f>+UPPER('0. Instruções'!$D$33&amp;"."&amp;VLOOKUP(B359,'0. Instruções'!$C$27:$D$31,2,FALSE))</f>
        <v>BU_LOANTAPE_WORK.LT004_PROTECTION</v>
      </c>
      <c r="E359" s="41" t="str">
        <f>+UPPER('0. Instruções'!$D$34&amp;"."&amp;VLOOKUP(B359,'0. Instruções'!$C$27:$E$31,3,FALSE))</f>
        <v>BU_LOANTAPE_WORK.LT004_PROTECTION_P3_NOV24</v>
      </c>
      <c r="F359" s="41" t="s">
        <v>121</v>
      </c>
      <c r="G359" s="41" t="s">
        <v>211</v>
      </c>
      <c r="H359" s="41"/>
      <c r="I359" s="41" t="str">
        <f>"(SELECT "&amp;VLOOKUP(B359,'0. Instruções'!$C$27:$G$31,4,FALSE)&amp;", "&amp;F359&amp;" FROM "&amp;D359&amp;" WHERE "&amp;'0. Instruções'!$D$40&amp;")X"</f>
        <v>(SELECT prtctn_id, FLG_ACT_PHYSCL_RSK FROM BU_LOANTAPE_WORK.LT004_PROTECTION WHERE ref_date='${ref_date}' AND nome_perimetro='Individual Corporativo' AND segmento='ESTR' AND ambito='PILAR3')X</v>
      </c>
      <c r="J359" s="41" t="str">
        <f>"(SELECT "&amp;VLOOKUP(B359,'0. Instruções'!$C$27:$G$31,4,FALSE)&amp;" AS "&amp;VLOOKUP(B359,'0. Instruções'!$C$27:$G$31,4,FALSE)&amp;"_SIMUL, "&amp;F359&amp;" AS "&amp;F359&amp;"_SIMUL FROM "&amp;E359&amp;")Y"</f>
        <v>(SELECT prtctn_id AS prtctn_id_SIMUL, FLG_ACT_PHYSCL_RSK AS FLG_ACT_PHYSCL_RSK_SIMUL FROM BU_LOANTAPE_WORK.LT004_PROTECTION_P3_NOV24)Y</v>
      </c>
      <c r="K359" s="42" t="str">
        <f>+UPPER("ON X."&amp;VLOOKUP(B359,'0. Instruções'!$C$27:$G$31,4,FALSE)&amp;"=Y."&amp;VLOOKUP(B359,'0. Instruções'!$C$27:$G$31,4,FALSE)&amp;"_SIMUL")</f>
        <v>ON X.PRTCTN_ID=Y.PRTCTN_ID_SIMUL</v>
      </c>
      <c r="L359" s="42" t="str">
        <f>+IF(C359="Coerência", +IF(LEFT(G359,5)="FLOAT","SELECT '"&amp;UPPER(B359)&amp;"' AS TABELA, '"&amp;UPPER(C359)&amp;"' AS TIPOLOGIA_TESTE,'"&amp;D359&amp;"' AS TABELA_LT,'"&amp;E359&amp;"' AS TABELA_SIMUL,'"&amp;F359&amp;"' AS CAMPO, "&amp;"'${ref_date}' AS REF_DATE, COUNT(*) AS NUM_REG, SUM(IF((ABS(COALESCE(X."&amp;F359&amp;",0)-COALESCE(Y."&amp;F359&amp;"_SIMUL,0))&gt;0.0000000001) OR (X."&amp;F359&amp;" IS NULL AND Y."&amp;F359&amp;"_SIMUL IS NOT NULL ) OR (X."&amp;F359&amp;" IS NOT NULL AND Y."&amp;F359&amp;"_SIMUL IS NULL),1,0)) AS NUM_REG_DIF,'"&amp;MAX('ID1&amp;5'!K:K)+1&amp;"' AS ID_EXEC, CURRENT_TIMESTAMP() AS TIME_EXEC FROM "&amp;I359&amp;" INNER JOIN "&amp;J359&amp;" "&amp;K359,"SELECT '"&amp;UPPER(B359)&amp;"' AS TABELA, '"&amp;UPPER(C359)&amp;"' AS TIPOLOGIA_TESTE,'"&amp;D359&amp;"' AS TABELA_LT,'"&amp;E359&amp;"' AS TABELA_SIMUL,'"&amp;F359&amp;"' AS CAMPO, "&amp;"'${ref_date}' AS REF_DATE, COUNT(*) AS NUM_REG, SUM(IF(COALESCE(CAST(X."&amp;F359&amp;" AS STRING),'')&lt;&gt;COALESCE(CAST(Y."&amp;F359&amp;"_SIMUL AS STRING),''),1,0)) AS NUM_REG_DIF,'"&amp;MAX('ID1&amp;5'!L:L)+1&amp;"' AS ID_EXEC, CURRENT_TIMESTAMP() AS TIME_EXEC FROM "&amp;I359&amp;" INNER JOIN "&amp;J359&amp;" "&amp;K359),
IF(C359="Validade",+IF(G359="Code List","SELECT '"&amp;UPPER(B359)&amp;"' AS TABELA, '"&amp;UPPER(C359)&amp;"' AS TIPOLOGIA_TESTE,'"&amp;D359&amp;"' AS TABELA_LT,'N/A' AS TABELA_SIMUL,'"&amp;F359&amp;"' AS CAMPO, "&amp;"'${ref_date}' AS REF_DATE, COUNT(*) AS NUM_REG, SUM(IF(TRIM(CAST(X."&amp;F359&amp;" AS STRING))='' OR TRIM(CAST(X."&amp;F359&amp;" AS STRING)) IS NULL OR CAST(X."&amp;F359&amp;" AS STRING) NOT "&amp;H359&amp;",1,0)) AS NUM_REG_DIF,'"&amp;MAX('ID1&amp;5'!K:K)+1&amp;"' AS ID_EXEC, CURRENT_TIMESTAMP() AS TIME_EXEC FROM "&amp;I359,"SELECT '"&amp;UPPER(B359)&amp;"' AS TABELA, '"&amp;UPPER(C359)&amp;"' AS TIPOLOGIA_TESTE,'"&amp;D359&amp;"' AS TABELA_LT,'N/A' AS TABELA_SIMUL,'"&amp;F359&amp;"' AS CAMPO, "&amp;"'${ref_date}' AS REF_DATE, COUNT(*) AS NUM_REG, SUM(IF(TRIM(CAST(X."&amp;F359&amp;" AS STRING))='' OR TRIM(CAST(X."&amp;F359&amp;" AS STRING)) IS NULL,1,0)) AS NUM_REG_DIF,'"&amp;MAX('ID1&amp;5'!K:K)+1&amp;"' AS ID_EXEC, CURRENT_TIMESTAMP() AS TIME_EXEC FROM "&amp;I359),
IF(C359="Caracteres Especiais",+"SELECT '"&amp;UPPER(B359)&amp;"' AS TABELA, '"&amp;UPPER(C359)&amp;"' AS TIPOLOGIA_TESTE,'"&amp;D359&amp;"' AS TABELA_LT,'N/A' AS TABELA_SIMUL,'"&amp;F359&amp;"' AS CAMPO, "&amp;"'${ref_date}' AS REF_DATE, COUNT(*) AS NUM_REG, SUM(IF(INSTR(CAST(X."&amp;F359&amp;" AS STRING),'#')&gt;0 OR INSTR(CAST(X."&amp;F359&amp;" AS STRING),'*')&gt;0 OR INSTR(CAST(X."&amp;F359&amp;" AS STRING),'`')&gt;0 OR INSTR(CAST(X."&amp;F359&amp;" AS STRING),'´')&gt;0 OR INSTR(CAST(X."&amp;F359&amp;" AS STRING),'{')&gt;0 OR INSTR(CAST(X."&amp;F359&amp;" AS STRING),'}')&gt;0 OR INSTR(CAST(X."&amp;F359&amp;" AS STRING),'[')&gt;0 OR INSTR(CAST(X."&amp;F359&amp;" AS STRING),'')&gt;0 OR INSTR(CAST(X."&amp;F359&amp;" AS STRING),']')&gt;0 OR INSTR(CAST(X."&amp;F359&amp;" AS STRING),'?')&gt;0 OR INSTR(CAST(X."&amp;F359&amp;" AS STRING),'!')&gt;0 OR INSTR(CAST(X."&amp;F359&amp;" AS STRING),'$')&gt;0 OR INSTR(CAST(X."&amp;F359&amp;" AS STRING),'%')&gt;0 OR INSTR(CAST(X."&amp;F359&amp;" AS STRING),'&amp;')&gt;0 OR INSTR(CAST(X."&amp;F359&amp;" AS STRING),'+')&gt;0,1,0)) AS NUM_REG_DIF,'"&amp;MAX('ID1&amp;5'!K:K)+1&amp;"' AS ID_EXEC, CURRENT_TIMESTAMP() AS TIME_EXEC FROM "&amp;I359,
IF(C359="Missings",+"SELECT '"&amp;UPPER(B359)&amp;"' AS TABELA, '"&amp;UPPER(C359)&amp;"' AS TIPOLOGIA_TESTE,'"&amp;D359&amp;"' AS TABELA_LT,'N/A' AS TABELA_SIMUL,'"&amp;F359&amp;"' AS CAMPO, "&amp;"'${ref_date}' AS REF_DATE, COUNT(*) AS NUM_REG, SUM(IF(TRIM(CAST(X."&amp;F359&amp;" AS STRING)) IN ('0000-00-00','0001-01-01','9999-12-31','MISS','00000','99999999999','99999999999.00','99999999999.000000'),1,0)) AS NUM_REG_DIF,'"&amp;MAX('ID1&amp;5'!K:K)+1&amp;"' AS ID_EXEC, CURRENT_TIMESTAMP() AS TIME_EXEC FROM "&amp;I359,
IF(C359="Not applicable",+"SELECT '"&amp;UPPER(B359)&amp;"' AS TABELA, '"&amp;UPPER(C359)&amp;"' AS TIPOLOGIA_TESTE,'"&amp;D359&amp;"' AS TABELA_LT,'N/A' AS TABELA_SIMUL,'"&amp;F359&amp;"' AS CAMPO, "&amp;"'${ref_date}' AS REF_DATE, COUNT(*) AS NUM_REG, SUM(IF(TRIM(CAST(X."&amp;F359&amp;" AS STRING)) IN ('N/A','11111111111','11111111111.00','11111111111.000000','1111-11-11'),1,0)) AS NUM_REG_DIF,'"&amp;MAX('ID1&amp;5'!K:K)+1&amp;"' AS ID_EXEC, CURRENT_TIMESTAMP() AS TIME_EXEC FROM "&amp;I359,
IF(C359="Valores extremos",+"SELECT '"&amp;UPPER(B359)&amp;"' AS TABELA, '"&amp;UPPER(C359)&amp;"' AS TIPOLOGIA_TESTE,'"&amp;D359&amp;"' AS TABELA_LT,'N/A' AS TABELA_SIMUL,'"&amp;F359&amp;"' AS CAMPO, "&amp;"'${ref_date}' AS REF_DATE, CAST(MIN("&amp;F359&amp;") AS STRING) AS VALOR_MIN, CAST(MAX("&amp;F359&amp;") AS STRING) AS VALOR_MAX,'"&amp;MAX('ID1&amp;5'!K:K)+1&amp;"' AS ID_EXEC, CURRENT_TIMESTAMP() AS TIME_EXEC FROM "&amp;MID(I359,1,LEN(I359)-2)&amp;" AND CAST("&amp;F359&amp;"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TABELA_SIMUL,'FLG_ACT_PHYSCL_RSK' AS CAMPO, '${ref_date}' AS REF_DATE, COUNT(*) AS NUM_REG, SUM(IF(TRIM(CAST(X.FLG_ACT_PHYSCL_RSK AS STRING)) IN ('0000-00-00','0001-01-01','9999-12-31','MISS','00000','99999999999','99999999999.00','99999999999.000000'),1,0)) AS NUM_REG_DIF,'10' AS ID_EXEC, CURRENT_TIMESTAMP() AS TIME_EXEC FROM (SELECT prtctn_id, FLG_ACT_PHYSCL_RSK FROM BU_LOANTAPE_WORK.LT004_PROTECTION WHERE ref_date='${ref_date}' AND nome_perimetro='Individual Corporativo' AND segmento='ESTR' AND ambito='PILAR3')X</v>
      </c>
      <c r="M359" s="43" t="str">
        <f t="shared" si="5"/>
        <v>UNION ALL SELECT 'PROTECTION' AS TABELA, 'MISSINGS' AS TIPOLOGIA_TESTE,'BU_LOANTAPE_WORK.LT004_PROTECTION' AS TABELA_LT,'N/A' AS TABELA_SIMUL,'FLG_ACT_PHYSCL_RSK' AS CAMPO, '${ref_date}' AS REF_DATE, COUNT(*) AS NUM_REG, SUM(IF(TRIM(CAST(X.FLG_ACT_PHYSCL_RSK AS STRING)) IN ('0000-00-00','0001-01-01','9999-12-31','MISS','00000','99999999999','99999999999.00','99999999999.000000'),1,0)) AS NUM_REG_DIF,'10' AS ID_EXEC, CURRENT_TIMESTAMP() AS TIME_EXEC FROM (SELECT prtctn_id, FLG_ACT_PHYSCL_RSK FROM BU_LOANTAPE_WORK.LT004_PROTECTION WHERE ref_date='${ref_date}' AND nome_perimetro='Individual Corporativo' AND segmento='ESTR' AND ambito='PILAR3')X</v>
      </c>
      <c r="N359" s="45" t="s">
        <v>13</v>
      </c>
    </row>
    <row r="360" spans="2:14">
      <c r="B360" s="41" t="s">
        <v>31</v>
      </c>
      <c r="C360" s="41" t="s">
        <v>77</v>
      </c>
      <c r="D360" s="41" t="str">
        <f>+UPPER('0. Instruções'!$D$33&amp;"."&amp;VLOOKUP(B360,'0. Instruções'!$C$27:$D$31,2,FALSE))</f>
        <v>BU_LOANTAPE_WORK.LT004_PROTECTION</v>
      </c>
      <c r="E360" s="41" t="str">
        <f>+UPPER('0. Instruções'!$D$34&amp;"."&amp;VLOOKUP(B360,'0. Instruções'!$C$27:$E$31,3,FALSE))</f>
        <v>BU_LOANTAPE_WORK.LT004_PROTECTION_P3_NOV24</v>
      </c>
      <c r="F360" s="41" t="s">
        <v>122</v>
      </c>
      <c r="G360" s="41" t="s">
        <v>211</v>
      </c>
      <c r="H360" s="41"/>
      <c r="I360" s="41" t="str">
        <f>"(SELECT "&amp;VLOOKUP(B360,'0. Instruções'!$C$27:$G$31,4,FALSE)&amp;", "&amp;F360&amp;" FROM "&amp;D360&amp;" WHERE "&amp;'0. Instruções'!$D$40&amp;")X"</f>
        <v>(SELECT prtctn_id, FLG_CHRNC_PHYSCL_RSK FROM BU_LOANTAPE_WORK.LT004_PROTECTION WHERE ref_date='${ref_date}' AND nome_perimetro='Individual Corporativo' AND segmento='ESTR' AND ambito='PILAR3')X</v>
      </c>
      <c r="J360" s="41" t="str">
        <f>"(SELECT "&amp;VLOOKUP(B360,'0. Instruções'!$C$27:$G$31,4,FALSE)&amp;" AS "&amp;VLOOKUP(B360,'0. Instruções'!$C$27:$G$31,4,FALSE)&amp;"_SIMUL, "&amp;F360&amp;" AS "&amp;F360&amp;"_SIMUL FROM "&amp;E360&amp;")Y"</f>
        <v>(SELECT prtctn_id AS prtctn_id_SIMUL, FLG_CHRNC_PHYSCL_RSK AS FLG_CHRNC_PHYSCL_RSK_SIMUL FROM BU_LOANTAPE_WORK.LT004_PROTECTION_P3_NOV24)Y</v>
      </c>
      <c r="K360" s="42" t="str">
        <f>+UPPER("ON X."&amp;VLOOKUP(B360,'0. Instruções'!$C$27:$G$31,4,FALSE)&amp;"=Y."&amp;VLOOKUP(B360,'0. Instruções'!$C$27:$G$31,4,FALSE)&amp;"_SIMUL")</f>
        <v>ON X.PRTCTN_ID=Y.PRTCTN_ID_SIMUL</v>
      </c>
      <c r="L360" s="42" t="str">
        <f>+IF(C360="Coerência", +IF(LEFT(G360,5)="FLOAT","SELECT '"&amp;UPPER(B360)&amp;"' AS TABELA, '"&amp;UPPER(C360)&amp;"' AS TIPOLOGIA_TESTE,'"&amp;D360&amp;"' AS TABELA_LT,'"&amp;E360&amp;"' AS TABELA_SIMUL,'"&amp;F360&amp;"' AS CAMPO, "&amp;"'${ref_date}' AS REF_DATE, COUNT(*) AS NUM_REG, SUM(IF((ABS(COALESCE(X."&amp;F360&amp;",0)-COALESCE(Y."&amp;F360&amp;"_SIMUL,0))&gt;0.0000000001) OR (X."&amp;F360&amp;" IS NULL AND Y."&amp;F360&amp;"_SIMUL IS NOT NULL ) OR (X."&amp;F360&amp;" IS NOT NULL AND Y."&amp;F360&amp;"_SIMUL IS NULL),1,0)) AS NUM_REG_DIF,'"&amp;MAX('ID1&amp;5'!K:K)+1&amp;"' AS ID_EXEC, CURRENT_TIMESTAMP() AS TIME_EXEC FROM "&amp;I360&amp;" INNER JOIN "&amp;J360&amp;" "&amp;K360,"SELECT '"&amp;UPPER(B360)&amp;"' AS TABELA, '"&amp;UPPER(C360)&amp;"' AS TIPOLOGIA_TESTE,'"&amp;D360&amp;"' AS TABELA_LT,'"&amp;E360&amp;"' AS TABELA_SIMUL,'"&amp;F360&amp;"' AS CAMPO, "&amp;"'${ref_date}' AS REF_DATE, COUNT(*) AS NUM_REG, SUM(IF(COALESCE(CAST(X."&amp;F360&amp;" AS STRING),'')&lt;&gt;COALESCE(CAST(Y."&amp;F360&amp;"_SIMUL AS STRING),''),1,0)) AS NUM_REG_DIF,'"&amp;MAX('ID1&amp;5'!L:L)+1&amp;"' AS ID_EXEC, CURRENT_TIMESTAMP() AS TIME_EXEC FROM "&amp;I360&amp;" INNER JOIN "&amp;J360&amp;" "&amp;K360),
IF(C360="Validade",+IF(G360="Code List","SELECT '"&amp;UPPER(B360)&amp;"' AS TABELA, '"&amp;UPPER(C360)&amp;"' AS TIPOLOGIA_TESTE,'"&amp;D360&amp;"' AS TABELA_LT,'N/A' AS TABELA_SIMUL,'"&amp;F360&amp;"' AS CAMPO, "&amp;"'${ref_date}' AS REF_DATE, COUNT(*) AS NUM_REG, SUM(IF(TRIM(CAST(X."&amp;F360&amp;" AS STRING))='' OR TRIM(CAST(X."&amp;F360&amp;" AS STRING)) IS NULL OR CAST(X."&amp;F360&amp;" AS STRING) NOT "&amp;H360&amp;",1,0)) AS NUM_REG_DIF,'"&amp;MAX('ID1&amp;5'!K:K)+1&amp;"' AS ID_EXEC, CURRENT_TIMESTAMP() AS TIME_EXEC FROM "&amp;I360,"SELECT '"&amp;UPPER(B360)&amp;"' AS TABELA, '"&amp;UPPER(C360)&amp;"' AS TIPOLOGIA_TESTE,'"&amp;D360&amp;"' AS TABELA_LT,'N/A' AS TABELA_SIMUL,'"&amp;F360&amp;"' AS CAMPO, "&amp;"'${ref_date}' AS REF_DATE, COUNT(*) AS NUM_REG, SUM(IF(TRIM(CAST(X."&amp;F360&amp;" AS STRING))='' OR TRIM(CAST(X."&amp;F360&amp;" AS STRING)) IS NULL,1,0)) AS NUM_REG_DIF,'"&amp;MAX('ID1&amp;5'!K:K)+1&amp;"' AS ID_EXEC, CURRENT_TIMESTAMP() AS TIME_EXEC FROM "&amp;I360),
IF(C360="Caracteres Especiais",+"SELECT '"&amp;UPPER(B360)&amp;"' AS TABELA, '"&amp;UPPER(C360)&amp;"' AS TIPOLOGIA_TESTE,'"&amp;D360&amp;"' AS TABELA_LT,'N/A' AS TABELA_SIMUL,'"&amp;F360&amp;"' AS CAMPO, "&amp;"'${ref_date}' AS REF_DATE, COUNT(*) AS NUM_REG, SUM(IF(INSTR(CAST(X."&amp;F360&amp;" AS STRING),'#')&gt;0 OR INSTR(CAST(X."&amp;F360&amp;" AS STRING),'*')&gt;0 OR INSTR(CAST(X."&amp;F360&amp;" AS STRING),'`')&gt;0 OR INSTR(CAST(X."&amp;F360&amp;" AS STRING),'´')&gt;0 OR INSTR(CAST(X."&amp;F360&amp;" AS STRING),'{')&gt;0 OR INSTR(CAST(X."&amp;F360&amp;" AS STRING),'}')&gt;0 OR INSTR(CAST(X."&amp;F360&amp;" AS STRING),'[')&gt;0 OR INSTR(CAST(X."&amp;F360&amp;" AS STRING),'')&gt;0 OR INSTR(CAST(X."&amp;F360&amp;" AS STRING),']')&gt;0 OR INSTR(CAST(X."&amp;F360&amp;" AS STRING),'?')&gt;0 OR INSTR(CAST(X."&amp;F360&amp;" AS STRING),'!')&gt;0 OR INSTR(CAST(X."&amp;F360&amp;" AS STRING),'$')&gt;0 OR INSTR(CAST(X."&amp;F360&amp;" AS STRING),'%')&gt;0 OR INSTR(CAST(X."&amp;F360&amp;" AS STRING),'&amp;')&gt;0 OR INSTR(CAST(X."&amp;F360&amp;" AS STRING),'+')&gt;0,1,0)) AS NUM_REG_DIF,'"&amp;MAX('ID1&amp;5'!K:K)+1&amp;"' AS ID_EXEC, CURRENT_TIMESTAMP() AS TIME_EXEC FROM "&amp;I360,
IF(C360="Missings",+"SELECT '"&amp;UPPER(B360)&amp;"' AS TABELA, '"&amp;UPPER(C360)&amp;"' AS TIPOLOGIA_TESTE,'"&amp;D360&amp;"' AS TABELA_LT,'N/A' AS TABELA_SIMUL,'"&amp;F360&amp;"' AS CAMPO, "&amp;"'${ref_date}' AS REF_DATE, COUNT(*) AS NUM_REG, SUM(IF(TRIM(CAST(X."&amp;F360&amp;" AS STRING)) IN ('0000-00-00','0001-01-01','9999-12-31','MISS','00000','99999999999','99999999999.00','99999999999.000000'),1,0)) AS NUM_REG_DIF,'"&amp;MAX('ID1&amp;5'!K:K)+1&amp;"' AS ID_EXEC, CURRENT_TIMESTAMP() AS TIME_EXEC FROM "&amp;I360,
IF(C360="Not applicable",+"SELECT '"&amp;UPPER(B360)&amp;"' AS TABELA, '"&amp;UPPER(C360)&amp;"' AS TIPOLOGIA_TESTE,'"&amp;D360&amp;"' AS TABELA_LT,'N/A' AS TABELA_SIMUL,'"&amp;F360&amp;"' AS CAMPO, "&amp;"'${ref_date}' AS REF_DATE, COUNT(*) AS NUM_REG, SUM(IF(TRIM(CAST(X."&amp;F360&amp;" AS STRING)) IN ('N/A','11111111111','11111111111.00','11111111111.000000','1111-11-11'),1,0)) AS NUM_REG_DIF,'"&amp;MAX('ID1&amp;5'!K:K)+1&amp;"' AS ID_EXEC, CURRENT_TIMESTAMP() AS TIME_EXEC FROM "&amp;I360,
IF(C360="Valores extremos",+"SELECT '"&amp;UPPER(B360)&amp;"' AS TABELA, '"&amp;UPPER(C360)&amp;"' AS TIPOLOGIA_TESTE,'"&amp;D360&amp;"' AS TABELA_LT,'N/A' AS TABELA_SIMUL,'"&amp;F360&amp;"' AS CAMPO, "&amp;"'${ref_date}' AS REF_DATE, CAST(MIN("&amp;F360&amp;") AS STRING) AS VALOR_MIN, CAST(MAX("&amp;F360&amp;") AS STRING) AS VALOR_MAX,'"&amp;MAX('ID1&amp;5'!K:K)+1&amp;"' AS ID_EXEC, CURRENT_TIMESTAMP() AS TIME_EXEC FROM "&amp;MID(I360,1,LEN(I360)-2)&amp;" AND CAST("&amp;F360&amp;"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TABELA_SIMUL,'FLG_CHRNC_PHYSCL_RSK' AS CAMPO, '${ref_date}' AS REF_DATE, COUNT(*) AS NUM_REG, SUM(IF(TRIM(CAST(X.FLG_CHRNC_PHYSCL_RSK AS STRING)) IN ('0000-00-00','0001-01-01','9999-12-31','MISS','00000','99999999999','99999999999.00','99999999999.000000'),1,0)) AS NUM_REG_DIF,'10' AS ID_EXEC, CURRENT_TIMESTAMP() AS TIME_EXEC FROM (SELECT prtctn_id, FLG_CHRNC_PHYSCL_RSK FROM BU_LOANTAPE_WORK.LT004_PROTECTION WHERE ref_date='${ref_date}' AND nome_perimetro='Individual Corporativo' AND segmento='ESTR' AND ambito='PILAR3')X</v>
      </c>
      <c r="M360" s="43" t="str">
        <f t="shared" si="5"/>
        <v>UNION ALL SELECT 'PROTECTION' AS TABELA, 'MISSINGS' AS TIPOLOGIA_TESTE,'BU_LOANTAPE_WORK.LT004_PROTECTION' AS TABELA_LT,'N/A' AS TABELA_SIMUL,'FLG_CHRNC_PHYSCL_RSK' AS CAMPO, '${ref_date}' AS REF_DATE, COUNT(*) AS NUM_REG, SUM(IF(TRIM(CAST(X.FLG_CHRNC_PHYSCL_RSK AS STRING)) IN ('0000-00-00','0001-01-01','9999-12-31','MISS','00000','99999999999','99999999999.00','99999999999.000000'),1,0)) AS NUM_REG_DIF,'10' AS ID_EXEC, CURRENT_TIMESTAMP() AS TIME_EXEC FROM (SELECT prtctn_id, FLG_CHRNC_PHYSCL_RSK FROM BU_LOANTAPE_WORK.LT004_PROTECTION WHERE ref_date='${ref_date}' AND nome_perimetro='Individual Corporativo' AND segmento='ESTR' AND ambito='PILAR3')X</v>
      </c>
      <c r="N360" s="45" t="s">
        <v>13</v>
      </c>
    </row>
    <row r="361" spans="2:14">
      <c r="B361" s="41" t="s">
        <v>31</v>
      </c>
      <c r="C361" s="41" t="s">
        <v>77</v>
      </c>
      <c r="D361" s="41" t="str">
        <f>+UPPER('0. Instruções'!$D$33&amp;"."&amp;VLOOKUP(B361,'0. Instruções'!$C$27:$D$31,2,FALSE))</f>
        <v>BU_LOANTAPE_WORK.LT004_PROTECTION</v>
      </c>
      <c r="E361" s="41" t="str">
        <f>+UPPER('0. Instruções'!$D$34&amp;"."&amp;VLOOKUP(B361,'0. Instruções'!$C$27:$E$31,3,FALSE))</f>
        <v>BU_LOANTAPE_WORK.LT004_PROTECTION_P3_NOV24</v>
      </c>
      <c r="F361" s="41" t="s">
        <v>156</v>
      </c>
      <c r="G361" s="41" t="s">
        <v>13</v>
      </c>
      <c r="H361" s="41"/>
      <c r="I361" s="41" t="str">
        <f>"(SELECT "&amp;VLOOKUP(B361,'0. Instruções'!$C$27:$G$31,4,FALSE)&amp;", "&amp;F361&amp;" FROM "&amp;D361&amp;" WHERE "&amp;'0. Instruções'!$D$40&amp;")X"</f>
        <v>(SELECT prtctn_id, DT_RFRNC FROM BU_LOANTAPE_WORK.LT004_PROTECTION WHERE ref_date='${ref_date}' AND nome_perimetro='Individual Corporativo' AND segmento='ESTR' AND ambito='PILAR3')X</v>
      </c>
      <c r="J361" s="41" t="str">
        <f>"(SELECT "&amp;VLOOKUP(B361,'0. Instruções'!$C$27:$G$31,4,FALSE)&amp;" AS "&amp;VLOOKUP(B361,'0. Instruções'!$C$27:$G$31,4,FALSE)&amp;"_SIMUL, "&amp;F361&amp;" AS "&amp;F361&amp;"_SIMUL FROM "&amp;E361&amp;")Y"</f>
        <v>(SELECT prtctn_id AS prtctn_id_SIMUL, DT_RFRNC AS DT_RFRNC_SIMUL FROM BU_LOANTAPE_WORK.LT004_PROTECTION_P3_NOV24)Y</v>
      </c>
      <c r="K361" s="42" t="str">
        <f>+UPPER("ON X."&amp;VLOOKUP(B361,'0. Instruções'!$C$27:$G$31,4,FALSE)&amp;"=Y."&amp;VLOOKUP(B361,'0. Instruções'!$C$27:$G$31,4,FALSE)&amp;"_SIMUL")</f>
        <v>ON X.PRTCTN_ID=Y.PRTCTN_ID_SIMUL</v>
      </c>
      <c r="L361" s="42" t="str">
        <f>+IF(C361="Coerência", +IF(LEFT(G361,5)="FLOAT","SELECT '"&amp;UPPER(B361)&amp;"' AS TABELA, '"&amp;UPPER(C361)&amp;"' AS TIPOLOGIA_TESTE,'"&amp;D361&amp;"' AS TABELA_LT,'"&amp;E361&amp;"' AS TABELA_SIMUL,'"&amp;F361&amp;"' AS CAMPO, "&amp;"'${ref_date}' AS REF_DATE, COUNT(*) AS NUM_REG, SUM(IF((ABS(COALESCE(X."&amp;F361&amp;",0)-COALESCE(Y."&amp;F361&amp;"_SIMUL,0))&gt;0.0000000001) OR (X."&amp;F361&amp;" IS NULL AND Y."&amp;F361&amp;"_SIMUL IS NOT NULL ) OR (X."&amp;F361&amp;" IS NOT NULL AND Y."&amp;F361&amp;"_SIMUL IS NULL),1,0)) AS NUM_REG_DIF,'"&amp;MAX('ID1&amp;5'!K:K)+1&amp;"' AS ID_EXEC, CURRENT_TIMESTAMP() AS TIME_EXEC FROM "&amp;I361&amp;" INNER JOIN "&amp;J361&amp;" "&amp;K361,"SELECT '"&amp;UPPER(B361)&amp;"' AS TABELA, '"&amp;UPPER(C361)&amp;"' AS TIPOLOGIA_TESTE,'"&amp;D361&amp;"' AS TABELA_LT,'"&amp;E361&amp;"' AS TABELA_SIMUL,'"&amp;F361&amp;"' AS CAMPO, "&amp;"'${ref_date}' AS REF_DATE, COUNT(*) AS NUM_REG, SUM(IF(COALESCE(CAST(X."&amp;F361&amp;" AS STRING),'')&lt;&gt;COALESCE(CAST(Y."&amp;F361&amp;"_SIMUL AS STRING),''),1,0)) AS NUM_REG_DIF,'"&amp;MAX('ID1&amp;5'!L:L)+1&amp;"' AS ID_EXEC, CURRENT_TIMESTAMP() AS TIME_EXEC FROM "&amp;I361&amp;" INNER JOIN "&amp;J361&amp;" "&amp;K361),
IF(C361="Validade",+IF(G361="Code List","SELECT '"&amp;UPPER(B361)&amp;"' AS TABELA, '"&amp;UPPER(C361)&amp;"' AS TIPOLOGIA_TESTE,'"&amp;D361&amp;"' AS TABELA_LT,'N/A' AS TABELA_SIMUL,'"&amp;F361&amp;"' AS CAMPO, "&amp;"'${ref_date}' AS REF_DATE, COUNT(*) AS NUM_REG, SUM(IF(TRIM(CAST(X."&amp;F361&amp;" AS STRING))='' OR TRIM(CAST(X."&amp;F361&amp;" AS STRING)) IS NULL OR CAST(X."&amp;F361&amp;" AS STRING) NOT "&amp;H361&amp;",1,0)) AS NUM_REG_DIF,'"&amp;MAX('ID1&amp;5'!K:K)+1&amp;"' AS ID_EXEC, CURRENT_TIMESTAMP() AS TIME_EXEC FROM "&amp;I361,"SELECT '"&amp;UPPER(B361)&amp;"' AS TABELA, '"&amp;UPPER(C361)&amp;"' AS TIPOLOGIA_TESTE,'"&amp;D361&amp;"' AS TABELA_LT,'N/A' AS TABELA_SIMUL,'"&amp;F361&amp;"' AS CAMPO, "&amp;"'${ref_date}' AS REF_DATE, COUNT(*) AS NUM_REG, SUM(IF(TRIM(CAST(X."&amp;F361&amp;" AS STRING))='' OR TRIM(CAST(X."&amp;F361&amp;" AS STRING)) IS NULL,1,0)) AS NUM_REG_DIF,'"&amp;MAX('ID1&amp;5'!K:K)+1&amp;"' AS ID_EXEC, CURRENT_TIMESTAMP() AS TIME_EXEC FROM "&amp;I361),
IF(C361="Caracteres Especiais",+"SELECT '"&amp;UPPER(B361)&amp;"' AS TABELA, '"&amp;UPPER(C361)&amp;"' AS TIPOLOGIA_TESTE,'"&amp;D361&amp;"' AS TABELA_LT,'N/A' AS TABELA_SIMUL,'"&amp;F361&amp;"' AS CAMPO, "&amp;"'${ref_date}' AS REF_DATE, COUNT(*) AS NUM_REG, SUM(IF(INSTR(CAST(X."&amp;F361&amp;" AS STRING),'#')&gt;0 OR INSTR(CAST(X."&amp;F361&amp;" AS STRING),'*')&gt;0 OR INSTR(CAST(X."&amp;F361&amp;" AS STRING),'`')&gt;0 OR INSTR(CAST(X."&amp;F361&amp;" AS STRING),'´')&gt;0 OR INSTR(CAST(X."&amp;F361&amp;" AS STRING),'{')&gt;0 OR INSTR(CAST(X."&amp;F361&amp;" AS STRING),'}')&gt;0 OR INSTR(CAST(X."&amp;F361&amp;" AS STRING),'[')&gt;0 OR INSTR(CAST(X."&amp;F361&amp;" AS STRING),'')&gt;0 OR INSTR(CAST(X."&amp;F361&amp;" AS STRING),']')&gt;0 OR INSTR(CAST(X."&amp;F361&amp;" AS STRING),'?')&gt;0 OR INSTR(CAST(X."&amp;F361&amp;" AS STRING),'!')&gt;0 OR INSTR(CAST(X."&amp;F361&amp;" AS STRING),'$')&gt;0 OR INSTR(CAST(X."&amp;F361&amp;" AS STRING),'%')&gt;0 OR INSTR(CAST(X."&amp;F361&amp;" AS STRING),'&amp;')&gt;0 OR INSTR(CAST(X."&amp;F361&amp;" AS STRING),'+')&gt;0,1,0)) AS NUM_REG_DIF,'"&amp;MAX('ID1&amp;5'!K:K)+1&amp;"' AS ID_EXEC, CURRENT_TIMESTAMP() AS TIME_EXEC FROM "&amp;I361,
IF(C361="Missings",+"SELECT '"&amp;UPPER(B361)&amp;"' AS TABELA, '"&amp;UPPER(C361)&amp;"' AS TIPOLOGIA_TESTE,'"&amp;D361&amp;"' AS TABELA_LT,'N/A' AS TABELA_SIMUL,'"&amp;F361&amp;"' AS CAMPO, "&amp;"'${ref_date}' AS REF_DATE, COUNT(*) AS NUM_REG, SUM(IF(TRIM(CAST(X."&amp;F361&amp;" AS STRING)) IN ('0000-00-00','0001-01-01','9999-12-31','MISS','00000','99999999999','99999999999.00','99999999999.000000'),1,0)) AS NUM_REG_DIF,'"&amp;MAX('ID1&amp;5'!K:K)+1&amp;"' AS ID_EXEC, CURRENT_TIMESTAMP() AS TIME_EXEC FROM "&amp;I361,
IF(C361="Not applicable",+"SELECT '"&amp;UPPER(B361)&amp;"' AS TABELA, '"&amp;UPPER(C361)&amp;"' AS TIPOLOGIA_TESTE,'"&amp;D361&amp;"' AS TABELA_LT,'N/A' AS TABELA_SIMUL,'"&amp;F361&amp;"' AS CAMPO, "&amp;"'${ref_date}' AS REF_DATE, COUNT(*) AS NUM_REG, SUM(IF(TRIM(CAST(X."&amp;F361&amp;" AS STRING)) IN ('N/A','11111111111','11111111111.00','11111111111.000000','1111-11-11'),1,0)) AS NUM_REG_DIF,'"&amp;MAX('ID1&amp;5'!K:K)+1&amp;"' AS ID_EXEC, CURRENT_TIMESTAMP() AS TIME_EXEC FROM "&amp;I361,
IF(C361="Valores extremos",+"SELECT '"&amp;UPPER(B361)&amp;"' AS TABELA, '"&amp;UPPER(C361)&amp;"' AS TIPOLOGIA_TESTE,'"&amp;D361&amp;"' AS TABELA_LT,'N/A' AS TABELA_SIMUL,'"&amp;F361&amp;"' AS CAMPO, "&amp;"'${ref_date}' AS REF_DATE, CAST(MIN("&amp;F361&amp;") AS STRING) AS VALOR_MIN, CAST(MAX("&amp;F361&amp;") AS STRING) AS VALOR_MAX,'"&amp;MAX('ID1&amp;5'!K:K)+1&amp;"' AS ID_EXEC, CURRENT_TIMESTAMP() AS TIME_EXEC FROM "&amp;MID(I361,1,LEN(I361)-2)&amp;" AND CAST("&amp;F361&amp;"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TABELA_SIMUL,'DT_RFRNC' AS CAMPO, '${ref_date}' AS REF_DATE, COUNT(*) AS NUM_REG, SUM(IF(TRIM(CAST(X.DT_RFRNC AS STRING)) IN ('0000-00-00','0001-01-01','9999-12-31','MISS','00000','99999999999','99999999999.00','99999999999.000000'),1,0)) AS NUM_REG_DIF,'10' AS ID_EXEC, CURRENT_TIMESTAMP() AS TIME_EXEC FROM (SELECT prtctn_id, DT_RFRNC FROM BU_LOANTAPE_WORK.LT004_PROTECTION WHERE ref_date='${ref_date}' AND nome_perimetro='Individual Corporativo' AND segmento='ESTR' AND ambito='PILAR3')X</v>
      </c>
      <c r="M361" s="43" t="str">
        <f t="shared" si="5"/>
        <v>UNION ALL SELECT 'PROTECTION' AS TABELA, 'MISSINGS' AS TIPOLOGIA_TESTE,'BU_LOANTAPE_WORK.LT004_PROTECTION' AS TABELA_LT,'N/A' AS TABELA_SIMUL,'DT_RFRNC' AS CAMPO, '${ref_date}' AS REF_DATE, COUNT(*) AS NUM_REG, SUM(IF(TRIM(CAST(X.DT_RFRNC AS STRING)) IN ('0000-00-00','0001-01-01','9999-12-31','MISS','00000','99999999999','99999999999.00','99999999999.000000'),1,0)) AS NUM_REG_DIF,'10' AS ID_EXEC, CURRENT_TIMESTAMP() AS TIME_EXEC FROM (SELECT prtctn_id, DT_RFRNC FROM BU_LOANTAPE_WORK.LT004_PROTECTION WHERE ref_date='${ref_date}' AND nome_perimetro='Individual Corporativo' AND segmento='ESTR' AND ambito='PILAR3')X</v>
      </c>
      <c r="N361" s="45" t="s">
        <v>13</v>
      </c>
    </row>
    <row r="362" spans="2:14">
      <c r="B362" s="41" t="s">
        <v>31</v>
      </c>
      <c r="C362" s="41" t="s">
        <v>77</v>
      </c>
      <c r="D362" s="41" t="str">
        <f>+UPPER('0. Instruções'!$D$33&amp;"."&amp;VLOOKUP(B362,'0. Instruções'!$C$27:$D$31,2,FALSE))</f>
        <v>BU_LOANTAPE_WORK.LT004_PROTECTION</v>
      </c>
      <c r="E362" s="41" t="str">
        <f>+UPPER('0. Instruções'!$D$34&amp;"."&amp;VLOOKUP(B362,'0. Instruções'!$C$27:$E$31,3,FALSE))</f>
        <v>BU_LOANTAPE_WORK.LT004_PROTECTION_P3_NOV24</v>
      </c>
      <c r="F362" s="41" t="s">
        <v>190</v>
      </c>
      <c r="G362" s="41" t="s">
        <v>13</v>
      </c>
      <c r="H362" s="41"/>
      <c r="I362" s="41" t="str">
        <f>"(SELECT "&amp;VLOOKUP(B362,'0. Instruções'!$C$27:$G$31,4,FALSE)&amp;", "&amp;F362&amp;" FROM "&amp;D362&amp;" WHERE "&amp;'0. Instruções'!$D$40&amp;")X"</f>
        <v>(SELECT prtctn_id, PRTCTN_ID FROM BU_LOANTAPE_WORK.LT004_PROTECTION WHERE ref_date='${ref_date}' AND nome_perimetro='Individual Corporativo' AND segmento='ESTR' AND ambito='PILAR3')X</v>
      </c>
      <c r="J362" s="41" t="str">
        <f>"(SELECT "&amp;VLOOKUP(B362,'0. Instruções'!$C$27:$G$31,4,FALSE)&amp;" AS "&amp;VLOOKUP(B362,'0. Instruções'!$C$27:$G$31,4,FALSE)&amp;"_SIMUL, "&amp;F362&amp;" AS "&amp;F362&amp;"_SIMUL FROM "&amp;E362&amp;")Y"</f>
        <v>(SELECT prtctn_id AS prtctn_id_SIMUL, PRTCTN_ID AS PRTCTN_ID_SIMUL FROM BU_LOANTAPE_WORK.LT004_PROTECTION_P3_NOV24)Y</v>
      </c>
      <c r="K362" s="42" t="str">
        <f>+UPPER("ON X."&amp;VLOOKUP(B362,'0. Instruções'!$C$27:$G$31,4,FALSE)&amp;"=Y."&amp;VLOOKUP(B362,'0. Instruções'!$C$27:$G$31,4,FALSE)&amp;"_SIMUL")</f>
        <v>ON X.PRTCTN_ID=Y.PRTCTN_ID_SIMUL</v>
      </c>
      <c r="L362" s="42" t="str">
        <f>+IF(C362="Coerência", +IF(LEFT(G362,5)="FLOAT","SELECT '"&amp;UPPER(B362)&amp;"' AS TABELA, '"&amp;UPPER(C362)&amp;"' AS TIPOLOGIA_TESTE,'"&amp;D362&amp;"' AS TABELA_LT,'"&amp;E362&amp;"' AS TABELA_SIMUL,'"&amp;F362&amp;"' AS CAMPO, "&amp;"'${ref_date}' AS REF_DATE, COUNT(*) AS NUM_REG, SUM(IF((ABS(COALESCE(X."&amp;F362&amp;",0)-COALESCE(Y."&amp;F362&amp;"_SIMUL,0))&gt;0.0000000001) OR (X."&amp;F362&amp;" IS NULL AND Y."&amp;F362&amp;"_SIMUL IS NOT NULL ) OR (X."&amp;F362&amp;" IS NOT NULL AND Y."&amp;F362&amp;"_SIMUL IS NULL),1,0)) AS NUM_REG_DIF,'"&amp;MAX('ID1&amp;5'!K:K)+1&amp;"' AS ID_EXEC, CURRENT_TIMESTAMP() AS TIME_EXEC FROM "&amp;I362&amp;" INNER JOIN "&amp;J362&amp;" "&amp;K362,"SELECT '"&amp;UPPER(B362)&amp;"' AS TABELA, '"&amp;UPPER(C362)&amp;"' AS TIPOLOGIA_TESTE,'"&amp;D362&amp;"' AS TABELA_LT,'"&amp;E362&amp;"' AS TABELA_SIMUL,'"&amp;F362&amp;"' AS CAMPO, "&amp;"'${ref_date}' AS REF_DATE, COUNT(*) AS NUM_REG, SUM(IF(COALESCE(CAST(X."&amp;F362&amp;" AS STRING),'')&lt;&gt;COALESCE(CAST(Y."&amp;F362&amp;"_SIMUL AS STRING),''),1,0)) AS NUM_REG_DIF,'"&amp;MAX('ID1&amp;5'!L:L)+1&amp;"' AS ID_EXEC, CURRENT_TIMESTAMP() AS TIME_EXEC FROM "&amp;I362&amp;" INNER JOIN "&amp;J362&amp;" "&amp;K362),
IF(C362="Validade",+IF(G362="Code List","SELECT '"&amp;UPPER(B362)&amp;"' AS TABELA, '"&amp;UPPER(C362)&amp;"' AS TIPOLOGIA_TESTE,'"&amp;D362&amp;"' AS TABELA_LT,'N/A' AS TABELA_SIMUL,'"&amp;F362&amp;"' AS CAMPO, "&amp;"'${ref_date}' AS REF_DATE, COUNT(*) AS NUM_REG, SUM(IF(TRIM(CAST(X."&amp;F362&amp;" AS STRING))='' OR TRIM(CAST(X."&amp;F362&amp;" AS STRING)) IS NULL OR CAST(X."&amp;F362&amp;" AS STRING) NOT "&amp;H362&amp;",1,0)) AS NUM_REG_DIF,'"&amp;MAX('ID1&amp;5'!K:K)+1&amp;"' AS ID_EXEC, CURRENT_TIMESTAMP() AS TIME_EXEC FROM "&amp;I362,"SELECT '"&amp;UPPER(B362)&amp;"' AS TABELA, '"&amp;UPPER(C362)&amp;"' AS TIPOLOGIA_TESTE,'"&amp;D362&amp;"' AS TABELA_LT,'N/A' AS TABELA_SIMUL,'"&amp;F362&amp;"' AS CAMPO, "&amp;"'${ref_date}' AS REF_DATE, COUNT(*) AS NUM_REG, SUM(IF(TRIM(CAST(X."&amp;F362&amp;" AS STRING))='' OR TRIM(CAST(X."&amp;F362&amp;" AS STRING)) IS NULL,1,0)) AS NUM_REG_DIF,'"&amp;MAX('ID1&amp;5'!K:K)+1&amp;"' AS ID_EXEC, CURRENT_TIMESTAMP() AS TIME_EXEC FROM "&amp;I362),
IF(C362="Caracteres Especiais",+"SELECT '"&amp;UPPER(B362)&amp;"' AS TABELA, '"&amp;UPPER(C362)&amp;"' AS TIPOLOGIA_TESTE,'"&amp;D362&amp;"' AS TABELA_LT,'N/A' AS TABELA_SIMUL,'"&amp;F362&amp;"' AS CAMPO, "&amp;"'${ref_date}' AS REF_DATE, COUNT(*) AS NUM_REG, SUM(IF(INSTR(CAST(X."&amp;F362&amp;" AS STRING),'#')&gt;0 OR INSTR(CAST(X."&amp;F362&amp;" AS STRING),'*')&gt;0 OR INSTR(CAST(X."&amp;F362&amp;" AS STRING),'`')&gt;0 OR INSTR(CAST(X."&amp;F362&amp;" AS STRING),'´')&gt;0 OR INSTR(CAST(X."&amp;F362&amp;" AS STRING),'{')&gt;0 OR INSTR(CAST(X."&amp;F362&amp;" AS STRING),'}')&gt;0 OR INSTR(CAST(X."&amp;F362&amp;" AS STRING),'[')&gt;0 OR INSTR(CAST(X."&amp;F362&amp;" AS STRING),'')&gt;0 OR INSTR(CAST(X."&amp;F362&amp;" AS STRING),']')&gt;0 OR INSTR(CAST(X."&amp;F362&amp;" AS STRING),'?')&gt;0 OR INSTR(CAST(X."&amp;F362&amp;" AS STRING),'!')&gt;0 OR INSTR(CAST(X."&amp;F362&amp;" AS STRING),'$')&gt;0 OR INSTR(CAST(X."&amp;F362&amp;" AS STRING),'%')&gt;0 OR INSTR(CAST(X."&amp;F362&amp;" AS STRING),'&amp;')&gt;0 OR INSTR(CAST(X."&amp;F362&amp;" AS STRING),'+')&gt;0,1,0)) AS NUM_REG_DIF,'"&amp;MAX('ID1&amp;5'!K:K)+1&amp;"' AS ID_EXEC, CURRENT_TIMESTAMP() AS TIME_EXEC FROM "&amp;I362,
IF(C362="Missings",+"SELECT '"&amp;UPPER(B362)&amp;"' AS TABELA, '"&amp;UPPER(C362)&amp;"' AS TIPOLOGIA_TESTE,'"&amp;D362&amp;"' AS TABELA_LT,'N/A' AS TABELA_SIMUL,'"&amp;F362&amp;"' AS CAMPO, "&amp;"'${ref_date}' AS REF_DATE, COUNT(*) AS NUM_REG, SUM(IF(TRIM(CAST(X."&amp;F362&amp;" AS STRING)) IN ('0000-00-00','0001-01-01','9999-12-31','MISS','00000','99999999999','99999999999.00','99999999999.000000'),1,0)) AS NUM_REG_DIF,'"&amp;MAX('ID1&amp;5'!K:K)+1&amp;"' AS ID_EXEC, CURRENT_TIMESTAMP() AS TIME_EXEC FROM "&amp;I362,
IF(C362="Not applicable",+"SELECT '"&amp;UPPER(B362)&amp;"' AS TABELA, '"&amp;UPPER(C362)&amp;"' AS TIPOLOGIA_TESTE,'"&amp;D362&amp;"' AS TABELA_LT,'N/A' AS TABELA_SIMUL,'"&amp;F362&amp;"' AS CAMPO, "&amp;"'${ref_date}' AS REF_DATE, COUNT(*) AS NUM_REG, SUM(IF(TRIM(CAST(X."&amp;F362&amp;" AS STRING)) IN ('N/A','11111111111','11111111111.00','11111111111.000000','1111-11-11'),1,0)) AS NUM_REG_DIF,'"&amp;MAX('ID1&amp;5'!K:K)+1&amp;"' AS ID_EXEC, CURRENT_TIMESTAMP() AS TIME_EXEC FROM "&amp;I362,
IF(C362="Valores extremos",+"SELECT '"&amp;UPPER(B362)&amp;"' AS TABELA, '"&amp;UPPER(C362)&amp;"' AS TIPOLOGIA_TESTE,'"&amp;D362&amp;"' AS TABELA_LT,'N/A' AS TABELA_SIMUL,'"&amp;F362&amp;"' AS CAMPO, "&amp;"'${ref_date}' AS REF_DATE, CAST(MIN("&amp;F362&amp;") AS STRING) AS VALOR_MIN, CAST(MAX("&amp;F362&amp;") AS STRING) AS VALOR_MAX,'"&amp;MAX('ID1&amp;5'!K:K)+1&amp;"' AS ID_EXEC, CURRENT_TIMESTAMP() AS TIME_EXEC FROM "&amp;MID(I362,1,LEN(I362)-2)&amp;" AND CAST("&amp;F362&amp;"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TABELA_SIMUL,'PRTCTN_ID' AS CAMPO, '${ref_date}' AS REF_DATE, COUNT(*) AS NUM_REG, SUM(IF(TRIM(CAST(X.PRTCTN_ID AS STRING)) IN ('0000-00-00','0001-01-01','9999-12-31','MISS','00000','99999999999','99999999999.00','99999999999.000000'),1,0)) AS NUM_REG_DIF,'10' AS ID_EXEC, CURRENT_TIMESTAMP() AS TIME_EXEC FROM (SELECT prtctn_id, PRTCTN_ID FROM BU_LOANTAPE_WORK.LT004_PROTECTION WHERE ref_date='${ref_date}' AND nome_perimetro='Individual Corporativo' AND segmento='ESTR' AND ambito='PILAR3')X</v>
      </c>
      <c r="M362" s="43" t="str">
        <f t="shared" si="5"/>
        <v>UNION ALL SELECT 'PROTECTION' AS TABELA, 'MISSINGS' AS TIPOLOGIA_TESTE,'BU_LOANTAPE_WORK.LT004_PROTECTION' AS TABELA_LT,'N/A' AS TABELA_SIMUL,'PRTCTN_ID' AS CAMPO, '${ref_date}' AS REF_DATE, COUNT(*) AS NUM_REG, SUM(IF(TRIM(CAST(X.PRTCTN_ID AS STRING)) IN ('0000-00-00','0001-01-01','9999-12-31','MISS','00000','99999999999','99999999999.00','99999999999.000000'),1,0)) AS NUM_REG_DIF,'10' AS ID_EXEC, CURRENT_TIMESTAMP() AS TIME_EXEC FROM (SELECT prtctn_id, PRTCTN_ID FROM BU_LOANTAPE_WORK.LT004_PROTECTION WHERE ref_date='${ref_date}' AND nome_perimetro='Individual Corporativo' AND segmento='ESTR' AND ambito='PILAR3')X</v>
      </c>
      <c r="N362" s="45" t="s">
        <v>13</v>
      </c>
    </row>
    <row r="363" spans="2:14">
      <c r="B363" s="41" t="s">
        <v>31</v>
      </c>
      <c r="C363" s="41" t="s">
        <v>77</v>
      </c>
      <c r="D363" s="41" t="str">
        <f>+UPPER('0. Instruções'!$D$33&amp;"."&amp;VLOOKUP(B363,'0. Instruções'!$C$27:$D$31,2,FALSE))</f>
        <v>BU_LOANTAPE_WORK.LT004_PROTECTION</v>
      </c>
      <c r="E363" s="41" t="str">
        <f>+UPPER('0. Instruções'!$D$34&amp;"."&amp;VLOOKUP(B363,'0. Instruções'!$C$27:$E$31,3,FALSE))</f>
        <v>BU_LOANTAPE_WORK.LT004_PROTECTION_P3_NOV24</v>
      </c>
      <c r="F363" s="41" t="s">
        <v>191</v>
      </c>
      <c r="G363" s="41" t="s">
        <v>13</v>
      </c>
      <c r="H363" s="41"/>
      <c r="I363" s="41" t="str">
        <f>"(SELECT "&amp;VLOOKUP(B363,'0. Instruções'!$C$27:$G$31,4,FALSE)&amp;", "&amp;F363&amp;" FROM "&amp;D363&amp;" WHERE "&amp;'0. Instruções'!$D$40&amp;")X"</f>
        <v>(SELECT prtctn_id, RL_ESTT_CLLTRL_LCTN FROM BU_LOANTAPE_WORK.LT004_PROTECTION WHERE ref_date='${ref_date}' AND nome_perimetro='Individual Corporativo' AND segmento='ESTR' AND ambito='PILAR3')X</v>
      </c>
      <c r="J363" s="41" t="str">
        <f>"(SELECT "&amp;VLOOKUP(B363,'0. Instruções'!$C$27:$G$31,4,FALSE)&amp;" AS "&amp;VLOOKUP(B363,'0. Instruções'!$C$27:$G$31,4,FALSE)&amp;"_SIMUL, "&amp;F363&amp;" AS "&amp;F363&amp;"_SIMUL FROM "&amp;E363&amp;")Y"</f>
        <v>(SELECT prtctn_id AS prtctn_id_SIMUL, RL_ESTT_CLLTRL_LCTN AS RL_ESTT_CLLTRL_LCTN_SIMUL FROM BU_LOANTAPE_WORK.LT004_PROTECTION_P3_NOV24)Y</v>
      </c>
      <c r="K363" s="42" t="str">
        <f>+UPPER("ON X."&amp;VLOOKUP(B363,'0. Instruções'!$C$27:$G$31,4,FALSE)&amp;"=Y."&amp;VLOOKUP(B363,'0. Instruções'!$C$27:$G$31,4,FALSE)&amp;"_SIMUL")</f>
        <v>ON X.PRTCTN_ID=Y.PRTCTN_ID_SIMUL</v>
      </c>
      <c r="L363" s="42" t="str">
        <f>+IF(C363="Coerência", +IF(LEFT(G363,5)="FLOAT","SELECT '"&amp;UPPER(B363)&amp;"' AS TABELA, '"&amp;UPPER(C363)&amp;"' AS TIPOLOGIA_TESTE,'"&amp;D363&amp;"' AS TABELA_LT,'"&amp;E363&amp;"' AS TABELA_SIMUL,'"&amp;F363&amp;"' AS CAMPO, "&amp;"'${ref_date}' AS REF_DATE, COUNT(*) AS NUM_REG, SUM(IF((ABS(COALESCE(X."&amp;F363&amp;",0)-COALESCE(Y."&amp;F363&amp;"_SIMUL,0))&gt;0.0000000001) OR (X."&amp;F363&amp;" IS NULL AND Y."&amp;F363&amp;"_SIMUL IS NOT NULL ) OR (X."&amp;F363&amp;" IS NOT NULL AND Y."&amp;F363&amp;"_SIMUL IS NULL),1,0)) AS NUM_REG_DIF,'"&amp;MAX('ID1&amp;5'!K:K)+1&amp;"' AS ID_EXEC, CURRENT_TIMESTAMP() AS TIME_EXEC FROM "&amp;I363&amp;" INNER JOIN "&amp;J363&amp;" "&amp;K363,"SELECT '"&amp;UPPER(B363)&amp;"' AS TABELA, '"&amp;UPPER(C363)&amp;"' AS TIPOLOGIA_TESTE,'"&amp;D363&amp;"' AS TABELA_LT,'"&amp;E363&amp;"' AS TABELA_SIMUL,'"&amp;F363&amp;"' AS CAMPO, "&amp;"'${ref_date}' AS REF_DATE, COUNT(*) AS NUM_REG, SUM(IF(COALESCE(CAST(X."&amp;F363&amp;" AS STRING),'')&lt;&gt;COALESCE(CAST(Y."&amp;F363&amp;"_SIMUL AS STRING),''),1,0)) AS NUM_REG_DIF,'"&amp;MAX('ID1&amp;5'!L:L)+1&amp;"' AS ID_EXEC, CURRENT_TIMESTAMP() AS TIME_EXEC FROM "&amp;I363&amp;" INNER JOIN "&amp;J363&amp;" "&amp;K363),
IF(C363="Validade",+IF(G363="Code List","SELECT '"&amp;UPPER(B363)&amp;"' AS TABELA, '"&amp;UPPER(C363)&amp;"' AS TIPOLOGIA_TESTE,'"&amp;D363&amp;"' AS TABELA_LT,'N/A' AS TABELA_SIMUL,'"&amp;F363&amp;"' AS CAMPO, "&amp;"'${ref_date}' AS REF_DATE, COUNT(*) AS NUM_REG, SUM(IF(TRIM(CAST(X."&amp;F363&amp;" AS STRING))='' OR TRIM(CAST(X."&amp;F363&amp;" AS STRING)) IS NULL OR CAST(X."&amp;F363&amp;" AS STRING) NOT "&amp;H363&amp;",1,0)) AS NUM_REG_DIF,'"&amp;MAX('ID1&amp;5'!K:K)+1&amp;"' AS ID_EXEC, CURRENT_TIMESTAMP() AS TIME_EXEC FROM "&amp;I363,"SELECT '"&amp;UPPER(B363)&amp;"' AS TABELA, '"&amp;UPPER(C363)&amp;"' AS TIPOLOGIA_TESTE,'"&amp;D363&amp;"' AS TABELA_LT,'N/A' AS TABELA_SIMUL,'"&amp;F363&amp;"' AS CAMPO, "&amp;"'${ref_date}' AS REF_DATE, COUNT(*) AS NUM_REG, SUM(IF(TRIM(CAST(X."&amp;F363&amp;" AS STRING))='' OR TRIM(CAST(X."&amp;F363&amp;" AS STRING)) IS NULL,1,0)) AS NUM_REG_DIF,'"&amp;MAX('ID1&amp;5'!K:K)+1&amp;"' AS ID_EXEC, CURRENT_TIMESTAMP() AS TIME_EXEC FROM "&amp;I363),
IF(C363="Caracteres Especiais",+"SELECT '"&amp;UPPER(B363)&amp;"' AS TABELA, '"&amp;UPPER(C363)&amp;"' AS TIPOLOGIA_TESTE,'"&amp;D363&amp;"' AS TABELA_LT,'N/A' AS TABELA_SIMUL,'"&amp;F363&amp;"' AS CAMPO, "&amp;"'${ref_date}' AS REF_DATE, COUNT(*) AS NUM_REG, SUM(IF(INSTR(CAST(X."&amp;F363&amp;" AS STRING),'#')&gt;0 OR INSTR(CAST(X."&amp;F363&amp;" AS STRING),'*')&gt;0 OR INSTR(CAST(X."&amp;F363&amp;" AS STRING),'`')&gt;0 OR INSTR(CAST(X."&amp;F363&amp;" AS STRING),'´')&gt;0 OR INSTR(CAST(X."&amp;F363&amp;" AS STRING),'{')&gt;0 OR INSTR(CAST(X."&amp;F363&amp;" AS STRING),'}')&gt;0 OR INSTR(CAST(X."&amp;F363&amp;" AS STRING),'[')&gt;0 OR INSTR(CAST(X."&amp;F363&amp;" AS STRING),'')&gt;0 OR INSTR(CAST(X."&amp;F363&amp;" AS STRING),']')&gt;0 OR INSTR(CAST(X."&amp;F363&amp;" AS STRING),'?')&gt;0 OR INSTR(CAST(X."&amp;F363&amp;" AS STRING),'!')&gt;0 OR INSTR(CAST(X."&amp;F363&amp;" AS STRING),'$')&gt;0 OR INSTR(CAST(X."&amp;F363&amp;" AS STRING),'%')&gt;0 OR INSTR(CAST(X."&amp;F363&amp;" AS STRING),'&amp;')&gt;0 OR INSTR(CAST(X."&amp;F363&amp;" AS STRING),'+')&gt;0,1,0)) AS NUM_REG_DIF,'"&amp;MAX('ID1&amp;5'!K:K)+1&amp;"' AS ID_EXEC, CURRENT_TIMESTAMP() AS TIME_EXEC FROM "&amp;I363,
IF(C363="Missings",+"SELECT '"&amp;UPPER(B363)&amp;"' AS TABELA, '"&amp;UPPER(C363)&amp;"' AS TIPOLOGIA_TESTE,'"&amp;D363&amp;"' AS TABELA_LT,'N/A' AS TABELA_SIMUL,'"&amp;F363&amp;"' AS CAMPO, "&amp;"'${ref_date}' AS REF_DATE, COUNT(*) AS NUM_REG, SUM(IF(TRIM(CAST(X."&amp;F363&amp;" AS STRING)) IN ('0000-00-00','0001-01-01','9999-12-31','MISS','00000','99999999999','99999999999.00','99999999999.000000'),1,0)) AS NUM_REG_DIF,'"&amp;MAX('ID1&amp;5'!K:K)+1&amp;"' AS ID_EXEC, CURRENT_TIMESTAMP() AS TIME_EXEC FROM "&amp;I363,
IF(C363="Not applicable",+"SELECT '"&amp;UPPER(B363)&amp;"' AS TABELA, '"&amp;UPPER(C363)&amp;"' AS TIPOLOGIA_TESTE,'"&amp;D363&amp;"' AS TABELA_LT,'N/A' AS TABELA_SIMUL,'"&amp;F363&amp;"' AS CAMPO, "&amp;"'${ref_date}' AS REF_DATE, COUNT(*) AS NUM_REG, SUM(IF(TRIM(CAST(X."&amp;F363&amp;" AS STRING)) IN ('N/A','11111111111','11111111111.00','11111111111.000000','1111-11-11'),1,0)) AS NUM_REG_DIF,'"&amp;MAX('ID1&amp;5'!K:K)+1&amp;"' AS ID_EXEC, CURRENT_TIMESTAMP() AS TIME_EXEC FROM "&amp;I363,
IF(C363="Valores extremos",+"SELECT '"&amp;UPPER(B363)&amp;"' AS TABELA, '"&amp;UPPER(C363)&amp;"' AS TIPOLOGIA_TESTE,'"&amp;D363&amp;"' AS TABELA_LT,'N/A' AS TABELA_SIMUL,'"&amp;F363&amp;"' AS CAMPO, "&amp;"'${ref_date}' AS REF_DATE, CAST(MIN("&amp;F363&amp;") AS STRING) AS VALOR_MIN, CAST(MAX("&amp;F363&amp;") AS STRING) AS VALOR_MAX,'"&amp;MAX('ID1&amp;5'!K:K)+1&amp;"' AS ID_EXEC, CURRENT_TIMESTAMP() AS TIME_EXEC FROM "&amp;MID(I363,1,LEN(I363)-2)&amp;" AND CAST("&amp;F363&amp;"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TABELA_SIMUL,'RL_ESTT_CLLTRL_LCTN' AS CAMPO, '${ref_date}' AS REF_DATE, COUNT(*) AS NUM_REG, SUM(IF(TRIM(CAST(X.RL_ESTT_CLLTRL_LCTN AS STRING)) IN ('0000-00-00','0001-01-01','9999-12-31','MISS','00000','99999999999','99999999999.00','99999999999.000000'),1,0)) AS NUM_REG_DIF,'10' AS ID_EXEC, CURRENT_TIMESTAMP() AS TIME_EXEC FROM (SELECT prtctn_id, RL_ESTT_CLLTRL_LCTN FROM BU_LOANTAPE_WORK.LT004_PROTECTION WHERE ref_date='${ref_date}' AND nome_perimetro='Individual Corporativo' AND segmento='ESTR' AND ambito='PILAR3')X</v>
      </c>
      <c r="M363" s="43" t="str">
        <f t="shared" si="5"/>
        <v>UNION ALL SELECT 'PROTECTION' AS TABELA, 'MISSINGS' AS TIPOLOGIA_TESTE,'BU_LOANTAPE_WORK.LT004_PROTECTION' AS TABELA_LT,'N/A' AS TABELA_SIMUL,'RL_ESTT_CLLTRL_LCTN' AS CAMPO, '${ref_date}' AS REF_DATE, COUNT(*) AS NUM_REG, SUM(IF(TRIM(CAST(X.RL_ESTT_CLLTRL_LCTN AS STRING)) IN ('0000-00-00','0001-01-01','9999-12-31','MISS','00000','99999999999','99999999999.00','99999999999.000000'),1,0)) AS NUM_REG_DIF,'10' AS ID_EXEC, CURRENT_TIMESTAMP() AS TIME_EXEC FROM (SELECT prtctn_id, RL_ESTT_CLLTRL_LCTN FROM BU_LOANTAPE_WORK.LT004_PROTECTION WHERE ref_date='${ref_date}' AND nome_perimetro='Individual Corporativo' AND segmento='ESTR' AND ambito='PILAR3')X</v>
      </c>
      <c r="N363" s="45" t="s">
        <v>13</v>
      </c>
    </row>
    <row r="364" spans="2:14">
      <c r="B364" s="41" t="s">
        <v>31</v>
      </c>
      <c r="C364" s="41" t="s">
        <v>77</v>
      </c>
      <c r="D364" s="41" t="str">
        <f>+UPPER('0. Instruções'!$D$33&amp;"."&amp;VLOOKUP(B364,'0. Instruções'!$C$27:$D$31,2,FALSE))</f>
        <v>BU_LOANTAPE_WORK.LT004_PROTECTION</v>
      </c>
      <c r="E364" s="41" t="str">
        <f>+UPPER('0. Instruções'!$D$34&amp;"."&amp;VLOOKUP(B364,'0. Instruções'!$C$27:$E$31,3,FALSE))</f>
        <v>BU_LOANTAPE_WORK.LT004_PROTECTION_P3_NOV24</v>
      </c>
      <c r="F364" s="41" t="s">
        <v>192</v>
      </c>
      <c r="G364" s="41" t="s">
        <v>13</v>
      </c>
      <c r="H364" s="41"/>
      <c r="I364" s="41" t="str">
        <f>"(SELECT "&amp;VLOOKUP(B364,'0. Instruções'!$C$27:$G$31,4,FALSE)&amp;", "&amp;F364&amp;" FROM "&amp;D364&amp;" WHERE "&amp;'0. Instruções'!$D$40&amp;")X"</f>
        <v>(SELECT prtctn_id, RL_ESTT_PST_CD FROM BU_LOANTAPE_WORK.LT004_PROTECTION WHERE ref_date='${ref_date}' AND nome_perimetro='Individual Corporativo' AND segmento='ESTR' AND ambito='PILAR3')X</v>
      </c>
      <c r="J364" s="41" t="str">
        <f>"(SELECT "&amp;VLOOKUP(B364,'0. Instruções'!$C$27:$G$31,4,FALSE)&amp;" AS "&amp;VLOOKUP(B364,'0. Instruções'!$C$27:$G$31,4,FALSE)&amp;"_SIMUL, "&amp;F364&amp;" AS "&amp;F364&amp;"_SIMUL FROM "&amp;E364&amp;")Y"</f>
        <v>(SELECT prtctn_id AS prtctn_id_SIMUL, RL_ESTT_PST_CD AS RL_ESTT_PST_CD_SIMUL FROM BU_LOANTAPE_WORK.LT004_PROTECTION_P3_NOV24)Y</v>
      </c>
      <c r="K364" s="42" t="str">
        <f>+UPPER("ON X."&amp;VLOOKUP(B364,'0. Instruções'!$C$27:$G$31,4,FALSE)&amp;"=Y."&amp;VLOOKUP(B364,'0. Instruções'!$C$27:$G$31,4,FALSE)&amp;"_SIMUL")</f>
        <v>ON X.PRTCTN_ID=Y.PRTCTN_ID_SIMUL</v>
      </c>
      <c r="L364" s="42" t="str">
        <f>+IF(C364="Coerência", +IF(LEFT(G364,5)="FLOAT","SELECT '"&amp;UPPER(B364)&amp;"' AS TABELA, '"&amp;UPPER(C364)&amp;"' AS TIPOLOGIA_TESTE,'"&amp;D364&amp;"' AS TABELA_LT,'"&amp;E364&amp;"' AS TABELA_SIMUL,'"&amp;F364&amp;"' AS CAMPO, "&amp;"'${ref_date}' AS REF_DATE, COUNT(*) AS NUM_REG, SUM(IF((ABS(COALESCE(X."&amp;F364&amp;",0)-COALESCE(Y."&amp;F364&amp;"_SIMUL,0))&gt;0.0000000001) OR (X."&amp;F364&amp;" IS NULL AND Y."&amp;F364&amp;"_SIMUL IS NOT NULL ) OR (X."&amp;F364&amp;" IS NOT NULL AND Y."&amp;F364&amp;"_SIMUL IS NULL),1,0)) AS NUM_REG_DIF,'"&amp;MAX('ID1&amp;5'!K:K)+1&amp;"' AS ID_EXEC, CURRENT_TIMESTAMP() AS TIME_EXEC FROM "&amp;I364&amp;" INNER JOIN "&amp;J364&amp;" "&amp;K364,"SELECT '"&amp;UPPER(B364)&amp;"' AS TABELA, '"&amp;UPPER(C364)&amp;"' AS TIPOLOGIA_TESTE,'"&amp;D364&amp;"' AS TABELA_LT,'"&amp;E364&amp;"' AS TABELA_SIMUL,'"&amp;F364&amp;"' AS CAMPO, "&amp;"'${ref_date}' AS REF_DATE, COUNT(*) AS NUM_REG, SUM(IF(COALESCE(CAST(X."&amp;F364&amp;" AS STRING),'')&lt;&gt;COALESCE(CAST(Y."&amp;F364&amp;"_SIMUL AS STRING),''),1,0)) AS NUM_REG_DIF,'"&amp;MAX('ID1&amp;5'!L:L)+1&amp;"' AS ID_EXEC, CURRENT_TIMESTAMP() AS TIME_EXEC FROM "&amp;I364&amp;" INNER JOIN "&amp;J364&amp;" "&amp;K364),
IF(C364="Validade",+IF(G364="Code List","SELECT '"&amp;UPPER(B364)&amp;"' AS TABELA, '"&amp;UPPER(C364)&amp;"' AS TIPOLOGIA_TESTE,'"&amp;D364&amp;"' AS TABELA_LT,'N/A' AS TABELA_SIMUL,'"&amp;F364&amp;"' AS CAMPO, "&amp;"'${ref_date}' AS REF_DATE, COUNT(*) AS NUM_REG, SUM(IF(TRIM(CAST(X."&amp;F364&amp;" AS STRING))='' OR TRIM(CAST(X."&amp;F364&amp;" AS STRING)) IS NULL OR CAST(X."&amp;F364&amp;" AS STRING) NOT "&amp;H364&amp;",1,0)) AS NUM_REG_DIF,'"&amp;MAX('ID1&amp;5'!K:K)+1&amp;"' AS ID_EXEC, CURRENT_TIMESTAMP() AS TIME_EXEC FROM "&amp;I364,"SELECT '"&amp;UPPER(B364)&amp;"' AS TABELA, '"&amp;UPPER(C364)&amp;"' AS TIPOLOGIA_TESTE,'"&amp;D364&amp;"' AS TABELA_LT,'N/A' AS TABELA_SIMUL,'"&amp;F364&amp;"' AS CAMPO, "&amp;"'${ref_date}' AS REF_DATE, COUNT(*) AS NUM_REG, SUM(IF(TRIM(CAST(X."&amp;F364&amp;" AS STRING))='' OR TRIM(CAST(X."&amp;F364&amp;" AS STRING)) IS NULL,1,0)) AS NUM_REG_DIF,'"&amp;MAX('ID1&amp;5'!K:K)+1&amp;"' AS ID_EXEC, CURRENT_TIMESTAMP() AS TIME_EXEC FROM "&amp;I364),
IF(C364="Caracteres Especiais",+"SELECT '"&amp;UPPER(B364)&amp;"' AS TABELA, '"&amp;UPPER(C364)&amp;"' AS TIPOLOGIA_TESTE,'"&amp;D364&amp;"' AS TABELA_LT,'N/A' AS TABELA_SIMUL,'"&amp;F364&amp;"' AS CAMPO, "&amp;"'${ref_date}' AS REF_DATE, COUNT(*) AS NUM_REG, SUM(IF(INSTR(CAST(X."&amp;F364&amp;" AS STRING),'#')&gt;0 OR INSTR(CAST(X."&amp;F364&amp;" AS STRING),'*')&gt;0 OR INSTR(CAST(X."&amp;F364&amp;" AS STRING),'`')&gt;0 OR INSTR(CAST(X."&amp;F364&amp;" AS STRING),'´')&gt;0 OR INSTR(CAST(X."&amp;F364&amp;" AS STRING),'{')&gt;0 OR INSTR(CAST(X."&amp;F364&amp;" AS STRING),'}')&gt;0 OR INSTR(CAST(X."&amp;F364&amp;" AS STRING),'[')&gt;0 OR INSTR(CAST(X."&amp;F364&amp;" AS STRING),'')&gt;0 OR INSTR(CAST(X."&amp;F364&amp;" AS STRING),']')&gt;0 OR INSTR(CAST(X."&amp;F364&amp;" AS STRING),'?')&gt;0 OR INSTR(CAST(X."&amp;F364&amp;" AS STRING),'!')&gt;0 OR INSTR(CAST(X."&amp;F364&amp;" AS STRING),'$')&gt;0 OR INSTR(CAST(X."&amp;F364&amp;" AS STRING),'%')&gt;0 OR INSTR(CAST(X."&amp;F364&amp;" AS STRING),'&amp;')&gt;0 OR INSTR(CAST(X."&amp;F364&amp;" AS STRING),'+')&gt;0,1,0)) AS NUM_REG_DIF,'"&amp;MAX('ID1&amp;5'!K:K)+1&amp;"' AS ID_EXEC, CURRENT_TIMESTAMP() AS TIME_EXEC FROM "&amp;I364,
IF(C364="Missings",+"SELECT '"&amp;UPPER(B364)&amp;"' AS TABELA, '"&amp;UPPER(C364)&amp;"' AS TIPOLOGIA_TESTE,'"&amp;D364&amp;"' AS TABELA_LT,'N/A' AS TABELA_SIMUL,'"&amp;F364&amp;"' AS CAMPO, "&amp;"'${ref_date}' AS REF_DATE, COUNT(*) AS NUM_REG, SUM(IF(TRIM(CAST(X."&amp;F364&amp;" AS STRING)) IN ('0000-00-00','0001-01-01','9999-12-31','MISS','00000','99999999999','99999999999.00','99999999999.000000'),1,0)) AS NUM_REG_DIF,'"&amp;MAX('ID1&amp;5'!K:K)+1&amp;"' AS ID_EXEC, CURRENT_TIMESTAMP() AS TIME_EXEC FROM "&amp;I364,
IF(C364="Not applicable",+"SELECT '"&amp;UPPER(B364)&amp;"' AS TABELA, '"&amp;UPPER(C364)&amp;"' AS TIPOLOGIA_TESTE,'"&amp;D364&amp;"' AS TABELA_LT,'N/A' AS TABELA_SIMUL,'"&amp;F364&amp;"' AS CAMPO, "&amp;"'${ref_date}' AS REF_DATE, COUNT(*) AS NUM_REG, SUM(IF(TRIM(CAST(X."&amp;F364&amp;" AS STRING)) IN ('N/A','11111111111','11111111111.00','11111111111.000000','1111-11-11'),1,0)) AS NUM_REG_DIF,'"&amp;MAX('ID1&amp;5'!K:K)+1&amp;"' AS ID_EXEC, CURRENT_TIMESTAMP() AS TIME_EXEC FROM "&amp;I364,
IF(C364="Valores extremos",+"SELECT '"&amp;UPPER(B364)&amp;"' AS TABELA, '"&amp;UPPER(C364)&amp;"' AS TIPOLOGIA_TESTE,'"&amp;D364&amp;"' AS TABELA_LT,'N/A' AS TABELA_SIMUL,'"&amp;F364&amp;"' AS CAMPO, "&amp;"'${ref_date}' AS REF_DATE, CAST(MIN("&amp;F364&amp;") AS STRING) AS VALOR_MIN, CAST(MAX("&amp;F364&amp;") AS STRING) AS VALOR_MAX,'"&amp;MAX('ID1&amp;5'!K:K)+1&amp;"' AS ID_EXEC, CURRENT_TIMESTAMP() AS TIME_EXEC FROM "&amp;MID(I364,1,LEN(I364)-2)&amp;" AND CAST("&amp;F364&amp;"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TABELA_SIMUL,'RL_ESTT_PST_CD' AS CAMPO, '${ref_date}' AS REF_DATE, COUNT(*) AS NUM_REG, SUM(IF(TRIM(CAST(X.RL_ESTT_PST_CD AS STRING)) IN ('0000-00-00','0001-01-01','9999-12-31','MISS','00000','99999999999','99999999999.00','99999999999.000000'),1,0)) AS NUM_REG_DIF,'10' AS ID_EXEC, CURRENT_TIMESTAMP() AS TIME_EXEC FROM (SELECT prtctn_id, RL_ESTT_PST_CD FROM BU_LOANTAPE_WORK.LT004_PROTECTION WHERE ref_date='${ref_date}' AND nome_perimetro='Individual Corporativo' AND segmento='ESTR' AND ambito='PILAR3')X</v>
      </c>
      <c r="M364" s="43" t="str">
        <f t="shared" si="5"/>
        <v>UNION ALL SELECT 'PROTECTION' AS TABELA, 'MISSINGS' AS TIPOLOGIA_TESTE,'BU_LOANTAPE_WORK.LT004_PROTECTION' AS TABELA_LT,'N/A' AS TABELA_SIMUL,'RL_ESTT_PST_CD' AS CAMPO, '${ref_date}' AS REF_DATE, COUNT(*) AS NUM_REG, SUM(IF(TRIM(CAST(X.RL_ESTT_PST_CD AS STRING)) IN ('0000-00-00','0001-01-01','9999-12-31','MISS','00000','99999999999','99999999999.00','99999999999.000000'),1,0)) AS NUM_REG_DIF,'10' AS ID_EXEC, CURRENT_TIMESTAMP() AS TIME_EXEC FROM (SELECT prtctn_id, RL_ESTT_PST_CD FROM BU_LOANTAPE_WORK.LT004_PROTECTION WHERE ref_date='${ref_date}' AND nome_perimetro='Individual Corporativo' AND segmento='ESTR' AND ambito='PILAR3')X</v>
      </c>
      <c r="N364" s="45" t="s">
        <v>13</v>
      </c>
    </row>
    <row r="365" spans="2:14">
      <c r="B365" s="41" t="s">
        <v>31</v>
      </c>
      <c r="C365" s="41" t="s">
        <v>77</v>
      </c>
      <c r="D365" s="41" t="str">
        <f>+UPPER('0. Instruções'!$D$33&amp;"."&amp;VLOOKUP(B365,'0. Instruções'!$C$27:$D$31,2,FALSE))</f>
        <v>BU_LOANTAPE_WORK.LT004_PROTECTION</v>
      </c>
      <c r="E365" s="41" t="str">
        <f>+UPPER('0. Instruções'!$D$34&amp;"."&amp;VLOOKUP(B365,'0. Instruções'!$C$27:$E$31,3,FALSE))</f>
        <v>BU_LOANTAPE_WORK.LT004_PROTECTION_P3_NOV24</v>
      </c>
      <c r="F365" s="41" t="s">
        <v>193</v>
      </c>
      <c r="G365" s="41" t="s">
        <v>13</v>
      </c>
      <c r="H365" s="41"/>
      <c r="I365" s="41" t="str">
        <f>"(SELECT "&amp;VLOOKUP(B365,'0. Instruções'!$C$27:$G$31,4,FALSE)&amp;", "&amp;F365&amp;" FROM "&amp;D365&amp;" WHERE "&amp;'0. Instruções'!$D$40&amp;")X"</f>
        <v>(SELECT prtctn_id, TYP_PRTCTN FROM BU_LOANTAPE_WORK.LT004_PROTECTION WHERE ref_date='${ref_date}' AND nome_perimetro='Individual Corporativo' AND segmento='ESTR' AND ambito='PILAR3')X</v>
      </c>
      <c r="J365" s="41" t="str">
        <f>"(SELECT "&amp;VLOOKUP(B365,'0. Instruções'!$C$27:$G$31,4,FALSE)&amp;" AS "&amp;VLOOKUP(B365,'0. Instruções'!$C$27:$G$31,4,FALSE)&amp;"_SIMUL, "&amp;F365&amp;" AS "&amp;F365&amp;"_SIMUL FROM "&amp;E365&amp;")Y"</f>
        <v>(SELECT prtctn_id AS prtctn_id_SIMUL, TYP_PRTCTN AS TYP_PRTCTN_SIMUL FROM BU_LOANTAPE_WORK.LT004_PROTECTION_P3_NOV24)Y</v>
      </c>
      <c r="K365" s="42" t="str">
        <f>+UPPER("ON X."&amp;VLOOKUP(B365,'0. Instruções'!$C$27:$G$31,4,FALSE)&amp;"=Y."&amp;VLOOKUP(B365,'0. Instruções'!$C$27:$G$31,4,FALSE)&amp;"_SIMUL")</f>
        <v>ON X.PRTCTN_ID=Y.PRTCTN_ID_SIMUL</v>
      </c>
      <c r="L365" s="42" t="str">
        <f>+IF(C365="Coerência", +IF(LEFT(G365,5)="FLOAT","SELECT '"&amp;UPPER(B365)&amp;"' AS TABELA, '"&amp;UPPER(C365)&amp;"' AS TIPOLOGIA_TESTE,'"&amp;D365&amp;"' AS TABELA_LT,'"&amp;E365&amp;"' AS TABELA_SIMUL,'"&amp;F365&amp;"' AS CAMPO, "&amp;"'${ref_date}' AS REF_DATE, COUNT(*) AS NUM_REG, SUM(IF((ABS(COALESCE(X."&amp;F365&amp;",0)-COALESCE(Y."&amp;F365&amp;"_SIMUL,0))&gt;0.0000000001) OR (X."&amp;F365&amp;" IS NULL AND Y."&amp;F365&amp;"_SIMUL IS NOT NULL ) OR (X."&amp;F365&amp;" IS NOT NULL AND Y."&amp;F365&amp;"_SIMUL IS NULL),1,0)) AS NUM_REG_DIF,'"&amp;MAX('ID1&amp;5'!K:K)+1&amp;"' AS ID_EXEC, CURRENT_TIMESTAMP() AS TIME_EXEC FROM "&amp;I365&amp;" INNER JOIN "&amp;J365&amp;" "&amp;K365,"SELECT '"&amp;UPPER(B365)&amp;"' AS TABELA, '"&amp;UPPER(C365)&amp;"' AS TIPOLOGIA_TESTE,'"&amp;D365&amp;"' AS TABELA_LT,'"&amp;E365&amp;"' AS TABELA_SIMUL,'"&amp;F365&amp;"' AS CAMPO, "&amp;"'${ref_date}' AS REF_DATE, COUNT(*) AS NUM_REG, SUM(IF(COALESCE(CAST(X."&amp;F365&amp;" AS STRING),'')&lt;&gt;COALESCE(CAST(Y."&amp;F365&amp;"_SIMUL AS STRING),''),1,0)) AS NUM_REG_DIF,'"&amp;MAX('ID1&amp;5'!L:L)+1&amp;"' AS ID_EXEC, CURRENT_TIMESTAMP() AS TIME_EXEC FROM "&amp;I365&amp;" INNER JOIN "&amp;J365&amp;" "&amp;K365),
IF(C365="Validade",+IF(G365="Code List","SELECT '"&amp;UPPER(B365)&amp;"' AS TABELA, '"&amp;UPPER(C365)&amp;"' AS TIPOLOGIA_TESTE,'"&amp;D365&amp;"' AS TABELA_LT,'N/A' AS TABELA_SIMUL,'"&amp;F365&amp;"' AS CAMPO, "&amp;"'${ref_date}' AS REF_DATE, COUNT(*) AS NUM_REG, SUM(IF(TRIM(CAST(X."&amp;F365&amp;" AS STRING))='' OR TRIM(CAST(X."&amp;F365&amp;" AS STRING)) IS NULL OR CAST(X."&amp;F365&amp;" AS STRING) NOT "&amp;H365&amp;",1,0)) AS NUM_REG_DIF,'"&amp;MAX('ID1&amp;5'!K:K)+1&amp;"' AS ID_EXEC, CURRENT_TIMESTAMP() AS TIME_EXEC FROM "&amp;I365,"SELECT '"&amp;UPPER(B365)&amp;"' AS TABELA, '"&amp;UPPER(C365)&amp;"' AS TIPOLOGIA_TESTE,'"&amp;D365&amp;"' AS TABELA_LT,'N/A' AS TABELA_SIMUL,'"&amp;F365&amp;"' AS CAMPO, "&amp;"'${ref_date}' AS REF_DATE, COUNT(*) AS NUM_REG, SUM(IF(TRIM(CAST(X."&amp;F365&amp;" AS STRING))='' OR TRIM(CAST(X."&amp;F365&amp;" AS STRING)) IS NULL,1,0)) AS NUM_REG_DIF,'"&amp;MAX('ID1&amp;5'!K:K)+1&amp;"' AS ID_EXEC, CURRENT_TIMESTAMP() AS TIME_EXEC FROM "&amp;I365),
IF(C365="Caracteres Especiais",+"SELECT '"&amp;UPPER(B365)&amp;"' AS TABELA, '"&amp;UPPER(C365)&amp;"' AS TIPOLOGIA_TESTE,'"&amp;D365&amp;"' AS TABELA_LT,'N/A' AS TABELA_SIMUL,'"&amp;F365&amp;"' AS CAMPO, "&amp;"'${ref_date}' AS REF_DATE, COUNT(*) AS NUM_REG, SUM(IF(INSTR(CAST(X."&amp;F365&amp;" AS STRING),'#')&gt;0 OR INSTR(CAST(X."&amp;F365&amp;" AS STRING),'*')&gt;0 OR INSTR(CAST(X."&amp;F365&amp;" AS STRING),'`')&gt;0 OR INSTR(CAST(X."&amp;F365&amp;" AS STRING),'´')&gt;0 OR INSTR(CAST(X."&amp;F365&amp;" AS STRING),'{')&gt;0 OR INSTR(CAST(X."&amp;F365&amp;" AS STRING),'}')&gt;0 OR INSTR(CAST(X."&amp;F365&amp;" AS STRING),'[')&gt;0 OR INSTR(CAST(X."&amp;F365&amp;" AS STRING),'')&gt;0 OR INSTR(CAST(X."&amp;F365&amp;" AS STRING),']')&gt;0 OR INSTR(CAST(X."&amp;F365&amp;" AS STRING),'?')&gt;0 OR INSTR(CAST(X."&amp;F365&amp;" AS STRING),'!')&gt;0 OR INSTR(CAST(X."&amp;F365&amp;" AS STRING),'$')&gt;0 OR INSTR(CAST(X."&amp;F365&amp;" AS STRING),'%')&gt;0 OR INSTR(CAST(X."&amp;F365&amp;" AS STRING),'&amp;')&gt;0 OR INSTR(CAST(X."&amp;F365&amp;" AS STRING),'+')&gt;0,1,0)) AS NUM_REG_DIF,'"&amp;MAX('ID1&amp;5'!K:K)+1&amp;"' AS ID_EXEC, CURRENT_TIMESTAMP() AS TIME_EXEC FROM "&amp;I365,
IF(C365="Missings",+"SELECT '"&amp;UPPER(B365)&amp;"' AS TABELA, '"&amp;UPPER(C365)&amp;"' AS TIPOLOGIA_TESTE,'"&amp;D365&amp;"' AS TABELA_LT,'N/A' AS TABELA_SIMUL,'"&amp;F365&amp;"' AS CAMPO, "&amp;"'${ref_date}' AS REF_DATE, COUNT(*) AS NUM_REG, SUM(IF(TRIM(CAST(X."&amp;F365&amp;" AS STRING)) IN ('0000-00-00','0001-01-01','9999-12-31','MISS','00000','99999999999','99999999999.00','99999999999.000000'),1,0)) AS NUM_REG_DIF,'"&amp;MAX('ID1&amp;5'!K:K)+1&amp;"' AS ID_EXEC, CURRENT_TIMESTAMP() AS TIME_EXEC FROM "&amp;I365,
IF(C365="Not applicable",+"SELECT '"&amp;UPPER(B365)&amp;"' AS TABELA, '"&amp;UPPER(C365)&amp;"' AS TIPOLOGIA_TESTE,'"&amp;D365&amp;"' AS TABELA_LT,'N/A' AS TABELA_SIMUL,'"&amp;F365&amp;"' AS CAMPO, "&amp;"'${ref_date}' AS REF_DATE, COUNT(*) AS NUM_REG, SUM(IF(TRIM(CAST(X."&amp;F365&amp;" AS STRING)) IN ('N/A','11111111111','11111111111.00','11111111111.000000','1111-11-11'),1,0)) AS NUM_REG_DIF,'"&amp;MAX('ID1&amp;5'!K:K)+1&amp;"' AS ID_EXEC, CURRENT_TIMESTAMP() AS TIME_EXEC FROM "&amp;I365,
IF(C365="Valores extremos",+"SELECT '"&amp;UPPER(B365)&amp;"' AS TABELA, '"&amp;UPPER(C365)&amp;"' AS TIPOLOGIA_TESTE,'"&amp;D365&amp;"' AS TABELA_LT,'N/A' AS TABELA_SIMUL,'"&amp;F365&amp;"' AS CAMPO, "&amp;"'${ref_date}' AS REF_DATE, CAST(MIN("&amp;F365&amp;") AS STRING) AS VALOR_MIN, CAST(MAX("&amp;F365&amp;") AS STRING) AS VALOR_MAX,'"&amp;MAX('ID1&amp;5'!K:K)+1&amp;"' AS ID_EXEC, CURRENT_TIMESTAMP() AS TIME_EXEC FROM "&amp;MID(I365,1,LEN(I365)-2)&amp;" AND CAST("&amp;F365&amp;"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TABELA_SIMUL,'TYP_PRTCTN' AS CAMPO, '${ref_date}' AS REF_DATE, COUNT(*) AS NUM_REG, SUM(IF(TRIM(CAST(X.TYP_PRTCTN AS STRING)) IN ('0000-00-00','0001-01-01','9999-12-31','MISS','00000','99999999999','99999999999.00','99999999999.000000'),1,0)) AS NUM_REG_DIF,'10' AS ID_EXEC, CURRENT_TIMESTAMP() AS TIME_EXEC FROM (SELECT prtctn_id, TYP_PRTCTN FROM BU_LOANTAPE_WORK.LT004_PROTECTION WHERE ref_date='${ref_date}' AND nome_perimetro='Individual Corporativo' AND segmento='ESTR' AND ambito='PILAR3')X</v>
      </c>
      <c r="M365" s="43" t="str">
        <f t="shared" si="5"/>
        <v>UNION ALL SELECT 'PROTECTION' AS TABELA, 'MISSINGS' AS TIPOLOGIA_TESTE,'BU_LOANTAPE_WORK.LT004_PROTECTION' AS TABELA_LT,'N/A' AS TABELA_SIMUL,'TYP_PRTCTN' AS CAMPO, '${ref_date}' AS REF_DATE, COUNT(*) AS NUM_REG, SUM(IF(TRIM(CAST(X.TYP_PRTCTN AS STRING)) IN ('0000-00-00','0001-01-01','9999-12-31','MISS','00000','99999999999','99999999999.00','99999999999.000000'),1,0)) AS NUM_REG_DIF,'10' AS ID_EXEC, CURRENT_TIMESTAMP() AS TIME_EXEC FROM (SELECT prtctn_id, TYP_PRTCTN FROM BU_LOANTAPE_WORK.LT004_PROTECTION WHERE ref_date='${ref_date}' AND nome_perimetro='Individual Corporativo' AND segmento='ESTR' AND ambito='PILAR3')X</v>
      </c>
      <c r="N365" s="45" t="s">
        <v>13</v>
      </c>
    </row>
    <row r="366" spans="2:14">
      <c r="B366" s="41" t="s">
        <v>31</v>
      </c>
      <c r="C366" s="41" t="s">
        <v>77</v>
      </c>
      <c r="D366" s="41" t="str">
        <f>+UPPER('0. Instruções'!$D$33&amp;"."&amp;VLOOKUP(B366,'0. Instruções'!$C$27:$D$31,2,FALSE))</f>
        <v>BU_LOANTAPE_WORK.LT004_PROTECTION</v>
      </c>
      <c r="E366" s="41" t="str">
        <f>+UPPER('0. Instruções'!$D$34&amp;"."&amp;VLOOKUP(B366,'0. Instruções'!$C$27:$E$31,3,FALSE))</f>
        <v>BU_LOANTAPE_WORK.LT004_PROTECTION_P3_NOV24</v>
      </c>
      <c r="F366" s="41" t="s">
        <v>194</v>
      </c>
      <c r="G366" s="41" t="s">
        <v>13</v>
      </c>
      <c r="H366" s="41"/>
      <c r="I366" s="41" t="str">
        <f>"(SELECT "&amp;VLOOKUP(B366,'0. Instruções'!$C$27:$G$31,4,FALSE)&amp;", "&amp;F366&amp;" FROM "&amp;D366&amp;" WHERE "&amp;'0. Instruções'!$D$40&amp;")X"</f>
        <v>(SELECT prtctn_id, ORGNL_PRTCTN_VL FROM BU_LOANTAPE_WORK.LT004_PROTECTION WHERE ref_date='${ref_date}' AND nome_perimetro='Individual Corporativo' AND segmento='ESTR' AND ambito='PILAR3')X</v>
      </c>
      <c r="J366" s="41" t="str">
        <f>"(SELECT "&amp;VLOOKUP(B366,'0. Instruções'!$C$27:$G$31,4,FALSE)&amp;" AS "&amp;VLOOKUP(B366,'0. Instruções'!$C$27:$G$31,4,FALSE)&amp;"_SIMUL, "&amp;F366&amp;" AS "&amp;F366&amp;"_SIMUL FROM "&amp;E366&amp;")Y"</f>
        <v>(SELECT prtctn_id AS prtctn_id_SIMUL, ORGNL_PRTCTN_VL AS ORGNL_PRTCTN_VL_SIMUL FROM BU_LOANTAPE_WORK.LT004_PROTECTION_P3_NOV24)Y</v>
      </c>
      <c r="K366" s="42" t="str">
        <f>+UPPER("ON X."&amp;VLOOKUP(B366,'0. Instruções'!$C$27:$G$31,4,FALSE)&amp;"=Y."&amp;VLOOKUP(B366,'0. Instruções'!$C$27:$G$31,4,FALSE)&amp;"_SIMUL")</f>
        <v>ON X.PRTCTN_ID=Y.PRTCTN_ID_SIMUL</v>
      </c>
      <c r="L366" s="42" t="str">
        <f>+IF(C366="Coerência", +IF(LEFT(G366,5)="FLOAT","SELECT '"&amp;UPPER(B366)&amp;"' AS TABELA, '"&amp;UPPER(C366)&amp;"' AS TIPOLOGIA_TESTE,'"&amp;D366&amp;"' AS TABELA_LT,'"&amp;E366&amp;"' AS TABELA_SIMUL,'"&amp;F366&amp;"' AS CAMPO, "&amp;"'${ref_date}' AS REF_DATE, COUNT(*) AS NUM_REG, SUM(IF((ABS(COALESCE(X."&amp;F366&amp;",0)-COALESCE(Y."&amp;F366&amp;"_SIMUL,0))&gt;0.0000000001) OR (X."&amp;F366&amp;" IS NULL AND Y."&amp;F366&amp;"_SIMUL IS NOT NULL ) OR (X."&amp;F366&amp;" IS NOT NULL AND Y."&amp;F366&amp;"_SIMUL IS NULL),1,0)) AS NUM_REG_DIF,'"&amp;MAX('ID1&amp;5'!K:K)+1&amp;"' AS ID_EXEC, CURRENT_TIMESTAMP() AS TIME_EXEC FROM "&amp;I366&amp;" INNER JOIN "&amp;J366&amp;" "&amp;K366,"SELECT '"&amp;UPPER(B366)&amp;"' AS TABELA, '"&amp;UPPER(C366)&amp;"' AS TIPOLOGIA_TESTE,'"&amp;D366&amp;"' AS TABELA_LT,'"&amp;E366&amp;"' AS TABELA_SIMUL,'"&amp;F366&amp;"' AS CAMPO, "&amp;"'${ref_date}' AS REF_DATE, COUNT(*) AS NUM_REG, SUM(IF(COALESCE(CAST(X."&amp;F366&amp;" AS STRING),'')&lt;&gt;COALESCE(CAST(Y."&amp;F366&amp;"_SIMUL AS STRING),''),1,0)) AS NUM_REG_DIF,'"&amp;MAX('ID1&amp;5'!L:L)+1&amp;"' AS ID_EXEC, CURRENT_TIMESTAMP() AS TIME_EXEC FROM "&amp;I366&amp;" INNER JOIN "&amp;J366&amp;" "&amp;K366),
IF(C366="Validade",+IF(G366="Code List","SELECT '"&amp;UPPER(B366)&amp;"' AS TABELA, '"&amp;UPPER(C366)&amp;"' AS TIPOLOGIA_TESTE,'"&amp;D366&amp;"' AS TABELA_LT,'N/A' AS TABELA_SIMUL,'"&amp;F366&amp;"' AS CAMPO, "&amp;"'${ref_date}' AS REF_DATE, COUNT(*) AS NUM_REG, SUM(IF(TRIM(CAST(X."&amp;F366&amp;" AS STRING))='' OR TRIM(CAST(X."&amp;F366&amp;" AS STRING)) IS NULL OR CAST(X."&amp;F366&amp;" AS STRING) NOT "&amp;H366&amp;",1,0)) AS NUM_REG_DIF,'"&amp;MAX('ID1&amp;5'!K:K)+1&amp;"' AS ID_EXEC, CURRENT_TIMESTAMP() AS TIME_EXEC FROM "&amp;I366,"SELECT '"&amp;UPPER(B366)&amp;"' AS TABELA, '"&amp;UPPER(C366)&amp;"' AS TIPOLOGIA_TESTE,'"&amp;D366&amp;"' AS TABELA_LT,'N/A' AS TABELA_SIMUL,'"&amp;F366&amp;"' AS CAMPO, "&amp;"'${ref_date}' AS REF_DATE, COUNT(*) AS NUM_REG, SUM(IF(TRIM(CAST(X."&amp;F366&amp;" AS STRING))='' OR TRIM(CAST(X."&amp;F366&amp;" AS STRING)) IS NULL,1,0)) AS NUM_REG_DIF,'"&amp;MAX('ID1&amp;5'!K:K)+1&amp;"' AS ID_EXEC, CURRENT_TIMESTAMP() AS TIME_EXEC FROM "&amp;I366),
IF(C366="Caracteres Especiais",+"SELECT '"&amp;UPPER(B366)&amp;"' AS TABELA, '"&amp;UPPER(C366)&amp;"' AS TIPOLOGIA_TESTE,'"&amp;D366&amp;"' AS TABELA_LT,'N/A' AS TABELA_SIMUL,'"&amp;F366&amp;"' AS CAMPO, "&amp;"'${ref_date}' AS REF_DATE, COUNT(*) AS NUM_REG, SUM(IF(INSTR(CAST(X."&amp;F366&amp;" AS STRING),'#')&gt;0 OR INSTR(CAST(X."&amp;F366&amp;" AS STRING),'*')&gt;0 OR INSTR(CAST(X."&amp;F366&amp;" AS STRING),'`')&gt;0 OR INSTR(CAST(X."&amp;F366&amp;" AS STRING),'´')&gt;0 OR INSTR(CAST(X."&amp;F366&amp;" AS STRING),'{')&gt;0 OR INSTR(CAST(X."&amp;F366&amp;" AS STRING),'}')&gt;0 OR INSTR(CAST(X."&amp;F366&amp;" AS STRING),'[')&gt;0 OR INSTR(CAST(X."&amp;F366&amp;" AS STRING),'')&gt;0 OR INSTR(CAST(X."&amp;F366&amp;" AS STRING),']')&gt;0 OR INSTR(CAST(X."&amp;F366&amp;" AS STRING),'?')&gt;0 OR INSTR(CAST(X."&amp;F366&amp;" AS STRING),'!')&gt;0 OR INSTR(CAST(X."&amp;F366&amp;" AS STRING),'$')&gt;0 OR INSTR(CAST(X."&amp;F366&amp;" AS STRING),'%')&gt;0 OR INSTR(CAST(X."&amp;F366&amp;" AS STRING),'&amp;')&gt;0 OR INSTR(CAST(X."&amp;F366&amp;" AS STRING),'+')&gt;0,1,0)) AS NUM_REG_DIF,'"&amp;MAX('ID1&amp;5'!K:K)+1&amp;"' AS ID_EXEC, CURRENT_TIMESTAMP() AS TIME_EXEC FROM "&amp;I366,
IF(C366="Missings",+"SELECT '"&amp;UPPER(B366)&amp;"' AS TABELA, '"&amp;UPPER(C366)&amp;"' AS TIPOLOGIA_TESTE,'"&amp;D366&amp;"' AS TABELA_LT,'N/A' AS TABELA_SIMUL,'"&amp;F366&amp;"' AS CAMPO, "&amp;"'${ref_date}' AS REF_DATE, COUNT(*) AS NUM_REG, SUM(IF(TRIM(CAST(X."&amp;F366&amp;" AS STRING)) IN ('0000-00-00','0001-01-01','9999-12-31','MISS','00000','99999999999','99999999999.00','99999999999.000000'),1,0)) AS NUM_REG_DIF,'"&amp;MAX('ID1&amp;5'!K:K)+1&amp;"' AS ID_EXEC, CURRENT_TIMESTAMP() AS TIME_EXEC FROM "&amp;I366,
IF(C366="Not applicable",+"SELECT '"&amp;UPPER(B366)&amp;"' AS TABELA, '"&amp;UPPER(C366)&amp;"' AS TIPOLOGIA_TESTE,'"&amp;D366&amp;"' AS TABELA_LT,'N/A' AS TABELA_SIMUL,'"&amp;F366&amp;"' AS CAMPO, "&amp;"'${ref_date}' AS REF_DATE, COUNT(*) AS NUM_REG, SUM(IF(TRIM(CAST(X."&amp;F366&amp;" AS STRING)) IN ('N/A','11111111111','11111111111.00','11111111111.000000','1111-11-11'),1,0)) AS NUM_REG_DIF,'"&amp;MAX('ID1&amp;5'!K:K)+1&amp;"' AS ID_EXEC, CURRENT_TIMESTAMP() AS TIME_EXEC FROM "&amp;I366,
IF(C366="Valores extremos",+"SELECT '"&amp;UPPER(B366)&amp;"' AS TABELA, '"&amp;UPPER(C366)&amp;"' AS TIPOLOGIA_TESTE,'"&amp;D366&amp;"' AS TABELA_LT,'N/A' AS TABELA_SIMUL,'"&amp;F366&amp;"' AS CAMPO, "&amp;"'${ref_date}' AS REF_DATE, CAST(MIN("&amp;F366&amp;") AS STRING) AS VALOR_MIN, CAST(MAX("&amp;F366&amp;") AS STRING) AS VALOR_MAX,'"&amp;MAX('ID1&amp;5'!K:K)+1&amp;"' AS ID_EXEC, CURRENT_TIMESTAMP() AS TIME_EXEC FROM "&amp;MID(I366,1,LEN(I366)-2)&amp;" AND CAST("&amp;F366&amp;"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TABELA_SIMUL,'ORGNL_PRTCTN_VL' AS CAMPO, '${ref_date}' AS REF_DATE, COUNT(*) AS NUM_REG, SUM(IF(TRIM(CAST(X.ORGNL_PRTCTN_VL AS STRING)) IN ('0000-00-00','0001-01-01','9999-12-31','MISS','00000','99999999999','99999999999.00','99999999999.000000'),1,0)) AS NUM_REG_DIF,'10' AS ID_EXEC, CURRENT_TIMESTAMP() AS TIME_EXEC FROM (SELECT prtctn_id, ORGNL_PRTCTN_VL FROM BU_LOANTAPE_WORK.LT004_PROTECTION WHERE ref_date='${ref_date}' AND nome_perimetro='Individual Corporativo' AND segmento='ESTR' AND ambito='PILAR3')X</v>
      </c>
      <c r="M366" s="43" t="str">
        <f t="shared" ref="M366:M422" si="6">+"UNION ALL "&amp;L366</f>
        <v>UNION ALL SELECT 'PROTECTION' AS TABELA, 'MISSINGS' AS TIPOLOGIA_TESTE,'BU_LOANTAPE_WORK.LT004_PROTECTION' AS TABELA_LT,'N/A' AS TABELA_SIMUL,'ORGNL_PRTCTN_VL' AS CAMPO, '${ref_date}' AS REF_DATE, COUNT(*) AS NUM_REG, SUM(IF(TRIM(CAST(X.ORGNL_PRTCTN_VL AS STRING)) IN ('0000-00-00','0001-01-01','9999-12-31','MISS','00000','99999999999','99999999999.00','99999999999.000000'),1,0)) AS NUM_REG_DIF,'10' AS ID_EXEC, CURRENT_TIMESTAMP() AS TIME_EXEC FROM (SELECT prtctn_id, ORGNL_PRTCTN_VL FROM BU_LOANTAPE_WORK.LT004_PROTECTION WHERE ref_date='${ref_date}' AND nome_perimetro='Individual Corporativo' AND segmento='ESTR' AND ambito='PILAR3')X</v>
      </c>
      <c r="N366" s="45" t="s">
        <v>13</v>
      </c>
    </row>
    <row r="367" spans="2:14">
      <c r="B367" s="41" t="s">
        <v>31</v>
      </c>
      <c r="C367" s="41" t="s">
        <v>77</v>
      </c>
      <c r="D367" s="41" t="str">
        <f>+UPPER('0. Instruções'!$D$33&amp;"."&amp;VLOOKUP(B367,'0. Instruções'!$C$27:$D$31,2,FALSE))</f>
        <v>BU_LOANTAPE_WORK.LT004_PROTECTION</v>
      </c>
      <c r="E367" s="41" t="str">
        <f>+UPPER('0. Instruções'!$D$34&amp;"."&amp;VLOOKUP(B367,'0. Instruções'!$C$27:$E$31,3,FALSE))</f>
        <v>BU_LOANTAPE_WORK.LT004_PROTECTION_P3_NOV24</v>
      </c>
      <c r="F367" s="41" t="s">
        <v>195</v>
      </c>
      <c r="G367" s="41" t="s">
        <v>13</v>
      </c>
      <c r="H367" s="41"/>
      <c r="I367" s="41" t="str">
        <f>"(SELECT "&amp;VLOOKUP(B367,'0. Instruções'!$C$27:$G$31,4,FALSE)&amp;", "&amp;F367&amp;" FROM "&amp;D367&amp;" WHERE "&amp;'0. Instruções'!$D$40&amp;")X"</f>
        <v>(SELECT prtctn_id, PRTCTN_VL FROM BU_LOANTAPE_WORK.LT004_PROTECTION WHERE ref_date='${ref_date}' AND nome_perimetro='Individual Corporativo' AND segmento='ESTR' AND ambito='PILAR3')X</v>
      </c>
      <c r="J367" s="41" t="str">
        <f>"(SELECT "&amp;VLOOKUP(B367,'0. Instruções'!$C$27:$G$31,4,FALSE)&amp;" AS "&amp;VLOOKUP(B367,'0. Instruções'!$C$27:$G$31,4,FALSE)&amp;"_SIMUL, "&amp;F367&amp;" AS "&amp;F367&amp;"_SIMUL FROM "&amp;E367&amp;")Y"</f>
        <v>(SELECT prtctn_id AS prtctn_id_SIMUL, PRTCTN_VL AS PRTCTN_VL_SIMUL FROM BU_LOANTAPE_WORK.LT004_PROTECTION_P3_NOV24)Y</v>
      </c>
      <c r="K367" s="42" t="str">
        <f>+UPPER("ON X."&amp;VLOOKUP(B367,'0. Instruções'!$C$27:$G$31,4,FALSE)&amp;"=Y."&amp;VLOOKUP(B367,'0. Instruções'!$C$27:$G$31,4,FALSE)&amp;"_SIMUL")</f>
        <v>ON X.PRTCTN_ID=Y.PRTCTN_ID_SIMUL</v>
      </c>
      <c r="L367" s="42" t="str">
        <f>+IF(C367="Coerência", +IF(LEFT(G367,5)="FLOAT","SELECT '"&amp;UPPER(B367)&amp;"' AS TABELA, '"&amp;UPPER(C367)&amp;"' AS TIPOLOGIA_TESTE,'"&amp;D367&amp;"' AS TABELA_LT,'"&amp;E367&amp;"' AS TABELA_SIMUL,'"&amp;F367&amp;"' AS CAMPO, "&amp;"'${ref_date}' AS REF_DATE, COUNT(*) AS NUM_REG, SUM(IF((ABS(COALESCE(X."&amp;F367&amp;",0)-COALESCE(Y."&amp;F367&amp;"_SIMUL,0))&gt;0.0000000001) OR (X."&amp;F367&amp;" IS NULL AND Y."&amp;F367&amp;"_SIMUL IS NOT NULL ) OR (X."&amp;F367&amp;" IS NOT NULL AND Y."&amp;F367&amp;"_SIMUL IS NULL),1,0)) AS NUM_REG_DIF,'"&amp;MAX('ID1&amp;5'!K:K)+1&amp;"' AS ID_EXEC, CURRENT_TIMESTAMP() AS TIME_EXEC FROM "&amp;I367&amp;" INNER JOIN "&amp;J367&amp;" "&amp;K367,"SELECT '"&amp;UPPER(B367)&amp;"' AS TABELA, '"&amp;UPPER(C367)&amp;"' AS TIPOLOGIA_TESTE,'"&amp;D367&amp;"' AS TABELA_LT,'"&amp;E367&amp;"' AS TABELA_SIMUL,'"&amp;F367&amp;"' AS CAMPO, "&amp;"'${ref_date}' AS REF_DATE, COUNT(*) AS NUM_REG, SUM(IF(COALESCE(CAST(X."&amp;F367&amp;" AS STRING),'')&lt;&gt;COALESCE(CAST(Y."&amp;F367&amp;"_SIMUL AS STRING),''),1,0)) AS NUM_REG_DIF,'"&amp;MAX('ID1&amp;5'!L:L)+1&amp;"' AS ID_EXEC, CURRENT_TIMESTAMP() AS TIME_EXEC FROM "&amp;I367&amp;" INNER JOIN "&amp;J367&amp;" "&amp;K367),
IF(C367="Validade",+IF(G367="Code List","SELECT '"&amp;UPPER(B367)&amp;"' AS TABELA, '"&amp;UPPER(C367)&amp;"' AS TIPOLOGIA_TESTE,'"&amp;D367&amp;"' AS TABELA_LT,'N/A' AS TABELA_SIMUL,'"&amp;F367&amp;"' AS CAMPO, "&amp;"'${ref_date}' AS REF_DATE, COUNT(*) AS NUM_REG, SUM(IF(TRIM(CAST(X."&amp;F367&amp;" AS STRING))='' OR TRIM(CAST(X."&amp;F367&amp;" AS STRING)) IS NULL OR CAST(X."&amp;F367&amp;" AS STRING) NOT "&amp;H367&amp;",1,0)) AS NUM_REG_DIF,'"&amp;MAX('ID1&amp;5'!K:K)+1&amp;"' AS ID_EXEC, CURRENT_TIMESTAMP() AS TIME_EXEC FROM "&amp;I367,"SELECT '"&amp;UPPER(B367)&amp;"' AS TABELA, '"&amp;UPPER(C367)&amp;"' AS TIPOLOGIA_TESTE,'"&amp;D367&amp;"' AS TABELA_LT,'N/A' AS TABELA_SIMUL,'"&amp;F367&amp;"' AS CAMPO, "&amp;"'${ref_date}' AS REF_DATE, COUNT(*) AS NUM_REG, SUM(IF(TRIM(CAST(X."&amp;F367&amp;" AS STRING))='' OR TRIM(CAST(X."&amp;F367&amp;" AS STRING)) IS NULL,1,0)) AS NUM_REG_DIF,'"&amp;MAX('ID1&amp;5'!K:K)+1&amp;"' AS ID_EXEC, CURRENT_TIMESTAMP() AS TIME_EXEC FROM "&amp;I367),
IF(C367="Caracteres Especiais",+"SELECT '"&amp;UPPER(B367)&amp;"' AS TABELA, '"&amp;UPPER(C367)&amp;"' AS TIPOLOGIA_TESTE,'"&amp;D367&amp;"' AS TABELA_LT,'N/A' AS TABELA_SIMUL,'"&amp;F367&amp;"' AS CAMPO, "&amp;"'${ref_date}' AS REF_DATE, COUNT(*) AS NUM_REG, SUM(IF(INSTR(CAST(X."&amp;F367&amp;" AS STRING),'#')&gt;0 OR INSTR(CAST(X."&amp;F367&amp;" AS STRING),'*')&gt;0 OR INSTR(CAST(X."&amp;F367&amp;" AS STRING),'`')&gt;0 OR INSTR(CAST(X."&amp;F367&amp;" AS STRING),'´')&gt;0 OR INSTR(CAST(X."&amp;F367&amp;" AS STRING),'{')&gt;0 OR INSTR(CAST(X."&amp;F367&amp;" AS STRING),'}')&gt;0 OR INSTR(CAST(X."&amp;F367&amp;" AS STRING),'[')&gt;0 OR INSTR(CAST(X."&amp;F367&amp;" AS STRING),'')&gt;0 OR INSTR(CAST(X."&amp;F367&amp;" AS STRING),']')&gt;0 OR INSTR(CAST(X."&amp;F367&amp;" AS STRING),'?')&gt;0 OR INSTR(CAST(X."&amp;F367&amp;" AS STRING),'!')&gt;0 OR INSTR(CAST(X."&amp;F367&amp;" AS STRING),'$')&gt;0 OR INSTR(CAST(X."&amp;F367&amp;" AS STRING),'%')&gt;0 OR INSTR(CAST(X."&amp;F367&amp;" AS STRING),'&amp;')&gt;0 OR INSTR(CAST(X."&amp;F367&amp;" AS STRING),'+')&gt;0,1,0)) AS NUM_REG_DIF,'"&amp;MAX('ID1&amp;5'!K:K)+1&amp;"' AS ID_EXEC, CURRENT_TIMESTAMP() AS TIME_EXEC FROM "&amp;I367,
IF(C367="Missings",+"SELECT '"&amp;UPPER(B367)&amp;"' AS TABELA, '"&amp;UPPER(C367)&amp;"' AS TIPOLOGIA_TESTE,'"&amp;D367&amp;"' AS TABELA_LT,'N/A' AS TABELA_SIMUL,'"&amp;F367&amp;"' AS CAMPO, "&amp;"'${ref_date}' AS REF_DATE, COUNT(*) AS NUM_REG, SUM(IF(TRIM(CAST(X."&amp;F367&amp;" AS STRING)) IN ('0000-00-00','0001-01-01','9999-12-31','MISS','00000','99999999999','99999999999.00','99999999999.000000'),1,0)) AS NUM_REG_DIF,'"&amp;MAX('ID1&amp;5'!K:K)+1&amp;"' AS ID_EXEC, CURRENT_TIMESTAMP() AS TIME_EXEC FROM "&amp;I367,
IF(C367="Not applicable",+"SELECT '"&amp;UPPER(B367)&amp;"' AS TABELA, '"&amp;UPPER(C367)&amp;"' AS TIPOLOGIA_TESTE,'"&amp;D367&amp;"' AS TABELA_LT,'N/A' AS TABELA_SIMUL,'"&amp;F367&amp;"' AS CAMPO, "&amp;"'${ref_date}' AS REF_DATE, COUNT(*) AS NUM_REG, SUM(IF(TRIM(CAST(X."&amp;F367&amp;" AS STRING)) IN ('N/A','11111111111','11111111111.00','11111111111.000000','1111-11-11'),1,0)) AS NUM_REG_DIF,'"&amp;MAX('ID1&amp;5'!K:K)+1&amp;"' AS ID_EXEC, CURRENT_TIMESTAMP() AS TIME_EXEC FROM "&amp;I367,
IF(C367="Valores extremos",+"SELECT '"&amp;UPPER(B367)&amp;"' AS TABELA, '"&amp;UPPER(C367)&amp;"' AS TIPOLOGIA_TESTE,'"&amp;D367&amp;"' AS TABELA_LT,'N/A' AS TABELA_SIMUL,'"&amp;F367&amp;"' AS CAMPO, "&amp;"'${ref_date}' AS REF_DATE, CAST(MIN("&amp;F367&amp;") AS STRING) AS VALOR_MIN, CAST(MAX("&amp;F367&amp;") AS STRING) AS VALOR_MAX,'"&amp;MAX('ID1&amp;5'!K:K)+1&amp;"' AS ID_EXEC, CURRENT_TIMESTAMP() AS TIME_EXEC FROM "&amp;MID(I367,1,LEN(I367)-2)&amp;" AND CAST("&amp;F367&amp;"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TABELA_SIMUL,'PRTCTN_VL' AS CAMPO, '${ref_date}' AS REF_DATE, COUNT(*) AS NUM_REG, SUM(IF(TRIM(CAST(X.PRTCTN_VL AS STRING)) IN ('0000-00-00','0001-01-01','9999-12-31','MISS','00000','99999999999','99999999999.00','99999999999.000000'),1,0)) AS NUM_REG_DIF,'10' AS ID_EXEC, CURRENT_TIMESTAMP() AS TIME_EXEC FROM (SELECT prtctn_id, PRTCTN_VL FROM BU_LOANTAPE_WORK.LT004_PROTECTION WHERE ref_date='${ref_date}' AND nome_perimetro='Individual Corporativo' AND segmento='ESTR' AND ambito='PILAR3')X</v>
      </c>
      <c r="M367" s="43" t="str">
        <f t="shared" si="6"/>
        <v>UNION ALL SELECT 'PROTECTION' AS TABELA, 'MISSINGS' AS TIPOLOGIA_TESTE,'BU_LOANTAPE_WORK.LT004_PROTECTION' AS TABELA_LT,'N/A' AS TABELA_SIMUL,'PRTCTN_VL' AS CAMPO, '${ref_date}' AS REF_DATE, COUNT(*) AS NUM_REG, SUM(IF(TRIM(CAST(X.PRTCTN_VL AS STRING)) IN ('0000-00-00','0001-01-01','9999-12-31','MISS','00000','99999999999','99999999999.00','99999999999.000000'),1,0)) AS NUM_REG_DIF,'10' AS ID_EXEC, CURRENT_TIMESTAMP() AS TIME_EXEC FROM (SELECT prtctn_id, PRTCTN_VL FROM BU_LOANTAPE_WORK.LT004_PROTECTION WHERE ref_date='${ref_date}' AND nome_perimetro='Individual Corporativo' AND segmento='ESTR' AND ambito='PILAR3')X</v>
      </c>
      <c r="N367" s="45" t="s">
        <v>13</v>
      </c>
    </row>
    <row r="368" spans="2:14">
      <c r="B368" s="41" t="s">
        <v>31</v>
      </c>
      <c r="C368" s="41" t="s">
        <v>77</v>
      </c>
      <c r="D368" s="41" t="str">
        <f>+UPPER('0. Instruções'!$D$33&amp;"."&amp;VLOOKUP(B368,'0. Instruções'!$C$27:$D$31,2,FALSE))</f>
        <v>BU_LOANTAPE_WORK.LT004_PROTECTION</v>
      </c>
      <c r="E368" s="41" t="str">
        <f>+UPPER('0. Instruções'!$D$34&amp;"."&amp;VLOOKUP(B368,'0. Instruções'!$C$27:$E$31,3,FALSE))</f>
        <v>BU_LOANTAPE_WORK.LT004_PROTECTION_P3_NOV24</v>
      </c>
      <c r="F368" s="41" t="s">
        <v>173</v>
      </c>
      <c r="G368" s="41" t="s">
        <v>13</v>
      </c>
      <c r="H368" s="41"/>
      <c r="I368" s="41" t="str">
        <f>"(SELECT "&amp;VLOOKUP(B368,'0. Instruções'!$C$27:$G$31,4,FALSE)&amp;", "&amp;F368&amp;" FROM "&amp;D368&amp;" WHERE "&amp;'0. Instruções'!$D$40&amp;")X"</f>
        <v>(SELECT prtctn_id, COD_SOC FROM BU_LOANTAPE_WORK.LT004_PROTECTION WHERE ref_date='${ref_date}' AND nome_perimetro='Individual Corporativo' AND segmento='ESTR' AND ambito='PILAR3')X</v>
      </c>
      <c r="J368" s="41" t="str">
        <f>"(SELECT "&amp;VLOOKUP(B368,'0. Instruções'!$C$27:$G$31,4,FALSE)&amp;" AS "&amp;VLOOKUP(B368,'0. Instruções'!$C$27:$G$31,4,FALSE)&amp;"_SIMUL, "&amp;F368&amp;" AS "&amp;F368&amp;"_SIMUL FROM "&amp;E368&amp;")Y"</f>
        <v>(SELECT prtctn_id AS prtctn_id_SIMUL, COD_SOC AS COD_SOC_SIMUL FROM BU_LOANTAPE_WORK.LT004_PROTECTION_P3_NOV24)Y</v>
      </c>
      <c r="K368" s="42" t="str">
        <f>+UPPER("ON X."&amp;VLOOKUP(B368,'0. Instruções'!$C$27:$G$31,4,FALSE)&amp;"=Y."&amp;VLOOKUP(B368,'0. Instruções'!$C$27:$G$31,4,FALSE)&amp;"_SIMUL")</f>
        <v>ON X.PRTCTN_ID=Y.PRTCTN_ID_SIMUL</v>
      </c>
      <c r="L368" s="42" t="str">
        <f>+IF(C368="Coerência", +IF(LEFT(G368,5)="FLOAT","SELECT '"&amp;UPPER(B368)&amp;"' AS TABELA, '"&amp;UPPER(C368)&amp;"' AS TIPOLOGIA_TESTE,'"&amp;D368&amp;"' AS TABELA_LT,'"&amp;E368&amp;"' AS TABELA_SIMUL,'"&amp;F368&amp;"' AS CAMPO, "&amp;"'${ref_date}' AS REF_DATE, COUNT(*) AS NUM_REG, SUM(IF((ABS(COALESCE(X."&amp;F368&amp;",0)-COALESCE(Y."&amp;F368&amp;"_SIMUL,0))&gt;0.0000000001) OR (X."&amp;F368&amp;" IS NULL AND Y."&amp;F368&amp;"_SIMUL IS NOT NULL ) OR (X."&amp;F368&amp;" IS NOT NULL AND Y."&amp;F368&amp;"_SIMUL IS NULL),1,0)) AS NUM_REG_DIF,'"&amp;MAX('ID1&amp;5'!K:K)+1&amp;"' AS ID_EXEC, CURRENT_TIMESTAMP() AS TIME_EXEC FROM "&amp;I368&amp;" INNER JOIN "&amp;J368&amp;" "&amp;K368,"SELECT '"&amp;UPPER(B368)&amp;"' AS TABELA, '"&amp;UPPER(C368)&amp;"' AS TIPOLOGIA_TESTE,'"&amp;D368&amp;"' AS TABELA_LT,'"&amp;E368&amp;"' AS TABELA_SIMUL,'"&amp;F368&amp;"' AS CAMPO, "&amp;"'${ref_date}' AS REF_DATE, COUNT(*) AS NUM_REG, SUM(IF(COALESCE(CAST(X."&amp;F368&amp;" AS STRING),'')&lt;&gt;COALESCE(CAST(Y."&amp;F368&amp;"_SIMUL AS STRING),''),1,0)) AS NUM_REG_DIF,'"&amp;MAX('ID1&amp;5'!L:L)+1&amp;"' AS ID_EXEC, CURRENT_TIMESTAMP() AS TIME_EXEC FROM "&amp;I368&amp;" INNER JOIN "&amp;J368&amp;" "&amp;K368),
IF(C368="Validade",+IF(G368="Code List","SELECT '"&amp;UPPER(B368)&amp;"' AS TABELA, '"&amp;UPPER(C368)&amp;"' AS TIPOLOGIA_TESTE,'"&amp;D368&amp;"' AS TABELA_LT,'N/A' AS TABELA_SIMUL,'"&amp;F368&amp;"' AS CAMPO, "&amp;"'${ref_date}' AS REF_DATE, COUNT(*) AS NUM_REG, SUM(IF(TRIM(CAST(X."&amp;F368&amp;" AS STRING))='' OR TRIM(CAST(X."&amp;F368&amp;" AS STRING)) IS NULL OR CAST(X."&amp;F368&amp;" AS STRING) NOT "&amp;H368&amp;",1,0)) AS NUM_REG_DIF,'"&amp;MAX('ID1&amp;5'!K:K)+1&amp;"' AS ID_EXEC, CURRENT_TIMESTAMP() AS TIME_EXEC FROM "&amp;I368,"SELECT '"&amp;UPPER(B368)&amp;"' AS TABELA, '"&amp;UPPER(C368)&amp;"' AS TIPOLOGIA_TESTE,'"&amp;D368&amp;"' AS TABELA_LT,'N/A' AS TABELA_SIMUL,'"&amp;F368&amp;"' AS CAMPO, "&amp;"'${ref_date}' AS REF_DATE, COUNT(*) AS NUM_REG, SUM(IF(TRIM(CAST(X."&amp;F368&amp;" AS STRING))='' OR TRIM(CAST(X."&amp;F368&amp;" AS STRING)) IS NULL,1,0)) AS NUM_REG_DIF,'"&amp;MAX('ID1&amp;5'!K:K)+1&amp;"' AS ID_EXEC, CURRENT_TIMESTAMP() AS TIME_EXEC FROM "&amp;I368),
IF(C368="Caracteres Especiais",+"SELECT '"&amp;UPPER(B368)&amp;"' AS TABELA, '"&amp;UPPER(C368)&amp;"' AS TIPOLOGIA_TESTE,'"&amp;D368&amp;"' AS TABELA_LT,'N/A' AS TABELA_SIMUL,'"&amp;F368&amp;"' AS CAMPO, "&amp;"'${ref_date}' AS REF_DATE, COUNT(*) AS NUM_REG, SUM(IF(INSTR(CAST(X."&amp;F368&amp;" AS STRING),'#')&gt;0 OR INSTR(CAST(X."&amp;F368&amp;" AS STRING),'*')&gt;0 OR INSTR(CAST(X."&amp;F368&amp;" AS STRING),'`')&gt;0 OR INSTR(CAST(X."&amp;F368&amp;" AS STRING),'´')&gt;0 OR INSTR(CAST(X."&amp;F368&amp;" AS STRING),'{')&gt;0 OR INSTR(CAST(X."&amp;F368&amp;" AS STRING),'}')&gt;0 OR INSTR(CAST(X."&amp;F368&amp;" AS STRING),'[')&gt;0 OR INSTR(CAST(X."&amp;F368&amp;" AS STRING),'')&gt;0 OR INSTR(CAST(X."&amp;F368&amp;" AS STRING),']')&gt;0 OR INSTR(CAST(X."&amp;F368&amp;" AS STRING),'?')&gt;0 OR INSTR(CAST(X."&amp;F368&amp;" AS STRING),'!')&gt;0 OR INSTR(CAST(X."&amp;F368&amp;" AS STRING),'$')&gt;0 OR INSTR(CAST(X."&amp;F368&amp;" AS STRING),'%')&gt;0 OR INSTR(CAST(X."&amp;F368&amp;" AS STRING),'&amp;')&gt;0 OR INSTR(CAST(X."&amp;F368&amp;" AS STRING),'+')&gt;0,1,0)) AS NUM_REG_DIF,'"&amp;MAX('ID1&amp;5'!K:K)+1&amp;"' AS ID_EXEC, CURRENT_TIMESTAMP() AS TIME_EXEC FROM "&amp;I368,
IF(C368="Missings",+"SELECT '"&amp;UPPER(B368)&amp;"' AS TABELA, '"&amp;UPPER(C368)&amp;"' AS TIPOLOGIA_TESTE,'"&amp;D368&amp;"' AS TABELA_LT,'N/A' AS TABELA_SIMUL,'"&amp;F368&amp;"' AS CAMPO, "&amp;"'${ref_date}' AS REF_DATE, COUNT(*) AS NUM_REG, SUM(IF(TRIM(CAST(X."&amp;F368&amp;" AS STRING)) IN ('0000-00-00','0001-01-01','9999-12-31','MISS','00000','99999999999','99999999999.00','99999999999.000000'),1,0)) AS NUM_REG_DIF,'"&amp;MAX('ID1&amp;5'!K:K)+1&amp;"' AS ID_EXEC, CURRENT_TIMESTAMP() AS TIME_EXEC FROM "&amp;I368,
IF(C368="Not applicable",+"SELECT '"&amp;UPPER(B368)&amp;"' AS TABELA, '"&amp;UPPER(C368)&amp;"' AS TIPOLOGIA_TESTE,'"&amp;D368&amp;"' AS TABELA_LT,'N/A' AS TABELA_SIMUL,'"&amp;F368&amp;"' AS CAMPO, "&amp;"'${ref_date}' AS REF_DATE, COUNT(*) AS NUM_REG, SUM(IF(TRIM(CAST(X."&amp;F368&amp;" AS STRING)) IN ('N/A','11111111111','11111111111.00','11111111111.000000','1111-11-11'),1,0)) AS NUM_REG_DIF,'"&amp;MAX('ID1&amp;5'!K:K)+1&amp;"' AS ID_EXEC, CURRENT_TIMESTAMP() AS TIME_EXEC FROM "&amp;I368,
IF(C368="Valores extremos",+"SELECT '"&amp;UPPER(B368)&amp;"' AS TABELA, '"&amp;UPPER(C368)&amp;"' AS TIPOLOGIA_TESTE,'"&amp;D368&amp;"' AS TABELA_LT,'N/A' AS TABELA_SIMUL,'"&amp;F368&amp;"' AS CAMPO, "&amp;"'${ref_date}' AS REF_DATE, CAST(MIN("&amp;F368&amp;") AS STRING) AS VALOR_MIN, CAST(MAX("&amp;F368&amp;") AS STRING) AS VALOR_MAX,'"&amp;MAX('ID1&amp;5'!K:K)+1&amp;"' AS ID_EXEC, CURRENT_TIMESTAMP() AS TIME_EXEC FROM "&amp;MID(I368,1,LEN(I368)-2)&amp;" AND CAST("&amp;F368&amp;" AS STRING) NOT IN ('0000-00-00','0001-01-01','9999-12-31','MISS','00000','99999999999','99999999999.00','99999999999.000000','N/A','11111111111','11111111111.00','11111111111.000000','1111-11-11'))X"))))))</f>
        <v>SELECT 'PROTECTION' AS TABELA, 'MISSINGS' AS TIPOLOGIA_TESTE,'BU_LOANTAPE_WORK.LT004_PROTECTION' AS TABELA_LT,'N/A' AS TABELA_SIMUL,'COD_SOC' AS CAMPO, '${ref_date}' AS REF_DATE, COUNT(*) AS NUM_REG, SUM(IF(TRIM(CAST(X.COD_SOC AS STRING)) IN ('0000-00-00','0001-01-01','9999-12-31','MISS','00000','99999999999','99999999999.00','99999999999.000000'),1,0)) AS NUM_REG_DIF,'10' AS ID_EXEC, CURRENT_TIMESTAMP() AS TIME_EXEC FROM (SELECT prtctn_id, COD_SOC FROM BU_LOANTAPE_WORK.LT004_PROTECTION WHERE ref_date='${ref_date}' AND nome_perimetro='Individual Corporativo' AND segmento='ESTR' AND ambito='PILAR3')X</v>
      </c>
      <c r="M368" s="43" t="str">
        <f t="shared" si="6"/>
        <v>UNION ALL SELECT 'PROTECTION' AS TABELA, 'MISSINGS' AS TIPOLOGIA_TESTE,'BU_LOANTAPE_WORK.LT004_PROTECTION' AS TABELA_LT,'N/A' AS TABELA_SIMUL,'COD_SOC' AS CAMPO, '${ref_date}' AS REF_DATE, COUNT(*) AS NUM_REG, SUM(IF(TRIM(CAST(X.COD_SOC AS STRING)) IN ('0000-00-00','0001-01-01','9999-12-31','MISS','00000','99999999999','99999999999.00','99999999999.000000'),1,0)) AS NUM_REG_DIF,'10' AS ID_EXEC, CURRENT_TIMESTAMP() AS TIME_EXEC FROM (SELECT prtctn_id, COD_SOC FROM BU_LOANTAPE_WORK.LT004_PROTECTION WHERE ref_date='${ref_date}' AND nome_perimetro='Individual Corporativo' AND segmento='ESTR' AND ambito='PILAR3')X</v>
      </c>
      <c r="N368" s="45" t="s">
        <v>13</v>
      </c>
    </row>
    <row r="369" spans="2:14">
      <c r="B369" s="41" t="s">
        <v>27</v>
      </c>
      <c r="C369" s="41" t="s">
        <v>78</v>
      </c>
      <c r="D369" s="41" t="str">
        <f>+UPPER('0. Instruções'!$D$33&amp;"."&amp;VLOOKUP(B369,'0. Instruções'!$C$27:$D$31,2,FALSE))</f>
        <v>BU_LOANTAPE_WORK.LT002_INSTRUMENT</v>
      </c>
      <c r="E369" s="41" t="str">
        <f>+UPPER('0. Instruções'!$D$34&amp;"."&amp;VLOOKUP(B369,'0. Instruções'!$C$27:$E$31,3,FALSE))</f>
        <v>BU_LOANTAPE_WORK.LT002_INSTRUMENT_P3_NOV24</v>
      </c>
      <c r="F369" s="41" t="s">
        <v>151</v>
      </c>
      <c r="G369" s="41" t="s">
        <v>209</v>
      </c>
      <c r="H369" s="41"/>
      <c r="I369" s="41" t="str">
        <f>"(SELECT "&amp;VLOOKUP(B369,'0. Instruções'!$C$27:$G$31,4,FALSE)&amp;", "&amp;F369&amp;" FROM "&amp;D369&amp;" WHERE "&amp;'0. Instruções'!$D$40&amp;")X"</f>
        <v>(SELECT instrmnt_id, LNS_CLLTRLZD_CLSSFCTN FROM BU_LOANTAPE_WORK.LT002_INSTRUMENT WHERE ref_date='${ref_date}' AND nome_perimetro='Individual Corporativo' AND segmento='ESTR' AND ambito='PILAR3')X</v>
      </c>
      <c r="J369" s="41" t="str">
        <f>"(SELECT "&amp;VLOOKUP(B369,'0. Instruções'!$C$27:$G$31,4,FALSE)&amp;" AS "&amp;VLOOKUP(B369,'0. Instruções'!$C$27:$G$31,4,FALSE)&amp;"_SIMUL, "&amp;F369&amp;" AS "&amp;F369&amp;"_SIMUL FROM "&amp;E369&amp;")Y"</f>
        <v>(SELECT instrmnt_id AS instrmnt_id_SIMUL, LNS_CLLTRLZD_CLSSFCTN AS LNS_CLLTRLZD_CLSSFCTN_SIMUL FROM BU_LOANTAPE_WORK.LT002_INSTRUMENT_P3_NOV24)Y</v>
      </c>
      <c r="K369" s="42" t="str">
        <f>+UPPER("ON X."&amp;VLOOKUP(B369,'0. Instruções'!$C$27:$G$31,4,FALSE)&amp;"=Y."&amp;VLOOKUP(B369,'0. Instruções'!$C$27:$G$31,4,FALSE)&amp;"_SIMUL")</f>
        <v>ON X.INSTRMNT_ID=Y.INSTRMNT_ID_SIMUL</v>
      </c>
      <c r="L369" s="42" t="str">
        <f>+IF(C369="Coerência", +IF(LEFT(G369,5)="FLOAT","SELECT '"&amp;UPPER(B369)&amp;"' AS TABELA, '"&amp;UPPER(C369)&amp;"' AS TIPOLOGIA_TESTE,'"&amp;D369&amp;"' AS TABELA_LT,'"&amp;E369&amp;"' AS TABELA_SIMUL,'"&amp;F369&amp;"' AS CAMPO, "&amp;"'${ref_date}' AS REF_DATE, COUNT(*) AS NUM_REG, SUM(IF((ABS(COALESCE(X."&amp;F369&amp;",0)-COALESCE(Y."&amp;F369&amp;"_SIMUL,0))&gt;0.0000000001) OR (X."&amp;F369&amp;" IS NULL AND Y."&amp;F369&amp;"_SIMUL IS NOT NULL ) OR (X."&amp;F369&amp;" IS NOT NULL AND Y."&amp;F369&amp;"_SIMUL IS NULL),1,0)) AS NUM_REG_DIF,'"&amp;MAX('ID1&amp;5'!K:K)+1&amp;"' AS ID_EXEC, CURRENT_TIMESTAMP() AS TIME_EXEC FROM "&amp;I369&amp;" INNER JOIN "&amp;J369&amp;" "&amp;K369,"SELECT '"&amp;UPPER(B369)&amp;"' AS TABELA, '"&amp;UPPER(C369)&amp;"' AS TIPOLOGIA_TESTE,'"&amp;D369&amp;"' AS TABELA_LT,'"&amp;E369&amp;"' AS TABELA_SIMUL,'"&amp;F369&amp;"' AS CAMPO, "&amp;"'${ref_date}' AS REF_DATE, COUNT(*) AS NUM_REG, SUM(IF(COALESCE(CAST(X."&amp;F369&amp;" AS STRING),'')&lt;&gt;COALESCE(CAST(Y."&amp;F369&amp;"_SIMUL AS STRING),''),1,0)) AS NUM_REG_DIF,'"&amp;MAX('ID1&amp;5'!L:L)+1&amp;"' AS ID_EXEC, CURRENT_TIMESTAMP() AS TIME_EXEC FROM "&amp;I369&amp;" INNER JOIN "&amp;J369&amp;" "&amp;K369),
IF(C369="Validade",+IF(G369="Code List","SELECT '"&amp;UPPER(B369)&amp;"' AS TABELA, '"&amp;UPPER(C369)&amp;"' AS TIPOLOGIA_TESTE,'"&amp;D369&amp;"' AS TABELA_LT,'N/A' AS TABELA_SIMUL,'"&amp;F369&amp;"' AS CAMPO, "&amp;"'${ref_date}' AS REF_DATE, COUNT(*) AS NUM_REG, SUM(IF(TRIM(CAST(X."&amp;F369&amp;" AS STRING))='' OR TRIM(CAST(X."&amp;F369&amp;" AS STRING)) IS NULL OR CAST(X."&amp;F369&amp;" AS STRING) NOT "&amp;H369&amp;",1,0)) AS NUM_REG_DIF,'"&amp;MAX('ID1&amp;5'!K:K)+1&amp;"' AS ID_EXEC, CURRENT_TIMESTAMP() AS TIME_EXEC FROM "&amp;I369,"SELECT '"&amp;UPPER(B369)&amp;"' AS TABELA, '"&amp;UPPER(C369)&amp;"' AS TIPOLOGIA_TESTE,'"&amp;D369&amp;"' AS TABELA_LT,'N/A' AS TABELA_SIMUL,'"&amp;F369&amp;"' AS CAMPO, "&amp;"'${ref_date}' AS REF_DATE, COUNT(*) AS NUM_REG, SUM(IF(TRIM(CAST(X."&amp;F369&amp;" AS STRING))='' OR TRIM(CAST(X."&amp;F369&amp;" AS STRING)) IS NULL,1,0)) AS NUM_REG_DIF,'"&amp;MAX('ID1&amp;5'!K:K)+1&amp;"' AS ID_EXEC, CURRENT_TIMESTAMP() AS TIME_EXEC FROM "&amp;I369),
IF(C369="Caracteres Especiais",+"SELECT '"&amp;UPPER(B369)&amp;"' AS TABELA, '"&amp;UPPER(C369)&amp;"' AS TIPOLOGIA_TESTE,'"&amp;D369&amp;"' AS TABELA_LT,'N/A' AS TABELA_SIMUL,'"&amp;F369&amp;"' AS CAMPO, "&amp;"'${ref_date}' AS REF_DATE, COUNT(*) AS NUM_REG, SUM(IF(INSTR(CAST(X."&amp;F369&amp;" AS STRING),'#')&gt;0 OR INSTR(CAST(X."&amp;F369&amp;" AS STRING),'*')&gt;0 OR INSTR(CAST(X."&amp;F369&amp;" AS STRING),'`')&gt;0 OR INSTR(CAST(X."&amp;F369&amp;" AS STRING),'´')&gt;0 OR INSTR(CAST(X."&amp;F369&amp;" AS STRING),'{')&gt;0 OR INSTR(CAST(X."&amp;F369&amp;" AS STRING),'}')&gt;0 OR INSTR(CAST(X."&amp;F369&amp;" AS STRING),'[')&gt;0 OR INSTR(CAST(X."&amp;F369&amp;" AS STRING),'')&gt;0 OR INSTR(CAST(X."&amp;F369&amp;" AS STRING),']')&gt;0 OR INSTR(CAST(X."&amp;F369&amp;" AS STRING),'?')&gt;0 OR INSTR(CAST(X."&amp;F369&amp;" AS STRING),'!')&gt;0 OR INSTR(CAST(X."&amp;F369&amp;" AS STRING),'$')&gt;0 OR INSTR(CAST(X."&amp;F369&amp;" AS STRING),'%')&gt;0 OR INSTR(CAST(X."&amp;F369&amp;" AS STRING),'&amp;')&gt;0 OR INSTR(CAST(X."&amp;F369&amp;" AS STRING),'+')&gt;0,1,0)) AS NUM_REG_DIF,'"&amp;MAX('ID1&amp;5'!K:K)+1&amp;"' AS ID_EXEC, CURRENT_TIMESTAMP() AS TIME_EXEC FROM "&amp;I369,
IF(C369="Missings",+"SELECT '"&amp;UPPER(B369)&amp;"' AS TABELA, '"&amp;UPPER(C369)&amp;"' AS TIPOLOGIA_TESTE,'"&amp;D369&amp;"' AS TABELA_LT,'N/A' AS TABELA_SIMUL,'"&amp;F369&amp;"' AS CAMPO, "&amp;"'${ref_date}' AS REF_DATE, COUNT(*) AS NUM_REG, SUM(IF(TRIM(CAST(X."&amp;F369&amp;" AS STRING)) IN ('0000-00-00','0001-01-01','9999-12-31','MISS','00000','99999999999','99999999999.00','99999999999.000000'),1,0)) AS NUM_REG_DIF,'"&amp;MAX('ID1&amp;5'!K:K)+1&amp;"' AS ID_EXEC, CURRENT_TIMESTAMP() AS TIME_EXEC FROM "&amp;I369,
IF(C369="Not applicable",+"SELECT '"&amp;UPPER(B369)&amp;"' AS TABELA, '"&amp;UPPER(C369)&amp;"' AS TIPOLOGIA_TESTE,'"&amp;D369&amp;"' AS TABELA_LT,'N/A' AS TABELA_SIMUL,'"&amp;F369&amp;"' AS CAMPO, "&amp;"'${ref_date}' AS REF_DATE, COUNT(*) AS NUM_REG, SUM(IF(TRIM(CAST(X."&amp;F369&amp;" AS STRING)) IN ('N/A','11111111111','11111111111.00','11111111111.000000','1111-11-11'),1,0)) AS NUM_REG_DIF,'"&amp;MAX('ID1&amp;5'!K:K)+1&amp;"' AS ID_EXEC, CURRENT_TIMESTAMP() AS TIME_EXEC FROM "&amp;I369,
IF(C369="Valores extremos",+"SELECT '"&amp;UPPER(B369)&amp;"' AS TABELA, '"&amp;UPPER(C369)&amp;"' AS TIPOLOGIA_TESTE,'"&amp;D369&amp;"' AS TABELA_LT,'N/A' AS TABELA_SIMUL,'"&amp;F369&amp;"' AS CAMPO, "&amp;"'${ref_date}' AS REF_DATE, CAST(MIN("&amp;F369&amp;") AS STRING) AS VALOR_MIN, CAST(MAX("&amp;F369&amp;") AS STRING) AS VALOR_MAX,'"&amp;MAX('ID1&amp;5'!K:K)+1&amp;"' AS ID_EXEC, CURRENT_TIMESTAMP() AS TIME_EXEC FROM "&amp;MID(I369,1,LEN(I369)-2)&amp;" AND CAST("&amp;F369&amp;"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TABELA_SIMUL,'LNS_CLLTRLZD_CLSSFCTN' AS CAMPO, '${ref_date}' AS REF_DATE, COUNT(*) AS NUM_REG, SUM(IF(TRIM(CAST(X.LNS_CLLTRLZD_CLSSFCTN AS STRING)) IN ('N/A','11111111111','11111111111.00','11111111111.000000','1111-11-11'),1,0)) AS NUM_REG_DIF,'10' AS ID_EXEC, CURRENT_TIMESTAMP() AS TIME_EXEC FROM (SELECT instrmnt_id, LNS_CLLTRLZD_CLSSFCTN FROM BU_LOANTAPE_WORK.LT002_INSTRUMENT WHERE ref_date='${ref_date}' AND nome_perimetro='Individual Corporativo' AND segmento='ESTR' AND ambito='PILAR3')X</v>
      </c>
      <c r="M369" s="43" t="str">
        <f t="shared" si="6"/>
        <v>UNION ALL SELECT 'INSTRUMENT' AS TABELA, 'NOT APPLICABLE' AS TIPOLOGIA_TESTE,'BU_LOANTAPE_WORK.LT002_INSTRUMENT' AS TABELA_LT,'N/A' AS TABELA_SIMUL,'LNS_CLLTRLZD_CLSSFCTN' AS CAMPO, '${ref_date}' AS REF_DATE, COUNT(*) AS NUM_REG, SUM(IF(TRIM(CAST(X.LNS_CLLTRLZD_CLSSFCTN AS STRING)) IN ('N/A','11111111111','11111111111.00','11111111111.000000','1111-11-11'),1,0)) AS NUM_REG_DIF,'10' AS ID_EXEC, CURRENT_TIMESTAMP() AS TIME_EXEC FROM (SELECT instrmnt_id, LNS_CLLTRLZD_CLSSFCTN FROM BU_LOANTAPE_WORK.LT002_INSTRUMENT WHERE ref_date='${ref_date}' AND nome_perimetro='Individual Corporativo' AND segmento='ESTR' AND ambito='PILAR3')X</v>
      </c>
      <c r="N369" s="45" t="s">
        <v>13</v>
      </c>
    </row>
    <row r="370" spans="2:14">
      <c r="B370" s="41" t="s">
        <v>27</v>
      </c>
      <c r="C370" s="41" t="s">
        <v>78</v>
      </c>
      <c r="D370" s="41" t="str">
        <f>+UPPER('0. Instruções'!$D$33&amp;"."&amp;VLOOKUP(B370,'0. Instruções'!$C$27:$D$31,2,FALSE))</f>
        <v>BU_LOANTAPE_WORK.LT002_INSTRUMENT</v>
      </c>
      <c r="E370" s="41" t="str">
        <f>+UPPER('0. Instruções'!$D$34&amp;"."&amp;VLOOKUP(B370,'0. Instruções'!$C$27:$E$31,3,FALSE))</f>
        <v>BU_LOANTAPE_WORK.LT002_INSTRUMENT_P3_NOV24</v>
      </c>
      <c r="F370" s="41" t="s">
        <v>146</v>
      </c>
      <c r="G370" s="41" t="s">
        <v>209</v>
      </c>
      <c r="H370" s="41"/>
      <c r="I370" s="41" t="str">
        <f>"(SELECT "&amp;VLOOKUP(B370,'0. Instruções'!$C$27:$G$31,4,FALSE)&amp;", "&amp;F370&amp;" FROM "&amp;D370&amp;" WHERE "&amp;'0. Instruções'!$D$40&amp;")X"</f>
        <v>(SELECT instrmnt_id, RSK_MTGTD_CCT FROM BU_LOANTAPE_WORK.LT002_INSTRUMENT WHERE ref_date='${ref_date}' AND nome_perimetro='Individual Corporativo' AND segmento='ESTR' AND ambito='PILAR3')X</v>
      </c>
      <c r="J370" s="41" t="str">
        <f>"(SELECT "&amp;VLOOKUP(B370,'0. Instruções'!$C$27:$G$31,4,FALSE)&amp;" AS "&amp;VLOOKUP(B370,'0. Instruções'!$C$27:$G$31,4,FALSE)&amp;"_SIMUL, "&amp;F370&amp;" AS "&amp;F370&amp;"_SIMUL FROM "&amp;E370&amp;")Y"</f>
        <v>(SELECT instrmnt_id AS instrmnt_id_SIMUL, RSK_MTGTD_CCT AS RSK_MTGTD_CCT_SIMUL FROM BU_LOANTAPE_WORK.LT002_INSTRUMENT_P3_NOV24)Y</v>
      </c>
      <c r="K370" s="42" t="str">
        <f>+UPPER("ON X."&amp;VLOOKUP(B370,'0. Instruções'!$C$27:$G$31,4,FALSE)&amp;"=Y."&amp;VLOOKUP(B370,'0. Instruções'!$C$27:$G$31,4,FALSE)&amp;"_SIMUL")</f>
        <v>ON X.INSTRMNT_ID=Y.INSTRMNT_ID_SIMUL</v>
      </c>
      <c r="L370" s="42" t="str">
        <f>+IF(C370="Coerência", +IF(LEFT(G370,5)="FLOAT","SELECT '"&amp;UPPER(B370)&amp;"' AS TABELA, '"&amp;UPPER(C370)&amp;"' AS TIPOLOGIA_TESTE,'"&amp;D370&amp;"' AS TABELA_LT,'"&amp;E370&amp;"' AS TABELA_SIMUL,'"&amp;F370&amp;"' AS CAMPO, "&amp;"'${ref_date}' AS REF_DATE, COUNT(*) AS NUM_REG, SUM(IF((ABS(COALESCE(X."&amp;F370&amp;",0)-COALESCE(Y."&amp;F370&amp;"_SIMUL,0))&gt;0.0000000001) OR (X."&amp;F370&amp;" IS NULL AND Y."&amp;F370&amp;"_SIMUL IS NOT NULL ) OR (X."&amp;F370&amp;" IS NOT NULL AND Y."&amp;F370&amp;"_SIMUL IS NULL),1,0)) AS NUM_REG_DIF,'"&amp;MAX('ID1&amp;5'!K:K)+1&amp;"' AS ID_EXEC, CURRENT_TIMESTAMP() AS TIME_EXEC FROM "&amp;I370&amp;" INNER JOIN "&amp;J370&amp;" "&amp;K370,"SELECT '"&amp;UPPER(B370)&amp;"' AS TABELA, '"&amp;UPPER(C370)&amp;"' AS TIPOLOGIA_TESTE,'"&amp;D370&amp;"' AS TABELA_LT,'"&amp;E370&amp;"' AS TABELA_SIMUL,'"&amp;F370&amp;"' AS CAMPO, "&amp;"'${ref_date}' AS REF_DATE, COUNT(*) AS NUM_REG, SUM(IF(COALESCE(CAST(X."&amp;F370&amp;" AS STRING),'')&lt;&gt;COALESCE(CAST(Y."&amp;F370&amp;"_SIMUL AS STRING),''),1,0)) AS NUM_REG_DIF,'"&amp;MAX('ID1&amp;5'!L:L)+1&amp;"' AS ID_EXEC, CURRENT_TIMESTAMP() AS TIME_EXEC FROM "&amp;I370&amp;" INNER JOIN "&amp;J370&amp;" "&amp;K370),
IF(C370="Validade",+IF(G370="Code List","SELECT '"&amp;UPPER(B370)&amp;"' AS TABELA, '"&amp;UPPER(C370)&amp;"' AS TIPOLOGIA_TESTE,'"&amp;D370&amp;"' AS TABELA_LT,'N/A' AS TABELA_SIMUL,'"&amp;F370&amp;"' AS CAMPO, "&amp;"'${ref_date}' AS REF_DATE, COUNT(*) AS NUM_REG, SUM(IF(TRIM(CAST(X."&amp;F370&amp;" AS STRING))='' OR TRIM(CAST(X."&amp;F370&amp;" AS STRING)) IS NULL OR CAST(X."&amp;F370&amp;" AS STRING) NOT "&amp;H370&amp;",1,0)) AS NUM_REG_DIF,'"&amp;MAX('ID1&amp;5'!K:K)+1&amp;"' AS ID_EXEC, CURRENT_TIMESTAMP() AS TIME_EXEC FROM "&amp;I370,"SELECT '"&amp;UPPER(B370)&amp;"' AS TABELA, '"&amp;UPPER(C370)&amp;"' AS TIPOLOGIA_TESTE,'"&amp;D370&amp;"' AS TABELA_LT,'N/A' AS TABELA_SIMUL,'"&amp;F370&amp;"' AS CAMPO, "&amp;"'${ref_date}' AS REF_DATE, COUNT(*) AS NUM_REG, SUM(IF(TRIM(CAST(X."&amp;F370&amp;" AS STRING))='' OR TRIM(CAST(X."&amp;F370&amp;" AS STRING)) IS NULL,1,0)) AS NUM_REG_DIF,'"&amp;MAX('ID1&amp;5'!K:K)+1&amp;"' AS ID_EXEC, CURRENT_TIMESTAMP() AS TIME_EXEC FROM "&amp;I370),
IF(C370="Caracteres Especiais",+"SELECT '"&amp;UPPER(B370)&amp;"' AS TABELA, '"&amp;UPPER(C370)&amp;"' AS TIPOLOGIA_TESTE,'"&amp;D370&amp;"' AS TABELA_LT,'N/A' AS TABELA_SIMUL,'"&amp;F370&amp;"' AS CAMPO, "&amp;"'${ref_date}' AS REF_DATE, COUNT(*) AS NUM_REG, SUM(IF(INSTR(CAST(X."&amp;F370&amp;" AS STRING),'#')&gt;0 OR INSTR(CAST(X."&amp;F370&amp;" AS STRING),'*')&gt;0 OR INSTR(CAST(X."&amp;F370&amp;" AS STRING),'`')&gt;0 OR INSTR(CAST(X."&amp;F370&amp;" AS STRING),'´')&gt;0 OR INSTR(CAST(X."&amp;F370&amp;" AS STRING),'{')&gt;0 OR INSTR(CAST(X."&amp;F370&amp;" AS STRING),'}')&gt;0 OR INSTR(CAST(X."&amp;F370&amp;" AS STRING),'[')&gt;0 OR INSTR(CAST(X."&amp;F370&amp;" AS STRING),'')&gt;0 OR INSTR(CAST(X."&amp;F370&amp;" AS STRING),']')&gt;0 OR INSTR(CAST(X."&amp;F370&amp;" AS STRING),'?')&gt;0 OR INSTR(CAST(X."&amp;F370&amp;" AS STRING),'!')&gt;0 OR INSTR(CAST(X."&amp;F370&amp;" AS STRING),'$')&gt;0 OR INSTR(CAST(X."&amp;F370&amp;" AS STRING),'%')&gt;0 OR INSTR(CAST(X."&amp;F370&amp;" AS STRING),'&amp;')&gt;0 OR INSTR(CAST(X."&amp;F370&amp;" AS STRING),'+')&gt;0,1,0)) AS NUM_REG_DIF,'"&amp;MAX('ID1&amp;5'!K:K)+1&amp;"' AS ID_EXEC, CURRENT_TIMESTAMP() AS TIME_EXEC FROM "&amp;I370,
IF(C370="Missings",+"SELECT '"&amp;UPPER(B370)&amp;"' AS TABELA, '"&amp;UPPER(C370)&amp;"' AS TIPOLOGIA_TESTE,'"&amp;D370&amp;"' AS TABELA_LT,'N/A' AS TABELA_SIMUL,'"&amp;F370&amp;"' AS CAMPO, "&amp;"'${ref_date}' AS REF_DATE, COUNT(*) AS NUM_REG, SUM(IF(TRIM(CAST(X."&amp;F370&amp;" AS STRING)) IN ('0000-00-00','0001-01-01','9999-12-31','MISS','00000','99999999999','99999999999.00','99999999999.000000'),1,0)) AS NUM_REG_DIF,'"&amp;MAX('ID1&amp;5'!K:K)+1&amp;"' AS ID_EXEC, CURRENT_TIMESTAMP() AS TIME_EXEC FROM "&amp;I370,
IF(C370="Not applicable",+"SELECT '"&amp;UPPER(B370)&amp;"' AS TABELA, '"&amp;UPPER(C370)&amp;"' AS TIPOLOGIA_TESTE,'"&amp;D370&amp;"' AS TABELA_LT,'N/A' AS TABELA_SIMUL,'"&amp;F370&amp;"' AS CAMPO, "&amp;"'${ref_date}' AS REF_DATE, COUNT(*) AS NUM_REG, SUM(IF(TRIM(CAST(X."&amp;F370&amp;" AS STRING)) IN ('N/A','11111111111','11111111111.00','11111111111.000000','1111-11-11'),1,0)) AS NUM_REG_DIF,'"&amp;MAX('ID1&amp;5'!K:K)+1&amp;"' AS ID_EXEC, CURRENT_TIMESTAMP() AS TIME_EXEC FROM "&amp;I370,
IF(C370="Valores extremos",+"SELECT '"&amp;UPPER(B370)&amp;"' AS TABELA, '"&amp;UPPER(C370)&amp;"' AS TIPOLOGIA_TESTE,'"&amp;D370&amp;"' AS TABELA_LT,'N/A' AS TABELA_SIMUL,'"&amp;F370&amp;"' AS CAMPO, "&amp;"'${ref_date}' AS REF_DATE, CAST(MIN("&amp;F370&amp;") AS STRING) AS VALOR_MIN, CAST(MAX("&amp;F370&amp;") AS STRING) AS VALOR_MAX,'"&amp;MAX('ID1&amp;5'!K:K)+1&amp;"' AS ID_EXEC, CURRENT_TIMESTAMP() AS TIME_EXEC FROM "&amp;MID(I370,1,LEN(I370)-2)&amp;" AND CAST("&amp;F370&amp;"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TABELA_SIMUL,'RSK_MTGTD_CCT' AS CAMPO, '${ref_date}' AS REF_DATE, COUNT(*) AS NUM_REG, SUM(IF(TRIM(CAST(X.RSK_MTGTD_CCT AS STRING)) IN ('N/A','11111111111','11111111111.00','11111111111.000000','1111-11-11'),1,0)) AS NUM_REG_DIF,'10' AS ID_EXEC, CURRENT_TIMESTAMP() AS TIME_EXEC FROM (SELECT instrmnt_id, RSK_MTGTD_CCT FROM BU_LOANTAPE_WORK.LT002_INSTRUMENT WHERE ref_date='${ref_date}' AND nome_perimetro='Individual Corporativo' AND segmento='ESTR' AND ambito='PILAR3')X</v>
      </c>
      <c r="M370" s="43" t="str">
        <f t="shared" si="6"/>
        <v>UNION ALL SELECT 'INSTRUMENT' AS TABELA, 'NOT APPLICABLE' AS TIPOLOGIA_TESTE,'BU_LOANTAPE_WORK.LT002_INSTRUMENT' AS TABELA_LT,'N/A' AS TABELA_SIMUL,'RSK_MTGTD_CCT' AS CAMPO, '${ref_date}' AS REF_DATE, COUNT(*) AS NUM_REG, SUM(IF(TRIM(CAST(X.RSK_MTGTD_CCT AS STRING)) IN ('N/A','11111111111','11111111111.00','11111111111.000000','1111-11-11'),1,0)) AS NUM_REG_DIF,'10' AS ID_EXEC, CURRENT_TIMESTAMP() AS TIME_EXEC FROM (SELECT instrmnt_id, RSK_MTGTD_CCT FROM BU_LOANTAPE_WORK.LT002_INSTRUMENT WHERE ref_date='${ref_date}' AND nome_perimetro='Individual Corporativo' AND segmento='ESTR' AND ambito='PILAR3')X</v>
      </c>
      <c r="N370" s="45" t="s">
        <v>13</v>
      </c>
    </row>
    <row r="371" spans="2:14">
      <c r="B371" s="41" t="s">
        <v>27</v>
      </c>
      <c r="C371" s="41" t="s">
        <v>78</v>
      </c>
      <c r="D371" s="41" t="str">
        <f>+UPPER('0. Instruções'!$D$33&amp;"."&amp;VLOOKUP(B371,'0. Instruções'!$C$27:$D$31,2,FALSE))</f>
        <v>BU_LOANTAPE_WORK.LT002_INSTRUMENT</v>
      </c>
      <c r="E371" s="41" t="str">
        <f>+UPPER('0. Instruções'!$D$34&amp;"."&amp;VLOOKUP(B371,'0. Instruções'!$C$27:$E$31,3,FALSE))</f>
        <v>BU_LOANTAPE_WORK.LT002_INSTRUMENT_P3_NOV24</v>
      </c>
      <c r="F371" s="41" t="s">
        <v>148</v>
      </c>
      <c r="G371" s="41" t="s">
        <v>209</v>
      </c>
      <c r="H371" s="41"/>
      <c r="I371" s="41" t="str">
        <f>"(SELECT "&amp;VLOOKUP(B371,'0. Instruções'!$C$27:$G$31,4,FALSE)&amp;", "&amp;F371&amp;" FROM "&amp;D371&amp;" WHERE "&amp;'0. Instruções'!$D$40&amp;")X"</f>
        <v>(SELECT instrmnt_id, RSK_MTGTD_CCP FROM BU_LOANTAPE_WORK.LT002_INSTRUMENT WHERE ref_date='${ref_date}' AND nome_perimetro='Individual Corporativo' AND segmento='ESTR' AND ambito='PILAR3')X</v>
      </c>
      <c r="J371" s="41" t="str">
        <f>"(SELECT "&amp;VLOOKUP(B371,'0. Instruções'!$C$27:$G$31,4,FALSE)&amp;" AS "&amp;VLOOKUP(B371,'0. Instruções'!$C$27:$G$31,4,FALSE)&amp;"_SIMUL, "&amp;F371&amp;" AS "&amp;F371&amp;"_SIMUL FROM "&amp;E371&amp;")Y"</f>
        <v>(SELECT instrmnt_id AS instrmnt_id_SIMUL, RSK_MTGTD_CCP AS RSK_MTGTD_CCP_SIMUL FROM BU_LOANTAPE_WORK.LT002_INSTRUMENT_P3_NOV24)Y</v>
      </c>
      <c r="K371" s="42" t="str">
        <f>+UPPER("ON X."&amp;VLOOKUP(B371,'0. Instruções'!$C$27:$G$31,4,FALSE)&amp;"=Y."&amp;VLOOKUP(B371,'0. Instruções'!$C$27:$G$31,4,FALSE)&amp;"_SIMUL")</f>
        <v>ON X.INSTRMNT_ID=Y.INSTRMNT_ID_SIMUL</v>
      </c>
      <c r="L371" s="42" t="str">
        <f>+IF(C371="Coerência", +IF(LEFT(G371,5)="FLOAT","SELECT '"&amp;UPPER(B371)&amp;"' AS TABELA, '"&amp;UPPER(C371)&amp;"' AS TIPOLOGIA_TESTE,'"&amp;D371&amp;"' AS TABELA_LT,'"&amp;E371&amp;"' AS TABELA_SIMUL,'"&amp;F371&amp;"' AS CAMPO, "&amp;"'${ref_date}' AS REF_DATE, COUNT(*) AS NUM_REG, SUM(IF((ABS(COALESCE(X."&amp;F371&amp;",0)-COALESCE(Y."&amp;F371&amp;"_SIMUL,0))&gt;0.0000000001) OR (X."&amp;F371&amp;" IS NULL AND Y."&amp;F371&amp;"_SIMUL IS NOT NULL ) OR (X."&amp;F371&amp;" IS NOT NULL AND Y."&amp;F371&amp;"_SIMUL IS NULL),1,0)) AS NUM_REG_DIF,'"&amp;MAX('ID1&amp;5'!K:K)+1&amp;"' AS ID_EXEC, CURRENT_TIMESTAMP() AS TIME_EXEC FROM "&amp;I371&amp;" INNER JOIN "&amp;J371&amp;" "&amp;K371,"SELECT '"&amp;UPPER(B371)&amp;"' AS TABELA, '"&amp;UPPER(C371)&amp;"' AS TIPOLOGIA_TESTE,'"&amp;D371&amp;"' AS TABELA_LT,'"&amp;E371&amp;"' AS TABELA_SIMUL,'"&amp;F371&amp;"' AS CAMPO, "&amp;"'${ref_date}' AS REF_DATE, COUNT(*) AS NUM_REG, SUM(IF(COALESCE(CAST(X."&amp;F371&amp;" AS STRING),'')&lt;&gt;COALESCE(CAST(Y."&amp;F371&amp;"_SIMUL AS STRING),''),1,0)) AS NUM_REG_DIF,'"&amp;MAX('ID1&amp;5'!L:L)+1&amp;"' AS ID_EXEC, CURRENT_TIMESTAMP() AS TIME_EXEC FROM "&amp;I371&amp;" INNER JOIN "&amp;J371&amp;" "&amp;K371),
IF(C371="Validade",+IF(G371="Code List","SELECT '"&amp;UPPER(B371)&amp;"' AS TABELA, '"&amp;UPPER(C371)&amp;"' AS TIPOLOGIA_TESTE,'"&amp;D371&amp;"' AS TABELA_LT,'N/A' AS TABELA_SIMUL,'"&amp;F371&amp;"' AS CAMPO, "&amp;"'${ref_date}' AS REF_DATE, COUNT(*) AS NUM_REG, SUM(IF(TRIM(CAST(X."&amp;F371&amp;" AS STRING))='' OR TRIM(CAST(X."&amp;F371&amp;" AS STRING)) IS NULL OR CAST(X."&amp;F371&amp;" AS STRING) NOT "&amp;H371&amp;",1,0)) AS NUM_REG_DIF,'"&amp;MAX('ID1&amp;5'!K:K)+1&amp;"' AS ID_EXEC, CURRENT_TIMESTAMP() AS TIME_EXEC FROM "&amp;I371,"SELECT '"&amp;UPPER(B371)&amp;"' AS TABELA, '"&amp;UPPER(C371)&amp;"' AS TIPOLOGIA_TESTE,'"&amp;D371&amp;"' AS TABELA_LT,'N/A' AS TABELA_SIMUL,'"&amp;F371&amp;"' AS CAMPO, "&amp;"'${ref_date}' AS REF_DATE, COUNT(*) AS NUM_REG, SUM(IF(TRIM(CAST(X."&amp;F371&amp;" AS STRING))='' OR TRIM(CAST(X."&amp;F371&amp;" AS STRING)) IS NULL,1,0)) AS NUM_REG_DIF,'"&amp;MAX('ID1&amp;5'!K:K)+1&amp;"' AS ID_EXEC, CURRENT_TIMESTAMP() AS TIME_EXEC FROM "&amp;I371),
IF(C371="Caracteres Especiais",+"SELECT '"&amp;UPPER(B371)&amp;"' AS TABELA, '"&amp;UPPER(C371)&amp;"' AS TIPOLOGIA_TESTE,'"&amp;D371&amp;"' AS TABELA_LT,'N/A' AS TABELA_SIMUL,'"&amp;F371&amp;"' AS CAMPO, "&amp;"'${ref_date}' AS REF_DATE, COUNT(*) AS NUM_REG, SUM(IF(INSTR(CAST(X."&amp;F371&amp;" AS STRING),'#')&gt;0 OR INSTR(CAST(X."&amp;F371&amp;" AS STRING),'*')&gt;0 OR INSTR(CAST(X."&amp;F371&amp;" AS STRING),'`')&gt;0 OR INSTR(CAST(X."&amp;F371&amp;" AS STRING),'´')&gt;0 OR INSTR(CAST(X."&amp;F371&amp;" AS STRING),'{')&gt;0 OR INSTR(CAST(X."&amp;F371&amp;" AS STRING),'}')&gt;0 OR INSTR(CAST(X."&amp;F371&amp;" AS STRING),'[')&gt;0 OR INSTR(CAST(X."&amp;F371&amp;" AS STRING),'')&gt;0 OR INSTR(CAST(X."&amp;F371&amp;" AS STRING),']')&gt;0 OR INSTR(CAST(X."&amp;F371&amp;" AS STRING),'?')&gt;0 OR INSTR(CAST(X."&amp;F371&amp;" AS STRING),'!')&gt;0 OR INSTR(CAST(X."&amp;F371&amp;" AS STRING),'$')&gt;0 OR INSTR(CAST(X."&amp;F371&amp;" AS STRING),'%')&gt;0 OR INSTR(CAST(X."&amp;F371&amp;" AS STRING),'&amp;')&gt;0 OR INSTR(CAST(X."&amp;F371&amp;" AS STRING),'+')&gt;0,1,0)) AS NUM_REG_DIF,'"&amp;MAX('ID1&amp;5'!K:K)+1&amp;"' AS ID_EXEC, CURRENT_TIMESTAMP() AS TIME_EXEC FROM "&amp;I371,
IF(C371="Missings",+"SELECT '"&amp;UPPER(B371)&amp;"' AS TABELA, '"&amp;UPPER(C371)&amp;"' AS TIPOLOGIA_TESTE,'"&amp;D371&amp;"' AS TABELA_LT,'N/A' AS TABELA_SIMUL,'"&amp;F371&amp;"' AS CAMPO, "&amp;"'${ref_date}' AS REF_DATE, COUNT(*) AS NUM_REG, SUM(IF(TRIM(CAST(X."&amp;F371&amp;" AS STRING)) IN ('0000-00-00','0001-01-01','9999-12-31','MISS','00000','99999999999','99999999999.00','99999999999.000000'),1,0)) AS NUM_REG_DIF,'"&amp;MAX('ID1&amp;5'!K:K)+1&amp;"' AS ID_EXEC, CURRENT_TIMESTAMP() AS TIME_EXEC FROM "&amp;I371,
IF(C371="Not applicable",+"SELECT '"&amp;UPPER(B371)&amp;"' AS TABELA, '"&amp;UPPER(C371)&amp;"' AS TIPOLOGIA_TESTE,'"&amp;D371&amp;"' AS TABELA_LT,'N/A' AS TABELA_SIMUL,'"&amp;F371&amp;"' AS CAMPO, "&amp;"'${ref_date}' AS REF_DATE, COUNT(*) AS NUM_REG, SUM(IF(TRIM(CAST(X."&amp;F371&amp;" AS STRING)) IN ('N/A','11111111111','11111111111.00','11111111111.000000','1111-11-11'),1,0)) AS NUM_REG_DIF,'"&amp;MAX('ID1&amp;5'!K:K)+1&amp;"' AS ID_EXEC, CURRENT_TIMESTAMP() AS TIME_EXEC FROM "&amp;I371,
IF(C371="Valores extremos",+"SELECT '"&amp;UPPER(B371)&amp;"' AS TABELA, '"&amp;UPPER(C371)&amp;"' AS TIPOLOGIA_TESTE,'"&amp;D371&amp;"' AS TABELA_LT,'N/A' AS TABELA_SIMUL,'"&amp;F371&amp;"' AS CAMPO, "&amp;"'${ref_date}' AS REF_DATE, CAST(MIN("&amp;F371&amp;") AS STRING) AS VALOR_MIN, CAST(MAX("&amp;F371&amp;") AS STRING) AS VALOR_MAX,'"&amp;MAX('ID1&amp;5'!K:K)+1&amp;"' AS ID_EXEC, CURRENT_TIMESTAMP() AS TIME_EXEC FROM "&amp;MID(I371,1,LEN(I371)-2)&amp;" AND CAST("&amp;F371&amp;"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TABELA_SIMUL,'RSK_MTGTD_CCP' AS CAMPO, '${ref_date}' AS REF_DATE, COUNT(*) AS NUM_REG, SUM(IF(TRIM(CAST(X.RSK_MTGTD_CCP AS STRING)) IN ('N/A','11111111111','11111111111.00','11111111111.000000','1111-11-11'),1,0)) AS NUM_REG_DIF,'10' AS ID_EXEC, CURRENT_TIMESTAMP() AS TIME_EXEC FROM (SELECT instrmnt_id, RSK_MTGTD_CCP FROM BU_LOANTAPE_WORK.LT002_INSTRUMENT WHERE ref_date='${ref_date}' AND nome_perimetro='Individual Corporativo' AND segmento='ESTR' AND ambito='PILAR3')X</v>
      </c>
      <c r="M371" s="43" t="str">
        <f t="shared" si="6"/>
        <v>UNION ALL SELECT 'INSTRUMENT' AS TABELA, 'NOT APPLICABLE' AS TIPOLOGIA_TESTE,'BU_LOANTAPE_WORK.LT002_INSTRUMENT' AS TABELA_LT,'N/A' AS TABELA_SIMUL,'RSK_MTGTD_CCP' AS CAMPO, '${ref_date}' AS REF_DATE, COUNT(*) AS NUM_REG, SUM(IF(TRIM(CAST(X.RSK_MTGTD_CCP AS STRING)) IN ('N/A','11111111111','11111111111.00','11111111111.000000','1111-11-11'),1,0)) AS NUM_REG_DIF,'10' AS ID_EXEC, CURRENT_TIMESTAMP() AS TIME_EXEC FROM (SELECT instrmnt_id, RSK_MTGTD_CCP FROM BU_LOANTAPE_WORK.LT002_INSTRUMENT WHERE ref_date='${ref_date}' AND nome_perimetro='Individual Corporativo' AND segmento='ESTR' AND ambito='PILAR3')X</v>
      </c>
      <c r="N371" s="45" t="s">
        <v>13</v>
      </c>
    </row>
    <row r="372" spans="2:14">
      <c r="B372" s="41" t="s">
        <v>27</v>
      </c>
      <c r="C372" s="41" t="s">
        <v>78</v>
      </c>
      <c r="D372" s="41" t="str">
        <f>+UPPER('0. Instruções'!$D$33&amp;"."&amp;VLOOKUP(B372,'0. Instruções'!$C$27:$D$31,2,FALSE))</f>
        <v>BU_LOANTAPE_WORK.LT002_INSTRUMENT</v>
      </c>
      <c r="E372" s="41" t="str">
        <f>+UPPER('0. Instruções'!$D$34&amp;"."&amp;VLOOKUP(B372,'0. Instruções'!$C$27:$E$31,3,FALSE))</f>
        <v>BU_LOANTAPE_WORK.LT002_INSTRUMENT_P3_NOV24</v>
      </c>
      <c r="F372" s="41" t="s">
        <v>152</v>
      </c>
      <c r="G372" s="41" t="s">
        <v>209</v>
      </c>
      <c r="H372" s="41"/>
      <c r="I372" s="41" t="str">
        <f>"(SELECT "&amp;VLOOKUP(B372,'0. Instruções'!$C$27:$G$31,4,FALSE)&amp;", "&amp;F372&amp;" FROM "&amp;D372&amp;" WHERE "&amp;'0. Instruções'!$D$40&amp;")X"</f>
        <v>(SELECT instrmnt_id, MTHD_USD_INSTRMNT_SCP_1 FROM BU_LOANTAPE_WORK.LT002_INSTRUMENT WHERE ref_date='${ref_date}' AND nome_perimetro='Individual Corporativo' AND segmento='ESTR' AND ambito='PILAR3')X</v>
      </c>
      <c r="J372" s="41" t="str">
        <f>"(SELECT "&amp;VLOOKUP(B372,'0. Instruções'!$C$27:$G$31,4,FALSE)&amp;" AS "&amp;VLOOKUP(B372,'0. Instruções'!$C$27:$G$31,4,FALSE)&amp;"_SIMUL, "&amp;F372&amp;" AS "&amp;F372&amp;"_SIMUL FROM "&amp;E372&amp;")Y"</f>
        <v>(SELECT instrmnt_id AS instrmnt_id_SIMUL, MTHD_USD_INSTRMNT_SCP_1 AS MTHD_USD_INSTRMNT_SCP_1_SIMUL FROM BU_LOANTAPE_WORK.LT002_INSTRUMENT_P3_NOV24)Y</v>
      </c>
      <c r="K372" s="42" t="str">
        <f>+UPPER("ON X."&amp;VLOOKUP(B372,'0. Instruções'!$C$27:$G$31,4,FALSE)&amp;"=Y."&amp;VLOOKUP(B372,'0. Instruções'!$C$27:$G$31,4,FALSE)&amp;"_SIMUL")</f>
        <v>ON X.INSTRMNT_ID=Y.INSTRMNT_ID_SIMUL</v>
      </c>
      <c r="L372" s="42" t="str">
        <f>+IF(C372="Coerência", +IF(LEFT(G372,5)="FLOAT","SELECT '"&amp;UPPER(B372)&amp;"' AS TABELA, '"&amp;UPPER(C372)&amp;"' AS TIPOLOGIA_TESTE,'"&amp;D372&amp;"' AS TABELA_LT,'"&amp;E372&amp;"' AS TABELA_SIMUL,'"&amp;F372&amp;"' AS CAMPO, "&amp;"'${ref_date}' AS REF_DATE, COUNT(*) AS NUM_REG, SUM(IF((ABS(COALESCE(X."&amp;F372&amp;",0)-COALESCE(Y."&amp;F372&amp;"_SIMUL,0))&gt;0.0000000001) OR (X."&amp;F372&amp;" IS NULL AND Y."&amp;F372&amp;"_SIMUL IS NOT NULL ) OR (X."&amp;F372&amp;" IS NOT NULL AND Y."&amp;F372&amp;"_SIMUL IS NULL),1,0)) AS NUM_REG_DIF,'"&amp;MAX('ID1&amp;5'!K:K)+1&amp;"' AS ID_EXEC, CURRENT_TIMESTAMP() AS TIME_EXEC FROM "&amp;I372&amp;" INNER JOIN "&amp;J372&amp;" "&amp;K372,"SELECT '"&amp;UPPER(B372)&amp;"' AS TABELA, '"&amp;UPPER(C372)&amp;"' AS TIPOLOGIA_TESTE,'"&amp;D372&amp;"' AS TABELA_LT,'"&amp;E372&amp;"' AS TABELA_SIMUL,'"&amp;F372&amp;"' AS CAMPO, "&amp;"'${ref_date}' AS REF_DATE, COUNT(*) AS NUM_REG, SUM(IF(COALESCE(CAST(X."&amp;F372&amp;" AS STRING),'')&lt;&gt;COALESCE(CAST(Y."&amp;F372&amp;"_SIMUL AS STRING),''),1,0)) AS NUM_REG_DIF,'"&amp;MAX('ID1&amp;5'!L:L)+1&amp;"' AS ID_EXEC, CURRENT_TIMESTAMP() AS TIME_EXEC FROM "&amp;I372&amp;" INNER JOIN "&amp;J372&amp;" "&amp;K372),
IF(C372="Validade",+IF(G372="Code List","SELECT '"&amp;UPPER(B372)&amp;"' AS TABELA, '"&amp;UPPER(C372)&amp;"' AS TIPOLOGIA_TESTE,'"&amp;D372&amp;"' AS TABELA_LT,'N/A' AS TABELA_SIMUL,'"&amp;F372&amp;"' AS CAMPO, "&amp;"'${ref_date}' AS REF_DATE, COUNT(*) AS NUM_REG, SUM(IF(TRIM(CAST(X."&amp;F372&amp;" AS STRING))='' OR TRIM(CAST(X."&amp;F372&amp;" AS STRING)) IS NULL OR CAST(X."&amp;F372&amp;" AS STRING) NOT "&amp;H372&amp;",1,0)) AS NUM_REG_DIF,'"&amp;MAX('ID1&amp;5'!K:K)+1&amp;"' AS ID_EXEC, CURRENT_TIMESTAMP() AS TIME_EXEC FROM "&amp;I372,"SELECT '"&amp;UPPER(B372)&amp;"' AS TABELA, '"&amp;UPPER(C372)&amp;"' AS TIPOLOGIA_TESTE,'"&amp;D372&amp;"' AS TABELA_LT,'N/A' AS TABELA_SIMUL,'"&amp;F372&amp;"' AS CAMPO, "&amp;"'${ref_date}' AS REF_DATE, COUNT(*) AS NUM_REG, SUM(IF(TRIM(CAST(X."&amp;F372&amp;" AS STRING))='' OR TRIM(CAST(X."&amp;F372&amp;" AS STRING)) IS NULL,1,0)) AS NUM_REG_DIF,'"&amp;MAX('ID1&amp;5'!K:K)+1&amp;"' AS ID_EXEC, CURRENT_TIMESTAMP() AS TIME_EXEC FROM "&amp;I372),
IF(C372="Caracteres Especiais",+"SELECT '"&amp;UPPER(B372)&amp;"' AS TABELA, '"&amp;UPPER(C372)&amp;"' AS TIPOLOGIA_TESTE,'"&amp;D372&amp;"' AS TABELA_LT,'N/A' AS TABELA_SIMUL,'"&amp;F372&amp;"' AS CAMPO, "&amp;"'${ref_date}' AS REF_DATE, COUNT(*) AS NUM_REG, SUM(IF(INSTR(CAST(X."&amp;F372&amp;" AS STRING),'#')&gt;0 OR INSTR(CAST(X."&amp;F372&amp;" AS STRING),'*')&gt;0 OR INSTR(CAST(X."&amp;F372&amp;" AS STRING),'`')&gt;0 OR INSTR(CAST(X."&amp;F372&amp;" AS STRING),'´')&gt;0 OR INSTR(CAST(X."&amp;F372&amp;" AS STRING),'{')&gt;0 OR INSTR(CAST(X."&amp;F372&amp;" AS STRING),'}')&gt;0 OR INSTR(CAST(X."&amp;F372&amp;" AS STRING),'[')&gt;0 OR INSTR(CAST(X."&amp;F372&amp;" AS STRING),'')&gt;0 OR INSTR(CAST(X."&amp;F372&amp;" AS STRING),']')&gt;0 OR INSTR(CAST(X."&amp;F372&amp;" AS STRING),'?')&gt;0 OR INSTR(CAST(X."&amp;F372&amp;" AS STRING),'!')&gt;0 OR INSTR(CAST(X."&amp;F372&amp;" AS STRING),'$')&gt;0 OR INSTR(CAST(X."&amp;F372&amp;" AS STRING),'%')&gt;0 OR INSTR(CAST(X."&amp;F372&amp;" AS STRING),'&amp;')&gt;0 OR INSTR(CAST(X."&amp;F372&amp;" AS STRING),'+')&gt;0,1,0)) AS NUM_REG_DIF,'"&amp;MAX('ID1&amp;5'!K:K)+1&amp;"' AS ID_EXEC, CURRENT_TIMESTAMP() AS TIME_EXEC FROM "&amp;I372,
IF(C372="Missings",+"SELECT '"&amp;UPPER(B372)&amp;"' AS TABELA, '"&amp;UPPER(C372)&amp;"' AS TIPOLOGIA_TESTE,'"&amp;D372&amp;"' AS TABELA_LT,'N/A' AS TABELA_SIMUL,'"&amp;F372&amp;"' AS CAMPO, "&amp;"'${ref_date}' AS REF_DATE, COUNT(*) AS NUM_REG, SUM(IF(TRIM(CAST(X."&amp;F372&amp;" AS STRING)) IN ('0000-00-00','0001-01-01','9999-12-31','MISS','00000','99999999999','99999999999.00','99999999999.000000'),1,0)) AS NUM_REG_DIF,'"&amp;MAX('ID1&amp;5'!K:K)+1&amp;"' AS ID_EXEC, CURRENT_TIMESTAMP() AS TIME_EXEC FROM "&amp;I372,
IF(C372="Not applicable",+"SELECT '"&amp;UPPER(B372)&amp;"' AS TABELA, '"&amp;UPPER(C372)&amp;"' AS TIPOLOGIA_TESTE,'"&amp;D372&amp;"' AS TABELA_LT,'N/A' AS TABELA_SIMUL,'"&amp;F372&amp;"' AS CAMPO, "&amp;"'${ref_date}' AS REF_DATE, COUNT(*) AS NUM_REG, SUM(IF(TRIM(CAST(X."&amp;F372&amp;" AS STRING)) IN ('N/A','11111111111','11111111111.00','11111111111.000000','1111-11-11'),1,0)) AS NUM_REG_DIF,'"&amp;MAX('ID1&amp;5'!K:K)+1&amp;"' AS ID_EXEC, CURRENT_TIMESTAMP() AS TIME_EXEC FROM "&amp;I372,
IF(C372="Valores extremos",+"SELECT '"&amp;UPPER(B372)&amp;"' AS TABELA, '"&amp;UPPER(C372)&amp;"' AS TIPOLOGIA_TESTE,'"&amp;D372&amp;"' AS TABELA_LT,'N/A' AS TABELA_SIMUL,'"&amp;F372&amp;"' AS CAMPO, "&amp;"'${ref_date}' AS REF_DATE, CAST(MIN("&amp;F372&amp;") AS STRING) AS VALOR_MIN, CAST(MAX("&amp;F372&amp;") AS STRING) AS VALOR_MAX,'"&amp;MAX('ID1&amp;5'!K:K)+1&amp;"' AS ID_EXEC, CURRENT_TIMESTAMP() AS TIME_EXEC FROM "&amp;MID(I372,1,LEN(I372)-2)&amp;" AND CAST("&amp;F372&amp;"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TABELA_SIMUL,'MTHD_USD_INSTRMNT_SCP_1' AS CAMPO, '${ref_date}' AS REF_DATE, COUNT(*) AS NUM_REG, SUM(IF(TRIM(CAST(X.MTHD_USD_INSTRMNT_SCP_1 AS STRING)) IN ('N/A','11111111111','11111111111.00','11111111111.000000','1111-11-11'),1,0)) AS NUM_REG_DIF,'10' AS ID_EXEC, CURRENT_TIMESTAMP() AS TIME_EXEC FROM (SELECT instrmnt_id, MTHD_USD_INSTRMNT_SCP_1 FROM BU_LOANTAPE_WORK.LT002_INSTRUMENT WHERE ref_date='${ref_date}' AND nome_perimetro='Individual Corporativo' AND segmento='ESTR' AND ambito='PILAR3')X</v>
      </c>
      <c r="M372" s="43" t="str">
        <f t="shared" si="6"/>
        <v>UNION ALL SELECT 'INSTRUMENT' AS TABELA, 'NOT APPLICABLE' AS TIPOLOGIA_TESTE,'BU_LOANTAPE_WORK.LT002_INSTRUMENT' AS TABELA_LT,'N/A' AS TABELA_SIMUL,'MTHD_USD_INSTRMNT_SCP_1' AS CAMPO, '${ref_date}' AS REF_DATE, COUNT(*) AS NUM_REG, SUM(IF(TRIM(CAST(X.MTHD_USD_INSTRMNT_SCP_1 AS STRING)) IN ('N/A','11111111111','11111111111.00','11111111111.000000','1111-11-11'),1,0)) AS NUM_REG_DIF,'10' AS ID_EXEC, CURRENT_TIMESTAMP() AS TIME_EXEC FROM (SELECT instrmnt_id, MTHD_USD_INSTRMNT_SCP_1 FROM BU_LOANTAPE_WORK.LT002_INSTRUMENT WHERE ref_date='${ref_date}' AND nome_perimetro='Individual Corporativo' AND segmento='ESTR' AND ambito='PILAR3')X</v>
      </c>
      <c r="N372" s="45" t="s">
        <v>13</v>
      </c>
    </row>
    <row r="373" spans="2:14">
      <c r="B373" s="41" t="s">
        <v>27</v>
      </c>
      <c r="C373" s="41" t="s">
        <v>78</v>
      </c>
      <c r="D373" s="41" t="str">
        <f>+UPPER('0. Instruções'!$D$33&amp;"."&amp;VLOOKUP(B373,'0. Instruções'!$C$27:$D$31,2,FALSE))</f>
        <v>BU_LOANTAPE_WORK.LT002_INSTRUMENT</v>
      </c>
      <c r="E373" s="41" t="str">
        <f>+UPPER('0. Instruções'!$D$34&amp;"."&amp;VLOOKUP(B373,'0. Instruções'!$C$27:$E$31,3,FALSE))</f>
        <v>BU_LOANTAPE_WORK.LT002_INSTRUMENT_P3_NOV24</v>
      </c>
      <c r="F373" s="41" t="s">
        <v>153</v>
      </c>
      <c r="G373" s="41" t="s">
        <v>209</v>
      </c>
      <c r="H373" s="41"/>
      <c r="I373" s="41" t="str">
        <f>"(SELECT "&amp;VLOOKUP(B373,'0. Instruções'!$C$27:$G$31,4,FALSE)&amp;", "&amp;F373&amp;" FROM "&amp;D373&amp;" WHERE "&amp;'0. Instruções'!$D$40&amp;")X"</f>
        <v>(SELECT instrmnt_id, MTHD_USD_INSTRMNT_SCP_2 FROM BU_LOANTAPE_WORK.LT002_INSTRUMENT WHERE ref_date='${ref_date}' AND nome_perimetro='Individual Corporativo' AND segmento='ESTR' AND ambito='PILAR3')X</v>
      </c>
      <c r="J373" s="41" t="str">
        <f>"(SELECT "&amp;VLOOKUP(B373,'0. Instruções'!$C$27:$G$31,4,FALSE)&amp;" AS "&amp;VLOOKUP(B373,'0. Instruções'!$C$27:$G$31,4,FALSE)&amp;"_SIMUL, "&amp;F373&amp;" AS "&amp;F373&amp;"_SIMUL FROM "&amp;E373&amp;")Y"</f>
        <v>(SELECT instrmnt_id AS instrmnt_id_SIMUL, MTHD_USD_INSTRMNT_SCP_2 AS MTHD_USD_INSTRMNT_SCP_2_SIMUL FROM BU_LOANTAPE_WORK.LT002_INSTRUMENT_P3_NOV24)Y</v>
      </c>
      <c r="K373" s="42" t="str">
        <f>+UPPER("ON X."&amp;VLOOKUP(B373,'0. Instruções'!$C$27:$G$31,4,FALSE)&amp;"=Y."&amp;VLOOKUP(B373,'0. Instruções'!$C$27:$G$31,4,FALSE)&amp;"_SIMUL")</f>
        <v>ON X.INSTRMNT_ID=Y.INSTRMNT_ID_SIMUL</v>
      </c>
      <c r="L373" s="42" t="str">
        <f>+IF(C373="Coerência", +IF(LEFT(G373,5)="FLOAT","SELECT '"&amp;UPPER(B373)&amp;"' AS TABELA, '"&amp;UPPER(C373)&amp;"' AS TIPOLOGIA_TESTE,'"&amp;D373&amp;"' AS TABELA_LT,'"&amp;E373&amp;"' AS TABELA_SIMUL,'"&amp;F373&amp;"' AS CAMPO, "&amp;"'${ref_date}' AS REF_DATE, COUNT(*) AS NUM_REG, SUM(IF((ABS(COALESCE(X."&amp;F373&amp;",0)-COALESCE(Y."&amp;F373&amp;"_SIMUL,0))&gt;0.0000000001) OR (X."&amp;F373&amp;" IS NULL AND Y."&amp;F373&amp;"_SIMUL IS NOT NULL ) OR (X."&amp;F373&amp;" IS NOT NULL AND Y."&amp;F373&amp;"_SIMUL IS NULL),1,0)) AS NUM_REG_DIF,'"&amp;MAX('ID1&amp;5'!K:K)+1&amp;"' AS ID_EXEC, CURRENT_TIMESTAMP() AS TIME_EXEC FROM "&amp;I373&amp;" INNER JOIN "&amp;J373&amp;" "&amp;K373,"SELECT '"&amp;UPPER(B373)&amp;"' AS TABELA, '"&amp;UPPER(C373)&amp;"' AS TIPOLOGIA_TESTE,'"&amp;D373&amp;"' AS TABELA_LT,'"&amp;E373&amp;"' AS TABELA_SIMUL,'"&amp;F373&amp;"' AS CAMPO, "&amp;"'${ref_date}' AS REF_DATE, COUNT(*) AS NUM_REG, SUM(IF(COALESCE(CAST(X."&amp;F373&amp;" AS STRING),'')&lt;&gt;COALESCE(CAST(Y."&amp;F373&amp;"_SIMUL AS STRING),''),1,0)) AS NUM_REG_DIF,'"&amp;MAX('ID1&amp;5'!L:L)+1&amp;"' AS ID_EXEC, CURRENT_TIMESTAMP() AS TIME_EXEC FROM "&amp;I373&amp;" INNER JOIN "&amp;J373&amp;" "&amp;K373),
IF(C373="Validade",+IF(G373="Code List","SELECT '"&amp;UPPER(B373)&amp;"' AS TABELA, '"&amp;UPPER(C373)&amp;"' AS TIPOLOGIA_TESTE,'"&amp;D373&amp;"' AS TABELA_LT,'N/A' AS TABELA_SIMUL,'"&amp;F373&amp;"' AS CAMPO, "&amp;"'${ref_date}' AS REF_DATE, COUNT(*) AS NUM_REG, SUM(IF(TRIM(CAST(X."&amp;F373&amp;" AS STRING))='' OR TRIM(CAST(X."&amp;F373&amp;" AS STRING)) IS NULL OR CAST(X."&amp;F373&amp;" AS STRING) NOT "&amp;H373&amp;",1,0)) AS NUM_REG_DIF,'"&amp;MAX('ID1&amp;5'!K:K)+1&amp;"' AS ID_EXEC, CURRENT_TIMESTAMP() AS TIME_EXEC FROM "&amp;I373,"SELECT '"&amp;UPPER(B373)&amp;"' AS TABELA, '"&amp;UPPER(C373)&amp;"' AS TIPOLOGIA_TESTE,'"&amp;D373&amp;"' AS TABELA_LT,'N/A' AS TABELA_SIMUL,'"&amp;F373&amp;"' AS CAMPO, "&amp;"'${ref_date}' AS REF_DATE, COUNT(*) AS NUM_REG, SUM(IF(TRIM(CAST(X."&amp;F373&amp;" AS STRING))='' OR TRIM(CAST(X."&amp;F373&amp;" AS STRING)) IS NULL,1,0)) AS NUM_REG_DIF,'"&amp;MAX('ID1&amp;5'!K:K)+1&amp;"' AS ID_EXEC, CURRENT_TIMESTAMP() AS TIME_EXEC FROM "&amp;I373),
IF(C373="Caracteres Especiais",+"SELECT '"&amp;UPPER(B373)&amp;"' AS TABELA, '"&amp;UPPER(C373)&amp;"' AS TIPOLOGIA_TESTE,'"&amp;D373&amp;"' AS TABELA_LT,'N/A' AS TABELA_SIMUL,'"&amp;F373&amp;"' AS CAMPO, "&amp;"'${ref_date}' AS REF_DATE, COUNT(*) AS NUM_REG, SUM(IF(INSTR(CAST(X."&amp;F373&amp;" AS STRING),'#')&gt;0 OR INSTR(CAST(X."&amp;F373&amp;" AS STRING),'*')&gt;0 OR INSTR(CAST(X."&amp;F373&amp;" AS STRING),'`')&gt;0 OR INSTR(CAST(X."&amp;F373&amp;" AS STRING),'´')&gt;0 OR INSTR(CAST(X."&amp;F373&amp;" AS STRING),'{')&gt;0 OR INSTR(CAST(X."&amp;F373&amp;" AS STRING),'}')&gt;0 OR INSTR(CAST(X."&amp;F373&amp;" AS STRING),'[')&gt;0 OR INSTR(CAST(X."&amp;F373&amp;" AS STRING),'')&gt;0 OR INSTR(CAST(X."&amp;F373&amp;" AS STRING),']')&gt;0 OR INSTR(CAST(X."&amp;F373&amp;" AS STRING),'?')&gt;0 OR INSTR(CAST(X."&amp;F373&amp;" AS STRING),'!')&gt;0 OR INSTR(CAST(X."&amp;F373&amp;" AS STRING),'$')&gt;0 OR INSTR(CAST(X."&amp;F373&amp;" AS STRING),'%')&gt;0 OR INSTR(CAST(X."&amp;F373&amp;" AS STRING),'&amp;')&gt;0 OR INSTR(CAST(X."&amp;F373&amp;" AS STRING),'+')&gt;0,1,0)) AS NUM_REG_DIF,'"&amp;MAX('ID1&amp;5'!K:K)+1&amp;"' AS ID_EXEC, CURRENT_TIMESTAMP() AS TIME_EXEC FROM "&amp;I373,
IF(C373="Missings",+"SELECT '"&amp;UPPER(B373)&amp;"' AS TABELA, '"&amp;UPPER(C373)&amp;"' AS TIPOLOGIA_TESTE,'"&amp;D373&amp;"' AS TABELA_LT,'N/A' AS TABELA_SIMUL,'"&amp;F373&amp;"' AS CAMPO, "&amp;"'${ref_date}' AS REF_DATE, COUNT(*) AS NUM_REG, SUM(IF(TRIM(CAST(X."&amp;F373&amp;" AS STRING)) IN ('0000-00-00','0001-01-01','9999-12-31','MISS','00000','99999999999','99999999999.00','99999999999.000000'),1,0)) AS NUM_REG_DIF,'"&amp;MAX('ID1&amp;5'!K:K)+1&amp;"' AS ID_EXEC, CURRENT_TIMESTAMP() AS TIME_EXEC FROM "&amp;I373,
IF(C373="Not applicable",+"SELECT '"&amp;UPPER(B373)&amp;"' AS TABELA, '"&amp;UPPER(C373)&amp;"' AS TIPOLOGIA_TESTE,'"&amp;D373&amp;"' AS TABELA_LT,'N/A' AS TABELA_SIMUL,'"&amp;F373&amp;"' AS CAMPO, "&amp;"'${ref_date}' AS REF_DATE, COUNT(*) AS NUM_REG, SUM(IF(TRIM(CAST(X."&amp;F373&amp;" AS STRING)) IN ('N/A','11111111111','11111111111.00','11111111111.000000','1111-11-11'),1,0)) AS NUM_REG_DIF,'"&amp;MAX('ID1&amp;5'!K:K)+1&amp;"' AS ID_EXEC, CURRENT_TIMESTAMP() AS TIME_EXEC FROM "&amp;I373,
IF(C373="Valores extremos",+"SELECT '"&amp;UPPER(B373)&amp;"' AS TABELA, '"&amp;UPPER(C373)&amp;"' AS TIPOLOGIA_TESTE,'"&amp;D373&amp;"' AS TABELA_LT,'N/A' AS TABELA_SIMUL,'"&amp;F373&amp;"' AS CAMPO, "&amp;"'${ref_date}' AS REF_DATE, CAST(MIN("&amp;F373&amp;") AS STRING) AS VALOR_MIN, CAST(MAX("&amp;F373&amp;") AS STRING) AS VALOR_MAX,'"&amp;MAX('ID1&amp;5'!K:K)+1&amp;"' AS ID_EXEC, CURRENT_TIMESTAMP() AS TIME_EXEC FROM "&amp;MID(I373,1,LEN(I373)-2)&amp;" AND CAST("&amp;F373&amp;"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TABELA_SIMUL,'MTHD_USD_INSTRMNT_SCP_2' AS CAMPO, '${ref_date}' AS REF_DATE, COUNT(*) AS NUM_REG, SUM(IF(TRIM(CAST(X.MTHD_USD_INSTRMNT_SCP_2 AS STRING)) IN ('N/A','11111111111','11111111111.00','11111111111.000000','1111-11-11'),1,0)) AS NUM_REG_DIF,'10' AS ID_EXEC, CURRENT_TIMESTAMP() AS TIME_EXEC FROM (SELECT instrmnt_id, MTHD_USD_INSTRMNT_SCP_2 FROM BU_LOANTAPE_WORK.LT002_INSTRUMENT WHERE ref_date='${ref_date}' AND nome_perimetro='Individual Corporativo' AND segmento='ESTR' AND ambito='PILAR3')X</v>
      </c>
      <c r="M373" s="43" t="str">
        <f t="shared" si="6"/>
        <v>UNION ALL SELECT 'INSTRUMENT' AS TABELA, 'NOT APPLICABLE' AS TIPOLOGIA_TESTE,'BU_LOANTAPE_WORK.LT002_INSTRUMENT' AS TABELA_LT,'N/A' AS TABELA_SIMUL,'MTHD_USD_INSTRMNT_SCP_2' AS CAMPO, '${ref_date}' AS REF_DATE, COUNT(*) AS NUM_REG, SUM(IF(TRIM(CAST(X.MTHD_USD_INSTRMNT_SCP_2 AS STRING)) IN ('N/A','11111111111','11111111111.00','11111111111.000000','1111-11-11'),1,0)) AS NUM_REG_DIF,'10' AS ID_EXEC, CURRENT_TIMESTAMP() AS TIME_EXEC FROM (SELECT instrmnt_id, MTHD_USD_INSTRMNT_SCP_2 FROM BU_LOANTAPE_WORK.LT002_INSTRUMENT WHERE ref_date='${ref_date}' AND nome_perimetro='Individual Corporativo' AND segmento='ESTR' AND ambito='PILAR3')X</v>
      </c>
      <c r="N373" s="45" t="s">
        <v>13</v>
      </c>
    </row>
    <row r="374" spans="2:14">
      <c r="B374" s="41" t="s">
        <v>27</v>
      </c>
      <c r="C374" s="41" t="s">
        <v>78</v>
      </c>
      <c r="D374" s="41" t="str">
        <f>+UPPER('0. Instruções'!$D$33&amp;"."&amp;VLOOKUP(B374,'0. Instruções'!$C$27:$D$31,2,FALSE))</f>
        <v>BU_LOANTAPE_WORK.LT002_INSTRUMENT</v>
      </c>
      <c r="E374" s="41" t="str">
        <f>+UPPER('0. Instruções'!$D$34&amp;"."&amp;VLOOKUP(B374,'0. Instruções'!$C$27:$E$31,3,FALSE))</f>
        <v>BU_LOANTAPE_WORK.LT002_INSTRUMENT_P3_NOV24</v>
      </c>
      <c r="F374" s="41" t="s">
        <v>154</v>
      </c>
      <c r="G374" s="41" t="s">
        <v>209</v>
      </c>
      <c r="H374" s="41"/>
      <c r="I374" s="41" t="str">
        <f>"(SELECT "&amp;VLOOKUP(B374,'0. Instruções'!$C$27:$G$31,4,FALSE)&amp;", "&amp;F374&amp;" FROM "&amp;D374&amp;" WHERE "&amp;'0. Instruções'!$D$40&amp;")X"</f>
        <v>(SELECT instrmnt_id, MTHD_USD_INSTRMNT_SCP_3 FROM BU_LOANTAPE_WORK.LT002_INSTRUMENT WHERE ref_date='${ref_date}' AND nome_perimetro='Individual Corporativo' AND segmento='ESTR' AND ambito='PILAR3')X</v>
      </c>
      <c r="J374" s="41" t="str">
        <f>"(SELECT "&amp;VLOOKUP(B374,'0. Instruções'!$C$27:$G$31,4,FALSE)&amp;" AS "&amp;VLOOKUP(B374,'0. Instruções'!$C$27:$G$31,4,FALSE)&amp;"_SIMUL, "&amp;F374&amp;" AS "&amp;F374&amp;"_SIMUL FROM "&amp;E374&amp;")Y"</f>
        <v>(SELECT instrmnt_id AS instrmnt_id_SIMUL, MTHD_USD_INSTRMNT_SCP_3 AS MTHD_USD_INSTRMNT_SCP_3_SIMUL FROM BU_LOANTAPE_WORK.LT002_INSTRUMENT_P3_NOV24)Y</v>
      </c>
      <c r="K374" s="42" t="str">
        <f>+UPPER("ON X."&amp;VLOOKUP(B374,'0. Instruções'!$C$27:$G$31,4,FALSE)&amp;"=Y."&amp;VLOOKUP(B374,'0. Instruções'!$C$27:$G$31,4,FALSE)&amp;"_SIMUL")</f>
        <v>ON X.INSTRMNT_ID=Y.INSTRMNT_ID_SIMUL</v>
      </c>
      <c r="L374" s="42" t="str">
        <f>+IF(C374="Coerência", +IF(LEFT(G374,5)="FLOAT","SELECT '"&amp;UPPER(B374)&amp;"' AS TABELA, '"&amp;UPPER(C374)&amp;"' AS TIPOLOGIA_TESTE,'"&amp;D374&amp;"' AS TABELA_LT,'"&amp;E374&amp;"' AS TABELA_SIMUL,'"&amp;F374&amp;"' AS CAMPO, "&amp;"'${ref_date}' AS REF_DATE, COUNT(*) AS NUM_REG, SUM(IF((ABS(COALESCE(X."&amp;F374&amp;",0)-COALESCE(Y."&amp;F374&amp;"_SIMUL,0))&gt;0.0000000001) OR (X."&amp;F374&amp;" IS NULL AND Y."&amp;F374&amp;"_SIMUL IS NOT NULL ) OR (X."&amp;F374&amp;" IS NOT NULL AND Y."&amp;F374&amp;"_SIMUL IS NULL),1,0)) AS NUM_REG_DIF,'"&amp;MAX('ID1&amp;5'!K:K)+1&amp;"' AS ID_EXEC, CURRENT_TIMESTAMP() AS TIME_EXEC FROM "&amp;I374&amp;" INNER JOIN "&amp;J374&amp;" "&amp;K374,"SELECT '"&amp;UPPER(B374)&amp;"' AS TABELA, '"&amp;UPPER(C374)&amp;"' AS TIPOLOGIA_TESTE,'"&amp;D374&amp;"' AS TABELA_LT,'"&amp;E374&amp;"' AS TABELA_SIMUL,'"&amp;F374&amp;"' AS CAMPO, "&amp;"'${ref_date}' AS REF_DATE, COUNT(*) AS NUM_REG, SUM(IF(COALESCE(CAST(X."&amp;F374&amp;" AS STRING),'')&lt;&gt;COALESCE(CAST(Y."&amp;F374&amp;"_SIMUL AS STRING),''),1,0)) AS NUM_REG_DIF,'"&amp;MAX('ID1&amp;5'!L:L)+1&amp;"' AS ID_EXEC, CURRENT_TIMESTAMP() AS TIME_EXEC FROM "&amp;I374&amp;" INNER JOIN "&amp;J374&amp;" "&amp;K374),
IF(C374="Validade",+IF(G374="Code List","SELECT '"&amp;UPPER(B374)&amp;"' AS TABELA, '"&amp;UPPER(C374)&amp;"' AS TIPOLOGIA_TESTE,'"&amp;D374&amp;"' AS TABELA_LT,'N/A' AS TABELA_SIMUL,'"&amp;F374&amp;"' AS CAMPO, "&amp;"'${ref_date}' AS REF_DATE, COUNT(*) AS NUM_REG, SUM(IF(TRIM(CAST(X."&amp;F374&amp;" AS STRING))='' OR TRIM(CAST(X."&amp;F374&amp;" AS STRING)) IS NULL OR CAST(X."&amp;F374&amp;" AS STRING) NOT "&amp;H374&amp;",1,0)) AS NUM_REG_DIF,'"&amp;MAX('ID1&amp;5'!K:K)+1&amp;"' AS ID_EXEC, CURRENT_TIMESTAMP() AS TIME_EXEC FROM "&amp;I374,"SELECT '"&amp;UPPER(B374)&amp;"' AS TABELA, '"&amp;UPPER(C374)&amp;"' AS TIPOLOGIA_TESTE,'"&amp;D374&amp;"' AS TABELA_LT,'N/A' AS TABELA_SIMUL,'"&amp;F374&amp;"' AS CAMPO, "&amp;"'${ref_date}' AS REF_DATE, COUNT(*) AS NUM_REG, SUM(IF(TRIM(CAST(X."&amp;F374&amp;" AS STRING))='' OR TRIM(CAST(X."&amp;F374&amp;" AS STRING)) IS NULL,1,0)) AS NUM_REG_DIF,'"&amp;MAX('ID1&amp;5'!K:K)+1&amp;"' AS ID_EXEC, CURRENT_TIMESTAMP() AS TIME_EXEC FROM "&amp;I374),
IF(C374="Caracteres Especiais",+"SELECT '"&amp;UPPER(B374)&amp;"' AS TABELA, '"&amp;UPPER(C374)&amp;"' AS TIPOLOGIA_TESTE,'"&amp;D374&amp;"' AS TABELA_LT,'N/A' AS TABELA_SIMUL,'"&amp;F374&amp;"' AS CAMPO, "&amp;"'${ref_date}' AS REF_DATE, COUNT(*) AS NUM_REG, SUM(IF(INSTR(CAST(X."&amp;F374&amp;" AS STRING),'#')&gt;0 OR INSTR(CAST(X."&amp;F374&amp;" AS STRING),'*')&gt;0 OR INSTR(CAST(X."&amp;F374&amp;" AS STRING),'`')&gt;0 OR INSTR(CAST(X."&amp;F374&amp;" AS STRING),'´')&gt;0 OR INSTR(CAST(X."&amp;F374&amp;" AS STRING),'{')&gt;0 OR INSTR(CAST(X."&amp;F374&amp;" AS STRING),'}')&gt;0 OR INSTR(CAST(X."&amp;F374&amp;" AS STRING),'[')&gt;0 OR INSTR(CAST(X."&amp;F374&amp;" AS STRING),'')&gt;0 OR INSTR(CAST(X."&amp;F374&amp;" AS STRING),']')&gt;0 OR INSTR(CAST(X."&amp;F374&amp;" AS STRING),'?')&gt;0 OR INSTR(CAST(X."&amp;F374&amp;" AS STRING),'!')&gt;0 OR INSTR(CAST(X."&amp;F374&amp;" AS STRING),'$')&gt;0 OR INSTR(CAST(X."&amp;F374&amp;" AS STRING),'%')&gt;0 OR INSTR(CAST(X."&amp;F374&amp;" AS STRING),'&amp;')&gt;0 OR INSTR(CAST(X."&amp;F374&amp;" AS STRING),'+')&gt;0,1,0)) AS NUM_REG_DIF,'"&amp;MAX('ID1&amp;5'!K:K)+1&amp;"' AS ID_EXEC, CURRENT_TIMESTAMP() AS TIME_EXEC FROM "&amp;I374,
IF(C374="Missings",+"SELECT '"&amp;UPPER(B374)&amp;"' AS TABELA, '"&amp;UPPER(C374)&amp;"' AS TIPOLOGIA_TESTE,'"&amp;D374&amp;"' AS TABELA_LT,'N/A' AS TABELA_SIMUL,'"&amp;F374&amp;"' AS CAMPO, "&amp;"'${ref_date}' AS REF_DATE, COUNT(*) AS NUM_REG, SUM(IF(TRIM(CAST(X."&amp;F374&amp;" AS STRING)) IN ('0000-00-00','0001-01-01','9999-12-31','MISS','00000','99999999999','99999999999.00','99999999999.000000'),1,0)) AS NUM_REG_DIF,'"&amp;MAX('ID1&amp;5'!K:K)+1&amp;"' AS ID_EXEC, CURRENT_TIMESTAMP() AS TIME_EXEC FROM "&amp;I374,
IF(C374="Not applicable",+"SELECT '"&amp;UPPER(B374)&amp;"' AS TABELA, '"&amp;UPPER(C374)&amp;"' AS TIPOLOGIA_TESTE,'"&amp;D374&amp;"' AS TABELA_LT,'N/A' AS TABELA_SIMUL,'"&amp;F374&amp;"' AS CAMPO, "&amp;"'${ref_date}' AS REF_DATE, COUNT(*) AS NUM_REG, SUM(IF(TRIM(CAST(X."&amp;F374&amp;" AS STRING)) IN ('N/A','11111111111','11111111111.00','11111111111.000000','1111-11-11'),1,0)) AS NUM_REG_DIF,'"&amp;MAX('ID1&amp;5'!K:K)+1&amp;"' AS ID_EXEC, CURRENT_TIMESTAMP() AS TIME_EXEC FROM "&amp;I374,
IF(C374="Valores extremos",+"SELECT '"&amp;UPPER(B374)&amp;"' AS TABELA, '"&amp;UPPER(C374)&amp;"' AS TIPOLOGIA_TESTE,'"&amp;D374&amp;"' AS TABELA_LT,'N/A' AS TABELA_SIMUL,'"&amp;F374&amp;"' AS CAMPO, "&amp;"'${ref_date}' AS REF_DATE, CAST(MIN("&amp;F374&amp;") AS STRING) AS VALOR_MIN, CAST(MAX("&amp;F374&amp;") AS STRING) AS VALOR_MAX,'"&amp;MAX('ID1&amp;5'!K:K)+1&amp;"' AS ID_EXEC, CURRENT_TIMESTAMP() AS TIME_EXEC FROM "&amp;MID(I374,1,LEN(I374)-2)&amp;" AND CAST("&amp;F374&amp;"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TABELA_SIMUL,'MTHD_USD_INSTRMNT_SCP_3' AS CAMPO, '${ref_date}' AS REF_DATE, COUNT(*) AS NUM_REG, SUM(IF(TRIM(CAST(X.MTHD_USD_INSTRMNT_SCP_3 AS STRING)) IN ('N/A','11111111111','11111111111.00','11111111111.000000','1111-11-11'),1,0)) AS NUM_REG_DIF,'10' AS ID_EXEC, CURRENT_TIMESTAMP() AS TIME_EXEC FROM (SELECT instrmnt_id, MTHD_USD_INSTRMNT_SCP_3 FROM BU_LOANTAPE_WORK.LT002_INSTRUMENT WHERE ref_date='${ref_date}' AND nome_perimetro='Individual Corporativo' AND segmento='ESTR' AND ambito='PILAR3')X</v>
      </c>
      <c r="M374" s="43" t="str">
        <f t="shared" si="6"/>
        <v>UNION ALL SELECT 'INSTRUMENT' AS TABELA, 'NOT APPLICABLE' AS TIPOLOGIA_TESTE,'BU_LOANTAPE_WORK.LT002_INSTRUMENT' AS TABELA_LT,'N/A' AS TABELA_SIMUL,'MTHD_USD_INSTRMNT_SCP_3' AS CAMPO, '${ref_date}' AS REF_DATE, COUNT(*) AS NUM_REG, SUM(IF(TRIM(CAST(X.MTHD_USD_INSTRMNT_SCP_3 AS STRING)) IN ('N/A','11111111111','11111111111.00','11111111111.000000','1111-11-11'),1,0)) AS NUM_REG_DIF,'10' AS ID_EXEC, CURRENT_TIMESTAMP() AS TIME_EXEC FROM (SELECT instrmnt_id, MTHD_USD_INSTRMNT_SCP_3 FROM BU_LOANTAPE_WORK.LT002_INSTRUMENT WHERE ref_date='${ref_date}' AND nome_perimetro='Individual Corporativo' AND segmento='ESTR' AND ambito='PILAR3')X</v>
      </c>
      <c r="N374" s="45" t="s">
        <v>13</v>
      </c>
    </row>
    <row r="375" spans="2:14">
      <c r="B375" s="41" t="s">
        <v>27</v>
      </c>
      <c r="C375" s="41" t="s">
        <v>78</v>
      </c>
      <c r="D375" s="41" t="str">
        <f>+UPPER('0. Instruções'!$D$33&amp;"."&amp;VLOOKUP(B375,'0. Instruções'!$C$27:$D$31,2,FALSE))</f>
        <v>BU_LOANTAPE_WORK.LT002_INSTRUMENT</v>
      </c>
      <c r="E375" s="41" t="str">
        <f>+UPPER('0. Instruções'!$D$34&amp;"."&amp;VLOOKUP(B375,'0. Instruções'!$C$27:$E$31,3,FALSE))</f>
        <v>BU_LOANTAPE_WORK.LT002_INSTRUMENT_P3_NOV24</v>
      </c>
      <c r="F375" s="41" t="s">
        <v>155</v>
      </c>
      <c r="G375" s="41" t="s">
        <v>209</v>
      </c>
      <c r="H375" s="41"/>
      <c r="I375" s="41" t="str">
        <f>"(SELECT "&amp;VLOOKUP(B375,'0. Instruções'!$C$27:$G$31,4,FALSE)&amp;", "&amp;F375&amp;" FROM "&amp;D375&amp;" WHERE "&amp;'0. Instruções'!$D$40&amp;")X"</f>
        <v>(SELECT instrmnt_id, SSTNBL_CTGRY_TXNMY FROM BU_LOANTAPE_WORK.LT002_INSTRUMENT WHERE ref_date='${ref_date}' AND nome_perimetro='Individual Corporativo' AND segmento='ESTR' AND ambito='PILAR3')X</v>
      </c>
      <c r="J375" s="41" t="str">
        <f>"(SELECT "&amp;VLOOKUP(B375,'0. Instruções'!$C$27:$G$31,4,FALSE)&amp;" AS "&amp;VLOOKUP(B375,'0. Instruções'!$C$27:$G$31,4,FALSE)&amp;"_SIMUL, "&amp;F375&amp;" AS "&amp;F375&amp;"_SIMUL FROM "&amp;E375&amp;")Y"</f>
        <v>(SELECT instrmnt_id AS instrmnt_id_SIMUL, SSTNBL_CTGRY_TXNMY AS SSTNBL_CTGRY_TXNMY_SIMUL FROM BU_LOANTAPE_WORK.LT002_INSTRUMENT_P3_NOV24)Y</v>
      </c>
      <c r="K375" s="42" t="str">
        <f>+UPPER("ON X."&amp;VLOOKUP(B375,'0. Instruções'!$C$27:$G$31,4,FALSE)&amp;"=Y."&amp;VLOOKUP(B375,'0. Instruções'!$C$27:$G$31,4,FALSE)&amp;"_SIMUL")</f>
        <v>ON X.INSTRMNT_ID=Y.INSTRMNT_ID_SIMUL</v>
      </c>
      <c r="L375" s="42" t="str">
        <f>+IF(C375="Coerência", +IF(LEFT(G375,5)="FLOAT","SELECT '"&amp;UPPER(B375)&amp;"' AS TABELA, '"&amp;UPPER(C375)&amp;"' AS TIPOLOGIA_TESTE,'"&amp;D375&amp;"' AS TABELA_LT,'"&amp;E375&amp;"' AS TABELA_SIMUL,'"&amp;F375&amp;"' AS CAMPO, "&amp;"'${ref_date}' AS REF_DATE, COUNT(*) AS NUM_REG, SUM(IF((ABS(COALESCE(X."&amp;F375&amp;",0)-COALESCE(Y."&amp;F375&amp;"_SIMUL,0))&gt;0.0000000001) OR (X."&amp;F375&amp;" IS NULL AND Y."&amp;F375&amp;"_SIMUL IS NOT NULL ) OR (X."&amp;F375&amp;" IS NOT NULL AND Y."&amp;F375&amp;"_SIMUL IS NULL),1,0)) AS NUM_REG_DIF,'"&amp;MAX('ID1&amp;5'!K:K)+1&amp;"' AS ID_EXEC, CURRENT_TIMESTAMP() AS TIME_EXEC FROM "&amp;I375&amp;" INNER JOIN "&amp;J375&amp;" "&amp;K375,"SELECT '"&amp;UPPER(B375)&amp;"' AS TABELA, '"&amp;UPPER(C375)&amp;"' AS TIPOLOGIA_TESTE,'"&amp;D375&amp;"' AS TABELA_LT,'"&amp;E375&amp;"' AS TABELA_SIMUL,'"&amp;F375&amp;"' AS CAMPO, "&amp;"'${ref_date}' AS REF_DATE, COUNT(*) AS NUM_REG, SUM(IF(COALESCE(CAST(X."&amp;F375&amp;" AS STRING),'')&lt;&gt;COALESCE(CAST(Y."&amp;F375&amp;"_SIMUL AS STRING),''),1,0)) AS NUM_REG_DIF,'"&amp;MAX('ID1&amp;5'!L:L)+1&amp;"' AS ID_EXEC, CURRENT_TIMESTAMP() AS TIME_EXEC FROM "&amp;I375&amp;" INNER JOIN "&amp;J375&amp;" "&amp;K375),
IF(C375="Validade",+IF(G375="Code List","SELECT '"&amp;UPPER(B375)&amp;"' AS TABELA, '"&amp;UPPER(C375)&amp;"' AS TIPOLOGIA_TESTE,'"&amp;D375&amp;"' AS TABELA_LT,'N/A' AS TABELA_SIMUL,'"&amp;F375&amp;"' AS CAMPO, "&amp;"'${ref_date}' AS REF_DATE, COUNT(*) AS NUM_REG, SUM(IF(TRIM(CAST(X."&amp;F375&amp;" AS STRING))='' OR TRIM(CAST(X."&amp;F375&amp;" AS STRING)) IS NULL OR CAST(X."&amp;F375&amp;" AS STRING) NOT "&amp;H375&amp;",1,0)) AS NUM_REG_DIF,'"&amp;MAX('ID1&amp;5'!K:K)+1&amp;"' AS ID_EXEC, CURRENT_TIMESTAMP() AS TIME_EXEC FROM "&amp;I375,"SELECT '"&amp;UPPER(B375)&amp;"' AS TABELA, '"&amp;UPPER(C375)&amp;"' AS TIPOLOGIA_TESTE,'"&amp;D375&amp;"' AS TABELA_LT,'N/A' AS TABELA_SIMUL,'"&amp;F375&amp;"' AS CAMPO, "&amp;"'${ref_date}' AS REF_DATE, COUNT(*) AS NUM_REG, SUM(IF(TRIM(CAST(X."&amp;F375&amp;" AS STRING))='' OR TRIM(CAST(X."&amp;F375&amp;" AS STRING)) IS NULL,1,0)) AS NUM_REG_DIF,'"&amp;MAX('ID1&amp;5'!K:K)+1&amp;"' AS ID_EXEC, CURRENT_TIMESTAMP() AS TIME_EXEC FROM "&amp;I375),
IF(C375="Caracteres Especiais",+"SELECT '"&amp;UPPER(B375)&amp;"' AS TABELA, '"&amp;UPPER(C375)&amp;"' AS TIPOLOGIA_TESTE,'"&amp;D375&amp;"' AS TABELA_LT,'N/A' AS TABELA_SIMUL,'"&amp;F375&amp;"' AS CAMPO, "&amp;"'${ref_date}' AS REF_DATE, COUNT(*) AS NUM_REG, SUM(IF(INSTR(CAST(X."&amp;F375&amp;" AS STRING),'#')&gt;0 OR INSTR(CAST(X."&amp;F375&amp;" AS STRING),'*')&gt;0 OR INSTR(CAST(X."&amp;F375&amp;" AS STRING),'`')&gt;0 OR INSTR(CAST(X."&amp;F375&amp;" AS STRING),'´')&gt;0 OR INSTR(CAST(X."&amp;F375&amp;" AS STRING),'{')&gt;0 OR INSTR(CAST(X."&amp;F375&amp;" AS STRING),'}')&gt;0 OR INSTR(CAST(X."&amp;F375&amp;" AS STRING),'[')&gt;0 OR INSTR(CAST(X."&amp;F375&amp;" AS STRING),'')&gt;0 OR INSTR(CAST(X."&amp;F375&amp;" AS STRING),']')&gt;0 OR INSTR(CAST(X."&amp;F375&amp;" AS STRING),'?')&gt;0 OR INSTR(CAST(X."&amp;F375&amp;" AS STRING),'!')&gt;0 OR INSTR(CAST(X."&amp;F375&amp;" AS STRING),'$')&gt;0 OR INSTR(CAST(X."&amp;F375&amp;" AS STRING),'%')&gt;0 OR INSTR(CAST(X."&amp;F375&amp;" AS STRING),'&amp;')&gt;0 OR INSTR(CAST(X."&amp;F375&amp;" AS STRING),'+')&gt;0,1,0)) AS NUM_REG_DIF,'"&amp;MAX('ID1&amp;5'!K:K)+1&amp;"' AS ID_EXEC, CURRENT_TIMESTAMP() AS TIME_EXEC FROM "&amp;I375,
IF(C375="Missings",+"SELECT '"&amp;UPPER(B375)&amp;"' AS TABELA, '"&amp;UPPER(C375)&amp;"' AS TIPOLOGIA_TESTE,'"&amp;D375&amp;"' AS TABELA_LT,'N/A' AS TABELA_SIMUL,'"&amp;F375&amp;"' AS CAMPO, "&amp;"'${ref_date}' AS REF_DATE, COUNT(*) AS NUM_REG, SUM(IF(TRIM(CAST(X."&amp;F375&amp;" AS STRING)) IN ('0000-00-00','0001-01-01','9999-12-31','MISS','00000','99999999999','99999999999.00','99999999999.000000'),1,0)) AS NUM_REG_DIF,'"&amp;MAX('ID1&amp;5'!K:K)+1&amp;"' AS ID_EXEC, CURRENT_TIMESTAMP() AS TIME_EXEC FROM "&amp;I375,
IF(C375="Not applicable",+"SELECT '"&amp;UPPER(B375)&amp;"' AS TABELA, '"&amp;UPPER(C375)&amp;"' AS TIPOLOGIA_TESTE,'"&amp;D375&amp;"' AS TABELA_LT,'N/A' AS TABELA_SIMUL,'"&amp;F375&amp;"' AS CAMPO, "&amp;"'${ref_date}' AS REF_DATE, COUNT(*) AS NUM_REG, SUM(IF(TRIM(CAST(X."&amp;F375&amp;" AS STRING)) IN ('N/A','11111111111','11111111111.00','11111111111.000000','1111-11-11'),1,0)) AS NUM_REG_DIF,'"&amp;MAX('ID1&amp;5'!K:K)+1&amp;"' AS ID_EXEC, CURRENT_TIMESTAMP() AS TIME_EXEC FROM "&amp;I375,
IF(C375="Valores extremos",+"SELECT '"&amp;UPPER(B375)&amp;"' AS TABELA, '"&amp;UPPER(C375)&amp;"' AS TIPOLOGIA_TESTE,'"&amp;D375&amp;"' AS TABELA_LT,'N/A' AS TABELA_SIMUL,'"&amp;F375&amp;"' AS CAMPO, "&amp;"'${ref_date}' AS REF_DATE, CAST(MIN("&amp;F375&amp;") AS STRING) AS VALOR_MIN, CAST(MAX("&amp;F375&amp;") AS STRING) AS VALOR_MAX,'"&amp;MAX('ID1&amp;5'!K:K)+1&amp;"' AS ID_EXEC, CURRENT_TIMESTAMP() AS TIME_EXEC FROM "&amp;MID(I375,1,LEN(I375)-2)&amp;" AND CAST("&amp;F375&amp;"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TABELA_SIMUL,'SSTNBL_CTGRY_TXNMY' AS CAMPO, '${ref_date}' AS REF_DATE, COUNT(*) AS NUM_REG, SUM(IF(TRIM(CAST(X.SSTNBL_CTGRY_TXNMY AS STRING)) IN ('N/A','11111111111','11111111111.00','11111111111.000000','1111-11-11'),1,0)) AS NUM_REG_DIF,'10' AS ID_EXEC, CURRENT_TIMESTAMP() AS TIME_EXEC FROM (SELECT instrmnt_id, SSTNBL_CTGRY_TXNMY FROM BU_LOANTAPE_WORK.LT002_INSTRUMENT WHERE ref_date='${ref_date}' AND nome_perimetro='Individual Corporativo' AND segmento='ESTR' AND ambito='PILAR3')X</v>
      </c>
      <c r="M375" s="43" t="str">
        <f t="shared" si="6"/>
        <v>UNION ALL SELECT 'INSTRUMENT' AS TABELA, 'NOT APPLICABLE' AS TIPOLOGIA_TESTE,'BU_LOANTAPE_WORK.LT002_INSTRUMENT' AS TABELA_LT,'N/A' AS TABELA_SIMUL,'SSTNBL_CTGRY_TXNMY' AS CAMPO, '${ref_date}' AS REF_DATE, COUNT(*) AS NUM_REG, SUM(IF(TRIM(CAST(X.SSTNBL_CTGRY_TXNMY AS STRING)) IN ('N/A','11111111111','11111111111.00','11111111111.000000','1111-11-11'),1,0)) AS NUM_REG_DIF,'10' AS ID_EXEC, CURRENT_TIMESTAMP() AS TIME_EXEC FROM (SELECT instrmnt_id, SSTNBL_CTGRY_TXNMY FROM BU_LOANTAPE_WORK.LT002_INSTRUMENT WHERE ref_date='${ref_date}' AND nome_perimetro='Individual Corporativo' AND segmento='ESTR' AND ambito='PILAR3')X</v>
      </c>
      <c r="N375" s="45" t="s">
        <v>13</v>
      </c>
    </row>
    <row r="376" spans="2:14">
      <c r="B376" s="41" t="s">
        <v>27</v>
      </c>
      <c r="C376" s="41" t="s">
        <v>78</v>
      </c>
      <c r="D376" s="41" t="str">
        <f>+UPPER('0. Instruções'!$D$33&amp;"."&amp;VLOOKUP(B376,'0. Instruções'!$C$27:$D$31,2,FALSE))</f>
        <v>BU_LOANTAPE_WORK.LT002_INSTRUMENT</v>
      </c>
      <c r="E376" s="41" t="str">
        <f>+UPPER('0. Instruções'!$D$34&amp;"."&amp;VLOOKUP(B376,'0. Instruções'!$C$27:$E$31,3,FALSE))</f>
        <v>BU_LOANTAPE_WORK.LT002_INSTRUMENT_P3_NOV24</v>
      </c>
      <c r="F376" s="41" t="s">
        <v>156</v>
      </c>
      <c r="G376" s="41" t="s">
        <v>13</v>
      </c>
      <c r="H376" s="41"/>
      <c r="I376" s="41" t="str">
        <f>"(SELECT "&amp;VLOOKUP(B376,'0. Instruções'!$C$27:$G$31,4,FALSE)&amp;", "&amp;F376&amp;" FROM "&amp;D376&amp;" WHERE "&amp;'0. Instruções'!$D$40&amp;")X"</f>
        <v>(SELECT instrmnt_id, DT_RFRNC FROM BU_LOANTAPE_WORK.LT002_INSTRUMENT WHERE ref_date='${ref_date}' AND nome_perimetro='Individual Corporativo' AND segmento='ESTR' AND ambito='PILAR3')X</v>
      </c>
      <c r="J376" s="41" t="str">
        <f>"(SELECT "&amp;VLOOKUP(B376,'0. Instruções'!$C$27:$G$31,4,FALSE)&amp;" AS "&amp;VLOOKUP(B376,'0. Instruções'!$C$27:$G$31,4,FALSE)&amp;"_SIMUL, "&amp;F376&amp;" AS "&amp;F376&amp;"_SIMUL FROM "&amp;E376&amp;")Y"</f>
        <v>(SELECT instrmnt_id AS instrmnt_id_SIMUL, DT_RFRNC AS DT_RFRNC_SIMUL FROM BU_LOANTAPE_WORK.LT002_INSTRUMENT_P3_NOV24)Y</v>
      </c>
      <c r="K376" s="42" t="str">
        <f>+UPPER("ON X."&amp;VLOOKUP(B376,'0. Instruções'!$C$27:$G$31,4,FALSE)&amp;"=Y."&amp;VLOOKUP(B376,'0. Instruções'!$C$27:$G$31,4,FALSE)&amp;"_SIMUL")</f>
        <v>ON X.INSTRMNT_ID=Y.INSTRMNT_ID_SIMUL</v>
      </c>
      <c r="L376" s="42" t="str">
        <f>+IF(C376="Coerência", +IF(LEFT(G376,5)="FLOAT","SELECT '"&amp;UPPER(B376)&amp;"' AS TABELA, '"&amp;UPPER(C376)&amp;"' AS TIPOLOGIA_TESTE,'"&amp;D376&amp;"' AS TABELA_LT,'"&amp;E376&amp;"' AS TABELA_SIMUL,'"&amp;F376&amp;"' AS CAMPO, "&amp;"'${ref_date}' AS REF_DATE, COUNT(*) AS NUM_REG, SUM(IF((ABS(COALESCE(X."&amp;F376&amp;",0)-COALESCE(Y."&amp;F376&amp;"_SIMUL,0))&gt;0.0000000001) OR (X."&amp;F376&amp;" IS NULL AND Y."&amp;F376&amp;"_SIMUL IS NOT NULL ) OR (X."&amp;F376&amp;" IS NOT NULL AND Y."&amp;F376&amp;"_SIMUL IS NULL),1,0)) AS NUM_REG_DIF,'"&amp;MAX('ID1&amp;5'!K:K)+1&amp;"' AS ID_EXEC, CURRENT_TIMESTAMP() AS TIME_EXEC FROM "&amp;I376&amp;" INNER JOIN "&amp;J376&amp;" "&amp;K376,"SELECT '"&amp;UPPER(B376)&amp;"' AS TABELA, '"&amp;UPPER(C376)&amp;"' AS TIPOLOGIA_TESTE,'"&amp;D376&amp;"' AS TABELA_LT,'"&amp;E376&amp;"' AS TABELA_SIMUL,'"&amp;F376&amp;"' AS CAMPO, "&amp;"'${ref_date}' AS REF_DATE, COUNT(*) AS NUM_REG, SUM(IF(COALESCE(CAST(X."&amp;F376&amp;" AS STRING),'')&lt;&gt;COALESCE(CAST(Y."&amp;F376&amp;"_SIMUL AS STRING),''),1,0)) AS NUM_REG_DIF,'"&amp;MAX('ID1&amp;5'!L:L)+1&amp;"' AS ID_EXEC, CURRENT_TIMESTAMP() AS TIME_EXEC FROM "&amp;I376&amp;" INNER JOIN "&amp;J376&amp;" "&amp;K376),
IF(C376="Validade",+IF(G376="Code List","SELECT '"&amp;UPPER(B376)&amp;"' AS TABELA, '"&amp;UPPER(C376)&amp;"' AS TIPOLOGIA_TESTE,'"&amp;D376&amp;"' AS TABELA_LT,'N/A' AS TABELA_SIMUL,'"&amp;F376&amp;"' AS CAMPO, "&amp;"'${ref_date}' AS REF_DATE, COUNT(*) AS NUM_REG, SUM(IF(TRIM(CAST(X."&amp;F376&amp;" AS STRING))='' OR TRIM(CAST(X."&amp;F376&amp;" AS STRING)) IS NULL OR CAST(X."&amp;F376&amp;" AS STRING) NOT "&amp;H376&amp;",1,0)) AS NUM_REG_DIF,'"&amp;MAX('ID1&amp;5'!K:K)+1&amp;"' AS ID_EXEC, CURRENT_TIMESTAMP() AS TIME_EXEC FROM "&amp;I376,"SELECT '"&amp;UPPER(B376)&amp;"' AS TABELA, '"&amp;UPPER(C376)&amp;"' AS TIPOLOGIA_TESTE,'"&amp;D376&amp;"' AS TABELA_LT,'N/A' AS TABELA_SIMUL,'"&amp;F376&amp;"' AS CAMPO, "&amp;"'${ref_date}' AS REF_DATE, COUNT(*) AS NUM_REG, SUM(IF(TRIM(CAST(X."&amp;F376&amp;" AS STRING))='' OR TRIM(CAST(X."&amp;F376&amp;" AS STRING)) IS NULL,1,0)) AS NUM_REG_DIF,'"&amp;MAX('ID1&amp;5'!K:K)+1&amp;"' AS ID_EXEC, CURRENT_TIMESTAMP() AS TIME_EXEC FROM "&amp;I376),
IF(C376="Caracteres Especiais",+"SELECT '"&amp;UPPER(B376)&amp;"' AS TABELA, '"&amp;UPPER(C376)&amp;"' AS TIPOLOGIA_TESTE,'"&amp;D376&amp;"' AS TABELA_LT,'N/A' AS TABELA_SIMUL,'"&amp;F376&amp;"' AS CAMPO, "&amp;"'${ref_date}' AS REF_DATE, COUNT(*) AS NUM_REG, SUM(IF(INSTR(CAST(X."&amp;F376&amp;" AS STRING),'#')&gt;0 OR INSTR(CAST(X."&amp;F376&amp;" AS STRING),'*')&gt;0 OR INSTR(CAST(X."&amp;F376&amp;" AS STRING),'`')&gt;0 OR INSTR(CAST(X."&amp;F376&amp;" AS STRING),'´')&gt;0 OR INSTR(CAST(X."&amp;F376&amp;" AS STRING),'{')&gt;0 OR INSTR(CAST(X."&amp;F376&amp;" AS STRING),'}')&gt;0 OR INSTR(CAST(X."&amp;F376&amp;" AS STRING),'[')&gt;0 OR INSTR(CAST(X."&amp;F376&amp;" AS STRING),'')&gt;0 OR INSTR(CAST(X."&amp;F376&amp;" AS STRING),']')&gt;0 OR INSTR(CAST(X."&amp;F376&amp;" AS STRING),'?')&gt;0 OR INSTR(CAST(X."&amp;F376&amp;" AS STRING),'!')&gt;0 OR INSTR(CAST(X."&amp;F376&amp;" AS STRING),'$')&gt;0 OR INSTR(CAST(X."&amp;F376&amp;" AS STRING),'%')&gt;0 OR INSTR(CAST(X."&amp;F376&amp;" AS STRING),'&amp;')&gt;0 OR INSTR(CAST(X."&amp;F376&amp;" AS STRING),'+')&gt;0,1,0)) AS NUM_REG_DIF,'"&amp;MAX('ID1&amp;5'!K:K)+1&amp;"' AS ID_EXEC, CURRENT_TIMESTAMP() AS TIME_EXEC FROM "&amp;I376,
IF(C376="Missings",+"SELECT '"&amp;UPPER(B376)&amp;"' AS TABELA, '"&amp;UPPER(C376)&amp;"' AS TIPOLOGIA_TESTE,'"&amp;D376&amp;"' AS TABELA_LT,'N/A' AS TABELA_SIMUL,'"&amp;F376&amp;"' AS CAMPO, "&amp;"'${ref_date}' AS REF_DATE, COUNT(*) AS NUM_REG, SUM(IF(TRIM(CAST(X."&amp;F376&amp;" AS STRING)) IN ('0000-00-00','0001-01-01','9999-12-31','MISS','00000','99999999999','99999999999.00','99999999999.000000'),1,0)) AS NUM_REG_DIF,'"&amp;MAX('ID1&amp;5'!K:K)+1&amp;"' AS ID_EXEC, CURRENT_TIMESTAMP() AS TIME_EXEC FROM "&amp;I376,
IF(C376="Not applicable",+"SELECT '"&amp;UPPER(B376)&amp;"' AS TABELA, '"&amp;UPPER(C376)&amp;"' AS TIPOLOGIA_TESTE,'"&amp;D376&amp;"' AS TABELA_LT,'N/A' AS TABELA_SIMUL,'"&amp;F376&amp;"' AS CAMPO, "&amp;"'${ref_date}' AS REF_DATE, COUNT(*) AS NUM_REG, SUM(IF(TRIM(CAST(X."&amp;F376&amp;" AS STRING)) IN ('N/A','11111111111','11111111111.00','11111111111.000000','1111-11-11'),1,0)) AS NUM_REG_DIF,'"&amp;MAX('ID1&amp;5'!K:K)+1&amp;"' AS ID_EXEC, CURRENT_TIMESTAMP() AS TIME_EXEC FROM "&amp;I376,
IF(C376="Valores extremos",+"SELECT '"&amp;UPPER(B376)&amp;"' AS TABELA, '"&amp;UPPER(C376)&amp;"' AS TIPOLOGIA_TESTE,'"&amp;D376&amp;"' AS TABELA_LT,'N/A' AS TABELA_SIMUL,'"&amp;F376&amp;"' AS CAMPO, "&amp;"'${ref_date}' AS REF_DATE, CAST(MIN("&amp;F376&amp;") AS STRING) AS VALOR_MIN, CAST(MAX("&amp;F376&amp;") AS STRING) AS VALOR_MAX,'"&amp;MAX('ID1&amp;5'!K:K)+1&amp;"' AS ID_EXEC, CURRENT_TIMESTAMP() AS TIME_EXEC FROM "&amp;MID(I376,1,LEN(I376)-2)&amp;" AND CAST("&amp;F376&amp;"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TABELA_SIMUL,'DT_RFRNC' AS CAMPO, '${ref_date}' AS REF_DATE, COUNT(*) AS NUM_REG, SUM(IF(TRIM(CAST(X.DT_RFRNC AS STRING)) IN ('N/A','11111111111','11111111111.00','11111111111.000000','1111-11-11'),1,0)) AS NUM_REG_DIF,'10' AS ID_EXEC, CURRENT_TIMESTAMP() AS TIME_EXEC FROM (SELECT instrmnt_id, DT_RFRNC FROM BU_LOANTAPE_WORK.LT002_INSTRUMENT WHERE ref_date='${ref_date}' AND nome_perimetro='Individual Corporativo' AND segmento='ESTR' AND ambito='PILAR3')X</v>
      </c>
      <c r="M376" s="43" t="str">
        <f t="shared" si="6"/>
        <v>UNION ALL SELECT 'INSTRUMENT' AS TABELA, 'NOT APPLICABLE' AS TIPOLOGIA_TESTE,'BU_LOANTAPE_WORK.LT002_INSTRUMENT' AS TABELA_LT,'N/A' AS TABELA_SIMUL,'DT_RFRNC' AS CAMPO, '${ref_date}' AS REF_DATE, COUNT(*) AS NUM_REG, SUM(IF(TRIM(CAST(X.DT_RFRNC AS STRING)) IN ('N/A','11111111111','11111111111.00','11111111111.000000','1111-11-11'),1,0)) AS NUM_REG_DIF,'10' AS ID_EXEC, CURRENT_TIMESTAMP() AS TIME_EXEC FROM (SELECT instrmnt_id, DT_RFRNC FROM BU_LOANTAPE_WORK.LT002_INSTRUMENT WHERE ref_date='${ref_date}' AND nome_perimetro='Individual Corporativo' AND segmento='ESTR' AND ambito='PILAR3')X</v>
      </c>
      <c r="N376" s="45" t="s">
        <v>13</v>
      </c>
    </row>
    <row r="377" spans="2:14">
      <c r="B377" s="41" t="s">
        <v>27</v>
      </c>
      <c r="C377" s="41" t="s">
        <v>78</v>
      </c>
      <c r="D377" s="41" t="str">
        <f>+UPPER('0. Instruções'!$D$33&amp;"."&amp;VLOOKUP(B377,'0. Instruções'!$C$27:$D$31,2,FALSE))</f>
        <v>BU_LOANTAPE_WORK.LT002_INSTRUMENT</v>
      </c>
      <c r="E377" s="41" t="str">
        <f>+UPPER('0. Instruções'!$D$34&amp;"."&amp;VLOOKUP(B377,'0. Instruções'!$C$27:$E$31,3,FALSE))</f>
        <v>BU_LOANTAPE_WORK.LT002_INSTRUMENT_P3_NOV24</v>
      </c>
      <c r="F377" s="41" t="s">
        <v>157</v>
      </c>
      <c r="G377" s="41" t="s">
        <v>13</v>
      </c>
      <c r="H377" s="41"/>
      <c r="I377" s="41" t="str">
        <f>"(SELECT "&amp;VLOOKUP(B377,'0. Instruções'!$C$27:$G$31,4,FALSE)&amp;", "&amp;F377&amp;" FROM "&amp;D377&amp;" WHERE "&amp;'0. Instruções'!$D$40&amp;")X"</f>
        <v>(SELECT instrmnt_id, INSTRMNT_ID FROM BU_LOANTAPE_WORK.LT002_INSTRUMENT WHERE ref_date='${ref_date}' AND nome_perimetro='Individual Corporativo' AND segmento='ESTR' AND ambito='PILAR3')X</v>
      </c>
      <c r="J377" s="41" t="str">
        <f>"(SELECT "&amp;VLOOKUP(B377,'0. Instruções'!$C$27:$G$31,4,FALSE)&amp;" AS "&amp;VLOOKUP(B377,'0. Instruções'!$C$27:$G$31,4,FALSE)&amp;"_SIMUL, "&amp;F377&amp;" AS "&amp;F377&amp;"_SIMUL FROM "&amp;E377&amp;")Y"</f>
        <v>(SELECT instrmnt_id AS instrmnt_id_SIMUL, INSTRMNT_ID AS INSTRMNT_ID_SIMUL FROM BU_LOANTAPE_WORK.LT002_INSTRUMENT_P3_NOV24)Y</v>
      </c>
      <c r="K377" s="42" t="str">
        <f>+UPPER("ON X."&amp;VLOOKUP(B377,'0. Instruções'!$C$27:$G$31,4,FALSE)&amp;"=Y."&amp;VLOOKUP(B377,'0. Instruções'!$C$27:$G$31,4,FALSE)&amp;"_SIMUL")</f>
        <v>ON X.INSTRMNT_ID=Y.INSTRMNT_ID_SIMUL</v>
      </c>
      <c r="L377" s="42" t="str">
        <f>+IF(C377="Coerência", +IF(LEFT(G377,5)="FLOAT","SELECT '"&amp;UPPER(B377)&amp;"' AS TABELA, '"&amp;UPPER(C377)&amp;"' AS TIPOLOGIA_TESTE,'"&amp;D377&amp;"' AS TABELA_LT,'"&amp;E377&amp;"' AS TABELA_SIMUL,'"&amp;F377&amp;"' AS CAMPO, "&amp;"'${ref_date}' AS REF_DATE, COUNT(*) AS NUM_REG, SUM(IF((ABS(COALESCE(X."&amp;F377&amp;",0)-COALESCE(Y."&amp;F377&amp;"_SIMUL,0))&gt;0.0000000001) OR (X."&amp;F377&amp;" IS NULL AND Y."&amp;F377&amp;"_SIMUL IS NOT NULL ) OR (X."&amp;F377&amp;" IS NOT NULL AND Y."&amp;F377&amp;"_SIMUL IS NULL),1,0)) AS NUM_REG_DIF,'"&amp;MAX('ID1&amp;5'!K:K)+1&amp;"' AS ID_EXEC, CURRENT_TIMESTAMP() AS TIME_EXEC FROM "&amp;I377&amp;" INNER JOIN "&amp;J377&amp;" "&amp;K377,"SELECT '"&amp;UPPER(B377)&amp;"' AS TABELA, '"&amp;UPPER(C377)&amp;"' AS TIPOLOGIA_TESTE,'"&amp;D377&amp;"' AS TABELA_LT,'"&amp;E377&amp;"' AS TABELA_SIMUL,'"&amp;F377&amp;"' AS CAMPO, "&amp;"'${ref_date}' AS REF_DATE, COUNT(*) AS NUM_REG, SUM(IF(COALESCE(CAST(X."&amp;F377&amp;" AS STRING),'')&lt;&gt;COALESCE(CAST(Y."&amp;F377&amp;"_SIMUL AS STRING),''),1,0)) AS NUM_REG_DIF,'"&amp;MAX('ID1&amp;5'!L:L)+1&amp;"' AS ID_EXEC, CURRENT_TIMESTAMP() AS TIME_EXEC FROM "&amp;I377&amp;" INNER JOIN "&amp;J377&amp;" "&amp;K377),
IF(C377="Validade",+IF(G377="Code List","SELECT '"&amp;UPPER(B377)&amp;"' AS TABELA, '"&amp;UPPER(C377)&amp;"' AS TIPOLOGIA_TESTE,'"&amp;D377&amp;"' AS TABELA_LT,'N/A' AS TABELA_SIMUL,'"&amp;F377&amp;"' AS CAMPO, "&amp;"'${ref_date}' AS REF_DATE, COUNT(*) AS NUM_REG, SUM(IF(TRIM(CAST(X."&amp;F377&amp;" AS STRING))='' OR TRIM(CAST(X."&amp;F377&amp;" AS STRING)) IS NULL OR CAST(X."&amp;F377&amp;" AS STRING) NOT "&amp;H377&amp;",1,0)) AS NUM_REG_DIF,'"&amp;MAX('ID1&amp;5'!K:K)+1&amp;"' AS ID_EXEC, CURRENT_TIMESTAMP() AS TIME_EXEC FROM "&amp;I377,"SELECT '"&amp;UPPER(B377)&amp;"' AS TABELA, '"&amp;UPPER(C377)&amp;"' AS TIPOLOGIA_TESTE,'"&amp;D377&amp;"' AS TABELA_LT,'N/A' AS TABELA_SIMUL,'"&amp;F377&amp;"' AS CAMPO, "&amp;"'${ref_date}' AS REF_DATE, COUNT(*) AS NUM_REG, SUM(IF(TRIM(CAST(X."&amp;F377&amp;" AS STRING))='' OR TRIM(CAST(X."&amp;F377&amp;" AS STRING)) IS NULL,1,0)) AS NUM_REG_DIF,'"&amp;MAX('ID1&amp;5'!K:K)+1&amp;"' AS ID_EXEC, CURRENT_TIMESTAMP() AS TIME_EXEC FROM "&amp;I377),
IF(C377="Caracteres Especiais",+"SELECT '"&amp;UPPER(B377)&amp;"' AS TABELA, '"&amp;UPPER(C377)&amp;"' AS TIPOLOGIA_TESTE,'"&amp;D377&amp;"' AS TABELA_LT,'N/A' AS TABELA_SIMUL,'"&amp;F377&amp;"' AS CAMPO, "&amp;"'${ref_date}' AS REF_DATE, COUNT(*) AS NUM_REG, SUM(IF(INSTR(CAST(X."&amp;F377&amp;" AS STRING),'#')&gt;0 OR INSTR(CAST(X."&amp;F377&amp;" AS STRING),'*')&gt;0 OR INSTR(CAST(X."&amp;F377&amp;" AS STRING),'`')&gt;0 OR INSTR(CAST(X."&amp;F377&amp;" AS STRING),'´')&gt;0 OR INSTR(CAST(X."&amp;F377&amp;" AS STRING),'{')&gt;0 OR INSTR(CAST(X."&amp;F377&amp;" AS STRING),'}')&gt;0 OR INSTR(CAST(X."&amp;F377&amp;" AS STRING),'[')&gt;0 OR INSTR(CAST(X."&amp;F377&amp;" AS STRING),'')&gt;0 OR INSTR(CAST(X."&amp;F377&amp;" AS STRING),']')&gt;0 OR INSTR(CAST(X."&amp;F377&amp;" AS STRING),'?')&gt;0 OR INSTR(CAST(X."&amp;F377&amp;" AS STRING),'!')&gt;0 OR INSTR(CAST(X."&amp;F377&amp;" AS STRING),'$')&gt;0 OR INSTR(CAST(X."&amp;F377&amp;" AS STRING),'%')&gt;0 OR INSTR(CAST(X."&amp;F377&amp;" AS STRING),'&amp;')&gt;0 OR INSTR(CAST(X."&amp;F377&amp;" AS STRING),'+')&gt;0,1,0)) AS NUM_REG_DIF,'"&amp;MAX('ID1&amp;5'!K:K)+1&amp;"' AS ID_EXEC, CURRENT_TIMESTAMP() AS TIME_EXEC FROM "&amp;I377,
IF(C377="Missings",+"SELECT '"&amp;UPPER(B377)&amp;"' AS TABELA, '"&amp;UPPER(C377)&amp;"' AS TIPOLOGIA_TESTE,'"&amp;D377&amp;"' AS TABELA_LT,'N/A' AS TABELA_SIMUL,'"&amp;F377&amp;"' AS CAMPO, "&amp;"'${ref_date}' AS REF_DATE, COUNT(*) AS NUM_REG, SUM(IF(TRIM(CAST(X."&amp;F377&amp;" AS STRING)) IN ('0000-00-00','0001-01-01','9999-12-31','MISS','00000','99999999999','99999999999.00','99999999999.000000'),1,0)) AS NUM_REG_DIF,'"&amp;MAX('ID1&amp;5'!K:K)+1&amp;"' AS ID_EXEC, CURRENT_TIMESTAMP() AS TIME_EXEC FROM "&amp;I377,
IF(C377="Not applicable",+"SELECT '"&amp;UPPER(B377)&amp;"' AS TABELA, '"&amp;UPPER(C377)&amp;"' AS TIPOLOGIA_TESTE,'"&amp;D377&amp;"' AS TABELA_LT,'N/A' AS TABELA_SIMUL,'"&amp;F377&amp;"' AS CAMPO, "&amp;"'${ref_date}' AS REF_DATE, COUNT(*) AS NUM_REG, SUM(IF(TRIM(CAST(X."&amp;F377&amp;" AS STRING)) IN ('N/A','11111111111','11111111111.00','11111111111.000000','1111-11-11'),1,0)) AS NUM_REG_DIF,'"&amp;MAX('ID1&amp;5'!K:K)+1&amp;"' AS ID_EXEC, CURRENT_TIMESTAMP() AS TIME_EXEC FROM "&amp;I377,
IF(C377="Valores extremos",+"SELECT '"&amp;UPPER(B377)&amp;"' AS TABELA, '"&amp;UPPER(C377)&amp;"' AS TIPOLOGIA_TESTE,'"&amp;D377&amp;"' AS TABELA_LT,'N/A' AS TABELA_SIMUL,'"&amp;F377&amp;"' AS CAMPO, "&amp;"'${ref_date}' AS REF_DATE, CAST(MIN("&amp;F377&amp;") AS STRING) AS VALOR_MIN, CAST(MAX("&amp;F377&amp;") AS STRING) AS VALOR_MAX,'"&amp;MAX('ID1&amp;5'!K:K)+1&amp;"' AS ID_EXEC, CURRENT_TIMESTAMP() AS TIME_EXEC FROM "&amp;MID(I377,1,LEN(I377)-2)&amp;" AND CAST("&amp;F377&amp;"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TABELA_SIMUL,'INSTRMNT_ID' AS CAMPO, '${ref_date}' AS REF_DATE, COUNT(*) AS NUM_REG, SUM(IF(TRIM(CAST(X.INSTRMNT_ID AS STRING)) IN ('N/A','11111111111','11111111111.00','11111111111.000000','1111-11-11'),1,0)) AS NUM_REG_DIF,'10' AS ID_EXEC, CURRENT_TIMESTAMP() AS TIME_EXEC FROM (SELECT instrmnt_id, INSTRMNT_ID FROM BU_LOANTAPE_WORK.LT002_INSTRUMENT WHERE ref_date='${ref_date}' AND nome_perimetro='Individual Corporativo' AND segmento='ESTR' AND ambito='PILAR3')X</v>
      </c>
      <c r="M377" s="43" t="str">
        <f t="shared" si="6"/>
        <v>UNION ALL SELECT 'INSTRUMENT' AS TABELA, 'NOT APPLICABLE' AS TIPOLOGIA_TESTE,'BU_LOANTAPE_WORK.LT002_INSTRUMENT' AS TABELA_LT,'N/A' AS TABELA_SIMUL,'INSTRMNT_ID' AS CAMPO, '${ref_date}' AS REF_DATE, COUNT(*) AS NUM_REG, SUM(IF(TRIM(CAST(X.INSTRMNT_ID AS STRING)) IN ('N/A','11111111111','11111111111.00','11111111111.000000','1111-11-11'),1,0)) AS NUM_REG_DIF,'10' AS ID_EXEC, CURRENT_TIMESTAMP() AS TIME_EXEC FROM (SELECT instrmnt_id, INSTRMNT_ID FROM BU_LOANTAPE_WORK.LT002_INSTRUMENT WHERE ref_date='${ref_date}' AND nome_perimetro='Individual Corporativo' AND segmento='ESTR' AND ambito='PILAR3')X</v>
      </c>
      <c r="N377" s="45" t="s">
        <v>13</v>
      </c>
    </row>
    <row r="378" spans="2:14">
      <c r="B378" s="41" t="s">
        <v>27</v>
      </c>
      <c r="C378" s="41" t="s">
        <v>78</v>
      </c>
      <c r="D378" s="41" t="str">
        <f>+UPPER('0. Instruções'!$D$33&amp;"."&amp;VLOOKUP(B378,'0. Instruções'!$C$27:$D$31,2,FALSE))</f>
        <v>BU_LOANTAPE_WORK.LT002_INSTRUMENT</v>
      </c>
      <c r="E378" s="41" t="str">
        <f>+UPPER('0. Instruções'!$D$34&amp;"."&amp;VLOOKUP(B378,'0. Instruções'!$C$27:$E$31,3,FALSE))</f>
        <v>BU_LOANTAPE_WORK.LT002_INSTRUMENT_P3_NOV24</v>
      </c>
      <c r="F378" s="41" t="s">
        <v>158</v>
      </c>
      <c r="G378" s="41" t="s">
        <v>13</v>
      </c>
      <c r="H378" s="41"/>
      <c r="I378" s="41" t="str">
        <f>"(SELECT "&amp;VLOOKUP(B378,'0. Instruções'!$C$27:$G$31,4,FALSE)&amp;", "&amp;F378&amp;" FROM "&amp;D378&amp;" WHERE "&amp;'0. Instruções'!$D$40&amp;")X"</f>
        <v>(SELECT instrmnt_id, DT_INCPTN FROM BU_LOANTAPE_WORK.LT002_INSTRUMENT WHERE ref_date='${ref_date}' AND nome_perimetro='Individual Corporativo' AND segmento='ESTR' AND ambito='PILAR3')X</v>
      </c>
      <c r="J378" s="41" t="str">
        <f>"(SELECT "&amp;VLOOKUP(B378,'0. Instruções'!$C$27:$G$31,4,FALSE)&amp;" AS "&amp;VLOOKUP(B378,'0. Instruções'!$C$27:$G$31,4,FALSE)&amp;"_SIMUL, "&amp;F378&amp;" AS "&amp;F378&amp;"_SIMUL FROM "&amp;E378&amp;")Y"</f>
        <v>(SELECT instrmnt_id AS instrmnt_id_SIMUL, DT_INCPTN AS DT_INCPTN_SIMUL FROM BU_LOANTAPE_WORK.LT002_INSTRUMENT_P3_NOV24)Y</v>
      </c>
      <c r="K378" s="42" t="str">
        <f>+UPPER("ON X."&amp;VLOOKUP(B378,'0. Instruções'!$C$27:$G$31,4,FALSE)&amp;"=Y."&amp;VLOOKUP(B378,'0. Instruções'!$C$27:$G$31,4,FALSE)&amp;"_SIMUL")</f>
        <v>ON X.INSTRMNT_ID=Y.INSTRMNT_ID_SIMUL</v>
      </c>
      <c r="L378" s="42" t="str">
        <f>+IF(C378="Coerência", +IF(LEFT(G378,5)="FLOAT","SELECT '"&amp;UPPER(B378)&amp;"' AS TABELA, '"&amp;UPPER(C378)&amp;"' AS TIPOLOGIA_TESTE,'"&amp;D378&amp;"' AS TABELA_LT,'"&amp;E378&amp;"' AS TABELA_SIMUL,'"&amp;F378&amp;"' AS CAMPO, "&amp;"'${ref_date}' AS REF_DATE, COUNT(*) AS NUM_REG, SUM(IF((ABS(COALESCE(X."&amp;F378&amp;",0)-COALESCE(Y."&amp;F378&amp;"_SIMUL,0))&gt;0.0000000001) OR (X."&amp;F378&amp;" IS NULL AND Y."&amp;F378&amp;"_SIMUL IS NOT NULL ) OR (X."&amp;F378&amp;" IS NOT NULL AND Y."&amp;F378&amp;"_SIMUL IS NULL),1,0)) AS NUM_REG_DIF,'"&amp;MAX('ID1&amp;5'!K:K)+1&amp;"' AS ID_EXEC, CURRENT_TIMESTAMP() AS TIME_EXEC FROM "&amp;I378&amp;" INNER JOIN "&amp;J378&amp;" "&amp;K378,"SELECT '"&amp;UPPER(B378)&amp;"' AS TABELA, '"&amp;UPPER(C378)&amp;"' AS TIPOLOGIA_TESTE,'"&amp;D378&amp;"' AS TABELA_LT,'"&amp;E378&amp;"' AS TABELA_SIMUL,'"&amp;F378&amp;"' AS CAMPO, "&amp;"'${ref_date}' AS REF_DATE, COUNT(*) AS NUM_REG, SUM(IF(COALESCE(CAST(X."&amp;F378&amp;" AS STRING),'')&lt;&gt;COALESCE(CAST(Y."&amp;F378&amp;"_SIMUL AS STRING),''),1,0)) AS NUM_REG_DIF,'"&amp;MAX('ID1&amp;5'!L:L)+1&amp;"' AS ID_EXEC, CURRENT_TIMESTAMP() AS TIME_EXEC FROM "&amp;I378&amp;" INNER JOIN "&amp;J378&amp;" "&amp;K378),
IF(C378="Validade",+IF(G378="Code List","SELECT '"&amp;UPPER(B378)&amp;"' AS TABELA, '"&amp;UPPER(C378)&amp;"' AS TIPOLOGIA_TESTE,'"&amp;D378&amp;"' AS TABELA_LT,'N/A' AS TABELA_SIMUL,'"&amp;F378&amp;"' AS CAMPO, "&amp;"'${ref_date}' AS REF_DATE, COUNT(*) AS NUM_REG, SUM(IF(TRIM(CAST(X."&amp;F378&amp;" AS STRING))='' OR TRIM(CAST(X."&amp;F378&amp;" AS STRING)) IS NULL OR CAST(X."&amp;F378&amp;" AS STRING) NOT "&amp;H378&amp;",1,0)) AS NUM_REG_DIF,'"&amp;MAX('ID1&amp;5'!K:K)+1&amp;"' AS ID_EXEC, CURRENT_TIMESTAMP() AS TIME_EXEC FROM "&amp;I378,"SELECT '"&amp;UPPER(B378)&amp;"' AS TABELA, '"&amp;UPPER(C378)&amp;"' AS TIPOLOGIA_TESTE,'"&amp;D378&amp;"' AS TABELA_LT,'N/A' AS TABELA_SIMUL,'"&amp;F378&amp;"' AS CAMPO, "&amp;"'${ref_date}' AS REF_DATE, COUNT(*) AS NUM_REG, SUM(IF(TRIM(CAST(X."&amp;F378&amp;" AS STRING))='' OR TRIM(CAST(X."&amp;F378&amp;" AS STRING)) IS NULL,1,0)) AS NUM_REG_DIF,'"&amp;MAX('ID1&amp;5'!K:K)+1&amp;"' AS ID_EXEC, CURRENT_TIMESTAMP() AS TIME_EXEC FROM "&amp;I378),
IF(C378="Caracteres Especiais",+"SELECT '"&amp;UPPER(B378)&amp;"' AS TABELA, '"&amp;UPPER(C378)&amp;"' AS TIPOLOGIA_TESTE,'"&amp;D378&amp;"' AS TABELA_LT,'N/A' AS TABELA_SIMUL,'"&amp;F378&amp;"' AS CAMPO, "&amp;"'${ref_date}' AS REF_DATE, COUNT(*) AS NUM_REG, SUM(IF(INSTR(CAST(X."&amp;F378&amp;" AS STRING),'#')&gt;0 OR INSTR(CAST(X."&amp;F378&amp;" AS STRING),'*')&gt;0 OR INSTR(CAST(X."&amp;F378&amp;" AS STRING),'`')&gt;0 OR INSTR(CAST(X."&amp;F378&amp;" AS STRING),'´')&gt;0 OR INSTR(CAST(X."&amp;F378&amp;" AS STRING),'{')&gt;0 OR INSTR(CAST(X."&amp;F378&amp;" AS STRING),'}')&gt;0 OR INSTR(CAST(X."&amp;F378&amp;" AS STRING),'[')&gt;0 OR INSTR(CAST(X."&amp;F378&amp;" AS STRING),'')&gt;0 OR INSTR(CAST(X."&amp;F378&amp;" AS STRING),']')&gt;0 OR INSTR(CAST(X."&amp;F378&amp;" AS STRING),'?')&gt;0 OR INSTR(CAST(X."&amp;F378&amp;" AS STRING),'!')&gt;0 OR INSTR(CAST(X."&amp;F378&amp;" AS STRING),'$')&gt;0 OR INSTR(CAST(X."&amp;F378&amp;" AS STRING),'%')&gt;0 OR INSTR(CAST(X."&amp;F378&amp;" AS STRING),'&amp;')&gt;0 OR INSTR(CAST(X."&amp;F378&amp;" AS STRING),'+')&gt;0,1,0)) AS NUM_REG_DIF,'"&amp;MAX('ID1&amp;5'!K:K)+1&amp;"' AS ID_EXEC, CURRENT_TIMESTAMP() AS TIME_EXEC FROM "&amp;I378,
IF(C378="Missings",+"SELECT '"&amp;UPPER(B378)&amp;"' AS TABELA, '"&amp;UPPER(C378)&amp;"' AS TIPOLOGIA_TESTE,'"&amp;D378&amp;"' AS TABELA_LT,'N/A' AS TABELA_SIMUL,'"&amp;F378&amp;"' AS CAMPO, "&amp;"'${ref_date}' AS REF_DATE, COUNT(*) AS NUM_REG, SUM(IF(TRIM(CAST(X."&amp;F378&amp;" AS STRING)) IN ('0000-00-00','0001-01-01','9999-12-31','MISS','00000','99999999999','99999999999.00','99999999999.000000'),1,0)) AS NUM_REG_DIF,'"&amp;MAX('ID1&amp;5'!K:K)+1&amp;"' AS ID_EXEC, CURRENT_TIMESTAMP() AS TIME_EXEC FROM "&amp;I378,
IF(C378="Not applicable",+"SELECT '"&amp;UPPER(B378)&amp;"' AS TABELA, '"&amp;UPPER(C378)&amp;"' AS TIPOLOGIA_TESTE,'"&amp;D378&amp;"' AS TABELA_LT,'N/A' AS TABELA_SIMUL,'"&amp;F378&amp;"' AS CAMPO, "&amp;"'${ref_date}' AS REF_DATE, COUNT(*) AS NUM_REG, SUM(IF(TRIM(CAST(X."&amp;F378&amp;" AS STRING)) IN ('N/A','11111111111','11111111111.00','11111111111.000000','1111-11-11'),1,0)) AS NUM_REG_DIF,'"&amp;MAX('ID1&amp;5'!K:K)+1&amp;"' AS ID_EXEC, CURRENT_TIMESTAMP() AS TIME_EXEC FROM "&amp;I378,
IF(C378="Valores extremos",+"SELECT '"&amp;UPPER(B378)&amp;"' AS TABELA, '"&amp;UPPER(C378)&amp;"' AS TIPOLOGIA_TESTE,'"&amp;D378&amp;"' AS TABELA_LT,'N/A' AS TABELA_SIMUL,'"&amp;F378&amp;"' AS CAMPO, "&amp;"'${ref_date}' AS REF_DATE, CAST(MIN("&amp;F378&amp;") AS STRING) AS VALOR_MIN, CAST(MAX("&amp;F378&amp;") AS STRING) AS VALOR_MAX,'"&amp;MAX('ID1&amp;5'!K:K)+1&amp;"' AS ID_EXEC, CURRENT_TIMESTAMP() AS TIME_EXEC FROM "&amp;MID(I378,1,LEN(I378)-2)&amp;" AND CAST("&amp;F378&amp;"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TABELA_SIMUL,'DT_INCPTN' AS CAMPO, '${ref_date}' AS REF_DATE, COUNT(*) AS NUM_REG, SUM(IF(TRIM(CAST(X.DT_INCPTN AS STRING)) IN ('N/A','11111111111','11111111111.00','11111111111.000000','1111-11-11'),1,0)) AS NUM_REG_DIF,'10' AS ID_EXEC, CURRENT_TIMESTAMP() AS TIME_EXEC FROM (SELECT instrmnt_id, DT_INCPTN FROM BU_LOANTAPE_WORK.LT002_INSTRUMENT WHERE ref_date='${ref_date}' AND nome_perimetro='Individual Corporativo' AND segmento='ESTR' AND ambito='PILAR3')X</v>
      </c>
      <c r="M378" s="43" t="str">
        <f t="shared" si="6"/>
        <v>UNION ALL SELECT 'INSTRUMENT' AS TABELA, 'NOT APPLICABLE' AS TIPOLOGIA_TESTE,'BU_LOANTAPE_WORK.LT002_INSTRUMENT' AS TABELA_LT,'N/A' AS TABELA_SIMUL,'DT_INCPTN' AS CAMPO, '${ref_date}' AS REF_DATE, COUNT(*) AS NUM_REG, SUM(IF(TRIM(CAST(X.DT_INCPTN AS STRING)) IN ('N/A','11111111111','11111111111.00','11111111111.000000','1111-11-11'),1,0)) AS NUM_REG_DIF,'10' AS ID_EXEC, CURRENT_TIMESTAMP() AS TIME_EXEC FROM (SELECT instrmnt_id, DT_INCPTN FROM BU_LOANTAPE_WORK.LT002_INSTRUMENT WHERE ref_date='${ref_date}' AND nome_perimetro='Individual Corporativo' AND segmento='ESTR' AND ambito='PILAR3')X</v>
      </c>
      <c r="N378" s="45" t="s">
        <v>13</v>
      </c>
    </row>
    <row r="379" spans="2:14">
      <c r="B379" s="41" t="s">
        <v>27</v>
      </c>
      <c r="C379" s="41" t="s">
        <v>78</v>
      </c>
      <c r="D379" s="41" t="str">
        <f>+UPPER('0. Instruções'!$D$33&amp;"."&amp;VLOOKUP(B379,'0. Instruções'!$C$27:$D$31,2,FALSE))</f>
        <v>BU_LOANTAPE_WORK.LT002_INSTRUMENT</v>
      </c>
      <c r="E379" s="41" t="str">
        <f>+UPPER('0. Instruções'!$D$34&amp;"."&amp;VLOOKUP(B379,'0. Instruções'!$C$27:$E$31,3,FALSE))</f>
        <v>BU_LOANTAPE_WORK.LT002_INSTRUMENT_P3_NOV24</v>
      </c>
      <c r="F379" s="41" t="s">
        <v>159</v>
      </c>
      <c r="G379" s="41" t="s">
        <v>13</v>
      </c>
      <c r="H379" s="41"/>
      <c r="I379" s="41" t="str">
        <f>"(SELECT "&amp;VLOOKUP(B379,'0. Instruções'!$C$27:$G$31,4,FALSE)&amp;", "&amp;F379&amp;" FROM "&amp;D379&amp;" WHERE "&amp;'0. Instruções'!$D$40&amp;")X"</f>
        <v>(SELECT instrmnt_id, DFLT_STTS_INSTRMNT FROM BU_LOANTAPE_WORK.LT002_INSTRUMENT WHERE ref_date='${ref_date}' AND nome_perimetro='Individual Corporativo' AND segmento='ESTR' AND ambito='PILAR3')X</v>
      </c>
      <c r="J379" s="41" t="str">
        <f>"(SELECT "&amp;VLOOKUP(B379,'0. Instruções'!$C$27:$G$31,4,FALSE)&amp;" AS "&amp;VLOOKUP(B379,'0. Instruções'!$C$27:$G$31,4,FALSE)&amp;"_SIMUL, "&amp;F379&amp;" AS "&amp;F379&amp;"_SIMUL FROM "&amp;E379&amp;")Y"</f>
        <v>(SELECT instrmnt_id AS instrmnt_id_SIMUL, DFLT_STTS_INSTRMNT AS DFLT_STTS_INSTRMNT_SIMUL FROM BU_LOANTAPE_WORK.LT002_INSTRUMENT_P3_NOV24)Y</v>
      </c>
      <c r="K379" s="42" t="str">
        <f>+UPPER("ON X."&amp;VLOOKUP(B379,'0. Instruções'!$C$27:$G$31,4,FALSE)&amp;"=Y."&amp;VLOOKUP(B379,'0. Instruções'!$C$27:$G$31,4,FALSE)&amp;"_SIMUL")</f>
        <v>ON X.INSTRMNT_ID=Y.INSTRMNT_ID_SIMUL</v>
      </c>
      <c r="L379" s="42" t="str">
        <f>+IF(C379="Coerência", +IF(LEFT(G379,5)="FLOAT","SELECT '"&amp;UPPER(B379)&amp;"' AS TABELA, '"&amp;UPPER(C379)&amp;"' AS TIPOLOGIA_TESTE,'"&amp;D379&amp;"' AS TABELA_LT,'"&amp;E379&amp;"' AS TABELA_SIMUL,'"&amp;F379&amp;"' AS CAMPO, "&amp;"'${ref_date}' AS REF_DATE, COUNT(*) AS NUM_REG, SUM(IF((ABS(COALESCE(X."&amp;F379&amp;",0)-COALESCE(Y."&amp;F379&amp;"_SIMUL,0))&gt;0.0000000001) OR (X."&amp;F379&amp;" IS NULL AND Y."&amp;F379&amp;"_SIMUL IS NOT NULL ) OR (X."&amp;F379&amp;" IS NOT NULL AND Y."&amp;F379&amp;"_SIMUL IS NULL),1,0)) AS NUM_REG_DIF,'"&amp;MAX('ID1&amp;5'!K:K)+1&amp;"' AS ID_EXEC, CURRENT_TIMESTAMP() AS TIME_EXEC FROM "&amp;I379&amp;" INNER JOIN "&amp;J379&amp;" "&amp;K379,"SELECT '"&amp;UPPER(B379)&amp;"' AS TABELA, '"&amp;UPPER(C379)&amp;"' AS TIPOLOGIA_TESTE,'"&amp;D379&amp;"' AS TABELA_LT,'"&amp;E379&amp;"' AS TABELA_SIMUL,'"&amp;F379&amp;"' AS CAMPO, "&amp;"'${ref_date}' AS REF_DATE, COUNT(*) AS NUM_REG, SUM(IF(COALESCE(CAST(X."&amp;F379&amp;" AS STRING),'')&lt;&gt;COALESCE(CAST(Y."&amp;F379&amp;"_SIMUL AS STRING),''),1,0)) AS NUM_REG_DIF,'"&amp;MAX('ID1&amp;5'!L:L)+1&amp;"' AS ID_EXEC, CURRENT_TIMESTAMP() AS TIME_EXEC FROM "&amp;I379&amp;" INNER JOIN "&amp;J379&amp;" "&amp;K379),
IF(C379="Validade",+IF(G379="Code List","SELECT '"&amp;UPPER(B379)&amp;"' AS TABELA, '"&amp;UPPER(C379)&amp;"' AS TIPOLOGIA_TESTE,'"&amp;D379&amp;"' AS TABELA_LT,'N/A' AS TABELA_SIMUL,'"&amp;F379&amp;"' AS CAMPO, "&amp;"'${ref_date}' AS REF_DATE, COUNT(*) AS NUM_REG, SUM(IF(TRIM(CAST(X."&amp;F379&amp;" AS STRING))='' OR TRIM(CAST(X."&amp;F379&amp;" AS STRING)) IS NULL OR CAST(X."&amp;F379&amp;" AS STRING) NOT "&amp;H379&amp;",1,0)) AS NUM_REG_DIF,'"&amp;MAX('ID1&amp;5'!K:K)+1&amp;"' AS ID_EXEC, CURRENT_TIMESTAMP() AS TIME_EXEC FROM "&amp;I379,"SELECT '"&amp;UPPER(B379)&amp;"' AS TABELA, '"&amp;UPPER(C379)&amp;"' AS TIPOLOGIA_TESTE,'"&amp;D379&amp;"' AS TABELA_LT,'N/A' AS TABELA_SIMUL,'"&amp;F379&amp;"' AS CAMPO, "&amp;"'${ref_date}' AS REF_DATE, COUNT(*) AS NUM_REG, SUM(IF(TRIM(CAST(X."&amp;F379&amp;" AS STRING))='' OR TRIM(CAST(X."&amp;F379&amp;" AS STRING)) IS NULL,1,0)) AS NUM_REG_DIF,'"&amp;MAX('ID1&amp;5'!K:K)+1&amp;"' AS ID_EXEC, CURRENT_TIMESTAMP() AS TIME_EXEC FROM "&amp;I379),
IF(C379="Caracteres Especiais",+"SELECT '"&amp;UPPER(B379)&amp;"' AS TABELA, '"&amp;UPPER(C379)&amp;"' AS TIPOLOGIA_TESTE,'"&amp;D379&amp;"' AS TABELA_LT,'N/A' AS TABELA_SIMUL,'"&amp;F379&amp;"' AS CAMPO, "&amp;"'${ref_date}' AS REF_DATE, COUNT(*) AS NUM_REG, SUM(IF(INSTR(CAST(X."&amp;F379&amp;" AS STRING),'#')&gt;0 OR INSTR(CAST(X."&amp;F379&amp;" AS STRING),'*')&gt;0 OR INSTR(CAST(X."&amp;F379&amp;" AS STRING),'`')&gt;0 OR INSTR(CAST(X."&amp;F379&amp;" AS STRING),'´')&gt;0 OR INSTR(CAST(X."&amp;F379&amp;" AS STRING),'{')&gt;0 OR INSTR(CAST(X."&amp;F379&amp;" AS STRING),'}')&gt;0 OR INSTR(CAST(X."&amp;F379&amp;" AS STRING),'[')&gt;0 OR INSTR(CAST(X."&amp;F379&amp;" AS STRING),'')&gt;0 OR INSTR(CAST(X."&amp;F379&amp;" AS STRING),']')&gt;0 OR INSTR(CAST(X."&amp;F379&amp;" AS STRING),'?')&gt;0 OR INSTR(CAST(X."&amp;F379&amp;" AS STRING),'!')&gt;0 OR INSTR(CAST(X."&amp;F379&amp;" AS STRING),'$')&gt;0 OR INSTR(CAST(X."&amp;F379&amp;" AS STRING),'%')&gt;0 OR INSTR(CAST(X."&amp;F379&amp;" AS STRING),'&amp;')&gt;0 OR INSTR(CAST(X."&amp;F379&amp;" AS STRING),'+')&gt;0,1,0)) AS NUM_REG_DIF,'"&amp;MAX('ID1&amp;5'!K:K)+1&amp;"' AS ID_EXEC, CURRENT_TIMESTAMP() AS TIME_EXEC FROM "&amp;I379,
IF(C379="Missings",+"SELECT '"&amp;UPPER(B379)&amp;"' AS TABELA, '"&amp;UPPER(C379)&amp;"' AS TIPOLOGIA_TESTE,'"&amp;D379&amp;"' AS TABELA_LT,'N/A' AS TABELA_SIMUL,'"&amp;F379&amp;"' AS CAMPO, "&amp;"'${ref_date}' AS REF_DATE, COUNT(*) AS NUM_REG, SUM(IF(TRIM(CAST(X."&amp;F379&amp;" AS STRING)) IN ('0000-00-00','0001-01-01','9999-12-31','MISS','00000','99999999999','99999999999.00','99999999999.000000'),1,0)) AS NUM_REG_DIF,'"&amp;MAX('ID1&amp;5'!K:K)+1&amp;"' AS ID_EXEC, CURRENT_TIMESTAMP() AS TIME_EXEC FROM "&amp;I379,
IF(C379="Not applicable",+"SELECT '"&amp;UPPER(B379)&amp;"' AS TABELA, '"&amp;UPPER(C379)&amp;"' AS TIPOLOGIA_TESTE,'"&amp;D379&amp;"' AS TABELA_LT,'N/A' AS TABELA_SIMUL,'"&amp;F379&amp;"' AS CAMPO, "&amp;"'${ref_date}' AS REF_DATE, COUNT(*) AS NUM_REG, SUM(IF(TRIM(CAST(X."&amp;F379&amp;" AS STRING)) IN ('N/A','11111111111','11111111111.00','11111111111.000000','1111-11-11'),1,0)) AS NUM_REG_DIF,'"&amp;MAX('ID1&amp;5'!K:K)+1&amp;"' AS ID_EXEC, CURRENT_TIMESTAMP() AS TIME_EXEC FROM "&amp;I379,
IF(C379="Valores extremos",+"SELECT '"&amp;UPPER(B379)&amp;"' AS TABELA, '"&amp;UPPER(C379)&amp;"' AS TIPOLOGIA_TESTE,'"&amp;D379&amp;"' AS TABELA_LT,'N/A' AS TABELA_SIMUL,'"&amp;F379&amp;"' AS CAMPO, "&amp;"'${ref_date}' AS REF_DATE, CAST(MIN("&amp;F379&amp;") AS STRING) AS VALOR_MIN, CAST(MAX("&amp;F379&amp;") AS STRING) AS VALOR_MAX,'"&amp;MAX('ID1&amp;5'!K:K)+1&amp;"' AS ID_EXEC, CURRENT_TIMESTAMP() AS TIME_EXEC FROM "&amp;MID(I379,1,LEN(I379)-2)&amp;" AND CAST("&amp;F379&amp;"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TABELA_SIMUL,'DFLT_STTS_INSTRMNT' AS CAMPO, '${ref_date}' AS REF_DATE, COUNT(*) AS NUM_REG, SUM(IF(TRIM(CAST(X.DFLT_STTS_INSTRMNT AS STRING)) IN ('N/A','11111111111','11111111111.00','11111111111.000000','1111-11-11'),1,0)) AS NUM_REG_DIF,'10' AS ID_EXEC, CURRENT_TIMESTAMP() AS TIME_EXEC FROM (SELECT instrmnt_id, DFLT_STTS_INSTRMNT FROM BU_LOANTAPE_WORK.LT002_INSTRUMENT WHERE ref_date='${ref_date}' AND nome_perimetro='Individual Corporativo' AND segmento='ESTR' AND ambito='PILAR3')X</v>
      </c>
      <c r="M379" s="43" t="str">
        <f t="shared" si="6"/>
        <v>UNION ALL SELECT 'INSTRUMENT' AS TABELA, 'NOT APPLICABLE' AS TIPOLOGIA_TESTE,'BU_LOANTAPE_WORK.LT002_INSTRUMENT' AS TABELA_LT,'N/A' AS TABELA_SIMUL,'DFLT_STTS_INSTRMNT' AS CAMPO, '${ref_date}' AS REF_DATE, COUNT(*) AS NUM_REG, SUM(IF(TRIM(CAST(X.DFLT_STTS_INSTRMNT AS STRING)) IN ('N/A','11111111111','11111111111.00','11111111111.000000','1111-11-11'),1,0)) AS NUM_REG_DIF,'10' AS ID_EXEC, CURRENT_TIMESTAMP() AS TIME_EXEC FROM (SELECT instrmnt_id, DFLT_STTS_INSTRMNT FROM BU_LOANTAPE_WORK.LT002_INSTRUMENT WHERE ref_date='${ref_date}' AND nome_perimetro='Individual Corporativo' AND segmento='ESTR' AND ambito='PILAR3')X</v>
      </c>
      <c r="N379" s="45" t="s">
        <v>13</v>
      </c>
    </row>
    <row r="380" spans="2:14">
      <c r="B380" s="41" t="s">
        <v>27</v>
      </c>
      <c r="C380" s="41" t="s">
        <v>78</v>
      </c>
      <c r="D380" s="41" t="str">
        <f>+UPPER('0. Instruções'!$D$33&amp;"."&amp;VLOOKUP(B380,'0. Instruções'!$C$27:$D$31,2,FALSE))</f>
        <v>BU_LOANTAPE_WORK.LT002_INSTRUMENT</v>
      </c>
      <c r="E380" s="41" t="str">
        <f>+UPPER('0. Instruções'!$D$34&amp;"."&amp;VLOOKUP(B380,'0. Instruções'!$C$27:$E$31,3,FALSE))</f>
        <v>BU_LOANTAPE_WORK.LT002_INSTRUMENT_P3_NOV24</v>
      </c>
      <c r="F380" s="41" t="s">
        <v>160</v>
      </c>
      <c r="G380" s="41" t="s">
        <v>13</v>
      </c>
      <c r="H380" s="41"/>
      <c r="I380" s="41" t="str">
        <f>"(SELECT "&amp;VLOOKUP(B380,'0. Instruções'!$C$27:$G$31,4,FALSE)&amp;", "&amp;F380&amp;" FROM "&amp;D380&amp;" WHERE "&amp;'0. Instruções'!$D$40&amp;")X"</f>
        <v>(SELECT instrmnt_id, IMPRMNT_STTS FROM BU_LOANTAPE_WORK.LT002_INSTRUMENT WHERE ref_date='${ref_date}' AND nome_perimetro='Individual Corporativo' AND segmento='ESTR' AND ambito='PILAR3')X</v>
      </c>
      <c r="J380" s="41" t="str">
        <f>"(SELECT "&amp;VLOOKUP(B380,'0. Instruções'!$C$27:$G$31,4,FALSE)&amp;" AS "&amp;VLOOKUP(B380,'0. Instruções'!$C$27:$G$31,4,FALSE)&amp;"_SIMUL, "&amp;F380&amp;" AS "&amp;F380&amp;"_SIMUL FROM "&amp;E380&amp;")Y"</f>
        <v>(SELECT instrmnt_id AS instrmnt_id_SIMUL, IMPRMNT_STTS AS IMPRMNT_STTS_SIMUL FROM BU_LOANTAPE_WORK.LT002_INSTRUMENT_P3_NOV24)Y</v>
      </c>
      <c r="K380" s="42" t="str">
        <f>+UPPER("ON X."&amp;VLOOKUP(B380,'0. Instruções'!$C$27:$G$31,4,FALSE)&amp;"=Y."&amp;VLOOKUP(B380,'0. Instruções'!$C$27:$G$31,4,FALSE)&amp;"_SIMUL")</f>
        <v>ON X.INSTRMNT_ID=Y.INSTRMNT_ID_SIMUL</v>
      </c>
      <c r="L380" s="42" t="str">
        <f>+IF(C380="Coerência", +IF(LEFT(G380,5)="FLOAT","SELECT '"&amp;UPPER(B380)&amp;"' AS TABELA, '"&amp;UPPER(C380)&amp;"' AS TIPOLOGIA_TESTE,'"&amp;D380&amp;"' AS TABELA_LT,'"&amp;E380&amp;"' AS TABELA_SIMUL,'"&amp;F380&amp;"' AS CAMPO, "&amp;"'${ref_date}' AS REF_DATE, COUNT(*) AS NUM_REG, SUM(IF((ABS(COALESCE(X."&amp;F380&amp;",0)-COALESCE(Y."&amp;F380&amp;"_SIMUL,0))&gt;0.0000000001) OR (X."&amp;F380&amp;" IS NULL AND Y."&amp;F380&amp;"_SIMUL IS NOT NULL ) OR (X."&amp;F380&amp;" IS NOT NULL AND Y."&amp;F380&amp;"_SIMUL IS NULL),1,0)) AS NUM_REG_DIF,'"&amp;MAX('ID1&amp;5'!K:K)+1&amp;"' AS ID_EXEC, CURRENT_TIMESTAMP() AS TIME_EXEC FROM "&amp;I380&amp;" INNER JOIN "&amp;J380&amp;" "&amp;K380,"SELECT '"&amp;UPPER(B380)&amp;"' AS TABELA, '"&amp;UPPER(C380)&amp;"' AS TIPOLOGIA_TESTE,'"&amp;D380&amp;"' AS TABELA_LT,'"&amp;E380&amp;"' AS TABELA_SIMUL,'"&amp;F380&amp;"' AS CAMPO, "&amp;"'${ref_date}' AS REF_DATE, COUNT(*) AS NUM_REG, SUM(IF(COALESCE(CAST(X."&amp;F380&amp;" AS STRING),'')&lt;&gt;COALESCE(CAST(Y."&amp;F380&amp;"_SIMUL AS STRING),''),1,0)) AS NUM_REG_DIF,'"&amp;MAX('ID1&amp;5'!L:L)+1&amp;"' AS ID_EXEC, CURRENT_TIMESTAMP() AS TIME_EXEC FROM "&amp;I380&amp;" INNER JOIN "&amp;J380&amp;" "&amp;K380),
IF(C380="Validade",+IF(G380="Code List","SELECT '"&amp;UPPER(B380)&amp;"' AS TABELA, '"&amp;UPPER(C380)&amp;"' AS TIPOLOGIA_TESTE,'"&amp;D380&amp;"' AS TABELA_LT,'N/A' AS TABELA_SIMUL,'"&amp;F380&amp;"' AS CAMPO, "&amp;"'${ref_date}' AS REF_DATE, COUNT(*) AS NUM_REG, SUM(IF(TRIM(CAST(X."&amp;F380&amp;" AS STRING))='' OR TRIM(CAST(X."&amp;F380&amp;" AS STRING)) IS NULL OR CAST(X."&amp;F380&amp;" AS STRING) NOT "&amp;H380&amp;",1,0)) AS NUM_REG_DIF,'"&amp;MAX('ID1&amp;5'!K:K)+1&amp;"' AS ID_EXEC, CURRENT_TIMESTAMP() AS TIME_EXEC FROM "&amp;I380,"SELECT '"&amp;UPPER(B380)&amp;"' AS TABELA, '"&amp;UPPER(C380)&amp;"' AS TIPOLOGIA_TESTE,'"&amp;D380&amp;"' AS TABELA_LT,'N/A' AS TABELA_SIMUL,'"&amp;F380&amp;"' AS CAMPO, "&amp;"'${ref_date}' AS REF_DATE, COUNT(*) AS NUM_REG, SUM(IF(TRIM(CAST(X."&amp;F380&amp;" AS STRING))='' OR TRIM(CAST(X."&amp;F380&amp;" AS STRING)) IS NULL,1,0)) AS NUM_REG_DIF,'"&amp;MAX('ID1&amp;5'!K:K)+1&amp;"' AS ID_EXEC, CURRENT_TIMESTAMP() AS TIME_EXEC FROM "&amp;I380),
IF(C380="Caracteres Especiais",+"SELECT '"&amp;UPPER(B380)&amp;"' AS TABELA, '"&amp;UPPER(C380)&amp;"' AS TIPOLOGIA_TESTE,'"&amp;D380&amp;"' AS TABELA_LT,'N/A' AS TABELA_SIMUL,'"&amp;F380&amp;"' AS CAMPO, "&amp;"'${ref_date}' AS REF_DATE, COUNT(*) AS NUM_REG, SUM(IF(INSTR(CAST(X."&amp;F380&amp;" AS STRING),'#')&gt;0 OR INSTR(CAST(X."&amp;F380&amp;" AS STRING),'*')&gt;0 OR INSTR(CAST(X."&amp;F380&amp;" AS STRING),'`')&gt;0 OR INSTR(CAST(X."&amp;F380&amp;" AS STRING),'´')&gt;0 OR INSTR(CAST(X."&amp;F380&amp;" AS STRING),'{')&gt;0 OR INSTR(CAST(X."&amp;F380&amp;" AS STRING),'}')&gt;0 OR INSTR(CAST(X."&amp;F380&amp;" AS STRING),'[')&gt;0 OR INSTR(CAST(X."&amp;F380&amp;" AS STRING),'')&gt;0 OR INSTR(CAST(X."&amp;F380&amp;" AS STRING),']')&gt;0 OR INSTR(CAST(X."&amp;F380&amp;" AS STRING),'?')&gt;0 OR INSTR(CAST(X."&amp;F380&amp;" AS STRING),'!')&gt;0 OR INSTR(CAST(X."&amp;F380&amp;" AS STRING),'$')&gt;0 OR INSTR(CAST(X."&amp;F380&amp;" AS STRING),'%')&gt;0 OR INSTR(CAST(X."&amp;F380&amp;" AS STRING),'&amp;')&gt;0 OR INSTR(CAST(X."&amp;F380&amp;" AS STRING),'+')&gt;0,1,0)) AS NUM_REG_DIF,'"&amp;MAX('ID1&amp;5'!K:K)+1&amp;"' AS ID_EXEC, CURRENT_TIMESTAMP() AS TIME_EXEC FROM "&amp;I380,
IF(C380="Missings",+"SELECT '"&amp;UPPER(B380)&amp;"' AS TABELA, '"&amp;UPPER(C380)&amp;"' AS TIPOLOGIA_TESTE,'"&amp;D380&amp;"' AS TABELA_LT,'N/A' AS TABELA_SIMUL,'"&amp;F380&amp;"' AS CAMPO, "&amp;"'${ref_date}' AS REF_DATE, COUNT(*) AS NUM_REG, SUM(IF(TRIM(CAST(X."&amp;F380&amp;" AS STRING)) IN ('0000-00-00','0001-01-01','9999-12-31','MISS','00000','99999999999','99999999999.00','99999999999.000000'),1,0)) AS NUM_REG_DIF,'"&amp;MAX('ID1&amp;5'!K:K)+1&amp;"' AS ID_EXEC, CURRENT_TIMESTAMP() AS TIME_EXEC FROM "&amp;I380,
IF(C380="Not applicable",+"SELECT '"&amp;UPPER(B380)&amp;"' AS TABELA, '"&amp;UPPER(C380)&amp;"' AS TIPOLOGIA_TESTE,'"&amp;D380&amp;"' AS TABELA_LT,'N/A' AS TABELA_SIMUL,'"&amp;F380&amp;"' AS CAMPO, "&amp;"'${ref_date}' AS REF_DATE, COUNT(*) AS NUM_REG, SUM(IF(TRIM(CAST(X."&amp;F380&amp;" AS STRING)) IN ('N/A','11111111111','11111111111.00','11111111111.000000','1111-11-11'),1,0)) AS NUM_REG_DIF,'"&amp;MAX('ID1&amp;5'!K:K)+1&amp;"' AS ID_EXEC, CURRENT_TIMESTAMP() AS TIME_EXEC FROM "&amp;I380,
IF(C380="Valores extremos",+"SELECT '"&amp;UPPER(B380)&amp;"' AS TABELA, '"&amp;UPPER(C380)&amp;"' AS TIPOLOGIA_TESTE,'"&amp;D380&amp;"' AS TABELA_LT,'N/A' AS TABELA_SIMUL,'"&amp;F380&amp;"' AS CAMPO, "&amp;"'${ref_date}' AS REF_DATE, CAST(MIN("&amp;F380&amp;") AS STRING) AS VALOR_MIN, CAST(MAX("&amp;F380&amp;") AS STRING) AS VALOR_MAX,'"&amp;MAX('ID1&amp;5'!K:K)+1&amp;"' AS ID_EXEC, CURRENT_TIMESTAMP() AS TIME_EXEC FROM "&amp;MID(I380,1,LEN(I380)-2)&amp;" AND CAST("&amp;F380&amp;"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TABELA_SIMUL,'IMPRMNT_STTS' AS CAMPO, '${ref_date}' AS REF_DATE, COUNT(*) AS NUM_REG, SUM(IF(TRIM(CAST(X.IMPRMNT_STTS AS STRING)) IN ('N/A','11111111111','11111111111.00','11111111111.000000','1111-11-11'),1,0)) AS NUM_REG_DIF,'10' AS ID_EXEC, CURRENT_TIMESTAMP() AS TIME_EXEC FROM (SELECT instrmnt_id, IMPRMNT_STTS FROM BU_LOANTAPE_WORK.LT002_INSTRUMENT WHERE ref_date='${ref_date}' AND nome_perimetro='Individual Corporativo' AND segmento='ESTR' AND ambito='PILAR3')X</v>
      </c>
      <c r="M380" s="43" t="str">
        <f t="shared" si="6"/>
        <v>UNION ALL SELECT 'INSTRUMENT' AS TABELA, 'NOT APPLICABLE' AS TIPOLOGIA_TESTE,'BU_LOANTAPE_WORK.LT002_INSTRUMENT' AS TABELA_LT,'N/A' AS TABELA_SIMUL,'IMPRMNT_STTS' AS CAMPO, '${ref_date}' AS REF_DATE, COUNT(*) AS NUM_REG, SUM(IF(TRIM(CAST(X.IMPRMNT_STTS AS STRING)) IN ('N/A','11111111111','11111111111.00','11111111111.000000','1111-11-11'),1,0)) AS NUM_REG_DIF,'10' AS ID_EXEC, CURRENT_TIMESTAMP() AS TIME_EXEC FROM (SELECT instrmnt_id, IMPRMNT_STTS FROM BU_LOANTAPE_WORK.LT002_INSTRUMENT WHERE ref_date='${ref_date}' AND nome_perimetro='Individual Corporativo' AND segmento='ESTR' AND ambito='PILAR3')X</v>
      </c>
      <c r="N380" s="45" t="s">
        <v>13</v>
      </c>
    </row>
    <row r="381" spans="2:14">
      <c r="B381" s="41" t="s">
        <v>27</v>
      </c>
      <c r="C381" s="41" t="s">
        <v>78</v>
      </c>
      <c r="D381" s="41" t="str">
        <f>+UPPER('0. Instruções'!$D$33&amp;"."&amp;VLOOKUP(B381,'0. Instruções'!$C$27:$D$31,2,FALSE))</f>
        <v>BU_LOANTAPE_WORK.LT002_INSTRUMENT</v>
      </c>
      <c r="E381" s="41" t="str">
        <f>+UPPER('0. Instruções'!$D$34&amp;"."&amp;VLOOKUP(B381,'0. Instruções'!$C$27:$E$31,3,FALSE))</f>
        <v>BU_LOANTAPE_WORK.LT002_INSTRUMENT_P3_NOV24</v>
      </c>
      <c r="F381" s="41" t="s">
        <v>161</v>
      </c>
      <c r="G381" s="41" t="s">
        <v>13</v>
      </c>
      <c r="H381" s="41"/>
      <c r="I381" s="41" t="str">
        <f>"(SELECT "&amp;VLOOKUP(B381,'0. Instruções'!$C$27:$G$31,4,FALSE)&amp;", "&amp;F381&amp;" FROM "&amp;D381&amp;" WHERE "&amp;'0. Instruções'!$D$40&amp;")X"</f>
        <v>(SELECT instrmnt_id, PRFRMNG_STTS FROM BU_LOANTAPE_WORK.LT002_INSTRUMENT WHERE ref_date='${ref_date}' AND nome_perimetro='Individual Corporativo' AND segmento='ESTR' AND ambito='PILAR3')X</v>
      </c>
      <c r="J381" s="41" t="str">
        <f>"(SELECT "&amp;VLOOKUP(B381,'0. Instruções'!$C$27:$G$31,4,FALSE)&amp;" AS "&amp;VLOOKUP(B381,'0. Instruções'!$C$27:$G$31,4,FALSE)&amp;"_SIMUL, "&amp;F381&amp;" AS "&amp;F381&amp;"_SIMUL FROM "&amp;E381&amp;")Y"</f>
        <v>(SELECT instrmnt_id AS instrmnt_id_SIMUL, PRFRMNG_STTS AS PRFRMNG_STTS_SIMUL FROM BU_LOANTAPE_WORK.LT002_INSTRUMENT_P3_NOV24)Y</v>
      </c>
      <c r="K381" s="42" t="str">
        <f>+UPPER("ON X."&amp;VLOOKUP(B381,'0. Instruções'!$C$27:$G$31,4,FALSE)&amp;"=Y."&amp;VLOOKUP(B381,'0. Instruções'!$C$27:$G$31,4,FALSE)&amp;"_SIMUL")</f>
        <v>ON X.INSTRMNT_ID=Y.INSTRMNT_ID_SIMUL</v>
      </c>
      <c r="L381" s="42" t="str">
        <f>+IF(C381="Coerência", +IF(LEFT(G381,5)="FLOAT","SELECT '"&amp;UPPER(B381)&amp;"' AS TABELA, '"&amp;UPPER(C381)&amp;"' AS TIPOLOGIA_TESTE,'"&amp;D381&amp;"' AS TABELA_LT,'"&amp;E381&amp;"' AS TABELA_SIMUL,'"&amp;F381&amp;"' AS CAMPO, "&amp;"'${ref_date}' AS REF_DATE, COUNT(*) AS NUM_REG, SUM(IF((ABS(COALESCE(X."&amp;F381&amp;",0)-COALESCE(Y."&amp;F381&amp;"_SIMUL,0))&gt;0.0000000001) OR (X."&amp;F381&amp;" IS NULL AND Y."&amp;F381&amp;"_SIMUL IS NOT NULL ) OR (X."&amp;F381&amp;" IS NOT NULL AND Y."&amp;F381&amp;"_SIMUL IS NULL),1,0)) AS NUM_REG_DIF,'"&amp;MAX('ID1&amp;5'!K:K)+1&amp;"' AS ID_EXEC, CURRENT_TIMESTAMP() AS TIME_EXEC FROM "&amp;I381&amp;" INNER JOIN "&amp;J381&amp;" "&amp;K381,"SELECT '"&amp;UPPER(B381)&amp;"' AS TABELA, '"&amp;UPPER(C381)&amp;"' AS TIPOLOGIA_TESTE,'"&amp;D381&amp;"' AS TABELA_LT,'"&amp;E381&amp;"' AS TABELA_SIMUL,'"&amp;F381&amp;"' AS CAMPO, "&amp;"'${ref_date}' AS REF_DATE, COUNT(*) AS NUM_REG, SUM(IF(COALESCE(CAST(X."&amp;F381&amp;" AS STRING),'')&lt;&gt;COALESCE(CAST(Y."&amp;F381&amp;"_SIMUL AS STRING),''),1,0)) AS NUM_REG_DIF,'"&amp;MAX('ID1&amp;5'!L:L)+1&amp;"' AS ID_EXEC, CURRENT_TIMESTAMP() AS TIME_EXEC FROM "&amp;I381&amp;" INNER JOIN "&amp;J381&amp;" "&amp;K381),
IF(C381="Validade",+IF(G381="Code List","SELECT '"&amp;UPPER(B381)&amp;"' AS TABELA, '"&amp;UPPER(C381)&amp;"' AS TIPOLOGIA_TESTE,'"&amp;D381&amp;"' AS TABELA_LT,'N/A' AS TABELA_SIMUL,'"&amp;F381&amp;"' AS CAMPO, "&amp;"'${ref_date}' AS REF_DATE, COUNT(*) AS NUM_REG, SUM(IF(TRIM(CAST(X."&amp;F381&amp;" AS STRING))='' OR TRIM(CAST(X."&amp;F381&amp;" AS STRING)) IS NULL OR CAST(X."&amp;F381&amp;" AS STRING) NOT "&amp;H381&amp;",1,0)) AS NUM_REG_DIF,'"&amp;MAX('ID1&amp;5'!K:K)+1&amp;"' AS ID_EXEC, CURRENT_TIMESTAMP() AS TIME_EXEC FROM "&amp;I381,"SELECT '"&amp;UPPER(B381)&amp;"' AS TABELA, '"&amp;UPPER(C381)&amp;"' AS TIPOLOGIA_TESTE,'"&amp;D381&amp;"' AS TABELA_LT,'N/A' AS TABELA_SIMUL,'"&amp;F381&amp;"' AS CAMPO, "&amp;"'${ref_date}' AS REF_DATE, COUNT(*) AS NUM_REG, SUM(IF(TRIM(CAST(X."&amp;F381&amp;" AS STRING))='' OR TRIM(CAST(X."&amp;F381&amp;" AS STRING)) IS NULL,1,0)) AS NUM_REG_DIF,'"&amp;MAX('ID1&amp;5'!K:K)+1&amp;"' AS ID_EXEC, CURRENT_TIMESTAMP() AS TIME_EXEC FROM "&amp;I381),
IF(C381="Caracteres Especiais",+"SELECT '"&amp;UPPER(B381)&amp;"' AS TABELA, '"&amp;UPPER(C381)&amp;"' AS TIPOLOGIA_TESTE,'"&amp;D381&amp;"' AS TABELA_LT,'N/A' AS TABELA_SIMUL,'"&amp;F381&amp;"' AS CAMPO, "&amp;"'${ref_date}' AS REF_DATE, COUNT(*) AS NUM_REG, SUM(IF(INSTR(CAST(X."&amp;F381&amp;" AS STRING),'#')&gt;0 OR INSTR(CAST(X."&amp;F381&amp;" AS STRING),'*')&gt;0 OR INSTR(CAST(X."&amp;F381&amp;" AS STRING),'`')&gt;0 OR INSTR(CAST(X."&amp;F381&amp;" AS STRING),'´')&gt;0 OR INSTR(CAST(X."&amp;F381&amp;" AS STRING),'{')&gt;0 OR INSTR(CAST(X."&amp;F381&amp;" AS STRING),'}')&gt;0 OR INSTR(CAST(X."&amp;F381&amp;" AS STRING),'[')&gt;0 OR INSTR(CAST(X."&amp;F381&amp;" AS STRING),'')&gt;0 OR INSTR(CAST(X."&amp;F381&amp;" AS STRING),']')&gt;0 OR INSTR(CAST(X."&amp;F381&amp;" AS STRING),'?')&gt;0 OR INSTR(CAST(X."&amp;F381&amp;" AS STRING),'!')&gt;0 OR INSTR(CAST(X."&amp;F381&amp;" AS STRING),'$')&gt;0 OR INSTR(CAST(X."&amp;F381&amp;" AS STRING),'%')&gt;0 OR INSTR(CAST(X."&amp;F381&amp;" AS STRING),'&amp;')&gt;0 OR INSTR(CAST(X."&amp;F381&amp;" AS STRING),'+')&gt;0,1,0)) AS NUM_REG_DIF,'"&amp;MAX('ID1&amp;5'!K:K)+1&amp;"' AS ID_EXEC, CURRENT_TIMESTAMP() AS TIME_EXEC FROM "&amp;I381,
IF(C381="Missings",+"SELECT '"&amp;UPPER(B381)&amp;"' AS TABELA, '"&amp;UPPER(C381)&amp;"' AS TIPOLOGIA_TESTE,'"&amp;D381&amp;"' AS TABELA_LT,'N/A' AS TABELA_SIMUL,'"&amp;F381&amp;"' AS CAMPO, "&amp;"'${ref_date}' AS REF_DATE, COUNT(*) AS NUM_REG, SUM(IF(TRIM(CAST(X."&amp;F381&amp;" AS STRING)) IN ('0000-00-00','0001-01-01','9999-12-31','MISS','00000','99999999999','99999999999.00','99999999999.000000'),1,0)) AS NUM_REG_DIF,'"&amp;MAX('ID1&amp;5'!K:K)+1&amp;"' AS ID_EXEC, CURRENT_TIMESTAMP() AS TIME_EXEC FROM "&amp;I381,
IF(C381="Not applicable",+"SELECT '"&amp;UPPER(B381)&amp;"' AS TABELA, '"&amp;UPPER(C381)&amp;"' AS TIPOLOGIA_TESTE,'"&amp;D381&amp;"' AS TABELA_LT,'N/A' AS TABELA_SIMUL,'"&amp;F381&amp;"' AS CAMPO, "&amp;"'${ref_date}' AS REF_DATE, COUNT(*) AS NUM_REG, SUM(IF(TRIM(CAST(X."&amp;F381&amp;" AS STRING)) IN ('N/A','11111111111','11111111111.00','11111111111.000000','1111-11-11'),1,0)) AS NUM_REG_DIF,'"&amp;MAX('ID1&amp;5'!K:K)+1&amp;"' AS ID_EXEC, CURRENT_TIMESTAMP() AS TIME_EXEC FROM "&amp;I381,
IF(C381="Valores extremos",+"SELECT '"&amp;UPPER(B381)&amp;"' AS TABELA, '"&amp;UPPER(C381)&amp;"' AS TIPOLOGIA_TESTE,'"&amp;D381&amp;"' AS TABELA_LT,'N/A' AS TABELA_SIMUL,'"&amp;F381&amp;"' AS CAMPO, "&amp;"'${ref_date}' AS REF_DATE, CAST(MIN("&amp;F381&amp;") AS STRING) AS VALOR_MIN, CAST(MAX("&amp;F381&amp;") AS STRING) AS VALOR_MAX,'"&amp;MAX('ID1&amp;5'!K:K)+1&amp;"' AS ID_EXEC, CURRENT_TIMESTAMP() AS TIME_EXEC FROM "&amp;MID(I381,1,LEN(I381)-2)&amp;" AND CAST("&amp;F381&amp;"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TABELA_SIMUL,'PRFRMNG_STTS' AS CAMPO, '${ref_date}' AS REF_DATE, COUNT(*) AS NUM_REG, SUM(IF(TRIM(CAST(X.PRFRMNG_STTS AS STRING)) IN ('N/A','11111111111','11111111111.00','11111111111.000000','1111-11-11'),1,0)) AS NUM_REG_DIF,'10' AS ID_EXEC, CURRENT_TIMESTAMP() AS TIME_EXEC FROM (SELECT instrmnt_id, PRFRMNG_STTS FROM BU_LOANTAPE_WORK.LT002_INSTRUMENT WHERE ref_date='${ref_date}' AND nome_perimetro='Individual Corporativo' AND segmento='ESTR' AND ambito='PILAR3')X</v>
      </c>
      <c r="M381" s="43" t="str">
        <f t="shared" si="6"/>
        <v>UNION ALL SELECT 'INSTRUMENT' AS TABELA, 'NOT APPLICABLE' AS TIPOLOGIA_TESTE,'BU_LOANTAPE_WORK.LT002_INSTRUMENT' AS TABELA_LT,'N/A' AS TABELA_SIMUL,'PRFRMNG_STTS' AS CAMPO, '${ref_date}' AS REF_DATE, COUNT(*) AS NUM_REG, SUM(IF(TRIM(CAST(X.PRFRMNG_STTS AS STRING)) IN ('N/A','11111111111','11111111111.00','11111111111.000000','1111-11-11'),1,0)) AS NUM_REG_DIF,'10' AS ID_EXEC, CURRENT_TIMESTAMP() AS TIME_EXEC FROM (SELECT instrmnt_id, PRFRMNG_STTS FROM BU_LOANTAPE_WORK.LT002_INSTRUMENT WHERE ref_date='${ref_date}' AND nome_perimetro='Individual Corporativo' AND segmento='ESTR' AND ambito='PILAR3')X</v>
      </c>
      <c r="N381" s="45" t="s">
        <v>13</v>
      </c>
    </row>
    <row r="382" spans="2:14">
      <c r="B382" s="41" t="s">
        <v>27</v>
      </c>
      <c r="C382" s="41" t="s">
        <v>78</v>
      </c>
      <c r="D382" s="41" t="str">
        <f>+UPPER('0. Instruções'!$D$33&amp;"."&amp;VLOOKUP(B382,'0. Instruções'!$C$27:$D$31,2,FALSE))</f>
        <v>BU_LOANTAPE_WORK.LT002_INSTRUMENT</v>
      </c>
      <c r="E382" s="41" t="str">
        <f>+UPPER('0. Instruções'!$D$34&amp;"."&amp;VLOOKUP(B382,'0. Instruções'!$C$27:$E$31,3,FALSE))</f>
        <v>BU_LOANTAPE_WORK.LT002_INSTRUMENT_P3_NOV24</v>
      </c>
      <c r="F382" s="41" t="s">
        <v>162</v>
      </c>
      <c r="G382" s="41" t="s">
        <v>13</v>
      </c>
      <c r="H382" s="41"/>
      <c r="I382" s="41" t="str">
        <f>"(SELECT "&amp;VLOOKUP(B382,'0. Instruções'!$C$27:$G$31,4,FALSE)&amp;", "&amp;F382&amp;" FROM "&amp;D382&amp;" WHERE "&amp;'0. Instruções'!$D$40&amp;")X"</f>
        <v>(SELECT instrmnt_id, PRJCT_FNNC_LN FROM BU_LOANTAPE_WORK.LT002_INSTRUMENT WHERE ref_date='${ref_date}' AND nome_perimetro='Individual Corporativo' AND segmento='ESTR' AND ambito='PILAR3')X</v>
      </c>
      <c r="J382" s="41" t="str">
        <f>"(SELECT "&amp;VLOOKUP(B382,'0. Instruções'!$C$27:$G$31,4,FALSE)&amp;" AS "&amp;VLOOKUP(B382,'0. Instruções'!$C$27:$G$31,4,FALSE)&amp;"_SIMUL, "&amp;F382&amp;" AS "&amp;F382&amp;"_SIMUL FROM "&amp;E382&amp;")Y"</f>
        <v>(SELECT instrmnt_id AS instrmnt_id_SIMUL, PRJCT_FNNC_LN AS PRJCT_FNNC_LN_SIMUL FROM BU_LOANTAPE_WORK.LT002_INSTRUMENT_P3_NOV24)Y</v>
      </c>
      <c r="K382" s="42" t="str">
        <f>+UPPER("ON X."&amp;VLOOKUP(B382,'0. Instruções'!$C$27:$G$31,4,FALSE)&amp;"=Y."&amp;VLOOKUP(B382,'0. Instruções'!$C$27:$G$31,4,FALSE)&amp;"_SIMUL")</f>
        <v>ON X.INSTRMNT_ID=Y.INSTRMNT_ID_SIMUL</v>
      </c>
      <c r="L382" s="42" t="str">
        <f>+IF(C382="Coerência", +IF(LEFT(G382,5)="FLOAT","SELECT '"&amp;UPPER(B382)&amp;"' AS TABELA, '"&amp;UPPER(C382)&amp;"' AS TIPOLOGIA_TESTE,'"&amp;D382&amp;"' AS TABELA_LT,'"&amp;E382&amp;"' AS TABELA_SIMUL,'"&amp;F382&amp;"' AS CAMPO, "&amp;"'${ref_date}' AS REF_DATE, COUNT(*) AS NUM_REG, SUM(IF((ABS(COALESCE(X."&amp;F382&amp;",0)-COALESCE(Y."&amp;F382&amp;"_SIMUL,0))&gt;0.0000000001) OR (X."&amp;F382&amp;" IS NULL AND Y."&amp;F382&amp;"_SIMUL IS NOT NULL ) OR (X."&amp;F382&amp;" IS NOT NULL AND Y."&amp;F382&amp;"_SIMUL IS NULL),1,0)) AS NUM_REG_DIF,'"&amp;MAX('ID1&amp;5'!K:K)+1&amp;"' AS ID_EXEC, CURRENT_TIMESTAMP() AS TIME_EXEC FROM "&amp;I382&amp;" INNER JOIN "&amp;J382&amp;" "&amp;K382,"SELECT '"&amp;UPPER(B382)&amp;"' AS TABELA, '"&amp;UPPER(C382)&amp;"' AS TIPOLOGIA_TESTE,'"&amp;D382&amp;"' AS TABELA_LT,'"&amp;E382&amp;"' AS TABELA_SIMUL,'"&amp;F382&amp;"' AS CAMPO, "&amp;"'${ref_date}' AS REF_DATE, COUNT(*) AS NUM_REG, SUM(IF(COALESCE(CAST(X."&amp;F382&amp;" AS STRING),'')&lt;&gt;COALESCE(CAST(Y."&amp;F382&amp;"_SIMUL AS STRING),''),1,0)) AS NUM_REG_DIF,'"&amp;MAX('ID1&amp;5'!L:L)+1&amp;"' AS ID_EXEC, CURRENT_TIMESTAMP() AS TIME_EXEC FROM "&amp;I382&amp;" INNER JOIN "&amp;J382&amp;" "&amp;K382),
IF(C382="Validade",+IF(G382="Code List","SELECT '"&amp;UPPER(B382)&amp;"' AS TABELA, '"&amp;UPPER(C382)&amp;"' AS TIPOLOGIA_TESTE,'"&amp;D382&amp;"' AS TABELA_LT,'N/A' AS TABELA_SIMUL,'"&amp;F382&amp;"' AS CAMPO, "&amp;"'${ref_date}' AS REF_DATE, COUNT(*) AS NUM_REG, SUM(IF(TRIM(CAST(X."&amp;F382&amp;" AS STRING))='' OR TRIM(CAST(X."&amp;F382&amp;" AS STRING)) IS NULL OR CAST(X."&amp;F382&amp;" AS STRING) NOT "&amp;H382&amp;",1,0)) AS NUM_REG_DIF,'"&amp;MAX('ID1&amp;5'!K:K)+1&amp;"' AS ID_EXEC, CURRENT_TIMESTAMP() AS TIME_EXEC FROM "&amp;I382,"SELECT '"&amp;UPPER(B382)&amp;"' AS TABELA, '"&amp;UPPER(C382)&amp;"' AS TIPOLOGIA_TESTE,'"&amp;D382&amp;"' AS TABELA_LT,'N/A' AS TABELA_SIMUL,'"&amp;F382&amp;"' AS CAMPO, "&amp;"'${ref_date}' AS REF_DATE, COUNT(*) AS NUM_REG, SUM(IF(TRIM(CAST(X."&amp;F382&amp;" AS STRING))='' OR TRIM(CAST(X."&amp;F382&amp;" AS STRING)) IS NULL,1,0)) AS NUM_REG_DIF,'"&amp;MAX('ID1&amp;5'!K:K)+1&amp;"' AS ID_EXEC, CURRENT_TIMESTAMP() AS TIME_EXEC FROM "&amp;I382),
IF(C382="Caracteres Especiais",+"SELECT '"&amp;UPPER(B382)&amp;"' AS TABELA, '"&amp;UPPER(C382)&amp;"' AS TIPOLOGIA_TESTE,'"&amp;D382&amp;"' AS TABELA_LT,'N/A' AS TABELA_SIMUL,'"&amp;F382&amp;"' AS CAMPO, "&amp;"'${ref_date}' AS REF_DATE, COUNT(*) AS NUM_REG, SUM(IF(INSTR(CAST(X."&amp;F382&amp;" AS STRING),'#')&gt;0 OR INSTR(CAST(X."&amp;F382&amp;" AS STRING),'*')&gt;0 OR INSTR(CAST(X."&amp;F382&amp;" AS STRING),'`')&gt;0 OR INSTR(CAST(X."&amp;F382&amp;" AS STRING),'´')&gt;0 OR INSTR(CAST(X."&amp;F382&amp;" AS STRING),'{')&gt;0 OR INSTR(CAST(X."&amp;F382&amp;" AS STRING),'}')&gt;0 OR INSTR(CAST(X."&amp;F382&amp;" AS STRING),'[')&gt;0 OR INSTR(CAST(X."&amp;F382&amp;" AS STRING),'')&gt;0 OR INSTR(CAST(X."&amp;F382&amp;" AS STRING),']')&gt;0 OR INSTR(CAST(X."&amp;F382&amp;" AS STRING),'?')&gt;0 OR INSTR(CAST(X."&amp;F382&amp;" AS STRING),'!')&gt;0 OR INSTR(CAST(X."&amp;F382&amp;" AS STRING),'$')&gt;0 OR INSTR(CAST(X."&amp;F382&amp;" AS STRING),'%')&gt;0 OR INSTR(CAST(X."&amp;F382&amp;" AS STRING),'&amp;')&gt;0 OR INSTR(CAST(X."&amp;F382&amp;" AS STRING),'+')&gt;0,1,0)) AS NUM_REG_DIF,'"&amp;MAX('ID1&amp;5'!K:K)+1&amp;"' AS ID_EXEC, CURRENT_TIMESTAMP() AS TIME_EXEC FROM "&amp;I382,
IF(C382="Missings",+"SELECT '"&amp;UPPER(B382)&amp;"' AS TABELA, '"&amp;UPPER(C382)&amp;"' AS TIPOLOGIA_TESTE,'"&amp;D382&amp;"' AS TABELA_LT,'N/A' AS TABELA_SIMUL,'"&amp;F382&amp;"' AS CAMPO, "&amp;"'${ref_date}' AS REF_DATE, COUNT(*) AS NUM_REG, SUM(IF(TRIM(CAST(X."&amp;F382&amp;" AS STRING)) IN ('0000-00-00','0001-01-01','9999-12-31','MISS','00000','99999999999','99999999999.00','99999999999.000000'),1,0)) AS NUM_REG_DIF,'"&amp;MAX('ID1&amp;5'!K:K)+1&amp;"' AS ID_EXEC, CURRENT_TIMESTAMP() AS TIME_EXEC FROM "&amp;I382,
IF(C382="Not applicable",+"SELECT '"&amp;UPPER(B382)&amp;"' AS TABELA, '"&amp;UPPER(C382)&amp;"' AS TIPOLOGIA_TESTE,'"&amp;D382&amp;"' AS TABELA_LT,'N/A' AS TABELA_SIMUL,'"&amp;F382&amp;"' AS CAMPO, "&amp;"'${ref_date}' AS REF_DATE, COUNT(*) AS NUM_REG, SUM(IF(TRIM(CAST(X."&amp;F382&amp;" AS STRING)) IN ('N/A','11111111111','11111111111.00','11111111111.000000','1111-11-11'),1,0)) AS NUM_REG_DIF,'"&amp;MAX('ID1&amp;5'!K:K)+1&amp;"' AS ID_EXEC, CURRENT_TIMESTAMP() AS TIME_EXEC FROM "&amp;I382,
IF(C382="Valores extremos",+"SELECT '"&amp;UPPER(B382)&amp;"' AS TABELA, '"&amp;UPPER(C382)&amp;"' AS TIPOLOGIA_TESTE,'"&amp;D382&amp;"' AS TABELA_LT,'N/A' AS TABELA_SIMUL,'"&amp;F382&amp;"' AS CAMPO, "&amp;"'${ref_date}' AS REF_DATE, CAST(MIN("&amp;F382&amp;") AS STRING) AS VALOR_MIN, CAST(MAX("&amp;F382&amp;") AS STRING) AS VALOR_MAX,'"&amp;MAX('ID1&amp;5'!K:K)+1&amp;"' AS ID_EXEC, CURRENT_TIMESTAMP() AS TIME_EXEC FROM "&amp;MID(I382,1,LEN(I382)-2)&amp;" AND CAST("&amp;F382&amp;"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TABELA_SIMUL,'PRJCT_FNNC_LN' AS CAMPO, '${ref_date}' AS REF_DATE, COUNT(*) AS NUM_REG, SUM(IF(TRIM(CAST(X.PRJCT_FNNC_LN AS STRING)) IN ('N/A','11111111111','11111111111.00','11111111111.000000','1111-11-11'),1,0)) AS NUM_REG_DIF,'10' AS ID_EXEC, CURRENT_TIMESTAMP() AS TIME_EXEC FROM (SELECT instrmnt_id, PRJCT_FNNC_LN FROM BU_LOANTAPE_WORK.LT002_INSTRUMENT WHERE ref_date='${ref_date}' AND nome_perimetro='Individual Corporativo' AND segmento='ESTR' AND ambito='PILAR3')X</v>
      </c>
      <c r="M382" s="43" t="str">
        <f t="shared" si="6"/>
        <v>UNION ALL SELECT 'INSTRUMENT' AS TABELA, 'NOT APPLICABLE' AS TIPOLOGIA_TESTE,'BU_LOANTAPE_WORK.LT002_INSTRUMENT' AS TABELA_LT,'N/A' AS TABELA_SIMUL,'PRJCT_FNNC_LN' AS CAMPO, '${ref_date}' AS REF_DATE, COUNT(*) AS NUM_REG, SUM(IF(TRIM(CAST(X.PRJCT_FNNC_LN AS STRING)) IN ('N/A','11111111111','11111111111.00','11111111111.000000','1111-11-11'),1,0)) AS NUM_REG_DIF,'10' AS ID_EXEC, CURRENT_TIMESTAMP() AS TIME_EXEC FROM (SELECT instrmnt_id, PRJCT_FNNC_LN FROM BU_LOANTAPE_WORK.LT002_INSTRUMENT WHERE ref_date='${ref_date}' AND nome_perimetro='Individual Corporativo' AND segmento='ESTR' AND ambito='PILAR3')X</v>
      </c>
      <c r="N382" s="45" t="s">
        <v>13</v>
      </c>
    </row>
    <row r="383" spans="2:14">
      <c r="B383" s="41" t="s">
        <v>27</v>
      </c>
      <c r="C383" s="41" t="s">
        <v>78</v>
      </c>
      <c r="D383" s="41" t="str">
        <f>+UPPER('0. Instruções'!$D$33&amp;"."&amp;VLOOKUP(B383,'0. Instruções'!$C$27:$D$31,2,FALSE))</f>
        <v>BU_LOANTAPE_WORK.LT002_INSTRUMENT</v>
      </c>
      <c r="E383" s="41" t="str">
        <f>+UPPER('0. Instruções'!$D$34&amp;"."&amp;VLOOKUP(B383,'0. Instruções'!$C$27:$E$31,3,FALSE))</f>
        <v>BU_LOANTAPE_WORK.LT002_INSTRUMENT_P3_NOV24</v>
      </c>
      <c r="F383" s="41" t="s">
        <v>163</v>
      </c>
      <c r="G383" s="41" t="s">
        <v>13</v>
      </c>
      <c r="H383" s="41"/>
      <c r="I383" s="41" t="str">
        <f>"(SELECT "&amp;VLOOKUP(B383,'0. Instruções'!$C$27:$G$31,4,FALSE)&amp;", "&amp;F383&amp;" FROM "&amp;D383&amp;" WHERE "&amp;'0. Instruções'!$D$40&amp;")X"</f>
        <v>(SELECT instrmnt_id, TYP_INSTRMNT FROM BU_LOANTAPE_WORK.LT002_INSTRUMENT WHERE ref_date='${ref_date}' AND nome_perimetro='Individual Corporativo' AND segmento='ESTR' AND ambito='PILAR3')X</v>
      </c>
      <c r="J383" s="41" t="str">
        <f>"(SELECT "&amp;VLOOKUP(B383,'0. Instruções'!$C$27:$G$31,4,FALSE)&amp;" AS "&amp;VLOOKUP(B383,'0. Instruções'!$C$27:$G$31,4,FALSE)&amp;"_SIMUL, "&amp;F383&amp;" AS "&amp;F383&amp;"_SIMUL FROM "&amp;E383&amp;")Y"</f>
        <v>(SELECT instrmnt_id AS instrmnt_id_SIMUL, TYP_INSTRMNT AS TYP_INSTRMNT_SIMUL FROM BU_LOANTAPE_WORK.LT002_INSTRUMENT_P3_NOV24)Y</v>
      </c>
      <c r="K383" s="42" t="str">
        <f>+UPPER("ON X."&amp;VLOOKUP(B383,'0. Instruções'!$C$27:$G$31,4,FALSE)&amp;"=Y."&amp;VLOOKUP(B383,'0. Instruções'!$C$27:$G$31,4,FALSE)&amp;"_SIMUL")</f>
        <v>ON X.INSTRMNT_ID=Y.INSTRMNT_ID_SIMUL</v>
      </c>
      <c r="L383" s="42" t="str">
        <f>+IF(C383="Coerência", +IF(LEFT(G383,5)="FLOAT","SELECT '"&amp;UPPER(B383)&amp;"' AS TABELA, '"&amp;UPPER(C383)&amp;"' AS TIPOLOGIA_TESTE,'"&amp;D383&amp;"' AS TABELA_LT,'"&amp;E383&amp;"' AS TABELA_SIMUL,'"&amp;F383&amp;"' AS CAMPO, "&amp;"'${ref_date}' AS REF_DATE, COUNT(*) AS NUM_REG, SUM(IF((ABS(COALESCE(X."&amp;F383&amp;",0)-COALESCE(Y."&amp;F383&amp;"_SIMUL,0))&gt;0.0000000001) OR (X."&amp;F383&amp;" IS NULL AND Y."&amp;F383&amp;"_SIMUL IS NOT NULL ) OR (X."&amp;F383&amp;" IS NOT NULL AND Y."&amp;F383&amp;"_SIMUL IS NULL),1,0)) AS NUM_REG_DIF,'"&amp;MAX('ID1&amp;5'!K:K)+1&amp;"' AS ID_EXEC, CURRENT_TIMESTAMP() AS TIME_EXEC FROM "&amp;I383&amp;" INNER JOIN "&amp;J383&amp;" "&amp;K383,"SELECT '"&amp;UPPER(B383)&amp;"' AS TABELA, '"&amp;UPPER(C383)&amp;"' AS TIPOLOGIA_TESTE,'"&amp;D383&amp;"' AS TABELA_LT,'"&amp;E383&amp;"' AS TABELA_SIMUL,'"&amp;F383&amp;"' AS CAMPO, "&amp;"'${ref_date}' AS REF_DATE, COUNT(*) AS NUM_REG, SUM(IF(COALESCE(CAST(X."&amp;F383&amp;" AS STRING),'')&lt;&gt;COALESCE(CAST(Y."&amp;F383&amp;"_SIMUL AS STRING),''),1,0)) AS NUM_REG_DIF,'"&amp;MAX('ID1&amp;5'!L:L)+1&amp;"' AS ID_EXEC, CURRENT_TIMESTAMP() AS TIME_EXEC FROM "&amp;I383&amp;" INNER JOIN "&amp;J383&amp;" "&amp;K383),
IF(C383="Validade",+IF(G383="Code List","SELECT '"&amp;UPPER(B383)&amp;"' AS TABELA, '"&amp;UPPER(C383)&amp;"' AS TIPOLOGIA_TESTE,'"&amp;D383&amp;"' AS TABELA_LT,'N/A' AS TABELA_SIMUL,'"&amp;F383&amp;"' AS CAMPO, "&amp;"'${ref_date}' AS REF_DATE, COUNT(*) AS NUM_REG, SUM(IF(TRIM(CAST(X."&amp;F383&amp;" AS STRING))='' OR TRIM(CAST(X."&amp;F383&amp;" AS STRING)) IS NULL OR CAST(X."&amp;F383&amp;" AS STRING) NOT "&amp;H383&amp;",1,0)) AS NUM_REG_DIF,'"&amp;MAX('ID1&amp;5'!K:K)+1&amp;"' AS ID_EXEC, CURRENT_TIMESTAMP() AS TIME_EXEC FROM "&amp;I383,"SELECT '"&amp;UPPER(B383)&amp;"' AS TABELA, '"&amp;UPPER(C383)&amp;"' AS TIPOLOGIA_TESTE,'"&amp;D383&amp;"' AS TABELA_LT,'N/A' AS TABELA_SIMUL,'"&amp;F383&amp;"' AS CAMPO, "&amp;"'${ref_date}' AS REF_DATE, COUNT(*) AS NUM_REG, SUM(IF(TRIM(CAST(X."&amp;F383&amp;" AS STRING))='' OR TRIM(CAST(X."&amp;F383&amp;" AS STRING)) IS NULL,1,0)) AS NUM_REG_DIF,'"&amp;MAX('ID1&amp;5'!K:K)+1&amp;"' AS ID_EXEC, CURRENT_TIMESTAMP() AS TIME_EXEC FROM "&amp;I383),
IF(C383="Caracteres Especiais",+"SELECT '"&amp;UPPER(B383)&amp;"' AS TABELA, '"&amp;UPPER(C383)&amp;"' AS TIPOLOGIA_TESTE,'"&amp;D383&amp;"' AS TABELA_LT,'N/A' AS TABELA_SIMUL,'"&amp;F383&amp;"' AS CAMPO, "&amp;"'${ref_date}' AS REF_DATE, COUNT(*) AS NUM_REG, SUM(IF(INSTR(CAST(X."&amp;F383&amp;" AS STRING),'#')&gt;0 OR INSTR(CAST(X."&amp;F383&amp;" AS STRING),'*')&gt;0 OR INSTR(CAST(X."&amp;F383&amp;" AS STRING),'`')&gt;0 OR INSTR(CAST(X."&amp;F383&amp;" AS STRING),'´')&gt;0 OR INSTR(CAST(X."&amp;F383&amp;" AS STRING),'{')&gt;0 OR INSTR(CAST(X."&amp;F383&amp;" AS STRING),'}')&gt;0 OR INSTR(CAST(X."&amp;F383&amp;" AS STRING),'[')&gt;0 OR INSTR(CAST(X."&amp;F383&amp;" AS STRING),'')&gt;0 OR INSTR(CAST(X."&amp;F383&amp;" AS STRING),']')&gt;0 OR INSTR(CAST(X."&amp;F383&amp;" AS STRING),'?')&gt;0 OR INSTR(CAST(X."&amp;F383&amp;" AS STRING),'!')&gt;0 OR INSTR(CAST(X."&amp;F383&amp;" AS STRING),'$')&gt;0 OR INSTR(CAST(X."&amp;F383&amp;" AS STRING),'%')&gt;0 OR INSTR(CAST(X."&amp;F383&amp;" AS STRING),'&amp;')&gt;0 OR INSTR(CAST(X."&amp;F383&amp;" AS STRING),'+')&gt;0,1,0)) AS NUM_REG_DIF,'"&amp;MAX('ID1&amp;5'!K:K)+1&amp;"' AS ID_EXEC, CURRENT_TIMESTAMP() AS TIME_EXEC FROM "&amp;I383,
IF(C383="Missings",+"SELECT '"&amp;UPPER(B383)&amp;"' AS TABELA, '"&amp;UPPER(C383)&amp;"' AS TIPOLOGIA_TESTE,'"&amp;D383&amp;"' AS TABELA_LT,'N/A' AS TABELA_SIMUL,'"&amp;F383&amp;"' AS CAMPO, "&amp;"'${ref_date}' AS REF_DATE, COUNT(*) AS NUM_REG, SUM(IF(TRIM(CAST(X."&amp;F383&amp;" AS STRING)) IN ('0000-00-00','0001-01-01','9999-12-31','MISS','00000','99999999999','99999999999.00','99999999999.000000'),1,0)) AS NUM_REG_DIF,'"&amp;MAX('ID1&amp;5'!K:K)+1&amp;"' AS ID_EXEC, CURRENT_TIMESTAMP() AS TIME_EXEC FROM "&amp;I383,
IF(C383="Not applicable",+"SELECT '"&amp;UPPER(B383)&amp;"' AS TABELA, '"&amp;UPPER(C383)&amp;"' AS TIPOLOGIA_TESTE,'"&amp;D383&amp;"' AS TABELA_LT,'N/A' AS TABELA_SIMUL,'"&amp;F383&amp;"' AS CAMPO, "&amp;"'${ref_date}' AS REF_DATE, COUNT(*) AS NUM_REG, SUM(IF(TRIM(CAST(X."&amp;F383&amp;" AS STRING)) IN ('N/A','11111111111','11111111111.00','11111111111.000000','1111-11-11'),1,0)) AS NUM_REG_DIF,'"&amp;MAX('ID1&amp;5'!K:K)+1&amp;"' AS ID_EXEC, CURRENT_TIMESTAMP() AS TIME_EXEC FROM "&amp;I383,
IF(C383="Valores extremos",+"SELECT '"&amp;UPPER(B383)&amp;"' AS TABELA, '"&amp;UPPER(C383)&amp;"' AS TIPOLOGIA_TESTE,'"&amp;D383&amp;"' AS TABELA_LT,'N/A' AS TABELA_SIMUL,'"&amp;F383&amp;"' AS CAMPO, "&amp;"'${ref_date}' AS REF_DATE, CAST(MIN("&amp;F383&amp;") AS STRING) AS VALOR_MIN, CAST(MAX("&amp;F383&amp;") AS STRING) AS VALOR_MAX,'"&amp;MAX('ID1&amp;5'!K:K)+1&amp;"' AS ID_EXEC, CURRENT_TIMESTAMP() AS TIME_EXEC FROM "&amp;MID(I383,1,LEN(I383)-2)&amp;" AND CAST("&amp;F383&amp;"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TABELA_SIMUL,'TYP_INSTRMNT' AS CAMPO, '${ref_date}' AS REF_DATE, COUNT(*) AS NUM_REG, SUM(IF(TRIM(CAST(X.TYP_INSTRMNT AS STRING)) IN ('N/A','11111111111','11111111111.00','11111111111.000000','1111-11-11'),1,0)) AS NUM_REG_DIF,'10' AS ID_EXEC, CURRENT_TIMESTAMP() AS TIME_EXEC FROM (SELECT instrmnt_id, TYP_INSTRMNT FROM BU_LOANTAPE_WORK.LT002_INSTRUMENT WHERE ref_date='${ref_date}' AND nome_perimetro='Individual Corporativo' AND segmento='ESTR' AND ambito='PILAR3')X</v>
      </c>
      <c r="M383" s="43" t="str">
        <f t="shared" si="6"/>
        <v>UNION ALL SELECT 'INSTRUMENT' AS TABELA, 'NOT APPLICABLE' AS TIPOLOGIA_TESTE,'BU_LOANTAPE_WORK.LT002_INSTRUMENT' AS TABELA_LT,'N/A' AS TABELA_SIMUL,'TYP_INSTRMNT' AS CAMPO, '${ref_date}' AS REF_DATE, COUNT(*) AS NUM_REG, SUM(IF(TRIM(CAST(X.TYP_INSTRMNT AS STRING)) IN ('N/A','11111111111','11111111111.00','11111111111.000000','1111-11-11'),1,0)) AS NUM_REG_DIF,'10' AS ID_EXEC, CURRENT_TIMESTAMP() AS TIME_EXEC FROM (SELECT instrmnt_id, TYP_INSTRMNT FROM BU_LOANTAPE_WORK.LT002_INSTRUMENT WHERE ref_date='${ref_date}' AND nome_perimetro='Individual Corporativo' AND segmento='ESTR' AND ambito='PILAR3')X</v>
      </c>
      <c r="N383" s="45" t="s">
        <v>13</v>
      </c>
    </row>
    <row r="384" spans="2:14">
      <c r="B384" s="41" t="s">
        <v>27</v>
      </c>
      <c r="C384" s="41" t="s">
        <v>78</v>
      </c>
      <c r="D384" s="41" t="str">
        <f>+UPPER('0. Instruções'!$D$33&amp;"."&amp;VLOOKUP(B384,'0. Instruções'!$C$27:$D$31,2,FALSE))</f>
        <v>BU_LOANTAPE_WORK.LT002_INSTRUMENT</v>
      </c>
      <c r="E384" s="41" t="str">
        <f>+UPPER('0. Instruções'!$D$34&amp;"."&amp;VLOOKUP(B384,'0. Instruções'!$C$27:$E$31,3,FALSE))</f>
        <v>BU_LOANTAPE_WORK.LT002_INSTRUMENT_P3_NOV24</v>
      </c>
      <c r="F384" s="41" t="s">
        <v>164</v>
      </c>
      <c r="G384" s="41" t="s">
        <v>13</v>
      </c>
      <c r="H384" s="41"/>
      <c r="I384" s="41" t="str">
        <f>"(SELECT "&amp;VLOOKUP(B384,'0. Instruções'!$C$27:$G$31,4,FALSE)&amp;", "&amp;F384&amp;" FROM "&amp;D384&amp;" WHERE "&amp;'0. Instruções'!$D$40&amp;")X"</f>
        <v>(SELECT instrmnt_id, GRSS_CRRYNG_AMNT_INSTRMNT FROM BU_LOANTAPE_WORK.LT002_INSTRUMENT WHERE ref_date='${ref_date}' AND nome_perimetro='Individual Corporativo' AND segmento='ESTR' AND ambito='PILAR3')X</v>
      </c>
      <c r="J384" s="41" t="str">
        <f>"(SELECT "&amp;VLOOKUP(B384,'0. Instruções'!$C$27:$G$31,4,FALSE)&amp;" AS "&amp;VLOOKUP(B384,'0. Instruções'!$C$27:$G$31,4,FALSE)&amp;"_SIMUL, "&amp;F384&amp;" AS "&amp;F384&amp;"_SIMUL FROM "&amp;E384&amp;")Y"</f>
        <v>(SELECT instrmnt_id AS instrmnt_id_SIMUL, GRSS_CRRYNG_AMNT_INSTRMNT AS GRSS_CRRYNG_AMNT_INSTRMNT_SIMUL FROM BU_LOANTAPE_WORK.LT002_INSTRUMENT_P3_NOV24)Y</v>
      </c>
      <c r="K384" s="42" t="str">
        <f>+UPPER("ON X."&amp;VLOOKUP(B384,'0. Instruções'!$C$27:$G$31,4,FALSE)&amp;"=Y."&amp;VLOOKUP(B384,'0. Instruções'!$C$27:$G$31,4,FALSE)&amp;"_SIMUL")</f>
        <v>ON X.INSTRMNT_ID=Y.INSTRMNT_ID_SIMUL</v>
      </c>
      <c r="L384" s="42" t="str">
        <f>+IF(C384="Coerência", +IF(LEFT(G384,5)="FLOAT","SELECT '"&amp;UPPER(B384)&amp;"' AS TABELA, '"&amp;UPPER(C384)&amp;"' AS TIPOLOGIA_TESTE,'"&amp;D384&amp;"' AS TABELA_LT,'"&amp;E384&amp;"' AS TABELA_SIMUL,'"&amp;F384&amp;"' AS CAMPO, "&amp;"'${ref_date}' AS REF_DATE, COUNT(*) AS NUM_REG, SUM(IF((ABS(COALESCE(X."&amp;F384&amp;",0)-COALESCE(Y."&amp;F384&amp;"_SIMUL,0))&gt;0.0000000001) OR (X."&amp;F384&amp;" IS NULL AND Y."&amp;F384&amp;"_SIMUL IS NOT NULL ) OR (X."&amp;F384&amp;" IS NOT NULL AND Y."&amp;F384&amp;"_SIMUL IS NULL),1,0)) AS NUM_REG_DIF,'"&amp;MAX('ID1&amp;5'!K:K)+1&amp;"' AS ID_EXEC, CURRENT_TIMESTAMP() AS TIME_EXEC FROM "&amp;I384&amp;" INNER JOIN "&amp;J384&amp;" "&amp;K384,"SELECT '"&amp;UPPER(B384)&amp;"' AS TABELA, '"&amp;UPPER(C384)&amp;"' AS TIPOLOGIA_TESTE,'"&amp;D384&amp;"' AS TABELA_LT,'"&amp;E384&amp;"' AS TABELA_SIMUL,'"&amp;F384&amp;"' AS CAMPO, "&amp;"'${ref_date}' AS REF_DATE, COUNT(*) AS NUM_REG, SUM(IF(COALESCE(CAST(X."&amp;F384&amp;" AS STRING),'')&lt;&gt;COALESCE(CAST(Y."&amp;F384&amp;"_SIMUL AS STRING),''),1,0)) AS NUM_REG_DIF,'"&amp;MAX('ID1&amp;5'!L:L)+1&amp;"' AS ID_EXEC, CURRENT_TIMESTAMP() AS TIME_EXEC FROM "&amp;I384&amp;" INNER JOIN "&amp;J384&amp;" "&amp;K384),
IF(C384="Validade",+IF(G384="Code List","SELECT '"&amp;UPPER(B384)&amp;"' AS TABELA, '"&amp;UPPER(C384)&amp;"' AS TIPOLOGIA_TESTE,'"&amp;D384&amp;"' AS TABELA_LT,'N/A' AS TABELA_SIMUL,'"&amp;F384&amp;"' AS CAMPO, "&amp;"'${ref_date}' AS REF_DATE, COUNT(*) AS NUM_REG, SUM(IF(TRIM(CAST(X."&amp;F384&amp;" AS STRING))='' OR TRIM(CAST(X."&amp;F384&amp;" AS STRING)) IS NULL OR CAST(X."&amp;F384&amp;" AS STRING) NOT "&amp;H384&amp;",1,0)) AS NUM_REG_DIF,'"&amp;MAX('ID1&amp;5'!K:K)+1&amp;"' AS ID_EXEC, CURRENT_TIMESTAMP() AS TIME_EXEC FROM "&amp;I384,"SELECT '"&amp;UPPER(B384)&amp;"' AS TABELA, '"&amp;UPPER(C384)&amp;"' AS TIPOLOGIA_TESTE,'"&amp;D384&amp;"' AS TABELA_LT,'N/A' AS TABELA_SIMUL,'"&amp;F384&amp;"' AS CAMPO, "&amp;"'${ref_date}' AS REF_DATE, COUNT(*) AS NUM_REG, SUM(IF(TRIM(CAST(X."&amp;F384&amp;" AS STRING))='' OR TRIM(CAST(X."&amp;F384&amp;" AS STRING)) IS NULL,1,0)) AS NUM_REG_DIF,'"&amp;MAX('ID1&amp;5'!K:K)+1&amp;"' AS ID_EXEC, CURRENT_TIMESTAMP() AS TIME_EXEC FROM "&amp;I384),
IF(C384="Caracteres Especiais",+"SELECT '"&amp;UPPER(B384)&amp;"' AS TABELA, '"&amp;UPPER(C384)&amp;"' AS TIPOLOGIA_TESTE,'"&amp;D384&amp;"' AS TABELA_LT,'N/A' AS TABELA_SIMUL,'"&amp;F384&amp;"' AS CAMPO, "&amp;"'${ref_date}' AS REF_DATE, COUNT(*) AS NUM_REG, SUM(IF(INSTR(CAST(X."&amp;F384&amp;" AS STRING),'#')&gt;0 OR INSTR(CAST(X."&amp;F384&amp;" AS STRING),'*')&gt;0 OR INSTR(CAST(X."&amp;F384&amp;" AS STRING),'`')&gt;0 OR INSTR(CAST(X."&amp;F384&amp;" AS STRING),'´')&gt;0 OR INSTR(CAST(X."&amp;F384&amp;" AS STRING),'{')&gt;0 OR INSTR(CAST(X."&amp;F384&amp;" AS STRING),'}')&gt;0 OR INSTR(CAST(X."&amp;F384&amp;" AS STRING),'[')&gt;0 OR INSTR(CAST(X."&amp;F384&amp;" AS STRING),'')&gt;0 OR INSTR(CAST(X."&amp;F384&amp;" AS STRING),']')&gt;0 OR INSTR(CAST(X."&amp;F384&amp;" AS STRING),'?')&gt;0 OR INSTR(CAST(X."&amp;F384&amp;" AS STRING),'!')&gt;0 OR INSTR(CAST(X."&amp;F384&amp;" AS STRING),'$')&gt;0 OR INSTR(CAST(X."&amp;F384&amp;" AS STRING),'%')&gt;0 OR INSTR(CAST(X."&amp;F384&amp;" AS STRING),'&amp;')&gt;0 OR INSTR(CAST(X."&amp;F384&amp;" AS STRING),'+')&gt;0,1,0)) AS NUM_REG_DIF,'"&amp;MAX('ID1&amp;5'!K:K)+1&amp;"' AS ID_EXEC, CURRENT_TIMESTAMP() AS TIME_EXEC FROM "&amp;I384,
IF(C384="Missings",+"SELECT '"&amp;UPPER(B384)&amp;"' AS TABELA, '"&amp;UPPER(C384)&amp;"' AS TIPOLOGIA_TESTE,'"&amp;D384&amp;"' AS TABELA_LT,'N/A' AS TABELA_SIMUL,'"&amp;F384&amp;"' AS CAMPO, "&amp;"'${ref_date}' AS REF_DATE, COUNT(*) AS NUM_REG, SUM(IF(TRIM(CAST(X."&amp;F384&amp;" AS STRING)) IN ('0000-00-00','0001-01-01','9999-12-31','MISS','00000','99999999999','99999999999.00','99999999999.000000'),1,0)) AS NUM_REG_DIF,'"&amp;MAX('ID1&amp;5'!K:K)+1&amp;"' AS ID_EXEC, CURRENT_TIMESTAMP() AS TIME_EXEC FROM "&amp;I384,
IF(C384="Not applicable",+"SELECT '"&amp;UPPER(B384)&amp;"' AS TABELA, '"&amp;UPPER(C384)&amp;"' AS TIPOLOGIA_TESTE,'"&amp;D384&amp;"' AS TABELA_LT,'N/A' AS TABELA_SIMUL,'"&amp;F384&amp;"' AS CAMPO, "&amp;"'${ref_date}' AS REF_DATE, COUNT(*) AS NUM_REG, SUM(IF(TRIM(CAST(X."&amp;F384&amp;" AS STRING)) IN ('N/A','11111111111','11111111111.00','11111111111.000000','1111-11-11'),1,0)) AS NUM_REG_DIF,'"&amp;MAX('ID1&amp;5'!K:K)+1&amp;"' AS ID_EXEC, CURRENT_TIMESTAMP() AS TIME_EXEC FROM "&amp;I384,
IF(C384="Valores extremos",+"SELECT '"&amp;UPPER(B384)&amp;"' AS TABELA, '"&amp;UPPER(C384)&amp;"' AS TIPOLOGIA_TESTE,'"&amp;D384&amp;"' AS TABELA_LT,'N/A' AS TABELA_SIMUL,'"&amp;F384&amp;"' AS CAMPO, "&amp;"'${ref_date}' AS REF_DATE, CAST(MIN("&amp;F384&amp;") AS STRING) AS VALOR_MIN, CAST(MAX("&amp;F384&amp;") AS STRING) AS VALOR_MAX,'"&amp;MAX('ID1&amp;5'!K:K)+1&amp;"' AS ID_EXEC, CURRENT_TIMESTAMP() AS TIME_EXEC FROM "&amp;MID(I384,1,LEN(I384)-2)&amp;" AND CAST("&amp;F384&amp;"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TABELA_SIMUL,'GRSS_CRRYNG_AMNT_INSTRMNT' AS CAMPO, '${ref_date}' AS REF_DATE, COUNT(*) AS NUM_REG, SUM(IF(TRIM(CAST(X.GRSS_CRRYNG_AMNT_INSTRMNT AS STRING)) IN ('N/A','11111111111','11111111111.00','11111111111.000000','1111-11-11'),1,0)) AS NUM_REG_DIF,'10' AS ID_EXEC, CURRENT_TIMESTAMP() AS TIME_EXEC FROM (SELECT instrmnt_id, GRSS_CRRYNG_AMNT_INSTRMNT FROM BU_LOANTAPE_WORK.LT002_INSTRUMENT WHERE ref_date='${ref_date}' AND nome_perimetro='Individual Corporativo' AND segmento='ESTR' AND ambito='PILAR3')X</v>
      </c>
      <c r="M384" s="43" t="str">
        <f t="shared" si="6"/>
        <v>UNION ALL SELECT 'INSTRUMENT' AS TABELA, 'NOT APPLICABLE' AS TIPOLOGIA_TESTE,'BU_LOANTAPE_WORK.LT002_INSTRUMENT' AS TABELA_LT,'N/A' AS TABELA_SIMUL,'GRSS_CRRYNG_AMNT_INSTRMNT' AS CAMPO, '${ref_date}' AS REF_DATE, COUNT(*) AS NUM_REG, SUM(IF(TRIM(CAST(X.GRSS_CRRYNG_AMNT_INSTRMNT AS STRING)) IN ('N/A','11111111111','11111111111.00','11111111111.000000','1111-11-11'),1,0)) AS NUM_REG_DIF,'10' AS ID_EXEC, CURRENT_TIMESTAMP() AS TIME_EXEC FROM (SELECT instrmnt_id, GRSS_CRRYNG_AMNT_INSTRMNT FROM BU_LOANTAPE_WORK.LT002_INSTRUMENT WHERE ref_date='${ref_date}' AND nome_perimetro='Individual Corporativo' AND segmento='ESTR' AND ambito='PILAR3')X</v>
      </c>
      <c r="N384" s="45" t="s">
        <v>13</v>
      </c>
    </row>
    <row r="385" spans="2:14">
      <c r="B385" s="41" t="s">
        <v>27</v>
      </c>
      <c r="C385" s="41" t="s">
        <v>78</v>
      </c>
      <c r="D385" s="41" t="str">
        <f>+UPPER('0. Instruções'!$D$33&amp;"."&amp;VLOOKUP(B385,'0. Instruções'!$C$27:$D$31,2,FALSE))</f>
        <v>BU_LOANTAPE_WORK.LT002_INSTRUMENT</v>
      </c>
      <c r="E385" s="41" t="str">
        <f>+UPPER('0. Instruções'!$D$34&amp;"."&amp;VLOOKUP(B385,'0. Instruções'!$C$27:$E$31,3,FALSE))</f>
        <v>BU_LOANTAPE_WORK.LT002_INSTRUMENT_P3_NOV24</v>
      </c>
      <c r="F385" s="41" t="s">
        <v>165</v>
      </c>
      <c r="G385" s="41" t="s">
        <v>13</v>
      </c>
      <c r="H385" s="41"/>
      <c r="I385" s="41" t="str">
        <f>"(SELECT "&amp;VLOOKUP(B385,'0. Instruções'!$C$27:$G$31,4,FALSE)&amp;", "&amp;F385&amp;" FROM "&amp;D385&amp;" WHERE "&amp;'0. Instruções'!$D$40&amp;")X"</f>
        <v>(SELECT instrmnt_id, ACCMLTD_CHNGS_FV_CR_INSTRMNT FROM BU_LOANTAPE_WORK.LT002_INSTRUMENT WHERE ref_date='${ref_date}' AND nome_perimetro='Individual Corporativo' AND segmento='ESTR' AND ambito='PILAR3')X</v>
      </c>
      <c r="J385" s="41" t="str">
        <f>"(SELECT "&amp;VLOOKUP(B385,'0. Instruções'!$C$27:$G$31,4,FALSE)&amp;" AS "&amp;VLOOKUP(B385,'0. Instruções'!$C$27:$G$31,4,FALSE)&amp;"_SIMUL, "&amp;F385&amp;" AS "&amp;F385&amp;"_SIMUL FROM "&amp;E385&amp;")Y"</f>
        <v>(SELECT instrmnt_id AS instrmnt_id_SIMUL, ACCMLTD_CHNGS_FV_CR_INSTRMNT AS ACCMLTD_CHNGS_FV_CR_INSTRMNT_SIMUL FROM BU_LOANTAPE_WORK.LT002_INSTRUMENT_P3_NOV24)Y</v>
      </c>
      <c r="K385" s="42" t="str">
        <f>+UPPER("ON X."&amp;VLOOKUP(B385,'0. Instruções'!$C$27:$G$31,4,FALSE)&amp;"=Y."&amp;VLOOKUP(B385,'0. Instruções'!$C$27:$G$31,4,FALSE)&amp;"_SIMUL")</f>
        <v>ON X.INSTRMNT_ID=Y.INSTRMNT_ID_SIMUL</v>
      </c>
      <c r="L385" s="42" t="str">
        <f>+IF(C385="Coerência", +IF(LEFT(G385,5)="FLOAT","SELECT '"&amp;UPPER(B385)&amp;"' AS TABELA, '"&amp;UPPER(C385)&amp;"' AS TIPOLOGIA_TESTE,'"&amp;D385&amp;"' AS TABELA_LT,'"&amp;E385&amp;"' AS TABELA_SIMUL,'"&amp;F385&amp;"' AS CAMPO, "&amp;"'${ref_date}' AS REF_DATE, COUNT(*) AS NUM_REG, SUM(IF((ABS(COALESCE(X."&amp;F385&amp;",0)-COALESCE(Y."&amp;F385&amp;"_SIMUL,0))&gt;0.0000000001) OR (X."&amp;F385&amp;" IS NULL AND Y."&amp;F385&amp;"_SIMUL IS NOT NULL ) OR (X."&amp;F385&amp;" IS NOT NULL AND Y."&amp;F385&amp;"_SIMUL IS NULL),1,0)) AS NUM_REG_DIF,'"&amp;MAX('ID1&amp;5'!K:K)+1&amp;"' AS ID_EXEC, CURRENT_TIMESTAMP() AS TIME_EXEC FROM "&amp;I385&amp;" INNER JOIN "&amp;J385&amp;" "&amp;K385,"SELECT '"&amp;UPPER(B385)&amp;"' AS TABELA, '"&amp;UPPER(C385)&amp;"' AS TIPOLOGIA_TESTE,'"&amp;D385&amp;"' AS TABELA_LT,'"&amp;E385&amp;"' AS TABELA_SIMUL,'"&amp;F385&amp;"' AS CAMPO, "&amp;"'${ref_date}' AS REF_DATE, COUNT(*) AS NUM_REG, SUM(IF(COALESCE(CAST(X."&amp;F385&amp;" AS STRING),'')&lt;&gt;COALESCE(CAST(Y."&amp;F385&amp;"_SIMUL AS STRING),''),1,0)) AS NUM_REG_DIF,'"&amp;MAX('ID1&amp;5'!L:L)+1&amp;"' AS ID_EXEC, CURRENT_TIMESTAMP() AS TIME_EXEC FROM "&amp;I385&amp;" INNER JOIN "&amp;J385&amp;" "&amp;K385),
IF(C385="Validade",+IF(G385="Code List","SELECT '"&amp;UPPER(B385)&amp;"' AS TABELA, '"&amp;UPPER(C385)&amp;"' AS TIPOLOGIA_TESTE,'"&amp;D385&amp;"' AS TABELA_LT,'N/A' AS TABELA_SIMUL,'"&amp;F385&amp;"' AS CAMPO, "&amp;"'${ref_date}' AS REF_DATE, COUNT(*) AS NUM_REG, SUM(IF(TRIM(CAST(X."&amp;F385&amp;" AS STRING))='' OR TRIM(CAST(X."&amp;F385&amp;" AS STRING)) IS NULL OR CAST(X."&amp;F385&amp;" AS STRING) NOT "&amp;H385&amp;",1,0)) AS NUM_REG_DIF,'"&amp;MAX('ID1&amp;5'!K:K)+1&amp;"' AS ID_EXEC, CURRENT_TIMESTAMP() AS TIME_EXEC FROM "&amp;I385,"SELECT '"&amp;UPPER(B385)&amp;"' AS TABELA, '"&amp;UPPER(C385)&amp;"' AS TIPOLOGIA_TESTE,'"&amp;D385&amp;"' AS TABELA_LT,'N/A' AS TABELA_SIMUL,'"&amp;F385&amp;"' AS CAMPO, "&amp;"'${ref_date}' AS REF_DATE, COUNT(*) AS NUM_REG, SUM(IF(TRIM(CAST(X."&amp;F385&amp;" AS STRING))='' OR TRIM(CAST(X."&amp;F385&amp;" AS STRING)) IS NULL,1,0)) AS NUM_REG_DIF,'"&amp;MAX('ID1&amp;5'!K:K)+1&amp;"' AS ID_EXEC, CURRENT_TIMESTAMP() AS TIME_EXEC FROM "&amp;I385),
IF(C385="Caracteres Especiais",+"SELECT '"&amp;UPPER(B385)&amp;"' AS TABELA, '"&amp;UPPER(C385)&amp;"' AS TIPOLOGIA_TESTE,'"&amp;D385&amp;"' AS TABELA_LT,'N/A' AS TABELA_SIMUL,'"&amp;F385&amp;"' AS CAMPO, "&amp;"'${ref_date}' AS REF_DATE, COUNT(*) AS NUM_REG, SUM(IF(INSTR(CAST(X."&amp;F385&amp;" AS STRING),'#')&gt;0 OR INSTR(CAST(X."&amp;F385&amp;" AS STRING),'*')&gt;0 OR INSTR(CAST(X."&amp;F385&amp;" AS STRING),'`')&gt;0 OR INSTR(CAST(X."&amp;F385&amp;" AS STRING),'´')&gt;0 OR INSTR(CAST(X."&amp;F385&amp;" AS STRING),'{')&gt;0 OR INSTR(CAST(X."&amp;F385&amp;" AS STRING),'}')&gt;0 OR INSTR(CAST(X."&amp;F385&amp;" AS STRING),'[')&gt;0 OR INSTR(CAST(X."&amp;F385&amp;" AS STRING),'')&gt;0 OR INSTR(CAST(X."&amp;F385&amp;" AS STRING),']')&gt;0 OR INSTR(CAST(X."&amp;F385&amp;" AS STRING),'?')&gt;0 OR INSTR(CAST(X."&amp;F385&amp;" AS STRING),'!')&gt;0 OR INSTR(CAST(X."&amp;F385&amp;" AS STRING),'$')&gt;0 OR INSTR(CAST(X."&amp;F385&amp;" AS STRING),'%')&gt;0 OR INSTR(CAST(X."&amp;F385&amp;" AS STRING),'&amp;')&gt;0 OR INSTR(CAST(X."&amp;F385&amp;" AS STRING),'+')&gt;0,1,0)) AS NUM_REG_DIF,'"&amp;MAX('ID1&amp;5'!K:K)+1&amp;"' AS ID_EXEC, CURRENT_TIMESTAMP() AS TIME_EXEC FROM "&amp;I385,
IF(C385="Missings",+"SELECT '"&amp;UPPER(B385)&amp;"' AS TABELA, '"&amp;UPPER(C385)&amp;"' AS TIPOLOGIA_TESTE,'"&amp;D385&amp;"' AS TABELA_LT,'N/A' AS TABELA_SIMUL,'"&amp;F385&amp;"' AS CAMPO, "&amp;"'${ref_date}' AS REF_DATE, COUNT(*) AS NUM_REG, SUM(IF(TRIM(CAST(X."&amp;F385&amp;" AS STRING)) IN ('0000-00-00','0001-01-01','9999-12-31','MISS','00000','99999999999','99999999999.00','99999999999.000000'),1,0)) AS NUM_REG_DIF,'"&amp;MAX('ID1&amp;5'!K:K)+1&amp;"' AS ID_EXEC, CURRENT_TIMESTAMP() AS TIME_EXEC FROM "&amp;I385,
IF(C385="Not applicable",+"SELECT '"&amp;UPPER(B385)&amp;"' AS TABELA, '"&amp;UPPER(C385)&amp;"' AS TIPOLOGIA_TESTE,'"&amp;D385&amp;"' AS TABELA_LT,'N/A' AS TABELA_SIMUL,'"&amp;F385&amp;"' AS CAMPO, "&amp;"'${ref_date}' AS REF_DATE, COUNT(*) AS NUM_REG, SUM(IF(TRIM(CAST(X."&amp;F385&amp;" AS STRING)) IN ('N/A','11111111111','11111111111.00','11111111111.000000','1111-11-11'),1,0)) AS NUM_REG_DIF,'"&amp;MAX('ID1&amp;5'!K:K)+1&amp;"' AS ID_EXEC, CURRENT_TIMESTAMP() AS TIME_EXEC FROM "&amp;I385,
IF(C385="Valores extremos",+"SELECT '"&amp;UPPER(B385)&amp;"' AS TABELA, '"&amp;UPPER(C385)&amp;"' AS TIPOLOGIA_TESTE,'"&amp;D385&amp;"' AS TABELA_LT,'N/A' AS TABELA_SIMUL,'"&amp;F385&amp;"' AS CAMPO, "&amp;"'${ref_date}' AS REF_DATE, CAST(MIN("&amp;F385&amp;") AS STRING) AS VALOR_MIN, CAST(MAX("&amp;F385&amp;") AS STRING) AS VALOR_MAX,'"&amp;MAX('ID1&amp;5'!K:K)+1&amp;"' AS ID_EXEC, CURRENT_TIMESTAMP() AS TIME_EXEC FROM "&amp;MID(I385,1,LEN(I385)-2)&amp;" AND CAST("&amp;F385&amp;"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TABELA_SIMUL,'ACCMLTD_CHNGS_FV_CR_INSTRMNT' AS CAMPO, '${ref_date}' AS REF_DATE, COUNT(*) AS NUM_REG, SUM(IF(TRIM(CAST(X.ACCMLTD_CHNGS_FV_CR_INSTRMNT AS STRING)) IN ('N/A','11111111111','11111111111.00','11111111111.000000','1111-11-11'),1,0)) AS NUM_REG_DIF,'10' AS ID_EXEC, CURRENT_TIMESTAMP() AS TIME_EXEC FROM (SELECT instrmnt_id, ACCMLTD_CHNGS_FV_CR_INSTRMNT FROM BU_LOANTAPE_WORK.LT002_INSTRUMENT WHERE ref_date='${ref_date}' AND nome_perimetro='Individual Corporativo' AND segmento='ESTR' AND ambito='PILAR3')X</v>
      </c>
      <c r="M385" s="43" t="str">
        <f t="shared" si="6"/>
        <v>UNION ALL SELECT 'INSTRUMENT' AS TABELA, 'NOT APPLICABLE' AS TIPOLOGIA_TESTE,'BU_LOANTAPE_WORK.LT002_INSTRUMENT' AS TABELA_LT,'N/A' AS TABELA_SIMUL,'ACCMLTD_CHNGS_FV_CR_INSTRMNT' AS CAMPO, '${ref_date}' AS REF_DATE, COUNT(*) AS NUM_REG, SUM(IF(TRIM(CAST(X.ACCMLTD_CHNGS_FV_CR_INSTRMNT AS STRING)) IN ('N/A','11111111111','11111111111.00','11111111111.000000','1111-11-11'),1,0)) AS NUM_REG_DIF,'10' AS ID_EXEC, CURRENT_TIMESTAMP() AS TIME_EXEC FROM (SELECT instrmnt_id, ACCMLTD_CHNGS_FV_CR_INSTRMNT FROM BU_LOANTAPE_WORK.LT002_INSTRUMENT WHERE ref_date='${ref_date}' AND nome_perimetro='Individual Corporativo' AND segmento='ESTR' AND ambito='PILAR3')X</v>
      </c>
      <c r="N385" s="45" t="s">
        <v>13</v>
      </c>
    </row>
    <row r="386" spans="2:14">
      <c r="B386" s="41" t="s">
        <v>27</v>
      </c>
      <c r="C386" s="41" t="s">
        <v>78</v>
      </c>
      <c r="D386" s="41" t="str">
        <f>+UPPER('0. Instruções'!$D$33&amp;"."&amp;VLOOKUP(B386,'0. Instruções'!$C$27:$D$31,2,FALSE))</f>
        <v>BU_LOANTAPE_WORK.LT002_INSTRUMENT</v>
      </c>
      <c r="E386" s="41" t="str">
        <f>+UPPER('0. Instruções'!$D$34&amp;"."&amp;VLOOKUP(B386,'0. Instruções'!$C$27:$E$31,3,FALSE))</f>
        <v>BU_LOANTAPE_WORK.LT002_INSTRUMENT_P3_NOV24</v>
      </c>
      <c r="F386" s="41" t="s">
        <v>166</v>
      </c>
      <c r="G386" s="41" t="s">
        <v>13</v>
      </c>
      <c r="H386" s="41"/>
      <c r="I386" s="41" t="str">
        <f>"(SELECT "&amp;VLOOKUP(B386,'0. Instruções'!$C$27:$G$31,4,FALSE)&amp;", "&amp;F386&amp;" FROM "&amp;D386&amp;" WHERE "&amp;'0. Instruções'!$D$40&amp;")X"</f>
        <v>(SELECT instrmnt_id, ACCNTNG_CLSSFCTN FROM BU_LOANTAPE_WORK.LT002_INSTRUMENT WHERE ref_date='${ref_date}' AND nome_perimetro='Individual Corporativo' AND segmento='ESTR' AND ambito='PILAR3')X</v>
      </c>
      <c r="J386" s="41" t="str">
        <f>"(SELECT "&amp;VLOOKUP(B386,'0. Instruções'!$C$27:$G$31,4,FALSE)&amp;" AS "&amp;VLOOKUP(B386,'0. Instruções'!$C$27:$G$31,4,FALSE)&amp;"_SIMUL, "&amp;F386&amp;" AS "&amp;F386&amp;"_SIMUL FROM "&amp;E386&amp;")Y"</f>
        <v>(SELECT instrmnt_id AS instrmnt_id_SIMUL, ACCNTNG_CLSSFCTN AS ACCNTNG_CLSSFCTN_SIMUL FROM BU_LOANTAPE_WORK.LT002_INSTRUMENT_P3_NOV24)Y</v>
      </c>
      <c r="K386" s="42" t="str">
        <f>+UPPER("ON X."&amp;VLOOKUP(B386,'0. Instruções'!$C$27:$G$31,4,FALSE)&amp;"=Y."&amp;VLOOKUP(B386,'0. Instruções'!$C$27:$G$31,4,FALSE)&amp;"_SIMUL")</f>
        <v>ON X.INSTRMNT_ID=Y.INSTRMNT_ID_SIMUL</v>
      </c>
      <c r="L386" s="42" t="str">
        <f>+IF(C386="Coerência", +IF(LEFT(G386,5)="FLOAT","SELECT '"&amp;UPPER(B386)&amp;"' AS TABELA, '"&amp;UPPER(C386)&amp;"' AS TIPOLOGIA_TESTE,'"&amp;D386&amp;"' AS TABELA_LT,'"&amp;E386&amp;"' AS TABELA_SIMUL,'"&amp;F386&amp;"' AS CAMPO, "&amp;"'${ref_date}' AS REF_DATE, COUNT(*) AS NUM_REG, SUM(IF((ABS(COALESCE(X."&amp;F386&amp;",0)-COALESCE(Y."&amp;F386&amp;"_SIMUL,0))&gt;0.0000000001) OR (X."&amp;F386&amp;" IS NULL AND Y."&amp;F386&amp;"_SIMUL IS NOT NULL ) OR (X."&amp;F386&amp;" IS NOT NULL AND Y."&amp;F386&amp;"_SIMUL IS NULL),1,0)) AS NUM_REG_DIF,'"&amp;MAX('ID1&amp;5'!K:K)+1&amp;"' AS ID_EXEC, CURRENT_TIMESTAMP() AS TIME_EXEC FROM "&amp;I386&amp;" INNER JOIN "&amp;J386&amp;" "&amp;K386,"SELECT '"&amp;UPPER(B386)&amp;"' AS TABELA, '"&amp;UPPER(C386)&amp;"' AS TIPOLOGIA_TESTE,'"&amp;D386&amp;"' AS TABELA_LT,'"&amp;E386&amp;"' AS TABELA_SIMUL,'"&amp;F386&amp;"' AS CAMPO, "&amp;"'${ref_date}' AS REF_DATE, COUNT(*) AS NUM_REG, SUM(IF(COALESCE(CAST(X."&amp;F386&amp;" AS STRING),'')&lt;&gt;COALESCE(CAST(Y."&amp;F386&amp;"_SIMUL AS STRING),''),1,0)) AS NUM_REG_DIF,'"&amp;MAX('ID1&amp;5'!L:L)+1&amp;"' AS ID_EXEC, CURRENT_TIMESTAMP() AS TIME_EXEC FROM "&amp;I386&amp;" INNER JOIN "&amp;J386&amp;" "&amp;K386),
IF(C386="Validade",+IF(G386="Code List","SELECT '"&amp;UPPER(B386)&amp;"' AS TABELA, '"&amp;UPPER(C386)&amp;"' AS TIPOLOGIA_TESTE,'"&amp;D386&amp;"' AS TABELA_LT,'N/A' AS TABELA_SIMUL,'"&amp;F386&amp;"' AS CAMPO, "&amp;"'${ref_date}' AS REF_DATE, COUNT(*) AS NUM_REG, SUM(IF(TRIM(CAST(X."&amp;F386&amp;" AS STRING))='' OR TRIM(CAST(X."&amp;F386&amp;" AS STRING)) IS NULL OR CAST(X."&amp;F386&amp;" AS STRING) NOT "&amp;H386&amp;",1,0)) AS NUM_REG_DIF,'"&amp;MAX('ID1&amp;5'!K:K)+1&amp;"' AS ID_EXEC, CURRENT_TIMESTAMP() AS TIME_EXEC FROM "&amp;I386,"SELECT '"&amp;UPPER(B386)&amp;"' AS TABELA, '"&amp;UPPER(C386)&amp;"' AS TIPOLOGIA_TESTE,'"&amp;D386&amp;"' AS TABELA_LT,'N/A' AS TABELA_SIMUL,'"&amp;F386&amp;"' AS CAMPO, "&amp;"'${ref_date}' AS REF_DATE, COUNT(*) AS NUM_REG, SUM(IF(TRIM(CAST(X."&amp;F386&amp;" AS STRING))='' OR TRIM(CAST(X."&amp;F386&amp;" AS STRING)) IS NULL,1,0)) AS NUM_REG_DIF,'"&amp;MAX('ID1&amp;5'!K:K)+1&amp;"' AS ID_EXEC, CURRENT_TIMESTAMP() AS TIME_EXEC FROM "&amp;I386),
IF(C386="Caracteres Especiais",+"SELECT '"&amp;UPPER(B386)&amp;"' AS TABELA, '"&amp;UPPER(C386)&amp;"' AS TIPOLOGIA_TESTE,'"&amp;D386&amp;"' AS TABELA_LT,'N/A' AS TABELA_SIMUL,'"&amp;F386&amp;"' AS CAMPO, "&amp;"'${ref_date}' AS REF_DATE, COUNT(*) AS NUM_REG, SUM(IF(INSTR(CAST(X."&amp;F386&amp;" AS STRING),'#')&gt;0 OR INSTR(CAST(X."&amp;F386&amp;" AS STRING),'*')&gt;0 OR INSTR(CAST(X."&amp;F386&amp;" AS STRING),'`')&gt;0 OR INSTR(CAST(X."&amp;F386&amp;" AS STRING),'´')&gt;0 OR INSTR(CAST(X."&amp;F386&amp;" AS STRING),'{')&gt;0 OR INSTR(CAST(X."&amp;F386&amp;" AS STRING),'}')&gt;0 OR INSTR(CAST(X."&amp;F386&amp;" AS STRING),'[')&gt;0 OR INSTR(CAST(X."&amp;F386&amp;" AS STRING),'')&gt;0 OR INSTR(CAST(X."&amp;F386&amp;" AS STRING),']')&gt;0 OR INSTR(CAST(X."&amp;F386&amp;" AS STRING),'?')&gt;0 OR INSTR(CAST(X."&amp;F386&amp;" AS STRING),'!')&gt;0 OR INSTR(CAST(X."&amp;F386&amp;" AS STRING),'$')&gt;0 OR INSTR(CAST(X."&amp;F386&amp;" AS STRING),'%')&gt;0 OR INSTR(CAST(X."&amp;F386&amp;" AS STRING),'&amp;')&gt;0 OR INSTR(CAST(X."&amp;F386&amp;" AS STRING),'+')&gt;0,1,0)) AS NUM_REG_DIF,'"&amp;MAX('ID1&amp;5'!K:K)+1&amp;"' AS ID_EXEC, CURRENT_TIMESTAMP() AS TIME_EXEC FROM "&amp;I386,
IF(C386="Missings",+"SELECT '"&amp;UPPER(B386)&amp;"' AS TABELA, '"&amp;UPPER(C386)&amp;"' AS TIPOLOGIA_TESTE,'"&amp;D386&amp;"' AS TABELA_LT,'N/A' AS TABELA_SIMUL,'"&amp;F386&amp;"' AS CAMPO, "&amp;"'${ref_date}' AS REF_DATE, COUNT(*) AS NUM_REG, SUM(IF(TRIM(CAST(X."&amp;F386&amp;" AS STRING)) IN ('0000-00-00','0001-01-01','9999-12-31','MISS','00000','99999999999','99999999999.00','99999999999.000000'),1,0)) AS NUM_REG_DIF,'"&amp;MAX('ID1&amp;5'!K:K)+1&amp;"' AS ID_EXEC, CURRENT_TIMESTAMP() AS TIME_EXEC FROM "&amp;I386,
IF(C386="Not applicable",+"SELECT '"&amp;UPPER(B386)&amp;"' AS TABELA, '"&amp;UPPER(C386)&amp;"' AS TIPOLOGIA_TESTE,'"&amp;D386&amp;"' AS TABELA_LT,'N/A' AS TABELA_SIMUL,'"&amp;F386&amp;"' AS CAMPO, "&amp;"'${ref_date}' AS REF_DATE, COUNT(*) AS NUM_REG, SUM(IF(TRIM(CAST(X."&amp;F386&amp;" AS STRING)) IN ('N/A','11111111111','11111111111.00','11111111111.000000','1111-11-11'),1,0)) AS NUM_REG_DIF,'"&amp;MAX('ID1&amp;5'!K:K)+1&amp;"' AS ID_EXEC, CURRENT_TIMESTAMP() AS TIME_EXEC FROM "&amp;I386,
IF(C386="Valores extremos",+"SELECT '"&amp;UPPER(B386)&amp;"' AS TABELA, '"&amp;UPPER(C386)&amp;"' AS TIPOLOGIA_TESTE,'"&amp;D386&amp;"' AS TABELA_LT,'N/A' AS TABELA_SIMUL,'"&amp;F386&amp;"' AS CAMPO, "&amp;"'${ref_date}' AS REF_DATE, CAST(MIN("&amp;F386&amp;") AS STRING) AS VALOR_MIN, CAST(MAX("&amp;F386&amp;") AS STRING) AS VALOR_MAX,'"&amp;MAX('ID1&amp;5'!K:K)+1&amp;"' AS ID_EXEC, CURRENT_TIMESTAMP() AS TIME_EXEC FROM "&amp;MID(I386,1,LEN(I386)-2)&amp;" AND CAST("&amp;F386&amp;"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TABELA_SIMUL,'ACCNTNG_CLSSFCTN' AS CAMPO, '${ref_date}' AS REF_DATE, COUNT(*) AS NUM_REG, SUM(IF(TRIM(CAST(X.ACCNTNG_CLSSFCTN AS STRING)) IN ('N/A','11111111111','11111111111.00','11111111111.000000','1111-11-11'),1,0)) AS NUM_REG_DIF,'10' AS ID_EXEC, CURRENT_TIMESTAMP() AS TIME_EXEC FROM (SELECT instrmnt_id, ACCNTNG_CLSSFCTN FROM BU_LOANTAPE_WORK.LT002_INSTRUMENT WHERE ref_date='${ref_date}' AND nome_perimetro='Individual Corporativo' AND segmento='ESTR' AND ambito='PILAR3')X</v>
      </c>
      <c r="M386" s="43" t="str">
        <f t="shared" si="6"/>
        <v>UNION ALL SELECT 'INSTRUMENT' AS TABELA, 'NOT APPLICABLE' AS TIPOLOGIA_TESTE,'BU_LOANTAPE_WORK.LT002_INSTRUMENT' AS TABELA_LT,'N/A' AS TABELA_SIMUL,'ACCNTNG_CLSSFCTN' AS CAMPO, '${ref_date}' AS REF_DATE, COUNT(*) AS NUM_REG, SUM(IF(TRIM(CAST(X.ACCNTNG_CLSSFCTN AS STRING)) IN ('N/A','11111111111','11111111111.00','11111111111.000000','1111-11-11'),1,0)) AS NUM_REG_DIF,'10' AS ID_EXEC, CURRENT_TIMESTAMP() AS TIME_EXEC FROM (SELECT instrmnt_id, ACCNTNG_CLSSFCTN FROM BU_LOANTAPE_WORK.LT002_INSTRUMENT WHERE ref_date='${ref_date}' AND nome_perimetro='Individual Corporativo' AND segmento='ESTR' AND ambito='PILAR3')X</v>
      </c>
      <c r="N386" s="45" t="s">
        <v>13</v>
      </c>
    </row>
    <row r="387" spans="2:14">
      <c r="B387" s="41" t="s">
        <v>27</v>
      </c>
      <c r="C387" s="41" t="s">
        <v>78</v>
      </c>
      <c r="D387" s="41" t="str">
        <f>+UPPER('0. Instruções'!$D$33&amp;"."&amp;VLOOKUP(B387,'0. Instruções'!$C$27:$D$31,2,FALSE))</f>
        <v>BU_LOANTAPE_WORK.LT002_INSTRUMENT</v>
      </c>
      <c r="E387" s="41" t="str">
        <f>+UPPER('0. Instruções'!$D$34&amp;"."&amp;VLOOKUP(B387,'0. Instruções'!$C$27:$E$31,3,FALSE))</f>
        <v>BU_LOANTAPE_WORK.LT002_INSTRUMENT_P3_NOV24</v>
      </c>
      <c r="F387" s="41" t="s">
        <v>167</v>
      </c>
      <c r="G387" s="41" t="s">
        <v>13</v>
      </c>
      <c r="H387" s="41"/>
      <c r="I387" s="41" t="str">
        <f>"(SELECT "&amp;VLOOKUP(B387,'0. Instruções'!$C$27:$G$31,4,FALSE)&amp;", "&amp;F387&amp;" FROM "&amp;D387&amp;" WHERE "&amp;'0. Instruções'!$D$40&amp;")X"</f>
        <v>(SELECT instrmnt_id, DT_LGL_FNL_MTRTY FROM BU_LOANTAPE_WORK.LT002_INSTRUMENT WHERE ref_date='${ref_date}' AND nome_perimetro='Individual Corporativo' AND segmento='ESTR' AND ambito='PILAR3')X</v>
      </c>
      <c r="J387" s="41" t="str">
        <f>"(SELECT "&amp;VLOOKUP(B387,'0. Instruções'!$C$27:$G$31,4,FALSE)&amp;" AS "&amp;VLOOKUP(B387,'0. Instruções'!$C$27:$G$31,4,FALSE)&amp;"_SIMUL, "&amp;F387&amp;" AS "&amp;F387&amp;"_SIMUL FROM "&amp;E387&amp;")Y"</f>
        <v>(SELECT instrmnt_id AS instrmnt_id_SIMUL, DT_LGL_FNL_MTRTY AS DT_LGL_FNL_MTRTY_SIMUL FROM BU_LOANTAPE_WORK.LT002_INSTRUMENT_P3_NOV24)Y</v>
      </c>
      <c r="K387" s="42" t="str">
        <f>+UPPER("ON X."&amp;VLOOKUP(B387,'0. Instruções'!$C$27:$G$31,4,FALSE)&amp;"=Y."&amp;VLOOKUP(B387,'0. Instruções'!$C$27:$G$31,4,FALSE)&amp;"_SIMUL")</f>
        <v>ON X.INSTRMNT_ID=Y.INSTRMNT_ID_SIMUL</v>
      </c>
      <c r="L387" s="42" t="str">
        <f>+IF(C387="Coerência", +IF(LEFT(G387,5)="FLOAT","SELECT '"&amp;UPPER(B387)&amp;"' AS TABELA, '"&amp;UPPER(C387)&amp;"' AS TIPOLOGIA_TESTE,'"&amp;D387&amp;"' AS TABELA_LT,'"&amp;E387&amp;"' AS TABELA_SIMUL,'"&amp;F387&amp;"' AS CAMPO, "&amp;"'${ref_date}' AS REF_DATE, COUNT(*) AS NUM_REG, SUM(IF((ABS(COALESCE(X."&amp;F387&amp;",0)-COALESCE(Y."&amp;F387&amp;"_SIMUL,0))&gt;0.0000000001) OR (X."&amp;F387&amp;" IS NULL AND Y."&amp;F387&amp;"_SIMUL IS NOT NULL ) OR (X."&amp;F387&amp;" IS NOT NULL AND Y."&amp;F387&amp;"_SIMUL IS NULL),1,0)) AS NUM_REG_DIF,'"&amp;MAX('ID1&amp;5'!K:K)+1&amp;"' AS ID_EXEC, CURRENT_TIMESTAMP() AS TIME_EXEC FROM "&amp;I387&amp;" INNER JOIN "&amp;J387&amp;" "&amp;K387,"SELECT '"&amp;UPPER(B387)&amp;"' AS TABELA, '"&amp;UPPER(C387)&amp;"' AS TIPOLOGIA_TESTE,'"&amp;D387&amp;"' AS TABELA_LT,'"&amp;E387&amp;"' AS TABELA_SIMUL,'"&amp;F387&amp;"' AS CAMPO, "&amp;"'${ref_date}' AS REF_DATE, COUNT(*) AS NUM_REG, SUM(IF(COALESCE(CAST(X."&amp;F387&amp;" AS STRING),'')&lt;&gt;COALESCE(CAST(Y."&amp;F387&amp;"_SIMUL AS STRING),''),1,0)) AS NUM_REG_DIF,'"&amp;MAX('ID1&amp;5'!L:L)+1&amp;"' AS ID_EXEC, CURRENT_TIMESTAMP() AS TIME_EXEC FROM "&amp;I387&amp;" INNER JOIN "&amp;J387&amp;" "&amp;K387),
IF(C387="Validade",+IF(G387="Code List","SELECT '"&amp;UPPER(B387)&amp;"' AS TABELA, '"&amp;UPPER(C387)&amp;"' AS TIPOLOGIA_TESTE,'"&amp;D387&amp;"' AS TABELA_LT,'N/A' AS TABELA_SIMUL,'"&amp;F387&amp;"' AS CAMPO, "&amp;"'${ref_date}' AS REF_DATE, COUNT(*) AS NUM_REG, SUM(IF(TRIM(CAST(X."&amp;F387&amp;" AS STRING))='' OR TRIM(CAST(X."&amp;F387&amp;" AS STRING)) IS NULL OR CAST(X."&amp;F387&amp;" AS STRING) NOT "&amp;H387&amp;",1,0)) AS NUM_REG_DIF,'"&amp;MAX('ID1&amp;5'!K:K)+1&amp;"' AS ID_EXEC, CURRENT_TIMESTAMP() AS TIME_EXEC FROM "&amp;I387,"SELECT '"&amp;UPPER(B387)&amp;"' AS TABELA, '"&amp;UPPER(C387)&amp;"' AS TIPOLOGIA_TESTE,'"&amp;D387&amp;"' AS TABELA_LT,'N/A' AS TABELA_SIMUL,'"&amp;F387&amp;"' AS CAMPO, "&amp;"'${ref_date}' AS REF_DATE, COUNT(*) AS NUM_REG, SUM(IF(TRIM(CAST(X."&amp;F387&amp;" AS STRING))='' OR TRIM(CAST(X."&amp;F387&amp;" AS STRING)) IS NULL,1,0)) AS NUM_REG_DIF,'"&amp;MAX('ID1&amp;5'!K:K)+1&amp;"' AS ID_EXEC, CURRENT_TIMESTAMP() AS TIME_EXEC FROM "&amp;I387),
IF(C387="Caracteres Especiais",+"SELECT '"&amp;UPPER(B387)&amp;"' AS TABELA, '"&amp;UPPER(C387)&amp;"' AS TIPOLOGIA_TESTE,'"&amp;D387&amp;"' AS TABELA_LT,'N/A' AS TABELA_SIMUL,'"&amp;F387&amp;"' AS CAMPO, "&amp;"'${ref_date}' AS REF_DATE, COUNT(*) AS NUM_REG, SUM(IF(INSTR(CAST(X."&amp;F387&amp;" AS STRING),'#')&gt;0 OR INSTR(CAST(X."&amp;F387&amp;" AS STRING),'*')&gt;0 OR INSTR(CAST(X."&amp;F387&amp;" AS STRING),'`')&gt;0 OR INSTR(CAST(X."&amp;F387&amp;" AS STRING),'´')&gt;0 OR INSTR(CAST(X."&amp;F387&amp;" AS STRING),'{')&gt;0 OR INSTR(CAST(X."&amp;F387&amp;" AS STRING),'}')&gt;0 OR INSTR(CAST(X."&amp;F387&amp;" AS STRING),'[')&gt;0 OR INSTR(CAST(X."&amp;F387&amp;" AS STRING),'')&gt;0 OR INSTR(CAST(X."&amp;F387&amp;" AS STRING),']')&gt;0 OR INSTR(CAST(X."&amp;F387&amp;" AS STRING),'?')&gt;0 OR INSTR(CAST(X."&amp;F387&amp;" AS STRING),'!')&gt;0 OR INSTR(CAST(X."&amp;F387&amp;" AS STRING),'$')&gt;0 OR INSTR(CAST(X."&amp;F387&amp;" AS STRING),'%')&gt;0 OR INSTR(CAST(X."&amp;F387&amp;" AS STRING),'&amp;')&gt;0 OR INSTR(CAST(X."&amp;F387&amp;" AS STRING),'+')&gt;0,1,0)) AS NUM_REG_DIF,'"&amp;MAX('ID1&amp;5'!K:K)+1&amp;"' AS ID_EXEC, CURRENT_TIMESTAMP() AS TIME_EXEC FROM "&amp;I387,
IF(C387="Missings",+"SELECT '"&amp;UPPER(B387)&amp;"' AS TABELA, '"&amp;UPPER(C387)&amp;"' AS TIPOLOGIA_TESTE,'"&amp;D387&amp;"' AS TABELA_LT,'N/A' AS TABELA_SIMUL,'"&amp;F387&amp;"' AS CAMPO, "&amp;"'${ref_date}' AS REF_DATE, COUNT(*) AS NUM_REG, SUM(IF(TRIM(CAST(X."&amp;F387&amp;" AS STRING)) IN ('0000-00-00','0001-01-01','9999-12-31','MISS','00000','99999999999','99999999999.00','99999999999.000000'),1,0)) AS NUM_REG_DIF,'"&amp;MAX('ID1&amp;5'!K:K)+1&amp;"' AS ID_EXEC, CURRENT_TIMESTAMP() AS TIME_EXEC FROM "&amp;I387,
IF(C387="Not applicable",+"SELECT '"&amp;UPPER(B387)&amp;"' AS TABELA, '"&amp;UPPER(C387)&amp;"' AS TIPOLOGIA_TESTE,'"&amp;D387&amp;"' AS TABELA_LT,'N/A' AS TABELA_SIMUL,'"&amp;F387&amp;"' AS CAMPO, "&amp;"'${ref_date}' AS REF_DATE, COUNT(*) AS NUM_REG, SUM(IF(TRIM(CAST(X."&amp;F387&amp;" AS STRING)) IN ('N/A','11111111111','11111111111.00','11111111111.000000','1111-11-11'),1,0)) AS NUM_REG_DIF,'"&amp;MAX('ID1&amp;5'!K:K)+1&amp;"' AS ID_EXEC, CURRENT_TIMESTAMP() AS TIME_EXEC FROM "&amp;I387,
IF(C387="Valores extremos",+"SELECT '"&amp;UPPER(B387)&amp;"' AS TABELA, '"&amp;UPPER(C387)&amp;"' AS TIPOLOGIA_TESTE,'"&amp;D387&amp;"' AS TABELA_LT,'N/A' AS TABELA_SIMUL,'"&amp;F387&amp;"' AS CAMPO, "&amp;"'${ref_date}' AS REF_DATE, CAST(MIN("&amp;F387&amp;") AS STRING) AS VALOR_MIN, CAST(MAX("&amp;F387&amp;") AS STRING) AS VALOR_MAX,'"&amp;MAX('ID1&amp;5'!K:K)+1&amp;"' AS ID_EXEC, CURRENT_TIMESTAMP() AS TIME_EXEC FROM "&amp;MID(I387,1,LEN(I387)-2)&amp;" AND CAST("&amp;F387&amp;"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TABELA_SIMUL,'DT_LGL_FNL_MTRTY' AS CAMPO, '${ref_date}' AS REF_DATE, COUNT(*) AS NUM_REG, SUM(IF(TRIM(CAST(X.DT_LGL_FNL_MTRTY AS STRING)) IN ('N/A','11111111111','11111111111.00','11111111111.000000','1111-11-11'),1,0)) AS NUM_REG_DIF,'10' AS ID_EXEC, CURRENT_TIMESTAMP() AS TIME_EXEC FROM (SELECT instrmnt_id, DT_LGL_FNL_MTRTY FROM BU_LOANTAPE_WORK.LT002_INSTRUMENT WHERE ref_date='${ref_date}' AND nome_perimetro='Individual Corporativo' AND segmento='ESTR' AND ambito='PILAR3')X</v>
      </c>
      <c r="M387" s="43" t="str">
        <f t="shared" si="6"/>
        <v>UNION ALL SELECT 'INSTRUMENT' AS TABELA, 'NOT APPLICABLE' AS TIPOLOGIA_TESTE,'BU_LOANTAPE_WORK.LT002_INSTRUMENT' AS TABELA_LT,'N/A' AS TABELA_SIMUL,'DT_LGL_FNL_MTRTY' AS CAMPO, '${ref_date}' AS REF_DATE, COUNT(*) AS NUM_REG, SUM(IF(TRIM(CAST(X.DT_LGL_FNL_MTRTY AS STRING)) IN ('N/A','11111111111','11111111111.00','11111111111.000000','1111-11-11'),1,0)) AS NUM_REG_DIF,'10' AS ID_EXEC, CURRENT_TIMESTAMP() AS TIME_EXEC FROM (SELECT instrmnt_id, DT_LGL_FNL_MTRTY FROM BU_LOANTAPE_WORK.LT002_INSTRUMENT WHERE ref_date='${ref_date}' AND nome_perimetro='Individual Corporativo' AND segmento='ESTR' AND ambito='PILAR3')X</v>
      </c>
      <c r="N387" s="45" t="s">
        <v>13</v>
      </c>
    </row>
    <row r="388" spans="2:14">
      <c r="B388" s="41" t="s">
        <v>27</v>
      </c>
      <c r="C388" s="41" t="s">
        <v>78</v>
      </c>
      <c r="D388" s="41" t="str">
        <f>+UPPER('0. Instruções'!$D$33&amp;"."&amp;VLOOKUP(B388,'0. Instruções'!$C$27:$D$31,2,FALSE))</f>
        <v>BU_LOANTAPE_WORK.LT002_INSTRUMENT</v>
      </c>
      <c r="E388" s="41" t="str">
        <f>+UPPER('0. Instruções'!$D$34&amp;"."&amp;VLOOKUP(B388,'0. Instruções'!$C$27:$E$31,3,FALSE))</f>
        <v>BU_LOANTAPE_WORK.LT002_INSTRUMENT_P3_NOV24</v>
      </c>
      <c r="F388" s="41" t="s">
        <v>168</v>
      </c>
      <c r="G388" s="41" t="s">
        <v>13</v>
      </c>
      <c r="H388" s="41"/>
      <c r="I388" s="41" t="str">
        <f>"(SELECT "&amp;VLOOKUP(B388,'0. Instruções'!$C$27:$G$31,4,FALSE)&amp;", "&amp;F388&amp;" FROM "&amp;D388&amp;" WHERE "&amp;'0. Instruções'!$D$40&amp;")X"</f>
        <v>(SELECT instrmnt_id, ACCMLTD_IMPRMNT_INSTRMNT FROM BU_LOANTAPE_WORK.LT002_INSTRUMENT WHERE ref_date='${ref_date}' AND nome_perimetro='Individual Corporativo' AND segmento='ESTR' AND ambito='PILAR3')X</v>
      </c>
      <c r="J388" s="41" t="str">
        <f>"(SELECT "&amp;VLOOKUP(B388,'0. Instruções'!$C$27:$G$31,4,FALSE)&amp;" AS "&amp;VLOOKUP(B388,'0. Instruções'!$C$27:$G$31,4,FALSE)&amp;"_SIMUL, "&amp;F388&amp;" AS "&amp;F388&amp;"_SIMUL FROM "&amp;E388&amp;")Y"</f>
        <v>(SELECT instrmnt_id AS instrmnt_id_SIMUL, ACCMLTD_IMPRMNT_INSTRMNT AS ACCMLTD_IMPRMNT_INSTRMNT_SIMUL FROM BU_LOANTAPE_WORK.LT002_INSTRUMENT_P3_NOV24)Y</v>
      </c>
      <c r="K388" s="42" t="str">
        <f>+UPPER("ON X."&amp;VLOOKUP(B388,'0. Instruções'!$C$27:$G$31,4,FALSE)&amp;"=Y."&amp;VLOOKUP(B388,'0. Instruções'!$C$27:$G$31,4,FALSE)&amp;"_SIMUL")</f>
        <v>ON X.INSTRMNT_ID=Y.INSTRMNT_ID_SIMUL</v>
      </c>
      <c r="L388" s="42" t="str">
        <f>+IF(C388="Coerência", +IF(LEFT(G388,5)="FLOAT","SELECT '"&amp;UPPER(B388)&amp;"' AS TABELA, '"&amp;UPPER(C388)&amp;"' AS TIPOLOGIA_TESTE,'"&amp;D388&amp;"' AS TABELA_LT,'"&amp;E388&amp;"' AS TABELA_SIMUL,'"&amp;F388&amp;"' AS CAMPO, "&amp;"'${ref_date}' AS REF_DATE, COUNT(*) AS NUM_REG, SUM(IF((ABS(COALESCE(X."&amp;F388&amp;",0)-COALESCE(Y."&amp;F388&amp;"_SIMUL,0))&gt;0.0000000001) OR (X."&amp;F388&amp;" IS NULL AND Y."&amp;F388&amp;"_SIMUL IS NOT NULL ) OR (X."&amp;F388&amp;" IS NOT NULL AND Y."&amp;F388&amp;"_SIMUL IS NULL),1,0)) AS NUM_REG_DIF,'"&amp;MAX('ID1&amp;5'!K:K)+1&amp;"' AS ID_EXEC, CURRENT_TIMESTAMP() AS TIME_EXEC FROM "&amp;I388&amp;" INNER JOIN "&amp;J388&amp;" "&amp;K388,"SELECT '"&amp;UPPER(B388)&amp;"' AS TABELA, '"&amp;UPPER(C388)&amp;"' AS TIPOLOGIA_TESTE,'"&amp;D388&amp;"' AS TABELA_LT,'"&amp;E388&amp;"' AS TABELA_SIMUL,'"&amp;F388&amp;"' AS CAMPO, "&amp;"'${ref_date}' AS REF_DATE, COUNT(*) AS NUM_REG, SUM(IF(COALESCE(CAST(X."&amp;F388&amp;" AS STRING),'')&lt;&gt;COALESCE(CAST(Y."&amp;F388&amp;"_SIMUL AS STRING),''),1,0)) AS NUM_REG_DIF,'"&amp;MAX('ID1&amp;5'!L:L)+1&amp;"' AS ID_EXEC, CURRENT_TIMESTAMP() AS TIME_EXEC FROM "&amp;I388&amp;" INNER JOIN "&amp;J388&amp;" "&amp;K388),
IF(C388="Validade",+IF(G388="Code List","SELECT '"&amp;UPPER(B388)&amp;"' AS TABELA, '"&amp;UPPER(C388)&amp;"' AS TIPOLOGIA_TESTE,'"&amp;D388&amp;"' AS TABELA_LT,'N/A' AS TABELA_SIMUL,'"&amp;F388&amp;"' AS CAMPO, "&amp;"'${ref_date}' AS REF_DATE, COUNT(*) AS NUM_REG, SUM(IF(TRIM(CAST(X."&amp;F388&amp;" AS STRING))='' OR TRIM(CAST(X."&amp;F388&amp;" AS STRING)) IS NULL OR CAST(X."&amp;F388&amp;" AS STRING) NOT "&amp;H388&amp;",1,0)) AS NUM_REG_DIF,'"&amp;MAX('ID1&amp;5'!K:K)+1&amp;"' AS ID_EXEC, CURRENT_TIMESTAMP() AS TIME_EXEC FROM "&amp;I388,"SELECT '"&amp;UPPER(B388)&amp;"' AS TABELA, '"&amp;UPPER(C388)&amp;"' AS TIPOLOGIA_TESTE,'"&amp;D388&amp;"' AS TABELA_LT,'N/A' AS TABELA_SIMUL,'"&amp;F388&amp;"' AS CAMPO, "&amp;"'${ref_date}' AS REF_DATE, COUNT(*) AS NUM_REG, SUM(IF(TRIM(CAST(X."&amp;F388&amp;" AS STRING))='' OR TRIM(CAST(X."&amp;F388&amp;" AS STRING)) IS NULL,1,0)) AS NUM_REG_DIF,'"&amp;MAX('ID1&amp;5'!K:K)+1&amp;"' AS ID_EXEC, CURRENT_TIMESTAMP() AS TIME_EXEC FROM "&amp;I388),
IF(C388="Caracteres Especiais",+"SELECT '"&amp;UPPER(B388)&amp;"' AS TABELA, '"&amp;UPPER(C388)&amp;"' AS TIPOLOGIA_TESTE,'"&amp;D388&amp;"' AS TABELA_LT,'N/A' AS TABELA_SIMUL,'"&amp;F388&amp;"' AS CAMPO, "&amp;"'${ref_date}' AS REF_DATE, COUNT(*) AS NUM_REG, SUM(IF(INSTR(CAST(X."&amp;F388&amp;" AS STRING),'#')&gt;0 OR INSTR(CAST(X."&amp;F388&amp;" AS STRING),'*')&gt;0 OR INSTR(CAST(X."&amp;F388&amp;" AS STRING),'`')&gt;0 OR INSTR(CAST(X."&amp;F388&amp;" AS STRING),'´')&gt;0 OR INSTR(CAST(X."&amp;F388&amp;" AS STRING),'{')&gt;0 OR INSTR(CAST(X."&amp;F388&amp;" AS STRING),'}')&gt;0 OR INSTR(CAST(X."&amp;F388&amp;" AS STRING),'[')&gt;0 OR INSTR(CAST(X."&amp;F388&amp;" AS STRING),'')&gt;0 OR INSTR(CAST(X."&amp;F388&amp;" AS STRING),']')&gt;0 OR INSTR(CAST(X."&amp;F388&amp;" AS STRING),'?')&gt;0 OR INSTR(CAST(X."&amp;F388&amp;" AS STRING),'!')&gt;0 OR INSTR(CAST(X."&amp;F388&amp;" AS STRING),'$')&gt;0 OR INSTR(CAST(X."&amp;F388&amp;" AS STRING),'%')&gt;0 OR INSTR(CAST(X."&amp;F388&amp;" AS STRING),'&amp;')&gt;0 OR INSTR(CAST(X."&amp;F388&amp;" AS STRING),'+')&gt;0,1,0)) AS NUM_REG_DIF,'"&amp;MAX('ID1&amp;5'!K:K)+1&amp;"' AS ID_EXEC, CURRENT_TIMESTAMP() AS TIME_EXEC FROM "&amp;I388,
IF(C388="Missings",+"SELECT '"&amp;UPPER(B388)&amp;"' AS TABELA, '"&amp;UPPER(C388)&amp;"' AS TIPOLOGIA_TESTE,'"&amp;D388&amp;"' AS TABELA_LT,'N/A' AS TABELA_SIMUL,'"&amp;F388&amp;"' AS CAMPO, "&amp;"'${ref_date}' AS REF_DATE, COUNT(*) AS NUM_REG, SUM(IF(TRIM(CAST(X."&amp;F388&amp;" AS STRING)) IN ('0000-00-00','0001-01-01','9999-12-31','MISS','00000','99999999999','99999999999.00','99999999999.000000'),1,0)) AS NUM_REG_DIF,'"&amp;MAX('ID1&amp;5'!K:K)+1&amp;"' AS ID_EXEC, CURRENT_TIMESTAMP() AS TIME_EXEC FROM "&amp;I388,
IF(C388="Not applicable",+"SELECT '"&amp;UPPER(B388)&amp;"' AS TABELA, '"&amp;UPPER(C388)&amp;"' AS TIPOLOGIA_TESTE,'"&amp;D388&amp;"' AS TABELA_LT,'N/A' AS TABELA_SIMUL,'"&amp;F388&amp;"' AS CAMPO, "&amp;"'${ref_date}' AS REF_DATE, COUNT(*) AS NUM_REG, SUM(IF(TRIM(CAST(X."&amp;F388&amp;" AS STRING)) IN ('N/A','11111111111','11111111111.00','11111111111.000000','1111-11-11'),1,0)) AS NUM_REG_DIF,'"&amp;MAX('ID1&amp;5'!K:K)+1&amp;"' AS ID_EXEC, CURRENT_TIMESTAMP() AS TIME_EXEC FROM "&amp;I388,
IF(C388="Valores extremos",+"SELECT '"&amp;UPPER(B388)&amp;"' AS TABELA, '"&amp;UPPER(C388)&amp;"' AS TIPOLOGIA_TESTE,'"&amp;D388&amp;"' AS TABELA_LT,'N/A' AS TABELA_SIMUL,'"&amp;F388&amp;"' AS CAMPO, "&amp;"'${ref_date}' AS REF_DATE, CAST(MIN("&amp;F388&amp;") AS STRING) AS VALOR_MIN, CAST(MAX("&amp;F388&amp;") AS STRING) AS VALOR_MAX,'"&amp;MAX('ID1&amp;5'!K:K)+1&amp;"' AS ID_EXEC, CURRENT_TIMESTAMP() AS TIME_EXEC FROM "&amp;MID(I388,1,LEN(I388)-2)&amp;" AND CAST("&amp;F388&amp;"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TABELA_SIMUL,'ACCMLTD_IMPRMNT_INSTRMNT' AS CAMPO, '${ref_date}' AS REF_DATE, COUNT(*) AS NUM_REG, SUM(IF(TRIM(CAST(X.ACCMLTD_IMPRMNT_INSTRMNT AS STRING)) IN ('N/A','11111111111','11111111111.00','11111111111.000000','1111-11-11'),1,0)) AS NUM_REG_DIF,'10' AS ID_EXEC, CURRENT_TIMESTAMP() AS TIME_EXEC FROM (SELECT instrmnt_id, ACCMLTD_IMPRMNT_INSTRMNT FROM BU_LOANTAPE_WORK.LT002_INSTRUMENT WHERE ref_date='${ref_date}' AND nome_perimetro='Individual Corporativo' AND segmento='ESTR' AND ambito='PILAR3')X</v>
      </c>
      <c r="M388" s="43" t="str">
        <f t="shared" si="6"/>
        <v>UNION ALL SELECT 'INSTRUMENT' AS TABELA, 'NOT APPLICABLE' AS TIPOLOGIA_TESTE,'BU_LOANTAPE_WORK.LT002_INSTRUMENT' AS TABELA_LT,'N/A' AS TABELA_SIMUL,'ACCMLTD_IMPRMNT_INSTRMNT' AS CAMPO, '${ref_date}' AS REF_DATE, COUNT(*) AS NUM_REG, SUM(IF(TRIM(CAST(X.ACCMLTD_IMPRMNT_INSTRMNT AS STRING)) IN ('N/A','11111111111','11111111111.00','11111111111.000000','1111-11-11'),1,0)) AS NUM_REG_DIF,'10' AS ID_EXEC, CURRENT_TIMESTAMP() AS TIME_EXEC FROM (SELECT instrmnt_id, ACCMLTD_IMPRMNT_INSTRMNT FROM BU_LOANTAPE_WORK.LT002_INSTRUMENT WHERE ref_date='${ref_date}' AND nome_perimetro='Individual Corporativo' AND segmento='ESTR' AND ambito='PILAR3')X</v>
      </c>
      <c r="N388" s="45" t="s">
        <v>13</v>
      </c>
    </row>
    <row r="389" spans="2:14">
      <c r="B389" s="41" t="s">
        <v>27</v>
      </c>
      <c r="C389" s="41" t="s">
        <v>78</v>
      </c>
      <c r="D389" s="41" t="str">
        <f>+UPPER('0. Instruções'!$D$33&amp;"."&amp;VLOOKUP(B389,'0. Instruções'!$C$27:$D$31,2,FALSE))</f>
        <v>BU_LOANTAPE_WORK.LT002_INSTRUMENT</v>
      </c>
      <c r="E389" s="41" t="str">
        <f>+UPPER('0. Instruções'!$D$34&amp;"."&amp;VLOOKUP(B389,'0. Instruções'!$C$27:$E$31,3,FALSE))</f>
        <v>BU_LOANTAPE_WORK.LT002_INSTRUMENT_P3_NOV24</v>
      </c>
      <c r="F389" s="41" t="s">
        <v>169</v>
      </c>
      <c r="G389" s="41" t="s">
        <v>13</v>
      </c>
      <c r="H389" s="41"/>
      <c r="I389" s="41" t="str">
        <f>"(SELECT "&amp;VLOOKUP(B389,'0. Instruções'!$C$27:$G$31,4,FALSE)&amp;", "&amp;F389&amp;" FROM "&amp;D389&amp;" WHERE "&amp;'0. Instruções'!$D$40&amp;")X"</f>
        <v>(SELECT instrmnt_id, ISSR_CNTRY FROM BU_LOANTAPE_WORK.LT002_INSTRUMENT WHERE ref_date='${ref_date}' AND nome_perimetro='Individual Corporativo' AND segmento='ESTR' AND ambito='PILAR3')X</v>
      </c>
      <c r="J389" s="41" t="str">
        <f>"(SELECT "&amp;VLOOKUP(B389,'0. Instruções'!$C$27:$G$31,4,FALSE)&amp;" AS "&amp;VLOOKUP(B389,'0. Instruções'!$C$27:$G$31,4,FALSE)&amp;"_SIMUL, "&amp;F389&amp;" AS "&amp;F389&amp;"_SIMUL FROM "&amp;E389&amp;")Y"</f>
        <v>(SELECT instrmnt_id AS instrmnt_id_SIMUL, ISSR_CNTRY AS ISSR_CNTRY_SIMUL FROM BU_LOANTAPE_WORK.LT002_INSTRUMENT_P3_NOV24)Y</v>
      </c>
      <c r="K389" s="42" t="str">
        <f>+UPPER("ON X."&amp;VLOOKUP(B389,'0. Instruções'!$C$27:$G$31,4,FALSE)&amp;"=Y."&amp;VLOOKUP(B389,'0. Instruções'!$C$27:$G$31,4,FALSE)&amp;"_SIMUL")</f>
        <v>ON X.INSTRMNT_ID=Y.INSTRMNT_ID_SIMUL</v>
      </c>
      <c r="L389" s="42" t="str">
        <f>+IF(C389="Coerência", +IF(LEFT(G389,5)="FLOAT","SELECT '"&amp;UPPER(B389)&amp;"' AS TABELA, '"&amp;UPPER(C389)&amp;"' AS TIPOLOGIA_TESTE,'"&amp;D389&amp;"' AS TABELA_LT,'"&amp;E389&amp;"' AS TABELA_SIMUL,'"&amp;F389&amp;"' AS CAMPO, "&amp;"'${ref_date}' AS REF_DATE, COUNT(*) AS NUM_REG, SUM(IF((ABS(COALESCE(X."&amp;F389&amp;",0)-COALESCE(Y."&amp;F389&amp;"_SIMUL,0))&gt;0.0000000001) OR (X."&amp;F389&amp;" IS NULL AND Y."&amp;F389&amp;"_SIMUL IS NOT NULL ) OR (X."&amp;F389&amp;" IS NOT NULL AND Y."&amp;F389&amp;"_SIMUL IS NULL),1,0)) AS NUM_REG_DIF,'"&amp;MAX('ID1&amp;5'!K:K)+1&amp;"' AS ID_EXEC, CURRENT_TIMESTAMP() AS TIME_EXEC FROM "&amp;I389&amp;" INNER JOIN "&amp;J389&amp;" "&amp;K389,"SELECT '"&amp;UPPER(B389)&amp;"' AS TABELA, '"&amp;UPPER(C389)&amp;"' AS TIPOLOGIA_TESTE,'"&amp;D389&amp;"' AS TABELA_LT,'"&amp;E389&amp;"' AS TABELA_SIMUL,'"&amp;F389&amp;"' AS CAMPO, "&amp;"'${ref_date}' AS REF_DATE, COUNT(*) AS NUM_REG, SUM(IF(COALESCE(CAST(X."&amp;F389&amp;" AS STRING),'')&lt;&gt;COALESCE(CAST(Y."&amp;F389&amp;"_SIMUL AS STRING),''),1,0)) AS NUM_REG_DIF,'"&amp;MAX('ID1&amp;5'!L:L)+1&amp;"' AS ID_EXEC, CURRENT_TIMESTAMP() AS TIME_EXEC FROM "&amp;I389&amp;" INNER JOIN "&amp;J389&amp;" "&amp;K389),
IF(C389="Validade",+IF(G389="Code List","SELECT '"&amp;UPPER(B389)&amp;"' AS TABELA, '"&amp;UPPER(C389)&amp;"' AS TIPOLOGIA_TESTE,'"&amp;D389&amp;"' AS TABELA_LT,'N/A' AS TABELA_SIMUL,'"&amp;F389&amp;"' AS CAMPO, "&amp;"'${ref_date}' AS REF_DATE, COUNT(*) AS NUM_REG, SUM(IF(TRIM(CAST(X."&amp;F389&amp;" AS STRING))='' OR TRIM(CAST(X."&amp;F389&amp;" AS STRING)) IS NULL OR CAST(X."&amp;F389&amp;" AS STRING) NOT "&amp;H389&amp;",1,0)) AS NUM_REG_DIF,'"&amp;MAX('ID1&amp;5'!K:K)+1&amp;"' AS ID_EXEC, CURRENT_TIMESTAMP() AS TIME_EXEC FROM "&amp;I389,"SELECT '"&amp;UPPER(B389)&amp;"' AS TABELA, '"&amp;UPPER(C389)&amp;"' AS TIPOLOGIA_TESTE,'"&amp;D389&amp;"' AS TABELA_LT,'N/A' AS TABELA_SIMUL,'"&amp;F389&amp;"' AS CAMPO, "&amp;"'${ref_date}' AS REF_DATE, COUNT(*) AS NUM_REG, SUM(IF(TRIM(CAST(X."&amp;F389&amp;" AS STRING))='' OR TRIM(CAST(X."&amp;F389&amp;" AS STRING)) IS NULL,1,0)) AS NUM_REG_DIF,'"&amp;MAX('ID1&amp;5'!K:K)+1&amp;"' AS ID_EXEC, CURRENT_TIMESTAMP() AS TIME_EXEC FROM "&amp;I389),
IF(C389="Caracteres Especiais",+"SELECT '"&amp;UPPER(B389)&amp;"' AS TABELA, '"&amp;UPPER(C389)&amp;"' AS TIPOLOGIA_TESTE,'"&amp;D389&amp;"' AS TABELA_LT,'N/A' AS TABELA_SIMUL,'"&amp;F389&amp;"' AS CAMPO, "&amp;"'${ref_date}' AS REF_DATE, COUNT(*) AS NUM_REG, SUM(IF(INSTR(CAST(X."&amp;F389&amp;" AS STRING),'#')&gt;0 OR INSTR(CAST(X."&amp;F389&amp;" AS STRING),'*')&gt;0 OR INSTR(CAST(X."&amp;F389&amp;" AS STRING),'`')&gt;0 OR INSTR(CAST(X."&amp;F389&amp;" AS STRING),'´')&gt;0 OR INSTR(CAST(X."&amp;F389&amp;" AS STRING),'{')&gt;0 OR INSTR(CAST(X."&amp;F389&amp;" AS STRING),'}')&gt;0 OR INSTR(CAST(X."&amp;F389&amp;" AS STRING),'[')&gt;0 OR INSTR(CAST(X."&amp;F389&amp;" AS STRING),'')&gt;0 OR INSTR(CAST(X."&amp;F389&amp;" AS STRING),']')&gt;0 OR INSTR(CAST(X."&amp;F389&amp;" AS STRING),'?')&gt;0 OR INSTR(CAST(X."&amp;F389&amp;" AS STRING),'!')&gt;0 OR INSTR(CAST(X."&amp;F389&amp;" AS STRING),'$')&gt;0 OR INSTR(CAST(X."&amp;F389&amp;" AS STRING),'%')&gt;0 OR INSTR(CAST(X."&amp;F389&amp;" AS STRING),'&amp;')&gt;0 OR INSTR(CAST(X."&amp;F389&amp;" AS STRING),'+')&gt;0,1,0)) AS NUM_REG_DIF,'"&amp;MAX('ID1&amp;5'!K:K)+1&amp;"' AS ID_EXEC, CURRENT_TIMESTAMP() AS TIME_EXEC FROM "&amp;I389,
IF(C389="Missings",+"SELECT '"&amp;UPPER(B389)&amp;"' AS TABELA, '"&amp;UPPER(C389)&amp;"' AS TIPOLOGIA_TESTE,'"&amp;D389&amp;"' AS TABELA_LT,'N/A' AS TABELA_SIMUL,'"&amp;F389&amp;"' AS CAMPO, "&amp;"'${ref_date}' AS REF_DATE, COUNT(*) AS NUM_REG, SUM(IF(TRIM(CAST(X."&amp;F389&amp;" AS STRING)) IN ('0000-00-00','0001-01-01','9999-12-31','MISS','00000','99999999999','99999999999.00','99999999999.000000'),1,0)) AS NUM_REG_DIF,'"&amp;MAX('ID1&amp;5'!K:K)+1&amp;"' AS ID_EXEC, CURRENT_TIMESTAMP() AS TIME_EXEC FROM "&amp;I389,
IF(C389="Not applicable",+"SELECT '"&amp;UPPER(B389)&amp;"' AS TABELA, '"&amp;UPPER(C389)&amp;"' AS TIPOLOGIA_TESTE,'"&amp;D389&amp;"' AS TABELA_LT,'N/A' AS TABELA_SIMUL,'"&amp;F389&amp;"' AS CAMPO, "&amp;"'${ref_date}' AS REF_DATE, COUNT(*) AS NUM_REG, SUM(IF(TRIM(CAST(X."&amp;F389&amp;" AS STRING)) IN ('N/A','11111111111','11111111111.00','11111111111.000000','1111-11-11'),1,0)) AS NUM_REG_DIF,'"&amp;MAX('ID1&amp;5'!K:K)+1&amp;"' AS ID_EXEC, CURRENT_TIMESTAMP() AS TIME_EXEC FROM "&amp;I389,
IF(C389="Valores extremos",+"SELECT '"&amp;UPPER(B389)&amp;"' AS TABELA, '"&amp;UPPER(C389)&amp;"' AS TIPOLOGIA_TESTE,'"&amp;D389&amp;"' AS TABELA_LT,'N/A' AS TABELA_SIMUL,'"&amp;F389&amp;"' AS CAMPO, "&amp;"'${ref_date}' AS REF_DATE, CAST(MIN("&amp;F389&amp;") AS STRING) AS VALOR_MIN, CAST(MAX("&amp;F389&amp;") AS STRING) AS VALOR_MAX,'"&amp;MAX('ID1&amp;5'!K:K)+1&amp;"' AS ID_EXEC, CURRENT_TIMESTAMP() AS TIME_EXEC FROM "&amp;MID(I389,1,LEN(I389)-2)&amp;" AND CAST("&amp;F389&amp;"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TABELA_SIMUL,'ISSR_CNTRY' AS CAMPO, '${ref_date}' AS REF_DATE, COUNT(*) AS NUM_REG, SUM(IF(TRIM(CAST(X.ISSR_CNTRY AS STRING)) IN ('N/A','11111111111','11111111111.00','11111111111.000000','1111-11-11'),1,0)) AS NUM_REG_DIF,'10' AS ID_EXEC, CURRENT_TIMESTAMP() AS TIME_EXEC FROM (SELECT instrmnt_id, ISSR_CNTRY FROM BU_LOANTAPE_WORK.LT002_INSTRUMENT WHERE ref_date='${ref_date}' AND nome_perimetro='Individual Corporativo' AND segmento='ESTR' AND ambito='PILAR3')X</v>
      </c>
      <c r="M389" s="43" t="str">
        <f t="shared" si="6"/>
        <v>UNION ALL SELECT 'INSTRUMENT' AS TABELA, 'NOT APPLICABLE' AS TIPOLOGIA_TESTE,'BU_LOANTAPE_WORK.LT002_INSTRUMENT' AS TABELA_LT,'N/A' AS TABELA_SIMUL,'ISSR_CNTRY' AS CAMPO, '${ref_date}' AS REF_DATE, COUNT(*) AS NUM_REG, SUM(IF(TRIM(CAST(X.ISSR_CNTRY AS STRING)) IN ('N/A','11111111111','11111111111.00','11111111111.000000','1111-11-11'),1,0)) AS NUM_REG_DIF,'10' AS ID_EXEC, CURRENT_TIMESTAMP() AS TIME_EXEC FROM (SELECT instrmnt_id, ISSR_CNTRY FROM BU_LOANTAPE_WORK.LT002_INSTRUMENT WHERE ref_date='${ref_date}' AND nome_perimetro='Individual Corporativo' AND segmento='ESTR' AND ambito='PILAR3')X</v>
      </c>
      <c r="N389" s="45" t="s">
        <v>13</v>
      </c>
    </row>
    <row r="390" spans="2:14">
      <c r="B390" s="41" t="s">
        <v>27</v>
      </c>
      <c r="C390" s="41" t="s">
        <v>78</v>
      </c>
      <c r="D390" s="41" t="str">
        <f>+UPPER('0. Instruções'!$D$33&amp;"."&amp;VLOOKUP(B390,'0. Instruções'!$C$27:$D$31,2,FALSE))</f>
        <v>BU_LOANTAPE_WORK.LT002_INSTRUMENT</v>
      </c>
      <c r="E390" s="41" t="str">
        <f>+UPPER('0. Instruções'!$D$34&amp;"."&amp;VLOOKUP(B390,'0. Instruções'!$C$27:$E$31,3,FALSE))</f>
        <v>BU_LOANTAPE_WORK.LT002_INSTRUMENT_P3_NOV24</v>
      </c>
      <c r="F390" s="41" t="s">
        <v>170</v>
      </c>
      <c r="G390" s="41" t="s">
        <v>13</v>
      </c>
      <c r="H390" s="41"/>
      <c r="I390" s="41" t="str">
        <f>"(SELECT "&amp;VLOOKUP(B390,'0. Instruções'!$C$27:$G$31,4,FALSE)&amp;", "&amp;F390&amp;" FROM "&amp;D390&amp;" WHERE "&amp;'0. Instruções'!$D$40&amp;")X"</f>
        <v>(SELECT instrmnt_id, ISSR_NACE_SCTR FROM BU_LOANTAPE_WORK.LT002_INSTRUMENT WHERE ref_date='${ref_date}' AND nome_perimetro='Individual Corporativo' AND segmento='ESTR' AND ambito='PILAR3')X</v>
      </c>
      <c r="J390" s="41" t="str">
        <f>"(SELECT "&amp;VLOOKUP(B390,'0. Instruções'!$C$27:$G$31,4,FALSE)&amp;" AS "&amp;VLOOKUP(B390,'0. Instruções'!$C$27:$G$31,4,FALSE)&amp;"_SIMUL, "&amp;F390&amp;" AS "&amp;F390&amp;"_SIMUL FROM "&amp;E390&amp;")Y"</f>
        <v>(SELECT instrmnt_id AS instrmnt_id_SIMUL, ISSR_NACE_SCTR AS ISSR_NACE_SCTR_SIMUL FROM BU_LOANTAPE_WORK.LT002_INSTRUMENT_P3_NOV24)Y</v>
      </c>
      <c r="K390" s="42" t="str">
        <f>+UPPER("ON X."&amp;VLOOKUP(B390,'0. Instruções'!$C$27:$G$31,4,FALSE)&amp;"=Y."&amp;VLOOKUP(B390,'0. Instruções'!$C$27:$G$31,4,FALSE)&amp;"_SIMUL")</f>
        <v>ON X.INSTRMNT_ID=Y.INSTRMNT_ID_SIMUL</v>
      </c>
      <c r="L390" s="42" t="str">
        <f>+IF(C390="Coerência", +IF(LEFT(G390,5)="FLOAT","SELECT '"&amp;UPPER(B390)&amp;"' AS TABELA, '"&amp;UPPER(C390)&amp;"' AS TIPOLOGIA_TESTE,'"&amp;D390&amp;"' AS TABELA_LT,'"&amp;E390&amp;"' AS TABELA_SIMUL,'"&amp;F390&amp;"' AS CAMPO, "&amp;"'${ref_date}' AS REF_DATE, COUNT(*) AS NUM_REG, SUM(IF((ABS(COALESCE(X."&amp;F390&amp;",0)-COALESCE(Y."&amp;F390&amp;"_SIMUL,0))&gt;0.0000000001) OR (X."&amp;F390&amp;" IS NULL AND Y."&amp;F390&amp;"_SIMUL IS NOT NULL ) OR (X."&amp;F390&amp;" IS NOT NULL AND Y."&amp;F390&amp;"_SIMUL IS NULL),1,0)) AS NUM_REG_DIF,'"&amp;MAX('ID1&amp;5'!K:K)+1&amp;"' AS ID_EXEC, CURRENT_TIMESTAMP() AS TIME_EXEC FROM "&amp;I390&amp;" INNER JOIN "&amp;J390&amp;" "&amp;K390,"SELECT '"&amp;UPPER(B390)&amp;"' AS TABELA, '"&amp;UPPER(C390)&amp;"' AS TIPOLOGIA_TESTE,'"&amp;D390&amp;"' AS TABELA_LT,'"&amp;E390&amp;"' AS TABELA_SIMUL,'"&amp;F390&amp;"' AS CAMPO, "&amp;"'${ref_date}' AS REF_DATE, COUNT(*) AS NUM_REG, SUM(IF(COALESCE(CAST(X."&amp;F390&amp;" AS STRING),'')&lt;&gt;COALESCE(CAST(Y."&amp;F390&amp;"_SIMUL AS STRING),''),1,0)) AS NUM_REG_DIF,'"&amp;MAX('ID1&amp;5'!L:L)+1&amp;"' AS ID_EXEC, CURRENT_TIMESTAMP() AS TIME_EXEC FROM "&amp;I390&amp;" INNER JOIN "&amp;J390&amp;" "&amp;K390),
IF(C390="Validade",+IF(G390="Code List","SELECT '"&amp;UPPER(B390)&amp;"' AS TABELA, '"&amp;UPPER(C390)&amp;"' AS TIPOLOGIA_TESTE,'"&amp;D390&amp;"' AS TABELA_LT,'N/A' AS TABELA_SIMUL,'"&amp;F390&amp;"' AS CAMPO, "&amp;"'${ref_date}' AS REF_DATE, COUNT(*) AS NUM_REG, SUM(IF(TRIM(CAST(X."&amp;F390&amp;" AS STRING))='' OR TRIM(CAST(X."&amp;F390&amp;" AS STRING)) IS NULL OR CAST(X."&amp;F390&amp;" AS STRING) NOT "&amp;H390&amp;",1,0)) AS NUM_REG_DIF,'"&amp;MAX('ID1&amp;5'!K:K)+1&amp;"' AS ID_EXEC, CURRENT_TIMESTAMP() AS TIME_EXEC FROM "&amp;I390,"SELECT '"&amp;UPPER(B390)&amp;"' AS TABELA, '"&amp;UPPER(C390)&amp;"' AS TIPOLOGIA_TESTE,'"&amp;D390&amp;"' AS TABELA_LT,'N/A' AS TABELA_SIMUL,'"&amp;F390&amp;"' AS CAMPO, "&amp;"'${ref_date}' AS REF_DATE, COUNT(*) AS NUM_REG, SUM(IF(TRIM(CAST(X."&amp;F390&amp;" AS STRING))='' OR TRIM(CAST(X."&amp;F390&amp;" AS STRING)) IS NULL,1,0)) AS NUM_REG_DIF,'"&amp;MAX('ID1&amp;5'!K:K)+1&amp;"' AS ID_EXEC, CURRENT_TIMESTAMP() AS TIME_EXEC FROM "&amp;I390),
IF(C390="Caracteres Especiais",+"SELECT '"&amp;UPPER(B390)&amp;"' AS TABELA, '"&amp;UPPER(C390)&amp;"' AS TIPOLOGIA_TESTE,'"&amp;D390&amp;"' AS TABELA_LT,'N/A' AS TABELA_SIMUL,'"&amp;F390&amp;"' AS CAMPO, "&amp;"'${ref_date}' AS REF_DATE, COUNT(*) AS NUM_REG, SUM(IF(INSTR(CAST(X."&amp;F390&amp;" AS STRING),'#')&gt;0 OR INSTR(CAST(X."&amp;F390&amp;" AS STRING),'*')&gt;0 OR INSTR(CAST(X."&amp;F390&amp;" AS STRING),'`')&gt;0 OR INSTR(CAST(X."&amp;F390&amp;" AS STRING),'´')&gt;0 OR INSTR(CAST(X."&amp;F390&amp;" AS STRING),'{')&gt;0 OR INSTR(CAST(X."&amp;F390&amp;" AS STRING),'}')&gt;0 OR INSTR(CAST(X."&amp;F390&amp;" AS STRING),'[')&gt;0 OR INSTR(CAST(X."&amp;F390&amp;" AS STRING),'')&gt;0 OR INSTR(CAST(X."&amp;F390&amp;" AS STRING),']')&gt;0 OR INSTR(CAST(X."&amp;F390&amp;" AS STRING),'?')&gt;0 OR INSTR(CAST(X."&amp;F390&amp;" AS STRING),'!')&gt;0 OR INSTR(CAST(X."&amp;F390&amp;" AS STRING),'$')&gt;0 OR INSTR(CAST(X."&amp;F390&amp;" AS STRING),'%')&gt;0 OR INSTR(CAST(X."&amp;F390&amp;" AS STRING),'&amp;')&gt;0 OR INSTR(CAST(X."&amp;F390&amp;" AS STRING),'+')&gt;0,1,0)) AS NUM_REG_DIF,'"&amp;MAX('ID1&amp;5'!K:K)+1&amp;"' AS ID_EXEC, CURRENT_TIMESTAMP() AS TIME_EXEC FROM "&amp;I390,
IF(C390="Missings",+"SELECT '"&amp;UPPER(B390)&amp;"' AS TABELA, '"&amp;UPPER(C390)&amp;"' AS TIPOLOGIA_TESTE,'"&amp;D390&amp;"' AS TABELA_LT,'N/A' AS TABELA_SIMUL,'"&amp;F390&amp;"' AS CAMPO, "&amp;"'${ref_date}' AS REF_DATE, COUNT(*) AS NUM_REG, SUM(IF(TRIM(CAST(X."&amp;F390&amp;" AS STRING)) IN ('0000-00-00','0001-01-01','9999-12-31','MISS','00000','99999999999','99999999999.00','99999999999.000000'),1,0)) AS NUM_REG_DIF,'"&amp;MAX('ID1&amp;5'!K:K)+1&amp;"' AS ID_EXEC, CURRENT_TIMESTAMP() AS TIME_EXEC FROM "&amp;I390,
IF(C390="Not applicable",+"SELECT '"&amp;UPPER(B390)&amp;"' AS TABELA, '"&amp;UPPER(C390)&amp;"' AS TIPOLOGIA_TESTE,'"&amp;D390&amp;"' AS TABELA_LT,'N/A' AS TABELA_SIMUL,'"&amp;F390&amp;"' AS CAMPO, "&amp;"'${ref_date}' AS REF_DATE, COUNT(*) AS NUM_REG, SUM(IF(TRIM(CAST(X."&amp;F390&amp;" AS STRING)) IN ('N/A','11111111111','11111111111.00','11111111111.000000','1111-11-11'),1,0)) AS NUM_REG_DIF,'"&amp;MAX('ID1&amp;5'!K:K)+1&amp;"' AS ID_EXEC, CURRENT_TIMESTAMP() AS TIME_EXEC FROM "&amp;I390,
IF(C390="Valores extremos",+"SELECT '"&amp;UPPER(B390)&amp;"' AS TABELA, '"&amp;UPPER(C390)&amp;"' AS TIPOLOGIA_TESTE,'"&amp;D390&amp;"' AS TABELA_LT,'N/A' AS TABELA_SIMUL,'"&amp;F390&amp;"' AS CAMPO, "&amp;"'${ref_date}' AS REF_DATE, CAST(MIN("&amp;F390&amp;") AS STRING) AS VALOR_MIN, CAST(MAX("&amp;F390&amp;") AS STRING) AS VALOR_MAX,'"&amp;MAX('ID1&amp;5'!K:K)+1&amp;"' AS ID_EXEC, CURRENT_TIMESTAMP() AS TIME_EXEC FROM "&amp;MID(I390,1,LEN(I390)-2)&amp;" AND CAST("&amp;F390&amp;"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TABELA_SIMUL,'ISSR_NACE_SCTR' AS CAMPO, '${ref_date}' AS REF_DATE, COUNT(*) AS NUM_REG, SUM(IF(TRIM(CAST(X.ISSR_NACE_SCTR AS STRING)) IN ('N/A','11111111111','11111111111.00','11111111111.000000','1111-11-11'),1,0)) AS NUM_REG_DIF,'10' AS ID_EXEC, CURRENT_TIMESTAMP() AS TIME_EXEC FROM (SELECT instrmnt_id, ISSR_NACE_SCTR FROM BU_LOANTAPE_WORK.LT002_INSTRUMENT WHERE ref_date='${ref_date}' AND nome_perimetro='Individual Corporativo' AND segmento='ESTR' AND ambito='PILAR3')X</v>
      </c>
      <c r="M390" s="43" t="str">
        <f t="shared" si="6"/>
        <v>UNION ALL SELECT 'INSTRUMENT' AS TABELA, 'NOT APPLICABLE' AS TIPOLOGIA_TESTE,'BU_LOANTAPE_WORK.LT002_INSTRUMENT' AS TABELA_LT,'N/A' AS TABELA_SIMUL,'ISSR_NACE_SCTR' AS CAMPO, '${ref_date}' AS REF_DATE, COUNT(*) AS NUM_REG, SUM(IF(TRIM(CAST(X.ISSR_NACE_SCTR AS STRING)) IN ('N/A','11111111111','11111111111.00','11111111111.000000','1111-11-11'),1,0)) AS NUM_REG_DIF,'10' AS ID_EXEC, CURRENT_TIMESTAMP() AS TIME_EXEC FROM (SELECT instrmnt_id, ISSR_NACE_SCTR FROM BU_LOANTAPE_WORK.LT002_INSTRUMENT WHERE ref_date='${ref_date}' AND nome_perimetro='Individual Corporativo' AND segmento='ESTR' AND ambito='PILAR3')X</v>
      </c>
      <c r="N390" s="45" t="s">
        <v>13</v>
      </c>
    </row>
    <row r="391" spans="2:14">
      <c r="B391" s="41" t="s">
        <v>27</v>
      </c>
      <c r="C391" s="41" t="s">
        <v>78</v>
      </c>
      <c r="D391" s="41" t="str">
        <f>+UPPER('0. Instruções'!$D$33&amp;"."&amp;VLOOKUP(B391,'0. Instruções'!$C$27:$D$31,2,FALSE))</f>
        <v>BU_LOANTAPE_WORK.LT002_INSTRUMENT</v>
      </c>
      <c r="E391" s="41" t="str">
        <f>+UPPER('0. Instruções'!$D$34&amp;"."&amp;VLOOKUP(B391,'0. Instruções'!$C$27:$E$31,3,FALSE))</f>
        <v>BU_LOANTAPE_WORK.LT002_INSTRUMENT_P3_NOV24</v>
      </c>
      <c r="F391" s="41" t="s">
        <v>171</v>
      </c>
      <c r="G391" s="41" t="s">
        <v>13</v>
      </c>
      <c r="H391" s="41"/>
      <c r="I391" s="41" t="str">
        <f>"(SELECT "&amp;VLOOKUP(B391,'0. Instruções'!$C$27:$G$31,4,FALSE)&amp;", "&amp;F391&amp;" FROM "&amp;D391&amp;" WHERE "&amp;'0. Instruções'!$D$40&amp;")X"</f>
        <v>(SELECT instrmnt_id, PRMRY_ASST_CLSSF FROM BU_LOANTAPE_WORK.LT002_INSTRUMENT WHERE ref_date='${ref_date}' AND nome_perimetro='Individual Corporativo' AND segmento='ESTR' AND ambito='PILAR3')X</v>
      </c>
      <c r="J391" s="41" t="str">
        <f>"(SELECT "&amp;VLOOKUP(B391,'0. Instruções'!$C$27:$G$31,4,FALSE)&amp;" AS "&amp;VLOOKUP(B391,'0. Instruções'!$C$27:$G$31,4,FALSE)&amp;"_SIMUL, "&amp;F391&amp;" AS "&amp;F391&amp;"_SIMUL FROM "&amp;E391&amp;")Y"</f>
        <v>(SELECT instrmnt_id AS instrmnt_id_SIMUL, PRMRY_ASST_CLSSF AS PRMRY_ASST_CLSSF_SIMUL FROM BU_LOANTAPE_WORK.LT002_INSTRUMENT_P3_NOV24)Y</v>
      </c>
      <c r="K391" s="42" t="str">
        <f>+UPPER("ON X."&amp;VLOOKUP(B391,'0. Instruções'!$C$27:$G$31,4,FALSE)&amp;"=Y."&amp;VLOOKUP(B391,'0. Instruções'!$C$27:$G$31,4,FALSE)&amp;"_SIMUL")</f>
        <v>ON X.INSTRMNT_ID=Y.INSTRMNT_ID_SIMUL</v>
      </c>
      <c r="L391" s="42" t="str">
        <f>+IF(C391="Coerência", +IF(LEFT(G391,5)="FLOAT","SELECT '"&amp;UPPER(B391)&amp;"' AS TABELA, '"&amp;UPPER(C391)&amp;"' AS TIPOLOGIA_TESTE,'"&amp;D391&amp;"' AS TABELA_LT,'"&amp;E391&amp;"' AS TABELA_SIMUL,'"&amp;F391&amp;"' AS CAMPO, "&amp;"'${ref_date}' AS REF_DATE, COUNT(*) AS NUM_REG, SUM(IF((ABS(COALESCE(X."&amp;F391&amp;",0)-COALESCE(Y."&amp;F391&amp;"_SIMUL,0))&gt;0.0000000001) OR (X."&amp;F391&amp;" IS NULL AND Y."&amp;F391&amp;"_SIMUL IS NOT NULL ) OR (X."&amp;F391&amp;" IS NOT NULL AND Y."&amp;F391&amp;"_SIMUL IS NULL),1,0)) AS NUM_REG_DIF,'"&amp;MAX('ID1&amp;5'!K:K)+1&amp;"' AS ID_EXEC, CURRENT_TIMESTAMP() AS TIME_EXEC FROM "&amp;I391&amp;" INNER JOIN "&amp;J391&amp;" "&amp;K391,"SELECT '"&amp;UPPER(B391)&amp;"' AS TABELA, '"&amp;UPPER(C391)&amp;"' AS TIPOLOGIA_TESTE,'"&amp;D391&amp;"' AS TABELA_LT,'"&amp;E391&amp;"' AS TABELA_SIMUL,'"&amp;F391&amp;"' AS CAMPO, "&amp;"'${ref_date}' AS REF_DATE, COUNT(*) AS NUM_REG, SUM(IF(COALESCE(CAST(X."&amp;F391&amp;" AS STRING),'')&lt;&gt;COALESCE(CAST(Y."&amp;F391&amp;"_SIMUL AS STRING),''),1,0)) AS NUM_REG_DIF,'"&amp;MAX('ID1&amp;5'!L:L)+1&amp;"' AS ID_EXEC, CURRENT_TIMESTAMP() AS TIME_EXEC FROM "&amp;I391&amp;" INNER JOIN "&amp;J391&amp;" "&amp;K391),
IF(C391="Validade",+IF(G391="Code List","SELECT '"&amp;UPPER(B391)&amp;"' AS TABELA, '"&amp;UPPER(C391)&amp;"' AS TIPOLOGIA_TESTE,'"&amp;D391&amp;"' AS TABELA_LT,'N/A' AS TABELA_SIMUL,'"&amp;F391&amp;"' AS CAMPO, "&amp;"'${ref_date}' AS REF_DATE, COUNT(*) AS NUM_REG, SUM(IF(TRIM(CAST(X."&amp;F391&amp;" AS STRING))='' OR TRIM(CAST(X."&amp;F391&amp;" AS STRING)) IS NULL OR CAST(X."&amp;F391&amp;" AS STRING) NOT "&amp;H391&amp;",1,0)) AS NUM_REG_DIF,'"&amp;MAX('ID1&amp;5'!K:K)+1&amp;"' AS ID_EXEC, CURRENT_TIMESTAMP() AS TIME_EXEC FROM "&amp;I391,"SELECT '"&amp;UPPER(B391)&amp;"' AS TABELA, '"&amp;UPPER(C391)&amp;"' AS TIPOLOGIA_TESTE,'"&amp;D391&amp;"' AS TABELA_LT,'N/A' AS TABELA_SIMUL,'"&amp;F391&amp;"' AS CAMPO, "&amp;"'${ref_date}' AS REF_DATE, COUNT(*) AS NUM_REG, SUM(IF(TRIM(CAST(X."&amp;F391&amp;" AS STRING))='' OR TRIM(CAST(X."&amp;F391&amp;" AS STRING)) IS NULL,1,0)) AS NUM_REG_DIF,'"&amp;MAX('ID1&amp;5'!K:K)+1&amp;"' AS ID_EXEC, CURRENT_TIMESTAMP() AS TIME_EXEC FROM "&amp;I391),
IF(C391="Caracteres Especiais",+"SELECT '"&amp;UPPER(B391)&amp;"' AS TABELA, '"&amp;UPPER(C391)&amp;"' AS TIPOLOGIA_TESTE,'"&amp;D391&amp;"' AS TABELA_LT,'N/A' AS TABELA_SIMUL,'"&amp;F391&amp;"' AS CAMPO, "&amp;"'${ref_date}' AS REF_DATE, COUNT(*) AS NUM_REG, SUM(IF(INSTR(CAST(X."&amp;F391&amp;" AS STRING),'#')&gt;0 OR INSTR(CAST(X."&amp;F391&amp;" AS STRING),'*')&gt;0 OR INSTR(CAST(X."&amp;F391&amp;" AS STRING),'`')&gt;0 OR INSTR(CAST(X."&amp;F391&amp;" AS STRING),'´')&gt;0 OR INSTR(CAST(X."&amp;F391&amp;" AS STRING),'{')&gt;0 OR INSTR(CAST(X."&amp;F391&amp;" AS STRING),'}')&gt;0 OR INSTR(CAST(X."&amp;F391&amp;" AS STRING),'[')&gt;0 OR INSTR(CAST(X."&amp;F391&amp;" AS STRING),'')&gt;0 OR INSTR(CAST(X."&amp;F391&amp;" AS STRING),']')&gt;0 OR INSTR(CAST(X."&amp;F391&amp;" AS STRING),'?')&gt;0 OR INSTR(CAST(X."&amp;F391&amp;" AS STRING),'!')&gt;0 OR INSTR(CAST(X."&amp;F391&amp;" AS STRING),'$')&gt;0 OR INSTR(CAST(X."&amp;F391&amp;" AS STRING),'%')&gt;0 OR INSTR(CAST(X."&amp;F391&amp;" AS STRING),'&amp;')&gt;0 OR INSTR(CAST(X."&amp;F391&amp;" AS STRING),'+')&gt;0,1,0)) AS NUM_REG_DIF,'"&amp;MAX('ID1&amp;5'!K:K)+1&amp;"' AS ID_EXEC, CURRENT_TIMESTAMP() AS TIME_EXEC FROM "&amp;I391,
IF(C391="Missings",+"SELECT '"&amp;UPPER(B391)&amp;"' AS TABELA, '"&amp;UPPER(C391)&amp;"' AS TIPOLOGIA_TESTE,'"&amp;D391&amp;"' AS TABELA_LT,'N/A' AS TABELA_SIMUL,'"&amp;F391&amp;"' AS CAMPO, "&amp;"'${ref_date}' AS REF_DATE, COUNT(*) AS NUM_REG, SUM(IF(TRIM(CAST(X."&amp;F391&amp;" AS STRING)) IN ('0000-00-00','0001-01-01','9999-12-31','MISS','00000','99999999999','99999999999.00','99999999999.000000'),1,0)) AS NUM_REG_DIF,'"&amp;MAX('ID1&amp;5'!K:K)+1&amp;"' AS ID_EXEC, CURRENT_TIMESTAMP() AS TIME_EXEC FROM "&amp;I391,
IF(C391="Not applicable",+"SELECT '"&amp;UPPER(B391)&amp;"' AS TABELA, '"&amp;UPPER(C391)&amp;"' AS TIPOLOGIA_TESTE,'"&amp;D391&amp;"' AS TABELA_LT,'N/A' AS TABELA_SIMUL,'"&amp;F391&amp;"' AS CAMPO, "&amp;"'${ref_date}' AS REF_DATE, COUNT(*) AS NUM_REG, SUM(IF(TRIM(CAST(X."&amp;F391&amp;" AS STRING)) IN ('N/A','11111111111','11111111111.00','11111111111.000000','1111-11-11'),1,0)) AS NUM_REG_DIF,'"&amp;MAX('ID1&amp;5'!K:K)+1&amp;"' AS ID_EXEC, CURRENT_TIMESTAMP() AS TIME_EXEC FROM "&amp;I391,
IF(C391="Valores extremos",+"SELECT '"&amp;UPPER(B391)&amp;"' AS TABELA, '"&amp;UPPER(C391)&amp;"' AS TIPOLOGIA_TESTE,'"&amp;D391&amp;"' AS TABELA_LT,'N/A' AS TABELA_SIMUL,'"&amp;F391&amp;"' AS CAMPO, "&amp;"'${ref_date}' AS REF_DATE, CAST(MIN("&amp;F391&amp;") AS STRING) AS VALOR_MIN, CAST(MAX("&amp;F391&amp;") AS STRING) AS VALOR_MAX,'"&amp;MAX('ID1&amp;5'!K:K)+1&amp;"' AS ID_EXEC, CURRENT_TIMESTAMP() AS TIME_EXEC FROM "&amp;MID(I391,1,LEN(I391)-2)&amp;" AND CAST("&amp;F391&amp;"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TABELA_SIMUL,'PRMRY_ASST_CLSSF' AS CAMPO, '${ref_date}' AS REF_DATE, COUNT(*) AS NUM_REG, SUM(IF(TRIM(CAST(X.PRMRY_ASST_CLSSF AS STRING)) IN ('N/A','11111111111','11111111111.00','11111111111.000000','1111-11-11'),1,0)) AS NUM_REG_DIF,'10' AS ID_EXEC, CURRENT_TIMESTAMP() AS TIME_EXEC FROM (SELECT instrmnt_id, PRMRY_ASST_CLSSF FROM BU_LOANTAPE_WORK.LT002_INSTRUMENT WHERE ref_date='${ref_date}' AND nome_perimetro='Individual Corporativo' AND segmento='ESTR' AND ambito='PILAR3')X</v>
      </c>
      <c r="M391" s="43" t="str">
        <f t="shared" si="6"/>
        <v>UNION ALL SELECT 'INSTRUMENT' AS TABELA, 'NOT APPLICABLE' AS TIPOLOGIA_TESTE,'BU_LOANTAPE_WORK.LT002_INSTRUMENT' AS TABELA_LT,'N/A' AS TABELA_SIMUL,'PRMRY_ASST_CLSSF' AS CAMPO, '${ref_date}' AS REF_DATE, COUNT(*) AS NUM_REG, SUM(IF(TRIM(CAST(X.PRMRY_ASST_CLSSF AS STRING)) IN ('N/A','11111111111','11111111111.00','11111111111.000000','1111-11-11'),1,0)) AS NUM_REG_DIF,'10' AS ID_EXEC, CURRENT_TIMESTAMP() AS TIME_EXEC FROM (SELECT instrmnt_id, PRMRY_ASST_CLSSF FROM BU_LOANTAPE_WORK.LT002_INSTRUMENT WHERE ref_date='${ref_date}' AND nome_perimetro='Individual Corporativo' AND segmento='ESTR' AND ambito='PILAR3')X</v>
      </c>
      <c r="N391" s="45" t="s">
        <v>13</v>
      </c>
    </row>
    <row r="392" spans="2:14">
      <c r="B392" s="41" t="s">
        <v>27</v>
      </c>
      <c r="C392" s="41" t="s">
        <v>78</v>
      </c>
      <c r="D392" s="41" t="str">
        <f>+UPPER('0. Instruções'!$D$33&amp;"."&amp;VLOOKUP(B392,'0. Instruções'!$C$27:$D$31,2,FALSE))</f>
        <v>BU_LOANTAPE_WORK.LT002_INSTRUMENT</v>
      </c>
      <c r="E392" s="41" t="str">
        <f>+UPPER('0. Instruções'!$D$34&amp;"."&amp;VLOOKUP(B392,'0. Instruções'!$C$27:$E$31,3,FALSE))</f>
        <v>BU_LOANTAPE_WORK.LT002_INSTRUMENT_P3_NOV24</v>
      </c>
      <c r="F392" s="41" t="s">
        <v>172</v>
      </c>
      <c r="G392" s="41" t="s">
        <v>13</v>
      </c>
      <c r="H392" s="41"/>
      <c r="I392" s="41" t="str">
        <f>"(SELECT "&amp;VLOOKUP(B392,'0. Instruções'!$C$27:$G$31,4,FALSE)&amp;", "&amp;F392&amp;" FROM "&amp;D392&amp;" WHERE "&amp;'0. Instruções'!$D$40&amp;")X"</f>
        <v>(SELECT instrmnt_id, SUBPORTFOLIO_ID FROM BU_LOANTAPE_WORK.LT002_INSTRUMENT WHERE ref_date='${ref_date}' AND nome_perimetro='Individual Corporativo' AND segmento='ESTR' AND ambito='PILAR3')X</v>
      </c>
      <c r="J392" s="41" t="str">
        <f>"(SELECT "&amp;VLOOKUP(B392,'0. Instruções'!$C$27:$G$31,4,FALSE)&amp;" AS "&amp;VLOOKUP(B392,'0. Instruções'!$C$27:$G$31,4,FALSE)&amp;"_SIMUL, "&amp;F392&amp;" AS "&amp;F392&amp;"_SIMUL FROM "&amp;E392&amp;")Y"</f>
        <v>(SELECT instrmnt_id AS instrmnt_id_SIMUL, SUBPORTFOLIO_ID AS SUBPORTFOLIO_ID_SIMUL FROM BU_LOANTAPE_WORK.LT002_INSTRUMENT_P3_NOV24)Y</v>
      </c>
      <c r="K392" s="42" t="str">
        <f>+UPPER("ON X."&amp;VLOOKUP(B392,'0. Instruções'!$C$27:$G$31,4,FALSE)&amp;"=Y."&amp;VLOOKUP(B392,'0. Instruções'!$C$27:$G$31,4,FALSE)&amp;"_SIMUL")</f>
        <v>ON X.INSTRMNT_ID=Y.INSTRMNT_ID_SIMUL</v>
      </c>
      <c r="L392" s="42" t="str">
        <f>+IF(C392="Coerência", +IF(LEFT(G392,5)="FLOAT","SELECT '"&amp;UPPER(B392)&amp;"' AS TABELA, '"&amp;UPPER(C392)&amp;"' AS TIPOLOGIA_TESTE,'"&amp;D392&amp;"' AS TABELA_LT,'"&amp;E392&amp;"' AS TABELA_SIMUL,'"&amp;F392&amp;"' AS CAMPO, "&amp;"'${ref_date}' AS REF_DATE, COUNT(*) AS NUM_REG, SUM(IF((ABS(COALESCE(X."&amp;F392&amp;",0)-COALESCE(Y."&amp;F392&amp;"_SIMUL,0))&gt;0.0000000001) OR (X."&amp;F392&amp;" IS NULL AND Y."&amp;F392&amp;"_SIMUL IS NOT NULL ) OR (X."&amp;F392&amp;" IS NOT NULL AND Y."&amp;F392&amp;"_SIMUL IS NULL),1,0)) AS NUM_REG_DIF,'"&amp;MAX('ID1&amp;5'!K:K)+1&amp;"' AS ID_EXEC, CURRENT_TIMESTAMP() AS TIME_EXEC FROM "&amp;I392&amp;" INNER JOIN "&amp;J392&amp;" "&amp;K392,"SELECT '"&amp;UPPER(B392)&amp;"' AS TABELA, '"&amp;UPPER(C392)&amp;"' AS TIPOLOGIA_TESTE,'"&amp;D392&amp;"' AS TABELA_LT,'"&amp;E392&amp;"' AS TABELA_SIMUL,'"&amp;F392&amp;"' AS CAMPO, "&amp;"'${ref_date}' AS REF_DATE, COUNT(*) AS NUM_REG, SUM(IF(COALESCE(CAST(X."&amp;F392&amp;" AS STRING),'')&lt;&gt;COALESCE(CAST(Y."&amp;F392&amp;"_SIMUL AS STRING),''),1,0)) AS NUM_REG_DIF,'"&amp;MAX('ID1&amp;5'!L:L)+1&amp;"' AS ID_EXEC, CURRENT_TIMESTAMP() AS TIME_EXEC FROM "&amp;I392&amp;" INNER JOIN "&amp;J392&amp;" "&amp;K392),
IF(C392="Validade",+IF(G392="Code List","SELECT '"&amp;UPPER(B392)&amp;"' AS TABELA, '"&amp;UPPER(C392)&amp;"' AS TIPOLOGIA_TESTE,'"&amp;D392&amp;"' AS TABELA_LT,'N/A' AS TABELA_SIMUL,'"&amp;F392&amp;"' AS CAMPO, "&amp;"'${ref_date}' AS REF_DATE, COUNT(*) AS NUM_REG, SUM(IF(TRIM(CAST(X."&amp;F392&amp;" AS STRING))='' OR TRIM(CAST(X."&amp;F392&amp;" AS STRING)) IS NULL OR CAST(X."&amp;F392&amp;" AS STRING) NOT "&amp;H392&amp;",1,0)) AS NUM_REG_DIF,'"&amp;MAX('ID1&amp;5'!K:K)+1&amp;"' AS ID_EXEC, CURRENT_TIMESTAMP() AS TIME_EXEC FROM "&amp;I392,"SELECT '"&amp;UPPER(B392)&amp;"' AS TABELA, '"&amp;UPPER(C392)&amp;"' AS TIPOLOGIA_TESTE,'"&amp;D392&amp;"' AS TABELA_LT,'N/A' AS TABELA_SIMUL,'"&amp;F392&amp;"' AS CAMPO, "&amp;"'${ref_date}' AS REF_DATE, COUNT(*) AS NUM_REG, SUM(IF(TRIM(CAST(X."&amp;F392&amp;" AS STRING))='' OR TRIM(CAST(X."&amp;F392&amp;" AS STRING)) IS NULL,1,0)) AS NUM_REG_DIF,'"&amp;MAX('ID1&amp;5'!K:K)+1&amp;"' AS ID_EXEC, CURRENT_TIMESTAMP() AS TIME_EXEC FROM "&amp;I392),
IF(C392="Caracteres Especiais",+"SELECT '"&amp;UPPER(B392)&amp;"' AS TABELA, '"&amp;UPPER(C392)&amp;"' AS TIPOLOGIA_TESTE,'"&amp;D392&amp;"' AS TABELA_LT,'N/A' AS TABELA_SIMUL,'"&amp;F392&amp;"' AS CAMPO, "&amp;"'${ref_date}' AS REF_DATE, COUNT(*) AS NUM_REG, SUM(IF(INSTR(CAST(X."&amp;F392&amp;" AS STRING),'#')&gt;0 OR INSTR(CAST(X."&amp;F392&amp;" AS STRING),'*')&gt;0 OR INSTR(CAST(X."&amp;F392&amp;" AS STRING),'`')&gt;0 OR INSTR(CAST(X."&amp;F392&amp;" AS STRING),'´')&gt;0 OR INSTR(CAST(X."&amp;F392&amp;" AS STRING),'{')&gt;0 OR INSTR(CAST(X."&amp;F392&amp;" AS STRING),'}')&gt;0 OR INSTR(CAST(X."&amp;F392&amp;" AS STRING),'[')&gt;0 OR INSTR(CAST(X."&amp;F392&amp;" AS STRING),'')&gt;0 OR INSTR(CAST(X."&amp;F392&amp;" AS STRING),']')&gt;0 OR INSTR(CAST(X."&amp;F392&amp;" AS STRING),'?')&gt;0 OR INSTR(CAST(X."&amp;F392&amp;" AS STRING),'!')&gt;0 OR INSTR(CAST(X."&amp;F392&amp;" AS STRING),'$')&gt;0 OR INSTR(CAST(X."&amp;F392&amp;" AS STRING),'%')&gt;0 OR INSTR(CAST(X."&amp;F392&amp;" AS STRING),'&amp;')&gt;0 OR INSTR(CAST(X."&amp;F392&amp;" AS STRING),'+')&gt;0,1,0)) AS NUM_REG_DIF,'"&amp;MAX('ID1&amp;5'!K:K)+1&amp;"' AS ID_EXEC, CURRENT_TIMESTAMP() AS TIME_EXEC FROM "&amp;I392,
IF(C392="Missings",+"SELECT '"&amp;UPPER(B392)&amp;"' AS TABELA, '"&amp;UPPER(C392)&amp;"' AS TIPOLOGIA_TESTE,'"&amp;D392&amp;"' AS TABELA_LT,'N/A' AS TABELA_SIMUL,'"&amp;F392&amp;"' AS CAMPO, "&amp;"'${ref_date}' AS REF_DATE, COUNT(*) AS NUM_REG, SUM(IF(TRIM(CAST(X."&amp;F392&amp;" AS STRING)) IN ('0000-00-00','0001-01-01','9999-12-31','MISS','00000','99999999999','99999999999.00','99999999999.000000'),1,0)) AS NUM_REG_DIF,'"&amp;MAX('ID1&amp;5'!K:K)+1&amp;"' AS ID_EXEC, CURRENT_TIMESTAMP() AS TIME_EXEC FROM "&amp;I392,
IF(C392="Not applicable",+"SELECT '"&amp;UPPER(B392)&amp;"' AS TABELA, '"&amp;UPPER(C392)&amp;"' AS TIPOLOGIA_TESTE,'"&amp;D392&amp;"' AS TABELA_LT,'N/A' AS TABELA_SIMUL,'"&amp;F392&amp;"' AS CAMPO, "&amp;"'${ref_date}' AS REF_DATE, COUNT(*) AS NUM_REG, SUM(IF(TRIM(CAST(X."&amp;F392&amp;" AS STRING)) IN ('N/A','11111111111','11111111111.00','11111111111.000000','1111-11-11'),1,0)) AS NUM_REG_DIF,'"&amp;MAX('ID1&amp;5'!K:K)+1&amp;"' AS ID_EXEC, CURRENT_TIMESTAMP() AS TIME_EXEC FROM "&amp;I392,
IF(C392="Valores extremos",+"SELECT '"&amp;UPPER(B392)&amp;"' AS TABELA, '"&amp;UPPER(C392)&amp;"' AS TIPOLOGIA_TESTE,'"&amp;D392&amp;"' AS TABELA_LT,'N/A' AS TABELA_SIMUL,'"&amp;F392&amp;"' AS CAMPO, "&amp;"'${ref_date}' AS REF_DATE, CAST(MIN("&amp;F392&amp;") AS STRING) AS VALOR_MIN, CAST(MAX("&amp;F392&amp;") AS STRING) AS VALOR_MAX,'"&amp;MAX('ID1&amp;5'!K:K)+1&amp;"' AS ID_EXEC, CURRENT_TIMESTAMP() AS TIME_EXEC FROM "&amp;MID(I392,1,LEN(I392)-2)&amp;" AND CAST("&amp;F392&amp;"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TABELA_SIMUL,'SUBPORTFOLIO_ID' AS CAMPO, '${ref_date}' AS REF_DATE, COUNT(*) AS NUM_REG, SUM(IF(TRIM(CAST(X.SUBPORTFOLIO_ID AS STRING)) IN ('N/A','11111111111','11111111111.00','11111111111.000000','1111-11-11'),1,0)) AS NUM_REG_DIF,'10' AS ID_EXEC, CURRENT_TIMESTAMP() AS TIME_EXEC FROM (SELECT instrmnt_id, SUBPORTFOLIO_ID FROM BU_LOANTAPE_WORK.LT002_INSTRUMENT WHERE ref_date='${ref_date}' AND nome_perimetro='Individual Corporativo' AND segmento='ESTR' AND ambito='PILAR3')X</v>
      </c>
      <c r="M392" s="43" t="str">
        <f t="shared" si="6"/>
        <v>UNION ALL SELECT 'INSTRUMENT' AS TABELA, 'NOT APPLICABLE' AS TIPOLOGIA_TESTE,'BU_LOANTAPE_WORK.LT002_INSTRUMENT' AS TABELA_LT,'N/A' AS TABELA_SIMUL,'SUBPORTFOLIO_ID' AS CAMPO, '${ref_date}' AS REF_DATE, COUNT(*) AS NUM_REG, SUM(IF(TRIM(CAST(X.SUBPORTFOLIO_ID AS STRING)) IN ('N/A','11111111111','11111111111.00','11111111111.000000','1111-11-11'),1,0)) AS NUM_REG_DIF,'10' AS ID_EXEC, CURRENT_TIMESTAMP() AS TIME_EXEC FROM (SELECT instrmnt_id, SUBPORTFOLIO_ID FROM BU_LOANTAPE_WORK.LT002_INSTRUMENT WHERE ref_date='${ref_date}' AND nome_perimetro='Individual Corporativo' AND segmento='ESTR' AND ambito='PILAR3')X</v>
      </c>
      <c r="N392" s="45" t="s">
        <v>13</v>
      </c>
    </row>
    <row r="393" spans="2:14">
      <c r="B393" s="41" t="s">
        <v>27</v>
      </c>
      <c r="C393" s="41" t="s">
        <v>78</v>
      </c>
      <c r="D393" s="41" t="str">
        <f>+UPPER('0. Instruções'!$D$33&amp;"."&amp;VLOOKUP(B393,'0. Instruções'!$C$27:$D$31,2,FALSE))</f>
        <v>BU_LOANTAPE_WORK.LT002_INSTRUMENT</v>
      </c>
      <c r="E393" s="41" t="str">
        <f>+UPPER('0. Instruções'!$D$34&amp;"."&amp;VLOOKUP(B393,'0. Instruções'!$C$27:$E$31,3,FALSE))</f>
        <v>BU_LOANTAPE_WORK.LT002_INSTRUMENT_P3_NOV24</v>
      </c>
      <c r="F393" s="41" t="s">
        <v>173</v>
      </c>
      <c r="G393" s="41" t="s">
        <v>13</v>
      </c>
      <c r="H393" s="41"/>
      <c r="I393" s="41" t="str">
        <f>"(SELECT "&amp;VLOOKUP(B393,'0. Instruções'!$C$27:$G$31,4,FALSE)&amp;", "&amp;F393&amp;" FROM "&amp;D393&amp;" WHERE "&amp;'0. Instruções'!$D$40&amp;")X"</f>
        <v>(SELECT instrmnt_id, COD_SOC FROM BU_LOANTAPE_WORK.LT002_INSTRUMENT WHERE ref_date='${ref_date}' AND nome_perimetro='Individual Corporativo' AND segmento='ESTR' AND ambito='PILAR3')X</v>
      </c>
      <c r="J393" s="41" t="str">
        <f>"(SELECT "&amp;VLOOKUP(B393,'0. Instruções'!$C$27:$G$31,4,FALSE)&amp;" AS "&amp;VLOOKUP(B393,'0. Instruções'!$C$27:$G$31,4,FALSE)&amp;"_SIMUL, "&amp;F393&amp;" AS "&amp;F393&amp;"_SIMUL FROM "&amp;E393&amp;")Y"</f>
        <v>(SELECT instrmnt_id AS instrmnt_id_SIMUL, COD_SOC AS COD_SOC_SIMUL FROM BU_LOANTAPE_WORK.LT002_INSTRUMENT_P3_NOV24)Y</v>
      </c>
      <c r="K393" s="42" t="str">
        <f>+UPPER("ON X."&amp;VLOOKUP(B393,'0. Instruções'!$C$27:$G$31,4,FALSE)&amp;"=Y."&amp;VLOOKUP(B393,'0. Instruções'!$C$27:$G$31,4,FALSE)&amp;"_SIMUL")</f>
        <v>ON X.INSTRMNT_ID=Y.INSTRMNT_ID_SIMUL</v>
      </c>
      <c r="L393" s="42" t="str">
        <f>+IF(C393="Coerência", +IF(LEFT(G393,5)="FLOAT","SELECT '"&amp;UPPER(B393)&amp;"' AS TABELA, '"&amp;UPPER(C393)&amp;"' AS TIPOLOGIA_TESTE,'"&amp;D393&amp;"' AS TABELA_LT,'"&amp;E393&amp;"' AS TABELA_SIMUL,'"&amp;F393&amp;"' AS CAMPO, "&amp;"'${ref_date}' AS REF_DATE, COUNT(*) AS NUM_REG, SUM(IF((ABS(COALESCE(X."&amp;F393&amp;",0)-COALESCE(Y."&amp;F393&amp;"_SIMUL,0))&gt;0.0000000001) OR (X."&amp;F393&amp;" IS NULL AND Y."&amp;F393&amp;"_SIMUL IS NOT NULL ) OR (X."&amp;F393&amp;" IS NOT NULL AND Y."&amp;F393&amp;"_SIMUL IS NULL),1,0)) AS NUM_REG_DIF,'"&amp;MAX('ID1&amp;5'!K:K)+1&amp;"' AS ID_EXEC, CURRENT_TIMESTAMP() AS TIME_EXEC FROM "&amp;I393&amp;" INNER JOIN "&amp;J393&amp;" "&amp;K393,"SELECT '"&amp;UPPER(B393)&amp;"' AS TABELA, '"&amp;UPPER(C393)&amp;"' AS TIPOLOGIA_TESTE,'"&amp;D393&amp;"' AS TABELA_LT,'"&amp;E393&amp;"' AS TABELA_SIMUL,'"&amp;F393&amp;"' AS CAMPO, "&amp;"'${ref_date}' AS REF_DATE, COUNT(*) AS NUM_REG, SUM(IF(COALESCE(CAST(X."&amp;F393&amp;" AS STRING),'')&lt;&gt;COALESCE(CAST(Y."&amp;F393&amp;"_SIMUL AS STRING),''),1,0)) AS NUM_REG_DIF,'"&amp;MAX('ID1&amp;5'!L:L)+1&amp;"' AS ID_EXEC, CURRENT_TIMESTAMP() AS TIME_EXEC FROM "&amp;I393&amp;" INNER JOIN "&amp;J393&amp;" "&amp;K393),
IF(C393="Validade",+IF(G393="Code List","SELECT '"&amp;UPPER(B393)&amp;"' AS TABELA, '"&amp;UPPER(C393)&amp;"' AS TIPOLOGIA_TESTE,'"&amp;D393&amp;"' AS TABELA_LT,'N/A' AS TABELA_SIMUL,'"&amp;F393&amp;"' AS CAMPO, "&amp;"'${ref_date}' AS REF_DATE, COUNT(*) AS NUM_REG, SUM(IF(TRIM(CAST(X."&amp;F393&amp;" AS STRING))='' OR TRIM(CAST(X."&amp;F393&amp;" AS STRING)) IS NULL OR CAST(X."&amp;F393&amp;" AS STRING) NOT "&amp;H393&amp;",1,0)) AS NUM_REG_DIF,'"&amp;MAX('ID1&amp;5'!K:K)+1&amp;"' AS ID_EXEC, CURRENT_TIMESTAMP() AS TIME_EXEC FROM "&amp;I393,"SELECT '"&amp;UPPER(B393)&amp;"' AS TABELA, '"&amp;UPPER(C393)&amp;"' AS TIPOLOGIA_TESTE,'"&amp;D393&amp;"' AS TABELA_LT,'N/A' AS TABELA_SIMUL,'"&amp;F393&amp;"' AS CAMPO, "&amp;"'${ref_date}' AS REF_DATE, COUNT(*) AS NUM_REG, SUM(IF(TRIM(CAST(X."&amp;F393&amp;" AS STRING))='' OR TRIM(CAST(X."&amp;F393&amp;" AS STRING)) IS NULL,1,0)) AS NUM_REG_DIF,'"&amp;MAX('ID1&amp;5'!K:K)+1&amp;"' AS ID_EXEC, CURRENT_TIMESTAMP() AS TIME_EXEC FROM "&amp;I393),
IF(C393="Caracteres Especiais",+"SELECT '"&amp;UPPER(B393)&amp;"' AS TABELA, '"&amp;UPPER(C393)&amp;"' AS TIPOLOGIA_TESTE,'"&amp;D393&amp;"' AS TABELA_LT,'N/A' AS TABELA_SIMUL,'"&amp;F393&amp;"' AS CAMPO, "&amp;"'${ref_date}' AS REF_DATE, COUNT(*) AS NUM_REG, SUM(IF(INSTR(CAST(X."&amp;F393&amp;" AS STRING),'#')&gt;0 OR INSTR(CAST(X."&amp;F393&amp;" AS STRING),'*')&gt;0 OR INSTR(CAST(X."&amp;F393&amp;" AS STRING),'`')&gt;0 OR INSTR(CAST(X."&amp;F393&amp;" AS STRING),'´')&gt;0 OR INSTR(CAST(X."&amp;F393&amp;" AS STRING),'{')&gt;0 OR INSTR(CAST(X."&amp;F393&amp;" AS STRING),'}')&gt;0 OR INSTR(CAST(X."&amp;F393&amp;" AS STRING),'[')&gt;0 OR INSTR(CAST(X."&amp;F393&amp;" AS STRING),'')&gt;0 OR INSTR(CAST(X."&amp;F393&amp;" AS STRING),']')&gt;0 OR INSTR(CAST(X."&amp;F393&amp;" AS STRING),'?')&gt;0 OR INSTR(CAST(X."&amp;F393&amp;" AS STRING),'!')&gt;0 OR INSTR(CAST(X."&amp;F393&amp;" AS STRING),'$')&gt;0 OR INSTR(CAST(X."&amp;F393&amp;" AS STRING),'%')&gt;0 OR INSTR(CAST(X."&amp;F393&amp;" AS STRING),'&amp;')&gt;0 OR INSTR(CAST(X."&amp;F393&amp;" AS STRING),'+')&gt;0,1,0)) AS NUM_REG_DIF,'"&amp;MAX('ID1&amp;5'!K:K)+1&amp;"' AS ID_EXEC, CURRENT_TIMESTAMP() AS TIME_EXEC FROM "&amp;I393,
IF(C393="Missings",+"SELECT '"&amp;UPPER(B393)&amp;"' AS TABELA, '"&amp;UPPER(C393)&amp;"' AS TIPOLOGIA_TESTE,'"&amp;D393&amp;"' AS TABELA_LT,'N/A' AS TABELA_SIMUL,'"&amp;F393&amp;"' AS CAMPO, "&amp;"'${ref_date}' AS REF_DATE, COUNT(*) AS NUM_REG, SUM(IF(TRIM(CAST(X."&amp;F393&amp;" AS STRING)) IN ('0000-00-00','0001-01-01','9999-12-31','MISS','00000','99999999999','99999999999.00','99999999999.000000'),1,0)) AS NUM_REG_DIF,'"&amp;MAX('ID1&amp;5'!K:K)+1&amp;"' AS ID_EXEC, CURRENT_TIMESTAMP() AS TIME_EXEC FROM "&amp;I393,
IF(C393="Not applicable",+"SELECT '"&amp;UPPER(B393)&amp;"' AS TABELA, '"&amp;UPPER(C393)&amp;"' AS TIPOLOGIA_TESTE,'"&amp;D393&amp;"' AS TABELA_LT,'N/A' AS TABELA_SIMUL,'"&amp;F393&amp;"' AS CAMPO, "&amp;"'${ref_date}' AS REF_DATE, COUNT(*) AS NUM_REG, SUM(IF(TRIM(CAST(X."&amp;F393&amp;" AS STRING)) IN ('N/A','11111111111','11111111111.00','11111111111.000000','1111-11-11'),1,0)) AS NUM_REG_DIF,'"&amp;MAX('ID1&amp;5'!K:K)+1&amp;"' AS ID_EXEC, CURRENT_TIMESTAMP() AS TIME_EXEC FROM "&amp;I393,
IF(C393="Valores extremos",+"SELECT '"&amp;UPPER(B393)&amp;"' AS TABELA, '"&amp;UPPER(C393)&amp;"' AS TIPOLOGIA_TESTE,'"&amp;D393&amp;"' AS TABELA_LT,'N/A' AS TABELA_SIMUL,'"&amp;F393&amp;"' AS CAMPO, "&amp;"'${ref_date}' AS REF_DATE, CAST(MIN("&amp;F393&amp;") AS STRING) AS VALOR_MIN, CAST(MAX("&amp;F393&amp;") AS STRING) AS VALOR_MAX,'"&amp;MAX('ID1&amp;5'!K:K)+1&amp;"' AS ID_EXEC, CURRENT_TIMESTAMP() AS TIME_EXEC FROM "&amp;MID(I393,1,LEN(I393)-2)&amp;" AND CAST("&amp;F393&amp;"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TABELA_SIMUL,'COD_SOC' AS CAMPO, '${ref_date}' AS REF_DATE, COUNT(*) AS NUM_REG, SUM(IF(TRIM(CAST(X.COD_SOC AS STRING)) IN ('N/A','11111111111','11111111111.00','11111111111.000000','1111-11-11'),1,0)) AS NUM_REG_DIF,'10' AS ID_EXEC, CURRENT_TIMESTAMP() AS TIME_EXEC FROM (SELECT instrmnt_id, COD_SOC FROM BU_LOANTAPE_WORK.LT002_INSTRUMENT WHERE ref_date='${ref_date}' AND nome_perimetro='Individual Corporativo' AND segmento='ESTR' AND ambito='PILAR3')X</v>
      </c>
      <c r="M393" s="43" t="str">
        <f t="shared" si="6"/>
        <v>UNION ALL SELECT 'INSTRUMENT' AS TABELA, 'NOT APPLICABLE' AS TIPOLOGIA_TESTE,'BU_LOANTAPE_WORK.LT002_INSTRUMENT' AS TABELA_LT,'N/A' AS TABELA_SIMUL,'COD_SOC' AS CAMPO, '${ref_date}' AS REF_DATE, COUNT(*) AS NUM_REG, SUM(IF(TRIM(CAST(X.COD_SOC AS STRING)) IN ('N/A','11111111111','11111111111.00','11111111111.000000','1111-11-11'),1,0)) AS NUM_REG_DIF,'10' AS ID_EXEC, CURRENT_TIMESTAMP() AS TIME_EXEC FROM (SELECT instrmnt_id, COD_SOC FROM BU_LOANTAPE_WORK.LT002_INSTRUMENT WHERE ref_date='${ref_date}' AND nome_perimetro='Individual Corporativo' AND segmento='ESTR' AND ambito='PILAR3')X</v>
      </c>
      <c r="N393" s="45" t="s">
        <v>13</v>
      </c>
    </row>
    <row r="394" spans="2:14">
      <c r="B394" s="41" t="s">
        <v>27</v>
      </c>
      <c r="C394" s="41" t="s">
        <v>78</v>
      </c>
      <c r="D394" s="41" t="str">
        <f>+UPPER('0. Instruções'!$D$33&amp;"."&amp;VLOOKUP(B394,'0. Instruções'!$C$27:$D$31,2,FALSE))</f>
        <v>BU_LOANTAPE_WORK.LT002_INSTRUMENT</v>
      </c>
      <c r="E394" s="41" t="str">
        <f>+UPPER('0. Instruções'!$D$34&amp;"."&amp;VLOOKUP(B394,'0. Instruções'!$C$27:$E$31,3,FALSE))</f>
        <v>BU_LOANTAPE_WORK.LT002_INSTRUMENT_P3_NOV24</v>
      </c>
      <c r="F394" s="41" t="s">
        <v>174</v>
      </c>
      <c r="G394" s="41" t="s">
        <v>13</v>
      </c>
      <c r="H394" s="41"/>
      <c r="I394" s="41" t="str">
        <f>"(SELECT "&amp;VLOOKUP(B394,'0. Instruções'!$C$27:$G$31,4,FALSE)&amp;", "&amp;F394&amp;" FROM "&amp;D394&amp;" WHERE "&amp;'0. Instruções'!$D$40&amp;")X"</f>
        <v>(SELECT instrmnt_id, LCL_INSTMRNT_ID FROM BU_LOANTAPE_WORK.LT002_INSTRUMENT WHERE ref_date='${ref_date}' AND nome_perimetro='Individual Corporativo' AND segmento='ESTR' AND ambito='PILAR3')X</v>
      </c>
      <c r="J394" s="41" t="str">
        <f>"(SELECT "&amp;VLOOKUP(B394,'0. Instruções'!$C$27:$G$31,4,FALSE)&amp;" AS "&amp;VLOOKUP(B394,'0. Instruções'!$C$27:$G$31,4,FALSE)&amp;"_SIMUL, "&amp;F394&amp;" AS "&amp;F394&amp;"_SIMUL FROM "&amp;E394&amp;")Y"</f>
        <v>(SELECT instrmnt_id AS instrmnt_id_SIMUL, LCL_INSTMRNT_ID AS LCL_INSTMRNT_ID_SIMUL FROM BU_LOANTAPE_WORK.LT002_INSTRUMENT_P3_NOV24)Y</v>
      </c>
      <c r="K394" s="42" t="str">
        <f>+UPPER("ON X."&amp;VLOOKUP(B394,'0. Instruções'!$C$27:$G$31,4,FALSE)&amp;"=Y."&amp;VLOOKUP(B394,'0. Instruções'!$C$27:$G$31,4,FALSE)&amp;"_SIMUL")</f>
        <v>ON X.INSTRMNT_ID=Y.INSTRMNT_ID_SIMUL</v>
      </c>
      <c r="L394" s="42" t="str">
        <f>+IF(C394="Coerência", +IF(LEFT(G394,5)="FLOAT","SELECT '"&amp;UPPER(B394)&amp;"' AS TABELA, '"&amp;UPPER(C394)&amp;"' AS TIPOLOGIA_TESTE,'"&amp;D394&amp;"' AS TABELA_LT,'"&amp;E394&amp;"' AS TABELA_SIMUL,'"&amp;F394&amp;"' AS CAMPO, "&amp;"'${ref_date}' AS REF_DATE, COUNT(*) AS NUM_REG, SUM(IF((ABS(COALESCE(X."&amp;F394&amp;",0)-COALESCE(Y."&amp;F394&amp;"_SIMUL,0))&gt;0.0000000001) OR (X."&amp;F394&amp;" IS NULL AND Y."&amp;F394&amp;"_SIMUL IS NOT NULL ) OR (X."&amp;F394&amp;" IS NOT NULL AND Y."&amp;F394&amp;"_SIMUL IS NULL),1,0)) AS NUM_REG_DIF,'"&amp;MAX('ID1&amp;5'!K:K)+1&amp;"' AS ID_EXEC, CURRENT_TIMESTAMP() AS TIME_EXEC FROM "&amp;I394&amp;" INNER JOIN "&amp;J394&amp;" "&amp;K394,"SELECT '"&amp;UPPER(B394)&amp;"' AS TABELA, '"&amp;UPPER(C394)&amp;"' AS TIPOLOGIA_TESTE,'"&amp;D394&amp;"' AS TABELA_LT,'"&amp;E394&amp;"' AS TABELA_SIMUL,'"&amp;F394&amp;"' AS CAMPO, "&amp;"'${ref_date}' AS REF_DATE, COUNT(*) AS NUM_REG, SUM(IF(COALESCE(CAST(X."&amp;F394&amp;" AS STRING),'')&lt;&gt;COALESCE(CAST(Y."&amp;F394&amp;"_SIMUL AS STRING),''),1,0)) AS NUM_REG_DIF,'"&amp;MAX('ID1&amp;5'!L:L)+1&amp;"' AS ID_EXEC, CURRENT_TIMESTAMP() AS TIME_EXEC FROM "&amp;I394&amp;" INNER JOIN "&amp;J394&amp;" "&amp;K394),
IF(C394="Validade",+IF(G394="Code List","SELECT '"&amp;UPPER(B394)&amp;"' AS TABELA, '"&amp;UPPER(C394)&amp;"' AS TIPOLOGIA_TESTE,'"&amp;D394&amp;"' AS TABELA_LT,'N/A' AS TABELA_SIMUL,'"&amp;F394&amp;"' AS CAMPO, "&amp;"'${ref_date}' AS REF_DATE, COUNT(*) AS NUM_REG, SUM(IF(TRIM(CAST(X."&amp;F394&amp;" AS STRING))='' OR TRIM(CAST(X."&amp;F394&amp;" AS STRING)) IS NULL OR CAST(X."&amp;F394&amp;" AS STRING) NOT "&amp;H394&amp;",1,0)) AS NUM_REG_DIF,'"&amp;MAX('ID1&amp;5'!K:K)+1&amp;"' AS ID_EXEC, CURRENT_TIMESTAMP() AS TIME_EXEC FROM "&amp;I394,"SELECT '"&amp;UPPER(B394)&amp;"' AS TABELA, '"&amp;UPPER(C394)&amp;"' AS TIPOLOGIA_TESTE,'"&amp;D394&amp;"' AS TABELA_LT,'N/A' AS TABELA_SIMUL,'"&amp;F394&amp;"' AS CAMPO, "&amp;"'${ref_date}' AS REF_DATE, COUNT(*) AS NUM_REG, SUM(IF(TRIM(CAST(X."&amp;F394&amp;" AS STRING))='' OR TRIM(CAST(X."&amp;F394&amp;" AS STRING)) IS NULL,1,0)) AS NUM_REG_DIF,'"&amp;MAX('ID1&amp;5'!K:K)+1&amp;"' AS ID_EXEC, CURRENT_TIMESTAMP() AS TIME_EXEC FROM "&amp;I394),
IF(C394="Caracteres Especiais",+"SELECT '"&amp;UPPER(B394)&amp;"' AS TABELA, '"&amp;UPPER(C394)&amp;"' AS TIPOLOGIA_TESTE,'"&amp;D394&amp;"' AS TABELA_LT,'N/A' AS TABELA_SIMUL,'"&amp;F394&amp;"' AS CAMPO, "&amp;"'${ref_date}' AS REF_DATE, COUNT(*) AS NUM_REG, SUM(IF(INSTR(CAST(X."&amp;F394&amp;" AS STRING),'#')&gt;0 OR INSTR(CAST(X."&amp;F394&amp;" AS STRING),'*')&gt;0 OR INSTR(CAST(X."&amp;F394&amp;" AS STRING),'`')&gt;0 OR INSTR(CAST(X."&amp;F394&amp;" AS STRING),'´')&gt;0 OR INSTR(CAST(X."&amp;F394&amp;" AS STRING),'{')&gt;0 OR INSTR(CAST(X."&amp;F394&amp;" AS STRING),'}')&gt;0 OR INSTR(CAST(X."&amp;F394&amp;" AS STRING),'[')&gt;0 OR INSTR(CAST(X."&amp;F394&amp;" AS STRING),'')&gt;0 OR INSTR(CAST(X."&amp;F394&amp;" AS STRING),']')&gt;0 OR INSTR(CAST(X."&amp;F394&amp;" AS STRING),'?')&gt;0 OR INSTR(CAST(X."&amp;F394&amp;" AS STRING),'!')&gt;0 OR INSTR(CAST(X."&amp;F394&amp;" AS STRING),'$')&gt;0 OR INSTR(CAST(X."&amp;F394&amp;" AS STRING),'%')&gt;0 OR INSTR(CAST(X."&amp;F394&amp;" AS STRING),'&amp;')&gt;0 OR INSTR(CAST(X."&amp;F394&amp;" AS STRING),'+')&gt;0,1,0)) AS NUM_REG_DIF,'"&amp;MAX('ID1&amp;5'!K:K)+1&amp;"' AS ID_EXEC, CURRENT_TIMESTAMP() AS TIME_EXEC FROM "&amp;I394,
IF(C394="Missings",+"SELECT '"&amp;UPPER(B394)&amp;"' AS TABELA, '"&amp;UPPER(C394)&amp;"' AS TIPOLOGIA_TESTE,'"&amp;D394&amp;"' AS TABELA_LT,'N/A' AS TABELA_SIMUL,'"&amp;F394&amp;"' AS CAMPO, "&amp;"'${ref_date}' AS REF_DATE, COUNT(*) AS NUM_REG, SUM(IF(TRIM(CAST(X."&amp;F394&amp;" AS STRING)) IN ('0000-00-00','0001-01-01','9999-12-31','MISS','00000','99999999999','99999999999.00','99999999999.000000'),1,0)) AS NUM_REG_DIF,'"&amp;MAX('ID1&amp;5'!K:K)+1&amp;"' AS ID_EXEC, CURRENT_TIMESTAMP() AS TIME_EXEC FROM "&amp;I394,
IF(C394="Not applicable",+"SELECT '"&amp;UPPER(B394)&amp;"' AS TABELA, '"&amp;UPPER(C394)&amp;"' AS TIPOLOGIA_TESTE,'"&amp;D394&amp;"' AS TABELA_LT,'N/A' AS TABELA_SIMUL,'"&amp;F394&amp;"' AS CAMPO, "&amp;"'${ref_date}' AS REF_DATE, COUNT(*) AS NUM_REG, SUM(IF(TRIM(CAST(X."&amp;F394&amp;" AS STRING)) IN ('N/A','11111111111','11111111111.00','11111111111.000000','1111-11-11'),1,0)) AS NUM_REG_DIF,'"&amp;MAX('ID1&amp;5'!K:K)+1&amp;"' AS ID_EXEC, CURRENT_TIMESTAMP() AS TIME_EXEC FROM "&amp;I394,
IF(C394="Valores extremos",+"SELECT '"&amp;UPPER(B394)&amp;"' AS TABELA, '"&amp;UPPER(C394)&amp;"' AS TIPOLOGIA_TESTE,'"&amp;D394&amp;"' AS TABELA_LT,'N/A' AS TABELA_SIMUL,'"&amp;F394&amp;"' AS CAMPO, "&amp;"'${ref_date}' AS REF_DATE, CAST(MIN("&amp;F394&amp;") AS STRING) AS VALOR_MIN, CAST(MAX("&amp;F394&amp;") AS STRING) AS VALOR_MAX,'"&amp;MAX('ID1&amp;5'!K:K)+1&amp;"' AS ID_EXEC, CURRENT_TIMESTAMP() AS TIME_EXEC FROM "&amp;MID(I394,1,LEN(I394)-2)&amp;" AND CAST("&amp;F394&amp;"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TABELA_SIMUL,'LCL_INSTMRNT_ID' AS CAMPO, '${ref_date}' AS REF_DATE, COUNT(*) AS NUM_REG, SUM(IF(TRIM(CAST(X.LCL_INSTMRNT_ID AS STRING)) IN ('N/A','11111111111','11111111111.00','11111111111.000000','1111-11-11'),1,0)) AS NUM_REG_DIF,'10' AS ID_EXEC, CURRENT_TIMESTAMP() AS TIME_EXEC FROM (SELECT instrmnt_id, LCL_INSTMRNT_ID FROM BU_LOANTAPE_WORK.LT002_INSTRUMENT WHERE ref_date='${ref_date}' AND nome_perimetro='Individual Corporativo' AND segmento='ESTR' AND ambito='PILAR3')X</v>
      </c>
      <c r="M394" s="43" t="str">
        <f t="shared" si="6"/>
        <v>UNION ALL SELECT 'INSTRUMENT' AS TABELA, 'NOT APPLICABLE' AS TIPOLOGIA_TESTE,'BU_LOANTAPE_WORK.LT002_INSTRUMENT' AS TABELA_LT,'N/A' AS TABELA_SIMUL,'LCL_INSTMRNT_ID' AS CAMPO, '${ref_date}' AS REF_DATE, COUNT(*) AS NUM_REG, SUM(IF(TRIM(CAST(X.LCL_INSTMRNT_ID AS STRING)) IN ('N/A','11111111111','11111111111.00','11111111111.000000','1111-11-11'),1,0)) AS NUM_REG_DIF,'10' AS ID_EXEC, CURRENT_TIMESTAMP() AS TIME_EXEC FROM (SELECT instrmnt_id, LCL_INSTMRNT_ID FROM BU_LOANTAPE_WORK.LT002_INSTRUMENT WHERE ref_date='${ref_date}' AND nome_perimetro='Individual Corporativo' AND segmento='ESTR' AND ambito='PILAR3')X</v>
      </c>
      <c r="N394" s="45" t="s">
        <v>13</v>
      </c>
    </row>
    <row r="395" spans="2:14">
      <c r="B395" s="41" t="s">
        <v>27</v>
      </c>
      <c r="C395" s="41" t="s">
        <v>78</v>
      </c>
      <c r="D395" s="41" t="str">
        <f>+UPPER('0. Instruções'!$D$33&amp;"."&amp;VLOOKUP(B395,'0. Instruções'!$C$27:$D$31,2,FALSE))</f>
        <v>BU_LOANTAPE_WORK.LT002_INSTRUMENT</v>
      </c>
      <c r="E395" s="41" t="str">
        <f>+UPPER('0. Instruções'!$D$34&amp;"."&amp;VLOOKUP(B395,'0. Instruções'!$C$27:$E$31,3,FALSE))</f>
        <v>BU_LOANTAPE_WORK.LT002_INSTRUMENT_P3_NOV24</v>
      </c>
      <c r="F395" s="41" t="s">
        <v>180</v>
      </c>
      <c r="G395" s="41" t="s">
        <v>13</v>
      </c>
      <c r="H395" s="41"/>
      <c r="I395" s="41" t="str">
        <f>"(SELECT "&amp;VLOOKUP(B395,'0. Instruções'!$C$27:$G$31,4,FALSE)&amp;", "&amp;F395&amp;" FROM "&amp;D395&amp;" WHERE "&amp;'0. Instruções'!$D$40&amp;")X"</f>
        <v>(SELECT instrmnt_id, IDCMB FROM BU_LOANTAPE_WORK.LT002_INSTRUMENT WHERE ref_date='${ref_date}' AND nome_perimetro='Individual Corporativo' AND segmento='ESTR' AND ambito='PILAR3')X</v>
      </c>
      <c r="J395" s="41" t="str">
        <f>"(SELECT "&amp;VLOOKUP(B395,'0. Instruções'!$C$27:$G$31,4,FALSE)&amp;" AS "&amp;VLOOKUP(B395,'0. Instruções'!$C$27:$G$31,4,FALSE)&amp;"_SIMUL, "&amp;F395&amp;" AS "&amp;F395&amp;"_SIMUL FROM "&amp;E395&amp;")Y"</f>
        <v>(SELECT instrmnt_id AS instrmnt_id_SIMUL, IDCMB AS IDCMB_SIMUL FROM BU_LOANTAPE_WORK.LT002_INSTRUMENT_P3_NOV24)Y</v>
      </c>
      <c r="K395" s="42" t="str">
        <f>+UPPER("ON X."&amp;VLOOKUP(B395,'0. Instruções'!$C$27:$G$31,4,FALSE)&amp;"=Y."&amp;VLOOKUP(B395,'0. Instruções'!$C$27:$G$31,4,FALSE)&amp;"_SIMUL")</f>
        <v>ON X.INSTRMNT_ID=Y.INSTRMNT_ID_SIMUL</v>
      </c>
      <c r="L395" s="42" t="str">
        <f>+IF(C395="Coerência", +IF(LEFT(G395,5)="FLOAT","SELECT '"&amp;UPPER(B395)&amp;"' AS TABELA, '"&amp;UPPER(C395)&amp;"' AS TIPOLOGIA_TESTE,'"&amp;D395&amp;"' AS TABELA_LT,'"&amp;E395&amp;"' AS TABELA_SIMUL,'"&amp;F395&amp;"' AS CAMPO, "&amp;"'${ref_date}' AS REF_DATE, COUNT(*) AS NUM_REG, SUM(IF((ABS(COALESCE(X."&amp;F395&amp;",0)-COALESCE(Y."&amp;F395&amp;"_SIMUL,0))&gt;0.0000000001) OR (X."&amp;F395&amp;" IS NULL AND Y."&amp;F395&amp;"_SIMUL IS NOT NULL ) OR (X."&amp;F395&amp;" IS NOT NULL AND Y."&amp;F395&amp;"_SIMUL IS NULL),1,0)) AS NUM_REG_DIF,'"&amp;MAX('ID1&amp;5'!K:K)+1&amp;"' AS ID_EXEC, CURRENT_TIMESTAMP() AS TIME_EXEC FROM "&amp;I395&amp;" INNER JOIN "&amp;J395&amp;" "&amp;K395,"SELECT '"&amp;UPPER(B395)&amp;"' AS TABELA, '"&amp;UPPER(C395)&amp;"' AS TIPOLOGIA_TESTE,'"&amp;D395&amp;"' AS TABELA_LT,'"&amp;E395&amp;"' AS TABELA_SIMUL,'"&amp;F395&amp;"' AS CAMPO, "&amp;"'${ref_date}' AS REF_DATE, COUNT(*) AS NUM_REG, SUM(IF(COALESCE(CAST(X."&amp;F395&amp;" AS STRING),'')&lt;&gt;COALESCE(CAST(Y."&amp;F395&amp;"_SIMUL AS STRING),''),1,0)) AS NUM_REG_DIF,'"&amp;MAX('ID1&amp;5'!L:L)+1&amp;"' AS ID_EXEC, CURRENT_TIMESTAMP() AS TIME_EXEC FROM "&amp;I395&amp;" INNER JOIN "&amp;J395&amp;" "&amp;K395),
IF(C395="Validade",+IF(G395="Code List","SELECT '"&amp;UPPER(B395)&amp;"' AS TABELA, '"&amp;UPPER(C395)&amp;"' AS TIPOLOGIA_TESTE,'"&amp;D395&amp;"' AS TABELA_LT,'N/A' AS TABELA_SIMUL,'"&amp;F395&amp;"' AS CAMPO, "&amp;"'${ref_date}' AS REF_DATE, COUNT(*) AS NUM_REG, SUM(IF(TRIM(CAST(X."&amp;F395&amp;" AS STRING))='' OR TRIM(CAST(X."&amp;F395&amp;" AS STRING)) IS NULL OR CAST(X."&amp;F395&amp;" AS STRING) NOT "&amp;H395&amp;",1,0)) AS NUM_REG_DIF,'"&amp;MAX('ID1&amp;5'!K:K)+1&amp;"' AS ID_EXEC, CURRENT_TIMESTAMP() AS TIME_EXEC FROM "&amp;I395,"SELECT '"&amp;UPPER(B395)&amp;"' AS TABELA, '"&amp;UPPER(C395)&amp;"' AS TIPOLOGIA_TESTE,'"&amp;D395&amp;"' AS TABELA_LT,'N/A' AS TABELA_SIMUL,'"&amp;F395&amp;"' AS CAMPO, "&amp;"'${ref_date}' AS REF_DATE, COUNT(*) AS NUM_REG, SUM(IF(TRIM(CAST(X."&amp;F395&amp;" AS STRING))='' OR TRIM(CAST(X."&amp;F395&amp;" AS STRING)) IS NULL,1,0)) AS NUM_REG_DIF,'"&amp;MAX('ID1&amp;5'!K:K)+1&amp;"' AS ID_EXEC, CURRENT_TIMESTAMP() AS TIME_EXEC FROM "&amp;I395),
IF(C395="Caracteres Especiais",+"SELECT '"&amp;UPPER(B395)&amp;"' AS TABELA, '"&amp;UPPER(C395)&amp;"' AS TIPOLOGIA_TESTE,'"&amp;D395&amp;"' AS TABELA_LT,'N/A' AS TABELA_SIMUL,'"&amp;F395&amp;"' AS CAMPO, "&amp;"'${ref_date}' AS REF_DATE, COUNT(*) AS NUM_REG, SUM(IF(INSTR(CAST(X."&amp;F395&amp;" AS STRING),'#')&gt;0 OR INSTR(CAST(X."&amp;F395&amp;" AS STRING),'*')&gt;0 OR INSTR(CAST(X."&amp;F395&amp;" AS STRING),'`')&gt;0 OR INSTR(CAST(X."&amp;F395&amp;" AS STRING),'´')&gt;0 OR INSTR(CAST(X."&amp;F395&amp;" AS STRING),'{')&gt;0 OR INSTR(CAST(X."&amp;F395&amp;" AS STRING),'}')&gt;0 OR INSTR(CAST(X."&amp;F395&amp;" AS STRING),'[')&gt;0 OR INSTR(CAST(X."&amp;F395&amp;" AS STRING),'')&gt;0 OR INSTR(CAST(X."&amp;F395&amp;" AS STRING),']')&gt;0 OR INSTR(CAST(X."&amp;F395&amp;" AS STRING),'?')&gt;0 OR INSTR(CAST(X."&amp;F395&amp;" AS STRING),'!')&gt;0 OR INSTR(CAST(X."&amp;F395&amp;" AS STRING),'$')&gt;0 OR INSTR(CAST(X."&amp;F395&amp;" AS STRING),'%')&gt;0 OR INSTR(CAST(X."&amp;F395&amp;" AS STRING),'&amp;')&gt;0 OR INSTR(CAST(X."&amp;F395&amp;" AS STRING),'+')&gt;0,1,0)) AS NUM_REG_DIF,'"&amp;MAX('ID1&amp;5'!K:K)+1&amp;"' AS ID_EXEC, CURRENT_TIMESTAMP() AS TIME_EXEC FROM "&amp;I395,
IF(C395="Missings",+"SELECT '"&amp;UPPER(B395)&amp;"' AS TABELA, '"&amp;UPPER(C395)&amp;"' AS TIPOLOGIA_TESTE,'"&amp;D395&amp;"' AS TABELA_LT,'N/A' AS TABELA_SIMUL,'"&amp;F395&amp;"' AS CAMPO, "&amp;"'${ref_date}' AS REF_DATE, COUNT(*) AS NUM_REG, SUM(IF(TRIM(CAST(X."&amp;F395&amp;" AS STRING)) IN ('0000-00-00','0001-01-01','9999-12-31','MISS','00000','99999999999','99999999999.00','99999999999.000000'),1,0)) AS NUM_REG_DIF,'"&amp;MAX('ID1&amp;5'!K:K)+1&amp;"' AS ID_EXEC, CURRENT_TIMESTAMP() AS TIME_EXEC FROM "&amp;I395,
IF(C395="Not applicable",+"SELECT '"&amp;UPPER(B395)&amp;"' AS TABELA, '"&amp;UPPER(C395)&amp;"' AS TIPOLOGIA_TESTE,'"&amp;D395&amp;"' AS TABELA_LT,'N/A' AS TABELA_SIMUL,'"&amp;F395&amp;"' AS CAMPO, "&amp;"'${ref_date}' AS REF_DATE, COUNT(*) AS NUM_REG, SUM(IF(TRIM(CAST(X."&amp;F395&amp;" AS STRING)) IN ('N/A','11111111111','11111111111.00','11111111111.000000','1111-11-11'),1,0)) AS NUM_REG_DIF,'"&amp;MAX('ID1&amp;5'!K:K)+1&amp;"' AS ID_EXEC, CURRENT_TIMESTAMP() AS TIME_EXEC FROM "&amp;I395,
IF(C395="Valores extremos",+"SELECT '"&amp;UPPER(B395)&amp;"' AS TABELA, '"&amp;UPPER(C395)&amp;"' AS TIPOLOGIA_TESTE,'"&amp;D395&amp;"' AS TABELA_LT,'N/A' AS TABELA_SIMUL,'"&amp;F395&amp;"' AS CAMPO, "&amp;"'${ref_date}' AS REF_DATE, CAST(MIN("&amp;F395&amp;") AS STRING) AS VALOR_MIN, CAST(MAX("&amp;F395&amp;") AS STRING) AS VALOR_MAX,'"&amp;MAX('ID1&amp;5'!K:K)+1&amp;"' AS ID_EXEC, CURRENT_TIMESTAMP() AS TIME_EXEC FROM "&amp;MID(I395,1,LEN(I395)-2)&amp;" AND CAST("&amp;F395&amp;" AS STRING) NOT IN ('0000-00-00','0001-01-01','9999-12-31','MISS','00000','99999999999','99999999999.00','99999999999.000000','N/A','11111111111','11111111111.00','11111111111.000000','1111-11-11'))X"))))))</f>
        <v>SELECT 'INSTRUMENT' AS TABELA, 'NOT APPLICABLE' AS TIPOLOGIA_TESTE,'BU_LOANTAPE_WORK.LT002_INSTRUMENT' AS TABELA_LT,'N/A' AS TABELA_SIMUL,'IDCMB' AS CAMPO, '${ref_date}' AS REF_DATE, COUNT(*) AS NUM_REG, SUM(IF(TRIM(CAST(X.IDCMB AS STRING)) IN ('N/A','11111111111','11111111111.00','11111111111.000000','1111-11-11'),1,0)) AS NUM_REG_DIF,'10' AS ID_EXEC, CURRENT_TIMESTAMP() AS TIME_EXEC FROM (SELECT instrmnt_id, IDCMB FROM BU_LOANTAPE_WORK.LT002_INSTRUMENT WHERE ref_date='${ref_date}' AND nome_perimetro='Individual Corporativo' AND segmento='ESTR' AND ambito='PILAR3')X</v>
      </c>
      <c r="M395" s="43" t="str">
        <f t="shared" si="6"/>
        <v>UNION ALL SELECT 'INSTRUMENT' AS TABELA, 'NOT APPLICABLE' AS TIPOLOGIA_TESTE,'BU_LOANTAPE_WORK.LT002_INSTRUMENT' AS TABELA_LT,'N/A' AS TABELA_SIMUL,'IDCMB' AS CAMPO, '${ref_date}' AS REF_DATE, COUNT(*) AS NUM_REG, SUM(IF(TRIM(CAST(X.IDCMB AS STRING)) IN ('N/A','11111111111','11111111111.00','11111111111.000000','1111-11-11'),1,0)) AS NUM_REG_DIF,'10' AS ID_EXEC, CURRENT_TIMESTAMP() AS TIME_EXEC FROM (SELECT instrmnt_id, IDCMB FROM BU_LOANTAPE_WORK.LT002_INSTRUMENT WHERE ref_date='${ref_date}' AND nome_perimetro='Individual Corporativo' AND segmento='ESTR' AND ambito='PILAR3')X</v>
      </c>
      <c r="N395" s="45" t="s">
        <v>13</v>
      </c>
    </row>
    <row r="396" spans="2:14">
      <c r="B396" s="41" t="s">
        <v>23</v>
      </c>
      <c r="C396" s="41" t="s">
        <v>78</v>
      </c>
      <c r="D396" s="41" t="str">
        <f>+UPPER('0. Instruções'!$D$33&amp;"."&amp;VLOOKUP(B396,'0. Instruções'!$C$27:$D$31,2,FALSE))</f>
        <v>BU_LOANTAPE_WORK.LT003_ENTITY</v>
      </c>
      <c r="E396" s="41" t="str">
        <f>+UPPER('0. Instruções'!$D$34&amp;"."&amp;VLOOKUP(B396,'0. Instruções'!$C$27:$E$31,3,FALSE))</f>
        <v>BU_LOANTAPE_WORK.LT003_ENTTY_P3_NOV24</v>
      </c>
      <c r="F396" s="41" t="s">
        <v>99</v>
      </c>
      <c r="G396" s="41" t="s">
        <v>209</v>
      </c>
      <c r="H396" s="41"/>
      <c r="I396" s="41" t="str">
        <f>"(SELECT "&amp;VLOOKUP(B396,'0. Instruções'!$C$27:$G$31,4,FALSE)&amp;", "&amp;F396&amp;" FROM "&amp;D396&amp;" WHERE "&amp;'0. Instruções'!$D$40&amp;")X"</f>
        <v>(SELECT entty_id, NACE_ESG FROM BU_LOANTAPE_WORK.LT003_ENTITY WHERE ref_date='${ref_date}' AND nome_perimetro='Individual Corporativo' AND segmento='ESTR' AND ambito='PILAR3')X</v>
      </c>
      <c r="J396" s="41" t="str">
        <f>"(SELECT "&amp;VLOOKUP(B396,'0. Instruções'!$C$27:$G$31,4,FALSE)&amp;" AS "&amp;VLOOKUP(B396,'0. Instruções'!$C$27:$G$31,4,FALSE)&amp;"_SIMUL, "&amp;F396&amp;" AS "&amp;F396&amp;"_SIMUL FROM "&amp;E396&amp;")Y"</f>
        <v>(SELECT entty_id AS entty_id_SIMUL, NACE_ESG AS NACE_ESG_SIMUL FROM BU_LOANTAPE_WORK.LT003_ENTTY_P3_NOV24)Y</v>
      </c>
      <c r="K396" s="42" t="str">
        <f>+UPPER("ON X."&amp;VLOOKUP(B396,'0. Instruções'!$C$27:$G$31,4,FALSE)&amp;"=Y."&amp;VLOOKUP(B396,'0. Instruções'!$C$27:$G$31,4,FALSE)&amp;"_SIMUL")</f>
        <v>ON X.ENTTY_ID=Y.ENTTY_ID_SIMUL</v>
      </c>
      <c r="L396" s="42" t="str">
        <f>+IF(C396="Coerência", +IF(LEFT(G396,5)="FLOAT","SELECT '"&amp;UPPER(B396)&amp;"' AS TABELA, '"&amp;UPPER(C396)&amp;"' AS TIPOLOGIA_TESTE,'"&amp;D396&amp;"' AS TABELA_LT,'"&amp;E396&amp;"' AS TABELA_SIMUL,'"&amp;F396&amp;"' AS CAMPO, "&amp;"'${ref_date}' AS REF_DATE, COUNT(*) AS NUM_REG, SUM(IF((ABS(COALESCE(X."&amp;F396&amp;",0)-COALESCE(Y."&amp;F396&amp;"_SIMUL,0))&gt;0.0000000001) OR (X."&amp;F396&amp;" IS NULL AND Y."&amp;F396&amp;"_SIMUL IS NOT NULL ) OR (X."&amp;F396&amp;" IS NOT NULL AND Y."&amp;F396&amp;"_SIMUL IS NULL),1,0)) AS NUM_REG_DIF,'"&amp;MAX('ID1&amp;5'!K:K)+1&amp;"' AS ID_EXEC, CURRENT_TIMESTAMP() AS TIME_EXEC FROM "&amp;I396&amp;" INNER JOIN "&amp;J396&amp;" "&amp;K396,"SELECT '"&amp;UPPER(B396)&amp;"' AS TABELA, '"&amp;UPPER(C396)&amp;"' AS TIPOLOGIA_TESTE,'"&amp;D396&amp;"' AS TABELA_LT,'"&amp;E396&amp;"' AS TABELA_SIMUL,'"&amp;F396&amp;"' AS CAMPO, "&amp;"'${ref_date}' AS REF_DATE, COUNT(*) AS NUM_REG, SUM(IF(COALESCE(CAST(X."&amp;F396&amp;" AS STRING),'')&lt;&gt;COALESCE(CAST(Y."&amp;F396&amp;"_SIMUL AS STRING),''),1,0)) AS NUM_REG_DIF,'"&amp;MAX('ID1&amp;5'!L:L)+1&amp;"' AS ID_EXEC, CURRENT_TIMESTAMP() AS TIME_EXEC FROM "&amp;I396&amp;" INNER JOIN "&amp;J396&amp;" "&amp;K396),
IF(C396="Validade",+IF(G396="Code List","SELECT '"&amp;UPPER(B396)&amp;"' AS TABELA, '"&amp;UPPER(C396)&amp;"' AS TIPOLOGIA_TESTE,'"&amp;D396&amp;"' AS TABELA_LT,'N/A' AS TABELA_SIMUL,'"&amp;F396&amp;"' AS CAMPO, "&amp;"'${ref_date}' AS REF_DATE, COUNT(*) AS NUM_REG, SUM(IF(TRIM(CAST(X."&amp;F396&amp;" AS STRING))='' OR TRIM(CAST(X."&amp;F396&amp;" AS STRING)) IS NULL OR CAST(X."&amp;F396&amp;" AS STRING) NOT "&amp;H396&amp;",1,0)) AS NUM_REG_DIF,'"&amp;MAX('ID1&amp;5'!K:K)+1&amp;"' AS ID_EXEC, CURRENT_TIMESTAMP() AS TIME_EXEC FROM "&amp;I396,"SELECT '"&amp;UPPER(B396)&amp;"' AS TABELA, '"&amp;UPPER(C396)&amp;"' AS TIPOLOGIA_TESTE,'"&amp;D396&amp;"' AS TABELA_LT,'N/A' AS TABELA_SIMUL,'"&amp;F396&amp;"' AS CAMPO, "&amp;"'${ref_date}' AS REF_DATE, COUNT(*) AS NUM_REG, SUM(IF(TRIM(CAST(X."&amp;F396&amp;" AS STRING))='' OR TRIM(CAST(X."&amp;F396&amp;" AS STRING)) IS NULL,1,0)) AS NUM_REG_DIF,'"&amp;MAX('ID1&amp;5'!K:K)+1&amp;"' AS ID_EXEC, CURRENT_TIMESTAMP() AS TIME_EXEC FROM "&amp;I396),
IF(C396="Caracteres Especiais",+"SELECT '"&amp;UPPER(B396)&amp;"' AS TABELA, '"&amp;UPPER(C396)&amp;"' AS TIPOLOGIA_TESTE,'"&amp;D396&amp;"' AS TABELA_LT,'N/A' AS TABELA_SIMUL,'"&amp;F396&amp;"' AS CAMPO, "&amp;"'${ref_date}' AS REF_DATE, COUNT(*) AS NUM_REG, SUM(IF(INSTR(CAST(X."&amp;F396&amp;" AS STRING),'#')&gt;0 OR INSTR(CAST(X."&amp;F396&amp;" AS STRING),'*')&gt;0 OR INSTR(CAST(X."&amp;F396&amp;" AS STRING),'`')&gt;0 OR INSTR(CAST(X."&amp;F396&amp;" AS STRING),'´')&gt;0 OR INSTR(CAST(X."&amp;F396&amp;" AS STRING),'{')&gt;0 OR INSTR(CAST(X."&amp;F396&amp;" AS STRING),'}')&gt;0 OR INSTR(CAST(X."&amp;F396&amp;" AS STRING),'[')&gt;0 OR INSTR(CAST(X."&amp;F396&amp;" AS STRING),'')&gt;0 OR INSTR(CAST(X."&amp;F396&amp;" AS STRING),']')&gt;0 OR INSTR(CAST(X."&amp;F396&amp;" AS STRING),'?')&gt;0 OR INSTR(CAST(X."&amp;F396&amp;" AS STRING),'!')&gt;0 OR INSTR(CAST(X."&amp;F396&amp;" AS STRING),'$')&gt;0 OR INSTR(CAST(X."&amp;F396&amp;" AS STRING),'%')&gt;0 OR INSTR(CAST(X."&amp;F396&amp;" AS STRING),'&amp;')&gt;0 OR INSTR(CAST(X."&amp;F396&amp;" AS STRING),'+')&gt;0,1,0)) AS NUM_REG_DIF,'"&amp;MAX('ID1&amp;5'!K:K)+1&amp;"' AS ID_EXEC, CURRENT_TIMESTAMP() AS TIME_EXEC FROM "&amp;I396,
IF(C396="Missings",+"SELECT '"&amp;UPPER(B396)&amp;"' AS TABELA, '"&amp;UPPER(C396)&amp;"' AS TIPOLOGIA_TESTE,'"&amp;D396&amp;"' AS TABELA_LT,'N/A' AS TABELA_SIMUL,'"&amp;F396&amp;"' AS CAMPO, "&amp;"'${ref_date}' AS REF_DATE, COUNT(*) AS NUM_REG, SUM(IF(TRIM(CAST(X."&amp;F396&amp;" AS STRING)) IN ('0000-00-00','0001-01-01','9999-12-31','MISS','00000','99999999999','99999999999.00','99999999999.000000'),1,0)) AS NUM_REG_DIF,'"&amp;MAX('ID1&amp;5'!K:K)+1&amp;"' AS ID_EXEC, CURRENT_TIMESTAMP() AS TIME_EXEC FROM "&amp;I396,
IF(C396="Not applicable",+"SELECT '"&amp;UPPER(B396)&amp;"' AS TABELA, '"&amp;UPPER(C396)&amp;"' AS TIPOLOGIA_TESTE,'"&amp;D396&amp;"' AS TABELA_LT,'N/A' AS TABELA_SIMUL,'"&amp;F396&amp;"' AS CAMPO, "&amp;"'${ref_date}' AS REF_DATE, COUNT(*) AS NUM_REG, SUM(IF(TRIM(CAST(X."&amp;F396&amp;" AS STRING)) IN ('N/A','11111111111','11111111111.00','11111111111.000000','1111-11-11'),1,0)) AS NUM_REG_DIF,'"&amp;MAX('ID1&amp;5'!K:K)+1&amp;"' AS ID_EXEC, CURRENT_TIMESTAMP() AS TIME_EXEC FROM "&amp;I396,
IF(C396="Valores extremos",+"SELECT '"&amp;UPPER(B396)&amp;"' AS TABELA, '"&amp;UPPER(C396)&amp;"' AS TIPOLOGIA_TESTE,'"&amp;D396&amp;"' AS TABELA_LT,'N/A' AS TABELA_SIMUL,'"&amp;F396&amp;"' AS CAMPO, "&amp;"'${ref_date}' AS REF_DATE, CAST(MIN("&amp;F396&amp;") AS STRING) AS VALOR_MIN, CAST(MAX("&amp;F396&amp;") AS STRING) AS VALOR_MAX,'"&amp;MAX('ID1&amp;5'!K:K)+1&amp;"' AS ID_EXEC, CURRENT_TIMESTAMP() AS TIME_EXEC FROM "&amp;MID(I396,1,LEN(I396)-2)&amp;" AND CAST("&amp;F396&amp;"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TABELA_SIMUL,'NACE_ESG' AS CAMPO, '${ref_date}' AS REF_DATE, COUNT(*) AS NUM_REG, SUM(IF(TRIM(CAST(X.NACE_ESG AS STRING)) IN ('N/A','11111111111','11111111111.00','11111111111.000000','1111-11-11'),1,0)) AS NUM_REG_DIF,'10' AS ID_EXEC, CURRENT_TIMESTAMP() AS TIME_EXEC FROM (SELECT entty_id, NACE_ESG FROM BU_LOANTAPE_WORK.LT003_ENTITY WHERE ref_date='${ref_date}' AND nome_perimetro='Individual Corporativo' AND segmento='ESTR' AND ambito='PILAR3')X</v>
      </c>
      <c r="M396" s="43" t="str">
        <f t="shared" si="6"/>
        <v>UNION ALL SELECT 'ENTITY' AS TABELA, 'NOT APPLICABLE' AS TIPOLOGIA_TESTE,'BU_LOANTAPE_WORK.LT003_ENTITY' AS TABELA_LT,'N/A' AS TABELA_SIMUL,'NACE_ESG' AS CAMPO, '${ref_date}' AS REF_DATE, COUNT(*) AS NUM_REG, SUM(IF(TRIM(CAST(X.NACE_ESG AS STRING)) IN ('N/A','11111111111','11111111111.00','11111111111.000000','1111-11-11'),1,0)) AS NUM_REG_DIF,'10' AS ID_EXEC, CURRENT_TIMESTAMP() AS TIME_EXEC FROM (SELECT entty_id, NACE_ESG FROM BU_LOANTAPE_WORK.LT003_ENTITY WHERE ref_date='${ref_date}' AND nome_perimetro='Individual Corporativo' AND segmento='ESTR' AND ambito='PILAR3')X</v>
      </c>
      <c r="N396" s="45" t="s">
        <v>13</v>
      </c>
    </row>
    <row r="397" spans="2:14">
      <c r="B397" s="41" t="s">
        <v>23</v>
      </c>
      <c r="C397" s="41" t="s">
        <v>78</v>
      </c>
      <c r="D397" s="41" t="str">
        <f>+UPPER('0. Instruções'!$D$33&amp;"."&amp;VLOOKUP(B397,'0. Instruções'!$C$27:$D$31,2,FALSE))</f>
        <v>BU_LOANTAPE_WORK.LT003_ENTITY</v>
      </c>
      <c r="E397" s="41" t="str">
        <f>+UPPER('0. Instruções'!$D$34&amp;"."&amp;VLOOKUP(B397,'0. Instruções'!$C$27:$E$31,3,FALSE))</f>
        <v>BU_LOANTAPE_WORK.LT003_ENTTY_P3_NOV24</v>
      </c>
      <c r="F397" s="41" t="s">
        <v>100</v>
      </c>
      <c r="G397" s="41" t="s">
        <v>210</v>
      </c>
      <c r="H397" s="41"/>
      <c r="I397" s="41" t="str">
        <f>"(SELECT "&amp;VLOOKUP(B397,'0. Instruções'!$C$27:$G$31,4,FALSE)&amp;", "&amp;F397&amp;" FROM "&amp;D397&amp;" WHERE "&amp;'0. Instruções'!$D$40&amp;")X"</f>
        <v>(SELECT entty_id, TXNMY_ELGBL_CAPEX_CCM FROM BU_LOANTAPE_WORK.LT003_ENTITY WHERE ref_date='${ref_date}' AND nome_perimetro='Individual Corporativo' AND segmento='ESTR' AND ambito='PILAR3')X</v>
      </c>
      <c r="J397" s="41" t="str">
        <f>"(SELECT "&amp;VLOOKUP(B397,'0. Instruções'!$C$27:$G$31,4,FALSE)&amp;" AS "&amp;VLOOKUP(B397,'0. Instruções'!$C$27:$G$31,4,FALSE)&amp;"_SIMUL, "&amp;F397&amp;" AS "&amp;F397&amp;"_SIMUL FROM "&amp;E397&amp;")Y"</f>
        <v>(SELECT entty_id AS entty_id_SIMUL, TXNMY_ELGBL_CAPEX_CCM AS TXNMY_ELGBL_CAPEX_CCM_SIMUL FROM BU_LOANTAPE_WORK.LT003_ENTTY_P3_NOV24)Y</v>
      </c>
      <c r="K397" s="42" t="str">
        <f>+UPPER("ON X."&amp;VLOOKUP(B397,'0. Instruções'!$C$27:$G$31,4,FALSE)&amp;"=Y."&amp;VLOOKUP(B397,'0. Instruções'!$C$27:$G$31,4,FALSE)&amp;"_SIMUL")</f>
        <v>ON X.ENTTY_ID=Y.ENTTY_ID_SIMUL</v>
      </c>
      <c r="L397" s="42" t="str">
        <f>+IF(C397="Coerência", +IF(LEFT(G397,5)="FLOAT","SELECT '"&amp;UPPER(B397)&amp;"' AS TABELA, '"&amp;UPPER(C397)&amp;"' AS TIPOLOGIA_TESTE,'"&amp;D397&amp;"' AS TABELA_LT,'"&amp;E397&amp;"' AS TABELA_SIMUL,'"&amp;F397&amp;"' AS CAMPO, "&amp;"'${ref_date}' AS REF_DATE, COUNT(*) AS NUM_REG, SUM(IF((ABS(COALESCE(X."&amp;F397&amp;",0)-COALESCE(Y."&amp;F397&amp;"_SIMUL,0))&gt;0.0000000001) OR (X."&amp;F397&amp;" IS NULL AND Y."&amp;F397&amp;"_SIMUL IS NOT NULL ) OR (X."&amp;F397&amp;" IS NOT NULL AND Y."&amp;F397&amp;"_SIMUL IS NULL),1,0)) AS NUM_REG_DIF,'"&amp;MAX('ID1&amp;5'!K:K)+1&amp;"' AS ID_EXEC, CURRENT_TIMESTAMP() AS TIME_EXEC FROM "&amp;I397&amp;" INNER JOIN "&amp;J397&amp;" "&amp;K397,"SELECT '"&amp;UPPER(B397)&amp;"' AS TABELA, '"&amp;UPPER(C397)&amp;"' AS TIPOLOGIA_TESTE,'"&amp;D397&amp;"' AS TABELA_LT,'"&amp;E397&amp;"' AS TABELA_SIMUL,'"&amp;F397&amp;"' AS CAMPO, "&amp;"'${ref_date}' AS REF_DATE, COUNT(*) AS NUM_REG, SUM(IF(COALESCE(CAST(X."&amp;F397&amp;" AS STRING),'')&lt;&gt;COALESCE(CAST(Y."&amp;F397&amp;"_SIMUL AS STRING),''),1,0)) AS NUM_REG_DIF,'"&amp;MAX('ID1&amp;5'!L:L)+1&amp;"' AS ID_EXEC, CURRENT_TIMESTAMP() AS TIME_EXEC FROM "&amp;I397&amp;" INNER JOIN "&amp;J397&amp;" "&amp;K397),
IF(C397="Validade",+IF(G397="Code List","SELECT '"&amp;UPPER(B397)&amp;"' AS TABELA, '"&amp;UPPER(C397)&amp;"' AS TIPOLOGIA_TESTE,'"&amp;D397&amp;"' AS TABELA_LT,'N/A' AS TABELA_SIMUL,'"&amp;F397&amp;"' AS CAMPO, "&amp;"'${ref_date}' AS REF_DATE, COUNT(*) AS NUM_REG, SUM(IF(TRIM(CAST(X."&amp;F397&amp;" AS STRING))='' OR TRIM(CAST(X."&amp;F397&amp;" AS STRING)) IS NULL OR CAST(X."&amp;F397&amp;" AS STRING) NOT "&amp;H397&amp;",1,0)) AS NUM_REG_DIF,'"&amp;MAX('ID1&amp;5'!K:K)+1&amp;"' AS ID_EXEC, CURRENT_TIMESTAMP() AS TIME_EXEC FROM "&amp;I397,"SELECT '"&amp;UPPER(B397)&amp;"' AS TABELA, '"&amp;UPPER(C397)&amp;"' AS TIPOLOGIA_TESTE,'"&amp;D397&amp;"' AS TABELA_LT,'N/A' AS TABELA_SIMUL,'"&amp;F397&amp;"' AS CAMPO, "&amp;"'${ref_date}' AS REF_DATE, COUNT(*) AS NUM_REG, SUM(IF(TRIM(CAST(X."&amp;F397&amp;" AS STRING))='' OR TRIM(CAST(X."&amp;F397&amp;" AS STRING)) IS NULL,1,0)) AS NUM_REG_DIF,'"&amp;MAX('ID1&amp;5'!K:K)+1&amp;"' AS ID_EXEC, CURRENT_TIMESTAMP() AS TIME_EXEC FROM "&amp;I397),
IF(C397="Caracteres Especiais",+"SELECT '"&amp;UPPER(B397)&amp;"' AS TABELA, '"&amp;UPPER(C397)&amp;"' AS TIPOLOGIA_TESTE,'"&amp;D397&amp;"' AS TABELA_LT,'N/A' AS TABELA_SIMUL,'"&amp;F397&amp;"' AS CAMPO, "&amp;"'${ref_date}' AS REF_DATE, COUNT(*) AS NUM_REG, SUM(IF(INSTR(CAST(X."&amp;F397&amp;" AS STRING),'#')&gt;0 OR INSTR(CAST(X."&amp;F397&amp;" AS STRING),'*')&gt;0 OR INSTR(CAST(X."&amp;F397&amp;" AS STRING),'`')&gt;0 OR INSTR(CAST(X."&amp;F397&amp;" AS STRING),'´')&gt;0 OR INSTR(CAST(X."&amp;F397&amp;" AS STRING),'{')&gt;0 OR INSTR(CAST(X."&amp;F397&amp;" AS STRING),'}')&gt;0 OR INSTR(CAST(X."&amp;F397&amp;" AS STRING),'[')&gt;0 OR INSTR(CAST(X."&amp;F397&amp;" AS STRING),'')&gt;0 OR INSTR(CAST(X."&amp;F397&amp;" AS STRING),']')&gt;0 OR INSTR(CAST(X."&amp;F397&amp;" AS STRING),'?')&gt;0 OR INSTR(CAST(X."&amp;F397&amp;" AS STRING),'!')&gt;0 OR INSTR(CAST(X."&amp;F397&amp;" AS STRING),'$')&gt;0 OR INSTR(CAST(X."&amp;F397&amp;" AS STRING),'%')&gt;0 OR INSTR(CAST(X."&amp;F397&amp;" AS STRING),'&amp;')&gt;0 OR INSTR(CAST(X."&amp;F397&amp;" AS STRING),'+')&gt;0,1,0)) AS NUM_REG_DIF,'"&amp;MAX('ID1&amp;5'!K:K)+1&amp;"' AS ID_EXEC, CURRENT_TIMESTAMP() AS TIME_EXEC FROM "&amp;I397,
IF(C397="Missings",+"SELECT '"&amp;UPPER(B397)&amp;"' AS TABELA, '"&amp;UPPER(C397)&amp;"' AS TIPOLOGIA_TESTE,'"&amp;D397&amp;"' AS TABELA_LT,'N/A' AS TABELA_SIMUL,'"&amp;F397&amp;"' AS CAMPO, "&amp;"'${ref_date}' AS REF_DATE, COUNT(*) AS NUM_REG, SUM(IF(TRIM(CAST(X."&amp;F397&amp;" AS STRING)) IN ('0000-00-00','0001-01-01','9999-12-31','MISS','00000','99999999999','99999999999.00','99999999999.000000'),1,0)) AS NUM_REG_DIF,'"&amp;MAX('ID1&amp;5'!K:K)+1&amp;"' AS ID_EXEC, CURRENT_TIMESTAMP() AS TIME_EXEC FROM "&amp;I397,
IF(C397="Not applicable",+"SELECT '"&amp;UPPER(B397)&amp;"' AS TABELA, '"&amp;UPPER(C397)&amp;"' AS TIPOLOGIA_TESTE,'"&amp;D397&amp;"' AS TABELA_LT,'N/A' AS TABELA_SIMUL,'"&amp;F397&amp;"' AS CAMPO, "&amp;"'${ref_date}' AS REF_DATE, COUNT(*) AS NUM_REG, SUM(IF(TRIM(CAST(X."&amp;F397&amp;" AS STRING)) IN ('N/A','11111111111','11111111111.00','11111111111.000000','1111-11-11'),1,0)) AS NUM_REG_DIF,'"&amp;MAX('ID1&amp;5'!K:K)+1&amp;"' AS ID_EXEC, CURRENT_TIMESTAMP() AS TIME_EXEC FROM "&amp;I397,
IF(C397="Valores extremos",+"SELECT '"&amp;UPPER(B397)&amp;"' AS TABELA, '"&amp;UPPER(C397)&amp;"' AS TIPOLOGIA_TESTE,'"&amp;D397&amp;"' AS TABELA_LT,'N/A' AS TABELA_SIMUL,'"&amp;F397&amp;"' AS CAMPO, "&amp;"'${ref_date}' AS REF_DATE, CAST(MIN("&amp;F397&amp;") AS STRING) AS VALOR_MIN, CAST(MAX("&amp;F397&amp;") AS STRING) AS VALOR_MAX,'"&amp;MAX('ID1&amp;5'!K:K)+1&amp;"' AS ID_EXEC, CURRENT_TIMESTAMP() AS TIME_EXEC FROM "&amp;MID(I397,1,LEN(I397)-2)&amp;" AND CAST("&amp;F397&amp;"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TABELA_SIMUL,'TXNMY_ELGBL_CAPEX_CCM' AS CAMPO, '${ref_date}' AS REF_DATE, COUNT(*) AS NUM_REG, SUM(IF(TRIM(CAST(X.TXNMY_ELGBL_CAPEX_CCM AS STRING)) IN ('N/A','11111111111','11111111111.00','11111111111.000000','1111-11-11'),1,0)) AS NUM_REG_DIF,'10' AS ID_EXEC, CURRENT_TIMESTAMP() AS TIME_EXEC FROM (SELECT entty_id, TXNMY_ELGBL_CAPEX_CCM FROM BU_LOANTAPE_WORK.LT003_ENTITY WHERE ref_date='${ref_date}' AND nome_perimetro='Individual Corporativo' AND segmento='ESTR' AND ambito='PILAR3')X</v>
      </c>
      <c r="M397" s="43" t="str">
        <f t="shared" si="6"/>
        <v>UNION ALL SELECT 'ENTITY' AS TABELA, 'NOT APPLICABLE' AS TIPOLOGIA_TESTE,'BU_LOANTAPE_WORK.LT003_ENTITY' AS TABELA_LT,'N/A' AS TABELA_SIMUL,'TXNMY_ELGBL_CAPEX_CCM' AS CAMPO, '${ref_date}' AS REF_DATE, COUNT(*) AS NUM_REG, SUM(IF(TRIM(CAST(X.TXNMY_ELGBL_CAPEX_CCM AS STRING)) IN ('N/A','11111111111','11111111111.00','11111111111.000000','1111-11-11'),1,0)) AS NUM_REG_DIF,'10' AS ID_EXEC, CURRENT_TIMESTAMP() AS TIME_EXEC FROM (SELECT entty_id, TXNMY_ELGBL_CAPEX_CCM FROM BU_LOANTAPE_WORK.LT003_ENTITY WHERE ref_date='${ref_date}' AND nome_perimetro='Individual Corporativo' AND segmento='ESTR' AND ambito='PILAR3')X</v>
      </c>
      <c r="N397" s="45" t="s">
        <v>13</v>
      </c>
    </row>
    <row r="398" spans="2:14">
      <c r="B398" s="41" t="s">
        <v>23</v>
      </c>
      <c r="C398" s="41" t="s">
        <v>78</v>
      </c>
      <c r="D398" s="41" t="str">
        <f>+UPPER('0. Instruções'!$D$33&amp;"."&amp;VLOOKUP(B398,'0. Instruções'!$C$27:$D$31,2,FALSE))</f>
        <v>BU_LOANTAPE_WORK.LT003_ENTITY</v>
      </c>
      <c r="E398" s="41" t="str">
        <f>+UPPER('0. Instruções'!$D$34&amp;"."&amp;VLOOKUP(B398,'0. Instruções'!$C$27:$E$31,3,FALSE))</f>
        <v>BU_LOANTAPE_WORK.LT003_ENTTY_P3_NOV24</v>
      </c>
      <c r="F398" s="41" t="s">
        <v>101</v>
      </c>
      <c r="G398" s="41" t="s">
        <v>210</v>
      </c>
      <c r="H398" s="41"/>
      <c r="I398" s="41" t="str">
        <f>"(SELECT "&amp;VLOOKUP(B398,'0. Instruções'!$C$27:$G$31,4,FALSE)&amp;", "&amp;F398&amp;" FROM "&amp;D398&amp;" WHERE "&amp;'0. Instruções'!$D$40&amp;")X"</f>
        <v>(SELECT entty_id, TXNMY_ELGBL_TRNVR_CCM FROM BU_LOANTAPE_WORK.LT003_ENTITY WHERE ref_date='${ref_date}' AND nome_perimetro='Individual Corporativo' AND segmento='ESTR' AND ambito='PILAR3')X</v>
      </c>
      <c r="J398" s="41" t="str">
        <f>"(SELECT "&amp;VLOOKUP(B398,'0. Instruções'!$C$27:$G$31,4,FALSE)&amp;" AS "&amp;VLOOKUP(B398,'0. Instruções'!$C$27:$G$31,4,FALSE)&amp;"_SIMUL, "&amp;F398&amp;" AS "&amp;F398&amp;"_SIMUL FROM "&amp;E398&amp;")Y"</f>
        <v>(SELECT entty_id AS entty_id_SIMUL, TXNMY_ELGBL_TRNVR_CCM AS TXNMY_ELGBL_TRNVR_CCM_SIMUL FROM BU_LOANTAPE_WORK.LT003_ENTTY_P3_NOV24)Y</v>
      </c>
      <c r="K398" s="42" t="str">
        <f>+UPPER("ON X."&amp;VLOOKUP(B398,'0. Instruções'!$C$27:$G$31,4,FALSE)&amp;"=Y."&amp;VLOOKUP(B398,'0. Instruções'!$C$27:$G$31,4,FALSE)&amp;"_SIMUL")</f>
        <v>ON X.ENTTY_ID=Y.ENTTY_ID_SIMUL</v>
      </c>
      <c r="L398" s="42" t="str">
        <f>+IF(C398="Coerência", +IF(LEFT(G398,5)="FLOAT","SELECT '"&amp;UPPER(B398)&amp;"' AS TABELA, '"&amp;UPPER(C398)&amp;"' AS TIPOLOGIA_TESTE,'"&amp;D398&amp;"' AS TABELA_LT,'"&amp;E398&amp;"' AS TABELA_SIMUL,'"&amp;F398&amp;"' AS CAMPO, "&amp;"'${ref_date}' AS REF_DATE, COUNT(*) AS NUM_REG, SUM(IF((ABS(COALESCE(X."&amp;F398&amp;",0)-COALESCE(Y."&amp;F398&amp;"_SIMUL,0))&gt;0.0000000001) OR (X."&amp;F398&amp;" IS NULL AND Y."&amp;F398&amp;"_SIMUL IS NOT NULL ) OR (X."&amp;F398&amp;" IS NOT NULL AND Y."&amp;F398&amp;"_SIMUL IS NULL),1,0)) AS NUM_REG_DIF,'"&amp;MAX('ID1&amp;5'!K:K)+1&amp;"' AS ID_EXEC, CURRENT_TIMESTAMP() AS TIME_EXEC FROM "&amp;I398&amp;" INNER JOIN "&amp;J398&amp;" "&amp;K398,"SELECT '"&amp;UPPER(B398)&amp;"' AS TABELA, '"&amp;UPPER(C398)&amp;"' AS TIPOLOGIA_TESTE,'"&amp;D398&amp;"' AS TABELA_LT,'"&amp;E398&amp;"' AS TABELA_SIMUL,'"&amp;F398&amp;"' AS CAMPO, "&amp;"'${ref_date}' AS REF_DATE, COUNT(*) AS NUM_REG, SUM(IF(COALESCE(CAST(X."&amp;F398&amp;" AS STRING),'')&lt;&gt;COALESCE(CAST(Y."&amp;F398&amp;"_SIMUL AS STRING),''),1,0)) AS NUM_REG_DIF,'"&amp;MAX('ID1&amp;5'!L:L)+1&amp;"' AS ID_EXEC, CURRENT_TIMESTAMP() AS TIME_EXEC FROM "&amp;I398&amp;" INNER JOIN "&amp;J398&amp;" "&amp;K398),
IF(C398="Validade",+IF(G398="Code List","SELECT '"&amp;UPPER(B398)&amp;"' AS TABELA, '"&amp;UPPER(C398)&amp;"' AS TIPOLOGIA_TESTE,'"&amp;D398&amp;"' AS TABELA_LT,'N/A' AS TABELA_SIMUL,'"&amp;F398&amp;"' AS CAMPO, "&amp;"'${ref_date}' AS REF_DATE, COUNT(*) AS NUM_REG, SUM(IF(TRIM(CAST(X."&amp;F398&amp;" AS STRING))='' OR TRIM(CAST(X."&amp;F398&amp;" AS STRING)) IS NULL OR CAST(X."&amp;F398&amp;" AS STRING) NOT "&amp;H398&amp;",1,0)) AS NUM_REG_DIF,'"&amp;MAX('ID1&amp;5'!K:K)+1&amp;"' AS ID_EXEC, CURRENT_TIMESTAMP() AS TIME_EXEC FROM "&amp;I398,"SELECT '"&amp;UPPER(B398)&amp;"' AS TABELA, '"&amp;UPPER(C398)&amp;"' AS TIPOLOGIA_TESTE,'"&amp;D398&amp;"' AS TABELA_LT,'N/A' AS TABELA_SIMUL,'"&amp;F398&amp;"' AS CAMPO, "&amp;"'${ref_date}' AS REF_DATE, COUNT(*) AS NUM_REG, SUM(IF(TRIM(CAST(X."&amp;F398&amp;" AS STRING))='' OR TRIM(CAST(X."&amp;F398&amp;" AS STRING)) IS NULL,1,0)) AS NUM_REG_DIF,'"&amp;MAX('ID1&amp;5'!K:K)+1&amp;"' AS ID_EXEC, CURRENT_TIMESTAMP() AS TIME_EXEC FROM "&amp;I398),
IF(C398="Caracteres Especiais",+"SELECT '"&amp;UPPER(B398)&amp;"' AS TABELA, '"&amp;UPPER(C398)&amp;"' AS TIPOLOGIA_TESTE,'"&amp;D398&amp;"' AS TABELA_LT,'N/A' AS TABELA_SIMUL,'"&amp;F398&amp;"' AS CAMPO, "&amp;"'${ref_date}' AS REF_DATE, COUNT(*) AS NUM_REG, SUM(IF(INSTR(CAST(X."&amp;F398&amp;" AS STRING),'#')&gt;0 OR INSTR(CAST(X."&amp;F398&amp;" AS STRING),'*')&gt;0 OR INSTR(CAST(X."&amp;F398&amp;" AS STRING),'`')&gt;0 OR INSTR(CAST(X."&amp;F398&amp;" AS STRING),'´')&gt;0 OR INSTR(CAST(X."&amp;F398&amp;" AS STRING),'{')&gt;0 OR INSTR(CAST(X."&amp;F398&amp;" AS STRING),'}')&gt;0 OR INSTR(CAST(X."&amp;F398&amp;" AS STRING),'[')&gt;0 OR INSTR(CAST(X."&amp;F398&amp;" AS STRING),'')&gt;0 OR INSTR(CAST(X."&amp;F398&amp;" AS STRING),']')&gt;0 OR INSTR(CAST(X."&amp;F398&amp;" AS STRING),'?')&gt;0 OR INSTR(CAST(X."&amp;F398&amp;" AS STRING),'!')&gt;0 OR INSTR(CAST(X."&amp;F398&amp;" AS STRING),'$')&gt;0 OR INSTR(CAST(X."&amp;F398&amp;" AS STRING),'%')&gt;0 OR INSTR(CAST(X."&amp;F398&amp;" AS STRING),'&amp;')&gt;0 OR INSTR(CAST(X."&amp;F398&amp;" AS STRING),'+')&gt;0,1,0)) AS NUM_REG_DIF,'"&amp;MAX('ID1&amp;5'!K:K)+1&amp;"' AS ID_EXEC, CURRENT_TIMESTAMP() AS TIME_EXEC FROM "&amp;I398,
IF(C398="Missings",+"SELECT '"&amp;UPPER(B398)&amp;"' AS TABELA, '"&amp;UPPER(C398)&amp;"' AS TIPOLOGIA_TESTE,'"&amp;D398&amp;"' AS TABELA_LT,'N/A' AS TABELA_SIMUL,'"&amp;F398&amp;"' AS CAMPO, "&amp;"'${ref_date}' AS REF_DATE, COUNT(*) AS NUM_REG, SUM(IF(TRIM(CAST(X."&amp;F398&amp;" AS STRING)) IN ('0000-00-00','0001-01-01','9999-12-31','MISS','00000','99999999999','99999999999.00','99999999999.000000'),1,0)) AS NUM_REG_DIF,'"&amp;MAX('ID1&amp;5'!K:K)+1&amp;"' AS ID_EXEC, CURRENT_TIMESTAMP() AS TIME_EXEC FROM "&amp;I398,
IF(C398="Not applicable",+"SELECT '"&amp;UPPER(B398)&amp;"' AS TABELA, '"&amp;UPPER(C398)&amp;"' AS TIPOLOGIA_TESTE,'"&amp;D398&amp;"' AS TABELA_LT,'N/A' AS TABELA_SIMUL,'"&amp;F398&amp;"' AS CAMPO, "&amp;"'${ref_date}' AS REF_DATE, COUNT(*) AS NUM_REG, SUM(IF(TRIM(CAST(X."&amp;F398&amp;" AS STRING)) IN ('N/A','11111111111','11111111111.00','11111111111.000000','1111-11-11'),1,0)) AS NUM_REG_DIF,'"&amp;MAX('ID1&amp;5'!K:K)+1&amp;"' AS ID_EXEC, CURRENT_TIMESTAMP() AS TIME_EXEC FROM "&amp;I398,
IF(C398="Valores extremos",+"SELECT '"&amp;UPPER(B398)&amp;"' AS TABELA, '"&amp;UPPER(C398)&amp;"' AS TIPOLOGIA_TESTE,'"&amp;D398&amp;"' AS TABELA_LT,'N/A' AS TABELA_SIMUL,'"&amp;F398&amp;"' AS CAMPO, "&amp;"'${ref_date}' AS REF_DATE, CAST(MIN("&amp;F398&amp;") AS STRING) AS VALOR_MIN, CAST(MAX("&amp;F398&amp;") AS STRING) AS VALOR_MAX,'"&amp;MAX('ID1&amp;5'!K:K)+1&amp;"' AS ID_EXEC, CURRENT_TIMESTAMP() AS TIME_EXEC FROM "&amp;MID(I398,1,LEN(I398)-2)&amp;" AND CAST("&amp;F398&amp;"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TABELA_SIMUL,'TXNMY_ELGBL_TRNVR_CCM' AS CAMPO, '${ref_date}' AS REF_DATE, COUNT(*) AS NUM_REG, SUM(IF(TRIM(CAST(X.TXNMY_ELGBL_TRNVR_CCM AS STRING)) IN ('N/A','11111111111','11111111111.00','11111111111.000000','1111-11-11'),1,0)) AS NUM_REG_DIF,'10' AS ID_EXEC, CURRENT_TIMESTAMP() AS TIME_EXEC FROM (SELECT entty_id, TXNMY_ELGBL_TRNVR_CCM FROM BU_LOANTAPE_WORK.LT003_ENTITY WHERE ref_date='${ref_date}' AND nome_perimetro='Individual Corporativo' AND segmento='ESTR' AND ambito='PILAR3')X</v>
      </c>
      <c r="M398" s="43" t="str">
        <f t="shared" si="6"/>
        <v>UNION ALL SELECT 'ENTITY' AS TABELA, 'NOT APPLICABLE' AS TIPOLOGIA_TESTE,'BU_LOANTAPE_WORK.LT003_ENTITY' AS TABELA_LT,'N/A' AS TABELA_SIMUL,'TXNMY_ELGBL_TRNVR_CCM' AS CAMPO, '${ref_date}' AS REF_DATE, COUNT(*) AS NUM_REG, SUM(IF(TRIM(CAST(X.TXNMY_ELGBL_TRNVR_CCM AS STRING)) IN ('N/A','11111111111','11111111111.00','11111111111.000000','1111-11-11'),1,0)) AS NUM_REG_DIF,'10' AS ID_EXEC, CURRENT_TIMESTAMP() AS TIME_EXEC FROM (SELECT entty_id, TXNMY_ELGBL_TRNVR_CCM FROM BU_LOANTAPE_WORK.LT003_ENTITY WHERE ref_date='${ref_date}' AND nome_perimetro='Individual Corporativo' AND segmento='ESTR' AND ambito='PILAR3')X</v>
      </c>
      <c r="N398" s="45" t="s">
        <v>13</v>
      </c>
    </row>
    <row r="399" spans="2:14">
      <c r="B399" s="41" t="s">
        <v>23</v>
      </c>
      <c r="C399" s="41" t="s">
        <v>78</v>
      </c>
      <c r="D399" s="41" t="str">
        <f>+UPPER('0. Instruções'!$D$33&amp;"."&amp;VLOOKUP(B399,'0. Instruções'!$C$27:$D$31,2,FALSE))</f>
        <v>BU_LOANTAPE_WORK.LT003_ENTITY</v>
      </c>
      <c r="E399" s="41" t="str">
        <f>+UPPER('0. Instruções'!$D$34&amp;"."&amp;VLOOKUP(B399,'0. Instruções'!$C$27:$E$31,3,FALSE))</f>
        <v>BU_LOANTAPE_WORK.LT003_ENTTY_P3_NOV24</v>
      </c>
      <c r="F399" s="41" t="s">
        <v>104</v>
      </c>
      <c r="G399" s="41" t="s">
        <v>210</v>
      </c>
      <c r="H399" s="41"/>
      <c r="I399" s="41" t="str">
        <f>"(SELECT "&amp;VLOOKUP(B399,'0. Instruções'!$C$27:$G$31,4,FALSE)&amp;", "&amp;F399&amp;" FROM "&amp;D399&amp;" WHERE "&amp;'0. Instruções'!$D$40&amp;")X"</f>
        <v>(SELECT entty_id, TXNMY_ELGBL_CAPEX_CCA FROM BU_LOANTAPE_WORK.LT003_ENTITY WHERE ref_date='${ref_date}' AND nome_perimetro='Individual Corporativo' AND segmento='ESTR' AND ambito='PILAR3')X</v>
      </c>
      <c r="J399" s="41" t="str">
        <f>"(SELECT "&amp;VLOOKUP(B399,'0. Instruções'!$C$27:$G$31,4,FALSE)&amp;" AS "&amp;VLOOKUP(B399,'0. Instruções'!$C$27:$G$31,4,FALSE)&amp;"_SIMUL, "&amp;F399&amp;" AS "&amp;F399&amp;"_SIMUL FROM "&amp;E399&amp;")Y"</f>
        <v>(SELECT entty_id AS entty_id_SIMUL, TXNMY_ELGBL_CAPEX_CCA AS TXNMY_ELGBL_CAPEX_CCA_SIMUL FROM BU_LOANTAPE_WORK.LT003_ENTTY_P3_NOV24)Y</v>
      </c>
      <c r="K399" s="42" t="str">
        <f>+UPPER("ON X."&amp;VLOOKUP(B399,'0. Instruções'!$C$27:$G$31,4,FALSE)&amp;"=Y."&amp;VLOOKUP(B399,'0. Instruções'!$C$27:$G$31,4,FALSE)&amp;"_SIMUL")</f>
        <v>ON X.ENTTY_ID=Y.ENTTY_ID_SIMUL</v>
      </c>
      <c r="L399" s="42" t="str">
        <f>+IF(C399="Coerência", +IF(LEFT(G399,5)="FLOAT","SELECT '"&amp;UPPER(B399)&amp;"' AS TABELA, '"&amp;UPPER(C399)&amp;"' AS TIPOLOGIA_TESTE,'"&amp;D399&amp;"' AS TABELA_LT,'"&amp;E399&amp;"' AS TABELA_SIMUL,'"&amp;F399&amp;"' AS CAMPO, "&amp;"'${ref_date}' AS REF_DATE, COUNT(*) AS NUM_REG, SUM(IF((ABS(COALESCE(X."&amp;F399&amp;",0)-COALESCE(Y."&amp;F399&amp;"_SIMUL,0))&gt;0.0000000001) OR (X."&amp;F399&amp;" IS NULL AND Y."&amp;F399&amp;"_SIMUL IS NOT NULL ) OR (X."&amp;F399&amp;" IS NOT NULL AND Y."&amp;F399&amp;"_SIMUL IS NULL),1,0)) AS NUM_REG_DIF,'"&amp;MAX('ID1&amp;5'!K:K)+1&amp;"' AS ID_EXEC, CURRENT_TIMESTAMP() AS TIME_EXEC FROM "&amp;I399&amp;" INNER JOIN "&amp;J399&amp;" "&amp;K399,"SELECT '"&amp;UPPER(B399)&amp;"' AS TABELA, '"&amp;UPPER(C399)&amp;"' AS TIPOLOGIA_TESTE,'"&amp;D399&amp;"' AS TABELA_LT,'"&amp;E399&amp;"' AS TABELA_SIMUL,'"&amp;F399&amp;"' AS CAMPO, "&amp;"'${ref_date}' AS REF_DATE, COUNT(*) AS NUM_REG, SUM(IF(COALESCE(CAST(X."&amp;F399&amp;" AS STRING),'')&lt;&gt;COALESCE(CAST(Y."&amp;F399&amp;"_SIMUL AS STRING),''),1,0)) AS NUM_REG_DIF,'"&amp;MAX('ID1&amp;5'!L:L)+1&amp;"' AS ID_EXEC, CURRENT_TIMESTAMP() AS TIME_EXEC FROM "&amp;I399&amp;" INNER JOIN "&amp;J399&amp;" "&amp;K399),
IF(C399="Validade",+IF(G399="Code List","SELECT '"&amp;UPPER(B399)&amp;"' AS TABELA, '"&amp;UPPER(C399)&amp;"' AS TIPOLOGIA_TESTE,'"&amp;D399&amp;"' AS TABELA_LT,'N/A' AS TABELA_SIMUL,'"&amp;F399&amp;"' AS CAMPO, "&amp;"'${ref_date}' AS REF_DATE, COUNT(*) AS NUM_REG, SUM(IF(TRIM(CAST(X."&amp;F399&amp;" AS STRING))='' OR TRIM(CAST(X."&amp;F399&amp;" AS STRING)) IS NULL OR CAST(X."&amp;F399&amp;" AS STRING) NOT "&amp;H399&amp;",1,0)) AS NUM_REG_DIF,'"&amp;MAX('ID1&amp;5'!K:K)+1&amp;"' AS ID_EXEC, CURRENT_TIMESTAMP() AS TIME_EXEC FROM "&amp;I399,"SELECT '"&amp;UPPER(B399)&amp;"' AS TABELA, '"&amp;UPPER(C399)&amp;"' AS TIPOLOGIA_TESTE,'"&amp;D399&amp;"' AS TABELA_LT,'N/A' AS TABELA_SIMUL,'"&amp;F399&amp;"' AS CAMPO, "&amp;"'${ref_date}' AS REF_DATE, COUNT(*) AS NUM_REG, SUM(IF(TRIM(CAST(X."&amp;F399&amp;" AS STRING))='' OR TRIM(CAST(X."&amp;F399&amp;" AS STRING)) IS NULL,1,0)) AS NUM_REG_DIF,'"&amp;MAX('ID1&amp;5'!K:K)+1&amp;"' AS ID_EXEC, CURRENT_TIMESTAMP() AS TIME_EXEC FROM "&amp;I399),
IF(C399="Caracteres Especiais",+"SELECT '"&amp;UPPER(B399)&amp;"' AS TABELA, '"&amp;UPPER(C399)&amp;"' AS TIPOLOGIA_TESTE,'"&amp;D399&amp;"' AS TABELA_LT,'N/A' AS TABELA_SIMUL,'"&amp;F399&amp;"' AS CAMPO, "&amp;"'${ref_date}' AS REF_DATE, COUNT(*) AS NUM_REG, SUM(IF(INSTR(CAST(X."&amp;F399&amp;" AS STRING),'#')&gt;0 OR INSTR(CAST(X."&amp;F399&amp;" AS STRING),'*')&gt;0 OR INSTR(CAST(X."&amp;F399&amp;" AS STRING),'`')&gt;0 OR INSTR(CAST(X."&amp;F399&amp;" AS STRING),'´')&gt;0 OR INSTR(CAST(X."&amp;F399&amp;" AS STRING),'{')&gt;0 OR INSTR(CAST(X."&amp;F399&amp;" AS STRING),'}')&gt;0 OR INSTR(CAST(X."&amp;F399&amp;" AS STRING),'[')&gt;0 OR INSTR(CAST(X."&amp;F399&amp;" AS STRING),'')&gt;0 OR INSTR(CAST(X."&amp;F399&amp;" AS STRING),']')&gt;0 OR INSTR(CAST(X."&amp;F399&amp;" AS STRING),'?')&gt;0 OR INSTR(CAST(X."&amp;F399&amp;" AS STRING),'!')&gt;0 OR INSTR(CAST(X."&amp;F399&amp;" AS STRING),'$')&gt;0 OR INSTR(CAST(X."&amp;F399&amp;" AS STRING),'%')&gt;0 OR INSTR(CAST(X."&amp;F399&amp;" AS STRING),'&amp;')&gt;0 OR INSTR(CAST(X."&amp;F399&amp;" AS STRING),'+')&gt;0,1,0)) AS NUM_REG_DIF,'"&amp;MAX('ID1&amp;5'!K:K)+1&amp;"' AS ID_EXEC, CURRENT_TIMESTAMP() AS TIME_EXEC FROM "&amp;I399,
IF(C399="Missings",+"SELECT '"&amp;UPPER(B399)&amp;"' AS TABELA, '"&amp;UPPER(C399)&amp;"' AS TIPOLOGIA_TESTE,'"&amp;D399&amp;"' AS TABELA_LT,'N/A' AS TABELA_SIMUL,'"&amp;F399&amp;"' AS CAMPO, "&amp;"'${ref_date}' AS REF_DATE, COUNT(*) AS NUM_REG, SUM(IF(TRIM(CAST(X."&amp;F399&amp;" AS STRING)) IN ('0000-00-00','0001-01-01','9999-12-31','MISS','00000','99999999999','99999999999.00','99999999999.000000'),1,0)) AS NUM_REG_DIF,'"&amp;MAX('ID1&amp;5'!K:K)+1&amp;"' AS ID_EXEC, CURRENT_TIMESTAMP() AS TIME_EXEC FROM "&amp;I399,
IF(C399="Not applicable",+"SELECT '"&amp;UPPER(B399)&amp;"' AS TABELA, '"&amp;UPPER(C399)&amp;"' AS TIPOLOGIA_TESTE,'"&amp;D399&amp;"' AS TABELA_LT,'N/A' AS TABELA_SIMUL,'"&amp;F399&amp;"' AS CAMPO, "&amp;"'${ref_date}' AS REF_DATE, COUNT(*) AS NUM_REG, SUM(IF(TRIM(CAST(X."&amp;F399&amp;" AS STRING)) IN ('N/A','11111111111','11111111111.00','11111111111.000000','1111-11-11'),1,0)) AS NUM_REG_DIF,'"&amp;MAX('ID1&amp;5'!K:K)+1&amp;"' AS ID_EXEC, CURRENT_TIMESTAMP() AS TIME_EXEC FROM "&amp;I399,
IF(C399="Valores extremos",+"SELECT '"&amp;UPPER(B399)&amp;"' AS TABELA, '"&amp;UPPER(C399)&amp;"' AS TIPOLOGIA_TESTE,'"&amp;D399&amp;"' AS TABELA_LT,'N/A' AS TABELA_SIMUL,'"&amp;F399&amp;"' AS CAMPO, "&amp;"'${ref_date}' AS REF_DATE, CAST(MIN("&amp;F399&amp;") AS STRING) AS VALOR_MIN, CAST(MAX("&amp;F399&amp;") AS STRING) AS VALOR_MAX,'"&amp;MAX('ID1&amp;5'!K:K)+1&amp;"' AS ID_EXEC, CURRENT_TIMESTAMP() AS TIME_EXEC FROM "&amp;MID(I399,1,LEN(I399)-2)&amp;" AND CAST("&amp;F399&amp;"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TABELA_SIMUL,'TXNMY_ELGBL_CAPEX_CCA' AS CAMPO, '${ref_date}' AS REF_DATE, COUNT(*) AS NUM_REG, SUM(IF(TRIM(CAST(X.TXNMY_ELGBL_CAPEX_CCA AS STRING)) IN ('N/A','11111111111','11111111111.00','11111111111.000000','1111-11-11'),1,0)) AS NUM_REG_DIF,'10' AS ID_EXEC, CURRENT_TIMESTAMP() AS TIME_EXEC FROM (SELECT entty_id, TXNMY_ELGBL_CAPEX_CCA FROM BU_LOANTAPE_WORK.LT003_ENTITY WHERE ref_date='${ref_date}' AND nome_perimetro='Individual Corporativo' AND segmento='ESTR' AND ambito='PILAR3')X</v>
      </c>
      <c r="M399" s="43" t="str">
        <f t="shared" si="6"/>
        <v>UNION ALL SELECT 'ENTITY' AS TABELA, 'NOT APPLICABLE' AS TIPOLOGIA_TESTE,'BU_LOANTAPE_WORK.LT003_ENTITY' AS TABELA_LT,'N/A' AS TABELA_SIMUL,'TXNMY_ELGBL_CAPEX_CCA' AS CAMPO, '${ref_date}' AS REF_DATE, COUNT(*) AS NUM_REG, SUM(IF(TRIM(CAST(X.TXNMY_ELGBL_CAPEX_CCA AS STRING)) IN ('N/A','11111111111','11111111111.00','11111111111.000000','1111-11-11'),1,0)) AS NUM_REG_DIF,'10' AS ID_EXEC, CURRENT_TIMESTAMP() AS TIME_EXEC FROM (SELECT entty_id, TXNMY_ELGBL_CAPEX_CCA FROM BU_LOANTAPE_WORK.LT003_ENTITY WHERE ref_date='${ref_date}' AND nome_perimetro='Individual Corporativo' AND segmento='ESTR' AND ambito='PILAR3')X</v>
      </c>
      <c r="N399" s="45" t="s">
        <v>13</v>
      </c>
    </row>
    <row r="400" spans="2:14">
      <c r="B400" s="41" t="s">
        <v>23</v>
      </c>
      <c r="C400" s="41" t="s">
        <v>78</v>
      </c>
      <c r="D400" s="41" t="str">
        <f>+UPPER('0. Instruções'!$D$33&amp;"."&amp;VLOOKUP(B400,'0. Instruções'!$C$27:$D$31,2,FALSE))</f>
        <v>BU_LOANTAPE_WORK.LT003_ENTITY</v>
      </c>
      <c r="E400" s="41" t="str">
        <f>+UPPER('0. Instruções'!$D$34&amp;"."&amp;VLOOKUP(B400,'0. Instruções'!$C$27:$E$31,3,FALSE))</f>
        <v>BU_LOANTAPE_WORK.LT003_ENTTY_P3_NOV24</v>
      </c>
      <c r="F400" s="41" t="s">
        <v>105</v>
      </c>
      <c r="G400" s="41" t="s">
        <v>210</v>
      </c>
      <c r="H400" s="41"/>
      <c r="I400" s="41" t="str">
        <f>"(SELECT "&amp;VLOOKUP(B400,'0. Instruções'!$C$27:$G$31,4,FALSE)&amp;", "&amp;F400&amp;" FROM "&amp;D400&amp;" WHERE "&amp;'0. Instruções'!$D$40&amp;")X"</f>
        <v>(SELECT entty_id, TXNMY_ELGBL_TRNVR_CCA FROM BU_LOANTAPE_WORK.LT003_ENTITY WHERE ref_date='${ref_date}' AND nome_perimetro='Individual Corporativo' AND segmento='ESTR' AND ambito='PILAR3')X</v>
      </c>
      <c r="J400" s="41" t="str">
        <f>"(SELECT "&amp;VLOOKUP(B400,'0. Instruções'!$C$27:$G$31,4,FALSE)&amp;" AS "&amp;VLOOKUP(B400,'0. Instruções'!$C$27:$G$31,4,FALSE)&amp;"_SIMUL, "&amp;F400&amp;" AS "&amp;F400&amp;"_SIMUL FROM "&amp;E400&amp;")Y"</f>
        <v>(SELECT entty_id AS entty_id_SIMUL, TXNMY_ELGBL_TRNVR_CCA AS TXNMY_ELGBL_TRNVR_CCA_SIMUL FROM BU_LOANTAPE_WORK.LT003_ENTTY_P3_NOV24)Y</v>
      </c>
      <c r="K400" s="42" t="str">
        <f>+UPPER("ON X."&amp;VLOOKUP(B400,'0. Instruções'!$C$27:$G$31,4,FALSE)&amp;"=Y."&amp;VLOOKUP(B400,'0. Instruções'!$C$27:$G$31,4,FALSE)&amp;"_SIMUL")</f>
        <v>ON X.ENTTY_ID=Y.ENTTY_ID_SIMUL</v>
      </c>
      <c r="L400" s="42" t="str">
        <f>+IF(C400="Coerência", +IF(LEFT(G400,5)="FLOAT","SELECT '"&amp;UPPER(B400)&amp;"' AS TABELA, '"&amp;UPPER(C400)&amp;"' AS TIPOLOGIA_TESTE,'"&amp;D400&amp;"' AS TABELA_LT,'"&amp;E400&amp;"' AS TABELA_SIMUL,'"&amp;F400&amp;"' AS CAMPO, "&amp;"'${ref_date}' AS REF_DATE, COUNT(*) AS NUM_REG, SUM(IF((ABS(COALESCE(X."&amp;F400&amp;",0)-COALESCE(Y."&amp;F400&amp;"_SIMUL,0))&gt;0.0000000001) OR (X."&amp;F400&amp;" IS NULL AND Y."&amp;F400&amp;"_SIMUL IS NOT NULL ) OR (X."&amp;F400&amp;" IS NOT NULL AND Y."&amp;F400&amp;"_SIMUL IS NULL),1,0)) AS NUM_REG_DIF,'"&amp;MAX('ID1&amp;5'!K:K)+1&amp;"' AS ID_EXEC, CURRENT_TIMESTAMP() AS TIME_EXEC FROM "&amp;I400&amp;" INNER JOIN "&amp;J400&amp;" "&amp;K400,"SELECT '"&amp;UPPER(B400)&amp;"' AS TABELA, '"&amp;UPPER(C400)&amp;"' AS TIPOLOGIA_TESTE,'"&amp;D400&amp;"' AS TABELA_LT,'"&amp;E400&amp;"' AS TABELA_SIMUL,'"&amp;F400&amp;"' AS CAMPO, "&amp;"'${ref_date}' AS REF_DATE, COUNT(*) AS NUM_REG, SUM(IF(COALESCE(CAST(X."&amp;F400&amp;" AS STRING),'')&lt;&gt;COALESCE(CAST(Y."&amp;F400&amp;"_SIMUL AS STRING),''),1,0)) AS NUM_REG_DIF,'"&amp;MAX('ID1&amp;5'!L:L)+1&amp;"' AS ID_EXEC, CURRENT_TIMESTAMP() AS TIME_EXEC FROM "&amp;I400&amp;" INNER JOIN "&amp;J400&amp;" "&amp;K400),
IF(C400="Validade",+IF(G400="Code List","SELECT '"&amp;UPPER(B400)&amp;"' AS TABELA, '"&amp;UPPER(C400)&amp;"' AS TIPOLOGIA_TESTE,'"&amp;D400&amp;"' AS TABELA_LT,'N/A' AS TABELA_SIMUL,'"&amp;F400&amp;"' AS CAMPO, "&amp;"'${ref_date}' AS REF_DATE, COUNT(*) AS NUM_REG, SUM(IF(TRIM(CAST(X."&amp;F400&amp;" AS STRING))='' OR TRIM(CAST(X."&amp;F400&amp;" AS STRING)) IS NULL OR CAST(X."&amp;F400&amp;" AS STRING) NOT "&amp;H400&amp;",1,0)) AS NUM_REG_DIF,'"&amp;MAX('ID1&amp;5'!K:K)+1&amp;"' AS ID_EXEC, CURRENT_TIMESTAMP() AS TIME_EXEC FROM "&amp;I400,"SELECT '"&amp;UPPER(B400)&amp;"' AS TABELA, '"&amp;UPPER(C400)&amp;"' AS TIPOLOGIA_TESTE,'"&amp;D400&amp;"' AS TABELA_LT,'N/A' AS TABELA_SIMUL,'"&amp;F400&amp;"' AS CAMPO, "&amp;"'${ref_date}' AS REF_DATE, COUNT(*) AS NUM_REG, SUM(IF(TRIM(CAST(X."&amp;F400&amp;" AS STRING))='' OR TRIM(CAST(X."&amp;F400&amp;" AS STRING)) IS NULL,1,0)) AS NUM_REG_DIF,'"&amp;MAX('ID1&amp;5'!K:K)+1&amp;"' AS ID_EXEC, CURRENT_TIMESTAMP() AS TIME_EXEC FROM "&amp;I400),
IF(C400="Caracteres Especiais",+"SELECT '"&amp;UPPER(B400)&amp;"' AS TABELA, '"&amp;UPPER(C400)&amp;"' AS TIPOLOGIA_TESTE,'"&amp;D400&amp;"' AS TABELA_LT,'N/A' AS TABELA_SIMUL,'"&amp;F400&amp;"' AS CAMPO, "&amp;"'${ref_date}' AS REF_DATE, COUNT(*) AS NUM_REG, SUM(IF(INSTR(CAST(X."&amp;F400&amp;" AS STRING),'#')&gt;0 OR INSTR(CAST(X."&amp;F400&amp;" AS STRING),'*')&gt;0 OR INSTR(CAST(X."&amp;F400&amp;" AS STRING),'`')&gt;0 OR INSTR(CAST(X."&amp;F400&amp;" AS STRING),'´')&gt;0 OR INSTR(CAST(X."&amp;F400&amp;" AS STRING),'{')&gt;0 OR INSTR(CAST(X."&amp;F400&amp;" AS STRING),'}')&gt;0 OR INSTR(CAST(X."&amp;F400&amp;" AS STRING),'[')&gt;0 OR INSTR(CAST(X."&amp;F400&amp;" AS STRING),'')&gt;0 OR INSTR(CAST(X."&amp;F400&amp;" AS STRING),']')&gt;0 OR INSTR(CAST(X."&amp;F400&amp;" AS STRING),'?')&gt;0 OR INSTR(CAST(X."&amp;F400&amp;" AS STRING),'!')&gt;0 OR INSTR(CAST(X."&amp;F400&amp;" AS STRING),'$')&gt;0 OR INSTR(CAST(X."&amp;F400&amp;" AS STRING),'%')&gt;0 OR INSTR(CAST(X."&amp;F400&amp;" AS STRING),'&amp;')&gt;0 OR INSTR(CAST(X."&amp;F400&amp;" AS STRING),'+')&gt;0,1,0)) AS NUM_REG_DIF,'"&amp;MAX('ID1&amp;5'!K:K)+1&amp;"' AS ID_EXEC, CURRENT_TIMESTAMP() AS TIME_EXEC FROM "&amp;I400,
IF(C400="Missings",+"SELECT '"&amp;UPPER(B400)&amp;"' AS TABELA, '"&amp;UPPER(C400)&amp;"' AS TIPOLOGIA_TESTE,'"&amp;D400&amp;"' AS TABELA_LT,'N/A' AS TABELA_SIMUL,'"&amp;F400&amp;"' AS CAMPO, "&amp;"'${ref_date}' AS REF_DATE, COUNT(*) AS NUM_REG, SUM(IF(TRIM(CAST(X."&amp;F400&amp;" AS STRING)) IN ('0000-00-00','0001-01-01','9999-12-31','MISS','00000','99999999999','99999999999.00','99999999999.000000'),1,0)) AS NUM_REG_DIF,'"&amp;MAX('ID1&amp;5'!K:K)+1&amp;"' AS ID_EXEC, CURRENT_TIMESTAMP() AS TIME_EXEC FROM "&amp;I400,
IF(C400="Not applicable",+"SELECT '"&amp;UPPER(B400)&amp;"' AS TABELA, '"&amp;UPPER(C400)&amp;"' AS TIPOLOGIA_TESTE,'"&amp;D400&amp;"' AS TABELA_LT,'N/A' AS TABELA_SIMUL,'"&amp;F400&amp;"' AS CAMPO, "&amp;"'${ref_date}' AS REF_DATE, COUNT(*) AS NUM_REG, SUM(IF(TRIM(CAST(X."&amp;F400&amp;" AS STRING)) IN ('N/A','11111111111','11111111111.00','11111111111.000000','1111-11-11'),1,0)) AS NUM_REG_DIF,'"&amp;MAX('ID1&amp;5'!K:K)+1&amp;"' AS ID_EXEC, CURRENT_TIMESTAMP() AS TIME_EXEC FROM "&amp;I400,
IF(C400="Valores extremos",+"SELECT '"&amp;UPPER(B400)&amp;"' AS TABELA, '"&amp;UPPER(C400)&amp;"' AS TIPOLOGIA_TESTE,'"&amp;D400&amp;"' AS TABELA_LT,'N/A' AS TABELA_SIMUL,'"&amp;F400&amp;"' AS CAMPO, "&amp;"'${ref_date}' AS REF_DATE, CAST(MIN("&amp;F400&amp;") AS STRING) AS VALOR_MIN, CAST(MAX("&amp;F400&amp;") AS STRING) AS VALOR_MAX,'"&amp;MAX('ID1&amp;5'!K:K)+1&amp;"' AS ID_EXEC, CURRENT_TIMESTAMP() AS TIME_EXEC FROM "&amp;MID(I400,1,LEN(I400)-2)&amp;" AND CAST("&amp;F400&amp;"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TABELA_SIMUL,'TXNMY_ELGBL_TRNVR_CCA' AS CAMPO, '${ref_date}' AS REF_DATE, COUNT(*) AS NUM_REG, SUM(IF(TRIM(CAST(X.TXNMY_ELGBL_TRNVR_CCA AS STRING)) IN ('N/A','11111111111','11111111111.00','11111111111.000000','1111-11-11'),1,0)) AS NUM_REG_DIF,'10' AS ID_EXEC, CURRENT_TIMESTAMP() AS TIME_EXEC FROM (SELECT entty_id, TXNMY_ELGBL_TRNVR_CCA FROM BU_LOANTAPE_WORK.LT003_ENTITY WHERE ref_date='${ref_date}' AND nome_perimetro='Individual Corporativo' AND segmento='ESTR' AND ambito='PILAR3')X</v>
      </c>
      <c r="M400" s="43" t="str">
        <f t="shared" si="6"/>
        <v>UNION ALL SELECT 'ENTITY' AS TABELA, 'NOT APPLICABLE' AS TIPOLOGIA_TESTE,'BU_LOANTAPE_WORK.LT003_ENTITY' AS TABELA_LT,'N/A' AS TABELA_SIMUL,'TXNMY_ELGBL_TRNVR_CCA' AS CAMPO, '${ref_date}' AS REF_DATE, COUNT(*) AS NUM_REG, SUM(IF(TRIM(CAST(X.TXNMY_ELGBL_TRNVR_CCA AS STRING)) IN ('N/A','11111111111','11111111111.00','11111111111.000000','1111-11-11'),1,0)) AS NUM_REG_DIF,'10' AS ID_EXEC, CURRENT_TIMESTAMP() AS TIME_EXEC FROM (SELECT entty_id, TXNMY_ELGBL_TRNVR_CCA FROM BU_LOANTAPE_WORK.LT003_ENTITY WHERE ref_date='${ref_date}' AND nome_perimetro='Individual Corporativo' AND segmento='ESTR' AND ambito='PILAR3')X</v>
      </c>
      <c r="N400" s="45" t="s">
        <v>13</v>
      </c>
    </row>
    <row r="401" spans="2:14">
      <c r="B401" s="41" t="s">
        <v>23</v>
      </c>
      <c r="C401" s="41" t="s">
        <v>78</v>
      </c>
      <c r="D401" s="41" t="str">
        <f>+UPPER('0. Instruções'!$D$33&amp;"."&amp;VLOOKUP(B401,'0. Instruções'!$C$27:$D$31,2,FALSE))</f>
        <v>BU_LOANTAPE_WORK.LT003_ENTITY</v>
      </c>
      <c r="E401" s="41" t="str">
        <f>+UPPER('0. Instruções'!$D$34&amp;"."&amp;VLOOKUP(B401,'0. Instruções'!$C$27:$E$31,3,FALSE))</f>
        <v>BU_LOANTAPE_WORK.LT003_ENTTY_P3_NOV24</v>
      </c>
      <c r="F401" s="41" t="s">
        <v>106</v>
      </c>
      <c r="G401" s="41" t="s">
        <v>210</v>
      </c>
      <c r="H401" s="41"/>
      <c r="I401" s="41" t="str">
        <f>"(SELECT "&amp;VLOOKUP(B401,'0. Instruções'!$C$27:$G$31,4,FALSE)&amp;", "&amp;F401&amp;" FROM "&amp;D401&amp;" WHERE "&amp;'0. Instruções'!$D$40&amp;")X"</f>
        <v>(SELECT entty_id, ENBLNG_CAPEX_CCM FROM BU_LOANTAPE_WORK.LT003_ENTITY WHERE ref_date='${ref_date}' AND nome_perimetro='Individual Corporativo' AND segmento='ESTR' AND ambito='PILAR3')X</v>
      </c>
      <c r="J401" s="41" t="str">
        <f>"(SELECT "&amp;VLOOKUP(B401,'0. Instruções'!$C$27:$G$31,4,FALSE)&amp;" AS "&amp;VLOOKUP(B401,'0. Instruções'!$C$27:$G$31,4,FALSE)&amp;"_SIMUL, "&amp;F401&amp;" AS "&amp;F401&amp;"_SIMUL FROM "&amp;E401&amp;")Y"</f>
        <v>(SELECT entty_id AS entty_id_SIMUL, ENBLNG_CAPEX_CCM AS ENBLNG_CAPEX_CCM_SIMUL FROM BU_LOANTAPE_WORK.LT003_ENTTY_P3_NOV24)Y</v>
      </c>
      <c r="K401" s="42" t="str">
        <f>+UPPER("ON X."&amp;VLOOKUP(B401,'0. Instruções'!$C$27:$G$31,4,FALSE)&amp;"=Y."&amp;VLOOKUP(B401,'0. Instruções'!$C$27:$G$31,4,FALSE)&amp;"_SIMUL")</f>
        <v>ON X.ENTTY_ID=Y.ENTTY_ID_SIMUL</v>
      </c>
      <c r="L401" s="42" t="str">
        <f>+IF(C401="Coerência", +IF(LEFT(G401,5)="FLOAT","SELECT '"&amp;UPPER(B401)&amp;"' AS TABELA, '"&amp;UPPER(C401)&amp;"' AS TIPOLOGIA_TESTE,'"&amp;D401&amp;"' AS TABELA_LT,'"&amp;E401&amp;"' AS TABELA_SIMUL,'"&amp;F401&amp;"' AS CAMPO, "&amp;"'${ref_date}' AS REF_DATE, COUNT(*) AS NUM_REG, SUM(IF((ABS(COALESCE(X."&amp;F401&amp;",0)-COALESCE(Y."&amp;F401&amp;"_SIMUL,0))&gt;0.0000000001) OR (X."&amp;F401&amp;" IS NULL AND Y."&amp;F401&amp;"_SIMUL IS NOT NULL ) OR (X."&amp;F401&amp;" IS NOT NULL AND Y."&amp;F401&amp;"_SIMUL IS NULL),1,0)) AS NUM_REG_DIF,'"&amp;MAX('ID1&amp;5'!K:K)+1&amp;"' AS ID_EXEC, CURRENT_TIMESTAMP() AS TIME_EXEC FROM "&amp;I401&amp;" INNER JOIN "&amp;J401&amp;" "&amp;K401,"SELECT '"&amp;UPPER(B401)&amp;"' AS TABELA, '"&amp;UPPER(C401)&amp;"' AS TIPOLOGIA_TESTE,'"&amp;D401&amp;"' AS TABELA_LT,'"&amp;E401&amp;"' AS TABELA_SIMUL,'"&amp;F401&amp;"' AS CAMPO, "&amp;"'${ref_date}' AS REF_DATE, COUNT(*) AS NUM_REG, SUM(IF(COALESCE(CAST(X."&amp;F401&amp;" AS STRING),'')&lt;&gt;COALESCE(CAST(Y."&amp;F401&amp;"_SIMUL AS STRING),''),1,0)) AS NUM_REG_DIF,'"&amp;MAX('ID1&amp;5'!L:L)+1&amp;"' AS ID_EXEC, CURRENT_TIMESTAMP() AS TIME_EXEC FROM "&amp;I401&amp;" INNER JOIN "&amp;J401&amp;" "&amp;K401),
IF(C401="Validade",+IF(G401="Code List","SELECT '"&amp;UPPER(B401)&amp;"' AS TABELA, '"&amp;UPPER(C401)&amp;"' AS TIPOLOGIA_TESTE,'"&amp;D401&amp;"' AS TABELA_LT,'N/A' AS TABELA_SIMUL,'"&amp;F401&amp;"' AS CAMPO, "&amp;"'${ref_date}' AS REF_DATE, COUNT(*) AS NUM_REG, SUM(IF(TRIM(CAST(X."&amp;F401&amp;" AS STRING))='' OR TRIM(CAST(X."&amp;F401&amp;" AS STRING)) IS NULL OR CAST(X."&amp;F401&amp;" AS STRING) NOT "&amp;H401&amp;",1,0)) AS NUM_REG_DIF,'"&amp;MAX('ID1&amp;5'!K:K)+1&amp;"' AS ID_EXEC, CURRENT_TIMESTAMP() AS TIME_EXEC FROM "&amp;I401,"SELECT '"&amp;UPPER(B401)&amp;"' AS TABELA, '"&amp;UPPER(C401)&amp;"' AS TIPOLOGIA_TESTE,'"&amp;D401&amp;"' AS TABELA_LT,'N/A' AS TABELA_SIMUL,'"&amp;F401&amp;"' AS CAMPO, "&amp;"'${ref_date}' AS REF_DATE, COUNT(*) AS NUM_REG, SUM(IF(TRIM(CAST(X."&amp;F401&amp;" AS STRING))='' OR TRIM(CAST(X."&amp;F401&amp;" AS STRING)) IS NULL,1,0)) AS NUM_REG_DIF,'"&amp;MAX('ID1&amp;5'!K:K)+1&amp;"' AS ID_EXEC, CURRENT_TIMESTAMP() AS TIME_EXEC FROM "&amp;I401),
IF(C401="Caracteres Especiais",+"SELECT '"&amp;UPPER(B401)&amp;"' AS TABELA, '"&amp;UPPER(C401)&amp;"' AS TIPOLOGIA_TESTE,'"&amp;D401&amp;"' AS TABELA_LT,'N/A' AS TABELA_SIMUL,'"&amp;F401&amp;"' AS CAMPO, "&amp;"'${ref_date}' AS REF_DATE, COUNT(*) AS NUM_REG, SUM(IF(INSTR(CAST(X."&amp;F401&amp;" AS STRING),'#')&gt;0 OR INSTR(CAST(X."&amp;F401&amp;" AS STRING),'*')&gt;0 OR INSTR(CAST(X."&amp;F401&amp;" AS STRING),'`')&gt;0 OR INSTR(CAST(X."&amp;F401&amp;" AS STRING),'´')&gt;0 OR INSTR(CAST(X."&amp;F401&amp;" AS STRING),'{')&gt;0 OR INSTR(CAST(X."&amp;F401&amp;" AS STRING),'}')&gt;0 OR INSTR(CAST(X."&amp;F401&amp;" AS STRING),'[')&gt;0 OR INSTR(CAST(X."&amp;F401&amp;" AS STRING),'')&gt;0 OR INSTR(CAST(X."&amp;F401&amp;" AS STRING),']')&gt;0 OR INSTR(CAST(X."&amp;F401&amp;" AS STRING),'?')&gt;0 OR INSTR(CAST(X."&amp;F401&amp;" AS STRING),'!')&gt;0 OR INSTR(CAST(X."&amp;F401&amp;" AS STRING),'$')&gt;0 OR INSTR(CAST(X."&amp;F401&amp;" AS STRING),'%')&gt;0 OR INSTR(CAST(X."&amp;F401&amp;" AS STRING),'&amp;')&gt;0 OR INSTR(CAST(X."&amp;F401&amp;" AS STRING),'+')&gt;0,1,0)) AS NUM_REG_DIF,'"&amp;MAX('ID1&amp;5'!K:K)+1&amp;"' AS ID_EXEC, CURRENT_TIMESTAMP() AS TIME_EXEC FROM "&amp;I401,
IF(C401="Missings",+"SELECT '"&amp;UPPER(B401)&amp;"' AS TABELA, '"&amp;UPPER(C401)&amp;"' AS TIPOLOGIA_TESTE,'"&amp;D401&amp;"' AS TABELA_LT,'N/A' AS TABELA_SIMUL,'"&amp;F401&amp;"' AS CAMPO, "&amp;"'${ref_date}' AS REF_DATE, COUNT(*) AS NUM_REG, SUM(IF(TRIM(CAST(X."&amp;F401&amp;" AS STRING)) IN ('0000-00-00','0001-01-01','9999-12-31','MISS','00000','99999999999','99999999999.00','99999999999.000000'),1,0)) AS NUM_REG_DIF,'"&amp;MAX('ID1&amp;5'!K:K)+1&amp;"' AS ID_EXEC, CURRENT_TIMESTAMP() AS TIME_EXEC FROM "&amp;I401,
IF(C401="Not applicable",+"SELECT '"&amp;UPPER(B401)&amp;"' AS TABELA, '"&amp;UPPER(C401)&amp;"' AS TIPOLOGIA_TESTE,'"&amp;D401&amp;"' AS TABELA_LT,'N/A' AS TABELA_SIMUL,'"&amp;F401&amp;"' AS CAMPO, "&amp;"'${ref_date}' AS REF_DATE, COUNT(*) AS NUM_REG, SUM(IF(TRIM(CAST(X."&amp;F401&amp;" AS STRING)) IN ('N/A','11111111111','11111111111.00','11111111111.000000','1111-11-11'),1,0)) AS NUM_REG_DIF,'"&amp;MAX('ID1&amp;5'!K:K)+1&amp;"' AS ID_EXEC, CURRENT_TIMESTAMP() AS TIME_EXEC FROM "&amp;I401,
IF(C401="Valores extremos",+"SELECT '"&amp;UPPER(B401)&amp;"' AS TABELA, '"&amp;UPPER(C401)&amp;"' AS TIPOLOGIA_TESTE,'"&amp;D401&amp;"' AS TABELA_LT,'N/A' AS TABELA_SIMUL,'"&amp;F401&amp;"' AS CAMPO, "&amp;"'${ref_date}' AS REF_DATE, CAST(MIN("&amp;F401&amp;") AS STRING) AS VALOR_MIN, CAST(MAX("&amp;F401&amp;") AS STRING) AS VALOR_MAX,'"&amp;MAX('ID1&amp;5'!K:K)+1&amp;"' AS ID_EXEC, CURRENT_TIMESTAMP() AS TIME_EXEC FROM "&amp;MID(I401,1,LEN(I401)-2)&amp;" AND CAST("&amp;F401&amp;"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TABELA_SIMUL,'ENBLNG_CAPEX_CCM' AS CAMPO, '${ref_date}' AS REF_DATE, COUNT(*) AS NUM_REG, SUM(IF(TRIM(CAST(X.ENBLNG_CAPEX_CCM AS STRING)) IN ('N/A','11111111111','11111111111.00','11111111111.000000','1111-11-11'),1,0)) AS NUM_REG_DIF,'10' AS ID_EXEC, CURRENT_TIMESTAMP() AS TIME_EXEC FROM (SELECT entty_id, ENBLNG_CAPEX_CCM FROM BU_LOANTAPE_WORK.LT003_ENTITY WHERE ref_date='${ref_date}' AND nome_perimetro='Individual Corporativo' AND segmento='ESTR' AND ambito='PILAR3')X</v>
      </c>
      <c r="M401" s="43" t="str">
        <f t="shared" si="6"/>
        <v>UNION ALL SELECT 'ENTITY' AS TABELA, 'NOT APPLICABLE' AS TIPOLOGIA_TESTE,'BU_LOANTAPE_WORK.LT003_ENTITY' AS TABELA_LT,'N/A' AS TABELA_SIMUL,'ENBLNG_CAPEX_CCM' AS CAMPO, '${ref_date}' AS REF_DATE, COUNT(*) AS NUM_REG, SUM(IF(TRIM(CAST(X.ENBLNG_CAPEX_CCM AS STRING)) IN ('N/A','11111111111','11111111111.00','11111111111.000000','1111-11-11'),1,0)) AS NUM_REG_DIF,'10' AS ID_EXEC, CURRENT_TIMESTAMP() AS TIME_EXEC FROM (SELECT entty_id, ENBLNG_CAPEX_CCM FROM BU_LOANTAPE_WORK.LT003_ENTITY WHERE ref_date='${ref_date}' AND nome_perimetro='Individual Corporativo' AND segmento='ESTR' AND ambito='PILAR3')X</v>
      </c>
      <c r="N401" s="45" t="s">
        <v>13</v>
      </c>
    </row>
    <row r="402" spans="2:14">
      <c r="B402" s="41" t="s">
        <v>23</v>
      </c>
      <c r="C402" s="41" t="s">
        <v>78</v>
      </c>
      <c r="D402" s="41" t="str">
        <f>+UPPER('0. Instruções'!$D$33&amp;"."&amp;VLOOKUP(B402,'0. Instruções'!$C$27:$D$31,2,FALSE))</f>
        <v>BU_LOANTAPE_WORK.LT003_ENTITY</v>
      </c>
      <c r="E402" s="41" t="str">
        <f>+UPPER('0. Instruções'!$D$34&amp;"."&amp;VLOOKUP(B402,'0. Instruções'!$C$27:$E$31,3,FALSE))</f>
        <v>BU_LOANTAPE_WORK.LT003_ENTTY_P3_NOV24</v>
      </c>
      <c r="F402" s="41" t="s">
        <v>107</v>
      </c>
      <c r="G402" s="41" t="s">
        <v>210</v>
      </c>
      <c r="H402" s="41"/>
      <c r="I402" s="41" t="str">
        <f>"(SELECT "&amp;VLOOKUP(B402,'0. Instruções'!$C$27:$G$31,4,FALSE)&amp;", "&amp;F402&amp;" FROM "&amp;D402&amp;" WHERE "&amp;'0. Instruções'!$D$40&amp;")X"</f>
        <v>(SELECT entty_id, ENBLNG_CAPEX_CCA FROM BU_LOANTAPE_WORK.LT003_ENTITY WHERE ref_date='${ref_date}' AND nome_perimetro='Individual Corporativo' AND segmento='ESTR' AND ambito='PILAR3')X</v>
      </c>
      <c r="J402" s="41" t="str">
        <f>"(SELECT "&amp;VLOOKUP(B402,'0. Instruções'!$C$27:$G$31,4,FALSE)&amp;" AS "&amp;VLOOKUP(B402,'0. Instruções'!$C$27:$G$31,4,FALSE)&amp;"_SIMUL, "&amp;F402&amp;" AS "&amp;F402&amp;"_SIMUL FROM "&amp;E402&amp;")Y"</f>
        <v>(SELECT entty_id AS entty_id_SIMUL, ENBLNG_CAPEX_CCA AS ENBLNG_CAPEX_CCA_SIMUL FROM BU_LOANTAPE_WORK.LT003_ENTTY_P3_NOV24)Y</v>
      </c>
      <c r="K402" s="42" t="str">
        <f>+UPPER("ON X."&amp;VLOOKUP(B402,'0. Instruções'!$C$27:$G$31,4,FALSE)&amp;"=Y."&amp;VLOOKUP(B402,'0. Instruções'!$C$27:$G$31,4,FALSE)&amp;"_SIMUL")</f>
        <v>ON X.ENTTY_ID=Y.ENTTY_ID_SIMUL</v>
      </c>
      <c r="L402" s="42" t="str">
        <f>+IF(C402="Coerência", +IF(LEFT(G402,5)="FLOAT","SELECT '"&amp;UPPER(B402)&amp;"' AS TABELA, '"&amp;UPPER(C402)&amp;"' AS TIPOLOGIA_TESTE,'"&amp;D402&amp;"' AS TABELA_LT,'"&amp;E402&amp;"' AS TABELA_SIMUL,'"&amp;F402&amp;"' AS CAMPO, "&amp;"'${ref_date}' AS REF_DATE, COUNT(*) AS NUM_REG, SUM(IF((ABS(COALESCE(X."&amp;F402&amp;",0)-COALESCE(Y."&amp;F402&amp;"_SIMUL,0))&gt;0.0000000001) OR (X."&amp;F402&amp;" IS NULL AND Y."&amp;F402&amp;"_SIMUL IS NOT NULL ) OR (X."&amp;F402&amp;" IS NOT NULL AND Y."&amp;F402&amp;"_SIMUL IS NULL),1,0)) AS NUM_REG_DIF,'"&amp;MAX('ID1&amp;5'!K:K)+1&amp;"' AS ID_EXEC, CURRENT_TIMESTAMP() AS TIME_EXEC FROM "&amp;I402&amp;" INNER JOIN "&amp;J402&amp;" "&amp;K402,"SELECT '"&amp;UPPER(B402)&amp;"' AS TABELA, '"&amp;UPPER(C402)&amp;"' AS TIPOLOGIA_TESTE,'"&amp;D402&amp;"' AS TABELA_LT,'"&amp;E402&amp;"' AS TABELA_SIMUL,'"&amp;F402&amp;"' AS CAMPO, "&amp;"'${ref_date}' AS REF_DATE, COUNT(*) AS NUM_REG, SUM(IF(COALESCE(CAST(X."&amp;F402&amp;" AS STRING),'')&lt;&gt;COALESCE(CAST(Y."&amp;F402&amp;"_SIMUL AS STRING),''),1,0)) AS NUM_REG_DIF,'"&amp;MAX('ID1&amp;5'!L:L)+1&amp;"' AS ID_EXEC, CURRENT_TIMESTAMP() AS TIME_EXEC FROM "&amp;I402&amp;" INNER JOIN "&amp;J402&amp;" "&amp;K402),
IF(C402="Validade",+IF(G402="Code List","SELECT '"&amp;UPPER(B402)&amp;"' AS TABELA, '"&amp;UPPER(C402)&amp;"' AS TIPOLOGIA_TESTE,'"&amp;D402&amp;"' AS TABELA_LT,'N/A' AS TABELA_SIMUL,'"&amp;F402&amp;"' AS CAMPO, "&amp;"'${ref_date}' AS REF_DATE, COUNT(*) AS NUM_REG, SUM(IF(TRIM(CAST(X."&amp;F402&amp;" AS STRING))='' OR TRIM(CAST(X."&amp;F402&amp;" AS STRING)) IS NULL OR CAST(X."&amp;F402&amp;" AS STRING) NOT "&amp;H402&amp;",1,0)) AS NUM_REG_DIF,'"&amp;MAX('ID1&amp;5'!K:K)+1&amp;"' AS ID_EXEC, CURRENT_TIMESTAMP() AS TIME_EXEC FROM "&amp;I402,"SELECT '"&amp;UPPER(B402)&amp;"' AS TABELA, '"&amp;UPPER(C402)&amp;"' AS TIPOLOGIA_TESTE,'"&amp;D402&amp;"' AS TABELA_LT,'N/A' AS TABELA_SIMUL,'"&amp;F402&amp;"' AS CAMPO, "&amp;"'${ref_date}' AS REF_DATE, COUNT(*) AS NUM_REG, SUM(IF(TRIM(CAST(X."&amp;F402&amp;" AS STRING))='' OR TRIM(CAST(X."&amp;F402&amp;" AS STRING)) IS NULL,1,0)) AS NUM_REG_DIF,'"&amp;MAX('ID1&amp;5'!K:K)+1&amp;"' AS ID_EXEC, CURRENT_TIMESTAMP() AS TIME_EXEC FROM "&amp;I402),
IF(C402="Caracteres Especiais",+"SELECT '"&amp;UPPER(B402)&amp;"' AS TABELA, '"&amp;UPPER(C402)&amp;"' AS TIPOLOGIA_TESTE,'"&amp;D402&amp;"' AS TABELA_LT,'N/A' AS TABELA_SIMUL,'"&amp;F402&amp;"' AS CAMPO, "&amp;"'${ref_date}' AS REF_DATE, COUNT(*) AS NUM_REG, SUM(IF(INSTR(CAST(X."&amp;F402&amp;" AS STRING),'#')&gt;0 OR INSTR(CAST(X."&amp;F402&amp;" AS STRING),'*')&gt;0 OR INSTR(CAST(X."&amp;F402&amp;" AS STRING),'`')&gt;0 OR INSTR(CAST(X."&amp;F402&amp;" AS STRING),'´')&gt;0 OR INSTR(CAST(X."&amp;F402&amp;" AS STRING),'{')&gt;0 OR INSTR(CAST(X."&amp;F402&amp;" AS STRING),'}')&gt;0 OR INSTR(CAST(X."&amp;F402&amp;" AS STRING),'[')&gt;0 OR INSTR(CAST(X."&amp;F402&amp;" AS STRING),'')&gt;0 OR INSTR(CAST(X."&amp;F402&amp;" AS STRING),']')&gt;0 OR INSTR(CAST(X."&amp;F402&amp;" AS STRING),'?')&gt;0 OR INSTR(CAST(X."&amp;F402&amp;" AS STRING),'!')&gt;0 OR INSTR(CAST(X."&amp;F402&amp;" AS STRING),'$')&gt;0 OR INSTR(CAST(X."&amp;F402&amp;" AS STRING),'%')&gt;0 OR INSTR(CAST(X."&amp;F402&amp;" AS STRING),'&amp;')&gt;0 OR INSTR(CAST(X."&amp;F402&amp;" AS STRING),'+')&gt;0,1,0)) AS NUM_REG_DIF,'"&amp;MAX('ID1&amp;5'!K:K)+1&amp;"' AS ID_EXEC, CURRENT_TIMESTAMP() AS TIME_EXEC FROM "&amp;I402,
IF(C402="Missings",+"SELECT '"&amp;UPPER(B402)&amp;"' AS TABELA, '"&amp;UPPER(C402)&amp;"' AS TIPOLOGIA_TESTE,'"&amp;D402&amp;"' AS TABELA_LT,'N/A' AS TABELA_SIMUL,'"&amp;F402&amp;"' AS CAMPO, "&amp;"'${ref_date}' AS REF_DATE, COUNT(*) AS NUM_REG, SUM(IF(TRIM(CAST(X."&amp;F402&amp;" AS STRING)) IN ('0000-00-00','0001-01-01','9999-12-31','MISS','00000','99999999999','99999999999.00','99999999999.000000'),1,0)) AS NUM_REG_DIF,'"&amp;MAX('ID1&amp;5'!K:K)+1&amp;"' AS ID_EXEC, CURRENT_TIMESTAMP() AS TIME_EXEC FROM "&amp;I402,
IF(C402="Not applicable",+"SELECT '"&amp;UPPER(B402)&amp;"' AS TABELA, '"&amp;UPPER(C402)&amp;"' AS TIPOLOGIA_TESTE,'"&amp;D402&amp;"' AS TABELA_LT,'N/A' AS TABELA_SIMUL,'"&amp;F402&amp;"' AS CAMPO, "&amp;"'${ref_date}' AS REF_DATE, COUNT(*) AS NUM_REG, SUM(IF(TRIM(CAST(X."&amp;F402&amp;" AS STRING)) IN ('N/A','11111111111','11111111111.00','11111111111.000000','1111-11-11'),1,0)) AS NUM_REG_DIF,'"&amp;MAX('ID1&amp;5'!K:K)+1&amp;"' AS ID_EXEC, CURRENT_TIMESTAMP() AS TIME_EXEC FROM "&amp;I402,
IF(C402="Valores extremos",+"SELECT '"&amp;UPPER(B402)&amp;"' AS TABELA, '"&amp;UPPER(C402)&amp;"' AS TIPOLOGIA_TESTE,'"&amp;D402&amp;"' AS TABELA_LT,'N/A' AS TABELA_SIMUL,'"&amp;F402&amp;"' AS CAMPO, "&amp;"'${ref_date}' AS REF_DATE, CAST(MIN("&amp;F402&amp;") AS STRING) AS VALOR_MIN, CAST(MAX("&amp;F402&amp;") AS STRING) AS VALOR_MAX,'"&amp;MAX('ID1&amp;5'!K:K)+1&amp;"' AS ID_EXEC, CURRENT_TIMESTAMP() AS TIME_EXEC FROM "&amp;MID(I402,1,LEN(I402)-2)&amp;" AND CAST("&amp;F402&amp;"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TABELA_SIMUL,'ENBLNG_CAPEX_CCA' AS CAMPO, '${ref_date}' AS REF_DATE, COUNT(*) AS NUM_REG, SUM(IF(TRIM(CAST(X.ENBLNG_CAPEX_CCA AS STRING)) IN ('N/A','11111111111','11111111111.00','11111111111.000000','1111-11-11'),1,0)) AS NUM_REG_DIF,'10' AS ID_EXEC, CURRENT_TIMESTAMP() AS TIME_EXEC FROM (SELECT entty_id, ENBLNG_CAPEX_CCA FROM BU_LOANTAPE_WORK.LT003_ENTITY WHERE ref_date='${ref_date}' AND nome_perimetro='Individual Corporativo' AND segmento='ESTR' AND ambito='PILAR3')X</v>
      </c>
      <c r="M402" s="43" t="str">
        <f t="shared" si="6"/>
        <v>UNION ALL SELECT 'ENTITY' AS TABELA, 'NOT APPLICABLE' AS TIPOLOGIA_TESTE,'BU_LOANTAPE_WORK.LT003_ENTITY' AS TABELA_LT,'N/A' AS TABELA_SIMUL,'ENBLNG_CAPEX_CCA' AS CAMPO, '${ref_date}' AS REF_DATE, COUNT(*) AS NUM_REG, SUM(IF(TRIM(CAST(X.ENBLNG_CAPEX_CCA AS STRING)) IN ('N/A','11111111111','11111111111.00','11111111111.000000','1111-11-11'),1,0)) AS NUM_REG_DIF,'10' AS ID_EXEC, CURRENT_TIMESTAMP() AS TIME_EXEC FROM (SELECT entty_id, ENBLNG_CAPEX_CCA FROM BU_LOANTAPE_WORK.LT003_ENTITY WHERE ref_date='${ref_date}' AND nome_perimetro='Individual Corporativo' AND segmento='ESTR' AND ambito='PILAR3')X</v>
      </c>
      <c r="N402" s="45" t="s">
        <v>13</v>
      </c>
    </row>
    <row r="403" spans="2:14">
      <c r="B403" s="41" t="s">
        <v>23</v>
      </c>
      <c r="C403" s="41" t="s">
        <v>78</v>
      </c>
      <c r="D403" s="41" t="str">
        <f>+UPPER('0. Instruções'!$D$33&amp;"."&amp;VLOOKUP(B403,'0. Instruções'!$C$27:$D$31,2,FALSE))</f>
        <v>BU_LOANTAPE_WORK.LT003_ENTITY</v>
      </c>
      <c r="E403" s="41" t="str">
        <f>+UPPER('0. Instruções'!$D$34&amp;"."&amp;VLOOKUP(B403,'0. Instruções'!$C$27:$E$31,3,FALSE))</f>
        <v>BU_LOANTAPE_WORK.LT003_ENTTY_P3_NOV24</v>
      </c>
      <c r="F403" s="41" t="s">
        <v>108</v>
      </c>
      <c r="G403" s="41" t="s">
        <v>210</v>
      </c>
      <c r="H403" s="41"/>
      <c r="I403" s="41" t="str">
        <f>"(SELECT "&amp;VLOOKUP(B403,'0. Instruções'!$C$27:$G$31,4,FALSE)&amp;", "&amp;F403&amp;" FROM "&amp;D403&amp;" WHERE "&amp;'0. Instruções'!$D$40&amp;")X"</f>
        <v>(SELECT entty_id, TRNSTNL_CAPEX FROM BU_LOANTAPE_WORK.LT003_ENTITY WHERE ref_date='${ref_date}' AND nome_perimetro='Individual Corporativo' AND segmento='ESTR' AND ambito='PILAR3')X</v>
      </c>
      <c r="J403" s="41" t="str">
        <f>"(SELECT "&amp;VLOOKUP(B403,'0. Instruções'!$C$27:$G$31,4,FALSE)&amp;" AS "&amp;VLOOKUP(B403,'0. Instruções'!$C$27:$G$31,4,FALSE)&amp;"_SIMUL, "&amp;F403&amp;" AS "&amp;F403&amp;"_SIMUL FROM "&amp;E403&amp;")Y"</f>
        <v>(SELECT entty_id AS entty_id_SIMUL, TRNSTNL_CAPEX AS TRNSTNL_CAPEX_SIMUL FROM BU_LOANTAPE_WORK.LT003_ENTTY_P3_NOV24)Y</v>
      </c>
      <c r="K403" s="42" t="str">
        <f>+UPPER("ON X."&amp;VLOOKUP(B403,'0. Instruções'!$C$27:$G$31,4,FALSE)&amp;"=Y."&amp;VLOOKUP(B403,'0. Instruções'!$C$27:$G$31,4,FALSE)&amp;"_SIMUL")</f>
        <v>ON X.ENTTY_ID=Y.ENTTY_ID_SIMUL</v>
      </c>
      <c r="L403" s="42" t="str">
        <f>+IF(C403="Coerência", +IF(LEFT(G403,5)="FLOAT","SELECT '"&amp;UPPER(B403)&amp;"' AS TABELA, '"&amp;UPPER(C403)&amp;"' AS TIPOLOGIA_TESTE,'"&amp;D403&amp;"' AS TABELA_LT,'"&amp;E403&amp;"' AS TABELA_SIMUL,'"&amp;F403&amp;"' AS CAMPO, "&amp;"'${ref_date}' AS REF_DATE, COUNT(*) AS NUM_REG, SUM(IF((ABS(COALESCE(X."&amp;F403&amp;",0)-COALESCE(Y."&amp;F403&amp;"_SIMUL,0))&gt;0.0000000001) OR (X."&amp;F403&amp;" IS NULL AND Y."&amp;F403&amp;"_SIMUL IS NOT NULL ) OR (X."&amp;F403&amp;" IS NOT NULL AND Y."&amp;F403&amp;"_SIMUL IS NULL),1,0)) AS NUM_REG_DIF,'"&amp;MAX('ID1&amp;5'!K:K)+1&amp;"' AS ID_EXEC, CURRENT_TIMESTAMP() AS TIME_EXEC FROM "&amp;I403&amp;" INNER JOIN "&amp;J403&amp;" "&amp;K403,"SELECT '"&amp;UPPER(B403)&amp;"' AS TABELA, '"&amp;UPPER(C403)&amp;"' AS TIPOLOGIA_TESTE,'"&amp;D403&amp;"' AS TABELA_LT,'"&amp;E403&amp;"' AS TABELA_SIMUL,'"&amp;F403&amp;"' AS CAMPO, "&amp;"'${ref_date}' AS REF_DATE, COUNT(*) AS NUM_REG, SUM(IF(COALESCE(CAST(X."&amp;F403&amp;" AS STRING),'')&lt;&gt;COALESCE(CAST(Y."&amp;F403&amp;"_SIMUL AS STRING),''),1,0)) AS NUM_REG_DIF,'"&amp;MAX('ID1&amp;5'!L:L)+1&amp;"' AS ID_EXEC, CURRENT_TIMESTAMP() AS TIME_EXEC FROM "&amp;I403&amp;" INNER JOIN "&amp;J403&amp;" "&amp;K403),
IF(C403="Validade",+IF(G403="Code List","SELECT '"&amp;UPPER(B403)&amp;"' AS TABELA, '"&amp;UPPER(C403)&amp;"' AS TIPOLOGIA_TESTE,'"&amp;D403&amp;"' AS TABELA_LT,'N/A' AS TABELA_SIMUL,'"&amp;F403&amp;"' AS CAMPO, "&amp;"'${ref_date}' AS REF_DATE, COUNT(*) AS NUM_REG, SUM(IF(TRIM(CAST(X."&amp;F403&amp;" AS STRING))='' OR TRIM(CAST(X."&amp;F403&amp;" AS STRING)) IS NULL OR CAST(X."&amp;F403&amp;" AS STRING) NOT "&amp;H403&amp;",1,0)) AS NUM_REG_DIF,'"&amp;MAX('ID1&amp;5'!K:K)+1&amp;"' AS ID_EXEC, CURRENT_TIMESTAMP() AS TIME_EXEC FROM "&amp;I403,"SELECT '"&amp;UPPER(B403)&amp;"' AS TABELA, '"&amp;UPPER(C403)&amp;"' AS TIPOLOGIA_TESTE,'"&amp;D403&amp;"' AS TABELA_LT,'N/A' AS TABELA_SIMUL,'"&amp;F403&amp;"' AS CAMPO, "&amp;"'${ref_date}' AS REF_DATE, COUNT(*) AS NUM_REG, SUM(IF(TRIM(CAST(X."&amp;F403&amp;" AS STRING))='' OR TRIM(CAST(X."&amp;F403&amp;" AS STRING)) IS NULL,1,0)) AS NUM_REG_DIF,'"&amp;MAX('ID1&amp;5'!K:K)+1&amp;"' AS ID_EXEC, CURRENT_TIMESTAMP() AS TIME_EXEC FROM "&amp;I403),
IF(C403="Caracteres Especiais",+"SELECT '"&amp;UPPER(B403)&amp;"' AS TABELA, '"&amp;UPPER(C403)&amp;"' AS TIPOLOGIA_TESTE,'"&amp;D403&amp;"' AS TABELA_LT,'N/A' AS TABELA_SIMUL,'"&amp;F403&amp;"' AS CAMPO, "&amp;"'${ref_date}' AS REF_DATE, COUNT(*) AS NUM_REG, SUM(IF(INSTR(CAST(X."&amp;F403&amp;" AS STRING),'#')&gt;0 OR INSTR(CAST(X."&amp;F403&amp;" AS STRING),'*')&gt;0 OR INSTR(CAST(X."&amp;F403&amp;" AS STRING),'`')&gt;0 OR INSTR(CAST(X."&amp;F403&amp;" AS STRING),'´')&gt;0 OR INSTR(CAST(X."&amp;F403&amp;" AS STRING),'{')&gt;0 OR INSTR(CAST(X."&amp;F403&amp;" AS STRING),'}')&gt;0 OR INSTR(CAST(X."&amp;F403&amp;" AS STRING),'[')&gt;0 OR INSTR(CAST(X."&amp;F403&amp;" AS STRING),'')&gt;0 OR INSTR(CAST(X."&amp;F403&amp;" AS STRING),']')&gt;0 OR INSTR(CAST(X."&amp;F403&amp;" AS STRING),'?')&gt;0 OR INSTR(CAST(X."&amp;F403&amp;" AS STRING),'!')&gt;0 OR INSTR(CAST(X."&amp;F403&amp;" AS STRING),'$')&gt;0 OR INSTR(CAST(X."&amp;F403&amp;" AS STRING),'%')&gt;0 OR INSTR(CAST(X."&amp;F403&amp;" AS STRING),'&amp;')&gt;0 OR INSTR(CAST(X."&amp;F403&amp;" AS STRING),'+')&gt;0,1,0)) AS NUM_REG_DIF,'"&amp;MAX('ID1&amp;5'!K:K)+1&amp;"' AS ID_EXEC, CURRENT_TIMESTAMP() AS TIME_EXEC FROM "&amp;I403,
IF(C403="Missings",+"SELECT '"&amp;UPPER(B403)&amp;"' AS TABELA, '"&amp;UPPER(C403)&amp;"' AS TIPOLOGIA_TESTE,'"&amp;D403&amp;"' AS TABELA_LT,'N/A' AS TABELA_SIMUL,'"&amp;F403&amp;"' AS CAMPO, "&amp;"'${ref_date}' AS REF_DATE, COUNT(*) AS NUM_REG, SUM(IF(TRIM(CAST(X."&amp;F403&amp;" AS STRING)) IN ('0000-00-00','0001-01-01','9999-12-31','MISS','00000','99999999999','99999999999.00','99999999999.000000'),1,0)) AS NUM_REG_DIF,'"&amp;MAX('ID1&amp;5'!K:K)+1&amp;"' AS ID_EXEC, CURRENT_TIMESTAMP() AS TIME_EXEC FROM "&amp;I403,
IF(C403="Not applicable",+"SELECT '"&amp;UPPER(B403)&amp;"' AS TABELA, '"&amp;UPPER(C403)&amp;"' AS TIPOLOGIA_TESTE,'"&amp;D403&amp;"' AS TABELA_LT,'N/A' AS TABELA_SIMUL,'"&amp;F403&amp;"' AS CAMPO, "&amp;"'${ref_date}' AS REF_DATE, COUNT(*) AS NUM_REG, SUM(IF(TRIM(CAST(X."&amp;F403&amp;" AS STRING)) IN ('N/A','11111111111','11111111111.00','11111111111.000000','1111-11-11'),1,0)) AS NUM_REG_DIF,'"&amp;MAX('ID1&amp;5'!K:K)+1&amp;"' AS ID_EXEC, CURRENT_TIMESTAMP() AS TIME_EXEC FROM "&amp;I403,
IF(C403="Valores extremos",+"SELECT '"&amp;UPPER(B403)&amp;"' AS TABELA, '"&amp;UPPER(C403)&amp;"' AS TIPOLOGIA_TESTE,'"&amp;D403&amp;"' AS TABELA_LT,'N/A' AS TABELA_SIMUL,'"&amp;F403&amp;"' AS CAMPO, "&amp;"'${ref_date}' AS REF_DATE, CAST(MIN("&amp;F403&amp;") AS STRING) AS VALOR_MIN, CAST(MAX("&amp;F403&amp;") AS STRING) AS VALOR_MAX,'"&amp;MAX('ID1&amp;5'!K:K)+1&amp;"' AS ID_EXEC, CURRENT_TIMESTAMP() AS TIME_EXEC FROM "&amp;MID(I403,1,LEN(I403)-2)&amp;" AND CAST("&amp;F403&amp;"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TABELA_SIMUL,'TRNSTNL_CAPEX' AS CAMPO, '${ref_date}' AS REF_DATE, COUNT(*) AS NUM_REG, SUM(IF(TRIM(CAST(X.TRNSTNL_CAPEX AS STRING)) IN ('N/A','11111111111','11111111111.00','11111111111.000000','1111-11-11'),1,0)) AS NUM_REG_DIF,'10' AS ID_EXEC, CURRENT_TIMESTAMP() AS TIME_EXEC FROM (SELECT entty_id, TRNSTNL_CAPEX FROM BU_LOANTAPE_WORK.LT003_ENTITY WHERE ref_date='${ref_date}' AND nome_perimetro='Individual Corporativo' AND segmento='ESTR' AND ambito='PILAR3')X</v>
      </c>
      <c r="M403" s="43" t="str">
        <f t="shared" si="6"/>
        <v>UNION ALL SELECT 'ENTITY' AS TABELA, 'NOT APPLICABLE' AS TIPOLOGIA_TESTE,'BU_LOANTAPE_WORK.LT003_ENTITY' AS TABELA_LT,'N/A' AS TABELA_SIMUL,'TRNSTNL_CAPEX' AS CAMPO, '${ref_date}' AS REF_DATE, COUNT(*) AS NUM_REG, SUM(IF(TRIM(CAST(X.TRNSTNL_CAPEX AS STRING)) IN ('N/A','11111111111','11111111111.00','11111111111.000000','1111-11-11'),1,0)) AS NUM_REG_DIF,'10' AS ID_EXEC, CURRENT_TIMESTAMP() AS TIME_EXEC FROM (SELECT entty_id, TRNSTNL_CAPEX FROM BU_LOANTAPE_WORK.LT003_ENTITY WHERE ref_date='${ref_date}' AND nome_perimetro='Individual Corporativo' AND segmento='ESTR' AND ambito='PILAR3')X</v>
      </c>
      <c r="N403" s="45" t="s">
        <v>13</v>
      </c>
    </row>
    <row r="404" spans="2:14">
      <c r="B404" s="41" t="s">
        <v>23</v>
      </c>
      <c r="C404" s="41" t="s">
        <v>78</v>
      </c>
      <c r="D404" s="41" t="str">
        <f>+UPPER('0. Instruções'!$D$33&amp;"."&amp;VLOOKUP(B404,'0. Instruções'!$C$27:$D$31,2,FALSE))</f>
        <v>BU_LOANTAPE_WORK.LT003_ENTITY</v>
      </c>
      <c r="E404" s="41" t="str">
        <f>+UPPER('0. Instruções'!$D$34&amp;"."&amp;VLOOKUP(B404,'0. Instruções'!$C$27:$E$31,3,FALSE))</f>
        <v>BU_LOANTAPE_WORK.LT003_ENTTY_P3_NOV24</v>
      </c>
      <c r="F404" s="41" t="s">
        <v>109</v>
      </c>
      <c r="G404" s="41" t="s">
        <v>210</v>
      </c>
      <c r="H404" s="41"/>
      <c r="I404" s="41" t="str">
        <f>"(SELECT "&amp;VLOOKUP(B404,'0. Instruções'!$C$27:$G$31,4,FALSE)&amp;", "&amp;F404&amp;" FROM "&amp;D404&amp;" WHERE "&amp;'0. Instruções'!$D$40&amp;")X"</f>
        <v>(SELECT entty_id, PURE_CAPEX_CCM FROM BU_LOANTAPE_WORK.LT003_ENTITY WHERE ref_date='${ref_date}' AND nome_perimetro='Individual Corporativo' AND segmento='ESTR' AND ambito='PILAR3')X</v>
      </c>
      <c r="J404" s="41" t="str">
        <f>"(SELECT "&amp;VLOOKUP(B404,'0. Instruções'!$C$27:$G$31,4,FALSE)&amp;" AS "&amp;VLOOKUP(B404,'0. Instruções'!$C$27:$G$31,4,FALSE)&amp;"_SIMUL, "&amp;F404&amp;" AS "&amp;F404&amp;"_SIMUL FROM "&amp;E404&amp;")Y"</f>
        <v>(SELECT entty_id AS entty_id_SIMUL, PURE_CAPEX_CCM AS PURE_CAPEX_CCM_SIMUL FROM BU_LOANTAPE_WORK.LT003_ENTTY_P3_NOV24)Y</v>
      </c>
      <c r="K404" s="42" t="str">
        <f>+UPPER("ON X."&amp;VLOOKUP(B404,'0. Instruções'!$C$27:$G$31,4,FALSE)&amp;"=Y."&amp;VLOOKUP(B404,'0. Instruções'!$C$27:$G$31,4,FALSE)&amp;"_SIMUL")</f>
        <v>ON X.ENTTY_ID=Y.ENTTY_ID_SIMUL</v>
      </c>
      <c r="L404" s="42" t="str">
        <f>+IF(C404="Coerência", +IF(LEFT(G404,5)="FLOAT","SELECT '"&amp;UPPER(B404)&amp;"' AS TABELA, '"&amp;UPPER(C404)&amp;"' AS TIPOLOGIA_TESTE,'"&amp;D404&amp;"' AS TABELA_LT,'"&amp;E404&amp;"' AS TABELA_SIMUL,'"&amp;F404&amp;"' AS CAMPO, "&amp;"'${ref_date}' AS REF_DATE, COUNT(*) AS NUM_REG, SUM(IF((ABS(COALESCE(X."&amp;F404&amp;",0)-COALESCE(Y."&amp;F404&amp;"_SIMUL,0))&gt;0.0000000001) OR (X."&amp;F404&amp;" IS NULL AND Y."&amp;F404&amp;"_SIMUL IS NOT NULL ) OR (X."&amp;F404&amp;" IS NOT NULL AND Y."&amp;F404&amp;"_SIMUL IS NULL),1,0)) AS NUM_REG_DIF,'"&amp;MAX('ID1&amp;5'!K:K)+1&amp;"' AS ID_EXEC, CURRENT_TIMESTAMP() AS TIME_EXEC FROM "&amp;I404&amp;" INNER JOIN "&amp;J404&amp;" "&amp;K404,"SELECT '"&amp;UPPER(B404)&amp;"' AS TABELA, '"&amp;UPPER(C404)&amp;"' AS TIPOLOGIA_TESTE,'"&amp;D404&amp;"' AS TABELA_LT,'"&amp;E404&amp;"' AS TABELA_SIMUL,'"&amp;F404&amp;"' AS CAMPO, "&amp;"'${ref_date}' AS REF_DATE, COUNT(*) AS NUM_REG, SUM(IF(COALESCE(CAST(X."&amp;F404&amp;" AS STRING),'')&lt;&gt;COALESCE(CAST(Y."&amp;F404&amp;"_SIMUL AS STRING),''),1,0)) AS NUM_REG_DIF,'"&amp;MAX('ID1&amp;5'!L:L)+1&amp;"' AS ID_EXEC, CURRENT_TIMESTAMP() AS TIME_EXEC FROM "&amp;I404&amp;" INNER JOIN "&amp;J404&amp;" "&amp;K404),
IF(C404="Validade",+IF(G404="Code List","SELECT '"&amp;UPPER(B404)&amp;"' AS TABELA, '"&amp;UPPER(C404)&amp;"' AS TIPOLOGIA_TESTE,'"&amp;D404&amp;"' AS TABELA_LT,'N/A' AS TABELA_SIMUL,'"&amp;F404&amp;"' AS CAMPO, "&amp;"'${ref_date}' AS REF_DATE, COUNT(*) AS NUM_REG, SUM(IF(TRIM(CAST(X."&amp;F404&amp;" AS STRING))='' OR TRIM(CAST(X."&amp;F404&amp;" AS STRING)) IS NULL OR CAST(X."&amp;F404&amp;" AS STRING) NOT "&amp;H404&amp;",1,0)) AS NUM_REG_DIF,'"&amp;MAX('ID1&amp;5'!K:K)+1&amp;"' AS ID_EXEC, CURRENT_TIMESTAMP() AS TIME_EXEC FROM "&amp;I404,"SELECT '"&amp;UPPER(B404)&amp;"' AS TABELA, '"&amp;UPPER(C404)&amp;"' AS TIPOLOGIA_TESTE,'"&amp;D404&amp;"' AS TABELA_LT,'N/A' AS TABELA_SIMUL,'"&amp;F404&amp;"' AS CAMPO, "&amp;"'${ref_date}' AS REF_DATE, COUNT(*) AS NUM_REG, SUM(IF(TRIM(CAST(X."&amp;F404&amp;" AS STRING))='' OR TRIM(CAST(X."&amp;F404&amp;" AS STRING)) IS NULL,1,0)) AS NUM_REG_DIF,'"&amp;MAX('ID1&amp;5'!K:K)+1&amp;"' AS ID_EXEC, CURRENT_TIMESTAMP() AS TIME_EXEC FROM "&amp;I404),
IF(C404="Caracteres Especiais",+"SELECT '"&amp;UPPER(B404)&amp;"' AS TABELA, '"&amp;UPPER(C404)&amp;"' AS TIPOLOGIA_TESTE,'"&amp;D404&amp;"' AS TABELA_LT,'N/A' AS TABELA_SIMUL,'"&amp;F404&amp;"' AS CAMPO, "&amp;"'${ref_date}' AS REF_DATE, COUNT(*) AS NUM_REG, SUM(IF(INSTR(CAST(X."&amp;F404&amp;" AS STRING),'#')&gt;0 OR INSTR(CAST(X."&amp;F404&amp;" AS STRING),'*')&gt;0 OR INSTR(CAST(X."&amp;F404&amp;" AS STRING),'`')&gt;0 OR INSTR(CAST(X."&amp;F404&amp;" AS STRING),'´')&gt;0 OR INSTR(CAST(X."&amp;F404&amp;" AS STRING),'{')&gt;0 OR INSTR(CAST(X."&amp;F404&amp;" AS STRING),'}')&gt;0 OR INSTR(CAST(X."&amp;F404&amp;" AS STRING),'[')&gt;0 OR INSTR(CAST(X."&amp;F404&amp;" AS STRING),'')&gt;0 OR INSTR(CAST(X."&amp;F404&amp;" AS STRING),']')&gt;0 OR INSTR(CAST(X."&amp;F404&amp;" AS STRING),'?')&gt;0 OR INSTR(CAST(X."&amp;F404&amp;" AS STRING),'!')&gt;0 OR INSTR(CAST(X."&amp;F404&amp;" AS STRING),'$')&gt;0 OR INSTR(CAST(X."&amp;F404&amp;" AS STRING),'%')&gt;0 OR INSTR(CAST(X."&amp;F404&amp;" AS STRING),'&amp;')&gt;0 OR INSTR(CAST(X."&amp;F404&amp;" AS STRING),'+')&gt;0,1,0)) AS NUM_REG_DIF,'"&amp;MAX('ID1&amp;5'!K:K)+1&amp;"' AS ID_EXEC, CURRENT_TIMESTAMP() AS TIME_EXEC FROM "&amp;I404,
IF(C404="Missings",+"SELECT '"&amp;UPPER(B404)&amp;"' AS TABELA, '"&amp;UPPER(C404)&amp;"' AS TIPOLOGIA_TESTE,'"&amp;D404&amp;"' AS TABELA_LT,'N/A' AS TABELA_SIMUL,'"&amp;F404&amp;"' AS CAMPO, "&amp;"'${ref_date}' AS REF_DATE, COUNT(*) AS NUM_REG, SUM(IF(TRIM(CAST(X."&amp;F404&amp;" AS STRING)) IN ('0000-00-00','0001-01-01','9999-12-31','MISS','00000','99999999999','99999999999.00','99999999999.000000'),1,0)) AS NUM_REG_DIF,'"&amp;MAX('ID1&amp;5'!K:K)+1&amp;"' AS ID_EXEC, CURRENT_TIMESTAMP() AS TIME_EXEC FROM "&amp;I404,
IF(C404="Not applicable",+"SELECT '"&amp;UPPER(B404)&amp;"' AS TABELA, '"&amp;UPPER(C404)&amp;"' AS TIPOLOGIA_TESTE,'"&amp;D404&amp;"' AS TABELA_LT,'N/A' AS TABELA_SIMUL,'"&amp;F404&amp;"' AS CAMPO, "&amp;"'${ref_date}' AS REF_DATE, COUNT(*) AS NUM_REG, SUM(IF(TRIM(CAST(X."&amp;F404&amp;" AS STRING)) IN ('N/A','11111111111','11111111111.00','11111111111.000000','1111-11-11'),1,0)) AS NUM_REG_DIF,'"&amp;MAX('ID1&amp;5'!K:K)+1&amp;"' AS ID_EXEC, CURRENT_TIMESTAMP() AS TIME_EXEC FROM "&amp;I404,
IF(C404="Valores extremos",+"SELECT '"&amp;UPPER(B404)&amp;"' AS TABELA, '"&amp;UPPER(C404)&amp;"' AS TIPOLOGIA_TESTE,'"&amp;D404&amp;"' AS TABELA_LT,'N/A' AS TABELA_SIMUL,'"&amp;F404&amp;"' AS CAMPO, "&amp;"'${ref_date}' AS REF_DATE, CAST(MIN("&amp;F404&amp;") AS STRING) AS VALOR_MIN, CAST(MAX("&amp;F404&amp;") AS STRING) AS VALOR_MAX,'"&amp;MAX('ID1&amp;5'!K:K)+1&amp;"' AS ID_EXEC, CURRENT_TIMESTAMP() AS TIME_EXEC FROM "&amp;MID(I404,1,LEN(I404)-2)&amp;" AND CAST("&amp;F404&amp;"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TABELA_SIMUL,'PURE_CAPEX_CCM' AS CAMPO, '${ref_date}' AS REF_DATE, COUNT(*) AS NUM_REG, SUM(IF(TRIM(CAST(X.PURE_CAPEX_CCM AS STRING)) IN ('N/A','11111111111','11111111111.00','11111111111.000000','1111-11-11'),1,0)) AS NUM_REG_DIF,'10' AS ID_EXEC, CURRENT_TIMESTAMP() AS TIME_EXEC FROM (SELECT entty_id, PURE_CAPEX_CCM FROM BU_LOANTAPE_WORK.LT003_ENTITY WHERE ref_date='${ref_date}' AND nome_perimetro='Individual Corporativo' AND segmento='ESTR' AND ambito='PILAR3')X</v>
      </c>
      <c r="M404" s="43" t="str">
        <f t="shared" si="6"/>
        <v>UNION ALL SELECT 'ENTITY' AS TABELA, 'NOT APPLICABLE' AS TIPOLOGIA_TESTE,'BU_LOANTAPE_WORK.LT003_ENTITY' AS TABELA_LT,'N/A' AS TABELA_SIMUL,'PURE_CAPEX_CCM' AS CAMPO, '${ref_date}' AS REF_DATE, COUNT(*) AS NUM_REG, SUM(IF(TRIM(CAST(X.PURE_CAPEX_CCM AS STRING)) IN ('N/A','11111111111','11111111111.00','11111111111.000000','1111-11-11'),1,0)) AS NUM_REG_DIF,'10' AS ID_EXEC, CURRENT_TIMESTAMP() AS TIME_EXEC FROM (SELECT entty_id, PURE_CAPEX_CCM FROM BU_LOANTAPE_WORK.LT003_ENTITY WHERE ref_date='${ref_date}' AND nome_perimetro='Individual Corporativo' AND segmento='ESTR' AND ambito='PILAR3')X</v>
      </c>
      <c r="N404" s="45" t="s">
        <v>13</v>
      </c>
    </row>
    <row r="405" spans="2:14">
      <c r="B405" s="41" t="s">
        <v>23</v>
      </c>
      <c r="C405" s="41" t="s">
        <v>78</v>
      </c>
      <c r="D405" s="41" t="str">
        <f>+UPPER('0. Instruções'!$D$33&amp;"."&amp;VLOOKUP(B405,'0. Instruções'!$C$27:$D$31,2,FALSE))</f>
        <v>BU_LOANTAPE_WORK.LT003_ENTITY</v>
      </c>
      <c r="E405" s="41" t="str">
        <f>+UPPER('0. Instruções'!$D$34&amp;"."&amp;VLOOKUP(B405,'0. Instruções'!$C$27:$E$31,3,FALSE))</f>
        <v>BU_LOANTAPE_WORK.LT003_ENTTY_P3_NOV24</v>
      </c>
      <c r="F405" s="41" t="s">
        <v>110</v>
      </c>
      <c r="G405" s="41" t="s">
        <v>210</v>
      </c>
      <c r="H405" s="41"/>
      <c r="I405" s="41" t="str">
        <f>"(SELECT "&amp;VLOOKUP(B405,'0. Instruções'!$C$27:$G$31,4,FALSE)&amp;", "&amp;F405&amp;" FROM "&amp;D405&amp;" WHERE "&amp;'0. Instruções'!$D$40&amp;")X"</f>
        <v>(SELECT entty_id, PURE_CAPEX_CCA FROM BU_LOANTAPE_WORK.LT003_ENTITY WHERE ref_date='${ref_date}' AND nome_perimetro='Individual Corporativo' AND segmento='ESTR' AND ambito='PILAR3')X</v>
      </c>
      <c r="J405" s="41" t="str">
        <f>"(SELECT "&amp;VLOOKUP(B405,'0. Instruções'!$C$27:$G$31,4,FALSE)&amp;" AS "&amp;VLOOKUP(B405,'0. Instruções'!$C$27:$G$31,4,FALSE)&amp;"_SIMUL, "&amp;F405&amp;" AS "&amp;F405&amp;"_SIMUL FROM "&amp;E405&amp;")Y"</f>
        <v>(SELECT entty_id AS entty_id_SIMUL, PURE_CAPEX_CCA AS PURE_CAPEX_CCA_SIMUL FROM BU_LOANTAPE_WORK.LT003_ENTTY_P3_NOV24)Y</v>
      </c>
      <c r="K405" s="42" t="str">
        <f>+UPPER("ON X."&amp;VLOOKUP(B405,'0. Instruções'!$C$27:$G$31,4,FALSE)&amp;"=Y."&amp;VLOOKUP(B405,'0. Instruções'!$C$27:$G$31,4,FALSE)&amp;"_SIMUL")</f>
        <v>ON X.ENTTY_ID=Y.ENTTY_ID_SIMUL</v>
      </c>
      <c r="L405" s="42" t="str">
        <f>+IF(C405="Coerência", +IF(LEFT(G405,5)="FLOAT","SELECT '"&amp;UPPER(B405)&amp;"' AS TABELA, '"&amp;UPPER(C405)&amp;"' AS TIPOLOGIA_TESTE,'"&amp;D405&amp;"' AS TABELA_LT,'"&amp;E405&amp;"' AS TABELA_SIMUL,'"&amp;F405&amp;"' AS CAMPO, "&amp;"'${ref_date}' AS REF_DATE, COUNT(*) AS NUM_REG, SUM(IF((ABS(COALESCE(X."&amp;F405&amp;",0)-COALESCE(Y."&amp;F405&amp;"_SIMUL,0))&gt;0.0000000001) OR (X."&amp;F405&amp;" IS NULL AND Y."&amp;F405&amp;"_SIMUL IS NOT NULL ) OR (X."&amp;F405&amp;" IS NOT NULL AND Y."&amp;F405&amp;"_SIMUL IS NULL),1,0)) AS NUM_REG_DIF,'"&amp;MAX('ID1&amp;5'!K:K)+1&amp;"' AS ID_EXEC, CURRENT_TIMESTAMP() AS TIME_EXEC FROM "&amp;I405&amp;" INNER JOIN "&amp;J405&amp;" "&amp;K405,"SELECT '"&amp;UPPER(B405)&amp;"' AS TABELA, '"&amp;UPPER(C405)&amp;"' AS TIPOLOGIA_TESTE,'"&amp;D405&amp;"' AS TABELA_LT,'"&amp;E405&amp;"' AS TABELA_SIMUL,'"&amp;F405&amp;"' AS CAMPO, "&amp;"'${ref_date}' AS REF_DATE, COUNT(*) AS NUM_REG, SUM(IF(COALESCE(CAST(X."&amp;F405&amp;" AS STRING),'')&lt;&gt;COALESCE(CAST(Y."&amp;F405&amp;"_SIMUL AS STRING),''),1,0)) AS NUM_REG_DIF,'"&amp;MAX('ID1&amp;5'!L:L)+1&amp;"' AS ID_EXEC, CURRENT_TIMESTAMP() AS TIME_EXEC FROM "&amp;I405&amp;" INNER JOIN "&amp;J405&amp;" "&amp;K405),
IF(C405="Validade",+IF(G405="Code List","SELECT '"&amp;UPPER(B405)&amp;"' AS TABELA, '"&amp;UPPER(C405)&amp;"' AS TIPOLOGIA_TESTE,'"&amp;D405&amp;"' AS TABELA_LT,'N/A' AS TABELA_SIMUL,'"&amp;F405&amp;"' AS CAMPO, "&amp;"'${ref_date}' AS REF_DATE, COUNT(*) AS NUM_REG, SUM(IF(TRIM(CAST(X."&amp;F405&amp;" AS STRING))='' OR TRIM(CAST(X."&amp;F405&amp;" AS STRING)) IS NULL OR CAST(X."&amp;F405&amp;" AS STRING) NOT "&amp;H405&amp;",1,0)) AS NUM_REG_DIF,'"&amp;MAX('ID1&amp;5'!K:K)+1&amp;"' AS ID_EXEC, CURRENT_TIMESTAMP() AS TIME_EXEC FROM "&amp;I405,"SELECT '"&amp;UPPER(B405)&amp;"' AS TABELA, '"&amp;UPPER(C405)&amp;"' AS TIPOLOGIA_TESTE,'"&amp;D405&amp;"' AS TABELA_LT,'N/A' AS TABELA_SIMUL,'"&amp;F405&amp;"' AS CAMPO, "&amp;"'${ref_date}' AS REF_DATE, COUNT(*) AS NUM_REG, SUM(IF(TRIM(CAST(X."&amp;F405&amp;" AS STRING))='' OR TRIM(CAST(X."&amp;F405&amp;" AS STRING)) IS NULL,1,0)) AS NUM_REG_DIF,'"&amp;MAX('ID1&amp;5'!K:K)+1&amp;"' AS ID_EXEC, CURRENT_TIMESTAMP() AS TIME_EXEC FROM "&amp;I405),
IF(C405="Caracteres Especiais",+"SELECT '"&amp;UPPER(B405)&amp;"' AS TABELA, '"&amp;UPPER(C405)&amp;"' AS TIPOLOGIA_TESTE,'"&amp;D405&amp;"' AS TABELA_LT,'N/A' AS TABELA_SIMUL,'"&amp;F405&amp;"' AS CAMPO, "&amp;"'${ref_date}' AS REF_DATE, COUNT(*) AS NUM_REG, SUM(IF(INSTR(CAST(X."&amp;F405&amp;" AS STRING),'#')&gt;0 OR INSTR(CAST(X."&amp;F405&amp;" AS STRING),'*')&gt;0 OR INSTR(CAST(X."&amp;F405&amp;" AS STRING),'`')&gt;0 OR INSTR(CAST(X."&amp;F405&amp;" AS STRING),'´')&gt;0 OR INSTR(CAST(X."&amp;F405&amp;" AS STRING),'{')&gt;0 OR INSTR(CAST(X."&amp;F405&amp;" AS STRING),'}')&gt;0 OR INSTR(CAST(X."&amp;F405&amp;" AS STRING),'[')&gt;0 OR INSTR(CAST(X."&amp;F405&amp;" AS STRING),'')&gt;0 OR INSTR(CAST(X."&amp;F405&amp;" AS STRING),']')&gt;0 OR INSTR(CAST(X."&amp;F405&amp;" AS STRING),'?')&gt;0 OR INSTR(CAST(X."&amp;F405&amp;" AS STRING),'!')&gt;0 OR INSTR(CAST(X."&amp;F405&amp;" AS STRING),'$')&gt;0 OR INSTR(CAST(X."&amp;F405&amp;" AS STRING),'%')&gt;0 OR INSTR(CAST(X."&amp;F405&amp;" AS STRING),'&amp;')&gt;0 OR INSTR(CAST(X."&amp;F405&amp;" AS STRING),'+')&gt;0,1,0)) AS NUM_REG_DIF,'"&amp;MAX('ID1&amp;5'!K:K)+1&amp;"' AS ID_EXEC, CURRENT_TIMESTAMP() AS TIME_EXEC FROM "&amp;I405,
IF(C405="Missings",+"SELECT '"&amp;UPPER(B405)&amp;"' AS TABELA, '"&amp;UPPER(C405)&amp;"' AS TIPOLOGIA_TESTE,'"&amp;D405&amp;"' AS TABELA_LT,'N/A' AS TABELA_SIMUL,'"&amp;F405&amp;"' AS CAMPO, "&amp;"'${ref_date}' AS REF_DATE, COUNT(*) AS NUM_REG, SUM(IF(TRIM(CAST(X."&amp;F405&amp;" AS STRING)) IN ('0000-00-00','0001-01-01','9999-12-31','MISS','00000','99999999999','99999999999.00','99999999999.000000'),1,0)) AS NUM_REG_DIF,'"&amp;MAX('ID1&amp;5'!K:K)+1&amp;"' AS ID_EXEC, CURRENT_TIMESTAMP() AS TIME_EXEC FROM "&amp;I405,
IF(C405="Not applicable",+"SELECT '"&amp;UPPER(B405)&amp;"' AS TABELA, '"&amp;UPPER(C405)&amp;"' AS TIPOLOGIA_TESTE,'"&amp;D405&amp;"' AS TABELA_LT,'N/A' AS TABELA_SIMUL,'"&amp;F405&amp;"' AS CAMPO, "&amp;"'${ref_date}' AS REF_DATE, COUNT(*) AS NUM_REG, SUM(IF(TRIM(CAST(X."&amp;F405&amp;" AS STRING)) IN ('N/A','11111111111','11111111111.00','11111111111.000000','1111-11-11'),1,0)) AS NUM_REG_DIF,'"&amp;MAX('ID1&amp;5'!K:K)+1&amp;"' AS ID_EXEC, CURRENT_TIMESTAMP() AS TIME_EXEC FROM "&amp;I405,
IF(C405="Valores extremos",+"SELECT '"&amp;UPPER(B405)&amp;"' AS TABELA, '"&amp;UPPER(C405)&amp;"' AS TIPOLOGIA_TESTE,'"&amp;D405&amp;"' AS TABELA_LT,'N/A' AS TABELA_SIMUL,'"&amp;F405&amp;"' AS CAMPO, "&amp;"'${ref_date}' AS REF_DATE, CAST(MIN("&amp;F405&amp;") AS STRING) AS VALOR_MIN, CAST(MAX("&amp;F405&amp;") AS STRING) AS VALOR_MAX,'"&amp;MAX('ID1&amp;5'!K:K)+1&amp;"' AS ID_EXEC, CURRENT_TIMESTAMP() AS TIME_EXEC FROM "&amp;MID(I405,1,LEN(I405)-2)&amp;" AND CAST("&amp;F405&amp;"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TABELA_SIMUL,'PURE_CAPEX_CCA' AS CAMPO, '${ref_date}' AS REF_DATE, COUNT(*) AS NUM_REG, SUM(IF(TRIM(CAST(X.PURE_CAPEX_CCA AS STRING)) IN ('N/A','11111111111','11111111111.00','11111111111.000000','1111-11-11'),1,0)) AS NUM_REG_DIF,'10' AS ID_EXEC, CURRENT_TIMESTAMP() AS TIME_EXEC FROM (SELECT entty_id, PURE_CAPEX_CCA FROM BU_LOANTAPE_WORK.LT003_ENTITY WHERE ref_date='${ref_date}' AND nome_perimetro='Individual Corporativo' AND segmento='ESTR' AND ambito='PILAR3')X</v>
      </c>
      <c r="M405" s="43" t="str">
        <f t="shared" si="6"/>
        <v>UNION ALL SELECT 'ENTITY' AS TABELA, 'NOT APPLICABLE' AS TIPOLOGIA_TESTE,'BU_LOANTAPE_WORK.LT003_ENTITY' AS TABELA_LT,'N/A' AS TABELA_SIMUL,'PURE_CAPEX_CCA' AS CAMPO, '${ref_date}' AS REF_DATE, COUNT(*) AS NUM_REG, SUM(IF(TRIM(CAST(X.PURE_CAPEX_CCA AS STRING)) IN ('N/A','11111111111','11111111111.00','11111111111.000000','1111-11-11'),1,0)) AS NUM_REG_DIF,'10' AS ID_EXEC, CURRENT_TIMESTAMP() AS TIME_EXEC FROM (SELECT entty_id, PURE_CAPEX_CCA FROM BU_LOANTAPE_WORK.LT003_ENTITY WHERE ref_date='${ref_date}' AND nome_perimetro='Individual Corporativo' AND segmento='ESTR' AND ambito='PILAR3')X</v>
      </c>
      <c r="N405" s="45" t="s">
        <v>13</v>
      </c>
    </row>
    <row r="406" spans="2:14">
      <c r="B406" s="41" t="s">
        <v>23</v>
      </c>
      <c r="C406" s="41" t="s">
        <v>78</v>
      </c>
      <c r="D406" s="41" t="str">
        <f>+UPPER('0. Instruções'!$D$33&amp;"."&amp;VLOOKUP(B406,'0. Instruções'!$C$27:$D$31,2,FALSE))</f>
        <v>BU_LOANTAPE_WORK.LT003_ENTITY</v>
      </c>
      <c r="E406" s="41" t="str">
        <f>+UPPER('0. Instruções'!$D$34&amp;"."&amp;VLOOKUP(B406,'0. Instruções'!$C$27:$E$31,3,FALSE))</f>
        <v>BU_LOANTAPE_WORK.LT003_ENTTY_P3_NOV24</v>
      </c>
      <c r="F406" s="41" t="s">
        <v>111</v>
      </c>
      <c r="G406" s="41" t="s">
        <v>210</v>
      </c>
      <c r="H406" s="41"/>
      <c r="I406" s="41" t="str">
        <f>"(SELECT "&amp;VLOOKUP(B406,'0. Instruções'!$C$27:$G$31,4,FALSE)&amp;", "&amp;F406&amp;" FROM "&amp;D406&amp;" WHERE "&amp;'0. Instruções'!$D$40&amp;")X"</f>
        <v>(SELECT entty_id, ENBLNG_TRNVR_CCM FROM BU_LOANTAPE_WORK.LT003_ENTITY WHERE ref_date='${ref_date}' AND nome_perimetro='Individual Corporativo' AND segmento='ESTR' AND ambito='PILAR3')X</v>
      </c>
      <c r="J406" s="41" t="str">
        <f>"(SELECT "&amp;VLOOKUP(B406,'0. Instruções'!$C$27:$G$31,4,FALSE)&amp;" AS "&amp;VLOOKUP(B406,'0. Instruções'!$C$27:$G$31,4,FALSE)&amp;"_SIMUL, "&amp;F406&amp;" AS "&amp;F406&amp;"_SIMUL FROM "&amp;E406&amp;")Y"</f>
        <v>(SELECT entty_id AS entty_id_SIMUL, ENBLNG_TRNVR_CCM AS ENBLNG_TRNVR_CCM_SIMUL FROM BU_LOANTAPE_WORK.LT003_ENTTY_P3_NOV24)Y</v>
      </c>
      <c r="K406" s="42" t="str">
        <f>+UPPER("ON X."&amp;VLOOKUP(B406,'0. Instruções'!$C$27:$G$31,4,FALSE)&amp;"=Y."&amp;VLOOKUP(B406,'0. Instruções'!$C$27:$G$31,4,FALSE)&amp;"_SIMUL")</f>
        <v>ON X.ENTTY_ID=Y.ENTTY_ID_SIMUL</v>
      </c>
      <c r="L406" s="42" t="str">
        <f>+IF(C406="Coerência", +IF(LEFT(G406,5)="FLOAT","SELECT '"&amp;UPPER(B406)&amp;"' AS TABELA, '"&amp;UPPER(C406)&amp;"' AS TIPOLOGIA_TESTE,'"&amp;D406&amp;"' AS TABELA_LT,'"&amp;E406&amp;"' AS TABELA_SIMUL,'"&amp;F406&amp;"' AS CAMPO, "&amp;"'${ref_date}' AS REF_DATE, COUNT(*) AS NUM_REG, SUM(IF((ABS(COALESCE(X."&amp;F406&amp;",0)-COALESCE(Y."&amp;F406&amp;"_SIMUL,0))&gt;0.0000000001) OR (X."&amp;F406&amp;" IS NULL AND Y."&amp;F406&amp;"_SIMUL IS NOT NULL ) OR (X."&amp;F406&amp;" IS NOT NULL AND Y."&amp;F406&amp;"_SIMUL IS NULL),1,0)) AS NUM_REG_DIF,'"&amp;MAX('ID1&amp;5'!K:K)+1&amp;"' AS ID_EXEC, CURRENT_TIMESTAMP() AS TIME_EXEC FROM "&amp;I406&amp;" INNER JOIN "&amp;J406&amp;" "&amp;K406,"SELECT '"&amp;UPPER(B406)&amp;"' AS TABELA, '"&amp;UPPER(C406)&amp;"' AS TIPOLOGIA_TESTE,'"&amp;D406&amp;"' AS TABELA_LT,'"&amp;E406&amp;"' AS TABELA_SIMUL,'"&amp;F406&amp;"' AS CAMPO, "&amp;"'${ref_date}' AS REF_DATE, COUNT(*) AS NUM_REG, SUM(IF(COALESCE(CAST(X."&amp;F406&amp;" AS STRING),'')&lt;&gt;COALESCE(CAST(Y."&amp;F406&amp;"_SIMUL AS STRING),''),1,0)) AS NUM_REG_DIF,'"&amp;MAX('ID1&amp;5'!L:L)+1&amp;"' AS ID_EXEC, CURRENT_TIMESTAMP() AS TIME_EXEC FROM "&amp;I406&amp;" INNER JOIN "&amp;J406&amp;" "&amp;K406),
IF(C406="Validade",+IF(G406="Code List","SELECT '"&amp;UPPER(B406)&amp;"' AS TABELA, '"&amp;UPPER(C406)&amp;"' AS TIPOLOGIA_TESTE,'"&amp;D406&amp;"' AS TABELA_LT,'N/A' AS TABELA_SIMUL,'"&amp;F406&amp;"' AS CAMPO, "&amp;"'${ref_date}' AS REF_DATE, COUNT(*) AS NUM_REG, SUM(IF(TRIM(CAST(X."&amp;F406&amp;" AS STRING))='' OR TRIM(CAST(X."&amp;F406&amp;" AS STRING)) IS NULL OR CAST(X."&amp;F406&amp;" AS STRING) NOT "&amp;H406&amp;",1,0)) AS NUM_REG_DIF,'"&amp;MAX('ID1&amp;5'!K:K)+1&amp;"' AS ID_EXEC, CURRENT_TIMESTAMP() AS TIME_EXEC FROM "&amp;I406,"SELECT '"&amp;UPPER(B406)&amp;"' AS TABELA, '"&amp;UPPER(C406)&amp;"' AS TIPOLOGIA_TESTE,'"&amp;D406&amp;"' AS TABELA_LT,'N/A' AS TABELA_SIMUL,'"&amp;F406&amp;"' AS CAMPO, "&amp;"'${ref_date}' AS REF_DATE, COUNT(*) AS NUM_REG, SUM(IF(TRIM(CAST(X."&amp;F406&amp;" AS STRING))='' OR TRIM(CAST(X."&amp;F406&amp;" AS STRING)) IS NULL,1,0)) AS NUM_REG_DIF,'"&amp;MAX('ID1&amp;5'!K:K)+1&amp;"' AS ID_EXEC, CURRENT_TIMESTAMP() AS TIME_EXEC FROM "&amp;I406),
IF(C406="Caracteres Especiais",+"SELECT '"&amp;UPPER(B406)&amp;"' AS TABELA, '"&amp;UPPER(C406)&amp;"' AS TIPOLOGIA_TESTE,'"&amp;D406&amp;"' AS TABELA_LT,'N/A' AS TABELA_SIMUL,'"&amp;F406&amp;"' AS CAMPO, "&amp;"'${ref_date}' AS REF_DATE, COUNT(*) AS NUM_REG, SUM(IF(INSTR(CAST(X."&amp;F406&amp;" AS STRING),'#')&gt;0 OR INSTR(CAST(X."&amp;F406&amp;" AS STRING),'*')&gt;0 OR INSTR(CAST(X."&amp;F406&amp;" AS STRING),'`')&gt;0 OR INSTR(CAST(X."&amp;F406&amp;" AS STRING),'´')&gt;0 OR INSTR(CAST(X."&amp;F406&amp;" AS STRING),'{')&gt;0 OR INSTR(CAST(X."&amp;F406&amp;" AS STRING),'}')&gt;0 OR INSTR(CAST(X."&amp;F406&amp;" AS STRING),'[')&gt;0 OR INSTR(CAST(X."&amp;F406&amp;" AS STRING),'')&gt;0 OR INSTR(CAST(X."&amp;F406&amp;" AS STRING),']')&gt;0 OR INSTR(CAST(X."&amp;F406&amp;" AS STRING),'?')&gt;0 OR INSTR(CAST(X."&amp;F406&amp;" AS STRING),'!')&gt;0 OR INSTR(CAST(X."&amp;F406&amp;" AS STRING),'$')&gt;0 OR INSTR(CAST(X."&amp;F406&amp;" AS STRING),'%')&gt;0 OR INSTR(CAST(X."&amp;F406&amp;" AS STRING),'&amp;')&gt;0 OR INSTR(CAST(X."&amp;F406&amp;" AS STRING),'+')&gt;0,1,0)) AS NUM_REG_DIF,'"&amp;MAX('ID1&amp;5'!K:K)+1&amp;"' AS ID_EXEC, CURRENT_TIMESTAMP() AS TIME_EXEC FROM "&amp;I406,
IF(C406="Missings",+"SELECT '"&amp;UPPER(B406)&amp;"' AS TABELA, '"&amp;UPPER(C406)&amp;"' AS TIPOLOGIA_TESTE,'"&amp;D406&amp;"' AS TABELA_LT,'N/A' AS TABELA_SIMUL,'"&amp;F406&amp;"' AS CAMPO, "&amp;"'${ref_date}' AS REF_DATE, COUNT(*) AS NUM_REG, SUM(IF(TRIM(CAST(X."&amp;F406&amp;" AS STRING)) IN ('0000-00-00','0001-01-01','9999-12-31','MISS','00000','99999999999','99999999999.00','99999999999.000000'),1,0)) AS NUM_REG_DIF,'"&amp;MAX('ID1&amp;5'!K:K)+1&amp;"' AS ID_EXEC, CURRENT_TIMESTAMP() AS TIME_EXEC FROM "&amp;I406,
IF(C406="Not applicable",+"SELECT '"&amp;UPPER(B406)&amp;"' AS TABELA, '"&amp;UPPER(C406)&amp;"' AS TIPOLOGIA_TESTE,'"&amp;D406&amp;"' AS TABELA_LT,'N/A' AS TABELA_SIMUL,'"&amp;F406&amp;"' AS CAMPO, "&amp;"'${ref_date}' AS REF_DATE, COUNT(*) AS NUM_REG, SUM(IF(TRIM(CAST(X."&amp;F406&amp;" AS STRING)) IN ('N/A','11111111111','11111111111.00','11111111111.000000','1111-11-11'),1,0)) AS NUM_REG_DIF,'"&amp;MAX('ID1&amp;5'!K:K)+1&amp;"' AS ID_EXEC, CURRENT_TIMESTAMP() AS TIME_EXEC FROM "&amp;I406,
IF(C406="Valores extremos",+"SELECT '"&amp;UPPER(B406)&amp;"' AS TABELA, '"&amp;UPPER(C406)&amp;"' AS TIPOLOGIA_TESTE,'"&amp;D406&amp;"' AS TABELA_LT,'N/A' AS TABELA_SIMUL,'"&amp;F406&amp;"' AS CAMPO, "&amp;"'${ref_date}' AS REF_DATE, CAST(MIN("&amp;F406&amp;") AS STRING) AS VALOR_MIN, CAST(MAX("&amp;F406&amp;") AS STRING) AS VALOR_MAX,'"&amp;MAX('ID1&amp;5'!K:K)+1&amp;"' AS ID_EXEC, CURRENT_TIMESTAMP() AS TIME_EXEC FROM "&amp;MID(I406,1,LEN(I406)-2)&amp;" AND CAST("&amp;F406&amp;"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TABELA_SIMUL,'ENBLNG_TRNVR_CCM' AS CAMPO, '${ref_date}' AS REF_DATE, COUNT(*) AS NUM_REG, SUM(IF(TRIM(CAST(X.ENBLNG_TRNVR_CCM AS STRING)) IN ('N/A','11111111111','11111111111.00','11111111111.000000','1111-11-11'),1,0)) AS NUM_REG_DIF,'10' AS ID_EXEC, CURRENT_TIMESTAMP() AS TIME_EXEC FROM (SELECT entty_id, ENBLNG_TRNVR_CCM FROM BU_LOANTAPE_WORK.LT003_ENTITY WHERE ref_date='${ref_date}' AND nome_perimetro='Individual Corporativo' AND segmento='ESTR' AND ambito='PILAR3')X</v>
      </c>
      <c r="M406" s="43" t="str">
        <f t="shared" si="6"/>
        <v>UNION ALL SELECT 'ENTITY' AS TABELA, 'NOT APPLICABLE' AS TIPOLOGIA_TESTE,'BU_LOANTAPE_WORK.LT003_ENTITY' AS TABELA_LT,'N/A' AS TABELA_SIMUL,'ENBLNG_TRNVR_CCM' AS CAMPO, '${ref_date}' AS REF_DATE, COUNT(*) AS NUM_REG, SUM(IF(TRIM(CAST(X.ENBLNG_TRNVR_CCM AS STRING)) IN ('N/A','11111111111','11111111111.00','11111111111.000000','1111-11-11'),1,0)) AS NUM_REG_DIF,'10' AS ID_EXEC, CURRENT_TIMESTAMP() AS TIME_EXEC FROM (SELECT entty_id, ENBLNG_TRNVR_CCM FROM BU_LOANTAPE_WORK.LT003_ENTITY WHERE ref_date='${ref_date}' AND nome_perimetro='Individual Corporativo' AND segmento='ESTR' AND ambito='PILAR3')X</v>
      </c>
      <c r="N406" s="45" t="s">
        <v>13</v>
      </c>
    </row>
    <row r="407" spans="2:14">
      <c r="B407" s="41" t="s">
        <v>23</v>
      </c>
      <c r="C407" s="41" t="s">
        <v>78</v>
      </c>
      <c r="D407" s="41" t="str">
        <f>+UPPER('0. Instruções'!$D$33&amp;"."&amp;VLOOKUP(B407,'0. Instruções'!$C$27:$D$31,2,FALSE))</f>
        <v>BU_LOANTAPE_WORK.LT003_ENTITY</v>
      </c>
      <c r="E407" s="41" t="str">
        <f>+UPPER('0. Instruções'!$D$34&amp;"."&amp;VLOOKUP(B407,'0. Instruções'!$C$27:$E$31,3,FALSE))</f>
        <v>BU_LOANTAPE_WORK.LT003_ENTTY_P3_NOV24</v>
      </c>
      <c r="F407" s="41" t="s">
        <v>112</v>
      </c>
      <c r="G407" s="41" t="s">
        <v>210</v>
      </c>
      <c r="H407" s="41"/>
      <c r="I407" s="41" t="str">
        <f>"(SELECT "&amp;VLOOKUP(B407,'0. Instruções'!$C$27:$G$31,4,FALSE)&amp;", "&amp;F407&amp;" FROM "&amp;D407&amp;" WHERE "&amp;'0. Instruções'!$D$40&amp;")X"</f>
        <v>(SELECT entty_id, ENBLNG_TRNVR_CCA FROM BU_LOANTAPE_WORK.LT003_ENTITY WHERE ref_date='${ref_date}' AND nome_perimetro='Individual Corporativo' AND segmento='ESTR' AND ambito='PILAR3')X</v>
      </c>
      <c r="J407" s="41" t="str">
        <f>"(SELECT "&amp;VLOOKUP(B407,'0. Instruções'!$C$27:$G$31,4,FALSE)&amp;" AS "&amp;VLOOKUP(B407,'0. Instruções'!$C$27:$G$31,4,FALSE)&amp;"_SIMUL, "&amp;F407&amp;" AS "&amp;F407&amp;"_SIMUL FROM "&amp;E407&amp;")Y"</f>
        <v>(SELECT entty_id AS entty_id_SIMUL, ENBLNG_TRNVR_CCA AS ENBLNG_TRNVR_CCA_SIMUL FROM BU_LOANTAPE_WORK.LT003_ENTTY_P3_NOV24)Y</v>
      </c>
      <c r="K407" s="42" t="str">
        <f>+UPPER("ON X."&amp;VLOOKUP(B407,'0. Instruções'!$C$27:$G$31,4,FALSE)&amp;"=Y."&amp;VLOOKUP(B407,'0. Instruções'!$C$27:$G$31,4,FALSE)&amp;"_SIMUL")</f>
        <v>ON X.ENTTY_ID=Y.ENTTY_ID_SIMUL</v>
      </c>
      <c r="L407" s="42" t="str">
        <f>+IF(C407="Coerência", +IF(LEFT(G407,5)="FLOAT","SELECT '"&amp;UPPER(B407)&amp;"' AS TABELA, '"&amp;UPPER(C407)&amp;"' AS TIPOLOGIA_TESTE,'"&amp;D407&amp;"' AS TABELA_LT,'"&amp;E407&amp;"' AS TABELA_SIMUL,'"&amp;F407&amp;"' AS CAMPO, "&amp;"'${ref_date}' AS REF_DATE, COUNT(*) AS NUM_REG, SUM(IF((ABS(COALESCE(X."&amp;F407&amp;",0)-COALESCE(Y."&amp;F407&amp;"_SIMUL,0))&gt;0.0000000001) OR (X."&amp;F407&amp;" IS NULL AND Y."&amp;F407&amp;"_SIMUL IS NOT NULL ) OR (X."&amp;F407&amp;" IS NOT NULL AND Y."&amp;F407&amp;"_SIMUL IS NULL),1,0)) AS NUM_REG_DIF,'"&amp;MAX('ID1&amp;5'!K:K)+1&amp;"' AS ID_EXEC, CURRENT_TIMESTAMP() AS TIME_EXEC FROM "&amp;I407&amp;" INNER JOIN "&amp;J407&amp;" "&amp;K407,"SELECT '"&amp;UPPER(B407)&amp;"' AS TABELA, '"&amp;UPPER(C407)&amp;"' AS TIPOLOGIA_TESTE,'"&amp;D407&amp;"' AS TABELA_LT,'"&amp;E407&amp;"' AS TABELA_SIMUL,'"&amp;F407&amp;"' AS CAMPO, "&amp;"'${ref_date}' AS REF_DATE, COUNT(*) AS NUM_REG, SUM(IF(COALESCE(CAST(X."&amp;F407&amp;" AS STRING),'')&lt;&gt;COALESCE(CAST(Y."&amp;F407&amp;"_SIMUL AS STRING),''),1,0)) AS NUM_REG_DIF,'"&amp;MAX('ID1&amp;5'!L:L)+1&amp;"' AS ID_EXEC, CURRENT_TIMESTAMP() AS TIME_EXEC FROM "&amp;I407&amp;" INNER JOIN "&amp;J407&amp;" "&amp;K407),
IF(C407="Validade",+IF(G407="Code List","SELECT '"&amp;UPPER(B407)&amp;"' AS TABELA, '"&amp;UPPER(C407)&amp;"' AS TIPOLOGIA_TESTE,'"&amp;D407&amp;"' AS TABELA_LT,'N/A' AS TABELA_SIMUL,'"&amp;F407&amp;"' AS CAMPO, "&amp;"'${ref_date}' AS REF_DATE, COUNT(*) AS NUM_REG, SUM(IF(TRIM(CAST(X."&amp;F407&amp;" AS STRING))='' OR TRIM(CAST(X."&amp;F407&amp;" AS STRING)) IS NULL OR CAST(X."&amp;F407&amp;" AS STRING) NOT "&amp;H407&amp;",1,0)) AS NUM_REG_DIF,'"&amp;MAX('ID1&amp;5'!K:K)+1&amp;"' AS ID_EXEC, CURRENT_TIMESTAMP() AS TIME_EXEC FROM "&amp;I407,"SELECT '"&amp;UPPER(B407)&amp;"' AS TABELA, '"&amp;UPPER(C407)&amp;"' AS TIPOLOGIA_TESTE,'"&amp;D407&amp;"' AS TABELA_LT,'N/A' AS TABELA_SIMUL,'"&amp;F407&amp;"' AS CAMPO, "&amp;"'${ref_date}' AS REF_DATE, COUNT(*) AS NUM_REG, SUM(IF(TRIM(CAST(X."&amp;F407&amp;" AS STRING))='' OR TRIM(CAST(X."&amp;F407&amp;" AS STRING)) IS NULL,1,0)) AS NUM_REG_DIF,'"&amp;MAX('ID1&amp;5'!K:K)+1&amp;"' AS ID_EXEC, CURRENT_TIMESTAMP() AS TIME_EXEC FROM "&amp;I407),
IF(C407="Caracteres Especiais",+"SELECT '"&amp;UPPER(B407)&amp;"' AS TABELA, '"&amp;UPPER(C407)&amp;"' AS TIPOLOGIA_TESTE,'"&amp;D407&amp;"' AS TABELA_LT,'N/A' AS TABELA_SIMUL,'"&amp;F407&amp;"' AS CAMPO, "&amp;"'${ref_date}' AS REF_DATE, COUNT(*) AS NUM_REG, SUM(IF(INSTR(CAST(X."&amp;F407&amp;" AS STRING),'#')&gt;0 OR INSTR(CAST(X."&amp;F407&amp;" AS STRING),'*')&gt;0 OR INSTR(CAST(X."&amp;F407&amp;" AS STRING),'`')&gt;0 OR INSTR(CAST(X."&amp;F407&amp;" AS STRING),'´')&gt;0 OR INSTR(CAST(X."&amp;F407&amp;" AS STRING),'{')&gt;0 OR INSTR(CAST(X."&amp;F407&amp;" AS STRING),'}')&gt;0 OR INSTR(CAST(X."&amp;F407&amp;" AS STRING),'[')&gt;0 OR INSTR(CAST(X."&amp;F407&amp;" AS STRING),'')&gt;0 OR INSTR(CAST(X."&amp;F407&amp;" AS STRING),']')&gt;0 OR INSTR(CAST(X."&amp;F407&amp;" AS STRING),'?')&gt;0 OR INSTR(CAST(X."&amp;F407&amp;" AS STRING),'!')&gt;0 OR INSTR(CAST(X."&amp;F407&amp;" AS STRING),'$')&gt;0 OR INSTR(CAST(X."&amp;F407&amp;" AS STRING),'%')&gt;0 OR INSTR(CAST(X."&amp;F407&amp;" AS STRING),'&amp;')&gt;0 OR INSTR(CAST(X."&amp;F407&amp;" AS STRING),'+')&gt;0,1,0)) AS NUM_REG_DIF,'"&amp;MAX('ID1&amp;5'!K:K)+1&amp;"' AS ID_EXEC, CURRENT_TIMESTAMP() AS TIME_EXEC FROM "&amp;I407,
IF(C407="Missings",+"SELECT '"&amp;UPPER(B407)&amp;"' AS TABELA, '"&amp;UPPER(C407)&amp;"' AS TIPOLOGIA_TESTE,'"&amp;D407&amp;"' AS TABELA_LT,'N/A' AS TABELA_SIMUL,'"&amp;F407&amp;"' AS CAMPO, "&amp;"'${ref_date}' AS REF_DATE, COUNT(*) AS NUM_REG, SUM(IF(TRIM(CAST(X."&amp;F407&amp;" AS STRING)) IN ('0000-00-00','0001-01-01','9999-12-31','MISS','00000','99999999999','99999999999.00','99999999999.000000'),1,0)) AS NUM_REG_DIF,'"&amp;MAX('ID1&amp;5'!K:K)+1&amp;"' AS ID_EXEC, CURRENT_TIMESTAMP() AS TIME_EXEC FROM "&amp;I407,
IF(C407="Not applicable",+"SELECT '"&amp;UPPER(B407)&amp;"' AS TABELA, '"&amp;UPPER(C407)&amp;"' AS TIPOLOGIA_TESTE,'"&amp;D407&amp;"' AS TABELA_LT,'N/A' AS TABELA_SIMUL,'"&amp;F407&amp;"' AS CAMPO, "&amp;"'${ref_date}' AS REF_DATE, COUNT(*) AS NUM_REG, SUM(IF(TRIM(CAST(X."&amp;F407&amp;" AS STRING)) IN ('N/A','11111111111','11111111111.00','11111111111.000000','1111-11-11'),1,0)) AS NUM_REG_DIF,'"&amp;MAX('ID1&amp;5'!K:K)+1&amp;"' AS ID_EXEC, CURRENT_TIMESTAMP() AS TIME_EXEC FROM "&amp;I407,
IF(C407="Valores extremos",+"SELECT '"&amp;UPPER(B407)&amp;"' AS TABELA, '"&amp;UPPER(C407)&amp;"' AS TIPOLOGIA_TESTE,'"&amp;D407&amp;"' AS TABELA_LT,'N/A' AS TABELA_SIMUL,'"&amp;F407&amp;"' AS CAMPO, "&amp;"'${ref_date}' AS REF_DATE, CAST(MIN("&amp;F407&amp;") AS STRING) AS VALOR_MIN, CAST(MAX("&amp;F407&amp;") AS STRING) AS VALOR_MAX,'"&amp;MAX('ID1&amp;5'!K:K)+1&amp;"' AS ID_EXEC, CURRENT_TIMESTAMP() AS TIME_EXEC FROM "&amp;MID(I407,1,LEN(I407)-2)&amp;" AND CAST("&amp;F407&amp;"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TABELA_SIMUL,'ENBLNG_TRNVR_CCA' AS CAMPO, '${ref_date}' AS REF_DATE, COUNT(*) AS NUM_REG, SUM(IF(TRIM(CAST(X.ENBLNG_TRNVR_CCA AS STRING)) IN ('N/A','11111111111','11111111111.00','11111111111.000000','1111-11-11'),1,0)) AS NUM_REG_DIF,'10' AS ID_EXEC, CURRENT_TIMESTAMP() AS TIME_EXEC FROM (SELECT entty_id, ENBLNG_TRNVR_CCA FROM BU_LOANTAPE_WORK.LT003_ENTITY WHERE ref_date='${ref_date}' AND nome_perimetro='Individual Corporativo' AND segmento='ESTR' AND ambito='PILAR3')X</v>
      </c>
      <c r="M407" s="43" t="str">
        <f t="shared" si="6"/>
        <v>UNION ALL SELECT 'ENTITY' AS TABELA, 'NOT APPLICABLE' AS TIPOLOGIA_TESTE,'BU_LOANTAPE_WORK.LT003_ENTITY' AS TABELA_LT,'N/A' AS TABELA_SIMUL,'ENBLNG_TRNVR_CCA' AS CAMPO, '${ref_date}' AS REF_DATE, COUNT(*) AS NUM_REG, SUM(IF(TRIM(CAST(X.ENBLNG_TRNVR_CCA AS STRING)) IN ('N/A','11111111111','11111111111.00','11111111111.000000','1111-11-11'),1,0)) AS NUM_REG_DIF,'10' AS ID_EXEC, CURRENT_TIMESTAMP() AS TIME_EXEC FROM (SELECT entty_id, ENBLNG_TRNVR_CCA FROM BU_LOANTAPE_WORK.LT003_ENTITY WHERE ref_date='${ref_date}' AND nome_perimetro='Individual Corporativo' AND segmento='ESTR' AND ambito='PILAR3')X</v>
      </c>
      <c r="N407" s="45" t="s">
        <v>13</v>
      </c>
    </row>
    <row r="408" spans="2:14">
      <c r="B408" s="41" t="s">
        <v>23</v>
      </c>
      <c r="C408" s="41" t="s">
        <v>78</v>
      </c>
      <c r="D408" s="41" t="str">
        <f>+UPPER('0. Instruções'!$D$33&amp;"."&amp;VLOOKUP(B408,'0. Instruções'!$C$27:$D$31,2,FALSE))</f>
        <v>BU_LOANTAPE_WORK.LT003_ENTITY</v>
      </c>
      <c r="E408" s="41" t="str">
        <f>+UPPER('0. Instruções'!$D$34&amp;"."&amp;VLOOKUP(B408,'0. Instruções'!$C$27:$E$31,3,FALSE))</f>
        <v>BU_LOANTAPE_WORK.LT003_ENTTY_P3_NOV24</v>
      </c>
      <c r="F408" s="41" t="s">
        <v>113</v>
      </c>
      <c r="G408" s="41" t="s">
        <v>210</v>
      </c>
      <c r="H408" s="41"/>
      <c r="I408" s="41" t="str">
        <f>"(SELECT "&amp;VLOOKUP(B408,'0. Instruções'!$C$27:$G$31,4,FALSE)&amp;", "&amp;F408&amp;" FROM "&amp;D408&amp;" WHERE "&amp;'0. Instruções'!$D$40&amp;")X"</f>
        <v>(SELECT entty_id, TRNSTNL_TRNVR FROM BU_LOANTAPE_WORK.LT003_ENTITY WHERE ref_date='${ref_date}' AND nome_perimetro='Individual Corporativo' AND segmento='ESTR' AND ambito='PILAR3')X</v>
      </c>
      <c r="J408" s="41" t="str">
        <f>"(SELECT "&amp;VLOOKUP(B408,'0. Instruções'!$C$27:$G$31,4,FALSE)&amp;" AS "&amp;VLOOKUP(B408,'0. Instruções'!$C$27:$G$31,4,FALSE)&amp;"_SIMUL, "&amp;F408&amp;" AS "&amp;F408&amp;"_SIMUL FROM "&amp;E408&amp;")Y"</f>
        <v>(SELECT entty_id AS entty_id_SIMUL, TRNSTNL_TRNVR AS TRNSTNL_TRNVR_SIMUL FROM BU_LOANTAPE_WORK.LT003_ENTTY_P3_NOV24)Y</v>
      </c>
      <c r="K408" s="42" t="str">
        <f>+UPPER("ON X."&amp;VLOOKUP(B408,'0. Instruções'!$C$27:$G$31,4,FALSE)&amp;"=Y."&amp;VLOOKUP(B408,'0. Instruções'!$C$27:$G$31,4,FALSE)&amp;"_SIMUL")</f>
        <v>ON X.ENTTY_ID=Y.ENTTY_ID_SIMUL</v>
      </c>
      <c r="L408" s="42" t="str">
        <f>+IF(C408="Coerência", +IF(LEFT(G408,5)="FLOAT","SELECT '"&amp;UPPER(B408)&amp;"' AS TABELA, '"&amp;UPPER(C408)&amp;"' AS TIPOLOGIA_TESTE,'"&amp;D408&amp;"' AS TABELA_LT,'"&amp;E408&amp;"' AS TABELA_SIMUL,'"&amp;F408&amp;"' AS CAMPO, "&amp;"'${ref_date}' AS REF_DATE, COUNT(*) AS NUM_REG, SUM(IF((ABS(COALESCE(X."&amp;F408&amp;",0)-COALESCE(Y."&amp;F408&amp;"_SIMUL,0))&gt;0.0000000001) OR (X."&amp;F408&amp;" IS NULL AND Y."&amp;F408&amp;"_SIMUL IS NOT NULL ) OR (X."&amp;F408&amp;" IS NOT NULL AND Y."&amp;F408&amp;"_SIMUL IS NULL),1,0)) AS NUM_REG_DIF,'"&amp;MAX('ID1&amp;5'!K:K)+1&amp;"' AS ID_EXEC, CURRENT_TIMESTAMP() AS TIME_EXEC FROM "&amp;I408&amp;" INNER JOIN "&amp;J408&amp;" "&amp;K408,"SELECT '"&amp;UPPER(B408)&amp;"' AS TABELA, '"&amp;UPPER(C408)&amp;"' AS TIPOLOGIA_TESTE,'"&amp;D408&amp;"' AS TABELA_LT,'"&amp;E408&amp;"' AS TABELA_SIMUL,'"&amp;F408&amp;"' AS CAMPO, "&amp;"'${ref_date}' AS REF_DATE, COUNT(*) AS NUM_REG, SUM(IF(COALESCE(CAST(X."&amp;F408&amp;" AS STRING),'')&lt;&gt;COALESCE(CAST(Y."&amp;F408&amp;"_SIMUL AS STRING),''),1,0)) AS NUM_REG_DIF,'"&amp;MAX('ID1&amp;5'!L:L)+1&amp;"' AS ID_EXEC, CURRENT_TIMESTAMP() AS TIME_EXEC FROM "&amp;I408&amp;" INNER JOIN "&amp;J408&amp;" "&amp;K408),
IF(C408="Validade",+IF(G408="Code List","SELECT '"&amp;UPPER(B408)&amp;"' AS TABELA, '"&amp;UPPER(C408)&amp;"' AS TIPOLOGIA_TESTE,'"&amp;D408&amp;"' AS TABELA_LT,'N/A' AS TABELA_SIMUL,'"&amp;F408&amp;"' AS CAMPO, "&amp;"'${ref_date}' AS REF_DATE, COUNT(*) AS NUM_REG, SUM(IF(TRIM(CAST(X."&amp;F408&amp;" AS STRING))='' OR TRIM(CAST(X."&amp;F408&amp;" AS STRING)) IS NULL OR CAST(X."&amp;F408&amp;" AS STRING) NOT "&amp;H408&amp;",1,0)) AS NUM_REG_DIF,'"&amp;MAX('ID1&amp;5'!K:K)+1&amp;"' AS ID_EXEC, CURRENT_TIMESTAMP() AS TIME_EXEC FROM "&amp;I408,"SELECT '"&amp;UPPER(B408)&amp;"' AS TABELA, '"&amp;UPPER(C408)&amp;"' AS TIPOLOGIA_TESTE,'"&amp;D408&amp;"' AS TABELA_LT,'N/A' AS TABELA_SIMUL,'"&amp;F408&amp;"' AS CAMPO, "&amp;"'${ref_date}' AS REF_DATE, COUNT(*) AS NUM_REG, SUM(IF(TRIM(CAST(X."&amp;F408&amp;" AS STRING))='' OR TRIM(CAST(X."&amp;F408&amp;" AS STRING)) IS NULL,1,0)) AS NUM_REG_DIF,'"&amp;MAX('ID1&amp;5'!K:K)+1&amp;"' AS ID_EXEC, CURRENT_TIMESTAMP() AS TIME_EXEC FROM "&amp;I408),
IF(C408="Caracteres Especiais",+"SELECT '"&amp;UPPER(B408)&amp;"' AS TABELA, '"&amp;UPPER(C408)&amp;"' AS TIPOLOGIA_TESTE,'"&amp;D408&amp;"' AS TABELA_LT,'N/A' AS TABELA_SIMUL,'"&amp;F408&amp;"' AS CAMPO, "&amp;"'${ref_date}' AS REF_DATE, COUNT(*) AS NUM_REG, SUM(IF(INSTR(CAST(X."&amp;F408&amp;" AS STRING),'#')&gt;0 OR INSTR(CAST(X."&amp;F408&amp;" AS STRING),'*')&gt;0 OR INSTR(CAST(X."&amp;F408&amp;" AS STRING),'`')&gt;0 OR INSTR(CAST(X."&amp;F408&amp;" AS STRING),'´')&gt;0 OR INSTR(CAST(X."&amp;F408&amp;" AS STRING),'{')&gt;0 OR INSTR(CAST(X."&amp;F408&amp;" AS STRING),'}')&gt;0 OR INSTR(CAST(X."&amp;F408&amp;" AS STRING),'[')&gt;0 OR INSTR(CAST(X."&amp;F408&amp;" AS STRING),'')&gt;0 OR INSTR(CAST(X."&amp;F408&amp;" AS STRING),']')&gt;0 OR INSTR(CAST(X."&amp;F408&amp;" AS STRING),'?')&gt;0 OR INSTR(CAST(X."&amp;F408&amp;" AS STRING),'!')&gt;0 OR INSTR(CAST(X."&amp;F408&amp;" AS STRING),'$')&gt;0 OR INSTR(CAST(X."&amp;F408&amp;" AS STRING),'%')&gt;0 OR INSTR(CAST(X."&amp;F408&amp;" AS STRING),'&amp;')&gt;0 OR INSTR(CAST(X."&amp;F408&amp;" AS STRING),'+')&gt;0,1,0)) AS NUM_REG_DIF,'"&amp;MAX('ID1&amp;5'!K:K)+1&amp;"' AS ID_EXEC, CURRENT_TIMESTAMP() AS TIME_EXEC FROM "&amp;I408,
IF(C408="Missings",+"SELECT '"&amp;UPPER(B408)&amp;"' AS TABELA, '"&amp;UPPER(C408)&amp;"' AS TIPOLOGIA_TESTE,'"&amp;D408&amp;"' AS TABELA_LT,'N/A' AS TABELA_SIMUL,'"&amp;F408&amp;"' AS CAMPO, "&amp;"'${ref_date}' AS REF_DATE, COUNT(*) AS NUM_REG, SUM(IF(TRIM(CAST(X."&amp;F408&amp;" AS STRING)) IN ('0000-00-00','0001-01-01','9999-12-31','MISS','00000','99999999999','99999999999.00','99999999999.000000'),1,0)) AS NUM_REG_DIF,'"&amp;MAX('ID1&amp;5'!K:K)+1&amp;"' AS ID_EXEC, CURRENT_TIMESTAMP() AS TIME_EXEC FROM "&amp;I408,
IF(C408="Not applicable",+"SELECT '"&amp;UPPER(B408)&amp;"' AS TABELA, '"&amp;UPPER(C408)&amp;"' AS TIPOLOGIA_TESTE,'"&amp;D408&amp;"' AS TABELA_LT,'N/A' AS TABELA_SIMUL,'"&amp;F408&amp;"' AS CAMPO, "&amp;"'${ref_date}' AS REF_DATE, COUNT(*) AS NUM_REG, SUM(IF(TRIM(CAST(X."&amp;F408&amp;" AS STRING)) IN ('N/A','11111111111','11111111111.00','11111111111.000000','1111-11-11'),1,0)) AS NUM_REG_DIF,'"&amp;MAX('ID1&amp;5'!K:K)+1&amp;"' AS ID_EXEC, CURRENT_TIMESTAMP() AS TIME_EXEC FROM "&amp;I408,
IF(C408="Valores extremos",+"SELECT '"&amp;UPPER(B408)&amp;"' AS TABELA, '"&amp;UPPER(C408)&amp;"' AS TIPOLOGIA_TESTE,'"&amp;D408&amp;"' AS TABELA_LT,'N/A' AS TABELA_SIMUL,'"&amp;F408&amp;"' AS CAMPO, "&amp;"'${ref_date}' AS REF_DATE, CAST(MIN("&amp;F408&amp;") AS STRING) AS VALOR_MIN, CAST(MAX("&amp;F408&amp;") AS STRING) AS VALOR_MAX,'"&amp;MAX('ID1&amp;5'!K:K)+1&amp;"' AS ID_EXEC, CURRENT_TIMESTAMP() AS TIME_EXEC FROM "&amp;MID(I408,1,LEN(I408)-2)&amp;" AND CAST("&amp;F408&amp;"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TABELA_SIMUL,'TRNSTNL_TRNVR' AS CAMPO, '${ref_date}' AS REF_DATE, COUNT(*) AS NUM_REG, SUM(IF(TRIM(CAST(X.TRNSTNL_TRNVR AS STRING)) IN ('N/A','11111111111','11111111111.00','11111111111.000000','1111-11-11'),1,0)) AS NUM_REG_DIF,'10' AS ID_EXEC, CURRENT_TIMESTAMP() AS TIME_EXEC FROM (SELECT entty_id, TRNSTNL_TRNVR FROM BU_LOANTAPE_WORK.LT003_ENTITY WHERE ref_date='${ref_date}' AND nome_perimetro='Individual Corporativo' AND segmento='ESTR' AND ambito='PILAR3')X</v>
      </c>
      <c r="M408" s="43" t="str">
        <f t="shared" si="6"/>
        <v>UNION ALL SELECT 'ENTITY' AS TABELA, 'NOT APPLICABLE' AS TIPOLOGIA_TESTE,'BU_LOANTAPE_WORK.LT003_ENTITY' AS TABELA_LT,'N/A' AS TABELA_SIMUL,'TRNSTNL_TRNVR' AS CAMPO, '${ref_date}' AS REF_DATE, COUNT(*) AS NUM_REG, SUM(IF(TRIM(CAST(X.TRNSTNL_TRNVR AS STRING)) IN ('N/A','11111111111','11111111111.00','11111111111.000000','1111-11-11'),1,0)) AS NUM_REG_DIF,'10' AS ID_EXEC, CURRENT_TIMESTAMP() AS TIME_EXEC FROM (SELECT entty_id, TRNSTNL_TRNVR FROM BU_LOANTAPE_WORK.LT003_ENTITY WHERE ref_date='${ref_date}' AND nome_perimetro='Individual Corporativo' AND segmento='ESTR' AND ambito='PILAR3')X</v>
      </c>
      <c r="N408" s="45" t="s">
        <v>13</v>
      </c>
    </row>
    <row r="409" spans="2:14">
      <c r="B409" s="41" t="s">
        <v>23</v>
      </c>
      <c r="C409" s="41" t="s">
        <v>78</v>
      </c>
      <c r="D409" s="41" t="str">
        <f>+UPPER('0. Instruções'!$D$33&amp;"."&amp;VLOOKUP(B409,'0. Instruções'!$C$27:$D$31,2,FALSE))</f>
        <v>BU_LOANTAPE_WORK.LT003_ENTITY</v>
      </c>
      <c r="E409" s="41" t="str">
        <f>+UPPER('0. Instruções'!$D$34&amp;"."&amp;VLOOKUP(B409,'0. Instruções'!$C$27:$E$31,3,FALSE))</f>
        <v>BU_LOANTAPE_WORK.LT003_ENTTY_P3_NOV24</v>
      </c>
      <c r="F409" s="41" t="s">
        <v>114</v>
      </c>
      <c r="G409" s="41" t="s">
        <v>210</v>
      </c>
      <c r="H409" s="41"/>
      <c r="I409" s="41" t="str">
        <f>"(SELECT "&amp;VLOOKUP(B409,'0. Instruções'!$C$27:$G$31,4,FALSE)&amp;", "&amp;F409&amp;" FROM "&amp;D409&amp;" WHERE "&amp;'0. Instruções'!$D$40&amp;")X"</f>
        <v>(SELECT entty_id, PURE_TRNVR_CCM FROM BU_LOANTAPE_WORK.LT003_ENTITY WHERE ref_date='${ref_date}' AND nome_perimetro='Individual Corporativo' AND segmento='ESTR' AND ambito='PILAR3')X</v>
      </c>
      <c r="J409" s="41" t="str">
        <f>"(SELECT "&amp;VLOOKUP(B409,'0. Instruções'!$C$27:$G$31,4,FALSE)&amp;" AS "&amp;VLOOKUP(B409,'0. Instruções'!$C$27:$G$31,4,FALSE)&amp;"_SIMUL, "&amp;F409&amp;" AS "&amp;F409&amp;"_SIMUL FROM "&amp;E409&amp;")Y"</f>
        <v>(SELECT entty_id AS entty_id_SIMUL, PURE_TRNVR_CCM AS PURE_TRNVR_CCM_SIMUL FROM BU_LOANTAPE_WORK.LT003_ENTTY_P3_NOV24)Y</v>
      </c>
      <c r="K409" s="42" t="str">
        <f>+UPPER("ON X."&amp;VLOOKUP(B409,'0. Instruções'!$C$27:$G$31,4,FALSE)&amp;"=Y."&amp;VLOOKUP(B409,'0. Instruções'!$C$27:$G$31,4,FALSE)&amp;"_SIMUL")</f>
        <v>ON X.ENTTY_ID=Y.ENTTY_ID_SIMUL</v>
      </c>
      <c r="L409" s="42" t="str">
        <f>+IF(C409="Coerência", +IF(LEFT(G409,5)="FLOAT","SELECT '"&amp;UPPER(B409)&amp;"' AS TABELA, '"&amp;UPPER(C409)&amp;"' AS TIPOLOGIA_TESTE,'"&amp;D409&amp;"' AS TABELA_LT,'"&amp;E409&amp;"' AS TABELA_SIMUL,'"&amp;F409&amp;"' AS CAMPO, "&amp;"'${ref_date}' AS REF_DATE, COUNT(*) AS NUM_REG, SUM(IF((ABS(COALESCE(X."&amp;F409&amp;",0)-COALESCE(Y."&amp;F409&amp;"_SIMUL,0))&gt;0.0000000001) OR (X."&amp;F409&amp;" IS NULL AND Y."&amp;F409&amp;"_SIMUL IS NOT NULL ) OR (X."&amp;F409&amp;" IS NOT NULL AND Y."&amp;F409&amp;"_SIMUL IS NULL),1,0)) AS NUM_REG_DIF,'"&amp;MAX('ID1&amp;5'!K:K)+1&amp;"' AS ID_EXEC, CURRENT_TIMESTAMP() AS TIME_EXEC FROM "&amp;I409&amp;" INNER JOIN "&amp;J409&amp;" "&amp;K409,"SELECT '"&amp;UPPER(B409)&amp;"' AS TABELA, '"&amp;UPPER(C409)&amp;"' AS TIPOLOGIA_TESTE,'"&amp;D409&amp;"' AS TABELA_LT,'"&amp;E409&amp;"' AS TABELA_SIMUL,'"&amp;F409&amp;"' AS CAMPO, "&amp;"'${ref_date}' AS REF_DATE, COUNT(*) AS NUM_REG, SUM(IF(COALESCE(CAST(X."&amp;F409&amp;" AS STRING),'')&lt;&gt;COALESCE(CAST(Y."&amp;F409&amp;"_SIMUL AS STRING),''),1,0)) AS NUM_REG_DIF,'"&amp;MAX('ID1&amp;5'!L:L)+1&amp;"' AS ID_EXEC, CURRENT_TIMESTAMP() AS TIME_EXEC FROM "&amp;I409&amp;" INNER JOIN "&amp;J409&amp;" "&amp;K409),
IF(C409="Validade",+IF(G409="Code List","SELECT '"&amp;UPPER(B409)&amp;"' AS TABELA, '"&amp;UPPER(C409)&amp;"' AS TIPOLOGIA_TESTE,'"&amp;D409&amp;"' AS TABELA_LT,'N/A' AS TABELA_SIMUL,'"&amp;F409&amp;"' AS CAMPO, "&amp;"'${ref_date}' AS REF_DATE, COUNT(*) AS NUM_REG, SUM(IF(TRIM(CAST(X."&amp;F409&amp;" AS STRING))='' OR TRIM(CAST(X."&amp;F409&amp;" AS STRING)) IS NULL OR CAST(X."&amp;F409&amp;" AS STRING) NOT "&amp;H409&amp;",1,0)) AS NUM_REG_DIF,'"&amp;MAX('ID1&amp;5'!K:K)+1&amp;"' AS ID_EXEC, CURRENT_TIMESTAMP() AS TIME_EXEC FROM "&amp;I409,"SELECT '"&amp;UPPER(B409)&amp;"' AS TABELA, '"&amp;UPPER(C409)&amp;"' AS TIPOLOGIA_TESTE,'"&amp;D409&amp;"' AS TABELA_LT,'N/A' AS TABELA_SIMUL,'"&amp;F409&amp;"' AS CAMPO, "&amp;"'${ref_date}' AS REF_DATE, COUNT(*) AS NUM_REG, SUM(IF(TRIM(CAST(X."&amp;F409&amp;" AS STRING))='' OR TRIM(CAST(X."&amp;F409&amp;" AS STRING)) IS NULL,1,0)) AS NUM_REG_DIF,'"&amp;MAX('ID1&amp;5'!K:K)+1&amp;"' AS ID_EXEC, CURRENT_TIMESTAMP() AS TIME_EXEC FROM "&amp;I409),
IF(C409="Caracteres Especiais",+"SELECT '"&amp;UPPER(B409)&amp;"' AS TABELA, '"&amp;UPPER(C409)&amp;"' AS TIPOLOGIA_TESTE,'"&amp;D409&amp;"' AS TABELA_LT,'N/A' AS TABELA_SIMUL,'"&amp;F409&amp;"' AS CAMPO, "&amp;"'${ref_date}' AS REF_DATE, COUNT(*) AS NUM_REG, SUM(IF(INSTR(CAST(X."&amp;F409&amp;" AS STRING),'#')&gt;0 OR INSTR(CAST(X."&amp;F409&amp;" AS STRING),'*')&gt;0 OR INSTR(CAST(X."&amp;F409&amp;" AS STRING),'`')&gt;0 OR INSTR(CAST(X."&amp;F409&amp;" AS STRING),'´')&gt;0 OR INSTR(CAST(X."&amp;F409&amp;" AS STRING),'{')&gt;0 OR INSTR(CAST(X."&amp;F409&amp;" AS STRING),'}')&gt;0 OR INSTR(CAST(X."&amp;F409&amp;" AS STRING),'[')&gt;0 OR INSTR(CAST(X."&amp;F409&amp;" AS STRING),'')&gt;0 OR INSTR(CAST(X."&amp;F409&amp;" AS STRING),']')&gt;0 OR INSTR(CAST(X."&amp;F409&amp;" AS STRING),'?')&gt;0 OR INSTR(CAST(X."&amp;F409&amp;" AS STRING),'!')&gt;0 OR INSTR(CAST(X."&amp;F409&amp;" AS STRING),'$')&gt;0 OR INSTR(CAST(X."&amp;F409&amp;" AS STRING),'%')&gt;0 OR INSTR(CAST(X."&amp;F409&amp;" AS STRING),'&amp;')&gt;0 OR INSTR(CAST(X."&amp;F409&amp;" AS STRING),'+')&gt;0,1,0)) AS NUM_REG_DIF,'"&amp;MAX('ID1&amp;5'!K:K)+1&amp;"' AS ID_EXEC, CURRENT_TIMESTAMP() AS TIME_EXEC FROM "&amp;I409,
IF(C409="Missings",+"SELECT '"&amp;UPPER(B409)&amp;"' AS TABELA, '"&amp;UPPER(C409)&amp;"' AS TIPOLOGIA_TESTE,'"&amp;D409&amp;"' AS TABELA_LT,'N/A' AS TABELA_SIMUL,'"&amp;F409&amp;"' AS CAMPO, "&amp;"'${ref_date}' AS REF_DATE, COUNT(*) AS NUM_REG, SUM(IF(TRIM(CAST(X."&amp;F409&amp;" AS STRING)) IN ('0000-00-00','0001-01-01','9999-12-31','MISS','00000','99999999999','99999999999.00','99999999999.000000'),1,0)) AS NUM_REG_DIF,'"&amp;MAX('ID1&amp;5'!K:K)+1&amp;"' AS ID_EXEC, CURRENT_TIMESTAMP() AS TIME_EXEC FROM "&amp;I409,
IF(C409="Not applicable",+"SELECT '"&amp;UPPER(B409)&amp;"' AS TABELA, '"&amp;UPPER(C409)&amp;"' AS TIPOLOGIA_TESTE,'"&amp;D409&amp;"' AS TABELA_LT,'N/A' AS TABELA_SIMUL,'"&amp;F409&amp;"' AS CAMPO, "&amp;"'${ref_date}' AS REF_DATE, COUNT(*) AS NUM_REG, SUM(IF(TRIM(CAST(X."&amp;F409&amp;" AS STRING)) IN ('N/A','11111111111','11111111111.00','11111111111.000000','1111-11-11'),1,0)) AS NUM_REG_DIF,'"&amp;MAX('ID1&amp;5'!K:K)+1&amp;"' AS ID_EXEC, CURRENT_TIMESTAMP() AS TIME_EXEC FROM "&amp;I409,
IF(C409="Valores extremos",+"SELECT '"&amp;UPPER(B409)&amp;"' AS TABELA, '"&amp;UPPER(C409)&amp;"' AS TIPOLOGIA_TESTE,'"&amp;D409&amp;"' AS TABELA_LT,'N/A' AS TABELA_SIMUL,'"&amp;F409&amp;"' AS CAMPO, "&amp;"'${ref_date}' AS REF_DATE, CAST(MIN("&amp;F409&amp;") AS STRING) AS VALOR_MIN, CAST(MAX("&amp;F409&amp;") AS STRING) AS VALOR_MAX,'"&amp;MAX('ID1&amp;5'!K:K)+1&amp;"' AS ID_EXEC, CURRENT_TIMESTAMP() AS TIME_EXEC FROM "&amp;MID(I409,1,LEN(I409)-2)&amp;" AND CAST("&amp;F409&amp;"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TABELA_SIMUL,'PURE_TRNVR_CCM' AS CAMPO, '${ref_date}' AS REF_DATE, COUNT(*) AS NUM_REG, SUM(IF(TRIM(CAST(X.PURE_TRNVR_CCM AS STRING)) IN ('N/A','11111111111','11111111111.00','11111111111.000000','1111-11-11'),1,0)) AS NUM_REG_DIF,'10' AS ID_EXEC, CURRENT_TIMESTAMP() AS TIME_EXEC FROM (SELECT entty_id, PURE_TRNVR_CCM FROM BU_LOANTAPE_WORK.LT003_ENTITY WHERE ref_date='${ref_date}' AND nome_perimetro='Individual Corporativo' AND segmento='ESTR' AND ambito='PILAR3')X</v>
      </c>
      <c r="M409" s="43" t="str">
        <f t="shared" si="6"/>
        <v>UNION ALL SELECT 'ENTITY' AS TABELA, 'NOT APPLICABLE' AS TIPOLOGIA_TESTE,'BU_LOANTAPE_WORK.LT003_ENTITY' AS TABELA_LT,'N/A' AS TABELA_SIMUL,'PURE_TRNVR_CCM' AS CAMPO, '${ref_date}' AS REF_DATE, COUNT(*) AS NUM_REG, SUM(IF(TRIM(CAST(X.PURE_TRNVR_CCM AS STRING)) IN ('N/A','11111111111','11111111111.00','11111111111.000000','1111-11-11'),1,0)) AS NUM_REG_DIF,'10' AS ID_EXEC, CURRENT_TIMESTAMP() AS TIME_EXEC FROM (SELECT entty_id, PURE_TRNVR_CCM FROM BU_LOANTAPE_WORK.LT003_ENTITY WHERE ref_date='${ref_date}' AND nome_perimetro='Individual Corporativo' AND segmento='ESTR' AND ambito='PILAR3')X</v>
      </c>
      <c r="N409" s="45" t="s">
        <v>13</v>
      </c>
    </row>
    <row r="410" spans="2:14">
      <c r="B410" s="41" t="s">
        <v>23</v>
      </c>
      <c r="C410" s="41" t="s">
        <v>78</v>
      </c>
      <c r="D410" s="41" t="str">
        <f>+UPPER('0. Instruções'!$D$33&amp;"."&amp;VLOOKUP(B410,'0. Instruções'!$C$27:$D$31,2,FALSE))</f>
        <v>BU_LOANTAPE_WORK.LT003_ENTITY</v>
      </c>
      <c r="E410" s="41" t="str">
        <f>+UPPER('0. Instruções'!$D$34&amp;"."&amp;VLOOKUP(B410,'0. Instruções'!$C$27:$E$31,3,FALSE))</f>
        <v>BU_LOANTAPE_WORK.LT003_ENTTY_P3_NOV24</v>
      </c>
      <c r="F410" s="41" t="s">
        <v>115</v>
      </c>
      <c r="G410" s="41" t="s">
        <v>210</v>
      </c>
      <c r="H410" s="41"/>
      <c r="I410" s="41" t="str">
        <f>"(SELECT "&amp;VLOOKUP(B410,'0. Instruções'!$C$27:$G$31,4,FALSE)&amp;", "&amp;F410&amp;" FROM "&amp;D410&amp;" WHERE "&amp;'0. Instruções'!$D$40&amp;")X"</f>
        <v>(SELECT entty_id, PURE_TRNVR_CCA FROM BU_LOANTAPE_WORK.LT003_ENTITY WHERE ref_date='${ref_date}' AND nome_perimetro='Individual Corporativo' AND segmento='ESTR' AND ambito='PILAR3')X</v>
      </c>
      <c r="J410" s="41" t="str">
        <f>"(SELECT "&amp;VLOOKUP(B410,'0. Instruções'!$C$27:$G$31,4,FALSE)&amp;" AS "&amp;VLOOKUP(B410,'0. Instruções'!$C$27:$G$31,4,FALSE)&amp;"_SIMUL, "&amp;F410&amp;" AS "&amp;F410&amp;"_SIMUL FROM "&amp;E410&amp;")Y"</f>
        <v>(SELECT entty_id AS entty_id_SIMUL, PURE_TRNVR_CCA AS PURE_TRNVR_CCA_SIMUL FROM BU_LOANTAPE_WORK.LT003_ENTTY_P3_NOV24)Y</v>
      </c>
      <c r="K410" s="42" t="str">
        <f>+UPPER("ON X."&amp;VLOOKUP(B410,'0. Instruções'!$C$27:$G$31,4,FALSE)&amp;"=Y."&amp;VLOOKUP(B410,'0. Instruções'!$C$27:$G$31,4,FALSE)&amp;"_SIMUL")</f>
        <v>ON X.ENTTY_ID=Y.ENTTY_ID_SIMUL</v>
      </c>
      <c r="L410" s="42" t="str">
        <f>+IF(C410="Coerência", +IF(LEFT(G410,5)="FLOAT","SELECT '"&amp;UPPER(B410)&amp;"' AS TABELA, '"&amp;UPPER(C410)&amp;"' AS TIPOLOGIA_TESTE,'"&amp;D410&amp;"' AS TABELA_LT,'"&amp;E410&amp;"' AS TABELA_SIMUL,'"&amp;F410&amp;"' AS CAMPO, "&amp;"'${ref_date}' AS REF_DATE, COUNT(*) AS NUM_REG, SUM(IF((ABS(COALESCE(X."&amp;F410&amp;",0)-COALESCE(Y."&amp;F410&amp;"_SIMUL,0))&gt;0.0000000001) OR (X."&amp;F410&amp;" IS NULL AND Y."&amp;F410&amp;"_SIMUL IS NOT NULL ) OR (X."&amp;F410&amp;" IS NOT NULL AND Y."&amp;F410&amp;"_SIMUL IS NULL),1,0)) AS NUM_REG_DIF,'"&amp;MAX('ID1&amp;5'!K:K)+1&amp;"' AS ID_EXEC, CURRENT_TIMESTAMP() AS TIME_EXEC FROM "&amp;I410&amp;" INNER JOIN "&amp;J410&amp;" "&amp;K410,"SELECT '"&amp;UPPER(B410)&amp;"' AS TABELA, '"&amp;UPPER(C410)&amp;"' AS TIPOLOGIA_TESTE,'"&amp;D410&amp;"' AS TABELA_LT,'"&amp;E410&amp;"' AS TABELA_SIMUL,'"&amp;F410&amp;"' AS CAMPO, "&amp;"'${ref_date}' AS REF_DATE, COUNT(*) AS NUM_REG, SUM(IF(COALESCE(CAST(X."&amp;F410&amp;" AS STRING),'')&lt;&gt;COALESCE(CAST(Y."&amp;F410&amp;"_SIMUL AS STRING),''),1,0)) AS NUM_REG_DIF,'"&amp;MAX('ID1&amp;5'!L:L)+1&amp;"' AS ID_EXEC, CURRENT_TIMESTAMP() AS TIME_EXEC FROM "&amp;I410&amp;" INNER JOIN "&amp;J410&amp;" "&amp;K410),
IF(C410="Validade",+IF(G410="Code List","SELECT '"&amp;UPPER(B410)&amp;"' AS TABELA, '"&amp;UPPER(C410)&amp;"' AS TIPOLOGIA_TESTE,'"&amp;D410&amp;"' AS TABELA_LT,'N/A' AS TABELA_SIMUL,'"&amp;F410&amp;"' AS CAMPO, "&amp;"'${ref_date}' AS REF_DATE, COUNT(*) AS NUM_REG, SUM(IF(TRIM(CAST(X."&amp;F410&amp;" AS STRING))='' OR TRIM(CAST(X."&amp;F410&amp;" AS STRING)) IS NULL OR CAST(X."&amp;F410&amp;" AS STRING) NOT "&amp;H410&amp;",1,0)) AS NUM_REG_DIF,'"&amp;MAX('ID1&amp;5'!K:K)+1&amp;"' AS ID_EXEC, CURRENT_TIMESTAMP() AS TIME_EXEC FROM "&amp;I410,"SELECT '"&amp;UPPER(B410)&amp;"' AS TABELA, '"&amp;UPPER(C410)&amp;"' AS TIPOLOGIA_TESTE,'"&amp;D410&amp;"' AS TABELA_LT,'N/A' AS TABELA_SIMUL,'"&amp;F410&amp;"' AS CAMPO, "&amp;"'${ref_date}' AS REF_DATE, COUNT(*) AS NUM_REG, SUM(IF(TRIM(CAST(X."&amp;F410&amp;" AS STRING))='' OR TRIM(CAST(X."&amp;F410&amp;" AS STRING)) IS NULL,1,0)) AS NUM_REG_DIF,'"&amp;MAX('ID1&amp;5'!K:K)+1&amp;"' AS ID_EXEC, CURRENT_TIMESTAMP() AS TIME_EXEC FROM "&amp;I410),
IF(C410="Caracteres Especiais",+"SELECT '"&amp;UPPER(B410)&amp;"' AS TABELA, '"&amp;UPPER(C410)&amp;"' AS TIPOLOGIA_TESTE,'"&amp;D410&amp;"' AS TABELA_LT,'N/A' AS TABELA_SIMUL,'"&amp;F410&amp;"' AS CAMPO, "&amp;"'${ref_date}' AS REF_DATE, COUNT(*) AS NUM_REG, SUM(IF(INSTR(CAST(X."&amp;F410&amp;" AS STRING),'#')&gt;0 OR INSTR(CAST(X."&amp;F410&amp;" AS STRING),'*')&gt;0 OR INSTR(CAST(X."&amp;F410&amp;" AS STRING),'`')&gt;0 OR INSTR(CAST(X."&amp;F410&amp;" AS STRING),'´')&gt;0 OR INSTR(CAST(X."&amp;F410&amp;" AS STRING),'{')&gt;0 OR INSTR(CAST(X."&amp;F410&amp;" AS STRING),'}')&gt;0 OR INSTR(CAST(X."&amp;F410&amp;" AS STRING),'[')&gt;0 OR INSTR(CAST(X."&amp;F410&amp;" AS STRING),'')&gt;0 OR INSTR(CAST(X."&amp;F410&amp;" AS STRING),']')&gt;0 OR INSTR(CAST(X."&amp;F410&amp;" AS STRING),'?')&gt;0 OR INSTR(CAST(X."&amp;F410&amp;" AS STRING),'!')&gt;0 OR INSTR(CAST(X."&amp;F410&amp;" AS STRING),'$')&gt;0 OR INSTR(CAST(X."&amp;F410&amp;" AS STRING),'%')&gt;0 OR INSTR(CAST(X."&amp;F410&amp;" AS STRING),'&amp;')&gt;0 OR INSTR(CAST(X."&amp;F410&amp;" AS STRING),'+')&gt;0,1,0)) AS NUM_REG_DIF,'"&amp;MAX('ID1&amp;5'!K:K)+1&amp;"' AS ID_EXEC, CURRENT_TIMESTAMP() AS TIME_EXEC FROM "&amp;I410,
IF(C410="Missings",+"SELECT '"&amp;UPPER(B410)&amp;"' AS TABELA, '"&amp;UPPER(C410)&amp;"' AS TIPOLOGIA_TESTE,'"&amp;D410&amp;"' AS TABELA_LT,'N/A' AS TABELA_SIMUL,'"&amp;F410&amp;"' AS CAMPO, "&amp;"'${ref_date}' AS REF_DATE, COUNT(*) AS NUM_REG, SUM(IF(TRIM(CAST(X."&amp;F410&amp;" AS STRING)) IN ('0000-00-00','0001-01-01','9999-12-31','MISS','00000','99999999999','99999999999.00','99999999999.000000'),1,0)) AS NUM_REG_DIF,'"&amp;MAX('ID1&amp;5'!K:K)+1&amp;"' AS ID_EXEC, CURRENT_TIMESTAMP() AS TIME_EXEC FROM "&amp;I410,
IF(C410="Not applicable",+"SELECT '"&amp;UPPER(B410)&amp;"' AS TABELA, '"&amp;UPPER(C410)&amp;"' AS TIPOLOGIA_TESTE,'"&amp;D410&amp;"' AS TABELA_LT,'N/A' AS TABELA_SIMUL,'"&amp;F410&amp;"' AS CAMPO, "&amp;"'${ref_date}' AS REF_DATE, COUNT(*) AS NUM_REG, SUM(IF(TRIM(CAST(X."&amp;F410&amp;" AS STRING)) IN ('N/A','11111111111','11111111111.00','11111111111.000000','1111-11-11'),1,0)) AS NUM_REG_DIF,'"&amp;MAX('ID1&amp;5'!K:K)+1&amp;"' AS ID_EXEC, CURRENT_TIMESTAMP() AS TIME_EXEC FROM "&amp;I410,
IF(C410="Valores extremos",+"SELECT '"&amp;UPPER(B410)&amp;"' AS TABELA, '"&amp;UPPER(C410)&amp;"' AS TIPOLOGIA_TESTE,'"&amp;D410&amp;"' AS TABELA_LT,'N/A' AS TABELA_SIMUL,'"&amp;F410&amp;"' AS CAMPO, "&amp;"'${ref_date}' AS REF_DATE, CAST(MIN("&amp;F410&amp;") AS STRING) AS VALOR_MIN, CAST(MAX("&amp;F410&amp;") AS STRING) AS VALOR_MAX,'"&amp;MAX('ID1&amp;5'!K:K)+1&amp;"' AS ID_EXEC, CURRENT_TIMESTAMP() AS TIME_EXEC FROM "&amp;MID(I410,1,LEN(I410)-2)&amp;" AND CAST("&amp;F410&amp;"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TABELA_SIMUL,'PURE_TRNVR_CCA' AS CAMPO, '${ref_date}' AS REF_DATE, COUNT(*) AS NUM_REG, SUM(IF(TRIM(CAST(X.PURE_TRNVR_CCA AS STRING)) IN ('N/A','11111111111','11111111111.00','11111111111.000000','1111-11-11'),1,0)) AS NUM_REG_DIF,'10' AS ID_EXEC, CURRENT_TIMESTAMP() AS TIME_EXEC FROM (SELECT entty_id, PURE_TRNVR_CCA FROM BU_LOANTAPE_WORK.LT003_ENTITY WHERE ref_date='${ref_date}' AND nome_perimetro='Individual Corporativo' AND segmento='ESTR' AND ambito='PILAR3')X</v>
      </c>
      <c r="M410" s="43" t="str">
        <f t="shared" si="6"/>
        <v>UNION ALL SELECT 'ENTITY' AS TABELA, 'NOT APPLICABLE' AS TIPOLOGIA_TESTE,'BU_LOANTAPE_WORK.LT003_ENTITY' AS TABELA_LT,'N/A' AS TABELA_SIMUL,'PURE_TRNVR_CCA' AS CAMPO, '${ref_date}' AS REF_DATE, COUNT(*) AS NUM_REG, SUM(IF(TRIM(CAST(X.PURE_TRNVR_CCA AS STRING)) IN ('N/A','11111111111','11111111111.00','11111111111.000000','1111-11-11'),1,0)) AS NUM_REG_DIF,'10' AS ID_EXEC, CURRENT_TIMESTAMP() AS TIME_EXEC FROM (SELECT entty_id, PURE_TRNVR_CCA FROM BU_LOANTAPE_WORK.LT003_ENTITY WHERE ref_date='${ref_date}' AND nome_perimetro='Individual Corporativo' AND segmento='ESTR' AND ambito='PILAR3')X</v>
      </c>
      <c r="N410" s="45" t="s">
        <v>13</v>
      </c>
    </row>
    <row r="411" spans="2:14">
      <c r="B411" s="41" t="s">
        <v>23</v>
      </c>
      <c r="C411" s="41" t="s">
        <v>78</v>
      </c>
      <c r="D411" s="41" t="str">
        <f>+UPPER('0. Instruções'!$D$33&amp;"."&amp;VLOOKUP(B411,'0. Instruções'!$C$27:$D$31,2,FALSE))</f>
        <v>BU_LOANTAPE_WORK.LT003_ENTITY</v>
      </c>
      <c r="E411" s="41" t="str">
        <f>+UPPER('0. Instruções'!$D$34&amp;"."&amp;VLOOKUP(B411,'0. Instruções'!$C$27:$E$31,3,FALSE))</f>
        <v>BU_LOANTAPE_WORK.LT003_ENTTY_P3_NOV24</v>
      </c>
      <c r="F411" s="41" t="s">
        <v>116</v>
      </c>
      <c r="G411" s="41" t="s">
        <v>211</v>
      </c>
      <c r="H411" s="41"/>
      <c r="I411" s="41" t="str">
        <f>"(SELECT "&amp;VLOOKUP(B411,'0. Instruções'!$C$27:$G$31,4,FALSE)&amp;", "&amp;F411&amp;" FROM "&amp;D411&amp;" WHERE "&amp;'0. Instruções'!$D$40&amp;")X"</f>
        <v>(SELECT entty_id, FLG_NFRD_APPLCBLTY FROM BU_LOANTAPE_WORK.LT003_ENTITY WHERE ref_date='${ref_date}' AND nome_perimetro='Individual Corporativo' AND segmento='ESTR' AND ambito='PILAR3')X</v>
      </c>
      <c r="J411" s="41" t="str">
        <f>"(SELECT "&amp;VLOOKUP(B411,'0. Instruções'!$C$27:$G$31,4,FALSE)&amp;" AS "&amp;VLOOKUP(B411,'0. Instruções'!$C$27:$G$31,4,FALSE)&amp;"_SIMUL, "&amp;F411&amp;" AS "&amp;F411&amp;"_SIMUL FROM "&amp;E411&amp;")Y"</f>
        <v>(SELECT entty_id AS entty_id_SIMUL, FLG_NFRD_APPLCBLTY AS FLG_NFRD_APPLCBLTY_SIMUL FROM BU_LOANTAPE_WORK.LT003_ENTTY_P3_NOV24)Y</v>
      </c>
      <c r="K411" s="42" t="str">
        <f>+UPPER("ON X."&amp;VLOOKUP(B411,'0. Instruções'!$C$27:$G$31,4,FALSE)&amp;"=Y."&amp;VLOOKUP(B411,'0. Instruções'!$C$27:$G$31,4,FALSE)&amp;"_SIMUL")</f>
        <v>ON X.ENTTY_ID=Y.ENTTY_ID_SIMUL</v>
      </c>
      <c r="L411" s="42" t="str">
        <f>+IF(C411="Coerência", +IF(LEFT(G411,5)="FLOAT","SELECT '"&amp;UPPER(B411)&amp;"' AS TABELA, '"&amp;UPPER(C411)&amp;"' AS TIPOLOGIA_TESTE,'"&amp;D411&amp;"' AS TABELA_LT,'"&amp;E411&amp;"' AS TABELA_SIMUL,'"&amp;F411&amp;"' AS CAMPO, "&amp;"'${ref_date}' AS REF_DATE, COUNT(*) AS NUM_REG, SUM(IF((ABS(COALESCE(X."&amp;F411&amp;",0)-COALESCE(Y."&amp;F411&amp;"_SIMUL,0))&gt;0.0000000001) OR (X."&amp;F411&amp;" IS NULL AND Y."&amp;F411&amp;"_SIMUL IS NOT NULL ) OR (X."&amp;F411&amp;" IS NOT NULL AND Y."&amp;F411&amp;"_SIMUL IS NULL),1,0)) AS NUM_REG_DIF,'"&amp;MAX('ID1&amp;5'!K:K)+1&amp;"' AS ID_EXEC, CURRENT_TIMESTAMP() AS TIME_EXEC FROM "&amp;I411&amp;" INNER JOIN "&amp;J411&amp;" "&amp;K411,"SELECT '"&amp;UPPER(B411)&amp;"' AS TABELA, '"&amp;UPPER(C411)&amp;"' AS TIPOLOGIA_TESTE,'"&amp;D411&amp;"' AS TABELA_LT,'"&amp;E411&amp;"' AS TABELA_SIMUL,'"&amp;F411&amp;"' AS CAMPO, "&amp;"'${ref_date}' AS REF_DATE, COUNT(*) AS NUM_REG, SUM(IF(COALESCE(CAST(X."&amp;F411&amp;" AS STRING),'')&lt;&gt;COALESCE(CAST(Y."&amp;F411&amp;"_SIMUL AS STRING),''),1,0)) AS NUM_REG_DIF,'"&amp;MAX('ID1&amp;5'!L:L)+1&amp;"' AS ID_EXEC, CURRENT_TIMESTAMP() AS TIME_EXEC FROM "&amp;I411&amp;" INNER JOIN "&amp;J411&amp;" "&amp;K411),
IF(C411="Validade",+IF(G411="Code List","SELECT '"&amp;UPPER(B411)&amp;"' AS TABELA, '"&amp;UPPER(C411)&amp;"' AS TIPOLOGIA_TESTE,'"&amp;D411&amp;"' AS TABELA_LT,'N/A' AS TABELA_SIMUL,'"&amp;F411&amp;"' AS CAMPO, "&amp;"'${ref_date}' AS REF_DATE, COUNT(*) AS NUM_REG, SUM(IF(TRIM(CAST(X."&amp;F411&amp;" AS STRING))='' OR TRIM(CAST(X."&amp;F411&amp;" AS STRING)) IS NULL OR CAST(X."&amp;F411&amp;" AS STRING) NOT "&amp;H411&amp;",1,0)) AS NUM_REG_DIF,'"&amp;MAX('ID1&amp;5'!K:K)+1&amp;"' AS ID_EXEC, CURRENT_TIMESTAMP() AS TIME_EXEC FROM "&amp;I411,"SELECT '"&amp;UPPER(B411)&amp;"' AS TABELA, '"&amp;UPPER(C411)&amp;"' AS TIPOLOGIA_TESTE,'"&amp;D411&amp;"' AS TABELA_LT,'N/A' AS TABELA_SIMUL,'"&amp;F411&amp;"' AS CAMPO, "&amp;"'${ref_date}' AS REF_DATE, COUNT(*) AS NUM_REG, SUM(IF(TRIM(CAST(X."&amp;F411&amp;" AS STRING))='' OR TRIM(CAST(X."&amp;F411&amp;" AS STRING)) IS NULL,1,0)) AS NUM_REG_DIF,'"&amp;MAX('ID1&amp;5'!K:K)+1&amp;"' AS ID_EXEC, CURRENT_TIMESTAMP() AS TIME_EXEC FROM "&amp;I411),
IF(C411="Caracteres Especiais",+"SELECT '"&amp;UPPER(B411)&amp;"' AS TABELA, '"&amp;UPPER(C411)&amp;"' AS TIPOLOGIA_TESTE,'"&amp;D411&amp;"' AS TABELA_LT,'N/A' AS TABELA_SIMUL,'"&amp;F411&amp;"' AS CAMPO, "&amp;"'${ref_date}' AS REF_DATE, COUNT(*) AS NUM_REG, SUM(IF(INSTR(CAST(X."&amp;F411&amp;" AS STRING),'#')&gt;0 OR INSTR(CAST(X."&amp;F411&amp;" AS STRING),'*')&gt;0 OR INSTR(CAST(X."&amp;F411&amp;" AS STRING),'`')&gt;0 OR INSTR(CAST(X."&amp;F411&amp;" AS STRING),'´')&gt;0 OR INSTR(CAST(X."&amp;F411&amp;" AS STRING),'{')&gt;0 OR INSTR(CAST(X."&amp;F411&amp;" AS STRING),'}')&gt;0 OR INSTR(CAST(X."&amp;F411&amp;" AS STRING),'[')&gt;0 OR INSTR(CAST(X."&amp;F411&amp;" AS STRING),'')&gt;0 OR INSTR(CAST(X."&amp;F411&amp;" AS STRING),']')&gt;0 OR INSTR(CAST(X."&amp;F411&amp;" AS STRING),'?')&gt;0 OR INSTR(CAST(X."&amp;F411&amp;" AS STRING),'!')&gt;0 OR INSTR(CAST(X."&amp;F411&amp;" AS STRING),'$')&gt;0 OR INSTR(CAST(X."&amp;F411&amp;" AS STRING),'%')&gt;0 OR INSTR(CAST(X."&amp;F411&amp;" AS STRING),'&amp;')&gt;0 OR INSTR(CAST(X."&amp;F411&amp;" AS STRING),'+')&gt;0,1,0)) AS NUM_REG_DIF,'"&amp;MAX('ID1&amp;5'!K:K)+1&amp;"' AS ID_EXEC, CURRENT_TIMESTAMP() AS TIME_EXEC FROM "&amp;I411,
IF(C411="Missings",+"SELECT '"&amp;UPPER(B411)&amp;"' AS TABELA, '"&amp;UPPER(C411)&amp;"' AS TIPOLOGIA_TESTE,'"&amp;D411&amp;"' AS TABELA_LT,'N/A' AS TABELA_SIMUL,'"&amp;F411&amp;"' AS CAMPO, "&amp;"'${ref_date}' AS REF_DATE, COUNT(*) AS NUM_REG, SUM(IF(TRIM(CAST(X."&amp;F411&amp;" AS STRING)) IN ('0000-00-00','0001-01-01','9999-12-31','MISS','00000','99999999999','99999999999.00','99999999999.000000'),1,0)) AS NUM_REG_DIF,'"&amp;MAX('ID1&amp;5'!K:K)+1&amp;"' AS ID_EXEC, CURRENT_TIMESTAMP() AS TIME_EXEC FROM "&amp;I411,
IF(C411="Not applicable",+"SELECT '"&amp;UPPER(B411)&amp;"' AS TABELA, '"&amp;UPPER(C411)&amp;"' AS TIPOLOGIA_TESTE,'"&amp;D411&amp;"' AS TABELA_LT,'N/A' AS TABELA_SIMUL,'"&amp;F411&amp;"' AS CAMPO, "&amp;"'${ref_date}' AS REF_DATE, COUNT(*) AS NUM_REG, SUM(IF(TRIM(CAST(X."&amp;F411&amp;" AS STRING)) IN ('N/A','11111111111','11111111111.00','11111111111.000000','1111-11-11'),1,0)) AS NUM_REG_DIF,'"&amp;MAX('ID1&amp;5'!K:K)+1&amp;"' AS ID_EXEC, CURRENT_TIMESTAMP() AS TIME_EXEC FROM "&amp;I411,
IF(C411="Valores extremos",+"SELECT '"&amp;UPPER(B411)&amp;"' AS TABELA, '"&amp;UPPER(C411)&amp;"' AS TIPOLOGIA_TESTE,'"&amp;D411&amp;"' AS TABELA_LT,'N/A' AS TABELA_SIMUL,'"&amp;F411&amp;"' AS CAMPO, "&amp;"'${ref_date}' AS REF_DATE, CAST(MIN("&amp;F411&amp;") AS STRING) AS VALOR_MIN, CAST(MAX("&amp;F411&amp;") AS STRING) AS VALOR_MAX,'"&amp;MAX('ID1&amp;5'!K:K)+1&amp;"' AS ID_EXEC, CURRENT_TIMESTAMP() AS TIME_EXEC FROM "&amp;MID(I411,1,LEN(I411)-2)&amp;" AND CAST("&amp;F411&amp;"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TABELA_SIMUL,'FLG_NFRD_APPLCBLTY' AS CAMPO, '${ref_date}' AS REF_DATE, COUNT(*) AS NUM_REG, SUM(IF(TRIM(CAST(X.FLG_NFRD_APPLCBLTY AS STRING)) IN ('N/A','11111111111','11111111111.00','11111111111.000000','1111-11-11'),1,0)) AS NUM_REG_DIF,'10' AS ID_EXEC, CURRENT_TIMESTAMP() AS TIME_EXEC FROM (SELECT entty_id, FLG_NFRD_APPLCBLTY FROM BU_LOANTAPE_WORK.LT003_ENTITY WHERE ref_date='${ref_date}' AND nome_perimetro='Individual Corporativo' AND segmento='ESTR' AND ambito='PILAR3')X</v>
      </c>
      <c r="M411" s="43" t="str">
        <f t="shared" si="6"/>
        <v>UNION ALL SELECT 'ENTITY' AS TABELA, 'NOT APPLICABLE' AS TIPOLOGIA_TESTE,'BU_LOANTAPE_WORK.LT003_ENTITY' AS TABELA_LT,'N/A' AS TABELA_SIMUL,'FLG_NFRD_APPLCBLTY' AS CAMPO, '${ref_date}' AS REF_DATE, COUNT(*) AS NUM_REG, SUM(IF(TRIM(CAST(X.FLG_NFRD_APPLCBLTY AS STRING)) IN ('N/A','11111111111','11111111111.00','11111111111.000000','1111-11-11'),1,0)) AS NUM_REG_DIF,'10' AS ID_EXEC, CURRENT_TIMESTAMP() AS TIME_EXEC FROM (SELECT entty_id, FLG_NFRD_APPLCBLTY FROM BU_LOANTAPE_WORK.LT003_ENTITY WHERE ref_date='${ref_date}' AND nome_perimetro='Individual Corporativo' AND segmento='ESTR' AND ambito='PILAR3')X</v>
      </c>
      <c r="N411" s="45" t="s">
        <v>13</v>
      </c>
    </row>
    <row r="412" spans="2:14">
      <c r="B412" s="41" t="s">
        <v>23</v>
      </c>
      <c r="C412" s="41" t="s">
        <v>78</v>
      </c>
      <c r="D412" s="41" t="str">
        <f>+UPPER('0. Instruções'!$D$33&amp;"."&amp;VLOOKUP(B412,'0. Instruções'!$C$27:$D$31,2,FALSE))</f>
        <v>BU_LOANTAPE_WORK.LT003_ENTITY</v>
      </c>
      <c r="E412" s="41" t="str">
        <f>+UPPER('0. Instruções'!$D$34&amp;"."&amp;VLOOKUP(B412,'0. Instruções'!$C$27:$E$31,3,FALSE))</f>
        <v>BU_LOANTAPE_WORK.LT003_ENTTY_P3_NOV24</v>
      </c>
      <c r="F412" s="41" t="s">
        <v>117</v>
      </c>
      <c r="G412" s="41" t="s">
        <v>210</v>
      </c>
      <c r="H412" s="41"/>
      <c r="I412" s="41" t="str">
        <f>"(SELECT "&amp;VLOOKUP(B412,'0. Instruções'!$C$27:$G$31,4,FALSE)&amp;", "&amp;F412&amp;" FROM "&amp;D412&amp;" WHERE "&amp;'0. Instruções'!$D$40&amp;")X"</f>
        <v>(SELECT entty_id, CNTRPRTY_EMSSNS_SCP1 FROM BU_LOANTAPE_WORK.LT003_ENTITY WHERE ref_date='${ref_date}' AND nome_perimetro='Individual Corporativo' AND segmento='ESTR' AND ambito='PILAR3')X</v>
      </c>
      <c r="J412" s="41" t="str">
        <f>"(SELECT "&amp;VLOOKUP(B412,'0. Instruções'!$C$27:$G$31,4,FALSE)&amp;" AS "&amp;VLOOKUP(B412,'0. Instruções'!$C$27:$G$31,4,FALSE)&amp;"_SIMUL, "&amp;F412&amp;" AS "&amp;F412&amp;"_SIMUL FROM "&amp;E412&amp;")Y"</f>
        <v>(SELECT entty_id AS entty_id_SIMUL, CNTRPRTY_EMSSNS_SCP1 AS CNTRPRTY_EMSSNS_SCP1_SIMUL FROM BU_LOANTAPE_WORK.LT003_ENTTY_P3_NOV24)Y</v>
      </c>
      <c r="K412" s="42" t="str">
        <f>+UPPER("ON X."&amp;VLOOKUP(B412,'0. Instruções'!$C$27:$G$31,4,FALSE)&amp;"=Y."&amp;VLOOKUP(B412,'0. Instruções'!$C$27:$G$31,4,FALSE)&amp;"_SIMUL")</f>
        <v>ON X.ENTTY_ID=Y.ENTTY_ID_SIMUL</v>
      </c>
      <c r="L412" s="42" t="str">
        <f>+IF(C412="Coerência", +IF(LEFT(G412,5)="FLOAT","SELECT '"&amp;UPPER(B412)&amp;"' AS TABELA, '"&amp;UPPER(C412)&amp;"' AS TIPOLOGIA_TESTE,'"&amp;D412&amp;"' AS TABELA_LT,'"&amp;E412&amp;"' AS TABELA_SIMUL,'"&amp;F412&amp;"' AS CAMPO, "&amp;"'${ref_date}' AS REF_DATE, COUNT(*) AS NUM_REG, SUM(IF((ABS(COALESCE(X."&amp;F412&amp;",0)-COALESCE(Y."&amp;F412&amp;"_SIMUL,0))&gt;0.0000000001) OR (X."&amp;F412&amp;" IS NULL AND Y."&amp;F412&amp;"_SIMUL IS NOT NULL ) OR (X."&amp;F412&amp;" IS NOT NULL AND Y."&amp;F412&amp;"_SIMUL IS NULL),1,0)) AS NUM_REG_DIF,'"&amp;MAX('ID1&amp;5'!K:K)+1&amp;"' AS ID_EXEC, CURRENT_TIMESTAMP() AS TIME_EXEC FROM "&amp;I412&amp;" INNER JOIN "&amp;J412&amp;" "&amp;K412,"SELECT '"&amp;UPPER(B412)&amp;"' AS TABELA, '"&amp;UPPER(C412)&amp;"' AS TIPOLOGIA_TESTE,'"&amp;D412&amp;"' AS TABELA_LT,'"&amp;E412&amp;"' AS TABELA_SIMUL,'"&amp;F412&amp;"' AS CAMPO, "&amp;"'${ref_date}' AS REF_DATE, COUNT(*) AS NUM_REG, SUM(IF(COALESCE(CAST(X."&amp;F412&amp;" AS STRING),'')&lt;&gt;COALESCE(CAST(Y."&amp;F412&amp;"_SIMUL AS STRING),''),1,0)) AS NUM_REG_DIF,'"&amp;MAX('ID1&amp;5'!L:L)+1&amp;"' AS ID_EXEC, CURRENT_TIMESTAMP() AS TIME_EXEC FROM "&amp;I412&amp;" INNER JOIN "&amp;J412&amp;" "&amp;K412),
IF(C412="Validade",+IF(G412="Code List","SELECT '"&amp;UPPER(B412)&amp;"' AS TABELA, '"&amp;UPPER(C412)&amp;"' AS TIPOLOGIA_TESTE,'"&amp;D412&amp;"' AS TABELA_LT,'N/A' AS TABELA_SIMUL,'"&amp;F412&amp;"' AS CAMPO, "&amp;"'${ref_date}' AS REF_DATE, COUNT(*) AS NUM_REG, SUM(IF(TRIM(CAST(X."&amp;F412&amp;" AS STRING))='' OR TRIM(CAST(X."&amp;F412&amp;" AS STRING)) IS NULL OR CAST(X."&amp;F412&amp;" AS STRING) NOT "&amp;H412&amp;",1,0)) AS NUM_REG_DIF,'"&amp;MAX('ID1&amp;5'!K:K)+1&amp;"' AS ID_EXEC, CURRENT_TIMESTAMP() AS TIME_EXEC FROM "&amp;I412,"SELECT '"&amp;UPPER(B412)&amp;"' AS TABELA, '"&amp;UPPER(C412)&amp;"' AS TIPOLOGIA_TESTE,'"&amp;D412&amp;"' AS TABELA_LT,'N/A' AS TABELA_SIMUL,'"&amp;F412&amp;"' AS CAMPO, "&amp;"'${ref_date}' AS REF_DATE, COUNT(*) AS NUM_REG, SUM(IF(TRIM(CAST(X."&amp;F412&amp;" AS STRING))='' OR TRIM(CAST(X."&amp;F412&amp;" AS STRING)) IS NULL,1,0)) AS NUM_REG_DIF,'"&amp;MAX('ID1&amp;5'!K:K)+1&amp;"' AS ID_EXEC, CURRENT_TIMESTAMP() AS TIME_EXEC FROM "&amp;I412),
IF(C412="Caracteres Especiais",+"SELECT '"&amp;UPPER(B412)&amp;"' AS TABELA, '"&amp;UPPER(C412)&amp;"' AS TIPOLOGIA_TESTE,'"&amp;D412&amp;"' AS TABELA_LT,'N/A' AS TABELA_SIMUL,'"&amp;F412&amp;"' AS CAMPO, "&amp;"'${ref_date}' AS REF_DATE, COUNT(*) AS NUM_REG, SUM(IF(INSTR(CAST(X."&amp;F412&amp;" AS STRING),'#')&gt;0 OR INSTR(CAST(X."&amp;F412&amp;" AS STRING),'*')&gt;0 OR INSTR(CAST(X."&amp;F412&amp;" AS STRING),'`')&gt;0 OR INSTR(CAST(X."&amp;F412&amp;" AS STRING),'´')&gt;0 OR INSTR(CAST(X."&amp;F412&amp;" AS STRING),'{')&gt;0 OR INSTR(CAST(X."&amp;F412&amp;" AS STRING),'}')&gt;0 OR INSTR(CAST(X."&amp;F412&amp;" AS STRING),'[')&gt;0 OR INSTR(CAST(X."&amp;F412&amp;" AS STRING),'')&gt;0 OR INSTR(CAST(X."&amp;F412&amp;" AS STRING),']')&gt;0 OR INSTR(CAST(X."&amp;F412&amp;" AS STRING),'?')&gt;0 OR INSTR(CAST(X."&amp;F412&amp;" AS STRING),'!')&gt;0 OR INSTR(CAST(X."&amp;F412&amp;" AS STRING),'$')&gt;0 OR INSTR(CAST(X."&amp;F412&amp;" AS STRING),'%')&gt;0 OR INSTR(CAST(X."&amp;F412&amp;" AS STRING),'&amp;')&gt;0 OR INSTR(CAST(X."&amp;F412&amp;" AS STRING),'+')&gt;0,1,0)) AS NUM_REG_DIF,'"&amp;MAX('ID1&amp;5'!K:K)+1&amp;"' AS ID_EXEC, CURRENT_TIMESTAMP() AS TIME_EXEC FROM "&amp;I412,
IF(C412="Missings",+"SELECT '"&amp;UPPER(B412)&amp;"' AS TABELA, '"&amp;UPPER(C412)&amp;"' AS TIPOLOGIA_TESTE,'"&amp;D412&amp;"' AS TABELA_LT,'N/A' AS TABELA_SIMUL,'"&amp;F412&amp;"' AS CAMPO, "&amp;"'${ref_date}' AS REF_DATE, COUNT(*) AS NUM_REG, SUM(IF(TRIM(CAST(X."&amp;F412&amp;" AS STRING)) IN ('0000-00-00','0001-01-01','9999-12-31','MISS','00000','99999999999','99999999999.00','99999999999.000000'),1,0)) AS NUM_REG_DIF,'"&amp;MAX('ID1&amp;5'!K:K)+1&amp;"' AS ID_EXEC, CURRENT_TIMESTAMP() AS TIME_EXEC FROM "&amp;I412,
IF(C412="Not applicable",+"SELECT '"&amp;UPPER(B412)&amp;"' AS TABELA, '"&amp;UPPER(C412)&amp;"' AS TIPOLOGIA_TESTE,'"&amp;D412&amp;"' AS TABELA_LT,'N/A' AS TABELA_SIMUL,'"&amp;F412&amp;"' AS CAMPO, "&amp;"'${ref_date}' AS REF_DATE, COUNT(*) AS NUM_REG, SUM(IF(TRIM(CAST(X."&amp;F412&amp;" AS STRING)) IN ('N/A','11111111111','11111111111.00','11111111111.000000','1111-11-11'),1,0)) AS NUM_REG_DIF,'"&amp;MAX('ID1&amp;5'!K:K)+1&amp;"' AS ID_EXEC, CURRENT_TIMESTAMP() AS TIME_EXEC FROM "&amp;I412,
IF(C412="Valores extremos",+"SELECT '"&amp;UPPER(B412)&amp;"' AS TABELA, '"&amp;UPPER(C412)&amp;"' AS TIPOLOGIA_TESTE,'"&amp;D412&amp;"' AS TABELA_LT,'N/A' AS TABELA_SIMUL,'"&amp;F412&amp;"' AS CAMPO, "&amp;"'${ref_date}' AS REF_DATE, CAST(MIN("&amp;F412&amp;") AS STRING) AS VALOR_MIN, CAST(MAX("&amp;F412&amp;") AS STRING) AS VALOR_MAX,'"&amp;MAX('ID1&amp;5'!K:K)+1&amp;"' AS ID_EXEC, CURRENT_TIMESTAMP() AS TIME_EXEC FROM "&amp;MID(I412,1,LEN(I412)-2)&amp;" AND CAST("&amp;F412&amp;"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TABELA_SIMUL,'CNTRPRTY_EMSSNS_SCP1' AS CAMPO, '${ref_date}' AS REF_DATE, COUNT(*) AS NUM_REG, SUM(IF(TRIM(CAST(X.CNTRPRTY_EMSSNS_SCP1 AS STRING)) IN ('N/A','11111111111','11111111111.00','11111111111.000000','1111-11-11'),1,0)) AS NUM_REG_DIF,'10' AS ID_EXEC, CURRENT_TIMESTAMP() AS TIME_EXEC FROM (SELECT entty_id, CNTRPRTY_EMSSNS_SCP1 FROM BU_LOANTAPE_WORK.LT003_ENTITY WHERE ref_date='${ref_date}' AND nome_perimetro='Individual Corporativo' AND segmento='ESTR' AND ambito='PILAR3')X</v>
      </c>
      <c r="M412" s="43" t="str">
        <f t="shared" si="6"/>
        <v>UNION ALL SELECT 'ENTITY' AS TABELA, 'NOT APPLICABLE' AS TIPOLOGIA_TESTE,'BU_LOANTAPE_WORK.LT003_ENTITY' AS TABELA_LT,'N/A' AS TABELA_SIMUL,'CNTRPRTY_EMSSNS_SCP1' AS CAMPO, '${ref_date}' AS REF_DATE, COUNT(*) AS NUM_REG, SUM(IF(TRIM(CAST(X.CNTRPRTY_EMSSNS_SCP1 AS STRING)) IN ('N/A','11111111111','11111111111.00','11111111111.000000','1111-11-11'),1,0)) AS NUM_REG_DIF,'10' AS ID_EXEC, CURRENT_TIMESTAMP() AS TIME_EXEC FROM (SELECT entty_id, CNTRPRTY_EMSSNS_SCP1 FROM BU_LOANTAPE_WORK.LT003_ENTITY WHERE ref_date='${ref_date}' AND nome_perimetro='Individual Corporativo' AND segmento='ESTR' AND ambito='PILAR3')X</v>
      </c>
      <c r="N412" s="45" t="s">
        <v>13</v>
      </c>
    </row>
    <row r="413" spans="2:14">
      <c r="B413" s="41" t="s">
        <v>23</v>
      </c>
      <c r="C413" s="41" t="s">
        <v>78</v>
      </c>
      <c r="D413" s="41" t="str">
        <f>+UPPER('0. Instruções'!$D$33&amp;"."&amp;VLOOKUP(B413,'0. Instruções'!$C$27:$D$31,2,FALSE))</f>
        <v>BU_LOANTAPE_WORK.LT003_ENTITY</v>
      </c>
      <c r="E413" s="41" t="str">
        <f>+UPPER('0. Instruções'!$D$34&amp;"."&amp;VLOOKUP(B413,'0. Instruções'!$C$27:$E$31,3,FALSE))</f>
        <v>BU_LOANTAPE_WORK.LT003_ENTTY_P3_NOV24</v>
      </c>
      <c r="F413" s="41" t="s">
        <v>118</v>
      </c>
      <c r="G413" s="41" t="s">
        <v>210</v>
      </c>
      <c r="H413" s="41"/>
      <c r="I413" s="41" t="str">
        <f>"(SELECT "&amp;VLOOKUP(B413,'0. Instruções'!$C$27:$G$31,4,FALSE)&amp;", "&amp;F413&amp;" FROM "&amp;D413&amp;" WHERE "&amp;'0. Instruções'!$D$40&amp;")X"</f>
        <v>(SELECT entty_id, CNTRPRTY_EMSSNS_SCP2 FROM BU_LOANTAPE_WORK.LT003_ENTITY WHERE ref_date='${ref_date}' AND nome_perimetro='Individual Corporativo' AND segmento='ESTR' AND ambito='PILAR3')X</v>
      </c>
      <c r="J413" s="41" t="str">
        <f>"(SELECT "&amp;VLOOKUP(B413,'0. Instruções'!$C$27:$G$31,4,FALSE)&amp;" AS "&amp;VLOOKUP(B413,'0. Instruções'!$C$27:$G$31,4,FALSE)&amp;"_SIMUL, "&amp;F413&amp;" AS "&amp;F413&amp;"_SIMUL FROM "&amp;E413&amp;")Y"</f>
        <v>(SELECT entty_id AS entty_id_SIMUL, CNTRPRTY_EMSSNS_SCP2 AS CNTRPRTY_EMSSNS_SCP2_SIMUL FROM BU_LOANTAPE_WORK.LT003_ENTTY_P3_NOV24)Y</v>
      </c>
      <c r="K413" s="42" t="str">
        <f>+UPPER("ON X."&amp;VLOOKUP(B413,'0. Instruções'!$C$27:$G$31,4,FALSE)&amp;"=Y."&amp;VLOOKUP(B413,'0. Instruções'!$C$27:$G$31,4,FALSE)&amp;"_SIMUL")</f>
        <v>ON X.ENTTY_ID=Y.ENTTY_ID_SIMUL</v>
      </c>
      <c r="L413" s="42" t="str">
        <f>+IF(C413="Coerência", +IF(LEFT(G413,5)="FLOAT","SELECT '"&amp;UPPER(B413)&amp;"' AS TABELA, '"&amp;UPPER(C413)&amp;"' AS TIPOLOGIA_TESTE,'"&amp;D413&amp;"' AS TABELA_LT,'"&amp;E413&amp;"' AS TABELA_SIMUL,'"&amp;F413&amp;"' AS CAMPO, "&amp;"'${ref_date}' AS REF_DATE, COUNT(*) AS NUM_REG, SUM(IF((ABS(COALESCE(X."&amp;F413&amp;",0)-COALESCE(Y."&amp;F413&amp;"_SIMUL,0))&gt;0.0000000001) OR (X."&amp;F413&amp;" IS NULL AND Y."&amp;F413&amp;"_SIMUL IS NOT NULL ) OR (X."&amp;F413&amp;" IS NOT NULL AND Y."&amp;F413&amp;"_SIMUL IS NULL),1,0)) AS NUM_REG_DIF,'"&amp;MAX('ID1&amp;5'!K:K)+1&amp;"' AS ID_EXEC, CURRENT_TIMESTAMP() AS TIME_EXEC FROM "&amp;I413&amp;" INNER JOIN "&amp;J413&amp;" "&amp;K413,"SELECT '"&amp;UPPER(B413)&amp;"' AS TABELA, '"&amp;UPPER(C413)&amp;"' AS TIPOLOGIA_TESTE,'"&amp;D413&amp;"' AS TABELA_LT,'"&amp;E413&amp;"' AS TABELA_SIMUL,'"&amp;F413&amp;"' AS CAMPO, "&amp;"'${ref_date}' AS REF_DATE, COUNT(*) AS NUM_REG, SUM(IF(COALESCE(CAST(X."&amp;F413&amp;" AS STRING),'')&lt;&gt;COALESCE(CAST(Y."&amp;F413&amp;"_SIMUL AS STRING),''),1,0)) AS NUM_REG_DIF,'"&amp;MAX('ID1&amp;5'!L:L)+1&amp;"' AS ID_EXEC, CURRENT_TIMESTAMP() AS TIME_EXEC FROM "&amp;I413&amp;" INNER JOIN "&amp;J413&amp;" "&amp;K413),
IF(C413="Validade",+IF(G413="Code List","SELECT '"&amp;UPPER(B413)&amp;"' AS TABELA, '"&amp;UPPER(C413)&amp;"' AS TIPOLOGIA_TESTE,'"&amp;D413&amp;"' AS TABELA_LT,'N/A' AS TABELA_SIMUL,'"&amp;F413&amp;"' AS CAMPO, "&amp;"'${ref_date}' AS REF_DATE, COUNT(*) AS NUM_REG, SUM(IF(TRIM(CAST(X."&amp;F413&amp;" AS STRING))='' OR TRIM(CAST(X."&amp;F413&amp;" AS STRING)) IS NULL OR CAST(X."&amp;F413&amp;" AS STRING) NOT "&amp;H413&amp;",1,0)) AS NUM_REG_DIF,'"&amp;MAX('ID1&amp;5'!K:K)+1&amp;"' AS ID_EXEC, CURRENT_TIMESTAMP() AS TIME_EXEC FROM "&amp;I413,"SELECT '"&amp;UPPER(B413)&amp;"' AS TABELA, '"&amp;UPPER(C413)&amp;"' AS TIPOLOGIA_TESTE,'"&amp;D413&amp;"' AS TABELA_LT,'N/A' AS TABELA_SIMUL,'"&amp;F413&amp;"' AS CAMPO, "&amp;"'${ref_date}' AS REF_DATE, COUNT(*) AS NUM_REG, SUM(IF(TRIM(CAST(X."&amp;F413&amp;" AS STRING))='' OR TRIM(CAST(X."&amp;F413&amp;" AS STRING)) IS NULL,1,0)) AS NUM_REG_DIF,'"&amp;MAX('ID1&amp;5'!K:K)+1&amp;"' AS ID_EXEC, CURRENT_TIMESTAMP() AS TIME_EXEC FROM "&amp;I413),
IF(C413="Caracteres Especiais",+"SELECT '"&amp;UPPER(B413)&amp;"' AS TABELA, '"&amp;UPPER(C413)&amp;"' AS TIPOLOGIA_TESTE,'"&amp;D413&amp;"' AS TABELA_LT,'N/A' AS TABELA_SIMUL,'"&amp;F413&amp;"' AS CAMPO, "&amp;"'${ref_date}' AS REF_DATE, COUNT(*) AS NUM_REG, SUM(IF(INSTR(CAST(X."&amp;F413&amp;" AS STRING),'#')&gt;0 OR INSTR(CAST(X."&amp;F413&amp;" AS STRING),'*')&gt;0 OR INSTR(CAST(X."&amp;F413&amp;" AS STRING),'`')&gt;0 OR INSTR(CAST(X."&amp;F413&amp;" AS STRING),'´')&gt;0 OR INSTR(CAST(X."&amp;F413&amp;" AS STRING),'{')&gt;0 OR INSTR(CAST(X."&amp;F413&amp;" AS STRING),'}')&gt;0 OR INSTR(CAST(X."&amp;F413&amp;" AS STRING),'[')&gt;0 OR INSTR(CAST(X."&amp;F413&amp;" AS STRING),'')&gt;0 OR INSTR(CAST(X."&amp;F413&amp;" AS STRING),']')&gt;0 OR INSTR(CAST(X."&amp;F413&amp;" AS STRING),'?')&gt;0 OR INSTR(CAST(X."&amp;F413&amp;" AS STRING),'!')&gt;0 OR INSTR(CAST(X."&amp;F413&amp;" AS STRING),'$')&gt;0 OR INSTR(CAST(X."&amp;F413&amp;" AS STRING),'%')&gt;0 OR INSTR(CAST(X."&amp;F413&amp;" AS STRING),'&amp;')&gt;0 OR INSTR(CAST(X."&amp;F413&amp;" AS STRING),'+')&gt;0,1,0)) AS NUM_REG_DIF,'"&amp;MAX('ID1&amp;5'!K:K)+1&amp;"' AS ID_EXEC, CURRENT_TIMESTAMP() AS TIME_EXEC FROM "&amp;I413,
IF(C413="Missings",+"SELECT '"&amp;UPPER(B413)&amp;"' AS TABELA, '"&amp;UPPER(C413)&amp;"' AS TIPOLOGIA_TESTE,'"&amp;D413&amp;"' AS TABELA_LT,'N/A' AS TABELA_SIMUL,'"&amp;F413&amp;"' AS CAMPO, "&amp;"'${ref_date}' AS REF_DATE, COUNT(*) AS NUM_REG, SUM(IF(TRIM(CAST(X."&amp;F413&amp;" AS STRING)) IN ('0000-00-00','0001-01-01','9999-12-31','MISS','00000','99999999999','99999999999.00','99999999999.000000'),1,0)) AS NUM_REG_DIF,'"&amp;MAX('ID1&amp;5'!K:K)+1&amp;"' AS ID_EXEC, CURRENT_TIMESTAMP() AS TIME_EXEC FROM "&amp;I413,
IF(C413="Not applicable",+"SELECT '"&amp;UPPER(B413)&amp;"' AS TABELA, '"&amp;UPPER(C413)&amp;"' AS TIPOLOGIA_TESTE,'"&amp;D413&amp;"' AS TABELA_LT,'N/A' AS TABELA_SIMUL,'"&amp;F413&amp;"' AS CAMPO, "&amp;"'${ref_date}' AS REF_DATE, COUNT(*) AS NUM_REG, SUM(IF(TRIM(CAST(X."&amp;F413&amp;" AS STRING)) IN ('N/A','11111111111','11111111111.00','11111111111.000000','1111-11-11'),1,0)) AS NUM_REG_DIF,'"&amp;MAX('ID1&amp;5'!K:K)+1&amp;"' AS ID_EXEC, CURRENT_TIMESTAMP() AS TIME_EXEC FROM "&amp;I413,
IF(C413="Valores extremos",+"SELECT '"&amp;UPPER(B413)&amp;"' AS TABELA, '"&amp;UPPER(C413)&amp;"' AS TIPOLOGIA_TESTE,'"&amp;D413&amp;"' AS TABELA_LT,'N/A' AS TABELA_SIMUL,'"&amp;F413&amp;"' AS CAMPO, "&amp;"'${ref_date}' AS REF_DATE, CAST(MIN("&amp;F413&amp;") AS STRING) AS VALOR_MIN, CAST(MAX("&amp;F413&amp;") AS STRING) AS VALOR_MAX,'"&amp;MAX('ID1&amp;5'!K:K)+1&amp;"' AS ID_EXEC, CURRENT_TIMESTAMP() AS TIME_EXEC FROM "&amp;MID(I413,1,LEN(I413)-2)&amp;" AND CAST("&amp;F413&amp;"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TABELA_SIMUL,'CNTRPRTY_EMSSNS_SCP2' AS CAMPO, '${ref_date}' AS REF_DATE, COUNT(*) AS NUM_REG, SUM(IF(TRIM(CAST(X.CNTRPRTY_EMSSNS_SCP2 AS STRING)) IN ('N/A','11111111111','11111111111.00','11111111111.000000','1111-11-11'),1,0)) AS NUM_REG_DIF,'10' AS ID_EXEC, CURRENT_TIMESTAMP() AS TIME_EXEC FROM (SELECT entty_id, CNTRPRTY_EMSSNS_SCP2 FROM BU_LOANTAPE_WORK.LT003_ENTITY WHERE ref_date='${ref_date}' AND nome_perimetro='Individual Corporativo' AND segmento='ESTR' AND ambito='PILAR3')X</v>
      </c>
      <c r="M413" s="43" t="str">
        <f t="shared" si="6"/>
        <v>UNION ALL SELECT 'ENTITY' AS TABELA, 'NOT APPLICABLE' AS TIPOLOGIA_TESTE,'BU_LOANTAPE_WORK.LT003_ENTITY' AS TABELA_LT,'N/A' AS TABELA_SIMUL,'CNTRPRTY_EMSSNS_SCP2' AS CAMPO, '${ref_date}' AS REF_DATE, COUNT(*) AS NUM_REG, SUM(IF(TRIM(CAST(X.CNTRPRTY_EMSSNS_SCP2 AS STRING)) IN ('N/A','11111111111','11111111111.00','11111111111.000000','1111-11-11'),1,0)) AS NUM_REG_DIF,'10' AS ID_EXEC, CURRENT_TIMESTAMP() AS TIME_EXEC FROM (SELECT entty_id, CNTRPRTY_EMSSNS_SCP2 FROM BU_LOANTAPE_WORK.LT003_ENTITY WHERE ref_date='${ref_date}' AND nome_perimetro='Individual Corporativo' AND segmento='ESTR' AND ambito='PILAR3')X</v>
      </c>
      <c r="N413" s="45" t="s">
        <v>13</v>
      </c>
    </row>
    <row r="414" spans="2:14">
      <c r="B414" s="41" t="s">
        <v>23</v>
      </c>
      <c r="C414" s="41" t="s">
        <v>78</v>
      </c>
      <c r="D414" s="41" t="str">
        <f>+UPPER('0. Instruções'!$D$33&amp;"."&amp;VLOOKUP(B414,'0. Instruções'!$C$27:$D$31,2,FALSE))</f>
        <v>BU_LOANTAPE_WORK.LT003_ENTITY</v>
      </c>
      <c r="E414" s="41" t="str">
        <f>+UPPER('0. Instruções'!$D$34&amp;"."&amp;VLOOKUP(B414,'0. Instruções'!$C$27:$E$31,3,FALSE))</f>
        <v>BU_LOANTAPE_WORK.LT003_ENTTY_P3_NOV24</v>
      </c>
      <c r="F414" s="41" t="s">
        <v>119</v>
      </c>
      <c r="G414" s="41" t="s">
        <v>210</v>
      </c>
      <c r="H414" s="41"/>
      <c r="I414" s="41" t="str">
        <f>"(SELECT "&amp;VLOOKUP(B414,'0. Instruções'!$C$27:$G$31,4,FALSE)&amp;", "&amp;F414&amp;" FROM "&amp;D414&amp;" WHERE "&amp;'0. Instruções'!$D$40&amp;")X"</f>
        <v>(SELECT entty_id, CNTRPRTY_EMSSNS_SCP3 FROM BU_LOANTAPE_WORK.LT003_ENTITY WHERE ref_date='${ref_date}' AND nome_perimetro='Individual Corporativo' AND segmento='ESTR' AND ambito='PILAR3')X</v>
      </c>
      <c r="J414" s="41" t="str">
        <f>"(SELECT "&amp;VLOOKUP(B414,'0. Instruções'!$C$27:$G$31,4,FALSE)&amp;" AS "&amp;VLOOKUP(B414,'0. Instruções'!$C$27:$G$31,4,FALSE)&amp;"_SIMUL, "&amp;F414&amp;" AS "&amp;F414&amp;"_SIMUL FROM "&amp;E414&amp;")Y"</f>
        <v>(SELECT entty_id AS entty_id_SIMUL, CNTRPRTY_EMSSNS_SCP3 AS CNTRPRTY_EMSSNS_SCP3_SIMUL FROM BU_LOANTAPE_WORK.LT003_ENTTY_P3_NOV24)Y</v>
      </c>
      <c r="K414" s="42" t="str">
        <f>+UPPER("ON X."&amp;VLOOKUP(B414,'0. Instruções'!$C$27:$G$31,4,FALSE)&amp;"=Y."&amp;VLOOKUP(B414,'0. Instruções'!$C$27:$G$31,4,FALSE)&amp;"_SIMUL")</f>
        <v>ON X.ENTTY_ID=Y.ENTTY_ID_SIMUL</v>
      </c>
      <c r="L414" s="42" t="str">
        <f>+IF(C414="Coerência", +IF(LEFT(G414,5)="FLOAT","SELECT '"&amp;UPPER(B414)&amp;"' AS TABELA, '"&amp;UPPER(C414)&amp;"' AS TIPOLOGIA_TESTE,'"&amp;D414&amp;"' AS TABELA_LT,'"&amp;E414&amp;"' AS TABELA_SIMUL,'"&amp;F414&amp;"' AS CAMPO, "&amp;"'${ref_date}' AS REF_DATE, COUNT(*) AS NUM_REG, SUM(IF((ABS(COALESCE(X."&amp;F414&amp;",0)-COALESCE(Y."&amp;F414&amp;"_SIMUL,0))&gt;0.0000000001) OR (X."&amp;F414&amp;" IS NULL AND Y."&amp;F414&amp;"_SIMUL IS NOT NULL ) OR (X."&amp;F414&amp;" IS NOT NULL AND Y."&amp;F414&amp;"_SIMUL IS NULL),1,0)) AS NUM_REG_DIF,'"&amp;MAX('ID1&amp;5'!K:K)+1&amp;"' AS ID_EXEC, CURRENT_TIMESTAMP() AS TIME_EXEC FROM "&amp;I414&amp;" INNER JOIN "&amp;J414&amp;" "&amp;K414,"SELECT '"&amp;UPPER(B414)&amp;"' AS TABELA, '"&amp;UPPER(C414)&amp;"' AS TIPOLOGIA_TESTE,'"&amp;D414&amp;"' AS TABELA_LT,'"&amp;E414&amp;"' AS TABELA_SIMUL,'"&amp;F414&amp;"' AS CAMPO, "&amp;"'${ref_date}' AS REF_DATE, COUNT(*) AS NUM_REG, SUM(IF(COALESCE(CAST(X."&amp;F414&amp;" AS STRING),'')&lt;&gt;COALESCE(CAST(Y."&amp;F414&amp;"_SIMUL AS STRING),''),1,0)) AS NUM_REG_DIF,'"&amp;MAX('ID1&amp;5'!L:L)+1&amp;"' AS ID_EXEC, CURRENT_TIMESTAMP() AS TIME_EXEC FROM "&amp;I414&amp;" INNER JOIN "&amp;J414&amp;" "&amp;K414),
IF(C414="Validade",+IF(G414="Code List","SELECT '"&amp;UPPER(B414)&amp;"' AS TABELA, '"&amp;UPPER(C414)&amp;"' AS TIPOLOGIA_TESTE,'"&amp;D414&amp;"' AS TABELA_LT,'N/A' AS TABELA_SIMUL,'"&amp;F414&amp;"' AS CAMPO, "&amp;"'${ref_date}' AS REF_DATE, COUNT(*) AS NUM_REG, SUM(IF(TRIM(CAST(X."&amp;F414&amp;" AS STRING))='' OR TRIM(CAST(X."&amp;F414&amp;" AS STRING)) IS NULL OR CAST(X."&amp;F414&amp;" AS STRING) NOT "&amp;H414&amp;",1,0)) AS NUM_REG_DIF,'"&amp;MAX('ID1&amp;5'!K:K)+1&amp;"' AS ID_EXEC, CURRENT_TIMESTAMP() AS TIME_EXEC FROM "&amp;I414,"SELECT '"&amp;UPPER(B414)&amp;"' AS TABELA, '"&amp;UPPER(C414)&amp;"' AS TIPOLOGIA_TESTE,'"&amp;D414&amp;"' AS TABELA_LT,'N/A' AS TABELA_SIMUL,'"&amp;F414&amp;"' AS CAMPO, "&amp;"'${ref_date}' AS REF_DATE, COUNT(*) AS NUM_REG, SUM(IF(TRIM(CAST(X."&amp;F414&amp;" AS STRING))='' OR TRIM(CAST(X."&amp;F414&amp;" AS STRING)) IS NULL,1,0)) AS NUM_REG_DIF,'"&amp;MAX('ID1&amp;5'!K:K)+1&amp;"' AS ID_EXEC, CURRENT_TIMESTAMP() AS TIME_EXEC FROM "&amp;I414),
IF(C414="Caracteres Especiais",+"SELECT '"&amp;UPPER(B414)&amp;"' AS TABELA, '"&amp;UPPER(C414)&amp;"' AS TIPOLOGIA_TESTE,'"&amp;D414&amp;"' AS TABELA_LT,'N/A' AS TABELA_SIMUL,'"&amp;F414&amp;"' AS CAMPO, "&amp;"'${ref_date}' AS REF_DATE, COUNT(*) AS NUM_REG, SUM(IF(INSTR(CAST(X."&amp;F414&amp;" AS STRING),'#')&gt;0 OR INSTR(CAST(X."&amp;F414&amp;" AS STRING),'*')&gt;0 OR INSTR(CAST(X."&amp;F414&amp;" AS STRING),'`')&gt;0 OR INSTR(CAST(X."&amp;F414&amp;" AS STRING),'´')&gt;0 OR INSTR(CAST(X."&amp;F414&amp;" AS STRING),'{')&gt;0 OR INSTR(CAST(X."&amp;F414&amp;" AS STRING),'}')&gt;0 OR INSTR(CAST(X."&amp;F414&amp;" AS STRING),'[')&gt;0 OR INSTR(CAST(X."&amp;F414&amp;" AS STRING),'')&gt;0 OR INSTR(CAST(X."&amp;F414&amp;" AS STRING),']')&gt;0 OR INSTR(CAST(X."&amp;F414&amp;" AS STRING),'?')&gt;0 OR INSTR(CAST(X."&amp;F414&amp;" AS STRING),'!')&gt;0 OR INSTR(CAST(X."&amp;F414&amp;" AS STRING),'$')&gt;0 OR INSTR(CAST(X."&amp;F414&amp;" AS STRING),'%')&gt;0 OR INSTR(CAST(X."&amp;F414&amp;" AS STRING),'&amp;')&gt;0 OR INSTR(CAST(X."&amp;F414&amp;" AS STRING),'+')&gt;0,1,0)) AS NUM_REG_DIF,'"&amp;MAX('ID1&amp;5'!K:K)+1&amp;"' AS ID_EXEC, CURRENT_TIMESTAMP() AS TIME_EXEC FROM "&amp;I414,
IF(C414="Missings",+"SELECT '"&amp;UPPER(B414)&amp;"' AS TABELA, '"&amp;UPPER(C414)&amp;"' AS TIPOLOGIA_TESTE,'"&amp;D414&amp;"' AS TABELA_LT,'N/A' AS TABELA_SIMUL,'"&amp;F414&amp;"' AS CAMPO, "&amp;"'${ref_date}' AS REF_DATE, COUNT(*) AS NUM_REG, SUM(IF(TRIM(CAST(X."&amp;F414&amp;" AS STRING)) IN ('0000-00-00','0001-01-01','9999-12-31','MISS','00000','99999999999','99999999999.00','99999999999.000000'),1,0)) AS NUM_REG_DIF,'"&amp;MAX('ID1&amp;5'!K:K)+1&amp;"' AS ID_EXEC, CURRENT_TIMESTAMP() AS TIME_EXEC FROM "&amp;I414,
IF(C414="Not applicable",+"SELECT '"&amp;UPPER(B414)&amp;"' AS TABELA, '"&amp;UPPER(C414)&amp;"' AS TIPOLOGIA_TESTE,'"&amp;D414&amp;"' AS TABELA_LT,'N/A' AS TABELA_SIMUL,'"&amp;F414&amp;"' AS CAMPO, "&amp;"'${ref_date}' AS REF_DATE, COUNT(*) AS NUM_REG, SUM(IF(TRIM(CAST(X."&amp;F414&amp;" AS STRING)) IN ('N/A','11111111111','11111111111.00','11111111111.000000','1111-11-11'),1,0)) AS NUM_REG_DIF,'"&amp;MAX('ID1&amp;5'!K:K)+1&amp;"' AS ID_EXEC, CURRENT_TIMESTAMP() AS TIME_EXEC FROM "&amp;I414,
IF(C414="Valores extremos",+"SELECT '"&amp;UPPER(B414)&amp;"' AS TABELA, '"&amp;UPPER(C414)&amp;"' AS TIPOLOGIA_TESTE,'"&amp;D414&amp;"' AS TABELA_LT,'N/A' AS TABELA_SIMUL,'"&amp;F414&amp;"' AS CAMPO, "&amp;"'${ref_date}' AS REF_DATE, CAST(MIN("&amp;F414&amp;") AS STRING) AS VALOR_MIN, CAST(MAX("&amp;F414&amp;") AS STRING) AS VALOR_MAX,'"&amp;MAX('ID1&amp;5'!K:K)+1&amp;"' AS ID_EXEC, CURRENT_TIMESTAMP() AS TIME_EXEC FROM "&amp;MID(I414,1,LEN(I414)-2)&amp;" AND CAST("&amp;F414&amp;"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TABELA_SIMUL,'CNTRPRTY_EMSSNS_SCP3' AS CAMPO, '${ref_date}' AS REF_DATE, COUNT(*) AS NUM_REG, SUM(IF(TRIM(CAST(X.CNTRPRTY_EMSSNS_SCP3 AS STRING)) IN ('N/A','11111111111','11111111111.00','11111111111.000000','1111-11-11'),1,0)) AS NUM_REG_DIF,'10' AS ID_EXEC, CURRENT_TIMESTAMP() AS TIME_EXEC FROM (SELECT entty_id, CNTRPRTY_EMSSNS_SCP3 FROM BU_LOANTAPE_WORK.LT003_ENTITY WHERE ref_date='${ref_date}' AND nome_perimetro='Individual Corporativo' AND segmento='ESTR' AND ambito='PILAR3')X</v>
      </c>
      <c r="M414" s="43" t="str">
        <f t="shared" si="6"/>
        <v>UNION ALL SELECT 'ENTITY' AS TABELA, 'NOT APPLICABLE' AS TIPOLOGIA_TESTE,'BU_LOANTAPE_WORK.LT003_ENTITY' AS TABELA_LT,'N/A' AS TABELA_SIMUL,'CNTRPRTY_EMSSNS_SCP3' AS CAMPO, '${ref_date}' AS REF_DATE, COUNT(*) AS NUM_REG, SUM(IF(TRIM(CAST(X.CNTRPRTY_EMSSNS_SCP3 AS STRING)) IN ('N/A','11111111111','11111111111.00','11111111111.000000','1111-11-11'),1,0)) AS NUM_REG_DIF,'10' AS ID_EXEC, CURRENT_TIMESTAMP() AS TIME_EXEC FROM (SELECT entty_id, CNTRPRTY_EMSSNS_SCP3 FROM BU_LOANTAPE_WORK.LT003_ENTITY WHERE ref_date='${ref_date}' AND nome_perimetro='Individual Corporativo' AND segmento='ESTR' AND ambito='PILAR3')X</v>
      </c>
      <c r="N414" s="45" t="s">
        <v>13</v>
      </c>
    </row>
    <row r="415" spans="2:14">
      <c r="B415" s="41" t="s">
        <v>23</v>
      </c>
      <c r="C415" s="41" t="s">
        <v>78</v>
      </c>
      <c r="D415" s="41" t="str">
        <f>+UPPER('0. Instruções'!$D$33&amp;"."&amp;VLOOKUP(B415,'0. Instruções'!$C$27:$D$31,2,FALSE))</f>
        <v>BU_LOANTAPE_WORK.LT003_ENTITY</v>
      </c>
      <c r="E415" s="41" t="str">
        <f>+UPPER('0. Instruções'!$D$34&amp;"."&amp;VLOOKUP(B415,'0. Instruções'!$C$27:$E$31,3,FALSE))</f>
        <v>BU_LOANTAPE_WORK.LT003_ENTTY_P3_NOV24</v>
      </c>
      <c r="F415" s="41" t="s">
        <v>120</v>
      </c>
      <c r="G415" s="41" t="s">
        <v>211</v>
      </c>
      <c r="H415" s="41"/>
      <c r="I415" s="41" t="str">
        <f>"(SELECT "&amp;VLOOKUP(B415,'0. Instruções'!$C$27:$G$31,4,FALSE)&amp;", "&amp;F415&amp;" FROM "&amp;D415&amp;" WHERE "&amp;'0. Instruções'!$D$40&amp;")X"</f>
        <v>(SELECT entty_id, FLG_EXCLDD_EU_PRS_ALGND_BNCHMRK FROM BU_LOANTAPE_WORK.LT003_ENTITY WHERE ref_date='${ref_date}' AND nome_perimetro='Individual Corporativo' AND segmento='ESTR' AND ambito='PILAR3')X</v>
      </c>
      <c r="J415" s="41" t="str">
        <f>"(SELECT "&amp;VLOOKUP(B415,'0. Instruções'!$C$27:$G$31,4,FALSE)&amp;" AS "&amp;VLOOKUP(B415,'0. Instruções'!$C$27:$G$31,4,FALSE)&amp;"_SIMUL, "&amp;F415&amp;" AS "&amp;F415&amp;"_SIMUL FROM "&amp;E415&amp;")Y"</f>
        <v>(SELECT entty_id AS entty_id_SIMUL, FLG_EXCLDD_EU_PRS_ALGND_BNCHMRK AS FLG_EXCLDD_EU_PRS_ALGND_BNCHMRK_SIMUL FROM BU_LOANTAPE_WORK.LT003_ENTTY_P3_NOV24)Y</v>
      </c>
      <c r="K415" s="42" t="str">
        <f>+UPPER("ON X."&amp;VLOOKUP(B415,'0. Instruções'!$C$27:$G$31,4,FALSE)&amp;"=Y."&amp;VLOOKUP(B415,'0. Instruções'!$C$27:$G$31,4,FALSE)&amp;"_SIMUL")</f>
        <v>ON X.ENTTY_ID=Y.ENTTY_ID_SIMUL</v>
      </c>
      <c r="L415" s="42" t="str">
        <f>+IF(C415="Coerência", +IF(LEFT(G415,5)="FLOAT","SELECT '"&amp;UPPER(B415)&amp;"' AS TABELA, '"&amp;UPPER(C415)&amp;"' AS TIPOLOGIA_TESTE,'"&amp;D415&amp;"' AS TABELA_LT,'"&amp;E415&amp;"' AS TABELA_SIMUL,'"&amp;F415&amp;"' AS CAMPO, "&amp;"'${ref_date}' AS REF_DATE, COUNT(*) AS NUM_REG, SUM(IF((ABS(COALESCE(X."&amp;F415&amp;",0)-COALESCE(Y."&amp;F415&amp;"_SIMUL,0))&gt;0.0000000001) OR (X."&amp;F415&amp;" IS NULL AND Y."&amp;F415&amp;"_SIMUL IS NOT NULL ) OR (X."&amp;F415&amp;" IS NOT NULL AND Y."&amp;F415&amp;"_SIMUL IS NULL),1,0)) AS NUM_REG_DIF,'"&amp;MAX('ID1&amp;5'!K:K)+1&amp;"' AS ID_EXEC, CURRENT_TIMESTAMP() AS TIME_EXEC FROM "&amp;I415&amp;" INNER JOIN "&amp;J415&amp;" "&amp;K415,"SELECT '"&amp;UPPER(B415)&amp;"' AS TABELA, '"&amp;UPPER(C415)&amp;"' AS TIPOLOGIA_TESTE,'"&amp;D415&amp;"' AS TABELA_LT,'"&amp;E415&amp;"' AS TABELA_SIMUL,'"&amp;F415&amp;"' AS CAMPO, "&amp;"'${ref_date}' AS REF_DATE, COUNT(*) AS NUM_REG, SUM(IF(COALESCE(CAST(X."&amp;F415&amp;" AS STRING),'')&lt;&gt;COALESCE(CAST(Y."&amp;F415&amp;"_SIMUL AS STRING),''),1,0)) AS NUM_REG_DIF,'"&amp;MAX('ID1&amp;5'!L:L)+1&amp;"' AS ID_EXEC, CURRENT_TIMESTAMP() AS TIME_EXEC FROM "&amp;I415&amp;" INNER JOIN "&amp;J415&amp;" "&amp;K415),
IF(C415="Validade",+IF(G415="Code List","SELECT '"&amp;UPPER(B415)&amp;"' AS TABELA, '"&amp;UPPER(C415)&amp;"' AS TIPOLOGIA_TESTE,'"&amp;D415&amp;"' AS TABELA_LT,'N/A' AS TABELA_SIMUL,'"&amp;F415&amp;"' AS CAMPO, "&amp;"'${ref_date}' AS REF_DATE, COUNT(*) AS NUM_REG, SUM(IF(TRIM(CAST(X."&amp;F415&amp;" AS STRING))='' OR TRIM(CAST(X."&amp;F415&amp;" AS STRING)) IS NULL OR CAST(X."&amp;F415&amp;" AS STRING) NOT "&amp;H415&amp;",1,0)) AS NUM_REG_DIF,'"&amp;MAX('ID1&amp;5'!K:K)+1&amp;"' AS ID_EXEC, CURRENT_TIMESTAMP() AS TIME_EXEC FROM "&amp;I415,"SELECT '"&amp;UPPER(B415)&amp;"' AS TABELA, '"&amp;UPPER(C415)&amp;"' AS TIPOLOGIA_TESTE,'"&amp;D415&amp;"' AS TABELA_LT,'N/A' AS TABELA_SIMUL,'"&amp;F415&amp;"' AS CAMPO, "&amp;"'${ref_date}' AS REF_DATE, COUNT(*) AS NUM_REG, SUM(IF(TRIM(CAST(X."&amp;F415&amp;" AS STRING))='' OR TRIM(CAST(X."&amp;F415&amp;" AS STRING)) IS NULL,1,0)) AS NUM_REG_DIF,'"&amp;MAX('ID1&amp;5'!K:K)+1&amp;"' AS ID_EXEC, CURRENT_TIMESTAMP() AS TIME_EXEC FROM "&amp;I415),
IF(C415="Caracteres Especiais",+"SELECT '"&amp;UPPER(B415)&amp;"' AS TABELA, '"&amp;UPPER(C415)&amp;"' AS TIPOLOGIA_TESTE,'"&amp;D415&amp;"' AS TABELA_LT,'N/A' AS TABELA_SIMUL,'"&amp;F415&amp;"' AS CAMPO, "&amp;"'${ref_date}' AS REF_DATE, COUNT(*) AS NUM_REG, SUM(IF(INSTR(CAST(X."&amp;F415&amp;" AS STRING),'#')&gt;0 OR INSTR(CAST(X."&amp;F415&amp;" AS STRING),'*')&gt;0 OR INSTR(CAST(X."&amp;F415&amp;" AS STRING),'`')&gt;0 OR INSTR(CAST(X."&amp;F415&amp;" AS STRING),'´')&gt;0 OR INSTR(CAST(X."&amp;F415&amp;" AS STRING),'{')&gt;0 OR INSTR(CAST(X."&amp;F415&amp;" AS STRING),'}')&gt;0 OR INSTR(CAST(X."&amp;F415&amp;" AS STRING),'[')&gt;0 OR INSTR(CAST(X."&amp;F415&amp;" AS STRING),'')&gt;0 OR INSTR(CAST(X."&amp;F415&amp;" AS STRING),']')&gt;0 OR INSTR(CAST(X."&amp;F415&amp;" AS STRING),'?')&gt;0 OR INSTR(CAST(X."&amp;F415&amp;" AS STRING),'!')&gt;0 OR INSTR(CAST(X."&amp;F415&amp;" AS STRING),'$')&gt;0 OR INSTR(CAST(X."&amp;F415&amp;" AS STRING),'%')&gt;0 OR INSTR(CAST(X."&amp;F415&amp;" AS STRING),'&amp;')&gt;0 OR INSTR(CAST(X."&amp;F415&amp;" AS STRING),'+')&gt;0,1,0)) AS NUM_REG_DIF,'"&amp;MAX('ID1&amp;5'!K:K)+1&amp;"' AS ID_EXEC, CURRENT_TIMESTAMP() AS TIME_EXEC FROM "&amp;I415,
IF(C415="Missings",+"SELECT '"&amp;UPPER(B415)&amp;"' AS TABELA, '"&amp;UPPER(C415)&amp;"' AS TIPOLOGIA_TESTE,'"&amp;D415&amp;"' AS TABELA_LT,'N/A' AS TABELA_SIMUL,'"&amp;F415&amp;"' AS CAMPO, "&amp;"'${ref_date}' AS REF_DATE, COUNT(*) AS NUM_REG, SUM(IF(TRIM(CAST(X."&amp;F415&amp;" AS STRING)) IN ('0000-00-00','0001-01-01','9999-12-31','MISS','00000','99999999999','99999999999.00','99999999999.000000'),1,0)) AS NUM_REG_DIF,'"&amp;MAX('ID1&amp;5'!K:K)+1&amp;"' AS ID_EXEC, CURRENT_TIMESTAMP() AS TIME_EXEC FROM "&amp;I415,
IF(C415="Not applicable",+"SELECT '"&amp;UPPER(B415)&amp;"' AS TABELA, '"&amp;UPPER(C415)&amp;"' AS TIPOLOGIA_TESTE,'"&amp;D415&amp;"' AS TABELA_LT,'N/A' AS TABELA_SIMUL,'"&amp;F415&amp;"' AS CAMPO, "&amp;"'${ref_date}' AS REF_DATE, COUNT(*) AS NUM_REG, SUM(IF(TRIM(CAST(X."&amp;F415&amp;" AS STRING)) IN ('N/A','11111111111','11111111111.00','11111111111.000000','1111-11-11'),1,0)) AS NUM_REG_DIF,'"&amp;MAX('ID1&amp;5'!K:K)+1&amp;"' AS ID_EXEC, CURRENT_TIMESTAMP() AS TIME_EXEC FROM "&amp;I415,
IF(C415="Valores extremos",+"SELECT '"&amp;UPPER(B415)&amp;"' AS TABELA, '"&amp;UPPER(C415)&amp;"' AS TIPOLOGIA_TESTE,'"&amp;D415&amp;"' AS TABELA_LT,'N/A' AS TABELA_SIMUL,'"&amp;F415&amp;"' AS CAMPO, "&amp;"'${ref_date}' AS REF_DATE, CAST(MIN("&amp;F415&amp;") AS STRING) AS VALOR_MIN, CAST(MAX("&amp;F415&amp;") AS STRING) AS VALOR_MAX,'"&amp;MAX('ID1&amp;5'!K:K)+1&amp;"' AS ID_EXEC, CURRENT_TIMESTAMP() AS TIME_EXEC FROM "&amp;MID(I415,1,LEN(I415)-2)&amp;" AND CAST("&amp;F415&amp;"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TABELA_SIMUL,'FLG_EXCLDD_EU_PRS_ALGND_BNCHMRK' AS CAMPO, '${ref_date}' AS REF_DATE, COUNT(*) AS NUM_REG, SUM(IF(TRIM(CAST(X.FLG_EXCLDD_EU_PRS_ALGND_BNCHMRK AS STRING)) IN ('N/A','11111111111','11111111111.00','11111111111.000000','1111-11-11'),1,0)) AS NUM_REG_DIF,'10' AS ID_EXEC, CURRENT_TIMESTAMP() AS TIME_EXEC FROM (SELECT entty_id, FLG_EXCLDD_EU_PRS_ALGND_BNCHMRK FROM BU_LOANTAPE_WORK.LT003_ENTITY WHERE ref_date='${ref_date}' AND nome_perimetro='Individual Corporativo' AND segmento='ESTR' AND ambito='PILAR3')X</v>
      </c>
      <c r="M415" s="43" t="str">
        <f t="shared" si="6"/>
        <v>UNION ALL SELECT 'ENTITY' AS TABELA, 'NOT APPLICABLE' AS TIPOLOGIA_TESTE,'BU_LOANTAPE_WORK.LT003_ENTITY' AS TABELA_LT,'N/A' AS TABELA_SIMUL,'FLG_EXCLDD_EU_PRS_ALGND_BNCHMRK' AS CAMPO, '${ref_date}' AS REF_DATE, COUNT(*) AS NUM_REG, SUM(IF(TRIM(CAST(X.FLG_EXCLDD_EU_PRS_ALGND_BNCHMRK AS STRING)) IN ('N/A','11111111111','11111111111.00','11111111111.000000','1111-11-11'),1,0)) AS NUM_REG_DIF,'10' AS ID_EXEC, CURRENT_TIMESTAMP() AS TIME_EXEC FROM (SELECT entty_id, FLG_EXCLDD_EU_PRS_ALGND_BNCHMRK FROM BU_LOANTAPE_WORK.LT003_ENTITY WHERE ref_date='${ref_date}' AND nome_perimetro='Individual Corporativo' AND segmento='ESTR' AND ambito='PILAR3')X</v>
      </c>
      <c r="N415" s="45" t="s">
        <v>13</v>
      </c>
    </row>
    <row r="416" spans="2:14">
      <c r="B416" s="41" t="s">
        <v>23</v>
      </c>
      <c r="C416" s="41" t="s">
        <v>78</v>
      </c>
      <c r="D416" s="41" t="str">
        <f>+UPPER('0. Instruções'!$D$33&amp;"."&amp;VLOOKUP(B416,'0. Instruções'!$C$27:$D$31,2,FALSE))</f>
        <v>BU_LOANTAPE_WORK.LT003_ENTITY</v>
      </c>
      <c r="E416" s="41" t="str">
        <f>+UPPER('0. Instruções'!$D$34&amp;"."&amp;VLOOKUP(B416,'0. Instruções'!$C$27:$E$31,3,FALSE))</f>
        <v>BU_LOANTAPE_WORK.LT003_ENTTY_P3_NOV24</v>
      </c>
      <c r="F416" s="41" t="s">
        <v>121</v>
      </c>
      <c r="G416" s="41" t="s">
        <v>211</v>
      </c>
      <c r="H416" s="41"/>
      <c r="I416" s="41" t="str">
        <f>"(SELECT "&amp;VLOOKUP(B416,'0. Instruções'!$C$27:$G$31,4,FALSE)&amp;", "&amp;F416&amp;" FROM "&amp;D416&amp;" WHERE "&amp;'0. Instruções'!$D$40&amp;")X"</f>
        <v>(SELECT entty_id, FLG_ACT_PHYSCL_RSK FROM BU_LOANTAPE_WORK.LT003_ENTITY WHERE ref_date='${ref_date}' AND nome_perimetro='Individual Corporativo' AND segmento='ESTR' AND ambito='PILAR3')X</v>
      </c>
      <c r="J416" s="41" t="str">
        <f>"(SELECT "&amp;VLOOKUP(B416,'0. Instruções'!$C$27:$G$31,4,FALSE)&amp;" AS "&amp;VLOOKUP(B416,'0. Instruções'!$C$27:$G$31,4,FALSE)&amp;"_SIMUL, "&amp;F416&amp;" AS "&amp;F416&amp;"_SIMUL FROM "&amp;E416&amp;")Y"</f>
        <v>(SELECT entty_id AS entty_id_SIMUL, FLG_ACT_PHYSCL_RSK AS FLG_ACT_PHYSCL_RSK_SIMUL FROM BU_LOANTAPE_WORK.LT003_ENTTY_P3_NOV24)Y</v>
      </c>
      <c r="K416" s="42" t="str">
        <f>+UPPER("ON X."&amp;VLOOKUP(B416,'0. Instruções'!$C$27:$G$31,4,FALSE)&amp;"=Y."&amp;VLOOKUP(B416,'0. Instruções'!$C$27:$G$31,4,FALSE)&amp;"_SIMUL")</f>
        <v>ON X.ENTTY_ID=Y.ENTTY_ID_SIMUL</v>
      </c>
      <c r="L416" s="42" t="str">
        <f>+IF(C416="Coerência", +IF(LEFT(G416,5)="FLOAT","SELECT '"&amp;UPPER(B416)&amp;"' AS TABELA, '"&amp;UPPER(C416)&amp;"' AS TIPOLOGIA_TESTE,'"&amp;D416&amp;"' AS TABELA_LT,'"&amp;E416&amp;"' AS TABELA_SIMUL,'"&amp;F416&amp;"' AS CAMPO, "&amp;"'${ref_date}' AS REF_DATE, COUNT(*) AS NUM_REG, SUM(IF((ABS(COALESCE(X."&amp;F416&amp;",0)-COALESCE(Y."&amp;F416&amp;"_SIMUL,0))&gt;0.0000000001) OR (X."&amp;F416&amp;" IS NULL AND Y."&amp;F416&amp;"_SIMUL IS NOT NULL ) OR (X."&amp;F416&amp;" IS NOT NULL AND Y."&amp;F416&amp;"_SIMUL IS NULL),1,0)) AS NUM_REG_DIF,'"&amp;MAX('ID1&amp;5'!K:K)+1&amp;"' AS ID_EXEC, CURRENT_TIMESTAMP() AS TIME_EXEC FROM "&amp;I416&amp;" INNER JOIN "&amp;J416&amp;" "&amp;K416,"SELECT '"&amp;UPPER(B416)&amp;"' AS TABELA, '"&amp;UPPER(C416)&amp;"' AS TIPOLOGIA_TESTE,'"&amp;D416&amp;"' AS TABELA_LT,'"&amp;E416&amp;"' AS TABELA_SIMUL,'"&amp;F416&amp;"' AS CAMPO, "&amp;"'${ref_date}' AS REF_DATE, COUNT(*) AS NUM_REG, SUM(IF(COALESCE(CAST(X."&amp;F416&amp;" AS STRING),'')&lt;&gt;COALESCE(CAST(Y."&amp;F416&amp;"_SIMUL AS STRING),''),1,0)) AS NUM_REG_DIF,'"&amp;MAX('ID1&amp;5'!L:L)+1&amp;"' AS ID_EXEC, CURRENT_TIMESTAMP() AS TIME_EXEC FROM "&amp;I416&amp;" INNER JOIN "&amp;J416&amp;" "&amp;K416),
IF(C416="Validade",+IF(G416="Code List","SELECT '"&amp;UPPER(B416)&amp;"' AS TABELA, '"&amp;UPPER(C416)&amp;"' AS TIPOLOGIA_TESTE,'"&amp;D416&amp;"' AS TABELA_LT,'N/A' AS TABELA_SIMUL,'"&amp;F416&amp;"' AS CAMPO, "&amp;"'${ref_date}' AS REF_DATE, COUNT(*) AS NUM_REG, SUM(IF(TRIM(CAST(X."&amp;F416&amp;" AS STRING))='' OR TRIM(CAST(X."&amp;F416&amp;" AS STRING)) IS NULL OR CAST(X."&amp;F416&amp;" AS STRING) NOT "&amp;H416&amp;",1,0)) AS NUM_REG_DIF,'"&amp;MAX('ID1&amp;5'!K:K)+1&amp;"' AS ID_EXEC, CURRENT_TIMESTAMP() AS TIME_EXEC FROM "&amp;I416,"SELECT '"&amp;UPPER(B416)&amp;"' AS TABELA, '"&amp;UPPER(C416)&amp;"' AS TIPOLOGIA_TESTE,'"&amp;D416&amp;"' AS TABELA_LT,'N/A' AS TABELA_SIMUL,'"&amp;F416&amp;"' AS CAMPO, "&amp;"'${ref_date}' AS REF_DATE, COUNT(*) AS NUM_REG, SUM(IF(TRIM(CAST(X."&amp;F416&amp;" AS STRING))='' OR TRIM(CAST(X."&amp;F416&amp;" AS STRING)) IS NULL,1,0)) AS NUM_REG_DIF,'"&amp;MAX('ID1&amp;5'!K:K)+1&amp;"' AS ID_EXEC, CURRENT_TIMESTAMP() AS TIME_EXEC FROM "&amp;I416),
IF(C416="Caracteres Especiais",+"SELECT '"&amp;UPPER(B416)&amp;"' AS TABELA, '"&amp;UPPER(C416)&amp;"' AS TIPOLOGIA_TESTE,'"&amp;D416&amp;"' AS TABELA_LT,'N/A' AS TABELA_SIMUL,'"&amp;F416&amp;"' AS CAMPO, "&amp;"'${ref_date}' AS REF_DATE, COUNT(*) AS NUM_REG, SUM(IF(INSTR(CAST(X."&amp;F416&amp;" AS STRING),'#')&gt;0 OR INSTR(CAST(X."&amp;F416&amp;" AS STRING),'*')&gt;0 OR INSTR(CAST(X."&amp;F416&amp;" AS STRING),'`')&gt;0 OR INSTR(CAST(X."&amp;F416&amp;" AS STRING),'´')&gt;0 OR INSTR(CAST(X."&amp;F416&amp;" AS STRING),'{')&gt;0 OR INSTR(CAST(X."&amp;F416&amp;" AS STRING),'}')&gt;0 OR INSTR(CAST(X."&amp;F416&amp;" AS STRING),'[')&gt;0 OR INSTR(CAST(X."&amp;F416&amp;" AS STRING),'')&gt;0 OR INSTR(CAST(X."&amp;F416&amp;" AS STRING),']')&gt;0 OR INSTR(CAST(X."&amp;F416&amp;" AS STRING),'?')&gt;0 OR INSTR(CAST(X."&amp;F416&amp;" AS STRING),'!')&gt;0 OR INSTR(CAST(X."&amp;F416&amp;" AS STRING),'$')&gt;0 OR INSTR(CAST(X."&amp;F416&amp;" AS STRING),'%')&gt;0 OR INSTR(CAST(X."&amp;F416&amp;" AS STRING),'&amp;')&gt;0 OR INSTR(CAST(X."&amp;F416&amp;" AS STRING),'+')&gt;0,1,0)) AS NUM_REG_DIF,'"&amp;MAX('ID1&amp;5'!K:K)+1&amp;"' AS ID_EXEC, CURRENT_TIMESTAMP() AS TIME_EXEC FROM "&amp;I416,
IF(C416="Missings",+"SELECT '"&amp;UPPER(B416)&amp;"' AS TABELA, '"&amp;UPPER(C416)&amp;"' AS TIPOLOGIA_TESTE,'"&amp;D416&amp;"' AS TABELA_LT,'N/A' AS TABELA_SIMUL,'"&amp;F416&amp;"' AS CAMPO, "&amp;"'${ref_date}' AS REF_DATE, COUNT(*) AS NUM_REG, SUM(IF(TRIM(CAST(X."&amp;F416&amp;" AS STRING)) IN ('0000-00-00','0001-01-01','9999-12-31','MISS','00000','99999999999','99999999999.00','99999999999.000000'),1,0)) AS NUM_REG_DIF,'"&amp;MAX('ID1&amp;5'!K:K)+1&amp;"' AS ID_EXEC, CURRENT_TIMESTAMP() AS TIME_EXEC FROM "&amp;I416,
IF(C416="Not applicable",+"SELECT '"&amp;UPPER(B416)&amp;"' AS TABELA, '"&amp;UPPER(C416)&amp;"' AS TIPOLOGIA_TESTE,'"&amp;D416&amp;"' AS TABELA_LT,'N/A' AS TABELA_SIMUL,'"&amp;F416&amp;"' AS CAMPO, "&amp;"'${ref_date}' AS REF_DATE, COUNT(*) AS NUM_REG, SUM(IF(TRIM(CAST(X."&amp;F416&amp;" AS STRING)) IN ('N/A','11111111111','11111111111.00','11111111111.000000','1111-11-11'),1,0)) AS NUM_REG_DIF,'"&amp;MAX('ID1&amp;5'!K:K)+1&amp;"' AS ID_EXEC, CURRENT_TIMESTAMP() AS TIME_EXEC FROM "&amp;I416,
IF(C416="Valores extremos",+"SELECT '"&amp;UPPER(B416)&amp;"' AS TABELA, '"&amp;UPPER(C416)&amp;"' AS TIPOLOGIA_TESTE,'"&amp;D416&amp;"' AS TABELA_LT,'N/A' AS TABELA_SIMUL,'"&amp;F416&amp;"' AS CAMPO, "&amp;"'${ref_date}' AS REF_DATE, CAST(MIN("&amp;F416&amp;") AS STRING) AS VALOR_MIN, CAST(MAX("&amp;F416&amp;") AS STRING) AS VALOR_MAX,'"&amp;MAX('ID1&amp;5'!K:K)+1&amp;"' AS ID_EXEC, CURRENT_TIMESTAMP() AS TIME_EXEC FROM "&amp;MID(I416,1,LEN(I416)-2)&amp;" AND CAST("&amp;F416&amp;"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TABELA_SIMUL,'FLG_ACT_PHYSCL_RSK' AS CAMPO, '${ref_date}' AS REF_DATE, COUNT(*) AS NUM_REG, SUM(IF(TRIM(CAST(X.FLG_ACT_PHYSCL_RSK AS STRING)) IN ('N/A','11111111111','11111111111.00','11111111111.000000','1111-11-11'),1,0)) AS NUM_REG_DIF,'10' AS ID_EXEC, CURRENT_TIMESTAMP() AS TIME_EXEC FROM (SELECT entty_id, FLG_ACT_PHYSCL_RSK FROM BU_LOANTAPE_WORK.LT003_ENTITY WHERE ref_date='${ref_date}' AND nome_perimetro='Individual Corporativo' AND segmento='ESTR' AND ambito='PILAR3')X</v>
      </c>
      <c r="M416" s="43" t="str">
        <f t="shared" si="6"/>
        <v>UNION ALL SELECT 'ENTITY' AS TABELA, 'NOT APPLICABLE' AS TIPOLOGIA_TESTE,'BU_LOANTAPE_WORK.LT003_ENTITY' AS TABELA_LT,'N/A' AS TABELA_SIMUL,'FLG_ACT_PHYSCL_RSK' AS CAMPO, '${ref_date}' AS REF_DATE, COUNT(*) AS NUM_REG, SUM(IF(TRIM(CAST(X.FLG_ACT_PHYSCL_RSK AS STRING)) IN ('N/A','11111111111','11111111111.00','11111111111.000000','1111-11-11'),1,0)) AS NUM_REG_DIF,'10' AS ID_EXEC, CURRENT_TIMESTAMP() AS TIME_EXEC FROM (SELECT entty_id, FLG_ACT_PHYSCL_RSK FROM BU_LOANTAPE_WORK.LT003_ENTITY WHERE ref_date='${ref_date}' AND nome_perimetro='Individual Corporativo' AND segmento='ESTR' AND ambito='PILAR3')X</v>
      </c>
      <c r="N416" s="45" t="s">
        <v>13</v>
      </c>
    </row>
    <row r="417" spans="2:14">
      <c r="B417" s="41" t="s">
        <v>23</v>
      </c>
      <c r="C417" s="41" t="s">
        <v>78</v>
      </c>
      <c r="D417" s="41" t="str">
        <f>+UPPER('0. Instruções'!$D$33&amp;"."&amp;VLOOKUP(B417,'0. Instruções'!$C$27:$D$31,2,FALSE))</f>
        <v>BU_LOANTAPE_WORK.LT003_ENTITY</v>
      </c>
      <c r="E417" s="41" t="str">
        <f>+UPPER('0. Instruções'!$D$34&amp;"."&amp;VLOOKUP(B417,'0. Instruções'!$C$27:$E$31,3,FALSE))</f>
        <v>BU_LOANTAPE_WORK.LT003_ENTTY_P3_NOV24</v>
      </c>
      <c r="F417" s="41" t="s">
        <v>122</v>
      </c>
      <c r="G417" s="41" t="s">
        <v>211</v>
      </c>
      <c r="H417" s="41"/>
      <c r="I417" s="41" t="str">
        <f>"(SELECT "&amp;VLOOKUP(B417,'0. Instruções'!$C$27:$G$31,4,FALSE)&amp;", "&amp;F417&amp;" FROM "&amp;D417&amp;" WHERE "&amp;'0. Instruções'!$D$40&amp;")X"</f>
        <v>(SELECT entty_id, FLG_CHRNC_PHYSCL_RSK FROM BU_LOANTAPE_WORK.LT003_ENTITY WHERE ref_date='${ref_date}' AND nome_perimetro='Individual Corporativo' AND segmento='ESTR' AND ambito='PILAR3')X</v>
      </c>
      <c r="J417" s="41" t="str">
        <f>"(SELECT "&amp;VLOOKUP(B417,'0. Instruções'!$C$27:$G$31,4,FALSE)&amp;" AS "&amp;VLOOKUP(B417,'0. Instruções'!$C$27:$G$31,4,FALSE)&amp;"_SIMUL, "&amp;F417&amp;" AS "&amp;F417&amp;"_SIMUL FROM "&amp;E417&amp;")Y"</f>
        <v>(SELECT entty_id AS entty_id_SIMUL, FLG_CHRNC_PHYSCL_RSK AS FLG_CHRNC_PHYSCL_RSK_SIMUL FROM BU_LOANTAPE_WORK.LT003_ENTTY_P3_NOV24)Y</v>
      </c>
      <c r="K417" s="42" t="str">
        <f>+UPPER("ON X."&amp;VLOOKUP(B417,'0. Instruções'!$C$27:$G$31,4,FALSE)&amp;"=Y."&amp;VLOOKUP(B417,'0. Instruções'!$C$27:$G$31,4,FALSE)&amp;"_SIMUL")</f>
        <v>ON X.ENTTY_ID=Y.ENTTY_ID_SIMUL</v>
      </c>
      <c r="L417" s="42" t="str">
        <f>+IF(C417="Coerência", +IF(LEFT(G417,5)="FLOAT","SELECT '"&amp;UPPER(B417)&amp;"' AS TABELA, '"&amp;UPPER(C417)&amp;"' AS TIPOLOGIA_TESTE,'"&amp;D417&amp;"' AS TABELA_LT,'"&amp;E417&amp;"' AS TABELA_SIMUL,'"&amp;F417&amp;"' AS CAMPO, "&amp;"'${ref_date}' AS REF_DATE, COUNT(*) AS NUM_REG, SUM(IF((ABS(COALESCE(X."&amp;F417&amp;",0)-COALESCE(Y."&amp;F417&amp;"_SIMUL,0))&gt;0.0000000001) OR (X."&amp;F417&amp;" IS NULL AND Y."&amp;F417&amp;"_SIMUL IS NOT NULL ) OR (X."&amp;F417&amp;" IS NOT NULL AND Y."&amp;F417&amp;"_SIMUL IS NULL),1,0)) AS NUM_REG_DIF,'"&amp;MAX('ID1&amp;5'!K:K)+1&amp;"' AS ID_EXEC, CURRENT_TIMESTAMP() AS TIME_EXEC FROM "&amp;I417&amp;" INNER JOIN "&amp;J417&amp;" "&amp;K417,"SELECT '"&amp;UPPER(B417)&amp;"' AS TABELA, '"&amp;UPPER(C417)&amp;"' AS TIPOLOGIA_TESTE,'"&amp;D417&amp;"' AS TABELA_LT,'"&amp;E417&amp;"' AS TABELA_SIMUL,'"&amp;F417&amp;"' AS CAMPO, "&amp;"'${ref_date}' AS REF_DATE, COUNT(*) AS NUM_REG, SUM(IF(COALESCE(CAST(X."&amp;F417&amp;" AS STRING),'')&lt;&gt;COALESCE(CAST(Y."&amp;F417&amp;"_SIMUL AS STRING),''),1,0)) AS NUM_REG_DIF,'"&amp;MAX('ID1&amp;5'!L:L)+1&amp;"' AS ID_EXEC, CURRENT_TIMESTAMP() AS TIME_EXEC FROM "&amp;I417&amp;" INNER JOIN "&amp;J417&amp;" "&amp;K417),
IF(C417="Validade",+IF(G417="Code List","SELECT '"&amp;UPPER(B417)&amp;"' AS TABELA, '"&amp;UPPER(C417)&amp;"' AS TIPOLOGIA_TESTE,'"&amp;D417&amp;"' AS TABELA_LT,'N/A' AS TABELA_SIMUL,'"&amp;F417&amp;"' AS CAMPO, "&amp;"'${ref_date}' AS REF_DATE, COUNT(*) AS NUM_REG, SUM(IF(TRIM(CAST(X."&amp;F417&amp;" AS STRING))='' OR TRIM(CAST(X."&amp;F417&amp;" AS STRING)) IS NULL OR CAST(X."&amp;F417&amp;" AS STRING) NOT "&amp;H417&amp;",1,0)) AS NUM_REG_DIF,'"&amp;MAX('ID1&amp;5'!K:K)+1&amp;"' AS ID_EXEC, CURRENT_TIMESTAMP() AS TIME_EXEC FROM "&amp;I417,"SELECT '"&amp;UPPER(B417)&amp;"' AS TABELA, '"&amp;UPPER(C417)&amp;"' AS TIPOLOGIA_TESTE,'"&amp;D417&amp;"' AS TABELA_LT,'N/A' AS TABELA_SIMUL,'"&amp;F417&amp;"' AS CAMPO, "&amp;"'${ref_date}' AS REF_DATE, COUNT(*) AS NUM_REG, SUM(IF(TRIM(CAST(X."&amp;F417&amp;" AS STRING))='' OR TRIM(CAST(X."&amp;F417&amp;" AS STRING)) IS NULL,1,0)) AS NUM_REG_DIF,'"&amp;MAX('ID1&amp;5'!K:K)+1&amp;"' AS ID_EXEC, CURRENT_TIMESTAMP() AS TIME_EXEC FROM "&amp;I417),
IF(C417="Caracteres Especiais",+"SELECT '"&amp;UPPER(B417)&amp;"' AS TABELA, '"&amp;UPPER(C417)&amp;"' AS TIPOLOGIA_TESTE,'"&amp;D417&amp;"' AS TABELA_LT,'N/A' AS TABELA_SIMUL,'"&amp;F417&amp;"' AS CAMPO, "&amp;"'${ref_date}' AS REF_DATE, COUNT(*) AS NUM_REG, SUM(IF(INSTR(CAST(X."&amp;F417&amp;" AS STRING),'#')&gt;0 OR INSTR(CAST(X."&amp;F417&amp;" AS STRING),'*')&gt;0 OR INSTR(CAST(X."&amp;F417&amp;" AS STRING),'`')&gt;0 OR INSTR(CAST(X."&amp;F417&amp;" AS STRING),'´')&gt;0 OR INSTR(CAST(X."&amp;F417&amp;" AS STRING),'{')&gt;0 OR INSTR(CAST(X."&amp;F417&amp;" AS STRING),'}')&gt;0 OR INSTR(CAST(X."&amp;F417&amp;" AS STRING),'[')&gt;0 OR INSTR(CAST(X."&amp;F417&amp;" AS STRING),'')&gt;0 OR INSTR(CAST(X."&amp;F417&amp;" AS STRING),']')&gt;0 OR INSTR(CAST(X."&amp;F417&amp;" AS STRING),'?')&gt;0 OR INSTR(CAST(X."&amp;F417&amp;" AS STRING),'!')&gt;0 OR INSTR(CAST(X."&amp;F417&amp;" AS STRING),'$')&gt;0 OR INSTR(CAST(X."&amp;F417&amp;" AS STRING),'%')&gt;0 OR INSTR(CAST(X."&amp;F417&amp;" AS STRING),'&amp;')&gt;0 OR INSTR(CAST(X."&amp;F417&amp;" AS STRING),'+')&gt;0,1,0)) AS NUM_REG_DIF,'"&amp;MAX('ID1&amp;5'!K:K)+1&amp;"' AS ID_EXEC, CURRENT_TIMESTAMP() AS TIME_EXEC FROM "&amp;I417,
IF(C417="Missings",+"SELECT '"&amp;UPPER(B417)&amp;"' AS TABELA, '"&amp;UPPER(C417)&amp;"' AS TIPOLOGIA_TESTE,'"&amp;D417&amp;"' AS TABELA_LT,'N/A' AS TABELA_SIMUL,'"&amp;F417&amp;"' AS CAMPO, "&amp;"'${ref_date}' AS REF_DATE, COUNT(*) AS NUM_REG, SUM(IF(TRIM(CAST(X."&amp;F417&amp;" AS STRING)) IN ('0000-00-00','0001-01-01','9999-12-31','MISS','00000','99999999999','99999999999.00','99999999999.000000'),1,0)) AS NUM_REG_DIF,'"&amp;MAX('ID1&amp;5'!K:K)+1&amp;"' AS ID_EXEC, CURRENT_TIMESTAMP() AS TIME_EXEC FROM "&amp;I417,
IF(C417="Not applicable",+"SELECT '"&amp;UPPER(B417)&amp;"' AS TABELA, '"&amp;UPPER(C417)&amp;"' AS TIPOLOGIA_TESTE,'"&amp;D417&amp;"' AS TABELA_LT,'N/A' AS TABELA_SIMUL,'"&amp;F417&amp;"' AS CAMPO, "&amp;"'${ref_date}' AS REF_DATE, COUNT(*) AS NUM_REG, SUM(IF(TRIM(CAST(X."&amp;F417&amp;" AS STRING)) IN ('N/A','11111111111','11111111111.00','11111111111.000000','1111-11-11'),1,0)) AS NUM_REG_DIF,'"&amp;MAX('ID1&amp;5'!K:K)+1&amp;"' AS ID_EXEC, CURRENT_TIMESTAMP() AS TIME_EXEC FROM "&amp;I417,
IF(C417="Valores extremos",+"SELECT '"&amp;UPPER(B417)&amp;"' AS TABELA, '"&amp;UPPER(C417)&amp;"' AS TIPOLOGIA_TESTE,'"&amp;D417&amp;"' AS TABELA_LT,'N/A' AS TABELA_SIMUL,'"&amp;F417&amp;"' AS CAMPO, "&amp;"'${ref_date}' AS REF_DATE, CAST(MIN("&amp;F417&amp;") AS STRING) AS VALOR_MIN, CAST(MAX("&amp;F417&amp;") AS STRING) AS VALOR_MAX,'"&amp;MAX('ID1&amp;5'!K:K)+1&amp;"' AS ID_EXEC, CURRENT_TIMESTAMP() AS TIME_EXEC FROM "&amp;MID(I417,1,LEN(I417)-2)&amp;" AND CAST("&amp;F417&amp;"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TABELA_SIMUL,'FLG_CHRNC_PHYSCL_RSK' AS CAMPO, '${ref_date}' AS REF_DATE, COUNT(*) AS NUM_REG, SUM(IF(TRIM(CAST(X.FLG_CHRNC_PHYSCL_RSK AS STRING)) IN ('N/A','11111111111','11111111111.00','11111111111.000000','1111-11-11'),1,0)) AS NUM_REG_DIF,'10' AS ID_EXEC, CURRENT_TIMESTAMP() AS TIME_EXEC FROM (SELECT entty_id, FLG_CHRNC_PHYSCL_RSK FROM BU_LOANTAPE_WORK.LT003_ENTITY WHERE ref_date='${ref_date}' AND nome_perimetro='Individual Corporativo' AND segmento='ESTR' AND ambito='PILAR3')X</v>
      </c>
      <c r="M417" s="43" t="str">
        <f t="shared" si="6"/>
        <v>UNION ALL SELECT 'ENTITY' AS TABELA, 'NOT APPLICABLE' AS TIPOLOGIA_TESTE,'BU_LOANTAPE_WORK.LT003_ENTITY' AS TABELA_LT,'N/A' AS TABELA_SIMUL,'FLG_CHRNC_PHYSCL_RSK' AS CAMPO, '${ref_date}' AS REF_DATE, COUNT(*) AS NUM_REG, SUM(IF(TRIM(CAST(X.FLG_CHRNC_PHYSCL_RSK AS STRING)) IN ('N/A','11111111111','11111111111.00','11111111111.000000','1111-11-11'),1,0)) AS NUM_REG_DIF,'10' AS ID_EXEC, CURRENT_TIMESTAMP() AS TIME_EXEC FROM (SELECT entty_id, FLG_CHRNC_PHYSCL_RSK FROM BU_LOANTAPE_WORK.LT003_ENTITY WHERE ref_date='${ref_date}' AND nome_perimetro='Individual Corporativo' AND segmento='ESTR' AND ambito='PILAR3')X</v>
      </c>
      <c r="N417" s="45" t="s">
        <v>13</v>
      </c>
    </row>
    <row r="418" spans="2:14">
      <c r="B418" s="41" t="s">
        <v>23</v>
      </c>
      <c r="C418" s="41" t="s">
        <v>78</v>
      </c>
      <c r="D418" s="41" t="str">
        <f>+UPPER('0. Instruções'!$D$33&amp;"."&amp;VLOOKUP(B418,'0. Instruções'!$C$27:$D$31,2,FALSE))</f>
        <v>BU_LOANTAPE_WORK.LT003_ENTITY</v>
      </c>
      <c r="E418" s="41" t="str">
        <f>+UPPER('0. Instruções'!$D$34&amp;"."&amp;VLOOKUP(B418,'0. Instruções'!$C$27:$E$31,3,FALSE))</f>
        <v>BU_LOANTAPE_WORK.LT003_ENTTY_P3_NOV24</v>
      </c>
      <c r="F418" s="41" t="s">
        <v>123</v>
      </c>
      <c r="G418" s="41" t="s">
        <v>212</v>
      </c>
      <c r="H418" s="41"/>
      <c r="I418" s="41" t="str">
        <f>"(SELECT "&amp;VLOOKUP(B418,'0. Instruções'!$C$27:$G$31,4,FALSE)&amp;", "&amp;F418&amp;" FROM "&amp;D418&amp;" WHERE "&amp;'0. Instruções'!$D$40&amp;")X"</f>
        <v>(SELECT entty_id, PST_CD FROM BU_LOANTAPE_WORK.LT003_ENTITY WHERE ref_date='${ref_date}' AND nome_perimetro='Individual Corporativo' AND segmento='ESTR' AND ambito='PILAR3')X</v>
      </c>
      <c r="J418" s="41" t="str">
        <f>"(SELECT "&amp;VLOOKUP(B418,'0. Instruções'!$C$27:$G$31,4,FALSE)&amp;" AS "&amp;VLOOKUP(B418,'0. Instruções'!$C$27:$G$31,4,FALSE)&amp;"_SIMUL, "&amp;F418&amp;" AS "&amp;F418&amp;"_SIMUL FROM "&amp;E418&amp;")Y"</f>
        <v>(SELECT entty_id AS entty_id_SIMUL, PST_CD AS PST_CD_SIMUL FROM BU_LOANTAPE_WORK.LT003_ENTTY_P3_NOV24)Y</v>
      </c>
      <c r="K418" s="42" t="str">
        <f>+UPPER("ON X."&amp;VLOOKUP(B418,'0. Instruções'!$C$27:$G$31,4,FALSE)&amp;"=Y."&amp;VLOOKUP(B418,'0. Instruções'!$C$27:$G$31,4,FALSE)&amp;"_SIMUL")</f>
        <v>ON X.ENTTY_ID=Y.ENTTY_ID_SIMUL</v>
      </c>
      <c r="L418" s="42" t="str">
        <f>+IF(C418="Coerência", +IF(LEFT(G418,5)="FLOAT","SELECT '"&amp;UPPER(B418)&amp;"' AS TABELA, '"&amp;UPPER(C418)&amp;"' AS TIPOLOGIA_TESTE,'"&amp;D418&amp;"' AS TABELA_LT,'"&amp;E418&amp;"' AS TABELA_SIMUL,'"&amp;F418&amp;"' AS CAMPO, "&amp;"'${ref_date}' AS REF_DATE, COUNT(*) AS NUM_REG, SUM(IF((ABS(COALESCE(X."&amp;F418&amp;",0)-COALESCE(Y."&amp;F418&amp;"_SIMUL,0))&gt;0.0000000001) OR (X."&amp;F418&amp;" IS NULL AND Y."&amp;F418&amp;"_SIMUL IS NOT NULL ) OR (X."&amp;F418&amp;" IS NOT NULL AND Y."&amp;F418&amp;"_SIMUL IS NULL),1,0)) AS NUM_REG_DIF,'"&amp;MAX('ID1&amp;5'!K:K)+1&amp;"' AS ID_EXEC, CURRENT_TIMESTAMP() AS TIME_EXEC FROM "&amp;I418&amp;" INNER JOIN "&amp;J418&amp;" "&amp;K418,"SELECT '"&amp;UPPER(B418)&amp;"' AS TABELA, '"&amp;UPPER(C418)&amp;"' AS TIPOLOGIA_TESTE,'"&amp;D418&amp;"' AS TABELA_LT,'"&amp;E418&amp;"' AS TABELA_SIMUL,'"&amp;F418&amp;"' AS CAMPO, "&amp;"'${ref_date}' AS REF_DATE, COUNT(*) AS NUM_REG, SUM(IF(COALESCE(CAST(X."&amp;F418&amp;" AS STRING),'')&lt;&gt;COALESCE(CAST(Y."&amp;F418&amp;"_SIMUL AS STRING),''),1,0)) AS NUM_REG_DIF,'"&amp;MAX('ID1&amp;5'!L:L)+1&amp;"' AS ID_EXEC, CURRENT_TIMESTAMP() AS TIME_EXEC FROM "&amp;I418&amp;" INNER JOIN "&amp;J418&amp;" "&amp;K418),
IF(C418="Validade",+IF(G418="Code List","SELECT '"&amp;UPPER(B418)&amp;"' AS TABELA, '"&amp;UPPER(C418)&amp;"' AS TIPOLOGIA_TESTE,'"&amp;D418&amp;"' AS TABELA_LT,'N/A' AS TABELA_SIMUL,'"&amp;F418&amp;"' AS CAMPO, "&amp;"'${ref_date}' AS REF_DATE, COUNT(*) AS NUM_REG, SUM(IF(TRIM(CAST(X."&amp;F418&amp;" AS STRING))='' OR TRIM(CAST(X."&amp;F418&amp;" AS STRING)) IS NULL OR CAST(X."&amp;F418&amp;" AS STRING) NOT "&amp;H418&amp;",1,0)) AS NUM_REG_DIF,'"&amp;MAX('ID1&amp;5'!K:K)+1&amp;"' AS ID_EXEC, CURRENT_TIMESTAMP() AS TIME_EXEC FROM "&amp;I418,"SELECT '"&amp;UPPER(B418)&amp;"' AS TABELA, '"&amp;UPPER(C418)&amp;"' AS TIPOLOGIA_TESTE,'"&amp;D418&amp;"' AS TABELA_LT,'N/A' AS TABELA_SIMUL,'"&amp;F418&amp;"' AS CAMPO, "&amp;"'${ref_date}' AS REF_DATE, COUNT(*) AS NUM_REG, SUM(IF(TRIM(CAST(X."&amp;F418&amp;" AS STRING))='' OR TRIM(CAST(X."&amp;F418&amp;" AS STRING)) IS NULL,1,0)) AS NUM_REG_DIF,'"&amp;MAX('ID1&amp;5'!K:K)+1&amp;"' AS ID_EXEC, CURRENT_TIMESTAMP() AS TIME_EXEC FROM "&amp;I418),
IF(C418="Caracteres Especiais",+"SELECT '"&amp;UPPER(B418)&amp;"' AS TABELA, '"&amp;UPPER(C418)&amp;"' AS TIPOLOGIA_TESTE,'"&amp;D418&amp;"' AS TABELA_LT,'N/A' AS TABELA_SIMUL,'"&amp;F418&amp;"' AS CAMPO, "&amp;"'${ref_date}' AS REF_DATE, COUNT(*) AS NUM_REG, SUM(IF(INSTR(CAST(X."&amp;F418&amp;" AS STRING),'#')&gt;0 OR INSTR(CAST(X."&amp;F418&amp;" AS STRING),'*')&gt;0 OR INSTR(CAST(X."&amp;F418&amp;" AS STRING),'`')&gt;0 OR INSTR(CAST(X."&amp;F418&amp;" AS STRING),'´')&gt;0 OR INSTR(CAST(X."&amp;F418&amp;" AS STRING),'{')&gt;0 OR INSTR(CAST(X."&amp;F418&amp;" AS STRING),'}')&gt;0 OR INSTR(CAST(X."&amp;F418&amp;" AS STRING),'[')&gt;0 OR INSTR(CAST(X."&amp;F418&amp;" AS STRING),'')&gt;0 OR INSTR(CAST(X."&amp;F418&amp;" AS STRING),']')&gt;0 OR INSTR(CAST(X."&amp;F418&amp;" AS STRING),'?')&gt;0 OR INSTR(CAST(X."&amp;F418&amp;" AS STRING),'!')&gt;0 OR INSTR(CAST(X."&amp;F418&amp;" AS STRING),'$')&gt;0 OR INSTR(CAST(X."&amp;F418&amp;" AS STRING),'%')&gt;0 OR INSTR(CAST(X."&amp;F418&amp;" AS STRING),'&amp;')&gt;0 OR INSTR(CAST(X."&amp;F418&amp;" AS STRING),'+')&gt;0,1,0)) AS NUM_REG_DIF,'"&amp;MAX('ID1&amp;5'!K:K)+1&amp;"' AS ID_EXEC, CURRENT_TIMESTAMP() AS TIME_EXEC FROM "&amp;I418,
IF(C418="Missings",+"SELECT '"&amp;UPPER(B418)&amp;"' AS TABELA, '"&amp;UPPER(C418)&amp;"' AS TIPOLOGIA_TESTE,'"&amp;D418&amp;"' AS TABELA_LT,'N/A' AS TABELA_SIMUL,'"&amp;F418&amp;"' AS CAMPO, "&amp;"'${ref_date}' AS REF_DATE, COUNT(*) AS NUM_REG, SUM(IF(TRIM(CAST(X."&amp;F418&amp;" AS STRING)) IN ('0000-00-00','0001-01-01','9999-12-31','MISS','00000','99999999999','99999999999.00','99999999999.000000'),1,0)) AS NUM_REG_DIF,'"&amp;MAX('ID1&amp;5'!K:K)+1&amp;"' AS ID_EXEC, CURRENT_TIMESTAMP() AS TIME_EXEC FROM "&amp;I418,
IF(C418="Not applicable",+"SELECT '"&amp;UPPER(B418)&amp;"' AS TABELA, '"&amp;UPPER(C418)&amp;"' AS TIPOLOGIA_TESTE,'"&amp;D418&amp;"' AS TABELA_LT,'N/A' AS TABELA_SIMUL,'"&amp;F418&amp;"' AS CAMPO, "&amp;"'${ref_date}' AS REF_DATE, COUNT(*) AS NUM_REG, SUM(IF(TRIM(CAST(X."&amp;F418&amp;" AS STRING)) IN ('N/A','11111111111','11111111111.00','11111111111.000000','1111-11-11'),1,0)) AS NUM_REG_DIF,'"&amp;MAX('ID1&amp;5'!K:K)+1&amp;"' AS ID_EXEC, CURRENT_TIMESTAMP() AS TIME_EXEC FROM "&amp;I418,
IF(C418="Valores extremos",+"SELECT '"&amp;UPPER(B418)&amp;"' AS TABELA, '"&amp;UPPER(C418)&amp;"' AS TIPOLOGIA_TESTE,'"&amp;D418&amp;"' AS TABELA_LT,'N/A' AS TABELA_SIMUL,'"&amp;F418&amp;"' AS CAMPO, "&amp;"'${ref_date}' AS REF_DATE, CAST(MIN("&amp;F418&amp;") AS STRING) AS VALOR_MIN, CAST(MAX("&amp;F418&amp;") AS STRING) AS VALOR_MAX,'"&amp;MAX('ID1&amp;5'!K:K)+1&amp;"' AS ID_EXEC, CURRENT_TIMESTAMP() AS TIME_EXEC FROM "&amp;MID(I418,1,LEN(I418)-2)&amp;" AND CAST("&amp;F418&amp;"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TABELA_SIMUL,'PST_CD' AS CAMPO, '${ref_date}' AS REF_DATE, COUNT(*) AS NUM_REG, SUM(IF(TRIM(CAST(X.PST_CD AS STRING)) IN ('N/A','11111111111','11111111111.00','11111111111.000000','1111-11-11'),1,0)) AS NUM_REG_DIF,'10' AS ID_EXEC, CURRENT_TIMESTAMP() AS TIME_EXEC FROM (SELECT entty_id, PST_CD FROM BU_LOANTAPE_WORK.LT003_ENTITY WHERE ref_date='${ref_date}' AND nome_perimetro='Individual Corporativo' AND segmento='ESTR' AND ambito='PILAR3')X</v>
      </c>
      <c r="M418" s="43" t="str">
        <f t="shared" si="6"/>
        <v>UNION ALL SELECT 'ENTITY' AS TABELA, 'NOT APPLICABLE' AS TIPOLOGIA_TESTE,'BU_LOANTAPE_WORK.LT003_ENTITY' AS TABELA_LT,'N/A' AS TABELA_SIMUL,'PST_CD' AS CAMPO, '${ref_date}' AS REF_DATE, COUNT(*) AS NUM_REG, SUM(IF(TRIM(CAST(X.PST_CD AS STRING)) IN ('N/A','11111111111','11111111111.00','11111111111.000000','1111-11-11'),1,0)) AS NUM_REG_DIF,'10' AS ID_EXEC, CURRENT_TIMESTAMP() AS TIME_EXEC FROM (SELECT entty_id, PST_CD FROM BU_LOANTAPE_WORK.LT003_ENTITY WHERE ref_date='${ref_date}' AND nome_perimetro='Individual Corporativo' AND segmento='ESTR' AND ambito='PILAR3')X</v>
      </c>
      <c r="N418" s="45" t="s">
        <v>13</v>
      </c>
    </row>
    <row r="419" spans="2:14">
      <c r="B419" s="41" t="s">
        <v>23</v>
      </c>
      <c r="C419" s="41" t="s">
        <v>78</v>
      </c>
      <c r="D419" s="41" t="str">
        <f>+UPPER('0. Instruções'!$D$33&amp;"."&amp;VLOOKUP(B419,'0. Instruções'!$C$27:$D$31,2,FALSE))</f>
        <v>BU_LOANTAPE_WORK.LT003_ENTITY</v>
      </c>
      <c r="E419" s="41" t="str">
        <f>+UPPER('0. Instruções'!$D$34&amp;"."&amp;VLOOKUP(B419,'0. Instruções'!$C$27:$E$31,3,FALSE))</f>
        <v>BU_LOANTAPE_WORK.LT003_ENTTY_P3_NOV24</v>
      </c>
      <c r="F419" s="41" t="s">
        <v>125</v>
      </c>
      <c r="G419" s="41" t="s">
        <v>209</v>
      </c>
      <c r="H419" s="41"/>
      <c r="I419" s="41" t="str">
        <f>"(SELECT "&amp;VLOOKUP(B419,'0. Instruções'!$C$27:$G$31,4,FALSE)&amp;", "&amp;F419&amp;" FROM "&amp;D419&amp;" WHERE "&amp;'0. Instruções'!$D$40&amp;")X"</f>
        <v>(SELECT entty_id, ESG_SBSCTR FROM BU_LOANTAPE_WORK.LT003_ENTITY WHERE ref_date='${ref_date}' AND nome_perimetro='Individual Corporativo' AND segmento='ESTR' AND ambito='PILAR3')X</v>
      </c>
      <c r="J419" s="41" t="str">
        <f>"(SELECT "&amp;VLOOKUP(B419,'0. Instruções'!$C$27:$G$31,4,FALSE)&amp;" AS "&amp;VLOOKUP(B419,'0. Instruções'!$C$27:$G$31,4,FALSE)&amp;"_SIMUL, "&amp;F419&amp;" AS "&amp;F419&amp;"_SIMUL FROM "&amp;E419&amp;")Y"</f>
        <v>(SELECT entty_id AS entty_id_SIMUL, ESG_SBSCTR AS ESG_SBSCTR_SIMUL FROM BU_LOANTAPE_WORK.LT003_ENTTY_P3_NOV24)Y</v>
      </c>
      <c r="K419" s="42" t="str">
        <f>+UPPER("ON X."&amp;VLOOKUP(B419,'0. Instruções'!$C$27:$G$31,4,FALSE)&amp;"=Y."&amp;VLOOKUP(B419,'0. Instruções'!$C$27:$G$31,4,FALSE)&amp;"_SIMUL")</f>
        <v>ON X.ENTTY_ID=Y.ENTTY_ID_SIMUL</v>
      </c>
      <c r="L419" s="42" t="str">
        <f>+IF(C419="Coerência", +IF(LEFT(G419,5)="FLOAT","SELECT '"&amp;UPPER(B419)&amp;"' AS TABELA, '"&amp;UPPER(C419)&amp;"' AS TIPOLOGIA_TESTE,'"&amp;D419&amp;"' AS TABELA_LT,'"&amp;E419&amp;"' AS TABELA_SIMUL,'"&amp;F419&amp;"' AS CAMPO, "&amp;"'${ref_date}' AS REF_DATE, COUNT(*) AS NUM_REG, SUM(IF((ABS(COALESCE(X."&amp;F419&amp;",0)-COALESCE(Y."&amp;F419&amp;"_SIMUL,0))&gt;0.0000000001) OR (X."&amp;F419&amp;" IS NULL AND Y."&amp;F419&amp;"_SIMUL IS NOT NULL ) OR (X."&amp;F419&amp;" IS NOT NULL AND Y."&amp;F419&amp;"_SIMUL IS NULL),1,0)) AS NUM_REG_DIF,'"&amp;MAX('ID1&amp;5'!K:K)+1&amp;"' AS ID_EXEC, CURRENT_TIMESTAMP() AS TIME_EXEC FROM "&amp;I419&amp;" INNER JOIN "&amp;J419&amp;" "&amp;K419,"SELECT '"&amp;UPPER(B419)&amp;"' AS TABELA, '"&amp;UPPER(C419)&amp;"' AS TIPOLOGIA_TESTE,'"&amp;D419&amp;"' AS TABELA_LT,'"&amp;E419&amp;"' AS TABELA_SIMUL,'"&amp;F419&amp;"' AS CAMPO, "&amp;"'${ref_date}' AS REF_DATE, COUNT(*) AS NUM_REG, SUM(IF(COALESCE(CAST(X."&amp;F419&amp;" AS STRING),'')&lt;&gt;COALESCE(CAST(Y."&amp;F419&amp;"_SIMUL AS STRING),''),1,0)) AS NUM_REG_DIF,'"&amp;MAX('ID1&amp;5'!L:L)+1&amp;"' AS ID_EXEC, CURRENT_TIMESTAMP() AS TIME_EXEC FROM "&amp;I419&amp;" INNER JOIN "&amp;J419&amp;" "&amp;K419),
IF(C419="Validade",+IF(G419="Code List","SELECT '"&amp;UPPER(B419)&amp;"' AS TABELA, '"&amp;UPPER(C419)&amp;"' AS TIPOLOGIA_TESTE,'"&amp;D419&amp;"' AS TABELA_LT,'N/A' AS TABELA_SIMUL,'"&amp;F419&amp;"' AS CAMPO, "&amp;"'${ref_date}' AS REF_DATE, COUNT(*) AS NUM_REG, SUM(IF(TRIM(CAST(X."&amp;F419&amp;" AS STRING))='' OR TRIM(CAST(X."&amp;F419&amp;" AS STRING)) IS NULL OR CAST(X."&amp;F419&amp;" AS STRING) NOT "&amp;H419&amp;",1,0)) AS NUM_REG_DIF,'"&amp;MAX('ID1&amp;5'!K:K)+1&amp;"' AS ID_EXEC, CURRENT_TIMESTAMP() AS TIME_EXEC FROM "&amp;I419,"SELECT '"&amp;UPPER(B419)&amp;"' AS TABELA, '"&amp;UPPER(C419)&amp;"' AS TIPOLOGIA_TESTE,'"&amp;D419&amp;"' AS TABELA_LT,'N/A' AS TABELA_SIMUL,'"&amp;F419&amp;"' AS CAMPO, "&amp;"'${ref_date}' AS REF_DATE, COUNT(*) AS NUM_REG, SUM(IF(TRIM(CAST(X."&amp;F419&amp;" AS STRING))='' OR TRIM(CAST(X."&amp;F419&amp;" AS STRING)) IS NULL,1,0)) AS NUM_REG_DIF,'"&amp;MAX('ID1&amp;5'!K:K)+1&amp;"' AS ID_EXEC, CURRENT_TIMESTAMP() AS TIME_EXEC FROM "&amp;I419),
IF(C419="Caracteres Especiais",+"SELECT '"&amp;UPPER(B419)&amp;"' AS TABELA, '"&amp;UPPER(C419)&amp;"' AS TIPOLOGIA_TESTE,'"&amp;D419&amp;"' AS TABELA_LT,'N/A' AS TABELA_SIMUL,'"&amp;F419&amp;"' AS CAMPO, "&amp;"'${ref_date}' AS REF_DATE, COUNT(*) AS NUM_REG, SUM(IF(INSTR(CAST(X."&amp;F419&amp;" AS STRING),'#')&gt;0 OR INSTR(CAST(X."&amp;F419&amp;" AS STRING),'*')&gt;0 OR INSTR(CAST(X."&amp;F419&amp;" AS STRING),'`')&gt;0 OR INSTR(CAST(X."&amp;F419&amp;" AS STRING),'´')&gt;0 OR INSTR(CAST(X."&amp;F419&amp;" AS STRING),'{')&gt;0 OR INSTR(CAST(X."&amp;F419&amp;" AS STRING),'}')&gt;0 OR INSTR(CAST(X."&amp;F419&amp;" AS STRING),'[')&gt;0 OR INSTR(CAST(X."&amp;F419&amp;" AS STRING),'')&gt;0 OR INSTR(CAST(X."&amp;F419&amp;" AS STRING),']')&gt;0 OR INSTR(CAST(X."&amp;F419&amp;" AS STRING),'?')&gt;0 OR INSTR(CAST(X."&amp;F419&amp;" AS STRING),'!')&gt;0 OR INSTR(CAST(X."&amp;F419&amp;" AS STRING),'$')&gt;0 OR INSTR(CAST(X."&amp;F419&amp;" AS STRING),'%')&gt;0 OR INSTR(CAST(X."&amp;F419&amp;" AS STRING),'&amp;')&gt;0 OR INSTR(CAST(X."&amp;F419&amp;" AS STRING),'+')&gt;0,1,0)) AS NUM_REG_DIF,'"&amp;MAX('ID1&amp;5'!K:K)+1&amp;"' AS ID_EXEC, CURRENT_TIMESTAMP() AS TIME_EXEC FROM "&amp;I419,
IF(C419="Missings",+"SELECT '"&amp;UPPER(B419)&amp;"' AS TABELA, '"&amp;UPPER(C419)&amp;"' AS TIPOLOGIA_TESTE,'"&amp;D419&amp;"' AS TABELA_LT,'N/A' AS TABELA_SIMUL,'"&amp;F419&amp;"' AS CAMPO, "&amp;"'${ref_date}' AS REF_DATE, COUNT(*) AS NUM_REG, SUM(IF(TRIM(CAST(X."&amp;F419&amp;" AS STRING)) IN ('0000-00-00','0001-01-01','9999-12-31','MISS','00000','99999999999','99999999999.00','99999999999.000000'),1,0)) AS NUM_REG_DIF,'"&amp;MAX('ID1&amp;5'!K:K)+1&amp;"' AS ID_EXEC, CURRENT_TIMESTAMP() AS TIME_EXEC FROM "&amp;I419,
IF(C419="Not applicable",+"SELECT '"&amp;UPPER(B419)&amp;"' AS TABELA, '"&amp;UPPER(C419)&amp;"' AS TIPOLOGIA_TESTE,'"&amp;D419&amp;"' AS TABELA_LT,'N/A' AS TABELA_SIMUL,'"&amp;F419&amp;"' AS CAMPO, "&amp;"'${ref_date}' AS REF_DATE, COUNT(*) AS NUM_REG, SUM(IF(TRIM(CAST(X."&amp;F419&amp;" AS STRING)) IN ('N/A','11111111111','11111111111.00','11111111111.000000','1111-11-11'),1,0)) AS NUM_REG_DIF,'"&amp;MAX('ID1&amp;5'!K:K)+1&amp;"' AS ID_EXEC, CURRENT_TIMESTAMP() AS TIME_EXEC FROM "&amp;I419,
IF(C419="Valores extremos",+"SELECT '"&amp;UPPER(B419)&amp;"' AS TABELA, '"&amp;UPPER(C419)&amp;"' AS TIPOLOGIA_TESTE,'"&amp;D419&amp;"' AS TABELA_LT,'N/A' AS TABELA_SIMUL,'"&amp;F419&amp;"' AS CAMPO, "&amp;"'${ref_date}' AS REF_DATE, CAST(MIN("&amp;F419&amp;") AS STRING) AS VALOR_MIN, CAST(MAX("&amp;F419&amp;") AS STRING) AS VALOR_MAX,'"&amp;MAX('ID1&amp;5'!K:K)+1&amp;"' AS ID_EXEC, CURRENT_TIMESTAMP() AS TIME_EXEC FROM "&amp;MID(I419,1,LEN(I419)-2)&amp;" AND CAST("&amp;F419&amp;"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TABELA_SIMUL,'ESG_SBSCTR' AS CAMPO, '${ref_date}' AS REF_DATE, COUNT(*) AS NUM_REG, SUM(IF(TRIM(CAST(X.ESG_SBSCTR AS STRING)) IN ('N/A','11111111111','11111111111.00','11111111111.000000','1111-11-11'),1,0)) AS NUM_REG_DIF,'10' AS ID_EXEC, CURRENT_TIMESTAMP() AS TIME_EXEC FROM (SELECT entty_id, ESG_SBSCTR FROM BU_LOANTAPE_WORK.LT003_ENTITY WHERE ref_date='${ref_date}' AND nome_perimetro='Individual Corporativo' AND segmento='ESTR' AND ambito='PILAR3')X</v>
      </c>
      <c r="M419" s="43" t="str">
        <f t="shared" si="6"/>
        <v>UNION ALL SELECT 'ENTITY' AS TABELA, 'NOT APPLICABLE' AS TIPOLOGIA_TESTE,'BU_LOANTAPE_WORK.LT003_ENTITY' AS TABELA_LT,'N/A' AS TABELA_SIMUL,'ESG_SBSCTR' AS CAMPO, '${ref_date}' AS REF_DATE, COUNT(*) AS NUM_REG, SUM(IF(TRIM(CAST(X.ESG_SBSCTR AS STRING)) IN ('N/A','11111111111','11111111111.00','11111111111.000000','1111-11-11'),1,0)) AS NUM_REG_DIF,'10' AS ID_EXEC, CURRENT_TIMESTAMP() AS TIME_EXEC FROM (SELECT entty_id, ESG_SBSCTR FROM BU_LOANTAPE_WORK.LT003_ENTITY WHERE ref_date='${ref_date}' AND nome_perimetro='Individual Corporativo' AND segmento='ESTR' AND ambito='PILAR3')X</v>
      </c>
      <c r="N419" s="45" t="s">
        <v>13</v>
      </c>
    </row>
    <row r="420" spans="2:14">
      <c r="B420" s="41" t="s">
        <v>23</v>
      </c>
      <c r="C420" s="41" t="s">
        <v>78</v>
      </c>
      <c r="D420" s="41" t="str">
        <f>+UPPER('0. Instruções'!$D$33&amp;"."&amp;VLOOKUP(B420,'0. Instruções'!$C$27:$D$31,2,FALSE))</f>
        <v>BU_LOANTAPE_WORK.LT003_ENTITY</v>
      </c>
      <c r="E420" s="41" t="str">
        <f>+UPPER('0. Instruções'!$D$34&amp;"."&amp;VLOOKUP(B420,'0. Instruções'!$C$27:$E$31,3,FALSE))</f>
        <v>BU_LOANTAPE_WORK.LT003_ENTTY_P3_NOV24</v>
      </c>
      <c r="F420" s="41" t="s">
        <v>126</v>
      </c>
      <c r="G420" s="41" t="s">
        <v>213</v>
      </c>
      <c r="H420" s="41"/>
      <c r="I420" s="41" t="str">
        <f>"(SELECT "&amp;VLOOKUP(B420,'0. Instruções'!$C$27:$G$31,4,FALSE)&amp;", "&amp;F420&amp;" FROM "&amp;D420&amp;" WHERE "&amp;'0. Instruções'!$D$40&amp;")X"</f>
        <v>(SELECT entty_id, TTL_LBLTY FROM BU_LOANTAPE_WORK.LT003_ENTITY WHERE ref_date='${ref_date}' AND nome_perimetro='Individual Corporativo' AND segmento='ESTR' AND ambito='PILAR3')X</v>
      </c>
      <c r="J420" s="41" t="str">
        <f>"(SELECT "&amp;VLOOKUP(B420,'0. Instruções'!$C$27:$G$31,4,FALSE)&amp;" AS "&amp;VLOOKUP(B420,'0. Instruções'!$C$27:$G$31,4,FALSE)&amp;"_SIMUL, "&amp;F420&amp;" AS "&amp;F420&amp;"_SIMUL FROM "&amp;E420&amp;")Y"</f>
        <v>(SELECT entty_id AS entty_id_SIMUL, TTL_LBLTY AS TTL_LBLTY_SIMUL FROM BU_LOANTAPE_WORK.LT003_ENTTY_P3_NOV24)Y</v>
      </c>
      <c r="K420" s="42" t="str">
        <f>+UPPER("ON X."&amp;VLOOKUP(B420,'0. Instruções'!$C$27:$G$31,4,FALSE)&amp;"=Y."&amp;VLOOKUP(B420,'0. Instruções'!$C$27:$G$31,4,FALSE)&amp;"_SIMUL")</f>
        <v>ON X.ENTTY_ID=Y.ENTTY_ID_SIMUL</v>
      </c>
      <c r="L420" s="42" t="str">
        <f>+IF(C420="Coerência", +IF(LEFT(G420,5)="FLOAT","SELECT '"&amp;UPPER(B420)&amp;"' AS TABELA, '"&amp;UPPER(C420)&amp;"' AS TIPOLOGIA_TESTE,'"&amp;D420&amp;"' AS TABELA_LT,'"&amp;E420&amp;"' AS TABELA_SIMUL,'"&amp;F420&amp;"' AS CAMPO, "&amp;"'${ref_date}' AS REF_DATE, COUNT(*) AS NUM_REG, SUM(IF((ABS(COALESCE(X."&amp;F420&amp;",0)-COALESCE(Y."&amp;F420&amp;"_SIMUL,0))&gt;0.0000000001) OR (X."&amp;F420&amp;" IS NULL AND Y."&amp;F420&amp;"_SIMUL IS NOT NULL ) OR (X."&amp;F420&amp;" IS NOT NULL AND Y."&amp;F420&amp;"_SIMUL IS NULL),1,0)) AS NUM_REG_DIF,'"&amp;MAX('ID1&amp;5'!K:K)+1&amp;"' AS ID_EXEC, CURRENT_TIMESTAMP() AS TIME_EXEC FROM "&amp;I420&amp;" INNER JOIN "&amp;J420&amp;" "&amp;K420,"SELECT '"&amp;UPPER(B420)&amp;"' AS TABELA, '"&amp;UPPER(C420)&amp;"' AS TIPOLOGIA_TESTE,'"&amp;D420&amp;"' AS TABELA_LT,'"&amp;E420&amp;"' AS TABELA_SIMUL,'"&amp;F420&amp;"' AS CAMPO, "&amp;"'${ref_date}' AS REF_DATE, COUNT(*) AS NUM_REG, SUM(IF(COALESCE(CAST(X."&amp;F420&amp;" AS STRING),'')&lt;&gt;COALESCE(CAST(Y."&amp;F420&amp;"_SIMUL AS STRING),''),1,0)) AS NUM_REG_DIF,'"&amp;MAX('ID1&amp;5'!L:L)+1&amp;"' AS ID_EXEC, CURRENT_TIMESTAMP() AS TIME_EXEC FROM "&amp;I420&amp;" INNER JOIN "&amp;J420&amp;" "&amp;K420),
IF(C420="Validade",+IF(G420="Code List","SELECT '"&amp;UPPER(B420)&amp;"' AS TABELA, '"&amp;UPPER(C420)&amp;"' AS TIPOLOGIA_TESTE,'"&amp;D420&amp;"' AS TABELA_LT,'N/A' AS TABELA_SIMUL,'"&amp;F420&amp;"' AS CAMPO, "&amp;"'${ref_date}' AS REF_DATE, COUNT(*) AS NUM_REG, SUM(IF(TRIM(CAST(X."&amp;F420&amp;" AS STRING))='' OR TRIM(CAST(X."&amp;F420&amp;" AS STRING)) IS NULL OR CAST(X."&amp;F420&amp;" AS STRING) NOT "&amp;H420&amp;",1,0)) AS NUM_REG_DIF,'"&amp;MAX('ID1&amp;5'!K:K)+1&amp;"' AS ID_EXEC, CURRENT_TIMESTAMP() AS TIME_EXEC FROM "&amp;I420,"SELECT '"&amp;UPPER(B420)&amp;"' AS TABELA, '"&amp;UPPER(C420)&amp;"' AS TIPOLOGIA_TESTE,'"&amp;D420&amp;"' AS TABELA_LT,'N/A' AS TABELA_SIMUL,'"&amp;F420&amp;"' AS CAMPO, "&amp;"'${ref_date}' AS REF_DATE, COUNT(*) AS NUM_REG, SUM(IF(TRIM(CAST(X."&amp;F420&amp;" AS STRING))='' OR TRIM(CAST(X."&amp;F420&amp;" AS STRING)) IS NULL,1,0)) AS NUM_REG_DIF,'"&amp;MAX('ID1&amp;5'!K:K)+1&amp;"' AS ID_EXEC, CURRENT_TIMESTAMP() AS TIME_EXEC FROM "&amp;I420),
IF(C420="Caracteres Especiais",+"SELECT '"&amp;UPPER(B420)&amp;"' AS TABELA, '"&amp;UPPER(C420)&amp;"' AS TIPOLOGIA_TESTE,'"&amp;D420&amp;"' AS TABELA_LT,'N/A' AS TABELA_SIMUL,'"&amp;F420&amp;"' AS CAMPO, "&amp;"'${ref_date}' AS REF_DATE, COUNT(*) AS NUM_REG, SUM(IF(INSTR(CAST(X."&amp;F420&amp;" AS STRING),'#')&gt;0 OR INSTR(CAST(X."&amp;F420&amp;" AS STRING),'*')&gt;0 OR INSTR(CAST(X."&amp;F420&amp;" AS STRING),'`')&gt;0 OR INSTR(CAST(X."&amp;F420&amp;" AS STRING),'´')&gt;0 OR INSTR(CAST(X."&amp;F420&amp;" AS STRING),'{')&gt;0 OR INSTR(CAST(X."&amp;F420&amp;" AS STRING),'}')&gt;0 OR INSTR(CAST(X."&amp;F420&amp;" AS STRING),'[')&gt;0 OR INSTR(CAST(X."&amp;F420&amp;" AS STRING),'')&gt;0 OR INSTR(CAST(X."&amp;F420&amp;" AS STRING),']')&gt;0 OR INSTR(CAST(X."&amp;F420&amp;" AS STRING),'?')&gt;0 OR INSTR(CAST(X."&amp;F420&amp;" AS STRING),'!')&gt;0 OR INSTR(CAST(X."&amp;F420&amp;" AS STRING),'$')&gt;0 OR INSTR(CAST(X."&amp;F420&amp;" AS STRING),'%')&gt;0 OR INSTR(CAST(X."&amp;F420&amp;" AS STRING),'&amp;')&gt;0 OR INSTR(CAST(X."&amp;F420&amp;" AS STRING),'+')&gt;0,1,0)) AS NUM_REG_DIF,'"&amp;MAX('ID1&amp;5'!K:K)+1&amp;"' AS ID_EXEC, CURRENT_TIMESTAMP() AS TIME_EXEC FROM "&amp;I420,
IF(C420="Missings",+"SELECT '"&amp;UPPER(B420)&amp;"' AS TABELA, '"&amp;UPPER(C420)&amp;"' AS TIPOLOGIA_TESTE,'"&amp;D420&amp;"' AS TABELA_LT,'N/A' AS TABELA_SIMUL,'"&amp;F420&amp;"' AS CAMPO, "&amp;"'${ref_date}' AS REF_DATE, COUNT(*) AS NUM_REG, SUM(IF(TRIM(CAST(X."&amp;F420&amp;" AS STRING)) IN ('0000-00-00','0001-01-01','9999-12-31','MISS','00000','99999999999','99999999999.00','99999999999.000000'),1,0)) AS NUM_REG_DIF,'"&amp;MAX('ID1&amp;5'!K:K)+1&amp;"' AS ID_EXEC, CURRENT_TIMESTAMP() AS TIME_EXEC FROM "&amp;I420,
IF(C420="Not applicable",+"SELECT '"&amp;UPPER(B420)&amp;"' AS TABELA, '"&amp;UPPER(C420)&amp;"' AS TIPOLOGIA_TESTE,'"&amp;D420&amp;"' AS TABELA_LT,'N/A' AS TABELA_SIMUL,'"&amp;F420&amp;"' AS CAMPO, "&amp;"'${ref_date}' AS REF_DATE, COUNT(*) AS NUM_REG, SUM(IF(TRIM(CAST(X."&amp;F420&amp;" AS STRING)) IN ('N/A','11111111111','11111111111.00','11111111111.000000','1111-11-11'),1,0)) AS NUM_REG_DIF,'"&amp;MAX('ID1&amp;5'!K:K)+1&amp;"' AS ID_EXEC, CURRENT_TIMESTAMP() AS TIME_EXEC FROM "&amp;I420,
IF(C420="Valores extremos",+"SELECT '"&amp;UPPER(B420)&amp;"' AS TABELA, '"&amp;UPPER(C420)&amp;"' AS TIPOLOGIA_TESTE,'"&amp;D420&amp;"' AS TABELA_LT,'N/A' AS TABELA_SIMUL,'"&amp;F420&amp;"' AS CAMPO, "&amp;"'${ref_date}' AS REF_DATE, CAST(MIN("&amp;F420&amp;") AS STRING) AS VALOR_MIN, CAST(MAX("&amp;F420&amp;") AS STRING) AS VALOR_MAX,'"&amp;MAX('ID1&amp;5'!K:K)+1&amp;"' AS ID_EXEC, CURRENT_TIMESTAMP() AS TIME_EXEC FROM "&amp;MID(I420,1,LEN(I420)-2)&amp;" AND CAST("&amp;F420&amp;"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TABELA_SIMUL,'TTL_LBLTY' AS CAMPO, '${ref_date}' AS REF_DATE, COUNT(*) AS NUM_REG, SUM(IF(TRIM(CAST(X.TTL_LBLTY AS STRING)) IN ('N/A','11111111111','11111111111.00','11111111111.000000','1111-11-11'),1,0)) AS NUM_REG_DIF,'10' AS ID_EXEC, CURRENT_TIMESTAMP() AS TIME_EXEC FROM (SELECT entty_id, TTL_LBLTY FROM BU_LOANTAPE_WORK.LT003_ENTITY WHERE ref_date='${ref_date}' AND nome_perimetro='Individual Corporativo' AND segmento='ESTR' AND ambito='PILAR3')X</v>
      </c>
      <c r="M420" s="43" t="str">
        <f t="shared" si="6"/>
        <v>UNION ALL SELECT 'ENTITY' AS TABELA, 'NOT APPLICABLE' AS TIPOLOGIA_TESTE,'BU_LOANTAPE_WORK.LT003_ENTITY' AS TABELA_LT,'N/A' AS TABELA_SIMUL,'TTL_LBLTY' AS CAMPO, '${ref_date}' AS REF_DATE, COUNT(*) AS NUM_REG, SUM(IF(TRIM(CAST(X.TTL_LBLTY AS STRING)) IN ('N/A','11111111111','11111111111.00','11111111111.000000','1111-11-11'),1,0)) AS NUM_REG_DIF,'10' AS ID_EXEC, CURRENT_TIMESTAMP() AS TIME_EXEC FROM (SELECT entty_id, TTL_LBLTY FROM BU_LOANTAPE_WORK.LT003_ENTITY WHERE ref_date='${ref_date}' AND nome_perimetro='Individual Corporativo' AND segmento='ESTR' AND ambito='PILAR3')X</v>
      </c>
      <c r="N420" s="45" t="s">
        <v>13</v>
      </c>
    </row>
    <row r="421" spans="2:14">
      <c r="B421" s="41" t="s">
        <v>23</v>
      </c>
      <c r="C421" s="41" t="s">
        <v>78</v>
      </c>
      <c r="D421" s="41" t="str">
        <f>+UPPER('0. Instruções'!$D$33&amp;"."&amp;VLOOKUP(B421,'0. Instruções'!$C$27:$D$31,2,FALSE))</f>
        <v>BU_LOANTAPE_WORK.LT003_ENTITY</v>
      </c>
      <c r="E421" s="41" t="str">
        <f>+UPPER('0. Instruções'!$D$34&amp;"."&amp;VLOOKUP(B421,'0. Instruções'!$C$27:$E$31,3,FALSE))</f>
        <v>BU_LOANTAPE_WORK.LT003_ENTTY_P3_NOV24</v>
      </c>
      <c r="F421" s="41" t="s">
        <v>127</v>
      </c>
      <c r="G421" s="41" t="s">
        <v>214</v>
      </c>
      <c r="H421" s="41"/>
      <c r="I421" s="41" t="str">
        <f>"(SELECT "&amp;VLOOKUP(B421,'0. Instruções'!$C$27:$G$31,4,FALSE)&amp;", "&amp;F421&amp;" FROM "&amp;D421&amp;" WHERE "&amp;'0. Instruções'!$D$40&amp;")X"</f>
        <v>(SELECT entty_id, ISIN FROM BU_LOANTAPE_WORK.LT003_ENTITY WHERE ref_date='${ref_date}' AND nome_perimetro='Individual Corporativo' AND segmento='ESTR' AND ambito='PILAR3')X</v>
      </c>
      <c r="J421" s="41" t="str">
        <f>"(SELECT "&amp;VLOOKUP(B421,'0. Instruções'!$C$27:$G$31,4,FALSE)&amp;" AS "&amp;VLOOKUP(B421,'0. Instruções'!$C$27:$G$31,4,FALSE)&amp;"_SIMUL, "&amp;F421&amp;" AS "&amp;F421&amp;"_SIMUL FROM "&amp;E421&amp;")Y"</f>
        <v>(SELECT entty_id AS entty_id_SIMUL, ISIN AS ISIN_SIMUL FROM BU_LOANTAPE_WORK.LT003_ENTTY_P3_NOV24)Y</v>
      </c>
      <c r="K421" s="42" t="str">
        <f>+UPPER("ON X."&amp;VLOOKUP(B421,'0. Instruções'!$C$27:$G$31,4,FALSE)&amp;"=Y."&amp;VLOOKUP(B421,'0. Instruções'!$C$27:$G$31,4,FALSE)&amp;"_SIMUL")</f>
        <v>ON X.ENTTY_ID=Y.ENTTY_ID_SIMUL</v>
      </c>
      <c r="L421" s="42" t="str">
        <f>+IF(C421="Coerência", +IF(LEFT(G421,5)="FLOAT","SELECT '"&amp;UPPER(B421)&amp;"' AS TABELA, '"&amp;UPPER(C421)&amp;"' AS TIPOLOGIA_TESTE,'"&amp;D421&amp;"' AS TABELA_LT,'"&amp;E421&amp;"' AS TABELA_SIMUL,'"&amp;F421&amp;"' AS CAMPO, "&amp;"'${ref_date}' AS REF_DATE, COUNT(*) AS NUM_REG, SUM(IF((ABS(COALESCE(X."&amp;F421&amp;",0)-COALESCE(Y."&amp;F421&amp;"_SIMUL,0))&gt;0.0000000001) OR (X."&amp;F421&amp;" IS NULL AND Y."&amp;F421&amp;"_SIMUL IS NOT NULL ) OR (X."&amp;F421&amp;" IS NOT NULL AND Y."&amp;F421&amp;"_SIMUL IS NULL),1,0)) AS NUM_REG_DIF,'"&amp;MAX('ID1&amp;5'!K:K)+1&amp;"' AS ID_EXEC, CURRENT_TIMESTAMP() AS TIME_EXEC FROM "&amp;I421&amp;" INNER JOIN "&amp;J421&amp;" "&amp;K421,"SELECT '"&amp;UPPER(B421)&amp;"' AS TABELA, '"&amp;UPPER(C421)&amp;"' AS TIPOLOGIA_TESTE,'"&amp;D421&amp;"' AS TABELA_LT,'"&amp;E421&amp;"' AS TABELA_SIMUL,'"&amp;F421&amp;"' AS CAMPO, "&amp;"'${ref_date}' AS REF_DATE, COUNT(*) AS NUM_REG, SUM(IF(COALESCE(CAST(X."&amp;F421&amp;" AS STRING),'')&lt;&gt;COALESCE(CAST(Y."&amp;F421&amp;"_SIMUL AS STRING),''),1,0)) AS NUM_REG_DIF,'"&amp;MAX('ID1&amp;5'!L:L)+1&amp;"' AS ID_EXEC, CURRENT_TIMESTAMP() AS TIME_EXEC FROM "&amp;I421&amp;" INNER JOIN "&amp;J421&amp;" "&amp;K421),
IF(C421="Validade",+IF(G421="Code List","SELECT '"&amp;UPPER(B421)&amp;"' AS TABELA, '"&amp;UPPER(C421)&amp;"' AS TIPOLOGIA_TESTE,'"&amp;D421&amp;"' AS TABELA_LT,'N/A' AS TABELA_SIMUL,'"&amp;F421&amp;"' AS CAMPO, "&amp;"'${ref_date}' AS REF_DATE, COUNT(*) AS NUM_REG, SUM(IF(TRIM(CAST(X."&amp;F421&amp;" AS STRING))='' OR TRIM(CAST(X."&amp;F421&amp;" AS STRING)) IS NULL OR CAST(X."&amp;F421&amp;" AS STRING) NOT "&amp;H421&amp;",1,0)) AS NUM_REG_DIF,'"&amp;MAX('ID1&amp;5'!K:K)+1&amp;"' AS ID_EXEC, CURRENT_TIMESTAMP() AS TIME_EXEC FROM "&amp;I421,"SELECT '"&amp;UPPER(B421)&amp;"' AS TABELA, '"&amp;UPPER(C421)&amp;"' AS TIPOLOGIA_TESTE,'"&amp;D421&amp;"' AS TABELA_LT,'N/A' AS TABELA_SIMUL,'"&amp;F421&amp;"' AS CAMPO, "&amp;"'${ref_date}' AS REF_DATE, COUNT(*) AS NUM_REG, SUM(IF(TRIM(CAST(X."&amp;F421&amp;" AS STRING))='' OR TRIM(CAST(X."&amp;F421&amp;" AS STRING)) IS NULL,1,0)) AS NUM_REG_DIF,'"&amp;MAX('ID1&amp;5'!K:K)+1&amp;"' AS ID_EXEC, CURRENT_TIMESTAMP() AS TIME_EXEC FROM "&amp;I421),
IF(C421="Caracteres Especiais",+"SELECT '"&amp;UPPER(B421)&amp;"' AS TABELA, '"&amp;UPPER(C421)&amp;"' AS TIPOLOGIA_TESTE,'"&amp;D421&amp;"' AS TABELA_LT,'N/A' AS TABELA_SIMUL,'"&amp;F421&amp;"' AS CAMPO, "&amp;"'${ref_date}' AS REF_DATE, COUNT(*) AS NUM_REG, SUM(IF(INSTR(CAST(X."&amp;F421&amp;" AS STRING),'#')&gt;0 OR INSTR(CAST(X."&amp;F421&amp;" AS STRING),'*')&gt;0 OR INSTR(CAST(X."&amp;F421&amp;" AS STRING),'`')&gt;0 OR INSTR(CAST(X."&amp;F421&amp;" AS STRING),'´')&gt;0 OR INSTR(CAST(X."&amp;F421&amp;" AS STRING),'{')&gt;0 OR INSTR(CAST(X."&amp;F421&amp;" AS STRING),'}')&gt;0 OR INSTR(CAST(X."&amp;F421&amp;" AS STRING),'[')&gt;0 OR INSTR(CAST(X."&amp;F421&amp;" AS STRING),'')&gt;0 OR INSTR(CAST(X."&amp;F421&amp;" AS STRING),']')&gt;0 OR INSTR(CAST(X."&amp;F421&amp;" AS STRING),'?')&gt;0 OR INSTR(CAST(X."&amp;F421&amp;" AS STRING),'!')&gt;0 OR INSTR(CAST(X."&amp;F421&amp;" AS STRING),'$')&gt;0 OR INSTR(CAST(X."&amp;F421&amp;" AS STRING),'%')&gt;0 OR INSTR(CAST(X."&amp;F421&amp;" AS STRING),'&amp;')&gt;0 OR INSTR(CAST(X."&amp;F421&amp;" AS STRING),'+')&gt;0,1,0)) AS NUM_REG_DIF,'"&amp;MAX('ID1&amp;5'!K:K)+1&amp;"' AS ID_EXEC, CURRENT_TIMESTAMP() AS TIME_EXEC FROM "&amp;I421,
IF(C421="Missings",+"SELECT '"&amp;UPPER(B421)&amp;"' AS TABELA, '"&amp;UPPER(C421)&amp;"' AS TIPOLOGIA_TESTE,'"&amp;D421&amp;"' AS TABELA_LT,'N/A' AS TABELA_SIMUL,'"&amp;F421&amp;"' AS CAMPO, "&amp;"'${ref_date}' AS REF_DATE, COUNT(*) AS NUM_REG, SUM(IF(TRIM(CAST(X."&amp;F421&amp;" AS STRING)) IN ('0000-00-00','0001-01-01','9999-12-31','MISS','00000','99999999999','99999999999.00','99999999999.000000'),1,0)) AS NUM_REG_DIF,'"&amp;MAX('ID1&amp;5'!K:K)+1&amp;"' AS ID_EXEC, CURRENT_TIMESTAMP() AS TIME_EXEC FROM "&amp;I421,
IF(C421="Not applicable",+"SELECT '"&amp;UPPER(B421)&amp;"' AS TABELA, '"&amp;UPPER(C421)&amp;"' AS TIPOLOGIA_TESTE,'"&amp;D421&amp;"' AS TABELA_LT,'N/A' AS TABELA_SIMUL,'"&amp;F421&amp;"' AS CAMPO, "&amp;"'${ref_date}' AS REF_DATE, COUNT(*) AS NUM_REG, SUM(IF(TRIM(CAST(X."&amp;F421&amp;" AS STRING)) IN ('N/A','11111111111','11111111111.00','11111111111.000000','1111-11-11'),1,0)) AS NUM_REG_DIF,'"&amp;MAX('ID1&amp;5'!K:K)+1&amp;"' AS ID_EXEC, CURRENT_TIMESTAMP() AS TIME_EXEC FROM "&amp;I421,
IF(C421="Valores extremos",+"SELECT '"&amp;UPPER(B421)&amp;"' AS TABELA, '"&amp;UPPER(C421)&amp;"' AS TIPOLOGIA_TESTE,'"&amp;D421&amp;"' AS TABELA_LT,'N/A' AS TABELA_SIMUL,'"&amp;F421&amp;"' AS CAMPO, "&amp;"'${ref_date}' AS REF_DATE, CAST(MIN("&amp;F421&amp;") AS STRING) AS VALOR_MIN, CAST(MAX("&amp;F421&amp;") AS STRING) AS VALOR_MAX,'"&amp;MAX('ID1&amp;5'!K:K)+1&amp;"' AS ID_EXEC, CURRENT_TIMESTAMP() AS TIME_EXEC FROM "&amp;MID(I421,1,LEN(I421)-2)&amp;" AND CAST("&amp;F421&amp;"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TABELA_SIMUL,'ISIN' AS CAMPO, '${ref_date}' AS REF_DATE, COUNT(*) AS NUM_REG, SUM(IF(TRIM(CAST(X.ISIN AS STRING)) IN ('N/A','11111111111','11111111111.00','11111111111.000000','1111-11-11'),1,0)) AS NUM_REG_DIF,'10' AS ID_EXEC, CURRENT_TIMESTAMP() AS TIME_EXEC FROM (SELECT entty_id, ISIN FROM BU_LOANTAPE_WORK.LT003_ENTITY WHERE ref_date='${ref_date}' AND nome_perimetro='Individual Corporativo' AND segmento='ESTR' AND ambito='PILAR3')X</v>
      </c>
      <c r="M421" s="43" t="str">
        <f t="shared" si="6"/>
        <v>UNION ALL SELECT 'ENTITY' AS TABELA, 'NOT APPLICABLE' AS TIPOLOGIA_TESTE,'BU_LOANTAPE_WORK.LT003_ENTITY' AS TABELA_LT,'N/A' AS TABELA_SIMUL,'ISIN' AS CAMPO, '${ref_date}' AS REF_DATE, COUNT(*) AS NUM_REG, SUM(IF(TRIM(CAST(X.ISIN AS STRING)) IN ('N/A','11111111111','11111111111.00','11111111111.000000','1111-11-11'),1,0)) AS NUM_REG_DIF,'10' AS ID_EXEC, CURRENT_TIMESTAMP() AS TIME_EXEC FROM (SELECT entty_id, ISIN FROM BU_LOANTAPE_WORK.LT003_ENTITY WHERE ref_date='${ref_date}' AND nome_perimetro='Individual Corporativo' AND segmento='ESTR' AND ambito='PILAR3')X</v>
      </c>
      <c r="N421" s="45" t="s">
        <v>13</v>
      </c>
    </row>
    <row r="422" spans="2:14">
      <c r="B422" s="41" t="s">
        <v>23</v>
      </c>
      <c r="C422" s="41" t="s">
        <v>78</v>
      </c>
      <c r="D422" s="41" t="str">
        <f>+UPPER('0. Instruções'!$D$33&amp;"."&amp;VLOOKUP(B422,'0. Instruções'!$C$27:$D$31,2,FALSE))</f>
        <v>BU_LOANTAPE_WORK.LT003_ENTITY</v>
      </c>
      <c r="E422" s="41" t="str">
        <f>+UPPER('0. Instruções'!$D$34&amp;"."&amp;VLOOKUP(B422,'0. Instruções'!$C$27:$E$31,3,FALSE))</f>
        <v>BU_LOANTAPE_WORK.LT003_ENTTY_P3_NOV24</v>
      </c>
      <c r="F422" s="41" t="s">
        <v>128</v>
      </c>
      <c r="G422" s="41" t="s">
        <v>213</v>
      </c>
      <c r="H422" s="41"/>
      <c r="I422" s="41" t="str">
        <f>"(SELECT "&amp;VLOOKUP(B422,'0. Instruções'!$C$27:$G$31,4,FALSE)&amp;", "&amp;F422&amp;" FROM "&amp;D422&amp;" WHERE "&amp;'0. Instruções'!$D$40&amp;")X"</f>
        <v>(SELECT entty_id, GRP_ANNL_TRNVR_LE FROM BU_LOANTAPE_WORK.LT003_ENTITY WHERE ref_date='${ref_date}' AND nome_perimetro='Individual Corporativo' AND segmento='ESTR' AND ambito='PILAR3')X</v>
      </c>
      <c r="J422" s="41" t="str">
        <f>"(SELECT "&amp;VLOOKUP(B422,'0. Instruções'!$C$27:$G$31,4,FALSE)&amp;" AS "&amp;VLOOKUP(B422,'0. Instruções'!$C$27:$G$31,4,FALSE)&amp;"_SIMUL, "&amp;F422&amp;" AS "&amp;F422&amp;"_SIMUL FROM "&amp;E422&amp;")Y"</f>
        <v>(SELECT entty_id AS entty_id_SIMUL, GRP_ANNL_TRNVR_LE AS GRP_ANNL_TRNVR_LE_SIMUL FROM BU_LOANTAPE_WORK.LT003_ENTTY_P3_NOV24)Y</v>
      </c>
      <c r="K422" s="42" t="str">
        <f>+UPPER("ON X."&amp;VLOOKUP(B422,'0. Instruções'!$C$27:$G$31,4,FALSE)&amp;"=Y."&amp;VLOOKUP(B422,'0. Instruções'!$C$27:$G$31,4,FALSE)&amp;"_SIMUL")</f>
        <v>ON X.ENTTY_ID=Y.ENTTY_ID_SIMUL</v>
      </c>
      <c r="L422" s="42" t="str">
        <f>+IF(C422="Coerência", +IF(LEFT(G422,5)="FLOAT","SELECT '"&amp;UPPER(B422)&amp;"' AS TABELA, '"&amp;UPPER(C422)&amp;"' AS TIPOLOGIA_TESTE,'"&amp;D422&amp;"' AS TABELA_LT,'"&amp;E422&amp;"' AS TABELA_SIMUL,'"&amp;F422&amp;"' AS CAMPO, "&amp;"'${ref_date}' AS REF_DATE, COUNT(*) AS NUM_REG, SUM(IF((ABS(COALESCE(X."&amp;F422&amp;",0)-COALESCE(Y."&amp;F422&amp;"_SIMUL,0))&gt;0.0000000001) OR (X."&amp;F422&amp;" IS NULL AND Y."&amp;F422&amp;"_SIMUL IS NOT NULL ) OR (X."&amp;F422&amp;" IS NOT NULL AND Y."&amp;F422&amp;"_SIMUL IS NULL),1,0)) AS NUM_REG_DIF,'"&amp;MAX('ID1&amp;5'!K:K)+1&amp;"' AS ID_EXEC, CURRENT_TIMESTAMP() AS TIME_EXEC FROM "&amp;I422&amp;" INNER JOIN "&amp;J422&amp;" "&amp;K422,"SELECT '"&amp;UPPER(B422)&amp;"' AS TABELA, '"&amp;UPPER(C422)&amp;"' AS TIPOLOGIA_TESTE,'"&amp;D422&amp;"' AS TABELA_LT,'"&amp;E422&amp;"' AS TABELA_SIMUL,'"&amp;F422&amp;"' AS CAMPO, "&amp;"'${ref_date}' AS REF_DATE, COUNT(*) AS NUM_REG, SUM(IF(COALESCE(CAST(X."&amp;F422&amp;" AS STRING),'')&lt;&gt;COALESCE(CAST(Y."&amp;F422&amp;"_SIMUL AS STRING),''),1,0)) AS NUM_REG_DIF,'"&amp;MAX('ID1&amp;5'!L:L)+1&amp;"' AS ID_EXEC, CURRENT_TIMESTAMP() AS TIME_EXEC FROM "&amp;I422&amp;" INNER JOIN "&amp;J422&amp;" "&amp;K422),
IF(C422="Validade",+IF(G422="Code List","SELECT '"&amp;UPPER(B422)&amp;"' AS TABELA, '"&amp;UPPER(C422)&amp;"' AS TIPOLOGIA_TESTE,'"&amp;D422&amp;"' AS TABELA_LT,'N/A' AS TABELA_SIMUL,'"&amp;F422&amp;"' AS CAMPO, "&amp;"'${ref_date}' AS REF_DATE, COUNT(*) AS NUM_REG, SUM(IF(TRIM(CAST(X."&amp;F422&amp;" AS STRING))='' OR TRIM(CAST(X."&amp;F422&amp;" AS STRING)) IS NULL OR CAST(X."&amp;F422&amp;" AS STRING) NOT "&amp;H422&amp;",1,0)) AS NUM_REG_DIF,'"&amp;MAX('ID1&amp;5'!K:K)+1&amp;"' AS ID_EXEC, CURRENT_TIMESTAMP() AS TIME_EXEC FROM "&amp;I422,"SELECT '"&amp;UPPER(B422)&amp;"' AS TABELA, '"&amp;UPPER(C422)&amp;"' AS TIPOLOGIA_TESTE,'"&amp;D422&amp;"' AS TABELA_LT,'N/A' AS TABELA_SIMUL,'"&amp;F422&amp;"' AS CAMPO, "&amp;"'${ref_date}' AS REF_DATE, COUNT(*) AS NUM_REG, SUM(IF(TRIM(CAST(X."&amp;F422&amp;" AS STRING))='' OR TRIM(CAST(X."&amp;F422&amp;" AS STRING)) IS NULL,1,0)) AS NUM_REG_DIF,'"&amp;MAX('ID1&amp;5'!K:K)+1&amp;"' AS ID_EXEC, CURRENT_TIMESTAMP() AS TIME_EXEC FROM "&amp;I422),
IF(C422="Caracteres Especiais",+"SELECT '"&amp;UPPER(B422)&amp;"' AS TABELA, '"&amp;UPPER(C422)&amp;"' AS TIPOLOGIA_TESTE,'"&amp;D422&amp;"' AS TABELA_LT,'N/A' AS TABELA_SIMUL,'"&amp;F422&amp;"' AS CAMPO, "&amp;"'${ref_date}' AS REF_DATE, COUNT(*) AS NUM_REG, SUM(IF(INSTR(CAST(X."&amp;F422&amp;" AS STRING),'#')&gt;0 OR INSTR(CAST(X."&amp;F422&amp;" AS STRING),'*')&gt;0 OR INSTR(CAST(X."&amp;F422&amp;" AS STRING),'`')&gt;0 OR INSTR(CAST(X."&amp;F422&amp;" AS STRING),'´')&gt;0 OR INSTR(CAST(X."&amp;F422&amp;" AS STRING),'{')&gt;0 OR INSTR(CAST(X."&amp;F422&amp;" AS STRING),'}')&gt;0 OR INSTR(CAST(X."&amp;F422&amp;" AS STRING),'[')&gt;0 OR INSTR(CAST(X."&amp;F422&amp;" AS STRING),'')&gt;0 OR INSTR(CAST(X."&amp;F422&amp;" AS STRING),']')&gt;0 OR INSTR(CAST(X."&amp;F422&amp;" AS STRING),'?')&gt;0 OR INSTR(CAST(X."&amp;F422&amp;" AS STRING),'!')&gt;0 OR INSTR(CAST(X."&amp;F422&amp;" AS STRING),'$')&gt;0 OR INSTR(CAST(X."&amp;F422&amp;" AS STRING),'%')&gt;0 OR INSTR(CAST(X."&amp;F422&amp;" AS STRING),'&amp;')&gt;0 OR INSTR(CAST(X."&amp;F422&amp;" AS STRING),'+')&gt;0,1,0)) AS NUM_REG_DIF,'"&amp;MAX('ID1&amp;5'!K:K)+1&amp;"' AS ID_EXEC, CURRENT_TIMESTAMP() AS TIME_EXEC FROM "&amp;I422,
IF(C422="Missings",+"SELECT '"&amp;UPPER(B422)&amp;"' AS TABELA, '"&amp;UPPER(C422)&amp;"' AS TIPOLOGIA_TESTE,'"&amp;D422&amp;"' AS TABELA_LT,'N/A' AS TABELA_SIMUL,'"&amp;F422&amp;"' AS CAMPO, "&amp;"'${ref_date}' AS REF_DATE, COUNT(*) AS NUM_REG, SUM(IF(TRIM(CAST(X."&amp;F422&amp;" AS STRING)) IN ('0000-00-00','0001-01-01','9999-12-31','MISS','00000','99999999999','99999999999.00','99999999999.000000'),1,0)) AS NUM_REG_DIF,'"&amp;MAX('ID1&amp;5'!K:K)+1&amp;"' AS ID_EXEC, CURRENT_TIMESTAMP() AS TIME_EXEC FROM "&amp;I422,
IF(C422="Not applicable",+"SELECT '"&amp;UPPER(B422)&amp;"' AS TABELA, '"&amp;UPPER(C422)&amp;"' AS TIPOLOGIA_TESTE,'"&amp;D422&amp;"' AS TABELA_LT,'N/A' AS TABELA_SIMUL,'"&amp;F422&amp;"' AS CAMPO, "&amp;"'${ref_date}' AS REF_DATE, COUNT(*) AS NUM_REG, SUM(IF(TRIM(CAST(X."&amp;F422&amp;" AS STRING)) IN ('N/A','11111111111','11111111111.00','11111111111.000000','1111-11-11'),1,0)) AS NUM_REG_DIF,'"&amp;MAX('ID1&amp;5'!K:K)+1&amp;"' AS ID_EXEC, CURRENT_TIMESTAMP() AS TIME_EXEC FROM "&amp;I422,
IF(C422="Valores extremos",+"SELECT '"&amp;UPPER(B422)&amp;"' AS TABELA, '"&amp;UPPER(C422)&amp;"' AS TIPOLOGIA_TESTE,'"&amp;D422&amp;"' AS TABELA_LT,'N/A' AS TABELA_SIMUL,'"&amp;F422&amp;"' AS CAMPO, "&amp;"'${ref_date}' AS REF_DATE, CAST(MIN("&amp;F422&amp;") AS STRING) AS VALOR_MIN, CAST(MAX("&amp;F422&amp;") AS STRING) AS VALOR_MAX,'"&amp;MAX('ID1&amp;5'!K:K)+1&amp;"' AS ID_EXEC, CURRENT_TIMESTAMP() AS TIME_EXEC FROM "&amp;MID(I422,1,LEN(I422)-2)&amp;" AND CAST("&amp;F422&amp;"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TABELA_SIMUL,'GRP_ANNL_TRNVR_LE' AS CAMPO, '${ref_date}' AS REF_DATE, COUNT(*) AS NUM_REG, SUM(IF(TRIM(CAST(X.GRP_ANNL_TRNVR_LE AS STRING)) IN ('N/A','11111111111','11111111111.00','11111111111.000000','1111-11-11'),1,0)) AS NUM_REG_DIF,'10' AS ID_EXEC, CURRENT_TIMESTAMP() AS TIME_EXEC FROM (SELECT entty_id, GRP_ANNL_TRNVR_LE FROM BU_LOANTAPE_WORK.LT003_ENTITY WHERE ref_date='${ref_date}' AND nome_perimetro='Individual Corporativo' AND segmento='ESTR' AND ambito='PILAR3')X</v>
      </c>
      <c r="M422" s="43" t="str">
        <f t="shared" si="6"/>
        <v>UNION ALL SELECT 'ENTITY' AS TABELA, 'NOT APPLICABLE' AS TIPOLOGIA_TESTE,'BU_LOANTAPE_WORK.LT003_ENTITY' AS TABELA_LT,'N/A' AS TABELA_SIMUL,'GRP_ANNL_TRNVR_LE' AS CAMPO, '${ref_date}' AS REF_DATE, COUNT(*) AS NUM_REG, SUM(IF(TRIM(CAST(X.GRP_ANNL_TRNVR_LE AS STRING)) IN ('N/A','11111111111','11111111111.00','11111111111.000000','1111-11-11'),1,0)) AS NUM_REG_DIF,'10' AS ID_EXEC, CURRENT_TIMESTAMP() AS TIME_EXEC FROM (SELECT entty_id, GRP_ANNL_TRNVR_LE FROM BU_LOANTAPE_WORK.LT003_ENTITY WHERE ref_date='${ref_date}' AND nome_perimetro='Individual Corporativo' AND segmento='ESTR' AND ambito='PILAR3')X</v>
      </c>
      <c r="N422" s="45" t="s">
        <v>13</v>
      </c>
    </row>
    <row r="423" spans="2:14">
      <c r="B423" s="41" t="s">
        <v>23</v>
      </c>
      <c r="C423" s="41" t="s">
        <v>78</v>
      </c>
      <c r="D423" s="41" t="str">
        <f>+UPPER('0. Instruções'!$D$33&amp;"."&amp;VLOOKUP(B423,'0. Instruções'!$C$27:$D$31,2,FALSE))</f>
        <v>BU_LOANTAPE_WORK.LT003_ENTITY</v>
      </c>
      <c r="E423" s="41" t="str">
        <f>+UPPER('0. Instruções'!$D$34&amp;"."&amp;VLOOKUP(B423,'0. Instruções'!$C$27:$E$31,3,FALSE))</f>
        <v>BU_LOANTAPE_WORK.LT003_ENTTY_P3_NOV24</v>
      </c>
      <c r="F423" s="41" t="s">
        <v>129</v>
      </c>
      <c r="G423" s="41" t="s">
        <v>213</v>
      </c>
      <c r="H423" s="41"/>
      <c r="I423" s="41" t="str">
        <f>"(SELECT "&amp;VLOOKUP(B423,'0. Instruções'!$C$27:$G$31,4,FALSE)&amp;", "&amp;F423&amp;" FROM "&amp;D423&amp;" WHERE "&amp;'0. Instruções'!$D$40&amp;")X"</f>
        <v>(SELECT entty_id, GRP_TTL_LBLTY FROM BU_LOANTAPE_WORK.LT003_ENTITY WHERE ref_date='${ref_date}' AND nome_perimetro='Individual Corporativo' AND segmento='ESTR' AND ambito='PILAR3')X</v>
      </c>
      <c r="J423" s="41" t="str">
        <f>"(SELECT "&amp;VLOOKUP(B423,'0. Instruções'!$C$27:$G$31,4,FALSE)&amp;" AS "&amp;VLOOKUP(B423,'0. Instruções'!$C$27:$G$31,4,FALSE)&amp;"_SIMUL, "&amp;F423&amp;" AS "&amp;F423&amp;"_SIMUL FROM "&amp;E423&amp;")Y"</f>
        <v>(SELECT entty_id AS entty_id_SIMUL, GRP_TTL_LBLTY AS GRP_TTL_LBLTY_SIMUL FROM BU_LOANTAPE_WORK.LT003_ENTTY_P3_NOV24)Y</v>
      </c>
      <c r="K423" s="42" t="str">
        <f>+UPPER("ON X."&amp;VLOOKUP(B423,'0. Instruções'!$C$27:$G$31,4,FALSE)&amp;"=Y."&amp;VLOOKUP(B423,'0. Instruções'!$C$27:$G$31,4,FALSE)&amp;"_SIMUL")</f>
        <v>ON X.ENTTY_ID=Y.ENTTY_ID_SIMUL</v>
      </c>
      <c r="L423" s="42" t="str">
        <f>+IF(C423="Coerência", +IF(LEFT(G423,5)="FLOAT","SELECT '"&amp;UPPER(B423)&amp;"' AS TABELA, '"&amp;UPPER(C423)&amp;"' AS TIPOLOGIA_TESTE,'"&amp;D423&amp;"' AS TABELA_LT,'"&amp;E423&amp;"' AS TABELA_SIMUL,'"&amp;F423&amp;"' AS CAMPO, "&amp;"'${ref_date}' AS REF_DATE, COUNT(*) AS NUM_REG, SUM(IF((ABS(COALESCE(X."&amp;F423&amp;",0)-COALESCE(Y."&amp;F423&amp;"_SIMUL,0))&gt;0.0000000001) OR (X."&amp;F423&amp;" IS NULL AND Y."&amp;F423&amp;"_SIMUL IS NOT NULL ) OR (X."&amp;F423&amp;" IS NOT NULL AND Y."&amp;F423&amp;"_SIMUL IS NULL),1,0)) AS NUM_REG_DIF,'"&amp;MAX('ID1&amp;5'!K:K)+1&amp;"' AS ID_EXEC, CURRENT_TIMESTAMP() AS TIME_EXEC FROM "&amp;I423&amp;" INNER JOIN "&amp;J423&amp;" "&amp;K423,"SELECT '"&amp;UPPER(B423)&amp;"' AS TABELA, '"&amp;UPPER(C423)&amp;"' AS TIPOLOGIA_TESTE,'"&amp;D423&amp;"' AS TABELA_LT,'"&amp;E423&amp;"' AS TABELA_SIMUL,'"&amp;F423&amp;"' AS CAMPO, "&amp;"'${ref_date}' AS REF_DATE, COUNT(*) AS NUM_REG, SUM(IF(COALESCE(CAST(X."&amp;F423&amp;" AS STRING),'')&lt;&gt;COALESCE(CAST(Y."&amp;F423&amp;"_SIMUL AS STRING),''),1,0)) AS NUM_REG_DIF,'"&amp;MAX('ID1&amp;5'!L:L)+1&amp;"' AS ID_EXEC, CURRENT_TIMESTAMP() AS TIME_EXEC FROM "&amp;I423&amp;" INNER JOIN "&amp;J423&amp;" "&amp;K423),
IF(C423="Validade",+IF(G423="Code List","SELECT '"&amp;UPPER(B423)&amp;"' AS TABELA, '"&amp;UPPER(C423)&amp;"' AS TIPOLOGIA_TESTE,'"&amp;D423&amp;"' AS TABELA_LT,'N/A' AS TABELA_SIMUL,'"&amp;F423&amp;"' AS CAMPO, "&amp;"'${ref_date}' AS REF_DATE, COUNT(*) AS NUM_REG, SUM(IF(TRIM(CAST(X."&amp;F423&amp;" AS STRING))='' OR TRIM(CAST(X."&amp;F423&amp;" AS STRING)) IS NULL OR CAST(X."&amp;F423&amp;" AS STRING) NOT "&amp;H423&amp;",1,0)) AS NUM_REG_DIF,'"&amp;MAX('ID1&amp;5'!K:K)+1&amp;"' AS ID_EXEC, CURRENT_TIMESTAMP() AS TIME_EXEC FROM "&amp;I423,"SELECT '"&amp;UPPER(B423)&amp;"' AS TABELA, '"&amp;UPPER(C423)&amp;"' AS TIPOLOGIA_TESTE,'"&amp;D423&amp;"' AS TABELA_LT,'N/A' AS TABELA_SIMUL,'"&amp;F423&amp;"' AS CAMPO, "&amp;"'${ref_date}' AS REF_DATE, COUNT(*) AS NUM_REG, SUM(IF(TRIM(CAST(X."&amp;F423&amp;" AS STRING))='' OR TRIM(CAST(X."&amp;F423&amp;" AS STRING)) IS NULL,1,0)) AS NUM_REG_DIF,'"&amp;MAX('ID1&amp;5'!K:K)+1&amp;"' AS ID_EXEC, CURRENT_TIMESTAMP() AS TIME_EXEC FROM "&amp;I423),
IF(C423="Caracteres Especiais",+"SELECT '"&amp;UPPER(B423)&amp;"' AS TABELA, '"&amp;UPPER(C423)&amp;"' AS TIPOLOGIA_TESTE,'"&amp;D423&amp;"' AS TABELA_LT,'N/A' AS TABELA_SIMUL,'"&amp;F423&amp;"' AS CAMPO, "&amp;"'${ref_date}' AS REF_DATE, COUNT(*) AS NUM_REG, SUM(IF(INSTR(CAST(X."&amp;F423&amp;" AS STRING),'#')&gt;0 OR INSTR(CAST(X."&amp;F423&amp;" AS STRING),'*')&gt;0 OR INSTR(CAST(X."&amp;F423&amp;" AS STRING),'`')&gt;0 OR INSTR(CAST(X."&amp;F423&amp;" AS STRING),'´')&gt;0 OR INSTR(CAST(X."&amp;F423&amp;" AS STRING),'{')&gt;0 OR INSTR(CAST(X."&amp;F423&amp;" AS STRING),'}')&gt;0 OR INSTR(CAST(X."&amp;F423&amp;" AS STRING),'[')&gt;0 OR INSTR(CAST(X."&amp;F423&amp;" AS STRING),'')&gt;0 OR INSTR(CAST(X."&amp;F423&amp;" AS STRING),']')&gt;0 OR INSTR(CAST(X."&amp;F423&amp;" AS STRING),'?')&gt;0 OR INSTR(CAST(X."&amp;F423&amp;" AS STRING),'!')&gt;0 OR INSTR(CAST(X."&amp;F423&amp;" AS STRING),'$')&gt;0 OR INSTR(CAST(X."&amp;F423&amp;" AS STRING),'%')&gt;0 OR INSTR(CAST(X."&amp;F423&amp;" AS STRING),'&amp;')&gt;0 OR INSTR(CAST(X."&amp;F423&amp;" AS STRING),'+')&gt;0,1,0)) AS NUM_REG_DIF,'"&amp;MAX('ID1&amp;5'!K:K)+1&amp;"' AS ID_EXEC, CURRENT_TIMESTAMP() AS TIME_EXEC FROM "&amp;I423,
IF(C423="Missings",+"SELECT '"&amp;UPPER(B423)&amp;"' AS TABELA, '"&amp;UPPER(C423)&amp;"' AS TIPOLOGIA_TESTE,'"&amp;D423&amp;"' AS TABELA_LT,'N/A' AS TABELA_SIMUL,'"&amp;F423&amp;"' AS CAMPO, "&amp;"'${ref_date}' AS REF_DATE, COUNT(*) AS NUM_REG, SUM(IF(TRIM(CAST(X."&amp;F423&amp;" AS STRING)) IN ('0000-00-00','0001-01-01','9999-12-31','MISS','00000','99999999999','99999999999.00','99999999999.000000'),1,0)) AS NUM_REG_DIF,'"&amp;MAX('ID1&amp;5'!K:K)+1&amp;"' AS ID_EXEC, CURRENT_TIMESTAMP() AS TIME_EXEC FROM "&amp;I423,
IF(C423="Not applicable",+"SELECT '"&amp;UPPER(B423)&amp;"' AS TABELA, '"&amp;UPPER(C423)&amp;"' AS TIPOLOGIA_TESTE,'"&amp;D423&amp;"' AS TABELA_LT,'N/A' AS TABELA_SIMUL,'"&amp;F423&amp;"' AS CAMPO, "&amp;"'${ref_date}' AS REF_DATE, COUNT(*) AS NUM_REG, SUM(IF(TRIM(CAST(X."&amp;F423&amp;" AS STRING)) IN ('N/A','11111111111','11111111111.00','11111111111.000000','1111-11-11'),1,0)) AS NUM_REG_DIF,'"&amp;MAX('ID1&amp;5'!K:K)+1&amp;"' AS ID_EXEC, CURRENT_TIMESTAMP() AS TIME_EXEC FROM "&amp;I423,
IF(C423="Valores extremos",+"SELECT '"&amp;UPPER(B423)&amp;"' AS TABELA, '"&amp;UPPER(C423)&amp;"' AS TIPOLOGIA_TESTE,'"&amp;D423&amp;"' AS TABELA_LT,'N/A' AS TABELA_SIMUL,'"&amp;F423&amp;"' AS CAMPO, "&amp;"'${ref_date}' AS REF_DATE, CAST(MIN("&amp;F423&amp;") AS STRING) AS VALOR_MIN, CAST(MAX("&amp;F423&amp;") AS STRING) AS VALOR_MAX,'"&amp;MAX('ID1&amp;5'!K:K)+1&amp;"' AS ID_EXEC, CURRENT_TIMESTAMP() AS TIME_EXEC FROM "&amp;MID(I423,1,LEN(I423)-2)&amp;" AND CAST("&amp;F423&amp;"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TABELA_SIMUL,'GRP_TTL_LBLTY' AS CAMPO, '${ref_date}' AS REF_DATE, COUNT(*) AS NUM_REG, SUM(IF(TRIM(CAST(X.GRP_TTL_LBLTY AS STRING)) IN ('N/A','11111111111','11111111111.00','11111111111.000000','1111-11-11'),1,0)) AS NUM_REG_DIF,'10' AS ID_EXEC, CURRENT_TIMESTAMP() AS TIME_EXEC FROM (SELECT entty_id, GRP_TTL_LBLTY FROM BU_LOANTAPE_WORK.LT003_ENTITY WHERE ref_date='${ref_date}' AND nome_perimetro='Individual Corporativo' AND segmento='ESTR' AND ambito='PILAR3')X</v>
      </c>
      <c r="M423" s="43" t="str">
        <f t="shared" ref="M423:M484" si="7">+"UNION ALL "&amp;L423</f>
        <v>UNION ALL SELECT 'ENTITY' AS TABELA, 'NOT APPLICABLE' AS TIPOLOGIA_TESTE,'BU_LOANTAPE_WORK.LT003_ENTITY' AS TABELA_LT,'N/A' AS TABELA_SIMUL,'GRP_TTL_LBLTY' AS CAMPO, '${ref_date}' AS REF_DATE, COUNT(*) AS NUM_REG, SUM(IF(TRIM(CAST(X.GRP_TTL_LBLTY AS STRING)) IN ('N/A','11111111111','11111111111.00','11111111111.000000','1111-11-11'),1,0)) AS NUM_REG_DIF,'10' AS ID_EXEC, CURRENT_TIMESTAMP() AS TIME_EXEC FROM (SELECT entty_id, GRP_TTL_LBLTY FROM BU_LOANTAPE_WORK.LT003_ENTITY WHERE ref_date='${ref_date}' AND nome_perimetro='Individual Corporativo' AND segmento='ESTR' AND ambito='PILAR3')X</v>
      </c>
      <c r="N423" s="45" t="s">
        <v>13</v>
      </c>
    </row>
    <row r="424" spans="2:14">
      <c r="B424" s="41" t="s">
        <v>23</v>
      </c>
      <c r="C424" s="41" t="s">
        <v>78</v>
      </c>
      <c r="D424" s="41" t="str">
        <f>+UPPER('0. Instruções'!$D$33&amp;"."&amp;VLOOKUP(B424,'0. Instruções'!$C$27:$D$31,2,FALSE))</f>
        <v>BU_LOANTAPE_WORK.LT003_ENTITY</v>
      </c>
      <c r="E424" s="41" t="str">
        <f>+UPPER('0. Instruções'!$D$34&amp;"."&amp;VLOOKUP(B424,'0. Instruções'!$C$27:$E$31,3,FALSE))</f>
        <v>BU_LOANTAPE_WORK.LT003_ENTTY_P3_NOV24</v>
      </c>
      <c r="F424" s="41" t="s">
        <v>130</v>
      </c>
      <c r="G424" s="41" t="s">
        <v>211</v>
      </c>
      <c r="H424" s="41"/>
      <c r="I424" s="41" t="str">
        <f>"(SELECT "&amp;VLOOKUP(B424,'0. Instruções'!$C$27:$G$31,4,FALSE)&amp;", "&amp;F424&amp;" FROM "&amp;D424&amp;" WHERE "&amp;'0. Instruções'!$D$40&amp;")X"</f>
        <v>(SELECT entty_id, FLG_GRP_NFRD_APPLCBLTY FROM BU_LOANTAPE_WORK.LT003_ENTITY WHERE ref_date='${ref_date}' AND nome_perimetro='Individual Corporativo' AND segmento='ESTR' AND ambito='PILAR3')X</v>
      </c>
      <c r="J424" s="41" t="str">
        <f>"(SELECT "&amp;VLOOKUP(B424,'0. Instruções'!$C$27:$G$31,4,FALSE)&amp;" AS "&amp;VLOOKUP(B424,'0. Instruções'!$C$27:$G$31,4,FALSE)&amp;"_SIMUL, "&amp;F424&amp;" AS "&amp;F424&amp;"_SIMUL FROM "&amp;E424&amp;")Y"</f>
        <v>(SELECT entty_id AS entty_id_SIMUL, FLG_GRP_NFRD_APPLCBLTY AS FLG_GRP_NFRD_APPLCBLTY_SIMUL FROM BU_LOANTAPE_WORK.LT003_ENTTY_P3_NOV24)Y</v>
      </c>
      <c r="K424" s="42" t="str">
        <f>+UPPER("ON X."&amp;VLOOKUP(B424,'0. Instruções'!$C$27:$G$31,4,FALSE)&amp;"=Y."&amp;VLOOKUP(B424,'0. Instruções'!$C$27:$G$31,4,FALSE)&amp;"_SIMUL")</f>
        <v>ON X.ENTTY_ID=Y.ENTTY_ID_SIMUL</v>
      </c>
      <c r="L424" s="42" t="str">
        <f>+IF(C424="Coerência", +IF(LEFT(G424,5)="FLOAT","SELECT '"&amp;UPPER(B424)&amp;"' AS TABELA, '"&amp;UPPER(C424)&amp;"' AS TIPOLOGIA_TESTE,'"&amp;D424&amp;"' AS TABELA_LT,'"&amp;E424&amp;"' AS TABELA_SIMUL,'"&amp;F424&amp;"' AS CAMPO, "&amp;"'${ref_date}' AS REF_DATE, COUNT(*) AS NUM_REG, SUM(IF((ABS(COALESCE(X."&amp;F424&amp;",0)-COALESCE(Y."&amp;F424&amp;"_SIMUL,0))&gt;0.0000000001) OR (X."&amp;F424&amp;" IS NULL AND Y."&amp;F424&amp;"_SIMUL IS NOT NULL ) OR (X."&amp;F424&amp;" IS NOT NULL AND Y."&amp;F424&amp;"_SIMUL IS NULL),1,0)) AS NUM_REG_DIF,'"&amp;MAX('ID1&amp;5'!K:K)+1&amp;"' AS ID_EXEC, CURRENT_TIMESTAMP() AS TIME_EXEC FROM "&amp;I424&amp;" INNER JOIN "&amp;J424&amp;" "&amp;K424,"SELECT '"&amp;UPPER(B424)&amp;"' AS TABELA, '"&amp;UPPER(C424)&amp;"' AS TIPOLOGIA_TESTE,'"&amp;D424&amp;"' AS TABELA_LT,'"&amp;E424&amp;"' AS TABELA_SIMUL,'"&amp;F424&amp;"' AS CAMPO, "&amp;"'${ref_date}' AS REF_DATE, COUNT(*) AS NUM_REG, SUM(IF(COALESCE(CAST(X."&amp;F424&amp;" AS STRING),'')&lt;&gt;COALESCE(CAST(Y."&amp;F424&amp;"_SIMUL AS STRING),''),1,0)) AS NUM_REG_DIF,'"&amp;MAX('ID1&amp;5'!L:L)+1&amp;"' AS ID_EXEC, CURRENT_TIMESTAMP() AS TIME_EXEC FROM "&amp;I424&amp;" INNER JOIN "&amp;J424&amp;" "&amp;K424),
IF(C424="Validade",+IF(G424="Code List","SELECT '"&amp;UPPER(B424)&amp;"' AS TABELA, '"&amp;UPPER(C424)&amp;"' AS TIPOLOGIA_TESTE,'"&amp;D424&amp;"' AS TABELA_LT,'N/A' AS TABELA_SIMUL,'"&amp;F424&amp;"' AS CAMPO, "&amp;"'${ref_date}' AS REF_DATE, COUNT(*) AS NUM_REG, SUM(IF(TRIM(CAST(X."&amp;F424&amp;" AS STRING))='' OR TRIM(CAST(X."&amp;F424&amp;" AS STRING)) IS NULL OR CAST(X."&amp;F424&amp;" AS STRING) NOT "&amp;H424&amp;",1,0)) AS NUM_REG_DIF,'"&amp;MAX('ID1&amp;5'!K:K)+1&amp;"' AS ID_EXEC, CURRENT_TIMESTAMP() AS TIME_EXEC FROM "&amp;I424,"SELECT '"&amp;UPPER(B424)&amp;"' AS TABELA, '"&amp;UPPER(C424)&amp;"' AS TIPOLOGIA_TESTE,'"&amp;D424&amp;"' AS TABELA_LT,'N/A' AS TABELA_SIMUL,'"&amp;F424&amp;"' AS CAMPO, "&amp;"'${ref_date}' AS REF_DATE, COUNT(*) AS NUM_REG, SUM(IF(TRIM(CAST(X."&amp;F424&amp;" AS STRING))='' OR TRIM(CAST(X."&amp;F424&amp;" AS STRING)) IS NULL,1,0)) AS NUM_REG_DIF,'"&amp;MAX('ID1&amp;5'!K:K)+1&amp;"' AS ID_EXEC, CURRENT_TIMESTAMP() AS TIME_EXEC FROM "&amp;I424),
IF(C424="Caracteres Especiais",+"SELECT '"&amp;UPPER(B424)&amp;"' AS TABELA, '"&amp;UPPER(C424)&amp;"' AS TIPOLOGIA_TESTE,'"&amp;D424&amp;"' AS TABELA_LT,'N/A' AS TABELA_SIMUL,'"&amp;F424&amp;"' AS CAMPO, "&amp;"'${ref_date}' AS REF_DATE, COUNT(*) AS NUM_REG, SUM(IF(INSTR(CAST(X."&amp;F424&amp;" AS STRING),'#')&gt;0 OR INSTR(CAST(X."&amp;F424&amp;" AS STRING),'*')&gt;0 OR INSTR(CAST(X."&amp;F424&amp;" AS STRING),'`')&gt;0 OR INSTR(CAST(X."&amp;F424&amp;" AS STRING),'´')&gt;0 OR INSTR(CAST(X."&amp;F424&amp;" AS STRING),'{')&gt;0 OR INSTR(CAST(X."&amp;F424&amp;" AS STRING),'}')&gt;0 OR INSTR(CAST(X."&amp;F424&amp;" AS STRING),'[')&gt;0 OR INSTR(CAST(X."&amp;F424&amp;" AS STRING),'')&gt;0 OR INSTR(CAST(X."&amp;F424&amp;" AS STRING),']')&gt;0 OR INSTR(CAST(X."&amp;F424&amp;" AS STRING),'?')&gt;0 OR INSTR(CAST(X."&amp;F424&amp;" AS STRING),'!')&gt;0 OR INSTR(CAST(X."&amp;F424&amp;" AS STRING),'$')&gt;0 OR INSTR(CAST(X."&amp;F424&amp;" AS STRING),'%')&gt;0 OR INSTR(CAST(X."&amp;F424&amp;" AS STRING),'&amp;')&gt;0 OR INSTR(CAST(X."&amp;F424&amp;" AS STRING),'+')&gt;0,1,0)) AS NUM_REG_DIF,'"&amp;MAX('ID1&amp;5'!K:K)+1&amp;"' AS ID_EXEC, CURRENT_TIMESTAMP() AS TIME_EXEC FROM "&amp;I424,
IF(C424="Missings",+"SELECT '"&amp;UPPER(B424)&amp;"' AS TABELA, '"&amp;UPPER(C424)&amp;"' AS TIPOLOGIA_TESTE,'"&amp;D424&amp;"' AS TABELA_LT,'N/A' AS TABELA_SIMUL,'"&amp;F424&amp;"' AS CAMPO, "&amp;"'${ref_date}' AS REF_DATE, COUNT(*) AS NUM_REG, SUM(IF(TRIM(CAST(X."&amp;F424&amp;" AS STRING)) IN ('0000-00-00','0001-01-01','9999-12-31','MISS','00000','99999999999','99999999999.00','99999999999.000000'),1,0)) AS NUM_REG_DIF,'"&amp;MAX('ID1&amp;5'!K:K)+1&amp;"' AS ID_EXEC, CURRENT_TIMESTAMP() AS TIME_EXEC FROM "&amp;I424,
IF(C424="Not applicable",+"SELECT '"&amp;UPPER(B424)&amp;"' AS TABELA, '"&amp;UPPER(C424)&amp;"' AS TIPOLOGIA_TESTE,'"&amp;D424&amp;"' AS TABELA_LT,'N/A' AS TABELA_SIMUL,'"&amp;F424&amp;"' AS CAMPO, "&amp;"'${ref_date}' AS REF_DATE, COUNT(*) AS NUM_REG, SUM(IF(TRIM(CAST(X."&amp;F424&amp;" AS STRING)) IN ('N/A','11111111111','11111111111.00','11111111111.000000','1111-11-11'),1,0)) AS NUM_REG_DIF,'"&amp;MAX('ID1&amp;5'!K:K)+1&amp;"' AS ID_EXEC, CURRENT_TIMESTAMP() AS TIME_EXEC FROM "&amp;I424,
IF(C424="Valores extremos",+"SELECT '"&amp;UPPER(B424)&amp;"' AS TABELA, '"&amp;UPPER(C424)&amp;"' AS TIPOLOGIA_TESTE,'"&amp;D424&amp;"' AS TABELA_LT,'N/A' AS TABELA_SIMUL,'"&amp;F424&amp;"' AS CAMPO, "&amp;"'${ref_date}' AS REF_DATE, CAST(MIN("&amp;F424&amp;") AS STRING) AS VALOR_MIN, CAST(MAX("&amp;F424&amp;") AS STRING) AS VALOR_MAX,'"&amp;MAX('ID1&amp;5'!K:K)+1&amp;"' AS ID_EXEC, CURRENT_TIMESTAMP() AS TIME_EXEC FROM "&amp;MID(I424,1,LEN(I424)-2)&amp;" AND CAST("&amp;F424&amp;"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TABELA_SIMUL,'FLG_GRP_NFRD_APPLCBLTY' AS CAMPO, '${ref_date}' AS REF_DATE, COUNT(*) AS NUM_REG, SUM(IF(TRIM(CAST(X.FLG_GRP_NFRD_APPLCBLTY AS STRING)) IN ('N/A','11111111111','11111111111.00','11111111111.000000','1111-11-11'),1,0)) AS NUM_REG_DIF,'10' AS ID_EXEC, CURRENT_TIMESTAMP() AS TIME_EXEC FROM (SELECT entty_id, FLG_GRP_NFRD_APPLCBLTY FROM BU_LOANTAPE_WORK.LT003_ENTITY WHERE ref_date='${ref_date}' AND nome_perimetro='Individual Corporativo' AND segmento='ESTR' AND ambito='PILAR3')X</v>
      </c>
      <c r="M424" s="43" t="str">
        <f t="shared" si="7"/>
        <v>UNION ALL SELECT 'ENTITY' AS TABELA, 'NOT APPLICABLE' AS TIPOLOGIA_TESTE,'BU_LOANTAPE_WORK.LT003_ENTITY' AS TABELA_LT,'N/A' AS TABELA_SIMUL,'FLG_GRP_NFRD_APPLCBLTY' AS CAMPO, '${ref_date}' AS REF_DATE, COUNT(*) AS NUM_REG, SUM(IF(TRIM(CAST(X.FLG_GRP_NFRD_APPLCBLTY AS STRING)) IN ('N/A','11111111111','11111111111.00','11111111111.000000','1111-11-11'),1,0)) AS NUM_REG_DIF,'10' AS ID_EXEC, CURRENT_TIMESTAMP() AS TIME_EXEC FROM (SELECT entty_id, FLG_GRP_NFRD_APPLCBLTY FROM BU_LOANTAPE_WORK.LT003_ENTITY WHERE ref_date='${ref_date}' AND nome_perimetro='Individual Corporativo' AND segmento='ESTR' AND ambito='PILAR3')X</v>
      </c>
      <c r="N424" s="45" t="s">
        <v>13</v>
      </c>
    </row>
    <row r="425" spans="2:14">
      <c r="B425" s="41" t="s">
        <v>23</v>
      </c>
      <c r="C425" s="41" t="s">
        <v>78</v>
      </c>
      <c r="D425" s="41" t="str">
        <f>+UPPER('0. Instruções'!$D$33&amp;"."&amp;VLOOKUP(B425,'0. Instruções'!$C$27:$D$31,2,FALSE))</f>
        <v>BU_LOANTAPE_WORK.LT003_ENTITY</v>
      </c>
      <c r="E425" s="41" t="str">
        <f>+UPPER('0. Instruções'!$D$34&amp;"."&amp;VLOOKUP(B425,'0. Instruções'!$C$27:$E$31,3,FALSE))</f>
        <v>BU_LOANTAPE_WORK.LT003_ENTTY_P3_NOV24</v>
      </c>
      <c r="F425" s="41" t="s">
        <v>131</v>
      </c>
      <c r="G425" s="41" t="s">
        <v>210</v>
      </c>
      <c r="H425" s="41"/>
      <c r="I425" s="41" t="str">
        <f>"(SELECT "&amp;VLOOKUP(B425,'0. Instruções'!$C$27:$G$31,4,FALSE)&amp;", "&amp;F425&amp;" FROM "&amp;D425&amp;" WHERE "&amp;'0. Instruções'!$D$40&amp;")X"</f>
        <v>(SELECT entty_id, GRP_EMSSNS_SCP1 FROM BU_LOANTAPE_WORK.LT003_ENTITY WHERE ref_date='${ref_date}' AND nome_perimetro='Individual Corporativo' AND segmento='ESTR' AND ambito='PILAR3')X</v>
      </c>
      <c r="J425" s="41" t="str">
        <f>"(SELECT "&amp;VLOOKUP(B425,'0. Instruções'!$C$27:$G$31,4,FALSE)&amp;" AS "&amp;VLOOKUP(B425,'0. Instruções'!$C$27:$G$31,4,FALSE)&amp;"_SIMUL, "&amp;F425&amp;" AS "&amp;F425&amp;"_SIMUL FROM "&amp;E425&amp;")Y"</f>
        <v>(SELECT entty_id AS entty_id_SIMUL, GRP_EMSSNS_SCP1 AS GRP_EMSSNS_SCP1_SIMUL FROM BU_LOANTAPE_WORK.LT003_ENTTY_P3_NOV24)Y</v>
      </c>
      <c r="K425" s="42" t="str">
        <f>+UPPER("ON X."&amp;VLOOKUP(B425,'0. Instruções'!$C$27:$G$31,4,FALSE)&amp;"=Y."&amp;VLOOKUP(B425,'0. Instruções'!$C$27:$G$31,4,FALSE)&amp;"_SIMUL")</f>
        <v>ON X.ENTTY_ID=Y.ENTTY_ID_SIMUL</v>
      </c>
      <c r="L425" s="42" t="str">
        <f>+IF(C425="Coerência", +IF(LEFT(G425,5)="FLOAT","SELECT '"&amp;UPPER(B425)&amp;"' AS TABELA, '"&amp;UPPER(C425)&amp;"' AS TIPOLOGIA_TESTE,'"&amp;D425&amp;"' AS TABELA_LT,'"&amp;E425&amp;"' AS TABELA_SIMUL,'"&amp;F425&amp;"' AS CAMPO, "&amp;"'${ref_date}' AS REF_DATE, COUNT(*) AS NUM_REG, SUM(IF((ABS(COALESCE(X."&amp;F425&amp;",0)-COALESCE(Y."&amp;F425&amp;"_SIMUL,0))&gt;0.0000000001) OR (X."&amp;F425&amp;" IS NULL AND Y."&amp;F425&amp;"_SIMUL IS NOT NULL ) OR (X."&amp;F425&amp;" IS NOT NULL AND Y."&amp;F425&amp;"_SIMUL IS NULL),1,0)) AS NUM_REG_DIF,'"&amp;MAX('ID1&amp;5'!K:K)+1&amp;"' AS ID_EXEC, CURRENT_TIMESTAMP() AS TIME_EXEC FROM "&amp;I425&amp;" INNER JOIN "&amp;J425&amp;" "&amp;K425,"SELECT '"&amp;UPPER(B425)&amp;"' AS TABELA, '"&amp;UPPER(C425)&amp;"' AS TIPOLOGIA_TESTE,'"&amp;D425&amp;"' AS TABELA_LT,'"&amp;E425&amp;"' AS TABELA_SIMUL,'"&amp;F425&amp;"' AS CAMPO, "&amp;"'${ref_date}' AS REF_DATE, COUNT(*) AS NUM_REG, SUM(IF(COALESCE(CAST(X."&amp;F425&amp;" AS STRING),'')&lt;&gt;COALESCE(CAST(Y."&amp;F425&amp;"_SIMUL AS STRING),''),1,0)) AS NUM_REG_DIF,'"&amp;MAX('ID1&amp;5'!L:L)+1&amp;"' AS ID_EXEC, CURRENT_TIMESTAMP() AS TIME_EXEC FROM "&amp;I425&amp;" INNER JOIN "&amp;J425&amp;" "&amp;K425),
IF(C425="Validade",+IF(G425="Code List","SELECT '"&amp;UPPER(B425)&amp;"' AS TABELA, '"&amp;UPPER(C425)&amp;"' AS TIPOLOGIA_TESTE,'"&amp;D425&amp;"' AS TABELA_LT,'N/A' AS TABELA_SIMUL,'"&amp;F425&amp;"' AS CAMPO, "&amp;"'${ref_date}' AS REF_DATE, COUNT(*) AS NUM_REG, SUM(IF(TRIM(CAST(X."&amp;F425&amp;" AS STRING))='' OR TRIM(CAST(X."&amp;F425&amp;" AS STRING)) IS NULL OR CAST(X."&amp;F425&amp;" AS STRING) NOT "&amp;H425&amp;",1,0)) AS NUM_REG_DIF,'"&amp;MAX('ID1&amp;5'!K:K)+1&amp;"' AS ID_EXEC, CURRENT_TIMESTAMP() AS TIME_EXEC FROM "&amp;I425,"SELECT '"&amp;UPPER(B425)&amp;"' AS TABELA, '"&amp;UPPER(C425)&amp;"' AS TIPOLOGIA_TESTE,'"&amp;D425&amp;"' AS TABELA_LT,'N/A' AS TABELA_SIMUL,'"&amp;F425&amp;"' AS CAMPO, "&amp;"'${ref_date}' AS REF_DATE, COUNT(*) AS NUM_REG, SUM(IF(TRIM(CAST(X."&amp;F425&amp;" AS STRING))='' OR TRIM(CAST(X."&amp;F425&amp;" AS STRING)) IS NULL,1,0)) AS NUM_REG_DIF,'"&amp;MAX('ID1&amp;5'!K:K)+1&amp;"' AS ID_EXEC, CURRENT_TIMESTAMP() AS TIME_EXEC FROM "&amp;I425),
IF(C425="Caracteres Especiais",+"SELECT '"&amp;UPPER(B425)&amp;"' AS TABELA, '"&amp;UPPER(C425)&amp;"' AS TIPOLOGIA_TESTE,'"&amp;D425&amp;"' AS TABELA_LT,'N/A' AS TABELA_SIMUL,'"&amp;F425&amp;"' AS CAMPO, "&amp;"'${ref_date}' AS REF_DATE, COUNT(*) AS NUM_REG, SUM(IF(INSTR(CAST(X."&amp;F425&amp;" AS STRING),'#')&gt;0 OR INSTR(CAST(X."&amp;F425&amp;" AS STRING),'*')&gt;0 OR INSTR(CAST(X."&amp;F425&amp;" AS STRING),'`')&gt;0 OR INSTR(CAST(X."&amp;F425&amp;" AS STRING),'´')&gt;0 OR INSTR(CAST(X."&amp;F425&amp;" AS STRING),'{')&gt;0 OR INSTR(CAST(X."&amp;F425&amp;" AS STRING),'}')&gt;0 OR INSTR(CAST(X."&amp;F425&amp;" AS STRING),'[')&gt;0 OR INSTR(CAST(X."&amp;F425&amp;" AS STRING),'')&gt;0 OR INSTR(CAST(X."&amp;F425&amp;" AS STRING),']')&gt;0 OR INSTR(CAST(X."&amp;F425&amp;" AS STRING),'?')&gt;0 OR INSTR(CAST(X."&amp;F425&amp;" AS STRING),'!')&gt;0 OR INSTR(CAST(X."&amp;F425&amp;" AS STRING),'$')&gt;0 OR INSTR(CAST(X."&amp;F425&amp;" AS STRING),'%')&gt;0 OR INSTR(CAST(X."&amp;F425&amp;" AS STRING),'&amp;')&gt;0 OR INSTR(CAST(X."&amp;F425&amp;" AS STRING),'+')&gt;0,1,0)) AS NUM_REG_DIF,'"&amp;MAX('ID1&amp;5'!K:K)+1&amp;"' AS ID_EXEC, CURRENT_TIMESTAMP() AS TIME_EXEC FROM "&amp;I425,
IF(C425="Missings",+"SELECT '"&amp;UPPER(B425)&amp;"' AS TABELA, '"&amp;UPPER(C425)&amp;"' AS TIPOLOGIA_TESTE,'"&amp;D425&amp;"' AS TABELA_LT,'N/A' AS TABELA_SIMUL,'"&amp;F425&amp;"' AS CAMPO, "&amp;"'${ref_date}' AS REF_DATE, COUNT(*) AS NUM_REG, SUM(IF(TRIM(CAST(X."&amp;F425&amp;" AS STRING)) IN ('0000-00-00','0001-01-01','9999-12-31','MISS','00000','99999999999','99999999999.00','99999999999.000000'),1,0)) AS NUM_REG_DIF,'"&amp;MAX('ID1&amp;5'!K:K)+1&amp;"' AS ID_EXEC, CURRENT_TIMESTAMP() AS TIME_EXEC FROM "&amp;I425,
IF(C425="Not applicable",+"SELECT '"&amp;UPPER(B425)&amp;"' AS TABELA, '"&amp;UPPER(C425)&amp;"' AS TIPOLOGIA_TESTE,'"&amp;D425&amp;"' AS TABELA_LT,'N/A' AS TABELA_SIMUL,'"&amp;F425&amp;"' AS CAMPO, "&amp;"'${ref_date}' AS REF_DATE, COUNT(*) AS NUM_REG, SUM(IF(TRIM(CAST(X."&amp;F425&amp;" AS STRING)) IN ('N/A','11111111111','11111111111.00','11111111111.000000','1111-11-11'),1,0)) AS NUM_REG_DIF,'"&amp;MAX('ID1&amp;5'!K:K)+1&amp;"' AS ID_EXEC, CURRENT_TIMESTAMP() AS TIME_EXEC FROM "&amp;I425,
IF(C425="Valores extremos",+"SELECT '"&amp;UPPER(B425)&amp;"' AS TABELA, '"&amp;UPPER(C425)&amp;"' AS TIPOLOGIA_TESTE,'"&amp;D425&amp;"' AS TABELA_LT,'N/A' AS TABELA_SIMUL,'"&amp;F425&amp;"' AS CAMPO, "&amp;"'${ref_date}' AS REF_DATE, CAST(MIN("&amp;F425&amp;") AS STRING) AS VALOR_MIN, CAST(MAX("&amp;F425&amp;") AS STRING) AS VALOR_MAX,'"&amp;MAX('ID1&amp;5'!K:K)+1&amp;"' AS ID_EXEC, CURRENT_TIMESTAMP() AS TIME_EXEC FROM "&amp;MID(I425,1,LEN(I425)-2)&amp;" AND CAST("&amp;F425&amp;"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TABELA_SIMUL,'GRP_EMSSNS_SCP1' AS CAMPO, '${ref_date}' AS REF_DATE, COUNT(*) AS NUM_REG, SUM(IF(TRIM(CAST(X.GRP_EMSSNS_SCP1 AS STRING)) IN ('N/A','11111111111','11111111111.00','11111111111.000000','1111-11-11'),1,0)) AS NUM_REG_DIF,'10' AS ID_EXEC, CURRENT_TIMESTAMP() AS TIME_EXEC FROM (SELECT entty_id, GRP_EMSSNS_SCP1 FROM BU_LOANTAPE_WORK.LT003_ENTITY WHERE ref_date='${ref_date}' AND nome_perimetro='Individual Corporativo' AND segmento='ESTR' AND ambito='PILAR3')X</v>
      </c>
      <c r="M425" s="43" t="str">
        <f t="shared" si="7"/>
        <v>UNION ALL SELECT 'ENTITY' AS TABELA, 'NOT APPLICABLE' AS TIPOLOGIA_TESTE,'BU_LOANTAPE_WORK.LT003_ENTITY' AS TABELA_LT,'N/A' AS TABELA_SIMUL,'GRP_EMSSNS_SCP1' AS CAMPO, '${ref_date}' AS REF_DATE, COUNT(*) AS NUM_REG, SUM(IF(TRIM(CAST(X.GRP_EMSSNS_SCP1 AS STRING)) IN ('N/A','11111111111','11111111111.00','11111111111.000000','1111-11-11'),1,0)) AS NUM_REG_DIF,'10' AS ID_EXEC, CURRENT_TIMESTAMP() AS TIME_EXEC FROM (SELECT entty_id, GRP_EMSSNS_SCP1 FROM BU_LOANTAPE_WORK.LT003_ENTITY WHERE ref_date='${ref_date}' AND nome_perimetro='Individual Corporativo' AND segmento='ESTR' AND ambito='PILAR3')X</v>
      </c>
      <c r="N425" s="45" t="s">
        <v>13</v>
      </c>
    </row>
    <row r="426" spans="2:14">
      <c r="B426" s="41" t="s">
        <v>23</v>
      </c>
      <c r="C426" s="41" t="s">
        <v>78</v>
      </c>
      <c r="D426" s="41" t="str">
        <f>+UPPER('0. Instruções'!$D$33&amp;"."&amp;VLOOKUP(B426,'0. Instruções'!$C$27:$D$31,2,FALSE))</f>
        <v>BU_LOANTAPE_WORK.LT003_ENTITY</v>
      </c>
      <c r="E426" s="41" t="str">
        <f>+UPPER('0. Instruções'!$D$34&amp;"."&amp;VLOOKUP(B426,'0. Instruções'!$C$27:$E$31,3,FALSE))</f>
        <v>BU_LOANTAPE_WORK.LT003_ENTTY_P3_NOV24</v>
      </c>
      <c r="F426" s="41" t="s">
        <v>132</v>
      </c>
      <c r="G426" s="41" t="s">
        <v>210</v>
      </c>
      <c r="H426" s="41"/>
      <c r="I426" s="41" t="str">
        <f>"(SELECT "&amp;VLOOKUP(B426,'0. Instruções'!$C$27:$G$31,4,FALSE)&amp;", "&amp;F426&amp;" FROM "&amp;D426&amp;" WHERE "&amp;'0. Instruções'!$D$40&amp;")X"</f>
        <v>(SELECT entty_id, GRP_EMSSNS_SCP2 FROM BU_LOANTAPE_WORK.LT003_ENTITY WHERE ref_date='${ref_date}' AND nome_perimetro='Individual Corporativo' AND segmento='ESTR' AND ambito='PILAR3')X</v>
      </c>
      <c r="J426" s="41" t="str">
        <f>"(SELECT "&amp;VLOOKUP(B426,'0. Instruções'!$C$27:$G$31,4,FALSE)&amp;" AS "&amp;VLOOKUP(B426,'0. Instruções'!$C$27:$G$31,4,FALSE)&amp;"_SIMUL, "&amp;F426&amp;" AS "&amp;F426&amp;"_SIMUL FROM "&amp;E426&amp;")Y"</f>
        <v>(SELECT entty_id AS entty_id_SIMUL, GRP_EMSSNS_SCP2 AS GRP_EMSSNS_SCP2_SIMUL FROM BU_LOANTAPE_WORK.LT003_ENTTY_P3_NOV24)Y</v>
      </c>
      <c r="K426" s="42" t="str">
        <f>+UPPER("ON X."&amp;VLOOKUP(B426,'0. Instruções'!$C$27:$G$31,4,FALSE)&amp;"=Y."&amp;VLOOKUP(B426,'0. Instruções'!$C$27:$G$31,4,FALSE)&amp;"_SIMUL")</f>
        <v>ON X.ENTTY_ID=Y.ENTTY_ID_SIMUL</v>
      </c>
      <c r="L426" s="42" t="str">
        <f>+IF(C426="Coerência", +IF(LEFT(G426,5)="FLOAT","SELECT '"&amp;UPPER(B426)&amp;"' AS TABELA, '"&amp;UPPER(C426)&amp;"' AS TIPOLOGIA_TESTE,'"&amp;D426&amp;"' AS TABELA_LT,'"&amp;E426&amp;"' AS TABELA_SIMUL,'"&amp;F426&amp;"' AS CAMPO, "&amp;"'${ref_date}' AS REF_DATE, COUNT(*) AS NUM_REG, SUM(IF((ABS(COALESCE(X."&amp;F426&amp;",0)-COALESCE(Y."&amp;F426&amp;"_SIMUL,0))&gt;0.0000000001) OR (X."&amp;F426&amp;" IS NULL AND Y."&amp;F426&amp;"_SIMUL IS NOT NULL ) OR (X."&amp;F426&amp;" IS NOT NULL AND Y."&amp;F426&amp;"_SIMUL IS NULL),1,0)) AS NUM_REG_DIF,'"&amp;MAX('ID1&amp;5'!K:K)+1&amp;"' AS ID_EXEC, CURRENT_TIMESTAMP() AS TIME_EXEC FROM "&amp;I426&amp;" INNER JOIN "&amp;J426&amp;" "&amp;K426,"SELECT '"&amp;UPPER(B426)&amp;"' AS TABELA, '"&amp;UPPER(C426)&amp;"' AS TIPOLOGIA_TESTE,'"&amp;D426&amp;"' AS TABELA_LT,'"&amp;E426&amp;"' AS TABELA_SIMUL,'"&amp;F426&amp;"' AS CAMPO, "&amp;"'${ref_date}' AS REF_DATE, COUNT(*) AS NUM_REG, SUM(IF(COALESCE(CAST(X."&amp;F426&amp;" AS STRING),'')&lt;&gt;COALESCE(CAST(Y."&amp;F426&amp;"_SIMUL AS STRING),''),1,0)) AS NUM_REG_DIF,'"&amp;MAX('ID1&amp;5'!L:L)+1&amp;"' AS ID_EXEC, CURRENT_TIMESTAMP() AS TIME_EXEC FROM "&amp;I426&amp;" INNER JOIN "&amp;J426&amp;" "&amp;K426),
IF(C426="Validade",+IF(G426="Code List","SELECT '"&amp;UPPER(B426)&amp;"' AS TABELA, '"&amp;UPPER(C426)&amp;"' AS TIPOLOGIA_TESTE,'"&amp;D426&amp;"' AS TABELA_LT,'N/A' AS TABELA_SIMUL,'"&amp;F426&amp;"' AS CAMPO, "&amp;"'${ref_date}' AS REF_DATE, COUNT(*) AS NUM_REG, SUM(IF(TRIM(CAST(X."&amp;F426&amp;" AS STRING))='' OR TRIM(CAST(X."&amp;F426&amp;" AS STRING)) IS NULL OR CAST(X."&amp;F426&amp;" AS STRING) NOT "&amp;H426&amp;",1,0)) AS NUM_REG_DIF,'"&amp;MAX('ID1&amp;5'!K:K)+1&amp;"' AS ID_EXEC, CURRENT_TIMESTAMP() AS TIME_EXEC FROM "&amp;I426,"SELECT '"&amp;UPPER(B426)&amp;"' AS TABELA, '"&amp;UPPER(C426)&amp;"' AS TIPOLOGIA_TESTE,'"&amp;D426&amp;"' AS TABELA_LT,'N/A' AS TABELA_SIMUL,'"&amp;F426&amp;"' AS CAMPO, "&amp;"'${ref_date}' AS REF_DATE, COUNT(*) AS NUM_REG, SUM(IF(TRIM(CAST(X."&amp;F426&amp;" AS STRING))='' OR TRIM(CAST(X."&amp;F426&amp;" AS STRING)) IS NULL,1,0)) AS NUM_REG_DIF,'"&amp;MAX('ID1&amp;5'!K:K)+1&amp;"' AS ID_EXEC, CURRENT_TIMESTAMP() AS TIME_EXEC FROM "&amp;I426),
IF(C426="Caracteres Especiais",+"SELECT '"&amp;UPPER(B426)&amp;"' AS TABELA, '"&amp;UPPER(C426)&amp;"' AS TIPOLOGIA_TESTE,'"&amp;D426&amp;"' AS TABELA_LT,'N/A' AS TABELA_SIMUL,'"&amp;F426&amp;"' AS CAMPO, "&amp;"'${ref_date}' AS REF_DATE, COUNT(*) AS NUM_REG, SUM(IF(INSTR(CAST(X."&amp;F426&amp;" AS STRING),'#')&gt;0 OR INSTR(CAST(X."&amp;F426&amp;" AS STRING),'*')&gt;0 OR INSTR(CAST(X."&amp;F426&amp;" AS STRING),'`')&gt;0 OR INSTR(CAST(X."&amp;F426&amp;" AS STRING),'´')&gt;0 OR INSTR(CAST(X."&amp;F426&amp;" AS STRING),'{')&gt;0 OR INSTR(CAST(X."&amp;F426&amp;" AS STRING),'}')&gt;0 OR INSTR(CAST(X."&amp;F426&amp;" AS STRING),'[')&gt;0 OR INSTR(CAST(X."&amp;F426&amp;" AS STRING),'')&gt;0 OR INSTR(CAST(X."&amp;F426&amp;" AS STRING),']')&gt;0 OR INSTR(CAST(X."&amp;F426&amp;" AS STRING),'?')&gt;0 OR INSTR(CAST(X."&amp;F426&amp;" AS STRING),'!')&gt;0 OR INSTR(CAST(X."&amp;F426&amp;" AS STRING),'$')&gt;0 OR INSTR(CAST(X."&amp;F426&amp;" AS STRING),'%')&gt;0 OR INSTR(CAST(X."&amp;F426&amp;" AS STRING),'&amp;')&gt;0 OR INSTR(CAST(X."&amp;F426&amp;" AS STRING),'+')&gt;0,1,0)) AS NUM_REG_DIF,'"&amp;MAX('ID1&amp;5'!K:K)+1&amp;"' AS ID_EXEC, CURRENT_TIMESTAMP() AS TIME_EXEC FROM "&amp;I426,
IF(C426="Missings",+"SELECT '"&amp;UPPER(B426)&amp;"' AS TABELA, '"&amp;UPPER(C426)&amp;"' AS TIPOLOGIA_TESTE,'"&amp;D426&amp;"' AS TABELA_LT,'N/A' AS TABELA_SIMUL,'"&amp;F426&amp;"' AS CAMPO, "&amp;"'${ref_date}' AS REF_DATE, COUNT(*) AS NUM_REG, SUM(IF(TRIM(CAST(X."&amp;F426&amp;" AS STRING)) IN ('0000-00-00','0001-01-01','9999-12-31','MISS','00000','99999999999','99999999999.00','99999999999.000000'),1,0)) AS NUM_REG_DIF,'"&amp;MAX('ID1&amp;5'!K:K)+1&amp;"' AS ID_EXEC, CURRENT_TIMESTAMP() AS TIME_EXEC FROM "&amp;I426,
IF(C426="Not applicable",+"SELECT '"&amp;UPPER(B426)&amp;"' AS TABELA, '"&amp;UPPER(C426)&amp;"' AS TIPOLOGIA_TESTE,'"&amp;D426&amp;"' AS TABELA_LT,'N/A' AS TABELA_SIMUL,'"&amp;F426&amp;"' AS CAMPO, "&amp;"'${ref_date}' AS REF_DATE, COUNT(*) AS NUM_REG, SUM(IF(TRIM(CAST(X."&amp;F426&amp;" AS STRING)) IN ('N/A','11111111111','11111111111.00','11111111111.000000','1111-11-11'),1,0)) AS NUM_REG_DIF,'"&amp;MAX('ID1&amp;5'!K:K)+1&amp;"' AS ID_EXEC, CURRENT_TIMESTAMP() AS TIME_EXEC FROM "&amp;I426,
IF(C426="Valores extremos",+"SELECT '"&amp;UPPER(B426)&amp;"' AS TABELA, '"&amp;UPPER(C426)&amp;"' AS TIPOLOGIA_TESTE,'"&amp;D426&amp;"' AS TABELA_LT,'N/A' AS TABELA_SIMUL,'"&amp;F426&amp;"' AS CAMPO, "&amp;"'${ref_date}' AS REF_DATE, CAST(MIN("&amp;F426&amp;") AS STRING) AS VALOR_MIN, CAST(MAX("&amp;F426&amp;") AS STRING) AS VALOR_MAX,'"&amp;MAX('ID1&amp;5'!K:K)+1&amp;"' AS ID_EXEC, CURRENT_TIMESTAMP() AS TIME_EXEC FROM "&amp;MID(I426,1,LEN(I426)-2)&amp;" AND CAST("&amp;F426&amp;"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TABELA_SIMUL,'GRP_EMSSNS_SCP2' AS CAMPO, '${ref_date}' AS REF_DATE, COUNT(*) AS NUM_REG, SUM(IF(TRIM(CAST(X.GRP_EMSSNS_SCP2 AS STRING)) IN ('N/A','11111111111','11111111111.00','11111111111.000000','1111-11-11'),1,0)) AS NUM_REG_DIF,'10' AS ID_EXEC, CURRENT_TIMESTAMP() AS TIME_EXEC FROM (SELECT entty_id, GRP_EMSSNS_SCP2 FROM BU_LOANTAPE_WORK.LT003_ENTITY WHERE ref_date='${ref_date}' AND nome_perimetro='Individual Corporativo' AND segmento='ESTR' AND ambito='PILAR3')X</v>
      </c>
      <c r="M426" s="43" t="str">
        <f t="shared" si="7"/>
        <v>UNION ALL SELECT 'ENTITY' AS TABELA, 'NOT APPLICABLE' AS TIPOLOGIA_TESTE,'BU_LOANTAPE_WORK.LT003_ENTITY' AS TABELA_LT,'N/A' AS TABELA_SIMUL,'GRP_EMSSNS_SCP2' AS CAMPO, '${ref_date}' AS REF_DATE, COUNT(*) AS NUM_REG, SUM(IF(TRIM(CAST(X.GRP_EMSSNS_SCP2 AS STRING)) IN ('N/A','11111111111','11111111111.00','11111111111.000000','1111-11-11'),1,0)) AS NUM_REG_DIF,'10' AS ID_EXEC, CURRENT_TIMESTAMP() AS TIME_EXEC FROM (SELECT entty_id, GRP_EMSSNS_SCP2 FROM BU_LOANTAPE_WORK.LT003_ENTITY WHERE ref_date='${ref_date}' AND nome_perimetro='Individual Corporativo' AND segmento='ESTR' AND ambito='PILAR3')X</v>
      </c>
      <c r="N426" s="45" t="s">
        <v>13</v>
      </c>
    </row>
    <row r="427" spans="2:14">
      <c r="B427" s="41" t="s">
        <v>23</v>
      </c>
      <c r="C427" s="41" t="s">
        <v>78</v>
      </c>
      <c r="D427" s="41" t="str">
        <f>+UPPER('0. Instruções'!$D$33&amp;"."&amp;VLOOKUP(B427,'0. Instruções'!$C$27:$D$31,2,FALSE))</f>
        <v>BU_LOANTAPE_WORK.LT003_ENTITY</v>
      </c>
      <c r="E427" s="41" t="str">
        <f>+UPPER('0. Instruções'!$D$34&amp;"."&amp;VLOOKUP(B427,'0. Instruções'!$C$27:$E$31,3,FALSE))</f>
        <v>BU_LOANTAPE_WORK.LT003_ENTTY_P3_NOV24</v>
      </c>
      <c r="F427" s="41" t="s">
        <v>133</v>
      </c>
      <c r="G427" s="41" t="s">
        <v>210</v>
      </c>
      <c r="H427" s="41"/>
      <c r="I427" s="41" t="str">
        <f>"(SELECT "&amp;VLOOKUP(B427,'0. Instruções'!$C$27:$G$31,4,FALSE)&amp;", "&amp;F427&amp;" FROM "&amp;D427&amp;" WHERE "&amp;'0. Instruções'!$D$40&amp;")X"</f>
        <v>(SELECT entty_id, GRP_EMSSNS_SCP3 FROM BU_LOANTAPE_WORK.LT003_ENTITY WHERE ref_date='${ref_date}' AND nome_perimetro='Individual Corporativo' AND segmento='ESTR' AND ambito='PILAR3')X</v>
      </c>
      <c r="J427" s="41" t="str">
        <f>"(SELECT "&amp;VLOOKUP(B427,'0. Instruções'!$C$27:$G$31,4,FALSE)&amp;" AS "&amp;VLOOKUP(B427,'0. Instruções'!$C$27:$G$31,4,FALSE)&amp;"_SIMUL, "&amp;F427&amp;" AS "&amp;F427&amp;"_SIMUL FROM "&amp;E427&amp;")Y"</f>
        <v>(SELECT entty_id AS entty_id_SIMUL, GRP_EMSSNS_SCP3 AS GRP_EMSSNS_SCP3_SIMUL FROM BU_LOANTAPE_WORK.LT003_ENTTY_P3_NOV24)Y</v>
      </c>
      <c r="K427" s="42" t="str">
        <f>+UPPER("ON X."&amp;VLOOKUP(B427,'0. Instruções'!$C$27:$G$31,4,FALSE)&amp;"=Y."&amp;VLOOKUP(B427,'0. Instruções'!$C$27:$G$31,4,FALSE)&amp;"_SIMUL")</f>
        <v>ON X.ENTTY_ID=Y.ENTTY_ID_SIMUL</v>
      </c>
      <c r="L427" s="42" t="str">
        <f>+IF(C427="Coerência", +IF(LEFT(G427,5)="FLOAT","SELECT '"&amp;UPPER(B427)&amp;"' AS TABELA, '"&amp;UPPER(C427)&amp;"' AS TIPOLOGIA_TESTE,'"&amp;D427&amp;"' AS TABELA_LT,'"&amp;E427&amp;"' AS TABELA_SIMUL,'"&amp;F427&amp;"' AS CAMPO, "&amp;"'${ref_date}' AS REF_DATE, COUNT(*) AS NUM_REG, SUM(IF((ABS(COALESCE(X."&amp;F427&amp;",0)-COALESCE(Y."&amp;F427&amp;"_SIMUL,0))&gt;0.0000000001) OR (X."&amp;F427&amp;" IS NULL AND Y."&amp;F427&amp;"_SIMUL IS NOT NULL ) OR (X."&amp;F427&amp;" IS NOT NULL AND Y."&amp;F427&amp;"_SIMUL IS NULL),1,0)) AS NUM_REG_DIF,'"&amp;MAX('ID1&amp;5'!K:K)+1&amp;"' AS ID_EXEC, CURRENT_TIMESTAMP() AS TIME_EXEC FROM "&amp;I427&amp;" INNER JOIN "&amp;J427&amp;" "&amp;K427,"SELECT '"&amp;UPPER(B427)&amp;"' AS TABELA, '"&amp;UPPER(C427)&amp;"' AS TIPOLOGIA_TESTE,'"&amp;D427&amp;"' AS TABELA_LT,'"&amp;E427&amp;"' AS TABELA_SIMUL,'"&amp;F427&amp;"' AS CAMPO, "&amp;"'${ref_date}' AS REF_DATE, COUNT(*) AS NUM_REG, SUM(IF(COALESCE(CAST(X."&amp;F427&amp;" AS STRING),'')&lt;&gt;COALESCE(CAST(Y."&amp;F427&amp;"_SIMUL AS STRING),''),1,0)) AS NUM_REG_DIF,'"&amp;MAX('ID1&amp;5'!L:L)+1&amp;"' AS ID_EXEC, CURRENT_TIMESTAMP() AS TIME_EXEC FROM "&amp;I427&amp;" INNER JOIN "&amp;J427&amp;" "&amp;K427),
IF(C427="Validade",+IF(G427="Code List","SELECT '"&amp;UPPER(B427)&amp;"' AS TABELA, '"&amp;UPPER(C427)&amp;"' AS TIPOLOGIA_TESTE,'"&amp;D427&amp;"' AS TABELA_LT,'N/A' AS TABELA_SIMUL,'"&amp;F427&amp;"' AS CAMPO, "&amp;"'${ref_date}' AS REF_DATE, COUNT(*) AS NUM_REG, SUM(IF(TRIM(CAST(X."&amp;F427&amp;" AS STRING))='' OR TRIM(CAST(X."&amp;F427&amp;" AS STRING)) IS NULL OR CAST(X."&amp;F427&amp;" AS STRING) NOT "&amp;H427&amp;",1,0)) AS NUM_REG_DIF,'"&amp;MAX('ID1&amp;5'!K:K)+1&amp;"' AS ID_EXEC, CURRENT_TIMESTAMP() AS TIME_EXEC FROM "&amp;I427,"SELECT '"&amp;UPPER(B427)&amp;"' AS TABELA, '"&amp;UPPER(C427)&amp;"' AS TIPOLOGIA_TESTE,'"&amp;D427&amp;"' AS TABELA_LT,'N/A' AS TABELA_SIMUL,'"&amp;F427&amp;"' AS CAMPO, "&amp;"'${ref_date}' AS REF_DATE, COUNT(*) AS NUM_REG, SUM(IF(TRIM(CAST(X."&amp;F427&amp;" AS STRING))='' OR TRIM(CAST(X."&amp;F427&amp;" AS STRING)) IS NULL,1,0)) AS NUM_REG_DIF,'"&amp;MAX('ID1&amp;5'!K:K)+1&amp;"' AS ID_EXEC, CURRENT_TIMESTAMP() AS TIME_EXEC FROM "&amp;I427),
IF(C427="Caracteres Especiais",+"SELECT '"&amp;UPPER(B427)&amp;"' AS TABELA, '"&amp;UPPER(C427)&amp;"' AS TIPOLOGIA_TESTE,'"&amp;D427&amp;"' AS TABELA_LT,'N/A' AS TABELA_SIMUL,'"&amp;F427&amp;"' AS CAMPO, "&amp;"'${ref_date}' AS REF_DATE, COUNT(*) AS NUM_REG, SUM(IF(INSTR(CAST(X."&amp;F427&amp;" AS STRING),'#')&gt;0 OR INSTR(CAST(X."&amp;F427&amp;" AS STRING),'*')&gt;0 OR INSTR(CAST(X."&amp;F427&amp;" AS STRING),'`')&gt;0 OR INSTR(CAST(X."&amp;F427&amp;" AS STRING),'´')&gt;0 OR INSTR(CAST(X."&amp;F427&amp;" AS STRING),'{')&gt;0 OR INSTR(CAST(X."&amp;F427&amp;" AS STRING),'}')&gt;0 OR INSTR(CAST(X."&amp;F427&amp;" AS STRING),'[')&gt;0 OR INSTR(CAST(X."&amp;F427&amp;" AS STRING),'')&gt;0 OR INSTR(CAST(X."&amp;F427&amp;" AS STRING),']')&gt;0 OR INSTR(CAST(X."&amp;F427&amp;" AS STRING),'?')&gt;0 OR INSTR(CAST(X."&amp;F427&amp;" AS STRING),'!')&gt;0 OR INSTR(CAST(X."&amp;F427&amp;" AS STRING),'$')&gt;0 OR INSTR(CAST(X."&amp;F427&amp;" AS STRING),'%')&gt;0 OR INSTR(CAST(X."&amp;F427&amp;" AS STRING),'&amp;')&gt;0 OR INSTR(CAST(X."&amp;F427&amp;" AS STRING),'+')&gt;0,1,0)) AS NUM_REG_DIF,'"&amp;MAX('ID1&amp;5'!K:K)+1&amp;"' AS ID_EXEC, CURRENT_TIMESTAMP() AS TIME_EXEC FROM "&amp;I427,
IF(C427="Missings",+"SELECT '"&amp;UPPER(B427)&amp;"' AS TABELA, '"&amp;UPPER(C427)&amp;"' AS TIPOLOGIA_TESTE,'"&amp;D427&amp;"' AS TABELA_LT,'N/A' AS TABELA_SIMUL,'"&amp;F427&amp;"' AS CAMPO, "&amp;"'${ref_date}' AS REF_DATE, COUNT(*) AS NUM_REG, SUM(IF(TRIM(CAST(X."&amp;F427&amp;" AS STRING)) IN ('0000-00-00','0001-01-01','9999-12-31','MISS','00000','99999999999','99999999999.00','99999999999.000000'),1,0)) AS NUM_REG_DIF,'"&amp;MAX('ID1&amp;5'!K:K)+1&amp;"' AS ID_EXEC, CURRENT_TIMESTAMP() AS TIME_EXEC FROM "&amp;I427,
IF(C427="Not applicable",+"SELECT '"&amp;UPPER(B427)&amp;"' AS TABELA, '"&amp;UPPER(C427)&amp;"' AS TIPOLOGIA_TESTE,'"&amp;D427&amp;"' AS TABELA_LT,'N/A' AS TABELA_SIMUL,'"&amp;F427&amp;"' AS CAMPO, "&amp;"'${ref_date}' AS REF_DATE, COUNT(*) AS NUM_REG, SUM(IF(TRIM(CAST(X."&amp;F427&amp;" AS STRING)) IN ('N/A','11111111111','11111111111.00','11111111111.000000','1111-11-11'),1,0)) AS NUM_REG_DIF,'"&amp;MAX('ID1&amp;5'!K:K)+1&amp;"' AS ID_EXEC, CURRENT_TIMESTAMP() AS TIME_EXEC FROM "&amp;I427,
IF(C427="Valores extremos",+"SELECT '"&amp;UPPER(B427)&amp;"' AS TABELA, '"&amp;UPPER(C427)&amp;"' AS TIPOLOGIA_TESTE,'"&amp;D427&amp;"' AS TABELA_LT,'N/A' AS TABELA_SIMUL,'"&amp;F427&amp;"' AS CAMPO, "&amp;"'${ref_date}' AS REF_DATE, CAST(MIN("&amp;F427&amp;") AS STRING) AS VALOR_MIN, CAST(MAX("&amp;F427&amp;") AS STRING) AS VALOR_MAX,'"&amp;MAX('ID1&amp;5'!K:K)+1&amp;"' AS ID_EXEC, CURRENT_TIMESTAMP() AS TIME_EXEC FROM "&amp;MID(I427,1,LEN(I427)-2)&amp;" AND CAST("&amp;F427&amp;"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TABELA_SIMUL,'GRP_EMSSNS_SCP3' AS CAMPO, '${ref_date}' AS REF_DATE, COUNT(*) AS NUM_REG, SUM(IF(TRIM(CAST(X.GRP_EMSSNS_SCP3 AS STRING)) IN ('N/A','11111111111','11111111111.00','11111111111.000000','1111-11-11'),1,0)) AS NUM_REG_DIF,'10' AS ID_EXEC, CURRENT_TIMESTAMP() AS TIME_EXEC FROM (SELECT entty_id, GRP_EMSSNS_SCP3 FROM BU_LOANTAPE_WORK.LT003_ENTITY WHERE ref_date='${ref_date}' AND nome_perimetro='Individual Corporativo' AND segmento='ESTR' AND ambito='PILAR3')X</v>
      </c>
      <c r="M427" s="43" t="str">
        <f t="shared" si="7"/>
        <v>UNION ALL SELECT 'ENTITY' AS TABELA, 'NOT APPLICABLE' AS TIPOLOGIA_TESTE,'BU_LOANTAPE_WORK.LT003_ENTITY' AS TABELA_LT,'N/A' AS TABELA_SIMUL,'GRP_EMSSNS_SCP3' AS CAMPO, '${ref_date}' AS REF_DATE, COUNT(*) AS NUM_REG, SUM(IF(TRIM(CAST(X.GRP_EMSSNS_SCP3 AS STRING)) IN ('N/A','11111111111','11111111111.00','11111111111.000000','1111-11-11'),1,0)) AS NUM_REG_DIF,'10' AS ID_EXEC, CURRENT_TIMESTAMP() AS TIME_EXEC FROM (SELECT entty_id, GRP_EMSSNS_SCP3 FROM BU_LOANTAPE_WORK.LT003_ENTITY WHERE ref_date='${ref_date}' AND nome_perimetro='Individual Corporativo' AND segmento='ESTR' AND ambito='PILAR3')X</v>
      </c>
      <c r="N427" s="45" t="s">
        <v>13</v>
      </c>
    </row>
    <row r="428" spans="2:14">
      <c r="B428" s="41" t="s">
        <v>23</v>
      </c>
      <c r="C428" s="41" t="s">
        <v>78</v>
      </c>
      <c r="D428" s="41" t="str">
        <f>+UPPER('0. Instruções'!$D$33&amp;"."&amp;VLOOKUP(B428,'0. Instruções'!$C$27:$D$31,2,FALSE))</f>
        <v>BU_LOANTAPE_WORK.LT003_ENTITY</v>
      </c>
      <c r="E428" s="41" t="str">
        <f>+UPPER('0. Instruções'!$D$34&amp;"."&amp;VLOOKUP(B428,'0. Instruções'!$C$27:$E$31,3,FALSE))</f>
        <v>BU_LOANTAPE_WORK.LT003_ENTTY_P3_NOV24</v>
      </c>
      <c r="F428" s="41" t="s">
        <v>181</v>
      </c>
      <c r="G428" s="41" t="s">
        <v>13</v>
      </c>
      <c r="H428" s="41"/>
      <c r="I428" s="41" t="str">
        <f>"(SELECT "&amp;VLOOKUP(B428,'0. Instruções'!$C$27:$G$31,4,FALSE)&amp;", "&amp;F428&amp;" FROM "&amp;D428&amp;" WHERE "&amp;'0. Instruções'!$D$40&amp;")X"</f>
        <v>(SELECT entty_id, CNTRY FROM BU_LOANTAPE_WORK.LT003_ENTITY WHERE ref_date='${ref_date}' AND nome_perimetro='Individual Corporativo' AND segmento='ESTR' AND ambito='PILAR3')X</v>
      </c>
      <c r="J428" s="41" t="str">
        <f>"(SELECT "&amp;VLOOKUP(B428,'0. Instruções'!$C$27:$G$31,4,FALSE)&amp;" AS "&amp;VLOOKUP(B428,'0. Instruções'!$C$27:$G$31,4,FALSE)&amp;"_SIMUL, "&amp;F428&amp;" AS "&amp;F428&amp;"_SIMUL FROM "&amp;E428&amp;")Y"</f>
        <v>(SELECT entty_id AS entty_id_SIMUL, CNTRY AS CNTRY_SIMUL FROM BU_LOANTAPE_WORK.LT003_ENTTY_P3_NOV24)Y</v>
      </c>
      <c r="K428" s="42" t="str">
        <f>+UPPER("ON X."&amp;VLOOKUP(B428,'0. Instruções'!$C$27:$G$31,4,FALSE)&amp;"=Y."&amp;VLOOKUP(B428,'0. Instruções'!$C$27:$G$31,4,FALSE)&amp;"_SIMUL")</f>
        <v>ON X.ENTTY_ID=Y.ENTTY_ID_SIMUL</v>
      </c>
      <c r="L428" s="42" t="str">
        <f>+IF(C428="Coerência", +IF(LEFT(G428,5)="FLOAT","SELECT '"&amp;UPPER(B428)&amp;"' AS TABELA, '"&amp;UPPER(C428)&amp;"' AS TIPOLOGIA_TESTE,'"&amp;D428&amp;"' AS TABELA_LT,'"&amp;E428&amp;"' AS TABELA_SIMUL,'"&amp;F428&amp;"' AS CAMPO, "&amp;"'${ref_date}' AS REF_DATE, COUNT(*) AS NUM_REG, SUM(IF((ABS(COALESCE(X."&amp;F428&amp;",0)-COALESCE(Y."&amp;F428&amp;"_SIMUL,0))&gt;0.0000000001) OR (X."&amp;F428&amp;" IS NULL AND Y."&amp;F428&amp;"_SIMUL IS NOT NULL ) OR (X."&amp;F428&amp;" IS NOT NULL AND Y."&amp;F428&amp;"_SIMUL IS NULL),1,0)) AS NUM_REG_DIF,'"&amp;MAX('ID1&amp;5'!K:K)+1&amp;"' AS ID_EXEC, CURRENT_TIMESTAMP() AS TIME_EXEC FROM "&amp;I428&amp;" INNER JOIN "&amp;J428&amp;" "&amp;K428,"SELECT '"&amp;UPPER(B428)&amp;"' AS TABELA, '"&amp;UPPER(C428)&amp;"' AS TIPOLOGIA_TESTE,'"&amp;D428&amp;"' AS TABELA_LT,'"&amp;E428&amp;"' AS TABELA_SIMUL,'"&amp;F428&amp;"' AS CAMPO, "&amp;"'${ref_date}' AS REF_DATE, COUNT(*) AS NUM_REG, SUM(IF(COALESCE(CAST(X."&amp;F428&amp;" AS STRING),'')&lt;&gt;COALESCE(CAST(Y."&amp;F428&amp;"_SIMUL AS STRING),''),1,0)) AS NUM_REG_DIF,'"&amp;MAX('ID1&amp;5'!L:L)+1&amp;"' AS ID_EXEC, CURRENT_TIMESTAMP() AS TIME_EXEC FROM "&amp;I428&amp;" INNER JOIN "&amp;J428&amp;" "&amp;K428),
IF(C428="Validade",+IF(G428="Code List","SELECT '"&amp;UPPER(B428)&amp;"' AS TABELA, '"&amp;UPPER(C428)&amp;"' AS TIPOLOGIA_TESTE,'"&amp;D428&amp;"' AS TABELA_LT,'N/A' AS TABELA_SIMUL,'"&amp;F428&amp;"' AS CAMPO, "&amp;"'${ref_date}' AS REF_DATE, COUNT(*) AS NUM_REG, SUM(IF(TRIM(CAST(X."&amp;F428&amp;" AS STRING))='' OR TRIM(CAST(X."&amp;F428&amp;" AS STRING)) IS NULL OR CAST(X."&amp;F428&amp;" AS STRING) NOT "&amp;H428&amp;",1,0)) AS NUM_REG_DIF,'"&amp;MAX('ID1&amp;5'!K:K)+1&amp;"' AS ID_EXEC, CURRENT_TIMESTAMP() AS TIME_EXEC FROM "&amp;I428,"SELECT '"&amp;UPPER(B428)&amp;"' AS TABELA, '"&amp;UPPER(C428)&amp;"' AS TIPOLOGIA_TESTE,'"&amp;D428&amp;"' AS TABELA_LT,'N/A' AS TABELA_SIMUL,'"&amp;F428&amp;"' AS CAMPO, "&amp;"'${ref_date}' AS REF_DATE, COUNT(*) AS NUM_REG, SUM(IF(TRIM(CAST(X."&amp;F428&amp;" AS STRING))='' OR TRIM(CAST(X."&amp;F428&amp;" AS STRING)) IS NULL,1,0)) AS NUM_REG_DIF,'"&amp;MAX('ID1&amp;5'!K:K)+1&amp;"' AS ID_EXEC, CURRENT_TIMESTAMP() AS TIME_EXEC FROM "&amp;I428),
IF(C428="Caracteres Especiais",+"SELECT '"&amp;UPPER(B428)&amp;"' AS TABELA, '"&amp;UPPER(C428)&amp;"' AS TIPOLOGIA_TESTE,'"&amp;D428&amp;"' AS TABELA_LT,'N/A' AS TABELA_SIMUL,'"&amp;F428&amp;"' AS CAMPO, "&amp;"'${ref_date}' AS REF_DATE, COUNT(*) AS NUM_REG, SUM(IF(INSTR(CAST(X."&amp;F428&amp;" AS STRING),'#')&gt;0 OR INSTR(CAST(X."&amp;F428&amp;" AS STRING),'*')&gt;0 OR INSTR(CAST(X."&amp;F428&amp;" AS STRING),'`')&gt;0 OR INSTR(CAST(X."&amp;F428&amp;" AS STRING),'´')&gt;0 OR INSTR(CAST(X."&amp;F428&amp;" AS STRING),'{')&gt;0 OR INSTR(CAST(X."&amp;F428&amp;" AS STRING),'}')&gt;0 OR INSTR(CAST(X."&amp;F428&amp;" AS STRING),'[')&gt;0 OR INSTR(CAST(X."&amp;F428&amp;" AS STRING),'')&gt;0 OR INSTR(CAST(X."&amp;F428&amp;" AS STRING),']')&gt;0 OR INSTR(CAST(X."&amp;F428&amp;" AS STRING),'?')&gt;0 OR INSTR(CAST(X."&amp;F428&amp;" AS STRING),'!')&gt;0 OR INSTR(CAST(X."&amp;F428&amp;" AS STRING),'$')&gt;0 OR INSTR(CAST(X."&amp;F428&amp;" AS STRING),'%')&gt;0 OR INSTR(CAST(X."&amp;F428&amp;" AS STRING),'&amp;')&gt;0 OR INSTR(CAST(X."&amp;F428&amp;" AS STRING),'+')&gt;0,1,0)) AS NUM_REG_DIF,'"&amp;MAX('ID1&amp;5'!K:K)+1&amp;"' AS ID_EXEC, CURRENT_TIMESTAMP() AS TIME_EXEC FROM "&amp;I428,
IF(C428="Missings",+"SELECT '"&amp;UPPER(B428)&amp;"' AS TABELA, '"&amp;UPPER(C428)&amp;"' AS TIPOLOGIA_TESTE,'"&amp;D428&amp;"' AS TABELA_LT,'N/A' AS TABELA_SIMUL,'"&amp;F428&amp;"' AS CAMPO, "&amp;"'${ref_date}' AS REF_DATE, COUNT(*) AS NUM_REG, SUM(IF(TRIM(CAST(X."&amp;F428&amp;" AS STRING)) IN ('0000-00-00','0001-01-01','9999-12-31','MISS','00000','99999999999','99999999999.00','99999999999.000000'),1,0)) AS NUM_REG_DIF,'"&amp;MAX('ID1&amp;5'!K:K)+1&amp;"' AS ID_EXEC, CURRENT_TIMESTAMP() AS TIME_EXEC FROM "&amp;I428,
IF(C428="Not applicable",+"SELECT '"&amp;UPPER(B428)&amp;"' AS TABELA, '"&amp;UPPER(C428)&amp;"' AS TIPOLOGIA_TESTE,'"&amp;D428&amp;"' AS TABELA_LT,'N/A' AS TABELA_SIMUL,'"&amp;F428&amp;"' AS CAMPO, "&amp;"'${ref_date}' AS REF_DATE, COUNT(*) AS NUM_REG, SUM(IF(TRIM(CAST(X."&amp;F428&amp;" AS STRING)) IN ('N/A','11111111111','11111111111.00','11111111111.000000','1111-11-11'),1,0)) AS NUM_REG_DIF,'"&amp;MAX('ID1&amp;5'!K:K)+1&amp;"' AS ID_EXEC, CURRENT_TIMESTAMP() AS TIME_EXEC FROM "&amp;I428,
IF(C428="Valores extremos",+"SELECT '"&amp;UPPER(B428)&amp;"' AS TABELA, '"&amp;UPPER(C428)&amp;"' AS TIPOLOGIA_TESTE,'"&amp;D428&amp;"' AS TABELA_LT,'N/A' AS TABELA_SIMUL,'"&amp;F428&amp;"' AS CAMPO, "&amp;"'${ref_date}' AS REF_DATE, CAST(MIN("&amp;F428&amp;") AS STRING) AS VALOR_MIN, CAST(MAX("&amp;F428&amp;") AS STRING) AS VALOR_MAX,'"&amp;MAX('ID1&amp;5'!K:K)+1&amp;"' AS ID_EXEC, CURRENT_TIMESTAMP() AS TIME_EXEC FROM "&amp;MID(I428,1,LEN(I428)-2)&amp;" AND CAST("&amp;F428&amp;"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TABELA_SIMUL,'CNTRY' AS CAMPO, '${ref_date}' AS REF_DATE, COUNT(*) AS NUM_REG, SUM(IF(TRIM(CAST(X.CNTRY AS STRING)) IN ('N/A','11111111111','11111111111.00','11111111111.000000','1111-11-11'),1,0)) AS NUM_REG_DIF,'10' AS ID_EXEC, CURRENT_TIMESTAMP() AS TIME_EXEC FROM (SELECT entty_id, CNTRY FROM BU_LOANTAPE_WORK.LT003_ENTITY WHERE ref_date='${ref_date}' AND nome_perimetro='Individual Corporativo' AND segmento='ESTR' AND ambito='PILAR3')X</v>
      </c>
      <c r="M428" s="43" t="str">
        <f t="shared" si="7"/>
        <v>UNION ALL SELECT 'ENTITY' AS TABELA, 'NOT APPLICABLE' AS TIPOLOGIA_TESTE,'BU_LOANTAPE_WORK.LT003_ENTITY' AS TABELA_LT,'N/A' AS TABELA_SIMUL,'CNTRY' AS CAMPO, '${ref_date}' AS REF_DATE, COUNT(*) AS NUM_REG, SUM(IF(TRIM(CAST(X.CNTRY AS STRING)) IN ('N/A','11111111111','11111111111.00','11111111111.000000','1111-11-11'),1,0)) AS NUM_REG_DIF,'10' AS ID_EXEC, CURRENT_TIMESTAMP() AS TIME_EXEC FROM (SELECT entty_id, CNTRY FROM BU_LOANTAPE_WORK.LT003_ENTITY WHERE ref_date='${ref_date}' AND nome_perimetro='Individual Corporativo' AND segmento='ESTR' AND ambito='PILAR3')X</v>
      </c>
      <c r="N428" s="45" t="s">
        <v>13</v>
      </c>
    </row>
    <row r="429" spans="2:14">
      <c r="B429" s="41" t="s">
        <v>23</v>
      </c>
      <c r="C429" s="41" t="s">
        <v>78</v>
      </c>
      <c r="D429" s="41" t="str">
        <f>+UPPER('0. Instruções'!$D$33&amp;"."&amp;VLOOKUP(B429,'0. Instruções'!$C$27:$D$31,2,FALSE))</f>
        <v>BU_LOANTAPE_WORK.LT003_ENTITY</v>
      </c>
      <c r="E429" s="41" t="str">
        <f>+UPPER('0. Instruções'!$D$34&amp;"."&amp;VLOOKUP(B429,'0. Instruções'!$C$27:$E$31,3,FALSE))</f>
        <v>BU_LOANTAPE_WORK.LT003_ENTTY_P3_NOV24</v>
      </c>
      <c r="F429" s="41" t="s">
        <v>156</v>
      </c>
      <c r="G429" s="41" t="s">
        <v>13</v>
      </c>
      <c r="H429" s="41"/>
      <c r="I429" s="41" t="str">
        <f>"(SELECT "&amp;VLOOKUP(B429,'0. Instruções'!$C$27:$G$31,4,FALSE)&amp;", "&amp;F429&amp;" FROM "&amp;D429&amp;" WHERE "&amp;'0. Instruções'!$D$40&amp;")X"</f>
        <v>(SELECT entty_id, DT_RFRNC FROM BU_LOANTAPE_WORK.LT003_ENTITY WHERE ref_date='${ref_date}' AND nome_perimetro='Individual Corporativo' AND segmento='ESTR' AND ambito='PILAR3')X</v>
      </c>
      <c r="J429" s="41" t="str">
        <f>"(SELECT "&amp;VLOOKUP(B429,'0. Instruções'!$C$27:$G$31,4,FALSE)&amp;" AS "&amp;VLOOKUP(B429,'0. Instruções'!$C$27:$G$31,4,FALSE)&amp;"_SIMUL, "&amp;F429&amp;" AS "&amp;F429&amp;"_SIMUL FROM "&amp;E429&amp;")Y"</f>
        <v>(SELECT entty_id AS entty_id_SIMUL, DT_RFRNC AS DT_RFRNC_SIMUL FROM BU_LOANTAPE_WORK.LT003_ENTTY_P3_NOV24)Y</v>
      </c>
      <c r="K429" s="42" t="str">
        <f>+UPPER("ON X."&amp;VLOOKUP(B429,'0. Instruções'!$C$27:$G$31,4,FALSE)&amp;"=Y."&amp;VLOOKUP(B429,'0. Instruções'!$C$27:$G$31,4,FALSE)&amp;"_SIMUL")</f>
        <v>ON X.ENTTY_ID=Y.ENTTY_ID_SIMUL</v>
      </c>
      <c r="L429" s="42" t="str">
        <f>+IF(C429="Coerência", +IF(LEFT(G429,5)="FLOAT","SELECT '"&amp;UPPER(B429)&amp;"' AS TABELA, '"&amp;UPPER(C429)&amp;"' AS TIPOLOGIA_TESTE,'"&amp;D429&amp;"' AS TABELA_LT,'"&amp;E429&amp;"' AS TABELA_SIMUL,'"&amp;F429&amp;"' AS CAMPO, "&amp;"'${ref_date}' AS REF_DATE, COUNT(*) AS NUM_REG, SUM(IF((ABS(COALESCE(X."&amp;F429&amp;",0)-COALESCE(Y."&amp;F429&amp;"_SIMUL,0))&gt;0.0000000001) OR (X."&amp;F429&amp;" IS NULL AND Y."&amp;F429&amp;"_SIMUL IS NOT NULL ) OR (X."&amp;F429&amp;" IS NOT NULL AND Y."&amp;F429&amp;"_SIMUL IS NULL),1,0)) AS NUM_REG_DIF,'"&amp;MAX('ID1&amp;5'!K:K)+1&amp;"' AS ID_EXEC, CURRENT_TIMESTAMP() AS TIME_EXEC FROM "&amp;I429&amp;" INNER JOIN "&amp;J429&amp;" "&amp;K429,"SELECT '"&amp;UPPER(B429)&amp;"' AS TABELA, '"&amp;UPPER(C429)&amp;"' AS TIPOLOGIA_TESTE,'"&amp;D429&amp;"' AS TABELA_LT,'"&amp;E429&amp;"' AS TABELA_SIMUL,'"&amp;F429&amp;"' AS CAMPO, "&amp;"'${ref_date}' AS REF_DATE, COUNT(*) AS NUM_REG, SUM(IF(COALESCE(CAST(X."&amp;F429&amp;" AS STRING),'')&lt;&gt;COALESCE(CAST(Y."&amp;F429&amp;"_SIMUL AS STRING),''),1,0)) AS NUM_REG_DIF,'"&amp;MAX('ID1&amp;5'!L:L)+1&amp;"' AS ID_EXEC, CURRENT_TIMESTAMP() AS TIME_EXEC FROM "&amp;I429&amp;" INNER JOIN "&amp;J429&amp;" "&amp;K429),
IF(C429="Validade",+IF(G429="Code List","SELECT '"&amp;UPPER(B429)&amp;"' AS TABELA, '"&amp;UPPER(C429)&amp;"' AS TIPOLOGIA_TESTE,'"&amp;D429&amp;"' AS TABELA_LT,'N/A' AS TABELA_SIMUL,'"&amp;F429&amp;"' AS CAMPO, "&amp;"'${ref_date}' AS REF_DATE, COUNT(*) AS NUM_REG, SUM(IF(TRIM(CAST(X."&amp;F429&amp;" AS STRING))='' OR TRIM(CAST(X."&amp;F429&amp;" AS STRING)) IS NULL OR CAST(X."&amp;F429&amp;" AS STRING) NOT "&amp;H429&amp;",1,0)) AS NUM_REG_DIF,'"&amp;MAX('ID1&amp;5'!K:K)+1&amp;"' AS ID_EXEC, CURRENT_TIMESTAMP() AS TIME_EXEC FROM "&amp;I429,"SELECT '"&amp;UPPER(B429)&amp;"' AS TABELA, '"&amp;UPPER(C429)&amp;"' AS TIPOLOGIA_TESTE,'"&amp;D429&amp;"' AS TABELA_LT,'N/A' AS TABELA_SIMUL,'"&amp;F429&amp;"' AS CAMPO, "&amp;"'${ref_date}' AS REF_DATE, COUNT(*) AS NUM_REG, SUM(IF(TRIM(CAST(X."&amp;F429&amp;" AS STRING))='' OR TRIM(CAST(X."&amp;F429&amp;" AS STRING)) IS NULL,1,0)) AS NUM_REG_DIF,'"&amp;MAX('ID1&amp;5'!K:K)+1&amp;"' AS ID_EXEC, CURRENT_TIMESTAMP() AS TIME_EXEC FROM "&amp;I429),
IF(C429="Caracteres Especiais",+"SELECT '"&amp;UPPER(B429)&amp;"' AS TABELA, '"&amp;UPPER(C429)&amp;"' AS TIPOLOGIA_TESTE,'"&amp;D429&amp;"' AS TABELA_LT,'N/A' AS TABELA_SIMUL,'"&amp;F429&amp;"' AS CAMPO, "&amp;"'${ref_date}' AS REF_DATE, COUNT(*) AS NUM_REG, SUM(IF(INSTR(CAST(X."&amp;F429&amp;" AS STRING),'#')&gt;0 OR INSTR(CAST(X."&amp;F429&amp;" AS STRING),'*')&gt;0 OR INSTR(CAST(X."&amp;F429&amp;" AS STRING),'`')&gt;0 OR INSTR(CAST(X."&amp;F429&amp;" AS STRING),'´')&gt;0 OR INSTR(CAST(X."&amp;F429&amp;" AS STRING),'{')&gt;0 OR INSTR(CAST(X."&amp;F429&amp;" AS STRING),'}')&gt;0 OR INSTR(CAST(X."&amp;F429&amp;" AS STRING),'[')&gt;0 OR INSTR(CAST(X."&amp;F429&amp;" AS STRING),'')&gt;0 OR INSTR(CAST(X."&amp;F429&amp;" AS STRING),']')&gt;0 OR INSTR(CAST(X."&amp;F429&amp;" AS STRING),'?')&gt;0 OR INSTR(CAST(X."&amp;F429&amp;" AS STRING),'!')&gt;0 OR INSTR(CAST(X."&amp;F429&amp;" AS STRING),'$')&gt;0 OR INSTR(CAST(X."&amp;F429&amp;" AS STRING),'%')&gt;0 OR INSTR(CAST(X."&amp;F429&amp;" AS STRING),'&amp;')&gt;0 OR INSTR(CAST(X."&amp;F429&amp;" AS STRING),'+')&gt;0,1,0)) AS NUM_REG_DIF,'"&amp;MAX('ID1&amp;5'!K:K)+1&amp;"' AS ID_EXEC, CURRENT_TIMESTAMP() AS TIME_EXEC FROM "&amp;I429,
IF(C429="Missings",+"SELECT '"&amp;UPPER(B429)&amp;"' AS TABELA, '"&amp;UPPER(C429)&amp;"' AS TIPOLOGIA_TESTE,'"&amp;D429&amp;"' AS TABELA_LT,'N/A' AS TABELA_SIMUL,'"&amp;F429&amp;"' AS CAMPO, "&amp;"'${ref_date}' AS REF_DATE, COUNT(*) AS NUM_REG, SUM(IF(TRIM(CAST(X."&amp;F429&amp;" AS STRING)) IN ('0000-00-00','0001-01-01','9999-12-31','MISS','00000','99999999999','99999999999.00','99999999999.000000'),1,0)) AS NUM_REG_DIF,'"&amp;MAX('ID1&amp;5'!K:K)+1&amp;"' AS ID_EXEC, CURRENT_TIMESTAMP() AS TIME_EXEC FROM "&amp;I429,
IF(C429="Not applicable",+"SELECT '"&amp;UPPER(B429)&amp;"' AS TABELA, '"&amp;UPPER(C429)&amp;"' AS TIPOLOGIA_TESTE,'"&amp;D429&amp;"' AS TABELA_LT,'N/A' AS TABELA_SIMUL,'"&amp;F429&amp;"' AS CAMPO, "&amp;"'${ref_date}' AS REF_DATE, COUNT(*) AS NUM_REG, SUM(IF(TRIM(CAST(X."&amp;F429&amp;" AS STRING)) IN ('N/A','11111111111','11111111111.00','11111111111.000000','1111-11-11'),1,0)) AS NUM_REG_DIF,'"&amp;MAX('ID1&amp;5'!K:K)+1&amp;"' AS ID_EXEC, CURRENT_TIMESTAMP() AS TIME_EXEC FROM "&amp;I429,
IF(C429="Valores extremos",+"SELECT '"&amp;UPPER(B429)&amp;"' AS TABELA, '"&amp;UPPER(C429)&amp;"' AS TIPOLOGIA_TESTE,'"&amp;D429&amp;"' AS TABELA_LT,'N/A' AS TABELA_SIMUL,'"&amp;F429&amp;"' AS CAMPO, "&amp;"'${ref_date}' AS REF_DATE, CAST(MIN("&amp;F429&amp;") AS STRING) AS VALOR_MIN, CAST(MAX("&amp;F429&amp;") AS STRING) AS VALOR_MAX,'"&amp;MAX('ID1&amp;5'!K:K)+1&amp;"' AS ID_EXEC, CURRENT_TIMESTAMP() AS TIME_EXEC FROM "&amp;MID(I429,1,LEN(I429)-2)&amp;" AND CAST("&amp;F429&amp;"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TABELA_SIMUL,'DT_RFRNC' AS CAMPO, '${ref_date}' AS REF_DATE, COUNT(*) AS NUM_REG, SUM(IF(TRIM(CAST(X.DT_RFRNC AS STRING)) IN ('N/A','11111111111','11111111111.00','11111111111.000000','1111-11-11'),1,0)) AS NUM_REG_DIF,'10' AS ID_EXEC, CURRENT_TIMESTAMP() AS TIME_EXEC FROM (SELECT entty_id, DT_RFRNC FROM BU_LOANTAPE_WORK.LT003_ENTITY WHERE ref_date='${ref_date}' AND nome_perimetro='Individual Corporativo' AND segmento='ESTR' AND ambito='PILAR3')X</v>
      </c>
      <c r="M429" s="43" t="str">
        <f t="shared" si="7"/>
        <v>UNION ALL SELECT 'ENTITY' AS TABELA, 'NOT APPLICABLE' AS TIPOLOGIA_TESTE,'BU_LOANTAPE_WORK.LT003_ENTITY' AS TABELA_LT,'N/A' AS TABELA_SIMUL,'DT_RFRNC' AS CAMPO, '${ref_date}' AS REF_DATE, COUNT(*) AS NUM_REG, SUM(IF(TRIM(CAST(X.DT_RFRNC AS STRING)) IN ('N/A','11111111111','11111111111.00','11111111111.000000','1111-11-11'),1,0)) AS NUM_REG_DIF,'10' AS ID_EXEC, CURRENT_TIMESTAMP() AS TIME_EXEC FROM (SELECT entty_id, DT_RFRNC FROM BU_LOANTAPE_WORK.LT003_ENTITY WHERE ref_date='${ref_date}' AND nome_perimetro='Individual Corporativo' AND segmento='ESTR' AND ambito='PILAR3')X</v>
      </c>
      <c r="N429" s="45" t="s">
        <v>13</v>
      </c>
    </row>
    <row r="430" spans="2:14">
      <c r="B430" s="41" t="s">
        <v>23</v>
      </c>
      <c r="C430" s="41" t="s">
        <v>78</v>
      </c>
      <c r="D430" s="41" t="str">
        <f>+UPPER('0. Instruções'!$D$33&amp;"."&amp;VLOOKUP(B430,'0. Instruções'!$C$27:$D$31,2,FALSE))</f>
        <v>BU_LOANTAPE_WORK.LT003_ENTITY</v>
      </c>
      <c r="E430" s="41" t="str">
        <f>+UPPER('0. Instruções'!$D$34&amp;"."&amp;VLOOKUP(B430,'0. Instruções'!$C$27:$E$31,3,FALSE))</f>
        <v>BU_LOANTAPE_WORK.LT003_ENTTY_P3_NOV24</v>
      </c>
      <c r="F430" s="41" t="s">
        <v>182</v>
      </c>
      <c r="G430" s="41" t="s">
        <v>13</v>
      </c>
      <c r="H430" s="41"/>
      <c r="I430" s="41" t="str">
        <f>"(SELECT "&amp;VLOOKUP(B430,'0. Instruções'!$C$27:$G$31,4,FALSE)&amp;", "&amp;F430&amp;" FROM "&amp;D430&amp;" WHERE "&amp;'0. Instruções'!$D$40&amp;")X"</f>
        <v>(SELECT entty_id, ENTTY_ID FROM BU_LOANTAPE_WORK.LT003_ENTITY WHERE ref_date='${ref_date}' AND nome_perimetro='Individual Corporativo' AND segmento='ESTR' AND ambito='PILAR3')X</v>
      </c>
      <c r="J430" s="41" t="str">
        <f>"(SELECT "&amp;VLOOKUP(B430,'0. Instruções'!$C$27:$G$31,4,FALSE)&amp;" AS "&amp;VLOOKUP(B430,'0. Instruções'!$C$27:$G$31,4,FALSE)&amp;"_SIMUL, "&amp;F430&amp;" AS "&amp;F430&amp;"_SIMUL FROM "&amp;E430&amp;")Y"</f>
        <v>(SELECT entty_id AS entty_id_SIMUL, ENTTY_ID AS ENTTY_ID_SIMUL FROM BU_LOANTAPE_WORK.LT003_ENTTY_P3_NOV24)Y</v>
      </c>
      <c r="K430" s="42" t="str">
        <f>+UPPER("ON X."&amp;VLOOKUP(B430,'0. Instruções'!$C$27:$G$31,4,FALSE)&amp;"=Y."&amp;VLOOKUP(B430,'0. Instruções'!$C$27:$G$31,4,FALSE)&amp;"_SIMUL")</f>
        <v>ON X.ENTTY_ID=Y.ENTTY_ID_SIMUL</v>
      </c>
      <c r="L430" s="42" t="str">
        <f>+IF(C430="Coerência", +IF(LEFT(G430,5)="FLOAT","SELECT '"&amp;UPPER(B430)&amp;"' AS TABELA, '"&amp;UPPER(C430)&amp;"' AS TIPOLOGIA_TESTE,'"&amp;D430&amp;"' AS TABELA_LT,'"&amp;E430&amp;"' AS TABELA_SIMUL,'"&amp;F430&amp;"' AS CAMPO, "&amp;"'${ref_date}' AS REF_DATE, COUNT(*) AS NUM_REG, SUM(IF((ABS(COALESCE(X."&amp;F430&amp;",0)-COALESCE(Y."&amp;F430&amp;"_SIMUL,0))&gt;0.0000000001) OR (X."&amp;F430&amp;" IS NULL AND Y."&amp;F430&amp;"_SIMUL IS NOT NULL ) OR (X."&amp;F430&amp;" IS NOT NULL AND Y."&amp;F430&amp;"_SIMUL IS NULL),1,0)) AS NUM_REG_DIF,'"&amp;MAX('ID1&amp;5'!K:K)+1&amp;"' AS ID_EXEC, CURRENT_TIMESTAMP() AS TIME_EXEC FROM "&amp;I430&amp;" INNER JOIN "&amp;J430&amp;" "&amp;K430,"SELECT '"&amp;UPPER(B430)&amp;"' AS TABELA, '"&amp;UPPER(C430)&amp;"' AS TIPOLOGIA_TESTE,'"&amp;D430&amp;"' AS TABELA_LT,'"&amp;E430&amp;"' AS TABELA_SIMUL,'"&amp;F430&amp;"' AS CAMPO, "&amp;"'${ref_date}' AS REF_DATE, COUNT(*) AS NUM_REG, SUM(IF(COALESCE(CAST(X."&amp;F430&amp;" AS STRING),'')&lt;&gt;COALESCE(CAST(Y."&amp;F430&amp;"_SIMUL AS STRING),''),1,0)) AS NUM_REG_DIF,'"&amp;MAX('ID1&amp;5'!L:L)+1&amp;"' AS ID_EXEC, CURRENT_TIMESTAMP() AS TIME_EXEC FROM "&amp;I430&amp;" INNER JOIN "&amp;J430&amp;" "&amp;K430),
IF(C430="Validade",+IF(G430="Code List","SELECT '"&amp;UPPER(B430)&amp;"' AS TABELA, '"&amp;UPPER(C430)&amp;"' AS TIPOLOGIA_TESTE,'"&amp;D430&amp;"' AS TABELA_LT,'N/A' AS TABELA_SIMUL,'"&amp;F430&amp;"' AS CAMPO, "&amp;"'${ref_date}' AS REF_DATE, COUNT(*) AS NUM_REG, SUM(IF(TRIM(CAST(X."&amp;F430&amp;" AS STRING))='' OR TRIM(CAST(X."&amp;F430&amp;" AS STRING)) IS NULL OR CAST(X."&amp;F430&amp;" AS STRING) NOT "&amp;H430&amp;",1,0)) AS NUM_REG_DIF,'"&amp;MAX('ID1&amp;5'!K:K)+1&amp;"' AS ID_EXEC, CURRENT_TIMESTAMP() AS TIME_EXEC FROM "&amp;I430,"SELECT '"&amp;UPPER(B430)&amp;"' AS TABELA, '"&amp;UPPER(C430)&amp;"' AS TIPOLOGIA_TESTE,'"&amp;D430&amp;"' AS TABELA_LT,'N/A' AS TABELA_SIMUL,'"&amp;F430&amp;"' AS CAMPO, "&amp;"'${ref_date}' AS REF_DATE, COUNT(*) AS NUM_REG, SUM(IF(TRIM(CAST(X."&amp;F430&amp;" AS STRING))='' OR TRIM(CAST(X."&amp;F430&amp;" AS STRING)) IS NULL,1,0)) AS NUM_REG_DIF,'"&amp;MAX('ID1&amp;5'!K:K)+1&amp;"' AS ID_EXEC, CURRENT_TIMESTAMP() AS TIME_EXEC FROM "&amp;I430),
IF(C430="Caracteres Especiais",+"SELECT '"&amp;UPPER(B430)&amp;"' AS TABELA, '"&amp;UPPER(C430)&amp;"' AS TIPOLOGIA_TESTE,'"&amp;D430&amp;"' AS TABELA_LT,'N/A' AS TABELA_SIMUL,'"&amp;F430&amp;"' AS CAMPO, "&amp;"'${ref_date}' AS REF_DATE, COUNT(*) AS NUM_REG, SUM(IF(INSTR(CAST(X."&amp;F430&amp;" AS STRING),'#')&gt;0 OR INSTR(CAST(X."&amp;F430&amp;" AS STRING),'*')&gt;0 OR INSTR(CAST(X."&amp;F430&amp;" AS STRING),'`')&gt;0 OR INSTR(CAST(X."&amp;F430&amp;" AS STRING),'´')&gt;0 OR INSTR(CAST(X."&amp;F430&amp;" AS STRING),'{')&gt;0 OR INSTR(CAST(X."&amp;F430&amp;" AS STRING),'}')&gt;0 OR INSTR(CAST(X."&amp;F430&amp;" AS STRING),'[')&gt;0 OR INSTR(CAST(X."&amp;F430&amp;" AS STRING),'')&gt;0 OR INSTR(CAST(X."&amp;F430&amp;" AS STRING),']')&gt;0 OR INSTR(CAST(X."&amp;F430&amp;" AS STRING),'?')&gt;0 OR INSTR(CAST(X."&amp;F430&amp;" AS STRING),'!')&gt;0 OR INSTR(CAST(X."&amp;F430&amp;" AS STRING),'$')&gt;0 OR INSTR(CAST(X."&amp;F430&amp;" AS STRING),'%')&gt;0 OR INSTR(CAST(X."&amp;F430&amp;" AS STRING),'&amp;')&gt;0 OR INSTR(CAST(X."&amp;F430&amp;" AS STRING),'+')&gt;0,1,0)) AS NUM_REG_DIF,'"&amp;MAX('ID1&amp;5'!K:K)+1&amp;"' AS ID_EXEC, CURRENT_TIMESTAMP() AS TIME_EXEC FROM "&amp;I430,
IF(C430="Missings",+"SELECT '"&amp;UPPER(B430)&amp;"' AS TABELA, '"&amp;UPPER(C430)&amp;"' AS TIPOLOGIA_TESTE,'"&amp;D430&amp;"' AS TABELA_LT,'N/A' AS TABELA_SIMUL,'"&amp;F430&amp;"' AS CAMPO, "&amp;"'${ref_date}' AS REF_DATE, COUNT(*) AS NUM_REG, SUM(IF(TRIM(CAST(X."&amp;F430&amp;" AS STRING)) IN ('0000-00-00','0001-01-01','9999-12-31','MISS','00000','99999999999','99999999999.00','99999999999.000000'),1,0)) AS NUM_REG_DIF,'"&amp;MAX('ID1&amp;5'!K:K)+1&amp;"' AS ID_EXEC, CURRENT_TIMESTAMP() AS TIME_EXEC FROM "&amp;I430,
IF(C430="Not applicable",+"SELECT '"&amp;UPPER(B430)&amp;"' AS TABELA, '"&amp;UPPER(C430)&amp;"' AS TIPOLOGIA_TESTE,'"&amp;D430&amp;"' AS TABELA_LT,'N/A' AS TABELA_SIMUL,'"&amp;F430&amp;"' AS CAMPO, "&amp;"'${ref_date}' AS REF_DATE, COUNT(*) AS NUM_REG, SUM(IF(TRIM(CAST(X."&amp;F430&amp;" AS STRING)) IN ('N/A','11111111111','11111111111.00','11111111111.000000','1111-11-11'),1,0)) AS NUM_REG_DIF,'"&amp;MAX('ID1&amp;5'!K:K)+1&amp;"' AS ID_EXEC, CURRENT_TIMESTAMP() AS TIME_EXEC FROM "&amp;I430,
IF(C430="Valores extremos",+"SELECT '"&amp;UPPER(B430)&amp;"' AS TABELA, '"&amp;UPPER(C430)&amp;"' AS TIPOLOGIA_TESTE,'"&amp;D430&amp;"' AS TABELA_LT,'N/A' AS TABELA_SIMUL,'"&amp;F430&amp;"' AS CAMPO, "&amp;"'${ref_date}' AS REF_DATE, CAST(MIN("&amp;F430&amp;") AS STRING) AS VALOR_MIN, CAST(MAX("&amp;F430&amp;") AS STRING) AS VALOR_MAX,'"&amp;MAX('ID1&amp;5'!K:K)+1&amp;"' AS ID_EXEC, CURRENT_TIMESTAMP() AS TIME_EXEC FROM "&amp;MID(I430,1,LEN(I430)-2)&amp;" AND CAST("&amp;F430&amp;"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TABELA_SIMUL,'ENTTY_ID' AS CAMPO, '${ref_date}' AS REF_DATE, COUNT(*) AS NUM_REG, SUM(IF(TRIM(CAST(X.ENTTY_ID AS STRING)) IN ('N/A','11111111111','11111111111.00','11111111111.000000','1111-11-11'),1,0)) AS NUM_REG_DIF,'10' AS ID_EXEC, CURRENT_TIMESTAMP() AS TIME_EXEC FROM (SELECT entty_id, ENTTY_ID FROM BU_LOANTAPE_WORK.LT003_ENTITY WHERE ref_date='${ref_date}' AND nome_perimetro='Individual Corporativo' AND segmento='ESTR' AND ambito='PILAR3')X</v>
      </c>
      <c r="M430" s="43" t="str">
        <f t="shared" si="7"/>
        <v>UNION ALL SELECT 'ENTITY' AS TABELA, 'NOT APPLICABLE' AS TIPOLOGIA_TESTE,'BU_LOANTAPE_WORK.LT003_ENTITY' AS TABELA_LT,'N/A' AS TABELA_SIMUL,'ENTTY_ID' AS CAMPO, '${ref_date}' AS REF_DATE, COUNT(*) AS NUM_REG, SUM(IF(TRIM(CAST(X.ENTTY_ID AS STRING)) IN ('N/A','11111111111','11111111111.00','11111111111.000000','1111-11-11'),1,0)) AS NUM_REG_DIF,'10' AS ID_EXEC, CURRENT_TIMESTAMP() AS TIME_EXEC FROM (SELECT entty_id, ENTTY_ID FROM BU_LOANTAPE_WORK.LT003_ENTITY WHERE ref_date='${ref_date}' AND nome_perimetro='Individual Corporativo' AND segmento='ESTR' AND ambito='PILAR3')X</v>
      </c>
      <c r="N430" s="45" t="s">
        <v>13</v>
      </c>
    </row>
    <row r="431" spans="2:14">
      <c r="B431" s="41" t="s">
        <v>23</v>
      </c>
      <c r="C431" s="41" t="s">
        <v>78</v>
      </c>
      <c r="D431" s="41" t="str">
        <f>+UPPER('0. Instruções'!$D$33&amp;"."&amp;VLOOKUP(B431,'0. Instruções'!$C$27:$D$31,2,FALSE))</f>
        <v>BU_LOANTAPE_WORK.LT003_ENTITY</v>
      </c>
      <c r="E431" s="41" t="str">
        <f>+UPPER('0. Instruções'!$D$34&amp;"."&amp;VLOOKUP(B431,'0. Instruções'!$C$27:$E$31,3,FALSE))</f>
        <v>BU_LOANTAPE_WORK.LT003_ENTTY_P3_NOV24</v>
      </c>
      <c r="F431" s="41" t="s">
        <v>183</v>
      </c>
      <c r="G431" s="41" t="s">
        <v>13</v>
      </c>
      <c r="H431" s="41"/>
      <c r="I431" s="41" t="str">
        <f>"(SELECT "&amp;VLOOKUP(B431,'0. Instruções'!$C$27:$G$31,4,FALSE)&amp;", "&amp;F431&amp;" FROM "&amp;D431&amp;" WHERE "&amp;'0. Instruções'!$D$40&amp;")X"</f>
        <v>(SELECT entty_id, LEI FROM BU_LOANTAPE_WORK.LT003_ENTITY WHERE ref_date='${ref_date}' AND nome_perimetro='Individual Corporativo' AND segmento='ESTR' AND ambito='PILAR3')X</v>
      </c>
      <c r="J431" s="41" t="str">
        <f>"(SELECT "&amp;VLOOKUP(B431,'0. Instruções'!$C$27:$G$31,4,FALSE)&amp;" AS "&amp;VLOOKUP(B431,'0. Instruções'!$C$27:$G$31,4,FALSE)&amp;"_SIMUL, "&amp;F431&amp;" AS "&amp;F431&amp;"_SIMUL FROM "&amp;E431&amp;")Y"</f>
        <v>(SELECT entty_id AS entty_id_SIMUL, LEI AS LEI_SIMUL FROM BU_LOANTAPE_WORK.LT003_ENTTY_P3_NOV24)Y</v>
      </c>
      <c r="K431" s="42" t="str">
        <f>+UPPER("ON X."&amp;VLOOKUP(B431,'0. Instruções'!$C$27:$G$31,4,FALSE)&amp;"=Y."&amp;VLOOKUP(B431,'0. Instruções'!$C$27:$G$31,4,FALSE)&amp;"_SIMUL")</f>
        <v>ON X.ENTTY_ID=Y.ENTTY_ID_SIMUL</v>
      </c>
      <c r="L431" s="42" t="str">
        <f>+IF(C431="Coerência", +IF(LEFT(G431,5)="FLOAT","SELECT '"&amp;UPPER(B431)&amp;"' AS TABELA, '"&amp;UPPER(C431)&amp;"' AS TIPOLOGIA_TESTE,'"&amp;D431&amp;"' AS TABELA_LT,'"&amp;E431&amp;"' AS TABELA_SIMUL,'"&amp;F431&amp;"' AS CAMPO, "&amp;"'${ref_date}' AS REF_DATE, COUNT(*) AS NUM_REG, SUM(IF((ABS(COALESCE(X."&amp;F431&amp;",0)-COALESCE(Y."&amp;F431&amp;"_SIMUL,0))&gt;0.0000000001) OR (X."&amp;F431&amp;" IS NULL AND Y."&amp;F431&amp;"_SIMUL IS NOT NULL ) OR (X."&amp;F431&amp;" IS NOT NULL AND Y."&amp;F431&amp;"_SIMUL IS NULL),1,0)) AS NUM_REG_DIF,'"&amp;MAX('ID1&amp;5'!K:K)+1&amp;"' AS ID_EXEC, CURRENT_TIMESTAMP() AS TIME_EXEC FROM "&amp;I431&amp;" INNER JOIN "&amp;J431&amp;" "&amp;K431,"SELECT '"&amp;UPPER(B431)&amp;"' AS TABELA, '"&amp;UPPER(C431)&amp;"' AS TIPOLOGIA_TESTE,'"&amp;D431&amp;"' AS TABELA_LT,'"&amp;E431&amp;"' AS TABELA_SIMUL,'"&amp;F431&amp;"' AS CAMPO, "&amp;"'${ref_date}' AS REF_DATE, COUNT(*) AS NUM_REG, SUM(IF(COALESCE(CAST(X."&amp;F431&amp;" AS STRING),'')&lt;&gt;COALESCE(CAST(Y."&amp;F431&amp;"_SIMUL AS STRING),''),1,0)) AS NUM_REG_DIF,'"&amp;MAX('ID1&amp;5'!L:L)+1&amp;"' AS ID_EXEC, CURRENT_TIMESTAMP() AS TIME_EXEC FROM "&amp;I431&amp;" INNER JOIN "&amp;J431&amp;" "&amp;K431),
IF(C431="Validade",+IF(G431="Code List","SELECT '"&amp;UPPER(B431)&amp;"' AS TABELA, '"&amp;UPPER(C431)&amp;"' AS TIPOLOGIA_TESTE,'"&amp;D431&amp;"' AS TABELA_LT,'N/A' AS TABELA_SIMUL,'"&amp;F431&amp;"' AS CAMPO, "&amp;"'${ref_date}' AS REF_DATE, COUNT(*) AS NUM_REG, SUM(IF(TRIM(CAST(X."&amp;F431&amp;" AS STRING))='' OR TRIM(CAST(X."&amp;F431&amp;" AS STRING)) IS NULL OR CAST(X."&amp;F431&amp;" AS STRING) NOT "&amp;H431&amp;",1,0)) AS NUM_REG_DIF,'"&amp;MAX('ID1&amp;5'!K:K)+1&amp;"' AS ID_EXEC, CURRENT_TIMESTAMP() AS TIME_EXEC FROM "&amp;I431,"SELECT '"&amp;UPPER(B431)&amp;"' AS TABELA, '"&amp;UPPER(C431)&amp;"' AS TIPOLOGIA_TESTE,'"&amp;D431&amp;"' AS TABELA_LT,'N/A' AS TABELA_SIMUL,'"&amp;F431&amp;"' AS CAMPO, "&amp;"'${ref_date}' AS REF_DATE, COUNT(*) AS NUM_REG, SUM(IF(TRIM(CAST(X."&amp;F431&amp;" AS STRING))='' OR TRIM(CAST(X."&amp;F431&amp;" AS STRING)) IS NULL,1,0)) AS NUM_REG_DIF,'"&amp;MAX('ID1&amp;5'!K:K)+1&amp;"' AS ID_EXEC, CURRENT_TIMESTAMP() AS TIME_EXEC FROM "&amp;I431),
IF(C431="Caracteres Especiais",+"SELECT '"&amp;UPPER(B431)&amp;"' AS TABELA, '"&amp;UPPER(C431)&amp;"' AS TIPOLOGIA_TESTE,'"&amp;D431&amp;"' AS TABELA_LT,'N/A' AS TABELA_SIMUL,'"&amp;F431&amp;"' AS CAMPO, "&amp;"'${ref_date}' AS REF_DATE, COUNT(*) AS NUM_REG, SUM(IF(INSTR(CAST(X."&amp;F431&amp;" AS STRING),'#')&gt;0 OR INSTR(CAST(X."&amp;F431&amp;" AS STRING),'*')&gt;0 OR INSTR(CAST(X."&amp;F431&amp;" AS STRING),'`')&gt;0 OR INSTR(CAST(X."&amp;F431&amp;" AS STRING),'´')&gt;0 OR INSTR(CAST(X."&amp;F431&amp;" AS STRING),'{')&gt;0 OR INSTR(CAST(X."&amp;F431&amp;" AS STRING),'}')&gt;0 OR INSTR(CAST(X."&amp;F431&amp;" AS STRING),'[')&gt;0 OR INSTR(CAST(X."&amp;F431&amp;" AS STRING),'')&gt;0 OR INSTR(CAST(X."&amp;F431&amp;" AS STRING),']')&gt;0 OR INSTR(CAST(X."&amp;F431&amp;" AS STRING),'?')&gt;0 OR INSTR(CAST(X."&amp;F431&amp;" AS STRING),'!')&gt;0 OR INSTR(CAST(X."&amp;F431&amp;" AS STRING),'$')&gt;0 OR INSTR(CAST(X."&amp;F431&amp;" AS STRING),'%')&gt;0 OR INSTR(CAST(X."&amp;F431&amp;" AS STRING),'&amp;')&gt;0 OR INSTR(CAST(X."&amp;F431&amp;" AS STRING),'+')&gt;0,1,0)) AS NUM_REG_DIF,'"&amp;MAX('ID1&amp;5'!K:K)+1&amp;"' AS ID_EXEC, CURRENT_TIMESTAMP() AS TIME_EXEC FROM "&amp;I431,
IF(C431="Missings",+"SELECT '"&amp;UPPER(B431)&amp;"' AS TABELA, '"&amp;UPPER(C431)&amp;"' AS TIPOLOGIA_TESTE,'"&amp;D431&amp;"' AS TABELA_LT,'N/A' AS TABELA_SIMUL,'"&amp;F431&amp;"' AS CAMPO, "&amp;"'${ref_date}' AS REF_DATE, COUNT(*) AS NUM_REG, SUM(IF(TRIM(CAST(X."&amp;F431&amp;" AS STRING)) IN ('0000-00-00','0001-01-01','9999-12-31','MISS','00000','99999999999','99999999999.00','99999999999.000000'),1,0)) AS NUM_REG_DIF,'"&amp;MAX('ID1&amp;5'!K:K)+1&amp;"' AS ID_EXEC, CURRENT_TIMESTAMP() AS TIME_EXEC FROM "&amp;I431,
IF(C431="Not applicable",+"SELECT '"&amp;UPPER(B431)&amp;"' AS TABELA, '"&amp;UPPER(C431)&amp;"' AS TIPOLOGIA_TESTE,'"&amp;D431&amp;"' AS TABELA_LT,'N/A' AS TABELA_SIMUL,'"&amp;F431&amp;"' AS CAMPO, "&amp;"'${ref_date}' AS REF_DATE, COUNT(*) AS NUM_REG, SUM(IF(TRIM(CAST(X."&amp;F431&amp;" AS STRING)) IN ('N/A','11111111111','11111111111.00','11111111111.000000','1111-11-11'),1,0)) AS NUM_REG_DIF,'"&amp;MAX('ID1&amp;5'!K:K)+1&amp;"' AS ID_EXEC, CURRENT_TIMESTAMP() AS TIME_EXEC FROM "&amp;I431,
IF(C431="Valores extremos",+"SELECT '"&amp;UPPER(B431)&amp;"' AS TABELA, '"&amp;UPPER(C431)&amp;"' AS TIPOLOGIA_TESTE,'"&amp;D431&amp;"' AS TABELA_LT,'N/A' AS TABELA_SIMUL,'"&amp;F431&amp;"' AS CAMPO, "&amp;"'${ref_date}' AS REF_DATE, CAST(MIN("&amp;F431&amp;") AS STRING) AS VALOR_MIN, CAST(MAX("&amp;F431&amp;") AS STRING) AS VALOR_MAX,'"&amp;MAX('ID1&amp;5'!K:K)+1&amp;"' AS ID_EXEC, CURRENT_TIMESTAMP() AS TIME_EXEC FROM "&amp;MID(I431,1,LEN(I431)-2)&amp;" AND CAST("&amp;F431&amp;"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TABELA_SIMUL,'LEI' AS CAMPO, '${ref_date}' AS REF_DATE, COUNT(*) AS NUM_REG, SUM(IF(TRIM(CAST(X.LEI AS STRING)) IN ('N/A','11111111111','11111111111.00','11111111111.000000','1111-11-11'),1,0)) AS NUM_REG_DIF,'10' AS ID_EXEC, CURRENT_TIMESTAMP() AS TIME_EXEC FROM (SELECT entty_id, LEI FROM BU_LOANTAPE_WORK.LT003_ENTITY WHERE ref_date='${ref_date}' AND nome_perimetro='Individual Corporativo' AND segmento='ESTR' AND ambito='PILAR3')X</v>
      </c>
      <c r="M431" s="43" t="str">
        <f t="shared" si="7"/>
        <v>UNION ALL SELECT 'ENTITY' AS TABELA, 'NOT APPLICABLE' AS TIPOLOGIA_TESTE,'BU_LOANTAPE_WORK.LT003_ENTITY' AS TABELA_LT,'N/A' AS TABELA_SIMUL,'LEI' AS CAMPO, '${ref_date}' AS REF_DATE, COUNT(*) AS NUM_REG, SUM(IF(TRIM(CAST(X.LEI AS STRING)) IN ('N/A','11111111111','11111111111.00','11111111111.000000','1111-11-11'),1,0)) AS NUM_REG_DIF,'10' AS ID_EXEC, CURRENT_TIMESTAMP() AS TIME_EXEC FROM (SELECT entty_id, LEI FROM BU_LOANTAPE_WORK.LT003_ENTITY WHERE ref_date='${ref_date}' AND nome_perimetro='Individual Corporativo' AND segmento='ESTR' AND ambito='PILAR3')X</v>
      </c>
      <c r="N431" s="45" t="s">
        <v>13</v>
      </c>
    </row>
    <row r="432" spans="2:14">
      <c r="B432" s="41" t="s">
        <v>23</v>
      </c>
      <c r="C432" s="41" t="s">
        <v>78</v>
      </c>
      <c r="D432" s="41" t="str">
        <f>+UPPER('0. Instruções'!$D$33&amp;"."&amp;VLOOKUP(B432,'0. Instruções'!$C$27:$D$31,2,FALSE))</f>
        <v>BU_LOANTAPE_WORK.LT003_ENTITY</v>
      </c>
      <c r="E432" s="41" t="str">
        <f>+UPPER('0. Instruções'!$D$34&amp;"."&amp;VLOOKUP(B432,'0. Instruções'!$C$27:$E$31,3,FALSE))</f>
        <v>BU_LOANTAPE_WORK.LT003_ENTTY_P3_NOV24</v>
      </c>
      <c r="F432" s="41" t="s">
        <v>184</v>
      </c>
      <c r="G432" s="41" t="s">
        <v>13</v>
      </c>
      <c r="H432" s="41"/>
      <c r="I432" s="41" t="str">
        <f>"(SELECT "&amp;VLOOKUP(B432,'0. Instruções'!$C$27:$G$31,4,FALSE)&amp;", "&amp;F432&amp;" FROM "&amp;D432&amp;" WHERE "&amp;'0. Instruções'!$D$40&amp;")X"</f>
        <v>(SELECT entty_id, ECNMC_ACTVTY FROM BU_LOANTAPE_WORK.LT003_ENTITY WHERE ref_date='${ref_date}' AND nome_perimetro='Individual Corporativo' AND segmento='ESTR' AND ambito='PILAR3')X</v>
      </c>
      <c r="J432" s="41" t="str">
        <f>"(SELECT "&amp;VLOOKUP(B432,'0. Instruções'!$C$27:$G$31,4,FALSE)&amp;" AS "&amp;VLOOKUP(B432,'0. Instruções'!$C$27:$G$31,4,FALSE)&amp;"_SIMUL, "&amp;F432&amp;" AS "&amp;F432&amp;"_SIMUL FROM "&amp;E432&amp;")Y"</f>
        <v>(SELECT entty_id AS entty_id_SIMUL, ECNMC_ACTVTY AS ECNMC_ACTVTY_SIMUL FROM BU_LOANTAPE_WORK.LT003_ENTTY_P3_NOV24)Y</v>
      </c>
      <c r="K432" s="42" t="str">
        <f>+UPPER("ON X."&amp;VLOOKUP(B432,'0. Instruções'!$C$27:$G$31,4,FALSE)&amp;"=Y."&amp;VLOOKUP(B432,'0. Instruções'!$C$27:$G$31,4,FALSE)&amp;"_SIMUL")</f>
        <v>ON X.ENTTY_ID=Y.ENTTY_ID_SIMUL</v>
      </c>
      <c r="L432" s="42" t="str">
        <f>+IF(C432="Coerência", +IF(LEFT(G432,5)="FLOAT","SELECT '"&amp;UPPER(B432)&amp;"' AS TABELA, '"&amp;UPPER(C432)&amp;"' AS TIPOLOGIA_TESTE,'"&amp;D432&amp;"' AS TABELA_LT,'"&amp;E432&amp;"' AS TABELA_SIMUL,'"&amp;F432&amp;"' AS CAMPO, "&amp;"'${ref_date}' AS REF_DATE, COUNT(*) AS NUM_REG, SUM(IF((ABS(COALESCE(X."&amp;F432&amp;",0)-COALESCE(Y."&amp;F432&amp;"_SIMUL,0))&gt;0.0000000001) OR (X."&amp;F432&amp;" IS NULL AND Y."&amp;F432&amp;"_SIMUL IS NOT NULL ) OR (X."&amp;F432&amp;" IS NOT NULL AND Y."&amp;F432&amp;"_SIMUL IS NULL),1,0)) AS NUM_REG_DIF,'"&amp;MAX('ID1&amp;5'!K:K)+1&amp;"' AS ID_EXEC, CURRENT_TIMESTAMP() AS TIME_EXEC FROM "&amp;I432&amp;" INNER JOIN "&amp;J432&amp;" "&amp;K432,"SELECT '"&amp;UPPER(B432)&amp;"' AS TABELA, '"&amp;UPPER(C432)&amp;"' AS TIPOLOGIA_TESTE,'"&amp;D432&amp;"' AS TABELA_LT,'"&amp;E432&amp;"' AS TABELA_SIMUL,'"&amp;F432&amp;"' AS CAMPO, "&amp;"'${ref_date}' AS REF_DATE, COUNT(*) AS NUM_REG, SUM(IF(COALESCE(CAST(X."&amp;F432&amp;" AS STRING),'')&lt;&gt;COALESCE(CAST(Y."&amp;F432&amp;"_SIMUL AS STRING),''),1,0)) AS NUM_REG_DIF,'"&amp;MAX('ID1&amp;5'!L:L)+1&amp;"' AS ID_EXEC, CURRENT_TIMESTAMP() AS TIME_EXEC FROM "&amp;I432&amp;" INNER JOIN "&amp;J432&amp;" "&amp;K432),
IF(C432="Validade",+IF(G432="Code List","SELECT '"&amp;UPPER(B432)&amp;"' AS TABELA, '"&amp;UPPER(C432)&amp;"' AS TIPOLOGIA_TESTE,'"&amp;D432&amp;"' AS TABELA_LT,'N/A' AS TABELA_SIMUL,'"&amp;F432&amp;"' AS CAMPO, "&amp;"'${ref_date}' AS REF_DATE, COUNT(*) AS NUM_REG, SUM(IF(TRIM(CAST(X."&amp;F432&amp;" AS STRING))='' OR TRIM(CAST(X."&amp;F432&amp;" AS STRING)) IS NULL OR CAST(X."&amp;F432&amp;" AS STRING) NOT "&amp;H432&amp;",1,0)) AS NUM_REG_DIF,'"&amp;MAX('ID1&amp;5'!K:K)+1&amp;"' AS ID_EXEC, CURRENT_TIMESTAMP() AS TIME_EXEC FROM "&amp;I432,"SELECT '"&amp;UPPER(B432)&amp;"' AS TABELA, '"&amp;UPPER(C432)&amp;"' AS TIPOLOGIA_TESTE,'"&amp;D432&amp;"' AS TABELA_LT,'N/A' AS TABELA_SIMUL,'"&amp;F432&amp;"' AS CAMPO, "&amp;"'${ref_date}' AS REF_DATE, COUNT(*) AS NUM_REG, SUM(IF(TRIM(CAST(X."&amp;F432&amp;" AS STRING))='' OR TRIM(CAST(X."&amp;F432&amp;" AS STRING)) IS NULL,1,0)) AS NUM_REG_DIF,'"&amp;MAX('ID1&amp;5'!K:K)+1&amp;"' AS ID_EXEC, CURRENT_TIMESTAMP() AS TIME_EXEC FROM "&amp;I432),
IF(C432="Caracteres Especiais",+"SELECT '"&amp;UPPER(B432)&amp;"' AS TABELA, '"&amp;UPPER(C432)&amp;"' AS TIPOLOGIA_TESTE,'"&amp;D432&amp;"' AS TABELA_LT,'N/A' AS TABELA_SIMUL,'"&amp;F432&amp;"' AS CAMPO, "&amp;"'${ref_date}' AS REF_DATE, COUNT(*) AS NUM_REG, SUM(IF(INSTR(CAST(X."&amp;F432&amp;" AS STRING),'#')&gt;0 OR INSTR(CAST(X."&amp;F432&amp;" AS STRING),'*')&gt;0 OR INSTR(CAST(X."&amp;F432&amp;" AS STRING),'`')&gt;0 OR INSTR(CAST(X."&amp;F432&amp;" AS STRING),'´')&gt;0 OR INSTR(CAST(X."&amp;F432&amp;" AS STRING),'{')&gt;0 OR INSTR(CAST(X."&amp;F432&amp;" AS STRING),'}')&gt;0 OR INSTR(CAST(X."&amp;F432&amp;" AS STRING),'[')&gt;0 OR INSTR(CAST(X."&amp;F432&amp;" AS STRING),'')&gt;0 OR INSTR(CAST(X."&amp;F432&amp;" AS STRING),']')&gt;0 OR INSTR(CAST(X."&amp;F432&amp;" AS STRING),'?')&gt;0 OR INSTR(CAST(X."&amp;F432&amp;" AS STRING),'!')&gt;0 OR INSTR(CAST(X."&amp;F432&amp;" AS STRING),'$')&gt;0 OR INSTR(CAST(X."&amp;F432&amp;" AS STRING),'%')&gt;0 OR INSTR(CAST(X."&amp;F432&amp;" AS STRING),'&amp;')&gt;0 OR INSTR(CAST(X."&amp;F432&amp;" AS STRING),'+')&gt;0,1,0)) AS NUM_REG_DIF,'"&amp;MAX('ID1&amp;5'!K:K)+1&amp;"' AS ID_EXEC, CURRENT_TIMESTAMP() AS TIME_EXEC FROM "&amp;I432,
IF(C432="Missings",+"SELECT '"&amp;UPPER(B432)&amp;"' AS TABELA, '"&amp;UPPER(C432)&amp;"' AS TIPOLOGIA_TESTE,'"&amp;D432&amp;"' AS TABELA_LT,'N/A' AS TABELA_SIMUL,'"&amp;F432&amp;"' AS CAMPO, "&amp;"'${ref_date}' AS REF_DATE, COUNT(*) AS NUM_REG, SUM(IF(TRIM(CAST(X."&amp;F432&amp;" AS STRING)) IN ('0000-00-00','0001-01-01','9999-12-31','MISS','00000','99999999999','99999999999.00','99999999999.000000'),1,0)) AS NUM_REG_DIF,'"&amp;MAX('ID1&amp;5'!K:K)+1&amp;"' AS ID_EXEC, CURRENT_TIMESTAMP() AS TIME_EXEC FROM "&amp;I432,
IF(C432="Not applicable",+"SELECT '"&amp;UPPER(B432)&amp;"' AS TABELA, '"&amp;UPPER(C432)&amp;"' AS TIPOLOGIA_TESTE,'"&amp;D432&amp;"' AS TABELA_LT,'N/A' AS TABELA_SIMUL,'"&amp;F432&amp;"' AS CAMPO, "&amp;"'${ref_date}' AS REF_DATE, COUNT(*) AS NUM_REG, SUM(IF(TRIM(CAST(X."&amp;F432&amp;" AS STRING)) IN ('N/A','11111111111','11111111111.00','11111111111.000000','1111-11-11'),1,0)) AS NUM_REG_DIF,'"&amp;MAX('ID1&amp;5'!K:K)+1&amp;"' AS ID_EXEC, CURRENT_TIMESTAMP() AS TIME_EXEC FROM "&amp;I432,
IF(C432="Valores extremos",+"SELECT '"&amp;UPPER(B432)&amp;"' AS TABELA, '"&amp;UPPER(C432)&amp;"' AS TIPOLOGIA_TESTE,'"&amp;D432&amp;"' AS TABELA_LT,'N/A' AS TABELA_SIMUL,'"&amp;F432&amp;"' AS CAMPO, "&amp;"'${ref_date}' AS REF_DATE, CAST(MIN("&amp;F432&amp;") AS STRING) AS VALOR_MIN, CAST(MAX("&amp;F432&amp;") AS STRING) AS VALOR_MAX,'"&amp;MAX('ID1&amp;5'!K:K)+1&amp;"' AS ID_EXEC, CURRENT_TIMESTAMP() AS TIME_EXEC FROM "&amp;MID(I432,1,LEN(I432)-2)&amp;" AND CAST("&amp;F432&amp;"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TABELA_SIMUL,'ECNMC_ACTVTY' AS CAMPO, '${ref_date}' AS REF_DATE, COUNT(*) AS NUM_REG, SUM(IF(TRIM(CAST(X.ECNMC_ACTVTY AS STRING)) IN ('N/A','11111111111','11111111111.00','11111111111.000000','1111-11-11'),1,0)) AS NUM_REG_DIF,'10' AS ID_EXEC, CURRENT_TIMESTAMP() AS TIME_EXEC FROM (SELECT entty_id, ECNMC_ACTVTY FROM BU_LOANTAPE_WORK.LT003_ENTITY WHERE ref_date='${ref_date}' AND nome_perimetro='Individual Corporativo' AND segmento='ESTR' AND ambito='PILAR3')X</v>
      </c>
      <c r="M432" s="43" t="str">
        <f t="shared" si="7"/>
        <v>UNION ALL SELECT 'ENTITY' AS TABELA, 'NOT APPLICABLE' AS TIPOLOGIA_TESTE,'BU_LOANTAPE_WORK.LT003_ENTITY' AS TABELA_LT,'N/A' AS TABELA_SIMUL,'ECNMC_ACTVTY' AS CAMPO, '${ref_date}' AS REF_DATE, COUNT(*) AS NUM_REG, SUM(IF(TRIM(CAST(X.ECNMC_ACTVTY AS STRING)) IN ('N/A','11111111111','11111111111.00','11111111111.000000','1111-11-11'),1,0)) AS NUM_REG_DIF,'10' AS ID_EXEC, CURRENT_TIMESTAMP() AS TIME_EXEC FROM (SELECT entty_id, ECNMC_ACTVTY FROM BU_LOANTAPE_WORK.LT003_ENTITY WHERE ref_date='${ref_date}' AND nome_perimetro='Individual Corporativo' AND segmento='ESTR' AND ambito='PILAR3')X</v>
      </c>
      <c r="N432" s="45" t="s">
        <v>13</v>
      </c>
    </row>
    <row r="433" spans="2:14">
      <c r="B433" s="41" t="s">
        <v>23</v>
      </c>
      <c r="C433" s="41" t="s">
        <v>78</v>
      </c>
      <c r="D433" s="41" t="str">
        <f>+UPPER('0. Instruções'!$D$33&amp;"."&amp;VLOOKUP(B433,'0. Instruções'!$C$27:$D$31,2,FALSE))</f>
        <v>BU_LOANTAPE_WORK.LT003_ENTITY</v>
      </c>
      <c r="E433" s="41" t="str">
        <f>+UPPER('0. Instruções'!$D$34&amp;"."&amp;VLOOKUP(B433,'0. Instruções'!$C$27:$E$31,3,FALSE))</f>
        <v>BU_LOANTAPE_WORK.LT003_ENTTY_P3_NOV24</v>
      </c>
      <c r="F433" s="41" t="s">
        <v>185</v>
      </c>
      <c r="G433" s="41" t="s">
        <v>13</v>
      </c>
      <c r="H433" s="41"/>
      <c r="I433" s="41" t="str">
        <f>"(SELECT "&amp;VLOOKUP(B433,'0. Instruções'!$C$27:$G$31,4,FALSE)&amp;", "&amp;F433&amp;" FROM "&amp;D433&amp;" WHERE "&amp;'0. Instruções'!$D$40&amp;")X"</f>
        <v>(SELECT entty_id, GRP_EQTY FROM BU_LOANTAPE_WORK.LT003_ENTITY WHERE ref_date='${ref_date}' AND nome_perimetro='Individual Corporativo' AND segmento='ESTR' AND ambito='PILAR3')X</v>
      </c>
      <c r="J433" s="41" t="str">
        <f>"(SELECT "&amp;VLOOKUP(B433,'0. Instruções'!$C$27:$G$31,4,FALSE)&amp;" AS "&amp;VLOOKUP(B433,'0. Instruções'!$C$27:$G$31,4,FALSE)&amp;"_SIMUL, "&amp;F433&amp;" AS "&amp;F433&amp;"_SIMUL FROM "&amp;E433&amp;")Y"</f>
        <v>(SELECT entty_id AS entty_id_SIMUL, GRP_EQTY AS GRP_EQTY_SIMUL FROM BU_LOANTAPE_WORK.LT003_ENTTY_P3_NOV24)Y</v>
      </c>
      <c r="K433" s="42" t="str">
        <f>+UPPER("ON X."&amp;VLOOKUP(B433,'0. Instruções'!$C$27:$G$31,4,FALSE)&amp;"=Y."&amp;VLOOKUP(B433,'0. Instruções'!$C$27:$G$31,4,FALSE)&amp;"_SIMUL")</f>
        <v>ON X.ENTTY_ID=Y.ENTTY_ID_SIMUL</v>
      </c>
      <c r="L433" s="42" t="str">
        <f>+IF(C433="Coerência", +IF(LEFT(G433,5)="FLOAT","SELECT '"&amp;UPPER(B433)&amp;"' AS TABELA, '"&amp;UPPER(C433)&amp;"' AS TIPOLOGIA_TESTE,'"&amp;D433&amp;"' AS TABELA_LT,'"&amp;E433&amp;"' AS TABELA_SIMUL,'"&amp;F433&amp;"' AS CAMPO, "&amp;"'${ref_date}' AS REF_DATE, COUNT(*) AS NUM_REG, SUM(IF((ABS(COALESCE(X."&amp;F433&amp;",0)-COALESCE(Y."&amp;F433&amp;"_SIMUL,0))&gt;0.0000000001) OR (X."&amp;F433&amp;" IS NULL AND Y."&amp;F433&amp;"_SIMUL IS NOT NULL ) OR (X."&amp;F433&amp;" IS NOT NULL AND Y."&amp;F433&amp;"_SIMUL IS NULL),1,0)) AS NUM_REG_DIF,'"&amp;MAX('ID1&amp;5'!K:K)+1&amp;"' AS ID_EXEC, CURRENT_TIMESTAMP() AS TIME_EXEC FROM "&amp;I433&amp;" INNER JOIN "&amp;J433&amp;" "&amp;K433,"SELECT '"&amp;UPPER(B433)&amp;"' AS TABELA, '"&amp;UPPER(C433)&amp;"' AS TIPOLOGIA_TESTE,'"&amp;D433&amp;"' AS TABELA_LT,'"&amp;E433&amp;"' AS TABELA_SIMUL,'"&amp;F433&amp;"' AS CAMPO, "&amp;"'${ref_date}' AS REF_DATE, COUNT(*) AS NUM_REG, SUM(IF(COALESCE(CAST(X."&amp;F433&amp;" AS STRING),'')&lt;&gt;COALESCE(CAST(Y."&amp;F433&amp;"_SIMUL AS STRING),''),1,0)) AS NUM_REG_DIF,'"&amp;MAX('ID1&amp;5'!L:L)+1&amp;"' AS ID_EXEC, CURRENT_TIMESTAMP() AS TIME_EXEC FROM "&amp;I433&amp;" INNER JOIN "&amp;J433&amp;" "&amp;K433),
IF(C433="Validade",+IF(G433="Code List","SELECT '"&amp;UPPER(B433)&amp;"' AS TABELA, '"&amp;UPPER(C433)&amp;"' AS TIPOLOGIA_TESTE,'"&amp;D433&amp;"' AS TABELA_LT,'N/A' AS TABELA_SIMUL,'"&amp;F433&amp;"' AS CAMPO, "&amp;"'${ref_date}' AS REF_DATE, COUNT(*) AS NUM_REG, SUM(IF(TRIM(CAST(X."&amp;F433&amp;" AS STRING))='' OR TRIM(CAST(X."&amp;F433&amp;" AS STRING)) IS NULL OR CAST(X."&amp;F433&amp;" AS STRING) NOT "&amp;H433&amp;",1,0)) AS NUM_REG_DIF,'"&amp;MAX('ID1&amp;5'!K:K)+1&amp;"' AS ID_EXEC, CURRENT_TIMESTAMP() AS TIME_EXEC FROM "&amp;I433,"SELECT '"&amp;UPPER(B433)&amp;"' AS TABELA, '"&amp;UPPER(C433)&amp;"' AS TIPOLOGIA_TESTE,'"&amp;D433&amp;"' AS TABELA_LT,'N/A' AS TABELA_SIMUL,'"&amp;F433&amp;"' AS CAMPO, "&amp;"'${ref_date}' AS REF_DATE, COUNT(*) AS NUM_REG, SUM(IF(TRIM(CAST(X."&amp;F433&amp;" AS STRING))='' OR TRIM(CAST(X."&amp;F433&amp;" AS STRING)) IS NULL,1,0)) AS NUM_REG_DIF,'"&amp;MAX('ID1&amp;5'!K:K)+1&amp;"' AS ID_EXEC, CURRENT_TIMESTAMP() AS TIME_EXEC FROM "&amp;I433),
IF(C433="Caracteres Especiais",+"SELECT '"&amp;UPPER(B433)&amp;"' AS TABELA, '"&amp;UPPER(C433)&amp;"' AS TIPOLOGIA_TESTE,'"&amp;D433&amp;"' AS TABELA_LT,'N/A' AS TABELA_SIMUL,'"&amp;F433&amp;"' AS CAMPO, "&amp;"'${ref_date}' AS REF_DATE, COUNT(*) AS NUM_REG, SUM(IF(INSTR(CAST(X."&amp;F433&amp;" AS STRING),'#')&gt;0 OR INSTR(CAST(X."&amp;F433&amp;" AS STRING),'*')&gt;0 OR INSTR(CAST(X."&amp;F433&amp;" AS STRING),'`')&gt;0 OR INSTR(CAST(X."&amp;F433&amp;" AS STRING),'´')&gt;0 OR INSTR(CAST(X."&amp;F433&amp;" AS STRING),'{')&gt;0 OR INSTR(CAST(X."&amp;F433&amp;" AS STRING),'}')&gt;0 OR INSTR(CAST(X."&amp;F433&amp;" AS STRING),'[')&gt;0 OR INSTR(CAST(X."&amp;F433&amp;" AS STRING),'')&gt;0 OR INSTR(CAST(X."&amp;F433&amp;" AS STRING),']')&gt;0 OR INSTR(CAST(X."&amp;F433&amp;" AS STRING),'?')&gt;0 OR INSTR(CAST(X."&amp;F433&amp;" AS STRING),'!')&gt;0 OR INSTR(CAST(X."&amp;F433&amp;" AS STRING),'$')&gt;0 OR INSTR(CAST(X."&amp;F433&amp;" AS STRING),'%')&gt;0 OR INSTR(CAST(X."&amp;F433&amp;" AS STRING),'&amp;')&gt;0 OR INSTR(CAST(X."&amp;F433&amp;" AS STRING),'+')&gt;0,1,0)) AS NUM_REG_DIF,'"&amp;MAX('ID1&amp;5'!K:K)+1&amp;"' AS ID_EXEC, CURRENT_TIMESTAMP() AS TIME_EXEC FROM "&amp;I433,
IF(C433="Missings",+"SELECT '"&amp;UPPER(B433)&amp;"' AS TABELA, '"&amp;UPPER(C433)&amp;"' AS TIPOLOGIA_TESTE,'"&amp;D433&amp;"' AS TABELA_LT,'N/A' AS TABELA_SIMUL,'"&amp;F433&amp;"' AS CAMPO, "&amp;"'${ref_date}' AS REF_DATE, COUNT(*) AS NUM_REG, SUM(IF(TRIM(CAST(X."&amp;F433&amp;" AS STRING)) IN ('0000-00-00','0001-01-01','9999-12-31','MISS','00000','99999999999','99999999999.00','99999999999.000000'),1,0)) AS NUM_REG_DIF,'"&amp;MAX('ID1&amp;5'!K:K)+1&amp;"' AS ID_EXEC, CURRENT_TIMESTAMP() AS TIME_EXEC FROM "&amp;I433,
IF(C433="Not applicable",+"SELECT '"&amp;UPPER(B433)&amp;"' AS TABELA, '"&amp;UPPER(C433)&amp;"' AS TIPOLOGIA_TESTE,'"&amp;D433&amp;"' AS TABELA_LT,'N/A' AS TABELA_SIMUL,'"&amp;F433&amp;"' AS CAMPO, "&amp;"'${ref_date}' AS REF_DATE, COUNT(*) AS NUM_REG, SUM(IF(TRIM(CAST(X."&amp;F433&amp;" AS STRING)) IN ('N/A','11111111111','11111111111.00','11111111111.000000','1111-11-11'),1,0)) AS NUM_REG_DIF,'"&amp;MAX('ID1&amp;5'!K:K)+1&amp;"' AS ID_EXEC, CURRENT_TIMESTAMP() AS TIME_EXEC FROM "&amp;I433,
IF(C433="Valores extremos",+"SELECT '"&amp;UPPER(B433)&amp;"' AS TABELA, '"&amp;UPPER(C433)&amp;"' AS TIPOLOGIA_TESTE,'"&amp;D433&amp;"' AS TABELA_LT,'N/A' AS TABELA_SIMUL,'"&amp;F433&amp;"' AS CAMPO, "&amp;"'${ref_date}' AS REF_DATE, CAST(MIN("&amp;F433&amp;") AS STRING) AS VALOR_MIN, CAST(MAX("&amp;F433&amp;") AS STRING) AS VALOR_MAX,'"&amp;MAX('ID1&amp;5'!K:K)+1&amp;"' AS ID_EXEC, CURRENT_TIMESTAMP() AS TIME_EXEC FROM "&amp;MID(I433,1,LEN(I433)-2)&amp;" AND CAST("&amp;F433&amp;"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TABELA_SIMUL,'GRP_EQTY' AS CAMPO, '${ref_date}' AS REF_DATE, COUNT(*) AS NUM_REG, SUM(IF(TRIM(CAST(X.GRP_EQTY AS STRING)) IN ('N/A','11111111111','11111111111.00','11111111111.000000','1111-11-11'),1,0)) AS NUM_REG_DIF,'10' AS ID_EXEC, CURRENT_TIMESTAMP() AS TIME_EXEC FROM (SELECT entty_id, GRP_EQTY FROM BU_LOANTAPE_WORK.LT003_ENTITY WHERE ref_date='${ref_date}' AND nome_perimetro='Individual Corporativo' AND segmento='ESTR' AND ambito='PILAR3')X</v>
      </c>
      <c r="M433" s="43" t="str">
        <f t="shared" si="7"/>
        <v>UNION ALL SELECT 'ENTITY' AS TABELA, 'NOT APPLICABLE' AS TIPOLOGIA_TESTE,'BU_LOANTAPE_WORK.LT003_ENTITY' AS TABELA_LT,'N/A' AS TABELA_SIMUL,'GRP_EQTY' AS CAMPO, '${ref_date}' AS REF_DATE, COUNT(*) AS NUM_REG, SUM(IF(TRIM(CAST(X.GRP_EQTY AS STRING)) IN ('N/A','11111111111','11111111111.00','11111111111.000000','1111-11-11'),1,0)) AS NUM_REG_DIF,'10' AS ID_EXEC, CURRENT_TIMESTAMP() AS TIME_EXEC FROM (SELECT entty_id, GRP_EQTY FROM BU_LOANTAPE_WORK.LT003_ENTITY WHERE ref_date='${ref_date}' AND nome_perimetro='Individual Corporativo' AND segmento='ESTR' AND ambito='PILAR3')X</v>
      </c>
      <c r="N433" s="45" t="s">
        <v>13</v>
      </c>
    </row>
    <row r="434" spans="2:14">
      <c r="B434" s="41" t="s">
        <v>23</v>
      </c>
      <c r="C434" s="41" t="s">
        <v>78</v>
      </c>
      <c r="D434" s="41" t="str">
        <f>+UPPER('0. Instruções'!$D$33&amp;"."&amp;VLOOKUP(B434,'0. Instruções'!$C$27:$D$31,2,FALSE))</f>
        <v>BU_LOANTAPE_WORK.LT003_ENTITY</v>
      </c>
      <c r="E434" s="41" t="str">
        <f>+UPPER('0. Instruções'!$D$34&amp;"."&amp;VLOOKUP(B434,'0. Instruções'!$C$27:$E$31,3,FALSE))</f>
        <v>BU_LOANTAPE_WORK.LT003_ENTTY_P3_NOV24</v>
      </c>
      <c r="F434" s="41" t="s">
        <v>186</v>
      </c>
      <c r="G434" s="41" t="s">
        <v>13</v>
      </c>
      <c r="H434" s="41"/>
      <c r="I434" s="41" t="str">
        <f>"(SELECT "&amp;VLOOKUP(B434,'0. Instruções'!$C$27:$G$31,4,FALSE)&amp;", "&amp;F434&amp;" FROM "&amp;D434&amp;" WHERE "&amp;'0. Instruções'!$D$40&amp;")X"</f>
        <v>(SELECT entty_id, ANNL_TRNVR_LE FROM BU_LOANTAPE_WORK.LT003_ENTITY WHERE ref_date='${ref_date}' AND nome_perimetro='Individual Corporativo' AND segmento='ESTR' AND ambito='PILAR3')X</v>
      </c>
      <c r="J434" s="41" t="str">
        <f>"(SELECT "&amp;VLOOKUP(B434,'0. Instruções'!$C$27:$G$31,4,FALSE)&amp;" AS "&amp;VLOOKUP(B434,'0. Instruções'!$C$27:$G$31,4,FALSE)&amp;"_SIMUL, "&amp;F434&amp;" AS "&amp;F434&amp;"_SIMUL FROM "&amp;E434&amp;")Y"</f>
        <v>(SELECT entty_id AS entty_id_SIMUL, ANNL_TRNVR_LE AS ANNL_TRNVR_LE_SIMUL FROM BU_LOANTAPE_WORK.LT003_ENTTY_P3_NOV24)Y</v>
      </c>
      <c r="K434" s="42" t="str">
        <f>+UPPER("ON X."&amp;VLOOKUP(B434,'0. Instruções'!$C$27:$G$31,4,FALSE)&amp;"=Y."&amp;VLOOKUP(B434,'0. Instruções'!$C$27:$G$31,4,FALSE)&amp;"_SIMUL")</f>
        <v>ON X.ENTTY_ID=Y.ENTTY_ID_SIMUL</v>
      </c>
      <c r="L434" s="42" t="str">
        <f>+IF(C434="Coerência", +IF(LEFT(G434,5)="FLOAT","SELECT '"&amp;UPPER(B434)&amp;"' AS TABELA, '"&amp;UPPER(C434)&amp;"' AS TIPOLOGIA_TESTE,'"&amp;D434&amp;"' AS TABELA_LT,'"&amp;E434&amp;"' AS TABELA_SIMUL,'"&amp;F434&amp;"' AS CAMPO, "&amp;"'${ref_date}' AS REF_DATE, COUNT(*) AS NUM_REG, SUM(IF((ABS(COALESCE(X."&amp;F434&amp;",0)-COALESCE(Y."&amp;F434&amp;"_SIMUL,0))&gt;0.0000000001) OR (X."&amp;F434&amp;" IS NULL AND Y."&amp;F434&amp;"_SIMUL IS NOT NULL ) OR (X."&amp;F434&amp;" IS NOT NULL AND Y."&amp;F434&amp;"_SIMUL IS NULL),1,0)) AS NUM_REG_DIF,'"&amp;MAX('ID1&amp;5'!K:K)+1&amp;"' AS ID_EXEC, CURRENT_TIMESTAMP() AS TIME_EXEC FROM "&amp;I434&amp;" INNER JOIN "&amp;J434&amp;" "&amp;K434,"SELECT '"&amp;UPPER(B434)&amp;"' AS TABELA, '"&amp;UPPER(C434)&amp;"' AS TIPOLOGIA_TESTE,'"&amp;D434&amp;"' AS TABELA_LT,'"&amp;E434&amp;"' AS TABELA_SIMUL,'"&amp;F434&amp;"' AS CAMPO, "&amp;"'${ref_date}' AS REF_DATE, COUNT(*) AS NUM_REG, SUM(IF(COALESCE(CAST(X."&amp;F434&amp;" AS STRING),'')&lt;&gt;COALESCE(CAST(Y."&amp;F434&amp;"_SIMUL AS STRING),''),1,0)) AS NUM_REG_DIF,'"&amp;MAX('ID1&amp;5'!L:L)+1&amp;"' AS ID_EXEC, CURRENT_TIMESTAMP() AS TIME_EXEC FROM "&amp;I434&amp;" INNER JOIN "&amp;J434&amp;" "&amp;K434),
IF(C434="Validade",+IF(G434="Code List","SELECT '"&amp;UPPER(B434)&amp;"' AS TABELA, '"&amp;UPPER(C434)&amp;"' AS TIPOLOGIA_TESTE,'"&amp;D434&amp;"' AS TABELA_LT,'N/A' AS TABELA_SIMUL,'"&amp;F434&amp;"' AS CAMPO, "&amp;"'${ref_date}' AS REF_DATE, COUNT(*) AS NUM_REG, SUM(IF(TRIM(CAST(X."&amp;F434&amp;" AS STRING))='' OR TRIM(CAST(X."&amp;F434&amp;" AS STRING)) IS NULL OR CAST(X."&amp;F434&amp;" AS STRING) NOT "&amp;H434&amp;",1,0)) AS NUM_REG_DIF,'"&amp;MAX('ID1&amp;5'!K:K)+1&amp;"' AS ID_EXEC, CURRENT_TIMESTAMP() AS TIME_EXEC FROM "&amp;I434,"SELECT '"&amp;UPPER(B434)&amp;"' AS TABELA, '"&amp;UPPER(C434)&amp;"' AS TIPOLOGIA_TESTE,'"&amp;D434&amp;"' AS TABELA_LT,'N/A' AS TABELA_SIMUL,'"&amp;F434&amp;"' AS CAMPO, "&amp;"'${ref_date}' AS REF_DATE, COUNT(*) AS NUM_REG, SUM(IF(TRIM(CAST(X."&amp;F434&amp;" AS STRING))='' OR TRIM(CAST(X."&amp;F434&amp;" AS STRING)) IS NULL,1,0)) AS NUM_REG_DIF,'"&amp;MAX('ID1&amp;5'!K:K)+1&amp;"' AS ID_EXEC, CURRENT_TIMESTAMP() AS TIME_EXEC FROM "&amp;I434),
IF(C434="Caracteres Especiais",+"SELECT '"&amp;UPPER(B434)&amp;"' AS TABELA, '"&amp;UPPER(C434)&amp;"' AS TIPOLOGIA_TESTE,'"&amp;D434&amp;"' AS TABELA_LT,'N/A' AS TABELA_SIMUL,'"&amp;F434&amp;"' AS CAMPO, "&amp;"'${ref_date}' AS REF_DATE, COUNT(*) AS NUM_REG, SUM(IF(INSTR(CAST(X."&amp;F434&amp;" AS STRING),'#')&gt;0 OR INSTR(CAST(X."&amp;F434&amp;" AS STRING),'*')&gt;0 OR INSTR(CAST(X."&amp;F434&amp;" AS STRING),'`')&gt;0 OR INSTR(CAST(X."&amp;F434&amp;" AS STRING),'´')&gt;0 OR INSTR(CAST(X."&amp;F434&amp;" AS STRING),'{')&gt;0 OR INSTR(CAST(X."&amp;F434&amp;" AS STRING),'}')&gt;0 OR INSTR(CAST(X."&amp;F434&amp;" AS STRING),'[')&gt;0 OR INSTR(CAST(X."&amp;F434&amp;" AS STRING),'')&gt;0 OR INSTR(CAST(X."&amp;F434&amp;" AS STRING),']')&gt;0 OR INSTR(CAST(X."&amp;F434&amp;" AS STRING),'?')&gt;0 OR INSTR(CAST(X."&amp;F434&amp;" AS STRING),'!')&gt;0 OR INSTR(CAST(X."&amp;F434&amp;" AS STRING),'$')&gt;0 OR INSTR(CAST(X."&amp;F434&amp;" AS STRING),'%')&gt;0 OR INSTR(CAST(X."&amp;F434&amp;" AS STRING),'&amp;')&gt;0 OR INSTR(CAST(X."&amp;F434&amp;" AS STRING),'+')&gt;0,1,0)) AS NUM_REG_DIF,'"&amp;MAX('ID1&amp;5'!K:K)+1&amp;"' AS ID_EXEC, CURRENT_TIMESTAMP() AS TIME_EXEC FROM "&amp;I434,
IF(C434="Missings",+"SELECT '"&amp;UPPER(B434)&amp;"' AS TABELA, '"&amp;UPPER(C434)&amp;"' AS TIPOLOGIA_TESTE,'"&amp;D434&amp;"' AS TABELA_LT,'N/A' AS TABELA_SIMUL,'"&amp;F434&amp;"' AS CAMPO, "&amp;"'${ref_date}' AS REF_DATE, COUNT(*) AS NUM_REG, SUM(IF(TRIM(CAST(X."&amp;F434&amp;" AS STRING)) IN ('0000-00-00','0001-01-01','9999-12-31','MISS','00000','99999999999','99999999999.00','99999999999.000000'),1,0)) AS NUM_REG_DIF,'"&amp;MAX('ID1&amp;5'!K:K)+1&amp;"' AS ID_EXEC, CURRENT_TIMESTAMP() AS TIME_EXEC FROM "&amp;I434,
IF(C434="Not applicable",+"SELECT '"&amp;UPPER(B434)&amp;"' AS TABELA, '"&amp;UPPER(C434)&amp;"' AS TIPOLOGIA_TESTE,'"&amp;D434&amp;"' AS TABELA_LT,'N/A' AS TABELA_SIMUL,'"&amp;F434&amp;"' AS CAMPO, "&amp;"'${ref_date}' AS REF_DATE, COUNT(*) AS NUM_REG, SUM(IF(TRIM(CAST(X."&amp;F434&amp;" AS STRING)) IN ('N/A','11111111111','11111111111.00','11111111111.000000','1111-11-11'),1,0)) AS NUM_REG_DIF,'"&amp;MAX('ID1&amp;5'!K:K)+1&amp;"' AS ID_EXEC, CURRENT_TIMESTAMP() AS TIME_EXEC FROM "&amp;I434,
IF(C434="Valores extremos",+"SELECT '"&amp;UPPER(B434)&amp;"' AS TABELA, '"&amp;UPPER(C434)&amp;"' AS TIPOLOGIA_TESTE,'"&amp;D434&amp;"' AS TABELA_LT,'N/A' AS TABELA_SIMUL,'"&amp;F434&amp;"' AS CAMPO, "&amp;"'${ref_date}' AS REF_DATE, CAST(MIN("&amp;F434&amp;") AS STRING) AS VALOR_MIN, CAST(MAX("&amp;F434&amp;") AS STRING) AS VALOR_MAX,'"&amp;MAX('ID1&amp;5'!K:K)+1&amp;"' AS ID_EXEC, CURRENT_TIMESTAMP() AS TIME_EXEC FROM "&amp;MID(I434,1,LEN(I434)-2)&amp;" AND CAST("&amp;F434&amp;"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TABELA_SIMUL,'ANNL_TRNVR_LE' AS CAMPO, '${ref_date}' AS REF_DATE, COUNT(*) AS NUM_REG, SUM(IF(TRIM(CAST(X.ANNL_TRNVR_LE AS STRING)) IN ('N/A','11111111111','11111111111.00','11111111111.000000','1111-11-11'),1,0)) AS NUM_REG_DIF,'10' AS ID_EXEC, CURRENT_TIMESTAMP() AS TIME_EXEC FROM (SELECT entty_id, ANNL_TRNVR_LE FROM BU_LOANTAPE_WORK.LT003_ENTITY WHERE ref_date='${ref_date}' AND nome_perimetro='Individual Corporativo' AND segmento='ESTR' AND ambito='PILAR3')X</v>
      </c>
      <c r="M434" s="43" t="str">
        <f t="shared" si="7"/>
        <v>UNION ALL SELECT 'ENTITY' AS TABELA, 'NOT APPLICABLE' AS TIPOLOGIA_TESTE,'BU_LOANTAPE_WORK.LT003_ENTITY' AS TABELA_LT,'N/A' AS TABELA_SIMUL,'ANNL_TRNVR_LE' AS CAMPO, '${ref_date}' AS REF_DATE, COUNT(*) AS NUM_REG, SUM(IF(TRIM(CAST(X.ANNL_TRNVR_LE AS STRING)) IN ('N/A','11111111111','11111111111.00','11111111111.000000','1111-11-11'),1,0)) AS NUM_REG_DIF,'10' AS ID_EXEC, CURRENT_TIMESTAMP() AS TIME_EXEC FROM (SELECT entty_id, ANNL_TRNVR_LE FROM BU_LOANTAPE_WORK.LT003_ENTITY WHERE ref_date='${ref_date}' AND nome_perimetro='Individual Corporativo' AND segmento='ESTR' AND ambito='PILAR3')X</v>
      </c>
      <c r="N434" s="45" t="s">
        <v>13</v>
      </c>
    </row>
    <row r="435" spans="2:14">
      <c r="B435" s="41" t="s">
        <v>23</v>
      </c>
      <c r="C435" s="41" t="s">
        <v>78</v>
      </c>
      <c r="D435" s="41" t="str">
        <f>+UPPER('0. Instruções'!$D$33&amp;"."&amp;VLOOKUP(B435,'0. Instruções'!$C$27:$D$31,2,FALSE))</f>
        <v>BU_LOANTAPE_WORK.LT003_ENTITY</v>
      </c>
      <c r="E435" s="41" t="str">
        <f>+UPPER('0. Instruções'!$D$34&amp;"."&amp;VLOOKUP(B435,'0. Instruções'!$C$27:$E$31,3,FALSE))</f>
        <v>BU_LOANTAPE_WORK.LT003_ENTTY_P3_NOV24</v>
      </c>
      <c r="F435" s="41" t="s">
        <v>187</v>
      </c>
      <c r="G435" s="41" t="s">
        <v>13</v>
      </c>
      <c r="H435" s="41"/>
      <c r="I435" s="41" t="str">
        <f>"(SELECT "&amp;VLOOKUP(B435,'0. Instruções'!$C$27:$G$31,4,FALSE)&amp;", "&amp;F435&amp;" FROM "&amp;D435&amp;" WHERE "&amp;'0. Instruções'!$D$40&amp;")X"</f>
        <v>(SELECT entty_id, EQTY FROM BU_LOANTAPE_WORK.LT003_ENTITY WHERE ref_date='${ref_date}' AND nome_perimetro='Individual Corporativo' AND segmento='ESTR' AND ambito='PILAR3')X</v>
      </c>
      <c r="J435" s="41" t="str">
        <f>"(SELECT "&amp;VLOOKUP(B435,'0. Instruções'!$C$27:$G$31,4,FALSE)&amp;" AS "&amp;VLOOKUP(B435,'0. Instruções'!$C$27:$G$31,4,FALSE)&amp;"_SIMUL, "&amp;F435&amp;" AS "&amp;F435&amp;"_SIMUL FROM "&amp;E435&amp;")Y"</f>
        <v>(SELECT entty_id AS entty_id_SIMUL, EQTY AS EQTY_SIMUL FROM BU_LOANTAPE_WORK.LT003_ENTTY_P3_NOV24)Y</v>
      </c>
      <c r="K435" s="42" t="str">
        <f>+UPPER("ON X."&amp;VLOOKUP(B435,'0. Instruções'!$C$27:$G$31,4,FALSE)&amp;"=Y."&amp;VLOOKUP(B435,'0. Instruções'!$C$27:$G$31,4,FALSE)&amp;"_SIMUL")</f>
        <v>ON X.ENTTY_ID=Y.ENTTY_ID_SIMUL</v>
      </c>
      <c r="L435" s="42" t="str">
        <f>+IF(C435="Coerência", +IF(LEFT(G435,5)="FLOAT","SELECT '"&amp;UPPER(B435)&amp;"' AS TABELA, '"&amp;UPPER(C435)&amp;"' AS TIPOLOGIA_TESTE,'"&amp;D435&amp;"' AS TABELA_LT,'"&amp;E435&amp;"' AS TABELA_SIMUL,'"&amp;F435&amp;"' AS CAMPO, "&amp;"'${ref_date}' AS REF_DATE, COUNT(*) AS NUM_REG, SUM(IF((ABS(COALESCE(X."&amp;F435&amp;",0)-COALESCE(Y."&amp;F435&amp;"_SIMUL,0))&gt;0.0000000001) OR (X."&amp;F435&amp;" IS NULL AND Y."&amp;F435&amp;"_SIMUL IS NOT NULL ) OR (X."&amp;F435&amp;" IS NOT NULL AND Y."&amp;F435&amp;"_SIMUL IS NULL),1,0)) AS NUM_REG_DIF,'"&amp;MAX('ID1&amp;5'!K:K)+1&amp;"' AS ID_EXEC, CURRENT_TIMESTAMP() AS TIME_EXEC FROM "&amp;I435&amp;" INNER JOIN "&amp;J435&amp;" "&amp;K435,"SELECT '"&amp;UPPER(B435)&amp;"' AS TABELA, '"&amp;UPPER(C435)&amp;"' AS TIPOLOGIA_TESTE,'"&amp;D435&amp;"' AS TABELA_LT,'"&amp;E435&amp;"' AS TABELA_SIMUL,'"&amp;F435&amp;"' AS CAMPO, "&amp;"'${ref_date}' AS REF_DATE, COUNT(*) AS NUM_REG, SUM(IF(COALESCE(CAST(X."&amp;F435&amp;" AS STRING),'')&lt;&gt;COALESCE(CAST(Y."&amp;F435&amp;"_SIMUL AS STRING),''),1,0)) AS NUM_REG_DIF,'"&amp;MAX('ID1&amp;5'!L:L)+1&amp;"' AS ID_EXEC, CURRENT_TIMESTAMP() AS TIME_EXEC FROM "&amp;I435&amp;" INNER JOIN "&amp;J435&amp;" "&amp;K435),
IF(C435="Validade",+IF(G435="Code List","SELECT '"&amp;UPPER(B435)&amp;"' AS TABELA, '"&amp;UPPER(C435)&amp;"' AS TIPOLOGIA_TESTE,'"&amp;D435&amp;"' AS TABELA_LT,'N/A' AS TABELA_SIMUL,'"&amp;F435&amp;"' AS CAMPO, "&amp;"'${ref_date}' AS REF_DATE, COUNT(*) AS NUM_REG, SUM(IF(TRIM(CAST(X."&amp;F435&amp;" AS STRING))='' OR TRIM(CAST(X."&amp;F435&amp;" AS STRING)) IS NULL OR CAST(X."&amp;F435&amp;" AS STRING) NOT "&amp;H435&amp;",1,0)) AS NUM_REG_DIF,'"&amp;MAX('ID1&amp;5'!K:K)+1&amp;"' AS ID_EXEC, CURRENT_TIMESTAMP() AS TIME_EXEC FROM "&amp;I435,"SELECT '"&amp;UPPER(B435)&amp;"' AS TABELA, '"&amp;UPPER(C435)&amp;"' AS TIPOLOGIA_TESTE,'"&amp;D435&amp;"' AS TABELA_LT,'N/A' AS TABELA_SIMUL,'"&amp;F435&amp;"' AS CAMPO, "&amp;"'${ref_date}' AS REF_DATE, COUNT(*) AS NUM_REG, SUM(IF(TRIM(CAST(X."&amp;F435&amp;" AS STRING))='' OR TRIM(CAST(X."&amp;F435&amp;" AS STRING)) IS NULL,1,0)) AS NUM_REG_DIF,'"&amp;MAX('ID1&amp;5'!K:K)+1&amp;"' AS ID_EXEC, CURRENT_TIMESTAMP() AS TIME_EXEC FROM "&amp;I435),
IF(C435="Caracteres Especiais",+"SELECT '"&amp;UPPER(B435)&amp;"' AS TABELA, '"&amp;UPPER(C435)&amp;"' AS TIPOLOGIA_TESTE,'"&amp;D435&amp;"' AS TABELA_LT,'N/A' AS TABELA_SIMUL,'"&amp;F435&amp;"' AS CAMPO, "&amp;"'${ref_date}' AS REF_DATE, COUNT(*) AS NUM_REG, SUM(IF(INSTR(CAST(X."&amp;F435&amp;" AS STRING),'#')&gt;0 OR INSTR(CAST(X."&amp;F435&amp;" AS STRING),'*')&gt;0 OR INSTR(CAST(X."&amp;F435&amp;" AS STRING),'`')&gt;0 OR INSTR(CAST(X."&amp;F435&amp;" AS STRING),'´')&gt;0 OR INSTR(CAST(X."&amp;F435&amp;" AS STRING),'{')&gt;0 OR INSTR(CAST(X."&amp;F435&amp;" AS STRING),'}')&gt;0 OR INSTR(CAST(X."&amp;F435&amp;" AS STRING),'[')&gt;0 OR INSTR(CAST(X."&amp;F435&amp;" AS STRING),'')&gt;0 OR INSTR(CAST(X."&amp;F435&amp;" AS STRING),']')&gt;0 OR INSTR(CAST(X."&amp;F435&amp;" AS STRING),'?')&gt;0 OR INSTR(CAST(X."&amp;F435&amp;" AS STRING),'!')&gt;0 OR INSTR(CAST(X."&amp;F435&amp;" AS STRING),'$')&gt;0 OR INSTR(CAST(X."&amp;F435&amp;" AS STRING),'%')&gt;0 OR INSTR(CAST(X."&amp;F435&amp;" AS STRING),'&amp;')&gt;0 OR INSTR(CAST(X."&amp;F435&amp;" AS STRING),'+')&gt;0,1,0)) AS NUM_REG_DIF,'"&amp;MAX('ID1&amp;5'!K:K)+1&amp;"' AS ID_EXEC, CURRENT_TIMESTAMP() AS TIME_EXEC FROM "&amp;I435,
IF(C435="Missings",+"SELECT '"&amp;UPPER(B435)&amp;"' AS TABELA, '"&amp;UPPER(C435)&amp;"' AS TIPOLOGIA_TESTE,'"&amp;D435&amp;"' AS TABELA_LT,'N/A' AS TABELA_SIMUL,'"&amp;F435&amp;"' AS CAMPO, "&amp;"'${ref_date}' AS REF_DATE, COUNT(*) AS NUM_REG, SUM(IF(TRIM(CAST(X."&amp;F435&amp;" AS STRING)) IN ('0000-00-00','0001-01-01','9999-12-31','MISS','00000','99999999999','99999999999.00','99999999999.000000'),1,0)) AS NUM_REG_DIF,'"&amp;MAX('ID1&amp;5'!K:K)+1&amp;"' AS ID_EXEC, CURRENT_TIMESTAMP() AS TIME_EXEC FROM "&amp;I435,
IF(C435="Not applicable",+"SELECT '"&amp;UPPER(B435)&amp;"' AS TABELA, '"&amp;UPPER(C435)&amp;"' AS TIPOLOGIA_TESTE,'"&amp;D435&amp;"' AS TABELA_LT,'N/A' AS TABELA_SIMUL,'"&amp;F435&amp;"' AS CAMPO, "&amp;"'${ref_date}' AS REF_DATE, COUNT(*) AS NUM_REG, SUM(IF(TRIM(CAST(X."&amp;F435&amp;" AS STRING)) IN ('N/A','11111111111','11111111111.00','11111111111.000000','1111-11-11'),1,0)) AS NUM_REG_DIF,'"&amp;MAX('ID1&amp;5'!K:K)+1&amp;"' AS ID_EXEC, CURRENT_TIMESTAMP() AS TIME_EXEC FROM "&amp;I435,
IF(C435="Valores extremos",+"SELECT '"&amp;UPPER(B435)&amp;"' AS TABELA, '"&amp;UPPER(C435)&amp;"' AS TIPOLOGIA_TESTE,'"&amp;D435&amp;"' AS TABELA_LT,'N/A' AS TABELA_SIMUL,'"&amp;F435&amp;"' AS CAMPO, "&amp;"'${ref_date}' AS REF_DATE, CAST(MIN("&amp;F435&amp;") AS STRING) AS VALOR_MIN, CAST(MAX("&amp;F435&amp;") AS STRING) AS VALOR_MAX,'"&amp;MAX('ID1&amp;5'!K:K)+1&amp;"' AS ID_EXEC, CURRENT_TIMESTAMP() AS TIME_EXEC FROM "&amp;MID(I435,1,LEN(I435)-2)&amp;" AND CAST("&amp;F435&amp;"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TABELA_SIMUL,'EQTY' AS CAMPO, '${ref_date}' AS REF_DATE, COUNT(*) AS NUM_REG, SUM(IF(TRIM(CAST(X.EQTY AS STRING)) IN ('N/A','11111111111','11111111111.00','11111111111.000000','1111-11-11'),1,0)) AS NUM_REG_DIF,'10' AS ID_EXEC, CURRENT_TIMESTAMP() AS TIME_EXEC FROM (SELECT entty_id, EQTY FROM BU_LOANTAPE_WORK.LT003_ENTITY WHERE ref_date='${ref_date}' AND nome_perimetro='Individual Corporativo' AND segmento='ESTR' AND ambito='PILAR3')X</v>
      </c>
      <c r="M435" s="43" t="str">
        <f t="shared" si="7"/>
        <v>UNION ALL SELECT 'ENTITY' AS TABELA, 'NOT APPLICABLE' AS TIPOLOGIA_TESTE,'BU_LOANTAPE_WORK.LT003_ENTITY' AS TABELA_LT,'N/A' AS TABELA_SIMUL,'EQTY' AS CAMPO, '${ref_date}' AS REF_DATE, COUNT(*) AS NUM_REG, SUM(IF(TRIM(CAST(X.EQTY AS STRING)) IN ('N/A','11111111111','11111111111.00','11111111111.000000','1111-11-11'),1,0)) AS NUM_REG_DIF,'10' AS ID_EXEC, CURRENT_TIMESTAMP() AS TIME_EXEC FROM (SELECT entty_id, EQTY FROM BU_LOANTAPE_WORK.LT003_ENTITY WHERE ref_date='${ref_date}' AND nome_perimetro='Individual Corporativo' AND segmento='ESTR' AND ambito='PILAR3')X</v>
      </c>
      <c r="N435" s="45" t="s">
        <v>13</v>
      </c>
    </row>
    <row r="436" spans="2:14">
      <c r="B436" s="41" t="s">
        <v>23</v>
      </c>
      <c r="C436" s="41" t="s">
        <v>78</v>
      </c>
      <c r="D436" s="41" t="str">
        <f>+UPPER('0. Instruções'!$D$33&amp;"."&amp;VLOOKUP(B436,'0. Instruções'!$C$27:$D$31,2,FALSE))</f>
        <v>BU_LOANTAPE_WORK.LT003_ENTITY</v>
      </c>
      <c r="E436" s="41" t="str">
        <f>+UPPER('0. Instruções'!$D$34&amp;"."&amp;VLOOKUP(B436,'0. Instruções'!$C$27:$E$31,3,FALSE))</f>
        <v>BU_LOANTAPE_WORK.LT003_ENTTY_P3_NOV24</v>
      </c>
      <c r="F436" s="41" t="s">
        <v>188</v>
      </c>
      <c r="G436" s="41" t="s">
        <v>13</v>
      </c>
      <c r="H436" s="41"/>
      <c r="I436" s="41" t="str">
        <f>"(SELECT "&amp;VLOOKUP(B436,'0. Instruções'!$C$27:$G$31,4,FALSE)&amp;", "&amp;F436&amp;" FROM "&amp;D436&amp;" WHERE "&amp;'0. Instruções'!$D$40&amp;")X"</f>
        <v>(SELECT entty_id, GRP_TTL_DBT FROM BU_LOANTAPE_WORK.LT003_ENTITY WHERE ref_date='${ref_date}' AND nome_perimetro='Individual Corporativo' AND segmento='ESTR' AND ambito='PILAR3')X</v>
      </c>
      <c r="J436" s="41" t="str">
        <f>"(SELECT "&amp;VLOOKUP(B436,'0. Instruções'!$C$27:$G$31,4,FALSE)&amp;" AS "&amp;VLOOKUP(B436,'0. Instruções'!$C$27:$G$31,4,FALSE)&amp;"_SIMUL, "&amp;F436&amp;" AS "&amp;F436&amp;"_SIMUL FROM "&amp;E436&amp;")Y"</f>
        <v>(SELECT entty_id AS entty_id_SIMUL, GRP_TTL_DBT AS GRP_TTL_DBT_SIMUL FROM BU_LOANTAPE_WORK.LT003_ENTTY_P3_NOV24)Y</v>
      </c>
      <c r="K436" s="42" t="str">
        <f>+UPPER("ON X."&amp;VLOOKUP(B436,'0. Instruções'!$C$27:$G$31,4,FALSE)&amp;"=Y."&amp;VLOOKUP(B436,'0. Instruções'!$C$27:$G$31,4,FALSE)&amp;"_SIMUL")</f>
        <v>ON X.ENTTY_ID=Y.ENTTY_ID_SIMUL</v>
      </c>
      <c r="L436" s="42" t="str">
        <f>+IF(C436="Coerência", +IF(LEFT(G436,5)="FLOAT","SELECT '"&amp;UPPER(B436)&amp;"' AS TABELA, '"&amp;UPPER(C436)&amp;"' AS TIPOLOGIA_TESTE,'"&amp;D436&amp;"' AS TABELA_LT,'"&amp;E436&amp;"' AS TABELA_SIMUL,'"&amp;F436&amp;"' AS CAMPO, "&amp;"'${ref_date}' AS REF_DATE, COUNT(*) AS NUM_REG, SUM(IF((ABS(COALESCE(X."&amp;F436&amp;",0)-COALESCE(Y."&amp;F436&amp;"_SIMUL,0))&gt;0.0000000001) OR (X."&amp;F436&amp;" IS NULL AND Y."&amp;F436&amp;"_SIMUL IS NOT NULL ) OR (X."&amp;F436&amp;" IS NOT NULL AND Y."&amp;F436&amp;"_SIMUL IS NULL),1,0)) AS NUM_REG_DIF,'"&amp;MAX('ID1&amp;5'!K:K)+1&amp;"' AS ID_EXEC, CURRENT_TIMESTAMP() AS TIME_EXEC FROM "&amp;I436&amp;" INNER JOIN "&amp;J436&amp;" "&amp;K436,"SELECT '"&amp;UPPER(B436)&amp;"' AS TABELA, '"&amp;UPPER(C436)&amp;"' AS TIPOLOGIA_TESTE,'"&amp;D436&amp;"' AS TABELA_LT,'"&amp;E436&amp;"' AS TABELA_SIMUL,'"&amp;F436&amp;"' AS CAMPO, "&amp;"'${ref_date}' AS REF_DATE, COUNT(*) AS NUM_REG, SUM(IF(COALESCE(CAST(X."&amp;F436&amp;" AS STRING),'')&lt;&gt;COALESCE(CAST(Y."&amp;F436&amp;"_SIMUL AS STRING),''),1,0)) AS NUM_REG_DIF,'"&amp;MAX('ID1&amp;5'!L:L)+1&amp;"' AS ID_EXEC, CURRENT_TIMESTAMP() AS TIME_EXEC FROM "&amp;I436&amp;" INNER JOIN "&amp;J436&amp;" "&amp;K436),
IF(C436="Validade",+IF(G436="Code List","SELECT '"&amp;UPPER(B436)&amp;"' AS TABELA, '"&amp;UPPER(C436)&amp;"' AS TIPOLOGIA_TESTE,'"&amp;D436&amp;"' AS TABELA_LT,'N/A' AS TABELA_SIMUL,'"&amp;F436&amp;"' AS CAMPO, "&amp;"'${ref_date}' AS REF_DATE, COUNT(*) AS NUM_REG, SUM(IF(TRIM(CAST(X."&amp;F436&amp;" AS STRING))='' OR TRIM(CAST(X."&amp;F436&amp;" AS STRING)) IS NULL OR CAST(X."&amp;F436&amp;" AS STRING) NOT "&amp;H436&amp;",1,0)) AS NUM_REG_DIF,'"&amp;MAX('ID1&amp;5'!K:K)+1&amp;"' AS ID_EXEC, CURRENT_TIMESTAMP() AS TIME_EXEC FROM "&amp;I436,"SELECT '"&amp;UPPER(B436)&amp;"' AS TABELA, '"&amp;UPPER(C436)&amp;"' AS TIPOLOGIA_TESTE,'"&amp;D436&amp;"' AS TABELA_LT,'N/A' AS TABELA_SIMUL,'"&amp;F436&amp;"' AS CAMPO, "&amp;"'${ref_date}' AS REF_DATE, COUNT(*) AS NUM_REG, SUM(IF(TRIM(CAST(X."&amp;F436&amp;" AS STRING))='' OR TRIM(CAST(X."&amp;F436&amp;" AS STRING)) IS NULL,1,0)) AS NUM_REG_DIF,'"&amp;MAX('ID1&amp;5'!K:K)+1&amp;"' AS ID_EXEC, CURRENT_TIMESTAMP() AS TIME_EXEC FROM "&amp;I436),
IF(C436="Caracteres Especiais",+"SELECT '"&amp;UPPER(B436)&amp;"' AS TABELA, '"&amp;UPPER(C436)&amp;"' AS TIPOLOGIA_TESTE,'"&amp;D436&amp;"' AS TABELA_LT,'N/A' AS TABELA_SIMUL,'"&amp;F436&amp;"' AS CAMPO, "&amp;"'${ref_date}' AS REF_DATE, COUNT(*) AS NUM_REG, SUM(IF(INSTR(CAST(X."&amp;F436&amp;" AS STRING),'#')&gt;0 OR INSTR(CAST(X."&amp;F436&amp;" AS STRING),'*')&gt;0 OR INSTR(CAST(X."&amp;F436&amp;" AS STRING),'`')&gt;0 OR INSTR(CAST(X."&amp;F436&amp;" AS STRING),'´')&gt;0 OR INSTR(CAST(X."&amp;F436&amp;" AS STRING),'{')&gt;0 OR INSTR(CAST(X."&amp;F436&amp;" AS STRING),'}')&gt;0 OR INSTR(CAST(X."&amp;F436&amp;" AS STRING),'[')&gt;0 OR INSTR(CAST(X."&amp;F436&amp;" AS STRING),'')&gt;0 OR INSTR(CAST(X."&amp;F436&amp;" AS STRING),']')&gt;0 OR INSTR(CAST(X."&amp;F436&amp;" AS STRING),'?')&gt;0 OR INSTR(CAST(X."&amp;F436&amp;" AS STRING),'!')&gt;0 OR INSTR(CAST(X."&amp;F436&amp;" AS STRING),'$')&gt;0 OR INSTR(CAST(X."&amp;F436&amp;" AS STRING),'%')&gt;0 OR INSTR(CAST(X."&amp;F436&amp;" AS STRING),'&amp;')&gt;0 OR INSTR(CAST(X."&amp;F436&amp;" AS STRING),'+')&gt;0,1,0)) AS NUM_REG_DIF,'"&amp;MAX('ID1&amp;5'!K:K)+1&amp;"' AS ID_EXEC, CURRENT_TIMESTAMP() AS TIME_EXEC FROM "&amp;I436,
IF(C436="Missings",+"SELECT '"&amp;UPPER(B436)&amp;"' AS TABELA, '"&amp;UPPER(C436)&amp;"' AS TIPOLOGIA_TESTE,'"&amp;D436&amp;"' AS TABELA_LT,'N/A' AS TABELA_SIMUL,'"&amp;F436&amp;"' AS CAMPO, "&amp;"'${ref_date}' AS REF_DATE, COUNT(*) AS NUM_REG, SUM(IF(TRIM(CAST(X."&amp;F436&amp;" AS STRING)) IN ('0000-00-00','0001-01-01','9999-12-31','MISS','00000','99999999999','99999999999.00','99999999999.000000'),1,0)) AS NUM_REG_DIF,'"&amp;MAX('ID1&amp;5'!K:K)+1&amp;"' AS ID_EXEC, CURRENT_TIMESTAMP() AS TIME_EXEC FROM "&amp;I436,
IF(C436="Not applicable",+"SELECT '"&amp;UPPER(B436)&amp;"' AS TABELA, '"&amp;UPPER(C436)&amp;"' AS TIPOLOGIA_TESTE,'"&amp;D436&amp;"' AS TABELA_LT,'N/A' AS TABELA_SIMUL,'"&amp;F436&amp;"' AS CAMPO, "&amp;"'${ref_date}' AS REF_DATE, COUNT(*) AS NUM_REG, SUM(IF(TRIM(CAST(X."&amp;F436&amp;" AS STRING)) IN ('N/A','11111111111','11111111111.00','11111111111.000000','1111-11-11'),1,0)) AS NUM_REG_DIF,'"&amp;MAX('ID1&amp;5'!K:K)+1&amp;"' AS ID_EXEC, CURRENT_TIMESTAMP() AS TIME_EXEC FROM "&amp;I436,
IF(C436="Valores extremos",+"SELECT '"&amp;UPPER(B436)&amp;"' AS TABELA, '"&amp;UPPER(C436)&amp;"' AS TIPOLOGIA_TESTE,'"&amp;D436&amp;"' AS TABELA_LT,'N/A' AS TABELA_SIMUL,'"&amp;F436&amp;"' AS CAMPO, "&amp;"'${ref_date}' AS REF_DATE, CAST(MIN("&amp;F436&amp;") AS STRING) AS VALOR_MIN, CAST(MAX("&amp;F436&amp;") AS STRING) AS VALOR_MAX,'"&amp;MAX('ID1&amp;5'!K:K)+1&amp;"' AS ID_EXEC, CURRENT_TIMESTAMP() AS TIME_EXEC FROM "&amp;MID(I436,1,LEN(I436)-2)&amp;" AND CAST("&amp;F436&amp;"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TABELA_SIMUL,'GRP_TTL_DBT' AS CAMPO, '${ref_date}' AS REF_DATE, COUNT(*) AS NUM_REG, SUM(IF(TRIM(CAST(X.GRP_TTL_DBT AS STRING)) IN ('N/A','11111111111','11111111111.00','11111111111.000000','1111-11-11'),1,0)) AS NUM_REG_DIF,'10' AS ID_EXEC, CURRENT_TIMESTAMP() AS TIME_EXEC FROM (SELECT entty_id, GRP_TTL_DBT FROM BU_LOANTAPE_WORK.LT003_ENTITY WHERE ref_date='${ref_date}' AND nome_perimetro='Individual Corporativo' AND segmento='ESTR' AND ambito='PILAR3')X</v>
      </c>
      <c r="M436" s="43" t="str">
        <f t="shared" si="7"/>
        <v>UNION ALL SELECT 'ENTITY' AS TABELA, 'NOT APPLICABLE' AS TIPOLOGIA_TESTE,'BU_LOANTAPE_WORK.LT003_ENTITY' AS TABELA_LT,'N/A' AS TABELA_SIMUL,'GRP_TTL_DBT' AS CAMPO, '${ref_date}' AS REF_DATE, COUNT(*) AS NUM_REG, SUM(IF(TRIM(CAST(X.GRP_TTL_DBT AS STRING)) IN ('N/A','11111111111','11111111111.00','11111111111.000000','1111-11-11'),1,0)) AS NUM_REG_DIF,'10' AS ID_EXEC, CURRENT_TIMESTAMP() AS TIME_EXEC FROM (SELECT entty_id, GRP_TTL_DBT FROM BU_LOANTAPE_WORK.LT003_ENTITY WHERE ref_date='${ref_date}' AND nome_perimetro='Individual Corporativo' AND segmento='ESTR' AND ambito='PILAR3')X</v>
      </c>
      <c r="N436" s="45" t="s">
        <v>13</v>
      </c>
    </row>
    <row r="437" spans="2:14">
      <c r="B437" s="41" t="s">
        <v>23</v>
      </c>
      <c r="C437" s="41" t="s">
        <v>78</v>
      </c>
      <c r="D437" s="41" t="str">
        <f>+UPPER('0. Instruções'!$D$33&amp;"."&amp;VLOOKUP(B437,'0. Instruções'!$C$27:$D$31,2,FALSE))</f>
        <v>BU_LOANTAPE_WORK.LT003_ENTITY</v>
      </c>
      <c r="E437" s="41" t="str">
        <f>+UPPER('0. Instruções'!$D$34&amp;"."&amp;VLOOKUP(B437,'0. Instruções'!$C$27:$E$31,3,FALSE))</f>
        <v>BU_LOANTAPE_WORK.LT003_ENTTY_P3_NOV24</v>
      </c>
      <c r="F437" s="41" t="s">
        <v>189</v>
      </c>
      <c r="G437" s="41" t="s">
        <v>13</v>
      </c>
      <c r="H437" s="41"/>
      <c r="I437" s="41" t="str">
        <f>"(SELECT "&amp;VLOOKUP(B437,'0. Instruções'!$C$27:$G$31,4,FALSE)&amp;", "&amp;F437&amp;" FROM "&amp;D437&amp;" WHERE "&amp;'0. Instruções'!$D$40&amp;")X"</f>
        <v>(SELECT entty_id, TTL_DBT FROM BU_LOANTAPE_WORK.LT003_ENTITY WHERE ref_date='${ref_date}' AND nome_perimetro='Individual Corporativo' AND segmento='ESTR' AND ambito='PILAR3')X</v>
      </c>
      <c r="J437" s="41" t="str">
        <f>"(SELECT "&amp;VLOOKUP(B437,'0. Instruções'!$C$27:$G$31,4,FALSE)&amp;" AS "&amp;VLOOKUP(B437,'0. Instruções'!$C$27:$G$31,4,FALSE)&amp;"_SIMUL, "&amp;F437&amp;" AS "&amp;F437&amp;"_SIMUL FROM "&amp;E437&amp;")Y"</f>
        <v>(SELECT entty_id AS entty_id_SIMUL, TTL_DBT AS TTL_DBT_SIMUL FROM BU_LOANTAPE_WORK.LT003_ENTTY_P3_NOV24)Y</v>
      </c>
      <c r="K437" s="42" t="str">
        <f>+UPPER("ON X."&amp;VLOOKUP(B437,'0. Instruções'!$C$27:$G$31,4,FALSE)&amp;"=Y."&amp;VLOOKUP(B437,'0. Instruções'!$C$27:$G$31,4,FALSE)&amp;"_SIMUL")</f>
        <v>ON X.ENTTY_ID=Y.ENTTY_ID_SIMUL</v>
      </c>
      <c r="L437" s="42" t="str">
        <f>+IF(C437="Coerência", +IF(LEFT(G437,5)="FLOAT","SELECT '"&amp;UPPER(B437)&amp;"' AS TABELA, '"&amp;UPPER(C437)&amp;"' AS TIPOLOGIA_TESTE,'"&amp;D437&amp;"' AS TABELA_LT,'"&amp;E437&amp;"' AS TABELA_SIMUL,'"&amp;F437&amp;"' AS CAMPO, "&amp;"'${ref_date}' AS REF_DATE, COUNT(*) AS NUM_REG, SUM(IF((ABS(COALESCE(X."&amp;F437&amp;",0)-COALESCE(Y."&amp;F437&amp;"_SIMUL,0))&gt;0.0000000001) OR (X."&amp;F437&amp;" IS NULL AND Y."&amp;F437&amp;"_SIMUL IS NOT NULL ) OR (X."&amp;F437&amp;" IS NOT NULL AND Y."&amp;F437&amp;"_SIMUL IS NULL),1,0)) AS NUM_REG_DIF,'"&amp;MAX('ID1&amp;5'!K:K)+1&amp;"' AS ID_EXEC, CURRENT_TIMESTAMP() AS TIME_EXEC FROM "&amp;I437&amp;" INNER JOIN "&amp;J437&amp;" "&amp;K437,"SELECT '"&amp;UPPER(B437)&amp;"' AS TABELA, '"&amp;UPPER(C437)&amp;"' AS TIPOLOGIA_TESTE,'"&amp;D437&amp;"' AS TABELA_LT,'"&amp;E437&amp;"' AS TABELA_SIMUL,'"&amp;F437&amp;"' AS CAMPO, "&amp;"'${ref_date}' AS REF_DATE, COUNT(*) AS NUM_REG, SUM(IF(COALESCE(CAST(X."&amp;F437&amp;" AS STRING),'')&lt;&gt;COALESCE(CAST(Y."&amp;F437&amp;"_SIMUL AS STRING),''),1,0)) AS NUM_REG_DIF,'"&amp;MAX('ID1&amp;5'!L:L)+1&amp;"' AS ID_EXEC, CURRENT_TIMESTAMP() AS TIME_EXEC FROM "&amp;I437&amp;" INNER JOIN "&amp;J437&amp;" "&amp;K437),
IF(C437="Validade",+IF(G437="Code List","SELECT '"&amp;UPPER(B437)&amp;"' AS TABELA, '"&amp;UPPER(C437)&amp;"' AS TIPOLOGIA_TESTE,'"&amp;D437&amp;"' AS TABELA_LT,'N/A' AS TABELA_SIMUL,'"&amp;F437&amp;"' AS CAMPO, "&amp;"'${ref_date}' AS REF_DATE, COUNT(*) AS NUM_REG, SUM(IF(TRIM(CAST(X."&amp;F437&amp;" AS STRING))='' OR TRIM(CAST(X."&amp;F437&amp;" AS STRING)) IS NULL OR CAST(X."&amp;F437&amp;" AS STRING) NOT "&amp;H437&amp;",1,0)) AS NUM_REG_DIF,'"&amp;MAX('ID1&amp;5'!K:K)+1&amp;"' AS ID_EXEC, CURRENT_TIMESTAMP() AS TIME_EXEC FROM "&amp;I437,"SELECT '"&amp;UPPER(B437)&amp;"' AS TABELA, '"&amp;UPPER(C437)&amp;"' AS TIPOLOGIA_TESTE,'"&amp;D437&amp;"' AS TABELA_LT,'N/A' AS TABELA_SIMUL,'"&amp;F437&amp;"' AS CAMPO, "&amp;"'${ref_date}' AS REF_DATE, COUNT(*) AS NUM_REG, SUM(IF(TRIM(CAST(X."&amp;F437&amp;" AS STRING))='' OR TRIM(CAST(X."&amp;F437&amp;" AS STRING)) IS NULL,1,0)) AS NUM_REG_DIF,'"&amp;MAX('ID1&amp;5'!K:K)+1&amp;"' AS ID_EXEC, CURRENT_TIMESTAMP() AS TIME_EXEC FROM "&amp;I437),
IF(C437="Caracteres Especiais",+"SELECT '"&amp;UPPER(B437)&amp;"' AS TABELA, '"&amp;UPPER(C437)&amp;"' AS TIPOLOGIA_TESTE,'"&amp;D437&amp;"' AS TABELA_LT,'N/A' AS TABELA_SIMUL,'"&amp;F437&amp;"' AS CAMPO, "&amp;"'${ref_date}' AS REF_DATE, COUNT(*) AS NUM_REG, SUM(IF(INSTR(CAST(X."&amp;F437&amp;" AS STRING),'#')&gt;0 OR INSTR(CAST(X."&amp;F437&amp;" AS STRING),'*')&gt;0 OR INSTR(CAST(X."&amp;F437&amp;" AS STRING),'`')&gt;0 OR INSTR(CAST(X."&amp;F437&amp;" AS STRING),'´')&gt;0 OR INSTR(CAST(X."&amp;F437&amp;" AS STRING),'{')&gt;0 OR INSTR(CAST(X."&amp;F437&amp;" AS STRING),'}')&gt;0 OR INSTR(CAST(X."&amp;F437&amp;" AS STRING),'[')&gt;0 OR INSTR(CAST(X."&amp;F437&amp;" AS STRING),'')&gt;0 OR INSTR(CAST(X."&amp;F437&amp;" AS STRING),']')&gt;0 OR INSTR(CAST(X."&amp;F437&amp;" AS STRING),'?')&gt;0 OR INSTR(CAST(X."&amp;F437&amp;" AS STRING),'!')&gt;0 OR INSTR(CAST(X."&amp;F437&amp;" AS STRING),'$')&gt;0 OR INSTR(CAST(X."&amp;F437&amp;" AS STRING),'%')&gt;0 OR INSTR(CAST(X."&amp;F437&amp;" AS STRING),'&amp;')&gt;0 OR INSTR(CAST(X."&amp;F437&amp;" AS STRING),'+')&gt;0,1,0)) AS NUM_REG_DIF,'"&amp;MAX('ID1&amp;5'!K:K)+1&amp;"' AS ID_EXEC, CURRENT_TIMESTAMP() AS TIME_EXEC FROM "&amp;I437,
IF(C437="Missings",+"SELECT '"&amp;UPPER(B437)&amp;"' AS TABELA, '"&amp;UPPER(C437)&amp;"' AS TIPOLOGIA_TESTE,'"&amp;D437&amp;"' AS TABELA_LT,'N/A' AS TABELA_SIMUL,'"&amp;F437&amp;"' AS CAMPO, "&amp;"'${ref_date}' AS REF_DATE, COUNT(*) AS NUM_REG, SUM(IF(TRIM(CAST(X."&amp;F437&amp;" AS STRING)) IN ('0000-00-00','0001-01-01','9999-12-31','MISS','00000','99999999999','99999999999.00','99999999999.000000'),1,0)) AS NUM_REG_DIF,'"&amp;MAX('ID1&amp;5'!K:K)+1&amp;"' AS ID_EXEC, CURRENT_TIMESTAMP() AS TIME_EXEC FROM "&amp;I437,
IF(C437="Not applicable",+"SELECT '"&amp;UPPER(B437)&amp;"' AS TABELA, '"&amp;UPPER(C437)&amp;"' AS TIPOLOGIA_TESTE,'"&amp;D437&amp;"' AS TABELA_LT,'N/A' AS TABELA_SIMUL,'"&amp;F437&amp;"' AS CAMPO, "&amp;"'${ref_date}' AS REF_DATE, COUNT(*) AS NUM_REG, SUM(IF(TRIM(CAST(X."&amp;F437&amp;" AS STRING)) IN ('N/A','11111111111','11111111111.00','11111111111.000000','1111-11-11'),1,0)) AS NUM_REG_DIF,'"&amp;MAX('ID1&amp;5'!K:K)+1&amp;"' AS ID_EXEC, CURRENT_TIMESTAMP() AS TIME_EXEC FROM "&amp;I437,
IF(C437="Valores extremos",+"SELECT '"&amp;UPPER(B437)&amp;"' AS TABELA, '"&amp;UPPER(C437)&amp;"' AS TIPOLOGIA_TESTE,'"&amp;D437&amp;"' AS TABELA_LT,'N/A' AS TABELA_SIMUL,'"&amp;F437&amp;"' AS CAMPO, "&amp;"'${ref_date}' AS REF_DATE, CAST(MIN("&amp;F437&amp;") AS STRING) AS VALOR_MIN, CAST(MAX("&amp;F437&amp;") AS STRING) AS VALOR_MAX,'"&amp;MAX('ID1&amp;5'!K:K)+1&amp;"' AS ID_EXEC, CURRENT_TIMESTAMP() AS TIME_EXEC FROM "&amp;MID(I437,1,LEN(I437)-2)&amp;" AND CAST("&amp;F437&amp;"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TABELA_SIMUL,'TTL_DBT' AS CAMPO, '${ref_date}' AS REF_DATE, COUNT(*) AS NUM_REG, SUM(IF(TRIM(CAST(X.TTL_DBT AS STRING)) IN ('N/A','11111111111','11111111111.00','11111111111.000000','1111-11-11'),1,0)) AS NUM_REG_DIF,'10' AS ID_EXEC, CURRENT_TIMESTAMP() AS TIME_EXEC FROM (SELECT entty_id, TTL_DBT FROM BU_LOANTAPE_WORK.LT003_ENTITY WHERE ref_date='${ref_date}' AND nome_perimetro='Individual Corporativo' AND segmento='ESTR' AND ambito='PILAR3')X</v>
      </c>
      <c r="M437" s="43" t="str">
        <f t="shared" si="7"/>
        <v>UNION ALL SELECT 'ENTITY' AS TABELA, 'NOT APPLICABLE' AS TIPOLOGIA_TESTE,'BU_LOANTAPE_WORK.LT003_ENTITY' AS TABELA_LT,'N/A' AS TABELA_SIMUL,'TTL_DBT' AS CAMPO, '${ref_date}' AS REF_DATE, COUNT(*) AS NUM_REG, SUM(IF(TRIM(CAST(X.TTL_DBT AS STRING)) IN ('N/A','11111111111','11111111111.00','11111111111.000000','1111-11-11'),1,0)) AS NUM_REG_DIF,'10' AS ID_EXEC, CURRENT_TIMESTAMP() AS TIME_EXEC FROM (SELECT entty_id, TTL_DBT FROM BU_LOANTAPE_WORK.LT003_ENTITY WHERE ref_date='${ref_date}' AND nome_perimetro='Individual Corporativo' AND segmento='ESTR' AND ambito='PILAR3')X</v>
      </c>
      <c r="N437" s="45" t="s">
        <v>13</v>
      </c>
    </row>
    <row r="438" spans="2:14">
      <c r="B438" s="41" t="s">
        <v>23</v>
      </c>
      <c r="C438" s="41" t="s">
        <v>78</v>
      </c>
      <c r="D438" s="41" t="str">
        <f>+UPPER('0. Instruções'!$D$33&amp;"."&amp;VLOOKUP(B438,'0. Instruções'!$C$27:$D$31,2,FALSE))</f>
        <v>BU_LOANTAPE_WORK.LT003_ENTITY</v>
      </c>
      <c r="E438" s="41" t="str">
        <f>+UPPER('0. Instruções'!$D$34&amp;"."&amp;VLOOKUP(B438,'0. Instruções'!$C$27:$E$31,3,FALSE))</f>
        <v>BU_LOANTAPE_WORK.LT003_ENTTY_P3_NOV24</v>
      </c>
      <c r="F438" s="41" t="s">
        <v>173</v>
      </c>
      <c r="G438" s="41" t="s">
        <v>13</v>
      </c>
      <c r="H438" s="41"/>
      <c r="I438" s="41" t="str">
        <f>"(SELECT "&amp;VLOOKUP(B438,'0. Instruções'!$C$27:$G$31,4,FALSE)&amp;", "&amp;F438&amp;" FROM "&amp;D438&amp;" WHERE "&amp;'0. Instruções'!$D$40&amp;")X"</f>
        <v>(SELECT entty_id, COD_SOC FROM BU_LOANTAPE_WORK.LT003_ENTITY WHERE ref_date='${ref_date}' AND nome_perimetro='Individual Corporativo' AND segmento='ESTR' AND ambito='PILAR3')X</v>
      </c>
      <c r="J438" s="41" t="str">
        <f>"(SELECT "&amp;VLOOKUP(B438,'0. Instruções'!$C$27:$G$31,4,FALSE)&amp;" AS "&amp;VLOOKUP(B438,'0. Instruções'!$C$27:$G$31,4,FALSE)&amp;"_SIMUL, "&amp;F438&amp;" AS "&amp;F438&amp;"_SIMUL FROM "&amp;E438&amp;")Y"</f>
        <v>(SELECT entty_id AS entty_id_SIMUL, COD_SOC AS COD_SOC_SIMUL FROM BU_LOANTAPE_WORK.LT003_ENTTY_P3_NOV24)Y</v>
      </c>
      <c r="K438" s="42" t="str">
        <f>+UPPER("ON X."&amp;VLOOKUP(B438,'0. Instruções'!$C$27:$G$31,4,FALSE)&amp;"=Y."&amp;VLOOKUP(B438,'0. Instruções'!$C$27:$G$31,4,FALSE)&amp;"_SIMUL")</f>
        <v>ON X.ENTTY_ID=Y.ENTTY_ID_SIMUL</v>
      </c>
      <c r="L438" s="42" t="str">
        <f>+IF(C438="Coerência", +IF(LEFT(G438,5)="FLOAT","SELECT '"&amp;UPPER(B438)&amp;"' AS TABELA, '"&amp;UPPER(C438)&amp;"' AS TIPOLOGIA_TESTE,'"&amp;D438&amp;"' AS TABELA_LT,'"&amp;E438&amp;"' AS TABELA_SIMUL,'"&amp;F438&amp;"' AS CAMPO, "&amp;"'${ref_date}' AS REF_DATE, COUNT(*) AS NUM_REG, SUM(IF((ABS(COALESCE(X."&amp;F438&amp;",0)-COALESCE(Y."&amp;F438&amp;"_SIMUL,0))&gt;0.0000000001) OR (X."&amp;F438&amp;" IS NULL AND Y."&amp;F438&amp;"_SIMUL IS NOT NULL ) OR (X."&amp;F438&amp;" IS NOT NULL AND Y."&amp;F438&amp;"_SIMUL IS NULL),1,0)) AS NUM_REG_DIF,'"&amp;MAX('ID1&amp;5'!K:K)+1&amp;"' AS ID_EXEC, CURRENT_TIMESTAMP() AS TIME_EXEC FROM "&amp;I438&amp;" INNER JOIN "&amp;J438&amp;" "&amp;K438,"SELECT '"&amp;UPPER(B438)&amp;"' AS TABELA, '"&amp;UPPER(C438)&amp;"' AS TIPOLOGIA_TESTE,'"&amp;D438&amp;"' AS TABELA_LT,'"&amp;E438&amp;"' AS TABELA_SIMUL,'"&amp;F438&amp;"' AS CAMPO, "&amp;"'${ref_date}' AS REF_DATE, COUNT(*) AS NUM_REG, SUM(IF(COALESCE(CAST(X."&amp;F438&amp;" AS STRING),'')&lt;&gt;COALESCE(CAST(Y."&amp;F438&amp;"_SIMUL AS STRING),''),1,0)) AS NUM_REG_DIF,'"&amp;MAX('ID1&amp;5'!L:L)+1&amp;"' AS ID_EXEC, CURRENT_TIMESTAMP() AS TIME_EXEC FROM "&amp;I438&amp;" INNER JOIN "&amp;J438&amp;" "&amp;K438),
IF(C438="Validade",+IF(G438="Code List","SELECT '"&amp;UPPER(B438)&amp;"' AS TABELA, '"&amp;UPPER(C438)&amp;"' AS TIPOLOGIA_TESTE,'"&amp;D438&amp;"' AS TABELA_LT,'N/A' AS TABELA_SIMUL,'"&amp;F438&amp;"' AS CAMPO, "&amp;"'${ref_date}' AS REF_DATE, COUNT(*) AS NUM_REG, SUM(IF(TRIM(CAST(X."&amp;F438&amp;" AS STRING))='' OR TRIM(CAST(X."&amp;F438&amp;" AS STRING)) IS NULL OR CAST(X."&amp;F438&amp;" AS STRING) NOT "&amp;H438&amp;",1,0)) AS NUM_REG_DIF,'"&amp;MAX('ID1&amp;5'!K:K)+1&amp;"' AS ID_EXEC, CURRENT_TIMESTAMP() AS TIME_EXEC FROM "&amp;I438,"SELECT '"&amp;UPPER(B438)&amp;"' AS TABELA, '"&amp;UPPER(C438)&amp;"' AS TIPOLOGIA_TESTE,'"&amp;D438&amp;"' AS TABELA_LT,'N/A' AS TABELA_SIMUL,'"&amp;F438&amp;"' AS CAMPO, "&amp;"'${ref_date}' AS REF_DATE, COUNT(*) AS NUM_REG, SUM(IF(TRIM(CAST(X."&amp;F438&amp;" AS STRING))='' OR TRIM(CAST(X."&amp;F438&amp;" AS STRING)) IS NULL,1,0)) AS NUM_REG_DIF,'"&amp;MAX('ID1&amp;5'!K:K)+1&amp;"' AS ID_EXEC, CURRENT_TIMESTAMP() AS TIME_EXEC FROM "&amp;I438),
IF(C438="Caracteres Especiais",+"SELECT '"&amp;UPPER(B438)&amp;"' AS TABELA, '"&amp;UPPER(C438)&amp;"' AS TIPOLOGIA_TESTE,'"&amp;D438&amp;"' AS TABELA_LT,'N/A' AS TABELA_SIMUL,'"&amp;F438&amp;"' AS CAMPO, "&amp;"'${ref_date}' AS REF_DATE, COUNT(*) AS NUM_REG, SUM(IF(INSTR(CAST(X."&amp;F438&amp;" AS STRING),'#')&gt;0 OR INSTR(CAST(X."&amp;F438&amp;" AS STRING),'*')&gt;0 OR INSTR(CAST(X."&amp;F438&amp;" AS STRING),'`')&gt;0 OR INSTR(CAST(X."&amp;F438&amp;" AS STRING),'´')&gt;0 OR INSTR(CAST(X."&amp;F438&amp;" AS STRING),'{')&gt;0 OR INSTR(CAST(X."&amp;F438&amp;" AS STRING),'}')&gt;0 OR INSTR(CAST(X."&amp;F438&amp;" AS STRING),'[')&gt;0 OR INSTR(CAST(X."&amp;F438&amp;" AS STRING),'')&gt;0 OR INSTR(CAST(X."&amp;F438&amp;" AS STRING),']')&gt;0 OR INSTR(CAST(X."&amp;F438&amp;" AS STRING),'?')&gt;0 OR INSTR(CAST(X."&amp;F438&amp;" AS STRING),'!')&gt;0 OR INSTR(CAST(X."&amp;F438&amp;" AS STRING),'$')&gt;0 OR INSTR(CAST(X."&amp;F438&amp;" AS STRING),'%')&gt;0 OR INSTR(CAST(X."&amp;F438&amp;" AS STRING),'&amp;')&gt;0 OR INSTR(CAST(X."&amp;F438&amp;" AS STRING),'+')&gt;0,1,0)) AS NUM_REG_DIF,'"&amp;MAX('ID1&amp;5'!K:K)+1&amp;"' AS ID_EXEC, CURRENT_TIMESTAMP() AS TIME_EXEC FROM "&amp;I438,
IF(C438="Missings",+"SELECT '"&amp;UPPER(B438)&amp;"' AS TABELA, '"&amp;UPPER(C438)&amp;"' AS TIPOLOGIA_TESTE,'"&amp;D438&amp;"' AS TABELA_LT,'N/A' AS TABELA_SIMUL,'"&amp;F438&amp;"' AS CAMPO, "&amp;"'${ref_date}' AS REF_DATE, COUNT(*) AS NUM_REG, SUM(IF(TRIM(CAST(X."&amp;F438&amp;" AS STRING)) IN ('0000-00-00','0001-01-01','9999-12-31','MISS','00000','99999999999','99999999999.00','99999999999.000000'),1,0)) AS NUM_REG_DIF,'"&amp;MAX('ID1&amp;5'!K:K)+1&amp;"' AS ID_EXEC, CURRENT_TIMESTAMP() AS TIME_EXEC FROM "&amp;I438,
IF(C438="Not applicable",+"SELECT '"&amp;UPPER(B438)&amp;"' AS TABELA, '"&amp;UPPER(C438)&amp;"' AS TIPOLOGIA_TESTE,'"&amp;D438&amp;"' AS TABELA_LT,'N/A' AS TABELA_SIMUL,'"&amp;F438&amp;"' AS CAMPO, "&amp;"'${ref_date}' AS REF_DATE, COUNT(*) AS NUM_REG, SUM(IF(TRIM(CAST(X."&amp;F438&amp;" AS STRING)) IN ('N/A','11111111111','11111111111.00','11111111111.000000','1111-11-11'),1,0)) AS NUM_REG_DIF,'"&amp;MAX('ID1&amp;5'!K:K)+1&amp;"' AS ID_EXEC, CURRENT_TIMESTAMP() AS TIME_EXEC FROM "&amp;I438,
IF(C438="Valores extremos",+"SELECT '"&amp;UPPER(B438)&amp;"' AS TABELA, '"&amp;UPPER(C438)&amp;"' AS TIPOLOGIA_TESTE,'"&amp;D438&amp;"' AS TABELA_LT,'N/A' AS TABELA_SIMUL,'"&amp;F438&amp;"' AS CAMPO, "&amp;"'${ref_date}' AS REF_DATE, CAST(MIN("&amp;F438&amp;") AS STRING) AS VALOR_MIN, CAST(MAX("&amp;F438&amp;") AS STRING) AS VALOR_MAX,'"&amp;MAX('ID1&amp;5'!K:K)+1&amp;"' AS ID_EXEC, CURRENT_TIMESTAMP() AS TIME_EXEC FROM "&amp;MID(I438,1,LEN(I438)-2)&amp;" AND CAST("&amp;F438&amp;" AS STRING) NOT IN ('0000-00-00','0001-01-01','9999-12-31','MISS','00000','99999999999','99999999999.00','99999999999.000000','N/A','11111111111','11111111111.00','11111111111.000000','1111-11-11'))X"))))))</f>
        <v>SELECT 'ENTITY' AS TABELA, 'NOT APPLICABLE' AS TIPOLOGIA_TESTE,'BU_LOANTAPE_WORK.LT003_ENTITY' AS TABELA_LT,'N/A' AS TABELA_SIMUL,'COD_SOC' AS CAMPO, '${ref_date}' AS REF_DATE, COUNT(*) AS NUM_REG, SUM(IF(TRIM(CAST(X.COD_SOC AS STRING)) IN ('N/A','11111111111','11111111111.00','11111111111.000000','1111-11-11'),1,0)) AS NUM_REG_DIF,'10' AS ID_EXEC, CURRENT_TIMESTAMP() AS TIME_EXEC FROM (SELECT entty_id, COD_SOC FROM BU_LOANTAPE_WORK.LT003_ENTITY WHERE ref_date='${ref_date}' AND nome_perimetro='Individual Corporativo' AND segmento='ESTR' AND ambito='PILAR3')X</v>
      </c>
      <c r="M438" s="43" t="str">
        <f t="shared" si="7"/>
        <v>UNION ALL SELECT 'ENTITY' AS TABELA, 'NOT APPLICABLE' AS TIPOLOGIA_TESTE,'BU_LOANTAPE_WORK.LT003_ENTITY' AS TABELA_LT,'N/A' AS TABELA_SIMUL,'COD_SOC' AS CAMPO, '${ref_date}' AS REF_DATE, COUNT(*) AS NUM_REG, SUM(IF(TRIM(CAST(X.COD_SOC AS STRING)) IN ('N/A','11111111111','11111111111.00','11111111111.000000','1111-11-11'),1,0)) AS NUM_REG_DIF,'10' AS ID_EXEC, CURRENT_TIMESTAMP() AS TIME_EXEC FROM (SELECT entty_id, COD_SOC FROM BU_LOANTAPE_WORK.LT003_ENTITY WHERE ref_date='${ref_date}' AND nome_perimetro='Individual Corporativo' AND segmento='ESTR' AND ambito='PILAR3')X</v>
      </c>
      <c r="N438" s="45" t="s">
        <v>13</v>
      </c>
    </row>
    <row r="439" spans="2:14">
      <c r="B439" s="41" t="s">
        <v>31</v>
      </c>
      <c r="C439" s="41" t="s">
        <v>78</v>
      </c>
      <c r="D439" s="41" t="str">
        <f>+UPPER('0. Instruções'!$D$33&amp;"."&amp;VLOOKUP(B439,'0. Instruções'!$C$27:$D$31,2,FALSE))</f>
        <v>BU_LOANTAPE_WORK.LT004_PROTECTION</v>
      </c>
      <c r="E439" s="41" t="str">
        <f>+UPPER('0. Instruções'!$D$34&amp;"."&amp;VLOOKUP(B439,'0. Instruções'!$C$27:$E$31,3,FALSE))</f>
        <v>BU_LOANTAPE_WORK.LT004_PROTECTION_P3_NOV24</v>
      </c>
      <c r="F439" s="41" t="s">
        <v>135</v>
      </c>
      <c r="G439" s="41" t="s">
        <v>209</v>
      </c>
      <c r="H439" s="41"/>
      <c r="I439" s="41" t="str">
        <f>"(SELECT "&amp;VLOOKUP(B439,'0. Instruções'!$C$27:$G$31,4,FALSE)&amp;", "&amp;F439&amp;" FROM "&amp;D439&amp;" WHERE "&amp;'0. Instruções'!$D$40&amp;")X"</f>
        <v>(SELECT prtctn_id, TYP_EP_SCR FROM BU_LOANTAPE_WORK.LT004_PROTECTION WHERE ref_date='${ref_date}' AND nome_perimetro='Individual Corporativo' AND segmento='ESTR' AND ambito='PILAR3')X</v>
      </c>
      <c r="J439" s="41" t="str">
        <f>"(SELECT "&amp;VLOOKUP(B439,'0. Instruções'!$C$27:$G$31,4,FALSE)&amp;" AS "&amp;VLOOKUP(B439,'0. Instruções'!$C$27:$G$31,4,FALSE)&amp;"_SIMUL, "&amp;F439&amp;" AS "&amp;F439&amp;"_SIMUL FROM "&amp;E439&amp;")Y"</f>
        <v>(SELECT prtctn_id AS prtctn_id_SIMUL, TYP_EP_SCR AS TYP_EP_SCR_SIMUL FROM BU_LOANTAPE_WORK.LT004_PROTECTION_P3_NOV24)Y</v>
      </c>
      <c r="K439" s="42" t="str">
        <f>+UPPER("ON X."&amp;VLOOKUP(B439,'0. Instruções'!$C$27:$G$31,4,FALSE)&amp;"=Y."&amp;VLOOKUP(B439,'0. Instruções'!$C$27:$G$31,4,FALSE)&amp;"_SIMUL")</f>
        <v>ON X.PRTCTN_ID=Y.PRTCTN_ID_SIMUL</v>
      </c>
      <c r="L439" s="42" t="str">
        <f>+IF(C439="Coerência", +IF(LEFT(G439,5)="FLOAT","SELECT '"&amp;UPPER(B439)&amp;"' AS TABELA, '"&amp;UPPER(C439)&amp;"' AS TIPOLOGIA_TESTE,'"&amp;D439&amp;"' AS TABELA_LT,'"&amp;E439&amp;"' AS TABELA_SIMUL,'"&amp;F439&amp;"' AS CAMPO, "&amp;"'${ref_date}' AS REF_DATE, COUNT(*) AS NUM_REG, SUM(IF((ABS(COALESCE(X."&amp;F439&amp;",0)-COALESCE(Y."&amp;F439&amp;"_SIMUL,0))&gt;0.0000000001) OR (X."&amp;F439&amp;" IS NULL AND Y."&amp;F439&amp;"_SIMUL IS NOT NULL ) OR (X."&amp;F439&amp;" IS NOT NULL AND Y."&amp;F439&amp;"_SIMUL IS NULL),1,0)) AS NUM_REG_DIF,'"&amp;MAX('ID1&amp;5'!K:K)+1&amp;"' AS ID_EXEC, CURRENT_TIMESTAMP() AS TIME_EXEC FROM "&amp;I439&amp;" INNER JOIN "&amp;J439&amp;" "&amp;K439,"SELECT '"&amp;UPPER(B439)&amp;"' AS TABELA, '"&amp;UPPER(C439)&amp;"' AS TIPOLOGIA_TESTE,'"&amp;D439&amp;"' AS TABELA_LT,'"&amp;E439&amp;"' AS TABELA_SIMUL,'"&amp;F439&amp;"' AS CAMPO, "&amp;"'${ref_date}' AS REF_DATE, COUNT(*) AS NUM_REG, SUM(IF(COALESCE(CAST(X."&amp;F439&amp;" AS STRING),'')&lt;&gt;COALESCE(CAST(Y."&amp;F439&amp;"_SIMUL AS STRING),''),1,0)) AS NUM_REG_DIF,'"&amp;MAX('ID1&amp;5'!L:L)+1&amp;"' AS ID_EXEC, CURRENT_TIMESTAMP() AS TIME_EXEC FROM "&amp;I439&amp;" INNER JOIN "&amp;J439&amp;" "&amp;K439),
IF(C439="Validade",+IF(G439="Code List","SELECT '"&amp;UPPER(B439)&amp;"' AS TABELA, '"&amp;UPPER(C439)&amp;"' AS TIPOLOGIA_TESTE,'"&amp;D439&amp;"' AS TABELA_LT,'N/A' AS TABELA_SIMUL,'"&amp;F439&amp;"' AS CAMPO, "&amp;"'${ref_date}' AS REF_DATE, COUNT(*) AS NUM_REG, SUM(IF(TRIM(CAST(X."&amp;F439&amp;" AS STRING))='' OR TRIM(CAST(X."&amp;F439&amp;" AS STRING)) IS NULL OR CAST(X."&amp;F439&amp;" AS STRING) NOT "&amp;H439&amp;",1,0)) AS NUM_REG_DIF,'"&amp;MAX('ID1&amp;5'!K:K)+1&amp;"' AS ID_EXEC, CURRENT_TIMESTAMP() AS TIME_EXEC FROM "&amp;I439,"SELECT '"&amp;UPPER(B439)&amp;"' AS TABELA, '"&amp;UPPER(C439)&amp;"' AS TIPOLOGIA_TESTE,'"&amp;D439&amp;"' AS TABELA_LT,'N/A' AS TABELA_SIMUL,'"&amp;F439&amp;"' AS CAMPO, "&amp;"'${ref_date}' AS REF_DATE, COUNT(*) AS NUM_REG, SUM(IF(TRIM(CAST(X."&amp;F439&amp;" AS STRING))='' OR TRIM(CAST(X."&amp;F439&amp;" AS STRING)) IS NULL,1,0)) AS NUM_REG_DIF,'"&amp;MAX('ID1&amp;5'!K:K)+1&amp;"' AS ID_EXEC, CURRENT_TIMESTAMP() AS TIME_EXEC FROM "&amp;I439),
IF(C439="Caracteres Especiais",+"SELECT '"&amp;UPPER(B439)&amp;"' AS TABELA, '"&amp;UPPER(C439)&amp;"' AS TIPOLOGIA_TESTE,'"&amp;D439&amp;"' AS TABELA_LT,'N/A' AS TABELA_SIMUL,'"&amp;F439&amp;"' AS CAMPO, "&amp;"'${ref_date}' AS REF_DATE, COUNT(*) AS NUM_REG, SUM(IF(INSTR(CAST(X."&amp;F439&amp;" AS STRING),'#')&gt;0 OR INSTR(CAST(X."&amp;F439&amp;" AS STRING),'*')&gt;0 OR INSTR(CAST(X."&amp;F439&amp;" AS STRING),'`')&gt;0 OR INSTR(CAST(X."&amp;F439&amp;" AS STRING),'´')&gt;0 OR INSTR(CAST(X."&amp;F439&amp;" AS STRING),'{')&gt;0 OR INSTR(CAST(X."&amp;F439&amp;" AS STRING),'}')&gt;0 OR INSTR(CAST(X."&amp;F439&amp;" AS STRING),'[')&gt;0 OR INSTR(CAST(X."&amp;F439&amp;" AS STRING),'')&gt;0 OR INSTR(CAST(X."&amp;F439&amp;" AS STRING),']')&gt;0 OR INSTR(CAST(X."&amp;F439&amp;" AS STRING),'?')&gt;0 OR INSTR(CAST(X."&amp;F439&amp;" AS STRING),'!')&gt;0 OR INSTR(CAST(X."&amp;F439&amp;" AS STRING),'$')&gt;0 OR INSTR(CAST(X."&amp;F439&amp;" AS STRING),'%')&gt;0 OR INSTR(CAST(X."&amp;F439&amp;" AS STRING),'&amp;')&gt;0 OR INSTR(CAST(X."&amp;F439&amp;" AS STRING),'+')&gt;0,1,0)) AS NUM_REG_DIF,'"&amp;MAX('ID1&amp;5'!K:K)+1&amp;"' AS ID_EXEC, CURRENT_TIMESTAMP() AS TIME_EXEC FROM "&amp;I439,
IF(C439="Missings",+"SELECT '"&amp;UPPER(B439)&amp;"' AS TABELA, '"&amp;UPPER(C439)&amp;"' AS TIPOLOGIA_TESTE,'"&amp;D439&amp;"' AS TABELA_LT,'N/A' AS TABELA_SIMUL,'"&amp;F439&amp;"' AS CAMPO, "&amp;"'${ref_date}' AS REF_DATE, COUNT(*) AS NUM_REG, SUM(IF(TRIM(CAST(X."&amp;F439&amp;" AS STRING)) IN ('0000-00-00','0001-01-01','9999-12-31','MISS','00000','99999999999','99999999999.00','99999999999.000000'),1,0)) AS NUM_REG_DIF,'"&amp;MAX('ID1&amp;5'!K:K)+1&amp;"' AS ID_EXEC, CURRENT_TIMESTAMP() AS TIME_EXEC FROM "&amp;I439,
IF(C439="Not applicable",+"SELECT '"&amp;UPPER(B439)&amp;"' AS TABELA, '"&amp;UPPER(C439)&amp;"' AS TIPOLOGIA_TESTE,'"&amp;D439&amp;"' AS TABELA_LT,'N/A' AS TABELA_SIMUL,'"&amp;F439&amp;"' AS CAMPO, "&amp;"'${ref_date}' AS REF_DATE, COUNT(*) AS NUM_REG, SUM(IF(TRIM(CAST(X."&amp;F439&amp;" AS STRING)) IN ('N/A','11111111111','11111111111.00','11111111111.000000','1111-11-11'),1,0)) AS NUM_REG_DIF,'"&amp;MAX('ID1&amp;5'!K:K)+1&amp;"' AS ID_EXEC, CURRENT_TIMESTAMP() AS TIME_EXEC FROM "&amp;I439,
IF(C439="Valores extremos",+"SELECT '"&amp;UPPER(B439)&amp;"' AS TABELA, '"&amp;UPPER(C439)&amp;"' AS TIPOLOGIA_TESTE,'"&amp;D439&amp;"' AS TABELA_LT,'N/A' AS TABELA_SIMUL,'"&amp;F439&amp;"' AS CAMPO, "&amp;"'${ref_date}' AS REF_DATE, CAST(MIN("&amp;F439&amp;") AS STRING) AS VALOR_MIN, CAST(MAX("&amp;F439&amp;") AS STRING) AS VALOR_MAX,'"&amp;MAX('ID1&amp;5'!K:K)+1&amp;"' AS ID_EXEC, CURRENT_TIMESTAMP() AS TIME_EXEC FROM "&amp;MID(I439,1,LEN(I439)-2)&amp;" AND CAST("&amp;F439&amp;"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TABELA_SIMUL,'TYP_EP_SCR' AS CAMPO, '${ref_date}' AS REF_DATE, COUNT(*) AS NUM_REG, SUM(IF(TRIM(CAST(X.TYP_EP_SCR AS STRING)) IN ('N/A','11111111111','11111111111.00','11111111111.000000','1111-11-11'),1,0)) AS NUM_REG_DIF,'10' AS ID_EXEC, CURRENT_TIMESTAMP() AS TIME_EXEC FROM (SELECT prtctn_id, TYP_EP_SCR FROM BU_LOANTAPE_WORK.LT004_PROTECTION WHERE ref_date='${ref_date}' AND nome_perimetro='Individual Corporativo' AND segmento='ESTR' AND ambito='PILAR3')X</v>
      </c>
      <c r="M439" s="43" t="str">
        <f t="shared" si="7"/>
        <v>UNION ALL SELECT 'PROTECTION' AS TABELA, 'NOT APPLICABLE' AS TIPOLOGIA_TESTE,'BU_LOANTAPE_WORK.LT004_PROTECTION' AS TABELA_LT,'N/A' AS TABELA_SIMUL,'TYP_EP_SCR' AS CAMPO, '${ref_date}' AS REF_DATE, COUNT(*) AS NUM_REG, SUM(IF(TRIM(CAST(X.TYP_EP_SCR AS STRING)) IN ('N/A','11111111111','11111111111.00','11111111111.000000','1111-11-11'),1,0)) AS NUM_REG_DIF,'10' AS ID_EXEC, CURRENT_TIMESTAMP() AS TIME_EXEC FROM (SELECT prtctn_id, TYP_EP_SCR FROM BU_LOANTAPE_WORK.LT004_PROTECTION WHERE ref_date='${ref_date}' AND nome_perimetro='Individual Corporativo' AND segmento='ESTR' AND ambito='PILAR3')X</v>
      </c>
      <c r="N439" s="45" t="s">
        <v>13</v>
      </c>
    </row>
    <row r="440" spans="2:14">
      <c r="B440" s="41" t="s">
        <v>31</v>
      </c>
      <c r="C440" s="41" t="s">
        <v>78</v>
      </c>
      <c r="D440" s="41" t="str">
        <f>+UPPER('0. Instruções'!$D$33&amp;"."&amp;VLOOKUP(B440,'0. Instruções'!$C$27:$D$31,2,FALSE))</f>
        <v>BU_LOANTAPE_WORK.LT004_PROTECTION</v>
      </c>
      <c r="E440" s="41" t="str">
        <f>+UPPER('0. Instruções'!$D$34&amp;"."&amp;VLOOKUP(B440,'0. Instruções'!$C$27:$E$31,3,FALSE))</f>
        <v>BU_LOANTAPE_WORK.LT004_PROTECTION_P3_NOV24</v>
      </c>
      <c r="F440" s="41" t="s">
        <v>136</v>
      </c>
      <c r="G440" s="41" t="s">
        <v>209</v>
      </c>
      <c r="H440" s="41"/>
      <c r="I440" s="41" t="str">
        <f>"(SELECT "&amp;VLOOKUP(B440,'0. Instruções'!$C$27:$G$31,4,FALSE)&amp;", "&amp;F440&amp;" FROM "&amp;D440&amp;" WHERE "&amp;'0. Instruções'!$D$40&amp;")X"</f>
        <v>(SELECT prtctn_id, EP_SCR FROM BU_LOANTAPE_WORK.LT004_PROTECTION WHERE ref_date='${ref_date}' AND nome_perimetro='Individual Corporativo' AND segmento='ESTR' AND ambito='PILAR3')X</v>
      </c>
      <c r="J440" s="41" t="str">
        <f>"(SELECT "&amp;VLOOKUP(B440,'0. Instruções'!$C$27:$G$31,4,FALSE)&amp;" AS "&amp;VLOOKUP(B440,'0. Instruções'!$C$27:$G$31,4,FALSE)&amp;"_SIMUL, "&amp;F440&amp;" AS "&amp;F440&amp;"_SIMUL FROM "&amp;E440&amp;")Y"</f>
        <v>(SELECT prtctn_id AS prtctn_id_SIMUL, EP_SCR AS EP_SCR_SIMUL FROM BU_LOANTAPE_WORK.LT004_PROTECTION_P3_NOV24)Y</v>
      </c>
      <c r="K440" s="42" t="str">
        <f>+UPPER("ON X."&amp;VLOOKUP(B440,'0. Instruções'!$C$27:$G$31,4,FALSE)&amp;"=Y."&amp;VLOOKUP(B440,'0. Instruções'!$C$27:$G$31,4,FALSE)&amp;"_SIMUL")</f>
        <v>ON X.PRTCTN_ID=Y.PRTCTN_ID_SIMUL</v>
      </c>
      <c r="L440" s="42" t="str">
        <f>+IF(C440="Coerência", +IF(LEFT(G440,5)="FLOAT","SELECT '"&amp;UPPER(B440)&amp;"' AS TABELA, '"&amp;UPPER(C440)&amp;"' AS TIPOLOGIA_TESTE,'"&amp;D440&amp;"' AS TABELA_LT,'"&amp;E440&amp;"' AS TABELA_SIMUL,'"&amp;F440&amp;"' AS CAMPO, "&amp;"'${ref_date}' AS REF_DATE, COUNT(*) AS NUM_REG, SUM(IF((ABS(COALESCE(X."&amp;F440&amp;",0)-COALESCE(Y."&amp;F440&amp;"_SIMUL,0))&gt;0.0000000001) OR (X."&amp;F440&amp;" IS NULL AND Y."&amp;F440&amp;"_SIMUL IS NOT NULL ) OR (X."&amp;F440&amp;" IS NOT NULL AND Y."&amp;F440&amp;"_SIMUL IS NULL),1,0)) AS NUM_REG_DIF,'"&amp;MAX('ID1&amp;5'!K:K)+1&amp;"' AS ID_EXEC, CURRENT_TIMESTAMP() AS TIME_EXEC FROM "&amp;I440&amp;" INNER JOIN "&amp;J440&amp;" "&amp;K440,"SELECT '"&amp;UPPER(B440)&amp;"' AS TABELA, '"&amp;UPPER(C440)&amp;"' AS TIPOLOGIA_TESTE,'"&amp;D440&amp;"' AS TABELA_LT,'"&amp;E440&amp;"' AS TABELA_SIMUL,'"&amp;F440&amp;"' AS CAMPO, "&amp;"'${ref_date}' AS REF_DATE, COUNT(*) AS NUM_REG, SUM(IF(COALESCE(CAST(X."&amp;F440&amp;" AS STRING),'')&lt;&gt;COALESCE(CAST(Y."&amp;F440&amp;"_SIMUL AS STRING),''),1,0)) AS NUM_REG_DIF,'"&amp;MAX('ID1&amp;5'!L:L)+1&amp;"' AS ID_EXEC, CURRENT_TIMESTAMP() AS TIME_EXEC FROM "&amp;I440&amp;" INNER JOIN "&amp;J440&amp;" "&amp;K440),
IF(C440="Validade",+IF(G440="Code List","SELECT '"&amp;UPPER(B440)&amp;"' AS TABELA, '"&amp;UPPER(C440)&amp;"' AS TIPOLOGIA_TESTE,'"&amp;D440&amp;"' AS TABELA_LT,'N/A' AS TABELA_SIMUL,'"&amp;F440&amp;"' AS CAMPO, "&amp;"'${ref_date}' AS REF_DATE, COUNT(*) AS NUM_REG, SUM(IF(TRIM(CAST(X."&amp;F440&amp;" AS STRING))='' OR TRIM(CAST(X."&amp;F440&amp;" AS STRING)) IS NULL OR CAST(X."&amp;F440&amp;" AS STRING) NOT "&amp;H440&amp;",1,0)) AS NUM_REG_DIF,'"&amp;MAX('ID1&amp;5'!K:K)+1&amp;"' AS ID_EXEC, CURRENT_TIMESTAMP() AS TIME_EXEC FROM "&amp;I440,"SELECT '"&amp;UPPER(B440)&amp;"' AS TABELA, '"&amp;UPPER(C440)&amp;"' AS TIPOLOGIA_TESTE,'"&amp;D440&amp;"' AS TABELA_LT,'N/A' AS TABELA_SIMUL,'"&amp;F440&amp;"' AS CAMPO, "&amp;"'${ref_date}' AS REF_DATE, COUNT(*) AS NUM_REG, SUM(IF(TRIM(CAST(X."&amp;F440&amp;" AS STRING))='' OR TRIM(CAST(X."&amp;F440&amp;" AS STRING)) IS NULL,1,0)) AS NUM_REG_DIF,'"&amp;MAX('ID1&amp;5'!K:K)+1&amp;"' AS ID_EXEC, CURRENT_TIMESTAMP() AS TIME_EXEC FROM "&amp;I440),
IF(C440="Caracteres Especiais",+"SELECT '"&amp;UPPER(B440)&amp;"' AS TABELA, '"&amp;UPPER(C440)&amp;"' AS TIPOLOGIA_TESTE,'"&amp;D440&amp;"' AS TABELA_LT,'N/A' AS TABELA_SIMUL,'"&amp;F440&amp;"' AS CAMPO, "&amp;"'${ref_date}' AS REF_DATE, COUNT(*) AS NUM_REG, SUM(IF(INSTR(CAST(X."&amp;F440&amp;" AS STRING),'#')&gt;0 OR INSTR(CAST(X."&amp;F440&amp;" AS STRING),'*')&gt;0 OR INSTR(CAST(X."&amp;F440&amp;" AS STRING),'`')&gt;0 OR INSTR(CAST(X."&amp;F440&amp;" AS STRING),'´')&gt;0 OR INSTR(CAST(X."&amp;F440&amp;" AS STRING),'{')&gt;0 OR INSTR(CAST(X."&amp;F440&amp;" AS STRING),'}')&gt;0 OR INSTR(CAST(X."&amp;F440&amp;" AS STRING),'[')&gt;0 OR INSTR(CAST(X."&amp;F440&amp;" AS STRING),'')&gt;0 OR INSTR(CAST(X."&amp;F440&amp;" AS STRING),']')&gt;0 OR INSTR(CAST(X."&amp;F440&amp;" AS STRING),'?')&gt;0 OR INSTR(CAST(X."&amp;F440&amp;" AS STRING),'!')&gt;0 OR INSTR(CAST(X."&amp;F440&amp;" AS STRING),'$')&gt;0 OR INSTR(CAST(X."&amp;F440&amp;" AS STRING),'%')&gt;0 OR INSTR(CAST(X."&amp;F440&amp;" AS STRING),'&amp;')&gt;0 OR INSTR(CAST(X."&amp;F440&amp;" AS STRING),'+')&gt;0,1,0)) AS NUM_REG_DIF,'"&amp;MAX('ID1&amp;5'!K:K)+1&amp;"' AS ID_EXEC, CURRENT_TIMESTAMP() AS TIME_EXEC FROM "&amp;I440,
IF(C440="Missings",+"SELECT '"&amp;UPPER(B440)&amp;"' AS TABELA, '"&amp;UPPER(C440)&amp;"' AS TIPOLOGIA_TESTE,'"&amp;D440&amp;"' AS TABELA_LT,'N/A' AS TABELA_SIMUL,'"&amp;F440&amp;"' AS CAMPO, "&amp;"'${ref_date}' AS REF_DATE, COUNT(*) AS NUM_REG, SUM(IF(TRIM(CAST(X."&amp;F440&amp;" AS STRING)) IN ('0000-00-00','0001-01-01','9999-12-31','MISS','00000','99999999999','99999999999.00','99999999999.000000'),1,0)) AS NUM_REG_DIF,'"&amp;MAX('ID1&amp;5'!K:K)+1&amp;"' AS ID_EXEC, CURRENT_TIMESTAMP() AS TIME_EXEC FROM "&amp;I440,
IF(C440="Not applicable",+"SELECT '"&amp;UPPER(B440)&amp;"' AS TABELA, '"&amp;UPPER(C440)&amp;"' AS TIPOLOGIA_TESTE,'"&amp;D440&amp;"' AS TABELA_LT,'N/A' AS TABELA_SIMUL,'"&amp;F440&amp;"' AS CAMPO, "&amp;"'${ref_date}' AS REF_DATE, COUNT(*) AS NUM_REG, SUM(IF(TRIM(CAST(X."&amp;F440&amp;" AS STRING)) IN ('N/A','11111111111','11111111111.00','11111111111.000000','1111-11-11'),1,0)) AS NUM_REG_DIF,'"&amp;MAX('ID1&amp;5'!K:K)+1&amp;"' AS ID_EXEC, CURRENT_TIMESTAMP() AS TIME_EXEC FROM "&amp;I440,
IF(C440="Valores extremos",+"SELECT '"&amp;UPPER(B440)&amp;"' AS TABELA, '"&amp;UPPER(C440)&amp;"' AS TIPOLOGIA_TESTE,'"&amp;D440&amp;"' AS TABELA_LT,'N/A' AS TABELA_SIMUL,'"&amp;F440&amp;"' AS CAMPO, "&amp;"'${ref_date}' AS REF_DATE, CAST(MIN("&amp;F440&amp;") AS STRING) AS VALOR_MIN, CAST(MAX("&amp;F440&amp;") AS STRING) AS VALOR_MAX,'"&amp;MAX('ID1&amp;5'!K:K)+1&amp;"' AS ID_EXEC, CURRENT_TIMESTAMP() AS TIME_EXEC FROM "&amp;MID(I440,1,LEN(I440)-2)&amp;" AND CAST("&amp;F440&amp;"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TABELA_SIMUL,'EP_SCR' AS CAMPO, '${ref_date}' AS REF_DATE, COUNT(*) AS NUM_REG, SUM(IF(TRIM(CAST(X.EP_SCR AS STRING)) IN ('N/A','11111111111','11111111111.00','11111111111.000000','1111-11-11'),1,0)) AS NUM_REG_DIF,'10' AS ID_EXEC, CURRENT_TIMESTAMP() AS TIME_EXEC FROM (SELECT prtctn_id, EP_SCR FROM BU_LOANTAPE_WORK.LT004_PROTECTION WHERE ref_date='${ref_date}' AND nome_perimetro='Individual Corporativo' AND segmento='ESTR' AND ambito='PILAR3')X</v>
      </c>
      <c r="M440" s="43" t="str">
        <f t="shared" si="7"/>
        <v>UNION ALL SELECT 'PROTECTION' AS TABELA, 'NOT APPLICABLE' AS TIPOLOGIA_TESTE,'BU_LOANTAPE_WORK.LT004_PROTECTION' AS TABELA_LT,'N/A' AS TABELA_SIMUL,'EP_SCR' AS CAMPO, '${ref_date}' AS REF_DATE, COUNT(*) AS NUM_REG, SUM(IF(TRIM(CAST(X.EP_SCR AS STRING)) IN ('N/A','11111111111','11111111111.00','11111111111.000000','1111-11-11'),1,0)) AS NUM_REG_DIF,'10' AS ID_EXEC, CURRENT_TIMESTAMP() AS TIME_EXEC FROM (SELECT prtctn_id, EP_SCR FROM BU_LOANTAPE_WORK.LT004_PROTECTION WHERE ref_date='${ref_date}' AND nome_perimetro='Individual Corporativo' AND segmento='ESTR' AND ambito='PILAR3')X</v>
      </c>
      <c r="N440" s="45" t="s">
        <v>13</v>
      </c>
    </row>
    <row r="441" spans="2:14">
      <c r="B441" s="41" t="s">
        <v>31</v>
      </c>
      <c r="C441" s="41" t="s">
        <v>78</v>
      </c>
      <c r="D441" s="41" t="str">
        <f>+UPPER('0. Instruções'!$D$33&amp;"."&amp;VLOOKUP(B441,'0. Instruções'!$C$27:$D$31,2,FALSE))</f>
        <v>BU_LOANTAPE_WORK.LT004_PROTECTION</v>
      </c>
      <c r="E441" s="41" t="str">
        <f>+UPPER('0. Instruções'!$D$34&amp;"."&amp;VLOOKUP(B441,'0. Instruções'!$C$27:$E$31,3,FALSE))</f>
        <v>BU_LOANTAPE_WORK.LT004_PROTECTION_P3_NOV24</v>
      </c>
      <c r="F441" s="41" t="s">
        <v>137</v>
      </c>
      <c r="G441" s="41" t="s">
        <v>209</v>
      </c>
      <c r="H441" s="41"/>
      <c r="I441" s="41" t="str">
        <f>"(SELECT "&amp;VLOOKUP(B441,'0. Instruções'!$C$27:$G$31,4,FALSE)&amp;", "&amp;F441&amp;" FROM "&amp;D441&amp;" WHERE "&amp;'0. Instruções'!$D$40&amp;")X"</f>
        <v>(SELECT prtctn_id, TYP_EPC_LBL FROM BU_LOANTAPE_WORK.LT004_PROTECTION WHERE ref_date='${ref_date}' AND nome_perimetro='Individual Corporativo' AND segmento='ESTR' AND ambito='PILAR3')X</v>
      </c>
      <c r="J441" s="41" t="str">
        <f>"(SELECT "&amp;VLOOKUP(B441,'0. Instruções'!$C$27:$G$31,4,FALSE)&amp;" AS "&amp;VLOOKUP(B441,'0. Instruções'!$C$27:$G$31,4,FALSE)&amp;"_SIMUL, "&amp;F441&amp;" AS "&amp;F441&amp;"_SIMUL FROM "&amp;E441&amp;")Y"</f>
        <v>(SELECT prtctn_id AS prtctn_id_SIMUL, TYP_EPC_LBL AS TYP_EPC_LBL_SIMUL FROM BU_LOANTAPE_WORK.LT004_PROTECTION_P3_NOV24)Y</v>
      </c>
      <c r="K441" s="42" t="str">
        <f>+UPPER("ON X."&amp;VLOOKUP(B441,'0. Instruções'!$C$27:$G$31,4,FALSE)&amp;"=Y."&amp;VLOOKUP(B441,'0. Instruções'!$C$27:$G$31,4,FALSE)&amp;"_SIMUL")</f>
        <v>ON X.PRTCTN_ID=Y.PRTCTN_ID_SIMUL</v>
      </c>
      <c r="L441" s="42" t="str">
        <f>+IF(C441="Coerência", +IF(LEFT(G441,5)="FLOAT","SELECT '"&amp;UPPER(B441)&amp;"' AS TABELA, '"&amp;UPPER(C441)&amp;"' AS TIPOLOGIA_TESTE,'"&amp;D441&amp;"' AS TABELA_LT,'"&amp;E441&amp;"' AS TABELA_SIMUL,'"&amp;F441&amp;"' AS CAMPO, "&amp;"'${ref_date}' AS REF_DATE, COUNT(*) AS NUM_REG, SUM(IF((ABS(COALESCE(X."&amp;F441&amp;",0)-COALESCE(Y."&amp;F441&amp;"_SIMUL,0))&gt;0.0000000001) OR (X."&amp;F441&amp;" IS NULL AND Y."&amp;F441&amp;"_SIMUL IS NOT NULL ) OR (X."&amp;F441&amp;" IS NOT NULL AND Y."&amp;F441&amp;"_SIMUL IS NULL),1,0)) AS NUM_REG_DIF,'"&amp;MAX('ID1&amp;5'!K:K)+1&amp;"' AS ID_EXEC, CURRENT_TIMESTAMP() AS TIME_EXEC FROM "&amp;I441&amp;" INNER JOIN "&amp;J441&amp;" "&amp;K441,"SELECT '"&amp;UPPER(B441)&amp;"' AS TABELA, '"&amp;UPPER(C441)&amp;"' AS TIPOLOGIA_TESTE,'"&amp;D441&amp;"' AS TABELA_LT,'"&amp;E441&amp;"' AS TABELA_SIMUL,'"&amp;F441&amp;"' AS CAMPO, "&amp;"'${ref_date}' AS REF_DATE, COUNT(*) AS NUM_REG, SUM(IF(COALESCE(CAST(X."&amp;F441&amp;" AS STRING),'')&lt;&gt;COALESCE(CAST(Y."&amp;F441&amp;"_SIMUL AS STRING),''),1,0)) AS NUM_REG_DIF,'"&amp;MAX('ID1&amp;5'!L:L)+1&amp;"' AS ID_EXEC, CURRENT_TIMESTAMP() AS TIME_EXEC FROM "&amp;I441&amp;" INNER JOIN "&amp;J441&amp;" "&amp;K441),
IF(C441="Validade",+IF(G441="Code List","SELECT '"&amp;UPPER(B441)&amp;"' AS TABELA, '"&amp;UPPER(C441)&amp;"' AS TIPOLOGIA_TESTE,'"&amp;D441&amp;"' AS TABELA_LT,'N/A' AS TABELA_SIMUL,'"&amp;F441&amp;"' AS CAMPO, "&amp;"'${ref_date}' AS REF_DATE, COUNT(*) AS NUM_REG, SUM(IF(TRIM(CAST(X."&amp;F441&amp;" AS STRING))='' OR TRIM(CAST(X."&amp;F441&amp;" AS STRING)) IS NULL OR CAST(X."&amp;F441&amp;" AS STRING) NOT "&amp;H441&amp;",1,0)) AS NUM_REG_DIF,'"&amp;MAX('ID1&amp;5'!K:K)+1&amp;"' AS ID_EXEC, CURRENT_TIMESTAMP() AS TIME_EXEC FROM "&amp;I441,"SELECT '"&amp;UPPER(B441)&amp;"' AS TABELA, '"&amp;UPPER(C441)&amp;"' AS TIPOLOGIA_TESTE,'"&amp;D441&amp;"' AS TABELA_LT,'N/A' AS TABELA_SIMUL,'"&amp;F441&amp;"' AS CAMPO, "&amp;"'${ref_date}' AS REF_DATE, COUNT(*) AS NUM_REG, SUM(IF(TRIM(CAST(X."&amp;F441&amp;" AS STRING))='' OR TRIM(CAST(X."&amp;F441&amp;" AS STRING)) IS NULL,1,0)) AS NUM_REG_DIF,'"&amp;MAX('ID1&amp;5'!K:K)+1&amp;"' AS ID_EXEC, CURRENT_TIMESTAMP() AS TIME_EXEC FROM "&amp;I441),
IF(C441="Caracteres Especiais",+"SELECT '"&amp;UPPER(B441)&amp;"' AS TABELA, '"&amp;UPPER(C441)&amp;"' AS TIPOLOGIA_TESTE,'"&amp;D441&amp;"' AS TABELA_LT,'N/A' AS TABELA_SIMUL,'"&amp;F441&amp;"' AS CAMPO, "&amp;"'${ref_date}' AS REF_DATE, COUNT(*) AS NUM_REG, SUM(IF(INSTR(CAST(X."&amp;F441&amp;" AS STRING),'#')&gt;0 OR INSTR(CAST(X."&amp;F441&amp;" AS STRING),'*')&gt;0 OR INSTR(CAST(X."&amp;F441&amp;" AS STRING),'`')&gt;0 OR INSTR(CAST(X."&amp;F441&amp;" AS STRING),'´')&gt;0 OR INSTR(CAST(X."&amp;F441&amp;" AS STRING),'{')&gt;0 OR INSTR(CAST(X."&amp;F441&amp;" AS STRING),'}')&gt;0 OR INSTR(CAST(X."&amp;F441&amp;" AS STRING),'[')&gt;0 OR INSTR(CAST(X."&amp;F441&amp;" AS STRING),'')&gt;0 OR INSTR(CAST(X."&amp;F441&amp;" AS STRING),']')&gt;0 OR INSTR(CAST(X."&amp;F441&amp;" AS STRING),'?')&gt;0 OR INSTR(CAST(X."&amp;F441&amp;" AS STRING),'!')&gt;0 OR INSTR(CAST(X."&amp;F441&amp;" AS STRING),'$')&gt;0 OR INSTR(CAST(X."&amp;F441&amp;" AS STRING),'%')&gt;0 OR INSTR(CAST(X."&amp;F441&amp;" AS STRING),'&amp;')&gt;0 OR INSTR(CAST(X."&amp;F441&amp;" AS STRING),'+')&gt;0,1,0)) AS NUM_REG_DIF,'"&amp;MAX('ID1&amp;5'!K:K)+1&amp;"' AS ID_EXEC, CURRENT_TIMESTAMP() AS TIME_EXEC FROM "&amp;I441,
IF(C441="Missings",+"SELECT '"&amp;UPPER(B441)&amp;"' AS TABELA, '"&amp;UPPER(C441)&amp;"' AS TIPOLOGIA_TESTE,'"&amp;D441&amp;"' AS TABELA_LT,'N/A' AS TABELA_SIMUL,'"&amp;F441&amp;"' AS CAMPO, "&amp;"'${ref_date}' AS REF_DATE, COUNT(*) AS NUM_REG, SUM(IF(TRIM(CAST(X."&amp;F441&amp;" AS STRING)) IN ('0000-00-00','0001-01-01','9999-12-31','MISS','00000','99999999999','99999999999.00','99999999999.000000'),1,0)) AS NUM_REG_DIF,'"&amp;MAX('ID1&amp;5'!K:K)+1&amp;"' AS ID_EXEC, CURRENT_TIMESTAMP() AS TIME_EXEC FROM "&amp;I441,
IF(C441="Not applicable",+"SELECT '"&amp;UPPER(B441)&amp;"' AS TABELA, '"&amp;UPPER(C441)&amp;"' AS TIPOLOGIA_TESTE,'"&amp;D441&amp;"' AS TABELA_LT,'N/A' AS TABELA_SIMUL,'"&amp;F441&amp;"' AS CAMPO, "&amp;"'${ref_date}' AS REF_DATE, COUNT(*) AS NUM_REG, SUM(IF(TRIM(CAST(X."&amp;F441&amp;" AS STRING)) IN ('N/A','11111111111','11111111111.00','11111111111.000000','1111-11-11'),1,0)) AS NUM_REG_DIF,'"&amp;MAX('ID1&amp;5'!K:K)+1&amp;"' AS ID_EXEC, CURRENT_TIMESTAMP() AS TIME_EXEC FROM "&amp;I441,
IF(C441="Valores extremos",+"SELECT '"&amp;UPPER(B441)&amp;"' AS TABELA, '"&amp;UPPER(C441)&amp;"' AS TIPOLOGIA_TESTE,'"&amp;D441&amp;"' AS TABELA_LT,'N/A' AS TABELA_SIMUL,'"&amp;F441&amp;"' AS CAMPO, "&amp;"'${ref_date}' AS REF_DATE, CAST(MIN("&amp;F441&amp;") AS STRING) AS VALOR_MIN, CAST(MAX("&amp;F441&amp;") AS STRING) AS VALOR_MAX,'"&amp;MAX('ID1&amp;5'!K:K)+1&amp;"' AS ID_EXEC, CURRENT_TIMESTAMP() AS TIME_EXEC FROM "&amp;MID(I441,1,LEN(I441)-2)&amp;" AND CAST("&amp;F441&amp;"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TABELA_SIMUL,'TYP_EPC_LBL' AS CAMPO, '${ref_date}' AS REF_DATE, COUNT(*) AS NUM_REG, SUM(IF(TRIM(CAST(X.TYP_EPC_LBL AS STRING)) IN ('N/A','11111111111','11111111111.00','11111111111.000000','1111-11-11'),1,0)) AS NUM_REG_DIF,'10' AS ID_EXEC, CURRENT_TIMESTAMP() AS TIME_EXEC FROM (SELECT prtctn_id, TYP_EPC_LBL FROM BU_LOANTAPE_WORK.LT004_PROTECTION WHERE ref_date='${ref_date}' AND nome_perimetro='Individual Corporativo' AND segmento='ESTR' AND ambito='PILAR3')X</v>
      </c>
      <c r="M441" s="43" t="str">
        <f t="shared" si="7"/>
        <v>UNION ALL SELECT 'PROTECTION' AS TABELA, 'NOT APPLICABLE' AS TIPOLOGIA_TESTE,'BU_LOANTAPE_WORK.LT004_PROTECTION' AS TABELA_LT,'N/A' AS TABELA_SIMUL,'TYP_EPC_LBL' AS CAMPO, '${ref_date}' AS REF_DATE, COUNT(*) AS NUM_REG, SUM(IF(TRIM(CAST(X.TYP_EPC_LBL AS STRING)) IN ('N/A','11111111111','11111111111.00','11111111111.000000','1111-11-11'),1,0)) AS NUM_REG_DIF,'10' AS ID_EXEC, CURRENT_TIMESTAMP() AS TIME_EXEC FROM (SELECT prtctn_id, TYP_EPC_LBL FROM BU_LOANTAPE_WORK.LT004_PROTECTION WHERE ref_date='${ref_date}' AND nome_perimetro='Individual Corporativo' AND segmento='ESTR' AND ambito='PILAR3')X</v>
      </c>
      <c r="N441" s="45" t="s">
        <v>13</v>
      </c>
    </row>
    <row r="442" spans="2:14">
      <c r="B442" s="41" t="s">
        <v>31</v>
      </c>
      <c r="C442" s="41" t="s">
        <v>78</v>
      </c>
      <c r="D442" s="41" t="str">
        <f>+UPPER('0. Instruções'!$D$33&amp;"."&amp;VLOOKUP(B442,'0. Instruções'!$C$27:$D$31,2,FALSE))</f>
        <v>BU_LOANTAPE_WORK.LT004_PROTECTION</v>
      </c>
      <c r="E442" s="41" t="str">
        <f>+UPPER('0. Instruções'!$D$34&amp;"."&amp;VLOOKUP(B442,'0. Instruções'!$C$27:$E$31,3,FALSE))</f>
        <v>BU_LOANTAPE_WORK.LT004_PROTECTION_P3_NOV24</v>
      </c>
      <c r="F442" s="41" t="s">
        <v>138</v>
      </c>
      <c r="G442" s="41" t="s">
        <v>209</v>
      </c>
      <c r="H442" s="41"/>
      <c r="I442" s="41" t="str">
        <f>"(SELECT "&amp;VLOOKUP(B442,'0. Instruções'!$C$27:$G$31,4,FALSE)&amp;", "&amp;F442&amp;" FROM "&amp;D442&amp;" WHERE "&amp;'0. Instruções'!$D$40&amp;")X"</f>
        <v>(SELECT prtctn_id, EPC_LBL FROM BU_LOANTAPE_WORK.LT004_PROTECTION WHERE ref_date='${ref_date}' AND nome_perimetro='Individual Corporativo' AND segmento='ESTR' AND ambito='PILAR3')X</v>
      </c>
      <c r="J442" s="41" t="str">
        <f>"(SELECT "&amp;VLOOKUP(B442,'0. Instruções'!$C$27:$G$31,4,FALSE)&amp;" AS "&amp;VLOOKUP(B442,'0. Instruções'!$C$27:$G$31,4,FALSE)&amp;"_SIMUL, "&amp;F442&amp;" AS "&amp;F442&amp;"_SIMUL FROM "&amp;E442&amp;")Y"</f>
        <v>(SELECT prtctn_id AS prtctn_id_SIMUL, EPC_LBL AS EPC_LBL_SIMUL FROM BU_LOANTAPE_WORK.LT004_PROTECTION_P3_NOV24)Y</v>
      </c>
      <c r="K442" s="42" t="str">
        <f>+UPPER("ON X."&amp;VLOOKUP(B442,'0. Instruções'!$C$27:$G$31,4,FALSE)&amp;"=Y."&amp;VLOOKUP(B442,'0. Instruções'!$C$27:$G$31,4,FALSE)&amp;"_SIMUL")</f>
        <v>ON X.PRTCTN_ID=Y.PRTCTN_ID_SIMUL</v>
      </c>
      <c r="L442" s="42" t="str">
        <f>+IF(C442="Coerência", +IF(LEFT(G442,5)="FLOAT","SELECT '"&amp;UPPER(B442)&amp;"' AS TABELA, '"&amp;UPPER(C442)&amp;"' AS TIPOLOGIA_TESTE,'"&amp;D442&amp;"' AS TABELA_LT,'"&amp;E442&amp;"' AS TABELA_SIMUL,'"&amp;F442&amp;"' AS CAMPO, "&amp;"'${ref_date}' AS REF_DATE, COUNT(*) AS NUM_REG, SUM(IF((ABS(COALESCE(X."&amp;F442&amp;",0)-COALESCE(Y."&amp;F442&amp;"_SIMUL,0))&gt;0.0000000001) OR (X."&amp;F442&amp;" IS NULL AND Y."&amp;F442&amp;"_SIMUL IS NOT NULL ) OR (X."&amp;F442&amp;" IS NOT NULL AND Y."&amp;F442&amp;"_SIMUL IS NULL),1,0)) AS NUM_REG_DIF,'"&amp;MAX('ID1&amp;5'!K:K)+1&amp;"' AS ID_EXEC, CURRENT_TIMESTAMP() AS TIME_EXEC FROM "&amp;I442&amp;" INNER JOIN "&amp;J442&amp;" "&amp;K442,"SELECT '"&amp;UPPER(B442)&amp;"' AS TABELA, '"&amp;UPPER(C442)&amp;"' AS TIPOLOGIA_TESTE,'"&amp;D442&amp;"' AS TABELA_LT,'"&amp;E442&amp;"' AS TABELA_SIMUL,'"&amp;F442&amp;"' AS CAMPO, "&amp;"'${ref_date}' AS REF_DATE, COUNT(*) AS NUM_REG, SUM(IF(COALESCE(CAST(X."&amp;F442&amp;" AS STRING),'')&lt;&gt;COALESCE(CAST(Y."&amp;F442&amp;"_SIMUL AS STRING),''),1,0)) AS NUM_REG_DIF,'"&amp;MAX('ID1&amp;5'!L:L)+1&amp;"' AS ID_EXEC, CURRENT_TIMESTAMP() AS TIME_EXEC FROM "&amp;I442&amp;" INNER JOIN "&amp;J442&amp;" "&amp;K442),
IF(C442="Validade",+IF(G442="Code List","SELECT '"&amp;UPPER(B442)&amp;"' AS TABELA, '"&amp;UPPER(C442)&amp;"' AS TIPOLOGIA_TESTE,'"&amp;D442&amp;"' AS TABELA_LT,'N/A' AS TABELA_SIMUL,'"&amp;F442&amp;"' AS CAMPO, "&amp;"'${ref_date}' AS REF_DATE, COUNT(*) AS NUM_REG, SUM(IF(TRIM(CAST(X."&amp;F442&amp;" AS STRING))='' OR TRIM(CAST(X."&amp;F442&amp;" AS STRING)) IS NULL OR CAST(X."&amp;F442&amp;" AS STRING) NOT "&amp;H442&amp;",1,0)) AS NUM_REG_DIF,'"&amp;MAX('ID1&amp;5'!K:K)+1&amp;"' AS ID_EXEC, CURRENT_TIMESTAMP() AS TIME_EXEC FROM "&amp;I442,"SELECT '"&amp;UPPER(B442)&amp;"' AS TABELA, '"&amp;UPPER(C442)&amp;"' AS TIPOLOGIA_TESTE,'"&amp;D442&amp;"' AS TABELA_LT,'N/A' AS TABELA_SIMUL,'"&amp;F442&amp;"' AS CAMPO, "&amp;"'${ref_date}' AS REF_DATE, COUNT(*) AS NUM_REG, SUM(IF(TRIM(CAST(X."&amp;F442&amp;" AS STRING))='' OR TRIM(CAST(X."&amp;F442&amp;" AS STRING)) IS NULL,1,0)) AS NUM_REG_DIF,'"&amp;MAX('ID1&amp;5'!K:K)+1&amp;"' AS ID_EXEC, CURRENT_TIMESTAMP() AS TIME_EXEC FROM "&amp;I442),
IF(C442="Caracteres Especiais",+"SELECT '"&amp;UPPER(B442)&amp;"' AS TABELA, '"&amp;UPPER(C442)&amp;"' AS TIPOLOGIA_TESTE,'"&amp;D442&amp;"' AS TABELA_LT,'N/A' AS TABELA_SIMUL,'"&amp;F442&amp;"' AS CAMPO, "&amp;"'${ref_date}' AS REF_DATE, COUNT(*) AS NUM_REG, SUM(IF(INSTR(CAST(X."&amp;F442&amp;" AS STRING),'#')&gt;0 OR INSTR(CAST(X."&amp;F442&amp;" AS STRING),'*')&gt;0 OR INSTR(CAST(X."&amp;F442&amp;" AS STRING),'`')&gt;0 OR INSTR(CAST(X."&amp;F442&amp;" AS STRING),'´')&gt;0 OR INSTR(CAST(X."&amp;F442&amp;" AS STRING),'{')&gt;0 OR INSTR(CAST(X."&amp;F442&amp;" AS STRING),'}')&gt;0 OR INSTR(CAST(X."&amp;F442&amp;" AS STRING),'[')&gt;0 OR INSTR(CAST(X."&amp;F442&amp;" AS STRING),'')&gt;0 OR INSTR(CAST(X."&amp;F442&amp;" AS STRING),']')&gt;0 OR INSTR(CAST(X."&amp;F442&amp;" AS STRING),'?')&gt;0 OR INSTR(CAST(X."&amp;F442&amp;" AS STRING),'!')&gt;0 OR INSTR(CAST(X."&amp;F442&amp;" AS STRING),'$')&gt;0 OR INSTR(CAST(X."&amp;F442&amp;" AS STRING),'%')&gt;0 OR INSTR(CAST(X."&amp;F442&amp;" AS STRING),'&amp;')&gt;0 OR INSTR(CAST(X."&amp;F442&amp;" AS STRING),'+')&gt;0,1,0)) AS NUM_REG_DIF,'"&amp;MAX('ID1&amp;5'!K:K)+1&amp;"' AS ID_EXEC, CURRENT_TIMESTAMP() AS TIME_EXEC FROM "&amp;I442,
IF(C442="Missings",+"SELECT '"&amp;UPPER(B442)&amp;"' AS TABELA, '"&amp;UPPER(C442)&amp;"' AS TIPOLOGIA_TESTE,'"&amp;D442&amp;"' AS TABELA_LT,'N/A' AS TABELA_SIMUL,'"&amp;F442&amp;"' AS CAMPO, "&amp;"'${ref_date}' AS REF_DATE, COUNT(*) AS NUM_REG, SUM(IF(TRIM(CAST(X."&amp;F442&amp;" AS STRING)) IN ('0000-00-00','0001-01-01','9999-12-31','MISS','00000','99999999999','99999999999.00','99999999999.000000'),1,0)) AS NUM_REG_DIF,'"&amp;MAX('ID1&amp;5'!K:K)+1&amp;"' AS ID_EXEC, CURRENT_TIMESTAMP() AS TIME_EXEC FROM "&amp;I442,
IF(C442="Not applicable",+"SELECT '"&amp;UPPER(B442)&amp;"' AS TABELA, '"&amp;UPPER(C442)&amp;"' AS TIPOLOGIA_TESTE,'"&amp;D442&amp;"' AS TABELA_LT,'N/A' AS TABELA_SIMUL,'"&amp;F442&amp;"' AS CAMPO, "&amp;"'${ref_date}' AS REF_DATE, COUNT(*) AS NUM_REG, SUM(IF(TRIM(CAST(X."&amp;F442&amp;" AS STRING)) IN ('N/A','11111111111','11111111111.00','11111111111.000000','1111-11-11'),1,0)) AS NUM_REG_DIF,'"&amp;MAX('ID1&amp;5'!K:K)+1&amp;"' AS ID_EXEC, CURRENT_TIMESTAMP() AS TIME_EXEC FROM "&amp;I442,
IF(C442="Valores extremos",+"SELECT '"&amp;UPPER(B442)&amp;"' AS TABELA, '"&amp;UPPER(C442)&amp;"' AS TIPOLOGIA_TESTE,'"&amp;D442&amp;"' AS TABELA_LT,'N/A' AS TABELA_SIMUL,'"&amp;F442&amp;"' AS CAMPO, "&amp;"'${ref_date}' AS REF_DATE, CAST(MIN("&amp;F442&amp;") AS STRING) AS VALOR_MIN, CAST(MAX("&amp;F442&amp;") AS STRING) AS VALOR_MAX,'"&amp;MAX('ID1&amp;5'!K:K)+1&amp;"' AS ID_EXEC, CURRENT_TIMESTAMP() AS TIME_EXEC FROM "&amp;MID(I442,1,LEN(I442)-2)&amp;" AND CAST("&amp;F442&amp;"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TABELA_SIMUL,'EPC_LBL' AS CAMPO, '${ref_date}' AS REF_DATE, COUNT(*) AS NUM_REG, SUM(IF(TRIM(CAST(X.EPC_LBL AS STRING)) IN ('N/A','11111111111','11111111111.00','11111111111.000000','1111-11-11'),1,0)) AS NUM_REG_DIF,'10' AS ID_EXEC, CURRENT_TIMESTAMP() AS TIME_EXEC FROM (SELECT prtctn_id, EPC_LBL FROM BU_LOANTAPE_WORK.LT004_PROTECTION WHERE ref_date='${ref_date}' AND nome_perimetro='Individual Corporativo' AND segmento='ESTR' AND ambito='PILAR3')X</v>
      </c>
      <c r="M442" s="43" t="str">
        <f t="shared" si="7"/>
        <v>UNION ALL SELECT 'PROTECTION' AS TABELA, 'NOT APPLICABLE' AS TIPOLOGIA_TESTE,'BU_LOANTAPE_WORK.LT004_PROTECTION' AS TABELA_LT,'N/A' AS TABELA_SIMUL,'EPC_LBL' AS CAMPO, '${ref_date}' AS REF_DATE, COUNT(*) AS NUM_REG, SUM(IF(TRIM(CAST(X.EPC_LBL AS STRING)) IN ('N/A','11111111111','11111111111.00','11111111111.000000','1111-11-11'),1,0)) AS NUM_REG_DIF,'10' AS ID_EXEC, CURRENT_TIMESTAMP() AS TIME_EXEC FROM (SELECT prtctn_id, EPC_LBL FROM BU_LOANTAPE_WORK.LT004_PROTECTION WHERE ref_date='${ref_date}' AND nome_perimetro='Individual Corporativo' AND segmento='ESTR' AND ambito='PILAR3')X</v>
      </c>
      <c r="N442" s="45" t="s">
        <v>13</v>
      </c>
    </row>
    <row r="443" spans="2:14">
      <c r="B443" s="41" t="s">
        <v>31</v>
      </c>
      <c r="C443" s="41" t="s">
        <v>78</v>
      </c>
      <c r="D443" s="41" t="str">
        <f>+UPPER('0. Instruções'!$D$33&amp;"."&amp;VLOOKUP(B443,'0. Instruções'!$C$27:$D$31,2,FALSE))</f>
        <v>BU_LOANTAPE_WORK.LT004_PROTECTION</v>
      </c>
      <c r="E443" s="41" t="str">
        <f>+UPPER('0. Instruções'!$D$34&amp;"."&amp;VLOOKUP(B443,'0. Instruções'!$C$27:$E$31,3,FALSE))</f>
        <v>BU_LOANTAPE_WORK.LT004_PROTECTION_P3_NOV24</v>
      </c>
      <c r="F443" s="41" t="s">
        <v>139</v>
      </c>
      <c r="G443" s="41" t="s">
        <v>210</v>
      </c>
      <c r="H443" s="41"/>
      <c r="I443" s="41" t="str">
        <f>"(SELECT "&amp;VLOOKUP(B443,'0. Instruções'!$C$27:$G$31,4,FALSE)&amp;", "&amp;F443&amp;" FROM "&amp;D443&amp;" WHERE "&amp;'0. Instruções'!$D$40&amp;")X"</f>
        <v>(SELECT prtctn_id, EMSSNS_SCP1_PRTCTN FROM BU_LOANTAPE_WORK.LT004_PROTECTION WHERE ref_date='${ref_date}' AND nome_perimetro='Individual Corporativo' AND segmento='ESTR' AND ambito='PILAR3')X</v>
      </c>
      <c r="J443" s="41" t="str">
        <f>"(SELECT "&amp;VLOOKUP(B443,'0. Instruções'!$C$27:$G$31,4,FALSE)&amp;" AS "&amp;VLOOKUP(B443,'0. Instruções'!$C$27:$G$31,4,FALSE)&amp;"_SIMUL, "&amp;F443&amp;" AS "&amp;F443&amp;"_SIMUL FROM "&amp;E443&amp;")Y"</f>
        <v>(SELECT prtctn_id AS prtctn_id_SIMUL, EMSSNS_SCP1_PRTCTN AS EMSSNS_SCP1_PRTCTN_SIMUL FROM BU_LOANTAPE_WORK.LT004_PROTECTION_P3_NOV24)Y</v>
      </c>
      <c r="K443" s="42" t="str">
        <f>+UPPER("ON X."&amp;VLOOKUP(B443,'0. Instruções'!$C$27:$G$31,4,FALSE)&amp;"=Y."&amp;VLOOKUP(B443,'0. Instruções'!$C$27:$G$31,4,FALSE)&amp;"_SIMUL")</f>
        <v>ON X.PRTCTN_ID=Y.PRTCTN_ID_SIMUL</v>
      </c>
      <c r="L443" s="42" t="str">
        <f>+IF(C443="Coerência", +IF(LEFT(G443,5)="FLOAT","SELECT '"&amp;UPPER(B443)&amp;"' AS TABELA, '"&amp;UPPER(C443)&amp;"' AS TIPOLOGIA_TESTE,'"&amp;D443&amp;"' AS TABELA_LT,'"&amp;E443&amp;"' AS TABELA_SIMUL,'"&amp;F443&amp;"' AS CAMPO, "&amp;"'${ref_date}' AS REF_DATE, COUNT(*) AS NUM_REG, SUM(IF((ABS(COALESCE(X."&amp;F443&amp;",0)-COALESCE(Y."&amp;F443&amp;"_SIMUL,0))&gt;0.0000000001) OR (X."&amp;F443&amp;" IS NULL AND Y."&amp;F443&amp;"_SIMUL IS NOT NULL ) OR (X."&amp;F443&amp;" IS NOT NULL AND Y."&amp;F443&amp;"_SIMUL IS NULL),1,0)) AS NUM_REG_DIF,'"&amp;MAX('ID1&amp;5'!K:K)+1&amp;"' AS ID_EXEC, CURRENT_TIMESTAMP() AS TIME_EXEC FROM "&amp;I443&amp;" INNER JOIN "&amp;J443&amp;" "&amp;K443,"SELECT '"&amp;UPPER(B443)&amp;"' AS TABELA, '"&amp;UPPER(C443)&amp;"' AS TIPOLOGIA_TESTE,'"&amp;D443&amp;"' AS TABELA_LT,'"&amp;E443&amp;"' AS TABELA_SIMUL,'"&amp;F443&amp;"' AS CAMPO, "&amp;"'${ref_date}' AS REF_DATE, COUNT(*) AS NUM_REG, SUM(IF(COALESCE(CAST(X."&amp;F443&amp;" AS STRING),'')&lt;&gt;COALESCE(CAST(Y."&amp;F443&amp;"_SIMUL AS STRING),''),1,0)) AS NUM_REG_DIF,'"&amp;MAX('ID1&amp;5'!L:L)+1&amp;"' AS ID_EXEC, CURRENT_TIMESTAMP() AS TIME_EXEC FROM "&amp;I443&amp;" INNER JOIN "&amp;J443&amp;" "&amp;K443),
IF(C443="Validade",+IF(G443="Code List","SELECT '"&amp;UPPER(B443)&amp;"' AS TABELA, '"&amp;UPPER(C443)&amp;"' AS TIPOLOGIA_TESTE,'"&amp;D443&amp;"' AS TABELA_LT,'N/A' AS TABELA_SIMUL,'"&amp;F443&amp;"' AS CAMPO, "&amp;"'${ref_date}' AS REF_DATE, COUNT(*) AS NUM_REG, SUM(IF(TRIM(CAST(X."&amp;F443&amp;" AS STRING))='' OR TRIM(CAST(X."&amp;F443&amp;" AS STRING)) IS NULL OR CAST(X."&amp;F443&amp;" AS STRING) NOT "&amp;H443&amp;",1,0)) AS NUM_REG_DIF,'"&amp;MAX('ID1&amp;5'!K:K)+1&amp;"' AS ID_EXEC, CURRENT_TIMESTAMP() AS TIME_EXEC FROM "&amp;I443,"SELECT '"&amp;UPPER(B443)&amp;"' AS TABELA, '"&amp;UPPER(C443)&amp;"' AS TIPOLOGIA_TESTE,'"&amp;D443&amp;"' AS TABELA_LT,'N/A' AS TABELA_SIMUL,'"&amp;F443&amp;"' AS CAMPO, "&amp;"'${ref_date}' AS REF_DATE, COUNT(*) AS NUM_REG, SUM(IF(TRIM(CAST(X."&amp;F443&amp;" AS STRING))='' OR TRIM(CAST(X."&amp;F443&amp;" AS STRING)) IS NULL,1,0)) AS NUM_REG_DIF,'"&amp;MAX('ID1&amp;5'!K:K)+1&amp;"' AS ID_EXEC, CURRENT_TIMESTAMP() AS TIME_EXEC FROM "&amp;I443),
IF(C443="Caracteres Especiais",+"SELECT '"&amp;UPPER(B443)&amp;"' AS TABELA, '"&amp;UPPER(C443)&amp;"' AS TIPOLOGIA_TESTE,'"&amp;D443&amp;"' AS TABELA_LT,'N/A' AS TABELA_SIMUL,'"&amp;F443&amp;"' AS CAMPO, "&amp;"'${ref_date}' AS REF_DATE, COUNT(*) AS NUM_REG, SUM(IF(INSTR(CAST(X."&amp;F443&amp;" AS STRING),'#')&gt;0 OR INSTR(CAST(X."&amp;F443&amp;" AS STRING),'*')&gt;0 OR INSTR(CAST(X."&amp;F443&amp;" AS STRING),'`')&gt;0 OR INSTR(CAST(X."&amp;F443&amp;" AS STRING),'´')&gt;0 OR INSTR(CAST(X."&amp;F443&amp;" AS STRING),'{')&gt;0 OR INSTR(CAST(X."&amp;F443&amp;" AS STRING),'}')&gt;0 OR INSTR(CAST(X."&amp;F443&amp;" AS STRING),'[')&gt;0 OR INSTR(CAST(X."&amp;F443&amp;" AS STRING),'')&gt;0 OR INSTR(CAST(X."&amp;F443&amp;" AS STRING),']')&gt;0 OR INSTR(CAST(X."&amp;F443&amp;" AS STRING),'?')&gt;0 OR INSTR(CAST(X."&amp;F443&amp;" AS STRING),'!')&gt;0 OR INSTR(CAST(X."&amp;F443&amp;" AS STRING),'$')&gt;0 OR INSTR(CAST(X."&amp;F443&amp;" AS STRING),'%')&gt;0 OR INSTR(CAST(X."&amp;F443&amp;" AS STRING),'&amp;')&gt;0 OR INSTR(CAST(X."&amp;F443&amp;" AS STRING),'+')&gt;0,1,0)) AS NUM_REG_DIF,'"&amp;MAX('ID1&amp;5'!K:K)+1&amp;"' AS ID_EXEC, CURRENT_TIMESTAMP() AS TIME_EXEC FROM "&amp;I443,
IF(C443="Missings",+"SELECT '"&amp;UPPER(B443)&amp;"' AS TABELA, '"&amp;UPPER(C443)&amp;"' AS TIPOLOGIA_TESTE,'"&amp;D443&amp;"' AS TABELA_LT,'N/A' AS TABELA_SIMUL,'"&amp;F443&amp;"' AS CAMPO, "&amp;"'${ref_date}' AS REF_DATE, COUNT(*) AS NUM_REG, SUM(IF(TRIM(CAST(X."&amp;F443&amp;" AS STRING)) IN ('0000-00-00','0001-01-01','9999-12-31','MISS','00000','99999999999','99999999999.00','99999999999.000000'),1,0)) AS NUM_REG_DIF,'"&amp;MAX('ID1&amp;5'!K:K)+1&amp;"' AS ID_EXEC, CURRENT_TIMESTAMP() AS TIME_EXEC FROM "&amp;I443,
IF(C443="Not applicable",+"SELECT '"&amp;UPPER(B443)&amp;"' AS TABELA, '"&amp;UPPER(C443)&amp;"' AS TIPOLOGIA_TESTE,'"&amp;D443&amp;"' AS TABELA_LT,'N/A' AS TABELA_SIMUL,'"&amp;F443&amp;"' AS CAMPO, "&amp;"'${ref_date}' AS REF_DATE, COUNT(*) AS NUM_REG, SUM(IF(TRIM(CAST(X."&amp;F443&amp;" AS STRING)) IN ('N/A','11111111111','11111111111.00','11111111111.000000','1111-11-11'),1,0)) AS NUM_REG_DIF,'"&amp;MAX('ID1&amp;5'!K:K)+1&amp;"' AS ID_EXEC, CURRENT_TIMESTAMP() AS TIME_EXEC FROM "&amp;I443,
IF(C443="Valores extremos",+"SELECT '"&amp;UPPER(B443)&amp;"' AS TABELA, '"&amp;UPPER(C443)&amp;"' AS TIPOLOGIA_TESTE,'"&amp;D443&amp;"' AS TABELA_LT,'N/A' AS TABELA_SIMUL,'"&amp;F443&amp;"' AS CAMPO, "&amp;"'${ref_date}' AS REF_DATE, CAST(MIN("&amp;F443&amp;") AS STRING) AS VALOR_MIN, CAST(MAX("&amp;F443&amp;") AS STRING) AS VALOR_MAX,'"&amp;MAX('ID1&amp;5'!K:K)+1&amp;"' AS ID_EXEC, CURRENT_TIMESTAMP() AS TIME_EXEC FROM "&amp;MID(I443,1,LEN(I443)-2)&amp;" AND CAST("&amp;F443&amp;"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TABELA_SIMUL,'EMSSNS_SCP1_PRTCTN' AS CAMPO, '${ref_date}' AS REF_DATE, COUNT(*) AS NUM_REG, SUM(IF(TRIM(CAST(X.EMSSNS_SCP1_PRTCTN AS STRING)) IN ('N/A','11111111111','11111111111.00','11111111111.000000','1111-11-11'),1,0)) AS NUM_REG_DIF,'10' AS ID_EXEC, CURRENT_TIMESTAMP() AS TIME_EXEC FROM (SELECT prtctn_id, EMSSNS_SCP1_PRTCTN FROM BU_LOANTAPE_WORK.LT004_PROTECTION WHERE ref_date='${ref_date}' AND nome_perimetro='Individual Corporativo' AND segmento='ESTR' AND ambito='PILAR3')X</v>
      </c>
      <c r="M443" s="43" t="str">
        <f t="shared" si="7"/>
        <v>UNION ALL SELECT 'PROTECTION' AS TABELA, 'NOT APPLICABLE' AS TIPOLOGIA_TESTE,'BU_LOANTAPE_WORK.LT004_PROTECTION' AS TABELA_LT,'N/A' AS TABELA_SIMUL,'EMSSNS_SCP1_PRTCTN' AS CAMPO, '${ref_date}' AS REF_DATE, COUNT(*) AS NUM_REG, SUM(IF(TRIM(CAST(X.EMSSNS_SCP1_PRTCTN AS STRING)) IN ('N/A','11111111111','11111111111.00','11111111111.000000','1111-11-11'),1,0)) AS NUM_REG_DIF,'10' AS ID_EXEC, CURRENT_TIMESTAMP() AS TIME_EXEC FROM (SELECT prtctn_id, EMSSNS_SCP1_PRTCTN FROM BU_LOANTAPE_WORK.LT004_PROTECTION WHERE ref_date='${ref_date}' AND nome_perimetro='Individual Corporativo' AND segmento='ESTR' AND ambito='PILAR3')X</v>
      </c>
      <c r="N443" s="45" t="s">
        <v>13</v>
      </c>
    </row>
    <row r="444" spans="2:14">
      <c r="B444" s="41" t="s">
        <v>31</v>
      </c>
      <c r="C444" s="41" t="s">
        <v>78</v>
      </c>
      <c r="D444" s="41" t="str">
        <f>+UPPER('0. Instruções'!$D$33&amp;"."&amp;VLOOKUP(B444,'0. Instruções'!$C$27:$D$31,2,FALSE))</f>
        <v>BU_LOANTAPE_WORK.LT004_PROTECTION</v>
      </c>
      <c r="E444" s="41" t="str">
        <f>+UPPER('0. Instruções'!$D$34&amp;"."&amp;VLOOKUP(B444,'0. Instruções'!$C$27:$E$31,3,FALSE))</f>
        <v>BU_LOANTAPE_WORK.LT004_PROTECTION_P3_NOV24</v>
      </c>
      <c r="F444" s="41" t="s">
        <v>140</v>
      </c>
      <c r="G444" s="41" t="s">
        <v>210</v>
      </c>
      <c r="H444" s="41"/>
      <c r="I444" s="41" t="str">
        <f>"(SELECT "&amp;VLOOKUP(B444,'0. Instruções'!$C$27:$G$31,4,FALSE)&amp;", "&amp;F444&amp;" FROM "&amp;D444&amp;" WHERE "&amp;'0. Instruções'!$D$40&amp;")X"</f>
        <v>(SELECT prtctn_id, EMSSNS_SCP2_PRTCTN FROM BU_LOANTAPE_WORK.LT004_PROTECTION WHERE ref_date='${ref_date}' AND nome_perimetro='Individual Corporativo' AND segmento='ESTR' AND ambito='PILAR3')X</v>
      </c>
      <c r="J444" s="41" t="str">
        <f>"(SELECT "&amp;VLOOKUP(B444,'0. Instruções'!$C$27:$G$31,4,FALSE)&amp;" AS "&amp;VLOOKUP(B444,'0. Instruções'!$C$27:$G$31,4,FALSE)&amp;"_SIMUL, "&amp;F444&amp;" AS "&amp;F444&amp;"_SIMUL FROM "&amp;E444&amp;")Y"</f>
        <v>(SELECT prtctn_id AS prtctn_id_SIMUL, EMSSNS_SCP2_PRTCTN AS EMSSNS_SCP2_PRTCTN_SIMUL FROM BU_LOANTAPE_WORK.LT004_PROTECTION_P3_NOV24)Y</v>
      </c>
      <c r="K444" s="42" t="str">
        <f>+UPPER("ON X."&amp;VLOOKUP(B444,'0. Instruções'!$C$27:$G$31,4,FALSE)&amp;"=Y."&amp;VLOOKUP(B444,'0. Instruções'!$C$27:$G$31,4,FALSE)&amp;"_SIMUL")</f>
        <v>ON X.PRTCTN_ID=Y.PRTCTN_ID_SIMUL</v>
      </c>
      <c r="L444" s="42" t="str">
        <f>+IF(C444="Coerência", +IF(LEFT(G444,5)="FLOAT","SELECT '"&amp;UPPER(B444)&amp;"' AS TABELA, '"&amp;UPPER(C444)&amp;"' AS TIPOLOGIA_TESTE,'"&amp;D444&amp;"' AS TABELA_LT,'"&amp;E444&amp;"' AS TABELA_SIMUL,'"&amp;F444&amp;"' AS CAMPO, "&amp;"'${ref_date}' AS REF_DATE, COUNT(*) AS NUM_REG, SUM(IF((ABS(COALESCE(X."&amp;F444&amp;",0)-COALESCE(Y."&amp;F444&amp;"_SIMUL,0))&gt;0.0000000001) OR (X."&amp;F444&amp;" IS NULL AND Y."&amp;F444&amp;"_SIMUL IS NOT NULL ) OR (X."&amp;F444&amp;" IS NOT NULL AND Y."&amp;F444&amp;"_SIMUL IS NULL),1,0)) AS NUM_REG_DIF,'"&amp;MAX('ID1&amp;5'!K:K)+1&amp;"' AS ID_EXEC, CURRENT_TIMESTAMP() AS TIME_EXEC FROM "&amp;I444&amp;" INNER JOIN "&amp;J444&amp;" "&amp;K444,"SELECT '"&amp;UPPER(B444)&amp;"' AS TABELA, '"&amp;UPPER(C444)&amp;"' AS TIPOLOGIA_TESTE,'"&amp;D444&amp;"' AS TABELA_LT,'"&amp;E444&amp;"' AS TABELA_SIMUL,'"&amp;F444&amp;"' AS CAMPO, "&amp;"'${ref_date}' AS REF_DATE, COUNT(*) AS NUM_REG, SUM(IF(COALESCE(CAST(X."&amp;F444&amp;" AS STRING),'')&lt;&gt;COALESCE(CAST(Y."&amp;F444&amp;"_SIMUL AS STRING),''),1,0)) AS NUM_REG_DIF,'"&amp;MAX('ID1&amp;5'!L:L)+1&amp;"' AS ID_EXEC, CURRENT_TIMESTAMP() AS TIME_EXEC FROM "&amp;I444&amp;" INNER JOIN "&amp;J444&amp;" "&amp;K444),
IF(C444="Validade",+IF(G444="Code List","SELECT '"&amp;UPPER(B444)&amp;"' AS TABELA, '"&amp;UPPER(C444)&amp;"' AS TIPOLOGIA_TESTE,'"&amp;D444&amp;"' AS TABELA_LT,'N/A' AS TABELA_SIMUL,'"&amp;F444&amp;"' AS CAMPO, "&amp;"'${ref_date}' AS REF_DATE, COUNT(*) AS NUM_REG, SUM(IF(TRIM(CAST(X."&amp;F444&amp;" AS STRING))='' OR TRIM(CAST(X."&amp;F444&amp;" AS STRING)) IS NULL OR CAST(X."&amp;F444&amp;" AS STRING) NOT "&amp;H444&amp;",1,0)) AS NUM_REG_DIF,'"&amp;MAX('ID1&amp;5'!K:K)+1&amp;"' AS ID_EXEC, CURRENT_TIMESTAMP() AS TIME_EXEC FROM "&amp;I444,"SELECT '"&amp;UPPER(B444)&amp;"' AS TABELA, '"&amp;UPPER(C444)&amp;"' AS TIPOLOGIA_TESTE,'"&amp;D444&amp;"' AS TABELA_LT,'N/A' AS TABELA_SIMUL,'"&amp;F444&amp;"' AS CAMPO, "&amp;"'${ref_date}' AS REF_DATE, COUNT(*) AS NUM_REG, SUM(IF(TRIM(CAST(X."&amp;F444&amp;" AS STRING))='' OR TRIM(CAST(X."&amp;F444&amp;" AS STRING)) IS NULL,1,0)) AS NUM_REG_DIF,'"&amp;MAX('ID1&amp;5'!K:K)+1&amp;"' AS ID_EXEC, CURRENT_TIMESTAMP() AS TIME_EXEC FROM "&amp;I444),
IF(C444="Caracteres Especiais",+"SELECT '"&amp;UPPER(B444)&amp;"' AS TABELA, '"&amp;UPPER(C444)&amp;"' AS TIPOLOGIA_TESTE,'"&amp;D444&amp;"' AS TABELA_LT,'N/A' AS TABELA_SIMUL,'"&amp;F444&amp;"' AS CAMPO, "&amp;"'${ref_date}' AS REF_DATE, COUNT(*) AS NUM_REG, SUM(IF(INSTR(CAST(X."&amp;F444&amp;" AS STRING),'#')&gt;0 OR INSTR(CAST(X."&amp;F444&amp;" AS STRING),'*')&gt;0 OR INSTR(CAST(X."&amp;F444&amp;" AS STRING),'`')&gt;0 OR INSTR(CAST(X."&amp;F444&amp;" AS STRING),'´')&gt;0 OR INSTR(CAST(X."&amp;F444&amp;" AS STRING),'{')&gt;0 OR INSTR(CAST(X."&amp;F444&amp;" AS STRING),'}')&gt;0 OR INSTR(CAST(X."&amp;F444&amp;" AS STRING),'[')&gt;0 OR INSTR(CAST(X."&amp;F444&amp;" AS STRING),'')&gt;0 OR INSTR(CAST(X."&amp;F444&amp;" AS STRING),']')&gt;0 OR INSTR(CAST(X."&amp;F444&amp;" AS STRING),'?')&gt;0 OR INSTR(CAST(X."&amp;F444&amp;" AS STRING),'!')&gt;0 OR INSTR(CAST(X."&amp;F444&amp;" AS STRING),'$')&gt;0 OR INSTR(CAST(X."&amp;F444&amp;" AS STRING),'%')&gt;0 OR INSTR(CAST(X."&amp;F444&amp;" AS STRING),'&amp;')&gt;0 OR INSTR(CAST(X."&amp;F444&amp;" AS STRING),'+')&gt;0,1,0)) AS NUM_REG_DIF,'"&amp;MAX('ID1&amp;5'!K:K)+1&amp;"' AS ID_EXEC, CURRENT_TIMESTAMP() AS TIME_EXEC FROM "&amp;I444,
IF(C444="Missings",+"SELECT '"&amp;UPPER(B444)&amp;"' AS TABELA, '"&amp;UPPER(C444)&amp;"' AS TIPOLOGIA_TESTE,'"&amp;D444&amp;"' AS TABELA_LT,'N/A' AS TABELA_SIMUL,'"&amp;F444&amp;"' AS CAMPO, "&amp;"'${ref_date}' AS REF_DATE, COUNT(*) AS NUM_REG, SUM(IF(TRIM(CAST(X."&amp;F444&amp;" AS STRING)) IN ('0000-00-00','0001-01-01','9999-12-31','MISS','00000','99999999999','99999999999.00','99999999999.000000'),1,0)) AS NUM_REG_DIF,'"&amp;MAX('ID1&amp;5'!K:K)+1&amp;"' AS ID_EXEC, CURRENT_TIMESTAMP() AS TIME_EXEC FROM "&amp;I444,
IF(C444="Not applicable",+"SELECT '"&amp;UPPER(B444)&amp;"' AS TABELA, '"&amp;UPPER(C444)&amp;"' AS TIPOLOGIA_TESTE,'"&amp;D444&amp;"' AS TABELA_LT,'N/A' AS TABELA_SIMUL,'"&amp;F444&amp;"' AS CAMPO, "&amp;"'${ref_date}' AS REF_DATE, COUNT(*) AS NUM_REG, SUM(IF(TRIM(CAST(X."&amp;F444&amp;" AS STRING)) IN ('N/A','11111111111','11111111111.00','11111111111.000000','1111-11-11'),1,0)) AS NUM_REG_DIF,'"&amp;MAX('ID1&amp;5'!K:K)+1&amp;"' AS ID_EXEC, CURRENT_TIMESTAMP() AS TIME_EXEC FROM "&amp;I444,
IF(C444="Valores extremos",+"SELECT '"&amp;UPPER(B444)&amp;"' AS TABELA, '"&amp;UPPER(C444)&amp;"' AS TIPOLOGIA_TESTE,'"&amp;D444&amp;"' AS TABELA_LT,'N/A' AS TABELA_SIMUL,'"&amp;F444&amp;"' AS CAMPO, "&amp;"'${ref_date}' AS REF_DATE, CAST(MIN("&amp;F444&amp;") AS STRING) AS VALOR_MIN, CAST(MAX("&amp;F444&amp;") AS STRING) AS VALOR_MAX,'"&amp;MAX('ID1&amp;5'!K:K)+1&amp;"' AS ID_EXEC, CURRENT_TIMESTAMP() AS TIME_EXEC FROM "&amp;MID(I444,1,LEN(I444)-2)&amp;" AND CAST("&amp;F444&amp;"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TABELA_SIMUL,'EMSSNS_SCP2_PRTCTN' AS CAMPO, '${ref_date}' AS REF_DATE, COUNT(*) AS NUM_REG, SUM(IF(TRIM(CAST(X.EMSSNS_SCP2_PRTCTN AS STRING)) IN ('N/A','11111111111','11111111111.00','11111111111.000000','1111-11-11'),1,0)) AS NUM_REG_DIF,'10' AS ID_EXEC, CURRENT_TIMESTAMP() AS TIME_EXEC FROM (SELECT prtctn_id, EMSSNS_SCP2_PRTCTN FROM BU_LOANTAPE_WORK.LT004_PROTECTION WHERE ref_date='${ref_date}' AND nome_perimetro='Individual Corporativo' AND segmento='ESTR' AND ambito='PILAR3')X</v>
      </c>
      <c r="M444" s="43" t="str">
        <f t="shared" si="7"/>
        <v>UNION ALL SELECT 'PROTECTION' AS TABELA, 'NOT APPLICABLE' AS TIPOLOGIA_TESTE,'BU_LOANTAPE_WORK.LT004_PROTECTION' AS TABELA_LT,'N/A' AS TABELA_SIMUL,'EMSSNS_SCP2_PRTCTN' AS CAMPO, '${ref_date}' AS REF_DATE, COUNT(*) AS NUM_REG, SUM(IF(TRIM(CAST(X.EMSSNS_SCP2_PRTCTN AS STRING)) IN ('N/A','11111111111','11111111111.00','11111111111.000000','1111-11-11'),1,0)) AS NUM_REG_DIF,'10' AS ID_EXEC, CURRENT_TIMESTAMP() AS TIME_EXEC FROM (SELECT prtctn_id, EMSSNS_SCP2_PRTCTN FROM BU_LOANTAPE_WORK.LT004_PROTECTION WHERE ref_date='${ref_date}' AND nome_perimetro='Individual Corporativo' AND segmento='ESTR' AND ambito='PILAR3')X</v>
      </c>
      <c r="N444" s="45" t="s">
        <v>13</v>
      </c>
    </row>
    <row r="445" spans="2:14">
      <c r="B445" s="41" t="s">
        <v>31</v>
      </c>
      <c r="C445" s="41" t="s">
        <v>78</v>
      </c>
      <c r="D445" s="41" t="str">
        <f>+UPPER('0. Instruções'!$D$33&amp;"."&amp;VLOOKUP(B445,'0. Instruções'!$C$27:$D$31,2,FALSE))</f>
        <v>BU_LOANTAPE_WORK.LT004_PROTECTION</v>
      </c>
      <c r="E445" s="41" t="str">
        <f>+UPPER('0. Instruções'!$D$34&amp;"."&amp;VLOOKUP(B445,'0. Instruções'!$C$27:$E$31,3,FALSE))</f>
        <v>BU_LOANTAPE_WORK.LT004_PROTECTION_P3_NOV24</v>
      </c>
      <c r="F445" s="41" t="s">
        <v>141</v>
      </c>
      <c r="G445" s="41" t="s">
        <v>210</v>
      </c>
      <c r="H445" s="41"/>
      <c r="I445" s="41" t="str">
        <f>"(SELECT "&amp;VLOOKUP(B445,'0. Instruções'!$C$27:$G$31,4,FALSE)&amp;", "&amp;F445&amp;" FROM "&amp;D445&amp;" WHERE "&amp;'0. Instruções'!$D$40&amp;")X"</f>
        <v>(SELECT prtctn_id, EMSSNS_SCP3_PRTCTN FROM BU_LOANTAPE_WORK.LT004_PROTECTION WHERE ref_date='${ref_date}' AND nome_perimetro='Individual Corporativo' AND segmento='ESTR' AND ambito='PILAR3')X</v>
      </c>
      <c r="J445" s="41" t="str">
        <f>"(SELECT "&amp;VLOOKUP(B445,'0. Instruções'!$C$27:$G$31,4,FALSE)&amp;" AS "&amp;VLOOKUP(B445,'0. Instruções'!$C$27:$G$31,4,FALSE)&amp;"_SIMUL, "&amp;F445&amp;" AS "&amp;F445&amp;"_SIMUL FROM "&amp;E445&amp;")Y"</f>
        <v>(SELECT prtctn_id AS prtctn_id_SIMUL, EMSSNS_SCP3_PRTCTN AS EMSSNS_SCP3_PRTCTN_SIMUL FROM BU_LOANTAPE_WORK.LT004_PROTECTION_P3_NOV24)Y</v>
      </c>
      <c r="K445" s="42" t="str">
        <f>+UPPER("ON X."&amp;VLOOKUP(B445,'0. Instruções'!$C$27:$G$31,4,FALSE)&amp;"=Y."&amp;VLOOKUP(B445,'0. Instruções'!$C$27:$G$31,4,FALSE)&amp;"_SIMUL")</f>
        <v>ON X.PRTCTN_ID=Y.PRTCTN_ID_SIMUL</v>
      </c>
      <c r="L445" s="42" t="str">
        <f>+IF(C445="Coerência", +IF(LEFT(G445,5)="FLOAT","SELECT '"&amp;UPPER(B445)&amp;"' AS TABELA, '"&amp;UPPER(C445)&amp;"' AS TIPOLOGIA_TESTE,'"&amp;D445&amp;"' AS TABELA_LT,'"&amp;E445&amp;"' AS TABELA_SIMUL,'"&amp;F445&amp;"' AS CAMPO, "&amp;"'${ref_date}' AS REF_DATE, COUNT(*) AS NUM_REG, SUM(IF((ABS(COALESCE(X."&amp;F445&amp;",0)-COALESCE(Y."&amp;F445&amp;"_SIMUL,0))&gt;0.0000000001) OR (X."&amp;F445&amp;" IS NULL AND Y."&amp;F445&amp;"_SIMUL IS NOT NULL ) OR (X."&amp;F445&amp;" IS NOT NULL AND Y."&amp;F445&amp;"_SIMUL IS NULL),1,0)) AS NUM_REG_DIF,'"&amp;MAX('ID1&amp;5'!K:K)+1&amp;"' AS ID_EXEC, CURRENT_TIMESTAMP() AS TIME_EXEC FROM "&amp;I445&amp;" INNER JOIN "&amp;J445&amp;" "&amp;K445,"SELECT '"&amp;UPPER(B445)&amp;"' AS TABELA, '"&amp;UPPER(C445)&amp;"' AS TIPOLOGIA_TESTE,'"&amp;D445&amp;"' AS TABELA_LT,'"&amp;E445&amp;"' AS TABELA_SIMUL,'"&amp;F445&amp;"' AS CAMPO, "&amp;"'${ref_date}' AS REF_DATE, COUNT(*) AS NUM_REG, SUM(IF(COALESCE(CAST(X."&amp;F445&amp;" AS STRING),'')&lt;&gt;COALESCE(CAST(Y."&amp;F445&amp;"_SIMUL AS STRING),''),1,0)) AS NUM_REG_DIF,'"&amp;MAX('ID1&amp;5'!L:L)+1&amp;"' AS ID_EXEC, CURRENT_TIMESTAMP() AS TIME_EXEC FROM "&amp;I445&amp;" INNER JOIN "&amp;J445&amp;" "&amp;K445),
IF(C445="Validade",+IF(G445="Code List","SELECT '"&amp;UPPER(B445)&amp;"' AS TABELA, '"&amp;UPPER(C445)&amp;"' AS TIPOLOGIA_TESTE,'"&amp;D445&amp;"' AS TABELA_LT,'N/A' AS TABELA_SIMUL,'"&amp;F445&amp;"' AS CAMPO, "&amp;"'${ref_date}' AS REF_DATE, COUNT(*) AS NUM_REG, SUM(IF(TRIM(CAST(X."&amp;F445&amp;" AS STRING))='' OR TRIM(CAST(X."&amp;F445&amp;" AS STRING)) IS NULL OR CAST(X."&amp;F445&amp;" AS STRING) NOT "&amp;H445&amp;",1,0)) AS NUM_REG_DIF,'"&amp;MAX('ID1&amp;5'!K:K)+1&amp;"' AS ID_EXEC, CURRENT_TIMESTAMP() AS TIME_EXEC FROM "&amp;I445,"SELECT '"&amp;UPPER(B445)&amp;"' AS TABELA, '"&amp;UPPER(C445)&amp;"' AS TIPOLOGIA_TESTE,'"&amp;D445&amp;"' AS TABELA_LT,'N/A' AS TABELA_SIMUL,'"&amp;F445&amp;"' AS CAMPO, "&amp;"'${ref_date}' AS REF_DATE, COUNT(*) AS NUM_REG, SUM(IF(TRIM(CAST(X."&amp;F445&amp;" AS STRING))='' OR TRIM(CAST(X."&amp;F445&amp;" AS STRING)) IS NULL,1,0)) AS NUM_REG_DIF,'"&amp;MAX('ID1&amp;5'!K:K)+1&amp;"' AS ID_EXEC, CURRENT_TIMESTAMP() AS TIME_EXEC FROM "&amp;I445),
IF(C445="Caracteres Especiais",+"SELECT '"&amp;UPPER(B445)&amp;"' AS TABELA, '"&amp;UPPER(C445)&amp;"' AS TIPOLOGIA_TESTE,'"&amp;D445&amp;"' AS TABELA_LT,'N/A' AS TABELA_SIMUL,'"&amp;F445&amp;"' AS CAMPO, "&amp;"'${ref_date}' AS REF_DATE, COUNT(*) AS NUM_REG, SUM(IF(INSTR(CAST(X."&amp;F445&amp;" AS STRING),'#')&gt;0 OR INSTR(CAST(X."&amp;F445&amp;" AS STRING),'*')&gt;0 OR INSTR(CAST(X."&amp;F445&amp;" AS STRING),'`')&gt;0 OR INSTR(CAST(X."&amp;F445&amp;" AS STRING),'´')&gt;0 OR INSTR(CAST(X."&amp;F445&amp;" AS STRING),'{')&gt;0 OR INSTR(CAST(X."&amp;F445&amp;" AS STRING),'}')&gt;0 OR INSTR(CAST(X."&amp;F445&amp;" AS STRING),'[')&gt;0 OR INSTR(CAST(X."&amp;F445&amp;" AS STRING),'')&gt;0 OR INSTR(CAST(X."&amp;F445&amp;" AS STRING),']')&gt;0 OR INSTR(CAST(X."&amp;F445&amp;" AS STRING),'?')&gt;0 OR INSTR(CAST(X."&amp;F445&amp;" AS STRING),'!')&gt;0 OR INSTR(CAST(X."&amp;F445&amp;" AS STRING),'$')&gt;0 OR INSTR(CAST(X."&amp;F445&amp;" AS STRING),'%')&gt;0 OR INSTR(CAST(X."&amp;F445&amp;" AS STRING),'&amp;')&gt;0 OR INSTR(CAST(X."&amp;F445&amp;" AS STRING),'+')&gt;0,1,0)) AS NUM_REG_DIF,'"&amp;MAX('ID1&amp;5'!K:K)+1&amp;"' AS ID_EXEC, CURRENT_TIMESTAMP() AS TIME_EXEC FROM "&amp;I445,
IF(C445="Missings",+"SELECT '"&amp;UPPER(B445)&amp;"' AS TABELA, '"&amp;UPPER(C445)&amp;"' AS TIPOLOGIA_TESTE,'"&amp;D445&amp;"' AS TABELA_LT,'N/A' AS TABELA_SIMUL,'"&amp;F445&amp;"' AS CAMPO, "&amp;"'${ref_date}' AS REF_DATE, COUNT(*) AS NUM_REG, SUM(IF(TRIM(CAST(X."&amp;F445&amp;" AS STRING)) IN ('0000-00-00','0001-01-01','9999-12-31','MISS','00000','99999999999','99999999999.00','99999999999.000000'),1,0)) AS NUM_REG_DIF,'"&amp;MAX('ID1&amp;5'!K:K)+1&amp;"' AS ID_EXEC, CURRENT_TIMESTAMP() AS TIME_EXEC FROM "&amp;I445,
IF(C445="Not applicable",+"SELECT '"&amp;UPPER(B445)&amp;"' AS TABELA, '"&amp;UPPER(C445)&amp;"' AS TIPOLOGIA_TESTE,'"&amp;D445&amp;"' AS TABELA_LT,'N/A' AS TABELA_SIMUL,'"&amp;F445&amp;"' AS CAMPO, "&amp;"'${ref_date}' AS REF_DATE, COUNT(*) AS NUM_REG, SUM(IF(TRIM(CAST(X."&amp;F445&amp;" AS STRING)) IN ('N/A','11111111111','11111111111.00','11111111111.000000','1111-11-11'),1,0)) AS NUM_REG_DIF,'"&amp;MAX('ID1&amp;5'!K:K)+1&amp;"' AS ID_EXEC, CURRENT_TIMESTAMP() AS TIME_EXEC FROM "&amp;I445,
IF(C445="Valores extremos",+"SELECT '"&amp;UPPER(B445)&amp;"' AS TABELA, '"&amp;UPPER(C445)&amp;"' AS TIPOLOGIA_TESTE,'"&amp;D445&amp;"' AS TABELA_LT,'N/A' AS TABELA_SIMUL,'"&amp;F445&amp;"' AS CAMPO, "&amp;"'${ref_date}' AS REF_DATE, CAST(MIN("&amp;F445&amp;") AS STRING) AS VALOR_MIN, CAST(MAX("&amp;F445&amp;") AS STRING) AS VALOR_MAX,'"&amp;MAX('ID1&amp;5'!K:K)+1&amp;"' AS ID_EXEC, CURRENT_TIMESTAMP() AS TIME_EXEC FROM "&amp;MID(I445,1,LEN(I445)-2)&amp;" AND CAST("&amp;F445&amp;"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TABELA_SIMUL,'EMSSNS_SCP3_PRTCTN' AS CAMPO, '${ref_date}' AS REF_DATE, COUNT(*) AS NUM_REG, SUM(IF(TRIM(CAST(X.EMSSNS_SCP3_PRTCTN AS STRING)) IN ('N/A','11111111111','11111111111.00','11111111111.000000','1111-11-11'),1,0)) AS NUM_REG_DIF,'10' AS ID_EXEC, CURRENT_TIMESTAMP() AS TIME_EXEC FROM (SELECT prtctn_id, EMSSNS_SCP3_PRTCTN FROM BU_LOANTAPE_WORK.LT004_PROTECTION WHERE ref_date='${ref_date}' AND nome_perimetro='Individual Corporativo' AND segmento='ESTR' AND ambito='PILAR3')X</v>
      </c>
      <c r="M445" s="43" t="str">
        <f t="shared" si="7"/>
        <v>UNION ALL SELECT 'PROTECTION' AS TABELA, 'NOT APPLICABLE' AS TIPOLOGIA_TESTE,'BU_LOANTAPE_WORK.LT004_PROTECTION' AS TABELA_LT,'N/A' AS TABELA_SIMUL,'EMSSNS_SCP3_PRTCTN' AS CAMPO, '${ref_date}' AS REF_DATE, COUNT(*) AS NUM_REG, SUM(IF(TRIM(CAST(X.EMSSNS_SCP3_PRTCTN AS STRING)) IN ('N/A','11111111111','11111111111.00','11111111111.000000','1111-11-11'),1,0)) AS NUM_REG_DIF,'10' AS ID_EXEC, CURRENT_TIMESTAMP() AS TIME_EXEC FROM (SELECT prtctn_id, EMSSNS_SCP3_PRTCTN FROM BU_LOANTAPE_WORK.LT004_PROTECTION WHERE ref_date='${ref_date}' AND nome_perimetro='Individual Corporativo' AND segmento='ESTR' AND ambito='PILAR3')X</v>
      </c>
      <c r="N445" s="45" t="s">
        <v>13</v>
      </c>
    </row>
    <row r="446" spans="2:14">
      <c r="B446" s="41" t="s">
        <v>31</v>
      </c>
      <c r="C446" s="41" t="s">
        <v>78</v>
      </c>
      <c r="D446" s="41" t="str">
        <f>+UPPER('0. Instruções'!$D$33&amp;"."&amp;VLOOKUP(B446,'0. Instruções'!$C$27:$D$31,2,FALSE))</f>
        <v>BU_LOANTAPE_WORK.LT004_PROTECTION</v>
      </c>
      <c r="E446" s="41" t="str">
        <f>+UPPER('0. Instruções'!$D$34&amp;"."&amp;VLOOKUP(B446,'0. Instruções'!$C$27:$E$31,3,FALSE))</f>
        <v>BU_LOANTAPE_WORK.LT004_PROTECTION_P3_NOV24</v>
      </c>
      <c r="F446" s="41" t="s">
        <v>142</v>
      </c>
      <c r="G446" s="41" t="s">
        <v>209</v>
      </c>
      <c r="H446" s="41"/>
      <c r="I446" s="41" t="str">
        <f>"(SELECT "&amp;VLOOKUP(B446,'0. Instruções'!$C$27:$G$31,4,FALSE)&amp;", "&amp;F446&amp;" FROM "&amp;D446&amp;" WHERE "&amp;'0. Instruções'!$D$40&amp;")X"</f>
        <v>(SELECT prtctn_id, MTHD_USD_PRTCTN_SCP_1 FROM BU_LOANTAPE_WORK.LT004_PROTECTION WHERE ref_date='${ref_date}' AND nome_perimetro='Individual Corporativo' AND segmento='ESTR' AND ambito='PILAR3')X</v>
      </c>
      <c r="J446" s="41" t="str">
        <f>"(SELECT "&amp;VLOOKUP(B446,'0. Instruções'!$C$27:$G$31,4,FALSE)&amp;" AS "&amp;VLOOKUP(B446,'0. Instruções'!$C$27:$G$31,4,FALSE)&amp;"_SIMUL, "&amp;F446&amp;" AS "&amp;F446&amp;"_SIMUL FROM "&amp;E446&amp;")Y"</f>
        <v>(SELECT prtctn_id AS prtctn_id_SIMUL, MTHD_USD_PRTCTN_SCP_1 AS MTHD_USD_PRTCTN_SCP_1_SIMUL FROM BU_LOANTAPE_WORK.LT004_PROTECTION_P3_NOV24)Y</v>
      </c>
      <c r="K446" s="42" t="str">
        <f>+UPPER("ON X."&amp;VLOOKUP(B446,'0. Instruções'!$C$27:$G$31,4,FALSE)&amp;"=Y."&amp;VLOOKUP(B446,'0. Instruções'!$C$27:$G$31,4,FALSE)&amp;"_SIMUL")</f>
        <v>ON X.PRTCTN_ID=Y.PRTCTN_ID_SIMUL</v>
      </c>
      <c r="L446" s="42" t="str">
        <f>+IF(C446="Coerência", +IF(LEFT(G446,5)="FLOAT","SELECT '"&amp;UPPER(B446)&amp;"' AS TABELA, '"&amp;UPPER(C446)&amp;"' AS TIPOLOGIA_TESTE,'"&amp;D446&amp;"' AS TABELA_LT,'"&amp;E446&amp;"' AS TABELA_SIMUL,'"&amp;F446&amp;"' AS CAMPO, "&amp;"'${ref_date}' AS REF_DATE, COUNT(*) AS NUM_REG, SUM(IF((ABS(COALESCE(X."&amp;F446&amp;",0)-COALESCE(Y."&amp;F446&amp;"_SIMUL,0))&gt;0.0000000001) OR (X."&amp;F446&amp;" IS NULL AND Y."&amp;F446&amp;"_SIMUL IS NOT NULL ) OR (X."&amp;F446&amp;" IS NOT NULL AND Y."&amp;F446&amp;"_SIMUL IS NULL),1,0)) AS NUM_REG_DIF,'"&amp;MAX('ID1&amp;5'!K:K)+1&amp;"' AS ID_EXEC, CURRENT_TIMESTAMP() AS TIME_EXEC FROM "&amp;I446&amp;" INNER JOIN "&amp;J446&amp;" "&amp;K446,"SELECT '"&amp;UPPER(B446)&amp;"' AS TABELA, '"&amp;UPPER(C446)&amp;"' AS TIPOLOGIA_TESTE,'"&amp;D446&amp;"' AS TABELA_LT,'"&amp;E446&amp;"' AS TABELA_SIMUL,'"&amp;F446&amp;"' AS CAMPO, "&amp;"'${ref_date}' AS REF_DATE, COUNT(*) AS NUM_REG, SUM(IF(COALESCE(CAST(X."&amp;F446&amp;" AS STRING),'')&lt;&gt;COALESCE(CAST(Y."&amp;F446&amp;"_SIMUL AS STRING),''),1,0)) AS NUM_REG_DIF,'"&amp;MAX('ID1&amp;5'!L:L)+1&amp;"' AS ID_EXEC, CURRENT_TIMESTAMP() AS TIME_EXEC FROM "&amp;I446&amp;" INNER JOIN "&amp;J446&amp;" "&amp;K446),
IF(C446="Validade",+IF(G446="Code List","SELECT '"&amp;UPPER(B446)&amp;"' AS TABELA, '"&amp;UPPER(C446)&amp;"' AS TIPOLOGIA_TESTE,'"&amp;D446&amp;"' AS TABELA_LT,'N/A' AS TABELA_SIMUL,'"&amp;F446&amp;"' AS CAMPO, "&amp;"'${ref_date}' AS REF_DATE, COUNT(*) AS NUM_REG, SUM(IF(TRIM(CAST(X."&amp;F446&amp;" AS STRING))='' OR TRIM(CAST(X."&amp;F446&amp;" AS STRING)) IS NULL OR CAST(X."&amp;F446&amp;" AS STRING) NOT "&amp;H446&amp;",1,0)) AS NUM_REG_DIF,'"&amp;MAX('ID1&amp;5'!K:K)+1&amp;"' AS ID_EXEC, CURRENT_TIMESTAMP() AS TIME_EXEC FROM "&amp;I446,"SELECT '"&amp;UPPER(B446)&amp;"' AS TABELA, '"&amp;UPPER(C446)&amp;"' AS TIPOLOGIA_TESTE,'"&amp;D446&amp;"' AS TABELA_LT,'N/A' AS TABELA_SIMUL,'"&amp;F446&amp;"' AS CAMPO, "&amp;"'${ref_date}' AS REF_DATE, COUNT(*) AS NUM_REG, SUM(IF(TRIM(CAST(X."&amp;F446&amp;" AS STRING))='' OR TRIM(CAST(X."&amp;F446&amp;" AS STRING)) IS NULL,1,0)) AS NUM_REG_DIF,'"&amp;MAX('ID1&amp;5'!K:K)+1&amp;"' AS ID_EXEC, CURRENT_TIMESTAMP() AS TIME_EXEC FROM "&amp;I446),
IF(C446="Caracteres Especiais",+"SELECT '"&amp;UPPER(B446)&amp;"' AS TABELA, '"&amp;UPPER(C446)&amp;"' AS TIPOLOGIA_TESTE,'"&amp;D446&amp;"' AS TABELA_LT,'N/A' AS TABELA_SIMUL,'"&amp;F446&amp;"' AS CAMPO, "&amp;"'${ref_date}' AS REF_DATE, COUNT(*) AS NUM_REG, SUM(IF(INSTR(CAST(X."&amp;F446&amp;" AS STRING),'#')&gt;0 OR INSTR(CAST(X."&amp;F446&amp;" AS STRING),'*')&gt;0 OR INSTR(CAST(X."&amp;F446&amp;" AS STRING),'`')&gt;0 OR INSTR(CAST(X."&amp;F446&amp;" AS STRING),'´')&gt;0 OR INSTR(CAST(X."&amp;F446&amp;" AS STRING),'{')&gt;0 OR INSTR(CAST(X."&amp;F446&amp;" AS STRING),'}')&gt;0 OR INSTR(CAST(X."&amp;F446&amp;" AS STRING),'[')&gt;0 OR INSTR(CAST(X."&amp;F446&amp;" AS STRING),'')&gt;0 OR INSTR(CAST(X."&amp;F446&amp;" AS STRING),']')&gt;0 OR INSTR(CAST(X."&amp;F446&amp;" AS STRING),'?')&gt;0 OR INSTR(CAST(X."&amp;F446&amp;" AS STRING),'!')&gt;0 OR INSTR(CAST(X."&amp;F446&amp;" AS STRING),'$')&gt;0 OR INSTR(CAST(X."&amp;F446&amp;" AS STRING),'%')&gt;0 OR INSTR(CAST(X."&amp;F446&amp;" AS STRING),'&amp;')&gt;0 OR INSTR(CAST(X."&amp;F446&amp;" AS STRING),'+')&gt;0,1,0)) AS NUM_REG_DIF,'"&amp;MAX('ID1&amp;5'!K:K)+1&amp;"' AS ID_EXEC, CURRENT_TIMESTAMP() AS TIME_EXEC FROM "&amp;I446,
IF(C446="Missings",+"SELECT '"&amp;UPPER(B446)&amp;"' AS TABELA, '"&amp;UPPER(C446)&amp;"' AS TIPOLOGIA_TESTE,'"&amp;D446&amp;"' AS TABELA_LT,'N/A' AS TABELA_SIMUL,'"&amp;F446&amp;"' AS CAMPO, "&amp;"'${ref_date}' AS REF_DATE, COUNT(*) AS NUM_REG, SUM(IF(TRIM(CAST(X."&amp;F446&amp;" AS STRING)) IN ('0000-00-00','0001-01-01','9999-12-31','MISS','00000','99999999999','99999999999.00','99999999999.000000'),1,0)) AS NUM_REG_DIF,'"&amp;MAX('ID1&amp;5'!K:K)+1&amp;"' AS ID_EXEC, CURRENT_TIMESTAMP() AS TIME_EXEC FROM "&amp;I446,
IF(C446="Not applicable",+"SELECT '"&amp;UPPER(B446)&amp;"' AS TABELA, '"&amp;UPPER(C446)&amp;"' AS TIPOLOGIA_TESTE,'"&amp;D446&amp;"' AS TABELA_LT,'N/A' AS TABELA_SIMUL,'"&amp;F446&amp;"' AS CAMPO, "&amp;"'${ref_date}' AS REF_DATE, COUNT(*) AS NUM_REG, SUM(IF(TRIM(CAST(X."&amp;F446&amp;" AS STRING)) IN ('N/A','11111111111','11111111111.00','11111111111.000000','1111-11-11'),1,0)) AS NUM_REG_DIF,'"&amp;MAX('ID1&amp;5'!K:K)+1&amp;"' AS ID_EXEC, CURRENT_TIMESTAMP() AS TIME_EXEC FROM "&amp;I446,
IF(C446="Valores extremos",+"SELECT '"&amp;UPPER(B446)&amp;"' AS TABELA, '"&amp;UPPER(C446)&amp;"' AS TIPOLOGIA_TESTE,'"&amp;D446&amp;"' AS TABELA_LT,'N/A' AS TABELA_SIMUL,'"&amp;F446&amp;"' AS CAMPO, "&amp;"'${ref_date}' AS REF_DATE, CAST(MIN("&amp;F446&amp;") AS STRING) AS VALOR_MIN, CAST(MAX("&amp;F446&amp;") AS STRING) AS VALOR_MAX,'"&amp;MAX('ID1&amp;5'!K:K)+1&amp;"' AS ID_EXEC, CURRENT_TIMESTAMP() AS TIME_EXEC FROM "&amp;MID(I446,1,LEN(I446)-2)&amp;" AND CAST("&amp;F446&amp;"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TABELA_SIMUL,'MTHD_USD_PRTCTN_SCP_1' AS CAMPO, '${ref_date}' AS REF_DATE, COUNT(*) AS NUM_REG, SUM(IF(TRIM(CAST(X.MTHD_USD_PRTCTN_SCP_1 AS STRING)) IN ('N/A','11111111111','11111111111.00','11111111111.000000','1111-11-11'),1,0)) AS NUM_REG_DIF,'10' AS ID_EXEC, CURRENT_TIMESTAMP() AS TIME_EXEC FROM (SELECT prtctn_id, MTHD_USD_PRTCTN_SCP_1 FROM BU_LOANTAPE_WORK.LT004_PROTECTION WHERE ref_date='${ref_date}' AND nome_perimetro='Individual Corporativo' AND segmento='ESTR' AND ambito='PILAR3')X</v>
      </c>
      <c r="M446" s="43" t="str">
        <f t="shared" si="7"/>
        <v>UNION ALL SELECT 'PROTECTION' AS TABELA, 'NOT APPLICABLE' AS TIPOLOGIA_TESTE,'BU_LOANTAPE_WORK.LT004_PROTECTION' AS TABELA_LT,'N/A' AS TABELA_SIMUL,'MTHD_USD_PRTCTN_SCP_1' AS CAMPO, '${ref_date}' AS REF_DATE, COUNT(*) AS NUM_REG, SUM(IF(TRIM(CAST(X.MTHD_USD_PRTCTN_SCP_1 AS STRING)) IN ('N/A','11111111111','11111111111.00','11111111111.000000','1111-11-11'),1,0)) AS NUM_REG_DIF,'10' AS ID_EXEC, CURRENT_TIMESTAMP() AS TIME_EXEC FROM (SELECT prtctn_id, MTHD_USD_PRTCTN_SCP_1 FROM BU_LOANTAPE_WORK.LT004_PROTECTION WHERE ref_date='${ref_date}' AND nome_perimetro='Individual Corporativo' AND segmento='ESTR' AND ambito='PILAR3')X</v>
      </c>
      <c r="N446" s="45" t="s">
        <v>13</v>
      </c>
    </row>
    <row r="447" spans="2:14">
      <c r="B447" s="41" t="s">
        <v>31</v>
      </c>
      <c r="C447" s="41" t="s">
        <v>78</v>
      </c>
      <c r="D447" s="41" t="str">
        <f>+UPPER('0. Instruções'!$D$33&amp;"."&amp;VLOOKUP(B447,'0. Instruções'!$C$27:$D$31,2,FALSE))</f>
        <v>BU_LOANTAPE_WORK.LT004_PROTECTION</v>
      </c>
      <c r="E447" s="41" t="str">
        <f>+UPPER('0. Instruções'!$D$34&amp;"."&amp;VLOOKUP(B447,'0. Instruções'!$C$27:$E$31,3,FALSE))</f>
        <v>BU_LOANTAPE_WORK.LT004_PROTECTION_P3_NOV24</v>
      </c>
      <c r="F447" s="41" t="s">
        <v>143</v>
      </c>
      <c r="G447" s="41" t="s">
        <v>209</v>
      </c>
      <c r="H447" s="41"/>
      <c r="I447" s="41" t="str">
        <f>"(SELECT "&amp;VLOOKUP(B447,'0. Instruções'!$C$27:$G$31,4,FALSE)&amp;", "&amp;F447&amp;" FROM "&amp;D447&amp;" WHERE "&amp;'0. Instruções'!$D$40&amp;")X"</f>
        <v>(SELECT prtctn_id, MTHD_USD_PRTCTN_SCP_2 FROM BU_LOANTAPE_WORK.LT004_PROTECTION WHERE ref_date='${ref_date}' AND nome_perimetro='Individual Corporativo' AND segmento='ESTR' AND ambito='PILAR3')X</v>
      </c>
      <c r="J447" s="41" t="str">
        <f>"(SELECT "&amp;VLOOKUP(B447,'0. Instruções'!$C$27:$G$31,4,FALSE)&amp;" AS "&amp;VLOOKUP(B447,'0. Instruções'!$C$27:$G$31,4,FALSE)&amp;"_SIMUL, "&amp;F447&amp;" AS "&amp;F447&amp;"_SIMUL FROM "&amp;E447&amp;")Y"</f>
        <v>(SELECT prtctn_id AS prtctn_id_SIMUL, MTHD_USD_PRTCTN_SCP_2 AS MTHD_USD_PRTCTN_SCP_2_SIMUL FROM BU_LOANTAPE_WORK.LT004_PROTECTION_P3_NOV24)Y</v>
      </c>
      <c r="K447" s="42" t="str">
        <f>+UPPER("ON X."&amp;VLOOKUP(B447,'0. Instruções'!$C$27:$G$31,4,FALSE)&amp;"=Y."&amp;VLOOKUP(B447,'0. Instruções'!$C$27:$G$31,4,FALSE)&amp;"_SIMUL")</f>
        <v>ON X.PRTCTN_ID=Y.PRTCTN_ID_SIMUL</v>
      </c>
      <c r="L447" s="42" t="str">
        <f>+IF(C447="Coerência", +IF(LEFT(G447,5)="FLOAT","SELECT '"&amp;UPPER(B447)&amp;"' AS TABELA, '"&amp;UPPER(C447)&amp;"' AS TIPOLOGIA_TESTE,'"&amp;D447&amp;"' AS TABELA_LT,'"&amp;E447&amp;"' AS TABELA_SIMUL,'"&amp;F447&amp;"' AS CAMPO, "&amp;"'${ref_date}' AS REF_DATE, COUNT(*) AS NUM_REG, SUM(IF((ABS(COALESCE(X."&amp;F447&amp;",0)-COALESCE(Y."&amp;F447&amp;"_SIMUL,0))&gt;0.0000000001) OR (X."&amp;F447&amp;" IS NULL AND Y."&amp;F447&amp;"_SIMUL IS NOT NULL ) OR (X."&amp;F447&amp;" IS NOT NULL AND Y."&amp;F447&amp;"_SIMUL IS NULL),1,0)) AS NUM_REG_DIF,'"&amp;MAX('ID1&amp;5'!K:K)+1&amp;"' AS ID_EXEC, CURRENT_TIMESTAMP() AS TIME_EXEC FROM "&amp;I447&amp;" INNER JOIN "&amp;J447&amp;" "&amp;K447,"SELECT '"&amp;UPPER(B447)&amp;"' AS TABELA, '"&amp;UPPER(C447)&amp;"' AS TIPOLOGIA_TESTE,'"&amp;D447&amp;"' AS TABELA_LT,'"&amp;E447&amp;"' AS TABELA_SIMUL,'"&amp;F447&amp;"' AS CAMPO, "&amp;"'${ref_date}' AS REF_DATE, COUNT(*) AS NUM_REG, SUM(IF(COALESCE(CAST(X."&amp;F447&amp;" AS STRING),'')&lt;&gt;COALESCE(CAST(Y."&amp;F447&amp;"_SIMUL AS STRING),''),1,0)) AS NUM_REG_DIF,'"&amp;MAX('ID1&amp;5'!L:L)+1&amp;"' AS ID_EXEC, CURRENT_TIMESTAMP() AS TIME_EXEC FROM "&amp;I447&amp;" INNER JOIN "&amp;J447&amp;" "&amp;K447),
IF(C447="Validade",+IF(G447="Code List","SELECT '"&amp;UPPER(B447)&amp;"' AS TABELA, '"&amp;UPPER(C447)&amp;"' AS TIPOLOGIA_TESTE,'"&amp;D447&amp;"' AS TABELA_LT,'N/A' AS TABELA_SIMUL,'"&amp;F447&amp;"' AS CAMPO, "&amp;"'${ref_date}' AS REF_DATE, COUNT(*) AS NUM_REG, SUM(IF(TRIM(CAST(X."&amp;F447&amp;" AS STRING))='' OR TRIM(CAST(X."&amp;F447&amp;" AS STRING)) IS NULL OR CAST(X."&amp;F447&amp;" AS STRING) NOT "&amp;H447&amp;",1,0)) AS NUM_REG_DIF,'"&amp;MAX('ID1&amp;5'!K:K)+1&amp;"' AS ID_EXEC, CURRENT_TIMESTAMP() AS TIME_EXEC FROM "&amp;I447,"SELECT '"&amp;UPPER(B447)&amp;"' AS TABELA, '"&amp;UPPER(C447)&amp;"' AS TIPOLOGIA_TESTE,'"&amp;D447&amp;"' AS TABELA_LT,'N/A' AS TABELA_SIMUL,'"&amp;F447&amp;"' AS CAMPO, "&amp;"'${ref_date}' AS REF_DATE, COUNT(*) AS NUM_REG, SUM(IF(TRIM(CAST(X."&amp;F447&amp;" AS STRING))='' OR TRIM(CAST(X."&amp;F447&amp;" AS STRING)) IS NULL,1,0)) AS NUM_REG_DIF,'"&amp;MAX('ID1&amp;5'!K:K)+1&amp;"' AS ID_EXEC, CURRENT_TIMESTAMP() AS TIME_EXEC FROM "&amp;I447),
IF(C447="Caracteres Especiais",+"SELECT '"&amp;UPPER(B447)&amp;"' AS TABELA, '"&amp;UPPER(C447)&amp;"' AS TIPOLOGIA_TESTE,'"&amp;D447&amp;"' AS TABELA_LT,'N/A' AS TABELA_SIMUL,'"&amp;F447&amp;"' AS CAMPO, "&amp;"'${ref_date}' AS REF_DATE, COUNT(*) AS NUM_REG, SUM(IF(INSTR(CAST(X."&amp;F447&amp;" AS STRING),'#')&gt;0 OR INSTR(CAST(X."&amp;F447&amp;" AS STRING),'*')&gt;0 OR INSTR(CAST(X."&amp;F447&amp;" AS STRING),'`')&gt;0 OR INSTR(CAST(X."&amp;F447&amp;" AS STRING),'´')&gt;0 OR INSTR(CAST(X."&amp;F447&amp;" AS STRING),'{')&gt;0 OR INSTR(CAST(X."&amp;F447&amp;" AS STRING),'}')&gt;0 OR INSTR(CAST(X."&amp;F447&amp;" AS STRING),'[')&gt;0 OR INSTR(CAST(X."&amp;F447&amp;" AS STRING),'')&gt;0 OR INSTR(CAST(X."&amp;F447&amp;" AS STRING),']')&gt;0 OR INSTR(CAST(X."&amp;F447&amp;" AS STRING),'?')&gt;0 OR INSTR(CAST(X."&amp;F447&amp;" AS STRING),'!')&gt;0 OR INSTR(CAST(X."&amp;F447&amp;" AS STRING),'$')&gt;0 OR INSTR(CAST(X."&amp;F447&amp;" AS STRING),'%')&gt;0 OR INSTR(CAST(X."&amp;F447&amp;" AS STRING),'&amp;')&gt;0 OR INSTR(CAST(X."&amp;F447&amp;" AS STRING),'+')&gt;0,1,0)) AS NUM_REG_DIF,'"&amp;MAX('ID1&amp;5'!K:K)+1&amp;"' AS ID_EXEC, CURRENT_TIMESTAMP() AS TIME_EXEC FROM "&amp;I447,
IF(C447="Missings",+"SELECT '"&amp;UPPER(B447)&amp;"' AS TABELA, '"&amp;UPPER(C447)&amp;"' AS TIPOLOGIA_TESTE,'"&amp;D447&amp;"' AS TABELA_LT,'N/A' AS TABELA_SIMUL,'"&amp;F447&amp;"' AS CAMPO, "&amp;"'${ref_date}' AS REF_DATE, COUNT(*) AS NUM_REG, SUM(IF(TRIM(CAST(X."&amp;F447&amp;" AS STRING)) IN ('0000-00-00','0001-01-01','9999-12-31','MISS','00000','99999999999','99999999999.00','99999999999.000000'),1,0)) AS NUM_REG_DIF,'"&amp;MAX('ID1&amp;5'!K:K)+1&amp;"' AS ID_EXEC, CURRENT_TIMESTAMP() AS TIME_EXEC FROM "&amp;I447,
IF(C447="Not applicable",+"SELECT '"&amp;UPPER(B447)&amp;"' AS TABELA, '"&amp;UPPER(C447)&amp;"' AS TIPOLOGIA_TESTE,'"&amp;D447&amp;"' AS TABELA_LT,'N/A' AS TABELA_SIMUL,'"&amp;F447&amp;"' AS CAMPO, "&amp;"'${ref_date}' AS REF_DATE, COUNT(*) AS NUM_REG, SUM(IF(TRIM(CAST(X."&amp;F447&amp;" AS STRING)) IN ('N/A','11111111111','11111111111.00','11111111111.000000','1111-11-11'),1,0)) AS NUM_REG_DIF,'"&amp;MAX('ID1&amp;5'!K:K)+1&amp;"' AS ID_EXEC, CURRENT_TIMESTAMP() AS TIME_EXEC FROM "&amp;I447,
IF(C447="Valores extremos",+"SELECT '"&amp;UPPER(B447)&amp;"' AS TABELA, '"&amp;UPPER(C447)&amp;"' AS TIPOLOGIA_TESTE,'"&amp;D447&amp;"' AS TABELA_LT,'N/A' AS TABELA_SIMUL,'"&amp;F447&amp;"' AS CAMPO, "&amp;"'${ref_date}' AS REF_DATE, CAST(MIN("&amp;F447&amp;") AS STRING) AS VALOR_MIN, CAST(MAX("&amp;F447&amp;") AS STRING) AS VALOR_MAX,'"&amp;MAX('ID1&amp;5'!K:K)+1&amp;"' AS ID_EXEC, CURRENT_TIMESTAMP() AS TIME_EXEC FROM "&amp;MID(I447,1,LEN(I447)-2)&amp;" AND CAST("&amp;F447&amp;"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TABELA_SIMUL,'MTHD_USD_PRTCTN_SCP_2' AS CAMPO, '${ref_date}' AS REF_DATE, COUNT(*) AS NUM_REG, SUM(IF(TRIM(CAST(X.MTHD_USD_PRTCTN_SCP_2 AS STRING)) IN ('N/A','11111111111','11111111111.00','11111111111.000000','1111-11-11'),1,0)) AS NUM_REG_DIF,'10' AS ID_EXEC, CURRENT_TIMESTAMP() AS TIME_EXEC FROM (SELECT prtctn_id, MTHD_USD_PRTCTN_SCP_2 FROM BU_LOANTAPE_WORK.LT004_PROTECTION WHERE ref_date='${ref_date}' AND nome_perimetro='Individual Corporativo' AND segmento='ESTR' AND ambito='PILAR3')X</v>
      </c>
      <c r="M447" s="43" t="str">
        <f t="shared" si="7"/>
        <v>UNION ALL SELECT 'PROTECTION' AS TABELA, 'NOT APPLICABLE' AS TIPOLOGIA_TESTE,'BU_LOANTAPE_WORK.LT004_PROTECTION' AS TABELA_LT,'N/A' AS TABELA_SIMUL,'MTHD_USD_PRTCTN_SCP_2' AS CAMPO, '${ref_date}' AS REF_DATE, COUNT(*) AS NUM_REG, SUM(IF(TRIM(CAST(X.MTHD_USD_PRTCTN_SCP_2 AS STRING)) IN ('N/A','11111111111','11111111111.00','11111111111.000000','1111-11-11'),1,0)) AS NUM_REG_DIF,'10' AS ID_EXEC, CURRENT_TIMESTAMP() AS TIME_EXEC FROM (SELECT prtctn_id, MTHD_USD_PRTCTN_SCP_2 FROM BU_LOANTAPE_WORK.LT004_PROTECTION WHERE ref_date='${ref_date}' AND nome_perimetro='Individual Corporativo' AND segmento='ESTR' AND ambito='PILAR3')X</v>
      </c>
      <c r="N447" s="45" t="s">
        <v>13</v>
      </c>
    </row>
    <row r="448" spans="2:14">
      <c r="B448" s="41" t="s">
        <v>31</v>
      </c>
      <c r="C448" s="41" t="s">
        <v>78</v>
      </c>
      <c r="D448" s="41" t="str">
        <f>+UPPER('0. Instruções'!$D$33&amp;"."&amp;VLOOKUP(B448,'0. Instruções'!$C$27:$D$31,2,FALSE))</f>
        <v>BU_LOANTAPE_WORK.LT004_PROTECTION</v>
      </c>
      <c r="E448" s="41" t="str">
        <f>+UPPER('0. Instruções'!$D$34&amp;"."&amp;VLOOKUP(B448,'0. Instruções'!$C$27:$E$31,3,FALSE))</f>
        <v>BU_LOANTAPE_WORK.LT004_PROTECTION_P3_NOV24</v>
      </c>
      <c r="F448" s="41" t="s">
        <v>144</v>
      </c>
      <c r="G448" s="41" t="s">
        <v>209</v>
      </c>
      <c r="H448" s="41"/>
      <c r="I448" s="41" t="str">
        <f>"(SELECT "&amp;VLOOKUP(B448,'0. Instruções'!$C$27:$G$31,4,FALSE)&amp;", "&amp;F448&amp;" FROM "&amp;D448&amp;" WHERE "&amp;'0. Instruções'!$D$40&amp;")X"</f>
        <v>(SELECT prtctn_id, MTHD_USD_PRTCTN_SCP_3 FROM BU_LOANTAPE_WORK.LT004_PROTECTION WHERE ref_date='${ref_date}' AND nome_perimetro='Individual Corporativo' AND segmento='ESTR' AND ambito='PILAR3')X</v>
      </c>
      <c r="J448" s="41" t="str">
        <f>"(SELECT "&amp;VLOOKUP(B448,'0. Instruções'!$C$27:$G$31,4,FALSE)&amp;" AS "&amp;VLOOKUP(B448,'0. Instruções'!$C$27:$G$31,4,FALSE)&amp;"_SIMUL, "&amp;F448&amp;" AS "&amp;F448&amp;"_SIMUL FROM "&amp;E448&amp;")Y"</f>
        <v>(SELECT prtctn_id AS prtctn_id_SIMUL, MTHD_USD_PRTCTN_SCP_3 AS MTHD_USD_PRTCTN_SCP_3_SIMUL FROM BU_LOANTAPE_WORK.LT004_PROTECTION_P3_NOV24)Y</v>
      </c>
      <c r="K448" s="42" t="str">
        <f>+UPPER("ON X."&amp;VLOOKUP(B448,'0. Instruções'!$C$27:$G$31,4,FALSE)&amp;"=Y."&amp;VLOOKUP(B448,'0. Instruções'!$C$27:$G$31,4,FALSE)&amp;"_SIMUL")</f>
        <v>ON X.PRTCTN_ID=Y.PRTCTN_ID_SIMUL</v>
      </c>
      <c r="L448" s="42" t="str">
        <f>+IF(C448="Coerência", +IF(LEFT(G448,5)="FLOAT","SELECT '"&amp;UPPER(B448)&amp;"' AS TABELA, '"&amp;UPPER(C448)&amp;"' AS TIPOLOGIA_TESTE,'"&amp;D448&amp;"' AS TABELA_LT,'"&amp;E448&amp;"' AS TABELA_SIMUL,'"&amp;F448&amp;"' AS CAMPO, "&amp;"'${ref_date}' AS REF_DATE, COUNT(*) AS NUM_REG, SUM(IF((ABS(COALESCE(X."&amp;F448&amp;",0)-COALESCE(Y."&amp;F448&amp;"_SIMUL,0))&gt;0.0000000001) OR (X."&amp;F448&amp;" IS NULL AND Y."&amp;F448&amp;"_SIMUL IS NOT NULL ) OR (X."&amp;F448&amp;" IS NOT NULL AND Y."&amp;F448&amp;"_SIMUL IS NULL),1,0)) AS NUM_REG_DIF,'"&amp;MAX('ID1&amp;5'!K:K)+1&amp;"' AS ID_EXEC, CURRENT_TIMESTAMP() AS TIME_EXEC FROM "&amp;I448&amp;" INNER JOIN "&amp;J448&amp;" "&amp;K448,"SELECT '"&amp;UPPER(B448)&amp;"' AS TABELA, '"&amp;UPPER(C448)&amp;"' AS TIPOLOGIA_TESTE,'"&amp;D448&amp;"' AS TABELA_LT,'"&amp;E448&amp;"' AS TABELA_SIMUL,'"&amp;F448&amp;"' AS CAMPO, "&amp;"'${ref_date}' AS REF_DATE, COUNT(*) AS NUM_REG, SUM(IF(COALESCE(CAST(X."&amp;F448&amp;" AS STRING),'')&lt;&gt;COALESCE(CAST(Y."&amp;F448&amp;"_SIMUL AS STRING),''),1,0)) AS NUM_REG_DIF,'"&amp;MAX('ID1&amp;5'!L:L)+1&amp;"' AS ID_EXEC, CURRENT_TIMESTAMP() AS TIME_EXEC FROM "&amp;I448&amp;" INNER JOIN "&amp;J448&amp;" "&amp;K448),
IF(C448="Validade",+IF(G448="Code List","SELECT '"&amp;UPPER(B448)&amp;"' AS TABELA, '"&amp;UPPER(C448)&amp;"' AS TIPOLOGIA_TESTE,'"&amp;D448&amp;"' AS TABELA_LT,'N/A' AS TABELA_SIMUL,'"&amp;F448&amp;"' AS CAMPO, "&amp;"'${ref_date}' AS REF_DATE, COUNT(*) AS NUM_REG, SUM(IF(TRIM(CAST(X."&amp;F448&amp;" AS STRING))='' OR TRIM(CAST(X."&amp;F448&amp;" AS STRING)) IS NULL OR CAST(X."&amp;F448&amp;" AS STRING) NOT "&amp;H448&amp;",1,0)) AS NUM_REG_DIF,'"&amp;MAX('ID1&amp;5'!K:K)+1&amp;"' AS ID_EXEC, CURRENT_TIMESTAMP() AS TIME_EXEC FROM "&amp;I448,"SELECT '"&amp;UPPER(B448)&amp;"' AS TABELA, '"&amp;UPPER(C448)&amp;"' AS TIPOLOGIA_TESTE,'"&amp;D448&amp;"' AS TABELA_LT,'N/A' AS TABELA_SIMUL,'"&amp;F448&amp;"' AS CAMPO, "&amp;"'${ref_date}' AS REF_DATE, COUNT(*) AS NUM_REG, SUM(IF(TRIM(CAST(X."&amp;F448&amp;" AS STRING))='' OR TRIM(CAST(X."&amp;F448&amp;" AS STRING)) IS NULL,1,0)) AS NUM_REG_DIF,'"&amp;MAX('ID1&amp;5'!K:K)+1&amp;"' AS ID_EXEC, CURRENT_TIMESTAMP() AS TIME_EXEC FROM "&amp;I448),
IF(C448="Caracteres Especiais",+"SELECT '"&amp;UPPER(B448)&amp;"' AS TABELA, '"&amp;UPPER(C448)&amp;"' AS TIPOLOGIA_TESTE,'"&amp;D448&amp;"' AS TABELA_LT,'N/A' AS TABELA_SIMUL,'"&amp;F448&amp;"' AS CAMPO, "&amp;"'${ref_date}' AS REF_DATE, COUNT(*) AS NUM_REG, SUM(IF(INSTR(CAST(X."&amp;F448&amp;" AS STRING),'#')&gt;0 OR INSTR(CAST(X."&amp;F448&amp;" AS STRING),'*')&gt;0 OR INSTR(CAST(X."&amp;F448&amp;" AS STRING),'`')&gt;0 OR INSTR(CAST(X."&amp;F448&amp;" AS STRING),'´')&gt;0 OR INSTR(CAST(X."&amp;F448&amp;" AS STRING),'{')&gt;0 OR INSTR(CAST(X."&amp;F448&amp;" AS STRING),'}')&gt;0 OR INSTR(CAST(X."&amp;F448&amp;" AS STRING),'[')&gt;0 OR INSTR(CAST(X."&amp;F448&amp;" AS STRING),'')&gt;0 OR INSTR(CAST(X."&amp;F448&amp;" AS STRING),']')&gt;0 OR INSTR(CAST(X."&amp;F448&amp;" AS STRING),'?')&gt;0 OR INSTR(CAST(X."&amp;F448&amp;" AS STRING),'!')&gt;0 OR INSTR(CAST(X."&amp;F448&amp;" AS STRING),'$')&gt;0 OR INSTR(CAST(X."&amp;F448&amp;" AS STRING),'%')&gt;0 OR INSTR(CAST(X."&amp;F448&amp;" AS STRING),'&amp;')&gt;0 OR INSTR(CAST(X."&amp;F448&amp;" AS STRING),'+')&gt;0,1,0)) AS NUM_REG_DIF,'"&amp;MAX('ID1&amp;5'!K:K)+1&amp;"' AS ID_EXEC, CURRENT_TIMESTAMP() AS TIME_EXEC FROM "&amp;I448,
IF(C448="Missings",+"SELECT '"&amp;UPPER(B448)&amp;"' AS TABELA, '"&amp;UPPER(C448)&amp;"' AS TIPOLOGIA_TESTE,'"&amp;D448&amp;"' AS TABELA_LT,'N/A' AS TABELA_SIMUL,'"&amp;F448&amp;"' AS CAMPO, "&amp;"'${ref_date}' AS REF_DATE, COUNT(*) AS NUM_REG, SUM(IF(TRIM(CAST(X."&amp;F448&amp;" AS STRING)) IN ('0000-00-00','0001-01-01','9999-12-31','MISS','00000','99999999999','99999999999.00','99999999999.000000'),1,0)) AS NUM_REG_DIF,'"&amp;MAX('ID1&amp;5'!K:K)+1&amp;"' AS ID_EXEC, CURRENT_TIMESTAMP() AS TIME_EXEC FROM "&amp;I448,
IF(C448="Not applicable",+"SELECT '"&amp;UPPER(B448)&amp;"' AS TABELA, '"&amp;UPPER(C448)&amp;"' AS TIPOLOGIA_TESTE,'"&amp;D448&amp;"' AS TABELA_LT,'N/A' AS TABELA_SIMUL,'"&amp;F448&amp;"' AS CAMPO, "&amp;"'${ref_date}' AS REF_DATE, COUNT(*) AS NUM_REG, SUM(IF(TRIM(CAST(X."&amp;F448&amp;" AS STRING)) IN ('N/A','11111111111','11111111111.00','11111111111.000000','1111-11-11'),1,0)) AS NUM_REG_DIF,'"&amp;MAX('ID1&amp;5'!K:K)+1&amp;"' AS ID_EXEC, CURRENT_TIMESTAMP() AS TIME_EXEC FROM "&amp;I448,
IF(C448="Valores extremos",+"SELECT '"&amp;UPPER(B448)&amp;"' AS TABELA, '"&amp;UPPER(C448)&amp;"' AS TIPOLOGIA_TESTE,'"&amp;D448&amp;"' AS TABELA_LT,'N/A' AS TABELA_SIMUL,'"&amp;F448&amp;"' AS CAMPO, "&amp;"'${ref_date}' AS REF_DATE, CAST(MIN("&amp;F448&amp;") AS STRING) AS VALOR_MIN, CAST(MAX("&amp;F448&amp;") AS STRING) AS VALOR_MAX,'"&amp;MAX('ID1&amp;5'!K:K)+1&amp;"' AS ID_EXEC, CURRENT_TIMESTAMP() AS TIME_EXEC FROM "&amp;MID(I448,1,LEN(I448)-2)&amp;" AND CAST("&amp;F448&amp;"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TABELA_SIMUL,'MTHD_USD_PRTCTN_SCP_3' AS CAMPO, '${ref_date}' AS REF_DATE, COUNT(*) AS NUM_REG, SUM(IF(TRIM(CAST(X.MTHD_USD_PRTCTN_SCP_3 AS STRING)) IN ('N/A','11111111111','11111111111.00','11111111111.000000','1111-11-11'),1,0)) AS NUM_REG_DIF,'10' AS ID_EXEC, CURRENT_TIMESTAMP() AS TIME_EXEC FROM (SELECT prtctn_id, MTHD_USD_PRTCTN_SCP_3 FROM BU_LOANTAPE_WORK.LT004_PROTECTION WHERE ref_date='${ref_date}' AND nome_perimetro='Individual Corporativo' AND segmento='ESTR' AND ambito='PILAR3')X</v>
      </c>
      <c r="M448" s="43" t="str">
        <f t="shared" si="7"/>
        <v>UNION ALL SELECT 'PROTECTION' AS TABELA, 'NOT APPLICABLE' AS TIPOLOGIA_TESTE,'BU_LOANTAPE_WORK.LT004_PROTECTION' AS TABELA_LT,'N/A' AS TABELA_SIMUL,'MTHD_USD_PRTCTN_SCP_3' AS CAMPO, '${ref_date}' AS REF_DATE, COUNT(*) AS NUM_REG, SUM(IF(TRIM(CAST(X.MTHD_USD_PRTCTN_SCP_3 AS STRING)) IN ('N/A','11111111111','11111111111.00','11111111111.000000','1111-11-11'),1,0)) AS NUM_REG_DIF,'10' AS ID_EXEC, CURRENT_TIMESTAMP() AS TIME_EXEC FROM (SELECT prtctn_id, MTHD_USD_PRTCTN_SCP_3 FROM BU_LOANTAPE_WORK.LT004_PROTECTION WHERE ref_date='${ref_date}' AND nome_perimetro='Individual Corporativo' AND segmento='ESTR' AND ambito='PILAR3')X</v>
      </c>
      <c r="N448" s="45" t="s">
        <v>13</v>
      </c>
    </row>
    <row r="449" spans="2:14">
      <c r="B449" s="41" t="s">
        <v>31</v>
      </c>
      <c r="C449" s="41" t="s">
        <v>78</v>
      </c>
      <c r="D449" s="41" t="str">
        <f>+UPPER('0. Instruções'!$D$33&amp;"."&amp;VLOOKUP(B449,'0. Instruções'!$C$27:$D$31,2,FALSE))</f>
        <v>BU_LOANTAPE_WORK.LT004_PROTECTION</v>
      </c>
      <c r="E449" s="41" t="str">
        <f>+UPPER('0. Instruções'!$D$34&amp;"."&amp;VLOOKUP(B449,'0. Instruções'!$C$27:$E$31,3,FALSE))</f>
        <v>BU_LOANTAPE_WORK.LT004_PROTECTION_P3_NOV24</v>
      </c>
      <c r="F449" s="41" t="s">
        <v>121</v>
      </c>
      <c r="G449" s="41" t="s">
        <v>211</v>
      </c>
      <c r="H449" s="41"/>
      <c r="I449" s="41" t="str">
        <f>"(SELECT "&amp;VLOOKUP(B449,'0. Instruções'!$C$27:$G$31,4,FALSE)&amp;", "&amp;F449&amp;" FROM "&amp;D449&amp;" WHERE "&amp;'0. Instruções'!$D$40&amp;")X"</f>
        <v>(SELECT prtctn_id, FLG_ACT_PHYSCL_RSK FROM BU_LOANTAPE_WORK.LT004_PROTECTION WHERE ref_date='${ref_date}' AND nome_perimetro='Individual Corporativo' AND segmento='ESTR' AND ambito='PILAR3')X</v>
      </c>
      <c r="J449" s="41" t="str">
        <f>"(SELECT "&amp;VLOOKUP(B449,'0. Instruções'!$C$27:$G$31,4,FALSE)&amp;" AS "&amp;VLOOKUP(B449,'0. Instruções'!$C$27:$G$31,4,FALSE)&amp;"_SIMUL, "&amp;F449&amp;" AS "&amp;F449&amp;"_SIMUL FROM "&amp;E449&amp;")Y"</f>
        <v>(SELECT prtctn_id AS prtctn_id_SIMUL, FLG_ACT_PHYSCL_RSK AS FLG_ACT_PHYSCL_RSK_SIMUL FROM BU_LOANTAPE_WORK.LT004_PROTECTION_P3_NOV24)Y</v>
      </c>
      <c r="K449" s="42" t="str">
        <f>+UPPER("ON X."&amp;VLOOKUP(B449,'0. Instruções'!$C$27:$G$31,4,FALSE)&amp;"=Y."&amp;VLOOKUP(B449,'0. Instruções'!$C$27:$G$31,4,FALSE)&amp;"_SIMUL")</f>
        <v>ON X.PRTCTN_ID=Y.PRTCTN_ID_SIMUL</v>
      </c>
      <c r="L449" s="42" t="str">
        <f>+IF(C449="Coerência", +IF(LEFT(G449,5)="FLOAT","SELECT '"&amp;UPPER(B449)&amp;"' AS TABELA, '"&amp;UPPER(C449)&amp;"' AS TIPOLOGIA_TESTE,'"&amp;D449&amp;"' AS TABELA_LT,'"&amp;E449&amp;"' AS TABELA_SIMUL,'"&amp;F449&amp;"' AS CAMPO, "&amp;"'${ref_date}' AS REF_DATE, COUNT(*) AS NUM_REG, SUM(IF((ABS(COALESCE(X."&amp;F449&amp;",0)-COALESCE(Y."&amp;F449&amp;"_SIMUL,0))&gt;0.0000000001) OR (X."&amp;F449&amp;" IS NULL AND Y."&amp;F449&amp;"_SIMUL IS NOT NULL ) OR (X."&amp;F449&amp;" IS NOT NULL AND Y."&amp;F449&amp;"_SIMUL IS NULL),1,0)) AS NUM_REG_DIF,'"&amp;MAX('ID1&amp;5'!K:K)+1&amp;"' AS ID_EXEC, CURRENT_TIMESTAMP() AS TIME_EXEC FROM "&amp;I449&amp;" INNER JOIN "&amp;J449&amp;" "&amp;K449,"SELECT '"&amp;UPPER(B449)&amp;"' AS TABELA, '"&amp;UPPER(C449)&amp;"' AS TIPOLOGIA_TESTE,'"&amp;D449&amp;"' AS TABELA_LT,'"&amp;E449&amp;"' AS TABELA_SIMUL,'"&amp;F449&amp;"' AS CAMPO, "&amp;"'${ref_date}' AS REF_DATE, COUNT(*) AS NUM_REG, SUM(IF(COALESCE(CAST(X."&amp;F449&amp;" AS STRING),'')&lt;&gt;COALESCE(CAST(Y."&amp;F449&amp;"_SIMUL AS STRING),''),1,0)) AS NUM_REG_DIF,'"&amp;MAX('ID1&amp;5'!L:L)+1&amp;"' AS ID_EXEC, CURRENT_TIMESTAMP() AS TIME_EXEC FROM "&amp;I449&amp;" INNER JOIN "&amp;J449&amp;" "&amp;K449),
IF(C449="Validade",+IF(G449="Code List","SELECT '"&amp;UPPER(B449)&amp;"' AS TABELA, '"&amp;UPPER(C449)&amp;"' AS TIPOLOGIA_TESTE,'"&amp;D449&amp;"' AS TABELA_LT,'N/A' AS TABELA_SIMUL,'"&amp;F449&amp;"' AS CAMPO, "&amp;"'${ref_date}' AS REF_DATE, COUNT(*) AS NUM_REG, SUM(IF(TRIM(CAST(X."&amp;F449&amp;" AS STRING))='' OR TRIM(CAST(X."&amp;F449&amp;" AS STRING)) IS NULL OR CAST(X."&amp;F449&amp;" AS STRING) NOT "&amp;H449&amp;",1,0)) AS NUM_REG_DIF,'"&amp;MAX('ID1&amp;5'!K:K)+1&amp;"' AS ID_EXEC, CURRENT_TIMESTAMP() AS TIME_EXEC FROM "&amp;I449,"SELECT '"&amp;UPPER(B449)&amp;"' AS TABELA, '"&amp;UPPER(C449)&amp;"' AS TIPOLOGIA_TESTE,'"&amp;D449&amp;"' AS TABELA_LT,'N/A' AS TABELA_SIMUL,'"&amp;F449&amp;"' AS CAMPO, "&amp;"'${ref_date}' AS REF_DATE, COUNT(*) AS NUM_REG, SUM(IF(TRIM(CAST(X."&amp;F449&amp;" AS STRING))='' OR TRIM(CAST(X."&amp;F449&amp;" AS STRING)) IS NULL,1,0)) AS NUM_REG_DIF,'"&amp;MAX('ID1&amp;5'!K:K)+1&amp;"' AS ID_EXEC, CURRENT_TIMESTAMP() AS TIME_EXEC FROM "&amp;I449),
IF(C449="Caracteres Especiais",+"SELECT '"&amp;UPPER(B449)&amp;"' AS TABELA, '"&amp;UPPER(C449)&amp;"' AS TIPOLOGIA_TESTE,'"&amp;D449&amp;"' AS TABELA_LT,'N/A' AS TABELA_SIMUL,'"&amp;F449&amp;"' AS CAMPO, "&amp;"'${ref_date}' AS REF_DATE, COUNT(*) AS NUM_REG, SUM(IF(INSTR(CAST(X."&amp;F449&amp;" AS STRING),'#')&gt;0 OR INSTR(CAST(X."&amp;F449&amp;" AS STRING),'*')&gt;0 OR INSTR(CAST(X."&amp;F449&amp;" AS STRING),'`')&gt;0 OR INSTR(CAST(X."&amp;F449&amp;" AS STRING),'´')&gt;0 OR INSTR(CAST(X."&amp;F449&amp;" AS STRING),'{')&gt;0 OR INSTR(CAST(X."&amp;F449&amp;" AS STRING),'}')&gt;0 OR INSTR(CAST(X."&amp;F449&amp;" AS STRING),'[')&gt;0 OR INSTR(CAST(X."&amp;F449&amp;" AS STRING),'')&gt;0 OR INSTR(CAST(X."&amp;F449&amp;" AS STRING),']')&gt;0 OR INSTR(CAST(X."&amp;F449&amp;" AS STRING),'?')&gt;0 OR INSTR(CAST(X."&amp;F449&amp;" AS STRING),'!')&gt;0 OR INSTR(CAST(X."&amp;F449&amp;" AS STRING),'$')&gt;0 OR INSTR(CAST(X."&amp;F449&amp;" AS STRING),'%')&gt;0 OR INSTR(CAST(X."&amp;F449&amp;" AS STRING),'&amp;')&gt;0 OR INSTR(CAST(X."&amp;F449&amp;" AS STRING),'+')&gt;0,1,0)) AS NUM_REG_DIF,'"&amp;MAX('ID1&amp;5'!K:K)+1&amp;"' AS ID_EXEC, CURRENT_TIMESTAMP() AS TIME_EXEC FROM "&amp;I449,
IF(C449="Missings",+"SELECT '"&amp;UPPER(B449)&amp;"' AS TABELA, '"&amp;UPPER(C449)&amp;"' AS TIPOLOGIA_TESTE,'"&amp;D449&amp;"' AS TABELA_LT,'N/A' AS TABELA_SIMUL,'"&amp;F449&amp;"' AS CAMPO, "&amp;"'${ref_date}' AS REF_DATE, COUNT(*) AS NUM_REG, SUM(IF(TRIM(CAST(X."&amp;F449&amp;" AS STRING)) IN ('0000-00-00','0001-01-01','9999-12-31','MISS','00000','99999999999','99999999999.00','99999999999.000000'),1,0)) AS NUM_REG_DIF,'"&amp;MAX('ID1&amp;5'!K:K)+1&amp;"' AS ID_EXEC, CURRENT_TIMESTAMP() AS TIME_EXEC FROM "&amp;I449,
IF(C449="Not applicable",+"SELECT '"&amp;UPPER(B449)&amp;"' AS TABELA, '"&amp;UPPER(C449)&amp;"' AS TIPOLOGIA_TESTE,'"&amp;D449&amp;"' AS TABELA_LT,'N/A' AS TABELA_SIMUL,'"&amp;F449&amp;"' AS CAMPO, "&amp;"'${ref_date}' AS REF_DATE, COUNT(*) AS NUM_REG, SUM(IF(TRIM(CAST(X."&amp;F449&amp;" AS STRING)) IN ('N/A','11111111111','11111111111.00','11111111111.000000','1111-11-11'),1,0)) AS NUM_REG_DIF,'"&amp;MAX('ID1&amp;5'!K:K)+1&amp;"' AS ID_EXEC, CURRENT_TIMESTAMP() AS TIME_EXEC FROM "&amp;I449,
IF(C449="Valores extremos",+"SELECT '"&amp;UPPER(B449)&amp;"' AS TABELA, '"&amp;UPPER(C449)&amp;"' AS TIPOLOGIA_TESTE,'"&amp;D449&amp;"' AS TABELA_LT,'N/A' AS TABELA_SIMUL,'"&amp;F449&amp;"' AS CAMPO, "&amp;"'${ref_date}' AS REF_DATE, CAST(MIN("&amp;F449&amp;") AS STRING) AS VALOR_MIN, CAST(MAX("&amp;F449&amp;") AS STRING) AS VALOR_MAX,'"&amp;MAX('ID1&amp;5'!K:K)+1&amp;"' AS ID_EXEC, CURRENT_TIMESTAMP() AS TIME_EXEC FROM "&amp;MID(I449,1,LEN(I449)-2)&amp;" AND CAST("&amp;F449&amp;"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TABELA_SIMUL,'FLG_ACT_PHYSCL_RSK' AS CAMPO, '${ref_date}' AS REF_DATE, COUNT(*) AS NUM_REG, SUM(IF(TRIM(CAST(X.FLG_ACT_PHYSCL_RSK AS STRING)) IN ('N/A','11111111111','11111111111.00','11111111111.000000','1111-11-11'),1,0)) AS NUM_REG_DIF,'10' AS ID_EXEC, CURRENT_TIMESTAMP() AS TIME_EXEC FROM (SELECT prtctn_id, FLG_ACT_PHYSCL_RSK FROM BU_LOANTAPE_WORK.LT004_PROTECTION WHERE ref_date='${ref_date}' AND nome_perimetro='Individual Corporativo' AND segmento='ESTR' AND ambito='PILAR3')X</v>
      </c>
      <c r="M449" s="43" t="str">
        <f t="shared" si="7"/>
        <v>UNION ALL SELECT 'PROTECTION' AS TABELA, 'NOT APPLICABLE' AS TIPOLOGIA_TESTE,'BU_LOANTAPE_WORK.LT004_PROTECTION' AS TABELA_LT,'N/A' AS TABELA_SIMUL,'FLG_ACT_PHYSCL_RSK' AS CAMPO, '${ref_date}' AS REF_DATE, COUNT(*) AS NUM_REG, SUM(IF(TRIM(CAST(X.FLG_ACT_PHYSCL_RSK AS STRING)) IN ('N/A','11111111111','11111111111.00','11111111111.000000','1111-11-11'),1,0)) AS NUM_REG_DIF,'10' AS ID_EXEC, CURRENT_TIMESTAMP() AS TIME_EXEC FROM (SELECT prtctn_id, FLG_ACT_PHYSCL_RSK FROM BU_LOANTAPE_WORK.LT004_PROTECTION WHERE ref_date='${ref_date}' AND nome_perimetro='Individual Corporativo' AND segmento='ESTR' AND ambito='PILAR3')X</v>
      </c>
      <c r="N449" s="45" t="s">
        <v>13</v>
      </c>
    </row>
    <row r="450" spans="2:14">
      <c r="B450" s="41" t="s">
        <v>31</v>
      </c>
      <c r="C450" s="41" t="s">
        <v>78</v>
      </c>
      <c r="D450" s="41" t="str">
        <f>+UPPER('0. Instruções'!$D$33&amp;"."&amp;VLOOKUP(B450,'0. Instruções'!$C$27:$D$31,2,FALSE))</f>
        <v>BU_LOANTAPE_WORK.LT004_PROTECTION</v>
      </c>
      <c r="E450" s="41" t="str">
        <f>+UPPER('0. Instruções'!$D$34&amp;"."&amp;VLOOKUP(B450,'0. Instruções'!$C$27:$E$31,3,FALSE))</f>
        <v>BU_LOANTAPE_WORK.LT004_PROTECTION_P3_NOV24</v>
      </c>
      <c r="F450" s="41" t="s">
        <v>122</v>
      </c>
      <c r="G450" s="41" t="s">
        <v>211</v>
      </c>
      <c r="H450" s="41"/>
      <c r="I450" s="41" t="str">
        <f>"(SELECT "&amp;VLOOKUP(B450,'0. Instruções'!$C$27:$G$31,4,FALSE)&amp;", "&amp;F450&amp;" FROM "&amp;D450&amp;" WHERE "&amp;'0. Instruções'!$D$40&amp;")X"</f>
        <v>(SELECT prtctn_id, FLG_CHRNC_PHYSCL_RSK FROM BU_LOANTAPE_WORK.LT004_PROTECTION WHERE ref_date='${ref_date}' AND nome_perimetro='Individual Corporativo' AND segmento='ESTR' AND ambito='PILAR3')X</v>
      </c>
      <c r="J450" s="41" t="str">
        <f>"(SELECT "&amp;VLOOKUP(B450,'0. Instruções'!$C$27:$G$31,4,FALSE)&amp;" AS "&amp;VLOOKUP(B450,'0. Instruções'!$C$27:$G$31,4,FALSE)&amp;"_SIMUL, "&amp;F450&amp;" AS "&amp;F450&amp;"_SIMUL FROM "&amp;E450&amp;")Y"</f>
        <v>(SELECT prtctn_id AS prtctn_id_SIMUL, FLG_CHRNC_PHYSCL_RSK AS FLG_CHRNC_PHYSCL_RSK_SIMUL FROM BU_LOANTAPE_WORK.LT004_PROTECTION_P3_NOV24)Y</v>
      </c>
      <c r="K450" s="42" t="str">
        <f>+UPPER("ON X."&amp;VLOOKUP(B450,'0. Instruções'!$C$27:$G$31,4,FALSE)&amp;"=Y."&amp;VLOOKUP(B450,'0. Instruções'!$C$27:$G$31,4,FALSE)&amp;"_SIMUL")</f>
        <v>ON X.PRTCTN_ID=Y.PRTCTN_ID_SIMUL</v>
      </c>
      <c r="L450" s="42" t="str">
        <f>+IF(C450="Coerência", +IF(LEFT(G450,5)="FLOAT","SELECT '"&amp;UPPER(B450)&amp;"' AS TABELA, '"&amp;UPPER(C450)&amp;"' AS TIPOLOGIA_TESTE,'"&amp;D450&amp;"' AS TABELA_LT,'"&amp;E450&amp;"' AS TABELA_SIMUL,'"&amp;F450&amp;"' AS CAMPO, "&amp;"'${ref_date}' AS REF_DATE, COUNT(*) AS NUM_REG, SUM(IF((ABS(COALESCE(X."&amp;F450&amp;",0)-COALESCE(Y."&amp;F450&amp;"_SIMUL,0))&gt;0.0000000001) OR (X."&amp;F450&amp;" IS NULL AND Y."&amp;F450&amp;"_SIMUL IS NOT NULL ) OR (X."&amp;F450&amp;" IS NOT NULL AND Y."&amp;F450&amp;"_SIMUL IS NULL),1,0)) AS NUM_REG_DIF,'"&amp;MAX('ID1&amp;5'!K:K)+1&amp;"' AS ID_EXEC, CURRENT_TIMESTAMP() AS TIME_EXEC FROM "&amp;I450&amp;" INNER JOIN "&amp;J450&amp;" "&amp;K450,"SELECT '"&amp;UPPER(B450)&amp;"' AS TABELA, '"&amp;UPPER(C450)&amp;"' AS TIPOLOGIA_TESTE,'"&amp;D450&amp;"' AS TABELA_LT,'"&amp;E450&amp;"' AS TABELA_SIMUL,'"&amp;F450&amp;"' AS CAMPO, "&amp;"'${ref_date}' AS REF_DATE, COUNT(*) AS NUM_REG, SUM(IF(COALESCE(CAST(X."&amp;F450&amp;" AS STRING),'')&lt;&gt;COALESCE(CAST(Y."&amp;F450&amp;"_SIMUL AS STRING),''),1,0)) AS NUM_REG_DIF,'"&amp;MAX('ID1&amp;5'!L:L)+1&amp;"' AS ID_EXEC, CURRENT_TIMESTAMP() AS TIME_EXEC FROM "&amp;I450&amp;" INNER JOIN "&amp;J450&amp;" "&amp;K450),
IF(C450="Validade",+IF(G450="Code List","SELECT '"&amp;UPPER(B450)&amp;"' AS TABELA, '"&amp;UPPER(C450)&amp;"' AS TIPOLOGIA_TESTE,'"&amp;D450&amp;"' AS TABELA_LT,'N/A' AS TABELA_SIMUL,'"&amp;F450&amp;"' AS CAMPO, "&amp;"'${ref_date}' AS REF_DATE, COUNT(*) AS NUM_REG, SUM(IF(TRIM(CAST(X."&amp;F450&amp;" AS STRING))='' OR TRIM(CAST(X."&amp;F450&amp;" AS STRING)) IS NULL OR CAST(X."&amp;F450&amp;" AS STRING) NOT "&amp;H450&amp;",1,0)) AS NUM_REG_DIF,'"&amp;MAX('ID1&amp;5'!K:K)+1&amp;"' AS ID_EXEC, CURRENT_TIMESTAMP() AS TIME_EXEC FROM "&amp;I450,"SELECT '"&amp;UPPER(B450)&amp;"' AS TABELA, '"&amp;UPPER(C450)&amp;"' AS TIPOLOGIA_TESTE,'"&amp;D450&amp;"' AS TABELA_LT,'N/A' AS TABELA_SIMUL,'"&amp;F450&amp;"' AS CAMPO, "&amp;"'${ref_date}' AS REF_DATE, COUNT(*) AS NUM_REG, SUM(IF(TRIM(CAST(X."&amp;F450&amp;" AS STRING))='' OR TRIM(CAST(X."&amp;F450&amp;" AS STRING)) IS NULL,1,0)) AS NUM_REG_DIF,'"&amp;MAX('ID1&amp;5'!K:K)+1&amp;"' AS ID_EXEC, CURRENT_TIMESTAMP() AS TIME_EXEC FROM "&amp;I450),
IF(C450="Caracteres Especiais",+"SELECT '"&amp;UPPER(B450)&amp;"' AS TABELA, '"&amp;UPPER(C450)&amp;"' AS TIPOLOGIA_TESTE,'"&amp;D450&amp;"' AS TABELA_LT,'N/A' AS TABELA_SIMUL,'"&amp;F450&amp;"' AS CAMPO, "&amp;"'${ref_date}' AS REF_DATE, COUNT(*) AS NUM_REG, SUM(IF(INSTR(CAST(X."&amp;F450&amp;" AS STRING),'#')&gt;0 OR INSTR(CAST(X."&amp;F450&amp;" AS STRING),'*')&gt;0 OR INSTR(CAST(X."&amp;F450&amp;" AS STRING),'`')&gt;0 OR INSTR(CAST(X."&amp;F450&amp;" AS STRING),'´')&gt;0 OR INSTR(CAST(X."&amp;F450&amp;" AS STRING),'{')&gt;0 OR INSTR(CAST(X."&amp;F450&amp;" AS STRING),'}')&gt;0 OR INSTR(CAST(X."&amp;F450&amp;" AS STRING),'[')&gt;0 OR INSTR(CAST(X."&amp;F450&amp;" AS STRING),'')&gt;0 OR INSTR(CAST(X."&amp;F450&amp;" AS STRING),']')&gt;0 OR INSTR(CAST(X."&amp;F450&amp;" AS STRING),'?')&gt;0 OR INSTR(CAST(X."&amp;F450&amp;" AS STRING),'!')&gt;0 OR INSTR(CAST(X."&amp;F450&amp;" AS STRING),'$')&gt;0 OR INSTR(CAST(X."&amp;F450&amp;" AS STRING),'%')&gt;0 OR INSTR(CAST(X."&amp;F450&amp;" AS STRING),'&amp;')&gt;0 OR INSTR(CAST(X."&amp;F450&amp;" AS STRING),'+')&gt;0,1,0)) AS NUM_REG_DIF,'"&amp;MAX('ID1&amp;5'!K:K)+1&amp;"' AS ID_EXEC, CURRENT_TIMESTAMP() AS TIME_EXEC FROM "&amp;I450,
IF(C450="Missings",+"SELECT '"&amp;UPPER(B450)&amp;"' AS TABELA, '"&amp;UPPER(C450)&amp;"' AS TIPOLOGIA_TESTE,'"&amp;D450&amp;"' AS TABELA_LT,'N/A' AS TABELA_SIMUL,'"&amp;F450&amp;"' AS CAMPO, "&amp;"'${ref_date}' AS REF_DATE, COUNT(*) AS NUM_REG, SUM(IF(TRIM(CAST(X."&amp;F450&amp;" AS STRING)) IN ('0000-00-00','0001-01-01','9999-12-31','MISS','00000','99999999999','99999999999.00','99999999999.000000'),1,0)) AS NUM_REG_DIF,'"&amp;MAX('ID1&amp;5'!K:K)+1&amp;"' AS ID_EXEC, CURRENT_TIMESTAMP() AS TIME_EXEC FROM "&amp;I450,
IF(C450="Not applicable",+"SELECT '"&amp;UPPER(B450)&amp;"' AS TABELA, '"&amp;UPPER(C450)&amp;"' AS TIPOLOGIA_TESTE,'"&amp;D450&amp;"' AS TABELA_LT,'N/A' AS TABELA_SIMUL,'"&amp;F450&amp;"' AS CAMPO, "&amp;"'${ref_date}' AS REF_DATE, COUNT(*) AS NUM_REG, SUM(IF(TRIM(CAST(X."&amp;F450&amp;" AS STRING)) IN ('N/A','11111111111','11111111111.00','11111111111.000000','1111-11-11'),1,0)) AS NUM_REG_DIF,'"&amp;MAX('ID1&amp;5'!K:K)+1&amp;"' AS ID_EXEC, CURRENT_TIMESTAMP() AS TIME_EXEC FROM "&amp;I450,
IF(C450="Valores extremos",+"SELECT '"&amp;UPPER(B450)&amp;"' AS TABELA, '"&amp;UPPER(C450)&amp;"' AS TIPOLOGIA_TESTE,'"&amp;D450&amp;"' AS TABELA_LT,'N/A' AS TABELA_SIMUL,'"&amp;F450&amp;"' AS CAMPO, "&amp;"'${ref_date}' AS REF_DATE, CAST(MIN("&amp;F450&amp;") AS STRING) AS VALOR_MIN, CAST(MAX("&amp;F450&amp;") AS STRING) AS VALOR_MAX,'"&amp;MAX('ID1&amp;5'!K:K)+1&amp;"' AS ID_EXEC, CURRENT_TIMESTAMP() AS TIME_EXEC FROM "&amp;MID(I450,1,LEN(I450)-2)&amp;" AND CAST("&amp;F450&amp;"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TABELA_SIMUL,'FLG_CHRNC_PHYSCL_RSK' AS CAMPO, '${ref_date}' AS REF_DATE, COUNT(*) AS NUM_REG, SUM(IF(TRIM(CAST(X.FLG_CHRNC_PHYSCL_RSK AS STRING)) IN ('N/A','11111111111','11111111111.00','11111111111.000000','1111-11-11'),1,0)) AS NUM_REG_DIF,'10' AS ID_EXEC, CURRENT_TIMESTAMP() AS TIME_EXEC FROM (SELECT prtctn_id, FLG_CHRNC_PHYSCL_RSK FROM BU_LOANTAPE_WORK.LT004_PROTECTION WHERE ref_date='${ref_date}' AND nome_perimetro='Individual Corporativo' AND segmento='ESTR' AND ambito='PILAR3')X</v>
      </c>
      <c r="M450" s="43" t="str">
        <f t="shared" si="7"/>
        <v>UNION ALL SELECT 'PROTECTION' AS TABELA, 'NOT APPLICABLE' AS TIPOLOGIA_TESTE,'BU_LOANTAPE_WORK.LT004_PROTECTION' AS TABELA_LT,'N/A' AS TABELA_SIMUL,'FLG_CHRNC_PHYSCL_RSK' AS CAMPO, '${ref_date}' AS REF_DATE, COUNT(*) AS NUM_REG, SUM(IF(TRIM(CAST(X.FLG_CHRNC_PHYSCL_RSK AS STRING)) IN ('N/A','11111111111','11111111111.00','11111111111.000000','1111-11-11'),1,0)) AS NUM_REG_DIF,'10' AS ID_EXEC, CURRENT_TIMESTAMP() AS TIME_EXEC FROM (SELECT prtctn_id, FLG_CHRNC_PHYSCL_RSK FROM BU_LOANTAPE_WORK.LT004_PROTECTION WHERE ref_date='${ref_date}' AND nome_perimetro='Individual Corporativo' AND segmento='ESTR' AND ambito='PILAR3')X</v>
      </c>
      <c r="N450" s="45" t="s">
        <v>13</v>
      </c>
    </row>
    <row r="451" spans="2:14">
      <c r="B451" s="41" t="s">
        <v>31</v>
      </c>
      <c r="C451" s="41" t="s">
        <v>78</v>
      </c>
      <c r="D451" s="41" t="str">
        <f>+UPPER('0. Instruções'!$D$33&amp;"."&amp;VLOOKUP(B451,'0. Instruções'!$C$27:$D$31,2,FALSE))</f>
        <v>BU_LOANTAPE_WORK.LT004_PROTECTION</v>
      </c>
      <c r="E451" s="41" t="str">
        <f>+UPPER('0. Instruções'!$D$34&amp;"."&amp;VLOOKUP(B451,'0. Instruções'!$C$27:$E$31,3,FALSE))</f>
        <v>BU_LOANTAPE_WORK.LT004_PROTECTION_P3_NOV24</v>
      </c>
      <c r="F451" s="41" t="s">
        <v>156</v>
      </c>
      <c r="G451" s="41" t="s">
        <v>13</v>
      </c>
      <c r="H451" s="41"/>
      <c r="I451" s="41" t="str">
        <f>"(SELECT "&amp;VLOOKUP(B451,'0. Instruções'!$C$27:$G$31,4,FALSE)&amp;", "&amp;F451&amp;" FROM "&amp;D451&amp;" WHERE "&amp;'0. Instruções'!$D$40&amp;")X"</f>
        <v>(SELECT prtctn_id, DT_RFRNC FROM BU_LOANTAPE_WORK.LT004_PROTECTION WHERE ref_date='${ref_date}' AND nome_perimetro='Individual Corporativo' AND segmento='ESTR' AND ambito='PILAR3')X</v>
      </c>
      <c r="J451" s="41" t="str">
        <f>"(SELECT "&amp;VLOOKUP(B451,'0. Instruções'!$C$27:$G$31,4,FALSE)&amp;" AS "&amp;VLOOKUP(B451,'0. Instruções'!$C$27:$G$31,4,FALSE)&amp;"_SIMUL, "&amp;F451&amp;" AS "&amp;F451&amp;"_SIMUL FROM "&amp;E451&amp;")Y"</f>
        <v>(SELECT prtctn_id AS prtctn_id_SIMUL, DT_RFRNC AS DT_RFRNC_SIMUL FROM BU_LOANTAPE_WORK.LT004_PROTECTION_P3_NOV24)Y</v>
      </c>
      <c r="K451" s="42" t="str">
        <f>+UPPER("ON X."&amp;VLOOKUP(B451,'0. Instruções'!$C$27:$G$31,4,FALSE)&amp;"=Y."&amp;VLOOKUP(B451,'0. Instruções'!$C$27:$G$31,4,FALSE)&amp;"_SIMUL")</f>
        <v>ON X.PRTCTN_ID=Y.PRTCTN_ID_SIMUL</v>
      </c>
      <c r="L451" s="42" t="str">
        <f>+IF(C451="Coerência", +IF(LEFT(G451,5)="FLOAT","SELECT '"&amp;UPPER(B451)&amp;"' AS TABELA, '"&amp;UPPER(C451)&amp;"' AS TIPOLOGIA_TESTE,'"&amp;D451&amp;"' AS TABELA_LT,'"&amp;E451&amp;"' AS TABELA_SIMUL,'"&amp;F451&amp;"' AS CAMPO, "&amp;"'${ref_date}' AS REF_DATE, COUNT(*) AS NUM_REG, SUM(IF((ABS(COALESCE(X."&amp;F451&amp;",0)-COALESCE(Y."&amp;F451&amp;"_SIMUL,0))&gt;0.0000000001) OR (X."&amp;F451&amp;" IS NULL AND Y."&amp;F451&amp;"_SIMUL IS NOT NULL ) OR (X."&amp;F451&amp;" IS NOT NULL AND Y."&amp;F451&amp;"_SIMUL IS NULL),1,0)) AS NUM_REG_DIF,'"&amp;MAX('ID1&amp;5'!K:K)+1&amp;"' AS ID_EXEC, CURRENT_TIMESTAMP() AS TIME_EXEC FROM "&amp;I451&amp;" INNER JOIN "&amp;J451&amp;" "&amp;K451,"SELECT '"&amp;UPPER(B451)&amp;"' AS TABELA, '"&amp;UPPER(C451)&amp;"' AS TIPOLOGIA_TESTE,'"&amp;D451&amp;"' AS TABELA_LT,'"&amp;E451&amp;"' AS TABELA_SIMUL,'"&amp;F451&amp;"' AS CAMPO, "&amp;"'${ref_date}' AS REF_DATE, COUNT(*) AS NUM_REG, SUM(IF(COALESCE(CAST(X."&amp;F451&amp;" AS STRING),'')&lt;&gt;COALESCE(CAST(Y."&amp;F451&amp;"_SIMUL AS STRING),''),1,0)) AS NUM_REG_DIF,'"&amp;MAX('ID1&amp;5'!L:L)+1&amp;"' AS ID_EXEC, CURRENT_TIMESTAMP() AS TIME_EXEC FROM "&amp;I451&amp;" INNER JOIN "&amp;J451&amp;" "&amp;K451),
IF(C451="Validade",+IF(G451="Code List","SELECT '"&amp;UPPER(B451)&amp;"' AS TABELA, '"&amp;UPPER(C451)&amp;"' AS TIPOLOGIA_TESTE,'"&amp;D451&amp;"' AS TABELA_LT,'N/A' AS TABELA_SIMUL,'"&amp;F451&amp;"' AS CAMPO, "&amp;"'${ref_date}' AS REF_DATE, COUNT(*) AS NUM_REG, SUM(IF(TRIM(CAST(X."&amp;F451&amp;" AS STRING))='' OR TRIM(CAST(X."&amp;F451&amp;" AS STRING)) IS NULL OR CAST(X."&amp;F451&amp;" AS STRING) NOT "&amp;H451&amp;",1,0)) AS NUM_REG_DIF,'"&amp;MAX('ID1&amp;5'!K:K)+1&amp;"' AS ID_EXEC, CURRENT_TIMESTAMP() AS TIME_EXEC FROM "&amp;I451,"SELECT '"&amp;UPPER(B451)&amp;"' AS TABELA, '"&amp;UPPER(C451)&amp;"' AS TIPOLOGIA_TESTE,'"&amp;D451&amp;"' AS TABELA_LT,'N/A' AS TABELA_SIMUL,'"&amp;F451&amp;"' AS CAMPO, "&amp;"'${ref_date}' AS REF_DATE, COUNT(*) AS NUM_REG, SUM(IF(TRIM(CAST(X."&amp;F451&amp;" AS STRING))='' OR TRIM(CAST(X."&amp;F451&amp;" AS STRING)) IS NULL,1,0)) AS NUM_REG_DIF,'"&amp;MAX('ID1&amp;5'!K:K)+1&amp;"' AS ID_EXEC, CURRENT_TIMESTAMP() AS TIME_EXEC FROM "&amp;I451),
IF(C451="Caracteres Especiais",+"SELECT '"&amp;UPPER(B451)&amp;"' AS TABELA, '"&amp;UPPER(C451)&amp;"' AS TIPOLOGIA_TESTE,'"&amp;D451&amp;"' AS TABELA_LT,'N/A' AS TABELA_SIMUL,'"&amp;F451&amp;"' AS CAMPO, "&amp;"'${ref_date}' AS REF_DATE, COUNT(*) AS NUM_REG, SUM(IF(INSTR(CAST(X."&amp;F451&amp;" AS STRING),'#')&gt;0 OR INSTR(CAST(X."&amp;F451&amp;" AS STRING),'*')&gt;0 OR INSTR(CAST(X."&amp;F451&amp;" AS STRING),'`')&gt;0 OR INSTR(CAST(X."&amp;F451&amp;" AS STRING),'´')&gt;0 OR INSTR(CAST(X."&amp;F451&amp;" AS STRING),'{')&gt;0 OR INSTR(CAST(X."&amp;F451&amp;" AS STRING),'}')&gt;0 OR INSTR(CAST(X."&amp;F451&amp;" AS STRING),'[')&gt;0 OR INSTR(CAST(X."&amp;F451&amp;" AS STRING),'')&gt;0 OR INSTR(CAST(X."&amp;F451&amp;" AS STRING),']')&gt;0 OR INSTR(CAST(X."&amp;F451&amp;" AS STRING),'?')&gt;0 OR INSTR(CAST(X."&amp;F451&amp;" AS STRING),'!')&gt;0 OR INSTR(CAST(X."&amp;F451&amp;" AS STRING),'$')&gt;0 OR INSTR(CAST(X."&amp;F451&amp;" AS STRING),'%')&gt;0 OR INSTR(CAST(X."&amp;F451&amp;" AS STRING),'&amp;')&gt;0 OR INSTR(CAST(X."&amp;F451&amp;" AS STRING),'+')&gt;0,1,0)) AS NUM_REG_DIF,'"&amp;MAX('ID1&amp;5'!K:K)+1&amp;"' AS ID_EXEC, CURRENT_TIMESTAMP() AS TIME_EXEC FROM "&amp;I451,
IF(C451="Missings",+"SELECT '"&amp;UPPER(B451)&amp;"' AS TABELA, '"&amp;UPPER(C451)&amp;"' AS TIPOLOGIA_TESTE,'"&amp;D451&amp;"' AS TABELA_LT,'N/A' AS TABELA_SIMUL,'"&amp;F451&amp;"' AS CAMPO, "&amp;"'${ref_date}' AS REF_DATE, COUNT(*) AS NUM_REG, SUM(IF(TRIM(CAST(X."&amp;F451&amp;" AS STRING)) IN ('0000-00-00','0001-01-01','9999-12-31','MISS','00000','99999999999','99999999999.00','99999999999.000000'),1,0)) AS NUM_REG_DIF,'"&amp;MAX('ID1&amp;5'!K:K)+1&amp;"' AS ID_EXEC, CURRENT_TIMESTAMP() AS TIME_EXEC FROM "&amp;I451,
IF(C451="Not applicable",+"SELECT '"&amp;UPPER(B451)&amp;"' AS TABELA, '"&amp;UPPER(C451)&amp;"' AS TIPOLOGIA_TESTE,'"&amp;D451&amp;"' AS TABELA_LT,'N/A' AS TABELA_SIMUL,'"&amp;F451&amp;"' AS CAMPO, "&amp;"'${ref_date}' AS REF_DATE, COUNT(*) AS NUM_REG, SUM(IF(TRIM(CAST(X."&amp;F451&amp;" AS STRING)) IN ('N/A','11111111111','11111111111.00','11111111111.000000','1111-11-11'),1,0)) AS NUM_REG_DIF,'"&amp;MAX('ID1&amp;5'!K:K)+1&amp;"' AS ID_EXEC, CURRENT_TIMESTAMP() AS TIME_EXEC FROM "&amp;I451,
IF(C451="Valores extremos",+"SELECT '"&amp;UPPER(B451)&amp;"' AS TABELA, '"&amp;UPPER(C451)&amp;"' AS TIPOLOGIA_TESTE,'"&amp;D451&amp;"' AS TABELA_LT,'N/A' AS TABELA_SIMUL,'"&amp;F451&amp;"' AS CAMPO, "&amp;"'${ref_date}' AS REF_DATE, CAST(MIN("&amp;F451&amp;") AS STRING) AS VALOR_MIN, CAST(MAX("&amp;F451&amp;") AS STRING) AS VALOR_MAX,'"&amp;MAX('ID1&amp;5'!K:K)+1&amp;"' AS ID_EXEC, CURRENT_TIMESTAMP() AS TIME_EXEC FROM "&amp;MID(I451,1,LEN(I451)-2)&amp;" AND CAST("&amp;F451&amp;"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TABELA_SIMUL,'DT_RFRNC' AS CAMPO, '${ref_date}' AS REF_DATE, COUNT(*) AS NUM_REG, SUM(IF(TRIM(CAST(X.DT_RFRNC AS STRING)) IN ('N/A','11111111111','11111111111.00','11111111111.000000','1111-11-11'),1,0)) AS NUM_REG_DIF,'10' AS ID_EXEC, CURRENT_TIMESTAMP() AS TIME_EXEC FROM (SELECT prtctn_id, DT_RFRNC FROM BU_LOANTAPE_WORK.LT004_PROTECTION WHERE ref_date='${ref_date}' AND nome_perimetro='Individual Corporativo' AND segmento='ESTR' AND ambito='PILAR3')X</v>
      </c>
      <c r="M451" s="43" t="str">
        <f t="shared" si="7"/>
        <v>UNION ALL SELECT 'PROTECTION' AS TABELA, 'NOT APPLICABLE' AS TIPOLOGIA_TESTE,'BU_LOANTAPE_WORK.LT004_PROTECTION' AS TABELA_LT,'N/A' AS TABELA_SIMUL,'DT_RFRNC' AS CAMPO, '${ref_date}' AS REF_DATE, COUNT(*) AS NUM_REG, SUM(IF(TRIM(CAST(X.DT_RFRNC AS STRING)) IN ('N/A','11111111111','11111111111.00','11111111111.000000','1111-11-11'),1,0)) AS NUM_REG_DIF,'10' AS ID_EXEC, CURRENT_TIMESTAMP() AS TIME_EXEC FROM (SELECT prtctn_id, DT_RFRNC FROM BU_LOANTAPE_WORK.LT004_PROTECTION WHERE ref_date='${ref_date}' AND nome_perimetro='Individual Corporativo' AND segmento='ESTR' AND ambito='PILAR3')X</v>
      </c>
      <c r="N451" s="45" t="s">
        <v>13</v>
      </c>
    </row>
    <row r="452" spans="2:14">
      <c r="B452" s="41" t="s">
        <v>31</v>
      </c>
      <c r="C452" s="41" t="s">
        <v>78</v>
      </c>
      <c r="D452" s="41" t="str">
        <f>+UPPER('0. Instruções'!$D$33&amp;"."&amp;VLOOKUP(B452,'0. Instruções'!$C$27:$D$31,2,FALSE))</f>
        <v>BU_LOANTAPE_WORK.LT004_PROTECTION</v>
      </c>
      <c r="E452" s="41" t="str">
        <f>+UPPER('0. Instruções'!$D$34&amp;"."&amp;VLOOKUP(B452,'0. Instruções'!$C$27:$E$31,3,FALSE))</f>
        <v>BU_LOANTAPE_WORK.LT004_PROTECTION_P3_NOV24</v>
      </c>
      <c r="F452" s="41" t="s">
        <v>190</v>
      </c>
      <c r="G452" s="41" t="s">
        <v>13</v>
      </c>
      <c r="H452" s="41"/>
      <c r="I452" s="41" t="str">
        <f>"(SELECT "&amp;VLOOKUP(B452,'0. Instruções'!$C$27:$G$31,4,FALSE)&amp;", "&amp;F452&amp;" FROM "&amp;D452&amp;" WHERE "&amp;'0. Instruções'!$D$40&amp;")X"</f>
        <v>(SELECT prtctn_id, PRTCTN_ID FROM BU_LOANTAPE_WORK.LT004_PROTECTION WHERE ref_date='${ref_date}' AND nome_perimetro='Individual Corporativo' AND segmento='ESTR' AND ambito='PILAR3')X</v>
      </c>
      <c r="J452" s="41" t="str">
        <f>"(SELECT "&amp;VLOOKUP(B452,'0. Instruções'!$C$27:$G$31,4,FALSE)&amp;" AS "&amp;VLOOKUP(B452,'0. Instruções'!$C$27:$G$31,4,FALSE)&amp;"_SIMUL, "&amp;F452&amp;" AS "&amp;F452&amp;"_SIMUL FROM "&amp;E452&amp;")Y"</f>
        <v>(SELECT prtctn_id AS prtctn_id_SIMUL, PRTCTN_ID AS PRTCTN_ID_SIMUL FROM BU_LOANTAPE_WORK.LT004_PROTECTION_P3_NOV24)Y</v>
      </c>
      <c r="K452" s="42" t="str">
        <f>+UPPER("ON X."&amp;VLOOKUP(B452,'0. Instruções'!$C$27:$G$31,4,FALSE)&amp;"=Y."&amp;VLOOKUP(B452,'0. Instruções'!$C$27:$G$31,4,FALSE)&amp;"_SIMUL")</f>
        <v>ON X.PRTCTN_ID=Y.PRTCTN_ID_SIMUL</v>
      </c>
      <c r="L452" s="42" t="str">
        <f>+IF(C452="Coerência", +IF(LEFT(G452,5)="FLOAT","SELECT '"&amp;UPPER(B452)&amp;"' AS TABELA, '"&amp;UPPER(C452)&amp;"' AS TIPOLOGIA_TESTE,'"&amp;D452&amp;"' AS TABELA_LT,'"&amp;E452&amp;"' AS TABELA_SIMUL,'"&amp;F452&amp;"' AS CAMPO, "&amp;"'${ref_date}' AS REF_DATE, COUNT(*) AS NUM_REG, SUM(IF((ABS(COALESCE(X."&amp;F452&amp;",0)-COALESCE(Y."&amp;F452&amp;"_SIMUL,0))&gt;0.0000000001) OR (X."&amp;F452&amp;" IS NULL AND Y."&amp;F452&amp;"_SIMUL IS NOT NULL ) OR (X."&amp;F452&amp;" IS NOT NULL AND Y."&amp;F452&amp;"_SIMUL IS NULL),1,0)) AS NUM_REG_DIF,'"&amp;MAX('ID1&amp;5'!K:K)+1&amp;"' AS ID_EXEC, CURRENT_TIMESTAMP() AS TIME_EXEC FROM "&amp;I452&amp;" INNER JOIN "&amp;J452&amp;" "&amp;K452,"SELECT '"&amp;UPPER(B452)&amp;"' AS TABELA, '"&amp;UPPER(C452)&amp;"' AS TIPOLOGIA_TESTE,'"&amp;D452&amp;"' AS TABELA_LT,'"&amp;E452&amp;"' AS TABELA_SIMUL,'"&amp;F452&amp;"' AS CAMPO, "&amp;"'${ref_date}' AS REF_DATE, COUNT(*) AS NUM_REG, SUM(IF(COALESCE(CAST(X."&amp;F452&amp;" AS STRING),'')&lt;&gt;COALESCE(CAST(Y."&amp;F452&amp;"_SIMUL AS STRING),''),1,0)) AS NUM_REG_DIF,'"&amp;MAX('ID1&amp;5'!L:L)+1&amp;"' AS ID_EXEC, CURRENT_TIMESTAMP() AS TIME_EXEC FROM "&amp;I452&amp;" INNER JOIN "&amp;J452&amp;" "&amp;K452),
IF(C452="Validade",+IF(G452="Code List","SELECT '"&amp;UPPER(B452)&amp;"' AS TABELA, '"&amp;UPPER(C452)&amp;"' AS TIPOLOGIA_TESTE,'"&amp;D452&amp;"' AS TABELA_LT,'N/A' AS TABELA_SIMUL,'"&amp;F452&amp;"' AS CAMPO, "&amp;"'${ref_date}' AS REF_DATE, COUNT(*) AS NUM_REG, SUM(IF(TRIM(CAST(X."&amp;F452&amp;" AS STRING))='' OR TRIM(CAST(X."&amp;F452&amp;" AS STRING)) IS NULL OR CAST(X."&amp;F452&amp;" AS STRING) NOT "&amp;H452&amp;",1,0)) AS NUM_REG_DIF,'"&amp;MAX('ID1&amp;5'!K:K)+1&amp;"' AS ID_EXEC, CURRENT_TIMESTAMP() AS TIME_EXEC FROM "&amp;I452,"SELECT '"&amp;UPPER(B452)&amp;"' AS TABELA, '"&amp;UPPER(C452)&amp;"' AS TIPOLOGIA_TESTE,'"&amp;D452&amp;"' AS TABELA_LT,'N/A' AS TABELA_SIMUL,'"&amp;F452&amp;"' AS CAMPO, "&amp;"'${ref_date}' AS REF_DATE, COUNT(*) AS NUM_REG, SUM(IF(TRIM(CAST(X."&amp;F452&amp;" AS STRING))='' OR TRIM(CAST(X."&amp;F452&amp;" AS STRING)) IS NULL,1,0)) AS NUM_REG_DIF,'"&amp;MAX('ID1&amp;5'!K:K)+1&amp;"' AS ID_EXEC, CURRENT_TIMESTAMP() AS TIME_EXEC FROM "&amp;I452),
IF(C452="Caracteres Especiais",+"SELECT '"&amp;UPPER(B452)&amp;"' AS TABELA, '"&amp;UPPER(C452)&amp;"' AS TIPOLOGIA_TESTE,'"&amp;D452&amp;"' AS TABELA_LT,'N/A' AS TABELA_SIMUL,'"&amp;F452&amp;"' AS CAMPO, "&amp;"'${ref_date}' AS REF_DATE, COUNT(*) AS NUM_REG, SUM(IF(INSTR(CAST(X."&amp;F452&amp;" AS STRING),'#')&gt;0 OR INSTR(CAST(X."&amp;F452&amp;" AS STRING),'*')&gt;0 OR INSTR(CAST(X."&amp;F452&amp;" AS STRING),'`')&gt;0 OR INSTR(CAST(X."&amp;F452&amp;" AS STRING),'´')&gt;0 OR INSTR(CAST(X."&amp;F452&amp;" AS STRING),'{')&gt;0 OR INSTR(CAST(X."&amp;F452&amp;" AS STRING),'}')&gt;0 OR INSTR(CAST(X."&amp;F452&amp;" AS STRING),'[')&gt;0 OR INSTR(CAST(X."&amp;F452&amp;" AS STRING),'')&gt;0 OR INSTR(CAST(X."&amp;F452&amp;" AS STRING),']')&gt;0 OR INSTR(CAST(X."&amp;F452&amp;" AS STRING),'?')&gt;0 OR INSTR(CAST(X."&amp;F452&amp;" AS STRING),'!')&gt;0 OR INSTR(CAST(X."&amp;F452&amp;" AS STRING),'$')&gt;0 OR INSTR(CAST(X."&amp;F452&amp;" AS STRING),'%')&gt;0 OR INSTR(CAST(X."&amp;F452&amp;" AS STRING),'&amp;')&gt;0 OR INSTR(CAST(X."&amp;F452&amp;" AS STRING),'+')&gt;0,1,0)) AS NUM_REG_DIF,'"&amp;MAX('ID1&amp;5'!K:K)+1&amp;"' AS ID_EXEC, CURRENT_TIMESTAMP() AS TIME_EXEC FROM "&amp;I452,
IF(C452="Missings",+"SELECT '"&amp;UPPER(B452)&amp;"' AS TABELA, '"&amp;UPPER(C452)&amp;"' AS TIPOLOGIA_TESTE,'"&amp;D452&amp;"' AS TABELA_LT,'N/A' AS TABELA_SIMUL,'"&amp;F452&amp;"' AS CAMPO, "&amp;"'${ref_date}' AS REF_DATE, COUNT(*) AS NUM_REG, SUM(IF(TRIM(CAST(X."&amp;F452&amp;" AS STRING)) IN ('0000-00-00','0001-01-01','9999-12-31','MISS','00000','99999999999','99999999999.00','99999999999.000000'),1,0)) AS NUM_REG_DIF,'"&amp;MAX('ID1&amp;5'!K:K)+1&amp;"' AS ID_EXEC, CURRENT_TIMESTAMP() AS TIME_EXEC FROM "&amp;I452,
IF(C452="Not applicable",+"SELECT '"&amp;UPPER(B452)&amp;"' AS TABELA, '"&amp;UPPER(C452)&amp;"' AS TIPOLOGIA_TESTE,'"&amp;D452&amp;"' AS TABELA_LT,'N/A' AS TABELA_SIMUL,'"&amp;F452&amp;"' AS CAMPO, "&amp;"'${ref_date}' AS REF_DATE, COUNT(*) AS NUM_REG, SUM(IF(TRIM(CAST(X."&amp;F452&amp;" AS STRING)) IN ('N/A','11111111111','11111111111.00','11111111111.000000','1111-11-11'),1,0)) AS NUM_REG_DIF,'"&amp;MAX('ID1&amp;5'!K:K)+1&amp;"' AS ID_EXEC, CURRENT_TIMESTAMP() AS TIME_EXEC FROM "&amp;I452,
IF(C452="Valores extremos",+"SELECT '"&amp;UPPER(B452)&amp;"' AS TABELA, '"&amp;UPPER(C452)&amp;"' AS TIPOLOGIA_TESTE,'"&amp;D452&amp;"' AS TABELA_LT,'N/A' AS TABELA_SIMUL,'"&amp;F452&amp;"' AS CAMPO, "&amp;"'${ref_date}' AS REF_DATE, CAST(MIN("&amp;F452&amp;") AS STRING) AS VALOR_MIN, CAST(MAX("&amp;F452&amp;") AS STRING) AS VALOR_MAX,'"&amp;MAX('ID1&amp;5'!K:K)+1&amp;"' AS ID_EXEC, CURRENT_TIMESTAMP() AS TIME_EXEC FROM "&amp;MID(I452,1,LEN(I452)-2)&amp;" AND CAST("&amp;F452&amp;"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TABELA_SIMUL,'PRTCTN_ID' AS CAMPO, '${ref_date}' AS REF_DATE, COUNT(*) AS NUM_REG, SUM(IF(TRIM(CAST(X.PRTCTN_ID AS STRING)) IN ('N/A','11111111111','11111111111.00','11111111111.000000','1111-11-11'),1,0)) AS NUM_REG_DIF,'10' AS ID_EXEC, CURRENT_TIMESTAMP() AS TIME_EXEC FROM (SELECT prtctn_id, PRTCTN_ID FROM BU_LOANTAPE_WORK.LT004_PROTECTION WHERE ref_date='${ref_date}' AND nome_perimetro='Individual Corporativo' AND segmento='ESTR' AND ambito='PILAR3')X</v>
      </c>
      <c r="M452" s="43" t="str">
        <f t="shared" si="7"/>
        <v>UNION ALL SELECT 'PROTECTION' AS TABELA, 'NOT APPLICABLE' AS TIPOLOGIA_TESTE,'BU_LOANTAPE_WORK.LT004_PROTECTION' AS TABELA_LT,'N/A' AS TABELA_SIMUL,'PRTCTN_ID' AS CAMPO, '${ref_date}' AS REF_DATE, COUNT(*) AS NUM_REG, SUM(IF(TRIM(CAST(X.PRTCTN_ID AS STRING)) IN ('N/A','11111111111','11111111111.00','11111111111.000000','1111-11-11'),1,0)) AS NUM_REG_DIF,'10' AS ID_EXEC, CURRENT_TIMESTAMP() AS TIME_EXEC FROM (SELECT prtctn_id, PRTCTN_ID FROM BU_LOANTAPE_WORK.LT004_PROTECTION WHERE ref_date='${ref_date}' AND nome_perimetro='Individual Corporativo' AND segmento='ESTR' AND ambito='PILAR3')X</v>
      </c>
      <c r="N452" s="45" t="s">
        <v>13</v>
      </c>
    </row>
    <row r="453" spans="2:14">
      <c r="B453" s="41" t="s">
        <v>31</v>
      </c>
      <c r="C453" s="41" t="s">
        <v>78</v>
      </c>
      <c r="D453" s="41" t="str">
        <f>+UPPER('0. Instruções'!$D$33&amp;"."&amp;VLOOKUP(B453,'0. Instruções'!$C$27:$D$31,2,FALSE))</f>
        <v>BU_LOANTAPE_WORK.LT004_PROTECTION</v>
      </c>
      <c r="E453" s="41" t="str">
        <f>+UPPER('0. Instruções'!$D$34&amp;"."&amp;VLOOKUP(B453,'0. Instruções'!$C$27:$E$31,3,FALSE))</f>
        <v>BU_LOANTAPE_WORK.LT004_PROTECTION_P3_NOV24</v>
      </c>
      <c r="F453" s="41" t="s">
        <v>191</v>
      </c>
      <c r="G453" s="41" t="s">
        <v>13</v>
      </c>
      <c r="H453" s="41"/>
      <c r="I453" s="41" t="str">
        <f>"(SELECT "&amp;VLOOKUP(B453,'0. Instruções'!$C$27:$G$31,4,FALSE)&amp;", "&amp;F453&amp;" FROM "&amp;D453&amp;" WHERE "&amp;'0. Instruções'!$D$40&amp;")X"</f>
        <v>(SELECT prtctn_id, RL_ESTT_CLLTRL_LCTN FROM BU_LOANTAPE_WORK.LT004_PROTECTION WHERE ref_date='${ref_date}' AND nome_perimetro='Individual Corporativo' AND segmento='ESTR' AND ambito='PILAR3')X</v>
      </c>
      <c r="J453" s="41" t="str">
        <f>"(SELECT "&amp;VLOOKUP(B453,'0. Instruções'!$C$27:$G$31,4,FALSE)&amp;" AS "&amp;VLOOKUP(B453,'0. Instruções'!$C$27:$G$31,4,FALSE)&amp;"_SIMUL, "&amp;F453&amp;" AS "&amp;F453&amp;"_SIMUL FROM "&amp;E453&amp;")Y"</f>
        <v>(SELECT prtctn_id AS prtctn_id_SIMUL, RL_ESTT_CLLTRL_LCTN AS RL_ESTT_CLLTRL_LCTN_SIMUL FROM BU_LOANTAPE_WORK.LT004_PROTECTION_P3_NOV24)Y</v>
      </c>
      <c r="K453" s="42" t="str">
        <f>+UPPER("ON X."&amp;VLOOKUP(B453,'0. Instruções'!$C$27:$G$31,4,FALSE)&amp;"=Y."&amp;VLOOKUP(B453,'0. Instruções'!$C$27:$G$31,4,FALSE)&amp;"_SIMUL")</f>
        <v>ON X.PRTCTN_ID=Y.PRTCTN_ID_SIMUL</v>
      </c>
      <c r="L453" s="42" t="str">
        <f>+IF(C453="Coerência", +IF(LEFT(G453,5)="FLOAT","SELECT '"&amp;UPPER(B453)&amp;"' AS TABELA, '"&amp;UPPER(C453)&amp;"' AS TIPOLOGIA_TESTE,'"&amp;D453&amp;"' AS TABELA_LT,'"&amp;E453&amp;"' AS TABELA_SIMUL,'"&amp;F453&amp;"' AS CAMPO, "&amp;"'${ref_date}' AS REF_DATE, COUNT(*) AS NUM_REG, SUM(IF((ABS(COALESCE(X."&amp;F453&amp;",0)-COALESCE(Y."&amp;F453&amp;"_SIMUL,0))&gt;0.0000000001) OR (X."&amp;F453&amp;" IS NULL AND Y."&amp;F453&amp;"_SIMUL IS NOT NULL ) OR (X."&amp;F453&amp;" IS NOT NULL AND Y."&amp;F453&amp;"_SIMUL IS NULL),1,0)) AS NUM_REG_DIF,'"&amp;MAX('ID1&amp;5'!K:K)+1&amp;"' AS ID_EXEC, CURRENT_TIMESTAMP() AS TIME_EXEC FROM "&amp;I453&amp;" INNER JOIN "&amp;J453&amp;" "&amp;K453,"SELECT '"&amp;UPPER(B453)&amp;"' AS TABELA, '"&amp;UPPER(C453)&amp;"' AS TIPOLOGIA_TESTE,'"&amp;D453&amp;"' AS TABELA_LT,'"&amp;E453&amp;"' AS TABELA_SIMUL,'"&amp;F453&amp;"' AS CAMPO, "&amp;"'${ref_date}' AS REF_DATE, COUNT(*) AS NUM_REG, SUM(IF(COALESCE(CAST(X."&amp;F453&amp;" AS STRING),'')&lt;&gt;COALESCE(CAST(Y."&amp;F453&amp;"_SIMUL AS STRING),''),1,0)) AS NUM_REG_DIF,'"&amp;MAX('ID1&amp;5'!L:L)+1&amp;"' AS ID_EXEC, CURRENT_TIMESTAMP() AS TIME_EXEC FROM "&amp;I453&amp;" INNER JOIN "&amp;J453&amp;" "&amp;K453),
IF(C453="Validade",+IF(G453="Code List","SELECT '"&amp;UPPER(B453)&amp;"' AS TABELA, '"&amp;UPPER(C453)&amp;"' AS TIPOLOGIA_TESTE,'"&amp;D453&amp;"' AS TABELA_LT,'N/A' AS TABELA_SIMUL,'"&amp;F453&amp;"' AS CAMPO, "&amp;"'${ref_date}' AS REF_DATE, COUNT(*) AS NUM_REG, SUM(IF(TRIM(CAST(X."&amp;F453&amp;" AS STRING))='' OR TRIM(CAST(X."&amp;F453&amp;" AS STRING)) IS NULL OR CAST(X."&amp;F453&amp;" AS STRING) NOT "&amp;H453&amp;",1,0)) AS NUM_REG_DIF,'"&amp;MAX('ID1&amp;5'!K:K)+1&amp;"' AS ID_EXEC, CURRENT_TIMESTAMP() AS TIME_EXEC FROM "&amp;I453,"SELECT '"&amp;UPPER(B453)&amp;"' AS TABELA, '"&amp;UPPER(C453)&amp;"' AS TIPOLOGIA_TESTE,'"&amp;D453&amp;"' AS TABELA_LT,'N/A' AS TABELA_SIMUL,'"&amp;F453&amp;"' AS CAMPO, "&amp;"'${ref_date}' AS REF_DATE, COUNT(*) AS NUM_REG, SUM(IF(TRIM(CAST(X."&amp;F453&amp;" AS STRING))='' OR TRIM(CAST(X."&amp;F453&amp;" AS STRING)) IS NULL,1,0)) AS NUM_REG_DIF,'"&amp;MAX('ID1&amp;5'!K:K)+1&amp;"' AS ID_EXEC, CURRENT_TIMESTAMP() AS TIME_EXEC FROM "&amp;I453),
IF(C453="Caracteres Especiais",+"SELECT '"&amp;UPPER(B453)&amp;"' AS TABELA, '"&amp;UPPER(C453)&amp;"' AS TIPOLOGIA_TESTE,'"&amp;D453&amp;"' AS TABELA_LT,'N/A' AS TABELA_SIMUL,'"&amp;F453&amp;"' AS CAMPO, "&amp;"'${ref_date}' AS REF_DATE, COUNT(*) AS NUM_REG, SUM(IF(INSTR(CAST(X."&amp;F453&amp;" AS STRING),'#')&gt;0 OR INSTR(CAST(X."&amp;F453&amp;" AS STRING),'*')&gt;0 OR INSTR(CAST(X."&amp;F453&amp;" AS STRING),'`')&gt;0 OR INSTR(CAST(X."&amp;F453&amp;" AS STRING),'´')&gt;0 OR INSTR(CAST(X."&amp;F453&amp;" AS STRING),'{')&gt;0 OR INSTR(CAST(X."&amp;F453&amp;" AS STRING),'}')&gt;0 OR INSTR(CAST(X."&amp;F453&amp;" AS STRING),'[')&gt;0 OR INSTR(CAST(X."&amp;F453&amp;" AS STRING),'')&gt;0 OR INSTR(CAST(X."&amp;F453&amp;" AS STRING),']')&gt;0 OR INSTR(CAST(X."&amp;F453&amp;" AS STRING),'?')&gt;0 OR INSTR(CAST(X."&amp;F453&amp;" AS STRING),'!')&gt;0 OR INSTR(CAST(X."&amp;F453&amp;" AS STRING),'$')&gt;0 OR INSTR(CAST(X."&amp;F453&amp;" AS STRING),'%')&gt;0 OR INSTR(CAST(X."&amp;F453&amp;" AS STRING),'&amp;')&gt;0 OR INSTR(CAST(X."&amp;F453&amp;" AS STRING),'+')&gt;0,1,0)) AS NUM_REG_DIF,'"&amp;MAX('ID1&amp;5'!K:K)+1&amp;"' AS ID_EXEC, CURRENT_TIMESTAMP() AS TIME_EXEC FROM "&amp;I453,
IF(C453="Missings",+"SELECT '"&amp;UPPER(B453)&amp;"' AS TABELA, '"&amp;UPPER(C453)&amp;"' AS TIPOLOGIA_TESTE,'"&amp;D453&amp;"' AS TABELA_LT,'N/A' AS TABELA_SIMUL,'"&amp;F453&amp;"' AS CAMPO, "&amp;"'${ref_date}' AS REF_DATE, COUNT(*) AS NUM_REG, SUM(IF(TRIM(CAST(X."&amp;F453&amp;" AS STRING)) IN ('0000-00-00','0001-01-01','9999-12-31','MISS','00000','99999999999','99999999999.00','99999999999.000000'),1,0)) AS NUM_REG_DIF,'"&amp;MAX('ID1&amp;5'!K:K)+1&amp;"' AS ID_EXEC, CURRENT_TIMESTAMP() AS TIME_EXEC FROM "&amp;I453,
IF(C453="Not applicable",+"SELECT '"&amp;UPPER(B453)&amp;"' AS TABELA, '"&amp;UPPER(C453)&amp;"' AS TIPOLOGIA_TESTE,'"&amp;D453&amp;"' AS TABELA_LT,'N/A' AS TABELA_SIMUL,'"&amp;F453&amp;"' AS CAMPO, "&amp;"'${ref_date}' AS REF_DATE, COUNT(*) AS NUM_REG, SUM(IF(TRIM(CAST(X."&amp;F453&amp;" AS STRING)) IN ('N/A','11111111111','11111111111.00','11111111111.000000','1111-11-11'),1,0)) AS NUM_REG_DIF,'"&amp;MAX('ID1&amp;5'!K:K)+1&amp;"' AS ID_EXEC, CURRENT_TIMESTAMP() AS TIME_EXEC FROM "&amp;I453,
IF(C453="Valores extremos",+"SELECT '"&amp;UPPER(B453)&amp;"' AS TABELA, '"&amp;UPPER(C453)&amp;"' AS TIPOLOGIA_TESTE,'"&amp;D453&amp;"' AS TABELA_LT,'N/A' AS TABELA_SIMUL,'"&amp;F453&amp;"' AS CAMPO, "&amp;"'${ref_date}' AS REF_DATE, CAST(MIN("&amp;F453&amp;") AS STRING) AS VALOR_MIN, CAST(MAX("&amp;F453&amp;") AS STRING) AS VALOR_MAX,'"&amp;MAX('ID1&amp;5'!K:K)+1&amp;"' AS ID_EXEC, CURRENT_TIMESTAMP() AS TIME_EXEC FROM "&amp;MID(I453,1,LEN(I453)-2)&amp;" AND CAST("&amp;F453&amp;"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TABELA_SIMUL,'RL_ESTT_CLLTRL_LCTN' AS CAMPO, '${ref_date}' AS REF_DATE, COUNT(*) AS NUM_REG, SUM(IF(TRIM(CAST(X.RL_ESTT_CLLTRL_LCTN AS STRING)) IN ('N/A','11111111111','11111111111.00','11111111111.000000','1111-11-11'),1,0)) AS NUM_REG_DIF,'10' AS ID_EXEC, CURRENT_TIMESTAMP() AS TIME_EXEC FROM (SELECT prtctn_id, RL_ESTT_CLLTRL_LCTN FROM BU_LOANTAPE_WORK.LT004_PROTECTION WHERE ref_date='${ref_date}' AND nome_perimetro='Individual Corporativo' AND segmento='ESTR' AND ambito='PILAR3')X</v>
      </c>
      <c r="M453" s="43" t="str">
        <f t="shared" si="7"/>
        <v>UNION ALL SELECT 'PROTECTION' AS TABELA, 'NOT APPLICABLE' AS TIPOLOGIA_TESTE,'BU_LOANTAPE_WORK.LT004_PROTECTION' AS TABELA_LT,'N/A' AS TABELA_SIMUL,'RL_ESTT_CLLTRL_LCTN' AS CAMPO, '${ref_date}' AS REF_DATE, COUNT(*) AS NUM_REG, SUM(IF(TRIM(CAST(X.RL_ESTT_CLLTRL_LCTN AS STRING)) IN ('N/A','11111111111','11111111111.00','11111111111.000000','1111-11-11'),1,0)) AS NUM_REG_DIF,'10' AS ID_EXEC, CURRENT_TIMESTAMP() AS TIME_EXEC FROM (SELECT prtctn_id, RL_ESTT_CLLTRL_LCTN FROM BU_LOANTAPE_WORK.LT004_PROTECTION WHERE ref_date='${ref_date}' AND nome_perimetro='Individual Corporativo' AND segmento='ESTR' AND ambito='PILAR3')X</v>
      </c>
      <c r="N453" s="45" t="s">
        <v>13</v>
      </c>
    </row>
    <row r="454" spans="2:14">
      <c r="B454" s="41" t="s">
        <v>31</v>
      </c>
      <c r="C454" s="41" t="s">
        <v>78</v>
      </c>
      <c r="D454" s="41" t="str">
        <f>+UPPER('0. Instruções'!$D$33&amp;"."&amp;VLOOKUP(B454,'0. Instruções'!$C$27:$D$31,2,FALSE))</f>
        <v>BU_LOANTAPE_WORK.LT004_PROTECTION</v>
      </c>
      <c r="E454" s="41" t="str">
        <f>+UPPER('0. Instruções'!$D$34&amp;"."&amp;VLOOKUP(B454,'0. Instruções'!$C$27:$E$31,3,FALSE))</f>
        <v>BU_LOANTAPE_WORK.LT004_PROTECTION_P3_NOV24</v>
      </c>
      <c r="F454" s="41" t="s">
        <v>192</v>
      </c>
      <c r="G454" s="41" t="s">
        <v>13</v>
      </c>
      <c r="H454" s="41"/>
      <c r="I454" s="41" t="str">
        <f>"(SELECT "&amp;VLOOKUP(B454,'0. Instruções'!$C$27:$G$31,4,FALSE)&amp;", "&amp;F454&amp;" FROM "&amp;D454&amp;" WHERE "&amp;'0. Instruções'!$D$40&amp;")X"</f>
        <v>(SELECT prtctn_id, RL_ESTT_PST_CD FROM BU_LOANTAPE_WORK.LT004_PROTECTION WHERE ref_date='${ref_date}' AND nome_perimetro='Individual Corporativo' AND segmento='ESTR' AND ambito='PILAR3')X</v>
      </c>
      <c r="J454" s="41" t="str">
        <f>"(SELECT "&amp;VLOOKUP(B454,'0. Instruções'!$C$27:$G$31,4,FALSE)&amp;" AS "&amp;VLOOKUP(B454,'0. Instruções'!$C$27:$G$31,4,FALSE)&amp;"_SIMUL, "&amp;F454&amp;" AS "&amp;F454&amp;"_SIMUL FROM "&amp;E454&amp;")Y"</f>
        <v>(SELECT prtctn_id AS prtctn_id_SIMUL, RL_ESTT_PST_CD AS RL_ESTT_PST_CD_SIMUL FROM BU_LOANTAPE_WORK.LT004_PROTECTION_P3_NOV24)Y</v>
      </c>
      <c r="K454" s="42" t="str">
        <f>+UPPER("ON X."&amp;VLOOKUP(B454,'0. Instruções'!$C$27:$G$31,4,FALSE)&amp;"=Y."&amp;VLOOKUP(B454,'0. Instruções'!$C$27:$G$31,4,FALSE)&amp;"_SIMUL")</f>
        <v>ON X.PRTCTN_ID=Y.PRTCTN_ID_SIMUL</v>
      </c>
      <c r="L454" s="42" t="str">
        <f>+IF(C454="Coerência", +IF(LEFT(G454,5)="FLOAT","SELECT '"&amp;UPPER(B454)&amp;"' AS TABELA, '"&amp;UPPER(C454)&amp;"' AS TIPOLOGIA_TESTE,'"&amp;D454&amp;"' AS TABELA_LT,'"&amp;E454&amp;"' AS TABELA_SIMUL,'"&amp;F454&amp;"' AS CAMPO, "&amp;"'${ref_date}' AS REF_DATE, COUNT(*) AS NUM_REG, SUM(IF((ABS(COALESCE(X."&amp;F454&amp;",0)-COALESCE(Y."&amp;F454&amp;"_SIMUL,0))&gt;0.0000000001) OR (X."&amp;F454&amp;" IS NULL AND Y."&amp;F454&amp;"_SIMUL IS NOT NULL ) OR (X."&amp;F454&amp;" IS NOT NULL AND Y."&amp;F454&amp;"_SIMUL IS NULL),1,0)) AS NUM_REG_DIF,'"&amp;MAX('ID1&amp;5'!K:K)+1&amp;"' AS ID_EXEC, CURRENT_TIMESTAMP() AS TIME_EXEC FROM "&amp;I454&amp;" INNER JOIN "&amp;J454&amp;" "&amp;K454,"SELECT '"&amp;UPPER(B454)&amp;"' AS TABELA, '"&amp;UPPER(C454)&amp;"' AS TIPOLOGIA_TESTE,'"&amp;D454&amp;"' AS TABELA_LT,'"&amp;E454&amp;"' AS TABELA_SIMUL,'"&amp;F454&amp;"' AS CAMPO, "&amp;"'${ref_date}' AS REF_DATE, COUNT(*) AS NUM_REG, SUM(IF(COALESCE(CAST(X."&amp;F454&amp;" AS STRING),'')&lt;&gt;COALESCE(CAST(Y."&amp;F454&amp;"_SIMUL AS STRING),''),1,0)) AS NUM_REG_DIF,'"&amp;MAX('ID1&amp;5'!L:L)+1&amp;"' AS ID_EXEC, CURRENT_TIMESTAMP() AS TIME_EXEC FROM "&amp;I454&amp;" INNER JOIN "&amp;J454&amp;" "&amp;K454),
IF(C454="Validade",+IF(G454="Code List","SELECT '"&amp;UPPER(B454)&amp;"' AS TABELA, '"&amp;UPPER(C454)&amp;"' AS TIPOLOGIA_TESTE,'"&amp;D454&amp;"' AS TABELA_LT,'N/A' AS TABELA_SIMUL,'"&amp;F454&amp;"' AS CAMPO, "&amp;"'${ref_date}' AS REF_DATE, COUNT(*) AS NUM_REG, SUM(IF(TRIM(CAST(X."&amp;F454&amp;" AS STRING))='' OR TRIM(CAST(X."&amp;F454&amp;" AS STRING)) IS NULL OR CAST(X."&amp;F454&amp;" AS STRING) NOT "&amp;H454&amp;",1,0)) AS NUM_REG_DIF,'"&amp;MAX('ID1&amp;5'!K:K)+1&amp;"' AS ID_EXEC, CURRENT_TIMESTAMP() AS TIME_EXEC FROM "&amp;I454,"SELECT '"&amp;UPPER(B454)&amp;"' AS TABELA, '"&amp;UPPER(C454)&amp;"' AS TIPOLOGIA_TESTE,'"&amp;D454&amp;"' AS TABELA_LT,'N/A' AS TABELA_SIMUL,'"&amp;F454&amp;"' AS CAMPO, "&amp;"'${ref_date}' AS REF_DATE, COUNT(*) AS NUM_REG, SUM(IF(TRIM(CAST(X."&amp;F454&amp;" AS STRING))='' OR TRIM(CAST(X."&amp;F454&amp;" AS STRING)) IS NULL,1,0)) AS NUM_REG_DIF,'"&amp;MAX('ID1&amp;5'!K:K)+1&amp;"' AS ID_EXEC, CURRENT_TIMESTAMP() AS TIME_EXEC FROM "&amp;I454),
IF(C454="Caracteres Especiais",+"SELECT '"&amp;UPPER(B454)&amp;"' AS TABELA, '"&amp;UPPER(C454)&amp;"' AS TIPOLOGIA_TESTE,'"&amp;D454&amp;"' AS TABELA_LT,'N/A' AS TABELA_SIMUL,'"&amp;F454&amp;"' AS CAMPO, "&amp;"'${ref_date}' AS REF_DATE, COUNT(*) AS NUM_REG, SUM(IF(INSTR(CAST(X."&amp;F454&amp;" AS STRING),'#')&gt;0 OR INSTR(CAST(X."&amp;F454&amp;" AS STRING),'*')&gt;0 OR INSTR(CAST(X."&amp;F454&amp;" AS STRING),'`')&gt;0 OR INSTR(CAST(X."&amp;F454&amp;" AS STRING),'´')&gt;0 OR INSTR(CAST(X."&amp;F454&amp;" AS STRING),'{')&gt;0 OR INSTR(CAST(X."&amp;F454&amp;" AS STRING),'}')&gt;0 OR INSTR(CAST(X."&amp;F454&amp;" AS STRING),'[')&gt;0 OR INSTR(CAST(X."&amp;F454&amp;" AS STRING),'')&gt;0 OR INSTR(CAST(X."&amp;F454&amp;" AS STRING),']')&gt;0 OR INSTR(CAST(X."&amp;F454&amp;" AS STRING),'?')&gt;0 OR INSTR(CAST(X."&amp;F454&amp;" AS STRING),'!')&gt;0 OR INSTR(CAST(X."&amp;F454&amp;" AS STRING),'$')&gt;0 OR INSTR(CAST(X."&amp;F454&amp;" AS STRING),'%')&gt;0 OR INSTR(CAST(X."&amp;F454&amp;" AS STRING),'&amp;')&gt;0 OR INSTR(CAST(X."&amp;F454&amp;" AS STRING),'+')&gt;0,1,0)) AS NUM_REG_DIF,'"&amp;MAX('ID1&amp;5'!K:K)+1&amp;"' AS ID_EXEC, CURRENT_TIMESTAMP() AS TIME_EXEC FROM "&amp;I454,
IF(C454="Missings",+"SELECT '"&amp;UPPER(B454)&amp;"' AS TABELA, '"&amp;UPPER(C454)&amp;"' AS TIPOLOGIA_TESTE,'"&amp;D454&amp;"' AS TABELA_LT,'N/A' AS TABELA_SIMUL,'"&amp;F454&amp;"' AS CAMPO, "&amp;"'${ref_date}' AS REF_DATE, COUNT(*) AS NUM_REG, SUM(IF(TRIM(CAST(X."&amp;F454&amp;" AS STRING)) IN ('0000-00-00','0001-01-01','9999-12-31','MISS','00000','99999999999','99999999999.00','99999999999.000000'),1,0)) AS NUM_REG_DIF,'"&amp;MAX('ID1&amp;5'!K:K)+1&amp;"' AS ID_EXEC, CURRENT_TIMESTAMP() AS TIME_EXEC FROM "&amp;I454,
IF(C454="Not applicable",+"SELECT '"&amp;UPPER(B454)&amp;"' AS TABELA, '"&amp;UPPER(C454)&amp;"' AS TIPOLOGIA_TESTE,'"&amp;D454&amp;"' AS TABELA_LT,'N/A' AS TABELA_SIMUL,'"&amp;F454&amp;"' AS CAMPO, "&amp;"'${ref_date}' AS REF_DATE, COUNT(*) AS NUM_REG, SUM(IF(TRIM(CAST(X."&amp;F454&amp;" AS STRING)) IN ('N/A','11111111111','11111111111.00','11111111111.000000','1111-11-11'),1,0)) AS NUM_REG_DIF,'"&amp;MAX('ID1&amp;5'!K:K)+1&amp;"' AS ID_EXEC, CURRENT_TIMESTAMP() AS TIME_EXEC FROM "&amp;I454,
IF(C454="Valores extremos",+"SELECT '"&amp;UPPER(B454)&amp;"' AS TABELA, '"&amp;UPPER(C454)&amp;"' AS TIPOLOGIA_TESTE,'"&amp;D454&amp;"' AS TABELA_LT,'N/A' AS TABELA_SIMUL,'"&amp;F454&amp;"' AS CAMPO, "&amp;"'${ref_date}' AS REF_DATE, CAST(MIN("&amp;F454&amp;") AS STRING) AS VALOR_MIN, CAST(MAX("&amp;F454&amp;") AS STRING) AS VALOR_MAX,'"&amp;MAX('ID1&amp;5'!K:K)+1&amp;"' AS ID_EXEC, CURRENT_TIMESTAMP() AS TIME_EXEC FROM "&amp;MID(I454,1,LEN(I454)-2)&amp;" AND CAST("&amp;F454&amp;"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TABELA_SIMUL,'RL_ESTT_PST_CD' AS CAMPO, '${ref_date}' AS REF_DATE, COUNT(*) AS NUM_REG, SUM(IF(TRIM(CAST(X.RL_ESTT_PST_CD AS STRING)) IN ('N/A','11111111111','11111111111.00','11111111111.000000','1111-11-11'),1,0)) AS NUM_REG_DIF,'10' AS ID_EXEC, CURRENT_TIMESTAMP() AS TIME_EXEC FROM (SELECT prtctn_id, RL_ESTT_PST_CD FROM BU_LOANTAPE_WORK.LT004_PROTECTION WHERE ref_date='${ref_date}' AND nome_perimetro='Individual Corporativo' AND segmento='ESTR' AND ambito='PILAR3')X</v>
      </c>
      <c r="M454" s="43" t="str">
        <f t="shared" si="7"/>
        <v>UNION ALL SELECT 'PROTECTION' AS TABELA, 'NOT APPLICABLE' AS TIPOLOGIA_TESTE,'BU_LOANTAPE_WORK.LT004_PROTECTION' AS TABELA_LT,'N/A' AS TABELA_SIMUL,'RL_ESTT_PST_CD' AS CAMPO, '${ref_date}' AS REF_DATE, COUNT(*) AS NUM_REG, SUM(IF(TRIM(CAST(X.RL_ESTT_PST_CD AS STRING)) IN ('N/A','11111111111','11111111111.00','11111111111.000000','1111-11-11'),1,0)) AS NUM_REG_DIF,'10' AS ID_EXEC, CURRENT_TIMESTAMP() AS TIME_EXEC FROM (SELECT prtctn_id, RL_ESTT_PST_CD FROM BU_LOANTAPE_WORK.LT004_PROTECTION WHERE ref_date='${ref_date}' AND nome_perimetro='Individual Corporativo' AND segmento='ESTR' AND ambito='PILAR3')X</v>
      </c>
      <c r="N454" s="45" t="s">
        <v>13</v>
      </c>
    </row>
    <row r="455" spans="2:14">
      <c r="B455" s="41" t="s">
        <v>31</v>
      </c>
      <c r="C455" s="41" t="s">
        <v>78</v>
      </c>
      <c r="D455" s="41" t="str">
        <f>+UPPER('0. Instruções'!$D$33&amp;"."&amp;VLOOKUP(B455,'0. Instruções'!$C$27:$D$31,2,FALSE))</f>
        <v>BU_LOANTAPE_WORK.LT004_PROTECTION</v>
      </c>
      <c r="E455" s="41" t="str">
        <f>+UPPER('0. Instruções'!$D$34&amp;"."&amp;VLOOKUP(B455,'0. Instruções'!$C$27:$E$31,3,FALSE))</f>
        <v>BU_LOANTAPE_WORK.LT004_PROTECTION_P3_NOV24</v>
      </c>
      <c r="F455" s="41" t="s">
        <v>193</v>
      </c>
      <c r="G455" s="41" t="s">
        <v>13</v>
      </c>
      <c r="H455" s="41"/>
      <c r="I455" s="41" t="str">
        <f>"(SELECT "&amp;VLOOKUP(B455,'0. Instruções'!$C$27:$G$31,4,FALSE)&amp;", "&amp;F455&amp;" FROM "&amp;D455&amp;" WHERE "&amp;'0. Instruções'!$D$40&amp;")X"</f>
        <v>(SELECT prtctn_id, TYP_PRTCTN FROM BU_LOANTAPE_WORK.LT004_PROTECTION WHERE ref_date='${ref_date}' AND nome_perimetro='Individual Corporativo' AND segmento='ESTR' AND ambito='PILAR3')X</v>
      </c>
      <c r="J455" s="41" t="str">
        <f>"(SELECT "&amp;VLOOKUP(B455,'0. Instruções'!$C$27:$G$31,4,FALSE)&amp;" AS "&amp;VLOOKUP(B455,'0. Instruções'!$C$27:$G$31,4,FALSE)&amp;"_SIMUL, "&amp;F455&amp;" AS "&amp;F455&amp;"_SIMUL FROM "&amp;E455&amp;")Y"</f>
        <v>(SELECT prtctn_id AS prtctn_id_SIMUL, TYP_PRTCTN AS TYP_PRTCTN_SIMUL FROM BU_LOANTAPE_WORK.LT004_PROTECTION_P3_NOV24)Y</v>
      </c>
      <c r="K455" s="42" t="str">
        <f>+UPPER("ON X."&amp;VLOOKUP(B455,'0. Instruções'!$C$27:$G$31,4,FALSE)&amp;"=Y."&amp;VLOOKUP(B455,'0. Instruções'!$C$27:$G$31,4,FALSE)&amp;"_SIMUL")</f>
        <v>ON X.PRTCTN_ID=Y.PRTCTN_ID_SIMUL</v>
      </c>
      <c r="L455" s="42" t="str">
        <f>+IF(C455="Coerência", +IF(LEFT(G455,5)="FLOAT","SELECT '"&amp;UPPER(B455)&amp;"' AS TABELA, '"&amp;UPPER(C455)&amp;"' AS TIPOLOGIA_TESTE,'"&amp;D455&amp;"' AS TABELA_LT,'"&amp;E455&amp;"' AS TABELA_SIMUL,'"&amp;F455&amp;"' AS CAMPO, "&amp;"'${ref_date}' AS REF_DATE, COUNT(*) AS NUM_REG, SUM(IF((ABS(COALESCE(X."&amp;F455&amp;",0)-COALESCE(Y."&amp;F455&amp;"_SIMUL,0))&gt;0.0000000001) OR (X."&amp;F455&amp;" IS NULL AND Y."&amp;F455&amp;"_SIMUL IS NOT NULL ) OR (X."&amp;F455&amp;" IS NOT NULL AND Y."&amp;F455&amp;"_SIMUL IS NULL),1,0)) AS NUM_REG_DIF,'"&amp;MAX('ID1&amp;5'!K:K)+1&amp;"' AS ID_EXEC, CURRENT_TIMESTAMP() AS TIME_EXEC FROM "&amp;I455&amp;" INNER JOIN "&amp;J455&amp;" "&amp;K455,"SELECT '"&amp;UPPER(B455)&amp;"' AS TABELA, '"&amp;UPPER(C455)&amp;"' AS TIPOLOGIA_TESTE,'"&amp;D455&amp;"' AS TABELA_LT,'"&amp;E455&amp;"' AS TABELA_SIMUL,'"&amp;F455&amp;"' AS CAMPO, "&amp;"'${ref_date}' AS REF_DATE, COUNT(*) AS NUM_REG, SUM(IF(COALESCE(CAST(X."&amp;F455&amp;" AS STRING),'')&lt;&gt;COALESCE(CAST(Y."&amp;F455&amp;"_SIMUL AS STRING),''),1,0)) AS NUM_REG_DIF,'"&amp;MAX('ID1&amp;5'!L:L)+1&amp;"' AS ID_EXEC, CURRENT_TIMESTAMP() AS TIME_EXEC FROM "&amp;I455&amp;" INNER JOIN "&amp;J455&amp;" "&amp;K455),
IF(C455="Validade",+IF(G455="Code List","SELECT '"&amp;UPPER(B455)&amp;"' AS TABELA, '"&amp;UPPER(C455)&amp;"' AS TIPOLOGIA_TESTE,'"&amp;D455&amp;"' AS TABELA_LT,'N/A' AS TABELA_SIMUL,'"&amp;F455&amp;"' AS CAMPO, "&amp;"'${ref_date}' AS REF_DATE, COUNT(*) AS NUM_REG, SUM(IF(TRIM(CAST(X."&amp;F455&amp;" AS STRING))='' OR TRIM(CAST(X."&amp;F455&amp;" AS STRING)) IS NULL OR CAST(X."&amp;F455&amp;" AS STRING) NOT "&amp;H455&amp;",1,0)) AS NUM_REG_DIF,'"&amp;MAX('ID1&amp;5'!K:K)+1&amp;"' AS ID_EXEC, CURRENT_TIMESTAMP() AS TIME_EXEC FROM "&amp;I455,"SELECT '"&amp;UPPER(B455)&amp;"' AS TABELA, '"&amp;UPPER(C455)&amp;"' AS TIPOLOGIA_TESTE,'"&amp;D455&amp;"' AS TABELA_LT,'N/A' AS TABELA_SIMUL,'"&amp;F455&amp;"' AS CAMPO, "&amp;"'${ref_date}' AS REF_DATE, COUNT(*) AS NUM_REG, SUM(IF(TRIM(CAST(X."&amp;F455&amp;" AS STRING))='' OR TRIM(CAST(X."&amp;F455&amp;" AS STRING)) IS NULL,1,0)) AS NUM_REG_DIF,'"&amp;MAX('ID1&amp;5'!K:K)+1&amp;"' AS ID_EXEC, CURRENT_TIMESTAMP() AS TIME_EXEC FROM "&amp;I455),
IF(C455="Caracteres Especiais",+"SELECT '"&amp;UPPER(B455)&amp;"' AS TABELA, '"&amp;UPPER(C455)&amp;"' AS TIPOLOGIA_TESTE,'"&amp;D455&amp;"' AS TABELA_LT,'N/A' AS TABELA_SIMUL,'"&amp;F455&amp;"' AS CAMPO, "&amp;"'${ref_date}' AS REF_DATE, COUNT(*) AS NUM_REG, SUM(IF(INSTR(CAST(X."&amp;F455&amp;" AS STRING),'#')&gt;0 OR INSTR(CAST(X."&amp;F455&amp;" AS STRING),'*')&gt;0 OR INSTR(CAST(X."&amp;F455&amp;" AS STRING),'`')&gt;0 OR INSTR(CAST(X."&amp;F455&amp;" AS STRING),'´')&gt;0 OR INSTR(CAST(X."&amp;F455&amp;" AS STRING),'{')&gt;0 OR INSTR(CAST(X."&amp;F455&amp;" AS STRING),'}')&gt;0 OR INSTR(CAST(X."&amp;F455&amp;" AS STRING),'[')&gt;0 OR INSTR(CAST(X."&amp;F455&amp;" AS STRING),'')&gt;0 OR INSTR(CAST(X."&amp;F455&amp;" AS STRING),']')&gt;0 OR INSTR(CAST(X."&amp;F455&amp;" AS STRING),'?')&gt;0 OR INSTR(CAST(X."&amp;F455&amp;" AS STRING),'!')&gt;0 OR INSTR(CAST(X."&amp;F455&amp;" AS STRING),'$')&gt;0 OR INSTR(CAST(X."&amp;F455&amp;" AS STRING),'%')&gt;0 OR INSTR(CAST(X."&amp;F455&amp;" AS STRING),'&amp;')&gt;0 OR INSTR(CAST(X."&amp;F455&amp;" AS STRING),'+')&gt;0,1,0)) AS NUM_REG_DIF,'"&amp;MAX('ID1&amp;5'!K:K)+1&amp;"' AS ID_EXEC, CURRENT_TIMESTAMP() AS TIME_EXEC FROM "&amp;I455,
IF(C455="Missings",+"SELECT '"&amp;UPPER(B455)&amp;"' AS TABELA, '"&amp;UPPER(C455)&amp;"' AS TIPOLOGIA_TESTE,'"&amp;D455&amp;"' AS TABELA_LT,'N/A' AS TABELA_SIMUL,'"&amp;F455&amp;"' AS CAMPO, "&amp;"'${ref_date}' AS REF_DATE, COUNT(*) AS NUM_REG, SUM(IF(TRIM(CAST(X."&amp;F455&amp;" AS STRING)) IN ('0000-00-00','0001-01-01','9999-12-31','MISS','00000','99999999999','99999999999.00','99999999999.000000'),1,0)) AS NUM_REG_DIF,'"&amp;MAX('ID1&amp;5'!K:K)+1&amp;"' AS ID_EXEC, CURRENT_TIMESTAMP() AS TIME_EXEC FROM "&amp;I455,
IF(C455="Not applicable",+"SELECT '"&amp;UPPER(B455)&amp;"' AS TABELA, '"&amp;UPPER(C455)&amp;"' AS TIPOLOGIA_TESTE,'"&amp;D455&amp;"' AS TABELA_LT,'N/A' AS TABELA_SIMUL,'"&amp;F455&amp;"' AS CAMPO, "&amp;"'${ref_date}' AS REF_DATE, COUNT(*) AS NUM_REG, SUM(IF(TRIM(CAST(X."&amp;F455&amp;" AS STRING)) IN ('N/A','11111111111','11111111111.00','11111111111.000000','1111-11-11'),1,0)) AS NUM_REG_DIF,'"&amp;MAX('ID1&amp;5'!K:K)+1&amp;"' AS ID_EXEC, CURRENT_TIMESTAMP() AS TIME_EXEC FROM "&amp;I455,
IF(C455="Valores extremos",+"SELECT '"&amp;UPPER(B455)&amp;"' AS TABELA, '"&amp;UPPER(C455)&amp;"' AS TIPOLOGIA_TESTE,'"&amp;D455&amp;"' AS TABELA_LT,'N/A' AS TABELA_SIMUL,'"&amp;F455&amp;"' AS CAMPO, "&amp;"'${ref_date}' AS REF_DATE, CAST(MIN("&amp;F455&amp;") AS STRING) AS VALOR_MIN, CAST(MAX("&amp;F455&amp;") AS STRING) AS VALOR_MAX,'"&amp;MAX('ID1&amp;5'!K:K)+1&amp;"' AS ID_EXEC, CURRENT_TIMESTAMP() AS TIME_EXEC FROM "&amp;MID(I455,1,LEN(I455)-2)&amp;" AND CAST("&amp;F455&amp;"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TABELA_SIMUL,'TYP_PRTCTN' AS CAMPO, '${ref_date}' AS REF_DATE, COUNT(*) AS NUM_REG, SUM(IF(TRIM(CAST(X.TYP_PRTCTN AS STRING)) IN ('N/A','11111111111','11111111111.00','11111111111.000000','1111-11-11'),1,0)) AS NUM_REG_DIF,'10' AS ID_EXEC, CURRENT_TIMESTAMP() AS TIME_EXEC FROM (SELECT prtctn_id, TYP_PRTCTN FROM BU_LOANTAPE_WORK.LT004_PROTECTION WHERE ref_date='${ref_date}' AND nome_perimetro='Individual Corporativo' AND segmento='ESTR' AND ambito='PILAR3')X</v>
      </c>
      <c r="M455" s="43" t="str">
        <f t="shared" si="7"/>
        <v>UNION ALL SELECT 'PROTECTION' AS TABELA, 'NOT APPLICABLE' AS TIPOLOGIA_TESTE,'BU_LOANTAPE_WORK.LT004_PROTECTION' AS TABELA_LT,'N/A' AS TABELA_SIMUL,'TYP_PRTCTN' AS CAMPO, '${ref_date}' AS REF_DATE, COUNT(*) AS NUM_REG, SUM(IF(TRIM(CAST(X.TYP_PRTCTN AS STRING)) IN ('N/A','11111111111','11111111111.00','11111111111.000000','1111-11-11'),1,0)) AS NUM_REG_DIF,'10' AS ID_EXEC, CURRENT_TIMESTAMP() AS TIME_EXEC FROM (SELECT prtctn_id, TYP_PRTCTN FROM BU_LOANTAPE_WORK.LT004_PROTECTION WHERE ref_date='${ref_date}' AND nome_perimetro='Individual Corporativo' AND segmento='ESTR' AND ambito='PILAR3')X</v>
      </c>
      <c r="N455" s="45" t="s">
        <v>13</v>
      </c>
    </row>
    <row r="456" spans="2:14">
      <c r="B456" s="41" t="s">
        <v>31</v>
      </c>
      <c r="C456" s="41" t="s">
        <v>78</v>
      </c>
      <c r="D456" s="41" t="str">
        <f>+UPPER('0. Instruções'!$D$33&amp;"."&amp;VLOOKUP(B456,'0. Instruções'!$C$27:$D$31,2,FALSE))</f>
        <v>BU_LOANTAPE_WORK.LT004_PROTECTION</v>
      </c>
      <c r="E456" s="41" t="str">
        <f>+UPPER('0. Instruções'!$D$34&amp;"."&amp;VLOOKUP(B456,'0. Instruções'!$C$27:$E$31,3,FALSE))</f>
        <v>BU_LOANTAPE_WORK.LT004_PROTECTION_P3_NOV24</v>
      </c>
      <c r="F456" s="41" t="s">
        <v>194</v>
      </c>
      <c r="G456" s="41" t="s">
        <v>13</v>
      </c>
      <c r="H456" s="41"/>
      <c r="I456" s="41" t="str">
        <f>"(SELECT "&amp;VLOOKUP(B456,'0. Instruções'!$C$27:$G$31,4,FALSE)&amp;", "&amp;F456&amp;" FROM "&amp;D456&amp;" WHERE "&amp;'0. Instruções'!$D$40&amp;")X"</f>
        <v>(SELECT prtctn_id, ORGNL_PRTCTN_VL FROM BU_LOANTAPE_WORK.LT004_PROTECTION WHERE ref_date='${ref_date}' AND nome_perimetro='Individual Corporativo' AND segmento='ESTR' AND ambito='PILAR3')X</v>
      </c>
      <c r="J456" s="41" t="str">
        <f>"(SELECT "&amp;VLOOKUP(B456,'0. Instruções'!$C$27:$G$31,4,FALSE)&amp;" AS "&amp;VLOOKUP(B456,'0. Instruções'!$C$27:$G$31,4,FALSE)&amp;"_SIMUL, "&amp;F456&amp;" AS "&amp;F456&amp;"_SIMUL FROM "&amp;E456&amp;")Y"</f>
        <v>(SELECT prtctn_id AS prtctn_id_SIMUL, ORGNL_PRTCTN_VL AS ORGNL_PRTCTN_VL_SIMUL FROM BU_LOANTAPE_WORK.LT004_PROTECTION_P3_NOV24)Y</v>
      </c>
      <c r="K456" s="42" t="str">
        <f>+UPPER("ON X."&amp;VLOOKUP(B456,'0. Instruções'!$C$27:$G$31,4,FALSE)&amp;"=Y."&amp;VLOOKUP(B456,'0. Instruções'!$C$27:$G$31,4,FALSE)&amp;"_SIMUL")</f>
        <v>ON X.PRTCTN_ID=Y.PRTCTN_ID_SIMUL</v>
      </c>
      <c r="L456" s="42" t="str">
        <f>+IF(C456="Coerência", +IF(LEFT(G456,5)="FLOAT","SELECT '"&amp;UPPER(B456)&amp;"' AS TABELA, '"&amp;UPPER(C456)&amp;"' AS TIPOLOGIA_TESTE,'"&amp;D456&amp;"' AS TABELA_LT,'"&amp;E456&amp;"' AS TABELA_SIMUL,'"&amp;F456&amp;"' AS CAMPO, "&amp;"'${ref_date}' AS REF_DATE, COUNT(*) AS NUM_REG, SUM(IF((ABS(COALESCE(X."&amp;F456&amp;",0)-COALESCE(Y."&amp;F456&amp;"_SIMUL,0))&gt;0.0000000001) OR (X."&amp;F456&amp;" IS NULL AND Y."&amp;F456&amp;"_SIMUL IS NOT NULL ) OR (X."&amp;F456&amp;" IS NOT NULL AND Y."&amp;F456&amp;"_SIMUL IS NULL),1,0)) AS NUM_REG_DIF,'"&amp;MAX('ID1&amp;5'!K:K)+1&amp;"' AS ID_EXEC, CURRENT_TIMESTAMP() AS TIME_EXEC FROM "&amp;I456&amp;" INNER JOIN "&amp;J456&amp;" "&amp;K456,"SELECT '"&amp;UPPER(B456)&amp;"' AS TABELA, '"&amp;UPPER(C456)&amp;"' AS TIPOLOGIA_TESTE,'"&amp;D456&amp;"' AS TABELA_LT,'"&amp;E456&amp;"' AS TABELA_SIMUL,'"&amp;F456&amp;"' AS CAMPO, "&amp;"'${ref_date}' AS REF_DATE, COUNT(*) AS NUM_REG, SUM(IF(COALESCE(CAST(X."&amp;F456&amp;" AS STRING),'')&lt;&gt;COALESCE(CAST(Y."&amp;F456&amp;"_SIMUL AS STRING),''),1,0)) AS NUM_REG_DIF,'"&amp;MAX('ID1&amp;5'!L:L)+1&amp;"' AS ID_EXEC, CURRENT_TIMESTAMP() AS TIME_EXEC FROM "&amp;I456&amp;" INNER JOIN "&amp;J456&amp;" "&amp;K456),
IF(C456="Validade",+IF(G456="Code List","SELECT '"&amp;UPPER(B456)&amp;"' AS TABELA, '"&amp;UPPER(C456)&amp;"' AS TIPOLOGIA_TESTE,'"&amp;D456&amp;"' AS TABELA_LT,'N/A' AS TABELA_SIMUL,'"&amp;F456&amp;"' AS CAMPO, "&amp;"'${ref_date}' AS REF_DATE, COUNT(*) AS NUM_REG, SUM(IF(TRIM(CAST(X."&amp;F456&amp;" AS STRING))='' OR TRIM(CAST(X."&amp;F456&amp;" AS STRING)) IS NULL OR CAST(X."&amp;F456&amp;" AS STRING) NOT "&amp;H456&amp;",1,0)) AS NUM_REG_DIF,'"&amp;MAX('ID1&amp;5'!K:K)+1&amp;"' AS ID_EXEC, CURRENT_TIMESTAMP() AS TIME_EXEC FROM "&amp;I456,"SELECT '"&amp;UPPER(B456)&amp;"' AS TABELA, '"&amp;UPPER(C456)&amp;"' AS TIPOLOGIA_TESTE,'"&amp;D456&amp;"' AS TABELA_LT,'N/A' AS TABELA_SIMUL,'"&amp;F456&amp;"' AS CAMPO, "&amp;"'${ref_date}' AS REF_DATE, COUNT(*) AS NUM_REG, SUM(IF(TRIM(CAST(X."&amp;F456&amp;" AS STRING))='' OR TRIM(CAST(X."&amp;F456&amp;" AS STRING)) IS NULL,1,0)) AS NUM_REG_DIF,'"&amp;MAX('ID1&amp;5'!K:K)+1&amp;"' AS ID_EXEC, CURRENT_TIMESTAMP() AS TIME_EXEC FROM "&amp;I456),
IF(C456="Caracteres Especiais",+"SELECT '"&amp;UPPER(B456)&amp;"' AS TABELA, '"&amp;UPPER(C456)&amp;"' AS TIPOLOGIA_TESTE,'"&amp;D456&amp;"' AS TABELA_LT,'N/A' AS TABELA_SIMUL,'"&amp;F456&amp;"' AS CAMPO, "&amp;"'${ref_date}' AS REF_DATE, COUNT(*) AS NUM_REG, SUM(IF(INSTR(CAST(X."&amp;F456&amp;" AS STRING),'#')&gt;0 OR INSTR(CAST(X."&amp;F456&amp;" AS STRING),'*')&gt;0 OR INSTR(CAST(X."&amp;F456&amp;" AS STRING),'`')&gt;0 OR INSTR(CAST(X."&amp;F456&amp;" AS STRING),'´')&gt;0 OR INSTR(CAST(X."&amp;F456&amp;" AS STRING),'{')&gt;0 OR INSTR(CAST(X."&amp;F456&amp;" AS STRING),'}')&gt;0 OR INSTR(CAST(X."&amp;F456&amp;" AS STRING),'[')&gt;0 OR INSTR(CAST(X."&amp;F456&amp;" AS STRING),'')&gt;0 OR INSTR(CAST(X."&amp;F456&amp;" AS STRING),']')&gt;0 OR INSTR(CAST(X."&amp;F456&amp;" AS STRING),'?')&gt;0 OR INSTR(CAST(X."&amp;F456&amp;" AS STRING),'!')&gt;0 OR INSTR(CAST(X."&amp;F456&amp;" AS STRING),'$')&gt;0 OR INSTR(CAST(X."&amp;F456&amp;" AS STRING),'%')&gt;0 OR INSTR(CAST(X."&amp;F456&amp;" AS STRING),'&amp;')&gt;0 OR INSTR(CAST(X."&amp;F456&amp;" AS STRING),'+')&gt;0,1,0)) AS NUM_REG_DIF,'"&amp;MAX('ID1&amp;5'!K:K)+1&amp;"' AS ID_EXEC, CURRENT_TIMESTAMP() AS TIME_EXEC FROM "&amp;I456,
IF(C456="Missings",+"SELECT '"&amp;UPPER(B456)&amp;"' AS TABELA, '"&amp;UPPER(C456)&amp;"' AS TIPOLOGIA_TESTE,'"&amp;D456&amp;"' AS TABELA_LT,'N/A' AS TABELA_SIMUL,'"&amp;F456&amp;"' AS CAMPO, "&amp;"'${ref_date}' AS REF_DATE, COUNT(*) AS NUM_REG, SUM(IF(TRIM(CAST(X."&amp;F456&amp;" AS STRING)) IN ('0000-00-00','0001-01-01','9999-12-31','MISS','00000','99999999999','99999999999.00','99999999999.000000'),1,0)) AS NUM_REG_DIF,'"&amp;MAX('ID1&amp;5'!K:K)+1&amp;"' AS ID_EXEC, CURRENT_TIMESTAMP() AS TIME_EXEC FROM "&amp;I456,
IF(C456="Not applicable",+"SELECT '"&amp;UPPER(B456)&amp;"' AS TABELA, '"&amp;UPPER(C456)&amp;"' AS TIPOLOGIA_TESTE,'"&amp;D456&amp;"' AS TABELA_LT,'N/A' AS TABELA_SIMUL,'"&amp;F456&amp;"' AS CAMPO, "&amp;"'${ref_date}' AS REF_DATE, COUNT(*) AS NUM_REG, SUM(IF(TRIM(CAST(X."&amp;F456&amp;" AS STRING)) IN ('N/A','11111111111','11111111111.00','11111111111.000000','1111-11-11'),1,0)) AS NUM_REG_DIF,'"&amp;MAX('ID1&amp;5'!K:K)+1&amp;"' AS ID_EXEC, CURRENT_TIMESTAMP() AS TIME_EXEC FROM "&amp;I456,
IF(C456="Valores extremos",+"SELECT '"&amp;UPPER(B456)&amp;"' AS TABELA, '"&amp;UPPER(C456)&amp;"' AS TIPOLOGIA_TESTE,'"&amp;D456&amp;"' AS TABELA_LT,'N/A' AS TABELA_SIMUL,'"&amp;F456&amp;"' AS CAMPO, "&amp;"'${ref_date}' AS REF_DATE, CAST(MIN("&amp;F456&amp;") AS STRING) AS VALOR_MIN, CAST(MAX("&amp;F456&amp;") AS STRING) AS VALOR_MAX,'"&amp;MAX('ID1&amp;5'!K:K)+1&amp;"' AS ID_EXEC, CURRENT_TIMESTAMP() AS TIME_EXEC FROM "&amp;MID(I456,1,LEN(I456)-2)&amp;" AND CAST("&amp;F456&amp;"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TABELA_SIMUL,'ORGNL_PRTCTN_VL' AS CAMPO, '${ref_date}' AS REF_DATE, COUNT(*) AS NUM_REG, SUM(IF(TRIM(CAST(X.ORGNL_PRTCTN_VL AS STRING)) IN ('N/A','11111111111','11111111111.00','11111111111.000000','1111-11-11'),1,0)) AS NUM_REG_DIF,'10' AS ID_EXEC, CURRENT_TIMESTAMP() AS TIME_EXEC FROM (SELECT prtctn_id, ORGNL_PRTCTN_VL FROM BU_LOANTAPE_WORK.LT004_PROTECTION WHERE ref_date='${ref_date}' AND nome_perimetro='Individual Corporativo' AND segmento='ESTR' AND ambito='PILAR3')X</v>
      </c>
      <c r="M456" s="43" t="str">
        <f t="shared" si="7"/>
        <v>UNION ALL SELECT 'PROTECTION' AS TABELA, 'NOT APPLICABLE' AS TIPOLOGIA_TESTE,'BU_LOANTAPE_WORK.LT004_PROTECTION' AS TABELA_LT,'N/A' AS TABELA_SIMUL,'ORGNL_PRTCTN_VL' AS CAMPO, '${ref_date}' AS REF_DATE, COUNT(*) AS NUM_REG, SUM(IF(TRIM(CAST(X.ORGNL_PRTCTN_VL AS STRING)) IN ('N/A','11111111111','11111111111.00','11111111111.000000','1111-11-11'),1,0)) AS NUM_REG_DIF,'10' AS ID_EXEC, CURRENT_TIMESTAMP() AS TIME_EXEC FROM (SELECT prtctn_id, ORGNL_PRTCTN_VL FROM BU_LOANTAPE_WORK.LT004_PROTECTION WHERE ref_date='${ref_date}' AND nome_perimetro='Individual Corporativo' AND segmento='ESTR' AND ambito='PILAR3')X</v>
      </c>
      <c r="N456" s="45" t="s">
        <v>13</v>
      </c>
    </row>
    <row r="457" spans="2:14">
      <c r="B457" s="41" t="s">
        <v>31</v>
      </c>
      <c r="C457" s="41" t="s">
        <v>78</v>
      </c>
      <c r="D457" s="41" t="str">
        <f>+UPPER('0. Instruções'!$D$33&amp;"."&amp;VLOOKUP(B457,'0. Instruções'!$C$27:$D$31,2,FALSE))</f>
        <v>BU_LOANTAPE_WORK.LT004_PROTECTION</v>
      </c>
      <c r="E457" s="41" t="str">
        <f>+UPPER('0. Instruções'!$D$34&amp;"."&amp;VLOOKUP(B457,'0. Instruções'!$C$27:$E$31,3,FALSE))</f>
        <v>BU_LOANTAPE_WORK.LT004_PROTECTION_P3_NOV24</v>
      </c>
      <c r="F457" s="41" t="s">
        <v>195</v>
      </c>
      <c r="G457" s="41" t="s">
        <v>13</v>
      </c>
      <c r="H457" s="41"/>
      <c r="I457" s="41" t="str">
        <f>"(SELECT "&amp;VLOOKUP(B457,'0. Instruções'!$C$27:$G$31,4,FALSE)&amp;", "&amp;F457&amp;" FROM "&amp;D457&amp;" WHERE "&amp;'0. Instruções'!$D$40&amp;")X"</f>
        <v>(SELECT prtctn_id, PRTCTN_VL FROM BU_LOANTAPE_WORK.LT004_PROTECTION WHERE ref_date='${ref_date}' AND nome_perimetro='Individual Corporativo' AND segmento='ESTR' AND ambito='PILAR3')X</v>
      </c>
      <c r="J457" s="41" t="str">
        <f>"(SELECT "&amp;VLOOKUP(B457,'0. Instruções'!$C$27:$G$31,4,FALSE)&amp;" AS "&amp;VLOOKUP(B457,'0. Instruções'!$C$27:$G$31,4,FALSE)&amp;"_SIMUL, "&amp;F457&amp;" AS "&amp;F457&amp;"_SIMUL FROM "&amp;E457&amp;")Y"</f>
        <v>(SELECT prtctn_id AS prtctn_id_SIMUL, PRTCTN_VL AS PRTCTN_VL_SIMUL FROM BU_LOANTAPE_WORK.LT004_PROTECTION_P3_NOV24)Y</v>
      </c>
      <c r="K457" s="42" t="str">
        <f>+UPPER("ON X."&amp;VLOOKUP(B457,'0. Instruções'!$C$27:$G$31,4,FALSE)&amp;"=Y."&amp;VLOOKUP(B457,'0. Instruções'!$C$27:$G$31,4,FALSE)&amp;"_SIMUL")</f>
        <v>ON X.PRTCTN_ID=Y.PRTCTN_ID_SIMUL</v>
      </c>
      <c r="L457" s="42" t="str">
        <f>+IF(C457="Coerência", +IF(LEFT(G457,5)="FLOAT","SELECT '"&amp;UPPER(B457)&amp;"' AS TABELA, '"&amp;UPPER(C457)&amp;"' AS TIPOLOGIA_TESTE,'"&amp;D457&amp;"' AS TABELA_LT,'"&amp;E457&amp;"' AS TABELA_SIMUL,'"&amp;F457&amp;"' AS CAMPO, "&amp;"'${ref_date}' AS REF_DATE, COUNT(*) AS NUM_REG, SUM(IF((ABS(COALESCE(X."&amp;F457&amp;",0)-COALESCE(Y."&amp;F457&amp;"_SIMUL,0))&gt;0.0000000001) OR (X."&amp;F457&amp;" IS NULL AND Y."&amp;F457&amp;"_SIMUL IS NOT NULL ) OR (X."&amp;F457&amp;" IS NOT NULL AND Y."&amp;F457&amp;"_SIMUL IS NULL),1,0)) AS NUM_REG_DIF,'"&amp;MAX('ID1&amp;5'!K:K)+1&amp;"' AS ID_EXEC, CURRENT_TIMESTAMP() AS TIME_EXEC FROM "&amp;I457&amp;" INNER JOIN "&amp;J457&amp;" "&amp;K457,"SELECT '"&amp;UPPER(B457)&amp;"' AS TABELA, '"&amp;UPPER(C457)&amp;"' AS TIPOLOGIA_TESTE,'"&amp;D457&amp;"' AS TABELA_LT,'"&amp;E457&amp;"' AS TABELA_SIMUL,'"&amp;F457&amp;"' AS CAMPO, "&amp;"'${ref_date}' AS REF_DATE, COUNT(*) AS NUM_REG, SUM(IF(COALESCE(CAST(X."&amp;F457&amp;" AS STRING),'')&lt;&gt;COALESCE(CAST(Y."&amp;F457&amp;"_SIMUL AS STRING),''),1,0)) AS NUM_REG_DIF,'"&amp;MAX('ID1&amp;5'!L:L)+1&amp;"' AS ID_EXEC, CURRENT_TIMESTAMP() AS TIME_EXEC FROM "&amp;I457&amp;" INNER JOIN "&amp;J457&amp;" "&amp;K457),
IF(C457="Validade",+IF(G457="Code List","SELECT '"&amp;UPPER(B457)&amp;"' AS TABELA, '"&amp;UPPER(C457)&amp;"' AS TIPOLOGIA_TESTE,'"&amp;D457&amp;"' AS TABELA_LT,'N/A' AS TABELA_SIMUL,'"&amp;F457&amp;"' AS CAMPO, "&amp;"'${ref_date}' AS REF_DATE, COUNT(*) AS NUM_REG, SUM(IF(TRIM(CAST(X."&amp;F457&amp;" AS STRING))='' OR TRIM(CAST(X."&amp;F457&amp;" AS STRING)) IS NULL OR CAST(X."&amp;F457&amp;" AS STRING) NOT "&amp;H457&amp;",1,0)) AS NUM_REG_DIF,'"&amp;MAX('ID1&amp;5'!K:K)+1&amp;"' AS ID_EXEC, CURRENT_TIMESTAMP() AS TIME_EXEC FROM "&amp;I457,"SELECT '"&amp;UPPER(B457)&amp;"' AS TABELA, '"&amp;UPPER(C457)&amp;"' AS TIPOLOGIA_TESTE,'"&amp;D457&amp;"' AS TABELA_LT,'N/A' AS TABELA_SIMUL,'"&amp;F457&amp;"' AS CAMPO, "&amp;"'${ref_date}' AS REF_DATE, COUNT(*) AS NUM_REG, SUM(IF(TRIM(CAST(X."&amp;F457&amp;" AS STRING))='' OR TRIM(CAST(X."&amp;F457&amp;" AS STRING)) IS NULL,1,0)) AS NUM_REG_DIF,'"&amp;MAX('ID1&amp;5'!K:K)+1&amp;"' AS ID_EXEC, CURRENT_TIMESTAMP() AS TIME_EXEC FROM "&amp;I457),
IF(C457="Caracteres Especiais",+"SELECT '"&amp;UPPER(B457)&amp;"' AS TABELA, '"&amp;UPPER(C457)&amp;"' AS TIPOLOGIA_TESTE,'"&amp;D457&amp;"' AS TABELA_LT,'N/A' AS TABELA_SIMUL,'"&amp;F457&amp;"' AS CAMPO, "&amp;"'${ref_date}' AS REF_DATE, COUNT(*) AS NUM_REG, SUM(IF(INSTR(CAST(X."&amp;F457&amp;" AS STRING),'#')&gt;0 OR INSTR(CAST(X."&amp;F457&amp;" AS STRING),'*')&gt;0 OR INSTR(CAST(X."&amp;F457&amp;" AS STRING),'`')&gt;0 OR INSTR(CAST(X."&amp;F457&amp;" AS STRING),'´')&gt;0 OR INSTR(CAST(X."&amp;F457&amp;" AS STRING),'{')&gt;0 OR INSTR(CAST(X."&amp;F457&amp;" AS STRING),'}')&gt;0 OR INSTR(CAST(X."&amp;F457&amp;" AS STRING),'[')&gt;0 OR INSTR(CAST(X."&amp;F457&amp;" AS STRING),'')&gt;0 OR INSTR(CAST(X."&amp;F457&amp;" AS STRING),']')&gt;0 OR INSTR(CAST(X."&amp;F457&amp;" AS STRING),'?')&gt;0 OR INSTR(CAST(X."&amp;F457&amp;" AS STRING),'!')&gt;0 OR INSTR(CAST(X."&amp;F457&amp;" AS STRING),'$')&gt;0 OR INSTR(CAST(X."&amp;F457&amp;" AS STRING),'%')&gt;0 OR INSTR(CAST(X."&amp;F457&amp;" AS STRING),'&amp;')&gt;0 OR INSTR(CAST(X."&amp;F457&amp;" AS STRING),'+')&gt;0,1,0)) AS NUM_REG_DIF,'"&amp;MAX('ID1&amp;5'!K:K)+1&amp;"' AS ID_EXEC, CURRENT_TIMESTAMP() AS TIME_EXEC FROM "&amp;I457,
IF(C457="Missings",+"SELECT '"&amp;UPPER(B457)&amp;"' AS TABELA, '"&amp;UPPER(C457)&amp;"' AS TIPOLOGIA_TESTE,'"&amp;D457&amp;"' AS TABELA_LT,'N/A' AS TABELA_SIMUL,'"&amp;F457&amp;"' AS CAMPO, "&amp;"'${ref_date}' AS REF_DATE, COUNT(*) AS NUM_REG, SUM(IF(TRIM(CAST(X."&amp;F457&amp;" AS STRING)) IN ('0000-00-00','0001-01-01','9999-12-31','MISS','00000','99999999999','99999999999.00','99999999999.000000'),1,0)) AS NUM_REG_DIF,'"&amp;MAX('ID1&amp;5'!K:K)+1&amp;"' AS ID_EXEC, CURRENT_TIMESTAMP() AS TIME_EXEC FROM "&amp;I457,
IF(C457="Not applicable",+"SELECT '"&amp;UPPER(B457)&amp;"' AS TABELA, '"&amp;UPPER(C457)&amp;"' AS TIPOLOGIA_TESTE,'"&amp;D457&amp;"' AS TABELA_LT,'N/A' AS TABELA_SIMUL,'"&amp;F457&amp;"' AS CAMPO, "&amp;"'${ref_date}' AS REF_DATE, COUNT(*) AS NUM_REG, SUM(IF(TRIM(CAST(X."&amp;F457&amp;" AS STRING)) IN ('N/A','11111111111','11111111111.00','11111111111.000000','1111-11-11'),1,0)) AS NUM_REG_DIF,'"&amp;MAX('ID1&amp;5'!K:K)+1&amp;"' AS ID_EXEC, CURRENT_TIMESTAMP() AS TIME_EXEC FROM "&amp;I457,
IF(C457="Valores extremos",+"SELECT '"&amp;UPPER(B457)&amp;"' AS TABELA, '"&amp;UPPER(C457)&amp;"' AS TIPOLOGIA_TESTE,'"&amp;D457&amp;"' AS TABELA_LT,'N/A' AS TABELA_SIMUL,'"&amp;F457&amp;"' AS CAMPO, "&amp;"'${ref_date}' AS REF_DATE, CAST(MIN("&amp;F457&amp;") AS STRING) AS VALOR_MIN, CAST(MAX("&amp;F457&amp;") AS STRING) AS VALOR_MAX,'"&amp;MAX('ID1&amp;5'!K:K)+1&amp;"' AS ID_EXEC, CURRENT_TIMESTAMP() AS TIME_EXEC FROM "&amp;MID(I457,1,LEN(I457)-2)&amp;" AND CAST("&amp;F457&amp;"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TABELA_SIMUL,'PRTCTN_VL' AS CAMPO, '${ref_date}' AS REF_DATE, COUNT(*) AS NUM_REG, SUM(IF(TRIM(CAST(X.PRTCTN_VL AS STRING)) IN ('N/A','11111111111','11111111111.00','11111111111.000000','1111-11-11'),1,0)) AS NUM_REG_DIF,'10' AS ID_EXEC, CURRENT_TIMESTAMP() AS TIME_EXEC FROM (SELECT prtctn_id, PRTCTN_VL FROM BU_LOANTAPE_WORK.LT004_PROTECTION WHERE ref_date='${ref_date}' AND nome_perimetro='Individual Corporativo' AND segmento='ESTR' AND ambito='PILAR3')X</v>
      </c>
      <c r="M457" s="43" t="str">
        <f t="shared" si="7"/>
        <v>UNION ALL SELECT 'PROTECTION' AS TABELA, 'NOT APPLICABLE' AS TIPOLOGIA_TESTE,'BU_LOANTAPE_WORK.LT004_PROTECTION' AS TABELA_LT,'N/A' AS TABELA_SIMUL,'PRTCTN_VL' AS CAMPO, '${ref_date}' AS REF_DATE, COUNT(*) AS NUM_REG, SUM(IF(TRIM(CAST(X.PRTCTN_VL AS STRING)) IN ('N/A','11111111111','11111111111.00','11111111111.000000','1111-11-11'),1,0)) AS NUM_REG_DIF,'10' AS ID_EXEC, CURRENT_TIMESTAMP() AS TIME_EXEC FROM (SELECT prtctn_id, PRTCTN_VL FROM BU_LOANTAPE_WORK.LT004_PROTECTION WHERE ref_date='${ref_date}' AND nome_perimetro='Individual Corporativo' AND segmento='ESTR' AND ambito='PILAR3')X</v>
      </c>
      <c r="N457" s="45" t="s">
        <v>13</v>
      </c>
    </row>
    <row r="458" spans="2:14">
      <c r="B458" s="41" t="s">
        <v>31</v>
      </c>
      <c r="C458" s="41" t="s">
        <v>78</v>
      </c>
      <c r="D458" s="41" t="str">
        <f>+UPPER('0. Instruções'!$D$33&amp;"."&amp;VLOOKUP(B458,'0. Instruções'!$C$27:$D$31,2,FALSE))</f>
        <v>BU_LOANTAPE_WORK.LT004_PROTECTION</v>
      </c>
      <c r="E458" s="41" t="str">
        <f>+UPPER('0. Instruções'!$D$34&amp;"."&amp;VLOOKUP(B458,'0. Instruções'!$C$27:$E$31,3,FALSE))</f>
        <v>BU_LOANTAPE_WORK.LT004_PROTECTION_P3_NOV24</v>
      </c>
      <c r="F458" s="41" t="s">
        <v>173</v>
      </c>
      <c r="G458" s="41" t="s">
        <v>13</v>
      </c>
      <c r="H458" s="41"/>
      <c r="I458" s="41" t="str">
        <f>"(SELECT "&amp;VLOOKUP(B458,'0. Instruções'!$C$27:$G$31,4,FALSE)&amp;", "&amp;F458&amp;" FROM "&amp;D458&amp;" WHERE "&amp;'0. Instruções'!$D$40&amp;")X"</f>
        <v>(SELECT prtctn_id, COD_SOC FROM BU_LOANTAPE_WORK.LT004_PROTECTION WHERE ref_date='${ref_date}' AND nome_perimetro='Individual Corporativo' AND segmento='ESTR' AND ambito='PILAR3')X</v>
      </c>
      <c r="J458" s="41" t="str">
        <f>"(SELECT "&amp;VLOOKUP(B458,'0. Instruções'!$C$27:$G$31,4,FALSE)&amp;" AS "&amp;VLOOKUP(B458,'0. Instruções'!$C$27:$G$31,4,FALSE)&amp;"_SIMUL, "&amp;F458&amp;" AS "&amp;F458&amp;"_SIMUL FROM "&amp;E458&amp;")Y"</f>
        <v>(SELECT prtctn_id AS prtctn_id_SIMUL, COD_SOC AS COD_SOC_SIMUL FROM BU_LOANTAPE_WORK.LT004_PROTECTION_P3_NOV24)Y</v>
      </c>
      <c r="K458" s="42" t="str">
        <f>+UPPER("ON X."&amp;VLOOKUP(B458,'0. Instruções'!$C$27:$G$31,4,FALSE)&amp;"=Y."&amp;VLOOKUP(B458,'0. Instruções'!$C$27:$G$31,4,FALSE)&amp;"_SIMUL")</f>
        <v>ON X.PRTCTN_ID=Y.PRTCTN_ID_SIMUL</v>
      </c>
      <c r="L458" s="42" t="str">
        <f>+IF(C458="Coerência", +IF(LEFT(G458,5)="FLOAT","SELECT '"&amp;UPPER(B458)&amp;"' AS TABELA, '"&amp;UPPER(C458)&amp;"' AS TIPOLOGIA_TESTE,'"&amp;D458&amp;"' AS TABELA_LT,'"&amp;E458&amp;"' AS TABELA_SIMUL,'"&amp;F458&amp;"' AS CAMPO, "&amp;"'${ref_date}' AS REF_DATE, COUNT(*) AS NUM_REG, SUM(IF((ABS(COALESCE(X."&amp;F458&amp;",0)-COALESCE(Y."&amp;F458&amp;"_SIMUL,0))&gt;0.0000000001) OR (X."&amp;F458&amp;" IS NULL AND Y."&amp;F458&amp;"_SIMUL IS NOT NULL ) OR (X."&amp;F458&amp;" IS NOT NULL AND Y."&amp;F458&amp;"_SIMUL IS NULL),1,0)) AS NUM_REG_DIF,'"&amp;MAX('ID1&amp;5'!K:K)+1&amp;"' AS ID_EXEC, CURRENT_TIMESTAMP() AS TIME_EXEC FROM "&amp;I458&amp;" INNER JOIN "&amp;J458&amp;" "&amp;K458,"SELECT '"&amp;UPPER(B458)&amp;"' AS TABELA, '"&amp;UPPER(C458)&amp;"' AS TIPOLOGIA_TESTE,'"&amp;D458&amp;"' AS TABELA_LT,'"&amp;E458&amp;"' AS TABELA_SIMUL,'"&amp;F458&amp;"' AS CAMPO, "&amp;"'${ref_date}' AS REF_DATE, COUNT(*) AS NUM_REG, SUM(IF(COALESCE(CAST(X."&amp;F458&amp;" AS STRING),'')&lt;&gt;COALESCE(CAST(Y."&amp;F458&amp;"_SIMUL AS STRING),''),1,0)) AS NUM_REG_DIF,'"&amp;MAX('ID1&amp;5'!L:L)+1&amp;"' AS ID_EXEC, CURRENT_TIMESTAMP() AS TIME_EXEC FROM "&amp;I458&amp;" INNER JOIN "&amp;J458&amp;" "&amp;K458),
IF(C458="Validade",+IF(G458="Code List","SELECT '"&amp;UPPER(B458)&amp;"' AS TABELA, '"&amp;UPPER(C458)&amp;"' AS TIPOLOGIA_TESTE,'"&amp;D458&amp;"' AS TABELA_LT,'N/A' AS TABELA_SIMUL,'"&amp;F458&amp;"' AS CAMPO, "&amp;"'${ref_date}' AS REF_DATE, COUNT(*) AS NUM_REG, SUM(IF(TRIM(CAST(X."&amp;F458&amp;" AS STRING))='' OR TRIM(CAST(X."&amp;F458&amp;" AS STRING)) IS NULL OR CAST(X."&amp;F458&amp;" AS STRING) NOT "&amp;H458&amp;",1,0)) AS NUM_REG_DIF,'"&amp;MAX('ID1&amp;5'!K:K)+1&amp;"' AS ID_EXEC, CURRENT_TIMESTAMP() AS TIME_EXEC FROM "&amp;I458,"SELECT '"&amp;UPPER(B458)&amp;"' AS TABELA, '"&amp;UPPER(C458)&amp;"' AS TIPOLOGIA_TESTE,'"&amp;D458&amp;"' AS TABELA_LT,'N/A' AS TABELA_SIMUL,'"&amp;F458&amp;"' AS CAMPO, "&amp;"'${ref_date}' AS REF_DATE, COUNT(*) AS NUM_REG, SUM(IF(TRIM(CAST(X."&amp;F458&amp;" AS STRING))='' OR TRIM(CAST(X."&amp;F458&amp;" AS STRING)) IS NULL,1,0)) AS NUM_REG_DIF,'"&amp;MAX('ID1&amp;5'!K:K)+1&amp;"' AS ID_EXEC, CURRENT_TIMESTAMP() AS TIME_EXEC FROM "&amp;I458),
IF(C458="Caracteres Especiais",+"SELECT '"&amp;UPPER(B458)&amp;"' AS TABELA, '"&amp;UPPER(C458)&amp;"' AS TIPOLOGIA_TESTE,'"&amp;D458&amp;"' AS TABELA_LT,'N/A' AS TABELA_SIMUL,'"&amp;F458&amp;"' AS CAMPO, "&amp;"'${ref_date}' AS REF_DATE, COUNT(*) AS NUM_REG, SUM(IF(INSTR(CAST(X."&amp;F458&amp;" AS STRING),'#')&gt;0 OR INSTR(CAST(X."&amp;F458&amp;" AS STRING),'*')&gt;0 OR INSTR(CAST(X."&amp;F458&amp;" AS STRING),'`')&gt;0 OR INSTR(CAST(X."&amp;F458&amp;" AS STRING),'´')&gt;0 OR INSTR(CAST(X."&amp;F458&amp;" AS STRING),'{')&gt;0 OR INSTR(CAST(X."&amp;F458&amp;" AS STRING),'}')&gt;0 OR INSTR(CAST(X."&amp;F458&amp;" AS STRING),'[')&gt;0 OR INSTR(CAST(X."&amp;F458&amp;" AS STRING),'')&gt;0 OR INSTR(CAST(X."&amp;F458&amp;" AS STRING),']')&gt;0 OR INSTR(CAST(X."&amp;F458&amp;" AS STRING),'?')&gt;0 OR INSTR(CAST(X."&amp;F458&amp;" AS STRING),'!')&gt;0 OR INSTR(CAST(X."&amp;F458&amp;" AS STRING),'$')&gt;0 OR INSTR(CAST(X."&amp;F458&amp;" AS STRING),'%')&gt;0 OR INSTR(CAST(X."&amp;F458&amp;" AS STRING),'&amp;')&gt;0 OR INSTR(CAST(X."&amp;F458&amp;" AS STRING),'+')&gt;0,1,0)) AS NUM_REG_DIF,'"&amp;MAX('ID1&amp;5'!K:K)+1&amp;"' AS ID_EXEC, CURRENT_TIMESTAMP() AS TIME_EXEC FROM "&amp;I458,
IF(C458="Missings",+"SELECT '"&amp;UPPER(B458)&amp;"' AS TABELA, '"&amp;UPPER(C458)&amp;"' AS TIPOLOGIA_TESTE,'"&amp;D458&amp;"' AS TABELA_LT,'N/A' AS TABELA_SIMUL,'"&amp;F458&amp;"' AS CAMPO, "&amp;"'${ref_date}' AS REF_DATE, COUNT(*) AS NUM_REG, SUM(IF(TRIM(CAST(X."&amp;F458&amp;" AS STRING)) IN ('0000-00-00','0001-01-01','9999-12-31','MISS','00000','99999999999','99999999999.00','99999999999.000000'),1,0)) AS NUM_REG_DIF,'"&amp;MAX('ID1&amp;5'!K:K)+1&amp;"' AS ID_EXEC, CURRENT_TIMESTAMP() AS TIME_EXEC FROM "&amp;I458,
IF(C458="Not applicable",+"SELECT '"&amp;UPPER(B458)&amp;"' AS TABELA, '"&amp;UPPER(C458)&amp;"' AS TIPOLOGIA_TESTE,'"&amp;D458&amp;"' AS TABELA_LT,'N/A' AS TABELA_SIMUL,'"&amp;F458&amp;"' AS CAMPO, "&amp;"'${ref_date}' AS REF_DATE, COUNT(*) AS NUM_REG, SUM(IF(TRIM(CAST(X."&amp;F458&amp;" AS STRING)) IN ('N/A','11111111111','11111111111.00','11111111111.000000','1111-11-11'),1,0)) AS NUM_REG_DIF,'"&amp;MAX('ID1&amp;5'!K:K)+1&amp;"' AS ID_EXEC, CURRENT_TIMESTAMP() AS TIME_EXEC FROM "&amp;I458,
IF(C458="Valores extremos",+"SELECT '"&amp;UPPER(B458)&amp;"' AS TABELA, '"&amp;UPPER(C458)&amp;"' AS TIPOLOGIA_TESTE,'"&amp;D458&amp;"' AS TABELA_LT,'N/A' AS TABELA_SIMUL,'"&amp;F458&amp;"' AS CAMPO, "&amp;"'${ref_date}' AS REF_DATE, CAST(MIN("&amp;F458&amp;") AS STRING) AS VALOR_MIN, CAST(MAX("&amp;F458&amp;") AS STRING) AS VALOR_MAX,'"&amp;MAX('ID1&amp;5'!K:K)+1&amp;"' AS ID_EXEC, CURRENT_TIMESTAMP() AS TIME_EXEC FROM "&amp;MID(I458,1,LEN(I458)-2)&amp;" AND CAST("&amp;F458&amp;" AS STRING) NOT IN ('0000-00-00','0001-01-01','9999-12-31','MISS','00000','99999999999','99999999999.00','99999999999.000000','N/A','11111111111','11111111111.00','11111111111.000000','1111-11-11'))X"))))))</f>
        <v>SELECT 'PROTECTION' AS TABELA, 'NOT APPLICABLE' AS TIPOLOGIA_TESTE,'BU_LOANTAPE_WORK.LT004_PROTECTION' AS TABELA_LT,'N/A' AS TABELA_SIMUL,'COD_SOC' AS CAMPO, '${ref_date}' AS REF_DATE, COUNT(*) AS NUM_REG, SUM(IF(TRIM(CAST(X.COD_SOC AS STRING)) IN ('N/A','11111111111','11111111111.00','11111111111.000000','1111-11-11'),1,0)) AS NUM_REG_DIF,'10' AS ID_EXEC, CURRENT_TIMESTAMP() AS TIME_EXEC FROM (SELECT prtctn_id, COD_SOC FROM BU_LOANTAPE_WORK.LT004_PROTECTION WHERE ref_date='${ref_date}' AND nome_perimetro='Individual Corporativo' AND segmento='ESTR' AND ambito='PILAR3')X</v>
      </c>
      <c r="M458" s="43" t="str">
        <f t="shared" si="7"/>
        <v>UNION ALL SELECT 'PROTECTION' AS TABELA, 'NOT APPLICABLE' AS TIPOLOGIA_TESTE,'BU_LOANTAPE_WORK.LT004_PROTECTION' AS TABELA_LT,'N/A' AS TABELA_SIMUL,'COD_SOC' AS CAMPO, '${ref_date}' AS REF_DATE, COUNT(*) AS NUM_REG, SUM(IF(TRIM(CAST(X.COD_SOC AS STRING)) IN ('N/A','11111111111','11111111111.00','11111111111.000000','1111-11-11'),1,0)) AS NUM_REG_DIF,'10' AS ID_EXEC, CURRENT_TIMESTAMP() AS TIME_EXEC FROM (SELECT prtctn_id, COD_SOC FROM BU_LOANTAPE_WORK.LT004_PROTECTION WHERE ref_date='${ref_date}' AND nome_perimetro='Individual Corporativo' AND segmento='ESTR' AND ambito='PILAR3')X</v>
      </c>
      <c r="N458" s="45" t="s">
        <v>13</v>
      </c>
    </row>
    <row r="459" spans="2:14">
      <c r="B459" s="41" t="s">
        <v>27</v>
      </c>
      <c r="C459" s="41" t="s">
        <v>226</v>
      </c>
      <c r="D459" s="41" t="str">
        <f>+UPPER('0. Instruções'!$D$33&amp;"."&amp;VLOOKUP(B459,'0. Instruções'!$C$27:$D$31,2,FALSE))</f>
        <v>BU_LOANTAPE_WORK.LT002_INSTRUMENT</v>
      </c>
      <c r="E459" s="41" t="str">
        <f>+UPPER('0. Instruções'!$D$34&amp;"."&amp;VLOOKUP(B459,'0. Instruções'!$C$27:$E$31,3,FALSE))</f>
        <v>BU_LOANTAPE_WORK.LT002_INSTRUMENT_P3_NOV24</v>
      </c>
      <c r="F459" s="41" t="s">
        <v>151</v>
      </c>
      <c r="G459" s="41" t="s">
        <v>209</v>
      </c>
      <c r="H459" s="41"/>
      <c r="I459" s="41" t="str">
        <f>"(SELECT "&amp;VLOOKUP(B459,'0. Instruções'!$C$27:$G$31,4,FALSE)&amp;", "&amp;F459&amp;" FROM "&amp;D459&amp;" WHERE "&amp;'0. Instruções'!$D$40&amp;")X"</f>
        <v>(SELECT instrmnt_id, LNS_CLLTRLZD_CLSSFCTN FROM BU_LOANTAPE_WORK.LT002_INSTRUMENT WHERE ref_date='${ref_date}' AND nome_perimetro='Individual Corporativo' AND segmento='ESTR' AND ambito='PILAR3')X</v>
      </c>
      <c r="J459" s="41" t="str">
        <f>"(SELECT "&amp;VLOOKUP(B459,'0. Instruções'!$C$27:$G$31,4,FALSE)&amp;" AS "&amp;VLOOKUP(B459,'0. Instruções'!$C$27:$G$31,4,FALSE)&amp;"_SIMUL, "&amp;F459&amp;" AS "&amp;F459&amp;"_SIMUL FROM "&amp;E459&amp;")Y"</f>
        <v>(SELECT instrmnt_id AS instrmnt_id_SIMUL, LNS_CLLTRLZD_CLSSFCTN AS LNS_CLLTRLZD_CLSSFCTN_SIMUL FROM BU_LOANTAPE_WORK.LT002_INSTRUMENT_P3_NOV24)Y</v>
      </c>
      <c r="K459" s="42" t="str">
        <f>+UPPER("ON X."&amp;VLOOKUP(B459,'0. Instruções'!$C$27:$G$31,4,FALSE)&amp;"=Y."&amp;VLOOKUP(B459,'0. Instruções'!$C$27:$G$31,4,FALSE)&amp;"_SIMUL")</f>
        <v>ON X.INSTRMNT_ID=Y.INSTRMNT_ID_SIMUL</v>
      </c>
      <c r="L459" s="42" t="str">
        <f>+IF(C459="Coerência", +IF(LEFT(G459,5)="FLOAT","SELECT '"&amp;UPPER(B459)&amp;"' AS TABELA, '"&amp;UPPER(C459)&amp;"' AS TIPOLOGIA_TESTE,'"&amp;D459&amp;"' AS TABELA_LT,'"&amp;E459&amp;"' AS TABELA_SIMUL,'"&amp;F459&amp;"' AS CAMPO, "&amp;"'${ref_date}' AS REF_DATE, COUNT(*) AS NUM_REG, SUM(IF((ABS(COALESCE(X."&amp;F459&amp;",0)-COALESCE(Y."&amp;F459&amp;"_SIMUL,0))&gt;0.0000000001) OR (X."&amp;F459&amp;" IS NULL AND Y."&amp;F459&amp;"_SIMUL IS NOT NULL ) OR (X."&amp;F459&amp;" IS NOT NULL AND Y."&amp;F459&amp;"_SIMUL IS NULL),1,0)) AS NUM_REG_DIF,'"&amp;MAX('ID1&amp;5'!K:K)+1&amp;"' AS ID_EXEC, CURRENT_TIMESTAMP() AS TIME_EXEC FROM "&amp;I459&amp;" INNER JOIN "&amp;J459&amp;" "&amp;K459,"SELECT '"&amp;UPPER(B459)&amp;"' AS TABELA, '"&amp;UPPER(C459)&amp;"' AS TIPOLOGIA_TESTE,'"&amp;D459&amp;"' AS TABELA_LT,'"&amp;E459&amp;"' AS TABELA_SIMUL,'"&amp;F459&amp;"' AS CAMPO, "&amp;"'${ref_date}' AS REF_DATE, COUNT(*) AS NUM_REG, SUM(IF(COALESCE(CAST(X."&amp;F459&amp;" AS STRING),'')&lt;&gt;COALESCE(CAST(Y."&amp;F459&amp;"_SIMUL AS STRING),''),1,0)) AS NUM_REG_DIF,'"&amp;MAX('ID1&amp;5'!L:L)+1&amp;"' AS ID_EXEC, CURRENT_TIMESTAMP() AS TIME_EXEC FROM "&amp;I459&amp;" INNER JOIN "&amp;J459&amp;" "&amp;K459),
IF(C459="Validade",+IF(G459="Code List","SELECT '"&amp;UPPER(B459)&amp;"' AS TABELA, '"&amp;UPPER(C459)&amp;"' AS TIPOLOGIA_TESTE,'"&amp;D459&amp;"' AS TABELA_LT,'N/A' AS TABELA_SIMUL,'"&amp;F459&amp;"' AS CAMPO, "&amp;"'${ref_date}' AS REF_DATE, COUNT(*) AS NUM_REG, SUM(IF(TRIM(CAST(X."&amp;F459&amp;" AS STRING))='' OR TRIM(CAST(X."&amp;F459&amp;" AS STRING)) IS NULL OR CAST(X."&amp;F459&amp;" AS STRING) NOT "&amp;H459&amp;",1,0)) AS NUM_REG_DIF,'"&amp;MAX('ID1&amp;5'!K:K)+1&amp;"' AS ID_EXEC, CURRENT_TIMESTAMP() AS TIME_EXEC FROM "&amp;I459,"SELECT '"&amp;UPPER(B459)&amp;"' AS TABELA, '"&amp;UPPER(C459)&amp;"' AS TIPOLOGIA_TESTE,'"&amp;D459&amp;"' AS TABELA_LT,'N/A' AS TABELA_SIMUL,'"&amp;F459&amp;"' AS CAMPO, "&amp;"'${ref_date}' AS REF_DATE, COUNT(*) AS NUM_REG, SUM(IF(TRIM(CAST(X."&amp;F459&amp;" AS STRING))='' OR TRIM(CAST(X."&amp;F459&amp;" AS STRING)) IS NULL,1,0)) AS NUM_REG_DIF,'"&amp;MAX('ID1&amp;5'!K:K)+1&amp;"' AS ID_EXEC, CURRENT_TIMESTAMP() AS TIME_EXEC FROM "&amp;I459),
IF(C459="Caracteres Especiais",+"SELECT '"&amp;UPPER(B459)&amp;"' AS TABELA, '"&amp;UPPER(C459)&amp;"' AS TIPOLOGIA_TESTE,'"&amp;D459&amp;"' AS TABELA_LT,'N/A' AS TABELA_SIMUL,'"&amp;F459&amp;"' AS CAMPO, "&amp;"'${ref_date}' AS REF_DATE, COUNT(*) AS NUM_REG, SUM(IF(INSTR(CAST(X."&amp;F459&amp;" AS STRING),'#')&gt;0 OR INSTR(CAST(X."&amp;F459&amp;" AS STRING),'*')&gt;0 OR INSTR(CAST(X."&amp;F459&amp;" AS STRING),'`')&gt;0 OR INSTR(CAST(X."&amp;F459&amp;" AS STRING),'´')&gt;0 OR INSTR(CAST(X."&amp;F459&amp;" AS STRING),'{')&gt;0 OR INSTR(CAST(X."&amp;F459&amp;" AS STRING),'}')&gt;0 OR INSTR(CAST(X."&amp;F459&amp;" AS STRING),'[')&gt;0 OR INSTR(CAST(X."&amp;F459&amp;" AS STRING),'')&gt;0 OR INSTR(CAST(X."&amp;F459&amp;" AS STRING),']')&gt;0 OR INSTR(CAST(X."&amp;F459&amp;" AS STRING),'?')&gt;0 OR INSTR(CAST(X."&amp;F459&amp;" AS STRING),'!')&gt;0 OR INSTR(CAST(X."&amp;F459&amp;" AS STRING),'$')&gt;0 OR INSTR(CAST(X."&amp;F459&amp;" AS STRING),'%')&gt;0 OR INSTR(CAST(X."&amp;F459&amp;" AS STRING),'&amp;')&gt;0 OR INSTR(CAST(X."&amp;F459&amp;" AS STRING),'+')&gt;0,1,0)) AS NUM_REG_DIF,'"&amp;MAX('ID1&amp;5'!K:K)+1&amp;"' AS ID_EXEC, CURRENT_TIMESTAMP() AS TIME_EXEC FROM "&amp;I459,
IF(C459="Missings",+"SELECT '"&amp;UPPER(B459)&amp;"' AS TABELA, '"&amp;UPPER(C459)&amp;"' AS TIPOLOGIA_TESTE,'"&amp;D459&amp;"' AS TABELA_LT,'N/A' AS TABELA_SIMUL,'"&amp;F459&amp;"' AS CAMPO, "&amp;"'${ref_date}' AS REF_DATE, COUNT(*) AS NUM_REG, SUM(IF(TRIM(CAST(X."&amp;F459&amp;" AS STRING)) IN ('0000-00-00','0001-01-01','9999-12-31','MISS','00000','99999999999','99999999999.00','99999999999.000000'),1,0)) AS NUM_REG_DIF,'"&amp;MAX('ID1&amp;5'!K:K)+1&amp;"' AS ID_EXEC, CURRENT_TIMESTAMP() AS TIME_EXEC FROM "&amp;I459,
IF(C459="Not applicable",+"SELECT '"&amp;UPPER(B459)&amp;"' AS TABELA, '"&amp;UPPER(C459)&amp;"' AS TIPOLOGIA_TESTE,'"&amp;D459&amp;"' AS TABELA_LT,'N/A' AS TABELA_SIMUL,'"&amp;F459&amp;"' AS CAMPO, "&amp;"'${ref_date}' AS REF_DATE, COUNT(*) AS NUM_REG, SUM(IF(TRIM(CAST(X."&amp;F459&amp;" AS STRING)) IN ('N/A','11111111111','11111111111.00','11111111111.000000','1111-11-11'),1,0)) AS NUM_REG_DIF,'"&amp;MAX('ID1&amp;5'!K:K)+1&amp;"' AS ID_EXEC, CURRENT_TIMESTAMP() AS TIME_EXEC FROM "&amp;I459,
IF(C459="Valores extremos",+"SELECT '"&amp;UPPER(B459)&amp;"' AS TABELA, '"&amp;UPPER(C459)&amp;"' AS TIPOLOGIA_TESTE,'"&amp;D459&amp;"' AS TABELA_LT,'N/A' AS TABELA_SIMUL,'"&amp;F459&amp;"' AS CAMPO, "&amp;"'${ref_date}' AS REF_DATE, CAST(MIN("&amp;F459&amp;") AS STRING) AS VALOR_MIN, CAST(MAX("&amp;F459&amp;") AS STRING) AS VALOR_MAX,'"&amp;MAX('ID1&amp;5'!K:K)+1&amp;"' AS ID_EXEC, CURRENT_TIMESTAMP() AS TIME_EXEC FROM "&amp;MID(I459,1,LEN(I459)-2)&amp;" AND CAST("&amp;F459&amp;"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TABELA_SIMUL,'LNS_CLLTRLZD_CLSSFCTN' AS CAMPO, '${ref_date}' AS REF_DATE, CAST(MIN(LNS_CLLTRLZD_CLSSFCTN) AS STRING) AS VALOR_MIN, CAST(MAX(LNS_CLLTRLZD_CLSSFCTN) AS STRING) AS VALOR_MAX,'10' AS ID_EXEC, CURRENT_TIMESTAMP() AS TIME_EXEC FROM (SELECT instrmnt_id, LNS_CLLTRLZD_CLSSFCTN FROM BU_LOANTAPE_WORK.LT002_INSTRUMENT WHERE ref_date='${ref_date}' AND nome_perimetro='Individual Corporativo' AND segmento='ESTR' AND ambito='PILAR3' AND CAST(LNS_CLLTRLZD_CLSSFCTN AS STRING) NOT IN ('0000-00-00','0001-01-01','9999-12-31','MISS','00000','99999999999','99999999999.00','99999999999.000000','N/A','11111111111','11111111111.00','11111111111.000000','1111-11-11'))X</v>
      </c>
      <c r="M459" s="43" t="str">
        <f t="shared" si="7"/>
        <v>UNION ALL SELECT 'INSTRUMENT' AS TABELA, 'VALORES EXTREMOS' AS TIPOLOGIA_TESTE,'BU_LOANTAPE_WORK.LT002_INSTRUMENT' AS TABELA_LT,'N/A' AS TABELA_SIMUL,'LNS_CLLTRLZD_CLSSFCTN' AS CAMPO, '${ref_date}' AS REF_DATE, CAST(MIN(LNS_CLLTRLZD_CLSSFCTN) AS STRING) AS VALOR_MIN, CAST(MAX(LNS_CLLTRLZD_CLSSFCTN) AS STRING) AS VALOR_MAX,'10' AS ID_EXEC, CURRENT_TIMESTAMP() AS TIME_EXEC FROM (SELECT instrmnt_id, LNS_CLLTRLZD_CLSSFCTN FROM BU_LOANTAPE_WORK.LT002_INSTRUMENT WHERE ref_date='${ref_date}' AND nome_perimetro='Individual Corporativo' AND segmento='ESTR' AND ambito='PILAR3' AND CAST(LNS_CLLTRLZD_CLSSFCTN AS STRING) NOT IN ('0000-00-00','0001-01-01','9999-12-31','MISS','00000','99999999999','99999999999.00','99999999999.000000','N/A','11111111111','11111111111.00','11111111111.000000','1111-11-11'))X</v>
      </c>
      <c r="N459" s="45" t="s">
        <v>13</v>
      </c>
    </row>
    <row r="460" spans="2:14">
      <c r="B460" s="41" t="s">
        <v>27</v>
      </c>
      <c r="C460" s="41" t="s">
        <v>226</v>
      </c>
      <c r="D460" s="41" t="str">
        <f>+UPPER('0. Instruções'!$D$33&amp;"."&amp;VLOOKUP(B460,'0. Instruções'!$C$27:$D$31,2,FALSE))</f>
        <v>BU_LOANTAPE_WORK.LT002_INSTRUMENT</v>
      </c>
      <c r="E460" s="41" t="str">
        <f>+UPPER('0. Instruções'!$D$34&amp;"."&amp;VLOOKUP(B460,'0. Instruções'!$C$27:$E$31,3,FALSE))</f>
        <v>BU_LOANTAPE_WORK.LT002_INSTRUMENT_P3_NOV24</v>
      </c>
      <c r="F460" s="41" t="s">
        <v>146</v>
      </c>
      <c r="G460" s="41" t="s">
        <v>209</v>
      </c>
      <c r="H460" s="41"/>
      <c r="I460" s="41" t="str">
        <f>"(SELECT "&amp;VLOOKUP(B460,'0. Instruções'!$C$27:$G$31,4,FALSE)&amp;", "&amp;F460&amp;" FROM "&amp;D460&amp;" WHERE "&amp;'0. Instruções'!$D$40&amp;")X"</f>
        <v>(SELECT instrmnt_id, RSK_MTGTD_CCT FROM BU_LOANTAPE_WORK.LT002_INSTRUMENT WHERE ref_date='${ref_date}' AND nome_perimetro='Individual Corporativo' AND segmento='ESTR' AND ambito='PILAR3')X</v>
      </c>
      <c r="J460" s="41" t="str">
        <f>"(SELECT "&amp;VLOOKUP(B460,'0. Instruções'!$C$27:$G$31,4,FALSE)&amp;" AS "&amp;VLOOKUP(B460,'0. Instruções'!$C$27:$G$31,4,FALSE)&amp;"_SIMUL, "&amp;F460&amp;" AS "&amp;F460&amp;"_SIMUL FROM "&amp;E460&amp;")Y"</f>
        <v>(SELECT instrmnt_id AS instrmnt_id_SIMUL, RSK_MTGTD_CCT AS RSK_MTGTD_CCT_SIMUL FROM BU_LOANTAPE_WORK.LT002_INSTRUMENT_P3_NOV24)Y</v>
      </c>
      <c r="K460" s="42" t="str">
        <f>+UPPER("ON X."&amp;VLOOKUP(B460,'0. Instruções'!$C$27:$G$31,4,FALSE)&amp;"=Y."&amp;VLOOKUP(B460,'0. Instruções'!$C$27:$G$31,4,FALSE)&amp;"_SIMUL")</f>
        <v>ON X.INSTRMNT_ID=Y.INSTRMNT_ID_SIMUL</v>
      </c>
      <c r="L460" s="42" t="str">
        <f>+IF(C460="Coerência", +IF(LEFT(G460,5)="FLOAT","SELECT '"&amp;UPPER(B460)&amp;"' AS TABELA, '"&amp;UPPER(C460)&amp;"' AS TIPOLOGIA_TESTE,'"&amp;D460&amp;"' AS TABELA_LT,'"&amp;E460&amp;"' AS TABELA_SIMUL,'"&amp;F460&amp;"' AS CAMPO, "&amp;"'${ref_date}' AS REF_DATE, COUNT(*) AS NUM_REG, SUM(IF((ABS(COALESCE(X."&amp;F460&amp;",0)-COALESCE(Y."&amp;F460&amp;"_SIMUL,0))&gt;0.0000000001) OR (X."&amp;F460&amp;" IS NULL AND Y."&amp;F460&amp;"_SIMUL IS NOT NULL ) OR (X."&amp;F460&amp;" IS NOT NULL AND Y."&amp;F460&amp;"_SIMUL IS NULL),1,0)) AS NUM_REG_DIF,'"&amp;MAX('ID1&amp;5'!K:K)+1&amp;"' AS ID_EXEC, CURRENT_TIMESTAMP() AS TIME_EXEC FROM "&amp;I460&amp;" INNER JOIN "&amp;J460&amp;" "&amp;K460,"SELECT '"&amp;UPPER(B460)&amp;"' AS TABELA, '"&amp;UPPER(C460)&amp;"' AS TIPOLOGIA_TESTE,'"&amp;D460&amp;"' AS TABELA_LT,'"&amp;E460&amp;"' AS TABELA_SIMUL,'"&amp;F460&amp;"' AS CAMPO, "&amp;"'${ref_date}' AS REF_DATE, COUNT(*) AS NUM_REG, SUM(IF(COALESCE(CAST(X."&amp;F460&amp;" AS STRING),'')&lt;&gt;COALESCE(CAST(Y."&amp;F460&amp;"_SIMUL AS STRING),''),1,0)) AS NUM_REG_DIF,'"&amp;MAX('ID1&amp;5'!L:L)+1&amp;"' AS ID_EXEC, CURRENT_TIMESTAMP() AS TIME_EXEC FROM "&amp;I460&amp;" INNER JOIN "&amp;J460&amp;" "&amp;K460),
IF(C460="Validade",+IF(G460="Code List","SELECT '"&amp;UPPER(B460)&amp;"' AS TABELA, '"&amp;UPPER(C460)&amp;"' AS TIPOLOGIA_TESTE,'"&amp;D460&amp;"' AS TABELA_LT,'N/A' AS TABELA_SIMUL,'"&amp;F460&amp;"' AS CAMPO, "&amp;"'${ref_date}' AS REF_DATE, COUNT(*) AS NUM_REG, SUM(IF(TRIM(CAST(X."&amp;F460&amp;" AS STRING))='' OR TRIM(CAST(X."&amp;F460&amp;" AS STRING)) IS NULL OR CAST(X."&amp;F460&amp;" AS STRING) NOT "&amp;H460&amp;",1,0)) AS NUM_REG_DIF,'"&amp;MAX('ID1&amp;5'!K:K)+1&amp;"' AS ID_EXEC, CURRENT_TIMESTAMP() AS TIME_EXEC FROM "&amp;I460,"SELECT '"&amp;UPPER(B460)&amp;"' AS TABELA, '"&amp;UPPER(C460)&amp;"' AS TIPOLOGIA_TESTE,'"&amp;D460&amp;"' AS TABELA_LT,'N/A' AS TABELA_SIMUL,'"&amp;F460&amp;"' AS CAMPO, "&amp;"'${ref_date}' AS REF_DATE, COUNT(*) AS NUM_REG, SUM(IF(TRIM(CAST(X."&amp;F460&amp;" AS STRING))='' OR TRIM(CAST(X."&amp;F460&amp;" AS STRING)) IS NULL,1,0)) AS NUM_REG_DIF,'"&amp;MAX('ID1&amp;5'!K:K)+1&amp;"' AS ID_EXEC, CURRENT_TIMESTAMP() AS TIME_EXEC FROM "&amp;I460),
IF(C460="Caracteres Especiais",+"SELECT '"&amp;UPPER(B460)&amp;"' AS TABELA, '"&amp;UPPER(C460)&amp;"' AS TIPOLOGIA_TESTE,'"&amp;D460&amp;"' AS TABELA_LT,'N/A' AS TABELA_SIMUL,'"&amp;F460&amp;"' AS CAMPO, "&amp;"'${ref_date}' AS REF_DATE, COUNT(*) AS NUM_REG, SUM(IF(INSTR(CAST(X."&amp;F460&amp;" AS STRING),'#')&gt;0 OR INSTR(CAST(X."&amp;F460&amp;" AS STRING),'*')&gt;0 OR INSTR(CAST(X."&amp;F460&amp;" AS STRING),'`')&gt;0 OR INSTR(CAST(X."&amp;F460&amp;" AS STRING),'´')&gt;0 OR INSTR(CAST(X."&amp;F460&amp;" AS STRING),'{')&gt;0 OR INSTR(CAST(X."&amp;F460&amp;" AS STRING),'}')&gt;0 OR INSTR(CAST(X."&amp;F460&amp;" AS STRING),'[')&gt;0 OR INSTR(CAST(X."&amp;F460&amp;" AS STRING),'')&gt;0 OR INSTR(CAST(X."&amp;F460&amp;" AS STRING),']')&gt;0 OR INSTR(CAST(X."&amp;F460&amp;" AS STRING),'?')&gt;0 OR INSTR(CAST(X."&amp;F460&amp;" AS STRING),'!')&gt;0 OR INSTR(CAST(X."&amp;F460&amp;" AS STRING),'$')&gt;0 OR INSTR(CAST(X."&amp;F460&amp;" AS STRING),'%')&gt;0 OR INSTR(CAST(X."&amp;F460&amp;" AS STRING),'&amp;')&gt;0 OR INSTR(CAST(X."&amp;F460&amp;" AS STRING),'+')&gt;0,1,0)) AS NUM_REG_DIF,'"&amp;MAX('ID1&amp;5'!K:K)+1&amp;"' AS ID_EXEC, CURRENT_TIMESTAMP() AS TIME_EXEC FROM "&amp;I460,
IF(C460="Missings",+"SELECT '"&amp;UPPER(B460)&amp;"' AS TABELA, '"&amp;UPPER(C460)&amp;"' AS TIPOLOGIA_TESTE,'"&amp;D460&amp;"' AS TABELA_LT,'N/A' AS TABELA_SIMUL,'"&amp;F460&amp;"' AS CAMPO, "&amp;"'${ref_date}' AS REF_DATE, COUNT(*) AS NUM_REG, SUM(IF(TRIM(CAST(X."&amp;F460&amp;" AS STRING)) IN ('0000-00-00','0001-01-01','9999-12-31','MISS','00000','99999999999','99999999999.00','99999999999.000000'),1,0)) AS NUM_REG_DIF,'"&amp;MAX('ID1&amp;5'!K:K)+1&amp;"' AS ID_EXEC, CURRENT_TIMESTAMP() AS TIME_EXEC FROM "&amp;I460,
IF(C460="Not applicable",+"SELECT '"&amp;UPPER(B460)&amp;"' AS TABELA, '"&amp;UPPER(C460)&amp;"' AS TIPOLOGIA_TESTE,'"&amp;D460&amp;"' AS TABELA_LT,'N/A' AS TABELA_SIMUL,'"&amp;F460&amp;"' AS CAMPO, "&amp;"'${ref_date}' AS REF_DATE, COUNT(*) AS NUM_REG, SUM(IF(TRIM(CAST(X."&amp;F460&amp;" AS STRING)) IN ('N/A','11111111111','11111111111.00','11111111111.000000','1111-11-11'),1,0)) AS NUM_REG_DIF,'"&amp;MAX('ID1&amp;5'!K:K)+1&amp;"' AS ID_EXEC, CURRENT_TIMESTAMP() AS TIME_EXEC FROM "&amp;I460,
IF(C460="Valores extremos",+"SELECT '"&amp;UPPER(B460)&amp;"' AS TABELA, '"&amp;UPPER(C460)&amp;"' AS TIPOLOGIA_TESTE,'"&amp;D460&amp;"' AS TABELA_LT,'N/A' AS TABELA_SIMUL,'"&amp;F460&amp;"' AS CAMPO, "&amp;"'${ref_date}' AS REF_DATE, CAST(MIN("&amp;F460&amp;") AS STRING) AS VALOR_MIN, CAST(MAX("&amp;F460&amp;") AS STRING) AS VALOR_MAX,'"&amp;MAX('ID1&amp;5'!K:K)+1&amp;"' AS ID_EXEC, CURRENT_TIMESTAMP() AS TIME_EXEC FROM "&amp;MID(I460,1,LEN(I460)-2)&amp;" AND CAST("&amp;F460&amp;"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TABELA_SIMUL,'RSK_MTGTD_CCT' AS CAMPO, '${ref_date}' AS REF_DATE, CAST(MIN(RSK_MTGTD_CCT) AS STRING) AS VALOR_MIN, CAST(MAX(RSK_MTGTD_CCT) AS STRING) AS VALOR_MAX,'10' AS ID_EXEC, CURRENT_TIMESTAMP() AS TIME_EXEC FROM (SELECT instrmnt_id, RSK_MTGTD_CCT FROM BU_LOANTAPE_WORK.LT002_INSTRUMENT WHERE ref_date='${ref_date}' AND nome_perimetro='Individual Corporativo' AND segmento='ESTR' AND ambito='PILAR3' AND CAST(RSK_MTGTD_CCT AS STRING) NOT IN ('0000-00-00','0001-01-01','9999-12-31','MISS','00000','99999999999','99999999999.00','99999999999.000000','N/A','11111111111','11111111111.00','11111111111.000000','1111-11-11'))X</v>
      </c>
      <c r="M460" s="43" t="str">
        <f t="shared" si="7"/>
        <v>UNION ALL SELECT 'INSTRUMENT' AS TABELA, 'VALORES EXTREMOS' AS TIPOLOGIA_TESTE,'BU_LOANTAPE_WORK.LT002_INSTRUMENT' AS TABELA_LT,'N/A' AS TABELA_SIMUL,'RSK_MTGTD_CCT' AS CAMPO, '${ref_date}' AS REF_DATE, CAST(MIN(RSK_MTGTD_CCT) AS STRING) AS VALOR_MIN, CAST(MAX(RSK_MTGTD_CCT) AS STRING) AS VALOR_MAX,'10' AS ID_EXEC, CURRENT_TIMESTAMP() AS TIME_EXEC FROM (SELECT instrmnt_id, RSK_MTGTD_CCT FROM BU_LOANTAPE_WORK.LT002_INSTRUMENT WHERE ref_date='${ref_date}' AND nome_perimetro='Individual Corporativo' AND segmento='ESTR' AND ambito='PILAR3' AND CAST(RSK_MTGTD_CCT AS STRING) NOT IN ('0000-00-00','0001-01-01','9999-12-31','MISS','00000','99999999999','99999999999.00','99999999999.000000','N/A','11111111111','11111111111.00','11111111111.000000','1111-11-11'))X</v>
      </c>
      <c r="N460" s="45" t="s">
        <v>13</v>
      </c>
    </row>
    <row r="461" spans="2:14">
      <c r="B461" s="41" t="s">
        <v>27</v>
      </c>
      <c r="C461" s="41" t="s">
        <v>226</v>
      </c>
      <c r="D461" s="41" t="str">
        <f>+UPPER('0. Instruções'!$D$33&amp;"."&amp;VLOOKUP(B461,'0. Instruções'!$C$27:$D$31,2,FALSE))</f>
        <v>BU_LOANTAPE_WORK.LT002_INSTRUMENT</v>
      </c>
      <c r="E461" s="41" t="str">
        <f>+UPPER('0. Instruções'!$D$34&amp;"."&amp;VLOOKUP(B461,'0. Instruções'!$C$27:$E$31,3,FALSE))</f>
        <v>BU_LOANTAPE_WORK.LT002_INSTRUMENT_P3_NOV24</v>
      </c>
      <c r="F461" s="41" t="s">
        <v>148</v>
      </c>
      <c r="G461" s="41" t="s">
        <v>209</v>
      </c>
      <c r="H461" s="41"/>
      <c r="I461" s="41" t="str">
        <f>"(SELECT "&amp;VLOOKUP(B461,'0. Instruções'!$C$27:$G$31,4,FALSE)&amp;", "&amp;F461&amp;" FROM "&amp;D461&amp;" WHERE "&amp;'0. Instruções'!$D$40&amp;")X"</f>
        <v>(SELECT instrmnt_id, RSK_MTGTD_CCP FROM BU_LOANTAPE_WORK.LT002_INSTRUMENT WHERE ref_date='${ref_date}' AND nome_perimetro='Individual Corporativo' AND segmento='ESTR' AND ambito='PILAR3')X</v>
      </c>
      <c r="J461" s="41" t="str">
        <f>"(SELECT "&amp;VLOOKUP(B461,'0. Instruções'!$C$27:$G$31,4,FALSE)&amp;" AS "&amp;VLOOKUP(B461,'0. Instruções'!$C$27:$G$31,4,FALSE)&amp;"_SIMUL, "&amp;F461&amp;" AS "&amp;F461&amp;"_SIMUL FROM "&amp;E461&amp;")Y"</f>
        <v>(SELECT instrmnt_id AS instrmnt_id_SIMUL, RSK_MTGTD_CCP AS RSK_MTGTD_CCP_SIMUL FROM BU_LOANTAPE_WORK.LT002_INSTRUMENT_P3_NOV24)Y</v>
      </c>
      <c r="K461" s="42" t="str">
        <f>+UPPER("ON X."&amp;VLOOKUP(B461,'0. Instruções'!$C$27:$G$31,4,FALSE)&amp;"=Y."&amp;VLOOKUP(B461,'0. Instruções'!$C$27:$G$31,4,FALSE)&amp;"_SIMUL")</f>
        <v>ON X.INSTRMNT_ID=Y.INSTRMNT_ID_SIMUL</v>
      </c>
      <c r="L461" s="42" t="str">
        <f>+IF(C461="Coerência", +IF(LEFT(G461,5)="FLOAT","SELECT '"&amp;UPPER(B461)&amp;"' AS TABELA, '"&amp;UPPER(C461)&amp;"' AS TIPOLOGIA_TESTE,'"&amp;D461&amp;"' AS TABELA_LT,'"&amp;E461&amp;"' AS TABELA_SIMUL,'"&amp;F461&amp;"' AS CAMPO, "&amp;"'${ref_date}' AS REF_DATE, COUNT(*) AS NUM_REG, SUM(IF((ABS(COALESCE(X."&amp;F461&amp;",0)-COALESCE(Y."&amp;F461&amp;"_SIMUL,0))&gt;0.0000000001) OR (X."&amp;F461&amp;" IS NULL AND Y."&amp;F461&amp;"_SIMUL IS NOT NULL ) OR (X."&amp;F461&amp;" IS NOT NULL AND Y."&amp;F461&amp;"_SIMUL IS NULL),1,0)) AS NUM_REG_DIF,'"&amp;MAX('ID1&amp;5'!K:K)+1&amp;"' AS ID_EXEC, CURRENT_TIMESTAMP() AS TIME_EXEC FROM "&amp;I461&amp;" INNER JOIN "&amp;J461&amp;" "&amp;K461,"SELECT '"&amp;UPPER(B461)&amp;"' AS TABELA, '"&amp;UPPER(C461)&amp;"' AS TIPOLOGIA_TESTE,'"&amp;D461&amp;"' AS TABELA_LT,'"&amp;E461&amp;"' AS TABELA_SIMUL,'"&amp;F461&amp;"' AS CAMPO, "&amp;"'${ref_date}' AS REF_DATE, COUNT(*) AS NUM_REG, SUM(IF(COALESCE(CAST(X."&amp;F461&amp;" AS STRING),'')&lt;&gt;COALESCE(CAST(Y."&amp;F461&amp;"_SIMUL AS STRING),''),1,0)) AS NUM_REG_DIF,'"&amp;MAX('ID1&amp;5'!L:L)+1&amp;"' AS ID_EXEC, CURRENT_TIMESTAMP() AS TIME_EXEC FROM "&amp;I461&amp;" INNER JOIN "&amp;J461&amp;" "&amp;K461),
IF(C461="Validade",+IF(G461="Code List","SELECT '"&amp;UPPER(B461)&amp;"' AS TABELA, '"&amp;UPPER(C461)&amp;"' AS TIPOLOGIA_TESTE,'"&amp;D461&amp;"' AS TABELA_LT,'N/A' AS TABELA_SIMUL,'"&amp;F461&amp;"' AS CAMPO, "&amp;"'${ref_date}' AS REF_DATE, COUNT(*) AS NUM_REG, SUM(IF(TRIM(CAST(X."&amp;F461&amp;" AS STRING))='' OR TRIM(CAST(X."&amp;F461&amp;" AS STRING)) IS NULL OR CAST(X."&amp;F461&amp;" AS STRING) NOT "&amp;H461&amp;",1,0)) AS NUM_REG_DIF,'"&amp;MAX('ID1&amp;5'!K:K)+1&amp;"' AS ID_EXEC, CURRENT_TIMESTAMP() AS TIME_EXEC FROM "&amp;I461,"SELECT '"&amp;UPPER(B461)&amp;"' AS TABELA, '"&amp;UPPER(C461)&amp;"' AS TIPOLOGIA_TESTE,'"&amp;D461&amp;"' AS TABELA_LT,'N/A' AS TABELA_SIMUL,'"&amp;F461&amp;"' AS CAMPO, "&amp;"'${ref_date}' AS REF_DATE, COUNT(*) AS NUM_REG, SUM(IF(TRIM(CAST(X."&amp;F461&amp;" AS STRING))='' OR TRIM(CAST(X."&amp;F461&amp;" AS STRING)) IS NULL,1,0)) AS NUM_REG_DIF,'"&amp;MAX('ID1&amp;5'!K:K)+1&amp;"' AS ID_EXEC, CURRENT_TIMESTAMP() AS TIME_EXEC FROM "&amp;I461),
IF(C461="Caracteres Especiais",+"SELECT '"&amp;UPPER(B461)&amp;"' AS TABELA, '"&amp;UPPER(C461)&amp;"' AS TIPOLOGIA_TESTE,'"&amp;D461&amp;"' AS TABELA_LT,'N/A' AS TABELA_SIMUL,'"&amp;F461&amp;"' AS CAMPO, "&amp;"'${ref_date}' AS REF_DATE, COUNT(*) AS NUM_REG, SUM(IF(INSTR(CAST(X."&amp;F461&amp;" AS STRING),'#')&gt;0 OR INSTR(CAST(X."&amp;F461&amp;" AS STRING),'*')&gt;0 OR INSTR(CAST(X."&amp;F461&amp;" AS STRING),'`')&gt;0 OR INSTR(CAST(X."&amp;F461&amp;" AS STRING),'´')&gt;0 OR INSTR(CAST(X."&amp;F461&amp;" AS STRING),'{')&gt;0 OR INSTR(CAST(X."&amp;F461&amp;" AS STRING),'}')&gt;0 OR INSTR(CAST(X."&amp;F461&amp;" AS STRING),'[')&gt;0 OR INSTR(CAST(X."&amp;F461&amp;" AS STRING),'')&gt;0 OR INSTR(CAST(X."&amp;F461&amp;" AS STRING),']')&gt;0 OR INSTR(CAST(X."&amp;F461&amp;" AS STRING),'?')&gt;0 OR INSTR(CAST(X."&amp;F461&amp;" AS STRING),'!')&gt;0 OR INSTR(CAST(X."&amp;F461&amp;" AS STRING),'$')&gt;0 OR INSTR(CAST(X."&amp;F461&amp;" AS STRING),'%')&gt;0 OR INSTR(CAST(X."&amp;F461&amp;" AS STRING),'&amp;')&gt;0 OR INSTR(CAST(X."&amp;F461&amp;" AS STRING),'+')&gt;0,1,0)) AS NUM_REG_DIF,'"&amp;MAX('ID1&amp;5'!K:K)+1&amp;"' AS ID_EXEC, CURRENT_TIMESTAMP() AS TIME_EXEC FROM "&amp;I461,
IF(C461="Missings",+"SELECT '"&amp;UPPER(B461)&amp;"' AS TABELA, '"&amp;UPPER(C461)&amp;"' AS TIPOLOGIA_TESTE,'"&amp;D461&amp;"' AS TABELA_LT,'N/A' AS TABELA_SIMUL,'"&amp;F461&amp;"' AS CAMPO, "&amp;"'${ref_date}' AS REF_DATE, COUNT(*) AS NUM_REG, SUM(IF(TRIM(CAST(X."&amp;F461&amp;" AS STRING)) IN ('0000-00-00','0001-01-01','9999-12-31','MISS','00000','99999999999','99999999999.00','99999999999.000000'),1,0)) AS NUM_REG_DIF,'"&amp;MAX('ID1&amp;5'!K:K)+1&amp;"' AS ID_EXEC, CURRENT_TIMESTAMP() AS TIME_EXEC FROM "&amp;I461,
IF(C461="Not applicable",+"SELECT '"&amp;UPPER(B461)&amp;"' AS TABELA, '"&amp;UPPER(C461)&amp;"' AS TIPOLOGIA_TESTE,'"&amp;D461&amp;"' AS TABELA_LT,'N/A' AS TABELA_SIMUL,'"&amp;F461&amp;"' AS CAMPO, "&amp;"'${ref_date}' AS REF_DATE, COUNT(*) AS NUM_REG, SUM(IF(TRIM(CAST(X."&amp;F461&amp;" AS STRING)) IN ('N/A','11111111111','11111111111.00','11111111111.000000','1111-11-11'),1,0)) AS NUM_REG_DIF,'"&amp;MAX('ID1&amp;5'!K:K)+1&amp;"' AS ID_EXEC, CURRENT_TIMESTAMP() AS TIME_EXEC FROM "&amp;I461,
IF(C461="Valores extremos",+"SELECT '"&amp;UPPER(B461)&amp;"' AS TABELA, '"&amp;UPPER(C461)&amp;"' AS TIPOLOGIA_TESTE,'"&amp;D461&amp;"' AS TABELA_LT,'N/A' AS TABELA_SIMUL,'"&amp;F461&amp;"' AS CAMPO, "&amp;"'${ref_date}' AS REF_DATE, CAST(MIN("&amp;F461&amp;") AS STRING) AS VALOR_MIN, CAST(MAX("&amp;F461&amp;") AS STRING) AS VALOR_MAX,'"&amp;MAX('ID1&amp;5'!K:K)+1&amp;"' AS ID_EXEC, CURRENT_TIMESTAMP() AS TIME_EXEC FROM "&amp;MID(I461,1,LEN(I461)-2)&amp;" AND CAST("&amp;F461&amp;"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TABELA_SIMUL,'RSK_MTGTD_CCP' AS CAMPO, '${ref_date}' AS REF_DATE, CAST(MIN(RSK_MTGTD_CCP) AS STRING) AS VALOR_MIN, CAST(MAX(RSK_MTGTD_CCP) AS STRING) AS VALOR_MAX,'10' AS ID_EXEC, CURRENT_TIMESTAMP() AS TIME_EXEC FROM (SELECT instrmnt_id, RSK_MTGTD_CCP FROM BU_LOANTAPE_WORK.LT002_INSTRUMENT WHERE ref_date='${ref_date}' AND nome_perimetro='Individual Corporativo' AND segmento='ESTR' AND ambito='PILAR3' AND CAST(RSK_MTGTD_CCP AS STRING) NOT IN ('0000-00-00','0001-01-01','9999-12-31','MISS','00000','99999999999','99999999999.00','99999999999.000000','N/A','11111111111','11111111111.00','11111111111.000000','1111-11-11'))X</v>
      </c>
      <c r="M461" s="43" t="str">
        <f t="shared" si="7"/>
        <v>UNION ALL SELECT 'INSTRUMENT' AS TABELA, 'VALORES EXTREMOS' AS TIPOLOGIA_TESTE,'BU_LOANTAPE_WORK.LT002_INSTRUMENT' AS TABELA_LT,'N/A' AS TABELA_SIMUL,'RSK_MTGTD_CCP' AS CAMPO, '${ref_date}' AS REF_DATE, CAST(MIN(RSK_MTGTD_CCP) AS STRING) AS VALOR_MIN, CAST(MAX(RSK_MTGTD_CCP) AS STRING) AS VALOR_MAX,'10' AS ID_EXEC, CURRENT_TIMESTAMP() AS TIME_EXEC FROM (SELECT instrmnt_id, RSK_MTGTD_CCP FROM BU_LOANTAPE_WORK.LT002_INSTRUMENT WHERE ref_date='${ref_date}' AND nome_perimetro='Individual Corporativo' AND segmento='ESTR' AND ambito='PILAR3' AND CAST(RSK_MTGTD_CCP AS STRING) NOT IN ('0000-00-00','0001-01-01','9999-12-31','MISS','00000','99999999999','99999999999.00','99999999999.000000','N/A','11111111111','11111111111.00','11111111111.000000','1111-11-11'))X</v>
      </c>
      <c r="N461" s="45" t="s">
        <v>13</v>
      </c>
    </row>
    <row r="462" spans="2:14">
      <c r="B462" s="41" t="s">
        <v>27</v>
      </c>
      <c r="C462" s="41" t="s">
        <v>226</v>
      </c>
      <c r="D462" s="41" t="str">
        <f>+UPPER('0. Instruções'!$D$33&amp;"."&amp;VLOOKUP(B462,'0. Instruções'!$C$27:$D$31,2,FALSE))</f>
        <v>BU_LOANTAPE_WORK.LT002_INSTRUMENT</v>
      </c>
      <c r="E462" s="41" t="str">
        <f>+UPPER('0. Instruções'!$D$34&amp;"."&amp;VLOOKUP(B462,'0. Instruções'!$C$27:$E$31,3,FALSE))</f>
        <v>BU_LOANTAPE_WORK.LT002_INSTRUMENT_P3_NOV24</v>
      </c>
      <c r="F462" s="41" t="s">
        <v>152</v>
      </c>
      <c r="G462" s="41" t="s">
        <v>209</v>
      </c>
      <c r="H462" s="41"/>
      <c r="I462" s="41" t="str">
        <f>"(SELECT "&amp;VLOOKUP(B462,'0. Instruções'!$C$27:$G$31,4,FALSE)&amp;", "&amp;F462&amp;" FROM "&amp;D462&amp;" WHERE "&amp;'0. Instruções'!$D$40&amp;")X"</f>
        <v>(SELECT instrmnt_id, MTHD_USD_INSTRMNT_SCP_1 FROM BU_LOANTAPE_WORK.LT002_INSTRUMENT WHERE ref_date='${ref_date}' AND nome_perimetro='Individual Corporativo' AND segmento='ESTR' AND ambito='PILAR3')X</v>
      </c>
      <c r="J462" s="41" t="str">
        <f>"(SELECT "&amp;VLOOKUP(B462,'0. Instruções'!$C$27:$G$31,4,FALSE)&amp;" AS "&amp;VLOOKUP(B462,'0. Instruções'!$C$27:$G$31,4,FALSE)&amp;"_SIMUL, "&amp;F462&amp;" AS "&amp;F462&amp;"_SIMUL FROM "&amp;E462&amp;")Y"</f>
        <v>(SELECT instrmnt_id AS instrmnt_id_SIMUL, MTHD_USD_INSTRMNT_SCP_1 AS MTHD_USD_INSTRMNT_SCP_1_SIMUL FROM BU_LOANTAPE_WORK.LT002_INSTRUMENT_P3_NOV24)Y</v>
      </c>
      <c r="K462" s="42" t="str">
        <f>+UPPER("ON X."&amp;VLOOKUP(B462,'0. Instruções'!$C$27:$G$31,4,FALSE)&amp;"=Y."&amp;VLOOKUP(B462,'0. Instruções'!$C$27:$G$31,4,FALSE)&amp;"_SIMUL")</f>
        <v>ON X.INSTRMNT_ID=Y.INSTRMNT_ID_SIMUL</v>
      </c>
      <c r="L462" s="42" t="str">
        <f>+IF(C462="Coerência", +IF(LEFT(G462,5)="FLOAT","SELECT '"&amp;UPPER(B462)&amp;"' AS TABELA, '"&amp;UPPER(C462)&amp;"' AS TIPOLOGIA_TESTE,'"&amp;D462&amp;"' AS TABELA_LT,'"&amp;E462&amp;"' AS TABELA_SIMUL,'"&amp;F462&amp;"' AS CAMPO, "&amp;"'${ref_date}' AS REF_DATE, COUNT(*) AS NUM_REG, SUM(IF((ABS(COALESCE(X."&amp;F462&amp;",0)-COALESCE(Y."&amp;F462&amp;"_SIMUL,0))&gt;0.0000000001) OR (X."&amp;F462&amp;" IS NULL AND Y."&amp;F462&amp;"_SIMUL IS NOT NULL ) OR (X."&amp;F462&amp;" IS NOT NULL AND Y."&amp;F462&amp;"_SIMUL IS NULL),1,0)) AS NUM_REG_DIF,'"&amp;MAX('ID1&amp;5'!K:K)+1&amp;"' AS ID_EXEC, CURRENT_TIMESTAMP() AS TIME_EXEC FROM "&amp;I462&amp;" INNER JOIN "&amp;J462&amp;" "&amp;K462,"SELECT '"&amp;UPPER(B462)&amp;"' AS TABELA, '"&amp;UPPER(C462)&amp;"' AS TIPOLOGIA_TESTE,'"&amp;D462&amp;"' AS TABELA_LT,'"&amp;E462&amp;"' AS TABELA_SIMUL,'"&amp;F462&amp;"' AS CAMPO, "&amp;"'${ref_date}' AS REF_DATE, COUNT(*) AS NUM_REG, SUM(IF(COALESCE(CAST(X."&amp;F462&amp;" AS STRING),'')&lt;&gt;COALESCE(CAST(Y."&amp;F462&amp;"_SIMUL AS STRING),''),1,0)) AS NUM_REG_DIF,'"&amp;MAX('ID1&amp;5'!L:L)+1&amp;"' AS ID_EXEC, CURRENT_TIMESTAMP() AS TIME_EXEC FROM "&amp;I462&amp;" INNER JOIN "&amp;J462&amp;" "&amp;K462),
IF(C462="Validade",+IF(G462="Code List","SELECT '"&amp;UPPER(B462)&amp;"' AS TABELA, '"&amp;UPPER(C462)&amp;"' AS TIPOLOGIA_TESTE,'"&amp;D462&amp;"' AS TABELA_LT,'N/A' AS TABELA_SIMUL,'"&amp;F462&amp;"' AS CAMPO, "&amp;"'${ref_date}' AS REF_DATE, COUNT(*) AS NUM_REG, SUM(IF(TRIM(CAST(X."&amp;F462&amp;" AS STRING))='' OR TRIM(CAST(X."&amp;F462&amp;" AS STRING)) IS NULL OR CAST(X."&amp;F462&amp;" AS STRING) NOT "&amp;H462&amp;",1,0)) AS NUM_REG_DIF,'"&amp;MAX('ID1&amp;5'!K:K)+1&amp;"' AS ID_EXEC, CURRENT_TIMESTAMP() AS TIME_EXEC FROM "&amp;I462,"SELECT '"&amp;UPPER(B462)&amp;"' AS TABELA, '"&amp;UPPER(C462)&amp;"' AS TIPOLOGIA_TESTE,'"&amp;D462&amp;"' AS TABELA_LT,'N/A' AS TABELA_SIMUL,'"&amp;F462&amp;"' AS CAMPO, "&amp;"'${ref_date}' AS REF_DATE, COUNT(*) AS NUM_REG, SUM(IF(TRIM(CAST(X."&amp;F462&amp;" AS STRING))='' OR TRIM(CAST(X."&amp;F462&amp;" AS STRING)) IS NULL,1,0)) AS NUM_REG_DIF,'"&amp;MAX('ID1&amp;5'!K:K)+1&amp;"' AS ID_EXEC, CURRENT_TIMESTAMP() AS TIME_EXEC FROM "&amp;I462),
IF(C462="Caracteres Especiais",+"SELECT '"&amp;UPPER(B462)&amp;"' AS TABELA, '"&amp;UPPER(C462)&amp;"' AS TIPOLOGIA_TESTE,'"&amp;D462&amp;"' AS TABELA_LT,'N/A' AS TABELA_SIMUL,'"&amp;F462&amp;"' AS CAMPO, "&amp;"'${ref_date}' AS REF_DATE, COUNT(*) AS NUM_REG, SUM(IF(INSTR(CAST(X."&amp;F462&amp;" AS STRING),'#')&gt;0 OR INSTR(CAST(X."&amp;F462&amp;" AS STRING),'*')&gt;0 OR INSTR(CAST(X."&amp;F462&amp;" AS STRING),'`')&gt;0 OR INSTR(CAST(X."&amp;F462&amp;" AS STRING),'´')&gt;0 OR INSTR(CAST(X."&amp;F462&amp;" AS STRING),'{')&gt;0 OR INSTR(CAST(X."&amp;F462&amp;" AS STRING),'}')&gt;0 OR INSTR(CAST(X."&amp;F462&amp;" AS STRING),'[')&gt;0 OR INSTR(CAST(X."&amp;F462&amp;" AS STRING),'')&gt;0 OR INSTR(CAST(X."&amp;F462&amp;" AS STRING),']')&gt;0 OR INSTR(CAST(X."&amp;F462&amp;" AS STRING),'?')&gt;0 OR INSTR(CAST(X."&amp;F462&amp;" AS STRING),'!')&gt;0 OR INSTR(CAST(X."&amp;F462&amp;" AS STRING),'$')&gt;0 OR INSTR(CAST(X."&amp;F462&amp;" AS STRING),'%')&gt;0 OR INSTR(CAST(X."&amp;F462&amp;" AS STRING),'&amp;')&gt;0 OR INSTR(CAST(X."&amp;F462&amp;" AS STRING),'+')&gt;0,1,0)) AS NUM_REG_DIF,'"&amp;MAX('ID1&amp;5'!K:K)+1&amp;"' AS ID_EXEC, CURRENT_TIMESTAMP() AS TIME_EXEC FROM "&amp;I462,
IF(C462="Missings",+"SELECT '"&amp;UPPER(B462)&amp;"' AS TABELA, '"&amp;UPPER(C462)&amp;"' AS TIPOLOGIA_TESTE,'"&amp;D462&amp;"' AS TABELA_LT,'N/A' AS TABELA_SIMUL,'"&amp;F462&amp;"' AS CAMPO, "&amp;"'${ref_date}' AS REF_DATE, COUNT(*) AS NUM_REG, SUM(IF(TRIM(CAST(X."&amp;F462&amp;" AS STRING)) IN ('0000-00-00','0001-01-01','9999-12-31','MISS','00000','99999999999','99999999999.00','99999999999.000000'),1,0)) AS NUM_REG_DIF,'"&amp;MAX('ID1&amp;5'!K:K)+1&amp;"' AS ID_EXEC, CURRENT_TIMESTAMP() AS TIME_EXEC FROM "&amp;I462,
IF(C462="Not applicable",+"SELECT '"&amp;UPPER(B462)&amp;"' AS TABELA, '"&amp;UPPER(C462)&amp;"' AS TIPOLOGIA_TESTE,'"&amp;D462&amp;"' AS TABELA_LT,'N/A' AS TABELA_SIMUL,'"&amp;F462&amp;"' AS CAMPO, "&amp;"'${ref_date}' AS REF_DATE, COUNT(*) AS NUM_REG, SUM(IF(TRIM(CAST(X."&amp;F462&amp;" AS STRING)) IN ('N/A','11111111111','11111111111.00','11111111111.000000','1111-11-11'),1,0)) AS NUM_REG_DIF,'"&amp;MAX('ID1&amp;5'!K:K)+1&amp;"' AS ID_EXEC, CURRENT_TIMESTAMP() AS TIME_EXEC FROM "&amp;I462,
IF(C462="Valores extremos",+"SELECT '"&amp;UPPER(B462)&amp;"' AS TABELA, '"&amp;UPPER(C462)&amp;"' AS TIPOLOGIA_TESTE,'"&amp;D462&amp;"' AS TABELA_LT,'N/A' AS TABELA_SIMUL,'"&amp;F462&amp;"' AS CAMPO, "&amp;"'${ref_date}' AS REF_DATE, CAST(MIN("&amp;F462&amp;") AS STRING) AS VALOR_MIN, CAST(MAX("&amp;F462&amp;") AS STRING) AS VALOR_MAX,'"&amp;MAX('ID1&amp;5'!K:K)+1&amp;"' AS ID_EXEC, CURRENT_TIMESTAMP() AS TIME_EXEC FROM "&amp;MID(I462,1,LEN(I462)-2)&amp;" AND CAST("&amp;F462&amp;"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TABELA_SIMUL,'MTHD_USD_INSTRMNT_SCP_1' AS CAMPO, '${ref_date}' AS REF_DATE, CAST(MIN(MTHD_USD_INSTRMNT_SCP_1) AS STRING) AS VALOR_MIN, CAST(MAX(MTHD_USD_INSTRMNT_SCP_1) AS STRING) AS VALOR_MAX,'10' AS ID_EXEC, CURRENT_TIMESTAMP() AS TIME_EXEC FROM (SELECT instrmnt_id, MTHD_USD_INSTRMNT_SCP_1 FROM BU_LOANTAPE_WORK.LT002_INSTRUMENT WHERE ref_date='${ref_date}' AND nome_perimetro='Individual Corporativo' AND segmento='ESTR' AND ambito='PILAR3' AND CAST(MTHD_USD_INSTRMNT_SCP_1 AS STRING) NOT IN ('0000-00-00','0001-01-01','9999-12-31','MISS','00000','99999999999','99999999999.00','99999999999.000000','N/A','11111111111','11111111111.00','11111111111.000000','1111-11-11'))X</v>
      </c>
      <c r="M462" s="43" t="str">
        <f t="shared" si="7"/>
        <v>UNION ALL SELECT 'INSTRUMENT' AS TABELA, 'VALORES EXTREMOS' AS TIPOLOGIA_TESTE,'BU_LOANTAPE_WORK.LT002_INSTRUMENT' AS TABELA_LT,'N/A' AS TABELA_SIMUL,'MTHD_USD_INSTRMNT_SCP_1' AS CAMPO, '${ref_date}' AS REF_DATE, CAST(MIN(MTHD_USD_INSTRMNT_SCP_1) AS STRING) AS VALOR_MIN, CAST(MAX(MTHD_USD_INSTRMNT_SCP_1) AS STRING) AS VALOR_MAX,'10' AS ID_EXEC, CURRENT_TIMESTAMP() AS TIME_EXEC FROM (SELECT instrmnt_id, MTHD_USD_INSTRMNT_SCP_1 FROM BU_LOANTAPE_WORK.LT002_INSTRUMENT WHERE ref_date='${ref_date}' AND nome_perimetro='Individual Corporativo' AND segmento='ESTR' AND ambito='PILAR3' AND CAST(MTHD_USD_INSTRMNT_SCP_1 AS STRING) NOT IN ('0000-00-00','0001-01-01','9999-12-31','MISS','00000','99999999999','99999999999.00','99999999999.000000','N/A','11111111111','11111111111.00','11111111111.000000','1111-11-11'))X</v>
      </c>
      <c r="N462" s="45" t="s">
        <v>13</v>
      </c>
    </row>
    <row r="463" spans="2:14">
      <c r="B463" s="41" t="s">
        <v>27</v>
      </c>
      <c r="C463" s="41" t="s">
        <v>226</v>
      </c>
      <c r="D463" s="41" t="str">
        <f>+UPPER('0. Instruções'!$D$33&amp;"."&amp;VLOOKUP(B463,'0. Instruções'!$C$27:$D$31,2,FALSE))</f>
        <v>BU_LOANTAPE_WORK.LT002_INSTRUMENT</v>
      </c>
      <c r="E463" s="41" t="str">
        <f>+UPPER('0. Instruções'!$D$34&amp;"."&amp;VLOOKUP(B463,'0. Instruções'!$C$27:$E$31,3,FALSE))</f>
        <v>BU_LOANTAPE_WORK.LT002_INSTRUMENT_P3_NOV24</v>
      </c>
      <c r="F463" s="41" t="s">
        <v>153</v>
      </c>
      <c r="G463" s="41" t="s">
        <v>209</v>
      </c>
      <c r="H463" s="41"/>
      <c r="I463" s="41" t="str">
        <f>"(SELECT "&amp;VLOOKUP(B463,'0. Instruções'!$C$27:$G$31,4,FALSE)&amp;", "&amp;F463&amp;" FROM "&amp;D463&amp;" WHERE "&amp;'0. Instruções'!$D$40&amp;")X"</f>
        <v>(SELECT instrmnt_id, MTHD_USD_INSTRMNT_SCP_2 FROM BU_LOANTAPE_WORK.LT002_INSTRUMENT WHERE ref_date='${ref_date}' AND nome_perimetro='Individual Corporativo' AND segmento='ESTR' AND ambito='PILAR3')X</v>
      </c>
      <c r="J463" s="41" t="str">
        <f>"(SELECT "&amp;VLOOKUP(B463,'0. Instruções'!$C$27:$G$31,4,FALSE)&amp;" AS "&amp;VLOOKUP(B463,'0. Instruções'!$C$27:$G$31,4,FALSE)&amp;"_SIMUL, "&amp;F463&amp;" AS "&amp;F463&amp;"_SIMUL FROM "&amp;E463&amp;")Y"</f>
        <v>(SELECT instrmnt_id AS instrmnt_id_SIMUL, MTHD_USD_INSTRMNT_SCP_2 AS MTHD_USD_INSTRMNT_SCP_2_SIMUL FROM BU_LOANTAPE_WORK.LT002_INSTRUMENT_P3_NOV24)Y</v>
      </c>
      <c r="K463" s="42" t="str">
        <f>+UPPER("ON X."&amp;VLOOKUP(B463,'0. Instruções'!$C$27:$G$31,4,FALSE)&amp;"=Y."&amp;VLOOKUP(B463,'0. Instruções'!$C$27:$G$31,4,FALSE)&amp;"_SIMUL")</f>
        <v>ON X.INSTRMNT_ID=Y.INSTRMNT_ID_SIMUL</v>
      </c>
      <c r="L463" s="42" t="str">
        <f>+IF(C463="Coerência", +IF(LEFT(G463,5)="FLOAT","SELECT '"&amp;UPPER(B463)&amp;"' AS TABELA, '"&amp;UPPER(C463)&amp;"' AS TIPOLOGIA_TESTE,'"&amp;D463&amp;"' AS TABELA_LT,'"&amp;E463&amp;"' AS TABELA_SIMUL,'"&amp;F463&amp;"' AS CAMPO, "&amp;"'${ref_date}' AS REF_DATE, COUNT(*) AS NUM_REG, SUM(IF((ABS(COALESCE(X."&amp;F463&amp;",0)-COALESCE(Y."&amp;F463&amp;"_SIMUL,0))&gt;0.0000000001) OR (X."&amp;F463&amp;" IS NULL AND Y."&amp;F463&amp;"_SIMUL IS NOT NULL ) OR (X."&amp;F463&amp;" IS NOT NULL AND Y."&amp;F463&amp;"_SIMUL IS NULL),1,0)) AS NUM_REG_DIF,'"&amp;MAX('ID1&amp;5'!K:K)+1&amp;"' AS ID_EXEC, CURRENT_TIMESTAMP() AS TIME_EXEC FROM "&amp;I463&amp;" INNER JOIN "&amp;J463&amp;" "&amp;K463,"SELECT '"&amp;UPPER(B463)&amp;"' AS TABELA, '"&amp;UPPER(C463)&amp;"' AS TIPOLOGIA_TESTE,'"&amp;D463&amp;"' AS TABELA_LT,'"&amp;E463&amp;"' AS TABELA_SIMUL,'"&amp;F463&amp;"' AS CAMPO, "&amp;"'${ref_date}' AS REF_DATE, COUNT(*) AS NUM_REG, SUM(IF(COALESCE(CAST(X."&amp;F463&amp;" AS STRING),'')&lt;&gt;COALESCE(CAST(Y."&amp;F463&amp;"_SIMUL AS STRING),''),1,0)) AS NUM_REG_DIF,'"&amp;MAX('ID1&amp;5'!L:L)+1&amp;"' AS ID_EXEC, CURRENT_TIMESTAMP() AS TIME_EXEC FROM "&amp;I463&amp;" INNER JOIN "&amp;J463&amp;" "&amp;K463),
IF(C463="Validade",+IF(G463="Code List","SELECT '"&amp;UPPER(B463)&amp;"' AS TABELA, '"&amp;UPPER(C463)&amp;"' AS TIPOLOGIA_TESTE,'"&amp;D463&amp;"' AS TABELA_LT,'N/A' AS TABELA_SIMUL,'"&amp;F463&amp;"' AS CAMPO, "&amp;"'${ref_date}' AS REF_DATE, COUNT(*) AS NUM_REG, SUM(IF(TRIM(CAST(X."&amp;F463&amp;" AS STRING))='' OR TRIM(CAST(X."&amp;F463&amp;" AS STRING)) IS NULL OR CAST(X."&amp;F463&amp;" AS STRING) NOT "&amp;H463&amp;",1,0)) AS NUM_REG_DIF,'"&amp;MAX('ID1&amp;5'!K:K)+1&amp;"' AS ID_EXEC, CURRENT_TIMESTAMP() AS TIME_EXEC FROM "&amp;I463,"SELECT '"&amp;UPPER(B463)&amp;"' AS TABELA, '"&amp;UPPER(C463)&amp;"' AS TIPOLOGIA_TESTE,'"&amp;D463&amp;"' AS TABELA_LT,'N/A' AS TABELA_SIMUL,'"&amp;F463&amp;"' AS CAMPO, "&amp;"'${ref_date}' AS REF_DATE, COUNT(*) AS NUM_REG, SUM(IF(TRIM(CAST(X."&amp;F463&amp;" AS STRING))='' OR TRIM(CAST(X."&amp;F463&amp;" AS STRING)) IS NULL,1,0)) AS NUM_REG_DIF,'"&amp;MAX('ID1&amp;5'!K:K)+1&amp;"' AS ID_EXEC, CURRENT_TIMESTAMP() AS TIME_EXEC FROM "&amp;I463),
IF(C463="Caracteres Especiais",+"SELECT '"&amp;UPPER(B463)&amp;"' AS TABELA, '"&amp;UPPER(C463)&amp;"' AS TIPOLOGIA_TESTE,'"&amp;D463&amp;"' AS TABELA_LT,'N/A' AS TABELA_SIMUL,'"&amp;F463&amp;"' AS CAMPO, "&amp;"'${ref_date}' AS REF_DATE, COUNT(*) AS NUM_REG, SUM(IF(INSTR(CAST(X."&amp;F463&amp;" AS STRING),'#')&gt;0 OR INSTR(CAST(X."&amp;F463&amp;" AS STRING),'*')&gt;0 OR INSTR(CAST(X."&amp;F463&amp;" AS STRING),'`')&gt;0 OR INSTR(CAST(X."&amp;F463&amp;" AS STRING),'´')&gt;0 OR INSTR(CAST(X."&amp;F463&amp;" AS STRING),'{')&gt;0 OR INSTR(CAST(X."&amp;F463&amp;" AS STRING),'}')&gt;0 OR INSTR(CAST(X."&amp;F463&amp;" AS STRING),'[')&gt;0 OR INSTR(CAST(X."&amp;F463&amp;" AS STRING),'')&gt;0 OR INSTR(CAST(X."&amp;F463&amp;" AS STRING),']')&gt;0 OR INSTR(CAST(X."&amp;F463&amp;" AS STRING),'?')&gt;0 OR INSTR(CAST(X."&amp;F463&amp;" AS STRING),'!')&gt;0 OR INSTR(CAST(X."&amp;F463&amp;" AS STRING),'$')&gt;0 OR INSTR(CAST(X."&amp;F463&amp;" AS STRING),'%')&gt;0 OR INSTR(CAST(X."&amp;F463&amp;" AS STRING),'&amp;')&gt;0 OR INSTR(CAST(X."&amp;F463&amp;" AS STRING),'+')&gt;0,1,0)) AS NUM_REG_DIF,'"&amp;MAX('ID1&amp;5'!K:K)+1&amp;"' AS ID_EXEC, CURRENT_TIMESTAMP() AS TIME_EXEC FROM "&amp;I463,
IF(C463="Missings",+"SELECT '"&amp;UPPER(B463)&amp;"' AS TABELA, '"&amp;UPPER(C463)&amp;"' AS TIPOLOGIA_TESTE,'"&amp;D463&amp;"' AS TABELA_LT,'N/A' AS TABELA_SIMUL,'"&amp;F463&amp;"' AS CAMPO, "&amp;"'${ref_date}' AS REF_DATE, COUNT(*) AS NUM_REG, SUM(IF(TRIM(CAST(X."&amp;F463&amp;" AS STRING)) IN ('0000-00-00','0001-01-01','9999-12-31','MISS','00000','99999999999','99999999999.00','99999999999.000000'),1,0)) AS NUM_REG_DIF,'"&amp;MAX('ID1&amp;5'!K:K)+1&amp;"' AS ID_EXEC, CURRENT_TIMESTAMP() AS TIME_EXEC FROM "&amp;I463,
IF(C463="Not applicable",+"SELECT '"&amp;UPPER(B463)&amp;"' AS TABELA, '"&amp;UPPER(C463)&amp;"' AS TIPOLOGIA_TESTE,'"&amp;D463&amp;"' AS TABELA_LT,'N/A' AS TABELA_SIMUL,'"&amp;F463&amp;"' AS CAMPO, "&amp;"'${ref_date}' AS REF_DATE, COUNT(*) AS NUM_REG, SUM(IF(TRIM(CAST(X."&amp;F463&amp;" AS STRING)) IN ('N/A','11111111111','11111111111.00','11111111111.000000','1111-11-11'),1,0)) AS NUM_REG_DIF,'"&amp;MAX('ID1&amp;5'!K:K)+1&amp;"' AS ID_EXEC, CURRENT_TIMESTAMP() AS TIME_EXEC FROM "&amp;I463,
IF(C463="Valores extremos",+"SELECT '"&amp;UPPER(B463)&amp;"' AS TABELA, '"&amp;UPPER(C463)&amp;"' AS TIPOLOGIA_TESTE,'"&amp;D463&amp;"' AS TABELA_LT,'N/A' AS TABELA_SIMUL,'"&amp;F463&amp;"' AS CAMPO, "&amp;"'${ref_date}' AS REF_DATE, CAST(MIN("&amp;F463&amp;") AS STRING) AS VALOR_MIN, CAST(MAX("&amp;F463&amp;") AS STRING) AS VALOR_MAX,'"&amp;MAX('ID1&amp;5'!K:K)+1&amp;"' AS ID_EXEC, CURRENT_TIMESTAMP() AS TIME_EXEC FROM "&amp;MID(I463,1,LEN(I463)-2)&amp;" AND CAST("&amp;F463&amp;"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TABELA_SIMUL,'MTHD_USD_INSTRMNT_SCP_2' AS CAMPO, '${ref_date}' AS REF_DATE, CAST(MIN(MTHD_USD_INSTRMNT_SCP_2) AS STRING) AS VALOR_MIN, CAST(MAX(MTHD_USD_INSTRMNT_SCP_2) AS STRING) AS VALOR_MAX,'10' AS ID_EXEC, CURRENT_TIMESTAMP() AS TIME_EXEC FROM (SELECT instrmnt_id, MTHD_USD_INSTRMNT_SCP_2 FROM BU_LOANTAPE_WORK.LT002_INSTRUMENT WHERE ref_date='${ref_date}' AND nome_perimetro='Individual Corporativo' AND segmento='ESTR' AND ambito='PILAR3' AND CAST(MTHD_USD_INSTRMNT_SCP_2 AS STRING) NOT IN ('0000-00-00','0001-01-01','9999-12-31','MISS','00000','99999999999','99999999999.00','99999999999.000000','N/A','11111111111','11111111111.00','11111111111.000000','1111-11-11'))X</v>
      </c>
      <c r="M463" s="43" t="str">
        <f t="shared" si="7"/>
        <v>UNION ALL SELECT 'INSTRUMENT' AS TABELA, 'VALORES EXTREMOS' AS TIPOLOGIA_TESTE,'BU_LOANTAPE_WORK.LT002_INSTRUMENT' AS TABELA_LT,'N/A' AS TABELA_SIMUL,'MTHD_USD_INSTRMNT_SCP_2' AS CAMPO, '${ref_date}' AS REF_DATE, CAST(MIN(MTHD_USD_INSTRMNT_SCP_2) AS STRING) AS VALOR_MIN, CAST(MAX(MTHD_USD_INSTRMNT_SCP_2) AS STRING) AS VALOR_MAX,'10' AS ID_EXEC, CURRENT_TIMESTAMP() AS TIME_EXEC FROM (SELECT instrmnt_id, MTHD_USD_INSTRMNT_SCP_2 FROM BU_LOANTAPE_WORK.LT002_INSTRUMENT WHERE ref_date='${ref_date}' AND nome_perimetro='Individual Corporativo' AND segmento='ESTR' AND ambito='PILAR3' AND CAST(MTHD_USD_INSTRMNT_SCP_2 AS STRING) NOT IN ('0000-00-00','0001-01-01','9999-12-31','MISS','00000','99999999999','99999999999.00','99999999999.000000','N/A','11111111111','11111111111.00','11111111111.000000','1111-11-11'))X</v>
      </c>
      <c r="N463" s="45" t="s">
        <v>13</v>
      </c>
    </row>
    <row r="464" spans="2:14">
      <c r="B464" s="41" t="s">
        <v>27</v>
      </c>
      <c r="C464" s="41" t="s">
        <v>226</v>
      </c>
      <c r="D464" s="41" t="str">
        <f>+UPPER('0. Instruções'!$D$33&amp;"."&amp;VLOOKUP(B464,'0. Instruções'!$C$27:$D$31,2,FALSE))</f>
        <v>BU_LOANTAPE_WORK.LT002_INSTRUMENT</v>
      </c>
      <c r="E464" s="41" t="str">
        <f>+UPPER('0. Instruções'!$D$34&amp;"."&amp;VLOOKUP(B464,'0. Instruções'!$C$27:$E$31,3,FALSE))</f>
        <v>BU_LOANTAPE_WORK.LT002_INSTRUMENT_P3_NOV24</v>
      </c>
      <c r="F464" s="41" t="s">
        <v>154</v>
      </c>
      <c r="G464" s="41" t="s">
        <v>209</v>
      </c>
      <c r="H464" s="41"/>
      <c r="I464" s="41" t="str">
        <f>"(SELECT "&amp;VLOOKUP(B464,'0. Instruções'!$C$27:$G$31,4,FALSE)&amp;", "&amp;F464&amp;" FROM "&amp;D464&amp;" WHERE "&amp;'0. Instruções'!$D$40&amp;")X"</f>
        <v>(SELECT instrmnt_id, MTHD_USD_INSTRMNT_SCP_3 FROM BU_LOANTAPE_WORK.LT002_INSTRUMENT WHERE ref_date='${ref_date}' AND nome_perimetro='Individual Corporativo' AND segmento='ESTR' AND ambito='PILAR3')X</v>
      </c>
      <c r="J464" s="41" t="str">
        <f>"(SELECT "&amp;VLOOKUP(B464,'0. Instruções'!$C$27:$G$31,4,FALSE)&amp;" AS "&amp;VLOOKUP(B464,'0. Instruções'!$C$27:$G$31,4,FALSE)&amp;"_SIMUL, "&amp;F464&amp;" AS "&amp;F464&amp;"_SIMUL FROM "&amp;E464&amp;")Y"</f>
        <v>(SELECT instrmnt_id AS instrmnt_id_SIMUL, MTHD_USD_INSTRMNT_SCP_3 AS MTHD_USD_INSTRMNT_SCP_3_SIMUL FROM BU_LOANTAPE_WORK.LT002_INSTRUMENT_P3_NOV24)Y</v>
      </c>
      <c r="K464" s="42" t="str">
        <f>+UPPER("ON X."&amp;VLOOKUP(B464,'0. Instruções'!$C$27:$G$31,4,FALSE)&amp;"=Y."&amp;VLOOKUP(B464,'0. Instruções'!$C$27:$G$31,4,FALSE)&amp;"_SIMUL")</f>
        <v>ON X.INSTRMNT_ID=Y.INSTRMNT_ID_SIMUL</v>
      </c>
      <c r="L464" s="42" t="str">
        <f>+IF(C464="Coerência", +IF(LEFT(G464,5)="FLOAT","SELECT '"&amp;UPPER(B464)&amp;"' AS TABELA, '"&amp;UPPER(C464)&amp;"' AS TIPOLOGIA_TESTE,'"&amp;D464&amp;"' AS TABELA_LT,'"&amp;E464&amp;"' AS TABELA_SIMUL,'"&amp;F464&amp;"' AS CAMPO, "&amp;"'${ref_date}' AS REF_DATE, COUNT(*) AS NUM_REG, SUM(IF((ABS(COALESCE(X."&amp;F464&amp;",0)-COALESCE(Y."&amp;F464&amp;"_SIMUL,0))&gt;0.0000000001) OR (X."&amp;F464&amp;" IS NULL AND Y."&amp;F464&amp;"_SIMUL IS NOT NULL ) OR (X."&amp;F464&amp;" IS NOT NULL AND Y."&amp;F464&amp;"_SIMUL IS NULL),1,0)) AS NUM_REG_DIF,'"&amp;MAX('ID1&amp;5'!K:K)+1&amp;"' AS ID_EXEC, CURRENT_TIMESTAMP() AS TIME_EXEC FROM "&amp;I464&amp;" INNER JOIN "&amp;J464&amp;" "&amp;K464,"SELECT '"&amp;UPPER(B464)&amp;"' AS TABELA, '"&amp;UPPER(C464)&amp;"' AS TIPOLOGIA_TESTE,'"&amp;D464&amp;"' AS TABELA_LT,'"&amp;E464&amp;"' AS TABELA_SIMUL,'"&amp;F464&amp;"' AS CAMPO, "&amp;"'${ref_date}' AS REF_DATE, COUNT(*) AS NUM_REG, SUM(IF(COALESCE(CAST(X."&amp;F464&amp;" AS STRING),'')&lt;&gt;COALESCE(CAST(Y."&amp;F464&amp;"_SIMUL AS STRING),''),1,0)) AS NUM_REG_DIF,'"&amp;MAX('ID1&amp;5'!L:L)+1&amp;"' AS ID_EXEC, CURRENT_TIMESTAMP() AS TIME_EXEC FROM "&amp;I464&amp;" INNER JOIN "&amp;J464&amp;" "&amp;K464),
IF(C464="Validade",+IF(G464="Code List","SELECT '"&amp;UPPER(B464)&amp;"' AS TABELA, '"&amp;UPPER(C464)&amp;"' AS TIPOLOGIA_TESTE,'"&amp;D464&amp;"' AS TABELA_LT,'N/A' AS TABELA_SIMUL,'"&amp;F464&amp;"' AS CAMPO, "&amp;"'${ref_date}' AS REF_DATE, COUNT(*) AS NUM_REG, SUM(IF(TRIM(CAST(X."&amp;F464&amp;" AS STRING))='' OR TRIM(CAST(X."&amp;F464&amp;" AS STRING)) IS NULL OR CAST(X."&amp;F464&amp;" AS STRING) NOT "&amp;H464&amp;",1,0)) AS NUM_REG_DIF,'"&amp;MAX('ID1&amp;5'!K:K)+1&amp;"' AS ID_EXEC, CURRENT_TIMESTAMP() AS TIME_EXEC FROM "&amp;I464,"SELECT '"&amp;UPPER(B464)&amp;"' AS TABELA, '"&amp;UPPER(C464)&amp;"' AS TIPOLOGIA_TESTE,'"&amp;D464&amp;"' AS TABELA_LT,'N/A' AS TABELA_SIMUL,'"&amp;F464&amp;"' AS CAMPO, "&amp;"'${ref_date}' AS REF_DATE, COUNT(*) AS NUM_REG, SUM(IF(TRIM(CAST(X."&amp;F464&amp;" AS STRING))='' OR TRIM(CAST(X."&amp;F464&amp;" AS STRING)) IS NULL,1,0)) AS NUM_REG_DIF,'"&amp;MAX('ID1&amp;5'!K:K)+1&amp;"' AS ID_EXEC, CURRENT_TIMESTAMP() AS TIME_EXEC FROM "&amp;I464),
IF(C464="Caracteres Especiais",+"SELECT '"&amp;UPPER(B464)&amp;"' AS TABELA, '"&amp;UPPER(C464)&amp;"' AS TIPOLOGIA_TESTE,'"&amp;D464&amp;"' AS TABELA_LT,'N/A' AS TABELA_SIMUL,'"&amp;F464&amp;"' AS CAMPO, "&amp;"'${ref_date}' AS REF_DATE, COUNT(*) AS NUM_REG, SUM(IF(INSTR(CAST(X."&amp;F464&amp;" AS STRING),'#')&gt;0 OR INSTR(CAST(X."&amp;F464&amp;" AS STRING),'*')&gt;0 OR INSTR(CAST(X."&amp;F464&amp;" AS STRING),'`')&gt;0 OR INSTR(CAST(X."&amp;F464&amp;" AS STRING),'´')&gt;0 OR INSTR(CAST(X."&amp;F464&amp;" AS STRING),'{')&gt;0 OR INSTR(CAST(X."&amp;F464&amp;" AS STRING),'}')&gt;0 OR INSTR(CAST(X."&amp;F464&amp;" AS STRING),'[')&gt;0 OR INSTR(CAST(X."&amp;F464&amp;" AS STRING),'')&gt;0 OR INSTR(CAST(X."&amp;F464&amp;" AS STRING),']')&gt;0 OR INSTR(CAST(X."&amp;F464&amp;" AS STRING),'?')&gt;0 OR INSTR(CAST(X."&amp;F464&amp;" AS STRING),'!')&gt;0 OR INSTR(CAST(X."&amp;F464&amp;" AS STRING),'$')&gt;0 OR INSTR(CAST(X."&amp;F464&amp;" AS STRING),'%')&gt;0 OR INSTR(CAST(X."&amp;F464&amp;" AS STRING),'&amp;')&gt;0 OR INSTR(CAST(X."&amp;F464&amp;" AS STRING),'+')&gt;0,1,0)) AS NUM_REG_DIF,'"&amp;MAX('ID1&amp;5'!K:K)+1&amp;"' AS ID_EXEC, CURRENT_TIMESTAMP() AS TIME_EXEC FROM "&amp;I464,
IF(C464="Missings",+"SELECT '"&amp;UPPER(B464)&amp;"' AS TABELA, '"&amp;UPPER(C464)&amp;"' AS TIPOLOGIA_TESTE,'"&amp;D464&amp;"' AS TABELA_LT,'N/A' AS TABELA_SIMUL,'"&amp;F464&amp;"' AS CAMPO, "&amp;"'${ref_date}' AS REF_DATE, COUNT(*) AS NUM_REG, SUM(IF(TRIM(CAST(X."&amp;F464&amp;" AS STRING)) IN ('0000-00-00','0001-01-01','9999-12-31','MISS','00000','99999999999','99999999999.00','99999999999.000000'),1,0)) AS NUM_REG_DIF,'"&amp;MAX('ID1&amp;5'!K:K)+1&amp;"' AS ID_EXEC, CURRENT_TIMESTAMP() AS TIME_EXEC FROM "&amp;I464,
IF(C464="Not applicable",+"SELECT '"&amp;UPPER(B464)&amp;"' AS TABELA, '"&amp;UPPER(C464)&amp;"' AS TIPOLOGIA_TESTE,'"&amp;D464&amp;"' AS TABELA_LT,'N/A' AS TABELA_SIMUL,'"&amp;F464&amp;"' AS CAMPO, "&amp;"'${ref_date}' AS REF_DATE, COUNT(*) AS NUM_REG, SUM(IF(TRIM(CAST(X."&amp;F464&amp;" AS STRING)) IN ('N/A','11111111111','11111111111.00','11111111111.000000','1111-11-11'),1,0)) AS NUM_REG_DIF,'"&amp;MAX('ID1&amp;5'!K:K)+1&amp;"' AS ID_EXEC, CURRENT_TIMESTAMP() AS TIME_EXEC FROM "&amp;I464,
IF(C464="Valores extremos",+"SELECT '"&amp;UPPER(B464)&amp;"' AS TABELA, '"&amp;UPPER(C464)&amp;"' AS TIPOLOGIA_TESTE,'"&amp;D464&amp;"' AS TABELA_LT,'N/A' AS TABELA_SIMUL,'"&amp;F464&amp;"' AS CAMPO, "&amp;"'${ref_date}' AS REF_DATE, CAST(MIN("&amp;F464&amp;") AS STRING) AS VALOR_MIN, CAST(MAX("&amp;F464&amp;") AS STRING) AS VALOR_MAX,'"&amp;MAX('ID1&amp;5'!K:K)+1&amp;"' AS ID_EXEC, CURRENT_TIMESTAMP() AS TIME_EXEC FROM "&amp;MID(I464,1,LEN(I464)-2)&amp;" AND CAST("&amp;F464&amp;"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TABELA_SIMUL,'MTHD_USD_INSTRMNT_SCP_3' AS CAMPO, '${ref_date}' AS REF_DATE, CAST(MIN(MTHD_USD_INSTRMNT_SCP_3) AS STRING) AS VALOR_MIN, CAST(MAX(MTHD_USD_INSTRMNT_SCP_3) AS STRING) AS VALOR_MAX,'10' AS ID_EXEC, CURRENT_TIMESTAMP() AS TIME_EXEC FROM (SELECT instrmnt_id, MTHD_USD_INSTRMNT_SCP_3 FROM BU_LOANTAPE_WORK.LT002_INSTRUMENT WHERE ref_date='${ref_date}' AND nome_perimetro='Individual Corporativo' AND segmento='ESTR' AND ambito='PILAR3' AND CAST(MTHD_USD_INSTRMNT_SCP_3 AS STRING) NOT IN ('0000-00-00','0001-01-01','9999-12-31','MISS','00000','99999999999','99999999999.00','99999999999.000000','N/A','11111111111','11111111111.00','11111111111.000000','1111-11-11'))X</v>
      </c>
      <c r="M464" s="43" t="str">
        <f t="shared" si="7"/>
        <v>UNION ALL SELECT 'INSTRUMENT' AS TABELA, 'VALORES EXTREMOS' AS TIPOLOGIA_TESTE,'BU_LOANTAPE_WORK.LT002_INSTRUMENT' AS TABELA_LT,'N/A' AS TABELA_SIMUL,'MTHD_USD_INSTRMNT_SCP_3' AS CAMPO, '${ref_date}' AS REF_DATE, CAST(MIN(MTHD_USD_INSTRMNT_SCP_3) AS STRING) AS VALOR_MIN, CAST(MAX(MTHD_USD_INSTRMNT_SCP_3) AS STRING) AS VALOR_MAX,'10' AS ID_EXEC, CURRENT_TIMESTAMP() AS TIME_EXEC FROM (SELECT instrmnt_id, MTHD_USD_INSTRMNT_SCP_3 FROM BU_LOANTAPE_WORK.LT002_INSTRUMENT WHERE ref_date='${ref_date}' AND nome_perimetro='Individual Corporativo' AND segmento='ESTR' AND ambito='PILAR3' AND CAST(MTHD_USD_INSTRMNT_SCP_3 AS STRING) NOT IN ('0000-00-00','0001-01-01','9999-12-31','MISS','00000','99999999999','99999999999.00','99999999999.000000','N/A','11111111111','11111111111.00','11111111111.000000','1111-11-11'))X</v>
      </c>
      <c r="N464" s="45" t="s">
        <v>13</v>
      </c>
    </row>
    <row r="465" spans="2:14">
      <c r="B465" s="41" t="s">
        <v>27</v>
      </c>
      <c r="C465" s="41" t="s">
        <v>226</v>
      </c>
      <c r="D465" s="41" t="str">
        <f>+UPPER('0. Instruções'!$D$33&amp;"."&amp;VLOOKUP(B465,'0. Instruções'!$C$27:$D$31,2,FALSE))</f>
        <v>BU_LOANTAPE_WORK.LT002_INSTRUMENT</v>
      </c>
      <c r="E465" s="41" t="str">
        <f>+UPPER('0. Instruções'!$D$34&amp;"."&amp;VLOOKUP(B465,'0. Instruções'!$C$27:$E$31,3,FALSE))</f>
        <v>BU_LOANTAPE_WORK.LT002_INSTRUMENT_P3_NOV24</v>
      </c>
      <c r="F465" s="41" t="s">
        <v>155</v>
      </c>
      <c r="G465" s="41" t="s">
        <v>209</v>
      </c>
      <c r="H465" s="41"/>
      <c r="I465" s="41" t="str">
        <f>"(SELECT "&amp;VLOOKUP(B465,'0. Instruções'!$C$27:$G$31,4,FALSE)&amp;", "&amp;F465&amp;" FROM "&amp;D465&amp;" WHERE "&amp;'0. Instruções'!$D$40&amp;")X"</f>
        <v>(SELECT instrmnt_id, SSTNBL_CTGRY_TXNMY FROM BU_LOANTAPE_WORK.LT002_INSTRUMENT WHERE ref_date='${ref_date}' AND nome_perimetro='Individual Corporativo' AND segmento='ESTR' AND ambito='PILAR3')X</v>
      </c>
      <c r="J465" s="41" t="str">
        <f>"(SELECT "&amp;VLOOKUP(B465,'0. Instruções'!$C$27:$G$31,4,FALSE)&amp;" AS "&amp;VLOOKUP(B465,'0. Instruções'!$C$27:$G$31,4,FALSE)&amp;"_SIMUL, "&amp;F465&amp;" AS "&amp;F465&amp;"_SIMUL FROM "&amp;E465&amp;")Y"</f>
        <v>(SELECT instrmnt_id AS instrmnt_id_SIMUL, SSTNBL_CTGRY_TXNMY AS SSTNBL_CTGRY_TXNMY_SIMUL FROM BU_LOANTAPE_WORK.LT002_INSTRUMENT_P3_NOV24)Y</v>
      </c>
      <c r="K465" s="42" t="str">
        <f>+UPPER("ON X."&amp;VLOOKUP(B465,'0. Instruções'!$C$27:$G$31,4,FALSE)&amp;"=Y."&amp;VLOOKUP(B465,'0. Instruções'!$C$27:$G$31,4,FALSE)&amp;"_SIMUL")</f>
        <v>ON X.INSTRMNT_ID=Y.INSTRMNT_ID_SIMUL</v>
      </c>
      <c r="L465" s="42" t="str">
        <f>+IF(C465="Coerência", +IF(LEFT(G465,5)="FLOAT","SELECT '"&amp;UPPER(B465)&amp;"' AS TABELA, '"&amp;UPPER(C465)&amp;"' AS TIPOLOGIA_TESTE,'"&amp;D465&amp;"' AS TABELA_LT,'"&amp;E465&amp;"' AS TABELA_SIMUL,'"&amp;F465&amp;"' AS CAMPO, "&amp;"'${ref_date}' AS REF_DATE, COUNT(*) AS NUM_REG, SUM(IF((ABS(COALESCE(X."&amp;F465&amp;",0)-COALESCE(Y."&amp;F465&amp;"_SIMUL,0))&gt;0.0000000001) OR (X."&amp;F465&amp;" IS NULL AND Y."&amp;F465&amp;"_SIMUL IS NOT NULL ) OR (X."&amp;F465&amp;" IS NOT NULL AND Y."&amp;F465&amp;"_SIMUL IS NULL),1,0)) AS NUM_REG_DIF,'"&amp;MAX('ID1&amp;5'!K:K)+1&amp;"' AS ID_EXEC, CURRENT_TIMESTAMP() AS TIME_EXEC FROM "&amp;I465&amp;" INNER JOIN "&amp;J465&amp;" "&amp;K465,"SELECT '"&amp;UPPER(B465)&amp;"' AS TABELA, '"&amp;UPPER(C465)&amp;"' AS TIPOLOGIA_TESTE,'"&amp;D465&amp;"' AS TABELA_LT,'"&amp;E465&amp;"' AS TABELA_SIMUL,'"&amp;F465&amp;"' AS CAMPO, "&amp;"'${ref_date}' AS REF_DATE, COUNT(*) AS NUM_REG, SUM(IF(COALESCE(CAST(X."&amp;F465&amp;" AS STRING),'')&lt;&gt;COALESCE(CAST(Y."&amp;F465&amp;"_SIMUL AS STRING),''),1,0)) AS NUM_REG_DIF,'"&amp;MAX('ID1&amp;5'!L:L)+1&amp;"' AS ID_EXEC, CURRENT_TIMESTAMP() AS TIME_EXEC FROM "&amp;I465&amp;" INNER JOIN "&amp;J465&amp;" "&amp;K465),
IF(C465="Validade",+IF(G465="Code List","SELECT '"&amp;UPPER(B465)&amp;"' AS TABELA, '"&amp;UPPER(C465)&amp;"' AS TIPOLOGIA_TESTE,'"&amp;D465&amp;"' AS TABELA_LT,'N/A' AS TABELA_SIMUL,'"&amp;F465&amp;"' AS CAMPO, "&amp;"'${ref_date}' AS REF_DATE, COUNT(*) AS NUM_REG, SUM(IF(TRIM(CAST(X."&amp;F465&amp;" AS STRING))='' OR TRIM(CAST(X."&amp;F465&amp;" AS STRING)) IS NULL OR CAST(X."&amp;F465&amp;" AS STRING) NOT "&amp;H465&amp;",1,0)) AS NUM_REG_DIF,'"&amp;MAX('ID1&amp;5'!K:K)+1&amp;"' AS ID_EXEC, CURRENT_TIMESTAMP() AS TIME_EXEC FROM "&amp;I465,"SELECT '"&amp;UPPER(B465)&amp;"' AS TABELA, '"&amp;UPPER(C465)&amp;"' AS TIPOLOGIA_TESTE,'"&amp;D465&amp;"' AS TABELA_LT,'N/A' AS TABELA_SIMUL,'"&amp;F465&amp;"' AS CAMPO, "&amp;"'${ref_date}' AS REF_DATE, COUNT(*) AS NUM_REG, SUM(IF(TRIM(CAST(X."&amp;F465&amp;" AS STRING))='' OR TRIM(CAST(X."&amp;F465&amp;" AS STRING)) IS NULL,1,0)) AS NUM_REG_DIF,'"&amp;MAX('ID1&amp;5'!K:K)+1&amp;"' AS ID_EXEC, CURRENT_TIMESTAMP() AS TIME_EXEC FROM "&amp;I465),
IF(C465="Caracteres Especiais",+"SELECT '"&amp;UPPER(B465)&amp;"' AS TABELA, '"&amp;UPPER(C465)&amp;"' AS TIPOLOGIA_TESTE,'"&amp;D465&amp;"' AS TABELA_LT,'N/A' AS TABELA_SIMUL,'"&amp;F465&amp;"' AS CAMPO, "&amp;"'${ref_date}' AS REF_DATE, COUNT(*) AS NUM_REG, SUM(IF(INSTR(CAST(X."&amp;F465&amp;" AS STRING),'#')&gt;0 OR INSTR(CAST(X."&amp;F465&amp;" AS STRING),'*')&gt;0 OR INSTR(CAST(X."&amp;F465&amp;" AS STRING),'`')&gt;0 OR INSTR(CAST(X."&amp;F465&amp;" AS STRING),'´')&gt;0 OR INSTR(CAST(X."&amp;F465&amp;" AS STRING),'{')&gt;0 OR INSTR(CAST(X."&amp;F465&amp;" AS STRING),'}')&gt;0 OR INSTR(CAST(X."&amp;F465&amp;" AS STRING),'[')&gt;0 OR INSTR(CAST(X."&amp;F465&amp;" AS STRING),'')&gt;0 OR INSTR(CAST(X."&amp;F465&amp;" AS STRING),']')&gt;0 OR INSTR(CAST(X."&amp;F465&amp;" AS STRING),'?')&gt;0 OR INSTR(CAST(X."&amp;F465&amp;" AS STRING),'!')&gt;0 OR INSTR(CAST(X."&amp;F465&amp;" AS STRING),'$')&gt;0 OR INSTR(CAST(X."&amp;F465&amp;" AS STRING),'%')&gt;0 OR INSTR(CAST(X."&amp;F465&amp;" AS STRING),'&amp;')&gt;0 OR INSTR(CAST(X."&amp;F465&amp;" AS STRING),'+')&gt;0,1,0)) AS NUM_REG_DIF,'"&amp;MAX('ID1&amp;5'!K:K)+1&amp;"' AS ID_EXEC, CURRENT_TIMESTAMP() AS TIME_EXEC FROM "&amp;I465,
IF(C465="Missings",+"SELECT '"&amp;UPPER(B465)&amp;"' AS TABELA, '"&amp;UPPER(C465)&amp;"' AS TIPOLOGIA_TESTE,'"&amp;D465&amp;"' AS TABELA_LT,'N/A' AS TABELA_SIMUL,'"&amp;F465&amp;"' AS CAMPO, "&amp;"'${ref_date}' AS REF_DATE, COUNT(*) AS NUM_REG, SUM(IF(TRIM(CAST(X."&amp;F465&amp;" AS STRING)) IN ('0000-00-00','0001-01-01','9999-12-31','MISS','00000','99999999999','99999999999.00','99999999999.000000'),1,0)) AS NUM_REG_DIF,'"&amp;MAX('ID1&amp;5'!K:K)+1&amp;"' AS ID_EXEC, CURRENT_TIMESTAMP() AS TIME_EXEC FROM "&amp;I465,
IF(C465="Not applicable",+"SELECT '"&amp;UPPER(B465)&amp;"' AS TABELA, '"&amp;UPPER(C465)&amp;"' AS TIPOLOGIA_TESTE,'"&amp;D465&amp;"' AS TABELA_LT,'N/A' AS TABELA_SIMUL,'"&amp;F465&amp;"' AS CAMPO, "&amp;"'${ref_date}' AS REF_DATE, COUNT(*) AS NUM_REG, SUM(IF(TRIM(CAST(X."&amp;F465&amp;" AS STRING)) IN ('N/A','11111111111','11111111111.00','11111111111.000000','1111-11-11'),1,0)) AS NUM_REG_DIF,'"&amp;MAX('ID1&amp;5'!K:K)+1&amp;"' AS ID_EXEC, CURRENT_TIMESTAMP() AS TIME_EXEC FROM "&amp;I465,
IF(C465="Valores extremos",+"SELECT '"&amp;UPPER(B465)&amp;"' AS TABELA, '"&amp;UPPER(C465)&amp;"' AS TIPOLOGIA_TESTE,'"&amp;D465&amp;"' AS TABELA_LT,'N/A' AS TABELA_SIMUL,'"&amp;F465&amp;"' AS CAMPO, "&amp;"'${ref_date}' AS REF_DATE, CAST(MIN("&amp;F465&amp;") AS STRING) AS VALOR_MIN, CAST(MAX("&amp;F465&amp;") AS STRING) AS VALOR_MAX,'"&amp;MAX('ID1&amp;5'!K:K)+1&amp;"' AS ID_EXEC, CURRENT_TIMESTAMP() AS TIME_EXEC FROM "&amp;MID(I465,1,LEN(I465)-2)&amp;" AND CAST("&amp;F465&amp;"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TABELA_SIMUL,'SSTNBL_CTGRY_TXNMY' AS CAMPO, '${ref_date}' AS REF_DATE, CAST(MIN(SSTNBL_CTGRY_TXNMY) AS STRING) AS VALOR_MIN, CAST(MAX(SSTNBL_CTGRY_TXNMY) AS STRING) AS VALOR_MAX,'10' AS ID_EXEC, CURRENT_TIMESTAMP() AS TIME_EXEC FROM (SELECT instrmnt_id, SSTNBL_CTGRY_TXNMY FROM BU_LOANTAPE_WORK.LT002_INSTRUMENT WHERE ref_date='${ref_date}' AND nome_perimetro='Individual Corporativo' AND segmento='ESTR' AND ambito='PILAR3' AND CAST(SSTNBL_CTGRY_TXNMY AS STRING) NOT IN ('0000-00-00','0001-01-01','9999-12-31','MISS','00000','99999999999','99999999999.00','99999999999.000000','N/A','11111111111','11111111111.00','11111111111.000000','1111-11-11'))X</v>
      </c>
      <c r="M465" s="43" t="str">
        <f t="shared" si="7"/>
        <v>UNION ALL SELECT 'INSTRUMENT' AS TABELA, 'VALORES EXTREMOS' AS TIPOLOGIA_TESTE,'BU_LOANTAPE_WORK.LT002_INSTRUMENT' AS TABELA_LT,'N/A' AS TABELA_SIMUL,'SSTNBL_CTGRY_TXNMY' AS CAMPO, '${ref_date}' AS REF_DATE, CAST(MIN(SSTNBL_CTGRY_TXNMY) AS STRING) AS VALOR_MIN, CAST(MAX(SSTNBL_CTGRY_TXNMY) AS STRING) AS VALOR_MAX,'10' AS ID_EXEC, CURRENT_TIMESTAMP() AS TIME_EXEC FROM (SELECT instrmnt_id, SSTNBL_CTGRY_TXNMY FROM BU_LOANTAPE_WORK.LT002_INSTRUMENT WHERE ref_date='${ref_date}' AND nome_perimetro='Individual Corporativo' AND segmento='ESTR' AND ambito='PILAR3' AND CAST(SSTNBL_CTGRY_TXNMY AS STRING) NOT IN ('0000-00-00','0001-01-01','9999-12-31','MISS','00000','99999999999','99999999999.00','99999999999.000000','N/A','11111111111','11111111111.00','11111111111.000000','1111-11-11'))X</v>
      </c>
      <c r="N465" s="45" t="s">
        <v>13</v>
      </c>
    </row>
    <row r="466" spans="2:14">
      <c r="B466" s="41" t="s">
        <v>27</v>
      </c>
      <c r="C466" s="41" t="s">
        <v>226</v>
      </c>
      <c r="D466" s="41" t="str">
        <f>+UPPER('0. Instruções'!$D$33&amp;"."&amp;VLOOKUP(B466,'0. Instruções'!$C$27:$D$31,2,FALSE))</f>
        <v>BU_LOANTAPE_WORK.LT002_INSTRUMENT</v>
      </c>
      <c r="E466" s="41" t="str">
        <f>+UPPER('0. Instruções'!$D$34&amp;"."&amp;VLOOKUP(B466,'0. Instruções'!$C$27:$E$31,3,FALSE))</f>
        <v>BU_LOANTAPE_WORK.LT002_INSTRUMENT_P3_NOV24</v>
      </c>
      <c r="F466" s="41" t="s">
        <v>156</v>
      </c>
      <c r="G466" s="41" t="s">
        <v>13</v>
      </c>
      <c r="H466" s="41"/>
      <c r="I466" s="41" t="str">
        <f>"(SELECT "&amp;VLOOKUP(B466,'0. Instruções'!$C$27:$G$31,4,FALSE)&amp;", "&amp;F466&amp;" FROM "&amp;D466&amp;" WHERE "&amp;'0. Instruções'!$D$40&amp;")X"</f>
        <v>(SELECT instrmnt_id, DT_RFRNC FROM BU_LOANTAPE_WORK.LT002_INSTRUMENT WHERE ref_date='${ref_date}' AND nome_perimetro='Individual Corporativo' AND segmento='ESTR' AND ambito='PILAR3')X</v>
      </c>
      <c r="J466" s="41" t="str">
        <f>"(SELECT "&amp;VLOOKUP(B466,'0. Instruções'!$C$27:$G$31,4,FALSE)&amp;" AS "&amp;VLOOKUP(B466,'0. Instruções'!$C$27:$G$31,4,FALSE)&amp;"_SIMUL, "&amp;F466&amp;" AS "&amp;F466&amp;"_SIMUL FROM "&amp;E466&amp;")Y"</f>
        <v>(SELECT instrmnt_id AS instrmnt_id_SIMUL, DT_RFRNC AS DT_RFRNC_SIMUL FROM BU_LOANTAPE_WORK.LT002_INSTRUMENT_P3_NOV24)Y</v>
      </c>
      <c r="K466" s="42" t="str">
        <f>+UPPER("ON X."&amp;VLOOKUP(B466,'0. Instruções'!$C$27:$G$31,4,FALSE)&amp;"=Y."&amp;VLOOKUP(B466,'0. Instruções'!$C$27:$G$31,4,FALSE)&amp;"_SIMUL")</f>
        <v>ON X.INSTRMNT_ID=Y.INSTRMNT_ID_SIMUL</v>
      </c>
      <c r="L466" s="42" t="str">
        <f>+IF(C466="Coerência", +IF(LEFT(G466,5)="FLOAT","SELECT '"&amp;UPPER(B466)&amp;"' AS TABELA, '"&amp;UPPER(C466)&amp;"' AS TIPOLOGIA_TESTE,'"&amp;D466&amp;"' AS TABELA_LT,'"&amp;E466&amp;"' AS TABELA_SIMUL,'"&amp;F466&amp;"' AS CAMPO, "&amp;"'${ref_date}' AS REF_DATE, COUNT(*) AS NUM_REG, SUM(IF((ABS(COALESCE(X."&amp;F466&amp;",0)-COALESCE(Y."&amp;F466&amp;"_SIMUL,0))&gt;0.0000000001) OR (X."&amp;F466&amp;" IS NULL AND Y."&amp;F466&amp;"_SIMUL IS NOT NULL ) OR (X."&amp;F466&amp;" IS NOT NULL AND Y."&amp;F466&amp;"_SIMUL IS NULL),1,0)) AS NUM_REG_DIF,'"&amp;MAX('ID1&amp;5'!K:K)+1&amp;"' AS ID_EXEC, CURRENT_TIMESTAMP() AS TIME_EXEC FROM "&amp;I466&amp;" INNER JOIN "&amp;J466&amp;" "&amp;K466,"SELECT '"&amp;UPPER(B466)&amp;"' AS TABELA, '"&amp;UPPER(C466)&amp;"' AS TIPOLOGIA_TESTE,'"&amp;D466&amp;"' AS TABELA_LT,'"&amp;E466&amp;"' AS TABELA_SIMUL,'"&amp;F466&amp;"' AS CAMPO, "&amp;"'${ref_date}' AS REF_DATE, COUNT(*) AS NUM_REG, SUM(IF(COALESCE(CAST(X."&amp;F466&amp;" AS STRING),'')&lt;&gt;COALESCE(CAST(Y."&amp;F466&amp;"_SIMUL AS STRING),''),1,0)) AS NUM_REG_DIF,'"&amp;MAX('ID1&amp;5'!L:L)+1&amp;"' AS ID_EXEC, CURRENT_TIMESTAMP() AS TIME_EXEC FROM "&amp;I466&amp;" INNER JOIN "&amp;J466&amp;" "&amp;K466),
IF(C466="Validade",+IF(G466="Code List","SELECT '"&amp;UPPER(B466)&amp;"' AS TABELA, '"&amp;UPPER(C466)&amp;"' AS TIPOLOGIA_TESTE,'"&amp;D466&amp;"' AS TABELA_LT,'N/A' AS TABELA_SIMUL,'"&amp;F466&amp;"' AS CAMPO, "&amp;"'${ref_date}' AS REF_DATE, COUNT(*) AS NUM_REG, SUM(IF(TRIM(CAST(X."&amp;F466&amp;" AS STRING))='' OR TRIM(CAST(X."&amp;F466&amp;" AS STRING)) IS NULL OR CAST(X."&amp;F466&amp;" AS STRING) NOT "&amp;H466&amp;",1,0)) AS NUM_REG_DIF,'"&amp;MAX('ID1&amp;5'!K:K)+1&amp;"' AS ID_EXEC, CURRENT_TIMESTAMP() AS TIME_EXEC FROM "&amp;I466,"SELECT '"&amp;UPPER(B466)&amp;"' AS TABELA, '"&amp;UPPER(C466)&amp;"' AS TIPOLOGIA_TESTE,'"&amp;D466&amp;"' AS TABELA_LT,'N/A' AS TABELA_SIMUL,'"&amp;F466&amp;"' AS CAMPO, "&amp;"'${ref_date}' AS REF_DATE, COUNT(*) AS NUM_REG, SUM(IF(TRIM(CAST(X."&amp;F466&amp;" AS STRING))='' OR TRIM(CAST(X."&amp;F466&amp;" AS STRING)) IS NULL,1,0)) AS NUM_REG_DIF,'"&amp;MAX('ID1&amp;5'!K:K)+1&amp;"' AS ID_EXEC, CURRENT_TIMESTAMP() AS TIME_EXEC FROM "&amp;I466),
IF(C466="Caracteres Especiais",+"SELECT '"&amp;UPPER(B466)&amp;"' AS TABELA, '"&amp;UPPER(C466)&amp;"' AS TIPOLOGIA_TESTE,'"&amp;D466&amp;"' AS TABELA_LT,'N/A' AS TABELA_SIMUL,'"&amp;F466&amp;"' AS CAMPO, "&amp;"'${ref_date}' AS REF_DATE, COUNT(*) AS NUM_REG, SUM(IF(INSTR(CAST(X."&amp;F466&amp;" AS STRING),'#')&gt;0 OR INSTR(CAST(X."&amp;F466&amp;" AS STRING),'*')&gt;0 OR INSTR(CAST(X."&amp;F466&amp;" AS STRING),'`')&gt;0 OR INSTR(CAST(X."&amp;F466&amp;" AS STRING),'´')&gt;0 OR INSTR(CAST(X."&amp;F466&amp;" AS STRING),'{')&gt;0 OR INSTR(CAST(X."&amp;F466&amp;" AS STRING),'}')&gt;0 OR INSTR(CAST(X."&amp;F466&amp;" AS STRING),'[')&gt;0 OR INSTR(CAST(X."&amp;F466&amp;" AS STRING),'')&gt;0 OR INSTR(CAST(X."&amp;F466&amp;" AS STRING),']')&gt;0 OR INSTR(CAST(X."&amp;F466&amp;" AS STRING),'?')&gt;0 OR INSTR(CAST(X."&amp;F466&amp;" AS STRING),'!')&gt;0 OR INSTR(CAST(X."&amp;F466&amp;" AS STRING),'$')&gt;0 OR INSTR(CAST(X."&amp;F466&amp;" AS STRING),'%')&gt;0 OR INSTR(CAST(X."&amp;F466&amp;" AS STRING),'&amp;')&gt;0 OR INSTR(CAST(X."&amp;F466&amp;" AS STRING),'+')&gt;0,1,0)) AS NUM_REG_DIF,'"&amp;MAX('ID1&amp;5'!K:K)+1&amp;"' AS ID_EXEC, CURRENT_TIMESTAMP() AS TIME_EXEC FROM "&amp;I466,
IF(C466="Missings",+"SELECT '"&amp;UPPER(B466)&amp;"' AS TABELA, '"&amp;UPPER(C466)&amp;"' AS TIPOLOGIA_TESTE,'"&amp;D466&amp;"' AS TABELA_LT,'N/A' AS TABELA_SIMUL,'"&amp;F466&amp;"' AS CAMPO, "&amp;"'${ref_date}' AS REF_DATE, COUNT(*) AS NUM_REG, SUM(IF(TRIM(CAST(X."&amp;F466&amp;" AS STRING)) IN ('0000-00-00','0001-01-01','9999-12-31','MISS','00000','99999999999','99999999999.00','99999999999.000000'),1,0)) AS NUM_REG_DIF,'"&amp;MAX('ID1&amp;5'!K:K)+1&amp;"' AS ID_EXEC, CURRENT_TIMESTAMP() AS TIME_EXEC FROM "&amp;I466,
IF(C466="Not applicable",+"SELECT '"&amp;UPPER(B466)&amp;"' AS TABELA, '"&amp;UPPER(C466)&amp;"' AS TIPOLOGIA_TESTE,'"&amp;D466&amp;"' AS TABELA_LT,'N/A' AS TABELA_SIMUL,'"&amp;F466&amp;"' AS CAMPO, "&amp;"'${ref_date}' AS REF_DATE, COUNT(*) AS NUM_REG, SUM(IF(TRIM(CAST(X."&amp;F466&amp;" AS STRING)) IN ('N/A','11111111111','11111111111.00','11111111111.000000','1111-11-11'),1,0)) AS NUM_REG_DIF,'"&amp;MAX('ID1&amp;5'!K:K)+1&amp;"' AS ID_EXEC, CURRENT_TIMESTAMP() AS TIME_EXEC FROM "&amp;I466,
IF(C466="Valores extremos",+"SELECT '"&amp;UPPER(B466)&amp;"' AS TABELA, '"&amp;UPPER(C466)&amp;"' AS TIPOLOGIA_TESTE,'"&amp;D466&amp;"' AS TABELA_LT,'N/A' AS TABELA_SIMUL,'"&amp;F466&amp;"' AS CAMPO, "&amp;"'${ref_date}' AS REF_DATE, CAST(MIN("&amp;F466&amp;") AS STRING) AS VALOR_MIN, CAST(MAX("&amp;F466&amp;") AS STRING) AS VALOR_MAX,'"&amp;MAX('ID1&amp;5'!K:K)+1&amp;"' AS ID_EXEC, CURRENT_TIMESTAMP() AS TIME_EXEC FROM "&amp;MID(I466,1,LEN(I466)-2)&amp;" AND CAST("&amp;F466&amp;"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TABELA_SIMUL,'DT_RFRNC' AS CAMPO, '${ref_date}' AS REF_DATE, CAST(MIN(DT_RFRNC) AS STRING) AS VALOR_MIN, CAST(MAX(DT_RFRNC) AS STRING) AS VALOR_MAX,'10' AS ID_EXEC, CURRENT_TIMESTAMP() AS TIME_EXEC FROM (SELECT instrmnt_id, DT_RFRNC FROM BU_LOANTAPE_WORK.LT002_INSTRUMENT WHERE ref_date='${ref_date}' AND nome_perimetro='Individual Corporativo' AND segmento='ESTR' AND ambito='PILAR3' AND CAST(DT_RFRNC AS STRING) NOT IN ('0000-00-00','0001-01-01','9999-12-31','MISS','00000','99999999999','99999999999.00','99999999999.000000','N/A','11111111111','11111111111.00','11111111111.000000','1111-11-11'))X</v>
      </c>
      <c r="M466" s="43" t="str">
        <f t="shared" si="7"/>
        <v>UNION ALL SELECT 'INSTRUMENT' AS TABELA, 'VALORES EXTREMOS' AS TIPOLOGIA_TESTE,'BU_LOANTAPE_WORK.LT002_INSTRUMENT' AS TABELA_LT,'N/A' AS TABELA_SIMUL,'DT_RFRNC' AS CAMPO, '${ref_date}' AS REF_DATE, CAST(MIN(DT_RFRNC) AS STRING) AS VALOR_MIN, CAST(MAX(DT_RFRNC) AS STRING) AS VALOR_MAX,'10' AS ID_EXEC, CURRENT_TIMESTAMP() AS TIME_EXEC FROM (SELECT instrmnt_id, DT_RFRNC FROM BU_LOANTAPE_WORK.LT002_INSTRUMENT WHERE ref_date='${ref_date}' AND nome_perimetro='Individual Corporativo' AND segmento='ESTR' AND ambito='PILAR3' AND CAST(DT_RFRNC AS STRING) NOT IN ('0000-00-00','0001-01-01','9999-12-31','MISS','00000','99999999999','99999999999.00','99999999999.000000','N/A','11111111111','11111111111.00','11111111111.000000','1111-11-11'))X</v>
      </c>
      <c r="N466" s="45" t="s">
        <v>13</v>
      </c>
    </row>
    <row r="467" spans="2:14">
      <c r="B467" s="41" t="s">
        <v>27</v>
      </c>
      <c r="C467" s="41" t="s">
        <v>226</v>
      </c>
      <c r="D467" s="41" t="str">
        <f>+UPPER('0. Instruções'!$D$33&amp;"."&amp;VLOOKUP(B467,'0. Instruções'!$C$27:$D$31,2,FALSE))</f>
        <v>BU_LOANTAPE_WORK.LT002_INSTRUMENT</v>
      </c>
      <c r="E467" s="41" t="str">
        <f>+UPPER('0. Instruções'!$D$34&amp;"."&amp;VLOOKUP(B467,'0. Instruções'!$C$27:$E$31,3,FALSE))</f>
        <v>BU_LOANTAPE_WORK.LT002_INSTRUMENT_P3_NOV24</v>
      </c>
      <c r="F467" s="41" t="s">
        <v>157</v>
      </c>
      <c r="G467" s="41" t="s">
        <v>13</v>
      </c>
      <c r="H467" s="41"/>
      <c r="I467" s="41" t="str">
        <f>"(SELECT "&amp;VLOOKUP(B467,'0. Instruções'!$C$27:$G$31,4,FALSE)&amp;", "&amp;F467&amp;" FROM "&amp;D467&amp;" WHERE "&amp;'0. Instruções'!$D$40&amp;")X"</f>
        <v>(SELECT instrmnt_id, INSTRMNT_ID FROM BU_LOANTAPE_WORK.LT002_INSTRUMENT WHERE ref_date='${ref_date}' AND nome_perimetro='Individual Corporativo' AND segmento='ESTR' AND ambito='PILAR3')X</v>
      </c>
      <c r="J467" s="41" t="str">
        <f>"(SELECT "&amp;VLOOKUP(B467,'0. Instruções'!$C$27:$G$31,4,FALSE)&amp;" AS "&amp;VLOOKUP(B467,'0. Instruções'!$C$27:$G$31,4,FALSE)&amp;"_SIMUL, "&amp;F467&amp;" AS "&amp;F467&amp;"_SIMUL FROM "&amp;E467&amp;")Y"</f>
        <v>(SELECT instrmnt_id AS instrmnt_id_SIMUL, INSTRMNT_ID AS INSTRMNT_ID_SIMUL FROM BU_LOANTAPE_WORK.LT002_INSTRUMENT_P3_NOV24)Y</v>
      </c>
      <c r="K467" s="42" t="str">
        <f>+UPPER("ON X."&amp;VLOOKUP(B467,'0. Instruções'!$C$27:$G$31,4,FALSE)&amp;"=Y."&amp;VLOOKUP(B467,'0. Instruções'!$C$27:$G$31,4,FALSE)&amp;"_SIMUL")</f>
        <v>ON X.INSTRMNT_ID=Y.INSTRMNT_ID_SIMUL</v>
      </c>
      <c r="L467" s="42" t="str">
        <f>+IF(C467="Coerência", +IF(LEFT(G467,5)="FLOAT","SELECT '"&amp;UPPER(B467)&amp;"' AS TABELA, '"&amp;UPPER(C467)&amp;"' AS TIPOLOGIA_TESTE,'"&amp;D467&amp;"' AS TABELA_LT,'"&amp;E467&amp;"' AS TABELA_SIMUL,'"&amp;F467&amp;"' AS CAMPO, "&amp;"'${ref_date}' AS REF_DATE, COUNT(*) AS NUM_REG, SUM(IF((ABS(COALESCE(X."&amp;F467&amp;",0)-COALESCE(Y."&amp;F467&amp;"_SIMUL,0))&gt;0.0000000001) OR (X."&amp;F467&amp;" IS NULL AND Y."&amp;F467&amp;"_SIMUL IS NOT NULL ) OR (X."&amp;F467&amp;" IS NOT NULL AND Y."&amp;F467&amp;"_SIMUL IS NULL),1,0)) AS NUM_REG_DIF,'"&amp;MAX('ID1&amp;5'!K:K)+1&amp;"' AS ID_EXEC, CURRENT_TIMESTAMP() AS TIME_EXEC FROM "&amp;I467&amp;" INNER JOIN "&amp;J467&amp;" "&amp;K467,"SELECT '"&amp;UPPER(B467)&amp;"' AS TABELA, '"&amp;UPPER(C467)&amp;"' AS TIPOLOGIA_TESTE,'"&amp;D467&amp;"' AS TABELA_LT,'"&amp;E467&amp;"' AS TABELA_SIMUL,'"&amp;F467&amp;"' AS CAMPO, "&amp;"'${ref_date}' AS REF_DATE, COUNT(*) AS NUM_REG, SUM(IF(COALESCE(CAST(X."&amp;F467&amp;" AS STRING),'')&lt;&gt;COALESCE(CAST(Y."&amp;F467&amp;"_SIMUL AS STRING),''),1,0)) AS NUM_REG_DIF,'"&amp;MAX('ID1&amp;5'!L:L)+1&amp;"' AS ID_EXEC, CURRENT_TIMESTAMP() AS TIME_EXEC FROM "&amp;I467&amp;" INNER JOIN "&amp;J467&amp;" "&amp;K467),
IF(C467="Validade",+IF(G467="Code List","SELECT '"&amp;UPPER(B467)&amp;"' AS TABELA, '"&amp;UPPER(C467)&amp;"' AS TIPOLOGIA_TESTE,'"&amp;D467&amp;"' AS TABELA_LT,'N/A' AS TABELA_SIMUL,'"&amp;F467&amp;"' AS CAMPO, "&amp;"'${ref_date}' AS REF_DATE, COUNT(*) AS NUM_REG, SUM(IF(TRIM(CAST(X."&amp;F467&amp;" AS STRING))='' OR TRIM(CAST(X."&amp;F467&amp;" AS STRING)) IS NULL OR CAST(X."&amp;F467&amp;" AS STRING) NOT "&amp;H467&amp;",1,0)) AS NUM_REG_DIF,'"&amp;MAX('ID1&amp;5'!K:K)+1&amp;"' AS ID_EXEC, CURRENT_TIMESTAMP() AS TIME_EXEC FROM "&amp;I467,"SELECT '"&amp;UPPER(B467)&amp;"' AS TABELA, '"&amp;UPPER(C467)&amp;"' AS TIPOLOGIA_TESTE,'"&amp;D467&amp;"' AS TABELA_LT,'N/A' AS TABELA_SIMUL,'"&amp;F467&amp;"' AS CAMPO, "&amp;"'${ref_date}' AS REF_DATE, COUNT(*) AS NUM_REG, SUM(IF(TRIM(CAST(X."&amp;F467&amp;" AS STRING))='' OR TRIM(CAST(X."&amp;F467&amp;" AS STRING)) IS NULL,1,0)) AS NUM_REG_DIF,'"&amp;MAX('ID1&amp;5'!K:K)+1&amp;"' AS ID_EXEC, CURRENT_TIMESTAMP() AS TIME_EXEC FROM "&amp;I467),
IF(C467="Caracteres Especiais",+"SELECT '"&amp;UPPER(B467)&amp;"' AS TABELA, '"&amp;UPPER(C467)&amp;"' AS TIPOLOGIA_TESTE,'"&amp;D467&amp;"' AS TABELA_LT,'N/A' AS TABELA_SIMUL,'"&amp;F467&amp;"' AS CAMPO, "&amp;"'${ref_date}' AS REF_DATE, COUNT(*) AS NUM_REG, SUM(IF(INSTR(CAST(X."&amp;F467&amp;" AS STRING),'#')&gt;0 OR INSTR(CAST(X."&amp;F467&amp;" AS STRING),'*')&gt;0 OR INSTR(CAST(X."&amp;F467&amp;" AS STRING),'`')&gt;0 OR INSTR(CAST(X."&amp;F467&amp;" AS STRING),'´')&gt;0 OR INSTR(CAST(X."&amp;F467&amp;" AS STRING),'{')&gt;0 OR INSTR(CAST(X."&amp;F467&amp;" AS STRING),'}')&gt;0 OR INSTR(CAST(X."&amp;F467&amp;" AS STRING),'[')&gt;0 OR INSTR(CAST(X."&amp;F467&amp;" AS STRING),'')&gt;0 OR INSTR(CAST(X."&amp;F467&amp;" AS STRING),']')&gt;0 OR INSTR(CAST(X."&amp;F467&amp;" AS STRING),'?')&gt;0 OR INSTR(CAST(X."&amp;F467&amp;" AS STRING),'!')&gt;0 OR INSTR(CAST(X."&amp;F467&amp;" AS STRING),'$')&gt;0 OR INSTR(CAST(X."&amp;F467&amp;" AS STRING),'%')&gt;0 OR INSTR(CAST(X."&amp;F467&amp;" AS STRING),'&amp;')&gt;0 OR INSTR(CAST(X."&amp;F467&amp;" AS STRING),'+')&gt;0,1,0)) AS NUM_REG_DIF,'"&amp;MAX('ID1&amp;5'!K:K)+1&amp;"' AS ID_EXEC, CURRENT_TIMESTAMP() AS TIME_EXEC FROM "&amp;I467,
IF(C467="Missings",+"SELECT '"&amp;UPPER(B467)&amp;"' AS TABELA, '"&amp;UPPER(C467)&amp;"' AS TIPOLOGIA_TESTE,'"&amp;D467&amp;"' AS TABELA_LT,'N/A' AS TABELA_SIMUL,'"&amp;F467&amp;"' AS CAMPO, "&amp;"'${ref_date}' AS REF_DATE, COUNT(*) AS NUM_REG, SUM(IF(TRIM(CAST(X."&amp;F467&amp;" AS STRING)) IN ('0000-00-00','0001-01-01','9999-12-31','MISS','00000','99999999999','99999999999.00','99999999999.000000'),1,0)) AS NUM_REG_DIF,'"&amp;MAX('ID1&amp;5'!K:K)+1&amp;"' AS ID_EXEC, CURRENT_TIMESTAMP() AS TIME_EXEC FROM "&amp;I467,
IF(C467="Not applicable",+"SELECT '"&amp;UPPER(B467)&amp;"' AS TABELA, '"&amp;UPPER(C467)&amp;"' AS TIPOLOGIA_TESTE,'"&amp;D467&amp;"' AS TABELA_LT,'N/A' AS TABELA_SIMUL,'"&amp;F467&amp;"' AS CAMPO, "&amp;"'${ref_date}' AS REF_DATE, COUNT(*) AS NUM_REG, SUM(IF(TRIM(CAST(X."&amp;F467&amp;" AS STRING)) IN ('N/A','11111111111','11111111111.00','11111111111.000000','1111-11-11'),1,0)) AS NUM_REG_DIF,'"&amp;MAX('ID1&amp;5'!K:K)+1&amp;"' AS ID_EXEC, CURRENT_TIMESTAMP() AS TIME_EXEC FROM "&amp;I467,
IF(C467="Valores extremos",+"SELECT '"&amp;UPPER(B467)&amp;"' AS TABELA, '"&amp;UPPER(C467)&amp;"' AS TIPOLOGIA_TESTE,'"&amp;D467&amp;"' AS TABELA_LT,'N/A' AS TABELA_SIMUL,'"&amp;F467&amp;"' AS CAMPO, "&amp;"'${ref_date}' AS REF_DATE, CAST(MIN("&amp;F467&amp;") AS STRING) AS VALOR_MIN, CAST(MAX("&amp;F467&amp;") AS STRING) AS VALOR_MAX,'"&amp;MAX('ID1&amp;5'!K:K)+1&amp;"' AS ID_EXEC, CURRENT_TIMESTAMP() AS TIME_EXEC FROM "&amp;MID(I467,1,LEN(I467)-2)&amp;" AND CAST("&amp;F467&amp;"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TABELA_SIMUL,'INSTRMNT_ID' AS CAMPO, '${ref_date}' AS REF_DATE, CAST(MIN(INSTRMNT_ID) AS STRING) AS VALOR_MIN, CAST(MAX(INSTRMNT_ID) AS STRING) AS VALOR_MAX,'10' AS ID_EXEC, CURRENT_TIMESTAMP() AS TIME_EXEC FROM (SELECT instrmnt_id, INSTRMNT_ID FROM BU_LOANTAPE_WORK.LT002_INSTRUMENT WHERE ref_date='${ref_date}' AND nome_perimetro='Individual Corporativo' AND segmento='ESTR' AND ambito='PILAR3' AND CAST(INSTRMNT_ID AS STRING) NOT IN ('0000-00-00','0001-01-01','9999-12-31','MISS','00000','99999999999','99999999999.00','99999999999.000000','N/A','11111111111','11111111111.00','11111111111.000000','1111-11-11'))X</v>
      </c>
      <c r="M467" s="43" t="str">
        <f t="shared" si="7"/>
        <v>UNION ALL SELECT 'INSTRUMENT' AS TABELA, 'VALORES EXTREMOS' AS TIPOLOGIA_TESTE,'BU_LOANTAPE_WORK.LT002_INSTRUMENT' AS TABELA_LT,'N/A' AS TABELA_SIMUL,'INSTRMNT_ID' AS CAMPO, '${ref_date}' AS REF_DATE, CAST(MIN(INSTRMNT_ID) AS STRING) AS VALOR_MIN, CAST(MAX(INSTRMNT_ID) AS STRING) AS VALOR_MAX,'10' AS ID_EXEC, CURRENT_TIMESTAMP() AS TIME_EXEC FROM (SELECT instrmnt_id, INSTRMNT_ID FROM BU_LOANTAPE_WORK.LT002_INSTRUMENT WHERE ref_date='${ref_date}' AND nome_perimetro='Individual Corporativo' AND segmento='ESTR' AND ambito='PILAR3' AND CAST(INSTRMNT_ID AS STRING) NOT IN ('0000-00-00','0001-01-01','9999-12-31','MISS','00000','99999999999','99999999999.00','99999999999.000000','N/A','11111111111','11111111111.00','11111111111.000000','1111-11-11'))X</v>
      </c>
      <c r="N467" s="45" t="s">
        <v>13</v>
      </c>
    </row>
    <row r="468" spans="2:14">
      <c r="B468" s="41" t="s">
        <v>27</v>
      </c>
      <c r="C468" s="41" t="s">
        <v>226</v>
      </c>
      <c r="D468" s="41" t="str">
        <f>+UPPER('0. Instruções'!$D$33&amp;"."&amp;VLOOKUP(B468,'0. Instruções'!$C$27:$D$31,2,FALSE))</f>
        <v>BU_LOANTAPE_WORK.LT002_INSTRUMENT</v>
      </c>
      <c r="E468" s="41" t="str">
        <f>+UPPER('0. Instruções'!$D$34&amp;"."&amp;VLOOKUP(B468,'0. Instruções'!$C$27:$E$31,3,FALSE))</f>
        <v>BU_LOANTAPE_WORK.LT002_INSTRUMENT_P3_NOV24</v>
      </c>
      <c r="F468" s="41" t="s">
        <v>158</v>
      </c>
      <c r="G468" s="41" t="s">
        <v>13</v>
      </c>
      <c r="H468" s="41"/>
      <c r="I468" s="41" t="str">
        <f>"(SELECT "&amp;VLOOKUP(B468,'0. Instruções'!$C$27:$G$31,4,FALSE)&amp;", "&amp;F468&amp;" FROM "&amp;D468&amp;" WHERE "&amp;'0. Instruções'!$D$40&amp;")X"</f>
        <v>(SELECT instrmnt_id, DT_INCPTN FROM BU_LOANTAPE_WORK.LT002_INSTRUMENT WHERE ref_date='${ref_date}' AND nome_perimetro='Individual Corporativo' AND segmento='ESTR' AND ambito='PILAR3')X</v>
      </c>
      <c r="J468" s="41" t="str">
        <f>"(SELECT "&amp;VLOOKUP(B468,'0. Instruções'!$C$27:$G$31,4,FALSE)&amp;" AS "&amp;VLOOKUP(B468,'0. Instruções'!$C$27:$G$31,4,FALSE)&amp;"_SIMUL, "&amp;F468&amp;" AS "&amp;F468&amp;"_SIMUL FROM "&amp;E468&amp;")Y"</f>
        <v>(SELECT instrmnt_id AS instrmnt_id_SIMUL, DT_INCPTN AS DT_INCPTN_SIMUL FROM BU_LOANTAPE_WORK.LT002_INSTRUMENT_P3_NOV24)Y</v>
      </c>
      <c r="K468" s="42" t="str">
        <f>+UPPER("ON X."&amp;VLOOKUP(B468,'0. Instruções'!$C$27:$G$31,4,FALSE)&amp;"=Y."&amp;VLOOKUP(B468,'0. Instruções'!$C$27:$G$31,4,FALSE)&amp;"_SIMUL")</f>
        <v>ON X.INSTRMNT_ID=Y.INSTRMNT_ID_SIMUL</v>
      </c>
      <c r="L468" s="42" t="str">
        <f>+IF(C468="Coerência", +IF(LEFT(G468,5)="FLOAT","SELECT '"&amp;UPPER(B468)&amp;"' AS TABELA, '"&amp;UPPER(C468)&amp;"' AS TIPOLOGIA_TESTE,'"&amp;D468&amp;"' AS TABELA_LT,'"&amp;E468&amp;"' AS TABELA_SIMUL,'"&amp;F468&amp;"' AS CAMPO, "&amp;"'${ref_date}' AS REF_DATE, COUNT(*) AS NUM_REG, SUM(IF((ABS(COALESCE(X."&amp;F468&amp;",0)-COALESCE(Y."&amp;F468&amp;"_SIMUL,0))&gt;0.0000000001) OR (X."&amp;F468&amp;" IS NULL AND Y."&amp;F468&amp;"_SIMUL IS NOT NULL ) OR (X."&amp;F468&amp;" IS NOT NULL AND Y."&amp;F468&amp;"_SIMUL IS NULL),1,0)) AS NUM_REG_DIF,'"&amp;MAX('ID1&amp;5'!K:K)+1&amp;"' AS ID_EXEC, CURRENT_TIMESTAMP() AS TIME_EXEC FROM "&amp;I468&amp;" INNER JOIN "&amp;J468&amp;" "&amp;K468,"SELECT '"&amp;UPPER(B468)&amp;"' AS TABELA, '"&amp;UPPER(C468)&amp;"' AS TIPOLOGIA_TESTE,'"&amp;D468&amp;"' AS TABELA_LT,'"&amp;E468&amp;"' AS TABELA_SIMUL,'"&amp;F468&amp;"' AS CAMPO, "&amp;"'${ref_date}' AS REF_DATE, COUNT(*) AS NUM_REG, SUM(IF(COALESCE(CAST(X."&amp;F468&amp;" AS STRING),'')&lt;&gt;COALESCE(CAST(Y."&amp;F468&amp;"_SIMUL AS STRING),''),1,0)) AS NUM_REG_DIF,'"&amp;MAX('ID1&amp;5'!L:L)+1&amp;"' AS ID_EXEC, CURRENT_TIMESTAMP() AS TIME_EXEC FROM "&amp;I468&amp;" INNER JOIN "&amp;J468&amp;" "&amp;K468),
IF(C468="Validade",+IF(G468="Code List","SELECT '"&amp;UPPER(B468)&amp;"' AS TABELA, '"&amp;UPPER(C468)&amp;"' AS TIPOLOGIA_TESTE,'"&amp;D468&amp;"' AS TABELA_LT,'N/A' AS TABELA_SIMUL,'"&amp;F468&amp;"' AS CAMPO, "&amp;"'${ref_date}' AS REF_DATE, COUNT(*) AS NUM_REG, SUM(IF(TRIM(CAST(X."&amp;F468&amp;" AS STRING))='' OR TRIM(CAST(X."&amp;F468&amp;" AS STRING)) IS NULL OR CAST(X."&amp;F468&amp;" AS STRING) NOT "&amp;H468&amp;",1,0)) AS NUM_REG_DIF,'"&amp;MAX('ID1&amp;5'!K:K)+1&amp;"' AS ID_EXEC, CURRENT_TIMESTAMP() AS TIME_EXEC FROM "&amp;I468,"SELECT '"&amp;UPPER(B468)&amp;"' AS TABELA, '"&amp;UPPER(C468)&amp;"' AS TIPOLOGIA_TESTE,'"&amp;D468&amp;"' AS TABELA_LT,'N/A' AS TABELA_SIMUL,'"&amp;F468&amp;"' AS CAMPO, "&amp;"'${ref_date}' AS REF_DATE, COUNT(*) AS NUM_REG, SUM(IF(TRIM(CAST(X."&amp;F468&amp;" AS STRING))='' OR TRIM(CAST(X."&amp;F468&amp;" AS STRING)) IS NULL,1,0)) AS NUM_REG_DIF,'"&amp;MAX('ID1&amp;5'!K:K)+1&amp;"' AS ID_EXEC, CURRENT_TIMESTAMP() AS TIME_EXEC FROM "&amp;I468),
IF(C468="Caracteres Especiais",+"SELECT '"&amp;UPPER(B468)&amp;"' AS TABELA, '"&amp;UPPER(C468)&amp;"' AS TIPOLOGIA_TESTE,'"&amp;D468&amp;"' AS TABELA_LT,'N/A' AS TABELA_SIMUL,'"&amp;F468&amp;"' AS CAMPO, "&amp;"'${ref_date}' AS REF_DATE, COUNT(*) AS NUM_REG, SUM(IF(INSTR(CAST(X."&amp;F468&amp;" AS STRING),'#')&gt;0 OR INSTR(CAST(X."&amp;F468&amp;" AS STRING),'*')&gt;0 OR INSTR(CAST(X."&amp;F468&amp;" AS STRING),'`')&gt;0 OR INSTR(CAST(X."&amp;F468&amp;" AS STRING),'´')&gt;0 OR INSTR(CAST(X."&amp;F468&amp;" AS STRING),'{')&gt;0 OR INSTR(CAST(X."&amp;F468&amp;" AS STRING),'}')&gt;0 OR INSTR(CAST(X."&amp;F468&amp;" AS STRING),'[')&gt;0 OR INSTR(CAST(X."&amp;F468&amp;" AS STRING),'')&gt;0 OR INSTR(CAST(X."&amp;F468&amp;" AS STRING),']')&gt;0 OR INSTR(CAST(X."&amp;F468&amp;" AS STRING),'?')&gt;0 OR INSTR(CAST(X."&amp;F468&amp;" AS STRING),'!')&gt;0 OR INSTR(CAST(X."&amp;F468&amp;" AS STRING),'$')&gt;0 OR INSTR(CAST(X."&amp;F468&amp;" AS STRING),'%')&gt;0 OR INSTR(CAST(X."&amp;F468&amp;" AS STRING),'&amp;')&gt;0 OR INSTR(CAST(X."&amp;F468&amp;" AS STRING),'+')&gt;0,1,0)) AS NUM_REG_DIF,'"&amp;MAX('ID1&amp;5'!K:K)+1&amp;"' AS ID_EXEC, CURRENT_TIMESTAMP() AS TIME_EXEC FROM "&amp;I468,
IF(C468="Missings",+"SELECT '"&amp;UPPER(B468)&amp;"' AS TABELA, '"&amp;UPPER(C468)&amp;"' AS TIPOLOGIA_TESTE,'"&amp;D468&amp;"' AS TABELA_LT,'N/A' AS TABELA_SIMUL,'"&amp;F468&amp;"' AS CAMPO, "&amp;"'${ref_date}' AS REF_DATE, COUNT(*) AS NUM_REG, SUM(IF(TRIM(CAST(X."&amp;F468&amp;" AS STRING)) IN ('0000-00-00','0001-01-01','9999-12-31','MISS','00000','99999999999','99999999999.00','99999999999.000000'),1,0)) AS NUM_REG_DIF,'"&amp;MAX('ID1&amp;5'!K:K)+1&amp;"' AS ID_EXEC, CURRENT_TIMESTAMP() AS TIME_EXEC FROM "&amp;I468,
IF(C468="Not applicable",+"SELECT '"&amp;UPPER(B468)&amp;"' AS TABELA, '"&amp;UPPER(C468)&amp;"' AS TIPOLOGIA_TESTE,'"&amp;D468&amp;"' AS TABELA_LT,'N/A' AS TABELA_SIMUL,'"&amp;F468&amp;"' AS CAMPO, "&amp;"'${ref_date}' AS REF_DATE, COUNT(*) AS NUM_REG, SUM(IF(TRIM(CAST(X."&amp;F468&amp;" AS STRING)) IN ('N/A','11111111111','11111111111.00','11111111111.000000','1111-11-11'),1,0)) AS NUM_REG_DIF,'"&amp;MAX('ID1&amp;5'!K:K)+1&amp;"' AS ID_EXEC, CURRENT_TIMESTAMP() AS TIME_EXEC FROM "&amp;I468,
IF(C468="Valores extremos",+"SELECT '"&amp;UPPER(B468)&amp;"' AS TABELA, '"&amp;UPPER(C468)&amp;"' AS TIPOLOGIA_TESTE,'"&amp;D468&amp;"' AS TABELA_LT,'N/A' AS TABELA_SIMUL,'"&amp;F468&amp;"' AS CAMPO, "&amp;"'${ref_date}' AS REF_DATE, CAST(MIN("&amp;F468&amp;") AS STRING) AS VALOR_MIN, CAST(MAX("&amp;F468&amp;") AS STRING) AS VALOR_MAX,'"&amp;MAX('ID1&amp;5'!K:K)+1&amp;"' AS ID_EXEC, CURRENT_TIMESTAMP() AS TIME_EXEC FROM "&amp;MID(I468,1,LEN(I468)-2)&amp;" AND CAST("&amp;F468&amp;"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TABELA_SIMUL,'DT_INCPTN' AS CAMPO, '${ref_date}' AS REF_DATE, CAST(MIN(DT_INCPTN) AS STRING) AS VALOR_MIN, CAST(MAX(DT_INCPTN) AS STRING) AS VALOR_MAX,'10' AS ID_EXEC, CURRENT_TIMESTAMP() AS TIME_EXEC FROM (SELECT instrmnt_id, DT_INCPTN FROM BU_LOANTAPE_WORK.LT002_INSTRUMENT WHERE ref_date='${ref_date}' AND nome_perimetro='Individual Corporativo' AND segmento='ESTR' AND ambito='PILAR3' AND CAST(DT_INCPTN AS STRING) NOT IN ('0000-00-00','0001-01-01','9999-12-31','MISS','00000','99999999999','99999999999.00','99999999999.000000','N/A','11111111111','11111111111.00','11111111111.000000','1111-11-11'))X</v>
      </c>
      <c r="M468" s="43" t="str">
        <f t="shared" si="7"/>
        <v>UNION ALL SELECT 'INSTRUMENT' AS TABELA, 'VALORES EXTREMOS' AS TIPOLOGIA_TESTE,'BU_LOANTAPE_WORK.LT002_INSTRUMENT' AS TABELA_LT,'N/A' AS TABELA_SIMUL,'DT_INCPTN' AS CAMPO, '${ref_date}' AS REF_DATE, CAST(MIN(DT_INCPTN) AS STRING) AS VALOR_MIN, CAST(MAX(DT_INCPTN) AS STRING) AS VALOR_MAX,'10' AS ID_EXEC, CURRENT_TIMESTAMP() AS TIME_EXEC FROM (SELECT instrmnt_id, DT_INCPTN FROM BU_LOANTAPE_WORK.LT002_INSTRUMENT WHERE ref_date='${ref_date}' AND nome_perimetro='Individual Corporativo' AND segmento='ESTR' AND ambito='PILAR3' AND CAST(DT_INCPTN AS STRING) NOT IN ('0000-00-00','0001-01-01','9999-12-31','MISS','00000','99999999999','99999999999.00','99999999999.000000','N/A','11111111111','11111111111.00','11111111111.000000','1111-11-11'))X</v>
      </c>
      <c r="N468" s="45" t="s">
        <v>13</v>
      </c>
    </row>
    <row r="469" spans="2:14">
      <c r="B469" s="41" t="s">
        <v>27</v>
      </c>
      <c r="C469" s="41" t="s">
        <v>226</v>
      </c>
      <c r="D469" s="41" t="str">
        <f>+UPPER('0. Instruções'!$D$33&amp;"."&amp;VLOOKUP(B469,'0. Instruções'!$C$27:$D$31,2,FALSE))</f>
        <v>BU_LOANTAPE_WORK.LT002_INSTRUMENT</v>
      </c>
      <c r="E469" s="41" t="str">
        <f>+UPPER('0. Instruções'!$D$34&amp;"."&amp;VLOOKUP(B469,'0. Instruções'!$C$27:$E$31,3,FALSE))</f>
        <v>BU_LOANTAPE_WORK.LT002_INSTRUMENT_P3_NOV24</v>
      </c>
      <c r="F469" s="41" t="s">
        <v>159</v>
      </c>
      <c r="G469" s="41" t="s">
        <v>13</v>
      </c>
      <c r="H469" s="41"/>
      <c r="I469" s="41" t="str">
        <f>"(SELECT "&amp;VLOOKUP(B469,'0. Instruções'!$C$27:$G$31,4,FALSE)&amp;", "&amp;F469&amp;" FROM "&amp;D469&amp;" WHERE "&amp;'0. Instruções'!$D$40&amp;")X"</f>
        <v>(SELECT instrmnt_id, DFLT_STTS_INSTRMNT FROM BU_LOANTAPE_WORK.LT002_INSTRUMENT WHERE ref_date='${ref_date}' AND nome_perimetro='Individual Corporativo' AND segmento='ESTR' AND ambito='PILAR3')X</v>
      </c>
      <c r="J469" s="41" t="str">
        <f>"(SELECT "&amp;VLOOKUP(B469,'0. Instruções'!$C$27:$G$31,4,FALSE)&amp;" AS "&amp;VLOOKUP(B469,'0. Instruções'!$C$27:$G$31,4,FALSE)&amp;"_SIMUL, "&amp;F469&amp;" AS "&amp;F469&amp;"_SIMUL FROM "&amp;E469&amp;")Y"</f>
        <v>(SELECT instrmnt_id AS instrmnt_id_SIMUL, DFLT_STTS_INSTRMNT AS DFLT_STTS_INSTRMNT_SIMUL FROM BU_LOANTAPE_WORK.LT002_INSTRUMENT_P3_NOV24)Y</v>
      </c>
      <c r="K469" s="42" t="str">
        <f>+UPPER("ON X."&amp;VLOOKUP(B469,'0. Instruções'!$C$27:$G$31,4,FALSE)&amp;"=Y."&amp;VLOOKUP(B469,'0. Instruções'!$C$27:$G$31,4,FALSE)&amp;"_SIMUL")</f>
        <v>ON X.INSTRMNT_ID=Y.INSTRMNT_ID_SIMUL</v>
      </c>
      <c r="L469" s="42" t="str">
        <f>+IF(C469="Coerência", +IF(LEFT(G469,5)="FLOAT","SELECT '"&amp;UPPER(B469)&amp;"' AS TABELA, '"&amp;UPPER(C469)&amp;"' AS TIPOLOGIA_TESTE,'"&amp;D469&amp;"' AS TABELA_LT,'"&amp;E469&amp;"' AS TABELA_SIMUL,'"&amp;F469&amp;"' AS CAMPO, "&amp;"'${ref_date}' AS REF_DATE, COUNT(*) AS NUM_REG, SUM(IF((ABS(COALESCE(X."&amp;F469&amp;",0)-COALESCE(Y."&amp;F469&amp;"_SIMUL,0))&gt;0.0000000001) OR (X."&amp;F469&amp;" IS NULL AND Y."&amp;F469&amp;"_SIMUL IS NOT NULL ) OR (X."&amp;F469&amp;" IS NOT NULL AND Y."&amp;F469&amp;"_SIMUL IS NULL),1,0)) AS NUM_REG_DIF,'"&amp;MAX('ID1&amp;5'!K:K)+1&amp;"' AS ID_EXEC, CURRENT_TIMESTAMP() AS TIME_EXEC FROM "&amp;I469&amp;" INNER JOIN "&amp;J469&amp;" "&amp;K469,"SELECT '"&amp;UPPER(B469)&amp;"' AS TABELA, '"&amp;UPPER(C469)&amp;"' AS TIPOLOGIA_TESTE,'"&amp;D469&amp;"' AS TABELA_LT,'"&amp;E469&amp;"' AS TABELA_SIMUL,'"&amp;F469&amp;"' AS CAMPO, "&amp;"'${ref_date}' AS REF_DATE, COUNT(*) AS NUM_REG, SUM(IF(COALESCE(CAST(X."&amp;F469&amp;" AS STRING),'')&lt;&gt;COALESCE(CAST(Y."&amp;F469&amp;"_SIMUL AS STRING),''),1,0)) AS NUM_REG_DIF,'"&amp;MAX('ID1&amp;5'!L:L)+1&amp;"' AS ID_EXEC, CURRENT_TIMESTAMP() AS TIME_EXEC FROM "&amp;I469&amp;" INNER JOIN "&amp;J469&amp;" "&amp;K469),
IF(C469="Validade",+IF(G469="Code List","SELECT '"&amp;UPPER(B469)&amp;"' AS TABELA, '"&amp;UPPER(C469)&amp;"' AS TIPOLOGIA_TESTE,'"&amp;D469&amp;"' AS TABELA_LT,'N/A' AS TABELA_SIMUL,'"&amp;F469&amp;"' AS CAMPO, "&amp;"'${ref_date}' AS REF_DATE, COUNT(*) AS NUM_REG, SUM(IF(TRIM(CAST(X."&amp;F469&amp;" AS STRING))='' OR TRIM(CAST(X."&amp;F469&amp;" AS STRING)) IS NULL OR CAST(X."&amp;F469&amp;" AS STRING) NOT "&amp;H469&amp;",1,0)) AS NUM_REG_DIF,'"&amp;MAX('ID1&amp;5'!K:K)+1&amp;"' AS ID_EXEC, CURRENT_TIMESTAMP() AS TIME_EXEC FROM "&amp;I469,"SELECT '"&amp;UPPER(B469)&amp;"' AS TABELA, '"&amp;UPPER(C469)&amp;"' AS TIPOLOGIA_TESTE,'"&amp;D469&amp;"' AS TABELA_LT,'N/A' AS TABELA_SIMUL,'"&amp;F469&amp;"' AS CAMPO, "&amp;"'${ref_date}' AS REF_DATE, COUNT(*) AS NUM_REG, SUM(IF(TRIM(CAST(X."&amp;F469&amp;" AS STRING))='' OR TRIM(CAST(X."&amp;F469&amp;" AS STRING)) IS NULL,1,0)) AS NUM_REG_DIF,'"&amp;MAX('ID1&amp;5'!K:K)+1&amp;"' AS ID_EXEC, CURRENT_TIMESTAMP() AS TIME_EXEC FROM "&amp;I469),
IF(C469="Caracteres Especiais",+"SELECT '"&amp;UPPER(B469)&amp;"' AS TABELA, '"&amp;UPPER(C469)&amp;"' AS TIPOLOGIA_TESTE,'"&amp;D469&amp;"' AS TABELA_LT,'N/A' AS TABELA_SIMUL,'"&amp;F469&amp;"' AS CAMPO, "&amp;"'${ref_date}' AS REF_DATE, COUNT(*) AS NUM_REG, SUM(IF(INSTR(CAST(X."&amp;F469&amp;" AS STRING),'#')&gt;0 OR INSTR(CAST(X."&amp;F469&amp;" AS STRING),'*')&gt;0 OR INSTR(CAST(X."&amp;F469&amp;" AS STRING),'`')&gt;0 OR INSTR(CAST(X."&amp;F469&amp;" AS STRING),'´')&gt;0 OR INSTR(CAST(X."&amp;F469&amp;" AS STRING),'{')&gt;0 OR INSTR(CAST(X."&amp;F469&amp;" AS STRING),'}')&gt;0 OR INSTR(CAST(X."&amp;F469&amp;" AS STRING),'[')&gt;0 OR INSTR(CAST(X."&amp;F469&amp;" AS STRING),'')&gt;0 OR INSTR(CAST(X."&amp;F469&amp;" AS STRING),']')&gt;0 OR INSTR(CAST(X."&amp;F469&amp;" AS STRING),'?')&gt;0 OR INSTR(CAST(X."&amp;F469&amp;" AS STRING),'!')&gt;0 OR INSTR(CAST(X."&amp;F469&amp;" AS STRING),'$')&gt;0 OR INSTR(CAST(X."&amp;F469&amp;" AS STRING),'%')&gt;0 OR INSTR(CAST(X."&amp;F469&amp;" AS STRING),'&amp;')&gt;0 OR INSTR(CAST(X."&amp;F469&amp;" AS STRING),'+')&gt;0,1,0)) AS NUM_REG_DIF,'"&amp;MAX('ID1&amp;5'!K:K)+1&amp;"' AS ID_EXEC, CURRENT_TIMESTAMP() AS TIME_EXEC FROM "&amp;I469,
IF(C469="Missings",+"SELECT '"&amp;UPPER(B469)&amp;"' AS TABELA, '"&amp;UPPER(C469)&amp;"' AS TIPOLOGIA_TESTE,'"&amp;D469&amp;"' AS TABELA_LT,'N/A' AS TABELA_SIMUL,'"&amp;F469&amp;"' AS CAMPO, "&amp;"'${ref_date}' AS REF_DATE, COUNT(*) AS NUM_REG, SUM(IF(TRIM(CAST(X."&amp;F469&amp;" AS STRING)) IN ('0000-00-00','0001-01-01','9999-12-31','MISS','00000','99999999999','99999999999.00','99999999999.000000'),1,0)) AS NUM_REG_DIF,'"&amp;MAX('ID1&amp;5'!K:K)+1&amp;"' AS ID_EXEC, CURRENT_TIMESTAMP() AS TIME_EXEC FROM "&amp;I469,
IF(C469="Not applicable",+"SELECT '"&amp;UPPER(B469)&amp;"' AS TABELA, '"&amp;UPPER(C469)&amp;"' AS TIPOLOGIA_TESTE,'"&amp;D469&amp;"' AS TABELA_LT,'N/A' AS TABELA_SIMUL,'"&amp;F469&amp;"' AS CAMPO, "&amp;"'${ref_date}' AS REF_DATE, COUNT(*) AS NUM_REG, SUM(IF(TRIM(CAST(X."&amp;F469&amp;" AS STRING)) IN ('N/A','11111111111','11111111111.00','11111111111.000000','1111-11-11'),1,0)) AS NUM_REG_DIF,'"&amp;MAX('ID1&amp;5'!K:K)+1&amp;"' AS ID_EXEC, CURRENT_TIMESTAMP() AS TIME_EXEC FROM "&amp;I469,
IF(C469="Valores extremos",+"SELECT '"&amp;UPPER(B469)&amp;"' AS TABELA, '"&amp;UPPER(C469)&amp;"' AS TIPOLOGIA_TESTE,'"&amp;D469&amp;"' AS TABELA_LT,'N/A' AS TABELA_SIMUL,'"&amp;F469&amp;"' AS CAMPO, "&amp;"'${ref_date}' AS REF_DATE, CAST(MIN("&amp;F469&amp;") AS STRING) AS VALOR_MIN, CAST(MAX("&amp;F469&amp;") AS STRING) AS VALOR_MAX,'"&amp;MAX('ID1&amp;5'!K:K)+1&amp;"' AS ID_EXEC, CURRENT_TIMESTAMP() AS TIME_EXEC FROM "&amp;MID(I469,1,LEN(I469)-2)&amp;" AND CAST("&amp;F469&amp;"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TABELA_SIMUL,'DFLT_STTS_INSTRMNT' AS CAMPO, '${ref_date}' AS REF_DATE, CAST(MIN(DFLT_STTS_INSTRMNT) AS STRING) AS VALOR_MIN, CAST(MAX(DFLT_STTS_INSTRMNT) AS STRING) AS VALOR_MAX,'10' AS ID_EXEC, CURRENT_TIMESTAMP() AS TIME_EXEC FROM (SELECT instrmnt_id, DFLT_STTS_INSTRMNT FROM BU_LOANTAPE_WORK.LT002_INSTRUMENT WHERE ref_date='${ref_date}' AND nome_perimetro='Individual Corporativo' AND segmento='ESTR' AND ambito='PILAR3' AND CAST(DFLT_STTS_INSTRMNT AS STRING) NOT IN ('0000-00-00','0001-01-01','9999-12-31','MISS','00000','99999999999','99999999999.00','99999999999.000000','N/A','11111111111','11111111111.00','11111111111.000000','1111-11-11'))X</v>
      </c>
      <c r="M469" s="43" t="str">
        <f t="shared" si="7"/>
        <v>UNION ALL SELECT 'INSTRUMENT' AS TABELA, 'VALORES EXTREMOS' AS TIPOLOGIA_TESTE,'BU_LOANTAPE_WORK.LT002_INSTRUMENT' AS TABELA_LT,'N/A' AS TABELA_SIMUL,'DFLT_STTS_INSTRMNT' AS CAMPO, '${ref_date}' AS REF_DATE, CAST(MIN(DFLT_STTS_INSTRMNT) AS STRING) AS VALOR_MIN, CAST(MAX(DFLT_STTS_INSTRMNT) AS STRING) AS VALOR_MAX,'10' AS ID_EXEC, CURRENT_TIMESTAMP() AS TIME_EXEC FROM (SELECT instrmnt_id, DFLT_STTS_INSTRMNT FROM BU_LOANTAPE_WORK.LT002_INSTRUMENT WHERE ref_date='${ref_date}' AND nome_perimetro='Individual Corporativo' AND segmento='ESTR' AND ambito='PILAR3' AND CAST(DFLT_STTS_INSTRMNT AS STRING) NOT IN ('0000-00-00','0001-01-01','9999-12-31','MISS','00000','99999999999','99999999999.00','99999999999.000000','N/A','11111111111','11111111111.00','11111111111.000000','1111-11-11'))X</v>
      </c>
      <c r="N469" s="45" t="s">
        <v>13</v>
      </c>
    </row>
    <row r="470" spans="2:14">
      <c r="B470" s="41" t="s">
        <v>27</v>
      </c>
      <c r="C470" s="41" t="s">
        <v>226</v>
      </c>
      <c r="D470" s="41" t="str">
        <f>+UPPER('0. Instruções'!$D$33&amp;"."&amp;VLOOKUP(B470,'0. Instruções'!$C$27:$D$31,2,FALSE))</f>
        <v>BU_LOANTAPE_WORK.LT002_INSTRUMENT</v>
      </c>
      <c r="E470" s="41" t="str">
        <f>+UPPER('0. Instruções'!$D$34&amp;"."&amp;VLOOKUP(B470,'0. Instruções'!$C$27:$E$31,3,FALSE))</f>
        <v>BU_LOANTAPE_WORK.LT002_INSTRUMENT_P3_NOV24</v>
      </c>
      <c r="F470" s="41" t="s">
        <v>160</v>
      </c>
      <c r="G470" s="41" t="s">
        <v>13</v>
      </c>
      <c r="H470" s="41"/>
      <c r="I470" s="41" t="str">
        <f>"(SELECT "&amp;VLOOKUP(B470,'0. Instruções'!$C$27:$G$31,4,FALSE)&amp;", "&amp;F470&amp;" FROM "&amp;D470&amp;" WHERE "&amp;'0. Instruções'!$D$40&amp;")X"</f>
        <v>(SELECT instrmnt_id, IMPRMNT_STTS FROM BU_LOANTAPE_WORK.LT002_INSTRUMENT WHERE ref_date='${ref_date}' AND nome_perimetro='Individual Corporativo' AND segmento='ESTR' AND ambito='PILAR3')X</v>
      </c>
      <c r="J470" s="41" t="str">
        <f>"(SELECT "&amp;VLOOKUP(B470,'0. Instruções'!$C$27:$G$31,4,FALSE)&amp;" AS "&amp;VLOOKUP(B470,'0. Instruções'!$C$27:$G$31,4,FALSE)&amp;"_SIMUL, "&amp;F470&amp;" AS "&amp;F470&amp;"_SIMUL FROM "&amp;E470&amp;")Y"</f>
        <v>(SELECT instrmnt_id AS instrmnt_id_SIMUL, IMPRMNT_STTS AS IMPRMNT_STTS_SIMUL FROM BU_LOANTAPE_WORK.LT002_INSTRUMENT_P3_NOV24)Y</v>
      </c>
      <c r="K470" s="42" t="str">
        <f>+UPPER("ON X."&amp;VLOOKUP(B470,'0. Instruções'!$C$27:$G$31,4,FALSE)&amp;"=Y."&amp;VLOOKUP(B470,'0. Instruções'!$C$27:$G$31,4,FALSE)&amp;"_SIMUL")</f>
        <v>ON X.INSTRMNT_ID=Y.INSTRMNT_ID_SIMUL</v>
      </c>
      <c r="L470" s="42" t="str">
        <f>+IF(C470="Coerência", +IF(LEFT(G470,5)="FLOAT","SELECT '"&amp;UPPER(B470)&amp;"' AS TABELA, '"&amp;UPPER(C470)&amp;"' AS TIPOLOGIA_TESTE,'"&amp;D470&amp;"' AS TABELA_LT,'"&amp;E470&amp;"' AS TABELA_SIMUL,'"&amp;F470&amp;"' AS CAMPO, "&amp;"'${ref_date}' AS REF_DATE, COUNT(*) AS NUM_REG, SUM(IF((ABS(COALESCE(X."&amp;F470&amp;",0)-COALESCE(Y."&amp;F470&amp;"_SIMUL,0))&gt;0.0000000001) OR (X."&amp;F470&amp;" IS NULL AND Y."&amp;F470&amp;"_SIMUL IS NOT NULL ) OR (X."&amp;F470&amp;" IS NOT NULL AND Y."&amp;F470&amp;"_SIMUL IS NULL),1,0)) AS NUM_REG_DIF,'"&amp;MAX('ID1&amp;5'!K:K)+1&amp;"' AS ID_EXEC, CURRENT_TIMESTAMP() AS TIME_EXEC FROM "&amp;I470&amp;" INNER JOIN "&amp;J470&amp;" "&amp;K470,"SELECT '"&amp;UPPER(B470)&amp;"' AS TABELA, '"&amp;UPPER(C470)&amp;"' AS TIPOLOGIA_TESTE,'"&amp;D470&amp;"' AS TABELA_LT,'"&amp;E470&amp;"' AS TABELA_SIMUL,'"&amp;F470&amp;"' AS CAMPO, "&amp;"'${ref_date}' AS REF_DATE, COUNT(*) AS NUM_REG, SUM(IF(COALESCE(CAST(X."&amp;F470&amp;" AS STRING),'')&lt;&gt;COALESCE(CAST(Y."&amp;F470&amp;"_SIMUL AS STRING),''),1,0)) AS NUM_REG_DIF,'"&amp;MAX('ID1&amp;5'!L:L)+1&amp;"' AS ID_EXEC, CURRENT_TIMESTAMP() AS TIME_EXEC FROM "&amp;I470&amp;" INNER JOIN "&amp;J470&amp;" "&amp;K470),
IF(C470="Validade",+IF(G470="Code List","SELECT '"&amp;UPPER(B470)&amp;"' AS TABELA, '"&amp;UPPER(C470)&amp;"' AS TIPOLOGIA_TESTE,'"&amp;D470&amp;"' AS TABELA_LT,'N/A' AS TABELA_SIMUL,'"&amp;F470&amp;"' AS CAMPO, "&amp;"'${ref_date}' AS REF_DATE, COUNT(*) AS NUM_REG, SUM(IF(TRIM(CAST(X."&amp;F470&amp;" AS STRING))='' OR TRIM(CAST(X."&amp;F470&amp;" AS STRING)) IS NULL OR CAST(X."&amp;F470&amp;" AS STRING) NOT "&amp;H470&amp;",1,0)) AS NUM_REG_DIF,'"&amp;MAX('ID1&amp;5'!K:K)+1&amp;"' AS ID_EXEC, CURRENT_TIMESTAMP() AS TIME_EXEC FROM "&amp;I470,"SELECT '"&amp;UPPER(B470)&amp;"' AS TABELA, '"&amp;UPPER(C470)&amp;"' AS TIPOLOGIA_TESTE,'"&amp;D470&amp;"' AS TABELA_LT,'N/A' AS TABELA_SIMUL,'"&amp;F470&amp;"' AS CAMPO, "&amp;"'${ref_date}' AS REF_DATE, COUNT(*) AS NUM_REG, SUM(IF(TRIM(CAST(X."&amp;F470&amp;" AS STRING))='' OR TRIM(CAST(X."&amp;F470&amp;" AS STRING)) IS NULL,1,0)) AS NUM_REG_DIF,'"&amp;MAX('ID1&amp;5'!K:K)+1&amp;"' AS ID_EXEC, CURRENT_TIMESTAMP() AS TIME_EXEC FROM "&amp;I470),
IF(C470="Caracteres Especiais",+"SELECT '"&amp;UPPER(B470)&amp;"' AS TABELA, '"&amp;UPPER(C470)&amp;"' AS TIPOLOGIA_TESTE,'"&amp;D470&amp;"' AS TABELA_LT,'N/A' AS TABELA_SIMUL,'"&amp;F470&amp;"' AS CAMPO, "&amp;"'${ref_date}' AS REF_DATE, COUNT(*) AS NUM_REG, SUM(IF(INSTR(CAST(X."&amp;F470&amp;" AS STRING),'#')&gt;0 OR INSTR(CAST(X."&amp;F470&amp;" AS STRING),'*')&gt;0 OR INSTR(CAST(X."&amp;F470&amp;" AS STRING),'`')&gt;0 OR INSTR(CAST(X."&amp;F470&amp;" AS STRING),'´')&gt;0 OR INSTR(CAST(X."&amp;F470&amp;" AS STRING),'{')&gt;0 OR INSTR(CAST(X."&amp;F470&amp;" AS STRING),'}')&gt;0 OR INSTR(CAST(X."&amp;F470&amp;" AS STRING),'[')&gt;0 OR INSTR(CAST(X."&amp;F470&amp;" AS STRING),'')&gt;0 OR INSTR(CAST(X."&amp;F470&amp;" AS STRING),']')&gt;0 OR INSTR(CAST(X."&amp;F470&amp;" AS STRING),'?')&gt;0 OR INSTR(CAST(X."&amp;F470&amp;" AS STRING),'!')&gt;0 OR INSTR(CAST(X."&amp;F470&amp;" AS STRING),'$')&gt;0 OR INSTR(CAST(X."&amp;F470&amp;" AS STRING),'%')&gt;0 OR INSTR(CAST(X."&amp;F470&amp;" AS STRING),'&amp;')&gt;0 OR INSTR(CAST(X."&amp;F470&amp;" AS STRING),'+')&gt;0,1,0)) AS NUM_REG_DIF,'"&amp;MAX('ID1&amp;5'!K:K)+1&amp;"' AS ID_EXEC, CURRENT_TIMESTAMP() AS TIME_EXEC FROM "&amp;I470,
IF(C470="Missings",+"SELECT '"&amp;UPPER(B470)&amp;"' AS TABELA, '"&amp;UPPER(C470)&amp;"' AS TIPOLOGIA_TESTE,'"&amp;D470&amp;"' AS TABELA_LT,'N/A' AS TABELA_SIMUL,'"&amp;F470&amp;"' AS CAMPO, "&amp;"'${ref_date}' AS REF_DATE, COUNT(*) AS NUM_REG, SUM(IF(TRIM(CAST(X."&amp;F470&amp;" AS STRING)) IN ('0000-00-00','0001-01-01','9999-12-31','MISS','00000','99999999999','99999999999.00','99999999999.000000'),1,0)) AS NUM_REG_DIF,'"&amp;MAX('ID1&amp;5'!K:K)+1&amp;"' AS ID_EXEC, CURRENT_TIMESTAMP() AS TIME_EXEC FROM "&amp;I470,
IF(C470="Not applicable",+"SELECT '"&amp;UPPER(B470)&amp;"' AS TABELA, '"&amp;UPPER(C470)&amp;"' AS TIPOLOGIA_TESTE,'"&amp;D470&amp;"' AS TABELA_LT,'N/A' AS TABELA_SIMUL,'"&amp;F470&amp;"' AS CAMPO, "&amp;"'${ref_date}' AS REF_DATE, COUNT(*) AS NUM_REG, SUM(IF(TRIM(CAST(X."&amp;F470&amp;" AS STRING)) IN ('N/A','11111111111','11111111111.00','11111111111.000000','1111-11-11'),1,0)) AS NUM_REG_DIF,'"&amp;MAX('ID1&amp;5'!K:K)+1&amp;"' AS ID_EXEC, CURRENT_TIMESTAMP() AS TIME_EXEC FROM "&amp;I470,
IF(C470="Valores extremos",+"SELECT '"&amp;UPPER(B470)&amp;"' AS TABELA, '"&amp;UPPER(C470)&amp;"' AS TIPOLOGIA_TESTE,'"&amp;D470&amp;"' AS TABELA_LT,'N/A' AS TABELA_SIMUL,'"&amp;F470&amp;"' AS CAMPO, "&amp;"'${ref_date}' AS REF_DATE, CAST(MIN("&amp;F470&amp;") AS STRING) AS VALOR_MIN, CAST(MAX("&amp;F470&amp;") AS STRING) AS VALOR_MAX,'"&amp;MAX('ID1&amp;5'!K:K)+1&amp;"' AS ID_EXEC, CURRENT_TIMESTAMP() AS TIME_EXEC FROM "&amp;MID(I470,1,LEN(I470)-2)&amp;" AND CAST("&amp;F470&amp;"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TABELA_SIMUL,'IMPRMNT_STTS' AS CAMPO, '${ref_date}' AS REF_DATE, CAST(MIN(IMPRMNT_STTS) AS STRING) AS VALOR_MIN, CAST(MAX(IMPRMNT_STTS) AS STRING) AS VALOR_MAX,'10' AS ID_EXEC, CURRENT_TIMESTAMP() AS TIME_EXEC FROM (SELECT instrmnt_id, IMPRMNT_STTS FROM BU_LOANTAPE_WORK.LT002_INSTRUMENT WHERE ref_date='${ref_date}' AND nome_perimetro='Individual Corporativo' AND segmento='ESTR' AND ambito='PILAR3' AND CAST(IMPRMNT_STTS AS STRING) NOT IN ('0000-00-00','0001-01-01','9999-12-31','MISS','00000','99999999999','99999999999.00','99999999999.000000','N/A','11111111111','11111111111.00','11111111111.000000','1111-11-11'))X</v>
      </c>
      <c r="M470" s="43" t="str">
        <f t="shared" si="7"/>
        <v>UNION ALL SELECT 'INSTRUMENT' AS TABELA, 'VALORES EXTREMOS' AS TIPOLOGIA_TESTE,'BU_LOANTAPE_WORK.LT002_INSTRUMENT' AS TABELA_LT,'N/A' AS TABELA_SIMUL,'IMPRMNT_STTS' AS CAMPO, '${ref_date}' AS REF_DATE, CAST(MIN(IMPRMNT_STTS) AS STRING) AS VALOR_MIN, CAST(MAX(IMPRMNT_STTS) AS STRING) AS VALOR_MAX,'10' AS ID_EXEC, CURRENT_TIMESTAMP() AS TIME_EXEC FROM (SELECT instrmnt_id, IMPRMNT_STTS FROM BU_LOANTAPE_WORK.LT002_INSTRUMENT WHERE ref_date='${ref_date}' AND nome_perimetro='Individual Corporativo' AND segmento='ESTR' AND ambito='PILAR3' AND CAST(IMPRMNT_STTS AS STRING) NOT IN ('0000-00-00','0001-01-01','9999-12-31','MISS','00000','99999999999','99999999999.00','99999999999.000000','N/A','11111111111','11111111111.00','11111111111.000000','1111-11-11'))X</v>
      </c>
      <c r="N470" s="45" t="s">
        <v>13</v>
      </c>
    </row>
    <row r="471" spans="2:14">
      <c r="B471" s="41" t="s">
        <v>27</v>
      </c>
      <c r="C471" s="41" t="s">
        <v>226</v>
      </c>
      <c r="D471" s="41" t="str">
        <f>+UPPER('0. Instruções'!$D$33&amp;"."&amp;VLOOKUP(B471,'0. Instruções'!$C$27:$D$31,2,FALSE))</f>
        <v>BU_LOANTAPE_WORK.LT002_INSTRUMENT</v>
      </c>
      <c r="E471" s="41" t="str">
        <f>+UPPER('0. Instruções'!$D$34&amp;"."&amp;VLOOKUP(B471,'0. Instruções'!$C$27:$E$31,3,FALSE))</f>
        <v>BU_LOANTAPE_WORK.LT002_INSTRUMENT_P3_NOV24</v>
      </c>
      <c r="F471" s="41" t="s">
        <v>161</v>
      </c>
      <c r="G471" s="41" t="s">
        <v>13</v>
      </c>
      <c r="H471" s="41"/>
      <c r="I471" s="41" t="str">
        <f>"(SELECT "&amp;VLOOKUP(B471,'0. Instruções'!$C$27:$G$31,4,FALSE)&amp;", "&amp;F471&amp;" FROM "&amp;D471&amp;" WHERE "&amp;'0. Instruções'!$D$40&amp;")X"</f>
        <v>(SELECT instrmnt_id, PRFRMNG_STTS FROM BU_LOANTAPE_WORK.LT002_INSTRUMENT WHERE ref_date='${ref_date}' AND nome_perimetro='Individual Corporativo' AND segmento='ESTR' AND ambito='PILAR3')X</v>
      </c>
      <c r="J471" s="41" t="str">
        <f>"(SELECT "&amp;VLOOKUP(B471,'0. Instruções'!$C$27:$G$31,4,FALSE)&amp;" AS "&amp;VLOOKUP(B471,'0. Instruções'!$C$27:$G$31,4,FALSE)&amp;"_SIMUL, "&amp;F471&amp;" AS "&amp;F471&amp;"_SIMUL FROM "&amp;E471&amp;")Y"</f>
        <v>(SELECT instrmnt_id AS instrmnt_id_SIMUL, PRFRMNG_STTS AS PRFRMNG_STTS_SIMUL FROM BU_LOANTAPE_WORK.LT002_INSTRUMENT_P3_NOV24)Y</v>
      </c>
      <c r="K471" s="42" t="str">
        <f>+UPPER("ON X."&amp;VLOOKUP(B471,'0. Instruções'!$C$27:$G$31,4,FALSE)&amp;"=Y."&amp;VLOOKUP(B471,'0. Instruções'!$C$27:$G$31,4,FALSE)&amp;"_SIMUL")</f>
        <v>ON X.INSTRMNT_ID=Y.INSTRMNT_ID_SIMUL</v>
      </c>
      <c r="L471" s="42" t="str">
        <f>+IF(C471="Coerência", +IF(LEFT(G471,5)="FLOAT","SELECT '"&amp;UPPER(B471)&amp;"' AS TABELA, '"&amp;UPPER(C471)&amp;"' AS TIPOLOGIA_TESTE,'"&amp;D471&amp;"' AS TABELA_LT,'"&amp;E471&amp;"' AS TABELA_SIMUL,'"&amp;F471&amp;"' AS CAMPO, "&amp;"'${ref_date}' AS REF_DATE, COUNT(*) AS NUM_REG, SUM(IF((ABS(COALESCE(X."&amp;F471&amp;",0)-COALESCE(Y."&amp;F471&amp;"_SIMUL,0))&gt;0.0000000001) OR (X."&amp;F471&amp;" IS NULL AND Y."&amp;F471&amp;"_SIMUL IS NOT NULL ) OR (X."&amp;F471&amp;" IS NOT NULL AND Y."&amp;F471&amp;"_SIMUL IS NULL),1,0)) AS NUM_REG_DIF,'"&amp;MAX('ID1&amp;5'!K:K)+1&amp;"' AS ID_EXEC, CURRENT_TIMESTAMP() AS TIME_EXEC FROM "&amp;I471&amp;" INNER JOIN "&amp;J471&amp;" "&amp;K471,"SELECT '"&amp;UPPER(B471)&amp;"' AS TABELA, '"&amp;UPPER(C471)&amp;"' AS TIPOLOGIA_TESTE,'"&amp;D471&amp;"' AS TABELA_LT,'"&amp;E471&amp;"' AS TABELA_SIMUL,'"&amp;F471&amp;"' AS CAMPO, "&amp;"'${ref_date}' AS REF_DATE, COUNT(*) AS NUM_REG, SUM(IF(COALESCE(CAST(X."&amp;F471&amp;" AS STRING),'')&lt;&gt;COALESCE(CAST(Y."&amp;F471&amp;"_SIMUL AS STRING),''),1,0)) AS NUM_REG_DIF,'"&amp;MAX('ID1&amp;5'!L:L)+1&amp;"' AS ID_EXEC, CURRENT_TIMESTAMP() AS TIME_EXEC FROM "&amp;I471&amp;" INNER JOIN "&amp;J471&amp;" "&amp;K471),
IF(C471="Validade",+IF(G471="Code List","SELECT '"&amp;UPPER(B471)&amp;"' AS TABELA, '"&amp;UPPER(C471)&amp;"' AS TIPOLOGIA_TESTE,'"&amp;D471&amp;"' AS TABELA_LT,'N/A' AS TABELA_SIMUL,'"&amp;F471&amp;"' AS CAMPO, "&amp;"'${ref_date}' AS REF_DATE, COUNT(*) AS NUM_REG, SUM(IF(TRIM(CAST(X."&amp;F471&amp;" AS STRING))='' OR TRIM(CAST(X."&amp;F471&amp;" AS STRING)) IS NULL OR CAST(X."&amp;F471&amp;" AS STRING) NOT "&amp;H471&amp;",1,0)) AS NUM_REG_DIF,'"&amp;MAX('ID1&amp;5'!K:K)+1&amp;"' AS ID_EXEC, CURRENT_TIMESTAMP() AS TIME_EXEC FROM "&amp;I471,"SELECT '"&amp;UPPER(B471)&amp;"' AS TABELA, '"&amp;UPPER(C471)&amp;"' AS TIPOLOGIA_TESTE,'"&amp;D471&amp;"' AS TABELA_LT,'N/A' AS TABELA_SIMUL,'"&amp;F471&amp;"' AS CAMPO, "&amp;"'${ref_date}' AS REF_DATE, COUNT(*) AS NUM_REG, SUM(IF(TRIM(CAST(X."&amp;F471&amp;" AS STRING))='' OR TRIM(CAST(X."&amp;F471&amp;" AS STRING)) IS NULL,1,0)) AS NUM_REG_DIF,'"&amp;MAX('ID1&amp;5'!K:K)+1&amp;"' AS ID_EXEC, CURRENT_TIMESTAMP() AS TIME_EXEC FROM "&amp;I471),
IF(C471="Caracteres Especiais",+"SELECT '"&amp;UPPER(B471)&amp;"' AS TABELA, '"&amp;UPPER(C471)&amp;"' AS TIPOLOGIA_TESTE,'"&amp;D471&amp;"' AS TABELA_LT,'N/A' AS TABELA_SIMUL,'"&amp;F471&amp;"' AS CAMPO, "&amp;"'${ref_date}' AS REF_DATE, COUNT(*) AS NUM_REG, SUM(IF(INSTR(CAST(X."&amp;F471&amp;" AS STRING),'#')&gt;0 OR INSTR(CAST(X."&amp;F471&amp;" AS STRING),'*')&gt;0 OR INSTR(CAST(X."&amp;F471&amp;" AS STRING),'`')&gt;0 OR INSTR(CAST(X."&amp;F471&amp;" AS STRING),'´')&gt;0 OR INSTR(CAST(X."&amp;F471&amp;" AS STRING),'{')&gt;0 OR INSTR(CAST(X."&amp;F471&amp;" AS STRING),'}')&gt;0 OR INSTR(CAST(X."&amp;F471&amp;" AS STRING),'[')&gt;0 OR INSTR(CAST(X."&amp;F471&amp;" AS STRING),'')&gt;0 OR INSTR(CAST(X."&amp;F471&amp;" AS STRING),']')&gt;0 OR INSTR(CAST(X."&amp;F471&amp;" AS STRING),'?')&gt;0 OR INSTR(CAST(X."&amp;F471&amp;" AS STRING),'!')&gt;0 OR INSTR(CAST(X."&amp;F471&amp;" AS STRING),'$')&gt;0 OR INSTR(CAST(X."&amp;F471&amp;" AS STRING),'%')&gt;0 OR INSTR(CAST(X."&amp;F471&amp;" AS STRING),'&amp;')&gt;0 OR INSTR(CAST(X."&amp;F471&amp;" AS STRING),'+')&gt;0,1,0)) AS NUM_REG_DIF,'"&amp;MAX('ID1&amp;5'!K:K)+1&amp;"' AS ID_EXEC, CURRENT_TIMESTAMP() AS TIME_EXEC FROM "&amp;I471,
IF(C471="Missings",+"SELECT '"&amp;UPPER(B471)&amp;"' AS TABELA, '"&amp;UPPER(C471)&amp;"' AS TIPOLOGIA_TESTE,'"&amp;D471&amp;"' AS TABELA_LT,'N/A' AS TABELA_SIMUL,'"&amp;F471&amp;"' AS CAMPO, "&amp;"'${ref_date}' AS REF_DATE, COUNT(*) AS NUM_REG, SUM(IF(TRIM(CAST(X."&amp;F471&amp;" AS STRING)) IN ('0000-00-00','0001-01-01','9999-12-31','MISS','00000','99999999999','99999999999.00','99999999999.000000'),1,0)) AS NUM_REG_DIF,'"&amp;MAX('ID1&amp;5'!K:K)+1&amp;"' AS ID_EXEC, CURRENT_TIMESTAMP() AS TIME_EXEC FROM "&amp;I471,
IF(C471="Not applicable",+"SELECT '"&amp;UPPER(B471)&amp;"' AS TABELA, '"&amp;UPPER(C471)&amp;"' AS TIPOLOGIA_TESTE,'"&amp;D471&amp;"' AS TABELA_LT,'N/A' AS TABELA_SIMUL,'"&amp;F471&amp;"' AS CAMPO, "&amp;"'${ref_date}' AS REF_DATE, COUNT(*) AS NUM_REG, SUM(IF(TRIM(CAST(X."&amp;F471&amp;" AS STRING)) IN ('N/A','11111111111','11111111111.00','11111111111.000000','1111-11-11'),1,0)) AS NUM_REG_DIF,'"&amp;MAX('ID1&amp;5'!K:K)+1&amp;"' AS ID_EXEC, CURRENT_TIMESTAMP() AS TIME_EXEC FROM "&amp;I471,
IF(C471="Valores extremos",+"SELECT '"&amp;UPPER(B471)&amp;"' AS TABELA, '"&amp;UPPER(C471)&amp;"' AS TIPOLOGIA_TESTE,'"&amp;D471&amp;"' AS TABELA_LT,'N/A' AS TABELA_SIMUL,'"&amp;F471&amp;"' AS CAMPO, "&amp;"'${ref_date}' AS REF_DATE, CAST(MIN("&amp;F471&amp;") AS STRING) AS VALOR_MIN, CAST(MAX("&amp;F471&amp;") AS STRING) AS VALOR_MAX,'"&amp;MAX('ID1&amp;5'!K:K)+1&amp;"' AS ID_EXEC, CURRENT_TIMESTAMP() AS TIME_EXEC FROM "&amp;MID(I471,1,LEN(I471)-2)&amp;" AND CAST("&amp;F471&amp;"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TABELA_SIMUL,'PRFRMNG_STTS' AS CAMPO, '${ref_date}' AS REF_DATE, CAST(MIN(PRFRMNG_STTS) AS STRING) AS VALOR_MIN, CAST(MAX(PRFRMNG_STTS) AS STRING) AS VALOR_MAX,'10' AS ID_EXEC, CURRENT_TIMESTAMP() AS TIME_EXEC FROM (SELECT instrmnt_id, PRFRMNG_STTS FROM BU_LOANTAPE_WORK.LT002_INSTRUMENT WHERE ref_date='${ref_date}' AND nome_perimetro='Individual Corporativo' AND segmento='ESTR' AND ambito='PILAR3' AND CAST(PRFRMNG_STTS AS STRING) NOT IN ('0000-00-00','0001-01-01','9999-12-31','MISS','00000','99999999999','99999999999.00','99999999999.000000','N/A','11111111111','11111111111.00','11111111111.000000','1111-11-11'))X</v>
      </c>
      <c r="M471" s="43" t="str">
        <f t="shared" si="7"/>
        <v>UNION ALL SELECT 'INSTRUMENT' AS TABELA, 'VALORES EXTREMOS' AS TIPOLOGIA_TESTE,'BU_LOANTAPE_WORK.LT002_INSTRUMENT' AS TABELA_LT,'N/A' AS TABELA_SIMUL,'PRFRMNG_STTS' AS CAMPO, '${ref_date}' AS REF_DATE, CAST(MIN(PRFRMNG_STTS) AS STRING) AS VALOR_MIN, CAST(MAX(PRFRMNG_STTS) AS STRING) AS VALOR_MAX,'10' AS ID_EXEC, CURRENT_TIMESTAMP() AS TIME_EXEC FROM (SELECT instrmnt_id, PRFRMNG_STTS FROM BU_LOANTAPE_WORK.LT002_INSTRUMENT WHERE ref_date='${ref_date}' AND nome_perimetro='Individual Corporativo' AND segmento='ESTR' AND ambito='PILAR3' AND CAST(PRFRMNG_STTS AS STRING) NOT IN ('0000-00-00','0001-01-01','9999-12-31','MISS','00000','99999999999','99999999999.00','99999999999.000000','N/A','11111111111','11111111111.00','11111111111.000000','1111-11-11'))X</v>
      </c>
      <c r="N471" s="45" t="s">
        <v>13</v>
      </c>
    </row>
    <row r="472" spans="2:14">
      <c r="B472" s="41" t="s">
        <v>27</v>
      </c>
      <c r="C472" s="41" t="s">
        <v>226</v>
      </c>
      <c r="D472" s="41" t="str">
        <f>+UPPER('0. Instruções'!$D$33&amp;"."&amp;VLOOKUP(B472,'0. Instruções'!$C$27:$D$31,2,FALSE))</f>
        <v>BU_LOANTAPE_WORK.LT002_INSTRUMENT</v>
      </c>
      <c r="E472" s="41" t="str">
        <f>+UPPER('0. Instruções'!$D$34&amp;"."&amp;VLOOKUP(B472,'0. Instruções'!$C$27:$E$31,3,FALSE))</f>
        <v>BU_LOANTAPE_WORK.LT002_INSTRUMENT_P3_NOV24</v>
      </c>
      <c r="F472" s="41" t="s">
        <v>162</v>
      </c>
      <c r="G472" s="41" t="s">
        <v>13</v>
      </c>
      <c r="H472" s="41"/>
      <c r="I472" s="41" t="str">
        <f>"(SELECT "&amp;VLOOKUP(B472,'0. Instruções'!$C$27:$G$31,4,FALSE)&amp;", "&amp;F472&amp;" FROM "&amp;D472&amp;" WHERE "&amp;'0. Instruções'!$D$40&amp;")X"</f>
        <v>(SELECT instrmnt_id, PRJCT_FNNC_LN FROM BU_LOANTAPE_WORK.LT002_INSTRUMENT WHERE ref_date='${ref_date}' AND nome_perimetro='Individual Corporativo' AND segmento='ESTR' AND ambito='PILAR3')X</v>
      </c>
      <c r="J472" s="41" t="str">
        <f>"(SELECT "&amp;VLOOKUP(B472,'0. Instruções'!$C$27:$G$31,4,FALSE)&amp;" AS "&amp;VLOOKUP(B472,'0. Instruções'!$C$27:$G$31,4,FALSE)&amp;"_SIMUL, "&amp;F472&amp;" AS "&amp;F472&amp;"_SIMUL FROM "&amp;E472&amp;")Y"</f>
        <v>(SELECT instrmnt_id AS instrmnt_id_SIMUL, PRJCT_FNNC_LN AS PRJCT_FNNC_LN_SIMUL FROM BU_LOANTAPE_WORK.LT002_INSTRUMENT_P3_NOV24)Y</v>
      </c>
      <c r="K472" s="42" t="str">
        <f>+UPPER("ON X."&amp;VLOOKUP(B472,'0. Instruções'!$C$27:$G$31,4,FALSE)&amp;"=Y."&amp;VLOOKUP(B472,'0. Instruções'!$C$27:$G$31,4,FALSE)&amp;"_SIMUL")</f>
        <v>ON X.INSTRMNT_ID=Y.INSTRMNT_ID_SIMUL</v>
      </c>
      <c r="L472" s="42" t="str">
        <f>+IF(C472="Coerência", +IF(LEFT(G472,5)="FLOAT","SELECT '"&amp;UPPER(B472)&amp;"' AS TABELA, '"&amp;UPPER(C472)&amp;"' AS TIPOLOGIA_TESTE,'"&amp;D472&amp;"' AS TABELA_LT,'"&amp;E472&amp;"' AS TABELA_SIMUL,'"&amp;F472&amp;"' AS CAMPO, "&amp;"'${ref_date}' AS REF_DATE, COUNT(*) AS NUM_REG, SUM(IF((ABS(COALESCE(X."&amp;F472&amp;",0)-COALESCE(Y."&amp;F472&amp;"_SIMUL,0))&gt;0.0000000001) OR (X."&amp;F472&amp;" IS NULL AND Y."&amp;F472&amp;"_SIMUL IS NOT NULL ) OR (X."&amp;F472&amp;" IS NOT NULL AND Y."&amp;F472&amp;"_SIMUL IS NULL),1,0)) AS NUM_REG_DIF,'"&amp;MAX('ID1&amp;5'!K:K)+1&amp;"' AS ID_EXEC, CURRENT_TIMESTAMP() AS TIME_EXEC FROM "&amp;I472&amp;" INNER JOIN "&amp;J472&amp;" "&amp;K472,"SELECT '"&amp;UPPER(B472)&amp;"' AS TABELA, '"&amp;UPPER(C472)&amp;"' AS TIPOLOGIA_TESTE,'"&amp;D472&amp;"' AS TABELA_LT,'"&amp;E472&amp;"' AS TABELA_SIMUL,'"&amp;F472&amp;"' AS CAMPO, "&amp;"'${ref_date}' AS REF_DATE, COUNT(*) AS NUM_REG, SUM(IF(COALESCE(CAST(X."&amp;F472&amp;" AS STRING),'')&lt;&gt;COALESCE(CAST(Y."&amp;F472&amp;"_SIMUL AS STRING),''),1,0)) AS NUM_REG_DIF,'"&amp;MAX('ID1&amp;5'!L:L)+1&amp;"' AS ID_EXEC, CURRENT_TIMESTAMP() AS TIME_EXEC FROM "&amp;I472&amp;" INNER JOIN "&amp;J472&amp;" "&amp;K472),
IF(C472="Validade",+IF(G472="Code List","SELECT '"&amp;UPPER(B472)&amp;"' AS TABELA, '"&amp;UPPER(C472)&amp;"' AS TIPOLOGIA_TESTE,'"&amp;D472&amp;"' AS TABELA_LT,'N/A' AS TABELA_SIMUL,'"&amp;F472&amp;"' AS CAMPO, "&amp;"'${ref_date}' AS REF_DATE, COUNT(*) AS NUM_REG, SUM(IF(TRIM(CAST(X."&amp;F472&amp;" AS STRING))='' OR TRIM(CAST(X."&amp;F472&amp;" AS STRING)) IS NULL OR CAST(X."&amp;F472&amp;" AS STRING) NOT "&amp;H472&amp;",1,0)) AS NUM_REG_DIF,'"&amp;MAX('ID1&amp;5'!K:K)+1&amp;"' AS ID_EXEC, CURRENT_TIMESTAMP() AS TIME_EXEC FROM "&amp;I472,"SELECT '"&amp;UPPER(B472)&amp;"' AS TABELA, '"&amp;UPPER(C472)&amp;"' AS TIPOLOGIA_TESTE,'"&amp;D472&amp;"' AS TABELA_LT,'N/A' AS TABELA_SIMUL,'"&amp;F472&amp;"' AS CAMPO, "&amp;"'${ref_date}' AS REF_DATE, COUNT(*) AS NUM_REG, SUM(IF(TRIM(CAST(X."&amp;F472&amp;" AS STRING))='' OR TRIM(CAST(X."&amp;F472&amp;" AS STRING)) IS NULL,1,0)) AS NUM_REG_DIF,'"&amp;MAX('ID1&amp;5'!K:K)+1&amp;"' AS ID_EXEC, CURRENT_TIMESTAMP() AS TIME_EXEC FROM "&amp;I472),
IF(C472="Caracteres Especiais",+"SELECT '"&amp;UPPER(B472)&amp;"' AS TABELA, '"&amp;UPPER(C472)&amp;"' AS TIPOLOGIA_TESTE,'"&amp;D472&amp;"' AS TABELA_LT,'N/A' AS TABELA_SIMUL,'"&amp;F472&amp;"' AS CAMPO, "&amp;"'${ref_date}' AS REF_DATE, COUNT(*) AS NUM_REG, SUM(IF(INSTR(CAST(X."&amp;F472&amp;" AS STRING),'#')&gt;0 OR INSTR(CAST(X."&amp;F472&amp;" AS STRING),'*')&gt;0 OR INSTR(CAST(X."&amp;F472&amp;" AS STRING),'`')&gt;0 OR INSTR(CAST(X."&amp;F472&amp;" AS STRING),'´')&gt;0 OR INSTR(CAST(X."&amp;F472&amp;" AS STRING),'{')&gt;0 OR INSTR(CAST(X."&amp;F472&amp;" AS STRING),'}')&gt;0 OR INSTR(CAST(X."&amp;F472&amp;" AS STRING),'[')&gt;0 OR INSTR(CAST(X."&amp;F472&amp;" AS STRING),'')&gt;0 OR INSTR(CAST(X."&amp;F472&amp;" AS STRING),']')&gt;0 OR INSTR(CAST(X."&amp;F472&amp;" AS STRING),'?')&gt;0 OR INSTR(CAST(X."&amp;F472&amp;" AS STRING),'!')&gt;0 OR INSTR(CAST(X."&amp;F472&amp;" AS STRING),'$')&gt;0 OR INSTR(CAST(X."&amp;F472&amp;" AS STRING),'%')&gt;0 OR INSTR(CAST(X."&amp;F472&amp;" AS STRING),'&amp;')&gt;0 OR INSTR(CAST(X."&amp;F472&amp;" AS STRING),'+')&gt;0,1,0)) AS NUM_REG_DIF,'"&amp;MAX('ID1&amp;5'!K:K)+1&amp;"' AS ID_EXEC, CURRENT_TIMESTAMP() AS TIME_EXEC FROM "&amp;I472,
IF(C472="Missings",+"SELECT '"&amp;UPPER(B472)&amp;"' AS TABELA, '"&amp;UPPER(C472)&amp;"' AS TIPOLOGIA_TESTE,'"&amp;D472&amp;"' AS TABELA_LT,'N/A' AS TABELA_SIMUL,'"&amp;F472&amp;"' AS CAMPO, "&amp;"'${ref_date}' AS REF_DATE, COUNT(*) AS NUM_REG, SUM(IF(TRIM(CAST(X."&amp;F472&amp;" AS STRING)) IN ('0000-00-00','0001-01-01','9999-12-31','MISS','00000','99999999999','99999999999.00','99999999999.000000'),1,0)) AS NUM_REG_DIF,'"&amp;MAX('ID1&amp;5'!K:K)+1&amp;"' AS ID_EXEC, CURRENT_TIMESTAMP() AS TIME_EXEC FROM "&amp;I472,
IF(C472="Not applicable",+"SELECT '"&amp;UPPER(B472)&amp;"' AS TABELA, '"&amp;UPPER(C472)&amp;"' AS TIPOLOGIA_TESTE,'"&amp;D472&amp;"' AS TABELA_LT,'N/A' AS TABELA_SIMUL,'"&amp;F472&amp;"' AS CAMPO, "&amp;"'${ref_date}' AS REF_DATE, COUNT(*) AS NUM_REG, SUM(IF(TRIM(CAST(X."&amp;F472&amp;" AS STRING)) IN ('N/A','11111111111','11111111111.00','11111111111.000000','1111-11-11'),1,0)) AS NUM_REG_DIF,'"&amp;MAX('ID1&amp;5'!K:K)+1&amp;"' AS ID_EXEC, CURRENT_TIMESTAMP() AS TIME_EXEC FROM "&amp;I472,
IF(C472="Valores extremos",+"SELECT '"&amp;UPPER(B472)&amp;"' AS TABELA, '"&amp;UPPER(C472)&amp;"' AS TIPOLOGIA_TESTE,'"&amp;D472&amp;"' AS TABELA_LT,'N/A' AS TABELA_SIMUL,'"&amp;F472&amp;"' AS CAMPO, "&amp;"'${ref_date}' AS REF_DATE, CAST(MIN("&amp;F472&amp;") AS STRING) AS VALOR_MIN, CAST(MAX("&amp;F472&amp;") AS STRING) AS VALOR_MAX,'"&amp;MAX('ID1&amp;5'!K:K)+1&amp;"' AS ID_EXEC, CURRENT_TIMESTAMP() AS TIME_EXEC FROM "&amp;MID(I472,1,LEN(I472)-2)&amp;" AND CAST("&amp;F472&amp;"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TABELA_SIMUL,'PRJCT_FNNC_LN' AS CAMPO, '${ref_date}' AS REF_DATE, CAST(MIN(PRJCT_FNNC_LN) AS STRING) AS VALOR_MIN, CAST(MAX(PRJCT_FNNC_LN) AS STRING) AS VALOR_MAX,'10' AS ID_EXEC, CURRENT_TIMESTAMP() AS TIME_EXEC FROM (SELECT instrmnt_id, PRJCT_FNNC_LN FROM BU_LOANTAPE_WORK.LT002_INSTRUMENT WHERE ref_date='${ref_date}' AND nome_perimetro='Individual Corporativo' AND segmento='ESTR' AND ambito='PILAR3' AND CAST(PRJCT_FNNC_LN AS STRING) NOT IN ('0000-00-00','0001-01-01','9999-12-31','MISS','00000','99999999999','99999999999.00','99999999999.000000','N/A','11111111111','11111111111.00','11111111111.000000','1111-11-11'))X</v>
      </c>
      <c r="M472" s="43" t="str">
        <f t="shared" si="7"/>
        <v>UNION ALL SELECT 'INSTRUMENT' AS TABELA, 'VALORES EXTREMOS' AS TIPOLOGIA_TESTE,'BU_LOANTAPE_WORK.LT002_INSTRUMENT' AS TABELA_LT,'N/A' AS TABELA_SIMUL,'PRJCT_FNNC_LN' AS CAMPO, '${ref_date}' AS REF_DATE, CAST(MIN(PRJCT_FNNC_LN) AS STRING) AS VALOR_MIN, CAST(MAX(PRJCT_FNNC_LN) AS STRING) AS VALOR_MAX,'10' AS ID_EXEC, CURRENT_TIMESTAMP() AS TIME_EXEC FROM (SELECT instrmnt_id, PRJCT_FNNC_LN FROM BU_LOANTAPE_WORK.LT002_INSTRUMENT WHERE ref_date='${ref_date}' AND nome_perimetro='Individual Corporativo' AND segmento='ESTR' AND ambito='PILAR3' AND CAST(PRJCT_FNNC_LN AS STRING) NOT IN ('0000-00-00','0001-01-01','9999-12-31','MISS','00000','99999999999','99999999999.00','99999999999.000000','N/A','11111111111','11111111111.00','11111111111.000000','1111-11-11'))X</v>
      </c>
      <c r="N472" s="45" t="s">
        <v>13</v>
      </c>
    </row>
    <row r="473" spans="2:14">
      <c r="B473" s="41" t="s">
        <v>27</v>
      </c>
      <c r="C473" s="41" t="s">
        <v>226</v>
      </c>
      <c r="D473" s="41" t="str">
        <f>+UPPER('0. Instruções'!$D$33&amp;"."&amp;VLOOKUP(B473,'0. Instruções'!$C$27:$D$31,2,FALSE))</f>
        <v>BU_LOANTAPE_WORK.LT002_INSTRUMENT</v>
      </c>
      <c r="E473" s="41" t="str">
        <f>+UPPER('0. Instruções'!$D$34&amp;"."&amp;VLOOKUP(B473,'0. Instruções'!$C$27:$E$31,3,FALSE))</f>
        <v>BU_LOANTAPE_WORK.LT002_INSTRUMENT_P3_NOV24</v>
      </c>
      <c r="F473" s="41" t="s">
        <v>163</v>
      </c>
      <c r="G473" s="41" t="s">
        <v>13</v>
      </c>
      <c r="H473" s="41"/>
      <c r="I473" s="41" t="str">
        <f>"(SELECT "&amp;VLOOKUP(B473,'0. Instruções'!$C$27:$G$31,4,FALSE)&amp;", "&amp;F473&amp;" FROM "&amp;D473&amp;" WHERE "&amp;'0. Instruções'!$D$40&amp;")X"</f>
        <v>(SELECT instrmnt_id, TYP_INSTRMNT FROM BU_LOANTAPE_WORK.LT002_INSTRUMENT WHERE ref_date='${ref_date}' AND nome_perimetro='Individual Corporativo' AND segmento='ESTR' AND ambito='PILAR3')X</v>
      </c>
      <c r="J473" s="41" t="str">
        <f>"(SELECT "&amp;VLOOKUP(B473,'0. Instruções'!$C$27:$G$31,4,FALSE)&amp;" AS "&amp;VLOOKUP(B473,'0. Instruções'!$C$27:$G$31,4,FALSE)&amp;"_SIMUL, "&amp;F473&amp;" AS "&amp;F473&amp;"_SIMUL FROM "&amp;E473&amp;")Y"</f>
        <v>(SELECT instrmnt_id AS instrmnt_id_SIMUL, TYP_INSTRMNT AS TYP_INSTRMNT_SIMUL FROM BU_LOANTAPE_WORK.LT002_INSTRUMENT_P3_NOV24)Y</v>
      </c>
      <c r="K473" s="42" t="str">
        <f>+UPPER("ON X."&amp;VLOOKUP(B473,'0. Instruções'!$C$27:$G$31,4,FALSE)&amp;"=Y."&amp;VLOOKUP(B473,'0. Instruções'!$C$27:$G$31,4,FALSE)&amp;"_SIMUL")</f>
        <v>ON X.INSTRMNT_ID=Y.INSTRMNT_ID_SIMUL</v>
      </c>
      <c r="L473" s="42" t="str">
        <f>+IF(C473="Coerência", +IF(LEFT(G473,5)="FLOAT","SELECT '"&amp;UPPER(B473)&amp;"' AS TABELA, '"&amp;UPPER(C473)&amp;"' AS TIPOLOGIA_TESTE,'"&amp;D473&amp;"' AS TABELA_LT,'"&amp;E473&amp;"' AS TABELA_SIMUL,'"&amp;F473&amp;"' AS CAMPO, "&amp;"'${ref_date}' AS REF_DATE, COUNT(*) AS NUM_REG, SUM(IF((ABS(COALESCE(X."&amp;F473&amp;",0)-COALESCE(Y."&amp;F473&amp;"_SIMUL,0))&gt;0.0000000001) OR (X."&amp;F473&amp;" IS NULL AND Y."&amp;F473&amp;"_SIMUL IS NOT NULL ) OR (X."&amp;F473&amp;" IS NOT NULL AND Y."&amp;F473&amp;"_SIMUL IS NULL),1,0)) AS NUM_REG_DIF,'"&amp;MAX('ID1&amp;5'!K:K)+1&amp;"' AS ID_EXEC, CURRENT_TIMESTAMP() AS TIME_EXEC FROM "&amp;I473&amp;" INNER JOIN "&amp;J473&amp;" "&amp;K473,"SELECT '"&amp;UPPER(B473)&amp;"' AS TABELA, '"&amp;UPPER(C473)&amp;"' AS TIPOLOGIA_TESTE,'"&amp;D473&amp;"' AS TABELA_LT,'"&amp;E473&amp;"' AS TABELA_SIMUL,'"&amp;F473&amp;"' AS CAMPO, "&amp;"'${ref_date}' AS REF_DATE, COUNT(*) AS NUM_REG, SUM(IF(COALESCE(CAST(X."&amp;F473&amp;" AS STRING),'')&lt;&gt;COALESCE(CAST(Y."&amp;F473&amp;"_SIMUL AS STRING),''),1,0)) AS NUM_REG_DIF,'"&amp;MAX('ID1&amp;5'!L:L)+1&amp;"' AS ID_EXEC, CURRENT_TIMESTAMP() AS TIME_EXEC FROM "&amp;I473&amp;" INNER JOIN "&amp;J473&amp;" "&amp;K473),
IF(C473="Validade",+IF(G473="Code List","SELECT '"&amp;UPPER(B473)&amp;"' AS TABELA, '"&amp;UPPER(C473)&amp;"' AS TIPOLOGIA_TESTE,'"&amp;D473&amp;"' AS TABELA_LT,'N/A' AS TABELA_SIMUL,'"&amp;F473&amp;"' AS CAMPO, "&amp;"'${ref_date}' AS REF_DATE, COUNT(*) AS NUM_REG, SUM(IF(TRIM(CAST(X."&amp;F473&amp;" AS STRING))='' OR TRIM(CAST(X."&amp;F473&amp;" AS STRING)) IS NULL OR CAST(X."&amp;F473&amp;" AS STRING) NOT "&amp;H473&amp;",1,0)) AS NUM_REG_DIF,'"&amp;MAX('ID1&amp;5'!K:K)+1&amp;"' AS ID_EXEC, CURRENT_TIMESTAMP() AS TIME_EXEC FROM "&amp;I473,"SELECT '"&amp;UPPER(B473)&amp;"' AS TABELA, '"&amp;UPPER(C473)&amp;"' AS TIPOLOGIA_TESTE,'"&amp;D473&amp;"' AS TABELA_LT,'N/A' AS TABELA_SIMUL,'"&amp;F473&amp;"' AS CAMPO, "&amp;"'${ref_date}' AS REF_DATE, COUNT(*) AS NUM_REG, SUM(IF(TRIM(CAST(X."&amp;F473&amp;" AS STRING))='' OR TRIM(CAST(X."&amp;F473&amp;" AS STRING)) IS NULL,1,0)) AS NUM_REG_DIF,'"&amp;MAX('ID1&amp;5'!K:K)+1&amp;"' AS ID_EXEC, CURRENT_TIMESTAMP() AS TIME_EXEC FROM "&amp;I473),
IF(C473="Caracteres Especiais",+"SELECT '"&amp;UPPER(B473)&amp;"' AS TABELA, '"&amp;UPPER(C473)&amp;"' AS TIPOLOGIA_TESTE,'"&amp;D473&amp;"' AS TABELA_LT,'N/A' AS TABELA_SIMUL,'"&amp;F473&amp;"' AS CAMPO, "&amp;"'${ref_date}' AS REF_DATE, COUNT(*) AS NUM_REG, SUM(IF(INSTR(CAST(X."&amp;F473&amp;" AS STRING),'#')&gt;0 OR INSTR(CAST(X."&amp;F473&amp;" AS STRING),'*')&gt;0 OR INSTR(CAST(X."&amp;F473&amp;" AS STRING),'`')&gt;0 OR INSTR(CAST(X."&amp;F473&amp;" AS STRING),'´')&gt;0 OR INSTR(CAST(X."&amp;F473&amp;" AS STRING),'{')&gt;0 OR INSTR(CAST(X."&amp;F473&amp;" AS STRING),'}')&gt;0 OR INSTR(CAST(X."&amp;F473&amp;" AS STRING),'[')&gt;0 OR INSTR(CAST(X."&amp;F473&amp;" AS STRING),'')&gt;0 OR INSTR(CAST(X."&amp;F473&amp;" AS STRING),']')&gt;0 OR INSTR(CAST(X."&amp;F473&amp;" AS STRING),'?')&gt;0 OR INSTR(CAST(X."&amp;F473&amp;" AS STRING),'!')&gt;0 OR INSTR(CAST(X."&amp;F473&amp;" AS STRING),'$')&gt;0 OR INSTR(CAST(X."&amp;F473&amp;" AS STRING),'%')&gt;0 OR INSTR(CAST(X."&amp;F473&amp;" AS STRING),'&amp;')&gt;0 OR INSTR(CAST(X."&amp;F473&amp;" AS STRING),'+')&gt;0,1,0)) AS NUM_REG_DIF,'"&amp;MAX('ID1&amp;5'!K:K)+1&amp;"' AS ID_EXEC, CURRENT_TIMESTAMP() AS TIME_EXEC FROM "&amp;I473,
IF(C473="Missings",+"SELECT '"&amp;UPPER(B473)&amp;"' AS TABELA, '"&amp;UPPER(C473)&amp;"' AS TIPOLOGIA_TESTE,'"&amp;D473&amp;"' AS TABELA_LT,'N/A' AS TABELA_SIMUL,'"&amp;F473&amp;"' AS CAMPO, "&amp;"'${ref_date}' AS REF_DATE, COUNT(*) AS NUM_REG, SUM(IF(TRIM(CAST(X."&amp;F473&amp;" AS STRING)) IN ('0000-00-00','0001-01-01','9999-12-31','MISS','00000','99999999999','99999999999.00','99999999999.000000'),1,0)) AS NUM_REG_DIF,'"&amp;MAX('ID1&amp;5'!K:K)+1&amp;"' AS ID_EXEC, CURRENT_TIMESTAMP() AS TIME_EXEC FROM "&amp;I473,
IF(C473="Not applicable",+"SELECT '"&amp;UPPER(B473)&amp;"' AS TABELA, '"&amp;UPPER(C473)&amp;"' AS TIPOLOGIA_TESTE,'"&amp;D473&amp;"' AS TABELA_LT,'N/A' AS TABELA_SIMUL,'"&amp;F473&amp;"' AS CAMPO, "&amp;"'${ref_date}' AS REF_DATE, COUNT(*) AS NUM_REG, SUM(IF(TRIM(CAST(X."&amp;F473&amp;" AS STRING)) IN ('N/A','11111111111','11111111111.00','11111111111.000000','1111-11-11'),1,0)) AS NUM_REG_DIF,'"&amp;MAX('ID1&amp;5'!K:K)+1&amp;"' AS ID_EXEC, CURRENT_TIMESTAMP() AS TIME_EXEC FROM "&amp;I473,
IF(C473="Valores extremos",+"SELECT '"&amp;UPPER(B473)&amp;"' AS TABELA, '"&amp;UPPER(C473)&amp;"' AS TIPOLOGIA_TESTE,'"&amp;D473&amp;"' AS TABELA_LT,'N/A' AS TABELA_SIMUL,'"&amp;F473&amp;"' AS CAMPO, "&amp;"'${ref_date}' AS REF_DATE, CAST(MIN("&amp;F473&amp;") AS STRING) AS VALOR_MIN, CAST(MAX("&amp;F473&amp;") AS STRING) AS VALOR_MAX,'"&amp;MAX('ID1&amp;5'!K:K)+1&amp;"' AS ID_EXEC, CURRENT_TIMESTAMP() AS TIME_EXEC FROM "&amp;MID(I473,1,LEN(I473)-2)&amp;" AND CAST("&amp;F473&amp;"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TABELA_SIMUL,'TYP_INSTRMNT' AS CAMPO, '${ref_date}' AS REF_DATE, CAST(MIN(TYP_INSTRMNT) AS STRING) AS VALOR_MIN, CAST(MAX(TYP_INSTRMNT) AS STRING) AS VALOR_MAX,'10' AS ID_EXEC, CURRENT_TIMESTAMP() AS TIME_EXEC FROM (SELECT instrmnt_id, TYP_INSTRMNT FROM BU_LOANTAPE_WORK.LT002_INSTRUMENT WHERE ref_date='${ref_date}' AND nome_perimetro='Individual Corporativo' AND segmento='ESTR' AND ambito='PILAR3' AND CAST(TYP_INSTRMNT AS STRING) NOT IN ('0000-00-00','0001-01-01','9999-12-31','MISS','00000','99999999999','99999999999.00','99999999999.000000','N/A','11111111111','11111111111.00','11111111111.000000','1111-11-11'))X</v>
      </c>
      <c r="M473" s="43" t="str">
        <f t="shared" si="7"/>
        <v>UNION ALL SELECT 'INSTRUMENT' AS TABELA, 'VALORES EXTREMOS' AS TIPOLOGIA_TESTE,'BU_LOANTAPE_WORK.LT002_INSTRUMENT' AS TABELA_LT,'N/A' AS TABELA_SIMUL,'TYP_INSTRMNT' AS CAMPO, '${ref_date}' AS REF_DATE, CAST(MIN(TYP_INSTRMNT) AS STRING) AS VALOR_MIN, CAST(MAX(TYP_INSTRMNT) AS STRING) AS VALOR_MAX,'10' AS ID_EXEC, CURRENT_TIMESTAMP() AS TIME_EXEC FROM (SELECT instrmnt_id, TYP_INSTRMNT FROM BU_LOANTAPE_WORK.LT002_INSTRUMENT WHERE ref_date='${ref_date}' AND nome_perimetro='Individual Corporativo' AND segmento='ESTR' AND ambito='PILAR3' AND CAST(TYP_INSTRMNT AS STRING) NOT IN ('0000-00-00','0001-01-01','9999-12-31','MISS','00000','99999999999','99999999999.00','99999999999.000000','N/A','11111111111','11111111111.00','11111111111.000000','1111-11-11'))X</v>
      </c>
      <c r="N473" s="45" t="s">
        <v>13</v>
      </c>
    </row>
    <row r="474" spans="2:14">
      <c r="B474" s="41" t="s">
        <v>27</v>
      </c>
      <c r="C474" s="41" t="s">
        <v>226</v>
      </c>
      <c r="D474" s="41" t="str">
        <f>+UPPER('0. Instruções'!$D$33&amp;"."&amp;VLOOKUP(B474,'0. Instruções'!$C$27:$D$31,2,FALSE))</f>
        <v>BU_LOANTAPE_WORK.LT002_INSTRUMENT</v>
      </c>
      <c r="E474" s="41" t="str">
        <f>+UPPER('0. Instruções'!$D$34&amp;"."&amp;VLOOKUP(B474,'0. Instruções'!$C$27:$E$31,3,FALSE))</f>
        <v>BU_LOANTAPE_WORK.LT002_INSTRUMENT_P3_NOV24</v>
      </c>
      <c r="F474" s="41" t="s">
        <v>164</v>
      </c>
      <c r="G474" s="41" t="s">
        <v>13</v>
      </c>
      <c r="H474" s="41"/>
      <c r="I474" s="41" t="str">
        <f>"(SELECT "&amp;VLOOKUP(B474,'0. Instruções'!$C$27:$G$31,4,FALSE)&amp;", "&amp;F474&amp;" FROM "&amp;D474&amp;" WHERE "&amp;'0. Instruções'!$D$40&amp;")X"</f>
        <v>(SELECT instrmnt_id, GRSS_CRRYNG_AMNT_INSTRMNT FROM BU_LOANTAPE_WORK.LT002_INSTRUMENT WHERE ref_date='${ref_date}' AND nome_perimetro='Individual Corporativo' AND segmento='ESTR' AND ambito='PILAR3')X</v>
      </c>
      <c r="J474" s="41" t="str">
        <f>"(SELECT "&amp;VLOOKUP(B474,'0. Instruções'!$C$27:$G$31,4,FALSE)&amp;" AS "&amp;VLOOKUP(B474,'0. Instruções'!$C$27:$G$31,4,FALSE)&amp;"_SIMUL, "&amp;F474&amp;" AS "&amp;F474&amp;"_SIMUL FROM "&amp;E474&amp;")Y"</f>
        <v>(SELECT instrmnt_id AS instrmnt_id_SIMUL, GRSS_CRRYNG_AMNT_INSTRMNT AS GRSS_CRRYNG_AMNT_INSTRMNT_SIMUL FROM BU_LOANTAPE_WORK.LT002_INSTRUMENT_P3_NOV24)Y</v>
      </c>
      <c r="K474" s="42" t="str">
        <f>+UPPER("ON X."&amp;VLOOKUP(B474,'0. Instruções'!$C$27:$G$31,4,FALSE)&amp;"=Y."&amp;VLOOKUP(B474,'0. Instruções'!$C$27:$G$31,4,FALSE)&amp;"_SIMUL")</f>
        <v>ON X.INSTRMNT_ID=Y.INSTRMNT_ID_SIMUL</v>
      </c>
      <c r="L474" s="42" t="str">
        <f>+IF(C474="Coerência", +IF(LEFT(G474,5)="FLOAT","SELECT '"&amp;UPPER(B474)&amp;"' AS TABELA, '"&amp;UPPER(C474)&amp;"' AS TIPOLOGIA_TESTE,'"&amp;D474&amp;"' AS TABELA_LT,'"&amp;E474&amp;"' AS TABELA_SIMUL,'"&amp;F474&amp;"' AS CAMPO, "&amp;"'${ref_date}' AS REF_DATE, COUNT(*) AS NUM_REG, SUM(IF((ABS(COALESCE(X."&amp;F474&amp;",0)-COALESCE(Y."&amp;F474&amp;"_SIMUL,0))&gt;0.0000000001) OR (X."&amp;F474&amp;" IS NULL AND Y."&amp;F474&amp;"_SIMUL IS NOT NULL ) OR (X."&amp;F474&amp;" IS NOT NULL AND Y."&amp;F474&amp;"_SIMUL IS NULL),1,0)) AS NUM_REG_DIF,'"&amp;MAX('ID1&amp;5'!K:K)+1&amp;"' AS ID_EXEC, CURRENT_TIMESTAMP() AS TIME_EXEC FROM "&amp;I474&amp;" INNER JOIN "&amp;J474&amp;" "&amp;K474,"SELECT '"&amp;UPPER(B474)&amp;"' AS TABELA, '"&amp;UPPER(C474)&amp;"' AS TIPOLOGIA_TESTE,'"&amp;D474&amp;"' AS TABELA_LT,'"&amp;E474&amp;"' AS TABELA_SIMUL,'"&amp;F474&amp;"' AS CAMPO, "&amp;"'${ref_date}' AS REF_DATE, COUNT(*) AS NUM_REG, SUM(IF(COALESCE(CAST(X."&amp;F474&amp;" AS STRING),'')&lt;&gt;COALESCE(CAST(Y."&amp;F474&amp;"_SIMUL AS STRING),''),1,0)) AS NUM_REG_DIF,'"&amp;MAX('ID1&amp;5'!L:L)+1&amp;"' AS ID_EXEC, CURRENT_TIMESTAMP() AS TIME_EXEC FROM "&amp;I474&amp;" INNER JOIN "&amp;J474&amp;" "&amp;K474),
IF(C474="Validade",+IF(G474="Code List","SELECT '"&amp;UPPER(B474)&amp;"' AS TABELA, '"&amp;UPPER(C474)&amp;"' AS TIPOLOGIA_TESTE,'"&amp;D474&amp;"' AS TABELA_LT,'N/A' AS TABELA_SIMUL,'"&amp;F474&amp;"' AS CAMPO, "&amp;"'${ref_date}' AS REF_DATE, COUNT(*) AS NUM_REG, SUM(IF(TRIM(CAST(X."&amp;F474&amp;" AS STRING))='' OR TRIM(CAST(X."&amp;F474&amp;" AS STRING)) IS NULL OR CAST(X."&amp;F474&amp;" AS STRING) NOT "&amp;H474&amp;",1,0)) AS NUM_REG_DIF,'"&amp;MAX('ID1&amp;5'!K:K)+1&amp;"' AS ID_EXEC, CURRENT_TIMESTAMP() AS TIME_EXEC FROM "&amp;I474,"SELECT '"&amp;UPPER(B474)&amp;"' AS TABELA, '"&amp;UPPER(C474)&amp;"' AS TIPOLOGIA_TESTE,'"&amp;D474&amp;"' AS TABELA_LT,'N/A' AS TABELA_SIMUL,'"&amp;F474&amp;"' AS CAMPO, "&amp;"'${ref_date}' AS REF_DATE, COUNT(*) AS NUM_REG, SUM(IF(TRIM(CAST(X."&amp;F474&amp;" AS STRING))='' OR TRIM(CAST(X."&amp;F474&amp;" AS STRING)) IS NULL,1,0)) AS NUM_REG_DIF,'"&amp;MAX('ID1&amp;5'!K:K)+1&amp;"' AS ID_EXEC, CURRENT_TIMESTAMP() AS TIME_EXEC FROM "&amp;I474),
IF(C474="Caracteres Especiais",+"SELECT '"&amp;UPPER(B474)&amp;"' AS TABELA, '"&amp;UPPER(C474)&amp;"' AS TIPOLOGIA_TESTE,'"&amp;D474&amp;"' AS TABELA_LT,'N/A' AS TABELA_SIMUL,'"&amp;F474&amp;"' AS CAMPO, "&amp;"'${ref_date}' AS REF_DATE, COUNT(*) AS NUM_REG, SUM(IF(INSTR(CAST(X."&amp;F474&amp;" AS STRING),'#')&gt;0 OR INSTR(CAST(X."&amp;F474&amp;" AS STRING),'*')&gt;0 OR INSTR(CAST(X."&amp;F474&amp;" AS STRING),'`')&gt;0 OR INSTR(CAST(X."&amp;F474&amp;" AS STRING),'´')&gt;0 OR INSTR(CAST(X."&amp;F474&amp;" AS STRING),'{')&gt;0 OR INSTR(CAST(X."&amp;F474&amp;" AS STRING),'}')&gt;0 OR INSTR(CAST(X."&amp;F474&amp;" AS STRING),'[')&gt;0 OR INSTR(CAST(X."&amp;F474&amp;" AS STRING),'')&gt;0 OR INSTR(CAST(X."&amp;F474&amp;" AS STRING),']')&gt;0 OR INSTR(CAST(X."&amp;F474&amp;" AS STRING),'?')&gt;0 OR INSTR(CAST(X."&amp;F474&amp;" AS STRING),'!')&gt;0 OR INSTR(CAST(X."&amp;F474&amp;" AS STRING),'$')&gt;0 OR INSTR(CAST(X."&amp;F474&amp;" AS STRING),'%')&gt;0 OR INSTR(CAST(X."&amp;F474&amp;" AS STRING),'&amp;')&gt;0 OR INSTR(CAST(X."&amp;F474&amp;" AS STRING),'+')&gt;0,1,0)) AS NUM_REG_DIF,'"&amp;MAX('ID1&amp;5'!K:K)+1&amp;"' AS ID_EXEC, CURRENT_TIMESTAMP() AS TIME_EXEC FROM "&amp;I474,
IF(C474="Missings",+"SELECT '"&amp;UPPER(B474)&amp;"' AS TABELA, '"&amp;UPPER(C474)&amp;"' AS TIPOLOGIA_TESTE,'"&amp;D474&amp;"' AS TABELA_LT,'N/A' AS TABELA_SIMUL,'"&amp;F474&amp;"' AS CAMPO, "&amp;"'${ref_date}' AS REF_DATE, COUNT(*) AS NUM_REG, SUM(IF(TRIM(CAST(X."&amp;F474&amp;" AS STRING)) IN ('0000-00-00','0001-01-01','9999-12-31','MISS','00000','99999999999','99999999999.00','99999999999.000000'),1,0)) AS NUM_REG_DIF,'"&amp;MAX('ID1&amp;5'!K:K)+1&amp;"' AS ID_EXEC, CURRENT_TIMESTAMP() AS TIME_EXEC FROM "&amp;I474,
IF(C474="Not applicable",+"SELECT '"&amp;UPPER(B474)&amp;"' AS TABELA, '"&amp;UPPER(C474)&amp;"' AS TIPOLOGIA_TESTE,'"&amp;D474&amp;"' AS TABELA_LT,'N/A' AS TABELA_SIMUL,'"&amp;F474&amp;"' AS CAMPO, "&amp;"'${ref_date}' AS REF_DATE, COUNT(*) AS NUM_REG, SUM(IF(TRIM(CAST(X."&amp;F474&amp;" AS STRING)) IN ('N/A','11111111111','11111111111.00','11111111111.000000','1111-11-11'),1,0)) AS NUM_REG_DIF,'"&amp;MAX('ID1&amp;5'!K:K)+1&amp;"' AS ID_EXEC, CURRENT_TIMESTAMP() AS TIME_EXEC FROM "&amp;I474,
IF(C474="Valores extremos",+"SELECT '"&amp;UPPER(B474)&amp;"' AS TABELA, '"&amp;UPPER(C474)&amp;"' AS TIPOLOGIA_TESTE,'"&amp;D474&amp;"' AS TABELA_LT,'N/A' AS TABELA_SIMUL,'"&amp;F474&amp;"' AS CAMPO, "&amp;"'${ref_date}' AS REF_DATE, CAST(MIN("&amp;F474&amp;") AS STRING) AS VALOR_MIN, CAST(MAX("&amp;F474&amp;") AS STRING) AS VALOR_MAX,'"&amp;MAX('ID1&amp;5'!K:K)+1&amp;"' AS ID_EXEC, CURRENT_TIMESTAMP() AS TIME_EXEC FROM "&amp;MID(I474,1,LEN(I474)-2)&amp;" AND CAST("&amp;F474&amp;"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TABELA_SIMUL,'GRSS_CRRYNG_AMNT_INSTRMNT' AS CAMPO, '${ref_date}' AS REF_DATE, CAST(MIN(GRSS_CRRYNG_AMNT_INSTRMNT) AS STRING) AS VALOR_MIN, CAST(MAX(GRSS_CRRYNG_AMNT_INSTRMNT) AS STRING) AS VALOR_MAX,'10' AS ID_EXEC, CURRENT_TIMESTAMP() AS TIME_EXEC FROM (SELECT instrmnt_id, GRSS_CRRYNG_AMNT_INSTRMNT FROM BU_LOANTAPE_WORK.LT002_INSTRUMENT WHERE ref_date='${ref_date}' AND nome_perimetro='Individual Corporativo' AND segmento='ESTR' AND ambito='PILAR3' AND CAST(GRSS_CRRYNG_AMNT_INSTRMNT AS STRING) NOT IN ('0000-00-00','0001-01-01','9999-12-31','MISS','00000','99999999999','99999999999.00','99999999999.000000','N/A','11111111111','11111111111.00','11111111111.000000','1111-11-11'))X</v>
      </c>
      <c r="M474" s="43" t="str">
        <f t="shared" si="7"/>
        <v>UNION ALL SELECT 'INSTRUMENT' AS TABELA, 'VALORES EXTREMOS' AS TIPOLOGIA_TESTE,'BU_LOANTAPE_WORK.LT002_INSTRUMENT' AS TABELA_LT,'N/A' AS TABELA_SIMUL,'GRSS_CRRYNG_AMNT_INSTRMNT' AS CAMPO, '${ref_date}' AS REF_DATE, CAST(MIN(GRSS_CRRYNG_AMNT_INSTRMNT) AS STRING) AS VALOR_MIN, CAST(MAX(GRSS_CRRYNG_AMNT_INSTRMNT) AS STRING) AS VALOR_MAX,'10' AS ID_EXEC, CURRENT_TIMESTAMP() AS TIME_EXEC FROM (SELECT instrmnt_id, GRSS_CRRYNG_AMNT_INSTRMNT FROM BU_LOANTAPE_WORK.LT002_INSTRUMENT WHERE ref_date='${ref_date}' AND nome_perimetro='Individual Corporativo' AND segmento='ESTR' AND ambito='PILAR3' AND CAST(GRSS_CRRYNG_AMNT_INSTRMNT AS STRING) NOT IN ('0000-00-00','0001-01-01','9999-12-31','MISS','00000','99999999999','99999999999.00','99999999999.000000','N/A','11111111111','11111111111.00','11111111111.000000','1111-11-11'))X</v>
      </c>
      <c r="N474" s="45" t="s">
        <v>13</v>
      </c>
    </row>
    <row r="475" spans="2:14">
      <c r="B475" s="41" t="s">
        <v>27</v>
      </c>
      <c r="C475" s="41" t="s">
        <v>226</v>
      </c>
      <c r="D475" s="41" t="str">
        <f>+UPPER('0. Instruções'!$D$33&amp;"."&amp;VLOOKUP(B475,'0. Instruções'!$C$27:$D$31,2,FALSE))</f>
        <v>BU_LOANTAPE_WORK.LT002_INSTRUMENT</v>
      </c>
      <c r="E475" s="41" t="str">
        <f>+UPPER('0. Instruções'!$D$34&amp;"."&amp;VLOOKUP(B475,'0. Instruções'!$C$27:$E$31,3,FALSE))</f>
        <v>BU_LOANTAPE_WORK.LT002_INSTRUMENT_P3_NOV24</v>
      </c>
      <c r="F475" s="41" t="s">
        <v>165</v>
      </c>
      <c r="G475" s="41" t="s">
        <v>13</v>
      </c>
      <c r="H475" s="41"/>
      <c r="I475" s="41" t="str">
        <f>"(SELECT "&amp;VLOOKUP(B475,'0. Instruções'!$C$27:$G$31,4,FALSE)&amp;", "&amp;F475&amp;" FROM "&amp;D475&amp;" WHERE "&amp;'0. Instruções'!$D$40&amp;")X"</f>
        <v>(SELECT instrmnt_id, ACCMLTD_CHNGS_FV_CR_INSTRMNT FROM BU_LOANTAPE_WORK.LT002_INSTRUMENT WHERE ref_date='${ref_date}' AND nome_perimetro='Individual Corporativo' AND segmento='ESTR' AND ambito='PILAR3')X</v>
      </c>
      <c r="J475" s="41" t="str">
        <f>"(SELECT "&amp;VLOOKUP(B475,'0. Instruções'!$C$27:$G$31,4,FALSE)&amp;" AS "&amp;VLOOKUP(B475,'0. Instruções'!$C$27:$G$31,4,FALSE)&amp;"_SIMUL, "&amp;F475&amp;" AS "&amp;F475&amp;"_SIMUL FROM "&amp;E475&amp;")Y"</f>
        <v>(SELECT instrmnt_id AS instrmnt_id_SIMUL, ACCMLTD_CHNGS_FV_CR_INSTRMNT AS ACCMLTD_CHNGS_FV_CR_INSTRMNT_SIMUL FROM BU_LOANTAPE_WORK.LT002_INSTRUMENT_P3_NOV24)Y</v>
      </c>
      <c r="K475" s="42" t="str">
        <f>+UPPER("ON X."&amp;VLOOKUP(B475,'0. Instruções'!$C$27:$G$31,4,FALSE)&amp;"=Y."&amp;VLOOKUP(B475,'0. Instruções'!$C$27:$G$31,4,FALSE)&amp;"_SIMUL")</f>
        <v>ON X.INSTRMNT_ID=Y.INSTRMNT_ID_SIMUL</v>
      </c>
      <c r="L475" s="42" t="str">
        <f>+IF(C475="Coerência", +IF(LEFT(G475,5)="FLOAT","SELECT '"&amp;UPPER(B475)&amp;"' AS TABELA, '"&amp;UPPER(C475)&amp;"' AS TIPOLOGIA_TESTE,'"&amp;D475&amp;"' AS TABELA_LT,'"&amp;E475&amp;"' AS TABELA_SIMUL,'"&amp;F475&amp;"' AS CAMPO, "&amp;"'${ref_date}' AS REF_DATE, COUNT(*) AS NUM_REG, SUM(IF((ABS(COALESCE(X."&amp;F475&amp;",0)-COALESCE(Y."&amp;F475&amp;"_SIMUL,0))&gt;0.0000000001) OR (X."&amp;F475&amp;" IS NULL AND Y."&amp;F475&amp;"_SIMUL IS NOT NULL ) OR (X."&amp;F475&amp;" IS NOT NULL AND Y."&amp;F475&amp;"_SIMUL IS NULL),1,0)) AS NUM_REG_DIF,'"&amp;MAX('ID1&amp;5'!K:K)+1&amp;"' AS ID_EXEC, CURRENT_TIMESTAMP() AS TIME_EXEC FROM "&amp;I475&amp;" INNER JOIN "&amp;J475&amp;" "&amp;K475,"SELECT '"&amp;UPPER(B475)&amp;"' AS TABELA, '"&amp;UPPER(C475)&amp;"' AS TIPOLOGIA_TESTE,'"&amp;D475&amp;"' AS TABELA_LT,'"&amp;E475&amp;"' AS TABELA_SIMUL,'"&amp;F475&amp;"' AS CAMPO, "&amp;"'${ref_date}' AS REF_DATE, COUNT(*) AS NUM_REG, SUM(IF(COALESCE(CAST(X."&amp;F475&amp;" AS STRING),'')&lt;&gt;COALESCE(CAST(Y."&amp;F475&amp;"_SIMUL AS STRING),''),1,0)) AS NUM_REG_DIF,'"&amp;MAX('ID1&amp;5'!L:L)+1&amp;"' AS ID_EXEC, CURRENT_TIMESTAMP() AS TIME_EXEC FROM "&amp;I475&amp;" INNER JOIN "&amp;J475&amp;" "&amp;K475),
IF(C475="Validade",+IF(G475="Code List","SELECT '"&amp;UPPER(B475)&amp;"' AS TABELA, '"&amp;UPPER(C475)&amp;"' AS TIPOLOGIA_TESTE,'"&amp;D475&amp;"' AS TABELA_LT,'N/A' AS TABELA_SIMUL,'"&amp;F475&amp;"' AS CAMPO, "&amp;"'${ref_date}' AS REF_DATE, COUNT(*) AS NUM_REG, SUM(IF(TRIM(CAST(X."&amp;F475&amp;" AS STRING))='' OR TRIM(CAST(X."&amp;F475&amp;" AS STRING)) IS NULL OR CAST(X."&amp;F475&amp;" AS STRING) NOT "&amp;H475&amp;",1,0)) AS NUM_REG_DIF,'"&amp;MAX('ID1&amp;5'!K:K)+1&amp;"' AS ID_EXEC, CURRENT_TIMESTAMP() AS TIME_EXEC FROM "&amp;I475,"SELECT '"&amp;UPPER(B475)&amp;"' AS TABELA, '"&amp;UPPER(C475)&amp;"' AS TIPOLOGIA_TESTE,'"&amp;D475&amp;"' AS TABELA_LT,'N/A' AS TABELA_SIMUL,'"&amp;F475&amp;"' AS CAMPO, "&amp;"'${ref_date}' AS REF_DATE, COUNT(*) AS NUM_REG, SUM(IF(TRIM(CAST(X."&amp;F475&amp;" AS STRING))='' OR TRIM(CAST(X."&amp;F475&amp;" AS STRING)) IS NULL,1,0)) AS NUM_REG_DIF,'"&amp;MAX('ID1&amp;5'!K:K)+1&amp;"' AS ID_EXEC, CURRENT_TIMESTAMP() AS TIME_EXEC FROM "&amp;I475),
IF(C475="Caracteres Especiais",+"SELECT '"&amp;UPPER(B475)&amp;"' AS TABELA, '"&amp;UPPER(C475)&amp;"' AS TIPOLOGIA_TESTE,'"&amp;D475&amp;"' AS TABELA_LT,'N/A' AS TABELA_SIMUL,'"&amp;F475&amp;"' AS CAMPO, "&amp;"'${ref_date}' AS REF_DATE, COUNT(*) AS NUM_REG, SUM(IF(INSTR(CAST(X."&amp;F475&amp;" AS STRING),'#')&gt;0 OR INSTR(CAST(X."&amp;F475&amp;" AS STRING),'*')&gt;0 OR INSTR(CAST(X."&amp;F475&amp;" AS STRING),'`')&gt;0 OR INSTR(CAST(X."&amp;F475&amp;" AS STRING),'´')&gt;0 OR INSTR(CAST(X."&amp;F475&amp;" AS STRING),'{')&gt;0 OR INSTR(CAST(X."&amp;F475&amp;" AS STRING),'}')&gt;0 OR INSTR(CAST(X."&amp;F475&amp;" AS STRING),'[')&gt;0 OR INSTR(CAST(X."&amp;F475&amp;" AS STRING),'')&gt;0 OR INSTR(CAST(X."&amp;F475&amp;" AS STRING),']')&gt;0 OR INSTR(CAST(X."&amp;F475&amp;" AS STRING),'?')&gt;0 OR INSTR(CAST(X."&amp;F475&amp;" AS STRING),'!')&gt;0 OR INSTR(CAST(X."&amp;F475&amp;" AS STRING),'$')&gt;0 OR INSTR(CAST(X."&amp;F475&amp;" AS STRING),'%')&gt;0 OR INSTR(CAST(X."&amp;F475&amp;" AS STRING),'&amp;')&gt;0 OR INSTR(CAST(X."&amp;F475&amp;" AS STRING),'+')&gt;0,1,0)) AS NUM_REG_DIF,'"&amp;MAX('ID1&amp;5'!K:K)+1&amp;"' AS ID_EXEC, CURRENT_TIMESTAMP() AS TIME_EXEC FROM "&amp;I475,
IF(C475="Missings",+"SELECT '"&amp;UPPER(B475)&amp;"' AS TABELA, '"&amp;UPPER(C475)&amp;"' AS TIPOLOGIA_TESTE,'"&amp;D475&amp;"' AS TABELA_LT,'N/A' AS TABELA_SIMUL,'"&amp;F475&amp;"' AS CAMPO, "&amp;"'${ref_date}' AS REF_DATE, COUNT(*) AS NUM_REG, SUM(IF(TRIM(CAST(X."&amp;F475&amp;" AS STRING)) IN ('0000-00-00','0001-01-01','9999-12-31','MISS','00000','99999999999','99999999999.00','99999999999.000000'),1,0)) AS NUM_REG_DIF,'"&amp;MAX('ID1&amp;5'!K:K)+1&amp;"' AS ID_EXEC, CURRENT_TIMESTAMP() AS TIME_EXEC FROM "&amp;I475,
IF(C475="Not applicable",+"SELECT '"&amp;UPPER(B475)&amp;"' AS TABELA, '"&amp;UPPER(C475)&amp;"' AS TIPOLOGIA_TESTE,'"&amp;D475&amp;"' AS TABELA_LT,'N/A' AS TABELA_SIMUL,'"&amp;F475&amp;"' AS CAMPO, "&amp;"'${ref_date}' AS REF_DATE, COUNT(*) AS NUM_REG, SUM(IF(TRIM(CAST(X."&amp;F475&amp;" AS STRING)) IN ('N/A','11111111111','11111111111.00','11111111111.000000','1111-11-11'),1,0)) AS NUM_REG_DIF,'"&amp;MAX('ID1&amp;5'!K:K)+1&amp;"' AS ID_EXEC, CURRENT_TIMESTAMP() AS TIME_EXEC FROM "&amp;I475,
IF(C475="Valores extremos",+"SELECT '"&amp;UPPER(B475)&amp;"' AS TABELA, '"&amp;UPPER(C475)&amp;"' AS TIPOLOGIA_TESTE,'"&amp;D475&amp;"' AS TABELA_LT,'N/A' AS TABELA_SIMUL,'"&amp;F475&amp;"' AS CAMPO, "&amp;"'${ref_date}' AS REF_DATE, CAST(MIN("&amp;F475&amp;") AS STRING) AS VALOR_MIN, CAST(MAX("&amp;F475&amp;") AS STRING) AS VALOR_MAX,'"&amp;MAX('ID1&amp;5'!K:K)+1&amp;"' AS ID_EXEC, CURRENT_TIMESTAMP() AS TIME_EXEC FROM "&amp;MID(I475,1,LEN(I475)-2)&amp;" AND CAST("&amp;F475&amp;"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TABELA_SIMUL,'ACCMLTD_CHNGS_FV_CR_INSTRMNT' AS CAMPO, '${ref_date}' AS REF_DATE, CAST(MIN(ACCMLTD_CHNGS_FV_CR_INSTRMNT) AS STRING) AS VALOR_MIN, CAST(MAX(ACCMLTD_CHNGS_FV_CR_INSTRMNT) AS STRING) AS VALOR_MAX,'10' AS ID_EXEC, CURRENT_TIMESTAMP() AS TIME_EXEC FROM (SELECT instrmnt_id, ACCMLTD_CHNGS_FV_CR_INSTRMNT FROM BU_LOANTAPE_WORK.LT002_INSTRUMENT WHERE ref_date='${ref_date}' AND nome_perimetro='Individual Corporativo' AND segmento='ESTR' AND ambito='PILAR3' AND CAST(ACCMLTD_CHNGS_FV_CR_INSTRMNT AS STRING) NOT IN ('0000-00-00','0001-01-01','9999-12-31','MISS','00000','99999999999','99999999999.00','99999999999.000000','N/A','11111111111','11111111111.00','11111111111.000000','1111-11-11'))X</v>
      </c>
      <c r="M475" s="43" t="str">
        <f t="shared" si="7"/>
        <v>UNION ALL SELECT 'INSTRUMENT' AS TABELA, 'VALORES EXTREMOS' AS TIPOLOGIA_TESTE,'BU_LOANTAPE_WORK.LT002_INSTRUMENT' AS TABELA_LT,'N/A' AS TABELA_SIMUL,'ACCMLTD_CHNGS_FV_CR_INSTRMNT' AS CAMPO, '${ref_date}' AS REF_DATE, CAST(MIN(ACCMLTD_CHNGS_FV_CR_INSTRMNT) AS STRING) AS VALOR_MIN, CAST(MAX(ACCMLTD_CHNGS_FV_CR_INSTRMNT) AS STRING) AS VALOR_MAX,'10' AS ID_EXEC, CURRENT_TIMESTAMP() AS TIME_EXEC FROM (SELECT instrmnt_id, ACCMLTD_CHNGS_FV_CR_INSTRMNT FROM BU_LOANTAPE_WORK.LT002_INSTRUMENT WHERE ref_date='${ref_date}' AND nome_perimetro='Individual Corporativo' AND segmento='ESTR' AND ambito='PILAR3' AND CAST(ACCMLTD_CHNGS_FV_CR_INSTRMNT AS STRING) NOT IN ('0000-00-00','0001-01-01','9999-12-31','MISS','00000','99999999999','99999999999.00','99999999999.000000','N/A','11111111111','11111111111.00','11111111111.000000','1111-11-11'))X</v>
      </c>
      <c r="N475" s="45" t="s">
        <v>13</v>
      </c>
    </row>
    <row r="476" spans="2:14">
      <c r="B476" s="41" t="s">
        <v>27</v>
      </c>
      <c r="C476" s="41" t="s">
        <v>226</v>
      </c>
      <c r="D476" s="41" t="str">
        <f>+UPPER('0. Instruções'!$D$33&amp;"."&amp;VLOOKUP(B476,'0. Instruções'!$C$27:$D$31,2,FALSE))</f>
        <v>BU_LOANTAPE_WORK.LT002_INSTRUMENT</v>
      </c>
      <c r="E476" s="41" t="str">
        <f>+UPPER('0. Instruções'!$D$34&amp;"."&amp;VLOOKUP(B476,'0. Instruções'!$C$27:$E$31,3,FALSE))</f>
        <v>BU_LOANTAPE_WORK.LT002_INSTRUMENT_P3_NOV24</v>
      </c>
      <c r="F476" s="41" t="s">
        <v>166</v>
      </c>
      <c r="G476" s="41" t="s">
        <v>13</v>
      </c>
      <c r="H476" s="41"/>
      <c r="I476" s="41" t="str">
        <f>"(SELECT "&amp;VLOOKUP(B476,'0. Instruções'!$C$27:$G$31,4,FALSE)&amp;", "&amp;F476&amp;" FROM "&amp;D476&amp;" WHERE "&amp;'0. Instruções'!$D$40&amp;")X"</f>
        <v>(SELECT instrmnt_id, ACCNTNG_CLSSFCTN FROM BU_LOANTAPE_WORK.LT002_INSTRUMENT WHERE ref_date='${ref_date}' AND nome_perimetro='Individual Corporativo' AND segmento='ESTR' AND ambito='PILAR3')X</v>
      </c>
      <c r="J476" s="41" t="str">
        <f>"(SELECT "&amp;VLOOKUP(B476,'0. Instruções'!$C$27:$G$31,4,FALSE)&amp;" AS "&amp;VLOOKUP(B476,'0. Instruções'!$C$27:$G$31,4,FALSE)&amp;"_SIMUL, "&amp;F476&amp;" AS "&amp;F476&amp;"_SIMUL FROM "&amp;E476&amp;")Y"</f>
        <v>(SELECT instrmnt_id AS instrmnt_id_SIMUL, ACCNTNG_CLSSFCTN AS ACCNTNG_CLSSFCTN_SIMUL FROM BU_LOANTAPE_WORK.LT002_INSTRUMENT_P3_NOV24)Y</v>
      </c>
      <c r="K476" s="42" t="str">
        <f>+UPPER("ON X."&amp;VLOOKUP(B476,'0. Instruções'!$C$27:$G$31,4,FALSE)&amp;"=Y."&amp;VLOOKUP(B476,'0. Instruções'!$C$27:$G$31,4,FALSE)&amp;"_SIMUL")</f>
        <v>ON X.INSTRMNT_ID=Y.INSTRMNT_ID_SIMUL</v>
      </c>
      <c r="L476" s="42" t="str">
        <f>+IF(C476="Coerência", +IF(LEFT(G476,5)="FLOAT","SELECT '"&amp;UPPER(B476)&amp;"' AS TABELA, '"&amp;UPPER(C476)&amp;"' AS TIPOLOGIA_TESTE,'"&amp;D476&amp;"' AS TABELA_LT,'"&amp;E476&amp;"' AS TABELA_SIMUL,'"&amp;F476&amp;"' AS CAMPO, "&amp;"'${ref_date}' AS REF_DATE, COUNT(*) AS NUM_REG, SUM(IF((ABS(COALESCE(X."&amp;F476&amp;",0)-COALESCE(Y."&amp;F476&amp;"_SIMUL,0))&gt;0.0000000001) OR (X."&amp;F476&amp;" IS NULL AND Y."&amp;F476&amp;"_SIMUL IS NOT NULL ) OR (X."&amp;F476&amp;" IS NOT NULL AND Y."&amp;F476&amp;"_SIMUL IS NULL),1,0)) AS NUM_REG_DIF,'"&amp;MAX('ID1&amp;5'!K:K)+1&amp;"' AS ID_EXEC, CURRENT_TIMESTAMP() AS TIME_EXEC FROM "&amp;I476&amp;" INNER JOIN "&amp;J476&amp;" "&amp;K476,"SELECT '"&amp;UPPER(B476)&amp;"' AS TABELA, '"&amp;UPPER(C476)&amp;"' AS TIPOLOGIA_TESTE,'"&amp;D476&amp;"' AS TABELA_LT,'"&amp;E476&amp;"' AS TABELA_SIMUL,'"&amp;F476&amp;"' AS CAMPO, "&amp;"'${ref_date}' AS REF_DATE, COUNT(*) AS NUM_REG, SUM(IF(COALESCE(CAST(X."&amp;F476&amp;" AS STRING),'')&lt;&gt;COALESCE(CAST(Y."&amp;F476&amp;"_SIMUL AS STRING),''),1,0)) AS NUM_REG_DIF,'"&amp;MAX('ID1&amp;5'!L:L)+1&amp;"' AS ID_EXEC, CURRENT_TIMESTAMP() AS TIME_EXEC FROM "&amp;I476&amp;" INNER JOIN "&amp;J476&amp;" "&amp;K476),
IF(C476="Validade",+IF(G476="Code List","SELECT '"&amp;UPPER(B476)&amp;"' AS TABELA, '"&amp;UPPER(C476)&amp;"' AS TIPOLOGIA_TESTE,'"&amp;D476&amp;"' AS TABELA_LT,'N/A' AS TABELA_SIMUL,'"&amp;F476&amp;"' AS CAMPO, "&amp;"'${ref_date}' AS REF_DATE, COUNT(*) AS NUM_REG, SUM(IF(TRIM(CAST(X."&amp;F476&amp;" AS STRING))='' OR TRIM(CAST(X."&amp;F476&amp;" AS STRING)) IS NULL OR CAST(X."&amp;F476&amp;" AS STRING) NOT "&amp;H476&amp;",1,0)) AS NUM_REG_DIF,'"&amp;MAX('ID1&amp;5'!K:K)+1&amp;"' AS ID_EXEC, CURRENT_TIMESTAMP() AS TIME_EXEC FROM "&amp;I476,"SELECT '"&amp;UPPER(B476)&amp;"' AS TABELA, '"&amp;UPPER(C476)&amp;"' AS TIPOLOGIA_TESTE,'"&amp;D476&amp;"' AS TABELA_LT,'N/A' AS TABELA_SIMUL,'"&amp;F476&amp;"' AS CAMPO, "&amp;"'${ref_date}' AS REF_DATE, COUNT(*) AS NUM_REG, SUM(IF(TRIM(CAST(X."&amp;F476&amp;" AS STRING))='' OR TRIM(CAST(X."&amp;F476&amp;" AS STRING)) IS NULL,1,0)) AS NUM_REG_DIF,'"&amp;MAX('ID1&amp;5'!K:K)+1&amp;"' AS ID_EXEC, CURRENT_TIMESTAMP() AS TIME_EXEC FROM "&amp;I476),
IF(C476="Caracteres Especiais",+"SELECT '"&amp;UPPER(B476)&amp;"' AS TABELA, '"&amp;UPPER(C476)&amp;"' AS TIPOLOGIA_TESTE,'"&amp;D476&amp;"' AS TABELA_LT,'N/A' AS TABELA_SIMUL,'"&amp;F476&amp;"' AS CAMPO, "&amp;"'${ref_date}' AS REF_DATE, COUNT(*) AS NUM_REG, SUM(IF(INSTR(CAST(X."&amp;F476&amp;" AS STRING),'#')&gt;0 OR INSTR(CAST(X."&amp;F476&amp;" AS STRING),'*')&gt;0 OR INSTR(CAST(X."&amp;F476&amp;" AS STRING),'`')&gt;0 OR INSTR(CAST(X."&amp;F476&amp;" AS STRING),'´')&gt;0 OR INSTR(CAST(X."&amp;F476&amp;" AS STRING),'{')&gt;0 OR INSTR(CAST(X."&amp;F476&amp;" AS STRING),'}')&gt;0 OR INSTR(CAST(X."&amp;F476&amp;" AS STRING),'[')&gt;0 OR INSTR(CAST(X."&amp;F476&amp;" AS STRING),'')&gt;0 OR INSTR(CAST(X."&amp;F476&amp;" AS STRING),']')&gt;0 OR INSTR(CAST(X."&amp;F476&amp;" AS STRING),'?')&gt;0 OR INSTR(CAST(X."&amp;F476&amp;" AS STRING),'!')&gt;0 OR INSTR(CAST(X."&amp;F476&amp;" AS STRING),'$')&gt;0 OR INSTR(CAST(X."&amp;F476&amp;" AS STRING),'%')&gt;0 OR INSTR(CAST(X."&amp;F476&amp;" AS STRING),'&amp;')&gt;0 OR INSTR(CAST(X."&amp;F476&amp;" AS STRING),'+')&gt;0,1,0)) AS NUM_REG_DIF,'"&amp;MAX('ID1&amp;5'!K:K)+1&amp;"' AS ID_EXEC, CURRENT_TIMESTAMP() AS TIME_EXEC FROM "&amp;I476,
IF(C476="Missings",+"SELECT '"&amp;UPPER(B476)&amp;"' AS TABELA, '"&amp;UPPER(C476)&amp;"' AS TIPOLOGIA_TESTE,'"&amp;D476&amp;"' AS TABELA_LT,'N/A' AS TABELA_SIMUL,'"&amp;F476&amp;"' AS CAMPO, "&amp;"'${ref_date}' AS REF_DATE, COUNT(*) AS NUM_REG, SUM(IF(TRIM(CAST(X."&amp;F476&amp;" AS STRING)) IN ('0000-00-00','0001-01-01','9999-12-31','MISS','00000','99999999999','99999999999.00','99999999999.000000'),1,0)) AS NUM_REG_DIF,'"&amp;MAX('ID1&amp;5'!K:K)+1&amp;"' AS ID_EXEC, CURRENT_TIMESTAMP() AS TIME_EXEC FROM "&amp;I476,
IF(C476="Not applicable",+"SELECT '"&amp;UPPER(B476)&amp;"' AS TABELA, '"&amp;UPPER(C476)&amp;"' AS TIPOLOGIA_TESTE,'"&amp;D476&amp;"' AS TABELA_LT,'N/A' AS TABELA_SIMUL,'"&amp;F476&amp;"' AS CAMPO, "&amp;"'${ref_date}' AS REF_DATE, COUNT(*) AS NUM_REG, SUM(IF(TRIM(CAST(X."&amp;F476&amp;" AS STRING)) IN ('N/A','11111111111','11111111111.00','11111111111.000000','1111-11-11'),1,0)) AS NUM_REG_DIF,'"&amp;MAX('ID1&amp;5'!K:K)+1&amp;"' AS ID_EXEC, CURRENT_TIMESTAMP() AS TIME_EXEC FROM "&amp;I476,
IF(C476="Valores extremos",+"SELECT '"&amp;UPPER(B476)&amp;"' AS TABELA, '"&amp;UPPER(C476)&amp;"' AS TIPOLOGIA_TESTE,'"&amp;D476&amp;"' AS TABELA_LT,'N/A' AS TABELA_SIMUL,'"&amp;F476&amp;"' AS CAMPO, "&amp;"'${ref_date}' AS REF_DATE, CAST(MIN("&amp;F476&amp;") AS STRING) AS VALOR_MIN, CAST(MAX("&amp;F476&amp;") AS STRING) AS VALOR_MAX,'"&amp;MAX('ID1&amp;5'!K:K)+1&amp;"' AS ID_EXEC, CURRENT_TIMESTAMP() AS TIME_EXEC FROM "&amp;MID(I476,1,LEN(I476)-2)&amp;" AND CAST("&amp;F476&amp;"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TABELA_SIMUL,'ACCNTNG_CLSSFCTN' AS CAMPO, '${ref_date}' AS REF_DATE, CAST(MIN(ACCNTNG_CLSSFCTN) AS STRING) AS VALOR_MIN, CAST(MAX(ACCNTNG_CLSSFCTN) AS STRING) AS VALOR_MAX,'10' AS ID_EXEC, CURRENT_TIMESTAMP() AS TIME_EXEC FROM (SELECT instrmnt_id, ACCNTNG_CLSSFCTN FROM BU_LOANTAPE_WORK.LT002_INSTRUMENT WHERE ref_date='${ref_date}' AND nome_perimetro='Individual Corporativo' AND segmento='ESTR' AND ambito='PILAR3' AND CAST(ACCNTNG_CLSSFCTN AS STRING) NOT IN ('0000-00-00','0001-01-01','9999-12-31','MISS','00000','99999999999','99999999999.00','99999999999.000000','N/A','11111111111','11111111111.00','11111111111.000000','1111-11-11'))X</v>
      </c>
      <c r="M476" s="43" t="str">
        <f t="shared" si="7"/>
        <v>UNION ALL SELECT 'INSTRUMENT' AS TABELA, 'VALORES EXTREMOS' AS TIPOLOGIA_TESTE,'BU_LOANTAPE_WORK.LT002_INSTRUMENT' AS TABELA_LT,'N/A' AS TABELA_SIMUL,'ACCNTNG_CLSSFCTN' AS CAMPO, '${ref_date}' AS REF_DATE, CAST(MIN(ACCNTNG_CLSSFCTN) AS STRING) AS VALOR_MIN, CAST(MAX(ACCNTNG_CLSSFCTN) AS STRING) AS VALOR_MAX,'10' AS ID_EXEC, CURRENT_TIMESTAMP() AS TIME_EXEC FROM (SELECT instrmnt_id, ACCNTNG_CLSSFCTN FROM BU_LOANTAPE_WORK.LT002_INSTRUMENT WHERE ref_date='${ref_date}' AND nome_perimetro='Individual Corporativo' AND segmento='ESTR' AND ambito='PILAR3' AND CAST(ACCNTNG_CLSSFCTN AS STRING) NOT IN ('0000-00-00','0001-01-01','9999-12-31','MISS','00000','99999999999','99999999999.00','99999999999.000000','N/A','11111111111','11111111111.00','11111111111.000000','1111-11-11'))X</v>
      </c>
      <c r="N476" s="45" t="s">
        <v>13</v>
      </c>
    </row>
    <row r="477" spans="2:14">
      <c r="B477" s="41" t="s">
        <v>27</v>
      </c>
      <c r="C477" s="41" t="s">
        <v>226</v>
      </c>
      <c r="D477" s="41" t="str">
        <f>+UPPER('0. Instruções'!$D$33&amp;"."&amp;VLOOKUP(B477,'0. Instruções'!$C$27:$D$31,2,FALSE))</f>
        <v>BU_LOANTAPE_WORK.LT002_INSTRUMENT</v>
      </c>
      <c r="E477" s="41" t="str">
        <f>+UPPER('0. Instruções'!$D$34&amp;"."&amp;VLOOKUP(B477,'0. Instruções'!$C$27:$E$31,3,FALSE))</f>
        <v>BU_LOANTAPE_WORK.LT002_INSTRUMENT_P3_NOV24</v>
      </c>
      <c r="F477" s="41" t="s">
        <v>167</v>
      </c>
      <c r="G477" s="41" t="s">
        <v>13</v>
      </c>
      <c r="H477" s="41"/>
      <c r="I477" s="41" t="str">
        <f>"(SELECT "&amp;VLOOKUP(B477,'0. Instruções'!$C$27:$G$31,4,FALSE)&amp;", "&amp;F477&amp;" FROM "&amp;D477&amp;" WHERE "&amp;'0. Instruções'!$D$40&amp;")X"</f>
        <v>(SELECT instrmnt_id, DT_LGL_FNL_MTRTY FROM BU_LOANTAPE_WORK.LT002_INSTRUMENT WHERE ref_date='${ref_date}' AND nome_perimetro='Individual Corporativo' AND segmento='ESTR' AND ambito='PILAR3')X</v>
      </c>
      <c r="J477" s="41" t="str">
        <f>"(SELECT "&amp;VLOOKUP(B477,'0. Instruções'!$C$27:$G$31,4,FALSE)&amp;" AS "&amp;VLOOKUP(B477,'0. Instruções'!$C$27:$G$31,4,FALSE)&amp;"_SIMUL, "&amp;F477&amp;" AS "&amp;F477&amp;"_SIMUL FROM "&amp;E477&amp;")Y"</f>
        <v>(SELECT instrmnt_id AS instrmnt_id_SIMUL, DT_LGL_FNL_MTRTY AS DT_LGL_FNL_MTRTY_SIMUL FROM BU_LOANTAPE_WORK.LT002_INSTRUMENT_P3_NOV24)Y</v>
      </c>
      <c r="K477" s="42" t="str">
        <f>+UPPER("ON X."&amp;VLOOKUP(B477,'0. Instruções'!$C$27:$G$31,4,FALSE)&amp;"=Y."&amp;VLOOKUP(B477,'0. Instruções'!$C$27:$G$31,4,FALSE)&amp;"_SIMUL")</f>
        <v>ON X.INSTRMNT_ID=Y.INSTRMNT_ID_SIMUL</v>
      </c>
      <c r="L477" s="42" t="str">
        <f>+IF(C477="Coerência", +IF(LEFT(G477,5)="FLOAT","SELECT '"&amp;UPPER(B477)&amp;"' AS TABELA, '"&amp;UPPER(C477)&amp;"' AS TIPOLOGIA_TESTE,'"&amp;D477&amp;"' AS TABELA_LT,'"&amp;E477&amp;"' AS TABELA_SIMUL,'"&amp;F477&amp;"' AS CAMPO, "&amp;"'${ref_date}' AS REF_DATE, COUNT(*) AS NUM_REG, SUM(IF((ABS(COALESCE(X."&amp;F477&amp;",0)-COALESCE(Y."&amp;F477&amp;"_SIMUL,0))&gt;0.0000000001) OR (X."&amp;F477&amp;" IS NULL AND Y."&amp;F477&amp;"_SIMUL IS NOT NULL ) OR (X."&amp;F477&amp;" IS NOT NULL AND Y."&amp;F477&amp;"_SIMUL IS NULL),1,0)) AS NUM_REG_DIF,'"&amp;MAX('ID1&amp;5'!K:K)+1&amp;"' AS ID_EXEC, CURRENT_TIMESTAMP() AS TIME_EXEC FROM "&amp;I477&amp;" INNER JOIN "&amp;J477&amp;" "&amp;K477,"SELECT '"&amp;UPPER(B477)&amp;"' AS TABELA, '"&amp;UPPER(C477)&amp;"' AS TIPOLOGIA_TESTE,'"&amp;D477&amp;"' AS TABELA_LT,'"&amp;E477&amp;"' AS TABELA_SIMUL,'"&amp;F477&amp;"' AS CAMPO, "&amp;"'${ref_date}' AS REF_DATE, COUNT(*) AS NUM_REG, SUM(IF(COALESCE(CAST(X."&amp;F477&amp;" AS STRING),'')&lt;&gt;COALESCE(CAST(Y."&amp;F477&amp;"_SIMUL AS STRING),''),1,0)) AS NUM_REG_DIF,'"&amp;MAX('ID1&amp;5'!L:L)+1&amp;"' AS ID_EXEC, CURRENT_TIMESTAMP() AS TIME_EXEC FROM "&amp;I477&amp;" INNER JOIN "&amp;J477&amp;" "&amp;K477),
IF(C477="Validade",+IF(G477="Code List","SELECT '"&amp;UPPER(B477)&amp;"' AS TABELA, '"&amp;UPPER(C477)&amp;"' AS TIPOLOGIA_TESTE,'"&amp;D477&amp;"' AS TABELA_LT,'N/A' AS TABELA_SIMUL,'"&amp;F477&amp;"' AS CAMPO, "&amp;"'${ref_date}' AS REF_DATE, COUNT(*) AS NUM_REG, SUM(IF(TRIM(CAST(X."&amp;F477&amp;" AS STRING))='' OR TRIM(CAST(X."&amp;F477&amp;" AS STRING)) IS NULL OR CAST(X."&amp;F477&amp;" AS STRING) NOT "&amp;H477&amp;",1,0)) AS NUM_REG_DIF,'"&amp;MAX('ID1&amp;5'!K:K)+1&amp;"' AS ID_EXEC, CURRENT_TIMESTAMP() AS TIME_EXEC FROM "&amp;I477,"SELECT '"&amp;UPPER(B477)&amp;"' AS TABELA, '"&amp;UPPER(C477)&amp;"' AS TIPOLOGIA_TESTE,'"&amp;D477&amp;"' AS TABELA_LT,'N/A' AS TABELA_SIMUL,'"&amp;F477&amp;"' AS CAMPO, "&amp;"'${ref_date}' AS REF_DATE, COUNT(*) AS NUM_REG, SUM(IF(TRIM(CAST(X."&amp;F477&amp;" AS STRING))='' OR TRIM(CAST(X."&amp;F477&amp;" AS STRING)) IS NULL,1,0)) AS NUM_REG_DIF,'"&amp;MAX('ID1&amp;5'!K:K)+1&amp;"' AS ID_EXEC, CURRENT_TIMESTAMP() AS TIME_EXEC FROM "&amp;I477),
IF(C477="Caracteres Especiais",+"SELECT '"&amp;UPPER(B477)&amp;"' AS TABELA, '"&amp;UPPER(C477)&amp;"' AS TIPOLOGIA_TESTE,'"&amp;D477&amp;"' AS TABELA_LT,'N/A' AS TABELA_SIMUL,'"&amp;F477&amp;"' AS CAMPO, "&amp;"'${ref_date}' AS REF_DATE, COUNT(*) AS NUM_REG, SUM(IF(INSTR(CAST(X."&amp;F477&amp;" AS STRING),'#')&gt;0 OR INSTR(CAST(X."&amp;F477&amp;" AS STRING),'*')&gt;0 OR INSTR(CAST(X."&amp;F477&amp;" AS STRING),'`')&gt;0 OR INSTR(CAST(X."&amp;F477&amp;" AS STRING),'´')&gt;0 OR INSTR(CAST(X."&amp;F477&amp;" AS STRING),'{')&gt;0 OR INSTR(CAST(X."&amp;F477&amp;" AS STRING),'}')&gt;0 OR INSTR(CAST(X."&amp;F477&amp;" AS STRING),'[')&gt;0 OR INSTR(CAST(X."&amp;F477&amp;" AS STRING),'')&gt;0 OR INSTR(CAST(X."&amp;F477&amp;" AS STRING),']')&gt;0 OR INSTR(CAST(X."&amp;F477&amp;" AS STRING),'?')&gt;0 OR INSTR(CAST(X."&amp;F477&amp;" AS STRING),'!')&gt;0 OR INSTR(CAST(X."&amp;F477&amp;" AS STRING),'$')&gt;0 OR INSTR(CAST(X."&amp;F477&amp;" AS STRING),'%')&gt;0 OR INSTR(CAST(X."&amp;F477&amp;" AS STRING),'&amp;')&gt;0 OR INSTR(CAST(X."&amp;F477&amp;" AS STRING),'+')&gt;0,1,0)) AS NUM_REG_DIF,'"&amp;MAX('ID1&amp;5'!K:K)+1&amp;"' AS ID_EXEC, CURRENT_TIMESTAMP() AS TIME_EXEC FROM "&amp;I477,
IF(C477="Missings",+"SELECT '"&amp;UPPER(B477)&amp;"' AS TABELA, '"&amp;UPPER(C477)&amp;"' AS TIPOLOGIA_TESTE,'"&amp;D477&amp;"' AS TABELA_LT,'N/A' AS TABELA_SIMUL,'"&amp;F477&amp;"' AS CAMPO, "&amp;"'${ref_date}' AS REF_DATE, COUNT(*) AS NUM_REG, SUM(IF(TRIM(CAST(X."&amp;F477&amp;" AS STRING)) IN ('0000-00-00','0001-01-01','9999-12-31','MISS','00000','99999999999','99999999999.00','99999999999.000000'),1,0)) AS NUM_REG_DIF,'"&amp;MAX('ID1&amp;5'!K:K)+1&amp;"' AS ID_EXEC, CURRENT_TIMESTAMP() AS TIME_EXEC FROM "&amp;I477,
IF(C477="Not applicable",+"SELECT '"&amp;UPPER(B477)&amp;"' AS TABELA, '"&amp;UPPER(C477)&amp;"' AS TIPOLOGIA_TESTE,'"&amp;D477&amp;"' AS TABELA_LT,'N/A' AS TABELA_SIMUL,'"&amp;F477&amp;"' AS CAMPO, "&amp;"'${ref_date}' AS REF_DATE, COUNT(*) AS NUM_REG, SUM(IF(TRIM(CAST(X."&amp;F477&amp;" AS STRING)) IN ('N/A','11111111111','11111111111.00','11111111111.000000','1111-11-11'),1,0)) AS NUM_REG_DIF,'"&amp;MAX('ID1&amp;5'!K:K)+1&amp;"' AS ID_EXEC, CURRENT_TIMESTAMP() AS TIME_EXEC FROM "&amp;I477,
IF(C477="Valores extremos",+"SELECT '"&amp;UPPER(B477)&amp;"' AS TABELA, '"&amp;UPPER(C477)&amp;"' AS TIPOLOGIA_TESTE,'"&amp;D477&amp;"' AS TABELA_LT,'N/A' AS TABELA_SIMUL,'"&amp;F477&amp;"' AS CAMPO, "&amp;"'${ref_date}' AS REF_DATE, CAST(MIN("&amp;F477&amp;") AS STRING) AS VALOR_MIN, CAST(MAX("&amp;F477&amp;") AS STRING) AS VALOR_MAX,'"&amp;MAX('ID1&amp;5'!K:K)+1&amp;"' AS ID_EXEC, CURRENT_TIMESTAMP() AS TIME_EXEC FROM "&amp;MID(I477,1,LEN(I477)-2)&amp;" AND CAST("&amp;F477&amp;"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TABELA_SIMUL,'DT_LGL_FNL_MTRTY' AS CAMPO, '${ref_date}' AS REF_DATE, CAST(MIN(DT_LGL_FNL_MTRTY) AS STRING) AS VALOR_MIN, CAST(MAX(DT_LGL_FNL_MTRTY) AS STRING) AS VALOR_MAX,'10' AS ID_EXEC, CURRENT_TIMESTAMP() AS TIME_EXEC FROM (SELECT instrmnt_id, DT_LGL_FNL_MTRTY FROM BU_LOANTAPE_WORK.LT002_INSTRUMENT WHERE ref_date='${ref_date}' AND nome_perimetro='Individual Corporativo' AND segmento='ESTR' AND ambito='PILAR3' AND CAST(DT_LGL_FNL_MTRTY AS STRING) NOT IN ('0000-00-00','0001-01-01','9999-12-31','MISS','00000','99999999999','99999999999.00','99999999999.000000','N/A','11111111111','11111111111.00','11111111111.000000','1111-11-11'))X</v>
      </c>
      <c r="M477" s="43" t="str">
        <f t="shared" si="7"/>
        <v>UNION ALL SELECT 'INSTRUMENT' AS TABELA, 'VALORES EXTREMOS' AS TIPOLOGIA_TESTE,'BU_LOANTAPE_WORK.LT002_INSTRUMENT' AS TABELA_LT,'N/A' AS TABELA_SIMUL,'DT_LGL_FNL_MTRTY' AS CAMPO, '${ref_date}' AS REF_DATE, CAST(MIN(DT_LGL_FNL_MTRTY) AS STRING) AS VALOR_MIN, CAST(MAX(DT_LGL_FNL_MTRTY) AS STRING) AS VALOR_MAX,'10' AS ID_EXEC, CURRENT_TIMESTAMP() AS TIME_EXEC FROM (SELECT instrmnt_id, DT_LGL_FNL_MTRTY FROM BU_LOANTAPE_WORK.LT002_INSTRUMENT WHERE ref_date='${ref_date}' AND nome_perimetro='Individual Corporativo' AND segmento='ESTR' AND ambito='PILAR3' AND CAST(DT_LGL_FNL_MTRTY AS STRING) NOT IN ('0000-00-00','0001-01-01','9999-12-31','MISS','00000','99999999999','99999999999.00','99999999999.000000','N/A','11111111111','11111111111.00','11111111111.000000','1111-11-11'))X</v>
      </c>
      <c r="N477" s="45" t="s">
        <v>13</v>
      </c>
    </row>
    <row r="478" spans="2:14">
      <c r="B478" s="41" t="s">
        <v>27</v>
      </c>
      <c r="C478" s="41" t="s">
        <v>226</v>
      </c>
      <c r="D478" s="41" t="str">
        <f>+UPPER('0. Instruções'!$D$33&amp;"."&amp;VLOOKUP(B478,'0. Instruções'!$C$27:$D$31,2,FALSE))</f>
        <v>BU_LOANTAPE_WORK.LT002_INSTRUMENT</v>
      </c>
      <c r="E478" s="41" t="str">
        <f>+UPPER('0. Instruções'!$D$34&amp;"."&amp;VLOOKUP(B478,'0. Instruções'!$C$27:$E$31,3,FALSE))</f>
        <v>BU_LOANTAPE_WORK.LT002_INSTRUMENT_P3_NOV24</v>
      </c>
      <c r="F478" s="41" t="s">
        <v>168</v>
      </c>
      <c r="G478" s="41" t="s">
        <v>13</v>
      </c>
      <c r="H478" s="41"/>
      <c r="I478" s="41" t="str">
        <f>"(SELECT "&amp;VLOOKUP(B478,'0. Instruções'!$C$27:$G$31,4,FALSE)&amp;", "&amp;F478&amp;" FROM "&amp;D478&amp;" WHERE "&amp;'0. Instruções'!$D$40&amp;")X"</f>
        <v>(SELECT instrmnt_id, ACCMLTD_IMPRMNT_INSTRMNT FROM BU_LOANTAPE_WORK.LT002_INSTRUMENT WHERE ref_date='${ref_date}' AND nome_perimetro='Individual Corporativo' AND segmento='ESTR' AND ambito='PILAR3')X</v>
      </c>
      <c r="J478" s="41" t="str">
        <f>"(SELECT "&amp;VLOOKUP(B478,'0. Instruções'!$C$27:$G$31,4,FALSE)&amp;" AS "&amp;VLOOKUP(B478,'0. Instruções'!$C$27:$G$31,4,FALSE)&amp;"_SIMUL, "&amp;F478&amp;" AS "&amp;F478&amp;"_SIMUL FROM "&amp;E478&amp;")Y"</f>
        <v>(SELECT instrmnt_id AS instrmnt_id_SIMUL, ACCMLTD_IMPRMNT_INSTRMNT AS ACCMLTD_IMPRMNT_INSTRMNT_SIMUL FROM BU_LOANTAPE_WORK.LT002_INSTRUMENT_P3_NOV24)Y</v>
      </c>
      <c r="K478" s="42" t="str">
        <f>+UPPER("ON X."&amp;VLOOKUP(B478,'0. Instruções'!$C$27:$G$31,4,FALSE)&amp;"=Y."&amp;VLOOKUP(B478,'0. Instruções'!$C$27:$G$31,4,FALSE)&amp;"_SIMUL")</f>
        <v>ON X.INSTRMNT_ID=Y.INSTRMNT_ID_SIMUL</v>
      </c>
      <c r="L478" s="42" t="str">
        <f>+IF(C478="Coerência", +IF(LEFT(G478,5)="FLOAT","SELECT '"&amp;UPPER(B478)&amp;"' AS TABELA, '"&amp;UPPER(C478)&amp;"' AS TIPOLOGIA_TESTE,'"&amp;D478&amp;"' AS TABELA_LT,'"&amp;E478&amp;"' AS TABELA_SIMUL,'"&amp;F478&amp;"' AS CAMPO, "&amp;"'${ref_date}' AS REF_DATE, COUNT(*) AS NUM_REG, SUM(IF((ABS(COALESCE(X."&amp;F478&amp;",0)-COALESCE(Y."&amp;F478&amp;"_SIMUL,0))&gt;0.0000000001) OR (X."&amp;F478&amp;" IS NULL AND Y."&amp;F478&amp;"_SIMUL IS NOT NULL ) OR (X."&amp;F478&amp;" IS NOT NULL AND Y."&amp;F478&amp;"_SIMUL IS NULL),1,0)) AS NUM_REG_DIF,'"&amp;MAX('ID1&amp;5'!K:K)+1&amp;"' AS ID_EXEC, CURRENT_TIMESTAMP() AS TIME_EXEC FROM "&amp;I478&amp;" INNER JOIN "&amp;J478&amp;" "&amp;K478,"SELECT '"&amp;UPPER(B478)&amp;"' AS TABELA, '"&amp;UPPER(C478)&amp;"' AS TIPOLOGIA_TESTE,'"&amp;D478&amp;"' AS TABELA_LT,'"&amp;E478&amp;"' AS TABELA_SIMUL,'"&amp;F478&amp;"' AS CAMPO, "&amp;"'${ref_date}' AS REF_DATE, COUNT(*) AS NUM_REG, SUM(IF(COALESCE(CAST(X."&amp;F478&amp;" AS STRING),'')&lt;&gt;COALESCE(CAST(Y."&amp;F478&amp;"_SIMUL AS STRING),''),1,0)) AS NUM_REG_DIF,'"&amp;MAX('ID1&amp;5'!L:L)+1&amp;"' AS ID_EXEC, CURRENT_TIMESTAMP() AS TIME_EXEC FROM "&amp;I478&amp;" INNER JOIN "&amp;J478&amp;" "&amp;K478),
IF(C478="Validade",+IF(G478="Code List","SELECT '"&amp;UPPER(B478)&amp;"' AS TABELA, '"&amp;UPPER(C478)&amp;"' AS TIPOLOGIA_TESTE,'"&amp;D478&amp;"' AS TABELA_LT,'N/A' AS TABELA_SIMUL,'"&amp;F478&amp;"' AS CAMPO, "&amp;"'${ref_date}' AS REF_DATE, COUNT(*) AS NUM_REG, SUM(IF(TRIM(CAST(X."&amp;F478&amp;" AS STRING))='' OR TRIM(CAST(X."&amp;F478&amp;" AS STRING)) IS NULL OR CAST(X."&amp;F478&amp;" AS STRING) NOT "&amp;H478&amp;",1,0)) AS NUM_REG_DIF,'"&amp;MAX('ID1&amp;5'!K:K)+1&amp;"' AS ID_EXEC, CURRENT_TIMESTAMP() AS TIME_EXEC FROM "&amp;I478,"SELECT '"&amp;UPPER(B478)&amp;"' AS TABELA, '"&amp;UPPER(C478)&amp;"' AS TIPOLOGIA_TESTE,'"&amp;D478&amp;"' AS TABELA_LT,'N/A' AS TABELA_SIMUL,'"&amp;F478&amp;"' AS CAMPO, "&amp;"'${ref_date}' AS REF_DATE, COUNT(*) AS NUM_REG, SUM(IF(TRIM(CAST(X."&amp;F478&amp;" AS STRING))='' OR TRIM(CAST(X."&amp;F478&amp;" AS STRING)) IS NULL,1,0)) AS NUM_REG_DIF,'"&amp;MAX('ID1&amp;5'!K:K)+1&amp;"' AS ID_EXEC, CURRENT_TIMESTAMP() AS TIME_EXEC FROM "&amp;I478),
IF(C478="Caracteres Especiais",+"SELECT '"&amp;UPPER(B478)&amp;"' AS TABELA, '"&amp;UPPER(C478)&amp;"' AS TIPOLOGIA_TESTE,'"&amp;D478&amp;"' AS TABELA_LT,'N/A' AS TABELA_SIMUL,'"&amp;F478&amp;"' AS CAMPO, "&amp;"'${ref_date}' AS REF_DATE, COUNT(*) AS NUM_REG, SUM(IF(INSTR(CAST(X."&amp;F478&amp;" AS STRING),'#')&gt;0 OR INSTR(CAST(X."&amp;F478&amp;" AS STRING),'*')&gt;0 OR INSTR(CAST(X."&amp;F478&amp;" AS STRING),'`')&gt;0 OR INSTR(CAST(X."&amp;F478&amp;" AS STRING),'´')&gt;0 OR INSTR(CAST(X."&amp;F478&amp;" AS STRING),'{')&gt;0 OR INSTR(CAST(X."&amp;F478&amp;" AS STRING),'}')&gt;0 OR INSTR(CAST(X."&amp;F478&amp;" AS STRING),'[')&gt;0 OR INSTR(CAST(X."&amp;F478&amp;" AS STRING),'')&gt;0 OR INSTR(CAST(X."&amp;F478&amp;" AS STRING),']')&gt;0 OR INSTR(CAST(X."&amp;F478&amp;" AS STRING),'?')&gt;0 OR INSTR(CAST(X."&amp;F478&amp;" AS STRING),'!')&gt;0 OR INSTR(CAST(X."&amp;F478&amp;" AS STRING),'$')&gt;0 OR INSTR(CAST(X."&amp;F478&amp;" AS STRING),'%')&gt;0 OR INSTR(CAST(X."&amp;F478&amp;" AS STRING),'&amp;')&gt;0 OR INSTR(CAST(X."&amp;F478&amp;" AS STRING),'+')&gt;0,1,0)) AS NUM_REG_DIF,'"&amp;MAX('ID1&amp;5'!K:K)+1&amp;"' AS ID_EXEC, CURRENT_TIMESTAMP() AS TIME_EXEC FROM "&amp;I478,
IF(C478="Missings",+"SELECT '"&amp;UPPER(B478)&amp;"' AS TABELA, '"&amp;UPPER(C478)&amp;"' AS TIPOLOGIA_TESTE,'"&amp;D478&amp;"' AS TABELA_LT,'N/A' AS TABELA_SIMUL,'"&amp;F478&amp;"' AS CAMPO, "&amp;"'${ref_date}' AS REF_DATE, COUNT(*) AS NUM_REG, SUM(IF(TRIM(CAST(X."&amp;F478&amp;" AS STRING)) IN ('0000-00-00','0001-01-01','9999-12-31','MISS','00000','99999999999','99999999999.00','99999999999.000000'),1,0)) AS NUM_REG_DIF,'"&amp;MAX('ID1&amp;5'!K:K)+1&amp;"' AS ID_EXEC, CURRENT_TIMESTAMP() AS TIME_EXEC FROM "&amp;I478,
IF(C478="Not applicable",+"SELECT '"&amp;UPPER(B478)&amp;"' AS TABELA, '"&amp;UPPER(C478)&amp;"' AS TIPOLOGIA_TESTE,'"&amp;D478&amp;"' AS TABELA_LT,'N/A' AS TABELA_SIMUL,'"&amp;F478&amp;"' AS CAMPO, "&amp;"'${ref_date}' AS REF_DATE, COUNT(*) AS NUM_REG, SUM(IF(TRIM(CAST(X."&amp;F478&amp;" AS STRING)) IN ('N/A','11111111111','11111111111.00','11111111111.000000','1111-11-11'),1,0)) AS NUM_REG_DIF,'"&amp;MAX('ID1&amp;5'!K:K)+1&amp;"' AS ID_EXEC, CURRENT_TIMESTAMP() AS TIME_EXEC FROM "&amp;I478,
IF(C478="Valores extremos",+"SELECT '"&amp;UPPER(B478)&amp;"' AS TABELA, '"&amp;UPPER(C478)&amp;"' AS TIPOLOGIA_TESTE,'"&amp;D478&amp;"' AS TABELA_LT,'N/A' AS TABELA_SIMUL,'"&amp;F478&amp;"' AS CAMPO, "&amp;"'${ref_date}' AS REF_DATE, CAST(MIN("&amp;F478&amp;") AS STRING) AS VALOR_MIN, CAST(MAX("&amp;F478&amp;") AS STRING) AS VALOR_MAX,'"&amp;MAX('ID1&amp;5'!K:K)+1&amp;"' AS ID_EXEC, CURRENT_TIMESTAMP() AS TIME_EXEC FROM "&amp;MID(I478,1,LEN(I478)-2)&amp;" AND CAST("&amp;F478&amp;"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TABELA_SIMUL,'ACCMLTD_IMPRMNT_INSTRMNT' AS CAMPO, '${ref_date}' AS REF_DATE, CAST(MIN(ACCMLTD_IMPRMNT_INSTRMNT) AS STRING) AS VALOR_MIN, CAST(MAX(ACCMLTD_IMPRMNT_INSTRMNT) AS STRING) AS VALOR_MAX,'10' AS ID_EXEC, CURRENT_TIMESTAMP() AS TIME_EXEC FROM (SELECT instrmnt_id, ACCMLTD_IMPRMNT_INSTRMNT FROM BU_LOANTAPE_WORK.LT002_INSTRUMENT WHERE ref_date='${ref_date}' AND nome_perimetro='Individual Corporativo' AND segmento='ESTR' AND ambito='PILAR3' AND CAST(ACCMLTD_IMPRMNT_INSTRMNT AS STRING) NOT IN ('0000-00-00','0001-01-01','9999-12-31','MISS','00000','99999999999','99999999999.00','99999999999.000000','N/A','11111111111','11111111111.00','11111111111.000000','1111-11-11'))X</v>
      </c>
      <c r="M478" s="43" t="str">
        <f t="shared" si="7"/>
        <v>UNION ALL SELECT 'INSTRUMENT' AS TABELA, 'VALORES EXTREMOS' AS TIPOLOGIA_TESTE,'BU_LOANTAPE_WORK.LT002_INSTRUMENT' AS TABELA_LT,'N/A' AS TABELA_SIMUL,'ACCMLTD_IMPRMNT_INSTRMNT' AS CAMPO, '${ref_date}' AS REF_DATE, CAST(MIN(ACCMLTD_IMPRMNT_INSTRMNT) AS STRING) AS VALOR_MIN, CAST(MAX(ACCMLTD_IMPRMNT_INSTRMNT) AS STRING) AS VALOR_MAX,'10' AS ID_EXEC, CURRENT_TIMESTAMP() AS TIME_EXEC FROM (SELECT instrmnt_id, ACCMLTD_IMPRMNT_INSTRMNT FROM BU_LOANTAPE_WORK.LT002_INSTRUMENT WHERE ref_date='${ref_date}' AND nome_perimetro='Individual Corporativo' AND segmento='ESTR' AND ambito='PILAR3' AND CAST(ACCMLTD_IMPRMNT_INSTRMNT AS STRING) NOT IN ('0000-00-00','0001-01-01','9999-12-31','MISS','00000','99999999999','99999999999.00','99999999999.000000','N/A','11111111111','11111111111.00','11111111111.000000','1111-11-11'))X</v>
      </c>
      <c r="N478" s="45" t="s">
        <v>13</v>
      </c>
    </row>
    <row r="479" spans="2:14">
      <c r="B479" s="41" t="s">
        <v>27</v>
      </c>
      <c r="C479" s="41" t="s">
        <v>226</v>
      </c>
      <c r="D479" s="41" t="str">
        <f>+UPPER('0. Instruções'!$D$33&amp;"."&amp;VLOOKUP(B479,'0. Instruções'!$C$27:$D$31,2,FALSE))</f>
        <v>BU_LOANTAPE_WORK.LT002_INSTRUMENT</v>
      </c>
      <c r="E479" s="41" t="str">
        <f>+UPPER('0. Instruções'!$D$34&amp;"."&amp;VLOOKUP(B479,'0. Instruções'!$C$27:$E$31,3,FALSE))</f>
        <v>BU_LOANTAPE_WORK.LT002_INSTRUMENT_P3_NOV24</v>
      </c>
      <c r="F479" s="41" t="s">
        <v>169</v>
      </c>
      <c r="G479" s="41" t="s">
        <v>13</v>
      </c>
      <c r="H479" s="41"/>
      <c r="I479" s="41" t="str">
        <f>"(SELECT "&amp;VLOOKUP(B479,'0. Instruções'!$C$27:$G$31,4,FALSE)&amp;", "&amp;F479&amp;" FROM "&amp;D479&amp;" WHERE "&amp;'0. Instruções'!$D$40&amp;")X"</f>
        <v>(SELECT instrmnt_id, ISSR_CNTRY FROM BU_LOANTAPE_WORK.LT002_INSTRUMENT WHERE ref_date='${ref_date}' AND nome_perimetro='Individual Corporativo' AND segmento='ESTR' AND ambito='PILAR3')X</v>
      </c>
      <c r="J479" s="41" t="str">
        <f>"(SELECT "&amp;VLOOKUP(B479,'0. Instruções'!$C$27:$G$31,4,FALSE)&amp;" AS "&amp;VLOOKUP(B479,'0. Instruções'!$C$27:$G$31,4,FALSE)&amp;"_SIMUL, "&amp;F479&amp;" AS "&amp;F479&amp;"_SIMUL FROM "&amp;E479&amp;")Y"</f>
        <v>(SELECT instrmnt_id AS instrmnt_id_SIMUL, ISSR_CNTRY AS ISSR_CNTRY_SIMUL FROM BU_LOANTAPE_WORK.LT002_INSTRUMENT_P3_NOV24)Y</v>
      </c>
      <c r="K479" s="42" t="str">
        <f>+UPPER("ON X."&amp;VLOOKUP(B479,'0. Instruções'!$C$27:$G$31,4,FALSE)&amp;"=Y."&amp;VLOOKUP(B479,'0. Instruções'!$C$27:$G$31,4,FALSE)&amp;"_SIMUL")</f>
        <v>ON X.INSTRMNT_ID=Y.INSTRMNT_ID_SIMUL</v>
      </c>
      <c r="L479" s="42" t="str">
        <f>+IF(C479="Coerência", +IF(LEFT(G479,5)="FLOAT","SELECT '"&amp;UPPER(B479)&amp;"' AS TABELA, '"&amp;UPPER(C479)&amp;"' AS TIPOLOGIA_TESTE,'"&amp;D479&amp;"' AS TABELA_LT,'"&amp;E479&amp;"' AS TABELA_SIMUL,'"&amp;F479&amp;"' AS CAMPO, "&amp;"'${ref_date}' AS REF_DATE, COUNT(*) AS NUM_REG, SUM(IF((ABS(COALESCE(X."&amp;F479&amp;",0)-COALESCE(Y."&amp;F479&amp;"_SIMUL,0))&gt;0.0000000001) OR (X."&amp;F479&amp;" IS NULL AND Y."&amp;F479&amp;"_SIMUL IS NOT NULL ) OR (X."&amp;F479&amp;" IS NOT NULL AND Y."&amp;F479&amp;"_SIMUL IS NULL),1,0)) AS NUM_REG_DIF,'"&amp;MAX('ID1&amp;5'!K:K)+1&amp;"' AS ID_EXEC, CURRENT_TIMESTAMP() AS TIME_EXEC FROM "&amp;I479&amp;" INNER JOIN "&amp;J479&amp;" "&amp;K479,"SELECT '"&amp;UPPER(B479)&amp;"' AS TABELA, '"&amp;UPPER(C479)&amp;"' AS TIPOLOGIA_TESTE,'"&amp;D479&amp;"' AS TABELA_LT,'"&amp;E479&amp;"' AS TABELA_SIMUL,'"&amp;F479&amp;"' AS CAMPO, "&amp;"'${ref_date}' AS REF_DATE, COUNT(*) AS NUM_REG, SUM(IF(COALESCE(CAST(X."&amp;F479&amp;" AS STRING),'')&lt;&gt;COALESCE(CAST(Y."&amp;F479&amp;"_SIMUL AS STRING),''),1,0)) AS NUM_REG_DIF,'"&amp;MAX('ID1&amp;5'!L:L)+1&amp;"' AS ID_EXEC, CURRENT_TIMESTAMP() AS TIME_EXEC FROM "&amp;I479&amp;" INNER JOIN "&amp;J479&amp;" "&amp;K479),
IF(C479="Validade",+IF(G479="Code List","SELECT '"&amp;UPPER(B479)&amp;"' AS TABELA, '"&amp;UPPER(C479)&amp;"' AS TIPOLOGIA_TESTE,'"&amp;D479&amp;"' AS TABELA_LT,'N/A' AS TABELA_SIMUL,'"&amp;F479&amp;"' AS CAMPO, "&amp;"'${ref_date}' AS REF_DATE, COUNT(*) AS NUM_REG, SUM(IF(TRIM(CAST(X."&amp;F479&amp;" AS STRING))='' OR TRIM(CAST(X."&amp;F479&amp;" AS STRING)) IS NULL OR CAST(X."&amp;F479&amp;" AS STRING) NOT "&amp;H479&amp;",1,0)) AS NUM_REG_DIF,'"&amp;MAX('ID1&amp;5'!K:K)+1&amp;"' AS ID_EXEC, CURRENT_TIMESTAMP() AS TIME_EXEC FROM "&amp;I479,"SELECT '"&amp;UPPER(B479)&amp;"' AS TABELA, '"&amp;UPPER(C479)&amp;"' AS TIPOLOGIA_TESTE,'"&amp;D479&amp;"' AS TABELA_LT,'N/A' AS TABELA_SIMUL,'"&amp;F479&amp;"' AS CAMPO, "&amp;"'${ref_date}' AS REF_DATE, COUNT(*) AS NUM_REG, SUM(IF(TRIM(CAST(X."&amp;F479&amp;" AS STRING))='' OR TRIM(CAST(X."&amp;F479&amp;" AS STRING)) IS NULL,1,0)) AS NUM_REG_DIF,'"&amp;MAX('ID1&amp;5'!K:K)+1&amp;"' AS ID_EXEC, CURRENT_TIMESTAMP() AS TIME_EXEC FROM "&amp;I479),
IF(C479="Caracteres Especiais",+"SELECT '"&amp;UPPER(B479)&amp;"' AS TABELA, '"&amp;UPPER(C479)&amp;"' AS TIPOLOGIA_TESTE,'"&amp;D479&amp;"' AS TABELA_LT,'N/A' AS TABELA_SIMUL,'"&amp;F479&amp;"' AS CAMPO, "&amp;"'${ref_date}' AS REF_DATE, COUNT(*) AS NUM_REG, SUM(IF(INSTR(CAST(X."&amp;F479&amp;" AS STRING),'#')&gt;0 OR INSTR(CAST(X."&amp;F479&amp;" AS STRING),'*')&gt;0 OR INSTR(CAST(X."&amp;F479&amp;" AS STRING),'`')&gt;0 OR INSTR(CAST(X."&amp;F479&amp;" AS STRING),'´')&gt;0 OR INSTR(CAST(X."&amp;F479&amp;" AS STRING),'{')&gt;0 OR INSTR(CAST(X."&amp;F479&amp;" AS STRING),'}')&gt;0 OR INSTR(CAST(X."&amp;F479&amp;" AS STRING),'[')&gt;0 OR INSTR(CAST(X."&amp;F479&amp;" AS STRING),'')&gt;0 OR INSTR(CAST(X."&amp;F479&amp;" AS STRING),']')&gt;0 OR INSTR(CAST(X."&amp;F479&amp;" AS STRING),'?')&gt;0 OR INSTR(CAST(X."&amp;F479&amp;" AS STRING),'!')&gt;0 OR INSTR(CAST(X."&amp;F479&amp;" AS STRING),'$')&gt;0 OR INSTR(CAST(X."&amp;F479&amp;" AS STRING),'%')&gt;0 OR INSTR(CAST(X."&amp;F479&amp;" AS STRING),'&amp;')&gt;0 OR INSTR(CAST(X."&amp;F479&amp;" AS STRING),'+')&gt;0,1,0)) AS NUM_REG_DIF,'"&amp;MAX('ID1&amp;5'!K:K)+1&amp;"' AS ID_EXEC, CURRENT_TIMESTAMP() AS TIME_EXEC FROM "&amp;I479,
IF(C479="Missings",+"SELECT '"&amp;UPPER(B479)&amp;"' AS TABELA, '"&amp;UPPER(C479)&amp;"' AS TIPOLOGIA_TESTE,'"&amp;D479&amp;"' AS TABELA_LT,'N/A' AS TABELA_SIMUL,'"&amp;F479&amp;"' AS CAMPO, "&amp;"'${ref_date}' AS REF_DATE, COUNT(*) AS NUM_REG, SUM(IF(TRIM(CAST(X."&amp;F479&amp;" AS STRING)) IN ('0000-00-00','0001-01-01','9999-12-31','MISS','00000','99999999999','99999999999.00','99999999999.000000'),1,0)) AS NUM_REG_DIF,'"&amp;MAX('ID1&amp;5'!K:K)+1&amp;"' AS ID_EXEC, CURRENT_TIMESTAMP() AS TIME_EXEC FROM "&amp;I479,
IF(C479="Not applicable",+"SELECT '"&amp;UPPER(B479)&amp;"' AS TABELA, '"&amp;UPPER(C479)&amp;"' AS TIPOLOGIA_TESTE,'"&amp;D479&amp;"' AS TABELA_LT,'N/A' AS TABELA_SIMUL,'"&amp;F479&amp;"' AS CAMPO, "&amp;"'${ref_date}' AS REF_DATE, COUNT(*) AS NUM_REG, SUM(IF(TRIM(CAST(X."&amp;F479&amp;" AS STRING)) IN ('N/A','11111111111','11111111111.00','11111111111.000000','1111-11-11'),1,0)) AS NUM_REG_DIF,'"&amp;MAX('ID1&amp;5'!K:K)+1&amp;"' AS ID_EXEC, CURRENT_TIMESTAMP() AS TIME_EXEC FROM "&amp;I479,
IF(C479="Valores extremos",+"SELECT '"&amp;UPPER(B479)&amp;"' AS TABELA, '"&amp;UPPER(C479)&amp;"' AS TIPOLOGIA_TESTE,'"&amp;D479&amp;"' AS TABELA_LT,'N/A' AS TABELA_SIMUL,'"&amp;F479&amp;"' AS CAMPO, "&amp;"'${ref_date}' AS REF_DATE, CAST(MIN("&amp;F479&amp;") AS STRING) AS VALOR_MIN, CAST(MAX("&amp;F479&amp;") AS STRING) AS VALOR_MAX,'"&amp;MAX('ID1&amp;5'!K:K)+1&amp;"' AS ID_EXEC, CURRENT_TIMESTAMP() AS TIME_EXEC FROM "&amp;MID(I479,1,LEN(I479)-2)&amp;" AND CAST("&amp;F479&amp;"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TABELA_SIMUL,'ISSR_CNTRY' AS CAMPO, '${ref_date}' AS REF_DATE, CAST(MIN(ISSR_CNTRY) AS STRING) AS VALOR_MIN, CAST(MAX(ISSR_CNTRY) AS STRING) AS VALOR_MAX,'10' AS ID_EXEC, CURRENT_TIMESTAMP() AS TIME_EXEC FROM (SELECT instrmnt_id, ISSR_CNTRY FROM BU_LOANTAPE_WORK.LT002_INSTRUMENT WHERE ref_date='${ref_date}' AND nome_perimetro='Individual Corporativo' AND segmento='ESTR' AND ambito='PILAR3' AND CAST(ISSR_CNTRY AS STRING) NOT IN ('0000-00-00','0001-01-01','9999-12-31','MISS','00000','99999999999','99999999999.00','99999999999.000000','N/A','11111111111','11111111111.00','11111111111.000000','1111-11-11'))X</v>
      </c>
      <c r="M479" s="43" t="str">
        <f t="shared" si="7"/>
        <v>UNION ALL SELECT 'INSTRUMENT' AS TABELA, 'VALORES EXTREMOS' AS TIPOLOGIA_TESTE,'BU_LOANTAPE_WORK.LT002_INSTRUMENT' AS TABELA_LT,'N/A' AS TABELA_SIMUL,'ISSR_CNTRY' AS CAMPO, '${ref_date}' AS REF_DATE, CAST(MIN(ISSR_CNTRY) AS STRING) AS VALOR_MIN, CAST(MAX(ISSR_CNTRY) AS STRING) AS VALOR_MAX,'10' AS ID_EXEC, CURRENT_TIMESTAMP() AS TIME_EXEC FROM (SELECT instrmnt_id, ISSR_CNTRY FROM BU_LOANTAPE_WORK.LT002_INSTRUMENT WHERE ref_date='${ref_date}' AND nome_perimetro='Individual Corporativo' AND segmento='ESTR' AND ambito='PILAR3' AND CAST(ISSR_CNTRY AS STRING) NOT IN ('0000-00-00','0001-01-01','9999-12-31','MISS','00000','99999999999','99999999999.00','99999999999.000000','N/A','11111111111','11111111111.00','11111111111.000000','1111-11-11'))X</v>
      </c>
      <c r="N479" s="45" t="s">
        <v>13</v>
      </c>
    </row>
    <row r="480" spans="2:14">
      <c r="B480" s="41" t="s">
        <v>27</v>
      </c>
      <c r="C480" s="41" t="s">
        <v>226</v>
      </c>
      <c r="D480" s="41" t="str">
        <f>+UPPER('0. Instruções'!$D$33&amp;"."&amp;VLOOKUP(B480,'0. Instruções'!$C$27:$D$31,2,FALSE))</f>
        <v>BU_LOANTAPE_WORK.LT002_INSTRUMENT</v>
      </c>
      <c r="E480" s="41" t="str">
        <f>+UPPER('0. Instruções'!$D$34&amp;"."&amp;VLOOKUP(B480,'0. Instruções'!$C$27:$E$31,3,FALSE))</f>
        <v>BU_LOANTAPE_WORK.LT002_INSTRUMENT_P3_NOV24</v>
      </c>
      <c r="F480" s="41" t="s">
        <v>170</v>
      </c>
      <c r="G480" s="41" t="s">
        <v>13</v>
      </c>
      <c r="H480" s="41"/>
      <c r="I480" s="41" t="str">
        <f>"(SELECT "&amp;VLOOKUP(B480,'0. Instruções'!$C$27:$G$31,4,FALSE)&amp;", "&amp;F480&amp;" FROM "&amp;D480&amp;" WHERE "&amp;'0. Instruções'!$D$40&amp;")X"</f>
        <v>(SELECT instrmnt_id, ISSR_NACE_SCTR FROM BU_LOANTAPE_WORK.LT002_INSTRUMENT WHERE ref_date='${ref_date}' AND nome_perimetro='Individual Corporativo' AND segmento='ESTR' AND ambito='PILAR3')X</v>
      </c>
      <c r="J480" s="41" t="str">
        <f>"(SELECT "&amp;VLOOKUP(B480,'0. Instruções'!$C$27:$G$31,4,FALSE)&amp;" AS "&amp;VLOOKUP(B480,'0. Instruções'!$C$27:$G$31,4,FALSE)&amp;"_SIMUL, "&amp;F480&amp;" AS "&amp;F480&amp;"_SIMUL FROM "&amp;E480&amp;")Y"</f>
        <v>(SELECT instrmnt_id AS instrmnt_id_SIMUL, ISSR_NACE_SCTR AS ISSR_NACE_SCTR_SIMUL FROM BU_LOANTAPE_WORK.LT002_INSTRUMENT_P3_NOV24)Y</v>
      </c>
      <c r="K480" s="42" t="str">
        <f>+UPPER("ON X."&amp;VLOOKUP(B480,'0. Instruções'!$C$27:$G$31,4,FALSE)&amp;"=Y."&amp;VLOOKUP(B480,'0. Instruções'!$C$27:$G$31,4,FALSE)&amp;"_SIMUL")</f>
        <v>ON X.INSTRMNT_ID=Y.INSTRMNT_ID_SIMUL</v>
      </c>
      <c r="L480" s="42" t="str">
        <f>+IF(C480="Coerência", +IF(LEFT(G480,5)="FLOAT","SELECT '"&amp;UPPER(B480)&amp;"' AS TABELA, '"&amp;UPPER(C480)&amp;"' AS TIPOLOGIA_TESTE,'"&amp;D480&amp;"' AS TABELA_LT,'"&amp;E480&amp;"' AS TABELA_SIMUL,'"&amp;F480&amp;"' AS CAMPO, "&amp;"'${ref_date}' AS REF_DATE, COUNT(*) AS NUM_REG, SUM(IF((ABS(COALESCE(X."&amp;F480&amp;",0)-COALESCE(Y."&amp;F480&amp;"_SIMUL,0))&gt;0.0000000001) OR (X."&amp;F480&amp;" IS NULL AND Y."&amp;F480&amp;"_SIMUL IS NOT NULL ) OR (X."&amp;F480&amp;" IS NOT NULL AND Y."&amp;F480&amp;"_SIMUL IS NULL),1,0)) AS NUM_REG_DIF,'"&amp;MAX('ID1&amp;5'!K:K)+1&amp;"' AS ID_EXEC, CURRENT_TIMESTAMP() AS TIME_EXEC FROM "&amp;I480&amp;" INNER JOIN "&amp;J480&amp;" "&amp;K480,"SELECT '"&amp;UPPER(B480)&amp;"' AS TABELA, '"&amp;UPPER(C480)&amp;"' AS TIPOLOGIA_TESTE,'"&amp;D480&amp;"' AS TABELA_LT,'"&amp;E480&amp;"' AS TABELA_SIMUL,'"&amp;F480&amp;"' AS CAMPO, "&amp;"'${ref_date}' AS REF_DATE, COUNT(*) AS NUM_REG, SUM(IF(COALESCE(CAST(X."&amp;F480&amp;" AS STRING),'')&lt;&gt;COALESCE(CAST(Y."&amp;F480&amp;"_SIMUL AS STRING),''),1,0)) AS NUM_REG_DIF,'"&amp;MAX('ID1&amp;5'!L:L)+1&amp;"' AS ID_EXEC, CURRENT_TIMESTAMP() AS TIME_EXEC FROM "&amp;I480&amp;" INNER JOIN "&amp;J480&amp;" "&amp;K480),
IF(C480="Validade",+IF(G480="Code List","SELECT '"&amp;UPPER(B480)&amp;"' AS TABELA, '"&amp;UPPER(C480)&amp;"' AS TIPOLOGIA_TESTE,'"&amp;D480&amp;"' AS TABELA_LT,'N/A' AS TABELA_SIMUL,'"&amp;F480&amp;"' AS CAMPO, "&amp;"'${ref_date}' AS REF_DATE, COUNT(*) AS NUM_REG, SUM(IF(TRIM(CAST(X."&amp;F480&amp;" AS STRING))='' OR TRIM(CAST(X."&amp;F480&amp;" AS STRING)) IS NULL OR CAST(X."&amp;F480&amp;" AS STRING) NOT "&amp;H480&amp;",1,0)) AS NUM_REG_DIF,'"&amp;MAX('ID1&amp;5'!K:K)+1&amp;"' AS ID_EXEC, CURRENT_TIMESTAMP() AS TIME_EXEC FROM "&amp;I480,"SELECT '"&amp;UPPER(B480)&amp;"' AS TABELA, '"&amp;UPPER(C480)&amp;"' AS TIPOLOGIA_TESTE,'"&amp;D480&amp;"' AS TABELA_LT,'N/A' AS TABELA_SIMUL,'"&amp;F480&amp;"' AS CAMPO, "&amp;"'${ref_date}' AS REF_DATE, COUNT(*) AS NUM_REG, SUM(IF(TRIM(CAST(X."&amp;F480&amp;" AS STRING))='' OR TRIM(CAST(X."&amp;F480&amp;" AS STRING)) IS NULL,1,0)) AS NUM_REG_DIF,'"&amp;MAX('ID1&amp;5'!K:K)+1&amp;"' AS ID_EXEC, CURRENT_TIMESTAMP() AS TIME_EXEC FROM "&amp;I480),
IF(C480="Caracteres Especiais",+"SELECT '"&amp;UPPER(B480)&amp;"' AS TABELA, '"&amp;UPPER(C480)&amp;"' AS TIPOLOGIA_TESTE,'"&amp;D480&amp;"' AS TABELA_LT,'N/A' AS TABELA_SIMUL,'"&amp;F480&amp;"' AS CAMPO, "&amp;"'${ref_date}' AS REF_DATE, COUNT(*) AS NUM_REG, SUM(IF(INSTR(CAST(X."&amp;F480&amp;" AS STRING),'#')&gt;0 OR INSTR(CAST(X."&amp;F480&amp;" AS STRING),'*')&gt;0 OR INSTR(CAST(X."&amp;F480&amp;" AS STRING),'`')&gt;0 OR INSTR(CAST(X."&amp;F480&amp;" AS STRING),'´')&gt;0 OR INSTR(CAST(X."&amp;F480&amp;" AS STRING),'{')&gt;0 OR INSTR(CAST(X."&amp;F480&amp;" AS STRING),'}')&gt;0 OR INSTR(CAST(X."&amp;F480&amp;" AS STRING),'[')&gt;0 OR INSTR(CAST(X."&amp;F480&amp;" AS STRING),'')&gt;0 OR INSTR(CAST(X."&amp;F480&amp;" AS STRING),']')&gt;0 OR INSTR(CAST(X."&amp;F480&amp;" AS STRING),'?')&gt;0 OR INSTR(CAST(X."&amp;F480&amp;" AS STRING),'!')&gt;0 OR INSTR(CAST(X."&amp;F480&amp;" AS STRING),'$')&gt;0 OR INSTR(CAST(X."&amp;F480&amp;" AS STRING),'%')&gt;0 OR INSTR(CAST(X."&amp;F480&amp;" AS STRING),'&amp;')&gt;0 OR INSTR(CAST(X."&amp;F480&amp;" AS STRING),'+')&gt;0,1,0)) AS NUM_REG_DIF,'"&amp;MAX('ID1&amp;5'!K:K)+1&amp;"' AS ID_EXEC, CURRENT_TIMESTAMP() AS TIME_EXEC FROM "&amp;I480,
IF(C480="Missings",+"SELECT '"&amp;UPPER(B480)&amp;"' AS TABELA, '"&amp;UPPER(C480)&amp;"' AS TIPOLOGIA_TESTE,'"&amp;D480&amp;"' AS TABELA_LT,'N/A' AS TABELA_SIMUL,'"&amp;F480&amp;"' AS CAMPO, "&amp;"'${ref_date}' AS REF_DATE, COUNT(*) AS NUM_REG, SUM(IF(TRIM(CAST(X."&amp;F480&amp;" AS STRING)) IN ('0000-00-00','0001-01-01','9999-12-31','MISS','00000','99999999999','99999999999.00','99999999999.000000'),1,0)) AS NUM_REG_DIF,'"&amp;MAX('ID1&amp;5'!K:K)+1&amp;"' AS ID_EXEC, CURRENT_TIMESTAMP() AS TIME_EXEC FROM "&amp;I480,
IF(C480="Not applicable",+"SELECT '"&amp;UPPER(B480)&amp;"' AS TABELA, '"&amp;UPPER(C480)&amp;"' AS TIPOLOGIA_TESTE,'"&amp;D480&amp;"' AS TABELA_LT,'N/A' AS TABELA_SIMUL,'"&amp;F480&amp;"' AS CAMPO, "&amp;"'${ref_date}' AS REF_DATE, COUNT(*) AS NUM_REG, SUM(IF(TRIM(CAST(X."&amp;F480&amp;" AS STRING)) IN ('N/A','11111111111','11111111111.00','11111111111.000000','1111-11-11'),1,0)) AS NUM_REG_DIF,'"&amp;MAX('ID1&amp;5'!K:K)+1&amp;"' AS ID_EXEC, CURRENT_TIMESTAMP() AS TIME_EXEC FROM "&amp;I480,
IF(C480="Valores extremos",+"SELECT '"&amp;UPPER(B480)&amp;"' AS TABELA, '"&amp;UPPER(C480)&amp;"' AS TIPOLOGIA_TESTE,'"&amp;D480&amp;"' AS TABELA_LT,'N/A' AS TABELA_SIMUL,'"&amp;F480&amp;"' AS CAMPO, "&amp;"'${ref_date}' AS REF_DATE, CAST(MIN("&amp;F480&amp;") AS STRING) AS VALOR_MIN, CAST(MAX("&amp;F480&amp;") AS STRING) AS VALOR_MAX,'"&amp;MAX('ID1&amp;5'!K:K)+1&amp;"' AS ID_EXEC, CURRENT_TIMESTAMP() AS TIME_EXEC FROM "&amp;MID(I480,1,LEN(I480)-2)&amp;" AND CAST("&amp;F480&amp;"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TABELA_SIMUL,'ISSR_NACE_SCTR' AS CAMPO, '${ref_date}' AS REF_DATE, CAST(MIN(ISSR_NACE_SCTR) AS STRING) AS VALOR_MIN, CAST(MAX(ISSR_NACE_SCTR) AS STRING) AS VALOR_MAX,'10' AS ID_EXEC, CURRENT_TIMESTAMP() AS TIME_EXEC FROM (SELECT instrmnt_id, ISSR_NACE_SCTR FROM BU_LOANTAPE_WORK.LT002_INSTRUMENT WHERE ref_date='${ref_date}' AND nome_perimetro='Individual Corporativo' AND segmento='ESTR' AND ambito='PILAR3' AND CAST(ISSR_NACE_SCTR AS STRING) NOT IN ('0000-00-00','0001-01-01','9999-12-31','MISS','00000','99999999999','99999999999.00','99999999999.000000','N/A','11111111111','11111111111.00','11111111111.000000','1111-11-11'))X</v>
      </c>
      <c r="M480" s="43" t="str">
        <f t="shared" si="7"/>
        <v>UNION ALL SELECT 'INSTRUMENT' AS TABELA, 'VALORES EXTREMOS' AS TIPOLOGIA_TESTE,'BU_LOANTAPE_WORK.LT002_INSTRUMENT' AS TABELA_LT,'N/A' AS TABELA_SIMUL,'ISSR_NACE_SCTR' AS CAMPO, '${ref_date}' AS REF_DATE, CAST(MIN(ISSR_NACE_SCTR) AS STRING) AS VALOR_MIN, CAST(MAX(ISSR_NACE_SCTR) AS STRING) AS VALOR_MAX,'10' AS ID_EXEC, CURRENT_TIMESTAMP() AS TIME_EXEC FROM (SELECT instrmnt_id, ISSR_NACE_SCTR FROM BU_LOANTAPE_WORK.LT002_INSTRUMENT WHERE ref_date='${ref_date}' AND nome_perimetro='Individual Corporativo' AND segmento='ESTR' AND ambito='PILAR3' AND CAST(ISSR_NACE_SCTR AS STRING) NOT IN ('0000-00-00','0001-01-01','9999-12-31','MISS','00000','99999999999','99999999999.00','99999999999.000000','N/A','11111111111','11111111111.00','11111111111.000000','1111-11-11'))X</v>
      </c>
      <c r="N480" s="45" t="s">
        <v>13</v>
      </c>
    </row>
    <row r="481" spans="2:14">
      <c r="B481" s="41" t="s">
        <v>27</v>
      </c>
      <c r="C481" s="41" t="s">
        <v>226</v>
      </c>
      <c r="D481" s="41" t="str">
        <f>+UPPER('0. Instruções'!$D$33&amp;"."&amp;VLOOKUP(B481,'0. Instruções'!$C$27:$D$31,2,FALSE))</f>
        <v>BU_LOANTAPE_WORK.LT002_INSTRUMENT</v>
      </c>
      <c r="E481" s="41" t="str">
        <f>+UPPER('0. Instruções'!$D$34&amp;"."&amp;VLOOKUP(B481,'0. Instruções'!$C$27:$E$31,3,FALSE))</f>
        <v>BU_LOANTAPE_WORK.LT002_INSTRUMENT_P3_NOV24</v>
      </c>
      <c r="F481" s="41" t="s">
        <v>171</v>
      </c>
      <c r="G481" s="41" t="s">
        <v>13</v>
      </c>
      <c r="H481" s="41"/>
      <c r="I481" s="41" t="str">
        <f>"(SELECT "&amp;VLOOKUP(B481,'0. Instruções'!$C$27:$G$31,4,FALSE)&amp;", "&amp;F481&amp;" FROM "&amp;D481&amp;" WHERE "&amp;'0. Instruções'!$D$40&amp;")X"</f>
        <v>(SELECT instrmnt_id, PRMRY_ASST_CLSSF FROM BU_LOANTAPE_WORK.LT002_INSTRUMENT WHERE ref_date='${ref_date}' AND nome_perimetro='Individual Corporativo' AND segmento='ESTR' AND ambito='PILAR3')X</v>
      </c>
      <c r="J481" s="41" t="str">
        <f>"(SELECT "&amp;VLOOKUP(B481,'0. Instruções'!$C$27:$G$31,4,FALSE)&amp;" AS "&amp;VLOOKUP(B481,'0. Instruções'!$C$27:$G$31,4,FALSE)&amp;"_SIMUL, "&amp;F481&amp;" AS "&amp;F481&amp;"_SIMUL FROM "&amp;E481&amp;")Y"</f>
        <v>(SELECT instrmnt_id AS instrmnt_id_SIMUL, PRMRY_ASST_CLSSF AS PRMRY_ASST_CLSSF_SIMUL FROM BU_LOANTAPE_WORK.LT002_INSTRUMENT_P3_NOV24)Y</v>
      </c>
      <c r="K481" s="42" t="str">
        <f>+UPPER("ON X."&amp;VLOOKUP(B481,'0. Instruções'!$C$27:$G$31,4,FALSE)&amp;"=Y."&amp;VLOOKUP(B481,'0. Instruções'!$C$27:$G$31,4,FALSE)&amp;"_SIMUL")</f>
        <v>ON X.INSTRMNT_ID=Y.INSTRMNT_ID_SIMUL</v>
      </c>
      <c r="L481" s="42" t="str">
        <f>+IF(C481="Coerência", +IF(LEFT(G481,5)="FLOAT","SELECT '"&amp;UPPER(B481)&amp;"' AS TABELA, '"&amp;UPPER(C481)&amp;"' AS TIPOLOGIA_TESTE,'"&amp;D481&amp;"' AS TABELA_LT,'"&amp;E481&amp;"' AS TABELA_SIMUL,'"&amp;F481&amp;"' AS CAMPO, "&amp;"'${ref_date}' AS REF_DATE, COUNT(*) AS NUM_REG, SUM(IF((ABS(COALESCE(X."&amp;F481&amp;",0)-COALESCE(Y."&amp;F481&amp;"_SIMUL,0))&gt;0.0000000001) OR (X."&amp;F481&amp;" IS NULL AND Y."&amp;F481&amp;"_SIMUL IS NOT NULL ) OR (X."&amp;F481&amp;" IS NOT NULL AND Y."&amp;F481&amp;"_SIMUL IS NULL),1,0)) AS NUM_REG_DIF,'"&amp;MAX('ID1&amp;5'!K:K)+1&amp;"' AS ID_EXEC, CURRENT_TIMESTAMP() AS TIME_EXEC FROM "&amp;I481&amp;" INNER JOIN "&amp;J481&amp;" "&amp;K481,"SELECT '"&amp;UPPER(B481)&amp;"' AS TABELA, '"&amp;UPPER(C481)&amp;"' AS TIPOLOGIA_TESTE,'"&amp;D481&amp;"' AS TABELA_LT,'"&amp;E481&amp;"' AS TABELA_SIMUL,'"&amp;F481&amp;"' AS CAMPO, "&amp;"'${ref_date}' AS REF_DATE, COUNT(*) AS NUM_REG, SUM(IF(COALESCE(CAST(X."&amp;F481&amp;" AS STRING),'')&lt;&gt;COALESCE(CAST(Y."&amp;F481&amp;"_SIMUL AS STRING),''),1,0)) AS NUM_REG_DIF,'"&amp;MAX('ID1&amp;5'!L:L)+1&amp;"' AS ID_EXEC, CURRENT_TIMESTAMP() AS TIME_EXEC FROM "&amp;I481&amp;" INNER JOIN "&amp;J481&amp;" "&amp;K481),
IF(C481="Validade",+IF(G481="Code List","SELECT '"&amp;UPPER(B481)&amp;"' AS TABELA, '"&amp;UPPER(C481)&amp;"' AS TIPOLOGIA_TESTE,'"&amp;D481&amp;"' AS TABELA_LT,'N/A' AS TABELA_SIMUL,'"&amp;F481&amp;"' AS CAMPO, "&amp;"'${ref_date}' AS REF_DATE, COUNT(*) AS NUM_REG, SUM(IF(TRIM(CAST(X."&amp;F481&amp;" AS STRING))='' OR TRIM(CAST(X."&amp;F481&amp;" AS STRING)) IS NULL OR CAST(X."&amp;F481&amp;" AS STRING) NOT "&amp;H481&amp;",1,0)) AS NUM_REG_DIF,'"&amp;MAX('ID1&amp;5'!K:K)+1&amp;"' AS ID_EXEC, CURRENT_TIMESTAMP() AS TIME_EXEC FROM "&amp;I481,"SELECT '"&amp;UPPER(B481)&amp;"' AS TABELA, '"&amp;UPPER(C481)&amp;"' AS TIPOLOGIA_TESTE,'"&amp;D481&amp;"' AS TABELA_LT,'N/A' AS TABELA_SIMUL,'"&amp;F481&amp;"' AS CAMPO, "&amp;"'${ref_date}' AS REF_DATE, COUNT(*) AS NUM_REG, SUM(IF(TRIM(CAST(X."&amp;F481&amp;" AS STRING))='' OR TRIM(CAST(X."&amp;F481&amp;" AS STRING)) IS NULL,1,0)) AS NUM_REG_DIF,'"&amp;MAX('ID1&amp;5'!K:K)+1&amp;"' AS ID_EXEC, CURRENT_TIMESTAMP() AS TIME_EXEC FROM "&amp;I481),
IF(C481="Caracteres Especiais",+"SELECT '"&amp;UPPER(B481)&amp;"' AS TABELA, '"&amp;UPPER(C481)&amp;"' AS TIPOLOGIA_TESTE,'"&amp;D481&amp;"' AS TABELA_LT,'N/A' AS TABELA_SIMUL,'"&amp;F481&amp;"' AS CAMPO, "&amp;"'${ref_date}' AS REF_DATE, COUNT(*) AS NUM_REG, SUM(IF(INSTR(CAST(X."&amp;F481&amp;" AS STRING),'#')&gt;0 OR INSTR(CAST(X."&amp;F481&amp;" AS STRING),'*')&gt;0 OR INSTR(CAST(X."&amp;F481&amp;" AS STRING),'`')&gt;0 OR INSTR(CAST(X."&amp;F481&amp;" AS STRING),'´')&gt;0 OR INSTR(CAST(X."&amp;F481&amp;" AS STRING),'{')&gt;0 OR INSTR(CAST(X."&amp;F481&amp;" AS STRING),'}')&gt;0 OR INSTR(CAST(X."&amp;F481&amp;" AS STRING),'[')&gt;0 OR INSTR(CAST(X."&amp;F481&amp;" AS STRING),'')&gt;0 OR INSTR(CAST(X."&amp;F481&amp;" AS STRING),']')&gt;0 OR INSTR(CAST(X."&amp;F481&amp;" AS STRING),'?')&gt;0 OR INSTR(CAST(X."&amp;F481&amp;" AS STRING),'!')&gt;0 OR INSTR(CAST(X."&amp;F481&amp;" AS STRING),'$')&gt;0 OR INSTR(CAST(X."&amp;F481&amp;" AS STRING),'%')&gt;0 OR INSTR(CAST(X."&amp;F481&amp;" AS STRING),'&amp;')&gt;0 OR INSTR(CAST(X."&amp;F481&amp;" AS STRING),'+')&gt;0,1,0)) AS NUM_REG_DIF,'"&amp;MAX('ID1&amp;5'!K:K)+1&amp;"' AS ID_EXEC, CURRENT_TIMESTAMP() AS TIME_EXEC FROM "&amp;I481,
IF(C481="Missings",+"SELECT '"&amp;UPPER(B481)&amp;"' AS TABELA, '"&amp;UPPER(C481)&amp;"' AS TIPOLOGIA_TESTE,'"&amp;D481&amp;"' AS TABELA_LT,'N/A' AS TABELA_SIMUL,'"&amp;F481&amp;"' AS CAMPO, "&amp;"'${ref_date}' AS REF_DATE, COUNT(*) AS NUM_REG, SUM(IF(TRIM(CAST(X."&amp;F481&amp;" AS STRING)) IN ('0000-00-00','0001-01-01','9999-12-31','MISS','00000','99999999999','99999999999.00','99999999999.000000'),1,0)) AS NUM_REG_DIF,'"&amp;MAX('ID1&amp;5'!K:K)+1&amp;"' AS ID_EXEC, CURRENT_TIMESTAMP() AS TIME_EXEC FROM "&amp;I481,
IF(C481="Not applicable",+"SELECT '"&amp;UPPER(B481)&amp;"' AS TABELA, '"&amp;UPPER(C481)&amp;"' AS TIPOLOGIA_TESTE,'"&amp;D481&amp;"' AS TABELA_LT,'N/A' AS TABELA_SIMUL,'"&amp;F481&amp;"' AS CAMPO, "&amp;"'${ref_date}' AS REF_DATE, COUNT(*) AS NUM_REG, SUM(IF(TRIM(CAST(X."&amp;F481&amp;" AS STRING)) IN ('N/A','11111111111','11111111111.00','11111111111.000000','1111-11-11'),1,0)) AS NUM_REG_DIF,'"&amp;MAX('ID1&amp;5'!K:K)+1&amp;"' AS ID_EXEC, CURRENT_TIMESTAMP() AS TIME_EXEC FROM "&amp;I481,
IF(C481="Valores extremos",+"SELECT '"&amp;UPPER(B481)&amp;"' AS TABELA, '"&amp;UPPER(C481)&amp;"' AS TIPOLOGIA_TESTE,'"&amp;D481&amp;"' AS TABELA_LT,'N/A' AS TABELA_SIMUL,'"&amp;F481&amp;"' AS CAMPO, "&amp;"'${ref_date}' AS REF_DATE, CAST(MIN("&amp;F481&amp;") AS STRING) AS VALOR_MIN, CAST(MAX("&amp;F481&amp;") AS STRING) AS VALOR_MAX,'"&amp;MAX('ID1&amp;5'!K:K)+1&amp;"' AS ID_EXEC, CURRENT_TIMESTAMP() AS TIME_EXEC FROM "&amp;MID(I481,1,LEN(I481)-2)&amp;" AND CAST("&amp;F481&amp;"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TABELA_SIMUL,'PRMRY_ASST_CLSSF' AS CAMPO, '${ref_date}' AS REF_DATE, CAST(MIN(PRMRY_ASST_CLSSF) AS STRING) AS VALOR_MIN, CAST(MAX(PRMRY_ASST_CLSSF) AS STRING) AS VALOR_MAX,'10' AS ID_EXEC, CURRENT_TIMESTAMP() AS TIME_EXEC FROM (SELECT instrmnt_id, PRMRY_ASST_CLSSF FROM BU_LOANTAPE_WORK.LT002_INSTRUMENT WHERE ref_date='${ref_date}' AND nome_perimetro='Individual Corporativo' AND segmento='ESTR' AND ambito='PILAR3' AND CAST(PRMRY_ASST_CLSSF AS STRING) NOT IN ('0000-00-00','0001-01-01','9999-12-31','MISS','00000','99999999999','99999999999.00','99999999999.000000','N/A','11111111111','11111111111.00','11111111111.000000','1111-11-11'))X</v>
      </c>
      <c r="M481" s="43" t="str">
        <f t="shared" si="7"/>
        <v>UNION ALL SELECT 'INSTRUMENT' AS TABELA, 'VALORES EXTREMOS' AS TIPOLOGIA_TESTE,'BU_LOANTAPE_WORK.LT002_INSTRUMENT' AS TABELA_LT,'N/A' AS TABELA_SIMUL,'PRMRY_ASST_CLSSF' AS CAMPO, '${ref_date}' AS REF_DATE, CAST(MIN(PRMRY_ASST_CLSSF) AS STRING) AS VALOR_MIN, CAST(MAX(PRMRY_ASST_CLSSF) AS STRING) AS VALOR_MAX,'10' AS ID_EXEC, CURRENT_TIMESTAMP() AS TIME_EXEC FROM (SELECT instrmnt_id, PRMRY_ASST_CLSSF FROM BU_LOANTAPE_WORK.LT002_INSTRUMENT WHERE ref_date='${ref_date}' AND nome_perimetro='Individual Corporativo' AND segmento='ESTR' AND ambito='PILAR3' AND CAST(PRMRY_ASST_CLSSF AS STRING) NOT IN ('0000-00-00','0001-01-01','9999-12-31','MISS','00000','99999999999','99999999999.00','99999999999.000000','N/A','11111111111','11111111111.00','11111111111.000000','1111-11-11'))X</v>
      </c>
      <c r="N481" s="45" t="s">
        <v>13</v>
      </c>
    </row>
    <row r="482" spans="2:14">
      <c r="B482" s="41" t="s">
        <v>27</v>
      </c>
      <c r="C482" s="41" t="s">
        <v>226</v>
      </c>
      <c r="D482" s="41" t="str">
        <f>+UPPER('0. Instruções'!$D$33&amp;"."&amp;VLOOKUP(B482,'0. Instruções'!$C$27:$D$31,2,FALSE))</f>
        <v>BU_LOANTAPE_WORK.LT002_INSTRUMENT</v>
      </c>
      <c r="E482" s="41" t="str">
        <f>+UPPER('0. Instruções'!$D$34&amp;"."&amp;VLOOKUP(B482,'0. Instruções'!$C$27:$E$31,3,FALSE))</f>
        <v>BU_LOANTAPE_WORK.LT002_INSTRUMENT_P3_NOV24</v>
      </c>
      <c r="F482" s="41" t="s">
        <v>172</v>
      </c>
      <c r="G482" s="41" t="s">
        <v>13</v>
      </c>
      <c r="H482" s="41"/>
      <c r="I482" s="41" t="str">
        <f>"(SELECT "&amp;VLOOKUP(B482,'0. Instruções'!$C$27:$G$31,4,FALSE)&amp;", "&amp;F482&amp;" FROM "&amp;D482&amp;" WHERE "&amp;'0. Instruções'!$D$40&amp;")X"</f>
        <v>(SELECT instrmnt_id, SUBPORTFOLIO_ID FROM BU_LOANTAPE_WORK.LT002_INSTRUMENT WHERE ref_date='${ref_date}' AND nome_perimetro='Individual Corporativo' AND segmento='ESTR' AND ambito='PILAR3')X</v>
      </c>
      <c r="J482" s="41" t="str">
        <f>"(SELECT "&amp;VLOOKUP(B482,'0. Instruções'!$C$27:$G$31,4,FALSE)&amp;" AS "&amp;VLOOKUP(B482,'0. Instruções'!$C$27:$G$31,4,FALSE)&amp;"_SIMUL, "&amp;F482&amp;" AS "&amp;F482&amp;"_SIMUL FROM "&amp;E482&amp;")Y"</f>
        <v>(SELECT instrmnt_id AS instrmnt_id_SIMUL, SUBPORTFOLIO_ID AS SUBPORTFOLIO_ID_SIMUL FROM BU_LOANTAPE_WORK.LT002_INSTRUMENT_P3_NOV24)Y</v>
      </c>
      <c r="K482" s="42" t="str">
        <f>+UPPER("ON X."&amp;VLOOKUP(B482,'0. Instruções'!$C$27:$G$31,4,FALSE)&amp;"=Y."&amp;VLOOKUP(B482,'0. Instruções'!$C$27:$G$31,4,FALSE)&amp;"_SIMUL")</f>
        <v>ON X.INSTRMNT_ID=Y.INSTRMNT_ID_SIMUL</v>
      </c>
      <c r="L482" s="42" t="str">
        <f>+IF(C482="Coerência", +IF(LEFT(G482,5)="FLOAT","SELECT '"&amp;UPPER(B482)&amp;"' AS TABELA, '"&amp;UPPER(C482)&amp;"' AS TIPOLOGIA_TESTE,'"&amp;D482&amp;"' AS TABELA_LT,'"&amp;E482&amp;"' AS TABELA_SIMUL,'"&amp;F482&amp;"' AS CAMPO, "&amp;"'${ref_date}' AS REF_DATE, COUNT(*) AS NUM_REG, SUM(IF((ABS(COALESCE(X."&amp;F482&amp;",0)-COALESCE(Y."&amp;F482&amp;"_SIMUL,0))&gt;0.0000000001) OR (X."&amp;F482&amp;" IS NULL AND Y."&amp;F482&amp;"_SIMUL IS NOT NULL ) OR (X."&amp;F482&amp;" IS NOT NULL AND Y."&amp;F482&amp;"_SIMUL IS NULL),1,0)) AS NUM_REG_DIF,'"&amp;MAX('ID1&amp;5'!K:K)+1&amp;"' AS ID_EXEC, CURRENT_TIMESTAMP() AS TIME_EXEC FROM "&amp;I482&amp;" INNER JOIN "&amp;J482&amp;" "&amp;K482,"SELECT '"&amp;UPPER(B482)&amp;"' AS TABELA, '"&amp;UPPER(C482)&amp;"' AS TIPOLOGIA_TESTE,'"&amp;D482&amp;"' AS TABELA_LT,'"&amp;E482&amp;"' AS TABELA_SIMUL,'"&amp;F482&amp;"' AS CAMPO, "&amp;"'${ref_date}' AS REF_DATE, COUNT(*) AS NUM_REG, SUM(IF(COALESCE(CAST(X."&amp;F482&amp;" AS STRING),'')&lt;&gt;COALESCE(CAST(Y."&amp;F482&amp;"_SIMUL AS STRING),''),1,0)) AS NUM_REG_DIF,'"&amp;MAX('ID1&amp;5'!L:L)+1&amp;"' AS ID_EXEC, CURRENT_TIMESTAMP() AS TIME_EXEC FROM "&amp;I482&amp;" INNER JOIN "&amp;J482&amp;" "&amp;K482),
IF(C482="Validade",+IF(G482="Code List","SELECT '"&amp;UPPER(B482)&amp;"' AS TABELA, '"&amp;UPPER(C482)&amp;"' AS TIPOLOGIA_TESTE,'"&amp;D482&amp;"' AS TABELA_LT,'N/A' AS TABELA_SIMUL,'"&amp;F482&amp;"' AS CAMPO, "&amp;"'${ref_date}' AS REF_DATE, COUNT(*) AS NUM_REG, SUM(IF(TRIM(CAST(X."&amp;F482&amp;" AS STRING))='' OR TRIM(CAST(X."&amp;F482&amp;" AS STRING)) IS NULL OR CAST(X."&amp;F482&amp;" AS STRING) NOT "&amp;H482&amp;",1,0)) AS NUM_REG_DIF,'"&amp;MAX('ID1&amp;5'!K:K)+1&amp;"' AS ID_EXEC, CURRENT_TIMESTAMP() AS TIME_EXEC FROM "&amp;I482,"SELECT '"&amp;UPPER(B482)&amp;"' AS TABELA, '"&amp;UPPER(C482)&amp;"' AS TIPOLOGIA_TESTE,'"&amp;D482&amp;"' AS TABELA_LT,'N/A' AS TABELA_SIMUL,'"&amp;F482&amp;"' AS CAMPO, "&amp;"'${ref_date}' AS REF_DATE, COUNT(*) AS NUM_REG, SUM(IF(TRIM(CAST(X."&amp;F482&amp;" AS STRING))='' OR TRIM(CAST(X."&amp;F482&amp;" AS STRING)) IS NULL,1,0)) AS NUM_REG_DIF,'"&amp;MAX('ID1&amp;5'!K:K)+1&amp;"' AS ID_EXEC, CURRENT_TIMESTAMP() AS TIME_EXEC FROM "&amp;I482),
IF(C482="Caracteres Especiais",+"SELECT '"&amp;UPPER(B482)&amp;"' AS TABELA, '"&amp;UPPER(C482)&amp;"' AS TIPOLOGIA_TESTE,'"&amp;D482&amp;"' AS TABELA_LT,'N/A' AS TABELA_SIMUL,'"&amp;F482&amp;"' AS CAMPO, "&amp;"'${ref_date}' AS REF_DATE, COUNT(*) AS NUM_REG, SUM(IF(INSTR(CAST(X."&amp;F482&amp;" AS STRING),'#')&gt;0 OR INSTR(CAST(X."&amp;F482&amp;" AS STRING),'*')&gt;0 OR INSTR(CAST(X."&amp;F482&amp;" AS STRING),'`')&gt;0 OR INSTR(CAST(X."&amp;F482&amp;" AS STRING),'´')&gt;0 OR INSTR(CAST(X."&amp;F482&amp;" AS STRING),'{')&gt;0 OR INSTR(CAST(X."&amp;F482&amp;" AS STRING),'}')&gt;0 OR INSTR(CAST(X."&amp;F482&amp;" AS STRING),'[')&gt;0 OR INSTR(CAST(X."&amp;F482&amp;" AS STRING),'')&gt;0 OR INSTR(CAST(X."&amp;F482&amp;" AS STRING),']')&gt;0 OR INSTR(CAST(X."&amp;F482&amp;" AS STRING),'?')&gt;0 OR INSTR(CAST(X."&amp;F482&amp;" AS STRING),'!')&gt;0 OR INSTR(CAST(X."&amp;F482&amp;" AS STRING),'$')&gt;0 OR INSTR(CAST(X."&amp;F482&amp;" AS STRING),'%')&gt;0 OR INSTR(CAST(X."&amp;F482&amp;" AS STRING),'&amp;')&gt;0 OR INSTR(CAST(X."&amp;F482&amp;" AS STRING),'+')&gt;0,1,0)) AS NUM_REG_DIF,'"&amp;MAX('ID1&amp;5'!K:K)+1&amp;"' AS ID_EXEC, CURRENT_TIMESTAMP() AS TIME_EXEC FROM "&amp;I482,
IF(C482="Missings",+"SELECT '"&amp;UPPER(B482)&amp;"' AS TABELA, '"&amp;UPPER(C482)&amp;"' AS TIPOLOGIA_TESTE,'"&amp;D482&amp;"' AS TABELA_LT,'N/A' AS TABELA_SIMUL,'"&amp;F482&amp;"' AS CAMPO, "&amp;"'${ref_date}' AS REF_DATE, COUNT(*) AS NUM_REG, SUM(IF(TRIM(CAST(X."&amp;F482&amp;" AS STRING)) IN ('0000-00-00','0001-01-01','9999-12-31','MISS','00000','99999999999','99999999999.00','99999999999.000000'),1,0)) AS NUM_REG_DIF,'"&amp;MAX('ID1&amp;5'!K:K)+1&amp;"' AS ID_EXEC, CURRENT_TIMESTAMP() AS TIME_EXEC FROM "&amp;I482,
IF(C482="Not applicable",+"SELECT '"&amp;UPPER(B482)&amp;"' AS TABELA, '"&amp;UPPER(C482)&amp;"' AS TIPOLOGIA_TESTE,'"&amp;D482&amp;"' AS TABELA_LT,'N/A' AS TABELA_SIMUL,'"&amp;F482&amp;"' AS CAMPO, "&amp;"'${ref_date}' AS REF_DATE, COUNT(*) AS NUM_REG, SUM(IF(TRIM(CAST(X."&amp;F482&amp;" AS STRING)) IN ('N/A','11111111111','11111111111.00','11111111111.000000','1111-11-11'),1,0)) AS NUM_REG_DIF,'"&amp;MAX('ID1&amp;5'!K:K)+1&amp;"' AS ID_EXEC, CURRENT_TIMESTAMP() AS TIME_EXEC FROM "&amp;I482,
IF(C482="Valores extremos",+"SELECT '"&amp;UPPER(B482)&amp;"' AS TABELA, '"&amp;UPPER(C482)&amp;"' AS TIPOLOGIA_TESTE,'"&amp;D482&amp;"' AS TABELA_LT,'N/A' AS TABELA_SIMUL,'"&amp;F482&amp;"' AS CAMPO, "&amp;"'${ref_date}' AS REF_DATE, CAST(MIN("&amp;F482&amp;") AS STRING) AS VALOR_MIN, CAST(MAX("&amp;F482&amp;") AS STRING) AS VALOR_MAX,'"&amp;MAX('ID1&amp;5'!K:K)+1&amp;"' AS ID_EXEC, CURRENT_TIMESTAMP() AS TIME_EXEC FROM "&amp;MID(I482,1,LEN(I482)-2)&amp;" AND CAST("&amp;F482&amp;"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TABELA_SIMUL,'SUBPORTFOLIO_ID' AS CAMPO, '${ref_date}' AS REF_DATE, CAST(MIN(SUBPORTFOLIO_ID) AS STRING) AS VALOR_MIN, CAST(MAX(SUBPORTFOLIO_ID) AS STRING) AS VALOR_MAX,'10' AS ID_EXEC, CURRENT_TIMESTAMP() AS TIME_EXEC FROM (SELECT instrmnt_id, SUBPORTFOLIO_ID FROM BU_LOANTAPE_WORK.LT002_INSTRUMENT WHERE ref_date='${ref_date}' AND nome_perimetro='Individual Corporativo' AND segmento='ESTR' AND ambito='PILAR3' AND CAST(SUBPORTFOLIO_ID AS STRING) NOT IN ('0000-00-00','0001-01-01','9999-12-31','MISS','00000','99999999999','99999999999.00','99999999999.000000','N/A','11111111111','11111111111.00','11111111111.000000','1111-11-11'))X</v>
      </c>
      <c r="M482" s="43" t="str">
        <f t="shared" si="7"/>
        <v>UNION ALL SELECT 'INSTRUMENT' AS TABELA, 'VALORES EXTREMOS' AS TIPOLOGIA_TESTE,'BU_LOANTAPE_WORK.LT002_INSTRUMENT' AS TABELA_LT,'N/A' AS TABELA_SIMUL,'SUBPORTFOLIO_ID' AS CAMPO, '${ref_date}' AS REF_DATE, CAST(MIN(SUBPORTFOLIO_ID) AS STRING) AS VALOR_MIN, CAST(MAX(SUBPORTFOLIO_ID) AS STRING) AS VALOR_MAX,'10' AS ID_EXEC, CURRENT_TIMESTAMP() AS TIME_EXEC FROM (SELECT instrmnt_id, SUBPORTFOLIO_ID FROM BU_LOANTAPE_WORK.LT002_INSTRUMENT WHERE ref_date='${ref_date}' AND nome_perimetro='Individual Corporativo' AND segmento='ESTR' AND ambito='PILAR3' AND CAST(SUBPORTFOLIO_ID AS STRING) NOT IN ('0000-00-00','0001-01-01','9999-12-31','MISS','00000','99999999999','99999999999.00','99999999999.000000','N/A','11111111111','11111111111.00','11111111111.000000','1111-11-11'))X</v>
      </c>
      <c r="N482" s="45" t="s">
        <v>13</v>
      </c>
    </row>
    <row r="483" spans="2:14">
      <c r="B483" s="41" t="s">
        <v>27</v>
      </c>
      <c r="C483" s="41" t="s">
        <v>226</v>
      </c>
      <c r="D483" s="41" t="str">
        <f>+UPPER('0. Instruções'!$D$33&amp;"."&amp;VLOOKUP(B483,'0. Instruções'!$C$27:$D$31,2,FALSE))</f>
        <v>BU_LOANTAPE_WORK.LT002_INSTRUMENT</v>
      </c>
      <c r="E483" s="41" t="str">
        <f>+UPPER('0. Instruções'!$D$34&amp;"."&amp;VLOOKUP(B483,'0. Instruções'!$C$27:$E$31,3,FALSE))</f>
        <v>BU_LOANTAPE_WORK.LT002_INSTRUMENT_P3_NOV24</v>
      </c>
      <c r="F483" s="41" t="s">
        <v>173</v>
      </c>
      <c r="G483" s="41" t="s">
        <v>13</v>
      </c>
      <c r="H483" s="41"/>
      <c r="I483" s="41" t="str">
        <f>"(SELECT "&amp;VLOOKUP(B483,'0. Instruções'!$C$27:$G$31,4,FALSE)&amp;", "&amp;F483&amp;" FROM "&amp;D483&amp;" WHERE "&amp;'0. Instruções'!$D$40&amp;")X"</f>
        <v>(SELECT instrmnt_id, COD_SOC FROM BU_LOANTAPE_WORK.LT002_INSTRUMENT WHERE ref_date='${ref_date}' AND nome_perimetro='Individual Corporativo' AND segmento='ESTR' AND ambito='PILAR3')X</v>
      </c>
      <c r="J483" s="41" t="str">
        <f>"(SELECT "&amp;VLOOKUP(B483,'0. Instruções'!$C$27:$G$31,4,FALSE)&amp;" AS "&amp;VLOOKUP(B483,'0. Instruções'!$C$27:$G$31,4,FALSE)&amp;"_SIMUL, "&amp;F483&amp;" AS "&amp;F483&amp;"_SIMUL FROM "&amp;E483&amp;")Y"</f>
        <v>(SELECT instrmnt_id AS instrmnt_id_SIMUL, COD_SOC AS COD_SOC_SIMUL FROM BU_LOANTAPE_WORK.LT002_INSTRUMENT_P3_NOV24)Y</v>
      </c>
      <c r="K483" s="42" t="str">
        <f>+UPPER("ON X."&amp;VLOOKUP(B483,'0. Instruções'!$C$27:$G$31,4,FALSE)&amp;"=Y."&amp;VLOOKUP(B483,'0. Instruções'!$C$27:$G$31,4,FALSE)&amp;"_SIMUL")</f>
        <v>ON X.INSTRMNT_ID=Y.INSTRMNT_ID_SIMUL</v>
      </c>
      <c r="L483" s="42" t="str">
        <f>+IF(C483="Coerência", +IF(LEFT(G483,5)="FLOAT","SELECT '"&amp;UPPER(B483)&amp;"' AS TABELA, '"&amp;UPPER(C483)&amp;"' AS TIPOLOGIA_TESTE,'"&amp;D483&amp;"' AS TABELA_LT,'"&amp;E483&amp;"' AS TABELA_SIMUL,'"&amp;F483&amp;"' AS CAMPO, "&amp;"'${ref_date}' AS REF_DATE, COUNT(*) AS NUM_REG, SUM(IF((ABS(COALESCE(X."&amp;F483&amp;",0)-COALESCE(Y."&amp;F483&amp;"_SIMUL,0))&gt;0.0000000001) OR (X."&amp;F483&amp;" IS NULL AND Y."&amp;F483&amp;"_SIMUL IS NOT NULL ) OR (X."&amp;F483&amp;" IS NOT NULL AND Y."&amp;F483&amp;"_SIMUL IS NULL),1,0)) AS NUM_REG_DIF,'"&amp;MAX('ID1&amp;5'!K:K)+1&amp;"' AS ID_EXEC, CURRENT_TIMESTAMP() AS TIME_EXEC FROM "&amp;I483&amp;" INNER JOIN "&amp;J483&amp;" "&amp;K483,"SELECT '"&amp;UPPER(B483)&amp;"' AS TABELA, '"&amp;UPPER(C483)&amp;"' AS TIPOLOGIA_TESTE,'"&amp;D483&amp;"' AS TABELA_LT,'"&amp;E483&amp;"' AS TABELA_SIMUL,'"&amp;F483&amp;"' AS CAMPO, "&amp;"'${ref_date}' AS REF_DATE, COUNT(*) AS NUM_REG, SUM(IF(COALESCE(CAST(X."&amp;F483&amp;" AS STRING),'')&lt;&gt;COALESCE(CAST(Y."&amp;F483&amp;"_SIMUL AS STRING),''),1,0)) AS NUM_REG_DIF,'"&amp;MAX('ID1&amp;5'!L:L)+1&amp;"' AS ID_EXEC, CURRENT_TIMESTAMP() AS TIME_EXEC FROM "&amp;I483&amp;" INNER JOIN "&amp;J483&amp;" "&amp;K483),
IF(C483="Validade",+IF(G483="Code List","SELECT '"&amp;UPPER(B483)&amp;"' AS TABELA, '"&amp;UPPER(C483)&amp;"' AS TIPOLOGIA_TESTE,'"&amp;D483&amp;"' AS TABELA_LT,'N/A' AS TABELA_SIMUL,'"&amp;F483&amp;"' AS CAMPO, "&amp;"'${ref_date}' AS REF_DATE, COUNT(*) AS NUM_REG, SUM(IF(TRIM(CAST(X."&amp;F483&amp;" AS STRING))='' OR TRIM(CAST(X."&amp;F483&amp;" AS STRING)) IS NULL OR CAST(X."&amp;F483&amp;" AS STRING) NOT "&amp;H483&amp;",1,0)) AS NUM_REG_DIF,'"&amp;MAX('ID1&amp;5'!K:K)+1&amp;"' AS ID_EXEC, CURRENT_TIMESTAMP() AS TIME_EXEC FROM "&amp;I483,"SELECT '"&amp;UPPER(B483)&amp;"' AS TABELA, '"&amp;UPPER(C483)&amp;"' AS TIPOLOGIA_TESTE,'"&amp;D483&amp;"' AS TABELA_LT,'N/A' AS TABELA_SIMUL,'"&amp;F483&amp;"' AS CAMPO, "&amp;"'${ref_date}' AS REF_DATE, COUNT(*) AS NUM_REG, SUM(IF(TRIM(CAST(X."&amp;F483&amp;" AS STRING))='' OR TRIM(CAST(X."&amp;F483&amp;" AS STRING)) IS NULL,1,0)) AS NUM_REG_DIF,'"&amp;MAX('ID1&amp;5'!K:K)+1&amp;"' AS ID_EXEC, CURRENT_TIMESTAMP() AS TIME_EXEC FROM "&amp;I483),
IF(C483="Caracteres Especiais",+"SELECT '"&amp;UPPER(B483)&amp;"' AS TABELA, '"&amp;UPPER(C483)&amp;"' AS TIPOLOGIA_TESTE,'"&amp;D483&amp;"' AS TABELA_LT,'N/A' AS TABELA_SIMUL,'"&amp;F483&amp;"' AS CAMPO, "&amp;"'${ref_date}' AS REF_DATE, COUNT(*) AS NUM_REG, SUM(IF(INSTR(CAST(X."&amp;F483&amp;" AS STRING),'#')&gt;0 OR INSTR(CAST(X."&amp;F483&amp;" AS STRING),'*')&gt;0 OR INSTR(CAST(X."&amp;F483&amp;" AS STRING),'`')&gt;0 OR INSTR(CAST(X."&amp;F483&amp;" AS STRING),'´')&gt;0 OR INSTR(CAST(X."&amp;F483&amp;" AS STRING),'{')&gt;0 OR INSTR(CAST(X."&amp;F483&amp;" AS STRING),'}')&gt;0 OR INSTR(CAST(X."&amp;F483&amp;" AS STRING),'[')&gt;0 OR INSTR(CAST(X."&amp;F483&amp;" AS STRING),'')&gt;0 OR INSTR(CAST(X."&amp;F483&amp;" AS STRING),']')&gt;0 OR INSTR(CAST(X."&amp;F483&amp;" AS STRING),'?')&gt;0 OR INSTR(CAST(X."&amp;F483&amp;" AS STRING),'!')&gt;0 OR INSTR(CAST(X."&amp;F483&amp;" AS STRING),'$')&gt;0 OR INSTR(CAST(X."&amp;F483&amp;" AS STRING),'%')&gt;0 OR INSTR(CAST(X."&amp;F483&amp;" AS STRING),'&amp;')&gt;0 OR INSTR(CAST(X."&amp;F483&amp;" AS STRING),'+')&gt;0,1,0)) AS NUM_REG_DIF,'"&amp;MAX('ID1&amp;5'!K:K)+1&amp;"' AS ID_EXEC, CURRENT_TIMESTAMP() AS TIME_EXEC FROM "&amp;I483,
IF(C483="Missings",+"SELECT '"&amp;UPPER(B483)&amp;"' AS TABELA, '"&amp;UPPER(C483)&amp;"' AS TIPOLOGIA_TESTE,'"&amp;D483&amp;"' AS TABELA_LT,'N/A' AS TABELA_SIMUL,'"&amp;F483&amp;"' AS CAMPO, "&amp;"'${ref_date}' AS REF_DATE, COUNT(*) AS NUM_REG, SUM(IF(TRIM(CAST(X."&amp;F483&amp;" AS STRING)) IN ('0000-00-00','0001-01-01','9999-12-31','MISS','00000','99999999999','99999999999.00','99999999999.000000'),1,0)) AS NUM_REG_DIF,'"&amp;MAX('ID1&amp;5'!K:K)+1&amp;"' AS ID_EXEC, CURRENT_TIMESTAMP() AS TIME_EXEC FROM "&amp;I483,
IF(C483="Not applicable",+"SELECT '"&amp;UPPER(B483)&amp;"' AS TABELA, '"&amp;UPPER(C483)&amp;"' AS TIPOLOGIA_TESTE,'"&amp;D483&amp;"' AS TABELA_LT,'N/A' AS TABELA_SIMUL,'"&amp;F483&amp;"' AS CAMPO, "&amp;"'${ref_date}' AS REF_DATE, COUNT(*) AS NUM_REG, SUM(IF(TRIM(CAST(X."&amp;F483&amp;" AS STRING)) IN ('N/A','11111111111','11111111111.00','11111111111.000000','1111-11-11'),1,0)) AS NUM_REG_DIF,'"&amp;MAX('ID1&amp;5'!K:K)+1&amp;"' AS ID_EXEC, CURRENT_TIMESTAMP() AS TIME_EXEC FROM "&amp;I483,
IF(C483="Valores extremos",+"SELECT '"&amp;UPPER(B483)&amp;"' AS TABELA, '"&amp;UPPER(C483)&amp;"' AS TIPOLOGIA_TESTE,'"&amp;D483&amp;"' AS TABELA_LT,'N/A' AS TABELA_SIMUL,'"&amp;F483&amp;"' AS CAMPO, "&amp;"'${ref_date}' AS REF_DATE, CAST(MIN("&amp;F483&amp;") AS STRING) AS VALOR_MIN, CAST(MAX("&amp;F483&amp;") AS STRING) AS VALOR_MAX,'"&amp;MAX('ID1&amp;5'!K:K)+1&amp;"' AS ID_EXEC, CURRENT_TIMESTAMP() AS TIME_EXEC FROM "&amp;MID(I483,1,LEN(I483)-2)&amp;" AND CAST("&amp;F483&amp;"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TABELA_SIMUL,'COD_SOC' AS CAMPO, '${ref_date}' AS REF_DATE, CAST(MIN(COD_SOC) AS STRING) AS VALOR_MIN, CAST(MAX(COD_SOC) AS STRING) AS VALOR_MAX,'10' AS ID_EXEC, CURRENT_TIMESTAMP() AS TIME_EXEC FROM (SELECT instrmnt_id, COD_SOC FROM BU_LOANTAPE_WORK.LT002_INSTRUMENT WHERE ref_date='${ref_date}' AND nome_perimetro='Individual Corporativo' AND segmento='ESTR' AND ambito='PILAR3' AND CAST(COD_SOC AS STRING) NOT IN ('0000-00-00','0001-01-01','9999-12-31','MISS','00000','99999999999','99999999999.00','99999999999.000000','N/A','11111111111','11111111111.00','11111111111.000000','1111-11-11'))X</v>
      </c>
      <c r="M483" s="43" t="str">
        <f t="shared" si="7"/>
        <v>UNION ALL SELECT 'INSTRUMENT' AS TABELA, 'VALORES EXTREMOS' AS TIPOLOGIA_TESTE,'BU_LOANTAPE_WORK.LT002_INSTRUMENT' AS TABELA_LT,'N/A' AS TABELA_SIMUL,'COD_SOC' AS CAMPO, '${ref_date}' AS REF_DATE, CAST(MIN(COD_SOC) AS STRING) AS VALOR_MIN, CAST(MAX(COD_SOC) AS STRING) AS VALOR_MAX,'10' AS ID_EXEC, CURRENT_TIMESTAMP() AS TIME_EXEC FROM (SELECT instrmnt_id, COD_SOC FROM BU_LOANTAPE_WORK.LT002_INSTRUMENT WHERE ref_date='${ref_date}' AND nome_perimetro='Individual Corporativo' AND segmento='ESTR' AND ambito='PILAR3' AND CAST(COD_SOC AS STRING) NOT IN ('0000-00-00','0001-01-01','9999-12-31','MISS','00000','99999999999','99999999999.00','99999999999.000000','N/A','11111111111','11111111111.00','11111111111.000000','1111-11-11'))X</v>
      </c>
      <c r="N483" s="45" t="s">
        <v>13</v>
      </c>
    </row>
    <row r="484" spans="2:14">
      <c r="B484" s="41" t="s">
        <v>27</v>
      </c>
      <c r="C484" s="41" t="s">
        <v>226</v>
      </c>
      <c r="D484" s="41" t="str">
        <f>+UPPER('0. Instruções'!$D$33&amp;"."&amp;VLOOKUP(B484,'0. Instruções'!$C$27:$D$31,2,FALSE))</f>
        <v>BU_LOANTAPE_WORK.LT002_INSTRUMENT</v>
      </c>
      <c r="E484" s="41" t="str">
        <f>+UPPER('0. Instruções'!$D$34&amp;"."&amp;VLOOKUP(B484,'0. Instruções'!$C$27:$E$31,3,FALSE))</f>
        <v>BU_LOANTAPE_WORK.LT002_INSTRUMENT_P3_NOV24</v>
      </c>
      <c r="F484" s="41" t="s">
        <v>174</v>
      </c>
      <c r="G484" s="41" t="s">
        <v>13</v>
      </c>
      <c r="H484" s="41"/>
      <c r="I484" s="41" t="str">
        <f>"(SELECT "&amp;VLOOKUP(B484,'0. Instruções'!$C$27:$G$31,4,FALSE)&amp;", "&amp;F484&amp;" FROM "&amp;D484&amp;" WHERE "&amp;'0. Instruções'!$D$40&amp;")X"</f>
        <v>(SELECT instrmnt_id, LCL_INSTMRNT_ID FROM BU_LOANTAPE_WORK.LT002_INSTRUMENT WHERE ref_date='${ref_date}' AND nome_perimetro='Individual Corporativo' AND segmento='ESTR' AND ambito='PILAR3')X</v>
      </c>
      <c r="J484" s="41" t="str">
        <f>"(SELECT "&amp;VLOOKUP(B484,'0. Instruções'!$C$27:$G$31,4,FALSE)&amp;" AS "&amp;VLOOKUP(B484,'0. Instruções'!$C$27:$G$31,4,FALSE)&amp;"_SIMUL, "&amp;F484&amp;" AS "&amp;F484&amp;"_SIMUL FROM "&amp;E484&amp;")Y"</f>
        <v>(SELECT instrmnt_id AS instrmnt_id_SIMUL, LCL_INSTMRNT_ID AS LCL_INSTMRNT_ID_SIMUL FROM BU_LOANTAPE_WORK.LT002_INSTRUMENT_P3_NOV24)Y</v>
      </c>
      <c r="K484" s="42" t="str">
        <f>+UPPER("ON X."&amp;VLOOKUP(B484,'0. Instruções'!$C$27:$G$31,4,FALSE)&amp;"=Y."&amp;VLOOKUP(B484,'0. Instruções'!$C$27:$G$31,4,FALSE)&amp;"_SIMUL")</f>
        <v>ON X.INSTRMNT_ID=Y.INSTRMNT_ID_SIMUL</v>
      </c>
      <c r="L484" s="42" t="str">
        <f>+IF(C484="Coerência", +IF(LEFT(G484,5)="FLOAT","SELECT '"&amp;UPPER(B484)&amp;"' AS TABELA, '"&amp;UPPER(C484)&amp;"' AS TIPOLOGIA_TESTE,'"&amp;D484&amp;"' AS TABELA_LT,'"&amp;E484&amp;"' AS TABELA_SIMUL,'"&amp;F484&amp;"' AS CAMPO, "&amp;"'${ref_date}' AS REF_DATE, COUNT(*) AS NUM_REG, SUM(IF((ABS(COALESCE(X."&amp;F484&amp;",0)-COALESCE(Y."&amp;F484&amp;"_SIMUL,0))&gt;0.0000000001) OR (X."&amp;F484&amp;" IS NULL AND Y."&amp;F484&amp;"_SIMUL IS NOT NULL ) OR (X."&amp;F484&amp;" IS NOT NULL AND Y."&amp;F484&amp;"_SIMUL IS NULL),1,0)) AS NUM_REG_DIF,'"&amp;MAX('ID1&amp;5'!K:K)+1&amp;"' AS ID_EXEC, CURRENT_TIMESTAMP() AS TIME_EXEC FROM "&amp;I484&amp;" INNER JOIN "&amp;J484&amp;" "&amp;K484,"SELECT '"&amp;UPPER(B484)&amp;"' AS TABELA, '"&amp;UPPER(C484)&amp;"' AS TIPOLOGIA_TESTE,'"&amp;D484&amp;"' AS TABELA_LT,'"&amp;E484&amp;"' AS TABELA_SIMUL,'"&amp;F484&amp;"' AS CAMPO, "&amp;"'${ref_date}' AS REF_DATE, COUNT(*) AS NUM_REG, SUM(IF(COALESCE(CAST(X."&amp;F484&amp;" AS STRING),'')&lt;&gt;COALESCE(CAST(Y."&amp;F484&amp;"_SIMUL AS STRING),''),1,0)) AS NUM_REG_DIF,'"&amp;MAX('ID1&amp;5'!L:L)+1&amp;"' AS ID_EXEC, CURRENT_TIMESTAMP() AS TIME_EXEC FROM "&amp;I484&amp;" INNER JOIN "&amp;J484&amp;" "&amp;K484),
IF(C484="Validade",+IF(G484="Code List","SELECT '"&amp;UPPER(B484)&amp;"' AS TABELA, '"&amp;UPPER(C484)&amp;"' AS TIPOLOGIA_TESTE,'"&amp;D484&amp;"' AS TABELA_LT,'N/A' AS TABELA_SIMUL,'"&amp;F484&amp;"' AS CAMPO, "&amp;"'${ref_date}' AS REF_DATE, COUNT(*) AS NUM_REG, SUM(IF(TRIM(CAST(X."&amp;F484&amp;" AS STRING))='' OR TRIM(CAST(X."&amp;F484&amp;" AS STRING)) IS NULL OR CAST(X."&amp;F484&amp;" AS STRING) NOT "&amp;H484&amp;",1,0)) AS NUM_REG_DIF,'"&amp;MAX('ID1&amp;5'!K:K)+1&amp;"' AS ID_EXEC, CURRENT_TIMESTAMP() AS TIME_EXEC FROM "&amp;I484,"SELECT '"&amp;UPPER(B484)&amp;"' AS TABELA, '"&amp;UPPER(C484)&amp;"' AS TIPOLOGIA_TESTE,'"&amp;D484&amp;"' AS TABELA_LT,'N/A' AS TABELA_SIMUL,'"&amp;F484&amp;"' AS CAMPO, "&amp;"'${ref_date}' AS REF_DATE, COUNT(*) AS NUM_REG, SUM(IF(TRIM(CAST(X."&amp;F484&amp;" AS STRING))='' OR TRIM(CAST(X."&amp;F484&amp;" AS STRING)) IS NULL,1,0)) AS NUM_REG_DIF,'"&amp;MAX('ID1&amp;5'!K:K)+1&amp;"' AS ID_EXEC, CURRENT_TIMESTAMP() AS TIME_EXEC FROM "&amp;I484),
IF(C484="Caracteres Especiais",+"SELECT '"&amp;UPPER(B484)&amp;"' AS TABELA, '"&amp;UPPER(C484)&amp;"' AS TIPOLOGIA_TESTE,'"&amp;D484&amp;"' AS TABELA_LT,'N/A' AS TABELA_SIMUL,'"&amp;F484&amp;"' AS CAMPO, "&amp;"'${ref_date}' AS REF_DATE, COUNT(*) AS NUM_REG, SUM(IF(INSTR(CAST(X."&amp;F484&amp;" AS STRING),'#')&gt;0 OR INSTR(CAST(X."&amp;F484&amp;" AS STRING),'*')&gt;0 OR INSTR(CAST(X."&amp;F484&amp;" AS STRING),'`')&gt;0 OR INSTR(CAST(X."&amp;F484&amp;" AS STRING),'´')&gt;0 OR INSTR(CAST(X."&amp;F484&amp;" AS STRING),'{')&gt;0 OR INSTR(CAST(X."&amp;F484&amp;" AS STRING),'}')&gt;0 OR INSTR(CAST(X."&amp;F484&amp;" AS STRING),'[')&gt;0 OR INSTR(CAST(X."&amp;F484&amp;" AS STRING),'')&gt;0 OR INSTR(CAST(X."&amp;F484&amp;" AS STRING),']')&gt;0 OR INSTR(CAST(X."&amp;F484&amp;" AS STRING),'?')&gt;0 OR INSTR(CAST(X."&amp;F484&amp;" AS STRING),'!')&gt;0 OR INSTR(CAST(X."&amp;F484&amp;" AS STRING),'$')&gt;0 OR INSTR(CAST(X."&amp;F484&amp;" AS STRING),'%')&gt;0 OR INSTR(CAST(X."&amp;F484&amp;" AS STRING),'&amp;')&gt;0 OR INSTR(CAST(X."&amp;F484&amp;" AS STRING),'+')&gt;0,1,0)) AS NUM_REG_DIF,'"&amp;MAX('ID1&amp;5'!K:K)+1&amp;"' AS ID_EXEC, CURRENT_TIMESTAMP() AS TIME_EXEC FROM "&amp;I484,
IF(C484="Missings",+"SELECT '"&amp;UPPER(B484)&amp;"' AS TABELA, '"&amp;UPPER(C484)&amp;"' AS TIPOLOGIA_TESTE,'"&amp;D484&amp;"' AS TABELA_LT,'N/A' AS TABELA_SIMUL,'"&amp;F484&amp;"' AS CAMPO, "&amp;"'${ref_date}' AS REF_DATE, COUNT(*) AS NUM_REG, SUM(IF(TRIM(CAST(X."&amp;F484&amp;" AS STRING)) IN ('0000-00-00','0001-01-01','9999-12-31','MISS','00000','99999999999','99999999999.00','99999999999.000000'),1,0)) AS NUM_REG_DIF,'"&amp;MAX('ID1&amp;5'!K:K)+1&amp;"' AS ID_EXEC, CURRENT_TIMESTAMP() AS TIME_EXEC FROM "&amp;I484,
IF(C484="Not applicable",+"SELECT '"&amp;UPPER(B484)&amp;"' AS TABELA, '"&amp;UPPER(C484)&amp;"' AS TIPOLOGIA_TESTE,'"&amp;D484&amp;"' AS TABELA_LT,'N/A' AS TABELA_SIMUL,'"&amp;F484&amp;"' AS CAMPO, "&amp;"'${ref_date}' AS REF_DATE, COUNT(*) AS NUM_REG, SUM(IF(TRIM(CAST(X."&amp;F484&amp;" AS STRING)) IN ('N/A','11111111111','11111111111.00','11111111111.000000','1111-11-11'),1,0)) AS NUM_REG_DIF,'"&amp;MAX('ID1&amp;5'!K:K)+1&amp;"' AS ID_EXEC, CURRENT_TIMESTAMP() AS TIME_EXEC FROM "&amp;I484,
IF(C484="Valores extremos",+"SELECT '"&amp;UPPER(B484)&amp;"' AS TABELA, '"&amp;UPPER(C484)&amp;"' AS TIPOLOGIA_TESTE,'"&amp;D484&amp;"' AS TABELA_LT,'N/A' AS TABELA_SIMUL,'"&amp;F484&amp;"' AS CAMPO, "&amp;"'${ref_date}' AS REF_DATE, CAST(MIN("&amp;F484&amp;") AS STRING) AS VALOR_MIN, CAST(MAX("&amp;F484&amp;") AS STRING) AS VALOR_MAX,'"&amp;MAX('ID1&amp;5'!K:K)+1&amp;"' AS ID_EXEC, CURRENT_TIMESTAMP() AS TIME_EXEC FROM "&amp;MID(I484,1,LEN(I484)-2)&amp;" AND CAST("&amp;F484&amp;"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TABELA_SIMUL,'LCL_INSTMRNT_ID' AS CAMPO, '${ref_date}' AS REF_DATE, CAST(MIN(LCL_INSTMRNT_ID) AS STRING) AS VALOR_MIN, CAST(MAX(LCL_INSTMRNT_ID) AS STRING) AS VALOR_MAX,'10' AS ID_EXEC, CURRENT_TIMESTAMP() AS TIME_EXEC FROM (SELECT instrmnt_id, LCL_INSTMRNT_ID FROM BU_LOANTAPE_WORK.LT002_INSTRUMENT WHERE ref_date='${ref_date}' AND nome_perimetro='Individual Corporativo' AND segmento='ESTR' AND ambito='PILAR3' AND CAST(LCL_INSTMRNT_ID AS STRING) NOT IN ('0000-00-00','0001-01-01','9999-12-31','MISS','00000','99999999999','99999999999.00','99999999999.000000','N/A','11111111111','11111111111.00','11111111111.000000','1111-11-11'))X</v>
      </c>
      <c r="M484" s="43" t="str">
        <f t="shared" si="7"/>
        <v>UNION ALL SELECT 'INSTRUMENT' AS TABELA, 'VALORES EXTREMOS' AS TIPOLOGIA_TESTE,'BU_LOANTAPE_WORK.LT002_INSTRUMENT' AS TABELA_LT,'N/A' AS TABELA_SIMUL,'LCL_INSTMRNT_ID' AS CAMPO, '${ref_date}' AS REF_DATE, CAST(MIN(LCL_INSTMRNT_ID) AS STRING) AS VALOR_MIN, CAST(MAX(LCL_INSTMRNT_ID) AS STRING) AS VALOR_MAX,'10' AS ID_EXEC, CURRENT_TIMESTAMP() AS TIME_EXEC FROM (SELECT instrmnt_id, LCL_INSTMRNT_ID FROM BU_LOANTAPE_WORK.LT002_INSTRUMENT WHERE ref_date='${ref_date}' AND nome_perimetro='Individual Corporativo' AND segmento='ESTR' AND ambito='PILAR3' AND CAST(LCL_INSTMRNT_ID AS STRING) NOT IN ('0000-00-00','0001-01-01','9999-12-31','MISS','00000','99999999999','99999999999.00','99999999999.000000','N/A','11111111111','11111111111.00','11111111111.000000','1111-11-11'))X</v>
      </c>
      <c r="N484" s="45" t="s">
        <v>13</v>
      </c>
    </row>
    <row r="485" spans="2:14">
      <c r="B485" s="41" t="s">
        <v>27</v>
      </c>
      <c r="C485" s="41" t="s">
        <v>226</v>
      </c>
      <c r="D485" s="41" t="str">
        <f>+UPPER('0. Instruções'!$D$33&amp;"."&amp;VLOOKUP(B485,'0. Instruções'!$C$27:$D$31,2,FALSE))</f>
        <v>BU_LOANTAPE_WORK.LT002_INSTRUMENT</v>
      </c>
      <c r="E485" s="41" t="str">
        <f>+UPPER('0. Instruções'!$D$34&amp;"."&amp;VLOOKUP(B485,'0. Instruções'!$C$27:$E$31,3,FALSE))</f>
        <v>BU_LOANTAPE_WORK.LT002_INSTRUMENT_P3_NOV24</v>
      </c>
      <c r="F485" s="41" t="s">
        <v>180</v>
      </c>
      <c r="G485" s="41" t="s">
        <v>13</v>
      </c>
      <c r="H485" s="41"/>
      <c r="I485" s="41" t="str">
        <f>"(SELECT "&amp;VLOOKUP(B485,'0. Instruções'!$C$27:$G$31,4,FALSE)&amp;", "&amp;F485&amp;" FROM "&amp;D485&amp;" WHERE "&amp;'0. Instruções'!$D$40&amp;")X"</f>
        <v>(SELECT instrmnt_id, IDCMB FROM BU_LOANTAPE_WORK.LT002_INSTRUMENT WHERE ref_date='${ref_date}' AND nome_perimetro='Individual Corporativo' AND segmento='ESTR' AND ambito='PILAR3')X</v>
      </c>
      <c r="J485" s="41" t="str">
        <f>"(SELECT "&amp;VLOOKUP(B485,'0. Instruções'!$C$27:$G$31,4,FALSE)&amp;" AS "&amp;VLOOKUP(B485,'0. Instruções'!$C$27:$G$31,4,FALSE)&amp;"_SIMUL, "&amp;F485&amp;" AS "&amp;F485&amp;"_SIMUL FROM "&amp;E485&amp;")Y"</f>
        <v>(SELECT instrmnt_id AS instrmnt_id_SIMUL, IDCMB AS IDCMB_SIMUL FROM BU_LOANTAPE_WORK.LT002_INSTRUMENT_P3_NOV24)Y</v>
      </c>
      <c r="K485" s="42" t="str">
        <f>+UPPER("ON X."&amp;VLOOKUP(B485,'0. Instruções'!$C$27:$G$31,4,FALSE)&amp;"=Y."&amp;VLOOKUP(B485,'0. Instruções'!$C$27:$G$31,4,FALSE)&amp;"_SIMUL")</f>
        <v>ON X.INSTRMNT_ID=Y.INSTRMNT_ID_SIMUL</v>
      </c>
      <c r="L485" s="42" t="str">
        <f>+IF(C485="Coerência", +IF(LEFT(G485,5)="FLOAT","SELECT '"&amp;UPPER(B485)&amp;"' AS TABELA, '"&amp;UPPER(C485)&amp;"' AS TIPOLOGIA_TESTE,'"&amp;D485&amp;"' AS TABELA_LT,'"&amp;E485&amp;"' AS TABELA_SIMUL,'"&amp;F485&amp;"' AS CAMPO, "&amp;"'${ref_date}' AS REF_DATE, COUNT(*) AS NUM_REG, SUM(IF((ABS(COALESCE(X."&amp;F485&amp;",0)-COALESCE(Y."&amp;F485&amp;"_SIMUL,0))&gt;0.0000000001) OR (X."&amp;F485&amp;" IS NULL AND Y."&amp;F485&amp;"_SIMUL IS NOT NULL ) OR (X."&amp;F485&amp;" IS NOT NULL AND Y."&amp;F485&amp;"_SIMUL IS NULL),1,0)) AS NUM_REG_DIF,'"&amp;MAX('ID1&amp;5'!K:K)+1&amp;"' AS ID_EXEC, CURRENT_TIMESTAMP() AS TIME_EXEC FROM "&amp;I485&amp;" INNER JOIN "&amp;J485&amp;" "&amp;K485,"SELECT '"&amp;UPPER(B485)&amp;"' AS TABELA, '"&amp;UPPER(C485)&amp;"' AS TIPOLOGIA_TESTE,'"&amp;D485&amp;"' AS TABELA_LT,'"&amp;E485&amp;"' AS TABELA_SIMUL,'"&amp;F485&amp;"' AS CAMPO, "&amp;"'${ref_date}' AS REF_DATE, COUNT(*) AS NUM_REG, SUM(IF(COALESCE(CAST(X."&amp;F485&amp;" AS STRING),'')&lt;&gt;COALESCE(CAST(Y."&amp;F485&amp;"_SIMUL AS STRING),''),1,0)) AS NUM_REG_DIF,'"&amp;MAX('ID1&amp;5'!L:L)+1&amp;"' AS ID_EXEC, CURRENT_TIMESTAMP() AS TIME_EXEC FROM "&amp;I485&amp;" INNER JOIN "&amp;J485&amp;" "&amp;K485),
IF(C485="Validade",+IF(G485="Code List","SELECT '"&amp;UPPER(B485)&amp;"' AS TABELA, '"&amp;UPPER(C485)&amp;"' AS TIPOLOGIA_TESTE,'"&amp;D485&amp;"' AS TABELA_LT,'N/A' AS TABELA_SIMUL,'"&amp;F485&amp;"' AS CAMPO, "&amp;"'${ref_date}' AS REF_DATE, COUNT(*) AS NUM_REG, SUM(IF(TRIM(CAST(X."&amp;F485&amp;" AS STRING))='' OR TRIM(CAST(X."&amp;F485&amp;" AS STRING)) IS NULL OR CAST(X."&amp;F485&amp;" AS STRING) NOT "&amp;H485&amp;",1,0)) AS NUM_REG_DIF,'"&amp;MAX('ID1&amp;5'!K:K)+1&amp;"' AS ID_EXEC, CURRENT_TIMESTAMP() AS TIME_EXEC FROM "&amp;I485,"SELECT '"&amp;UPPER(B485)&amp;"' AS TABELA, '"&amp;UPPER(C485)&amp;"' AS TIPOLOGIA_TESTE,'"&amp;D485&amp;"' AS TABELA_LT,'N/A' AS TABELA_SIMUL,'"&amp;F485&amp;"' AS CAMPO, "&amp;"'${ref_date}' AS REF_DATE, COUNT(*) AS NUM_REG, SUM(IF(TRIM(CAST(X."&amp;F485&amp;" AS STRING))='' OR TRIM(CAST(X."&amp;F485&amp;" AS STRING)) IS NULL,1,0)) AS NUM_REG_DIF,'"&amp;MAX('ID1&amp;5'!K:K)+1&amp;"' AS ID_EXEC, CURRENT_TIMESTAMP() AS TIME_EXEC FROM "&amp;I485),
IF(C485="Caracteres Especiais",+"SELECT '"&amp;UPPER(B485)&amp;"' AS TABELA, '"&amp;UPPER(C485)&amp;"' AS TIPOLOGIA_TESTE,'"&amp;D485&amp;"' AS TABELA_LT,'N/A' AS TABELA_SIMUL,'"&amp;F485&amp;"' AS CAMPO, "&amp;"'${ref_date}' AS REF_DATE, COUNT(*) AS NUM_REG, SUM(IF(INSTR(CAST(X."&amp;F485&amp;" AS STRING),'#')&gt;0 OR INSTR(CAST(X."&amp;F485&amp;" AS STRING),'*')&gt;0 OR INSTR(CAST(X."&amp;F485&amp;" AS STRING),'`')&gt;0 OR INSTR(CAST(X."&amp;F485&amp;" AS STRING),'´')&gt;0 OR INSTR(CAST(X."&amp;F485&amp;" AS STRING),'{')&gt;0 OR INSTR(CAST(X."&amp;F485&amp;" AS STRING),'}')&gt;0 OR INSTR(CAST(X."&amp;F485&amp;" AS STRING),'[')&gt;0 OR INSTR(CAST(X."&amp;F485&amp;" AS STRING),'')&gt;0 OR INSTR(CAST(X."&amp;F485&amp;" AS STRING),']')&gt;0 OR INSTR(CAST(X."&amp;F485&amp;" AS STRING),'?')&gt;0 OR INSTR(CAST(X."&amp;F485&amp;" AS STRING),'!')&gt;0 OR INSTR(CAST(X."&amp;F485&amp;" AS STRING),'$')&gt;0 OR INSTR(CAST(X."&amp;F485&amp;" AS STRING),'%')&gt;0 OR INSTR(CAST(X."&amp;F485&amp;" AS STRING),'&amp;')&gt;0 OR INSTR(CAST(X."&amp;F485&amp;" AS STRING),'+')&gt;0,1,0)) AS NUM_REG_DIF,'"&amp;MAX('ID1&amp;5'!K:K)+1&amp;"' AS ID_EXEC, CURRENT_TIMESTAMP() AS TIME_EXEC FROM "&amp;I485,
IF(C485="Missings",+"SELECT '"&amp;UPPER(B485)&amp;"' AS TABELA, '"&amp;UPPER(C485)&amp;"' AS TIPOLOGIA_TESTE,'"&amp;D485&amp;"' AS TABELA_LT,'N/A' AS TABELA_SIMUL,'"&amp;F485&amp;"' AS CAMPO, "&amp;"'${ref_date}' AS REF_DATE, COUNT(*) AS NUM_REG, SUM(IF(TRIM(CAST(X."&amp;F485&amp;" AS STRING)) IN ('0000-00-00','0001-01-01','9999-12-31','MISS','00000','99999999999','99999999999.00','99999999999.000000'),1,0)) AS NUM_REG_DIF,'"&amp;MAX('ID1&amp;5'!K:K)+1&amp;"' AS ID_EXEC, CURRENT_TIMESTAMP() AS TIME_EXEC FROM "&amp;I485,
IF(C485="Not applicable",+"SELECT '"&amp;UPPER(B485)&amp;"' AS TABELA, '"&amp;UPPER(C485)&amp;"' AS TIPOLOGIA_TESTE,'"&amp;D485&amp;"' AS TABELA_LT,'N/A' AS TABELA_SIMUL,'"&amp;F485&amp;"' AS CAMPO, "&amp;"'${ref_date}' AS REF_DATE, COUNT(*) AS NUM_REG, SUM(IF(TRIM(CAST(X."&amp;F485&amp;" AS STRING)) IN ('N/A','11111111111','11111111111.00','11111111111.000000','1111-11-11'),1,0)) AS NUM_REG_DIF,'"&amp;MAX('ID1&amp;5'!K:K)+1&amp;"' AS ID_EXEC, CURRENT_TIMESTAMP() AS TIME_EXEC FROM "&amp;I485,
IF(C485="Valores extremos",+"SELECT '"&amp;UPPER(B485)&amp;"' AS TABELA, '"&amp;UPPER(C485)&amp;"' AS TIPOLOGIA_TESTE,'"&amp;D485&amp;"' AS TABELA_LT,'N/A' AS TABELA_SIMUL,'"&amp;F485&amp;"' AS CAMPO, "&amp;"'${ref_date}' AS REF_DATE, CAST(MIN("&amp;F485&amp;") AS STRING) AS VALOR_MIN, CAST(MAX("&amp;F485&amp;") AS STRING) AS VALOR_MAX,'"&amp;MAX('ID1&amp;5'!K:K)+1&amp;"' AS ID_EXEC, CURRENT_TIMESTAMP() AS TIME_EXEC FROM "&amp;MID(I485,1,LEN(I485)-2)&amp;" AND CAST("&amp;F485&amp;" AS STRING) NOT IN ('0000-00-00','0001-01-01','9999-12-31','MISS','00000','99999999999','99999999999.00','99999999999.000000','N/A','11111111111','11111111111.00','11111111111.000000','1111-11-11'))X"))))))</f>
        <v>SELECT 'INSTRUMENT' AS TABELA, 'VALORES EXTREMOS' AS TIPOLOGIA_TESTE,'BU_LOANTAPE_WORK.LT002_INSTRUMENT' AS TABELA_LT,'N/A' AS TABELA_SIMUL,'IDCMB' AS CAMPO, '${ref_date}' AS REF_DATE, CAST(MIN(IDCMB) AS STRING) AS VALOR_MIN, CAST(MAX(IDCMB) AS STRING) AS VALOR_MAX,'10' AS ID_EXEC, CURRENT_TIMESTAMP() AS TIME_EXEC FROM (SELECT instrmnt_id, IDCMB FROM BU_LOANTAPE_WORK.LT002_INSTRUMENT WHERE ref_date='${ref_date}' AND nome_perimetro='Individual Corporativo' AND segmento='ESTR' AND ambito='PILAR3' AND CAST(IDCMB AS STRING) NOT IN ('0000-00-00','0001-01-01','9999-12-31','MISS','00000','99999999999','99999999999.00','99999999999.000000','N/A','11111111111','11111111111.00','11111111111.000000','1111-11-11'))X</v>
      </c>
      <c r="M485" s="43" t="str">
        <f t="shared" ref="M485:M543" si="8">+"UNION ALL "&amp;L485</f>
        <v>UNION ALL SELECT 'INSTRUMENT' AS TABELA, 'VALORES EXTREMOS' AS TIPOLOGIA_TESTE,'BU_LOANTAPE_WORK.LT002_INSTRUMENT' AS TABELA_LT,'N/A' AS TABELA_SIMUL,'IDCMB' AS CAMPO, '${ref_date}' AS REF_DATE, CAST(MIN(IDCMB) AS STRING) AS VALOR_MIN, CAST(MAX(IDCMB) AS STRING) AS VALOR_MAX,'10' AS ID_EXEC, CURRENT_TIMESTAMP() AS TIME_EXEC FROM (SELECT instrmnt_id, IDCMB FROM BU_LOANTAPE_WORK.LT002_INSTRUMENT WHERE ref_date='${ref_date}' AND nome_perimetro='Individual Corporativo' AND segmento='ESTR' AND ambito='PILAR3' AND CAST(IDCMB AS STRING) NOT IN ('0000-00-00','0001-01-01','9999-12-31','MISS','00000','99999999999','99999999999.00','99999999999.000000','N/A','11111111111','11111111111.00','11111111111.000000','1111-11-11'))X</v>
      </c>
      <c r="N485" s="45" t="s">
        <v>13</v>
      </c>
    </row>
    <row r="486" spans="2:14">
      <c r="B486" s="41" t="s">
        <v>23</v>
      </c>
      <c r="C486" s="41" t="s">
        <v>226</v>
      </c>
      <c r="D486" s="41" t="str">
        <f>+UPPER('0. Instruções'!$D$33&amp;"."&amp;VLOOKUP(B486,'0. Instruções'!$C$27:$D$31,2,FALSE))</f>
        <v>BU_LOANTAPE_WORK.LT003_ENTITY</v>
      </c>
      <c r="E486" s="41" t="str">
        <f>+UPPER('0. Instruções'!$D$34&amp;"."&amp;VLOOKUP(B486,'0. Instruções'!$C$27:$E$31,3,FALSE))</f>
        <v>BU_LOANTAPE_WORK.LT003_ENTTY_P3_NOV24</v>
      </c>
      <c r="F486" s="41" t="s">
        <v>99</v>
      </c>
      <c r="G486" s="41" t="s">
        <v>209</v>
      </c>
      <c r="H486" s="41"/>
      <c r="I486" s="41" t="str">
        <f>"(SELECT "&amp;VLOOKUP(B486,'0. Instruções'!$C$27:$G$31,4,FALSE)&amp;", "&amp;F486&amp;" FROM "&amp;D486&amp;" WHERE "&amp;'0. Instruções'!$D$40&amp;")X"</f>
        <v>(SELECT entty_id, NACE_ESG FROM BU_LOANTAPE_WORK.LT003_ENTITY WHERE ref_date='${ref_date}' AND nome_perimetro='Individual Corporativo' AND segmento='ESTR' AND ambito='PILAR3')X</v>
      </c>
      <c r="J486" s="41" t="str">
        <f>"(SELECT "&amp;VLOOKUP(B486,'0. Instruções'!$C$27:$G$31,4,FALSE)&amp;" AS "&amp;VLOOKUP(B486,'0. Instruções'!$C$27:$G$31,4,FALSE)&amp;"_SIMUL, "&amp;F486&amp;" AS "&amp;F486&amp;"_SIMUL FROM "&amp;E486&amp;")Y"</f>
        <v>(SELECT entty_id AS entty_id_SIMUL, NACE_ESG AS NACE_ESG_SIMUL FROM BU_LOANTAPE_WORK.LT003_ENTTY_P3_NOV24)Y</v>
      </c>
      <c r="K486" s="42" t="str">
        <f>+UPPER("ON X."&amp;VLOOKUP(B486,'0. Instruções'!$C$27:$G$31,4,FALSE)&amp;"=Y."&amp;VLOOKUP(B486,'0. Instruções'!$C$27:$G$31,4,FALSE)&amp;"_SIMUL")</f>
        <v>ON X.ENTTY_ID=Y.ENTTY_ID_SIMUL</v>
      </c>
      <c r="L486" s="42" t="str">
        <f>+IF(C486="Coerência", +IF(LEFT(G486,5)="FLOAT","SELECT '"&amp;UPPER(B486)&amp;"' AS TABELA, '"&amp;UPPER(C486)&amp;"' AS TIPOLOGIA_TESTE,'"&amp;D486&amp;"' AS TABELA_LT,'"&amp;E486&amp;"' AS TABELA_SIMUL,'"&amp;F486&amp;"' AS CAMPO, "&amp;"'${ref_date}' AS REF_DATE, COUNT(*) AS NUM_REG, SUM(IF((ABS(COALESCE(X."&amp;F486&amp;",0)-COALESCE(Y."&amp;F486&amp;"_SIMUL,0))&gt;0.0000000001) OR (X."&amp;F486&amp;" IS NULL AND Y."&amp;F486&amp;"_SIMUL IS NOT NULL ) OR (X."&amp;F486&amp;" IS NOT NULL AND Y."&amp;F486&amp;"_SIMUL IS NULL),1,0)) AS NUM_REG_DIF,'"&amp;MAX('ID1&amp;5'!K:K)+1&amp;"' AS ID_EXEC, CURRENT_TIMESTAMP() AS TIME_EXEC FROM "&amp;I486&amp;" INNER JOIN "&amp;J486&amp;" "&amp;K486,"SELECT '"&amp;UPPER(B486)&amp;"' AS TABELA, '"&amp;UPPER(C486)&amp;"' AS TIPOLOGIA_TESTE,'"&amp;D486&amp;"' AS TABELA_LT,'"&amp;E486&amp;"' AS TABELA_SIMUL,'"&amp;F486&amp;"' AS CAMPO, "&amp;"'${ref_date}' AS REF_DATE, COUNT(*) AS NUM_REG, SUM(IF(COALESCE(CAST(X."&amp;F486&amp;" AS STRING),'')&lt;&gt;COALESCE(CAST(Y."&amp;F486&amp;"_SIMUL AS STRING),''),1,0)) AS NUM_REG_DIF,'"&amp;MAX('ID1&amp;5'!L:L)+1&amp;"' AS ID_EXEC, CURRENT_TIMESTAMP() AS TIME_EXEC FROM "&amp;I486&amp;" INNER JOIN "&amp;J486&amp;" "&amp;K486),
IF(C486="Validade",+IF(G486="Code List","SELECT '"&amp;UPPER(B486)&amp;"' AS TABELA, '"&amp;UPPER(C486)&amp;"' AS TIPOLOGIA_TESTE,'"&amp;D486&amp;"' AS TABELA_LT,'N/A' AS TABELA_SIMUL,'"&amp;F486&amp;"' AS CAMPO, "&amp;"'${ref_date}' AS REF_DATE, COUNT(*) AS NUM_REG, SUM(IF(TRIM(CAST(X."&amp;F486&amp;" AS STRING))='' OR TRIM(CAST(X."&amp;F486&amp;" AS STRING)) IS NULL OR CAST(X."&amp;F486&amp;" AS STRING) NOT "&amp;H486&amp;",1,0)) AS NUM_REG_DIF,'"&amp;MAX('ID1&amp;5'!K:K)+1&amp;"' AS ID_EXEC, CURRENT_TIMESTAMP() AS TIME_EXEC FROM "&amp;I486,"SELECT '"&amp;UPPER(B486)&amp;"' AS TABELA, '"&amp;UPPER(C486)&amp;"' AS TIPOLOGIA_TESTE,'"&amp;D486&amp;"' AS TABELA_LT,'N/A' AS TABELA_SIMUL,'"&amp;F486&amp;"' AS CAMPO, "&amp;"'${ref_date}' AS REF_DATE, COUNT(*) AS NUM_REG, SUM(IF(TRIM(CAST(X."&amp;F486&amp;" AS STRING))='' OR TRIM(CAST(X."&amp;F486&amp;" AS STRING)) IS NULL,1,0)) AS NUM_REG_DIF,'"&amp;MAX('ID1&amp;5'!K:K)+1&amp;"' AS ID_EXEC, CURRENT_TIMESTAMP() AS TIME_EXEC FROM "&amp;I486),
IF(C486="Caracteres Especiais",+"SELECT '"&amp;UPPER(B486)&amp;"' AS TABELA, '"&amp;UPPER(C486)&amp;"' AS TIPOLOGIA_TESTE,'"&amp;D486&amp;"' AS TABELA_LT,'N/A' AS TABELA_SIMUL,'"&amp;F486&amp;"' AS CAMPO, "&amp;"'${ref_date}' AS REF_DATE, COUNT(*) AS NUM_REG, SUM(IF(INSTR(CAST(X."&amp;F486&amp;" AS STRING),'#')&gt;0 OR INSTR(CAST(X."&amp;F486&amp;" AS STRING),'*')&gt;0 OR INSTR(CAST(X."&amp;F486&amp;" AS STRING),'`')&gt;0 OR INSTR(CAST(X."&amp;F486&amp;" AS STRING),'´')&gt;0 OR INSTR(CAST(X."&amp;F486&amp;" AS STRING),'{')&gt;0 OR INSTR(CAST(X."&amp;F486&amp;" AS STRING),'}')&gt;0 OR INSTR(CAST(X."&amp;F486&amp;" AS STRING),'[')&gt;0 OR INSTR(CAST(X."&amp;F486&amp;" AS STRING),'')&gt;0 OR INSTR(CAST(X."&amp;F486&amp;" AS STRING),']')&gt;0 OR INSTR(CAST(X."&amp;F486&amp;" AS STRING),'?')&gt;0 OR INSTR(CAST(X."&amp;F486&amp;" AS STRING),'!')&gt;0 OR INSTR(CAST(X."&amp;F486&amp;" AS STRING),'$')&gt;0 OR INSTR(CAST(X."&amp;F486&amp;" AS STRING),'%')&gt;0 OR INSTR(CAST(X."&amp;F486&amp;" AS STRING),'&amp;')&gt;0 OR INSTR(CAST(X."&amp;F486&amp;" AS STRING),'+')&gt;0,1,0)) AS NUM_REG_DIF,'"&amp;MAX('ID1&amp;5'!K:K)+1&amp;"' AS ID_EXEC, CURRENT_TIMESTAMP() AS TIME_EXEC FROM "&amp;I486,
IF(C486="Missings",+"SELECT '"&amp;UPPER(B486)&amp;"' AS TABELA, '"&amp;UPPER(C486)&amp;"' AS TIPOLOGIA_TESTE,'"&amp;D486&amp;"' AS TABELA_LT,'N/A' AS TABELA_SIMUL,'"&amp;F486&amp;"' AS CAMPO, "&amp;"'${ref_date}' AS REF_DATE, COUNT(*) AS NUM_REG, SUM(IF(TRIM(CAST(X."&amp;F486&amp;" AS STRING)) IN ('0000-00-00','0001-01-01','9999-12-31','MISS','00000','99999999999','99999999999.00','99999999999.000000'),1,0)) AS NUM_REG_DIF,'"&amp;MAX('ID1&amp;5'!K:K)+1&amp;"' AS ID_EXEC, CURRENT_TIMESTAMP() AS TIME_EXEC FROM "&amp;I486,
IF(C486="Not applicable",+"SELECT '"&amp;UPPER(B486)&amp;"' AS TABELA, '"&amp;UPPER(C486)&amp;"' AS TIPOLOGIA_TESTE,'"&amp;D486&amp;"' AS TABELA_LT,'N/A' AS TABELA_SIMUL,'"&amp;F486&amp;"' AS CAMPO, "&amp;"'${ref_date}' AS REF_DATE, COUNT(*) AS NUM_REG, SUM(IF(TRIM(CAST(X."&amp;F486&amp;" AS STRING)) IN ('N/A','11111111111','11111111111.00','11111111111.000000','1111-11-11'),1,0)) AS NUM_REG_DIF,'"&amp;MAX('ID1&amp;5'!K:K)+1&amp;"' AS ID_EXEC, CURRENT_TIMESTAMP() AS TIME_EXEC FROM "&amp;I486,
IF(C486="Valores extremos",+"SELECT '"&amp;UPPER(B486)&amp;"' AS TABELA, '"&amp;UPPER(C486)&amp;"' AS TIPOLOGIA_TESTE,'"&amp;D486&amp;"' AS TABELA_LT,'N/A' AS TABELA_SIMUL,'"&amp;F486&amp;"' AS CAMPO, "&amp;"'${ref_date}' AS REF_DATE, CAST(MIN("&amp;F486&amp;") AS STRING) AS VALOR_MIN, CAST(MAX("&amp;F486&amp;") AS STRING) AS VALOR_MAX,'"&amp;MAX('ID1&amp;5'!K:K)+1&amp;"' AS ID_EXEC, CURRENT_TIMESTAMP() AS TIME_EXEC FROM "&amp;MID(I486,1,LEN(I486)-2)&amp;" AND CAST("&amp;F486&amp;"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TABELA_SIMUL,'NACE_ESG' AS CAMPO, '${ref_date}' AS REF_DATE, CAST(MIN(NACE_ESG) AS STRING) AS VALOR_MIN, CAST(MAX(NACE_ESG) AS STRING) AS VALOR_MAX,'10' AS ID_EXEC, CURRENT_TIMESTAMP() AS TIME_EXEC FROM (SELECT entty_id, NACE_ESG FROM BU_LOANTAPE_WORK.LT003_ENTITY WHERE ref_date='${ref_date}' AND nome_perimetro='Individual Corporativo' AND segmento='ESTR' AND ambito='PILAR3' AND CAST(NACE_ESG AS STRING) NOT IN ('0000-00-00','0001-01-01','9999-12-31','MISS','00000','99999999999','99999999999.00','99999999999.000000','N/A','11111111111','11111111111.00','11111111111.000000','1111-11-11'))X</v>
      </c>
      <c r="M486" s="43" t="str">
        <f t="shared" si="8"/>
        <v>UNION ALL SELECT 'ENTITY' AS TABELA, 'VALORES EXTREMOS' AS TIPOLOGIA_TESTE,'BU_LOANTAPE_WORK.LT003_ENTITY' AS TABELA_LT,'N/A' AS TABELA_SIMUL,'NACE_ESG' AS CAMPO, '${ref_date}' AS REF_DATE, CAST(MIN(NACE_ESG) AS STRING) AS VALOR_MIN, CAST(MAX(NACE_ESG) AS STRING) AS VALOR_MAX,'10' AS ID_EXEC, CURRENT_TIMESTAMP() AS TIME_EXEC FROM (SELECT entty_id, NACE_ESG FROM BU_LOANTAPE_WORK.LT003_ENTITY WHERE ref_date='${ref_date}' AND nome_perimetro='Individual Corporativo' AND segmento='ESTR' AND ambito='PILAR3' AND CAST(NACE_ESG AS STRING) NOT IN ('0000-00-00','0001-01-01','9999-12-31','MISS','00000','99999999999','99999999999.00','99999999999.000000','N/A','11111111111','11111111111.00','11111111111.000000','1111-11-11'))X</v>
      </c>
      <c r="N486" s="45" t="s">
        <v>13</v>
      </c>
    </row>
    <row r="487" spans="2:14">
      <c r="B487" s="41" t="s">
        <v>23</v>
      </c>
      <c r="C487" s="41" t="s">
        <v>226</v>
      </c>
      <c r="D487" s="41" t="str">
        <f>+UPPER('0. Instruções'!$D$33&amp;"."&amp;VLOOKUP(B487,'0. Instruções'!$C$27:$D$31,2,FALSE))</f>
        <v>BU_LOANTAPE_WORK.LT003_ENTITY</v>
      </c>
      <c r="E487" s="41" t="str">
        <f>+UPPER('0. Instruções'!$D$34&amp;"."&amp;VLOOKUP(B487,'0. Instruções'!$C$27:$E$31,3,FALSE))</f>
        <v>BU_LOANTAPE_WORK.LT003_ENTTY_P3_NOV24</v>
      </c>
      <c r="F487" s="41" t="s">
        <v>100</v>
      </c>
      <c r="G487" s="41" t="s">
        <v>210</v>
      </c>
      <c r="H487" s="41"/>
      <c r="I487" s="41" t="str">
        <f>"(SELECT "&amp;VLOOKUP(B487,'0. Instruções'!$C$27:$G$31,4,FALSE)&amp;", "&amp;F487&amp;" FROM "&amp;D487&amp;" WHERE "&amp;'0. Instruções'!$D$40&amp;")X"</f>
        <v>(SELECT entty_id, TXNMY_ELGBL_CAPEX_CCM FROM BU_LOANTAPE_WORK.LT003_ENTITY WHERE ref_date='${ref_date}' AND nome_perimetro='Individual Corporativo' AND segmento='ESTR' AND ambito='PILAR3')X</v>
      </c>
      <c r="J487" s="41" t="str">
        <f>"(SELECT "&amp;VLOOKUP(B487,'0. Instruções'!$C$27:$G$31,4,FALSE)&amp;" AS "&amp;VLOOKUP(B487,'0. Instruções'!$C$27:$G$31,4,FALSE)&amp;"_SIMUL, "&amp;F487&amp;" AS "&amp;F487&amp;"_SIMUL FROM "&amp;E487&amp;")Y"</f>
        <v>(SELECT entty_id AS entty_id_SIMUL, TXNMY_ELGBL_CAPEX_CCM AS TXNMY_ELGBL_CAPEX_CCM_SIMUL FROM BU_LOANTAPE_WORK.LT003_ENTTY_P3_NOV24)Y</v>
      </c>
      <c r="K487" s="42" t="str">
        <f>+UPPER("ON X."&amp;VLOOKUP(B487,'0. Instruções'!$C$27:$G$31,4,FALSE)&amp;"=Y."&amp;VLOOKUP(B487,'0. Instruções'!$C$27:$G$31,4,FALSE)&amp;"_SIMUL")</f>
        <v>ON X.ENTTY_ID=Y.ENTTY_ID_SIMUL</v>
      </c>
      <c r="L487" s="42" t="str">
        <f>+IF(C487="Coerência", +IF(LEFT(G487,5)="FLOAT","SELECT '"&amp;UPPER(B487)&amp;"' AS TABELA, '"&amp;UPPER(C487)&amp;"' AS TIPOLOGIA_TESTE,'"&amp;D487&amp;"' AS TABELA_LT,'"&amp;E487&amp;"' AS TABELA_SIMUL,'"&amp;F487&amp;"' AS CAMPO, "&amp;"'${ref_date}' AS REF_DATE, COUNT(*) AS NUM_REG, SUM(IF((ABS(COALESCE(X."&amp;F487&amp;",0)-COALESCE(Y."&amp;F487&amp;"_SIMUL,0))&gt;0.0000000001) OR (X."&amp;F487&amp;" IS NULL AND Y."&amp;F487&amp;"_SIMUL IS NOT NULL ) OR (X."&amp;F487&amp;" IS NOT NULL AND Y."&amp;F487&amp;"_SIMUL IS NULL),1,0)) AS NUM_REG_DIF,'"&amp;MAX('ID1&amp;5'!K:K)+1&amp;"' AS ID_EXEC, CURRENT_TIMESTAMP() AS TIME_EXEC FROM "&amp;I487&amp;" INNER JOIN "&amp;J487&amp;" "&amp;K487,"SELECT '"&amp;UPPER(B487)&amp;"' AS TABELA, '"&amp;UPPER(C487)&amp;"' AS TIPOLOGIA_TESTE,'"&amp;D487&amp;"' AS TABELA_LT,'"&amp;E487&amp;"' AS TABELA_SIMUL,'"&amp;F487&amp;"' AS CAMPO, "&amp;"'${ref_date}' AS REF_DATE, COUNT(*) AS NUM_REG, SUM(IF(COALESCE(CAST(X."&amp;F487&amp;" AS STRING),'')&lt;&gt;COALESCE(CAST(Y."&amp;F487&amp;"_SIMUL AS STRING),''),1,0)) AS NUM_REG_DIF,'"&amp;MAX('ID1&amp;5'!L:L)+1&amp;"' AS ID_EXEC, CURRENT_TIMESTAMP() AS TIME_EXEC FROM "&amp;I487&amp;" INNER JOIN "&amp;J487&amp;" "&amp;K487),
IF(C487="Validade",+IF(G487="Code List","SELECT '"&amp;UPPER(B487)&amp;"' AS TABELA, '"&amp;UPPER(C487)&amp;"' AS TIPOLOGIA_TESTE,'"&amp;D487&amp;"' AS TABELA_LT,'N/A' AS TABELA_SIMUL,'"&amp;F487&amp;"' AS CAMPO, "&amp;"'${ref_date}' AS REF_DATE, COUNT(*) AS NUM_REG, SUM(IF(TRIM(CAST(X."&amp;F487&amp;" AS STRING))='' OR TRIM(CAST(X."&amp;F487&amp;" AS STRING)) IS NULL OR CAST(X."&amp;F487&amp;" AS STRING) NOT "&amp;H487&amp;",1,0)) AS NUM_REG_DIF,'"&amp;MAX('ID1&amp;5'!K:K)+1&amp;"' AS ID_EXEC, CURRENT_TIMESTAMP() AS TIME_EXEC FROM "&amp;I487,"SELECT '"&amp;UPPER(B487)&amp;"' AS TABELA, '"&amp;UPPER(C487)&amp;"' AS TIPOLOGIA_TESTE,'"&amp;D487&amp;"' AS TABELA_LT,'N/A' AS TABELA_SIMUL,'"&amp;F487&amp;"' AS CAMPO, "&amp;"'${ref_date}' AS REF_DATE, COUNT(*) AS NUM_REG, SUM(IF(TRIM(CAST(X."&amp;F487&amp;" AS STRING))='' OR TRIM(CAST(X."&amp;F487&amp;" AS STRING)) IS NULL,1,0)) AS NUM_REG_DIF,'"&amp;MAX('ID1&amp;5'!K:K)+1&amp;"' AS ID_EXEC, CURRENT_TIMESTAMP() AS TIME_EXEC FROM "&amp;I487),
IF(C487="Caracteres Especiais",+"SELECT '"&amp;UPPER(B487)&amp;"' AS TABELA, '"&amp;UPPER(C487)&amp;"' AS TIPOLOGIA_TESTE,'"&amp;D487&amp;"' AS TABELA_LT,'N/A' AS TABELA_SIMUL,'"&amp;F487&amp;"' AS CAMPO, "&amp;"'${ref_date}' AS REF_DATE, COUNT(*) AS NUM_REG, SUM(IF(INSTR(CAST(X."&amp;F487&amp;" AS STRING),'#')&gt;0 OR INSTR(CAST(X."&amp;F487&amp;" AS STRING),'*')&gt;0 OR INSTR(CAST(X."&amp;F487&amp;" AS STRING),'`')&gt;0 OR INSTR(CAST(X."&amp;F487&amp;" AS STRING),'´')&gt;0 OR INSTR(CAST(X."&amp;F487&amp;" AS STRING),'{')&gt;0 OR INSTR(CAST(X."&amp;F487&amp;" AS STRING),'}')&gt;0 OR INSTR(CAST(X."&amp;F487&amp;" AS STRING),'[')&gt;0 OR INSTR(CAST(X."&amp;F487&amp;" AS STRING),'')&gt;0 OR INSTR(CAST(X."&amp;F487&amp;" AS STRING),']')&gt;0 OR INSTR(CAST(X."&amp;F487&amp;" AS STRING),'?')&gt;0 OR INSTR(CAST(X."&amp;F487&amp;" AS STRING),'!')&gt;0 OR INSTR(CAST(X."&amp;F487&amp;" AS STRING),'$')&gt;0 OR INSTR(CAST(X."&amp;F487&amp;" AS STRING),'%')&gt;0 OR INSTR(CAST(X."&amp;F487&amp;" AS STRING),'&amp;')&gt;0 OR INSTR(CAST(X."&amp;F487&amp;" AS STRING),'+')&gt;0,1,0)) AS NUM_REG_DIF,'"&amp;MAX('ID1&amp;5'!K:K)+1&amp;"' AS ID_EXEC, CURRENT_TIMESTAMP() AS TIME_EXEC FROM "&amp;I487,
IF(C487="Missings",+"SELECT '"&amp;UPPER(B487)&amp;"' AS TABELA, '"&amp;UPPER(C487)&amp;"' AS TIPOLOGIA_TESTE,'"&amp;D487&amp;"' AS TABELA_LT,'N/A' AS TABELA_SIMUL,'"&amp;F487&amp;"' AS CAMPO, "&amp;"'${ref_date}' AS REF_DATE, COUNT(*) AS NUM_REG, SUM(IF(TRIM(CAST(X."&amp;F487&amp;" AS STRING)) IN ('0000-00-00','0001-01-01','9999-12-31','MISS','00000','99999999999','99999999999.00','99999999999.000000'),1,0)) AS NUM_REG_DIF,'"&amp;MAX('ID1&amp;5'!K:K)+1&amp;"' AS ID_EXEC, CURRENT_TIMESTAMP() AS TIME_EXEC FROM "&amp;I487,
IF(C487="Not applicable",+"SELECT '"&amp;UPPER(B487)&amp;"' AS TABELA, '"&amp;UPPER(C487)&amp;"' AS TIPOLOGIA_TESTE,'"&amp;D487&amp;"' AS TABELA_LT,'N/A' AS TABELA_SIMUL,'"&amp;F487&amp;"' AS CAMPO, "&amp;"'${ref_date}' AS REF_DATE, COUNT(*) AS NUM_REG, SUM(IF(TRIM(CAST(X."&amp;F487&amp;" AS STRING)) IN ('N/A','11111111111','11111111111.00','11111111111.000000','1111-11-11'),1,0)) AS NUM_REG_DIF,'"&amp;MAX('ID1&amp;5'!K:K)+1&amp;"' AS ID_EXEC, CURRENT_TIMESTAMP() AS TIME_EXEC FROM "&amp;I487,
IF(C487="Valores extremos",+"SELECT '"&amp;UPPER(B487)&amp;"' AS TABELA, '"&amp;UPPER(C487)&amp;"' AS TIPOLOGIA_TESTE,'"&amp;D487&amp;"' AS TABELA_LT,'N/A' AS TABELA_SIMUL,'"&amp;F487&amp;"' AS CAMPO, "&amp;"'${ref_date}' AS REF_DATE, CAST(MIN("&amp;F487&amp;") AS STRING) AS VALOR_MIN, CAST(MAX("&amp;F487&amp;") AS STRING) AS VALOR_MAX,'"&amp;MAX('ID1&amp;5'!K:K)+1&amp;"' AS ID_EXEC, CURRENT_TIMESTAMP() AS TIME_EXEC FROM "&amp;MID(I487,1,LEN(I487)-2)&amp;" AND CAST("&amp;F487&amp;"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TABELA_SIMUL,'TXNMY_ELGBL_CAPEX_CCM' AS CAMPO, '${ref_date}' AS REF_DATE, CAST(MIN(TXNMY_ELGBL_CAPEX_CCM) AS STRING) AS VALOR_MIN, CAST(MAX(TXNMY_ELGBL_CAPEX_CCM) AS STRING) AS VALOR_MAX,'10' AS ID_EXEC, CURRENT_TIMESTAMP() AS TIME_EXEC FROM (SELECT entty_id, TXNMY_ELGBL_CAPEX_CCM FROM BU_LOANTAPE_WORK.LT003_ENTITY WHERE ref_date='${ref_date}' AND nome_perimetro='Individual Corporativo' AND segmento='ESTR' AND ambito='PILAR3' AND CAST(TXNMY_ELGBL_CAPEX_CCM AS STRING) NOT IN ('0000-00-00','0001-01-01','9999-12-31','MISS','00000','99999999999','99999999999.00','99999999999.000000','N/A','11111111111','11111111111.00','11111111111.000000','1111-11-11'))X</v>
      </c>
      <c r="M487" s="43" t="str">
        <f t="shared" si="8"/>
        <v>UNION ALL SELECT 'ENTITY' AS TABELA, 'VALORES EXTREMOS' AS TIPOLOGIA_TESTE,'BU_LOANTAPE_WORK.LT003_ENTITY' AS TABELA_LT,'N/A' AS TABELA_SIMUL,'TXNMY_ELGBL_CAPEX_CCM' AS CAMPO, '${ref_date}' AS REF_DATE, CAST(MIN(TXNMY_ELGBL_CAPEX_CCM) AS STRING) AS VALOR_MIN, CAST(MAX(TXNMY_ELGBL_CAPEX_CCM) AS STRING) AS VALOR_MAX,'10' AS ID_EXEC, CURRENT_TIMESTAMP() AS TIME_EXEC FROM (SELECT entty_id, TXNMY_ELGBL_CAPEX_CCM FROM BU_LOANTAPE_WORK.LT003_ENTITY WHERE ref_date='${ref_date}' AND nome_perimetro='Individual Corporativo' AND segmento='ESTR' AND ambito='PILAR3' AND CAST(TXNMY_ELGBL_CAPEX_CCM AS STRING) NOT IN ('0000-00-00','0001-01-01','9999-12-31','MISS','00000','99999999999','99999999999.00','99999999999.000000','N/A','11111111111','11111111111.00','11111111111.000000','1111-11-11'))X</v>
      </c>
      <c r="N487" s="45" t="s">
        <v>13</v>
      </c>
    </row>
    <row r="488" spans="2:14">
      <c r="B488" s="41" t="s">
        <v>23</v>
      </c>
      <c r="C488" s="41" t="s">
        <v>226</v>
      </c>
      <c r="D488" s="41" t="str">
        <f>+UPPER('0. Instruções'!$D$33&amp;"."&amp;VLOOKUP(B488,'0. Instruções'!$C$27:$D$31,2,FALSE))</f>
        <v>BU_LOANTAPE_WORK.LT003_ENTITY</v>
      </c>
      <c r="E488" s="41" t="str">
        <f>+UPPER('0. Instruções'!$D$34&amp;"."&amp;VLOOKUP(B488,'0. Instruções'!$C$27:$E$31,3,FALSE))</f>
        <v>BU_LOANTAPE_WORK.LT003_ENTTY_P3_NOV24</v>
      </c>
      <c r="F488" s="41" t="s">
        <v>101</v>
      </c>
      <c r="G488" s="41" t="s">
        <v>210</v>
      </c>
      <c r="H488" s="41"/>
      <c r="I488" s="41" t="str">
        <f>"(SELECT "&amp;VLOOKUP(B488,'0. Instruções'!$C$27:$G$31,4,FALSE)&amp;", "&amp;F488&amp;" FROM "&amp;D488&amp;" WHERE "&amp;'0. Instruções'!$D$40&amp;")X"</f>
        <v>(SELECT entty_id, TXNMY_ELGBL_TRNVR_CCM FROM BU_LOANTAPE_WORK.LT003_ENTITY WHERE ref_date='${ref_date}' AND nome_perimetro='Individual Corporativo' AND segmento='ESTR' AND ambito='PILAR3')X</v>
      </c>
      <c r="J488" s="41" t="str">
        <f>"(SELECT "&amp;VLOOKUP(B488,'0. Instruções'!$C$27:$G$31,4,FALSE)&amp;" AS "&amp;VLOOKUP(B488,'0. Instruções'!$C$27:$G$31,4,FALSE)&amp;"_SIMUL, "&amp;F488&amp;" AS "&amp;F488&amp;"_SIMUL FROM "&amp;E488&amp;")Y"</f>
        <v>(SELECT entty_id AS entty_id_SIMUL, TXNMY_ELGBL_TRNVR_CCM AS TXNMY_ELGBL_TRNVR_CCM_SIMUL FROM BU_LOANTAPE_WORK.LT003_ENTTY_P3_NOV24)Y</v>
      </c>
      <c r="K488" s="42" t="str">
        <f>+UPPER("ON X."&amp;VLOOKUP(B488,'0. Instruções'!$C$27:$G$31,4,FALSE)&amp;"=Y."&amp;VLOOKUP(B488,'0. Instruções'!$C$27:$G$31,4,FALSE)&amp;"_SIMUL")</f>
        <v>ON X.ENTTY_ID=Y.ENTTY_ID_SIMUL</v>
      </c>
      <c r="L488" s="42" t="str">
        <f>+IF(C488="Coerência", +IF(LEFT(G488,5)="FLOAT","SELECT '"&amp;UPPER(B488)&amp;"' AS TABELA, '"&amp;UPPER(C488)&amp;"' AS TIPOLOGIA_TESTE,'"&amp;D488&amp;"' AS TABELA_LT,'"&amp;E488&amp;"' AS TABELA_SIMUL,'"&amp;F488&amp;"' AS CAMPO, "&amp;"'${ref_date}' AS REF_DATE, COUNT(*) AS NUM_REG, SUM(IF((ABS(COALESCE(X."&amp;F488&amp;",0)-COALESCE(Y."&amp;F488&amp;"_SIMUL,0))&gt;0.0000000001) OR (X."&amp;F488&amp;" IS NULL AND Y."&amp;F488&amp;"_SIMUL IS NOT NULL ) OR (X."&amp;F488&amp;" IS NOT NULL AND Y."&amp;F488&amp;"_SIMUL IS NULL),1,0)) AS NUM_REG_DIF,'"&amp;MAX('ID1&amp;5'!K:K)+1&amp;"' AS ID_EXEC, CURRENT_TIMESTAMP() AS TIME_EXEC FROM "&amp;I488&amp;" INNER JOIN "&amp;J488&amp;" "&amp;K488,"SELECT '"&amp;UPPER(B488)&amp;"' AS TABELA, '"&amp;UPPER(C488)&amp;"' AS TIPOLOGIA_TESTE,'"&amp;D488&amp;"' AS TABELA_LT,'"&amp;E488&amp;"' AS TABELA_SIMUL,'"&amp;F488&amp;"' AS CAMPO, "&amp;"'${ref_date}' AS REF_DATE, COUNT(*) AS NUM_REG, SUM(IF(COALESCE(CAST(X."&amp;F488&amp;" AS STRING),'')&lt;&gt;COALESCE(CAST(Y."&amp;F488&amp;"_SIMUL AS STRING),''),1,0)) AS NUM_REG_DIF,'"&amp;MAX('ID1&amp;5'!L:L)+1&amp;"' AS ID_EXEC, CURRENT_TIMESTAMP() AS TIME_EXEC FROM "&amp;I488&amp;" INNER JOIN "&amp;J488&amp;" "&amp;K488),
IF(C488="Validade",+IF(G488="Code List","SELECT '"&amp;UPPER(B488)&amp;"' AS TABELA, '"&amp;UPPER(C488)&amp;"' AS TIPOLOGIA_TESTE,'"&amp;D488&amp;"' AS TABELA_LT,'N/A' AS TABELA_SIMUL,'"&amp;F488&amp;"' AS CAMPO, "&amp;"'${ref_date}' AS REF_DATE, COUNT(*) AS NUM_REG, SUM(IF(TRIM(CAST(X."&amp;F488&amp;" AS STRING))='' OR TRIM(CAST(X."&amp;F488&amp;" AS STRING)) IS NULL OR CAST(X."&amp;F488&amp;" AS STRING) NOT "&amp;H488&amp;",1,0)) AS NUM_REG_DIF,'"&amp;MAX('ID1&amp;5'!K:K)+1&amp;"' AS ID_EXEC, CURRENT_TIMESTAMP() AS TIME_EXEC FROM "&amp;I488,"SELECT '"&amp;UPPER(B488)&amp;"' AS TABELA, '"&amp;UPPER(C488)&amp;"' AS TIPOLOGIA_TESTE,'"&amp;D488&amp;"' AS TABELA_LT,'N/A' AS TABELA_SIMUL,'"&amp;F488&amp;"' AS CAMPO, "&amp;"'${ref_date}' AS REF_DATE, COUNT(*) AS NUM_REG, SUM(IF(TRIM(CAST(X."&amp;F488&amp;" AS STRING))='' OR TRIM(CAST(X."&amp;F488&amp;" AS STRING)) IS NULL,1,0)) AS NUM_REG_DIF,'"&amp;MAX('ID1&amp;5'!K:K)+1&amp;"' AS ID_EXEC, CURRENT_TIMESTAMP() AS TIME_EXEC FROM "&amp;I488),
IF(C488="Caracteres Especiais",+"SELECT '"&amp;UPPER(B488)&amp;"' AS TABELA, '"&amp;UPPER(C488)&amp;"' AS TIPOLOGIA_TESTE,'"&amp;D488&amp;"' AS TABELA_LT,'N/A' AS TABELA_SIMUL,'"&amp;F488&amp;"' AS CAMPO, "&amp;"'${ref_date}' AS REF_DATE, COUNT(*) AS NUM_REG, SUM(IF(INSTR(CAST(X."&amp;F488&amp;" AS STRING),'#')&gt;0 OR INSTR(CAST(X."&amp;F488&amp;" AS STRING),'*')&gt;0 OR INSTR(CAST(X."&amp;F488&amp;" AS STRING),'`')&gt;0 OR INSTR(CAST(X."&amp;F488&amp;" AS STRING),'´')&gt;0 OR INSTR(CAST(X."&amp;F488&amp;" AS STRING),'{')&gt;0 OR INSTR(CAST(X."&amp;F488&amp;" AS STRING),'}')&gt;0 OR INSTR(CAST(X."&amp;F488&amp;" AS STRING),'[')&gt;0 OR INSTR(CAST(X."&amp;F488&amp;" AS STRING),'')&gt;0 OR INSTR(CAST(X."&amp;F488&amp;" AS STRING),']')&gt;0 OR INSTR(CAST(X."&amp;F488&amp;" AS STRING),'?')&gt;0 OR INSTR(CAST(X."&amp;F488&amp;" AS STRING),'!')&gt;0 OR INSTR(CAST(X."&amp;F488&amp;" AS STRING),'$')&gt;0 OR INSTR(CAST(X."&amp;F488&amp;" AS STRING),'%')&gt;0 OR INSTR(CAST(X."&amp;F488&amp;" AS STRING),'&amp;')&gt;0 OR INSTR(CAST(X."&amp;F488&amp;" AS STRING),'+')&gt;0,1,0)) AS NUM_REG_DIF,'"&amp;MAX('ID1&amp;5'!K:K)+1&amp;"' AS ID_EXEC, CURRENT_TIMESTAMP() AS TIME_EXEC FROM "&amp;I488,
IF(C488="Missings",+"SELECT '"&amp;UPPER(B488)&amp;"' AS TABELA, '"&amp;UPPER(C488)&amp;"' AS TIPOLOGIA_TESTE,'"&amp;D488&amp;"' AS TABELA_LT,'N/A' AS TABELA_SIMUL,'"&amp;F488&amp;"' AS CAMPO, "&amp;"'${ref_date}' AS REF_DATE, COUNT(*) AS NUM_REG, SUM(IF(TRIM(CAST(X."&amp;F488&amp;" AS STRING)) IN ('0000-00-00','0001-01-01','9999-12-31','MISS','00000','99999999999','99999999999.00','99999999999.000000'),1,0)) AS NUM_REG_DIF,'"&amp;MAX('ID1&amp;5'!K:K)+1&amp;"' AS ID_EXEC, CURRENT_TIMESTAMP() AS TIME_EXEC FROM "&amp;I488,
IF(C488="Not applicable",+"SELECT '"&amp;UPPER(B488)&amp;"' AS TABELA, '"&amp;UPPER(C488)&amp;"' AS TIPOLOGIA_TESTE,'"&amp;D488&amp;"' AS TABELA_LT,'N/A' AS TABELA_SIMUL,'"&amp;F488&amp;"' AS CAMPO, "&amp;"'${ref_date}' AS REF_DATE, COUNT(*) AS NUM_REG, SUM(IF(TRIM(CAST(X."&amp;F488&amp;" AS STRING)) IN ('N/A','11111111111','11111111111.00','11111111111.000000','1111-11-11'),1,0)) AS NUM_REG_DIF,'"&amp;MAX('ID1&amp;5'!K:K)+1&amp;"' AS ID_EXEC, CURRENT_TIMESTAMP() AS TIME_EXEC FROM "&amp;I488,
IF(C488="Valores extremos",+"SELECT '"&amp;UPPER(B488)&amp;"' AS TABELA, '"&amp;UPPER(C488)&amp;"' AS TIPOLOGIA_TESTE,'"&amp;D488&amp;"' AS TABELA_LT,'N/A' AS TABELA_SIMUL,'"&amp;F488&amp;"' AS CAMPO, "&amp;"'${ref_date}' AS REF_DATE, CAST(MIN("&amp;F488&amp;") AS STRING) AS VALOR_MIN, CAST(MAX("&amp;F488&amp;") AS STRING) AS VALOR_MAX,'"&amp;MAX('ID1&amp;5'!K:K)+1&amp;"' AS ID_EXEC, CURRENT_TIMESTAMP() AS TIME_EXEC FROM "&amp;MID(I488,1,LEN(I488)-2)&amp;" AND CAST("&amp;F488&amp;"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TABELA_SIMUL,'TXNMY_ELGBL_TRNVR_CCM' AS CAMPO, '${ref_date}' AS REF_DATE, CAST(MIN(TXNMY_ELGBL_TRNVR_CCM) AS STRING) AS VALOR_MIN, CAST(MAX(TXNMY_ELGBL_TRNVR_CCM) AS STRING) AS VALOR_MAX,'10' AS ID_EXEC, CURRENT_TIMESTAMP() AS TIME_EXEC FROM (SELECT entty_id, TXNMY_ELGBL_TRNVR_CCM FROM BU_LOANTAPE_WORK.LT003_ENTITY WHERE ref_date='${ref_date}' AND nome_perimetro='Individual Corporativo' AND segmento='ESTR' AND ambito='PILAR3' AND CAST(TXNMY_ELGBL_TRNVR_CCM AS STRING) NOT IN ('0000-00-00','0001-01-01','9999-12-31','MISS','00000','99999999999','99999999999.00','99999999999.000000','N/A','11111111111','11111111111.00','11111111111.000000','1111-11-11'))X</v>
      </c>
      <c r="M488" s="43" t="str">
        <f t="shared" si="8"/>
        <v>UNION ALL SELECT 'ENTITY' AS TABELA, 'VALORES EXTREMOS' AS TIPOLOGIA_TESTE,'BU_LOANTAPE_WORK.LT003_ENTITY' AS TABELA_LT,'N/A' AS TABELA_SIMUL,'TXNMY_ELGBL_TRNVR_CCM' AS CAMPO, '${ref_date}' AS REF_DATE, CAST(MIN(TXNMY_ELGBL_TRNVR_CCM) AS STRING) AS VALOR_MIN, CAST(MAX(TXNMY_ELGBL_TRNVR_CCM) AS STRING) AS VALOR_MAX,'10' AS ID_EXEC, CURRENT_TIMESTAMP() AS TIME_EXEC FROM (SELECT entty_id, TXNMY_ELGBL_TRNVR_CCM FROM BU_LOANTAPE_WORK.LT003_ENTITY WHERE ref_date='${ref_date}' AND nome_perimetro='Individual Corporativo' AND segmento='ESTR' AND ambito='PILAR3' AND CAST(TXNMY_ELGBL_TRNVR_CCM AS STRING) NOT IN ('0000-00-00','0001-01-01','9999-12-31','MISS','00000','99999999999','99999999999.00','99999999999.000000','N/A','11111111111','11111111111.00','11111111111.000000','1111-11-11'))X</v>
      </c>
      <c r="N488" s="45" t="s">
        <v>13</v>
      </c>
    </row>
    <row r="489" spans="2:14">
      <c r="B489" s="41" t="s">
        <v>23</v>
      </c>
      <c r="C489" s="41" t="s">
        <v>226</v>
      </c>
      <c r="D489" s="41" t="str">
        <f>+UPPER('0. Instruções'!$D$33&amp;"."&amp;VLOOKUP(B489,'0. Instruções'!$C$27:$D$31,2,FALSE))</f>
        <v>BU_LOANTAPE_WORK.LT003_ENTITY</v>
      </c>
      <c r="E489" s="41" t="str">
        <f>+UPPER('0. Instruções'!$D$34&amp;"."&amp;VLOOKUP(B489,'0. Instruções'!$C$27:$E$31,3,FALSE))</f>
        <v>BU_LOANTAPE_WORK.LT003_ENTTY_P3_NOV24</v>
      </c>
      <c r="F489" s="41" t="s">
        <v>104</v>
      </c>
      <c r="G489" s="41" t="s">
        <v>210</v>
      </c>
      <c r="H489" s="41"/>
      <c r="I489" s="41" t="str">
        <f>"(SELECT "&amp;VLOOKUP(B489,'0. Instruções'!$C$27:$G$31,4,FALSE)&amp;", "&amp;F489&amp;" FROM "&amp;D489&amp;" WHERE "&amp;'0. Instruções'!$D$40&amp;")X"</f>
        <v>(SELECT entty_id, TXNMY_ELGBL_CAPEX_CCA FROM BU_LOANTAPE_WORK.LT003_ENTITY WHERE ref_date='${ref_date}' AND nome_perimetro='Individual Corporativo' AND segmento='ESTR' AND ambito='PILAR3')X</v>
      </c>
      <c r="J489" s="41" t="str">
        <f>"(SELECT "&amp;VLOOKUP(B489,'0. Instruções'!$C$27:$G$31,4,FALSE)&amp;" AS "&amp;VLOOKUP(B489,'0. Instruções'!$C$27:$G$31,4,FALSE)&amp;"_SIMUL, "&amp;F489&amp;" AS "&amp;F489&amp;"_SIMUL FROM "&amp;E489&amp;")Y"</f>
        <v>(SELECT entty_id AS entty_id_SIMUL, TXNMY_ELGBL_CAPEX_CCA AS TXNMY_ELGBL_CAPEX_CCA_SIMUL FROM BU_LOANTAPE_WORK.LT003_ENTTY_P3_NOV24)Y</v>
      </c>
      <c r="K489" s="42" t="str">
        <f>+UPPER("ON X."&amp;VLOOKUP(B489,'0. Instruções'!$C$27:$G$31,4,FALSE)&amp;"=Y."&amp;VLOOKUP(B489,'0. Instruções'!$C$27:$G$31,4,FALSE)&amp;"_SIMUL")</f>
        <v>ON X.ENTTY_ID=Y.ENTTY_ID_SIMUL</v>
      </c>
      <c r="L489" s="42" t="str">
        <f>+IF(C489="Coerência", +IF(LEFT(G489,5)="FLOAT","SELECT '"&amp;UPPER(B489)&amp;"' AS TABELA, '"&amp;UPPER(C489)&amp;"' AS TIPOLOGIA_TESTE,'"&amp;D489&amp;"' AS TABELA_LT,'"&amp;E489&amp;"' AS TABELA_SIMUL,'"&amp;F489&amp;"' AS CAMPO, "&amp;"'${ref_date}' AS REF_DATE, COUNT(*) AS NUM_REG, SUM(IF((ABS(COALESCE(X."&amp;F489&amp;",0)-COALESCE(Y."&amp;F489&amp;"_SIMUL,0))&gt;0.0000000001) OR (X."&amp;F489&amp;" IS NULL AND Y."&amp;F489&amp;"_SIMUL IS NOT NULL ) OR (X."&amp;F489&amp;" IS NOT NULL AND Y."&amp;F489&amp;"_SIMUL IS NULL),1,0)) AS NUM_REG_DIF,'"&amp;MAX('ID1&amp;5'!K:K)+1&amp;"' AS ID_EXEC, CURRENT_TIMESTAMP() AS TIME_EXEC FROM "&amp;I489&amp;" INNER JOIN "&amp;J489&amp;" "&amp;K489,"SELECT '"&amp;UPPER(B489)&amp;"' AS TABELA, '"&amp;UPPER(C489)&amp;"' AS TIPOLOGIA_TESTE,'"&amp;D489&amp;"' AS TABELA_LT,'"&amp;E489&amp;"' AS TABELA_SIMUL,'"&amp;F489&amp;"' AS CAMPO, "&amp;"'${ref_date}' AS REF_DATE, COUNT(*) AS NUM_REG, SUM(IF(COALESCE(CAST(X."&amp;F489&amp;" AS STRING),'')&lt;&gt;COALESCE(CAST(Y."&amp;F489&amp;"_SIMUL AS STRING),''),1,0)) AS NUM_REG_DIF,'"&amp;MAX('ID1&amp;5'!L:L)+1&amp;"' AS ID_EXEC, CURRENT_TIMESTAMP() AS TIME_EXEC FROM "&amp;I489&amp;" INNER JOIN "&amp;J489&amp;" "&amp;K489),
IF(C489="Validade",+IF(G489="Code List","SELECT '"&amp;UPPER(B489)&amp;"' AS TABELA, '"&amp;UPPER(C489)&amp;"' AS TIPOLOGIA_TESTE,'"&amp;D489&amp;"' AS TABELA_LT,'N/A' AS TABELA_SIMUL,'"&amp;F489&amp;"' AS CAMPO, "&amp;"'${ref_date}' AS REF_DATE, COUNT(*) AS NUM_REG, SUM(IF(TRIM(CAST(X."&amp;F489&amp;" AS STRING))='' OR TRIM(CAST(X."&amp;F489&amp;" AS STRING)) IS NULL OR CAST(X."&amp;F489&amp;" AS STRING) NOT "&amp;H489&amp;",1,0)) AS NUM_REG_DIF,'"&amp;MAX('ID1&amp;5'!K:K)+1&amp;"' AS ID_EXEC, CURRENT_TIMESTAMP() AS TIME_EXEC FROM "&amp;I489,"SELECT '"&amp;UPPER(B489)&amp;"' AS TABELA, '"&amp;UPPER(C489)&amp;"' AS TIPOLOGIA_TESTE,'"&amp;D489&amp;"' AS TABELA_LT,'N/A' AS TABELA_SIMUL,'"&amp;F489&amp;"' AS CAMPO, "&amp;"'${ref_date}' AS REF_DATE, COUNT(*) AS NUM_REG, SUM(IF(TRIM(CAST(X."&amp;F489&amp;" AS STRING))='' OR TRIM(CAST(X."&amp;F489&amp;" AS STRING)) IS NULL,1,0)) AS NUM_REG_DIF,'"&amp;MAX('ID1&amp;5'!K:K)+1&amp;"' AS ID_EXEC, CURRENT_TIMESTAMP() AS TIME_EXEC FROM "&amp;I489),
IF(C489="Caracteres Especiais",+"SELECT '"&amp;UPPER(B489)&amp;"' AS TABELA, '"&amp;UPPER(C489)&amp;"' AS TIPOLOGIA_TESTE,'"&amp;D489&amp;"' AS TABELA_LT,'N/A' AS TABELA_SIMUL,'"&amp;F489&amp;"' AS CAMPO, "&amp;"'${ref_date}' AS REF_DATE, COUNT(*) AS NUM_REG, SUM(IF(INSTR(CAST(X."&amp;F489&amp;" AS STRING),'#')&gt;0 OR INSTR(CAST(X."&amp;F489&amp;" AS STRING),'*')&gt;0 OR INSTR(CAST(X."&amp;F489&amp;" AS STRING),'`')&gt;0 OR INSTR(CAST(X."&amp;F489&amp;" AS STRING),'´')&gt;0 OR INSTR(CAST(X."&amp;F489&amp;" AS STRING),'{')&gt;0 OR INSTR(CAST(X."&amp;F489&amp;" AS STRING),'}')&gt;0 OR INSTR(CAST(X."&amp;F489&amp;" AS STRING),'[')&gt;0 OR INSTR(CAST(X."&amp;F489&amp;" AS STRING),'')&gt;0 OR INSTR(CAST(X."&amp;F489&amp;" AS STRING),']')&gt;0 OR INSTR(CAST(X."&amp;F489&amp;" AS STRING),'?')&gt;0 OR INSTR(CAST(X."&amp;F489&amp;" AS STRING),'!')&gt;0 OR INSTR(CAST(X."&amp;F489&amp;" AS STRING),'$')&gt;0 OR INSTR(CAST(X."&amp;F489&amp;" AS STRING),'%')&gt;0 OR INSTR(CAST(X."&amp;F489&amp;" AS STRING),'&amp;')&gt;0 OR INSTR(CAST(X."&amp;F489&amp;" AS STRING),'+')&gt;0,1,0)) AS NUM_REG_DIF,'"&amp;MAX('ID1&amp;5'!K:K)+1&amp;"' AS ID_EXEC, CURRENT_TIMESTAMP() AS TIME_EXEC FROM "&amp;I489,
IF(C489="Missings",+"SELECT '"&amp;UPPER(B489)&amp;"' AS TABELA, '"&amp;UPPER(C489)&amp;"' AS TIPOLOGIA_TESTE,'"&amp;D489&amp;"' AS TABELA_LT,'N/A' AS TABELA_SIMUL,'"&amp;F489&amp;"' AS CAMPO, "&amp;"'${ref_date}' AS REF_DATE, COUNT(*) AS NUM_REG, SUM(IF(TRIM(CAST(X."&amp;F489&amp;" AS STRING)) IN ('0000-00-00','0001-01-01','9999-12-31','MISS','00000','99999999999','99999999999.00','99999999999.000000'),1,0)) AS NUM_REG_DIF,'"&amp;MAX('ID1&amp;5'!K:K)+1&amp;"' AS ID_EXEC, CURRENT_TIMESTAMP() AS TIME_EXEC FROM "&amp;I489,
IF(C489="Not applicable",+"SELECT '"&amp;UPPER(B489)&amp;"' AS TABELA, '"&amp;UPPER(C489)&amp;"' AS TIPOLOGIA_TESTE,'"&amp;D489&amp;"' AS TABELA_LT,'N/A' AS TABELA_SIMUL,'"&amp;F489&amp;"' AS CAMPO, "&amp;"'${ref_date}' AS REF_DATE, COUNT(*) AS NUM_REG, SUM(IF(TRIM(CAST(X."&amp;F489&amp;" AS STRING)) IN ('N/A','11111111111','11111111111.00','11111111111.000000','1111-11-11'),1,0)) AS NUM_REG_DIF,'"&amp;MAX('ID1&amp;5'!K:K)+1&amp;"' AS ID_EXEC, CURRENT_TIMESTAMP() AS TIME_EXEC FROM "&amp;I489,
IF(C489="Valores extremos",+"SELECT '"&amp;UPPER(B489)&amp;"' AS TABELA, '"&amp;UPPER(C489)&amp;"' AS TIPOLOGIA_TESTE,'"&amp;D489&amp;"' AS TABELA_LT,'N/A' AS TABELA_SIMUL,'"&amp;F489&amp;"' AS CAMPO, "&amp;"'${ref_date}' AS REF_DATE, CAST(MIN("&amp;F489&amp;") AS STRING) AS VALOR_MIN, CAST(MAX("&amp;F489&amp;") AS STRING) AS VALOR_MAX,'"&amp;MAX('ID1&amp;5'!K:K)+1&amp;"' AS ID_EXEC, CURRENT_TIMESTAMP() AS TIME_EXEC FROM "&amp;MID(I489,1,LEN(I489)-2)&amp;" AND CAST("&amp;F489&amp;"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TABELA_SIMUL,'TXNMY_ELGBL_CAPEX_CCA' AS CAMPO, '${ref_date}' AS REF_DATE, CAST(MIN(TXNMY_ELGBL_CAPEX_CCA) AS STRING) AS VALOR_MIN, CAST(MAX(TXNMY_ELGBL_CAPEX_CCA) AS STRING) AS VALOR_MAX,'10' AS ID_EXEC, CURRENT_TIMESTAMP() AS TIME_EXEC FROM (SELECT entty_id, TXNMY_ELGBL_CAPEX_CCA FROM BU_LOANTAPE_WORK.LT003_ENTITY WHERE ref_date='${ref_date}' AND nome_perimetro='Individual Corporativo' AND segmento='ESTR' AND ambito='PILAR3' AND CAST(TXNMY_ELGBL_CAPEX_CCA AS STRING) NOT IN ('0000-00-00','0001-01-01','9999-12-31','MISS','00000','99999999999','99999999999.00','99999999999.000000','N/A','11111111111','11111111111.00','11111111111.000000','1111-11-11'))X</v>
      </c>
      <c r="M489" s="43" t="str">
        <f t="shared" si="8"/>
        <v>UNION ALL SELECT 'ENTITY' AS TABELA, 'VALORES EXTREMOS' AS TIPOLOGIA_TESTE,'BU_LOANTAPE_WORK.LT003_ENTITY' AS TABELA_LT,'N/A' AS TABELA_SIMUL,'TXNMY_ELGBL_CAPEX_CCA' AS CAMPO, '${ref_date}' AS REF_DATE, CAST(MIN(TXNMY_ELGBL_CAPEX_CCA) AS STRING) AS VALOR_MIN, CAST(MAX(TXNMY_ELGBL_CAPEX_CCA) AS STRING) AS VALOR_MAX,'10' AS ID_EXEC, CURRENT_TIMESTAMP() AS TIME_EXEC FROM (SELECT entty_id, TXNMY_ELGBL_CAPEX_CCA FROM BU_LOANTAPE_WORK.LT003_ENTITY WHERE ref_date='${ref_date}' AND nome_perimetro='Individual Corporativo' AND segmento='ESTR' AND ambito='PILAR3' AND CAST(TXNMY_ELGBL_CAPEX_CCA AS STRING) NOT IN ('0000-00-00','0001-01-01','9999-12-31','MISS','00000','99999999999','99999999999.00','99999999999.000000','N/A','11111111111','11111111111.00','11111111111.000000','1111-11-11'))X</v>
      </c>
      <c r="N489" s="45" t="s">
        <v>13</v>
      </c>
    </row>
    <row r="490" spans="2:14">
      <c r="B490" s="41" t="s">
        <v>23</v>
      </c>
      <c r="C490" s="41" t="s">
        <v>226</v>
      </c>
      <c r="D490" s="41" t="str">
        <f>+UPPER('0. Instruções'!$D$33&amp;"."&amp;VLOOKUP(B490,'0. Instruções'!$C$27:$D$31,2,FALSE))</f>
        <v>BU_LOANTAPE_WORK.LT003_ENTITY</v>
      </c>
      <c r="E490" s="41" t="str">
        <f>+UPPER('0. Instruções'!$D$34&amp;"."&amp;VLOOKUP(B490,'0. Instruções'!$C$27:$E$31,3,FALSE))</f>
        <v>BU_LOANTAPE_WORK.LT003_ENTTY_P3_NOV24</v>
      </c>
      <c r="F490" s="41" t="s">
        <v>105</v>
      </c>
      <c r="G490" s="41" t="s">
        <v>210</v>
      </c>
      <c r="H490" s="41"/>
      <c r="I490" s="41" t="str">
        <f>"(SELECT "&amp;VLOOKUP(B490,'0. Instruções'!$C$27:$G$31,4,FALSE)&amp;", "&amp;F490&amp;" FROM "&amp;D490&amp;" WHERE "&amp;'0. Instruções'!$D$40&amp;")X"</f>
        <v>(SELECT entty_id, TXNMY_ELGBL_TRNVR_CCA FROM BU_LOANTAPE_WORK.LT003_ENTITY WHERE ref_date='${ref_date}' AND nome_perimetro='Individual Corporativo' AND segmento='ESTR' AND ambito='PILAR3')X</v>
      </c>
      <c r="J490" s="41" t="str">
        <f>"(SELECT "&amp;VLOOKUP(B490,'0. Instruções'!$C$27:$G$31,4,FALSE)&amp;" AS "&amp;VLOOKUP(B490,'0. Instruções'!$C$27:$G$31,4,FALSE)&amp;"_SIMUL, "&amp;F490&amp;" AS "&amp;F490&amp;"_SIMUL FROM "&amp;E490&amp;")Y"</f>
        <v>(SELECT entty_id AS entty_id_SIMUL, TXNMY_ELGBL_TRNVR_CCA AS TXNMY_ELGBL_TRNVR_CCA_SIMUL FROM BU_LOANTAPE_WORK.LT003_ENTTY_P3_NOV24)Y</v>
      </c>
      <c r="K490" s="42" t="str">
        <f>+UPPER("ON X."&amp;VLOOKUP(B490,'0. Instruções'!$C$27:$G$31,4,FALSE)&amp;"=Y."&amp;VLOOKUP(B490,'0. Instruções'!$C$27:$G$31,4,FALSE)&amp;"_SIMUL")</f>
        <v>ON X.ENTTY_ID=Y.ENTTY_ID_SIMUL</v>
      </c>
      <c r="L490" s="42" t="str">
        <f>+IF(C490="Coerência", +IF(LEFT(G490,5)="FLOAT","SELECT '"&amp;UPPER(B490)&amp;"' AS TABELA, '"&amp;UPPER(C490)&amp;"' AS TIPOLOGIA_TESTE,'"&amp;D490&amp;"' AS TABELA_LT,'"&amp;E490&amp;"' AS TABELA_SIMUL,'"&amp;F490&amp;"' AS CAMPO, "&amp;"'${ref_date}' AS REF_DATE, COUNT(*) AS NUM_REG, SUM(IF((ABS(COALESCE(X."&amp;F490&amp;",0)-COALESCE(Y."&amp;F490&amp;"_SIMUL,0))&gt;0.0000000001) OR (X."&amp;F490&amp;" IS NULL AND Y."&amp;F490&amp;"_SIMUL IS NOT NULL ) OR (X."&amp;F490&amp;" IS NOT NULL AND Y."&amp;F490&amp;"_SIMUL IS NULL),1,0)) AS NUM_REG_DIF,'"&amp;MAX('ID1&amp;5'!K:K)+1&amp;"' AS ID_EXEC, CURRENT_TIMESTAMP() AS TIME_EXEC FROM "&amp;I490&amp;" INNER JOIN "&amp;J490&amp;" "&amp;K490,"SELECT '"&amp;UPPER(B490)&amp;"' AS TABELA, '"&amp;UPPER(C490)&amp;"' AS TIPOLOGIA_TESTE,'"&amp;D490&amp;"' AS TABELA_LT,'"&amp;E490&amp;"' AS TABELA_SIMUL,'"&amp;F490&amp;"' AS CAMPO, "&amp;"'${ref_date}' AS REF_DATE, COUNT(*) AS NUM_REG, SUM(IF(COALESCE(CAST(X."&amp;F490&amp;" AS STRING),'')&lt;&gt;COALESCE(CAST(Y."&amp;F490&amp;"_SIMUL AS STRING),''),1,0)) AS NUM_REG_DIF,'"&amp;MAX('ID1&amp;5'!L:L)+1&amp;"' AS ID_EXEC, CURRENT_TIMESTAMP() AS TIME_EXEC FROM "&amp;I490&amp;" INNER JOIN "&amp;J490&amp;" "&amp;K490),
IF(C490="Validade",+IF(G490="Code List","SELECT '"&amp;UPPER(B490)&amp;"' AS TABELA, '"&amp;UPPER(C490)&amp;"' AS TIPOLOGIA_TESTE,'"&amp;D490&amp;"' AS TABELA_LT,'N/A' AS TABELA_SIMUL,'"&amp;F490&amp;"' AS CAMPO, "&amp;"'${ref_date}' AS REF_DATE, COUNT(*) AS NUM_REG, SUM(IF(TRIM(CAST(X."&amp;F490&amp;" AS STRING))='' OR TRIM(CAST(X."&amp;F490&amp;" AS STRING)) IS NULL OR CAST(X."&amp;F490&amp;" AS STRING) NOT "&amp;H490&amp;",1,0)) AS NUM_REG_DIF,'"&amp;MAX('ID1&amp;5'!K:K)+1&amp;"' AS ID_EXEC, CURRENT_TIMESTAMP() AS TIME_EXEC FROM "&amp;I490,"SELECT '"&amp;UPPER(B490)&amp;"' AS TABELA, '"&amp;UPPER(C490)&amp;"' AS TIPOLOGIA_TESTE,'"&amp;D490&amp;"' AS TABELA_LT,'N/A' AS TABELA_SIMUL,'"&amp;F490&amp;"' AS CAMPO, "&amp;"'${ref_date}' AS REF_DATE, COUNT(*) AS NUM_REG, SUM(IF(TRIM(CAST(X."&amp;F490&amp;" AS STRING))='' OR TRIM(CAST(X."&amp;F490&amp;" AS STRING)) IS NULL,1,0)) AS NUM_REG_DIF,'"&amp;MAX('ID1&amp;5'!K:K)+1&amp;"' AS ID_EXEC, CURRENT_TIMESTAMP() AS TIME_EXEC FROM "&amp;I490),
IF(C490="Caracteres Especiais",+"SELECT '"&amp;UPPER(B490)&amp;"' AS TABELA, '"&amp;UPPER(C490)&amp;"' AS TIPOLOGIA_TESTE,'"&amp;D490&amp;"' AS TABELA_LT,'N/A' AS TABELA_SIMUL,'"&amp;F490&amp;"' AS CAMPO, "&amp;"'${ref_date}' AS REF_DATE, COUNT(*) AS NUM_REG, SUM(IF(INSTR(CAST(X."&amp;F490&amp;" AS STRING),'#')&gt;0 OR INSTR(CAST(X."&amp;F490&amp;" AS STRING),'*')&gt;0 OR INSTR(CAST(X."&amp;F490&amp;" AS STRING),'`')&gt;0 OR INSTR(CAST(X."&amp;F490&amp;" AS STRING),'´')&gt;0 OR INSTR(CAST(X."&amp;F490&amp;" AS STRING),'{')&gt;0 OR INSTR(CAST(X."&amp;F490&amp;" AS STRING),'}')&gt;0 OR INSTR(CAST(X."&amp;F490&amp;" AS STRING),'[')&gt;0 OR INSTR(CAST(X."&amp;F490&amp;" AS STRING),'')&gt;0 OR INSTR(CAST(X."&amp;F490&amp;" AS STRING),']')&gt;0 OR INSTR(CAST(X."&amp;F490&amp;" AS STRING),'?')&gt;0 OR INSTR(CAST(X."&amp;F490&amp;" AS STRING),'!')&gt;0 OR INSTR(CAST(X."&amp;F490&amp;" AS STRING),'$')&gt;0 OR INSTR(CAST(X."&amp;F490&amp;" AS STRING),'%')&gt;0 OR INSTR(CAST(X."&amp;F490&amp;" AS STRING),'&amp;')&gt;0 OR INSTR(CAST(X."&amp;F490&amp;" AS STRING),'+')&gt;0,1,0)) AS NUM_REG_DIF,'"&amp;MAX('ID1&amp;5'!K:K)+1&amp;"' AS ID_EXEC, CURRENT_TIMESTAMP() AS TIME_EXEC FROM "&amp;I490,
IF(C490="Missings",+"SELECT '"&amp;UPPER(B490)&amp;"' AS TABELA, '"&amp;UPPER(C490)&amp;"' AS TIPOLOGIA_TESTE,'"&amp;D490&amp;"' AS TABELA_LT,'N/A' AS TABELA_SIMUL,'"&amp;F490&amp;"' AS CAMPO, "&amp;"'${ref_date}' AS REF_DATE, COUNT(*) AS NUM_REG, SUM(IF(TRIM(CAST(X."&amp;F490&amp;" AS STRING)) IN ('0000-00-00','0001-01-01','9999-12-31','MISS','00000','99999999999','99999999999.00','99999999999.000000'),1,0)) AS NUM_REG_DIF,'"&amp;MAX('ID1&amp;5'!K:K)+1&amp;"' AS ID_EXEC, CURRENT_TIMESTAMP() AS TIME_EXEC FROM "&amp;I490,
IF(C490="Not applicable",+"SELECT '"&amp;UPPER(B490)&amp;"' AS TABELA, '"&amp;UPPER(C490)&amp;"' AS TIPOLOGIA_TESTE,'"&amp;D490&amp;"' AS TABELA_LT,'N/A' AS TABELA_SIMUL,'"&amp;F490&amp;"' AS CAMPO, "&amp;"'${ref_date}' AS REF_DATE, COUNT(*) AS NUM_REG, SUM(IF(TRIM(CAST(X."&amp;F490&amp;" AS STRING)) IN ('N/A','11111111111','11111111111.00','11111111111.000000','1111-11-11'),1,0)) AS NUM_REG_DIF,'"&amp;MAX('ID1&amp;5'!K:K)+1&amp;"' AS ID_EXEC, CURRENT_TIMESTAMP() AS TIME_EXEC FROM "&amp;I490,
IF(C490="Valores extremos",+"SELECT '"&amp;UPPER(B490)&amp;"' AS TABELA, '"&amp;UPPER(C490)&amp;"' AS TIPOLOGIA_TESTE,'"&amp;D490&amp;"' AS TABELA_LT,'N/A' AS TABELA_SIMUL,'"&amp;F490&amp;"' AS CAMPO, "&amp;"'${ref_date}' AS REF_DATE, CAST(MIN("&amp;F490&amp;") AS STRING) AS VALOR_MIN, CAST(MAX("&amp;F490&amp;") AS STRING) AS VALOR_MAX,'"&amp;MAX('ID1&amp;5'!K:K)+1&amp;"' AS ID_EXEC, CURRENT_TIMESTAMP() AS TIME_EXEC FROM "&amp;MID(I490,1,LEN(I490)-2)&amp;" AND CAST("&amp;F490&amp;"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TABELA_SIMUL,'TXNMY_ELGBL_TRNVR_CCA' AS CAMPO, '${ref_date}' AS REF_DATE, CAST(MIN(TXNMY_ELGBL_TRNVR_CCA) AS STRING) AS VALOR_MIN, CAST(MAX(TXNMY_ELGBL_TRNVR_CCA) AS STRING) AS VALOR_MAX,'10' AS ID_EXEC, CURRENT_TIMESTAMP() AS TIME_EXEC FROM (SELECT entty_id, TXNMY_ELGBL_TRNVR_CCA FROM BU_LOANTAPE_WORK.LT003_ENTITY WHERE ref_date='${ref_date}' AND nome_perimetro='Individual Corporativo' AND segmento='ESTR' AND ambito='PILAR3' AND CAST(TXNMY_ELGBL_TRNVR_CCA AS STRING) NOT IN ('0000-00-00','0001-01-01','9999-12-31','MISS','00000','99999999999','99999999999.00','99999999999.000000','N/A','11111111111','11111111111.00','11111111111.000000','1111-11-11'))X</v>
      </c>
      <c r="M490" s="43" t="str">
        <f t="shared" si="8"/>
        <v>UNION ALL SELECT 'ENTITY' AS TABELA, 'VALORES EXTREMOS' AS TIPOLOGIA_TESTE,'BU_LOANTAPE_WORK.LT003_ENTITY' AS TABELA_LT,'N/A' AS TABELA_SIMUL,'TXNMY_ELGBL_TRNVR_CCA' AS CAMPO, '${ref_date}' AS REF_DATE, CAST(MIN(TXNMY_ELGBL_TRNVR_CCA) AS STRING) AS VALOR_MIN, CAST(MAX(TXNMY_ELGBL_TRNVR_CCA) AS STRING) AS VALOR_MAX,'10' AS ID_EXEC, CURRENT_TIMESTAMP() AS TIME_EXEC FROM (SELECT entty_id, TXNMY_ELGBL_TRNVR_CCA FROM BU_LOANTAPE_WORK.LT003_ENTITY WHERE ref_date='${ref_date}' AND nome_perimetro='Individual Corporativo' AND segmento='ESTR' AND ambito='PILAR3' AND CAST(TXNMY_ELGBL_TRNVR_CCA AS STRING) NOT IN ('0000-00-00','0001-01-01','9999-12-31','MISS','00000','99999999999','99999999999.00','99999999999.000000','N/A','11111111111','11111111111.00','11111111111.000000','1111-11-11'))X</v>
      </c>
      <c r="N490" s="45" t="s">
        <v>13</v>
      </c>
    </row>
    <row r="491" spans="2:14">
      <c r="B491" s="41" t="s">
        <v>23</v>
      </c>
      <c r="C491" s="41" t="s">
        <v>226</v>
      </c>
      <c r="D491" s="41" t="str">
        <f>+UPPER('0. Instruções'!$D$33&amp;"."&amp;VLOOKUP(B491,'0. Instruções'!$C$27:$D$31,2,FALSE))</f>
        <v>BU_LOANTAPE_WORK.LT003_ENTITY</v>
      </c>
      <c r="E491" s="41" t="str">
        <f>+UPPER('0. Instruções'!$D$34&amp;"."&amp;VLOOKUP(B491,'0. Instruções'!$C$27:$E$31,3,FALSE))</f>
        <v>BU_LOANTAPE_WORK.LT003_ENTTY_P3_NOV24</v>
      </c>
      <c r="F491" s="41" t="s">
        <v>106</v>
      </c>
      <c r="G491" s="41" t="s">
        <v>210</v>
      </c>
      <c r="H491" s="41"/>
      <c r="I491" s="41" t="str">
        <f>"(SELECT "&amp;VLOOKUP(B491,'0. Instruções'!$C$27:$G$31,4,FALSE)&amp;", "&amp;F491&amp;" FROM "&amp;D491&amp;" WHERE "&amp;'0. Instruções'!$D$40&amp;")X"</f>
        <v>(SELECT entty_id, ENBLNG_CAPEX_CCM FROM BU_LOANTAPE_WORK.LT003_ENTITY WHERE ref_date='${ref_date}' AND nome_perimetro='Individual Corporativo' AND segmento='ESTR' AND ambito='PILAR3')X</v>
      </c>
      <c r="J491" s="41" t="str">
        <f>"(SELECT "&amp;VLOOKUP(B491,'0. Instruções'!$C$27:$G$31,4,FALSE)&amp;" AS "&amp;VLOOKUP(B491,'0. Instruções'!$C$27:$G$31,4,FALSE)&amp;"_SIMUL, "&amp;F491&amp;" AS "&amp;F491&amp;"_SIMUL FROM "&amp;E491&amp;")Y"</f>
        <v>(SELECT entty_id AS entty_id_SIMUL, ENBLNG_CAPEX_CCM AS ENBLNG_CAPEX_CCM_SIMUL FROM BU_LOANTAPE_WORK.LT003_ENTTY_P3_NOV24)Y</v>
      </c>
      <c r="K491" s="42" t="str">
        <f>+UPPER("ON X."&amp;VLOOKUP(B491,'0. Instruções'!$C$27:$G$31,4,FALSE)&amp;"=Y."&amp;VLOOKUP(B491,'0. Instruções'!$C$27:$G$31,4,FALSE)&amp;"_SIMUL")</f>
        <v>ON X.ENTTY_ID=Y.ENTTY_ID_SIMUL</v>
      </c>
      <c r="L491" s="42" t="str">
        <f>+IF(C491="Coerência", +IF(LEFT(G491,5)="FLOAT","SELECT '"&amp;UPPER(B491)&amp;"' AS TABELA, '"&amp;UPPER(C491)&amp;"' AS TIPOLOGIA_TESTE,'"&amp;D491&amp;"' AS TABELA_LT,'"&amp;E491&amp;"' AS TABELA_SIMUL,'"&amp;F491&amp;"' AS CAMPO, "&amp;"'${ref_date}' AS REF_DATE, COUNT(*) AS NUM_REG, SUM(IF((ABS(COALESCE(X."&amp;F491&amp;",0)-COALESCE(Y."&amp;F491&amp;"_SIMUL,0))&gt;0.0000000001) OR (X."&amp;F491&amp;" IS NULL AND Y."&amp;F491&amp;"_SIMUL IS NOT NULL ) OR (X."&amp;F491&amp;" IS NOT NULL AND Y."&amp;F491&amp;"_SIMUL IS NULL),1,0)) AS NUM_REG_DIF,'"&amp;MAX('ID1&amp;5'!K:K)+1&amp;"' AS ID_EXEC, CURRENT_TIMESTAMP() AS TIME_EXEC FROM "&amp;I491&amp;" INNER JOIN "&amp;J491&amp;" "&amp;K491,"SELECT '"&amp;UPPER(B491)&amp;"' AS TABELA, '"&amp;UPPER(C491)&amp;"' AS TIPOLOGIA_TESTE,'"&amp;D491&amp;"' AS TABELA_LT,'"&amp;E491&amp;"' AS TABELA_SIMUL,'"&amp;F491&amp;"' AS CAMPO, "&amp;"'${ref_date}' AS REF_DATE, COUNT(*) AS NUM_REG, SUM(IF(COALESCE(CAST(X."&amp;F491&amp;" AS STRING),'')&lt;&gt;COALESCE(CAST(Y."&amp;F491&amp;"_SIMUL AS STRING),''),1,0)) AS NUM_REG_DIF,'"&amp;MAX('ID1&amp;5'!L:L)+1&amp;"' AS ID_EXEC, CURRENT_TIMESTAMP() AS TIME_EXEC FROM "&amp;I491&amp;" INNER JOIN "&amp;J491&amp;" "&amp;K491),
IF(C491="Validade",+IF(G491="Code List","SELECT '"&amp;UPPER(B491)&amp;"' AS TABELA, '"&amp;UPPER(C491)&amp;"' AS TIPOLOGIA_TESTE,'"&amp;D491&amp;"' AS TABELA_LT,'N/A' AS TABELA_SIMUL,'"&amp;F491&amp;"' AS CAMPO, "&amp;"'${ref_date}' AS REF_DATE, COUNT(*) AS NUM_REG, SUM(IF(TRIM(CAST(X."&amp;F491&amp;" AS STRING))='' OR TRIM(CAST(X."&amp;F491&amp;" AS STRING)) IS NULL OR CAST(X."&amp;F491&amp;" AS STRING) NOT "&amp;H491&amp;",1,0)) AS NUM_REG_DIF,'"&amp;MAX('ID1&amp;5'!K:K)+1&amp;"' AS ID_EXEC, CURRENT_TIMESTAMP() AS TIME_EXEC FROM "&amp;I491,"SELECT '"&amp;UPPER(B491)&amp;"' AS TABELA, '"&amp;UPPER(C491)&amp;"' AS TIPOLOGIA_TESTE,'"&amp;D491&amp;"' AS TABELA_LT,'N/A' AS TABELA_SIMUL,'"&amp;F491&amp;"' AS CAMPO, "&amp;"'${ref_date}' AS REF_DATE, COUNT(*) AS NUM_REG, SUM(IF(TRIM(CAST(X."&amp;F491&amp;" AS STRING))='' OR TRIM(CAST(X."&amp;F491&amp;" AS STRING)) IS NULL,1,0)) AS NUM_REG_DIF,'"&amp;MAX('ID1&amp;5'!K:K)+1&amp;"' AS ID_EXEC, CURRENT_TIMESTAMP() AS TIME_EXEC FROM "&amp;I491),
IF(C491="Caracteres Especiais",+"SELECT '"&amp;UPPER(B491)&amp;"' AS TABELA, '"&amp;UPPER(C491)&amp;"' AS TIPOLOGIA_TESTE,'"&amp;D491&amp;"' AS TABELA_LT,'N/A' AS TABELA_SIMUL,'"&amp;F491&amp;"' AS CAMPO, "&amp;"'${ref_date}' AS REF_DATE, COUNT(*) AS NUM_REG, SUM(IF(INSTR(CAST(X."&amp;F491&amp;" AS STRING),'#')&gt;0 OR INSTR(CAST(X."&amp;F491&amp;" AS STRING),'*')&gt;0 OR INSTR(CAST(X."&amp;F491&amp;" AS STRING),'`')&gt;0 OR INSTR(CAST(X."&amp;F491&amp;" AS STRING),'´')&gt;0 OR INSTR(CAST(X."&amp;F491&amp;" AS STRING),'{')&gt;0 OR INSTR(CAST(X."&amp;F491&amp;" AS STRING),'}')&gt;0 OR INSTR(CAST(X."&amp;F491&amp;" AS STRING),'[')&gt;0 OR INSTR(CAST(X."&amp;F491&amp;" AS STRING),'')&gt;0 OR INSTR(CAST(X."&amp;F491&amp;" AS STRING),']')&gt;0 OR INSTR(CAST(X."&amp;F491&amp;" AS STRING),'?')&gt;0 OR INSTR(CAST(X."&amp;F491&amp;" AS STRING),'!')&gt;0 OR INSTR(CAST(X."&amp;F491&amp;" AS STRING),'$')&gt;0 OR INSTR(CAST(X."&amp;F491&amp;" AS STRING),'%')&gt;0 OR INSTR(CAST(X."&amp;F491&amp;" AS STRING),'&amp;')&gt;0 OR INSTR(CAST(X."&amp;F491&amp;" AS STRING),'+')&gt;0,1,0)) AS NUM_REG_DIF,'"&amp;MAX('ID1&amp;5'!K:K)+1&amp;"' AS ID_EXEC, CURRENT_TIMESTAMP() AS TIME_EXEC FROM "&amp;I491,
IF(C491="Missings",+"SELECT '"&amp;UPPER(B491)&amp;"' AS TABELA, '"&amp;UPPER(C491)&amp;"' AS TIPOLOGIA_TESTE,'"&amp;D491&amp;"' AS TABELA_LT,'N/A' AS TABELA_SIMUL,'"&amp;F491&amp;"' AS CAMPO, "&amp;"'${ref_date}' AS REF_DATE, COUNT(*) AS NUM_REG, SUM(IF(TRIM(CAST(X."&amp;F491&amp;" AS STRING)) IN ('0000-00-00','0001-01-01','9999-12-31','MISS','00000','99999999999','99999999999.00','99999999999.000000'),1,0)) AS NUM_REG_DIF,'"&amp;MAX('ID1&amp;5'!K:K)+1&amp;"' AS ID_EXEC, CURRENT_TIMESTAMP() AS TIME_EXEC FROM "&amp;I491,
IF(C491="Not applicable",+"SELECT '"&amp;UPPER(B491)&amp;"' AS TABELA, '"&amp;UPPER(C491)&amp;"' AS TIPOLOGIA_TESTE,'"&amp;D491&amp;"' AS TABELA_LT,'N/A' AS TABELA_SIMUL,'"&amp;F491&amp;"' AS CAMPO, "&amp;"'${ref_date}' AS REF_DATE, COUNT(*) AS NUM_REG, SUM(IF(TRIM(CAST(X."&amp;F491&amp;" AS STRING)) IN ('N/A','11111111111','11111111111.00','11111111111.000000','1111-11-11'),1,0)) AS NUM_REG_DIF,'"&amp;MAX('ID1&amp;5'!K:K)+1&amp;"' AS ID_EXEC, CURRENT_TIMESTAMP() AS TIME_EXEC FROM "&amp;I491,
IF(C491="Valores extremos",+"SELECT '"&amp;UPPER(B491)&amp;"' AS TABELA, '"&amp;UPPER(C491)&amp;"' AS TIPOLOGIA_TESTE,'"&amp;D491&amp;"' AS TABELA_LT,'N/A' AS TABELA_SIMUL,'"&amp;F491&amp;"' AS CAMPO, "&amp;"'${ref_date}' AS REF_DATE, CAST(MIN("&amp;F491&amp;") AS STRING) AS VALOR_MIN, CAST(MAX("&amp;F491&amp;") AS STRING) AS VALOR_MAX,'"&amp;MAX('ID1&amp;5'!K:K)+1&amp;"' AS ID_EXEC, CURRENT_TIMESTAMP() AS TIME_EXEC FROM "&amp;MID(I491,1,LEN(I491)-2)&amp;" AND CAST("&amp;F491&amp;"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TABELA_SIMUL,'ENBLNG_CAPEX_CCM' AS CAMPO, '${ref_date}' AS REF_DATE, CAST(MIN(ENBLNG_CAPEX_CCM) AS STRING) AS VALOR_MIN, CAST(MAX(ENBLNG_CAPEX_CCM) AS STRING) AS VALOR_MAX,'10' AS ID_EXEC, CURRENT_TIMESTAMP() AS TIME_EXEC FROM (SELECT entty_id, ENBLNG_CAPEX_CCM FROM BU_LOANTAPE_WORK.LT003_ENTITY WHERE ref_date='${ref_date}' AND nome_perimetro='Individual Corporativo' AND segmento='ESTR' AND ambito='PILAR3' AND CAST(ENBLNG_CAPEX_CCM AS STRING) NOT IN ('0000-00-00','0001-01-01','9999-12-31','MISS','00000','99999999999','99999999999.00','99999999999.000000','N/A','11111111111','11111111111.00','11111111111.000000','1111-11-11'))X</v>
      </c>
      <c r="M491" s="43" t="str">
        <f t="shared" si="8"/>
        <v>UNION ALL SELECT 'ENTITY' AS TABELA, 'VALORES EXTREMOS' AS TIPOLOGIA_TESTE,'BU_LOANTAPE_WORK.LT003_ENTITY' AS TABELA_LT,'N/A' AS TABELA_SIMUL,'ENBLNG_CAPEX_CCM' AS CAMPO, '${ref_date}' AS REF_DATE, CAST(MIN(ENBLNG_CAPEX_CCM) AS STRING) AS VALOR_MIN, CAST(MAX(ENBLNG_CAPEX_CCM) AS STRING) AS VALOR_MAX,'10' AS ID_EXEC, CURRENT_TIMESTAMP() AS TIME_EXEC FROM (SELECT entty_id, ENBLNG_CAPEX_CCM FROM BU_LOANTAPE_WORK.LT003_ENTITY WHERE ref_date='${ref_date}' AND nome_perimetro='Individual Corporativo' AND segmento='ESTR' AND ambito='PILAR3' AND CAST(ENBLNG_CAPEX_CCM AS STRING) NOT IN ('0000-00-00','0001-01-01','9999-12-31','MISS','00000','99999999999','99999999999.00','99999999999.000000','N/A','11111111111','11111111111.00','11111111111.000000','1111-11-11'))X</v>
      </c>
      <c r="N491" s="45" t="s">
        <v>13</v>
      </c>
    </row>
    <row r="492" spans="2:14">
      <c r="B492" s="41" t="s">
        <v>23</v>
      </c>
      <c r="C492" s="41" t="s">
        <v>226</v>
      </c>
      <c r="D492" s="41" t="str">
        <f>+UPPER('0. Instruções'!$D$33&amp;"."&amp;VLOOKUP(B492,'0. Instruções'!$C$27:$D$31,2,FALSE))</f>
        <v>BU_LOANTAPE_WORK.LT003_ENTITY</v>
      </c>
      <c r="E492" s="41" t="str">
        <f>+UPPER('0. Instruções'!$D$34&amp;"."&amp;VLOOKUP(B492,'0. Instruções'!$C$27:$E$31,3,FALSE))</f>
        <v>BU_LOANTAPE_WORK.LT003_ENTTY_P3_NOV24</v>
      </c>
      <c r="F492" s="41" t="s">
        <v>107</v>
      </c>
      <c r="G492" s="41" t="s">
        <v>210</v>
      </c>
      <c r="H492" s="41"/>
      <c r="I492" s="41" t="str">
        <f>"(SELECT "&amp;VLOOKUP(B492,'0. Instruções'!$C$27:$G$31,4,FALSE)&amp;", "&amp;F492&amp;" FROM "&amp;D492&amp;" WHERE "&amp;'0. Instruções'!$D$40&amp;")X"</f>
        <v>(SELECT entty_id, ENBLNG_CAPEX_CCA FROM BU_LOANTAPE_WORK.LT003_ENTITY WHERE ref_date='${ref_date}' AND nome_perimetro='Individual Corporativo' AND segmento='ESTR' AND ambito='PILAR3')X</v>
      </c>
      <c r="J492" s="41" t="str">
        <f>"(SELECT "&amp;VLOOKUP(B492,'0. Instruções'!$C$27:$G$31,4,FALSE)&amp;" AS "&amp;VLOOKUP(B492,'0. Instruções'!$C$27:$G$31,4,FALSE)&amp;"_SIMUL, "&amp;F492&amp;" AS "&amp;F492&amp;"_SIMUL FROM "&amp;E492&amp;")Y"</f>
        <v>(SELECT entty_id AS entty_id_SIMUL, ENBLNG_CAPEX_CCA AS ENBLNG_CAPEX_CCA_SIMUL FROM BU_LOANTAPE_WORK.LT003_ENTTY_P3_NOV24)Y</v>
      </c>
      <c r="K492" s="42" t="str">
        <f>+UPPER("ON X."&amp;VLOOKUP(B492,'0. Instruções'!$C$27:$G$31,4,FALSE)&amp;"=Y."&amp;VLOOKUP(B492,'0. Instruções'!$C$27:$G$31,4,FALSE)&amp;"_SIMUL")</f>
        <v>ON X.ENTTY_ID=Y.ENTTY_ID_SIMUL</v>
      </c>
      <c r="L492" s="42" t="str">
        <f>+IF(C492="Coerência", +IF(LEFT(G492,5)="FLOAT","SELECT '"&amp;UPPER(B492)&amp;"' AS TABELA, '"&amp;UPPER(C492)&amp;"' AS TIPOLOGIA_TESTE,'"&amp;D492&amp;"' AS TABELA_LT,'"&amp;E492&amp;"' AS TABELA_SIMUL,'"&amp;F492&amp;"' AS CAMPO, "&amp;"'${ref_date}' AS REF_DATE, COUNT(*) AS NUM_REG, SUM(IF((ABS(COALESCE(X."&amp;F492&amp;",0)-COALESCE(Y."&amp;F492&amp;"_SIMUL,0))&gt;0.0000000001) OR (X."&amp;F492&amp;" IS NULL AND Y."&amp;F492&amp;"_SIMUL IS NOT NULL ) OR (X."&amp;F492&amp;" IS NOT NULL AND Y."&amp;F492&amp;"_SIMUL IS NULL),1,0)) AS NUM_REG_DIF,'"&amp;MAX('ID1&amp;5'!K:K)+1&amp;"' AS ID_EXEC, CURRENT_TIMESTAMP() AS TIME_EXEC FROM "&amp;I492&amp;" INNER JOIN "&amp;J492&amp;" "&amp;K492,"SELECT '"&amp;UPPER(B492)&amp;"' AS TABELA, '"&amp;UPPER(C492)&amp;"' AS TIPOLOGIA_TESTE,'"&amp;D492&amp;"' AS TABELA_LT,'"&amp;E492&amp;"' AS TABELA_SIMUL,'"&amp;F492&amp;"' AS CAMPO, "&amp;"'${ref_date}' AS REF_DATE, COUNT(*) AS NUM_REG, SUM(IF(COALESCE(CAST(X."&amp;F492&amp;" AS STRING),'')&lt;&gt;COALESCE(CAST(Y."&amp;F492&amp;"_SIMUL AS STRING),''),1,0)) AS NUM_REG_DIF,'"&amp;MAX('ID1&amp;5'!L:L)+1&amp;"' AS ID_EXEC, CURRENT_TIMESTAMP() AS TIME_EXEC FROM "&amp;I492&amp;" INNER JOIN "&amp;J492&amp;" "&amp;K492),
IF(C492="Validade",+IF(G492="Code List","SELECT '"&amp;UPPER(B492)&amp;"' AS TABELA, '"&amp;UPPER(C492)&amp;"' AS TIPOLOGIA_TESTE,'"&amp;D492&amp;"' AS TABELA_LT,'N/A' AS TABELA_SIMUL,'"&amp;F492&amp;"' AS CAMPO, "&amp;"'${ref_date}' AS REF_DATE, COUNT(*) AS NUM_REG, SUM(IF(TRIM(CAST(X."&amp;F492&amp;" AS STRING))='' OR TRIM(CAST(X."&amp;F492&amp;" AS STRING)) IS NULL OR CAST(X."&amp;F492&amp;" AS STRING) NOT "&amp;H492&amp;",1,0)) AS NUM_REG_DIF,'"&amp;MAX('ID1&amp;5'!K:K)+1&amp;"' AS ID_EXEC, CURRENT_TIMESTAMP() AS TIME_EXEC FROM "&amp;I492,"SELECT '"&amp;UPPER(B492)&amp;"' AS TABELA, '"&amp;UPPER(C492)&amp;"' AS TIPOLOGIA_TESTE,'"&amp;D492&amp;"' AS TABELA_LT,'N/A' AS TABELA_SIMUL,'"&amp;F492&amp;"' AS CAMPO, "&amp;"'${ref_date}' AS REF_DATE, COUNT(*) AS NUM_REG, SUM(IF(TRIM(CAST(X."&amp;F492&amp;" AS STRING))='' OR TRIM(CAST(X."&amp;F492&amp;" AS STRING)) IS NULL,1,0)) AS NUM_REG_DIF,'"&amp;MAX('ID1&amp;5'!K:K)+1&amp;"' AS ID_EXEC, CURRENT_TIMESTAMP() AS TIME_EXEC FROM "&amp;I492),
IF(C492="Caracteres Especiais",+"SELECT '"&amp;UPPER(B492)&amp;"' AS TABELA, '"&amp;UPPER(C492)&amp;"' AS TIPOLOGIA_TESTE,'"&amp;D492&amp;"' AS TABELA_LT,'N/A' AS TABELA_SIMUL,'"&amp;F492&amp;"' AS CAMPO, "&amp;"'${ref_date}' AS REF_DATE, COUNT(*) AS NUM_REG, SUM(IF(INSTR(CAST(X."&amp;F492&amp;" AS STRING),'#')&gt;0 OR INSTR(CAST(X."&amp;F492&amp;" AS STRING),'*')&gt;0 OR INSTR(CAST(X."&amp;F492&amp;" AS STRING),'`')&gt;0 OR INSTR(CAST(X."&amp;F492&amp;" AS STRING),'´')&gt;0 OR INSTR(CAST(X."&amp;F492&amp;" AS STRING),'{')&gt;0 OR INSTR(CAST(X."&amp;F492&amp;" AS STRING),'}')&gt;0 OR INSTR(CAST(X."&amp;F492&amp;" AS STRING),'[')&gt;0 OR INSTR(CAST(X."&amp;F492&amp;" AS STRING),'')&gt;0 OR INSTR(CAST(X."&amp;F492&amp;" AS STRING),']')&gt;0 OR INSTR(CAST(X."&amp;F492&amp;" AS STRING),'?')&gt;0 OR INSTR(CAST(X."&amp;F492&amp;" AS STRING),'!')&gt;0 OR INSTR(CAST(X."&amp;F492&amp;" AS STRING),'$')&gt;0 OR INSTR(CAST(X."&amp;F492&amp;" AS STRING),'%')&gt;0 OR INSTR(CAST(X."&amp;F492&amp;" AS STRING),'&amp;')&gt;0 OR INSTR(CAST(X."&amp;F492&amp;" AS STRING),'+')&gt;0,1,0)) AS NUM_REG_DIF,'"&amp;MAX('ID1&amp;5'!K:K)+1&amp;"' AS ID_EXEC, CURRENT_TIMESTAMP() AS TIME_EXEC FROM "&amp;I492,
IF(C492="Missings",+"SELECT '"&amp;UPPER(B492)&amp;"' AS TABELA, '"&amp;UPPER(C492)&amp;"' AS TIPOLOGIA_TESTE,'"&amp;D492&amp;"' AS TABELA_LT,'N/A' AS TABELA_SIMUL,'"&amp;F492&amp;"' AS CAMPO, "&amp;"'${ref_date}' AS REF_DATE, COUNT(*) AS NUM_REG, SUM(IF(TRIM(CAST(X."&amp;F492&amp;" AS STRING)) IN ('0000-00-00','0001-01-01','9999-12-31','MISS','00000','99999999999','99999999999.00','99999999999.000000'),1,0)) AS NUM_REG_DIF,'"&amp;MAX('ID1&amp;5'!K:K)+1&amp;"' AS ID_EXEC, CURRENT_TIMESTAMP() AS TIME_EXEC FROM "&amp;I492,
IF(C492="Not applicable",+"SELECT '"&amp;UPPER(B492)&amp;"' AS TABELA, '"&amp;UPPER(C492)&amp;"' AS TIPOLOGIA_TESTE,'"&amp;D492&amp;"' AS TABELA_LT,'N/A' AS TABELA_SIMUL,'"&amp;F492&amp;"' AS CAMPO, "&amp;"'${ref_date}' AS REF_DATE, COUNT(*) AS NUM_REG, SUM(IF(TRIM(CAST(X."&amp;F492&amp;" AS STRING)) IN ('N/A','11111111111','11111111111.00','11111111111.000000','1111-11-11'),1,0)) AS NUM_REG_DIF,'"&amp;MAX('ID1&amp;5'!K:K)+1&amp;"' AS ID_EXEC, CURRENT_TIMESTAMP() AS TIME_EXEC FROM "&amp;I492,
IF(C492="Valores extremos",+"SELECT '"&amp;UPPER(B492)&amp;"' AS TABELA, '"&amp;UPPER(C492)&amp;"' AS TIPOLOGIA_TESTE,'"&amp;D492&amp;"' AS TABELA_LT,'N/A' AS TABELA_SIMUL,'"&amp;F492&amp;"' AS CAMPO, "&amp;"'${ref_date}' AS REF_DATE, CAST(MIN("&amp;F492&amp;") AS STRING) AS VALOR_MIN, CAST(MAX("&amp;F492&amp;") AS STRING) AS VALOR_MAX,'"&amp;MAX('ID1&amp;5'!K:K)+1&amp;"' AS ID_EXEC, CURRENT_TIMESTAMP() AS TIME_EXEC FROM "&amp;MID(I492,1,LEN(I492)-2)&amp;" AND CAST("&amp;F492&amp;"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TABELA_SIMUL,'ENBLNG_CAPEX_CCA' AS CAMPO, '${ref_date}' AS REF_DATE, CAST(MIN(ENBLNG_CAPEX_CCA) AS STRING) AS VALOR_MIN, CAST(MAX(ENBLNG_CAPEX_CCA) AS STRING) AS VALOR_MAX,'10' AS ID_EXEC, CURRENT_TIMESTAMP() AS TIME_EXEC FROM (SELECT entty_id, ENBLNG_CAPEX_CCA FROM BU_LOANTAPE_WORK.LT003_ENTITY WHERE ref_date='${ref_date}' AND nome_perimetro='Individual Corporativo' AND segmento='ESTR' AND ambito='PILAR3' AND CAST(ENBLNG_CAPEX_CCA AS STRING) NOT IN ('0000-00-00','0001-01-01','9999-12-31','MISS','00000','99999999999','99999999999.00','99999999999.000000','N/A','11111111111','11111111111.00','11111111111.000000','1111-11-11'))X</v>
      </c>
      <c r="M492" s="43" t="str">
        <f t="shared" si="8"/>
        <v>UNION ALL SELECT 'ENTITY' AS TABELA, 'VALORES EXTREMOS' AS TIPOLOGIA_TESTE,'BU_LOANTAPE_WORK.LT003_ENTITY' AS TABELA_LT,'N/A' AS TABELA_SIMUL,'ENBLNG_CAPEX_CCA' AS CAMPO, '${ref_date}' AS REF_DATE, CAST(MIN(ENBLNG_CAPEX_CCA) AS STRING) AS VALOR_MIN, CAST(MAX(ENBLNG_CAPEX_CCA) AS STRING) AS VALOR_MAX,'10' AS ID_EXEC, CURRENT_TIMESTAMP() AS TIME_EXEC FROM (SELECT entty_id, ENBLNG_CAPEX_CCA FROM BU_LOANTAPE_WORK.LT003_ENTITY WHERE ref_date='${ref_date}' AND nome_perimetro='Individual Corporativo' AND segmento='ESTR' AND ambito='PILAR3' AND CAST(ENBLNG_CAPEX_CCA AS STRING) NOT IN ('0000-00-00','0001-01-01','9999-12-31','MISS','00000','99999999999','99999999999.00','99999999999.000000','N/A','11111111111','11111111111.00','11111111111.000000','1111-11-11'))X</v>
      </c>
      <c r="N492" s="45" t="s">
        <v>13</v>
      </c>
    </row>
    <row r="493" spans="2:14">
      <c r="B493" s="41" t="s">
        <v>23</v>
      </c>
      <c r="C493" s="41" t="s">
        <v>226</v>
      </c>
      <c r="D493" s="41" t="str">
        <f>+UPPER('0. Instruções'!$D$33&amp;"."&amp;VLOOKUP(B493,'0. Instruções'!$C$27:$D$31,2,FALSE))</f>
        <v>BU_LOANTAPE_WORK.LT003_ENTITY</v>
      </c>
      <c r="E493" s="41" t="str">
        <f>+UPPER('0. Instruções'!$D$34&amp;"."&amp;VLOOKUP(B493,'0. Instruções'!$C$27:$E$31,3,FALSE))</f>
        <v>BU_LOANTAPE_WORK.LT003_ENTTY_P3_NOV24</v>
      </c>
      <c r="F493" s="41" t="s">
        <v>108</v>
      </c>
      <c r="G493" s="41" t="s">
        <v>210</v>
      </c>
      <c r="H493" s="41"/>
      <c r="I493" s="41" t="str">
        <f>"(SELECT "&amp;VLOOKUP(B493,'0. Instruções'!$C$27:$G$31,4,FALSE)&amp;", "&amp;F493&amp;" FROM "&amp;D493&amp;" WHERE "&amp;'0. Instruções'!$D$40&amp;")X"</f>
        <v>(SELECT entty_id, TRNSTNL_CAPEX FROM BU_LOANTAPE_WORK.LT003_ENTITY WHERE ref_date='${ref_date}' AND nome_perimetro='Individual Corporativo' AND segmento='ESTR' AND ambito='PILAR3')X</v>
      </c>
      <c r="J493" s="41" t="str">
        <f>"(SELECT "&amp;VLOOKUP(B493,'0. Instruções'!$C$27:$G$31,4,FALSE)&amp;" AS "&amp;VLOOKUP(B493,'0. Instruções'!$C$27:$G$31,4,FALSE)&amp;"_SIMUL, "&amp;F493&amp;" AS "&amp;F493&amp;"_SIMUL FROM "&amp;E493&amp;")Y"</f>
        <v>(SELECT entty_id AS entty_id_SIMUL, TRNSTNL_CAPEX AS TRNSTNL_CAPEX_SIMUL FROM BU_LOANTAPE_WORK.LT003_ENTTY_P3_NOV24)Y</v>
      </c>
      <c r="K493" s="42" t="str">
        <f>+UPPER("ON X."&amp;VLOOKUP(B493,'0. Instruções'!$C$27:$G$31,4,FALSE)&amp;"=Y."&amp;VLOOKUP(B493,'0. Instruções'!$C$27:$G$31,4,FALSE)&amp;"_SIMUL")</f>
        <v>ON X.ENTTY_ID=Y.ENTTY_ID_SIMUL</v>
      </c>
      <c r="L493" s="42" t="str">
        <f>+IF(C493="Coerência", +IF(LEFT(G493,5)="FLOAT","SELECT '"&amp;UPPER(B493)&amp;"' AS TABELA, '"&amp;UPPER(C493)&amp;"' AS TIPOLOGIA_TESTE,'"&amp;D493&amp;"' AS TABELA_LT,'"&amp;E493&amp;"' AS TABELA_SIMUL,'"&amp;F493&amp;"' AS CAMPO, "&amp;"'${ref_date}' AS REF_DATE, COUNT(*) AS NUM_REG, SUM(IF((ABS(COALESCE(X."&amp;F493&amp;",0)-COALESCE(Y."&amp;F493&amp;"_SIMUL,0))&gt;0.0000000001) OR (X."&amp;F493&amp;" IS NULL AND Y."&amp;F493&amp;"_SIMUL IS NOT NULL ) OR (X."&amp;F493&amp;" IS NOT NULL AND Y."&amp;F493&amp;"_SIMUL IS NULL),1,0)) AS NUM_REG_DIF,'"&amp;MAX('ID1&amp;5'!K:K)+1&amp;"' AS ID_EXEC, CURRENT_TIMESTAMP() AS TIME_EXEC FROM "&amp;I493&amp;" INNER JOIN "&amp;J493&amp;" "&amp;K493,"SELECT '"&amp;UPPER(B493)&amp;"' AS TABELA, '"&amp;UPPER(C493)&amp;"' AS TIPOLOGIA_TESTE,'"&amp;D493&amp;"' AS TABELA_LT,'"&amp;E493&amp;"' AS TABELA_SIMUL,'"&amp;F493&amp;"' AS CAMPO, "&amp;"'${ref_date}' AS REF_DATE, COUNT(*) AS NUM_REG, SUM(IF(COALESCE(CAST(X."&amp;F493&amp;" AS STRING),'')&lt;&gt;COALESCE(CAST(Y."&amp;F493&amp;"_SIMUL AS STRING),''),1,0)) AS NUM_REG_DIF,'"&amp;MAX('ID1&amp;5'!L:L)+1&amp;"' AS ID_EXEC, CURRENT_TIMESTAMP() AS TIME_EXEC FROM "&amp;I493&amp;" INNER JOIN "&amp;J493&amp;" "&amp;K493),
IF(C493="Validade",+IF(G493="Code List","SELECT '"&amp;UPPER(B493)&amp;"' AS TABELA, '"&amp;UPPER(C493)&amp;"' AS TIPOLOGIA_TESTE,'"&amp;D493&amp;"' AS TABELA_LT,'N/A' AS TABELA_SIMUL,'"&amp;F493&amp;"' AS CAMPO, "&amp;"'${ref_date}' AS REF_DATE, COUNT(*) AS NUM_REG, SUM(IF(TRIM(CAST(X."&amp;F493&amp;" AS STRING))='' OR TRIM(CAST(X."&amp;F493&amp;" AS STRING)) IS NULL OR CAST(X."&amp;F493&amp;" AS STRING) NOT "&amp;H493&amp;",1,0)) AS NUM_REG_DIF,'"&amp;MAX('ID1&amp;5'!K:K)+1&amp;"' AS ID_EXEC, CURRENT_TIMESTAMP() AS TIME_EXEC FROM "&amp;I493,"SELECT '"&amp;UPPER(B493)&amp;"' AS TABELA, '"&amp;UPPER(C493)&amp;"' AS TIPOLOGIA_TESTE,'"&amp;D493&amp;"' AS TABELA_LT,'N/A' AS TABELA_SIMUL,'"&amp;F493&amp;"' AS CAMPO, "&amp;"'${ref_date}' AS REF_DATE, COUNT(*) AS NUM_REG, SUM(IF(TRIM(CAST(X."&amp;F493&amp;" AS STRING))='' OR TRIM(CAST(X."&amp;F493&amp;" AS STRING)) IS NULL,1,0)) AS NUM_REG_DIF,'"&amp;MAX('ID1&amp;5'!K:K)+1&amp;"' AS ID_EXEC, CURRENT_TIMESTAMP() AS TIME_EXEC FROM "&amp;I493),
IF(C493="Caracteres Especiais",+"SELECT '"&amp;UPPER(B493)&amp;"' AS TABELA, '"&amp;UPPER(C493)&amp;"' AS TIPOLOGIA_TESTE,'"&amp;D493&amp;"' AS TABELA_LT,'N/A' AS TABELA_SIMUL,'"&amp;F493&amp;"' AS CAMPO, "&amp;"'${ref_date}' AS REF_DATE, COUNT(*) AS NUM_REG, SUM(IF(INSTR(CAST(X."&amp;F493&amp;" AS STRING),'#')&gt;0 OR INSTR(CAST(X."&amp;F493&amp;" AS STRING),'*')&gt;0 OR INSTR(CAST(X."&amp;F493&amp;" AS STRING),'`')&gt;0 OR INSTR(CAST(X."&amp;F493&amp;" AS STRING),'´')&gt;0 OR INSTR(CAST(X."&amp;F493&amp;" AS STRING),'{')&gt;0 OR INSTR(CAST(X."&amp;F493&amp;" AS STRING),'}')&gt;0 OR INSTR(CAST(X."&amp;F493&amp;" AS STRING),'[')&gt;0 OR INSTR(CAST(X."&amp;F493&amp;" AS STRING),'')&gt;0 OR INSTR(CAST(X."&amp;F493&amp;" AS STRING),']')&gt;0 OR INSTR(CAST(X."&amp;F493&amp;" AS STRING),'?')&gt;0 OR INSTR(CAST(X."&amp;F493&amp;" AS STRING),'!')&gt;0 OR INSTR(CAST(X."&amp;F493&amp;" AS STRING),'$')&gt;0 OR INSTR(CAST(X."&amp;F493&amp;" AS STRING),'%')&gt;0 OR INSTR(CAST(X."&amp;F493&amp;" AS STRING),'&amp;')&gt;0 OR INSTR(CAST(X."&amp;F493&amp;" AS STRING),'+')&gt;0,1,0)) AS NUM_REG_DIF,'"&amp;MAX('ID1&amp;5'!K:K)+1&amp;"' AS ID_EXEC, CURRENT_TIMESTAMP() AS TIME_EXEC FROM "&amp;I493,
IF(C493="Missings",+"SELECT '"&amp;UPPER(B493)&amp;"' AS TABELA, '"&amp;UPPER(C493)&amp;"' AS TIPOLOGIA_TESTE,'"&amp;D493&amp;"' AS TABELA_LT,'N/A' AS TABELA_SIMUL,'"&amp;F493&amp;"' AS CAMPO, "&amp;"'${ref_date}' AS REF_DATE, COUNT(*) AS NUM_REG, SUM(IF(TRIM(CAST(X."&amp;F493&amp;" AS STRING)) IN ('0000-00-00','0001-01-01','9999-12-31','MISS','00000','99999999999','99999999999.00','99999999999.000000'),1,0)) AS NUM_REG_DIF,'"&amp;MAX('ID1&amp;5'!K:K)+1&amp;"' AS ID_EXEC, CURRENT_TIMESTAMP() AS TIME_EXEC FROM "&amp;I493,
IF(C493="Not applicable",+"SELECT '"&amp;UPPER(B493)&amp;"' AS TABELA, '"&amp;UPPER(C493)&amp;"' AS TIPOLOGIA_TESTE,'"&amp;D493&amp;"' AS TABELA_LT,'N/A' AS TABELA_SIMUL,'"&amp;F493&amp;"' AS CAMPO, "&amp;"'${ref_date}' AS REF_DATE, COUNT(*) AS NUM_REG, SUM(IF(TRIM(CAST(X."&amp;F493&amp;" AS STRING)) IN ('N/A','11111111111','11111111111.00','11111111111.000000','1111-11-11'),1,0)) AS NUM_REG_DIF,'"&amp;MAX('ID1&amp;5'!K:K)+1&amp;"' AS ID_EXEC, CURRENT_TIMESTAMP() AS TIME_EXEC FROM "&amp;I493,
IF(C493="Valores extremos",+"SELECT '"&amp;UPPER(B493)&amp;"' AS TABELA, '"&amp;UPPER(C493)&amp;"' AS TIPOLOGIA_TESTE,'"&amp;D493&amp;"' AS TABELA_LT,'N/A' AS TABELA_SIMUL,'"&amp;F493&amp;"' AS CAMPO, "&amp;"'${ref_date}' AS REF_DATE, CAST(MIN("&amp;F493&amp;") AS STRING) AS VALOR_MIN, CAST(MAX("&amp;F493&amp;") AS STRING) AS VALOR_MAX,'"&amp;MAX('ID1&amp;5'!K:K)+1&amp;"' AS ID_EXEC, CURRENT_TIMESTAMP() AS TIME_EXEC FROM "&amp;MID(I493,1,LEN(I493)-2)&amp;" AND CAST("&amp;F493&amp;"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TABELA_SIMUL,'TRNSTNL_CAPEX' AS CAMPO, '${ref_date}' AS REF_DATE, CAST(MIN(TRNSTNL_CAPEX) AS STRING) AS VALOR_MIN, CAST(MAX(TRNSTNL_CAPEX) AS STRING) AS VALOR_MAX,'10' AS ID_EXEC, CURRENT_TIMESTAMP() AS TIME_EXEC FROM (SELECT entty_id, TRNSTNL_CAPEX FROM BU_LOANTAPE_WORK.LT003_ENTITY WHERE ref_date='${ref_date}' AND nome_perimetro='Individual Corporativo' AND segmento='ESTR' AND ambito='PILAR3' AND CAST(TRNSTNL_CAPEX AS STRING) NOT IN ('0000-00-00','0001-01-01','9999-12-31','MISS','00000','99999999999','99999999999.00','99999999999.000000','N/A','11111111111','11111111111.00','11111111111.000000','1111-11-11'))X</v>
      </c>
      <c r="M493" s="43" t="str">
        <f t="shared" si="8"/>
        <v>UNION ALL SELECT 'ENTITY' AS TABELA, 'VALORES EXTREMOS' AS TIPOLOGIA_TESTE,'BU_LOANTAPE_WORK.LT003_ENTITY' AS TABELA_LT,'N/A' AS TABELA_SIMUL,'TRNSTNL_CAPEX' AS CAMPO, '${ref_date}' AS REF_DATE, CAST(MIN(TRNSTNL_CAPEX) AS STRING) AS VALOR_MIN, CAST(MAX(TRNSTNL_CAPEX) AS STRING) AS VALOR_MAX,'10' AS ID_EXEC, CURRENT_TIMESTAMP() AS TIME_EXEC FROM (SELECT entty_id, TRNSTNL_CAPEX FROM BU_LOANTAPE_WORK.LT003_ENTITY WHERE ref_date='${ref_date}' AND nome_perimetro='Individual Corporativo' AND segmento='ESTR' AND ambito='PILAR3' AND CAST(TRNSTNL_CAPEX AS STRING) NOT IN ('0000-00-00','0001-01-01','9999-12-31','MISS','00000','99999999999','99999999999.00','99999999999.000000','N/A','11111111111','11111111111.00','11111111111.000000','1111-11-11'))X</v>
      </c>
      <c r="N493" s="45" t="s">
        <v>13</v>
      </c>
    </row>
    <row r="494" spans="2:14">
      <c r="B494" s="41" t="s">
        <v>23</v>
      </c>
      <c r="C494" s="41" t="s">
        <v>226</v>
      </c>
      <c r="D494" s="41" t="str">
        <f>+UPPER('0. Instruções'!$D$33&amp;"."&amp;VLOOKUP(B494,'0. Instruções'!$C$27:$D$31,2,FALSE))</f>
        <v>BU_LOANTAPE_WORK.LT003_ENTITY</v>
      </c>
      <c r="E494" s="41" t="str">
        <f>+UPPER('0. Instruções'!$D$34&amp;"."&amp;VLOOKUP(B494,'0. Instruções'!$C$27:$E$31,3,FALSE))</f>
        <v>BU_LOANTAPE_WORK.LT003_ENTTY_P3_NOV24</v>
      </c>
      <c r="F494" s="41" t="s">
        <v>109</v>
      </c>
      <c r="G494" s="41" t="s">
        <v>210</v>
      </c>
      <c r="H494" s="41"/>
      <c r="I494" s="41" t="str">
        <f>"(SELECT "&amp;VLOOKUP(B494,'0. Instruções'!$C$27:$G$31,4,FALSE)&amp;", "&amp;F494&amp;" FROM "&amp;D494&amp;" WHERE "&amp;'0. Instruções'!$D$40&amp;")X"</f>
        <v>(SELECT entty_id, PURE_CAPEX_CCM FROM BU_LOANTAPE_WORK.LT003_ENTITY WHERE ref_date='${ref_date}' AND nome_perimetro='Individual Corporativo' AND segmento='ESTR' AND ambito='PILAR3')X</v>
      </c>
      <c r="J494" s="41" t="str">
        <f>"(SELECT "&amp;VLOOKUP(B494,'0. Instruções'!$C$27:$G$31,4,FALSE)&amp;" AS "&amp;VLOOKUP(B494,'0. Instruções'!$C$27:$G$31,4,FALSE)&amp;"_SIMUL, "&amp;F494&amp;" AS "&amp;F494&amp;"_SIMUL FROM "&amp;E494&amp;")Y"</f>
        <v>(SELECT entty_id AS entty_id_SIMUL, PURE_CAPEX_CCM AS PURE_CAPEX_CCM_SIMUL FROM BU_LOANTAPE_WORK.LT003_ENTTY_P3_NOV24)Y</v>
      </c>
      <c r="K494" s="42" t="str">
        <f>+UPPER("ON X."&amp;VLOOKUP(B494,'0. Instruções'!$C$27:$G$31,4,FALSE)&amp;"=Y."&amp;VLOOKUP(B494,'0. Instruções'!$C$27:$G$31,4,FALSE)&amp;"_SIMUL")</f>
        <v>ON X.ENTTY_ID=Y.ENTTY_ID_SIMUL</v>
      </c>
      <c r="L494" s="42" t="str">
        <f>+IF(C494="Coerência", +IF(LEFT(G494,5)="FLOAT","SELECT '"&amp;UPPER(B494)&amp;"' AS TABELA, '"&amp;UPPER(C494)&amp;"' AS TIPOLOGIA_TESTE,'"&amp;D494&amp;"' AS TABELA_LT,'"&amp;E494&amp;"' AS TABELA_SIMUL,'"&amp;F494&amp;"' AS CAMPO, "&amp;"'${ref_date}' AS REF_DATE, COUNT(*) AS NUM_REG, SUM(IF((ABS(COALESCE(X."&amp;F494&amp;",0)-COALESCE(Y."&amp;F494&amp;"_SIMUL,0))&gt;0.0000000001) OR (X."&amp;F494&amp;" IS NULL AND Y."&amp;F494&amp;"_SIMUL IS NOT NULL ) OR (X."&amp;F494&amp;" IS NOT NULL AND Y."&amp;F494&amp;"_SIMUL IS NULL),1,0)) AS NUM_REG_DIF,'"&amp;MAX('ID1&amp;5'!K:K)+1&amp;"' AS ID_EXEC, CURRENT_TIMESTAMP() AS TIME_EXEC FROM "&amp;I494&amp;" INNER JOIN "&amp;J494&amp;" "&amp;K494,"SELECT '"&amp;UPPER(B494)&amp;"' AS TABELA, '"&amp;UPPER(C494)&amp;"' AS TIPOLOGIA_TESTE,'"&amp;D494&amp;"' AS TABELA_LT,'"&amp;E494&amp;"' AS TABELA_SIMUL,'"&amp;F494&amp;"' AS CAMPO, "&amp;"'${ref_date}' AS REF_DATE, COUNT(*) AS NUM_REG, SUM(IF(COALESCE(CAST(X."&amp;F494&amp;" AS STRING),'')&lt;&gt;COALESCE(CAST(Y."&amp;F494&amp;"_SIMUL AS STRING),''),1,0)) AS NUM_REG_DIF,'"&amp;MAX('ID1&amp;5'!L:L)+1&amp;"' AS ID_EXEC, CURRENT_TIMESTAMP() AS TIME_EXEC FROM "&amp;I494&amp;" INNER JOIN "&amp;J494&amp;" "&amp;K494),
IF(C494="Validade",+IF(G494="Code List","SELECT '"&amp;UPPER(B494)&amp;"' AS TABELA, '"&amp;UPPER(C494)&amp;"' AS TIPOLOGIA_TESTE,'"&amp;D494&amp;"' AS TABELA_LT,'N/A' AS TABELA_SIMUL,'"&amp;F494&amp;"' AS CAMPO, "&amp;"'${ref_date}' AS REF_DATE, COUNT(*) AS NUM_REG, SUM(IF(TRIM(CAST(X."&amp;F494&amp;" AS STRING))='' OR TRIM(CAST(X."&amp;F494&amp;" AS STRING)) IS NULL OR CAST(X."&amp;F494&amp;" AS STRING) NOT "&amp;H494&amp;",1,0)) AS NUM_REG_DIF,'"&amp;MAX('ID1&amp;5'!K:K)+1&amp;"' AS ID_EXEC, CURRENT_TIMESTAMP() AS TIME_EXEC FROM "&amp;I494,"SELECT '"&amp;UPPER(B494)&amp;"' AS TABELA, '"&amp;UPPER(C494)&amp;"' AS TIPOLOGIA_TESTE,'"&amp;D494&amp;"' AS TABELA_LT,'N/A' AS TABELA_SIMUL,'"&amp;F494&amp;"' AS CAMPO, "&amp;"'${ref_date}' AS REF_DATE, COUNT(*) AS NUM_REG, SUM(IF(TRIM(CAST(X."&amp;F494&amp;" AS STRING))='' OR TRIM(CAST(X."&amp;F494&amp;" AS STRING)) IS NULL,1,0)) AS NUM_REG_DIF,'"&amp;MAX('ID1&amp;5'!K:K)+1&amp;"' AS ID_EXEC, CURRENT_TIMESTAMP() AS TIME_EXEC FROM "&amp;I494),
IF(C494="Caracteres Especiais",+"SELECT '"&amp;UPPER(B494)&amp;"' AS TABELA, '"&amp;UPPER(C494)&amp;"' AS TIPOLOGIA_TESTE,'"&amp;D494&amp;"' AS TABELA_LT,'N/A' AS TABELA_SIMUL,'"&amp;F494&amp;"' AS CAMPO, "&amp;"'${ref_date}' AS REF_DATE, COUNT(*) AS NUM_REG, SUM(IF(INSTR(CAST(X."&amp;F494&amp;" AS STRING),'#')&gt;0 OR INSTR(CAST(X."&amp;F494&amp;" AS STRING),'*')&gt;0 OR INSTR(CAST(X."&amp;F494&amp;" AS STRING),'`')&gt;0 OR INSTR(CAST(X."&amp;F494&amp;" AS STRING),'´')&gt;0 OR INSTR(CAST(X."&amp;F494&amp;" AS STRING),'{')&gt;0 OR INSTR(CAST(X."&amp;F494&amp;" AS STRING),'}')&gt;0 OR INSTR(CAST(X."&amp;F494&amp;" AS STRING),'[')&gt;0 OR INSTR(CAST(X."&amp;F494&amp;" AS STRING),'')&gt;0 OR INSTR(CAST(X."&amp;F494&amp;" AS STRING),']')&gt;0 OR INSTR(CAST(X."&amp;F494&amp;" AS STRING),'?')&gt;0 OR INSTR(CAST(X."&amp;F494&amp;" AS STRING),'!')&gt;0 OR INSTR(CAST(X."&amp;F494&amp;" AS STRING),'$')&gt;0 OR INSTR(CAST(X."&amp;F494&amp;" AS STRING),'%')&gt;0 OR INSTR(CAST(X."&amp;F494&amp;" AS STRING),'&amp;')&gt;0 OR INSTR(CAST(X."&amp;F494&amp;" AS STRING),'+')&gt;0,1,0)) AS NUM_REG_DIF,'"&amp;MAX('ID1&amp;5'!K:K)+1&amp;"' AS ID_EXEC, CURRENT_TIMESTAMP() AS TIME_EXEC FROM "&amp;I494,
IF(C494="Missings",+"SELECT '"&amp;UPPER(B494)&amp;"' AS TABELA, '"&amp;UPPER(C494)&amp;"' AS TIPOLOGIA_TESTE,'"&amp;D494&amp;"' AS TABELA_LT,'N/A' AS TABELA_SIMUL,'"&amp;F494&amp;"' AS CAMPO, "&amp;"'${ref_date}' AS REF_DATE, COUNT(*) AS NUM_REG, SUM(IF(TRIM(CAST(X."&amp;F494&amp;" AS STRING)) IN ('0000-00-00','0001-01-01','9999-12-31','MISS','00000','99999999999','99999999999.00','99999999999.000000'),1,0)) AS NUM_REG_DIF,'"&amp;MAX('ID1&amp;5'!K:K)+1&amp;"' AS ID_EXEC, CURRENT_TIMESTAMP() AS TIME_EXEC FROM "&amp;I494,
IF(C494="Not applicable",+"SELECT '"&amp;UPPER(B494)&amp;"' AS TABELA, '"&amp;UPPER(C494)&amp;"' AS TIPOLOGIA_TESTE,'"&amp;D494&amp;"' AS TABELA_LT,'N/A' AS TABELA_SIMUL,'"&amp;F494&amp;"' AS CAMPO, "&amp;"'${ref_date}' AS REF_DATE, COUNT(*) AS NUM_REG, SUM(IF(TRIM(CAST(X."&amp;F494&amp;" AS STRING)) IN ('N/A','11111111111','11111111111.00','11111111111.000000','1111-11-11'),1,0)) AS NUM_REG_DIF,'"&amp;MAX('ID1&amp;5'!K:K)+1&amp;"' AS ID_EXEC, CURRENT_TIMESTAMP() AS TIME_EXEC FROM "&amp;I494,
IF(C494="Valores extremos",+"SELECT '"&amp;UPPER(B494)&amp;"' AS TABELA, '"&amp;UPPER(C494)&amp;"' AS TIPOLOGIA_TESTE,'"&amp;D494&amp;"' AS TABELA_LT,'N/A' AS TABELA_SIMUL,'"&amp;F494&amp;"' AS CAMPO, "&amp;"'${ref_date}' AS REF_DATE, CAST(MIN("&amp;F494&amp;") AS STRING) AS VALOR_MIN, CAST(MAX("&amp;F494&amp;") AS STRING) AS VALOR_MAX,'"&amp;MAX('ID1&amp;5'!K:K)+1&amp;"' AS ID_EXEC, CURRENT_TIMESTAMP() AS TIME_EXEC FROM "&amp;MID(I494,1,LEN(I494)-2)&amp;" AND CAST("&amp;F494&amp;"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TABELA_SIMUL,'PURE_CAPEX_CCM' AS CAMPO, '${ref_date}' AS REF_DATE, CAST(MIN(PURE_CAPEX_CCM) AS STRING) AS VALOR_MIN, CAST(MAX(PURE_CAPEX_CCM) AS STRING) AS VALOR_MAX,'10' AS ID_EXEC, CURRENT_TIMESTAMP() AS TIME_EXEC FROM (SELECT entty_id, PURE_CAPEX_CCM FROM BU_LOANTAPE_WORK.LT003_ENTITY WHERE ref_date='${ref_date}' AND nome_perimetro='Individual Corporativo' AND segmento='ESTR' AND ambito='PILAR3' AND CAST(PURE_CAPEX_CCM AS STRING) NOT IN ('0000-00-00','0001-01-01','9999-12-31','MISS','00000','99999999999','99999999999.00','99999999999.000000','N/A','11111111111','11111111111.00','11111111111.000000','1111-11-11'))X</v>
      </c>
      <c r="M494" s="43" t="str">
        <f t="shared" si="8"/>
        <v>UNION ALL SELECT 'ENTITY' AS TABELA, 'VALORES EXTREMOS' AS TIPOLOGIA_TESTE,'BU_LOANTAPE_WORK.LT003_ENTITY' AS TABELA_LT,'N/A' AS TABELA_SIMUL,'PURE_CAPEX_CCM' AS CAMPO, '${ref_date}' AS REF_DATE, CAST(MIN(PURE_CAPEX_CCM) AS STRING) AS VALOR_MIN, CAST(MAX(PURE_CAPEX_CCM) AS STRING) AS VALOR_MAX,'10' AS ID_EXEC, CURRENT_TIMESTAMP() AS TIME_EXEC FROM (SELECT entty_id, PURE_CAPEX_CCM FROM BU_LOANTAPE_WORK.LT003_ENTITY WHERE ref_date='${ref_date}' AND nome_perimetro='Individual Corporativo' AND segmento='ESTR' AND ambito='PILAR3' AND CAST(PURE_CAPEX_CCM AS STRING) NOT IN ('0000-00-00','0001-01-01','9999-12-31','MISS','00000','99999999999','99999999999.00','99999999999.000000','N/A','11111111111','11111111111.00','11111111111.000000','1111-11-11'))X</v>
      </c>
      <c r="N494" s="45" t="s">
        <v>13</v>
      </c>
    </row>
    <row r="495" spans="2:14">
      <c r="B495" s="41" t="s">
        <v>23</v>
      </c>
      <c r="C495" s="41" t="s">
        <v>226</v>
      </c>
      <c r="D495" s="41" t="str">
        <f>+UPPER('0. Instruções'!$D$33&amp;"."&amp;VLOOKUP(B495,'0. Instruções'!$C$27:$D$31,2,FALSE))</f>
        <v>BU_LOANTAPE_WORK.LT003_ENTITY</v>
      </c>
      <c r="E495" s="41" t="str">
        <f>+UPPER('0. Instruções'!$D$34&amp;"."&amp;VLOOKUP(B495,'0. Instruções'!$C$27:$E$31,3,FALSE))</f>
        <v>BU_LOANTAPE_WORK.LT003_ENTTY_P3_NOV24</v>
      </c>
      <c r="F495" s="41" t="s">
        <v>110</v>
      </c>
      <c r="G495" s="41" t="s">
        <v>210</v>
      </c>
      <c r="H495" s="41"/>
      <c r="I495" s="41" t="str">
        <f>"(SELECT "&amp;VLOOKUP(B495,'0. Instruções'!$C$27:$G$31,4,FALSE)&amp;", "&amp;F495&amp;" FROM "&amp;D495&amp;" WHERE "&amp;'0. Instruções'!$D$40&amp;")X"</f>
        <v>(SELECT entty_id, PURE_CAPEX_CCA FROM BU_LOANTAPE_WORK.LT003_ENTITY WHERE ref_date='${ref_date}' AND nome_perimetro='Individual Corporativo' AND segmento='ESTR' AND ambito='PILAR3')X</v>
      </c>
      <c r="J495" s="41" t="str">
        <f>"(SELECT "&amp;VLOOKUP(B495,'0. Instruções'!$C$27:$G$31,4,FALSE)&amp;" AS "&amp;VLOOKUP(B495,'0. Instruções'!$C$27:$G$31,4,FALSE)&amp;"_SIMUL, "&amp;F495&amp;" AS "&amp;F495&amp;"_SIMUL FROM "&amp;E495&amp;")Y"</f>
        <v>(SELECT entty_id AS entty_id_SIMUL, PURE_CAPEX_CCA AS PURE_CAPEX_CCA_SIMUL FROM BU_LOANTAPE_WORK.LT003_ENTTY_P3_NOV24)Y</v>
      </c>
      <c r="K495" s="42" t="str">
        <f>+UPPER("ON X."&amp;VLOOKUP(B495,'0. Instruções'!$C$27:$G$31,4,FALSE)&amp;"=Y."&amp;VLOOKUP(B495,'0. Instruções'!$C$27:$G$31,4,FALSE)&amp;"_SIMUL")</f>
        <v>ON X.ENTTY_ID=Y.ENTTY_ID_SIMUL</v>
      </c>
      <c r="L495" s="42" t="str">
        <f>+IF(C495="Coerência", +IF(LEFT(G495,5)="FLOAT","SELECT '"&amp;UPPER(B495)&amp;"' AS TABELA, '"&amp;UPPER(C495)&amp;"' AS TIPOLOGIA_TESTE,'"&amp;D495&amp;"' AS TABELA_LT,'"&amp;E495&amp;"' AS TABELA_SIMUL,'"&amp;F495&amp;"' AS CAMPO, "&amp;"'${ref_date}' AS REF_DATE, COUNT(*) AS NUM_REG, SUM(IF((ABS(COALESCE(X."&amp;F495&amp;",0)-COALESCE(Y."&amp;F495&amp;"_SIMUL,0))&gt;0.0000000001) OR (X."&amp;F495&amp;" IS NULL AND Y."&amp;F495&amp;"_SIMUL IS NOT NULL ) OR (X."&amp;F495&amp;" IS NOT NULL AND Y."&amp;F495&amp;"_SIMUL IS NULL),1,0)) AS NUM_REG_DIF,'"&amp;MAX('ID1&amp;5'!K:K)+1&amp;"' AS ID_EXEC, CURRENT_TIMESTAMP() AS TIME_EXEC FROM "&amp;I495&amp;" INNER JOIN "&amp;J495&amp;" "&amp;K495,"SELECT '"&amp;UPPER(B495)&amp;"' AS TABELA, '"&amp;UPPER(C495)&amp;"' AS TIPOLOGIA_TESTE,'"&amp;D495&amp;"' AS TABELA_LT,'"&amp;E495&amp;"' AS TABELA_SIMUL,'"&amp;F495&amp;"' AS CAMPO, "&amp;"'${ref_date}' AS REF_DATE, COUNT(*) AS NUM_REG, SUM(IF(COALESCE(CAST(X."&amp;F495&amp;" AS STRING),'')&lt;&gt;COALESCE(CAST(Y."&amp;F495&amp;"_SIMUL AS STRING),''),1,0)) AS NUM_REG_DIF,'"&amp;MAX('ID1&amp;5'!L:L)+1&amp;"' AS ID_EXEC, CURRENT_TIMESTAMP() AS TIME_EXEC FROM "&amp;I495&amp;" INNER JOIN "&amp;J495&amp;" "&amp;K495),
IF(C495="Validade",+IF(G495="Code List","SELECT '"&amp;UPPER(B495)&amp;"' AS TABELA, '"&amp;UPPER(C495)&amp;"' AS TIPOLOGIA_TESTE,'"&amp;D495&amp;"' AS TABELA_LT,'N/A' AS TABELA_SIMUL,'"&amp;F495&amp;"' AS CAMPO, "&amp;"'${ref_date}' AS REF_DATE, COUNT(*) AS NUM_REG, SUM(IF(TRIM(CAST(X."&amp;F495&amp;" AS STRING))='' OR TRIM(CAST(X."&amp;F495&amp;" AS STRING)) IS NULL OR CAST(X."&amp;F495&amp;" AS STRING) NOT "&amp;H495&amp;",1,0)) AS NUM_REG_DIF,'"&amp;MAX('ID1&amp;5'!K:K)+1&amp;"' AS ID_EXEC, CURRENT_TIMESTAMP() AS TIME_EXEC FROM "&amp;I495,"SELECT '"&amp;UPPER(B495)&amp;"' AS TABELA, '"&amp;UPPER(C495)&amp;"' AS TIPOLOGIA_TESTE,'"&amp;D495&amp;"' AS TABELA_LT,'N/A' AS TABELA_SIMUL,'"&amp;F495&amp;"' AS CAMPO, "&amp;"'${ref_date}' AS REF_DATE, COUNT(*) AS NUM_REG, SUM(IF(TRIM(CAST(X."&amp;F495&amp;" AS STRING))='' OR TRIM(CAST(X."&amp;F495&amp;" AS STRING)) IS NULL,1,0)) AS NUM_REG_DIF,'"&amp;MAX('ID1&amp;5'!K:K)+1&amp;"' AS ID_EXEC, CURRENT_TIMESTAMP() AS TIME_EXEC FROM "&amp;I495),
IF(C495="Caracteres Especiais",+"SELECT '"&amp;UPPER(B495)&amp;"' AS TABELA, '"&amp;UPPER(C495)&amp;"' AS TIPOLOGIA_TESTE,'"&amp;D495&amp;"' AS TABELA_LT,'N/A' AS TABELA_SIMUL,'"&amp;F495&amp;"' AS CAMPO, "&amp;"'${ref_date}' AS REF_DATE, COUNT(*) AS NUM_REG, SUM(IF(INSTR(CAST(X."&amp;F495&amp;" AS STRING),'#')&gt;0 OR INSTR(CAST(X."&amp;F495&amp;" AS STRING),'*')&gt;0 OR INSTR(CAST(X."&amp;F495&amp;" AS STRING),'`')&gt;0 OR INSTR(CAST(X."&amp;F495&amp;" AS STRING),'´')&gt;0 OR INSTR(CAST(X."&amp;F495&amp;" AS STRING),'{')&gt;0 OR INSTR(CAST(X."&amp;F495&amp;" AS STRING),'}')&gt;0 OR INSTR(CAST(X."&amp;F495&amp;" AS STRING),'[')&gt;0 OR INSTR(CAST(X."&amp;F495&amp;" AS STRING),'')&gt;0 OR INSTR(CAST(X."&amp;F495&amp;" AS STRING),']')&gt;0 OR INSTR(CAST(X."&amp;F495&amp;" AS STRING),'?')&gt;0 OR INSTR(CAST(X."&amp;F495&amp;" AS STRING),'!')&gt;0 OR INSTR(CAST(X."&amp;F495&amp;" AS STRING),'$')&gt;0 OR INSTR(CAST(X."&amp;F495&amp;" AS STRING),'%')&gt;0 OR INSTR(CAST(X."&amp;F495&amp;" AS STRING),'&amp;')&gt;0 OR INSTR(CAST(X."&amp;F495&amp;" AS STRING),'+')&gt;0,1,0)) AS NUM_REG_DIF,'"&amp;MAX('ID1&amp;5'!K:K)+1&amp;"' AS ID_EXEC, CURRENT_TIMESTAMP() AS TIME_EXEC FROM "&amp;I495,
IF(C495="Missings",+"SELECT '"&amp;UPPER(B495)&amp;"' AS TABELA, '"&amp;UPPER(C495)&amp;"' AS TIPOLOGIA_TESTE,'"&amp;D495&amp;"' AS TABELA_LT,'N/A' AS TABELA_SIMUL,'"&amp;F495&amp;"' AS CAMPO, "&amp;"'${ref_date}' AS REF_DATE, COUNT(*) AS NUM_REG, SUM(IF(TRIM(CAST(X."&amp;F495&amp;" AS STRING)) IN ('0000-00-00','0001-01-01','9999-12-31','MISS','00000','99999999999','99999999999.00','99999999999.000000'),1,0)) AS NUM_REG_DIF,'"&amp;MAX('ID1&amp;5'!K:K)+1&amp;"' AS ID_EXEC, CURRENT_TIMESTAMP() AS TIME_EXEC FROM "&amp;I495,
IF(C495="Not applicable",+"SELECT '"&amp;UPPER(B495)&amp;"' AS TABELA, '"&amp;UPPER(C495)&amp;"' AS TIPOLOGIA_TESTE,'"&amp;D495&amp;"' AS TABELA_LT,'N/A' AS TABELA_SIMUL,'"&amp;F495&amp;"' AS CAMPO, "&amp;"'${ref_date}' AS REF_DATE, COUNT(*) AS NUM_REG, SUM(IF(TRIM(CAST(X."&amp;F495&amp;" AS STRING)) IN ('N/A','11111111111','11111111111.00','11111111111.000000','1111-11-11'),1,0)) AS NUM_REG_DIF,'"&amp;MAX('ID1&amp;5'!K:K)+1&amp;"' AS ID_EXEC, CURRENT_TIMESTAMP() AS TIME_EXEC FROM "&amp;I495,
IF(C495="Valores extremos",+"SELECT '"&amp;UPPER(B495)&amp;"' AS TABELA, '"&amp;UPPER(C495)&amp;"' AS TIPOLOGIA_TESTE,'"&amp;D495&amp;"' AS TABELA_LT,'N/A' AS TABELA_SIMUL,'"&amp;F495&amp;"' AS CAMPO, "&amp;"'${ref_date}' AS REF_DATE, CAST(MIN("&amp;F495&amp;") AS STRING) AS VALOR_MIN, CAST(MAX("&amp;F495&amp;") AS STRING) AS VALOR_MAX,'"&amp;MAX('ID1&amp;5'!K:K)+1&amp;"' AS ID_EXEC, CURRENT_TIMESTAMP() AS TIME_EXEC FROM "&amp;MID(I495,1,LEN(I495)-2)&amp;" AND CAST("&amp;F495&amp;"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TABELA_SIMUL,'PURE_CAPEX_CCA' AS CAMPO, '${ref_date}' AS REF_DATE, CAST(MIN(PURE_CAPEX_CCA) AS STRING) AS VALOR_MIN, CAST(MAX(PURE_CAPEX_CCA) AS STRING) AS VALOR_MAX,'10' AS ID_EXEC, CURRENT_TIMESTAMP() AS TIME_EXEC FROM (SELECT entty_id, PURE_CAPEX_CCA FROM BU_LOANTAPE_WORK.LT003_ENTITY WHERE ref_date='${ref_date}' AND nome_perimetro='Individual Corporativo' AND segmento='ESTR' AND ambito='PILAR3' AND CAST(PURE_CAPEX_CCA AS STRING) NOT IN ('0000-00-00','0001-01-01','9999-12-31','MISS','00000','99999999999','99999999999.00','99999999999.000000','N/A','11111111111','11111111111.00','11111111111.000000','1111-11-11'))X</v>
      </c>
      <c r="M495" s="43" t="str">
        <f t="shared" si="8"/>
        <v>UNION ALL SELECT 'ENTITY' AS TABELA, 'VALORES EXTREMOS' AS TIPOLOGIA_TESTE,'BU_LOANTAPE_WORK.LT003_ENTITY' AS TABELA_LT,'N/A' AS TABELA_SIMUL,'PURE_CAPEX_CCA' AS CAMPO, '${ref_date}' AS REF_DATE, CAST(MIN(PURE_CAPEX_CCA) AS STRING) AS VALOR_MIN, CAST(MAX(PURE_CAPEX_CCA) AS STRING) AS VALOR_MAX,'10' AS ID_EXEC, CURRENT_TIMESTAMP() AS TIME_EXEC FROM (SELECT entty_id, PURE_CAPEX_CCA FROM BU_LOANTAPE_WORK.LT003_ENTITY WHERE ref_date='${ref_date}' AND nome_perimetro='Individual Corporativo' AND segmento='ESTR' AND ambito='PILAR3' AND CAST(PURE_CAPEX_CCA AS STRING) NOT IN ('0000-00-00','0001-01-01','9999-12-31','MISS','00000','99999999999','99999999999.00','99999999999.000000','N/A','11111111111','11111111111.00','11111111111.000000','1111-11-11'))X</v>
      </c>
      <c r="N495" s="45" t="s">
        <v>13</v>
      </c>
    </row>
    <row r="496" spans="2:14">
      <c r="B496" s="41" t="s">
        <v>23</v>
      </c>
      <c r="C496" s="41" t="s">
        <v>226</v>
      </c>
      <c r="D496" s="41" t="str">
        <f>+UPPER('0. Instruções'!$D$33&amp;"."&amp;VLOOKUP(B496,'0. Instruções'!$C$27:$D$31,2,FALSE))</f>
        <v>BU_LOANTAPE_WORK.LT003_ENTITY</v>
      </c>
      <c r="E496" s="41" t="str">
        <f>+UPPER('0. Instruções'!$D$34&amp;"."&amp;VLOOKUP(B496,'0. Instruções'!$C$27:$E$31,3,FALSE))</f>
        <v>BU_LOANTAPE_WORK.LT003_ENTTY_P3_NOV24</v>
      </c>
      <c r="F496" s="41" t="s">
        <v>111</v>
      </c>
      <c r="G496" s="41" t="s">
        <v>210</v>
      </c>
      <c r="H496" s="41"/>
      <c r="I496" s="41" t="str">
        <f>"(SELECT "&amp;VLOOKUP(B496,'0. Instruções'!$C$27:$G$31,4,FALSE)&amp;", "&amp;F496&amp;" FROM "&amp;D496&amp;" WHERE "&amp;'0. Instruções'!$D$40&amp;")X"</f>
        <v>(SELECT entty_id, ENBLNG_TRNVR_CCM FROM BU_LOANTAPE_WORK.LT003_ENTITY WHERE ref_date='${ref_date}' AND nome_perimetro='Individual Corporativo' AND segmento='ESTR' AND ambito='PILAR3')X</v>
      </c>
      <c r="J496" s="41" t="str">
        <f>"(SELECT "&amp;VLOOKUP(B496,'0. Instruções'!$C$27:$G$31,4,FALSE)&amp;" AS "&amp;VLOOKUP(B496,'0. Instruções'!$C$27:$G$31,4,FALSE)&amp;"_SIMUL, "&amp;F496&amp;" AS "&amp;F496&amp;"_SIMUL FROM "&amp;E496&amp;")Y"</f>
        <v>(SELECT entty_id AS entty_id_SIMUL, ENBLNG_TRNVR_CCM AS ENBLNG_TRNVR_CCM_SIMUL FROM BU_LOANTAPE_WORK.LT003_ENTTY_P3_NOV24)Y</v>
      </c>
      <c r="K496" s="42" t="str">
        <f>+UPPER("ON X."&amp;VLOOKUP(B496,'0. Instruções'!$C$27:$G$31,4,FALSE)&amp;"=Y."&amp;VLOOKUP(B496,'0. Instruções'!$C$27:$G$31,4,FALSE)&amp;"_SIMUL")</f>
        <v>ON X.ENTTY_ID=Y.ENTTY_ID_SIMUL</v>
      </c>
      <c r="L496" s="42" t="str">
        <f>+IF(C496="Coerência", +IF(LEFT(G496,5)="FLOAT","SELECT '"&amp;UPPER(B496)&amp;"' AS TABELA, '"&amp;UPPER(C496)&amp;"' AS TIPOLOGIA_TESTE,'"&amp;D496&amp;"' AS TABELA_LT,'"&amp;E496&amp;"' AS TABELA_SIMUL,'"&amp;F496&amp;"' AS CAMPO, "&amp;"'${ref_date}' AS REF_DATE, COUNT(*) AS NUM_REG, SUM(IF((ABS(COALESCE(X."&amp;F496&amp;",0)-COALESCE(Y."&amp;F496&amp;"_SIMUL,0))&gt;0.0000000001) OR (X."&amp;F496&amp;" IS NULL AND Y."&amp;F496&amp;"_SIMUL IS NOT NULL ) OR (X."&amp;F496&amp;" IS NOT NULL AND Y."&amp;F496&amp;"_SIMUL IS NULL),1,0)) AS NUM_REG_DIF,'"&amp;MAX('ID1&amp;5'!K:K)+1&amp;"' AS ID_EXEC, CURRENT_TIMESTAMP() AS TIME_EXEC FROM "&amp;I496&amp;" INNER JOIN "&amp;J496&amp;" "&amp;K496,"SELECT '"&amp;UPPER(B496)&amp;"' AS TABELA, '"&amp;UPPER(C496)&amp;"' AS TIPOLOGIA_TESTE,'"&amp;D496&amp;"' AS TABELA_LT,'"&amp;E496&amp;"' AS TABELA_SIMUL,'"&amp;F496&amp;"' AS CAMPO, "&amp;"'${ref_date}' AS REF_DATE, COUNT(*) AS NUM_REG, SUM(IF(COALESCE(CAST(X."&amp;F496&amp;" AS STRING),'')&lt;&gt;COALESCE(CAST(Y."&amp;F496&amp;"_SIMUL AS STRING),''),1,0)) AS NUM_REG_DIF,'"&amp;MAX('ID1&amp;5'!L:L)+1&amp;"' AS ID_EXEC, CURRENT_TIMESTAMP() AS TIME_EXEC FROM "&amp;I496&amp;" INNER JOIN "&amp;J496&amp;" "&amp;K496),
IF(C496="Validade",+IF(G496="Code List","SELECT '"&amp;UPPER(B496)&amp;"' AS TABELA, '"&amp;UPPER(C496)&amp;"' AS TIPOLOGIA_TESTE,'"&amp;D496&amp;"' AS TABELA_LT,'N/A' AS TABELA_SIMUL,'"&amp;F496&amp;"' AS CAMPO, "&amp;"'${ref_date}' AS REF_DATE, COUNT(*) AS NUM_REG, SUM(IF(TRIM(CAST(X."&amp;F496&amp;" AS STRING))='' OR TRIM(CAST(X."&amp;F496&amp;" AS STRING)) IS NULL OR CAST(X."&amp;F496&amp;" AS STRING) NOT "&amp;H496&amp;",1,0)) AS NUM_REG_DIF,'"&amp;MAX('ID1&amp;5'!K:K)+1&amp;"' AS ID_EXEC, CURRENT_TIMESTAMP() AS TIME_EXEC FROM "&amp;I496,"SELECT '"&amp;UPPER(B496)&amp;"' AS TABELA, '"&amp;UPPER(C496)&amp;"' AS TIPOLOGIA_TESTE,'"&amp;D496&amp;"' AS TABELA_LT,'N/A' AS TABELA_SIMUL,'"&amp;F496&amp;"' AS CAMPO, "&amp;"'${ref_date}' AS REF_DATE, COUNT(*) AS NUM_REG, SUM(IF(TRIM(CAST(X."&amp;F496&amp;" AS STRING))='' OR TRIM(CAST(X."&amp;F496&amp;" AS STRING)) IS NULL,1,0)) AS NUM_REG_DIF,'"&amp;MAX('ID1&amp;5'!K:K)+1&amp;"' AS ID_EXEC, CURRENT_TIMESTAMP() AS TIME_EXEC FROM "&amp;I496),
IF(C496="Caracteres Especiais",+"SELECT '"&amp;UPPER(B496)&amp;"' AS TABELA, '"&amp;UPPER(C496)&amp;"' AS TIPOLOGIA_TESTE,'"&amp;D496&amp;"' AS TABELA_LT,'N/A' AS TABELA_SIMUL,'"&amp;F496&amp;"' AS CAMPO, "&amp;"'${ref_date}' AS REF_DATE, COUNT(*) AS NUM_REG, SUM(IF(INSTR(CAST(X."&amp;F496&amp;" AS STRING),'#')&gt;0 OR INSTR(CAST(X."&amp;F496&amp;" AS STRING),'*')&gt;0 OR INSTR(CAST(X."&amp;F496&amp;" AS STRING),'`')&gt;0 OR INSTR(CAST(X."&amp;F496&amp;" AS STRING),'´')&gt;0 OR INSTR(CAST(X."&amp;F496&amp;" AS STRING),'{')&gt;0 OR INSTR(CAST(X."&amp;F496&amp;" AS STRING),'}')&gt;0 OR INSTR(CAST(X."&amp;F496&amp;" AS STRING),'[')&gt;0 OR INSTR(CAST(X."&amp;F496&amp;" AS STRING),'')&gt;0 OR INSTR(CAST(X."&amp;F496&amp;" AS STRING),']')&gt;0 OR INSTR(CAST(X."&amp;F496&amp;" AS STRING),'?')&gt;0 OR INSTR(CAST(X."&amp;F496&amp;" AS STRING),'!')&gt;0 OR INSTR(CAST(X."&amp;F496&amp;" AS STRING),'$')&gt;0 OR INSTR(CAST(X."&amp;F496&amp;" AS STRING),'%')&gt;0 OR INSTR(CAST(X."&amp;F496&amp;" AS STRING),'&amp;')&gt;0 OR INSTR(CAST(X."&amp;F496&amp;" AS STRING),'+')&gt;0,1,0)) AS NUM_REG_DIF,'"&amp;MAX('ID1&amp;5'!K:K)+1&amp;"' AS ID_EXEC, CURRENT_TIMESTAMP() AS TIME_EXEC FROM "&amp;I496,
IF(C496="Missings",+"SELECT '"&amp;UPPER(B496)&amp;"' AS TABELA, '"&amp;UPPER(C496)&amp;"' AS TIPOLOGIA_TESTE,'"&amp;D496&amp;"' AS TABELA_LT,'N/A' AS TABELA_SIMUL,'"&amp;F496&amp;"' AS CAMPO, "&amp;"'${ref_date}' AS REF_DATE, COUNT(*) AS NUM_REG, SUM(IF(TRIM(CAST(X."&amp;F496&amp;" AS STRING)) IN ('0000-00-00','0001-01-01','9999-12-31','MISS','00000','99999999999','99999999999.00','99999999999.000000'),1,0)) AS NUM_REG_DIF,'"&amp;MAX('ID1&amp;5'!K:K)+1&amp;"' AS ID_EXEC, CURRENT_TIMESTAMP() AS TIME_EXEC FROM "&amp;I496,
IF(C496="Not applicable",+"SELECT '"&amp;UPPER(B496)&amp;"' AS TABELA, '"&amp;UPPER(C496)&amp;"' AS TIPOLOGIA_TESTE,'"&amp;D496&amp;"' AS TABELA_LT,'N/A' AS TABELA_SIMUL,'"&amp;F496&amp;"' AS CAMPO, "&amp;"'${ref_date}' AS REF_DATE, COUNT(*) AS NUM_REG, SUM(IF(TRIM(CAST(X."&amp;F496&amp;" AS STRING)) IN ('N/A','11111111111','11111111111.00','11111111111.000000','1111-11-11'),1,0)) AS NUM_REG_DIF,'"&amp;MAX('ID1&amp;5'!K:K)+1&amp;"' AS ID_EXEC, CURRENT_TIMESTAMP() AS TIME_EXEC FROM "&amp;I496,
IF(C496="Valores extremos",+"SELECT '"&amp;UPPER(B496)&amp;"' AS TABELA, '"&amp;UPPER(C496)&amp;"' AS TIPOLOGIA_TESTE,'"&amp;D496&amp;"' AS TABELA_LT,'N/A' AS TABELA_SIMUL,'"&amp;F496&amp;"' AS CAMPO, "&amp;"'${ref_date}' AS REF_DATE, CAST(MIN("&amp;F496&amp;") AS STRING) AS VALOR_MIN, CAST(MAX("&amp;F496&amp;") AS STRING) AS VALOR_MAX,'"&amp;MAX('ID1&amp;5'!K:K)+1&amp;"' AS ID_EXEC, CURRENT_TIMESTAMP() AS TIME_EXEC FROM "&amp;MID(I496,1,LEN(I496)-2)&amp;" AND CAST("&amp;F496&amp;"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TABELA_SIMUL,'ENBLNG_TRNVR_CCM' AS CAMPO, '${ref_date}' AS REF_DATE, CAST(MIN(ENBLNG_TRNVR_CCM) AS STRING) AS VALOR_MIN, CAST(MAX(ENBLNG_TRNVR_CCM) AS STRING) AS VALOR_MAX,'10' AS ID_EXEC, CURRENT_TIMESTAMP() AS TIME_EXEC FROM (SELECT entty_id, ENBLNG_TRNVR_CCM FROM BU_LOANTAPE_WORK.LT003_ENTITY WHERE ref_date='${ref_date}' AND nome_perimetro='Individual Corporativo' AND segmento='ESTR' AND ambito='PILAR3' AND CAST(ENBLNG_TRNVR_CCM AS STRING) NOT IN ('0000-00-00','0001-01-01','9999-12-31','MISS','00000','99999999999','99999999999.00','99999999999.000000','N/A','11111111111','11111111111.00','11111111111.000000','1111-11-11'))X</v>
      </c>
      <c r="M496" s="43" t="str">
        <f t="shared" si="8"/>
        <v>UNION ALL SELECT 'ENTITY' AS TABELA, 'VALORES EXTREMOS' AS TIPOLOGIA_TESTE,'BU_LOANTAPE_WORK.LT003_ENTITY' AS TABELA_LT,'N/A' AS TABELA_SIMUL,'ENBLNG_TRNVR_CCM' AS CAMPO, '${ref_date}' AS REF_DATE, CAST(MIN(ENBLNG_TRNVR_CCM) AS STRING) AS VALOR_MIN, CAST(MAX(ENBLNG_TRNVR_CCM) AS STRING) AS VALOR_MAX,'10' AS ID_EXEC, CURRENT_TIMESTAMP() AS TIME_EXEC FROM (SELECT entty_id, ENBLNG_TRNVR_CCM FROM BU_LOANTAPE_WORK.LT003_ENTITY WHERE ref_date='${ref_date}' AND nome_perimetro='Individual Corporativo' AND segmento='ESTR' AND ambito='PILAR3' AND CAST(ENBLNG_TRNVR_CCM AS STRING) NOT IN ('0000-00-00','0001-01-01','9999-12-31','MISS','00000','99999999999','99999999999.00','99999999999.000000','N/A','11111111111','11111111111.00','11111111111.000000','1111-11-11'))X</v>
      </c>
      <c r="N496" s="45" t="s">
        <v>13</v>
      </c>
    </row>
    <row r="497" spans="2:14">
      <c r="B497" s="41" t="s">
        <v>23</v>
      </c>
      <c r="C497" s="41" t="s">
        <v>226</v>
      </c>
      <c r="D497" s="41" t="str">
        <f>+UPPER('0. Instruções'!$D$33&amp;"."&amp;VLOOKUP(B497,'0. Instruções'!$C$27:$D$31,2,FALSE))</f>
        <v>BU_LOANTAPE_WORK.LT003_ENTITY</v>
      </c>
      <c r="E497" s="41" t="str">
        <f>+UPPER('0. Instruções'!$D$34&amp;"."&amp;VLOOKUP(B497,'0. Instruções'!$C$27:$E$31,3,FALSE))</f>
        <v>BU_LOANTAPE_WORK.LT003_ENTTY_P3_NOV24</v>
      </c>
      <c r="F497" s="41" t="s">
        <v>112</v>
      </c>
      <c r="G497" s="41" t="s">
        <v>210</v>
      </c>
      <c r="H497" s="41"/>
      <c r="I497" s="41" t="str">
        <f>"(SELECT "&amp;VLOOKUP(B497,'0. Instruções'!$C$27:$G$31,4,FALSE)&amp;", "&amp;F497&amp;" FROM "&amp;D497&amp;" WHERE "&amp;'0. Instruções'!$D$40&amp;")X"</f>
        <v>(SELECT entty_id, ENBLNG_TRNVR_CCA FROM BU_LOANTAPE_WORK.LT003_ENTITY WHERE ref_date='${ref_date}' AND nome_perimetro='Individual Corporativo' AND segmento='ESTR' AND ambito='PILAR3')X</v>
      </c>
      <c r="J497" s="41" t="str">
        <f>"(SELECT "&amp;VLOOKUP(B497,'0. Instruções'!$C$27:$G$31,4,FALSE)&amp;" AS "&amp;VLOOKUP(B497,'0. Instruções'!$C$27:$G$31,4,FALSE)&amp;"_SIMUL, "&amp;F497&amp;" AS "&amp;F497&amp;"_SIMUL FROM "&amp;E497&amp;")Y"</f>
        <v>(SELECT entty_id AS entty_id_SIMUL, ENBLNG_TRNVR_CCA AS ENBLNG_TRNVR_CCA_SIMUL FROM BU_LOANTAPE_WORK.LT003_ENTTY_P3_NOV24)Y</v>
      </c>
      <c r="K497" s="42" t="str">
        <f>+UPPER("ON X."&amp;VLOOKUP(B497,'0. Instruções'!$C$27:$G$31,4,FALSE)&amp;"=Y."&amp;VLOOKUP(B497,'0. Instruções'!$C$27:$G$31,4,FALSE)&amp;"_SIMUL")</f>
        <v>ON X.ENTTY_ID=Y.ENTTY_ID_SIMUL</v>
      </c>
      <c r="L497" s="42" t="str">
        <f>+IF(C497="Coerência", +IF(LEFT(G497,5)="FLOAT","SELECT '"&amp;UPPER(B497)&amp;"' AS TABELA, '"&amp;UPPER(C497)&amp;"' AS TIPOLOGIA_TESTE,'"&amp;D497&amp;"' AS TABELA_LT,'"&amp;E497&amp;"' AS TABELA_SIMUL,'"&amp;F497&amp;"' AS CAMPO, "&amp;"'${ref_date}' AS REF_DATE, COUNT(*) AS NUM_REG, SUM(IF((ABS(COALESCE(X."&amp;F497&amp;",0)-COALESCE(Y."&amp;F497&amp;"_SIMUL,0))&gt;0.0000000001) OR (X."&amp;F497&amp;" IS NULL AND Y."&amp;F497&amp;"_SIMUL IS NOT NULL ) OR (X."&amp;F497&amp;" IS NOT NULL AND Y."&amp;F497&amp;"_SIMUL IS NULL),1,0)) AS NUM_REG_DIF,'"&amp;MAX('ID1&amp;5'!K:K)+1&amp;"' AS ID_EXEC, CURRENT_TIMESTAMP() AS TIME_EXEC FROM "&amp;I497&amp;" INNER JOIN "&amp;J497&amp;" "&amp;K497,"SELECT '"&amp;UPPER(B497)&amp;"' AS TABELA, '"&amp;UPPER(C497)&amp;"' AS TIPOLOGIA_TESTE,'"&amp;D497&amp;"' AS TABELA_LT,'"&amp;E497&amp;"' AS TABELA_SIMUL,'"&amp;F497&amp;"' AS CAMPO, "&amp;"'${ref_date}' AS REF_DATE, COUNT(*) AS NUM_REG, SUM(IF(COALESCE(CAST(X."&amp;F497&amp;" AS STRING),'')&lt;&gt;COALESCE(CAST(Y."&amp;F497&amp;"_SIMUL AS STRING),''),1,0)) AS NUM_REG_DIF,'"&amp;MAX('ID1&amp;5'!L:L)+1&amp;"' AS ID_EXEC, CURRENT_TIMESTAMP() AS TIME_EXEC FROM "&amp;I497&amp;" INNER JOIN "&amp;J497&amp;" "&amp;K497),
IF(C497="Validade",+IF(G497="Code List","SELECT '"&amp;UPPER(B497)&amp;"' AS TABELA, '"&amp;UPPER(C497)&amp;"' AS TIPOLOGIA_TESTE,'"&amp;D497&amp;"' AS TABELA_LT,'N/A' AS TABELA_SIMUL,'"&amp;F497&amp;"' AS CAMPO, "&amp;"'${ref_date}' AS REF_DATE, COUNT(*) AS NUM_REG, SUM(IF(TRIM(CAST(X."&amp;F497&amp;" AS STRING))='' OR TRIM(CAST(X."&amp;F497&amp;" AS STRING)) IS NULL OR CAST(X."&amp;F497&amp;" AS STRING) NOT "&amp;H497&amp;",1,0)) AS NUM_REG_DIF,'"&amp;MAX('ID1&amp;5'!K:K)+1&amp;"' AS ID_EXEC, CURRENT_TIMESTAMP() AS TIME_EXEC FROM "&amp;I497,"SELECT '"&amp;UPPER(B497)&amp;"' AS TABELA, '"&amp;UPPER(C497)&amp;"' AS TIPOLOGIA_TESTE,'"&amp;D497&amp;"' AS TABELA_LT,'N/A' AS TABELA_SIMUL,'"&amp;F497&amp;"' AS CAMPO, "&amp;"'${ref_date}' AS REF_DATE, COUNT(*) AS NUM_REG, SUM(IF(TRIM(CAST(X."&amp;F497&amp;" AS STRING))='' OR TRIM(CAST(X."&amp;F497&amp;" AS STRING)) IS NULL,1,0)) AS NUM_REG_DIF,'"&amp;MAX('ID1&amp;5'!K:K)+1&amp;"' AS ID_EXEC, CURRENT_TIMESTAMP() AS TIME_EXEC FROM "&amp;I497),
IF(C497="Caracteres Especiais",+"SELECT '"&amp;UPPER(B497)&amp;"' AS TABELA, '"&amp;UPPER(C497)&amp;"' AS TIPOLOGIA_TESTE,'"&amp;D497&amp;"' AS TABELA_LT,'N/A' AS TABELA_SIMUL,'"&amp;F497&amp;"' AS CAMPO, "&amp;"'${ref_date}' AS REF_DATE, COUNT(*) AS NUM_REG, SUM(IF(INSTR(CAST(X."&amp;F497&amp;" AS STRING),'#')&gt;0 OR INSTR(CAST(X."&amp;F497&amp;" AS STRING),'*')&gt;0 OR INSTR(CAST(X."&amp;F497&amp;" AS STRING),'`')&gt;0 OR INSTR(CAST(X."&amp;F497&amp;" AS STRING),'´')&gt;0 OR INSTR(CAST(X."&amp;F497&amp;" AS STRING),'{')&gt;0 OR INSTR(CAST(X."&amp;F497&amp;" AS STRING),'}')&gt;0 OR INSTR(CAST(X."&amp;F497&amp;" AS STRING),'[')&gt;0 OR INSTR(CAST(X."&amp;F497&amp;" AS STRING),'')&gt;0 OR INSTR(CAST(X."&amp;F497&amp;" AS STRING),']')&gt;0 OR INSTR(CAST(X."&amp;F497&amp;" AS STRING),'?')&gt;0 OR INSTR(CAST(X."&amp;F497&amp;" AS STRING),'!')&gt;0 OR INSTR(CAST(X."&amp;F497&amp;" AS STRING),'$')&gt;0 OR INSTR(CAST(X."&amp;F497&amp;" AS STRING),'%')&gt;0 OR INSTR(CAST(X."&amp;F497&amp;" AS STRING),'&amp;')&gt;0 OR INSTR(CAST(X."&amp;F497&amp;" AS STRING),'+')&gt;0,1,0)) AS NUM_REG_DIF,'"&amp;MAX('ID1&amp;5'!K:K)+1&amp;"' AS ID_EXEC, CURRENT_TIMESTAMP() AS TIME_EXEC FROM "&amp;I497,
IF(C497="Missings",+"SELECT '"&amp;UPPER(B497)&amp;"' AS TABELA, '"&amp;UPPER(C497)&amp;"' AS TIPOLOGIA_TESTE,'"&amp;D497&amp;"' AS TABELA_LT,'N/A' AS TABELA_SIMUL,'"&amp;F497&amp;"' AS CAMPO, "&amp;"'${ref_date}' AS REF_DATE, COUNT(*) AS NUM_REG, SUM(IF(TRIM(CAST(X."&amp;F497&amp;" AS STRING)) IN ('0000-00-00','0001-01-01','9999-12-31','MISS','00000','99999999999','99999999999.00','99999999999.000000'),1,0)) AS NUM_REG_DIF,'"&amp;MAX('ID1&amp;5'!K:K)+1&amp;"' AS ID_EXEC, CURRENT_TIMESTAMP() AS TIME_EXEC FROM "&amp;I497,
IF(C497="Not applicable",+"SELECT '"&amp;UPPER(B497)&amp;"' AS TABELA, '"&amp;UPPER(C497)&amp;"' AS TIPOLOGIA_TESTE,'"&amp;D497&amp;"' AS TABELA_LT,'N/A' AS TABELA_SIMUL,'"&amp;F497&amp;"' AS CAMPO, "&amp;"'${ref_date}' AS REF_DATE, COUNT(*) AS NUM_REG, SUM(IF(TRIM(CAST(X."&amp;F497&amp;" AS STRING)) IN ('N/A','11111111111','11111111111.00','11111111111.000000','1111-11-11'),1,0)) AS NUM_REG_DIF,'"&amp;MAX('ID1&amp;5'!K:K)+1&amp;"' AS ID_EXEC, CURRENT_TIMESTAMP() AS TIME_EXEC FROM "&amp;I497,
IF(C497="Valores extremos",+"SELECT '"&amp;UPPER(B497)&amp;"' AS TABELA, '"&amp;UPPER(C497)&amp;"' AS TIPOLOGIA_TESTE,'"&amp;D497&amp;"' AS TABELA_LT,'N/A' AS TABELA_SIMUL,'"&amp;F497&amp;"' AS CAMPO, "&amp;"'${ref_date}' AS REF_DATE, CAST(MIN("&amp;F497&amp;") AS STRING) AS VALOR_MIN, CAST(MAX("&amp;F497&amp;") AS STRING) AS VALOR_MAX,'"&amp;MAX('ID1&amp;5'!K:K)+1&amp;"' AS ID_EXEC, CURRENT_TIMESTAMP() AS TIME_EXEC FROM "&amp;MID(I497,1,LEN(I497)-2)&amp;" AND CAST("&amp;F497&amp;"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TABELA_SIMUL,'ENBLNG_TRNVR_CCA' AS CAMPO, '${ref_date}' AS REF_DATE, CAST(MIN(ENBLNG_TRNVR_CCA) AS STRING) AS VALOR_MIN, CAST(MAX(ENBLNG_TRNVR_CCA) AS STRING) AS VALOR_MAX,'10' AS ID_EXEC, CURRENT_TIMESTAMP() AS TIME_EXEC FROM (SELECT entty_id, ENBLNG_TRNVR_CCA FROM BU_LOANTAPE_WORK.LT003_ENTITY WHERE ref_date='${ref_date}' AND nome_perimetro='Individual Corporativo' AND segmento='ESTR' AND ambito='PILAR3' AND CAST(ENBLNG_TRNVR_CCA AS STRING) NOT IN ('0000-00-00','0001-01-01','9999-12-31','MISS','00000','99999999999','99999999999.00','99999999999.000000','N/A','11111111111','11111111111.00','11111111111.000000','1111-11-11'))X</v>
      </c>
      <c r="M497" s="43" t="str">
        <f t="shared" si="8"/>
        <v>UNION ALL SELECT 'ENTITY' AS TABELA, 'VALORES EXTREMOS' AS TIPOLOGIA_TESTE,'BU_LOANTAPE_WORK.LT003_ENTITY' AS TABELA_LT,'N/A' AS TABELA_SIMUL,'ENBLNG_TRNVR_CCA' AS CAMPO, '${ref_date}' AS REF_DATE, CAST(MIN(ENBLNG_TRNVR_CCA) AS STRING) AS VALOR_MIN, CAST(MAX(ENBLNG_TRNVR_CCA) AS STRING) AS VALOR_MAX,'10' AS ID_EXEC, CURRENT_TIMESTAMP() AS TIME_EXEC FROM (SELECT entty_id, ENBLNG_TRNVR_CCA FROM BU_LOANTAPE_WORK.LT003_ENTITY WHERE ref_date='${ref_date}' AND nome_perimetro='Individual Corporativo' AND segmento='ESTR' AND ambito='PILAR3' AND CAST(ENBLNG_TRNVR_CCA AS STRING) NOT IN ('0000-00-00','0001-01-01','9999-12-31','MISS','00000','99999999999','99999999999.00','99999999999.000000','N/A','11111111111','11111111111.00','11111111111.000000','1111-11-11'))X</v>
      </c>
      <c r="N497" s="45" t="s">
        <v>13</v>
      </c>
    </row>
    <row r="498" spans="2:14">
      <c r="B498" s="41" t="s">
        <v>23</v>
      </c>
      <c r="C498" s="41" t="s">
        <v>226</v>
      </c>
      <c r="D498" s="41" t="str">
        <f>+UPPER('0. Instruções'!$D$33&amp;"."&amp;VLOOKUP(B498,'0. Instruções'!$C$27:$D$31,2,FALSE))</f>
        <v>BU_LOANTAPE_WORK.LT003_ENTITY</v>
      </c>
      <c r="E498" s="41" t="str">
        <f>+UPPER('0. Instruções'!$D$34&amp;"."&amp;VLOOKUP(B498,'0. Instruções'!$C$27:$E$31,3,FALSE))</f>
        <v>BU_LOANTAPE_WORK.LT003_ENTTY_P3_NOV24</v>
      </c>
      <c r="F498" s="41" t="s">
        <v>113</v>
      </c>
      <c r="G498" s="41" t="s">
        <v>210</v>
      </c>
      <c r="H498" s="41"/>
      <c r="I498" s="41" t="str">
        <f>"(SELECT "&amp;VLOOKUP(B498,'0. Instruções'!$C$27:$G$31,4,FALSE)&amp;", "&amp;F498&amp;" FROM "&amp;D498&amp;" WHERE "&amp;'0. Instruções'!$D$40&amp;")X"</f>
        <v>(SELECT entty_id, TRNSTNL_TRNVR FROM BU_LOANTAPE_WORK.LT003_ENTITY WHERE ref_date='${ref_date}' AND nome_perimetro='Individual Corporativo' AND segmento='ESTR' AND ambito='PILAR3')X</v>
      </c>
      <c r="J498" s="41" t="str">
        <f>"(SELECT "&amp;VLOOKUP(B498,'0. Instruções'!$C$27:$G$31,4,FALSE)&amp;" AS "&amp;VLOOKUP(B498,'0. Instruções'!$C$27:$G$31,4,FALSE)&amp;"_SIMUL, "&amp;F498&amp;" AS "&amp;F498&amp;"_SIMUL FROM "&amp;E498&amp;")Y"</f>
        <v>(SELECT entty_id AS entty_id_SIMUL, TRNSTNL_TRNVR AS TRNSTNL_TRNVR_SIMUL FROM BU_LOANTAPE_WORK.LT003_ENTTY_P3_NOV24)Y</v>
      </c>
      <c r="K498" s="42" t="str">
        <f>+UPPER("ON X."&amp;VLOOKUP(B498,'0. Instruções'!$C$27:$G$31,4,FALSE)&amp;"=Y."&amp;VLOOKUP(B498,'0. Instruções'!$C$27:$G$31,4,FALSE)&amp;"_SIMUL")</f>
        <v>ON X.ENTTY_ID=Y.ENTTY_ID_SIMUL</v>
      </c>
      <c r="L498" s="42" t="str">
        <f>+IF(C498="Coerência", +IF(LEFT(G498,5)="FLOAT","SELECT '"&amp;UPPER(B498)&amp;"' AS TABELA, '"&amp;UPPER(C498)&amp;"' AS TIPOLOGIA_TESTE,'"&amp;D498&amp;"' AS TABELA_LT,'"&amp;E498&amp;"' AS TABELA_SIMUL,'"&amp;F498&amp;"' AS CAMPO, "&amp;"'${ref_date}' AS REF_DATE, COUNT(*) AS NUM_REG, SUM(IF((ABS(COALESCE(X."&amp;F498&amp;",0)-COALESCE(Y."&amp;F498&amp;"_SIMUL,0))&gt;0.0000000001) OR (X."&amp;F498&amp;" IS NULL AND Y."&amp;F498&amp;"_SIMUL IS NOT NULL ) OR (X."&amp;F498&amp;" IS NOT NULL AND Y."&amp;F498&amp;"_SIMUL IS NULL),1,0)) AS NUM_REG_DIF,'"&amp;MAX('ID1&amp;5'!K:K)+1&amp;"' AS ID_EXEC, CURRENT_TIMESTAMP() AS TIME_EXEC FROM "&amp;I498&amp;" INNER JOIN "&amp;J498&amp;" "&amp;K498,"SELECT '"&amp;UPPER(B498)&amp;"' AS TABELA, '"&amp;UPPER(C498)&amp;"' AS TIPOLOGIA_TESTE,'"&amp;D498&amp;"' AS TABELA_LT,'"&amp;E498&amp;"' AS TABELA_SIMUL,'"&amp;F498&amp;"' AS CAMPO, "&amp;"'${ref_date}' AS REF_DATE, COUNT(*) AS NUM_REG, SUM(IF(COALESCE(CAST(X."&amp;F498&amp;" AS STRING),'')&lt;&gt;COALESCE(CAST(Y."&amp;F498&amp;"_SIMUL AS STRING),''),1,0)) AS NUM_REG_DIF,'"&amp;MAX('ID1&amp;5'!L:L)+1&amp;"' AS ID_EXEC, CURRENT_TIMESTAMP() AS TIME_EXEC FROM "&amp;I498&amp;" INNER JOIN "&amp;J498&amp;" "&amp;K498),
IF(C498="Validade",+IF(G498="Code List","SELECT '"&amp;UPPER(B498)&amp;"' AS TABELA, '"&amp;UPPER(C498)&amp;"' AS TIPOLOGIA_TESTE,'"&amp;D498&amp;"' AS TABELA_LT,'N/A' AS TABELA_SIMUL,'"&amp;F498&amp;"' AS CAMPO, "&amp;"'${ref_date}' AS REF_DATE, COUNT(*) AS NUM_REG, SUM(IF(TRIM(CAST(X."&amp;F498&amp;" AS STRING))='' OR TRIM(CAST(X."&amp;F498&amp;" AS STRING)) IS NULL OR CAST(X."&amp;F498&amp;" AS STRING) NOT "&amp;H498&amp;",1,0)) AS NUM_REG_DIF,'"&amp;MAX('ID1&amp;5'!K:K)+1&amp;"' AS ID_EXEC, CURRENT_TIMESTAMP() AS TIME_EXEC FROM "&amp;I498,"SELECT '"&amp;UPPER(B498)&amp;"' AS TABELA, '"&amp;UPPER(C498)&amp;"' AS TIPOLOGIA_TESTE,'"&amp;D498&amp;"' AS TABELA_LT,'N/A' AS TABELA_SIMUL,'"&amp;F498&amp;"' AS CAMPO, "&amp;"'${ref_date}' AS REF_DATE, COUNT(*) AS NUM_REG, SUM(IF(TRIM(CAST(X."&amp;F498&amp;" AS STRING))='' OR TRIM(CAST(X."&amp;F498&amp;" AS STRING)) IS NULL,1,0)) AS NUM_REG_DIF,'"&amp;MAX('ID1&amp;5'!K:K)+1&amp;"' AS ID_EXEC, CURRENT_TIMESTAMP() AS TIME_EXEC FROM "&amp;I498),
IF(C498="Caracteres Especiais",+"SELECT '"&amp;UPPER(B498)&amp;"' AS TABELA, '"&amp;UPPER(C498)&amp;"' AS TIPOLOGIA_TESTE,'"&amp;D498&amp;"' AS TABELA_LT,'N/A' AS TABELA_SIMUL,'"&amp;F498&amp;"' AS CAMPO, "&amp;"'${ref_date}' AS REF_DATE, COUNT(*) AS NUM_REG, SUM(IF(INSTR(CAST(X."&amp;F498&amp;" AS STRING),'#')&gt;0 OR INSTR(CAST(X."&amp;F498&amp;" AS STRING),'*')&gt;0 OR INSTR(CAST(X."&amp;F498&amp;" AS STRING),'`')&gt;0 OR INSTR(CAST(X."&amp;F498&amp;" AS STRING),'´')&gt;0 OR INSTR(CAST(X."&amp;F498&amp;" AS STRING),'{')&gt;0 OR INSTR(CAST(X."&amp;F498&amp;" AS STRING),'}')&gt;0 OR INSTR(CAST(X."&amp;F498&amp;" AS STRING),'[')&gt;0 OR INSTR(CAST(X."&amp;F498&amp;" AS STRING),'')&gt;0 OR INSTR(CAST(X."&amp;F498&amp;" AS STRING),']')&gt;0 OR INSTR(CAST(X."&amp;F498&amp;" AS STRING),'?')&gt;0 OR INSTR(CAST(X."&amp;F498&amp;" AS STRING),'!')&gt;0 OR INSTR(CAST(X."&amp;F498&amp;" AS STRING),'$')&gt;0 OR INSTR(CAST(X."&amp;F498&amp;" AS STRING),'%')&gt;0 OR INSTR(CAST(X."&amp;F498&amp;" AS STRING),'&amp;')&gt;0 OR INSTR(CAST(X."&amp;F498&amp;" AS STRING),'+')&gt;0,1,0)) AS NUM_REG_DIF,'"&amp;MAX('ID1&amp;5'!K:K)+1&amp;"' AS ID_EXEC, CURRENT_TIMESTAMP() AS TIME_EXEC FROM "&amp;I498,
IF(C498="Missings",+"SELECT '"&amp;UPPER(B498)&amp;"' AS TABELA, '"&amp;UPPER(C498)&amp;"' AS TIPOLOGIA_TESTE,'"&amp;D498&amp;"' AS TABELA_LT,'N/A' AS TABELA_SIMUL,'"&amp;F498&amp;"' AS CAMPO, "&amp;"'${ref_date}' AS REF_DATE, COUNT(*) AS NUM_REG, SUM(IF(TRIM(CAST(X."&amp;F498&amp;" AS STRING)) IN ('0000-00-00','0001-01-01','9999-12-31','MISS','00000','99999999999','99999999999.00','99999999999.000000'),1,0)) AS NUM_REG_DIF,'"&amp;MAX('ID1&amp;5'!K:K)+1&amp;"' AS ID_EXEC, CURRENT_TIMESTAMP() AS TIME_EXEC FROM "&amp;I498,
IF(C498="Not applicable",+"SELECT '"&amp;UPPER(B498)&amp;"' AS TABELA, '"&amp;UPPER(C498)&amp;"' AS TIPOLOGIA_TESTE,'"&amp;D498&amp;"' AS TABELA_LT,'N/A' AS TABELA_SIMUL,'"&amp;F498&amp;"' AS CAMPO, "&amp;"'${ref_date}' AS REF_DATE, COUNT(*) AS NUM_REG, SUM(IF(TRIM(CAST(X."&amp;F498&amp;" AS STRING)) IN ('N/A','11111111111','11111111111.00','11111111111.000000','1111-11-11'),1,0)) AS NUM_REG_DIF,'"&amp;MAX('ID1&amp;5'!K:K)+1&amp;"' AS ID_EXEC, CURRENT_TIMESTAMP() AS TIME_EXEC FROM "&amp;I498,
IF(C498="Valores extremos",+"SELECT '"&amp;UPPER(B498)&amp;"' AS TABELA, '"&amp;UPPER(C498)&amp;"' AS TIPOLOGIA_TESTE,'"&amp;D498&amp;"' AS TABELA_LT,'N/A' AS TABELA_SIMUL,'"&amp;F498&amp;"' AS CAMPO, "&amp;"'${ref_date}' AS REF_DATE, CAST(MIN("&amp;F498&amp;") AS STRING) AS VALOR_MIN, CAST(MAX("&amp;F498&amp;") AS STRING) AS VALOR_MAX,'"&amp;MAX('ID1&amp;5'!K:K)+1&amp;"' AS ID_EXEC, CURRENT_TIMESTAMP() AS TIME_EXEC FROM "&amp;MID(I498,1,LEN(I498)-2)&amp;" AND CAST("&amp;F498&amp;"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TABELA_SIMUL,'TRNSTNL_TRNVR' AS CAMPO, '${ref_date}' AS REF_DATE, CAST(MIN(TRNSTNL_TRNVR) AS STRING) AS VALOR_MIN, CAST(MAX(TRNSTNL_TRNVR) AS STRING) AS VALOR_MAX,'10' AS ID_EXEC, CURRENT_TIMESTAMP() AS TIME_EXEC FROM (SELECT entty_id, TRNSTNL_TRNVR FROM BU_LOANTAPE_WORK.LT003_ENTITY WHERE ref_date='${ref_date}' AND nome_perimetro='Individual Corporativo' AND segmento='ESTR' AND ambito='PILAR3' AND CAST(TRNSTNL_TRNVR AS STRING) NOT IN ('0000-00-00','0001-01-01','9999-12-31','MISS','00000','99999999999','99999999999.00','99999999999.000000','N/A','11111111111','11111111111.00','11111111111.000000','1111-11-11'))X</v>
      </c>
      <c r="M498" s="43" t="str">
        <f t="shared" si="8"/>
        <v>UNION ALL SELECT 'ENTITY' AS TABELA, 'VALORES EXTREMOS' AS TIPOLOGIA_TESTE,'BU_LOANTAPE_WORK.LT003_ENTITY' AS TABELA_LT,'N/A' AS TABELA_SIMUL,'TRNSTNL_TRNVR' AS CAMPO, '${ref_date}' AS REF_DATE, CAST(MIN(TRNSTNL_TRNVR) AS STRING) AS VALOR_MIN, CAST(MAX(TRNSTNL_TRNVR) AS STRING) AS VALOR_MAX,'10' AS ID_EXEC, CURRENT_TIMESTAMP() AS TIME_EXEC FROM (SELECT entty_id, TRNSTNL_TRNVR FROM BU_LOANTAPE_WORK.LT003_ENTITY WHERE ref_date='${ref_date}' AND nome_perimetro='Individual Corporativo' AND segmento='ESTR' AND ambito='PILAR3' AND CAST(TRNSTNL_TRNVR AS STRING) NOT IN ('0000-00-00','0001-01-01','9999-12-31','MISS','00000','99999999999','99999999999.00','99999999999.000000','N/A','11111111111','11111111111.00','11111111111.000000','1111-11-11'))X</v>
      </c>
      <c r="N498" s="45" t="s">
        <v>13</v>
      </c>
    </row>
    <row r="499" spans="2:14">
      <c r="B499" s="41" t="s">
        <v>23</v>
      </c>
      <c r="C499" s="41" t="s">
        <v>226</v>
      </c>
      <c r="D499" s="41" t="str">
        <f>+UPPER('0. Instruções'!$D$33&amp;"."&amp;VLOOKUP(B499,'0. Instruções'!$C$27:$D$31,2,FALSE))</f>
        <v>BU_LOANTAPE_WORK.LT003_ENTITY</v>
      </c>
      <c r="E499" s="41" t="str">
        <f>+UPPER('0. Instruções'!$D$34&amp;"."&amp;VLOOKUP(B499,'0. Instruções'!$C$27:$E$31,3,FALSE))</f>
        <v>BU_LOANTAPE_WORK.LT003_ENTTY_P3_NOV24</v>
      </c>
      <c r="F499" s="41" t="s">
        <v>114</v>
      </c>
      <c r="G499" s="41" t="s">
        <v>210</v>
      </c>
      <c r="H499" s="41"/>
      <c r="I499" s="41" t="str">
        <f>"(SELECT "&amp;VLOOKUP(B499,'0. Instruções'!$C$27:$G$31,4,FALSE)&amp;", "&amp;F499&amp;" FROM "&amp;D499&amp;" WHERE "&amp;'0. Instruções'!$D$40&amp;")X"</f>
        <v>(SELECT entty_id, PURE_TRNVR_CCM FROM BU_LOANTAPE_WORK.LT003_ENTITY WHERE ref_date='${ref_date}' AND nome_perimetro='Individual Corporativo' AND segmento='ESTR' AND ambito='PILAR3')X</v>
      </c>
      <c r="J499" s="41" t="str">
        <f>"(SELECT "&amp;VLOOKUP(B499,'0. Instruções'!$C$27:$G$31,4,FALSE)&amp;" AS "&amp;VLOOKUP(B499,'0. Instruções'!$C$27:$G$31,4,FALSE)&amp;"_SIMUL, "&amp;F499&amp;" AS "&amp;F499&amp;"_SIMUL FROM "&amp;E499&amp;")Y"</f>
        <v>(SELECT entty_id AS entty_id_SIMUL, PURE_TRNVR_CCM AS PURE_TRNVR_CCM_SIMUL FROM BU_LOANTAPE_WORK.LT003_ENTTY_P3_NOV24)Y</v>
      </c>
      <c r="K499" s="42" t="str">
        <f>+UPPER("ON X."&amp;VLOOKUP(B499,'0. Instruções'!$C$27:$G$31,4,FALSE)&amp;"=Y."&amp;VLOOKUP(B499,'0. Instruções'!$C$27:$G$31,4,FALSE)&amp;"_SIMUL")</f>
        <v>ON X.ENTTY_ID=Y.ENTTY_ID_SIMUL</v>
      </c>
      <c r="L499" s="42" t="str">
        <f>+IF(C499="Coerência", +IF(LEFT(G499,5)="FLOAT","SELECT '"&amp;UPPER(B499)&amp;"' AS TABELA, '"&amp;UPPER(C499)&amp;"' AS TIPOLOGIA_TESTE,'"&amp;D499&amp;"' AS TABELA_LT,'"&amp;E499&amp;"' AS TABELA_SIMUL,'"&amp;F499&amp;"' AS CAMPO, "&amp;"'${ref_date}' AS REF_DATE, COUNT(*) AS NUM_REG, SUM(IF((ABS(COALESCE(X."&amp;F499&amp;",0)-COALESCE(Y."&amp;F499&amp;"_SIMUL,0))&gt;0.0000000001) OR (X."&amp;F499&amp;" IS NULL AND Y."&amp;F499&amp;"_SIMUL IS NOT NULL ) OR (X."&amp;F499&amp;" IS NOT NULL AND Y."&amp;F499&amp;"_SIMUL IS NULL),1,0)) AS NUM_REG_DIF,'"&amp;MAX('ID1&amp;5'!K:K)+1&amp;"' AS ID_EXEC, CURRENT_TIMESTAMP() AS TIME_EXEC FROM "&amp;I499&amp;" INNER JOIN "&amp;J499&amp;" "&amp;K499,"SELECT '"&amp;UPPER(B499)&amp;"' AS TABELA, '"&amp;UPPER(C499)&amp;"' AS TIPOLOGIA_TESTE,'"&amp;D499&amp;"' AS TABELA_LT,'"&amp;E499&amp;"' AS TABELA_SIMUL,'"&amp;F499&amp;"' AS CAMPO, "&amp;"'${ref_date}' AS REF_DATE, COUNT(*) AS NUM_REG, SUM(IF(COALESCE(CAST(X."&amp;F499&amp;" AS STRING),'')&lt;&gt;COALESCE(CAST(Y."&amp;F499&amp;"_SIMUL AS STRING),''),1,0)) AS NUM_REG_DIF,'"&amp;MAX('ID1&amp;5'!L:L)+1&amp;"' AS ID_EXEC, CURRENT_TIMESTAMP() AS TIME_EXEC FROM "&amp;I499&amp;" INNER JOIN "&amp;J499&amp;" "&amp;K499),
IF(C499="Validade",+IF(G499="Code List","SELECT '"&amp;UPPER(B499)&amp;"' AS TABELA, '"&amp;UPPER(C499)&amp;"' AS TIPOLOGIA_TESTE,'"&amp;D499&amp;"' AS TABELA_LT,'N/A' AS TABELA_SIMUL,'"&amp;F499&amp;"' AS CAMPO, "&amp;"'${ref_date}' AS REF_DATE, COUNT(*) AS NUM_REG, SUM(IF(TRIM(CAST(X."&amp;F499&amp;" AS STRING))='' OR TRIM(CAST(X."&amp;F499&amp;" AS STRING)) IS NULL OR CAST(X."&amp;F499&amp;" AS STRING) NOT "&amp;H499&amp;",1,0)) AS NUM_REG_DIF,'"&amp;MAX('ID1&amp;5'!K:K)+1&amp;"' AS ID_EXEC, CURRENT_TIMESTAMP() AS TIME_EXEC FROM "&amp;I499,"SELECT '"&amp;UPPER(B499)&amp;"' AS TABELA, '"&amp;UPPER(C499)&amp;"' AS TIPOLOGIA_TESTE,'"&amp;D499&amp;"' AS TABELA_LT,'N/A' AS TABELA_SIMUL,'"&amp;F499&amp;"' AS CAMPO, "&amp;"'${ref_date}' AS REF_DATE, COUNT(*) AS NUM_REG, SUM(IF(TRIM(CAST(X."&amp;F499&amp;" AS STRING))='' OR TRIM(CAST(X."&amp;F499&amp;" AS STRING)) IS NULL,1,0)) AS NUM_REG_DIF,'"&amp;MAX('ID1&amp;5'!K:K)+1&amp;"' AS ID_EXEC, CURRENT_TIMESTAMP() AS TIME_EXEC FROM "&amp;I499),
IF(C499="Caracteres Especiais",+"SELECT '"&amp;UPPER(B499)&amp;"' AS TABELA, '"&amp;UPPER(C499)&amp;"' AS TIPOLOGIA_TESTE,'"&amp;D499&amp;"' AS TABELA_LT,'N/A' AS TABELA_SIMUL,'"&amp;F499&amp;"' AS CAMPO, "&amp;"'${ref_date}' AS REF_DATE, COUNT(*) AS NUM_REG, SUM(IF(INSTR(CAST(X."&amp;F499&amp;" AS STRING),'#')&gt;0 OR INSTR(CAST(X."&amp;F499&amp;" AS STRING),'*')&gt;0 OR INSTR(CAST(X."&amp;F499&amp;" AS STRING),'`')&gt;0 OR INSTR(CAST(X."&amp;F499&amp;" AS STRING),'´')&gt;0 OR INSTR(CAST(X."&amp;F499&amp;" AS STRING),'{')&gt;0 OR INSTR(CAST(X."&amp;F499&amp;" AS STRING),'}')&gt;0 OR INSTR(CAST(X."&amp;F499&amp;" AS STRING),'[')&gt;0 OR INSTR(CAST(X."&amp;F499&amp;" AS STRING),'')&gt;0 OR INSTR(CAST(X."&amp;F499&amp;" AS STRING),']')&gt;0 OR INSTR(CAST(X."&amp;F499&amp;" AS STRING),'?')&gt;0 OR INSTR(CAST(X."&amp;F499&amp;" AS STRING),'!')&gt;0 OR INSTR(CAST(X."&amp;F499&amp;" AS STRING),'$')&gt;0 OR INSTR(CAST(X."&amp;F499&amp;" AS STRING),'%')&gt;0 OR INSTR(CAST(X."&amp;F499&amp;" AS STRING),'&amp;')&gt;0 OR INSTR(CAST(X."&amp;F499&amp;" AS STRING),'+')&gt;0,1,0)) AS NUM_REG_DIF,'"&amp;MAX('ID1&amp;5'!K:K)+1&amp;"' AS ID_EXEC, CURRENT_TIMESTAMP() AS TIME_EXEC FROM "&amp;I499,
IF(C499="Missings",+"SELECT '"&amp;UPPER(B499)&amp;"' AS TABELA, '"&amp;UPPER(C499)&amp;"' AS TIPOLOGIA_TESTE,'"&amp;D499&amp;"' AS TABELA_LT,'N/A' AS TABELA_SIMUL,'"&amp;F499&amp;"' AS CAMPO, "&amp;"'${ref_date}' AS REF_DATE, COUNT(*) AS NUM_REG, SUM(IF(TRIM(CAST(X."&amp;F499&amp;" AS STRING)) IN ('0000-00-00','0001-01-01','9999-12-31','MISS','00000','99999999999','99999999999.00','99999999999.000000'),1,0)) AS NUM_REG_DIF,'"&amp;MAX('ID1&amp;5'!K:K)+1&amp;"' AS ID_EXEC, CURRENT_TIMESTAMP() AS TIME_EXEC FROM "&amp;I499,
IF(C499="Not applicable",+"SELECT '"&amp;UPPER(B499)&amp;"' AS TABELA, '"&amp;UPPER(C499)&amp;"' AS TIPOLOGIA_TESTE,'"&amp;D499&amp;"' AS TABELA_LT,'N/A' AS TABELA_SIMUL,'"&amp;F499&amp;"' AS CAMPO, "&amp;"'${ref_date}' AS REF_DATE, COUNT(*) AS NUM_REG, SUM(IF(TRIM(CAST(X."&amp;F499&amp;" AS STRING)) IN ('N/A','11111111111','11111111111.00','11111111111.000000','1111-11-11'),1,0)) AS NUM_REG_DIF,'"&amp;MAX('ID1&amp;5'!K:K)+1&amp;"' AS ID_EXEC, CURRENT_TIMESTAMP() AS TIME_EXEC FROM "&amp;I499,
IF(C499="Valores extremos",+"SELECT '"&amp;UPPER(B499)&amp;"' AS TABELA, '"&amp;UPPER(C499)&amp;"' AS TIPOLOGIA_TESTE,'"&amp;D499&amp;"' AS TABELA_LT,'N/A' AS TABELA_SIMUL,'"&amp;F499&amp;"' AS CAMPO, "&amp;"'${ref_date}' AS REF_DATE, CAST(MIN("&amp;F499&amp;") AS STRING) AS VALOR_MIN, CAST(MAX("&amp;F499&amp;") AS STRING) AS VALOR_MAX,'"&amp;MAX('ID1&amp;5'!K:K)+1&amp;"' AS ID_EXEC, CURRENT_TIMESTAMP() AS TIME_EXEC FROM "&amp;MID(I499,1,LEN(I499)-2)&amp;" AND CAST("&amp;F499&amp;"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TABELA_SIMUL,'PURE_TRNVR_CCM' AS CAMPO, '${ref_date}' AS REF_DATE, CAST(MIN(PURE_TRNVR_CCM) AS STRING) AS VALOR_MIN, CAST(MAX(PURE_TRNVR_CCM) AS STRING) AS VALOR_MAX,'10' AS ID_EXEC, CURRENT_TIMESTAMP() AS TIME_EXEC FROM (SELECT entty_id, PURE_TRNVR_CCM FROM BU_LOANTAPE_WORK.LT003_ENTITY WHERE ref_date='${ref_date}' AND nome_perimetro='Individual Corporativo' AND segmento='ESTR' AND ambito='PILAR3' AND CAST(PURE_TRNVR_CCM AS STRING) NOT IN ('0000-00-00','0001-01-01','9999-12-31','MISS','00000','99999999999','99999999999.00','99999999999.000000','N/A','11111111111','11111111111.00','11111111111.000000','1111-11-11'))X</v>
      </c>
      <c r="M499" s="43" t="str">
        <f t="shared" si="8"/>
        <v>UNION ALL SELECT 'ENTITY' AS TABELA, 'VALORES EXTREMOS' AS TIPOLOGIA_TESTE,'BU_LOANTAPE_WORK.LT003_ENTITY' AS TABELA_LT,'N/A' AS TABELA_SIMUL,'PURE_TRNVR_CCM' AS CAMPO, '${ref_date}' AS REF_DATE, CAST(MIN(PURE_TRNVR_CCM) AS STRING) AS VALOR_MIN, CAST(MAX(PURE_TRNVR_CCM) AS STRING) AS VALOR_MAX,'10' AS ID_EXEC, CURRENT_TIMESTAMP() AS TIME_EXEC FROM (SELECT entty_id, PURE_TRNVR_CCM FROM BU_LOANTAPE_WORK.LT003_ENTITY WHERE ref_date='${ref_date}' AND nome_perimetro='Individual Corporativo' AND segmento='ESTR' AND ambito='PILAR3' AND CAST(PURE_TRNVR_CCM AS STRING) NOT IN ('0000-00-00','0001-01-01','9999-12-31','MISS','00000','99999999999','99999999999.00','99999999999.000000','N/A','11111111111','11111111111.00','11111111111.000000','1111-11-11'))X</v>
      </c>
      <c r="N499" s="45" t="s">
        <v>13</v>
      </c>
    </row>
    <row r="500" spans="2:14">
      <c r="B500" s="41" t="s">
        <v>23</v>
      </c>
      <c r="C500" s="41" t="s">
        <v>226</v>
      </c>
      <c r="D500" s="41" t="str">
        <f>+UPPER('0. Instruções'!$D$33&amp;"."&amp;VLOOKUP(B500,'0. Instruções'!$C$27:$D$31,2,FALSE))</f>
        <v>BU_LOANTAPE_WORK.LT003_ENTITY</v>
      </c>
      <c r="E500" s="41" t="str">
        <f>+UPPER('0. Instruções'!$D$34&amp;"."&amp;VLOOKUP(B500,'0. Instruções'!$C$27:$E$31,3,FALSE))</f>
        <v>BU_LOANTAPE_WORK.LT003_ENTTY_P3_NOV24</v>
      </c>
      <c r="F500" s="41" t="s">
        <v>115</v>
      </c>
      <c r="G500" s="41" t="s">
        <v>210</v>
      </c>
      <c r="H500" s="41"/>
      <c r="I500" s="41" t="str">
        <f>"(SELECT "&amp;VLOOKUP(B500,'0. Instruções'!$C$27:$G$31,4,FALSE)&amp;", "&amp;F500&amp;" FROM "&amp;D500&amp;" WHERE "&amp;'0. Instruções'!$D$40&amp;")X"</f>
        <v>(SELECT entty_id, PURE_TRNVR_CCA FROM BU_LOANTAPE_WORK.LT003_ENTITY WHERE ref_date='${ref_date}' AND nome_perimetro='Individual Corporativo' AND segmento='ESTR' AND ambito='PILAR3')X</v>
      </c>
      <c r="J500" s="41" t="str">
        <f>"(SELECT "&amp;VLOOKUP(B500,'0. Instruções'!$C$27:$G$31,4,FALSE)&amp;" AS "&amp;VLOOKUP(B500,'0. Instruções'!$C$27:$G$31,4,FALSE)&amp;"_SIMUL, "&amp;F500&amp;" AS "&amp;F500&amp;"_SIMUL FROM "&amp;E500&amp;")Y"</f>
        <v>(SELECT entty_id AS entty_id_SIMUL, PURE_TRNVR_CCA AS PURE_TRNVR_CCA_SIMUL FROM BU_LOANTAPE_WORK.LT003_ENTTY_P3_NOV24)Y</v>
      </c>
      <c r="K500" s="42" t="str">
        <f>+UPPER("ON X."&amp;VLOOKUP(B500,'0. Instruções'!$C$27:$G$31,4,FALSE)&amp;"=Y."&amp;VLOOKUP(B500,'0. Instruções'!$C$27:$G$31,4,FALSE)&amp;"_SIMUL")</f>
        <v>ON X.ENTTY_ID=Y.ENTTY_ID_SIMUL</v>
      </c>
      <c r="L500" s="42" t="str">
        <f>+IF(C500="Coerência", +IF(LEFT(G500,5)="FLOAT","SELECT '"&amp;UPPER(B500)&amp;"' AS TABELA, '"&amp;UPPER(C500)&amp;"' AS TIPOLOGIA_TESTE,'"&amp;D500&amp;"' AS TABELA_LT,'"&amp;E500&amp;"' AS TABELA_SIMUL,'"&amp;F500&amp;"' AS CAMPO, "&amp;"'${ref_date}' AS REF_DATE, COUNT(*) AS NUM_REG, SUM(IF((ABS(COALESCE(X."&amp;F500&amp;",0)-COALESCE(Y."&amp;F500&amp;"_SIMUL,0))&gt;0.0000000001) OR (X."&amp;F500&amp;" IS NULL AND Y."&amp;F500&amp;"_SIMUL IS NOT NULL ) OR (X."&amp;F500&amp;" IS NOT NULL AND Y."&amp;F500&amp;"_SIMUL IS NULL),1,0)) AS NUM_REG_DIF,'"&amp;MAX('ID1&amp;5'!K:K)+1&amp;"' AS ID_EXEC, CURRENT_TIMESTAMP() AS TIME_EXEC FROM "&amp;I500&amp;" INNER JOIN "&amp;J500&amp;" "&amp;K500,"SELECT '"&amp;UPPER(B500)&amp;"' AS TABELA, '"&amp;UPPER(C500)&amp;"' AS TIPOLOGIA_TESTE,'"&amp;D500&amp;"' AS TABELA_LT,'"&amp;E500&amp;"' AS TABELA_SIMUL,'"&amp;F500&amp;"' AS CAMPO, "&amp;"'${ref_date}' AS REF_DATE, COUNT(*) AS NUM_REG, SUM(IF(COALESCE(CAST(X."&amp;F500&amp;" AS STRING),'')&lt;&gt;COALESCE(CAST(Y."&amp;F500&amp;"_SIMUL AS STRING),''),1,0)) AS NUM_REG_DIF,'"&amp;MAX('ID1&amp;5'!L:L)+1&amp;"' AS ID_EXEC, CURRENT_TIMESTAMP() AS TIME_EXEC FROM "&amp;I500&amp;" INNER JOIN "&amp;J500&amp;" "&amp;K500),
IF(C500="Validade",+IF(G500="Code List","SELECT '"&amp;UPPER(B500)&amp;"' AS TABELA, '"&amp;UPPER(C500)&amp;"' AS TIPOLOGIA_TESTE,'"&amp;D500&amp;"' AS TABELA_LT,'N/A' AS TABELA_SIMUL,'"&amp;F500&amp;"' AS CAMPO, "&amp;"'${ref_date}' AS REF_DATE, COUNT(*) AS NUM_REG, SUM(IF(TRIM(CAST(X."&amp;F500&amp;" AS STRING))='' OR TRIM(CAST(X."&amp;F500&amp;" AS STRING)) IS NULL OR CAST(X."&amp;F500&amp;" AS STRING) NOT "&amp;H500&amp;",1,0)) AS NUM_REG_DIF,'"&amp;MAX('ID1&amp;5'!K:K)+1&amp;"' AS ID_EXEC, CURRENT_TIMESTAMP() AS TIME_EXEC FROM "&amp;I500,"SELECT '"&amp;UPPER(B500)&amp;"' AS TABELA, '"&amp;UPPER(C500)&amp;"' AS TIPOLOGIA_TESTE,'"&amp;D500&amp;"' AS TABELA_LT,'N/A' AS TABELA_SIMUL,'"&amp;F500&amp;"' AS CAMPO, "&amp;"'${ref_date}' AS REF_DATE, COUNT(*) AS NUM_REG, SUM(IF(TRIM(CAST(X."&amp;F500&amp;" AS STRING))='' OR TRIM(CAST(X."&amp;F500&amp;" AS STRING)) IS NULL,1,0)) AS NUM_REG_DIF,'"&amp;MAX('ID1&amp;5'!K:K)+1&amp;"' AS ID_EXEC, CURRENT_TIMESTAMP() AS TIME_EXEC FROM "&amp;I500),
IF(C500="Caracteres Especiais",+"SELECT '"&amp;UPPER(B500)&amp;"' AS TABELA, '"&amp;UPPER(C500)&amp;"' AS TIPOLOGIA_TESTE,'"&amp;D500&amp;"' AS TABELA_LT,'N/A' AS TABELA_SIMUL,'"&amp;F500&amp;"' AS CAMPO, "&amp;"'${ref_date}' AS REF_DATE, COUNT(*) AS NUM_REG, SUM(IF(INSTR(CAST(X."&amp;F500&amp;" AS STRING),'#')&gt;0 OR INSTR(CAST(X."&amp;F500&amp;" AS STRING),'*')&gt;0 OR INSTR(CAST(X."&amp;F500&amp;" AS STRING),'`')&gt;0 OR INSTR(CAST(X."&amp;F500&amp;" AS STRING),'´')&gt;0 OR INSTR(CAST(X."&amp;F500&amp;" AS STRING),'{')&gt;0 OR INSTR(CAST(X."&amp;F500&amp;" AS STRING),'}')&gt;0 OR INSTR(CAST(X."&amp;F500&amp;" AS STRING),'[')&gt;0 OR INSTR(CAST(X."&amp;F500&amp;" AS STRING),'')&gt;0 OR INSTR(CAST(X."&amp;F500&amp;" AS STRING),']')&gt;0 OR INSTR(CAST(X."&amp;F500&amp;" AS STRING),'?')&gt;0 OR INSTR(CAST(X."&amp;F500&amp;" AS STRING),'!')&gt;0 OR INSTR(CAST(X."&amp;F500&amp;" AS STRING),'$')&gt;0 OR INSTR(CAST(X."&amp;F500&amp;" AS STRING),'%')&gt;0 OR INSTR(CAST(X."&amp;F500&amp;" AS STRING),'&amp;')&gt;0 OR INSTR(CAST(X."&amp;F500&amp;" AS STRING),'+')&gt;0,1,0)) AS NUM_REG_DIF,'"&amp;MAX('ID1&amp;5'!K:K)+1&amp;"' AS ID_EXEC, CURRENT_TIMESTAMP() AS TIME_EXEC FROM "&amp;I500,
IF(C500="Missings",+"SELECT '"&amp;UPPER(B500)&amp;"' AS TABELA, '"&amp;UPPER(C500)&amp;"' AS TIPOLOGIA_TESTE,'"&amp;D500&amp;"' AS TABELA_LT,'N/A' AS TABELA_SIMUL,'"&amp;F500&amp;"' AS CAMPO, "&amp;"'${ref_date}' AS REF_DATE, COUNT(*) AS NUM_REG, SUM(IF(TRIM(CAST(X."&amp;F500&amp;" AS STRING)) IN ('0000-00-00','0001-01-01','9999-12-31','MISS','00000','99999999999','99999999999.00','99999999999.000000'),1,0)) AS NUM_REG_DIF,'"&amp;MAX('ID1&amp;5'!K:K)+1&amp;"' AS ID_EXEC, CURRENT_TIMESTAMP() AS TIME_EXEC FROM "&amp;I500,
IF(C500="Not applicable",+"SELECT '"&amp;UPPER(B500)&amp;"' AS TABELA, '"&amp;UPPER(C500)&amp;"' AS TIPOLOGIA_TESTE,'"&amp;D500&amp;"' AS TABELA_LT,'N/A' AS TABELA_SIMUL,'"&amp;F500&amp;"' AS CAMPO, "&amp;"'${ref_date}' AS REF_DATE, COUNT(*) AS NUM_REG, SUM(IF(TRIM(CAST(X."&amp;F500&amp;" AS STRING)) IN ('N/A','11111111111','11111111111.00','11111111111.000000','1111-11-11'),1,0)) AS NUM_REG_DIF,'"&amp;MAX('ID1&amp;5'!K:K)+1&amp;"' AS ID_EXEC, CURRENT_TIMESTAMP() AS TIME_EXEC FROM "&amp;I500,
IF(C500="Valores extremos",+"SELECT '"&amp;UPPER(B500)&amp;"' AS TABELA, '"&amp;UPPER(C500)&amp;"' AS TIPOLOGIA_TESTE,'"&amp;D500&amp;"' AS TABELA_LT,'N/A' AS TABELA_SIMUL,'"&amp;F500&amp;"' AS CAMPO, "&amp;"'${ref_date}' AS REF_DATE, CAST(MIN("&amp;F500&amp;") AS STRING) AS VALOR_MIN, CAST(MAX("&amp;F500&amp;") AS STRING) AS VALOR_MAX,'"&amp;MAX('ID1&amp;5'!K:K)+1&amp;"' AS ID_EXEC, CURRENT_TIMESTAMP() AS TIME_EXEC FROM "&amp;MID(I500,1,LEN(I500)-2)&amp;" AND CAST("&amp;F500&amp;"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TABELA_SIMUL,'PURE_TRNVR_CCA' AS CAMPO, '${ref_date}' AS REF_DATE, CAST(MIN(PURE_TRNVR_CCA) AS STRING) AS VALOR_MIN, CAST(MAX(PURE_TRNVR_CCA) AS STRING) AS VALOR_MAX,'10' AS ID_EXEC, CURRENT_TIMESTAMP() AS TIME_EXEC FROM (SELECT entty_id, PURE_TRNVR_CCA FROM BU_LOANTAPE_WORK.LT003_ENTITY WHERE ref_date='${ref_date}' AND nome_perimetro='Individual Corporativo' AND segmento='ESTR' AND ambito='PILAR3' AND CAST(PURE_TRNVR_CCA AS STRING) NOT IN ('0000-00-00','0001-01-01','9999-12-31','MISS','00000','99999999999','99999999999.00','99999999999.000000','N/A','11111111111','11111111111.00','11111111111.000000','1111-11-11'))X</v>
      </c>
      <c r="M500" s="43" t="str">
        <f t="shared" si="8"/>
        <v>UNION ALL SELECT 'ENTITY' AS TABELA, 'VALORES EXTREMOS' AS TIPOLOGIA_TESTE,'BU_LOANTAPE_WORK.LT003_ENTITY' AS TABELA_LT,'N/A' AS TABELA_SIMUL,'PURE_TRNVR_CCA' AS CAMPO, '${ref_date}' AS REF_DATE, CAST(MIN(PURE_TRNVR_CCA) AS STRING) AS VALOR_MIN, CAST(MAX(PURE_TRNVR_CCA) AS STRING) AS VALOR_MAX,'10' AS ID_EXEC, CURRENT_TIMESTAMP() AS TIME_EXEC FROM (SELECT entty_id, PURE_TRNVR_CCA FROM BU_LOANTAPE_WORK.LT003_ENTITY WHERE ref_date='${ref_date}' AND nome_perimetro='Individual Corporativo' AND segmento='ESTR' AND ambito='PILAR3' AND CAST(PURE_TRNVR_CCA AS STRING) NOT IN ('0000-00-00','0001-01-01','9999-12-31','MISS','00000','99999999999','99999999999.00','99999999999.000000','N/A','11111111111','11111111111.00','11111111111.000000','1111-11-11'))X</v>
      </c>
      <c r="N500" s="45" t="s">
        <v>13</v>
      </c>
    </row>
    <row r="501" spans="2:14">
      <c r="B501" s="41" t="s">
        <v>23</v>
      </c>
      <c r="C501" s="41" t="s">
        <v>226</v>
      </c>
      <c r="D501" s="41" t="str">
        <f>+UPPER('0. Instruções'!$D$33&amp;"."&amp;VLOOKUP(B501,'0. Instruções'!$C$27:$D$31,2,FALSE))</f>
        <v>BU_LOANTAPE_WORK.LT003_ENTITY</v>
      </c>
      <c r="E501" s="41" t="str">
        <f>+UPPER('0. Instruções'!$D$34&amp;"."&amp;VLOOKUP(B501,'0. Instruções'!$C$27:$E$31,3,FALSE))</f>
        <v>BU_LOANTAPE_WORK.LT003_ENTTY_P3_NOV24</v>
      </c>
      <c r="F501" s="41" t="s">
        <v>116</v>
      </c>
      <c r="G501" s="41" t="s">
        <v>211</v>
      </c>
      <c r="H501" s="41"/>
      <c r="I501" s="41" t="str">
        <f>"(SELECT "&amp;VLOOKUP(B501,'0. Instruções'!$C$27:$G$31,4,FALSE)&amp;", "&amp;F501&amp;" FROM "&amp;D501&amp;" WHERE "&amp;'0. Instruções'!$D$40&amp;")X"</f>
        <v>(SELECT entty_id, FLG_NFRD_APPLCBLTY FROM BU_LOANTAPE_WORK.LT003_ENTITY WHERE ref_date='${ref_date}' AND nome_perimetro='Individual Corporativo' AND segmento='ESTR' AND ambito='PILAR3')X</v>
      </c>
      <c r="J501" s="41" t="str">
        <f>"(SELECT "&amp;VLOOKUP(B501,'0. Instruções'!$C$27:$G$31,4,FALSE)&amp;" AS "&amp;VLOOKUP(B501,'0. Instruções'!$C$27:$G$31,4,FALSE)&amp;"_SIMUL, "&amp;F501&amp;" AS "&amp;F501&amp;"_SIMUL FROM "&amp;E501&amp;")Y"</f>
        <v>(SELECT entty_id AS entty_id_SIMUL, FLG_NFRD_APPLCBLTY AS FLG_NFRD_APPLCBLTY_SIMUL FROM BU_LOANTAPE_WORK.LT003_ENTTY_P3_NOV24)Y</v>
      </c>
      <c r="K501" s="42" t="str">
        <f>+UPPER("ON X."&amp;VLOOKUP(B501,'0. Instruções'!$C$27:$G$31,4,FALSE)&amp;"=Y."&amp;VLOOKUP(B501,'0. Instruções'!$C$27:$G$31,4,FALSE)&amp;"_SIMUL")</f>
        <v>ON X.ENTTY_ID=Y.ENTTY_ID_SIMUL</v>
      </c>
      <c r="L501" s="42" t="str">
        <f>+IF(C501="Coerência", +IF(LEFT(G501,5)="FLOAT","SELECT '"&amp;UPPER(B501)&amp;"' AS TABELA, '"&amp;UPPER(C501)&amp;"' AS TIPOLOGIA_TESTE,'"&amp;D501&amp;"' AS TABELA_LT,'"&amp;E501&amp;"' AS TABELA_SIMUL,'"&amp;F501&amp;"' AS CAMPO, "&amp;"'${ref_date}' AS REF_DATE, COUNT(*) AS NUM_REG, SUM(IF((ABS(COALESCE(X."&amp;F501&amp;",0)-COALESCE(Y."&amp;F501&amp;"_SIMUL,0))&gt;0.0000000001) OR (X."&amp;F501&amp;" IS NULL AND Y."&amp;F501&amp;"_SIMUL IS NOT NULL ) OR (X."&amp;F501&amp;" IS NOT NULL AND Y."&amp;F501&amp;"_SIMUL IS NULL),1,0)) AS NUM_REG_DIF,'"&amp;MAX('ID1&amp;5'!K:K)+1&amp;"' AS ID_EXEC, CURRENT_TIMESTAMP() AS TIME_EXEC FROM "&amp;I501&amp;" INNER JOIN "&amp;J501&amp;" "&amp;K501,"SELECT '"&amp;UPPER(B501)&amp;"' AS TABELA, '"&amp;UPPER(C501)&amp;"' AS TIPOLOGIA_TESTE,'"&amp;D501&amp;"' AS TABELA_LT,'"&amp;E501&amp;"' AS TABELA_SIMUL,'"&amp;F501&amp;"' AS CAMPO, "&amp;"'${ref_date}' AS REF_DATE, COUNT(*) AS NUM_REG, SUM(IF(COALESCE(CAST(X."&amp;F501&amp;" AS STRING),'')&lt;&gt;COALESCE(CAST(Y."&amp;F501&amp;"_SIMUL AS STRING),''),1,0)) AS NUM_REG_DIF,'"&amp;MAX('ID1&amp;5'!L:L)+1&amp;"' AS ID_EXEC, CURRENT_TIMESTAMP() AS TIME_EXEC FROM "&amp;I501&amp;" INNER JOIN "&amp;J501&amp;" "&amp;K501),
IF(C501="Validade",+IF(G501="Code List","SELECT '"&amp;UPPER(B501)&amp;"' AS TABELA, '"&amp;UPPER(C501)&amp;"' AS TIPOLOGIA_TESTE,'"&amp;D501&amp;"' AS TABELA_LT,'N/A' AS TABELA_SIMUL,'"&amp;F501&amp;"' AS CAMPO, "&amp;"'${ref_date}' AS REF_DATE, COUNT(*) AS NUM_REG, SUM(IF(TRIM(CAST(X."&amp;F501&amp;" AS STRING))='' OR TRIM(CAST(X."&amp;F501&amp;" AS STRING)) IS NULL OR CAST(X."&amp;F501&amp;" AS STRING) NOT "&amp;H501&amp;",1,0)) AS NUM_REG_DIF,'"&amp;MAX('ID1&amp;5'!K:K)+1&amp;"' AS ID_EXEC, CURRENT_TIMESTAMP() AS TIME_EXEC FROM "&amp;I501,"SELECT '"&amp;UPPER(B501)&amp;"' AS TABELA, '"&amp;UPPER(C501)&amp;"' AS TIPOLOGIA_TESTE,'"&amp;D501&amp;"' AS TABELA_LT,'N/A' AS TABELA_SIMUL,'"&amp;F501&amp;"' AS CAMPO, "&amp;"'${ref_date}' AS REF_DATE, COUNT(*) AS NUM_REG, SUM(IF(TRIM(CAST(X."&amp;F501&amp;" AS STRING))='' OR TRIM(CAST(X."&amp;F501&amp;" AS STRING)) IS NULL,1,0)) AS NUM_REG_DIF,'"&amp;MAX('ID1&amp;5'!K:K)+1&amp;"' AS ID_EXEC, CURRENT_TIMESTAMP() AS TIME_EXEC FROM "&amp;I501),
IF(C501="Caracteres Especiais",+"SELECT '"&amp;UPPER(B501)&amp;"' AS TABELA, '"&amp;UPPER(C501)&amp;"' AS TIPOLOGIA_TESTE,'"&amp;D501&amp;"' AS TABELA_LT,'N/A' AS TABELA_SIMUL,'"&amp;F501&amp;"' AS CAMPO, "&amp;"'${ref_date}' AS REF_DATE, COUNT(*) AS NUM_REG, SUM(IF(INSTR(CAST(X."&amp;F501&amp;" AS STRING),'#')&gt;0 OR INSTR(CAST(X."&amp;F501&amp;" AS STRING),'*')&gt;0 OR INSTR(CAST(X."&amp;F501&amp;" AS STRING),'`')&gt;0 OR INSTR(CAST(X."&amp;F501&amp;" AS STRING),'´')&gt;0 OR INSTR(CAST(X."&amp;F501&amp;" AS STRING),'{')&gt;0 OR INSTR(CAST(X."&amp;F501&amp;" AS STRING),'}')&gt;0 OR INSTR(CAST(X."&amp;F501&amp;" AS STRING),'[')&gt;0 OR INSTR(CAST(X."&amp;F501&amp;" AS STRING),'')&gt;0 OR INSTR(CAST(X."&amp;F501&amp;" AS STRING),']')&gt;0 OR INSTR(CAST(X."&amp;F501&amp;" AS STRING),'?')&gt;0 OR INSTR(CAST(X."&amp;F501&amp;" AS STRING),'!')&gt;0 OR INSTR(CAST(X."&amp;F501&amp;" AS STRING),'$')&gt;0 OR INSTR(CAST(X."&amp;F501&amp;" AS STRING),'%')&gt;0 OR INSTR(CAST(X."&amp;F501&amp;" AS STRING),'&amp;')&gt;0 OR INSTR(CAST(X."&amp;F501&amp;" AS STRING),'+')&gt;0,1,0)) AS NUM_REG_DIF,'"&amp;MAX('ID1&amp;5'!K:K)+1&amp;"' AS ID_EXEC, CURRENT_TIMESTAMP() AS TIME_EXEC FROM "&amp;I501,
IF(C501="Missings",+"SELECT '"&amp;UPPER(B501)&amp;"' AS TABELA, '"&amp;UPPER(C501)&amp;"' AS TIPOLOGIA_TESTE,'"&amp;D501&amp;"' AS TABELA_LT,'N/A' AS TABELA_SIMUL,'"&amp;F501&amp;"' AS CAMPO, "&amp;"'${ref_date}' AS REF_DATE, COUNT(*) AS NUM_REG, SUM(IF(TRIM(CAST(X."&amp;F501&amp;" AS STRING)) IN ('0000-00-00','0001-01-01','9999-12-31','MISS','00000','99999999999','99999999999.00','99999999999.000000'),1,0)) AS NUM_REG_DIF,'"&amp;MAX('ID1&amp;5'!K:K)+1&amp;"' AS ID_EXEC, CURRENT_TIMESTAMP() AS TIME_EXEC FROM "&amp;I501,
IF(C501="Not applicable",+"SELECT '"&amp;UPPER(B501)&amp;"' AS TABELA, '"&amp;UPPER(C501)&amp;"' AS TIPOLOGIA_TESTE,'"&amp;D501&amp;"' AS TABELA_LT,'N/A' AS TABELA_SIMUL,'"&amp;F501&amp;"' AS CAMPO, "&amp;"'${ref_date}' AS REF_DATE, COUNT(*) AS NUM_REG, SUM(IF(TRIM(CAST(X."&amp;F501&amp;" AS STRING)) IN ('N/A','11111111111','11111111111.00','11111111111.000000','1111-11-11'),1,0)) AS NUM_REG_DIF,'"&amp;MAX('ID1&amp;5'!K:K)+1&amp;"' AS ID_EXEC, CURRENT_TIMESTAMP() AS TIME_EXEC FROM "&amp;I501,
IF(C501="Valores extremos",+"SELECT '"&amp;UPPER(B501)&amp;"' AS TABELA, '"&amp;UPPER(C501)&amp;"' AS TIPOLOGIA_TESTE,'"&amp;D501&amp;"' AS TABELA_LT,'N/A' AS TABELA_SIMUL,'"&amp;F501&amp;"' AS CAMPO, "&amp;"'${ref_date}' AS REF_DATE, CAST(MIN("&amp;F501&amp;") AS STRING) AS VALOR_MIN, CAST(MAX("&amp;F501&amp;") AS STRING) AS VALOR_MAX,'"&amp;MAX('ID1&amp;5'!K:K)+1&amp;"' AS ID_EXEC, CURRENT_TIMESTAMP() AS TIME_EXEC FROM "&amp;MID(I501,1,LEN(I501)-2)&amp;" AND CAST("&amp;F501&amp;"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TABELA_SIMUL,'FLG_NFRD_APPLCBLTY' AS CAMPO, '${ref_date}' AS REF_DATE, CAST(MIN(FLG_NFRD_APPLCBLTY) AS STRING) AS VALOR_MIN, CAST(MAX(FLG_NFRD_APPLCBLTY) AS STRING) AS VALOR_MAX,'10' AS ID_EXEC, CURRENT_TIMESTAMP() AS TIME_EXEC FROM (SELECT entty_id, FLG_NFRD_APPLCBLTY FROM BU_LOANTAPE_WORK.LT003_ENTITY WHERE ref_date='${ref_date}' AND nome_perimetro='Individual Corporativo' AND segmento='ESTR' AND ambito='PILAR3' AND CAST(FLG_NFRD_APPLCBLTY AS STRING) NOT IN ('0000-00-00','0001-01-01','9999-12-31','MISS','00000','99999999999','99999999999.00','99999999999.000000','N/A','11111111111','11111111111.00','11111111111.000000','1111-11-11'))X</v>
      </c>
      <c r="M501" s="43" t="str">
        <f t="shared" si="8"/>
        <v>UNION ALL SELECT 'ENTITY' AS TABELA, 'VALORES EXTREMOS' AS TIPOLOGIA_TESTE,'BU_LOANTAPE_WORK.LT003_ENTITY' AS TABELA_LT,'N/A' AS TABELA_SIMUL,'FLG_NFRD_APPLCBLTY' AS CAMPO, '${ref_date}' AS REF_DATE, CAST(MIN(FLG_NFRD_APPLCBLTY) AS STRING) AS VALOR_MIN, CAST(MAX(FLG_NFRD_APPLCBLTY) AS STRING) AS VALOR_MAX,'10' AS ID_EXEC, CURRENT_TIMESTAMP() AS TIME_EXEC FROM (SELECT entty_id, FLG_NFRD_APPLCBLTY FROM BU_LOANTAPE_WORK.LT003_ENTITY WHERE ref_date='${ref_date}' AND nome_perimetro='Individual Corporativo' AND segmento='ESTR' AND ambito='PILAR3' AND CAST(FLG_NFRD_APPLCBLTY AS STRING) NOT IN ('0000-00-00','0001-01-01','9999-12-31','MISS','00000','99999999999','99999999999.00','99999999999.000000','N/A','11111111111','11111111111.00','11111111111.000000','1111-11-11'))X</v>
      </c>
      <c r="N501" s="45" t="s">
        <v>13</v>
      </c>
    </row>
    <row r="502" spans="2:14">
      <c r="B502" s="41" t="s">
        <v>23</v>
      </c>
      <c r="C502" s="41" t="s">
        <v>226</v>
      </c>
      <c r="D502" s="41" t="str">
        <f>+UPPER('0. Instruções'!$D$33&amp;"."&amp;VLOOKUP(B502,'0. Instruções'!$C$27:$D$31,2,FALSE))</f>
        <v>BU_LOANTAPE_WORK.LT003_ENTITY</v>
      </c>
      <c r="E502" s="41" t="str">
        <f>+UPPER('0. Instruções'!$D$34&amp;"."&amp;VLOOKUP(B502,'0. Instruções'!$C$27:$E$31,3,FALSE))</f>
        <v>BU_LOANTAPE_WORK.LT003_ENTTY_P3_NOV24</v>
      </c>
      <c r="F502" s="41" t="s">
        <v>117</v>
      </c>
      <c r="G502" s="41" t="s">
        <v>210</v>
      </c>
      <c r="H502" s="41"/>
      <c r="I502" s="41" t="str">
        <f>"(SELECT "&amp;VLOOKUP(B502,'0. Instruções'!$C$27:$G$31,4,FALSE)&amp;", "&amp;F502&amp;" FROM "&amp;D502&amp;" WHERE "&amp;'0. Instruções'!$D$40&amp;")X"</f>
        <v>(SELECT entty_id, CNTRPRTY_EMSSNS_SCP1 FROM BU_LOANTAPE_WORK.LT003_ENTITY WHERE ref_date='${ref_date}' AND nome_perimetro='Individual Corporativo' AND segmento='ESTR' AND ambito='PILAR3')X</v>
      </c>
      <c r="J502" s="41" t="str">
        <f>"(SELECT "&amp;VLOOKUP(B502,'0. Instruções'!$C$27:$G$31,4,FALSE)&amp;" AS "&amp;VLOOKUP(B502,'0. Instruções'!$C$27:$G$31,4,FALSE)&amp;"_SIMUL, "&amp;F502&amp;" AS "&amp;F502&amp;"_SIMUL FROM "&amp;E502&amp;")Y"</f>
        <v>(SELECT entty_id AS entty_id_SIMUL, CNTRPRTY_EMSSNS_SCP1 AS CNTRPRTY_EMSSNS_SCP1_SIMUL FROM BU_LOANTAPE_WORK.LT003_ENTTY_P3_NOV24)Y</v>
      </c>
      <c r="K502" s="42" t="str">
        <f>+UPPER("ON X."&amp;VLOOKUP(B502,'0. Instruções'!$C$27:$G$31,4,FALSE)&amp;"=Y."&amp;VLOOKUP(B502,'0. Instruções'!$C$27:$G$31,4,FALSE)&amp;"_SIMUL")</f>
        <v>ON X.ENTTY_ID=Y.ENTTY_ID_SIMUL</v>
      </c>
      <c r="L502" s="42" t="str">
        <f>+IF(C502="Coerência", +IF(LEFT(G502,5)="FLOAT","SELECT '"&amp;UPPER(B502)&amp;"' AS TABELA, '"&amp;UPPER(C502)&amp;"' AS TIPOLOGIA_TESTE,'"&amp;D502&amp;"' AS TABELA_LT,'"&amp;E502&amp;"' AS TABELA_SIMUL,'"&amp;F502&amp;"' AS CAMPO, "&amp;"'${ref_date}' AS REF_DATE, COUNT(*) AS NUM_REG, SUM(IF((ABS(COALESCE(X."&amp;F502&amp;",0)-COALESCE(Y."&amp;F502&amp;"_SIMUL,0))&gt;0.0000000001) OR (X."&amp;F502&amp;" IS NULL AND Y."&amp;F502&amp;"_SIMUL IS NOT NULL ) OR (X."&amp;F502&amp;" IS NOT NULL AND Y."&amp;F502&amp;"_SIMUL IS NULL),1,0)) AS NUM_REG_DIF,'"&amp;MAX('ID1&amp;5'!K:K)+1&amp;"' AS ID_EXEC, CURRENT_TIMESTAMP() AS TIME_EXEC FROM "&amp;I502&amp;" INNER JOIN "&amp;J502&amp;" "&amp;K502,"SELECT '"&amp;UPPER(B502)&amp;"' AS TABELA, '"&amp;UPPER(C502)&amp;"' AS TIPOLOGIA_TESTE,'"&amp;D502&amp;"' AS TABELA_LT,'"&amp;E502&amp;"' AS TABELA_SIMUL,'"&amp;F502&amp;"' AS CAMPO, "&amp;"'${ref_date}' AS REF_DATE, COUNT(*) AS NUM_REG, SUM(IF(COALESCE(CAST(X."&amp;F502&amp;" AS STRING),'')&lt;&gt;COALESCE(CAST(Y."&amp;F502&amp;"_SIMUL AS STRING),''),1,0)) AS NUM_REG_DIF,'"&amp;MAX('ID1&amp;5'!L:L)+1&amp;"' AS ID_EXEC, CURRENT_TIMESTAMP() AS TIME_EXEC FROM "&amp;I502&amp;" INNER JOIN "&amp;J502&amp;" "&amp;K502),
IF(C502="Validade",+IF(G502="Code List","SELECT '"&amp;UPPER(B502)&amp;"' AS TABELA, '"&amp;UPPER(C502)&amp;"' AS TIPOLOGIA_TESTE,'"&amp;D502&amp;"' AS TABELA_LT,'N/A' AS TABELA_SIMUL,'"&amp;F502&amp;"' AS CAMPO, "&amp;"'${ref_date}' AS REF_DATE, COUNT(*) AS NUM_REG, SUM(IF(TRIM(CAST(X."&amp;F502&amp;" AS STRING))='' OR TRIM(CAST(X."&amp;F502&amp;" AS STRING)) IS NULL OR CAST(X."&amp;F502&amp;" AS STRING) NOT "&amp;H502&amp;",1,0)) AS NUM_REG_DIF,'"&amp;MAX('ID1&amp;5'!K:K)+1&amp;"' AS ID_EXEC, CURRENT_TIMESTAMP() AS TIME_EXEC FROM "&amp;I502,"SELECT '"&amp;UPPER(B502)&amp;"' AS TABELA, '"&amp;UPPER(C502)&amp;"' AS TIPOLOGIA_TESTE,'"&amp;D502&amp;"' AS TABELA_LT,'N/A' AS TABELA_SIMUL,'"&amp;F502&amp;"' AS CAMPO, "&amp;"'${ref_date}' AS REF_DATE, COUNT(*) AS NUM_REG, SUM(IF(TRIM(CAST(X."&amp;F502&amp;" AS STRING))='' OR TRIM(CAST(X."&amp;F502&amp;" AS STRING)) IS NULL,1,0)) AS NUM_REG_DIF,'"&amp;MAX('ID1&amp;5'!K:K)+1&amp;"' AS ID_EXEC, CURRENT_TIMESTAMP() AS TIME_EXEC FROM "&amp;I502),
IF(C502="Caracteres Especiais",+"SELECT '"&amp;UPPER(B502)&amp;"' AS TABELA, '"&amp;UPPER(C502)&amp;"' AS TIPOLOGIA_TESTE,'"&amp;D502&amp;"' AS TABELA_LT,'N/A' AS TABELA_SIMUL,'"&amp;F502&amp;"' AS CAMPO, "&amp;"'${ref_date}' AS REF_DATE, COUNT(*) AS NUM_REG, SUM(IF(INSTR(CAST(X."&amp;F502&amp;" AS STRING),'#')&gt;0 OR INSTR(CAST(X."&amp;F502&amp;" AS STRING),'*')&gt;0 OR INSTR(CAST(X."&amp;F502&amp;" AS STRING),'`')&gt;0 OR INSTR(CAST(X."&amp;F502&amp;" AS STRING),'´')&gt;0 OR INSTR(CAST(X."&amp;F502&amp;" AS STRING),'{')&gt;0 OR INSTR(CAST(X."&amp;F502&amp;" AS STRING),'}')&gt;0 OR INSTR(CAST(X."&amp;F502&amp;" AS STRING),'[')&gt;0 OR INSTR(CAST(X."&amp;F502&amp;" AS STRING),'')&gt;0 OR INSTR(CAST(X."&amp;F502&amp;" AS STRING),']')&gt;0 OR INSTR(CAST(X."&amp;F502&amp;" AS STRING),'?')&gt;0 OR INSTR(CAST(X."&amp;F502&amp;" AS STRING),'!')&gt;0 OR INSTR(CAST(X."&amp;F502&amp;" AS STRING),'$')&gt;0 OR INSTR(CAST(X."&amp;F502&amp;" AS STRING),'%')&gt;0 OR INSTR(CAST(X."&amp;F502&amp;" AS STRING),'&amp;')&gt;0 OR INSTR(CAST(X."&amp;F502&amp;" AS STRING),'+')&gt;0,1,0)) AS NUM_REG_DIF,'"&amp;MAX('ID1&amp;5'!K:K)+1&amp;"' AS ID_EXEC, CURRENT_TIMESTAMP() AS TIME_EXEC FROM "&amp;I502,
IF(C502="Missings",+"SELECT '"&amp;UPPER(B502)&amp;"' AS TABELA, '"&amp;UPPER(C502)&amp;"' AS TIPOLOGIA_TESTE,'"&amp;D502&amp;"' AS TABELA_LT,'N/A' AS TABELA_SIMUL,'"&amp;F502&amp;"' AS CAMPO, "&amp;"'${ref_date}' AS REF_DATE, COUNT(*) AS NUM_REG, SUM(IF(TRIM(CAST(X."&amp;F502&amp;" AS STRING)) IN ('0000-00-00','0001-01-01','9999-12-31','MISS','00000','99999999999','99999999999.00','99999999999.000000'),1,0)) AS NUM_REG_DIF,'"&amp;MAX('ID1&amp;5'!K:K)+1&amp;"' AS ID_EXEC, CURRENT_TIMESTAMP() AS TIME_EXEC FROM "&amp;I502,
IF(C502="Not applicable",+"SELECT '"&amp;UPPER(B502)&amp;"' AS TABELA, '"&amp;UPPER(C502)&amp;"' AS TIPOLOGIA_TESTE,'"&amp;D502&amp;"' AS TABELA_LT,'N/A' AS TABELA_SIMUL,'"&amp;F502&amp;"' AS CAMPO, "&amp;"'${ref_date}' AS REF_DATE, COUNT(*) AS NUM_REG, SUM(IF(TRIM(CAST(X."&amp;F502&amp;" AS STRING)) IN ('N/A','11111111111','11111111111.00','11111111111.000000','1111-11-11'),1,0)) AS NUM_REG_DIF,'"&amp;MAX('ID1&amp;5'!K:K)+1&amp;"' AS ID_EXEC, CURRENT_TIMESTAMP() AS TIME_EXEC FROM "&amp;I502,
IF(C502="Valores extremos",+"SELECT '"&amp;UPPER(B502)&amp;"' AS TABELA, '"&amp;UPPER(C502)&amp;"' AS TIPOLOGIA_TESTE,'"&amp;D502&amp;"' AS TABELA_LT,'N/A' AS TABELA_SIMUL,'"&amp;F502&amp;"' AS CAMPO, "&amp;"'${ref_date}' AS REF_DATE, CAST(MIN("&amp;F502&amp;") AS STRING) AS VALOR_MIN, CAST(MAX("&amp;F502&amp;") AS STRING) AS VALOR_MAX,'"&amp;MAX('ID1&amp;5'!K:K)+1&amp;"' AS ID_EXEC, CURRENT_TIMESTAMP() AS TIME_EXEC FROM "&amp;MID(I502,1,LEN(I502)-2)&amp;" AND CAST("&amp;F502&amp;"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TABELA_SIMUL,'CNTRPRTY_EMSSNS_SCP1' AS CAMPO, '${ref_date}' AS REF_DATE, CAST(MIN(CNTRPRTY_EMSSNS_SCP1) AS STRING) AS VALOR_MIN, CAST(MAX(CNTRPRTY_EMSSNS_SCP1) AS STRING) AS VALOR_MAX,'10' AS ID_EXEC, CURRENT_TIMESTAMP() AS TIME_EXEC FROM (SELECT entty_id, CNTRPRTY_EMSSNS_SCP1 FROM BU_LOANTAPE_WORK.LT003_ENTITY WHERE ref_date='${ref_date}' AND nome_perimetro='Individual Corporativo' AND segmento='ESTR' AND ambito='PILAR3' AND CAST(CNTRPRTY_EMSSNS_SCP1 AS STRING) NOT IN ('0000-00-00','0001-01-01','9999-12-31','MISS','00000','99999999999','99999999999.00','99999999999.000000','N/A','11111111111','11111111111.00','11111111111.000000','1111-11-11'))X</v>
      </c>
      <c r="M502" s="43" t="str">
        <f t="shared" si="8"/>
        <v>UNION ALL SELECT 'ENTITY' AS TABELA, 'VALORES EXTREMOS' AS TIPOLOGIA_TESTE,'BU_LOANTAPE_WORK.LT003_ENTITY' AS TABELA_LT,'N/A' AS TABELA_SIMUL,'CNTRPRTY_EMSSNS_SCP1' AS CAMPO, '${ref_date}' AS REF_DATE, CAST(MIN(CNTRPRTY_EMSSNS_SCP1) AS STRING) AS VALOR_MIN, CAST(MAX(CNTRPRTY_EMSSNS_SCP1) AS STRING) AS VALOR_MAX,'10' AS ID_EXEC, CURRENT_TIMESTAMP() AS TIME_EXEC FROM (SELECT entty_id, CNTRPRTY_EMSSNS_SCP1 FROM BU_LOANTAPE_WORK.LT003_ENTITY WHERE ref_date='${ref_date}' AND nome_perimetro='Individual Corporativo' AND segmento='ESTR' AND ambito='PILAR3' AND CAST(CNTRPRTY_EMSSNS_SCP1 AS STRING) NOT IN ('0000-00-00','0001-01-01','9999-12-31','MISS','00000','99999999999','99999999999.00','99999999999.000000','N/A','11111111111','11111111111.00','11111111111.000000','1111-11-11'))X</v>
      </c>
      <c r="N502" s="45" t="s">
        <v>13</v>
      </c>
    </row>
    <row r="503" spans="2:14">
      <c r="B503" s="41" t="s">
        <v>23</v>
      </c>
      <c r="C503" s="41" t="s">
        <v>226</v>
      </c>
      <c r="D503" s="41" t="str">
        <f>+UPPER('0. Instruções'!$D$33&amp;"."&amp;VLOOKUP(B503,'0. Instruções'!$C$27:$D$31,2,FALSE))</f>
        <v>BU_LOANTAPE_WORK.LT003_ENTITY</v>
      </c>
      <c r="E503" s="41" t="str">
        <f>+UPPER('0. Instruções'!$D$34&amp;"."&amp;VLOOKUP(B503,'0. Instruções'!$C$27:$E$31,3,FALSE))</f>
        <v>BU_LOANTAPE_WORK.LT003_ENTTY_P3_NOV24</v>
      </c>
      <c r="F503" s="41" t="s">
        <v>118</v>
      </c>
      <c r="G503" s="41" t="s">
        <v>210</v>
      </c>
      <c r="H503" s="41"/>
      <c r="I503" s="41" t="str">
        <f>"(SELECT "&amp;VLOOKUP(B503,'0. Instruções'!$C$27:$G$31,4,FALSE)&amp;", "&amp;F503&amp;" FROM "&amp;D503&amp;" WHERE "&amp;'0. Instruções'!$D$40&amp;")X"</f>
        <v>(SELECT entty_id, CNTRPRTY_EMSSNS_SCP2 FROM BU_LOANTAPE_WORK.LT003_ENTITY WHERE ref_date='${ref_date}' AND nome_perimetro='Individual Corporativo' AND segmento='ESTR' AND ambito='PILAR3')X</v>
      </c>
      <c r="J503" s="41" t="str">
        <f>"(SELECT "&amp;VLOOKUP(B503,'0. Instruções'!$C$27:$G$31,4,FALSE)&amp;" AS "&amp;VLOOKUP(B503,'0. Instruções'!$C$27:$G$31,4,FALSE)&amp;"_SIMUL, "&amp;F503&amp;" AS "&amp;F503&amp;"_SIMUL FROM "&amp;E503&amp;")Y"</f>
        <v>(SELECT entty_id AS entty_id_SIMUL, CNTRPRTY_EMSSNS_SCP2 AS CNTRPRTY_EMSSNS_SCP2_SIMUL FROM BU_LOANTAPE_WORK.LT003_ENTTY_P3_NOV24)Y</v>
      </c>
      <c r="K503" s="42" t="str">
        <f>+UPPER("ON X."&amp;VLOOKUP(B503,'0. Instruções'!$C$27:$G$31,4,FALSE)&amp;"=Y."&amp;VLOOKUP(B503,'0. Instruções'!$C$27:$G$31,4,FALSE)&amp;"_SIMUL")</f>
        <v>ON X.ENTTY_ID=Y.ENTTY_ID_SIMUL</v>
      </c>
      <c r="L503" s="42" t="str">
        <f>+IF(C503="Coerência", +IF(LEFT(G503,5)="FLOAT","SELECT '"&amp;UPPER(B503)&amp;"' AS TABELA, '"&amp;UPPER(C503)&amp;"' AS TIPOLOGIA_TESTE,'"&amp;D503&amp;"' AS TABELA_LT,'"&amp;E503&amp;"' AS TABELA_SIMUL,'"&amp;F503&amp;"' AS CAMPO, "&amp;"'${ref_date}' AS REF_DATE, COUNT(*) AS NUM_REG, SUM(IF((ABS(COALESCE(X."&amp;F503&amp;",0)-COALESCE(Y."&amp;F503&amp;"_SIMUL,0))&gt;0.0000000001) OR (X."&amp;F503&amp;" IS NULL AND Y."&amp;F503&amp;"_SIMUL IS NOT NULL ) OR (X."&amp;F503&amp;" IS NOT NULL AND Y."&amp;F503&amp;"_SIMUL IS NULL),1,0)) AS NUM_REG_DIF,'"&amp;MAX('ID1&amp;5'!K:K)+1&amp;"' AS ID_EXEC, CURRENT_TIMESTAMP() AS TIME_EXEC FROM "&amp;I503&amp;" INNER JOIN "&amp;J503&amp;" "&amp;K503,"SELECT '"&amp;UPPER(B503)&amp;"' AS TABELA, '"&amp;UPPER(C503)&amp;"' AS TIPOLOGIA_TESTE,'"&amp;D503&amp;"' AS TABELA_LT,'"&amp;E503&amp;"' AS TABELA_SIMUL,'"&amp;F503&amp;"' AS CAMPO, "&amp;"'${ref_date}' AS REF_DATE, COUNT(*) AS NUM_REG, SUM(IF(COALESCE(CAST(X."&amp;F503&amp;" AS STRING),'')&lt;&gt;COALESCE(CAST(Y."&amp;F503&amp;"_SIMUL AS STRING),''),1,0)) AS NUM_REG_DIF,'"&amp;MAX('ID1&amp;5'!L:L)+1&amp;"' AS ID_EXEC, CURRENT_TIMESTAMP() AS TIME_EXEC FROM "&amp;I503&amp;" INNER JOIN "&amp;J503&amp;" "&amp;K503),
IF(C503="Validade",+IF(G503="Code List","SELECT '"&amp;UPPER(B503)&amp;"' AS TABELA, '"&amp;UPPER(C503)&amp;"' AS TIPOLOGIA_TESTE,'"&amp;D503&amp;"' AS TABELA_LT,'N/A' AS TABELA_SIMUL,'"&amp;F503&amp;"' AS CAMPO, "&amp;"'${ref_date}' AS REF_DATE, COUNT(*) AS NUM_REG, SUM(IF(TRIM(CAST(X."&amp;F503&amp;" AS STRING))='' OR TRIM(CAST(X."&amp;F503&amp;" AS STRING)) IS NULL OR CAST(X."&amp;F503&amp;" AS STRING) NOT "&amp;H503&amp;",1,0)) AS NUM_REG_DIF,'"&amp;MAX('ID1&amp;5'!K:K)+1&amp;"' AS ID_EXEC, CURRENT_TIMESTAMP() AS TIME_EXEC FROM "&amp;I503,"SELECT '"&amp;UPPER(B503)&amp;"' AS TABELA, '"&amp;UPPER(C503)&amp;"' AS TIPOLOGIA_TESTE,'"&amp;D503&amp;"' AS TABELA_LT,'N/A' AS TABELA_SIMUL,'"&amp;F503&amp;"' AS CAMPO, "&amp;"'${ref_date}' AS REF_DATE, COUNT(*) AS NUM_REG, SUM(IF(TRIM(CAST(X."&amp;F503&amp;" AS STRING))='' OR TRIM(CAST(X."&amp;F503&amp;" AS STRING)) IS NULL,1,0)) AS NUM_REG_DIF,'"&amp;MAX('ID1&amp;5'!K:K)+1&amp;"' AS ID_EXEC, CURRENT_TIMESTAMP() AS TIME_EXEC FROM "&amp;I503),
IF(C503="Caracteres Especiais",+"SELECT '"&amp;UPPER(B503)&amp;"' AS TABELA, '"&amp;UPPER(C503)&amp;"' AS TIPOLOGIA_TESTE,'"&amp;D503&amp;"' AS TABELA_LT,'N/A' AS TABELA_SIMUL,'"&amp;F503&amp;"' AS CAMPO, "&amp;"'${ref_date}' AS REF_DATE, COUNT(*) AS NUM_REG, SUM(IF(INSTR(CAST(X."&amp;F503&amp;" AS STRING),'#')&gt;0 OR INSTR(CAST(X."&amp;F503&amp;" AS STRING),'*')&gt;0 OR INSTR(CAST(X."&amp;F503&amp;" AS STRING),'`')&gt;0 OR INSTR(CAST(X."&amp;F503&amp;" AS STRING),'´')&gt;0 OR INSTR(CAST(X."&amp;F503&amp;" AS STRING),'{')&gt;0 OR INSTR(CAST(X."&amp;F503&amp;" AS STRING),'}')&gt;0 OR INSTR(CAST(X."&amp;F503&amp;" AS STRING),'[')&gt;0 OR INSTR(CAST(X."&amp;F503&amp;" AS STRING),'')&gt;0 OR INSTR(CAST(X."&amp;F503&amp;" AS STRING),']')&gt;0 OR INSTR(CAST(X."&amp;F503&amp;" AS STRING),'?')&gt;0 OR INSTR(CAST(X."&amp;F503&amp;" AS STRING),'!')&gt;0 OR INSTR(CAST(X."&amp;F503&amp;" AS STRING),'$')&gt;0 OR INSTR(CAST(X."&amp;F503&amp;" AS STRING),'%')&gt;0 OR INSTR(CAST(X."&amp;F503&amp;" AS STRING),'&amp;')&gt;0 OR INSTR(CAST(X."&amp;F503&amp;" AS STRING),'+')&gt;0,1,0)) AS NUM_REG_DIF,'"&amp;MAX('ID1&amp;5'!K:K)+1&amp;"' AS ID_EXEC, CURRENT_TIMESTAMP() AS TIME_EXEC FROM "&amp;I503,
IF(C503="Missings",+"SELECT '"&amp;UPPER(B503)&amp;"' AS TABELA, '"&amp;UPPER(C503)&amp;"' AS TIPOLOGIA_TESTE,'"&amp;D503&amp;"' AS TABELA_LT,'N/A' AS TABELA_SIMUL,'"&amp;F503&amp;"' AS CAMPO, "&amp;"'${ref_date}' AS REF_DATE, COUNT(*) AS NUM_REG, SUM(IF(TRIM(CAST(X."&amp;F503&amp;" AS STRING)) IN ('0000-00-00','0001-01-01','9999-12-31','MISS','00000','99999999999','99999999999.00','99999999999.000000'),1,0)) AS NUM_REG_DIF,'"&amp;MAX('ID1&amp;5'!K:K)+1&amp;"' AS ID_EXEC, CURRENT_TIMESTAMP() AS TIME_EXEC FROM "&amp;I503,
IF(C503="Not applicable",+"SELECT '"&amp;UPPER(B503)&amp;"' AS TABELA, '"&amp;UPPER(C503)&amp;"' AS TIPOLOGIA_TESTE,'"&amp;D503&amp;"' AS TABELA_LT,'N/A' AS TABELA_SIMUL,'"&amp;F503&amp;"' AS CAMPO, "&amp;"'${ref_date}' AS REF_DATE, COUNT(*) AS NUM_REG, SUM(IF(TRIM(CAST(X."&amp;F503&amp;" AS STRING)) IN ('N/A','11111111111','11111111111.00','11111111111.000000','1111-11-11'),1,0)) AS NUM_REG_DIF,'"&amp;MAX('ID1&amp;5'!K:K)+1&amp;"' AS ID_EXEC, CURRENT_TIMESTAMP() AS TIME_EXEC FROM "&amp;I503,
IF(C503="Valores extremos",+"SELECT '"&amp;UPPER(B503)&amp;"' AS TABELA, '"&amp;UPPER(C503)&amp;"' AS TIPOLOGIA_TESTE,'"&amp;D503&amp;"' AS TABELA_LT,'N/A' AS TABELA_SIMUL,'"&amp;F503&amp;"' AS CAMPO, "&amp;"'${ref_date}' AS REF_DATE, CAST(MIN("&amp;F503&amp;") AS STRING) AS VALOR_MIN, CAST(MAX("&amp;F503&amp;") AS STRING) AS VALOR_MAX,'"&amp;MAX('ID1&amp;5'!K:K)+1&amp;"' AS ID_EXEC, CURRENT_TIMESTAMP() AS TIME_EXEC FROM "&amp;MID(I503,1,LEN(I503)-2)&amp;" AND CAST("&amp;F503&amp;"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TABELA_SIMUL,'CNTRPRTY_EMSSNS_SCP2' AS CAMPO, '${ref_date}' AS REF_DATE, CAST(MIN(CNTRPRTY_EMSSNS_SCP2) AS STRING) AS VALOR_MIN, CAST(MAX(CNTRPRTY_EMSSNS_SCP2) AS STRING) AS VALOR_MAX,'10' AS ID_EXEC, CURRENT_TIMESTAMP() AS TIME_EXEC FROM (SELECT entty_id, CNTRPRTY_EMSSNS_SCP2 FROM BU_LOANTAPE_WORK.LT003_ENTITY WHERE ref_date='${ref_date}' AND nome_perimetro='Individual Corporativo' AND segmento='ESTR' AND ambito='PILAR3' AND CAST(CNTRPRTY_EMSSNS_SCP2 AS STRING) NOT IN ('0000-00-00','0001-01-01','9999-12-31','MISS','00000','99999999999','99999999999.00','99999999999.000000','N/A','11111111111','11111111111.00','11111111111.000000','1111-11-11'))X</v>
      </c>
      <c r="M503" s="43" t="str">
        <f t="shared" si="8"/>
        <v>UNION ALL SELECT 'ENTITY' AS TABELA, 'VALORES EXTREMOS' AS TIPOLOGIA_TESTE,'BU_LOANTAPE_WORK.LT003_ENTITY' AS TABELA_LT,'N/A' AS TABELA_SIMUL,'CNTRPRTY_EMSSNS_SCP2' AS CAMPO, '${ref_date}' AS REF_DATE, CAST(MIN(CNTRPRTY_EMSSNS_SCP2) AS STRING) AS VALOR_MIN, CAST(MAX(CNTRPRTY_EMSSNS_SCP2) AS STRING) AS VALOR_MAX,'10' AS ID_EXEC, CURRENT_TIMESTAMP() AS TIME_EXEC FROM (SELECT entty_id, CNTRPRTY_EMSSNS_SCP2 FROM BU_LOANTAPE_WORK.LT003_ENTITY WHERE ref_date='${ref_date}' AND nome_perimetro='Individual Corporativo' AND segmento='ESTR' AND ambito='PILAR3' AND CAST(CNTRPRTY_EMSSNS_SCP2 AS STRING) NOT IN ('0000-00-00','0001-01-01','9999-12-31','MISS','00000','99999999999','99999999999.00','99999999999.000000','N/A','11111111111','11111111111.00','11111111111.000000','1111-11-11'))X</v>
      </c>
      <c r="N503" s="45" t="s">
        <v>13</v>
      </c>
    </row>
    <row r="504" spans="2:14">
      <c r="B504" s="41" t="s">
        <v>23</v>
      </c>
      <c r="C504" s="41" t="s">
        <v>226</v>
      </c>
      <c r="D504" s="41" t="str">
        <f>+UPPER('0. Instruções'!$D$33&amp;"."&amp;VLOOKUP(B504,'0. Instruções'!$C$27:$D$31,2,FALSE))</f>
        <v>BU_LOANTAPE_WORK.LT003_ENTITY</v>
      </c>
      <c r="E504" s="41" t="str">
        <f>+UPPER('0. Instruções'!$D$34&amp;"."&amp;VLOOKUP(B504,'0. Instruções'!$C$27:$E$31,3,FALSE))</f>
        <v>BU_LOANTAPE_WORK.LT003_ENTTY_P3_NOV24</v>
      </c>
      <c r="F504" s="41" t="s">
        <v>119</v>
      </c>
      <c r="G504" s="41" t="s">
        <v>210</v>
      </c>
      <c r="H504" s="41"/>
      <c r="I504" s="41" t="str">
        <f>"(SELECT "&amp;VLOOKUP(B504,'0. Instruções'!$C$27:$G$31,4,FALSE)&amp;", "&amp;F504&amp;" FROM "&amp;D504&amp;" WHERE "&amp;'0. Instruções'!$D$40&amp;")X"</f>
        <v>(SELECT entty_id, CNTRPRTY_EMSSNS_SCP3 FROM BU_LOANTAPE_WORK.LT003_ENTITY WHERE ref_date='${ref_date}' AND nome_perimetro='Individual Corporativo' AND segmento='ESTR' AND ambito='PILAR3')X</v>
      </c>
      <c r="J504" s="41" t="str">
        <f>"(SELECT "&amp;VLOOKUP(B504,'0. Instruções'!$C$27:$G$31,4,FALSE)&amp;" AS "&amp;VLOOKUP(B504,'0. Instruções'!$C$27:$G$31,4,FALSE)&amp;"_SIMUL, "&amp;F504&amp;" AS "&amp;F504&amp;"_SIMUL FROM "&amp;E504&amp;")Y"</f>
        <v>(SELECT entty_id AS entty_id_SIMUL, CNTRPRTY_EMSSNS_SCP3 AS CNTRPRTY_EMSSNS_SCP3_SIMUL FROM BU_LOANTAPE_WORK.LT003_ENTTY_P3_NOV24)Y</v>
      </c>
      <c r="K504" s="42" t="str">
        <f>+UPPER("ON X."&amp;VLOOKUP(B504,'0. Instruções'!$C$27:$G$31,4,FALSE)&amp;"=Y."&amp;VLOOKUP(B504,'0. Instruções'!$C$27:$G$31,4,FALSE)&amp;"_SIMUL")</f>
        <v>ON X.ENTTY_ID=Y.ENTTY_ID_SIMUL</v>
      </c>
      <c r="L504" s="42" t="str">
        <f>+IF(C504="Coerência", +IF(LEFT(G504,5)="FLOAT","SELECT '"&amp;UPPER(B504)&amp;"' AS TABELA, '"&amp;UPPER(C504)&amp;"' AS TIPOLOGIA_TESTE,'"&amp;D504&amp;"' AS TABELA_LT,'"&amp;E504&amp;"' AS TABELA_SIMUL,'"&amp;F504&amp;"' AS CAMPO, "&amp;"'${ref_date}' AS REF_DATE, COUNT(*) AS NUM_REG, SUM(IF((ABS(COALESCE(X."&amp;F504&amp;",0)-COALESCE(Y."&amp;F504&amp;"_SIMUL,0))&gt;0.0000000001) OR (X."&amp;F504&amp;" IS NULL AND Y."&amp;F504&amp;"_SIMUL IS NOT NULL ) OR (X."&amp;F504&amp;" IS NOT NULL AND Y."&amp;F504&amp;"_SIMUL IS NULL),1,0)) AS NUM_REG_DIF,'"&amp;MAX('ID1&amp;5'!K:K)+1&amp;"' AS ID_EXEC, CURRENT_TIMESTAMP() AS TIME_EXEC FROM "&amp;I504&amp;" INNER JOIN "&amp;J504&amp;" "&amp;K504,"SELECT '"&amp;UPPER(B504)&amp;"' AS TABELA, '"&amp;UPPER(C504)&amp;"' AS TIPOLOGIA_TESTE,'"&amp;D504&amp;"' AS TABELA_LT,'"&amp;E504&amp;"' AS TABELA_SIMUL,'"&amp;F504&amp;"' AS CAMPO, "&amp;"'${ref_date}' AS REF_DATE, COUNT(*) AS NUM_REG, SUM(IF(COALESCE(CAST(X."&amp;F504&amp;" AS STRING),'')&lt;&gt;COALESCE(CAST(Y."&amp;F504&amp;"_SIMUL AS STRING),''),1,0)) AS NUM_REG_DIF,'"&amp;MAX('ID1&amp;5'!L:L)+1&amp;"' AS ID_EXEC, CURRENT_TIMESTAMP() AS TIME_EXEC FROM "&amp;I504&amp;" INNER JOIN "&amp;J504&amp;" "&amp;K504),
IF(C504="Validade",+IF(G504="Code List","SELECT '"&amp;UPPER(B504)&amp;"' AS TABELA, '"&amp;UPPER(C504)&amp;"' AS TIPOLOGIA_TESTE,'"&amp;D504&amp;"' AS TABELA_LT,'N/A' AS TABELA_SIMUL,'"&amp;F504&amp;"' AS CAMPO, "&amp;"'${ref_date}' AS REF_DATE, COUNT(*) AS NUM_REG, SUM(IF(TRIM(CAST(X."&amp;F504&amp;" AS STRING))='' OR TRIM(CAST(X."&amp;F504&amp;" AS STRING)) IS NULL OR CAST(X."&amp;F504&amp;" AS STRING) NOT "&amp;H504&amp;",1,0)) AS NUM_REG_DIF,'"&amp;MAX('ID1&amp;5'!K:K)+1&amp;"' AS ID_EXEC, CURRENT_TIMESTAMP() AS TIME_EXEC FROM "&amp;I504,"SELECT '"&amp;UPPER(B504)&amp;"' AS TABELA, '"&amp;UPPER(C504)&amp;"' AS TIPOLOGIA_TESTE,'"&amp;D504&amp;"' AS TABELA_LT,'N/A' AS TABELA_SIMUL,'"&amp;F504&amp;"' AS CAMPO, "&amp;"'${ref_date}' AS REF_DATE, COUNT(*) AS NUM_REG, SUM(IF(TRIM(CAST(X."&amp;F504&amp;" AS STRING))='' OR TRIM(CAST(X."&amp;F504&amp;" AS STRING)) IS NULL,1,0)) AS NUM_REG_DIF,'"&amp;MAX('ID1&amp;5'!K:K)+1&amp;"' AS ID_EXEC, CURRENT_TIMESTAMP() AS TIME_EXEC FROM "&amp;I504),
IF(C504="Caracteres Especiais",+"SELECT '"&amp;UPPER(B504)&amp;"' AS TABELA, '"&amp;UPPER(C504)&amp;"' AS TIPOLOGIA_TESTE,'"&amp;D504&amp;"' AS TABELA_LT,'N/A' AS TABELA_SIMUL,'"&amp;F504&amp;"' AS CAMPO, "&amp;"'${ref_date}' AS REF_DATE, COUNT(*) AS NUM_REG, SUM(IF(INSTR(CAST(X."&amp;F504&amp;" AS STRING),'#')&gt;0 OR INSTR(CAST(X."&amp;F504&amp;" AS STRING),'*')&gt;0 OR INSTR(CAST(X."&amp;F504&amp;" AS STRING),'`')&gt;0 OR INSTR(CAST(X."&amp;F504&amp;" AS STRING),'´')&gt;0 OR INSTR(CAST(X."&amp;F504&amp;" AS STRING),'{')&gt;0 OR INSTR(CAST(X."&amp;F504&amp;" AS STRING),'}')&gt;0 OR INSTR(CAST(X."&amp;F504&amp;" AS STRING),'[')&gt;0 OR INSTR(CAST(X."&amp;F504&amp;" AS STRING),'')&gt;0 OR INSTR(CAST(X."&amp;F504&amp;" AS STRING),']')&gt;0 OR INSTR(CAST(X."&amp;F504&amp;" AS STRING),'?')&gt;0 OR INSTR(CAST(X."&amp;F504&amp;" AS STRING),'!')&gt;0 OR INSTR(CAST(X."&amp;F504&amp;" AS STRING),'$')&gt;0 OR INSTR(CAST(X."&amp;F504&amp;" AS STRING),'%')&gt;0 OR INSTR(CAST(X."&amp;F504&amp;" AS STRING),'&amp;')&gt;0 OR INSTR(CAST(X."&amp;F504&amp;" AS STRING),'+')&gt;0,1,0)) AS NUM_REG_DIF,'"&amp;MAX('ID1&amp;5'!K:K)+1&amp;"' AS ID_EXEC, CURRENT_TIMESTAMP() AS TIME_EXEC FROM "&amp;I504,
IF(C504="Missings",+"SELECT '"&amp;UPPER(B504)&amp;"' AS TABELA, '"&amp;UPPER(C504)&amp;"' AS TIPOLOGIA_TESTE,'"&amp;D504&amp;"' AS TABELA_LT,'N/A' AS TABELA_SIMUL,'"&amp;F504&amp;"' AS CAMPO, "&amp;"'${ref_date}' AS REF_DATE, COUNT(*) AS NUM_REG, SUM(IF(TRIM(CAST(X."&amp;F504&amp;" AS STRING)) IN ('0000-00-00','0001-01-01','9999-12-31','MISS','00000','99999999999','99999999999.00','99999999999.000000'),1,0)) AS NUM_REG_DIF,'"&amp;MAX('ID1&amp;5'!K:K)+1&amp;"' AS ID_EXEC, CURRENT_TIMESTAMP() AS TIME_EXEC FROM "&amp;I504,
IF(C504="Not applicable",+"SELECT '"&amp;UPPER(B504)&amp;"' AS TABELA, '"&amp;UPPER(C504)&amp;"' AS TIPOLOGIA_TESTE,'"&amp;D504&amp;"' AS TABELA_LT,'N/A' AS TABELA_SIMUL,'"&amp;F504&amp;"' AS CAMPO, "&amp;"'${ref_date}' AS REF_DATE, COUNT(*) AS NUM_REG, SUM(IF(TRIM(CAST(X."&amp;F504&amp;" AS STRING)) IN ('N/A','11111111111','11111111111.00','11111111111.000000','1111-11-11'),1,0)) AS NUM_REG_DIF,'"&amp;MAX('ID1&amp;5'!K:K)+1&amp;"' AS ID_EXEC, CURRENT_TIMESTAMP() AS TIME_EXEC FROM "&amp;I504,
IF(C504="Valores extremos",+"SELECT '"&amp;UPPER(B504)&amp;"' AS TABELA, '"&amp;UPPER(C504)&amp;"' AS TIPOLOGIA_TESTE,'"&amp;D504&amp;"' AS TABELA_LT,'N/A' AS TABELA_SIMUL,'"&amp;F504&amp;"' AS CAMPO, "&amp;"'${ref_date}' AS REF_DATE, CAST(MIN("&amp;F504&amp;") AS STRING) AS VALOR_MIN, CAST(MAX("&amp;F504&amp;") AS STRING) AS VALOR_MAX,'"&amp;MAX('ID1&amp;5'!K:K)+1&amp;"' AS ID_EXEC, CURRENT_TIMESTAMP() AS TIME_EXEC FROM "&amp;MID(I504,1,LEN(I504)-2)&amp;" AND CAST("&amp;F504&amp;"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TABELA_SIMUL,'CNTRPRTY_EMSSNS_SCP3' AS CAMPO, '${ref_date}' AS REF_DATE, CAST(MIN(CNTRPRTY_EMSSNS_SCP3) AS STRING) AS VALOR_MIN, CAST(MAX(CNTRPRTY_EMSSNS_SCP3) AS STRING) AS VALOR_MAX,'10' AS ID_EXEC, CURRENT_TIMESTAMP() AS TIME_EXEC FROM (SELECT entty_id, CNTRPRTY_EMSSNS_SCP3 FROM BU_LOANTAPE_WORK.LT003_ENTITY WHERE ref_date='${ref_date}' AND nome_perimetro='Individual Corporativo' AND segmento='ESTR' AND ambito='PILAR3' AND CAST(CNTRPRTY_EMSSNS_SCP3 AS STRING) NOT IN ('0000-00-00','0001-01-01','9999-12-31','MISS','00000','99999999999','99999999999.00','99999999999.000000','N/A','11111111111','11111111111.00','11111111111.000000','1111-11-11'))X</v>
      </c>
      <c r="M504" s="43" t="str">
        <f t="shared" si="8"/>
        <v>UNION ALL SELECT 'ENTITY' AS TABELA, 'VALORES EXTREMOS' AS TIPOLOGIA_TESTE,'BU_LOANTAPE_WORK.LT003_ENTITY' AS TABELA_LT,'N/A' AS TABELA_SIMUL,'CNTRPRTY_EMSSNS_SCP3' AS CAMPO, '${ref_date}' AS REF_DATE, CAST(MIN(CNTRPRTY_EMSSNS_SCP3) AS STRING) AS VALOR_MIN, CAST(MAX(CNTRPRTY_EMSSNS_SCP3) AS STRING) AS VALOR_MAX,'10' AS ID_EXEC, CURRENT_TIMESTAMP() AS TIME_EXEC FROM (SELECT entty_id, CNTRPRTY_EMSSNS_SCP3 FROM BU_LOANTAPE_WORK.LT003_ENTITY WHERE ref_date='${ref_date}' AND nome_perimetro='Individual Corporativo' AND segmento='ESTR' AND ambito='PILAR3' AND CAST(CNTRPRTY_EMSSNS_SCP3 AS STRING) NOT IN ('0000-00-00','0001-01-01','9999-12-31','MISS','00000','99999999999','99999999999.00','99999999999.000000','N/A','11111111111','11111111111.00','11111111111.000000','1111-11-11'))X</v>
      </c>
      <c r="N504" s="45" t="s">
        <v>13</v>
      </c>
    </row>
    <row r="505" spans="2:14">
      <c r="B505" s="41" t="s">
        <v>23</v>
      </c>
      <c r="C505" s="41" t="s">
        <v>226</v>
      </c>
      <c r="D505" s="41" t="str">
        <f>+UPPER('0. Instruções'!$D$33&amp;"."&amp;VLOOKUP(B505,'0. Instruções'!$C$27:$D$31,2,FALSE))</f>
        <v>BU_LOANTAPE_WORK.LT003_ENTITY</v>
      </c>
      <c r="E505" s="41" t="str">
        <f>+UPPER('0. Instruções'!$D$34&amp;"."&amp;VLOOKUP(B505,'0. Instruções'!$C$27:$E$31,3,FALSE))</f>
        <v>BU_LOANTAPE_WORK.LT003_ENTTY_P3_NOV24</v>
      </c>
      <c r="F505" s="41" t="s">
        <v>120</v>
      </c>
      <c r="G505" s="41" t="s">
        <v>211</v>
      </c>
      <c r="H505" s="41"/>
      <c r="I505" s="41" t="str">
        <f>"(SELECT "&amp;VLOOKUP(B505,'0. Instruções'!$C$27:$G$31,4,FALSE)&amp;", "&amp;F505&amp;" FROM "&amp;D505&amp;" WHERE "&amp;'0. Instruções'!$D$40&amp;")X"</f>
        <v>(SELECT entty_id, FLG_EXCLDD_EU_PRS_ALGND_BNCHMRK FROM BU_LOANTAPE_WORK.LT003_ENTITY WHERE ref_date='${ref_date}' AND nome_perimetro='Individual Corporativo' AND segmento='ESTR' AND ambito='PILAR3')X</v>
      </c>
      <c r="J505" s="41" t="str">
        <f>"(SELECT "&amp;VLOOKUP(B505,'0. Instruções'!$C$27:$G$31,4,FALSE)&amp;" AS "&amp;VLOOKUP(B505,'0. Instruções'!$C$27:$G$31,4,FALSE)&amp;"_SIMUL, "&amp;F505&amp;" AS "&amp;F505&amp;"_SIMUL FROM "&amp;E505&amp;")Y"</f>
        <v>(SELECT entty_id AS entty_id_SIMUL, FLG_EXCLDD_EU_PRS_ALGND_BNCHMRK AS FLG_EXCLDD_EU_PRS_ALGND_BNCHMRK_SIMUL FROM BU_LOANTAPE_WORK.LT003_ENTTY_P3_NOV24)Y</v>
      </c>
      <c r="K505" s="42" t="str">
        <f>+UPPER("ON X."&amp;VLOOKUP(B505,'0. Instruções'!$C$27:$G$31,4,FALSE)&amp;"=Y."&amp;VLOOKUP(B505,'0. Instruções'!$C$27:$G$31,4,FALSE)&amp;"_SIMUL")</f>
        <v>ON X.ENTTY_ID=Y.ENTTY_ID_SIMUL</v>
      </c>
      <c r="L505" s="42" t="str">
        <f>+IF(C505="Coerência", +IF(LEFT(G505,5)="FLOAT","SELECT '"&amp;UPPER(B505)&amp;"' AS TABELA, '"&amp;UPPER(C505)&amp;"' AS TIPOLOGIA_TESTE,'"&amp;D505&amp;"' AS TABELA_LT,'"&amp;E505&amp;"' AS TABELA_SIMUL,'"&amp;F505&amp;"' AS CAMPO, "&amp;"'${ref_date}' AS REF_DATE, COUNT(*) AS NUM_REG, SUM(IF((ABS(COALESCE(X."&amp;F505&amp;",0)-COALESCE(Y."&amp;F505&amp;"_SIMUL,0))&gt;0.0000000001) OR (X."&amp;F505&amp;" IS NULL AND Y."&amp;F505&amp;"_SIMUL IS NOT NULL ) OR (X."&amp;F505&amp;" IS NOT NULL AND Y."&amp;F505&amp;"_SIMUL IS NULL),1,0)) AS NUM_REG_DIF,'"&amp;MAX('ID1&amp;5'!K:K)+1&amp;"' AS ID_EXEC, CURRENT_TIMESTAMP() AS TIME_EXEC FROM "&amp;I505&amp;" INNER JOIN "&amp;J505&amp;" "&amp;K505,"SELECT '"&amp;UPPER(B505)&amp;"' AS TABELA, '"&amp;UPPER(C505)&amp;"' AS TIPOLOGIA_TESTE,'"&amp;D505&amp;"' AS TABELA_LT,'"&amp;E505&amp;"' AS TABELA_SIMUL,'"&amp;F505&amp;"' AS CAMPO, "&amp;"'${ref_date}' AS REF_DATE, COUNT(*) AS NUM_REG, SUM(IF(COALESCE(CAST(X."&amp;F505&amp;" AS STRING),'')&lt;&gt;COALESCE(CAST(Y."&amp;F505&amp;"_SIMUL AS STRING),''),1,0)) AS NUM_REG_DIF,'"&amp;MAX('ID1&amp;5'!L:L)+1&amp;"' AS ID_EXEC, CURRENT_TIMESTAMP() AS TIME_EXEC FROM "&amp;I505&amp;" INNER JOIN "&amp;J505&amp;" "&amp;K505),
IF(C505="Validade",+IF(G505="Code List","SELECT '"&amp;UPPER(B505)&amp;"' AS TABELA, '"&amp;UPPER(C505)&amp;"' AS TIPOLOGIA_TESTE,'"&amp;D505&amp;"' AS TABELA_LT,'N/A' AS TABELA_SIMUL,'"&amp;F505&amp;"' AS CAMPO, "&amp;"'${ref_date}' AS REF_DATE, COUNT(*) AS NUM_REG, SUM(IF(TRIM(CAST(X."&amp;F505&amp;" AS STRING))='' OR TRIM(CAST(X."&amp;F505&amp;" AS STRING)) IS NULL OR CAST(X."&amp;F505&amp;" AS STRING) NOT "&amp;H505&amp;",1,0)) AS NUM_REG_DIF,'"&amp;MAX('ID1&amp;5'!K:K)+1&amp;"' AS ID_EXEC, CURRENT_TIMESTAMP() AS TIME_EXEC FROM "&amp;I505,"SELECT '"&amp;UPPER(B505)&amp;"' AS TABELA, '"&amp;UPPER(C505)&amp;"' AS TIPOLOGIA_TESTE,'"&amp;D505&amp;"' AS TABELA_LT,'N/A' AS TABELA_SIMUL,'"&amp;F505&amp;"' AS CAMPO, "&amp;"'${ref_date}' AS REF_DATE, COUNT(*) AS NUM_REG, SUM(IF(TRIM(CAST(X."&amp;F505&amp;" AS STRING))='' OR TRIM(CAST(X."&amp;F505&amp;" AS STRING)) IS NULL,1,0)) AS NUM_REG_DIF,'"&amp;MAX('ID1&amp;5'!K:K)+1&amp;"' AS ID_EXEC, CURRENT_TIMESTAMP() AS TIME_EXEC FROM "&amp;I505),
IF(C505="Caracteres Especiais",+"SELECT '"&amp;UPPER(B505)&amp;"' AS TABELA, '"&amp;UPPER(C505)&amp;"' AS TIPOLOGIA_TESTE,'"&amp;D505&amp;"' AS TABELA_LT,'N/A' AS TABELA_SIMUL,'"&amp;F505&amp;"' AS CAMPO, "&amp;"'${ref_date}' AS REF_DATE, COUNT(*) AS NUM_REG, SUM(IF(INSTR(CAST(X."&amp;F505&amp;" AS STRING),'#')&gt;0 OR INSTR(CAST(X."&amp;F505&amp;" AS STRING),'*')&gt;0 OR INSTR(CAST(X."&amp;F505&amp;" AS STRING),'`')&gt;0 OR INSTR(CAST(X."&amp;F505&amp;" AS STRING),'´')&gt;0 OR INSTR(CAST(X."&amp;F505&amp;" AS STRING),'{')&gt;0 OR INSTR(CAST(X."&amp;F505&amp;" AS STRING),'}')&gt;0 OR INSTR(CAST(X."&amp;F505&amp;" AS STRING),'[')&gt;0 OR INSTR(CAST(X."&amp;F505&amp;" AS STRING),'')&gt;0 OR INSTR(CAST(X."&amp;F505&amp;" AS STRING),']')&gt;0 OR INSTR(CAST(X."&amp;F505&amp;" AS STRING),'?')&gt;0 OR INSTR(CAST(X."&amp;F505&amp;" AS STRING),'!')&gt;0 OR INSTR(CAST(X."&amp;F505&amp;" AS STRING),'$')&gt;0 OR INSTR(CAST(X."&amp;F505&amp;" AS STRING),'%')&gt;0 OR INSTR(CAST(X."&amp;F505&amp;" AS STRING),'&amp;')&gt;0 OR INSTR(CAST(X."&amp;F505&amp;" AS STRING),'+')&gt;0,1,0)) AS NUM_REG_DIF,'"&amp;MAX('ID1&amp;5'!K:K)+1&amp;"' AS ID_EXEC, CURRENT_TIMESTAMP() AS TIME_EXEC FROM "&amp;I505,
IF(C505="Missings",+"SELECT '"&amp;UPPER(B505)&amp;"' AS TABELA, '"&amp;UPPER(C505)&amp;"' AS TIPOLOGIA_TESTE,'"&amp;D505&amp;"' AS TABELA_LT,'N/A' AS TABELA_SIMUL,'"&amp;F505&amp;"' AS CAMPO, "&amp;"'${ref_date}' AS REF_DATE, COUNT(*) AS NUM_REG, SUM(IF(TRIM(CAST(X."&amp;F505&amp;" AS STRING)) IN ('0000-00-00','0001-01-01','9999-12-31','MISS','00000','99999999999','99999999999.00','99999999999.000000'),1,0)) AS NUM_REG_DIF,'"&amp;MAX('ID1&amp;5'!K:K)+1&amp;"' AS ID_EXEC, CURRENT_TIMESTAMP() AS TIME_EXEC FROM "&amp;I505,
IF(C505="Not applicable",+"SELECT '"&amp;UPPER(B505)&amp;"' AS TABELA, '"&amp;UPPER(C505)&amp;"' AS TIPOLOGIA_TESTE,'"&amp;D505&amp;"' AS TABELA_LT,'N/A' AS TABELA_SIMUL,'"&amp;F505&amp;"' AS CAMPO, "&amp;"'${ref_date}' AS REF_DATE, COUNT(*) AS NUM_REG, SUM(IF(TRIM(CAST(X."&amp;F505&amp;" AS STRING)) IN ('N/A','11111111111','11111111111.00','11111111111.000000','1111-11-11'),1,0)) AS NUM_REG_DIF,'"&amp;MAX('ID1&amp;5'!K:K)+1&amp;"' AS ID_EXEC, CURRENT_TIMESTAMP() AS TIME_EXEC FROM "&amp;I505,
IF(C505="Valores extremos",+"SELECT '"&amp;UPPER(B505)&amp;"' AS TABELA, '"&amp;UPPER(C505)&amp;"' AS TIPOLOGIA_TESTE,'"&amp;D505&amp;"' AS TABELA_LT,'N/A' AS TABELA_SIMUL,'"&amp;F505&amp;"' AS CAMPO, "&amp;"'${ref_date}' AS REF_DATE, CAST(MIN("&amp;F505&amp;") AS STRING) AS VALOR_MIN, CAST(MAX("&amp;F505&amp;") AS STRING) AS VALOR_MAX,'"&amp;MAX('ID1&amp;5'!K:K)+1&amp;"' AS ID_EXEC, CURRENT_TIMESTAMP() AS TIME_EXEC FROM "&amp;MID(I505,1,LEN(I505)-2)&amp;" AND CAST("&amp;F505&amp;"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TABELA_SIMUL,'FLG_EXCLDD_EU_PRS_ALGND_BNCHMRK' AS CAMPO, '${ref_date}' AS REF_DATE, CAST(MIN(FLG_EXCLDD_EU_PRS_ALGND_BNCHMRK) AS STRING) AS VALOR_MIN, CAST(MAX(FLG_EXCLDD_EU_PRS_ALGND_BNCHMRK) AS STRING) AS VALOR_MAX,'10' AS ID_EXEC, CURRENT_TIMESTAMP() AS TIME_EXEC FROM (SELECT entty_id, FLG_EXCLDD_EU_PRS_ALGND_BNCHMRK FROM BU_LOANTAPE_WORK.LT003_ENTITY WHERE ref_date='${ref_date}' AND nome_perimetro='Individual Corporativo' AND segmento='ESTR' AND ambito='PILAR3' AND CAST(FLG_EXCLDD_EU_PRS_ALGND_BNCHMRK AS STRING) NOT IN ('0000-00-00','0001-01-01','9999-12-31','MISS','00000','99999999999','99999999999.00','99999999999.000000','N/A','11111111111','11111111111.00','11111111111.000000','1111-11-11'))X</v>
      </c>
      <c r="M505" s="43" t="str">
        <f t="shared" si="8"/>
        <v>UNION ALL SELECT 'ENTITY' AS TABELA, 'VALORES EXTREMOS' AS TIPOLOGIA_TESTE,'BU_LOANTAPE_WORK.LT003_ENTITY' AS TABELA_LT,'N/A' AS TABELA_SIMUL,'FLG_EXCLDD_EU_PRS_ALGND_BNCHMRK' AS CAMPO, '${ref_date}' AS REF_DATE, CAST(MIN(FLG_EXCLDD_EU_PRS_ALGND_BNCHMRK) AS STRING) AS VALOR_MIN, CAST(MAX(FLG_EXCLDD_EU_PRS_ALGND_BNCHMRK) AS STRING) AS VALOR_MAX,'10' AS ID_EXEC, CURRENT_TIMESTAMP() AS TIME_EXEC FROM (SELECT entty_id, FLG_EXCLDD_EU_PRS_ALGND_BNCHMRK FROM BU_LOANTAPE_WORK.LT003_ENTITY WHERE ref_date='${ref_date}' AND nome_perimetro='Individual Corporativo' AND segmento='ESTR' AND ambito='PILAR3' AND CAST(FLG_EXCLDD_EU_PRS_ALGND_BNCHMRK AS STRING) NOT IN ('0000-00-00','0001-01-01','9999-12-31','MISS','00000','99999999999','99999999999.00','99999999999.000000','N/A','11111111111','11111111111.00','11111111111.000000','1111-11-11'))X</v>
      </c>
      <c r="N505" s="45" t="s">
        <v>13</v>
      </c>
    </row>
    <row r="506" spans="2:14">
      <c r="B506" s="41" t="s">
        <v>23</v>
      </c>
      <c r="C506" s="41" t="s">
        <v>226</v>
      </c>
      <c r="D506" s="41" t="str">
        <f>+UPPER('0. Instruções'!$D$33&amp;"."&amp;VLOOKUP(B506,'0. Instruções'!$C$27:$D$31,2,FALSE))</f>
        <v>BU_LOANTAPE_WORK.LT003_ENTITY</v>
      </c>
      <c r="E506" s="41" t="str">
        <f>+UPPER('0. Instruções'!$D$34&amp;"."&amp;VLOOKUP(B506,'0. Instruções'!$C$27:$E$31,3,FALSE))</f>
        <v>BU_LOANTAPE_WORK.LT003_ENTTY_P3_NOV24</v>
      </c>
      <c r="F506" s="41" t="s">
        <v>121</v>
      </c>
      <c r="G506" s="41" t="s">
        <v>211</v>
      </c>
      <c r="H506" s="41"/>
      <c r="I506" s="41" t="str">
        <f>"(SELECT "&amp;VLOOKUP(B506,'0. Instruções'!$C$27:$G$31,4,FALSE)&amp;", "&amp;F506&amp;" FROM "&amp;D506&amp;" WHERE "&amp;'0. Instruções'!$D$40&amp;")X"</f>
        <v>(SELECT entty_id, FLG_ACT_PHYSCL_RSK FROM BU_LOANTAPE_WORK.LT003_ENTITY WHERE ref_date='${ref_date}' AND nome_perimetro='Individual Corporativo' AND segmento='ESTR' AND ambito='PILAR3')X</v>
      </c>
      <c r="J506" s="41" t="str">
        <f>"(SELECT "&amp;VLOOKUP(B506,'0. Instruções'!$C$27:$G$31,4,FALSE)&amp;" AS "&amp;VLOOKUP(B506,'0. Instruções'!$C$27:$G$31,4,FALSE)&amp;"_SIMUL, "&amp;F506&amp;" AS "&amp;F506&amp;"_SIMUL FROM "&amp;E506&amp;")Y"</f>
        <v>(SELECT entty_id AS entty_id_SIMUL, FLG_ACT_PHYSCL_RSK AS FLG_ACT_PHYSCL_RSK_SIMUL FROM BU_LOANTAPE_WORK.LT003_ENTTY_P3_NOV24)Y</v>
      </c>
      <c r="K506" s="42" t="str">
        <f>+UPPER("ON X."&amp;VLOOKUP(B506,'0. Instruções'!$C$27:$G$31,4,FALSE)&amp;"=Y."&amp;VLOOKUP(B506,'0. Instruções'!$C$27:$G$31,4,FALSE)&amp;"_SIMUL")</f>
        <v>ON X.ENTTY_ID=Y.ENTTY_ID_SIMUL</v>
      </c>
      <c r="L506" s="42" t="str">
        <f>+IF(C506="Coerência", +IF(LEFT(G506,5)="FLOAT","SELECT '"&amp;UPPER(B506)&amp;"' AS TABELA, '"&amp;UPPER(C506)&amp;"' AS TIPOLOGIA_TESTE,'"&amp;D506&amp;"' AS TABELA_LT,'"&amp;E506&amp;"' AS TABELA_SIMUL,'"&amp;F506&amp;"' AS CAMPO, "&amp;"'${ref_date}' AS REF_DATE, COUNT(*) AS NUM_REG, SUM(IF((ABS(COALESCE(X."&amp;F506&amp;",0)-COALESCE(Y."&amp;F506&amp;"_SIMUL,0))&gt;0.0000000001) OR (X."&amp;F506&amp;" IS NULL AND Y."&amp;F506&amp;"_SIMUL IS NOT NULL ) OR (X."&amp;F506&amp;" IS NOT NULL AND Y."&amp;F506&amp;"_SIMUL IS NULL),1,0)) AS NUM_REG_DIF,'"&amp;MAX('ID1&amp;5'!K:K)+1&amp;"' AS ID_EXEC, CURRENT_TIMESTAMP() AS TIME_EXEC FROM "&amp;I506&amp;" INNER JOIN "&amp;J506&amp;" "&amp;K506,"SELECT '"&amp;UPPER(B506)&amp;"' AS TABELA, '"&amp;UPPER(C506)&amp;"' AS TIPOLOGIA_TESTE,'"&amp;D506&amp;"' AS TABELA_LT,'"&amp;E506&amp;"' AS TABELA_SIMUL,'"&amp;F506&amp;"' AS CAMPO, "&amp;"'${ref_date}' AS REF_DATE, COUNT(*) AS NUM_REG, SUM(IF(COALESCE(CAST(X."&amp;F506&amp;" AS STRING),'')&lt;&gt;COALESCE(CAST(Y."&amp;F506&amp;"_SIMUL AS STRING),''),1,0)) AS NUM_REG_DIF,'"&amp;MAX('ID1&amp;5'!L:L)+1&amp;"' AS ID_EXEC, CURRENT_TIMESTAMP() AS TIME_EXEC FROM "&amp;I506&amp;" INNER JOIN "&amp;J506&amp;" "&amp;K506),
IF(C506="Validade",+IF(G506="Code List","SELECT '"&amp;UPPER(B506)&amp;"' AS TABELA, '"&amp;UPPER(C506)&amp;"' AS TIPOLOGIA_TESTE,'"&amp;D506&amp;"' AS TABELA_LT,'N/A' AS TABELA_SIMUL,'"&amp;F506&amp;"' AS CAMPO, "&amp;"'${ref_date}' AS REF_DATE, COUNT(*) AS NUM_REG, SUM(IF(TRIM(CAST(X."&amp;F506&amp;" AS STRING))='' OR TRIM(CAST(X."&amp;F506&amp;" AS STRING)) IS NULL OR CAST(X."&amp;F506&amp;" AS STRING) NOT "&amp;H506&amp;",1,0)) AS NUM_REG_DIF,'"&amp;MAX('ID1&amp;5'!K:K)+1&amp;"' AS ID_EXEC, CURRENT_TIMESTAMP() AS TIME_EXEC FROM "&amp;I506,"SELECT '"&amp;UPPER(B506)&amp;"' AS TABELA, '"&amp;UPPER(C506)&amp;"' AS TIPOLOGIA_TESTE,'"&amp;D506&amp;"' AS TABELA_LT,'N/A' AS TABELA_SIMUL,'"&amp;F506&amp;"' AS CAMPO, "&amp;"'${ref_date}' AS REF_DATE, COUNT(*) AS NUM_REG, SUM(IF(TRIM(CAST(X."&amp;F506&amp;" AS STRING))='' OR TRIM(CAST(X."&amp;F506&amp;" AS STRING)) IS NULL,1,0)) AS NUM_REG_DIF,'"&amp;MAX('ID1&amp;5'!K:K)+1&amp;"' AS ID_EXEC, CURRENT_TIMESTAMP() AS TIME_EXEC FROM "&amp;I506),
IF(C506="Caracteres Especiais",+"SELECT '"&amp;UPPER(B506)&amp;"' AS TABELA, '"&amp;UPPER(C506)&amp;"' AS TIPOLOGIA_TESTE,'"&amp;D506&amp;"' AS TABELA_LT,'N/A' AS TABELA_SIMUL,'"&amp;F506&amp;"' AS CAMPO, "&amp;"'${ref_date}' AS REF_DATE, COUNT(*) AS NUM_REG, SUM(IF(INSTR(CAST(X."&amp;F506&amp;" AS STRING),'#')&gt;0 OR INSTR(CAST(X."&amp;F506&amp;" AS STRING),'*')&gt;0 OR INSTR(CAST(X."&amp;F506&amp;" AS STRING),'`')&gt;0 OR INSTR(CAST(X."&amp;F506&amp;" AS STRING),'´')&gt;0 OR INSTR(CAST(X."&amp;F506&amp;" AS STRING),'{')&gt;0 OR INSTR(CAST(X."&amp;F506&amp;" AS STRING),'}')&gt;0 OR INSTR(CAST(X."&amp;F506&amp;" AS STRING),'[')&gt;0 OR INSTR(CAST(X."&amp;F506&amp;" AS STRING),'')&gt;0 OR INSTR(CAST(X."&amp;F506&amp;" AS STRING),']')&gt;0 OR INSTR(CAST(X."&amp;F506&amp;" AS STRING),'?')&gt;0 OR INSTR(CAST(X."&amp;F506&amp;" AS STRING),'!')&gt;0 OR INSTR(CAST(X."&amp;F506&amp;" AS STRING),'$')&gt;0 OR INSTR(CAST(X."&amp;F506&amp;" AS STRING),'%')&gt;0 OR INSTR(CAST(X."&amp;F506&amp;" AS STRING),'&amp;')&gt;0 OR INSTR(CAST(X."&amp;F506&amp;" AS STRING),'+')&gt;0,1,0)) AS NUM_REG_DIF,'"&amp;MAX('ID1&amp;5'!K:K)+1&amp;"' AS ID_EXEC, CURRENT_TIMESTAMP() AS TIME_EXEC FROM "&amp;I506,
IF(C506="Missings",+"SELECT '"&amp;UPPER(B506)&amp;"' AS TABELA, '"&amp;UPPER(C506)&amp;"' AS TIPOLOGIA_TESTE,'"&amp;D506&amp;"' AS TABELA_LT,'N/A' AS TABELA_SIMUL,'"&amp;F506&amp;"' AS CAMPO, "&amp;"'${ref_date}' AS REF_DATE, COUNT(*) AS NUM_REG, SUM(IF(TRIM(CAST(X."&amp;F506&amp;" AS STRING)) IN ('0000-00-00','0001-01-01','9999-12-31','MISS','00000','99999999999','99999999999.00','99999999999.000000'),1,0)) AS NUM_REG_DIF,'"&amp;MAX('ID1&amp;5'!K:K)+1&amp;"' AS ID_EXEC, CURRENT_TIMESTAMP() AS TIME_EXEC FROM "&amp;I506,
IF(C506="Not applicable",+"SELECT '"&amp;UPPER(B506)&amp;"' AS TABELA, '"&amp;UPPER(C506)&amp;"' AS TIPOLOGIA_TESTE,'"&amp;D506&amp;"' AS TABELA_LT,'N/A' AS TABELA_SIMUL,'"&amp;F506&amp;"' AS CAMPO, "&amp;"'${ref_date}' AS REF_DATE, COUNT(*) AS NUM_REG, SUM(IF(TRIM(CAST(X."&amp;F506&amp;" AS STRING)) IN ('N/A','11111111111','11111111111.00','11111111111.000000','1111-11-11'),1,0)) AS NUM_REG_DIF,'"&amp;MAX('ID1&amp;5'!K:K)+1&amp;"' AS ID_EXEC, CURRENT_TIMESTAMP() AS TIME_EXEC FROM "&amp;I506,
IF(C506="Valores extremos",+"SELECT '"&amp;UPPER(B506)&amp;"' AS TABELA, '"&amp;UPPER(C506)&amp;"' AS TIPOLOGIA_TESTE,'"&amp;D506&amp;"' AS TABELA_LT,'N/A' AS TABELA_SIMUL,'"&amp;F506&amp;"' AS CAMPO, "&amp;"'${ref_date}' AS REF_DATE, CAST(MIN("&amp;F506&amp;") AS STRING) AS VALOR_MIN, CAST(MAX("&amp;F506&amp;") AS STRING) AS VALOR_MAX,'"&amp;MAX('ID1&amp;5'!K:K)+1&amp;"' AS ID_EXEC, CURRENT_TIMESTAMP() AS TIME_EXEC FROM "&amp;MID(I506,1,LEN(I506)-2)&amp;" AND CAST("&amp;F506&amp;"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TABELA_SIMUL,'FLG_ACT_PHYSCL_RSK' AS CAMPO, '${ref_date}' AS REF_DATE, CAST(MIN(FLG_ACT_PHYSCL_RSK) AS STRING) AS VALOR_MIN, CAST(MAX(FLG_ACT_PHYSCL_RSK) AS STRING) AS VALOR_MAX,'10' AS ID_EXEC, CURRENT_TIMESTAMP() AS TIME_EXEC FROM (SELECT entty_id, FLG_ACT_PHYSCL_RSK FROM BU_LOANTAPE_WORK.LT003_ENTITY WHERE ref_date='${ref_date}' AND nome_perimetro='Individual Corporativo' AND segmento='ESTR' AND ambito='PILAR3' AND CAST(FLG_ACT_PHYSCL_RSK AS STRING) NOT IN ('0000-00-00','0001-01-01','9999-12-31','MISS','00000','99999999999','99999999999.00','99999999999.000000','N/A','11111111111','11111111111.00','11111111111.000000','1111-11-11'))X</v>
      </c>
      <c r="M506" s="43" t="str">
        <f t="shared" si="8"/>
        <v>UNION ALL SELECT 'ENTITY' AS TABELA, 'VALORES EXTREMOS' AS TIPOLOGIA_TESTE,'BU_LOANTAPE_WORK.LT003_ENTITY' AS TABELA_LT,'N/A' AS TABELA_SIMUL,'FLG_ACT_PHYSCL_RSK' AS CAMPO, '${ref_date}' AS REF_DATE, CAST(MIN(FLG_ACT_PHYSCL_RSK) AS STRING) AS VALOR_MIN, CAST(MAX(FLG_ACT_PHYSCL_RSK) AS STRING) AS VALOR_MAX,'10' AS ID_EXEC, CURRENT_TIMESTAMP() AS TIME_EXEC FROM (SELECT entty_id, FLG_ACT_PHYSCL_RSK FROM BU_LOANTAPE_WORK.LT003_ENTITY WHERE ref_date='${ref_date}' AND nome_perimetro='Individual Corporativo' AND segmento='ESTR' AND ambito='PILAR3' AND CAST(FLG_ACT_PHYSCL_RSK AS STRING) NOT IN ('0000-00-00','0001-01-01','9999-12-31','MISS','00000','99999999999','99999999999.00','99999999999.000000','N/A','11111111111','11111111111.00','11111111111.000000','1111-11-11'))X</v>
      </c>
      <c r="N506" s="45" t="s">
        <v>13</v>
      </c>
    </row>
    <row r="507" spans="2:14">
      <c r="B507" s="41" t="s">
        <v>23</v>
      </c>
      <c r="C507" s="41" t="s">
        <v>226</v>
      </c>
      <c r="D507" s="41" t="str">
        <f>+UPPER('0. Instruções'!$D$33&amp;"."&amp;VLOOKUP(B507,'0. Instruções'!$C$27:$D$31,2,FALSE))</f>
        <v>BU_LOANTAPE_WORK.LT003_ENTITY</v>
      </c>
      <c r="E507" s="41" t="str">
        <f>+UPPER('0. Instruções'!$D$34&amp;"."&amp;VLOOKUP(B507,'0. Instruções'!$C$27:$E$31,3,FALSE))</f>
        <v>BU_LOANTAPE_WORK.LT003_ENTTY_P3_NOV24</v>
      </c>
      <c r="F507" s="41" t="s">
        <v>122</v>
      </c>
      <c r="G507" s="41" t="s">
        <v>211</v>
      </c>
      <c r="H507" s="41"/>
      <c r="I507" s="41" t="str">
        <f>"(SELECT "&amp;VLOOKUP(B507,'0. Instruções'!$C$27:$G$31,4,FALSE)&amp;", "&amp;F507&amp;" FROM "&amp;D507&amp;" WHERE "&amp;'0. Instruções'!$D$40&amp;")X"</f>
        <v>(SELECT entty_id, FLG_CHRNC_PHYSCL_RSK FROM BU_LOANTAPE_WORK.LT003_ENTITY WHERE ref_date='${ref_date}' AND nome_perimetro='Individual Corporativo' AND segmento='ESTR' AND ambito='PILAR3')X</v>
      </c>
      <c r="J507" s="41" t="str">
        <f>"(SELECT "&amp;VLOOKUP(B507,'0. Instruções'!$C$27:$G$31,4,FALSE)&amp;" AS "&amp;VLOOKUP(B507,'0. Instruções'!$C$27:$G$31,4,FALSE)&amp;"_SIMUL, "&amp;F507&amp;" AS "&amp;F507&amp;"_SIMUL FROM "&amp;E507&amp;")Y"</f>
        <v>(SELECT entty_id AS entty_id_SIMUL, FLG_CHRNC_PHYSCL_RSK AS FLG_CHRNC_PHYSCL_RSK_SIMUL FROM BU_LOANTAPE_WORK.LT003_ENTTY_P3_NOV24)Y</v>
      </c>
      <c r="K507" s="42" t="str">
        <f>+UPPER("ON X."&amp;VLOOKUP(B507,'0. Instruções'!$C$27:$G$31,4,FALSE)&amp;"=Y."&amp;VLOOKUP(B507,'0. Instruções'!$C$27:$G$31,4,FALSE)&amp;"_SIMUL")</f>
        <v>ON X.ENTTY_ID=Y.ENTTY_ID_SIMUL</v>
      </c>
      <c r="L507" s="42" t="str">
        <f>+IF(C507="Coerência", +IF(LEFT(G507,5)="FLOAT","SELECT '"&amp;UPPER(B507)&amp;"' AS TABELA, '"&amp;UPPER(C507)&amp;"' AS TIPOLOGIA_TESTE,'"&amp;D507&amp;"' AS TABELA_LT,'"&amp;E507&amp;"' AS TABELA_SIMUL,'"&amp;F507&amp;"' AS CAMPO, "&amp;"'${ref_date}' AS REF_DATE, COUNT(*) AS NUM_REG, SUM(IF((ABS(COALESCE(X."&amp;F507&amp;",0)-COALESCE(Y."&amp;F507&amp;"_SIMUL,0))&gt;0.0000000001) OR (X."&amp;F507&amp;" IS NULL AND Y."&amp;F507&amp;"_SIMUL IS NOT NULL ) OR (X."&amp;F507&amp;" IS NOT NULL AND Y."&amp;F507&amp;"_SIMUL IS NULL),1,0)) AS NUM_REG_DIF,'"&amp;MAX('ID1&amp;5'!K:K)+1&amp;"' AS ID_EXEC, CURRENT_TIMESTAMP() AS TIME_EXEC FROM "&amp;I507&amp;" INNER JOIN "&amp;J507&amp;" "&amp;K507,"SELECT '"&amp;UPPER(B507)&amp;"' AS TABELA, '"&amp;UPPER(C507)&amp;"' AS TIPOLOGIA_TESTE,'"&amp;D507&amp;"' AS TABELA_LT,'"&amp;E507&amp;"' AS TABELA_SIMUL,'"&amp;F507&amp;"' AS CAMPO, "&amp;"'${ref_date}' AS REF_DATE, COUNT(*) AS NUM_REG, SUM(IF(COALESCE(CAST(X."&amp;F507&amp;" AS STRING),'')&lt;&gt;COALESCE(CAST(Y."&amp;F507&amp;"_SIMUL AS STRING),''),1,0)) AS NUM_REG_DIF,'"&amp;MAX('ID1&amp;5'!L:L)+1&amp;"' AS ID_EXEC, CURRENT_TIMESTAMP() AS TIME_EXEC FROM "&amp;I507&amp;" INNER JOIN "&amp;J507&amp;" "&amp;K507),
IF(C507="Validade",+IF(G507="Code List","SELECT '"&amp;UPPER(B507)&amp;"' AS TABELA, '"&amp;UPPER(C507)&amp;"' AS TIPOLOGIA_TESTE,'"&amp;D507&amp;"' AS TABELA_LT,'N/A' AS TABELA_SIMUL,'"&amp;F507&amp;"' AS CAMPO, "&amp;"'${ref_date}' AS REF_DATE, COUNT(*) AS NUM_REG, SUM(IF(TRIM(CAST(X."&amp;F507&amp;" AS STRING))='' OR TRIM(CAST(X."&amp;F507&amp;" AS STRING)) IS NULL OR CAST(X."&amp;F507&amp;" AS STRING) NOT "&amp;H507&amp;",1,0)) AS NUM_REG_DIF,'"&amp;MAX('ID1&amp;5'!K:K)+1&amp;"' AS ID_EXEC, CURRENT_TIMESTAMP() AS TIME_EXEC FROM "&amp;I507,"SELECT '"&amp;UPPER(B507)&amp;"' AS TABELA, '"&amp;UPPER(C507)&amp;"' AS TIPOLOGIA_TESTE,'"&amp;D507&amp;"' AS TABELA_LT,'N/A' AS TABELA_SIMUL,'"&amp;F507&amp;"' AS CAMPO, "&amp;"'${ref_date}' AS REF_DATE, COUNT(*) AS NUM_REG, SUM(IF(TRIM(CAST(X."&amp;F507&amp;" AS STRING))='' OR TRIM(CAST(X."&amp;F507&amp;" AS STRING)) IS NULL,1,0)) AS NUM_REG_DIF,'"&amp;MAX('ID1&amp;5'!K:K)+1&amp;"' AS ID_EXEC, CURRENT_TIMESTAMP() AS TIME_EXEC FROM "&amp;I507),
IF(C507="Caracteres Especiais",+"SELECT '"&amp;UPPER(B507)&amp;"' AS TABELA, '"&amp;UPPER(C507)&amp;"' AS TIPOLOGIA_TESTE,'"&amp;D507&amp;"' AS TABELA_LT,'N/A' AS TABELA_SIMUL,'"&amp;F507&amp;"' AS CAMPO, "&amp;"'${ref_date}' AS REF_DATE, COUNT(*) AS NUM_REG, SUM(IF(INSTR(CAST(X."&amp;F507&amp;" AS STRING),'#')&gt;0 OR INSTR(CAST(X."&amp;F507&amp;" AS STRING),'*')&gt;0 OR INSTR(CAST(X."&amp;F507&amp;" AS STRING),'`')&gt;0 OR INSTR(CAST(X."&amp;F507&amp;" AS STRING),'´')&gt;0 OR INSTR(CAST(X."&amp;F507&amp;" AS STRING),'{')&gt;0 OR INSTR(CAST(X."&amp;F507&amp;" AS STRING),'}')&gt;0 OR INSTR(CAST(X."&amp;F507&amp;" AS STRING),'[')&gt;0 OR INSTR(CAST(X."&amp;F507&amp;" AS STRING),'')&gt;0 OR INSTR(CAST(X."&amp;F507&amp;" AS STRING),']')&gt;0 OR INSTR(CAST(X."&amp;F507&amp;" AS STRING),'?')&gt;0 OR INSTR(CAST(X."&amp;F507&amp;" AS STRING),'!')&gt;0 OR INSTR(CAST(X."&amp;F507&amp;" AS STRING),'$')&gt;0 OR INSTR(CAST(X."&amp;F507&amp;" AS STRING),'%')&gt;0 OR INSTR(CAST(X."&amp;F507&amp;" AS STRING),'&amp;')&gt;0 OR INSTR(CAST(X."&amp;F507&amp;" AS STRING),'+')&gt;0,1,0)) AS NUM_REG_DIF,'"&amp;MAX('ID1&amp;5'!K:K)+1&amp;"' AS ID_EXEC, CURRENT_TIMESTAMP() AS TIME_EXEC FROM "&amp;I507,
IF(C507="Missings",+"SELECT '"&amp;UPPER(B507)&amp;"' AS TABELA, '"&amp;UPPER(C507)&amp;"' AS TIPOLOGIA_TESTE,'"&amp;D507&amp;"' AS TABELA_LT,'N/A' AS TABELA_SIMUL,'"&amp;F507&amp;"' AS CAMPO, "&amp;"'${ref_date}' AS REF_DATE, COUNT(*) AS NUM_REG, SUM(IF(TRIM(CAST(X."&amp;F507&amp;" AS STRING)) IN ('0000-00-00','0001-01-01','9999-12-31','MISS','00000','99999999999','99999999999.00','99999999999.000000'),1,0)) AS NUM_REG_DIF,'"&amp;MAX('ID1&amp;5'!K:K)+1&amp;"' AS ID_EXEC, CURRENT_TIMESTAMP() AS TIME_EXEC FROM "&amp;I507,
IF(C507="Not applicable",+"SELECT '"&amp;UPPER(B507)&amp;"' AS TABELA, '"&amp;UPPER(C507)&amp;"' AS TIPOLOGIA_TESTE,'"&amp;D507&amp;"' AS TABELA_LT,'N/A' AS TABELA_SIMUL,'"&amp;F507&amp;"' AS CAMPO, "&amp;"'${ref_date}' AS REF_DATE, COUNT(*) AS NUM_REG, SUM(IF(TRIM(CAST(X."&amp;F507&amp;" AS STRING)) IN ('N/A','11111111111','11111111111.00','11111111111.000000','1111-11-11'),1,0)) AS NUM_REG_DIF,'"&amp;MAX('ID1&amp;5'!K:K)+1&amp;"' AS ID_EXEC, CURRENT_TIMESTAMP() AS TIME_EXEC FROM "&amp;I507,
IF(C507="Valores extremos",+"SELECT '"&amp;UPPER(B507)&amp;"' AS TABELA, '"&amp;UPPER(C507)&amp;"' AS TIPOLOGIA_TESTE,'"&amp;D507&amp;"' AS TABELA_LT,'N/A' AS TABELA_SIMUL,'"&amp;F507&amp;"' AS CAMPO, "&amp;"'${ref_date}' AS REF_DATE, CAST(MIN("&amp;F507&amp;") AS STRING) AS VALOR_MIN, CAST(MAX("&amp;F507&amp;") AS STRING) AS VALOR_MAX,'"&amp;MAX('ID1&amp;5'!K:K)+1&amp;"' AS ID_EXEC, CURRENT_TIMESTAMP() AS TIME_EXEC FROM "&amp;MID(I507,1,LEN(I507)-2)&amp;" AND CAST("&amp;F507&amp;"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TABELA_SIMUL,'FLG_CHRNC_PHYSCL_RSK' AS CAMPO, '${ref_date}' AS REF_DATE, CAST(MIN(FLG_CHRNC_PHYSCL_RSK) AS STRING) AS VALOR_MIN, CAST(MAX(FLG_CHRNC_PHYSCL_RSK) AS STRING) AS VALOR_MAX,'10' AS ID_EXEC, CURRENT_TIMESTAMP() AS TIME_EXEC FROM (SELECT entty_id, FLG_CHRNC_PHYSCL_RSK FROM BU_LOANTAPE_WORK.LT003_ENTITY WHERE ref_date='${ref_date}' AND nome_perimetro='Individual Corporativo' AND segmento='ESTR' AND ambito='PILAR3' AND CAST(FLG_CHRNC_PHYSCL_RSK AS STRING) NOT IN ('0000-00-00','0001-01-01','9999-12-31','MISS','00000','99999999999','99999999999.00','99999999999.000000','N/A','11111111111','11111111111.00','11111111111.000000','1111-11-11'))X</v>
      </c>
      <c r="M507" s="43" t="str">
        <f t="shared" si="8"/>
        <v>UNION ALL SELECT 'ENTITY' AS TABELA, 'VALORES EXTREMOS' AS TIPOLOGIA_TESTE,'BU_LOANTAPE_WORK.LT003_ENTITY' AS TABELA_LT,'N/A' AS TABELA_SIMUL,'FLG_CHRNC_PHYSCL_RSK' AS CAMPO, '${ref_date}' AS REF_DATE, CAST(MIN(FLG_CHRNC_PHYSCL_RSK) AS STRING) AS VALOR_MIN, CAST(MAX(FLG_CHRNC_PHYSCL_RSK) AS STRING) AS VALOR_MAX,'10' AS ID_EXEC, CURRENT_TIMESTAMP() AS TIME_EXEC FROM (SELECT entty_id, FLG_CHRNC_PHYSCL_RSK FROM BU_LOANTAPE_WORK.LT003_ENTITY WHERE ref_date='${ref_date}' AND nome_perimetro='Individual Corporativo' AND segmento='ESTR' AND ambito='PILAR3' AND CAST(FLG_CHRNC_PHYSCL_RSK AS STRING) NOT IN ('0000-00-00','0001-01-01','9999-12-31','MISS','00000','99999999999','99999999999.00','99999999999.000000','N/A','11111111111','11111111111.00','11111111111.000000','1111-11-11'))X</v>
      </c>
      <c r="N507" s="45" t="s">
        <v>13</v>
      </c>
    </row>
    <row r="508" spans="2:14">
      <c r="B508" s="41" t="s">
        <v>23</v>
      </c>
      <c r="C508" s="41" t="s">
        <v>226</v>
      </c>
      <c r="D508" s="41" t="str">
        <f>+UPPER('0. Instruções'!$D$33&amp;"."&amp;VLOOKUP(B508,'0. Instruções'!$C$27:$D$31,2,FALSE))</f>
        <v>BU_LOANTAPE_WORK.LT003_ENTITY</v>
      </c>
      <c r="E508" s="41" t="str">
        <f>+UPPER('0. Instruções'!$D$34&amp;"."&amp;VLOOKUP(B508,'0. Instruções'!$C$27:$E$31,3,FALSE))</f>
        <v>BU_LOANTAPE_WORK.LT003_ENTTY_P3_NOV24</v>
      </c>
      <c r="F508" s="41" t="s">
        <v>123</v>
      </c>
      <c r="G508" s="41" t="s">
        <v>212</v>
      </c>
      <c r="H508" s="41"/>
      <c r="I508" s="41" t="str">
        <f>"(SELECT "&amp;VLOOKUP(B508,'0. Instruções'!$C$27:$G$31,4,FALSE)&amp;", "&amp;F508&amp;" FROM "&amp;D508&amp;" WHERE "&amp;'0. Instruções'!$D$40&amp;")X"</f>
        <v>(SELECT entty_id, PST_CD FROM BU_LOANTAPE_WORK.LT003_ENTITY WHERE ref_date='${ref_date}' AND nome_perimetro='Individual Corporativo' AND segmento='ESTR' AND ambito='PILAR3')X</v>
      </c>
      <c r="J508" s="41" t="str">
        <f>"(SELECT "&amp;VLOOKUP(B508,'0. Instruções'!$C$27:$G$31,4,FALSE)&amp;" AS "&amp;VLOOKUP(B508,'0. Instruções'!$C$27:$G$31,4,FALSE)&amp;"_SIMUL, "&amp;F508&amp;" AS "&amp;F508&amp;"_SIMUL FROM "&amp;E508&amp;")Y"</f>
        <v>(SELECT entty_id AS entty_id_SIMUL, PST_CD AS PST_CD_SIMUL FROM BU_LOANTAPE_WORK.LT003_ENTTY_P3_NOV24)Y</v>
      </c>
      <c r="K508" s="42" t="str">
        <f>+UPPER("ON X."&amp;VLOOKUP(B508,'0. Instruções'!$C$27:$G$31,4,FALSE)&amp;"=Y."&amp;VLOOKUP(B508,'0. Instruções'!$C$27:$G$31,4,FALSE)&amp;"_SIMUL")</f>
        <v>ON X.ENTTY_ID=Y.ENTTY_ID_SIMUL</v>
      </c>
      <c r="L508" s="42" t="str">
        <f>+IF(C508="Coerência", +IF(LEFT(G508,5)="FLOAT","SELECT '"&amp;UPPER(B508)&amp;"' AS TABELA, '"&amp;UPPER(C508)&amp;"' AS TIPOLOGIA_TESTE,'"&amp;D508&amp;"' AS TABELA_LT,'"&amp;E508&amp;"' AS TABELA_SIMUL,'"&amp;F508&amp;"' AS CAMPO, "&amp;"'${ref_date}' AS REF_DATE, COUNT(*) AS NUM_REG, SUM(IF((ABS(COALESCE(X."&amp;F508&amp;",0)-COALESCE(Y."&amp;F508&amp;"_SIMUL,0))&gt;0.0000000001) OR (X."&amp;F508&amp;" IS NULL AND Y."&amp;F508&amp;"_SIMUL IS NOT NULL ) OR (X."&amp;F508&amp;" IS NOT NULL AND Y."&amp;F508&amp;"_SIMUL IS NULL),1,0)) AS NUM_REG_DIF,'"&amp;MAX('ID1&amp;5'!K:K)+1&amp;"' AS ID_EXEC, CURRENT_TIMESTAMP() AS TIME_EXEC FROM "&amp;I508&amp;" INNER JOIN "&amp;J508&amp;" "&amp;K508,"SELECT '"&amp;UPPER(B508)&amp;"' AS TABELA, '"&amp;UPPER(C508)&amp;"' AS TIPOLOGIA_TESTE,'"&amp;D508&amp;"' AS TABELA_LT,'"&amp;E508&amp;"' AS TABELA_SIMUL,'"&amp;F508&amp;"' AS CAMPO, "&amp;"'${ref_date}' AS REF_DATE, COUNT(*) AS NUM_REG, SUM(IF(COALESCE(CAST(X."&amp;F508&amp;" AS STRING),'')&lt;&gt;COALESCE(CAST(Y."&amp;F508&amp;"_SIMUL AS STRING),''),1,0)) AS NUM_REG_DIF,'"&amp;MAX('ID1&amp;5'!L:L)+1&amp;"' AS ID_EXEC, CURRENT_TIMESTAMP() AS TIME_EXEC FROM "&amp;I508&amp;" INNER JOIN "&amp;J508&amp;" "&amp;K508),
IF(C508="Validade",+IF(G508="Code List","SELECT '"&amp;UPPER(B508)&amp;"' AS TABELA, '"&amp;UPPER(C508)&amp;"' AS TIPOLOGIA_TESTE,'"&amp;D508&amp;"' AS TABELA_LT,'N/A' AS TABELA_SIMUL,'"&amp;F508&amp;"' AS CAMPO, "&amp;"'${ref_date}' AS REF_DATE, COUNT(*) AS NUM_REG, SUM(IF(TRIM(CAST(X."&amp;F508&amp;" AS STRING))='' OR TRIM(CAST(X."&amp;F508&amp;" AS STRING)) IS NULL OR CAST(X."&amp;F508&amp;" AS STRING) NOT "&amp;H508&amp;",1,0)) AS NUM_REG_DIF,'"&amp;MAX('ID1&amp;5'!K:K)+1&amp;"' AS ID_EXEC, CURRENT_TIMESTAMP() AS TIME_EXEC FROM "&amp;I508,"SELECT '"&amp;UPPER(B508)&amp;"' AS TABELA, '"&amp;UPPER(C508)&amp;"' AS TIPOLOGIA_TESTE,'"&amp;D508&amp;"' AS TABELA_LT,'N/A' AS TABELA_SIMUL,'"&amp;F508&amp;"' AS CAMPO, "&amp;"'${ref_date}' AS REF_DATE, COUNT(*) AS NUM_REG, SUM(IF(TRIM(CAST(X."&amp;F508&amp;" AS STRING))='' OR TRIM(CAST(X."&amp;F508&amp;" AS STRING)) IS NULL,1,0)) AS NUM_REG_DIF,'"&amp;MAX('ID1&amp;5'!K:K)+1&amp;"' AS ID_EXEC, CURRENT_TIMESTAMP() AS TIME_EXEC FROM "&amp;I508),
IF(C508="Caracteres Especiais",+"SELECT '"&amp;UPPER(B508)&amp;"' AS TABELA, '"&amp;UPPER(C508)&amp;"' AS TIPOLOGIA_TESTE,'"&amp;D508&amp;"' AS TABELA_LT,'N/A' AS TABELA_SIMUL,'"&amp;F508&amp;"' AS CAMPO, "&amp;"'${ref_date}' AS REF_DATE, COUNT(*) AS NUM_REG, SUM(IF(INSTR(CAST(X."&amp;F508&amp;" AS STRING),'#')&gt;0 OR INSTR(CAST(X."&amp;F508&amp;" AS STRING),'*')&gt;0 OR INSTR(CAST(X."&amp;F508&amp;" AS STRING),'`')&gt;0 OR INSTR(CAST(X."&amp;F508&amp;" AS STRING),'´')&gt;0 OR INSTR(CAST(X."&amp;F508&amp;" AS STRING),'{')&gt;0 OR INSTR(CAST(X."&amp;F508&amp;" AS STRING),'}')&gt;0 OR INSTR(CAST(X."&amp;F508&amp;" AS STRING),'[')&gt;0 OR INSTR(CAST(X."&amp;F508&amp;" AS STRING),'')&gt;0 OR INSTR(CAST(X."&amp;F508&amp;" AS STRING),']')&gt;0 OR INSTR(CAST(X."&amp;F508&amp;" AS STRING),'?')&gt;0 OR INSTR(CAST(X."&amp;F508&amp;" AS STRING),'!')&gt;0 OR INSTR(CAST(X."&amp;F508&amp;" AS STRING),'$')&gt;0 OR INSTR(CAST(X."&amp;F508&amp;" AS STRING),'%')&gt;0 OR INSTR(CAST(X."&amp;F508&amp;" AS STRING),'&amp;')&gt;0 OR INSTR(CAST(X."&amp;F508&amp;" AS STRING),'+')&gt;0,1,0)) AS NUM_REG_DIF,'"&amp;MAX('ID1&amp;5'!K:K)+1&amp;"' AS ID_EXEC, CURRENT_TIMESTAMP() AS TIME_EXEC FROM "&amp;I508,
IF(C508="Missings",+"SELECT '"&amp;UPPER(B508)&amp;"' AS TABELA, '"&amp;UPPER(C508)&amp;"' AS TIPOLOGIA_TESTE,'"&amp;D508&amp;"' AS TABELA_LT,'N/A' AS TABELA_SIMUL,'"&amp;F508&amp;"' AS CAMPO, "&amp;"'${ref_date}' AS REF_DATE, COUNT(*) AS NUM_REG, SUM(IF(TRIM(CAST(X."&amp;F508&amp;" AS STRING)) IN ('0000-00-00','0001-01-01','9999-12-31','MISS','00000','99999999999','99999999999.00','99999999999.000000'),1,0)) AS NUM_REG_DIF,'"&amp;MAX('ID1&amp;5'!K:K)+1&amp;"' AS ID_EXEC, CURRENT_TIMESTAMP() AS TIME_EXEC FROM "&amp;I508,
IF(C508="Not applicable",+"SELECT '"&amp;UPPER(B508)&amp;"' AS TABELA, '"&amp;UPPER(C508)&amp;"' AS TIPOLOGIA_TESTE,'"&amp;D508&amp;"' AS TABELA_LT,'N/A' AS TABELA_SIMUL,'"&amp;F508&amp;"' AS CAMPO, "&amp;"'${ref_date}' AS REF_DATE, COUNT(*) AS NUM_REG, SUM(IF(TRIM(CAST(X."&amp;F508&amp;" AS STRING)) IN ('N/A','11111111111','11111111111.00','11111111111.000000','1111-11-11'),1,0)) AS NUM_REG_DIF,'"&amp;MAX('ID1&amp;5'!K:K)+1&amp;"' AS ID_EXEC, CURRENT_TIMESTAMP() AS TIME_EXEC FROM "&amp;I508,
IF(C508="Valores extremos",+"SELECT '"&amp;UPPER(B508)&amp;"' AS TABELA, '"&amp;UPPER(C508)&amp;"' AS TIPOLOGIA_TESTE,'"&amp;D508&amp;"' AS TABELA_LT,'N/A' AS TABELA_SIMUL,'"&amp;F508&amp;"' AS CAMPO, "&amp;"'${ref_date}' AS REF_DATE, CAST(MIN("&amp;F508&amp;") AS STRING) AS VALOR_MIN, CAST(MAX("&amp;F508&amp;") AS STRING) AS VALOR_MAX,'"&amp;MAX('ID1&amp;5'!K:K)+1&amp;"' AS ID_EXEC, CURRENT_TIMESTAMP() AS TIME_EXEC FROM "&amp;MID(I508,1,LEN(I508)-2)&amp;" AND CAST("&amp;F508&amp;"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TABELA_SIMUL,'PST_CD' AS CAMPO, '${ref_date}' AS REF_DATE, CAST(MIN(PST_CD) AS STRING) AS VALOR_MIN, CAST(MAX(PST_CD) AS STRING) AS VALOR_MAX,'10' AS ID_EXEC, CURRENT_TIMESTAMP() AS TIME_EXEC FROM (SELECT entty_id, PST_CD FROM BU_LOANTAPE_WORK.LT003_ENTITY WHERE ref_date='${ref_date}' AND nome_perimetro='Individual Corporativo' AND segmento='ESTR' AND ambito='PILAR3' AND CAST(PST_CD AS STRING) NOT IN ('0000-00-00','0001-01-01','9999-12-31','MISS','00000','99999999999','99999999999.00','99999999999.000000','N/A','11111111111','11111111111.00','11111111111.000000','1111-11-11'))X</v>
      </c>
      <c r="M508" s="43" t="str">
        <f t="shared" si="8"/>
        <v>UNION ALL SELECT 'ENTITY' AS TABELA, 'VALORES EXTREMOS' AS TIPOLOGIA_TESTE,'BU_LOANTAPE_WORK.LT003_ENTITY' AS TABELA_LT,'N/A' AS TABELA_SIMUL,'PST_CD' AS CAMPO, '${ref_date}' AS REF_DATE, CAST(MIN(PST_CD) AS STRING) AS VALOR_MIN, CAST(MAX(PST_CD) AS STRING) AS VALOR_MAX,'10' AS ID_EXEC, CURRENT_TIMESTAMP() AS TIME_EXEC FROM (SELECT entty_id, PST_CD FROM BU_LOANTAPE_WORK.LT003_ENTITY WHERE ref_date='${ref_date}' AND nome_perimetro='Individual Corporativo' AND segmento='ESTR' AND ambito='PILAR3' AND CAST(PST_CD AS STRING) NOT IN ('0000-00-00','0001-01-01','9999-12-31','MISS','00000','99999999999','99999999999.00','99999999999.000000','N/A','11111111111','11111111111.00','11111111111.000000','1111-11-11'))X</v>
      </c>
      <c r="N508" s="45" t="s">
        <v>13</v>
      </c>
    </row>
    <row r="509" spans="2:14">
      <c r="B509" s="41" t="s">
        <v>23</v>
      </c>
      <c r="C509" s="41" t="s">
        <v>226</v>
      </c>
      <c r="D509" s="41" t="str">
        <f>+UPPER('0. Instruções'!$D$33&amp;"."&amp;VLOOKUP(B509,'0. Instruções'!$C$27:$D$31,2,FALSE))</f>
        <v>BU_LOANTAPE_WORK.LT003_ENTITY</v>
      </c>
      <c r="E509" s="41" t="str">
        <f>+UPPER('0. Instruções'!$D$34&amp;"."&amp;VLOOKUP(B509,'0. Instruções'!$C$27:$E$31,3,FALSE))</f>
        <v>BU_LOANTAPE_WORK.LT003_ENTTY_P3_NOV24</v>
      </c>
      <c r="F509" s="41" t="s">
        <v>125</v>
      </c>
      <c r="G509" s="41" t="s">
        <v>209</v>
      </c>
      <c r="H509" s="41"/>
      <c r="I509" s="41" t="str">
        <f>"(SELECT "&amp;VLOOKUP(B509,'0. Instruções'!$C$27:$G$31,4,FALSE)&amp;", "&amp;F509&amp;" FROM "&amp;D509&amp;" WHERE "&amp;'0. Instruções'!$D$40&amp;")X"</f>
        <v>(SELECT entty_id, ESG_SBSCTR FROM BU_LOANTAPE_WORK.LT003_ENTITY WHERE ref_date='${ref_date}' AND nome_perimetro='Individual Corporativo' AND segmento='ESTR' AND ambito='PILAR3')X</v>
      </c>
      <c r="J509" s="41" t="str">
        <f>"(SELECT "&amp;VLOOKUP(B509,'0. Instruções'!$C$27:$G$31,4,FALSE)&amp;" AS "&amp;VLOOKUP(B509,'0. Instruções'!$C$27:$G$31,4,FALSE)&amp;"_SIMUL, "&amp;F509&amp;" AS "&amp;F509&amp;"_SIMUL FROM "&amp;E509&amp;")Y"</f>
        <v>(SELECT entty_id AS entty_id_SIMUL, ESG_SBSCTR AS ESG_SBSCTR_SIMUL FROM BU_LOANTAPE_WORK.LT003_ENTTY_P3_NOV24)Y</v>
      </c>
      <c r="K509" s="42" t="str">
        <f>+UPPER("ON X."&amp;VLOOKUP(B509,'0. Instruções'!$C$27:$G$31,4,FALSE)&amp;"=Y."&amp;VLOOKUP(B509,'0. Instruções'!$C$27:$G$31,4,FALSE)&amp;"_SIMUL")</f>
        <v>ON X.ENTTY_ID=Y.ENTTY_ID_SIMUL</v>
      </c>
      <c r="L509" s="42" t="str">
        <f>+IF(C509="Coerência", +IF(LEFT(G509,5)="FLOAT","SELECT '"&amp;UPPER(B509)&amp;"' AS TABELA, '"&amp;UPPER(C509)&amp;"' AS TIPOLOGIA_TESTE,'"&amp;D509&amp;"' AS TABELA_LT,'"&amp;E509&amp;"' AS TABELA_SIMUL,'"&amp;F509&amp;"' AS CAMPO, "&amp;"'${ref_date}' AS REF_DATE, COUNT(*) AS NUM_REG, SUM(IF((ABS(COALESCE(X."&amp;F509&amp;",0)-COALESCE(Y."&amp;F509&amp;"_SIMUL,0))&gt;0.0000000001) OR (X."&amp;F509&amp;" IS NULL AND Y."&amp;F509&amp;"_SIMUL IS NOT NULL ) OR (X."&amp;F509&amp;" IS NOT NULL AND Y."&amp;F509&amp;"_SIMUL IS NULL),1,0)) AS NUM_REG_DIF,'"&amp;MAX('ID1&amp;5'!K:K)+1&amp;"' AS ID_EXEC, CURRENT_TIMESTAMP() AS TIME_EXEC FROM "&amp;I509&amp;" INNER JOIN "&amp;J509&amp;" "&amp;K509,"SELECT '"&amp;UPPER(B509)&amp;"' AS TABELA, '"&amp;UPPER(C509)&amp;"' AS TIPOLOGIA_TESTE,'"&amp;D509&amp;"' AS TABELA_LT,'"&amp;E509&amp;"' AS TABELA_SIMUL,'"&amp;F509&amp;"' AS CAMPO, "&amp;"'${ref_date}' AS REF_DATE, COUNT(*) AS NUM_REG, SUM(IF(COALESCE(CAST(X."&amp;F509&amp;" AS STRING),'')&lt;&gt;COALESCE(CAST(Y."&amp;F509&amp;"_SIMUL AS STRING),''),1,0)) AS NUM_REG_DIF,'"&amp;MAX('ID1&amp;5'!L:L)+1&amp;"' AS ID_EXEC, CURRENT_TIMESTAMP() AS TIME_EXEC FROM "&amp;I509&amp;" INNER JOIN "&amp;J509&amp;" "&amp;K509),
IF(C509="Validade",+IF(G509="Code List","SELECT '"&amp;UPPER(B509)&amp;"' AS TABELA, '"&amp;UPPER(C509)&amp;"' AS TIPOLOGIA_TESTE,'"&amp;D509&amp;"' AS TABELA_LT,'N/A' AS TABELA_SIMUL,'"&amp;F509&amp;"' AS CAMPO, "&amp;"'${ref_date}' AS REF_DATE, COUNT(*) AS NUM_REG, SUM(IF(TRIM(CAST(X."&amp;F509&amp;" AS STRING))='' OR TRIM(CAST(X."&amp;F509&amp;" AS STRING)) IS NULL OR CAST(X."&amp;F509&amp;" AS STRING) NOT "&amp;H509&amp;",1,0)) AS NUM_REG_DIF,'"&amp;MAX('ID1&amp;5'!K:K)+1&amp;"' AS ID_EXEC, CURRENT_TIMESTAMP() AS TIME_EXEC FROM "&amp;I509,"SELECT '"&amp;UPPER(B509)&amp;"' AS TABELA, '"&amp;UPPER(C509)&amp;"' AS TIPOLOGIA_TESTE,'"&amp;D509&amp;"' AS TABELA_LT,'N/A' AS TABELA_SIMUL,'"&amp;F509&amp;"' AS CAMPO, "&amp;"'${ref_date}' AS REF_DATE, COUNT(*) AS NUM_REG, SUM(IF(TRIM(CAST(X."&amp;F509&amp;" AS STRING))='' OR TRIM(CAST(X."&amp;F509&amp;" AS STRING)) IS NULL,1,0)) AS NUM_REG_DIF,'"&amp;MAX('ID1&amp;5'!K:K)+1&amp;"' AS ID_EXEC, CURRENT_TIMESTAMP() AS TIME_EXEC FROM "&amp;I509),
IF(C509="Caracteres Especiais",+"SELECT '"&amp;UPPER(B509)&amp;"' AS TABELA, '"&amp;UPPER(C509)&amp;"' AS TIPOLOGIA_TESTE,'"&amp;D509&amp;"' AS TABELA_LT,'N/A' AS TABELA_SIMUL,'"&amp;F509&amp;"' AS CAMPO, "&amp;"'${ref_date}' AS REF_DATE, COUNT(*) AS NUM_REG, SUM(IF(INSTR(CAST(X."&amp;F509&amp;" AS STRING),'#')&gt;0 OR INSTR(CAST(X."&amp;F509&amp;" AS STRING),'*')&gt;0 OR INSTR(CAST(X."&amp;F509&amp;" AS STRING),'`')&gt;0 OR INSTR(CAST(X."&amp;F509&amp;" AS STRING),'´')&gt;0 OR INSTR(CAST(X."&amp;F509&amp;" AS STRING),'{')&gt;0 OR INSTR(CAST(X."&amp;F509&amp;" AS STRING),'}')&gt;0 OR INSTR(CAST(X."&amp;F509&amp;" AS STRING),'[')&gt;0 OR INSTR(CAST(X."&amp;F509&amp;" AS STRING),'')&gt;0 OR INSTR(CAST(X."&amp;F509&amp;" AS STRING),']')&gt;0 OR INSTR(CAST(X."&amp;F509&amp;" AS STRING),'?')&gt;0 OR INSTR(CAST(X."&amp;F509&amp;" AS STRING),'!')&gt;0 OR INSTR(CAST(X."&amp;F509&amp;" AS STRING),'$')&gt;0 OR INSTR(CAST(X."&amp;F509&amp;" AS STRING),'%')&gt;0 OR INSTR(CAST(X."&amp;F509&amp;" AS STRING),'&amp;')&gt;0 OR INSTR(CAST(X."&amp;F509&amp;" AS STRING),'+')&gt;0,1,0)) AS NUM_REG_DIF,'"&amp;MAX('ID1&amp;5'!K:K)+1&amp;"' AS ID_EXEC, CURRENT_TIMESTAMP() AS TIME_EXEC FROM "&amp;I509,
IF(C509="Missings",+"SELECT '"&amp;UPPER(B509)&amp;"' AS TABELA, '"&amp;UPPER(C509)&amp;"' AS TIPOLOGIA_TESTE,'"&amp;D509&amp;"' AS TABELA_LT,'N/A' AS TABELA_SIMUL,'"&amp;F509&amp;"' AS CAMPO, "&amp;"'${ref_date}' AS REF_DATE, COUNT(*) AS NUM_REG, SUM(IF(TRIM(CAST(X."&amp;F509&amp;" AS STRING)) IN ('0000-00-00','0001-01-01','9999-12-31','MISS','00000','99999999999','99999999999.00','99999999999.000000'),1,0)) AS NUM_REG_DIF,'"&amp;MAX('ID1&amp;5'!K:K)+1&amp;"' AS ID_EXEC, CURRENT_TIMESTAMP() AS TIME_EXEC FROM "&amp;I509,
IF(C509="Not applicable",+"SELECT '"&amp;UPPER(B509)&amp;"' AS TABELA, '"&amp;UPPER(C509)&amp;"' AS TIPOLOGIA_TESTE,'"&amp;D509&amp;"' AS TABELA_LT,'N/A' AS TABELA_SIMUL,'"&amp;F509&amp;"' AS CAMPO, "&amp;"'${ref_date}' AS REF_DATE, COUNT(*) AS NUM_REG, SUM(IF(TRIM(CAST(X."&amp;F509&amp;" AS STRING)) IN ('N/A','11111111111','11111111111.00','11111111111.000000','1111-11-11'),1,0)) AS NUM_REG_DIF,'"&amp;MAX('ID1&amp;5'!K:K)+1&amp;"' AS ID_EXEC, CURRENT_TIMESTAMP() AS TIME_EXEC FROM "&amp;I509,
IF(C509="Valores extremos",+"SELECT '"&amp;UPPER(B509)&amp;"' AS TABELA, '"&amp;UPPER(C509)&amp;"' AS TIPOLOGIA_TESTE,'"&amp;D509&amp;"' AS TABELA_LT,'N/A' AS TABELA_SIMUL,'"&amp;F509&amp;"' AS CAMPO, "&amp;"'${ref_date}' AS REF_DATE, CAST(MIN("&amp;F509&amp;") AS STRING) AS VALOR_MIN, CAST(MAX("&amp;F509&amp;") AS STRING) AS VALOR_MAX,'"&amp;MAX('ID1&amp;5'!K:K)+1&amp;"' AS ID_EXEC, CURRENT_TIMESTAMP() AS TIME_EXEC FROM "&amp;MID(I509,1,LEN(I509)-2)&amp;" AND CAST("&amp;F509&amp;"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TABELA_SIMUL,'ESG_SBSCTR' AS CAMPO, '${ref_date}' AS REF_DATE, CAST(MIN(ESG_SBSCTR) AS STRING) AS VALOR_MIN, CAST(MAX(ESG_SBSCTR) AS STRING) AS VALOR_MAX,'10' AS ID_EXEC, CURRENT_TIMESTAMP() AS TIME_EXEC FROM (SELECT entty_id, ESG_SBSCTR FROM BU_LOANTAPE_WORK.LT003_ENTITY WHERE ref_date='${ref_date}' AND nome_perimetro='Individual Corporativo' AND segmento='ESTR' AND ambito='PILAR3' AND CAST(ESG_SBSCTR AS STRING) NOT IN ('0000-00-00','0001-01-01','9999-12-31','MISS','00000','99999999999','99999999999.00','99999999999.000000','N/A','11111111111','11111111111.00','11111111111.000000','1111-11-11'))X</v>
      </c>
      <c r="M509" s="43" t="str">
        <f t="shared" si="8"/>
        <v>UNION ALL SELECT 'ENTITY' AS TABELA, 'VALORES EXTREMOS' AS TIPOLOGIA_TESTE,'BU_LOANTAPE_WORK.LT003_ENTITY' AS TABELA_LT,'N/A' AS TABELA_SIMUL,'ESG_SBSCTR' AS CAMPO, '${ref_date}' AS REF_DATE, CAST(MIN(ESG_SBSCTR) AS STRING) AS VALOR_MIN, CAST(MAX(ESG_SBSCTR) AS STRING) AS VALOR_MAX,'10' AS ID_EXEC, CURRENT_TIMESTAMP() AS TIME_EXEC FROM (SELECT entty_id, ESG_SBSCTR FROM BU_LOANTAPE_WORK.LT003_ENTITY WHERE ref_date='${ref_date}' AND nome_perimetro='Individual Corporativo' AND segmento='ESTR' AND ambito='PILAR3' AND CAST(ESG_SBSCTR AS STRING) NOT IN ('0000-00-00','0001-01-01','9999-12-31','MISS','00000','99999999999','99999999999.00','99999999999.000000','N/A','11111111111','11111111111.00','11111111111.000000','1111-11-11'))X</v>
      </c>
      <c r="N509" s="45" t="s">
        <v>13</v>
      </c>
    </row>
    <row r="510" spans="2:14">
      <c r="B510" s="41" t="s">
        <v>23</v>
      </c>
      <c r="C510" s="41" t="s">
        <v>226</v>
      </c>
      <c r="D510" s="41" t="str">
        <f>+UPPER('0. Instruções'!$D$33&amp;"."&amp;VLOOKUP(B510,'0. Instruções'!$C$27:$D$31,2,FALSE))</f>
        <v>BU_LOANTAPE_WORK.LT003_ENTITY</v>
      </c>
      <c r="E510" s="41" t="str">
        <f>+UPPER('0. Instruções'!$D$34&amp;"."&amp;VLOOKUP(B510,'0. Instruções'!$C$27:$E$31,3,FALSE))</f>
        <v>BU_LOANTAPE_WORK.LT003_ENTTY_P3_NOV24</v>
      </c>
      <c r="F510" s="41" t="s">
        <v>126</v>
      </c>
      <c r="G510" s="41" t="s">
        <v>213</v>
      </c>
      <c r="H510" s="41"/>
      <c r="I510" s="41" t="str">
        <f>"(SELECT "&amp;VLOOKUP(B510,'0. Instruções'!$C$27:$G$31,4,FALSE)&amp;", "&amp;F510&amp;" FROM "&amp;D510&amp;" WHERE "&amp;'0. Instruções'!$D$40&amp;")X"</f>
        <v>(SELECT entty_id, TTL_LBLTY FROM BU_LOANTAPE_WORK.LT003_ENTITY WHERE ref_date='${ref_date}' AND nome_perimetro='Individual Corporativo' AND segmento='ESTR' AND ambito='PILAR3')X</v>
      </c>
      <c r="J510" s="41" t="str">
        <f>"(SELECT "&amp;VLOOKUP(B510,'0. Instruções'!$C$27:$G$31,4,FALSE)&amp;" AS "&amp;VLOOKUP(B510,'0. Instruções'!$C$27:$G$31,4,FALSE)&amp;"_SIMUL, "&amp;F510&amp;" AS "&amp;F510&amp;"_SIMUL FROM "&amp;E510&amp;")Y"</f>
        <v>(SELECT entty_id AS entty_id_SIMUL, TTL_LBLTY AS TTL_LBLTY_SIMUL FROM BU_LOANTAPE_WORK.LT003_ENTTY_P3_NOV24)Y</v>
      </c>
      <c r="K510" s="42" t="str">
        <f>+UPPER("ON X."&amp;VLOOKUP(B510,'0. Instruções'!$C$27:$G$31,4,FALSE)&amp;"=Y."&amp;VLOOKUP(B510,'0. Instruções'!$C$27:$G$31,4,FALSE)&amp;"_SIMUL")</f>
        <v>ON X.ENTTY_ID=Y.ENTTY_ID_SIMUL</v>
      </c>
      <c r="L510" s="42" t="str">
        <f>+IF(C510="Coerência", +IF(LEFT(G510,5)="FLOAT","SELECT '"&amp;UPPER(B510)&amp;"' AS TABELA, '"&amp;UPPER(C510)&amp;"' AS TIPOLOGIA_TESTE,'"&amp;D510&amp;"' AS TABELA_LT,'"&amp;E510&amp;"' AS TABELA_SIMUL,'"&amp;F510&amp;"' AS CAMPO, "&amp;"'${ref_date}' AS REF_DATE, COUNT(*) AS NUM_REG, SUM(IF((ABS(COALESCE(X."&amp;F510&amp;",0)-COALESCE(Y."&amp;F510&amp;"_SIMUL,0))&gt;0.0000000001) OR (X."&amp;F510&amp;" IS NULL AND Y."&amp;F510&amp;"_SIMUL IS NOT NULL ) OR (X."&amp;F510&amp;" IS NOT NULL AND Y."&amp;F510&amp;"_SIMUL IS NULL),1,0)) AS NUM_REG_DIF,'"&amp;MAX('ID1&amp;5'!K:K)+1&amp;"' AS ID_EXEC, CURRENT_TIMESTAMP() AS TIME_EXEC FROM "&amp;I510&amp;" INNER JOIN "&amp;J510&amp;" "&amp;K510,"SELECT '"&amp;UPPER(B510)&amp;"' AS TABELA, '"&amp;UPPER(C510)&amp;"' AS TIPOLOGIA_TESTE,'"&amp;D510&amp;"' AS TABELA_LT,'"&amp;E510&amp;"' AS TABELA_SIMUL,'"&amp;F510&amp;"' AS CAMPO, "&amp;"'${ref_date}' AS REF_DATE, COUNT(*) AS NUM_REG, SUM(IF(COALESCE(CAST(X."&amp;F510&amp;" AS STRING),'')&lt;&gt;COALESCE(CAST(Y."&amp;F510&amp;"_SIMUL AS STRING),''),1,0)) AS NUM_REG_DIF,'"&amp;MAX('ID1&amp;5'!L:L)+1&amp;"' AS ID_EXEC, CURRENT_TIMESTAMP() AS TIME_EXEC FROM "&amp;I510&amp;" INNER JOIN "&amp;J510&amp;" "&amp;K510),
IF(C510="Validade",+IF(G510="Code List","SELECT '"&amp;UPPER(B510)&amp;"' AS TABELA, '"&amp;UPPER(C510)&amp;"' AS TIPOLOGIA_TESTE,'"&amp;D510&amp;"' AS TABELA_LT,'N/A' AS TABELA_SIMUL,'"&amp;F510&amp;"' AS CAMPO, "&amp;"'${ref_date}' AS REF_DATE, COUNT(*) AS NUM_REG, SUM(IF(TRIM(CAST(X."&amp;F510&amp;" AS STRING))='' OR TRIM(CAST(X."&amp;F510&amp;" AS STRING)) IS NULL OR CAST(X."&amp;F510&amp;" AS STRING) NOT "&amp;H510&amp;",1,0)) AS NUM_REG_DIF,'"&amp;MAX('ID1&amp;5'!K:K)+1&amp;"' AS ID_EXEC, CURRENT_TIMESTAMP() AS TIME_EXEC FROM "&amp;I510,"SELECT '"&amp;UPPER(B510)&amp;"' AS TABELA, '"&amp;UPPER(C510)&amp;"' AS TIPOLOGIA_TESTE,'"&amp;D510&amp;"' AS TABELA_LT,'N/A' AS TABELA_SIMUL,'"&amp;F510&amp;"' AS CAMPO, "&amp;"'${ref_date}' AS REF_DATE, COUNT(*) AS NUM_REG, SUM(IF(TRIM(CAST(X."&amp;F510&amp;" AS STRING))='' OR TRIM(CAST(X."&amp;F510&amp;" AS STRING)) IS NULL,1,0)) AS NUM_REG_DIF,'"&amp;MAX('ID1&amp;5'!K:K)+1&amp;"' AS ID_EXEC, CURRENT_TIMESTAMP() AS TIME_EXEC FROM "&amp;I510),
IF(C510="Caracteres Especiais",+"SELECT '"&amp;UPPER(B510)&amp;"' AS TABELA, '"&amp;UPPER(C510)&amp;"' AS TIPOLOGIA_TESTE,'"&amp;D510&amp;"' AS TABELA_LT,'N/A' AS TABELA_SIMUL,'"&amp;F510&amp;"' AS CAMPO, "&amp;"'${ref_date}' AS REF_DATE, COUNT(*) AS NUM_REG, SUM(IF(INSTR(CAST(X."&amp;F510&amp;" AS STRING),'#')&gt;0 OR INSTR(CAST(X."&amp;F510&amp;" AS STRING),'*')&gt;0 OR INSTR(CAST(X."&amp;F510&amp;" AS STRING),'`')&gt;0 OR INSTR(CAST(X."&amp;F510&amp;" AS STRING),'´')&gt;0 OR INSTR(CAST(X."&amp;F510&amp;" AS STRING),'{')&gt;0 OR INSTR(CAST(X."&amp;F510&amp;" AS STRING),'}')&gt;0 OR INSTR(CAST(X."&amp;F510&amp;" AS STRING),'[')&gt;0 OR INSTR(CAST(X."&amp;F510&amp;" AS STRING),'')&gt;0 OR INSTR(CAST(X."&amp;F510&amp;" AS STRING),']')&gt;0 OR INSTR(CAST(X."&amp;F510&amp;" AS STRING),'?')&gt;0 OR INSTR(CAST(X."&amp;F510&amp;" AS STRING),'!')&gt;0 OR INSTR(CAST(X."&amp;F510&amp;" AS STRING),'$')&gt;0 OR INSTR(CAST(X."&amp;F510&amp;" AS STRING),'%')&gt;0 OR INSTR(CAST(X."&amp;F510&amp;" AS STRING),'&amp;')&gt;0 OR INSTR(CAST(X."&amp;F510&amp;" AS STRING),'+')&gt;0,1,0)) AS NUM_REG_DIF,'"&amp;MAX('ID1&amp;5'!K:K)+1&amp;"' AS ID_EXEC, CURRENT_TIMESTAMP() AS TIME_EXEC FROM "&amp;I510,
IF(C510="Missings",+"SELECT '"&amp;UPPER(B510)&amp;"' AS TABELA, '"&amp;UPPER(C510)&amp;"' AS TIPOLOGIA_TESTE,'"&amp;D510&amp;"' AS TABELA_LT,'N/A' AS TABELA_SIMUL,'"&amp;F510&amp;"' AS CAMPO, "&amp;"'${ref_date}' AS REF_DATE, COUNT(*) AS NUM_REG, SUM(IF(TRIM(CAST(X."&amp;F510&amp;" AS STRING)) IN ('0000-00-00','0001-01-01','9999-12-31','MISS','00000','99999999999','99999999999.00','99999999999.000000'),1,0)) AS NUM_REG_DIF,'"&amp;MAX('ID1&amp;5'!K:K)+1&amp;"' AS ID_EXEC, CURRENT_TIMESTAMP() AS TIME_EXEC FROM "&amp;I510,
IF(C510="Not applicable",+"SELECT '"&amp;UPPER(B510)&amp;"' AS TABELA, '"&amp;UPPER(C510)&amp;"' AS TIPOLOGIA_TESTE,'"&amp;D510&amp;"' AS TABELA_LT,'N/A' AS TABELA_SIMUL,'"&amp;F510&amp;"' AS CAMPO, "&amp;"'${ref_date}' AS REF_DATE, COUNT(*) AS NUM_REG, SUM(IF(TRIM(CAST(X."&amp;F510&amp;" AS STRING)) IN ('N/A','11111111111','11111111111.00','11111111111.000000','1111-11-11'),1,0)) AS NUM_REG_DIF,'"&amp;MAX('ID1&amp;5'!K:K)+1&amp;"' AS ID_EXEC, CURRENT_TIMESTAMP() AS TIME_EXEC FROM "&amp;I510,
IF(C510="Valores extremos",+"SELECT '"&amp;UPPER(B510)&amp;"' AS TABELA, '"&amp;UPPER(C510)&amp;"' AS TIPOLOGIA_TESTE,'"&amp;D510&amp;"' AS TABELA_LT,'N/A' AS TABELA_SIMUL,'"&amp;F510&amp;"' AS CAMPO, "&amp;"'${ref_date}' AS REF_DATE, CAST(MIN("&amp;F510&amp;") AS STRING) AS VALOR_MIN, CAST(MAX("&amp;F510&amp;") AS STRING) AS VALOR_MAX,'"&amp;MAX('ID1&amp;5'!K:K)+1&amp;"' AS ID_EXEC, CURRENT_TIMESTAMP() AS TIME_EXEC FROM "&amp;MID(I510,1,LEN(I510)-2)&amp;" AND CAST("&amp;F510&amp;"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TABELA_SIMUL,'TTL_LBLTY' AS CAMPO, '${ref_date}' AS REF_DATE, CAST(MIN(TTL_LBLTY) AS STRING) AS VALOR_MIN, CAST(MAX(TTL_LBLTY) AS STRING) AS VALOR_MAX,'10' AS ID_EXEC, CURRENT_TIMESTAMP() AS TIME_EXEC FROM (SELECT entty_id, TTL_LBLTY FROM BU_LOANTAPE_WORK.LT003_ENTITY WHERE ref_date='${ref_date}' AND nome_perimetro='Individual Corporativo' AND segmento='ESTR' AND ambito='PILAR3' AND CAST(TTL_LBLTY AS STRING) NOT IN ('0000-00-00','0001-01-01','9999-12-31','MISS','00000','99999999999','99999999999.00','99999999999.000000','N/A','11111111111','11111111111.00','11111111111.000000','1111-11-11'))X</v>
      </c>
      <c r="M510" s="43" t="str">
        <f t="shared" si="8"/>
        <v>UNION ALL SELECT 'ENTITY' AS TABELA, 'VALORES EXTREMOS' AS TIPOLOGIA_TESTE,'BU_LOANTAPE_WORK.LT003_ENTITY' AS TABELA_LT,'N/A' AS TABELA_SIMUL,'TTL_LBLTY' AS CAMPO, '${ref_date}' AS REF_DATE, CAST(MIN(TTL_LBLTY) AS STRING) AS VALOR_MIN, CAST(MAX(TTL_LBLTY) AS STRING) AS VALOR_MAX,'10' AS ID_EXEC, CURRENT_TIMESTAMP() AS TIME_EXEC FROM (SELECT entty_id, TTL_LBLTY FROM BU_LOANTAPE_WORK.LT003_ENTITY WHERE ref_date='${ref_date}' AND nome_perimetro='Individual Corporativo' AND segmento='ESTR' AND ambito='PILAR3' AND CAST(TTL_LBLTY AS STRING) NOT IN ('0000-00-00','0001-01-01','9999-12-31','MISS','00000','99999999999','99999999999.00','99999999999.000000','N/A','11111111111','11111111111.00','11111111111.000000','1111-11-11'))X</v>
      </c>
      <c r="N510" s="45" t="s">
        <v>13</v>
      </c>
    </row>
    <row r="511" spans="2:14">
      <c r="B511" s="41" t="s">
        <v>23</v>
      </c>
      <c r="C511" s="41" t="s">
        <v>226</v>
      </c>
      <c r="D511" s="41" t="str">
        <f>+UPPER('0. Instruções'!$D$33&amp;"."&amp;VLOOKUP(B511,'0. Instruções'!$C$27:$D$31,2,FALSE))</f>
        <v>BU_LOANTAPE_WORK.LT003_ENTITY</v>
      </c>
      <c r="E511" s="41" t="str">
        <f>+UPPER('0. Instruções'!$D$34&amp;"."&amp;VLOOKUP(B511,'0. Instruções'!$C$27:$E$31,3,FALSE))</f>
        <v>BU_LOANTAPE_WORK.LT003_ENTTY_P3_NOV24</v>
      </c>
      <c r="F511" s="41" t="s">
        <v>127</v>
      </c>
      <c r="G511" s="41" t="s">
        <v>214</v>
      </c>
      <c r="H511" s="41"/>
      <c r="I511" s="41" t="str">
        <f>"(SELECT "&amp;VLOOKUP(B511,'0. Instruções'!$C$27:$G$31,4,FALSE)&amp;", "&amp;F511&amp;" FROM "&amp;D511&amp;" WHERE "&amp;'0. Instruções'!$D$40&amp;")X"</f>
        <v>(SELECT entty_id, ISIN FROM BU_LOANTAPE_WORK.LT003_ENTITY WHERE ref_date='${ref_date}' AND nome_perimetro='Individual Corporativo' AND segmento='ESTR' AND ambito='PILAR3')X</v>
      </c>
      <c r="J511" s="41" t="str">
        <f>"(SELECT "&amp;VLOOKUP(B511,'0. Instruções'!$C$27:$G$31,4,FALSE)&amp;" AS "&amp;VLOOKUP(B511,'0. Instruções'!$C$27:$G$31,4,FALSE)&amp;"_SIMUL, "&amp;F511&amp;" AS "&amp;F511&amp;"_SIMUL FROM "&amp;E511&amp;")Y"</f>
        <v>(SELECT entty_id AS entty_id_SIMUL, ISIN AS ISIN_SIMUL FROM BU_LOANTAPE_WORK.LT003_ENTTY_P3_NOV24)Y</v>
      </c>
      <c r="K511" s="42" t="str">
        <f>+UPPER("ON X."&amp;VLOOKUP(B511,'0. Instruções'!$C$27:$G$31,4,FALSE)&amp;"=Y."&amp;VLOOKUP(B511,'0. Instruções'!$C$27:$G$31,4,FALSE)&amp;"_SIMUL")</f>
        <v>ON X.ENTTY_ID=Y.ENTTY_ID_SIMUL</v>
      </c>
      <c r="L511" s="42" t="str">
        <f>+IF(C511="Coerência", +IF(LEFT(G511,5)="FLOAT","SELECT '"&amp;UPPER(B511)&amp;"' AS TABELA, '"&amp;UPPER(C511)&amp;"' AS TIPOLOGIA_TESTE,'"&amp;D511&amp;"' AS TABELA_LT,'"&amp;E511&amp;"' AS TABELA_SIMUL,'"&amp;F511&amp;"' AS CAMPO, "&amp;"'${ref_date}' AS REF_DATE, COUNT(*) AS NUM_REG, SUM(IF((ABS(COALESCE(X."&amp;F511&amp;",0)-COALESCE(Y."&amp;F511&amp;"_SIMUL,0))&gt;0.0000000001) OR (X."&amp;F511&amp;" IS NULL AND Y."&amp;F511&amp;"_SIMUL IS NOT NULL ) OR (X."&amp;F511&amp;" IS NOT NULL AND Y."&amp;F511&amp;"_SIMUL IS NULL),1,0)) AS NUM_REG_DIF,'"&amp;MAX('ID1&amp;5'!K:K)+1&amp;"' AS ID_EXEC, CURRENT_TIMESTAMP() AS TIME_EXEC FROM "&amp;I511&amp;" INNER JOIN "&amp;J511&amp;" "&amp;K511,"SELECT '"&amp;UPPER(B511)&amp;"' AS TABELA, '"&amp;UPPER(C511)&amp;"' AS TIPOLOGIA_TESTE,'"&amp;D511&amp;"' AS TABELA_LT,'"&amp;E511&amp;"' AS TABELA_SIMUL,'"&amp;F511&amp;"' AS CAMPO, "&amp;"'${ref_date}' AS REF_DATE, COUNT(*) AS NUM_REG, SUM(IF(COALESCE(CAST(X."&amp;F511&amp;" AS STRING),'')&lt;&gt;COALESCE(CAST(Y."&amp;F511&amp;"_SIMUL AS STRING),''),1,0)) AS NUM_REG_DIF,'"&amp;MAX('ID1&amp;5'!L:L)+1&amp;"' AS ID_EXEC, CURRENT_TIMESTAMP() AS TIME_EXEC FROM "&amp;I511&amp;" INNER JOIN "&amp;J511&amp;" "&amp;K511),
IF(C511="Validade",+IF(G511="Code List","SELECT '"&amp;UPPER(B511)&amp;"' AS TABELA, '"&amp;UPPER(C511)&amp;"' AS TIPOLOGIA_TESTE,'"&amp;D511&amp;"' AS TABELA_LT,'N/A' AS TABELA_SIMUL,'"&amp;F511&amp;"' AS CAMPO, "&amp;"'${ref_date}' AS REF_DATE, COUNT(*) AS NUM_REG, SUM(IF(TRIM(CAST(X."&amp;F511&amp;" AS STRING))='' OR TRIM(CAST(X."&amp;F511&amp;" AS STRING)) IS NULL OR CAST(X."&amp;F511&amp;" AS STRING) NOT "&amp;H511&amp;",1,0)) AS NUM_REG_DIF,'"&amp;MAX('ID1&amp;5'!K:K)+1&amp;"' AS ID_EXEC, CURRENT_TIMESTAMP() AS TIME_EXEC FROM "&amp;I511,"SELECT '"&amp;UPPER(B511)&amp;"' AS TABELA, '"&amp;UPPER(C511)&amp;"' AS TIPOLOGIA_TESTE,'"&amp;D511&amp;"' AS TABELA_LT,'N/A' AS TABELA_SIMUL,'"&amp;F511&amp;"' AS CAMPO, "&amp;"'${ref_date}' AS REF_DATE, COUNT(*) AS NUM_REG, SUM(IF(TRIM(CAST(X."&amp;F511&amp;" AS STRING))='' OR TRIM(CAST(X."&amp;F511&amp;" AS STRING)) IS NULL,1,0)) AS NUM_REG_DIF,'"&amp;MAX('ID1&amp;5'!K:K)+1&amp;"' AS ID_EXEC, CURRENT_TIMESTAMP() AS TIME_EXEC FROM "&amp;I511),
IF(C511="Caracteres Especiais",+"SELECT '"&amp;UPPER(B511)&amp;"' AS TABELA, '"&amp;UPPER(C511)&amp;"' AS TIPOLOGIA_TESTE,'"&amp;D511&amp;"' AS TABELA_LT,'N/A' AS TABELA_SIMUL,'"&amp;F511&amp;"' AS CAMPO, "&amp;"'${ref_date}' AS REF_DATE, COUNT(*) AS NUM_REG, SUM(IF(INSTR(CAST(X."&amp;F511&amp;" AS STRING),'#')&gt;0 OR INSTR(CAST(X."&amp;F511&amp;" AS STRING),'*')&gt;0 OR INSTR(CAST(X."&amp;F511&amp;" AS STRING),'`')&gt;0 OR INSTR(CAST(X."&amp;F511&amp;" AS STRING),'´')&gt;0 OR INSTR(CAST(X."&amp;F511&amp;" AS STRING),'{')&gt;0 OR INSTR(CAST(X."&amp;F511&amp;" AS STRING),'}')&gt;0 OR INSTR(CAST(X."&amp;F511&amp;" AS STRING),'[')&gt;0 OR INSTR(CAST(X."&amp;F511&amp;" AS STRING),'')&gt;0 OR INSTR(CAST(X."&amp;F511&amp;" AS STRING),']')&gt;0 OR INSTR(CAST(X."&amp;F511&amp;" AS STRING),'?')&gt;0 OR INSTR(CAST(X."&amp;F511&amp;" AS STRING),'!')&gt;0 OR INSTR(CAST(X."&amp;F511&amp;" AS STRING),'$')&gt;0 OR INSTR(CAST(X."&amp;F511&amp;" AS STRING),'%')&gt;0 OR INSTR(CAST(X."&amp;F511&amp;" AS STRING),'&amp;')&gt;0 OR INSTR(CAST(X."&amp;F511&amp;" AS STRING),'+')&gt;0,1,0)) AS NUM_REG_DIF,'"&amp;MAX('ID1&amp;5'!K:K)+1&amp;"' AS ID_EXEC, CURRENT_TIMESTAMP() AS TIME_EXEC FROM "&amp;I511,
IF(C511="Missings",+"SELECT '"&amp;UPPER(B511)&amp;"' AS TABELA, '"&amp;UPPER(C511)&amp;"' AS TIPOLOGIA_TESTE,'"&amp;D511&amp;"' AS TABELA_LT,'N/A' AS TABELA_SIMUL,'"&amp;F511&amp;"' AS CAMPO, "&amp;"'${ref_date}' AS REF_DATE, COUNT(*) AS NUM_REG, SUM(IF(TRIM(CAST(X."&amp;F511&amp;" AS STRING)) IN ('0000-00-00','0001-01-01','9999-12-31','MISS','00000','99999999999','99999999999.00','99999999999.000000'),1,0)) AS NUM_REG_DIF,'"&amp;MAX('ID1&amp;5'!K:K)+1&amp;"' AS ID_EXEC, CURRENT_TIMESTAMP() AS TIME_EXEC FROM "&amp;I511,
IF(C511="Not applicable",+"SELECT '"&amp;UPPER(B511)&amp;"' AS TABELA, '"&amp;UPPER(C511)&amp;"' AS TIPOLOGIA_TESTE,'"&amp;D511&amp;"' AS TABELA_LT,'N/A' AS TABELA_SIMUL,'"&amp;F511&amp;"' AS CAMPO, "&amp;"'${ref_date}' AS REF_DATE, COUNT(*) AS NUM_REG, SUM(IF(TRIM(CAST(X."&amp;F511&amp;" AS STRING)) IN ('N/A','11111111111','11111111111.00','11111111111.000000','1111-11-11'),1,0)) AS NUM_REG_DIF,'"&amp;MAX('ID1&amp;5'!K:K)+1&amp;"' AS ID_EXEC, CURRENT_TIMESTAMP() AS TIME_EXEC FROM "&amp;I511,
IF(C511="Valores extremos",+"SELECT '"&amp;UPPER(B511)&amp;"' AS TABELA, '"&amp;UPPER(C511)&amp;"' AS TIPOLOGIA_TESTE,'"&amp;D511&amp;"' AS TABELA_LT,'N/A' AS TABELA_SIMUL,'"&amp;F511&amp;"' AS CAMPO, "&amp;"'${ref_date}' AS REF_DATE, CAST(MIN("&amp;F511&amp;") AS STRING) AS VALOR_MIN, CAST(MAX("&amp;F511&amp;") AS STRING) AS VALOR_MAX,'"&amp;MAX('ID1&amp;5'!K:K)+1&amp;"' AS ID_EXEC, CURRENT_TIMESTAMP() AS TIME_EXEC FROM "&amp;MID(I511,1,LEN(I511)-2)&amp;" AND CAST("&amp;F511&amp;"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TABELA_SIMUL,'ISIN' AS CAMPO, '${ref_date}' AS REF_DATE, CAST(MIN(ISIN) AS STRING) AS VALOR_MIN, CAST(MAX(ISIN) AS STRING) AS VALOR_MAX,'10' AS ID_EXEC, CURRENT_TIMESTAMP() AS TIME_EXEC FROM (SELECT entty_id, ISIN FROM BU_LOANTAPE_WORK.LT003_ENTITY WHERE ref_date='${ref_date}' AND nome_perimetro='Individual Corporativo' AND segmento='ESTR' AND ambito='PILAR3' AND CAST(ISIN AS STRING) NOT IN ('0000-00-00','0001-01-01','9999-12-31','MISS','00000','99999999999','99999999999.00','99999999999.000000','N/A','11111111111','11111111111.00','11111111111.000000','1111-11-11'))X</v>
      </c>
      <c r="M511" s="43" t="str">
        <f t="shared" si="8"/>
        <v>UNION ALL SELECT 'ENTITY' AS TABELA, 'VALORES EXTREMOS' AS TIPOLOGIA_TESTE,'BU_LOANTAPE_WORK.LT003_ENTITY' AS TABELA_LT,'N/A' AS TABELA_SIMUL,'ISIN' AS CAMPO, '${ref_date}' AS REF_DATE, CAST(MIN(ISIN) AS STRING) AS VALOR_MIN, CAST(MAX(ISIN) AS STRING) AS VALOR_MAX,'10' AS ID_EXEC, CURRENT_TIMESTAMP() AS TIME_EXEC FROM (SELECT entty_id, ISIN FROM BU_LOANTAPE_WORK.LT003_ENTITY WHERE ref_date='${ref_date}' AND nome_perimetro='Individual Corporativo' AND segmento='ESTR' AND ambito='PILAR3' AND CAST(ISIN AS STRING) NOT IN ('0000-00-00','0001-01-01','9999-12-31','MISS','00000','99999999999','99999999999.00','99999999999.000000','N/A','11111111111','11111111111.00','11111111111.000000','1111-11-11'))X</v>
      </c>
      <c r="N511" s="45" t="s">
        <v>13</v>
      </c>
    </row>
    <row r="512" spans="2:14">
      <c r="B512" s="41" t="s">
        <v>23</v>
      </c>
      <c r="C512" s="41" t="s">
        <v>226</v>
      </c>
      <c r="D512" s="41" t="str">
        <f>+UPPER('0. Instruções'!$D$33&amp;"."&amp;VLOOKUP(B512,'0. Instruções'!$C$27:$D$31,2,FALSE))</f>
        <v>BU_LOANTAPE_WORK.LT003_ENTITY</v>
      </c>
      <c r="E512" s="41" t="str">
        <f>+UPPER('0. Instruções'!$D$34&amp;"."&amp;VLOOKUP(B512,'0. Instruções'!$C$27:$E$31,3,FALSE))</f>
        <v>BU_LOANTAPE_WORK.LT003_ENTTY_P3_NOV24</v>
      </c>
      <c r="F512" s="41" t="s">
        <v>128</v>
      </c>
      <c r="G512" s="41" t="s">
        <v>213</v>
      </c>
      <c r="H512" s="41"/>
      <c r="I512" s="41" t="str">
        <f>"(SELECT "&amp;VLOOKUP(B512,'0. Instruções'!$C$27:$G$31,4,FALSE)&amp;", "&amp;F512&amp;" FROM "&amp;D512&amp;" WHERE "&amp;'0. Instruções'!$D$40&amp;")X"</f>
        <v>(SELECT entty_id, GRP_ANNL_TRNVR_LE FROM BU_LOANTAPE_WORK.LT003_ENTITY WHERE ref_date='${ref_date}' AND nome_perimetro='Individual Corporativo' AND segmento='ESTR' AND ambito='PILAR3')X</v>
      </c>
      <c r="J512" s="41" t="str">
        <f>"(SELECT "&amp;VLOOKUP(B512,'0. Instruções'!$C$27:$G$31,4,FALSE)&amp;" AS "&amp;VLOOKUP(B512,'0. Instruções'!$C$27:$G$31,4,FALSE)&amp;"_SIMUL, "&amp;F512&amp;" AS "&amp;F512&amp;"_SIMUL FROM "&amp;E512&amp;")Y"</f>
        <v>(SELECT entty_id AS entty_id_SIMUL, GRP_ANNL_TRNVR_LE AS GRP_ANNL_TRNVR_LE_SIMUL FROM BU_LOANTAPE_WORK.LT003_ENTTY_P3_NOV24)Y</v>
      </c>
      <c r="K512" s="42" t="str">
        <f>+UPPER("ON X."&amp;VLOOKUP(B512,'0. Instruções'!$C$27:$G$31,4,FALSE)&amp;"=Y."&amp;VLOOKUP(B512,'0. Instruções'!$C$27:$G$31,4,FALSE)&amp;"_SIMUL")</f>
        <v>ON X.ENTTY_ID=Y.ENTTY_ID_SIMUL</v>
      </c>
      <c r="L512" s="42" t="str">
        <f>+IF(C512="Coerência", +IF(LEFT(G512,5)="FLOAT","SELECT '"&amp;UPPER(B512)&amp;"' AS TABELA, '"&amp;UPPER(C512)&amp;"' AS TIPOLOGIA_TESTE,'"&amp;D512&amp;"' AS TABELA_LT,'"&amp;E512&amp;"' AS TABELA_SIMUL,'"&amp;F512&amp;"' AS CAMPO, "&amp;"'${ref_date}' AS REF_DATE, COUNT(*) AS NUM_REG, SUM(IF((ABS(COALESCE(X."&amp;F512&amp;",0)-COALESCE(Y."&amp;F512&amp;"_SIMUL,0))&gt;0.0000000001) OR (X."&amp;F512&amp;" IS NULL AND Y."&amp;F512&amp;"_SIMUL IS NOT NULL ) OR (X."&amp;F512&amp;" IS NOT NULL AND Y."&amp;F512&amp;"_SIMUL IS NULL),1,0)) AS NUM_REG_DIF,'"&amp;MAX('ID1&amp;5'!K:K)+1&amp;"' AS ID_EXEC, CURRENT_TIMESTAMP() AS TIME_EXEC FROM "&amp;I512&amp;" INNER JOIN "&amp;J512&amp;" "&amp;K512,"SELECT '"&amp;UPPER(B512)&amp;"' AS TABELA, '"&amp;UPPER(C512)&amp;"' AS TIPOLOGIA_TESTE,'"&amp;D512&amp;"' AS TABELA_LT,'"&amp;E512&amp;"' AS TABELA_SIMUL,'"&amp;F512&amp;"' AS CAMPO, "&amp;"'${ref_date}' AS REF_DATE, COUNT(*) AS NUM_REG, SUM(IF(COALESCE(CAST(X."&amp;F512&amp;" AS STRING),'')&lt;&gt;COALESCE(CAST(Y."&amp;F512&amp;"_SIMUL AS STRING),''),1,0)) AS NUM_REG_DIF,'"&amp;MAX('ID1&amp;5'!L:L)+1&amp;"' AS ID_EXEC, CURRENT_TIMESTAMP() AS TIME_EXEC FROM "&amp;I512&amp;" INNER JOIN "&amp;J512&amp;" "&amp;K512),
IF(C512="Validade",+IF(G512="Code List","SELECT '"&amp;UPPER(B512)&amp;"' AS TABELA, '"&amp;UPPER(C512)&amp;"' AS TIPOLOGIA_TESTE,'"&amp;D512&amp;"' AS TABELA_LT,'N/A' AS TABELA_SIMUL,'"&amp;F512&amp;"' AS CAMPO, "&amp;"'${ref_date}' AS REF_DATE, COUNT(*) AS NUM_REG, SUM(IF(TRIM(CAST(X."&amp;F512&amp;" AS STRING))='' OR TRIM(CAST(X."&amp;F512&amp;" AS STRING)) IS NULL OR CAST(X."&amp;F512&amp;" AS STRING) NOT "&amp;H512&amp;",1,0)) AS NUM_REG_DIF,'"&amp;MAX('ID1&amp;5'!K:K)+1&amp;"' AS ID_EXEC, CURRENT_TIMESTAMP() AS TIME_EXEC FROM "&amp;I512,"SELECT '"&amp;UPPER(B512)&amp;"' AS TABELA, '"&amp;UPPER(C512)&amp;"' AS TIPOLOGIA_TESTE,'"&amp;D512&amp;"' AS TABELA_LT,'N/A' AS TABELA_SIMUL,'"&amp;F512&amp;"' AS CAMPO, "&amp;"'${ref_date}' AS REF_DATE, COUNT(*) AS NUM_REG, SUM(IF(TRIM(CAST(X."&amp;F512&amp;" AS STRING))='' OR TRIM(CAST(X."&amp;F512&amp;" AS STRING)) IS NULL,1,0)) AS NUM_REG_DIF,'"&amp;MAX('ID1&amp;5'!K:K)+1&amp;"' AS ID_EXEC, CURRENT_TIMESTAMP() AS TIME_EXEC FROM "&amp;I512),
IF(C512="Caracteres Especiais",+"SELECT '"&amp;UPPER(B512)&amp;"' AS TABELA, '"&amp;UPPER(C512)&amp;"' AS TIPOLOGIA_TESTE,'"&amp;D512&amp;"' AS TABELA_LT,'N/A' AS TABELA_SIMUL,'"&amp;F512&amp;"' AS CAMPO, "&amp;"'${ref_date}' AS REF_DATE, COUNT(*) AS NUM_REG, SUM(IF(INSTR(CAST(X."&amp;F512&amp;" AS STRING),'#')&gt;0 OR INSTR(CAST(X."&amp;F512&amp;" AS STRING),'*')&gt;0 OR INSTR(CAST(X."&amp;F512&amp;" AS STRING),'`')&gt;0 OR INSTR(CAST(X."&amp;F512&amp;" AS STRING),'´')&gt;0 OR INSTR(CAST(X."&amp;F512&amp;" AS STRING),'{')&gt;0 OR INSTR(CAST(X."&amp;F512&amp;" AS STRING),'}')&gt;0 OR INSTR(CAST(X."&amp;F512&amp;" AS STRING),'[')&gt;0 OR INSTR(CAST(X."&amp;F512&amp;" AS STRING),'')&gt;0 OR INSTR(CAST(X."&amp;F512&amp;" AS STRING),']')&gt;0 OR INSTR(CAST(X."&amp;F512&amp;" AS STRING),'?')&gt;0 OR INSTR(CAST(X."&amp;F512&amp;" AS STRING),'!')&gt;0 OR INSTR(CAST(X."&amp;F512&amp;" AS STRING),'$')&gt;0 OR INSTR(CAST(X."&amp;F512&amp;" AS STRING),'%')&gt;0 OR INSTR(CAST(X."&amp;F512&amp;" AS STRING),'&amp;')&gt;0 OR INSTR(CAST(X."&amp;F512&amp;" AS STRING),'+')&gt;0,1,0)) AS NUM_REG_DIF,'"&amp;MAX('ID1&amp;5'!K:K)+1&amp;"' AS ID_EXEC, CURRENT_TIMESTAMP() AS TIME_EXEC FROM "&amp;I512,
IF(C512="Missings",+"SELECT '"&amp;UPPER(B512)&amp;"' AS TABELA, '"&amp;UPPER(C512)&amp;"' AS TIPOLOGIA_TESTE,'"&amp;D512&amp;"' AS TABELA_LT,'N/A' AS TABELA_SIMUL,'"&amp;F512&amp;"' AS CAMPO, "&amp;"'${ref_date}' AS REF_DATE, COUNT(*) AS NUM_REG, SUM(IF(TRIM(CAST(X."&amp;F512&amp;" AS STRING)) IN ('0000-00-00','0001-01-01','9999-12-31','MISS','00000','99999999999','99999999999.00','99999999999.000000'),1,0)) AS NUM_REG_DIF,'"&amp;MAX('ID1&amp;5'!K:K)+1&amp;"' AS ID_EXEC, CURRENT_TIMESTAMP() AS TIME_EXEC FROM "&amp;I512,
IF(C512="Not applicable",+"SELECT '"&amp;UPPER(B512)&amp;"' AS TABELA, '"&amp;UPPER(C512)&amp;"' AS TIPOLOGIA_TESTE,'"&amp;D512&amp;"' AS TABELA_LT,'N/A' AS TABELA_SIMUL,'"&amp;F512&amp;"' AS CAMPO, "&amp;"'${ref_date}' AS REF_DATE, COUNT(*) AS NUM_REG, SUM(IF(TRIM(CAST(X."&amp;F512&amp;" AS STRING)) IN ('N/A','11111111111','11111111111.00','11111111111.000000','1111-11-11'),1,0)) AS NUM_REG_DIF,'"&amp;MAX('ID1&amp;5'!K:K)+1&amp;"' AS ID_EXEC, CURRENT_TIMESTAMP() AS TIME_EXEC FROM "&amp;I512,
IF(C512="Valores extremos",+"SELECT '"&amp;UPPER(B512)&amp;"' AS TABELA, '"&amp;UPPER(C512)&amp;"' AS TIPOLOGIA_TESTE,'"&amp;D512&amp;"' AS TABELA_LT,'N/A' AS TABELA_SIMUL,'"&amp;F512&amp;"' AS CAMPO, "&amp;"'${ref_date}' AS REF_DATE, CAST(MIN("&amp;F512&amp;") AS STRING) AS VALOR_MIN, CAST(MAX("&amp;F512&amp;") AS STRING) AS VALOR_MAX,'"&amp;MAX('ID1&amp;5'!K:K)+1&amp;"' AS ID_EXEC, CURRENT_TIMESTAMP() AS TIME_EXEC FROM "&amp;MID(I512,1,LEN(I512)-2)&amp;" AND CAST("&amp;F512&amp;"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TABELA_SIMUL,'GRP_ANNL_TRNVR_LE' AS CAMPO, '${ref_date}' AS REF_DATE, CAST(MIN(GRP_ANNL_TRNVR_LE) AS STRING) AS VALOR_MIN, CAST(MAX(GRP_ANNL_TRNVR_LE) AS STRING) AS VALOR_MAX,'10' AS ID_EXEC, CURRENT_TIMESTAMP() AS TIME_EXEC FROM (SELECT entty_id, GRP_ANNL_TRNVR_LE FROM BU_LOANTAPE_WORK.LT003_ENTITY WHERE ref_date='${ref_date}' AND nome_perimetro='Individual Corporativo' AND segmento='ESTR' AND ambito='PILAR3' AND CAST(GRP_ANNL_TRNVR_LE AS STRING) NOT IN ('0000-00-00','0001-01-01','9999-12-31','MISS','00000','99999999999','99999999999.00','99999999999.000000','N/A','11111111111','11111111111.00','11111111111.000000','1111-11-11'))X</v>
      </c>
      <c r="M512" s="43" t="str">
        <f t="shared" si="8"/>
        <v>UNION ALL SELECT 'ENTITY' AS TABELA, 'VALORES EXTREMOS' AS TIPOLOGIA_TESTE,'BU_LOANTAPE_WORK.LT003_ENTITY' AS TABELA_LT,'N/A' AS TABELA_SIMUL,'GRP_ANNL_TRNVR_LE' AS CAMPO, '${ref_date}' AS REF_DATE, CAST(MIN(GRP_ANNL_TRNVR_LE) AS STRING) AS VALOR_MIN, CAST(MAX(GRP_ANNL_TRNVR_LE) AS STRING) AS VALOR_MAX,'10' AS ID_EXEC, CURRENT_TIMESTAMP() AS TIME_EXEC FROM (SELECT entty_id, GRP_ANNL_TRNVR_LE FROM BU_LOANTAPE_WORK.LT003_ENTITY WHERE ref_date='${ref_date}' AND nome_perimetro='Individual Corporativo' AND segmento='ESTR' AND ambito='PILAR3' AND CAST(GRP_ANNL_TRNVR_LE AS STRING) NOT IN ('0000-00-00','0001-01-01','9999-12-31','MISS','00000','99999999999','99999999999.00','99999999999.000000','N/A','11111111111','11111111111.00','11111111111.000000','1111-11-11'))X</v>
      </c>
      <c r="N512" s="45" t="s">
        <v>13</v>
      </c>
    </row>
    <row r="513" spans="2:14">
      <c r="B513" s="41" t="s">
        <v>23</v>
      </c>
      <c r="C513" s="41" t="s">
        <v>226</v>
      </c>
      <c r="D513" s="41" t="str">
        <f>+UPPER('0. Instruções'!$D$33&amp;"."&amp;VLOOKUP(B513,'0. Instruções'!$C$27:$D$31,2,FALSE))</f>
        <v>BU_LOANTAPE_WORK.LT003_ENTITY</v>
      </c>
      <c r="E513" s="41" t="str">
        <f>+UPPER('0. Instruções'!$D$34&amp;"."&amp;VLOOKUP(B513,'0. Instruções'!$C$27:$E$31,3,FALSE))</f>
        <v>BU_LOANTAPE_WORK.LT003_ENTTY_P3_NOV24</v>
      </c>
      <c r="F513" s="41" t="s">
        <v>129</v>
      </c>
      <c r="G513" s="41" t="s">
        <v>213</v>
      </c>
      <c r="H513" s="41"/>
      <c r="I513" s="41" t="str">
        <f>"(SELECT "&amp;VLOOKUP(B513,'0. Instruções'!$C$27:$G$31,4,FALSE)&amp;", "&amp;F513&amp;" FROM "&amp;D513&amp;" WHERE "&amp;'0. Instruções'!$D$40&amp;")X"</f>
        <v>(SELECT entty_id, GRP_TTL_LBLTY FROM BU_LOANTAPE_WORK.LT003_ENTITY WHERE ref_date='${ref_date}' AND nome_perimetro='Individual Corporativo' AND segmento='ESTR' AND ambito='PILAR3')X</v>
      </c>
      <c r="J513" s="41" t="str">
        <f>"(SELECT "&amp;VLOOKUP(B513,'0. Instruções'!$C$27:$G$31,4,FALSE)&amp;" AS "&amp;VLOOKUP(B513,'0. Instruções'!$C$27:$G$31,4,FALSE)&amp;"_SIMUL, "&amp;F513&amp;" AS "&amp;F513&amp;"_SIMUL FROM "&amp;E513&amp;")Y"</f>
        <v>(SELECT entty_id AS entty_id_SIMUL, GRP_TTL_LBLTY AS GRP_TTL_LBLTY_SIMUL FROM BU_LOANTAPE_WORK.LT003_ENTTY_P3_NOV24)Y</v>
      </c>
      <c r="K513" s="42" t="str">
        <f>+UPPER("ON X."&amp;VLOOKUP(B513,'0. Instruções'!$C$27:$G$31,4,FALSE)&amp;"=Y."&amp;VLOOKUP(B513,'0. Instruções'!$C$27:$G$31,4,FALSE)&amp;"_SIMUL")</f>
        <v>ON X.ENTTY_ID=Y.ENTTY_ID_SIMUL</v>
      </c>
      <c r="L513" s="42" t="str">
        <f>+IF(C513="Coerência", +IF(LEFT(G513,5)="FLOAT","SELECT '"&amp;UPPER(B513)&amp;"' AS TABELA, '"&amp;UPPER(C513)&amp;"' AS TIPOLOGIA_TESTE,'"&amp;D513&amp;"' AS TABELA_LT,'"&amp;E513&amp;"' AS TABELA_SIMUL,'"&amp;F513&amp;"' AS CAMPO, "&amp;"'${ref_date}' AS REF_DATE, COUNT(*) AS NUM_REG, SUM(IF((ABS(COALESCE(X."&amp;F513&amp;",0)-COALESCE(Y."&amp;F513&amp;"_SIMUL,0))&gt;0.0000000001) OR (X."&amp;F513&amp;" IS NULL AND Y."&amp;F513&amp;"_SIMUL IS NOT NULL ) OR (X."&amp;F513&amp;" IS NOT NULL AND Y."&amp;F513&amp;"_SIMUL IS NULL),1,0)) AS NUM_REG_DIF,'"&amp;MAX('ID1&amp;5'!K:K)+1&amp;"' AS ID_EXEC, CURRENT_TIMESTAMP() AS TIME_EXEC FROM "&amp;I513&amp;" INNER JOIN "&amp;J513&amp;" "&amp;K513,"SELECT '"&amp;UPPER(B513)&amp;"' AS TABELA, '"&amp;UPPER(C513)&amp;"' AS TIPOLOGIA_TESTE,'"&amp;D513&amp;"' AS TABELA_LT,'"&amp;E513&amp;"' AS TABELA_SIMUL,'"&amp;F513&amp;"' AS CAMPO, "&amp;"'${ref_date}' AS REF_DATE, COUNT(*) AS NUM_REG, SUM(IF(COALESCE(CAST(X."&amp;F513&amp;" AS STRING),'')&lt;&gt;COALESCE(CAST(Y."&amp;F513&amp;"_SIMUL AS STRING),''),1,0)) AS NUM_REG_DIF,'"&amp;MAX('ID1&amp;5'!L:L)+1&amp;"' AS ID_EXEC, CURRENT_TIMESTAMP() AS TIME_EXEC FROM "&amp;I513&amp;" INNER JOIN "&amp;J513&amp;" "&amp;K513),
IF(C513="Validade",+IF(G513="Code List","SELECT '"&amp;UPPER(B513)&amp;"' AS TABELA, '"&amp;UPPER(C513)&amp;"' AS TIPOLOGIA_TESTE,'"&amp;D513&amp;"' AS TABELA_LT,'N/A' AS TABELA_SIMUL,'"&amp;F513&amp;"' AS CAMPO, "&amp;"'${ref_date}' AS REF_DATE, COUNT(*) AS NUM_REG, SUM(IF(TRIM(CAST(X."&amp;F513&amp;" AS STRING))='' OR TRIM(CAST(X."&amp;F513&amp;" AS STRING)) IS NULL OR CAST(X."&amp;F513&amp;" AS STRING) NOT "&amp;H513&amp;",1,0)) AS NUM_REG_DIF,'"&amp;MAX('ID1&amp;5'!K:K)+1&amp;"' AS ID_EXEC, CURRENT_TIMESTAMP() AS TIME_EXEC FROM "&amp;I513,"SELECT '"&amp;UPPER(B513)&amp;"' AS TABELA, '"&amp;UPPER(C513)&amp;"' AS TIPOLOGIA_TESTE,'"&amp;D513&amp;"' AS TABELA_LT,'N/A' AS TABELA_SIMUL,'"&amp;F513&amp;"' AS CAMPO, "&amp;"'${ref_date}' AS REF_DATE, COUNT(*) AS NUM_REG, SUM(IF(TRIM(CAST(X."&amp;F513&amp;" AS STRING))='' OR TRIM(CAST(X."&amp;F513&amp;" AS STRING)) IS NULL,1,0)) AS NUM_REG_DIF,'"&amp;MAX('ID1&amp;5'!K:K)+1&amp;"' AS ID_EXEC, CURRENT_TIMESTAMP() AS TIME_EXEC FROM "&amp;I513),
IF(C513="Caracteres Especiais",+"SELECT '"&amp;UPPER(B513)&amp;"' AS TABELA, '"&amp;UPPER(C513)&amp;"' AS TIPOLOGIA_TESTE,'"&amp;D513&amp;"' AS TABELA_LT,'N/A' AS TABELA_SIMUL,'"&amp;F513&amp;"' AS CAMPO, "&amp;"'${ref_date}' AS REF_DATE, COUNT(*) AS NUM_REG, SUM(IF(INSTR(CAST(X."&amp;F513&amp;" AS STRING),'#')&gt;0 OR INSTR(CAST(X."&amp;F513&amp;" AS STRING),'*')&gt;0 OR INSTR(CAST(X."&amp;F513&amp;" AS STRING),'`')&gt;0 OR INSTR(CAST(X."&amp;F513&amp;" AS STRING),'´')&gt;0 OR INSTR(CAST(X."&amp;F513&amp;" AS STRING),'{')&gt;0 OR INSTR(CAST(X."&amp;F513&amp;" AS STRING),'}')&gt;0 OR INSTR(CAST(X."&amp;F513&amp;" AS STRING),'[')&gt;0 OR INSTR(CAST(X."&amp;F513&amp;" AS STRING),'')&gt;0 OR INSTR(CAST(X."&amp;F513&amp;" AS STRING),']')&gt;0 OR INSTR(CAST(X."&amp;F513&amp;" AS STRING),'?')&gt;0 OR INSTR(CAST(X."&amp;F513&amp;" AS STRING),'!')&gt;0 OR INSTR(CAST(X."&amp;F513&amp;" AS STRING),'$')&gt;0 OR INSTR(CAST(X."&amp;F513&amp;" AS STRING),'%')&gt;0 OR INSTR(CAST(X."&amp;F513&amp;" AS STRING),'&amp;')&gt;0 OR INSTR(CAST(X."&amp;F513&amp;" AS STRING),'+')&gt;0,1,0)) AS NUM_REG_DIF,'"&amp;MAX('ID1&amp;5'!K:K)+1&amp;"' AS ID_EXEC, CURRENT_TIMESTAMP() AS TIME_EXEC FROM "&amp;I513,
IF(C513="Missings",+"SELECT '"&amp;UPPER(B513)&amp;"' AS TABELA, '"&amp;UPPER(C513)&amp;"' AS TIPOLOGIA_TESTE,'"&amp;D513&amp;"' AS TABELA_LT,'N/A' AS TABELA_SIMUL,'"&amp;F513&amp;"' AS CAMPO, "&amp;"'${ref_date}' AS REF_DATE, COUNT(*) AS NUM_REG, SUM(IF(TRIM(CAST(X."&amp;F513&amp;" AS STRING)) IN ('0000-00-00','0001-01-01','9999-12-31','MISS','00000','99999999999','99999999999.00','99999999999.000000'),1,0)) AS NUM_REG_DIF,'"&amp;MAX('ID1&amp;5'!K:K)+1&amp;"' AS ID_EXEC, CURRENT_TIMESTAMP() AS TIME_EXEC FROM "&amp;I513,
IF(C513="Not applicable",+"SELECT '"&amp;UPPER(B513)&amp;"' AS TABELA, '"&amp;UPPER(C513)&amp;"' AS TIPOLOGIA_TESTE,'"&amp;D513&amp;"' AS TABELA_LT,'N/A' AS TABELA_SIMUL,'"&amp;F513&amp;"' AS CAMPO, "&amp;"'${ref_date}' AS REF_DATE, COUNT(*) AS NUM_REG, SUM(IF(TRIM(CAST(X."&amp;F513&amp;" AS STRING)) IN ('N/A','11111111111','11111111111.00','11111111111.000000','1111-11-11'),1,0)) AS NUM_REG_DIF,'"&amp;MAX('ID1&amp;5'!K:K)+1&amp;"' AS ID_EXEC, CURRENT_TIMESTAMP() AS TIME_EXEC FROM "&amp;I513,
IF(C513="Valores extremos",+"SELECT '"&amp;UPPER(B513)&amp;"' AS TABELA, '"&amp;UPPER(C513)&amp;"' AS TIPOLOGIA_TESTE,'"&amp;D513&amp;"' AS TABELA_LT,'N/A' AS TABELA_SIMUL,'"&amp;F513&amp;"' AS CAMPO, "&amp;"'${ref_date}' AS REF_DATE, CAST(MIN("&amp;F513&amp;") AS STRING) AS VALOR_MIN, CAST(MAX("&amp;F513&amp;") AS STRING) AS VALOR_MAX,'"&amp;MAX('ID1&amp;5'!K:K)+1&amp;"' AS ID_EXEC, CURRENT_TIMESTAMP() AS TIME_EXEC FROM "&amp;MID(I513,1,LEN(I513)-2)&amp;" AND CAST("&amp;F513&amp;"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TABELA_SIMUL,'GRP_TTL_LBLTY' AS CAMPO, '${ref_date}' AS REF_DATE, CAST(MIN(GRP_TTL_LBLTY) AS STRING) AS VALOR_MIN, CAST(MAX(GRP_TTL_LBLTY) AS STRING) AS VALOR_MAX,'10' AS ID_EXEC, CURRENT_TIMESTAMP() AS TIME_EXEC FROM (SELECT entty_id, GRP_TTL_LBLTY FROM BU_LOANTAPE_WORK.LT003_ENTITY WHERE ref_date='${ref_date}' AND nome_perimetro='Individual Corporativo' AND segmento='ESTR' AND ambito='PILAR3' AND CAST(GRP_TTL_LBLTY AS STRING) NOT IN ('0000-00-00','0001-01-01','9999-12-31','MISS','00000','99999999999','99999999999.00','99999999999.000000','N/A','11111111111','11111111111.00','11111111111.000000','1111-11-11'))X</v>
      </c>
      <c r="M513" s="43" t="str">
        <f t="shared" si="8"/>
        <v>UNION ALL SELECT 'ENTITY' AS TABELA, 'VALORES EXTREMOS' AS TIPOLOGIA_TESTE,'BU_LOANTAPE_WORK.LT003_ENTITY' AS TABELA_LT,'N/A' AS TABELA_SIMUL,'GRP_TTL_LBLTY' AS CAMPO, '${ref_date}' AS REF_DATE, CAST(MIN(GRP_TTL_LBLTY) AS STRING) AS VALOR_MIN, CAST(MAX(GRP_TTL_LBLTY) AS STRING) AS VALOR_MAX,'10' AS ID_EXEC, CURRENT_TIMESTAMP() AS TIME_EXEC FROM (SELECT entty_id, GRP_TTL_LBLTY FROM BU_LOANTAPE_WORK.LT003_ENTITY WHERE ref_date='${ref_date}' AND nome_perimetro='Individual Corporativo' AND segmento='ESTR' AND ambito='PILAR3' AND CAST(GRP_TTL_LBLTY AS STRING) NOT IN ('0000-00-00','0001-01-01','9999-12-31','MISS','00000','99999999999','99999999999.00','99999999999.000000','N/A','11111111111','11111111111.00','11111111111.000000','1111-11-11'))X</v>
      </c>
      <c r="N513" s="45" t="s">
        <v>13</v>
      </c>
    </row>
    <row r="514" spans="2:14">
      <c r="B514" s="41" t="s">
        <v>23</v>
      </c>
      <c r="C514" s="41" t="s">
        <v>226</v>
      </c>
      <c r="D514" s="41" t="str">
        <f>+UPPER('0. Instruções'!$D$33&amp;"."&amp;VLOOKUP(B514,'0. Instruções'!$C$27:$D$31,2,FALSE))</f>
        <v>BU_LOANTAPE_WORK.LT003_ENTITY</v>
      </c>
      <c r="E514" s="41" t="str">
        <f>+UPPER('0. Instruções'!$D$34&amp;"."&amp;VLOOKUP(B514,'0. Instruções'!$C$27:$E$31,3,FALSE))</f>
        <v>BU_LOANTAPE_WORK.LT003_ENTTY_P3_NOV24</v>
      </c>
      <c r="F514" s="41" t="s">
        <v>130</v>
      </c>
      <c r="G514" s="41" t="s">
        <v>211</v>
      </c>
      <c r="H514" s="41"/>
      <c r="I514" s="41" t="str">
        <f>"(SELECT "&amp;VLOOKUP(B514,'0. Instruções'!$C$27:$G$31,4,FALSE)&amp;", "&amp;F514&amp;" FROM "&amp;D514&amp;" WHERE "&amp;'0. Instruções'!$D$40&amp;")X"</f>
        <v>(SELECT entty_id, FLG_GRP_NFRD_APPLCBLTY FROM BU_LOANTAPE_WORK.LT003_ENTITY WHERE ref_date='${ref_date}' AND nome_perimetro='Individual Corporativo' AND segmento='ESTR' AND ambito='PILAR3')X</v>
      </c>
      <c r="J514" s="41" t="str">
        <f>"(SELECT "&amp;VLOOKUP(B514,'0. Instruções'!$C$27:$G$31,4,FALSE)&amp;" AS "&amp;VLOOKUP(B514,'0. Instruções'!$C$27:$G$31,4,FALSE)&amp;"_SIMUL, "&amp;F514&amp;" AS "&amp;F514&amp;"_SIMUL FROM "&amp;E514&amp;")Y"</f>
        <v>(SELECT entty_id AS entty_id_SIMUL, FLG_GRP_NFRD_APPLCBLTY AS FLG_GRP_NFRD_APPLCBLTY_SIMUL FROM BU_LOANTAPE_WORK.LT003_ENTTY_P3_NOV24)Y</v>
      </c>
      <c r="K514" s="42" t="str">
        <f>+UPPER("ON X."&amp;VLOOKUP(B514,'0. Instruções'!$C$27:$G$31,4,FALSE)&amp;"=Y."&amp;VLOOKUP(B514,'0. Instruções'!$C$27:$G$31,4,FALSE)&amp;"_SIMUL")</f>
        <v>ON X.ENTTY_ID=Y.ENTTY_ID_SIMUL</v>
      </c>
      <c r="L514" s="42" t="str">
        <f>+IF(C514="Coerência", +IF(LEFT(G514,5)="FLOAT","SELECT '"&amp;UPPER(B514)&amp;"' AS TABELA, '"&amp;UPPER(C514)&amp;"' AS TIPOLOGIA_TESTE,'"&amp;D514&amp;"' AS TABELA_LT,'"&amp;E514&amp;"' AS TABELA_SIMUL,'"&amp;F514&amp;"' AS CAMPO, "&amp;"'${ref_date}' AS REF_DATE, COUNT(*) AS NUM_REG, SUM(IF((ABS(COALESCE(X."&amp;F514&amp;",0)-COALESCE(Y."&amp;F514&amp;"_SIMUL,0))&gt;0.0000000001) OR (X."&amp;F514&amp;" IS NULL AND Y."&amp;F514&amp;"_SIMUL IS NOT NULL ) OR (X."&amp;F514&amp;" IS NOT NULL AND Y."&amp;F514&amp;"_SIMUL IS NULL),1,0)) AS NUM_REG_DIF,'"&amp;MAX('ID1&amp;5'!K:K)+1&amp;"' AS ID_EXEC, CURRENT_TIMESTAMP() AS TIME_EXEC FROM "&amp;I514&amp;" INNER JOIN "&amp;J514&amp;" "&amp;K514,"SELECT '"&amp;UPPER(B514)&amp;"' AS TABELA, '"&amp;UPPER(C514)&amp;"' AS TIPOLOGIA_TESTE,'"&amp;D514&amp;"' AS TABELA_LT,'"&amp;E514&amp;"' AS TABELA_SIMUL,'"&amp;F514&amp;"' AS CAMPO, "&amp;"'${ref_date}' AS REF_DATE, COUNT(*) AS NUM_REG, SUM(IF(COALESCE(CAST(X."&amp;F514&amp;" AS STRING),'')&lt;&gt;COALESCE(CAST(Y."&amp;F514&amp;"_SIMUL AS STRING),''),1,0)) AS NUM_REG_DIF,'"&amp;MAX('ID1&amp;5'!L:L)+1&amp;"' AS ID_EXEC, CURRENT_TIMESTAMP() AS TIME_EXEC FROM "&amp;I514&amp;" INNER JOIN "&amp;J514&amp;" "&amp;K514),
IF(C514="Validade",+IF(G514="Code List","SELECT '"&amp;UPPER(B514)&amp;"' AS TABELA, '"&amp;UPPER(C514)&amp;"' AS TIPOLOGIA_TESTE,'"&amp;D514&amp;"' AS TABELA_LT,'N/A' AS TABELA_SIMUL,'"&amp;F514&amp;"' AS CAMPO, "&amp;"'${ref_date}' AS REF_DATE, COUNT(*) AS NUM_REG, SUM(IF(TRIM(CAST(X."&amp;F514&amp;" AS STRING))='' OR TRIM(CAST(X."&amp;F514&amp;" AS STRING)) IS NULL OR CAST(X."&amp;F514&amp;" AS STRING) NOT "&amp;H514&amp;",1,0)) AS NUM_REG_DIF,'"&amp;MAX('ID1&amp;5'!K:K)+1&amp;"' AS ID_EXEC, CURRENT_TIMESTAMP() AS TIME_EXEC FROM "&amp;I514,"SELECT '"&amp;UPPER(B514)&amp;"' AS TABELA, '"&amp;UPPER(C514)&amp;"' AS TIPOLOGIA_TESTE,'"&amp;D514&amp;"' AS TABELA_LT,'N/A' AS TABELA_SIMUL,'"&amp;F514&amp;"' AS CAMPO, "&amp;"'${ref_date}' AS REF_DATE, COUNT(*) AS NUM_REG, SUM(IF(TRIM(CAST(X."&amp;F514&amp;" AS STRING))='' OR TRIM(CAST(X."&amp;F514&amp;" AS STRING)) IS NULL,1,0)) AS NUM_REG_DIF,'"&amp;MAX('ID1&amp;5'!K:K)+1&amp;"' AS ID_EXEC, CURRENT_TIMESTAMP() AS TIME_EXEC FROM "&amp;I514),
IF(C514="Caracteres Especiais",+"SELECT '"&amp;UPPER(B514)&amp;"' AS TABELA, '"&amp;UPPER(C514)&amp;"' AS TIPOLOGIA_TESTE,'"&amp;D514&amp;"' AS TABELA_LT,'N/A' AS TABELA_SIMUL,'"&amp;F514&amp;"' AS CAMPO, "&amp;"'${ref_date}' AS REF_DATE, COUNT(*) AS NUM_REG, SUM(IF(INSTR(CAST(X."&amp;F514&amp;" AS STRING),'#')&gt;0 OR INSTR(CAST(X."&amp;F514&amp;" AS STRING),'*')&gt;0 OR INSTR(CAST(X."&amp;F514&amp;" AS STRING),'`')&gt;0 OR INSTR(CAST(X."&amp;F514&amp;" AS STRING),'´')&gt;0 OR INSTR(CAST(X."&amp;F514&amp;" AS STRING),'{')&gt;0 OR INSTR(CAST(X."&amp;F514&amp;" AS STRING),'}')&gt;0 OR INSTR(CAST(X."&amp;F514&amp;" AS STRING),'[')&gt;0 OR INSTR(CAST(X."&amp;F514&amp;" AS STRING),'')&gt;0 OR INSTR(CAST(X."&amp;F514&amp;" AS STRING),']')&gt;0 OR INSTR(CAST(X."&amp;F514&amp;" AS STRING),'?')&gt;0 OR INSTR(CAST(X."&amp;F514&amp;" AS STRING),'!')&gt;0 OR INSTR(CAST(X."&amp;F514&amp;" AS STRING),'$')&gt;0 OR INSTR(CAST(X."&amp;F514&amp;" AS STRING),'%')&gt;0 OR INSTR(CAST(X."&amp;F514&amp;" AS STRING),'&amp;')&gt;0 OR INSTR(CAST(X."&amp;F514&amp;" AS STRING),'+')&gt;0,1,0)) AS NUM_REG_DIF,'"&amp;MAX('ID1&amp;5'!K:K)+1&amp;"' AS ID_EXEC, CURRENT_TIMESTAMP() AS TIME_EXEC FROM "&amp;I514,
IF(C514="Missings",+"SELECT '"&amp;UPPER(B514)&amp;"' AS TABELA, '"&amp;UPPER(C514)&amp;"' AS TIPOLOGIA_TESTE,'"&amp;D514&amp;"' AS TABELA_LT,'N/A' AS TABELA_SIMUL,'"&amp;F514&amp;"' AS CAMPO, "&amp;"'${ref_date}' AS REF_DATE, COUNT(*) AS NUM_REG, SUM(IF(TRIM(CAST(X."&amp;F514&amp;" AS STRING)) IN ('0000-00-00','0001-01-01','9999-12-31','MISS','00000','99999999999','99999999999.00','99999999999.000000'),1,0)) AS NUM_REG_DIF,'"&amp;MAX('ID1&amp;5'!K:K)+1&amp;"' AS ID_EXEC, CURRENT_TIMESTAMP() AS TIME_EXEC FROM "&amp;I514,
IF(C514="Not applicable",+"SELECT '"&amp;UPPER(B514)&amp;"' AS TABELA, '"&amp;UPPER(C514)&amp;"' AS TIPOLOGIA_TESTE,'"&amp;D514&amp;"' AS TABELA_LT,'N/A' AS TABELA_SIMUL,'"&amp;F514&amp;"' AS CAMPO, "&amp;"'${ref_date}' AS REF_DATE, COUNT(*) AS NUM_REG, SUM(IF(TRIM(CAST(X."&amp;F514&amp;" AS STRING)) IN ('N/A','11111111111','11111111111.00','11111111111.000000','1111-11-11'),1,0)) AS NUM_REG_DIF,'"&amp;MAX('ID1&amp;5'!K:K)+1&amp;"' AS ID_EXEC, CURRENT_TIMESTAMP() AS TIME_EXEC FROM "&amp;I514,
IF(C514="Valores extremos",+"SELECT '"&amp;UPPER(B514)&amp;"' AS TABELA, '"&amp;UPPER(C514)&amp;"' AS TIPOLOGIA_TESTE,'"&amp;D514&amp;"' AS TABELA_LT,'N/A' AS TABELA_SIMUL,'"&amp;F514&amp;"' AS CAMPO, "&amp;"'${ref_date}' AS REF_DATE, CAST(MIN("&amp;F514&amp;") AS STRING) AS VALOR_MIN, CAST(MAX("&amp;F514&amp;") AS STRING) AS VALOR_MAX,'"&amp;MAX('ID1&amp;5'!K:K)+1&amp;"' AS ID_EXEC, CURRENT_TIMESTAMP() AS TIME_EXEC FROM "&amp;MID(I514,1,LEN(I514)-2)&amp;" AND CAST("&amp;F514&amp;"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TABELA_SIMUL,'FLG_GRP_NFRD_APPLCBLTY' AS CAMPO, '${ref_date}' AS REF_DATE, CAST(MIN(FLG_GRP_NFRD_APPLCBLTY) AS STRING) AS VALOR_MIN, CAST(MAX(FLG_GRP_NFRD_APPLCBLTY) AS STRING) AS VALOR_MAX,'10' AS ID_EXEC, CURRENT_TIMESTAMP() AS TIME_EXEC FROM (SELECT entty_id, FLG_GRP_NFRD_APPLCBLTY FROM BU_LOANTAPE_WORK.LT003_ENTITY WHERE ref_date='${ref_date}' AND nome_perimetro='Individual Corporativo' AND segmento='ESTR' AND ambito='PILAR3' AND CAST(FLG_GRP_NFRD_APPLCBLTY AS STRING) NOT IN ('0000-00-00','0001-01-01','9999-12-31','MISS','00000','99999999999','99999999999.00','99999999999.000000','N/A','11111111111','11111111111.00','11111111111.000000','1111-11-11'))X</v>
      </c>
      <c r="M514" s="43" t="str">
        <f t="shared" si="8"/>
        <v>UNION ALL SELECT 'ENTITY' AS TABELA, 'VALORES EXTREMOS' AS TIPOLOGIA_TESTE,'BU_LOANTAPE_WORK.LT003_ENTITY' AS TABELA_LT,'N/A' AS TABELA_SIMUL,'FLG_GRP_NFRD_APPLCBLTY' AS CAMPO, '${ref_date}' AS REF_DATE, CAST(MIN(FLG_GRP_NFRD_APPLCBLTY) AS STRING) AS VALOR_MIN, CAST(MAX(FLG_GRP_NFRD_APPLCBLTY) AS STRING) AS VALOR_MAX,'10' AS ID_EXEC, CURRENT_TIMESTAMP() AS TIME_EXEC FROM (SELECT entty_id, FLG_GRP_NFRD_APPLCBLTY FROM BU_LOANTAPE_WORK.LT003_ENTITY WHERE ref_date='${ref_date}' AND nome_perimetro='Individual Corporativo' AND segmento='ESTR' AND ambito='PILAR3' AND CAST(FLG_GRP_NFRD_APPLCBLTY AS STRING) NOT IN ('0000-00-00','0001-01-01','9999-12-31','MISS','00000','99999999999','99999999999.00','99999999999.000000','N/A','11111111111','11111111111.00','11111111111.000000','1111-11-11'))X</v>
      </c>
      <c r="N514" s="45" t="s">
        <v>13</v>
      </c>
    </row>
    <row r="515" spans="2:14">
      <c r="B515" s="41" t="s">
        <v>23</v>
      </c>
      <c r="C515" s="41" t="s">
        <v>226</v>
      </c>
      <c r="D515" s="41" t="str">
        <f>+UPPER('0. Instruções'!$D$33&amp;"."&amp;VLOOKUP(B515,'0. Instruções'!$C$27:$D$31,2,FALSE))</f>
        <v>BU_LOANTAPE_WORK.LT003_ENTITY</v>
      </c>
      <c r="E515" s="41" t="str">
        <f>+UPPER('0. Instruções'!$D$34&amp;"."&amp;VLOOKUP(B515,'0. Instruções'!$C$27:$E$31,3,FALSE))</f>
        <v>BU_LOANTAPE_WORK.LT003_ENTTY_P3_NOV24</v>
      </c>
      <c r="F515" s="41" t="s">
        <v>131</v>
      </c>
      <c r="G515" s="41" t="s">
        <v>210</v>
      </c>
      <c r="H515" s="41"/>
      <c r="I515" s="41" t="str">
        <f>"(SELECT "&amp;VLOOKUP(B515,'0. Instruções'!$C$27:$G$31,4,FALSE)&amp;", "&amp;F515&amp;" FROM "&amp;D515&amp;" WHERE "&amp;'0. Instruções'!$D$40&amp;")X"</f>
        <v>(SELECT entty_id, GRP_EMSSNS_SCP1 FROM BU_LOANTAPE_WORK.LT003_ENTITY WHERE ref_date='${ref_date}' AND nome_perimetro='Individual Corporativo' AND segmento='ESTR' AND ambito='PILAR3')X</v>
      </c>
      <c r="J515" s="41" t="str">
        <f>"(SELECT "&amp;VLOOKUP(B515,'0. Instruções'!$C$27:$G$31,4,FALSE)&amp;" AS "&amp;VLOOKUP(B515,'0. Instruções'!$C$27:$G$31,4,FALSE)&amp;"_SIMUL, "&amp;F515&amp;" AS "&amp;F515&amp;"_SIMUL FROM "&amp;E515&amp;")Y"</f>
        <v>(SELECT entty_id AS entty_id_SIMUL, GRP_EMSSNS_SCP1 AS GRP_EMSSNS_SCP1_SIMUL FROM BU_LOANTAPE_WORK.LT003_ENTTY_P3_NOV24)Y</v>
      </c>
      <c r="K515" s="42" t="str">
        <f>+UPPER("ON X."&amp;VLOOKUP(B515,'0. Instruções'!$C$27:$G$31,4,FALSE)&amp;"=Y."&amp;VLOOKUP(B515,'0. Instruções'!$C$27:$G$31,4,FALSE)&amp;"_SIMUL")</f>
        <v>ON X.ENTTY_ID=Y.ENTTY_ID_SIMUL</v>
      </c>
      <c r="L515" s="42" t="str">
        <f>+IF(C515="Coerência", +IF(LEFT(G515,5)="FLOAT","SELECT '"&amp;UPPER(B515)&amp;"' AS TABELA, '"&amp;UPPER(C515)&amp;"' AS TIPOLOGIA_TESTE,'"&amp;D515&amp;"' AS TABELA_LT,'"&amp;E515&amp;"' AS TABELA_SIMUL,'"&amp;F515&amp;"' AS CAMPO, "&amp;"'${ref_date}' AS REF_DATE, COUNT(*) AS NUM_REG, SUM(IF((ABS(COALESCE(X."&amp;F515&amp;",0)-COALESCE(Y."&amp;F515&amp;"_SIMUL,0))&gt;0.0000000001) OR (X."&amp;F515&amp;" IS NULL AND Y."&amp;F515&amp;"_SIMUL IS NOT NULL ) OR (X."&amp;F515&amp;" IS NOT NULL AND Y."&amp;F515&amp;"_SIMUL IS NULL),1,0)) AS NUM_REG_DIF,'"&amp;MAX('ID1&amp;5'!K:K)+1&amp;"' AS ID_EXEC, CURRENT_TIMESTAMP() AS TIME_EXEC FROM "&amp;I515&amp;" INNER JOIN "&amp;J515&amp;" "&amp;K515,"SELECT '"&amp;UPPER(B515)&amp;"' AS TABELA, '"&amp;UPPER(C515)&amp;"' AS TIPOLOGIA_TESTE,'"&amp;D515&amp;"' AS TABELA_LT,'"&amp;E515&amp;"' AS TABELA_SIMUL,'"&amp;F515&amp;"' AS CAMPO, "&amp;"'${ref_date}' AS REF_DATE, COUNT(*) AS NUM_REG, SUM(IF(COALESCE(CAST(X."&amp;F515&amp;" AS STRING),'')&lt;&gt;COALESCE(CAST(Y."&amp;F515&amp;"_SIMUL AS STRING),''),1,0)) AS NUM_REG_DIF,'"&amp;MAX('ID1&amp;5'!L:L)+1&amp;"' AS ID_EXEC, CURRENT_TIMESTAMP() AS TIME_EXEC FROM "&amp;I515&amp;" INNER JOIN "&amp;J515&amp;" "&amp;K515),
IF(C515="Validade",+IF(G515="Code List","SELECT '"&amp;UPPER(B515)&amp;"' AS TABELA, '"&amp;UPPER(C515)&amp;"' AS TIPOLOGIA_TESTE,'"&amp;D515&amp;"' AS TABELA_LT,'N/A' AS TABELA_SIMUL,'"&amp;F515&amp;"' AS CAMPO, "&amp;"'${ref_date}' AS REF_DATE, COUNT(*) AS NUM_REG, SUM(IF(TRIM(CAST(X."&amp;F515&amp;" AS STRING))='' OR TRIM(CAST(X."&amp;F515&amp;" AS STRING)) IS NULL OR CAST(X."&amp;F515&amp;" AS STRING) NOT "&amp;H515&amp;",1,0)) AS NUM_REG_DIF,'"&amp;MAX('ID1&amp;5'!K:K)+1&amp;"' AS ID_EXEC, CURRENT_TIMESTAMP() AS TIME_EXEC FROM "&amp;I515,"SELECT '"&amp;UPPER(B515)&amp;"' AS TABELA, '"&amp;UPPER(C515)&amp;"' AS TIPOLOGIA_TESTE,'"&amp;D515&amp;"' AS TABELA_LT,'N/A' AS TABELA_SIMUL,'"&amp;F515&amp;"' AS CAMPO, "&amp;"'${ref_date}' AS REF_DATE, COUNT(*) AS NUM_REG, SUM(IF(TRIM(CAST(X."&amp;F515&amp;" AS STRING))='' OR TRIM(CAST(X."&amp;F515&amp;" AS STRING)) IS NULL,1,0)) AS NUM_REG_DIF,'"&amp;MAX('ID1&amp;5'!K:K)+1&amp;"' AS ID_EXEC, CURRENT_TIMESTAMP() AS TIME_EXEC FROM "&amp;I515),
IF(C515="Caracteres Especiais",+"SELECT '"&amp;UPPER(B515)&amp;"' AS TABELA, '"&amp;UPPER(C515)&amp;"' AS TIPOLOGIA_TESTE,'"&amp;D515&amp;"' AS TABELA_LT,'N/A' AS TABELA_SIMUL,'"&amp;F515&amp;"' AS CAMPO, "&amp;"'${ref_date}' AS REF_DATE, COUNT(*) AS NUM_REG, SUM(IF(INSTR(CAST(X."&amp;F515&amp;" AS STRING),'#')&gt;0 OR INSTR(CAST(X."&amp;F515&amp;" AS STRING),'*')&gt;0 OR INSTR(CAST(X."&amp;F515&amp;" AS STRING),'`')&gt;0 OR INSTR(CAST(X."&amp;F515&amp;" AS STRING),'´')&gt;0 OR INSTR(CAST(X."&amp;F515&amp;" AS STRING),'{')&gt;0 OR INSTR(CAST(X."&amp;F515&amp;" AS STRING),'}')&gt;0 OR INSTR(CAST(X."&amp;F515&amp;" AS STRING),'[')&gt;0 OR INSTR(CAST(X."&amp;F515&amp;" AS STRING),'')&gt;0 OR INSTR(CAST(X."&amp;F515&amp;" AS STRING),']')&gt;0 OR INSTR(CAST(X."&amp;F515&amp;" AS STRING),'?')&gt;0 OR INSTR(CAST(X."&amp;F515&amp;" AS STRING),'!')&gt;0 OR INSTR(CAST(X."&amp;F515&amp;" AS STRING),'$')&gt;0 OR INSTR(CAST(X."&amp;F515&amp;" AS STRING),'%')&gt;0 OR INSTR(CAST(X."&amp;F515&amp;" AS STRING),'&amp;')&gt;0 OR INSTR(CAST(X."&amp;F515&amp;" AS STRING),'+')&gt;0,1,0)) AS NUM_REG_DIF,'"&amp;MAX('ID1&amp;5'!K:K)+1&amp;"' AS ID_EXEC, CURRENT_TIMESTAMP() AS TIME_EXEC FROM "&amp;I515,
IF(C515="Missings",+"SELECT '"&amp;UPPER(B515)&amp;"' AS TABELA, '"&amp;UPPER(C515)&amp;"' AS TIPOLOGIA_TESTE,'"&amp;D515&amp;"' AS TABELA_LT,'N/A' AS TABELA_SIMUL,'"&amp;F515&amp;"' AS CAMPO, "&amp;"'${ref_date}' AS REF_DATE, COUNT(*) AS NUM_REG, SUM(IF(TRIM(CAST(X."&amp;F515&amp;" AS STRING)) IN ('0000-00-00','0001-01-01','9999-12-31','MISS','00000','99999999999','99999999999.00','99999999999.000000'),1,0)) AS NUM_REG_DIF,'"&amp;MAX('ID1&amp;5'!K:K)+1&amp;"' AS ID_EXEC, CURRENT_TIMESTAMP() AS TIME_EXEC FROM "&amp;I515,
IF(C515="Not applicable",+"SELECT '"&amp;UPPER(B515)&amp;"' AS TABELA, '"&amp;UPPER(C515)&amp;"' AS TIPOLOGIA_TESTE,'"&amp;D515&amp;"' AS TABELA_LT,'N/A' AS TABELA_SIMUL,'"&amp;F515&amp;"' AS CAMPO, "&amp;"'${ref_date}' AS REF_DATE, COUNT(*) AS NUM_REG, SUM(IF(TRIM(CAST(X."&amp;F515&amp;" AS STRING)) IN ('N/A','11111111111','11111111111.00','11111111111.000000','1111-11-11'),1,0)) AS NUM_REG_DIF,'"&amp;MAX('ID1&amp;5'!K:K)+1&amp;"' AS ID_EXEC, CURRENT_TIMESTAMP() AS TIME_EXEC FROM "&amp;I515,
IF(C515="Valores extremos",+"SELECT '"&amp;UPPER(B515)&amp;"' AS TABELA, '"&amp;UPPER(C515)&amp;"' AS TIPOLOGIA_TESTE,'"&amp;D515&amp;"' AS TABELA_LT,'N/A' AS TABELA_SIMUL,'"&amp;F515&amp;"' AS CAMPO, "&amp;"'${ref_date}' AS REF_DATE, CAST(MIN("&amp;F515&amp;") AS STRING) AS VALOR_MIN, CAST(MAX("&amp;F515&amp;") AS STRING) AS VALOR_MAX,'"&amp;MAX('ID1&amp;5'!K:K)+1&amp;"' AS ID_EXEC, CURRENT_TIMESTAMP() AS TIME_EXEC FROM "&amp;MID(I515,1,LEN(I515)-2)&amp;" AND CAST("&amp;F515&amp;"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TABELA_SIMUL,'GRP_EMSSNS_SCP1' AS CAMPO, '${ref_date}' AS REF_DATE, CAST(MIN(GRP_EMSSNS_SCP1) AS STRING) AS VALOR_MIN, CAST(MAX(GRP_EMSSNS_SCP1) AS STRING) AS VALOR_MAX,'10' AS ID_EXEC, CURRENT_TIMESTAMP() AS TIME_EXEC FROM (SELECT entty_id, GRP_EMSSNS_SCP1 FROM BU_LOANTAPE_WORK.LT003_ENTITY WHERE ref_date='${ref_date}' AND nome_perimetro='Individual Corporativo' AND segmento='ESTR' AND ambito='PILAR3' AND CAST(GRP_EMSSNS_SCP1 AS STRING) NOT IN ('0000-00-00','0001-01-01','9999-12-31','MISS','00000','99999999999','99999999999.00','99999999999.000000','N/A','11111111111','11111111111.00','11111111111.000000','1111-11-11'))X</v>
      </c>
      <c r="M515" s="43" t="str">
        <f t="shared" si="8"/>
        <v>UNION ALL SELECT 'ENTITY' AS TABELA, 'VALORES EXTREMOS' AS TIPOLOGIA_TESTE,'BU_LOANTAPE_WORK.LT003_ENTITY' AS TABELA_LT,'N/A' AS TABELA_SIMUL,'GRP_EMSSNS_SCP1' AS CAMPO, '${ref_date}' AS REF_DATE, CAST(MIN(GRP_EMSSNS_SCP1) AS STRING) AS VALOR_MIN, CAST(MAX(GRP_EMSSNS_SCP1) AS STRING) AS VALOR_MAX,'10' AS ID_EXEC, CURRENT_TIMESTAMP() AS TIME_EXEC FROM (SELECT entty_id, GRP_EMSSNS_SCP1 FROM BU_LOANTAPE_WORK.LT003_ENTITY WHERE ref_date='${ref_date}' AND nome_perimetro='Individual Corporativo' AND segmento='ESTR' AND ambito='PILAR3' AND CAST(GRP_EMSSNS_SCP1 AS STRING) NOT IN ('0000-00-00','0001-01-01','9999-12-31','MISS','00000','99999999999','99999999999.00','99999999999.000000','N/A','11111111111','11111111111.00','11111111111.000000','1111-11-11'))X</v>
      </c>
      <c r="N515" s="45" t="s">
        <v>13</v>
      </c>
    </row>
    <row r="516" spans="2:14">
      <c r="B516" s="41" t="s">
        <v>23</v>
      </c>
      <c r="C516" s="41" t="s">
        <v>226</v>
      </c>
      <c r="D516" s="41" t="str">
        <f>+UPPER('0. Instruções'!$D$33&amp;"."&amp;VLOOKUP(B516,'0. Instruções'!$C$27:$D$31,2,FALSE))</f>
        <v>BU_LOANTAPE_WORK.LT003_ENTITY</v>
      </c>
      <c r="E516" s="41" t="str">
        <f>+UPPER('0. Instruções'!$D$34&amp;"."&amp;VLOOKUP(B516,'0. Instruções'!$C$27:$E$31,3,FALSE))</f>
        <v>BU_LOANTAPE_WORK.LT003_ENTTY_P3_NOV24</v>
      </c>
      <c r="F516" s="41" t="s">
        <v>132</v>
      </c>
      <c r="G516" s="41" t="s">
        <v>210</v>
      </c>
      <c r="H516" s="41"/>
      <c r="I516" s="41" t="str">
        <f>"(SELECT "&amp;VLOOKUP(B516,'0. Instruções'!$C$27:$G$31,4,FALSE)&amp;", "&amp;F516&amp;" FROM "&amp;D516&amp;" WHERE "&amp;'0. Instruções'!$D$40&amp;")X"</f>
        <v>(SELECT entty_id, GRP_EMSSNS_SCP2 FROM BU_LOANTAPE_WORK.LT003_ENTITY WHERE ref_date='${ref_date}' AND nome_perimetro='Individual Corporativo' AND segmento='ESTR' AND ambito='PILAR3')X</v>
      </c>
      <c r="J516" s="41" t="str">
        <f>"(SELECT "&amp;VLOOKUP(B516,'0. Instruções'!$C$27:$G$31,4,FALSE)&amp;" AS "&amp;VLOOKUP(B516,'0. Instruções'!$C$27:$G$31,4,FALSE)&amp;"_SIMUL, "&amp;F516&amp;" AS "&amp;F516&amp;"_SIMUL FROM "&amp;E516&amp;")Y"</f>
        <v>(SELECT entty_id AS entty_id_SIMUL, GRP_EMSSNS_SCP2 AS GRP_EMSSNS_SCP2_SIMUL FROM BU_LOANTAPE_WORK.LT003_ENTTY_P3_NOV24)Y</v>
      </c>
      <c r="K516" s="42" t="str">
        <f>+UPPER("ON X."&amp;VLOOKUP(B516,'0. Instruções'!$C$27:$G$31,4,FALSE)&amp;"=Y."&amp;VLOOKUP(B516,'0. Instruções'!$C$27:$G$31,4,FALSE)&amp;"_SIMUL")</f>
        <v>ON X.ENTTY_ID=Y.ENTTY_ID_SIMUL</v>
      </c>
      <c r="L516" s="42" t="str">
        <f>+IF(C516="Coerência", +IF(LEFT(G516,5)="FLOAT","SELECT '"&amp;UPPER(B516)&amp;"' AS TABELA, '"&amp;UPPER(C516)&amp;"' AS TIPOLOGIA_TESTE,'"&amp;D516&amp;"' AS TABELA_LT,'"&amp;E516&amp;"' AS TABELA_SIMUL,'"&amp;F516&amp;"' AS CAMPO, "&amp;"'${ref_date}' AS REF_DATE, COUNT(*) AS NUM_REG, SUM(IF((ABS(COALESCE(X."&amp;F516&amp;",0)-COALESCE(Y."&amp;F516&amp;"_SIMUL,0))&gt;0.0000000001) OR (X."&amp;F516&amp;" IS NULL AND Y."&amp;F516&amp;"_SIMUL IS NOT NULL ) OR (X."&amp;F516&amp;" IS NOT NULL AND Y."&amp;F516&amp;"_SIMUL IS NULL),1,0)) AS NUM_REG_DIF,'"&amp;MAX('ID1&amp;5'!K:K)+1&amp;"' AS ID_EXEC, CURRENT_TIMESTAMP() AS TIME_EXEC FROM "&amp;I516&amp;" INNER JOIN "&amp;J516&amp;" "&amp;K516,"SELECT '"&amp;UPPER(B516)&amp;"' AS TABELA, '"&amp;UPPER(C516)&amp;"' AS TIPOLOGIA_TESTE,'"&amp;D516&amp;"' AS TABELA_LT,'"&amp;E516&amp;"' AS TABELA_SIMUL,'"&amp;F516&amp;"' AS CAMPO, "&amp;"'${ref_date}' AS REF_DATE, COUNT(*) AS NUM_REG, SUM(IF(COALESCE(CAST(X."&amp;F516&amp;" AS STRING),'')&lt;&gt;COALESCE(CAST(Y."&amp;F516&amp;"_SIMUL AS STRING),''),1,0)) AS NUM_REG_DIF,'"&amp;MAX('ID1&amp;5'!L:L)+1&amp;"' AS ID_EXEC, CURRENT_TIMESTAMP() AS TIME_EXEC FROM "&amp;I516&amp;" INNER JOIN "&amp;J516&amp;" "&amp;K516),
IF(C516="Validade",+IF(G516="Code List","SELECT '"&amp;UPPER(B516)&amp;"' AS TABELA, '"&amp;UPPER(C516)&amp;"' AS TIPOLOGIA_TESTE,'"&amp;D516&amp;"' AS TABELA_LT,'N/A' AS TABELA_SIMUL,'"&amp;F516&amp;"' AS CAMPO, "&amp;"'${ref_date}' AS REF_DATE, COUNT(*) AS NUM_REG, SUM(IF(TRIM(CAST(X."&amp;F516&amp;" AS STRING))='' OR TRIM(CAST(X."&amp;F516&amp;" AS STRING)) IS NULL OR CAST(X."&amp;F516&amp;" AS STRING) NOT "&amp;H516&amp;",1,0)) AS NUM_REG_DIF,'"&amp;MAX('ID1&amp;5'!K:K)+1&amp;"' AS ID_EXEC, CURRENT_TIMESTAMP() AS TIME_EXEC FROM "&amp;I516,"SELECT '"&amp;UPPER(B516)&amp;"' AS TABELA, '"&amp;UPPER(C516)&amp;"' AS TIPOLOGIA_TESTE,'"&amp;D516&amp;"' AS TABELA_LT,'N/A' AS TABELA_SIMUL,'"&amp;F516&amp;"' AS CAMPO, "&amp;"'${ref_date}' AS REF_DATE, COUNT(*) AS NUM_REG, SUM(IF(TRIM(CAST(X."&amp;F516&amp;" AS STRING))='' OR TRIM(CAST(X."&amp;F516&amp;" AS STRING)) IS NULL,1,0)) AS NUM_REG_DIF,'"&amp;MAX('ID1&amp;5'!K:K)+1&amp;"' AS ID_EXEC, CURRENT_TIMESTAMP() AS TIME_EXEC FROM "&amp;I516),
IF(C516="Caracteres Especiais",+"SELECT '"&amp;UPPER(B516)&amp;"' AS TABELA, '"&amp;UPPER(C516)&amp;"' AS TIPOLOGIA_TESTE,'"&amp;D516&amp;"' AS TABELA_LT,'N/A' AS TABELA_SIMUL,'"&amp;F516&amp;"' AS CAMPO, "&amp;"'${ref_date}' AS REF_DATE, COUNT(*) AS NUM_REG, SUM(IF(INSTR(CAST(X."&amp;F516&amp;" AS STRING),'#')&gt;0 OR INSTR(CAST(X."&amp;F516&amp;" AS STRING),'*')&gt;0 OR INSTR(CAST(X."&amp;F516&amp;" AS STRING),'`')&gt;0 OR INSTR(CAST(X."&amp;F516&amp;" AS STRING),'´')&gt;0 OR INSTR(CAST(X."&amp;F516&amp;" AS STRING),'{')&gt;0 OR INSTR(CAST(X."&amp;F516&amp;" AS STRING),'}')&gt;0 OR INSTR(CAST(X."&amp;F516&amp;" AS STRING),'[')&gt;0 OR INSTR(CAST(X."&amp;F516&amp;" AS STRING),'')&gt;0 OR INSTR(CAST(X."&amp;F516&amp;" AS STRING),']')&gt;0 OR INSTR(CAST(X."&amp;F516&amp;" AS STRING),'?')&gt;0 OR INSTR(CAST(X."&amp;F516&amp;" AS STRING),'!')&gt;0 OR INSTR(CAST(X."&amp;F516&amp;" AS STRING),'$')&gt;0 OR INSTR(CAST(X."&amp;F516&amp;" AS STRING),'%')&gt;0 OR INSTR(CAST(X."&amp;F516&amp;" AS STRING),'&amp;')&gt;0 OR INSTR(CAST(X."&amp;F516&amp;" AS STRING),'+')&gt;0,1,0)) AS NUM_REG_DIF,'"&amp;MAX('ID1&amp;5'!K:K)+1&amp;"' AS ID_EXEC, CURRENT_TIMESTAMP() AS TIME_EXEC FROM "&amp;I516,
IF(C516="Missings",+"SELECT '"&amp;UPPER(B516)&amp;"' AS TABELA, '"&amp;UPPER(C516)&amp;"' AS TIPOLOGIA_TESTE,'"&amp;D516&amp;"' AS TABELA_LT,'N/A' AS TABELA_SIMUL,'"&amp;F516&amp;"' AS CAMPO, "&amp;"'${ref_date}' AS REF_DATE, COUNT(*) AS NUM_REG, SUM(IF(TRIM(CAST(X."&amp;F516&amp;" AS STRING)) IN ('0000-00-00','0001-01-01','9999-12-31','MISS','00000','99999999999','99999999999.00','99999999999.000000'),1,0)) AS NUM_REG_DIF,'"&amp;MAX('ID1&amp;5'!K:K)+1&amp;"' AS ID_EXEC, CURRENT_TIMESTAMP() AS TIME_EXEC FROM "&amp;I516,
IF(C516="Not applicable",+"SELECT '"&amp;UPPER(B516)&amp;"' AS TABELA, '"&amp;UPPER(C516)&amp;"' AS TIPOLOGIA_TESTE,'"&amp;D516&amp;"' AS TABELA_LT,'N/A' AS TABELA_SIMUL,'"&amp;F516&amp;"' AS CAMPO, "&amp;"'${ref_date}' AS REF_DATE, COUNT(*) AS NUM_REG, SUM(IF(TRIM(CAST(X."&amp;F516&amp;" AS STRING)) IN ('N/A','11111111111','11111111111.00','11111111111.000000','1111-11-11'),1,0)) AS NUM_REG_DIF,'"&amp;MAX('ID1&amp;5'!K:K)+1&amp;"' AS ID_EXEC, CURRENT_TIMESTAMP() AS TIME_EXEC FROM "&amp;I516,
IF(C516="Valores extremos",+"SELECT '"&amp;UPPER(B516)&amp;"' AS TABELA, '"&amp;UPPER(C516)&amp;"' AS TIPOLOGIA_TESTE,'"&amp;D516&amp;"' AS TABELA_LT,'N/A' AS TABELA_SIMUL,'"&amp;F516&amp;"' AS CAMPO, "&amp;"'${ref_date}' AS REF_DATE, CAST(MIN("&amp;F516&amp;") AS STRING) AS VALOR_MIN, CAST(MAX("&amp;F516&amp;") AS STRING) AS VALOR_MAX,'"&amp;MAX('ID1&amp;5'!K:K)+1&amp;"' AS ID_EXEC, CURRENT_TIMESTAMP() AS TIME_EXEC FROM "&amp;MID(I516,1,LEN(I516)-2)&amp;" AND CAST("&amp;F516&amp;"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TABELA_SIMUL,'GRP_EMSSNS_SCP2' AS CAMPO, '${ref_date}' AS REF_DATE, CAST(MIN(GRP_EMSSNS_SCP2) AS STRING) AS VALOR_MIN, CAST(MAX(GRP_EMSSNS_SCP2) AS STRING) AS VALOR_MAX,'10' AS ID_EXEC, CURRENT_TIMESTAMP() AS TIME_EXEC FROM (SELECT entty_id, GRP_EMSSNS_SCP2 FROM BU_LOANTAPE_WORK.LT003_ENTITY WHERE ref_date='${ref_date}' AND nome_perimetro='Individual Corporativo' AND segmento='ESTR' AND ambito='PILAR3' AND CAST(GRP_EMSSNS_SCP2 AS STRING) NOT IN ('0000-00-00','0001-01-01','9999-12-31','MISS','00000','99999999999','99999999999.00','99999999999.000000','N/A','11111111111','11111111111.00','11111111111.000000','1111-11-11'))X</v>
      </c>
      <c r="M516" s="43" t="str">
        <f t="shared" si="8"/>
        <v>UNION ALL SELECT 'ENTITY' AS TABELA, 'VALORES EXTREMOS' AS TIPOLOGIA_TESTE,'BU_LOANTAPE_WORK.LT003_ENTITY' AS TABELA_LT,'N/A' AS TABELA_SIMUL,'GRP_EMSSNS_SCP2' AS CAMPO, '${ref_date}' AS REF_DATE, CAST(MIN(GRP_EMSSNS_SCP2) AS STRING) AS VALOR_MIN, CAST(MAX(GRP_EMSSNS_SCP2) AS STRING) AS VALOR_MAX,'10' AS ID_EXEC, CURRENT_TIMESTAMP() AS TIME_EXEC FROM (SELECT entty_id, GRP_EMSSNS_SCP2 FROM BU_LOANTAPE_WORK.LT003_ENTITY WHERE ref_date='${ref_date}' AND nome_perimetro='Individual Corporativo' AND segmento='ESTR' AND ambito='PILAR3' AND CAST(GRP_EMSSNS_SCP2 AS STRING) NOT IN ('0000-00-00','0001-01-01','9999-12-31','MISS','00000','99999999999','99999999999.00','99999999999.000000','N/A','11111111111','11111111111.00','11111111111.000000','1111-11-11'))X</v>
      </c>
      <c r="N516" s="45" t="s">
        <v>13</v>
      </c>
    </row>
    <row r="517" spans="2:14">
      <c r="B517" s="41" t="s">
        <v>23</v>
      </c>
      <c r="C517" s="41" t="s">
        <v>226</v>
      </c>
      <c r="D517" s="41" t="str">
        <f>+UPPER('0. Instruções'!$D$33&amp;"."&amp;VLOOKUP(B517,'0. Instruções'!$C$27:$D$31,2,FALSE))</f>
        <v>BU_LOANTAPE_WORK.LT003_ENTITY</v>
      </c>
      <c r="E517" s="41" t="str">
        <f>+UPPER('0. Instruções'!$D$34&amp;"."&amp;VLOOKUP(B517,'0. Instruções'!$C$27:$E$31,3,FALSE))</f>
        <v>BU_LOANTAPE_WORK.LT003_ENTTY_P3_NOV24</v>
      </c>
      <c r="F517" s="41" t="s">
        <v>133</v>
      </c>
      <c r="G517" s="41" t="s">
        <v>210</v>
      </c>
      <c r="H517" s="41"/>
      <c r="I517" s="41" t="str">
        <f>"(SELECT "&amp;VLOOKUP(B517,'0. Instruções'!$C$27:$G$31,4,FALSE)&amp;", "&amp;F517&amp;" FROM "&amp;D517&amp;" WHERE "&amp;'0. Instruções'!$D$40&amp;")X"</f>
        <v>(SELECT entty_id, GRP_EMSSNS_SCP3 FROM BU_LOANTAPE_WORK.LT003_ENTITY WHERE ref_date='${ref_date}' AND nome_perimetro='Individual Corporativo' AND segmento='ESTR' AND ambito='PILAR3')X</v>
      </c>
      <c r="J517" s="41" t="str">
        <f>"(SELECT "&amp;VLOOKUP(B517,'0. Instruções'!$C$27:$G$31,4,FALSE)&amp;" AS "&amp;VLOOKUP(B517,'0. Instruções'!$C$27:$G$31,4,FALSE)&amp;"_SIMUL, "&amp;F517&amp;" AS "&amp;F517&amp;"_SIMUL FROM "&amp;E517&amp;")Y"</f>
        <v>(SELECT entty_id AS entty_id_SIMUL, GRP_EMSSNS_SCP3 AS GRP_EMSSNS_SCP3_SIMUL FROM BU_LOANTAPE_WORK.LT003_ENTTY_P3_NOV24)Y</v>
      </c>
      <c r="K517" s="42" t="str">
        <f>+UPPER("ON X."&amp;VLOOKUP(B517,'0. Instruções'!$C$27:$G$31,4,FALSE)&amp;"=Y."&amp;VLOOKUP(B517,'0. Instruções'!$C$27:$G$31,4,FALSE)&amp;"_SIMUL")</f>
        <v>ON X.ENTTY_ID=Y.ENTTY_ID_SIMUL</v>
      </c>
      <c r="L517" s="42" t="str">
        <f>+IF(C517="Coerência", +IF(LEFT(G517,5)="FLOAT","SELECT '"&amp;UPPER(B517)&amp;"' AS TABELA, '"&amp;UPPER(C517)&amp;"' AS TIPOLOGIA_TESTE,'"&amp;D517&amp;"' AS TABELA_LT,'"&amp;E517&amp;"' AS TABELA_SIMUL,'"&amp;F517&amp;"' AS CAMPO, "&amp;"'${ref_date}' AS REF_DATE, COUNT(*) AS NUM_REG, SUM(IF((ABS(COALESCE(X."&amp;F517&amp;",0)-COALESCE(Y."&amp;F517&amp;"_SIMUL,0))&gt;0.0000000001) OR (X."&amp;F517&amp;" IS NULL AND Y."&amp;F517&amp;"_SIMUL IS NOT NULL ) OR (X."&amp;F517&amp;" IS NOT NULL AND Y."&amp;F517&amp;"_SIMUL IS NULL),1,0)) AS NUM_REG_DIF,'"&amp;MAX('ID1&amp;5'!K:K)+1&amp;"' AS ID_EXEC, CURRENT_TIMESTAMP() AS TIME_EXEC FROM "&amp;I517&amp;" INNER JOIN "&amp;J517&amp;" "&amp;K517,"SELECT '"&amp;UPPER(B517)&amp;"' AS TABELA, '"&amp;UPPER(C517)&amp;"' AS TIPOLOGIA_TESTE,'"&amp;D517&amp;"' AS TABELA_LT,'"&amp;E517&amp;"' AS TABELA_SIMUL,'"&amp;F517&amp;"' AS CAMPO, "&amp;"'${ref_date}' AS REF_DATE, COUNT(*) AS NUM_REG, SUM(IF(COALESCE(CAST(X."&amp;F517&amp;" AS STRING),'')&lt;&gt;COALESCE(CAST(Y."&amp;F517&amp;"_SIMUL AS STRING),''),1,0)) AS NUM_REG_DIF,'"&amp;MAX('ID1&amp;5'!L:L)+1&amp;"' AS ID_EXEC, CURRENT_TIMESTAMP() AS TIME_EXEC FROM "&amp;I517&amp;" INNER JOIN "&amp;J517&amp;" "&amp;K517),
IF(C517="Validade",+IF(G517="Code List","SELECT '"&amp;UPPER(B517)&amp;"' AS TABELA, '"&amp;UPPER(C517)&amp;"' AS TIPOLOGIA_TESTE,'"&amp;D517&amp;"' AS TABELA_LT,'N/A' AS TABELA_SIMUL,'"&amp;F517&amp;"' AS CAMPO, "&amp;"'${ref_date}' AS REF_DATE, COUNT(*) AS NUM_REG, SUM(IF(TRIM(CAST(X."&amp;F517&amp;" AS STRING))='' OR TRIM(CAST(X."&amp;F517&amp;" AS STRING)) IS NULL OR CAST(X."&amp;F517&amp;" AS STRING) NOT "&amp;H517&amp;",1,0)) AS NUM_REG_DIF,'"&amp;MAX('ID1&amp;5'!K:K)+1&amp;"' AS ID_EXEC, CURRENT_TIMESTAMP() AS TIME_EXEC FROM "&amp;I517,"SELECT '"&amp;UPPER(B517)&amp;"' AS TABELA, '"&amp;UPPER(C517)&amp;"' AS TIPOLOGIA_TESTE,'"&amp;D517&amp;"' AS TABELA_LT,'N/A' AS TABELA_SIMUL,'"&amp;F517&amp;"' AS CAMPO, "&amp;"'${ref_date}' AS REF_DATE, COUNT(*) AS NUM_REG, SUM(IF(TRIM(CAST(X."&amp;F517&amp;" AS STRING))='' OR TRIM(CAST(X."&amp;F517&amp;" AS STRING)) IS NULL,1,0)) AS NUM_REG_DIF,'"&amp;MAX('ID1&amp;5'!K:K)+1&amp;"' AS ID_EXEC, CURRENT_TIMESTAMP() AS TIME_EXEC FROM "&amp;I517),
IF(C517="Caracteres Especiais",+"SELECT '"&amp;UPPER(B517)&amp;"' AS TABELA, '"&amp;UPPER(C517)&amp;"' AS TIPOLOGIA_TESTE,'"&amp;D517&amp;"' AS TABELA_LT,'N/A' AS TABELA_SIMUL,'"&amp;F517&amp;"' AS CAMPO, "&amp;"'${ref_date}' AS REF_DATE, COUNT(*) AS NUM_REG, SUM(IF(INSTR(CAST(X."&amp;F517&amp;" AS STRING),'#')&gt;0 OR INSTR(CAST(X."&amp;F517&amp;" AS STRING),'*')&gt;0 OR INSTR(CAST(X."&amp;F517&amp;" AS STRING),'`')&gt;0 OR INSTR(CAST(X."&amp;F517&amp;" AS STRING),'´')&gt;0 OR INSTR(CAST(X."&amp;F517&amp;" AS STRING),'{')&gt;0 OR INSTR(CAST(X."&amp;F517&amp;" AS STRING),'}')&gt;0 OR INSTR(CAST(X."&amp;F517&amp;" AS STRING),'[')&gt;0 OR INSTR(CAST(X."&amp;F517&amp;" AS STRING),'')&gt;0 OR INSTR(CAST(X."&amp;F517&amp;" AS STRING),']')&gt;0 OR INSTR(CAST(X."&amp;F517&amp;" AS STRING),'?')&gt;0 OR INSTR(CAST(X."&amp;F517&amp;" AS STRING),'!')&gt;0 OR INSTR(CAST(X."&amp;F517&amp;" AS STRING),'$')&gt;0 OR INSTR(CAST(X."&amp;F517&amp;" AS STRING),'%')&gt;0 OR INSTR(CAST(X."&amp;F517&amp;" AS STRING),'&amp;')&gt;0 OR INSTR(CAST(X."&amp;F517&amp;" AS STRING),'+')&gt;0,1,0)) AS NUM_REG_DIF,'"&amp;MAX('ID1&amp;5'!K:K)+1&amp;"' AS ID_EXEC, CURRENT_TIMESTAMP() AS TIME_EXEC FROM "&amp;I517,
IF(C517="Missings",+"SELECT '"&amp;UPPER(B517)&amp;"' AS TABELA, '"&amp;UPPER(C517)&amp;"' AS TIPOLOGIA_TESTE,'"&amp;D517&amp;"' AS TABELA_LT,'N/A' AS TABELA_SIMUL,'"&amp;F517&amp;"' AS CAMPO, "&amp;"'${ref_date}' AS REF_DATE, COUNT(*) AS NUM_REG, SUM(IF(TRIM(CAST(X."&amp;F517&amp;" AS STRING)) IN ('0000-00-00','0001-01-01','9999-12-31','MISS','00000','99999999999','99999999999.00','99999999999.000000'),1,0)) AS NUM_REG_DIF,'"&amp;MAX('ID1&amp;5'!K:K)+1&amp;"' AS ID_EXEC, CURRENT_TIMESTAMP() AS TIME_EXEC FROM "&amp;I517,
IF(C517="Not applicable",+"SELECT '"&amp;UPPER(B517)&amp;"' AS TABELA, '"&amp;UPPER(C517)&amp;"' AS TIPOLOGIA_TESTE,'"&amp;D517&amp;"' AS TABELA_LT,'N/A' AS TABELA_SIMUL,'"&amp;F517&amp;"' AS CAMPO, "&amp;"'${ref_date}' AS REF_DATE, COUNT(*) AS NUM_REG, SUM(IF(TRIM(CAST(X."&amp;F517&amp;" AS STRING)) IN ('N/A','11111111111','11111111111.00','11111111111.000000','1111-11-11'),1,0)) AS NUM_REG_DIF,'"&amp;MAX('ID1&amp;5'!K:K)+1&amp;"' AS ID_EXEC, CURRENT_TIMESTAMP() AS TIME_EXEC FROM "&amp;I517,
IF(C517="Valores extremos",+"SELECT '"&amp;UPPER(B517)&amp;"' AS TABELA, '"&amp;UPPER(C517)&amp;"' AS TIPOLOGIA_TESTE,'"&amp;D517&amp;"' AS TABELA_LT,'N/A' AS TABELA_SIMUL,'"&amp;F517&amp;"' AS CAMPO, "&amp;"'${ref_date}' AS REF_DATE, CAST(MIN("&amp;F517&amp;") AS STRING) AS VALOR_MIN, CAST(MAX("&amp;F517&amp;") AS STRING) AS VALOR_MAX,'"&amp;MAX('ID1&amp;5'!K:K)+1&amp;"' AS ID_EXEC, CURRENT_TIMESTAMP() AS TIME_EXEC FROM "&amp;MID(I517,1,LEN(I517)-2)&amp;" AND CAST("&amp;F517&amp;"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TABELA_SIMUL,'GRP_EMSSNS_SCP3' AS CAMPO, '${ref_date}' AS REF_DATE, CAST(MIN(GRP_EMSSNS_SCP3) AS STRING) AS VALOR_MIN, CAST(MAX(GRP_EMSSNS_SCP3) AS STRING) AS VALOR_MAX,'10' AS ID_EXEC, CURRENT_TIMESTAMP() AS TIME_EXEC FROM (SELECT entty_id, GRP_EMSSNS_SCP3 FROM BU_LOANTAPE_WORK.LT003_ENTITY WHERE ref_date='${ref_date}' AND nome_perimetro='Individual Corporativo' AND segmento='ESTR' AND ambito='PILAR3' AND CAST(GRP_EMSSNS_SCP3 AS STRING) NOT IN ('0000-00-00','0001-01-01','9999-12-31','MISS','00000','99999999999','99999999999.00','99999999999.000000','N/A','11111111111','11111111111.00','11111111111.000000','1111-11-11'))X</v>
      </c>
      <c r="M517" s="43" t="str">
        <f t="shared" si="8"/>
        <v>UNION ALL SELECT 'ENTITY' AS TABELA, 'VALORES EXTREMOS' AS TIPOLOGIA_TESTE,'BU_LOANTAPE_WORK.LT003_ENTITY' AS TABELA_LT,'N/A' AS TABELA_SIMUL,'GRP_EMSSNS_SCP3' AS CAMPO, '${ref_date}' AS REF_DATE, CAST(MIN(GRP_EMSSNS_SCP3) AS STRING) AS VALOR_MIN, CAST(MAX(GRP_EMSSNS_SCP3) AS STRING) AS VALOR_MAX,'10' AS ID_EXEC, CURRENT_TIMESTAMP() AS TIME_EXEC FROM (SELECT entty_id, GRP_EMSSNS_SCP3 FROM BU_LOANTAPE_WORK.LT003_ENTITY WHERE ref_date='${ref_date}' AND nome_perimetro='Individual Corporativo' AND segmento='ESTR' AND ambito='PILAR3' AND CAST(GRP_EMSSNS_SCP3 AS STRING) NOT IN ('0000-00-00','0001-01-01','9999-12-31','MISS','00000','99999999999','99999999999.00','99999999999.000000','N/A','11111111111','11111111111.00','11111111111.000000','1111-11-11'))X</v>
      </c>
      <c r="N517" s="45" t="s">
        <v>13</v>
      </c>
    </row>
    <row r="518" spans="2:14">
      <c r="B518" s="41" t="s">
        <v>23</v>
      </c>
      <c r="C518" s="41" t="s">
        <v>226</v>
      </c>
      <c r="D518" s="41" t="str">
        <f>+UPPER('0. Instruções'!$D$33&amp;"."&amp;VLOOKUP(B518,'0. Instruções'!$C$27:$D$31,2,FALSE))</f>
        <v>BU_LOANTAPE_WORK.LT003_ENTITY</v>
      </c>
      <c r="E518" s="41" t="str">
        <f>+UPPER('0. Instruções'!$D$34&amp;"."&amp;VLOOKUP(B518,'0. Instruções'!$C$27:$E$31,3,FALSE))</f>
        <v>BU_LOANTAPE_WORK.LT003_ENTTY_P3_NOV24</v>
      </c>
      <c r="F518" s="41" t="s">
        <v>181</v>
      </c>
      <c r="G518" s="41" t="s">
        <v>13</v>
      </c>
      <c r="H518" s="41"/>
      <c r="I518" s="41" t="str">
        <f>"(SELECT "&amp;VLOOKUP(B518,'0. Instruções'!$C$27:$G$31,4,FALSE)&amp;", "&amp;F518&amp;" FROM "&amp;D518&amp;" WHERE "&amp;'0. Instruções'!$D$40&amp;")X"</f>
        <v>(SELECT entty_id, CNTRY FROM BU_LOANTAPE_WORK.LT003_ENTITY WHERE ref_date='${ref_date}' AND nome_perimetro='Individual Corporativo' AND segmento='ESTR' AND ambito='PILAR3')X</v>
      </c>
      <c r="J518" s="41" t="str">
        <f>"(SELECT "&amp;VLOOKUP(B518,'0. Instruções'!$C$27:$G$31,4,FALSE)&amp;" AS "&amp;VLOOKUP(B518,'0. Instruções'!$C$27:$G$31,4,FALSE)&amp;"_SIMUL, "&amp;F518&amp;" AS "&amp;F518&amp;"_SIMUL FROM "&amp;E518&amp;")Y"</f>
        <v>(SELECT entty_id AS entty_id_SIMUL, CNTRY AS CNTRY_SIMUL FROM BU_LOANTAPE_WORK.LT003_ENTTY_P3_NOV24)Y</v>
      </c>
      <c r="K518" s="42" t="str">
        <f>+UPPER("ON X."&amp;VLOOKUP(B518,'0. Instruções'!$C$27:$G$31,4,FALSE)&amp;"=Y."&amp;VLOOKUP(B518,'0. Instruções'!$C$27:$G$31,4,FALSE)&amp;"_SIMUL")</f>
        <v>ON X.ENTTY_ID=Y.ENTTY_ID_SIMUL</v>
      </c>
      <c r="L518" s="42" t="str">
        <f>+IF(C518="Coerência", +IF(LEFT(G518,5)="FLOAT","SELECT '"&amp;UPPER(B518)&amp;"' AS TABELA, '"&amp;UPPER(C518)&amp;"' AS TIPOLOGIA_TESTE,'"&amp;D518&amp;"' AS TABELA_LT,'"&amp;E518&amp;"' AS TABELA_SIMUL,'"&amp;F518&amp;"' AS CAMPO, "&amp;"'${ref_date}' AS REF_DATE, COUNT(*) AS NUM_REG, SUM(IF((ABS(COALESCE(X."&amp;F518&amp;",0)-COALESCE(Y."&amp;F518&amp;"_SIMUL,0))&gt;0.0000000001) OR (X."&amp;F518&amp;" IS NULL AND Y."&amp;F518&amp;"_SIMUL IS NOT NULL ) OR (X."&amp;F518&amp;" IS NOT NULL AND Y."&amp;F518&amp;"_SIMUL IS NULL),1,0)) AS NUM_REG_DIF,'"&amp;MAX('ID1&amp;5'!K:K)+1&amp;"' AS ID_EXEC, CURRENT_TIMESTAMP() AS TIME_EXEC FROM "&amp;I518&amp;" INNER JOIN "&amp;J518&amp;" "&amp;K518,"SELECT '"&amp;UPPER(B518)&amp;"' AS TABELA, '"&amp;UPPER(C518)&amp;"' AS TIPOLOGIA_TESTE,'"&amp;D518&amp;"' AS TABELA_LT,'"&amp;E518&amp;"' AS TABELA_SIMUL,'"&amp;F518&amp;"' AS CAMPO, "&amp;"'${ref_date}' AS REF_DATE, COUNT(*) AS NUM_REG, SUM(IF(COALESCE(CAST(X."&amp;F518&amp;" AS STRING),'')&lt;&gt;COALESCE(CAST(Y."&amp;F518&amp;"_SIMUL AS STRING),''),1,0)) AS NUM_REG_DIF,'"&amp;MAX('ID1&amp;5'!L:L)+1&amp;"' AS ID_EXEC, CURRENT_TIMESTAMP() AS TIME_EXEC FROM "&amp;I518&amp;" INNER JOIN "&amp;J518&amp;" "&amp;K518),
IF(C518="Validade",+IF(G518="Code List","SELECT '"&amp;UPPER(B518)&amp;"' AS TABELA, '"&amp;UPPER(C518)&amp;"' AS TIPOLOGIA_TESTE,'"&amp;D518&amp;"' AS TABELA_LT,'N/A' AS TABELA_SIMUL,'"&amp;F518&amp;"' AS CAMPO, "&amp;"'${ref_date}' AS REF_DATE, COUNT(*) AS NUM_REG, SUM(IF(TRIM(CAST(X."&amp;F518&amp;" AS STRING))='' OR TRIM(CAST(X."&amp;F518&amp;" AS STRING)) IS NULL OR CAST(X."&amp;F518&amp;" AS STRING) NOT "&amp;H518&amp;",1,0)) AS NUM_REG_DIF,'"&amp;MAX('ID1&amp;5'!K:K)+1&amp;"' AS ID_EXEC, CURRENT_TIMESTAMP() AS TIME_EXEC FROM "&amp;I518,"SELECT '"&amp;UPPER(B518)&amp;"' AS TABELA, '"&amp;UPPER(C518)&amp;"' AS TIPOLOGIA_TESTE,'"&amp;D518&amp;"' AS TABELA_LT,'N/A' AS TABELA_SIMUL,'"&amp;F518&amp;"' AS CAMPO, "&amp;"'${ref_date}' AS REF_DATE, COUNT(*) AS NUM_REG, SUM(IF(TRIM(CAST(X."&amp;F518&amp;" AS STRING))='' OR TRIM(CAST(X."&amp;F518&amp;" AS STRING)) IS NULL,1,0)) AS NUM_REG_DIF,'"&amp;MAX('ID1&amp;5'!K:K)+1&amp;"' AS ID_EXEC, CURRENT_TIMESTAMP() AS TIME_EXEC FROM "&amp;I518),
IF(C518="Caracteres Especiais",+"SELECT '"&amp;UPPER(B518)&amp;"' AS TABELA, '"&amp;UPPER(C518)&amp;"' AS TIPOLOGIA_TESTE,'"&amp;D518&amp;"' AS TABELA_LT,'N/A' AS TABELA_SIMUL,'"&amp;F518&amp;"' AS CAMPO, "&amp;"'${ref_date}' AS REF_DATE, COUNT(*) AS NUM_REG, SUM(IF(INSTR(CAST(X."&amp;F518&amp;" AS STRING),'#')&gt;0 OR INSTR(CAST(X."&amp;F518&amp;" AS STRING),'*')&gt;0 OR INSTR(CAST(X."&amp;F518&amp;" AS STRING),'`')&gt;0 OR INSTR(CAST(X."&amp;F518&amp;" AS STRING),'´')&gt;0 OR INSTR(CAST(X."&amp;F518&amp;" AS STRING),'{')&gt;0 OR INSTR(CAST(X."&amp;F518&amp;" AS STRING),'}')&gt;0 OR INSTR(CAST(X."&amp;F518&amp;" AS STRING),'[')&gt;0 OR INSTR(CAST(X."&amp;F518&amp;" AS STRING),'')&gt;0 OR INSTR(CAST(X."&amp;F518&amp;" AS STRING),']')&gt;0 OR INSTR(CAST(X."&amp;F518&amp;" AS STRING),'?')&gt;0 OR INSTR(CAST(X."&amp;F518&amp;" AS STRING),'!')&gt;0 OR INSTR(CAST(X."&amp;F518&amp;" AS STRING),'$')&gt;0 OR INSTR(CAST(X."&amp;F518&amp;" AS STRING),'%')&gt;0 OR INSTR(CAST(X."&amp;F518&amp;" AS STRING),'&amp;')&gt;0 OR INSTR(CAST(X."&amp;F518&amp;" AS STRING),'+')&gt;0,1,0)) AS NUM_REG_DIF,'"&amp;MAX('ID1&amp;5'!K:K)+1&amp;"' AS ID_EXEC, CURRENT_TIMESTAMP() AS TIME_EXEC FROM "&amp;I518,
IF(C518="Missings",+"SELECT '"&amp;UPPER(B518)&amp;"' AS TABELA, '"&amp;UPPER(C518)&amp;"' AS TIPOLOGIA_TESTE,'"&amp;D518&amp;"' AS TABELA_LT,'N/A' AS TABELA_SIMUL,'"&amp;F518&amp;"' AS CAMPO, "&amp;"'${ref_date}' AS REF_DATE, COUNT(*) AS NUM_REG, SUM(IF(TRIM(CAST(X."&amp;F518&amp;" AS STRING)) IN ('0000-00-00','0001-01-01','9999-12-31','MISS','00000','99999999999','99999999999.00','99999999999.000000'),1,0)) AS NUM_REG_DIF,'"&amp;MAX('ID1&amp;5'!K:K)+1&amp;"' AS ID_EXEC, CURRENT_TIMESTAMP() AS TIME_EXEC FROM "&amp;I518,
IF(C518="Not applicable",+"SELECT '"&amp;UPPER(B518)&amp;"' AS TABELA, '"&amp;UPPER(C518)&amp;"' AS TIPOLOGIA_TESTE,'"&amp;D518&amp;"' AS TABELA_LT,'N/A' AS TABELA_SIMUL,'"&amp;F518&amp;"' AS CAMPO, "&amp;"'${ref_date}' AS REF_DATE, COUNT(*) AS NUM_REG, SUM(IF(TRIM(CAST(X."&amp;F518&amp;" AS STRING)) IN ('N/A','11111111111','11111111111.00','11111111111.000000','1111-11-11'),1,0)) AS NUM_REG_DIF,'"&amp;MAX('ID1&amp;5'!K:K)+1&amp;"' AS ID_EXEC, CURRENT_TIMESTAMP() AS TIME_EXEC FROM "&amp;I518,
IF(C518="Valores extremos",+"SELECT '"&amp;UPPER(B518)&amp;"' AS TABELA, '"&amp;UPPER(C518)&amp;"' AS TIPOLOGIA_TESTE,'"&amp;D518&amp;"' AS TABELA_LT,'N/A' AS TABELA_SIMUL,'"&amp;F518&amp;"' AS CAMPO, "&amp;"'${ref_date}' AS REF_DATE, CAST(MIN("&amp;F518&amp;") AS STRING) AS VALOR_MIN, CAST(MAX("&amp;F518&amp;") AS STRING) AS VALOR_MAX,'"&amp;MAX('ID1&amp;5'!K:K)+1&amp;"' AS ID_EXEC, CURRENT_TIMESTAMP() AS TIME_EXEC FROM "&amp;MID(I518,1,LEN(I518)-2)&amp;" AND CAST("&amp;F518&amp;"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TABELA_SIMUL,'CNTRY' AS CAMPO, '${ref_date}' AS REF_DATE, CAST(MIN(CNTRY) AS STRING) AS VALOR_MIN, CAST(MAX(CNTRY) AS STRING) AS VALOR_MAX,'10' AS ID_EXEC, CURRENT_TIMESTAMP() AS TIME_EXEC FROM (SELECT entty_id, CNTRY FROM BU_LOANTAPE_WORK.LT003_ENTITY WHERE ref_date='${ref_date}' AND nome_perimetro='Individual Corporativo' AND segmento='ESTR' AND ambito='PILAR3' AND CAST(CNTRY AS STRING) NOT IN ('0000-00-00','0001-01-01','9999-12-31','MISS','00000','99999999999','99999999999.00','99999999999.000000','N/A','11111111111','11111111111.00','11111111111.000000','1111-11-11'))X</v>
      </c>
      <c r="M518" s="43" t="str">
        <f t="shared" si="8"/>
        <v>UNION ALL SELECT 'ENTITY' AS TABELA, 'VALORES EXTREMOS' AS TIPOLOGIA_TESTE,'BU_LOANTAPE_WORK.LT003_ENTITY' AS TABELA_LT,'N/A' AS TABELA_SIMUL,'CNTRY' AS CAMPO, '${ref_date}' AS REF_DATE, CAST(MIN(CNTRY) AS STRING) AS VALOR_MIN, CAST(MAX(CNTRY) AS STRING) AS VALOR_MAX,'10' AS ID_EXEC, CURRENT_TIMESTAMP() AS TIME_EXEC FROM (SELECT entty_id, CNTRY FROM BU_LOANTAPE_WORK.LT003_ENTITY WHERE ref_date='${ref_date}' AND nome_perimetro='Individual Corporativo' AND segmento='ESTR' AND ambito='PILAR3' AND CAST(CNTRY AS STRING) NOT IN ('0000-00-00','0001-01-01','9999-12-31','MISS','00000','99999999999','99999999999.00','99999999999.000000','N/A','11111111111','11111111111.00','11111111111.000000','1111-11-11'))X</v>
      </c>
      <c r="N518" s="45" t="s">
        <v>13</v>
      </c>
    </row>
    <row r="519" spans="2:14">
      <c r="B519" s="41" t="s">
        <v>23</v>
      </c>
      <c r="C519" s="41" t="s">
        <v>226</v>
      </c>
      <c r="D519" s="41" t="str">
        <f>+UPPER('0. Instruções'!$D$33&amp;"."&amp;VLOOKUP(B519,'0. Instruções'!$C$27:$D$31,2,FALSE))</f>
        <v>BU_LOANTAPE_WORK.LT003_ENTITY</v>
      </c>
      <c r="E519" s="41" t="str">
        <f>+UPPER('0. Instruções'!$D$34&amp;"."&amp;VLOOKUP(B519,'0. Instruções'!$C$27:$E$31,3,FALSE))</f>
        <v>BU_LOANTAPE_WORK.LT003_ENTTY_P3_NOV24</v>
      </c>
      <c r="F519" s="41" t="s">
        <v>156</v>
      </c>
      <c r="G519" s="41" t="s">
        <v>13</v>
      </c>
      <c r="H519" s="41"/>
      <c r="I519" s="41" t="str">
        <f>"(SELECT "&amp;VLOOKUP(B519,'0. Instruções'!$C$27:$G$31,4,FALSE)&amp;", "&amp;F519&amp;" FROM "&amp;D519&amp;" WHERE "&amp;'0. Instruções'!$D$40&amp;")X"</f>
        <v>(SELECT entty_id, DT_RFRNC FROM BU_LOANTAPE_WORK.LT003_ENTITY WHERE ref_date='${ref_date}' AND nome_perimetro='Individual Corporativo' AND segmento='ESTR' AND ambito='PILAR3')X</v>
      </c>
      <c r="J519" s="41" t="str">
        <f>"(SELECT "&amp;VLOOKUP(B519,'0. Instruções'!$C$27:$G$31,4,FALSE)&amp;" AS "&amp;VLOOKUP(B519,'0. Instruções'!$C$27:$G$31,4,FALSE)&amp;"_SIMUL, "&amp;F519&amp;" AS "&amp;F519&amp;"_SIMUL FROM "&amp;E519&amp;")Y"</f>
        <v>(SELECT entty_id AS entty_id_SIMUL, DT_RFRNC AS DT_RFRNC_SIMUL FROM BU_LOANTAPE_WORK.LT003_ENTTY_P3_NOV24)Y</v>
      </c>
      <c r="K519" s="42" t="str">
        <f>+UPPER("ON X."&amp;VLOOKUP(B519,'0. Instruções'!$C$27:$G$31,4,FALSE)&amp;"=Y."&amp;VLOOKUP(B519,'0. Instruções'!$C$27:$G$31,4,FALSE)&amp;"_SIMUL")</f>
        <v>ON X.ENTTY_ID=Y.ENTTY_ID_SIMUL</v>
      </c>
      <c r="L519" s="42" t="str">
        <f>+IF(C519="Coerência", +IF(LEFT(G519,5)="FLOAT","SELECT '"&amp;UPPER(B519)&amp;"' AS TABELA, '"&amp;UPPER(C519)&amp;"' AS TIPOLOGIA_TESTE,'"&amp;D519&amp;"' AS TABELA_LT,'"&amp;E519&amp;"' AS TABELA_SIMUL,'"&amp;F519&amp;"' AS CAMPO, "&amp;"'${ref_date}' AS REF_DATE, COUNT(*) AS NUM_REG, SUM(IF((ABS(COALESCE(X."&amp;F519&amp;",0)-COALESCE(Y."&amp;F519&amp;"_SIMUL,0))&gt;0.0000000001) OR (X."&amp;F519&amp;" IS NULL AND Y."&amp;F519&amp;"_SIMUL IS NOT NULL ) OR (X."&amp;F519&amp;" IS NOT NULL AND Y."&amp;F519&amp;"_SIMUL IS NULL),1,0)) AS NUM_REG_DIF,'"&amp;MAX('ID1&amp;5'!K:K)+1&amp;"' AS ID_EXEC, CURRENT_TIMESTAMP() AS TIME_EXEC FROM "&amp;I519&amp;" INNER JOIN "&amp;J519&amp;" "&amp;K519,"SELECT '"&amp;UPPER(B519)&amp;"' AS TABELA, '"&amp;UPPER(C519)&amp;"' AS TIPOLOGIA_TESTE,'"&amp;D519&amp;"' AS TABELA_LT,'"&amp;E519&amp;"' AS TABELA_SIMUL,'"&amp;F519&amp;"' AS CAMPO, "&amp;"'${ref_date}' AS REF_DATE, COUNT(*) AS NUM_REG, SUM(IF(COALESCE(CAST(X."&amp;F519&amp;" AS STRING),'')&lt;&gt;COALESCE(CAST(Y."&amp;F519&amp;"_SIMUL AS STRING),''),1,0)) AS NUM_REG_DIF,'"&amp;MAX('ID1&amp;5'!L:L)+1&amp;"' AS ID_EXEC, CURRENT_TIMESTAMP() AS TIME_EXEC FROM "&amp;I519&amp;" INNER JOIN "&amp;J519&amp;" "&amp;K519),
IF(C519="Validade",+IF(G519="Code List","SELECT '"&amp;UPPER(B519)&amp;"' AS TABELA, '"&amp;UPPER(C519)&amp;"' AS TIPOLOGIA_TESTE,'"&amp;D519&amp;"' AS TABELA_LT,'N/A' AS TABELA_SIMUL,'"&amp;F519&amp;"' AS CAMPO, "&amp;"'${ref_date}' AS REF_DATE, COUNT(*) AS NUM_REG, SUM(IF(TRIM(CAST(X."&amp;F519&amp;" AS STRING))='' OR TRIM(CAST(X."&amp;F519&amp;" AS STRING)) IS NULL OR CAST(X."&amp;F519&amp;" AS STRING) NOT "&amp;H519&amp;",1,0)) AS NUM_REG_DIF,'"&amp;MAX('ID1&amp;5'!K:K)+1&amp;"' AS ID_EXEC, CURRENT_TIMESTAMP() AS TIME_EXEC FROM "&amp;I519,"SELECT '"&amp;UPPER(B519)&amp;"' AS TABELA, '"&amp;UPPER(C519)&amp;"' AS TIPOLOGIA_TESTE,'"&amp;D519&amp;"' AS TABELA_LT,'N/A' AS TABELA_SIMUL,'"&amp;F519&amp;"' AS CAMPO, "&amp;"'${ref_date}' AS REF_DATE, COUNT(*) AS NUM_REG, SUM(IF(TRIM(CAST(X."&amp;F519&amp;" AS STRING))='' OR TRIM(CAST(X."&amp;F519&amp;" AS STRING)) IS NULL,1,0)) AS NUM_REG_DIF,'"&amp;MAX('ID1&amp;5'!K:K)+1&amp;"' AS ID_EXEC, CURRENT_TIMESTAMP() AS TIME_EXEC FROM "&amp;I519),
IF(C519="Caracteres Especiais",+"SELECT '"&amp;UPPER(B519)&amp;"' AS TABELA, '"&amp;UPPER(C519)&amp;"' AS TIPOLOGIA_TESTE,'"&amp;D519&amp;"' AS TABELA_LT,'N/A' AS TABELA_SIMUL,'"&amp;F519&amp;"' AS CAMPO, "&amp;"'${ref_date}' AS REF_DATE, COUNT(*) AS NUM_REG, SUM(IF(INSTR(CAST(X."&amp;F519&amp;" AS STRING),'#')&gt;0 OR INSTR(CAST(X."&amp;F519&amp;" AS STRING),'*')&gt;0 OR INSTR(CAST(X."&amp;F519&amp;" AS STRING),'`')&gt;0 OR INSTR(CAST(X."&amp;F519&amp;" AS STRING),'´')&gt;0 OR INSTR(CAST(X."&amp;F519&amp;" AS STRING),'{')&gt;0 OR INSTR(CAST(X."&amp;F519&amp;" AS STRING),'}')&gt;0 OR INSTR(CAST(X."&amp;F519&amp;" AS STRING),'[')&gt;0 OR INSTR(CAST(X."&amp;F519&amp;" AS STRING),'')&gt;0 OR INSTR(CAST(X."&amp;F519&amp;" AS STRING),']')&gt;0 OR INSTR(CAST(X."&amp;F519&amp;" AS STRING),'?')&gt;0 OR INSTR(CAST(X."&amp;F519&amp;" AS STRING),'!')&gt;0 OR INSTR(CAST(X."&amp;F519&amp;" AS STRING),'$')&gt;0 OR INSTR(CAST(X."&amp;F519&amp;" AS STRING),'%')&gt;0 OR INSTR(CAST(X."&amp;F519&amp;" AS STRING),'&amp;')&gt;0 OR INSTR(CAST(X."&amp;F519&amp;" AS STRING),'+')&gt;0,1,0)) AS NUM_REG_DIF,'"&amp;MAX('ID1&amp;5'!K:K)+1&amp;"' AS ID_EXEC, CURRENT_TIMESTAMP() AS TIME_EXEC FROM "&amp;I519,
IF(C519="Missings",+"SELECT '"&amp;UPPER(B519)&amp;"' AS TABELA, '"&amp;UPPER(C519)&amp;"' AS TIPOLOGIA_TESTE,'"&amp;D519&amp;"' AS TABELA_LT,'N/A' AS TABELA_SIMUL,'"&amp;F519&amp;"' AS CAMPO, "&amp;"'${ref_date}' AS REF_DATE, COUNT(*) AS NUM_REG, SUM(IF(TRIM(CAST(X."&amp;F519&amp;" AS STRING)) IN ('0000-00-00','0001-01-01','9999-12-31','MISS','00000','99999999999','99999999999.00','99999999999.000000'),1,0)) AS NUM_REG_DIF,'"&amp;MAX('ID1&amp;5'!K:K)+1&amp;"' AS ID_EXEC, CURRENT_TIMESTAMP() AS TIME_EXEC FROM "&amp;I519,
IF(C519="Not applicable",+"SELECT '"&amp;UPPER(B519)&amp;"' AS TABELA, '"&amp;UPPER(C519)&amp;"' AS TIPOLOGIA_TESTE,'"&amp;D519&amp;"' AS TABELA_LT,'N/A' AS TABELA_SIMUL,'"&amp;F519&amp;"' AS CAMPO, "&amp;"'${ref_date}' AS REF_DATE, COUNT(*) AS NUM_REG, SUM(IF(TRIM(CAST(X."&amp;F519&amp;" AS STRING)) IN ('N/A','11111111111','11111111111.00','11111111111.000000','1111-11-11'),1,0)) AS NUM_REG_DIF,'"&amp;MAX('ID1&amp;5'!K:K)+1&amp;"' AS ID_EXEC, CURRENT_TIMESTAMP() AS TIME_EXEC FROM "&amp;I519,
IF(C519="Valores extremos",+"SELECT '"&amp;UPPER(B519)&amp;"' AS TABELA, '"&amp;UPPER(C519)&amp;"' AS TIPOLOGIA_TESTE,'"&amp;D519&amp;"' AS TABELA_LT,'N/A' AS TABELA_SIMUL,'"&amp;F519&amp;"' AS CAMPO, "&amp;"'${ref_date}' AS REF_DATE, CAST(MIN("&amp;F519&amp;") AS STRING) AS VALOR_MIN, CAST(MAX("&amp;F519&amp;") AS STRING) AS VALOR_MAX,'"&amp;MAX('ID1&amp;5'!K:K)+1&amp;"' AS ID_EXEC, CURRENT_TIMESTAMP() AS TIME_EXEC FROM "&amp;MID(I519,1,LEN(I519)-2)&amp;" AND CAST("&amp;F519&amp;"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TABELA_SIMUL,'DT_RFRNC' AS CAMPO, '${ref_date}' AS REF_DATE, CAST(MIN(DT_RFRNC) AS STRING) AS VALOR_MIN, CAST(MAX(DT_RFRNC) AS STRING) AS VALOR_MAX,'10' AS ID_EXEC, CURRENT_TIMESTAMP() AS TIME_EXEC FROM (SELECT entty_id, DT_RFRNC FROM BU_LOANTAPE_WORK.LT003_ENTITY WHERE ref_date='${ref_date}' AND nome_perimetro='Individual Corporativo' AND segmento='ESTR' AND ambito='PILAR3' AND CAST(DT_RFRNC AS STRING) NOT IN ('0000-00-00','0001-01-01','9999-12-31','MISS','00000','99999999999','99999999999.00','99999999999.000000','N/A','11111111111','11111111111.00','11111111111.000000','1111-11-11'))X</v>
      </c>
      <c r="M519" s="43" t="str">
        <f t="shared" si="8"/>
        <v>UNION ALL SELECT 'ENTITY' AS TABELA, 'VALORES EXTREMOS' AS TIPOLOGIA_TESTE,'BU_LOANTAPE_WORK.LT003_ENTITY' AS TABELA_LT,'N/A' AS TABELA_SIMUL,'DT_RFRNC' AS CAMPO, '${ref_date}' AS REF_DATE, CAST(MIN(DT_RFRNC) AS STRING) AS VALOR_MIN, CAST(MAX(DT_RFRNC) AS STRING) AS VALOR_MAX,'10' AS ID_EXEC, CURRENT_TIMESTAMP() AS TIME_EXEC FROM (SELECT entty_id, DT_RFRNC FROM BU_LOANTAPE_WORK.LT003_ENTITY WHERE ref_date='${ref_date}' AND nome_perimetro='Individual Corporativo' AND segmento='ESTR' AND ambito='PILAR3' AND CAST(DT_RFRNC AS STRING) NOT IN ('0000-00-00','0001-01-01','9999-12-31','MISS','00000','99999999999','99999999999.00','99999999999.000000','N/A','11111111111','11111111111.00','11111111111.000000','1111-11-11'))X</v>
      </c>
      <c r="N519" s="45" t="s">
        <v>13</v>
      </c>
    </row>
    <row r="520" spans="2:14">
      <c r="B520" s="41" t="s">
        <v>23</v>
      </c>
      <c r="C520" s="41" t="s">
        <v>226</v>
      </c>
      <c r="D520" s="41" t="str">
        <f>+UPPER('0. Instruções'!$D$33&amp;"."&amp;VLOOKUP(B520,'0. Instruções'!$C$27:$D$31,2,FALSE))</f>
        <v>BU_LOANTAPE_WORK.LT003_ENTITY</v>
      </c>
      <c r="E520" s="41" t="str">
        <f>+UPPER('0. Instruções'!$D$34&amp;"."&amp;VLOOKUP(B520,'0. Instruções'!$C$27:$E$31,3,FALSE))</f>
        <v>BU_LOANTAPE_WORK.LT003_ENTTY_P3_NOV24</v>
      </c>
      <c r="F520" s="41" t="s">
        <v>182</v>
      </c>
      <c r="G520" s="41" t="s">
        <v>13</v>
      </c>
      <c r="H520" s="41"/>
      <c r="I520" s="41" t="str">
        <f>"(SELECT "&amp;VLOOKUP(B520,'0. Instruções'!$C$27:$G$31,4,FALSE)&amp;", "&amp;F520&amp;" FROM "&amp;D520&amp;" WHERE "&amp;'0. Instruções'!$D$40&amp;")X"</f>
        <v>(SELECT entty_id, ENTTY_ID FROM BU_LOANTAPE_WORK.LT003_ENTITY WHERE ref_date='${ref_date}' AND nome_perimetro='Individual Corporativo' AND segmento='ESTR' AND ambito='PILAR3')X</v>
      </c>
      <c r="J520" s="41" t="str">
        <f>"(SELECT "&amp;VLOOKUP(B520,'0. Instruções'!$C$27:$G$31,4,FALSE)&amp;" AS "&amp;VLOOKUP(B520,'0. Instruções'!$C$27:$G$31,4,FALSE)&amp;"_SIMUL, "&amp;F520&amp;" AS "&amp;F520&amp;"_SIMUL FROM "&amp;E520&amp;")Y"</f>
        <v>(SELECT entty_id AS entty_id_SIMUL, ENTTY_ID AS ENTTY_ID_SIMUL FROM BU_LOANTAPE_WORK.LT003_ENTTY_P3_NOV24)Y</v>
      </c>
      <c r="K520" s="42" t="str">
        <f>+UPPER("ON X."&amp;VLOOKUP(B520,'0. Instruções'!$C$27:$G$31,4,FALSE)&amp;"=Y."&amp;VLOOKUP(B520,'0. Instruções'!$C$27:$G$31,4,FALSE)&amp;"_SIMUL")</f>
        <v>ON X.ENTTY_ID=Y.ENTTY_ID_SIMUL</v>
      </c>
      <c r="L520" s="42" t="str">
        <f>+IF(C520="Coerência", +IF(LEFT(G520,5)="FLOAT","SELECT '"&amp;UPPER(B520)&amp;"' AS TABELA, '"&amp;UPPER(C520)&amp;"' AS TIPOLOGIA_TESTE,'"&amp;D520&amp;"' AS TABELA_LT,'"&amp;E520&amp;"' AS TABELA_SIMUL,'"&amp;F520&amp;"' AS CAMPO, "&amp;"'${ref_date}' AS REF_DATE, COUNT(*) AS NUM_REG, SUM(IF((ABS(COALESCE(X."&amp;F520&amp;",0)-COALESCE(Y."&amp;F520&amp;"_SIMUL,0))&gt;0.0000000001) OR (X."&amp;F520&amp;" IS NULL AND Y."&amp;F520&amp;"_SIMUL IS NOT NULL ) OR (X."&amp;F520&amp;" IS NOT NULL AND Y."&amp;F520&amp;"_SIMUL IS NULL),1,0)) AS NUM_REG_DIF,'"&amp;MAX('ID1&amp;5'!K:K)+1&amp;"' AS ID_EXEC, CURRENT_TIMESTAMP() AS TIME_EXEC FROM "&amp;I520&amp;" INNER JOIN "&amp;J520&amp;" "&amp;K520,"SELECT '"&amp;UPPER(B520)&amp;"' AS TABELA, '"&amp;UPPER(C520)&amp;"' AS TIPOLOGIA_TESTE,'"&amp;D520&amp;"' AS TABELA_LT,'"&amp;E520&amp;"' AS TABELA_SIMUL,'"&amp;F520&amp;"' AS CAMPO, "&amp;"'${ref_date}' AS REF_DATE, COUNT(*) AS NUM_REG, SUM(IF(COALESCE(CAST(X."&amp;F520&amp;" AS STRING),'')&lt;&gt;COALESCE(CAST(Y."&amp;F520&amp;"_SIMUL AS STRING),''),1,0)) AS NUM_REG_DIF,'"&amp;MAX('ID1&amp;5'!L:L)+1&amp;"' AS ID_EXEC, CURRENT_TIMESTAMP() AS TIME_EXEC FROM "&amp;I520&amp;" INNER JOIN "&amp;J520&amp;" "&amp;K520),
IF(C520="Validade",+IF(G520="Code List","SELECT '"&amp;UPPER(B520)&amp;"' AS TABELA, '"&amp;UPPER(C520)&amp;"' AS TIPOLOGIA_TESTE,'"&amp;D520&amp;"' AS TABELA_LT,'N/A' AS TABELA_SIMUL,'"&amp;F520&amp;"' AS CAMPO, "&amp;"'${ref_date}' AS REF_DATE, COUNT(*) AS NUM_REG, SUM(IF(TRIM(CAST(X."&amp;F520&amp;" AS STRING))='' OR TRIM(CAST(X."&amp;F520&amp;" AS STRING)) IS NULL OR CAST(X."&amp;F520&amp;" AS STRING) NOT "&amp;H520&amp;",1,0)) AS NUM_REG_DIF,'"&amp;MAX('ID1&amp;5'!K:K)+1&amp;"' AS ID_EXEC, CURRENT_TIMESTAMP() AS TIME_EXEC FROM "&amp;I520,"SELECT '"&amp;UPPER(B520)&amp;"' AS TABELA, '"&amp;UPPER(C520)&amp;"' AS TIPOLOGIA_TESTE,'"&amp;D520&amp;"' AS TABELA_LT,'N/A' AS TABELA_SIMUL,'"&amp;F520&amp;"' AS CAMPO, "&amp;"'${ref_date}' AS REF_DATE, COUNT(*) AS NUM_REG, SUM(IF(TRIM(CAST(X."&amp;F520&amp;" AS STRING))='' OR TRIM(CAST(X."&amp;F520&amp;" AS STRING)) IS NULL,1,0)) AS NUM_REG_DIF,'"&amp;MAX('ID1&amp;5'!K:K)+1&amp;"' AS ID_EXEC, CURRENT_TIMESTAMP() AS TIME_EXEC FROM "&amp;I520),
IF(C520="Caracteres Especiais",+"SELECT '"&amp;UPPER(B520)&amp;"' AS TABELA, '"&amp;UPPER(C520)&amp;"' AS TIPOLOGIA_TESTE,'"&amp;D520&amp;"' AS TABELA_LT,'N/A' AS TABELA_SIMUL,'"&amp;F520&amp;"' AS CAMPO, "&amp;"'${ref_date}' AS REF_DATE, COUNT(*) AS NUM_REG, SUM(IF(INSTR(CAST(X."&amp;F520&amp;" AS STRING),'#')&gt;0 OR INSTR(CAST(X."&amp;F520&amp;" AS STRING),'*')&gt;0 OR INSTR(CAST(X."&amp;F520&amp;" AS STRING),'`')&gt;0 OR INSTR(CAST(X."&amp;F520&amp;" AS STRING),'´')&gt;0 OR INSTR(CAST(X."&amp;F520&amp;" AS STRING),'{')&gt;0 OR INSTR(CAST(X."&amp;F520&amp;" AS STRING),'}')&gt;0 OR INSTR(CAST(X."&amp;F520&amp;" AS STRING),'[')&gt;0 OR INSTR(CAST(X."&amp;F520&amp;" AS STRING),'')&gt;0 OR INSTR(CAST(X."&amp;F520&amp;" AS STRING),']')&gt;0 OR INSTR(CAST(X."&amp;F520&amp;" AS STRING),'?')&gt;0 OR INSTR(CAST(X."&amp;F520&amp;" AS STRING),'!')&gt;0 OR INSTR(CAST(X."&amp;F520&amp;" AS STRING),'$')&gt;0 OR INSTR(CAST(X."&amp;F520&amp;" AS STRING),'%')&gt;0 OR INSTR(CAST(X."&amp;F520&amp;" AS STRING),'&amp;')&gt;0 OR INSTR(CAST(X."&amp;F520&amp;" AS STRING),'+')&gt;0,1,0)) AS NUM_REG_DIF,'"&amp;MAX('ID1&amp;5'!K:K)+1&amp;"' AS ID_EXEC, CURRENT_TIMESTAMP() AS TIME_EXEC FROM "&amp;I520,
IF(C520="Missings",+"SELECT '"&amp;UPPER(B520)&amp;"' AS TABELA, '"&amp;UPPER(C520)&amp;"' AS TIPOLOGIA_TESTE,'"&amp;D520&amp;"' AS TABELA_LT,'N/A' AS TABELA_SIMUL,'"&amp;F520&amp;"' AS CAMPO, "&amp;"'${ref_date}' AS REF_DATE, COUNT(*) AS NUM_REG, SUM(IF(TRIM(CAST(X."&amp;F520&amp;" AS STRING)) IN ('0000-00-00','0001-01-01','9999-12-31','MISS','00000','99999999999','99999999999.00','99999999999.000000'),1,0)) AS NUM_REG_DIF,'"&amp;MAX('ID1&amp;5'!K:K)+1&amp;"' AS ID_EXEC, CURRENT_TIMESTAMP() AS TIME_EXEC FROM "&amp;I520,
IF(C520="Not applicable",+"SELECT '"&amp;UPPER(B520)&amp;"' AS TABELA, '"&amp;UPPER(C520)&amp;"' AS TIPOLOGIA_TESTE,'"&amp;D520&amp;"' AS TABELA_LT,'N/A' AS TABELA_SIMUL,'"&amp;F520&amp;"' AS CAMPO, "&amp;"'${ref_date}' AS REF_DATE, COUNT(*) AS NUM_REG, SUM(IF(TRIM(CAST(X."&amp;F520&amp;" AS STRING)) IN ('N/A','11111111111','11111111111.00','11111111111.000000','1111-11-11'),1,0)) AS NUM_REG_DIF,'"&amp;MAX('ID1&amp;5'!K:K)+1&amp;"' AS ID_EXEC, CURRENT_TIMESTAMP() AS TIME_EXEC FROM "&amp;I520,
IF(C520="Valores extremos",+"SELECT '"&amp;UPPER(B520)&amp;"' AS TABELA, '"&amp;UPPER(C520)&amp;"' AS TIPOLOGIA_TESTE,'"&amp;D520&amp;"' AS TABELA_LT,'N/A' AS TABELA_SIMUL,'"&amp;F520&amp;"' AS CAMPO, "&amp;"'${ref_date}' AS REF_DATE, CAST(MIN("&amp;F520&amp;") AS STRING) AS VALOR_MIN, CAST(MAX("&amp;F520&amp;") AS STRING) AS VALOR_MAX,'"&amp;MAX('ID1&amp;5'!K:K)+1&amp;"' AS ID_EXEC, CURRENT_TIMESTAMP() AS TIME_EXEC FROM "&amp;MID(I520,1,LEN(I520)-2)&amp;" AND CAST("&amp;F520&amp;"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TABELA_SIMUL,'ENTTY_ID' AS CAMPO, '${ref_date}' AS REF_DATE, CAST(MIN(ENTTY_ID) AS STRING) AS VALOR_MIN, CAST(MAX(ENTTY_ID) AS STRING) AS VALOR_MAX,'10' AS ID_EXEC, CURRENT_TIMESTAMP() AS TIME_EXEC FROM (SELECT entty_id, ENTTY_ID FROM BU_LOANTAPE_WORK.LT003_ENTITY WHERE ref_date='${ref_date}' AND nome_perimetro='Individual Corporativo' AND segmento='ESTR' AND ambito='PILAR3' AND CAST(ENTTY_ID AS STRING) NOT IN ('0000-00-00','0001-01-01','9999-12-31','MISS','00000','99999999999','99999999999.00','99999999999.000000','N/A','11111111111','11111111111.00','11111111111.000000','1111-11-11'))X</v>
      </c>
      <c r="M520" s="43" t="str">
        <f t="shared" si="8"/>
        <v>UNION ALL SELECT 'ENTITY' AS TABELA, 'VALORES EXTREMOS' AS TIPOLOGIA_TESTE,'BU_LOANTAPE_WORK.LT003_ENTITY' AS TABELA_LT,'N/A' AS TABELA_SIMUL,'ENTTY_ID' AS CAMPO, '${ref_date}' AS REF_DATE, CAST(MIN(ENTTY_ID) AS STRING) AS VALOR_MIN, CAST(MAX(ENTTY_ID) AS STRING) AS VALOR_MAX,'10' AS ID_EXEC, CURRENT_TIMESTAMP() AS TIME_EXEC FROM (SELECT entty_id, ENTTY_ID FROM BU_LOANTAPE_WORK.LT003_ENTITY WHERE ref_date='${ref_date}' AND nome_perimetro='Individual Corporativo' AND segmento='ESTR' AND ambito='PILAR3' AND CAST(ENTTY_ID AS STRING) NOT IN ('0000-00-00','0001-01-01','9999-12-31','MISS','00000','99999999999','99999999999.00','99999999999.000000','N/A','11111111111','11111111111.00','11111111111.000000','1111-11-11'))X</v>
      </c>
      <c r="N520" s="45" t="s">
        <v>13</v>
      </c>
    </row>
    <row r="521" spans="2:14">
      <c r="B521" s="41" t="s">
        <v>23</v>
      </c>
      <c r="C521" s="41" t="s">
        <v>226</v>
      </c>
      <c r="D521" s="41" t="str">
        <f>+UPPER('0. Instruções'!$D$33&amp;"."&amp;VLOOKUP(B521,'0. Instruções'!$C$27:$D$31,2,FALSE))</f>
        <v>BU_LOANTAPE_WORK.LT003_ENTITY</v>
      </c>
      <c r="E521" s="41" t="str">
        <f>+UPPER('0. Instruções'!$D$34&amp;"."&amp;VLOOKUP(B521,'0. Instruções'!$C$27:$E$31,3,FALSE))</f>
        <v>BU_LOANTAPE_WORK.LT003_ENTTY_P3_NOV24</v>
      </c>
      <c r="F521" s="41" t="s">
        <v>183</v>
      </c>
      <c r="G521" s="41" t="s">
        <v>13</v>
      </c>
      <c r="H521" s="41"/>
      <c r="I521" s="41" t="str">
        <f>"(SELECT "&amp;VLOOKUP(B521,'0. Instruções'!$C$27:$G$31,4,FALSE)&amp;", "&amp;F521&amp;" FROM "&amp;D521&amp;" WHERE "&amp;'0. Instruções'!$D$40&amp;")X"</f>
        <v>(SELECT entty_id, LEI FROM BU_LOANTAPE_WORK.LT003_ENTITY WHERE ref_date='${ref_date}' AND nome_perimetro='Individual Corporativo' AND segmento='ESTR' AND ambito='PILAR3')X</v>
      </c>
      <c r="J521" s="41" t="str">
        <f>"(SELECT "&amp;VLOOKUP(B521,'0. Instruções'!$C$27:$G$31,4,FALSE)&amp;" AS "&amp;VLOOKUP(B521,'0. Instruções'!$C$27:$G$31,4,FALSE)&amp;"_SIMUL, "&amp;F521&amp;" AS "&amp;F521&amp;"_SIMUL FROM "&amp;E521&amp;")Y"</f>
        <v>(SELECT entty_id AS entty_id_SIMUL, LEI AS LEI_SIMUL FROM BU_LOANTAPE_WORK.LT003_ENTTY_P3_NOV24)Y</v>
      </c>
      <c r="K521" s="42" t="str">
        <f>+UPPER("ON X."&amp;VLOOKUP(B521,'0. Instruções'!$C$27:$G$31,4,FALSE)&amp;"=Y."&amp;VLOOKUP(B521,'0. Instruções'!$C$27:$G$31,4,FALSE)&amp;"_SIMUL")</f>
        <v>ON X.ENTTY_ID=Y.ENTTY_ID_SIMUL</v>
      </c>
      <c r="L521" s="42" t="str">
        <f>+IF(C521="Coerência", +IF(LEFT(G521,5)="FLOAT","SELECT '"&amp;UPPER(B521)&amp;"' AS TABELA, '"&amp;UPPER(C521)&amp;"' AS TIPOLOGIA_TESTE,'"&amp;D521&amp;"' AS TABELA_LT,'"&amp;E521&amp;"' AS TABELA_SIMUL,'"&amp;F521&amp;"' AS CAMPO, "&amp;"'${ref_date}' AS REF_DATE, COUNT(*) AS NUM_REG, SUM(IF((ABS(COALESCE(X."&amp;F521&amp;",0)-COALESCE(Y."&amp;F521&amp;"_SIMUL,0))&gt;0.0000000001) OR (X."&amp;F521&amp;" IS NULL AND Y."&amp;F521&amp;"_SIMUL IS NOT NULL ) OR (X."&amp;F521&amp;" IS NOT NULL AND Y."&amp;F521&amp;"_SIMUL IS NULL),1,0)) AS NUM_REG_DIF,'"&amp;MAX('ID1&amp;5'!K:K)+1&amp;"' AS ID_EXEC, CURRENT_TIMESTAMP() AS TIME_EXEC FROM "&amp;I521&amp;" INNER JOIN "&amp;J521&amp;" "&amp;K521,"SELECT '"&amp;UPPER(B521)&amp;"' AS TABELA, '"&amp;UPPER(C521)&amp;"' AS TIPOLOGIA_TESTE,'"&amp;D521&amp;"' AS TABELA_LT,'"&amp;E521&amp;"' AS TABELA_SIMUL,'"&amp;F521&amp;"' AS CAMPO, "&amp;"'${ref_date}' AS REF_DATE, COUNT(*) AS NUM_REG, SUM(IF(COALESCE(CAST(X."&amp;F521&amp;" AS STRING),'')&lt;&gt;COALESCE(CAST(Y."&amp;F521&amp;"_SIMUL AS STRING),''),1,0)) AS NUM_REG_DIF,'"&amp;MAX('ID1&amp;5'!L:L)+1&amp;"' AS ID_EXEC, CURRENT_TIMESTAMP() AS TIME_EXEC FROM "&amp;I521&amp;" INNER JOIN "&amp;J521&amp;" "&amp;K521),
IF(C521="Validade",+IF(G521="Code List","SELECT '"&amp;UPPER(B521)&amp;"' AS TABELA, '"&amp;UPPER(C521)&amp;"' AS TIPOLOGIA_TESTE,'"&amp;D521&amp;"' AS TABELA_LT,'N/A' AS TABELA_SIMUL,'"&amp;F521&amp;"' AS CAMPO, "&amp;"'${ref_date}' AS REF_DATE, COUNT(*) AS NUM_REG, SUM(IF(TRIM(CAST(X."&amp;F521&amp;" AS STRING))='' OR TRIM(CAST(X."&amp;F521&amp;" AS STRING)) IS NULL OR CAST(X."&amp;F521&amp;" AS STRING) NOT "&amp;H521&amp;",1,0)) AS NUM_REG_DIF,'"&amp;MAX('ID1&amp;5'!K:K)+1&amp;"' AS ID_EXEC, CURRENT_TIMESTAMP() AS TIME_EXEC FROM "&amp;I521,"SELECT '"&amp;UPPER(B521)&amp;"' AS TABELA, '"&amp;UPPER(C521)&amp;"' AS TIPOLOGIA_TESTE,'"&amp;D521&amp;"' AS TABELA_LT,'N/A' AS TABELA_SIMUL,'"&amp;F521&amp;"' AS CAMPO, "&amp;"'${ref_date}' AS REF_DATE, COUNT(*) AS NUM_REG, SUM(IF(TRIM(CAST(X."&amp;F521&amp;" AS STRING))='' OR TRIM(CAST(X."&amp;F521&amp;" AS STRING)) IS NULL,1,0)) AS NUM_REG_DIF,'"&amp;MAX('ID1&amp;5'!K:K)+1&amp;"' AS ID_EXEC, CURRENT_TIMESTAMP() AS TIME_EXEC FROM "&amp;I521),
IF(C521="Caracteres Especiais",+"SELECT '"&amp;UPPER(B521)&amp;"' AS TABELA, '"&amp;UPPER(C521)&amp;"' AS TIPOLOGIA_TESTE,'"&amp;D521&amp;"' AS TABELA_LT,'N/A' AS TABELA_SIMUL,'"&amp;F521&amp;"' AS CAMPO, "&amp;"'${ref_date}' AS REF_DATE, COUNT(*) AS NUM_REG, SUM(IF(INSTR(CAST(X."&amp;F521&amp;" AS STRING),'#')&gt;0 OR INSTR(CAST(X."&amp;F521&amp;" AS STRING),'*')&gt;0 OR INSTR(CAST(X."&amp;F521&amp;" AS STRING),'`')&gt;0 OR INSTR(CAST(X."&amp;F521&amp;" AS STRING),'´')&gt;0 OR INSTR(CAST(X."&amp;F521&amp;" AS STRING),'{')&gt;0 OR INSTR(CAST(X."&amp;F521&amp;" AS STRING),'}')&gt;0 OR INSTR(CAST(X."&amp;F521&amp;" AS STRING),'[')&gt;0 OR INSTR(CAST(X."&amp;F521&amp;" AS STRING),'')&gt;0 OR INSTR(CAST(X."&amp;F521&amp;" AS STRING),']')&gt;0 OR INSTR(CAST(X."&amp;F521&amp;" AS STRING),'?')&gt;0 OR INSTR(CAST(X."&amp;F521&amp;" AS STRING),'!')&gt;0 OR INSTR(CAST(X."&amp;F521&amp;" AS STRING),'$')&gt;0 OR INSTR(CAST(X."&amp;F521&amp;" AS STRING),'%')&gt;0 OR INSTR(CAST(X."&amp;F521&amp;" AS STRING),'&amp;')&gt;0 OR INSTR(CAST(X."&amp;F521&amp;" AS STRING),'+')&gt;0,1,0)) AS NUM_REG_DIF,'"&amp;MAX('ID1&amp;5'!K:K)+1&amp;"' AS ID_EXEC, CURRENT_TIMESTAMP() AS TIME_EXEC FROM "&amp;I521,
IF(C521="Missings",+"SELECT '"&amp;UPPER(B521)&amp;"' AS TABELA, '"&amp;UPPER(C521)&amp;"' AS TIPOLOGIA_TESTE,'"&amp;D521&amp;"' AS TABELA_LT,'N/A' AS TABELA_SIMUL,'"&amp;F521&amp;"' AS CAMPO, "&amp;"'${ref_date}' AS REF_DATE, COUNT(*) AS NUM_REG, SUM(IF(TRIM(CAST(X."&amp;F521&amp;" AS STRING)) IN ('0000-00-00','0001-01-01','9999-12-31','MISS','00000','99999999999','99999999999.00','99999999999.000000'),1,0)) AS NUM_REG_DIF,'"&amp;MAX('ID1&amp;5'!K:K)+1&amp;"' AS ID_EXEC, CURRENT_TIMESTAMP() AS TIME_EXEC FROM "&amp;I521,
IF(C521="Not applicable",+"SELECT '"&amp;UPPER(B521)&amp;"' AS TABELA, '"&amp;UPPER(C521)&amp;"' AS TIPOLOGIA_TESTE,'"&amp;D521&amp;"' AS TABELA_LT,'N/A' AS TABELA_SIMUL,'"&amp;F521&amp;"' AS CAMPO, "&amp;"'${ref_date}' AS REF_DATE, COUNT(*) AS NUM_REG, SUM(IF(TRIM(CAST(X."&amp;F521&amp;" AS STRING)) IN ('N/A','11111111111','11111111111.00','11111111111.000000','1111-11-11'),1,0)) AS NUM_REG_DIF,'"&amp;MAX('ID1&amp;5'!K:K)+1&amp;"' AS ID_EXEC, CURRENT_TIMESTAMP() AS TIME_EXEC FROM "&amp;I521,
IF(C521="Valores extremos",+"SELECT '"&amp;UPPER(B521)&amp;"' AS TABELA, '"&amp;UPPER(C521)&amp;"' AS TIPOLOGIA_TESTE,'"&amp;D521&amp;"' AS TABELA_LT,'N/A' AS TABELA_SIMUL,'"&amp;F521&amp;"' AS CAMPO, "&amp;"'${ref_date}' AS REF_DATE, CAST(MIN("&amp;F521&amp;") AS STRING) AS VALOR_MIN, CAST(MAX("&amp;F521&amp;") AS STRING) AS VALOR_MAX,'"&amp;MAX('ID1&amp;5'!K:K)+1&amp;"' AS ID_EXEC, CURRENT_TIMESTAMP() AS TIME_EXEC FROM "&amp;MID(I521,1,LEN(I521)-2)&amp;" AND CAST("&amp;F521&amp;"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TABELA_SIMUL,'LEI' AS CAMPO, '${ref_date}' AS REF_DATE, CAST(MIN(LEI) AS STRING) AS VALOR_MIN, CAST(MAX(LEI) AS STRING) AS VALOR_MAX,'10' AS ID_EXEC, CURRENT_TIMESTAMP() AS TIME_EXEC FROM (SELECT entty_id, LEI FROM BU_LOANTAPE_WORK.LT003_ENTITY WHERE ref_date='${ref_date}' AND nome_perimetro='Individual Corporativo' AND segmento='ESTR' AND ambito='PILAR3' AND CAST(LEI AS STRING) NOT IN ('0000-00-00','0001-01-01','9999-12-31','MISS','00000','99999999999','99999999999.00','99999999999.000000','N/A','11111111111','11111111111.00','11111111111.000000','1111-11-11'))X</v>
      </c>
      <c r="M521" s="43" t="str">
        <f t="shared" si="8"/>
        <v>UNION ALL SELECT 'ENTITY' AS TABELA, 'VALORES EXTREMOS' AS TIPOLOGIA_TESTE,'BU_LOANTAPE_WORK.LT003_ENTITY' AS TABELA_LT,'N/A' AS TABELA_SIMUL,'LEI' AS CAMPO, '${ref_date}' AS REF_DATE, CAST(MIN(LEI) AS STRING) AS VALOR_MIN, CAST(MAX(LEI) AS STRING) AS VALOR_MAX,'10' AS ID_EXEC, CURRENT_TIMESTAMP() AS TIME_EXEC FROM (SELECT entty_id, LEI FROM BU_LOANTAPE_WORK.LT003_ENTITY WHERE ref_date='${ref_date}' AND nome_perimetro='Individual Corporativo' AND segmento='ESTR' AND ambito='PILAR3' AND CAST(LEI AS STRING) NOT IN ('0000-00-00','0001-01-01','9999-12-31','MISS','00000','99999999999','99999999999.00','99999999999.000000','N/A','11111111111','11111111111.00','11111111111.000000','1111-11-11'))X</v>
      </c>
      <c r="N521" s="45" t="s">
        <v>13</v>
      </c>
    </row>
    <row r="522" spans="2:14">
      <c r="B522" s="41" t="s">
        <v>23</v>
      </c>
      <c r="C522" s="41" t="s">
        <v>226</v>
      </c>
      <c r="D522" s="41" t="str">
        <f>+UPPER('0. Instruções'!$D$33&amp;"."&amp;VLOOKUP(B522,'0. Instruções'!$C$27:$D$31,2,FALSE))</f>
        <v>BU_LOANTAPE_WORK.LT003_ENTITY</v>
      </c>
      <c r="E522" s="41" t="str">
        <f>+UPPER('0. Instruções'!$D$34&amp;"."&amp;VLOOKUP(B522,'0. Instruções'!$C$27:$E$31,3,FALSE))</f>
        <v>BU_LOANTAPE_WORK.LT003_ENTTY_P3_NOV24</v>
      </c>
      <c r="F522" s="41" t="s">
        <v>184</v>
      </c>
      <c r="G522" s="41" t="s">
        <v>13</v>
      </c>
      <c r="H522" s="41"/>
      <c r="I522" s="41" t="str">
        <f>"(SELECT "&amp;VLOOKUP(B522,'0. Instruções'!$C$27:$G$31,4,FALSE)&amp;", "&amp;F522&amp;" FROM "&amp;D522&amp;" WHERE "&amp;'0. Instruções'!$D$40&amp;")X"</f>
        <v>(SELECT entty_id, ECNMC_ACTVTY FROM BU_LOANTAPE_WORK.LT003_ENTITY WHERE ref_date='${ref_date}' AND nome_perimetro='Individual Corporativo' AND segmento='ESTR' AND ambito='PILAR3')X</v>
      </c>
      <c r="J522" s="41" t="str">
        <f>"(SELECT "&amp;VLOOKUP(B522,'0. Instruções'!$C$27:$G$31,4,FALSE)&amp;" AS "&amp;VLOOKUP(B522,'0. Instruções'!$C$27:$G$31,4,FALSE)&amp;"_SIMUL, "&amp;F522&amp;" AS "&amp;F522&amp;"_SIMUL FROM "&amp;E522&amp;")Y"</f>
        <v>(SELECT entty_id AS entty_id_SIMUL, ECNMC_ACTVTY AS ECNMC_ACTVTY_SIMUL FROM BU_LOANTAPE_WORK.LT003_ENTTY_P3_NOV24)Y</v>
      </c>
      <c r="K522" s="42" t="str">
        <f>+UPPER("ON X."&amp;VLOOKUP(B522,'0. Instruções'!$C$27:$G$31,4,FALSE)&amp;"=Y."&amp;VLOOKUP(B522,'0. Instruções'!$C$27:$G$31,4,FALSE)&amp;"_SIMUL")</f>
        <v>ON X.ENTTY_ID=Y.ENTTY_ID_SIMUL</v>
      </c>
      <c r="L522" s="42" t="str">
        <f>+IF(C522="Coerência", +IF(LEFT(G522,5)="FLOAT","SELECT '"&amp;UPPER(B522)&amp;"' AS TABELA, '"&amp;UPPER(C522)&amp;"' AS TIPOLOGIA_TESTE,'"&amp;D522&amp;"' AS TABELA_LT,'"&amp;E522&amp;"' AS TABELA_SIMUL,'"&amp;F522&amp;"' AS CAMPO, "&amp;"'${ref_date}' AS REF_DATE, COUNT(*) AS NUM_REG, SUM(IF((ABS(COALESCE(X."&amp;F522&amp;",0)-COALESCE(Y."&amp;F522&amp;"_SIMUL,0))&gt;0.0000000001) OR (X."&amp;F522&amp;" IS NULL AND Y."&amp;F522&amp;"_SIMUL IS NOT NULL ) OR (X."&amp;F522&amp;" IS NOT NULL AND Y."&amp;F522&amp;"_SIMUL IS NULL),1,0)) AS NUM_REG_DIF,'"&amp;MAX('ID1&amp;5'!K:K)+1&amp;"' AS ID_EXEC, CURRENT_TIMESTAMP() AS TIME_EXEC FROM "&amp;I522&amp;" INNER JOIN "&amp;J522&amp;" "&amp;K522,"SELECT '"&amp;UPPER(B522)&amp;"' AS TABELA, '"&amp;UPPER(C522)&amp;"' AS TIPOLOGIA_TESTE,'"&amp;D522&amp;"' AS TABELA_LT,'"&amp;E522&amp;"' AS TABELA_SIMUL,'"&amp;F522&amp;"' AS CAMPO, "&amp;"'${ref_date}' AS REF_DATE, COUNT(*) AS NUM_REG, SUM(IF(COALESCE(CAST(X."&amp;F522&amp;" AS STRING),'')&lt;&gt;COALESCE(CAST(Y."&amp;F522&amp;"_SIMUL AS STRING),''),1,0)) AS NUM_REG_DIF,'"&amp;MAX('ID1&amp;5'!L:L)+1&amp;"' AS ID_EXEC, CURRENT_TIMESTAMP() AS TIME_EXEC FROM "&amp;I522&amp;" INNER JOIN "&amp;J522&amp;" "&amp;K522),
IF(C522="Validade",+IF(G522="Code List","SELECT '"&amp;UPPER(B522)&amp;"' AS TABELA, '"&amp;UPPER(C522)&amp;"' AS TIPOLOGIA_TESTE,'"&amp;D522&amp;"' AS TABELA_LT,'N/A' AS TABELA_SIMUL,'"&amp;F522&amp;"' AS CAMPO, "&amp;"'${ref_date}' AS REF_DATE, COUNT(*) AS NUM_REG, SUM(IF(TRIM(CAST(X."&amp;F522&amp;" AS STRING))='' OR TRIM(CAST(X."&amp;F522&amp;" AS STRING)) IS NULL OR CAST(X."&amp;F522&amp;" AS STRING) NOT "&amp;H522&amp;",1,0)) AS NUM_REG_DIF,'"&amp;MAX('ID1&amp;5'!K:K)+1&amp;"' AS ID_EXEC, CURRENT_TIMESTAMP() AS TIME_EXEC FROM "&amp;I522,"SELECT '"&amp;UPPER(B522)&amp;"' AS TABELA, '"&amp;UPPER(C522)&amp;"' AS TIPOLOGIA_TESTE,'"&amp;D522&amp;"' AS TABELA_LT,'N/A' AS TABELA_SIMUL,'"&amp;F522&amp;"' AS CAMPO, "&amp;"'${ref_date}' AS REF_DATE, COUNT(*) AS NUM_REG, SUM(IF(TRIM(CAST(X."&amp;F522&amp;" AS STRING))='' OR TRIM(CAST(X."&amp;F522&amp;" AS STRING)) IS NULL,1,0)) AS NUM_REG_DIF,'"&amp;MAX('ID1&amp;5'!K:K)+1&amp;"' AS ID_EXEC, CURRENT_TIMESTAMP() AS TIME_EXEC FROM "&amp;I522),
IF(C522="Caracteres Especiais",+"SELECT '"&amp;UPPER(B522)&amp;"' AS TABELA, '"&amp;UPPER(C522)&amp;"' AS TIPOLOGIA_TESTE,'"&amp;D522&amp;"' AS TABELA_LT,'N/A' AS TABELA_SIMUL,'"&amp;F522&amp;"' AS CAMPO, "&amp;"'${ref_date}' AS REF_DATE, COUNT(*) AS NUM_REG, SUM(IF(INSTR(CAST(X."&amp;F522&amp;" AS STRING),'#')&gt;0 OR INSTR(CAST(X."&amp;F522&amp;" AS STRING),'*')&gt;0 OR INSTR(CAST(X."&amp;F522&amp;" AS STRING),'`')&gt;0 OR INSTR(CAST(X."&amp;F522&amp;" AS STRING),'´')&gt;0 OR INSTR(CAST(X."&amp;F522&amp;" AS STRING),'{')&gt;0 OR INSTR(CAST(X."&amp;F522&amp;" AS STRING),'}')&gt;0 OR INSTR(CAST(X."&amp;F522&amp;" AS STRING),'[')&gt;0 OR INSTR(CAST(X."&amp;F522&amp;" AS STRING),'')&gt;0 OR INSTR(CAST(X."&amp;F522&amp;" AS STRING),']')&gt;0 OR INSTR(CAST(X."&amp;F522&amp;" AS STRING),'?')&gt;0 OR INSTR(CAST(X."&amp;F522&amp;" AS STRING),'!')&gt;0 OR INSTR(CAST(X."&amp;F522&amp;" AS STRING),'$')&gt;0 OR INSTR(CAST(X."&amp;F522&amp;" AS STRING),'%')&gt;0 OR INSTR(CAST(X."&amp;F522&amp;" AS STRING),'&amp;')&gt;0 OR INSTR(CAST(X."&amp;F522&amp;" AS STRING),'+')&gt;0,1,0)) AS NUM_REG_DIF,'"&amp;MAX('ID1&amp;5'!K:K)+1&amp;"' AS ID_EXEC, CURRENT_TIMESTAMP() AS TIME_EXEC FROM "&amp;I522,
IF(C522="Missings",+"SELECT '"&amp;UPPER(B522)&amp;"' AS TABELA, '"&amp;UPPER(C522)&amp;"' AS TIPOLOGIA_TESTE,'"&amp;D522&amp;"' AS TABELA_LT,'N/A' AS TABELA_SIMUL,'"&amp;F522&amp;"' AS CAMPO, "&amp;"'${ref_date}' AS REF_DATE, COUNT(*) AS NUM_REG, SUM(IF(TRIM(CAST(X."&amp;F522&amp;" AS STRING)) IN ('0000-00-00','0001-01-01','9999-12-31','MISS','00000','99999999999','99999999999.00','99999999999.000000'),1,0)) AS NUM_REG_DIF,'"&amp;MAX('ID1&amp;5'!K:K)+1&amp;"' AS ID_EXEC, CURRENT_TIMESTAMP() AS TIME_EXEC FROM "&amp;I522,
IF(C522="Not applicable",+"SELECT '"&amp;UPPER(B522)&amp;"' AS TABELA, '"&amp;UPPER(C522)&amp;"' AS TIPOLOGIA_TESTE,'"&amp;D522&amp;"' AS TABELA_LT,'N/A' AS TABELA_SIMUL,'"&amp;F522&amp;"' AS CAMPO, "&amp;"'${ref_date}' AS REF_DATE, COUNT(*) AS NUM_REG, SUM(IF(TRIM(CAST(X."&amp;F522&amp;" AS STRING)) IN ('N/A','11111111111','11111111111.00','11111111111.000000','1111-11-11'),1,0)) AS NUM_REG_DIF,'"&amp;MAX('ID1&amp;5'!K:K)+1&amp;"' AS ID_EXEC, CURRENT_TIMESTAMP() AS TIME_EXEC FROM "&amp;I522,
IF(C522="Valores extremos",+"SELECT '"&amp;UPPER(B522)&amp;"' AS TABELA, '"&amp;UPPER(C522)&amp;"' AS TIPOLOGIA_TESTE,'"&amp;D522&amp;"' AS TABELA_LT,'N/A' AS TABELA_SIMUL,'"&amp;F522&amp;"' AS CAMPO, "&amp;"'${ref_date}' AS REF_DATE, CAST(MIN("&amp;F522&amp;") AS STRING) AS VALOR_MIN, CAST(MAX("&amp;F522&amp;") AS STRING) AS VALOR_MAX,'"&amp;MAX('ID1&amp;5'!K:K)+1&amp;"' AS ID_EXEC, CURRENT_TIMESTAMP() AS TIME_EXEC FROM "&amp;MID(I522,1,LEN(I522)-2)&amp;" AND CAST("&amp;F522&amp;"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TABELA_SIMUL,'ECNMC_ACTVTY' AS CAMPO, '${ref_date}' AS REF_DATE, CAST(MIN(ECNMC_ACTVTY) AS STRING) AS VALOR_MIN, CAST(MAX(ECNMC_ACTVTY) AS STRING) AS VALOR_MAX,'10' AS ID_EXEC, CURRENT_TIMESTAMP() AS TIME_EXEC FROM (SELECT entty_id, ECNMC_ACTVTY FROM BU_LOANTAPE_WORK.LT003_ENTITY WHERE ref_date='${ref_date}' AND nome_perimetro='Individual Corporativo' AND segmento='ESTR' AND ambito='PILAR3' AND CAST(ECNMC_ACTVTY AS STRING) NOT IN ('0000-00-00','0001-01-01','9999-12-31','MISS','00000','99999999999','99999999999.00','99999999999.000000','N/A','11111111111','11111111111.00','11111111111.000000','1111-11-11'))X</v>
      </c>
      <c r="M522" s="43" t="str">
        <f t="shared" si="8"/>
        <v>UNION ALL SELECT 'ENTITY' AS TABELA, 'VALORES EXTREMOS' AS TIPOLOGIA_TESTE,'BU_LOANTAPE_WORK.LT003_ENTITY' AS TABELA_LT,'N/A' AS TABELA_SIMUL,'ECNMC_ACTVTY' AS CAMPO, '${ref_date}' AS REF_DATE, CAST(MIN(ECNMC_ACTVTY) AS STRING) AS VALOR_MIN, CAST(MAX(ECNMC_ACTVTY) AS STRING) AS VALOR_MAX,'10' AS ID_EXEC, CURRENT_TIMESTAMP() AS TIME_EXEC FROM (SELECT entty_id, ECNMC_ACTVTY FROM BU_LOANTAPE_WORK.LT003_ENTITY WHERE ref_date='${ref_date}' AND nome_perimetro='Individual Corporativo' AND segmento='ESTR' AND ambito='PILAR3' AND CAST(ECNMC_ACTVTY AS STRING) NOT IN ('0000-00-00','0001-01-01','9999-12-31','MISS','00000','99999999999','99999999999.00','99999999999.000000','N/A','11111111111','11111111111.00','11111111111.000000','1111-11-11'))X</v>
      </c>
      <c r="N522" s="45" t="s">
        <v>13</v>
      </c>
    </row>
    <row r="523" spans="2:14">
      <c r="B523" s="41" t="s">
        <v>23</v>
      </c>
      <c r="C523" s="41" t="s">
        <v>226</v>
      </c>
      <c r="D523" s="41" t="str">
        <f>+UPPER('0. Instruções'!$D$33&amp;"."&amp;VLOOKUP(B523,'0. Instruções'!$C$27:$D$31,2,FALSE))</f>
        <v>BU_LOANTAPE_WORK.LT003_ENTITY</v>
      </c>
      <c r="E523" s="41" t="str">
        <f>+UPPER('0. Instruções'!$D$34&amp;"."&amp;VLOOKUP(B523,'0. Instruções'!$C$27:$E$31,3,FALSE))</f>
        <v>BU_LOANTAPE_WORK.LT003_ENTTY_P3_NOV24</v>
      </c>
      <c r="F523" s="41" t="s">
        <v>185</v>
      </c>
      <c r="G523" s="41" t="s">
        <v>13</v>
      </c>
      <c r="H523" s="41"/>
      <c r="I523" s="41" t="str">
        <f>"(SELECT "&amp;VLOOKUP(B523,'0. Instruções'!$C$27:$G$31,4,FALSE)&amp;", "&amp;F523&amp;" FROM "&amp;D523&amp;" WHERE "&amp;'0. Instruções'!$D$40&amp;")X"</f>
        <v>(SELECT entty_id, GRP_EQTY FROM BU_LOANTAPE_WORK.LT003_ENTITY WHERE ref_date='${ref_date}' AND nome_perimetro='Individual Corporativo' AND segmento='ESTR' AND ambito='PILAR3')X</v>
      </c>
      <c r="J523" s="41" t="str">
        <f>"(SELECT "&amp;VLOOKUP(B523,'0. Instruções'!$C$27:$G$31,4,FALSE)&amp;" AS "&amp;VLOOKUP(B523,'0. Instruções'!$C$27:$G$31,4,FALSE)&amp;"_SIMUL, "&amp;F523&amp;" AS "&amp;F523&amp;"_SIMUL FROM "&amp;E523&amp;")Y"</f>
        <v>(SELECT entty_id AS entty_id_SIMUL, GRP_EQTY AS GRP_EQTY_SIMUL FROM BU_LOANTAPE_WORK.LT003_ENTTY_P3_NOV24)Y</v>
      </c>
      <c r="K523" s="42" t="str">
        <f>+UPPER("ON X."&amp;VLOOKUP(B523,'0. Instruções'!$C$27:$G$31,4,FALSE)&amp;"=Y."&amp;VLOOKUP(B523,'0. Instruções'!$C$27:$G$31,4,FALSE)&amp;"_SIMUL")</f>
        <v>ON X.ENTTY_ID=Y.ENTTY_ID_SIMUL</v>
      </c>
      <c r="L523" s="42" t="str">
        <f>+IF(C523="Coerência", +IF(LEFT(G523,5)="FLOAT","SELECT '"&amp;UPPER(B523)&amp;"' AS TABELA, '"&amp;UPPER(C523)&amp;"' AS TIPOLOGIA_TESTE,'"&amp;D523&amp;"' AS TABELA_LT,'"&amp;E523&amp;"' AS TABELA_SIMUL,'"&amp;F523&amp;"' AS CAMPO, "&amp;"'${ref_date}' AS REF_DATE, COUNT(*) AS NUM_REG, SUM(IF((ABS(COALESCE(X."&amp;F523&amp;",0)-COALESCE(Y."&amp;F523&amp;"_SIMUL,0))&gt;0.0000000001) OR (X."&amp;F523&amp;" IS NULL AND Y."&amp;F523&amp;"_SIMUL IS NOT NULL ) OR (X."&amp;F523&amp;" IS NOT NULL AND Y."&amp;F523&amp;"_SIMUL IS NULL),1,0)) AS NUM_REG_DIF,'"&amp;MAX('ID1&amp;5'!K:K)+1&amp;"' AS ID_EXEC, CURRENT_TIMESTAMP() AS TIME_EXEC FROM "&amp;I523&amp;" INNER JOIN "&amp;J523&amp;" "&amp;K523,"SELECT '"&amp;UPPER(B523)&amp;"' AS TABELA, '"&amp;UPPER(C523)&amp;"' AS TIPOLOGIA_TESTE,'"&amp;D523&amp;"' AS TABELA_LT,'"&amp;E523&amp;"' AS TABELA_SIMUL,'"&amp;F523&amp;"' AS CAMPO, "&amp;"'${ref_date}' AS REF_DATE, COUNT(*) AS NUM_REG, SUM(IF(COALESCE(CAST(X."&amp;F523&amp;" AS STRING),'')&lt;&gt;COALESCE(CAST(Y."&amp;F523&amp;"_SIMUL AS STRING),''),1,0)) AS NUM_REG_DIF,'"&amp;MAX('ID1&amp;5'!L:L)+1&amp;"' AS ID_EXEC, CURRENT_TIMESTAMP() AS TIME_EXEC FROM "&amp;I523&amp;" INNER JOIN "&amp;J523&amp;" "&amp;K523),
IF(C523="Validade",+IF(G523="Code List","SELECT '"&amp;UPPER(B523)&amp;"' AS TABELA, '"&amp;UPPER(C523)&amp;"' AS TIPOLOGIA_TESTE,'"&amp;D523&amp;"' AS TABELA_LT,'N/A' AS TABELA_SIMUL,'"&amp;F523&amp;"' AS CAMPO, "&amp;"'${ref_date}' AS REF_DATE, COUNT(*) AS NUM_REG, SUM(IF(TRIM(CAST(X."&amp;F523&amp;" AS STRING))='' OR TRIM(CAST(X."&amp;F523&amp;" AS STRING)) IS NULL OR CAST(X."&amp;F523&amp;" AS STRING) NOT "&amp;H523&amp;",1,0)) AS NUM_REG_DIF,'"&amp;MAX('ID1&amp;5'!K:K)+1&amp;"' AS ID_EXEC, CURRENT_TIMESTAMP() AS TIME_EXEC FROM "&amp;I523,"SELECT '"&amp;UPPER(B523)&amp;"' AS TABELA, '"&amp;UPPER(C523)&amp;"' AS TIPOLOGIA_TESTE,'"&amp;D523&amp;"' AS TABELA_LT,'N/A' AS TABELA_SIMUL,'"&amp;F523&amp;"' AS CAMPO, "&amp;"'${ref_date}' AS REF_DATE, COUNT(*) AS NUM_REG, SUM(IF(TRIM(CAST(X."&amp;F523&amp;" AS STRING))='' OR TRIM(CAST(X."&amp;F523&amp;" AS STRING)) IS NULL,1,0)) AS NUM_REG_DIF,'"&amp;MAX('ID1&amp;5'!K:K)+1&amp;"' AS ID_EXEC, CURRENT_TIMESTAMP() AS TIME_EXEC FROM "&amp;I523),
IF(C523="Caracteres Especiais",+"SELECT '"&amp;UPPER(B523)&amp;"' AS TABELA, '"&amp;UPPER(C523)&amp;"' AS TIPOLOGIA_TESTE,'"&amp;D523&amp;"' AS TABELA_LT,'N/A' AS TABELA_SIMUL,'"&amp;F523&amp;"' AS CAMPO, "&amp;"'${ref_date}' AS REF_DATE, COUNT(*) AS NUM_REG, SUM(IF(INSTR(CAST(X."&amp;F523&amp;" AS STRING),'#')&gt;0 OR INSTR(CAST(X."&amp;F523&amp;" AS STRING),'*')&gt;0 OR INSTR(CAST(X."&amp;F523&amp;" AS STRING),'`')&gt;0 OR INSTR(CAST(X."&amp;F523&amp;" AS STRING),'´')&gt;0 OR INSTR(CAST(X."&amp;F523&amp;" AS STRING),'{')&gt;0 OR INSTR(CAST(X."&amp;F523&amp;" AS STRING),'}')&gt;0 OR INSTR(CAST(X."&amp;F523&amp;" AS STRING),'[')&gt;0 OR INSTR(CAST(X."&amp;F523&amp;" AS STRING),'')&gt;0 OR INSTR(CAST(X."&amp;F523&amp;" AS STRING),']')&gt;0 OR INSTR(CAST(X."&amp;F523&amp;" AS STRING),'?')&gt;0 OR INSTR(CAST(X."&amp;F523&amp;" AS STRING),'!')&gt;0 OR INSTR(CAST(X."&amp;F523&amp;" AS STRING),'$')&gt;0 OR INSTR(CAST(X."&amp;F523&amp;" AS STRING),'%')&gt;0 OR INSTR(CAST(X."&amp;F523&amp;" AS STRING),'&amp;')&gt;0 OR INSTR(CAST(X."&amp;F523&amp;" AS STRING),'+')&gt;0,1,0)) AS NUM_REG_DIF,'"&amp;MAX('ID1&amp;5'!K:K)+1&amp;"' AS ID_EXEC, CURRENT_TIMESTAMP() AS TIME_EXEC FROM "&amp;I523,
IF(C523="Missings",+"SELECT '"&amp;UPPER(B523)&amp;"' AS TABELA, '"&amp;UPPER(C523)&amp;"' AS TIPOLOGIA_TESTE,'"&amp;D523&amp;"' AS TABELA_LT,'N/A' AS TABELA_SIMUL,'"&amp;F523&amp;"' AS CAMPO, "&amp;"'${ref_date}' AS REF_DATE, COUNT(*) AS NUM_REG, SUM(IF(TRIM(CAST(X."&amp;F523&amp;" AS STRING)) IN ('0000-00-00','0001-01-01','9999-12-31','MISS','00000','99999999999','99999999999.00','99999999999.000000'),1,0)) AS NUM_REG_DIF,'"&amp;MAX('ID1&amp;5'!K:K)+1&amp;"' AS ID_EXEC, CURRENT_TIMESTAMP() AS TIME_EXEC FROM "&amp;I523,
IF(C523="Not applicable",+"SELECT '"&amp;UPPER(B523)&amp;"' AS TABELA, '"&amp;UPPER(C523)&amp;"' AS TIPOLOGIA_TESTE,'"&amp;D523&amp;"' AS TABELA_LT,'N/A' AS TABELA_SIMUL,'"&amp;F523&amp;"' AS CAMPO, "&amp;"'${ref_date}' AS REF_DATE, COUNT(*) AS NUM_REG, SUM(IF(TRIM(CAST(X."&amp;F523&amp;" AS STRING)) IN ('N/A','11111111111','11111111111.00','11111111111.000000','1111-11-11'),1,0)) AS NUM_REG_DIF,'"&amp;MAX('ID1&amp;5'!K:K)+1&amp;"' AS ID_EXEC, CURRENT_TIMESTAMP() AS TIME_EXEC FROM "&amp;I523,
IF(C523="Valores extremos",+"SELECT '"&amp;UPPER(B523)&amp;"' AS TABELA, '"&amp;UPPER(C523)&amp;"' AS TIPOLOGIA_TESTE,'"&amp;D523&amp;"' AS TABELA_LT,'N/A' AS TABELA_SIMUL,'"&amp;F523&amp;"' AS CAMPO, "&amp;"'${ref_date}' AS REF_DATE, CAST(MIN("&amp;F523&amp;") AS STRING) AS VALOR_MIN, CAST(MAX("&amp;F523&amp;") AS STRING) AS VALOR_MAX,'"&amp;MAX('ID1&amp;5'!K:K)+1&amp;"' AS ID_EXEC, CURRENT_TIMESTAMP() AS TIME_EXEC FROM "&amp;MID(I523,1,LEN(I523)-2)&amp;" AND CAST("&amp;F523&amp;"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TABELA_SIMUL,'GRP_EQTY' AS CAMPO, '${ref_date}' AS REF_DATE, CAST(MIN(GRP_EQTY) AS STRING) AS VALOR_MIN, CAST(MAX(GRP_EQTY) AS STRING) AS VALOR_MAX,'10' AS ID_EXEC, CURRENT_TIMESTAMP() AS TIME_EXEC FROM (SELECT entty_id, GRP_EQTY FROM BU_LOANTAPE_WORK.LT003_ENTITY WHERE ref_date='${ref_date}' AND nome_perimetro='Individual Corporativo' AND segmento='ESTR' AND ambito='PILAR3' AND CAST(GRP_EQTY AS STRING) NOT IN ('0000-00-00','0001-01-01','9999-12-31','MISS','00000','99999999999','99999999999.00','99999999999.000000','N/A','11111111111','11111111111.00','11111111111.000000','1111-11-11'))X</v>
      </c>
      <c r="M523" s="43" t="str">
        <f t="shared" si="8"/>
        <v>UNION ALL SELECT 'ENTITY' AS TABELA, 'VALORES EXTREMOS' AS TIPOLOGIA_TESTE,'BU_LOANTAPE_WORK.LT003_ENTITY' AS TABELA_LT,'N/A' AS TABELA_SIMUL,'GRP_EQTY' AS CAMPO, '${ref_date}' AS REF_DATE, CAST(MIN(GRP_EQTY) AS STRING) AS VALOR_MIN, CAST(MAX(GRP_EQTY) AS STRING) AS VALOR_MAX,'10' AS ID_EXEC, CURRENT_TIMESTAMP() AS TIME_EXEC FROM (SELECT entty_id, GRP_EQTY FROM BU_LOANTAPE_WORK.LT003_ENTITY WHERE ref_date='${ref_date}' AND nome_perimetro='Individual Corporativo' AND segmento='ESTR' AND ambito='PILAR3' AND CAST(GRP_EQTY AS STRING) NOT IN ('0000-00-00','0001-01-01','9999-12-31','MISS','00000','99999999999','99999999999.00','99999999999.000000','N/A','11111111111','11111111111.00','11111111111.000000','1111-11-11'))X</v>
      </c>
      <c r="N523" s="45" t="s">
        <v>13</v>
      </c>
    </row>
    <row r="524" spans="2:14">
      <c r="B524" s="41" t="s">
        <v>23</v>
      </c>
      <c r="C524" s="41" t="s">
        <v>226</v>
      </c>
      <c r="D524" s="41" t="str">
        <f>+UPPER('0. Instruções'!$D$33&amp;"."&amp;VLOOKUP(B524,'0. Instruções'!$C$27:$D$31,2,FALSE))</f>
        <v>BU_LOANTAPE_WORK.LT003_ENTITY</v>
      </c>
      <c r="E524" s="41" t="str">
        <f>+UPPER('0. Instruções'!$D$34&amp;"."&amp;VLOOKUP(B524,'0. Instruções'!$C$27:$E$31,3,FALSE))</f>
        <v>BU_LOANTAPE_WORK.LT003_ENTTY_P3_NOV24</v>
      </c>
      <c r="F524" s="41" t="s">
        <v>186</v>
      </c>
      <c r="G524" s="41" t="s">
        <v>13</v>
      </c>
      <c r="H524" s="41"/>
      <c r="I524" s="41" t="str">
        <f>"(SELECT "&amp;VLOOKUP(B524,'0. Instruções'!$C$27:$G$31,4,FALSE)&amp;", "&amp;F524&amp;" FROM "&amp;D524&amp;" WHERE "&amp;'0. Instruções'!$D$40&amp;")X"</f>
        <v>(SELECT entty_id, ANNL_TRNVR_LE FROM BU_LOANTAPE_WORK.LT003_ENTITY WHERE ref_date='${ref_date}' AND nome_perimetro='Individual Corporativo' AND segmento='ESTR' AND ambito='PILAR3')X</v>
      </c>
      <c r="J524" s="41" t="str">
        <f>"(SELECT "&amp;VLOOKUP(B524,'0. Instruções'!$C$27:$G$31,4,FALSE)&amp;" AS "&amp;VLOOKUP(B524,'0. Instruções'!$C$27:$G$31,4,FALSE)&amp;"_SIMUL, "&amp;F524&amp;" AS "&amp;F524&amp;"_SIMUL FROM "&amp;E524&amp;")Y"</f>
        <v>(SELECT entty_id AS entty_id_SIMUL, ANNL_TRNVR_LE AS ANNL_TRNVR_LE_SIMUL FROM BU_LOANTAPE_WORK.LT003_ENTTY_P3_NOV24)Y</v>
      </c>
      <c r="K524" s="42" t="str">
        <f>+UPPER("ON X."&amp;VLOOKUP(B524,'0. Instruções'!$C$27:$G$31,4,FALSE)&amp;"=Y."&amp;VLOOKUP(B524,'0. Instruções'!$C$27:$G$31,4,FALSE)&amp;"_SIMUL")</f>
        <v>ON X.ENTTY_ID=Y.ENTTY_ID_SIMUL</v>
      </c>
      <c r="L524" s="42" t="str">
        <f>+IF(C524="Coerência", +IF(LEFT(G524,5)="FLOAT","SELECT '"&amp;UPPER(B524)&amp;"' AS TABELA, '"&amp;UPPER(C524)&amp;"' AS TIPOLOGIA_TESTE,'"&amp;D524&amp;"' AS TABELA_LT,'"&amp;E524&amp;"' AS TABELA_SIMUL,'"&amp;F524&amp;"' AS CAMPO, "&amp;"'${ref_date}' AS REF_DATE, COUNT(*) AS NUM_REG, SUM(IF((ABS(COALESCE(X."&amp;F524&amp;",0)-COALESCE(Y."&amp;F524&amp;"_SIMUL,0))&gt;0.0000000001) OR (X."&amp;F524&amp;" IS NULL AND Y."&amp;F524&amp;"_SIMUL IS NOT NULL ) OR (X."&amp;F524&amp;" IS NOT NULL AND Y."&amp;F524&amp;"_SIMUL IS NULL),1,0)) AS NUM_REG_DIF,'"&amp;MAX('ID1&amp;5'!K:K)+1&amp;"' AS ID_EXEC, CURRENT_TIMESTAMP() AS TIME_EXEC FROM "&amp;I524&amp;" INNER JOIN "&amp;J524&amp;" "&amp;K524,"SELECT '"&amp;UPPER(B524)&amp;"' AS TABELA, '"&amp;UPPER(C524)&amp;"' AS TIPOLOGIA_TESTE,'"&amp;D524&amp;"' AS TABELA_LT,'"&amp;E524&amp;"' AS TABELA_SIMUL,'"&amp;F524&amp;"' AS CAMPO, "&amp;"'${ref_date}' AS REF_DATE, COUNT(*) AS NUM_REG, SUM(IF(COALESCE(CAST(X."&amp;F524&amp;" AS STRING),'')&lt;&gt;COALESCE(CAST(Y."&amp;F524&amp;"_SIMUL AS STRING),''),1,0)) AS NUM_REG_DIF,'"&amp;MAX('ID1&amp;5'!L:L)+1&amp;"' AS ID_EXEC, CURRENT_TIMESTAMP() AS TIME_EXEC FROM "&amp;I524&amp;" INNER JOIN "&amp;J524&amp;" "&amp;K524),
IF(C524="Validade",+IF(G524="Code List","SELECT '"&amp;UPPER(B524)&amp;"' AS TABELA, '"&amp;UPPER(C524)&amp;"' AS TIPOLOGIA_TESTE,'"&amp;D524&amp;"' AS TABELA_LT,'N/A' AS TABELA_SIMUL,'"&amp;F524&amp;"' AS CAMPO, "&amp;"'${ref_date}' AS REF_DATE, COUNT(*) AS NUM_REG, SUM(IF(TRIM(CAST(X."&amp;F524&amp;" AS STRING))='' OR TRIM(CAST(X."&amp;F524&amp;" AS STRING)) IS NULL OR CAST(X."&amp;F524&amp;" AS STRING) NOT "&amp;H524&amp;",1,0)) AS NUM_REG_DIF,'"&amp;MAX('ID1&amp;5'!K:K)+1&amp;"' AS ID_EXEC, CURRENT_TIMESTAMP() AS TIME_EXEC FROM "&amp;I524,"SELECT '"&amp;UPPER(B524)&amp;"' AS TABELA, '"&amp;UPPER(C524)&amp;"' AS TIPOLOGIA_TESTE,'"&amp;D524&amp;"' AS TABELA_LT,'N/A' AS TABELA_SIMUL,'"&amp;F524&amp;"' AS CAMPO, "&amp;"'${ref_date}' AS REF_DATE, COUNT(*) AS NUM_REG, SUM(IF(TRIM(CAST(X."&amp;F524&amp;" AS STRING))='' OR TRIM(CAST(X."&amp;F524&amp;" AS STRING)) IS NULL,1,0)) AS NUM_REG_DIF,'"&amp;MAX('ID1&amp;5'!K:K)+1&amp;"' AS ID_EXEC, CURRENT_TIMESTAMP() AS TIME_EXEC FROM "&amp;I524),
IF(C524="Caracteres Especiais",+"SELECT '"&amp;UPPER(B524)&amp;"' AS TABELA, '"&amp;UPPER(C524)&amp;"' AS TIPOLOGIA_TESTE,'"&amp;D524&amp;"' AS TABELA_LT,'N/A' AS TABELA_SIMUL,'"&amp;F524&amp;"' AS CAMPO, "&amp;"'${ref_date}' AS REF_DATE, COUNT(*) AS NUM_REG, SUM(IF(INSTR(CAST(X."&amp;F524&amp;" AS STRING),'#')&gt;0 OR INSTR(CAST(X."&amp;F524&amp;" AS STRING),'*')&gt;0 OR INSTR(CAST(X."&amp;F524&amp;" AS STRING),'`')&gt;0 OR INSTR(CAST(X."&amp;F524&amp;" AS STRING),'´')&gt;0 OR INSTR(CAST(X."&amp;F524&amp;" AS STRING),'{')&gt;0 OR INSTR(CAST(X."&amp;F524&amp;" AS STRING),'}')&gt;0 OR INSTR(CAST(X."&amp;F524&amp;" AS STRING),'[')&gt;0 OR INSTR(CAST(X."&amp;F524&amp;" AS STRING),'')&gt;0 OR INSTR(CAST(X."&amp;F524&amp;" AS STRING),']')&gt;0 OR INSTR(CAST(X."&amp;F524&amp;" AS STRING),'?')&gt;0 OR INSTR(CAST(X."&amp;F524&amp;" AS STRING),'!')&gt;0 OR INSTR(CAST(X."&amp;F524&amp;" AS STRING),'$')&gt;0 OR INSTR(CAST(X."&amp;F524&amp;" AS STRING),'%')&gt;0 OR INSTR(CAST(X."&amp;F524&amp;" AS STRING),'&amp;')&gt;0 OR INSTR(CAST(X."&amp;F524&amp;" AS STRING),'+')&gt;0,1,0)) AS NUM_REG_DIF,'"&amp;MAX('ID1&amp;5'!K:K)+1&amp;"' AS ID_EXEC, CURRENT_TIMESTAMP() AS TIME_EXEC FROM "&amp;I524,
IF(C524="Missings",+"SELECT '"&amp;UPPER(B524)&amp;"' AS TABELA, '"&amp;UPPER(C524)&amp;"' AS TIPOLOGIA_TESTE,'"&amp;D524&amp;"' AS TABELA_LT,'N/A' AS TABELA_SIMUL,'"&amp;F524&amp;"' AS CAMPO, "&amp;"'${ref_date}' AS REF_DATE, COUNT(*) AS NUM_REG, SUM(IF(TRIM(CAST(X."&amp;F524&amp;" AS STRING)) IN ('0000-00-00','0001-01-01','9999-12-31','MISS','00000','99999999999','99999999999.00','99999999999.000000'),1,0)) AS NUM_REG_DIF,'"&amp;MAX('ID1&amp;5'!K:K)+1&amp;"' AS ID_EXEC, CURRENT_TIMESTAMP() AS TIME_EXEC FROM "&amp;I524,
IF(C524="Not applicable",+"SELECT '"&amp;UPPER(B524)&amp;"' AS TABELA, '"&amp;UPPER(C524)&amp;"' AS TIPOLOGIA_TESTE,'"&amp;D524&amp;"' AS TABELA_LT,'N/A' AS TABELA_SIMUL,'"&amp;F524&amp;"' AS CAMPO, "&amp;"'${ref_date}' AS REF_DATE, COUNT(*) AS NUM_REG, SUM(IF(TRIM(CAST(X."&amp;F524&amp;" AS STRING)) IN ('N/A','11111111111','11111111111.00','11111111111.000000','1111-11-11'),1,0)) AS NUM_REG_DIF,'"&amp;MAX('ID1&amp;5'!K:K)+1&amp;"' AS ID_EXEC, CURRENT_TIMESTAMP() AS TIME_EXEC FROM "&amp;I524,
IF(C524="Valores extremos",+"SELECT '"&amp;UPPER(B524)&amp;"' AS TABELA, '"&amp;UPPER(C524)&amp;"' AS TIPOLOGIA_TESTE,'"&amp;D524&amp;"' AS TABELA_LT,'N/A' AS TABELA_SIMUL,'"&amp;F524&amp;"' AS CAMPO, "&amp;"'${ref_date}' AS REF_DATE, CAST(MIN("&amp;F524&amp;") AS STRING) AS VALOR_MIN, CAST(MAX("&amp;F524&amp;") AS STRING) AS VALOR_MAX,'"&amp;MAX('ID1&amp;5'!K:K)+1&amp;"' AS ID_EXEC, CURRENT_TIMESTAMP() AS TIME_EXEC FROM "&amp;MID(I524,1,LEN(I524)-2)&amp;" AND CAST("&amp;F524&amp;"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TABELA_SIMUL,'ANNL_TRNVR_LE' AS CAMPO, '${ref_date}' AS REF_DATE, CAST(MIN(ANNL_TRNVR_LE) AS STRING) AS VALOR_MIN, CAST(MAX(ANNL_TRNVR_LE) AS STRING) AS VALOR_MAX,'10' AS ID_EXEC, CURRENT_TIMESTAMP() AS TIME_EXEC FROM (SELECT entty_id, ANNL_TRNVR_LE FROM BU_LOANTAPE_WORK.LT003_ENTITY WHERE ref_date='${ref_date}' AND nome_perimetro='Individual Corporativo' AND segmento='ESTR' AND ambito='PILAR3' AND CAST(ANNL_TRNVR_LE AS STRING) NOT IN ('0000-00-00','0001-01-01','9999-12-31','MISS','00000','99999999999','99999999999.00','99999999999.000000','N/A','11111111111','11111111111.00','11111111111.000000','1111-11-11'))X</v>
      </c>
      <c r="M524" s="43" t="str">
        <f t="shared" si="8"/>
        <v>UNION ALL SELECT 'ENTITY' AS TABELA, 'VALORES EXTREMOS' AS TIPOLOGIA_TESTE,'BU_LOANTAPE_WORK.LT003_ENTITY' AS TABELA_LT,'N/A' AS TABELA_SIMUL,'ANNL_TRNVR_LE' AS CAMPO, '${ref_date}' AS REF_DATE, CAST(MIN(ANNL_TRNVR_LE) AS STRING) AS VALOR_MIN, CAST(MAX(ANNL_TRNVR_LE) AS STRING) AS VALOR_MAX,'10' AS ID_EXEC, CURRENT_TIMESTAMP() AS TIME_EXEC FROM (SELECT entty_id, ANNL_TRNVR_LE FROM BU_LOANTAPE_WORK.LT003_ENTITY WHERE ref_date='${ref_date}' AND nome_perimetro='Individual Corporativo' AND segmento='ESTR' AND ambito='PILAR3' AND CAST(ANNL_TRNVR_LE AS STRING) NOT IN ('0000-00-00','0001-01-01','9999-12-31','MISS','00000','99999999999','99999999999.00','99999999999.000000','N/A','11111111111','11111111111.00','11111111111.000000','1111-11-11'))X</v>
      </c>
      <c r="N524" s="45" t="s">
        <v>13</v>
      </c>
    </row>
    <row r="525" spans="2:14">
      <c r="B525" s="41" t="s">
        <v>23</v>
      </c>
      <c r="C525" s="41" t="s">
        <v>226</v>
      </c>
      <c r="D525" s="41" t="str">
        <f>+UPPER('0. Instruções'!$D$33&amp;"."&amp;VLOOKUP(B525,'0. Instruções'!$C$27:$D$31,2,FALSE))</f>
        <v>BU_LOANTAPE_WORK.LT003_ENTITY</v>
      </c>
      <c r="E525" s="41" t="str">
        <f>+UPPER('0. Instruções'!$D$34&amp;"."&amp;VLOOKUP(B525,'0. Instruções'!$C$27:$E$31,3,FALSE))</f>
        <v>BU_LOANTAPE_WORK.LT003_ENTTY_P3_NOV24</v>
      </c>
      <c r="F525" s="41" t="s">
        <v>187</v>
      </c>
      <c r="G525" s="41" t="s">
        <v>13</v>
      </c>
      <c r="H525" s="41"/>
      <c r="I525" s="41" t="str">
        <f>"(SELECT "&amp;VLOOKUP(B525,'0. Instruções'!$C$27:$G$31,4,FALSE)&amp;", "&amp;F525&amp;" FROM "&amp;D525&amp;" WHERE "&amp;'0. Instruções'!$D$40&amp;")X"</f>
        <v>(SELECT entty_id, EQTY FROM BU_LOANTAPE_WORK.LT003_ENTITY WHERE ref_date='${ref_date}' AND nome_perimetro='Individual Corporativo' AND segmento='ESTR' AND ambito='PILAR3')X</v>
      </c>
      <c r="J525" s="41" t="str">
        <f>"(SELECT "&amp;VLOOKUP(B525,'0. Instruções'!$C$27:$G$31,4,FALSE)&amp;" AS "&amp;VLOOKUP(B525,'0. Instruções'!$C$27:$G$31,4,FALSE)&amp;"_SIMUL, "&amp;F525&amp;" AS "&amp;F525&amp;"_SIMUL FROM "&amp;E525&amp;")Y"</f>
        <v>(SELECT entty_id AS entty_id_SIMUL, EQTY AS EQTY_SIMUL FROM BU_LOANTAPE_WORK.LT003_ENTTY_P3_NOV24)Y</v>
      </c>
      <c r="K525" s="42" t="str">
        <f>+UPPER("ON X."&amp;VLOOKUP(B525,'0. Instruções'!$C$27:$G$31,4,FALSE)&amp;"=Y."&amp;VLOOKUP(B525,'0. Instruções'!$C$27:$G$31,4,FALSE)&amp;"_SIMUL")</f>
        <v>ON X.ENTTY_ID=Y.ENTTY_ID_SIMUL</v>
      </c>
      <c r="L525" s="42" t="str">
        <f>+IF(C525="Coerência", +IF(LEFT(G525,5)="FLOAT","SELECT '"&amp;UPPER(B525)&amp;"' AS TABELA, '"&amp;UPPER(C525)&amp;"' AS TIPOLOGIA_TESTE,'"&amp;D525&amp;"' AS TABELA_LT,'"&amp;E525&amp;"' AS TABELA_SIMUL,'"&amp;F525&amp;"' AS CAMPO, "&amp;"'${ref_date}' AS REF_DATE, COUNT(*) AS NUM_REG, SUM(IF((ABS(COALESCE(X."&amp;F525&amp;",0)-COALESCE(Y."&amp;F525&amp;"_SIMUL,0))&gt;0.0000000001) OR (X."&amp;F525&amp;" IS NULL AND Y."&amp;F525&amp;"_SIMUL IS NOT NULL ) OR (X."&amp;F525&amp;" IS NOT NULL AND Y."&amp;F525&amp;"_SIMUL IS NULL),1,0)) AS NUM_REG_DIF,'"&amp;MAX('ID1&amp;5'!K:K)+1&amp;"' AS ID_EXEC, CURRENT_TIMESTAMP() AS TIME_EXEC FROM "&amp;I525&amp;" INNER JOIN "&amp;J525&amp;" "&amp;K525,"SELECT '"&amp;UPPER(B525)&amp;"' AS TABELA, '"&amp;UPPER(C525)&amp;"' AS TIPOLOGIA_TESTE,'"&amp;D525&amp;"' AS TABELA_LT,'"&amp;E525&amp;"' AS TABELA_SIMUL,'"&amp;F525&amp;"' AS CAMPO, "&amp;"'${ref_date}' AS REF_DATE, COUNT(*) AS NUM_REG, SUM(IF(COALESCE(CAST(X."&amp;F525&amp;" AS STRING),'')&lt;&gt;COALESCE(CAST(Y."&amp;F525&amp;"_SIMUL AS STRING),''),1,0)) AS NUM_REG_DIF,'"&amp;MAX('ID1&amp;5'!L:L)+1&amp;"' AS ID_EXEC, CURRENT_TIMESTAMP() AS TIME_EXEC FROM "&amp;I525&amp;" INNER JOIN "&amp;J525&amp;" "&amp;K525),
IF(C525="Validade",+IF(G525="Code List","SELECT '"&amp;UPPER(B525)&amp;"' AS TABELA, '"&amp;UPPER(C525)&amp;"' AS TIPOLOGIA_TESTE,'"&amp;D525&amp;"' AS TABELA_LT,'N/A' AS TABELA_SIMUL,'"&amp;F525&amp;"' AS CAMPO, "&amp;"'${ref_date}' AS REF_DATE, COUNT(*) AS NUM_REG, SUM(IF(TRIM(CAST(X."&amp;F525&amp;" AS STRING))='' OR TRIM(CAST(X."&amp;F525&amp;" AS STRING)) IS NULL OR CAST(X."&amp;F525&amp;" AS STRING) NOT "&amp;H525&amp;",1,0)) AS NUM_REG_DIF,'"&amp;MAX('ID1&amp;5'!K:K)+1&amp;"' AS ID_EXEC, CURRENT_TIMESTAMP() AS TIME_EXEC FROM "&amp;I525,"SELECT '"&amp;UPPER(B525)&amp;"' AS TABELA, '"&amp;UPPER(C525)&amp;"' AS TIPOLOGIA_TESTE,'"&amp;D525&amp;"' AS TABELA_LT,'N/A' AS TABELA_SIMUL,'"&amp;F525&amp;"' AS CAMPO, "&amp;"'${ref_date}' AS REF_DATE, COUNT(*) AS NUM_REG, SUM(IF(TRIM(CAST(X."&amp;F525&amp;" AS STRING))='' OR TRIM(CAST(X."&amp;F525&amp;" AS STRING)) IS NULL,1,0)) AS NUM_REG_DIF,'"&amp;MAX('ID1&amp;5'!K:K)+1&amp;"' AS ID_EXEC, CURRENT_TIMESTAMP() AS TIME_EXEC FROM "&amp;I525),
IF(C525="Caracteres Especiais",+"SELECT '"&amp;UPPER(B525)&amp;"' AS TABELA, '"&amp;UPPER(C525)&amp;"' AS TIPOLOGIA_TESTE,'"&amp;D525&amp;"' AS TABELA_LT,'N/A' AS TABELA_SIMUL,'"&amp;F525&amp;"' AS CAMPO, "&amp;"'${ref_date}' AS REF_DATE, COUNT(*) AS NUM_REG, SUM(IF(INSTR(CAST(X."&amp;F525&amp;" AS STRING),'#')&gt;0 OR INSTR(CAST(X."&amp;F525&amp;" AS STRING),'*')&gt;0 OR INSTR(CAST(X."&amp;F525&amp;" AS STRING),'`')&gt;0 OR INSTR(CAST(X."&amp;F525&amp;" AS STRING),'´')&gt;0 OR INSTR(CAST(X."&amp;F525&amp;" AS STRING),'{')&gt;0 OR INSTR(CAST(X."&amp;F525&amp;" AS STRING),'}')&gt;0 OR INSTR(CAST(X."&amp;F525&amp;" AS STRING),'[')&gt;0 OR INSTR(CAST(X."&amp;F525&amp;" AS STRING),'')&gt;0 OR INSTR(CAST(X."&amp;F525&amp;" AS STRING),']')&gt;0 OR INSTR(CAST(X."&amp;F525&amp;" AS STRING),'?')&gt;0 OR INSTR(CAST(X."&amp;F525&amp;" AS STRING),'!')&gt;0 OR INSTR(CAST(X."&amp;F525&amp;" AS STRING),'$')&gt;0 OR INSTR(CAST(X."&amp;F525&amp;" AS STRING),'%')&gt;0 OR INSTR(CAST(X."&amp;F525&amp;" AS STRING),'&amp;')&gt;0 OR INSTR(CAST(X."&amp;F525&amp;" AS STRING),'+')&gt;0,1,0)) AS NUM_REG_DIF,'"&amp;MAX('ID1&amp;5'!K:K)+1&amp;"' AS ID_EXEC, CURRENT_TIMESTAMP() AS TIME_EXEC FROM "&amp;I525,
IF(C525="Missings",+"SELECT '"&amp;UPPER(B525)&amp;"' AS TABELA, '"&amp;UPPER(C525)&amp;"' AS TIPOLOGIA_TESTE,'"&amp;D525&amp;"' AS TABELA_LT,'N/A' AS TABELA_SIMUL,'"&amp;F525&amp;"' AS CAMPO, "&amp;"'${ref_date}' AS REF_DATE, COUNT(*) AS NUM_REG, SUM(IF(TRIM(CAST(X."&amp;F525&amp;" AS STRING)) IN ('0000-00-00','0001-01-01','9999-12-31','MISS','00000','99999999999','99999999999.00','99999999999.000000'),1,0)) AS NUM_REG_DIF,'"&amp;MAX('ID1&amp;5'!K:K)+1&amp;"' AS ID_EXEC, CURRENT_TIMESTAMP() AS TIME_EXEC FROM "&amp;I525,
IF(C525="Not applicable",+"SELECT '"&amp;UPPER(B525)&amp;"' AS TABELA, '"&amp;UPPER(C525)&amp;"' AS TIPOLOGIA_TESTE,'"&amp;D525&amp;"' AS TABELA_LT,'N/A' AS TABELA_SIMUL,'"&amp;F525&amp;"' AS CAMPO, "&amp;"'${ref_date}' AS REF_DATE, COUNT(*) AS NUM_REG, SUM(IF(TRIM(CAST(X."&amp;F525&amp;" AS STRING)) IN ('N/A','11111111111','11111111111.00','11111111111.000000','1111-11-11'),1,0)) AS NUM_REG_DIF,'"&amp;MAX('ID1&amp;5'!K:K)+1&amp;"' AS ID_EXEC, CURRENT_TIMESTAMP() AS TIME_EXEC FROM "&amp;I525,
IF(C525="Valores extremos",+"SELECT '"&amp;UPPER(B525)&amp;"' AS TABELA, '"&amp;UPPER(C525)&amp;"' AS TIPOLOGIA_TESTE,'"&amp;D525&amp;"' AS TABELA_LT,'N/A' AS TABELA_SIMUL,'"&amp;F525&amp;"' AS CAMPO, "&amp;"'${ref_date}' AS REF_DATE, CAST(MIN("&amp;F525&amp;") AS STRING) AS VALOR_MIN, CAST(MAX("&amp;F525&amp;") AS STRING) AS VALOR_MAX,'"&amp;MAX('ID1&amp;5'!K:K)+1&amp;"' AS ID_EXEC, CURRENT_TIMESTAMP() AS TIME_EXEC FROM "&amp;MID(I525,1,LEN(I525)-2)&amp;" AND CAST("&amp;F525&amp;"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TABELA_SIMUL,'EQTY' AS CAMPO, '${ref_date}' AS REF_DATE, CAST(MIN(EQTY) AS STRING) AS VALOR_MIN, CAST(MAX(EQTY) AS STRING) AS VALOR_MAX,'10' AS ID_EXEC, CURRENT_TIMESTAMP() AS TIME_EXEC FROM (SELECT entty_id, EQTY FROM BU_LOANTAPE_WORK.LT003_ENTITY WHERE ref_date='${ref_date}' AND nome_perimetro='Individual Corporativo' AND segmento='ESTR' AND ambito='PILAR3' AND CAST(EQTY AS STRING) NOT IN ('0000-00-00','0001-01-01','9999-12-31','MISS','00000','99999999999','99999999999.00','99999999999.000000','N/A','11111111111','11111111111.00','11111111111.000000','1111-11-11'))X</v>
      </c>
      <c r="M525" s="43" t="str">
        <f t="shared" si="8"/>
        <v>UNION ALL SELECT 'ENTITY' AS TABELA, 'VALORES EXTREMOS' AS TIPOLOGIA_TESTE,'BU_LOANTAPE_WORK.LT003_ENTITY' AS TABELA_LT,'N/A' AS TABELA_SIMUL,'EQTY' AS CAMPO, '${ref_date}' AS REF_DATE, CAST(MIN(EQTY) AS STRING) AS VALOR_MIN, CAST(MAX(EQTY) AS STRING) AS VALOR_MAX,'10' AS ID_EXEC, CURRENT_TIMESTAMP() AS TIME_EXEC FROM (SELECT entty_id, EQTY FROM BU_LOANTAPE_WORK.LT003_ENTITY WHERE ref_date='${ref_date}' AND nome_perimetro='Individual Corporativo' AND segmento='ESTR' AND ambito='PILAR3' AND CAST(EQTY AS STRING) NOT IN ('0000-00-00','0001-01-01','9999-12-31','MISS','00000','99999999999','99999999999.00','99999999999.000000','N/A','11111111111','11111111111.00','11111111111.000000','1111-11-11'))X</v>
      </c>
      <c r="N525" s="45" t="s">
        <v>13</v>
      </c>
    </row>
    <row r="526" spans="2:14">
      <c r="B526" s="41" t="s">
        <v>23</v>
      </c>
      <c r="C526" s="41" t="s">
        <v>226</v>
      </c>
      <c r="D526" s="41" t="str">
        <f>+UPPER('0. Instruções'!$D$33&amp;"."&amp;VLOOKUP(B526,'0. Instruções'!$C$27:$D$31,2,FALSE))</f>
        <v>BU_LOANTAPE_WORK.LT003_ENTITY</v>
      </c>
      <c r="E526" s="41" t="str">
        <f>+UPPER('0. Instruções'!$D$34&amp;"."&amp;VLOOKUP(B526,'0. Instruções'!$C$27:$E$31,3,FALSE))</f>
        <v>BU_LOANTAPE_WORK.LT003_ENTTY_P3_NOV24</v>
      </c>
      <c r="F526" s="41" t="s">
        <v>188</v>
      </c>
      <c r="G526" s="41" t="s">
        <v>13</v>
      </c>
      <c r="H526" s="41"/>
      <c r="I526" s="41" t="str">
        <f>"(SELECT "&amp;VLOOKUP(B526,'0. Instruções'!$C$27:$G$31,4,FALSE)&amp;", "&amp;F526&amp;" FROM "&amp;D526&amp;" WHERE "&amp;'0. Instruções'!$D$40&amp;")X"</f>
        <v>(SELECT entty_id, GRP_TTL_DBT FROM BU_LOANTAPE_WORK.LT003_ENTITY WHERE ref_date='${ref_date}' AND nome_perimetro='Individual Corporativo' AND segmento='ESTR' AND ambito='PILAR3')X</v>
      </c>
      <c r="J526" s="41" t="str">
        <f>"(SELECT "&amp;VLOOKUP(B526,'0. Instruções'!$C$27:$G$31,4,FALSE)&amp;" AS "&amp;VLOOKUP(B526,'0. Instruções'!$C$27:$G$31,4,FALSE)&amp;"_SIMUL, "&amp;F526&amp;" AS "&amp;F526&amp;"_SIMUL FROM "&amp;E526&amp;")Y"</f>
        <v>(SELECT entty_id AS entty_id_SIMUL, GRP_TTL_DBT AS GRP_TTL_DBT_SIMUL FROM BU_LOANTAPE_WORK.LT003_ENTTY_P3_NOV24)Y</v>
      </c>
      <c r="K526" s="42" t="str">
        <f>+UPPER("ON X."&amp;VLOOKUP(B526,'0. Instruções'!$C$27:$G$31,4,FALSE)&amp;"=Y."&amp;VLOOKUP(B526,'0. Instruções'!$C$27:$G$31,4,FALSE)&amp;"_SIMUL")</f>
        <v>ON X.ENTTY_ID=Y.ENTTY_ID_SIMUL</v>
      </c>
      <c r="L526" s="42" t="str">
        <f>+IF(C526="Coerência", +IF(LEFT(G526,5)="FLOAT","SELECT '"&amp;UPPER(B526)&amp;"' AS TABELA, '"&amp;UPPER(C526)&amp;"' AS TIPOLOGIA_TESTE,'"&amp;D526&amp;"' AS TABELA_LT,'"&amp;E526&amp;"' AS TABELA_SIMUL,'"&amp;F526&amp;"' AS CAMPO, "&amp;"'${ref_date}' AS REF_DATE, COUNT(*) AS NUM_REG, SUM(IF((ABS(COALESCE(X."&amp;F526&amp;",0)-COALESCE(Y."&amp;F526&amp;"_SIMUL,0))&gt;0.0000000001) OR (X."&amp;F526&amp;" IS NULL AND Y."&amp;F526&amp;"_SIMUL IS NOT NULL ) OR (X."&amp;F526&amp;" IS NOT NULL AND Y."&amp;F526&amp;"_SIMUL IS NULL),1,0)) AS NUM_REG_DIF,'"&amp;MAX('ID1&amp;5'!K:K)+1&amp;"' AS ID_EXEC, CURRENT_TIMESTAMP() AS TIME_EXEC FROM "&amp;I526&amp;" INNER JOIN "&amp;J526&amp;" "&amp;K526,"SELECT '"&amp;UPPER(B526)&amp;"' AS TABELA, '"&amp;UPPER(C526)&amp;"' AS TIPOLOGIA_TESTE,'"&amp;D526&amp;"' AS TABELA_LT,'"&amp;E526&amp;"' AS TABELA_SIMUL,'"&amp;F526&amp;"' AS CAMPO, "&amp;"'${ref_date}' AS REF_DATE, COUNT(*) AS NUM_REG, SUM(IF(COALESCE(CAST(X."&amp;F526&amp;" AS STRING),'')&lt;&gt;COALESCE(CAST(Y."&amp;F526&amp;"_SIMUL AS STRING),''),1,0)) AS NUM_REG_DIF,'"&amp;MAX('ID1&amp;5'!L:L)+1&amp;"' AS ID_EXEC, CURRENT_TIMESTAMP() AS TIME_EXEC FROM "&amp;I526&amp;" INNER JOIN "&amp;J526&amp;" "&amp;K526),
IF(C526="Validade",+IF(G526="Code List","SELECT '"&amp;UPPER(B526)&amp;"' AS TABELA, '"&amp;UPPER(C526)&amp;"' AS TIPOLOGIA_TESTE,'"&amp;D526&amp;"' AS TABELA_LT,'N/A' AS TABELA_SIMUL,'"&amp;F526&amp;"' AS CAMPO, "&amp;"'${ref_date}' AS REF_DATE, COUNT(*) AS NUM_REG, SUM(IF(TRIM(CAST(X."&amp;F526&amp;" AS STRING))='' OR TRIM(CAST(X."&amp;F526&amp;" AS STRING)) IS NULL OR CAST(X."&amp;F526&amp;" AS STRING) NOT "&amp;H526&amp;",1,0)) AS NUM_REG_DIF,'"&amp;MAX('ID1&amp;5'!K:K)+1&amp;"' AS ID_EXEC, CURRENT_TIMESTAMP() AS TIME_EXEC FROM "&amp;I526,"SELECT '"&amp;UPPER(B526)&amp;"' AS TABELA, '"&amp;UPPER(C526)&amp;"' AS TIPOLOGIA_TESTE,'"&amp;D526&amp;"' AS TABELA_LT,'N/A' AS TABELA_SIMUL,'"&amp;F526&amp;"' AS CAMPO, "&amp;"'${ref_date}' AS REF_DATE, COUNT(*) AS NUM_REG, SUM(IF(TRIM(CAST(X."&amp;F526&amp;" AS STRING))='' OR TRIM(CAST(X."&amp;F526&amp;" AS STRING)) IS NULL,1,0)) AS NUM_REG_DIF,'"&amp;MAX('ID1&amp;5'!K:K)+1&amp;"' AS ID_EXEC, CURRENT_TIMESTAMP() AS TIME_EXEC FROM "&amp;I526),
IF(C526="Caracteres Especiais",+"SELECT '"&amp;UPPER(B526)&amp;"' AS TABELA, '"&amp;UPPER(C526)&amp;"' AS TIPOLOGIA_TESTE,'"&amp;D526&amp;"' AS TABELA_LT,'N/A' AS TABELA_SIMUL,'"&amp;F526&amp;"' AS CAMPO, "&amp;"'${ref_date}' AS REF_DATE, COUNT(*) AS NUM_REG, SUM(IF(INSTR(CAST(X."&amp;F526&amp;" AS STRING),'#')&gt;0 OR INSTR(CAST(X."&amp;F526&amp;" AS STRING),'*')&gt;0 OR INSTR(CAST(X."&amp;F526&amp;" AS STRING),'`')&gt;0 OR INSTR(CAST(X."&amp;F526&amp;" AS STRING),'´')&gt;0 OR INSTR(CAST(X."&amp;F526&amp;" AS STRING),'{')&gt;0 OR INSTR(CAST(X."&amp;F526&amp;" AS STRING),'}')&gt;0 OR INSTR(CAST(X."&amp;F526&amp;" AS STRING),'[')&gt;0 OR INSTR(CAST(X."&amp;F526&amp;" AS STRING),'')&gt;0 OR INSTR(CAST(X."&amp;F526&amp;" AS STRING),']')&gt;0 OR INSTR(CAST(X."&amp;F526&amp;" AS STRING),'?')&gt;0 OR INSTR(CAST(X."&amp;F526&amp;" AS STRING),'!')&gt;0 OR INSTR(CAST(X."&amp;F526&amp;" AS STRING),'$')&gt;0 OR INSTR(CAST(X."&amp;F526&amp;" AS STRING),'%')&gt;0 OR INSTR(CAST(X."&amp;F526&amp;" AS STRING),'&amp;')&gt;0 OR INSTR(CAST(X."&amp;F526&amp;" AS STRING),'+')&gt;0,1,0)) AS NUM_REG_DIF,'"&amp;MAX('ID1&amp;5'!K:K)+1&amp;"' AS ID_EXEC, CURRENT_TIMESTAMP() AS TIME_EXEC FROM "&amp;I526,
IF(C526="Missings",+"SELECT '"&amp;UPPER(B526)&amp;"' AS TABELA, '"&amp;UPPER(C526)&amp;"' AS TIPOLOGIA_TESTE,'"&amp;D526&amp;"' AS TABELA_LT,'N/A' AS TABELA_SIMUL,'"&amp;F526&amp;"' AS CAMPO, "&amp;"'${ref_date}' AS REF_DATE, COUNT(*) AS NUM_REG, SUM(IF(TRIM(CAST(X."&amp;F526&amp;" AS STRING)) IN ('0000-00-00','0001-01-01','9999-12-31','MISS','00000','99999999999','99999999999.00','99999999999.000000'),1,0)) AS NUM_REG_DIF,'"&amp;MAX('ID1&amp;5'!K:K)+1&amp;"' AS ID_EXEC, CURRENT_TIMESTAMP() AS TIME_EXEC FROM "&amp;I526,
IF(C526="Not applicable",+"SELECT '"&amp;UPPER(B526)&amp;"' AS TABELA, '"&amp;UPPER(C526)&amp;"' AS TIPOLOGIA_TESTE,'"&amp;D526&amp;"' AS TABELA_LT,'N/A' AS TABELA_SIMUL,'"&amp;F526&amp;"' AS CAMPO, "&amp;"'${ref_date}' AS REF_DATE, COUNT(*) AS NUM_REG, SUM(IF(TRIM(CAST(X."&amp;F526&amp;" AS STRING)) IN ('N/A','11111111111','11111111111.00','11111111111.000000','1111-11-11'),1,0)) AS NUM_REG_DIF,'"&amp;MAX('ID1&amp;5'!K:K)+1&amp;"' AS ID_EXEC, CURRENT_TIMESTAMP() AS TIME_EXEC FROM "&amp;I526,
IF(C526="Valores extremos",+"SELECT '"&amp;UPPER(B526)&amp;"' AS TABELA, '"&amp;UPPER(C526)&amp;"' AS TIPOLOGIA_TESTE,'"&amp;D526&amp;"' AS TABELA_LT,'N/A' AS TABELA_SIMUL,'"&amp;F526&amp;"' AS CAMPO, "&amp;"'${ref_date}' AS REF_DATE, CAST(MIN("&amp;F526&amp;") AS STRING) AS VALOR_MIN, CAST(MAX("&amp;F526&amp;") AS STRING) AS VALOR_MAX,'"&amp;MAX('ID1&amp;5'!K:K)+1&amp;"' AS ID_EXEC, CURRENT_TIMESTAMP() AS TIME_EXEC FROM "&amp;MID(I526,1,LEN(I526)-2)&amp;" AND CAST("&amp;F526&amp;"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TABELA_SIMUL,'GRP_TTL_DBT' AS CAMPO, '${ref_date}' AS REF_DATE, CAST(MIN(GRP_TTL_DBT) AS STRING) AS VALOR_MIN, CAST(MAX(GRP_TTL_DBT) AS STRING) AS VALOR_MAX,'10' AS ID_EXEC, CURRENT_TIMESTAMP() AS TIME_EXEC FROM (SELECT entty_id, GRP_TTL_DBT FROM BU_LOANTAPE_WORK.LT003_ENTITY WHERE ref_date='${ref_date}' AND nome_perimetro='Individual Corporativo' AND segmento='ESTR' AND ambito='PILAR3' AND CAST(GRP_TTL_DBT AS STRING) NOT IN ('0000-00-00','0001-01-01','9999-12-31','MISS','00000','99999999999','99999999999.00','99999999999.000000','N/A','11111111111','11111111111.00','11111111111.000000','1111-11-11'))X</v>
      </c>
      <c r="M526" s="43" t="str">
        <f t="shared" si="8"/>
        <v>UNION ALL SELECT 'ENTITY' AS TABELA, 'VALORES EXTREMOS' AS TIPOLOGIA_TESTE,'BU_LOANTAPE_WORK.LT003_ENTITY' AS TABELA_LT,'N/A' AS TABELA_SIMUL,'GRP_TTL_DBT' AS CAMPO, '${ref_date}' AS REF_DATE, CAST(MIN(GRP_TTL_DBT) AS STRING) AS VALOR_MIN, CAST(MAX(GRP_TTL_DBT) AS STRING) AS VALOR_MAX,'10' AS ID_EXEC, CURRENT_TIMESTAMP() AS TIME_EXEC FROM (SELECT entty_id, GRP_TTL_DBT FROM BU_LOANTAPE_WORK.LT003_ENTITY WHERE ref_date='${ref_date}' AND nome_perimetro='Individual Corporativo' AND segmento='ESTR' AND ambito='PILAR3' AND CAST(GRP_TTL_DBT AS STRING) NOT IN ('0000-00-00','0001-01-01','9999-12-31','MISS','00000','99999999999','99999999999.00','99999999999.000000','N/A','11111111111','11111111111.00','11111111111.000000','1111-11-11'))X</v>
      </c>
      <c r="N526" s="45" t="s">
        <v>13</v>
      </c>
    </row>
    <row r="527" spans="2:14">
      <c r="B527" s="41" t="s">
        <v>23</v>
      </c>
      <c r="C527" s="41" t="s">
        <v>226</v>
      </c>
      <c r="D527" s="41" t="str">
        <f>+UPPER('0. Instruções'!$D$33&amp;"."&amp;VLOOKUP(B527,'0. Instruções'!$C$27:$D$31,2,FALSE))</f>
        <v>BU_LOANTAPE_WORK.LT003_ENTITY</v>
      </c>
      <c r="E527" s="41" t="str">
        <f>+UPPER('0. Instruções'!$D$34&amp;"."&amp;VLOOKUP(B527,'0. Instruções'!$C$27:$E$31,3,FALSE))</f>
        <v>BU_LOANTAPE_WORK.LT003_ENTTY_P3_NOV24</v>
      </c>
      <c r="F527" s="41" t="s">
        <v>189</v>
      </c>
      <c r="G527" s="41" t="s">
        <v>13</v>
      </c>
      <c r="H527" s="41"/>
      <c r="I527" s="41" t="str">
        <f>"(SELECT "&amp;VLOOKUP(B527,'0. Instruções'!$C$27:$G$31,4,FALSE)&amp;", "&amp;F527&amp;" FROM "&amp;D527&amp;" WHERE "&amp;'0. Instruções'!$D$40&amp;")X"</f>
        <v>(SELECT entty_id, TTL_DBT FROM BU_LOANTAPE_WORK.LT003_ENTITY WHERE ref_date='${ref_date}' AND nome_perimetro='Individual Corporativo' AND segmento='ESTR' AND ambito='PILAR3')X</v>
      </c>
      <c r="J527" s="41" t="str">
        <f>"(SELECT "&amp;VLOOKUP(B527,'0. Instruções'!$C$27:$G$31,4,FALSE)&amp;" AS "&amp;VLOOKUP(B527,'0. Instruções'!$C$27:$G$31,4,FALSE)&amp;"_SIMUL, "&amp;F527&amp;" AS "&amp;F527&amp;"_SIMUL FROM "&amp;E527&amp;")Y"</f>
        <v>(SELECT entty_id AS entty_id_SIMUL, TTL_DBT AS TTL_DBT_SIMUL FROM BU_LOANTAPE_WORK.LT003_ENTTY_P3_NOV24)Y</v>
      </c>
      <c r="K527" s="42" t="str">
        <f>+UPPER("ON X."&amp;VLOOKUP(B527,'0. Instruções'!$C$27:$G$31,4,FALSE)&amp;"=Y."&amp;VLOOKUP(B527,'0. Instruções'!$C$27:$G$31,4,FALSE)&amp;"_SIMUL")</f>
        <v>ON X.ENTTY_ID=Y.ENTTY_ID_SIMUL</v>
      </c>
      <c r="L527" s="42" t="str">
        <f>+IF(C527="Coerência", +IF(LEFT(G527,5)="FLOAT","SELECT '"&amp;UPPER(B527)&amp;"' AS TABELA, '"&amp;UPPER(C527)&amp;"' AS TIPOLOGIA_TESTE,'"&amp;D527&amp;"' AS TABELA_LT,'"&amp;E527&amp;"' AS TABELA_SIMUL,'"&amp;F527&amp;"' AS CAMPO, "&amp;"'${ref_date}' AS REF_DATE, COUNT(*) AS NUM_REG, SUM(IF((ABS(COALESCE(X."&amp;F527&amp;",0)-COALESCE(Y."&amp;F527&amp;"_SIMUL,0))&gt;0.0000000001) OR (X."&amp;F527&amp;" IS NULL AND Y."&amp;F527&amp;"_SIMUL IS NOT NULL ) OR (X."&amp;F527&amp;" IS NOT NULL AND Y."&amp;F527&amp;"_SIMUL IS NULL),1,0)) AS NUM_REG_DIF,'"&amp;MAX('ID1&amp;5'!K:K)+1&amp;"' AS ID_EXEC, CURRENT_TIMESTAMP() AS TIME_EXEC FROM "&amp;I527&amp;" INNER JOIN "&amp;J527&amp;" "&amp;K527,"SELECT '"&amp;UPPER(B527)&amp;"' AS TABELA, '"&amp;UPPER(C527)&amp;"' AS TIPOLOGIA_TESTE,'"&amp;D527&amp;"' AS TABELA_LT,'"&amp;E527&amp;"' AS TABELA_SIMUL,'"&amp;F527&amp;"' AS CAMPO, "&amp;"'${ref_date}' AS REF_DATE, COUNT(*) AS NUM_REG, SUM(IF(COALESCE(CAST(X."&amp;F527&amp;" AS STRING),'')&lt;&gt;COALESCE(CAST(Y."&amp;F527&amp;"_SIMUL AS STRING),''),1,0)) AS NUM_REG_DIF,'"&amp;MAX('ID1&amp;5'!L:L)+1&amp;"' AS ID_EXEC, CURRENT_TIMESTAMP() AS TIME_EXEC FROM "&amp;I527&amp;" INNER JOIN "&amp;J527&amp;" "&amp;K527),
IF(C527="Validade",+IF(G527="Code List","SELECT '"&amp;UPPER(B527)&amp;"' AS TABELA, '"&amp;UPPER(C527)&amp;"' AS TIPOLOGIA_TESTE,'"&amp;D527&amp;"' AS TABELA_LT,'N/A' AS TABELA_SIMUL,'"&amp;F527&amp;"' AS CAMPO, "&amp;"'${ref_date}' AS REF_DATE, COUNT(*) AS NUM_REG, SUM(IF(TRIM(CAST(X."&amp;F527&amp;" AS STRING))='' OR TRIM(CAST(X."&amp;F527&amp;" AS STRING)) IS NULL OR CAST(X."&amp;F527&amp;" AS STRING) NOT "&amp;H527&amp;",1,0)) AS NUM_REG_DIF,'"&amp;MAX('ID1&amp;5'!K:K)+1&amp;"' AS ID_EXEC, CURRENT_TIMESTAMP() AS TIME_EXEC FROM "&amp;I527,"SELECT '"&amp;UPPER(B527)&amp;"' AS TABELA, '"&amp;UPPER(C527)&amp;"' AS TIPOLOGIA_TESTE,'"&amp;D527&amp;"' AS TABELA_LT,'N/A' AS TABELA_SIMUL,'"&amp;F527&amp;"' AS CAMPO, "&amp;"'${ref_date}' AS REF_DATE, COUNT(*) AS NUM_REG, SUM(IF(TRIM(CAST(X."&amp;F527&amp;" AS STRING))='' OR TRIM(CAST(X."&amp;F527&amp;" AS STRING)) IS NULL,1,0)) AS NUM_REG_DIF,'"&amp;MAX('ID1&amp;5'!K:K)+1&amp;"' AS ID_EXEC, CURRENT_TIMESTAMP() AS TIME_EXEC FROM "&amp;I527),
IF(C527="Caracteres Especiais",+"SELECT '"&amp;UPPER(B527)&amp;"' AS TABELA, '"&amp;UPPER(C527)&amp;"' AS TIPOLOGIA_TESTE,'"&amp;D527&amp;"' AS TABELA_LT,'N/A' AS TABELA_SIMUL,'"&amp;F527&amp;"' AS CAMPO, "&amp;"'${ref_date}' AS REF_DATE, COUNT(*) AS NUM_REG, SUM(IF(INSTR(CAST(X."&amp;F527&amp;" AS STRING),'#')&gt;0 OR INSTR(CAST(X."&amp;F527&amp;" AS STRING),'*')&gt;0 OR INSTR(CAST(X."&amp;F527&amp;" AS STRING),'`')&gt;0 OR INSTR(CAST(X."&amp;F527&amp;" AS STRING),'´')&gt;0 OR INSTR(CAST(X."&amp;F527&amp;" AS STRING),'{')&gt;0 OR INSTR(CAST(X."&amp;F527&amp;" AS STRING),'}')&gt;0 OR INSTR(CAST(X."&amp;F527&amp;" AS STRING),'[')&gt;0 OR INSTR(CAST(X."&amp;F527&amp;" AS STRING),'')&gt;0 OR INSTR(CAST(X."&amp;F527&amp;" AS STRING),']')&gt;0 OR INSTR(CAST(X."&amp;F527&amp;" AS STRING),'?')&gt;0 OR INSTR(CAST(X."&amp;F527&amp;" AS STRING),'!')&gt;0 OR INSTR(CAST(X."&amp;F527&amp;" AS STRING),'$')&gt;0 OR INSTR(CAST(X."&amp;F527&amp;" AS STRING),'%')&gt;0 OR INSTR(CAST(X."&amp;F527&amp;" AS STRING),'&amp;')&gt;0 OR INSTR(CAST(X."&amp;F527&amp;" AS STRING),'+')&gt;0,1,0)) AS NUM_REG_DIF,'"&amp;MAX('ID1&amp;5'!K:K)+1&amp;"' AS ID_EXEC, CURRENT_TIMESTAMP() AS TIME_EXEC FROM "&amp;I527,
IF(C527="Missings",+"SELECT '"&amp;UPPER(B527)&amp;"' AS TABELA, '"&amp;UPPER(C527)&amp;"' AS TIPOLOGIA_TESTE,'"&amp;D527&amp;"' AS TABELA_LT,'N/A' AS TABELA_SIMUL,'"&amp;F527&amp;"' AS CAMPO, "&amp;"'${ref_date}' AS REF_DATE, COUNT(*) AS NUM_REG, SUM(IF(TRIM(CAST(X."&amp;F527&amp;" AS STRING)) IN ('0000-00-00','0001-01-01','9999-12-31','MISS','00000','99999999999','99999999999.00','99999999999.000000'),1,0)) AS NUM_REG_DIF,'"&amp;MAX('ID1&amp;5'!K:K)+1&amp;"' AS ID_EXEC, CURRENT_TIMESTAMP() AS TIME_EXEC FROM "&amp;I527,
IF(C527="Not applicable",+"SELECT '"&amp;UPPER(B527)&amp;"' AS TABELA, '"&amp;UPPER(C527)&amp;"' AS TIPOLOGIA_TESTE,'"&amp;D527&amp;"' AS TABELA_LT,'N/A' AS TABELA_SIMUL,'"&amp;F527&amp;"' AS CAMPO, "&amp;"'${ref_date}' AS REF_DATE, COUNT(*) AS NUM_REG, SUM(IF(TRIM(CAST(X."&amp;F527&amp;" AS STRING)) IN ('N/A','11111111111','11111111111.00','11111111111.000000','1111-11-11'),1,0)) AS NUM_REG_DIF,'"&amp;MAX('ID1&amp;5'!K:K)+1&amp;"' AS ID_EXEC, CURRENT_TIMESTAMP() AS TIME_EXEC FROM "&amp;I527,
IF(C527="Valores extremos",+"SELECT '"&amp;UPPER(B527)&amp;"' AS TABELA, '"&amp;UPPER(C527)&amp;"' AS TIPOLOGIA_TESTE,'"&amp;D527&amp;"' AS TABELA_LT,'N/A' AS TABELA_SIMUL,'"&amp;F527&amp;"' AS CAMPO, "&amp;"'${ref_date}' AS REF_DATE, CAST(MIN("&amp;F527&amp;") AS STRING) AS VALOR_MIN, CAST(MAX("&amp;F527&amp;") AS STRING) AS VALOR_MAX,'"&amp;MAX('ID1&amp;5'!K:K)+1&amp;"' AS ID_EXEC, CURRENT_TIMESTAMP() AS TIME_EXEC FROM "&amp;MID(I527,1,LEN(I527)-2)&amp;" AND CAST("&amp;F527&amp;"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TABELA_SIMUL,'TTL_DBT' AS CAMPO, '${ref_date}' AS REF_DATE, CAST(MIN(TTL_DBT) AS STRING) AS VALOR_MIN, CAST(MAX(TTL_DBT) AS STRING) AS VALOR_MAX,'10' AS ID_EXEC, CURRENT_TIMESTAMP() AS TIME_EXEC FROM (SELECT entty_id, TTL_DBT FROM BU_LOANTAPE_WORK.LT003_ENTITY WHERE ref_date='${ref_date}' AND nome_perimetro='Individual Corporativo' AND segmento='ESTR' AND ambito='PILAR3' AND CAST(TTL_DBT AS STRING) NOT IN ('0000-00-00','0001-01-01','9999-12-31','MISS','00000','99999999999','99999999999.00','99999999999.000000','N/A','11111111111','11111111111.00','11111111111.000000','1111-11-11'))X</v>
      </c>
      <c r="M527" s="43" t="str">
        <f t="shared" si="8"/>
        <v>UNION ALL SELECT 'ENTITY' AS TABELA, 'VALORES EXTREMOS' AS TIPOLOGIA_TESTE,'BU_LOANTAPE_WORK.LT003_ENTITY' AS TABELA_LT,'N/A' AS TABELA_SIMUL,'TTL_DBT' AS CAMPO, '${ref_date}' AS REF_DATE, CAST(MIN(TTL_DBT) AS STRING) AS VALOR_MIN, CAST(MAX(TTL_DBT) AS STRING) AS VALOR_MAX,'10' AS ID_EXEC, CURRENT_TIMESTAMP() AS TIME_EXEC FROM (SELECT entty_id, TTL_DBT FROM BU_LOANTAPE_WORK.LT003_ENTITY WHERE ref_date='${ref_date}' AND nome_perimetro='Individual Corporativo' AND segmento='ESTR' AND ambito='PILAR3' AND CAST(TTL_DBT AS STRING) NOT IN ('0000-00-00','0001-01-01','9999-12-31','MISS','00000','99999999999','99999999999.00','99999999999.000000','N/A','11111111111','11111111111.00','11111111111.000000','1111-11-11'))X</v>
      </c>
      <c r="N527" s="45" t="s">
        <v>13</v>
      </c>
    </row>
    <row r="528" spans="2:14">
      <c r="B528" s="41" t="s">
        <v>23</v>
      </c>
      <c r="C528" s="41" t="s">
        <v>226</v>
      </c>
      <c r="D528" s="41" t="str">
        <f>+UPPER('0. Instruções'!$D$33&amp;"."&amp;VLOOKUP(B528,'0. Instruções'!$C$27:$D$31,2,FALSE))</f>
        <v>BU_LOANTAPE_WORK.LT003_ENTITY</v>
      </c>
      <c r="E528" s="41" t="str">
        <f>+UPPER('0. Instruções'!$D$34&amp;"."&amp;VLOOKUP(B528,'0. Instruções'!$C$27:$E$31,3,FALSE))</f>
        <v>BU_LOANTAPE_WORK.LT003_ENTTY_P3_NOV24</v>
      </c>
      <c r="F528" s="41" t="s">
        <v>173</v>
      </c>
      <c r="G528" s="41" t="s">
        <v>13</v>
      </c>
      <c r="H528" s="41"/>
      <c r="I528" s="41" t="str">
        <f>"(SELECT "&amp;VLOOKUP(B528,'0. Instruções'!$C$27:$G$31,4,FALSE)&amp;", "&amp;F528&amp;" FROM "&amp;D528&amp;" WHERE "&amp;'0. Instruções'!$D$40&amp;")X"</f>
        <v>(SELECT entty_id, COD_SOC FROM BU_LOANTAPE_WORK.LT003_ENTITY WHERE ref_date='${ref_date}' AND nome_perimetro='Individual Corporativo' AND segmento='ESTR' AND ambito='PILAR3')X</v>
      </c>
      <c r="J528" s="41" t="str">
        <f>"(SELECT "&amp;VLOOKUP(B528,'0. Instruções'!$C$27:$G$31,4,FALSE)&amp;" AS "&amp;VLOOKUP(B528,'0. Instruções'!$C$27:$G$31,4,FALSE)&amp;"_SIMUL, "&amp;F528&amp;" AS "&amp;F528&amp;"_SIMUL FROM "&amp;E528&amp;")Y"</f>
        <v>(SELECT entty_id AS entty_id_SIMUL, COD_SOC AS COD_SOC_SIMUL FROM BU_LOANTAPE_WORK.LT003_ENTTY_P3_NOV24)Y</v>
      </c>
      <c r="K528" s="42" t="str">
        <f>+UPPER("ON X."&amp;VLOOKUP(B528,'0. Instruções'!$C$27:$G$31,4,FALSE)&amp;"=Y."&amp;VLOOKUP(B528,'0. Instruções'!$C$27:$G$31,4,FALSE)&amp;"_SIMUL")</f>
        <v>ON X.ENTTY_ID=Y.ENTTY_ID_SIMUL</v>
      </c>
      <c r="L528" s="42" t="str">
        <f>+IF(C528="Coerência", +IF(LEFT(G528,5)="FLOAT","SELECT '"&amp;UPPER(B528)&amp;"' AS TABELA, '"&amp;UPPER(C528)&amp;"' AS TIPOLOGIA_TESTE,'"&amp;D528&amp;"' AS TABELA_LT,'"&amp;E528&amp;"' AS TABELA_SIMUL,'"&amp;F528&amp;"' AS CAMPO, "&amp;"'${ref_date}' AS REF_DATE, COUNT(*) AS NUM_REG, SUM(IF((ABS(COALESCE(X."&amp;F528&amp;",0)-COALESCE(Y."&amp;F528&amp;"_SIMUL,0))&gt;0.0000000001) OR (X."&amp;F528&amp;" IS NULL AND Y."&amp;F528&amp;"_SIMUL IS NOT NULL ) OR (X."&amp;F528&amp;" IS NOT NULL AND Y."&amp;F528&amp;"_SIMUL IS NULL),1,0)) AS NUM_REG_DIF,'"&amp;MAX('ID1&amp;5'!K:K)+1&amp;"' AS ID_EXEC, CURRENT_TIMESTAMP() AS TIME_EXEC FROM "&amp;I528&amp;" INNER JOIN "&amp;J528&amp;" "&amp;K528,"SELECT '"&amp;UPPER(B528)&amp;"' AS TABELA, '"&amp;UPPER(C528)&amp;"' AS TIPOLOGIA_TESTE,'"&amp;D528&amp;"' AS TABELA_LT,'"&amp;E528&amp;"' AS TABELA_SIMUL,'"&amp;F528&amp;"' AS CAMPO, "&amp;"'${ref_date}' AS REF_DATE, COUNT(*) AS NUM_REG, SUM(IF(COALESCE(CAST(X."&amp;F528&amp;" AS STRING),'')&lt;&gt;COALESCE(CAST(Y."&amp;F528&amp;"_SIMUL AS STRING),''),1,0)) AS NUM_REG_DIF,'"&amp;MAX('ID1&amp;5'!L:L)+1&amp;"' AS ID_EXEC, CURRENT_TIMESTAMP() AS TIME_EXEC FROM "&amp;I528&amp;" INNER JOIN "&amp;J528&amp;" "&amp;K528),
IF(C528="Validade",+IF(G528="Code List","SELECT '"&amp;UPPER(B528)&amp;"' AS TABELA, '"&amp;UPPER(C528)&amp;"' AS TIPOLOGIA_TESTE,'"&amp;D528&amp;"' AS TABELA_LT,'N/A' AS TABELA_SIMUL,'"&amp;F528&amp;"' AS CAMPO, "&amp;"'${ref_date}' AS REF_DATE, COUNT(*) AS NUM_REG, SUM(IF(TRIM(CAST(X."&amp;F528&amp;" AS STRING))='' OR TRIM(CAST(X."&amp;F528&amp;" AS STRING)) IS NULL OR CAST(X."&amp;F528&amp;" AS STRING) NOT "&amp;H528&amp;",1,0)) AS NUM_REG_DIF,'"&amp;MAX('ID1&amp;5'!K:K)+1&amp;"' AS ID_EXEC, CURRENT_TIMESTAMP() AS TIME_EXEC FROM "&amp;I528,"SELECT '"&amp;UPPER(B528)&amp;"' AS TABELA, '"&amp;UPPER(C528)&amp;"' AS TIPOLOGIA_TESTE,'"&amp;D528&amp;"' AS TABELA_LT,'N/A' AS TABELA_SIMUL,'"&amp;F528&amp;"' AS CAMPO, "&amp;"'${ref_date}' AS REF_DATE, COUNT(*) AS NUM_REG, SUM(IF(TRIM(CAST(X."&amp;F528&amp;" AS STRING))='' OR TRIM(CAST(X."&amp;F528&amp;" AS STRING)) IS NULL,1,0)) AS NUM_REG_DIF,'"&amp;MAX('ID1&amp;5'!K:K)+1&amp;"' AS ID_EXEC, CURRENT_TIMESTAMP() AS TIME_EXEC FROM "&amp;I528),
IF(C528="Caracteres Especiais",+"SELECT '"&amp;UPPER(B528)&amp;"' AS TABELA, '"&amp;UPPER(C528)&amp;"' AS TIPOLOGIA_TESTE,'"&amp;D528&amp;"' AS TABELA_LT,'N/A' AS TABELA_SIMUL,'"&amp;F528&amp;"' AS CAMPO, "&amp;"'${ref_date}' AS REF_DATE, COUNT(*) AS NUM_REG, SUM(IF(INSTR(CAST(X."&amp;F528&amp;" AS STRING),'#')&gt;0 OR INSTR(CAST(X."&amp;F528&amp;" AS STRING),'*')&gt;0 OR INSTR(CAST(X."&amp;F528&amp;" AS STRING),'`')&gt;0 OR INSTR(CAST(X."&amp;F528&amp;" AS STRING),'´')&gt;0 OR INSTR(CAST(X."&amp;F528&amp;" AS STRING),'{')&gt;0 OR INSTR(CAST(X."&amp;F528&amp;" AS STRING),'}')&gt;0 OR INSTR(CAST(X."&amp;F528&amp;" AS STRING),'[')&gt;0 OR INSTR(CAST(X."&amp;F528&amp;" AS STRING),'')&gt;0 OR INSTR(CAST(X."&amp;F528&amp;" AS STRING),']')&gt;0 OR INSTR(CAST(X."&amp;F528&amp;" AS STRING),'?')&gt;0 OR INSTR(CAST(X."&amp;F528&amp;" AS STRING),'!')&gt;0 OR INSTR(CAST(X."&amp;F528&amp;" AS STRING),'$')&gt;0 OR INSTR(CAST(X."&amp;F528&amp;" AS STRING),'%')&gt;0 OR INSTR(CAST(X."&amp;F528&amp;" AS STRING),'&amp;')&gt;0 OR INSTR(CAST(X."&amp;F528&amp;" AS STRING),'+')&gt;0,1,0)) AS NUM_REG_DIF,'"&amp;MAX('ID1&amp;5'!K:K)+1&amp;"' AS ID_EXEC, CURRENT_TIMESTAMP() AS TIME_EXEC FROM "&amp;I528,
IF(C528="Missings",+"SELECT '"&amp;UPPER(B528)&amp;"' AS TABELA, '"&amp;UPPER(C528)&amp;"' AS TIPOLOGIA_TESTE,'"&amp;D528&amp;"' AS TABELA_LT,'N/A' AS TABELA_SIMUL,'"&amp;F528&amp;"' AS CAMPO, "&amp;"'${ref_date}' AS REF_DATE, COUNT(*) AS NUM_REG, SUM(IF(TRIM(CAST(X."&amp;F528&amp;" AS STRING)) IN ('0000-00-00','0001-01-01','9999-12-31','MISS','00000','99999999999','99999999999.00','99999999999.000000'),1,0)) AS NUM_REG_DIF,'"&amp;MAX('ID1&amp;5'!K:K)+1&amp;"' AS ID_EXEC, CURRENT_TIMESTAMP() AS TIME_EXEC FROM "&amp;I528,
IF(C528="Not applicable",+"SELECT '"&amp;UPPER(B528)&amp;"' AS TABELA, '"&amp;UPPER(C528)&amp;"' AS TIPOLOGIA_TESTE,'"&amp;D528&amp;"' AS TABELA_LT,'N/A' AS TABELA_SIMUL,'"&amp;F528&amp;"' AS CAMPO, "&amp;"'${ref_date}' AS REF_DATE, COUNT(*) AS NUM_REG, SUM(IF(TRIM(CAST(X."&amp;F528&amp;" AS STRING)) IN ('N/A','11111111111','11111111111.00','11111111111.000000','1111-11-11'),1,0)) AS NUM_REG_DIF,'"&amp;MAX('ID1&amp;5'!K:K)+1&amp;"' AS ID_EXEC, CURRENT_TIMESTAMP() AS TIME_EXEC FROM "&amp;I528,
IF(C528="Valores extremos",+"SELECT '"&amp;UPPER(B528)&amp;"' AS TABELA, '"&amp;UPPER(C528)&amp;"' AS TIPOLOGIA_TESTE,'"&amp;D528&amp;"' AS TABELA_LT,'N/A' AS TABELA_SIMUL,'"&amp;F528&amp;"' AS CAMPO, "&amp;"'${ref_date}' AS REF_DATE, CAST(MIN("&amp;F528&amp;") AS STRING) AS VALOR_MIN, CAST(MAX("&amp;F528&amp;") AS STRING) AS VALOR_MAX,'"&amp;MAX('ID1&amp;5'!K:K)+1&amp;"' AS ID_EXEC, CURRENT_TIMESTAMP() AS TIME_EXEC FROM "&amp;MID(I528,1,LEN(I528)-2)&amp;" AND CAST("&amp;F528&amp;" AS STRING) NOT IN ('0000-00-00','0001-01-01','9999-12-31','MISS','00000','99999999999','99999999999.00','99999999999.000000','N/A','11111111111','11111111111.00','11111111111.000000','1111-11-11'))X"))))))</f>
        <v>SELECT 'ENTITY' AS TABELA, 'VALORES EXTREMOS' AS TIPOLOGIA_TESTE,'BU_LOANTAPE_WORK.LT003_ENTITY' AS TABELA_LT,'N/A' AS TABELA_SIMUL,'COD_SOC' AS CAMPO, '${ref_date}' AS REF_DATE, CAST(MIN(COD_SOC) AS STRING) AS VALOR_MIN, CAST(MAX(COD_SOC) AS STRING) AS VALOR_MAX,'10' AS ID_EXEC, CURRENT_TIMESTAMP() AS TIME_EXEC FROM (SELECT entty_id, COD_SOC FROM BU_LOANTAPE_WORK.LT003_ENTITY WHERE ref_date='${ref_date}' AND nome_perimetro='Individual Corporativo' AND segmento='ESTR' AND ambito='PILAR3' AND CAST(COD_SOC AS STRING) NOT IN ('0000-00-00','0001-01-01','9999-12-31','MISS','00000','99999999999','99999999999.00','99999999999.000000','N/A','11111111111','11111111111.00','11111111111.000000','1111-11-11'))X</v>
      </c>
      <c r="M528" s="43" t="str">
        <f t="shared" si="8"/>
        <v>UNION ALL SELECT 'ENTITY' AS TABELA, 'VALORES EXTREMOS' AS TIPOLOGIA_TESTE,'BU_LOANTAPE_WORK.LT003_ENTITY' AS TABELA_LT,'N/A' AS TABELA_SIMUL,'COD_SOC' AS CAMPO, '${ref_date}' AS REF_DATE, CAST(MIN(COD_SOC) AS STRING) AS VALOR_MIN, CAST(MAX(COD_SOC) AS STRING) AS VALOR_MAX,'10' AS ID_EXEC, CURRENT_TIMESTAMP() AS TIME_EXEC FROM (SELECT entty_id, COD_SOC FROM BU_LOANTAPE_WORK.LT003_ENTITY WHERE ref_date='${ref_date}' AND nome_perimetro='Individual Corporativo' AND segmento='ESTR' AND ambito='PILAR3' AND CAST(COD_SOC AS STRING) NOT IN ('0000-00-00','0001-01-01','9999-12-31','MISS','00000','99999999999','99999999999.00','99999999999.000000','N/A','11111111111','11111111111.00','11111111111.000000','1111-11-11'))X</v>
      </c>
      <c r="N528" s="45" t="s">
        <v>13</v>
      </c>
    </row>
    <row r="529" spans="2:14">
      <c r="B529" s="41" t="s">
        <v>31</v>
      </c>
      <c r="C529" s="41" t="s">
        <v>226</v>
      </c>
      <c r="D529" s="41" t="str">
        <f>+UPPER('0. Instruções'!$D$33&amp;"."&amp;VLOOKUP(B529,'0. Instruções'!$C$27:$D$31,2,FALSE))</f>
        <v>BU_LOANTAPE_WORK.LT004_PROTECTION</v>
      </c>
      <c r="E529" s="41" t="str">
        <f>+UPPER('0. Instruções'!$D$34&amp;"."&amp;VLOOKUP(B529,'0. Instruções'!$C$27:$E$31,3,FALSE))</f>
        <v>BU_LOANTAPE_WORK.LT004_PROTECTION_P3_NOV24</v>
      </c>
      <c r="F529" s="41" t="s">
        <v>135</v>
      </c>
      <c r="G529" s="41" t="s">
        <v>209</v>
      </c>
      <c r="H529" s="41"/>
      <c r="I529" s="41" t="str">
        <f>"(SELECT "&amp;VLOOKUP(B529,'0. Instruções'!$C$27:$G$31,4,FALSE)&amp;", "&amp;F529&amp;" FROM "&amp;D529&amp;" WHERE "&amp;'0. Instruções'!$D$40&amp;")X"</f>
        <v>(SELECT prtctn_id, TYP_EP_SCR FROM BU_LOANTAPE_WORK.LT004_PROTECTION WHERE ref_date='${ref_date}' AND nome_perimetro='Individual Corporativo' AND segmento='ESTR' AND ambito='PILAR3')X</v>
      </c>
      <c r="J529" s="41" t="str">
        <f>"(SELECT "&amp;VLOOKUP(B529,'0. Instruções'!$C$27:$G$31,4,FALSE)&amp;" AS "&amp;VLOOKUP(B529,'0. Instruções'!$C$27:$G$31,4,FALSE)&amp;"_SIMUL, "&amp;F529&amp;" AS "&amp;F529&amp;"_SIMUL FROM "&amp;E529&amp;")Y"</f>
        <v>(SELECT prtctn_id AS prtctn_id_SIMUL, TYP_EP_SCR AS TYP_EP_SCR_SIMUL FROM BU_LOANTAPE_WORK.LT004_PROTECTION_P3_NOV24)Y</v>
      </c>
      <c r="K529" s="42" t="str">
        <f>+UPPER("ON X."&amp;VLOOKUP(B529,'0. Instruções'!$C$27:$G$31,4,FALSE)&amp;"=Y."&amp;VLOOKUP(B529,'0. Instruções'!$C$27:$G$31,4,FALSE)&amp;"_SIMUL")</f>
        <v>ON X.PRTCTN_ID=Y.PRTCTN_ID_SIMUL</v>
      </c>
      <c r="L529" s="42" t="str">
        <f>+IF(C529="Coerência", +IF(LEFT(G529,5)="FLOAT","SELECT '"&amp;UPPER(B529)&amp;"' AS TABELA, '"&amp;UPPER(C529)&amp;"' AS TIPOLOGIA_TESTE,'"&amp;D529&amp;"' AS TABELA_LT,'"&amp;E529&amp;"' AS TABELA_SIMUL,'"&amp;F529&amp;"' AS CAMPO, "&amp;"'${ref_date}' AS REF_DATE, COUNT(*) AS NUM_REG, SUM(IF((ABS(COALESCE(X."&amp;F529&amp;",0)-COALESCE(Y."&amp;F529&amp;"_SIMUL,0))&gt;0.0000000001) OR (X."&amp;F529&amp;" IS NULL AND Y."&amp;F529&amp;"_SIMUL IS NOT NULL ) OR (X."&amp;F529&amp;" IS NOT NULL AND Y."&amp;F529&amp;"_SIMUL IS NULL),1,0)) AS NUM_REG_DIF,'"&amp;MAX('ID1&amp;5'!K:K)+1&amp;"' AS ID_EXEC, CURRENT_TIMESTAMP() AS TIME_EXEC FROM "&amp;I529&amp;" INNER JOIN "&amp;J529&amp;" "&amp;K529,"SELECT '"&amp;UPPER(B529)&amp;"' AS TABELA, '"&amp;UPPER(C529)&amp;"' AS TIPOLOGIA_TESTE,'"&amp;D529&amp;"' AS TABELA_LT,'"&amp;E529&amp;"' AS TABELA_SIMUL,'"&amp;F529&amp;"' AS CAMPO, "&amp;"'${ref_date}' AS REF_DATE, COUNT(*) AS NUM_REG, SUM(IF(COALESCE(CAST(X."&amp;F529&amp;" AS STRING),'')&lt;&gt;COALESCE(CAST(Y."&amp;F529&amp;"_SIMUL AS STRING),''),1,0)) AS NUM_REG_DIF,'"&amp;MAX('ID1&amp;5'!L:L)+1&amp;"' AS ID_EXEC, CURRENT_TIMESTAMP() AS TIME_EXEC FROM "&amp;I529&amp;" INNER JOIN "&amp;J529&amp;" "&amp;K529),
IF(C529="Validade",+IF(G529="Code List","SELECT '"&amp;UPPER(B529)&amp;"' AS TABELA, '"&amp;UPPER(C529)&amp;"' AS TIPOLOGIA_TESTE,'"&amp;D529&amp;"' AS TABELA_LT,'N/A' AS TABELA_SIMUL,'"&amp;F529&amp;"' AS CAMPO, "&amp;"'${ref_date}' AS REF_DATE, COUNT(*) AS NUM_REG, SUM(IF(TRIM(CAST(X."&amp;F529&amp;" AS STRING))='' OR TRIM(CAST(X."&amp;F529&amp;" AS STRING)) IS NULL OR CAST(X."&amp;F529&amp;" AS STRING) NOT "&amp;H529&amp;",1,0)) AS NUM_REG_DIF,'"&amp;MAX('ID1&amp;5'!K:K)+1&amp;"' AS ID_EXEC, CURRENT_TIMESTAMP() AS TIME_EXEC FROM "&amp;I529,"SELECT '"&amp;UPPER(B529)&amp;"' AS TABELA, '"&amp;UPPER(C529)&amp;"' AS TIPOLOGIA_TESTE,'"&amp;D529&amp;"' AS TABELA_LT,'N/A' AS TABELA_SIMUL,'"&amp;F529&amp;"' AS CAMPO, "&amp;"'${ref_date}' AS REF_DATE, COUNT(*) AS NUM_REG, SUM(IF(TRIM(CAST(X."&amp;F529&amp;" AS STRING))='' OR TRIM(CAST(X."&amp;F529&amp;" AS STRING)) IS NULL,1,0)) AS NUM_REG_DIF,'"&amp;MAX('ID1&amp;5'!K:K)+1&amp;"' AS ID_EXEC, CURRENT_TIMESTAMP() AS TIME_EXEC FROM "&amp;I529),
IF(C529="Caracteres Especiais",+"SELECT '"&amp;UPPER(B529)&amp;"' AS TABELA, '"&amp;UPPER(C529)&amp;"' AS TIPOLOGIA_TESTE,'"&amp;D529&amp;"' AS TABELA_LT,'N/A' AS TABELA_SIMUL,'"&amp;F529&amp;"' AS CAMPO, "&amp;"'${ref_date}' AS REF_DATE, COUNT(*) AS NUM_REG, SUM(IF(INSTR(CAST(X."&amp;F529&amp;" AS STRING),'#')&gt;0 OR INSTR(CAST(X."&amp;F529&amp;" AS STRING),'*')&gt;0 OR INSTR(CAST(X."&amp;F529&amp;" AS STRING),'`')&gt;0 OR INSTR(CAST(X."&amp;F529&amp;" AS STRING),'´')&gt;0 OR INSTR(CAST(X."&amp;F529&amp;" AS STRING),'{')&gt;0 OR INSTR(CAST(X."&amp;F529&amp;" AS STRING),'}')&gt;0 OR INSTR(CAST(X."&amp;F529&amp;" AS STRING),'[')&gt;0 OR INSTR(CAST(X."&amp;F529&amp;" AS STRING),'')&gt;0 OR INSTR(CAST(X."&amp;F529&amp;" AS STRING),']')&gt;0 OR INSTR(CAST(X."&amp;F529&amp;" AS STRING),'?')&gt;0 OR INSTR(CAST(X."&amp;F529&amp;" AS STRING),'!')&gt;0 OR INSTR(CAST(X."&amp;F529&amp;" AS STRING),'$')&gt;0 OR INSTR(CAST(X."&amp;F529&amp;" AS STRING),'%')&gt;0 OR INSTR(CAST(X."&amp;F529&amp;" AS STRING),'&amp;')&gt;0 OR INSTR(CAST(X."&amp;F529&amp;" AS STRING),'+')&gt;0,1,0)) AS NUM_REG_DIF,'"&amp;MAX('ID1&amp;5'!K:K)+1&amp;"' AS ID_EXEC, CURRENT_TIMESTAMP() AS TIME_EXEC FROM "&amp;I529,
IF(C529="Missings",+"SELECT '"&amp;UPPER(B529)&amp;"' AS TABELA, '"&amp;UPPER(C529)&amp;"' AS TIPOLOGIA_TESTE,'"&amp;D529&amp;"' AS TABELA_LT,'N/A' AS TABELA_SIMUL,'"&amp;F529&amp;"' AS CAMPO, "&amp;"'${ref_date}' AS REF_DATE, COUNT(*) AS NUM_REG, SUM(IF(TRIM(CAST(X."&amp;F529&amp;" AS STRING)) IN ('0000-00-00','0001-01-01','9999-12-31','MISS','00000','99999999999','99999999999.00','99999999999.000000'),1,0)) AS NUM_REG_DIF,'"&amp;MAX('ID1&amp;5'!K:K)+1&amp;"' AS ID_EXEC, CURRENT_TIMESTAMP() AS TIME_EXEC FROM "&amp;I529,
IF(C529="Not applicable",+"SELECT '"&amp;UPPER(B529)&amp;"' AS TABELA, '"&amp;UPPER(C529)&amp;"' AS TIPOLOGIA_TESTE,'"&amp;D529&amp;"' AS TABELA_LT,'N/A' AS TABELA_SIMUL,'"&amp;F529&amp;"' AS CAMPO, "&amp;"'${ref_date}' AS REF_DATE, COUNT(*) AS NUM_REG, SUM(IF(TRIM(CAST(X."&amp;F529&amp;" AS STRING)) IN ('N/A','11111111111','11111111111.00','11111111111.000000','1111-11-11'),1,0)) AS NUM_REG_DIF,'"&amp;MAX('ID1&amp;5'!K:K)+1&amp;"' AS ID_EXEC, CURRENT_TIMESTAMP() AS TIME_EXEC FROM "&amp;I529,
IF(C529="Valores extremos",+"SELECT '"&amp;UPPER(B529)&amp;"' AS TABELA, '"&amp;UPPER(C529)&amp;"' AS TIPOLOGIA_TESTE,'"&amp;D529&amp;"' AS TABELA_LT,'N/A' AS TABELA_SIMUL,'"&amp;F529&amp;"' AS CAMPO, "&amp;"'${ref_date}' AS REF_DATE, CAST(MIN("&amp;F529&amp;") AS STRING) AS VALOR_MIN, CAST(MAX("&amp;F529&amp;") AS STRING) AS VALOR_MAX,'"&amp;MAX('ID1&amp;5'!K:K)+1&amp;"' AS ID_EXEC, CURRENT_TIMESTAMP() AS TIME_EXEC FROM "&amp;MID(I529,1,LEN(I529)-2)&amp;" AND CAST("&amp;F529&amp;"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TABELA_SIMUL,'TYP_EP_SCR' AS CAMPO, '${ref_date}' AS REF_DATE, CAST(MIN(TYP_EP_SCR) AS STRING) AS VALOR_MIN, CAST(MAX(TYP_EP_SCR) AS STRING) AS VALOR_MAX,'10' AS ID_EXEC, CURRENT_TIMESTAMP() AS TIME_EXEC FROM (SELECT prtctn_id, TYP_EP_SCR FROM BU_LOANTAPE_WORK.LT004_PROTECTION WHERE ref_date='${ref_date}' AND nome_perimetro='Individual Corporativo' AND segmento='ESTR' AND ambito='PILAR3' AND CAST(TYP_EP_SCR AS STRING) NOT IN ('0000-00-00','0001-01-01','9999-12-31','MISS','00000','99999999999','99999999999.00','99999999999.000000','N/A','11111111111','11111111111.00','11111111111.000000','1111-11-11'))X</v>
      </c>
      <c r="M529" s="43" t="str">
        <f t="shared" si="8"/>
        <v>UNION ALL SELECT 'PROTECTION' AS TABELA, 'VALORES EXTREMOS' AS TIPOLOGIA_TESTE,'BU_LOANTAPE_WORK.LT004_PROTECTION' AS TABELA_LT,'N/A' AS TABELA_SIMUL,'TYP_EP_SCR' AS CAMPO, '${ref_date}' AS REF_DATE, CAST(MIN(TYP_EP_SCR) AS STRING) AS VALOR_MIN, CAST(MAX(TYP_EP_SCR) AS STRING) AS VALOR_MAX,'10' AS ID_EXEC, CURRENT_TIMESTAMP() AS TIME_EXEC FROM (SELECT prtctn_id, TYP_EP_SCR FROM BU_LOANTAPE_WORK.LT004_PROTECTION WHERE ref_date='${ref_date}' AND nome_perimetro='Individual Corporativo' AND segmento='ESTR' AND ambito='PILAR3' AND CAST(TYP_EP_SCR AS STRING) NOT IN ('0000-00-00','0001-01-01','9999-12-31','MISS','00000','99999999999','99999999999.00','99999999999.000000','N/A','11111111111','11111111111.00','11111111111.000000','1111-11-11'))X</v>
      </c>
      <c r="N529" s="45" t="s">
        <v>13</v>
      </c>
    </row>
    <row r="530" spans="2:14">
      <c r="B530" s="41" t="s">
        <v>31</v>
      </c>
      <c r="C530" s="41" t="s">
        <v>226</v>
      </c>
      <c r="D530" s="41" t="str">
        <f>+UPPER('0. Instruções'!$D$33&amp;"."&amp;VLOOKUP(B530,'0. Instruções'!$C$27:$D$31,2,FALSE))</f>
        <v>BU_LOANTAPE_WORK.LT004_PROTECTION</v>
      </c>
      <c r="E530" s="41" t="str">
        <f>+UPPER('0. Instruções'!$D$34&amp;"."&amp;VLOOKUP(B530,'0. Instruções'!$C$27:$E$31,3,FALSE))</f>
        <v>BU_LOANTAPE_WORK.LT004_PROTECTION_P3_NOV24</v>
      </c>
      <c r="F530" s="41" t="s">
        <v>136</v>
      </c>
      <c r="G530" s="41" t="s">
        <v>209</v>
      </c>
      <c r="H530" s="41"/>
      <c r="I530" s="41" t="str">
        <f>"(SELECT "&amp;VLOOKUP(B530,'0. Instruções'!$C$27:$G$31,4,FALSE)&amp;", "&amp;F530&amp;" FROM "&amp;D530&amp;" WHERE "&amp;'0. Instruções'!$D$40&amp;")X"</f>
        <v>(SELECT prtctn_id, EP_SCR FROM BU_LOANTAPE_WORK.LT004_PROTECTION WHERE ref_date='${ref_date}' AND nome_perimetro='Individual Corporativo' AND segmento='ESTR' AND ambito='PILAR3')X</v>
      </c>
      <c r="J530" s="41" t="str">
        <f>"(SELECT "&amp;VLOOKUP(B530,'0. Instruções'!$C$27:$G$31,4,FALSE)&amp;" AS "&amp;VLOOKUP(B530,'0. Instruções'!$C$27:$G$31,4,FALSE)&amp;"_SIMUL, "&amp;F530&amp;" AS "&amp;F530&amp;"_SIMUL FROM "&amp;E530&amp;")Y"</f>
        <v>(SELECT prtctn_id AS prtctn_id_SIMUL, EP_SCR AS EP_SCR_SIMUL FROM BU_LOANTAPE_WORK.LT004_PROTECTION_P3_NOV24)Y</v>
      </c>
      <c r="K530" s="42" t="str">
        <f>+UPPER("ON X."&amp;VLOOKUP(B530,'0. Instruções'!$C$27:$G$31,4,FALSE)&amp;"=Y."&amp;VLOOKUP(B530,'0. Instruções'!$C$27:$G$31,4,FALSE)&amp;"_SIMUL")</f>
        <v>ON X.PRTCTN_ID=Y.PRTCTN_ID_SIMUL</v>
      </c>
      <c r="L530" s="42" t="str">
        <f>+IF(C530="Coerência", +IF(LEFT(G530,5)="FLOAT","SELECT '"&amp;UPPER(B530)&amp;"' AS TABELA, '"&amp;UPPER(C530)&amp;"' AS TIPOLOGIA_TESTE,'"&amp;D530&amp;"' AS TABELA_LT,'"&amp;E530&amp;"' AS TABELA_SIMUL,'"&amp;F530&amp;"' AS CAMPO, "&amp;"'${ref_date}' AS REF_DATE, COUNT(*) AS NUM_REG, SUM(IF((ABS(COALESCE(X."&amp;F530&amp;",0)-COALESCE(Y."&amp;F530&amp;"_SIMUL,0))&gt;0.0000000001) OR (X."&amp;F530&amp;" IS NULL AND Y."&amp;F530&amp;"_SIMUL IS NOT NULL ) OR (X."&amp;F530&amp;" IS NOT NULL AND Y."&amp;F530&amp;"_SIMUL IS NULL),1,0)) AS NUM_REG_DIF,'"&amp;MAX('ID1&amp;5'!K:K)+1&amp;"' AS ID_EXEC, CURRENT_TIMESTAMP() AS TIME_EXEC FROM "&amp;I530&amp;" INNER JOIN "&amp;J530&amp;" "&amp;K530,"SELECT '"&amp;UPPER(B530)&amp;"' AS TABELA, '"&amp;UPPER(C530)&amp;"' AS TIPOLOGIA_TESTE,'"&amp;D530&amp;"' AS TABELA_LT,'"&amp;E530&amp;"' AS TABELA_SIMUL,'"&amp;F530&amp;"' AS CAMPO, "&amp;"'${ref_date}' AS REF_DATE, COUNT(*) AS NUM_REG, SUM(IF(COALESCE(CAST(X."&amp;F530&amp;" AS STRING),'')&lt;&gt;COALESCE(CAST(Y."&amp;F530&amp;"_SIMUL AS STRING),''),1,0)) AS NUM_REG_DIF,'"&amp;MAX('ID1&amp;5'!L:L)+1&amp;"' AS ID_EXEC, CURRENT_TIMESTAMP() AS TIME_EXEC FROM "&amp;I530&amp;" INNER JOIN "&amp;J530&amp;" "&amp;K530),
IF(C530="Validade",+IF(G530="Code List","SELECT '"&amp;UPPER(B530)&amp;"' AS TABELA, '"&amp;UPPER(C530)&amp;"' AS TIPOLOGIA_TESTE,'"&amp;D530&amp;"' AS TABELA_LT,'N/A' AS TABELA_SIMUL,'"&amp;F530&amp;"' AS CAMPO, "&amp;"'${ref_date}' AS REF_DATE, COUNT(*) AS NUM_REG, SUM(IF(TRIM(CAST(X."&amp;F530&amp;" AS STRING))='' OR TRIM(CAST(X."&amp;F530&amp;" AS STRING)) IS NULL OR CAST(X."&amp;F530&amp;" AS STRING) NOT "&amp;H530&amp;",1,0)) AS NUM_REG_DIF,'"&amp;MAX('ID1&amp;5'!K:K)+1&amp;"' AS ID_EXEC, CURRENT_TIMESTAMP() AS TIME_EXEC FROM "&amp;I530,"SELECT '"&amp;UPPER(B530)&amp;"' AS TABELA, '"&amp;UPPER(C530)&amp;"' AS TIPOLOGIA_TESTE,'"&amp;D530&amp;"' AS TABELA_LT,'N/A' AS TABELA_SIMUL,'"&amp;F530&amp;"' AS CAMPO, "&amp;"'${ref_date}' AS REF_DATE, COUNT(*) AS NUM_REG, SUM(IF(TRIM(CAST(X."&amp;F530&amp;" AS STRING))='' OR TRIM(CAST(X."&amp;F530&amp;" AS STRING)) IS NULL,1,0)) AS NUM_REG_DIF,'"&amp;MAX('ID1&amp;5'!K:K)+1&amp;"' AS ID_EXEC, CURRENT_TIMESTAMP() AS TIME_EXEC FROM "&amp;I530),
IF(C530="Caracteres Especiais",+"SELECT '"&amp;UPPER(B530)&amp;"' AS TABELA, '"&amp;UPPER(C530)&amp;"' AS TIPOLOGIA_TESTE,'"&amp;D530&amp;"' AS TABELA_LT,'N/A' AS TABELA_SIMUL,'"&amp;F530&amp;"' AS CAMPO, "&amp;"'${ref_date}' AS REF_DATE, COUNT(*) AS NUM_REG, SUM(IF(INSTR(CAST(X."&amp;F530&amp;" AS STRING),'#')&gt;0 OR INSTR(CAST(X."&amp;F530&amp;" AS STRING),'*')&gt;0 OR INSTR(CAST(X."&amp;F530&amp;" AS STRING),'`')&gt;0 OR INSTR(CAST(X."&amp;F530&amp;" AS STRING),'´')&gt;0 OR INSTR(CAST(X."&amp;F530&amp;" AS STRING),'{')&gt;0 OR INSTR(CAST(X."&amp;F530&amp;" AS STRING),'}')&gt;0 OR INSTR(CAST(X."&amp;F530&amp;" AS STRING),'[')&gt;0 OR INSTR(CAST(X."&amp;F530&amp;" AS STRING),'')&gt;0 OR INSTR(CAST(X."&amp;F530&amp;" AS STRING),']')&gt;0 OR INSTR(CAST(X."&amp;F530&amp;" AS STRING),'?')&gt;0 OR INSTR(CAST(X."&amp;F530&amp;" AS STRING),'!')&gt;0 OR INSTR(CAST(X."&amp;F530&amp;" AS STRING),'$')&gt;0 OR INSTR(CAST(X."&amp;F530&amp;" AS STRING),'%')&gt;0 OR INSTR(CAST(X."&amp;F530&amp;" AS STRING),'&amp;')&gt;0 OR INSTR(CAST(X."&amp;F530&amp;" AS STRING),'+')&gt;0,1,0)) AS NUM_REG_DIF,'"&amp;MAX('ID1&amp;5'!K:K)+1&amp;"' AS ID_EXEC, CURRENT_TIMESTAMP() AS TIME_EXEC FROM "&amp;I530,
IF(C530="Missings",+"SELECT '"&amp;UPPER(B530)&amp;"' AS TABELA, '"&amp;UPPER(C530)&amp;"' AS TIPOLOGIA_TESTE,'"&amp;D530&amp;"' AS TABELA_LT,'N/A' AS TABELA_SIMUL,'"&amp;F530&amp;"' AS CAMPO, "&amp;"'${ref_date}' AS REF_DATE, COUNT(*) AS NUM_REG, SUM(IF(TRIM(CAST(X."&amp;F530&amp;" AS STRING)) IN ('0000-00-00','0001-01-01','9999-12-31','MISS','00000','99999999999','99999999999.00','99999999999.000000'),1,0)) AS NUM_REG_DIF,'"&amp;MAX('ID1&amp;5'!K:K)+1&amp;"' AS ID_EXEC, CURRENT_TIMESTAMP() AS TIME_EXEC FROM "&amp;I530,
IF(C530="Not applicable",+"SELECT '"&amp;UPPER(B530)&amp;"' AS TABELA, '"&amp;UPPER(C530)&amp;"' AS TIPOLOGIA_TESTE,'"&amp;D530&amp;"' AS TABELA_LT,'N/A' AS TABELA_SIMUL,'"&amp;F530&amp;"' AS CAMPO, "&amp;"'${ref_date}' AS REF_DATE, COUNT(*) AS NUM_REG, SUM(IF(TRIM(CAST(X."&amp;F530&amp;" AS STRING)) IN ('N/A','11111111111','11111111111.00','11111111111.000000','1111-11-11'),1,0)) AS NUM_REG_DIF,'"&amp;MAX('ID1&amp;5'!K:K)+1&amp;"' AS ID_EXEC, CURRENT_TIMESTAMP() AS TIME_EXEC FROM "&amp;I530,
IF(C530="Valores extremos",+"SELECT '"&amp;UPPER(B530)&amp;"' AS TABELA, '"&amp;UPPER(C530)&amp;"' AS TIPOLOGIA_TESTE,'"&amp;D530&amp;"' AS TABELA_LT,'N/A' AS TABELA_SIMUL,'"&amp;F530&amp;"' AS CAMPO, "&amp;"'${ref_date}' AS REF_DATE, CAST(MIN("&amp;F530&amp;") AS STRING) AS VALOR_MIN, CAST(MAX("&amp;F530&amp;") AS STRING) AS VALOR_MAX,'"&amp;MAX('ID1&amp;5'!K:K)+1&amp;"' AS ID_EXEC, CURRENT_TIMESTAMP() AS TIME_EXEC FROM "&amp;MID(I530,1,LEN(I530)-2)&amp;" AND CAST("&amp;F530&amp;"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TABELA_SIMUL,'EP_SCR' AS CAMPO, '${ref_date}' AS REF_DATE, CAST(MIN(EP_SCR) AS STRING) AS VALOR_MIN, CAST(MAX(EP_SCR) AS STRING) AS VALOR_MAX,'10' AS ID_EXEC, CURRENT_TIMESTAMP() AS TIME_EXEC FROM (SELECT prtctn_id, EP_SCR FROM BU_LOANTAPE_WORK.LT004_PROTECTION WHERE ref_date='${ref_date}' AND nome_perimetro='Individual Corporativo' AND segmento='ESTR' AND ambito='PILAR3' AND CAST(EP_SCR AS STRING) NOT IN ('0000-00-00','0001-01-01','9999-12-31','MISS','00000','99999999999','99999999999.00','99999999999.000000','N/A','11111111111','11111111111.00','11111111111.000000','1111-11-11'))X</v>
      </c>
      <c r="M530" s="43" t="str">
        <f t="shared" si="8"/>
        <v>UNION ALL SELECT 'PROTECTION' AS TABELA, 'VALORES EXTREMOS' AS TIPOLOGIA_TESTE,'BU_LOANTAPE_WORK.LT004_PROTECTION' AS TABELA_LT,'N/A' AS TABELA_SIMUL,'EP_SCR' AS CAMPO, '${ref_date}' AS REF_DATE, CAST(MIN(EP_SCR) AS STRING) AS VALOR_MIN, CAST(MAX(EP_SCR) AS STRING) AS VALOR_MAX,'10' AS ID_EXEC, CURRENT_TIMESTAMP() AS TIME_EXEC FROM (SELECT prtctn_id, EP_SCR FROM BU_LOANTAPE_WORK.LT004_PROTECTION WHERE ref_date='${ref_date}' AND nome_perimetro='Individual Corporativo' AND segmento='ESTR' AND ambito='PILAR3' AND CAST(EP_SCR AS STRING) NOT IN ('0000-00-00','0001-01-01','9999-12-31','MISS','00000','99999999999','99999999999.00','99999999999.000000','N/A','11111111111','11111111111.00','11111111111.000000','1111-11-11'))X</v>
      </c>
      <c r="N530" s="45" t="s">
        <v>13</v>
      </c>
    </row>
    <row r="531" spans="2:14">
      <c r="B531" s="41" t="s">
        <v>31</v>
      </c>
      <c r="C531" s="41" t="s">
        <v>226</v>
      </c>
      <c r="D531" s="41" t="str">
        <f>+UPPER('0. Instruções'!$D$33&amp;"."&amp;VLOOKUP(B531,'0. Instruções'!$C$27:$D$31,2,FALSE))</f>
        <v>BU_LOANTAPE_WORK.LT004_PROTECTION</v>
      </c>
      <c r="E531" s="41" t="str">
        <f>+UPPER('0. Instruções'!$D$34&amp;"."&amp;VLOOKUP(B531,'0. Instruções'!$C$27:$E$31,3,FALSE))</f>
        <v>BU_LOANTAPE_WORK.LT004_PROTECTION_P3_NOV24</v>
      </c>
      <c r="F531" s="41" t="s">
        <v>137</v>
      </c>
      <c r="G531" s="41" t="s">
        <v>209</v>
      </c>
      <c r="H531" s="41"/>
      <c r="I531" s="41" t="str">
        <f>"(SELECT "&amp;VLOOKUP(B531,'0. Instruções'!$C$27:$G$31,4,FALSE)&amp;", "&amp;F531&amp;" FROM "&amp;D531&amp;" WHERE "&amp;'0. Instruções'!$D$40&amp;")X"</f>
        <v>(SELECT prtctn_id, TYP_EPC_LBL FROM BU_LOANTAPE_WORK.LT004_PROTECTION WHERE ref_date='${ref_date}' AND nome_perimetro='Individual Corporativo' AND segmento='ESTR' AND ambito='PILAR3')X</v>
      </c>
      <c r="J531" s="41" t="str">
        <f>"(SELECT "&amp;VLOOKUP(B531,'0. Instruções'!$C$27:$G$31,4,FALSE)&amp;" AS "&amp;VLOOKUP(B531,'0. Instruções'!$C$27:$G$31,4,FALSE)&amp;"_SIMUL, "&amp;F531&amp;" AS "&amp;F531&amp;"_SIMUL FROM "&amp;E531&amp;")Y"</f>
        <v>(SELECT prtctn_id AS prtctn_id_SIMUL, TYP_EPC_LBL AS TYP_EPC_LBL_SIMUL FROM BU_LOANTAPE_WORK.LT004_PROTECTION_P3_NOV24)Y</v>
      </c>
      <c r="K531" s="42" t="str">
        <f>+UPPER("ON X."&amp;VLOOKUP(B531,'0. Instruções'!$C$27:$G$31,4,FALSE)&amp;"=Y."&amp;VLOOKUP(B531,'0. Instruções'!$C$27:$G$31,4,FALSE)&amp;"_SIMUL")</f>
        <v>ON X.PRTCTN_ID=Y.PRTCTN_ID_SIMUL</v>
      </c>
      <c r="L531" s="42" t="str">
        <f>+IF(C531="Coerência", +IF(LEFT(G531,5)="FLOAT","SELECT '"&amp;UPPER(B531)&amp;"' AS TABELA, '"&amp;UPPER(C531)&amp;"' AS TIPOLOGIA_TESTE,'"&amp;D531&amp;"' AS TABELA_LT,'"&amp;E531&amp;"' AS TABELA_SIMUL,'"&amp;F531&amp;"' AS CAMPO, "&amp;"'${ref_date}' AS REF_DATE, COUNT(*) AS NUM_REG, SUM(IF((ABS(COALESCE(X."&amp;F531&amp;",0)-COALESCE(Y."&amp;F531&amp;"_SIMUL,0))&gt;0.0000000001) OR (X."&amp;F531&amp;" IS NULL AND Y."&amp;F531&amp;"_SIMUL IS NOT NULL ) OR (X."&amp;F531&amp;" IS NOT NULL AND Y."&amp;F531&amp;"_SIMUL IS NULL),1,0)) AS NUM_REG_DIF,'"&amp;MAX('ID1&amp;5'!K:K)+1&amp;"' AS ID_EXEC, CURRENT_TIMESTAMP() AS TIME_EXEC FROM "&amp;I531&amp;" INNER JOIN "&amp;J531&amp;" "&amp;K531,"SELECT '"&amp;UPPER(B531)&amp;"' AS TABELA, '"&amp;UPPER(C531)&amp;"' AS TIPOLOGIA_TESTE,'"&amp;D531&amp;"' AS TABELA_LT,'"&amp;E531&amp;"' AS TABELA_SIMUL,'"&amp;F531&amp;"' AS CAMPO, "&amp;"'${ref_date}' AS REF_DATE, COUNT(*) AS NUM_REG, SUM(IF(COALESCE(CAST(X."&amp;F531&amp;" AS STRING),'')&lt;&gt;COALESCE(CAST(Y."&amp;F531&amp;"_SIMUL AS STRING),''),1,0)) AS NUM_REG_DIF,'"&amp;MAX('ID1&amp;5'!L:L)+1&amp;"' AS ID_EXEC, CURRENT_TIMESTAMP() AS TIME_EXEC FROM "&amp;I531&amp;" INNER JOIN "&amp;J531&amp;" "&amp;K531),
IF(C531="Validade",+IF(G531="Code List","SELECT '"&amp;UPPER(B531)&amp;"' AS TABELA, '"&amp;UPPER(C531)&amp;"' AS TIPOLOGIA_TESTE,'"&amp;D531&amp;"' AS TABELA_LT,'N/A' AS TABELA_SIMUL,'"&amp;F531&amp;"' AS CAMPO, "&amp;"'${ref_date}' AS REF_DATE, COUNT(*) AS NUM_REG, SUM(IF(TRIM(CAST(X."&amp;F531&amp;" AS STRING))='' OR TRIM(CAST(X."&amp;F531&amp;" AS STRING)) IS NULL OR CAST(X."&amp;F531&amp;" AS STRING) NOT "&amp;H531&amp;",1,0)) AS NUM_REG_DIF,'"&amp;MAX('ID1&amp;5'!K:K)+1&amp;"' AS ID_EXEC, CURRENT_TIMESTAMP() AS TIME_EXEC FROM "&amp;I531,"SELECT '"&amp;UPPER(B531)&amp;"' AS TABELA, '"&amp;UPPER(C531)&amp;"' AS TIPOLOGIA_TESTE,'"&amp;D531&amp;"' AS TABELA_LT,'N/A' AS TABELA_SIMUL,'"&amp;F531&amp;"' AS CAMPO, "&amp;"'${ref_date}' AS REF_DATE, COUNT(*) AS NUM_REG, SUM(IF(TRIM(CAST(X."&amp;F531&amp;" AS STRING))='' OR TRIM(CAST(X."&amp;F531&amp;" AS STRING)) IS NULL,1,0)) AS NUM_REG_DIF,'"&amp;MAX('ID1&amp;5'!K:K)+1&amp;"' AS ID_EXEC, CURRENT_TIMESTAMP() AS TIME_EXEC FROM "&amp;I531),
IF(C531="Caracteres Especiais",+"SELECT '"&amp;UPPER(B531)&amp;"' AS TABELA, '"&amp;UPPER(C531)&amp;"' AS TIPOLOGIA_TESTE,'"&amp;D531&amp;"' AS TABELA_LT,'N/A' AS TABELA_SIMUL,'"&amp;F531&amp;"' AS CAMPO, "&amp;"'${ref_date}' AS REF_DATE, COUNT(*) AS NUM_REG, SUM(IF(INSTR(CAST(X."&amp;F531&amp;" AS STRING),'#')&gt;0 OR INSTR(CAST(X."&amp;F531&amp;" AS STRING),'*')&gt;0 OR INSTR(CAST(X."&amp;F531&amp;" AS STRING),'`')&gt;0 OR INSTR(CAST(X."&amp;F531&amp;" AS STRING),'´')&gt;0 OR INSTR(CAST(X."&amp;F531&amp;" AS STRING),'{')&gt;0 OR INSTR(CAST(X."&amp;F531&amp;" AS STRING),'}')&gt;0 OR INSTR(CAST(X."&amp;F531&amp;" AS STRING),'[')&gt;0 OR INSTR(CAST(X."&amp;F531&amp;" AS STRING),'')&gt;0 OR INSTR(CAST(X."&amp;F531&amp;" AS STRING),']')&gt;0 OR INSTR(CAST(X."&amp;F531&amp;" AS STRING),'?')&gt;0 OR INSTR(CAST(X."&amp;F531&amp;" AS STRING),'!')&gt;0 OR INSTR(CAST(X."&amp;F531&amp;" AS STRING),'$')&gt;0 OR INSTR(CAST(X."&amp;F531&amp;" AS STRING),'%')&gt;0 OR INSTR(CAST(X."&amp;F531&amp;" AS STRING),'&amp;')&gt;0 OR INSTR(CAST(X."&amp;F531&amp;" AS STRING),'+')&gt;0,1,0)) AS NUM_REG_DIF,'"&amp;MAX('ID1&amp;5'!K:K)+1&amp;"' AS ID_EXEC, CURRENT_TIMESTAMP() AS TIME_EXEC FROM "&amp;I531,
IF(C531="Missings",+"SELECT '"&amp;UPPER(B531)&amp;"' AS TABELA, '"&amp;UPPER(C531)&amp;"' AS TIPOLOGIA_TESTE,'"&amp;D531&amp;"' AS TABELA_LT,'N/A' AS TABELA_SIMUL,'"&amp;F531&amp;"' AS CAMPO, "&amp;"'${ref_date}' AS REF_DATE, COUNT(*) AS NUM_REG, SUM(IF(TRIM(CAST(X."&amp;F531&amp;" AS STRING)) IN ('0000-00-00','0001-01-01','9999-12-31','MISS','00000','99999999999','99999999999.00','99999999999.000000'),1,0)) AS NUM_REG_DIF,'"&amp;MAX('ID1&amp;5'!K:K)+1&amp;"' AS ID_EXEC, CURRENT_TIMESTAMP() AS TIME_EXEC FROM "&amp;I531,
IF(C531="Not applicable",+"SELECT '"&amp;UPPER(B531)&amp;"' AS TABELA, '"&amp;UPPER(C531)&amp;"' AS TIPOLOGIA_TESTE,'"&amp;D531&amp;"' AS TABELA_LT,'N/A' AS TABELA_SIMUL,'"&amp;F531&amp;"' AS CAMPO, "&amp;"'${ref_date}' AS REF_DATE, COUNT(*) AS NUM_REG, SUM(IF(TRIM(CAST(X."&amp;F531&amp;" AS STRING)) IN ('N/A','11111111111','11111111111.00','11111111111.000000','1111-11-11'),1,0)) AS NUM_REG_DIF,'"&amp;MAX('ID1&amp;5'!K:K)+1&amp;"' AS ID_EXEC, CURRENT_TIMESTAMP() AS TIME_EXEC FROM "&amp;I531,
IF(C531="Valores extremos",+"SELECT '"&amp;UPPER(B531)&amp;"' AS TABELA, '"&amp;UPPER(C531)&amp;"' AS TIPOLOGIA_TESTE,'"&amp;D531&amp;"' AS TABELA_LT,'N/A' AS TABELA_SIMUL,'"&amp;F531&amp;"' AS CAMPO, "&amp;"'${ref_date}' AS REF_DATE, CAST(MIN("&amp;F531&amp;") AS STRING) AS VALOR_MIN, CAST(MAX("&amp;F531&amp;") AS STRING) AS VALOR_MAX,'"&amp;MAX('ID1&amp;5'!K:K)+1&amp;"' AS ID_EXEC, CURRENT_TIMESTAMP() AS TIME_EXEC FROM "&amp;MID(I531,1,LEN(I531)-2)&amp;" AND CAST("&amp;F531&amp;"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TABELA_SIMUL,'TYP_EPC_LBL' AS CAMPO, '${ref_date}' AS REF_DATE, CAST(MIN(TYP_EPC_LBL) AS STRING) AS VALOR_MIN, CAST(MAX(TYP_EPC_LBL) AS STRING) AS VALOR_MAX,'10' AS ID_EXEC, CURRENT_TIMESTAMP() AS TIME_EXEC FROM (SELECT prtctn_id, TYP_EPC_LBL FROM BU_LOANTAPE_WORK.LT004_PROTECTION WHERE ref_date='${ref_date}' AND nome_perimetro='Individual Corporativo' AND segmento='ESTR' AND ambito='PILAR3' AND CAST(TYP_EPC_LBL AS STRING) NOT IN ('0000-00-00','0001-01-01','9999-12-31','MISS','00000','99999999999','99999999999.00','99999999999.000000','N/A','11111111111','11111111111.00','11111111111.000000','1111-11-11'))X</v>
      </c>
      <c r="M531" s="43" t="str">
        <f t="shared" si="8"/>
        <v>UNION ALL SELECT 'PROTECTION' AS TABELA, 'VALORES EXTREMOS' AS TIPOLOGIA_TESTE,'BU_LOANTAPE_WORK.LT004_PROTECTION' AS TABELA_LT,'N/A' AS TABELA_SIMUL,'TYP_EPC_LBL' AS CAMPO, '${ref_date}' AS REF_DATE, CAST(MIN(TYP_EPC_LBL) AS STRING) AS VALOR_MIN, CAST(MAX(TYP_EPC_LBL) AS STRING) AS VALOR_MAX,'10' AS ID_EXEC, CURRENT_TIMESTAMP() AS TIME_EXEC FROM (SELECT prtctn_id, TYP_EPC_LBL FROM BU_LOANTAPE_WORK.LT004_PROTECTION WHERE ref_date='${ref_date}' AND nome_perimetro='Individual Corporativo' AND segmento='ESTR' AND ambito='PILAR3' AND CAST(TYP_EPC_LBL AS STRING) NOT IN ('0000-00-00','0001-01-01','9999-12-31','MISS','00000','99999999999','99999999999.00','99999999999.000000','N/A','11111111111','11111111111.00','11111111111.000000','1111-11-11'))X</v>
      </c>
      <c r="N531" s="45" t="s">
        <v>13</v>
      </c>
    </row>
    <row r="532" spans="2:14">
      <c r="B532" s="41" t="s">
        <v>31</v>
      </c>
      <c r="C532" s="41" t="s">
        <v>226</v>
      </c>
      <c r="D532" s="41" t="str">
        <f>+UPPER('0. Instruções'!$D$33&amp;"."&amp;VLOOKUP(B532,'0. Instruções'!$C$27:$D$31,2,FALSE))</f>
        <v>BU_LOANTAPE_WORK.LT004_PROTECTION</v>
      </c>
      <c r="E532" s="41" t="str">
        <f>+UPPER('0. Instruções'!$D$34&amp;"."&amp;VLOOKUP(B532,'0. Instruções'!$C$27:$E$31,3,FALSE))</f>
        <v>BU_LOANTAPE_WORK.LT004_PROTECTION_P3_NOV24</v>
      </c>
      <c r="F532" s="41" t="s">
        <v>138</v>
      </c>
      <c r="G532" s="41" t="s">
        <v>209</v>
      </c>
      <c r="H532" s="41"/>
      <c r="I532" s="41" t="str">
        <f>"(SELECT "&amp;VLOOKUP(B532,'0. Instruções'!$C$27:$G$31,4,FALSE)&amp;", "&amp;F532&amp;" FROM "&amp;D532&amp;" WHERE "&amp;'0. Instruções'!$D$40&amp;")X"</f>
        <v>(SELECT prtctn_id, EPC_LBL FROM BU_LOANTAPE_WORK.LT004_PROTECTION WHERE ref_date='${ref_date}' AND nome_perimetro='Individual Corporativo' AND segmento='ESTR' AND ambito='PILAR3')X</v>
      </c>
      <c r="J532" s="41" t="str">
        <f>"(SELECT "&amp;VLOOKUP(B532,'0. Instruções'!$C$27:$G$31,4,FALSE)&amp;" AS "&amp;VLOOKUP(B532,'0. Instruções'!$C$27:$G$31,4,FALSE)&amp;"_SIMUL, "&amp;F532&amp;" AS "&amp;F532&amp;"_SIMUL FROM "&amp;E532&amp;")Y"</f>
        <v>(SELECT prtctn_id AS prtctn_id_SIMUL, EPC_LBL AS EPC_LBL_SIMUL FROM BU_LOANTAPE_WORK.LT004_PROTECTION_P3_NOV24)Y</v>
      </c>
      <c r="K532" s="42" t="str">
        <f>+UPPER("ON X."&amp;VLOOKUP(B532,'0. Instruções'!$C$27:$G$31,4,FALSE)&amp;"=Y."&amp;VLOOKUP(B532,'0. Instruções'!$C$27:$G$31,4,FALSE)&amp;"_SIMUL")</f>
        <v>ON X.PRTCTN_ID=Y.PRTCTN_ID_SIMUL</v>
      </c>
      <c r="L532" s="42" t="str">
        <f>+IF(C532="Coerência", +IF(LEFT(G532,5)="FLOAT","SELECT '"&amp;UPPER(B532)&amp;"' AS TABELA, '"&amp;UPPER(C532)&amp;"' AS TIPOLOGIA_TESTE,'"&amp;D532&amp;"' AS TABELA_LT,'"&amp;E532&amp;"' AS TABELA_SIMUL,'"&amp;F532&amp;"' AS CAMPO, "&amp;"'${ref_date}' AS REF_DATE, COUNT(*) AS NUM_REG, SUM(IF((ABS(COALESCE(X."&amp;F532&amp;",0)-COALESCE(Y."&amp;F532&amp;"_SIMUL,0))&gt;0.0000000001) OR (X."&amp;F532&amp;" IS NULL AND Y."&amp;F532&amp;"_SIMUL IS NOT NULL ) OR (X."&amp;F532&amp;" IS NOT NULL AND Y."&amp;F532&amp;"_SIMUL IS NULL),1,0)) AS NUM_REG_DIF,'"&amp;MAX('ID1&amp;5'!K:K)+1&amp;"' AS ID_EXEC, CURRENT_TIMESTAMP() AS TIME_EXEC FROM "&amp;I532&amp;" INNER JOIN "&amp;J532&amp;" "&amp;K532,"SELECT '"&amp;UPPER(B532)&amp;"' AS TABELA, '"&amp;UPPER(C532)&amp;"' AS TIPOLOGIA_TESTE,'"&amp;D532&amp;"' AS TABELA_LT,'"&amp;E532&amp;"' AS TABELA_SIMUL,'"&amp;F532&amp;"' AS CAMPO, "&amp;"'${ref_date}' AS REF_DATE, COUNT(*) AS NUM_REG, SUM(IF(COALESCE(CAST(X."&amp;F532&amp;" AS STRING),'')&lt;&gt;COALESCE(CAST(Y."&amp;F532&amp;"_SIMUL AS STRING),''),1,0)) AS NUM_REG_DIF,'"&amp;MAX('ID1&amp;5'!L:L)+1&amp;"' AS ID_EXEC, CURRENT_TIMESTAMP() AS TIME_EXEC FROM "&amp;I532&amp;" INNER JOIN "&amp;J532&amp;" "&amp;K532),
IF(C532="Validade",+IF(G532="Code List","SELECT '"&amp;UPPER(B532)&amp;"' AS TABELA, '"&amp;UPPER(C532)&amp;"' AS TIPOLOGIA_TESTE,'"&amp;D532&amp;"' AS TABELA_LT,'N/A' AS TABELA_SIMUL,'"&amp;F532&amp;"' AS CAMPO, "&amp;"'${ref_date}' AS REF_DATE, COUNT(*) AS NUM_REG, SUM(IF(TRIM(CAST(X."&amp;F532&amp;" AS STRING))='' OR TRIM(CAST(X."&amp;F532&amp;" AS STRING)) IS NULL OR CAST(X."&amp;F532&amp;" AS STRING) NOT "&amp;H532&amp;",1,0)) AS NUM_REG_DIF,'"&amp;MAX('ID1&amp;5'!K:K)+1&amp;"' AS ID_EXEC, CURRENT_TIMESTAMP() AS TIME_EXEC FROM "&amp;I532,"SELECT '"&amp;UPPER(B532)&amp;"' AS TABELA, '"&amp;UPPER(C532)&amp;"' AS TIPOLOGIA_TESTE,'"&amp;D532&amp;"' AS TABELA_LT,'N/A' AS TABELA_SIMUL,'"&amp;F532&amp;"' AS CAMPO, "&amp;"'${ref_date}' AS REF_DATE, COUNT(*) AS NUM_REG, SUM(IF(TRIM(CAST(X."&amp;F532&amp;" AS STRING))='' OR TRIM(CAST(X."&amp;F532&amp;" AS STRING)) IS NULL,1,0)) AS NUM_REG_DIF,'"&amp;MAX('ID1&amp;5'!K:K)+1&amp;"' AS ID_EXEC, CURRENT_TIMESTAMP() AS TIME_EXEC FROM "&amp;I532),
IF(C532="Caracteres Especiais",+"SELECT '"&amp;UPPER(B532)&amp;"' AS TABELA, '"&amp;UPPER(C532)&amp;"' AS TIPOLOGIA_TESTE,'"&amp;D532&amp;"' AS TABELA_LT,'N/A' AS TABELA_SIMUL,'"&amp;F532&amp;"' AS CAMPO, "&amp;"'${ref_date}' AS REF_DATE, COUNT(*) AS NUM_REG, SUM(IF(INSTR(CAST(X."&amp;F532&amp;" AS STRING),'#')&gt;0 OR INSTR(CAST(X."&amp;F532&amp;" AS STRING),'*')&gt;0 OR INSTR(CAST(X."&amp;F532&amp;" AS STRING),'`')&gt;0 OR INSTR(CAST(X."&amp;F532&amp;" AS STRING),'´')&gt;0 OR INSTR(CAST(X."&amp;F532&amp;" AS STRING),'{')&gt;0 OR INSTR(CAST(X."&amp;F532&amp;" AS STRING),'}')&gt;0 OR INSTR(CAST(X."&amp;F532&amp;" AS STRING),'[')&gt;0 OR INSTR(CAST(X."&amp;F532&amp;" AS STRING),'')&gt;0 OR INSTR(CAST(X."&amp;F532&amp;" AS STRING),']')&gt;0 OR INSTR(CAST(X."&amp;F532&amp;" AS STRING),'?')&gt;0 OR INSTR(CAST(X."&amp;F532&amp;" AS STRING),'!')&gt;0 OR INSTR(CAST(X."&amp;F532&amp;" AS STRING),'$')&gt;0 OR INSTR(CAST(X."&amp;F532&amp;" AS STRING),'%')&gt;0 OR INSTR(CAST(X."&amp;F532&amp;" AS STRING),'&amp;')&gt;0 OR INSTR(CAST(X."&amp;F532&amp;" AS STRING),'+')&gt;0,1,0)) AS NUM_REG_DIF,'"&amp;MAX('ID1&amp;5'!K:K)+1&amp;"' AS ID_EXEC, CURRENT_TIMESTAMP() AS TIME_EXEC FROM "&amp;I532,
IF(C532="Missings",+"SELECT '"&amp;UPPER(B532)&amp;"' AS TABELA, '"&amp;UPPER(C532)&amp;"' AS TIPOLOGIA_TESTE,'"&amp;D532&amp;"' AS TABELA_LT,'N/A' AS TABELA_SIMUL,'"&amp;F532&amp;"' AS CAMPO, "&amp;"'${ref_date}' AS REF_DATE, COUNT(*) AS NUM_REG, SUM(IF(TRIM(CAST(X."&amp;F532&amp;" AS STRING)) IN ('0000-00-00','0001-01-01','9999-12-31','MISS','00000','99999999999','99999999999.00','99999999999.000000'),1,0)) AS NUM_REG_DIF,'"&amp;MAX('ID1&amp;5'!K:K)+1&amp;"' AS ID_EXEC, CURRENT_TIMESTAMP() AS TIME_EXEC FROM "&amp;I532,
IF(C532="Not applicable",+"SELECT '"&amp;UPPER(B532)&amp;"' AS TABELA, '"&amp;UPPER(C532)&amp;"' AS TIPOLOGIA_TESTE,'"&amp;D532&amp;"' AS TABELA_LT,'N/A' AS TABELA_SIMUL,'"&amp;F532&amp;"' AS CAMPO, "&amp;"'${ref_date}' AS REF_DATE, COUNT(*) AS NUM_REG, SUM(IF(TRIM(CAST(X."&amp;F532&amp;" AS STRING)) IN ('N/A','11111111111','11111111111.00','11111111111.000000','1111-11-11'),1,0)) AS NUM_REG_DIF,'"&amp;MAX('ID1&amp;5'!K:K)+1&amp;"' AS ID_EXEC, CURRENT_TIMESTAMP() AS TIME_EXEC FROM "&amp;I532,
IF(C532="Valores extremos",+"SELECT '"&amp;UPPER(B532)&amp;"' AS TABELA, '"&amp;UPPER(C532)&amp;"' AS TIPOLOGIA_TESTE,'"&amp;D532&amp;"' AS TABELA_LT,'N/A' AS TABELA_SIMUL,'"&amp;F532&amp;"' AS CAMPO, "&amp;"'${ref_date}' AS REF_DATE, CAST(MIN("&amp;F532&amp;") AS STRING) AS VALOR_MIN, CAST(MAX("&amp;F532&amp;") AS STRING) AS VALOR_MAX,'"&amp;MAX('ID1&amp;5'!K:K)+1&amp;"' AS ID_EXEC, CURRENT_TIMESTAMP() AS TIME_EXEC FROM "&amp;MID(I532,1,LEN(I532)-2)&amp;" AND CAST("&amp;F532&amp;"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TABELA_SIMUL,'EPC_LBL' AS CAMPO, '${ref_date}' AS REF_DATE, CAST(MIN(EPC_LBL) AS STRING) AS VALOR_MIN, CAST(MAX(EPC_LBL) AS STRING) AS VALOR_MAX,'10' AS ID_EXEC, CURRENT_TIMESTAMP() AS TIME_EXEC FROM (SELECT prtctn_id, EPC_LBL FROM BU_LOANTAPE_WORK.LT004_PROTECTION WHERE ref_date='${ref_date}' AND nome_perimetro='Individual Corporativo' AND segmento='ESTR' AND ambito='PILAR3' AND CAST(EPC_LBL AS STRING) NOT IN ('0000-00-00','0001-01-01','9999-12-31','MISS','00000','99999999999','99999999999.00','99999999999.000000','N/A','11111111111','11111111111.00','11111111111.000000','1111-11-11'))X</v>
      </c>
      <c r="M532" s="43" t="str">
        <f t="shared" si="8"/>
        <v>UNION ALL SELECT 'PROTECTION' AS TABELA, 'VALORES EXTREMOS' AS TIPOLOGIA_TESTE,'BU_LOANTAPE_WORK.LT004_PROTECTION' AS TABELA_LT,'N/A' AS TABELA_SIMUL,'EPC_LBL' AS CAMPO, '${ref_date}' AS REF_DATE, CAST(MIN(EPC_LBL) AS STRING) AS VALOR_MIN, CAST(MAX(EPC_LBL) AS STRING) AS VALOR_MAX,'10' AS ID_EXEC, CURRENT_TIMESTAMP() AS TIME_EXEC FROM (SELECT prtctn_id, EPC_LBL FROM BU_LOANTAPE_WORK.LT004_PROTECTION WHERE ref_date='${ref_date}' AND nome_perimetro='Individual Corporativo' AND segmento='ESTR' AND ambito='PILAR3' AND CAST(EPC_LBL AS STRING) NOT IN ('0000-00-00','0001-01-01','9999-12-31','MISS','00000','99999999999','99999999999.00','99999999999.000000','N/A','11111111111','11111111111.00','11111111111.000000','1111-11-11'))X</v>
      </c>
      <c r="N532" s="45" t="s">
        <v>13</v>
      </c>
    </row>
    <row r="533" spans="2:14">
      <c r="B533" s="41" t="s">
        <v>31</v>
      </c>
      <c r="C533" s="41" t="s">
        <v>226</v>
      </c>
      <c r="D533" s="41" t="str">
        <f>+UPPER('0. Instruções'!$D$33&amp;"."&amp;VLOOKUP(B533,'0. Instruções'!$C$27:$D$31,2,FALSE))</f>
        <v>BU_LOANTAPE_WORK.LT004_PROTECTION</v>
      </c>
      <c r="E533" s="41" t="str">
        <f>+UPPER('0. Instruções'!$D$34&amp;"."&amp;VLOOKUP(B533,'0. Instruções'!$C$27:$E$31,3,FALSE))</f>
        <v>BU_LOANTAPE_WORK.LT004_PROTECTION_P3_NOV24</v>
      </c>
      <c r="F533" s="41" t="s">
        <v>139</v>
      </c>
      <c r="G533" s="41" t="s">
        <v>210</v>
      </c>
      <c r="H533" s="41"/>
      <c r="I533" s="41" t="str">
        <f>"(SELECT "&amp;VLOOKUP(B533,'0. Instruções'!$C$27:$G$31,4,FALSE)&amp;", "&amp;F533&amp;" FROM "&amp;D533&amp;" WHERE "&amp;'0. Instruções'!$D$40&amp;")X"</f>
        <v>(SELECT prtctn_id, EMSSNS_SCP1_PRTCTN FROM BU_LOANTAPE_WORK.LT004_PROTECTION WHERE ref_date='${ref_date}' AND nome_perimetro='Individual Corporativo' AND segmento='ESTR' AND ambito='PILAR3')X</v>
      </c>
      <c r="J533" s="41" t="str">
        <f>"(SELECT "&amp;VLOOKUP(B533,'0. Instruções'!$C$27:$G$31,4,FALSE)&amp;" AS "&amp;VLOOKUP(B533,'0. Instruções'!$C$27:$G$31,4,FALSE)&amp;"_SIMUL, "&amp;F533&amp;" AS "&amp;F533&amp;"_SIMUL FROM "&amp;E533&amp;")Y"</f>
        <v>(SELECT prtctn_id AS prtctn_id_SIMUL, EMSSNS_SCP1_PRTCTN AS EMSSNS_SCP1_PRTCTN_SIMUL FROM BU_LOANTAPE_WORK.LT004_PROTECTION_P3_NOV24)Y</v>
      </c>
      <c r="K533" s="42" t="str">
        <f>+UPPER("ON X."&amp;VLOOKUP(B533,'0. Instruções'!$C$27:$G$31,4,FALSE)&amp;"=Y."&amp;VLOOKUP(B533,'0. Instruções'!$C$27:$G$31,4,FALSE)&amp;"_SIMUL")</f>
        <v>ON X.PRTCTN_ID=Y.PRTCTN_ID_SIMUL</v>
      </c>
      <c r="L533" s="42" t="str">
        <f>+IF(C533="Coerência", +IF(LEFT(G533,5)="FLOAT","SELECT '"&amp;UPPER(B533)&amp;"' AS TABELA, '"&amp;UPPER(C533)&amp;"' AS TIPOLOGIA_TESTE,'"&amp;D533&amp;"' AS TABELA_LT,'"&amp;E533&amp;"' AS TABELA_SIMUL,'"&amp;F533&amp;"' AS CAMPO, "&amp;"'${ref_date}' AS REF_DATE, COUNT(*) AS NUM_REG, SUM(IF((ABS(COALESCE(X."&amp;F533&amp;",0)-COALESCE(Y."&amp;F533&amp;"_SIMUL,0))&gt;0.0000000001) OR (X."&amp;F533&amp;" IS NULL AND Y."&amp;F533&amp;"_SIMUL IS NOT NULL ) OR (X."&amp;F533&amp;" IS NOT NULL AND Y."&amp;F533&amp;"_SIMUL IS NULL),1,0)) AS NUM_REG_DIF,'"&amp;MAX('ID1&amp;5'!K:K)+1&amp;"' AS ID_EXEC, CURRENT_TIMESTAMP() AS TIME_EXEC FROM "&amp;I533&amp;" INNER JOIN "&amp;J533&amp;" "&amp;K533,"SELECT '"&amp;UPPER(B533)&amp;"' AS TABELA, '"&amp;UPPER(C533)&amp;"' AS TIPOLOGIA_TESTE,'"&amp;D533&amp;"' AS TABELA_LT,'"&amp;E533&amp;"' AS TABELA_SIMUL,'"&amp;F533&amp;"' AS CAMPO, "&amp;"'${ref_date}' AS REF_DATE, COUNT(*) AS NUM_REG, SUM(IF(COALESCE(CAST(X."&amp;F533&amp;" AS STRING),'')&lt;&gt;COALESCE(CAST(Y."&amp;F533&amp;"_SIMUL AS STRING),''),1,0)) AS NUM_REG_DIF,'"&amp;MAX('ID1&amp;5'!L:L)+1&amp;"' AS ID_EXEC, CURRENT_TIMESTAMP() AS TIME_EXEC FROM "&amp;I533&amp;" INNER JOIN "&amp;J533&amp;" "&amp;K533),
IF(C533="Validade",+IF(G533="Code List","SELECT '"&amp;UPPER(B533)&amp;"' AS TABELA, '"&amp;UPPER(C533)&amp;"' AS TIPOLOGIA_TESTE,'"&amp;D533&amp;"' AS TABELA_LT,'N/A' AS TABELA_SIMUL,'"&amp;F533&amp;"' AS CAMPO, "&amp;"'${ref_date}' AS REF_DATE, COUNT(*) AS NUM_REG, SUM(IF(TRIM(CAST(X."&amp;F533&amp;" AS STRING))='' OR TRIM(CAST(X."&amp;F533&amp;" AS STRING)) IS NULL OR CAST(X."&amp;F533&amp;" AS STRING) NOT "&amp;H533&amp;",1,0)) AS NUM_REG_DIF,'"&amp;MAX('ID1&amp;5'!K:K)+1&amp;"' AS ID_EXEC, CURRENT_TIMESTAMP() AS TIME_EXEC FROM "&amp;I533,"SELECT '"&amp;UPPER(B533)&amp;"' AS TABELA, '"&amp;UPPER(C533)&amp;"' AS TIPOLOGIA_TESTE,'"&amp;D533&amp;"' AS TABELA_LT,'N/A' AS TABELA_SIMUL,'"&amp;F533&amp;"' AS CAMPO, "&amp;"'${ref_date}' AS REF_DATE, COUNT(*) AS NUM_REG, SUM(IF(TRIM(CAST(X."&amp;F533&amp;" AS STRING))='' OR TRIM(CAST(X."&amp;F533&amp;" AS STRING)) IS NULL,1,0)) AS NUM_REG_DIF,'"&amp;MAX('ID1&amp;5'!K:K)+1&amp;"' AS ID_EXEC, CURRENT_TIMESTAMP() AS TIME_EXEC FROM "&amp;I533),
IF(C533="Caracteres Especiais",+"SELECT '"&amp;UPPER(B533)&amp;"' AS TABELA, '"&amp;UPPER(C533)&amp;"' AS TIPOLOGIA_TESTE,'"&amp;D533&amp;"' AS TABELA_LT,'N/A' AS TABELA_SIMUL,'"&amp;F533&amp;"' AS CAMPO, "&amp;"'${ref_date}' AS REF_DATE, COUNT(*) AS NUM_REG, SUM(IF(INSTR(CAST(X."&amp;F533&amp;" AS STRING),'#')&gt;0 OR INSTR(CAST(X."&amp;F533&amp;" AS STRING),'*')&gt;0 OR INSTR(CAST(X."&amp;F533&amp;" AS STRING),'`')&gt;0 OR INSTR(CAST(X."&amp;F533&amp;" AS STRING),'´')&gt;0 OR INSTR(CAST(X."&amp;F533&amp;" AS STRING),'{')&gt;0 OR INSTR(CAST(X."&amp;F533&amp;" AS STRING),'}')&gt;0 OR INSTR(CAST(X."&amp;F533&amp;" AS STRING),'[')&gt;0 OR INSTR(CAST(X."&amp;F533&amp;" AS STRING),'')&gt;0 OR INSTR(CAST(X."&amp;F533&amp;" AS STRING),']')&gt;0 OR INSTR(CAST(X."&amp;F533&amp;" AS STRING),'?')&gt;0 OR INSTR(CAST(X."&amp;F533&amp;" AS STRING),'!')&gt;0 OR INSTR(CAST(X."&amp;F533&amp;" AS STRING),'$')&gt;0 OR INSTR(CAST(X."&amp;F533&amp;" AS STRING),'%')&gt;0 OR INSTR(CAST(X."&amp;F533&amp;" AS STRING),'&amp;')&gt;0 OR INSTR(CAST(X."&amp;F533&amp;" AS STRING),'+')&gt;0,1,0)) AS NUM_REG_DIF,'"&amp;MAX('ID1&amp;5'!K:K)+1&amp;"' AS ID_EXEC, CURRENT_TIMESTAMP() AS TIME_EXEC FROM "&amp;I533,
IF(C533="Missings",+"SELECT '"&amp;UPPER(B533)&amp;"' AS TABELA, '"&amp;UPPER(C533)&amp;"' AS TIPOLOGIA_TESTE,'"&amp;D533&amp;"' AS TABELA_LT,'N/A' AS TABELA_SIMUL,'"&amp;F533&amp;"' AS CAMPO, "&amp;"'${ref_date}' AS REF_DATE, COUNT(*) AS NUM_REG, SUM(IF(TRIM(CAST(X."&amp;F533&amp;" AS STRING)) IN ('0000-00-00','0001-01-01','9999-12-31','MISS','00000','99999999999','99999999999.00','99999999999.000000'),1,0)) AS NUM_REG_DIF,'"&amp;MAX('ID1&amp;5'!K:K)+1&amp;"' AS ID_EXEC, CURRENT_TIMESTAMP() AS TIME_EXEC FROM "&amp;I533,
IF(C533="Not applicable",+"SELECT '"&amp;UPPER(B533)&amp;"' AS TABELA, '"&amp;UPPER(C533)&amp;"' AS TIPOLOGIA_TESTE,'"&amp;D533&amp;"' AS TABELA_LT,'N/A' AS TABELA_SIMUL,'"&amp;F533&amp;"' AS CAMPO, "&amp;"'${ref_date}' AS REF_DATE, COUNT(*) AS NUM_REG, SUM(IF(TRIM(CAST(X."&amp;F533&amp;" AS STRING)) IN ('N/A','11111111111','11111111111.00','11111111111.000000','1111-11-11'),1,0)) AS NUM_REG_DIF,'"&amp;MAX('ID1&amp;5'!K:K)+1&amp;"' AS ID_EXEC, CURRENT_TIMESTAMP() AS TIME_EXEC FROM "&amp;I533,
IF(C533="Valores extremos",+"SELECT '"&amp;UPPER(B533)&amp;"' AS TABELA, '"&amp;UPPER(C533)&amp;"' AS TIPOLOGIA_TESTE,'"&amp;D533&amp;"' AS TABELA_LT,'N/A' AS TABELA_SIMUL,'"&amp;F533&amp;"' AS CAMPO, "&amp;"'${ref_date}' AS REF_DATE, CAST(MIN("&amp;F533&amp;") AS STRING) AS VALOR_MIN, CAST(MAX("&amp;F533&amp;") AS STRING) AS VALOR_MAX,'"&amp;MAX('ID1&amp;5'!K:K)+1&amp;"' AS ID_EXEC, CURRENT_TIMESTAMP() AS TIME_EXEC FROM "&amp;MID(I533,1,LEN(I533)-2)&amp;" AND CAST("&amp;F533&amp;"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TABELA_SIMUL,'EMSSNS_SCP1_PRTCTN' AS CAMPO, '${ref_date}' AS REF_DATE, CAST(MIN(EMSSNS_SCP1_PRTCTN) AS STRING) AS VALOR_MIN, CAST(MAX(EMSSNS_SCP1_PRTCTN) AS STRING) AS VALOR_MAX,'10' AS ID_EXEC, CURRENT_TIMESTAMP() AS TIME_EXEC FROM (SELECT prtctn_id, EMSSNS_SCP1_PRTCTN FROM BU_LOANTAPE_WORK.LT004_PROTECTION WHERE ref_date='${ref_date}' AND nome_perimetro='Individual Corporativo' AND segmento='ESTR' AND ambito='PILAR3' AND CAST(EMSSNS_SCP1_PRTCTN AS STRING) NOT IN ('0000-00-00','0001-01-01','9999-12-31','MISS','00000','99999999999','99999999999.00','99999999999.000000','N/A','11111111111','11111111111.00','11111111111.000000','1111-11-11'))X</v>
      </c>
      <c r="M533" s="43" t="str">
        <f t="shared" si="8"/>
        <v>UNION ALL SELECT 'PROTECTION' AS TABELA, 'VALORES EXTREMOS' AS TIPOLOGIA_TESTE,'BU_LOANTAPE_WORK.LT004_PROTECTION' AS TABELA_LT,'N/A' AS TABELA_SIMUL,'EMSSNS_SCP1_PRTCTN' AS CAMPO, '${ref_date}' AS REF_DATE, CAST(MIN(EMSSNS_SCP1_PRTCTN) AS STRING) AS VALOR_MIN, CAST(MAX(EMSSNS_SCP1_PRTCTN) AS STRING) AS VALOR_MAX,'10' AS ID_EXEC, CURRENT_TIMESTAMP() AS TIME_EXEC FROM (SELECT prtctn_id, EMSSNS_SCP1_PRTCTN FROM BU_LOANTAPE_WORK.LT004_PROTECTION WHERE ref_date='${ref_date}' AND nome_perimetro='Individual Corporativo' AND segmento='ESTR' AND ambito='PILAR3' AND CAST(EMSSNS_SCP1_PRTCTN AS STRING) NOT IN ('0000-00-00','0001-01-01','9999-12-31','MISS','00000','99999999999','99999999999.00','99999999999.000000','N/A','11111111111','11111111111.00','11111111111.000000','1111-11-11'))X</v>
      </c>
      <c r="N533" s="45" t="s">
        <v>13</v>
      </c>
    </row>
    <row r="534" spans="2:14">
      <c r="B534" s="41" t="s">
        <v>31</v>
      </c>
      <c r="C534" s="41" t="s">
        <v>226</v>
      </c>
      <c r="D534" s="41" t="str">
        <f>+UPPER('0. Instruções'!$D$33&amp;"."&amp;VLOOKUP(B534,'0. Instruções'!$C$27:$D$31,2,FALSE))</f>
        <v>BU_LOANTAPE_WORK.LT004_PROTECTION</v>
      </c>
      <c r="E534" s="41" t="str">
        <f>+UPPER('0. Instruções'!$D$34&amp;"."&amp;VLOOKUP(B534,'0. Instruções'!$C$27:$E$31,3,FALSE))</f>
        <v>BU_LOANTAPE_WORK.LT004_PROTECTION_P3_NOV24</v>
      </c>
      <c r="F534" s="41" t="s">
        <v>140</v>
      </c>
      <c r="G534" s="41" t="s">
        <v>210</v>
      </c>
      <c r="H534" s="41"/>
      <c r="I534" s="41" t="str">
        <f>"(SELECT "&amp;VLOOKUP(B534,'0. Instruções'!$C$27:$G$31,4,FALSE)&amp;", "&amp;F534&amp;" FROM "&amp;D534&amp;" WHERE "&amp;'0. Instruções'!$D$40&amp;")X"</f>
        <v>(SELECT prtctn_id, EMSSNS_SCP2_PRTCTN FROM BU_LOANTAPE_WORK.LT004_PROTECTION WHERE ref_date='${ref_date}' AND nome_perimetro='Individual Corporativo' AND segmento='ESTR' AND ambito='PILAR3')X</v>
      </c>
      <c r="J534" s="41" t="str">
        <f>"(SELECT "&amp;VLOOKUP(B534,'0. Instruções'!$C$27:$G$31,4,FALSE)&amp;" AS "&amp;VLOOKUP(B534,'0. Instruções'!$C$27:$G$31,4,FALSE)&amp;"_SIMUL, "&amp;F534&amp;" AS "&amp;F534&amp;"_SIMUL FROM "&amp;E534&amp;")Y"</f>
        <v>(SELECT prtctn_id AS prtctn_id_SIMUL, EMSSNS_SCP2_PRTCTN AS EMSSNS_SCP2_PRTCTN_SIMUL FROM BU_LOANTAPE_WORK.LT004_PROTECTION_P3_NOV24)Y</v>
      </c>
      <c r="K534" s="42" t="str">
        <f>+UPPER("ON X."&amp;VLOOKUP(B534,'0. Instruções'!$C$27:$G$31,4,FALSE)&amp;"=Y."&amp;VLOOKUP(B534,'0. Instruções'!$C$27:$G$31,4,FALSE)&amp;"_SIMUL")</f>
        <v>ON X.PRTCTN_ID=Y.PRTCTN_ID_SIMUL</v>
      </c>
      <c r="L534" s="42" t="str">
        <f>+IF(C534="Coerência", +IF(LEFT(G534,5)="FLOAT","SELECT '"&amp;UPPER(B534)&amp;"' AS TABELA, '"&amp;UPPER(C534)&amp;"' AS TIPOLOGIA_TESTE,'"&amp;D534&amp;"' AS TABELA_LT,'"&amp;E534&amp;"' AS TABELA_SIMUL,'"&amp;F534&amp;"' AS CAMPO, "&amp;"'${ref_date}' AS REF_DATE, COUNT(*) AS NUM_REG, SUM(IF((ABS(COALESCE(X."&amp;F534&amp;",0)-COALESCE(Y."&amp;F534&amp;"_SIMUL,0))&gt;0.0000000001) OR (X."&amp;F534&amp;" IS NULL AND Y."&amp;F534&amp;"_SIMUL IS NOT NULL ) OR (X."&amp;F534&amp;" IS NOT NULL AND Y."&amp;F534&amp;"_SIMUL IS NULL),1,0)) AS NUM_REG_DIF,'"&amp;MAX('ID1&amp;5'!K:K)+1&amp;"' AS ID_EXEC, CURRENT_TIMESTAMP() AS TIME_EXEC FROM "&amp;I534&amp;" INNER JOIN "&amp;J534&amp;" "&amp;K534,"SELECT '"&amp;UPPER(B534)&amp;"' AS TABELA, '"&amp;UPPER(C534)&amp;"' AS TIPOLOGIA_TESTE,'"&amp;D534&amp;"' AS TABELA_LT,'"&amp;E534&amp;"' AS TABELA_SIMUL,'"&amp;F534&amp;"' AS CAMPO, "&amp;"'${ref_date}' AS REF_DATE, COUNT(*) AS NUM_REG, SUM(IF(COALESCE(CAST(X."&amp;F534&amp;" AS STRING),'')&lt;&gt;COALESCE(CAST(Y."&amp;F534&amp;"_SIMUL AS STRING),''),1,0)) AS NUM_REG_DIF,'"&amp;MAX('ID1&amp;5'!L:L)+1&amp;"' AS ID_EXEC, CURRENT_TIMESTAMP() AS TIME_EXEC FROM "&amp;I534&amp;" INNER JOIN "&amp;J534&amp;" "&amp;K534),
IF(C534="Validade",+IF(G534="Code List","SELECT '"&amp;UPPER(B534)&amp;"' AS TABELA, '"&amp;UPPER(C534)&amp;"' AS TIPOLOGIA_TESTE,'"&amp;D534&amp;"' AS TABELA_LT,'N/A' AS TABELA_SIMUL,'"&amp;F534&amp;"' AS CAMPO, "&amp;"'${ref_date}' AS REF_DATE, COUNT(*) AS NUM_REG, SUM(IF(TRIM(CAST(X."&amp;F534&amp;" AS STRING))='' OR TRIM(CAST(X."&amp;F534&amp;" AS STRING)) IS NULL OR CAST(X."&amp;F534&amp;" AS STRING) NOT "&amp;H534&amp;",1,0)) AS NUM_REG_DIF,'"&amp;MAX('ID1&amp;5'!K:K)+1&amp;"' AS ID_EXEC, CURRENT_TIMESTAMP() AS TIME_EXEC FROM "&amp;I534,"SELECT '"&amp;UPPER(B534)&amp;"' AS TABELA, '"&amp;UPPER(C534)&amp;"' AS TIPOLOGIA_TESTE,'"&amp;D534&amp;"' AS TABELA_LT,'N/A' AS TABELA_SIMUL,'"&amp;F534&amp;"' AS CAMPO, "&amp;"'${ref_date}' AS REF_DATE, COUNT(*) AS NUM_REG, SUM(IF(TRIM(CAST(X."&amp;F534&amp;" AS STRING))='' OR TRIM(CAST(X."&amp;F534&amp;" AS STRING)) IS NULL,1,0)) AS NUM_REG_DIF,'"&amp;MAX('ID1&amp;5'!K:K)+1&amp;"' AS ID_EXEC, CURRENT_TIMESTAMP() AS TIME_EXEC FROM "&amp;I534),
IF(C534="Caracteres Especiais",+"SELECT '"&amp;UPPER(B534)&amp;"' AS TABELA, '"&amp;UPPER(C534)&amp;"' AS TIPOLOGIA_TESTE,'"&amp;D534&amp;"' AS TABELA_LT,'N/A' AS TABELA_SIMUL,'"&amp;F534&amp;"' AS CAMPO, "&amp;"'${ref_date}' AS REF_DATE, COUNT(*) AS NUM_REG, SUM(IF(INSTR(CAST(X."&amp;F534&amp;" AS STRING),'#')&gt;0 OR INSTR(CAST(X."&amp;F534&amp;" AS STRING),'*')&gt;0 OR INSTR(CAST(X."&amp;F534&amp;" AS STRING),'`')&gt;0 OR INSTR(CAST(X."&amp;F534&amp;" AS STRING),'´')&gt;0 OR INSTR(CAST(X."&amp;F534&amp;" AS STRING),'{')&gt;0 OR INSTR(CAST(X."&amp;F534&amp;" AS STRING),'}')&gt;0 OR INSTR(CAST(X."&amp;F534&amp;" AS STRING),'[')&gt;0 OR INSTR(CAST(X."&amp;F534&amp;" AS STRING),'')&gt;0 OR INSTR(CAST(X."&amp;F534&amp;" AS STRING),']')&gt;0 OR INSTR(CAST(X."&amp;F534&amp;" AS STRING),'?')&gt;0 OR INSTR(CAST(X."&amp;F534&amp;" AS STRING),'!')&gt;0 OR INSTR(CAST(X."&amp;F534&amp;" AS STRING),'$')&gt;0 OR INSTR(CAST(X."&amp;F534&amp;" AS STRING),'%')&gt;0 OR INSTR(CAST(X."&amp;F534&amp;" AS STRING),'&amp;')&gt;0 OR INSTR(CAST(X."&amp;F534&amp;" AS STRING),'+')&gt;0,1,0)) AS NUM_REG_DIF,'"&amp;MAX('ID1&amp;5'!K:K)+1&amp;"' AS ID_EXEC, CURRENT_TIMESTAMP() AS TIME_EXEC FROM "&amp;I534,
IF(C534="Missings",+"SELECT '"&amp;UPPER(B534)&amp;"' AS TABELA, '"&amp;UPPER(C534)&amp;"' AS TIPOLOGIA_TESTE,'"&amp;D534&amp;"' AS TABELA_LT,'N/A' AS TABELA_SIMUL,'"&amp;F534&amp;"' AS CAMPO, "&amp;"'${ref_date}' AS REF_DATE, COUNT(*) AS NUM_REG, SUM(IF(TRIM(CAST(X."&amp;F534&amp;" AS STRING)) IN ('0000-00-00','0001-01-01','9999-12-31','MISS','00000','99999999999','99999999999.00','99999999999.000000'),1,0)) AS NUM_REG_DIF,'"&amp;MAX('ID1&amp;5'!K:K)+1&amp;"' AS ID_EXEC, CURRENT_TIMESTAMP() AS TIME_EXEC FROM "&amp;I534,
IF(C534="Not applicable",+"SELECT '"&amp;UPPER(B534)&amp;"' AS TABELA, '"&amp;UPPER(C534)&amp;"' AS TIPOLOGIA_TESTE,'"&amp;D534&amp;"' AS TABELA_LT,'N/A' AS TABELA_SIMUL,'"&amp;F534&amp;"' AS CAMPO, "&amp;"'${ref_date}' AS REF_DATE, COUNT(*) AS NUM_REG, SUM(IF(TRIM(CAST(X."&amp;F534&amp;" AS STRING)) IN ('N/A','11111111111','11111111111.00','11111111111.000000','1111-11-11'),1,0)) AS NUM_REG_DIF,'"&amp;MAX('ID1&amp;5'!K:K)+1&amp;"' AS ID_EXEC, CURRENT_TIMESTAMP() AS TIME_EXEC FROM "&amp;I534,
IF(C534="Valores extremos",+"SELECT '"&amp;UPPER(B534)&amp;"' AS TABELA, '"&amp;UPPER(C534)&amp;"' AS TIPOLOGIA_TESTE,'"&amp;D534&amp;"' AS TABELA_LT,'N/A' AS TABELA_SIMUL,'"&amp;F534&amp;"' AS CAMPO, "&amp;"'${ref_date}' AS REF_DATE, CAST(MIN("&amp;F534&amp;") AS STRING) AS VALOR_MIN, CAST(MAX("&amp;F534&amp;") AS STRING) AS VALOR_MAX,'"&amp;MAX('ID1&amp;5'!K:K)+1&amp;"' AS ID_EXEC, CURRENT_TIMESTAMP() AS TIME_EXEC FROM "&amp;MID(I534,1,LEN(I534)-2)&amp;" AND CAST("&amp;F534&amp;"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TABELA_SIMUL,'EMSSNS_SCP2_PRTCTN' AS CAMPO, '${ref_date}' AS REF_DATE, CAST(MIN(EMSSNS_SCP2_PRTCTN) AS STRING) AS VALOR_MIN, CAST(MAX(EMSSNS_SCP2_PRTCTN) AS STRING) AS VALOR_MAX,'10' AS ID_EXEC, CURRENT_TIMESTAMP() AS TIME_EXEC FROM (SELECT prtctn_id, EMSSNS_SCP2_PRTCTN FROM BU_LOANTAPE_WORK.LT004_PROTECTION WHERE ref_date='${ref_date}' AND nome_perimetro='Individual Corporativo' AND segmento='ESTR' AND ambito='PILAR3' AND CAST(EMSSNS_SCP2_PRTCTN AS STRING) NOT IN ('0000-00-00','0001-01-01','9999-12-31','MISS','00000','99999999999','99999999999.00','99999999999.000000','N/A','11111111111','11111111111.00','11111111111.000000','1111-11-11'))X</v>
      </c>
      <c r="M534" s="43" t="str">
        <f t="shared" si="8"/>
        <v>UNION ALL SELECT 'PROTECTION' AS TABELA, 'VALORES EXTREMOS' AS TIPOLOGIA_TESTE,'BU_LOANTAPE_WORK.LT004_PROTECTION' AS TABELA_LT,'N/A' AS TABELA_SIMUL,'EMSSNS_SCP2_PRTCTN' AS CAMPO, '${ref_date}' AS REF_DATE, CAST(MIN(EMSSNS_SCP2_PRTCTN) AS STRING) AS VALOR_MIN, CAST(MAX(EMSSNS_SCP2_PRTCTN) AS STRING) AS VALOR_MAX,'10' AS ID_EXEC, CURRENT_TIMESTAMP() AS TIME_EXEC FROM (SELECT prtctn_id, EMSSNS_SCP2_PRTCTN FROM BU_LOANTAPE_WORK.LT004_PROTECTION WHERE ref_date='${ref_date}' AND nome_perimetro='Individual Corporativo' AND segmento='ESTR' AND ambito='PILAR3' AND CAST(EMSSNS_SCP2_PRTCTN AS STRING) NOT IN ('0000-00-00','0001-01-01','9999-12-31','MISS','00000','99999999999','99999999999.00','99999999999.000000','N/A','11111111111','11111111111.00','11111111111.000000','1111-11-11'))X</v>
      </c>
      <c r="N534" s="45" t="s">
        <v>13</v>
      </c>
    </row>
    <row r="535" spans="2:14">
      <c r="B535" s="41" t="s">
        <v>31</v>
      </c>
      <c r="C535" s="41" t="s">
        <v>226</v>
      </c>
      <c r="D535" s="41" t="str">
        <f>+UPPER('0. Instruções'!$D$33&amp;"."&amp;VLOOKUP(B535,'0. Instruções'!$C$27:$D$31,2,FALSE))</f>
        <v>BU_LOANTAPE_WORK.LT004_PROTECTION</v>
      </c>
      <c r="E535" s="41" t="str">
        <f>+UPPER('0. Instruções'!$D$34&amp;"."&amp;VLOOKUP(B535,'0. Instruções'!$C$27:$E$31,3,FALSE))</f>
        <v>BU_LOANTAPE_WORK.LT004_PROTECTION_P3_NOV24</v>
      </c>
      <c r="F535" s="41" t="s">
        <v>141</v>
      </c>
      <c r="G535" s="41" t="s">
        <v>210</v>
      </c>
      <c r="H535" s="41"/>
      <c r="I535" s="41" t="str">
        <f>"(SELECT "&amp;VLOOKUP(B535,'0. Instruções'!$C$27:$G$31,4,FALSE)&amp;", "&amp;F535&amp;" FROM "&amp;D535&amp;" WHERE "&amp;'0. Instruções'!$D$40&amp;")X"</f>
        <v>(SELECT prtctn_id, EMSSNS_SCP3_PRTCTN FROM BU_LOANTAPE_WORK.LT004_PROTECTION WHERE ref_date='${ref_date}' AND nome_perimetro='Individual Corporativo' AND segmento='ESTR' AND ambito='PILAR3')X</v>
      </c>
      <c r="J535" s="41" t="str">
        <f>"(SELECT "&amp;VLOOKUP(B535,'0. Instruções'!$C$27:$G$31,4,FALSE)&amp;" AS "&amp;VLOOKUP(B535,'0. Instruções'!$C$27:$G$31,4,FALSE)&amp;"_SIMUL, "&amp;F535&amp;" AS "&amp;F535&amp;"_SIMUL FROM "&amp;E535&amp;")Y"</f>
        <v>(SELECT prtctn_id AS prtctn_id_SIMUL, EMSSNS_SCP3_PRTCTN AS EMSSNS_SCP3_PRTCTN_SIMUL FROM BU_LOANTAPE_WORK.LT004_PROTECTION_P3_NOV24)Y</v>
      </c>
      <c r="K535" s="42" t="str">
        <f>+UPPER("ON X."&amp;VLOOKUP(B535,'0. Instruções'!$C$27:$G$31,4,FALSE)&amp;"=Y."&amp;VLOOKUP(B535,'0. Instruções'!$C$27:$G$31,4,FALSE)&amp;"_SIMUL")</f>
        <v>ON X.PRTCTN_ID=Y.PRTCTN_ID_SIMUL</v>
      </c>
      <c r="L535" s="42" t="str">
        <f>+IF(C535="Coerência", +IF(LEFT(G535,5)="FLOAT","SELECT '"&amp;UPPER(B535)&amp;"' AS TABELA, '"&amp;UPPER(C535)&amp;"' AS TIPOLOGIA_TESTE,'"&amp;D535&amp;"' AS TABELA_LT,'"&amp;E535&amp;"' AS TABELA_SIMUL,'"&amp;F535&amp;"' AS CAMPO, "&amp;"'${ref_date}' AS REF_DATE, COUNT(*) AS NUM_REG, SUM(IF((ABS(COALESCE(X."&amp;F535&amp;",0)-COALESCE(Y."&amp;F535&amp;"_SIMUL,0))&gt;0.0000000001) OR (X."&amp;F535&amp;" IS NULL AND Y."&amp;F535&amp;"_SIMUL IS NOT NULL ) OR (X."&amp;F535&amp;" IS NOT NULL AND Y."&amp;F535&amp;"_SIMUL IS NULL),1,0)) AS NUM_REG_DIF,'"&amp;MAX('ID1&amp;5'!K:K)+1&amp;"' AS ID_EXEC, CURRENT_TIMESTAMP() AS TIME_EXEC FROM "&amp;I535&amp;" INNER JOIN "&amp;J535&amp;" "&amp;K535,"SELECT '"&amp;UPPER(B535)&amp;"' AS TABELA, '"&amp;UPPER(C535)&amp;"' AS TIPOLOGIA_TESTE,'"&amp;D535&amp;"' AS TABELA_LT,'"&amp;E535&amp;"' AS TABELA_SIMUL,'"&amp;F535&amp;"' AS CAMPO, "&amp;"'${ref_date}' AS REF_DATE, COUNT(*) AS NUM_REG, SUM(IF(COALESCE(CAST(X."&amp;F535&amp;" AS STRING),'')&lt;&gt;COALESCE(CAST(Y."&amp;F535&amp;"_SIMUL AS STRING),''),1,0)) AS NUM_REG_DIF,'"&amp;MAX('ID1&amp;5'!L:L)+1&amp;"' AS ID_EXEC, CURRENT_TIMESTAMP() AS TIME_EXEC FROM "&amp;I535&amp;" INNER JOIN "&amp;J535&amp;" "&amp;K535),
IF(C535="Validade",+IF(G535="Code List","SELECT '"&amp;UPPER(B535)&amp;"' AS TABELA, '"&amp;UPPER(C535)&amp;"' AS TIPOLOGIA_TESTE,'"&amp;D535&amp;"' AS TABELA_LT,'N/A' AS TABELA_SIMUL,'"&amp;F535&amp;"' AS CAMPO, "&amp;"'${ref_date}' AS REF_DATE, COUNT(*) AS NUM_REG, SUM(IF(TRIM(CAST(X."&amp;F535&amp;" AS STRING))='' OR TRIM(CAST(X."&amp;F535&amp;" AS STRING)) IS NULL OR CAST(X."&amp;F535&amp;" AS STRING) NOT "&amp;H535&amp;",1,0)) AS NUM_REG_DIF,'"&amp;MAX('ID1&amp;5'!K:K)+1&amp;"' AS ID_EXEC, CURRENT_TIMESTAMP() AS TIME_EXEC FROM "&amp;I535,"SELECT '"&amp;UPPER(B535)&amp;"' AS TABELA, '"&amp;UPPER(C535)&amp;"' AS TIPOLOGIA_TESTE,'"&amp;D535&amp;"' AS TABELA_LT,'N/A' AS TABELA_SIMUL,'"&amp;F535&amp;"' AS CAMPO, "&amp;"'${ref_date}' AS REF_DATE, COUNT(*) AS NUM_REG, SUM(IF(TRIM(CAST(X."&amp;F535&amp;" AS STRING))='' OR TRIM(CAST(X."&amp;F535&amp;" AS STRING)) IS NULL,1,0)) AS NUM_REG_DIF,'"&amp;MAX('ID1&amp;5'!K:K)+1&amp;"' AS ID_EXEC, CURRENT_TIMESTAMP() AS TIME_EXEC FROM "&amp;I535),
IF(C535="Caracteres Especiais",+"SELECT '"&amp;UPPER(B535)&amp;"' AS TABELA, '"&amp;UPPER(C535)&amp;"' AS TIPOLOGIA_TESTE,'"&amp;D535&amp;"' AS TABELA_LT,'N/A' AS TABELA_SIMUL,'"&amp;F535&amp;"' AS CAMPO, "&amp;"'${ref_date}' AS REF_DATE, COUNT(*) AS NUM_REG, SUM(IF(INSTR(CAST(X."&amp;F535&amp;" AS STRING),'#')&gt;0 OR INSTR(CAST(X."&amp;F535&amp;" AS STRING),'*')&gt;0 OR INSTR(CAST(X."&amp;F535&amp;" AS STRING),'`')&gt;0 OR INSTR(CAST(X."&amp;F535&amp;" AS STRING),'´')&gt;0 OR INSTR(CAST(X."&amp;F535&amp;" AS STRING),'{')&gt;0 OR INSTR(CAST(X."&amp;F535&amp;" AS STRING),'}')&gt;0 OR INSTR(CAST(X."&amp;F535&amp;" AS STRING),'[')&gt;0 OR INSTR(CAST(X."&amp;F535&amp;" AS STRING),'')&gt;0 OR INSTR(CAST(X."&amp;F535&amp;" AS STRING),']')&gt;0 OR INSTR(CAST(X."&amp;F535&amp;" AS STRING),'?')&gt;0 OR INSTR(CAST(X."&amp;F535&amp;" AS STRING),'!')&gt;0 OR INSTR(CAST(X."&amp;F535&amp;" AS STRING),'$')&gt;0 OR INSTR(CAST(X."&amp;F535&amp;" AS STRING),'%')&gt;0 OR INSTR(CAST(X."&amp;F535&amp;" AS STRING),'&amp;')&gt;0 OR INSTR(CAST(X."&amp;F535&amp;" AS STRING),'+')&gt;0,1,0)) AS NUM_REG_DIF,'"&amp;MAX('ID1&amp;5'!K:K)+1&amp;"' AS ID_EXEC, CURRENT_TIMESTAMP() AS TIME_EXEC FROM "&amp;I535,
IF(C535="Missings",+"SELECT '"&amp;UPPER(B535)&amp;"' AS TABELA, '"&amp;UPPER(C535)&amp;"' AS TIPOLOGIA_TESTE,'"&amp;D535&amp;"' AS TABELA_LT,'N/A' AS TABELA_SIMUL,'"&amp;F535&amp;"' AS CAMPO, "&amp;"'${ref_date}' AS REF_DATE, COUNT(*) AS NUM_REG, SUM(IF(TRIM(CAST(X."&amp;F535&amp;" AS STRING)) IN ('0000-00-00','0001-01-01','9999-12-31','MISS','00000','99999999999','99999999999.00','99999999999.000000'),1,0)) AS NUM_REG_DIF,'"&amp;MAX('ID1&amp;5'!K:K)+1&amp;"' AS ID_EXEC, CURRENT_TIMESTAMP() AS TIME_EXEC FROM "&amp;I535,
IF(C535="Not applicable",+"SELECT '"&amp;UPPER(B535)&amp;"' AS TABELA, '"&amp;UPPER(C535)&amp;"' AS TIPOLOGIA_TESTE,'"&amp;D535&amp;"' AS TABELA_LT,'N/A' AS TABELA_SIMUL,'"&amp;F535&amp;"' AS CAMPO, "&amp;"'${ref_date}' AS REF_DATE, COUNT(*) AS NUM_REG, SUM(IF(TRIM(CAST(X."&amp;F535&amp;" AS STRING)) IN ('N/A','11111111111','11111111111.00','11111111111.000000','1111-11-11'),1,0)) AS NUM_REG_DIF,'"&amp;MAX('ID1&amp;5'!K:K)+1&amp;"' AS ID_EXEC, CURRENT_TIMESTAMP() AS TIME_EXEC FROM "&amp;I535,
IF(C535="Valores extremos",+"SELECT '"&amp;UPPER(B535)&amp;"' AS TABELA, '"&amp;UPPER(C535)&amp;"' AS TIPOLOGIA_TESTE,'"&amp;D535&amp;"' AS TABELA_LT,'N/A' AS TABELA_SIMUL,'"&amp;F535&amp;"' AS CAMPO, "&amp;"'${ref_date}' AS REF_DATE, CAST(MIN("&amp;F535&amp;") AS STRING) AS VALOR_MIN, CAST(MAX("&amp;F535&amp;") AS STRING) AS VALOR_MAX,'"&amp;MAX('ID1&amp;5'!K:K)+1&amp;"' AS ID_EXEC, CURRENT_TIMESTAMP() AS TIME_EXEC FROM "&amp;MID(I535,1,LEN(I535)-2)&amp;" AND CAST("&amp;F535&amp;"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TABELA_SIMUL,'EMSSNS_SCP3_PRTCTN' AS CAMPO, '${ref_date}' AS REF_DATE, CAST(MIN(EMSSNS_SCP3_PRTCTN) AS STRING) AS VALOR_MIN, CAST(MAX(EMSSNS_SCP3_PRTCTN) AS STRING) AS VALOR_MAX,'10' AS ID_EXEC, CURRENT_TIMESTAMP() AS TIME_EXEC FROM (SELECT prtctn_id, EMSSNS_SCP3_PRTCTN FROM BU_LOANTAPE_WORK.LT004_PROTECTION WHERE ref_date='${ref_date}' AND nome_perimetro='Individual Corporativo' AND segmento='ESTR' AND ambito='PILAR3' AND CAST(EMSSNS_SCP3_PRTCTN AS STRING) NOT IN ('0000-00-00','0001-01-01','9999-12-31','MISS','00000','99999999999','99999999999.00','99999999999.000000','N/A','11111111111','11111111111.00','11111111111.000000','1111-11-11'))X</v>
      </c>
      <c r="M535" s="43" t="str">
        <f t="shared" si="8"/>
        <v>UNION ALL SELECT 'PROTECTION' AS TABELA, 'VALORES EXTREMOS' AS TIPOLOGIA_TESTE,'BU_LOANTAPE_WORK.LT004_PROTECTION' AS TABELA_LT,'N/A' AS TABELA_SIMUL,'EMSSNS_SCP3_PRTCTN' AS CAMPO, '${ref_date}' AS REF_DATE, CAST(MIN(EMSSNS_SCP3_PRTCTN) AS STRING) AS VALOR_MIN, CAST(MAX(EMSSNS_SCP3_PRTCTN) AS STRING) AS VALOR_MAX,'10' AS ID_EXEC, CURRENT_TIMESTAMP() AS TIME_EXEC FROM (SELECT prtctn_id, EMSSNS_SCP3_PRTCTN FROM BU_LOANTAPE_WORK.LT004_PROTECTION WHERE ref_date='${ref_date}' AND nome_perimetro='Individual Corporativo' AND segmento='ESTR' AND ambito='PILAR3' AND CAST(EMSSNS_SCP3_PRTCTN AS STRING) NOT IN ('0000-00-00','0001-01-01','9999-12-31','MISS','00000','99999999999','99999999999.00','99999999999.000000','N/A','11111111111','11111111111.00','11111111111.000000','1111-11-11'))X</v>
      </c>
      <c r="N535" s="45" t="s">
        <v>13</v>
      </c>
    </row>
    <row r="536" spans="2:14">
      <c r="B536" s="41" t="s">
        <v>31</v>
      </c>
      <c r="C536" s="41" t="s">
        <v>226</v>
      </c>
      <c r="D536" s="41" t="str">
        <f>+UPPER('0. Instruções'!$D$33&amp;"."&amp;VLOOKUP(B536,'0. Instruções'!$C$27:$D$31,2,FALSE))</f>
        <v>BU_LOANTAPE_WORK.LT004_PROTECTION</v>
      </c>
      <c r="E536" s="41" t="str">
        <f>+UPPER('0. Instruções'!$D$34&amp;"."&amp;VLOOKUP(B536,'0. Instruções'!$C$27:$E$31,3,FALSE))</f>
        <v>BU_LOANTAPE_WORK.LT004_PROTECTION_P3_NOV24</v>
      </c>
      <c r="F536" s="41" t="s">
        <v>142</v>
      </c>
      <c r="G536" s="41" t="s">
        <v>209</v>
      </c>
      <c r="H536" s="41"/>
      <c r="I536" s="41" t="str">
        <f>"(SELECT "&amp;VLOOKUP(B536,'0. Instruções'!$C$27:$G$31,4,FALSE)&amp;", "&amp;F536&amp;" FROM "&amp;D536&amp;" WHERE "&amp;'0. Instruções'!$D$40&amp;")X"</f>
        <v>(SELECT prtctn_id, MTHD_USD_PRTCTN_SCP_1 FROM BU_LOANTAPE_WORK.LT004_PROTECTION WHERE ref_date='${ref_date}' AND nome_perimetro='Individual Corporativo' AND segmento='ESTR' AND ambito='PILAR3')X</v>
      </c>
      <c r="J536" s="41" t="str">
        <f>"(SELECT "&amp;VLOOKUP(B536,'0. Instruções'!$C$27:$G$31,4,FALSE)&amp;" AS "&amp;VLOOKUP(B536,'0. Instruções'!$C$27:$G$31,4,FALSE)&amp;"_SIMUL, "&amp;F536&amp;" AS "&amp;F536&amp;"_SIMUL FROM "&amp;E536&amp;")Y"</f>
        <v>(SELECT prtctn_id AS prtctn_id_SIMUL, MTHD_USD_PRTCTN_SCP_1 AS MTHD_USD_PRTCTN_SCP_1_SIMUL FROM BU_LOANTAPE_WORK.LT004_PROTECTION_P3_NOV24)Y</v>
      </c>
      <c r="K536" s="42" t="str">
        <f>+UPPER("ON X."&amp;VLOOKUP(B536,'0. Instruções'!$C$27:$G$31,4,FALSE)&amp;"=Y."&amp;VLOOKUP(B536,'0. Instruções'!$C$27:$G$31,4,FALSE)&amp;"_SIMUL")</f>
        <v>ON X.PRTCTN_ID=Y.PRTCTN_ID_SIMUL</v>
      </c>
      <c r="L536" s="42" t="str">
        <f>+IF(C536="Coerência", +IF(LEFT(G536,5)="FLOAT","SELECT '"&amp;UPPER(B536)&amp;"' AS TABELA, '"&amp;UPPER(C536)&amp;"' AS TIPOLOGIA_TESTE,'"&amp;D536&amp;"' AS TABELA_LT,'"&amp;E536&amp;"' AS TABELA_SIMUL,'"&amp;F536&amp;"' AS CAMPO, "&amp;"'${ref_date}' AS REF_DATE, COUNT(*) AS NUM_REG, SUM(IF((ABS(COALESCE(X."&amp;F536&amp;",0)-COALESCE(Y."&amp;F536&amp;"_SIMUL,0))&gt;0.0000000001) OR (X."&amp;F536&amp;" IS NULL AND Y."&amp;F536&amp;"_SIMUL IS NOT NULL ) OR (X."&amp;F536&amp;" IS NOT NULL AND Y."&amp;F536&amp;"_SIMUL IS NULL),1,0)) AS NUM_REG_DIF,'"&amp;MAX('ID1&amp;5'!K:K)+1&amp;"' AS ID_EXEC, CURRENT_TIMESTAMP() AS TIME_EXEC FROM "&amp;I536&amp;" INNER JOIN "&amp;J536&amp;" "&amp;K536,"SELECT '"&amp;UPPER(B536)&amp;"' AS TABELA, '"&amp;UPPER(C536)&amp;"' AS TIPOLOGIA_TESTE,'"&amp;D536&amp;"' AS TABELA_LT,'"&amp;E536&amp;"' AS TABELA_SIMUL,'"&amp;F536&amp;"' AS CAMPO, "&amp;"'${ref_date}' AS REF_DATE, COUNT(*) AS NUM_REG, SUM(IF(COALESCE(CAST(X."&amp;F536&amp;" AS STRING),'')&lt;&gt;COALESCE(CAST(Y."&amp;F536&amp;"_SIMUL AS STRING),''),1,0)) AS NUM_REG_DIF,'"&amp;MAX('ID1&amp;5'!L:L)+1&amp;"' AS ID_EXEC, CURRENT_TIMESTAMP() AS TIME_EXEC FROM "&amp;I536&amp;" INNER JOIN "&amp;J536&amp;" "&amp;K536),
IF(C536="Validade",+IF(G536="Code List","SELECT '"&amp;UPPER(B536)&amp;"' AS TABELA, '"&amp;UPPER(C536)&amp;"' AS TIPOLOGIA_TESTE,'"&amp;D536&amp;"' AS TABELA_LT,'N/A' AS TABELA_SIMUL,'"&amp;F536&amp;"' AS CAMPO, "&amp;"'${ref_date}' AS REF_DATE, COUNT(*) AS NUM_REG, SUM(IF(TRIM(CAST(X."&amp;F536&amp;" AS STRING))='' OR TRIM(CAST(X."&amp;F536&amp;" AS STRING)) IS NULL OR CAST(X."&amp;F536&amp;" AS STRING) NOT "&amp;H536&amp;",1,0)) AS NUM_REG_DIF,'"&amp;MAX('ID1&amp;5'!K:K)+1&amp;"' AS ID_EXEC, CURRENT_TIMESTAMP() AS TIME_EXEC FROM "&amp;I536,"SELECT '"&amp;UPPER(B536)&amp;"' AS TABELA, '"&amp;UPPER(C536)&amp;"' AS TIPOLOGIA_TESTE,'"&amp;D536&amp;"' AS TABELA_LT,'N/A' AS TABELA_SIMUL,'"&amp;F536&amp;"' AS CAMPO, "&amp;"'${ref_date}' AS REF_DATE, COUNT(*) AS NUM_REG, SUM(IF(TRIM(CAST(X."&amp;F536&amp;" AS STRING))='' OR TRIM(CAST(X."&amp;F536&amp;" AS STRING)) IS NULL,1,0)) AS NUM_REG_DIF,'"&amp;MAX('ID1&amp;5'!K:K)+1&amp;"' AS ID_EXEC, CURRENT_TIMESTAMP() AS TIME_EXEC FROM "&amp;I536),
IF(C536="Caracteres Especiais",+"SELECT '"&amp;UPPER(B536)&amp;"' AS TABELA, '"&amp;UPPER(C536)&amp;"' AS TIPOLOGIA_TESTE,'"&amp;D536&amp;"' AS TABELA_LT,'N/A' AS TABELA_SIMUL,'"&amp;F536&amp;"' AS CAMPO, "&amp;"'${ref_date}' AS REF_DATE, COUNT(*) AS NUM_REG, SUM(IF(INSTR(CAST(X."&amp;F536&amp;" AS STRING),'#')&gt;0 OR INSTR(CAST(X."&amp;F536&amp;" AS STRING),'*')&gt;0 OR INSTR(CAST(X."&amp;F536&amp;" AS STRING),'`')&gt;0 OR INSTR(CAST(X."&amp;F536&amp;" AS STRING),'´')&gt;0 OR INSTR(CAST(X."&amp;F536&amp;" AS STRING),'{')&gt;0 OR INSTR(CAST(X."&amp;F536&amp;" AS STRING),'}')&gt;0 OR INSTR(CAST(X."&amp;F536&amp;" AS STRING),'[')&gt;0 OR INSTR(CAST(X."&amp;F536&amp;" AS STRING),'')&gt;0 OR INSTR(CAST(X."&amp;F536&amp;" AS STRING),']')&gt;0 OR INSTR(CAST(X."&amp;F536&amp;" AS STRING),'?')&gt;0 OR INSTR(CAST(X."&amp;F536&amp;" AS STRING),'!')&gt;0 OR INSTR(CAST(X."&amp;F536&amp;" AS STRING),'$')&gt;0 OR INSTR(CAST(X."&amp;F536&amp;" AS STRING),'%')&gt;0 OR INSTR(CAST(X."&amp;F536&amp;" AS STRING),'&amp;')&gt;0 OR INSTR(CAST(X."&amp;F536&amp;" AS STRING),'+')&gt;0,1,0)) AS NUM_REG_DIF,'"&amp;MAX('ID1&amp;5'!K:K)+1&amp;"' AS ID_EXEC, CURRENT_TIMESTAMP() AS TIME_EXEC FROM "&amp;I536,
IF(C536="Missings",+"SELECT '"&amp;UPPER(B536)&amp;"' AS TABELA, '"&amp;UPPER(C536)&amp;"' AS TIPOLOGIA_TESTE,'"&amp;D536&amp;"' AS TABELA_LT,'N/A' AS TABELA_SIMUL,'"&amp;F536&amp;"' AS CAMPO, "&amp;"'${ref_date}' AS REF_DATE, COUNT(*) AS NUM_REG, SUM(IF(TRIM(CAST(X."&amp;F536&amp;" AS STRING)) IN ('0000-00-00','0001-01-01','9999-12-31','MISS','00000','99999999999','99999999999.00','99999999999.000000'),1,0)) AS NUM_REG_DIF,'"&amp;MAX('ID1&amp;5'!K:K)+1&amp;"' AS ID_EXEC, CURRENT_TIMESTAMP() AS TIME_EXEC FROM "&amp;I536,
IF(C536="Not applicable",+"SELECT '"&amp;UPPER(B536)&amp;"' AS TABELA, '"&amp;UPPER(C536)&amp;"' AS TIPOLOGIA_TESTE,'"&amp;D536&amp;"' AS TABELA_LT,'N/A' AS TABELA_SIMUL,'"&amp;F536&amp;"' AS CAMPO, "&amp;"'${ref_date}' AS REF_DATE, COUNT(*) AS NUM_REG, SUM(IF(TRIM(CAST(X."&amp;F536&amp;" AS STRING)) IN ('N/A','11111111111','11111111111.00','11111111111.000000','1111-11-11'),1,0)) AS NUM_REG_DIF,'"&amp;MAX('ID1&amp;5'!K:K)+1&amp;"' AS ID_EXEC, CURRENT_TIMESTAMP() AS TIME_EXEC FROM "&amp;I536,
IF(C536="Valores extremos",+"SELECT '"&amp;UPPER(B536)&amp;"' AS TABELA, '"&amp;UPPER(C536)&amp;"' AS TIPOLOGIA_TESTE,'"&amp;D536&amp;"' AS TABELA_LT,'N/A' AS TABELA_SIMUL,'"&amp;F536&amp;"' AS CAMPO, "&amp;"'${ref_date}' AS REF_DATE, CAST(MIN("&amp;F536&amp;") AS STRING) AS VALOR_MIN, CAST(MAX("&amp;F536&amp;") AS STRING) AS VALOR_MAX,'"&amp;MAX('ID1&amp;5'!K:K)+1&amp;"' AS ID_EXEC, CURRENT_TIMESTAMP() AS TIME_EXEC FROM "&amp;MID(I536,1,LEN(I536)-2)&amp;" AND CAST("&amp;F536&amp;"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TABELA_SIMUL,'MTHD_USD_PRTCTN_SCP_1' AS CAMPO, '${ref_date}' AS REF_DATE, CAST(MIN(MTHD_USD_PRTCTN_SCP_1) AS STRING) AS VALOR_MIN, CAST(MAX(MTHD_USD_PRTCTN_SCP_1) AS STRING) AS VALOR_MAX,'10' AS ID_EXEC, CURRENT_TIMESTAMP() AS TIME_EXEC FROM (SELECT prtctn_id, MTHD_USD_PRTCTN_SCP_1 FROM BU_LOANTAPE_WORK.LT004_PROTECTION WHERE ref_date='${ref_date}' AND nome_perimetro='Individual Corporativo' AND segmento='ESTR' AND ambito='PILAR3' AND CAST(MTHD_USD_PRTCTN_SCP_1 AS STRING) NOT IN ('0000-00-00','0001-01-01','9999-12-31','MISS','00000','99999999999','99999999999.00','99999999999.000000','N/A','11111111111','11111111111.00','11111111111.000000','1111-11-11'))X</v>
      </c>
      <c r="M536" s="43" t="str">
        <f t="shared" si="8"/>
        <v>UNION ALL SELECT 'PROTECTION' AS TABELA, 'VALORES EXTREMOS' AS TIPOLOGIA_TESTE,'BU_LOANTAPE_WORK.LT004_PROTECTION' AS TABELA_LT,'N/A' AS TABELA_SIMUL,'MTHD_USD_PRTCTN_SCP_1' AS CAMPO, '${ref_date}' AS REF_DATE, CAST(MIN(MTHD_USD_PRTCTN_SCP_1) AS STRING) AS VALOR_MIN, CAST(MAX(MTHD_USD_PRTCTN_SCP_1) AS STRING) AS VALOR_MAX,'10' AS ID_EXEC, CURRENT_TIMESTAMP() AS TIME_EXEC FROM (SELECT prtctn_id, MTHD_USD_PRTCTN_SCP_1 FROM BU_LOANTAPE_WORK.LT004_PROTECTION WHERE ref_date='${ref_date}' AND nome_perimetro='Individual Corporativo' AND segmento='ESTR' AND ambito='PILAR3' AND CAST(MTHD_USD_PRTCTN_SCP_1 AS STRING) NOT IN ('0000-00-00','0001-01-01','9999-12-31','MISS','00000','99999999999','99999999999.00','99999999999.000000','N/A','11111111111','11111111111.00','11111111111.000000','1111-11-11'))X</v>
      </c>
      <c r="N536" s="45" t="s">
        <v>13</v>
      </c>
    </row>
    <row r="537" spans="2:14">
      <c r="B537" s="41" t="s">
        <v>31</v>
      </c>
      <c r="C537" s="41" t="s">
        <v>226</v>
      </c>
      <c r="D537" s="41" t="str">
        <f>+UPPER('0. Instruções'!$D$33&amp;"."&amp;VLOOKUP(B537,'0. Instruções'!$C$27:$D$31,2,FALSE))</f>
        <v>BU_LOANTAPE_WORK.LT004_PROTECTION</v>
      </c>
      <c r="E537" s="41" t="str">
        <f>+UPPER('0. Instruções'!$D$34&amp;"."&amp;VLOOKUP(B537,'0. Instruções'!$C$27:$E$31,3,FALSE))</f>
        <v>BU_LOANTAPE_WORK.LT004_PROTECTION_P3_NOV24</v>
      </c>
      <c r="F537" s="41" t="s">
        <v>143</v>
      </c>
      <c r="G537" s="41" t="s">
        <v>209</v>
      </c>
      <c r="H537" s="41"/>
      <c r="I537" s="41" t="str">
        <f>"(SELECT "&amp;VLOOKUP(B537,'0. Instruções'!$C$27:$G$31,4,FALSE)&amp;", "&amp;F537&amp;" FROM "&amp;D537&amp;" WHERE "&amp;'0. Instruções'!$D$40&amp;")X"</f>
        <v>(SELECT prtctn_id, MTHD_USD_PRTCTN_SCP_2 FROM BU_LOANTAPE_WORK.LT004_PROTECTION WHERE ref_date='${ref_date}' AND nome_perimetro='Individual Corporativo' AND segmento='ESTR' AND ambito='PILAR3')X</v>
      </c>
      <c r="J537" s="41" t="str">
        <f>"(SELECT "&amp;VLOOKUP(B537,'0. Instruções'!$C$27:$G$31,4,FALSE)&amp;" AS "&amp;VLOOKUP(B537,'0. Instruções'!$C$27:$G$31,4,FALSE)&amp;"_SIMUL, "&amp;F537&amp;" AS "&amp;F537&amp;"_SIMUL FROM "&amp;E537&amp;")Y"</f>
        <v>(SELECT prtctn_id AS prtctn_id_SIMUL, MTHD_USD_PRTCTN_SCP_2 AS MTHD_USD_PRTCTN_SCP_2_SIMUL FROM BU_LOANTAPE_WORK.LT004_PROTECTION_P3_NOV24)Y</v>
      </c>
      <c r="K537" s="42" t="str">
        <f>+UPPER("ON X."&amp;VLOOKUP(B537,'0. Instruções'!$C$27:$G$31,4,FALSE)&amp;"=Y."&amp;VLOOKUP(B537,'0. Instruções'!$C$27:$G$31,4,FALSE)&amp;"_SIMUL")</f>
        <v>ON X.PRTCTN_ID=Y.PRTCTN_ID_SIMUL</v>
      </c>
      <c r="L537" s="42" t="str">
        <f>+IF(C537="Coerência", +IF(LEFT(G537,5)="FLOAT","SELECT '"&amp;UPPER(B537)&amp;"' AS TABELA, '"&amp;UPPER(C537)&amp;"' AS TIPOLOGIA_TESTE,'"&amp;D537&amp;"' AS TABELA_LT,'"&amp;E537&amp;"' AS TABELA_SIMUL,'"&amp;F537&amp;"' AS CAMPO, "&amp;"'${ref_date}' AS REF_DATE, COUNT(*) AS NUM_REG, SUM(IF((ABS(COALESCE(X."&amp;F537&amp;",0)-COALESCE(Y."&amp;F537&amp;"_SIMUL,0))&gt;0.0000000001) OR (X."&amp;F537&amp;" IS NULL AND Y."&amp;F537&amp;"_SIMUL IS NOT NULL ) OR (X."&amp;F537&amp;" IS NOT NULL AND Y."&amp;F537&amp;"_SIMUL IS NULL),1,0)) AS NUM_REG_DIF,'"&amp;MAX('ID1&amp;5'!K:K)+1&amp;"' AS ID_EXEC, CURRENT_TIMESTAMP() AS TIME_EXEC FROM "&amp;I537&amp;" INNER JOIN "&amp;J537&amp;" "&amp;K537,"SELECT '"&amp;UPPER(B537)&amp;"' AS TABELA, '"&amp;UPPER(C537)&amp;"' AS TIPOLOGIA_TESTE,'"&amp;D537&amp;"' AS TABELA_LT,'"&amp;E537&amp;"' AS TABELA_SIMUL,'"&amp;F537&amp;"' AS CAMPO, "&amp;"'${ref_date}' AS REF_DATE, COUNT(*) AS NUM_REG, SUM(IF(COALESCE(CAST(X."&amp;F537&amp;" AS STRING),'')&lt;&gt;COALESCE(CAST(Y."&amp;F537&amp;"_SIMUL AS STRING),''),1,0)) AS NUM_REG_DIF,'"&amp;MAX('ID1&amp;5'!L:L)+1&amp;"' AS ID_EXEC, CURRENT_TIMESTAMP() AS TIME_EXEC FROM "&amp;I537&amp;" INNER JOIN "&amp;J537&amp;" "&amp;K537),
IF(C537="Validade",+IF(G537="Code List","SELECT '"&amp;UPPER(B537)&amp;"' AS TABELA, '"&amp;UPPER(C537)&amp;"' AS TIPOLOGIA_TESTE,'"&amp;D537&amp;"' AS TABELA_LT,'N/A' AS TABELA_SIMUL,'"&amp;F537&amp;"' AS CAMPO, "&amp;"'${ref_date}' AS REF_DATE, COUNT(*) AS NUM_REG, SUM(IF(TRIM(CAST(X."&amp;F537&amp;" AS STRING))='' OR TRIM(CAST(X."&amp;F537&amp;" AS STRING)) IS NULL OR CAST(X."&amp;F537&amp;" AS STRING) NOT "&amp;H537&amp;",1,0)) AS NUM_REG_DIF,'"&amp;MAX('ID1&amp;5'!K:K)+1&amp;"' AS ID_EXEC, CURRENT_TIMESTAMP() AS TIME_EXEC FROM "&amp;I537,"SELECT '"&amp;UPPER(B537)&amp;"' AS TABELA, '"&amp;UPPER(C537)&amp;"' AS TIPOLOGIA_TESTE,'"&amp;D537&amp;"' AS TABELA_LT,'N/A' AS TABELA_SIMUL,'"&amp;F537&amp;"' AS CAMPO, "&amp;"'${ref_date}' AS REF_DATE, COUNT(*) AS NUM_REG, SUM(IF(TRIM(CAST(X."&amp;F537&amp;" AS STRING))='' OR TRIM(CAST(X."&amp;F537&amp;" AS STRING)) IS NULL,1,0)) AS NUM_REG_DIF,'"&amp;MAX('ID1&amp;5'!K:K)+1&amp;"' AS ID_EXEC, CURRENT_TIMESTAMP() AS TIME_EXEC FROM "&amp;I537),
IF(C537="Caracteres Especiais",+"SELECT '"&amp;UPPER(B537)&amp;"' AS TABELA, '"&amp;UPPER(C537)&amp;"' AS TIPOLOGIA_TESTE,'"&amp;D537&amp;"' AS TABELA_LT,'N/A' AS TABELA_SIMUL,'"&amp;F537&amp;"' AS CAMPO, "&amp;"'${ref_date}' AS REF_DATE, COUNT(*) AS NUM_REG, SUM(IF(INSTR(CAST(X."&amp;F537&amp;" AS STRING),'#')&gt;0 OR INSTR(CAST(X."&amp;F537&amp;" AS STRING),'*')&gt;0 OR INSTR(CAST(X."&amp;F537&amp;" AS STRING),'`')&gt;0 OR INSTR(CAST(X."&amp;F537&amp;" AS STRING),'´')&gt;0 OR INSTR(CAST(X."&amp;F537&amp;" AS STRING),'{')&gt;0 OR INSTR(CAST(X."&amp;F537&amp;" AS STRING),'}')&gt;0 OR INSTR(CAST(X."&amp;F537&amp;" AS STRING),'[')&gt;0 OR INSTR(CAST(X."&amp;F537&amp;" AS STRING),'')&gt;0 OR INSTR(CAST(X."&amp;F537&amp;" AS STRING),']')&gt;0 OR INSTR(CAST(X."&amp;F537&amp;" AS STRING),'?')&gt;0 OR INSTR(CAST(X."&amp;F537&amp;" AS STRING),'!')&gt;0 OR INSTR(CAST(X."&amp;F537&amp;" AS STRING),'$')&gt;0 OR INSTR(CAST(X."&amp;F537&amp;" AS STRING),'%')&gt;0 OR INSTR(CAST(X."&amp;F537&amp;" AS STRING),'&amp;')&gt;0 OR INSTR(CAST(X."&amp;F537&amp;" AS STRING),'+')&gt;0,1,0)) AS NUM_REG_DIF,'"&amp;MAX('ID1&amp;5'!K:K)+1&amp;"' AS ID_EXEC, CURRENT_TIMESTAMP() AS TIME_EXEC FROM "&amp;I537,
IF(C537="Missings",+"SELECT '"&amp;UPPER(B537)&amp;"' AS TABELA, '"&amp;UPPER(C537)&amp;"' AS TIPOLOGIA_TESTE,'"&amp;D537&amp;"' AS TABELA_LT,'N/A' AS TABELA_SIMUL,'"&amp;F537&amp;"' AS CAMPO, "&amp;"'${ref_date}' AS REF_DATE, COUNT(*) AS NUM_REG, SUM(IF(TRIM(CAST(X."&amp;F537&amp;" AS STRING)) IN ('0000-00-00','0001-01-01','9999-12-31','MISS','00000','99999999999','99999999999.00','99999999999.000000'),1,0)) AS NUM_REG_DIF,'"&amp;MAX('ID1&amp;5'!K:K)+1&amp;"' AS ID_EXEC, CURRENT_TIMESTAMP() AS TIME_EXEC FROM "&amp;I537,
IF(C537="Not applicable",+"SELECT '"&amp;UPPER(B537)&amp;"' AS TABELA, '"&amp;UPPER(C537)&amp;"' AS TIPOLOGIA_TESTE,'"&amp;D537&amp;"' AS TABELA_LT,'N/A' AS TABELA_SIMUL,'"&amp;F537&amp;"' AS CAMPO, "&amp;"'${ref_date}' AS REF_DATE, COUNT(*) AS NUM_REG, SUM(IF(TRIM(CAST(X."&amp;F537&amp;" AS STRING)) IN ('N/A','11111111111','11111111111.00','11111111111.000000','1111-11-11'),1,0)) AS NUM_REG_DIF,'"&amp;MAX('ID1&amp;5'!K:K)+1&amp;"' AS ID_EXEC, CURRENT_TIMESTAMP() AS TIME_EXEC FROM "&amp;I537,
IF(C537="Valores extremos",+"SELECT '"&amp;UPPER(B537)&amp;"' AS TABELA, '"&amp;UPPER(C537)&amp;"' AS TIPOLOGIA_TESTE,'"&amp;D537&amp;"' AS TABELA_LT,'N/A' AS TABELA_SIMUL,'"&amp;F537&amp;"' AS CAMPO, "&amp;"'${ref_date}' AS REF_DATE, CAST(MIN("&amp;F537&amp;") AS STRING) AS VALOR_MIN, CAST(MAX("&amp;F537&amp;") AS STRING) AS VALOR_MAX,'"&amp;MAX('ID1&amp;5'!K:K)+1&amp;"' AS ID_EXEC, CURRENT_TIMESTAMP() AS TIME_EXEC FROM "&amp;MID(I537,1,LEN(I537)-2)&amp;" AND CAST("&amp;F537&amp;"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TABELA_SIMUL,'MTHD_USD_PRTCTN_SCP_2' AS CAMPO, '${ref_date}' AS REF_DATE, CAST(MIN(MTHD_USD_PRTCTN_SCP_2) AS STRING) AS VALOR_MIN, CAST(MAX(MTHD_USD_PRTCTN_SCP_2) AS STRING) AS VALOR_MAX,'10' AS ID_EXEC, CURRENT_TIMESTAMP() AS TIME_EXEC FROM (SELECT prtctn_id, MTHD_USD_PRTCTN_SCP_2 FROM BU_LOANTAPE_WORK.LT004_PROTECTION WHERE ref_date='${ref_date}' AND nome_perimetro='Individual Corporativo' AND segmento='ESTR' AND ambito='PILAR3' AND CAST(MTHD_USD_PRTCTN_SCP_2 AS STRING) NOT IN ('0000-00-00','0001-01-01','9999-12-31','MISS','00000','99999999999','99999999999.00','99999999999.000000','N/A','11111111111','11111111111.00','11111111111.000000','1111-11-11'))X</v>
      </c>
      <c r="M537" s="43" t="str">
        <f t="shared" si="8"/>
        <v>UNION ALL SELECT 'PROTECTION' AS TABELA, 'VALORES EXTREMOS' AS TIPOLOGIA_TESTE,'BU_LOANTAPE_WORK.LT004_PROTECTION' AS TABELA_LT,'N/A' AS TABELA_SIMUL,'MTHD_USD_PRTCTN_SCP_2' AS CAMPO, '${ref_date}' AS REF_DATE, CAST(MIN(MTHD_USD_PRTCTN_SCP_2) AS STRING) AS VALOR_MIN, CAST(MAX(MTHD_USD_PRTCTN_SCP_2) AS STRING) AS VALOR_MAX,'10' AS ID_EXEC, CURRENT_TIMESTAMP() AS TIME_EXEC FROM (SELECT prtctn_id, MTHD_USD_PRTCTN_SCP_2 FROM BU_LOANTAPE_WORK.LT004_PROTECTION WHERE ref_date='${ref_date}' AND nome_perimetro='Individual Corporativo' AND segmento='ESTR' AND ambito='PILAR3' AND CAST(MTHD_USD_PRTCTN_SCP_2 AS STRING) NOT IN ('0000-00-00','0001-01-01','9999-12-31','MISS','00000','99999999999','99999999999.00','99999999999.000000','N/A','11111111111','11111111111.00','11111111111.000000','1111-11-11'))X</v>
      </c>
      <c r="N537" s="45" t="s">
        <v>13</v>
      </c>
    </row>
    <row r="538" spans="2:14">
      <c r="B538" s="41" t="s">
        <v>31</v>
      </c>
      <c r="C538" s="41" t="s">
        <v>226</v>
      </c>
      <c r="D538" s="41" t="str">
        <f>+UPPER('0. Instruções'!$D$33&amp;"."&amp;VLOOKUP(B538,'0. Instruções'!$C$27:$D$31,2,FALSE))</f>
        <v>BU_LOANTAPE_WORK.LT004_PROTECTION</v>
      </c>
      <c r="E538" s="41" t="str">
        <f>+UPPER('0. Instruções'!$D$34&amp;"."&amp;VLOOKUP(B538,'0. Instruções'!$C$27:$E$31,3,FALSE))</f>
        <v>BU_LOANTAPE_WORK.LT004_PROTECTION_P3_NOV24</v>
      </c>
      <c r="F538" s="41" t="s">
        <v>144</v>
      </c>
      <c r="G538" s="41" t="s">
        <v>209</v>
      </c>
      <c r="H538" s="41"/>
      <c r="I538" s="41" t="str">
        <f>"(SELECT "&amp;VLOOKUP(B538,'0. Instruções'!$C$27:$G$31,4,FALSE)&amp;", "&amp;F538&amp;" FROM "&amp;D538&amp;" WHERE "&amp;'0. Instruções'!$D$40&amp;")X"</f>
        <v>(SELECT prtctn_id, MTHD_USD_PRTCTN_SCP_3 FROM BU_LOANTAPE_WORK.LT004_PROTECTION WHERE ref_date='${ref_date}' AND nome_perimetro='Individual Corporativo' AND segmento='ESTR' AND ambito='PILAR3')X</v>
      </c>
      <c r="J538" s="41" t="str">
        <f>"(SELECT "&amp;VLOOKUP(B538,'0. Instruções'!$C$27:$G$31,4,FALSE)&amp;" AS "&amp;VLOOKUP(B538,'0. Instruções'!$C$27:$G$31,4,FALSE)&amp;"_SIMUL, "&amp;F538&amp;" AS "&amp;F538&amp;"_SIMUL FROM "&amp;E538&amp;")Y"</f>
        <v>(SELECT prtctn_id AS prtctn_id_SIMUL, MTHD_USD_PRTCTN_SCP_3 AS MTHD_USD_PRTCTN_SCP_3_SIMUL FROM BU_LOANTAPE_WORK.LT004_PROTECTION_P3_NOV24)Y</v>
      </c>
      <c r="K538" s="42" t="str">
        <f>+UPPER("ON X."&amp;VLOOKUP(B538,'0. Instruções'!$C$27:$G$31,4,FALSE)&amp;"=Y."&amp;VLOOKUP(B538,'0. Instruções'!$C$27:$G$31,4,FALSE)&amp;"_SIMUL")</f>
        <v>ON X.PRTCTN_ID=Y.PRTCTN_ID_SIMUL</v>
      </c>
      <c r="L538" s="42" t="str">
        <f>+IF(C538="Coerência", +IF(LEFT(G538,5)="FLOAT","SELECT '"&amp;UPPER(B538)&amp;"' AS TABELA, '"&amp;UPPER(C538)&amp;"' AS TIPOLOGIA_TESTE,'"&amp;D538&amp;"' AS TABELA_LT,'"&amp;E538&amp;"' AS TABELA_SIMUL,'"&amp;F538&amp;"' AS CAMPO, "&amp;"'${ref_date}' AS REF_DATE, COUNT(*) AS NUM_REG, SUM(IF((ABS(COALESCE(X."&amp;F538&amp;",0)-COALESCE(Y."&amp;F538&amp;"_SIMUL,0))&gt;0.0000000001) OR (X."&amp;F538&amp;" IS NULL AND Y."&amp;F538&amp;"_SIMUL IS NOT NULL ) OR (X."&amp;F538&amp;" IS NOT NULL AND Y."&amp;F538&amp;"_SIMUL IS NULL),1,0)) AS NUM_REG_DIF,'"&amp;MAX('ID1&amp;5'!K:K)+1&amp;"' AS ID_EXEC, CURRENT_TIMESTAMP() AS TIME_EXEC FROM "&amp;I538&amp;" INNER JOIN "&amp;J538&amp;" "&amp;K538,"SELECT '"&amp;UPPER(B538)&amp;"' AS TABELA, '"&amp;UPPER(C538)&amp;"' AS TIPOLOGIA_TESTE,'"&amp;D538&amp;"' AS TABELA_LT,'"&amp;E538&amp;"' AS TABELA_SIMUL,'"&amp;F538&amp;"' AS CAMPO, "&amp;"'${ref_date}' AS REF_DATE, COUNT(*) AS NUM_REG, SUM(IF(COALESCE(CAST(X."&amp;F538&amp;" AS STRING),'')&lt;&gt;COALESCE(CAST(Y."&amp;F538&amp;"_SIMUL AS STRING),''),1,0)) AS NUM_REG_DIF,'"&amp;MAX('ID1&amp;5'!L:L)+1&amp;"' AS ID_EXEC, CURRENT_TIMESTAMP() AS TIME_EXEC FROM "&amp;I538&amp;" INNER JOIN "&amp;J538&amp;" "&amp;K538),
IF(C538="Validade",+IF(G538="Code List","SELECT '"&amp;UPPER(B538)&amp;"' AS TABELA, '"&amp;UPPER(C538)&amp;"' AS TIPOLOGIA_TESTE,'"&amp;D538&amp;"' AS TABELA_LT,'N/A' AS TABELA_SIMUL,'"&amp;F538&amp;"' AS CAMPO, "&amp;"'${ref_date}' AS REF_DATE, COUNT(*) AS NUM_REG, SUM(IF(TRIM(CAST(X."&amp;F538&amp;" AS STRING))='' OR TRIM(CAST(X."&amp;F538&amp;" AS STRING)) IS NULL OR CAST(X."&amp;F538&amp;" AS STRING) NOT "&amp;H538&amp;",1,0)) AS NUM_REG_DIF,'"&amp;MAX('ID1&amp;5'!K:K)+1&amp;"' AS ID_EXEC, CURRENT_TIMESTAMP() AS TIME_EXEC FROM "&amp;I538,"SELECT '"&amp;UPPER(B538)&amp;"' AS TABELA, '"&amp;UPPER(C538)&amp;"' AS TIPOLOGIA_TESTE,'"&amp;D538&amp;"' AS TABELA_LT,'N/A' AS TABELA_SIMUL,'"&amp;F538&amp;"' AS CAMPO, "&amp;"'${ref_date}' AS REF_DATE, COUNT(*) AS NUM_REG, SUM(IF(TRIM(CAST(X."&amp;F538&amp;" AS STRING))='' OR TRIM(CAST(X."&amp;F538&amp;" AS STRING)) IS NULL,1,0)) AS NUM_REG_DIF,'"&amp;MAX('ID1&amp;5'!K:K)+1&amp;"' AS ID_EXEC, CURRENT_TIMESTAMP() AS TIME_EXEC FROM "&amp;I538),
IF(C538="Caracteres Especiais",+"SELECT '"&amp;UPPER(B538)&amp;"' AS TABELA, '"&amp;UPPER(C538)&amp;"' AS TIPOLOGIA_TESTE,'"&amp;D538&amp;"' AS TABELA_LT,'N/A' AS TABELA_SIMUL,'"&amp;F538&amp;"' AS CAMPO, "&amp;"'${ref_date}' AS REF_DATE, COUNT(*) AS NUM_REG, SUM(IF(INSTR(CAST(X."&amp;F538&amp;" AS STRING),'#')&gt;0 OR INSTR(CAST(X."&amp;F538&amp;" AS STRING),'*')&gt;0 OR INSTR(CAST(X."&amp;F538&amp;" AS STRING),'`')&gt;0 OR INSTR(CAST(X."&amp;F538&amp;" AS STRING),'´')&gt;0 OR INSTR(CAST(X."&amp;F538&amp;" AS STRING),'{')&gt;0 OR INSTR(CAST(X."&amp;F538&amp;" AS STRING),'}')&gt;0 OR INSTR(CAST(X."&amp;F538&amp;" AS STRING),'[')&gt;0 OR INSTR(CAST(X."&amp;F538&amp;" AS STRING),'')&gt;0 OR INSTR(CAST(X."&amp;F538&amp;" AS STRING),']')&gt;0 OR INSTR(CAST(X."&amp;F538&amp;" AS STRING),'?')&gt;0 OR INSTR(CAST(X."&amp;F538&amp;" AS STRING),'!')&gt;0 OR INSTR(CAST(X."&amp;F538&amp;" AS STRING),'$')&gt;0 OR INSTR(CAST(X."&amp;F538&amp;" AS STRING),'%')&gt;0 OR INSTR(CAST(X."&amp;F538&amp;" AS STRING),'&amp;')&gt;0 OR INSTR(CAST(X."&amp;F538&amp;" AS STRING),'+')&gt;0,1,0)) AS NUM_REG_DIF,'"&amp;MAX('ID1&amp;5'!K:K)+1&amp;"' AS ID_EXEC, CURRENT_TIMESTAMP() AS TIME_EXEC FROM "&amp;I538,
IF(C538="Missings",+"SELECT '"&amp;UPPER(B538)&amp;"' AS TABELA, '"&amp;UPPER(C538)&amp;"' AS TIPOLOGIA_TESTE,'"&amp;D538&amp;"' AS TABELA_LT,'N/A' AS TABELA_SIMUL,'"&amp;F538&amp;"' AS CAMPO, "&amp;"'${ref_date}' AS REF_DATE, COUNT(*) AS NUM_REG, SUM(IF(TRIM(CAST(X."&amp;F538&amp;" AS STRING)) IN ('0000-00-00','0001-01-01','9999-12-31','MISS','00000','99999999999','99999999999.00','99999999999.000000'),1,0)) AS NUM_REG_DIF,'"&amp;MAX('ID1&amp;5'!K:K)+1&amp;"' AS ID_EXEC, CURRENT_TIMESTAMP() AS TIME_EXEC FROM "&amp;I538,
IF(C538="Not applicable",+"SELECT '"&amp;UPPER(B538)&amp;"' AS TABELA, '"&amp;UPPER(C538)&amp;"' AS TIPOLOGIA_TESTE,'"&amp;D538&amp;"' AS TABELA_LT,'N/A' AS TABELA_SIMUL,'"&amp;F538&amp;"' AS CAMPO, "&amp;"'${ref_date}' AS REF_DATE, COUNT(*) AS NUM_REG, SUM(IF(TRIM(CAST(X."&amp;F538&amp;" AS STRING)) IN ('N/A','11111111111','11111111111.00','11111111111.000000','1111-11-11'),1,0)) AS NUM_REG_DIF,'"&amp;MAX('ID1&amp;5'!K:K)+1&amp;"' AS ID_EXEC, CURRENT_TIMESTAMP() AS TIME_EXEC FROM "&amp;I538,
IF(C538="Valores extremos",+"SELECT '"&amp;UPPER(B538)&amp;"' AS TABELA, '"&amp;UPPER(C538)&amp;"' AS TIPOLOGIA_TESTE,'"&amp;D538&amp;"' AS TABELA_LT,'N/A' AS TABELA_SIMUL,'"&amp;F538&amp;"' AS CAMPO, "&amp;"'${ref_date}' AS REF_DATE, CAST(MIN("&amp;F538&amp;") AS STRING) AS VALOR_MIN, CAST(MAX("&amp;F538&amp;") AS STRING) AS VALOR_MAX,'"&amp;MAX('ID1&amp;5'!K:K)+1&amp;"' AS ID_EXEC, CURRENT_TIMESTAMP() AS TIME_EXEC FROM "&amp;MID(I538,1,LEN(I538)-2)&amp;" AND CAST("&amp;F538&amp;"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TABELA_SIMUL,'MTHD_USD_PRTCTN_SCP_3' AS CAMPO, '${ref_date}' AS REF_DATE, CAST(MIN(MTHD_USD_PRTCTN_SCP_3) AS STRING) AS VALOR_MIN, CAST(MAX(MTHD_USD_PRTCTN_SCP_3) AS STRING) AS VALOR_MAX,'10' AS ID_EXEC, CURRENT_TIMESTAMP() AS TIME_EXEC FROM (SELECT prtctn_id, MTHD_USD_PRTCTN_SCP_3 FROM BU_LOANTAPE_WORK.LT004_PROTECTION WHERE ref_date='${ref_date}' AND nome_perimetro='Individual Corporativo' AND segmento='ESTR' AND ambito='PILAR3' AND CAST(MTHD_USD_PRTCTN_SCP_3 AS STRING) NOT IN ('0000-00-00','0001-01-01','9999-12-31','MISS','00000','99999999999','99999999999.00','99999999999.000000','N/A','11111111111','11111111111.00','11111111111.000000','1111-11-11'))X</v>
      </c>
      <c r="M538" s="43" t="str">
        <f t="shared" si="8"/>
        <v>UNION ALL SELECT 'PROTECTION' AS TABELA, 'VALORES EXTREMOS' AS TIPOLOGIA_TESTE,'BU_LOANTAPE_WORK.LT004_PROTECTION' AS TABELA_LT,'N/A' AS TABELA_SIMUL,'MTHD_USD_PRTCTN_SCP_3' AS CAMPO, '${ref_date}' AS REF_DATE, CAST(MIN(MTHD_USD_PRTCTN_SCP_3) AS STRING) AS VALOR_MIN, CAST(MAX(MTHD_USD_PRTCTN_SCP_3) AS STRING) AS VALOR_MAX,'10' AS ID_EXEC, CURRENT_TIMESTAMP() AS TIME_EXEC FROM (SELECT prtctn_id, MTHD_USD_PRTCTN_SCP_3 FROM BU_LOANTAPE_WORK.LT004_PROTECTION WHERE ref_date='${ref_date}' AND nome_perimetro='Individual Corporativo' AND segmento='ESTR' AND ambito='PILAR3' AND CAST(MTHD_USD_PRTCTN_SCP_3 AS STRING) NOT IN ('0000-00-00','0001-01-01','9999-12-31','MISS','00000','99999999999','99999999999.00','99999999999.000000','N/A','11111111111','11111111111.00','11111111111.000000','1111-11-11'))X</v>
      </c>
      <c r="N538" s="45" t="s">
        <v>13</v>
      </c>
    </row>
    <row r="539" spans="2:14">
      <c r="B539" s="41" t="s">
        <v>31</v>
      </c>
      <c r="C539" s="41" t="s">
        <v>226</v>
      </c>
      <c r="D539" s="41" t="str">
        <f>+UPPER('0. Instruções'!$D$33&amp;"."&amp;VLOOKUP(B539,'0. Instruções'!$C$27:$D$31,2,FALSE))</f>
        <v>BU_LOANTAPE_WORK.LT004_PROTECTION</v>
      </c>
      <c r="E539" s="41" t="str">
        <f>+UPPER('0. Instruções'!$D$34&amp;"."&amp;VLOOKUP(B539,'0. Instruções'!$C$27:$E$31,3,FALSE))</f>
        <v>BU_LOANTAPE_WORK.LT004_PROTECTION_P3_NOV24</v>
      </c>
      <c r="F539" s="41" t="s">
        <v>121</v>
      </c>
      <c r="G539" s="41" t="s">
        <v>211</v>
      </c>
      <c r="H539" s="41"/>
      <c r="I539" s="41" t="str">
        <f>"(SELECT "&amp;VLOOKUP(B539,'0. Instruções'!$C$27:$G$31,4,FALSE)&amp;", "&amp;F539&amp;" FROM "&amp;D539&amp;" WHERE "&amp;'0. Instruções'!$D$40&amp;")X"</f>
        <v>(SELECT prtctn_id, FLG_ACT_PHYSCL_RSK FROM BU_LOANTAPE_WORK.LT004_PROTECTION WHERE ref_date='${ref_date}' AND nome_perimetro='Individual Corporativo' AND segmento='ESTR' AND ambito='PILAR3')X</v>
      </c>
      <c r="J539" s="41" t="str">
        <f>"(SELECT "&amp;VLOOKUP(B539,'0. Instruções'!$C$27:$G$31,4,FALSE)&amp;" AS "&amp;VLOOKUP(B539,'0. Instruções'!$C$27:$G$31,4,FALSE)&amp;"_SIMUL, "&amp;F539&amp;" AS "&amp;F539&amp;"_SIMUL FROM "&amp;E539&amp;")Y"</f>
        <v>(SELECT prtctn_id AS prtctn_id_SIMUL, FLG_ACT_PHYSCL_RSK AS FLG_ACT_PHYSCL_RSK_SIMUL FROM BU_LOANTAPE_WORK.LT004_PROTECTION_P3_NOV24)Y</v>
      </c>
      <c r="K539" s="42" t="str">
        <f>+UPPER("ON X."&amp;VLOOKUP(B539,'0. Instruções'!$C$27:$G$31,4,FALSE)&amp;"=Y."&amp;VLOOKUP(B539,'0. Instruções'!$C$27:$G$31,4,FALSE)&amp;"_SIMUL")</f>
        <v>ON X.PRTCTN_ID=Y.PRTCTN_ID_SIMUL</v>
      </c>
      <c r="L539" s="42" t="str">
        <f>+IF(C539="Coerência", +IF(LEFT(G539,5)="FLOAT","SELECT '"&amp;UPPER(B539)&amp;"' AS TABELA, '"&amp;UPPER(C539)&amp;"' AS TIPOLOGIA_TESTE,'"&amp;D539&amp;"' AS TABELA_LT,'"&amp;E539&amp;"' AS TABELA_SIMUL,'"&amp;F539&amp;"' AS CAMPO, "&amp;"'${ref_date}' AS REF_DATE, COUNT(*) AS NUM_REG, SUM(IF((ABS(COALESCE(X."&amp;F539&amp;",0)-COALESCE(Y."&amp;F539&amp;"_SIMUL,0))&gt;0.0000000001) OR (X."&amp;F539&amp;" IS NULL AND Y."&amp;F539&amp;"_SIMUL IS NOT NULL ) OR (X."&amp;F539&amp;" IS NOT NULL AND Y."&amp;F539&amp;"_SIMUL IS NULL),1,0)) AS NUM_REG_DIF,'"&amp;MAX('ID1&amp;5'!K:K)+1&amp;"' AS ID_EXEC, CURRENT_TIMESTAMP() AS TIME_EXEC FROM "&amp;I539&amp;" INNER JOIN "&amp;J539&amp;" "&amp;K539,"SELECT '"&amp;UPPER(B539)&amp;"' AS TABELA, '"&amp;UPPER(C539)&amp;"' AS TIPOLOGIA_TESTE,'"&amp;D539&amp;"' AS TABELA_LT,'"&amp;E539&amp;"' AS TABELA_SIMUL,'"&amp;F539&amp;"' AS CAMPO, "&amp;"'${ref_date}' AS REF_DATE, COUNT(*) AS NUM_REG, SUM(IF(COALESCE(CAST(X."&amp;F539&amp;" AS STRING),'')&lt;&gt;COALESCE(CAST(Y."&amp;F539&amp;"_SIMUL AS STRING),''),1,0)) AS NUM_REG_DIF,'"&amp;MAX('ID1&amp;5'!L:L)+1&amp;"' AS ID_EXEC, CURRENT_TIMESTAMP() AS TIME_EXEC FROM "&amp;I539&amp;" INNER JOIN "&amp;J539&amp;" "&amp;K539),
IF(C539="Validade",+IF(G539="Code List","SELECT '"&amp;UPPER(B539)&amp;"' AS TABELA, '"&amp;UPPER(C539)&amp;"' AS TIPOLOGIA_TESTE,'"&amp;D539&amp;"' AS TABELA_LT,'N/A' AS TABELA_SIMUL,'"&amp;F539&amp;"' AS CAMPO, "&amp;"'${ref_date}' AS REF_DATE, COUNT(*) AS NUM_REG, SUM(IF(TRIM(CAST(X."&amp;F539&amp;" AS STRING))='' OR TRIM(CAST(X."&amp;F539&amp;" AS STRING)) IS NULL OR CAST(X."&amp;F539&amp;" AS STRING) NOT "&amp;H539&amp;",1,0)) AS NUM_REG_DIF,'"&amp;MAX('ID1&amp;5'!K:K)+1&amp;"' AS ID_EXEC, CURRENT_TIMESTAMP() AS TIME_EXEC FROM "&amp;I539,"SELECT '"&amp;UPPER(B539)&amp;"' AS TABELA, '"&amp;UPPER(C539)&amp;"' AS TIPOLOGIA_TESTE,'"&amp;D539&amp;"' AS TABELA_LT,'N/A' AS TABELA_SIMUL,'"&amp;F539&amp;"' AS CAMPO, "&amp;"'${ref_date}' AS REF_DATE, COUNT(*) AS NUM_REG, SUM(IF(TRIM(CAST(X."&amp;F539&amp;" AS STRING))='' OR TRIM(CAST(X."&amp;F539&amp;" AS STRING)) IS NULL,1,0)) AS NUM_REG_DIF,'"&amp;MAX('ID1&amp;5'!K:K)+1&amp;"' AS ID_EXEC, CURRENT_TIMESTAMP() AS TIME_EXEC FROM "&amp;I539),
IF(C539="Caracteres Especiais",+"SELECT '"&amp;UPPER(B539)&amp;"' AS TABELA, '"&amp;UPPER(C539)&amp;"' AS TIPOLOGIA_TESTE,'"&amp;D539&amp;"' AS TABELA_LT,'N/A' AS TABELA_SIMUL,'"&amp;F539&amp;"' AS CAMPO, "&amp;"'${ref_date}' AS REF_DATE, COUNT(*) AS NUM_REG, SUM(IF(INSTR(CAST(X."&amp;F539&amp;" AS STRING),'#')&gt;0 OR INSTR(CAST(X."&amp;F539&amp;" AS STRING),'*')&gt;0 OR INSTR(CAST(X."&amp;F539&amp;" AS STRING),'`')&gt;0 OR INSTR(CAST(X."&amp;F539&amp;" AS STRING),'´')&gt;0 OR INSTR(CAST(X."&amp;F539&amp;" AS STRING),'{')&gt;0 OR INSTR(CAST(X."&amp;F539&amp;" AS STRING),'}')&gt;0 OR INSTR(CAST(X."&amp;F539&amp;" AS STRING),'[')&gt;0 OR INSTR(CAST(X."&amp;F539&amp;" AS STRING),'')&gt;0 OR INSTR(CAST(X."&amp;F539&amp;" AS STRING),']')&gt;0 OR INSTR(CAST(X."&amp;F539&amp;" AS STRING),'?')&gt;0 OR INSTR(CAST(X."&amp;F539&amp;" AS STRING),'!')&gt;0 OR INSTR(CAST(X."&amp;F539&amp;" AS STRING),'$')&gt;0 OR INSTR(CAST(X."&amp;F539&amp;" AS STRING),'%')&gt;0 OR INSTR(CAST(X."&amp;F539&amp;" AS STRING),'&amp;')&gt;0 OR INSTR(CAST(X."&amp;F539&amp;" AS STRING),'+')&gt;0,1,0)) AS NUM_REG_DIF,'"&amp;MAX('ID1&amp;5'!K:K)+1&amp;"' AS ID_EXEC, CURRENT_TIMESTAMP() AS TIME_EXEC FROM "&amp;I539,
IF(C539="Missings",+"SELECT '"&amp;UPPER(B539)&amp;"' AS TABELA, '"&amp;UPPER(C539)&amp;"' AS TIPOLOGIA_TESTE,'"&amp;D539&amp;"' AS TABELA_LT,'N/A' AS TABELA_SIMUL,'"&amp;F539&amp;"' AS CAMPO, "&amp;"'${ref_date}' AS REF_DATE, COUNT(*) AS NUM_REG, SUM(IF(TRIM(CAST(X."&amp;F539&amp;" AS STRING)) IN ('0000-00-00','0001-01-01','9999-12-31','MISS','00000','99999999999','99999999999.00','99999999999.000000'),1,0)) AS NUM_REG_DIF,'"&amp;MAX('ID1&amp;5'!K:K)+1&amp;"' AS ID_EXEC, CURRENT_TIMESTAMP() AS TIME_EXEC FROM "&amp;I539,
IF(C539="Not applicable",+"SELECT '"&amp;UPPER(B539)&amp;"' AS TABELA, '"&amp;UPPER(C539)&amp;"' AS TIPOLOGIA_TESTE,'"&amp;D539&amp;"' AS TABELA_LT,'N/A' AS TABELA_SIMUL,'"&amp;F539&amp;"' AS CAMPO, "&amp;"'${ref_date}' AS REF_DATE, COUNT(*) AS NUM_REG, SUM(IF(TRIM(CAST(X."&amp;F539&amp;" AS STRING)) IN ('N/A','11111111111','11111111111.00','11111111111.000000','1111-11-11'),1,0)) AS NUM_REG_DIF,'"&amp;MAX('ID1&amp;5'!K:K)+1&amp;"' AS ID_EXEC, CURRENT_TIMESTAMP() AS TIME_EXEC FROM "&amp;I539,
IF(C539="Valores extremos",+"SELECT '"&amp;UPPER(B539)&amp;"' AS TABELA, '"&amp;UPPER(C539)&amp;"' AS TIPOLOGIA_TESTE,'"&amp;D539&amp;"' AS TABELA_LT,'N/A' AS TABELA_SIMUL,'"&amp;F539&amp;"' AS CAMPO, "&amp;"'${ref_date}' AS REF_DATE, CAST(MIN("&amp;F539&amp;") AS STRING) AS VALOR_MIN, CAST(MAX("&amp;F539&amp;") AS STRING) AS VALOR_MAX,'"&amp;MAX('ID1&amp;5'!K:K)+1&amp;"' AS ID_EXEC, CURRENT_TIMESTAMP() AS TIME_EXEC FROM "&amp;MID(I539,1,LEN(I539)-2)&amp;" AND CAST("&amp;F539&amp;"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TABELA_SIMUL,'FLG_ACT_PHYSCL_RSK' AS CAMPO, '${ref_date}' AS REF_DATE, CAST(MIN(FLG_ACT_PHYSCL_RSK) AS STRING) AS VALOR_MIN, CAST(MAX(FLG_ACT_PHYSCL_RSK) AS STRING) AS VALOR_MAX,'10' AS ID_EXEC, CURRENT_TIMESTAMP() AS TIME_EXEC FROM (SELECT prtctn_id, FLG_ACT_PHYSCL_RSK FROM BU_LOANTAPE_WORK.LT004_PROTECTION WHERE ref_date='${ref_date}' AND nome_perimetro='Individual Corporativo' AND segmento='ESTR' AND ambito='PILAR3' AND CAST(FLG_ACT_PHYSCL_RSK AS STRING) NOT IN ('0000-00-00','0001-01-01','9999-12-31','MISS','00000','99999999999','99999999999.00','99999999999.000000','N/A','11111111111','11111111111.00','11111111111.000000','1111-11-11'))X</v>
      </c>
      <c r="M539" s="43" t="str">
        <f t="shared" si="8"/>
        <v>UNION ALL SELECT 'PROTECTION' AS TABELA, 'VALORES EXTREMOS' AS TIPOLOGIA_TESTE,'BU_LOANTAPE_WORK.LT004_PROTECTION' AS TABELA_LT,'N/A' AS TABELA_SIMUL,'FLG_ACT_PHYSCL_RSK' AS CAMPO, '${ref_date}' AS REF_DATE, CAST(MIN(FLG_ACT_PHYSCL_RSK) AS STRING) AS VALOR_MIN, CAST(MAX(FLG_ACT_PHYSCL_RSK) AS STRING) AS VALOR_MAX,'10' AS ID_EXEC, CURRENT_TIMESTAMP() AS TIME_EXEC FROM (SELECT prtctn_id, FLG_ACT_PHYSCL_RSK FROM BU_LOANTAPE_WORK.LT004_PROTECTION WHERE ref_date='${ref_date}' AND nome_perimetro='Individual Corporativo' AND segmento='ESTR' AND ambito='PILAR3' AND CAST(FLG_ACT_PHYSCL_RSK AS STRING) NOT IN ('0000-00-00','0001-01-01','9999-12-31','MISS','00000','99999999999','99999999999.00','99999999999.000000','N/A','11111111111','11111111111.00','11111111111.000000','1111-11-11'))X</v>
      </c>
      <c r="N539" s="45" t="s">
        <v>13</v>
      </c>
    </row>
    <row r="540" spans="2:14">
      <c r="B540" s="41" t="s">
        <v>31</v>
      </c>
      <c r="C540" s="41" t="s">
        <v>226</v>
      </c>
      <c r="D540" s="41" t="str">
        <f>+UPPER('0. Instruções'!$D$33&amp;"."&amp;VLOOKUP(B540,'0. Instruções'!$C$27:$D$31,2,FALSE))</f>
        <v>BU_LOANTAPE_WORK.LT004_PROTECTION</v>
      </c>
      <c r="E540" s="41" t="str">
        <f>+UPPER('0. Instruções'!$D$34&amp;"."&amp;VLOOKUP(B540,'0. Instruções'!$C$27:$E$31,3,FALSE))</f>
        <v>BU_LOANTAPE_WORK.LT004_PROTECTION_P3_NOV24</v>
      </c>
      <c r="F540" s="41" t="s">
        <v>122</v>
      </c>
      <c r="G540" s="41" t="s">
        <v>211</v>
      </c>
      <c r="H540" s="41"/>
      <c r="I540" s="41" t="str">
        <f>"(SELECT "&amp;VLOOKUP(B540,'0. Instruções'!$C$27:$G$31,4,FALSE)&amp;", "&amp;F540&amp;" FROM "&amp;D540&amp;" WHERE "&amp;'0. Instruções'!$D$40&amp;")X"</f>
        <v>(SELECT prtctn_id, FLG_CHRNC_PHYSCL_RSK FROM BU_LOANTAPE_WORK.LT004_PROTECTION WHERE ref_date='${ref_date}' AND nome_perimetro='Individual Corporativo' AND segmento='ESTR' AND ambito='PILAR3')X</v>
      </c>
      <c r="J540" s="41" t="str">
        <f>"(SELECT "&amp;VLOOKUP(B540,'0. Instruções'!$C$27:$G$31,4,FALSE)&amp;" AS "&amp;VLOOKUP(B540,'0. Instruções'!$C$27:$G$31,4,FALSE)&amp;"_SIMUL, "&amp;F540&amp;" AS "&amp;F540&amp;"_SIMUL FROM "&amp;E540&amp;")Y"</f>
        <v>(SELECT prtctn_id AS prtctn_id_SIMUL, FLG_CHRNC_PHYSCL_RSK AS FLG_CHRNC_PHYSCL_RSK_SIMUL FROM BU_LOANTAPE_WORK.LT004_PROTECTION_P3_NOV24)Y</v>
      </c>
      <c r="K540" s="42" t="str">
        <f>+UPPER("ON X."&amp;VLOOKUP(B540,'0. Instruções'!$C$27:$G$31,4,FALSE)&amp;"=Y."&amp;VLOOKUP(B540,'0. Instruções'!$C$27:$G$31,4,FALSE)&amp;"_SIMUL")</f>
        <v>ON X.PRTCTN_ID=Y.PRTCTN_ID_SIMUL</v>
      </c>
      <c r="L540" s="42" t="str">
        <f>+IF(C540="Coerência", +IF(LEFT(G540,5)="FLOAT","SELECT '"&amp;UPPER(B540)&amp;"' AS TABELA, '"&amp;UPPER(C540)&amp;"' AS TIPOLOGIA_TESTE,'"&amp;D540&amp;"' AS TABELA_LT,'"&amp;E540&amp;"' AS TABELA_SIMUL,'"&amp;F540&amp;"' AS CAMPO, "&amp;"'${ref_date}' AS REF_DATE, COUNT(*) AS NUM_REG, SUM(IF((ABS(COALESCE(X."&amp;F540&amp;",0)-COALESCE(Y."&amp;F540&amp;"_SIMUL,0))&gt;0.0000000001) OR (X."&amp;F540&amp;" IS NULL AND Y."&amp;F540&amp;"_SIMUL IS NOT NULL ) OR (X."&amp;F540&amp;" IS NOT NULL AND Y."&amp;F540&amp;"_SIMUL IS NULL),1,0)) AS NUM_REG_DIF,'"&amp;MAX('ID1&amp;5'!K:K)+1&amp;"' AS ID_EXEC, CURRENT_TIMESTAMP() AS TIME_EXEC FROM "&amp;I540&amp;" INNER JOIN "&amp;J540&amp;" "&amp;K540,"SELECT '"&amp;UPPER(B540)&amp;"' AS TABELA, '"&amp;UPPER(C540)&amp;"' AS TIPOLOGIA_TESTE,'"&amp;D540&amp;"' AS TABELA_LT,'"&amp;E540&amp;"' AS TABELA_SIMUL,'"&amp;F540&amp;"' AS CAMPO, "&amp;"'${ref_date}' AS REF_DATE, COUNT(*) AS NUM_REG, SUM(IF(COALESCE(CAST(X."&amp;F540&amp;" AS STRING),'')&lt;&gt;COALESCE(CAST(Y."&amp;F540&amp;"_SIMUL AS STRING),''),1,0)) AS NUM_REG_DIF,'"&amp;MAX('ID1&amp;5'!L:L)+1&amp;"' AS ID_EXEC, CURRENT_TIMESTAMP() AS TIME_EXEC FROM "&amp;I540&amp;" INNER JOIN "&amp;J540&amp;" "&amp;K540),
IF(C540="Validade",+IF(G540="Code List","SELECT '"&amp;UPPER(B540)&amp;"' AS TABELA, '"&amp;UPPER(C540)&amp;"' AS TIPOLOGIA_TESTE,'"&amp;D540&amp;"' AS TABELA_LT,'N/A' AS TABELA_SIMUL,'"&amp;F540&amp;"' AS CAMPO, "&amp;"'${ref_date}' AS REF_DATE, COUNT(*) AS NUM_REG, SUM(IF(TRIM(CAST(X."&amp;F540&amp;" AS STRING))='' OR TRIM(CAST(X."&amp;F540&amp;" AS STRING)) IS NULL OR CAST(X."&amp;F540&amp;" AS STRING) NOT "&amp;H540&amp;",1,0)) AS NUM_REG_DIF,'"&amp;MAX('ID1&amp;5'!K:K)+1&amp;"' AS ID_EXEC, CURRENT_TIMESTAMP() AS TIME_EXEC FROM "&amp;I540,"SELECT '"&amp;UPPER(B540)&amp;"' AS TABELA, '"&amp;UPPER(C540)&amp;"' AS TIPOLOGIA_TESTE,'"&amp;D540&amp;"' AS TABELA_LT,'N/A' AS TABELA_SIMUL,'"&amp;F540&amp;"' AS CAMPO, "&amp;"'${ref_date}' AS REF_DATE, COUNT(*) AS NUM_REG, SUM(IF(TRIM(CAST(X."&amp;F540&amp;" AS STRING))='' OR TRIM(CAST(X."&amp;F540&amp;" AS STRING)) IS NULL,1,0)) AS NUM_REG_DIF,'"&amp;MAX('ID1&amp;5'!K:K)+1&amp;"' AS ID_EXEC, CURRENT_TIMESTAMP() AS TIME_EXEC FROM "&amp;I540),
IF(C540="Caracteres Especiais",+"SELECT '"&amp;UPPER(B540)&amp;"' AS TABELA, '"&amp;UPPER(C540)&amp;"' AS TIPOLOGIA_TESTE,'"&amp;D540&amp;"' AS TABELA_LT,'N/A' AS TABELA_SIMUL,'"&amp;F540&amp;"' AS CAMPO, "&amp;"'${ref_date}' AS REF_DATE, COUNT(*) AS NUM_REG, SUM(IF(INSTR(CAST(X."&amp;F540&amp;" AS STRING),'#')&gt;0 OR INSTR(CAST(X."&amp;F540&amp;" AS STRING),'*')&gt;0 OR INSTR(CAST(X."&amp;F540&amp;" AS STRING),'`')&gt;0 OR INSTR(CAST(X."&amp;F540&amp;" AS STRING),'´')&gt;0 OR INSTR(CAST(X."&amp;F540&amp;" AS STRING),'{')&gt;0 OR INSTR(CAST(X."&amp;F540&amp;" AS STRING),'}')&gt;0 OR INSTR(CAST(X."&amp;F540&amp;" AS STRING),'[')&gt;0 OR INSTR(CAST(X."&amp;F540&amp;" AS STRING),'')&gt;0 OR INSTR(CAST(X."&amp;F540&amp;" AS STRING),']')&gt;0 OR INSTR(CAST(X."&amp;F540&amp;" AS STRING),'?')&gt;0 OR INSTR(CAST(X."&amp;F540&amp;" AS STRING),'!')&gt;0 OR INSTR(CAST(X."&amp;F540&amp;" AS STRING),'$')&gt;0 OR INSTR(CAST(X."&amp;F540&amp;" AS STRING),'%')&gt;0 OR INSTR(CAST(X."&amp;F540&amp;" AS STRING),'&amp;')&gt;0 OR INSTR(CAST(X."&amp;F540&amp;" AS STRING),'+')&gt;0,1,0)) AS NUM_REG_DIF,'"&amp;MAX('ID1&amp;5'!K:K)+1&amp;"' AS ID_EXEC, CURRENT_TIMESTAMP() AS TIME_EXEC FROM "&amp;I540,
IF(C540="Missings",+"SELECT '"&amp;UPPER(B540)&amp;"' AS TABELA, '"&amp;UPPER(C540)&amp;"' AS TIPOLOGIA_TESTE,'"&amp;D540&amp;"' AS TABELA_LT,'N/A' AS TABELA_SIMUL,'"&amp;F540&amp;"' AS CAMPO, "&amp;"'${ref_date}' AS REF_DATE, COUNT(*) AS NUM_REG, SUM(IF(TRIM(CAST(X."&amp;F540&amp;" AS STRING)) IN ('0000-00-00','0001-01-01','9999-12-31','MISS','00000','99999999999','99999999999.00','99999999999.000000'),1,0)) AS NUM_REG_DIF,'"&amp;MAX('ID1&amp;5'!K:K)+1&amp;"' AS ID_EXEC, CURRENT_TIMESTAMP() AS TIME_EXEC FROM "&amp;I540,
IF(C540="Not applicable",+"SELECT '"&amp;UPPER(B540)&amp;"' AS TABELA, '"&amp;UPPER(C540)&amp;"' AS TIPOLOGIA_TESTE,'"&amp;D540&amp;"' AS TABELA_LT,'N/A' AS TABELA_SIMUL,'"&amp;F540&amp;"' AS CAMPO, "&amp;"'${ref_date}' AS REF_DATE, COUNT(*) AS NUM_REG, SUM(IF(TRIM(CAST(X."&amp;F540&amp;" AS STRING)) IN ('N/A','11111111111','11111111111.00','11111111111.000000','1111-11-11'),1,0)) AS NUM_REG_DIF,'"&amp;MAX('ID1&amp;5'!K:K)+1&amp;"' AS ID_EXEC, CURRENT_TIMESTAMP() AS TIME_EXEC FROM "&amp;I540,
IF(C540="Valores extremos",+"SELECT '"&amp;UPPER(B540)&amp;"' AS TABELA, '"&amp;UPPER(C540)&amp;"' AS TIPOLOGIA_TESTE,'"&amp;D540&amp;"' AS TABELA_LT,'N/A' AS TABELA_SIMUL,'"&amp;F540&amp;"' AS CAMPO, "&amp;"'${ref_date}' AS REF_DATE, CAST(MIN("&amp;F540&amp;") AS STRING) AS VALOR_MIN, CAST(MAX("&amp;F540&amp;") AS STRING) AS VALOR_MAX,'"&amp;MAX('ID1&amp;5'!K:K)+1&amp;"' AS ID_EXEC, CURRENT_TIMESTAMP() AS TIME_EXEC FROM "&amp;MID(I540,1,LEN(I540)-2)&amp;" AND CAST("&amp;F540&amp;"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TABELA_SIMUL,'FLG_CHRNC_PHYSCL_RSK' AS CAMPO, '${ref_date}' AS REF_DATE, CAST(MIN(FLG_CHRNC_PHYSCL_RSK) AS STRING) AS VALOR_MIN, CAST(MAX(FLG_CHRNC_PHYSCL_RSK) AS STRING) AS VALOR_MAX,'10' AS ID_EXEC, CURRENT_TIMESTAMP() AS TIME_EXEC FROM (SELECT prtctn_id, FLG_CHRNC_PHYSCL_RSK FROM BU_LOANTAPE_WORK.LT004_PROTECTION WHERE ref_date='${ref_date}' AND nome_perimetro='Individual Corporativo' AND segmento='ESTR' AND ambito='PILAR3' AND CAST(FLG_CHRNC_PHYSCL_RSK AS STRING) NOT IN ('0000-00-00','0001-01-01','9999-12-31','MISS','00000','99999999999','99999999999.00','99999999999.000000','N/A','11111111111','11111111111.00','11111111111.000000','1111-11-11'))X</v>
      </c>
      <c r="M540" s="43" t="str">
        <f t="shared" si="8"/>
        <v>UNION ALL SELECT 'PROTECTION' AS TABELA, 'VALORES EXTREMOS' AS TIPOLOGIA_TESTE,'BU_LOANTAPE_WORK.LT004_PROTECTION' AS TABELA_LT,'N/A' AS TABELA_SIMUL,'FLG_CHRNC_PHYSCL_RSK' AS CAMPO, '${ref_date}' AS REF_DATE, CAST(MIN(FLG_CHRNC_PHYSCL_RSK) AS STRING) AS VALOR_MIN, CAST(MAX(FLG_CHRNC_PHYSCL_RSK) AS STRING) AS VALOR_MAX,'10' AS ID_EXEC, CURRENT_TIMESTAMP() AS TIME_EXEC FROM (SELECT prtctn_id, FLG_CHRNC_PHYSCL_RSK FROM BU_LOANTAPE_WORK.LT004_PROTECTION WHERE ref_date='${ref_date}' AND nome_perimetro='Individual Corporativo' AND segmento='ESTR' AND ambito='PILAR3' AND CAST(FLG_CHRNC_PHYSCL_RSK AS STRING) NOT IN ('0000-00-00','0001-01-01','9999-12-31','MISS','00000','99999999999','99999999999.00','99999999999.000000','N/A','11111111111','11111111111.00','11111111111.000000','1111-11-11'))X</v>
      </c>
      <c r="N540" s="45" t="s">
        <v>13</v>
      </c>
    </row>
    <row r="541" spans="2:14">
      <c r="B541" s="41" t="s">
        <v>31</v>
      </c>
      <c r="C541" s="41" t="s">
        <v>226</v>
      </c>
      <c r="D541" s="41" t="str">
        <f>+UPPER('0. Instruções'!$D$33&amp;"."&amp;VLOOKUP(B541,'0. Instruções'!$C$27:$D$31,2,FALSE))</f>
        <v>BU_LOANTAPE_WORK.LT004_PROTECTION</v>
      </c>
      <c r="E541" s="41" t="str">
        <f>+UPPER('0. Instruções'!$D$34&amp;"."&amp;VLOOKUP(B541,'0. Instruções'!$C$27:$E$31,3,FALSE))</f>
        <v>BU_LOANTAPE_WORK.LT004_PROTECTION_P3_NOV24</v>
      </c>
      <c r="F541" s="41" t="s">
        <v>156</v>
      </c>
      <c r="G541" s="41" t="s">
        <v>13</v>
      </c>
      <c r="H541" s="41"/>
      <c r="I541" s="41" t="str">
        <f>"(SELECT "&amp;VLOOKUP(B541,'0. Instruções'!$C$27:$G$31,4,FALSE)&amp;", "&amp;F541&amp;" FROM "&amp;D541&amp;" WHERE "&amp;'0. Instruções'!$D$40&amp;")X"</f>
        <v>(SELECT prtctn_id, DT_RFRNC FROM BU_LOANTAPE_WORK.LT004_PROTECTION WHERE ref_date='${ref_date}' AND nome_perimetro='Individual Corporativo' AND segmento='ESTR' AND ambito='PILAR3')X</v>
      </c>
      <c r="J541" s="41" t="str">
        <f>"(SELECT "&amp;VLOOKUP(B541,'0. Instruções'!$C$27:$G$31,4,FALSE)&amp;" AS "&amp;VLOOKUP(B541,'0. Instruções'!$C$27:$G$31,4,FALSE)&amp;"_SIMUL, "&amp;F541&amp;" AS "&amp;F541&amp;"_SIMUL FROM "&amp;E541&amp;")Y"</f>
        <v>(SELECT prtctn_id AS prtctn_id_SIMUL, DT_RFRNC AS DT_RFRNC_SIMUL FROM BU_LOANTAPE_WORK.LT004_PROTECTION_P3_NOV24)Y</v>
      </c>
      <c r="K541" s="42" t="str">
        <f>+UPPER("ON X."&amp;VLOOKUP(B541,'0. Instruções'!$C$27:$G$31,4,FALSE)&amp;"=Y."&amp;VLOOKUP(B541,'0. Instruções'!$C$27:$G$31,4,FALSE)&amp;"_SIMUL")</f>
        <v>ON X.PRTCTN_ID=Y.PRTCTN_ID_SIMUL</v>
      </c>
      <c r="L541" s="42" t="str">
        <f>+IF(C541="Coerência", +IF(LEFT(G541,5)="FLOAT","SELECT '"&amp;UPPER(B541)&amp;"' AS TABELA, '"&amp;UPPER(C541)&amp;"' AS TIPOLOGIA_TESTE,'"&amp;D541&amp;"' AS TABELA_LT,'"&amp;E541&amp;"' AS TABELA_SIMUL,'"&amp;F541&amp;"' AS CAMPO, "&amp;"'${ref_date}' AS REF_DATE, COUNT(*) AS NUM_REG, SUM(IF((ABS(COALESCE(X."&amp;F541&amp;",0)-COALESCE(Y."&amp;F541&amp;"_SIMUL,0))&gt;0.0000000001) OR (X."&amp;F541&amp;" IS NULL AND Y."&amp;F541&amp;"_SIMUL IS NOT NULL ) OR (X."&amp;F541&amp;" IS NOT NULL AND Y."&amp;F541&amp;"_SIMUL IS NULL),1,0)) AS NUM_REG_DIF,'"&amp;MAX('ID1&amp;5'!K:K)+1&amp;"' AS ID_EXEC, CURRENT_TIMESTAMP() AS TIME_EXEC FROM "&amp;I541&amp;" INNER JOIN "&amp;J541&amp;" "&amp;K541,"SELECT '"&amp;UPPER(B541)&amp;"' AS TABELA, '"&amp;UPPER(C541)&amp;"' AS TIPOLOGIA_TESTE,'"&amp;D541&amp;"' AS TABELA_LT,'"&amp;E541&amp;"' AS TABELA_SIMUL,'"&amp;F541&amp;"' AS CAMPO, "&amp;"'${ref_date}' AS REF_DATE, COUNT(*) AS NUM_REG, SUM(IF(COALESCE(CAST(X."&amp;F541&amp;" AS STRING),'')&lt;&gt;COALESCE(CAST(Y."&amp;F541&amp;"_SIMUL AS STRING),''),1,0)) AS NUM_REG_DIF,'"&amp;MAX('ID1&amp;5'!L:L)+1&amp;"' AS ID_EXEC, CURRENT_TIMESTAMP() AS TIME_EXEC FROM "&amp;I541&amp;" INNER JOIN "&amp;J541&amp;" "&amp;K541),
IF(C541="Validade",+IF(G541="Code List","SELECT '"&amp;UPPER(B541)&amp;"' AS TABELA, '"&amp;UPPER(C541)&amp;"' AS TIPOLOGIA_TESTE,'"&amp;D541&amp;"' AS TABELA_LT,'N/A' AS TABELA_SIMUL,'"&amp;F541&amp;"' AS CAMPO, "&amp;"'${ref_date}' AS REF_DATE, COUNT(*) AS NUM_REG, SUM(IF(TRIM(CAST(X."&amp;F541&amp;" AS STRING))='' OR TRIM(CAST(X."&amp;F541&amp;" AS STRING)) IS NULL OR CAST(X."&amp;F541&amp;" AS STRING) NOT "&amp;H541&amp;",1,0)) AS NUM_REG_DIF,'"&amp;MAX('ID1&amp;5'!K:K)+1&amp;"' AS ID_EXEC, CURRENT_TIMESTAMP() AS TIME_EXEC FROM "&amp;I541,"SELECT '"&amp;UPPER(B541)&amp;"' AS TABELA, '"&amp;UPPER(C541)&amp;"' AS TIPOLOGIA_TESTE,'"&amp;D541&amp;"' AS TABELA_LT,'N/A' AS TABELA_SIMUL,'"&amp;F541&amp;"' AS CAMPO, "&amp;"'${ref_date}' AS REF_DATE, COUNT(*) AS NUM_REG, SUM(IF(TRIM(CAST(X."&amp;F541&amp;" AS STRING))='' OR TRIM(CAST(X."&amp;F541&amp;" AS STRING)) IS NULL,1,0)) AS NUM_REG_DIF,'"&amp;MAX('ID1&amp;5'!K:K)+1&amp;"' AS ID_EXEC, CURRENT_TIMESTAMP() AS TIME_EXEC FROM "&amp;I541),
IF(C541="Caracteres Especiais",+"SELECT '"&amp;UPPER(B541)&amp;"' AS TABELA, '"&amp;UPPER(C541)&amp;"' AS TIPOLOGIA_TESTE,'"&amp;D541&amp;"' AS TABELA_LT,'N/A' AS TABELA_SIMUL,'"&amp;F541&amp;"' AS CAMPO, "&amp;"'${ref_date}' AS REF_DATE, COUNT(*) AS NUM_REG, SUM(IF(INSTR(CAST(X."&amp;F541&amp;" AS STRING),'#')&gt;0 OR INSTR(CAST(X."&amp;F541&amp;" AS STRING),'*')&gt;0 OR INSTR(CAST(X."&amp;F541&amp;" AS STRING),'`')&gt;0 OR INSTR(CAST(X."&amp;F541&amp;" AS STRING),'´')&gt;0 OR INSTR(CAST(X."&amp;F541&amp;" AS STRING),'{')&gt;0 OR INSTR(CAST(X."&amp;F541&amp;" AS STRING),'}')&gt;0 OR INSTR(CAST(X."&amp;F541&amp;" AS STRING),'[')&gt;0 OR INSTR(CAST(X."&amp;F541&amp;" AS STRING),'')&gt;0 OR INSTR(CAST(X."&amp;F541&amp;" AS STRING),']')&gt;0 OR INSTR(CAST(X."&amp;F541&amp;" AS STRING),'?')&gt;0 OR INSTR(CAST(X."&amp;F541&amp;" AS STRING),'!')&gt;0 OR INSTR(CAST(X."&amp;F541&amp;" AS STRING),'$')&gt;0 OR INSTR(CAST(X."&amp;F541&amp;" AS STRING),'%')&gt;0 OR INSTR(CAST(X."&amp;F541&amp;" AS STRING),'&amp;')&gt;0 OR INSTR(CAST(X."&amp;F541&amp;" AS STRING),'+')&gt;0,1,0)) AS NUM_REG_DIF,'"&amp;MAX('ID1&amp;5'!K:K)+1&amp;"' AS ID_EXEC, CURRENT_TIMESTAMP() AS TIME_EXEC FROM "&amp;I541,
IF(C541="Missings",+"SELECT '"&amp;UPPER(B541)&amp;"' AS TABELA, '"&amp;UPPER(C541)&amp;"' AS TIPOLOGIA_TESTE,'"&amp;D541&amp;"' AS TABELA_LT,'N/A' AS TABELA_SIMUL,'"&amp;F541&amp;"' AS CAMPO, "&amp;"'${ref_date}' AS REF_DATE, COUNT(*) AS NUM_REG, SUM(IF(TRIM(CAST(X."&amp;F541&amp;" AS STRING)) IN ('0000-00-00','0001-01-01','9999-12-31','MISS','00000','99999999999','99999999999.00','99999999999.000000'),1,0)) AS NUM_REG_DIF,'"&amp;MAX('ID1&amp;5'!K:K)+1&amp;"' AS ID_EXEC, CURRENT_TIMESTAMP() AS TIME_EXEC FROM "&amp;I541,
IF(C541="Not applicable",+"SELECT '"&amp;UPPER(B541)&amp;"' AS TABELA, '"&amp;UPPER(C541)&amp;"' AS TIPOLOGIA_TESTE,'"&amp;D541&amp;"' AS TABELA_LT,'N/A' AS TABELA_SIMUL,'"&amp;F541&amp;"' AS CAMPO, "&amp;"'${ref_date}' AS REF_DATE, COUNT(*) AS NUM_REG, SUM(IF(TRIM(CAST(X."&amp;F541&amp;" AS STRING)) IN ('N/A','11111111111','11111111111.00','11111111111.000000','1111-11-11'),1,0)) AS NUM_REG_DIF,'"&amp;MAX('ID1&amp;5'!K:K)+1&amp;"' AS ID_EXEC, CURRENT_TIMESTAMP() AS TIME_EXEC FROM "&amp;I541,
IF(C541="Valores extremos",+"SELECT '"&amp;UPPER(B541)&amp;"' AS TABELA, '"&amp;UPPER(C541)&amp;"' AS TIPOLOGIA_TESTE,'"&amp;D541&amp;"' AS TABELA_LT,'N/A' AS TABELA_SIMUL,'"&amp;F541&amp;"' AS CAMPO, "&amp;"'${ref_date}' AS REF_DATE, CAST(MIN("&amp;F541&amp;") AS STRING) AS VALOR_MIN, CAST(MAX("&amp;F541&amp;") AS STRING) AS VALOR_MAX,'"&amp;MAX('ID1&amp;5'!K:K)+1&amp;"' AS ID_EXEC, CURRENT_TIMESTAMP() AS TIME_EXEC FROM "&amp;MID(I541,1,LEN(I541)-2)&amp;" AND CAST("&amp;F541&amp;"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TABELA_SIMUL,'DT_RFRNC' AS CAMPO, '${ref_date}' AS REF_DATE, CAST(MIN(DT_RFRNC) AS STRING) AS VALOR_MIN, CAST(MAX(DT_RFRNC) AS STRING) AS VALOR_MAX,'10' AS ID_EXEC, CURRENT_TIMESTAMP() AS TIME_EXEC FROM (SELECT prtctn_id, DT_RFRNC FROM BU_LOANTAPE_WORK.LT004_PROTECTION WHERE ref_date='${ref_date}' AND nome_perimetro='Individual Corporativo' AND segmento='ESTR' AND ambito='PILAR3' AND CAST(DT_RFRNC AS STRING) NOT IN ('0000-00-00','0001-01-01','9999-12-31','MISS','00000','99999999999','99999999999.00','99999999999.000000','N/A','11111111111','11111111111.00','11111111111.000000','1111-11-11'))X</v>
      </c>
      <c r="M541" s="43" t="str">
        <f t="shared" si="8"/>
        <v>UNION ALL SELECT 'PROTECTION' AS TABELA, 'VALORES EXTREMOS' AS TIPOLOGIA_TESTE,'BU_LOANTAPE_WORK.LT004_PROTECTION' AS TABELA_LT,'N/A' AS TABELA_SIMUL,'DT_RFRNC' AS CAMPO, '${ref_date}' AS REF_DATE, CAST(MIN(DT_RFRNC) AS STRING) AS VALOR_MIN, CAST(MAX(DT_RFRNC) AS STRING) AS VALOR_MAX,'10' AS ID_EXEC, CURRENT_TIMESTAMP() AS TIME_EXEC FROM (SELECT prtctn_id, DT_RFRNC FROM BU_LOANTAPE_WORK.LT004_PROTECTION WHERE ref_date='${ref_date}' AND nome_perimetro='Individual Corporativo' AND segmento='ESTR' AND ambito='PILAR3' AND CAST(DT_RFRNC AS STRING) NOT IN ('0000-00-00','0001-01-01','9999-12-31','MISS','00000','99999999999','99999999999.00','99999999999.000000','N/A','11111111111','11111111111.00','11111111111.000000','1111-11-11'))X</v>
      </c>
      <c r="N541" s="45" t="s">
        <v>13</v>
      </c>
    </row>
    <row r="542" spans="2:14">
      <c r="B542" s="41" t="s">
        <v>31</v>
      </c>
      <c r="C542" s="41" t="s">
        <v>226</v>
      </c>
      <c r="D542" s="41" t="str">
        <f>+UPPER('0. Instruções'!$D$33&amp;"."&amp;VLOOKUP(B542,'0. Instruções'!$C$27:$D$31,2,FALSE))</f>
        <v>BU_LOANTAPE_WORK.LT004_PROTECTION</v>
      </c>
      <c r="E542" s="41" t="str">
        <f>+UPPER('0. Instruções'!$D$34&amp;"."&amp;VLOOKUP(B542,'0. Instruções'!$C$27:$E$31,3,FALSE))</f>
        <v>BU_LOANTAPE_WORK.LT004_PROTECTION_P3_NOV24</v>
      </c>
      <c r="F542" s="41" t="s">
        <v>190</v>
      </c>
      <c r="G542" s="41" t="s">
        <v>13</v>
      </c>
      <c r="H542" s="41"/>
      <c r="I542" s="41" t="str">
        <f>"(SELECT "&amp;VLOOKUP(B542,'0. Instruções'!$C$27:$G$31,4,FALSE)&amp;", "&amp;F542&amp;" FROM "&amp;D542&amp;" WHERE "&amp;'0. Instruções'!$D$40&amp;")X"</f>
        <v>(SELECT prtctn_id, PRTCTN_ID FROM BU_LOANTAPE_WORK.LT004_PROTECTION WHERE ref_date='${ref_date}' AND nome_perimetro='Individual Corporativo' AND segmento='ESTR' AND ambito='PILAR3')X</v>
      </c>
      <c r="J542" s="41" t="str">
        <f>"(SELECT "&amp;VLOOKUP(B542,'0. Instruções'!$C$27:$G$31,4,FALSE)&amp;" AS "&amp;VLOOKUP(B542,'0. Instruções'!$C$27:$G$31,4,FALSE)&amp;"_SIMUL, "&amp;F542&amp;" AS "&amp;F542&amp;"_SIMUL FROM "&amp;E542&amp;")Y"</f>
        <v>(SELECT prtctn_id AS prtctn_id_SIMUL, PRTCTN_ID AS PRTCTN_ID_SIMUL FROM BU_LOANTAPE_WORK.LT004_PROTECTION_P3_NOV24)Y</v>
      </c>
      <c r="K542" s="42" t="str">
        <f>+UPPER("ON X."&amp;VLOOKUP(B542,'0. Instruções'!$C$27:$G$31,4,FALSE)&amp;"=Y."&amp;VLOOKUP(B542,'0. Instruções'!$C$27:$G$31,4,FALSE)&amp;"_SIMUL")</f>
        <v>ON X.PRTCTN_ID=Y.PRTCTN_ID_SIMUL</v>
      </c>
      <c r="L542" s="42" t="str">
        <f>+IF(C542="Coerência", +IF(LEFT(G542,5)="FLOAT","SELECT '"&amp;UPPER(B542)&amp;"' AS TABELA, '"&amp;UPPER(C542)&amp;"' AS TIPOLOGIA_TESTE,'"&amp;D542&amp;"' AS TABELA_LT,'"&amp;E542&amp;"' AS TABELA_SIMUL,'"&amp;F542&amp;"' AS CAMPO, "&amp;"'${ref_date}' AS REF_DATE, COUNT(*) AS NUM_REG, SUM(IF((ABS(COALESCE(X."&amp;F542&amp;",0)-COALESCE(Y."&amp;F542&amp;"_SIMUL,0))&gt;0.0000000001) OR (X."&amp;F542&amp;" IS NULL AND Y."&amp;F542&amp;"_SIMUL IS NOT NULL ) OR (X."&amp;F542&amp;" IS NOT NULL AND Y."&amp;F542&amp;"_SIMUL IS NULL),1,0)) AS NUM_REG_DIF,'"&amp;MAX('ID1&amp;5'!K:K)+1&amp;"' AS ID_EXEC, CURRENT_TIMESTAMP() AS TIME_EXEC FROM "&amp;I542&amp;" INNER JOIN "&amp;J542&amp;" "&amp;K542,"SELECT '"&amp;UPPER(B542)&amp;"' AS TABELA, '"&amp;UPPER(C542)&amp;"' AS TIPOLOGIA_TESTE,'"&amp;D542&amp;"' AS TABELA_LT,'"&amp;E542&amp;"' AS TABELA_SIMUL,'"&amp;F542&amp;"' AS CAMPO, "&amp;"'${ref_date}' AS REF_DATE, COUNT(*) AS NUM_REG, SUM(IF(COALESCE(CAST(X."&amp;F542&amp;" AS STRING),'')&lt;&gt;COALESCE(CAST(Y."&amp;F542&amp;"_SIMUL AS STRING),''),1,0)) AS NUM_REG_DIF,'"&amp;MAX('ID1&amp;5'!L:L)+1&amp;"' AS ID_EXEC, CURRENT_TIMESTAMP() AS TIME_EXEC FROM "&amp;I542&amp;" INNER JOIN "&amp;J542&amp;" "&amp;K542),
IF(C542="Validade",+IF(G542="Code List","SELECT '"&amp;UPPER(B542)&amp;"' AS TABELA, '"&amp;UPPER(C542)&amp;"' AS TIPOLOGIA_TESTE,'"&amp;D542&amp;"' AS TABELA_LT,'N/A' AS TABELA_SIMUL,'"&amp;F542&amp;"' AS CAMPO, "&amp;"'${ref_date}' AS REF_DATE, COUNT(*) AS NUM_REG, SUM(IF(TRIM(CAST(X."&amp;F542&amp;" AS STRING))='' OR TRIM(CAST(X."&amp;F542&amp;" AS STRING)) IS NULL OR CAST(X."&amp;F542&amp;" AS STRING) NOT "&amp;H542&amp;",1,0)) AS NUM_REG_DIF,'"&amp;MAX('ID1&amp;5'!K:K)+1&amp;"' AS ID_EXEC, CURRENT_TIMESTAMP() AS TIME_EXEC FROM "&amp;I542,"SELECT '"&amp;UPPER(B542)&amp;"' AS TABELA, '"&amp;UPPER(C542)&amp;"' AS TIPOLOGIA_TESTE,'"&amp;D542&amp;"' AS TABELA_LT,'N/A' AS TABELA_SIMUL,'"&amp;F542&amp;"' AS CAMPO, "&amp;"'${ref_date}' AS REF_DATE, COUNT(*) AS NUM_REG, SUM(IF(TRIM(CAST(X."&amp;F542&amp;" AS STRING))='' OR TRIM(CAST(X."&amp;F542&amp;" AS STRING)) IS NULL,1,0)) AS NUM_REG_DIF,'"&amp;MAX('ID1&amp;5'!K:K)+1&amp;"' AS ID_EXEC, CURRENT_TIMESTAMP() AS TIME_EXEC FROM "&amp;I542),
IF(C542="Caracteres Especiais",+"SELECT '"&amp;UPPER(B542)&amp;"' AS TABELA, '"&amp;UPPER(C542)&amp;"' AS TIPOLOGIA_TESTE,'"&amp;D542&amp;"' AS TABELA_LT,'N/A' AS TABELA_SIMUL,'"&amp;F542&amp;"' AS CAMPO, "&amp;"'${ref_date}' AS REF_DATE, COUNT(*) AS NUM_REG, SUM(IF(INSTR(CAST(X."&amp;F542&amp;" AS STRING),'#')&gt;0 OR INSTR(CAST(X."&amp;F542&amp;" AS STRING),'*')&gt;0 OR INSTR(CAST(X."&amp;F542&amp;" AS STRING),'`')&gt;0 OR INSTR(CAST(X."&amp;F542&amp;" AS STRING),'´')&gt;0 OR INSTR(CAST(X."&amp;F542&amp;" AS STRING),'{')&gt;0 OR INSTR(CAST(X."&amp;F542&amp;" AS STRING),'}')&gt;0 OR INSTR(CAST(X."&amp;F542&amp;" AS STRING),'[')&gt;0 OR INSTR(CAST(X."&amp;F542&amp;" AS STRING),'')&gt;0 OR INSTR(CAST(X."&amp;F542&amp;" AS STRING),']')&gt;0 OR INSTR(CAST(X."&amp;F542&amp;" AS STRING),'?')&gt;0 OR INSTR(CAST(X."&amp;F542&amp;" AS STRING),'!')&gt;0 OR INSTR(CAST(X."&amp;F542&amp;" AS STRING),'$')&gt;0 OR INSTR(CAST(X."&amp;F542&amp;" AS STRING),'%')&gt;0 OR INSTR(CAST(X."&amp;F542&amp;" AS STRING),'&amp;')&gt;0 OR INSTR(CAST(X."&amp;F542&amp;" AS STRING),'+')&gt;0,1,0)) AS NUM_REG_DIF,'"&amp;MAX('ID1&amp;5'!K:K)+1&amp;"' AS ID_EXEC, CURRENT_TIMESTAMP() AS TIME_EXEC FROM "&amp;I542,
IF(C542="Missings",+"SELECT '"&amp;UPPER(B542)&amp;"' AS TABELA, '"&amp;UPPER(C542)&amp;"' AS TIPOLOGIA_TESTE,'"&amp;D542&amp;"' AS TABELA_LT,'N/A' AS TABELA_SIMUL,'"&amp;F542&amp;"' AS CAMPO, "&amp;"'${ref_date}' AS REF_DATE, COUNT(*) AS NUM_REG, SUM(IF(TRIM(CAST(X."&amp;F542&amp;" AS STRING)) IN ('0000-00-00','0001-01-01','9999-12-31','MISS','00000','99999999999','99999999999.00','99999999999.000000'),1,0)) AS NUM_REG_DIF,'"&amp;MAX('ID1&amp;5'!K:K)+1&amp;"' AS ID_EXEC, CURRENT_TIMESTAMP() AS TIME_EXEC FROM "&amp;I542,
IF(C542="Not applicable",+"SELECT '"&amp;UPPER(B542)&amp;"' AS TABELA, '"&amp;UPPER(C542)&amp;"' AS TIPOLOGIA_TESTE,'"&amp;D542&amp;"' AS TABELA_LT,'N/A' AS TABELA_SIMUL,'"&amp;F542&amp;"' AS CAMPO, "&amp;"'${ref_date}' AS REF_DATE, COUNT(*) AS NUM_REG, SUM(IF(TRIM(CAST(X."&amp;F542&amp;" AS STRING)) IN ('N/A','11111111111','11111111111.00','11111111111.000000','1111-11-11'),1,0)) AS NUM_REG_DIF,'"&amp;MAX('ID1&amp;5'!K:K)+1&amp;"' AS ID_EXEC, CURRENT_TIMESTAMP() AS TIME_EXEC FROM "&amp;I542,
IF(C542="Valores extremos",+"SELECT '"&amp;UPPER(B542)&amp;"' AS TABELA, '"&amp;UPPER(C542)&amp;"' AS TIPOLOGIA_TESTE,'"&amp;D542&amp;"' AS TABELA_LT,'N/A' AS TABELA_SIMUL,'"&amp;F542&amp;"' AS CAMPO, "&amp;"'${ref_date}' AS REF_DATE, CAST(MIN("&amp;F542&amp;") AS STRING) AS VALOR_MIN, CAST(MAX("&amp;F542&amp;") AS STRING) AS VALOR_MAX,'"&amp;MAX('ID1&amp;5'!K:K)+1&amp;"' AS ID_EXEC, CURRENT_TIMESTAMP() AS TIME_EXEC FROM "&amp;MID(I542,1,LEN(I542)-2)&amp;" AND CAST("&amp;F542&amp;"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TABELA_SIMUL,'PRTCTN_ID' AS CAMPO, '${ref_date}' AS REF_DATE, CAST(MIN(PRTCTN_ID) AS STRING) AS VALOR_MIN, CAST(MAX(PRTCTN_ID) AS STRING) AS VALOR_MAX,'10' AS ID_EXEC, CURRENT_TIMESTAMP() AS TIME_EXEC FROM (SELECT prtctn_id, PRTCTN_ID FROM BU_LOANTAPE_WORK.LT004_PROTECTION WHERE ref_date='${ref_date}' AND nome_perimetro='Individual Corporativo' AND segmento='ESTR' AND ambito='PILAR3' AND CAST(PRTCTN_ID AS STRING) NOT IN ('0000-00-00','0001-01-01','9999-12-31','MISS','00000','99999999999','99999999999.00','99999999999.000000','N/A','11111111111','11111111111.00','11111111111.000000','1111-11-11'))X</v>
      </c>
      <c r="M542" s="43" t="str">
        <f t="shared" si="8"/>
        <v>UNION ALL SELECT 'PROTECTION' AS TABELA, 'VALORES EXTREMOS' AS TIPOLOGIA_TESTE,'BU_LOANTAPE_WORK.LT004_PROTECTION' AS TABELA_LT,'N/A' AS TABELA_SIMUL,'PRTCTN_ID' AS CAMPO, '${ref_date}' AS REF_DATE, CAST(MIN(PRTCTN_ID) AS STRING) AS VALOR_MIN, CAST(MAX(PRTCTN_ID) AS STRING) AS VALOR_MAX,'10' AS ID_EXEC, CURRENT_TIMESTAMP() AS TIME_EXEC FROM (SELECT prtctn_id, PRTCTN_ID FROM BU_LOANTAPE_WORK.LT004_PROTECTION WHERE ref_date='${ref_date}' AND nome_perimetro='Individual Corporativo' AND segmento='ESTR' AND ambito='PILAR3' AND CAST(PRTCTN_ID AS STRING) NOT IN ('0000-00-00','0001-01-01','9999-12-31','MISS','00000','99999999999','99999999999.00','99999999999.000000','N/A','11111111111','11111111111.00','11111111111.000000','1111-11-11'))X</v>
      </c>
      <c r="N542" s="45" t="s">
        <v>13</v>
      </c>
    </row>
    <row r="543" spans="2:14">
      <c r="B543" s="41" t="s">
        <v>31</v>
      </c>
      <c r="C543" s="41" t="s">
        <v>226</v>
      </c>
      <c r="D543" s="41" t="str">
        <f>+UPPER('0. Instruções'!$D$33&amp;"."&amp;VLOOKUP(B543,'0. Instruções'!$C$27:$D$31,2,FALSE))</f>
        <v>BU_LOANTAPE_WORK.LT004_PROTECTION</v>
      </c>
      <c r="E543" s="41" t="str">
        <f>+UPPER('0. Instruções'!$D$34&amp;"."&amp;VLOOKUP(B543,'0. Instruções'!$C$27:$E$31,3,FALSE))</f>
        <v>BU_LOANTAPE_WORK.LT004_PROTECTION_P3_NOV24</v>
      </c>
      <c r="F543" s="41" t="s">
        <v>191</v>
      </c>
      <c r="G543" s="41" t="s">
        <v>13</v>
      </c>
      <c r="H543" s="41"/>
      <c r="I543" s="41" t="str">
        <f>"(SELECT "&amp;VLOOKUP(B543,'0. Instruções'!$C$27:$G$31,4,FALSE)&amp;", "&amp;F543&amp;" FROM "&amp;D543&amp;" WHERE "&amp;'0. Instruções'!$D$40&amp;")X"</f>
        <v>(SELECT prtctn_id, RL_ESTT_CLLTRL_LCTN FROM BU_LOANTAPE_WORK.LT004_PROTECTION WHERE ref_date='${ref_date}' AND nome_perimetro='Individual Corporativo' AND segmento='ESTR' AND ambito='PILAR3')X</v>
      </c>
      <c r="J543" s="41" t="str">
        <f>"(SELECT "&amp;VLOOKUP(B543,'0. Instruções'!$C$27:$G$31,4,FALSE)&amp;" AS "&amp;VLOOKUP(B543,'0. Instruções'!$C$27:$G$31,4,FALSE)&amp;"_SIMUL, "&amp;F543&amp;" AS "&amp;F543&amp;"_SIMUL FROM "&amp;E543&amp;")Y"</f>
        <v>(SELECT prtctn_id AS prtctn_id_SIMUL, RL_ESTT_CLLTRL_LCTN AS RL_ESTT_CLLTRL_LCTN_SIMUL FROM BU_LOANTAPE_WORK.LT004_PROTECTION_P3_NOV24)Y</v>
      </c>
      <c r="K543" s="42" t="str">
        <f>+UPPER("ON X."&amp;VLOOKUP(B543,'0. Instruções'!$C$27:$G$31,4,FALSE)&amp;"=Y."&amp;VLOOKUP(B543,'0. Instruções'!$C$27:$G$31,4,FALSE)&amp;"_SIMUL")</f>
        <v>ON X.PRTCTN_ID=Y.PRTCTN_ID_SIMUL</v>
      </c>
      <c r="L543" s="42" t="str">
        <f>+IF(C543="Coerência", +IF(LEFT(G543,5)="FLOAT","SELECT '"&amp;UPPER(B543)&amp;"' AS TABELA, '"&amp;UPPER(C543)&amp;"' AS TIPOLOGIA_TESTE,'"&amp;D543&amp;"' AS TABELA_LT,'"&amp;E543&amp;"' AS TABELA_SIMUL,'"&amp;F543&amp;"' AS CAMPO, "&amp;"'${ref_date}' AS REF_DATE, COUNT(*) AS NUM_REG, SUM(IF((ABS(COALESCE(X."&amp;F543&amp;",0)-COALESCE(Y."&amp;F543&amp;"_SIMUL,0))&gt;0.0000000001) OR (X."&amp;F543&amp;" IS NULL AND Y."&amp;F543&amp;"_SIMUL IS NOT NULL ) OR (X."&amp;F543&amp;" IS NOT NULL AND Y."&amp;F543&amp;"_SIMUL IS NULL),1,0)) AS NUM_REG_DIF,'"&amp;MAX('ID1&amp;5'!K:K)+1&amp;"' AS ID_EXEC, CURRENT_TIMESTAMP() AS TIME_EXEC FROM "&amp;I543&amp;" INNER JOIN "&amp;J543&amp;" "&amp;K543,"SELECT '"&amp;UPPER(B543)&amp;"' AS TABELA, '"&amp;UPPER(C543)&amp;"' AS TIPOLOGIA_TESTE,'"&amp;D543&amp;"' AS TABELA_LT,'"&amp;E543&amp;"' AS TABELA_SIMUL,'"&amp;F543&amp;"' AS CAMPO, "&amp;"'${ref_date}' AS REF_DATE, COUNT(*) AS NUM_REG, SUM(IF(COALESCE(CAST(X."&amp;F543&amp;" AS STRING),'')&lt;&gt;COALESCE(CAST(Y."&amp;F543&amp;"_SIMUL AS STRING),''),1,0)) AS NUM_REG_DIF,'"&amp;MAX('ID1&amp;5'!L:L)+1&amp;"' AS ID_EXEC, CURRENT_TIMESTAMP() AS TIME_EXEC FROM "&amp;I543&amp;" INNER JOIN "&amp;J543&amp;" "&amp;K543),
IF(C543="Validade",+IF(G543="Code List","SELECT '"&amp;UPPER(B543)&amp;"' AS TABELA, '"&amp;UPPER(C543)&amp;"' AS TIPOLOGIA_TESTE,'"&amp;D543&amp;"' AS TABELA_LT,'N/A' AS TABELA_SIMUL,'"&amp;F543&amp;"' AS CAMPO, "&amp;"'${ref_date}' AS REF_DATE, COUNT(*) AS NUM_REG, SUM(IF(TRIM(CAST(X."&amp;F543&amp;" AS STRING))='' OR TRIM(CAST(X."&amp;F543&amp;" AS STRING)) IS NULL OR CAST(X."&amp;F543&amp;" AS STRING) NOT "&amp;H543&amp;",1,0)) AS NUM_REG_DIF,'"&amp;MAX('ID1&amp;5'!K:K)+1&amp;"' AS ID_EXEC, CURRENT_TIMESTAMP() AS TIME_EXEC FROM "&amp;I543,"SELECT '"&amp;UPPER(B543)&amp;"' AS TABELA, '"&amp;UPPER(C543)&amp;"' AS TIPOLOGIA_TESTE,'"&amp;D543&amp;"' AS TABELA_LT,'N/A' AS TABELA_SIMUL,'"&amp;F543&amp;"' AS CAMPO, "&amp;"'${ref_date}' AS REF_DATE, COUNT(*) AS NUM_REG, SUM(IF(TRIM(CAST(X."&amp;F543&amp;" AS STRING))='' OR TRIM(CAST(X."&amp;F543&amp;" AS STRING)) IS NULL,1,0)) AS NUM_REG_DIF,'"&amp;MAX('ID1&amp;5'!K:K)+1&amp;"' AS ID_EXEC, CURRENT_TIMESTAMP() AS TIME_EXEC FROM "&amp;I543),
IF(C543="Caracteres Especiais",+"SELECT '"&amp;UPPER(B543)&amp;"' AS TABELA, '"&amp;UPPER(C543)&amp;"' AS TIPOLOGIA_TESTE,'"&amp;D543&amp;"' AS TABELA_LT,'N/A' AS TABELA_SIMUL,'"&amp;F543&amp;"' AS CAMPO, "&amp;"'${ref_date}' AS REF_DATE, COUNT(*) AS NUM_REG, SUM(IF(INSTR(CAST(X."&amp;F543&amp;" AS STRING),'#')&gt;0 OR INSTR(CAST(X."&amp;F543&amp;" AS STRING),'*')&gt;0 OR INSTR(CAST(X."&amp;F543&amp;" AS STRING),'`')&gt;0 OR INSTR(CAST(X."&amp;F543&amp;" AS STRING),'´')&gt;0 OR INSTR(CAST(X."&amp;F543&amp;" AS STRING),'{')&gt;0 OR INSTR(CAST(X."&amp;F543&amp;" AS STRING),'}')&gt;0 OR INSTR(CAST(X."&amp;F543&amp;" AS STRING),'[')&gt;0 OR INSTR(CAST(X."&amp;F543&amp;" AS STRING),'')&gt;0 OR INSTR(CAST(X."&amp;F543&amp;" AS STRING),']')&gt;0 OR INSTR(CAST(X."&amp;F543&amp;" AS STRING),'?')&gt;0 OR INSTR(CAST(X."&amp;F543&amp;" AS STRING),'!')&gt;0 OR INSTR(CAST(X."&amp;F543&amp;" AS STRING),'$')&gt;0 OR INSTR(CAST(X."&amp;F543&amp;" AS STRING),'%')&gt;0 OR INSTR(CAST(X."&amp;F543&amp;" AS STRING),'&amp;')&gt;0 OR INSTR(CAST(X."&amp;F543&amp;" AS STRING),'+')&gt;0,1,0)) AS NUM_REG_DIF,'"&amp;MAX('ID1&amp;5'!K:K)+1&amp;"' AS ID_EXEC, CURRENT_TIMESTAMP() AS TIME_EXEC FROM "&amp;I543,
IF(C543="Missings",+"SELECT '"&amp;UPPER(B543)&amp;"' AS TABELA, '"&amp;UPPER(C543)&amp;"' AS TIPOLOGIA_TESTE,'"&amp;D543&amp;"' AS TABELA_LT,'N/A' AS TABELA_SIMUL,'"&amp;F543&amp;"' AS CAMPO, "&amp;"'${ref_date}' AS REF_DATE, COUNT(*) AS NUM_REG, SUM(IF(TRIM(CAST(X."&amp;F543&amp;" AS STRING)) IN ('0000-00-00','0001-01-01','9999-12-31','MISS','00000','99999999999','99999999999.00','99999999999.000000'),1,0)) AS NUM_REG_DIF,'"&amp;MAX('ID1&amp;5'!K:K)+1&amp;"' AS ID_EXEC, CURRENT_TIMESTAMP() AS TIME_EXEC FROM "&amp;I543,
IF(C543="Not applicable",+"SELECT '"&amp;UPPER(B543)&amp;"' AS TABELA, '"&amp;UPPER(C543)&amp;"' AS TIPOLOGIA_TESTE,'"&amp;D543&amp;"' AS TABELA_LT,'N/A' AS TABELA_SIMUL,'"&amp;F543&amp;"' AS CAMPO, "&amp;"'${ref_date}' AS REF_DATE, COUNT(*) AS NUM_REG, SUM(IF(TRIM(CAST(X."&amp;F543&amp;" AS STRING)) IN ('N/A','11111111111','11111111111.00','11111111111.000000','1111-11-11'),1,0)) AS NUM_REG_DIF,'"&amp;MAX('ID1&amp;5'!K:K)+1&amp;"' AS ID_EXEC, CURRENT_TIMESTAMP() AS TIME_EXEC FROM "&amp;I543,
IF(C543="Valores extremos",+"SELECT '"&amp;UPPER(B543)&amp;"' AS TABELA, '"&amp;UPPER(C543)&amp;"' AS TIPOLOGIA_TESTE,'"&amp;D543&amp;"' AS TABELA_LT,'N/A' AS TABELA_SIMUL,'"&amp;F543&amp;"' AS CAMPO, "&amp;"'${ref_date}' AS REF_DATE, CAST(MIN("&amp;F543&amp;") AS STRING) AS VALOR_MIN, CAST(MAX("&amp;F543&amp;") AS STRING) AS VALOR_MAX,'"&amp;MAX('ID1&amp;5'!K:K)+1&amp;"' AS ID_EXEC, CURRENT_TIMESTAMP() AS TIME_EXEC FROM "&amp;MID(I543,1,LEN(I543)-2)&amp;" AND CAST("&amp;F543&amp;"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TABELA_SIMUL,'RL_ESTT_CLLTRL_LCTN' AS CAMPO, '${ref_date}' AS REF_DATE, CAST(MIN(RL_ESTT_CLLTRL_LCTN) AS STRING) AS VALOR_MIN, CAST(MAX(RL_ESTT_CLLTRL_LCTN) AS STRING) AS VALOR_MAX,'10' AS ID_EXEC, CURRENT_TIMESTAMP() AS TIME_EXEC FROM (SELECT prtctn_id, RL_ESTT_CLLTRL_LCTN FROM BU_LOANTAPE_WORK.LT004_PROTECTION WHERE ref_date='${ref_date}' AND nome_perimetro='Individual Corporativo' AND segmento='ESTR' AND ambito='PILAR3' AND CAST(RL_ESTT_CLLTRL_LCTN AS STRING) NOT IN ('0000-00-00','0001-01-01','9999-12-31','MISS','00000','99999999999','99999999999.00','99999999999.000000','N/A','11111111111','11111111111.00','11111111111.000000','1111-11-11'))X</v>
      </c>
      <c r="M543" s="43" t="str">
        <f t="shared" si="8"/>
        <v>UNION ALL SELECT 'PROTECTION' AS TABELA, 'VALORES EXTREMOS' AS TIPOLOGIA_TESTE,'BU_LOANTAPE_WORK.LT004_PROTECTION' AS TABELA_LT,'N/A' AS TABELA_SIMUL,'RL_ESTT_CLLTRL_LCTN' AS CAMPO, '${ref_date}' AS REF_DATE, CAST(MIN(RL_ESTT_CLLTRL_LCTN) AS STRING) AS VALOR_MIN, CAST(MAX(RL_ESTT_CLLTRL_LCTN) AS STRING) AS VALOR_MAX,'10' AS ID_EXEC, CURRENT_TIMESTAMP() AS TIME_EXEC FROM (SELECT prtctn_id, RL_ESTT_CLLTRL_LCTN FROM BU_LOANTAPE_WORK.LT004_PROTECTION WHERE ref_date='${ref_date}' AND nome_perimetro='Individual Corporativo' AND segmento='ESTR' AND ambito='PILAR3' AND CAST(RL_ESTT_CLLTRL_LCTN AS STRING) NOT IN ('0000-00-00','0001-01-01','9999-12-31','MISS','00000','99999999999','99999999999.00','99999999999.000000','N/A','11111111111','11111111111.00','11111111111.000000','1111-11-11'))X</v>
      </c>
      <c r="N543" s="45" t="s">
        <v>13</v>
      </c>
    </row>
    <row r="544" spans="2:14">
      <c r="B544" s="41" t="s">
        <v>31</v>
      </c>
      <c r="C544" s="41" t="s">
        <v>226</v>
      </c>
      <c r="D544" s="41" t="str">
        <f>+UPPER('0. Instruções'!$D$33&amp;"."&amp;VLOOKUP(B544,'0. Instruções'!$C$27:$D$31,2,FALSE))</f>
        <v>BU_LOANTAPE_WORK.LT004_PROTECTION</v>
      </c>
      <c r="E544" s="41" t="str">
        <f>+UPPER('0. Instruções'!$D$34&amp;"."&amp;VLOOKUP(B544,'0. Instruções'!$C$27:$E$31,3,FALSE))</f>
        <v>BU_LOANTAPE_WORK.LT004_PROTECTION_P3_NOV24</v>
      </c>
      <c r="F544" s="41" t="s">
        <v>192</v>
      </c>
      <c r="G544" s="41" t="s">
        <v>13</v>
      </c>
      <c r="H544" s="41"/>
      <c r="I544" s="41" t="str">
        <f>"(SELECT "&amp;VLOOKUP(B544,'0. Instruções'!$C$27:$G$31,4,FALSE)&amp;", "&amp;F544&amp;" FROM "&amp;D544&amp;" WHERE "&amp;'0. Instruções'!$D$40&amp;")X"</f>
        <v>(SELECT prtctn_id, RL_ESTT_PST_CD FROM BU_LOANTAPE_WORK.LT004_PROTECTION WHERE ref_date='${ref_date}' AND nome_perimetro='Individual Corporativo' AND segmento='ESTR' AND ambito='PILAR3')X</v>
      </c>
      <c r="J544" s="41" t="str">
        <f>"(SELECT "&amp;VLOOKUP(B544,'0. Instruções'!$C$27:$G$31,4,FALSE)&amp;" AS "&amp;VLOOKUP(B544,'0. Instruções'!$C$27:$G$31,4,FALSE)&amp;"_SIMUL, "&amp;F544&amp;" AS "&amp;F544&amp;"_SIMUL FROM "&amp;E544&amp;")Y"</f>
        <v>(SELECT prtctn_id AS prtctn_id_SIMUL, RL_ESTT_PST_CD AS RL_ESTT_PST_CD_SIMUL FROM BU_LOANTAPE_WORK.LT004_PROTECTION_P3_NOV24)Y</v>
      </c>
      <c r="K544" s="42" t="str">
        <f>+UPPER("ON X."&amp;VLOOKUP(B544,'0. Instruções'!$C$27:$G$31,4,FALSE)&amp;"=Y."&amp;VLOOKUP(B544,'0. Instruções'!$C$27:$G$31,4,FALSE)&amp;"_SIMUL")</f>
        <v>ON X.PRTCTN_ID=Y.PRTCTN_ID_SIMUL</v>
      </c>
      <c r="L544" s="42" t="str">
        <f>+IF(C544="Coerência", +IF(LEFT(G544,5)="FLOAT","SELECT '"&amp;UPPER(B544)&amp;"' AS TABELA, '"&amp;UPPER(C544)&amp;"' AS TIPOLOGIA_TESTE,'"&amp;D544&amp;"' AS TABELA_LT,'"&amp;E544&amp;"' AS TABELA_SIMUL,'"&amp;F544&amp;"' AS CAMPO, "&amp;"'${ref_date}' AS REF_DATE, COUNT(*) AS NUM_REG, SUM(IF((ABS(COALESCE(X."&amp;F544&amp;",0)-COALESCE(Y."&amp;F544&amp;"_SIMUL,0))&gt;0.0000000001) OR (X."&amp;F544&amp;" IS NULL AND Y."&amp;F544&amp;"_SIMUL IS NOT NULL ) OR (X."&amp;F544&amp;" IS NOT NULL AND Y."&amp;F544&amp;"_SIMUL IS NULL),1,0)) AS NUM_REG_DIF,'"&amp;MAX('ID1&amp;5'!K:K)+1&amp;"' AS ID_EXEC, CURRENT_TIMESTAMP() AS TIME_EXEC FROM "&amp;I544&amp;" INNER JOIN "&amp;J544&amp;" "&amp;K544,"SELECT '"&amp;UPPER(B544)&amp;"' AS TABELA, '"&amp;UPPER(C544)&amp;"' AS TIPOLOGIA_TESTE,'"&amp;D544&amp;"' AS TABELA_LT,'"&amp;E544&amp;"' AS TABELA_SIMUL,'"&amp;F544&amp;"' AS CAMPO, "&amp;"'${ref_date}' AS REF_DATE, COUNT(*) AS NUM_REG, SUM(IF(COALESCE(CAST(X."&amp;F544&amp;" AS STRING),'')&lt;&gt;COALESCE(CAST(Y."&amp;F544&amp;"_SIMUL AS STRING),''),1,0)) AS NUM_REG_DIF,'"&amp;MAX('ID1&amp;5'!L:L)+1&amp;"' AS ID_EXEC, CURRENT_TIMESTAMP() AS TIME_EXEC FROM "&amp;I544&amp;" INNER JOIN "&amp;J544&amp;" "&amp;K544),
IF(C544="Validade",+IF(G544="Code List","SELECT '"&amp;UPPER(B544)&amp;"' AS TABELA, '"&amp;UPPER(C544)&amp;"' AS TIPOLOGIA_TESTE,'"&amp;D544&amp;"' AS TABELA_LT,'N/A' AS TABELA_SIMUL,'"&amp;F544&amp;"' AS CAMPO, "&amp;"'${ref_date}' AS REF_DATE, COUNT(*) AS NUM_REG, SUM(IF(TRIM(CAST(X."&amp;F544&amp;" AS STRING))='' OR TRIM(CAST(X."&amp;F544&amp;" AS STRING)) IS NULL OR CAST(X."&amp;F544&amp;" AS STRING) NOT "&amp;H544&amp;",1,0)) AS NUM_REG_DIF,'"&amp;MAX('ID1&amp;5'!K:K)+1&amp;"' AS ID_EXEC, CURRENT_TIMESTAMP() AS TIME_EXEC FROM "&amp;I544,"SELECT '"&amp;UPPER(B544)&amp;"' AS TABELA, '"&amp;UPPER(C544)&amp;"' AS TIPOLOGIA_TESTE,'"&amp;D544&amp;"' AS TABELA_LT,'N/A' AS TABELA_SIMUL,'"&amp;F544&amp;"' AS CAMPO, "&amp;"'${ref_date}' AS REF_DATE, COUNT(*) AS NUM_REG, SUM(IF(TRIM(CAST(X."&amp;F544&amp;" AS STRING))='' OR TRIM(CAST(X."&amp;F544&amp;" AS STRING)) IS NULL,1,0)) AS NUM_REG_DIF,'"&amp;MAX('ID1&amp;5'!K:K)+1&amp;"' AS ID_EXEC, CURRENT_TIMESTAMP() AS TIME_EXEC FROM "&amp;I544),
IF(C544="Caracteres Especiais",+"SELECT '"&amp;UPPER(B544)&amp;"' AS TABELA, '"&amp;UPPER(C544)&amp;"' AS TIPOLOGIA_TESTE,'"&amp;D544&amp;"' AS TABELA_LT,'N/A' AS TABELA_SIMUL,'"&amp;F544&amp;"' AS CAMPO, "&amp;"'${ref_date}' AS REF_DATE, COUNT(*) AS NUM_REG, SUM(IF(INSTR(CAST(X."&amp;F544&amp;" AS STRING),'#')&gt;0 OR INSTR(CAST(X."&amp;F544&amp;" AS STRING),'*')&gt;0 OR INSTR(CAST(X."&amp;F544&amp;" AS STRING),'`')&gt;0 OR INSTR(CAST(X."&amp;F544&amp;" AS STRING),'´')&gt;0 OR INSTR(CAST(X."&amp;F544&amp;" AS STRING),'{')&gt;0 OR INSTR(CAST(X."&amp;F544&amp;" AS STRING),'}')&gt;0 OR INSTR(CAST(X."&amp;F544&amp;" AS STRING),'[')&gt;0 OR INSTR(CAST(X."&amp;F544&amp;" AS STRING),'')&gt;0 OR INSTR(CAST(X."&amp;F544&amp;" AS STRING),']')&gt;0 OR INSTR(CAST(X."&amp;F544&amp;" AS STRING),'?')&gt;0 OR INSTR(CAST(X."&amp;F544&amp;" AS STRING),'!')&gt;0 OR INSTR(CAST(X."&amp;F544&amp;" AS STRING),'$')&gt;0 OR INSTR(CAST(X."&amp;F544&amp;" AS STRING),'%')&gt;0 OR INSTR(CAST(X."&amp;F544&amp;" AS STRING),'&amp;')&gt;0 OR INSTR(CAST(X."&amp;F544&amp;" AS STRING),'+')&gt;0,1,0)) AS NUM_REG_DIF,'"&amp;MAX('ID1&amp;5'!K:K)+1&amp;"' AS ID_EXEC, CURRENT_TIMESTAMP() AS TIME_EXEC FROM "&amp;I544,
IF(C544="Missings",+"SELECT '"&amp;UPPER(B544)&amp;"' AS TABELA, '"&amp;UPPER(C544)&amp;"' AS TIPOLOGIA_TESTE,'"&amp;D544&amp;"' AS TABELA_LT,'N/A' AS TABELA_SIMUL,'"&amp;F544&amp;"' AS CAMPO, "&amp;"'${ref_date}' AS REF_DATE, COUNT(*) AS NUM_REG, SUM(IF(TRIM(CAST(X."&amp;F544&amp;" AS STRING)) IN ('0000-00-00','0001-01-01','9999-12-31','MISS','00000','99999999999','99999999999.00','99999999999.000000'),1,0)) AS NUM_REG_DIF,'"&amp;MAX('ID1&amp;5'!K:K)+1&amp;"' AS ID_EXEC, CURRENT_TIMESTAMP() AS TIME_EXEC FROM "&amp;I544,
IF(C544="Not applicable",+"SELECT '"&amp;UPPER(B544)&amp;"' AS TABELA, '"&amp;UPPER(C544)&amp;"' AS TIPOLOGIA_TESTE,'"&amp;D544&amp;"' AS TABELA_LT,'N/A' AS TABELA_SIMUL,'"&amp;F544&amp;"' AS CAMPO, "&amp;"'${ref_date}' AS REF_DATE, COUNT(*) AS NUM_REG, SUM(IF(TRIM(CAST(X."&amp;F544&amp;" AS STRING)) IN ('N/A','11111111111','11111111111.00','11111111111.000000','1111-11-11'),1,0)) AS NUM_REG_DIF,'"&amp;MAX('ID1&amp;5'!K:K)+1&amp;"' AS ID_EXEC, CURRENT_TIMESTAMP() AS TIME_EXEC FROM "&amp;I544,
IF(C544="Valores extremos",+"SELECT '"&amp;UPPER(B544)&amp;"' AS TABELA, '"&amp;UPPER(C544)&amp;"' AS TIPOLOGIA_TESTE,'"&amp;D544&amp;"' AS TABELA_LT,'N/A' AS TABELA_SIMUL,'"&amp;F544&amp;"' AS CAMPO, "&amp;"'${ref_date}' AS REF_DATE, CAST(MIN("&amp;F544&amp;") AS STRING) AS VALOR_MIN, CAST(MAX("&amp;F544&amp;") AS STRING) AS VALOR_MAX,'"&amp;MAX('ID1&amp;5'!K:K)+1&amp;"' AS ID_EXEC, CURRENT_TIMESTAMP() AS TIME_EXEC FROM "&amp;MID(I544,1,LEN(I544)-2)&amp;" AND CAST("&amp;F544&amp;"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TABELA_SIMUL,'RL_ESTT_PST_CD' AS CAMPO, '${ref_date}' AS REF_DATE, CAST(MIN(RL_ESTT_PST_CD) AS STRING) AS VALOR_MIN, CAST(MAX(RL_ESTT_PST_CD) AS STRING) AS VALOR_MAX,'10' AS ID_EXEC, CURRENT_TIMESTAMP() AS TIME_EXEC FROM (SELECT prtctn_id, RL_ESTT_PST_CD FROM BU_LOANTAPE_WORK.LT004_PROTECTION WHERE ref_date='${ref_date}' AND nome_perimetro='Individual Corporativo' AND segmento='ESTR' AND ambito='PILAR3' AND CAST(RL_ESTT_PST_CD AS STRING) NOT IN ('0000-00-00','0001-01-01','9999-12-31','MISS','00000','99999999999','99999999999.00','99999999999.000000','N/A','11111111111','11111111111.00','11111111111.000000','1111-11-11'))X</v>
      </c>
      <c r="M544" s="43" t="str">
        <f t="shared" ref="M544:M548" si="9">+"UNION ALL "&amp;L544</f>
        <v>UNION ALL SELECT 'PROTECTION' AS TABELA, 'VALORES EXTREMOS' AS TIPOLOGIA_TESTE,'BU_LOANTAPE_WORK.LT004_PROTECTION' AS TABELA_LT,'N/A' AS TABELA_SIMUL,'RL_ESTT_PST_CD' AS CAMPO, '${ref_date}' AS REF_DATE, CAST(MIN(RL_ESTT_PST_CD) AS STRING) AS VALOR_MIN, CAST(MAX(RL_ESTT_PST_CD) AS STRING) AS VALOR_MAX,'10' AS ID_EXEC, CURRENT_TIMESTAMP() AS TIME_EXEC FROM (SELECT prtctn_id, RL_ESTT_PST_CD FROM BU_LOANTAPE_WORK.LT004_PROTECTION WHERE ref_date='${ref_date}' AND nome_perimetro='Individual Corporativo' AND segmento='ESTR' AND ambito='PILAR3' AND CAST(RL_ESTT_PST_CD AS STRING) NOT IN ('0000-00-00','0001-01-01','9999-12-31','MISS','00000','99999999999','99999999999.00','99999999999.000000','N/A','11111111111','11111111111.00','11111111111.000000','1111-11-11'))X</v>
      </c>
      <c r="N544" s="45" t="s">
        <v>13</v>
      </c>
    </row>
    <row r="545" spans="2:14">
      <c r="B545" s="41" t="s">
        <v>31</v>
      </c>
      <c r="C545" s="41" t="s">
        <v>226</v>
      </c>
      <c r="D545" s="41" t="str">
        <f>+UPPER('0. Instruções'!$D$33&amp;"."&amp;VLOOKUP(B545,'0. Instruções'!$C$27:$D$31,2,FALSE))</f>
        <v>BU_LOANTAPE_WORK.LT004_PROTECTION</v>
      </c>
      <c r="E545" s="41" t="str">
        <f>+UPPER('0. Instruções'!$D$34&amp;"."&amp;VLOOKUP(B545,'0. Instruções'!$C$27:$E$31,3,FALSE))</f>
        <v>BU_LOANTAPE_WORK.LT004_PROTECTION_P3_NOV24</v>
      </c>
      <c r="F545" s="41" t="s">
        <v>193</v>
      </c>
      <c r="G545" s="41" t="s">
        <v>13</v>
      </c>
      <c r="H545" s="41"/>
      <c r="I545" s="41" t="str">
        <f>"(SELECT "&amp;VLOOKUP(B545,'0. Instruções'!$C$27:$G$31,4,FALSE)&amp;", "&amp;F545&amp;" FROM "&amp;D545&amp;" WHERE "&amp;'0. Instruções'!$D$40&amp;")X"</f>
        <v>(SELECT prtctn_id, TYP_PRTCTN FROM BU_LOANTAPE_WORK.LT004_PROTECTION WHERE ref_date='${ref_date}' AND nome_perimetro='Individual Corporativo' AND segmento='ESTR' AND ambito='PILAR3')X</v>
      </c>
      <c r="J545" s="41" t="str">
        <f>"(SELECT "&amp;VLOOKUP(B545,'0. Instruções'!$C$27:$G$31,4,FALSE)&amp;" AS "&amp;VLOOKUP(B545,'0. Instruções'!$C$27:$G$31,4,FALSE)&amp;"_SIMUL, "&amp;F545&amp;" AS "&amp;F545&amp;"_SIMUL FROM "&amp;E545&amp;")Y"</f>
        <v>(SELECT prtctn_id AS prtctn_id_SIMUL, TYP_PRTCTN AS TYP_PRTCTN_SIMUL FROM BU_LOANTAPE_WORK.LT004_PROTECTION_P3_NOV24)Y</v>
      </c>
      <c r="K545" s="42" t="str">
        <f>+UPPER("ON X."&amp;VLOOKUP(B545,'0. Instruções'!$C$27:$G$31,4,FALSE)&amp;"=Y."&amp;VLOOKUP(B545,'0. Instruções'!$C$27:$G$31,4,FALSE)&amp;"_SIMUL")</f>
        <v>ON X.PRTCTN_ID=Y.PRTCTN_ID_SIMUL</v>
      </c>
      <c r="L545" s="42" t="str">
        <f>+IF(C545="Coerência", +IF(LEFT(G545,5)="FLOAT","SELECT '"&amp;UPPER(B545)&amp;"' AS TABELA, '"&amp;UPPER(C545)&amp;"' AS TIPOLOGIA_TESTE,'"&amp;D545&amp;"' AS TABELA_LT,'"&amp;E545&amp;"' AS TABELA_SIMUL,'"&amp;F545&amp;"' AS CAMPO, "&amp;"'${ref_date}' AS REF_DATE, COUNT(*) AS NUM_REG, SUM(IF((ABS(COALESCE(X."&amp;F545&amp;",0)-COALESCE(Y."&amp;F545&amp;"_SIMUL,0))&gt;0.0000000001) OR (X."&amp;F545&amp;" IS NULL AND Y."&amp;F545&amp;"_SIMUL IS NOT NULL ) OR (X."&amp;F545&amp;" IS NOT NULL AND Y."&amp;F545&amp;"_SIMUL IS NULL),1,0)) AS NUM_REG_DIF,'"&amp;MAX('ID1&amp;5'!K:K)+1&amp;"' AS ID_EXEC, CURRENT_TIMESTAMP() AS TIME_EXEC FROM "&amp;I545&amp;" INNER JOIN "&amp;J545&amp;" "&amp;K545,"SELECT '"&amp;UPPER(B545)&amp;"' AS TABELA, '"&amp;UPPER(C545)&amp;"' AS TIPOLOGIA_TESTE,'"&amp;D545&amp;"' AS TABELA_LT,'"&amp;E545&amp;"' AS TABELA_SIMUL,'"&amp;F545&amp;"' AS CAMPO, "&amp;"'${ref_date}' AS REF_DATE, COUNT(*) AS NUM_REG, SUM(IF(COALESCE(CAST(X."&amp;F545&amp;" AS STRING),'')&lt;&gt;COALESCE(CAST(Y."&amp;F545&amp;"_SIMUL AS STRING),''),1,0)) AS NUM_REG_DIF,'"&amp;MAX('ID1&amp;5'!L:L)+1&amp;"' AS ID_EXEC, CURRENT_TIMESTAMP() AS TIME_EXEC FROM "&amp;I545&amp;" INNER JOIN "&amp;J545&amp;" "&amp;K545),
IF(C545="Validade",+IF(G545="Code List","SELECT '"&amp;UPPER(B545)&amp;"' AS TABELA, '"&amp;UPPER(C545)&amp;"' AS TIPOLOGIA_TESTE,'"&amp;D545&amp;"' AS TABELA_LT,'N/A' AS TABELA_SIMUL,'"&amp;F545&amp;"' AS CAMPO, "&amp;"'${ref_date}' AS REF_DATE, COUNT(*) AS NUM_REG, SUM(IF(TRIM(CAST(X."&amp;F545&amp;" AS STRING))='' OR TRIM(CAST(X."&amp;F545&amp;" AS STRING)) IS NULL OR CAST(X."&amp;F545&amp;" AS STRING) NOT "&amp;H545&amp;",1,0)) AS NUM_REG_DIF,'"&amp;MAX('ID1&amp;5'!K:K)+1&amp;"' AS ID_EXEC, CURRENT_TIMESTAMP() AS TIME_EXEC FROM "&amp;I545,"SELECT '"&amp;UPPER(B545)&amp;"' AS TABELA, '"&amp;UPPER(C545)&amp;"' AS TIPOLOGIA_TESTE,'"&amp;D545&amp;"' AS TABELA_LT,'N/A' AS TABELA_SIMUL,'"&amp;F545&amp;"' AS CAMPO, "&amp;"'${ref_date}' AS REF_DATE, COUNT(*) AS NUM_REG, SUM(IF(TRIM(CAST(X."&amp;F545&amp;" AS STRING))='' OR TRIM(CAST(X."&amp;F545&amp;" AS STRING)) IS NULL,1,0)) AS NUM_REG_DIF,'"&amp;MAX('ID1&amp;5'!K:K)+1&amp;"' AS ID_EXEC, CURRENT_TIMESTAMP() AS TIME_EXEC FROM "&amp;I545),
IF(C545="Caracteres Especiais",+"SELECT '"&amp;UPPER(B545)&amp;"' AS TABELA, '"&amp;UPPER(C545)&amp;"' AS TIPOLOGIA_TESTE,'"&amp;D545&amp;"' AS TABELA_LT,'N/A' AS TABELA_SIMUL,'"&amp;F545&amp;"' AS CAMPO, "&amp;"'${ref_date}' AS REF_DATE, COUNT(*) AS NUM_REG, SUM(IF(INSTR(CAST(X."&amp;F545&amp;" AS STRING),'#')&gt;0 OR INSTR(CAST(X."&amp;F545&amp;" AS STRING),'*')&gt;0 OR INSTR(CAST(X."&amp;F545&amp;" AS STRING),'`')&gt;0 OR INSTR(CAST(X."&amp;F545&amp;" AS STRING),'´')&gt;0 OR INSTR(CAST(X."&amp;F545&amp;" AS STRING),'{')&gt;0 OR INSTR(CAST(X."&amp;F545&amp;" AS STRING),'}')&gt;0 OR INSTR(CAST(X."&amp;F545&amp;" AS STRING),'[')&gt;0 OR INSTR(CAST(X."&amp;F545&amp;" AS STRING),'')&gt;0 OR INSTR(CAST(X."&amp;F545&amp;" AS STRING),']')&gt;0 OR INSTR(CAST(X."&amp;F545&amp;" AS STRING),'?')&gt;0 OR INSTR(CAST(X."&amp;F545&amp;" AS STRING),'!')&gt;0 OR INSTR(CAST(X."&amp;F545&amp;" AS STRING),'$')&gt;0 OR INSTR(CAST(X."&amp;F545&amp;" AS STRING),'%')&gt;0 OR INSTR(CAST(X."&amp;F545&amp;" AS STRING),'&amp;')&gt;0 OR INSTR(CAST(X."&amp;F545&amp;" AS STRING),'+')&gt;0,1,0)) AS NUM_REG_DIF,'"&amp;MAX('ID1&amp;5'!K:K)+1&amp;"' AS ID_EXEC, CURRENT_TIMESTAMP() AS TIME_EXEC FROM "&amp;I545,
IF(C545="Missings",+"SELECT '"&amp;UPPER(B545)&amp;"' AS TABELA, '"&amp;UPPER(C545)&amp;"' AS TIPOLOGIA_TESTE,'"&amp;D545&amp;"' AS TABELA_LT,'N/A' AS TABELA_SIMUL,'"&amp;F545&amp;"' AS CAMPO, "&amp;"'${ref_date}' AS REF_DATE, COUNT(*) AS NUM_REG, SUM(IF(TRIM(CAST(X."&amp;F545&amp;" AS STRING)) IN ('0000-00-00','0001-01-01','9999-12-31','MISS','00000','99999999999','99999999999.00','99999999999.000000'),1,0)) AS NUM_REG_DIF,'"&amp;MAX('ID1&amp;5'!K:K)+1&amp;"' AS ID_EXEC, CURRENT_TIMESTAMP() AS TIME_EXEC FROM "&amp;I545,
IF(C545="Not applicable",+"SELECT '"&amp;UPPER(B545)&amp;"' AS TABELA, '"&amp;UPPER(C545)&amp;"' AS TIPOLOGIA_TESTE,'"&amp;D545&amp;"' AS TABELA_LT,'N/A' AS TABELA_SIMUL,'"&amp;F545&amp;"' AS CAMPO, "&amp;"'${ref_date}' AS REF_DATE, COUNT(*) AS NUM_REG, SUM(IF(TRIM(CAST(X."&amp;F545&amp;" AS STRING)) IN ('N/A','11111111111','11111111111.00','11111111111.000000','1111-11-11'),1,0)) AS NUM_REG_DIF,'"&amp;MAX('ID1&amp;5'!K:K)+1&amp;"' AS ID_EXEC, CURRENT_TIMESTAMP() AS TIME_EXEC FROM "&amp;I545,
IF(C545="Valores extremos",+"SELECT '"&amp;UPPER(B545)&amp;"' AS TABELA, '"&amp;UPPER(C545)&amp;"' AS TIPOLOGIA_TESTE,'"&amp;D545&amp;"' AS TABELA_LT,'N/A' AS TABELA_SIMUL,'"&amp;F545&amp;"' AS CAMPO, "&amp;"'${ref_date}' AS REF_DATE, CAST(MIN("&amp;F545&amp;") AS STRING) AS VALOR_MIN, CAST(MAX("&amp;F545&amp;") AS STRING) AS VALOR_MAX,'"&amp;MAX('ID1&amp;5'!K:K)+1&amp;"' AS ID_EXEC, CURRENT_TIMESTAMP() AS TIME_EXEC FROM "&amp;MID(I545,1,LEN(I545)-2)&amp;" AND CAST("&amp;F545&amp;"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TABELA_SIMUL,'TYP_PRTCTN' AS CAMPO, '${ref_date}' AS REF_DATE, CAST(MIN(TYP_PRTCTN) AS STRING) AS VALOR_MIN, CAST(MAX(TYP_PRTCTN) AS STRING) AS VALOR_MAX,'10' AS ID_EXEC, CURRENT_TIMESTAMP() AS TIME_EXEC FROM (SELECT prtctn_id, TYP_PRTCTN FROM BU_LOANTAPE_WORK.LT004_PROTECTION WHERE ref_date='${ref_date}' AND nome_perimetro='Individual Corporativo' AND segmento='ESTR' AND ambito='PILAR3' AND CAST(TYP_PRTCTN AS STRING) NOT IN ('0000-00-00','0001-01-01','9999-12-31','MISS','00000','99999999999','99999999999.00','99999999999.000000','N/A','11111111111','11111111111.00','11111111111.000000','1111-11-11'))X</v>
      </c>
      <c r="M545" s="43" t="str">
        <f t="shared" si="9"/>
        <v>UNION ALL SELECT 'PROTECTION' AS TABELA, 'VALORES EXTREMOS' AS TIPOLOGIA_TESTE,'BU_LOANTAPE_WORK.LT004_PROTECTION' AS TABELA_LT,'N/A' AS TABELA_SIMUL,'TYP_PRTCTN' AS CAMPO, '${ref_date}' AS REF_DATE, CAST(MIN(TYP_PRTCTN) AS STRING) AS VALOR_MIN, CAST(MAX(TYP_PRTCTN) AS STRING) AS VALOR_MAX,'10' AS ID_EXEC, CURRENT_TIMESTAMP() AS TIME_EXEC FROM (SELECT prtctn_id, TYP_PRTCTN FROM BU_LOANTAPE_WORK.LT004_PROTECTION WHERE ref_date='${ref_date}' AND nome_perimetro='Individual Corporativo' AND segmento='ESTR' AND ambito='PILAR3' AND CAST(TYP_PRTCTN AS STRING) NOT IN ('0000-00-00','0001-01-01','9999-12-31','MISS','00000','99999999999','99999999999.00','99999999999.000000','N/A','11111111111','11111111111.00','11111111111.000000','1111-11-11'))X</v>
      </c>
      <c r="N545" s="45" t="s">
        <v>13</v>
      </c>
    </row>
    <row r="546" spans="2:14">
      <c r="B546" s="41" t="s">
        <v>31</v>
      </c>
      <c r="C546" s="41" t="s">
        <v>226</v>
      </c>
      <c r="D546" s="41" t="str">
        <f>+UPPER('0. Instruções'!$D$33&amp;"."&amp;VLOOKUP(B546,'0. Instruções'!$C$27:$D$31,2,FALSE))</f>
        <v>BU_LOANTAPE_WORK.LT004_PROTECTION</v>
      </c>
      <c r="E546" s="41" t="str">
        <f>+UPPER('0. Instruções'!$D$34&amp;"."&amp;VLOOKUP(B546,'0. Instruções'!$C$27:$E$31,3,FALSE))</f>
        <v>BU_LOANTAPE_WORK.LT004_PROTECTION_P3_NOV24</v>
      </c>
      <c r="F546" s="41" t="s">
        <v>194</v>
      </c>
      <c r="G546" s="41" t="s">
        <v>13</v>
      </c>
      <c r="H546" s="41"/>
      <c r="I546" s="41" t="str">
        <f>"(SELECT "&amp;VLOOKUP(B546,'0. Instruções'!$C$27:$G$31,4,FALSE)&amp;", "&amp;F546&amp;" FROM "&amp;D546&amp;" WHERE "&amp;'0. Instruções'!$D$40&amp;")X"</f>
        <v>(SELECT prtctn_id, ORGNL_PRTCTN_VL FROM BU_LOANTAPE_WORK.LT004_PROTECTION WHERE ref_date='${ref_date}' AND nome_perimetro='Individual Corporativo' AND segmento='ESTR' AND ambito='PILAR3')X</v>
      </c>
      <c r="J546" s="41" t="str">
        <f>"(SELECT "&amp;VLOOKUP(B546,'0. Instruções'!$C$27:$G$31,4,FALSE)&amp;" AS "&amp;VLOOKUP(B546,'0. Instruções'!$C$27:$G$31,4,FALSE)&amp;"_SIMUL, "&amp;F546&amp;" AS "&amp;F546&amp;"_SIMUL FROM "&amp;E546&amp;")Y"</f>
        <v>(SELECT prtctn_id AS prtctn_id_SIMUL, ORGNL_PRTCTN_VL AS ORGNL_PRTCTN_VL_SIMUL FROM BU_LOANTAPE_WORK.LT004_PROTECTION_P3_NOV24)Y</v>
      </c>
      <c r="K546" s="42" t="str">
        <f>+UPPER("ON X."&amp;VLOOKUP(B546,'0. Instruções'!$C$27:$G$31,4,FALSE)&amp;"=Y."&amp;VLOOKUP(B546,'0. Instruções'!$C$27:$G$31,4,FALSE)&amp;"_SIMUL")</f>
        <v>ON X.PRTCTN_ID=Y.PRTCTN_ID_SIMUL</v>
      </c>
      <c r="L546" s="42" t="str">
        <f>+IF(C546="Coerência", +IF(LEFT(G546,5)="FLOAT","SELECT '"&amp;UPPER(B546)&amp;"' AS TABELA, '"&amp;UPPER(C546)&amp;"' AS TIPOLOGIA_TESTE,'"&amp;D546&amp;"' AS TABELA_LT,'"&amp;E546&amp;"' AS TABELA_SIMUL,'"&amp;F546&amp;"' AS CAMPO, "&amp;"'${ref_date}' AS REF_DATE, COUNT(*) AS NUM_REG, SUM(IF((ABS(COALESCE(X."&amp;F546&amp;",0)-COALESCE(Y."&amp;F546&amp;"_SIMUL,0))&gt;0.0000000001) OR (X."&amp;F546&amp;" IS NULL AND Y."&amp;F546&amp;"_SIMUL IS NOT NULL ) OR (X."&amp;F546&amp;" IS NOT NULL AND Y."&amp;F546&amp;"_SIMUL IS NULL),1,0)) AS NUM_REG_DIF,'"&amp;MAX('ID1&amp;5'!K:K)+1&amp;"' AS ID_EXEC, CURRENT_TIMESTAMP() AS TIME_EXEC FROM "&amp;I546&amp;" INNER JOIN "&amp;J546&amp;" "&amp;K546,"SELECT '"&amp;UPPER(B546)&amp;"' AS TABELA, '"&amp;UPPER(C546)&amp;"' AS TIPOLOGIA_TESTE,'"&amp;D546&amp;"' AS TABELA_LT,'"&amp;E546&amp;"' AS TABELA_SIMUL,'"&amp;F546&amp;"' AS CAMPO, "&amp;"'${ref_date}' AS REF_DATE, COUNT(*) AS NUM_REG, SUM(IF(COALESCE(CAST(X."&amp;F546&amp;" AS STRING),'')&lt;&gt;COALESCE(CAST(Y."&amp;F546&amp;"_SIMUL AS STRING),''),1,0)) AS NUM_REG_DIF,'"&amp;MAX('ID1&amp;5'!L:L)+1&amp;"' AS ID_EXEC, CURRENT_TIMESTAMP() AS TIME_EXEC FROM "&amp;I546&amp;" INNER JOIN "&amp;J546&amp;" "&amp;K546),
IF(C546="Validade",+IF(G546="Code List","SELECT '"&amp;UPPER(B546)&amp;"' AS TABELA, '"&amp;UPPER(C546)&amp;"' AS TIPOLOGIA_TESTE,'"&amp;D546&amp;"' AS TABELA_LT,'N/A' AS TABELA_SIMUL,'"&amp;F546&amp;"' AS CAMPO, "&amp;"'${ref_date}' AS REF_DATE, COUNT(*) AS NUM_REG, SUM(IF(TRIM(CAST(X."&amp;F546&amp;" AS STRING))='' OR TRIM(CAST(X."&amp;F546&amp;" AS STRING)) IS NULL OR CAST(X."&amp;F546&amp;" AS STRING) NOT "&amp;H546&amp;",1,0)) AS NUM_REG_DIF,'"&amp;MAX('ID1&amp;5'!K:K)+1&amp;"' AS ID_EXEC, CURRENT_TIMESTAMP() AS TIME_EXEC FROM "&amp;I546,"SELECT '"&amp;UPPER(B546)&amp;"' AS TABELA, '"&amp;UPPER(C546)&amp;"' AS TIPOLOGIA_TESTE,'"&amp;D546&amp;"' AS TABELA_LT,'N/A' AS TABELA_SIMUL,'"&amp;F546&amp;"' AS CAMPO, "&amp;"'${ref_date}' AS REF_DATE, COUNT(*) AS NUM_REG, SUM(IF(TRIM(CAST(X."&amp;F546&amp;" AS STRING))='' OR TRIM(CAST(X."&amp;F546&amp;" AS STRING)) IS NULL,1,0)) AS NUM_REG_DIF,'"&amp;MAX('ID1&amp;5'!K:K)+1&amp;"' AS ID_EXEC, CURRENT_TIMESTAMP() AS TIME_EXEC FROM "&amp;I546),
IF(C546="Caracteres Especiais",+"SELECT '"&amp;UPPER(B546)&amp;"' AS TABELA, '"&amp;UPPER(C546)&amp;"' AS TIPOLOGIA_TESTE,'"&amp;D546&amp;"' AS TABELA_LT,'N/A' AS TABELA_SIMUL,'"&amp;F546&amp;"' AS CAMPO, "&amp;"'${ref_date}' AS REF_DATE, COUNT(*) AS NUM_REG, SUM(IF(INSTR(CAST(X."&amp;F546&amp;" AS STRING),'#')&gt;0 OR INSTR(CAST(X."&amp;F546&amp;" AS STRING),'*')&gt;0 OR INSTR(CAST(X."&amp;F546&amp;" AS STRING),'`')&gt;0 OR INSTR(CAST(X."&amp;F546&amp;" AS STRING),'´')&gt;0 OR INSTR(CAST(X."&amp;F546&amp;" AS STRING),'{')&gt;0 OR INSTR(CAST(X."&amp;F546&amp;" AS STRING),'}')&gt;0 OR INSTR(CAST(X."&amp;F546&amp;" AS STRING),'[')&gt;0 OR INSTR(CAST(X."&amp;F546&amp;" AS STRING),'')&gt;0 OR INSTR(CAST(X."&amp;F546&amp;" AS STRING),']')&gt;0 OR INSTR(CAST(X."&amp;F546&amp;" AS STRING),'?')&gt;0 OR INSTR(CAST(X."&amp;F546&amp;" AS STRING),'!')&gt;0 OR INSTR(CAST(X."&amp;F546&amp;" AS STRING),'$')&gt;0 OR INSTR(CAST(X."&amp;F546&amp;" AS STRING),'%')&gt;0 OR INSTR(CAST(X."&amp;F546&amp;" AS STRING),'&amp;')&gt;0 OR INSTR(CAST(X."&amp;F546&amp;" AS STRING),'+')&gt;0,1,0)) AS NUM_REG_DIF,'"&amp;MAX('ID1&amp;5'!K:K)+1&amp;"' AS ID_EXEC, CURRENT_TIMESTAMP() AS TIME_EXEC FROM "&amp;I546,
IF(C546="Missings",+"SELECT '"&amp;UPPER(B546)&amp;"' AS TABELA, '"&amp;UPPER(C546)&amp;"' AS TIPOLOGIA_TESTE,'"&amp;D546&amp;"' AS TABELA_LT,'N/A' AS TABELA_SIMUL,'"&amp;F546&amp;"' AS CAMPO, "&amp;"'${ref_date}' AS REF_DATE, COUNT(*) AS NUM_REG, SUM(IF(TRIM(CAST(X."&amp;F546&amp;" AS STRING)) IN ('0000-00-00','0001-01-01','9999-12-31','MISS','00000','99999999999','99999999999.00','99999999999.000000'),1,0)) AS NUM_REG_DIF,'"&amp;MAX('ID1&amp;5'!K:K)+1&amp;"' AS ID_EXEC, CURRENT_TIMESTAMP() AS TIME_EXEC FROM "&amp;I546,
IF(C546="Not applicable",+"SELECT '"&amp;UPPER(B546)&amp;"' AS TABELA, '"&amp;UPPER(C546)&amp;"' AS TIPOLOGIA_TESTE,'"&amp;D546&amp;"' AS TABELA_LT,'N/A' AS TABELA_SIMUL,'"&amp;F546&amp;"' AS CAMPO, "&amp;"'${ref_date}' AS REF_DATE, COUNT(*) AS NUM_REG, SUM(IF(TRIM(CAST(X."&amp;F546&amp;" AS STRING)) IN ('N/A','11111111111','11111111111.00','11111111111.000000','1111-11-11'),1,0)) AS NUM_REG_DIF,'"&amp;MAX('ID1&amp;5'!K:K)+1&amp;"' AS ID_EXEC, CURRENT_TIMESTAMP() AS TIME_EXEC FROM "&amp;I546,
IF(C546="Valores extremos",+"SELECT '"&amp;UPPER(B546)&amp;"' AS TABELA, '"&amp;UPPER(C546)&amp;"' AS TIPOLOGIA_TESTE,'"&amp;D546&amp;"' AS TABELA_LT,'N/A' AS TABELA_SIMUL,'"&amp;F546&amp;"' AS CAMPO, "&amp;"'${ref_date}' AS REF_DATE, CAST(MIN("&amp;F546&amp;") AS STRING) AS VALOR_MIN, CAST(MAX("&amp;F546&amp;") AS STRING) AS VALOR_MAX,'"&amp;MAX('ID1&amp;5'!K:K)+1&amp;"' AS ID_EXEC, CURRENT_TIMESTAMP() AS TIME_EXEC FROM "&amp;MID(I546,1,LEN(I546)-2)&amp;" AND CAST("&amp;F546&amp;"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TABELA_SIMUL,'ORGNL_PRTCTN_VL' AS CAMPO, '${ref_date}' AS REF_DATE, CAST(MIN(ORGNL_PRTCTN_VL) AS STRING) AS VALOR_MIN, CAST(MAX(ORGNL_PRTCTN_VL) AS STRING) AS VALOR_MAX,'10' AS ID_EXEC, CURRENT_TIMESTAMP() AS TIME_EXEC FROM (SELECT prtctn_id, ORGNL_PRTCTN_VL FROM BU_LOANTAPE_WORK.LT004_PROTECTION WHERE ref_date='${ref_date}' AND nome_perimetro='Individual Corporativo' AND segmento='ESTR' AND ambito='PILAR3' AND CAST(ORGNL_PRTCTN_VL AS STRING) NOT IN ('0000-00-00','0001-01-01','9999-12-31','MISS','00000','99999999999','99999999999.00','99999999999.000000','N/A','11111111111','11111111111.00','11111111111.000000','1111-11-11'))X</v>
      </c>
      <c r="M546" s="43" t="str">
        <f t="shared" si="9"/>
        <v>UNION ALL SELECT 'PROTECTION' AS TABELA, 'VALORES EXTREMOS' AS TIPOLOGIA_TESTE,'BU_LOANTAPE_WORK.LT004_PROTECTION' AS TABELA_LT,'N/A' AS TABELA_SIMUL,'ORGNL_PRTCTN_VL' AS CAMPO, '${ref_date}' AS REF_DATE, CAST(MIN(ORGNL_PRTCTN_VL) AS STRING) AS VALOR_MIN, CAST(MAX(ORGNL_PRTCTN_VL) AS STRING) AS VALOR_MAX,'10' AS ID_EXEC, CURRENT_TIMESTAMP() AS TIME_EXEC FROM (SELECT prtctn_id, ORGNL_PRTCTN_VL FROM BU_LOANTAPE_WORK.LT004_PROTECTION WHERE ref_date='${ref_date}' AND nome_perimetro='Individual Corporativo' AND segmento='ESTR' AND ambito='PILAR3' AND CAST(ORGNL_PRTCTN_VL AS STRING) NOT IN ('0000-00-00','0001-01-01','9999-12-31','MISS','00000','99999999999','99999999999.00','99999999999.000000','N/A','11111111111','11111111111.00','11111111111.000000','1111-11-11'))X</v>
      </c>
      <c r="N546" s="45" t="s">
        <v>13</v>
      </c>
    </row>
    <row r="547" spans="2:14">
      <c r="B547" s="41" t="s">
        <v>31</v>
      </c>
      <c r="C547" s="41" t="s">
        <v>226</v>
      </c>
      <c r="D547" s="41" t="str">
        <f>+UPPER('0. Instruções'!$D$33&amp;"."&amp;VLOOKUP(B547,'0. Instruções'!$C$27:$D$31,2,FALSE))</f>
        <v>BU_LOANTAPE_WORK.LT004_PROTECTION</v>
      </c>
      <c r="E547" s="41" t="str">
        <f>+UPPER('0. Instruções'!$D$34&amp;"."&amp;VLOOKUP(B547,'0. Instruções'!$C$27:$E$31,3,FALSE))</f>
        <v>BU_LOANTAPE_WORK.LT004_PROTECTION_P3_NOV24</v>
      </c>
      <c r="F547" s="41" t="s">
        <v>195</v>
      </c>
      <c r="G547" s="41" t="s">
        <v>13</v>
      </c>
      <c r="H547" s="41"/>
      <c r="I547" s="41" t="str">
        <f>"(SELECT "&amp;VLOOKUP(B547,'0. Instruções'!$C$27:$G$31,4,FALSE)&amp;", "&amp;F547&amp;" FROM "&amp;D547&amp;" WHERE "&amp;'0. Instruções'!$D$40&amp;")X"</f>
        <v>(SELECT prtctn_id, PRTCTN_VL FROM BU_LOANTAPE_WORK.LT004_PROTECTION WHERE ref_date='${ref_date}' AND nome_perimetro='Individual Corporativo' AND segmento='ESTR' AND ambito='PILAR3')X</v>
      </c>
      <c r="J547" s="41" t="str">
        <f>"(SELECT "&amp;VLOOKUP(B547,'0. Instruções'!$C$27:$G$31,4,FALSE)&amp;" AS "&amp;VLOOKUP(B547,'0. Instruções'!$C$27:$G$31,4,FALSE)&amp;"_SIMUL, "&amp;F547&amp;" AS "&amp;F547&amp;"_SIMUL FROM "&amp;E547&amp;")Y"</f>
        <v>(SELECT prtctn_id AS prtctn_id_SIMUL, PRTCTN_VL AS PRTCTN_VL_SIMUL FROM BU_LOANTAPE_WORK.LT004_PROTECTION_P3_NOV24)Y</v>
      </c>
      <c r="K547" s="42" t="str">
        <f>+UPPER("ON X."&amp;VLOOKUP(B547,'0. Instruções'!$C$27:$G$31,4,FALSE)&amp;"=Y."&amp;VLOOKUP(B547,'0. Instruções'!$C$27:$G$31,4,FALSE)&amp;"_SIMUL")</f>
        <v>ON X.PRTCTN_ID=Y.PRTCTN_ID_SIMUL</v>
      </c>
      <c r="L547" s="42" t="str">
        <f>+IF(C547="Coerência", +IF(LEFT(G547,5)="FLOAT","SELECT '"&amp;UPPER(B547)&amp;"' AS TABELA, '"&amp;UPPER(C547)&amp;"' AS TIPOLOGIA_TESTE,'"&amp;D547&amp;"' AS TABELA_LT,'"&amp;E547&amp;"' AS TABELA_SIMUL,'"&amp;F547&amp;"' AS CAMPO, "&amp;"'${ref_date}' AS REF_DATE, COUNT(*) AS NUM_REG, SUM(IF((ABS(COALESCE(X."&amp;F547&amp;",0)-COALESCE(Y."&amp;F547&amp;"_SIMUL,0))&gt;0.0000000001) OR (X."&amp;F547&amp;" IS NULL AND Y."&amp;F547&amp;"_SIMUL IS NOT NULL ) OR (X."&amp;F547&amp;" IS NOT NULL AND Y."&amp;F547&amp;"_SIMUL IS NULL),1,0)) AS NUM_REG_DIF,'"&amp;MAX('ID1&amp;5'!K:K)+1&amp;"' AS ID_EXEC, CURRENT_TIMESTAMP() AS TIME_EXEC FROM "&amp;I547&amp;" INNER JOIN "&amp;J547&amp;" "&amp;K547,"SELECT '"&amp;UPPER(B547)&amp;"' AS TABELA, '"&amp;UPPER(C547)&amp;"' AS TIPOLOGIA_TESTE,'"&amp;D547&amp;"' AS TABELA_LT,'"&amp;E547&amp;"' AS TABELA_SIMUL,'"&amp;F547&amp;"' AS CAMPO, "&amp;"'${ref_date}' AS REF_DATE, COUNT(*) AS NUM_REG, SUM(IF(COALESCE(CAST(X."&amp;F547&amp;" AS STRING),'')&lt;&gt;COALESCE(CAST(Y."&amp;F547&amp;"_SIMUL AS STRING),''),1,0)) AS NUM_REG_DIF,'"&amp;MAX('ID1&amp;5'!L:L)+1&amp;"' AS ID_EXEC, CURRENT_TIMESTAMP() AS TIME_EXEC FROM "&amp;I547&amp;" INNER JOIN "&amp;J547&amp;" "&amp;K547),
IF(C547="Validade",+IF(G547="Code List","SELECT '"&amp;UPPER(B547)&amp;"' AS TABELA, '"&amp;UPPER(C547)&amp;"' AS TIPOLOGIA_TESTE,'"&amp;D547&amp;"' AS TABELA_LT,'N/A' AS TABELA_SIMUL,'"&amp;F547&amp;"' AS CAMPO, "&amp;"'${ref_date}' AS REF_DATE, COUNT(*) AS NUM_REG, SUM(IF(TRIM(CAST(X."&amp;F547&amp;" AS STRING))='' OR TRIM(CAST(X."&amp;F547&amp;" AS STRING)) IS NULL OR CAST(X."&amp;F547&amp;" AS STRING) NOT "&amp;H547&amp;",1,0)) AS NUM_REG_DIF,'"&amp;MAX('ID1&amp;5'!K:K)+1&amp;"' AS ID_EXEC, CURRENT_TIMESTAMP() AS TIME_EXEC FROM "&amp;I547,"SELECT '"&amp;UPPER(B547)&amp;"' AS TABELA, '"&amp;UPPER(C547)&amp;"' AS TIPOLOGIA_TESTE,'"&amp;D547&amp;"' AS TABELA_LT,'N/A' AS TABELA_SIMUL,'"&amp;F547&amp;"' AS CAMPO, "&amp;"'${ref_date}' AS REF_DATE, COUNT(*) AS NUM_REG, SUM(IF(TRIM(CAST(X."&amp;F547&amp;" AS STRING))='' OR TRIM(CAST(X."&amp;F547&amp;" AS STRING)) IS NULL,1,0)) AS NUM_REG_DIF,'"&amp;MAX('ID1&amp;5'!K:K)+1&amp;"' AS ID_EXEC, CURRENT_TIMESTAMP() AS TIME_EXEC FROM "&amp;I547),
IF(C547="Caracteres Especiais",+"SELECT '"&amp;UPPER(B547)&amp;"' AS TABELA, '"&amp;UPPER(C547)&amp;"' AS TIPOLOGIA_TESTE,'"&amp;D547&amp;"' AS TABELA_LT,'N/A' AS TABELA_SIMUL,'"&amp;F547&amp;"' AS CAMPO, "&amp;"'${ref_date}' AS REF_DATE, COUNT(*) AS NUM_REG, SUM(IF(INSTR(CAST(X."&amp;F547&amp;" AS STRING),'#')&gt;0 OR INSTR(CAST(X."&amp;F547&amp;" AS STRING),'*')&gt;0 OR INSTR(CAST(X."&amp;F547&amp;" AS STRING),'`')&gt;0 OR INSTR(CAST(X."&amp;F547&amp;" AS STRING),'´')&gt;0 OR INSTR(CAST(X."&amp;F547&amp;" AS STRING),'{')&gt;0 OR INSTR(CAST(X."&amp;F547&amp;" AS STRING),'}')&gt;0 OR INSTR(CAST(X."&amp;F547&amp;" AS STRING),'[')&gt;0 OR INSTR(CAST(X."&amp;F547&amp;" AS STRING),'')&gt;0 OR INSTR(CAST(X."&amp;F547&amp;" AS STRING),']')&gt;0 OR INSTR(CAST(X."&amp;F547&amp;" AS STRING),'?')&gt;0 OR INSTR(CAST(X."&amp;F547&amp;" AS STRING),'!')&gt;0 OR INSTR(CAST(X."&amp;F547&amp;" AS STRING),'$')&gt;0 OR INSTR(CAST(X."&amp;F547&amp;" AS STRING),'%')&gt;0 OR INSTR(CAST(X."&amp;F547&amp;" AS STRING),'&amp;')&gt;0 OR INSTR(CAST(X."&amp;F547&amp;" AS STRING),'+')&gt;0,1,0)) AS NUM_REG_DIF,'"&amp;MAX('ID1&amp;5'!K:K)+1&amp;"' AS ID_EXEC, CURRENT_TIMESTAMP() AS TIME_EXEC FROM "&amp;I547,
IF(C547="Missings",+"SELECT '"&amp;UPPER(B547)&amp;"' AS TABELA, '"&amp;UPPER(C547)&amp;"' AS TIPOLOGIA_TESTE,'"&amp;D547&amp;"' AS TABELA_LT,'N/A' AS TABELA_SIMUL,'"&amp;F547&amp;"' AS CAMPO, "&amp;"'${ref_date}' AS REF_DATE, COUNT(*) AS NUM_REG, SUM(IF(TRIM(CAST(X."&amp;F547&amp;" AS STRING)) IN ('0000-00-00','0001-01-01','9999-12-31','MISS','00000','99999999999','99999999999.00','99999999999.000000'),1,0)) AS NUM_REG_DIF,'"&amp;MAX('ID1&amp;5'!K:K)+1&amp;"' AS ID_EXEC, CURRENT_TIMESTAMP() AS TIME_EXEC FROM "&amp;I547,
IF(C547="Not applicable",+"SELECT '"&amp;UPPER(B547)&amp;"' AS TABELA, '"&amp;UPPER(C547)&amp;"' AS TIPOLOGIA_TESTE,'"&amp;D547&amp;"' AS TABELA_LT,'N/A' AS TABELA_SIMUL,'"&amp;F547&amp;"' AS CAMPO, "&amp;"'${ref_date}' AS REF_DATE, COUNT(*) AS NUM_REG, SUM(IF(TRIM(CAST(X."&amp;F547&amp;" AS STRING)) IN ('N/A','11111111111','11111111111.00','11111111111.000000','1111-11-11'),1,0)) AS NUM_REG_DIF,'"&amp;MAX('ID1&amp;5'!K:K)+1&amp;"' AS ID_EXEC, CURRENT_TIMESTAMP() AS TIME_EXEC FROM "&amp;I547,
IF(C547="Valores extremos",+"SELECT '"&amp;UPPER(B547)&amp;"' AS TABELA, '"&amp;UPPER(C547)&amp;"' AS TIPOLOGIA_TESTE,'"&amp;D547&amp;"' AS TABELA_LT,'N/A' AS TABELA_SIMUL,'"&amp;F547&amp;"' AS CAMPO, "&amp;"'${ref_date}' AS REF_DATE, CAST(MIN("&amp;F547&amp;") AS STRING) AS VALOR_MIN, CAST(MAX("&amp;F547&amp;") AS STRING) AS VALOR_MAX,'"&amp;MAX('ID1&amp;5'!K:K)+1&amp;"' AS ID_EXEC, CURRENT_TIMESTAMP() AS TIME_EXEC FROM "&amp;MID(I547,1,LEN(I547)-2)&amp;" AND CAST("&amp;F547&amp;"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TABELA_SIMUL,'PRTCTN_VL' AS CAMPO, '${ref_date}' AS REF_DATE, CAST(MIN(PRTCTN_VL) AS STRING) AS VALOR_MIN, CAST(MAX(PRTCTN_VL) AS STRING) AS VALOR_MAX,'10' AS ID_EXEC, CURRENT_TIMESTAMP() AS TIME_EXEC FROM (SELECT prtctn_id, PRTCTN_VL FROM BU_LOANTAPE_WORK.LT004_PROTECTION WHERE ref_date='${ref_date}' AND nome_perimetro='Individual Corporativo' AND segmento='ESTR' AND ambito='PILAR3' AND CAST(PRTCTN_VL AS STRING) NOT IN ('0000-00-00','0001-01-01','9999-12-31','MISS','00000','99999999999','99999999999.00','99999999999.000000','N/A','11111111111','11111111111.00','11111111111.000000','1111-11-11'))X</v>
      </c>
      <c r="M547" s="43" t="str">
        <f t="shared" si="9"/>
        <v>UNION ALL SELECT 'PROTECTION' AS TABELA, 'VALORES EXTREMOS' AS TIPOLOGIA_TESTE,'BU_LOANTAPE_WORK.LT004_PROTECTION' AS TABELA_LT,'N/A' AS TABELA_SIMUL,'PRTCTN_VL' AS CAMPO, '${ref_date}' AS REF_DATE, CAST(MIN(PRTCTN_VL) AS STRING) AS VALOR_MIN, CAST(MAX(PRTCTN_VL) AS STRING) AS VALOR_MAX,'10' AS ID_EXEC, CURRENT_TIMESTAMP() AS TIME_EXEC FROM (SELECT prtctn_id, PRTCTN_VL FROM BU_LOANTAPE_WORK.LT004_PROTECTION WHERE ref_date='${ref_date}' AND nome_perimetro='Individual Corporativo' AND segmento='ESTR' AND ambito='PILAR3' AND CAST(PRTCTN_VL AS STRING) NOT IN ('0000-00-00','0001-01-01','9999-12-31','MISS','00000','99999999999','99999999999.00','99999999999.000000','N/A','11111111111','11111111111.00','11111111111.000000','1111-11-11'))X</v>
      </c>
      <c r="N547" s="45" t="s">
        <v>13</v>
      </c>
    </row>
    <row r="548" spans="2:14">
      <c r="B548" s="41" t="s">
        <v>31</v>
      </c>
      <c r="C548" s="41" t="s">
        <v>226</v>
      </c>
      <c r="D548" s="41" t="str">
        <f>+UPPER('0. Instruções'!$D$33&amp;"."&amp;VLOOKUP(B548,'0. Instruções'!$C$27:$D$31,2,FALSE))</f>
        <v>BU_LOANTAPE_WORK.LT004_PROTECTION</v>
      </c>
      <c r="E548" s="41" t="str">
        <f>+UPPER('0. Instruções'!$D$34&amp;"."&amp;VLOOKUP(B548,'0. Instruções'!$C$27:$E$31,3,FALSE))</f>
        <v>BU_LOANTAPE_WORK.LT004_PROTECTION_P3_NOV24</v>
      </c>
      <c r="F548" s="41" t="s">
        <v>173</v>
      </c>
      <c r="G548" s="41" t="s">
        <v>13</v>
      </c>
      <c r="H548" s="41" t="s">
        <v>13</v>
      </c>
      <c r="I548" s="41" t="str">
        <f>"(SELECT "&amp;VLOOKUP(B548,'0. Instruções'!$C$27:$G$31,4,FALSE)&amp;", "&amp;F548&amp;" FROM "&amp;D548&amp;" WHERE "&amp;'0. Instruções'!$D$40&amp;")X"</f>
        <v>(SELECT prtctn_id, COD_SOC FROM BU_LOANTAPE_WORK.LT004_PROTECTION WHERE ref_date='${ref_date}' AND nome_perimetro='Individual Corporativo' AND segmento='ESTR' AND ambito='PILAR3')X</v>
      </c>
      <c r="J548" s="41" t="str">
        <f>"(SELECT "&amp;VLOOKUP(B548,'0. Instruções'!$C$27:$G$31,4,FALSE)&amp;" AS "&amp;VLOOKUP(B548,'0. Instruções'!$C$27:$G$31,4,FALSE)&amp;"_SIMUL, "&amp;F548&amp;" AS "&amp;F548&amp;"_SIMUL FROM "&amp;E548&amp;")Y"</f>
        <v>(SELECT prtctn_id AS prtctn_id_SIMUL, COD_SOC AS COD_SOC_SIMUL FROM BU_LOANTAPE_WORK.LT004_PROTECTION_P3_NOV24)Y</v>
      </c>
      <c r="K548" s="42" t="str">
        <f>+UPPER("ON X."&amp;VLOOKUP(B548,'0. Instruções'!$C$27:$G$31,4,FALSE)&amp;"=Y."&amp;VLOOKUP(B548,'0. Instruções'!$C$27:$G$31,4,FALSE)&amp;"_SIMUL")</f>
        <v>ON X.PRTCTN_ID=Y.PRTCTN_ID_SIMUL</v>
      </c>
      <c r="L548" s="42" t="str">
        <f>+IF(C548="Coerência", +IF(LEFT(G548,5)="FLOAT","SELECT '"&amp;UPPER(B548)&amp;"' AS TABELA, '"&amp;UPPER(C548)&amp;"' AS TIPOLOGIA_TESTE,'"&amp;D548&amp;"' AS TABELA_LT,'"&amp;E548&amp;"' AS TABELA_SIMUL,'"&amp;F548&amp;"' AS CAMPO, "&amp;"'${ref_date}' AS REF_DATE, COUNT(*) AS NUM_REG, SUM(IF((ABS(COALESCE(X."&amp;F548&amp;",0)-COALESCE(Y."&amp;F548&amp;"_SIMUL,0))&gt;0.0000000001) OR (X."&amp;F548&amp;" IS NULL AND Y."&amp;F548&amp;"_SIMUL IS NOT NULL ) OR (X."&amp;F548&amp;" IS NOT NULL AND Y."&amp;F548&amp;"_SIMUL IS NULL),1,0)) AS NUM_REG_DIF,'"&amp;MAX('ID1&amp;5'!K:K)+1&amp;"' AS ID_EXEC, CURRENT_TIMESTAMP() AS TIME_EXEC FROM "&amp;I548&amp;" INNER JOIN "&amp;J548&amp;" "&amp;K548,"SELECT '"&amp;UPPER(B548)&amp;"' AS TABELA, '"&amp;UPPER(C548)&amp;"' AS TIPOLOGIA_TESTE,'"&amp;D548&amp;"' AS TABELA_LT,'"&amp;E548&amp;"' AS TABELA_SIMUL,'"&amp;F548&amp;"' AS CAMPO, "&amp;"'${ref_date}' AS REF_DATE, COUNT(*) AS NUM_REG, SUM(IF(COALESCE(CAST(X."&amp;F548&amp;" AS STRING),'')&lt;&gt;COALESCE(CAST(Y."&amp;F548&amp;"_SIMUL AS STRING),''),1,0)) AS NUM_REG_DIF,'"&amp;MAX('ID1&amp;5'!L:L)+1&amp;"' AS ID_EXEC, CURRENT_TIMESTAMP() AS TIME_EXEC FROM "&amp;I548&amp;" INNER JOIN "&amp;J548&amp;" "&amp;K548),
IF(C548="Validade",+IF(G548="Code List","SELECT '"&amp;UPPER(B548)&amp;"' AS TABELA, '"&amp;UPPER(C548)&amp;"' AS TIPOLOGIA_TESTE,'"&amp;D548&amp;"' AS TABELA_LT,'N/A' AS TABELA_SIMUL,'"&amp;F548&amp;"' AS CAMPO, "&amp;"'${ref_date}' AS REF_DATE, COUNT(*) AS NUM_REG, SUM(IF(TRIM(CAST(X."&amp;F548&amp;" AS STRING))='' OR TRIM(CAST(X."&amp;F548&amp;" AS STRING)) IS NULL OR CAST(X."&amp;F548&amp;" AS STRING) NOT "&amp;H548&amp;",1,0)) AS NUM_REG_DIF,'"&amp;MAX('ID1&amp;5'!K:K)+1&amp;"' AS ID_EXEC, CURRENT_TIMESTAMP() AS TIME_EXEC FROM "&amp;I548,"SELECT '"&amp;UPPER(B548)&amp;"' AS TABELA, '"&amp;UPPER(C548)&amp;"' AS TIPOLOGIA_TESTE,'"&amp;D548&amp;"' AS TABELA_LT,'N/A' AS TABELA_SIMUL,'"&amp;F548&amp;"' AS CAMPO, "&amp;"'${ref_date}' AS REF_DATE, COUNT(*) AS NUM_REG, SUM(IF(TRIM(CAST(X."&amp;F548&amp;" AS STRING))='' OR TRIM(CAST(X."&amp;F548&amp;" AS STRING)) IS NULL,1,0)) AS NUM_REG_DIF,'"&amp;MAX('ID1&amp;5'!K:K)+1&amp;"' AS ID_EXEC, CURRENT_TIMESTAMP() AS TIME_EXEC FROM "&amp;I548),
IF(C548="Caracteres Especiais",+"SELECT '"&amp;UPPER(B548)&amp;"' AS TABELA, '"&amp;UPPER(C548)&amp;"' AS TIPOLOGIA_TESTE,'"&amp;D548&amp;"' AS TABELA_LT,'N/A' AS TABELA_SIMUL,'"&amp;F548&amp;"' AS CAMPO, "&amp;"'${ref_date}' AS REF_DATE, COUNT(*) AS NUM_REG, SUM(IF(INSTR(CAST(X."&amp;F548&amp;" AS STRING),'#')&gt;0 OR INSTR(CAST(X."&amp;F548&amp;" AS STRING),'*')&gt;0 OR INSTR(CAST(X."&amp;F548&amp;" AS STRING),'`')&gt;0 OR INSTR(CAST(X."&amp;F548&amp;" AS STRING),'´')&gt;0 OR INSTR(CAST(X."&amp;F548&amp;" AS STRING),'{')&gt;0 OR INSTR(CAST(X."&amp;F548&amp;" AS STRING),'}')&gt;0 OR INSTR(CAST(X."&amp;F548&amp;" AS STRING),'[')&gt;0 OR INSTR(CAST(X."&amp;F548&amp;" AS STRING),'')&gt;0 OR INSTR(CAST(X."&amp;F548&amp;" AS STRING),']')&gt;0 OR INSTR(CAST(X."&amp;F548&amp;" AS STRING),'?')&gt;0 OR INSTR(CAST(X."&amp;F548&amp;" AS STRING),'!')&gt;0 OR INSTR(CAST(X."&amp;F548&amp;" AS STRING),'$')&gt;0 OR INSTR(CAST(X."&amp;F548&amp;" AS STRING),'%')&gt;0 OR INSTR(CAST(X."&amp;F548&amp;" AS STRING),'&amp;')&gt;0 OR INSTR(CAST(X."&amp;F548&amp;" AS STRING),'+')&gt;0,1,0)) AS NUM_REG_DIF,'"&amp;MAX('ID1&amp;5'!K:K)+1&amp;"' AS ID_EXEC, CURRENT_TIMESTAMP() AS TIME_EXEC FROM "&amp;I548,
IF(C548="Missings",+"SELECT '"&amp;UPPER(B548)&amp;"' AS TABELA, '"&amp;UPPER(C548)&amp;"' AS TIPOLOGIA_TESTE,'"&amp;D548&amp;"' AS TABELA_LT,'N/A' AS TABELA_SIMUL,'"&amp;F548&amp;"' AS CAMPO, "&amp;"'${ref_date}' AS REF_DATE, COUNT(*) AS NUM_REG, SUM(IF(TRIM(CAST(X."&amp;F548&amp;" AS STRING)) IN ('0000-00-00','0001-01-01','9999-12-31','MISS','00000','99999999999','99999999999.00','99999999999.000000'),1,0)) AS NUM_REG_DIF,'"&amp;MAX('ID1&amp;5'!K:K)+1&amp;"' AS ID_EXEC, CURRENT_TIMESTAMP() AS TIME_EXEC FROM "&amp;I548,
IF(C548="Not applicable",+"SELECT '"&amp;UPPER(B548)&amp;"' AS TABELA, '"&amp;UPPER(C548)&amp;"' AS TIPOLOGIA_TESTE,'"&amp;D548&amp;"' AS TABELA_LT,'N/A' AS TABELA_SIMUL,'"&amp;F548&amp;"' AS CAMPO, "&amp;"'${ref_date}' AS REF_DATE, COUNT(*) AS NUM_REG, SUM(IF(TRIM(CAST(X."&amp;F548&amp;" AS STRING)) IN ('N/A','11111111111','11111111111.00','11111111111.000000','1111-11-11'),1,0)) AS NUM_REG_DIF,'"&amp;MAX('ID1&amp;5'!K:K)+1&amp;"' AS ID_EXEC, CURRENT_TIMESTAMP() AS TIME_EXEC FROM "&amp;I548,
IF(C548="Valores extremos",+"SELECT '"&amp;UPPER(B548)&amp;"' AS TABELA, '"&amp;UPPER(C548)&amp;"' AS TIPOLOGIA_TESTE,'"&amp;D548&amp;"' AS TABELA_LT,'N/A' AS TABELA_SIMUL,'"&amp;F548&amp;"' AS CAMPO, "&amp;"'${ref_date}' AS REF_DATE, CAST(MIN("&amp;F548&amp;") AS STRING) AS VALOR_MIN, CAST(MAX("&amp;F548&amp;") AS STRING) AS VALOR_MAX,'"&amp;MAX('ID1&amp;5'!K:K)+1&amp;"' AS ID_EXEC, CURRENT_TIMESTAMP() AS TIME_EXEC FROM "&amp;MID(I548,1,LEN(I548)-2)&amp;" AND CAST("&amp;F548&amp;" AS STRING) NOT IN ('0000-00-00','0001-01-01','9999-12-31','MISS','00000','99999999999','99999999999.00','99999999999.000000','N/A','11111111111','11111111111.00','11111111111.000000','1111-11-11'))X"))))))</f>
        <v>SELECT 'PROTECTION' AS TABELA, 'VALORES EXTREMOS' AS TIPOLOGIA_TESTE,'BU_LOANTAPE_WORK.LT004_PROTECTION' AS TABELA_LT,'N/A' AS TABELA_SIMUL,'COD_SOC' AS CAMPO, '${ref_date}' AS REF_DATE, CAST(MIN(COD_SOC) AS STRING) AS VALOR_MIN, CAST(MAX(COD_SOC) AS STRING) AS VALOR_MAX,'10' AS ID_EXEC, CURRENT_TIMESTAMP() AS TIME_EXEC FROM (SELECT prtctn_id, COD_SOC FROM BU_LOANTAPE_WORK.LT004_PROTECTION WHERE ref_date='${ref_date}' AND nome_perimetro='Individual Corporativo' AND segmento='ESTR' AND ambito='PILAR3' AND CAST(COD_SOC AS STRING) NOT IN ('0000-00-00','0001-01-01','9999-12-31','MISS','00000','99999999999','99999999999.00','99999999999.000000','N/A','11111111111','11111111111.00','11111111111.000000','1111-11-11'))X</v>
      </c>
      <c r="M548" s="43" t="str">
        <f t="shared" si="9"/>
        <v>UNION ALL SELECT 'PROTECTION' AS TABELA, 'VALORES EXTREMOS' AS TIPOLOGIA_TESTE,'BU_LOANTAPE_WORK.LT004_PROTECTION' AS TABELA_LT,'N/A' AS TABELA_SIMUL,'COD_SOC' AS CAMPO, '${ref_date}' AS REF_DATE, CAST(MIN(COD_SOC) AS STRING) AS VALOR_MIN, CAST(MAX(COD_SOC) AS STRING) AS VALOR_MAX,'10' AS ID_EXEC, CURRENT_TIMESTAMP() AS TIME_EXEC FROM (SELECT prtctn_id, COD_SOC FROM BU_LOANTAPE_WORK.LT004_PROTECTION WHERE ref_date='${ref_date}' AND nome_perimetro='Individual Corporativo' AND segmento='ESTR' AND ambito='PILAR3' AND CAST(COD_SOC AS STRING) NOT IN ('0000-00-00','0001-01-01','9999-12-31','MISS','00000','99999999999','99999999999.00','99999999999.000000','N/A','11111111111','11111111111.00','11111111111.000000','1111-11-11'))X</v>
      </c>
      <c r="N548" s="45" t="s">
        <v>13</v>
      </c>
    </row>
    <row r="549" spans="2:14"/>
    <row r="556" spans="2:14"/>
    <row r="557" spans="2:14"/>
    <row r="558" spans="2:14"/>
    <row r="559" spans="2:14"/>
    <row r="560" spans="2:14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</sheetData>
  <autoFilter ref="B8:M548" xr:uid="{00000000-0009-0000-0000-000002000000}"/>
  <conditionalFormatting sqref="M80:M82">
    <cfRule type="uniqueValues" dxfId="4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/>
  </sheetViews>
  <sheetFormatPr defaultRowHeight="15"/>
  <sheetData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48559"/>
  <sheetViews>
    <sheetView showGridLines="0" zoomScale="80" zoomScaleNormal="80" workbookViewId="0"/>
  </sheetViews>
  <sheetFormatPr defaultColWidth="0" defaultRowHeight="14.25"/>
  <cols>
    <col min="1" max="2" width="2" style="2" customWidth="1"/>
    <col min="3" max="12" width="28.28515625" style="2" customWidth="1"/>
    <col min="13" max="13" width="3.5703125" style="2" customWidth="1"/>
    <col min="14" max="14" width="13.7109375" style="2" hidden="1" customWidth="1"/>
    <col min="15" max="15" width="12.140625" style="2" hidden="1" customWidth="1"/>
    <col min="16" max="38" width="0" style="2" hidden="1" customWidth="1"/>
    <col min="39" max="16384" width="9.140625" style="2" hidden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thickBot="1">
      <c r="A6" s="37"/>
      <c r="B6" s="37"/>
      <c r="C6" s="38" t="s">
        <v>227</v>
      </c>
      <c r="D6" s="38"/>
      <c r="E6" s="39"/>
      <c r="F6" s="39"/>
      <c r="G6" s="39"/>
      <c r="H6" s="39"/>
      <c r="I6" s="39"/>
      <c r="J6" s="39"/>
      <c r="K6" s="39"/>
      <c r="L6" s="39"/>
      <c r="M6" s="3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8" spans="1:30">
      <c r="B8" s="68"/>
      <c r="C8" s="25" t="s">
        <v>197</v>
      </c>
      <c r="D8" s="25" t="s">
        <v>198</v>
      </c>
      <c r="E8" s="25" t="s">
        <v>228</v>
      </c>
      <c r="F8" s="25" t="s">
        <v>200</v>
      </c>
      <c r="G8" s="25" t="s">
        <v>201</v>
      </c>
      <c r="H8" s="25" t="s">
        <v>72</v>
      </c>
      <c r="I8" s="25" t="s">
        <v>229</v>
      </c>
      <c r="J8" s="25" t="s">
        <v>230</v>
      </c>
      <c r="K8" s="25" t="s">
        <v>231</v>
      </c>
      <c r="L8" s="25" t="s">
        <v>232</v>
      </c>
      <c r="M8" s="4"/>
      <c r="N8" s="4"/>
    </row>
    <row r="9" spans="1:30">
      <c r="A9" s="67" t="str">
        <f>+C9&amp;G9&amp;H9&amp;D9</f>
        <v>ENTITYPST_CD45596COERÊNCIA</v>
      </c>
      <c r="B9" s="67" t="str">
        <f>+C9&amp;G9&amp;H9&amp;D9&amp;K9</f>
        <v>ENTITYPST_CD45596COERÊNCIA1</v>
      </c>
      <c r="C9" s="24" t="s">
        <v>98</v>
      </c>
      <c r="D9" s="24" t="s">
        <v>233</v>
      </c>
      <c r="E9" s="24" t="s">
        <v>234</v>
      </c>
      <c r="F9" s="24" t="s">
        <v>235</v>
      </c>
      <c r="G9" s="24" t="s">
        <v>123</v>
      </c>
      <c r="H9" s="30">
        <v>45596</v>
      </c>
      <c r="I9" s="24">
        <v>1113839</v>
      </c>
      <c r="J9" s="24">
        <v>0</v>
      </c>
      <c r="K9" s="24">
        <v>1</v>
      </c>
      <c r="L9" s="24" t="s">
        <v>236</v>
      </c>
      <c r="M9" s="4"/>
      <c r="N9" s="23"/>
    </row>
    <row r="10" spans="1:30">
      <c r="A10" s="67" t="str">
        <f t="shared" ref="A10:A19" si="0">+C10&amp;G10&amp;H10&amp;D10</f>
        <v>ENTITYPST_CD45596VALIDADE</v>
      </c>
      <c r="B10" s="67" t="str">
        <f t="shared" ref="B10:B19" si="1">+C10&amp;G10&amp;H10&amp;D10&amp;K10</f>
        <v>ENTITYPST_CD45596VALIDADE1</v>
      </c>
      <c r="C10" s="24" t="s">
        <v>98</v>
      </c>
      <c r="D10" s="24" t="s">
        <v>237</v>
      </c>
      <c r="E10" s="24" t="s">
        <v>234</v>
      </c>
      <c r="F10" s="24" t="s">
        <v>238</v>
      </c>
      <c r="G10" s="24" t="s">
        <v>123</v>
      </c>
      <c r="H10" s="30">
        <v>45596</v>
      </c>
      <c r="I10" s="24">
        <v>1113801</v>
      </c>
      <c r="J10" s="24">
        <v>0</v>
      </c>
      <c r="K10" s="24">
        <v>1</v>
      </c>
      <c r="L10" s="24" t="s">
        <v>236</v>
      </c>
      <c r="M10" s="4"/>
    </row>
    <row r="11" spans="1:30">
      <c r="A11" s="67" t="str">
        <f t="shared" si="0"/>
        <v>ENTITYPST_CD45596CARACTERES ESPECIAIS</v>
      </c>
      <c r="B11" s="67" t="str">
        <f t="shared" si="1"/>
        <v>ENTITYPST_CD45596CARACTERES ESPECIAIS1</v>
      </c>
      <c r="C11" s="24" t="s">
        <v>98</v>
      </c>
      <c r="D11" s="24" t="s">
        <v>239</v>
      </c>
      <c r="E11" s="24" t="s">
        <v>234</v>
      </c>
      <c r="F11" s="24" t="s">
        <v>238</v>
      </c>
      <c r="G11" s="24" t="s">
        <v>123</v>
      </c>
      <c r="H11" s="30">
        <v>45596</v>
      </c>
      <c r="I11" s="24">
        <v>1113801</v>
      </c>
      <c r="J11" s="24">
        <v>0</v>
      </c>
      <c r="K11" s="24">
        <v>1</v>
      </c>
      <c r="L11" s="24" t="s">
        <v>236</v>
      </c>
      <c r="M11" s="4"/>
    </row>
    <row r="12" spans="1:30">
      <c r="A12" s="67" t="str">
        <f t="shared" si="0"/>
        <v>ENTITYPST_CD45596MISSINGS</v>
      </c>
      <c r="B12" s="67" t="str">
        <f t="shared" si="1"/>
        <v>ENTITYPST_CD45596MISSINGS1</v>
      </c>
      <c r="C12" s="24" t="s">
        <v>98</v>
      </c>
      <c r="D12" s="24" t="s">
        <v>240</v>
      </c>
      <c r="E12" s="24" t="s">
        <v>234</v>
      </c>
      <c r="F12" s="24" t="s">
        <v>238</v>
      </c>
      <c r="G12" s="24" t="s">
        <v>123</v>
      </c>
      <c r="H12" s="30">
        <v>45596</v>
      </c>
      <c r="I12" s="24">
        <v>1113801</v>
      </c>
      <c r="J12" s="24">
        <v>29</v>
      </c>
      <c r="K12" s="24">
        <v>1</v>
      </c>
      <c r="L12" s="24" t="s">
        <v>236</v>
      </c>
      <c r="M12" s="4"/>
    </row>
    <row r="13" spans="1:30">
      <c r="A13" s="67" t="str">
        <f t="shared" si="0"/>
        <v>ENTITYPST_CD45596NOT APPLICABLE</v>
      </c>
      <c r="B13" s="67" t="str">
        <f t="shared" si="1"/>
        <v>ENTITYPST_CD45596NOT APPLICABLE1</v>
      </c>
      <c r="C13" s="24" t="s">
        <v>98</v>
      </c>
      <c r="D13" s="24" t="s">
        <v>241</v>
      </c>
      <c r="E13" s="24" t="s">
        <v>234</v>
      </c>
      <c r="F13" s="24" t="s">
        <v>238</v>
      </c>
      <c r="G13" s="24" t="s">
        <v>123</v>
      </c>
      <c r="H13" s="30">
        <v>45596</v>
      </c>
      <c r="I13" s="24">
        <v>1113801</v>
      </c>
      <c r="J13" s="24">
        <v>0</v>
      </c>
      <c r="K13" s="24">
        <v>1</v>
      </c>
      <c r="L13" s="24" t="s">
        <v>236</v>
      </c>
      <c r="M13" s="4"/>
    </row>
    <row r="14" spans="1:30">
      <c r="A14" s="67" t="str">
        <f t="shared" ref="A14" si="2">+C14&amp;G14&amp;H14&amp;D14</f>
        <v>INSTRUMENTRSK_MTGTD_CCT45596COERÊNCIA</v>
      </c>
      <c r="B14" s="67" t="str">
        <f t="shared" ref="B14" si="3">+C14&amp;G14&amp;H14&amp;D14&amp;K14</f>
        <v>INSTRUMENTRSK_MTGTD_CCT45596COERÊNCIA2</v>
      </c>
      <c r="C14" s="24" t="s">
        <v>145</v>
      </c>
      <c r="D14" s="24" t="s">
        <v>233</v>
      </c>
      <c r="E14" s="24" t="s">
        <v>242</v>
      </c>
      <c r="F14" s="24" t="s">
        <v>243</v>
      </c>
      <c r="G14" s="24" t="s">
        <v>146</v>
      </c>
      <c r="H14" s="30">
        <v>45596</v>
      </c>
      <c r="I14" s="24">
        <v>2066889</v>
      </c>
      <c r="J14" s="24">
        <v>332</v>
      </c>
      <c r="K14" s="24">
        <v>2</v>
      </c>
      <c r="L14" s="24" t="s">
        <v>244</v>
      </c>
      <c r="M14" s="4"/>
    </row>
    <row r="15" spans="1:30">
      <c r="A15" s="67" t="str">
        <f t="shared" si="0"/>
        <v>INSTRUMENTRSK_MTGTD_CCT45596VALIDADE</v>
      </c>
      <c r="B15" s="67" t="str">
        <f t="shared" si="1"/>
        <v>INSTRUMENTRSK_MTGTD_CCT45596VALIDADE2</v>
      </c>
      <c r="C15" s="24" t="s">
        <v>145</v>
      </c>
      <c r="D15" s="24" t="s">
        <v>237</v>
      </c>
      <c r="E15" s="24" t="s">
        <v>242</v>
      </c>
      <c r="F15" s="24" t="s">
        <v>238</v>
      </c>
      <c r="G15" s="24" t="s">
        <v>146</v>
      </c>
      <c r="H15" s="30">
        <v>45596</v>
      </c>
      <c r="I15" s="24">
        <v>2067327</v>
      </c>
      <c r="J15" s="24">
        <v>2067327</v>
      </c>
      <c r="K15" s="24">
        <v>2</v>
      </c>
      <c r="L15" s="24" t="s">
        <v>244</v>
      </c>
    </row>
    <row r="16" spans="1:30">
      <c r="A16" s="67" t="str">
        <f t="shared" si="0"/>
        <v>INSTRUMENTRSK_MTGTD_CCT45596CARACTERES ESPECIAIS</v>
      </c>
      <c r="B16" s="67" t="str">
        <f t="shared" si="1"/>
        <v>INSTRUMENTRSK_MTGTD_CCT45596CARACTERES ESPECIAIS2</v>
      </c>
      <c r="C16" s="24" t="s">
        <v>145</v>
      </c>
      <c r="D16" s="24" t="s">
        <v>239</v>
      </c>
      <c r="E16" s="24" t="s">
        <v>242</v>
      </c>
      <c r="F16" s="24" t="s">
        <v>238</v>
      </c>
      <c r="G16" s="24" t="s">
        <v>146</v>
      </c>
      <c r="H16" s="30">
        <v>45596</v>
      </c>
      <c r="I16" s="24">
        <v>2067327</v>
      </c>
      <c r="J16" s="24">
        <v>0</v>
      </c>
      <c r="K16" s="24">
        <v>2</v>
      </c>
      <c r="L16" s="24" t="s">
        <v>244</v>
      </c>
    </row>
    <row r="17" spans="1:12">
      <c r="A17" s="67" t="str">
        <f t="shared" si="0"/>
        <v>INSTRUMENTRSK_MTGTD_CCT45596MISSINGS</v>
      </c>
      <c r="B17" s="67" t="str">
        <f t="shared" si="1"/>
        <v>INSTRUMENTRSK_MTGTD_CCT45596MISSINGS2</v>
      </c>
      <c r="C17" s="24" t="s">
        <v>145</v>
      </c>
      <c r="D17" s="24" t="s">
        <v>240</v>
      </c>
      <c r="E17" s="24" t="s">
        <v>242</v>
      </c>
      <c r="F17" s="24" t="s">
        <v>238</v>
      </c>
      <c r="G17" s="24" t="s">
        <v>146</v>
      </c>
      <c r="H17" s="30">
        <v>45596</v>
      </c>
      <c r="I17" s="24">
        <v>2067327</v>
      </c>
      <c r="J17" s="24">
        <v>0</v>
      </c>
      <c r="K17" s="24">
        <v>2</v>
      </c>
      <c r="L17" s="24" t="s">
        <v>244</v>
      </c>
    </row>
    <row r="18" spans="1:12">
      <c r="A18" s="67" t="str">
        <f t="shared" si="0"/>
        <v>INSTRUMENTRSK_MTGTD_CCT45596NOT APPLICABLE</v>
      </c>
      <c r="B18" s="67" t="str">
        <f t="shared" si="1"/>
        <v>INSTRUMENTRSK_MTGTD_CCT45596NOT APPLICABLE2</v>
      </c>
      <c r="C18" s="24" t="s">
        <v>145</v>
      </c>
      <c r="D18" s="24" t="s">
        <v>241</v>
      </c>
      <c r="E18" s="24" t="s">
        <v>242</v>
      </c>
      <c r="F18" s="24" t="s">
        <v>238</v>
      </c>
      <c r="G18" s="24" t="s">
        <v>146</v>
      </c>
      <c r="H18" s="30">
        <v>45596</v>
      </c>
      <c r="I18" s="24">
        <v>2067327</v>
      </c>
      <c r="J18" s="24">
        <v>0</v>
      </c>
      <c r="K18" s="24">
        <v>2</v>
      </c>
      <c r="L18" s="24" t="s">
        <v>244</v>
      </c>
    </row>
    <row r="19" spans="1:12">
      <c r="A19" s="67" t="str">
        <f t="shared" si="0"/>
        <v>INSTRUMENTSSTNBL_CTGRY_TXNMY45596COERÊNCIA</v>
      </c>
      <c r="B19" s="67" t="str">
        <f t="shared" si="1"/>
        <v>INSTRUMENTSSTNBL_CTGRY_TXNMY45596COERÊNCIA3</v>
      </c>
      <c r="C19" s="24" t="s">
        <v>145</v>
      </c>
      <c r="D19" s="24" t="s">
        <v>233</v>
      </c>
      <c r="E19" s="24" t="s">
        <v>242</v>
      </c>
      <c r="F19" s="24" t="s">
        <v>243</v>
      </c>
      <c r="G19" s="24" t="s">
        <v>155</v>
      </c>
      <c r="H19" s="30">
        <v>45596</v>
      </c>
      <c r="I19" s="24">
        <v>2066889</v>
      </c>
      <c r="J19" s="24">
        <v>332</v>
      </c>
      <c r="K19" s="24">
        <v>3</v>
      </c>
      <c r="L19" s="24" t="s">
        <v>245</v>
      </c>
    </row>
    <row r="20" spans="1:12">
      <c r="A20" s="67" t="str">
        <f t="shared" ref="A20:A62" si="4">+C20&amp;G20&amp;H20&amp;D20</f>
        <v>PROTECTIONTYP_EP_SCR45596COERÊNCIA</v>
      </c>
      <c r="B20" s="67" t="str">
        <f t="shared" ref="B20:B62" si="5">+C20&amp;G20&amp;H20&amp;D20&amp;K20</f>
        <v>PROTECTIONTYP_EP_SCR45596COERÊNCIA4</v>
      </c>
      <c r="C20" s="24" t="s">
        <v>134</v>
      </c>
      <c r="D20" s="24" t="s">
        <v>233</v>
      </c>
      <c r="E20" s="24" t="s">
        <v>246</v>
      </c>
      <c r="F20" s="24" t="s">
        <v>247</v>
      </c>
      <c r="G20" s="24" t="s">
        <v>135</v>
      </c>
      <c r="H20" s="30">
        <v>45596</v>
      </c>
      <c r="I20" s="24">
        <v>475803</v>
      </c>
      <c r="J20" s="24">
        <v>0</v>
      </c>
      <c r="K20" s="24">
        <v>4</v>
      </c>
      <c r="L20" s="24" t="s">
        <v>248</v>
      </c>
    </row>
    <row r="21" spans="1:12">
      <c r="A21" s="67" t="str">
        <f t="shared" si="4"/>
        <v>PROTECTIONTYP_EP_SCR45596VALIDADE</v>
      </c>
      <c r="B21" s="67" t="str">
        <f t="shared" si="5"/>
        <v>PROTECTIONTYP_EP_SCR45596VALIDADE4</v>
      </c>
      <c r="C21" s="24" t="s">
        <v>134</v>
      </c>
      <c r="D21" s="24" t="s">
        <v>237</v>
      </c>
      <c r="E21" s="24" t="s">
        <v>246</v>
      </c>
      <c r="F21" s="24" t="s">
        <v>238</v>
      </c>
      <c r="G21" s="24" t="s">
        <v>135</v>
      </c>
      <c r="H21" s="30">
        <v>45596</v>
      </c>
      <c r="I21" s="24">
        <v>475803</v>
      </c>
      <c r="J21" s="24">
        <v>0</v>
      </c>
      <c r="K21" s="24">
        <v>4</v>
      </c>
      <c r="L21" s="24" t="s">
        <v>248</v>
      </c>
    </row>
    <row r="22" spans="1:12">
      <c r="A22" s="67" t="str">
        <f t="shared" si="4"/>
        <v>PROTECTIONTYP_EP_SCR45596CARACTERES ESPECIAIS</v>
      </c>
      <c r="B22" s="67" t="str">
        <f t="shared" si="5"/>
        <v>PROTECTIONTYP_EP_SCR45596CARACTERES ESPECIAIS4</v>
      </c>
      <c r="C22" s="24" t="s">
        <v>134</v>
      </c>
      <c r="D22" s="24" t="s">
        <v>239</v>
      </c>
      <c r="E22" s="24" t="s">
        <v>246</v>
      </c>
      <c r="F22" s="24" t="s">
        <v>238</v>
      </c>
      <c r="G22" s="24" t="s">
        <v>135</v>
      </c>
      <c r="H22" s="30">
        <v>45596</v>
      </c>
      <c r="I22" s="24">
        <v>475803</v>
      </c>
      <c r="J22" s="24">
        <v>0</v>
      </c>
      <c r="K22" s="24">
        <v>4</v>
      </c>
      <c r="L22" s="24" t="s">
        <v>248</v>
      </c>
    </row>
    <row r="23" spans="1:12">
      <c r="A23" s="67" t="str">
        <f t="shared" si="4"/>
        <v>PROTECTIONTYP_EP_SCR45596MISSINGS</v>
      </c>
      <c r="B23" s="67" t="str">
        <f t="shared" si="5"/>
        <v>PROTECTIONTYP_EP_SCR45596MISSINGS4</v>
      </c>
      <c r="C23" s="24" t="s">
        <v>134</v>
      </c>
      <c r="D23" s="24" t="s">
        <v>240</v>
      </c>
      <c r="E23" s="24" t="s">
        <v>246</v>
      </c>
      <c r="F23" s="24" t="s">
        <v>238</v>
      </c>
      <c r="G23" s="24" t="s">
        <v>135</v>
      </c>
      <c r="H23" s="30">
        <v>45596</v>
      </c>
      <c r="I23" s="24">
        <v>475803</v>
      </c>
      <c r="J23" s="24">
        <v>0</v>
      </c>
      <c r="K23" s="24">
        <v>4</v>
      </c>
      <c r="L23" s="24" t="s">
        <v>248</v>
      </c>
    </row>
    <row r="24" spans="1:12">
      <c r="A24" s="67" t="str">
        <f t="shared" si="4"/>
        <v>PROTECTIONTYP_EP_SCR45596NOT APPLICABLE</v>
      </c>
      <c r="B24" s="67" t="str">
        <f t="shared" si="5"/>
        <v>PROTECTIONTYP_EP_SCR45596NOT APPLICABLE4</v>
      </c>
      <c r="C24" s="24" t="s">
        <v>134</v>
      </c>
      <c r="D24" s="24" t="s">
        <v>241</v>
      </c>
      <c r="E24" s="24" t="s">
        <v>246</v>
      </c>
      <c r="F24" s="24" t="s">
        <v>238</v>
      </c>
      <c r="G24" s="24" t="s">
        <v>135</v>
      </c>
      <c r="H24" s="30">
        <v>45596</v>
      </c>
      <c r="I24" s="24">
        <v>475803</v>
      </c>
      <c r="J24" s="24">
        <v>201682</v>
      </c>
      <c r="K24" s="24">
        <v>4</v>
      </c>
      <c r="L24" s="24" t="s">
        <v>248</v>
      </c>
    </row>
    <row r="25" spans="1:12">
      <c r="A25" s="67" t="str">
        <f t="shared" si="4"/>
        <v>PROTECTIONFLG_ACT_PHYSCL_RSK45596COERÊNCIA</v>
      </c>
      <c r="B25" s="67" t="str">
        <f t="shared" si="5"/>
        <v>PROTECTIONFLG_ACT_PHYSCL_RSK45596COERÊNCIA5</v>
      </c>
      <c r="C25" s="24" t="s">
        <v>134</v>
      </c>
      <c r="D25" s="24" t="s">
        <v>233</v>
      </c>
      <c r="E25" s="24" t="s">
        <v>246</v>
      </c>
      <c r="F25" s="24" t="s">
        <v>247</v>
      </c>
      <c r="G25" s="24" t="s">
        <v>121</v>
      </c>
      <c r="H25" s="30">
        <v>45596</v>
      </c>
      <c r="I25" s="24">
        <v>475803</v>
      </c>
      <c r="J25" s="24">
        <v>0</v>
      </c>
      <c r="K25" s="24">
        <v>5</v>
      </c>
      <c r="L25" s="24" t="s">
        <v>249</v>
      </c>
    </row>
    <row r="26" spans="1:12">
      <c r="A26" s="67" t="str">
        <f t="shared" si="4"/>
        <v>PROTECTIONFLG_ACT_PHYSCL_RSK45596VALIDADE</v>
      </c>
      <c r="B26" s="67" t="str">
        <f t="shared" si="5"/>
        <v>PROTECTIONFLG_ACT_PHYSCL_RSK45596VALIDADE5</v>
      </c>
      <c r="C26" s="24" t="s">
        <v>134</v>
      </c>
      <c r="D26" s="24" t="s">
        <v>237</v>
      </c>
      <c r="E26" s="24" t="s">
        <v>246</v>
      </c>
      <c r="F26" s="24" t="s">
        <v>238</v>
      </c>
      <c r="G26" s="24" t="s">
        <v>121</v>
      </c>
      <c r="H26" s="30">
        <v>45596</v>
      </c>
      <c r="I26" s="24">
        <v>475803</v>
      </c>
      <c r="J26" s="24">
        <v>0</v>
      </c>
      <c r="K26" s="24">
        <v>5</v>
      </c>
      <c r="L26" s="24" t="s">
        <v>249</v>
      </c>
    </row>
    <row r="27" spans="1:12">
      <c r="A27" s="67" t="str">
        <f t="shared" si="4"/>
        <v>PROTECTIONFLG_ACT_PHYSCL_RSK45596CARACTERES ESPECIAIS</v>
      </c>
      <c r="B27" s="67" t="str">
        <f t="shared" si="5"/>
        <v>PROTECTIONFLG_ACT_PHYSCL_RSK45596CARACTERES ESPECIAIS5</v>
      </c>
      <c r="C27" s="24" t="s">
        <v>134</v>
      </c>
      <c r="D27" s="24" t="s">
        <v>239</v>
      </c>
      <c r="E27" s="24" t="s">
        <v>246</v>
      </c>
      <c r="F27" s="24" t="s">
        <v>238</v>
      </c>
      <c r="G27" s="24" t="s">
        <v>121</v>
      </c>
      <c r="H27" s="30">
        <v>45596</v>
      </c>
      <c r="I27" s="24">
        <v>475803</v>
      </c>
      <c r="J27" s="24">
        <v>0</v>
      </c>
      <c r="K27" s="24">
        <v>5</v>
      </c>
      <c r="L27" s="24" t="s">
        <v>249</v>
      </c>
    </row>
    <row r="28" spans="1:12">
      <c r="A28" s="67" t="str">
        <f t="shared" si="4"/>
        <v>PROTECTIONFLG_ACT_PHYSCL_RSK45596MISSINGS</v>
      </c>
      <c r="B28" s="67" t="str">
        <f t="shared" si="5"/>
        <v>PROTECTIONFLG_ACT_PHYSCL_RSK45596MISSINGS5</v>
      </c>
      <c r="C28" s="24" t="s">
        <v>134</v>
      </c>
      <c r="D28" s="24" t="s">
        <v>240</v>
      </c>
      <c r="E28" s="24" t="s">
        <v>246</v>
      </c>
      <c r="F28" s="24" t="s">
        <v>238</v>
      </c>
      <c r="G28" s="24" t="s">
        <v>121</v>
      </c>
      <c r="H28" s="30">
        <v>45596</v>
      </c>
      <c r="I28" s="24">
        <v>475803</v>
      </c>
      <c r="J28" s="24">
        <v>0</v>
      </c>
      <c r="K28" s="24">
        <v>5</v>
      </c>
      <c r="L28" s="24" t="s">
        <v>249</v>
      </c>
    </row>
    <row r="29" spans="1:12">
      <c r="A29" s="67" t="str">
        <f t="shared" si="4"/>
        <v>PROTECTIONFLG_ACT_PHYSCL_RSK45596NOT APPLICABLE</v>
      </c>
      <c r="B29" s="67" t="str">
        <f t="shared" si="5"/>
        <v>PROTECTIONFLG_ACT_PHYSCL_RSK45596NOT APPLICABLE5</v>
      </c>
      <c r="C29" s="24" t="s">
        <v>134</v>
      </c>
      <c r="D29" s="24" t="s">
        <v>241</v>
      </c>
      <c r="E29" s="24" t="s">
        <v>246</v>
      </c>
      <c r="F29" s="24" t="s">
        <v>238</v>
      </c>
      <c r="G29" s="24" t="s">
        <v>121</v>
      </c>
      <c r="H29" s="30">
        <v>45596</v>
      </c>
      <c r="I29" s="24">
        <v>475803</v>
      </c>
      <c r="J29" s="24">
        <v>0</v>
      </c>
      <c r="K29" s="24">
        <v>5</v>
      </c>
      <c r="L29" s="24" t="s">
        <v>249</v>
      </c>
    </row>
    <row r="30" spans="1:12">
      <c r="A30" s="67" t="str">
        <f t="shared" si="4"/>
        <v>PROTECTIONFLG_ACT_PHYSCL_RSK45596COERÊNCIA</v>
      </c>
      <c r="B30" s="67" t="str">
        <f t="shared" si="5"/>
        <v>PROTECTIONFLG_ACT_PHYSCL_RSK45596COERÊNCIA5</v>
      </c>
      <c r="C30" s="24" t="s">
        <v>134</v>
      </c>
      <c r="D30" s="24" t="s">
        <v>233</v>
      </c>
      <c r="E30" s="24" t="s">
        <v>246</v>
      </c>
      <c r="F30" s="24" t="s">
        <v>247</v>
      </c>
      <c r="G30" s="24" t="s">
        <v>121</v>
      </c>
      <c r="H30" s="30">
        <v>45596</v>
      </c>
      <c r="I30" s="24">
        <v>475803</v>
      </c>
      <c r="J30" s="24">
        <v>0</v>
      </c>
      <c r="K30" s="24">
        <v>5</v>
      </c>
      <c r="L30" s="24" t="s">
        <v>250</v>
      </c>
    </row>
    <row r="31" spans="1:12">
      <c r="A31" s="67" t="str">
        <f t="shared" si="4"/>
        <v>PROTECTIONFLG_ACT_PHYSCL_RSK45596VALIDADE</v>
      </c>
      <c r="B31" s="67" t="str">
        <f t="shared" si="5"/>
        <v>PROTECTIONFLG_ACT_PHYSCL_RSK45596VALIDADE5</v>
      </c>
      <c r="C31" s="24" t="s">
        <v>134</v>
      </c>
      <c r="D31" s="24" t="s">
        <v>237</v>
      </c>
      <c r="E31" s="24" t="s">
        <v>246</v>
      </c>
      <c r="F31" s="24" t="s">
        <v>238</v>
      </c>
      <c r="G31" s="24" t="s">
        <v>121</v>
      </c>
      <c r="H31" s="30">
        <v>45596</v>
      </c>
      <c r="I31" s="24">
        <v>475803</v>
      </c>
      <c r="J31" s="24">
        <v>0</v>
      </c>
      <c r="K31" s="24">
        <v>5</v>
      </c>
      <c r="L31" s="24" t="s">
        <v>250</v>
      </c>
    </row>
    <row r="32" spans="1:12">
      <c r="A32" s="67" t="str">
        <f t="shared" si="4"/>
        <v>PROTECTIONFLG_ACT_PHYSCL_RSK45596CARACTERES ESPECIAIS</v>
      </c>
      <c r="B32" s="67" t="str">
        <f t="shared" si="5"/>
        <v>PROTECTIONFLG_ACT_PHYSCL_RSK45596CARACTERES ESPECIAIS5</v>
      </c>
      <c r="C32" s="24" t="s">
        <v>134</v>
      </c>
      <c r="D32" s="24" t="s">
        <v>239</v>
      </c>
      <c r="E32" s="24" t="s">
        <v>246</v>
      </c>
      <c r="F32" s="24" t="s">
        <v>238</v>
      </c>
      <c r="G32" s="24" t="s">
        <v>121</v>
      </c>
      <c r="H32" s="30">
        <v>45596</v>
      </c>
      <c r="I32" s="24">
        <v>475803</v>
      </c>
      <c r="J32" s="24">
        <v>0</v>
      </c>
      <c r="K32" s="24">
        <v>5</v>
      </c>
      <c r="L32" s="24" t="s">
        <v>250</v>
      </c>
    </row>
    <row r="33" spans="1:12">
      <c r="A33" s="67" t="str">
        <f t="shared" si="4"/>
        <v>PROTECTIONFLG_ACT_PHYSCL_RSK45596MISSINGS</v>
      </c>
      <c r="B33" s="67" t="str">
        <f t="shared" si="5"/>
        <v>PROTECTIONFLG_ACT_PHYSCL_RSK45596MISSINGS5</v>
      </c>
      <c r="C33" s="24" t="s">
        <v>134</v>
      </c>
      <c r="D33" s="24" t="s">
        <v>240</v>
      </c>
      <c r="E33" s="24" t="s">
        <v>246</v>
      </c>
      <c r="F33" s="24" t="s">
        <v>238</v>
      </c>
      <c r="G33" s="24" t="s">
        <v>121</v>
      </c>
      <c r="H33" s="30">
        <v>45596</v>
      </c>
      <c r="I33" s="24">
        <v>475803</v>
      </c>
      <c r="J33" s="24">
        <v>0</v>
      </c>
      <c r="K33" s="24">
        <v>5</v>
      </c>
      <c r="L33" s="24" t="s">
        <v>250</v>
      </c>
    </row>
    <row r="34" spans="1:12">
      <c r="A34" s="67" t="str">
        <f t="shared" si="4"/>
        <v>PROTECTIONFLG_ACT_PHYSCL_RSK45596NOT APPLICABLE</v>
      </c>
      <c r="B34" s="67" t="str">
        <f t="shared" si="5"/>
        <v>PROTECTIONFLG_ACT_PHYSCL_RSK45596NOT APPLICABLE5</v>
      </c>
      <c r="C34" s="24" t="s">
        <v>134</v>
      </c>
      <c r="D34" s="24" t="s">
        <v>241</v>
      </c>
      <c r="E34" s="24" t="s">
        <v>246</v>
      </c>
      <c r="F34" s="24" t="s">
        <v>238</v>
      </c>
      <c r="G34" s="24" t="s">
        <v>121</v>
      </c>
      <c r="H34" s="30">
        <v>45596</v>
      </c>
      <c r="I34" s="24">
        <v>475803</v>
      </c>
      <c r="J34" s="24">
        <v>0</v>
      </c>
      <c r="K34" s="24">
        <v>5</v>
      </c>
      <c r="L34" s="24" t="s">
        <v>250</v>
      </c>
    </row>
    <row r="35" spans="1:12">
      <c r="A35" s="67" t="str">
        <f t="shared" si="4"/>
        <v>PROTECTIONRL_ESTT_PST_CD45596COERÊNCIA</v>
      </c>
      <c r="B35" s="67" t="str">
        <f t="shared" si="5"/>
        <v>PROTECTIONRL_ESTT_PST_CD45596COERÊNCIA6</v>
      </c>
      <c r="C35" s="24" t="s">
        <v>134</v>
      </c>
      <c r="D35" s="24" t="s">
        <v>233</v>
      </c>
      <c r="E35" s="24" t="s">
        <v>246</v>
      </c>
      <c r="F35" s="24" t="s">
        <v>247</v>
      </c>
      <c r="G35" s="24" t="s">
        <v>192</v>
      </c>
      <c r="H35" s="30">
        <v>45596</v>
      </c>
      <c r="I35" s="24">
        <v>475722</v>
      </c>
      <c r="J35" s="24">
        <v>0</v>
      </c>
      <c r="K35" s="24">
        <v>6</v>
      </c>
      <c r="L35" s="24" t="s">
        <v>251</v>
      </c>
    </row>
    <row r="36" spans="1:12">
      <c r="A36" s="67" t="str">
        <f t="shared" si="4"/>
        <v>PROTECTIONRL_ESTT_PST_CD45596VALIDADE</v>
      </c>
      <c r="B36" s="67" t="str">
        <f t="shared" si="5"/>
        <v>PROTECTIONRL_ESTT_PST_CD45596VALIDADE6</v>
      </c>
      <c r="C36" s="24" t="s">
        <v>134</v>
      </c>
      <c r="D36" s="24" t="s">
        <v>237</v>
      </c>
      <c r="E36" s="24" t="s">
        <v>246</v>
      </c>
      <c r="F36" s="24" t="s">
        <v>238</v>
      </c>
      <c r="G36" s="24" t="s">
        <v>192</v>
      </c>
      <c r="H36" s="30">
        <v>45596</v>
      </c>
      <c r="I36" s="24">
        <v>475803</v>
      </c>
      <c r="J36" s="24">
        <v>0</v>
      </c>
      <c r="K36" s="24">
        <v>6</v>
      </c>
      <c r="L36" s="24" t="s">
        <v>251</v>
      </c>
    </row>
    <row r="37" spans="1:12">
      <c r="A37" s="67" t="str">
        <f t="shared" si="4"/>
        <v>PROTECTIONRL_ESTT_PST_CD45596CARACTERES ESPECIAIS</v>
      </c>
      <c r="B37" s="67" t="str">
        <f t="shared" si="5"/>
        <v>PROTECTIONRL_ESTT_PST_CD45596CARACTERES ESPECIAIS6</v>
      </c>
      <c r="C37" s="24" t="s">
        <v>134</v>
      </c>
      <c r="D37" s="24" t="s">
        <v>239</v>
      </c>
      <c r="E37" s="24" t="s">
        <v>246</v>
      </c>
      <c r="F37" s="24" t="s">
        <v>238</v>
      </c>
      <c r="G37" s="24" t="s">
        <v>192</v>
      </c>
      <c r="H37" s="30">
        <v>45596</v>
      </c>
      <c r="I37" s="24">
        <v>475803</v>
      </c>
      <c r="J37" s="24">
        <v>0</v>
      </c>
      <c r="K37" s="24">
        <v>6</v>
      </c>
      <c r="L37" s="24" t="s">
        <v>251</v>
      </c>
    </row>
    <row r="38" spans="1:12">
      <c r="A38" s="67" t="str">
        <f t="shared" si="4"/>
        <v>PROTECTIONRL_ESTT_PST_CD45596MISSINGS</v>
      </c>
      <c r="B38" s="67" t="str">
        <f t="shared" si="5"/>
        <v>PROTECTIONRL_ESTT_PST_CD45596MISSINGS6</v>
      </c>
      <c r="C38" s="24" t="s">
        <v>134</v>
      </c>
      <c r="D38" s="24" t="s">
        <v>240</v>
      </c>
      <c r="E38" s="24" t="s">
        <v>246</v>
      </c>
      <c r="F38" s="24" t="s">
        <v>238</v>
      </c>
      <c r="G38" s="24" t="s">
        <v>192</v>
      </c>
      <c r="H38" s="30">
        <v>45596</v>
      </c>
      <c r="I38" s="24">
        <v>475803</v>
      </c>
      <c r="J38" s="24">
        <v>369</v>
      </c>
      <c r="K38" s="24">
        <v>6</v>
      </c>
      <c r="L38" s="24" t="s">
        <v>251</v>
      </c>
    </row>
    <row r="39" spans="1:12">
      <c r="A39" s="67" t="str">
        <f t="shared" si="4"/>
        <v>PROTECTIONRL_ESTT_PST_CD45596NOT APPLICABLE</v>
      </c>
      <c r="B39" s="67" t="str">
        <f t="shared" si="5"/>
        <v>PROTECTIONRL_ESTT_PST_CD45596NOT APPLICABLE6</v>
      </c>
      <c r="C39" s="24" t="s">
        <v>134</v>
      </c>
      <c r="D39" s="24" t="s">
        <v>241</v>
      </c>
      <c r="E39" s="24" t="s">
        <v>246</v>
      </c>
      <c r="F39" s="24" t="s">
        <v>238</v>
      </c>
      <c r="G39" s="24" t="s">
        <v>192</v>
      </c>
      <c r="H39" s="30">
        <v>45596</v>
      </c>
      <c r="I39" s="24">
        <v>475803</v>
      </c>
      <c r="J39" s="24">
        <v>201682</v>
      </c>
      <c r="K39" s="24">
        <v>6</v>
      </c>
      <c r="L39" s="24" t="s">
        <v>251</v>
      </c>
    </row>
    <row r="40" spans="1:12">
      <c r="A40" s="67" t="str">
        <f t="shared" si="4"/>
        <v>PROTECTIONRL_ESTT_CLLTRL_LCTN45596COERÊNCIA</v>
      </c>
      <c r="B40" s="67" t="str">
        <f t="shared" si="5"/>
        <v>PROTECTIONRL_ESTT_CLLTRL_LCTN45596COERÊNCIA6</v>
      </c>
      <c r="C40" s="24" t="s">
        <v>134</v>
      </c>
      <c r="D40" s="24" t="s">
        <v>233</v>
      </c>
      <c r="E40" s="24" t="s">
        <v>246</v>
      </c>
      <c r="F40" s="24" t="s">
        <v>247</v>
      </c>
      <c r="G40" s="24" t="s">
        <v>191</v>
      </c>
      <c r="H40" s="30">
        <v>45596</v>
      </c>
      <c r="I40" s="24">
        <v>475722</v>
      </c>
      <c r="J40" s="24">
        <v>0</v>
      </c>
      <c r="K40" s="24">
        <v>6</v>
      </c>
      <c r="L40" s="24" t="s">
        <v>252</v>
      </c>
    </row>
    <row r="41" spans="1:12">
      <c r="A41" s="67" t="str">
        <f t="shared" si="4"/>
        <v>PROTECTIONRL_ESTT_CLLTRL_LCTN45596VALIDADE</v>
      </c>
      <c r="B41" s="67" t="str">
        <f t="shared" si="5"/>
        <v>PROTECTIONRL_ESTT_CLLTRL_LCTN45596VALIDADE6</v>
      </c>
      <c r="C41" s="24" t="s">
        <v>134</v>
      </c>
      <c r="D41" s="24" t="s">
        <v>237</v>
      </c>
      <c r="E41" s="24" t="s">
        <v>246</v>
      </c>
      <c r="F41" s="24" t="s">
        <v>238</v>
      </c>
      <c r="G41" s="24" t="s">
        <v>191</v>
      </c>
      <c r="H41" s="30">
        <v>45596</v>
      </c>
      <c r="I41" s="24">
        <v>475803</v>
      </c>
      <c r="J41" s="24">
        <v>0</v>
      </c>
      <c r="K41" s="24">
        <v>6</v>
      </c>
      <c r="L41" s="24" t="s">
        <v>252</v>
      </c>
    </row>
    <row r="42" spans="1:12">
      <c r="A42" s="67" t="str">
        <f t="shared" si="4"/>
        <v>PROTECTIONRL_ESTT_CLLTRL_LCTN45596CARACTERES ESPECIAIS</v>
      </c>
      <c r="B42" s="67" t="str">
        <f t="shared" si="5"/>
        <v>PROTECTIONRL_ESTT_CLLTRL_LCTN45596CARACTERES ESPECIAIS6</v>
      </c>
      <c r="C42" s="24" t="s">
        <v>134</v>
      </c>
      <c r="D42" s="24" t="s">
        <v>239</v>
      </c>
      <c r="E42" s="24" t="s">
        <v>246</v>
      </c>
      <c r="F42" s="24" t="s">
        <v>238</v>
      </c>
      <c r="G42" s="24" t="s">
        <v>191</v>
      </c>
      <c r="H42" s="30">
        <v>45596</v>
      </c>
      <c r="I42" s="24">
        <v>475803</v>
      </c>
      <c r="J42" s="24">
        <v>0</v>
      </c>
      <c r="K42" s="24">
        <v>6</v>
      </c>
      <c r="L42" s="24" t="s">
        <v>252</v>
      </c>
    </row>
    <row r="43" spans="1:12">
      <c r="A43" s="67" t="str">
        <f t="shared" si="4"/>
        <v>PROTECTIONRL_ESTT_CLLTRL_LCTN45596MISSINGS</v>
      </c>
      <c r="B43" s="67" t="str">
        <f t="shared" si="5"/>
        <v>PROTECTIONRL_ESTT_CLLTRL_LCTN45596MISSINGS6</v>
      </c>
      <c r="C43" s="24" t="s">
        <v>134</v>
      </c>
      <c r="D43" s="24" t="s">
        <v>240</v>
      </c>
      <c r="E43" s="24" t="s">
        <v>246</v>
      </c>
      <c r="F43" s="24" t="s">
        <v>238</v>
      </c>
      <c r="G43" s="24" t="s">
        <v>191</v>
      </c>
      <c r="H43" s="30">
        <v>45596</v>
      </c>
      <c r="I43" s="24">
        <v>475803</v>
      </c>
      <c r="J43" s="24">
        <v>0</v>
      </c>
      <c r="K43" s="24">
        <v>6</v>
      </c>
      <c r="L43" s="24" t="s">
        <v>252</v>
      </c>
    </row>
    <row r="44" spans="1:12">
      <c r="A44" s="67" t="str">
        <f t="shared" si="4"/>
        <v>PROTECTIONRL_ESTT_CLLTRL_LCTN45596NOT APPLICABLE</v>
      </c>
      <c r="B44" s="67" t="str">
        <f t="shared" si="5"/>
        <v>PROTECTIONRL_ESTT_CLLTRL_LCTN45596NOT APPLICABLE6</v>
      </c>
      <c r="C44" s="24" t="s">
        <v>134</v>
      </c>
      <c r="D44" s="24" t="s">
        <v>241</v>
      </c>
      <c r="E44" s="24" t="s">
        <v>246</v>
      </c>
      <c r="F44" s="24" t="s">
        <v>238</v>
      </c>
      <c r="G44" s="24" t="s">
        <v>191</v>
      </c>
      <c r="H44" s="30">
        <v>45596</v>
      </c>
      <c r="I44" s="24">
        <v>475803</v>
      </c>
      <c r="J44" s="24">
        <v>201682</v>
      </c>
      <c r="K44" s="24">
        <v>6</v>
      </c>
      <c r="L44" s="24" t="s">
        <v>252</v>
      </c>
    </row>
    <row r="45" spans="1:12">
      <c r="A45" s="67" t="str">
        <f t="shared" si="4"/>
        <v>ENTITYFLG_EXCLDD_EU_PRS_ALGND_BNCHMRK45596COERÊNCIA</v>
      </c>
      <c r="B45" s="67" t="str">
        <f t="shared" si="5"/>
        <v>ENTITYFLG_EXCLDD_EU_PRS_ALGND_BNCHMRK45596COERÊNCIA7</v>
      </c>
      <c r="C45" s="24" t="s">
        <v>98</v>
      </c>
      <c r="D45" s="24" t="s">
        <v>233</v>
      </c>
      <c r="E45" s="24" t="s">
        <v>234</v>
      </c>
      <c r="F45" s="24" t="s">
        <v>253</v>
      </c>
      <c r="G45" s="24" t="s">
        <v>120</v>
      </c>
      <c r="H45" s="30">
        <v>45596</v>
      </c>
      <c r="I45" s="24">
        <v>1117455</v>
      </c>
      <c r="J45" s="24">
        <v>14</v>
      </c>
      <c r="K45" s="24">
        <v>7</v>
      </c>
      <c r="L45" s="24" t="s">
        <v>254</v>
      </c>
    </row>
    <row r="46" spans="1:12">
      <c r="A46" s="67" t="str">
        <f t="shared" si="4"/>
        <v>ENTITYESG_SBSCTR45596COERÊNCIA</v>
      </c>
      <c r="B46" s="67" t="str">
        <f t="shared" si="5"/>
        <v>ENTITYESG_SBSCTR45596COERÊNCIA7</v>
      </c>
      <c r="C46" s="24" t="s">
        <v>98</v>
      </c>
      <c r="D46" s="24" t="s">
        <v>233</v>
      </c>
      <c r="E46" s="24" t="s">
        <v>234</v>
      </c>
      <c r="F46" s="24" t="s">
        <v>253</v>
      </c>
      <c r="G46" s="24" t="s">
        <v>125</v>
      </c>
      <c r="H46" s="30">
        <v>45596</v>
      </c>
      <c r="I46" s="24">
        <v>1117455</v>
      </c>
      <c r="J46" s="24">
        <v>104</v>
      </c>
      <c r="K46" s="24">
        <v>7</v>
      </c>
      <c r="L46" s="24" t="s">
        <v>254</v>
      </c>
    </row>
    <row r="47" spans="1:12">
      <c r="A47" s="67" t="str">
        <f t="shared" si="4"/>
        <v>ENTITYTTL_LBLTY45596COERÊNCIA</v>
      </c>
      <c r="B47" s="67" t="str">
        <f t="shared" si="5"/>
        <v>ENTITYTTL_LBLTY45596COERÊNCIA7</v>
      </c>
      <c r="C47" s="24" t="s">
        <v>98</v>
      </c>
      <c r="D47" s="24" t="s">
        <v>233</v>
      </c>
      <c r="E47" s="24" t="s">
        <v>234</v>
      </c>
      <c r="F47" s="24" t="s">
        <v>253</v>
      </c>
      <c r="G47" s="24" t="s">
        <v>126</v>
      </c>
      <c r="H47" s="30">
        <v>45596</v>
      </c>
      <c r="I47" s="24">
        <v>1117455</v>
      </c>
      <c r="J47" s="24">
        <v>124</v>
      </c>
      <c r="K47" s="24">
        <v>7</v>
      </c>
      <c r="L47" s="24" t="s">
        <v>254</v>
      </c>
    </row>
    <row r="48" spans="1:12">
      <c r="A48" s="67" t="str">
        <f t="shared" si="4"/>
        <v>ENTITYISIN45596COERÊNCIA</v>
      </c>
      <c r="B48" s="67" t="str">
        <f t="shared" si="5"/>
        <v>ENTITYISIN45596COERÊNCIA7</v>
      </c>
      <c r="C48" s="24" t="s">
        <v>98</v>
      </c>
      <c r="D48" s="24" t="s">
        <v>233</v>
      </c>
      <c r="E48" s="24" t="s">
        <v>234</v>
      </c>
      <c r="F48" s="24" t="s">
        <v>253</v>
      </c>
      <c r="G48" s="24" t="s">
        <v>127</v>
      </c>
      <c r="H48" s="30">
        <v>45596</v>
      </c>
      <c r="I48" s="24">
        <v>1117455</v>
      </c>
      <c r="J48" s="24">
        <v>14</v>
      </c>
      <c r="K48" s="24">
        <v>7</v>
      </c>
      <c r="L48" s="24" t="s">
        <v>254</v>
      </c>
    </row>
    <row r="49" spans="1:12">
      <c r="A49" s="67" t="str">
        <f t="shared" si="4"/>
        <v>ENTITYGRP_ANNL_TRNVR_LE45596COERÊNCIA</v>
      </c>
      <c r="B49" s="67" t="str">
        <f t="shared" si="5"/>
        <v>ENTITYGRP_ANNL_TRNVR_LE45596COERÊNCIA8</v>
      </c>
      <c r="C49" s="24" t="s">
        <v>98</v>
      </c>
      <c r="D49" s="24" t="s">
        <v>233</v>
      </c>
      <c r="E49" s="24" t="s">
        <v>234</v>
      </c>
      <c r="F49" s="24" t="s">
        <v>253</v>
      </c>
      <c r="G49" s="24" t="s">
        <v>128</v>
      </c>
      <c r="H49" s="30">
        <v>45596</v>
      </c>
      <c r="I49" s="24">
        <v>1117455</v>
      </c>
      <c r="J49" s="24">
        <v>0</v>
      </c>
      <c r="K49" s="24">
        <v>8</v>
      </c>
      <c r="L49" s="24" t="s">
        <v>255</v>
      </c>
    </row>
    <row r="50" spans="1:12">
      <c r="A50" s="67" t="str">
        <f t="shared" si="4"/>
        <v>ENTITYGRP_ANNL_TRNVR_LE45596VALIDADE</v>
      </c>
      <c r="B50" s="67" t="str">
        <f t="shared" si="5"/>
        <v>ENTITYGRP_ANNL_TRNVR_LE45596VALIDADE8</v>
      </c>
      <c r="C50" s="24" t="s">
        <v>98</v>
      </c>
      <c r="D50" s="24" t="s">
        <v>237</v>
      </c>
      <c r="E50" s="24" t="s">
        <v>234</v>
      </c>
      <c r="F50" s="24" t="s">
        <v>238</v>
      </c>
      <c r="G50" s="24" t="s">
        <v>128</v>
      </c>
      <c r="H50" s="30">
        <v>45596</v>
      </c>
      <c r="I50" s="24">
        <v>1117487</v>
      </c>
      <c r="J50" s="24">
        <v>0</v>
      </c>
      <c r="K50" s="24">
        <v>8</v>
      </c>
      <c r="L50" s="24" t="s">
        <v>255</v>
      </c>
    </row>
    <row r="51" spans="1:12">
      <c r="A51" s="67" t="str">
        <f t="shared" si="4"/>
        <v>ENTITYGRP_ANNL_TRNVR_LE45596CARACTERES ESPECIAIS</v>
      </c>
      <c r="B51" s="67" t="str">
        <f t="shared" si="5"/>
        <v>ENTITYGRP_ANNL_TRNVR_LE45596CARACTERES ESPECIAIS8</v>
      </c>
      <c r="C51" s="24" t="s">
        <v>98</v>
      </c>
      <c r="D51" s="24" t="s">
        <v>239</v>
      </c>
      <c r="E51" s="24" t="s">
        <v>234</v>
      </c>
      <c r="F51" s="24" t="s">
        <v>238</v>
      </c>
      <c r="G51" s="24" t="s">
        <v>128</v>
      </c>
      <c r="H51" s="30">
        <v>45596</v>
      </c>
      <c r="I51" s="24">
        <v>1117487</v>
      </c>
      <c r="J51" s="24">
        <v>0</v>
      </c>
      <c r="K51" s="24">
        <v>8</v>
      </c>
      <c r="L51" s="24" t="s">
        <v>255</v>
      </c>
    </row>
    <row r="52" spans="1:12">
      <c r="A52" s="67" t="str">
        <f t="shared" si="4"/>
        <v>ENTITYGRP_ANNL_TRNVR_LE45596MISSINGS</v>
      </c>
      <c r="B52" s="67" t="str">
        <f t="shared" si="5"/>
        <v>ENTITYGRP_ANNL_TRNVR_LE45596MISSINGS8</v>
      </c>
      <c r="C52" s="24" t="s">
        <v>98</v>
      </c>
      <c r="D52" s="24" t="s">
        <v>240</v>
      </c>
      <c r="E52" s="24" t="s">
        <v>234</v>
      </c>
      <c r="F52" s="24" t="s">
        <v>238</v>
      </c>
      <c r="G52" s="24" t="s">
        <v>128</v>
      </c>
      <c r="H52" s="30">
        <v>45596</v>
      </c>
      <c r="I52" s="24">
        <v>1117487</v>
      </c>
      <c r="J52" s="24">
        <v>77252</v>
      </c>
      <c r="K52" s="24">
        <v>8</v>
      </c>
      <c r="L52" s="24" t="s">
        <v>255</v>
      </c>
    </row>
    <row r="53" spans="1:12">
      <c r="A53" s="67" t="str">
        <f t="shared" si="4"/>
        <v>ENTITYGRP_ANNL_TRNVR_LE45596NOT APPLICABLE</v>
      </c>
      <c r="B53" s="67" t="str">
        <f t="shared" si="5"/>
        <v>ENTITYGRP_ANNL_TRNVR_LE45596NOT APPLICABLE8</v>
      </c>
      <c r="C53" s="24" t="s">
        <v>98</v>
      </c>
      <c r="D53" s="24" t="s">
        <v>241</v>
      </c>
      <c r="E53" s="24" t="s">
        <v>234</v>
      </c>
      <c r="F53" s="24" t="s">
        <v>238</v>
      </c>
      <c r="G53" s="24" t="s">
        <v>128</v>
      </c>
      <c r="H53" s="30">
        <v>45596</v>
      </c>
      <c r="I53" s="24">
        <v>1117487</v>
      </c>
      <c r="J53" s="24">
        <v>1037356</v>
      </c>
      <c r="K53" s="24">
        <v>8</v>
      </c>
      <c r="L53" s="24" t="s">
        <v>255</v>
      </c>
    </row>
    <row r="54" spans="1:12">
      <c r="A54" s="67" t="str">
        <f t="shared" si="4"/>
        <v>ENTITYTXNMY_ELGBL_CAPEX_CCM45596COERÊNCIA</v>
      </c>
      <c r="B54" s="67" t="str">
        <f t="shared" si="5"/>
        <v>ENTITYTXNMY_ELGBL_CAPEX_CCM45596COERÊNCIA9</v>
      </c>
      <c r="C54" s="24" t="s">
        <v>98</v>
      </c>
      <c r="D54" s="24" t="s">
        <v>233</v>
      </c>
      <c r="E54" s="24" t="s">
        <v>234</v>
      </c>
      <c r="F54" s="24" t="s">
        <v>253</v>
      </c>
      <c r="G54" s="24" t="s">
        <v>100</v>
      </c>
      <c r="H54" s="30">
        <v>45596</v>
      </c>
      <c r="I54" s="24">
        <v>1117455</v>
      </c>
      <c r="J54" s="24">
        <v>0</v>
      </c>
      <c r="K54" s="24">
        <v>9</v>
      </c>
      <c r="L54" s="24" t="s">
        <v>256</v>
      </c>
    </row>
    <row r="55" spans="1:12">
      <c r="A55" s="67" t="str">
        <f t="shared" si="4"/>
        <v>ENTITYTXNMY_ELGBL_TRNVR_CCM45596COERÊNCIA</v>
      </c>
      <c r="B55" s="67" t="str">
        <f t="shared" si="5"/>
        <v>ENTITYTXNMY_ELGBL_TRNVR_CCM45596COERÊNCIA9</v>
      </c>
      <c r="C55" s="24" t="s">
        <v>98</v>
      </c>
      <c r="D55" s="24" t="s">
        <v>233</v>
      </c>
      <c r="E55" s="24" t="s">
        <v>234</v>
      </c>
      <c r="F55" s="24" t="s">
        <v>253</v>
      </c>
      <c r="G55" s="24" t="s">
        <v>101</v>
      </c>
      <c r="H55" s="30">
        <v>45596</v>
      </c>
      <c r="I55" s="24">
        <v>1117455</v>
      </c>
      <c r="J55" s="24">
        <v>2</v>
      </c>
      <c r="K55" s="24">
        <v>9</v>
      </c>
      <c r="L55" s="24" t="s">
        <v>256</v>
      </c>
    </row>
    <row r="56" spans="1:12">
      <c r="A56" s="67" t="str">
        <f t="shared" si="4"/>
        <v>ENTITYTXNMY_ELGBL_CAPEX_CCA45596COERÊNCIA</v>
      </c>
      <c r="B56" s="67" t="str">
        <f t="shared" si="5"/>
        <v>ENTITYTXNMY_ELGBL_CAPEX_CCA45596COERÊNCIA9</v>
      </c>
      <c r="C56" s="24" t="s">
        <v>98</v>
      </c>
      <c r="D56" s="24" t="s">
        <v>233</v>
      </c>
      <c r="E56" s="24" t="s">
        <v>234</v>
      </c>
      <c r="F56" s="24" t="s">
        <v>253</v>
      </c>
      <c r="G56" s="24" t="s">
        <v>104</v>
      </c>
      <c r="H56" s="30">
        <v>45596</v>
      </c>
      <c r="I56" s="24">
        <v>1117455</v>
      </c>
      <c r="J56" s="24">
        <v>0</v>
      </c>
      <c r="K56" s="24">
        <v>9</v>
      </c>
      <c r="L56" s="24" t="s">
        <v>256</v>
      </c>
    </row>
    <row r="57" spans="1:12">
      <c r="A57" s="67" t="str">
        <f t="shared" si="4"/>
        <v>ENTITYTXNMY_ELGBL_TRNVR_CCA45596COERÊNCIA</v>
      </c>
      <c r="B57" s="67" t="str">
        <f t="shared" si="5"/>
        <v>ENTITYTXNMY_ELGBL_TRNVR_CCA45596COERÊNCIA9</v>
      </c>
      <c r="C57" s="24" t="s">
        <v>98</v>
      </c>
      <c r="D57" s="24" t="s">
        <v>233</v>
      </c>
      <c r="E57" s="24" t="s">
        <v>234</v>
      </c>
      <c r="F57" s="24" t="s">
        <v>253</v>
      </c>
      <c r="G57" s="24" t="s">
        <v>105</v>
      </c>
      <c r="H57" s="30">
        <v>45596</v>
      </c>
      <c r="I57" s="24">
        <v>1117455</v>
      </c>
      <c r="J57" s="24">
        <v>0</v>
      </c>
      <c r="K57" s="24">
        <v>9</v>
      </c>
      <c r="L57" s="24" t="s">
        <v>256</v>
      </c>
    </row>
    <row r="58" spans="1:12">
      <c r="A58" s="67" t="str">
        <f t="shared" si="4"/>
        <v>ENTITYENBLNG_CAPEX_CCM45596COERÊNCIA</v>
      </c>
      <c r="B58" s="67" t="str">
        <f t="shared" si="5"/>
        <v>ENTITYENBLNG_CAPEX_CCM45596COERÊNCIA9</v>
      </c>
      <c r="C58" s="24" t="s">
        <v>98</v>
      </c>
      <c r="D58" s="24" t="s">
        <v>233</v>
      </c>
      <c r="E58" s="24" t="s">
        <v>234</v>
      </c>
      <c r="F58" s="24" t="s">
        <v>253</v>
      </c>
      <c r="G58" s="24" t="s">
        <v>106</v>
      </c>
      <c r="H58" s="30">
        <v>45596</v>
      </c>
      <c r="I58" s="24">
        <v>1117455</v>
      </c>
      <c r="J58" s="24">
        <v>0</v>
      </c>
      <c r="K58" s="24">
        <v>9</v>
      </c>
      <c r="L58" s="24" t="s">
        <v>256</v>
      </c>
    </row>
    <row r="59" spans="1:12">
      <c r="A59" s="67" t="str">
        <f t="shared" si="4"/>
        <v>ENTITYENBLNG_CAPEX_CCA45596COERÊNCIA</v>
      </c>
      <c r="B59" s="67" t="str">
        <f t="shared" si="5"/>
        <v>ENTITYENBLNG_CAPEX_CCA45596COERÊNCIA9</v>
      </c>
      <c r="C59" s="24" t="s">
        <v>98</v>
      </c>
      <c r="D59" s="24" t="s">
        <v>233</v>
      </c>
      <c r="E59" s="24" t="s">
        <v>234</v>
      </c>
      <c r="F59" s="24" t="s">
        <v>253</v>
      </c>
      <c r="G59" s="24" t="s">
        <v>107</v>
      </c>
      <c r="H59" s="30">
        <v>45596</v>
      </c>
      <c r="I59" s="24">
        <v>1117455</v>
      </c>
      <c r="J59" s="24">
        <v>0</v>
      </c>
      <c r="K59" s="24">
        <v>9</v>
      </c>
      <c r="L59" s="24" t="s">
        <v>256</v>
      </c>
    </row>
    <row r="60" spans="1:12">
      <c r="A60" s="67" t="str">
        <f t="shared" si="4"/>
        <v>ENTITYTRNSTNL_CAPEX45596COERÊNCIA</v>
      </c>
      <c r="B60" s="67" t="str">
        <f t="shared" si="5"/>
        <v>ENTITYTRNSTNL_CAPEX45596COERÊNCIA9</v>
      </c>
      <c r="C60" s="24" t="s">
        <v>98</v>
      </c>
      <c r="D60" s="24" t="s">
        <v>233</v>
      </c>
      <c r="E60" s="24" t="s">
        <v>234</v>
      </c>
      <c r="F60" s="24" t="s">
        <v>253</v>
      </c>
      <c r="G60" s="24" t="s">
        <v>108</v>
      </c>
      <c r="H60" s="30">
        <v>45596</v>
      </c>
      <c r="I60" s="24">
        <v>1117455</v>
      </c>
      <c r="J60" s="24">
        <v>0</v>
      </c>
      <c r="K60" s="24">
        <v>9</v>
      </c>
      <c r="L60" s="24" t="s">
        <v>256</v>
      </c>
    </row>
    <row r="61" spans="1:12">
      <c r="A61" s="67" t="str">
        <f t="shared" si="4"/>
        <v>ENTITYPURE_CAPEX_CCM45596COERÊNCIA</v>
      </c>
      <c r="B61" s="67" t="str">
        <f t="shared" si="5"/>
        <v>ENTITYPURE_CAPEX_CCM45596COERÊNCIA9</v>
      </c>
      <c r="C61" s="24" t="s">
        <v>98</v>
      </c>
      <c r="D61" s="24" t="s">
        <v>233</v>
      </c>
      <c r="E61" s="24" t="s">
        <v>234</v>
      </c>
      <c r="F61" s="24" t="s">
        <v>253</v>
      </c>
      <c r="G61" s="24" t="s">
        <v>109</v>
      </c>
      <c r="H61" s="30">
        <v>45596</v>
      </c>
      <c r="I61" s="24">
        <v>1117455</v>
      </c>
      <c r="J61" s="24">
        <v>0</v>
      </c>
      <c r="K61" s="24">
        <v>9</v>
      </c>
      <c r="L61" s="24" t="s">
        <v>256</v>
      </c>
    </row>
    <row r="62" spans="1:12">
      <c r="A62" s="67" t="str">
        <f t="shared" si="4"/>
        <v>ENTITYPURE_CAPEX_CCA45596COERÊNCIA</v>
      </c>
      <c r="B62" s="67" t="str">
        <f t="shared" si="5"/>
        <v>ENTITYPURE_CAPEX_CCA45596COERÊNCIA9</v>
      </c>
      <c r="C62" s="24" t="s">
        <v>98</v>
      </c>
      <c r="D62" s="24" t="s">
        <v>233</v>
      </c>
      <c r="E62" s="24" t="s">
        <v>234</v>
      </c>
      <c r="F62" s="24" t="s">
        <v>253</v>
      </c>
      <c r="G62" s="24" t="s">
        <v>110</v>
      </c>
      <c r="H62" s="30">
        <v>45596</v>
      </c>
      <c r="I62" s="24">
        <v>1117455</v>
      </c>
      <c r="J62" s="24">
        <v>0</v>
      </c>
      <c r="K62" s="24">
        <v>9</v>
      </c>
      <c r="L62" s="24" t="s">
        <v>256</v>
      </c>
    </row>
    <row r="63" spans="1:12">
      <c r="A63" s="67" t="str">
        <f t="shared" ref="A63:A126" si="6">+C63&amp;G63&amp;H63&amp;D63</f>
        <v>ENTITYENBLNG_TRNVR_CCM45596COERÊNCIA</v>
      </c>
      <c r="B63" s="67" t="str">
        <f t="shared" ref="B63:B126" si="7">+C63&amp;G63&amp;H63&amp;D63&amp;K63</f>
        <v>ENTITYENBLNG_TRNVR_CCM45596COERÊNCIA9</v>
      </c>
      <c r="C63" s="24" t="s">
        <v>98</v>
      </c>
      <c r="D63" s="24" t="s">
        <v>233</v>
      </c>
      <c r="E63" s="24" t="s">
        <v>234</v>
      </c>
      <c r="F63" s="24" t="s">
        <v>253</v>
      </c>
      <c r="G63" s="24" t="s">
        <v>111</v>
      </c>
      <c r="H63" s="30">
        <v>45596</v>
      </c>
      <c r="I63" s="24">
        <v>1117455</v>
      </c>
      <c r="J63" s="24">
        <v>0</v>
      </c>
      <c r="K63" s="24">
        <v>9</v>
      </c>
      <c r="L63" s="24" t="s">
        <v>256</v>
      </c>
    </row>
    <row r="64" spans="1:12">
      <c r="A64" s="67" t="str">
        <f t="shared" si="6"/>
        <v>ENTITYENBLNG_TRNVR_CCA45596COERÊNCIA</v>
      </c>
      <c r="B64" s="67" t="str">
        <f t="shared" si="7"/>
        <v>ENTITYENBLNG_TRNVR_CCA45596COERÊNCIA9</v>
      </c>
      <c r="C64" s="24" t="s">
        <v>98</v>
      </c>
      <c r="D64" s="24" t="s">
        <v>233</v>
      </c>
      <c r="E64" s="24" t="s">
        <v>234</v>
      </c>
      <c r="F64" s="24" t="s">
        <v>253</v>
      </c>
      <c r="G64" s="24" t="s">
        <v>112</v>
      </c>
      <c r="H64" s="30">
        <v>45596</v>
      </c>
      <c r="I64" s="24">
        <v>1117455</v>
      </c>
      <c r="J64" s="24">
        <v>0</v>
      </c>
      <c r="K64" s="24">
        <v>9</v>
      </c>
      <c r="L64" s="24" t="s">
        <v>256</v>
      </c>
    </row>
    <row r="65" spans="1:12">
      <c r="A65" s="67" t="str">
        <f t="shared" si="6"/>
        <v>ENTITYTRNSTNL_TRNVR45596COERÊNCIA</v>
      </c>
      <c r="B65" s="67" t="str">
        <f t="shared" si="7"/>
        <v>ENTITYTRNSTNL_TRNVR45596COERÊNCIA9</v>
      </c>
      <c r="C65" s="24" t="s">
        <v>98</v>
      </c>
      <c r="D65" s="24" t="s">
        <v>233</v>
      </c>
      <c r="E65" s="24" t="s">
        <v>234</v>
      </c>
      <c r="F65" s="24" t="s">
        <v>253</v>
      </c>
      <c r="G65" s="24" t="s">
        <v>113</v>
      </c>
      <c r="H65" s="30">
        <v>45596</v>
      </c>
      <c r="I65" s="24">
        <v>1117455</v>
      </c>
      <c r="J65" s="24">
        <v>0</v>
      </c>
      <c r="K65" s="24">
        <v>9</v>
      </c>
      <c r="L65" s="24" t="s">
        <v>256</v>
      </c>
    </row>
    <row r="66" spans="1:12">
      <c r="A66" s="67" t="str">
        <f t="shared" si="6"/>
        <v>ENTITYPURE_TRNVR_CCM45596COERÊNCIA</v>
      </c>
      <c r="B66" s="67" t="str">
        <f t="shared" si="7"/>
        <v>ENTITYPURE_TRNVR_CCM45596COERÊNCIA9</v>
      </c>
      <c r="C66" s="24" t="s">
        <v>98</v>
      </c>
      <c r="D66" s="24" t="s">
        <v>233</v>
      </c>
      <c r="E66" s="24" t="s">
        <v>234</v>
      </c>
      <c r="F66" s="24" t="s">
        <v>253</v>
      </c>
      <c r="G66" s="24" t="s">
        <v>114</v>
      </c>
      <c r="H66" s="30">
        <v>45596</v>
      </c>
      <c r="I66" s="24">
        <v>1117455</v>
      </c>
      <c r="J66" s="24">
        <v>0</v>
      </c>
      <c r="K66" s="24">
        <v>9</v>
      </c>
      <c r="L66" s="24" t="s">
        <v>256</v>
      </c>
    </row>
    <row r="67" spans="1:12">
      <c r="A67" s="67" t="str">
        <f t="shared" si="6"/>
        <v>ENTITYPURE_TRNVR_CCA45596COERÊNCIA</v>
      </c>
      <c r="B67" s="67" t="str">
        <f t="shared" si="7"/>
        <v>ENTITYPURE_TRNVR_CCA45596COERÊNCIA9</v>
      </c>
      <c r="C67" s="24" t="s">
        <v>98</v>
      </c>
      <c r="D67" s="24" t="s">
        <v>233</v>
      </c>
      <c r="E67" s="24" t="s">
        <v>234</v>
      </c>
      <c r="F67" s="24" t="s">
        <v>253</v>
      </c>
      <c r="G67" s="24" t="s">
        <v>115</v>
      </c>
      <c r="H67" s="30">
        <v>45596</v>
      </c>
      <c r="I67" s="24">
        <v>1117455</v>
      </c>
      <c r="J67" s="24">
        <v>0</v>
      </c>
      <c r="K67" s="24">
        <v>9</v>
      </c>
      <c r="L67" s="24" t="s">
        <v>256</v>
      </c>
    </row>
    <row r="68" spans="1:12">
      <c r="A68" s="67" t="str">
        <f t="shared" si="6"/>
        <v>ENTITYTXNMY_ELGBL_CAPEX_CCM45596VALIDADE</v>
      </c>
      <c r="B68" s="67" t="str">
        <f t="shared" si="7"/>
        <v>ENTITYTXNMY_ELGBL_CAPEX_CCM45596VALIDADE9</v>
      </c>
      <c r="C68" s="24" t="s">
        <v>98</v>
      </c>
      <c r="D68" s="24" t="s">
        <v>237</v>
      </c>
      <c r="E68" s="24" t="s">
        <v>234</v>
      </c>
      <c r="F68" s="24" t="s">
        <v>238</v>
      </c>
      <c r="G68" s="24" t="s">
        <v>100</v>
      </c>
      <c r="H68" s="30">
        <v>45596</v>
      </c>
      <c r="I68" s="24">
        <v>1117487</v>
      </c>
      <c r="J68" s="24">
        <v>0</v>
      </c>
      <c r="K68" s="24">
        <v>9</v>
      </c>
      <c r="L68" s="24" t="s">
        <v>256</v>
      </c>
    </row>
    <row r="69" spans="1:12">
      <c r="A69" s="67" t="str">
        <f t="shared" si="6"/>
        <v>ENTITYTXNMY_ELGBL_TRNVR_CCM45596VALIDADE</v>
      </c>
      <c r="B69" s="67" t="str">
        <f t="shared" si="7"/>
        <v>ENTITYTXNMY_ELGBL_TRNVR_CCM45596VALIDADE9</v>
      </c>
      <c r="C69" s="24" t="s">
        <v>98</v>
      </c>
      <c r="D69" s="24" t="s">
        <v>237</v>
      </c>
      <c r="E69" s="24" t="s">
        <v>234</v>
      </c>
      <c r="F69" s="24" t="s">
        <v>238</v>
      </c>
      <c r="G69" s="24" t="s">
        <v>101</v>
      </c>
      <c r="H69" s="30">
        <v>45596</v>
      </c>
      <c r="I69" s="24">
        <v>1117487</v>
      </c>
      <c r="J69" s="24">
        <v>0</v>
      </c>
      <c r="K69" s="24">
        <v>9</v>
      </c>
      <c r="L69" s="24" t="s">
        <v>256</v>
      </c>
    </row>
    <row r="70" spans="1:12">
      <c r="A70" s="67" t="str">
        <f t="shared" si="6"/>
        <v>ENTITYTXNMY_ELGBL_CAPEX_CCA45596VALIDADE</v>
      </c>
      <c r="B70" s="67" t="str">
        <f t="shared" si="7"/>
        <v>ENTITYTXNMY_ELGBL_CAPEX_CCA45596VALIDADE9</v>
      </c>
      <c r="C70" s="24" t="s">
        <v>98</v>
      </c>
      <c r="D70" s="24" t="s">
        <v>237</v>
      </c>
      <c r="E70" s="24" t="s">
        <v>234</v>
      </c>
      <c r="F70" s="24" t="s">
        <v>238</v>
      </c>
      <c r="G70" s="24" t="s">
        <v>104</v>
      </c>
      <c r="H70" s="30">
        <v>45596</v>
      </c>
      <c r="I70" s="24">
        <v>1117487</v>
      </c>
      <c r="J70" s="24">
        <v>0</v>
      </c>
      <c r="K70" s="24">
        <v>9</v>
      </c>
      <c r="L70" s="24" t="s">
        <v>256</v>
      </c>
    </row>
    <row r="71" spans="1:12">
      <c r="A71" s="67" t="str">
        <f t="shared" si="6"/>
        <v>ENTITYTXNMY_ELGBL_TRNVR_CCA45596VALIDADE</v>
      </c>
      <c r="B71" s="67" t="str">
        <f t="shared" si="7"/>
        <v>ENTITYTXNMY_ELGBL_TRNVR_CCA45596VALIDADE9</v>
      </c>
      <c r="C71" s="24" t="s">
        <v>98</v>
      </c>
      <c r="D71" s="24" t="s">
        <v>237</v>
      </c>
      <c r="E71" s="24" t="s">
        <v>234</v>
      </c>
      <c r="F71" s="24" t="s">
        <v>238</v>
      </c>
      <c r="G71" s="24" t="s">
        <v>105</v>
      </c>
      <c r="H71" s="30">
        <v>45596</v>
      </c>
      <c r="I71" s="24">
        <v>1117487</v>
      </c>
      <c r="J71" s="24">
        <v>0</v>
      </c>
      <c r="K71" s="24">
        <v>9</v>
      </c>
      <c r="L71" s="24" t="s">
        <v>256</v>
      </c>
    </row>
    <row r="72" spans="1:12">
      <c r="A72" s="67" t="str">
        <f t="shared" si="6"/>
        <v>ENTITYENBLNG_CAPEX_CCM45596VALIDADE</v>
      </c>
      <c r="B72" s="67" t="str">
        <f t="shared" si="7"/>
        <v>ENTITYENBLNG_CAPEX_CCM45596VALIDADE9</v>
      </c>
      <c r="C72" s="24" t="s">
        <v>98</v>
      </c>
      <c r="D72" s="24" t="s">
        <v>237</v>
      </c>
      <c r="E72" s="24" t="s">
        <v>234</v>
      </c>
      <c r="F72" s="24" t="s">
        <v>238</v>
      </c>
      <c r="G72" s="24" t="s">
        <v>106</v>
      </c>
      <c r="H72" s="30">
        <v>45596</v>
      </c>
      <c r="I72" s="24">
        <v>1117487</v>
      </c>
      <c r="J72" s="24">
        <v>0</v>
      </c>
      <c r="K72" s="24">
        <v>9</v>
      </c>
      <c r="L72" s="24" t="s">
        <v>256</v>
      </c>
    </row>
    <row r="73" spans="1:12">
      <c r="A73" s="67" t="str">
        <f t="shared" si="6"/>
        <v>ENTITYENBLNG_CAPEX_CCA45596VALIDADE</v>
      </c>
      <c r="B73" s="67" t="str">
        <f t="shared" si="7"/>
        <v>ENTITYENBLNG_CAPEX_CCA45596VALIDADE9</v>
      </c>
      <c r="C73" s="24" t="s">
        <v>98</v>
      </c>
      <c r="D73" s="24" t="s">
        <v>237</v>
      </c>
      <c r="E73" s="24" t="s">
        <v>234</v>
      </c>
      <c r="F73" s="24" t="s">
        <v>238</v>
      </c>
      <c r="G73" s="24" t="s">
        <v>107</v>
      </c>
      <c r="H73" s="30">
        <v>45596</v>
      </c>
      <c r="I73" s="24">
        <v>1117487</v>
      </c>
      <c r="J73" s="24">
        <v>0</v>
      </c>
      <c r="K73" s="24">
        <v>9</v>
      </c>
      <c r="L73" s="24" t="s">
        <v>256</v>
      </c>
    </row>
    <row r="74" spans="1:12">
      <c r="A74" s="67" t="str">
        <f t="shared" si="6"/>
        <v>ENTITYTRNSTNL_CAPEX45596VALIDADE</v>
      </c>
      <c r="B74" s="67" t="str">
        <f t="shared" si="7"/>
        <v>ENTITYTRNSTNL_CAPEX45596VALIDADE9</v>
      </c>
      <c r="C74" s="24" t="s">
        <v>98</v>
      </c>
      <c r="D74" s="24" t="s">
        <v>237</v>
      </c>
      <c r="E74" s="24" t="s">
        <v>234</v>
      </c>
      <c r="F74" s="24" t="s">
        <v>238</v>
      </c>
      <c r="G74" s="24" t="s">
        <v>108</v>
      </c>
      <c r="H74" s="30">
        <v>45596</v>
      </c>
      <c r="I74" s="24">
        <v>1117487</v>
      </c>
      <c r="J74" s="24">
        <v>0</v>
      </c>
      <c r="K74" s="24">
        <v>9</v>
      </c>
      <c r="L74" s="24" t="s">
        <v>256</v>
      </c>
    </row>
    <row r="75" spans="1:12">
      <c r="A75" s="67" t="str">
        <f t="shared" si="6"/>
        <v>ENTITYPURE_CAPEX_CCM45596VALIDADE</v>
      </c>
      <c r="B75" s="67" t="str">
        <f t="shared" si="7"/>
        <v>ENTITYPURE_CAPEX_CCM45596VALIDADE9</v>
      </c>
      <c r="C75" s="24" t="s">
        <v>98</v>
      </c>
      <c r="D75" s="24" t="s">
        <v>237</v>
      </c>
      <c r="E75" s="24" t="s">
        <v>234</v>
      </c>
      <c r="F75" s="24" t="s">
        <v>238</v>
      </c>
      <c r="G75" s="24" t="s">
        <v>109</v>
      </c>
      <c r="H75" s="30">
        <v>45596</v>
      </c>
      <c r="I75" s="24">
        <v>1117487</v>
      </c>
      <c r="J75" s="24">
        <v>0</v>
      </c>
      <c r="K75" s="24">
        <v>9</v>
      </c>
      <c r="L75" s="24" t="s">
        <v>256</v>
      </c>
    </row>
    <row r="76" spans="1:12">
      <c r="A76" s="67" t="str">
        <f t="shared" si="6"/>
        <v>ENTITYPURE_CAPEX_CCA45596VALIDADE</v>
      </c>
      <c r="B76" s="67" t="str">
        <f t="shared" si="7"/>
        <v>ENTITYPURE_CAPEX_CCA45596VALIDADE9</v>
      </c>
      <c r="C76" s="24" t="s">
        <v>98</v>
      </c>
      <c r="D76" s="24" t="s">
        <v>237</v>
      </c>
      <c r="E76" s="24" t="s">
        <v>234</v>
      </c>
      <c r="F76" s="24" t="s">
        <v>238</v>
      </c>
      <c r="G76" s="24" t="s">
        <v>110</v>
      </c>
      <c r="H76" s="30">
        <v>45596</v>
      </c>
      <c r="I76" s="24">
        <v>1117487</v>
      </c>
      <c r="J76" s="24">
        <v>0</v>
      </c>
      <c r="K76" s="24">
        <v>9</v>
      </c>
      <c r="L76" s="24" t="s">
        <v>256</v>
      </c>
    </row>
    <row r="77" spans="1:12">
      <c r="A77" s="67" t="str">
        <f t="shared" si="6"/>
        <v>ENTITYENBLNG_TRNVR_CCM45596VALIDADE</v>
      </c>
      <c r="B77" s="67" t="str">
        <f t="shared" si="7"/>
        <v>ENTITYENBLNG_TRNVR_CCM45596VALIDADE9</v>
      </c>
      <c r="C77" s="24" t="s">
        <v>98</v>
      </c>
      <c r="D77" s="24" t="s">
        <v>237</v>
      </c>
      <c r="E77" s="24" t="s">
        <v>234</v>
      </c>
      <c r="F77" s="24" t="s">
        <v>238</v>
      </c>
      <c r="G77" s="24" t="s">
        <v>111</v>
      </c>
      <c r="H77" s="30">
        <v>45596</v>
      </c>
      <c r="I77" s="24">
        <v>1117487</v>
      </c>
      <c r="J77" s="24">
        <v>0</v>
      </c>
      <c r="K77" s="24">
        <v>9</v>
      </c>
      <c r="L77" s="24" t="s">
        <v>256</v>
      </c>
    </row>
    <row r="78" spans="1:12">
      <c r="A78" s="67" t="str">
        <f t="shared" si="6"/>
        <v>ENTITYENBLNG_TRNVR_CCA45596VALIDADE</v>
      </c>
      <c r="B78" s="67" t="str">
        <f t="shared" si="7"/>
        <v>ENTITYENBLNG_TRNVR_CCA45596VALIDADE9</v>
      </c>
      <c r="C78" s="24" t="s">
        <v>98</v>
      </c>
      <c r="D78" s="24" t="s">
        <v>237</v>
      </c>
      <c r="E78" s="24" t="s">
        <v>234</v>
      </c>
      <c r="F78" s="24" t="s">
        <v>238</v>
      </c>
      <c r="G78" s="24" t="s">
        <v>112</v>
      </c>
      <c r="H78" s="30">
        <v>45596</v>
      </c>
      <c r="I78" s="24">
        <v>1117487</v>
      </c>
      <c r="J78" s="24">
        <v>0</v>
      </c>
      <c r="K78" s="24">
        <v>9</v>
      </c>
      <c r="L78" s="24" t="s">
        <v>256</v>
      </c>
    </row>
    <row r="79" spans="1:12">
      <c r="A79" s="67" t="str">
        <f t="shared" si="6"/>
        <v>ENTITYTRNSTNL_TRNVR45596VALIDADE</v>
      </c>
      <c r="B79" s="67" t="str">
        <f t="shared" si="7"/>
        <v>ENTITYTRNSTNL_TRNVR45596VALIDADE9</v>
      </c>
      <c r="C79" s="24" t="s">
        <v>98</v>
      </c>
      <c r="D79" s="24" t="s">
        <v>237</v>
      </c>
      <c r="E79" s="24" t="s">
        <v>234</v>
      </c>
      <c r="F79" s="24" t="s">
        <v>238</v>
      </c>
      <c r="G79" s="24" t="s">
        <v>113</v>
      </c>
      <c r="H79" s="30">
        <v>45596</v>
      </c>
      <c r="I79" s="24">
        <v>1117487</v>
      </c>
      <c r="J79" s="24">
        <v>0</v>
      </c>
      <c r="K79" s="24">
        <v>9</v>
      </c>
      <c r="L79" s="24" t="s">
        <v>256</v>
      </c>
    </row>
    <row r="80" spans="1:12">
      <c r="A80" s="67" t="str">
        <f t="shared" si="6"/>
        <v>ENTITYPURE_TRNVR_CCM45596VALIDADE</v>
      </c>
      <c r="B80" s="67" t="str">
        <f t="shared" si="7"/>
        <v>ENTITYPURE_TRNVR_CCM45596VALIDADE9</v>
      </c>
      <c r="C80" s="24" t="s">
        <v>98</v>
      </c>
      <c r="D80" s="24" t="s">
        <v>237</v>
      </c>
      <c r="E80" s="24" t="s">
        <v>234</v>
      </c>
      <c r="F80" s="24" t="s">
        <v>238</v>
      </c>
      <c r="G80" s="24" t="s">
        <v>114</v>
      </c>
      <c r="H80" s="30">
        <v>45596</v>
      </c>
      <c r="I80" s="24">
        <v>1117487</v>
      </c>
      <c r="J80" s="24">
        <v>0</v>
      </c>
      <c r="K80" s="24">
        <v>9</v>
      </c>
      <c r="L80" s="24" t="s">
        <v>256</v>
      </c>
    </row>
    <row r="81" spans="1:12">
      <c r="A81" s="67" t="str">
        <f t="shared" si="6"/>
        <v>ENTITYPURE_TRNVR_CCA45596VALIDADE</v>
      </c>
      <c r="B81" s="67" t="str">
        <f t="shared" si="7"/>
        <v>ENTITYPURE_TRNVR_CCA45596VALIDADE9</v>
      </c>
      <c r="C81" s="24" t="s">
        <v>98</v>
      </c>
      <c r="D81" s="24" t="s">
        <v>237</v>
      </c>
      <c r="E81" s="24" t="s">
        <v>234</v>
      </c>
      <c r="F81" s="24" t="s">
        <v>238</v>
      </c>
      <c r="G81" s="24" t="s">
        <v>115</v>
      </c>
      <c r="H81" s="30">
        <v>45596</v>
      </c>
      <c r="I81" s="24">
        <v>1117487</v>
      </c>
      <c r="J81" s="24">
        <v>0</v>
      </c>
      <c r="K81" s="24">
        <v>9</v>
      </c>
      <c r="L81" s="24" t="s">
        <v>256</v>
      </c>
    </row>
    <row r="82" spans="1:12">
      <c r="A82" s="67" t="str">
        <f t="shared" si="6"/>
        <v>ENTITYTXNMY_ELGBL_CAPEX_CCM45596CARACTERES ESPECIAIS</v>
      </c>
      <c r="B82" s="67" t="str">
        <f t="shared" si="7"/>
        <v>ENTITYTXNMY_ELGBL_CAPEX_CCM45596CARACTERES ESPECIAIS9</v>
      </c>
      <c r="C82" s="24" t="s">
        <v>98</v>
      </c>
      <c r="D82" s="24" t="s">
        <v>239</v>
      </c>
      <c r="E82" s="24" t="s">
        <v>234</v>
      </c>
      <c r="F82" s="24" t="s">
        <v>238</v>
      </c>
      <c r="G82" s="24" t="s">
        <v>100</v>
      </c>
      <c r="H82" s="30">
        <v>45596</v>
      </c>
      <c r="I82" s="24">
        <v>1117487</v>
      </c>
      <c r="J82" s="24">
        <v>0</v>
      </c>
      <c r="K82" s="24">
        <v>9</v>
      </c>
      <c r="L82" s="24" t="s">
        <v>256</v>
      </c>
    </row>
    <row r="83" spans="1:12">
      <c r="A83" s="67" t="str">
        <f t="shared" si="6"/>
        <v>ENTITYTXNMY_ELGBL_TRNVR_CCM45596CARACTERES ESPECIAIS</v>
      </c>
      <c r="B83" s="67" t="str">
        <f t="shared" si="7"/>
        <v>ENTITYTXNMY_ELGBL_TRNVR_CCM45596CARACTERES ESPECIAIS9</v>
      </c>
      <c r="C83" s="24" t="s">
        <v>98</v>
      </c>
      <c r="D83" s="24" t="s">
        <v>239</v>
      </c>
      <c r="E83" s="24" t="s">
        <v>234</v>
      </c>
      <c r="F83" s="24" t="s">
        <v>238</v>
      </c>
      <c r="G83" s="24" t="s">
        <v>101</v>
      </c>
      <c r="H83" s="30">
        <v>45596</v>
      </c>
      <c r="I83" s="24">
        <v>1117487</v>
      </c>
      <c r="J83" s="24">
        <v>0</v>
      </c>
      <c r="K83" s="24">
        <v>9</v>
      </c>
      <c r="L83" s="24" t="s">
        <v>256</v>
      </c>
    </row>
    <row r="84" spans="1:12">
      <c r="A84" s="67" t="str">
        <f t="shared" si="6"/>
        <v>ENTITYTXNMY_ELGBL_CAPEX_CCA45596CARACTERES ESPECIAIS</v>
      </c>
      <c r="B84" s="67" t="str">
        <f t="shared" si="7"/>
        <v>ENTITYTXNMY_ELGBL_CAPEX_CCA45596CARACTERES ESPECIAIS9</v>
      </c>
      <c r="C84" s="24" t="s">
        <v>98</v>
      </c>
      <c r="D84" s="24" t="s">
        <v>239</v>
      </c>
      <c r="E84" s="24" t="s">
        <v>234</v>
      </c>
      <c r="F84" s="24" t="s">
        <v>238</v>
      </c>
      <c r="G84" s="24" t="s">
        <v>104</v>
      </c>
      <c r="H84" s="30">
        <v>45596</v>
      </c>
      <c r="I84" s="24">
        <v>1117487</v>
      </c>
      <c r="J84" s="24">
        <v>0</v>
      </c>
      <c r="K84" s="24">
        <v>9</v>
      </c>
      <c r="L84" s="24" t="s">
        <v>256</v>
      </c>
    </row>
    <row r="85" spans="1:12">
      <c r="A85" s="67" t="str">
        <f t="shared" si="6"/>
        <v>ENTITYTXNMY_ELGBL_TRNVR_CCA45596CARACTERES ESPECIAIS</v>
      </c>
      <c r="B85" s="67" t="str">
        <f t="shared" si="7"/>
        <v>ENTITYTXNMY_ELGBL_TRNVR_CCA45596CARACTERES ESPECIAIS9</v>
      </c>
      <c r="C85" s="24" t="s">
        <v>98</v>
      </c>
      <c r="D85" s="24" t="s">
        <v>239</v>
      </c>
      <c r="E85" s="24" t="s">
        <v>234</v>
      </c>
      <c r="F85" s="24" t="s">
        <v>238</v>
      </c>
      <c r="G85" s="24" t="s">
        <v>105</v>
      </c>
      <c r="H85" s="30">
        <v>45596</v>
      </c>
      <c r="I85" s="24">
        <v>1117487</v>
      </c>
      <c r="J85" s="24">
        <v>0</v>
      </c>
      <c r="K85" s="24">
        <v>9</v>
      </c>
      <c r="L85" s="24" t="s">
        <v>256</v>
      </c>
    </row>
    <row r="86" spans="1:12">
      <c r="A86" s="67" t="str">
        <f t="shared" si="6"/>
        <v>ENTITYENBLNG_CAPEX_CCM45596CARACTERES ESPECIAIS</v>
      </c>
      <c r="B86" s="67" t="str">
        <f t="shared" si="7"/>
        <v>ENTITYENBLNG_CAPEX_CCM45596CARACTERES ESPECIAIS9</v>
      </c>
      <c r="C86" s="24" t="s">
        <v>98</v>
      </c>
      <c r="D86" s="24" t="s">
        <v>239</v>
      </c>
      <c r="E86" s="24" t="s">
        <v>234</v>
      </c>
      <c r="F86" s="24" t="s">
        <v>238</v>
      </c>
      <c r="G86" s="24" t="s">
        <v>106</v>
      </c>
      <c r="H86" s="30">
        <v>45596</v>
      </c>
      <c r="I86" s="24">
        <v>1117487</v>
      </c>
      <c r="J86" s="24">
        <v>0</v>
      </c>
      <c r="K86" s="24">
        <v>9</v>
      </c>
      <c r="L86" s="24" t="s">
        <v>256</v>
      </c>
    </row>
    <row r="87" spans="1:12">
      <c r="A87" s="67" t="str">
        <f t="shared" si="6"/>
        <v>ENTITYENBLNG_CAPEX_CCA45596CARACTERES ESPECIAIS</v>
      </c>
      <c r="B87" s="67" t="str">
        <f t="shared" si="7"/>
        <v>ENTITYENBLNG_CAPEX_CCA45596CARACTERES ESPECIAIS9</v>
      </c>
      <c r="C87" s="24" t="s">
        <v>98</v>
      </c>
      <c r="D87" s="24" t="s">
        <v>239</v>
      </c>
      <c r="E87" s="24" t="s">
        <v>234</v>
      </c>
      <c r="F87" s="24" t="s">
        <v>238</v>
      </c>
      <c r="G87" s="24" t="s">
        <v>107</v>
      </c>
      <c r="H87" s="30">
        <v>45596</v>
      </c>
      <c r="I87" s="24">
        <v>1117487</v>
      </c>
      <c r="J87" s="24">
        <v>0</v>
      </c>
      <c r="K87" s="24">
        <v>9</v>
      </c>
      <c r="L87" s="24" t="s">
        <v>256</v>
      </c>
    </row>
    <row r="88" spans="1:12">
      <c r="A88" s="67" t="str">
        <f t="shared" si="6"/>
        <v>ENTITYTRNSTNL_CAPEX45596CARACTERES ESPECIAIS</v>
      </c>
      <c r="B88" s="67" t="str">
        <f t="shared" si="7"/>
        <v>ENTITYTRNSTNL_CAPEX45596CARACTERES ESPECIAIS9</v>
      </c>
      <c r="C88" s="24" t="s">
        <v>98</v>
      </c>
      <c r="D88" s="24" t="s">
        <v>239</v>
      </c>
      <c r="E88" s="24" t="s">
        <v>234</v>
      </c>
      <c r="F88" s="24" t="s">
        <v>238</v>
      </c>
      <c r="G88" s="24" t="s">
        <v>108</v>
      </c>
      <c r="H88" s="30">
        <v>45596</v>
      </c>
      <c r="I88" s="24">
        <v>1117487</v>
      </c>
      <c r="J88" s="24">
        <v>0</v>
      </c>
      <c r="K88" s="24">
        <v>9</v>
      </c>
      <c r="L88" s="24" t="s">
        <v>256</v>
      </c>
    </row>
    <row r="89" spans="1:12">
      <c r="A89" s="67" t="str">
        <f t="shared" si="6"/>
        <v>ENTITYPURE_CAPEX_CCM45596CARACTERES ESPECIAIS</v>
      </c>
      <c r="B89" s="67" t="str">
        <f t="shared" si="7"/>
        <v>ENTITYPURE_CAPEX_CCM45596CARACTERES ESPECIAIS9</v>
      </c>
      <c r="C89" s="24" t="s">
        <v>98</v>
      </c>
      <c r="D89" s="24" t="s">
        <v>239</v>
      </c>
      <c r="E89" s="24" t="s">
        <v>234</v>
      </c>
      <c r="F89" s="24" t="s">
        <v>238</v>
      </c>
      <c r="G89" s="24" t="s">
        <v>109</v>
      </c>
      <c r="H89" s="30">
        <v>45596</v>
      </c>
      <c r="I89" s="24">
        <v>1117487</v>
      </c>
      <c r="J89" s="24">
        <v>0</v>
      </c>
      <c r="K89" s="24">
        <v>9</v>
      </c>
      <c r="L89" s="24" t="s">
        <v>256</v>
      </c>
    </row>
    <row r="90" spans="1:12">
      <c r="A90" s="67" t="str">
        <f t="shared" si="6"/>
        <v>ENTITYPURE_CAPEX_CCA45596CARACTERES ESPECIAIS</v>
      </c>
      <c r="B90" s="67" t="str">
        <f t="shared" si="7"/>
        <v>ENTITYPURE_CAPEX_CCA45596CARACTERES ESPECIAIS9</v>
      </c>
      <c r="C90" s="24" t="s">
        <v>98</v>
      </c>
      <c r="D90" s="24" t="s">
        <v>239</v>
      </c>
      <c r="E90" s="24" t="s">
        <v>234</v>
      </c>
      <c r="F90" s="24" t="s">
        <v>238</v>
      </c>
      <c r="G90" s="24" t="s">
        <v>110</v>
      </c>
      <c r="H90" s="30">
        <v>45596</v>
      </c>
      <c r="I90" s="24">
        <v>1117487</v>
      </c>
      <c r="J90" s="24">
        <v>0</v>
      </c>
      <c r="K90" s="24">
        <v>9</v>
      </c>
      <c r="L90" s="24" t="s">
        <v>256</v>
      </c>
    </row>
    <row r="91" spans="1:12">
      <c r="A91" s="67" t="str">
        <f t="shared" si="6"/>
        <v>ENTITYENBLNG_TRNVR_CCM45596CARACTERES ESPECIAIS</v>
      </c>
      <c r="B91" s="67" t="str">
        <f t="shared" si="7"/>
        <v>ENTITYENBLNG_TRNVR_CCM45596CARACTERES ESPECIAIS9</v>
      </c>
      <c r="C91" s="24" t="s">
        <v>98</v>
      </c>
      <c r="D91" s="24" t="s">
        <v>239</v>
      </c>
      <c r="E91" s="24" t="s">
        <v>234</v>
      </c>
      <c r="F91" s="24" t="s">
        <v>238</v>
      </c>
      <c r="G91" s="24" t="s">
        <v>111</v>
      </c>
      <c r="H91" s="30">
        <v>45596</v>
      </c>
      <c r="I91" s="24">
        <v>1117487</v>
      </c>
      <c r="J91" s="24">
        <v>0</v>
      </c>
      <c r="K91" s="24">
        <v>9</v>
      </c>
      <c r="L91" s="24" t="s">
        <v>256</v>
      </c>
    </row>
    <row r="92" spans="1:12">
      <c r="A92" s="67" t="str">
        <f t="shared" si="6"/>
        <v>ENTITYENBLNG_TRNVR_CCA45596CARACTERES ESPECIAIS</v>
      </c>
      <c r="B92" s="67" t="str">
        <f t="shared" si="7"/>
        <v>ENTITYENBLNG_TRNVR_CCA45596CARACTERES ESPECIAIS9</v>
      </c>
      <c r="C92" s="24" t="s">
        <v>98</v>
      </c>
      <c r="D92" s="24" t="s">
        <v>239</v>
      </c>
      <c r="E92" s="24" t="s">
        <v>234</v>
      </c>
      <c r="F92" s="24" t="s">
        <v>238</v>
      </c>
      <c r="G92" s="24" t="s">
        <v>112</v>
      </c>
      <c r="H92" s="30">
        <v>45596</v>
      </c>
      <c r="I92" s="24">
        <v>1117487</v>
      </c>
      <c r="J92" s="24">
        <v>0</v>
      </c>
      <c r="K92" s="24">
        <v>9</v>
      </c>
      <c r="L92" s="24" t="s">
        <v>256</v>
      </c>
    </row>
    <row r="93" spans="1:12">
      <c r="A93" s="67" t="str">
        <f t="shared" si="6"/>
        <v>ENTITYTRNSTNL_TRNVR45596CARACTERES ESPECIAIS</v>
      </c>
      <c r="B93" s="67" t="str">
        <f t="shared" si="7"/>
        <v>ENTITYTRNSTNL_TRNVR45596CARACTERES ESPECIAIS9</v>
      </c>
      <c r="C93" s="24" t="s">
        <v>98</v>
      </c>
      <c r="D93" s="24" t="s">
        <v>239</v>
      </c>
      <c r="E93" s="24" t="s">
        <v>234</v>
      </c>
      <c r="F93" s="24" t="s">
        <v>238</v>
      </c>
      <c r="G93" s="24" t="s">
        <v>113</v>
      </c>
      <c r="H93" s="30">
        <v>45596</v>
      </c>
      <c r="I93" s="24">
        <v>1117487</v>
      </c>
      <c r="J93" s="24">
        <v>0</v>
      </c>
      <c r="K93" s="24">
        <v>9</v>
      </c>
      <c r="L93" s="24" t="s">
        <v>256</v>
      </c>
    </row>
    <row r="94" spans="1:12">
      <c r="A94" s="67" t="str">
        <f t="shared" si="6"/>
        <v>ENTITYPURE_TRNVR_CCM45596CARACTERES ESPECIAIS</v>
      </c>
      <c r="B94" s="67" t="str">
        <f t="shared" si="7"/>
        <v>ENTITYPURE_TRNVR_CCM45596CARACTERES ESPECIAIS9</v>
      </c>
      <c r="C94" s="24" t="s">
        <v>98</v>
      </c>
      <c r="D94" s="24" t="s">
        <v>239</v>
      </c>
      <c r="E94" s="24" t="s">
        <v>234</v>
      </c>
      <c r="F94" s="24" t="s">
        <v>238</v>
      </c>
      <c r="G94" s="24" t="s">
        <v>114</v>
      </c>
      <c r="H94" s="30">
        <v>45596</v>
      </c>
      <c r="I94" s="24">
        <v>1117487</v>
      </c>
      <c r="J94" s="24">
        <v>0</v>
      </c>
      <c r="K94" s="24">
        <v>9</v>
      </c>
      <c r="L94" s="24" t="s">
        <v>256</v>
      </c>
    </row>
    <row r="95" spans="1:12">
      <c r="A95" s="67" t="str">
        <f t="shared" si="6"/>
        <v>ENTITYPURE_TRNVR_CCA45596CARACTERES ESPECIAIS</v>
      </c>
      <c r="B95" s="67" t="str">
        <f t="shared" si="7"/>
        <v>ENTITYPURE_TRNVR_CCA45596CARACTERES ESPECIAIS9</v>
      </c>
      <c r="C95" s="24" t="s">
        <v>98</v>
      </c>
      <c r="D95" s="24" t="s">
        <v>239</v>
      </c>
      <c r="E95" s="24" t="s">
        <v>234</v>
      </c>
      <c r="F95" s="24" t="s">
        <v>238</v>
      </c>
      <c r="G95" s="24" t="s">
        <v>115</v>
      </c>
      <c r="H95" s="30">
        <v>45596</v>
      </c>
      <c r="I95" s="24">
        <v>1117487</v>
      </c>
      <c r="J95" s="24">
        <v>0</v>
      </c>
      <c r="K95" s="24">
        <v>9</v>
      </c>
      <c r="L95" s="24" t="s">
        <v>256</v>
      </c>
    </row>
    <row r="96" spans="1:12">
      <c r="A96" s="67" t="str">
        <f t="shared" si="6"/>
        <v>ENTITYTXNMY_ELGBL_CAPEX_CCM45596MISSINGS</v>
      </c>
      <c r="B96" s="67" t="str">
        <f t="shared" si="7"/>
        <v>ENTITYTXNMY_ELGBL_CAPEX_CCM45596MISSINGS9</v>
      </c>
      <c r="C96" s="24" t="s">
        <v>98</v>
      </c>
      <c r="D96" s="24" t="s">
        <v>240</v>
      </c>
      <c r="E96" s="24" t="s">
        <v>234</v>
      </c>
      <c r="F96" s="24" t="s">
        <v>238</v>
      </c>
      <c r="G96" s="24" t="s">
        <v>100</v>
      </c>
      <c r="H96" s="30">
        <v>45596</v>
      </c>
      <c r="I96" s="24">
        <v>1117487</v>
      </c>
      <c r="J96" s="24">
        <v>79452</v>
      </c>
      <c r="K96" s="24">
        <v>9</v>
      </c>
      <c r="L96" s="24" t="s">
        <v>256</v>
      </c>
    </row>
    <row r="97" spans="1:12">
      <c r="A97" s="67" t="str">
        <f t="shared" si="6"/>
        <v>ENTITYTXNMY_ELGBL_TRNVR_CCM45596MISSINGS</v>
      </c>
      <c r="B97" s="67" t="str">
        <f t="shared" si="7"/>
        <v>ENTITYTXNMY_ELGBL_TRNVR_CCM45596MISSINGS9</v>
      </c>
      <c r="C97" s="24" t="s">
        <v>98</v>
      </c>
      <c r="D97" s="24" t="s">
        <v>240</v>
      </c>
      <c r="E97" s="24" t="s">
        <v>234</v>
      </c>
      <c r="F97" s="24" t="s">
        <v>238</v>
      </c>
      <c r="G97" s="24" t="s">
        <v>101</v>
      </c>
      <c r="H97" s="30">
        <v>45596</v>
      </c>
      <c r="I97" s="24">
        <v>1117487</v>
      </c>
      <c r="J97" s="24">
        <v>79311</v>
      </c>
      <c r="K97" s="24">
        <v>9</v>
      </c>
      <c r="L97" s="24" t="s">
        <v>256</v>
      </c>
    </row>
    <row r="98" spans="1:12">
      <c r="A98" s="67" t="str">
        <f t="shared" si="6"/>
        <v>ENTITYTXNMY_ELGBL_CAPEX_CCA45596MISSINGS</v>
      </c>
      <c r="B98" s="67" t="str">
        <f t="shared" si="7"/>
        <v>ENTITYTXNMY_ELGBL_CAPEX_CCA45596MISSINGS9</v>
      </c>
      <c r="C98" s="24" t="s">
        <v>98</v>
      </c>
      <c r="D98" s="24" t="s">
        <v>240</v>
      </c>
      <c r="E98" s="24" t="s">
        <v>234</v>
      </c>
      <c r="F98" s="24" t="s">
        <v>238</v>
      </c>
      <c r="G98" s="24" t="s">
        <v>104</v>
      </c>
      <c r="H98" s="30">
        <v>45596</v>
      </c>
      <c r="I98" s="24">
        <v>1117487</v>
      </c>
      <c r="J98" s="24">
        <v>79452</v>
      </c>
      <c r="K98" s="24">
        <v>9</v>
      </c>
      <c r="L98" s="24" t="s">
        <v>256</v>
      </c>
    </row>
    <row r="99" spans="1:12">
      <c r="A99" s="67" t="str">
        <f t="shared" si="6"/>
        <v>ENTITYTXNMY_ELGBL_TRNVR_CCA45596MISSINGS</v>
      </c>
      <c r="B99" s="67" t="str">
        <f t="shared" si="7"/>
        <v>ENTITYTXNMY_ELGBL_TRNVR_CCA45596MISSINGS9</v>
      </c>
      <c r="C99" s="24" t="s">
        <v>98</v>
      </c>
      <c r="D99" s="24" t="s">
        <v>240</v>
      </c>
      <c r="E99" s="24" t="s">
        <v>234</v>
      </c>
      <c r="F99" s="24" t="s">
        <v>238</v>
      </c>
      <c r="G99" s="24" t="s">
        <v>105</v>
      </c>
      <c r="H99" s="30">
        <v>45596</v>
      </c>
      <c r="I99" s="24">
        <v>1117487</v>
      </c>
      <c r="J99" s="24">
        <v>79311</v>
      </c>
      <c r="K99" s="24">
        <v>9</v>
      </c>
      <c r="L99" s="24" t="s">
        <v>256</v>
      </c>
    </row>
    <row r="100" spans="1:12">
      <c r="A100" s="67" t="str">
        <f t="shared" si="6"/>
        <v>ENTITYENBLNG_CAPEX_CCM45596MISSINGS</v>
      </c>
      <c r="B100" s="67" t="str">
        <f t="shared" si="7"/>
        <v>ENTITYENBLNG_CAPEX_CCM45596MISSINGS9</v>
      </c>
      <c r="C100" s="24" t="s">
        <v>98</v>
      </c>
      <c r="D100" s="24" t="s">
        <v>240</v>
      </c>
      <c r="E100" s="24" t="s">
        <v>234</v>
      </c>
      <c r="F100" s="24" t="s">
        <v>238</v>
      </c>
      <c r="G100" s="24" t="s">
        <v>106</v>
      </c>
      <c r="H100" s="30">
        <v>45596</v>
      </c>
      <c r="I100" s="24">
        <v>1117487</v>
      </c>
      <c r="J100" s="24">
        <v>79452</v>
      </c>
      <c r="K100" s="24">
        <v>9</v>
      </c>
      <c r="L100" s="24" t="s">
        <v>256</v>
      </c>
    </row>
    <row r="101" spans="1:12">
      <c r="A101" s="67" t="str">
        <f t="shared" si="6"/>
        <v>ENTITYENBLNG_CAPEX_CCA45596MISSINGS</v>
      </c>
      <c r="B101" s="67" t="str">
        <f t="shared" si="7"/>
        <v>ENTITYENBLNG_CAPEX_CCA45596MISSINGS9</v>
      </c>
      <c r="C101" s="24" t="s">
        <v>98</v>
      </c>
      <c r="D101" s="24" t="s">
        <v>240</v>
      </c>
      <c r="E101" s="24" t="s">
        <v>234</v>
      </c>
      <c r="F101" s="24" t="s">
        <v>238</v>
      </c>
      <c r="G101" s="24" t="s">
        <v>107</v>
      </c>
      <c r="H101" s="30">
        <v>45596</v>
      </c>
      <c r="I101" s="24">
        <v>1117487</v>
      </c>
      <c r="J101" s="24">
        <v>79452</v>
      </c>
      <c r="K101" s="24">
        <v>9</v>
      </c>
      <c r="L101" s="24" t="s">
        <v>256</v>
      </c>
    </row>
    <row r="102" spans="1:12">
      <c r="A102" s="67" t="str">
        <f t="shared" si="6"/>
        <v>ENTITYTRNSTNL_CAPEX45596MISSINGS</v>
      </c>
      <c r="B102" s="67" t="str">
        <f t="shared" si="7"/>
        <v>ENTITYTRNSTNL_CAPEX45596MISSINGS9</v>
      </c>
      <c r="C102" s="24" t="s">
        <v>98</v>
      </c>
      <c r="D102" s="24" t="s">
        <v>240</v>
      </c>
      <c r="E102" s="24" t="s">
        <v>234</v>
      </c>
      <c r="F102" s="24" t="s">
        <v>238</v>
      </c>
      <c r="G102" s="24" t="s">
        <v>108</v>
      </c>
      <c r="H102" s="30">
        <v>45596</v>
      </c>
      <c r="I102" s="24">
        <v>1117487</v>
      </c>
      <c r="J102" s="24">
        <v>79452</v>
      </c>
      <c r="K102" s="24">
        <v>9</v>
      </c>
      <c r="L102" s="24" t="s">
        <v>256</v>
      </c>
    </row>
    <row r="103" spans="1:12">
      <c r="A103" s="67" t="str">
        <f t="shared" si="6"/>
        <v>ENTITYPURE_CAPEX_CCM45596MISSINGS</v>
      </c>
      <c r="B103" s="67" t="str">
        <f t="shared" si="7"/>
        <v>ENTITYPURE_CAPEX_CCM45596MISSINGS9</v>
      </c>
      <c r="C103" s="24" t="s">
        <v>98</v>
      </c>
      <c r="D103" s="24" t="s">
        <v>240</v>
      </c>
      <c r="E103" s="24" t="s">
        <v>234</v>
      </c>
      <c r="F103" s="24" t="s">
        <v>238</v>
      </c>
      <c r="G103" s="24" t="s">
        <v>109</v>
      </c>
      <c r="H103" s="30">
        <v>45596</v>
      </c>
      <c r="I103" s="24">
        <v>1117487</v>
      </c>
      <c r="J103" s="24">
        <v>79452</v>
      </c>
      <c r="K103" s="24">
        <v>9</v>
      </c>
      <c r="L103" s="24" t="s">
        <v>256</v>
      </c>
    </row>
    <row r="104" spans="1:12">
      <c r="A104" s="67" t="str">
        <f t="shared" si="6"/>
        <v>ENTITYPURE_CAPEX_CCA45596MISSINGS</v>
      </c>
      <c r="B104" s="67" t="str">
        <f t="shared" si="7"/>
        <v>ENTITYPURE_CAPEX_CCA45596MISSINGS9</v>
      </c>
      <c r="C104" s="24" t="s">
        <v>98</v>
      </c>
      <c r="D104" s="24" t="s">
        <v>240</v>
      </c>
      <c r="E104" s="24" t="s">
        <v>234</v>
      </c>
      <c r="F104" s="24" t="s">
        <v>238</v>
      </c>
      <c r="G104" s="24" t="s">
        <v>110</v>
      </c>
      <c r="H104" s="30">
        <v>45596</v>
      </c>
      <c r="I104" s="24">
        <v>1117487</v>
      </c>
      <c r="J104" s="24">
        <v>79452</v>
      </c>
      <c r="K104" s="24">
        <v>9</v>
      </c>
      <c r="L104" s="24" t="s">
        <v>256</v>
      </c>
    </row>
    <row r="105" spans="1:12">
      <c r="A105" s="67" t="str">
        <f t="shared" si="6"/>
        <v>ENTITYENBLNG_TRNVR_CCM45596MISSINGS</v>
      </c>
      <c r="B105" s="67" t="str">
        <f t="shared" si="7"/>
        <v>ENTITYENBLNG_TRNVR_CCM45596MISSINGS9</v>
      </c>
      <c r="C105" s="24" t="s">
        <v>98</v>
      </c>
      <c r="D105" s="24" t="s">
        <v>240</v>
      </c>
      <c r="E105" s="24" t="s">
        <v>234</v>
      </c>
      <c r="F105" s="24" t="s">
        <v>238</v>
      </c>
      <c r="G105" s="24" t="s">
        <v>111</v>
      </c>
      <c r="H105" s="30">
        <v>45596</v>
      </c>
      <c r="I105" s="24">
        <v>1117487</v>
      </c>
      <c r="J105" s="24">
        <v>79311</v>
      </c>
      <c r="K105" s="24">
        <v>9</v>
      </c>
      <c r="L105" s="24" t="s">
        <v>256</v>
      </c>
    </row>
    <row r="106" spans="1:12">
      <c r="A106" s="67" t="str">
        <f t="shared" si="6"/>
        <v>ENTITYENBLNG_TRNVR_CCA45596MISSINGS</v>
      </c>
      <c r="B106" s="67" t="str">
        <f t="shared" si="7"/>
        <v>ENTITYENBLNG_TRNVR_CCA45596MISSINGS9</v>
      </c>
      <c r="C106" s="24" t="s">
        <v>98</v>
      </c>
      <c r="D106" s="24" t="s">
        <v>240</v>
      </c>
      <c r="E106" s="24" t="s">
        <v>234</v>
      </c>
      <c r="F106" s="24" t="s">
        <v>238</v>
      </c>
      <c r="G106" s="24" t="s">
        <v>112</v>
      </c>
      <c r="H106" s="30">
        <v>45596</v>
      </c>
      <c r="I106" s="24">
        <v>1117487</v>
      </c>
      <c r="J106" s="24">
        <v>79311</v>
      </c>
      <c r="K106" s="24">
        <v>9</v>
      </c>
      <c r="L106" s="24" t="s">
        <v>256</v>
      </c>
    </row>
    <row r="107" spans="1:12">
      <c r="A107" s="67" t="str">
        <f t="shared" si="6"/>
        <v>ENTITYTRNSTNL_TRNVR45596MISSINGS</v>
      </c>
      <c r="B107" s="67" t="str">
        <f t="shared" si="7"/>
        <v>ENTITYTRNSTNL_TRNVR45596MISSINGS9</v>
      </c>
      <c r="C107" s="24" t="s">
        <v>98</v>
      </c>
      <c r="D107" s="24" t="s">
        <v>240</v>
      </c>
      <c r="E107" s="24" t="s">
        <v>234</v>
      </c>
      <c r="F107" s="24" t="s">
        <v>238</v>
      </c>
      <c r="G107" s="24" t="s">
        <v>113</v>
      </c>
      <c r="H107" s="30">
        <v>45596</v>
      </c>
      <c r="I107" s="24">
        <v>1117487</v>
      </c>
      <c r="J107" s="24">
        <v>79311</v>
      </c>
      <c r="K107" s="24">
        <v>9</v>
      </c>
      <c r="L107" s="24" t="s">
        <v>256</v>
      </c>
    </row>
    <row r="108" spans="1:12">
      <c r="A108" s="67" t="str">
        <f t="shared" si="6"/>
        <v>ENTITYPURE_TRNVR_CCM45596MISSINGS</v>
      </c>
      <c r="B108" s="67" t="str">
        <f t="shared" si="7"/>
        <v>ENTITYPURE_TRNVR_CCM45596MISSINGS9</v>
      </c>
      <c r="C108" s="24" t="s">
        <v>98</v>
      </c>
      <c r="D108" s="24" t="s">
        <v>240</v>
      </c>
      <c r="E108" s="24" t="s">
        <v>234</v>
      </c>
      <c r="F108" s="24" t="s">
        <v>238</v>
      </c>
      <c r="G108" s="24" t="s">
        <v>114</v>
      </c>
      <c r="H108" s="30">
        <v>45596</v>
      </c>
      <c r="I108" s="24">
        <v>1117487</v>
      </c>
      <c r="J108" s="24">
        <v>79311</v>
      </c>
      <c r="K108" s="24">
        <v>9</v>
      </c>
      <c r="L108" s="24" t="s">
        <v>256</v>
      </c>
    </row>
    <row r="109" spans="1:12">
      <c r="A109" s="67" t="str">
        <f t="shared" si="6"/>
        <v>ENTITYPURE_TRNVR_CCA45596MISSINGS</v>
      </c>
      <c r="B109" s="67" t="str">
        <f t="shared" si="7"/>
        <v>ENTITYPURE_TRNVR_CCA45596MISSINGS9</v>
      </c>
      <c r="C109" s="24" t="s">
        <v>98</v>
      </c>
      <c r="D109" s="24" t="s">
        <v>240</v>
      </c>
      <c r="E109" s="24" t="s">
        <v>234</v>
      </c>
      <c r="F109" s="24" t="s">
        <v>238</v>
      </c>
      <c r="G109" s="24" t="s">
        <v>115</v>
      </c>
      <c r="H109" s="30">
        <v>45596</v>
      </c>
      <c r="I109" s="24">
        <v>1117487</v>
      </c>
      <c r="J109" s="24">
        <v>79311</v>
      </c>
      <c r="K109" s="24">
        <v>9</v>
      </c>
      <c r="L109" s="24" t="s">
        <v>256</v>
      </c>
    </row>
    <row r="110" spans="1:12">
      <c r="A110" s="67" t="str">
        <f t="shared" si="6"/>
        <v>ENTITYTXNMY_ELGBL_CAPEX_CCM45596NOT APPLICABLE</v>
      </c>
      <c r="B110" s="67" t="str">
        <f t="shared" si="7"/>
        <v>ENTITYTXNMY_ELGBL_CAPEX_CCM45596NOT APPLICABLE9</v>
      </c>
      <c r="C110" s="24" t="s">
        <v>98</v>
      </c>
      <c r="D110" s="24" t="s">
        <v>241</v>
      </c>
      <c r="E110" s="24" t="s">
        <v>234</v>
      </c>
      <c r="F110" s="24" t="s">
        <v>238</v>
      </c>
      <c r="G110" s="24" t="s">
        <v>100</v>
      </c>
      <c r="H110" s="30">
        <v>45596</v>
      </c>
      <c r="I110" s="24">
        <v>1117487</v>
      </c>
      <c r="J110" s="24">
        <v>1037626</v>
      </c>
      <c r="K110" s="24">
        <v>9</v>
      </c>
      <c r="L110" s="24" t="s">
        <v>256</v>
      </c>
    </row>
    <row r="111" spans="1:12">
      <c r="A111" s="67" t="str">
        <f t="shared" si="6"/>
        <v>ENTITYTXNMY_ELGBL_TRNVR_CCM45596NOT APPLICABLE</v>
      </c>
      <c r="B111" s="67" t="str">
        <f t="shared" si="7"/>
        <v>ENTITYTXNMY_ELGBL_TRNVR_CCM45596NOT APPLICABLE9</v>
      </c>
      <c r="C111" s="24" t="s">
        <v>98</v>
      </c>
      <c r="D111" s="24" t="s">
        <v>241</v>
      </c>
      <c r="E111" s="24" t="s">
        <v>234</v>
      </c>
      <c r="F111" s="24" t="s">
        <v>238</v>
      </c>
      <c r="G111" s="24" t="s">
        <v>101</v>
      </c>
      <c r="H111" s="30">
        <v>45596</v>
      </c>
      <c r="I111" s="24">
        <v>1117487</v>
      </c>
      <c r="J111" s="24">
        <v>1037626</v>
      </c>
      <c r="K111" s="24">
        <v>9</v>
      </c>
      <c r="L111" s="24" t="s">
        <v>256</v>
      </c>
    </row>
    <row r="112" spans="1:12">
      <c r="A112" s="67" t="str">
        <f t="shared" si="6"/>
        <v>ENTITYTXNMY_ELGBL_CAPEX_CCA45596NOT APPLICABLE</v>
      </c>
      <c r="B112" s="67" t="str">
        <f t="shared" si="7"/>
        <v>ENTITYTXNMY_ELGBL_CAPEX_CCA45596NOT APPLICABLE9</v>
      </c>
      <c r="C112" s="24" t="s">
        <v>98</v>
      </c>
      <c r="D112" s="24" t="s">
        <v>241</v>
      </c>
      <c r="E112" s="24" t="s">
        <v>234</v>
      </c>
      <c r="F112" s="24" t="s">
        <v>238</v>
      </c>
      <c r="G112" s="24" t="s">
        <v>104</v>
      </c>
      <c r="H112" s="30">
        <v>45596</v>
      </c>
      <c r="I112" s="24">
        <v>1117487</v>
      </c>
      <c r="J112" s="24">
        <v>1037626</v>
      </c>
      <c r="K112" s="24">
        <v>9</v>
      </c>
      <c r="L112" s="24" t="s">
        <v>256</v>
      </c>
    </row>
    <row r="113" spans="1:12">
      <c r="A113" s="67" t="str">
        <f t="shared" si="6"/>
        <v>ENTITYTXNMY_ELGBL_TRNVR_CCA45596NOT APPLICABLE</v>
      </c>
      <c r="B113" s="67" t="str">
        <f t="shared" si="7"/>
        <v>ENTITYTXNMY_ELGBL_TRNVR_CCA45596NOT APPLICABLE9</v>
      </c>
      <c r="C113" s="24" t="s">
        <v>98</v>
      </c>
      <c r="D113" s="24" t="s">
        <v>241</v>
      </c>
      <c r="E113" s="24" t="s">
        <v>234</v>
      </c>
      <c r="F113" s="24" t="s">
        <v>238</v>
      </c>
      <c r="G113" s="24" t="s">
        <v>105</v>
      </c>
      <c r="H113" s="30">
        <v>45596</v>
      </c>
      <c r="I113" s="24">
        <v>1117487</v>
      </c>
      <c r="J113" s="24">
        <v>1037626</v>
      </c>
      <c r="K113" s="24">
        <v>9</v>
      </c>
      <c r="L113" s="24" t="s">
        <v>256</v>
      </c>
    </row>
    <row r="114" spans="1:12">
      <c r="A114" s="67" t="str">
        <f t="shared" si="6"/>
        <v>ENTITYENBLNG_CAPEX_CCM45596NOT APPLICABLE</v>
      </c>
      <c r="B114" s="67" t="str">
        <f t="shared" si="7"/>
        <v>ENTITYENBLNG_CAPEX_CCM45596NOT APPLICABLE9</v>
      </c>
      <c r="C114" s="24" t="s">
        <v>98</v>
      </c>
      <c r="D114" s="24" t="s">
        <v>241</v>
      </c>
      <c r="E114" s="24" t="s">
        <v>234</v>
      </c>
      <c r="F114" s="24" t="s">
        <v>238</v>
      </c>
      <c r="G114" s="24" t="s">
        <v>106</v>
      </c>
      <c r="H114" s="30">
        <v>45596</v>
      </c>
      <c r="I114" s="24">
        <v>1117487</v>
      </c>
      <c r="J114" s="24">
        <v>1037626</v>
      </c>
      <c r="K114" s="24">
        <v>9</v>
      </c>
      <c r="L114" s="24" t="s">
        <v>256</v>
      </c>
    </row>
    <row r="115" spans="1:12">
      <c r="A115" s="67" t="str">
        <f t="shared" si="6"/>
        <v>ENTITYENBLNG_CAPEX_CCA45596NOT APPLICABLE</v>
      </c>
      <c r="B115" s="67" t="str">
        <f t="shared" si="7"/>
        <v>ENTITYENBLNG_CAPEX_CCA45596NOT APPLICABLE9</v>
      </c>
      <c r="C115" s="24" t="s">
        <v>98</v>
      </c>
      <c r="D115" s="24" t="s">
        <v>241</v>
      </c>
      <c r="E115" s="24" t="s">
        <v>234</v>
      </c>
      <c r="F115" s="24" t="s">
        <v>238</v>
      </c>
      <c r="G115" s="24" t="s">
        <v>107</v>
      </c>
      <c r="H115" s="30">
        <v>45596</v>
      </c>
      <c r="I115" s="24">
        <v>1117487</v>
      </c>
      <c r="J115" s="24">
        <v>1037626</v>
      </c>
      <c r="K115" s="24">
        <v>9</v>
      </c>
      <c r="L115" s="24" t="s">
        <v>256</v>
      </c>
    </row>
    <row r="116" spans="1:12">
      <c r="A116" s="67" t="str">
        <f t="shared" si="6"/>
        <v>ENTITYTRNSTNL_CAPEX45596NOT APPLICABLE</v>
      </c>
      <c r="B116" s="67" t="str">
        <f t="shared" si="7"/>
        <v>ENTITYTRNSTNL_CAPEX45596NOT APPLICABLE9</v>
      </c>
      <c r="C116" s="24" t="s">
        <v>98</v>
      </c>
      <c r="D116" s="24" t="s">
        <v>241</v>
      </c>
      <c r="E116" s="24" t="s">
        <v>234</v>
      </c>
      <c r="F116" s="24" t="s">
        <v>238</v>
      </c>
      <c r="G116" s="24" t="s">
        <v>108</v>
      </c>
      <c r="H116" s="30">
        <v>45596</v>
      </c>
      <c r="I116" s="24">
        <v>1117487</v>
      </c>
      <c r="J116" s="24">
        <v>1037626</v>
      </c>
      <c r="K116" s="24">
        <v>9</v>
      </c>
      <c r="L116" s="24" t="s">
        <v>256</v>
      </c>
    </row>
    <row r="117" spans="1:12">
      <c r="A117" s="67" t="str">
        <f t="shared" si="6"/>
        <v>ENTITYPURE_CAPEX_CCM45596NOT APPLICABLE</v>
      </c>
      <c r="B117" s="67" t="str">
        <f t="shared" si="7"/>
        <v>ENTITYPURE_CAPEX_CCM45596NOT APPLICABLE9</v>
      </c>
      <c r="C117" s="24" t="s">
        <v>98</v>
      </c>
      <c r="D117" s="24" t="s">
        <v>241</v>
      </c>
      <c r="E117" s="24" t="s">
        <v>234</v>
      </c>
      <c r="F117" s="24" t="s">
        <v>238</v>
      </c>
      <c r="G117" s="24" t="s">
        <v>109</v>
      </c>
      <c r="H117" s="30">
        <v>45596</v>
      </c>
      <c r="I117" s="24">
        <v>1117487</v>
      </c>
      <c r="J117" s="24">
        <v>1037626</v>
      </c>
      <c r="K117" s="24">
        <v>9</v>
      </c>
      <c r="L117" s="24" t="s">
        <v>256</v>
      </c>
    </row>
    <row r="118" spans="1:12">
      <c r="A118" s="67" t="str">
        <f t="shared" si="6"/>
        <v>ENTITYPURE_CAPEX_CCA45596NOT APPLICABLE</v>
      </c>
      <c r="B118" s="67" t="str">
        <f t="shared" si="7"/>
        <v>ENTITYPURE_CAPEX_CCA45596NOT APPLICABLE9</v>
      </c>
      <c r="C118" s="24" t="s">
        <v>98</v>
      </c>
      <c r="D118" s="24" t="s">
        <v>241</v>
      </c>
      <c r="E118" s="24" t="s">
        <v>234</v>
      </c>
      <c r="F118" s="24" t="s">
        <v>238</v>
      </c>
      <c r="G118" s="24" t="s">
        <v>110</v>
      </c>
      <c r="H118" s="30">
        <v>45596</v>
      </c>
      <c r="I118" s="24">
        <v>1117487</v>
      </c>
      <c r="J118" s="24">
        <v>1037626</v>
      </c>
      <c r="K118" s="24">
        <v>9</v>
      </c>
      <c r="L118" s="24" t="s">
        <v>256</v>
      </c>
    </row>
    <row r="119" spans="1:12">
      <c r="A119" s="67" t="str">
        <f t="shared" si="6"/>
        <v>ENTITYENBLNG_TRNVR_CCM45596NOT APPLICABLE</v>
      </c>
      <c r="B119" s="67" t="str">
        <f t="shared" si="7"/>
        <v>ENTITYENBLNG_TRNVR_CCM45596NOT APPLICABLE9</v>
      </c>
      <c r="C119" s="24" t="s">
        <v>98</v>
      </c>
      <c r="D119" s="24" t="s">
        <v>241</v>
      </c>
      <c r="E119" s="24" t="s">
        <v>234</v>
      </c>
      <c r="F119" s="24" t="s">
        <v>238</v>
      </c>
      <c r="G119" s="24" t="s">
        <v>111</v>
      </c>
      <c r="H119" s="30">
        <v>45596</v>
      </c>
      <c r="I119" s="24">
        <v>1117487</v>
      </c>
      <c r="J119" s="24">
        <v>1037626</v>
      </c>
      <c r="K119" s="24">
        <v>9</v>
      </c>
      <c r="L119" s="24" t="s">
        <v>256</v>
      </c>
    </row>
    <row r="120" spans="1:12">
      <c r="A120" s="67" t="str">
        <f t="shared" si="6"/>
        <v>ENTITYENBLNG_TRNVR_CCA45596NOT APPLICABLE</v>
      </c>
      <c r="B120" s="67" t="str">
        <f t="shared" si="7"/>
        <v>ENTITYENBLNG_TRNVR_CCA45596NOT APPLICABLE9</v>
      </c>
      <c r="C120" s="24" t="s">
        <v>98</v>
      </c>
      <c r="D120" s="24" t="s">
        <v>241</v>
      </c>
      <c r="E120" s="24" t="s">
        <v>234</v>
      </c>
      <c r="F120" s="24" t="s">
        <v>238</v>
      </c>
      <c r="G120" s="24" t="s">
        <v>112</v>
      </c>
      <c r="H120" s="30">
        <v>45596</v>
      </c>
      <c r="I120" s="24">
        <v>1117487</v>
      </c>
      <c r="J120" s="24">
        <v>1037626</v>
      </c>
      <c r="K120" s="24">
        <v>9</v>
      </c>
      <c r="L120" s="24" t="s">
        <v>256</v>
      </c>
    </row>
    <row r="121" spans="1:12">
      <c r="A121" s="67" t="str">
        <f t="shared" si="6"/>
        <v>ENTITYTRNSTNL_TRNVR45596NOT APPLICABLE</v>
      </c>
      <c r="B121" s="67" t="str">
        <f t="shared" si="7"/>
        <v>ENTITYTRNSTNL_TRNVR45596NOT APPLICABLE9</v>
      </c>
      <c r="C121" s="24" t="s">
        <v>98</v>
      </c>
      <c r="D121" s="24" t="s">
        <v>241</v>
      </c>
      <c r="E121" s="24" t="s">
        <v>234</v>
      </c>
      <c r="F121" s="24" t="s">
        <v>238</v>
      </c>
      <c r="G121" s="24" t="s">
        <v>113</v>
      </c>
      <c r="H121" s="30">
        <v>45596</v>
      </c>
      <c r="I121" s="24">
        <v>1117487</v>
      </c>
      <c r="J121" s="24">
        <v>1037626</v>
      </c>
      <c r="K121" s="24">
        <v>9</v>
      </c>
      <c r="L121" s="24" t="s">
        <v>256</v>
      </c>
    </row>
    <row r="122" spans="1:12">
      <c r="A122" s="67" t="str">
        <f t="shared" si="6"/>
        <v>ENTITYPURE_TRNVR_CCM45596NOT APPLICABLE</v>
      </c>
      <c r="B122" s="67" t="str">
        <f t="shared" si="7"/>
        <v>ENTITYPURE_TRNVR_CCM45596NOT APPLICABLE9</v>
      </c>
      <c r="C122" s="24" t="s">
        <v>98</v>
      </c>
      <c r="D122" s="24" t="s">
        <v>241</v>
      </c>
      <c r="E122" s="24" t="s">
        <v>234</v>
      </c>
      <c r="F122" s="24" t="s">
        <v>238</v>
      </c>
      <c r="G122" s="24" t="s">
        <v>114</v>
      </c>
      <c r="H122" s="30">
        <v>45596</v>
      </c>
      <c r="I122" s="24">
        <v>1117487</v>
      </c>
      <c r="J122" s="24">
        <v>1037626</v>
      </c>
      <c r="K122" s="24">
        <v>9</v>
      </c>
      <c r="L122" s="24" t="s">
        <v>256</v>
      </c>
    </row>
    <row r="123" spans="1:12">
      <c r="A123" s="67" t="str">
        <f t="shared" si="6"/>
        <v>ENTITYPURE_TRNVR_CCA45596NOT APPLICABLE</v>
      </c>
      <c r="B123" s="67" t="str">
        <f t="shared" si="7"/>
        <v>ENTITYPURE_TRNVR_CCA45596NOT APPLICABLE9</v>
      </c>
      <c r="C123" s="24" t="s">
        <v>98</v>
      </c>
      <c r="D123" s="24" t="s">
        <v>241</v>
      </c>
      <c r="E123" s="24" t="s">
        <v>234</v>
      </c>
      <c r="F123" s="24" t="s">
        <v>238</v>
      </c>
      <c r="G123" s="24" t="s">
        <v>115</v>
      </c>
      <c r="H123" s="30">
        <v>45596</v>
      </c>
      <c r="I123" s="24">
        <v>1117487</v>
      </c>
      <c r="J123" s="24">
        <v>1037626</v>
      </c>
      <c r="K123" s="24">
        <v>9</v>
      </c>
      <c r="L123" s="24" t="s">
        <v>256</v>
      </c>
    </row>
    <row r="124" spans="1:12">
      <c r="A124" s="67" t="str">
        <f t="shared" si="6"/>
        <v>PROTECTIONTYP_EPC_LBL45626COERÊNCIA</v>
      </c>
      <c r="B124" s="67" t="str">
        <f t="shared" si="7"/>
        <v>PROTECTIONTYP_EPC_LBL45626COERÊNCIA1</v>
      </c>
      <c r="C124" s="24" t="s">
        <v>134</v>
      </c>
      <c r="D124" s="24" t="s">
        <v>233</v>
      </c>
      <c r="E124" s="24" t="s">
        <v>246</v>
      </c>
      <c r="F124" s="24" t="s">
        <v>257</v>
      </c>
      <c r="G124" s="24" t="s">
        <v>137</v>
      </c>
      <c r="H124" s="30">
        <v>45626</v>
      </c>
      <c r="I124" s="24">
        <v>473962</v>
      </c>
      <c r="J124" s="24">
        <v>0</v>
      </c>
      <c r="K124" s="24" t="s">
        <v>258</v>
      </c>
      <c r="L124" s="24" t="s">
        <v>259</v>
      </c>
    </row>
    <row r="125" spans="1:12">
      <c r="A125" s="67" t="str">
        <f t="shared" si="6"/>
        <v>PROTECTIONTYP_EPC_LBL45626VALIDADE</v>
      </c>
      <c r="B125" s="67" t="str">
        <f t="shared" si="7"/>
        <v>PROTECTIONTYP_EPC_LBL45626VALIDADE10</v>
      </c>
      <c r="C125" s="24" t="s">
        <v>134</v>
      </c>
      <c r="D125" s="24" t="s">
        <v>237</v>
      </c>
      <c r="E125" s="24" t="s">
        <v>246</v>
      </c>
      <c r="F125" s="24" t="s">
        <v>238</v>
      </c>
      <c r="G125" s="24" t="s">
        <v>137</v>
      </c>
      <c r="H125" s="30">
        <v>45626</v>
      </c>
      <c r="I125" s="24">
        <v>473962</v>
      </c>
      <c r="J125" s="24">
        <v>0</v>
      </c>
      <c r="K125" s="24" t="s">
        <v>260</v>
      </c>
      <c r="L125" s="24" t="s">
        <v>259</v>
      </c>
    </row>
    <row r="126" spans="1:12">
      <c r="A126" s="67" t="str">
        <f t="shared" si="6"/>
        <v>PROTECTIONTYP_EPC_LBL45626CARACTERES ESPECIAIS</v>
      </c>
      <c r="B126" s="67" t="str">
        <f t="shared" si="7"/>
        <v>PROTECTIONTYP_EPC_LBL45626CARACTERES ESPECIAIS10</v>
      </c>
      <c r="C126" s="24" t="s">
        <v>134</v>
      </c>
      <c r="D126" s="24" t="s">
        <v>239</v>
      </c>
      <c r="E126" s="24" t="s">
        <v>246</v>
      </c>
      <c r="F126" s="24" t="s">
        <v>238</v>
      </c>
      <c r="G126" s="24" t="s">
        <v>137</v>
      </c>
      <c r="H126" s="30">
        <v>45626</v>
      </c>
      <c r="I126" s="24">
        <v>473962</v>
      </c>
      <c r="J126" s="24">
        <v>0</v>
      </c>
      <c r="K126" s="24" t="s">
        <v>260</v>
      </c>
      <c r="L126" s="24" t="s">
        <v>259</v>
      </c>
    </row>
    <row r="127" spans="1:12">
      <c r="A127" s="67" t="str">
        <f t="shared" ref="A127:A190" si="8">+C127&amp;G127&amp;H127&amp;D127</f>
        <v>PROTECTIONTYP_EPC_LBL45626MISSINGS</v>
      </c>
      <c r="B127" s="67" t="str">
        <f t="shared" ref="B127:B190" si="9">+C127&amp;G127&amp;H127&amp;D127&amp;K127</f>
        <v>PROTECTIONTYP_EPC_LBL45626MISSINGS10</v>
      </c>
      <c r="C127" s="24" t="s">
        <v>134</v>
      </c>
      <c r="D127" s="24" t="s">
        <v>240</v>
      </c>
      <c r="E127" s="24" t="s">
        <v>246</v>
      </c>
      <c r="F127" s="24" t="s">
        <v>238</v>
      </c>
      <c r="G127" s="24" t="s">
        <v>137</v>
      </c>
      <c r="H127" s="30">
        <v>45626</v>
      </c>
      <c r="I127" s="24">
        <v>473962</v>
      </c>
      <c r="J127" s="24">
        <v>191863</v>
      </c>
      <c r="K127" s="24" t="s">
        <v>260</v>
      </c>
      <c r="L127" s="24" t="s">
        <v>259</v>
      </c>
    </row>
    <row r="128" spans="1:12">
      <c r="A128" s="67" t="str">
        <f t="shared" si="8"/>
        <v>PROTECTIONTYP_EPC_LBL45626NOT APPLICABLE</v>
      </c>
      <c r="B128" s="67" t="str">
        <f t="shared" si="9"/>
        <v>PROTECTIONTYP_EPC_LBL45626NOT APPLICABLE10</v>
      </c>
      <c r="C128" s="24" t="s">
        <v>134</v>
      </c>
      <c r="D128" s="24" t="s">
        <v>241</v>
      </c>
      <c r="E128" s="24" t="s">
        <v>246</v>
      </c>
      <c r="F128" s="24" t="s">
        <v>238</v>
      </c>
      <c r="G128" s="24" t="s">
        <v>137</v>
      </c>
      <c r="H128" s="30">
        <v>45626</v>
      </c>
      <c r="I128" s="24">
        <v>473962</v>
      </c>
      <c r="J128" s="24">
        <v>199926</v>
      </c>
      <c r="K128" s="24" t="s">
        <v>260</v>
      </c>
      <c r="L128" s="24" t="s">
        <v>259</v>
      </c>
    </row>
    <row r="129" spans="1:12">
      <c r="A129" s="67" t="str">
        <f t="shared" si="8"/>
        <v>ENTITYESG_SBSCTR45626COERÊNCIA</v>
      </c>
      <c r="B129" s="67" t="str">
        <f t="shared" si="9"/>
        <v>ENTITYESG_SBSCTR45626COERÊNCIA1</v>
      </c>
      <c r="C129" s="24" t="s">
        <v>98</v>
      </c>
      <c r="D129" s="24" t="s">
        <v>233</v>
      </c>
      <c r="E129" s="24" t="s">
        <v>234</v>
      </c>
      <c r="F129" s="24" t="s">
        <v>261</v>
      </c>
      <c r="G129" s="24" t="s">
        <v>125</v>
      </c>
      <c r="H129" s="30">
        <v>45626</v>
      </c>
      <c r="I129" s="24">
        <v>1117400</v>
      </c>
      <c r="J129" s="24">
        <v>0</v>
      </c>
      <c r="K129" s="24" t="s">
        <v>258</v>
      </c>
      <c r="L129" s="24" t="s">
        <v>262</v>
      </c>
    </row>
    <row r="130" spans="1:12">
      <c r="A130" s="67" t="str">
        <f t="shared" si="8"/>
        <v>ENTITYESG_SBSCTR45626VALIDADE</v>
      </c>
      <c r="B130" s="67" t="str">
        <f t="shared" si="9"/>
        <v>ENTITYESG_SBSCTR45626VALIDADE10</v>
      </c>
      <c r="C130" s="24" t="s">
        <v>98</v>
      </c>
      <c r="D130" s="24" t="s">
        <v>237</v>
      </c>
      <c r="E130" s="24" t="s">
        <v>234</v>
      </c>
      <c r="F130" s="24" t="s">
        <v>238</v>
      </c>
      <c r="G130" s="24" t="s">
        <v>125</v>
      </c>
      <c r="H130" s="30">
        <v>45626</v>
      </c>
      <c r="I130" s="24">
        <v>1117432</v>
      </c>
      <c r="J130" s="24">
        <v>0</v>
      </c>
      <c r="K130" s="24" t="s">
        <v>260</v>
      </c>
      <c r="L130" s="24" t="s">
        <v>262</v>
      </c>
    </row>
    <row r="131" spans="1:12">
      <c r="A131" s="67" t="str">
        <f t="shared" si="8"/>
        <v>ENTITYESG_SBSCTR45626CARACTERES ESPECIAIS</v>
      </c>
      <c r="B131" s="67" t="str">
        <f t="shared" si="9"/>
        <v>ENTITYESG_SBSCTR45626CARACTERES ESPECIAIS10</v>
      </c>
      <c r="C131" s="24" t="s">
        <v>98</v>
      </c>
      <c r="D131" s="24" t="s">
        <v>239</v>
      </c>
      <c r="E131" s="24" t="s">
        <v>234</v>
      </c>
      <c r="F131" s="24" t="s">
        <v>238</v>
      </c>
      <c r="G131" s="24" t="s">
        <v>125</v>
      </c>
      <c r="H131" s="30">
        <v>45626</v>
      </c>
      <c r="I131" s="24">
        <v>1117432</v>
      </c>
      <c r="J131" s="24">
        <v>0</v>
      </c>
      <c r="K131" s="24" t="s">
        <v>260</v>
      </c>
      <c r="L131" s="24" t="s">
        <v>262</v>
      </c>
    </row>
    <row r="132" spans="1:12">
      <c r="A132" s="67" t="str">
        <f t="shared" si="8"/>
        <v>ENTITYESG_SBSCTR45626MISSINGS</v>
      </c>
      <c r="B132" s="67" t="str">
        <f t="shared" si="9"/>
        <v>ENTITYESG_SBSCTR45626MISSINGS10</v>
      </c>
      <c r="C132" s="24" t="s">
        <v>98</v>
      </c>
      <c r="D132" s="24" t="s">
        <v>240</v>
      </c>
      <c r="E132" s="24" t="s">
        <v>234</v>
      </c>
      <c r="F132" s="24" t="s">
        <v>238</v>
      </c>
      <c r="G132" s="24" t="s">
        <v>125</v>
      </c>
      <c r="H132" s="30">
        <v>45626</v>
      </c>
      <c r="I132" s="24">
        <v>1117432</v>
      </c>
      <c r="J132" s="24">
        <v>109</v>
      </c>
      <c r="K132" s="24" t="s">
        <v>260</v>
      </c>
      <c r="L132" s="24" t="s">
        <v>262</v>
      </c>
    </row>
    <row r="133" spans="1:12">
      <c r="A133" s="67" t="str">
        <f t="shared" si="8"/>
        <v>ENTITYESG_SBSCTR45626NOT APPLICABLE</v>
      </c>
      <c r="B133" s="67" t="str">
        <f t="shared" si="9"/>
        <v>ENTITYESG_SBSCTR45626NOT APPLICABLE10</v>
      </c>
      <c r="C133" s="24" t="s">
        <v>98</v>
      </c>
      <c r="D133" s="24" t="s">
        <v>241</v>
      </c>
      <c r="E133" s="24" t="s">
        <v>234</v>
      </c>
      <c r="F133" s="24" t="s">
        <v>238</v>
      </c>
      <c r="G133" s="24" t="s">
        <v>125</v>
      </c>
      <c r="H133" s="30">
        <v>45626</v>
      </c>
      <c r="I133" s="24">
        <v>1117432</v>
      </c>
      <c r="J133" s="24">
        <v>1116254</v>
      </c>
      <c r="K133" s="24" t="s">
        <v>260</v>
      </c>
      <c r="L133" s="24" t="s">
        <v>262</v>
      </c>
    </row>
    <row r="134" spans="1:12">
      <c r="A134" s="67" t="str">
        <f t="shared" si="8"/>
        <v>ENTITYTTL_LBLTY45626COERÊNCIA</v>
      </c>
      <c r="B134" s="67" t="str">
        <f t="shared" si="9"/>
        <v>ENTITYTTL_LBLTY45626COERÊNCIA10</v>
      </c>
      <c r="C134" s="24" t="s">
        <v>98</v>
      </c>
      <c r="D134" s="24" t="s">
        <v>233</v>
      </c>
      <c r="E134" s="24" t="s">
        <v>234</v>
      </c>
      <c r="F134" s="24" t="s">
        <v>261</v>
      </c>
      <c r="G134" s="24" t="s">
        <v>126</v>
      </c>
      <c r="H134" s="30">
        <v>45626</v>
      </c>
      <c r="I134" s="24">
        <v>1117400</v>
      </c>
      <c r="J134" s="24">
        <v>0</v>
      </c>
      <c r="K134" s="24" t="s">
        <v>260</v>
      </c>
      <c r="L134" s="24" t="s">
        <v>263</v>
      </c>
    </row>
    <row r="135" spans="1:12">
      <c r="A135" s="67" t="str">
        <f t="shared" si="8"/>
        <v>ENTITYTTL_LBLTY45626VALIDADE</v>
      </c>
      <c r="B135" s="67" t="str">
        <f t="shared" si="9"/>
        <v>ENTITYTTL_LBLTY45626VALIDADE10</v>
      </c>
      <c r="C135" s="24" t="s">
        <v>98</v>
      </c>
      <c r="D135" s="24" t="s">
        <v>237</v>
      </c>
      <c r="E135" s="24" t="s">
        <v>234</v>
      </c>
      <c r="F135" s="24" t="s">
        <v>238</v>
      </c>
      <c r="G135" s="24" t="s">
        <v>126</v>
      </c>
      <c r="H135" s="30">
        <v>45626</v>
      </c>
      <c r="I135" s="24">
        <v>1117432</v>
      </c>
      <c r="J135" s="24">
        <v>0</v>
      </c>
      <c r="K135" s="24" t="s">
        <v>260</v>
      </c>
      <c r="L135" s="24" t="s">
        <v>263</v>
      </c>
    </row>
    <row r="136" spans="1:12">
      <c r="A136" s="67" t="str">
        <f t="shared" si="8"/>
        <v>ENTITYTTL_LBLTY45626CARACTERES ESPECIAIS</v>
      </c>
      <c r="B136" s="67" t="str">
        <f t="shared" si="9"/>
        <v>ENTITYTTL_LBLTY45626CARACTERES ESPECIAIS10</v>
      </c>
      <c r="C136" s="24" t="s">
        <v>98</v>
      </c>
      <c r="D136" s="24" t="s">
        <v>239</v>
      </c>
      <c r="E136" s="24" t="s">
        <v>234</v>
      </c>
      <c r="F136" s="24" t="s">
        <v>238</v>
      </c>
      <c r="G136" s="24" t="s">
        <v>126</v>
      </c>
      <c r="H136" s="30">
        <v>45626</v>
      </c>
      <c r="I136" s="24">
        <v>1117432</v>
      </c>
      <c r="J136" s="24">
        <v>0</v>
      </c>
      <c r="K136" s="24" t="s">
        <v>260</v>
      </c>
      <c r="L136" s="24" t="s">
        <v>263</v>
      </c>
    </row>
    <row r="137" spans="1:12">
      <c r="A137" s="67" t="str">
        <f t="shared" si="8"/>
        <v>ENTITYTTL_LBLTY45626MISSINGS</v>
      </c>
      <c r="B137" s="67" t="str">
        <f t="shared" si="9"/>
        <v>ENTITYTTL_LBLTY45626MISSINGS10</v>
      </c>
      <c r="C137" s="24" t="s">
        <v>98</v>
      </c>
      <c r="D137" s="24" t="s">
        <v>240</v>
      </c>
      <c r="E137" s="24" t="s">
        <v>234</v>
      </c>
      <c r="F137" s="24" t="s">
        <v>238</v>
      </c>
      <c r="G137" s="24" t="s">
        <v>126</v>
      </c>
      <c r="H137" s="30">
        <v>45626</v>
      </c>
      <c r="I137" s="24">
        <v>1117432</v>
      </c>
      <c r="J137" s="24">
        <v>12848</v>
      </c>
      <c r="K137" s="24" t="s">
        <v>260</v>
      </c>
      <c r="L137" s="24" t="s">
        <v>263</v>
      </c>
    </row>
    <row r="138" spans="1:12">
      <c r="A138" s="67" t="str">
        <f t="shared" si="8"/>
        <v>ENTITYTTL_LBLTY45626NOT APPLICABLE</v>
      </c>
      <c r="B138" s="67" t="str">
        <f t="shared" si="9"/>
        <v>ENTITYTTL_LBLTY45626NOT APPLICABLE10</v>
      </c>
      <c r="C138" s="24" t="s">
        <v>98</v>
      </c>
      <c r="D138" s="24" t="s">
        <v>241</v>
      </c>
      <c r="E138" s="24" t="s">
        <v>234</v>
      </c>
      <c r="F138" s="24" t="s">
        <v>238</v>
      </c>
      <c r="G138" s="24" t="s">
        <v>126</v>
      </c>
      <c r="H138" s="30">
        <v>45626</v>
      </c>
      <c r="I138" s="24">
        <v>1117432</v>
      </c>
      <c r="J138" s="24">
        <v>1036869</v>
      </c>
      <c r="K138" s="24" t="s">
        <v>260</v>
      </c>
      <c r="L138" s="24" t="s">
        <v>263</v>
      </c>
    </row>
    <row r="139" spans="1:12">
      <c r="A139" s="67" t="str">
        <f t="shared" si="8"/>
        <v>ENTITYISIN45626COERÊNCIA</v>
      </c>
      <c r="B139" s="67" t="str">
        <f t="shared" si="9"/>
        <v>ENTITYISIN45626COERÊNCIA1</v>
      </c>
      <c r="C139" s="24" t="s">
        <v>98</v>
      </c>
      <c r="D139" s="24" t="s">
        <v>233</v>
      </c>
      <c r="E139" s="24" t="s">
        <v>234</v>
      </c>
      <c r="F139" s="24" t="s">
        <v>261</v>
      </c>
      <c r="G139" s="24" t="s">
        <v>127</v>
      </c>
      <c r="H139" s="30">
        <v>45626</v>
      </c>
      <c r="I139" s="24">
        <v>1117400</v>
      </c>
      <c r="J139" s="24">
        <v>0</v>
      </c>
      <c r="K139" s="24" t="s">
        <v>258</v>
      </c>
      <c r="L139" s="24" t="s">
        <v>264</v>
      </c>
    </row>
    <row r="140" spans="1:12">
      <c r="A140" s="67" t="str">
        <f t="shared" si="8"/>
        <v>ENTITYISIN45626VALIDADE</v>
      </c>
      <c r="B140" s="67" t="str">
        <f t="shared" si="9"/>
        <v>ENTITYISIN45626VALIDADE10</v>
      </c>
      <c r="C140" s="24" t="s">
        <v>98</v>
      </c>
      <c r="D140" s="24" t="s">
        <v>237</v>
      </c>
      <c r="E140" s="24" t="s">
        <v>234</v>
      </c>
      <c r="F140" s="24" t="s">
        <v>238</v>
      </c>
      <c r="G140" s="24" t="s">
        <v>127</v>
      </c>
      <c r="H140" s="30">
        <v>45626</v>
      </c>
      <c r="I140" s="24">
        <v>1117432</v>
      </c>
      <c r="J140" s="24">
        <v>8</v>
      </c>
      <c r="K140" s="24" t="s">
        <v>260</v>
      </c>
      <c r="L140" s="24" t="s">
        <v>264</v>
      </c>
    </row>
    <row r="141" spans="1:12">
      <c r="A141" s="67" t="str">
        <f t="shared" si="8"/>
        <v>ENTITYISIN45626CARACTERES ESPECIAIS</v>
      </c>
      <c r="B141" s="67" t="str">
        <f t="shared" si="9"/>
        <v>ENTITYISIN45626CARACTERES ESPECIAIS10</v>
      </c>
      <c r="C141" s="24" t="s">
        <v>98</v>
      </c>
      <c r="D141" s="24" t="s">
        <v>239</v>
      </c>
      <c r="E141" s="24" t="s">
        <v>234</v>
      </c>
      <c r="F141" s="24" t="s">
        <v>238</v>
      </c>
      <c r="G141" s="24" t="s">
        <v>127</v>
      </c>
      <c r="H141" s="30">
        <v>45626</v>
      </c>
      <c r="I141" s="24">
        <v>1117432</v>
      </c>
      <c r="J141" s="24">
        <v>0</v>
      </c>
      <c r="K141" s="24" t="s">
        <v>260</v>
      </c>
      <c r="L141" s="24" t="s">
        <v>264</v>
      </c>
    </row>
    <row r="142" spans="1:12">
      <c r="A142" s="67" t="str">
        <f t="shared" si="8"/>
        <v>ENTITYISIN45626MISSINGS</v>
      </c>
      <c r="B142" s="67" t="str">
        <f t="shared" si="9"/>
        <v>ENTITYISIN45626MISSINGS10</v>
      </c>
      <c r="C142" s="24" t="s">
        <v>98</v>
      </c>
      <c r="D142" s="24" t="s">
        <v>240</v>
      </c>
      <c r="E142" s="24" t="s">
        <v>234</v>
      </c>
      <c r="F142" s="24" t="s">
        <v>238</v>
      </c>
      <c r="G142" s="24" t="s">
        <v>127</v>
      </c>
      <c r="H142" s="30">
        <v>45626</v>
      </c>
      <c r="I142" s="24">
        <v>1117432</v>
      </c>
      <c r="J142" s="24">
        <v>79334</v>
      </c>
      <c r="K142" s="24" t="s">
        <v>260</v>
      </c>
      <c r="L142" s="24" t="s">
        <v>264</v>
      </c>
    </row>
    <row r="143" spans="1:12">
      <c r="A143" s="67" t="str">
        <f t="shared" si="8"/>
        <v>ENTITYISIN45626NOT APPLICABLE</v>
      </c>
      <c r="B143" s="67" t="str">
        <f t="shared" si="9"/>
        <v>ENTITYISIN45626NOT APPLICABLE10</v>
      </c>
      <c r="C143" s="24" t="s">
        <v>98</v>
      </c>
      <c r="D143" s="24" t="s">
        <v>241</v>
      </c>
      <c r="E143" s="24" t="s">
        <v>234</v>
      </c>
      <c r="F143" s="24" t="s">
        <v>238</v>
      </c>
      <c r="G143" s="24" t="s">
        <v>127</v>
      </c>
      <c r="H143" s="30">
        <v>45626</v>
      </c>
      <c r="I143" s="24">
        <v>1117432</v>
      </c>
      <c r="J143" s="24">
        <v>1038067</v>
      </c>
      <c r="K143" s="24" t="s">
        <v>260</v>
      </c>
      <c r="L143" s="24" t="s">
        <v>264</v>
      </c>
    </row>
    <row r="144" spans="1:12">
      <c r="A144" s="67" t="str">
        <f t="shared" si="8"/>
        <v>ENTITYCNTRPRTY_EMSSNS_SCP145626COERÊNCIA</v>
      </c>
      <c r="B144" s="67" t="str">
        <f t="shared" si="9"/>
        <v>ENTITYCNTRPRTY_EMSSNS_SCP145626COERÊNCIA10</v>
      </c>
      <c r="C144" s="24" t="s">
        <v>98</v>
      </c>
      <c r="D144" s="24" t="s">
        <v>233</v>
      </c>
      <c r="E144" s="24" t="s">
        <v>234</v>
      </c>
      <c r="F144" s="24" t="s">
        <v>261</v>
      </c>
      <c r="G144" s="24" t="s">
        <v>117</v>
      </c>
      <c r="H144" s="30">
        <v>45626</v>
      </c>
      <c r="I144" s="24">
        <v>1117400</v>
      </c>
      <c r="J144" s="24">
        <v>0</v>
      </c>
      <c r="K144" s="24" t="s">
        <v>260</v>
      </c>
      <c r="L144" s="24" t="s">
        <v>265</v>
      </c>
    </row>
    <row r="145" spans="1:12">
      <c r="A145" s="67" t="str">
        <f t="shared" si="8"/>
        <v>ENTITYCNTRPRTY_EMSSNS_SCP145626VALIDADE</v>
      </c>
      <c r="B145" s="67" t="str">
        <f t="shared" si="9"/>
        <v>ENTITYCNTRPRTY_EMSSNS_SCP145626VALIDADE10</v>
      </c>
      <c r="C145" s="24" t="s">
        <v>98</v>
      </c>
      <c r="D145" s="24" t="s">
        <v>237</v>
      </c>
      <c r="E145" s="24" t="s">
        <v>234</v>
      </c>
      <c r="F145" s="24" t="s">
        <v>238</v>
      </c>
      <c r="G145" s="24" t="s">
        <v>117</v>
      </c>
      <c r="H145" s="30">
        <v>45626</v>
      </c>
      <c r="I145" s="24">
        <v>1117432</v>
      </c>
      <c r="J145" s="24">
        <v>0</v>
      </c>
      <c r="K145" s="24" t="s">
        <v>260</v>
      </c>
      <c r="L145" s="24" t="s">
        <v>265</v>
      </c>
    </row>
    <row r="146" spans="1:12">
      <c r="A146" s="67" t="str">
        <f t="shared" si="8"/>
        <v>ENTITYCNTRPRTY_EMSSNS_SCP145626CARACTERES ESPECIAIS</v>
      </c>
      <c r="B146" s="67" t="str">
        <f t="shared" si="9"/>
        <v>ENTITYCNTRPRTY_EMSSNS_SCP145626CARACTERES ESPECIAIS10</v>
      </c>
      <c r="C146" s="24" t="s">
        <v>98</v>
      </c>
      <c r="D146" s="24" t="s">
        <v>239</v>
      </c>
      <c r="E146" s="24" t="s">
        <v>234</v>
      </c>
      <c r="F146" s="24" t="s">
        <v>238</v>
      </c>
      <c r="G146" s="24" t="s">
        <v>117</v>
      </c>
      <c r="H146" s="30">
        <v>45626</v>
      </c>
      <c r="I146" s="24">
        <v>1117432</v>
      </c>
      <c r="J146" s="24">
        <v>0</v>
      </c>
      <c r="K146" s="24" t="s">
        <v>260</v>
      </c>
      <c r="L146" s="24" t="s">
        <v>265</v>
      </c>
    </row>
    <row r="147" spans="1:12">
      <c r="A147" s="67" t="str">
        <f t="shared" si="8"/>
        <v>ENTITYCNTRPRTY_EMSSNS_SCP145626MISSINGS</v>
      </c>
      <c r="B147" s="67" t="str">
        <f t="shared" si="9"/>
        <v>ENTITYCNTRPRTY_EMSSNS_SCP145626MISSINGS10</v>
      </c>
      <c r="C147" s="24" t="s">
        <v>98</v>
      </c>
      <c r="D147" s="24" t="s">
        <v>240</v>
      </c>
      <c r="E147" s="24" t="s">
        <v>234</v>
      </c>
      <c r="F147" s="24" t="s">
        <v>238</v>
      </c>
      <c r="G147" s="24" t="s">
        <v>117</v>
      </c>
      <c r="H147" s="30">
        <v>45626</v>
      </c>
      <c r="I147" s="24">
        <v>1117432</v>
      </c>
      <c r="J147" s="24">
        <v>1367</v>
      </c>
      <c r="K147" s="24" t="s">
        <v>260</v>
      </c>
      <c r="L147" s="24" t="s">
        <v>265</v>
      </c>
    </row>
    <row r="148" spans="1:12">
      <c r="A148" s="67" t="str">
        <f t="shared" si="8"/>
        <v>ENTITYCNTRPRTY_EMSSNS_SCP145626NOT APPLICABLE</v>
      </c>
      <c r="B148" s="67" t="str">
        <f t="shared" si="9"/>
        <v>ENTITYCNTRPRTY_EMSSNS_SCP145626NOT APPLICABLE10</v>
      </c>
      <c r="C148" s="24" t="s">
        <v>98</v>
      </c>
      <c r="D148" s="24" t="s">
        <v>241</v>
      </c>
      <c r="E148" s="24" t="s">
        <v>234</v>
      </c>
      <c r="F148" s="24" t="s">
        <v>238</v>
      </c>
      <c r="G148" s="24" t="s">
        <v>117</v>
      </c>
      <c r="H148" s="30">
        <v>45626</v>
      </c>
      <c r="I148" s="24">
        <v>1117432</v>
      </c>
      <c r="J148" s="24">
        <v>1038183</v>
      </c>
      <c r="K148" s="24" t="s">
        <v>260</v>
      </c>
      <c r="L148" s="24" t="s">
        <v>265</v>
      </c>
    </row>
    <row r="149" spans="1:12">
      <c r="A149" s="67" t="str">
        <f t="shared" si="8"/>
        <v>ENTITYCNTRPRTY_EMSSNS_SCP245626COERÊNCIA</v>
      </c>
      <c r="B149" s="67" t="str">
        <f t="shared" si="9"/>
        <v>ENTITYCNTRPRTY_EMSSNS_SCP245626COERÊNCIA10</v>
      </c>
      <c r="C149" s="24" t="s">
        <v>98</v>
      </c>
      <c r="D149" s="24" t="s">
        <v>233</v>
      </c>
      <c r="E149" s="24" t="s">
        <v>234</v>
      </c>
      <c r="F149" s="24" t="s">
        <v>261</v>
      </c>
      <c r="G149" s="24" t="s">
        <v>118</v>
      </c>
      <c r="H149" s="30">
        <v>45626</v>
      </c>
      <c r="I149" s="24">
        <v>1117400</v>
      </c>
      <c r="J149" s="24">
        <v>0</v>
      </c>
      <c r="K149" s="24" t="s">
        <v>260</v>
      </c>
      <c r="L149" s="24" t="s">
        <v>266</v>
      </c>
    </row>
    <row r="150" spans="1:12">
      <c r="A150" s="67" t="str">
        <f t="shared" si="8"/>
        <v>ENTITYCNTRPRTY_EMSSNS_SCP245626VALIDADE</v>
      </c>
      <c r="B150" s="67" t="str">
        <f t="shared" si="9"/>
        <v>ENTITYCNTRPRTY_EMSSNS_SCP245626VALIDADE10</v>
      </c>
      <c r="C150" s="24" t="s">
        <v>98</v>
      </c>
      <c r="D150" s="24" t="s">
        <v>237</v>
      </c>
      <c r="E150" s="24" t="s">
        <v>234</v>
      </c>
      <c r="F150" s="24" t="s">
        <v>238</v>
      </c>
      <c r="G150" s="24" t="s">
        <v>118</v>
      </c>
      <c r="H150" s="30">
        <v>45626</v>
      </c>
      <c r="I150" s="24">
        <v>1117432</v>
      </c>
      <c r="J150" s="24">
        <v>0</v>
      </c>
      <c r="K150" s="24" t="s">
        <v>260</v>
      </c>
      <c r="L150" s="24" t="s">
        <v>266</v>
      </c>
    </row>
    <row r="151" spans="1:12">
      <c r="A151" s="67" t="str">
        <f t="shared" si="8"/>
        <v>ENTITYCNTRPRTY_EMSSNS_SCP245626CARACTERES ESPECIAIS</v>
      </c>
      <c r="B151" s="67" t="str">
        <f t="shared" si="9"/>
        <v>ENTITYCNTRPRTY_EMSSNS_SCP245626CARACTERES ESPECIAIS10</v>
      </c>
      <c r="C151" s="24" t="s">
        <v>98</v>
      </c>
      <c r="D151" s="24" t="s">
        <v>239</v>
      </c>
      <c r="E151" s="24" t="s">
        <v>234</v>
      </c>
      <c r="F151" s="24" t="s">
        <v>238</v>
      </c>
      <c r="G151" s="24" t="s">
        <v>118</v>
      </c>
      <c r="H151" s="30">
        <v>45626</v>
      </c>
      <c r="I151" s="24">
        <v>1117432</v>
      </c>
      <c r="J151" s="24">
        <v>0</v>
      </c>
      <c r="K151" s="24" t="s">
        <v>260</v>
      </c>
      <c r="L151" s="24" t="s">
        <v>266</v>
      </c>
    </row>
    <row r="152" spans="1:12">
      <c r="A152" s="67" t="str">
        <f t="shared" si="8"/>
        <v>ENTITYCNTRPRTY_EMSSNS_SCP245626MISSINGS</v>
      </c>
      <c r="B152" s="67" t="str">
        <f t="shared" si="9"/>
        <v>ENTITYCNTRPRTY_EMSSNS_SCP245626MISSINGS10</v>
      </c>
      <c r="C152" s="24" t="s">
        <v>98</v>
      </c>
      <c r="D152" s="24" t="s">
        <v>240</v>
      </c>
      <c r="E152" s="24" t="s">
        <v>234</v>
      </c>
      <c r="F152" s="24" t="s">
        <v>238</v>
      </c>
      <c r="G152" s="24" t="s">
        <v>118</v>
      </c>
      <c r="H152" s="30">
        <v>45626</v>
      </c>
      <c r="I152" s="24">
        <v>1117432</v>
      </c>
      <c r="J152" s="24">
        <v>1367</v>
      </c>
      <c r="K152" s="24" t="s">
        <v>260</v>
      </c>
      <c r="L152" s="24" t="s">
        <v>266</v>
      </c>
    </row>
    <row r="153" spans="1:12">
      <c r="A153" s="67" t="str">
        <f t="shared" si="8"/>
        <v>ENTITYCNTRPRTY_EMSSNS_SCP245626NOT APPLICABLE</v>
      </c>
      <c r="B153" s="67" t="str">
        <f t="shared" si="9"/>
        <v>ENTITYCNTRPRTY_EMSSNS_SCP245626NOT APPLICABLE10</v>
      </c>
      <c r="C153" s="24" t="s">
        <v>98</v>
      </c>
      <c r="D153" s="24" t="s">
        <v>241</v>
      </c>
      <c r="E153" s="24" t="s">
        <v>234</v>
      </c>
      <c r="F153" s="24" t="s">
        <v>238</v>
      </c>
      <c r="G153" s="24" t="s">
        <v>118</v>
      </c>
      <c r="H153" s="30">
        <v>45626</v>
      </c>
      <c r="I153" s="24">
        <v>1117432</v>
      </c>
      <c r="J153" s="24">
        <v>1038183</v>
      </c>
      <c r="K153" s="24" t="s">
        <v>260</v>
      </c>
      <c r="L153" s="24" t="s">
        <v>266</v>
      </c>
    </row>
    <row r="154" spans="1:12">
      <c r="A154" s="67" t="str">
        <f t="shared" si="8"/>
        <v>ENTITYCNTRPRTY_EMSSNS_SCP345626COERÊNCIA</v>
      </c>
      <c r="B154" s="67" t="str">
        <f t="shared" si="9"/>
        <v>ENTITYCNTRPRTY_EMSSNS_SCP345626COERÊNCIA10</v>
      </c>
      <c r="C154" s="24" t="s">
        <v>98</v>
      </c>
      <c r="D154" s="24" t="s">
        <v>233</v>
      </c>
      <c r="E154" s="24" t="s">
        <v>234</v>
      </c>
      <c r="F154" s="24" t="s">
        <v>261</v>
      </c>
      <c r="G154" s="24" t="s">
        <v>119</v>
      </c>
      <c r="H154" s="30">
        <v>45626</v>
      </c>
      <c r="I154" s="24">
        <v>1117400</v>
      </c>
      <c r="J154" s="24">
        <v>0</v>
      </c>
      <c r="K154" s="24" t="s">
        <v>260</v>
      </c>
      <c r="L154" s="24" t="s">
        <v>267</v>
      </c>
    </row>
    <row r="155" spans="1:12">
      <c r="A155" s="67" t="str">
        <f t="shared" si="8"/>
        <v>ENTITYCNTRPRTY_EMSSNS_SCP345626VALIDADE</v>
      </c>
      <c r="B155" s="67" t="str">
        <f t="shared" si="9"/>
        <v>ENTITYCNTRPRTY_EMSSNS_SCP345626VALIDADE10</v>
      </c>
      <c r="C155" s="24" t="s">
        <v>98</v>
      </c>
      <c r="D155" s="24" t="s">
        <v>237</v>
      </c>
      <c r="E155" s="24" t="s">
        <v>234</v>
      </c>
      <c r="F155" s="24" t="s">
        <v>238</v>
      </c>
      <c r="G155" s="24" t="s">
        <v>119</v>
      </c>
      <c r="H155" s="30">
        <v>45626</v>
      </c>
      <c r="I155" s="24">
        <v>1117432</v>
      </c>
      <c r="J155" s="24">
        <v>0</v>
      </c>
      <c r="K155" s="24" t="s">
        <v>260</v>
      </c>
      <c r="L155" s="24" t="s">
        <v>267</v>
      </c>
    </row>
    <row r="156" spans="1:12">
      <c r="A156" s="67" t="str">
        <f t="shared" si="8"/>
        <v>ENTITYCNTRPRTY_EMSSNS_SCP345626CARACTERES ESPECIAIS</v>
      </c>
      <c r="B156" s="67" t="str">
        <f t="shared" si="9"/>
        <v>ENTITYCNTRPRTY_EMSSNS_SCP345626CARACTERES ESPECIAIS10</v>
      </c>
      <c r="C156" s="24" t="s">
        <v>98</v>
      </c>
      <c r="D156" s="24" t="s">
        <v>239</v>
      </c>
      <c r="E156" s="24" t="s">
        <v>234</v>
      </c>
      <c r="F156" s="24" t="s">
        <v>238</v>
      </c>
      <c r="G156" s="24" t="s">
        <v>119</v>
      </c>
      <c r="H156" s="30">
        <v>45626</v>
      </c>
      <c r="I156" s="24">
        <v>1117432</v>
      </c>
      <c r="J156" s="24">
        <v>0</v>
      </c>
      <c r="K156" s="24" t="s">
        <v>260</v>
      </c>
      <c r="L156" s="24" t="s">
        <v>267</v>
      </c>
    </row>
    <row r="157" spans="1:12">
      <c r="A157" s="67" t="str">
        <f t="shared" si="8"/>
        <v>ENTITYCNTRPRTY_EMSSNS_SCP345626MISSINGS</v>
      </c>
      <c r="B157" s="67" t="str">
        <f t="shared" si="9"/>
        <v>ENTITYCNTRPRTY_EMSSNS_SCP345626MISSINGS10</v>
      </c>
      <c r="C157" s="24" t="s">
        <v>98</v>
      </c>
      <c r="D157" s="24" t="s">
        <v>240</v>
      </c>
      <c r="E157" s="24" t="s">
        <v>234</v>
      </c>
      <c r="F157" s="24" t="s">
        <v>238</v>
      </c>
      <c r="G157" s="24" t="s">
        <v>119</v>
      </c>
      <c r="H157" s="30">
        <v>45626</v>
      </c>
      <c r="I157" s="24">
        <v>1117432</v>
      </c>
      <c r="J157" s="24">
        <v>1367</v>
      </c>
      <c r="K157" s="24" t="s">
        <v>260</v>
      </c>
      <c r="L157" s="24" t="s">
        <v>267</v>
      </c>
    </row>
    <row r="158" spans="1:12">
      <c r="A158" s="67" t="str">
        <f t="shared" si="8"/>
        <v>ENTITYCNTRPRTY_EMSSNS_SCP345626NOT APPLICABLE</v>
      </c>
      <c r="B158" s="67" t="str">
        <f t="shared" si="9"/>
        <v>ENTITYCNTRPRTY_EMSSNS_SCP345626NOT APPLICABLE10</v>
      </c>
      <c r="C158" s="24" t="s">
        <v>98</v>
      </c>
      <c r="D158" s="24" t="s">
        <v>241</v>
      </c>
      <c r="E158" s="24" t="s">
        <v>234</v>
      </c>
      <c r="F158" s="24" t="s">
        <v>238</v>
      </c>
      <c r="G158" s="24" t="s">
        <v>119</v>
      </c>
      <c r="H158" s="30">
        <v>45626</v>
      </c>
      <c r="I158" s="24">
        <v>1117432</v>
      </c>
      <c r="J158" s="24">
        <v>1038183</v>
      </c>
      <c r="K158" s="24" t="s">
        <v>260</v>
      </c>
      <c r="L158" s="24" t="s">
        <v>267</v>
      </c>
    </row>
    <row r="159" spans="1:12">
      <c r="A159" s="67" t="str">
        <f t="shared" si="8"/>
        <v>ENTITYFLG_ACT_PHYSCL_RSK45626COERÊNCIA</v>
      </c>
      <c r="B159" s="67" t="str">
        <f t="shared" si="9"/>
        <v>ENTITYFLG_ACT_PHYSCL_RSK45626COERÊNCIA1</v>
      </c>
      <c r="C159" s="24" t="s">
        <v>98</v>
      </c>
      <c r="D159" s="24" t="s">
        <v>233</v>
      </c>
      <c r="E159" s="24" t="s">
        <v>234</v>
      </c>
      <c r="F159" s="24" t="s">
        <v>261</v>
      </c>
      <c r="G159" s="24" t="s">
        <v>121</v>
      </c>
      <c r="H159" s="30">
        <v>45626</v>
      </c>
      <c r="I159" s="24">
        <v>1117400</v>
      </c>
      <c r="J159" s="24">
        <v>0</v>
      </c>
      <c r="K159" s="24" t="s">
        <v>258</v>
      </c>
      <c r="L159" s="24" t="s">
        <v>268</v>
      </c>
    </row>
    <row r="160" spans="1:12">
      <c r="A160" s="67" t="str">
        <f t="shared" si="8"/>
        <v>ENTITYFLG_ACT_PHYSCL_RSK45626VALIDADE</v>
      </c>
      <c r="B160" s="67" t="str">
        <f t="shared" si="9"/>
        <v>ENTITYFLG_ACT_PHYSCL_RSK45626VALIDADE10</v>
      </c>
      <c r="C160" s="24" t="s">
        <v>98</v>
      </c>
      <c r="D160" s="24" t="s">
        <v>237</v>
      </c>
      <c r="E160" s="24" t="s">
        <v>234</v>
      </c>
      <c r="F160" s="24" t="s">
        <v>238</v>
      </c>
      <c r="G160" s="24" t="s">
        <v>121</v>
      </c>
      <c r="H160" s="30">
        <v>45626</v>
      </c>
      <c r="I160" s="24">
        <v>1117432</v>
      </c>
      <c r="J160" s="24">
        <v>0</v>
      </c>
      <c r="K160" s="24" t="s">
        <v>260</v>
      </c>
      <c r="L160" s="24" t="s">
        <v>268</v>
      </c>
    </row>
    <row r="161" spans="1:12">
      <c r="A161" s="67" t="str">
        <f t="shared" si="8"/>
        <v>ENTITYFLG_ACT_PHYSCL_RSK45626CARACTERES ESPECIAIS</v>
      </c>
      <c r="B161" s="67" t="str">
        <f t="shared" si="9"/>
        <v>ENTITYFLG_ACT_PHYSCL_RSK45626CARACTERES ESPECIAIS10</v>
      </c>
      <c r="C161" s="24" t="s">
        <v>98</v>
      </c>
      <c r="D161" s="24" t="s">
        <v>239</v>
      </c>
      <c r="E161" s="24" t="s">
        <v>234</v>
      </c>
      <c r="F161" s="24" t="s">
        <v>238</v>
      </c>
      <c r="G161" s="24" t="s">
        <v>121</v>
      </c>
      <c r="H161" s="30">
        <v>45626</v>
      </c>
      <c r="I161" s="24">
        <v>1117432</v>
      </c>
      <c r="J161" s="24">
        <v>0</v>
      </c>
      <c r="K161" s="24" t="s">
        <v>260</v>
      </c>
      <c r="L161" s="24" t="s">
        <v>268</v>
      </c>
    </row>
    <row r="162" spans="1:12">
      <c r="A162" s="67" t="str">
        <f t="shared" si="8"/>
        <v>ENTITYFLG_ACT_PHYSCL_RSK45626MISSINGS</v>
      </c>
      <c r="B162" s="67" t="str">
        <f t="shared" si="9"/>
        <v>ENTITYFLG_ACT_PHYSCL_RSK45626MISSINGS10</v>
      </c>
      <c r="C162" s="24" t="s">
        <v>98</v>
      </c>
      <c r="D162" s="24" t="s">
        <v>240</v>
      </c>
      <c r="E162" s="24" t="s">
        <v>234</v>
      </c>
      <c r="F162" s="24" t="s">
        <v>238</v>
      </c>
      <c r="G162" s="24" t="s">
        <v>121</v>
      </c>
      <c r="H162" s="30">
        <v>45626</v>
      </c>
      <c r="I162" s="24">
        <v>1117432</v>
      </c>
      <c r="J162" s="24">
        <v>0</v>
      </c>
      <c r="K162" s="24" t="s">
        <v>260</v>
      </c>
      <c r="L162" s="24" t="s">
        <v>268</v>
      </c>
    </row>
    <row r="163" spans="1:12">
      <c r="A163" s="67" t="str">
        <f t="shared" si="8"/>
        <v>ENTITYFLG_ACT_PHYSCL_RSK45626NOT APPLICABLE</v>
      </c>
      <c r="B163" s="67" t="str">
        <f t="shared" si="9"/>
        <v>ENTITYFLG_ACT_PHYSCL_RSK45626NOT APPLICABLE10</v>
      </c>
      <c r="C163" s="24" t="s">
        <v>98</v>
      </c>
      <c r="D163" s="24" t="s">
        <v>241</v>
      </c>
      <c r="E163" s="24" t="s">
        <v>234</v>
      </c>
      <c r="F163" s="24" t="s">
        <v>238</v>
      </c>
      <c r="G163" s="24" t="s">
        <v>121</v>
      </c>
      <c r="H163" s="30">
        <v>45626</v>
      </c>
      <c r="I163" s="24">
        <v>1117432</v>
      </c>
      <c r="J163" s="24">
        <v>0</v>
      </c>
      <c r="K163" s="24" t="s">
        <v>260</v>
      </c>
      <c r="L163" s="24" t="s">
        <v>268</v>
      </c>
    </row>
    <row r="164" spans="1:12">
      <c r="A164" s="67" t="str">
        <f t="shared" si="8"/>
        <v>ENTITYFLG_CHRNC_PHYSCL_RSK45626COERÊNCIA</v>
      </c>
      <c r="B164" s="67" t="str">
        <f t="shared" si="9"/>
        <v>ENTITYFLG_CHRNC_PHYSCL_RSK45626COERÊNCIA1</v>
      </c>
      <c r="C164" s="24" t="s">
        <v>98</v>
      </c>
      <c r="D164" s="24" t="s">
        <v>233</v>
      </c>
      <c r="E164" s="24" t="s">
        <v>234</v>
      </c>
      <c r="F164" s="24" t="s">
        <v>261</v>
      </c>
      <c r="G164" s="24" t="s">
        <v>122</v>
      </c>
      <c r="H164" s="30">
        <v>45626</v>
      </c>
      <c r="I164" s="24">
        <v>1117400</v>
      </c>
      <c r="J164" s="24">
        <v>0</v>
      </c>
      <c r="K164" s="24" t="s">
        <v>258</v>
      </c>
      <c r="L164" s="24" t="s">
        <v>269</v>
      </c>
    </row>
    <row r="165" spans="1:12">
      <c r="A165" s="67" t="str">
        <f t="shared" si="8"/>
        <v>ENTITYFLG_CHRNC_PHYSCL_RSK45626VALIDADE</v>
      </c>
      <c r="B165" s="67" t="str">
        <f t="shared" si="9"/>
        <v>ENTITYFLG_CHRNC_PHYSCL_RSK45626VALIDADE10</v>
      </c>
      <c r="C165" s="24" t="s">
        <v>98</v>
      </c>
      <c r="D165" s="24" t="s">
        <v>237</v>
      </c>
      <c r="E165" s="24" t="s">
        <v>234</v>
      </c>
      <c r="F165" s="24" t="s">
        <v>238</v>
      </c>
      <c r="G165" s="24" t="s">
        <v>122</v>
      </c>
      <c r="H165" s="30">
        <v>45626</v>
      </c>
      <c r="I165" s="24">
        <v>1117432</v>
      </c>
      <c r="J165" s="24">
        <v>0</v>
      </c>
      <c r="K165" s="24" t="s">
        <v>260</v>
      </c>
      <c r="L165" s="24" t="s">
        <v>269</v>
      </c>
    </row>
    <row r="166" spans="1:12">
      <c r="A166" s="67" t="str">
        <f t="shared" si="8"/>
        <v>ENTITYFLG_CHRNC_PHYSCL_RSK45626CARACTERES ESPECIAIS</v>
      </c>
      <c r="B166" s="67" t="str">
        <f t="shared" si="9"/>
        <v>ENTITYFLG_CHRNC_PHYSCL_RSK45626CARACTERES ESPECIAIS10</v>
      </c>
      <c r="C166" s="24" t="s">
        <v>98</v>
      </c>
      <c r="D166" s="24" t="s">
        <v>239</v>
      </c>
      <c r="E166" s="24" t="s">
        <v>234</v>
      </c>
      <c r="F166" s="24" t="s">
        <v>238</v>
      </c>
      <c r="G166" s="24" t="s">
        <v>122</v>
      </c>
      <c r="H166" s="30">
        <v>45626</v>
      </c>
      <c r="I166" s="24">
        <v>1117432</v>
      </c>
      <c r="J166" s="24">
        <v>0</v>
      </c>
      <c r="K166" s="24" t="s">
        <v>260</v>
      </c>
      <c r="L166" s="24" t="s">
        <v>269</v>
      </c>
    </row>
    <row r="167" spans="1:12">
      <c r="A167" s="67" t="str">
        <f t="shared" si="8"/>
        <v>ENTITYFLG_CHRNC_PHYSCL_RSK45626MISSINGS</v>
      </c>
      <c r="B167" s="67" t="str">
        <f t="shared" si="9"/>
        <v>ENTITYFLG_CHRNC_PHYSCL_RSK45626MISSINGS10</v>
      </c>
      <c r="C167" s="24" t="s">
        <v>98</v>
      </c>
      <c r="D167" s="24" t="s">
        <v>240</v>
      </c>
      <c r="E167" s="24" t="s">
        <v>234</v>
      </c>
      <c r="F167" s="24" t="s">
        <v>238</v>
      </c>
      <c r="G167" s="24" t="s">
        <v>122</v>
      </c>
      <c r="H167" s="30">
        <v>45626</v>
      </c>
      <c r="I167" s="24">
        <v>1117432</v>
      </c>
      <c r="J167" s="24">
        <v>0</v>
      </c>
      <c r="K167" s="24" t="s">
        <v>260</v>
      </c>
      <c r="L167" s="24" t="s">
        <v>269</v>
      </c>
    </row>
    <row r="168" spans="1:12">
      <c r="A168" s="67" t="str">
        <f t="shared" si="8"/>
        <v>ENTITYFLG_CHRNC_PHYSCL_RSK45626NOT APPLICABLE</v>
      </c>
      <c r="B168" s="67" t="str">
        <f t="shared" si="9"/>
        <v>ENTITYFLG_CHRNC_PHYSCL_RSK45626NOT APPLICABLE10</v>
      </c>
      <c r="C168" s="24" t="s">
        <v>98</v>
      </c>
      <c r="D168" s="24" t="s">
        <v>241</v>
      </c>
      <c r="E168" s="24" t="s">
        <v>234</v>
      </c>
      <c r="F168" s="24" t="s">
        <v>238</v>
      </c>
      <c r="G168" s="24" t="s">
        <v>122</v>
      </c>
      <c r="H168" s="30">
        <v>45626</v>
      </c>
      <c r="I168" s="24">
        <v>1117432</v>
      </c>
      <c r="J168" s="24">
        <v>0</v>
      </c>
      <c r="K168" s="24" t="s">
        <v>260</v>
      </c>
      <c r="L168" s="24" t="s">
        <v>269</v>
      </c>
    </row>
    <row r="169" spans="1:12">
      <c r="A169" s="67" t="str">
        <f t="shared" si="8"/>
        <v>ENTITYFLG_GRP_NFRD_APPLCBLTY45626COERÊNCIA</v>
      </c>
      <c r="B169" s="67" t="str">
        <f t="shared" si="9"/>
        <v>ENTITYFLG_GRP_NFRD_APPLCBLTY45626COERÊNCIA1</v>
      </c>
      <c r="C169" s="24" t="s">
        <v>98</v>
      </c>
      <c r="D169" s="24" t="s">
        <v>233</v>
      </c>
      <c r="E169" s="24" t="s">
        <v>234</v>
      </c>
      <c r="F169" s="24" t="s">
        <v>261</v>
      </c>
      <c r="G169" s="24" t="s">
        <v>130</v>
      </c>
      <c r="H169" s="30">
        <v>45626</v>
      </c>
      <c r="I169" s="24">
        <v>1117400</v>
      </c>
      <c r="J169" s="24">
        <v>0</v>
      </c>
      <c r="K169" s="24" t="s">
        <v>258</v>
      </c>
      <c r="L169" s="24" t="s">
        <v>270</v>
      </c>
    </row>
    <row r="170" spans="1:12">
      <c r="A170" s="67" t="str">
        <f t="shared" si="8"/>
        <v>ENTITYFLG_GRP_NFRD_APPLCBLTY45626VALIDADE</v>
      </c>
      <c r="B170" s="67" t="str">
        <f t="shared" si="9"/>
        <v>ENTITYFLG_GRP_NFRD_APPLCBLTY45626VALIDADE10</v>
      </c>
      <c r="C170" s="24" t="s">
        <v>98</v>
      </c>
      <c r="D170" s="24" t="s">
        <v>237</v>
      </c>
      <c r="E170" s="24" t="s">
        <v>234</v>
      </c>
      <c r="F170" s="24" t="s">
        <v>238</v>
      </c>
      <c r="G170" s="24" t="s">
        <v>130</v>
      </c>
      <c r="H170" s="30">
        <v>45626</v>
      </c>
      <c r="I170" s="24">
        <v>1117432</v>
      </c>
      <c r="J170" s="24">
        <v>0</v>
      </c>
      <c r="K170" s="24" t="s">
        <v>260</v>
      </c>
      <c r="L170" s="24" t="s">
        <v>270</v>
      </c>
    </row>
    <row r="171" spans="1:12">
      <c r="A171" s="67" t="str">
        <f t="shared" si="8"/>
        <v>ENTITYFLG_GRP_NFRD_APPLCBLTY45626CARACTERES ESPECIAIS</v>
      </c>
      <c r="B171" s="67" t="str">
        <f t="shared" si="9"/>
        <v>ENTITYFLG_GRP_NFRD_APPLCBLTY45626CARACTERES ESPECIAIS10</v>
      </c>
      <c r="C171" s="24" t="s">
        <v>98</v>
      </c>
      <c r="D171" s="24" t="s">
        <v>239</v>
      </c>
      <c r="E171" s="24" t="s">
        <v>234</v>
      </c>
      <c r="F171" s="24" t="s">
        <v>238</v>
      </c>
      <c r="G171" s="24" t="s">
        <v>130</v>
      </c>
      <c r="H171" s="30">
        <v>45626</v>
      </c>
      <c r="I171" s="24">
        <v>1117432</v>
      </c>
      <c r="J171" s="24">
        <v>0</v>
      </c>
      <c r="K171" s="24" t="s">
        <v>260</v>
      </c>
      <c r="L171" s="24" t="s">
        <v>270</v>
      </c>
    </row>
    <row r="172" spans="1:12">
      <c r="A172" s="67" t="str">
        <f t="shared" si="8"/>
        <v>ENTITYFLG_GRP_NFRD_APPLCBLTY45626MISSINGS</v>
      </c>
      <c r="B172" s="67" t="str">
        <f t="shared" si="9"/>
        <v>ENTITYFLG_GRP_NFRD_APPLCBLTY45626MISSINGS10</v>
      </c>
      <c r="C172" s="24" t="s">
        <v>98</v>
      </c>
      <c r="D172" s="24" t="s">
        <v>240</v>
      </c>
      <c r="E172" s="24" t="s">
        <v>234</v>
      </c>
      <c r="F172" s="24" t="s">
        <v>238</v>
      </c>
      <c r="G172" s="24" t="s">
        <v>130</v>
      </c>
      <c r="H172" s="30">
        <v>45626</v>
      </c>
      <c r="I172" s="24">
        <v>1117432</v>
      </c>
      <c r="J172" s="24">
        <v>17624</v>
      </c>
      <c r="K172" s="24" t="s">
        <v>260</v>
      </c>
      <c r="L172" s="24" t="s">
        <v>270</v>
      </c>
    </row>
    <row r="173" spans="1:12">
      <c r="A173" s="67" t="str">
        <f t="shared" si="8"/>
        <v>ENTITYFLG_GRP_NFRD_APPLCBLTY45626NOT APPLICABLE</v>
      </c>
      <c r="B173" s="67" t="str">
        <f t="shared" si="9"/>
        <v>ENTITYFLG_GRP_NFRD_APPLCBLTY45626NOT APPLICABLE10</v>
      </c>
      <c r="C173" s="24" t="s">
        <v>98</v>
      </c>
      <c r="D173" s="24" t="s">
        <v>241</v>
      </c>
      <c r="E173" s="24" t="s">
        <v>234</v>
      </c>
      <c r="F173" s="24" t="s">
        <v>238</v>
      </c>
      <c r="G173" s="24" t="s">
        <v>130</v>
      </c>
      <c r="H173" s="30">
        <v>45626</v>
      </c>
      <c r="I173" s="24">
        <v>1117432</v>
      </c>
      <c r="J173" s="24">
        <v>0</v>
      </c>
      <c r="K173" s="24" t="s">
        <v>260</v>
      </c>
      <c r="L173" s="24" t="s">
        <v>270</v>
      </c>
    </row>
    <row r="174" spans="1:12">
      <c r="A174" s="67" t="str">
        <f t="shared" si="8"/>
        <v>ENTITYFLG_NFRD_APPLCBLTY45626COERÊNCIA</v>
      </c>
      <c r="B174" s="67" t="str">
        <f t="shared" si="9"/>
        <v>ENTITYFLG_NFRD_APPLCBLTY45626COERÊNCIA1</v>
      </c>
      <c r="C174" s="24" t="s">
        <v>98</v>
      </c>
      <c r="D174" s="24" t="s">
        <v>233</v>
      </c>
      <c r="E174" s="24" t="s">
        <v>234</v>
      </c>
      <c r="F174" s="24" t="s">
        <v>261</v>
      </c>
      <c r="G174" s="24" t="s">
        <v>116</v>
      </c>
      <c r="H174" s="30">
        <v>45626</v>
      </c>
      <c r="I174" s="24">
        <v>1117400</v>
      </c>
      <c r="J174" s="24">
        <v>14</v>
      </c>
      <c r="K174" s="24" t="s">
        <v>258</v>
      </c>
      <c r="L174" s="24" t="s">
        <v>271</v>
      </c>
    </row>
    <row r="175" spans="1:12">
      <c r="A175" s="67" t="str">
        <f t="shared" si="8"/>
        <v>ENTITYFLG_NFRD_APPLCBLTY45626VALIDADE</v>
      </c>
      <c r="B175" s="67" t="str">
        <f t="shared" si="9"/>
        <v>ENTITYFLG_NFRD_APPLCBLTY45626VALIDADE10</v>
      </c>
      <c r="C175" s="24" t="s">
        <v>98</v>
      </c>
      <c r="D175" s="24" t="s">
        <v>237</v>
      </c>
      <c r="E175" s="24" t="s">
        <v>234</v>
      </c>
      <c r="F175" s="24" t="s">
        <v>238</v>
      </c>
      <c r="G175" s="24" t="s">
        <v>116</v>
      </c>
      <c r="H175" s="30">
        <v>45626</v>
      </c>
      <c r="I175" s="24">
        <v>1117432</v>
      </c>
      <c r="J175" s="24">
        <v>0</v>
      </c>
      <c r="K175" s="24" t="s">
        <v>260</v>
      </c>
      <c r="L175" s="24" t="s">
        <v>271</v>
      </c>
    </row>
    <row r="176" spans="1:12">
      <c r="A176" s="67" t="str">
        <f t="shared" si="8"/>
        <v>ENTITYFLG_NFRD_APPLCBLTY45626CARACTERES ESPECIAIS</v>
      </c>
      <c r="B176" s="67" t="str">
        <f t="shared" si="9"/>
        <v>ENTITYFLG_NFRD_APPLCBLTY45626CARACTERES ESPECIAIS10</v>
      </c>
      <c r="C176" s="24" t="s">
        <v>98</v>
      </c>
      <c r="D176" s="24" t="s">
        <v>239</v>
      </c>
      <c r="E176" s="24" t="s">
        <v>234</v>
      </c>
      <c r="F176" s="24" t="s">
        <v>238</v>
      </c>
      <c r="G176" s="24" t="s">
        <v>116</v>
      </c>
      <c r="H176" s="30">
        <v>45626</v>
      </c>
      <c r="I176" s="24">
        <v>1117432</v>
      </c>
      <c r="J176" s="24">
        <v>0</v>
      </c>
      <c r="K176" s="24" t="s">
        <v>260</v>
      </c>
      <c r="L176" s="24" t="s">
        <v>271</v>
      </c>
    </row>
    <row r="177" spans="1:12">
      <c r="A177" s="67" t="str">
        <f t="shared" si="8"/>
        <v>ENTITYFLG_NFRD_APPLCBLTY45626MISSINGS</v>
      </c>
      <c r="B177" s="67" t="str">
        <f t="shared" si="9"/>
        <v>ENTITYFLG_NFRD_APPLCBLTY45626MISSINGS10</v>
      </c>
      <c r="C177" s="24" t="s">
        <v>98</v>
      </c>
      <c r="D177" s="24" t="s">
        <v>240</v>
      </c>
      <c r="E177" s="24" t="s">
        <v>234</v>
      </c>
      <c r="F177" s="24" t="s">
        <v>238</v>
      </c>
      <c r="G177" s="24" t="s">
        <v>116</v>
      </c>
      <c r="H177" s="30">
        <v>45626</v>
      </c>
      <c r="I177" s="24">
        <v>1117432</v>
      </c>
      <c r="J177" s="24">
        <v>35</v>
      </c>
      <c r="K177" s="24" t="s">
        <v>260</v>
      </c>
      <c r="L177" s="24" t="s">
        <v>271</v>
      </c>
    </row>
    <row r="178" spans="1:12">
      <c r="A178" s="67" t="str">
        <f t="shared" si="8"/>
        <v>ENTITYFLG_NFRD_APPLCBLTY45626NOT APPLICABLE</v>
      </c>
      <c r="B178" s="67" t="str">
        <f t="shared" si="9"/>
        <v>ENTITYFLG_NFRD_APPLCBLTY45626NOT APPLICABLE10</v>
      </c>
      <c r="C178" s="24" t="s">
        <v>98</v>
      </c>
      <c r="D178" s="24" t="s">
        <v>241</v>
      </c>
      <c r="E178" s="24" t="s">
        <v>234</v>
      </c>
      <c r="F178" s="24" t="s">
        <v>238</v>
      </c>
      <c r="G178" s="24" t="s">
        <v>116</v>
      </c>
      <c r="H178" s="30">
        <v>45626</v>
      </c>
      <c r="I178" s="24">
        <v>1117432</v>
      </c>
      <c r="J178" s="24">
        <v>0</v>
      </c>
      <c r="K178" s="24" t="s">
        <v>260</v>
      </c>
      <c r="L178" s="24" t="s">
        <v>271</v>
      </c>
    </row>
    <row r="179" spans="1:12">
      <c r="A179" s="67" t="str">
        <f t="shared" si="8"/>
        <v>ENTITYFLG_EXCLDD_EU_PRS_ALGND_BNCHMRK45626COERÊNCIA</v>
      </c>
      <c r="B179" s="67" t="str">
        <f t="shared" si="9"/>
        <v>ENTITYFLG_EXCLDD_EU_PRS_ALGND_BNCHMRK45626COERÊNCIA1</v>
      </c>
      <c r="C179" s="24" t="s">
        <v>98</v>
      </c>
      <c r="D179" s="24" t="s">
        <v>233</v>
      </c>
      <c r="E179" s="24" t="s">
        <v>234</v>
      </c>
      <c r="F179" s="24" t="s">
        <v>261</v>
      </c>
      <c r="G179" s="24" t="s">
        <v>120</v>
      </c>
      <c r="H179" s="30">
        <v>45626</v>
      </c>
      <c r="I179" s="24">
        <v>1117400</v>
      </c>
      <c r="J179" s="24">
        <v>14</v>
      </c>
      <c r="K179" s="24" t="s">
        <v>258</v>
      </c>
      <c r="L179" s="24" t="s">
        <v>272</v>
      </c>
    </row>
    <row r="180" spans="1:12">
      <c r="A180" s="67" t="str">
        <f t="shared" si="8"/>
        <v>ENTITYFLG_EXCLDD_EU_PRS_ALGND_BNCHMRK45626VALIDADE</v>
      </c>
      <c r="B180" s="67" t="str">
        <f t="shared" si="9"/>
        <v>ENTITYFLG_EXCLDD_EU_PRS_ALGND_BNCHMRK45626VALIDADE10</v>
      </c>
      <c r="C180" s="24" t="s">
        <v>98</v>
      </c>
      <c r="D180" s="24" t="s">
        <v>237</v>
      </c>
      <c r="E180" s="24" t="s">
        <v>234</v>
      </c>
      <c r="F180" s="24" t="s">
        <v>238</v>
      </c>
      <c r="G180" s="24" t="s">
        <v>120</v>
      </c>
      <c r="H180" s="30">
        <v>45626</v>
      </c>
      <c r="I180" s="24">
        <v>1117432</v>
      </c>
      <c r="J180" s="24">
        <v>0</v>
      </c>
      <c r="K180" s="24" t="s">
        <v>260</v>
      </c>
      <c r="L180" s="24" t="s">
        <v>272</v>
      </c>
    </row>
    <row r="181" spans="1:12">
      <c r="A181" s="67" t="str">
        <f t="shared" si="8"/>
        <v>ENTITYFLG_EXCLDD_EU_PRS_ALGND_BNCHMRK45626CARACTERES ESPECIAIS</v>
      </c>
      <c r="B181" s="67" t="str">
        <f t="shared" si="9"/>
        <v>ENTITYFLG_EXCLDD_EU_PRS_ALGND_BNCHMRK45626CARACTERES ESPECIAIS10</v>
      </c>
      <c r="C181" s="24" t="s">
        <v>98</v>
      </c>
      <c r="D181" s="24" t="s">
        <v>239</v>
      </c>
      <c r="E181" s="24" t="s">
        <v>234</v>
      </c>
      <c r="F181" s="24" t="s">
        <v>238</v>
      </c>
      <c r="G181" s="24" t="s">
        <v>120</v>
      </c>
      <c r="H181" s="30">
        <v>45626</v>
      </c>
      <c r="I181" s="24">
        <v>1117432</v>
      </c>
      <c r="J181" s="24">
        <v>0</v>
      </c>
      <c r="K181" s="24" t="s">
        <v>260</v>
      </c>
      <c r="L181" s="24" t="s">
        <v>272</v>
      </c>
    </row>
    <row r="182" spans="1:12">
      <c r="A182" s="67" t="str">
        <f t="shared" si="8"/>
        <v>ENTITYFLG_EXCLDD_EU_PRS_ALGND_BNCHMRK45626MISSINGS</v>
      </c>
      <c r="B182" s="67" t="str">
        <f t="shared" si="9"/>
        <v>ENTITYFLG_EXCLDD_EU_PRS_ALGND_BNCHMRK45626MISSINGS10</v>
      </c>
      <c r="C182" s="24" t="s">
        <v>98</v>
      </c>
      <c r="D182" s="24" t="s">
        <v>240</v>
      </c>
      <c r="E182" s="24" t="s">
        <v>234</v>
      </c>
      <c r="F182" s="24" t="s">
        <v>238</v>
      </c>
      <c r="G182" s="24" t="s">
        <v>120</v>
      </c>
      <c r="H182" s="30">
        <v>45626</v>
      </c>
      <c r="I182" s="24">
        <v>1117432</v>
      </c>
      <c r="J182" s="24">
        <v>34</v>
      </c>
      <c r="K182" s="24" t="s">
        <v>260</v>
      </c>
      <c r="L182" s="24" t="s">
        <v>272</v>
      </c>
    </row>
    <row r="183" spans="1:12">
      <c r="A183" s="67" t="str">
        <f t="shared" si="8"/>
        <v>ENTITYFLG_EXCLDD_EU_PRS_ALGND_BNCHMRK45626NOT APPLICABLE</v>
      </c>
      <c r="B183" s="67" t="str">
        <f t="shared" si="9"/>
        <v>ENTITYFLG_EXCLDD_EU_PRS_ALGND_BNCHMRK45626NOT APPLICABLE10</v>
      </c>
      <c r="C183" s="24" t="s">
        <v>98</v>
      </c>
      <c r="D183" s="24" t="s">
        <v>241</v>
      </c>
      <c r="E183" s="24" t="s">
        <v>234</v>
      </c>
      <c r="F183" s="24" t="s">
        <v>238</v>
      </c>
      <c r="G183" s="24" t="s">
        <v>120</v>
      </c>
      <c r="H183" s="30">
        <v>45626</v>
      </c>
      <c r="I183" s="24">
        <v>1117432</v>
      </c>
      <c r="J183" s="24">
        <v>0</v>
      </c>
      <c r="K183" s="24" t="s">
        <v>260</v>
      </c>
      <c r="L183" s="24" t="s">
        <v>272</v>
      </c>
    </row>
    <row r="184" spans="1:12">
      <c r="A184" s="67" t="str">
        <f t="shared" si="8"/>
        <v>ENTITYNACE_ESG45626COERÊNCIA</v>
      </c>
      <c r="B184" s="67" t="str">
        <f t="shared" si="9"/>
        <v>ENTITYNACE_ESG45626COERÊNCIA1</v>
      </c>
      <c r="C184" s="24" t="s">
        <v>98</v>
      </c>
      <c r="D184" s="24" t="s">
        <v>233</v>
      </c>
      <c r="E184" s="24" t="s">
        <v>234</v>
      </c>
      <c r="F184" s="24" t="s">
        <v>261</v>
      </c>
      <c r="G184" s="24" t="s">
        <v>99</v>
      </c>
      <c r="H184" s="30">
        <v>45626</v>
      </c>
      <c r="I184" s="24">
        <v>1117400</v>
      </c>
      <c r="J184" s="24">
        <v>0</v>
      </c>
      <c r="K184" s="24" t="s">
        <v>258</v>
      </c>
      <c r="L184" s="24" t="s">
        <v>273</v>
      </c>
    </row>
    <row r="185" spans="1:12">
      <c r="A185" s="67" t="str">
        <f t="shared" si="8"/>
        <v>ENTITYNACE_ESG45626VALIDADE</v>
      </c>
      <c r="B185" s="67" t="str">
        <f t="shared" si="9"/>
        <v>ENTITYNACE_ESG45626VALIDADE10</v>
      </c>
      <c r="C185" s="24" t="s">
        <v>98</v>
      </c>
      <c r="D185" s="24" t="s">
        <v>237</v>
      </c>
      <c r="E185" s="24" t="s">
        <v>234</v>
      </c>
      <c r="F185" s="24" t="s">
        <v>238</v>
      </c>
      <c r="G185" s="24" t="s">
        <v>99</v>
      </c>
      <c r="H185" s="30">
        <v>45626</v>
      </c>
      <c r="I185" s="24">
        <v>1117432</v>
      </c>
      <c r="J185" s="24">
        <v>0</v>
      </c>
      <c r="K185" s="24" t="s">
        <v>260</v>
      </c>
      <c r="L185" s="24" t="s">
        <v>273</v>
      </c>
    </row>
    <row r="186" spans="1:12">
      <c r="A186" s="67" t="str">
        <f t="shared" si="8"/>
        <v>ENTITYNACE_ESG45626CARACTERES ESPECIAIS</v>
      </c>
      <c r="B186" s="67" t="str">
        <f t="shared" si="9"/>
        <v>ENTITYNACE_ESG45626CARACTERES ESPECIAIS10</v>
      </c>
      <c r="C186" s="24" t="s">
        <v>98</v>
      </c>
      <c r="D186" s="24" t="s">
        <v>239</v>
      </c>
      <c r="E186" s="24" t="s">
        <v>234</v>
      </c>
      <c r="F186" s="24" t="s">
        <v>238</v>
      </c>
      <c r="G186" s="24" t="s">
        <v>99</v>
      </c>
      <c r="H186" s="30">
        <v>45626</v>
      </c>
      <c r="I186" s="24">
        <v>1117432</v>
      </c>
      <c r="J186" s="24">
        <v>0</v>
      </c>
      <c r="K186" s="24" t="s">
        <v>260</v>
      </c>
      <c r="L186" s="24" t="s">
        <v>273</v>
      </c>
    </row>
    <row r="187" spans="1:12">
      <c r="A187" s="67" t="str">
        <f t="shared" si="8"/>
        <v>ENTITYNACE_ESG45626MISSINGS</v>
      </c>
      <c r="B187" s="67" t="str">
        <f t="shared" si="9"/>
        <v>ENTITYNACE_ESG45626MISSINGS10</v>
      </c>
      <c r="C187" s="24" t="s">
        <v>98</v>
      </c>
      <c r="D187" s="24" t="s">
        <v>240</v>
      </c>
      <c r="E187" s="24" t="s">
        <v>234</v>
      </c>
      <c r="F187" s="24" t="s">
        <v>238</v>
      </c>
      <c r="G187" s="24" t="s">
        <v>99</v>
      </c>
      <c r="H187" s="30">
        <v>45626</v>
      </c>
      <c r="I187" s="24">
        <v>1117432</v>
      </c>
      <c r="J187" s="24">
        <v>45</v>
      </c>
      <c r="K187" s="24" t="s">
        <v>260</v>
      </c>
      <c r="L187" s="24" t="s">
        <v>273</v>
      </c>
    </row>
    <row r="188" spans="1:12">
      <c r="A188" s="67" t="str">
        <f t="shared" si="8"/>
        <v>ENTITYNACE_ESG45626NOT APPLICABLE</v>
      </c>
      <c r="B188" s="67" t="str">
        <f t="shared" si="9"/>
        <v>ENTITYNACE_ESG45626NOT APPLICABLE10</v>
      </c>
      <c r="C188" s="24" t="s">
        <v>98</v>
      </c>
      <c r="D188" s="24" t="s">
        <v>241</v>
      </c>
      <c r="E188" s="24" t="s">
        <v>234</v>
      </c>
      <c r="F188" s="24" t="s">
        <v>238</v>
      </c>
      <c r="G188" s="24" t="s">
        <v>99</v>
      </c>
      <c r="H188" s="30">
        <v>45626</v>
      </c>
      <c r="I188" s="24">
        <v>1117432</v>
      </c>
      <c r="J188" s="24">
        <v>1036869</v>
      </c>
      <c r="K188" s="24" t="s">
        <v>260</v>
      </c>
      <c r="L188" s="24" t="s">
        <v>273</v>
      </c>
    </row>
    <row r="189" spans="1:12">
      <c r="A189" s="67" t="str">
        <f t="shared" si="8"/>
        <v>ENTITYGRP_EMSSNS_SCP145626COERÊNCIA</v>
      </c>
      <c r="B189" s="67" t="str">
        <f t="shared" si="9"/>
        <v>ENTITYGRP_EMSSNS_SCP145626COERÊNCIA10</v>
      </c>
      <c r="C189" s="24" t="s">
        <v>98</v>
      </c>
      <c r="D189" s="24" t="s">
        <v>233</v>
      </c>
      <c r="E189" s="24" t="s">
        <v>234</v>
      </c>
      <c r="F189" s="24" t="s">
        <v>261</v>
      </c>
      <c r="G189" s="24" t="s">
        <v>131</v>
      </c>
      <c r="H189" s="30">
        <v>45626</v>
      </c>
      <c r="I189" s="24">
        <v>1117400</v>
      </c>
      <c r="J189" s="24">
        <v>0</v>
      </c>
      <c r="K189" s="24" t="s">
        <v>260</v>
      </c>
      <c r="L189" s="24" t="s">
        <v>274</v>
      </c>
    </row>
    <row r="190" spans="1:12">
      <c r="A190" s="67" t="str">
        <f t="shared" si="8"/>
        <v>ENTITYGRP_EMSSNS_SCP145626VALIDADE</v>
      </c>
      <c r="B190" s="67" t="str">
        <f t="shared" si="9"/>
        <v>ENTITYGRP_EMSSNS_SCP145626VALIDADE10</v>
      </c>
      <c r="C190" s="24" t="s">
        <v>98</v>
      </c>
      <c r="D190" s="24" t="s">
        <v>237</v>
      </c>
      <c r="E190" s="24" t="s">
        <v>234</v>
      </c>
      <c r="F190" s="24" t="s">
        <v>238</v>
      </c>
      <c r="G190" s="24" t="s">
        <v>131</v>
      </c>
      <c r="H190" s="30">
        <v>45626</v>
      </c>
      <c r="I190" s="24">
        <v>1117432</v>
      </c>
      <c r="J190" s="24">
        <v>0</v>
      </c>
      <c r="K190" s="24" t="s">
        <v>260</v>
      </c>
      <c r="L190" s="24" t="s">
        <v>274</v>
      </c>
    </row>
    <row r="191" spans="1:12">
      <c r="A191" s="67" t="str">
        <f t="shared" ref="A191:A213" si="10">+C191&amp;G191&amp;H191&amp;D191</f>
        <v>ENTITYGRP_EMSSNS_SCP145626CARACTERES ESPECIAIS</v>
      </c>
      <c r="B191" s="67" t="str">
        <f t="shared" ref="B191:B213" si="11">+C191&amp;G191&amp;H191&amp;D191&amp;K191</f>
        <v>ENTITYGRP_EMSSNS_SCP145626CARACTERES ESPECIAIS10</v>
      </c>
      <c r="C191" s="24" t="s">
        <v>98</v>
      </c>
      <c r="D191" s="24" t="s">
        <v>239</v>
      </c>
      <c r="E191" s="24" t="s">
        <v>234</v>
      </c>
      <c r="F191" s="24" t="s">
        <v>238</v>
      </c>
      <c r="G191" s="24" t="s">
        <v>131</v>
      </c>
      <c r="H191" s="30">
        <v>45626</v>
      </c>
      <c r="I191" s="24">
        <v>1117432</v>
      </c>
      <c r="J191" s="24">
        <v>0</v>
      </c>
      <c r="K191" s="24" t="s">
        <v>260</v>
      </c>
      <c r="L191" s="24" t="s">
        <v>274</v>
      </c>
    </row>
    <row r="192" spans="1:12">
      <c r="A192" s="67" t="str">
        <f t="shared" si="10"/>
        <v>ENTITYGRP_EMSSNS_SCP145626MISSINGS</v>
      </c>
      <c r="B192" s="67" t="str">
        <f t="shared" si="11"/>
        <v>ENTITYGRP_EMSSNS_SCP145626MISSINGS10</v>
      </c>
      <c r="C192" s="24" t="s">
        <v>98</v>
      </c>
      <c r="D192" s="24" t="s">
        <v>240</v>
      </c>
      <c r="E192" s="24" t="s">
        <v>234</v>
      </c>
      <c r="F192" s="24" t="s">
        <v>238</v>
      </c>
      <c r="G192" s="24" t="s">
        <v>131</v>
      </c>
      <c r="H192" s="30">
        <v>45626</v>
      </c>
      <c r="I192" s="24">
        <v>1117432</v>
      </c>
      <c r="J192" s="24">
        <v>383</v>
      </c>
      <c r="K192" s="24" t="s">
        <v>260</v>
      </c>
      <c r="L192" s="24" t="s">
        <v>274</v>
      </c>
    </row>
    <row r="193" spans="1:12">
      <c r="A193" s="67" t="str">
        <f t="shared" si="10"/>
        <v>ENTITYGRP_EMSSNS_SCP145626NOT APPLICABLE</v>
      </c>
      <c r="B193" s="67" t="str">
        <f t="shared" si="11"/>
        <v>ENTITYGRP_EMSSNS_SCP145626NOT APPLICABLE10</v>
      </c>
      <c r="C193" s="24" t="s">
        <v>98</v>
      </c>
      <c r="D193" s="24" t="s">
        <v>241</v>
      </c>
      <c r="E193" s="24" t="s">
        <v>234</v>
      </c>
      <c r="F193" s="24" t="s">
        <v>238</v>
      </c>
      <c r="G193" s="24" t="s">
        <v>131</v>
      </c>
      <c r="H193" s="30">
        <v>45626</v>
      </c>
      <c r="I193" s="24">
        <v>1117432</v>
      </c>
      <c r="J193" s="24">
        <v>1055586</v>
      </c>
      <c r="K193" s="24" t="s">
        <v>260</v>
      </c>
      <c r="L193" s="24" t="s">
        <v>274</v>
      </c>
    </row>
    <row r="194" spans="1:12">
      <c r="A194" s="67" t="str">
        <f t="shared" si="10"/>
        <v>ENTITYGRP_EMSSNS_SCP245626COERÊNCIA</v>
      </c>
      <c r="B194" s="67" t="str">
        <f t="shared" si="11"/>
        <v>ENTITYGRP_EMSSNS_SCP245626COERÊNCIA10</v>
      </c>
      <c r="C194" s="24" t="s">
        <v>98</v>
      </c>
      <c r="D194" s="24" t="s">
        <v>233</v>
      </c>
      <c r="E194" s="24" t="s">
        <v>234</v>
      </c>
      <c r="F194" s="24" t="s">
        <v>261</v>
      </c>
      <c r="G194" s="24" t="s">
        <v>132</v>
      </c>
      <c r="H194" s="30">
        <v>45626</v>
      </c>
      <c r="I194" s="24">
        <v>1117400</v>
      </c>
      <c r="J194" s="24">
        <v>0</v>
      </c>
      <c r="K194" s="24" t="s">
        <v>260</v>
      </c>
      <c r="L194" s="24" t="s">
        <v>275</v>
      </c>
    </row>
    <row r="195" spans="1:12">
      <c r="A195" s="67" t="str">
        <f t="shared" si="10"/>
        <v>ENTITYGRP_EMSSNS_SCP345626COERÊNCIA</v>
      </c>
      <c r="B195" s="67" t="str">
        <f t="shared" si="11"/>
        <v>ENTITYGRP_EMSSNS_SCP345626COERÊNCIA10</v>
      </c>
      <c r="C195" s="24" t="s">
        <v>98</v>
      </c>
      <c r="D195" s="24" t="s">
        <v>233</v>
      </c>
      <c r="E195" s="24" t="s">
        <v>234</v>
      </c>
      <c r="F195" s="24" t="s">
        <v>261</v>
      </c>
      <c r="G195" s="24" t="s">
        <v>133</v>
      </c>
      <c r="H195" s="30">
        <v>45626</v>
      </c>
      <c r="I195" s="24">
        <v>1117400</v>
      </c>
      <c r="J195" s="24">
        <v>0</v>
      </c>
      <c r="K195" s="24" t="s">
        <v>260</v>
      </c>
      <c r="L195" s="24" t="s">
        <v>275</v>
      </c>
    </row>
    <row r="196" spans="1:12">
      <c r="A196" s="67" t="str">
        <f t="shared" si="10"/>
        <v>ENTITYGRP_EMSSNS_SCP245626VALIDADE</v>
      </c>
      <c r="B196" s="67" t="str">
        <f t="shared" si="11"/>
        <v>ENTITYGRP_EMSSNS_SCP245626VALIDADE10</v>
      </c>
      <c r="C196" s="24" t="s">
        <v>98</v>
      </c>
      <c r="D196" s="24" t="s">
        <v>237</v>
      </c>
      <c r="E196" s="24" t="s">
        <v>234</v>
      </c>
      <c r="F196" s="24" t="s">
        <v>238</v>
      </c>
      <c r="G196" s="24" t="s">
        <v>132</v>
      </c>
      <c r="H196" s="30">
        <v>45626</v>
      </c>
      <c r="I196" s="24">
        <v>1117432</v>
      </c>
      <c r="J196" s="24">
        <v>0</v>
      </c>
      <c r="K196" s="24" t="s">
        <v>260</v>
      </c>
      <c r="L196" s="24" t="s">
        <v>275</v>
      </c>
    </row>
    <row r="197" spans="1:12">
      <c r="A197" s="67" t="str">
        <f t="shared" si="10"/>
        <v>ENTITYGRP_EMSSNS_SCP345626VALIDADE</v>
      </c>
      <c r="B197" s="67" t="str">
        <f t="shared" si="11"/>
        <v>ENTITYGRP_EMSSNS_SCP345626VALIDADE10</v>
      </c>
      <c r="C197" s="24" t="s">
        <v>98</v>
      </c>
      <c r="D197" s="24" t="s">
        <v>237</v>
      </c>
      <c r="E197" s="24" t="s">
        <v>234</v>
      </c>
      <c r="F197" s="24" t="s">
        <v>238</v>
      </c>
      <c r="G197" s="24" t="s">
        <v>133</v>
      </c>
      <c r="H197" s="30">
        <v>45626</v>
      </c>
      <c r="I197" s="24">
        <v>1117432</v>
      </c>
      <c r="J197" s="24">
        <v>0</v>
      </c>
      <c r="K197" s="24" t="s">
        <v>260</v>
      </c>
      <c r="L197" s="24" t="s">
        <v>275</v>
      </c>
    </row>
    <row r="198" spans="1:12">
      <c r="A198" s="67" t="str">
        <f t="shared" si="10"/>
        <v>ENTITYGRP_EMSSNS_SCP245626CARACTERES ESPECIAIS</v>
      </c>
      <c r="B198" s="67" t="str">
        <f t="shared" si="11"/>
        <v>ENTITYGRP_EMSSNS_SCP245626CARACTERES ESPECIAIS10</v>
      </c>
      <c r="C198" s="24" t="s">
        <v>98</v>
      </c>
      <c r="D198" s="24" t="s">
        <v>239</v>
      </c>
      <c r="E198" s="24" t="s">
        <v>234</v>
      </c>
      <c r="F198" s="24" t="s">
        <v>238</v>
      </c>
      <c r="G198" s="24" t="s">
        <v>132</v>
      </c>
      <c r="H198" s="30">
        <v>45626</v>
      </c>
      <c r="I198" s="24">
        <v>1117432</v>
      </c>
      <c r="J198" s="24">
        <v>0</v>
      </c>
      <c r="K198" s="24" t="s">
        <v>260</v>
      </c>
      <c r="L198" s="24" t="s">
        <v>275</v>
      </c>
    </row>
    <row r="199" spans="1:12">
      <c r="A199" s="67" t="str">
        <f t="shared" si="10"/>
        <v>ENTITYGRP_EMSSNS_SCP345626CARACTERES ESPECIAIS</v>
      </c>
      <c r="B199" s="67" t="str">
        <f t="shared" si="11"/>
        <v>ENTITYGRP_EMSSNS_SCP345626CARACTERES ESPECIAIS10</v>
      </c>
      <c r="C199" s="24" t="s">
        <v>98</v>
      </c>
      <c r="D199" s="24" t="s">
        <v>239</v>
      </c>
      <c r="E199" s="24" t="s">
        <v>234</v>
      </c>
      <c r="F199" s="24" t="s">
        <v>238</v>
      </c>
      <c r="G199" s="24" t="s">
        <v>133</v>
      </c>
      <c r="H199" s="30">
        <v>45626</v>
      </c>
      <c r="I199" s="24">
        <v>1117432</v>
      </c>
      <c r="J199" s="24">
        <v>0</v>
      </c>
      <c r="K199" s="24" t="s">
        <v>260</v>
      </c>
      <c r="L199" s="24" t="s">
        <v>275</v>
      </c>
    </row>
    <row r="200" spans="1:12">
      <c r="A200" s="67" t="str">
        <f t="shared" si="10"/>
        <v>ENTITYGRP_EMSSNS_SCP245626MISSINGS</v>
      </c>
      <c r="B200" s="67" t="str">
        <f t="shared" si="11"/>
        <v>ENTITYGRP_EMSSNS_SCP245626MISSINGS10</v>
      </c>
      <c r="C200" s="24" t="s">
        <v>98</v>
      </c>
      <c r="D200" s="24" t="s">
        <v>240</v>
      </c>
      <c r="E200" s="24" t="s">
        <v>234</v>
      </c>
      <c r="F200" s="24" t="s">
        <v>238</v>
      </c>
      <c r="G200" s="24" t="s">
        <v>132</v>
      </c>
      <c r="H200" s="30">
        <v>45626</v>
      </c>
      <c r="I200" s="24">
        <v>1117432</v>
      </c>
      <c r="J200" s="24">
        <v>383</v>
      </c>
      <c r="K200" s="24" t="s">
        <v>260</v>
      </c>
      <c r="L200" s="24" t="s">
        <v>275</v>
      </c>
    </row>
    <row r="201" spans="1:12">
      <c r="A201" s="67" t="str">
        <f t="shared" si="10"/>
        <v>ENTITYGRP_EMSSNS_SCP345626MISSINGS</v>
      </c>
      <c r="B201" s="67" t="str">
        <f t="shared" si="11"/>
        <v>ENTITYGRP_EMSSNS_SCP345626MISSINGS10</v>
      </c>
      <c r="C201" s="24" t="s">
        <v>98</v>
      </c>
      <c r="D201" s="24" t="s">
        <v>240</v>
      </c>
      <c r="E201" s="24" t="s">
        <v>234</v>
      </c>
      <c r="F201" s="24" t="s">
        <v>238</v>
      </c>
      <c r="G201" s="24" t="s">
        <v>133</v>
      </c>
      <c r="H201" s="30">
        <v>45626</v>
      </c>
      <c r="I201" s="24">
        <v>1117432</v>
      </c>
      <c r="J201" s="24">
        <v>383</v>
      </c>
      <c r="K201" s="24" t="s">
        <v>260</v>
      </c>
      <c r="L201" s="24" t="s">
        <v>275</v>
      </c>
    </row>
    <row r="202" spans="1:12">
      <c r="A202" s="67" t="str">
        <f t="shared" si="10"/>
        <v>ENTITYGRP_EMSSNS_SCP245626NOT APPLICABLE</v>
      </c>
      <c r="B202" s="67" t="str">
        <f t="shared" si="11"/>
        <v>ENTITYGRP_EMSSNS_SCP245626NOT APPLICABLE10</v>
      </c>
      <c r="C202" s="24" t="s">
        <v>98</v>
      </c>
      <c r="D202" s="24" t="s">
        <v>241</v>
      </c>
      <c r="E202" s="24" t="s">
        <v>234</v>
      </c>
      <c r="F202" s="24" t="s">
        <v>238</v>
      </c>
      <c r="G202" s="24" t="s">
        <v>132</v>
      </c>
      <c r="H202" s="30">
        <v>45626</v>
      </c>
      <c r="I202" s="24">
        <v>1117432</v>
      </c>
      <c r="J202" s="24">
        <v>1055586</v>
      </c>
      <c r="K202" s="24" t="s">
        <v>260</v>
      </c>
      <c r="L202" s="24" t="s">
        <v>275</v>
      </c>
    </row>
    <row r="203" spans="1:12">
      <c r="A203" s="67" t="str">
        <f t="shared" si="10"/>
        <v>ENTITYGRP_EMSSNS_SCP345626NOT APPLICABLE</v>
      </c>
      <c r="B203" s="67" t="str">
        <f t="shared" si="11"/>
        <v>ENTITYGRP_EMSSNS_SCP345626NOT APPLICABLE10</v>
      </c>
      <c r="C203" s="24" t="s">
        <v>98</v>
      </c>
      <c r="D203" s="24" t="s">
        <v>241</v>
      </c>
      <c r="E203" s="24" t="s">
        <v>234</v>
      </c>
      <c r="F203" s="24" t="s">
        <v>238</v>
      </c>
      <c r="G203" s="24" t="s">
        <v>133</v>
      </c>
      <c r="H203" s="30">
        <v>45626</v>
      </c>
      <c r="I203" s="24">
        <v>1117432</v>
      </c>
      <c r="J203" s="24">
        <v>1055586</v>
      </c>
      <c r="K203" s="24" t="s">
        <v>260</v>
      </c>
      <c r="L203" s="24" t="s">
        <v>275</v>
      </c>
    </row>
    <row r="204" spans="1:12">
      <c r="A204" s="67" t="str">
        <f t="shared" si="10"/>
        <v>ENTITYGRP_ANNL_TRNVR_LE45626COERÊNCIA</v>
      </c>
      <c r="B204" s="67" t="str">
        <f t="shared" si="11"/>
        <v>ENTITYGRP_ANNL_TRNVR_LE45626COERÊNCIA10</v>
      </c>
      <c r="C204" s="24" t="s">
        <v>98</v>
      </c>
      <c r="D204" s="24" t="s">
        <v>233</v>
      </c>
      <c r="E204" s="24" t="s">
        <v>234</v>
      </c>
      <c r="F204" s="24" t="s">
        <v>261</v>
      </c>
      <c r="G204" s="24" t="s">
        <v>128</v>
      </c>
      <c r="H204" s="30">
        <v>45626</v>
      </c>
      <c r="I204" s="24">
        <v>1117400</v>
      </c>
      <c r="J204" s="24">
        <v>0</v>
      </c>
      <c r="K204" s="24" t="s">
        <v>260</v>
      </c>
      <c r="L204" s="24" t="s">
        <v>276</v>
      </c>
    </row>
    <row r="205" spans="1:12">
      <c r="A205" s="67" t="str">
        <f t="shared" si="10"/>
        <v>ENTITYGRP_TTL_LBLTY45626COERÊNCIA</v>
      </c>
      <c r="B205" s="67" t="str">
        <f t="shared" si="11"/>
        <v>ENTITYGRP_TTL_LBLTY45626COERÊNCIA10</v>
      </c>
      <c r="C205" s="24" t="s">
        <v>98</v>
      </c>
      <c r="D205" s="24" t="s">
        <v>233</v>
      </c>
      <c r="E205" s="24" t="s">
        <v>234</v>
      </c>
      <c r="F205" s="24" t="s">
        <v>261</v>
      </c>
      <c r="G205" s="24" t="s">
        <v>129</v>
      </c>
      <c r="H205" s="30">
        <v>45626</v>
      </c>
      <c r="I205" s="24">
        <v>1117400</v>
      </c>
      <c r="J205" s="24">
        <v>0</v>
      </c>
      <c r="K205" s="24" t="s">
        <v>260</v>
      </c>
      <c r="L205" s="24" t="s">
        <v>276</v>
      </c>
    </row>
    <row r="206" spans="1:12">
      <c r="A206" s="67" t="str">
        <f t="shared" si="10"/>
        <v>ENTITYGRP_ANNL_TRNVR_LE45626VALIDADE</v>
      </c>
      <c r="B206" s="67" t="str">
        <f t="shared" si="11"/>
        <v>ENTITYGRP_ANNL_TRNVR_LE45626VALIDADE10</v>
      </c>
      <c r="C206" s="24" t="s">
        <v>98</v>
      </c>
      <c r="D206" s="24" t="s">
        <v>237</v>
      </c>
      <c r="E206" s="24" t="s">
        <v>234</v>
      </c>
      <c r="F206" s="24" t="s">
        <v>238</v>
      </c>
      <c r="G206" s="24" t="s">
        <v>128</v>
      </c>
      <c r="H206" s="30">
        <v>45626</v>
      </c>
      <c r="I206" s="24">
        <v>1117432</v>
      </c>
      <c r="J206" s="24">
        <v>0</v>
      </c>
      <c r="K206" s="24" t="s">
        <v>260</v>
      </c>
      <c r="L206" s="24" t="s">
        <v>276</v>
      </c>
    </row>
    <row r="207" spans="1:12">
      <c r="A207" s="67" t="str">
        <f t="shared" si="10"/>
        <v>ENTITYGRP_TTL_LBLTY45626VALIDADE</v>
      </c>
      <c r="B207" s="67" t="str">
        <f t="shared" si="11"/>
        <v>ENTITYGRP_TTL_LBLTY45626VALIDADE10</v>
      </c>
      <c r="C207" s="24" t="s">
        <v>98</v>
      </c>
      <c r="D207" s="24" t="s">
        <v>237</v>
      </c>
      <c r="E207" s="24" t="s">
        <v>234</v>
      </c>
      <c r="F207" s="24" t="s">
        <v>238</v>
      </c>
      <c r="G207" s="24" t="s">
        <v>129</v>
      </c>
      <c r="H207" s="30">
        <v>45626</v>
      </c>
      <c r="I207" s="24">
        <v>1117432</v>
      </c>
      <c r="J207" s="24">
        <v>0</v>
      </c>
      <c r="K207" s="24" t="s">
        <v>260</v>
      </c>
      <c r="L207" s="24" t="s">
        <v>276</v>
      </c>
    </row>
    <row r="208" spans="1:12">
      <c r="A208" s="67" t="str">
        <f t="shared" si="10"/>
        <v>ENTITYGRP_ANNL_TRNVR_LE45626CARACTERES ESPECIAIS</v>
      </c>
      <c r="B208" s="67" t="str">
        <f t="shared" si="11"/>
        <v>ENTITYGRP_ANNL_TRNVR_LE45626CARACTERES ESPECIAIS10</v>
      </c>
      <c r="C208" s="24" t="s">
        <v>98</v>
      </c>
      <c r="D208" s="24" t="s">
        <v>239</v>
      </c>
      <c r="E208" s="24" t="s">
        <v>234</v>
      </c>
      <c r="F208" s="24" t="s">
        <v>238</v>
      </c>
      <c r="G208" s="24" t="s">
        <v>128</v>
      </c>
      <c r="H208" s="30">
        <v>45626</v>
      </c>
      <c r="I208" s="24">
        <v>1117432</v>
      </c>
      <c r="J208" s="24">
        <v>0</v>
      </c>
      <c r="K208" s="24" t="s">
        <v>260</v>
      </c>
      <c r="L208" s="24" t="s">
        <v>276</v>
      </c>
    </row>
    <row r="209" spans="1:12">
      <c r="A209" s="67" t="str">
        <f t="shared" si="10"/>
        <v>ENTITYGRP_TTL_LBLTY45626CARACTERES ESPECIAIS</v>
      </c>
      <c r="B209" s="67" t="str">
        <f t="shared" si="11"/>
        <v>ENTITYGRP_TTL_LBLTY45626CARACTERES ESPECIAIS10</v>
      </c>
      <c r="C209" s="24" t="s">
        <v>98</v>
      </c>
      <c r="D209" s="24" t="s">
        <v>239</v>
      </c>
      <c r="E209" s="24" t="s">
        <v>234</v>
      </c>
      <c r="F209" s="24" t="s">
        <v>238</v>
      </c>
      <c r="G209" s="24" t="s">
        <v>129</v>
      </c>
      <c r="H209" s="30">
        <v>45626</v>
      </c>
      <c r="I209" s="24">
        <v>1117432</v>
      </c>
      <c r="J209" s="24">
        <v>0</v>
      </c>
      <c r="K209" s="24" t="s">
        <v>260</v>
      </c>
      <c r="L209" s="24" t="s">
        <v>276</v>
      </c>
    </row>
    <row r="210" spans="1:12">
      <c r="A210" s="67" t="str">
        <f t="shared" si="10"/>
        <v>ENTITYGRP_ANNL_TRNVR_LE45626MISSINGS</v>
      </c>
      <c r="B210" s="67" t="str">
        <f t="shared" si="11"/>
        <v>ENTITYGRP_ANNL_TRNVR_LE45626MISSINGS10</v>
      </c>
      <c r="C210" s="24" t="s">
        <v>98</v>
      </c>
      <c r="D210" s="24" t="s">
        <v>240</v>
      </c>
      <c r="E210" s="24" t="s">
        <v>234</v>
      </c>
      <c r="F210" s="24" t="s">
        <v>238</v>
      </c>
      <c r="G210" s="24" t="s">
        <v>128</v>
      </c>
      <c r="H210" s="30">
        <v>45626</v>
      </c>
      <c r="I210" s="24">
        <v>1117432</v>
      </c>
      <c r="J210" s="24">
        <v>59942</v>
      </c>
      <c r="K210" s="24" t="s">
        <v>260</v>
      </c>
      <c r="L210" s="24" t="s">
        <v>276</v>
      </c>
    </row>
    <row r="211" spans="1:12">
      <c r="A211" s="67" t="str">
        <f t="shared" si="10"/>
        <v>ENTITYGRP_TTL_LBLTY45626MISSINGS</v>
      </c>
      <c r="B211" s="67" t="str">
        <f t="shared" si="11"/>
        <v>ENTITYGRP_TTL_LBLTY45626MISSINGS10</v>
      </c>
      <c r="C211" s="24" t="s">
        <v>98</v>
      </c>
      <c r="D211" s="24" t="s">
        <v>240</v>
      </c>
      <c r="E211" s="24" t="s">
        <v>234</v>
      </c>
      <c r="F211" s="24" t="s">
        <v>238</v>
      </c>
      <c r="G211" s="24" t="s">
        <v>129</v>
      </c>
      <c r="H211" s="30">
        <v>45626</v>
      </c>
      <c r="I211" s="24">
        <v>1117432</v>
      </c>
      <c r="J211" s="24">
        <v>59934</v>
      </c>
      <c r="K211" s="24" t="s">
        <v>260</v>
      </c>
      <c r="L211" s="24" t="s">
        <v>276</v>
      </c>
    </row>
    <row r="212" spans="1:12">
      <c r="A212" s="67" t="str">
        <f t="shared" si="10"/>
        <v>ENTITYGRP_ANNL_TRNVR_LE45626NOT APPLICABLE</v>
      </c>
      <c r="B212" s="67" t="str">
        <f t="shared" si="11"/>
        <v>ENTITYGRP_ANNL_TRNVR_LE45626NOT APPLICABLE10</v>
      </c>
      <c r="C212" s="24" t="s">
        <v>98</v>
      </c>
      <c r="D212" s="24" t="s">
        <v>241</v>
      </c>
      <c r="E212" s="24" t="s">
        <v>234</v>
      </c>
      <c r="F212" s="24" t="s">
        <v>238</v>
      </c>
      <c r="G212" s="24" t="s">
        <v>128</v>
      </c>
      <c r="H212" s="30">
        <v>45626</v>
      </c>
      <c r="I212" s="24">
        <v>1117432</v>
      </c>
      <c r="J212" s="24">
        <v>1054598</v>
      </c>
      <c r="K212" s="24" t="s">
        <v>260</v>
      </c>
      <c r="L212" s="24" t="s">
        <v>276</v>
      </c>
    </row>
    <row r="213" spans="1:12">
      <c r="A213" s="67" t="str">
        <f t="shared" si="10"/>
        <v>ENTITYGRP_TTL_LBLTY45626NOT APPLICABLE</v>
      </c>
      <c r="B213" s="67" t="str">
        <f t="shared" si="11"/>
        <v>ENTITYGRP_TTL_LBLTY45626NOT APPLICABLE10</v>
      </c>
      <c r="C213" s="24" t="s">
        <v>98</v>
      </c>
      <c r="D213" s="24" t="s">
        <v>241</v>
      </c>
      <c r="E213" s="24" t="s">
        <v>234</v>
      </c>
      <c r="F213" s="24" t="s">
        <v>238</v>
      </c>
      <c r="G213" s="24" t="s">
        <v>129</v>
      </c>
      <c r="H213" s="30">
        <v>45626</v>
      </c>
      <c r="I213" s="24">
        <v>1117432</v>
      </c>
      <c r="J213" s="24">
        <v>1054598</v>
      </c>
      <c r="K213" s="24" t="s">
        <v>260</v>
      </c>
      <c r="L213" s="24" t="s">
        <v>276</v>
      </c>
    </row>
    <row r="1048559" spans="8:8">
      <c r="H1048559" s="3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321"/>
  <sheetViews>
    <sheetView showGridLines="0" zoomScale="70" zoomScaleNormal="70" workbookViewId="0"/>
  </sheetViews>
  <sheetFormatPr defaultColWidth="0" defaultRowHeight="0" customHeight="1" zeroHeight="1"/>
  <cols>
    <col min="1" max="2" width="2" style="2" customWidth="1"/>
    <col min="3" max="12" width="28.28515625" style="2" customWidth="1"/>
    <col min="13" max="13" width="3.5703125" style="2" customWidth="1"/>
    <col min="14" max="14" width="13.7109375" style="2" hidden="1" customWidth="1"/>
    <col min="15" max="15" width="12.140625" style="2" hidden="1" customWidth="1"/>
    <col min="16" max="40" width="0" style="2" hidden="1" customWidth="1"/>
    <col min="41" max="16384" width="9.140625" style="2" hidden="1"/>
  </cols>
  <sheetData>
    <row r="1" spans="1:30" ht="14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thickBot="1">
      <c r="A6" s="37"/>
      <c r="B6" s="37"/>
      <c r="C6" s="38" t="s">
        <v>277</v>
      </c>
      <c r="D6" s="38"/>
      <c r="E6" s="39"/>
      <c r="F6" s="39"/>
      <c r="G6" s="39"/>
      <c r="H6" s="39"/>
      <c r="I6" s="39"/>
      <c r="J6" s="39"/>
      <c r="K6" s="39"/>
      <c r="L6" s="39"/>
      <c r="M6" s="3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4.25"/>
    <row r="8" spans="1:30" ht="14.25">
      <c r="C8" s="25" t="s">
        <v>197</v>
      </c>
      <c r="D8" s="25" t="s">
        <v>198</v>
      </c>
      <c r="E8" s="25" t="s">
        <v>228</v>
      </c>
      <c r="F8" s="25" t="s">
        <v>200</v>
      </c>
      <c r="G8" s="25" t="s">
        <v>201</v>
      </c>
      <c r="H8" s="25" t="s">
        <v>72</v>
      </c>
      <c r="I8" s="25" t="s">
        <v>278</v>
      </c>
      <c r="J8" s="25" t="s">
        <v>279</v>
      </c>
      <c r="K8" s="25" t="s">
        <v>231</v>
      </c>
      <c r="L8" s="25" t="s">
        <v>232</v>
      </c>
      <c r="M8" s="4"/>
      <c r="N8" s="4"/>
    </row>
    <row r="9" spans="1:30" ht="14.25">
      <c r="A9" s="67" t="str">
        <f t="shared" ref="A9:A68" si="0">+C9&amp;G9&amp;H9</f>
        <v>INSTRUMENTRSK_MTGTD_CCT45565</v>
      </c>
      <c r="B9" s="67"/>
      <c r="C9" s="24" t="s">
        <v>145</v>
      </c>
      <c r="D9" s="24" t="s">
        <v>280</v>
      </c>
      <c r="E9" s="24" t="s">
        <v>242</v>
      </c>
      <c r="F9" s="24" t="s">
        <v>238</v>
      </c>
      <c r="G9" s="24" t="s">
        <v>146</v>
      </c>
      <c r="H9" s="30">
        <v>45565</v>
      </c>
      <c r="I9" s="24" t="s">
        <v>281</v>
      </c>
      <c r="J9" s="24" t="s">
        <v>281</v>
      </c>
      <c r="K9" s="24">
        <v>3</v>
      </c>
      <c r="L9" s="24" t="s">
        <v>282</v>
      </c>
      <c r="M9" s="5"/>
    </row>
    <row r="10" spans="1:30" ht="14.25">
      <c r="A10" s="67" t="str">
        <f t="shared" si="0"/>
        <v>PROTECTIONTYP_EP_SCR45596</v>
      </c>
      <c r="B10" s="67"/>
      <c r="C10" s="24" t="s">
        <v>134</v>
      </c>
      <c r="D10" s="24" t="s">
        <v>280</v>
      </c>
      <c r="E10" s="24" t="s">
        <v>246</v>
      </c>
      <c r="F10" s="24" t="s">
        <v>238</v>
      </c>
      <c r="G10" s="24" t="s">
        <v>135</v>
      </c>
      <c r="H10" s="30">
        <v>45596</v>
      </c>
      <c r="I10" s="24" t="s">
        <v>283</v>
      </c>
      <c r="J10" s="24" t="s">
        <v>283</v>
      </c>
      <c r="K10" s="24">
        <v>1</v>
      </c>
      <c r="L10" s="24" t="s">
        <v>284</v>
      </c>
      <c r="M10" s="5"/>
    </row>
    <row r="11" spans="1:30" ht="14.25">
      <c r="A11" s="67" t="str">
        <f t="shared" ref="A11" si="1">+C11&amp;G11&amp;H11</f>
        <v>PROTECTIONFLG_ACT_PHYSCL_RSK45596</v>
      </c>
      <c r="B11" s="67"/>
      <c r="C11" s="24" t="s">
        <v>134</v>
      </c>
      <c r="D11" s="24" t="s">
        <v>280</v>
      </c>
      <c r="E11" s="24" t="s">
        <v>246</v>
      </c>
      <c r="F11" s="24" t="s">
        <v>238</v>
      </c>
      <c r="G11" s="24" t="s">
        <v>121</v>
      </c>
      <c r="H11" s="30">
        <v>45596</v>
      </c>
      <c r="I11" s="24" t="s">
        <v>285</v>
      </c>
      <c r="J11" s="24" t="s">
        <v>285</v>
      </c>
      <c r="K11" s="24">
        <v>1</v>
      </c>
      <c r="L11" s="24" t="s">
        <v>286</v>
      </c>
      <c r="M11" s="5"/>
    </row>
    <row r="12" spans="1:30" ht="14.25">
      <c r="A12" s="67" t="str">
        <f t="shared" si="0"/>
        <v>PROTECTIONFLG_CHRNC_PHYSCL_RSK45596</v>
      </c>
      <c r="B12" s="67"/>
      <c r="C12" s="24" t="s">
        <v>134</v>
      </c>
      <c r="D12" s="24" t="s">
        <v>280</v>
      </c>
      <c r="E12" s="24" t="s">
        <v>246</v>
      </c>
      <c r="F12" s="24" t="s">
        <v>238</v>
      </c>
      <c r="G12" s="24" t="s">
        <v>122</v>
      </c>
      <c r="H12" s="30">
        <v>45596</v>
      </c>
      <c r="I12" s="24" t="s">
        <v>285</v>
      </c>
      <c r="J12" s="24" t="s">
        <v>285</v>
      </c>
      <c r="K12" s="24">
        <v>1</v>
      </c>
      <c r="L12" s="24" t="s">
        <v>287</v>
      </c>
      <c r="M12" s="24"/>
    </row>
    <row r="13" spans="1:30" ht="14.25">
      <c r="A13" s="67" t="str">
        <f t="shared" si="0"/>
        <v>PROTECTIONRL_ESTT_PST_CD45596</v>
      </c>
      <c r="B13" s="67"/>
      <c r="C13" s="24" t="s">
        <v>134</v>
      </c>
      <c r="D13" s="24" t="s">
        <v>280</v>
      </c>
      <c r="E13" s="24" t="s">
        <v>246</v>
      </c>
      <c r="F13" s="24" t="s">
        <v>238</v>
      </c>
      <c r="G13" s="24" t="s">
        <v>192</v>
      </c>
      <c r="H13" s="30">
        <v>45596</v>
      </c>
      <c r="I13" s="24" t="s">
        <v>288</v>
      </c>
      <c r="J13" s="24" t="s">
        <v>289</v>
      </c>
      <c r="K13" s="24">
        <v>1</v>
      </c>
      <c r="L13" s="24" t="s">
        <v>290</v>
      </c>
      <c r="M13" s="5"/>
    </row>
    <row r="14" spans="1:30" ht="14.25">
      <c r="A14" s="67" t="str">
        <f t="shared" si="0"/>
        <v>PROTECTIONEP_SCR45596</v>
      </c>
      <c r="B14" s="67"/>
      <c r="C14" s="24" t="s">
        <v>134</v>
      </c>
      <c r="D14" s="24" t="s">
        <v>280</v>
      </c>
      <c r="E14" s="24" t="s">
        <v>246</v>
      </c>
      <c r="F14" s="24" t="s">
        <v>238</v>
      </c>
      <c r="G14" s="24" t="s">
        <v>136</v>
      </c>
      <c r="H14" s="30">
        <v>45596</v>
      </c>
      <c r="I14" s="24" t="s">
        <v>291</v>
      </c>
      <c r="J14" s="24" t="s">
        <v>292</v>
      </c>
      <c r="K14" s="24">
        <v>1</v>
      </c>
      <c r="L14" s="24" t="s">
        <v>293</v>
      </c>
      <c r="M14" s="5"/>
    </row>
    <row r="15" spans="1:30" s="24" customFormat="1" ht="14.25">
      <c r="A15" s="67" t="str">
        <f t="shared" si="0"/>
        <v>PROTECTIONRL_ESTT_CLLTRL_LCTN45596</v>
      </c>
      <c r="B15" s="67"/>
      <c r="C15" s="24" t="s">
        <v>134</v>
      </c>
      <c r="D15" s="24" t="s">
        <v>280</v>
      </c>
      <c r="E15" s="24" t="s">
        <v>246</v>
      </c>
      <c r="F15" s="24" t="s">
        <v>238</v>
      </c>
      <c r="G15" s="24" t="s">
        <v>191</v>
      </c>
      <c r="H15" s="30">
        <v>45596</v>
      </c>
      <c r="I15" s="24" t="s">
        <v>294</v>
      </c>
      <c r="J15" s="24" t="s">
        <v>294</v>
      </c>
      <c r="K15" s="24">
        <v>1</v>
      </c>
      <c r="L15" s="24" t="s">
        <v>295</v>
      </c>
    </row>
    <row r="16" spans="1:30" ht="14.25">
      <c r="A16" s="67" t="str">
        <f t="shared" si="0"/>
        <v>ENTITYTXNMY_ELGBL_CAPEX_CCM45596</v>
      </c>
      <c r="B16" s="67"/>
      <c r="C16" s="24" t="s">
        <v>98</v>
      </c>
      <c r="D16" s="24" t="s">
        <v>280</v>
      </c>
      <c r="E16" s="24" t="s">
        <v>234</v>
      </c>
      <c r="F16" s="24" t="s">
        <v>238</v>
      </c>
      <c r="G16" s="24" t="s">
        <v>100</v>
      </c>
      <c r="H16" s="30">
        <v>45596</v>
      </c>
      <c r="I16" s="24" t="s">
        <v>296</v>
      </c>
      <c r="J16" s="24" t="s">
        <v>297</v>
      </c>
      <c r="K16" s="24">
        <v>10</v>
      </c>
      <c r="L16" s="30" t="s">
        <v>298</v>
      </c>
      <c r="M16" s="5"/>
    </row>
    <row r="17" spans="1:13" ht="14.25">
      <c r="A17" s="67" t="str">
        <f t="shared" si="0"/>
        <v>ENTITYTXNMY_ELGBL_TRNVR_CCM45596</v>
      </c>
      <c r="B17" s="67"/>
      <c r="C17" s="24" t="s">
        <v>98</v>
      </c>
      <c r="D17" s="24" t="s">
        <v>280</v>
      </c>
      <c r="E17" s="24" t="s">
        <v>234</v>
      </c>
      <c r="F17" s="24" t="s">
        <v>238</v>
      </c>
      <c r="G17" s="24" t="s">
        <v>101</v>
      </c>
      <c r="H17" s="30">
        <v>45596</v>
      </c>
      <c r="I17" s="24" t="s">
        <v>296</v>
      </c>
      <c r="J17" s="24" t="s">
        <v>297</v>
      </c>
      <c r="K17" s="24">
        <v>10</v>
      </c>
      <c r="L17" s="30" t="s">
        <v>298</v>
      </c>
      <c r="M17" s="5"/>
    </row>
    <row r="18" spans="1:13" ht="14.25">
      <c r="A18" s="67" t="str">
        <f t="shared" si="0"/>
        <v>ENTITYTXNMY_ELGBL_CAPEX_CCA45596</v>
      </c>
      <c r="B18" s="67"/>
      <c r="C18" s="24" t="s">
        <v>98</v>
      </c>
      <c r="D18" s="24" t="s">
        <v>280</v>
      </c>
      <c r="E18" s="24" t="s">
        <v>234</v>
      </c>
      <c r="F18" s="24" t="s">
        <v>238</v>
      </c>
      <c r="G18" s="24" t="s">
        <v>104</v>
      </c>
      <c r="H18" s="30">
        <v>45596</v>
      </c>
      <c r="I18" s="24" t="s">
        <v>296</v>
      </c>
      <c r="J18" s="24" t="s">
        <v>299</v>
      </c>
      <c r="K18" s="24">
        <v>10</v>
      </c>
      <c r="L18" s="30" t="s">
        <v>298</v>
      </c>
      <c r="M18" s="5"/>
    </row>
    <row r="19" spans="1:13" ht="14.25">
      <c r="A19" s="67" t="str">
        <f t="shared" si="0"/>
        <v>ENTITYTXNMY_ELGBL_TRNVR_CCA45596</v>
      </c>
      <c r="B19" s="67"/>
      <c r="C19" s="24" t="s">
        <v>98</v>
      </c>
      <c r="D19" s="24" t="s">
        <v>280</v>
      </c>
      <c r="E19" s="24" t="s">
        <v>234</v>
      </c>
      <c r="F19" s="24" t="s">
        <v>238</v>
      </c>
      <c r="G19" s="24" t="s">
        <v>105</v>
      </c>
      <c r="H19" s="30">
        <v>45596</v>
      </c>
      <c r="I19" s="24" t="s">
        <v>296</v>
      </c>
      <c r="J19" s="24" t="s">
        <v>297</v>
      </c>
      <c r="K19" s="24">
        <v>10</v>
      </c>
      <c r="L19" s="30" t="s">
        <v>298</v>
      </c>
      <c r="M19" s="5"/>
    </row>
    <row r="20" spans="1:13" ht="14.25">
      <c r="A20" s="67" t="str">
        <f t="shared" si="0"/>
        <v>ENTITYENBLNG_CAPEX_CCM45596</v>
      </c>
      <c r="B20" s="67"/>
      <c r="C20" s="24" t="s">
        <v>98</v>
      </c>
      <c r="D20" s="24" t="s">
        <v>280</v>
      </c>
      <c r="E20" s="24" t="s">
        <v>234</v>
      </c>
      <c r="F20" s="24" t="s">
        <v>238</v>
      </c>
      <c r="G20" s="24" t="s">
        <v>106</v>
      </c>
      <c r="H20" s="30">
        <v>45596</v>
      </c>
      <c r="I20" s="24" t="s">
        <v>296</v>
      </c>
      <c r="J20" s="24" t="s">
        <v>300</v>
      </c>
      <c r="K20" s="24">
        <v>10</v>
      </c>
      <c r="L20" s="30" t="s">
        <v>298</v>
      </c>
      <c r="M20" s="5"/>
    </row>
    <row r="21" spans="1:13" ht="14.25">
      <c r="A21" s="67" t="str">
        <f t="shared" si="0"/>
        <v>ENTITYENBLNG_CAPEX_CCA45596</v>
      </c>
      <c r="B21" s="67"/>
      <c r="C21" s="24" t="s">
        <v>98</v>
      </c>
      <c r="D21" s="24" t="s">
        <v>280</v>
      </c>
      <c r="E21" s="24" t="s">
        <v>234</v>
      </c>
      <c r="F21" s="24" t="s">
        <v>238</v>
      </c>
      <c r="G21" s="24" t="s">
        <v>107</v>
      </c>
      <c r="H21" s="30">
        <v>45596</v>
      </c>
      <c r="I21" s="24" t="s">
        <v>296</v>
      </c>
      <c r="J21" s="24" t="s">
        <v>301</v>
      </c>
      <c r="K21" s="24">
        <v>10</v>
      </c>
      <c r="L21" s="30" t="s">
        <v>298</v>
      </c>
      <c r="M21" s="5"/>
    </row>
    <row r="22" spans="1:13" ht="14.25">
      <c r="A22" s="67" t="str">
        <f t="shared" si="0"/>
        <v>ENTITYTRNSTNL_CAPEX45596</v>
      </c>
      <c r="B22" s="67"/>
      <c r="C22" s="24" t="s">
        <v>98</v>
      </c>
      <c r="D22" s="24" t="s">
        <v>280</v>
      </c>
      <c r="E22" s="24" t="s">
        <v>234</v>
      </c>
      <c r="F22" s="24" t="s">
        <v>238</v>
      </c>
      <c r="G22" s="24" t="s">
        <v>108</v>
      </c>
      <c r="H22" s="30">
        <v>45596</v>
      </c>
      <c r="I22" s="24" t="s">
        <v>296</v>
      </c>
      <c r="J22" s="24" t="s">
        <v>302</v>
      </c>
      <c r="K22" s="24">
        <v>10</v>
      </c>
      <c r="L22" s="30" t="s">
        <v>298</v>
      </c>
      <c r="M22" s="5"/>
    </row>
    <row r="23" spans="1:13" ht="14.25">
      <c r="A23" s="67" t="str">
        <f t="shared" si="0"/>
        <v>ENTITYPURE_CAPEX_CCM45596</v>
      </c>
      <c r="B23" s="67"/>
      <c r="C23" s="24" t="s">
        <v>98</v>
      </c>
      <c r="D23" s="24" t="s">
        <v>280</v>
      </c>
      <c r="E23" s="24" t="s">
        <v>234</v>
      </c>
      <c r="F23" s="24" t="s">
        <v>238</v>
      </c>
      <c r="G23" s="24" t="s">
        <v>109</v>
      </c>
      <c r="H23" s="30">
        <v>45596</v>
      </c>
      <c r="I23" s="24" t="s">
        <v>296</v>
      </c>
      <c r="J23" s="24" t="s">
        <v>303</v>
      </c>
      <c r="K23" s="24">
        <v>10</v>
      </c>
      <c r="L23" s="30" t="s">
        <v>298</v>
      </c>
      <c r="M23" s="5"/>
    </row>
    <row r="24" spans="1:13" ht="14.25">
      <c r="A24" s="67" t="str">
        <f t="shared" si="0"/>
        <v>ENTITYPURE_CAPEX_CCA45596</v>
      </c>
      <c r="B24" s="67"/>
      <c r="C24" s="24" t="s">
        <v>98</v>
      </c>
      <c r="D24" s="24" t="s">
        <v>280</v>
      </c>
      <c r="E24" s="24" t="s">
        <v>234</v>
      </c>
      <c r="F24" s="24" t="s">
        <v>238</v>
      </c>
      <c r="G24" s="24" t="s">
        <v>110</v>
      </c>
      <c r="H24" s="30">
        <v>45596</v>
      </c>
      <c r="I24" s="24" t="s">
        <v>296</v>
      </c>
      <c r="J24" s="24" t="s">
        <v>296</v>
      </c>
      <c r="K24" s="24">
        <v>10</v>
      </c>
      <c r="L24" s="30" t="s">
        <v>298</v>
      </c>
      <c r="M24" s="5"/>
    </row>
    <row r="25" spans="1:13" ht="14.25">
      <c r="A25" s="67" t="str">
        <f t="shared" si="0"/>
        <v>ENTITYENBLNG_TRNVR_CCM45596</v>
      </c>
      <c r="B25" s="67"/>
      <c r="C25" s="24" t="s">
        <v>98</v>
      </c>
      <c r="D25" s="24" t="s">
        <v>280</v>
      </c>
      <c r="E25" s="24" t="s">
        <v>234</v>
      </c>
      <c r="F25" s="24" t="s">
        <v>238</v>
      </c>
      <c r="G25" s="24" t="s">
        <v>111</v>
      </c>
      <c r="H25" s="30">
        <v>45596</v>
      </c>
      <c r="I25" s="24" t="s">
        <v>296</v>
      </c>
      <c r="J25" s="24" t="s">
        <v>304</v>
      </c>
      <c r="K25" s="24">
        <v>10</v>
      </c>
      <c r="L25" s="30" t="s">
        <v>298</v>
      </c>
      <c r="M25" s="5"/>
    </row>
    <row r="26" spans="1:13" ht="14.25">
      <c r="A26" s="67" t="str">
        <f t="shared" si="0"/>
        <v>ENTITYENBLNG_TRNVR_CCA45596</v>
      </c>
      <c r="B26" s="67"/>
      <c r="C26" s="24" t="s">
        <v>98</v>
      </c>
      <c r="D26" s="24" t="s">
        <v>280</v>
      </c>
      <c r="E26" s="24" t="s">
        <v>234</v>
      </c>
      <c r="F26" s="24" t="s">
        <v>238</v>
      </c>
      <c r="G26" s="24" t="s">
        <v>112</v>
      </c>
      <c r="H26" s="30">
        <v>45596</v>
      </c>
      <c r="I26" s="24" t="s">
        <v>296</v>
      </c>
      <c r="J26" s="24" t="s">
        <v>305</v>
      </c>
      <c r="K26" s="24">
        <v>10</v>
      </c>
      <c r="L26" s="30" t="s">
        <v>298</v>
      </c>
      <c r="M26" s="5"/>
    </row>
    <row r="27" spans="1:13" ht="14.25">
      <c r="A27" s="67" t="str">
        <f t="shared" si="0"/>
        <v>ENTITYTRNSTNL_TRNVR45596</v>
      </c>
      <c r="B27" s="67"/>
      <c r="C27" s="24" t="s">
        <v>98</v>
      </c>
      <c r="D27" s="24" t="s">
        <v>280</v>
      </c>
      <c r="E27" s="24" t="s">
        <v>234</v>
      </c>
      <c r="F27" s="24" t="s">
        <v>238</v>
      </c>
      <c r="G27" s="24" t="s">
        <v>113</v>
      </c>
      <c r="H27" s="30">
        <v>45596</v>
      </c>
      <c r="I27" s="24" t="s">
        <v>296</v>
      </c>
      <c r="J27" s="24" t="s">
        <v>306</v>
      </c>
      <c r="K27" s="24">
        <v>10</v>
      </c>
      <c r="L27" s="30" t="s">
        <v>298</v>
      </c>
      <c r="M27" s="5"/>
    </row>
    <row r="28" spans="1:13" ht="14.25">
      <c r="A28" s="67" t="str">
        <f t="shared" si="0"/>
        <v>ENTITYPURE_TRNVR_CCM45596</v>
      </c>
      <c r="B28" s="67"/>
      <c r="C28" s="24" t="s">
        <v>98</v>
      </c>
      <c r="D28" s="24" t="s">
        <v>280</v>
      </c>
      <c r="E28" s="24" t="s">
        <v>234</v>
      </c>
      <c r="F28" s="24" t="s">
        <v>238</v>
      </c>
      <c r="G28" s="24" t="s">
        <v>114</v>
      </c>
      <c r="H28" s="30">
        <v>45596</v>
      </c>
      <c r="I28" s="24" t="s">
        <v>296</v>
      </c>
      <c r="J28" s="24" t="s">
        <v>307</v>
      </c>
      <c r="K28" s="24">
        <v>10</v>
      </c>
      <c r="L28" s="30" t="s">
        <v>298</v>
      </c>
      <c r="M28" s="5"/>
    </row>
    <row r="29" spans="1:13" ht="14.25">
      <c r="A29" s="67" t="str">
        <f t="shared" si="0"/>
        <v>ENTITYPURE_TRNVR_CCA45596</v>
      </c>
      <c r="B29" s="67"/>
      <c r="C29" s="24" t="s">
        <v>98</v>
      </c>
      <c r="D29" s="24" t="s">
        <v>280</v>
      </c>
      <c r="E29" s="24" t="s">
        <v>234</v>
      </c>
      <c r="F29" s="24" t="s">
        <v>238</v>
      </c>
      <c r="G29" s="24" t="s">
        <v>115</v>
      </c>
      <c r="H29" s="30">
        <v>45596</v>
      </c>
      <c r="I29" s="24" t="s">
        <v>296</v>
      </c>
      <c r="J29" s="24" t="s">
        <v>296</v>
      </c>
      <c r="K29" s="24">
        <v>10</v>
      </c>
      <c r="L29" s="30" t="s">
        <v>298</v>
      </c>
      <c r="M29" s="5"/>
    </row>
    <row r="30" spans="1:13" ht="14.25">
      <c r="A30" s="67" t="str">
        <f t="shared" si="0"/>
        <v>ENTITYFLG_EXCLDD_EU_PRS_ALGND_BNCHMRK45596</v>
      </c>
      <c r="B30" s="67"/>
      <c r="C30" s="24" t="s">
        <v>98</v>
      </c>
      <c r="D30" s="24" t="s">
        <v>280</v>
      </c>
      <c r="E30" s="24" t="s">
        <v>234</v>
      </c>
      <c r="F30" s="24" t="s">
        <v>238</v>
      </c>
      <c r="G30" s="24" t="s">
        <v>120</v>
      </c>
      <c r="H30" s="30">
        <v>45596</v>
      </c>
      <c r="I30" s="24" t="s">
        <v>285</v>
      </c>
      <c r="J30" s="24" t="s">
        <v>308</v>
      </c>
      <c r="K30" s="24">
        <v>10</v>
      </c>
      <c r="L30" s="30" t="s">
        <v>298</v>
      </c>
      <c r="M30" s="5"/>
    </row>
    <row r="31" spans="1:13" ht="14.25">
      <c r="A31" s="67" t="str">
        <f t="shared" si="0"/>
        <v>ENTITYESG_SBSCTR45596</v>
      </c>
      <c r="B31" s="67"/>
      <c r="C31" s="24" t="s">
        <v>98</v>
      </c>
      <c r="D31" s="24" t="s">
        <v>280</v>
      </c>
      <c r="E31" s="24" t="s">
        <v>234</v>
      </c>
      <c r="F31" s="24" t="s">
        <v>238</v>
      </c>
      <c r="G31" s="24" t="s">
        <v>125</v>
      </c>
      <c r="H31" s="30">
        <v>45596</v>
      </c>
      <c r="I31" s="24" t="s">
        <v>309</v>
      </c>
      <c r="J31" s="24" t="s">
        <v>310</v>
      </c>
      <c r="K31" s="24">
        <v>10</v>
      </c>
      <c r="L31" s="30" t="s">
        <v>298</v>
      </c>
      <c r="M31" s="5"/>
    </row>
    <row r="32" spans="1:13" ht="14.25">
      <c r="A32" s="67" t="str">
        <f t="shared" si="0"/>
        <v>ENTITYGRP_ANNL_TRNVR_LE45596</v>
      </c>
      <c r="B32" s="67"/>
      <c r="C32" s="24" t="s">
        <v>98</v>
      </c>
      <c r="D32" s="24" t="s">
        <v>280</v>
      </c>
      <c r="E32" s="24" t="s">
        <v>234</v>
      </c>
      <c r="F32" s="24" t="s">
        <v>238</v>
      </c>
      <c r="G32" s="24" t="s">
        <v>128</v>
      </c>
      <c r="H32" s="30">
        <v>45596</v>
      </c>
      <c r="I32" s="24" t="s">
        <v>311</v>
      </c>
      <c r="J32" s="24" t="s">
        <v>312</v>
      </c>
      <c r="K32" s="24">
        <v>10</v>
      </c>
      <c r="L32" s="30" t="s">
        <v>298</v>
      </c>
      <c r="M32" s="5"/>
    </row>
    <row r="33" spans="1:13" ht="14.25">
      <c r="A33" s="67" t="str">
        <f t="shared" si="0"/>
        <v>PROTECTIONTYP_EPC_LBL45626</v>
      </c>
      <c r="B33" s="67"/>
      <c r="C33" s="24" t="s">
        <v>134</v>
      </c>
      <c r="D33" s="24" t="s">
        <v>280</v>
      </c>
      <c r="E33" s="24" t="s">
        <v>246</v>
      </c>
      <c r="F33" s="24" t="s">
        <v>238</v>
      </c>
      <c r="G33" s="24" t="s">
        <v>137</v>
      </c>
      <c r="H33" s="30">
        <v>45626</v>
      </c>
      <c r="I33" s="24" t="s">
        <v>313</v>
      </c>
      <c r="J33" s="24" t="s">
        <v>313</v>
      </c>
      <c r="K33" s="24" t="s">
        <v>260</v>
      </c>
      <c r="L33" s="24" t="s">
        <v>314</v>
      </c>
      <c r="M33" s="5"/>
    </row>
    <row r="34" spans="1:13" ht="14.25">
      <c r="A34" s="67" t="str">
        <f t="shared" si="0"/>
        <v>ENTITYNACE_ESG45626</v>
      </c>
      <c r="B34" s="67"/>
      <c r="C34" s="24" t="s">
        <v>98</v>
      </c>
      <c r="D34" s="24" t="s">
        <v>280</v>
      </c>
      <c r="E34" s="24" t="s">
        <v>234</v>
      </c>
      <c r="F34" s="24" t="s">
        <v>238</v>
      </c>
      <c r="G34" s="24" t="s">
        <v>99</v>
      </c>
      <c r="H34" s="30">
        <v>45626</v>
      </c>
      <c r="I34" s="24" t="s">
        <v>315</v>
      </c>
      <c r="J34" s="24" t="s">
        <v>316</v>
      </c>
      <c r="K34" s="24" t="s">
        <v>260</v>
      </c>
      <c r="L34" s="24" t="s">
        <v>317</v>
      </c>
      <c r="M34" s="5"/>
    </row>
    <row r="35" spans="1:13" ht="14.25">
      <c r="A35" s="67" t="str">
        <f t="shared" si="0"/>
        <v>ENTITYFLG_NFRD_APPLCBLTY45626</v>
      </c>
      <c r="B35" s="67"/>
      <c r="C35" s="24" t="s">
        <v>98</v>
      </c>
      <c r="D35" s="24" t="s">
        <v>280</v>
      </c>
      <c r="E35" s="24" t="s">
        <v>234</v>
      </c>
      <c r="F35" s="24" t="s">
        <v>238</v>
      </c>
      <c r="G35" s="24" t="s">
        <v>116</v>
      </c>
      <c r="H35" s="30">
        <v>45626</v>
      </c>
      <c r="I35" s="24" t="s">
        <v>285</v>
      </c>
      <c r="J35" s="24" t="s">
        <v>308</v>
      </c>
      <c r="K35" s="24" t="s">
        <v>260</v>
      </c>
      <c r="L35" s="24" t="s">
        <v>317</v>
      </c>
      <c r="M35" s="5"/>
    </row>
    <row r="36" spans="1:13" ht="14.25">
      <c r="A36" s="67" t="str">
        <f t="shared" si="0"/>
        <v>ENTITYCNTRPRTY_EMSSNS_SCP145626</v>
      </c>
      <c r="B36" s="67"/>
      <c r="C36" s="24" t="s">
        <v>98</v>
      </c>
      <c r="D36" s="24" t="s">
        <v>280</v>
      </c>
      <c r="E36" s="24" t="s">
        <v>234</v>
      </c>
      <c r="F36" s="24" t="s">
        <v>238</v>
      </c>
      <c r="G36" s="24" t="s">
        <v>117</v>
      </c>
      <c r="H36" s="30">
        <v>45626</v>
      </c>
      <c r="I36" s="24" t="s">
        <v>296</v>
      </c>
      <c r="J36" s="24" t="s">
        <v>318</v>
      </c>
      <c r="K36" s="24" t="s">
        <v>260</v>
      </c>
      <c r="L36" s="24" t="s">
        <v>317</v>
      </c>
      <c r="M36" s="5"/>
    </row>
    <row r="37" spans="1:13" ht="14.25">
      <c r="A37" s="67" t="str">
        <f t="shared" si="0"/>
        <v>ENTITYCNTRPRTY_EMSSNS_SCP245626</v>
      </c>
      <c r="B37" s="67"/>
      <c r="C37" s="24" t="s">
        <v>98</v>
      </c>
      <c r="D37" s="24" t="s">
        <v>280</v>
      </c>
      <c r="E37" s="24" t="s">
        <v>234</v>
      </c>
      <c r="F37" s="24" t="s">
        <v>238</v>
      </c>
      <c r="G37" s="24" t="s">
        <v>118</v>
      </c>
      <c r="H37" s="30">
        <v>45626</v>
      </c>
      <c r="I37" s="24" t="s">
        <v>296</v>
      </c>
      <c r="J37" s="24" t="s">
        <v>319</v>
      </c>
      <c r="K37" s="24" t="s">
        <v>260</v>
      </c>
      <c r="L37" s="24" t="s">
        <v>317</v>
      </c>
      <c r="M37" s="5"/>
    </row>
    <row r="38" spans="1:13" ht="14.25">
      <c r="A38" s="67" t="str">
        <f t="shared" si="0"/>
        <v>ENTITYCNTRPRTY_EMSSNS_SCP345626</v>
      </c>
      <c r="B38" s="67"/>
      <c r="C38" s="24" t="s">
        <v>98</v>
      </c>
      <c r="D38" s="24" t="s">
        <v>280</v>
      </c>
      <c r="E38" s="24" t="s">
        <v>234</v>
      </c>
      <c r="F38" s="24" t="s">
        <v>238</v>
      </c>
      <c r="G38" s="24" t="s">
        <v>119</v>
      </c>
      <c r="H38" s="30">
        <v>45626</v>
      </c>
      <c r="I38" s="24" t="s">
        <v>296</v>
      </c>
      <c r="J38" s="24" t="s">
        <v>320</v>
      </c>
      <c r="K38" s="24" t="s">
        <v>260</v>
      </c>
      <c r="L38" s="24" t="s">
        <v>317</v>
      </c>
      <c r="M38" s="5"/>
    </row>
    <row r="39" spans="1:13" ht="14.25">
      <c r="A39" s="67" t="str">
        <f t="shared" si="0"/>
        <v>ENTITYFLG_EXCLDD_EU_PRS_ALGND_BNCHMRK45626</v>
      </c>
      <c r="B39" s="67"/>
      <c r="C39" s="24" t="s">
        <v>98</v>
      </c>
      <c r="D39" s="24" t="s">
        <v>280</v>
      </c>
      <c r="E39" s="24" t="s">
        <v>234</v>
      </c>
      <c r="F39" s="24" t="s">
        <v>238</v>
      </c>
      <c r="G39" s="24" t="s">
        <v>120</v>
      </c>
      <c r="H39" s="30">
        <v>45626</v>
      </c>
      <c r="I39" s="24" t="s">
        <v>285</v>
      </c>
      <c r="J39" s="24" t="s">
        <v>308</v>
      </c>
      <c r="K39" s="24" t="s">
        <v>260</v>
      </c>
      <c r="L39" s="24" t="s">
        <v>317</v>
      </c>
      <c r="M39" s="5"/>
    </row>
    <row r="40" spans="1:13" ht="14.25">
      <c r="A40" s="67" t="str">
        <f t="shared" si="0"/>
        <v>ENTITYFLG_ACT_PHYSCL_RSK45626</v>
      </c>
      <c r="B40" s="67"/>
      <c r="C40" s="24" t="s">
        <v>98</v>
      </c>
      <c r="D40" s="24" t="s">
        <v>280</v>
      </c>
      <c r="E40" s="24" t="s">
        <v>234</v>
      </c>
      <c r="F40" s="24" t="s">
        <v>238</v>
      </c>
      <c r="G40" s="24" t="s">
        <v>121</v>
      </c>
      <c r="H40" s="30">
        <v>45626</v>
      </c>
      <c r="I40" s="24" t="s">
        <v>285</v>
      </c>
      <c r="J40" s="24" t="s">
        <v>308</v>
      </c>
      <c r="K40" s="24" t="s">
        <v>260</v>
      </c>
      <c r="L40" s="24" t="s">
        <v>317</v>
      </c>
      <c r="M40" s="5"/>
    </row>
    <row r="41" spans="1:13" ht="14.25">
      <c r="A41" s="67" t="str">
        <f t="shared" si="0"/>
        <v>ENTITYFLG_CHRNC_PHYSCL_RSK45626</v>
      </c>
      <c r="B41" s="67"/>
      <c r="C41" s="24" t="s">
        <v>98</v>
      </c>
      <c r="D41" s="24" t="s">
        <v>280</v>
      </c>
      <c r="E41" s="24" t="s">
        <v>234</v>
      </c>
      <c r="F41" s="24" t="s">
        <v>238</v>
      </c>
      <c r="G41" s="24" t="s">
        <v>122</v>
      </c>
      <c r="H41" s="30">
        <v>45626</v>
      </c>
      <c r="I41" s="24" t="s">
        <v>285</v>
      </c>
      <c r="J41" s="24" t="s">
        <v>308</v>
      </c>
      <c r="K41" s="24" t="s">
        <v>260</v>
      </c>
      <c r="L41" s="24" t="s">
        <v>317</v>
      </c>
      <c r="M41" s="5"/>
    </row>
    <row r="42" spans="1:13" ht="14.25">
      <c r="A42" s="67" t="str">
        <f t="shared" si="0"/>
        <v>ENTITYESG_SBSCTR45626</v>
      </c>
      <c r="B42" s="67"/>
      <c r="C42" s="24" t="s">
        <v>98</v>
      </c>
      <c r="D42" s="24" t="s">
        <v>280</v>
      </c>
      <c r="E42" s="24" t="s">
        <v>234</v>
      </c>
      <c r="F42" s="24" t="s">
        <v>238</v>
      </c>
      <c r="G42" s="24" t="s">
        <v>125</v>
      </c>
      <c r="H42" s="30">
        <v>45626</v>
      </c>
      <c r="I42" s="24" t="s">
        <v>309</v>
      </c>
      <c r="J42" s="24" t="s">
        <v>310</v>
      </c>
      <c r="K42" s="24" t="s">
        <v>260</v>
      </c>
      <c r="L42" s="24" t="s">
        <v>317</v>
      </c>
      <c r="M42" s="5"/>
    </row>
    <row r="43" spans="1:13" ht="14.25">
      <c r="A43" s="67" t="str">
        <f t="shared" si="0"/>
        <v>ENTITYTTL_LBLTY45626</v>
      </c>
      <c r="B43" s="67"/>
      <c r="C43" s="24" t="s">
        <v>98</v>
      </c>
      <c r="D43" s="24" t="s">
        <v>280</v>
      </c>
      <c r="E43" s="24" t="s">
        <v>234</v>
      </c>
      <c r="F43" s="24" t="s">
        <v>238</v>
      </c>
      <c r="G43" s="24" t="s">
        <v>126</v>
      </c>
      <c r="H43" s="30">
        <v>45626</v>
      </c>
      <c r="I43" s="24" t="s">
        <v>321</v>
      </c>
      <c r="J43" s="24" t="s">
        <v>322</v>
      </c>
      <c r="K43" s="24" t="s">
        <v>260</v>
      </c>
      <c r="L43" s="24" t="s">
        <v>317</v>
      </c>
      <c r="M43" s="5"/>
    </row>
    <row r="44" spans="1:13" ht="14.25">
      <c r="A44" s="67" t="str">
        <f t="shared" si="0"/>
        <v>ENTITYISIN45626</v>
      </c>
      <c r="B44" s="67"/>
      <c r="C44" s="24" t="s">
        <v>98</v>
      </c>
      <c r="D44" s="24" t="s">
        <v>280</v>
      </c>
      <c r="E44" s="24" t="s">
        <v>234</v>
      </c>
      <c r="F44" s="24" t="s">
        <v>238</v>
      </c>
      <c r="G44" s="24" t="s">
        <v>127</v>
      </c>
      <c r="H44" s="30">
        <v>45626</v>
      </c>
      <c r="I44" s="24" t="s">
        <v>323</v>
      </c>
      <c r="J44" s="24" t="s">
        <v>324</v>
      </c>
      <c r="K44" s="24" t="s">
        <v>260</v>
      </c>
      <c r="L44" s="24" t="s">
        <v>317</v>
      </c>
      <c r="M44" s="5"/>
    </row>
    <row r="45" spans="1:13" ht="14.25">
      <c r="A45" s="67" t="str">
        <f t="shared" si="0"/>
        <v>ENTITYGRP_EMSSNS_SCP145626</v>
      </c>
      <c r="B45" s="67"/>
      <c r="C45" s="24" t="s">
        <v>98</v>
      </c>
      <c r="D45" s="24" t="s">
        <v>280</v>
      </c>
      <c r="E45" s="24" t="s">
        <v>234</v>
      </c>
      <c r="F45" s="24" t="s">
        <v>238</v>
      </c>
      <c r="G45" s="24" t="s">
        <v>131</v>
      </c>
      <c r="H45" s="30">
        <v>45626</v>
      </c>
      <c r="I45" s="24" t="s">
        <v>296</v>
      </c>
      <c r="J45" s="24" t="s">
        <v>325</v>
      </c>
      <c r="K45" s="24" t="s">
        <v>260</v>
      </c>
      <c r="L45" s="24" t="s">
        <v>326</v>
      </c>
      <c r="M45" s="5"/>
    </row>
    <row r="46" spans="1:13" ht="14.25">
      <c r="A46" s="67" t="str">
        <f t="shared" si="0"/>
        <v>ENTITYGRP_EMSSNS_SCP245626</v>
      </c>
      <c r="B46" s="67"/>
      <c r="C46" s="24" t="s">
        <v>98</v>
      </c>
      <c r="D46" s="24" t="s">
        <v>280</v>
      </c>
      <c r="E46" s="24" t="s">
        <v>234</v>
      </c>
      <c r="F46" s="24" t="s">
        <v>238</v>
      </c>
      <c r="G46" s="24" t="s">
        <v>132</v>
      </c>
      <c r="H46" s="30">
        <v>45626</v>
      </c>
      <c r="I46" s="24" t="s">
        <v>296</v>
      </c>
      <c r="J46" s="24" t="s">
        <v>327</v>
      </c>
      <c r="K46" s="24" t="s">
        <v>260</v>
      </c>
      <c r="L46" s="24" t="s">
        <v>326</v>
      </c>
      <c r="M46" s="5"/>
    </row>
    <row r="47" spans="1:13" ht="14.25">
      <c r="A47" s="67" t="str">
        <f t="shared" si="0"/>
        <v>ENTITYGRP_EMSSNS_SCP345626</v>
      </c>
      <c r="B47" s="67"/>
      <c r="C47" s="24" t="s">
        <v>98</v>
      </c>
      <c r="D47" s="24" t="s">
        <v>280</v>
      </c>
      <c r="E47" s="24" t="s">
        <v>234</v>
      </c>
      <c r="F47" s="24" t="s">
        <v>238</v>
      </c>
      <c r="G47" s="24" t="s">
        <v>133</v>
      </c>
      <c r="H47" s="30">
        <v>45626</v>
      </c>
      <c r="I47" s="24" t="s">
        <v>296</v>
      </c>
      <c r="J47" s="24" t="s">
        <v>328</v>
      </c>
      <c r="K47" s="24" t="s">
        <v>260</v>
      </c>
      <c r="L47" s="24" t="s">
        <v>326</v>
      </c>
      <c r="M47" s="5"/>
    </row>
    <row r="48" spans="1:13" ht="14.25">
      <c r="A48" s="67" t="str">
        <f t="shared" si="0"/>
        <v>ENTITYGRP_ANNL_TRNVR_LE45626</v>
      </c>
      <c r="B48" s="67"/>
      <c r="C48" s="24" t="s">
        <v>98</v>
      </c>
      <c r="D48" s="24" t="s">
        <v>280</v>
      </c>
      <c r="E48" s="24" t="s">
        <v>234</v>
      </c>
      <c r="F48" s="24" t="s">
        <v>238</v>
      </c>
      <c r="G48" s="24" t="s">
        <v>128</v>
      </c>
      <c r="H48" s="30">
        <v>45626</v>
      </c>
      <c r="I48" s="24" t="s">
        <v>311</v>
      </c>
      <c r="J48" s="24" t="s">
        <v>312</v>
      </c>
      <c r="K48" s="24" t="s">
        <v>260</v>
      </c>
      <c r="L48" s="24" t="s">
        <v>329</v>
      </c>
      <c r="M48" s="5"/>
    </row>
    <row r="49" spans="1:13" ht="14.25">
      <c r="A49" s="67" t="str">
        <f t="shared" si="0"/>
        <v>ENTITYGRP_TTL_LBLTY45626</v>
      </c>
      <c r="B49" s="67"/>
      <c r="C49" s="24" t="s">
        <v>98</v>
      </c>
      <c r="D49" s="24" t="s">
        <v>280</v>
      </c>
      <c r="E49" s="24" t="s">
        <v>234</v>
      </c>
      <c r="F49" s="24" t="s">
        <v>238</v>
      </c>
      <c r="G49" s="24" t="s">
        <v>129</v>
      </c>
      <c r="H49" s="30">
        <v>45626</v>
      </c>
      <c r="I49" s="24" t="s">
        <v>311</v>
      </c>
      <c r="J49" s="24" t="s">
        <v>330</v>
      </c>
      <c r="K49" s="24" t="s">
        <v>260</v>
      </c>
      <c r="L49" s="24" t="s">
        <v>329</v>
      </c>
      <c r="M49" s="5"/>
    </row>
    <row r="50" spans="1:13" ht="14.25">
      <c r="A50" s="67" t="str">
        <f t="shared" si="0"/>
        <v/>
      </c>
      <c r="B50" s="67"/>
      <c r="C50" s="24"/>
      <c r="D50" s="24"/>
      <c r="E50" s="24"/>
      <c r="F50" s="24"/>
      <c r="G50" s="24"/>
      <c r="H50" s="30"/>
      <c r="I50" s="24"/>
      <c r="J50" s="24"/>
      <c r="K50" s="24"/>
      <c r="L50" s="30"/>
      <c r="M50" s="5"/>
    </row>
    <row r="51" spans="1:13" ht="14.25">
      <c r="A51" s="67" t="str">
        <f t="shared" si="0"/>
        <v/>
      </c>
      <c r="B51" s="67"/>
      <c r="C51" s="24"/>
      <c r="D51" s="24"/>
      <c r="E51" s="24"/>
      <c r="F51" s="24"/>
      <c r="G51" s="24"/>
      <c r="H51" s="30"/>
      <c r="I51" s="24"/>
      <c r="J51" s="24"/>
      <c r="K51" s="24"/>
      <c r="L51" s="30"/>
      <c r="M51" s="5"/>
    </row>
    <row r="52" spans="1:13" ht="14.25">
      <c r="A52" s="67" t="str">
        <f t="shared" si="0"/>
        <v/>
      </c>
      <c r="B52" s="67"/>
      <c r="C52" s="24"/>
      <c r="D52" s="24"/>
      <c r="E52" s="24"/>
      <c r="F52" s="24"/>
      <c r="G52" s="24"/>
      <c r="H52" s="30"/>
      <c r="I52" s="24"/>
      <c r="J52" s="24"/>
      <c r="K52" s="24"/>
      <c r="L52" s="30"/>
      <c r="M52" s="5"/>
    </row>
    <row r="53" spans="1:13" ht="14.25">
      <c r="A53" s="67" t="str">
        <f t="shared" si="0"/>
        <v/>
      </c>
      <c r="B53" s="67"/>
      <c r="C53" s="24"/>
      <c r="D53" s="24"/>
      <c r="E53" s="24"/>
      <c r="F53" s="24"/>
      <c r="G53" s="24"/>
      <c r="H53" s="30"/>
      <c r="I53" s="24"/>
      <c r="J53" s="24"/>
      <c r="K53" s="24"/>
      <c r="L53" s="30"/>
      <c r="M53" s="5"/>
    </row>
    <row r="54" spans="1:13" ht="14.25">
      <c r="A54" s="67" t="str">
        <f t="shared" si="0"/>
        <v/>
      </c>
      <c r="B54" s="67"/>
      <c r="C54" s="24"/>
      <c r="D54" s="24"/>
      <c r="E54" s="24"/>
      <c r="F54" s="24"/>
      <c r="G54" s="24"/>
      <c r="H54" s="30"/>
      <c r="I54" s="24"/>
      <c r="J54" s="24"/>
      <c r="K54" s="24"/>
      <c r="L54" s="30"/>
      <c r="M54" s="5"/>
    </row>
    <row r="55" spans="1:13" ht="14.25">
      <c r="A55" s="67" t="str">
        <f t="shared" si="0"/>
        <v/>
      </c>
      <c r="B55" s="67"/>
      <c r="C55" s="24"/>
      <c r="D55" s="24"/>
      <c r="E55" s="24"/>
      <c r="F55" s="24"/>
      <c r="G55" s="24"/>
      <c r="H55" s="30"/>
      <c r="I55" s="24"/>
      <c r="J55" s="24"/>
      <c r="K55" s="24"/>
      <c r="L55" s="30"/>
      <c r="M55" s="5"/>
    </row>
    <row r="56" spans="1:13" ht="14.25">
      <c r="A56" s="67" t="str">
        <f t="shared" si="0"/>
        <v/>
      </c>
      <c r="B56" s="67"/>
      <c r="C56" s="24"/>
      <c r="D56" s="24"/>
      <c r="E56" s="24"/>
      <c r="F56" s="24"/>
      <c r="G56" s="24"/>
      <c r="H56" s="30"/>
      <c r="I56" s="24"/>
      <c r="J56" s="24"/>
      <c r="K56" s="24"/>
      <c r="L56" s="30"/>
      <c r="M56" s="5"/>
    </row>
    <row r="57" spans="1:13" ht="14.25">
      <c r="A57" s="67" t="str">
        <f t="shared" si="0"/>
        <v/>
      </c>
      <c r="B57" s="67"/>
      <c r="C57" s="24"/>
      <c r="D57" s="24"/>
      <c r="E57" s="24"/>
      <c r="F57" s="24"/>
      <c r="G57" s="24"/>
      <c r="H57" s="30"/>
      <c r="I57" s="24"/>
      <c r="J57" s="24"/>
      <c r="K57" s="24"/>
      <c r="L57" s="30"/>
      <c r="M57" s="5"/>
    </row>
    <row r="58" spans="1:13" ht="14.25">
      <c r="A58" s="67" t="str">
        <f t="shared" si="0"/>
        <v/>
      </c>
      <c r="B58" s="67"/>
      <c r="C58" s="24"/>
      <c r="D58" s="24"/>
      <c r="E58" s="24"/>
      <c r="F58" s="24"/>
      <c r="G58" s="24"/>
      <c r="H58" s="30"/>
      <c r="I58" s="24"/>
      <c r="J58" s="24"/>
      <c r="K58" s="24"/>
      <c r="L58" s="30"/>
      <c r="M58" s="5"/>
    </row>
    <row r="59" spans="1:13" ht="14.25">
      <c r="A59" s="67" t="str">
        <f t="shared" si="0"/>
        <v/>
      </c>
      <c r="B59" s="67"/>
      <c r="C59" s="24"/>
      <c r="D59" s="24"/>
      <c r="E59" s="24"/>
      <c r="F59" s="24"/>
      <c r="G59" s="24"/>
      <c r="H59" s="30"/>
      <c r="I59" s="24"/>
      <c r="J59" s="24"/>
      <c r="K59" s="24"/>
      <c r="L59" s="30"/>
      <c r="M59" s="5"/>
    </row>
    <row r="60" spans="1:13" ht="14.25">
      <c r="A60" s="67" t="str">
        <f t="shared" si="0"/>
        <v/>
      </c>
      <c r="B60" s="67"/>
      <c r="C60" s="24"/>
      <c r="D60" s="24"/>
      <c r="E60" s="24"/>
      <c r="F60" s="24"/>
      <c r="G60" s="24"/>
      <c r="H60" s="30"/>
      <c r="I60" s="24"/>
      <c r="J60" s="24"/>
      <c r="K60" s="24"/>
      <c r="L60" s="30"/>
      <c r="M60" s="5"/>
    </row>
    <row r="61" spans="1:13" ht="14.25">
      <c r="A61" s="67" t="str">
        <f t="shared" si="0"/>
        <v/>
      </c>
      <c r="B61" s="67"/>
      <c r="C61" s="24"/>
      <c r="D61" s="24"/>
      <c r="E61" s="24"/>
      <c r="F61" s="24"/>
      <c r="G61" s="24"/>
      <c r="H61" s="30"/>
      <c r="I61" s="24"/>
      <c r="J61" s="24"/>
      <c r="K61" s="24"/>
      <c r="L61" s="30"/>
      <c r="M61" s="5"/>
    </row>
    <row r="62" spans="1:13" ht="14.25">
      <c r="A62" s="67" t="str">
        <f t="shared" si="0"/>
        <v/>
      </c>
      <c r="B62" s="67"/>
      <c r="C62" s="24"/>
      <c r="D62" s="24"/>
      <c r="E62" s="24"/>
      <c r="F62" s="24"/>
      <c r="G62" s="24"/>
      <c r="H62" s="30"/>
      <c r="I62" s="24"/>
      <c r="J62" s="24"/>
      <c r="K62" s="24"/>
      <c r="L62" s="30"/>
      <c r="M62" s="5"/>
    </row>
    <row r="63" spans="1:13" ht="14.25">
      <c r="A63" s="67" t="str">
        <f t="shared" si="0"/>
        <v/>
      </c>
      <c r="B63" s="67"/>
      <c r="C63" s="24"/>
      <c r="D63" s="24"/>
      <c r="E63" s="24"/>
      <c r="F63" s="24"/>
      <c r="G63" s="24"/>
      <c r="H63" s="30"/>
      <c r="I63" s="24"/>
      <c r="J63" s="24"/>
      <c r="K63" s="24"/>
      <c r="L63" s="30"/>
      <c r="M63" s="5"/>
    </row>
    <row r="64" spans="1:13" ht="14.25">
      <c r="A64" s="67" t="str">
        <f t="shared" si="0"/>
        <v/>
      </c>
      <c r="B64" s="67"/>
      <c r="C64" s="24"/>
      <c r="D64" s="24"/>
      <c r="E64" s="24"/>
      <c r="F64" s="24"/>
      <c r="G64" s="24"/>
      <c r="H64" s="30"/>
      <c r="I64" s="24"/>
      <c r="J64" s="24"/>
      <c r="K64" s="24"/>
      <c r="L64" s="30"/>
      <c r="M64" s="5"/>
    </row>
    <row r="65" spans="1:13" ht="14.25">
      <c r="A65" s="67" t="str">
        <f t="shared" si="0"/>
        <v/>
      </c>
      <c r="B65" s="67"/>
      <c r="C65" s="24"/>
      <c r="D65" s="24"/>
      <c r="E65" s="24"/>
      <c r="F65" s="24"/>
      <c r="G65" s="24"/>
      <c r="H65" s="30"/>
      <c r="I65" s="24"/>
      <c r="J65" s="24"/>
      <c r="K65" s="24"/>
      <c r="L65" s="30"/>
      <c r="M65" s="5"/>
    </row>
    <row r="66" spans="1:13" ht="14.25">
      <c r="A66" s="67" t="str">
        <f t="shared" si="0"/>
        <v/>
      </c>
      <c r="B66" s="67"/>
      <c r="C66" s="24"/>
      <c r="D66" s="24"/>
      <c r="E66" s="24"/>
      <c r="F66" s="24"/>
      <c r="G66" s="24"/>
      <c r="H66" s="30"/>
      <c r="I66" s="24"/>
      <c r="J66" s="24"/>
      <c r="K66" s="24"/>
      <c r="L66" s="30"/>
      <c r="M66" s="5"/>
    </row>
    <row r="67" spans="1:13" ht="14.25">
      <c r="A67" s="67" t="str">
        <f t="shared" si="0"/>
        <v/>
      </c>
      <c r="B67" s="67"/>
      <c r="C67" s="24"/>
      <c r="D67" s="24"/>
      <c r="E67" s="24"/>
      <c r="F67" s="24"/>
      <c r="G67" s="24"/>
      <c r="H67" s="30"/>
      <c r="I67" s="24"/>
      <c r="J67" s="24"/>
      <c r="K67" s="24"/>
      <c r="L67" s="30"/>
      <c r="M67" s="5"/>
    </row>
    <row r="68" spans="1:13" ht="14.25">
      <c r="A68" s="67" t="str">
        <f t="shared" si="0"/>
        <v/>
      </c>
      <c r="B68" s="67"/>
      <c r="C68" s="24"/>
      <c r="D68" s="24"/>
      <c r="E68" s="24"/>
      <c r="F68" s="24"/>
      <c r="G68" s="24"/>
      <c r="H68" s="30"/>
      <c r="I68" s="24"/>
      <c r="J68" s="24"/>
      <c r="K68" s="24"/>
      <c r="L68" s="30"/>
      <c r="M68" s="5"/>
    </row>
    <row r="69" spans="1:13" ht="14.25">
      <c r="A69" s="67" t="str">
        <f t="shared" ref="A69:A96" si="2">+C69&amp;G69&amp;H69</f>
        <v/>
      </c>
      <c r="B69" s="67"/>
      <c r="C69" s="24"/>
      <c r="D69" s="24"/>
      <c r="E69" s="24"/>
      <c r="F69" s="24"/>
      <c r="G69" s="24"/>
      <c r="H69" s="30"/>
      <c r="I69" s="24"/>
      <c r="J69" s="24"/>
      <c r="K69" s="24"/>
      <c r="L69" s="30"/>
      <c r="M69" s="5"/>
    </row>
    <row r="70" spans="1:13" ht="14.25">
      <c r="A70" s="67" t="str">
        <f t="shared" si="2"/>
        <v/>
      </c>
      <c r="B70" s="67"/>
      <c r="C70" s="24"/>
      <c r="D70" s="24"/>
      <c r="E70" s="24"/>
      <c r="F70" s="24"/>
      <c r="G70" s="24"/>
      <c r="H70" s="30"/>
      <c r="I70" s="24"/>
      <c r="J70" s="24"/>
      <c r="K70" s="24"/>
      <c r="L70" s="30"/>
      <c r="M70" s="5"/>
    </row>
    <row r="71" spans="1:13" ht="14.25">
      <c r="A71" s="67" t="str">
        <f t="shared" si="2"/>
        <v/>
      </c>
      <c r="B71" s="67"/>
      <c r="C71" s="24"/>
      <c r="D71" s="24"/>
      <c r="E71" s="24"/>
      <c r="F71" s="24"/>
      <c r="G71" s="24"/>
      <c r="H71" s="30"/>
      <c r="I71" s="24"/>
      <c r="J71" s="24"/>
      <c r="K71" s="24"/>
      <c r="L71" s="30"/>
      <c r="M71" s="5"/>
    </row>
    <row r="72" spans="1:13" ht="14.25">
      <c r="A72" s="67" t="str">
        <f t="shared" si="2"/>
        <v/>
      </c>
      <c r="B72" s="67"/>
      <c r="C72" s="24"/>
      <c r="D72" s="24"/>
      <c r="E72" s="24"/>
      <c r="F72" s="24"/>
      <c r="G72" s="24"/>
      <c r="H72" s="30"/>
      <c r="I72" s="24"/>
      <c r="J72" s="24"/>
      <c r="K72" s="24"/>
      <c r="L72" s="30"/>
      <c r="M72" s="5"/>
    </row>
    <row r="73" spans="1:13" ht="14.25">
      <c r="A73" s="67" t="str">
        <f t="shared" si="2"/>
        <v/>
      </c>
      <c r="B73" s="67"/>
      <c r="C73" s="24"/>
      <c r="D73" s="24"/>
      <c r="E73" s="24"/>
      <c r="F73" s="24"/>
      <c r="G73" s="24"/>
      <c r="H73" s="30"/>
      <c r="I73" s="24"/>
      <c r="J73" s="24"/>
      <c r="K73" s="24"/>
      <c r="L73" s="30"/>
      <c r="M73" s="5"/>
    </row>
    <row r="74" spans="1:13" ht="14.25">
      <c r="A74" s="67" t="str">
        <f t="shared" si="2"/>
        <v/>
      </c>
      <c r="B74" s="67"/>
      <c r="C74" s="24"/>
      <c r="D74" s="24"/>
      <c r="E74" s="24"/>
      <c r="F74" s="24"/>
      <c r="G74" s="24"/>
      <c r="H74" s="30"/>
      <c r="I74" s="24"/>
      <c r="J74" s="24"/>
      <c r="K74" s="24"/>
      <c r="L74" s="30"/>
      <c r="M74" s="5"/>
    </row>
    <row r="75" spans="1:13" ht="14.25">
      <c r="A75" s="67" t="str">
        <f t="shared" si="2"/>
        <v/>
      </c>
      <c r="B75" s="67"/>
      <c r="C75" s="24"/>
      <c r="D75" s="24"/>
      <c r="E75" s="24"/>
      <c r="F75" s="24"/>
      <c r="G75" s="24"/>
      <c r="H75" s="30"/>
      <c r="I75" s="24"/>
      <c r="J75" s="24"/>
      <c r="K75" s="24"/>
      <c r="L75" s="30"/>
      <c r="M75" s="5"/>
    </row>
    <row r="76" spans="1:13" ht="14.25">
      <c r="A76" s="67" t="str">
        <f t="shared" si="2"/>
        <v/>
      </c>
      <c r="B76" s="67"/>
      <c r="C76" s="24"/>
      <c r="D76" s="24"/>
      <c r="E76" s="24"/>
      <c r="F76" s="24"/>
      <c r="G76" s="24"/>
      <c r="H76" s="30"/>
      <c r="I76" s="24"/>
      <c r="J76" s="24"/>
      <c r="K76" s="24"/>
      <c r="L76" s="30"/>
      <c r="M76" s="5"/>
    </row>
    <row r="77" spans="1:13" ht="14.25">
      <c r="A77" s="67" t="str">
        <f t="shared" si="2"/>
        <v/>
      </c>
      <c r="B77" s="67"/>
      <c r="C77" s="24"/>
      <c r="D77" s="24"/>
      <c r="E77" s="24"/>
      <c r="F77" s="24"/>
      <c r="G77" s="24"/>
      <c r="H77" s="30"/>
      <c r="I77" s="24"/>
      <c r="J77" s="24"/>
      <c r="K77" s="24"/>
      <c r="L77" s="30"/>
      <c r="M77" s="5"/>
    </row>
    <row r="78" spans="1:13" ht="14.25">
      <c r="A78" s="67" t="str">
        <f t="shared" si="2"/>
        <v/>
      </c>
      <c r="B78" s="67"/>
      <c r="C78" s="24"/>
      <c r="D78" s="24"/>
      <c r="E78" s="24"/>
      <c r="F78" s="24"/>
      <c r="G78" s="24"/>
      <c r="H78" s="30"/>
      <c r="I78" s="24"/>
      <c r="J78" s="24"/>
      <c r="K78" s="24"/>
      <c r="L78" s="30"/>
      <c r="M78" s="5"/>
    </row>
    <row r="79" spans="1:13" ht="14.25">
      <c r="A79" s="67" t="str">
        <f t="shared" si="2"/>
        <v/>
      </c>
      <c r="B79" s="67"/>
      <c r="C79" s="24"/>
      <c r="D79" s="24"/>
      <c r="E79" s="24"/>
      <c r="F79" s="24"/>
      <c r="G79" s="24"/>
      <c r="H79" s="30"/>
      <c r="I79" s="24"/>
      <c r="J79" s="24"/>
      <c r="K79" s="24"/>
      <c r="L79" s="30"/>
      <c r="M79" s="5"/>
    </row>
    <row r="80" spans="1:13" ht="14.25">
      <c r="A80" s="67" t="str">
        <f t="shared" si="2"/>
        <v/>
      </c>
      <c r="B80" s="67"/>
      <c r="C80" s="24"/>
      <c r="D80" s="24"/>
      <c r="E80" s="24"/>
      <c r="F80" s="24"/>
      <c r="G80" s="24"/>
      <c r="H80" s="30"/>
      <c r="I80" s="24"/>
      <c r="J80" s="24"/>
      <c r="K80" s="24"/>
      <c r="L80" s="30"/>
      <c r="M80" s="5"/>
    </row>
    <row r="81" spans="1:13" ht="14.25">
      <c r="A81" s="67" t="str">
        <f t="shared" si="2"/>
        <v/>
      </c>
      <c r="B81" s="67"/>
      <c r="C81" s="24"/>
      <c r="D81" s="24"/>
      <c r="E81" s="24"/>
      <c r="F81" s="24"/>
      <c r="G81" s="24"/>
      <c r="H81" s="30"/>
      <c r="I81" s="24"/>
      <c r="J81" s="24"/>
      <c r="K81" s="24"/>
      <c r="L81" s="30"/>
      <c r="M81" s="5"/>
    </row>
    <row r="82" spans="1:13" ht="14.25">
      <c r="A82" s="67" t="str">
        <f t="shared" si="2"/>
        <v/>
      </c>
      <c r="B82" s="67"/>
      <c r="C82" s="24"/>
      <c r="D82" s="24"/>
      <c r="E82" s="24"/>
      <c r="F82" s="24"/>
      <c r="G82" s="24"/>
      <c r="H82" s="30"/>
      <c r="I82" s="24"/>
      <c r="J82" s="24"/>
      <c r="K82" s="24"/>
      <c r="L82" s="30"/>
      <c r="M82" s="5"/>
    </row>
    <row r="83" spans="1:13" ht="14.25">
      <c r="A83" s="67" t="str">
        <f t="shared" si="2"/>
        <v/>
      </c>
      <c r="B83" s="67"/>
      <c r="C83" s="24"/>
      <c r="D83" s="24"/>
      <c r="E83" s="24"/>
      <c r="F83" s="24"/>
      <c r="G83" s="24"/>
      <c r="H83" s="30"/>
      <c r="I83" s="24"/>
      <c r="J83" s="24"/>
      <c r="K83" s="24"/>
      <c r="L83" s="30"/>
      <c r="M83" s="5"/>
    </row>
    <row r="84" spans="1:13" ht="14.25">
      <c r="A84" s="67" t="str">
        <f t="shared" si="2"/>
        <v/>
      </c>
      <c r="B84" s="67"/>
      <c r="C84" s="24"/>
      <c r="D84" s="24"/>
      <c r="E84" s="24"/>
      <c r="F84" s="24"/>
      <c r="G84" s="24"/>
      <c r="H84" s="30"/>
      <c r="I84" s="24"/>
      <c r="J84" s="24"/>
      <c r="K84" s="24"/>
      <c r="L84" s="30"/>
      <c r="M84" s="5"/>
    </row>
    <row r="85" spans="1:13" ht="14.25">
      <c r="A85" s="67" t="str">
        <f t="shared" si="2"/>
        <v/>
      </c>
      <c r="B85" s="67"/>
      <c r="C85" s="24"/>
      <c r="D85" s="24"/>
      <c r="E85" s="24"/>
      <c r="F85" s="24"/>
      <c r="G85" s="24"/>
      <c r="H85" s="30"/>
      <c r="I85" s="24"/>
      <c r="J85" s="24"/>
      <c r="K85" s="24"/>
      <c r="L85" s="30"/>
      <c r="M85" s="5"/>
    </row>
    <row r="86" spans="1:13" ht="14.25">
      <c r="A86" s="67" t="str">
        <f t="shared" si="2"/>
        <v/>
      </c>
      <c r="B86" s="67"/>
      <c r="C86" s="24"/>
      <c r="D86" s="24"/>
      <c r="E86" s="24"/>
      <c r="F86" s="24"/>
      <c r="G86" s="24"/>
      <c r="H86" s="30"/>
      <c r="I86" s="24"/>
      <c r="J86" s="24"/>
      <c r="K86" s="24"/>
      <c r="L86" s="30"/>
      <c r="M86" s="5"/>
    </row>
    <row r="87" spans="1:13" ht="14.25">
      <c r="A87" s="67" t="str">
        <f t="shared" si="2"/>
        <v/>
      </c>
      <c r="B87" s="67"/>
      <c r="C87" s="24"/>
      <c r="D87" s="24"/>
      <c r="E87" s="24"/>
      <c r="F87" s="24"/>
      <c r="G87" s="24"/>
      <c r="H87" s="30"/>
      <c r="I87" s="24"/>
      <c r="J87" s="24"/>
      <c r="K87" s="24"/>
      <c r="L87" s="30"/>
      <c r="M87" s="5"/>
    </row>
    <row r="88" spans="1:13" ht="14.25">
      <c r="A88" s="67" t="str">
        <f t="shared" si="2"/>
        <v/>
      </c>
      <c r="B88" s="67"/>
      <c r="C88" s="24"/>
      <c r="D88" s="24"/>
      <c r="E88" s="24"/>
      <c r="F88" s="24"/>
      <c r="G88" s="24"/>
      <c r="H88" s="30"/>
      <c r="I88" s="24"/>
      <c r="J88" s="24"/>
      <c r="K88" s="24"/>
      <c r="L88" s="30"/>
      <c r="M88" s="5"/>
    </row>
    <row r="89" spans="1:13" ht="14.25">
      <c r="A89" s="67" t="str">
        <f t="shared" si="2"/>
        <v/>
      </c>
      <c r="B89" s="67"/>
      <c r="C89" s="24"/>
      <c r="D89" s="24"/>
      <c r="E89" s="24"/>
      <c r="F89" s="24"/>
      <c r="G89" s="24"/>
      <c r="H89" s="30"/>
      <c r="I89" s="24"/>
      <c r="J89" s="24"/>
      <c r="K89" s="24"/>
      <c r="L89" s="30"/>
      <c r="M89" s="5"/>
    </row>
    <row r="90" spans="1:13" ht="14.25">
      <c r="A90" s="67" t="str">
        <f t="shared" si="2"/>
        <v/>
      </c>
      <c r="B90" s="67"/>
      <c r="C90" s="24"/>
      <c r="D90" s="24"/>
      <c r="E90" s="24"/>
      <c r="F90" s="24"/>
      <c r="G90" s="24"/>
      <c r="H90" s="30"/>
      <c r="I90" s="24"/>
      <c r="J90" s="24"/>
      <c r="K90" s="24"/>
      <c r="L90" s="30"/>
      <c r="M90" s="5"/>
    </row>
    <row r="91" spans="1:13" ht="14.25">
      <c r="A91" s="67" t="str">
        <f t="shared" si="2"/>
        <v/>
      </c>
      <c r="B91" s="67"/>
      <c r="C91" s="24"/>
      <c r="D91" s="24"/>
      <c r="E91" s="24"/>
      <c r="F91" s="24"/>
      <c r="G91" s="24"/>
      <c r="H91" s="30"/>
      <c r="I91" s="24"/>
      <c r="J91" s="24"/>
      <c r="K91" s="24"/>
      <c r="L91" s="30"/>
      <c r="M91" s="5"/>
    </row>
    <row r="92" spans="1:13" ht="14.25">
      <c r="A92" s="67" t="str">
        <f t="shared" si="2"/>
        <v/>
      </c>
      <c r="B92" s="67"/>
      <c r="C92" s="24"/>
      <c r="D92" s="24"/>
      <c r="E92" s="24"/>
      <c r="F92" s="24"/>
      <c r="G92" s="24"/>
      <c r="H92" s="30"/>
      <c r="I92" s="24"/>
      <c r="J92" s="24"/>
      <c r="K92" s="24"/>
      <c r="L92" s="30"/>
      <c r="M92" s="5"/>
    </row>
    <row r="93" spans="1:13" ht="14.25">
      <c r="A93" s="67" t="str">
        <f t="shared" si="2"/>
        <v/>
      </c>
      <c r="B93" s="67"/>
      <c r="C93" s="24"/>
      <c r="D93" s="24"/>
      <c r="E93" s="24"/>
      <c r="F93" s="24"/>
      <c r="G93" s="24"/>
      <c r="H93" s="30"/>
      <c r="I93" s="24"/>
      <c r="J93" s="24"/>
      <c r="K93" s="24"/>
      <c r="L93" s="30"/>
      <c r="M93" s="5"/>
    </row>
    <row r="94" spans="1:13" ht="14.25">
      <c r="A94" s="67" t="str">
        <f t="shared" si="2"/>
        <v/>
      </c>
      <c r="B94" s="67"/>
      <c r="C94" s="24"/>
      <c r="D94" s="24"/>
      <c r="E94" s="24"/>
      <c r="F94" s="24"/>
      <c r="G94" s="24"/>
      <c r="H94" s="30"/>
      <c r="I94" s="24"/>
      <c r="J94" s="24"/>
      <c r="K94" s="24"/>
      <c r="L94" s="30"/>
      <c r="M94" s="5"/>
    </row>
    <row r="95" spans="1:13" ht="14.25">
      <c r="A95" s="67" t="str">
        <f t="shared" si="2"/>
        <v/>
      </c>
      <c r="B95" s="67"/>
      <c r="C95" s="24"/>
      <c r="D95" s="24"/>
      <c r="E95" s="24"/>
      <c r="F95" s="24"/>
      <c r="G95" s="24"/>
      <c r="H95" s="30"/>
      <c r="I95" s="24"/>
      <c r="J95" s="24"/>
      <c r="K95" s="24"/>
      <c r="L95" s="30"/>
      <c r="M95" s="5"/>
    </row>
    <row r="96" spans="1:13" ht="14.25">
      <c r="A96" s="67" t="str">
        <f t="shared" si="2"/>
        <v/>
      </c>
      <c r="B96" s="67"/>
      <c r="C96" s="24"/>
      <c r="D96" s="24"/>
      <c r="E96" s="24"/>
      <c r="F96" s="24"/>
      <c r="G96" s="24"/>
      <c r="H96" s="30"/>
      <c r="I96" s="24"/>
      <c r="J96" s="24"/>
      <c r="K96" s="24"/>
      <c r="L96" s="30"/>
      <c r="M96" s="5"/>
    </row>
    <row r="97" spans="1:13" ht="14.25">
      <c r="A97" s="67" t="str">
        <f t="shared" ref="A97:A100" si="3">+C97&amp;G97&amp;H97</f>
        <v/>
      </c>
      <c r="B97" s="67"/>
      <c r="C97" s="24"/>
      <c r="D97" s="24"/>
      <c r="E97" s="24"/>
      <c r="F97" s="24"/>
      <c r="G97" s="24"/>
      <c r="H97" s="30"/>
      <c r="I97" s="24"/>
      <c r="J97" s="24"/>
      <c r="K97" s="24"/>
      <c r="L97" s="30"/>
      <c r="M97" s="5"/>
    </row>
    <row r="98" spans="1:13" ht="14.25">
      <c r="A98" s="67" t="str">
        <f t="shared" si="3"/>
        <v/>
      </c>
      <c r="B98" s="67"/>
      <c r="C98" s="24"/>
      <c r="D98" s="24"/>
      <c r="E98" s="24"/>
      <c r="F98" s="24"/>
      <c r="G98" s="24"/>
      <c r="H98" s="30"/>
      <c r="I98" s="24"/>
      <c r="J98" s="24"/>
      <c r="K98" s="24"/>
      <c r="L98" s="30"/>
      <c r="M98" s="5"/>
    </row>
    <row r="99" spans="1:13" ht="14.25">
      <c r="A99" s="67" t="str">
        <f t="shared" si="3"/>
        <v/>
      </c>
      <c r="B99" s="67"/>
      <c r="C99" s="24"/>
      <c r="D99" s="24"/>
      <c r="E99" s="24"/>
      <c r="F99" s="24"/>
      <c r="G99" s="24"/>
      <c r="H99" s="30"/>
      <c r="I99" s="24"/>
      <c r="J99" s="24"/>
      <c r="K99" s="24"/>
      <c r="L99" s="30"/>
      <c r="M99" s="5"/>
    </row>
    <row r="100" spans="1:13" ht="14.25">
      <c r="A100" s="67" t="str">
        <f t="shared" si="3"/>
        <v/>
      </c>
      <c r="B100" s="67"/>
      <c r="C100" s="24"/>
      <c r="D100" s="24"/>
      <c r="E100" s="24"/>
      <c r="F100" s="24"/>
      <c r="G100" s="24"/>
      <c r="H100" s="30"/>
      <c r="I100" s="24"/>
      <c r="J100" s="24"/>
      <c r="K100" s="24"/>
      <c r="L100" s="30"/>
      <c r="M100" s="5"/>
    </row>
    <row r="101" spans="1:13" ht="14.25"/>
    <row r="102" spans="1:13" ht="14.25" hidden="1"/>
    <row r="103" spans="1:13" ht="14.25" hidden="1"/>
    <row r="104" spans="1:13" ht="14.25" hidden="1"/>
    <row r="105" spans="1:13" ht="14.25" hidden="1"/>
    <row r="106" spans="1:13" ht="14.25" hidden="1"/>
    <row r="107" spans="1:13" ht="14.25" hidden="1"/>
    <row r="108" spans="1:13" ht="14.25" hidden="1"/>
    <row r="109" spans="1:13" ht="14.25" hidden="1"/>
    <row r="110" spans="1:13" ht="14.25" hidden="1"/>
    <row r="111" spans="1:13" ht="14.25" hidden="1"/>
    <row r="112" spans="1:13" ht="14.25" hidden="1"/>
    <row r="113" ht="14.25" hidden="1"/>
    <row r="114" ht="14.25" hidden="1"/>
    <row r="115" ht="14.25" hidden="1"/>
    <row r="116" ht="14.25" hidden="1"/>
    <row r="117" ht="14.25" hidden="1"/>
    <row r="118" ht="14.25" hidden="1"/>
    <row r="119" ht="14.25" hidden="1"/>
    <row r="120" ht="14.25" hidden="1"/>
    <row r="121" ht="14.25" hidden="1"/>
    <row r="122" ht="14.25" hidden="1"/>
    <row r="123" ht="14.25" hidden="1"/>
    <row r="124" ht="14.25" hidden="1"/>
    <row r="125" ht="14.25" hidden="1"/>
    <row r="126" ht="14.25" hidden="1"/>
    <row r="127" ht="14.25" hidden="1"/>
    <row r="128" ht="14.25" hidden="1"/>
    <row r="129" ht="14.25" hidden="1"/>
    <row r="130" ht="14.25" hidden="1"/>
    <row r="131" ht="14.25" hidden="1"/>
    <row r="132" ht="14.25" hidden="1"/>
    <row r="133" ht="14.25" hidden="1"/>
    <row r="134" ht="14.25" hidden="1"/>
    <row r="135" ht="14.25" hidden="1"/>
    <row r="136" ht="14.25" hidden="1"/>
    <row r="137" ht="14.25" hidden="1"/>
    <row r="138" ht="14.25" hidden="1"/>
    <row r="139" ht="14.25" hidden="1"/>
    <row r="140" ht="14.25" hidden="1"/>
    <row r="141" ht="14.25" hidden="1"/>
    <row r="142" ht="14.25" hidden="1"/>
    <row r="143" ht="14.25" hidden="1"/>
    <row r="144" ht="14.25" hidden="1"/>
    <row r="145" ht="14.25" hidden="1"/>
    <row r="146" ht="14.25" hidden="1"/>
    <row r="147" ht="14.25" hidden="1"/>
    <row r="148" ht="14.25" hidden="1"/>
    <row r="149" ht="14.25" hidden="1"/>
    <row r="150" ht="14.25" hidden="1"/>
    <row r="151" ht="14.25" hidden="1"/>
    <row r="152" ht="14.25" hidden="1"/>
    <row r="153" ht="14.25" hidden="1"/>
    <row r="154" ht="14.25" hidden="1"/>
    <row r="155" ht="14.25" hidden="1"/>
    <row r="156" ht="14.25" hidden="1"/>
    <row r="157" ht="14.25" hidden="1"/>
    <row r="158" ht="14.25" hidden="1"/>
    <row r="159" ht="14.25" hidden="1"/>
    <row r="160" ht="14.25" hidden="1"/>
    <row r="161" ht="14.25" hidden="1"/>
    <row r="162" ht="14.25" hidden="1"/>
    <row r="163" ht="14.25" hidden="1"/>
    <row r="164" ht="14.25" hidden="1"/>
    <row r="165" ht="14.25" hidden="1"/>
    <row r="166" ht="14.25" hidden="1"/>
    <row r="167" ht="14.25" hidden="1"/>
    <row r="168" ht="14.25" hidden="1"/>
    <row r="169" ht="14.25" hidden="1"/>
    <row r="170" ht="14.25" hidden="1"/>
    <row r="171" ht="14.25" hidden="1"/>
    <row r="172" ht="14.25" hidden="1"/>
    <row r="173" ht="14.25" hidden="1"/>
    <row r="174" ht="14.25" hidden="1"/>
    <row r="175" ht="14.25" hidden="1"/>
    <row r="176" ht="14.25" hidden="1"/>
    <row r="177" ht="14.25" hidden="1"/>
    <row r="178" ht="14.25" hidden="1"/>
    <row r="179" ht="14.25" hidden="1"/>
    <row r="180" ht="14.25" hidden="1"/>
    <row r="181" ht="14.25" hidden="1"/>
    <row r="182" ht="14.25" hidden="1"/>
    <row r="183" ht="14.25" hidden="1"/>
    <row r="184" ht="14.25" hidden="1"/>
    <row r="185" ht="14.25" hidden="1"/>
    <row r="186" ht="14.25" hidden="1"/>
    <row r="187" ht="14.25" hidden="1"/>
    <row r="188" ht="14.25" hidden="1"/>
    <row r="189" ht="14.25" hidden="1"/>
    <row r="190" ht="14.25" hidden="1"/>
    <row r="191" ht="14.25" hidden="1"/>
    <row r="192" ht="14.25" hidden="1"/>
    <row r="193" ht="14.25" hidden="1"/>
    <row r="194" ht="14.25" hidden="1"/>
    <row r="195" ht="14.25" hidden="1"/>
    <row r="196" ht="14.25" hidden="1"/>
    <row r="197" ht="14.25" hidden="1"/>
    <row r="198" ht="14.25" hidden="1"/>
    <row r="199" ht="14.25" hidden="1"/>
    <row r="200" ht="14.25" hidden="1"/>
    <row r="201" ht="14.25" hidden="1"/>
    <row r="202" ht="14.25" hidden="1"/>
    <row r="203" ht="14.25" hidden="1"/>
    <row r="204" ht="14.25" hidden="1"/>
    <row r="205" ht="14.25" hidden="1"/>
    <row r="206" ht="14.25" hidden="1"/>
    <row r="207" ht="14.25" hidden="1"/>
    <row r="208" ht="14.25" hidden="1"/>
    <row r="209" ht="14.25" hidden="1"/>
    <row r="210" ht="14.25" hidden="1"/>
    <row r="211" ht="14.25" hidden="1"/>
    <row r="212" ht="14.25" hidden="1"/>
    <row r="213" ht="14.25" hidden="1"/>
    <row r="214" ht="14.25" hidden="1"/>
    <row r="215" ht="14.25" hidden="1"/>
    <row r="216" ht="14.25" hidden="1"/>
    <row r="217" ht="14.25" hidden="1"/>
    <row r="218" ht="14.25" hidden="1"/>
    <row r="219" ht="14.25" hidden="1"/>
    <row r="220" ht="14.25" hidden="1"/>
    <row r="221" ht="14.25" hidden="1"/>
    <row r="222" ht="14.25" hidden="1"/>
    <row r="223" ht="14.25" hidden="1"/>
    <row r="224" ht="14.25" hidden="1"/>
    <row r="225" ht="14.25" hidden="1"/>
    <row r="226" ht="14.25" hidden="1"/>
    <row r="227" ht="14.25" hidden="1"/>
    <row r="228" ht="14.25" hidden="1"/>
    <row r="229" ht="14.25" hidden="1"/>
    <row r="230" ht="14.25" hidden="1"/>
    <row r="231" ht="14.25" hidden="1"/>
    <row r="232" ht="14.25" hidden="1"/>
    <row r="233" ht="14.25" hidden="1"/>
    <row r="234" ht="14.25" hidden="1"/>
    <row r="235" ht="14.25" hidden="1"/>
    <row r="236" ht="14.25" hidden="1"/>
    <row r="237" ht="14.25" hidden="1"/>
    <row r="238" ht="14.25" hidden="1"/>
    <row r="239" ht="14.25" hidden="1"/>
    <row r="240" ht="14.25" hidden="1"/>
    <row r="241" ht="14.25" hidden="1"/>
    <row r="242" ht="14.25" hidden="1"/>
    <row r="243" ht="14.25" hidden="1"/>
    <row r="244" ht="14.25" hidden="1"/>
    <row r="245" ht="14.25" hidden="1"/>
    <row r="246" ht="14.25" hidden="1"/>
    <row r="247" ht="14.25" hidden="1"/>
    <row r="248" ht="14.25" hidden="1"/>
    <row r="249" ht="14.25" hidden="1"/>
    <row r="250" ht="14.25" hidden="1"/>
    <row r="251" ht="14.25" hidden="1"/>
    <row r="252" ht="14.25" hidden="1"/>
    <row r="253" ht="14.25" hidden="1"/>
    <row r="254" ht="14.25" hidden="1"/>
    <row r="255" ht="14.25" hidden="1"/>
    <row r="256" ht="14.25" hidden="1"/>
    <row r="257" ht="14.25" hidden="1"/>
    <row r="258" ht="14.25" hidden="1"/>
    <row r="259" ht="14.25" hidden="1"/>
    <row r="260" ht="14.25" hidden="1"/>
    <row r="261" ht="14.25" hidden="1"/>
    <row r="262" ht="14.25" hidden="1"/>
    <row r="263" ht="14.25" hidden="1"/>
    <row r="264" ht="14.25" hidden="1"/>
    <row r="265" ht="14.25" hidden="1"/>
    <row r="266" ht="14.25" hidden="1"/>
    <row r="267" ht="14.25" hidden="1"/>
    <row r="268" ht="14.25" hidden="1"/>
    <row r="269" ht="14.25" hidden="1"/>
    <row r="270" ht="14.25" hidden="1"/>
    <row r="271" ht="14.25" hidden="1"/>
    <row r="272" ht="14.25" hidden="1"/>
    <row r="273" ht="14.25" hidden="1"/>
    <row r="274" ht="14.25" hidden="1"/>
    <row r="275" ht="14.25" hidden="1"/>
    <row r="276" ht="14.25" hidden="1"/>
    <row r="277" ht="14.25" hidden="1"/>
    <row r="278" ht="14.25" hidden="1"/>
    <row r="279" ht="14.25" hidden="1"/>
    <row r="280" ht="14.25" hidden="1"/>
    <row r="281" ht="14.25" hidden="1"/>
    <row r="282" ht="14.25" hidden="1"/>
    <row r="283" ht="14.25" hidden="1"/>
    <row r="284" ht="14.25" hidden="1"/>
    <row r="285" ht="14.25" hidden="1"/>
    <row r="286" ht="14.25" hidden="1"/>
    <row r="287" ht="14.25" hidden="1"/>
    <row r="288" ht="14.25" hidden="1"/>
    <row r="289" ht="14.25" hidden="1"/>
    <row r="290" ht="14.25" hidden="1"/>
    <row r="291" ht="14.25" hidden="1"/>
    <row r="292" ht="14.25" hidden="1"/>
    <row r="293" ht="14.25" hidden="1"/>
    <row r="294" ht="14.25" hidden="1"/>
    <row r="295" ht="14.25" hidden="1"/>
    <row r="296" ht="14.25" hidden="1"/>
    <row r="297" ht="14.25" hidden="1"/>
    <row r="298" ht="14.25" hidden="1"/>
    <row r="299" ht="14.25" hidden="1"/>
    <row r="300" ht="14.25" hidden="1"/>
    <row r="301" ht="14.25" hidden="1"/>
    <row r="302" ht="14.25" hidden="1"/>
    <row r="303" ht="14.25" hidden="1"/>
    <row r="304" ht="14.25" hidden="1"/>
    <row r="305" ht="14.25" hidden="1"/>
    <row r="306" ht="14.25" hidden="1"/>
    <row r="307" ht="14.25" hidden="1"/>
    <row r="308" ht="14.25" hidden="1"/>
    <row r="309" ht="14.25" hidden="1"/>
    <row r="310" ht="14.25" hidden="1"/>
    <row r="311" ht="14.25" hidden="1"/>
    <row r="312" ht="14.25" hidden="1"/>
    <row r="313" ht="14.25" hidden="1"/>
    <row r="314" ht="14.25" hidden="1"/>
    <row r="315" ht="14.25" hidden="1"/>
    <row r="316" ht="14.25" hidden="1"/>
    <row r="317" ht="14.25" hidden="1"/>
    <row r="318" ht="14.25" hidden="1"/>
    <row r="319" ht="14.25" hidden="1"/>
    <row r="320" ht="14.25" hidden="1"/>
    <row r="321" ht="14.25" hidden="1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/>
  </sheetViews>
  <sheetFormatPr defaultRowHeight="15"/>
  <sheetData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137"/>
  <sheetViews>
    <sheetView showGridLines="0" zoomScale="90" zoomScaleNormal="90" workbookViewId="0"/>
  </sheetViews>
  <sheetFormatPr defaultColWidth="0" defaultRowHeight="14.25" zeroHeight="1"/>
  <cols>
    <col min="1" max="1" width="3.5703125" style="2" customWidth="1"/>
    <col min="2" max="2" width="16.140625" style="2" customWidth="1"/>
    <col min="3" max="3" width="25.5703125" style="2" customWidth="1"/>
    <col min="4" max="4" width="126.5703125" style="2" customWidth="1"/>
    <col min="5" max="7" width="5.5703125" style="2" customWidth="1"/>
    <col min="8" max="8" width="3.5703125" style="2" customWidth="1"/>
    <col min="9" max="112" width="5.5703125" style="2" hidden="1" customWidth="1"/>
    <col min="113" max="16384" width="9.140625" style="2" hidden="1"/>
  </cols>
  <sheetData>
    <row r="1" spans="1:1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</row>
    <row r="4" spans="1:112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</row>
    <row r="5" spans="1:112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</row>
    <row r="6" spans="1:112" ht="15.75" thickBot="1">
      <c r="A6" s="37"/>
      <c r="B6" s="38" t="s">
        <v>331</v>
      </c>
      <c r="C6" s="38"/>
      <c r="D6" s="38"/>
      <c r="E6" s="38"/>
      <c r="F6" s="39"/>
      <c r="G6" s="39"/>
      <c r="H6" s="37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</row>
    <row r="7" spans="1:112"/>
    <row r="8" spans="1:112">
      <c r="A8" s="67"/>
      <c r="B8" s="84" t="s">
        <v>332</v>
      </c>
      <c r="C8" s="84" t="s">
        <v>79</v>
      </c>
      <c r="D8" s="84" t="s">
        <v>96</v>
      </c>
      <c r="E8" s="85" t="s">
        <v>333</v>
      </c>
      <c r="F8" s="85" t="s">
        <v>334</v>
      </c>
      <c r="G8" s="85" t="s">
        <v>335</v>
      </c>
    </row>
    <row r="9" spans="1:112">
      <c r="A9" s="67"/>
      <c r="B9" s="87" t="s">
        <v>336</v>
      </c>
      <c r="C9" s="88" t="s">
        <v>242</v>
      </c>
      <c r="D9" s="86" t="s">
        <v>337</v>
      </c>
      <c r="E9" s="86" t="s">
        <v>338</v>
      </c>
      <c r="F9" s="86" t="s">
        <v>281</v>
      </c>
      <c r="G9" s="86" t="s">
        <v>339</v>
      </c>
    </row>
    <row r="10" spans="1:112">
      <c r="A10" s="67"/>
      <c r="B10" s="87" t="s">
        <v>336</v>
      </c>
      <c r="C10" s="88" t="s">
        <v>242</v>
      </c>
      <c r="D10" s="86" t="s">
        <v>340</v>
      </c>
      <c r="E10" s="86" t="s">
        <v>338</v>
      </c>
      <c r="F10" s="89" t="s">
        <v>341</v>
      </c>
      <c r="G10" s="86" t="s">
        <v>339</v>
      </c>
    </row>
    <row r="11" spans="1:112">
      <c r="A11" s="67"/>
      <c r="B11" s="87" t="s">
        <v>336</v>
      </c>
      <c r="C11" s="88" t="s">
        <v>246</v>
      </c>
      <c r="D11" s="86" t="s">
        <v>342</v>
      </c>
      <c r="E11" s="86" t="s">
        <v>343</v>
      </c>
      <c r="F11" s="89" t="s">
        <v>344</v>
      </c>
      <c r="G11" s="86" t="s">
        <v>339</v>
      </c>
    </row>
    <row r="12" spans="1:112">
      <c r="A12" s="67"/>
      <c r="B12" s="67"/>
      <c r="C12" s="67"/>
      <c r="D12" s="67"/>
    </row>
    <row r="13" spans="1:112" hidden="1">
      <c r="A13" s="67"/>
      <c r="B13" s="67"/>
      <c r="C13" s="67"/>
      <c r="D13" s="67"/>
    </row>
    <row r="14" spans="1:112" hidden="1">
      <c r="A14" s="67"/>
      <c r="B14" s="67"/>
      <c r="C14" s="67"/>
      <c r="D14" s="67"/>
    </row>
    <row r="15" spans="1:112" hidden="1">
      <c r="A15" s="67"/>
      <c r="B15" s="67"/>
      <c r="C15" s="67"/>
      <c r="D15" s="67"/>
    </row>
    <row r="16" spans="1:112" hidden="1">
      <c r="A16" s="67"/>
      <c r="B16" s="67"/>
      <c r="C16" s="67"/>
      <c r="D16" s="67"/>
    </row>
    <row r="17" spans="1:4" hidden="1">
      <c r="A17" s="67"/>
      <c r="B17" s="67"/>
      <c r="C17" s="67"/>
      <c r="D17" s="67"/>
    </row>
    <row r="18" spans="1:4" hidden="1">
      <c r="A18" s="67"/>
      <c r="B18" s="67"/>
      <c r="C18" s="67"/>
      <c r="D18" s="67"/>
    </row>
    <row r="19" spans="1:4" hidden="1">
      <c r="A19" s="67"/>
      <c r="B19" s="67"/>
      <c r="C19" s="67"/>
      <c r="D19" s="67"/>
    </row>
    <row r="20" spans="1:4" hidden="1">
      <c r="A20" s="67"/>
      <c r="B20" s="67"/>
      <c r="C20" s="67"/>
      <c r="D20" s="67"/>
    </row>
    <row r="21" spans="1:4" hidden="1">
      <c r="A21" s="67"/>
      <c r="B21" s="67"/>
      <c r="C21" s="67"/>
      <c r="D21" s="67"/>
    </row>
    <row r="22" spans="1:4" hidden="1">
      <c r="A22" s="67"/>
      <c r="B22" s="67"/>
      <c r="C22" s="67"/>
      <c r="D22" s="67"/>
    </row>
    <row r="23" spans="1:4" hidden="1">
      <c r="A23" s="67"/>
      <c r="B23" s="67"/>
      <c r="C23" s="67"/>
      <c r="D23" s="67"/>
    </row>
    <row r="24" spans="1:4" hidden="1">
      <c r="A24" s="67"/>
      <c r="B24" s="67"/>
      <c r="C24" s="67"/>
      <c r="D24" s="67"/>
    </row>
    <row r="25" spans="1:4" hidden="1">
      <c r="A25" s="67"/>
      <c r="B25" s="67"/>
      <c r="C25" s="67"/>
      <c r="D25" s="67"/>
    </row>
    <row r="26" spans="1:4" hidden="1">
      <c r="A26" s="67"/>
      <c r="B26" s="67"/>
      <c r="C26" s="67"/>
      <c r="D26" s="67"/>
    </row>
    <row r="27" spans="1:4" hidden="1">
      <c r="A27" s="67"/>
      <c r="B27" s="67"/>
      <c r="C27" s="67"/>
      <c r="D27" s="67"/>
    </row>
    <row r="28" spans="1:4" hidden="1">
      <c r="A28" s="67"/>
      <c r="B28" s="67"/>
      <c r="C28" s="67"/>
      <c r="D28" s="67"/>
    </row>
    <row r="29" spans="1:4" hidden="1">
      <c r="A29" s="67"/>
      <c r="B29" s="67"/>
      <c r="C29" s="67"/>
      <c r="D29" s="67"/>
    </row>
    <row r="30" spans="1:4" hidden="1">
      <c r="A30" s="67"/>
      <c r="B30" s="67"/>
      <c r="C30" s="67"/>
      <c r="D30" s="67"/>
    </row>
    <row r="31" spans="1:4" hidden="1">
      <c r="A31" s="67"/>
      <c r="B31" s="67"/>
      <c r="C31" s="67"/>
      <c r="D31" s="67"/>
    </row>
    <row r="32" spans="1:4" hidden="1">
      <c r="A32" s="67"/>
      <c r="B32" s="67"/>
      <c r="C32" s="67"/>
      <c r="D32" s="67"/>
    </row>
    <row r="33" spans="1:4" hidden="1">
      <c r="A33" s="67"/>
      <c r="B33" s="67"/>
      <c r="C33" s="67"/>
      <c r="D33" s="67"/>
    </row>
    <row r="34" spans="1:4" hidden="1">
      <c r="A34" s="67"/>
      <c r="B34" s="67"/>
      <c r="C34" s="67"/>
      <c r="D34" s="67"/>
    </row>
    <row r="35" spans="1:4" hidden="1">
      <c r="A35" s="67"/>
      <c r="B35" s="67"/>
      <c r="C35" s="67"/>
      <c r="D35" s="67"/>
    </row>
    <row r="36" spans="1:4" hidden="1">
      <c r="A36" s="67"/>
      <c r="B36" s="67"/>
      <c r="C36" s="67"/>
      <c r="D36" s="67"/>
    </row>
    <row r="37" spans="1:4" hidden="1">
      <c r="A37" s="67"/>
      <c r="B37" s="67"/>
      <c r="C37" s="67"/>
      <c r="D37" s="67"/>
    </row>
    <row r="38" spans="1:4" hidden="1">
      <c r="A38" s="67"/>
      <c r="B38" s="67"/>
      <c r="C38" s="67"/>
      <c r="D38" s="67"/>
    </row>
    <row r="39" spans="1:4" hidden="1">
      <c r="A39" s="67"/>
      <c r="B39" s="67"/>
      <c r="C39" s="67"/>
      <c r="D39" s="67"/>
    </row>
    <row r="40" spans="1:4" hidden="1">
      <c r="A40" s="67"/>
      <c r="B40" s="67"/>
      <c r="C40" s="67"/>
      <c r="D40" s="67"/>
    </row>
    <row r="41" spans="1:4" hidden="1">
      <c r="A41" s="67"/>
      <c r="B41" s="67"/>
      <c r="C41" s="67"/>
      <c r="D41" s="67"/>
    </row>
    <row r="42" spans="1:4" hidden="1">
      <c r="A42" s="67"/>
      <c r="B42" s="67"/>
      <c r="C42" s="67"/>
      <c r="D42" s="67"/>
    </row>
    <row r="43" spans="1:4" hidden="1">
      <c r="A43" s="67"/>
      <c r="B43" s="67"/>
      <c r="C43" s="67"/>
      <c r="D43" s="67"/>
    </row>
    <row r="44" spans="1:4" hidden="1">
      <c r="A44" s="67"/>
      <c r="B44" s="67"/>
      <c r="C44" s="67"/>
      <c r="D44" s="67"/>
    </row>
    <row r="45" spans="1:4" hidden="1">
      <c r="A45" s="67"/>
      <c r="B45" s="67"/>
      <c r="C45" s="67"/>
      <c r="D45" s="67"/>
    </row>
    <row r="46" spans="1:4" hidden="1">
      <c r="A46" s="67"/>
      <c r="B46" s="67"/>
      <c r="C46" s="67"/>
      <c r="D46" s="67"/>
    </row>
    <row r="47" spans="1:4" hidden="1">
      <c r="A47" s="67"/>
      <c r="B47" s="67"/>
      <c r="C47" s="67"/>
      <c r="D47" s="67"/>
    </row>
    <row r="48" spans="1:4" hidden="1">
      <c r="A48" s="67"/>
      <c r="B48" s="67"/>
      <c r="C48" s="67"/>
      <c r="D48" s="67"/>
    </row>
    <row r="49" spans="1:4" hidden="1">
      <c r="A49" s="67"/>
      <c r="B49" s="67"/>
      <c r="C49" s="67"/>
      <c r="D49" s="67"/>
    </row>
    <row r="50" spans="1:4" hidden="1">
      <c r="A50" s="67"/>
      <c r="B50" s="67"/>
      <c r="C50" s="67"/>
      <c r="D50" s="67"/>
    </row>
    <row r="51" spans="1:4" hidden="1">
      <c r="A51" s="67"/>
      <c r="B51" s="67"/>
      <c r="C51" s="67"/>
      <c r="D51" s="67"/>
    </row>
    <row r="52" spans="1:4" hidden="1">
      <c r="A52" s="67"/>
      <c r="B52" s="67"/>
      <c r="C52" s="67"/>
      <c r="D52" s="67"/>
    </row>
    <row r="53" spans="1:4" hidden="1">
      <c r="A53" s="67"/>
      <c r="B53" s="67"/>
      <c r="C53" s="67"/>
      <c r="D53" s="67"/>
    </row>
    <row r="54" spans="1:4" hidden="1">
      <c r="A54" s="67"/>
      <c r="B54" s="67"/>
      <c r="C54" s="67"/>
      <c r="D54" s="67"/>
    </row>
    <row r="55" spans="1:4" hidden="1">
      <c r="A55" s="67"/>
      <c r="B55" s="67"/>
      <c r="C55" s="67"/>
      <c r="D55" s="67"/>
    </row>
    <row r="56" spans="1:4" hidden="1">
      <c r="A56" s="67"/>
      <c r="B56" s="67"/>
      <c r="C56" s="67"/>
      <c r="D56" s="67"/>
    </row>
    <row r="57" spans="1:4" hidden="1">
      <c r="A57" s="67"/>
      <c r="B57" s="67"/>
      <c r="C57" s="67"/>
      <c r="D57" s="67"/>
    </row>
    <row r="58" spans="1:4" hidden="1">
      <c r="A58" s="67"/>
      <c r="B58" s="67"/>
      <c r="C58" s="67"/>
      <c r="D58" s="67"/>
    </row>
    <row r="59" spans="1:4" hidden="1">
      <c r="A59" s="67"/>
      <c r="B59" s="67"/>
      <c r="C59" s="67"/>
      <c r="D59" s="67"/>
    </row>
    <row r="60" spans="1:4" hidden="1">
      <c r="A60" s="67"/>
      <c r="B60" s="67"/>
      <c r="C60" s="67"/>
      <c r="D60" s="67"/>
    </row>
    <row r="61" spans="1:4" hidden="1">
      <c r="A61" s="67"/>
      <c r="B61" s="67"/>
      <c r="C61" s="67"/>
      <c r="D61" s="67"/>
    </row>
    <row r="62" spans="1:4" hidden="1">
      <c r="A62" s="67"/>
      <c r="B62" s="67"/>
      <c r="C62" s="67"/>
      <c r="D62" s="67"/>
    </row>
    <row r="63" spans="1:4" hidden="1">
      <c r="A63" s="67"/>
      <c r="B63" s="67"/>
      <c r="C63" s="67"/>
      <c r="D63" s="67"/>
    </row>
    <row r="64" spans="1:4" hidden="1">
      <c r="A64" s="67"/>
      <c r="B64" s="67"/>
      <c r="C64" s="67"/>
      <c r="D64" s="67"/>
    </row>
    <row r="65" spans="1:4" hidden="1">
      <c r="A65" s="67"/>
      <c r="B65" s="67"/>
      <c r="C65" s="67"/>
      <c r="D65" s="67"/>
    </row>
    <row r="66" spans="1:4" hidden="1">
      <c r="A66" s="67"/>
      <c r="B66" s="67"/>
      <c r="C66" s="67"/>
      <c r="D66" s="67"/>
    </row>
    <row r="67" spans="1:4" hidden="1">
      <c r="A67" s="67"/>
      <c r="B67" s="67"/>
      <c r="C67" s="67"/>
      <c r="D67" s="67"/>
    </row>
    <row r="68" spans="1:4" hidden="1">
      <c r="A68" s="67"/>
      <c r="B68" s="67"/>
      <c r="C68" s="67"/>
      <c r="D68" s="67"/>
    </row>
    <row r="69" spans="1:4" hidden="1">
      <c r="A69" s="67"/>
      <c r="B69" s="67"/>
      <c r="C69" s="67"/>
      <c r="D69" s="67"/>
    </row>
    <row r="70" spans="1:4" hidden="1">
      <c r="A70" s="67"/>
      <c r="B70" s="67"/>
      <c r="C70" s="67"/>
      <c r="D70" s="67"/>
    </row>
    <row r="71" spans="1:4" hidden="1">
      <c r="A71" s="67"/>
      <c r="B71" s="67"/>
      <c r="C71" s="67"/>
      <c r="D71" s="67"/>
    </row>
    <row r="72" spans="1:4" hidden="1">
      <c r="A72" s="67"/>
      <c r="B72" s="67"/>
      <c r="C72" s="67"/>
      <c r="D72" s="67"/>
    </row>
    <row r="73" spans="1:4" hidden="1">
      <c r="A73" s="67"/>
      <c r="B73" s="67"/>
      <c r="C73" s="67"/>
      <c r="D73" s="67"/>
    </row>
    <row r="74" spans="1:4" hidden="1">
      <c r="A74" s="67"/>
      <c r="B74" s="67"/>
      <c r="C74" s="67"/>
      <c r="D74" s="67"/>
    </row>
    <row r="75" spans="1:4" hidden="1">
      <c r="A75" s="67"/>
      <c r="B75" s="67"/>
      <c r="C75" s="67"/>
      <c r="D75" s="67"/>
    </row>
    <row r="76" spans="1:4" hidden="1">
      <c r="A76" s="67"/>
      <c r="B76" s="67"/>
      <c r="C76" s="67"/>
      <c r="D76" s="67"/>
    </row>
    <row r="77" spans="1:4" hidden="1">
      <c r="A77" s="67"/>
      <c r="B77" s="67"/>
      <c r="C77" s="67"/>
      <c r="D77" s="67"/>
    </row>
    <row r="78" spans="1:4" hidden="1">
      <c r="A78" s="67"/>
      <c r="B78" s="67"/>
      <c r="C78" s="67"/>
      <c r="D78" s="67"/>
    </row>
    <row r="79" spans="1:4" hidden="1">
      <c r="A79" s="67"/>
      <c r="B79" s="67"/>
      <c r="C79" s="67"/>
      <c r="D79" s="67"/>
    </row>
    <row r="80" spans="1:4" hidden="1">
      <c r="A80" s="67"/>
      <c r="B80" s="67"/>
      <c r="C80" s="67"/>
      <c r="D80" s="67"/>
    </row>
    <row r="81" spans="1:4" hidden="1">
      <c r="A81" s="67"/>
      <c r="B81" s="67"/>
      <c r="C81" s="67"/>
      <c r="D81" s="67"/>
    </row>
    <row r="82" spans="1:4" hidden="1">
      <c r="A82" s="67"/>
      <c r="B82" s="67"/>
      <c r="C82" s="67"/>
      <c r="D82" s="67"/>
    </row>
    <row r="83" spans="1:4" hidden="1">
      <c r="A83" s="67"/>
      <c r="B83" s="67"/>
      <c r="C83" s="67"/>
      <c r="D83" s="67"/>
    </row>
    <row r="84" spans="1:4" hidden="1">
      <c r="A84" s="67"/>
      <c r="B84" s="67"/>
      <c r="C84" s="67"/>
      <c r="D84" s="67"/>
    </row>
    <row r="85" spans="1:4" hidden="1">
      <c r="A85" s="67"/>
      <c r="B85" s="67"/>
      <c r="C85" s="67"/>
      <c r="D85" s="67"/>
    </row>
    <row r="86" spans="1:4" hidden="1">
      <c r="A86" s="67"/>
      <c r="B86" s="67"/>
      <c r="C86" s="67"/>
      <c r="D86" s="67"/>
    </row>
    <row r="87" spans="1:4" hidden="1">
      <c r="A87" s="67"/>
      <c r="B87" s="67"/>
      <c r="C87" s="67"/>
      <c r="D87" s="67"/>
    </row>
    <row r="88" spans="1:4" hidden="1">
      <c r="A88" s="67"/>
      <c r="B88" s="67"/>
      <c r="C88" s="67"/>
      <c r="D88" s="67"/>
    </row>
    <row r="89" spans="1:4" hidden="1">
      <c r="A89" s="67"/>
      <c r="B89" s="67"/>
      <c r="C89" s="67"/>
      <c r="D89" s="67"/>
    </row>
    <row r="90" spans="1:4" hidden="1">
      <c r="A90" s="67"/>
      <c r="B90" s="67"/>
      <c r="C90" s="67"/>
      <c r="D90" s="67"/>
    </row>
    <row r="91" spans="1:4" hidden="1">
      <c r="A91" s="67"/>
      <c r="B91" s="67"/>
      <c r="C91" s="67"/>
      <c r="D91" s="67"/>
    </row>
    <row r="92" spans="1:4" hidden="1">
      <c r="A92" s="67"/>
      <c r="B92" s="67"/>
      <c r="C92" s="67"/>
      <c r="D92" s="67"/>
    </row>
    <row r="93" spans="1:4" hidden="1">
      <c r="A93" s="67"/>
      <c r="B93" s="67"/>
      <c r="C93" s="67"/>
      <c r="D93" s="67"/>
    </row>
    <row r="94" spans="1:4" hidden="1">
      <c r="A94" s="67"/>
      <c r="B94" s="67"/>
      <c r="C94" s="67"/>
      <c r="D94" s="67"/>
    </row>
    <row r="95" spans="1:4" hidden="1">
      <c r="A95" s="67"/>
      <c r="B95" s="67"/>
      <c r="C95" s="67"/>
      <c r="D95" s="67"/>
    </row>
    <row r="96" spans="1:4" hidden="1">
      <c r="A96" s="67"/>
      <c r="B96" s="67"/>
      <c r="C96" s="67"/>
      <c r="D96" s="67"/>
    </row>
    <row r="97" spans="1:4" hidden="1">
      <c r="A97" s="67"/>
      <c r="B97" s="67"/>
      <c r="C97" s="67"/>
      <c r="D97" s="67"/>
    </row>
    <row r="98" spans="1:4" hidden="1">
      <c r="A98" s="67"/>
      <c r="B98" s="67"/>
      <c r="C98" s="67"/>
      <c r="D98" s="67"/>
    </row>
    <row r="99" spans="1:4" hidden="1">
      <c r="A99" s="67"/>
      <c r="B99" s="67"/>
      <c r="C99" s="67"/>
      <c r="D99" s="67"/>
    </row>
    <row r="100" spans="1:4" hidden="1">
      <c r="A100" s="67"/>
      <c r="B100" s="67"/>
      <c r="C100" s="67"/>
      <c r="D100" s="67"/>
    </row>
    <row r="101" spans="1:4" hidden="1">
      <c r="A101" s="67"/>
      <c r="B101" s="67"/>
      <c r="C101" s="67"/>
      <c r="D101" s="67"/>
    </row>
    <row r="102" spans="1:4" hidden="1">
      <c r="A102" s="67"/>
      <c r="B102" s="67"/>
      <c r="C102" s="67"/>
      <c r="D102" s="67"/>
    </row>
    <row r="103" spans="1:4" hidden="1">
      <c r="A103" s="67"/>
      <c r="B103" s="67"/>
      <c r="C103" s="67"/>
      <c r="D103" s="67"/>
    </row>
    <row r="104" spans="1:4" hidden="1">
      <c r="A104" s="67"/>
      <c r="B104" s="67"/>
      <c r="C104" s="67"/>
      <c r="D104" s="67"/>
    </row>
    <row r="105" spans="1:4" hidden="1">
      <c r="A105" s="67"/>
      <c r="B105" s="67"/>
      <c r="C105" s="67"/>
      <c r="D105" s="67"/>
    </row>
    <row r="106" spans="1:4" hidden="1">
      <c r="A106" s="67"/>
      <c r="B106" s="67"/>
      <c r="C106" s="67"/>
      <c r="D106" s="67"/>
    </row>
    <row r="107" spans="1:4" hidden="1">
      <c r="A107" s="67"/>
      <c r="B107" s="67"/>
      <c r="C107" s="67"/>
      <c r="D107" s="67"/>
    </row>
    <row r="108" spans="1:4" hidden="1">
      <c r="A108" s="67"/>
      <c r="B108" s="67"/>
      <c r="C108" s="67"/>
      <c r="D108" s="67"/>
    </row>
    <row r="109" spans="1:4" hidden="1">
      <c r="A109" s="67"/>
      <c r="B109" s="67"/>
      <c r="C109" s="67"/>
      <c r="D109" s="67"/>
    </row>
    <row r="110" spans="1:4" hidden="1">
      <c r="A110" s="67"/>
      <c r="B110" s="67"/>
      <c r="C110" s="67"/>
      <c r="D110" s="67"/>
    </row>
    <row r="111" spans="1:4" hidden="1">
      <c r="A111" s="67"/>
      <c r="B111" s="67"/>
      <c r="C111" s="67"/>
      <c r="D111" s="67"/>
    </row>
    <row r="112" spans="1:4" hidden="1">
      <c r="A112" s="67"/>
      <c r="B112" s="67"/>
      <c r="C112" s="67"/>
      <c r="D112" s="67"/>
    </row>
    <row r="113" spans="1:4" hidden="1">
      <c r="A113" s="67"/>
      <c r="B113" s="67"/>
      <c r="C113" s="67"/>
      <c r="D113" s="67"/>
    </row>
    <row r="114" spans="1:4" hidden="1">
      <c r="A114" s="67"/>
      <c r="B114" s="67"/>
      <c r="C114" s="67"/>
      <c r="D114" s="67"/>
    </row>
    <row r="115" spans="1:4" hidden="1">
      <c r="A115" s="67"/>
      <c r="B115" s="67"/>
      <c r="C115" s="67"/>
      <c r="D115" s="67"/>
    </row>
    <row r="116" spans="1:4" hidden="1">
      <c r="A116" s="67"/>
      <c r="B116" s="67"/>
      <c r="C116" s="67"/>
      <c r="D116" s="67"/>
    </row>
    <row r="117" spans="1:4" hidden="1">
      <c r="A117" s="67"/>
      <c r="B117" s="67"/>
      <c r="C117" s="67"/>
      <c r="D117" s="67"/>
    </row>
    <row r="118" spans="1:4" hidden="1">
      <c r="A118" s="67"/>
      <c r="B118" s="67"/>
      <c r="C118" s="67"/>
      <c r="D118" s="67"/>
    </row>
    <row r="119" spans="1:4" hidden="1">
      <c r="A119" s="67"/>
      <c r="B119" s="67"/>
      <c r="C119" s="67"/>
      <c r="D119" s="67"/>
    </row>
    <row r="120" spans="1:4" hidden="1">
      <c r="A120" s="67"/>
      <c r="B120" s="67"/>
      <c r="C120" s="67"/>
      <c r="D120" s="67"/>
    </row>
    <row r="121" spans="1:4" hidden="1">
      <c r="A121" s="67"/>
      <c r="B121" s="67"/>
      <c r="C121" s="67"/>
      <c r="D121" s="67"/>
    </row>
    <row r="122" spans="1:4" hidden="1">
      <c r="A122" s="67"/>
      <c r="B122" s="67"/>
      <c r="C122" s="67"/>
      <c r="D122" s="67"/>
    </row>
    <row r="123" spans="1:4" hidden="1">
      <c r="A123" s="67"/>
      <c r="B123" s="67"/>
      <c r="C123" s="67"/>
      <c r="D123" s="67"/>
    </row>
    <row r="124" spans="1:4" hidden="1">
      <c r="A124" s="67"/>
      <c r="B124" s="67"/>
      <c r="C124" s="67"/>
      <c r="D124" s="67"/>
    </row>
    <row r="125" spans="1:4" hidden="1">
      <c r="A125" s="67"/>
      <c r="B125" s="67"/>
      <c r="C125" s="67"/>
      <c r="D125" s="67"/>
    </row>
    <row r="126" spans="1:4" hidden="1">
      <c r="A126" s="67"/>
      <c r="B126" s="67"/>
      <c r="C126" s="67"/>
      <c r="D126" s="67"/>
    </row>
    <row r="127" spans="1:4" hidden="1">
      <c r="A127" s="67"/>
      <c r="B127" s="67"/>
      <c r="C127" s="67"/>
      <c r="D127" s="67"/>
    </row>
    <row r="128" spans="1:4" hidden="1">
      <c r="A128" s="67"/>
      <c r="B128" s="67"/>
      <c r="C128" s="67"/>
      <c r="D128" s="67"/>
    </row>
    <row r="129" spans="1:4" hidden="1">
      <c r="A129" s="67"/>
      <c r="B129" s="67"/>
      <c r="C129" s="67"/>
      <c r="D129" s="67"/>
    </row>
    <row r="130" spans="1:4" hidden="1">
      <c r="A130" s="67"/>
      <c r="B130" s="67"/>
      <c r="C130" s="67"/>
      <c r="D130" s="67"/>
    </row>
    <row r="131" spans="1:4" hidden="1">
      <c r="A131" s="67"/>
      <c r="B131" s="67"/>
      <c r="C131" s="67"/>
      <c r="D131" s="67"/>
    </row>
    <row r="132" spans="1:4" hidden="1">
      <c r="A132" s="67"/>
      <c r="B132" s="67"/>
      <c r="C132" s="67"/>
      <c r="D132" s="67"/>
    </row>
    <row r="133" spans="1:4" hidden="1">
      <c r="A133" s="67"/>
      <c r="B133" s="67"/>
      <c r="C133" s="67"/>
      <c r="D133" s="67"/>
    </row>
    <row r="134" spans="1:4" hidden="1">
      <c r="A134" s="67"/>
      <c r="B134" s="67"/>
      <c r="C134" s="67"/>
      <c r="D134" s="67"/>
    </row>
    <row r="135" spans="1:4" hidden="1">
      <c r="A135" s="67"/>
      <c r="B135" s="67"/>
      <c r="C135" s="67"/>
      <c r="D135" s="67"/>
    </row>
    <row r="136" spans="1:4" hidden="1">
      <c r="A136" s="67"/>
      <c r="B136" s="67"/>
      <c r="C136" s="67"/>
      <c r="D136" s="67"/>
    </row>
    <row r="137" spans="1:4" hidden="1">
      <c r="A137" s="67"/>
      <c r="B137" s="67"/>
      <c r="C137" s="67"/>
      <c r="D137" s="67"/>
    </row>
  </sheetData>
  <conditionalFormatting sqref="B9:C11">
    <cfRule type="cellIs" dxfId="3" priority="1" operator="equal">
      <formula>"Por iniciar"</formula>
    </cfRule>
    <cfRule type="cellIs" dxfId="2" priority="2" operator="equal">
      <formula>"EM TESTES"</formula>
    </cfRule>
    <cfRule type="cellIs" dxfId="1" priority="3" operator="equal">
      <formula>"NOK"</formula>
    </cfRule>
    <cfRule type="cellIs" dxfId="0" priority="4" operator="equal">
      <formula>"OK"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245C61-0587-4AF4-B06E-A2668582056F}"/>
</file>

<file path=customXml/itemProps2.xml><?xml version="1.0" encoding="utf-8"?>
<ds:datastoreItem xmlns:ds="http://schemas.openxmlformats.org/officeDocument/2006/customXml" ds:itemID="{E1FCF67E-18A3-44F3-A5B4-709C46479FC7}"/>
</file>

<file path=customXml/itemProps3.xml><?xml version="1.0" encoding="utf-8"?>
<ds:datastoreItem xmlns:ds="http://schemas.openxmlformats.org/officeDocument/2006/customXml" ds:itemID="{A76E3A59-9759-4CC0-BA73-C3D1694E0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Cristiana Serafim Stephani</dc:creator>
  <cp:keywords/>
  <dc:description/>
  <cp:lastModifiedBy>Hélder Filipe Felicidade Fernandes</cp:lastModifiedBy>
  <cp:revision/>
  <dcterms:created xsi:type="dcterms:W3CDTF">2024-10-18T20:46:00Z</dcterms:created>
  <dcterms:modified xsi:type="dcterms:W3CDTF">2025-10-24T09:15:19Z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2024-10-19T00:47:24Z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5e8aba04-4250-4b89-bbc0-81f0c39a1635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