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808265\Santander Office 365\Testes GD &amp; Pilar 3 ESG - General\08. Incidências IT\01. Incidências LT Pilar III\"/>
    </mc:Choice>
  </mc:AlternateContent>
  <bookViews>
    <workbookView xWindow="390" yWindow="-14150" windowWidth="21600" windowHeight="11390"/>
  </bookViews>
  <sheets>
    <sheet name="1. Incidências" sheetId="1" r:id="rId1"/>
    <sheet name="2. Evidências &gt;&gt;" sheetId="2" r:id="rId2"/>
    <sheet name="ID1" sheetId="3" r:id="rId3"/>
    <sheet name="ID2" sheetId="4" r:id="rId4"/>
    <sheet name="ID3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F9" i="4"/>
  <c r="E19" i="1" l="1"/>
  <c r="E18" i="1"/>
  <c r="E17" i="1"/>
  <c r="E16" i="1"/>
  <c r="E15" i="1"/>
  <c r="E14" i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<sst xmlns="http://schemas.openxmlformats.org/spreadsheetml/2006/main" count="104" uniqueCount="67">
  <si>
    <t>Testes | Resumo de Incidências</t>
  </si>
  <si>
    <t>ID Issue</t>
  </si>
  <si>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</si>
  <si>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</si>
  <si>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</si>
  <si>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</si>
  <si>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</si>
  <si>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</si>
  <si>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</si>
  <si>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</si>
  <si>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BU_LOANTAPE_WORK.LT002_INSTRUMENT</t>
  </si>
  <si>
    <t>LNS_CLLTRLZD_CLSSFCTN</t>
  </si>
  <si>
    <t>Data de Referência</t>
  </si>
  <si>
    <t>2024-06-30</t>
  </si>
  <si>
    <t>Consistência LT</t>
  </si>
  <si>
    <t>Obs. Equipa Testes</t>
  </si>
  <si>
    <r>
      <t xml:space="preserve">Campo LNS_CLLTRLZD_CLSSFCTN aprovisionado incorretamente de acordo com a especificação funcional para o universo de ajustes presente no documento </t>
    </r>
    <r>
      <rPr>
        <i/>
        <sz val="11"/>
        <color theme="1"/>
        <rFont val="Calibri"/>
        <family val="2"/>
      </rPr>
      <t>"Granular Tool - Functional Guide_20092024".</t>
    </r>
    <r>
      <rPr>
        <sz val="11"/>
        <color theme="1"/>
        <rFont val="Calibri"/>
        <family val="2"/>
      </rPr>
      <t xml:space="preserve"> Desta forma, caso exista informação para um contrato de ajuste deverá ser reportado ao invés de ser reportado </t>
    </r>
    <r>
      <rPr>
        <i/>
        <sz val="11"/>
        <color theme="1"/>
        <rFont val="Calibri"/>
        <family val="2"/>
      </rPr>
      <t>MISS</t>
    </r>
    <r>
      <rPr>
        <sz val="11"/>
        <color theme="1"/>
        <rFont val="Calibri"/>
        <family val="2"/>
      </rPr>
      <t>.</t>
    </r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</si>
  <si>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</si>
  <si>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</si>
  <si>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</si>
  <si>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</si>
  <si>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</si>
  <si>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</si>
  <si>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</si>
  <si>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verificadas, pela equipa de Testes, no decorrer das análises às tabelas da Loan Tape no âmbito de Pilar3. </t>
    </r>
  </si>
  <si>
    <t>SNCN00001729</t>
  </si>
  <si>
    <t>MISS</t>
  </si>
  <si>
    <t>FMC1</t>
  </si>
  <si>
    <t>SNCN00003017</t>
  </si>
  <si>
    <t>INSTRMNT_ID_BASE</t>
  </si>
  <si>
    <t>LNS_CLLTRLZD_CLSSFCTN_BASE</t>
  </si>
  <si>
    <t>IDCMB</t>
  </si>
  <si>
    <t>SNCN00000907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</si>
  <si>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</si>
  <si>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</si>
  <si>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</si>
  <si>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</si>
  <si>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</si>
  <si>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</si>
  <si>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</si>
  <si>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Valor Esperado</t>
  </si>
  <si>
    <r>
      <t>CONT1;HFS2;B01;MC02;PR0303;ACPF6;SC0303;STAG3;POCI2;SUBO2;DEFA1;FORB1;SSC4;PURP2;</t>
    </r>
    <r>
      <rPr>
        <b/>
        <sz val="11"/>
        <color theme="1"/>
        <rFont val="Aptos Narrow"/>
        <family val="2"/>
        <scheme val="minor"/>
      </rPr>
      <t>COLL3</t>
    </r>
    <r>
      <rPr>
        <sz val="11"/>
        <color theme="1"/>
        <rFont val="Aptos Narrow"/>
        <family val="2"/>
        <scheme val="minor"/>
      </rPr>
      <t>;TYVA02;TA1;FVAD3</t>
    </r>
  </si>
  <si>
    <r>
      <t>CONT1;HFS2;B01;MC02;PR0302;ACPF6;SC0303;STAG1;SUBO2;DEFA2;FORB2;SSC3;PURP2;</t>
    </r>
    <r>
      <rPr>
        <b/>
        <sz val="11"/>
        <color theme="1"/>
        <rFont val="Aptos Narrow"/>
        <family val="2"/>
        <scheme val="minor"/>
      </rPr>
      <t>COLL3</t>
    </r>
    <r>
      <rPr>
        <sz val="11"/>
        <color theme="1"/>
        <rFont val="Aptos Narrow"/>
        <family val="2"/>
        <scheme val="minor"/>
      </rPr>
      <t>;TYVA01;FVAD3</t>
    </r>
  </si>
  <si>
    <t>Aberta</t>
  </si>
  <si>
    <t>IT Team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</si>
  <si>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3 exemplos com o valor reportado na tabela </t>
    </r>
    <r>
      <rPr>
        <i/>
        <sz val="11"/>
        <color theme="1"/>
        <rFont val="Calibri"/>
        <family val="2"/>
      </rPr>
      <t>versus</t>
    </r>
    <r>
      <rPr>
        <sz val="11"/>
        <color theme="1"/>
        <rFont val="Calibri"/>
        <family val="2"/>
      </rPr>
      <t xml:space="preserve"> o valor esperado. </t>
    </r>
  </si>
  <si>
    <t>Para todas as datas.</t>
  </si>
  <si>
    <r>
      <t xml:space="preserve">Campos GRSS_INTRST_INCM, GRSS_CMMSSN_INCM, GRSS_CMMSSN_INCM_OFF_BLNC aprovisionados incorretamente. Para estes campos deve ser considerado o somatório de todos os montantes associados às diferentes </t>
    </r>
    <r>
      <rPr>
        <i/>
        <sz val="11"/>
        <color theme="1"/>
        <rFont val="Calibri"/>
        <family val="2"/>
      </rPr>
      <t>business areas</t>
    </r>
    <r>
      <rPr>
        <sz val="11"/>
        <color theme="1"/>
        <rFont val="Calibri"/>
        <family val="2"/>
      </rPr>
      <t xml:space="preserve"> pada cada chave </t>
    </r>
    <r>
      <rPr>
        <i/>
        <sz val="11"/>
        <color theme="1"/>
        <rFont val="Calibri"/>
        <family val="2"/>
      </rPr>
      <t>finrep</t>
    </r>
    <r>
      <rPr>
        <sz val="11"/>
        <color theme="1"/>
        <rFont val="Calibri"/>
        <family val="2"/>
      </rPr>
      <t>.</t>
    </r>
  </si>
  <si>
    <t>Fechada</t>
  </si>
  <si>
    <t xml:space="preserve">CHAVE_FINREP </t>
  </si>
  <si>
    <t>CHAVE_TABELA</t>
  </si>
  <si>
    <t>GRSS_INTRST_INCM</t>
  </si>
  <si>
    <t>CHAVE_FINREP +  BUSINESS_AREA_2</t>
  </si>
  <si>
    <t>CHAVE_FINREP +  BUSINESS_AREA_3</t>
  </si>
  <si>
    <t>Granulidade LT002_INSTRUMENT em âmbito Pilar 3</t>
  </si>
  <si>
    <t>Granulidade LT002_INSTRUMENT em âmbito CDG</t>
  </si>
  <si>
    <t>Valor Reportado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</si>
  <si>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"ID2" encontra-se 1 exemplo ilustrativo com o valor reportado na tabela </t>
    </r>
    <r>
      <rPr>
        <i/>
        <sz val="11"/>
        <color theme="1"/>
        <rFont val="Calibri"/>
        <family val="2"/>
      </rPr>
      <t>versus</t>
    </r>
    <r>
      <rPr>
        <sz val="11"/>
        <color theme="1"/>
        <rFont val="Calibri"/>
        <family val="2"/>
      </rPr>
      <t xml:space="preserve"> o valor esperado. </t>
    </r>
  </si>
  <si>
    <t>GRSS_INTRST_INCM 
GRSS_CMMSSN_INCM 
GRSS_CMMSSN_INCM_OFF_BLNC</t>
  </si>
  <si>
    <t>SSTNBL_CTGRY_TXNMY</t>
  </si>
  <si>
    <t>RSK_MTGTD_CCT</t>
  </si>
  <si>
    <t>VALOR ESPERADO</t>
  </si>
  <si>
    <t>RMCT1</t>
  </si>
  <si>
    <t>ID31000000000000000162304880068510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</si>
  <si>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"ID3" encontra-se 1 exemplo ilustrativo com o valor reportado na tabela </t>
    </r>
    <r>
      <rPr>
        <i/>
        <sz val="11"/>
        <color theme="1"/>
        <rFont val="Calibri"/>
        <family val="2"/>
      </rPr>
      <t>versus</t>
    </r>
    <r>
      <rPr>
        <sz val="11"/>
        <color theme="1"/>
        <rFont val="Calibri"/>
        <family val="2"/>
      </rPr>
      <t xml:space="preserve"> o valor esperado. </t>
    </r>
  </si>
  <si>
    <t>Campo RSK_MTGTD_CCT aprovisionado incorretamente. Deveria estar aprovisionado com o valor 'RMCT1', no entanto, encontra-se a 'MISS'.</t>
  </si>
  <si>
    <t>Campo SSTNBL_CTGRY_TXNMY aprovisionado incorretamente. Deveria estar aprovisionado a vazio(''), no entanto, encontra-se a 'MISS'.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</si>
</sst>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"/>
    <numFmt numFmtId="165" formatCode="#,##0.00\ &quot;€&quot;"/>
    <numFmt numFmtId="166" formatCode="0E+00"/>
  </numFmts>
  <fonts count="1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theme="2" tint="-0.24994659260841701"/>
      </diagonal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0" fontId="8" fillId="2" borderId="12" xfId="0" applyFont="1" applyFill="1" applyBorder="1"/>
    <xf numFmtId="0" fontId="8" fillId="4" borderId="12" xfId="0" applyFont="1" applyFill="1" applyBorder="1"/>
    <xf numFmtId="0" fontId="9" fillId="0" borderId="12" xfId="0" applyFont="1" applyBorder="1" applyAlignment="1">
      <alignment horizontal="center"/>
    </xf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165" fontId="0" fillId="0" borderId="12" xfId="0" applyNumberFormat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0" fillId="5" borderId="16" xfId="0" applyFill="1" applyBorder="1"/>
    <xf numFmtId="0" fontId="9" fillId="0" borderId="13" xfId="0" applyFont="1" applyBorder="1" applyAlignment="1">
      <alignment horizontal="center"/>
    </xf>
    <xf numFmtId="14" fontId="1" fillId="0" borderId="10" xfId="0" quotePrefix="1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12" xfId="0" quotePrefix="1" applyBorder="1"/>
    <xf numFmtId="166" fontId="0" fillId="0" borderId="12" xfId="0" applyNumberFormat="1" applyBorder="1"/>
    <xf numFmtId="0" fontId="0" fillId="0" borderId="0" xfId="0" applyFill="1"/>
    <xf numFmtId="0" fontId="0" fillId="3" borderId="0" xfId="0" applyFill="1" applyBorder="1"/>
    <xf numFmtId="0" fontId="0" fillId="2" borderId="0" xfId="0" applyFill="1" applyBorder="1"/>
    <xf numFmtId="0" fontId="0" fillId="0" borderId="0" xfId="0" applyFill="1" applyBorder="1"/>
    <xf numFmtId="0" fontId="9" fillId="0" borderId="13" xfId="0" applyFont="1" applyBorder="1" applyAlignment="1"/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/>
    <xf numFmtId="0" fontId="4" fillId="2" borderId="10" xfId="0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1424727</xdr:colOff>
      <xdr:row>3</xdr:row>
      <xdr:rowOff>114880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FD9FC778-387E-4F33-9BC3-56E2AE6C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138" y="190500"/>
          <a:ext cx="942064" cy="49588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138661</xdr:rowOff>
    </xdr:from>
    <xdr:to>
      <xdr:col>3</xdr:col>
      <xdr:colOff>210041</xdr:colOff>
      <xdr:row>3</xdr:row>
      <xdr:rowOff>38100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F080B35A-491B-4E4D-BDBE-47B84F19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47650" y="329161"/>
          <a:ext cx="1095866" cy="2804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199109</xdr:colOff>
      <xdr:row>3</xdr:row>
      <xdr:rowOff>102974</xdr:rowOff>
    </xdr:to>
    <xdr:grpSp>
      <xdr:nvGrpSpPr>
        <xdr:cNvPr id="4" name="Group 3"/>
        <xdr:cNvGrpSpPr/>
      </xdr:nvGrpSpPr>
      <xdr:grpSpPr>
        <a:xfrm>
          <a:off x="285750" y="174625"/>
          <a:ext cx="2508922" cy="452224"/>
          <a:chOff x="285750" y="178596"/>
          <a:chExt cx="2508922" cy="460161"/>
        </a:xfrm>
      </xdr:grpSpPr>
      <xdr:pic>
        <xdr:nvPicPr>
          <xdr:cNvPr id="5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6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2508922</xdr:colOff>
      <xdr:row>3</xdr:row>
      <xdr:rowOff>102974</xdr:rowOff>
    </xdr:to>
    <xdr:grpSp>
      <xdr:nvGrpSpPr>
        <xdr:cNvPr id="9" name="Group 8"/>
        <xdr:cNvGrpSpPr/>
      </xdr:nvGrpSpPr>
      <xdr:grpSpPr>
        <a:xfrm>
          <a:off x="285750" y="174625"/>
          <a:ext cx="2508922" cy="452224"/>
          <a:chOff x="285750" y="178596"/>
          <a:chExt cx="2508922" cy="460161"/>
        </a:xfrm>
      </xdr:grpSpPr>
      <xdr:pic>
        <xdr:nvPicPr>
          <xdr:cNvPr id="10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11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0</xdr:colOff>
      <xdr:row>3</xdr:row>
      <xdr:rowOff>102974</xdr:rowOff>
    </xdr:to>
    <xdr:grpSp>
      <xdr:nvGrpSpPr>
        <xdr:cNvPr id="2" name="Group 1"/>
        <xdr:cNvGrpSpPr/>
      </xdr:nvGrpSpPr>
      <xdr:grpSpPr>
        <a:xfrm>
          <a:off x="285750" y="174625"/>
          <a:ext cx="2857500" cy="452224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showGridLines="0" tabSelected="1" zoomScale="50" zoomScaleNormal="50" workbookViewId="0">
      <pane ySplit="24" topLeftCell="A25" activePane="bottomLeft" state="frozen"/>
      <selection pane="bottomLeft" activeCell="A25" sqref="A25"/>
    </sheetView>
  </sheetViews>
  <sheetFormatPr defaultColWidth="0" defaultRowHeight="14.5" zeroHeight="1"/>
  <cols>
    <col min="1" max="2" width="3.75" style="1" customWidth="1"/>
    <col min="3" max="3" width="9.58203125" style="1" customWidth="1"/>
    <col min="4" max="4" width="39.33203125" style="1" bestFit="1" customWidth="1"/>
    <col min="5" max="6" width="22.75" style="1" customWidth="1"/>
    <col min="7" max="7" width="16" style="1" customWidth="1"/>
    <col min="8" max="8" width="89.58203125" style="1" customWidth="1"/>
    <col min="9" max="10" width="16" style="1" customWidth="1"/>
    <col min="11" max="11" width="35.33203125" style="1" customWidth="1"/>
    <col min="12" max="14" width="16" style="1" customWidth="1"/>
    <col min="15" max="15" width="3.75" style="1" customWidth="1"/>
    <col min="16" max="16" width="3.75" style="1" hidden="1" customWidth="1"/>
    <col min="17" max="17" width="0" style="1" hidden="1" customWidth="1"/>
    <col min="18" max="18" width="3.75" style="1" hidden="1" customWidth="1"/>
    <col min="19" max="16384" width="9.08203125" style="1" hidden="1"/>
  </cols>
  <sheetData>
    <row r="1" spans="2:14" s="3" customFormat="1"/>
    <row r="2" spans="2:14" s="3" customFormat="1"/>
    <row r="3" spans="2:14" s="3" customFormat="1"/>
    <row r="4" spans="2:14" s="3" customFormat="1"/>
    <row r="5" spans="2:14" s="4" customFormat="1" ht="3" customHeight="1"/>
    <row r="6" spans="2:14"/>
    <row r="7" spans="2:14" ht="26">
      <c r="B7" s="5" t="s">
        <v>0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/>
    <row r="9" spans="2:14" ht="4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>
      <c r="B10" s="10"/>
      <c r="C10" s="27" t="s">
        <v>24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4" customHeight="1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>
      <c r="B12" s="10"/>
      <c r="C12" s="17" t="s">
        <v>19</v>
      </c>
      <c r="D12" s="18"/>
      <c r="E12" s="21" t="s">
        <v>17</v>
      </c>
      <c r="F12" s="21" t="s">
        <v>18</v>
      </c>
      <c r="G12" s="3"/>
      <c r="H12" s="3"/>
      <c r="I12" s="3"/>
      <c r="J12" s="3"/>
      <c r="K12" s="3"/>
      <c r="L12" s="3"/>
      <c r="M12" s="3"/>
      <c r="N12" s="11"/>
    </row>
    <row r="13" spans="2:14" ht="17">
      <c r="B13" s="10"/>
      <c r="C13" s="22" t="s">
        <v>20</v>
      </c>
      <c r="D13" s="23"/>
      <c r="E13" s="24">
        <f>+SUM(E14:E19)</f>
        <v>4</v>
      </c>
      <c r="F13" s="19" t="s">
        <v>22</v>
      </c>
      <c r="G13" s="3"/>
      <c r="H13" s="3"/>
      <c r="I13" s="3"/>
      <c r="J13" s="3"/>
      <c r="K13" s="3"/>
      <c r="L13" s="3"/>
      <c r="M13" s="3"/>
      <c r="N13" s="11"/>
    </row>
    <row r="14" spans="2:14" ht="17">
      <c r="B14" s="10"/>
      <c r="C14" s="25" t="s">
        <v>21</v>
      </c>
      <c r="D14" s="23"/>
      <c r="E14" s="24">
        <f>+COUNTIF(N:N,"Aberta")</f>
        <v>1</v>
      </c>
      <c r="F14" s="20">
        <f>+E14/$E$13</f>
        <v>0.25</v>
      </c>
      <c r="G14" s="3"/>
      <c r="H14" s="3"/>
      <c r="I14" s="3"/>
      <c r="J14" s="3"/>
      <c r="K14" s="3"/>
      <c r="L14" s="3"/>
      <c r="M14" s="3"/>
      <c r="N14" s="11"/>
    </row>
    <row r="15" spans="2:14" ht="17">
      <c r="B15" s="10"/>
      <c r="C15" s="25" t="s">
        <v>33</v>
      </c>
      <c r="D15" s="23"/>
      <c r="E15" s="24">
        <f>+COUNTIF(N:N,"Em correção")</f>
        <v>0</v>
      </c>
      <c r="F15" s="20">
        <f t="shared" ref="F15:F19" si="0">+E15/$E$13</f>
        <v>0</v>
      </c>
      <c r="G15" s="3"/>
      <c r="H15" s="3"/>
      <c r="I15" s="3"/>
      <c r="J15" s="3"/>
      <c r="K15" s="3"/>
      <c r="L15" s="3"/>
      <c r="M15" s="3"/>
      <c r="N15" s="11"/>
    </row>
    <row r="16" spans="2:14" ht="17">
      <c r="B16" s="10"/>
      <c r="C16" s="25" t="s">
        <v>34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">
      <c r="B17" s="10"/>
      <c r="C17" s="25" t="s">
        <v>35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>
      <c r="B18" s="10"/>
      <c r="C18" s="25" t="s">
        <v>36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">
      <c r="B19" s="10"/>
      <c r="C19" s="32" t="s">
        <v>37</v>
      </c>
      <c r="D19" s="33"/>
      <c r="E19" s="34">
        <f>+COUNTIF(N:N,"Fechada")</f>
        <v>3</v>
      </c>
      <c r="F19" s="46">
        <f t="shared" si="0"/>
        <v>0.75</v>
      </c>
      <c r="G19" s="3"/>
      <c r="H19" s="3"/>
      <c r="I19" s="3"/>
      <c r="J19" s="3"/>
      <c r="K19" s="3"/>
      <c r="L19" s="3"/>
      <c r="M19" s="3"/>
      <c r="N19" s="11"/>
    </row>
    <row r="20" spans="2:14" ht="4" customHeight="1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>
      <c r="B21" s="10"/>
      <c r="C21" s="30" t="s">
        <v>23</v>
      </c>
      <c r="D21" s="30"/>
      <c r="E21" s="31"/>
      <c r="F21" s="31">
        <v>45625</v>
      </c>
      <c r="G21" s="3"/>
      <c r="H21" s="3"/>
      <c r="I21" s="3"/>
      <c r="J21" s="3"/>
      <c r="K21" s="3"/>
      <c r="L21" s="3"/>
      <c r="M21" s="3"/>
      <c r="N21" s="11"/>
    </row>
    <row r="22" spans="2:14" ht="4" customHeight="1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/>
    <row r="24" spans="2:14" s="2" customFormat="1" ht="28.5" customHeight="1">
      <c r="B24" s="66" t="s">
        <v>1</v>
      </c>
      <c r="C24" s="66"/>
      <c r="D24" s="35" t="s">
        <v>2</v>
      </c>
      <c r="E24" s="35" t="s">
        <v>3</v>
      </c>
      <c r="F24" s="35" t="s">
        <v>12</v>
      </c>
      <c r="G24" s="35" t="s">
        <v>5</v>
      </c>
      <c r="H24" s="35" t="s">
        <v>4</v>
      </c>
      <c r="I24" s="35" t="s">
        <v>6</v>
      </c>
      <c r="J24" s="35" t="s">
        <v>7</v>
      </c>
      <c r="K24" s="35" t="s">
        <v>15</v>
      </c>
      <c r="L24" s="35" t="s">
        <v>9</v>
      </c>
      <c r="M24" s="35" t="s">
        <v>8</v>
      </c>
      <c r="N24" s="47" t="s">
        <v>38</v>
      </c>
    </row>
    <row r="25" spans="2:14" s="15" customFormat="1" ht="69" customHeight="1">
      <c r="B25" s="67">
        <v>1</v>
      </c>
      <c r="C25" s="67"/>
      <c r="D25" s="36" t="s">
        <v>10</v>
      </c>
      <c r="E25" s="36" t="s">
        <v>11</v>
      </c>
      <c r="F25" s="37" t="s">
        <v>13</v>
      </c>
      <c r="G25" s="36" t="s">
        <v>14</v>
      </c>
      <c r="H25" s="38" t="s">
        <v>16</v>
      </c>
      <c r="I25" s="36" t="s">
        <v>39</v>
      </c>
      <c r="J25" s="39">
        <v>45583</v>
      </c>
      <c r="K25" s="38" t="s">
        <v>45</v>
      </c>
      <c r="L25" s="49" t="s">
        <v>44</v>
      </c>
      <c r="M25" s="39">
        <v>45596</v>
      </c>
      <c r="N25" s="49" t="s">
        <v>48</v>
      </c>
    </row>
    <row r="26" spans="2:14" s="15" customFormat="1" ht="69" customHeight="1">
      <c r="B26" s="67">
        <v>2</v>
      </c>
      <c r="C26" s="67"/>
      <c r="D26" s="36" t="s">
        <v>10</v>
      </c>
      <c r="E26" s="36" t="s">
        <v>58</v>
      </c>
      <c r="F26" s="37" t="s">
        <v>46</v>
      </c>
      <c r="G26" s="36" t="s">
        <v>14</v>
      </c>
      <c r="H26" s="38" t="s">
        <v>47</v>
      </c>
      <c r="I26" s="36" t="s">
        <v>39</v>
      </c>
      <c r="J26" s="39">
        <v>45618</v>
      </c>
      <c r="K26" s="38" t="s">
        <v>57</v>
      </c>
      <c r="L26" s="49" t="s">
        <v>44</v>
      </c>
      <c r="M26" s="48"/>
      <c r="N26" s="49" t="s">
        <v>43</v>
      </c>
    </row>
    <row r="27" spans="2:14" s="15" customFormat="1" ht="69" customHeight="1">
      <c r="B27" s="67">
        <v>3</v>
      </c>
      <c r="C27" s="67"/>
      <c r="D27" s="36" t="s">
        <v>10</v>
      </c>
      <c r="E27" s="36" t="s">
        <v>60</v>
      </c>
      <c r="F27" s="55">
        <v>45596</v>
      </c>
      <c r="G27" s="36" t="s">
        <v>14</v>
      </c>
      <c r="H27" s="38" t="s">
        <v>65</v>
      </c>
      <c r="I27" s="36" t="s">
        <v>39</v>
      </c>
      <c r="J27" s="39">
        <v>45625</v>
      </c>
      <c r="K27" s="38" t="s">
        <v>64</v>
      </c>
      <c r="L27" s="49" t="s">
        <v>44</v>
      </c>
      <c r="M27" s="39">
        <v>45625</v>
      </c>
      <c r="N27" s="49" t="s">
        <v>48</v>
      </c>
    </row>
    <row r="28" spans="2:14" s="15" customFormat="1" ht="69" customHeight="1">
      <c r="B28" s="67">
        <v>4</v>
      </c>
      <c r="C28" s="67"/>
      <c r="D28" s="36" t="s">
        <v>10</v>
      </c>
      <c r="E28" s="36" t="s">
        <v>59</v>
      </c>
      <c r="F28" s="55">
        <v>45596</v>
      </c>
      <c r="G28" s="36" t="s">
        <v>14</v>
      </c>
      <c r="H28" s="38" t="s">
        <v>66</v>
      </c>
      <c r="I28" s="36" t="s">
        <v>39</v>
      </c>
      <c r="J28" s="39">
        <v>45625</v>
      </c>
      <c r="K28" s="38" t="s">
        <v>64</v>
      </c>
      <c r="L28" s="49" t="s">
        <v>44</v>
      </c>
      <c r="M28" s="39">
        <v>45625</v>
      </c>
      <c r="N28" s="49" t="s">
        <v>48</v>
      </c>
    </row>
    <row r="29" spans="2:14">
      <c r="G29" s="36"/>
    </row>
  </sheetData>
  <mergeCells count="5">
    <mergeCell ref="B24:C24"/>
    <mergeCell ref="B25:C25"/>
    <mergeCell ref="B26:C26"/>
    <mergeCell ref="B27:C27"/>
    <mergeCell ref="B28:C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4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="80" zoomScaleNormal="80" workbookViewId="0"/>
  </sheetViews>
  <sheetFormatPr defaultColWidth="0" defaultRowHeight="14" zeroHeight="1"/>
  <cols>
    <col min="1" max="1" width="3.75" customWidth="1"/>
    <col min="2" max="3" width="30.33203125" customWidth="1"/>
    <col min="4" max="4" width="107.83203125" bestFit="1" customWidth="1"/>
    <col min="5" max="5" width="30.33203125" customWidth="1"/>
    <col min="6" max="6" width="3.75" customWidth="1"/>
    <col min="7" max="16384" width="9.08203125" hidden="1"/>
  </cols>
  <sheetData>
    <row r="1" spans="2:5" s="40" customFormat="1"/>
    <row r="2" spans="2:5" s="40" customFormat="1"/>
    <row r="3" spans="2:5" s="40" customFormat="1"/>
    <row r="4" spans="2:5" s="40" customFormat="1"/>
    <row r="5" spans="2:5" s="41" customFormat="1" ht="3" customHeight="1"/>
    <row r="6" spans="2:5"/>
    <row r="7" spans="2:5">
      <c r="B7" s="68" t="s">
        <v>10</v>
      </c>
      <c r="C7" s="69"/>
      <c r="D7" s="70"/>
      <c r="E7" s="45" t="s">
        <v>40</v>
      </c>
    </row>
    <row r="8" spans="2:5">
      <c r="B8" s="43" t="s">
        <v>29</v>
      </c>
      <c r="C8" s="43" t="s">
        <v>30</v>
      </c>
      <c r="D8" s="43" t="s">
        <v>31</v>
      </c>
      <c r="E8" s="44" t="s">
        <v>11</v>
      </c>
    </row>
    <row r="9" spans="2:5">
      <c r="B9" s="42" t="s">
        <v>25</v>
      </c>
      <c r="C9" s="42" t="s">
        <v>26</v>
      </c>
      <c r="D9" s="42" t="s">
        <v>41</v>
      </c>
      <c r="E9" s="42" t="s">
        <v>27</v>
      </c>
    </row>
    <row r="10" spans="2:5">
      <c r="B10" s="42" t="s">
        <v>28</v>
      </c>
      <c r="C10" s="42" t="s">
        <v>26</v>
      </c>
      <c r="D10" s="42" t="s">
        <v>41</v>
      </c>
      <c r="E10" s="42" t="s">
        <v>27</v>
      </c>
    </row>
    <row r="11" spans="2:5">
      <c r="B11" s="42" t="s">
        <v>32</v>
      </c>
      <c r="C11" s="42" t="s">
        <v>26</v>
      </c>
      <c r="D11" s="42" t="s">
        <v>42</v>
      </c>
      <c r="E11" s="42" t="s">
        <v>27</v>
      </c>
    </row>
    <row r="12" spans="2:5">
      <c r="B12" s="56"/>
      <c r="C12" s="56"/>
      <c r="D12" s="56"/>
      <c r="E12" s="56"/>
    </row>
    <row r="13" spans="2:5"/>
    <row r="14" spans="2:5"/>
  </sheetData>
  <mergeCells count="1">
    <mergeCell ref="B7:D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="80" zoomScaleNormal="80" workbookViewId="0"/>
  </sheetViews>
  <sheetFormatPr defaultColWidth="0" defaultRowHeight="14.25" customHeight="1" zeroHeight="1"/>
  <cols>
    <col min="1" max="1" width="3.75" customWidth="1"/>
    <col min="2" max="3" width="52.83203125" customWidth="1"/>
    <col min="4" max="6" width="39.25" customWidth="1"/>
    <col min="7" max="7" width="3.75" customWidth="1"/>
    <col min="8" max="8" width="0" hidden="1" customWidth="1"/>
    <col min="9" max="16384" width="9.08203125" hidden="1"/>
  </cols>
  <sheetData>
    <row r="1" spans="2:6" s="40" customFormat="1" ht="14"/>
    <row r="2" spans="2:6" s="40" customFormat="1" ht="14"/>
    <row r="3" spans="2:6" s="40" customFormat="1" ht="14"/>
    <row r="4" spans="2:6" s="40" customFormat="1" ht="14"/>
    <row r="5" spans="2:6" s="41" customFormat="1" ht="3" customHeight="1"/>
    <row r="6" spans="2:6" ht="14"/>
    <row r="7" spans="2:6" ht="14">
      <c r="B7" s="68" t="s">
        <v>55</v>
      </c>
      <c r="C7" s="70"/>
      <c r="D7" s="68" t="s">
        <v>54</v>
      </c>
      <c r="E7" s="69"/>
      <c r="F7" s="70"/>
    </row>
    <row r="8" spans="2:6" ht="14">
      <c r="B8" s="51" t="s">
        <v>50</v>
      </c>
      <c r="C8" s="51" t="s">
        <v>51</v>
      </c>
      <c r="D8" s="52" t="s">
        <v>50</v>
      </c>
      <c r="E8" s="52" t="s">
        <v>56</v>
      </c>
      <c r="F8" s="52" t="s">
        <v>40</v>
      </c>
    </row>
    <row r="9" spans="2:6" ht="14">
      <c r="B9" s="42" t="s">
        <v>49</v>
      </c>
      <c r="C9" s="50">
        <v>45</v>
      </c>
      <c r="D9" s="42" t="s">
        <v>49</v>
      </c>
      <c r="E9" s="50">
        <f>+C9</f>
        <v>45</v>
      </c>
      <c r="F9" s="50">
        <f>+SUM(C9:C11)</f>
        <v>166.15</v>
      </c>
    </row>
    <row r="10" spans="2:6" ht="14">
      <c r="B10" s="42" t="s">
        <v>52</v>
      </c>
      <c r="C10" s="50">
        <v>53.65</v>
      </c>
      <c r="D10" s="53"/>
      <c r="E10" s="53"/>
      <c r="F10" s="53"/>
    </row>
    <row r="11" spans="2:6" ht="14">
      <c r="B11" s="42" t="s">
        <v>53</v>
      </c>
      <c r="C11" s="50">
        <v>67.5</v>
      </c>
      <c r="D11" s="53"/>
      <c r="E11" s="53"/>
      <c r="F11" s="53"/>
    </row>
    <row r="12" spans="2:6" ht="14"/>
  </sheetData>
  <mergeCells count="2">
    <mergeCell ref="B7:C7"/>
    <mergeCell ref="D7:F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showGridLines="0" zoomScale="80" zoomScaleNormal="80" workbookViewId="0"/>
  </sheetViews>
  <sheetFormatPr defaultColWidth="0" defaultRowHeight="14" customHeight="1" zeroHeight="1"/>
  <cols>
    <col min="1" max="1" width="3.75" customWidth="1"/>
    <col min="2" max="2" width="37.5" bestFit="1" customWidth="1"/>
    <col min="3" max="3" width="107.83203125" bestFit="1" customWidth="1"/>
    <col min="4" max="4" width="30.33203125" customWidth="1"/>
    <col min="5" max="5" width="3.75" style="56" customWidth="1"/>
    <col min="6" max="6" width="0" hidden="1" customWidth="1"/>
  </cols>
  <sheetData>
    <row r="1" spans="2:5" s="40" customFormat="1">
      <c r="E1" s="60"/>
    </row>
    <row r="2" spans="2:5" s="40" customFormat="1">
      <c r="E2" s="60"/>
    </row>
    <row r="3" spans="2:5" s="40" customFormat="1">
      <c r="E3" s="60"/>
    </row>
    <row r="4" spans="2:5" s="40" customFormat="1">
      <c r="E4" s="60"/>
    </row>
    <row r="5" spans="2:5" s="41" customFormat="1" ht="3" customHeight="1">
      <c r="E5" s="61"/>
    </row>
    <row r="6" spans="2:5" s="59" customFormat="1" ht="14" customHeight="1">
      <c r="E6" s="62"/>
    </row>
    <row r="7" spans="2:5">
      <c r="B7" s="68" t="s">
        <v>10</v>
      </c>
      <c r="C7" s="70"/>
      <c r="D7" s="54" t="s">
        <v>61</v>
      </c>
      <c r="E7" s="64"/>
    </row>
    <row r="8" spans="2:5">
      <c r="B8" s="43" t="s">
        <v>29</v>
      </c>
      <c r="C8" s="43" t="s">
        <v>60</v>
      </c>
      <c r="D8" s="44" t="s">
        <v>60</v>
      </c>
    </row>
    <row r="9" spans="2:5">
      <c r="B9" s="58" t="s">
        <v>63</v>
      </c>
      <c r="C9" s="42" t="s">
        <v>26</v>
      </c>
      <c r="D9" s="42" t="s">
        <v>62</v>
      </c>
    </row>
    <row r="10" spans="2:5">
      <c r="B10" s="56"/>
      <c r="C10" s="56"/>
      <c r="D10" s="56"/>
    </row>
    <row r="11" spans="2:5">
      <c r="B11" s="68" t="s">
        <v>10</v>
      </c>
      <c r="C11" s="70"/>
      <c r="D11" s="63" t="s">
        <v>61</v>
      </c>
      <c r="E11" s="65"/>
    </row>
    <row r="12" spans="2:5">
      <c r="B12" s="43" t="s">
        <v>29</v>
      </c>
      <c r="C12" s="43" t="s">
        <v>59</v>
      </c>
      <c r="D12" s="44" t="s">
        <v>60</v>
      </c>
    </row>
    <row r="13" spans="2:5">
      <c r="B13" s="58" t="s">
        <v>63</v>
      </c>
      <c r="C13" s="42" t="s">
        <v>26</v>
      </c>
      <c r="D13" s="57"/>
    </row>
    <row r="14" spans="2:5" ht="14" customHeight="1"/>
    <row r="15" spans="2:5" ht="14" hidden="1" customHeight="1"/>
  </sheetData>
  <mergeCells count="2">
    <mergeCell ref="B7:C7"/>
    <mergeCell ref="B11:C1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21D8E-3084-46A2-A759-C96F0ABE2F03}"/>
</file>

<file path=customXml/itemProps3.xml><?xml version="1.0" encoding="utf-8"?>
<ds:datastoreItem xmlns:ds="http://schemas.openxmlformats.org/officeDocument/2006/customXml" ds:itemID="{057770A7-FA72-4CC9-94B9-5DA0D1FF1E20}">
  <ds:schemaRefs>
    <ds:schemaRef ds:uri="http://purl.org/dc/dcmitype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6ea7b29d-57ec-408d-9ea9-cf73b04f66d5"/>
    <ds:schemaRef ds:uri="http://schemas.microsoft.com/office/2006/metadata/properties"/>
    <ds:schemaRef ds:uri="0683c779-04fc-4b63-89c9-6c25ffa1c0a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Incidências</vt:lpstr>
      <vt:lpstr>2. Evidências &gt;&gt;</vt:lpstr>
      <vt:lpstr>ID1</vt:lpstr>
      <vt:lpstr>ID2</vt:lpstr>
      <vt:lpstr>ID3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José Rui Rodrigues Castro Chousal</cp:lastModifiedBy>
  <dcterms:created xsi:type="dcterms:W3CDTF">2024-10-18T11:34:51Z</dcterms:created>
  <dcterms:modified xsi:type="dcterms:W3CDTF">2024-11-29T17:15:49Z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